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Legal Basis Inventory" sheetId="2" state="visible" r:id="rId2"/>
    <sheet xmlns:r="http://schemas.openxmlformats.org/officeDocument/2006/relationships" name="3. Legitimate Interest Assessments" sheetId="3" state="visible" r:id="rId3"/>
    <sheet xmlns:r="http://schemas.openxmlformats.org/officeDocument/2006/relationships" name="4. Consent Management" sheetId="4" state="visible" r:id="rId4"/>
    <sheet xmlns:r="http://schemas.openxmlformats.org/officeDocument/2006/relationships" name="5. Legal Basis Gaps" sheetId="5" state="visible" r:id="rId5"/>
    <sheet xmlns:r="http://schemas.openxmlformats.org/officeDocument/2006/relationships" name="6. Evidence Repository" sheetId="6" state="visible" r:id="rId6"/>
    <sheet xmlns:r="http://schemas.openxmlformats.org/officeDocument/2006/relationships" name="7. Dashboard" sheetId="7" state="visible" r:id="rId7"/>
    <sheet xmlns:r="http://schemas.openxmlformats.org/officeDocument/2006/relationships" name="8. 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003366"/>
      <sz val="12"/>
    </font>
    <font>
      <b val="1"/>
    </font>
    <font>
      <name val="Arial"/>
      <b val="1"/>
      <color rgb="00FFFFFF"/>
      <sz val="11"/>
    </font>
    <font>
      <name val="Arial"/>
      <b val="1"/>
      <color rgb="00003366"/>
      <sz val="14"/>
    </font>
    <font>
      <name val="Arial"/>
      <i val="1"/>
      <sz val="10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0" fillId="0" borderId="0" applyProtection="1" pivotButton="0" quotePrefix="0" xfId="0">
      <protection locked="0" hidden="0"/>
    </xf>
    <xf numFmtId="0" fontId="9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D966"/>
          <bgColor rgb="00FFD966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FFFFFF"/>
      </font>
      <fill>
        <patternFill patternType="solid">
          <fgColor rgb="00FF6600"/>
          <bgColor rgb="00FF6600"/>
        </patternFill>
      </fill>
    </dxf>
    <dxf>
      <fill>
        <patternFill patternType="solid">
          <fgColor rgb="009BC2E6"/>
          <bgColor rgb="009BC2E6"/>
        </patternFill>
      </fill>
    </dxf>
    <dxf>
      <font>
        <b val="1"/>
        <color rgb="00FFFFFF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ISMS-IMP-A.5.34.2 - Legal Basis and Lawful Processing Assessment</t>
        </is>
      </c>
    </row>
    <row r="2">
      <c r="A2" s="2" t="inlineStr">
        <is>
          <t>Assessment Instructions and Legal Basis Selection Framework</t>
        </is>
      </c>
    </row>
    <row r="3"/>
    <row r="4">
      <c r="A4" s="3" t="inlineStr">
        <is>
          <t>1. ASSESSMENT OVERVIEW</t>
        </is>
      </c>
    </row>
    <row r="5"/>
    <row r="6" ht="80" customHeight="1">
      <c r="A6" s="4" t="inlineStr">
        <is>
          <t>This assessment documents the legal basis for ALL personal data processing activities to ensure compliance with:
• GDPR Article 6 (Lawfulness of processing)
• Swiss FADP Article 34 (Legal basis)
• ISO/IEC 27001:2022 Control A.5.34 (Privacy and protection of PII)
CRITICAL: Processing without documented legal basis is a fundamental data protection violation.</t>
        </is>
      </c>
    </row>
    <row r="7"/>
    <row r="8"/>
    <row r="9"/>
    <row r="10"/>
    <row r="11">
      <c r="A11" s="3" t="inlineStr">
        <is>
          <t>2. LEGAL BASIS SELECTION FRAMEWORK (GDPR Article 6)</t>
        </is>
      </c>
    </row>
    <row r="12"/>
    <row r="13" ht="380" customHeight="1">
      <c r="A13" s="4" t="inlineStr">
        <is>
          <t>Legal basis is NOT a free choice. Selection must align with the ACTUAL purpose and nature of processing.
CONSENT (Art. 6(1)(a)): 
• Data subject has genuine choice (can refuse without detriment)
• Freely given, specific, informed, unambiguous
• Examples: Marketing to prospects, optional profiling, research participation
CONTRACT (Art. 6(1)(b)):
• Processing is objectively NECESSARY to perform contract obligations
• Without processing, contract cannot be fulfilled
• Examples: Shipping address for delivery, payment details for transactions
• NOT valid for "related to contract" - must be strictly necessary
LEGAL OBLIGATION (Art. 6(1)(c)):
• Specific law REQUIRES processing (cite statute)
• Examples: Tax records, employee social security, AML checks
• NOT valid for "best practices" - must be legal mandate
VITAL INTERESTS (Art. 6(1)(d)):
• Life-threatening emergency only
• Data subject cannot provide consent (unconscious, incapacitated)
• Rarely used
PUBLIC TASK (Art. 6(1)(e)):
• Public authority performing official function
• NOT applicable to private sector
LEGITIMATE INTEREST (Art. 6(1)(f)):
• Processing benefits controller or third party
• Balancing test passed (LIA completed - see Sheet 3)
• Data subject's interests DO NOT override controller's interests
• Examples: Fraud prevention, network security, direct marketing (with opt-out)
• Requires documented LIA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s="3" t="inlineStr">
        <is>
          <t>3. SPECIAL CATEGORY DATA (GDPR Article 9)</t>
        </is>
      </c>
    </row>
    <row r="39"/>
    <row r="40" ht="180" customHeight="1">
      <c r="A40" s="4" t="inlineStr">
        <is>
          <t>Special category PII requires ADDITIONAL legal basis under GDPR Art. 9:
• Racial or ethnic origin
• Political opinions
• Religious or philosophical beliefs
• Trade union membership
• Genetic data
• Biometric data (for unique identification)
• Health data
• Sex life or sexual orientation
IMPORTANT: General legal basis (Art. 6) + Special category basis (Art. 9) BOTH required.</t>
        </is>
      </c>
    </row>
    <row r="41"/>
    <row r="42"/>
    <row r="43"/>
    <row r="44"/>
    <row r="45"/>
    <row r="46"/>
    <row r="47"/>
    <row r="48"/>
    <row r="49"/>
    <row r="50"/>
    <row r="51"/>
    <row r="52">
      <c r="A52" s="3" t="inlineStr">
        <is>
          <t>4. DROPDOWN OPTIONS REFERENCE</t>
        </is>
      </c>
    </row>
    <row r="53"/>
    <row r="54">
      <c r="A54" s="5" t="inlineStr">
        <is>
          <t>Legal Basis (GDPR Art. 6):</t>
        </is>
      </c>
    </row>
    <row r="55">
      <c r="A55" t="inlineStr">
        <is>
          <t>• Consent (GDPR Art. 6(1)(a))</t>
        </is>
      </c>
    </row>
    <row r="56">
      <c r="A56" t="inlineStr">
        <is>
          <t>• Contract (GDPR Art. 6(1)(b))</t>
        </is>
      </c>
    </row>
    <row r="57">
      <c r="A57" t="inlineStr">
        <is>
          <t>• Legal Obligation (GDPR Art. 6(1)(c))</t>
        </is>
      </c>
    </row>
    <row r="58">
      <c r="A58" t="inlineStr">
        <is>
          <t>• Vital Interests (GDPR Art. 6(1)(d))</t>
        </is>
      </c>
    </row>
    <row r="59">
      <c r="A59" t="inlineStr">
        <is>
          <t>• Public Task (GDPR Art. 6(1)(e))</t>
        </is>
      </c>
    </row>
    <row r="60">
      <c r="A60" t="inlineStr">
        <is>
          <t>• Legitimate Interest (GDPR Art. 6(1)(f))</t>
        </is>
      </c>
    </row>
    <row r="61"/>
    <row r="62">
      <c r="A62" s="5" t="inlineStr">
        <is>
          <t>Special Category Legal Basis (GDPR Art. 9):</t>
        </is>
      </c>
    </row>
    <row r="63">
      <c r="A63" t="inlineStr">
        <is>
          <t>• Explicit Consent (Art. 9(2)(a))</t>
        </is>
      </c>
    </row>
    <row r="64">
      <c r="A64" t="inlineStr">
        <is>
          <t>• Employment Law (Art. 9(2)(b))</t>
        </is>
      </c>
    </row>
    <row r="65">
      <c r="A65" t="inlineStr">
        <is>
          <t>• Vital Interests (Art. 9(2)(c))</t>
        </is>
      </c>
    </row>
    <row r="66">
      <c r="A66" t="inlineStr">
        <is>
          <t>• Legitimate Activities (Art. 9(2)(d))</t>
        </is>
      </c>
    </row>
    <row r="67">
      <c r="A67" t="inlineStr">
        <is>
          <t>• Public Data (Art. 9(2)(e))</t>
        </is>
      </c>
    </row>
    <row r="68">
      <c r="A68" t="inlineStr">
        <is>
          <t>• Legal Claims (Art. 9(2)(f))</t>
        </is>
      </c>
    </row>
    <row r="69">
      <c r="A69" t="inlineStr">
        <is>
          <t>• Substantial Public Interest (Art. 9(2)(g))</t>
        </is>
      </c>
    </row>
    <row r="70">
      <c r="A70" t="inlineStr">
        <is>
          <t>• Healthcare (Art. 9(2)(h))</t>
        </is>
      </c>
    </row>
    <row r="71">
      <c r="A71" t="inlineStr">
        <is>
          <t>• Public Health (Art. 9(2)(i))</t>
        </is>
      </c>
    </row>
    <row r="72">
      <c r="A72" t="inlineStr">
        <is>
          <t>• Archiving/Research (Art. 9(2)(j))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5">
    <mergeCell ref="A2:F2"/>
    <mergeCell ref="A40:F50"/>
    <mergeCell ref="A13:F36"/>
    <mergeCell ref="A1:F1"/>
    <mergeCell ref="A6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60" customWidth="1" min="5" max="5"/>
    <col width="30" customWidth="1" min="6" max="6"/>
    <col width="15" customWidth="1" min="7" max="7"/>
    <col width="30" customWidth="1" min="8" max="8"/>
    <col width="20" customWidth="1" min="9" max="9"/>
    <col width="30" customWidth="1" min="10" max="10"/>
    <col width="15" customWidth="1" min="11" max="11"/>
    <col width="20" customWidth="1" min="12" max="12"/>
    <col width="50" customWidth="1" min="13" max="13"/>
    <col width="20" customWidth="1" min="14" max="14"/>
    <col width="60" customWidth="1" min="15" max="15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Processing Purpose</t>
        </is>
      </c>
      <c r="D1" s="6" t="inlineStr">
        <is>
          <t>Legal Basis (GDPR Art. 6)</t>
        </is>
      </c>
      <c r="E1" s="6" t="inlineStr">
        <is>
          <t>Legal Basis Justification</t>
        </is>
      </c>
      <c r="F1" s="6" t="inlineStr">
        <is>
          <t>Data Subject Information</t>
        </is>
      </c>
      <c r="G1" s="6" t="inlineStr">
        <is>
          <t>Special Category Data?</t>
        </is>
      </c>
      <c r="H1" s="6" t="inlineStr">
        <is>
          <t>GDPR Art. 9 Legal Basis</t>
        </is>
      </c>
      <c r="I1" s="6" t="inlineStr">
        <is>
          <t>Consent Status</t>
        </is>
      </c>
      <c r="J1" s="6" t="inlineStr">
        <is>
          <t>Consent Mechanism</t>
        </is>
      </c>
      <c r="K1" s="6" t="inlineStr">
        <is>
          <t>LIA Required?</t>
        </is>
      </c>
      <c r="L1" s="6" t="inlineStr">
        <is>
          <t>LIA Reference</t>
        </is>
      </c>
      <c r="M1" s="6" t="inlineStr">
        <is>
          <t>Legal Basis Evidence</t>
        </is>
      </c>
      <c r="N1" s="6" t="inlineStr">
        <is>
          <t>Compliance Status</t>
        </is>
      </c>
      <c r="O1" s="6" t="inlineStr">
        <is>
          <t>Remediation Plan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IF(D2="Legitimate Interest (GDPR Art. 6(1)(f))", "Yes / Required (Sheet 3)", "")</f>
        <v/>
      </c>
      <c r="L2" s="7" t="n"/>
      <c r="M2" s="7" t="n"/>
      <c r="N2">
        <f>IF(D2="", "Gap - No Legal Basis", IF(AND(D2="Consent (GDPR Art. 6(1)(a))", I2="Not Captured"), "Gap - Invalid Consent", IF(AND(D2="Legitimate Interest (GDPR Art. 6(1)(f))", L2=""), "Gap - Missing LIA", IF(AND(G2="Yes", H2=""), "Gap - Missing Art. 9 Basis", IF(OR(I2="Invalid - Not Freely Given", I2="Invalid - Not Specific", I2="Invalid - Not Informed", I2="Invalid - Ambiguous"), "Gap - Invalid Consent", "Compliant")))))</f>
        <v/>
      </c>
      <c r="O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IF(D3="Legitimate Interest (GDPR Art. 6(1)(f))", "Yes / Required (Sheet 3)", "")</f>
        <v/>
      </c>
      <c r="L3" s="7" t="n"/>
      <c r="M3" s="7" t="n"/>
      <c r="N3">
        <f>IF(D3="", "Gap - No Legal Basis", IF(AND(D3="Consent (GDPR Art. 6(1)(a))", I3="Not Captured"), "Gap - Invalid Consent", IF(AND(D3="Legitimate Interest (GDPR Art. 6(1)(f))", L3=""), "Gap - Missing LIA", IF(AND(G3="Yes", H3=""), "Gap - Missing Art. 9 Basis", IF(OR(I3="Invalid - Not Freely Given", I3="Invalid - Not Specific", I3="Invalid - Not Informed", I3="Invalid - Ambiguous"), "Gap - Invalid Consent", "Compliant")))))</f>
        <v/>
      </c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IF(D4="Legitimate Interest (GDPR Art. 6(1)(f))", "Yes / Required (Sheet 3)", "")</f>
        <v/>
      </c>
      <c r="L4" s="7" t="n"/>
      <c r="M4" s="7" t="n"/>
      <c r="N4">
        <f>IF(D4="", "Gap - No Legal Basis", IF(AND(D4="Consent (GDPR Art. 6(1)(a))", I4="Not Captured"), "Gap - Invalid Consent", IF(AND(D4="Legitimate Interest (GDPR Art. 6(1)(f))", L4=""), "Gap - Missing LIA", IF(AND(G4="Yes", H4=""), "Gap - Missing Art. 9 Basis", IF(OR(I4="Invalid - Not Freely Given", I4="Invalid - Not Specific", I4="Invalid - Not Informed", I4="Invalid - Ambiguous"), "Gap - Invalid Consent", "Compliant")))))</f>
        <v/>
      </c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IF(D5="Legitimate Interest (GDPR Art. 6(1)(f))", "Yes / Required (Sheet 3)", "")</f>
        <v/>
      </c>
      <c r="L5" s="7" t="n"/>
      <c r="M5" s="7" t="n"/>
      <c r="N5">
        <f>IF(D5="", "Gap - No Legal Basis", IF(AND(D5="Consent (GDPR Art. 6(1)(a))", I5="Not Captured"), "Gap - Invalid Consent", IF(AND(D5="Legitimate Interest (GDPR Art. 6(1)(f))", L5=""), "Gap - Missing LIA", IF(AND(G5="Yes", H5=""), "Gap - Missing Art. 9 Basis", IF(OR(I5="Invalid - Not Freely Given", I5="Invalid - Not Specific", I5="Invalid - Not Informed", I5="Invalid - Ambiguous"), "Gap - Invalid Consent", "Compliant")))))</f>
        <v/>
      </c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IF(D6="Legitimate Interest (GDPR Art. 6(1)(f))", "Yes / Required (Sheet 3)", "")</f>
        <v/>
      </c>
      <c r="L6" s="7" t="n"/>
      <c r="M6" s="7" t="n"/>
      <c r="N6">
        <f>IF(D6="", "Gap - No Legal Basis", IF(AND(D6="Consent (GDPR Art. 6(1)(a))", I6="Not Captured"), "Gap - Invalid Consent", IF(AND(D6="Legitimate Interest (GDPR Art. 6(1)(f))", L6=""), "Gap - Missing LIA", IF(AND(G6="Yes", H6=""), "Gap - Missing Art. 9 Basis", IF(OR(I6="Invalid - Not Freely Given", I6="Invalid - Not Specific", I6="Invalid - Not Informed", I6="Invalid - Ambiguous"), "Gap - Invalid Consent", "Compliant")))))</f>
        <v/>
      </c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IF(D7="Legitimate Interest (GDPR Art. 6(1)(f))", "Yes / Required (Sheet 3)", "")</f>
        <v/>
      </c>
      <c r="L7" s="7" t="n"/>
      <c r="M7" s="7" t="n"/>
      <c r="N7">
        <f>IF(D7="", "Gap - No Legal Basis", IF(AND(D7="Consent (GDPR Art. 6(1)(a))", I7="Not Captured"), "Gap - Invalid Consent", IF(AND(D7="Legitimate Interest (GDPR Art. 6(1)(f))", L7=""), "Gap - Missing LIA", IF(AND(G7="Yes", H7=""), "Gap - Missing Art. 9 Basis", IF(OR(I7="Invalid - Not Freely Given", I7="Invalid - Not Specific", I7="Invalid - Not Informed", I7="Invalid - Ambiguous"), "Gap - Invalid Consent", "Compliant")))))</f>
        <v/>
      </c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IF(D8="Legitimate Interest (GDPR Art. 6(1)(f))", "Yes / Required (Sheet 3)", "")</f>
        <v/>
      </c>
      <c r="L8" s="7" t="n"/>
      <c r="M8" s="7" t="n"/>
      <c r="N8">
        <f>IF(D8="", "Gap - No Legal Basis", IF(AND(D8="Consent (GDPR Art. 6(1)(a))", I8="Not Captured"), "Gap - Invalid Consent", IF(AND(D8="Legitimate Interest (GDPR Art. 6(1)(f))", L8=""), "Gap - Missing LIA", IF(AND(G8="Yes", H8=""), "Gap - Missing Art. 9 Basis", IF(OR(I8="Invalid - Not Freely Given", I8="Invalid - Not Specific", I8="Invalid - Not Informed", I8="Invalid - Ambiguous"), "Gap - Invalid Consent", "Compliant")))))</f>
        <v/>
      </c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IF(D9="Legitimate Interest (GDPR Art. 6(1)(f))", "Yes / Required (Sheet 3)", "")</f>
        <v/>
      </c>
      <c r="L9" s="7" t="n"/>
      <c r="M9" s="7" t="n"/>
      <c r="N9">
        <f>IF(D9="", "Gap - No Legal Basis", IF(AND(D9="Consent (GDPR Art. 6(1)(a))", I9="Not Captured"), "Gap - Invalid Consent", IF(AND(D9="Legitimate Interest (GDPR Art. 6(1)(f))", L9=""), "Gap - Missing LIA", IF(AND(G9="Yes", H9=""), "Gap - Missing Art. 9 Basis", IF(OR(I9="Invalid - Not Freely Given", I9="Invalid - Not Specific", I9="Invalid - Not Informed", I9="Invalid - Ambiguous"), "Gap - Invalid Consent", "Compliant")))))</f>
        <v/>
      </c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IF(D10="Legitimate Interest (GDPR Art. 6(1)(f))", "Yes / Required (Sheet 3)", "")</f>
        <v/>
      </c>
      <c r="L10" s="7" t="n"/>
      <c r="M10" s="7" t="n"/>
      <c r="N10">
        <f>IF(D10="", "Gap - No Legal Basis", IF(AND(D10="Consent (GDPR Art. 6(1)(a))", I10="Not Captured"), "Gap - Invalid Consent", IF(AND(D10="Legitimate Interest (GDPR Art. 6(1)(f))", L10=""), "Gap - Missing LIA", IF(AND(G10="Yes", H10=""), "Gap - Missing Art. 9 Basis", IF(OR(I10="Invalid - Not Freely Given", I10="Invalid - Not Specific", I10="Invalid - Not Informed", I10="Invalid - Ambiguous"), "Gap - Invalid Consent", "Compliant")))))</f>
        <v/>
      </c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IF(D11="Legitimate Interest (GDPR Art. 6(1)(f))", "Yes / Required (Sheet 3)", "")</f>
        <v/>
      </c>
      <c r="L11" s="7" t="n"/>
      <c r="M11" s="7" t="n"/>
      <c r="N11">
        <f>IF(D11="", "Gap - No Legal Basis", IF(AND(D11="Consent (GDPR Art. 6(1)(a))", I11="Not Captured"), "Gap - Invalid Consent", IF(AND(D11="Legitimate Interest (GDPR Art. 6(1)(f))", L11=""), "Gap - Missing LIA", IF(AND(G11="Yes", H11=""), "Gap - Missing Art. 9 Basis", IF(OR(I11="Invalid - Not Freely Given", I11="Invalid - Not Specific", I11="Invalid - Not Informed", I11="Invalid - Ambiguous"), "Gap - Invalid Consent", "Compliant")))))</f>
        <v/>
      </c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IF(D12="Legitimate Interest (GDPR Art. 6(1)(f))", "Yes / Required (Sheet 3)", "")</f>
        <v/>
      </c>
      <c r="L12" s="7" t="n"/>
      <c r="M12" s="7" t="n"/>
      <c r="N12">
        <f>IF(D12="", "Gap - No Legal Basis", IF(AND(D12="Consent (GDPR Art. 6(1)(a))", I12="Not Captured"), "Gap - Invalid Consent", IF(AND(D12="Legitimate Interest (GDPR Art. 6(1)(f))", L12=""), "Gap - Missing LIA", IF(AND(G12="Yes", H12=""), "Gap - Missing Art. 9 Basis", IF(OR(I12="Invalid - Not Freely Given", I12="Invalid - Not Specific", I12="Invalid - Not Informed", I12="Invalid - Ambiguous"), "Gap - Invalid Consent", "Compliant")))))</f>
        <v/>
      </c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IF(D13="Legitimate Interest (GDPR Art. 6(1)(f))", "Yes / Required (Sheet 3)", "")</f>
        <v/>
      </c>
      <c r="L13" s="7" t="n"/>
      <c r="M13" s="7" t="n"/>
      <c r="N13">
        <f>IF(D13="", "Gap - No Legal Basis", IF(AND(D13="Consent (GDPR Art. 6(1)(a))", I13="Not Captured"), "Gap - Invalid Consent", IF(AND(D13="Legitimate Interest (GDPR Art. 6(1)(f))", L13=""), "Gap - Missing LIA", IF(AND(G13="Yes", H13=""), "Gap - Missing Art. 9 Basis", IF(OR(I13="Invalid - Not Freely Given", I13="Invalid - Not Specific", I13="Invalid - Not Informed", I13="Invalid - Ambiguous"), "Gap - Invalid Consent", "Compliant")))))</f>
        <v/>
      </c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IF(D14="Legitimate Interest (GDPR Art. 6(1)(f))", "Yes / Required (Sheet 3)", "")</f>
        <v/>
      </c>
      <c r="L14" s="7" t="n"/>
      <c r="M14" s="7" t="n"/>
      <c r="N14">
        <f>IF(D14="", "Gap - No Legal Basis", IF(AND(D14="Consent (GDPR Art. 6(1)(a))", I14="Not Captured"), "Gap - Invalid Consent", IF(AND(D14="Legitimate Interest (GDPR Art. 6(1)(f))", L14=""), "Gap - Missing LIA", IF(AND(G14="Yes", H14=""), "Gap - Missing Art. 9 Basis", IF(OR(I14="Invalid - Not Freely Given", I14="Invalid - Not Specific", I14="Invalid - Not Informed", I14="Invalid - Ambiguous"), "Gap - Invalid Consent", "Compliant")))))</f>
        <v/>
      </c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IF(D15="Legitimate Interest (GDPR Art. 6(1)(f))", "Yes / Required (Sheet 3)", "")</f>
        <v/>
      </c>
      <c r="L15" s="7" t="n"/>
      <c r="M15" s="7" t="n"/>
      <c r="N15">
        <f>IF(D15="", "Gap - No Legal Basis", IF(AND(D15="Consent (GDPR Art. 6(1)(a))", I15="Not Captured"), "Gap - Invalid Consent", IF(AND(D15="Legitimate Interest (GDPR Art. 6(1)(f))", L15=""), "Gap - Missing LIA", IF(AND(G15="Yes", H15=""), "Gap - Missing Art. 9 Basis", IF(OR(I15="Invalid - Not Freely Given", I15="Invalid - Not Specific", I15="Invalid - Not Informed", I15="Invalid - Ambiguous"), "Gap - Invalid Consent", "Compliant")))))</f>
        <v/>
      </c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IF(D16="Legitimate Interest (GDPR Art. 6(1)(f))", "Yes / Required (Sheet 3)", "")</f>
        <v/>
      </c>
      <c r="L16" s="7" t="n"/>
      <c r="M16" s="7" t="n"/>
      <c r="N16">
        <f>IF(D16="", "Gap - No Legal Basis", IF(AND(D16="Consent (GDPR Art. 6(1)(a))", I16="Not Captured"), "Gap - Invalid Consent", IF(AND(D16="Legitimate Interest (GDPR Art. 6(1)(f))", L16=""), "Gap - Missing LIA", IF(AND(G16="Yes", H16=""), "Gap - Missing Art. 9 Basis", IF(OR(I16="Invalid - Not Freely Given", I16="Invalid - Not Specific", I16="Invalid - Not Informed", I16="Invalid - Ambiguous"), "Gap - Invalid Consent", "Compliant")))))</f>
        <v/>
      </c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IF(D17="Legitimate Interest (GDPR Art. 6(1)(f))", "Yes / Required (Sheet 3)", "")</f>
        <v/>
      </c>
      <c r="L17" s="7" t="n"/>
      <c r="M17" s="7" t="n"/>
      <c r="N17">
        <f>IF(D17="", "Gap - No Legal Basis", IF(AND(D17="Consent (GDPR Art. 6(1)(a))", I17="Not Captured"), "Gap - Invalid Consent", IF(AND(D17="Legitimate Interest (GDPR Art. 6(1)(f))", L17=""), "Gap - Missing LIA", IF(AND(G17="Yes", H17=""), "Gap - Missing Art. 9 Basis", IF(OR(I17="Invalid - Not Freely Given", I17="Invalid - Not Specific", I17="Invalid - Not Informed", I17="Invalid - Ambiguous"), "Gap - Invalid Consent", "Compliant")))))</f>
        <v/>
      </c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IF(D18="Legitimate Interest (GDPR Art. 6(1)(f))", "Yes / Required (Sheet 3)", "")</f>
        <v/>
      </c>
      <c r="L18" s="7" t="n"/>
      <c r="M18" s="7" t="n"/>
      <c r="N18">
        <f>IF(D18="", "Gap - No Legal Basis", IF(AND(D18="Consent (GDPR Art. 6(1)(a))", I18="Not Captured"), "Gap - Invalid Consent", IF(AND(D18="Legitimate Interest (GDPR Art. 6(1)(f))", L18=""), "Gap - Missing LIA", IF(AND(G18="Yes", H18=""), "Gap - Missing Art. 9 Basis", IF(OR(I18="Invalid - Not Freely Given", I18="Invalid - Not Specific", I18="Invalid - Not Informed", I18="Invalid - Ambiguous"), "Gap - Invalid Consent", "Compliant")))))</f>
        <v/>
      </c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IF(D19="Legitimate Interest (GDPR Art. 6(1)(f))", "Yes / Required (Sheet 3)", "")</f>
        <v/>
      </c>
      <c r="L19" s="7" t="n"/>
      <c r="M19" s="7" t="n"/>
      <c r="N19">
        <f>IF(D19="", "Gap - No Legal Basis", IF(AND(D19="Consent (GDPR Art. 6(1)(a))", I19="Not Captured"), "Gap - Invalid Consent", IF(AND(D19="Legitimate Interest (GDPR Art. 6(1)(f))", L19=""), "Gap - Missing LIA", IF(AND(G19="Yes", H19=""), "Gap - Missing Art. 9 Basis", IF(OR(I19="Invalid - Not Freely Given", I19="Invalid - Not Specific", I19="Invalid - Not Informed", I19="Invalid - Ambiguous"), "Gap - Invalid Consent", "Compliant")))))</f>
        <v/>
      </c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IF(D20="Legitimate Interest (GDPR Art. 6(1)(f))", "Yes / Required (Sheet 3)", "")</f>
        <v/>
      </c>
      <c r="L20" s="7" t="n"/>
      <c r="M20" s="7" t="n"/>
      <c r="N20">
        <f>IF(D20="", "Gap - No Legal Basis", IF(AND(D20="Consent (GDPR Art. 6(1)(a))", I20="Not Captured"), "Gap - Invalid Consent", IF(AND(D20="Legitimate Interest (GDPR Art. 6(1)(f))", L20=""), "Gap - Missing LIA", IF(AND(G20="Yes", H20=""), "Gap - Missing Art. 9 Basis", IF(OR(I20="Invalid - Not Freely Given", I20="Invalid - Not Specific", I20="Invalid - Not Informed", I20="Invalid - Ambiguous"), "Gap - Invalid Consent", "Compliant")))))</f>
        <v/>
      </c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IF(D21="Legitimate Interest (GDPR Art. 6(1)(f))", "Yes / Required (Sheet 3)", "")</f>
        <v/>
      </c>
      <c r="L21" s="7" t="n"/>
      <c r="M21" s="7" t="n"/>
      <c r="N21">
        <f>IF(D21="", "Gap - No Legal Basis", IF(AND(D21="Consent (GDPR Art. 6(1)(a))", I21="Not Captured"), "Gap - Invalid Consent", IF(AND(D21="Legitimate Interest (GDPR Art. 6(1)(f))", L21=""), "Gap - Missing LIA", IF(AND(G21="Yes", H21=""), "Gap - Missing Art. 9 Basis", IF(OR(I21="Invalid - Not Freely Given", I21="Invalid - Not Specific", I21="Invalid - Not Informed", I21="Invalid - Ambiguous"), "Gap - Invalid Consent", "Compliant")))))</f>
        <v/>
      </c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IF(D22="Legitimate Interest (GDPR Art. 6(1)(f))", "Yes / Required (Sheet 3)", "")</f>
        <v/>
      </c>
      <c r="L22" s="7" t="n"/>
      <c r="M22" s="7" t="n"/>
      <c r="N22">
        <f>IF(D22="", "Gap - No Legal Basis", IF(AND(D22="Consent (GDPR Art. 6(1)(a))", I22="Not Captured"), "Gap - Invalid Consent", IF(AND(D22="Legitimate Interest (GDPR Art. 6(1)(f))", L22=""), "Gap - Missing LIA", IF(AND(G22="Yes", H22=""), "Gap - Missing Art. 9 Basis", IF(OR(I22="Invalid - Not Freely Given", I22="Invalid - Not Specific", I22="Invalid - Not Informed", I22="Invalid - Ambiguous"), "Gap - Invalid Consent", "Compliant")))))</f>
        <v/>
      </c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IF(D23="Legitimate Interest (GDPR Art. 6(1)(f))", "Yes / Required (Sheet 3)", "")</f>
        <v/>
      </c>
      <c r="L23" s="7" t="n"/>
      <c r="M23" s="7" t="n"/>
      <c r="N23">
        <f>IF(D23="", "Gap - No Legal Basis", IF(AND(D23="Consent (GDPR Art. 6(1)(a))", I23="Not Captured"), "Gap - Invalid Consent", IF(AND(D23="Legitimate Interest (GDPR Art. 6(1)(f))", L23=""), "Gap - Missing LIA", IF(AND(G23="Yes", H23=""), "Gap - Missing Art. 9 Basis", IF(OR(I23="Invalid - Not Freely Given", I23="Invalid - Not Specific", I23="Invalid - Not Informed", I23="Invalid - Ambiguous"), "Gap - Invalid Consent", "Compliant")))))</f>
        <v/>
      </c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IF(D24="Legitimate Interest (GDPR Art. 6(1)(f))", "Yes / Required (Sheet 3)", "")</f>
        <v/>
      </c>
      <c r="L24" s="7" t="n"/>
      <c r="M24" s="7" t="n"/>
      <c r="N24">
        <f>IF(D24="", "Gap - No Legal Basis", IF(AND(D24="Consent (GDPR Art. 6(1)(a))", I24="Not Captured"), "Gap - Invalid Consent", IF(AND(D24="Legitimate Interest (GDPR Art. 6(1)(f))", L24=""), "Gap - Missing LIA", IF(AND(G24="Yes", H24=""), "Gap - Missing Art. 9 Basis", IF(OR(I24="Invalid - Not Freely Given", I24="Invalid - Not Specific", I24="Invalid - Not Informed", I24="Invalid - Ambiguous"), "Gap - Invalid Consent", "Compliant")))))</f>
        <v/>
      </c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IF(D25="Legitimate Interest (GDPR Art. 6(1)(f))", "Yes / Required (Sheet 3)", "")</f>
        <v/>
      </c>
      <c r="L25" s="7" t="n"/>
      <c r="M25" s="7" t="n"/>
      <c r="N25">
        <f>IF(D25="", "Gap - No Legal Basis", IF(AND(D25="Consent (GDPR Art. 6(1)(a))", I25="Not Captured"), "Gap - Invalid Consent", IF(AND(D25="Legitimate Interest (GDPR Art. 6(1)(f))", L25=""), "Gap - Missing LIA", IF(AND(G25="Yes", H25=""), "Gap - Missing Art. 9 Basis", IF(OR(I25="Invalid - Not Freely Given", I25="Invalid - Not Specific", I25="Invalid - Not Informed", I25="Invalid - Ambiguous"), "Gap - Invalid Consent", "Compliant")))))</f>
        <v/>
      </c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IF(D26="Legitimate Interest (GDPR Art. 6(1)(f))", "Yes / Required (Sheet 3)", "")</f>
        <v/>
      </c>
      <c r="L26" s="7" t="n"/>
      <c r="M26" s="7" t="n"/>
      <c r="N26">
        <f>IF(D26="", "Gap - No Legal Basis", IF(AND(D26="Consent (GDPR Art. 6(1)(a))", I26="Not Captured"), "Gap - Invalid Consent", IF(AND(D26="Legitimate Interest (GDPR Art. 6(1)(f))", L26=""), "Gap - Missing LIA", IF(AND(G26="Yes", H26=""), "Gap - Missing Art. 9 Basis", IF(OR(I26="Invalid - Not Freely Given", I26="Invalid - Not Specific", I26="Invalid - Not Informed", I26="Invalid - Ambiguous"), "Gap - Invalid Consent", "Compliant")))))</f>
        <v/>
      </c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IF(D27="Legitimate Interest (GDPR Art. 6(1)(f))", "Yes / Required (Sheet 3)", "")</f>
        <v/>
      </c>
      <c r="L27" s="7" t="n"/>
      <c r="M27" s="7" t="n"/>
      <c r="N27">
        <f>IF(D27="", "Gap - No Legal Basis", IF(AND(D27="Consent (GDPR Art. 6(1)(a))", I27="Not Captured"), "Gap - Invalid Consent", IF(AND(D27="Legitimate Interest (GDPR Art. 6(1)(f))", L27=""), "Gap - Missing LIA", IF(AND(G27="Yes", H27=""), "Gap - Missing Art. 9 Basis", IF(OR(I27="Invalid - Not Freely Given", I27="Invalid - Not Specific", I27="Invalid - Not Informed", I27="Invalid - Ambiguous"), "Gap - Invalid Consent", "Compliant")))))</f>
        <v/>
      </c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IF(D28="Legitimate Interest (GDPR Art. 6(1)(f))", "Yes / Required (Sheet 3)", "")</f>
        <v/>
      </c>
      <c r="L28" s="7" t="n"/>
      <c r="M28" s="7" t="n"/>
      <c r="N28">
        <f>IF(D28="", "Gap - No Legal Basis", IF(AND(D28="Consent (GDPR Art. 6(1)(a))", I28="Not Captured"), "Gap - Invalid Consent", IF(AND(D28="Legitimate Interest (GDPR Art. 6(1)(f))", L28=""), "Gap - Missing LIA", IF(AND(G28="Yes", H28=""), "Gap - Missing Art. 9 Basis", IF(OR(I28="Invalid - Not Freely Given", I28="Invalid - Not Specific", I28="Invalid - Not Informed", I28="Invalid - Ambiguous"), "Gap - Invalid Consent", "Compliant")))))</f>
        <v/>
      </c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IF(D29="Legitimate Interest (GDPR Art. 6(1)(f))", "Yes / Required (Sheet 3)", "")</f>
        <v/>
      </c>
      <c r="L29" s="7" t="n"/>
      <c r="M29" s="7" t="n"/>
      <c r="N29">
        <f>IF(D29="", "Gap - No Legal Basis", IF(AND(D29="Consent (GDPR Art. 6(1)(a))", I29="Not Captured"), "Gap - Invalid Consent", IF(AND(D29="Legitimate Interest (GDPR Art. 6(1)(f))", L29=""), "Gap - Missing LIA", IF(AND(G29="Yes", H29=""), "Gap - Missing Art. 9 Basis", IF(OR(I29="Invalid - Not Freely Given", I29="Invalid - Not Specific", I29="Invalid - Not Informed", I29="Invalid - Ambiguous"), "Gap - Invalid Consent", "Compliant")))))</f>
        <v/>
      </c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IF(D30="Legitimate Interest (GDPR Art. 6(1)(f))", "Yes / Required (Sheet 3)", "")</f>
        <v/>
      </c>
      <c r="L30" s="7" t="n"/>
      <c r="M30" s="7" t="n"/>
      <c r="N30">
        <f>IF(D30="", "Gap - No Legal Basis", IF(AND(D30="Consent (GDPR Art. 6(1)(a))", I30="Not Captured"), "Gap - Invalid Consent", IF(AND(D30="Legitimate Interest (GDPR Art. 6(1)(f))", L30=""), "Gap - Missing LIA", IF(AND(G30="Yes", H30=""), "Gap - Missing Art. 9 Basis", IF(OR(I30="Invalid - Not Freely Given", I30="Invalid - Not Specific", I30="Invalid - Not Informed", I30="Invalid - Ambiguous"), "Gap - Invalid Consent", "Compliant")))))</f>
        <v/>
      </c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IF(D31="Legitimate Interest (GDPR Art. 6(1)(f))", "Yes / Required (Sheet 3)", "")</f>
        <v/>
      </c>
      <c r="L31" s="7" t="n"/>
      <c r="M31" s="7" t="n"/>
      <c r="N31">
        <f>IF(D31="", "Gap - No Legal Basis", IF(AND(D31="Consent (GDPR Art. 6(1)(a))", I31="Not Captured"), "Gap - Invalid Consent", IF(AND(D31="Legitimate Interest (GDPR Art. 6(1)(f))", L31=""), "Gap - Missing LIA", IF(AND(G31="Yes", H31=""), "Gap - Missing Art. 9 Basis", IF(OR(I31="Invalid - Not Freely Given", I31="Invalid - Not Specific", I31="Invalid - Not Informed", I31="Invalid - Ambiguous"), "Gap - Invalid Consent", "Compliant")))))</f>
        <v/>
      </c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IF(D32="Legitimate Interest (GDPR Art. 6(1)(f))", "Yes / Required (Sheet 3)", "")</f>
        <v/>
      </c>
      <c r="L32" s="7" t="n"/>
      <c r="M32" s="7" t="n"/>
      <c r="N32">
        <f>IF(D32="", "Gap - No Legal Basis", IF(AND(D32="Consent (GDPR Art. 6(1)(a))", I32="Not Captured"), "Gap - Invalid Consent", IF(AND(D32="Legitimate Interest (GDPR Art. 6(1)(f))", L32=""), "Gap - Missing LIA", IF(AND(G32="Yes", H32=""), "Gap - Missing Art. 9 Basis", IF(OR(I32="Invalid - Not Freely Given", I32="Invalid - Not Specific", I32="Invalid - Not Informed", I32="Invalid - Ambiguous"), "Gap - Invalid Consent", "Compliant")))))</f>
        <v/>
      </c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IF(D33="Legitimate Interest (GDPR Art. 6(1)(f))", "Yes / Required (Sheet 3)", "")</f>
        <v/>
      </c>
      <c r="L33" s="7" t="n"/>
      <c r="M33" s="7" t="n"/>
      <c r="N33">
        <f>IF(D33="", "Gap - No Legal Basis", IF(AND(D33="Consent (GDPR Art. 6(1)(a))", I33="Not Captured"), "Gap - Invalid Consent", IF(AND(D33="Legitimate Interest (GDPR Art. 6(1)(f))", L33=""), "Gap - Missing LIA", IF(AND(G33="Yes", H33=""), "Gap - Missing Art. 9 Basis", IF(OR(I33="Invalid - Not Freely Given", I33="Invalid - Not Specific", I33="Invalid - Not Informed", I33="Invalid - Ambiguous"), "Gap - Invalid Consent", "Compliant")))))</f>
        <v/>
      </c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IF(D34="Legitimate Interest (GDPR Art. 6(1)(f))", "Yes / Required (Sheet 3)", "")</f>
        <v/>
      </c>
      <c r="L34" s="7" t="n"/>
      <c r="M34" s="7" t="n"/>
      <c r="N34">
        <f>IF(D34="", "Gap - No Legal Basis", IF(AND(D34="Consent (GDPR Art. 6(1)(a))", I34="Not Captured"), "Gap - Invalid Consent", IF(AND(D34="Legitimate Interest (GDPR Art. 6(1)(f))", L34=""), "Gap - Missing LIA", IF(AND(G34="Yes", H34=""), "Gap - Missing Art. 9 Basis", IF(OR(I34="Invalid - Not Freely Given", I34="Invalid - Not Specific", I34="Invalid - Not Informed", I34="Invalid - Ambiguous"), "Gap - Invalid Consent", "Compliant")))))</f>
        <v/>
      </c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IF(D35="Legitimate Interest (GDPR Art. 6(1)(f))", "Yes / Required (Sheet 3)", "")</f>
        <v/>
      </c>
      <c r="L35" s="7" t="n"/>
      <c r="M35" s="7" t="n"/>
      <c r="N35">
        <f>IF(D35="", "Gap - No Legal Basis", IF(AND(D35="Consent (GDPR Art. 6(1)(a))", I35="Not Captured"), "Gap - Invalid Consent", IF(AND(D35="Legitimate Interest (GDPR Art. 6(1)(f))", L35=""), "Gap - Missing LIA", IF(AND(G35="Yes", H35=""), "Gap - Missing Art. 9 Basis", IF(OR(I35="Invalid - Not Freely Given", I35="Invalid - Not Specific", I35="Invalid - Not Informed", I35="Invalid - Ambiguous"), "Gap - Invalid Consent", "Compliant")))))</f>
        <v/>
      </c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IF(D36="Legitimate Interest (GDPR Art. 6(1)(f))", "Yes / Required (Sheet 3)", "")</f>
        <v/>
      </c>
      <c r="L36" s="7" t="n"/>
      <c r="M36" s="7" t="n"/>
      <c r="N36">
        <f>IF(D36="", "Gap - No Legal Basis", IF(AND(D36="Consent (GDPR Art. 6(1)(a))", I36="Not Captured"), "Gap - Invalid Consent", IF(AND(D36="Legitimate Interest (GDPR Art. 6(1)(f))", L36=""), "Gap - Missing LIA", IF(AND(G36="Yes", H36=""), "Gap - Missing Art. 9 Basis", IF(OR(I36="Invalid - Not Freely Given", I36="Invalid - Not Specific", I36="Invalid - Not Informed", I36="Invalid - Ambiguous"), "Gap - Invalid Consent", "Compliant")))))</f>
        <v/>
      </c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IF(D37="Legitimate Interest (GDPR Art. 6(1)(f))", "Yes / Required (Sheet 3)", "")</f>
        <v/>
      </c>
      <c r="L37" s="7" t="n"/>
      <c r="M37" s="7" t="n"/>
      <c r="N37">
        <f>IF(D37="", "Gap - No Legal Basis", IF(AND(D37="Consent (GDPR Art. 6(1)(a))", I37="Not Captured"), "Gap - Invalid Consent", IF(AND(D37="Legitimate Interest (GDPR Art. 6(1)(f))", L37=""), "Gap - Missing LIA", IF(AND(G37="Yes", H37=""), "Gap - Missing Art. 9 Basis", IF(OR(I37="Invalid - Not Freely Given", I37="Invalid - Not Specific", I37="Invalid - Not Informed", I37="Invalid - Ambiguous"), "Gap - Invalid Consent", "Compliant")))))</f>
        <v/>
      </c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IF(D38="Legitimate Interest (GDPR Art. 6(1)(f))", "Yes / Required (Sheet 3)", "")</f>
        <v/>
      </c>
      <c r="L38" s="7" t="n"/>
      <c r="M38" s="7" t="n"/>
      <c r="N38">
        <f>IF(D38="", "Gap - No Legal Basis", IF(AND(D38="Consent (GDPR Art. 6(1)(a))", I38="Not Captured"), "Gap - Invalid Consent", IF(AND(D38="Legitimate Interest (GDPR Art. 6(1)(f))", L38=""), "Gap - Missing LIA", IF(AND(G38="Yes", H38=""), "Gap - Missing Art. 9 Basis", IF(OR(I38="Invalid - Not Freely Given", I38="Invalid - Not Specific", I38="Invalid - Not Informed", I38="Invalid - Ambiguous"), "Gap - Invalid Consent", "Compliant")))))</f>
        <v/>
      </c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IF(D39="Legitimate Interest (GDPR Art. 6(1)(f))", "Yes / Required (Sheet 3)", "")</f>
        <v/>
      </c>
      <c r="L39" s="7" t="n"/>
      <c r="M39" s="7" t="n"/>
      <c r="N39">
        <f>IF(D39="", "Gap - No Legal Basis", IF(AND(D39="Consent (GDPR Art. 6(1)(a))", I39="Not Captured"), "Gap - Invalid Consent", IF(AND(D39="Legitimate Interest (GDPR Art. 6(1)(f))", L39=""), "Gap - Missing LIA", IF(AND(G39="Yes", H39=""), "Gap - Missing Art. 9 Basis", IF(OR(I39="Invalid - Not Freely Given", I39="Invalid - Not Specific", I39="Invalid - Not Informed", I39="Invalid - Ambiguous"), "Gap - Invalid Consent", "Compliant")))))</f>
        <v/>
      </c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IF(D40="Legitimate Interest (GDPR Art. 6(1)(f))", "Yes / Required (Sheet 3)", "")</f>
        <v/>
      </c>
      <c r="L40" s="7" t="n"/>
      <c r="M40" s="7" t="n"/>
      <c r="N40">
        <f>IF(D40="", "Gap - No Legal Basis", IF(AND(D40="Consent (GDPR Art. 6(1)(a))", I40="Not Captured"), "Gap - Invalid Consent", IF(AND(D40="Legitimate Interest (GDPR Art. 6(1)(f))", L40=""), "Gap - Missing LIA", IF(AND(G40="Yes", H40=""), "Gap - Missing Art. 9 Basis", IF(OR(I40="Invalid - Not Freely Given", I40="Invalid - Not Specific", I40="Invalid - Not Informed", I40="Invalid - Ambiguous"), "Gap - Invalid Consent", "Compliant")))))</f>
        <v/>
      </c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IF(D41="Legitimate Interest (GDPR Art. 6(1)(f))", "Yes / Required (Sheet 3)", "")</f>
        <v/>
      </c>
      <c r="L41" s="7" t="n"/>
      <c r="M41" s="7" t="n"/>
      <c r="N41">
        <f>IF(D41="", "Gap - No Legal Basis", IF(AND(D41="Consent (GDPR Art. 6(1)(a))", I41="Not Captured"), "Gap - Invalid Consent", IF(AND(D41="Legitimate Interest (GDPR Art. 6(1)(f))", L41=""), "Gap - Missing LIA", IF(AND(G41="Yes", H41=""), "Gap - Missing Art. 9 Basis", IF(OR(I41="Invalid - Not Freely Given", I41="Invalid - Not Specific", I41="Invalid - Not Informed", I41="Invalid - Ambiguous"), "Gap - Invalid Consent", "Compliant")))))</f>
        <v/>
      </c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IF(D42="Legitimate Interest (GDPR Art. 6(1)(f))", "Yes / Required (Sheet 3)", "")</f>
        <v/>
      </c>
      <c r="L42" s="7" t="n"/>
      <c r="M42" s="7" t="n"/>
      <c r="N42">
        <f>IF(D42="", "Gap - No Legal Basis", IF(AND(D42="Consent (GDPR Art. 6(1)(a))", I42="Not Captured"), "Gap - Invalid Consent", IF(AND(D42="Legitimate Interest (GDPR Art. 6(1)(f))", L42=""), "Gap - Missing LIA", IF(AND(G42="Yes", H42=""), "Gap - Missing Art. 9 Basis", IF(OR(I42="Invalid - Not Freely Given", I42="Invalid - Not Specific", I42="Invalid - Not Informed", I42="Invalid - Ambiguous"), "Gap - Invalid Consent", "Compliant")))))</f>
        <v/>
      </c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IF(D43="Legitimate Interest (GDPR Art. 6(1)(f))", "Yes / Required (Sheet 3)", "")</f>
        <v/>
      </c>
      <c r="L43" s="7" t="n"/>
      <c r="M43" s="7" t="n"/>
      <c r="N43">
        <f>IF(D43="", "Gap - No Legal Basis", IF(AND(D43="Consent (GDPR Art. 6(1)(a))", I43="Not Captured"), "Gap - Invalid Consent", IF(AND(D43="Legitimate Interest (GDPR Art. 6(1)(f))", L43=""), "Gap - Missing LIA", IF(AND(G43="Yes", H43=""), "Gap - Missing Art. 9 Basis", IF(OR(I43="Invalid - Not Freely Given", I43="Invalid - Not Specific", I43="Invalid - Not Informed", I43="Invalid - Ambiguous"), "Gap - Invalid Consent", "Compliant")))))</f>
        <v/>
      </c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IF(D44="Legitimate Interest (GDPR Art. 6(1)(f))", "Yes / Required (Sheet 3)", "")</f>
        <v/>
      </c>
      <c r="L44" s="7" t="n"/>
      <c r="M44" s="7" t="n"/>
      <c r="N44">
        <f>IF(D44="", "Gap - No Legal Basis", IF(AND(D44="Consent (GDPR Art. 6(1)(a))", I44="Not Captured"), "Gap - Invalid Consent", IF(AND(D44="Legitimate Interest (GDPR Art. 6(1)(f))", L44=""), "Gap - Missing LIA", IF(AND(G44="Yes", H44=""), "Gap - Missing Art. 9 Basis", IF(OR(I44="Invalid - Not Freely Given", I44="Invalid - Not Specific", I44="Invalid - Not Informed", I44="Invalid - Ambiguous"), "Gap - Invalid Consent", "Compliant")))))</f>
        <v/>
      </c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IF(D45="Legitimate Interest (GDPR Art. 6(1)(f))", "Yes / Required (Sheet 3)", "")</f>
        <v/>
      </c>
      <c r="L45" s="7" t="n"/>
      <c r="M45" s="7" t="n"/>
      <c r="N45">
        <f>IF(D45="", "Gap - No Legal Basis", IF(AND(D45="Consent (GDPR Art. 6(1)(a))", I45="Not Captured"), "Gap - Invalid Consent", IF(AND(D45="Legitimate Interest (GDPR Art. 6(1)(f))", L45=""), "Gap - Missing LIA", IF(AND(G45="Yes", H45=""), "Gap - Missing Art. 9 Basis", IF(OR(I45="Invalid - Not Freely Given", I45="Invalid - Not Specific", I45="Invalid - Not Informed", I45="Invalid - Ambiguous"), "Gap - Invalid Consent", "Compliant")))))</f>
        <v/>
      </c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IF(D46="Legitimate Interest (GDPR Art. 6(1)(f))", "Yes / Required (Sheet 3)", "")</f>
        <v/>
      </c>
      <c r="L46" s="7" t="n"/>
      <c r="M46" s="7" t="n"/>
      <c r="N46">
        <f>IF(D46="", "Gap - No Legal Basis", IF(AND(D46="Consent (GDPR Art. 6(1)(a))", I46="Not Captured"), "Gap - Invalid Consent", IF(AND(D46="Legitimate Interest (GDPR Art. 6(1)(f))", L46=""), "Gap - Missing LIA", IF(AND(G46="Yes", H46=""), "Gap - Missing Art. 9 Basis", IF(OR(I46="Invalid - Not Freely Given", I46="Invalid - Not Specific", I46="Invalid - Not Informed", I46="Invalid - Ambiguous"), "Gap - Invalid Consent", "Compliant")))))</f>
        <v/>
      </c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IF(D47="Legitimate Interest (GDPR Art. 6(1)(f))", "Yes / Required (Sheet 3)", "")</f>
        <v/>
      </c>
      <c r="L47" s="7" t="n"/>
      <c r="M47" s="7" t="n"/>
      <c r="N47">
        <f>IF(D47="", "Gap - No Legal Basis", IF(AND(D47="Consent (GDPR Art. 6(1)(a))", I47="Not Captured"), "Gap - Invalid Consent", IF(AND(D47="Legitimate Interest (GDPR Art. 6(1)(f))", L47=""), "Gap - Missing LIA", IF(AND(G47="Yes", H47=""), "Gap - Missing Art. 9 Basis", IF(OR(I47="Invalid - Not Freely Given", I47="Invalid - Not Specific", I47="Invalid - Not Informed", I47="Invalid - Ambiguous"), "Gap - Invalid Consent", "Compliant")))))</f>
        <v/>
      </c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IF(D48="Legitimate Interest (GDPR Art. 6(1)(f))", "Yes / Required (Sheet 3)", "")</f>
        <v/>
      </c>
      <c r="L48" s="7" t="n"/>
      <c r="M48" s="7" t="n"/>
      <c r="N48">
        <f>IF(D48="", "Gap - No Legal Basis", IF(AND(D48="Consent (GDPR Art. 6(1)(a))", I48="Not Captured"), "Gap - Invalid Consent", IF(AND(D48="Legitimate Interest (GDPR Art. 6(1)(f))", L48=""), "Gap - Missing LIA", IF(AND(G48="Yes", H48=""), "Gap - Missing Art. 9 Basis", IF(OR(I48="Invalid - Not Freely Given", I48="Invalid - Not Specific", I48="Invalid - Not Informed", I48="Invalid - Ambiguous"), "Gap - Invalid Consent", "Compliant")))))</f>
        <v/>
      </c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IF(D49="Legitimate Interest (GDPR Art. 6(1)(f))", "Yes / Required (Sheet 3)", "")</f>
        <v/>
      </c>
      <c r="L49" s="7" t="n"/>
      <c r="M49" s="7" t="n"/>
      <c r="N49">
        <f>IF(D49="", "Gap - No Legal Basis", IF(AND(D49="Consent (GDPR Art. 6(1)(a))", I49="Not Captured"), "Gap - Invalid Consent", IF(AND(D49="Legitimate Interest (GDPR Art. 6(1)(f))", L49=""), "Gap - Missing LIA", IF(AND(G49="Yes", H49=""), "Gap - Missing Art. 9 Basis", IF(OR(I49="Invalid - Not Freely Given", I49="Invalid - Not Specific", I49="Invalid - Not Informed", I49="Invalid - Ambiguous"), "Gap - Invalid Consent", "Compliant")))))</f>
        <v/>
      </c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IF(D50="Legitimate Interest (GDPR Art. 6(1)(f))", "Yes / Required (Sheet 3)", "")</f>
        <v/>
      </c>
      <c r="L50" s="7" t="n"/>
      <c r="M50" s="7" t="n"/>
      <c r="N50">
        <f>IF(D50="", "Gap - No Legal Basis", IF(AND(D50="Consent (GDPR Art. 6(1)(a))", I50="Not Captured"), "Gap - Invalid Consent", IF(AND(D50="Legitimate Interest (GDPR Art. 6(1)(f))", L50=""), "Gap - Missing LIA", IF(AND(G50="Yes", H50=""), "Gap - Missing Art. 9 Basis", IF(OR(I50="Invalid - Not Freely Given", I50="Invalid - Not Specific", I50="Invalid - Not Informed", I50="Invalid - Ambiguous"), "Gap - Invalid Consent", "Compliant")))))</f>
        <v/>
      </c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IF(D51="Legitimate Interest (GDPR Art. 6(1)(f))", "Yes / Required (Sheet 3)", "")</f>
        <v/>
      </c>
      <c r="L51" s="7" t="n"/>
      <c r="M51" s="7" t="n"/>
      <c r="N51">
        <f>IF(D51="", "Gap - No Legal Basis", IF(AND(D51="Consent (GDPR Art. 6(1)(a))", I51="Not Captured"), "Gap - Invalid Consent", IF(AND(D51="Legitimate Interest (GDPR Art. 6(1)(f))", L51=""), "Gap - Missing LIA", IF(AND(G51="Yes", H51=""), "Gap - Missing Art. 9 Basis", IF(OR(I51="Invalid - Not Freely Given", I51="Invalid - Not Specific", I51="Invalid - Not Informed", I51="Invalid - Ambiguous"), "Gap - Invalid Consent", "Compliant")))))</f>
        <v/>
      </c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IF(D52="Legitimate Interest (GDPR Art. 6(1)(f))", "Yes / Required (Sheet 3)", "")</f>
        <v/>
      </c>
      <c r="L52" s="7" t="n"/>
      <c r="M52" s="7" t="n"/>
      <c r="N52">
        <f>IF(D52="", "Gap - No Legal Basis", IF(AND(D52="Consent (GDPR Art. 6(1)(a))", I52="Not Captured"), "Gap - Invalid Consent", IF(AND(D52="Legitimate Interest (GDPR Art. 6(1)(f))", L52=""), "Gap - Missing LIA", IF(AND(G52="Yes", H52=""), "Gap - Missing Art. 9 Basis", IF(OR(I52="Invalid - Not Freely Given", I52="Invalid - Not Specific", I52="Invalid - Not Informed", I52="Invalid - Ambiguous"), "Gap - Invalid Consent", "Compliant")))))</f>
        <v/>
      </c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IF(D53="Legitimate Interest (GDPR Art. 6(1)(f))", "Yes / Required (Sheet 3)", "")</f>
        <v/>
      </c>
      <c r="L53" s="7" t="n"/>
      <c r="M53" s="7" t="n"/>
      <c r="N53">
        <f>IF(D53="", "Gap - No Legal Basis", IF(AND(D53="Consent (GDPR Art. 6(1)(a))", I53="Not Captured"), "Gap - Invalid Consent", IF(AND(D53="Legitimate Interest (GDPR Art. 6(1)(f))", L53=""), "Gap - Missing LIA", IF(AND(G53="Yes", H53=""), "Gap - Missing Art. 9 Basis", IF(OR(I53="Invalid - Not Freely Given", I53="Invalid - Not Specific", I53="Invalid - Not Informed", I53="Invalid - Ambiguous"), "Gap - Invalid Consent", "Compliant")))))</f>
        <v/>
      </c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IF(D54="Legitimate Interest (GDPR Art. 6(1)(f))", "Yes / Required (Sheet 3)", "")</f>
        <v/>
      </c>
      <c r="L54" s="7" t="n"/>
      <c r="M54" s="7" t="n"/>
      <c r="N54">
        <f>IF(D54="", "Gap - No Legal Basis", IF(AND(D54="Consent (GDPR Art. 6(1)(a))", I54="Not Captured"), "Gap - Invalid Consent", IF(AND(D54="Legitimate Interest (GDPR Art. 6(1)(f))", L54=""), "Gap - Missing LIA", IF(AND(G54="Yes", H54=""), "Gap - Missing Art. 9 Basis", IF(OR(I54="Invalid - Not Freely Given", I54="Invalid - Not Specific", I54="Invalid - Not Informed", I54="Invalid - Ambiguous"), "Gap - Invalid Consent", "Compliant")))))</f>
        <v/>
      </c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IF(D55="Legitimate Interest (GDPR Art. 6(1)(f))", "Yes / Required (Sheet 3)", "")</f>
        <v/>
      </c>
      <c r="L55" s="7" t="n"/>
      <c r="M55" s="7" t="n"/>
      <c r="N55">
        <f>IF(D55="", "Gap - No Legal Basis", IF(AND(D55="Consent (GDPR Art. 6(1)(a))", I55="Not Captured"), "Gap - Invalid Consent", IF(AND(D55="Legitimate Interest (GDPR Art. 6(1)(f))", L55=""), "Gap - Missing LIA", IF(AND(G55="Yes", H55=""), "Gap - Missing Art. 9 Basis", IF(OR(I55="Invalid - Not Freely Given", I55="Invalid - Not Specific", I55="Invalid - Not Informed", I55="Invalid - Ambiguous"), "Gap - Invalid Consent", "Compliant")))))</f>
        <v/>
      </c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IF(D56="Legitimate Interest (GDPR Art. 6(1)(f))", "Yes / Required (Sheet 3)", "")</f>
        <v/>
      </c>
      <c r="L56" s="7" t="n"/>
      <c r="M56" s="7" t="n"/>
      <c r="N56">
        <f>IF(D56="", "Gap - No Legal Basis", IF(AND(D56="Consent (GDPR Art. 6(1)(a))", I56="Not Captured"), "Gap - Invalid Consent", IF(AND(D56="Legitimate Interest (GDPR Art. 6(1)(f))", L56=""), "Gap - Missing LIA", IF(AND(G56="Yes", H56=""), "Gap - Missing Art. 9 Basis", IF(OR(I56="Invalid - Not Freely Given", I56="Invalid - Not Specific", I56="Invalid - Not Informed", I56="Invalid - Ambiguous"), "Gap - Invalid Consent", "Compliant")))))</f>
        <v/>
      </c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IF(D57="Legitimate Interest (GDPR Art. 6(1)(f))", "Yes / Required (Sheet 3)", "")</f>
        <v/>
      </c>
      <c r="L57" s="7" t="n"/>
      <c r="M57" s="7" t="n"/>
      <c r="N57">
        <f>IF(D57="", "Gap - No Legal Basis", IF(AND(D57="Consent (GDPR Art. 6(1)(a))", I57="Not Captured"), "Gap - Invalid Consent", IF(AND(D57="Legitimate Interest (GDPR Art. 6(1)(f))", L57=""), "Gap - Missing LIA", IF(AND(G57="Yes", H57=""), "Gap - Missing Art. 9 Basis", IF(OR(I57="Invalid - Not Freely Given", I57="Invalid - Not Specific", I57="Invalid - Not Informed", I57="Invalid - Ambiguous"), "Gap - Invalid Consent", "Compliant")))))</f>
        <v/>
      </c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IF(D58="Legitimate Interest (GDPR Art. 6(1)(f))", "Yes / Required (Sheet 3)", "")</f>
        <v/>
      </c>
      <c r="L58" s="7" t="n"/>
      <c r="M58" s="7" t="n"/>
      <c r="N58">
        <f>IF(D58="", "Gap - No Legal Basis", IF(AND(D58="Consent (GDPR Art. 6(1)(a))", I58="Not Captured"), "Gap - Invalid Consent", IF(AND(D58="Legitimate Interest (GDPR Art. 6(1)(f))", L58=""), "Gap - Missing LIA", IF(AND(G58="Yes", H58=""), "Gap - Missing Art. 9 Basis", IF(OR(I58="Invalid - Not Freely Given", I58="Invalid - Not Specific", I58="Invalid - Not Informed", I58="Invalid - Ambiguous"), "Gap - Invalid Consent", "Compliant")))))</f>
        <v/>
      </c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IF(D59="Legitimate Interest (GDPR Art. 6(1)(f))", "Yes / Required (Sheet 3)", "")</f>
        <v/>
      </c>
      <c r="L59" s="7" t="n"/>
      <c r="M59" s="7" t="n"/>
      <c r="N59">
        <f>IF(D59="", "Gap - No Legal Basis", IF(AND(D59="Consent (GDPR Art. 6(1)(a))", I59="Not Captured"), "Gap - Invalid Consent", IF(AND(D59="Legitimate Interest (GDPR Art. 6(1)(f))", L59=""), "Gap - Missing LIA", IF(AND(G59="Yes", H59=""), "Gap - Missing Art. 9 Basis", IF(OR(I59="Invalid - Not Freely Given", I59="Invalid - Not Specific", I59="Invalid - Not Informed", I59="Invalid - Ambiguous"), "Gap - Invalid Consent", "Compliant")))))</f>
        <v/>
      </c>
      <c r="O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IF(D60="Legitimate Interest (GDPR Art. 6(1)(f))", "Yes / Required (Sheet 3)", "")</f>
        <v/>
      </c>
      <c r="L60" s="7" t="n"/>
      <c r="M60" s="7" t="n"/>
      <c r="N60">
        <f>IF(D60="", "Gap - No Legal Basis", IF(AND(D60="Consent (GDPR Art. 6(1)(a))", I60="Not Captured"), "Gap - Invalid Consent", IF(AND(D60="Legitimate Interest (GDPR Art. 6(1)(f))", L60=""), "Gap - Missing LIA", IF(AND(G60="Yes", H60=""), "Gap - Missing Art. 9 Basis", IF(OR(I60="Invalid - Not Freely Given", I60="Invalid - Not Specific", I60="Invalid - Not Informed", I60="Invalid - Ambiguous"), "Gap - Invalid Consent", "Compliant")))))</f>
        <v/>
      </c>
      <c r="O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IF(D61="Legitimate Interest (GDPR Art. 6(1)(f))", "Yes / Required (Sheet 3)", "")</f>
        <v/>
      </c>
      <c r="L61" s="7" t="n"/>
      <c r="M61" s="7" t="n"/>
      <c r="N61">
        <f>IF(D61="", "Gap - No Legal Basis", IF(AND(D61="Consent (GDPR Art. 6(1)(a))", I61="Not Captured"), "Gap - Invalid Consent", IF(AND(D61="Legitimate Interest (GDPR Art. 6(1)(f))", L61=""), "Gap - Missing LIA", IF(AND(G61="Yes", H61=""), "Gap - Missing Art. 9 Basis", IF(OR(I61="Invalid - Not Freely Given", I61="Invalid - Not Specific", I61="Invalid - Not Informed", I61="Invalid - Ambiguous"), "Gap - Invalid Consent", "Compliant")))))</f>
        <v/>
      </c>
      <c r="O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IF(D62="Legitimate Interest (GDPR Art. 6(1)(f))", "Yes / Required (Sheet 3)", "")</f>
        <v/>
      </c>
      <c r="L62" s="7" t="n"/>
      <c r="M62" s="7" t="n"/>
      <c r="N62">
        <f>IF(D62="", "Gap - No Legal Basis", IF(AND(D62="Consent (GDPR Art. 6(1)(a))", I62="Not Captured"), "Gap - Invalid Consent", IF(AND(D62="Legitimate Interest (GDPR Art. 6(1)(f))", L62=""), "Gap - Missing LIA", IF(AND(G62="Yes", H62=""), "Gap - Missing Art. 9 Basis", IF(OR(I62="Invalid - Not Freely Given", I62="Invalid - Not Specific", I62="Invalid - Not Informed", I62="Invalid - Ambiguous"), "Gap - Invalid Consent", "Compliant")))))</f>
        <v/>
      </c>
      <c r="O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IF(D63="Legitimate Interest (GDPR Art. 6(1)(f))", "Yes / Required (Sheet 3)", "")</f>
        <v/>
      </c>
      <c r="L63" s="7" t="n"/>
      <c r="M63" s="7" t="n"/>
      <c r="N63">
        <f>IF(D63="", "Gap - No Legal Basis", IF(AND(D63="Consent (GDPR Art. 6(1)(a))", I63="Not Captured"), "Gap - Invalid Consent", IF(AND(D63="Legitimate Interest (GDPR Art. 6(1)(f))", L63=""), "Gap - Missing LIA", IF(AND(G63="Yes", H63=""), "Gap - Missing Art. 9 Basis", IF(OR(I63="Invalid - Not Freely Given", I63="Invalid - Not Specific", I63="Invalid - Not Informed", I63="Invalid - Ambiguous"), "Gap - Invalid Consent", "Compliant")))))</f>
        <v/>
      </c>
      <c r="O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IF(D64="Legitimate Interest (GDPR Art. 6(1)(f))", "Yes / Required (Sheet 3)", "")</f>
        <v/>
      </c>
      <c r="L64" s="7" t="n"/>
      <c r="M64" s="7" t="n"/>
      <c r="N64">
        <f>IF(D64="", "Gap - No Legal Basis", IF(AND(D64="Consent (GDPR Art. 6(1)(a))", I64="Not Captured"), "Gap - Invalid Consent", IF(AND(D64="Legitimate Interest (GDPR Art. 6(1)(f))", L64=""), "Gap - Missing LIA", IF(AND(G64="Yes", H64=""), "Gap - Missing Art. 9 Basis", IF(OR(I64="Invalid - Not Freely Given", I64="Invalid - Not Specific", I64="Invalid - Not Informed", I64="Invalid - Ambiguous"), "Gap - Invalid Consent", "Compliant")))))</f>
        <v/>
      </c>
      <c r="O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IF(D65="Legitimate Interest (GDPR Art. 6(1)(f))", "Yes / Required (Sheet 3)", "")</f>
        <v/>
      </c>
      <c r="L65" s="7" t="n"/>
      <c r="M65" s="7" t="n"/>
      <c r="N65">
        <f>IF(D65="", "Gap - No Legal Basis", IF(AND(D65="Consent (GDPR Art. 6(1)(a))", I65="Not Captured"), "Gap - Invalid Consent", IF(AND(D65="Legitimate Interest (GDPR Art. 6(1)(f))", L65=""), "Gap - Missing LIA", IF(AND(G65="Yes", H65=""), "Gap - Missing Art. 9 Basis", IF(OR(I65="Invalid - Not Freely Given", I65="Invalid - Not Specific", I65="Invalid - Not Informed", I65="Invalid - Ambiguous"), "Gap - Invalid Consent", "Compliant")))))</f>
        <v/>
      </c>
      <c r="O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IF(D66="Legitimate Interest (GDPR Art. 6(1)(f))", "Yes / Required (Sheet 3)", "")</f>
        <v/>
      </c>
      <c r="L66" s="7" t="n"/>
      <c r="M66" s="7" t="n"/>
      <c r="N66">
        <f>IF(D66="", "Gap - No Legal Basis", IF(AND(D66="Consent (GDPR Art. 6(1)(a))", I66="Not Captured"), "Gap - Invalid Consent", IF(AND(D66="Legitimate Interest (GDPR Art. 6(1)(f))", L66=""), "Gap - Missing LIA", IF(AND(G66="Yes", H66=""), "Gap - Missing Art. 9 Basis", IF(OR(I66="Invalid - Not Freely Given", I66="Invalid - Not Specific", I66="Invalid - Not Informed", I66="Invalid - Ambiguous"), "Gap - Invalid Consent", "Compliant")))))</f>
        <v/>
      </c>
      <c r="O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IF(D67="Legitimate Interest (GDPR Art. 6(1)(f))", "Yes / Required (Sheet 3)", "")</f>
        <v/>
      </c>
      <c r="L67" s="7" t="n"/>
      <c r="M67" s="7" t="n"/>
      <c r="N67">
        <f>IF(D67="", "Gap - No Legal Basis", IF(AND(D67="Consent (GDPR Art. 6(1)(a))", I67="Not Captured"), "Gap - Invalid Consent", IF(AND(D67="Legitimate Interest (GDPR Art. 6(1)(f))", L67=""), "Gap - Missing LIA", IF(AND(G67="Yes", H67=""), "Gap - Missing Art. 9 Basis", IF(OR(I67="Invalid - Not Freely Given", I67="Invalid - Not Specific", I67="Invalid - Not Informed", I67="Invalid - Ambiguous"), "Gap - Invalid Consent", "Compliant")))))</f>
        <v/>
      </c>
      <c r="O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IF(D68="Legitimate Interest (GDPR Art. 6(1)(f))", "Yes / Required (Sheet 3)", "")</f>
        <v/>
      </c>
      <c r="L68" s="7" t="n"/>
      <c r="M68" s="7" t="n"/>
      <c r="N68">
        <f>IF(D68="", "Gap - No Legal Basis", IF(AND(D68="Consent (GDPR Art. 6(1)(a))", I68="Not Captured"), "Gap - Invalid Consent", IF(AND(D68="Legitimate Interest (GDPR Art. 6(1)(f))", L68=""), "Gap - Missing LIA", IF(AND(G68="Yes", H68=""), "Gap - Missing Art. 9 Basis", IF(OR(I68="Invalid - Not Freely Given", I68="Invalid - Not Specific", I68="Invalid - Not Informed", I68="Invalid - Ambiguous"), "Gap - Invalid Consent", "Compliant")))))</f>
        <v/>
      </c>
      <c r="O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IF(D69="Legitimate Interest (GDPR Art. 6(1)(f))", "Yes / Required (Sheet 3)", "")</f>
        <v/>
      </c>
      <c r="L69" s="7" t="n"/>
      <c r="M69" s="7" t="n"/>
      <c r="N69">
        <f>IF(D69="", "Gap - No Legal Basis", IF(AND(D69="Consent (GDPR Art. 6(1)(a))", I69="Not Captured"), "Gap - Invalid Consent", IF(AND(D69="Legitimate Interest (GDPR Art. 6(1)(f))", L69=""), "Gap - Missing LIA", IF(AND(G69="Yes", H69=""), "Gap - Missing Art. 9 Basis", IF(OR(I69="Invalid - Not Freely Given", I69="Invalid - Not Specific", I69="Invalid - Not Informed", I69="Invalid - Ambiguous"), "Gap - Invalid Consent", "Compliant")))))</f>
        <v/>
      </c>
      <c r="O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IF(D70="Legitimate Interest (GDPR Art. 6(1)(f))", "Yes / Required (Sheet 3)", "")</f>
        <v/>
      </c>
      <c r="L70" s="7" t="n"/>
      <c r="M70" s="7" t="n"/>
      <c r="N70">
        <f>IF(D70="", "Gap - No Legal Basis", IF(AND(D70="Consent (GDPR Art. 6(1)(a))", I70="Not Captured"), "Gap - Invalid Consent", IF(AND(D70="Legitimate Interest (GDPR Art. 6(1)(f))", L70=""), "Gap - Missing LIA", IF(AND(G70="Yes", H70=""), "Gap - Missing Art. 9 Basis", IF(OR(I70="Invalid - Not Freely Given", I70="Invalid - Not Specific", I70="Invalid - Not Informed", I70="Invalid - Ambiguous"), "Gap - Invalid Consent", "Compliant")))))</f>
        <v/>
      </c>
      <c r="O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IF(D71="Legitimate Interest (GDPR Art. 6(1)(f))", "Yes / Required (Sheet 3)", "")</f>
        <v/>
      </c>
      <c r="L71" s="7" t="n"/>
      <c r="M71" s="7" t="n"/>
      <c r="N71">
        <f>IF(D71="", "Gap - No Legal Basis", IF(AND(D71="Consent (GDPR Art. 6(1)(a))", I71="Not Captured"), "Gap - Invalid Consent", IF(AND(D71="Legitimate Interest (GDPR Art. 6(1)(f))", L71=""), "Gap - Missing LIA", IF(AND(G71="Yes", H71=""), "Gap - Missing Art. 9 Basis", IF(OR(I71="Invalid - Not Freely Given", I71="Invalid - Not Specific", I71="Invalid - Not Informed", I71="Invalid - Ambiguous"), "Gap - Invalid Consent", "Compliant")))))</f>
        <v/>
      </c>
      <c r="O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IF(D72="Legitimate Interest (GDPR Art. 6(1)(f))", "Yes / Required (Sheet 3)", "")</f>
        <v/>
      </c>
      <c r="L72" s="7" t="n"/>
      <c r="M72" s="7" t="n"/>
      <c r="N72">
        <f>IF(D72="", "Gap - No Legal Basis", IF(AND(D72="Consent (GDPR Art. 6(1)(a))", I72="Not Captured"), "Gap - Invalid Consent", IF(AND(D72="Legitimate Interest (GDPR Art. 6(1)(f))", L72=""), "Gap - Missing LIA", IF(AND(G72="Yes", H72=""), "Gap - Missing Art. 9 Basis", IF(OR(I72="Invalid - Not Freely Given", I72="Invalid - Not Specific", I72="Invalid - Not Informed", I72="Invalid - Ambiguous"), "Gap - Invalid Consent", "Compliant")))))</f>
        <v/>
      </c>
      <c r="O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IF(D73="Legitimate Interest (GDPR Art. 6(1)(f))", "Yes / Required (Sheet 3)", "")</f>
        <v/>
      </c>
      <c r="L73" s="7" t="n"/>
      <c r="M73" s="7" t="n"/>
      <c r="N73">
        <f>IF(D73="", "Gap - No Legal Basis", IF(AND(D73="Consent (GDPR Art. 6(1)(a))", I73="Not Captured"), "Gap - Invalid Consent", IF(AND(D73="Legitimate Interest (GDPR Art. 6(1)(f))", L73=""), "Gap - Missing LIA", IF(AND(G73="Yes", H73=""), "Gap - Missing Art. 9 Basis", IF(OR(I73="Invalid - Not Freely Given", I73="Invalid - Not Specific", I73="Invalid - Not Informed", I73="Invalid - Ambiguous"), "Gap - Invalid Consent", "Compliant")))))</f>
        <v/>
      </c>
      <c r="O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IF(D74="Legitimate Interest (GDPR Art. 6(1)(f))", "Yes / Required (Sheet 3)", "")</f>
        <v/>
      </c>
      <c r="L74" s="7" t="n"/>
      <c r="M74" s="7" t="n"/>
      <c r="N74">
        <f>IF(D74="", "Gap - No Legal Basis", IF(AND(D74="Consent (GDPR Art. 6(1)(a))", I74="Not Captured"), "Gap - Invalid Consent", IF(AND(D74="Legitimate Interest (GDPR Art. 6(1)(f))", L74=""), "Gap - Missing LIA", IF(AND(G74="Yes", H74=""), "Gap - Missing Art. 9 Basis", IF(OR(I74="Invalid - Not Freely Given", I74="Invalid - Not Specific", I74="Invalid - Not Informed", I74="Invalid - Ambiguous"), "Gap - Invalid Consent", "Compliant")))))</f>
        <v/>
      </c>
      <c r="O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IF(D75="Legitimate Interest (GDPR Art. 6(1)(f))", "Yes / Required (Sheet 3)", "")</f>
        <v/>
      </c>
      <c r="L75" s="7" t="n"/>
      <c r="M75" s="7" t="n"/>
      <c r="N75">
        <f>IF(D75="", "Gap - No Legal Basis", IF(AND(D75="Consent (GDPR Art. 6(1)(a))", I75="Not Captured"), "Gap - Invalid Consent", IF(AND(D75="Legitimate Interest (GDPR Art. 6(1)(f))", L75=""), "Gap - Missing LIA", IF(AND(G75="Yes", H75=""), "Gap - Missing Art. 9 Basis", IF(OR(I75="Invalid - Not Freely Given", I75="Invalid - Not Specific", I75="Invalid - Not Informed", I75="Invalid - Ambiguous"), "Gap - Invalid Consent", "Compliant")))))</f>
        <v/>
      </c>
      <c r="O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IF(D76="Legitimate Interest (GDPR Art. 6(1)(f))", "Yes / Required (Sheet 3)", "")</f>
        <v/>
      </c>
      <c r="L76" s="7" t="n"/>
      <c r="M76" s="7" t="n"/>
      <c r="N76">
        <f>IF(D76="", "Gap - No Legal Basis", IF(AND(D76="Consent (GDPR Art. 6(1)(a))", I76="Not Captured"), "Gap - Invalid Consent", IF(AND(D76="Legitimate Interest (GDPR Art. 6(1)(f))", L76=""), "Gap - Missing LIA", IF(AND(G76="Yes", H76=""), "Gap - Missing Art. 9 Basis", IF(OR(I76="Invalid - Not Freely Given", I76="Invalid - Not Specific", I76="Invalid - Not Informed", I76="Invalid - Ambiguous"), "Gap - Invalid Consent", "Compliant")))))</f>
        <v/>
      </c>
      <c r="O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IF(D77="Legitimate Interest (GDPR Art. 6(1)(f))", "Yes / Required (Sheet 3)", "")</f>
        <v/>
      </c>
      <c r="L77" s="7" t="n"/>
      <c r="M77" s="7" t="n"/>
      <c r="N77">
        <f>IF(D77="", "Gap - No Legal Basis", IF(AND(D77="Consent (GDPR Art. 6(1)(a))", I77="Not Captured"), "Gap - Invalid Consent", IF(AND(D77="Legitimate Interest (GDPR Art. 6(1)(f))", L77=""), "Gap - Missing LIA", IF(AND(G77="Yes", H77=""), "Gap - Missing Art. 9 Basis", IF(OR(I77="Invalid - Not Freely Given", I77="Invalid - Not Specific", I77="Invalid - Not Informed", I77="Invalid - Ambiguous"), "Gap - Invalid Consent", "Compliant")))))</f>
        <v/>
      </c>
      <c r="O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IF(D78="Legitimate Interest (GDPR Art. 6(1)(f))", "Yes / Required (Sheet 3)", "")</f>
        <v/>
      </c>
      <c r="L78" s="7" t="n"/>
      <c r="M78" s="7" t="n"/>
      <c r="N78">
        <f>IF(D78="", "Gap - No Legal Basis", IF(AND(D78="Consent (GDPR Art. 6(1)(a))", I78="Not Captured"), "Gap - Invalid Consent", IF(AND(D78="Legitimate Interest (GDPR Art. 6(1)(f))", L78=""), "Gap - Missing LIA", IF(AND(G78="Yes", H78=""), "Gap - Missing Art. 9 Basis", IF(OR(I78="Invalid - Not Freely Given", I78="Invalid - Not Specific", I78="Invalid - Not Informed", I78="Invalid - Ambiguous"), "Gap - Invalid Consent", "Compliant")))))</f>
        <v/>
      </c>
      <c r="O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IF(D79="Legitimate Interest (GDPR Art. 6(1)(f))", "Yes / Required (Sheet 3)", "")</f>
        <v/>
      </c>
      <c r="L79" s="7" t="n"/>
      <c r="M79" s="7" t="n"/>
      <c r="N79">
        <f>IF(D79="", "Gap - No Legal Basis", IF(AND(D79="Consent (GDPR Art. 6(1)(a))", I79="Not Captured"), "Gap - Invalid Consent", IF(AND(D79="Legitimate Interest (GDPR Art. 6(1)(f))", L79=""), "Gap - Missing LIA", IF(AND(G79="Yes", H79=""), "Gap - Missing Art. 9 Basis", IF(OR(I79="Invalid - Not Freely Given", I79="Invalid - Not Specific", I79="Invalid - Not Informed", I79="Invalid - Ambiguous"), "Gap - Invalid Consent", "Compliant")))))</f>
        <v/>
      </c>
      <c r="O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IF(D80="Legitimate Interest (GDPR Art. 6(1)(f))", "Yes / Required (Sheet 3)", "")</f>
        <v/>
      </c>
      <c r="L80" s="7" t="n"/>
      <c r="M80" s="7" t="n"/>
      <c r="N80">
        <f>IF(D80="", "Gap - No Legal Basis", IF(AND(D80="Consent (GDPR Art. 6(1)(a))", I80="Not Captured"), "Gap - Invalid Consent", IF(AND(D80="Legitimate Interest (GDPR Art. 6(1)(f))", L80=""), "Gap - Missing LIA", IF(AND(G80="Yes", H80=""), "Gap - Missing Art. 9 Basis", IF(OR(I80="Invalid - Not Freely Given", I80="Invalid - Not Specific", I80="Invalid - Not Informed", I80="Invalid - Ambiguous"), "Gap - Invalid Consent", "Compliant")))))</f>
        <v/>
      </c>
      <c r="O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IF(D81="Legitimate Interest (GDPR Art. 6(1)(f))", "Yes / Required (Sheet 3)", "")</f>
        <v/>
      </c>
      <c r="L81" s="7" t="n"/>
      <c r="M81" s="7" t="n"/>
      <c r="N81">
        <f>IF(D81="", "Gap - No Legal Basis", IF(AND(D81="Consent (GDPR Art. 6(1)(a))", I81="Not Captured"), "Gap - Invalid Consent", IF(AND(D81="Legitimate Interest (GDPR Art. 6(1)(f))", L81=""), "Gap - Missing LIA", IF(AND(G81="Yes", H81=""), "Gap - Missing Art. 9 Basis", IF(OR(I81="Invalid - Not Freely Given", I81="Invalid - Not Specific", I81="Invalid - Not Informed", I81="Invalid - Ambiguous"), "Gap - Invalid Consent", "Compliant")))))</f>
        <v/>
      </c>
      <c r="O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IF(D82="Legitimate Interest (GDPR Art. 6(1)(f))", "Yes / Required (Sheet 3)", "")</f>
        <v/>
      </c>
      <c r="L82" s="7" t="n"/>
      <c r="M82" s="7" t="n"/>
      <c r="N82">
        <f>IF(D82="", "Gap - No Legal Basis", IF(AND(D82="Consent (GDPR Art. 6(1)(a))", I82="Not Captured"), "Gap - Invalid Consent", IF(AND(D82="Legitimate Interest (GDPR Art. 6(1)(f))", L82=""), "Gap - Missing LIA", IF(AND(G82="Yes", H82=""), "Gap - Missing Art. 9 Basis", IF(OR(I82="Invalid - Not Freely Given", I82="Invalid - Not Specific", I82="Invalid - Not Informed", I82="Invalid - Ambiguous"), "Gap - Invalid Consent", "Compliant")))))</f>
        <v/>
      </c>
      <c r="O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IF(D83="Legitimate Interest (GDPR Art. 6(1)(f))", "Yes / Required (Sheet 3)", "")</f>
        <v/>
      </c>
      <c r="L83" s="7" t="n"/>
      <c r="M83" s="7" t="n"/>
      <c r="N83">
        <f>IF(D83="", "Gap - No Legal Basis", IF(AND(D83="Consent (GDPR Art. 6(1)(a))", I83="Not Captured"), "Gap - Invalid Consent", IF(AND(D83="Legitimate Interest (GDPR Art. 6(1)(f))", L83=""), "Gap - Missing LIA", IF(AND(G83="Yes", H83=""), "Gap - Missing Art. 9 Basis", IF(OR(I83="Invalid - Not Freely Given", I83="Invalid - Not Specific", I83="Invalid - Not Informed", I83="Invalid - Ambiguous"), "Gap - Invalid Consent", "Compliant")))))</f>
        <v/>
      </c>
      <c r="O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IF(D84="Legitimate Interest (GDPR Art. 6(1)(f))", "Yes / Required (Sheet 3)", "")</f>
        <v/>
      </c>
      <c r="L84" s="7" t="n"/>
      <c r="M84" s="7" t="n"/>
      <c r="N84">
        <f>IF(D84="", "Gap - No Legal Basis", IF(AND(D84="Consent (GDPR Art. 6(1)(a))", I84="Not Captured"), "Gap - Invalid Consent", IF(AND(D84="Legitimate Interest (GDPR Art. 6(1)(f))", L84=""), "Gap - Missing LIA", IF(AND(G84="Yes", H84=""), "Gap - Missing Art. 9 Basis", IF(OR(I84="Invalid - Not Freely Given", I84="Invalid - Not Specific", I84="Invalid - Not Informed", I84="Invalid - Ambiguous"), "Gap - Invalid Consent", "Compliant")))))</f>
        <v/>
      </c>
      <c r="O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IF(D85="Legitimate Interest (GDPR Art. 6(1)(f))", "Yes / Required (Sheet 3)", "")</f>
        <v/>
      </c>
      <c r="L85" s="7" t="n"/>
      <c r="M85" s="7" t="n"/>
      <c r="N85">
        <f>IF(D85="", "Gap - No Legal Basis", IF(AND(D85="Consent (GDPR Art. 6(1)(a))", I85="Not Captured"), "Gap - Invalid Consent", IF(AND(D85="Legitimate Interest (GDPR Art. 6(1)(f))", L85=""), "Gap - Missing LIA", IF(AND(G85="Yes", H85=""), "Gap - Missing Art. 9 Basis", IF(OR(I85="Invalid - Not Freely Given", I85="Invalid - Not Specific", I85="Invalid - Not Informed", I85="Invalid - Ambiguous"), "Gap - Invalid Consent", "Compliant")))))</f>
        <v/>
      </c>
      <c r="O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IF(D86="Legitimate Interest (GDPR Art. 6(1)(f))", "Yes / Required (Sheet 3)", "")</f>
        <v/>
      </c>
      <c r="L86" s="7" t="n"/>
      <c r="M86" s="7" t="n"/>
      <c r="N86">
        <f>IF(D86="", "Gap - No Legal Basis", IF(AND(D86="Consent (GDPR Art. 6(1)(a))", I86="Not Captured"), "Gap - Invalid Consent", IF(AND(D86="Legitimate Interest (GDPR Art. 6(1)(f))", L86=""), "Gap - Missing LIA", IF(AND(G86="Yes", H86=""), "Gap - Missing Art. 9 Basis", IF(OR(I86="Invalid - Not Freely Given", I86="Invalid - Not Specific", I86="Invalid - Not Informed", I86="Invalid - Ambiguous"), "Gap - Invalid Consent", "Compliant")))))</f>
        <v/>
      </c>
      <c r="O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IF(D87="Legitimate Interest (GDPR Art. 6(1)(f))", "Yes / Required (Sheet 3)", "")</f>
        <v/>
      </c>
      <c r="L87" s="7" t="n"/>
      <c r="M87" s="7" t="n"/>
      <c r="N87">
        <f>IF(D87="", "Gap - No Legal Basis", IF(AND(D87="Consent (GDPR Art. 6(1)(a))", I87="Not Captured"), "Gap - Invalid Consent", IF(AND(D87="Legitimate Interest (GDPR Art. 6(1)(f))", L87=""), "Gap - Missing LIA", IF(AND(G87="Yes", H87=""), "Gap - Missing Art. 9 Basis", IF(OR(I87="Invalid - Not Freely Given", I87="Invalid - Not Specific", I87="Invalid - Not Informed", I87="Invalid - Ambiguous"), "Gap - Invalid Consent", "Compliant")))))</f>
        <v/>
      </c>
      <c r="O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IF(D88="Legitimate Interest (GDPR Art. 6(1)(f))", "Yes / Required (Sheet 3)", "")</f>
        <v/>
      </c>
      <c r="L88" s="7" t="n"/>
      <c r="M88" s="7" t="n"/>
      <c r="N88">
        <f>IF(D88="", "Gap - No Legal Basis", IF(AND(D88="Consent (GDPR Art. 6(1)(a))", I88="Not Captured"), "Gap - Invalid Consent", IF(AND(D88="Legitimate Interest (GDPR Art. 6(1)(f))", L88=""), "Gap - Missing LIA", IF(AND(G88="Yes", H88=""), "Gap - Missing Art. 9 Basis", IF(OR(I88="Invalid - Not Freely Given", I88="Invalid - Not Specific", I88="Invalid - Not Informed", I88="Invalid - Ambiguous"), "Gap - Invalid Consent", "Compliant")))))</f>
        <v/>
      </c>
      <c r="O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IF(D89="Legitimate Interest (GDPR Art. 6(1)(f))", "Yes / Required (Sheet 3)", "")</f>
        <v/>
      </c>
      <c r="L89" s="7" t="n"/>
      <c r="M89" s="7" t="n"/>
      <c r="N89">
        <f>IF(D89="", "Gap - No Legal Basis", IF(AND(D89="Consent (GDPR Art. 6(1)(a))", I89="Not Captured"), "Gap - Invalid Consent", IF(AND(D89="Legitimate Interest (GDPR Art. 6(1)(f))", L89=""), "Gap - Missing LIA", IF(AND(G89="Yes", H89=""), "Gap - Missing Art. 9 Basis", IF(OR(I89="Invalid - Not Freely Given", I89="Invalid - Not Specific", I89="Invalid - Not Informed", I89="Invalid - Ambiguous"), "Gap - Invalid Consent", "Compliant")))))</f>
        <v/>
      </c>
      <c r="O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IF(D90="Legitimate Interest (GDPR Art. 6(1)(f))", "Yes / Required (Sheet 3)", "")</f>
        <v/>
      </c>
      <c r="L90" s="7" t="n"/>
      <c r="M90" s="7" t="n"/>
      <c r="N90">
        <f>IF(D90="", "Gap - No Legal Basis", IF(AND(D90="Consent (GDPR Art. 6(1)(a))", I90="Not Captured"), "Gap - Invalid Consent", IF(AND(D90="Legitimate Interest (GDPR Art. 6(1)(f))", L90=""), "Gap - Missing LIA", IF(AND(G90="Yes", H90=""), "Gap - Missing Art. 9 Basis", IF(OR(I90="Invalid - Not Freely Given", I90="Invalid - Not Specific", I90="Invalid - Not Informed", I90="Invalid - Ambiguous"), "Gap - Invalid Consent", "Compliant")))))</f>
        <v/>
      </c>
      <c r="O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IF(D91="Legitimate Interest (GDPR Art. 6(1)(f))", "Yes / Required (Sheet 3)", "")</f>
        <v/>
      </c>
      <c r="L91" s="7" t="n"/>
      <c r="M91" s="7" t="n"/>
      <c r="N91">
        <f>IF(D91="", "Gap - No Legal Basis", IF(AND(D91="Consent (GDPR Art. 6(1)(a))", I91="Not Captured"), "Gap - Invalid Consent", IF(AND(D91="Legitimate Interest (GDPR Art. 6(1)(f))", L91=""), "Gap - Missing LIA", IF(AND(G91="Yes", H91=""), "Gap - Missing Art. 9 Basis", IF(OR(I91="Invalid - Not Freely Given", I91="Invalid - Not Specific", I91="Invalid - Not Informed", I91="Invalid - Ambiguous"), "Gap - Invalid Consent", "Compliant")))))</f>
        <v/>
      </c>
      <c r="O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IF(D92="Legitimate Interest (GDPR Art. 6(1)(f))", "Yes / Required (Sheet 3)", "")</f>
        <v/>
      </c>
      <c r="L92" s="7" t="n"/>
      <c r="M92" s="7" t="n"/>
      <c r="N92">
        <f>IF(D92="", "Gap - No Legal Basis", IF(AND(D92="Consent (GDPR Art. 6(1)(a))", I92="Not Captured"), "Gap - Invalid Consent", IF(AND(D92="Legitimate Interest (GDPR Art. 6(1)(f))", L92=""), "Gap - Missing LIA", IF(AND(G92="Yes", H92=""), "Gap - Missing Art. 9 Basis", IF(OR(I92="Invalid - Not Freely Given", I92="Invalid - Not Specific", I92="Invalid - Not Informed", I92="Invalid - Ambiguous"), "Gap - Invalid Consent", "Compliant")))))</f>
        <v/>
      </c>
      <c r="O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IF(D93="Legitimate Interest (GDPR Art. 6(1)(f))", "Yes / Required (Sheet 3)", "")</f>
        <v/>
      </c>
      <c r="L93" s="7" t="n"/>
      <c r="M93" s="7" t="n"/>
      <c r="N93">
        <f>IF(D93="", "Gap - No Legal Basis", IF(AND(D93="Consent (GDPR Art. 6(1)(a))", I93="Not Captured"), "Gap - Invalid Consent", IF(AND(D93="Legitimate Interest (GDPR Art. 6(1)(f))", L93=""), "Gap - Missing LIA", IF(AND(G93="Yes", H93=""), "Gap - Missing Art. 9 Basis", IF(OR(I93="Invalid - Not Freely Given", I93="Invalid - Not Specific", I93="Invalid - Not Informed", I93="Invalid - Ambiguous"), "Gap - Invalid Consent", "Compliant")))))</f>
        <v/>
      </c>
      <c r="O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IF(D94="Legitimate Interest (GDPR Art. 6(1)(f))", "Yes / Required (Sheet 3)", "")</f>
        <v/>
      </c>
      <c r="L94" s="7" t="n"/>
      <c r="M94" s="7" t="n"/>
      <c r="N94">
        <f>IF(D94="", "Gap - No Legal Basis", IF(AND(D94="Consent (GDPR Art. 6(1)(a))", I94="Not Captured"), "Gap - Invalid Consent", IF(AND(D94="Legitimate Interest (GDPR Art. 6(1)(f))", L94=""), "Gap - Missing LIA", IF(AND(G94="Yes", H94=""), "Gap - Missing Art. 9 Basis", IF(OR(I94="Invalid - Not Freely Given", I94="Invalid - Not Specific", I94="Invalid - Not Informed", I94="Invalid - Ambiguous"), "Gap - Invalid Consent", "Compliant")))))</f>
        <v/>
      </c>
      <c r="O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IF(D95="Legitimate Interest (GDPR Art. 6(1)(f))", "Yes / Required (Sheet 3)", "")</f>
        <v/>
      </c>
      <c r="L95" s="7" t="n"/>
      <c r="M95" s="7" t="n"/>
      <c r="N95">
        <f>IF(D95="", "Gap - No Legal Basis", IF(AND(D95="Consent (GDPR Art. 6(1)(a))", I95="Not Captured"), "Gap - Invalid Consent", IF(AND(D95="Legitimate Interest (GDPR Art. 6(1)(f))", L95=""), "Gap - Missing LIA", IF(AND(G95="Yes", H95=""), "Gap - Missing Art. 9 Basis", IF(OR(I95="Invalid - Not Freely Given", I95="Invalid - Not Specific", I95="Invalid - Not Informed", I95="Invalid - Ambiguous"), "Gap - Invalid Consent", "Compliant")))))</f>
        <v/>
      </c>
      <c r="O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IF(D96="Legitimate Interest (GDPR Art. 6(1)(f))", "Yes / Required (Sheet 3)", "")</f>
        <v/>
      </c>
      <c r="L96" s="7" t="n"/>
      <c r="M96" s="7" t="n"/>
      <c r="N96">
        <f>IF(D96="", "Gap - No Legal Basis", IF(AND(D96="Consent (GDPR Art. 6(1)(a))", I96="Not Captured"), "Gap - Invalid Consent", IF(AND(D96="Legitimate Interest (GDPR Art. 6(1)(f))", L96=""), "Gap - Missing LIA", IF(AND(G96="Yes", H96=""), "Gap - Missing Art. 9 Basis", IF(OR(I96="Invalid - Not Freely Given", I96="Invalid - Not Specific", I96="Invalid - Not Informed", I96="Invalid - Ambiguous"), "Gap - Invalid Consent", "Compliant")))))</f>
        <v/>
      </c>
      <c r="O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IF(D97="Legitimate Interest (GDPR Art. 6(1)(f))", "Yes / Required (Sheet 3)", "")</f>
        <v/>
      </c>
      <c r="L97" s="7" t="n"/>
      <c r="M97" s="7" t="n"/>
      <c r="N97">
        <f>IF(D97="", "Gap - No Legal Basis", IF(AND(D97="Consent (GDPR Art. 6(1)(a))", I97="Not Captured"), "Gap - Invalid Consent", IF(AND(D97="Legitimate Interest (GDPR Art. 6(1)(f))", L97=""), "Gap - Missing LIA", IF(AND(G97="Yes", H97=""), "Gap - Missing Art. 9 Basis", IF(OR(I97="Invalid - Not Freely Given", I97="Invalid - Not Specific", I97="Invalid - Not Informed", I97="Invalid - Ambiguous"), "Gap - Invalid Consent", "Compliant")))))</f>
        <v/>
      </c>
      <c r="O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IF(D98="Legitimate Interest (GDPR Art. 6(1)(f))", "Yes / Required (Sheet 3)", "")</f>
        <v/>
      </c>
      <c r="L98" s="7" t="n"/>
      <c r="M98" s="7" t="n"/>
      <c r="N98">
        <f>IF(D98="", "Gap - No Legal Basis", IF(AND(D98="Consent (GDPR Art. 6(1)(a))", I98="Not Captured"), "Gap - Invalid Consent", IF(AND(D98="Legitimate Interest (GDPR Art. 6(1)(f))", L98=""), "Gap - Missing LIA", IF(AND(G98="Yes", H98=""), "Gap - Missing Art. 9 Basis", IF(OR(I98="Invalid - Not Freely Given", I98="Invalid - Not Specific", I98="Invalid - Not Informed", I98="Invalid - Ambiguous"), "Gap - Invalid Consent", "Compliant")))))</f>
        <v/>
      </c>
      <c r="O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IF(D99="Legitimate Interest (GDPR Art. 6(1)(f))", "Yes / Required (Sheet 3)", "")</f>
        <v/>
      </c>
      <c r="L99" s="7" t="n"/>
      <c r="M99" s="7" t="n"/>
      <c r="N99">
        <f>IF(D99="", "Gap - No Legal Basis", IF(AND(D99="Consent (GDPR Art. 6(1)(a))", I99="Not Captured"), "Gap - Invalid Consent", IF(AND(D99="Legitimate Interest (GDPR Art. 6(1)(f))", L99=""), "Gap - Missing LIA", IF(AND(G99="Yes", H99=""), "Gap - Missing Art. 9 Basis", IF(OR(I99="Invalid - Not Freely Given", I99="Invalid - Not Specific", I99="Invalid - Not Informed", I99="Invalid - Ambiguous"), "Gap - Invalid Consent", "Compliant")))))</f>
        <v/>
      </c>
      <c r="O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IF(D100="Legitimate Interest (GDPR Art. 6(1)(f))", "Yes / Required (Sheet 3)", "")</f>
        <v/>
      </c>
      <c r="L100" s="7" t="n"/>
      <c r="M100" s="7" t="n"/>
      <c r="N100">
        <f>IF(D100="", "Gap - No Legal Basis", IF(AND(D100="Consent (GDPR Art. 6(1)(a))", I100="Not Captured"), "Gap - Invalid Consent", IF(AND(D100="Legitimate Interest (GDPR Art. 6(1)(f))", L100=""), "Gap - Missing LIA", IF(AND(G100="Yes", H100=""), "Gap - Missing Art. 9 Basis", IF(OR(I100="Invalid - Not Freely Given", I100="Invalid - Not Specific", I100="Invalid - Not Informed", I100="Invalid - Ambiguous"), "Gap - Invalid Consent", "Compliant")))))</f>
        <v/>
      </c>
      <c r="O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IF(D101="Legitimate Interest (GDPR Art. 6(1)(f))", "Yes / Required (Sheet 3)", "")</f>
        <v/>
      </c>
      <c r="L101" s="7" t="n"/>
      <c r="M101" s="7" t="n"/>
      <c r="N101">
        <f>IF(D101="", "Gap - No Legal Basis", IF(AND(D101="Consent (GDPR Art. 6(1)(a))", I101="Not Captured"), "Gap - Invalid Consent", IF(AND(D101="Legitimate Interest (GDPR Art. 6(1)(f))", L101=""), "Gap - Missing LIA", IF(AND(G101="Yes", H101=""), "Gap - Missing Art. 9 Basis", IF(OR(I101="Invalid - Not Freely Given", I101="Invalid - Not Specific", I101="Invalid - Not Informed", I101="Invalid - Ambiguous"), "Gap - Invalid Consent", "Compliant")))))</f>
        <v/>
      </c>
      <c r="O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IF(D102="Legitimate Interest (GDPR Art. 6(1)(f))", "Yes / Required (Sheet 3)", "")</f>
        <v/>
      </c>
      <c r="L102" s="7" t="n"/>
      <c r="M102" s="7" t="n"/>
      <c r="N102">
        <f>IF(D102="", "Gap - No Legal Basis", IF(AND(D102="Consent (GDPR Art. 6(1)(a))", I102="Not Captured"), "Gap - Invalid Consent", IF(AND(D102="Legitimate Interest (GDPR Art. 6(1)(f))", L102=""), "Gap - Missing LIA", IF(AND(G102="Yes", H102=""), "Gap - Missing Art. 9 Basis", IF(OR(I102="Invalid - Not Freely Given", I102="Invalid - Not Specific", I102="Invalid - Not Informed", I102="Invalid - Ambiguous"), "Gap - Invalid Consent", "Compliant")))))</f>
        <v/>
      </c>
      <c r="O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IF(D103="Legitimate Interest (GDPR Art. 6(1)(f))", "Yes / Required (Sheet 3)", "")</f>
        <v/>
      </c>
      <c r="L103" s="7" t="n"/>
      <c r="M103" s="7" t="n"/>
      <c r="N103">
        <f>IF(D103="", "Gap - No Legal Basis", IF(AND(D103="Consent (GDPR Art. 6(1)(a))", I103="Not Captured"), "Gap - Invalid Consent", IF(AND(D103="Legitimate Interest (GDPR Art. 6(1)(f))", L103=""), "Gap - Missing LIA", IF(AND(G103="Yes", H103=""), "Gap - Missing Art. 9 Basis", IF(OR(I103="Invalid - Not Freely Given", I103="Invalid - Not Specific", I103="Invalid - Not Informed", I103="Invalid - Ambiguous"), "Gap - Invalid Consent", "Compliant")))))</f>
        <v/>
      </c>
      <c r="O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IF(D104="Legitimate Interest (GDPR Art. 6(1)(f))", "Yes / Required (Sheet 3)", "")</f>
        <v/>
      </c>
      <c r="L104" s="7" t="n"/>
      <c r="M104" s="7" t="n"/>
      <c r="N104">
        <f>IF(D104="", "Gap - No Legal Basis", IF(AND(D104="Consent (GDPR Art. 6(1)(a))", I104="Not Captured"), "Gap - Invalid Consent", IF(AND(D104="Legitimate Interest (GDPR Art. 6(1)(f))", L104=""), "Gap - Missing LIA", IF(AND(G104="Yes", H104=""), "Gap - Missing Art. 9 Basis", IF(OR(I104="Invalid - Not Freely Given", I104="Invalid - Not Specific", I104="Invalid - Not Informed", I104="Invalid - Ambiguous"), "Gap - Invalid Consent", "Compliant")))))</f>
        <v/>
      </c>
      <c r="O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IF(D105="Legitimate Interest (GDPR Art. 6(1)(f))", "Yes / Required (Sheet 3)", "")</f>
        <v/>
      </c>
      <c r="L105" s="7" t="n"/>
      <c r="M105" s="7" t="n"/>
      <c r="N105">
        <f>IF(D105="", "Gap - No Legal Basis", IF(AND(D105="Consent (GDPR Art. 6(1)(a))", I105="Not Captured"), "Gap - Invalid Consent", IF(AND(D105="Legitimate Interest (GDPR Art. 6(1)(f))", L105=""), "Gap - Missing LIA", IF(AND(G105="Yes", H105=""), "Gap - Missing Art. 9 Basis", IF(OR(I105="Invalid - Not Freely Given", I105="Invalid - Not Specific", I105="Invalid - Not Informed", I105="Invalid - Ambiguous"), "Gap - Invalid Consent", "Compliant")))))</f>
        <v/>
      </c>
      <c r="O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IF(D106="Legitimate Interest (GDPR Art. 6(1)(f))", "Yes / Required (Sheet 3)", "")</f>
        <v/>
      </c>
      <c r="L106" s="7" t="n"/>
      <c r="M106" s="7" t="n"/>
      <c r="N106">
        <f>IF(D106="", "Gap - No Legal Basis", IF(AND(D106="Consent (GDPR Art. 6(1)(a))", I106="Not Captured"), "Gap - Invalid Consent", IF(AND(D106="Legitimate Interest (GDPR Art. 6(1)(f))", L106=""), "Gap - Missing LIA", IF(AND(G106="Yes", H106=""), "Gap - Missing Art. 9 Basis", IF(OR(I106="Invalid - Not Freely Given", I106="Invalid - Not Specific", I106="Invalid - Not Informed", I106="Invalid - Ambiguous"), "Gap - Invalid Consent", "Compliant")))))</f>
        <v/>
      </c>
      <c r="O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IF(D107="Legitimate Interest (GDPR Art. 6(1)(f))", "Yes / Required (Sheet 3)", "")</f>
        <v/>
      </c>
      <c r="L107" s="7" t="n"/>
      <c r="M107" s="7" t="n"/>
      <c r="N107">
        <f>IF(D107="", "Gap - No Legal Basis", IF(AND(D107="Consent (GDPR Art. 6(1)(a))", I107="Not Captured"), "Gap - Invalid Consent", IF(AND(D107="Legitimate Interest (GDPR Art. 6(1)(f))", L107=""), "Gap - Missing LIA", IF(AND(G107="Yes", H107=""), "Gap - Missing Art. 9 Basis", IF(OR(I107="Invalid - Not Freely Given", I107="Invalid - Not Specific", I107="Invalid - Not Informed", I107="Invalid - Ambiguous"), "Gap - Invalid Consent", "Compliant")))))</f>
        <v/>
      </c>
      <c r="O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IF(D108="Legitimate Interest (GDPR Art. 6(1)(f))", "Yes / Required (Sheet 3)", "")</f>
        <v/>
      </c>
      <c r="L108" s="7" t="n"/>
      <c r="M108" s="7" t="n"/>
      <c r="N108">
        <f>IF(D108="", "Gap - No Legal Basis", IF(AND(D108="Consent (GDPR Art. 6(1)(a))", I108="Not Captured"), "Gap - Invalid Consent", IF(AND(D108="Legitimate Interest (GDPR Art. 6(1)(f))", L108=""), "Gap - Missing LIA", IF(AND(G108="Yes", H108=""), "Gap - Missing Art. 9 Basis", IF(OR(I108="Invalid - Not Freely Given", I108="Invalid - Not Specific", I108="Invalid - Not Informed", I108="Invalid - Ambiguous"), "Gap - Invalid Consent", "Compliant")))))</f>
        <v/>
      </c>
      <c r="O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IF(D109="Legitimate Interest (GDPR Art. 6(1)(f))", "Yes / Required (Sheet 3)", "")</f>
        <v/>
      </c>
      <c r="L109" s="7" t="n"/>
      <c r="M109" s="7" t="n"/>
      <c r="N109">
        <f>IF(D109="", "Gap - No Legal Basis", IF(AND(D109="Consent (GDPR Art. 6(1)(a))", I109="Not Captured"), "Gap - Invalid Consent", IF(AND(D109="Legitimate Interest (GDPR Art. 6(1)(f))", L109=""), "Gap - Missing LIA", IF(AND(G109="Yes", H109=""), "Gap - Missing Art. 9 Basis", IF(OR(I109="Invalid - Not Freely Given", I109="Invalid - Not Specific", I109="Invalid - Not Informed", I109="Invalid - Ambiguous"), "Gap - Invalid Consent", "Compliant")))))</f>
        <v/>
      </c>
      <c r="O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IF(D110="Legitimate Interest (GDPR Art. 6(1)(f))", "Yes / Required (Sheet 3)", "")</f>
        <v/>
      </c>
      <c r="L110" s="7" t="n"/>
      <c r="M110" s="7" t="n"/>
      <c r="N110">
        <f>IF(D110="", "Gap - No Legal Basis", IF(AND(D110="Consent (GDPR Art. 6(1)(a))", I110="Not Captured"), "Gap - Invalid Consent", IF(AND(D110="Legitimate Interest (GDPR Art. 6(1)(f))", L110=""), "Gap - Missing LIA", IF(AND(G110="Yes", H110=""), "Gap - Missing Art. 9 Basis", IF(OR(I110="Invalid - Not Freely Given", I110="Invalid - Not Specific", I110="Invalid - Not Informed", I110="Invalid - Ambiguous"), "Gap - Invalid Consent", "Compliant")))))</f>
        <v/>
      </c>
      <c r="O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IF(D111="Legitimate Interest (GDPR Art. 6(1)(f))", "Yes / Required (Sheet 3)", "")</f>
        <v/>
      </c>
      <c r="L111" s="7" t="n"/>
      <c r="M111" s="7" t="n"/>
      <c r="N111">
        <f>IF(D111="", "Gap - No Legal Basis", IF(AND(D111="Consent (GDPR Art. 6(1)(a))", I111="Not Captured"), "Gap - Invalid Consent", IF(AND(D111="Legitimate Interest (GDPR Art. 6(1)(f))", L111=""), "Gap - Missing LIA", IF(AND(G111="Yes", H111=""), "Gap - Missing Art. 9 Basis", IF(OR(I111="Invalid - Not Freely Given", I111="Invalid - Not Specific", I111="Invalid - Not Informed", I111="Invalid - Ambiguous"), "Gap - Invalid Consent", "Compliant")))))</f>
        <v/>
      </c>
      <c r="O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IF(D112="Legitimate Interest (GDPR Art. 6(1)(f))", "Yes / Required (Sheet 3)", "")</f>
        <v/>
      </c>
      <c r="L112" s="7" t="n"/>
      <c r="M112" s="7" t="n"/>
      <c r="N112">
        <f>IF(D112="", "Gap - No Legal Basis", IF(AND(D112="Consent (GDPR Art. 6(1)(a))", I112="Not Captured"), "Gap - Invalid Consent", IF(AND(D112="Legitimate Interest (GDPR Art. 6(1)(f))", L112=""), "Gap - Missing LIA", IF(AND(G112="Yes", H112=""), "Gap - Missing Art. 9 Basis", IF(OR(I112="Invalid - Not Freely Given", I112="Invalid - Not Specific", I112="Invalid - Not Informed", I112="Invalid - Ambiguous"), "Gap - Invalid Consent", "Compliant")))))</f>
        <v/>
      </c>
      <c r="O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IF(D113="Legitimate Interest (GDPR Art. 6(1)(f))", "Yes / Required (Sheet 3)", "")</f>
        <v/>
      </c>
      <c r="L113" s="7" t="n"/>
      <c r="M113" s="7" t="n"/>
      <c r="N113">
        <f>IF(D113="", "Gap - No Legal Basis", IF(AND(D113="Consent (GDPR Art. 6(1)(a))", I113="Not Captured"), "Gap - Invalid Consent", IF(AND(D113="Legitimate Interest (GDPR Art. 6(1)(f))", L113=""), "Gap - Missing LIA", IF(AND(G113="Yes", H113=""), "Gap - Missing Art. 9 Basis", IF(OR(I113="Invalid - Not Freely Given", I113="Invalid - Not Specific", I113="Invalid - Not Informed", I113="Invalid - Ambiguous"), "Gap - Invalid Consent", "Compliant")))))</f>
        <v/>
      </c>
      <c r="O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IF(D114="Legitimate Interest (GDPR Art. 6(1)(f))", "Yes / Required (Sheet 3)", "")</f>
        <v/>
      </c>
      <c r="L114" s="7" t="n"/>
      <c r="M114" s="7" t="n"/>
      <c r="N114">
        <f>IF(D114="", "Gap - No Legal Basis", IF(AND(D114="Consent (GDPR Art. 6(1)(a))", I114="Not Captured"), "Gap - Invalid Consent", IF(AND(D114="Legitimate Interest (GDPR Art. 6(1)(f))", L114=""), "Gap - Missing LIA", IF(AND(G114="Yes", H114=""), "Gap - Missing Art. 9 Basis", IF(OR(I114="Invalid - Not Freely Given", I114="Invalid - Not Specific", I114="Invalid - Not Informed", I114="Invalid - Ambiguous"), "Gap - Invalid Consent", "Compliant")))))</f>
        <v/>
      </c>
      <c r="O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IF(D115="Legitimate Interest (GDPR Art. 6(1)(f))", "Yes / Required (Sheet 3)", "")</f>
        <v/>
      </c>
      <c r="L115" s="7" t="n"/>
      <c r="M115" s="7" t="n"/>
      <c r="N115">
        <f>IF(D115="", "Gap - No Legal Basis", IF(AND(D115="Consent (GDPR Art. 6(1)(a))", I115="Not Captured"), "Gap - Invalid Consent", IF(AND(D115="Legitimate Interest (GDPR Art. 6(1)(f))", L115=""), "Gap - Missing LIA", IF(AND(G115="Yes", H115=""), "Gap - Missing Art. 9 Basis", IF(OR(I115="Invalid - Not Freely Given", I115="Invalid - Not Specific", I115="Invalid - Not Informed", I115="Invalid - Ambiguous"), "Gap - Invalid Consent", "Compliant")))))</f>
        <v/>
      </c>
      <c r="O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IF(D116="Legitimate Interest (GDPR Art. 6(1)(f))", "Yes / Required (Sheet 3)", "")</f>
        <v/>
      </c>
      <c r="L116" s="7" t="n"/>
      <c r="M116" s="7" t="n"/>
      <c r="N116">
        <f>IF(D116="", "Gap - No Legal Basis", IF(AND(D116="Consent (GDPR Art. 6(1)(a))", I116="Not Captured"), "Gap - Invalid Consent", IF(AND(D116="Legitimate Interest (GDPR Art. 6(1)(f))", L116=""), "Gap - Missing LIA", IF(AND(G116="Yes", H116=""), "Gap - Missing Art. 9 Basis", IF(OR(I116="Invalid - Not Freely Given", I116="Invalid - Not Specific", I116="Invalid - Not Informed", I116="Invalid - Ambiguous"), "Gap - Invalid Consent", "Compliant")))))</f>
        <v/>
      </c>
      <c r="O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IF(D117="Legitimate Interest (GDPR Art. 6(1)(f))", "Yes / Required (Sheet 3)", "")</f>
        <v/>
      </c>
      <c r="L117" s="7" t="n"/>
      <c r="M117" s="7" t="n"/>
      <c r="N117">
        <f>IF(D117="", "Gap - No Legal Basis", IF(AND(D117="Consent (GDPR Art. 6(1)(a))", I117="Not Captured"), "Gap - Invalid Consent", IF(AND(D117="Legitimate Interest (GDPR Art. 6(1)(f))", L117=""), "Gap - Missing LIA", IF(AND(G117="Yes", H117=""), "Gap - Missing Art. 9 Basis", IF(OR(I117="Invalid - Not Freely Given", I117="Invalid - Not Specific", I117="Invalid - Not Informed", I117="Invalid - Ambiguous"), "Gap - Invalid Consent", "Compliant")))))</f>
        <v/>
      </c>
      <c r="O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IF(D118="Legitimate Interest (GDPR Art. 6(1)(f))", "Yes / Required (Sheet 3)", "")</f>
        <v/>
      </c>
      <c r="L118" s="7" t="n"/>
      <c r="M118" s="7" t="n"/>
      <c r="N118">
        <f>IF(D118="", "Gap - No Legal Basis", IF(AND(D118="Consent (GDPR Art. 6(1)(a))", I118="Not Captured"), "Gap - Invalid Consent", IF(AND(D118="Legitimate Interest (GDPR Art. 6(1)(f))", L118=""), "Gap - Missing LIA", IF(AND(G118="Yes", H118=""), "Gap - Missing Art. 9 Basis", IF(OR(I118="Invalid - Not Freely Given", I118="Invalid - Not Specific", I118="Invalid - Not Informed", I118="Invalid - Ambiguous"), "Gap - Invalid Consent", "Compliant")))))</f>
        <v/>
      </c>
      <c r="O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IF(D119="Legitimate Interest (GDPR Art. 6(1)(f))", "Yes / Required (Sheet 3)", "")</f>
        <v/>
      </c>
      <c r="L119" s="7" t="n"/>
      <c r="M119" s="7" t="n"/>
      <c r="N119">
        <f>IF(D119="", "Gap - No Legal Basis", IF(AND(D119="Consent (GDPR Art. 6(1)(a))", I119="Not Captured"), "Gap - Invalid Consent", IF(AND(D119="Legitimate Interest (GDPR Art. 6(1)(f))", L119=""), "Gap - Missing LIA", IF(AND(G119="Yes", H119=""), "Gap - Missing Art. 9 Basis", IF(OR(I119="Invalid - Not Freely Given", I119="Invalid - Not Specific", I119="Invalid - Not Informed", I119="Invalid - Ambiguous"), "Gap - Invalid Consent", "Compliant")))))</f>
        <v/>
      </c>
      <c r="O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IF(D120="Legitimate Interest (GDPR Art. 6(1)(f))", "Yes / Required (Sheet 3)", "")</f>
        <v/>
      </c>
      <c r="L120" s="7" t="n"/>
      <c r="M120" s="7" t="n"/>
      <c r="N120">
        <f>IF(D120="", "Gap - No Legal Basis", IF(AND(D120="Consent (GDPR Art. 6(1)(a))", I120="Not Captured"), "Gap - Invalid Consent", IF(AND(D120="Legitimate Interest (GDPR Art. 6(1)(f))", L120=""), "Gap - Missing LIA", IF(AND(G120="Yes", H120=""), "Gap - Missing Art. 9 Basis", IF(OR(I120="Invalid - Not Freely Given", I120="Invalid - Not Specific", I120="Invalid - Not Informed", I120="Invalid - Ambiguous"), "Gap - Invalid Consent", "Compliant")))))</f>
        <v/>
      </c>
      <c r="O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IF(D121="Legitimate Interest (GDPR Art. 6(1)(f))", "Yes / Required (Sheet 3)", "")</f>
        <v/>
      </c>
      <c r="L121" s="7" t="n"/>
      <c r="M121" s="7" t="n"/>
      <c r="N121">
        <f>IF(D121="", "Gap - No Legal Basis", IF(AND(D121="Consent (GDPR Art. 6(1)(a))", I121="Not Captured"), "Gap - Invalid Consent", IF(AND(D121="Legitimate Interest (GDPR Art. 6(1)(f))", L121=""), "Gap - Missing LIA", IF(AND(G121="Yes", H121=""), "Gap - Missing Art. 9 Basis", IF(OR(I121="Invalid - Not Freely Given", I121="Invalid - Not Specific", I121="Invalid - Not Informed", I121="Invalid - Ambiguous"), "Gap - Invalid Consent", "Compliant")))))</f>
        <v/>
      </c>
      <c r="O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IF(D122="Legitimate Interest (GDPR Art. 6(1)(f))", "Yes / Required (Sheet 3)", "")</f>
        <v/>
      </c>
      <c r="L122" s="7" t="n"/>
      <c r="M122" s="7" t="n"/>
      <c r="N122">
        <f>IF(D122="", "Gap - No Legal Basis", IF(AND(D122="Consent (GDPR Art. 6(1)(a))", I122="Not Captured"), "Gap - Invalid Consent", IF(AND(D122="Legitimate Interest (GDPR Art. 6(1)(f))", L122=""), "Gap - Missing LIA", IF(AND(G122="Yes", H122=""), "Gap - Missing Art. 9 Basis", IF(OR(I122="Invalid - Not Freely Given", I122="Invalid - Not Specific", I122="Invalid - Not Informed", I122="Invalid - Ambiguous"), "Gap - Invalid Consent", "Compliant")))))</f>
        <v/>
      </c>
      <c r="O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IF(D123="Legitimate Interest (GDPR Art. 6(1)(f))", "Yes / Required (Sheet 3)", "")</f>
        <v/>
      </c>
      <c r="L123" s="7" t="n"/>
      <c r="M123" s="7" t="n"/>
      <c r="N123">
        <f>IF(D123="", "Gap - No Legal Basis", IF(AND(D123="Consent (GDPR Art. 6(1)(a))", I123="Not Captured"), "Gap - Invalid Consent", IF(AND(D123="Legitimate Interest (GDPR Art. 6(1)(f))", L123=""), "Gap - Missing LIA", IF(AND(G123="Yes", H123=""), "Gap - Missing Art. 9 Basis", IF(OR(I123="Invalid - Not Freely Given", I123="Invalid - Not Specific", I123="Invalid - Not Informed", I123="Invalid - Ambiguous"), "Gap - Invalid Consent", "Compliant")))))</f>
        <v/>
      </c>
      <c r="O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IF(D124="Legitimate Interest (GDPR Art. 6(1)(f))", "Yes / Required (Sheet 3)", "")</f>
        <v/>
      </c>
      <c r="L124" s="7" t="n"/>
      <c r="M124" s="7" t="n"/>
      <c r="N124">
        <f>IF(D124="", "Gap - No Legal Basis", IF(AND(D124="Consent (GDPR Art. 6(1)(a))", I124="Not Captured"), "Gap - Invalid Consent", IF(AND(D124="Legitimate Interest (GDPR Art. 6(1)(f))", L124=""), "Gap - Missing LIA", IF(AND(G124="Yes", H124=""), "Gap - Missing Art. 9 Basis", IF(OR(I124="Invalid - Not Freely Given", I124="Invalid - Not Specific", I124="Invalid - Not Informed", I124="Invalid - Ambiguous"), "Gap - Invalid Consent", "Compliant")))))</f>
        <v/>
      </c>
      <c r="O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IF(D125="Legitimate Interest (GDPR Art. 6(1)(f))", "Yes / Required (Sheet 3)", "")</f>
        <v/>
      </c>
      <c r="L125" s="7" t="n"/>
      <c r="M125" s="7" t="n"/>
      <c r="N125">
        <f>IF(D125="", "Gap - No Legal Basis", IF(AND(D125="Consent (GDPR Art. 6(1)(a))", I125="Not Captured"), "Gap - Invalid Consent", IF(AND(D125="Legitimate Interest (GDPR Art. 6(1)(f))", L125=""), "Gap - Missing LIA", IF(AND(G125="Yes", H125=""), "Gap - Missing Art. 9 Basis", IF(OR(I125="Invalid - Not Freely Given", I125="Invalid - Not Specific", I125="Invalid - Not Informed", I125="Invalid - Ambiguous"), "Gap - Invalid Consent", "Compliant")))))</f>
        <v/>
      </c>
      <c r="O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IF(D126="Legitimate Interest (GDPR Art. 6(1)(f))", "Yes / Required (Sheet 3)", "")</f>
        <v/>
      </c>
      <c r="L126" s="7" t="n"/>
      <c r="M126" s="7" t="n"/>
      <c r="N126">
        <f>IF(D126="", "Gap - No Legal Basis", IF(AND(D126="Consent (GDPR Art. 6(1)(a))", I126="Not Captured"), "Gap - Invalid Consent", IF(AND(D126="Legitimate Interest (GDPR Art. 6(1)(f))", L126=""), "Gap - Missing LIA", IF(AND(G126="Yes", H126=""), "Gap - Missing Art. 9 Basis", IF(OR(I126="Invalid - Not Freely Given", I126="Invalid - Not Specific", I126="Invalid - Not Informed", I126="Invalid - Ambiguous"), "Gap - Invalid Consent", "Compliant")))))</f>
        <v/>
      </c>
      <c r="O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IF(D127="Legitimate Interest (GDPR Art. 6(1)(f))", "Yes / Required (Sheet 3)", "")</f>
        <v/>
      </c>
      <c r="L127" s="7" t="n"/>
      <c r="M127" s="7" t="n"/>
      <c r="N127">
        <f>IF(D127="", "Gap - No Legal Basis", IF(AND(D127="Consent (GDPR Art. 6(1)(a))", I127="Not Captured"), "Gap - Invalid Consent", IF(AND(D127="Legitimate Interest (GDPR Art. 6(1)(f))", L127=""), "Gap - Missing LIA", IF(AND(G127="Yes", H127=""), "Gap - Missing Art. 9 Basis", IF(OR(I127="Invalid - Not Freely Given", I127="Invalid - Not Specific", I127="Invalid - Not Informed", I127="Invalid - Ambiguous"), "Gap - Invalid Consent", "Compliant")))))</f>
        <v/>
      </c>
      <c r="O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IF(D128="Legitimate Interest (GDPR Art. 6(1)(f))", "Yes / Required (Sheet 3)", "")</f>
        <v/>
      </c>
      <c r="L128" s="7" t="n"/>
      <c r="M128" s="7" t="n"/>
      <c r="N128">
        <f>IF(D128="", "Gap - No Legal Basis", IF(AND(D128="Consent (GDPR Art. 6(1)(a))", I128="Not Captured"), "Gap - Invalid Consent", IF(AND(D128="Legitimate Interest (GDPR Art. 6(1)(f))", L128=""), "Gap - Missing LIA", IF(AND(G128="Yes", H128=""), "Gap - Missing Art. 9 Basis", IF(OR(I128="Invalid - Not Freely Given", I128="Invalid - Not Specific", I128="Invalid - Not Informed", I128="Invalid - Ambiguous"), "Gap - Invalid Consent", "Compliant")))))</f>
        <v/>
      </c>
      <c r="O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IF(D129="Legitimate Interest (GDPR Art. 6(1)(f))", "Yes / Required (Sheet 3)", "")</f>
        <v/>
      </c>
      <c r="L129" s="7" t="n"/>
      <c r="M129" s="7" t="n"/>
      <c r="N129">
        <f>IF(D129="", "Gap - No Legal Basis", IF(AND(D129="Consent (GDPR Art. 6(1)(a))", I129="Not Captured"), "Gap - Invalid Consent", IF(AND(D129="Legitimate Interest (GDPR Art. 6(1)(f))", L129=""), "Gap - Missing LIA", IF(AND(G129="Yes", H129=""), "Gap - Missing Art. 9 Basis", IF(OR(I129="Invalid - Not Freely Given", I129="Invalid - Not Specific", I129="Invalid - Not Informed", I129="Invalid - Ambiguous"), "Gap - Invalid Consent", "Compliant")))))</f>
        <v/>
      </c>
      <c r="O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IF(D130="Legitimate Interest (GDPR Art. 6(1)(f))", "Yes / Required (Sheet 3)", "")</f>
        <v/>
      </c>
      <c r="L130" s="7" t="n"/>
      <c r="M130" s="7" t="n"/>
      <c r="N130">
        <f>IF(D130="", "Gap - No Legal Basis", IF(AND(D130="Consent (GDPR Art. 6(1)(a))", I130="Not Captured"), "Gap - Invalid Consent", IF(AND(D130="Legitimate Interest (GDPR Art. 6(1)(f))", L130=""), "Gap - Missing LIA", IF(AND(G130="Yes", H130=""), "Gap - Missing Art. 9 Basis", IF(OR(I130="Invalid - Not Freely Given", I130="Invalid - Not Specific", I130="Invalid - Not Informed", I130="Invalid - Ambiguous"), "Gap - Invalid Consent", "Compliant")))))</f>
        <v/>
      </c>
      <c r="O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IF(D131="Legitimate Interest (GDPR Art. 6(1)(f))", "Yes / Required (Sheet 3)", "")</f>
        <v/>
      </c>
      <c r="L131" s="7" t="n"/>
      <c r="M131" s="7" t="n"/>
      <c r="N131">
        <f>IF(D131="", "Gap - No Legal Basis", IF(AND(D131="Consent (GDPR Art. 6(1)(a))", I131="Not Captured"), "Gap - Invalid Consent", IF(AND(D131="Legitimate Interest (GDPR Art. 6(1)(f))", L131=""), "Gap - Missing LIA", IF(AND(G131="Yes", H131=""), "Gap - Missing Art. 9 Basis", IF(OR(I131="Invalid - Not Freely Given", I131="Invalid - Not Specific", I131="Invalid - Not Informed", I131="Invalid - Ambiguous"), "Gap - Invalid Consent", "Compliant")))))</f>
        <v/>
      </c>
      <c r="O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IF(D132="Legitimate Interest (GDPR Art. 6(1)(f))", "Yes / Required (Sheet 3)", "")</f>
        <v/>
      </c>
      <c r="L132" s="7" t="n"/>
      <c r="M132" s="7" t="n"/>
      <c r="N132">
        <f>IF(D132="", "Gap - No Legal Basis", IF(AND(D132="Consent (GDPR Art. 6(1)(a))", I132="Not Captured"), "Gap - Invalid Consent", IF(AND(D132="Legitimate Interest (GDPR Art. 6(1)(f))", L132=""), "Gap - Missing LIA", IF(AND(G132="Yes", H132=""), "Gap - Missing Art. 9 Basis", IF(OR(I132="Invalid - Not Freely Given", I132="Invalid - Not Specific", I132="Invalid - Not Informed", I132="Invalid - Ambiguous"), "Gap - Invalid Consent", "Compliant")))))</f>
        <v/>
      </c>
      <c r="O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IF(D133="Legitimate Interest (GDPR Art. 6(1)(f))", "Yes / Required (Sheet 3)", "")</f>
        <v/>
      </c>
      <c r="L133" s="7" t="n"/>
      <c r="M133" s="7" t="n"/>
      <c r="N133">
        <f>IF(D133="", "Gap - No Legal Basis", IF(AND(D133="Consent (GDPR Art. 6(1)(a))", I133="Not Captured"), "Gap - Invalid Consent", IF(AND(D133="Legitimate Interest (GDPR Art. 6(1)(f))", L133=""), "Gap - Missing LIA", IF(AND(G133="Yes", H133=""), "Gap - Missing Art. 9 Basis", IF(OR(I133="Invalid - Not Freely Given", I133="Invalid - Not Specific", I133="Invalid - Not Informed", I133="Invalid - Ambiguous"), "Gap - Invalid Consent", "Compliant")))))</f>
        <v/>
      </c>
      <c r="O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IF(D134="Legitimate Interest (GDPR Art. 6(1)(f))", "Yes / Required (Sheet 3)", "")</f>
        <v/>
      </c>
      <c r="L134" s="7" t="n"/>
      <c r="M134" s="7" t="n"/>
      <c r="N134">
        <f>IF(D134="", "Gap - No Legal Basis", IF(AND(D134="Consent (GDPR Art. 6(1)(a))", I134="Not Captured"), "Gap - Invalid Consent", IF(AND(D134="Legitimate Interest (GDPR Art. 6(1)(f))", L134=""), "Gap - Missing LIA", IF(AND(G134="Yes", H134=""), "Gap - Missing Art. 9 Basis", IF(OR(I134="Invalid - Not Freely Given", I134="Invalid - Not Specific", I134="Invalid - Not Informed", I134="Invalid - Ambiguous"), "Gap - Invalid Consent", "Compliant")))))</f>
        <v/>
      </c>
      <c r="O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IF(D135="Legitimate Interest (GDPR Art. 6(1)(f))", "Yes / Required (Sheet 3)", "")</f>
        <v/>
      </c>
      <c r="L135" s="7" t="n"/>
      <c r="M135" s="7" t="n"/>
      <c r="N135">
        <f>IF(D135="", "Gap - No Legal Basis", IF(AND(D135="Consent (GDPR Art. 6(1)(a))", I135="Not Captured"), "Gap - Invalid Consent", IF(AND(D135="Legitimate Interest (GDPR Art. 6(1)(f))", L135=""), "Gap - Missing LIA", IF(AND(G135="Yes", H135=""), "Gap - Missing Art. 9 Basis", IF(OR(I135="Invalid - Not Freely Given", I135="Invalid - Not Specific", I135="Invalid - Not Informed", I135="Invalid - Ambiguous"), "Gap - Invalid Consent", "Compliant")))))</f>
        <v/>
      </c>
      <c r="O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IF(D136="Legitimate Interest (GDPR Art. 6(1)(f))", "Yes / Required (Sheet 3)", "")</f>
        <v/>
      </c>
      <c r="L136" s="7" t="n"/>
      <c r="M136" s="7" t="n"/>
      <c r="N136">
        <f>IF(D136="", "Gap - No Legal Basis", IF(AND(D136="Consent (GDPR Art. 6(1)(a))", I136="Not Captured"), "Gap - Invalid Consent", IF(AND(D136="Legitimate Interest (GDPR Art. 6(1)(f))", L136=""), "Gap - Missing LIA", IF(AND(G136="Yes", H136=""), "Gap - Missing Art. 9 Basis", IF(OR(I136="Invalid - Not Freely Given", I136="Invalid - Not Specific", I136="Invalid - Not Informed", I136="Invalid - Ambiguous"), "Gap - Invalid Consent", "Compliant")))))</f>
        <v/>
      </c>
      <c r="O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IF(D137="Legitimate Interest (GDPR Art. 6(1)(f))", "Yes / Required (Sheet 3)", "")</f>
        <v/>
      </c>
      <c r="L137" s="7" t="n"/>
      <c r="M137" s="7" t="n"/>
      <c r="N137">
        <f>IF(D137="", "Gap - No Legal Basis", IF(AND(D137="Consent (GDPR Art. 6(1)(a))", I137="Not Captured"), "Gap - Invalid Consent", IF(AND(D137="Legitimate Interest (GDPR Art. 6(1)(f))", L137=""), "Gap - Missing LIA", IF(AND(G137="Yes", H137=""), "Gap - Missing Art. 9 Basis", IF(OR(I137="Invalid - Not Freely Given", I137="Invalid - Not Specific", I137="Invalid - Not Informed", I137="Invalid - Ambiguous"), "Gap - Invalid Consent", "Compliant")))))</f>
        <v/>
      </c>
      <c r="O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IF(D138="Legitimate Interest (GDPR Art. 6(1)(f))", "Yes / Required (Sheet 3)", "")</f>
        <v/>
      </c>
      <c r="L138" s="7" t="n"/>
      <c r="M138" s="7" t="n"/>
      <c r="N138">
        <f>IF(D138="", "Gap - No Legal Basis", IF(AND(D138="Consent (GDPR Art. 6(1)(a))", I138="Not Captured"), "Gap - Invalid Consent", IF(AND(D138="Legitimate Interest (GDPR Art. 6(1)(f))", L138=""), "Gap - Missing LIA", IF(AND(G138="Yes", H138=""), "Gap - Missing Art. 9 Basis", IF(OR(I138="Invalid - Not Freely Given", I138="Invalid - Not Specific", I138="Invalid - Not Informed", I138="Invalid - Ambiguous"), "Gap - Invalid Consent", "Compliant")))))</f>
        <v/>
      </c>
      <c r="O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IF(D139="Legitimate Interest (GDPR Art. 6(1)(f))", "Yes / Required (Sheet 3)", "")</f>
        <v/>
      </c>
      <c r="L139" s="7" t="n"/>
      <c r="M139" s="7" t="n"/>
      <c r="N139">
        <f>IF(D139="", "Gap - No Legal Basis", IF(AND(D139="Consent (GDPR Art. 6(1)(a))", I139="Not Captured"), "Gap - Invalid Consent", IF(AND(D139="Legitimate Interest (GDPR Art. 6(1)(f))", L139=""), "Gap - Missing LIA", IF(AND(G139="Yes", H139=""), "Gap - Missing Art. 9 Basis", IF(OR(I139="Invalid - Not Freely Given", I139="Invalid - Not Specific", I139="Invalid - Not Informed", I139="Invalid - Ambiguous"), "Gap - Invalid Consent", "Compliant")))))</f>
        <v/>
      </c>
      <c r="O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IF(D140="Legitimate Interest (GDPR Art. 6(1)(f))", "Yes / Required (Sheet 3)", "")</f>
        <v/>
      </c>
      <c r="L140" s="7" t="n"/>
      <c r="M140" s="7" t="n"/>
      <c r="N140">
        <f>IF(D140="", "Gap - No Legal Basis", IF(AND(D140="Consent (GDPR Art. 6(1)(a))", I140="Not Captured"), "Gap - Invalid Consent", IF(AND(D140="Legitimate Interest (GDPR Art. 6(1)(f))", L140=""), "Gap - Missing LIA", IF(AND(G140="Yes", H140=""), "Gap - Missing Art. 9 Basis", IF(OR(I140="Invalid - Not Freely Given", I140="Invalid - Not Specific", I140="Invalid - Not Informed", I140="Invalid - Ambiguous"), "Gap - Invalid Consent", "Compliant")))))</f>
        <v/>
      </c>
      <c r="O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IF(D141="Legitimate Interest (GDPR Art. 6(1)(f))", "Yes / Required (Sheet 3)", "")</f>
        <v/>
      </c>
      <c r="L141" s="7" t="n"/>
      <c r="M141" s="7" t="n"/>
      <c r="N141">
        <f>IF(D141="", "Gap - No Legal Basis", IF(AND(D141="Consent (GDPR Art. 6(1)(a))", I141="Not Captured"), "Gap - Invalid Consent", IF(AND(D141="Legitimate Interest (GDPR Art. 6(1)(f))", L141=""), "Gap - Missing LIA", IF(AND(G141="Yes", H141=""), "Gap - Missing Art. 9 Basis", IF(OR(I141="Invalid - Not Freely Given", I141="Invalid - Not Specific", I141="Invalid - Not Informed", I141="Invalid - Ambiguous"), "Gap - Invalid Consent", "Compliant")))))</f>
        <v/>
      </c>
      <c r="O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IF(D142="Legitimate Interest (GDPR Art. 6(1)(f))", "Yes / Required (Sheet 3)", "")</f>
        <v/>
      </c>
      <c r="L142" s="7" t="n"/>
      <c r="M142" s="7" t="n"/>
      <c r="N142">
        <f>IF(D142="", "Gap - No Legal Basis", IF(AND(D142="Consent (GDPR Art. 6(1)(a))", I142="Not Captured"), "Gap - Invalid Consent", IF(AND(D142="Legitimate Interest (GDPR Art. 6(1)(f))", L142=""), "Gap - Missing LIA", IF(AND(G142="Yes", H142=""), "Gap - Missing Art. 9 Basis", IF(OR(I142="Invalid - Not Freely Given", I142="Invalid - Not Specific", I142="Invalid - Not Informed", I142="Invalid - Ambiguous"), "Gap - Invalid Consent", "Compliant")))))</f>
        <v/>
      </c>
      <c r="O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IF(D143="Legitimate Interest (GDPR Art. 6(1)(f))", "Yes / Required (Sheet 3)", "")</f>
        <v/>
      </c>
      <c r="L143" s="7" t="n"/>
      <c r="M143" s="7" t="n"/>
      <c r="N143">
        <f>IF(D143="", "Gap - No Legal Basis", IF(AND(D143="Consent (GDPR Art. 6(1)(a))", I143="Not Captured"), "Gap - Invalid Consent", IF(AND(D143="Legitimate Interest (GDPR Art. 6(1)(f))", L143=""), "Gap - Missing LIA", IF(AND(G143="Yes", H143=""), "Gap - Missing Art. 9 Basis", IF(OR(I143="Invalid - Not Freely Given", I143="Invalid - Not Specific", I143="Invalid - Not Informed", I143="Invalid - Ambiguous"), "Gap - Invalid Consent", "Compliant")))))</f>
        <v/>
      </c>
      <c r="O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IF(D144="Legitimate Interest (GDPR Art. 6(1)(f))", "Yes / Required (Sheet 3)", "")</f>
        <v/>
      </c>
      <c r="L144" s="7" t="n"/>
      <c r="M144" s="7" t="n"/>
      <c r="N144">
        <f>IF(D144="", "Gap - No Legal Basis", IF(AND(D144="Consent (GDPR Art. 6(1)(a))", I144="Not Captured"), "Gap - Invalid Consent", IF(AND(D144="Legitimate Interest (GDPR Art. 6(1)(f))", L144=""), "Gap - Missing LIA", IF(AND(G144="Yes", H144=""), "Gap - Missing Art. 9 Basis", IF(OR(I144="Invalid - Not Freely Given", I144="Invalid - Not Specific", I144="Invalid - Not Informed", I144="Invalid - Ambiguous"), "Gap - Invalid Consent", "Compliant")))))</f>
        <v/>
      </c>
      <c r="O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IF(D145="Legitimate Interest (GDPR Art. 6(1)(f))", "Yes / Required (Sheet 3)", "")</f>
        <v/>
      </c>
      <c r="L145" s="7" t="n"/>
      <c r="M145" s="7" t="n"/>
      <c r="N145">
        <f>IF(D145="", "Gap - No Legal Basis", IF(AND(D145="Consent (GDPR Art. 6(1)(a))", I145="Not Captured"), "Gap - Invalid Consent", IF(AND(D145="Legitimate Interest (GDPR Art. 6(1)(f))", L145=""), "Gap - Missing LIA", IF(AND(G145="Yes", H145=""), "Gap - Missing Art. 9 Basis", IF(OR(I145="Invalid - Not Freely Given", I145="Invalid - Not Specific", I145="Invalid - Not Informed", I145="Invalid - Ambiguous"), "Gap - Invalid Consent", "Compliant")))))</f>
        <v/>
      </c>
      <c r="O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IF(D146="Legitimate Interest (GDPR Art. 6(1)(f))", "Yes / Required (Sheet 3)", "")</f>
        <v/>
      </c>
      <c r="L146" s="7" t="n"/>
      <c r="M146" s="7" t="n"/>
      <c r="N146">
        <f>IF(D146="", "Gap - No Legal Basis", IF(AND(D146="Consent (GDPR Art. 6(1)(a))", I146="Not Captured"), "Gap - Invalid Consent", IF(AND(D146="Legitimate Interest (GDPR Art. 6(1)(f))", L146=""), "Gap - Missing LIA", IF(AND(G146="Yes", H146=""), "Gap - Missing Art. 9 Basis", IF(OR(I146="Invalid - Not Freely Given", I146="Invalid - Not Specific", I146="Invalid - Not Informed", I146="Invalid - Ambiguous"), "Gap - Invalid Consent", "Compliant")))))</f>
        <v/>
      </c>
      <c r="O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IF(D147="Legitimate Interest (GDPR Art. 6(1)(f))", "Yes / Required (Sheet 3)", "")</f>
        <v/>
      </c>
      <c r="L147" s="7" t="n"/>
      <c r="M147" s="7" t="n"/>
      <c r="N147">
        <f>IF(D147="", "Gap - No Legal Basis", IF(AND(D147="Consent (GDPR Art. 6(1)(a))", I147="Not Captured"), "Gap - Invalid Consent", IF(AND(D147="Legitimate Interest (GDPR Art. 6(1)(f))", L147=""), "Gap - Missing LIA", IF(AND(G147="Yes", H147=""), "Gap - Missing Art. 9 Basis", IF(OR(I147="Invalid - Not Freely Given", I147="Invalid - Not Specific", I147="Invalid - Not Informed", I147="Invalid - Ambiguous"), "Gap - Invalid Consent", "Compliant")))))</f>
        <v/>
      </c>
      <c r="O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IF(D148="Legitimate Interest (GDPR Art. 6(1)(f))", "Yes / Required (Sheet 3)", "")</f>
        <v/>
      </c>
      <c r="L148" s="7" t="n"/>
      <c r="M148" s="7" t="n"/>
      <c r="N148">
        <f>IF(D148="", "Gap - No Legal Basis", IF(AND(D148="Consent (GDPR Art. 6(1)(a))", I148="Not Captured"), "Gap - Invalid Consent", IF(AND(D148="Legitimate Interest (GDPR Art. 6(1)(f))", L148=""), "Gap - Missing LIA", IF(AND(G148="Yes", H148=""), "Gap - Missing Art. 9 Basis", IF(OR(I148="Invalid - Not Freely Given", I148="Invalid - Not Specific", I148="Invalid - Not Informed", I148="Invalid - Ambiguous"), "Gap - Invalid Consent", "Compliant")))))</f>
        <v/>
      </c>
      <c r="O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IF(D149="Legitimate Interest (GDPR Art. 6(1)(f))", "Yes / Required (Sheet 3)", "")</f>
        <v/>
      </c>
      <c r="L149" s="7" t="n"/>
      <c r="M149" s="7" t="n"/>
      <c r="N149">
        <f>IF(D149="", "Gap - No Legal Basis", IF(AND(D149="Consent (GDPR Art. 6(1)(a))", I149="Not Captured"), "Gap - Invalid Consent", IF(AND(D149="Legitimate Interest (GDPR Art. 6(1)(f))", L149=""), "Gap - Missing LIA", IF(AND(G149="Yes", H149=""), "Gap - Missing Art. 9 Basis", IF(OR(I149="Invalid - Not Freely Given", I149="Invalid - Not Specific", I149="Invalid - Not Informed", I149="Invalid - Ambiguous"), "Gap - Invalid Consent", "Compliant")))))</f>
        <v/>
      </c>
      <c r="O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IF(D150="Legitimate Interest (GDPR Art. 6(1)(f))", "Yes / Required (Sheet 3)", "")</f>
        <v/>
      </c>
      <c r="L150" s="7" t="n"/>
      <c r="M150" s="7" t="n"/>
      <c r="N150">
        <f>IF(D150="", "Gap - No Legal Basis", IF(AND(D150="Consent (GDPR Art. 6(1)(a))", I150="Not Captured"), "Gap - Invalid Consent", IF(AND(D150="Legitimate Interest (GDPR Art. 6(1)(f))", L150=""), "Gap - Missing LIA", IF(AND(G150="Yes", H150=""), "Gap - Missing Art. 9 Basis", IF(OR(I150="Invalid - Not Freely Given", I150="Invalid - Not Specific", I150="Invalid - Not Informed", I150="Invalid - Ambiguous"), "Gap - Invalid Consent", "Compliant")))))</f>
        <v/>
      </c>
      <c r="O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IF(D151="Legitimate Interest (GDPR Art. 6(1)(f))", "Yes / Required (Sheet 3)", "")</f>
        <v/>
      </c>
      <c r="L151" s="7" t="n"/>
      <c r="M151" s="7" t="n"/>
      <c r="N151">
        <f>IF(D151="", "Gap - No Legal Basis", IF(AND(D151="Consent (GDPR Art. 6(1)(a))", I151="Not Captured"), "Gap - Invalid Consent", IF(AND(D151="Legitimate Interest (GDPR Art. 6(1)(f))", L151=""), "Gap - Missing LIA", IF(AND(G151="Yes", H151=""), "Gap - Missing Art. 9 Basis", IF(OR(I151="Invalid - Not Freely Given", I151="Invalid - Not Specific", I151="Invalid - Not Informed", I151="Invalid - Ambiguous"), "Gap - Invalid Consent", "Compliant")))))</f>
        <v/>
      </c>
      <c r="O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IF(D152="Legitimate Interest (GDPR Art. 6(1)(f))", "Yes / Required (Sheet 3)", "")</f>
        <v/>
      </c>
      <c r="L152" s="7" t="n"/>
      <c r="M152" s="7" t="n"/>
      <c r="N152">
        <f>IF(D152="", "Gap - No Legal Basis", IF(AND(D152="Consent (GDPR Art. 6(1)(a))", I152="Not Captured"), "Gap - Invalid Consent", IF(AND(D152="Legitimate Interest (GDPR Art. 6(1)(f))", L152=""), "Gap - Missing LIA", IF(AND(G152="Yes", H152=""), "Gap - Missing Art. 9 Basis", IF(OR(I152="Invalid - Not Freely Given", I152="Invalid - Not Specific", I152="Invalid - Not Informed", I152="Invalid - Ambiguous"), "Gap - Invalid Consent", "Compliant")))))</f>
        <v/>
      </c>
      <c r="O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IF(D153="Legitimate Interest (GDPR Art. 6(1)(f))", "Yes / Required (Sheet 3)", "")</f>
        <v/>
      </c>
      <c r="L153" s="7" t="n"/>
      <c r="M153" s="7" t="n"/>
      <c r="N153">
        <f>IF(D153="", "Gap - No Legal Basis", IF(AND(D153="Consent (GDPR Art. 6(1)(a))", I153="Not Captured"), "Gap - Invalid Consent", IF(AND(D153="Legitimate Interest (GDPR Art. 6(1)(f))", L153=""), "Gap - Missing LIA", IF(AND(G153="Yes", H153=""), "Gap - Missing Art. 9 Basis", IF(OR(I153="Invalid - Not Freely Given", I153="Invalid - Not Specific", I153="Invalid - Not Informed", I153="Invalid - Ambiguous"), "Gap - Invalid Consent", "Compliant")))))</f>
        <v/>
      </c>
      <c r="O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IF(D154="Legitimate Interest (GDPR Art. 6(1)(f))", "Yes / Required (Sheet 3)", "")</f>
        <v/>
      </c>
      <c r="L154" s="7" t="n"/>
      <c r="M154" s="7" t="n"/>
      <c r="N154">
        <f>IF(D154="", "Gap - No Legal Basis", IF(AND(D154="Consent (GDPR Art. 6(1)(a))", I154="Not Captured"), "Gap - Invalid Consent", IF(AND(D154="Legitimate Interest (GDPR Art. 6(1)(f))", L154=""), "Gap - Missing LIA", IF(AND(G154="Yes", H154=""), "Gap - Missing Art. 9 Basis", IF(OR(I154="Invalid - Not Freely Given", I154="Invalid - Not Specific", I154="Invalid - Not Informed", I154="Invalid - Ambiguous"), "Gap - Invalid Consent", "Compliant")))))</f>
        <v/>
      </c>
      <c r="O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IF(D155="Legitimate Interest (GDPR Art. 6(1)(f))", "Yes / Required (Sheet 3)", "")</f>
        <v/>
      </c>
      <c r="L155" s="7" t="n"/>
      <c r="M155" s="7" t="n"/>
      <c r="N155">
        <f>IF(D155="", "Gap - No Legal Basis", IF(AND(D155="Consent (GDPR Art. 6(1)(a))", I155="Not Captured"), "Gap - Invalid Consent", IF(AND(D155="Legitimate Interest (GDPR Art. 6(1)(f))", L155=""), "Gap - Missing LIA", IF(AND(G155="Yes", H155=""), "Gap - Missing Art. 9 Basis", IF(OR(I155="Invalid - Not Freely Given", I155="Invalid - Not Specific", I155="Invalid - Not Informed", I155="Invalid - Ambiguous"), "Gap - Invalid Consent", "Compliant")))))</f>
        <v/>
      </c>
      <c r="O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IF(D156="Legitimate Interest (GDPR Art. 6(1)(f))", "Yes / Required (Sheet 3)", "")</f>
        <v/>
      </c>
      <c r="L156" s="7" t="n"/>
      <c r="M156" s="7" t="n"/>
      <c r="N156">
        <f>IF(D156="", "Gap - No Legal Basis", IF(AND(D156="Consent (GDPR Art. 6(1)(a))", I156="Not Captured"), "Gap - Invalid Consent", IF(AND(D156="Legitimate Interest (GDPR Art. 6(1)(f))", L156=""), "Gap - Missing LIA", IF(AND(G156="Yes", H156=""), "Gap - Missing Art. 9 Basis", IF(OR(I156="Invalid - Not Freely Given", I156="Invalid - Not Specific", I156="Invalid - Not Informed", I156="Invalid - Ambiguous"), "Gap - Invalid Consent", "Compliant")))))</f>
        <v/>
      </c>
      <c r="O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IF(D157="Legitimate Interest (GDPR Art. 6(1)(f))", "Yes / Required (Sheet 3)", "")</f>
        <v/>
      </c>
      <c r="L157" s="7" t="n"/>
      <c r="M157" s="7" t="n"/>
      <c r="N157">
        <f>IF(D157="", "Gap - No Legal Basis", IF(AND(D157="Consent (GDPR Art. 6(1)(a))", I157="Not Captured"), "Gap - Invalid Consent", IF(AND(D157="Legitimate Interest (GDPR Art. 6(1)(f))", L157=""), "Gap - Missing LIA", IF(AND(G157="Yes", H157=""), "Gap - Missing Art. 9 Basis", IF(OR(I157="Invalid - Not Freely Given", I157="Invalid - Not Specific", I157="Invalid - Not Informed", I157="Invalid - Ambiguous"), "Gap - Invalid Consent", "Compliant")))))</f>
        <v/>
      </c>
      <c r="O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IF(D158="Legitimate Interest (GDPR Art. 6(1)(f))", "Yes / Required (Sheet 3)", "")</f>
        <v/>
      </c>
      <c r="L158" s="7" t="n"/>
      <c r="M158" s="7" t="n"/>
      <c r="N158">
        <f>IF(D158="", "Gap - No Legal Basis", IF(AND(D158="Consent (GDPR Art. 6(1)(a))", I158="Not Captured"), "Gap - Invalid Consent", IF(AND(D158="Legitimate Interest (GDPR Art. 6(1)(f))", L158=""), "Gap - Missing LIA", IF(AND(G158="Yes", H158=""), "Gap - Missing Art. 9 Basis", IF(OR(I158="Invalid - Not Freely Given", I158="Invalid - Not Specific", I158="Invalid - Not Informed", I158="Invalid - Ambiguous"), "Gap - Invalid Consent", "Compliant")))))</f>
        <v/>
      </c>
      <c r="O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IF(D159="Legitimate Interest (GDPR Art. 6(1)(f))", "Yes / Required (Sheet 3)", "")</f>
        <v/>
      </c>
      <c r="L159" s="7" t="n"/>
      <c r="M159" s="7" t="n"/>
      <c r="N159">
        <f>IF(D159="", "Gap - No Legal Basis", IF(AND(D159="Consent (GDPR Art. 6(1)(a))", I159="Not Captured"), "Gap - Invalid Consent", IF(AND(D159="Legitimate Interest (GDPR Art. 6(1)(f))", L159=""), "Gap - Missing LIA", IF(AND(G159="Yes", H159=""), "Gap - Missing Art. 9 Basis", IF(OR(I159="Invalid - Not Freely Given", I159="Invalid - Not Specific", I159="Invalid - Not Informed", I159="Invalid - Ambiguous"), "Gap - Invalid Consent", "Compliant")))))</f>
        <v/>
      </c>
      <c r="O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IF(D160="Legitimate Interest (GDPR Art. 6(1)(f))", "Yes / Required (Sheet 3)", "")</f>
        <v/>
      </c>
      <c r="L160" s="7" t="n"/>
      <c r="M160" s="7" t="n"/>
      <c r="N160">
        <f>IF(D160="", "Gap - No Legal Basis", IF(AND(D160="Consent (GDPR Art. 6(1)(a))", I160="Not Captured"), "Gap - Invalid Consent", IF(AND(D160="Legitimate Interest (GDPR Art. 6(1)(f))", L160=""), "Gap - Missing LIA", IF(AND(G160="Yes", H160=""), "Gap - Missing Art. 9 Basis", IF(OR(I160="Invalid - Not Freely Given", I160="Invalid - Not Specific", I160="Invalid - Not Informed", I160="Invalid - Ambiguous"), "Gap - Invalid Consent", "Compliant")))))</f>
        <v/>
      </c>
      <c r="O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IF(D161="Legitimate Interest (GDPR Art. 6(1)(f))", "Yes / Required (Sheet 3)", "")</f>
        <v/>
      </c>
      <c r="L161" s="7" t="n"/>
      <c r="M161" s="7" t="n"/>
      <c r="N161">
        <f>IF(D161="", "Gap - No Legal Basis", IF(AND(D161="Consent (GDPR Art. 6(1)(a))", I161="Not Captured"), "Gap - Invalid Consent", IF(AND(D161="Legitimate Interest (GDPR Art. 6(1)(f))", L161=""), "Gap - Missing LIA", IF(AND(G161="Yes", H161=""), "Gap - Missing Art. 9 Basis", IF(OR(I161="Invalid - Not Freely Given", I161="Invalid - Not Specific", I161="Invalid - Not Informed", I161="Invalid - Ambiguous"), "Gap - Invalid Consent", "Compliant")))))</f>
        <v/>
      </c>
      <c r="O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IF(D162="Legitimate Interest (GDPR Art. 6(1)(f))", "Yes / Required (Sheet 3)", "")</f>
        <v/>
      </c>
      <c r="L162" s="7" t="n"/>
      <c r="M162" s="7" t="n"/>
      <c r="N162">
        <f>IF(D162="", "Gap - No Legal Basis", IF(AND(D162="Consent (GDPR Art. 6(1)(a))", I162="Not Captured"), "Gap - Invalid Consent", IF(AND(D162="Legitimate Interest (GDPR Art. 6(1)(f))", L162=""), "Gap - Missing LIA", IF(AND(G162="Yes", H162=""), "Gap - Missing Art. 9 Basis", IF(OR(I162="Invalid - Not Freely Given", I162="Invalid - Not Specific", I162="Invalid - Not Informed", I162="Invalid - Ambiguous"), "Gap - Invalid Consent", "Compliant")))))</f>
        <v/>
      </c>
      <c r="O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IF(D163="Legitimate Interest (GDPR Art. 6(1)(f))", "Yes / Required (Sheet 3)", "")</f>
        <v/>
      </c>
      <c r="L163" s="7" t="n"/>
      <c r="M163" s="7" t="n"/>
      <c r="N163">
        <f>IF(D163="", "Gap - No Legal Basis", IF(AND(D163="Consent (GDPR Art. 6(1)(a))", I163="Not Captured"), "Gap - Invalid Consent", IF(AND(D163="Legitimate Interest (GDPR Art. 6(1)(f))", L163=""), "Gap - Missing LIA", IF(AND(G163="Yes", H163=""), "Gap - Missing Art. 9 Basis", IF(OR(I163="Invalid - Not Freely Given", I163="Invalid - Not Specific", I163="Invalid - Not Informed", I163="Invalid - Ambiguous"), "Gap - Invalid Consent", "Compliant")))))</f>
        <v/>
      </c>
      <c r="O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IF(D164="Legitimate Interest (GDPR Art. 6(1)(f))", "Yes / Required (Sheet 3)", "")</f>
        <v/>
      </c>
      <c r="L164" s="7" t="n"/>
      <c r="M164" s="7" t="n"/>
      <c r="N164">
        <f>IF(D164="", "Gap - No Legal Basis", IF(AND(D164="Consent (GDPR Art. 6(1)(a))", I164="Not Captured"), "Gap - Invalid Consent", IF(AND(D164="Legitimate Interest (GDPR Art. 6(1)(f))", L164=""), "Gap - Missing LIA", IF(AND(G164="Yes", H164=""), "Gap - Missing Art. 9 Basis", IF(OR(I164="Invalid - Not Freely Given", I164="Invalid - Not Specific", I164="Invalid - Not Informed", I164="Invalid - Ambiguous"), "Gap - Invalid Consent", "Compliant")))))</f>
        <v/>
      </c>
      <c r="O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IF(D165="Legitimate Interest (GDPR Art. 6(1)(f))", "Yes / Required (Sheet 3)", "")</f>
        <v/>
      </c>
      <c r="L165" s="7" t="n"/>
      <c r="M165" s="7" t="n"/>
      <c r="N165">
        <f>IF(D165="", "Gap - No Legal Basis", IF(AND(D165="Consent (GDPR Art. 6(1)(a))", I165="Not Captured"), "Gap - Invalid Consent", IF(AND(D165="Legitimate Interest (GDPR Art. 6(1)(f))", L165=""), "Gap - Missing LIA", IF(AND(G165="Yes", H165=""), "Gap - Missing Art. 9 Basis", IF(OR(I165="Invalid - Not Freely Given", I165="Invalid - Not Specific", I165="Invalid - Not Informed", I165="Invalid - Ambiguous"), "Gap - Invalid Consent", "Compliant")))))</f>
        <v/>
      </c>
      <c r="O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IF(D166="Legitimate Interest (GDPR Art. 6(1)(f))", "Yes / Required (Sheet 3)", "")</f>
        <v/>
      </c>
      <c r="L166" s="7" t="n"/>
      <c r="M166" s="7" t="n"/>
      <c r="N166">
        <f>IF(D166="", "Gap - No Legal Basis", IF(AND(D166="Consent (GDPR Art. 6(1)(a))", I166="Not Captured"), "Gap - Invalid Consent", IF(AND(D166="Legitimate Interest (GDPR Art. 6(1)(f))", L166=""), "Gap - Missing LIA", IF(AND(G166="Yes", H166=""), "Gap - Missing Art. 9 Basis", IF(OR(I166="Invalid - Not Freely Given", I166="Invalid - Not Specific", I166="Invalid - Not Informed", I166="Invalid - Ambiguous"), "Gap - Invalid Consent", "Compliant")))))</f>
        <v/>
      </c>
      <c r="O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IF(D167="Legitimate Interest (GDPR Art. 6(1)(f))", "Yes / Required (Sheet 3)", "")</f>
        <v/>
      </c>
      <c r="L167" s="7" t="n"/>
      <c r="M167" s="7" t="n"/>
      <c r="N167">
        <f>IF(D167="", "Gap - No Legal Basis", IF(AND(D167="Consent (GDPR Art. 6(1)(a))", I167="Not Captured"), "Gap - Invalid Consent", IF(AND(D167="Legitimate Interest (GDPR Art. 6(1)(f))", L167=""), "Gap - Missing LIA", IF(AND(G167="Yes", H167=""), "Gap - Missing Art. 9 Basis", IF(OR(I167="Invalid - Not Freely Given", I167="Invalid - Not Specific", I167="Invalid - Not Informed", I167="Invalid - Ambiguous"), "Gap - Invalid Consent", "Compliant")))))</f>
        <v/>
      </c>
      <c r="O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IF(D168="Legitimate Interest (GDPR Art. 6(1)(f))", "Yes / Required (Sheet 3)", "")</f>
        <v/>
      </c>
      <c r="L168" s="7" t="n"/>
      <c r="M168" s="7" t="n"/>
      <c r="N168">
        <f>IF(D168="", "Gap - No Legal Basis", IF(AND(D168="Consent (GDPR Art. 6(1)(a))", I168="Not Captured"), "Gap - Invalid Consent", IF(AND(D168="Legitimate Interest (GDPR Art. 6(1)(f))", L168=""), "Gap - Missing LIA", IF(AND(G168="Yes", H168=""), "Gap - Missing Art. 9 Basis", IF(OR(I168="Invalid - Not Freely Given", I168="Invalid - Not Specific", I168="Invalid - Not Informed", I168="Invalid - Ambiguous"), "Gap - Invalid Consent", "Compliant")))))</f>
        <v/>
      </c>
      <c r="O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IF(D169="Legitimate Interest (GDPR Art. 6(1)(f))", "Yes / Required (Sheet 3)", "")</f>
        <v/>
      </c>
      <c r="L169" s="7" t="n"/>
      <c r="M169" s="7" t="n"/>
      <c r="N169">
        <f>IF(D169="", "Gap - No Legal Basis", IF(AND(D169="Consent (GDPR Art. 6(1)(a))", I169="Not Captured"), "Gap - Invalid Consent", IF(AND(D169="Legitimate Interest (GDPR Art. 6(1)(f))", L169=""), "Gap - Missing LIA", IF(AND(G169="Yes", H169=""), "Gap - Missing Art. 9 Basis", IF(OR(I169="Invalid - Not Freely Given", I169="Invalid - Not Specific", I169="Invalid - Not Informed", I169="Invalid - Ambiguous"), "Gap - Invalid Consent", "Compliant")))))</f>
        <v/>
      </c>
      <c r="O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IF(D170="Legitimate Interest (GDPR Art. 6(1)(f))", "Yes / Required (Sheet 3)", "")</f>
        <v/>
      </c>
      <c r="L170" s="7" t="n"/>
      <c r="M170" s="7" t="n"/>
      <c r="N170">
        <f>IF(D170="", "Gap - No Legal Basis", IF(AND(D170="Consent (GDPR Art. 6(1)(a))", I170="Not Captured"), "Gap - Invalid Consent", IF(AND(D170="Legitimate Interest (GDPR Art. 6(1)(f))", L170=""), "Gap - Missing LIA", IF(AND(G170="Yes", H170=""), "Gap - Missing Art. 9 Basis", IF(OR(I170="Invalid - Not Freely Given", I170="Invalid - Not Specific", I170="Invalid - Not Informed", I170="Invalid - Ambiguous"), "Gap - Invalid Consent", "Compliant")))))</f>
        <v/>
      </c>
      <c r="O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IF(D171="Legitimate Interest (GDPR Art. 6(1)(f))", "Yes / Required (Sheet 3)", "")</f>
        <v/>
      </c>
      <c r="L171" s="7" t="n"/>
      <c r="M171" s="7" t="n"/>
      <c r="N171">
        <f>IF(D171="", "Gap - No Legal Basis", IF(AND(D171="Consent (GDPR Art. 6(1)(a))", I171="Not Captured"), "Gap - Invalid Consent", IF(AND(D171="Legitimate Interest (GDPR Art. 6(1)(f))", L171=""), "Gap - Missing LIA", IF(AND(G171="Yes", H171=""), "Gap - Missing Art. 9 Basis", IF(OR(I171="Invalid - Not Freely Given", I171="Invalid - Not Specific", I171="Invalid - Not Informed", I171="Invalid - Ambiguous"), "Gap - Invalid Consent", "Compliant")))))</f>
        <v/>
      </c>
      <c r="O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IF(D172="Legitimate Interest (GDPR Art. 6(1)(f))", "Yes / Required (Sheet 3)", "")</f>
        <v/>
      </c>
      <c r="L172" s="7" t="n"/>
      <c r="M172" s="7" t="n"/>
      <c r="N172">
        <f>IF(D172="", "Gap - No Legal Basis", IF(AND(D172="Consent (GDPR Art. 6(1)(a))", I172="Not Captured"), "Gap - Invalid Consent", IF(AND(D172="Legitimate Interest (GDPR Art. 6(1)(f))", L172=""), "Gap - Missing LIA", IF(AND(G172="Yes", H172=""), "Gap - Missing Art. 9 Basis", IF(OR(I172="Invalid - Not Freely Given", I172="Invalid - Not Specific", I172="Invalid - Not Informed", I172="Invalid - Ambiguous"), "Gap - Invalid Consent", "Compliant")))))</f>
        <v/>
      </c>
      <c r="O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IF(D173="Legitimate Interest (GDPR Art. 6(1)(f))", "Yes / Required (Sheet 3)", "")</f>
        <v/>
      </c>
      <c r="L173" s="7" t="n"/>
      <c r="M173" s="7" t="n"/>
      <c r="N173">
        <f>IF(D173="", "Gap - No Legal Basis", IF(AND(D173="Consent (GDPR Art. 6(1)(a))", I173="Not Captured"), "Gap - Invalid Consent", IF(AND(D173="Legitimate Interest (GDPR Art. 6(1)(f))", L173=""), "Gap - Missing LIA", IF(AND(G173="Yes", H173=""), "Gap - Missing Art. 9 Basis", IF(OR(I173="Invalid - Not Freely Given", I173="Invalid - Not Specific", I173="Invalid - Not Informed", I173="Invalid - Ambiguous"), "Gap - Invalid Consent", "Compliant")))))</f>
        <v/>
      </c>
      <c r="O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IF(D174="Legitimate Interest (GDPR Art. 6(1)(f))", "Yes / Required (Sheet 3)", "")</f>
        <v/>
      </c>
      <c r="L174" s="7" t="n"/>
      <c r="M174" s="7" t="n"/>
      <c r="N174">
        <f>IF(D174="", "Gap - No Legal Basis", IF(AND(D174="Consent (GDPR Art. 6(1)(a))", I174="Not Captured"), "Gap - Invalid Consent", IF(AND(D174="Legitimate Interest (GDPR Art. 6(1)(f))", L174=""), "Gap - Missing LIA", IF(AND(G174="Yes", H174=""), "Gap - Missing Art. 9 Basis", IF(OR(I174="Invalid - Not Freely Given", I174="Invalid - Not Specific", I174="Invalid - Not Informed", I174="Invalid - Ambiguous"), "Gap - Invalid Consent", "Compliant")))))</f>
        <v/>
      </c>
      <c r="O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IF(D175="Legitimate Interest (GDPR Art. 6(1)(f))", "Yes / Required (Sheet 3)", "")</f>
        <v/>
      </c>
      <c r="L175" s="7" t="n"/>
      <c r="M175" s="7" t="n"/>
      <c r="N175">
        <f>IF(D175="", "Gap - No Legal Basis", IF(AND(D175="Consent (GDPR Art. 6(1)(a))", I175="Not Captured"), "Gap - Invalid Consent", IF(AND(D175="Legitimate Interest (GDPR Art. 6(1)(f))", L175=""), "Gap - Missing LIA", IF(AND(G175="Yes", H175=""), "Gap - Missing Art. 9 Basis", IF(OR(I175="Invalid - Not Freely Given", I175="Invalid - Not Specific", I175="Invalid - Not Informed", I175="Invalid - Ambiguous"), "Gap - Invalid Consent", "Compliant")))))</f>
        <v/>
      </c>
      <c r="O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IF(D176="Legitimate Interest (GDPR Art. 6(1)(f))", "Yes / Required (Sheet 3)", "")</f>
        <v/>
      </c>
      <c r="L176" s="7" t="n"/>
      <c r="M176" s="7" t="n"/>
      <c r="N176">
        <f>IF(D176="", "Gap - No Legal Basis", IF(AND(D176="Consent (GDPR Art. 6(1)(a))", I176="Not Captured"), "Gap - Invalid Consent", IF(AND(D176="Legitimate Interest (GDPR Art. 6(1)(f))", L176=""), "Gap - Missing LIA", IF(AND(G176="Yes", H176=""), "Gap - Missing Art. 9 Basis", IF(OR(I176="Invalid - Not Freely Given", I176="Invalid - Not Specific", I176="Invalid - Not Informed", I176="Invalid - Ambiguous"), "Gap - Invalid Consent", "Compliant")))))</f>
        <v/>
      </c>
      <c r="O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IF(D177="Legitimate Interest (GDPR Art. 6(1)(f))", "Yes / Required (Sheet 3)", "")</f>
        <v/>
      </c>
      <c r="L177" s="7" t="n"/>
      <c r="M177" s="7" t="n"/>
      <c r="N177">
        <f>IF(D177="", "Gap - No Legal Basis", IF(AND(D177="Consent (GDPR Art. 6(1)(a))", I177="Not Captured"), "Gap - Invalid Consent", IF(AND(D177="Legitimate Interest (GDPR Art. 6(1)(f))", L177=""), "Gap - Missing LIA", IF(AND(G177="Yes", H177=""), "Gap - Missing Art. 9 Basis", IF(OR(I177="Invalid - Not Freely Given", I177="Invalid - Not Specific", I177="Invalid - Not Informed", I177="Invalid - Ambiguous"), "Gap - Invalid Consent", "Compliant")))))</f>
        <v/>
      </c>
      <c r="O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IF(D178="Legitimate Interest (GDPR Art. 6(1)(f))", "Yes / Required (Sheet 3)", "")</f>
        <v/>
      </c>
      <c r="L178" s="7" t="n"/>
      <c r="M178" s="7" t="n"/>
      <c r="N178">
        <f>IF(D178="", "Gap - No Legal Basis", IF(AND(D178="Consent (GDPR Art. 6(1)(a))", I178="Not Captured"), "Gap - Invalid Consent", IF(AND(D178="Legitimate Interest (GDPR Art. 6(1)(f))", L178=""), "Gap - Missing LIA", IF(AND(G178="Yes", H178=""), "Gap - Missing Art. 9 Basis", IF(OR(I178="Invalid - Not Freely Given", I178="Invalid - Not Specific", I178="Invalid - Not Informed", I178="Invalid - Ambiguous"), "Gap - Invalid Consent", "Compliant")))))</f>
        <v/>
      </c>
      <c r="O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IF(D179="Legitimate Interest (GDPR Art. 6(1)(f))", "Yes / Required (Sheet 3)", "")</f>
        <v/>
      </c>
      <c r="L179" s="7" t="n"/>
      <c r="M179" s="7" t="n"/>
      <c r="N179">
        <f>IF(D179="", "Gap - No Legal Basis", IF(AND(D179="Consent (GDPR Art. 6(1)(a))", I179="Not Captured"), "Gap - Invalid Consent", IF(AND(D179="Legitimate Interest (GDPR Art. 6(1)(f))", L179=""), "Gap - Missing LIA", IF(AND(G179="Yes", H179=""), "Gap - Missing Art. 9 Basis", IF(OR(I179="Invalid - Not Freely Given", I179="Invalid - Not Specific", I179="Invalid - Not Informed", I179="Invalid - Ambiguous"), "Gap - Invalid Consent", "Compliant")))))</f>
        <v/>
      </c>
      <c r="O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IF(D180="Legitimate Interest (GDPR Art. 6(1)(f))", "Yes / Required (Sheet 3)", "")</f>
        <v/>
      </c>
      <c r="L180" s="7" t="n"/>
      <c r="M180" s="7" t="n"/>
      <c r="N180">
        <f>IF(D180="", "Gap - No Legal Basis", IF(AND(D180="Consent (GDPR Art. 6(1)(a))", I180="Not Captured"), "Gap - Invalid Consent", IF(AND(D180="Legitimate Interest (GDPR Art. 6(1)(f))", L180=""), "Gap - Missing LIA", IF(AND(G180="Yes", H180=""), "Gap - Missing Art. 9 Basis", IF(OR(I180="Invalid - Not Freely Given", I180="Invalid - Not Specific", I180="Invalid - Not Informed", I180="Invalid - Ambiguous"), "Gap - Invalid Consent", "Compliant")))))</f>
        <v/>
      </c>
      <c r="O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IF(D181="Legitimate Interest (GDPR Art. 6(1)(f))", "Yes / Required (Sheet 3)", "")</f>
        <v/>
      </c>
      <c r="L181" s="7" t="n"/>
      <c r="M181" s="7" t="n"/>
      <c r="N181">
        <f>IF(D181="", "Gap - No Legal Basis", IF(AND(D181="Consent (GDPR Art. 6(1)(a))", I181="Not Captured"), "Gap - Invalid Consent", IF(AND(D181="Legitimate Interest (GDPR Art. 6(1)(f))", L181=""), "Gap - Missing LIA", IF(AND(G181="Yes", H181=""), "Gap - Missing Art. 9 Basis", IF(OR(I181="Invalid - Not Freely Given", I181="Invalid - Not Specific", I181="Invalid - Not Informed", I181="Invalid - Ambiguous"), "Gap - Invalid Consent", "Compliant")))))</f>
        <v/>
      </c>
      <c r="O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IF(D182="Legitimate Interest (GDPR Art. 6(1)(f))", "Yes / Required (Sheet 3)", "")</f>
        <v/>
      </c>
      <c r="L182" s="7" t="n"/>
      <c r="M182" s="7" t="n"/>
      <c r="N182">
        <f>IF(D182="", "Gap - No Legal Basis", IF(AND(D182="Consent (GDPR Art. 6(1)(a))", I182="Not Captured"), "Gap - Invalid Consent", IF(AND(D182="Legitimate Interest (GDPR Art. 6(1)(f))", L182=""), "Gap - Missing LIA", IF(AND(G182="Yes", H182=""), "Gap - Missing Art. 9 Basis", IF(OR(I182="Invalid - Not Freely Given", I182="Invalid - Not Specific", I182="Invalid - Not Informed", I182="Invalid - Ambiguous"), "Gap - Invalid Consent", "Compliant")))))</f>
        <v/>
      </c>
      <c r="O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IF(D183="Legitimate Interest (GDPR Art. 6(1)(f))", "Yes / Required (Sheet 3)", "")</f>
        <v/>
      </c>
      <c r="L183" s="7" t="n"/>
      <c r="M183" s="7" t="n"/>
      <c r="N183">
        <f>IF(D183="", "Gap - No Legal Basis", IF(AND(D183="Consent (GDPR Art. 6(1)(a))", I183="Not Captured"), "Gap - Invalid Consent", IF(AND(D183="Legitimate Interest (GDPR Art. 6(1)(f))", L183=""), "Gap - Missing LIA", IF(AND(G183="Yes", H183=""), "Gap - Missing Art. 9 Basis", IF(OR(I183="Invalid - Not Freely Given", I183="Invalid - Not Specific", I183="Invalid - Not Informed", I183="Invalid - Ambiguous"), "Gap - Invalid Consent", "Compliant")))))</f>
        <v/>
      </c>
      <c r="O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IF(D184="Legitimate Interest (GDPR Art. 6(1)(f))", "Yes / Required (Sheet 3)", "")</f>
        <v/>
      </c>
      <c r="L184" s="7" t="n"/>
      <c r="M184" s="7" t="n"/>
      <c r="N184">
        <f>IF(D184="", "Gap - No Legal Basis", IF(AND(D184="Consent (GDPR Art. 6(1)(a))", I184="Not Captured"), "Gap - Invalid Consent", IF(AND(D184="Legitimate Interest (GDPR Art. 6(1)(f))", L184=""), "Gap - Missing LIA", IF(AND(G184="Yes", H184=""), "Gap - Missing Art. 9 Basis", IF(OR(I184="Invalid - Not Freely Given", I184="Invalid - Not Specific", I184="Invalid - Not Informed", I184="Invalid - Ambiguous"), "Gap - Invalid Consent", "Compliant")))))</f>
        <v/>
      </c>
      <c r="O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IF(D185="Legitimate Interest (GDPR Art. 6(1)(f))", "Yes / Required (Sheet 3)", "")</f>
        <v/>
      </c>
      <c r="L185" s="7" t="n"/>
      <c r="M185" s="7" t="n"/>
      <c r="N185">
        <f>IF(D185="", "Gap - No Legal Basis", IF(AND(D185="Consent (GDPR Art. 6(1)(a))", I185="Not Captured"), "Gap - Invalid Consent", IF(AND(D185="Legitimate Interest (GDPR Art. 6(1)(f))", L185=""), "Gap - Missing LIA", IF(AND(G185="Yes", H185=""), "Gap - Missing Art. 9 Basis", IF(OR(I185="Invalid - Not Freely Given", I185="Invalid - Not Specific", I185="Invalid - Not Informed", I185="Invalid - Ambiguous"), "Gap - Invalid Consent", "Compliant")))))</f>
        <v/>
      </c>
      <c r="O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IF(D186="Legitimate Interest (GDPR Art. 6(1)(f))", "Yes / Required (Sheet 3)", "")</f>
        <v/>
      </c>
      <c r="L186" s="7" t="n"/>
      <c r="M186" s="7" t="n"/>
      <c r="N186">
        <f>IF(D186="", "Gap - No Legal Basis", IF(AND(D186="Consent (GDPR Art. 6(1)(a))", I186="Not Captured"), "Gap - Invalid Consent", IF(AND(D186="Legitimate Interest (GDPR Art. 6(1)(f))", L186=""), "Gap - Missing LIA", IF(AND(G186="Yes", H186=""), "Gap - Missing Art. 9 Basis", IF(OR(I186="Invalid - Not Freely Given", I186="Invalid - Not Specific", I186="Invalid - Not Informed", I186="Invalid - Ambiguous"), "Gap - Invalid Consent", "Compliant")))))</f>
        <v/>
      </c>
      <c r="O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IF(D187="Legitimate Interest (GDPR Art. 6(1)(f))", "Yes / Required (Sheet 3)", "")</f>
        <v/>
      </c>
      <c r="L187" s="7" t="n"/>
      <c r="M187" s="7" t="n"/>
      <c r="N187">
        <f>IF(D187="", "Gap - No Legal Basis", IF(AND(D187="Consent (GDPR Art. 6(1)(a))", I187="Not Captured"), "Gap - Invalid Consent", IF(AND(D187="Legitimate Interest (GDPR Art. 6(1)(f))", L187=""), "Gap - Missing LIA", IF(AND(G187="Yes", H187=""), "Gap - Missing Art. 9 Basis", IF(OR(I187="Invalid - Not Freely Given", I187="Invalid - Not Specific", I187="Invalid - Not Informed", I187="Invalid - Ambiguous"), "Gap - Invalid Consent", "Compliant")))))</f>
        <v/>
      </c>
      <c r="O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IF(D188="Legitimate Interest (GDPR Art. 6(1)(f))", "Yes / Required (Sheet 3)", "")</f>
        <v/>
      </c>
      <c r="L188" s="7" t="n"/>
      <c r="M188" s="7" t="n"/>
      <c r="N188">
        <f>IF(D188="", "Gap - No Legal Basis", IF(AND(D188="Consent (GDPR Art. 6(1)(a))", I188="Not Captured"), "Gap - Invalid Consent", IF(AND(D188="Legitimate Interest (GDPR Art. 6(1)(f))", L188=""), "Gap - Missing LIA", IF(AND(G188="Yes", H188=""), "Gap - Missing Art. 9 Basis", IF(OR(I188="Invalid - Not Freely Given", I188="Invalid - Not Specific", I188="Invalid - Not Informed", I188="Invalid - Ambiguous"), "Gap - Invalid Consent", "Compliant")))))</f>
        <v/>
      </c>
      <c r="O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IF(D189="Legitimate Interest (GDPR Art. 6(1)(f))", "Yes / Required (Sheet 3)", "")</f>
        <v/>
      </c>
      <c r="L189" s="7" t="n"/>
      <c r="M189" s="7" t="n"/>
      <c r="N189">
        <f>IF(D189="", "Gap - No Legal Basis", IF(AND(D189="Consent (GDPR Art. 6(1)(a))", I189="Not Captured"), "Gap - Invalid Consent", IF(AND(D189="Legitimate Interest (GDPR Art. 6(1)(f))", L189=""), "Gap - Missing LIA", IF(AND(G189="Yes", H189=""), "Gap - Missing Art. 9 Basis", IF(OR(I189="Invalid - Not Freely Given", I189="Invalid - Not Specific", I189="Invalid - Not Informed", I189="Invalid - Ambiguous"), "Gap - Invalid Consent", "Compliant")))))</f>
        <v/>
      </c>
      <c r="O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IF(D190="Legitimate Interest (GDPR Art. 6(1)(f))", "Yes / Required (Sheet 3)", "")</f>
        <v/>
      </c>
      <c r="L190" s="7" t="n"/>
      <c r="M190" s="7" t="n"/>
      <c r="N190">
        <f>IF(D190="", "Gap - No Legal Basis", IF(AND(D190="Consent (GDPR Art. 6(1)(a))", I190="Not Captured"), "Gap - Invalid Consent", IF(AND(D190="Legitimate Interest (GDPR Art. 6(1)(f))", L190=""), "Gap - Missing LIA", IF(AND(G190="Yes", H190=""), "Gap - Missing Art. 9 Basis", IF(OR(I190="Invalid - Not Freely Given", I190="Invalid - Not Specific", I190="Invalid - Not Informed", I190="Invalid - Ambiguous"), "Gap - Invalid Consent", "Compliant")))))</f>
        <v/>
      </c>
      <c r="O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IF(D191="Legitimate Interest (GDPR Art. 6(1)(f))", "Yes / Required (Sheet 3)", "")</f>
        <v/>
      </c>
      <c r="L191" s="7" t="n"/>
      <c r="M191" s="7" t="n"/>
      <c r="N191">
        <f>IF(D191="", "Gap - No Legal Basis", IF(AND(D191="Consent (GDPR Art. 6(1)(a))", I191="Not Captured"), "Gap - Invalid Consent", IF(AND(D191="Legitimate Interest (GDPR Art. 6(1)(f))", L191=""), "Gap - Missing LIA", IF(AND(G191="Yes", H191=""), "Gap - Missing Art. 9 Basis", IF(OR(I191="Invalid - Not Freely Given", I191="Invalid - Not Specific", I191="Invalid - Not Informed", I191="Invalid - Ambiguous"), "Gap - Invalid Consent", "Compliant")))))</f>
        <v/>
      </c>
      <c r="O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IF(D192="Legitimate Interest (GDPR Art. 6(1)(f))", "Yes / Required (Sheet 3)", "")</f>
        <v/>
      </c>
      <c r="L192" s="7" t="n"/>
      <c r="M192" s="7" t="n"/>
      <c r="N192">
        <f>IF(D192="", "Gap - No Legal Basis", IF(AND(D192="Consent (GDPR Art. 6(1)(a))", I192="Not Captured"), "Gap - Invalid Consent", IF(AND(D192="Legitimate Interest (GDPR Art. 6(1)(f))", L192=""), "Gap - Missing LIA", IF(AND(G192="Yes", H192=""), "Gap - Missing Art. 9 Basis", IF(OR(I192="Invalid - Not Freely Given", I192="Invalid - Not Specific", I192="Invalid - Not Informed", I192="Invalid - Ambiguous"), "Gap - Invalid Consent", "Compliant")))))</f>
        <v/>
      </c>
      <c r="O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IF(D193="Legitimate Interest (GDPR Art. 6(1)(f))", "Yes / Required (Sheet 3)", "")</f>
        <v/>
      </c>
      <c r="L193" s="7" t="n"/>
      <c r="M193" s="7" t="n"/>
      <c r="N193">
        <f>IF(D193="", "Gap - No Legal Basis", IF(AND(D193="Consent (GDPR Art. 6(1)(a))", I193="Not Captured"), "Gap - Invalid Consent", IF(AND(D193="Legitimate Interest (GDPR Art. 6(1)(f))", L193=""), "Gap - Missing LIA", IF(AND(G193="Yes", H193=""), "Gap - Missing Art. 9 Basis", IF(OR(I193="Invalid - Not Freely Given", I193="Invalid - Not Specific", I193="Invalid - Not Informed", I193="Invalid - Ambiguous"), "Gap - Invalid Consent", "Compliant")))))</f>
        <v/>
      </c>
      <c r="O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IF(D194="Legitimate Interest (GDPR Art. 6(1)(f))", "Yes / Required (Sheet 3)", "")</f>
        <v/>
      </c>
      <c r="L194" s="7" t="n"/>
      <c r="M194" s="7" t="n"/>
      <c r="N194">
        <f>IF(D194="", "Gap - No Legal Basis", IF(AND(D194="Consent (GDPR Art. 6(1)(a))", I194="Not Captured"), "Gap - Invalid Consent", IF(AND(D194="Legitimate Interest (GDPR Art. 6(1)(f))", L194=""), "Gap - Missing LIA", IF(AND(G194="Yes", H194=""), "Gap - Missing Art. 9 Basis", IF(OR(I194="Invalid - Not Freely Given", I194="Invalid - Not Specific", I194="Invalid - Not Informed", I194="Invalid - Ambiguous"), "Gap - Invalid Consent", "Compliant")))))</f>
        <v/>
      </c>
      <c r="O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IF(D195="Legitimate Interest (GDPR Art. 6(1)(f))", "Yes / Required (Sheet 3)", "")</f>
        <v/>
      </c>
      <c r="L195" s="7" t="n"/>
      <c r="M195" s="7" t="n"/>
      <c r="N195">
        <f>IF(D195="", "Gap - No Legal Basis", IF(AND(D195="Consent (GDPR Art. 6(1)(a))", I195="Not Captured"), "Gap - Invalid Consent", IF(AND(D195="Legitimate Interest (GDPR Art. 6(1)(f))", L195=""), "Gap - Missing LIA", IF(AND(G195="Yes", H195=""), "Gap - Missing Art. 9 Basis", IF(OR(I195="Invalid - Not Freely Given", I195="Invalid - Not Specific", I195="Invalid - Not Informed", I195="Invalid - Ambiguous"), "Gap - Invalid Consent", "Compliant")))))</f>
        <v/>
      </c>
      <c r="O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IF(D196="Legitimate Interest (GDPR Art. 6(1)(f))", "Yes / Required (Sheet 3)", "")</f>
        <v/>
      </c>
      <c r="L196" s="7" t="n"/>
      <c r="M196" s="7" t="n"/>
      <c r="N196">
        <f>IF(D196="", "Gap - No Legal Basis", IF(AND(D196="Consent (GDPR Art. 6(1)(a))", I196="Not Captured"), "Gap - Invalid Consent", IF(AND(D196="Legitimate Interest (GDPR Art. 6(1)(f))", L196=""), "Gap - Missing LIA", IF(AND(G196="Yes", H196=""), "Gap - Missing Art. 9 Basis", IF(OR(I196="Invalid - Not Freely Given", I196="Invalid - Not Specific", I196="Invalid - Not Informed", I196="Invalid - Ambiguous"), "Gap - Invalid Consent", "Compliant")))))</f>
        <v/>
      </c>
      <c r="O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IF(D197="Legitimate Interest (GDPR Art. 6(1)(f))", "Yes / Required (Sheet 3)", "")</f>
        <v/>
      </c>
      <c r="L197" s="7" t="n"/>
      <c r="M197" s="7" t="n"/>
      <c r="N197">
        <f>IF(D197="", "Gap - No Legal Basis", IF(AND(D197="Consent (GDPR Art. 6(1)(a))", I197="Not Captured"), "Gap - Invalid Consent", IF(AND(D197="Legitimate Interest (GDPR Art. 6(1)(f))", L197=""), "Gap - Missing LIA", IF(AND(G197="Yes", H197=""), "Gap - Missing Art. 9 Basis", IF(OR(I197="Invalid - Not Freely Given", I197="Invalid - Not Specific", I197="Invalid - Not Informed", I197="Invalid - Ambiguous"), "Gap - Invalid Consent", "Compliant")))))</f>
        <v/>
      </c>
      <c r="O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IF(D198="Legitimate Interest (GDPR Art. 6(1)(f))", "Yes / Required (Sheet 3)", "")</f>
        <v/>
      </c>
      <c r="L198" s="7" t="n"/>
      <c r="M198" s="7" t="n"/>
      <c r="N198">
        <f>IF(D198="", "Gap - No Legal Basis", IF(AND(D198="Consent (GDPR Art. 6(1)(a))", I198="Not Captured"), "Gap - Invalid Consent", IF(AND(D198="Legitimate Interest (GDPR Art. 6(1)(f))", L198=""), "Gap - Missing LIA", IF(AND(G198="Yes", H198=""), "Gap - Missing Art. 9 Basis", IF(OR(I198="Invalid - Not Freely Given", I198="Invalid - Not Specific", I198="Invalid - Not Informed", I198="Invalid - Ambiguous"), "Gap - Invalid Consent", "Compliant")))))</f>
        <v/>
      </c>
      <c r="O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IF(D199="Legitimate Interest (GDPR Art. 6(1)(f))", "Yes / Required (Sheet 3)", "")</f>
        <v/>
      </c>
      <c r="L199" s="7" t="n"/>
      <c r="M199" s="7" t="n"/>
      <c r="N199">
        <f>IF(D199="", "Gap - No Legal Basis", IF(AND(D199="Consent (GDPR Art. 6(1)(a))", I199="Not Captured"), "Gap - Invalid Consent", IF(AND(D199="Legitimate Interest (GDPR Art. 6(1)(f))", L199=""), "Gap - Missing LIA", IF(AND(G199="Yes", H199=""), "Gap - Missing Art. 9 Basis", IF(OR(I199="Invalid - Not Freely Given", I199="Invalid - Not Specific", I199="Invalid - Not Informed", I199="Invalid - Ambiguous"), "Gap - Invalid Consent", "Compliant")))))</f>
        <v/>
      </c>
      <c r="O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IF(D200="Legitimate Interest (GDPR Art. 6(1)(f))", "Yes / Required (Sheet 3)", "")</f>
        <v/>
      </c>
      <c r="L200" s="7" t="n"/>
      <c r="M200" s="7" t="n"/>
      <c r="N200">
        <f>IF(D200="", "Gap - No Legal Basis", IF(AND(D200="Consent (GDPR Art. 6(1)(a))", I200="Not Captured"), "Gap - Invalid Consent", IF(AND(D200="Legitimate Interest (GDPR Art. 6(1)(f))", L200=""), "Gap - Missing LIA", IF(AND(G200="Yes", H200=""), "Gap - Missing Art. 9 Basis", IF(OR(I200="Invalid - Not Freely Given", I200="Invalid - Not Specific", I200="Invalid - Not Informed", I200="Invalid - Ambiguous"), "Gap - Invalid Consent", "Compliant")))))</f>
        <v/>
      </c>
      <c r="O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IF(D201="Legitimate Interest (GDPR Art. 6(1)(f))", "Yes / Required (Sheet 3)", "")</f>
        <v/>
      </c>
      <c r="L201" s="7" t="n"/>
      <c r="M201" s="7" t="n"/>
      <c r="N201">
        <f>IF(D201="", "Gap - No Legal Basis", IF(AND(D201="Consent (GDPR Art. 6(1)(a))", I201="Not Captured"), "Gap - Invalid Consent", IF(AND(D201="Legitimate Interest (GDPR Art. 6(1)(f))", L201=""), "Gap - Missing LIA", IF(AND(G201="Yes", H201=""), "Gap - Missing Art. 9 Basis", IF(OR(I201="Invalid - Not Freely Given", I201="Invalid - Not Specific", I201="Invalid - Not Informed", I201="Invalid - Ambiguous"), "Gap - Invalid Consent", "Compliant")))))</f>
        <v/>
      </c>
      <c r="O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IF(D202="Legitimate Interest (GDPR Art. 6(1)(f))", "Yes / Required (Sheet 3)", "")</f>
        <v/>
      </c>
      <c r="L202" s="7" t="n"/>
      <c r="M202" s="7" t="n"/>
      <c r="N202">
        <f>IF(D202="", "Gap - No Legal Basis", IF(AND(D202="Consent (GDPR Art. 6(1)(a))", I202="Not Captured"), "Gap - Invalid Consent", IF(AND(D202="Legitimate Interest (GDPR Art. 6(1)(f))", L202=""), "Gap - Missing LIA", IF(AND(G202="Yes", H202=""), "Gap - Missing Art. 9 Basis", IF(OR(I202="Invalid - Not Freely Given", I202="Invalid - Not Specific", I202="Invalid - Not Informed", I202="Invalid - Ambiguous"), "Gap - Invalid Consent", "Compliant")))))</f>
        <v/>
      </c>
      <c r="O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IF(D203="Legitimate Interest (GDPR Art. 6(1)(f))", "Yes / Required (Sheet 3)", "")</f>
        <v/>
      </c>
      <c r="L203" s="7" t="n"/>
      <c r="M203" s="7" t="n"/>
      <c r="N203">
        <f>IF(D203="", "Gap - No Legal Basis", IF(AND(D203="Consent (GDPR Art. 6(1)(a))", I203="Not Captured"), "Gap - Invalid Consent", IF(AND(D203="Legitimate Interest (GDPR Art. 6(1)(f))", L203=""), "Gap - Missing LIA", IF(AND(G203="Yes", H203=""), "Gap - Missing Art. 9 Basis", IF(OR(I203="Invalid - Not Freely Given", I203="Invalid - Not Specific", I203="Invalid - Not Informed", I203="Invalid - Ambiguous"), "Gap - Invalid Consent", "Compliant")))))</f>
        <v/>
      </c>
      <c r="O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IF(D204="Legitimate Interest (GDPR Art. 6(1)(f))", "Yes / Required (Sheet 3)", "")</f>
        <v/>
      </c>
      <c r="L204" s="7" t="n"/>
      <c r="M204" s="7" t="n"/>
      <c r="N204">
        <f>IF(D204="", "Gap - No Legal Basis", IF(AND(D204="Consent (GDPR Art. 6(1)(a))", I204="Not Captured"), "Gap - Invalid Consent", IF(AND(D204="Legitimate Interest (GDPR Art. 6(1)(f))", L204=""), "Gap - Missing LIA", IF(AND(G204="Yes", H204=""), "Gap - Missing Art. 9 Basis", IF(OR(I204="Invalid - Not Freely Given", I204="Invalid - Not Specific", I204="Invalid - Not Informed", I204="Invalid - Ambiguous"), "Gap - Invalid Consent", "Compliant")))))</f>
        <v/>
      </c>
      <c r="O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IF(D205="Legitimate Interest (GDPR Art. 6(1)(f))", "Yes / Required (Sheet 3)", "")</f>
        <v/>
      </c>
      <c r="L205" s="7" t="n"/>
      <c r="M205" s="7" t="n"/>
      <c r="N205">
        <f>IF(D205="", "Gap - No Legal Basis", IF(AND(D205="Consent (GDPR Art. 6(1)(a))", I205="Not Captured"), "Gap - Invalid Consent", IF(AND(D205="Legitimate Interest (GDPR Art. 6(1)(f))", L205=""), "Gap - Missing LIA", IF(AND(G205="Yes", H205=""), "Gap - Missing Art. 9 Basis", IF(OR(I205="Invalid - Not Freely Given", I205="Invalid - Not Specific", I205="Invalid - Not Informed", I205="Invalid - Ambiguous"), "Gap - Invalid Consent", "Compliant")))))</f>
        <v/>
      </c>
      <c r="O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IF(D206="Legitimate Interest (GDPR Art. 6(1)(f))", "Yes / Required (Sheet 3)", "")</f>
        <v/>
      </c>
      <c r="L206" s="7" t="n"/>
      <c r="M206" s="7" t="n"/>
      <c r="N206">
        <f>IF(D206="", "Gap - No Legal Basis", IF(AND(D206="Consent (GDPR Art. 6(1)(a))", I206="Not Captured"), "Gap - Invalid Consent", IF(AND(D206="Legitimate Interest (GDPR Art. 6(1)(f))", L206=""), "Gap - Missing LIA", IF(AND(G206="Yes", H206=""), "Gap - Missing Art. 9 Basis", IF(OR(I206="Invalid - Not Freely Given", I206="Invalid - Not Specific", I206="Invalid - Not Informed", I206="Invalid - Ambiguous"), "Gap - Invalid Consent", "Compliant")))))</f>
        <v/>
      </c>
      <c r="O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IF(D207="Legitimate Interest (GDPR Art. 6(1)(f))", "Yes / Required (Sheet 3)", "")</f>
        <v/>
      </c>
      <c r="L207" s="7" t="n"/>
      <c r="M207" s="7" t="n"/>
      <c r="N207">
        <f>IF(D207="", "Gap - No Legal Basis", IF(AND(D207="Consent (GDPR Art. 6(1)(a))", I207="Not Captured"), "Gap - Invalid Consent", IF(AND(D207="Legitimate Interest (GDPR Art. 6(1)(f))", L207=""), "Gap - Missing LIA", IF(AND(G207="Yes", H207=""), "Gap - Missing Art. 9 Basis", IF(OR(I207="Invalid - Not Freely Given", I207="Invalid - Not Specific", I207="Invalid - Not Informed", I207="Invalid - Ambiguous"), "Gap - Invalid Consent", "Compliant")))))</f>
        <v/>
      </c>
      <c r="O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IF(D208="Legitimate Interest (GDPR Art. 6(1)(f))", "Yes / Required (Sheet 3)", "")</f>
        <v/>
      </c>
      <c r="L208" s="7" t="n"/>
      <c r="M208" s="7" t="n"/>
      <c r="N208">
        <f>IF(D208="", "Gap - No Legal Basis", IF(AND(D208="Consent (GDPR Art. 6(1)(a))", I208="Not Captured"), "Gap - Invalid Consent", IF(AND(D208="Legitimate Interest (GDPR Art. 6(1)(f))", L208=""), "Gap - Missing LIA", IF(AND(G208="Yes", H208=""), "Gap - Missing Art. 9 Basis", IF(OR(I208="Invalid - Not Freely Given", I208="Invalid - Not Specific", I208="Invalid - Not Informed", I208="Invalid - Ambiguous"), "Gap - Invalid Consent", "Compliant")))))</f>
        <v/>
      </c>
      <c r="O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IF(D209="Legitimate Interest (GDPR Art. 6(1)(f))", "Yes / Required (Sheet 3)", "")</f>
        <v/>
      </c>
      <c r="L209" s="7" t="n"/>
      <c r="M209" s="7" t="n"/>
      <c r="N209">
        <f>IF(D209="", "Gap - No Legal Basis", IF(AND(D209="Consent (GDPR Art. 6(1)(a))", I209="Not Captured"), "Gap - Invalid Consent", IF(AND(D209="Legitimate Interest (GDPR Art. 6(1)(f))", L209=""), "Gap - Missing LIA", IF(AND(G209="Yes", H209=""), "Gap - Missing Art. 9 Basis", IF(OR(I209="Invalid - Not Freely Given", I209="Invalid - Not Specific", I209="Invalid - Not Informed", I209="Invalid - Ambiguous"), "Gap - Invalid Consent", "Compliant")))))</f>
        <v/>
      </c>
      <c r="O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IF(D210="Legitimate Interest (GDPR Art. 6(1)(f))", "Yes / Required (Sheet 3)", "")</f>
        <v/>
      </c>
      <c r="L210" s="7" t="n"/>
      <c r="M210" s="7" t="n"/>
      <c r="N210">
        <f>IF(D210="", "Gap - No Legal Basis", IF(AND(D210="Consent (GDPR Art. 6(1)(a))", I210="Not Captured"), "Gap - Invalid Consent", IF(AND(D210="Legitimate Interest (GDPR Art. 6(1)(f))", L210=""), "Gap - Missing LIA", IF(AND(G210="Yes", H210=""), "Gap - Missing Art. 9 Basis", IF(OR(I210="Invalid - Not Freely Given", I210="Invalid - Not Specific", I210="Invalid - Not Informed", I210="Invalid - Ambiguous"), "Gap - Invalid Consent", "Compliant")))))</f>
        <v/>
      </c>
      <c r="O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IF(D211="Legitimate Interest (GDPR Art. 6(1)(f))", "Yes / Required (Sheet 3)", "")</f>
        <v/>
      </c>
      <c r="L211" s="7" t="n"/>
      <c r="M211" s="7" t="n"/>
      <c r="N211">
        <f>IF(D211="", "Gap - No Legal Basis", IF(AND(D211="Consent (GDPR Art. 6(1)(a))", I211="Not Captured"), "Gap - Invalid Consent", IF(AND(D211="Legitimate Interest (GDPR Art. 6(1)(f))", L211=""), "Gap - Missing LIA", IF(AND(G211="Yes", H211=""), "Gap - Missing Art. 9 Basis", IF(OR(I211="Invalid - Not Freely Given", I211="Invalid - Not Specific", I211="Invalid - Not Informed", I211="Invalid - Ambiguous"), "Gap - Invalid Consent", "Compliant")))))</f>
        <v/>
      </c>
      <c r="O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IF(D212="Legitimate Interest (GDPR Art. 6(1)(f))", "Yes / Required (Sheet 3)", "")</f>
        <v/>
      </c>
      <c r="L212" s="7" t="n"/>
      <c r="M212" s="7" t="n"/>
      <c r="N212">
        <f>IF(D212="", "Gap - No Legal Basis", IF(AND(D212="Consent (GDPR Art. 6(1)(a))", I212="Not Captured"), "Gap - Invalid Consent", IF(AND(D212="Legitimate Interest (GDPR Art. 6(1)(f))", L212=""), "Gap - Missing LIA", IF(AND(G212="Yes", H212=""), "Gap - Missing Art. 9 Basis", IF(OR(I212="Invalid - Not Freely Given", I212="Invalid - Not Specific", I212="Invalid - Not Informed", I212="Invalid - Ambiguous"), "Gap - Invalid Consent", "Compliant")))))</f>
        <v/>
      </c>
      <c r="O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IF(D213="Legitimate Interest (GDPR Art. 6(1)(f))", "Yes / Required (Sheet 3)", "")</f>
        <v/>
      </c>
      <c r="L213" s="7" t="n"/>
      <c r="M213" s="7" t="n"/>
      <c r="N213">
        <f>IF(D213="", "Gap - No Legal Basis", IF(AND(D213="Consent (GDPR Art. 6(1)(a))", I213="Not Captured"), "Gap - Invalid Consent", IF(AND(D213="Legitimate Interest (GDPR Art. 6(1)(f))", L213=""), "Gap - Missing LIA", IF(AND(G213="Yes", H213=""), "Gap - Missing Art. 9 Basis", IF(OR(I213="Invalid - Not Freely Given", I213="Invalid - Not Specific", I213="Invalid - Not Informed", I213="Invalid - Ambiguous"), "Gap - Invalid Consent", "Compliant")))))</f>
        <v/>
      </c>
      <c r="O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IF(D214="Legitimate Interest (GDPR Art. 6(1)(f))", "Yes / Required (Sheet 3)", "")</f>
        <v/>
      </c>
      <c r="L214" s="7" t="n"/>
      <c r="M214" s="7" t="n"/>
      <c r="N214">
        <f>IF(D214="", "Gap - No Legal Basis", IF(AND(D214="Consent (GDPR Art. 6(1)(a))", I214="Not Captured"), "Gap - Invalid Consent", IF(AND(D214="Legitimate Interest (GDPR Art. 6(1)(f))", L214=""), "Gap - Missing LIA", IF(AND(G214="Yes", H214=""), "Gap - Missing Art. 9 Basis", IF(OR(I214="Invalid - Not Freely Given", I214="Invalid - Not Specific", I214="Invalid - Not Informed", I214="Invalid - Ambiguous"), "Gap - Invalid Consent", "Compliant")))))</f>
        <v/>
      </c>
      <c r="O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IF(D215="Legitimate Interest (GDPR Art. 6(1)(f))", "Yes / Required (Sheet 3)", "")</f>
        <v/>
      </c>
      <c r="L215" s="7" t="n"/>
      <c r="M215" s="7" t="n"/>
      <c r="N215">
        <f>IF(D215="", "Gap - No Legal Basis", IF(AND(D215="Consent (GDPR Art. 6(1)(a))", I215="Not Captured"), "Gap - Invalid Consent", IF(AND(D215="Legitimate Interest (GDPR Art. 6(1)(f))", L215=""), "Gap - Missing LIA", IF(AND(G215="Yes", H215=""), "Gap - Missing Art. 9 Basis", IF(OR(I215="Invalid - Not Freely Given", I215="Invalid - Not Specific", I215="Invalid - Not Informed", I215="Invalid - Ambiguous"), "Gap - Invalid Consent", "Compliant")))))</f>
        <v/>
      </c>
      <c r="O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IF(D216="Legitimate Interest (GDPR Art. 6(1)(f))", "Yes / Required (Sheet 3)", "")</f>
        <v/>
      </c>
      <c r="L216" s="7" t="n"/>
      <c r="M216" s="7" t="n"/>
      <c r="N216">
        <f>IF(D216="", "Gap - No Legal Basis", IF(AND(D216="Consent (GDPR Art. 6(1)(a))", I216="Not Captured"), "Gap - Invalid Consent", IF(AND(D216="Legitimate Interest (GDPR Art. 6(1)(f))", L216=""), "Gap - Missing LIA", IF(AND(G216="Yes", H216=""), "Gap - Missing Art. 9 Basis", IF(OR(I216="Invalid - Not Freely Given", I216="Invalid - Not Specific", I216="Invalid - Not Informed", I216="Invalid - Ambiguous"), "Gap - Invalid Consent", "Compliant")))))</f>
        <v/>
      </c>
      <c r="O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IF(D217="Legitimate Interest (GDPR Art. 6(1)(f))", "Yes / Required (Sheet 3)", "")</f>
        <v/>
      </c>
      <c r="L217" s="7" t="n"/>
      <c r="M217" s="7" t="n"/>
      <c r="N217">
        <f>IF(D217="", "Gap - No Legal Basis", IF(AND(D217="Consent (GDPR Art. 6(1)(a))", I217="Not Captured"), "Gap - Invalid Consent", IF(AND(D217="Legitimate Interest (GDPR Art. 6(1)(f))", L217=""), "Gap - Missing LIA", IF(AND(G217="Yes", H217=""), "Gap - Missing Art. 9 Basis", IF(OR(I217="Invalid - Not Freely Given", I217="Invalid - Not Specific", I217="Invalid - Not Informed", I217="Invalid - Ambiguous"), "Gap - Invalid Consent", "Compliant")))))</f>
        <v/>
      </c>
      <c r="O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IF(D218="Legitimate Interest (GDPR Art. 6(1)(f))", "Yes / Required (Sheet 3)", "")</f>
        <v/>
      </c>
      <c r="L218" s="7" t="n"/>
      <c r="M218" s="7" t="n"/>
      <c r="N218">
        <f>IF(D218="", "Gap - No Legal Basis", IF(AND(D218="Consent (GDPR Art. 6(1)(a))", I218="Not Captured"), "Gap - Invalid Consent", IF(AND(D218="Legitimate Interest (GDPR Art. 6(1)(f))", L218=""), "Gap - Missing LIA", IF(AND(G218="Yes", H218=""), "Gap - Missing Art. 9 Basis", IF(OR(I218="Invalid - Not Freely Given", I218="Invalid - Not Specific", I218="Invalid - Not Informed", I218="Invalid - Ambiguous"), "Gap - Invalid Consent", "Compliant")))))</f>
        <v/>
      </c>
      <c r="O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IF(D219="Legitimate Interest (GDPR Art. 6(1)(f))", "Yes / Required (Sheet 3)", "")</f>
        <v/>
      </c>
      <c r="L219" s="7" t="n"/>
      <c r="M219" s="7" t="n"/>
      <c r="N219">
        <f>IF(D219="", "Gap - No Legal Basis", IF(AND(D219="Consent (GDPR Art. 6(1)(a))", I219="Not Captured"), "Gap - Invalid Consent", IF(AND(D219="Legitimate Interest (GDPR Art. 6(1)(f))", L219=""), "Gap - Missing LIA", IF(AND(G219="Yes", H219=""), "Gap - Missing Art. 9 Basis", IF(OR(I219="Invalid - Not Freely Given", I219="Invalid - Not Specific", I219="Invalid - Not Informed", I219="Invalid - Ambiguous"), "Gap - Invalid Consent", "Compliant")))))</f>
        <v/>
      </c>
      <c r="O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IF(D220="Legitimate Interest (GDPR Art. 6(1)(f))", "Yes / Required (Sheet 3)", "")</f>
        <v/>
      </c>
      <c r="L220" s="7" t="n"/>
      <c r="M220" s="7" t="n"/>
      <c r="N220">
        <f>IF(D220="", "Gap - No Legal Basis", IF(AND(D220="Consent (GDPR Art. 6(1)(a))", I220="Not Captured"), "Gap - Invalid Consent", IF(AND(D220="Legitimate Interest (GDPR Art. 6(1)(f))", L220=""), "Gap - Missing LIA", IF(AND(G220="Yes", H220=""), "Gap - Missing Art. 9 Basis", IF(OR(I220="Invalid - Not Freely Given", I220="Invalid - Not Specific", I220="Invalid - Not Informed", I220="Invalid - Ambiguous"), "Gap - Invalid Consent", "Compliant")))))</f>
        <v/>
      </c>
      <c r="O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IF(D221="Legitimate Interest (GDPR Art. 6(1)(f))", "Yes / Required (Sheet 3)", "")</f>
        <v/>
      </c>
      <c r="L221" s="7" t="n"/>
      <c r="M221" s="7" t="n"/>
      <c r="N221">
        <f>IF(D221="", "Gap - No Legal Basis", IF(AND(D221="Consent (GDPR Art. 6(1)(a))", I221="Not Captured"), "Gap - Invalid Consent", IF(AND(D221="Legitimate Interest (GDPR Art. 6(1)(f))", L221=""), "Gap - Missing LIA", IF(AND(G221="Yes", H221=""), "Gap - Missing Art. 9 Basis", IF(OR(I221="Invalid - Not Freely Given", I221="Invalid - Not Specific", I221="Invalid - Not Informed", I221="Invalid - Ambiguous"), "Gap - Invalid Consent", "Compliant")))))</f>
        <v/>
      </c>
      <c r="O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IF(D222="Legitimate Interest (GDPR Art. 6(1)(f))", "Yes / Required (Sheet 3)", "")</f>
        <v/>
      </c>
      <c r="L222" s="7" t="n"/>
      <c r="M222" s="7" t="n"/>
      <c r="N222">
        <f>IF(D222="", "Gap - No Legal Basis", IF(AND(D222="Consent (GDPR Art. 6(1)(a))", I222="Not Captured"), "Gap - Invalid Consent", IF(AND(D222="Legitimate Interest (GDPR Art. 6(1)(f))", L222=""), "Gap - Missing LIA", IF(AND(G222="Yes", H222=""), "Gap - Missing Art. 9 Basis", IF(OR(I222="Invalid - Not Freely Given", I222="Invalid - Not Specific", I222="Invalid - Not Informed", I222="Invalid - Ambiguous"), "Gap - Invalid Consent", "Compliant")))))</f>
        <v/>
      </c>
      <c r="O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IF(D223="Legitimate Interest (GDPR Art. 6(1)(f))", "Yes / Required (Sheet 3)", "")</f>
        <v/>
      </c>
      <c r="L223" s="7" t="n"/>
      <c r="M223" s="7" t="n"/>
      <c r="N223">
        <f>IF(D223="", "Gap - No Legal Basis", IF(AND(D223="Consent (GDPR Art. 6(1)(a))", I223="Not Captured"), "Gap - Invalid Consent", IF(AND(D223="Legitimate Interest (GDPR Art. 6(1)(f))", L223=""), "Gap - Missing LIA", IF(AND(G223="Yes", H223=""), "Gap - Missing Art. 9 Basis", IF(OR(I223="Invalid - Not Freely Given", I223="Invalid - Not Specific", I223="Invalid - Not Informed", I223="Invalid - Ambiguous"), "Gap - Invalid Consent", "Compliant")))))</f>
        <v/>
      </c>
      <c r="O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IF(D224="Legitimate Interest (GDPR Art. 6(1)(f))", "Yes / Required (Sheet 3)", "")</f>
        <v/>
      </c>
      <c r="L224" s="7" t="n"/>
      <c r="M224" s="7" t="n"/>
      <c r="N224">
        <f>IF(D224="", "Gap - No Legal Basis", IF(AND(D224="Consent (GDPR Art. 6(1)(a))", I224="Not Captured"), "Gap - Invalid Consent", IF(AND(D224="Legitimate Interest (GDPR Art. 6(1)(f))", L224=""), "Gap - Missing LIA", IF(AND(G224="Yes", H224=""), "Gap - Missing Art. 9 Basis", IF(OR(I224="Invalid - Not Freely Given", I224="Invalid - Not Specific", I224="Invalid - Not Informed", I224="Invalid - Ambiguous"), "Gap - Invalid Consent", "Compliant")))))</f>
        <v/>
      </c>
      <c r="O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IF(D225="Legitimate Interest (GDPR Art. 6(1)(f))", "Yes / Required (Sheet 3)", "")</f>
        <v/>
      </c>
      <c r="L225" s="7" t="n"/>
      <c r="M225" s="7" t="n"/>
      <c r="N225">
        <f>IF(D225="", "Gap - No Legal Basis", IF(AND(D225="Consent (GDPR Art. 6(1)(a))", I225="Not Captured"), "Gap - Invalid Consent", IF(AND(D225="Legitimate Interest (GDPR Art. 6(1)(f))", L225=""), "Gap - Missing LIA", IF(AND(G225="Yes", H225=""), "Gap - Missing Art. 9 Basis", IF(OR(I225="Invalid - Not Freely Given", I225="Invalid - Not Specific", I225="Invalid - Not Informed", I225="Invalid - Ambiguous"), "Gap - Invalid Consent", "Compliant")))))</f>
        <v/>
      </c>
      <c r="O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IF(D226="Legitimate Interest (GDPR Art. 6(1)(f))", "Yes / Required (Sheet 3)", "")</f>
        <v/>
      </c>
      <c r="L226" s="7" t="n"/>
      <c r="M226" s="7" t="n"/>
      <c r="N226">
        <f>IF(D226="", "Gap - No Legal Basis", IF(AND(D226="Consent (GDPR Art. 6(1)(a))", I226="Not Captured"), "Gap - Invalid Consent", IF(AND(D226="Legitimate Interest (GDPR Art. 6(1)(f))", L226=""), "Gap - Missing LIA", IF(AND(G226="Yes", H226=""), "Gap - Missing Art. 9 Basis", IF(OR(I226="Invalid - Not Freely Given", I226="Invalid - Not Specific", I226="Invalid - Not Informed", I226="Invalid - Ambiguous"), "Gap - Invalid Consent", "Compliant")))))</f>
        <v/>
      </c>
      <c r="O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IF(D227="Legitimate Interest (GDPR Art. 6(1)(f))", "Yes / Required (Sheet 3)", "")</f>
        <v/>
      </c>
      <c r="L227" s="7" t="n"/>
      <c r="M227" s="7" t="n"/>
      <c r="N227">
        <f>IF(D227="", "Gap - No Legal Basis", IF(AND(D227="Consent (GDPR Art. 6(1)(a))", I227="Not Captured"), "Gap - Invalid Consent", IF(AND(D227="Legitimate Interest (GDPR Art. 6(1)(f))", L227=""), "Gap - Missing LIA", IF(AND(G227="Yes", H227=""), "Gap - Missing Art. 9 Basis", IF(OR(I227="Invalid - Not Freely Given", I227="Invalid - Not Specific", I227="Invalid - Not Informed", I227="Invalid - Ambiguous"), "Gap - Invalid Consent", "Compliant")))))</f>
        <v/>
      </c>
      <c r="O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IF(D228="Legitimate Interest (GDPR Art. 6(1)(f))", "Yes / Required (Sheet 3)", "")</f>
        <v/>
      </c>
      <c r="L228" s="7" t="n"/>
      <c r="M228" s="7" t="n"/>
      <c r="N228">
        <f>IF(D228="", "Gap - No Legal Basis", IF(AND(D228="Consent (GDPR Art. 6(1)(a))", I228="Not Captured"), "Gap - Invalid Consent", IF(AND(D228="Legitimate Interest (GDPR Art. 6(1)(f))", L228=""), "Gap - Missing LIA", IF(AND(G228="Yes", H228=""), "Gap - Missing Art. 9 Basis", IF(OR(I228="Invalid - Not Freely Given", I228="Invalid - Not Specific", I228="Invalid - Not Informed", I228="Invalid - Ambiguous"), "Gap - Invalid Consent", "Compliant")))))</f>
        <v/>
      </c>
      <c r="O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IF(D229="Legitimate Interest (GDPR Art. 6(1)(f))", "Yes / Required (Sheet 3)", "")</f>
        <v/>
      </c>
      <c r="L229" s="7" t="n"/>
      <c r="M229" s="7" t="n"/>
      <c r="N229">
        <f>IF(D229="", "Gap - No Legal Basis", IF(AND(D229="Consent (GDPR Art. 6(1)(a))", I229="Not Captured"), "Gap - Invalid Consent", IF(AND(D229="Legitimate Interest (GDPR Art. 6(1)(f))", L229=""), "Gap - Missing LIA", IF(AND(G229="Yes", H229=""), "Gap - Missing Art. 9 Basis", IF(OR(I229="Invalid - Not Freely Given", I229="Invalid - Not Specific", I229="Invalid - Not Informed", I229="Invalid - Ambiguous"), "Gap - Invalid Consent", "Compliant")))))</f>
        <v/>
      </c>
      <c r="O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IF(D230="Legitimate Interest (GDPR Art. 6(1)(f))", "Yes / Required (Sheet 3)", "")</f>
        <v/>
      </c>
      <c r="L230" s="7" t="n"/>
      <c r="M230" s="7" t="n"/>
      <c r="N230">
        <f>IF(D230="", "Gap - No Legal Basis", IF(AND(D230="Consent (GDPR Art. 6(1)(a))", I230="Not Captured"), "Gap - Invalid Consent", IF(AND(D230="Legitimate Interest (GDPR Art. 6(1)(f))", L230=""), "Gap - Missing LIA", IF(AND(G230="Yes", H230=""), "Gap - Missing Art. 9 Basis", IF(OR(I230="Invalid - Not Freely Given", I230="Invalid - Not Specific", I230="Invalid - Not Informed", I230="Invalid - Ambiguous"), "Gap - Invalid Consent", "Compliant")))))</f>
        <v/>
      </c>
      <c r="O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IF(D231="Legitimate Interest (GDPR Art. 6(1)(f))", "Yes / Required (Sheet 3)", "")</f>
        <v/>
      </c>
      <c r="L231" s="7" t="n"/>
      <c r="M231" s="7" t="n"/>
      <c r="N231">
        <f>IF(D231="", "Gap - No Legal Basis", IF(AND(D231="Consent (GDPR Art. 6(1)(a))", I231="Not Captured"), "Gap - Invalid Consent", IF(AND(D231="Legitimate Interest (GDPR Art. 6(1)(f))", L231=""), "Gap - Missing LIA", IF(AND(G231="Yes", H231=""), "Gap - Missing Art. 9 Basis", IF(OR(I231="Invalid - Not Freely Given", I231="Invalid - Not Specific", I231="Invalid - Not Informed", I231="Invalid - Ambiguous"), "Gap - Invalid Consent", "Compliant")))))</f>
        <v/>
      </c>
      <c r="O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IF(D232="Legitimate Interest (GDPR Art. 6(1)(f))", "Yes / Required (Sheet 3)", "")</f>
        <v/>
      </c>
      <c r="L232" s="7" t="n"/>
      <c r="M232" s="7" t="n"/>
      <c r="N232">
        <f>IF(D232="", "Gap - No Legal Basis", IF(AND(D232="Consent (GDPR Art. 6(1)(a))", I232="Not Captured"), "Gap - Invalid Consent", IF(AND(D232="Legitimate Interest (GDPR Art. 6(1)(f))", L232=""), "Gap - Missing LIA", IF(AND(G232="Yes", H232=""), "Gap - Missing Art. 9 Basis", IF(OR(I232="Invalid - Not Freely Given", I232="Invalid - Not Specific", I232="Invalid - Not Informed", I232="Invalid - Ambiguous"), "Gap - Invalid Consent", "Compliant")))))</f>
        <v/>
      </c>
      <c r="O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IF(D233="Legitimate Interest (GDPR Art. 6(1)(f))", "Yes / Required (Sheet 3)", "")</f>
        <v/>
      </c>
      <c r="L233" s="7" t="n"/>
      <c r="M233" s="7" t="n"/>
      <c r="N233">
        <f>IF(D233="", "Gap - No Legal Basis", IF(AND(D233="Consent (GDPR Art. 6(1)(a))", I233="Not Captured"), "Gap - Invalid Consent", IF(AND(D233="Legitimate Interest (GDPR Art. 6(1)(f))", L233=""), "Gap - Missing LIA", IF(AND(G233="Yes", H233=""), "Gap - Missing Art. 9 Basis", IF(OR(I233="Invalid - Not Freely Given", I233="Invalid - Not Specific", I233="Invalid - Not Informed", I233="Invalid - Ambiguous"), "Gap - Invalid Consent", "Compliant")))))</f>
        <v/>
      </c>
      <c r="O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IF(D234="Legitimate Interest (GDPR Art. 6(1)(f))", "Yes / Required (Sheet 3)", "")</f>
        <v/>
      </c>
      <c r="L234" s="7" t="n"/>
      <c r="M234" s="7" t="n"/>
      <c r="N234">
        <f>IF(D234="", "Gap - No Legal Basis", IF(AND(D234="Consent (GDPR Art. 6(1)(a))", I234="Not Captured"), "Gap - Invalid Consent", IF(AND(D234="Legitimate Interest (GDPR Art. 6(1)(f))", L234=""), "Gap - Missing LIA", IF(AND(G234="Yes", H234=""), "Gap - Missing Art. 9 Basis", IF(OR(I234="Invalid - Not Freely Given", I234="Invalid - Not Specific", I234="Invalid - Not Informed", I234="Invalid - Ambiguous"), "Gap - Invalid Consent", "Compliant")))))</f>
        <v/>
      </c>
      <c r="O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IF(D235="Legitimate Interest (GDPR Art. 6(1)(f))", "Yes / Required (Sheet 3)", "")</f>
        <v/>
      </c>
      <c r="L235" s="7" t="n"/>
      <c r="M235" s="7" t="n"/>
      <c r="N235">
        <f>IF(D235="", "Gap - No Legal Basis", IF(AND(D235="Consent (GDPR Art. 6(1)(a))", I235="Not Captured"), "Gap - Invalid Consent", IF(AND(D235="Legitimate Interest (GDPR Art. 6(1)(f))", L235=""), "Gap - Missing LIA", IF(AND(G235="Yes", H235=""), "Gap - Missing Art. 9 Basis", IF(OR(I235="Invalid - Not Freely Given", I235="Invalid - Not Specific", I235="Invalid - Not Informed", I235="Invalid - Ambiguous"), "Gap - Invalid Consent", "Compliant")))))</f>
        <v/>
      </c>
      <c r="O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IF(D236="Legitimate Interest (GDPR Art. 6(1)(f))", "Yes / Required (Sheet 3)", "")</f>
        <v/>
      </c>
      <c r="L236" s="7" t="n"/>
      <c r="M236" s="7" t="n"/>
      <c r="N236">
        <f>IF(D236="", "Gap - No Legal Basis", IF(AND(D236="Consent (GDPR Art. 6(1)(a))", I236="Not Captured"), "Gap - Invalid Consent", IF(AND(D236="Legitimate Interest (GDPR Art. 6(1)(f))", L236=""), "Gap - Missing LIA", IF(AND(G236="Yes", H236=""), "Gap - Missing Art. 9 Basis", IF(OR(I236="Invalid - Not Freely Given", I236="Invalid - Not Specific", I236="Invalid - Not Informed", I236="Invalid - Ambiguous"), "Gap - Invalid Consent", "Compliant")))))</f>
        <v/>
      </c>
      <c r="O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IF(D237="Legitimate Interest (GDPR Art. 6(1)(f))", "Yes / Required (Sheet 3)", "")</f>
        <v/>
      </c>
      <c r="L237" s="7" t="n"/>
      <c r="M237" s="7" t="n"/>
      <c r="N237">
        <f>IF(D237="", "Gap - No Legal Basis", IF(AND(D237="Consent (GDPR Art. 6(1)(a))", I237="Not Captured"), "Gap - Invalid Consent", IF(AND(D237="Legitimate Interest (GDPR Art. 6(1)(f))", L237=""), "Gap - Missing LIA", IF(AND(G237="Yes", H237=""), "Gap - Missing Art. 9 Basis", IF(OR(I237="Invalid - Not Freely Given", I237="Invalid - Not Specific", I237="Invalid - Not Informed", I237="Invalid - Ambiguous"), "Gap - Invalid Consent", "Compliant")))))</f>
        <v/>
      </c>
      <c r="O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IF(D238="Legitimate Interest (GDPR Art. 6(1)(f))", "Yes / Required (Sheet 3)", "")</f>
        <v/>
      </c>
      <c r="L238" s="7" t="n"/>
      <c r="M238" s="7" t="n"/>
      <c r="N238">
        <f>IF(D238="", "Gap - No Legal Basis", IF(AND(D238="Consent (GDPR Art. 6(1)(a))", I238="Not Captured"), "Gap - Invalid Consent", IF(AND(D238="Legitimate Interest (GDPR Art. 6(1)(f))", L238=""), "Gap - Missing LIA", IF(AND(G238="Yes", H238=""), "Gap - Missing Art. 9 Basis", IF(OR(I238="Invalid - Not Freely Given", I238="Invalid - Not Specific", I238="Invalid - Not Informed", I238="Invalid - Ambiguous"), "Gap - Invalid Consent", "Compliant")))))</f>
        <v/>
      </c>
      <c r="O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IF(D239="Legitimate Interest (GDPR Art. 6(1)(f))", "Yes / Required (Sheet 3)", "")</f>
        <v/>
      </c>
      <c r="L239" s="7" t="n"/>
      <c r="M239" s="7" t="n"/>
      <c r="N239">
        <f>IF(D239="", "Gap - No Legal Basis", IF(AND(D239="Consent (GDPR Art. 6(1)(a))", I239="Not Captured"), "Gap - Invalid Consent", IF(AND(D239="Legitimate Interest (GDPR Art. 6(1)(f))", L239=""), "Gap - Missing LIA", IF(AND(G239="Yes", H239=""), "Gap - Missing Art. 9 Basis", IF(OR(I239="Invalid - Not Freely Given", I239="Invalid - Not Specific", I239="Invalid - Not Informed", I239="Invalid - Ambiguous"), "Gap - Invalid Consent", "Compliant")))))</f>
        <v/>
      </c>
      <c r="O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IF(D240="Legitimate Interest (GDPR Art. 6(1)(f))", "Yes / Required (Sheet 3)", "")</f>
        <v/>
      </c>
      <c r="L240" s="7" t="n"/>
      <c r="M240" s="7" t="n"/>
      <c r="N240">
        <f>IF(D240="", "Gap - No Legal Basis", IF(AND(D240="Consent (GDPR Art. 6(1)(a))", I240="Not Captured"), "Gap - Invalid Consent", IF(AND(D240="Legitimate Interest (GDPR Art. 6(1)(f))", L240=""), "Gap - Missing LIA", IF(AND(G240="Yes", H240=""), "Gap - Missing Art. 9 Basis", IF(OR(I240="Invalid - Not Freely Given", I240="Invalid - Not Specific", I240="Invalid - Not Informed", I240="Invalid - Ambiguous"), "Gap - Invalid Consent", "Compliant")))))</f>
        <v/>
      </c>
      <c r="O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IF(D241="Legitimate Interest (GDPR Art. 6(1)(f))", "Yes / Required (Sheet 3)", "")</f>
        <v/>
      </c>
      <c r="L241" s="7" t="n"/>
      <c r="M241" s="7" t="n"/>
      <c r="N241">
        <f>IF(D241="", "Gap - No Legal Basis", IF(AND(D241="Consent (GDPR Art. 6(1)(a))", I241="Not Captured"), "Gap - Invalid Consent", IF(AND(D241="Legitimate Interest (GDPR Art. 6(1)(f))", L241=""), "Gap - Missing LIA", IF(AND(G241="Yes", H241=""), "Gap - Missing Art. 9 Basis", IF(OR(I241="Invalid - Not Freely Given", I241="Invalid - Not Specific", I241="Invalid - Not Informed", I241="Invalid - Ambiguous"), "Gap - Invalid Consent", "Compliant")))))</f>
        <v/>
      </c>
      <c r="O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IF(D242="Legitimate Interest (GDPR Art. 6(1)(f))", "Yes / Required (Sheet 3)", "")</f>
        <v/>
      </c>
      <c r="L242" s="7" t="n"/>
      <c r="M242" s="7" t="n"/>
      <c r="N242">
        <f>IF(D242="", "Gap - No Legal Basis", IF(AND(D242="Consent (GDPR Art. 6(1)(a))", I242="Not Captured"), "Gap - Invalid Consent", IF(AND(D242="Legitimate Interest (GDPR Art. 6(1)(f))", L242=""), "Gap - Missing LIA", IF(AND(G242="Yes", H242=""), "Gap - Missing Art. 9 Basis", IF(OR(I242="Invalid - Not Freely Given", I242="Invalid - Not Specific", I242="Invalid - Not Informed", I242="Invalid - Ambiguous"), "Gap - Invalid Consent", "Compliant")))))</f>
        <v/>
      </c>
      <c r="O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IF(D243="Legitimate Interest (GDPR Art. 6(1)(f))", "Yes / Required (Sheet 3)", "")</f>
        <v/>
      </c>
      <c r="L243" s="7" t="n"/>
      <c r="M243" s="7" t="n"/>
      <c r="N243">
        <f>IF(D243="", "Gap - No Legal Basis", IF(AND(D243="Consent (GDPR Art. 6(1)(a))", I243="Not Captured"), "Gap - Invalid Consent", IF(AND(D243="Legitimate Interest (GDPR Art. 6(1)(f))", L243=""), "Gap - Missing LIA", IF(AND(G243="Yes", H243=""), "Gap - Missing Art. 9 Basis", IF(OR(I243="Invalid - Not Freely Given", I243="Invalid - Not Specific", I243="Invalid - Not Informed", I243="Invalid - Ambiguous"), "Gap - Invalid Consent", "Compliant")))))</f>
        <v/>
      </c>
      <c r="O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IF(D244="Legitimate Interest (GDPR Art. 6(1)(f))", "Yes / Required (Sheet 3)", "")</f>
        <v/>
      </c>
      <c r="L244" s="7" t="n"/>
      <c r="M244" s="7" t="n"/>
      <c r="N244">
        <f>IF(D244="", "Gap - No Legal Basis", IF(AND(D244="Consent (GDPR Art. 6(1)(a))", I244="Not Captured"), "Gap - Invalid Consent", IF(AND(D244="Legitimate Interest (GDPR Art. 6(1)(f))", L244=""), "Gap - Missing LIA", IF(AND(G244="Yes", H244=""), "Gap - Missing Art. 9 Basis", IF(OR(I244="Invalid - Not Freely Given", I244="Invalid - Not Specific", I244="Invalid - Not Informed", I244="Invalid - Ambiguous"), "Gap - Invalid Consent", "Compliant")))))</f>
        <v/>
      </c>
      <c r="O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IF(D245="Legitimate Interest (GDPR Art. 6(1)(f))", "Yes / Required (Sheet 3)", "")</f>
        <v/>
      </c>
      <c r="L245" s="7" t="n"/>
      <c r="M245" s="7" t="n"/>
      <c r="N245">
        <f>IF(D245="", "Gap - No Legal Basis", IF(AND(D245="Consent (GDPR Art. 6(1)(a))", I245="Not Captured"), "Gap - Invalid Consent", IF(AND(D245="Legitimate Interest (GDPR Art. 6(1)(f))", L245=""), "Gap - Missing LIA", IF(AND(G245="Yes", H245=""), "Gap - Missing Art. 9 Basis", IF(OR(I245="Invalid - Not Freely Given", I245="Invalid - Not Specific", I245="Invalid - Not Informed", I245="Invalid - Ambiguous"), "Gap - Invalid Consent", "Compliant")))))</f>
        <v/>
      </c>
      <c r="O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IF(D246="Legitimate Interest (GDPR Art. 6(1)(f))", "Yes / Required (Sheet 3)", "")</f>
        <v/>
      </c>
      <c r="L246" s="7" t="n"/>
      <c r="M246" s="7" t="n"/>
      <c r="N246">
        <f>IF(D246="", "Gap - No Legal Basis", IF(AND(D246="Consent (GDPR Art. 6(1)(a))", I246="Not Captured"), "Gap - Invalid Consent", IF(AND(D246="Legitimate Interest (GDPR Art. 6(1)(f))", L246=""), "Gap - Missing LIA", IF(AND(G246="Yes", H246=""), "Gap - Missing Art. 9 Basis", IF(OR(I246="Invalid - Not Freely Given", I246="Invalid - Not Specific", I246="Invalid - Not Informed", I246="Invalid - Ambiguous"), "Gap - Invalid Consent", "Compliant")))))</f>
        <v/>
      </c>
      <c r="O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IF(D247="Legitimate Interest (GDPR Art. 6(1)(f))", "Yes / Required (Sheet 3)", "")</f>
        <v/>
      </c>
      <c r="L247" s="7" t="n"/>
      <c r="M247" s="7" t="n"/>
      <c r="N247">
        <f>IF(D247="", "Gap - No Legal Basis", IF(AND(D247="Consent (GDPR Art. 6(1)(a))", I247="Not Captured"), "Gap - Invalid Consent", IF(AND(D247="Legitimate Interest (GDPR Art. 6(1)(f))", L247=""), "Gap - Missing LIA", IF(AND(G247="Yes", H247=""), "Gap - Missing Art. 9 Basis", IF(OR(I247="Invalid - Not Freely Given", I247="Invalid - Not Specific", I247="Invalid - Not Informed", I247="Invalid - Ambiguous"), "Gap - Invalid Consent", "Compliant")))))</f>
        <v/>
      </c>
      <c r="O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IF(D248="Legitimate Interest (GDPR Art. 6(1)(f))", "Yes / Required (Sheet 3)", "")</f>
        <v/>
      </c>
      <c r="L248" s="7" t="n"/>
      <c r="M248" s="7" t="n"/>
      <c r="N248">
        <f>IF(D248="", "Gap - No Legal Basis", IF(AND(D248="Consent (GDPR Art. 6(1)(a))", I248="Not Captured"), "Gap - Invalid Consent", IF(AND(D248="Legitimate Interest (GDPR Art. 6(1)(f))", L248=""), "Gap - Missing LIA", IF(AND(G248="Yes", H248=""), "Gap - Missing Art. 9 Basis", IF(OR(I248="Invalid - Not Freely Given", I248="Invalid - Not Specific", I248="Invalid - Not Informed", I248="Invalid - Ambiguous"), "Gap - Invalid Consent", "Compliant")))))</f>
        <v/>
      </c>
      <c r="O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IF(D249="Legitimate Interest (GDPR Art. 6(1)(f))", "Yes / Required (Sheet 3)", "")</f>
        <v/>
      </c>
      <c r="L249" s="7" t="n"/>
      <c r="M249" s="7" t="n"/>
      <c r="N249">
        <f>IF(D249="", "Gap - No Legal Basis", IF(AND(D249="Consent (GDPR Art. 6(1)(a))", I249="Not Captured"), "Gap - Invalid Consent", IF(AND(D249="Legitimate Interest (GDPR Art. 6(1)(f))", L249=""), "Gap - Missing LIA", IF(AND(G249="Yes", H249=""), "Gap - Missing Art. 9 Basis", IF(OR(I249="Invalid - Not Freely Given", I249="Invalid - Not Specific", I249="Invalid - Not Informed", I249="Invalid - Ambiguous"), "Gap - Invalid Consent", "Compliant")))))</f>
        <v/>
      </c>
      <c r="O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IF(D250="Legitimate Interest (GDPR Art. 6(1)(f))", "Yes / Required (Sheet 3)", "")</f>
        <v/>
      </c>
      <c r="L250" s="7" t="n"/>
      <c r="M250" s="7" t="n"/>
      <c r="N250">
        <f>IF(D250="", "Gap - No Legal Basis", IF(AND(D250="Consent (GDPR Art. 6(1)(a))", I250="Not Captured"), "Gap - Invalid Consent", IF(AND(D250="Legitimate Interest (GDPR Art. 6(1)(f))", L250=""), "Gap - Missing LIA", IF(AND(G250="Yes", H250=""), "Gap - Missing Art. 9 Basis", IF(OR(I250="Invalid - Not Freely Given", I250="Invalid - Not Specific", I250="Invalid - Not Informed", I250="Invalid - Ambiguous"), "Gap - Invalid Consent", "Compliant")))))</f>
        <v/>
      </c>
      <c r="O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IF(D251="Legitimate Interest (GDPR Art. 6(1)(f))", "Yes / Required (Sheet 3)", "")</f>
        <v/>
      </c>
      <c r="L251" s="7" t="n"/>
      <c r="M251" s="7" t="n"/>
      <c r="N251">
        <f>IF(D251="", "Gap - No Legal Basis", IF(AND(D251="Consent (GDPR Art. 6(1)(a))", I251="Not Captured"), "Gap - Invalid Consent", IF(AND(D251="Legitimate Interest (GDPR Art. 6(1)(f))", L251=""), "Gap - Missing LIA", IF(AND(G251="Yes", H251=""), "Gap - Missing Art. 9 Basis", IF(OR(I251="Invalid - Not Freely Given", I251="Invalid - Not Specific", I251="Invalid - Not Informed", I251="Invalid - Ambiguous"), "Gap - Invalid Consent", "Compliant")))))</f>
        <v/>
      </c>
      <c r="O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IF(D252="Legitimate Interest (GDPR Art. 6(1)(f))", "Yes / Required (Sheet 3)", "")</f>
        <v/>
      </c>
      <c r="L252" s="7" t="n"/>
      <c r="M252" s="7" t="n"/>
      <c r="N252">
        <f>IF(D252="", "Gap - No Legal Basis", IF(AND(D252="Consent (GDPR Art. 6(1)(a))", I252="Not Captured"), "Gap - Invalid Consent", IF(AND(D252="Legitimate Interest (GDPR Art. 6(1)(f))", L252=""), "Gap - Missing LIA", IF(AND(G252="Yes", H252=""), "Gap - Missing Art. 9 Basis", IF(OR(I252="Invalid - Not Freely Given", I252="Invalid - Not Specific", I252="Invalid - Not Informed", I252="Invalid - Ambiguous"), "Gap - Invalid Consent", "Compliant")))))</f>
        <v/>
      </c>
      <c r="O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IF(D253="Legitimate Interest (GDPR Art. 6(1)(f))", "Yes / Required (Sheet 3)", "")</f>
        <v/>
      </c>
      <c r="L253" s="7" t="n"/>
      <c r="M253" s="7" t="n"/>
      <c r="N253">
        <f>IF(D253="", "Gap - No Legal Basis", IF(AND(D253="Consent (GDPR Art. 6(1)(a))", I253="Not Captured"), "Gap - Invalid Consent", IF(AND(D253="Legitimate Interest (GDPR Art. 6(1)(f))", L253=""), "Gap - Missing LIA", IF(AND(G253="Yes", H253=""), "Gap - Missing Art. 9 Basis", IF(OR(I253="Invalid - Not Freely Given", I253="Invalid - Not Specific", I253="Invalid - Not Informed", I253="Invalid - Ambiguous"), "Gap - Invalid Consent", "Compliant")))))</f>
        <v/>
      </c>
      <c r="O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IF(D254="Legitimate Interest (GDPR Art. 6(1)(f))", "Yes / Required (Sheet 3)", "")</f>
        <v/>
      </c>
      <c r="L254" s="7" t="n"/>
      <c r="M254" s="7" t="n"/>
      <c r="N254">
        <f>IF(D254="", "Gap - No Legal Basis", IF(AND(D254="Consent (GDPR Art. 6(1)(a))", I254="Not Captured"), "Gap - Invalid Consent", IF(AND(D254="Legitimate Interest (GDPR Art. 6(1)(f))", L254=""), "Gap - Missing LIA", IF(AND(G254="Yes", H254=""), "Gap - Missing Art. 9 Basis", IF(OR(I254="Invalid - Not Freely Given", I254="Invalid - Not Specific", I254="Invalid - Not Informed", I254="Invalid - Ambiguous"), "Gap - Invalid Consent", "Compliant")))))</f>
        <v/>
      </c>
      <c r="O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IF(D255="Legitimate Interest (GDPR Art. 6(1)(f))", "Yes / Required (Sheet 3)", "")</f>
        <v/>
      </c>
      <c r="L255" s="7" t="n"/>
      <c r="M255" s="7" t="n"/>
      <c r="N255">
        <f>IF(D255="", "Gap - No Legal Basis", IF(AND(D255="Consent (GDPR Art. 6(1)(a))", I255="Not Captured"), "Gap - Invalid Consent", IF(AND(D255="Legitimate Interest (GDPR Art. 6(1)(f))", L255=""), "Gap - Missing LIA", IF(AND(G255="Yes", H255=""), "Gap - Missing Art. 9 Basis", IF(OR(I255="Invalid - Not Freely Given", I255="Invalid - Not Specific", I255="Invalid - Not Informed", I255="Invalid - Ambiguous"), "Gap - Invalid Consent", "Compliant")))))</f>
        <v/>
      </c>
      <c r="O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IF(D256="Legitimate Interest (GDPR Art. 6(1)(f))", "Yes / Required (Sheet 3)", "")</f>
        <v/>
      </c>
      <c r="L256" s="7" t="n"/>
      <c r="M256" s="7" t="n"/>
      <c r="N256">
        <f>IF(D256="", "Gap - No Legal Basis", IF(AND(D256="Consent (GDPR Art. 6(1)(a))", I256="Not Captured"), "Gap - Invalid Consent", IF(AND(D256="Legitimate Interest (GDPR Art. 6(1)(f))", L256=""), "Gap - Missing LIA", IF(AND(G256="Yes", H256=""), "Gap - Missing Art. 9 Basis", IF(OR(I256="Invalid - Not Freely Given", I256="Invalid - Not Specific", I256="Invalid - Not Informed", I256="Invalid - Ambiguous"), "Gap - Invalid Consent", "Compliant")))))</f>
        <v/>
      </c>
      <c r="O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IF(D257="Legitimate Interest (GDPR Art. 6(1)(f))", "Yes / Required (Sheet 3)", "")</f>
        <v/>
      </c>
      <c r="L257" s="7" t="n"/>
      <c r="M257" s="7" t="n"/>
      <c r="N257">
        <f>IF(D257="", "Gap - No Legal Basis", IF(AND(D257="Consent (GDPR Art. 6(1)(a))", I257="Not Captured"), "Gap - Invalid Consent", IF(AND(D257="Legitimate Interest (GDPR Art. 6(1)(f))", L257=""), "Gap - Missing LIA", IF(AND(G257="Yes", H257=""), "Gap - Missing Art. 9 Basis", IF(OR(I257="Invalid - Not Freely Given", I257="Invalid - Not Specific", I257="Invalid - Not Informed", I257="Invalid - Ambiguous"), "Gap - Invalid Consent", "Compliant")))))</f>
        <v/>
      </c>
      <c r="O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IF(D258="Legitimate Interest (GDPR Art. 6(1)(f))", "Yes / Required (Sheet 3)", "")</f>
        <v/>
      </c>
      <c r="L258" s="7" t="n"/>
      <c r="M258" s="7" t="n"/>
      <c r="N258">
        <f>IF(D258="", "Gap - No Legal Basis", IF(AND(D258="Consent (GDPR Art. 6(1)(a))", I258="Not Captured"), "Gap - Invalid Consent", IF(AND(D258="Legitimate Interest (GDPR Art. 6(1)(f))", L258=""), "Gap - Missing LIA", IF(AND(G258="Yes", H258=""), "Gap - Missing Art. 9 Basis", IF(OR(I258="Invalid - Not Freely Given", I258="Invalid - Not Specific", I258="Invalid - Not Informed", I258="Invalid - Ambiguous"), "Gap - Invalid Consent", "Compliant")))))</f>
        <v/>
      </c>
      <c r="O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IF(D259="Legitimate Interest (GDPR Art. 6(1)(f))", "Yes / Required (Sheet 3)", "")</f>
        <v/>
      </c>
      <c r="L259" s="7" t="n"/>
      <c r="M259" s="7" t="n"/>
      <c r="N259">
        <f>IF(D259="", "Gap - No Legal Basis", IF(AND(D259="Consent (GDPR Art. 6(1)(a))", I259="Not Captured"), "Gap - Invalid Consent", IF(AND(D259="Legitimate Interest (GDPR Art. 6(1)(f))", L259=""), "Gap - Missing LIA", IF(AND(G259="Yes", H259=""), "Gap - Missing Art. 9 Basis", IF(OR(I259="Invalid - Not Freely Given", I259="Invalid - Not Specific", I259="Invalid - Not Informed", I259="Invalid - Ambiguous"), "Gap - Invalid Consent", "Compliant")))))</f>
        <v/>
      </c>
      <c r="O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IF(D260="Legitimate Interest (GDPR Art. 6(1)(f))", "Yes / Required (Sheet 3)", "")</f>
        <v/>
      </c>
      <c r="L260" s="7" t="n"/>
      <c r="M260" s="7" t="n"/>
      <c r="N260">
        <f>IF(D260="", "Gap - No Legal Basis", IF(AND(D260="Consent (GDPR Art. 6(1)(a))", I260="Not Captured"), "Gap - Invalid Consent", IF(AND(D260="Legitimate Interest (GDPR Art. 6(1)(f))", L260=""), "Gap - Missing LIA", IF(AND(G260="Yes", H260=""), "Gap - Missing Art. 9 Basis", IF(OR(I260="Invalid - Not Freely Given", I260="Invalid - Not Specific", I260="Invalid - Not Informed", I260="Invalid - Ambiguous"), "Gap - Invalid Consent", "Compliant")))))</f>
        <v/>
      </c>
      <c r="O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IF(D261="Legitimate Interest (GDPR Art. 6(1)(f))", "Yes / Required (Sheet 3)", "")</f>
        <v/>
      </c>
      <c r="L261" s="7" t="n"/>
      <c r="M261" s="7" t="n"/>
      <c r="N261">
        <f>IF(D261="", "Gap - No Legal Basis", IF(AND(D261="Consent (GDPR Art. 6(1)(a))", I261="Not Captured"), "Gap - Invalid Consent", IF(AND(D261="Legitimate Interest (GDPR Art. 6(1)(f))", L261=""), "Gap - Missing LIA", IF(AND(G261="Yes", H261=""), "Gap - Missing Art. 9 Basis", IF(OR(I261="Invalid - Not Freely Given", I261="Invalid - Not Specific", I261="Invalid - Not Informed", I261="Invalid - Ambiguous"), "Gap - Invalid Consent", "Compliant")))))</f>
        <v/>
      </c>
      <c r="O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IF(D262="Legitimate Interest (GDPR Art. 6(1)(f))", "Yes / Required (Sheet 3)", "")</f>
        <v/>
      </c>
      <c r="L262" s="7" t="n"/>
      <c r="M262" s="7" t="n"/>
      <c r="N262">
        <f>IF(D262="", "Gap - No Legal Basis", IF(AND(D262="Consent (GDPR Art. 6(1)(a))", I262="Not Captured"), "Gap - Invalid Consent", IF(AND(D262="Legitimate Interest (GDPR Art. 6(1)(f))", L262=""), "Gap - Missing LIA", IF(AND(G262="Yes", H262=""), "Gap - Missing Art. 9 Basis", IF(OR(I262="Invalid - Not Freely Given", I262="Invalid - Not Specific", I262="Invalid - Not Informed", I262="Invalid - Ambiguous"), "Gap - Invalid Consent", "Compliant")))))</f>
        <v/>
      </c>
      <c r="O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IF(D263="Legitimate Interest (GDPR Art. 6(1)(f))", "Yes / Required (Sheet 3)", "")</f>
        <v/>
      </c>
      <c r="L263" s="7" t="n"/>
      <c r="M263" s="7" t="n"/>
      <c r="N263">
        <f>IF(D263="", "Gap - No Legal Basis", IF(AND(D263="Consent (GDPR Art. 6(1)(a))", I263="Not Captured"), "Gap - Invalid Consent", IF(AND(D263="Legitimate Interest (GDPR Art. 6(1)(f))", L263=""), "Gap - Missing LIA", IF(AND(G263="Yes", H263=""), "Gap - Missing Art. 9 Basis", IF(OR(I263="Invalid - Not Freely Given", I263="Invalid - Not Specific", I263="Invalid - Not Informed", I263="Invalid - Ambiguous"), "Gap - Invalid Consent", "Compliant")))))</f>
        <v/>
      </c>
      <c r="O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IF(D264="Legitimate Interest (GDPR Art. 6(1)(f))", "Yes / Required (Sheet 3)", "")</f>
        <v/>
      </c>
      <c r="L264" s="7" t="n"/>
      <c r="M264" s="7" t="n"/>
      <c r="N264">
        <f>IF(D264="", "Gap - No Legal Basis", IF(AND(D264="Consent (GDPR Art. 6(1)(a))", I264="Not Captured"), "Gap - Invalid Consent", IF(AND(D264="Legitimate Interest (GDPR Art. 6(1)(f))", L264=""), "Gap - Missing LIA", IF(AND(G264="Yes", H264=""), "Gap - Missing Art. 9 Basis", IF(OR(I264="Invalid - Not Freely Given", I264="Invalid - Not Specific", I264="Invalid - Not Informed", I264="Invalid - Ambiguous"), "Gap - Invalid Consent", "Compliant")))))</f>
        <v/>
      </c>
      <c r="O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IF(D265="Legitimate Interest (GDPR Art. 6(1)(f))", "Yes / Required (Sheet 3)", "")</f>
        <v/>
      </c>
      <c r="L265" s="7" t="n"/>
      <c r="M265" s="7" t="n"/>
      <c r="N265">
        <f>IF(D265="", "Gap - No Legal Basis", IF(AND(D265="Consent (GDPR Art. 6(1)(a))", I265="Not Captured"), "Gap - Invalid Consent", IF(AND(D265="Legitimate Interest (GDPR Art. 6(1)(f))", L265=""), "Gap - Missing LIA", IF(AND(G265="Yes", H265=""), "Gap - Missing Art. 9 Basis", IF(OR(I265="Invalid - Not Freely Given", I265="Invalid - Not Specific", I265="Invalid - Not Informed", I265="Invalid - Ambiguous"), "Gap - Invalid Consent", "Compliant")))))</f>
        <v/>
      </c>
      <c r="O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IF(D266="Legitimate Interest (GDPR Art. 6(1)(f))", "Yes / Required (Sheet 3)", "")</f>
        <v/>
      </c>
      <c r="L266" s="7" t="n"/>
      <c r="M266" s="7" t="n"/>
      <c r="N266">
        <f>IF(D266="", "Gap - No Legal Basis", IF(AND(D266="Consent (GDPR Art. 6(1)(a))", I266="Not Captured"), "Gap - Invalid Consent", IF(AND(D266="Legitimate Interest (GDPR Art. 6(1)(f))", L266=""), "Gap - Missing LIA", IF(AND(G266="Yes", H266=""), "Gap - Missing Art. 9 Basis", IF(OR(I266="Invalid - Not Freely Given", I266="Invalid - Not Specific", I266="Invalid - Not Informed", I266="Invalid - Ambiguous"), "Gap - Invalid Consent", "Compliant")))))</f>
        <v/>
      </c>
      <c r="O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IF(D267="Legitimate Interest (GDPR Art. 6(1)(f))", "Yes / Required (Sheet 3)", "")</f>
        <v/>
      </c>
      <c r="L267" s="7" t="n"/>
      <c r="M267" s="7" t="n"/>
      <c r="N267">
        <f>IF(D267="", "Gap - No Legal Basis", IF(AND(D267="Consent (GDPR Art. 6(1)(a))", I267="Not Captured"), "Gap - Invalid Consent", IF(AND(D267="Legitimate Interest (GDPR Art. 6(1)(f))", L267=""), "Gap - Missing LIA", IF(AND(G267="Yes", H267=""), "Gap - Missing Art. 9 Basis", IF(OR(I267="Invalid - Not Freely Given", I267="Invalid - Not Specific", I267="Invalid - Not Informed", I267="Invalid - Ambiguous"), "Gap - Invalid Consent", "Compliant")))))</f>
        <v/>
      </c>
      <c r="O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IF(D268="Legitimate Interest (GDPR Art. 6(1)(f))", "Yes / Required (Sheet 3)", "")</f>
        <v/>
      </c>
      <c r="L268" s="7" t="n"/>
      <c r="M268" s="7" t="n"/>
      <c r="N268">
        <f>IF(D268="", "Gap - No Legal Basis", IF(AND(D268="Consent (GDPR Art. 6(1)(a))", I268="Not Captured"), "Gap - Invalid Consent", IF(AND(D268="Legitimate Interest (GDPR Art. 6(1)(f))", L268=""), "Gap - Missing LIA", IF(AND(G268="Yes", H268=""), "Gap - Missing Art. 9 Basis", IF(OR(I268="Invalid - Not Freely Given", I268="Invalid - Not Specific", I268="Invalid - Not Informed", I268="Invalid - Ambiguous"), "Gap - Invalid Consent", "Compliant")))))</f>
        <v/>
      </c>
      <c r="O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IF(D269="Legitimate Interest (GDPR Art. 6(1)(f))", "Yes / Required (Sheet 3)", "")</f>
        <v/>
      </c>
      <c r="L269" s="7" t="n"/>
      <c r="M269" s="7" t="n"/>
      <c r="N269">
        <f>IF(D269="", "Gap - No Legal Basis", IF(AND(D269="Consent (GDPR Art. 6(1)(a))", I269="Not Captured"), "Gap - Invalid Consent", IF(AND(D269="Legitimate Interest (GDPR Art. 6(1)(f))", L269=""), "Gap - Missing LIA", IF(AND(G269="Yes", H269=""), "Gap - Missing Art. 9 Basis", IF(OR(I269="Invalid - Not Freely Given", I269="Invalid - Not Specific", I269="Invalid - Not Informed", I269="Invalid - Ambiguous"), "Gap - Invalid Consent", "Compliant")))))</f>
        <v/>
      </c>
      <c r="O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IF(D270="Legitimate Interest (GDPR Art. 6(1)(f))", "Yes / Required (Sheet 3)", "")</f>
        <v/>
      </c>
      <c r="L270" s="7" t="n"/>
      <c r="M270" s="7" t="n"/>
      <c r="N270">
        <f>IF(D270="", "Gap - No Legal Basis", IF(AND(D270="Consent (GDPR Art. 6(1)(a))", I270="Not Captured"), "Gap - Invalid Consent", IF(AND(D270="Legitimate Interest (GDPR Art. 6(1)(f))", L270=""), "Gap - Missing LIA", IF(AND(G270="Yes", H270=""), "Gap - Missing Art. 9 Basis", IF(OR(I270="Invalid - Not Freely Given", I270="Invalid - Not Specific", I270="Invalid - Not Informed", I270="Invalid - Ambiguous"), "Gap - Invalid Consent", "Compliant")))))</f>
        <v/>
      </c>
      <c r="O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IF(D271="Legitimate Interest (GDPR Art. 6(1)(f))", "Yes / Required (Sheet 3)", "")</f>
        <v/>
      </c>
      <c r="L271" s="7" t="n"/>
      <c r="M271" s="7" t="n"/>
      <c r="N271">
        <f>IF(D271="", "Gap - No Legal Basis", IF(AND(D271="Consent (GDPR Art. 6(1)(a))", I271="Not Captured"), "Gap - Invalid Consent", IF(AND(D271="Legitimate Interest (GDPR Art. 6(1)(f))", L271=""), "Gap - Missing LIA", IF(AND(G271="Yes", H271=""), "Gap - Missing Art. 9 Basis", IF(OR(I271="Invalid - Not Freely Given", I271="Invalid - Not Specific", I271="Invalid - Not Informed", I271="Invalid - Ambiguous"), "Gap - Invalid Consent", "Compliant")))))</f>
        <v/>
      </c>
      <c r="O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IF(D272="Legitimate Interest (GDPR Art. 6(1)(f))", "Yes / Required (Sheet 3)", "")</f>
        <v/>
      </c>
      <c r="L272" s="7" t="n"/>
      <c r="M272" s="7" t="n"/>
      <c r="N272">
        <f>IF(D272="", "Gap - No Legal Basis", IF(AND(D272="Consent (GDPR Art. 6(1)(a))", I272="Not Captured"), "Gap - Invalid Consent", IF(AND(D272="Legitimate Interest (GDPR Art. 6(1)(f))", L272=""), "Gap - Missing LIA", IF(AND(G272="Yes", H272=""), "Gap - Missing Art. 9 Basis", IF(OR(I272="Invalid - Not Freely Given", I272="Invalid - Not Specific", I272="Invalid - Not Informed", I272="Invalid - Ambiguous"), "Gap - Invalid Consent", "Compliant")))))</f>
        <v/>
      </c>
      <c r="O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IF(D273="Legitimate Interest (GDPR Art. 6(1)(f))", "Yes / Required (Sheet 3)", "")</f>
        <v/>
      </c>
      <c r="L273" s="7" t="n"/>
      <c r="M273" s="7" t="n"/>
      <c r="N273">
        <f>IF(D273="", "Gap - No Legal Basis", IF(AND(D273="Consent (GDPR Art. 6(1)(a))", I273="Not Captured"), "Gap - Invalid Consent", IF(AND(D273="Legitimate Interest (GDPR Art. 6(1)(f))", L273=""), "Gap - Missing LIA", IF(AND(G273="Yes", H273=""), "Gap - Missing Art. 9 Basis", IF(OR(I273="Invalid - Not Freely Given", I273="Invalid - Not Specific", I273="Invalid - Not Informed", I273="Invalid - Ambiguous"), "Gap - Invalid Consent", "Compliant")))))</f>
        <v/>
      </c>
      <c r="O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IF(D274="Legitimate Interest (GDPR Art. 6(1)(f))", "Yes / Required (Sheet 3)", "")</f>
        <v/>
      </c>
      <c r="L274" s="7" t="n"/>
      <c r="M274" s="7" t="n"/>
      <c r="N274">
        <f>IF(D274="", "Gap - No Legal Basis", IF(AND(D274="Consent (GDPR Art. 6(1)(a))", I274="Not Captured"), "Gap - Invalid Consent", IF(AND(D274="Legitimate Interest (GDPR Art. 6(1)(f))", L274=""), "Gap - Missing LIA", IF(AND(G274="Yes", H274=""), "Gap - Missing Art. 9 Basis", IF(OR(I274="Invalid - Not Freely Given", I274="Invalid - Not Specific", I274="Invalid - Not Informed", I274="Invalid - Ambiguous"), "Gap - Invalid Consent", "Compliant")))))</f>
        <v/>
      </c>
      <c r="O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IF(D275="Legitimate Interest (GDPR Art. 6(1)(f))", "Yes / Required (Sheet 3)", "")</f>
        <v/>
      </c>
      <c r="L275" s="7" t="n"/>
      <c r="M275" s="7" t="n"/>
      <c r="N275">
        <f>IF(D275="", "Gap - No Legal Basis", IF(AND(D275="Consent (GDPR Art. 6(1)(a))", I275="Not Captured"), "Gap - Invalid Consent", IF(AND(D275="Legitimate Interest (GDPR Art. 6(1)(f))", L275=""), "Gap - Missing LIA", IF(AND(G275="Yes", H275=""), "Gap - Missing Art. 9 Basis", IF(OR(I275="Invalid - Not Freely Given", I275="Invalid - Not Specific", I275="Invalid - Not Informed", I275="Invalid - Ambiguous"), "Gap - Invalid Consent", "Compliant")))))</f>
        <v/>
      </c>
      <c r="O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IF(D276="Legitimate Interest (GDPR Art. 6(1)(f))", "Yes / Required (Sheet 3)", "")</f>
        <v/>
      </c>
      <c r="L276" s="7" t="n"/>
      <c r="M276" s="7" t="n"/>
      <c r="N276">
        <f>IF(D276="", "Gap - No Legal Basis", IF(AND(D276="Consent (GDPR Art. 6(1)(a))", I276="Not Captured"), "Gap - Invalid Consent", IF(AND(D276="Legitimate Interest (GDPR Art. 6(1)(f))", L276=""), "Gap - Missing LIA", IF(AND(G276="Yes", H276=""), "Gap - Missing Art. 9 Basis", IF(OR(I276="Invalid - Not Freely Given", I276="Invalid - Not Specific", I276="Invalid - Not Informed", I276="Invalid - Ambiguous"), "Gap - Invalid Consent", "Compliant")))))</f>
        <v/>
      </c>
      <c r="O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IF(D277="Legitimate Interest (GDPR Art. 6(1)(f))", "Yes / Required (Sheet 3)", "")</f>
        <v/>
      </c>
      <c r="L277" s="7" t="n"/>
      <c r="M277" s="7" t="n"/>
      <c r="N277">
        <f>IF(D277="", "Gap - No Legal Basis", IF(AND(D277="Consent (GDPR Art. 6(1)(a))", I277="Not Captured"), "Gap - Invalid Consent", IF(AND(D277="Legitimate Interest (GDPR Art. 6(1)(f))", L277=""), "Gap - Missing LIA", IF(AND(G277="Yes", H277=""), "Gap - Missing Art. 9 Basis", IF(OR(I277="Invalid - Not Freely Given", I277="Invalid - Not Specific", I277="Invalid - Not Informed", I277="Invalid - Ambiguous"), "Gap - Invalid Consent", "Compliant")))))</f>
        <v/>
      </c>
      <c r="O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IF(D278="Legitimate Interest (GDPR Art. 6(1)(f))", "Yes / Required (Sheet 3)", "")</f>
        <v/>
      </c>
      <c r="L278" s="7" t="n"/>
      <c r="M278" s="7" t="n"/>
      <c r="N278">
        <f>IF(D278="", "Gap - No Legal Basis", IF(AND(D278="Consent (GDPR Art. 6(1)(a))", I278="Not Captured"), "Gap - Invalid Consent", IF(AND(D278="Legitimate Interest (GDPR Art. 6(1)(f))", L278=""), "Gap - Missing LIA", IF(AND(G278="Yes", H278=""), "Gap - Missing Art. 9 Basis", IF(OR(I278="Invalid - Not Freely Given", I278="Invalid - Not Specific", I278="Invalid - Not Informed", I278="Invalid - Ambiguous"), "Gap - Invalid Consent", "Compliant")))))</f>
        <v/>
      </c>
      <c r="O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IF(D279="Legitimate Interest (GDPR Art. 6(1)(f))", "Yes / Required (Sheet 3)", "")</f>
        <v/>
      </c>
      <c r="L279" s="7" t="n"/>
      <c r="M279" s="7" t="n"/>
      <c r="N279">
        <f>IF(D279="", "Gap - No Legal Basis", IF(AND(D279="Consent (GDPR Art. 6(1)(a))", I279="Not Captured"), "Gap - Invalid Consent", IF(AND(D279="Legitimate Interest (GDPR Art. 6(1)(f))", L279=""), "Gap - Missing LIA", IF(AND(G279="Yes", H279=""), "Gap - Missing Art. 9 Basis", IF(OR(I279="Invalid - Not Freely Given", I279="Invalid - Not Specific", I279="Invalid - Not Informed", I279="Invalid - Ambiguous"), "Gap - Invalid Consent", "Compliant")))))</f>
        <v/>
      </c>
      <c r="O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IF(D280="Legitimate Interest (GDPR Art. 6(1)(f))", "Yes / Required (Sheet 3)", "")</f>
        <v/>
      </c>
      <c r="L280" s="7" t="n"/>
      <c r="M280" s="7" t="n"/>
      <c r="N280">
        <f>IF(D280="", "Gap - No Legal Basis", IF(AND(D280="Consent (GDPR Art. 6(1)(a))", I280="Not Captured"), "Gap - Invalid Consent", IF(AND(D280="Legitimate Interest (GDPR Art. 6(1)(f))", L280=""), "Gap - Missing LIA", IF(AND(G280="Yes", H280=""), "Gap - Missing Art. 9 Basis", IF(OR(I280="Invalid - Not Freely Given", I280="Invalid - Not Specific", I280="Invalid - Not Informed", I280="Invalid - Ambiguous"), "Gap - Invalid Consent", "Compliant")))))</f>
        <v/>
      </c>
      <c r="O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IF(D281="Legitimate Interest (GDPR Art. 6(1)(f))", "Yes / Required (Sheet 3)", "")</f>
        <v/>
      </c>
      <c r="L281" s="7" t="n"/>
      <c r="M281" s="7" t="n"/>
      <c r="N281">
        <f>IF(D281="", "Gap - No Legal Basis", IF(AND(D281="Consent (GDPR Art. 6(1)(a))", I281="Not Captured"), "Gap - Invalid Consent", IF(AND(D281="Legitimate Interest (GDPR Art. 6(1)(f))", L281=""), "Gap - Missing LIA", IF(AND(G281="Yes", H281=""), "Gap - Missing Art. 9 Basis", IF(OR(I281="Invalid - Not Freely Given", I281="Invalid - Not Specific", I281="Invalid - Not Informed", I281="Invalid - Ambiguous"), "Gap - Invalid Consent", "Compliant")))))</f>
        <v/>
      </c>
      <c r="O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IF(D282="Legitimate Interest (GDPR Art. 6(1)(f))", "Yes / Required (Sheet 3)", "")</f>
        <v/>
      </c>
      <c r="L282" s="7" t="n"/>
      <c r="M282" s="7" t="n"/>
      <c r="N282">
        <f>IF(D282="", "Gap - No Legal Basis", IF(AND(D282="Consent (GDPR Art. 6(1)(a))", I282="Not Captured"), "Gap - Invalid Consent", IF(AND(D282="Legitimate Interest (GDPR Art. 6(1)(f))", L282=""), "Gap - Missing LIA", IF(AND(G282="Yes", H282=""), "Gap - Missing Art. 9 Basis", IF(OR(I282="Invalid - Not Freely Given", I282="Invalid - Not Specific", I282="Invalid - Not Informed", I282="Invalid - Ambiguous"), "Gap - Invalid Consent", "Compliant")))))</f>
        <v/>
      </c>
      <c r="O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IF(D283="Legitimate Interest (GDPR Art. 6(1)(f))", "Yes / Required (Sheet 3)", "")</f>
        <v/>
      </c>
      <c r="L283" s="7" t="n"/>
      <c r="M283" s="7" t="n"/>
      <c r="N283">
        <f>IF(D283="", "Gap - No Legal Basis", IF(AND(D283="Consent (GDPR Art. 6(1)(a))", I283="Not Captured"), "Gap - Invalid Consent", IF(AND(D283="Legitimate Interest (GDPR Art. 6(1)(f))", L283=""), "Gap - Missing LIA", IF(AND(G283="Yes", H283=""), "Gap - Missing Art. 9 Basis", IF(OR(I283="Invalid - Not Freely Given", I283="Invalid - Not Specific", I283="Invalid - Not Informed", I283="Invalid - Ambiguous"), "Gap - Invalid Consent", "Compliant")))))</f>
        <v/>
      </c>
      <c r="O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IF(D284="Legitimate Interest (GDPR Art. 6(1)(f))", "Yes / Required (Sheet 3)", "")</f>
        <v/>
      </c>
      <c r="L284" s="7" t="n"/>
      <c r="M284" s="7" t="n"/>
      <c r="N284">
        <f>IF(D284="", "Gap - No Legal Basis", IF(AND(D284="Consent (GDPR Art. 6(1)(a))", I284="Not Captured"), "Gap - Invalid Consent", IF(AND(D284="Legitimate Interest (GDPR Art. 6(1)(f))", L284=""), "Gap - Missing LIA", IF(AND(G284="Yes", H284=""), "Gap - Missing Art. 9 Basis", IF(OR(I284="Invalid - Not Freely Given", I284="Invalid - Not Specific", I284="Invalid - Not Informed", I284="Invalid - Ambiguous"), "Gap - Invalid Consent", "Compliant")))))</f>
        <v/>
      </c>
      <c r="O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IF(D285="Legitimate Interest (GDPR Art. 6(1)(f))", "Yes / Required (Sheet 3)", "")</f>
        <v/>
      </c>
      <c r="L285" s="7" t="n"/>
      <c r="M285" s="7" t="n"/>
      <c r="N285">
        <f>IF(D285="", "Gap - No Legal Basis", IF(AND(D285="Consent (GDPR Art. 6(1)(a))", I285="Not Captured"), "Gap - Invalid Consent", IF(AND(D285="Legitimate Interest (GDPR Art. 6(1)(f))", L285=""), "Gap - Missing LIA", IF(AND(G285="Yes", H285=""), "Gap - Missing Art. 9 Basis", IF(OR(I285="Invalid - Not Freely Given", I285="Invalid - Not Specific", I285="Invalid - Not Informed", I285="Invalid - Ambiguous"), "Gap - Invalid Consent", "Compliant")))))</f>
        <v/>
      </c>
      <c r="O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IF(D286="Legitimate Interest (GDPR Art. 6(1)(f))", "Yes / Required (Sheet 3)", "")</f>
        <v/>
      </c>
      <c r="L286" s="7" t="n"/>
      <c r="M286" s="7" t="n"/>
      <c r="N286">
        <f>IF(D286="", "Gap - No Legal Basis", IF(AND(D286="Consent (GDPR Art. 6(1)(a))", I286="Not Captured"), "Gap - Invalid Consent", IF(AND(D286="Legitimate Interest (GDPR Art. 6(1)(f))", L286=""), "Gap - Missing LIA", IF(AND(G286="Yes", H286=""), "Gap - Missing Art. 9 Basis", IF(OR(I286="Invalid - Not Freely Given", I286="Invalid - Not Specific", I286="Invalid - Not Informed", I286="Invalid - Ambiguous"), "Gap - Invalid Consent", "Compliant")))))</f>
        <v/>
      </c>
      <c r="O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IF(D287="Legitimate Interest (GDPR Art. 6(1)(f))", "Yes / Required (Sheet 3)", "")</f>
        <v/>
      </c>
      <c r="L287" s="7" t="n"/>
      <c r="M287" s="7" t="n"/>
      <c r="N287">
        <f>IF(D287="", "Gap - No Legal Basis", IF(AND(D287="Consent (GDPR Art. 6(1)(a))", I287="Not Captured"), "Gap - Invalid Consent", IF(AND(D287="Legitimate Interest (GDPR Art. 6(1)(f))", L287=""), "Gap - Missing LIA", IF(AND(G287="Yes", H287=""), "Gap - Missing Art. 9 Basis", IF(OR(I287="Invalid - Not Freely Given", I287="Invalid - Not Specific", I287="Invalid - Not Informed", I287="Invalid - Ambiguous"), "Gap - Invalid Consent", "Compliant")))))</f>
        <v/>
      </c>
      <c r="O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IF(D288="Legitimate Interest (GDPR Art. 6(1)(f))", "Yes / Required (Sheet 3)", "")</f>
        <v/>
      </c>
      <c r="L288" s="7" t="n"/>
      <c r="M288" s="7" t="n"/>
      <c r="N288">
        <f>IF(D288="", "Gap - No Legal Basis", IF(AND(D288="Consent (GDPR Art. 6(1)(a))", I288="Not Captured"), "Gap - Invalid Consent", IF(AND(D288="Legitimate Interest (GDPR Art. 6(1)(f))", L288=""), "Gap - Missing LIA", IF(AND(G288="Yes", H288=""), "Gap - Missing Art. 9 Basis", IF(OR(I288="Invalid - Not Freely Given", I288="Invalid - Not Specific", I288="Invalid - Not Informed", I288="Invalid - Ambiguous"), "Gap - Invalid Consent", "Compliant")))))</f>
        <v/>
      </c>
      <c r="O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IF(D289="Legitimate Interest (GDPR Art. 6(1)(f))", "Yes / Required (Sheet 3)", "")</f>
        <v/>
      </c>
      <c r="L289" s="7" t="n"/>
      <c r="M289" s="7" t="n"/>
      <c r="N289">
        <f>IF(D289="", "Gap - No Legal Basis", IF(AND(D289="Consent (GDPR Art. 6(1)(a))", I289="Not Captured"), "Gap - Invalid Consent", IF(AND(D289="Legitimate Interest (GDPR Art. 6(1)(f))", L289=""), "Gap - Missing LIA", IF(AND(G289="Yes", H289=""), "Gap - Missing Art. 9 Basis", IF(OR(I289="Invalid - Not Freely Given", I289="Invalid - Not Specific", I289="Invalid - Not Informed", I289="Invalid - Ambiguous"), "Gap - Invalid Consent", "Compliant")))))</f>
        <v/>
      </c>
      <c r="O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IF(D290="Legitimate Interest (GDPR Art. 6(1)(f))", "Yes / Required (Sheet 3)", "")</f>
        <v/>
      </c>
      <c r="L290" s="7" t="n"/>
      <c r="M290" s="7" t="n"/>
      <c r="N290">
        <f>IF(D290="", "Gap - No Legal Basis", IF(AND(D290="Consent (GDPR Art. 6(1)(a))", I290="Not Captured"), "Gap - Invalid Consent", IF(AND(D290="Legitimate Interest (GDPR Art. 6(1)(f))", L290=""), "Gap - Missing LIA", IF(AND(G290="Yes", H290=""), "Gap - Missing Art. 9 Basis", IF(OR(I290="Invalid - Not Freely Given", I290="Invalid - Not Specific", I290="Invalid - Not Informed", I290="Invalid - Ambiguous"), "Gap - Invalid Consent", "Compliant")))))</f>
        <v/>
      </c>
      <c r="O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IF(D291="Legitimate Interest (GDPR Art. 6(1)(f))", "Yes / Required (Sheet 3)", "")</f>
        <v/>
      </c>
      <c r="L291" s="7" t="n"/>
      <c r="M291" s="7" t="n"/>
      <c r="N291">
        <f>IF(D291="", "Gap - No Legal Basis", IF(AND(D291="Consent (GDPR Art. 6(1)(a))", I291="Not Captured"), "Gap - Invalid Consent", IF(AND(D291="Legitimate Interest (GDPR Art. 6(1)(f))", L291=""), "Gap - Missing LIA", IF(AND(G291="Yes", H291=""), "Gap - Missing Art. 9 Basis", IF(OR(I291="Invalid - Not Freely Given", I291="Invalid - Not Specific", I291="Invalid - Not Informed", I291="Invalid - Ambiguous"), "Gap - Invalid Consent", "Compliant")))))</f>
        <v/>
      </c>
      <c r="O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IF(D292="Legitimate Interest (GDPR Art. 6(1)(f))", "Yes / Required (Sheet 3)", "")</f>
        <v/>
      </c>
      <c r="L292" s="7" t="n"/>
      <c r="M292" s="7" t="n"/>
      <c r="N292">
        <f>IF(D292="", "Gap - No Legal Basis", IF(AND(D292="Consent (GDPR Art. 6(1)(a))", I292="Not Captured"), "Gap - Invalid Consent", IF(AND(D292="Legitimate Interest (GDPR Art. 6(1)(f))", L292=""), "Gap - Missing LIA", IF(AND(G292="Yes", H292=""), "Gap - Missing Art. 9 Basis", IF(OR(I292="Invalid - Not Freely Given", I292="Invalid - Not Specific", I292="Invalid - Not Informed", I292="Invalid - Ambiguous"), "Gap - Invalid Consent", "Compliant")))))</f>
        <v/>
      </c>
      <c r="O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IF(D293="Legitimate Interest (GDPR Art. 6(1)(f))", "Yes / Required (Sheet 3)", "")</f>
        <v/>
      </c>
      <c r="L293" s="7" t="n"/>
      <c r="M293" s="7" t="n"/>
      <c r="N293">
        <f>IF(D293="", "Gap - No Legal Basis", IF(AND(D293="Consent (GDPR Art. 6(1)(a))", I293="Not Captured"), "Gap - Invalid Consent", IF(AND(D293="Legitimate Interest (GDPR Art. 6(1)(f))", L293=""), "Gap - Missing LIA", IF(AND(G293="Yes", H293=""), "Gap - Missing Art. 9 Basis", IF(OR(I293="Invalid - Not Freely Given", I293="Invalid - Not Specific", I293="Invalid - Not Informed", I293="Invalid - Ambiguous"), "Gap - Invalid Consent", "Compliant")))))</f>
        <v/>
      </c>
      <c r="O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IF(D294="Legitimate Interest (GDPR Art. 6(1)(f))", "Yes / Required (Sheet 3)", "")</f>
        <v/>
      </c>
      <c r="L294" s="7" t="n"/>
      <c r="M294" s="7" t="n"/>
      <c r="N294">
        <f>IF(D294="", "Gap - No Legal Basis", IF(AND(D294="Consent (GDPR Art. 6(1)(a))", I294="Not Captured"), "Gap - Invalid Consent", IF(AND(D294="Legitimate Interest (GDPR Art. 6(1)(f))", L294=""), "Gap - Missing LIA", IF(AND(G294="Yes", H294=""), "Gap - Missing Art. 9 Basis", IF(OR(I294="Invalid - Not Freely Given", I294="Invalid - Not Specific", I294="Invalid - Not Informed", I294="Invalid - Ambiguous"), "Gap - Invalid Consent", "Compliant")))))</f>
        <v/>
      </c>
      <c r="O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IF(D295="Legitimate Interest (GDPR Art. 6(1)(f))", "Yes / Required (Sheet 3)", "")</f>
        <v/>
      </c>
      <c r="L295" s="7" t="n"/>
      <c r="M295" s="7" t="n"/>
      <c r="N295">
        <f>IF(D295="", "Gap - No Legal Basis", IF(AND(D295="Consent (GDPR Art. 6(1)(a))", I295="Not Captured"), "Gap - Invalid Consent", IF(AND(D295="Legitimate Interest (GDPR Art. 6(1)(f))", L295=""), "Gap - Missing LIA", IF(AND(G295="Yes", H295=""), "Gap - Missing Art. 9 Basis", IF(OR(I295="Invalid - Not Freely Given", I295="Invalid - Not Specific", I295="Invalid - Not Informed", I295="Invalid - Ambiguous"), "Gap - Invalid Consent", "Compliant")))))</f>
        <v/>
      </c>
      <c r="O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IF(D296="Legitimate Interest (GDPR Art. 6(1)(f))", "Yes / Required (Sheet 3)", "")</f>
        <v/>
      </c>
      <c r="L296" s="7" t="n"/>
      <c r="M296" s="7" t="n"/>
      <c r="N296">
        <f>IF(D296="", "Gap - No Legal Basis", IF(AND(D296="Consent (GDPR Art. 6(1)(a))", I296="Not Captured"), "Gap - Invalid Consent", IF(AND(D296="Legitimate Interest (GDPR Art. 6(1)(f))", L296=""), "Gap - Missing LIA", IF(AND(G296="Yes", H296=""), "Gap - Missing Art. 9 Basis", IF(OR(I296="Invalid - Not Freely Given", I296="Invalid - Not Specific", I296="Invalid - Not Informed", I296="Invalid - Ambiguous"), "Gap - Invalid Consent", "Compliant")))))</f>
        <v/>
      </c>
      <c r="O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IF(D297="Legitimate Interest (GDPR Art. 6(1)(f))", "Yes / Required (Sheet 3)", "")</f>
        <v/>
      </c>
      <c r="L297" s="7" t="n"/>
      <c r="M297" s="7" t="n"/>
      <c r="N297">
        <f>IF(D297="", "Gap - No Legal Basis", IF(AND(D297="Consent (GDPR Art. 6(1)(a))", I297="Not Captured"), "Gap - Invalid Consent", IF(AND(D297="Legitimate Interest (GDPR Art. 6(1)(f))", L297=""), "Gap - Missing LIA", IF(AND(G297="Yes", H297=""), "Gap - Missing Art. 9 Basis", IF(OR(I297="Invalid - Not Freely Given", I297="Invalid - Not Specific", I297="Invalid - Not Informed", I297="Invalid - Ambiguous"), "Gap - Invalid Consent", "Compliant")))))</f>
        <v/>
      </c>
      <c r="O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IF(D298="Legitimate Interest (GDPR Art. 6(1)(f))", "Yes / Required (Sheet 3)", "")</f>
        <v/>
      </c>
      <c r="L298" s="7" t="n"/>
      <c r="M298" s="7" t="n"/>
      <c r="N298">
        <f>IF(D298="", "Gap - No Legal Basis", IF(AND(D298="Consent (GDPR Art. 6(1)(a))", I298="Not Captured"), "Gap - Invalid Consent", IF(AND(D298="Legitimate Interest (GDPR Art. 6(1)(f))", L298=""), "Gap - Missing LIA", IF(AND(G298="Yes", H298=""), "Gap - Missing Art. 9 Basis", IF(OR(I298="Invalid - Not Freely Given", I298="Invalid - Not Specific", I298="Invalid - Not Informed", I298="Invalid - Ambiguous"), "Gap - Invalid Consent", "Compliant")))))</f>
        <v/>
      </c>
      <c r="O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IF(D299="Legitimate Interest (GDPR Art. 6(1)(f))", "Yes / Required (Sheet 3)", "")</f>
        <v/>
      </c>
      <c r="L299" s="7" t="n"/>
      <c r="M299" s="7" t="n"/>
      <c r="N299">
        <f>IF(D299="", "Gap - No Legal Basis", IF(AND(D299="Consent (GDPR Art. 6(1)(a))", I299="Not Captured"), "Gap - Invalid Consent", IF(AND(D299="Legitimate Interest (GDPR Art. 6(1)(f))", L299=""), "Gap - Missing LIA", IF(AND(G299="Yes", H299=""), "Gap - Missing Art. 9 Basis", IF(OR(I299="Invalid - Not Freely Given", I299="Invalid - Not Specific", I299="Invalid - Not Informed", I299="Invalid - Ambiguous"), "Gap - Invalid Consent", "Compliant")))))</f>
        <v/>
      </c>
      <c r="O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IF(D300="Legitimate Interest (GDPR Art. 6(1)(f))", "Yes / Required (Sheet 3)", "")</f>
        <v/>
      </c>
      <c r="L300" s="7" t="n"/>
      <c r="M300" s="7" t="n"/>
      <c r="N300">
        <f>IF(D300="", "Gap - No Legal Basis", IF(AND(D300="Consent (GDPR Art. 6(1)(a))", I300="Not Captured"), "Gap - Invalid Consent", IF(AND(D300="Legitimate Interest (GDPR Art. 6(1)(f))", L300=""), "Gap - Missing LIA", IF(AND(G300="Yes", H300=""), "Gap - Missing Art. 9 Basis", IF(OR(I300="Invalid - Not Freely Given", I300="Invalid - Not Specific", I300="Invalid - Not Informed", I300="Invalid - Ambiguous"), "Gap - Invalid Consent", "Compliant")))))</f>
        <v/>
      </c>
      <c r="O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IF(D301="Legitimate Interest (GDPR Art. 6(1)(f))", "Yes / Required (Sheet 3)", "")</f>
        <v/>
      </c>
      <c r="L301" s="7" t="n"/>
      <c r="M301" s="7" t="n"/>
      <c r="N301">
        <f>IF(D301="", "Gap - No Legal Basis", IF(AND(D301="Consent (GDPR Art. 6(1)(a))", I301="Not Captured"), "Gap - Invalid Consent", IF(AND(D301="Legitimate Interest (GDPR Art. 6(1)(f))", L301=""), "Gap - Missing LIA", IF(AND(G301="Yes", H301=""), "Gap - Missing Art. 9 Basis", IF(OR(I301="Invalid - Not Freely Given", I301="Invalid - Not Specific", I301="Invalid - Not Informed", I301="Invalid - Ambiguous"), "Gap - Invalid Consent", "Compliant")))))</f>
        <v/>
      </c>
      <c r="O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IF(D302="Legitimate Interest (GDPR Art. 6(1)(f))", "Yes / Required (Sheet 3)", "")</f>
        <v/>
      </c>
      <c r="L302" s="7" t="n"/>
      <c r="M302" s="7" t="n"/>
      <c r="N302">
        <f>IF(D302="", "Gap - No Legal Basis", IF(AND(D302="Consent (GDPR Art. 6(1)(a))", I302="Not Captured"), "Gap - Invalid Consent", IF(AND(D302="Legitimate Interest (GDPR Art. 6(1)(f))", L302=""), "Gap - Missing LIA", IF(AND(G302="Yes", H302=""), "Gap - Missing Art. 9 Basis", IF(OR(I302="Invalid - Not Freely Given", I302="Invalid - Not Specific", I302="Invalid - Not Informed", I302="Invalid - Ambiguous"), "Gap - Invalid Consent", "Compliant")))))</f>
        <v/>
      </c>
      <c r="O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IF(D303="Legitimate Interest (GDPR Art. 6(1)(f))", "Yes / Required (Sheet 3)", "")</f>
        <v/>
      </c>
      <c r="L303" s="7" t="n"/>
      <c r="M303" s="7" t="n"/>
      <c r="N303">
        <f>IF(D303="", "Gap - No Legal Basis", IF(AND(D303="Consent (GDPR Art. 6(1)(a))", I303="Not Captured"), "Gap - Invalid Consent", IF(AND(D303="Legitimate Interest (GDPR Art. 6(1)(f))", L303=""), "Gap - Missing LIA", IF(AND(G303="Yes", H303=""), "Gap - Missing Art. 9 Basis", IF(OR(I303="Invalid - Not Freely Given", I303="Invalid - Not Specific", I303="Invalid - Not Informed", I303="Invalid - Ambiguous"), "Gap - Invalid Consent", "Compliant")))))</f>
        <v/>
      </c>
      <c r="O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IF(D304="Legitimate Interest (GDPR Art. 6(1)(f))", "Yes / Required (Sheet 3)", "")</f>
        <v/>
      </c>
      <c r="L304" s="7" t="n"/>
      <c r="M304" s="7" t="n"/>
      <c r="N304">
        <f>IF(D304="", "Gap - No Legal Basis", IF(AND(D304="Consent (GDPR Art. 6(1)(a))", I304="Not Captured"), "Gap - Invalid Consent", IF(AND(D304="Legitimate Interest (GDPR Art. 6(1)(f))", L304=""), "Gap - Missing LIA", IF(AND(G304="Yes", H304=""), "Gap - Missing Art. 9 Basis", IF(OR(I304="Invalid - Not Freely Given", I304="Invalid - Not Specific", I304="Invalid - Not Informed", I304="Invalid - Ambiguous"), "Gap - Invalid Consent", "Compliant")))))</f>
        <v/>
      </c>
      <c r="O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IF(D305="Legitimate Interest (GDPR Art. 6(1)(f))", "Yes / Required (Sheet 3)", "")</f>
        <v/>
      </c>
      <c r="L305" s="7" t="n"/>
      <c r="M305" s="7" t="n"/>
      <c r="N305">
        <f>IF(D305="", "Gap - No Legal Basis", IF(AND(D305="Consent (GDPR Art. 6(1)(a))", I305="Not Captured"), "Gap - Invalid Consent", IF(AND(D305="Legitimate Interest (GDPR Art. 6(1)(f))", L305=""), "Gap - Missing LIA", IF(AND(G305="Yes", H305=""), "Gap - Missing Art. 9 Basis", IF(OR(I305="Invalid - Not Freely Given", I305="Invalid - Not Specific", I305="Invalid - Not Informed", I305="Invalid - Ambiguous"), "Gap - Invalid Consent", "Compliant")))))</f>
        <v/>
      </c>
      <c r="O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IF(D306="Legitimate Interest (GDPR Art. 6(1)(f))", "Yes / Required (Sheet 3)", "")</f>
        <v/>
      </c>
      <c r="L306" s="7" t="n"/>
      <c r="M306" s="7" t="n"/>
      <c r="N306">
        <f>IF(D306="", "Gap - No Legal Basis", IF(AND(D306="Consent (GDPR Art. 6(1)(a))", I306="Not Captured"), "Gap - Invalid Consent", IF(AND(D306="Legitimate Interest (GDPR Art. 6(1)(f))", L306=""), "Gap - Missing LIA", IF(AND(G306="Yes", H306=""), "Gap - Missing Art. 9 Basis", IF(OR(I306="Invalid - Not Freely Given", I306="Invalid - Not Specific", I306="Invalid - Not Informed", I306="Invalid - Ambiguous"), "Gap - Invalid Consent", "Compliant")))))</f>
        <v/>
      </c>
      <c r="O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IF(D307="Legitimate Interest (GDPR Art. 6(1)(f))", "Yes / Required (Sheet 3)", "")</f>
        <v/>
      </c>
      <c r="L307" s="7" t="n"/>
      <c r="M307" s="7" t="n"/>
      <c r="N307">
        <f>IF(D307="", "Gap - No Legal Basis", IF(AND(D307="Consent (GDPR Art. 6(1)(a))", I307="Not Captured"), "Gap - Invalid Consent", IF(AND(D307="Legitimate Interest (GDPR Art. 6(1)(f))", L307=""), "Gap - Missing LIA", IF(AND(G307="Yes", H307=""), "Gap - Missing Art. 9 Basis", IF(OR(I307="Invalid - Not Freely Given", I307="Invalid - Not Specific", I307="Invalid - Not Informed", I307="Invalid - Ambiguous"), "Gap - Invalid Consent", "Compliant")))))</f>
        <v/>
      </c>
      <c r="O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IF(D308="Legitimate Interest (GDPR Art. 6(1)(f))", "Yes / Required (Sheet 3)", "")</f>
        <v/>
      </c>
      <c r="L308" s="7" t="n"/>
      <c r="M308" s="7" t="n"/>
      <c r="N308">
        <f>IF(D308="", "Gap - No Legal Basis", IF(AND(D308="Consent (GDPR Art. 6(1)(a))", I308="Not Captured"), "Gap - Invalid Consent", IF(AND(D308="Legitimate Interest (GDPR Art. 6(1)(f))", L308=""), "Gap - Missing LIA", IF(AND(G308="Yes", H308=""), "Gap - Missing Art. 9 Basis", IF(OR(I308="Invalid - Not Freely Given", I308="Invalid - Not Specific", I308="Invalid - Not Informed", I308="Invalid - Ambiguous"), "Gap - Invalid Consent", "Compliant")))))</f>
        <v/>
      </c>
      <c r="O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IF(D309="Legitimate Interest (GDPR Art. 6(1)(f))", "Yes / Required (Sheet 3)", "")</f>
        <v/>
      </c>
      <c r="L309" s="7" t="n"/>
      <c r="M309" s="7" t="n"/>
      <c r="N309">
        <f>IF(D309="", "Gap - No Legal Basis", IF(AND(D309="Consent (GDPR Art. 6(1)(a))", I309="Not Captured"), "Gap - Invalid Consent", IF(AND(D309="Legitimate Interest (GDPR Art. 6(1)(f))", L309=""), "Gap - Missing LIA", IF(AND(G309="Yes", H309=""), "Gap - Missing Art. 9 Basis", IF(OR(I309="Invalid - Not Freely Given", I309="Invalid - Not Specific", I309="Invalid - Not Informed", I309="Invalid - Ambiguous"), "Gap - Invalid Consent", "Compliant")))))</f>
        <v/>
      </c>
      <c r="O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IF(D310="Legitimate Interest (GDPR Art. 6(1)(f))", "Yes / Required (Sheet 3)", "")</f>
        <v/>
      </c>
      <c r="L310" s="7" t="n"/>
      <c r="M310" s="7" t="n"/>
      <c r="N310">
        <f>IF(D310="", "Gap - No Legal Basis", IF(AND(D310="Consent (GDPR Art. 6(1)(a))", I310="Not Captured"), "Gap - Invalid Consent", IF(AND(D310="Legitimate Interest (GDPR Art. 6(1)(f))", L310=""), "Gap - Missing LIA", IF(AND(G310="Yes", H310=""), "Gap - Missing Art. 9 Basis", IF(OR(I310="Invalid - Not Freely Given", I310="Invalid - Not Specific", I310="Invalid - Not Informed", I310="Invalid - Ambiguous"), "Gap - Invalid Consent", "Compliant")))))</f>
        <v/>
      </c>
      <c r="O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IF(D311="Legitimate Interest (GDPR Art. 6(1)(f))", "Yes / Required (Sheet 3)", "")</f>
        <v/>
      </c>
      <c r="L311" s="7" t="n"/>
      <c r="M311" s="7" t="n"/>
      <c r="N311">
        <f>IF(D311="", "Gap - No Legal Basis", IF(AND(D311="Consent (GDPR Art. 6(1)(a))", I311="Not Captured"), "Gap - Invalid Consent", IF(AND(D311="Legitimate Interest (GDPR Art. 6(1)(f))", L311=""), "Gap - Missing LIA", IF(AND(G311="Yes", H311=""), "Gap - Missing Art. 9 Basis", IF(OR(I311="Invalid - Not Freely Given", I311="Invalid - Not Specific", I311="Invalid - Not Informed", I311="Invalid - Ambiguous"), "Gap - Invalid Consent", "Compliant")))))</f>
        <v/>
      </c>
      <c r="O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IF(D312="Legitimate Interest (GDPR Art. 6(1)(f))", "Yes / Required (Sheet 3)", "")</f>
        <v/>
      </c>
      <c r="L312" s="7" t="n"/>
      <c r="M312" s="7" t="n"/>
      <c r="N312">
        <f>IF(D312="", "Gap - No Legal Basis", IF(AND(D312="Consent (GDPR Art. 6(1)(a))", I312="Not Captured"), "Gap - Invalid Consent", IF(AND(D312="Legitimate Interest (GDPR Art. 6(1)(f))", L312=""), "Gap - Missing LIA", IF(AND(G312="Yes", H312=""), "Gap - Missing Art. 9 Basis", IF(OR(I312="Invalid - Not Freely Given", I312="Invalid - Not Specific", I312="Invalid - Not Informed", I312="Invalid - Ambiguous"), "Gap - Invalid Consent", "Compliant")))))</f>
        <v/>
      </c>
      <c r="O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IF(D313="Legitimate Interest (GDPR Art. 6(1)(f))", "Yes / Required (Sheet 3)", "")</f>
        <v/>
      </c>
      <c r="L313" s="7" t="n"/>
      <c r="M313" s="7" t="n"/>
      <c r="N313">
        <f>IF(D313="", "Gap - No Legal Basis", IF(AND(D313="Consent (GDPR Art. 6(1)(a))", I313="Not Captured"), "Gap - Invalid Consent", IF(AND(D313="Legitimate Interest (GDPR Art. 6(1)(f))", L313=""), "Gap - Missing LIA", IF(AND(G313="Yes", H313=""), "Gap - Missing Art. 9 Basis", IF(OR(I313="Invalid - Not Freely Given", I313="Invalid - Not Specific", I313="Invalid - Not Informed", I313="Invalid - Ambiguous"), "Gap - Invalid Consent", "Compliant")))))</f>
        <v/>
      </c>
      <c r="O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IF(D314="Legitimate Interest (GDPR Art. 6(1)(f))", "Yes / Required (Sheet 3)", "")</f>
        <v/>
      </c>
      <c r="L314" s="7" t="n"/>
      <c r="M314" s="7" t="n"/>
      <c r="N314">
        <f>IF(D314="", "Gap - No Legal Basis", IF(AND(D314="Consent (GDPR Art. 6(1)(a))", I314="Not Captured"), "Gap - Invalid Consent", IF(AND(D314="Legitimate Interest (GDPR Art. 6(1)(f))", L314=""), "Gap - Missing LIA", IF(AND(G314="Yes", H314=""), "Gap - Missing Art. 9 Basis", IF(OR(I314="Invalid - Not Freely Given", I314="Invalid - Not Specific", I314="Invalid - Not Informed", I314="Invalid - Ambiguous"), "Gap - Invalid Consent", "Compliant")))))</f>
        <v/>
      </c>
      <c r="O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IF(D315="Legitimate Interest (GDPR Art. 6(1)(f))", "Yes / Required (Sheet 3)", "")</f>
        <v/>
      </c>
      <c r="L315" s="7" t="n"/>
      <c r="M315" s="7" t="n"/>
      <c r="N315">
        <f>IF(D315="", "Gap - No Legal Basis", IF(AND(D315="Consent (GDPR Art. 6(1)(a))", I315="Not Captured"), "Gap - Invalid Consent", IF(AND(D315="Legitimate Interest (GDPR Art. 6(1)(f))", L315=""), "Gap - Missing LIA", IF(AND(G315="Yes", H315=""), "Gap - Missing Art. 9 Basis", IF(OR(I315="Invalid - Not Freely Given", I315="Invalid - Not Specific", I315="Invalid - Not Informed", I315="Invalid - Ambiguous"), "Gap - Invalid Consent", "Compliant")))))</f>
        <v/>
      </c>
      <c r="O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IF(D316="Legitimate Interest (GDPR Art. 6(1)(f))", "Yes / Required (Sheet 3)", "")</f>
        <v/>
      </c>
      <c r="L316" s="7" t="n"/>
      <c r="M316" s="7" t="n"/>
      <c r="N316">
        <f>IF(D316="", "Gap - No Legal Basis", IF(AND(D316="Consent (GDPR Art. 6(1)(a))", I316="Not Captured"), "Gap - Invalid Consent", IF(AND(D316="Legitimate Interest (GDPR Art. 6(1)(f))", L316=""), "Gap - Missing LIA", IF(AND(G316="Yes", H316=""), "Gap - Missing Art. 9 Basis", IF(OR(I316="Invalid - Not Freely Given", I316="Invalid - Not Specific", I316="Invalid - Not Informed", I316="Invalid - Ambiguous"), "Gap - Invalid Consent", "Compliant")))))</f>
        <v/>
      </c>
      <c r="O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IF(D317="Legitimate Interest (GDPR Art. 6(1)(f))", "Yes / Required (Sheet 3)", "")</f>
        <v/>
      </c>
      <c r="L317" s="7" t="n"/>
      <c r="M317" s="7" t="n"/>
      <c r="N317">
        <f>IF(D317="", "Gap - No Legal Basis", IF(AND(D317="Consent (GDPR Art. 6(1)(a))", I317="Not Captured"), "Gap - Invalid Consent", IF(AND(D317="Legitimate Interest (GDPR Art. 6(1)(f))", L317=""), "Gap - Missing LIA", IF(AND(G317="Yes", H317=""), "Gap - Missing Art. 9 Basis", IF(OR(I317="Invalid - Not Freely Given", I317="Invalid - Not Specific", I317="Invalid - Not Informed", I317="Invalid - Ambiguous"), "Gap - Invalid Consent", "Compliant")))))</f>
        <v/>
      </c>
      <c r="O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IF(D318="Legitimate Interest (GDPR Art. 6(1)(f))", "Yes / Required (Sheet 3)", "")</f>
        <v/>
      </c>
      <c r="L318" s="7" t="n"/>
      <c r="M318" s="7" t="n"/>
      <c r="N318">
        <f>IF(D318="", "Gap - No Legal Basis", IF(AND(D318="Consent (GDPR Art. 6(1)(a))", I318="Not Captured"), "Gap - Invalid Consent", IF(AND(D318="Legitimate Interest (GDPR Art. 6(1)(f))", L318=""), "Gap - Missing LIA", IF(AND(G318="Yes", H318=""), "Gap - Missing Art. 9 Basis", IF(OR(I318="Invalid - Not Freely Given", I318="Invalid - Not Specific", I318="Invalid - Not Informed", I318="Invalid - Ambiguous"), "Gap - Invalid Consent", "Compliant")))))</f>
        <v/>
      </c>
      <c r="O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IF(D319="Legitimate Interest (GDPR Art. 6(1)(f))", "Yes / Required (Sheet 3)", "")</f>
        <v/>
      </c>
      <c r="L319" s="7" t="n"/>
      <c r="M319" s="7" t="n"/>
      <c r="N319">
        <f>IF(D319="", "Gap - No Legal Basis", IF(AND(D319="Consent (GDPR Art. 6(1)(a))", I319="Not Captured"), "Gap - Invalid Consent", IF(AND(D319="Legitimate Interest (GDPR Art. 6(1)(f))", L319=""), "Gap - Missing LIA", IF(AND(G319="Yes", H319=""), "Gap - Missing Art. 9 Basis", IF(OR(I319="Invalid - Not Freely Given", I319="Invalid - Not Specific", I319="Invalid - Not Informed", I319="Invalid - Ambiguous"), "Gap - Invalid Consent", "Compliant")))))</f>
        <v/>
      </c>
      <c r="O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IF(D320="Legitimate Interest (GDPR Art. 6(1)(f))", "Yes / Required (Sheet 3)", "")</f>
        <v/>
      </c>
      <c r="L320" s="7" t="n"/>
      <c r="M320" s="7" t="n"/>
      <c r="N320">
        <f>IF(D320="", "Gap - No Legal Basis", IF(AND(D320="Consent (GDPR Art. 6(1)(a))", I320="Not Captured"), "Gap - Invalid Consent", IF(AND(D320="Legitimate Interest (GDPR Art. 6(1)(f))", L320=""), "Gap - Missing LIA", IF(AND(G320="Yes", H320=""), "Gap - Missing Art. 9 Basis", IF(OR(I320="Invalid - Not Freely Given", I320="Invalid - Not Specific", I320="Invalid - Not Informed", I320="Invalid - Ambiguous"), "Gap - Invalid Consent", "Compliant")))))</f>
        <v/>
      </c>
      <c r="O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IF(D321="Legitimate Interest (GDPR Art. 6(1)(f))", "Yes / Required (Sheet 3)", "")</f>
        <v/>
      </c>
      <c r="L321" s="7" t="n"/>
      <c r="M321" s="7" t="n"/>
      <c r="N321">
        <f>IF(D321="", "Gap - No Legal Basis", IF(AND(D321="Consent (GDPR Art. 6(1)(a))", I321="Not Captured"), "Gap - Invalid Consent", IF(AND(D321="Legitimate Interest (GDPR Art. 6(1)(f))", L321=""), "Gap - Missing LIA", IF(AND(G321="Yes", H321=""), "Gap - Missing Art. 9 Basis", IF(OR(I321="Invalid - Not Freely Given", I321="Invalid - Not Specific", I321="Invalid - Not Informed", I321="Invalid - Ambiguous"), "Gap - Invalid Consent", "Compliant")))))</f>
        <v/>
      </c>
      <c r="O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IF(D322="Legitimate Interest (GDPR Art. 6(1)(f))", "Yes / Required (Sheet 3)", "")</f>
        <v/>
      </c>
      <c r="L322" s="7" t="n"/>
      <c r="M322" s="7" t="n"/>
      <c r="N322">
        <f>IF(D322="", "Gap - No Legal Basis", IF(AND(D322="Consent (GDPR Art. 6(1)(a))", I322="Not Captured"), "Gap - Invalid Consent", IF(AND(D322="Legitimate Interest (GDPR Art. 6(1)(f))", L322=""), "Gap - Missing LIA", IF(AND(G322="Yes", H322=""), "Gap - Missing Art. 9 Basis", IF(OR(I322="Invalid - Not Freely Given", I322="Invalid - Not Specific", I322="Invalid - Not Informed", I322="Invalid - Ambiguous"), "Gap - Invalid Consent", "Compliant")))))</f>
        <v/>
      </c>
      <c r="O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IF(D323="Legitimate Interest (GDPR Art. 6(1)(f))", "Yes / Required (Sheet 3)", "")</f>
        <v/>
      </c>
      <c r="L323" s="7" t="n"/>
      <c r="M323" s="7" t="n"/>
      <c r="N323">
        <f>IF(D323="", "Gap - No Legal Basis", IF(AND(D323="Consent (GDPR Art. 6(1)(a))", I323="Not Captured"), "Gap - Invalid Consent", IF(AND(D323="Legitimate Interest (GDPR Art. 6(1)(f))", L323=""), "Gap - Missing LIA", IF(AND(G323="Yes", H323=""), "Gap - Missing Art. 9 Basis", IF(OR(I323="Invalid - Not Freely Given", I323="Invalid - Not Specific", I323="Invalid - Not Informed", I323="Invalid - Ambiguous"), "Gap - Invalid Consent", "Compliant")))))</f>
        <v/>
      </c>
      <c r="O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IF(D324="Legitimate Interest (GDPR Art. 6(1)(f))", "Yes / Required (Sheet 3)", "")</f>
        <v/>
      </c>
      <c r="L324" s="7" t="n"/>
      <c r="M324" s="7" t="n"/>
      <c r="N324">
        <f>IF(D324="", "Gap - No Legal Basis", IF(AND(D324="Consent (GDPR Art. 6(1)(a))", I324="Not Captured"), "Gap - Invalid Consent", IF(AND(D324="Legitimate Interest (GDPR Art. 6(1)(f))", L324=""), "Gap - Missing LIA", IF(AND(G324="Yes", H324=""), "Gap - Missing Art. 9 Basis", IF(OR(I324="Invalid - Not Freely Given", I324="Invalid - Not Specific", I324="Invalid - Not Informed", I324="Invalid - Ambiguous"), "Gap - Invalid Consent", "Compliant")))))</f>
        <v/>
      </c>
      <c r="O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IF(D325="Legitimate Interest (GDPR Art. 6(1)(f))", "Yes / Required (Sheet 3)", "")</f>
        <v/>
      </c>
      <c r="L325" s="7" t="n"/>
      <c r="M325" s="7" t="n"/>
      <c r="N325">
        <f>IF(D325="", "Gap - No Legal Basis", IF(AND(D325="Consent (GDPR Art. 6(1)(a))", I325="Not Captured"), "Gap - Invalid Consent", IF(AND(D325="Legitimate Interest (GDPR Art. 6(1)(f))", L325=""), "Gap - Missing LIA", IF(AND(G325="Yes", H325=""), "Gap - Missing Art. 9 Basis", IF(OR(I325="Invalid - Not Freely Given", I325="Invalid - Not Specific", I325="Invalid - Not Informed", I325="Invalid - Ambiguous"), "Gap - Invalid Consent", "Compliant")))))</f>
        <v/>
      </c>
      <c r="O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IF(D326="Legitimate Interest (GDPR Art. 6(1)(f))", "Yes / Required (Sheet 3)", "")</f>
        <v/>
      </c>
      <c r="L326" s="7" t="n"/>
      <c r="M326" s="7" t="n"/>
      <c r="N326">
        <f>IF(D326="", "Gap - No Legal Basis", IF(AND(D326="Consent (GDPR Art. 6(1)(a))", I326="Not Captured"), "Gap - Invalid Consent", IF(AND(D326="Legitimate Interest (GDPR Art. 6(1)(f))", L326=""), "Gap - Missing LIA", IF(AND(G326="Yes", H326=""), "Gap - Missing Art. 9 Basis", IF(OR(I326="Invalid - Not Freely Given", I326="Invalid - Not Specific", I326="Invalid - Not Informed", I326="Invalid - Ambiguous"), "Gap - Invalid Consent", "Compliant")))))</f>
        <v/>
      </c>
      <c r="O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IF(D327="Legitimate Interest (GDPR Art. 6(1)(f))", "Yes / Required (Sheet 3)", "")</f>
        <v/>
      </c>
      <c r="L327" s="7" t="n"/>
      <c r="M327" s="7" t="n"/>
      <c r="N327">
        <f>IF(D327="", "Gap - No Legal Basis", IF(AND(D327="Consent (GDPR Art. 6(1)(a))", I327="Not Captured"), "Gap - Invalid Consent", IF(AND(D327="Legitimate Interest (GDPR Art. 6(1)(f))", L327=""), "Gap - Missing LIA", IF(AND(G327="Yes", H327=""), "Gap - Missing Art. 9 Basis", IF(OR(I327="Invalid - Not Freely Given", I327="Invalid - Not Specific", I327="Invalid - Not Informed", I327="Invalid - Ambiguous"), "Gap - Invalid Consent", "Compliant")))))</f>
        <v/>
      </c>
      <c r="O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IF(D328="Legitimate Interest (GDPR Art. 6(1)(f))", "Yes / Required (Sheet 3)", "")</f>
        <v/>
      </c>
      <c r="L328" s="7" t="n"/>
      <c r="M328" s="7" t="n"/>
      <c r="N328">
        <f>IF(D328="", "Gap - No Legal Basis", IF(AND(D328="Consent (GDPR Art. 6(1)(a))", I328="Not Captured"), "Gap - Invalid Consent", IF(AND(D328="Legitimate Interest (GDPR Art. 6(1)(f))", L328=""), "Gap - Missing LIA", IF(AND(G328="Yes", H328=""), "Gap - Missing Art. 9 Basis", IF(OR(I328="Invalid - Not Freely Given", I328="Invalid - Not Specific", I328="Invalid - Not Informed", I328="Invalid - Ambiguous"), "Gap - Invalid Consent", "Compliant")))))</f>
        <v/>
      </c>
      <c r="O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IF(D329="Legitimate Interest (GDPR Art. 6(1)(f))", "Yes / Required (Sheet 3)", "")</f>
        <v/>
      </c>
      <c r="L329" s="7" t="n"/>
      <c r="M329" s="7" t="n"/>
      <c r="N329">
        <f>IF(D329="", "Gap - No Legal Basis", IF(AND(D329="Consent (GDPR Art. 6(1)(a))", I329="Not Captured"), "Gap - Invalid Consent", IF(AND(D329="Legitimate Interest (GDPR Art. 6(1)(f))", L329=""), "Gap - Missing LIA", IF(AND(G329="Yes", H329=""), "Gap - Missing Art. 9 Basis", IF(OR(I329="Invalid - Not Freely Given", I329="Invalid - Not Specific", I329="Invalid - Not Informed", I329="Invalid - Ambiguous"), "Gap - Invalid Consent", "Compliant")))))</f>
        <v/>
      </c>
      <c r="O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IF(D330="Legitimate Interest (GDPR Art. 6(1)(f))", "Yes / Required (Sheet 3)", "")</f>
        <v/>
      </c>
      <c r="L330" s="7" t="n"/>
      <c r="M330" s="7" t="n"/>
      <c r="N330">
        <f>IF(D330="", "Gap - No Legal Basis", IF(AND(D330="Consent (GDPR Art. 6(1)(a))", I330="Not Captured"), "Gap - Invalid Consent", IF(AND(D330="Legitimate Interest (GDPR Art. 6(1)(f))", L330=""), "Gap - Missing LIA", IF(AND(G330="Yes", H330=""), "Gap - Missing Art. 9 Basis", IF(OR(I330="Invalid - Not Freely Given", I330="Invalid - Not Specific", I330="Invalid - Not Informed", I330="Invalid - Ambiguous"), "Gap - Invalid Consent", "Compliant")))))</f>
        <v/>
      </c>
      <c r="O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IF(D331="Legitimate Interest (GDPR Art. 6(1)(f))", "Yes / Required (Sheet 3)", "")</f>
        <v/>
      </c>
      <c r="L331" s="7" t="n"/>
      <c r="M331" s="7" t="n"/>
      <c r="N331">
        <f>IF(D331="", "Gap - No Legal Basis", IF(AND(D331="Consent (GDPR Art. 6(1)(a))", I331="Not Captured"), "Gap - Invalid Consent", IF(AND(D331="Legitimate Interest (GDPR Art. 6(1)(f))", L331=""), "Gap - Missing LIA", IF(AND(G331="Yes", H331=""), "Gap - Missing Art. 9 Basis", IF(OR(I331="Invalid - Not Freely Given", I331="Invalid - Not Specific", I331="Invalid - Not Informed", I331="Invalid - Ambiguous"), "Gap - Invalid Consent", "Compliant")))))</f>
        <v/>
      </c>
      <c r="O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IF(D332="Legitimate Interest (GDPR Art. 6(1)(f))", "Yes / Required (Sheet 3)", "")</f>
        <v/>
      </c>
      <c r="L332" s="7" t="n"/>
      <c r="M332" s="7" t="n"/>
      <c r="N332">
        <f>IF(D332="", "Gap - No Legal Basis", IF(AND(D332="Consent (GDPR Art. 6(1)(a))", I332="Not Captured"), "Gap - Invalid Consent", IF(AND(D332="Legitimate Interest (GDPR Art. 6(1)(f))", L332=""), "Gap - Missing LIA", IF(AND(G332="Yes", H332=""), "Gap - Missing Art. 9 Basis", IF(OR(I332="Invalid - Not Freely Given", I332="Invalid - Not Specific", I332="Invalid - Not Informed", I332="Invalid - Ambiguous"), "Gap - Invalid Consent", "Compliant")))))</f>
        <v/>
      </c>
      <c r="O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IF(D333="Legitimate Interest (GDPR Art. 6(1)(f))", "Yes / Required (Sheet 3)", "")</f>
        <v/>
      </c>
      <c r="L333" s="7" t="n"/>
      <c r="M333" s="7" t="n"/>
      <c r="N333">
        <f>IF(D333="", "Gap - No Legal Basis", IF(AND(D333="Consent (GDPR Art. 6(1)(a))", I333="Not Captured"), "Gap - Invalid Consent", IF(AND(D333="Legitimate Interest (GDPR Art. 6(1)(f))", L333=""), "Gap - Missing LIA", IF(AND(G333="Yes", H333=""), "Gap - Missing Art. 9 Basis", IF(OR(I333="Invalid - Not Freely Given", I333="Invalid - Not Specific", I333="Invalid - Not Informed", I333="Invalid - Ambiguous"), "Gap - Invalid Consent", "Compliant")))))</f>
        <v/>
      </c>
      <c r="O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IF(D334="Legitimate Interest (GDPR Art. 6(1)(f))", "Yes / Required (Sheet 3)", "")</f>
        <v/>
      </c>
      <c r="L334" s="7" t="n"/>
      <c r="M334" s="7" t="n"/>
      <c r="N334">
        <f>IF(D334="", "Gap - No Legal Basis", IF(AND(D334="Consent (GDPR Art. 6(1)(a))", I334="Not Captured"), "Gap - Invalid Consent", IF(AND(D334="Legitimate Interest (GDPR Art. 6(1)(f))", L334=""), "Gap - Missing LIA", IF(AND(G334="Yes", H334=""), "Gap - Missing Art. 9 Basis", IF(OR(I334="Invalid - Not Freely Given", I334="Invalid - Not Specific", I334="Invalid - Not Informed", I334="Invalid - Ambiguous"), "Gap - Invalid Consent", "Compliant")))))</f>
        <v/>
      </c>
      <c r="O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IF(D335="Legitimate Interest (GDPR Art. 6(1)(f))", "Yes / Required (Sheet 3)", "")</f>
        <v/>
      </c>
      <c r="L335" s="7" t="n"/>
      <c r="M335" s="7" t="n"/>
      <c r="N335">
        <f>IF(D335="", "Gap - No Legal Basis", IF(AND(D335="Consent (GDPR Art. 6(1)(a))", I335="Not Captured"), "Gap - Invalid Consent", IF(AND(D335="Legitimate Interest (GDPR Art. 6(1)(f))", L335=""), "Gap - Missing LIA", IF(AND(G335="Yes", H335=""), "Gap - Missing Art. 9 Basis", IF(OR(I335="Invalid - Not Freely Given", I335="Invalid - Not Specific", I335="Invalid - Not Informed", I335="Invalid - Ambiguous"), "Gap - Invalid Consent", "Compliant")))))</f>
        <v/>
      </c>
      <c r="O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IF(D336="Legitimate Interest (GDPR Art. 6(1)(f))", "Yes / Required (Sheet 3)", "")</f>
        <v/>
      </c>
      <c r="L336" s="7" t="n"/>
      <c r="M336" s="7" t="n"/>
      <c r="N336">
        <f>IF(D336="", "Gap - No Legal Basis", IF(AND(D336="Consent (GDPR Art. 6(1)(a))", I336="Not Captured"), "Gap - Invalid Consent", IF(AND(D336="Legitimate Interest (GDPR Art. 6(1)(f))", L336=""), "Gap - Missing LIA", IF(AND(G336="Yes", H336=""), "Gap - Missing Art. 9 Basis", IF(OR(I336="Invalid - Not Freely Given", I336="Invalid - Not Specific", I336="Invalid - Not Informed", I336="Invalid - Ambiguous"), "Gap - Invalid Consent", "Compliant")))))</f>
        <v/>
      </c>
      <c r="O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IF(D337="Legitimate Interest (GDPR Art. 6(1)(f))", "Yes / Required (Sheet 3)", "")</f>
        <v/>
      </c>
      <c r="L337" s="7" t="n"/>
      <c r="M337" s="7" t="n"/>
      <c r="N337">
        <f>IF(D337="", "Gap - No Legal Basis", IF(AND(D337="Consent (GDPR Art. 6(1)(a))", I337="Not Captured"), "Gap - Invalid Consent", IF(AND(D337="Legitimate Interest (GDPR Art. 6(1)(f))", L337=""), "Gap - Missing LIA", IF(AND(G337="Yes", H337=""), "Gap - Missing Art. 9 Basis", IF(OR(I337="Invalid - Not Freely Given", I337="Invalid - Not Specific", I337="Invalid - Not Informed", I337="Invalid - Ambiguous"), "Gap - Invalid Consent", "Compliant")))))</f>
        <v/>
      </c>
      <c r="O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IF(D338="Legitimate Interest (GDPR Art. 6(1)(f))", "Yes / Required (Sheet 3)", "")</f>
        <v/>
      </c>
      <c r="L338" s="7" t="n"/>
      <c r="M338" s="7" t="n"/>
      <c r="N338">
        <f>IF(D338="", "Gap - No Legal Basis", IF(AND(D338="Consent (GDPR Art. 6(1)(a))", I338="Not Captured"), "Gap - Invalid Consent", IF(AND(D338="Legitimate Interest (GDPR Art. 6(1)(f))", L338=""), "Gap - Missing LIA", IF(AND(G338="Yes", H338=""), "Gap - Missing Art. 9 Basis", IF(OR(I338="Invalid - Not Freely Given", I338="Invalid - Not Specific", I338="Invalid - Not Informed", I338="Invalid - Ambiguous"), "Gap - Invalid Consent", "Compliant")))))</f>
        <v/>
      </c>
      <c r="O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IF(D339="Legitimate Interest (GDPR Art. 6(1)(f))", "Yes / Required (Sheet 3)", "")</f>
        <v/>
      </c>
      <c r="L339" s="7" t="n"/>
      <c r="M339" s="7" t="n"/>
      <c r="N339">
        <f>IF(D339="", "Gap - No Legal Basis", IF(AND(D339="Consent (GDPR Art. 6(1)(a))", I339="Not Captured"), "Gap - Invalid Consent", IF(AND(D339="Legitimate Interest (GDPR Art. 6(1)(f))", L339=""), "Gap - Missing LIA", IF(AND(G339="Yes", H339=""), "Gap - Missing Art. 9 Basis", IF(OR(I339="Invalid - Not Freely Given", I339="Invalid - Not Specific", I339="Invalid - Not Informed", I339="Invalid - Ambiguous"), "Gap - Invalid Consent", "Compliant")))))</f>
        <v/>
      </c>
      <c r="O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IF(D340="Legitimate Interest (GDPR Art. 6(1)(f))", "Yes / Required (Sheet 3)", "")</f>
        <v/>
      </c>
      <c r="L340" s="7" t="n"/>
      <c r="M340" s="7" t="n"/>
      <c r="N340">
        <f>IF(D340="", "Gap - No Legal Basis", IF(AND(D340="Consent (GDPR Art. 6(1)(a))", I340="Not Captured"), "Gap - Invalid Consent", IF(AND(D340="Legitimate Interest (GDPR Art. 6(1)(f))", L340=""), "Gap - Missing LIA", IF(AND(G340="Yes", H340=""), "Gap - Missing Art. 9 Basis", IF(OR(I340="Invalid - Not Freely Given", I340="Invalid - Not Specific", I340="Invalid - Not Informed", I340="Invalid - Ambiguous"), "Gap - Invalid Consent", "Compliant")))))</f>
        <v/>
      </c>
      <c r="O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IF(D341="Legitimate Interest (GDPR Art. 6(1)(f))", "Yes / Required (Sheet 3)", "")</f>
        <v/>
      </c>
      <c r="L341" s="7" t="n"/>
      <c r="M341" s="7" t="n"/>
      <c r="N341">
        <f>IF(D341="", "Gap - No Legal Basis", IF(AND(D341="Consent (GDPR Art. 6(1)(a))", I341="Not Captured"), "Gap - Invalid Consent", IF(AND(D341="Legitimate Interest (GDPR Art. 6(1)(f))", L341=""), "Gap - Missing LIA", IF(AND(G341="Yes", H341=""), "Gap - Missing Art. 9 Basis", IF(OR(I341="Invalid - Not Freely Given", I341="Invalid - Not Specific", I341="Invalid - Not Informed", I341="Invalid - Ambiguous"), "Gap - Invalid Consent", "Compliant")))))</f>
        <v/>
      </c>
      <c r="O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IF(D342="Legitimate Interest (GDPR Art. 6(1)(f))", "Yes / Required (Sheet 3)", "")</f>
        <v/>
      </c>
      <c r="L342" s="7" t="n"/>
      <c r="M342" s="7" t="n"/>
      <c r="N342">
        <f>IF(D342="", "Gap - No Legal Basis", IF(AND(D342="Consent (GDPR Art. 6(1)(a))", I342="Not Captured"), "Gap - Invalid Consent", IF(AND(D342="Legitimate Interest (GDPR Art. 6(1)(f))", L342=""), "Gap - Missing LIA", IF(AND(G342="Yes", H342=""), "Gap - Missing Art. 9 Basis", IF(OR(I342="Invalid - Not Freely Given", I342="Invalid - Not Specific", I342="Invalid - Not Informed", I342="Invalid - Ambiguous"), "Gap - Invalid Consent", "Compliant")))))</f>
        <v/>
      </c>
      <c r="O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IF(D343="Legitimate Interest (GDPR Art. 6(1)(f))", "Yes / Required (Sheet 3)", "")</f>
        <v/>
      </c>
      <c r="L343" s="7" t="n"/>
      <c r="M343" s="7" t="n"/>
      <c r="N343">
        <f>IF(D343="", "Gap - No Legal Basis", IF(AND(D343="Consent (GDPR Art. 6(1)(a))", I343="Not Captured"), "Gap - Invalid Consent", IF(AND(D343="Legitimate Interest (GDPR Art. 6(1)(f))", L343=""), "Gap - Missing LIA", IF(AND(G343="Yes", H343=""), "Gap - Missing Art. 9 Basis", IF(OR(I343="Invalid - Not Freely Given", I343="Invalid - Not Specific", I343="Invalid - Not Informed", I343="Invalid - Ambiguous"), "Gap - Invalid Consent", "Compliant")))))</f>
        <v/>
      </c>
      <c r="O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IF(D344="Legitimate Interest (GDPR Art. 6(1)(f))", "Yes / Required (Sheet 3)", "")</f>
        <v/>
      </c>
      <c r="L344" s="7" t="n"/>
      <c r="M344" s="7" t="n"/>
      <c r="N344">
        <f>IF(D344="", "Gap - No Legal Basis", IF(AND(D344="Consent (GDPR Art. 6(1)(a))", I344="Not Captured"), "Gap - Invalid Consent", IF(AND(D344="Legitimate Interest (GDPR Art. 6(1)(f))", L344=""), "Gap - Missing LIA", IF(AND(G344="Yes", H344=""), "Gap - Missing Art. 9 Basis", IF(OR(I344="Invalid - Not Freely Given", I344="Invalid - Not Specific", I344="Invalid - Not Informed", I344="Invalid - Ambiguous"), "Gap - Invalid Consent", "Compliant")))))</f>
        <v/>
      </c>
      <c r="O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IF(D345="Legitimate Interest (GDPR Art. 6(1)(f))", "Yes / Required (Sheet 3)", "")</f>
        <v/>
      </c>
      <c r="L345" s="7" t="n"/>
      <c r="M345" s="7" t="n"/>
      <c r="N345">
        <f>IF(D345="", "Gap - No Legal Basis", IF(AND(D345="Consent (GDPR Art. 6(1)(a))", I345="Not Captured"), "Gap - Invalid Consent", IF(AND(D345="Legitimate Interest (GDPR Art. 6(1)(f))", L345=""), "Gap - Missing LIA", IF(AND(G345="Yes", H345=""), "Gap - Missing Art. 9 Basis", IF(OR(I345="Invalid - Not Freely Given", I345="Invalid - Not Specific", I345="Invalid - Not Informed", I345="Invalid - Ambiguous"), "Gap - Invalid Consent", "Compliant")))))</f>
        <v/>
      </c>
      <c r="O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IF(D346="Legitimate Interest (GDPR Art. 6(1)(f))", "Yes / Required (Sheet 3)", "")</f>
        <v/>
      </c>
      <c r="L346" s="7" t="n"/>
      <c r="M346" s="7" t="n"/>
      <c r="N346">
        <f>IF(D346="", "Gap - No Legal Basis", IF(AND(D346="Consent (GDPR Art. 6(1)(a))", I346="Not Captured"), "Gap - Invalid Consent", IF(AND(D346="Legitimate Interest (GDPR Art. 6(1)(f))", L346=""), "Gap - Missing LIA", IF(AND(G346="Yes", H346=""), "Gap - Missing Art. 9 Basis", IF(OR(I346="Invalid - Not Freely Given", I346="Invalid - Not Specific", I346="Invalid - Not Informed", I346="Invalid - Ambiguous"), "Gap - Invalid Consent", "Compliant")))))</f>
        <v/>
      </c>
      <c r="O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IF(D347="Legitimate Interest (GDPR Art. 6(1)(f))", "Yes / Required (Sheet 3)", "")</f>
        <v/>
      </c>
      <c r="L347" s="7" t="n"/>
      <c r="M347" s="7" t="n"/>
      <c r="N347">
        <f>IF(D347="", "Gap - No Legal Basis", IF(AND(D347="Consent (GDPR Art. 6(1)(a))", I347="Not Captured"), "Gap - Invalid Consent", IF(AND(D347="Legitimate Interest (GDPR Art. 6(1)(f))", L347=""), "Gap - Missing LIA", IF(AND(G347="Yes", H347=""), "Gap - Missing Art. 9 Basis", IF(OR(I347="Invalid - Not Freely Given", I347="Invalid - Not Specific", I347="Invalid - Not Informed", I347="Invalid - Ambiguous"), "Gap - Invalid Consent", "Compliant")))))</f>
        <v/>
      </c>
      <c r="O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IF(D348="Legitimate Interest (GDPR Art. 6(1)(f))", "Yes / Required (Sheet 3)", "")</f>
        <v/>
      </c>
      <c r="L348" s="7" t="n"/>
      <c r="M348" s="7" t="n"/>
      <c r="N348">
        <f>IF(D348="", "Gap - No Legal Basis", IF(AND(D348="Consent (GDPR Art. 6(1)(a))", I348="Not Captured"), "Gap - Invalid Consent", IF(AND(D348="Legitimate Interest (GDPR Art. 6(1)(f))", L348=""), "Gap - Missing LIA", IF(AND(G348="Yes", H348=""), "Gap - Missing Art. 9 Basis", IF(OR(I348="Invalid - Not Freely Given", I348="Invalid - Not Specific", I348="Invalid - Not Informed", I348="Invalid - Ambiguous"), "Gap - Invalid Consent", "Compliant")))))</f>
        <v/>
      </c>
      <c r="O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IF(D349="Legitimate Interest (GDPR Art. 6(1)(f))", "Yes / Required (Sheet 3)", "")</f>
        <v/>
      </c>
      <c r="L349" s="7" t="n"/>
      <c r="M349" s="7" t="n"/>
      <c r="N349">
        <f>IF(D349="", "Gap - No Legal Basis", IF(AND(D349="Consent (GDPR Art. 6(1)(a))", I349="Not Captured"), "Gap - Invalid Consent", IF(AND(D349="Legitimate Interest (GDPR Art. 6(1)(f))", L349=""), "Gap - Missing LIA", IF(AND(G349="Yes", H349=""), "Gap - Missing Art. 9 Basis", IF(OR(I349="Invalid - Not Freely Given", I349="Invalid - Not Specific", I349="Invalid - Not Informed", I349="Invalid - Ambiguous"), "Gap - Invalid Consent", "Compliant")))))</f>
        <v/>
      </c>
      <c r="O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IF(D350="Legitimate Interest (GDPR Art. 6(1)(f))", "Yes / Required (Sheet 3)", "")</f>
        <v/>
      </c>
      <c r="L350" s="7" t="n"/>
      <c r="M350" s="7" t="n"/>
      <c r="N350">
        <f>IF(D350="", "Gap - No Legal Basis", IF(AND(D350="Consent (GDPR Art. 6(1)(a))", I350="Not Captured"), "Gap - Invalid Consent", IF(AND(D350="Legitimate Interest (GDPR Art. 6(1)(f))", L350=""), "Gap - Missing LIA", IF(AND(G350="Yes", H350=""), "Gap - Missing Art. 9 Basis", IF(OR(I350="Invalid - Not Freely Given", I350="Invalid - Not Specific", I350="Invalid - Not Informed", I350="Invalid - Ambiguous"), "Gap - Invalid Consent", "Compliant")))))</f>
        <v/>
      </c>
      <c r="O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IF(D351="Legitimate Interest (GDPR Art. 6(1)(f))", "Yes / Required (Sheet 3)", "")</f>
        <v/>
      </c>
      <c r="L351" s="7" t="n"/>
      <c r="M351" s="7" t="n"/>
      <c r="N351">
        <f>IF(D351="", "Gap - No Legal Basis", IF(AND(D351="Consent (GDPR Art. 6(1)(a))", I351="Not Captured"), "Gap - Invalid Consent", IF(AND(D351="Legitimate Interest (GDPR Art. 6(1)(f))", L351=""), "Gap - Missing LIA", IF(AND(G351="Yes", H351=""), "Gap - Missing Art. 9 Basis", IF(OR(I351="Invalid - Not Freely Given", I351="Invalid - Not Specific", I351="Invalid - Not Informed", I351="Invalid - Ambiguous"), "Gap - Invalid Consent", "Compliant")))))</f>
        <v/>
      </c>
      <c r="O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IF(D352="Legitimate Interest (GDPR Art. 6(1)(f))", "Yes / Required (Sheet 3)", "")</f>
        <v/>
      </c>
      <c r="L352" s="7" t="n"/>
      <c r="M352" s="7" t="n"/>
      <c r="N352">
        <f>IF(D352="", "Gap - No Legal Basis", IF(AND(D352="Consent (GDPR Art. 6(1)(a))", I352="Not Captured"), "Gap - Invalid Consent", IF(AND(D352="Legitimate Interest (GDPR Art. 6(1)(f))", L352=""), "Gap - Missing LIA", IF(AND(G352="Yes", H352=""), "Gap - Missing Art. 9 Basis", IF(OR(I352="Invalid - Not Freely Given", I352="Invalid - Not Specific", I352="Invalid - Not Informed", I352="Invalid - Ambiguous"), "Gap - Invalid Consent", "Compliant")))))</f>
        <v/>
      </c>
      <c r="O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IF(D353="Legitimate Interest (GDPR Art. 6(1)(f))", "Yes / Required (Sheet 3)", "")</f>
        <v/>
      </c>
      <c r="L353" s="7" t="n"/>
      <c r="M353" s="7" t="n"/>
      <c r="N353">
        <f>IF(D353="", "Gap - No Legal Basis", IF(AND(D353="Consent (GDPR Art. 6(1)(a))", I353="Not Captured"), "Gap - Invalid Consent", IF(AND(D353="Legitimate Interest (GDPR Art. 6(1)(f))", L353=""), "Gap - Missing LIA", IF(AND(G353="Yes", H353=""), "Gap - Missing Art. 9 Basis", IF(OR(I353="Invalid - Not Freely Given", I353="Invalid - Not Specific", I353="Invalid - Not Informed", I353="Invalid - Ambiguous"), "Gap - Invalid Consent", "Compliant")))))</f>
        <v/>
      </c>
      <c r="O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IF(D354="Legitimate Interest (GDPR Art. 6(1)(f))", "Yes / Required (Sheet 3)", "")</f>
        <v/>
      </c>
      <c r="L354" s="7" t="n"/>
      <c r="M354" s="7" t="n"/>
      <c r="N354">
        <f>IF(D354="", "Gap - No Legal Basis", IF(AND(D354="Consent (GDPR Art. 6(1)(a))", I354="Not Captured"), "Gap - Invalid Consent", IF(AND(D354="Legitimate Interest (GDPR Art. 6(1)(f))", L354=""), "Gap - Missing LIA", IF(AND(G354="Yes", H354=""), "Gap - Missing Art. 9 Basis", IF(OR(I354="Invalid - Not Freely Given", I354="Invalid - Not Specific", I354="Invalid - Not Informed", I354="Invalid - Ambiguous"), "Gap - Invalid Consent", "Compliant")))))</f>
        <v/>
      </c>
      <c r="O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IF(D355="Legitimate Interest (GDPR Art. 6(1)(f))", "Yes / Required (Sheet 3)", "")</f>
        <v/>
      </c>
      <c r="L355" s="7" t="n"/>
      <c r="M355" s="7" t="n"/>
      <c r="N355">
        <f>IF(D355="", "Gap - No Legal Basis", IF(AND(D355="Consent (GDPR Art. 6(1)(a))", I355="Not Captured"), "Gap - Invalid Consent", IF(AND(D355="Legitimate Interest (GDPR Art. 6(1)(f))", L355=""), "Gap - Missing LIA", IF(AND(G355="Yes", H355=""), "Gap - Missing Art. 9 Basis", IF(OR(I355="Invalid - Not Freely Given", I355="Invalid - Not Specific", I355="Invalid - Not Informed", I355="Invalid - Ambiguous"), "Gap - Invalid Consent", "Compliant")))))</f>
        <v/>
      </c>
      <c r="O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IF(D356="Legitimate Interest (GDPR Art. 6(1)(f))", "Yes / Required (Sheet 3)", "")</f>
        <v/>
      </c>
      <c r="L356" s="7" t="n"/>
      <c r="M356" s="7" t="n"/>
      <c r="N356">
        <f>IF(D356="", "Gap - No Legal Basis", IF(AND(D356="Consent (GDPR Art. 6(1)(a))", I356="Not Captured"), "Gap - Invalid Consent", IF(AND(D356="Legitimate Interest (GDPR Art. 6(1)(f))", L356=""), "Gap - Missing LIA", IF(AND(G356="Yes", H356=""), "Gap - Missing Art. 9 Basis", IF(OR(I356="Invalid - Not Freely Given", I356="Invalid - Not Specific", I356="Invalid - Not Informed", I356="Invalid - Ambiguous"), "Gap - Invalid Consent", "Compliant")))))</f>
        <v/>
      </c>
      <c r="O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IF(D357="Legitimate Interest (GDPR Art. 6(1)(f))", "Yes / Required (Sheet 3)", "")</f>
        <v/>
      </c>
      <c r="L357" s="7" t="n"/>
      <c r="M357" s="7" t="n"/>
      <c r="N357">
        <f>IF(D357="", "Gap - No Legal Basis", IF(AND(D357="Consent (GDPR Art. 6(1)(a))", I357="Not Captured"), "Gap - Invalid Consent", IF(AND(D357="Legitimate Interest (GDPR Art. 6(1)(f))", L357=""), "Gap - Missing LIA", IF(AND(G357="Yes", H357=""), "Gap - Missing Art. 9 Basis", IF(OR(I357="Invalid - Not Freely Given", I357="Invalid - Not Specific", I357="Invalid - Not Informed", I357="Invalid - Ambiguous"), "Gap - Invalid Consent", "Compliant")))))</f>
        <v/>
      </c>
      <c r="O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IF(D358="Legitimate Interest (GDPR Art. 6(1)(f))", "Yes / Required (Sheet 3)", "")</f>
        <v/>
      </c>
      <c r="L358" s="7" t="n"/>
      <c r="M358" s="7" t="n"/>
      <c r="N358">
        <f>IF(D358="", "Gap - No Legal Basis", IF(AND(D358="Consent (GDPR Art. 6(1)(a))", I358="Not Captured"), "Gap - Invalid Consent", IF(AND(D358="Legitimate Interest (GDPR Art. 6(1)(f))", L358=""), "Gap - Missing LIA", IF(AND(G358="Yes", H358=""), "Gap - Missing Art. 9 Basis", IF(OR(I358="Invalid - Not Freely Given", I358="Invalid - Not Specific", I358="Invalid - Not Informed", I358="Invalid - Ambiguous"), "Gap - Invalid Consent", "Compliant")))))</f>
        <v/>
      </c>
      <c r="O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IF(D359="Legitimate Interest (GDPR Art. 6(1)(f))", "Yes / Required (Sheet 3)", "")</f>
        <v/>
      </c>
      <c r="L359" s="7" t="n"/>
      <c r="M359" s="7" t="n"/>
      <c r="N359">
        <f>IF(D359="", "Gap - No Legal Basis", IF(AND(D359="Consent (GDPR Art. 6(1)(a))", I359="Not Captured"), "Gap - Invalid Consent", IF(AND(D359="Legitimate Interest (GDPR Art. 6(1)(f))", L359=""), "Gap - Missing LIA", IF(AND(G359="Yes", H359=""), "Gap - Missing Art. 9 Basis", IF(OR(I359="Invalid - Not Freely Given", I359="Invalid - Not Specific", I359="Invalid - Not Informed", I359="Invalid - Ambiguous"), "Gap - Invalid Consent", "Compliant")))))</f>
        <v/>
      </c>
      <c r="O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IF(D360="Legitimate Interest (GDPR Art. 6(1)(f))", "Yes / Required (Sheet 3)", "")</f>
        <v/>
      </c>
      <c r="L360" s="7" t="n"/>
      <c r="M360" s="7" t="n"/>
      <c r="N360">
        <f>IF(D360="", "Gap - No Legal Basis", IF(AND(D360="Consent (GDPR Art. 6(1)(a))", I360="Not Captured"), "Gap - Invalid Consent", IF(AND(D360="Legitimate Interest (GDPR Art. 6(1)(f))", L360=""), "Gap - Missing LIA", IF(AND(G360="Yes", H360=""), "Gap - Missing Art. 9 Basis", IF(OR(I360="Invalid - Not Freely Given", I360="Invalid - Not Specific", I360="Invalid - Not Informed", I360="Invalid - Ambiguous"), "Gap - Invalid Consent", "Compliant")))))</f>
        <v/>
      </c>
      <c r="O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IF(D361="Legitimate Interest (GDPR Art. 6(1)(f))", "Yes / Required (Sheet 3)", "")</f>
        <v/>
      </c>
      <c r="L361" s="7" t="n"/>
      <c r="M361" s="7" t="n"/>
      <c r="N361">
        <f>IF(D361="", "Gap - No Legal Basis", IF(AND(D361="Consent (GDPR Art. 6(1)(a))", I361="Not Captured"), "Gap - Invalid Consent", IF(AND(D361="Legitimate Interest (GDPR Art. 6(1)(f))", L361=""), "Gap - Missing LIA", IF(AND(G361="Yes", H361=""), "Gap - Missing Art. 9 Basis", IF(OR(I361="Invalid - Not Freely Given", I361="Invalid - Not Specific", I361="Invalid - Not Informed", I361="Invalid - Ambiguous"), "Gap - Invalid Consent", "Compliant")))))</f>
        <v/>
      </c>
      <c r="O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IF(D362="Legitimate Interest (GDPR Art. 6(1)(f))", "Yes / Required (Sheet 3)", "")</f>
        <v/>
      </c>
      <c r="L362" s="7" t="n"/>
      <c r="M362" s="7" t="n"/>
      <c r="N362">
        <f>IF(D362="", "Gap - No Legal Basis", IF(AND(D362="Consent (GDPR Art. 6(1)(a))", I362="Not Captured"), "Gap - Invalid Consent", IF(AND(D362="Legitimate Interest (GDPR Art. 6(1)(f))", L362=""), "Gap - Missing LIA", IF(AND(G362="Yes", H362=""), "Gap - Missing Art. 9 Basis", IF(OR(I362="Invalid - Not Freely Given", I362="Invalid - Not Specific", I362="Invalid - Not Informed", I362="Invalid - Ambiguous"), "Gap - Invalid Consent", "Compliant")))))</f>
        <v/>
      </c>
      <c r="O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IF(D363="Legitimate Interest (GDPR Art. 6(1)(f))", "Yes / Required (Sheet 3)", "")</f>
        <v/>
      </c>
      <c r="L363" s="7" t="n"/>
      <c r="M363" s="7" t="n"/>
      <c r="N363">
        <f>IF(D363="", "Gap - No Legal Basis", IF(AND(D363="Consent (GDPR Art. 6(1)(a))", I363="Not Captured"), "Gap - Invalid Consent", IF(AND(D363="Legitimate Interest (GDPR Art. 6(1)(f))", L363=""), "Gap - Missing LIA", IF(AND(G363="Yes", H363=""), "Gap - Missing Art. 9 Basis", IF(OR(I363="Invalid - Not Freely Given", I363="Invalid - Not Specific", I363="Invalid - Not Informed", I363="Invalid - Ambiguous"), "Gap - Invalid Consent", "Compliant")))))</f>
        <v/>
      </c>
      <c r="O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IF(D364="Legitimate Interest (GDPR Art. 6(1)(f))", "Yes / Required (Sheet 3)", "")</f>
        <v/>
      </c>
      <c r="L364" s="7" t="n"/>
      <c r="M364" s="7" t="n"/>
      <c r="N364">
        <f>IF(D364="", "Gap - No Legal Basis", IF(AND(D364="Consent (GDPR Art. 6(1)(a))", I364="Not Captured"), "Gap - Invalid Consent", IF(AND(D364="Legitimate Interest (GDPR Art. 6(1)(f))", L364=""), "Gap - Missing LIA", IF(AND(G364="Yes", H364=""), "Gap - Missing Art. 9 Basis", IF(OR(I364="Invalid - Not Freely Given", I364="Invalid - Not Specific", I364="Invalid - Not Informed", I364="Invalid - Ambiguous"), "Gap - Invalid Consent", "Compliant")))))</f>
        <v/>
      </c>
      <c r="O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IF(D365="Legitimate Interest (GDPR Art. 6(1)(f))", "Yes / Required (Sheet 3)", "")</f>
        <v/>
      </c>
      <c r="L365" s="7" t="n"/>
      <c r="M365" s="7" t="n"/>
      <c r="N365">
        <f>IF(D365="", "Gap - No Legal Basis", IF(AND(D365="Consent (GDPR Art. 6(1)(a))", I365="Not Captured"), "Gap - Invalid Consent", IF(AND(D365="Legitimate Interest (GDPR Art. 6(1)(f))", L365=""), "Gap - Missing LIA", IF(AND(G365="Yes", H365=""), "Gap - Missing Art. 9 Basis", IF(OR(I365="Invalid - Not Freely Given", I365="Invalid - Not Specific", I365="Invalid - Not Informed", I365="Invalid - Ambiguous"), "Gap - Invalid Consent", "Compliant")))))</f>
        <v/>
      </c>
      <c r="O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IF(D366="Legitimate Interest (GDPR Art. 6(1)(f))", "Yes / Required (Sheet 3)", "")</f>
        <v/>
      </c>
      <c r="L366" s="7" t="n"/>
      <c r="M366" s="7" t="n"/>
      <c r="N366">
        <f>IF(D366="", "Gap - No Legal Basis", IF(AND(D366="Consent (GDPR Art. 6(1)(a))", I366="Not Captured"), "Gap - Invalid Consent", IF(AND(D366="Legitimate Interest (GDPR Art. 6(1)(f))", L366=""), "Gap - Missing LIA", IF(AND(G366="Yes", H366=""), "Gap - Missing Art. 9 Basis", IF(OR(I366="Invalid - Not Freely Given", I366="Invalid - Not Specific", I366="Invalid - Not Informed", I366="Invalid - Ambiguous"), "Gap - Invalid Consent", "Compliant")))))</f>
        <v/>
      </c>
      <c r="O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IF(D367="Legitimate Interest (GDPR Art. 6(1)(f))", "Yes / Required (Sheet 3)", "")</f>
        <v/>
      </c>
      <c r="L367" s="7" t="n"/>
      <c r="M367" s="7" t="n"/>
      <c r="N367">
        <f>IF(D367="", "Gap - No Legal Basis", IF(AND(D367="Consent (GDPR Art. 6(1)(a))", I367="Not Captured"), "Gap - Invalid Consent", IF(AND(D367="Legitimate Interest (GDPR Art. 6(1)(f))", L367=""), "Gap - Missing LIA", IF(AND(G367="Yes", H367=""), "Gap - Missing Art. 9 Basis", IF(OR(I367="Invalid - Not Freely Given", I367="Invalid - Not Specific", I367="Invalid - Not Informed", I367="Invalid - Ambiguous"), "Gap - Invalid Consent", "Compliant")))))</f>
        <v/>
      </c>
      <c r="O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IF(D368="Legitimate Interest (GDPR Art. 6(1)(f))", "Yes / Required (Sheet 3)", "")</f>
        <v/>
      </c>
      <c r="L368" s="7" t="n"/>
      <c r="M368" s="7" t="n"/>
      <c r="N368">
        <f>IF(D368="", "Gap - No Legal Basis", IF(AND(D368="Consent (GDPR Art. 6(1)(a))", I368="Not Captured"), "Gap - Invalid Consent", IF(AND(D368="Legitimate Interest (GDPR Art. 6(1)(f))", L368=""), "Gap - Missing LIA", IF(AND(G368="Yes", H368=""), "Gap - Missing Art. 9 Basis", IF(OR(I368="Invalid - Not Freely Given", I368="Invalid - Not Specific", I368="Invalid - Not Informed", I368="Invalid - Ambiguous"), "Gap - Invalid Consent", "Compliant")))))</f>
        <v/>
      </c>
      <c r="O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IF(D369="Legitimate Interest (GDPR Art. 6(1)(f))", "Yes / Required (Sheet 3)", "")</f>
        <v/>
      </c>
      <c r="L369" s="7" t="n"/>
      <c r="M369" s="7" t="n"/>
      <c r="N369">
        <f>IF(D369="", "Gap - No Legal Basis", IF(AND(D369="Consent (GDPR Art. 6(1)(a))", I369="Not Captured"), "Gap - Invalid Consent", IF(AND(D369="Legitimate Interest (GDPR Art. 6(1)(f))", L369=""), "Gap - Missing LIA", IF(AND(G369="Yes", H369=""), "Gap - Missing Art. 9 Basis", IF(OR(I369="Invalid - Not Freely Given", I369="Invalid - Not Specific", I369="Invalid - Not Informed", I369="Invalid - Ambiguous"), "Gap - Invalid Consent", "Compliant")))))</f>
        <v/>
      </c>
      <c r="O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IF(D370="Legitimate Interest (GDPR Art. 6(1)(f))", "Yes / Required (Sheet 3)", "")</f>
        <v/>
      </c>
      <c r="L370" s="7" t="n"/>
      <c r="M370" s="7" t="n"/>
      <c r="N370">
        <f>IF(D370="", "Gap - No Legal Basis", IF(AND(D370="Consent (GDPR Art. 6(1)(a))", I370="Not Captured"), "Gap - Invalid Consent", IF(AND(D370="Legitimate Interest (GDPR Art. 6(1)(f))", L370=""), "Gap - Missing LIA", IF(AND(G370="Yes", H370=""), "Gap - Missing Art. 9 Basis", IF(OR(I370="Invalid - Not Freely Given", I370="Invalid - Not Specific", I370="Invalid - Not Informed", I370="Invalid - Ambiguous"), "Gap - Invalid Consent", "Compliant")))))</f>
        <v/>
      </c>
      <c r="O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IF(D371="Legitimate Interest (GDPR Art. 6(1)(f))", "Yes / Required (Sheet 3)", "")</f>
        <v/>
      </c>
      <c r="L371" s="7" t="n"/>
      <c r="M371" s="7" t="n"/>
      <c r="N371">
        <f>IF(D371="", "Gap - No Legal Basis", IF(AND(D371="Consent (GDPR Art. 6(1)(a))", I371="Not Captured"), "Gap - Invalid Consent", IF(AND(D371="Legitimate Interest (GDPR Art. 6(1)(f))", L371=""), "Gap - Missing LIA", IF(AND(G371="Yes", H371=""), "Gap - Missing Art. 9 Basis", IF(OR(I371="Invalid - Not Freely Given", I371="Invalid - Not Specific", I371="Invalid - Not Informed", I371="Invalid - Ambiguous"), "Gap - Invalid Consent", "Compliant")))))</f>
        <v/>
      </c>
      <c r="O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IF(D372="Legitimate Interest (GDPR Art. 6(1)(f))", "Yes / Required (Sheet 3)", "")</f>
        <v/>
      </c>
      <c r="L372" s="7" t="n"/>
      <c r="M372" s="7" t="n"/>
      <c r="N372">
        <f>IF(D372="", "Gap - No Legal Basis", IF(AND(D372="Consent (GDPR Art. 6(1)(a))", I372="Not Captured"), "Gap - Invalid Consent", IF(AND(D372="Legitimate Interest (GDPR Art. 6(1)(f))", L372=""), "Gap - Missing LIA", IF(AND(G372="Yes", H372=""), "Gap - Missing Art. 9 Basis", IF(OR(I372="Invalid - Not Freely Given", I372="Invalid - Not Specific", I372="Invalid - Not Informed", I372="Invalid - Ambiguous"), "Gap - Invalid Consent", "Compliant")))))</f>
        <v/>
      </c>
      <c r="O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IF(D373="Legitimate Interest (GDPR Art. 6(1)(f))", "Yes / Required (Sheet 3)", "")</f>
        <v/>
      </c>
      <c r="L373" s="7" t="n"/>
      <c r="M373" s="7" t="n"/>
      <c r="N373">
        <f>IF(D373="", "Gap - No Legal Basis", IF(AND(D373="Consent (GDPR Art. 6(1)(a))", I373="Not Captured"), "Gap - Invalid Consent", IF(AND(D373="Legitimate Interest (GDPR Art. 6(1)(f))", L373=""), "Gap - Missing LIA", IF(AND(G373="Yes", H373=""), "Gap - Missing Art. 9 Basis", IF(OR(I373="Invalid - Not Freely Given", I373="Invalid - Not Specific", I373="Invalid - Not Informed", I373="Invalid - Ambiguous"), "Gap - Invalid Consent", "Compliant")))))</f>
        <v/>
      </c>
      <c r="O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IF(D374="Legitimate Interest (GDPR Art. 6(1)(f))", "Yes / Required (Sheet 3)", "")</f>
        <v/>
      </c>
      <c r="L374" s="7" t="n"/>
      <c r="M374" s="7" t="n"/>
      <c r="N374">
        <f>IF(D374="", "Gap - No Legal Basis", IF(AND(D374="Consent (GDPR Art. 6(1)(a))", I374="Not Captured"), "Gap - Invalid Consent", IF(AND(D374="Legitimate Interest (GDPR Art. 6(1)(f))", L374=""), "Gap - Missing LIA", IF(AND(G374="Yes", H374=""), "Gap - Missing Art. 9 Basis", IF(OR(I374="Invalid - Not Freely Given", I374="Invalid - Not Specific", I374="Invalid - Not Informed", I374="Invalid - Ambiguous"), "Gap - Invalid Consent", "Compliant")))))</f>
        <v/>
      </c>
      <c r="O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IF(D375="Legitimate Interest (GDPR Art. 6(1)(f))", "Yes / Required (Sheet 3)", "")</f>
        <v/>
      </c>
      <c r="L375" s="7" t="n"/>
      <c r="M375" s="7" t="n"/>
      <c r="N375">
        <f>IF(D375="", "Gap - No Legal Basis", IF(AND(D375="Consent (GDPR Art. 6(1)(a))", I375="Not Captured"), "Gap - Invalid Consent", IF(AND(D375="Legitimate Interest (GDPR Art. 6(1)(f))", L375=""), "Gap - Missing LIA", IF(AND(G375="Yes", H375=""), "Gap - Missing Art. 9 Basis", IF(OR(I375="Invalid - Not Freely Given", I375="Invalid - Not Specific", I375="Invalid - Not Informed", I375="Invalid - Ambiguous"), "Gap - Invalid Consent", "Compliant")))))</f>
        <v/>
      </c>
      <c r="O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IF(D376="Legitimate Interest (GDPR Art. 6(1)(f))", "Yes / Required (Sheet 3)", "")</f>
        <v/>
      </c>
      <c r="L376" s="7" t="n"/>
      <c r="M376" s="7" t="n"/>
      <c r="N376">
        <f>IF(D376="", "Gap - No Legal Basis", IF(AND(D376="Consent (GDPR Art. 6(1)(a))", I376="Not Captured"), "Gap - Invalid Consent", IF(AND(D376="Legitimate Interest (GDPR Art. 6(1)(f))", L376=""), "Gap - Missing LIA", IF(AND(G376="Yes", H376=""), "Gap - Missing Art. 9 Basis", IF(OR(I376="Invalid - Not Freely Given", I376="Invalid - Not Specific", I376="Invalid - Not Informed", I376="Invalid - Ambiguous"), "Gap - Invalid Consent", "Compliant")))))</f>
        <v/>
      </c>
      <c r="O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IF(D377="Legitimate Interest (GDPR Art. 6(1)(f))", "Yes / Required (Sheet 3)", "")</f>
        <v/>
      </c>
      <c r="L377" s="7" t="n"/>
      <c r="M377" s="7" t="n"/>
      <c r="N377">
        <f>IF(D377="", "Gap - No Legal Basis", IF(AND(D377="Consent (GDPR Art. 6(1)(a))", I377="Not Captured"), "Gap - Invalid Consent", IF(AND(D377="Legitimate Interest (GDPR Art. 6(1)(f))", L377=""), "Gap - Missing LIA", IF(AND(G377="Yes", H377=""), "Gap - Missing Art. 9 Basis", IF(OR(I377="Invalid - Not Freely Given", I377="Invalid - Not Specific", I377="Invalid - Not Informed", I377="Invalid - Ambiguous"), "Gap - Invalid Consent", "Compliant")))))</f>
        <v/>
      </c>
      <c r="O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IF(D378="Legitimate Interest (GDPR Art. 6(1)(f))", "Yes / Required (Sheet 3)", "")</f>
        <v/>
      </c>
      <c r="L378" s="7" t="n"/>
      <c r="M378" s="7" t="n"/>
      <c r="N378">
        <f>IF(D378="", "Gap - No Legal Basis", IF(AND(D378="Consent (GDPR Art. 6(1)(a))", I378="Not Captured"), "Gap - Invalid Consent", IF(AND(D378="Legitimate Interest (GDPR Art. 6(1)(f))", L378=""), "Gap - Missing LIA", IF(AND(G378="Yes", H378=""), "Gap - Missing Art. 9 Basis", IF(OR(I378="Invalid - Not Freely Given", I378="Invalid - Not Specific", I378="Invalid - Not Informed", I378="Invalid - Ambiguous"), "Gap - Invalid Consent", "Compliant")))))</f>
        <v/>
      </c>
      <c r="O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IF(D379="Legitimate Interest (GDPR Art. 6(1)(f))", "Yes / Required (Sheet 3)", "")</f>
        <v/>
      </c>
      <c r="L379" s="7" t="n"/>
      <c r="M379" s="7" t="n"/>
      <c r="N379">
        <f>IF(D379="", "Gap - No Legal Basis", IF(AND(D379="Consent (GDPR Art. 6(1)(a))", I379="Not Captured"), "Gap - Invalid Consent", IF(AND(D379="Legitimate Interest (GDPR Art. 6(1)(f))", L379=""), "Gap - Missing LIA", IF(AND(G379="Yes", H379=""), "Gap - Missing Art. 9 Basis", IF(OR(I379="Invalid - Not Freely Given", I379="Invalid - Not Specific", I379="Invalid - Not Informed", I379="Invalid - Ambiguous"), "Gap - Invalid Consent", "Compliant")))))</f>
        <v/>
      </c>
      <c r="O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IF(D380="Legitimate Interest (GDPR Art. 6(1)(f))", "Yes / Required (Sheet 3)", "")</f>
        <v/>
      </c>
      <c r="L380" s="7" t="n"/>
      <c r="M380" s="7" t="n"/>
      <c r="N380">
        <f>IF(D380="", "Gap - No Legal Basis", IF(AND(D380="Consent (GDPR Art. 6(1)(a))", I380="Not Captured"), "Gap - Invalid Consent", IF(AND(D380="Legitimate Interest (GDPR Art. 6(1)(f))", L380=""), "Gap - Missing LIA", IF(AND(G380="Yes", H380=""), "Gap - Missing Art. 9 Basis", IF(OR(I380="Invalid - Not Freely Given", I380="Invalid - Not Specific", I380="Invalid - Not Informed", I380="Invalid - Ambiguous"), "Gap - Invalid Consent", "Compliant")))))</f>
        <v/>
      </c>
      <c r="O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IF(D381="Legitimate Interest (GDPR Art. 6(1)(f))", "Yes / Required (Sheet 3)", "")</f>
        <v/>
      </c>
      <c r="L381" s="7" t="n"/>
      <c r="M381" s="7" t="n"/>
      <c r="N381">
        <f>IF(D381="", "Gap - No Legal Basis", IF(AND(D381="Consent (GDPR Art. 6(1)(a))", I381="Not Captured"), "Gap - Invalid Consent", IF(AND(D381="Legitimate Interest (GDPR Art. 6(1)(f))", L381=""), "Gap - Missing LIA", IF(AND(G381="Yes", H381=""), "Gap - Missing Art. 9 Basis", IF(OR(I381="Invalid - Not Freely Given", I381="Invalid - Not Specific", I381="Invalid - Not Informed", I381="Invalid - Ambiguous"), "Gap - Invalid Consent", "Compliant")))))</f>
        <v/>
      </c>
      <c r="O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IF(D382="Legitimate Interest (GDPR Art. 6(1)(f))", "Yes / Required (Sheet 3)", "")</f>
        <v/>
      </c>
      <c r="L382" s="7" t="n"/>
      <c r="M382" s="7" t="n"/>
      <c r="N382">
        <f>IF(D382="", "Gap - No Legal Basis", IF(AND(D382="Consent (GDPR Art. 6(1)(a))", I382="Not Captured"), "Gap - Invalid Consent", IF(AND(D382="Legitimate Interest (GDPR Art. 6(1)(f))", L382=""), "Gap - Missing LIA", IF(AND(G382="Yes", H382=""), "Gap - Missing Art. 9 Basis", IF(OR(I382="Invalid - Not Freely Given", I382="Invalid - Not Specific", I382="Invalid - Not Informed", I382="Invalid - Ambiguous"), "Gap - Invalid Consent", "Compliant")))))</f>
        <v/>
      </c>
      <c r="O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IF(D383="Legitimate Interest (GDPR Art. 6(1)(f))", "Yes / Required (Sheet 3)", "")</f>
        <v/>
      </c>
      <c r="L383" s="7" t="n"/>
      <c r="M383" s="7" t="n"/>
      <c r="N383">
        <f>IF(D383="", "Gap - No Legal Basis", IF(AND(D383="Consent (GDPR Art. 6(1)(a))", I383="Not Captured"), "Gap - Invalid Consent", IF(AND(D383="Legitimate Interest (GDPR Art. 6(1)(f))", L383=""), "Gap - Missing LIA", IF(AND(G383="Yes", H383=""), "Gap - Missing Art. 9 Basis", IF(OR(I383="Invalid - Not Freely Given", I383="Invalid - Not Specific", I383="Invalid - Not Informed", I383="Invalid - Ambiguous"), "Gap - Invalid Consent", "Compliant")))))</f>
        <v/>
      </c>
      <c r="O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IF(D384="Legitimate Interest (GDPR Art. 6(1)(f))", "Yes / Required (Sheet 3)", "")</f>
        <v/>
      </c>
      <c r="L384" s="7" t="n"/>
      <c r="M384" s="7" t="n"/>
      <c r="N384">
        <f>IF(D384="", "Gap - No Legal Basis", IF(AND(D384="Consent (GDPR Art. 6(1)(a))", I384="Not Captured"), "Gap - Invalid Consent", IF(AND(D384="Legitimate Interest (GDPR Art. 6(1)(f))", L384=""), "Gap - Missing LIA", IF(AND(G384="Yes", H384=""), "Gap - Missing Art. 9 Basis", IF(OR(I384="Invalid - Not Freely Given", I384="Invalid - Not Specific", I384="Invalid - Not Informed", I384="Invalid - Ambiguous"), "Gap - Invalid Consent", "Compliant")))))</f>
        <v/>
      </c>
      <c r="O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IF(D385="Legitimate Interest (GDPR Art. 6(1)(f))", "Yes / Required (Sheet 3)", "")</f>
        <v/>
      </c>
      <c r="L385" s="7" t="n"/>
      <c r="M385" s="7" t="n"/>
      <c r="N385">
        <f>IF(D385="", "Gap - No Legal Basis", IF(AND(D385="Consent (GDPR Art. 6(1)(a))", I385="Not Captured"), "Gap - Invalid Consent", IF(AND(D385="Legitimate Interest (GDPR Art. 6(1)(f))", L385=""), "Gap - Missing LIA", IF(AND(G385="Yes", H385=""), "Gap - Missing Art. 9 Basis", IF(OR(I385="Invalid - Not Freely Given", I385="Invalid - Not Specific", I385="Invalid - Not Informed", I385="Invalid - Ambiguous"), "Gap - Invalid Consent", "Compliant")))))</f>
        <v/>
      </c>
      <c r="O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IF(D386="Legitimate Interest (GDPR Art. 6(1)(f))", "Yes / Required (Sheet 3)", "")</f>
        <v/>
      </c>
      <c r="L386" s="7" t="n"/>
      <c r="M386" s="7" t="n"/>
      <c r="N386">
        <f>IF(D386="", "Gap - No Legal Basis", IF(AND(D386="Consent (GDPR Art. 6(1)(a))", I386="Not Captured"), "Gap - Invalid Consent", IF(AND(D386="Legitimate Interest (GDPR Art. 6(1)(f))", L386=""), "Gap - Missing LIA", IF(AND(G386="Yes", H386=""), "Gap - Missing Art. 9 Basis", IF(OR(I386="Invalid - Not Freely Given", I386="Invalid - Not Specific", I386="Invalid - Not Informed", I386="Invalid - Ambiguous"), "Gap - Invalid Consent", "Compliant")))))</f>
        <v/>
      </c>
      <c r="O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IF(D387="Legitimate Interest (GDPR Art. 6(1)(f))", "Yes / Required (Sheet 3)", "")</f>
        <v/>
      </c>
      <c r="L387" s="7" t="n"/>
      <c r="M387" s="7" t="n"/>
      <c r="N387">
        <f>IF(D387="", "Gap - No Legal Basis", IF(AND(D387="Consent (GDPR Art. 6(1)(a))", I387="Not Captured"), "Gap - Invalid Consent", IF(AND(D387="Legitimate Interest (GDPR Art. 6(1)(f))", L387=""), "Gap - Missing LIA", IF(AND(G387="Yes", H387=""), "Gap - Missing Art. 9 Basis", IF(OR(I387="Invalid - Not Freely Given", I387="Invalid - Not Specific", I387="Invalid - Not Informed", I387="Invalid - Ambiguous"), "Gap - Invalid Consent", "Compliant")))))</f>
        <v/>
      </c>
      <c r="O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IF(D388="Legitimate Interest (GDPR Art. 6(1)(f))", "Yes / Required (Sheet 3)", "")</f>
        <v/>
      </c>
      <c r="L388" s="7" t="n"/>
      <c r="M388" s="7" t="n"/>
      <c r="N388">
        <f>IF(D388="", "Gap - No Legal Basis", IF(AND(D388="Consent (GDPR Art. 6(1)(a))", I388="Not Captured"), "Gap - Invalid Consent", IF(AND(D388="Legitimate Interest (GDPR Art. 6(1)(f))", L388=""), "Gap - Missing LIA", IF(AND(G388="Yes", H388=""), "Gap - Missing Art. 9 Basis", IF(OR(I388="Invalid - Not Freely Given", I388="Invalid - Not Specific", I388="Invalid - Not Informed", I388="Invalid - Ambiguous"), "Gap - Invalid Consent", "Compliant")))))</f>
        <v/>
      </c>
      <c r="O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IF(D389="Legitimate Interest (GDPR Art. 6(1)(f))", "Yes / Required (Sheet 3)", "")</f>
        <v/>
      </c>
      <c r="L389" s="7" t="n"/>
      <c r="M389" s="7" t="n"/>
      <c r="N389">
        <f>IF(D389="", "Gap - No Legal Basis", IF(AND(D389="Consent (GDPR Art. 6(1)(a))", I389="Not Captured"), "Gap - Invalid Consent", IF(AND(D389="Legitimate Interest (GDPR Art. 6(1)(f))", L389=""), "Gap - Missing LIA", IF(AND(G389="Yes", H389=""), "Gap - Missing Art. 9 Basis", IF(OR(I389="Invalid - Not Freely Given", I389="Invalid - Not Specific", I389="Invalid - Not Informed", I389="Invalid - Ambiguous"), "Gap - Invalid Consent", "Compliant")))))</f>
        <v/>
      </c>
      <c r="O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IF(D390="Legitimate Interest (GDPR Art. 6(1)(f))", "Yes / Required (Sheet 3)", "")</f>
        <v/>
      </c>
      <c r="L390" s="7" t="n"/>
      <c r="M390" s="7" t="n"/>
      <c r="N390">
        <f>IF(D390="", "Gap - No Legal Basis", IF(AND(D390="Consent (GDPR Art. 6(1)(a))", I390="Not Captured"), "Gap - Invalid Consent", IF(AND(D390="Legitimate Interest (GDPR Art. 6(1)(f))", L390=""), "Gap - Missing LIA", IF(AND(G390="Yes", H390=""), "Gap - Missing Art. 9 Basis", IF(OR(I390="Invalid - Not Freely Given", I390="Invalid - Not Specific", I390="Invalid - Not Informed", I390="Invalid - Ambiguous"), "Gap - Invalid Consent", "Compliant")))))</f>
        <v/>
      </c>
      <c r="O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IF(D391="Legitimate Interest (GDPR Art. 6(1)(f))", "Yes / Required (Sheet 3)", "")</f>
        <v/>
      </c>
      <c r="L391" s="7" t="n"/>
      <c r="M391" s="7" t="n"/>
      <c r="N391">
        <f>IF(D391="", "Gap - No Legal Basis", IF(AND(D391="Consent (GDPR Art. 6(1)(a))", I391="Not Captured"), "Gap - Invalid Consent", IF(AND(D391="Legitimate Interest (GDPR Art. 6(1)(f))", L391=""), "Gap - Missing LIA", IF(AND(G391="Yes", H391=""), "Gap - Missing Art. 9 Basis", IF(OR(I391="Invalid - Not Freely Given", I391="Invalid - Not Specific", I391="Invalid - Not Informed", I391="Invalid - Ambiguous"), "Gap - Invalid Consent", "Compliant")))))</f>
        <v/>
      </c>
      <c r="O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IF(D392="Legitimate Interest (GDPR Art. 6(1)(f))", "Yes / Required (Sheet 3)", "")</f>
        <v/>
      </c>
      <c r="L392" s="7" t="n"/>
      <c r="M392" s="7" t="n"/>
      <c r="N392">
        <f>IF(D392="", "Gap - No Legal Basis", IF(AND(D392="Consent (GDPR Art. 6(1)(a))", I392="Not Captured"), "Gap - Invalid Consent", IF(AND(D392="Legitimate Interest (GDPR Art. 6(1)(f))", L392=""), "Gap - Missing LIA", IF(AND(G392="Yes", H392=""), "Gap - Missing Art. 9 Basis", IF(OR(I392="Invalid - Not Freely Given", I392="Invalid - Not Specific", I392="Invalid - Not Informed", I392="Invalid - Ambiguous"), "Gap - Invalid Consent", "Compliant")))))</f>
        <v/>
      </c>
      <c r="O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IF(D393="Legitimate Interest (GDPR Art. 6(1)(f))", "Yes / Required (Sheet 3)", "")</f>
        <v/>
      </c>
      <c r="L393" s="7" t="n"/>
      <c r="M393" s="7" t="n"/>
      <c r="N393">
        <f>IF(D393="", "Gap - No Legal Basis", IF(AND(D393="Consent (GDPR Art. 6(1)(a))", I393="Not Captured"), "Gap - Invalid Consent", IF(AND(D393="Legitimate Interest (GDPR Art. 6(1)(f))", L393=""), "Gap - Missing LIA", IF(AND(G393="Yes", H393=""), "Gap - Missing Art. 9 Basis", IF(OR(I393="Invalid - Not Freely Given", I393="Invalid - Not Specific", I393="Invalid - Not Informed", I393="Invalid - Ambiguous"), "Gap - Invalid Consent", "Compliant")))))</f>
        <v/>
      </c>
      <c r="O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IF(D394="Legitimate Interest (GDPR Art. 6(1)(f))", "Yes / Required (Sheet 3)", "")</f>
        <v/>
      </c>
      <c r="L394" s="7" t="n"/>
      <c r="M394" s="7" t="n"/>
      <c r="N394">
        <f>IF(D394="", "Gap - No Legal Basis", IF(AND(D394="Consent (GDPR Art. 6(1)(a))", I394="Not Captured"), "Gap - Invalid Consent", IF(AND(D394="Legitimate Interest (GDPR Art. 6(1)(f))", L394=""), "Gap - Missing LIA", IF(AND(G394="Yes", H394=""), "Gap - Missing Art. 9 Basis", IF(OR(I394="Invalid - Not Freely Given", I394="Invalid - Not Specific", I394="Invalid - Not Informed", I394="Invalid - Ambiguous"), "Gap - Invalid Consent", "Compliant")))))</f>
        <v/>
      </c>
      <c r="O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IF(D395="Legitimate Interest (GDPR Art. 6(1)(f))", "Yes / Required (Sheet 3)", "")</f>
        <v/>
      </c>
      <c r="L395" s="7" t="n"/>
      <c r="M395" s="7" t="n"/>
      <c r="N395">
        <f>IF(D395="", "Gap - No Legal Basis", IF(AND(D395="Consent (GDPR Art. 6(1)(a))", I395="Not Captured"), "Gap - Invalid Consent", IF(AND(D395="Legitimate Interest (GDPR Art. 6(1)(f))", L395=""), "Gap - Missing LIA", IF(AND(G395="Yes", H395=""), "Gap - Missing Art. 9 Basis", IF(OR(I395="Invalid - Not Freely Given", I395="Invalid - Not Specific", I395="Invalid - Not Informed", I395="Invalid - Ambiguous"), "Gap - Invalid Consent", "Compliant")))))</f>
        <v/>
      </c>
      <c r="O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IF(D396="Legitimate Interest (GDPR Art. 6(1)(f))", "Yes / Required (Sheet 3)", "")</f>
        <v/>
      </c>
      <c r="L396" s="7" t="n"/>
      <c r="M396" s="7" t="n"/>
      <c r="N396">
        <f>IF(D396="", "Gap - No Legal Basis", IF(AND(D396="Consent (GDPR Art. 6(1)(a))", I396="Not Captured"), "Gap - Invalid Consent", IF(AND(D396="Legitimate Interest (GDPR Art. 6(1)(f))", L396=""), "Gap - Missing LIA", IF(AND(G396="Yes", H396=""), "Gap - Missing Art. 9 Basis", IF(OR(I396="Invalid - Not Freely Given", I396="Invalid - Not Specific", I396="Invalid - Not Informed", I396="Invalid - Ambiguous"), "Gap - Invalid Consent", "Compliant")))))</f>
        <v/>
      </c>
      <c r="O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IF(D397="Legitimate Interest (GDPR Art. 6(1)(f))", "Yes / Required (Sheet 3)", "")</f>
        <v/>
      </c>
      <c r="L397" s="7" t="n"/>
      <c r="M397" s="7" t="n"/>
      <c r="N397">
        <f>IF(D397="", "Gap - No Legal Basis", IF(AND(D397="Consent (GDPR Art. 6(1)(a))", I397="Not Captured"), "Gap - Invalid Consent", IF(AND(D397="Legitimate Interest (GDPR Art. 6(1)(f))", L397=""), "Gap - Missing LIA", IF(AND(G397="Yes", H397=""), "Gap - Missing Art. 9 Basis", IF(OR(I397="Invalid - Not Freely Given", I397="Invalid - Not Specific", I397="Invalid - Not Informed", I397="Invalid - Ambiguous"), "Gap - Invalid Consent", "Compliant")))))</f>
        <v/>
      </c>
      <c r="O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IF(D398="Legitimate Interest (GDPR Art. 6(1)(f))", "Yes / Required (Sheet 3)", "")</f>
        <v/>
      </c>
      <c r="L398" s="7" t="n"/>
      <c r="M398" s="7" t="n"/>
      <c r="N398">
        <f>IF(D398="", "Gap - No Legal Basis", IF(AND(D398="Consent (GDPR Art. 6(1)(a))", I398="Not Captured"), "Gap - Invalid Consent", IF(AND(D398="Legitimate Interest (GDPR Art. 6(1)(f))", L398=""), "Gap - Missing LIA", IF(AND(G398="Yes", H398=""), "Gap - Missing Art. 9 Basis", IF(OR(I398="Invalid - Not Freely Given", I398="Invalid - Not Specific", I398="Invalid - Not Informed", I398="Invalid - Ambiguous"), "Gap - Invalid Consent", "Compliant")))))</f>
        <v/>
      </c>
      <c r="O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IF(D399="Legitimate Interest (GDPR Art. 6(1)(f))", "Yes / Required (Sheet 3)", "")</f>
        <v/>
      </c>
      <c r="L399" s="7" t="n"/>
      <c r="M399" s="7" t="n"/>
      <c r="N399">
        <f>IF(D399="", "Gap - No Legal Basis", IF(AND(D399="Consent (GDPR Art. 6(1)(a))", I399="Not Captured"), "Gap - Invalid Consent", IF(AND(D399="Legitimate Interest (GDPR Art. 6(1)(f))", L399=""), "Gap - Missing LIA", IF(AND(G399="Yes", H399=""), "Gap - Missing Art. 9 Basis", IF(OR(I399="Invalid - Not Freely Given", I399="Invalid - Not Specific", I399="Invalid - Not Informed", I399="Invalid - Ambiguous"), "Gap - Invalid Consent", "Compliant")))))</f>
        <v/>
      </c>
      <c r="O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IF(D400="Legitimate Interest (GDPR Art. 6(1)(f))", "Yes / Required (Sheet 3)", "")</f>
        <v/>
      </c>
      <c r="L400" s="7" t="n"/>
      <c r="M400" s="7" t="n"/>
      <c r="N400">
        <f>IF(D400="", "Gap - No Legal Basis", IF(AND(D400="Consent (GDPR Art. 6(1)(a))", I400="Not Captured"), "Gap - Invalid Consent", IF(AND(D400="Legitimate Interest (GDPR Art. 6(1)(f))", L400=""), "Gap - Missing LIA", IF(AND(G400="Yes", H400=""), "Gap - Missing Art. 9 Basis", IF(OR(I400="Invalid - Not Freely Given", I400="Invalid - Not Specific", I400="Invalid - Not Informed", I400="Invalid - Ambiguous"), "Gap - Invalid Consent", "Compliant")))))</f>
        <v/>
      </c>
      <c r="O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IF(D401="Legitimate Interest (GDPR Art. 6(1)(f))", "Yes / Required (Sheet 3)", "")</f>
        <v/>
      </c>
      <c r="L401" s="7" t="n"/>
      <c r="M401" s="7" t="n"/>
      <c r="N401">
        <f>IF(D401="", "Gap - No Legal Basis", IF(AND(D401="Consent (GDPR Art. 6(1)(a))", I401="Not Captured"), "Gap - Invalid Consent", IF(AND(D401="Legitimate Interest (GDPR Art. 6(1)(f))", L401=""), "Gap - Missing LIA", IF(AND(G401="Yes", H401=""), "Gap - Missing Art. 9 Basis", IF(OR(I401="Invalid - Not Freely Given", I401="Invalid - Not Specific", I401="Invalid - Not Informed", I401="Invalid - Ambiguous"), "Gap - Invalid Consent", "Compliant")))))</f>
        <v/>
      </c>
      <c r="O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IF(D402="Legitimate Interest (GDPR Art. 6(1)(f))", "Yes / Required (Sheet 3)", "")</f>
        <v/>
      </c>
      <c r="L402" s="7" t="n"/>
      <c r="M402" s="7" t="n"/>
      <c r="N402">
        <f>IF(D402="", "Gap - No Legal Basis", IF(AND(D402="Consent (GDPR Art. 6(1)(a))", I402="Not Captured"), "Gap - Invalid Consent", IF(AND(D402="Legitimate Interest (GDPR Art. 6(1)(f))", L402=""), "Gap - Missing LIA", IF(AND(G402="Yes", H402=""), "Gap - Missing Art. 9 Basis", IF(OR(I402="Invalid - Not Freely Given", I402="Invalid - Not Specific", I402="Invalid - Not Informed", I402="Invalid - Ambiguous"), "Gap - Invalid Consent", "Compliant")))))</f>
        <v/>
      </c>
      <c r="O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IF(D403="Legitimate Interest (GDPR Art. 6(1)(f))", "Yes / Required (Sheet 3)", "")</f>
        <v/>
      </c>
      <c r="L403" s="7" t="n"/>
      <c r="M403" s="7" t="n"/>
      <c r="N403">
        <f>IF(D403="", "Gap - No Legal Basis", IF(AND(D403="Consent (GDPR Art. 6(1)(a))", I403="Not Captured"), "Gap - Invalid Consent", IF(AND(D403="Legitimate Interest (GDPR Art. 6(1)(f))", L403=""), "Gap - Missing LIA", IF(AND(G403="Yes", H403=""), "Gap - Missing Art. 9 Basis", IF(OR(I403="Invalid - Not Freely Given", I403="Invalid - Not Specific", I403="Invalid - Not Informed", I403="Invalid - Ambiguous"), "Gap - Invalid Consent", "Compliant")))))</f>
        <v/>
      </c>
      <c r="O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IF(D404="Legitimate Interest (GDPR Art. 6(1)(f))", "Yes / Required (Sheet 3)", "")</f>
        <v/>
      </c>
      <c r="L404" s="7" t="n"/>
      <c r="M404" s="7" t="n"/>
      <c r="N404">
        <f>IF(D404="", "Gap - No Legal Basis", IF(AND(D404="Consent (GDPR Art. 6(1)(a))", I404="Not Captured"), "Gap - Invalid Consent", IF(AND(D404="Legitimate Interest (GDPR Art. 6(1)(f))", L404=""), "Gap - Missing LIA", IF(AND(G404="Yes", H404=""), "Gap - Missing Art. 9 Basis", IF(OR(I404="Invalid - Not Freely Given", I404="Invalid - Not Specific", I404="Invalid - Not Informed", I404="Invalid - Ambiguous"), "Gap - Invalid Consent", "Compliant")))))</f>
        <v/>
      </c>
      <c r="O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IF(D405="Legitimate Interest (GDPR Art. 6(1)(f))", "Yes / Required (Sheet 3)", "")</f>
        <v/>
      </c>
      <c r="L405" s="7" t="n"/>
      <c r="M405" s="7" t="n"/>
      <c r="N405">
        <f>IF(D405="", "Gap - No Legal Basis", IF(AND(D405="Consent (GDPR Art. 6(1)(a))", I405="Not Captured"), "Gap - Invalid Consent", IF(AND(D405="Legitimate Interest (GDPR Art. 6(1)(f))", L405=""), "Gap - Missing LIA", IF(AND(G405="Yes", H405=""), "Gap - Missing Art. 9 Basis", IF(OR(I405="Invalid - Not Freely Given", I405="Invalid - Not Specific", I405="Invalid - Not Informed", I405="Invalid - Ambiguous"), "Gap - Invalid Consent", "Compliant")))))</f>
        <v/>
      </c>
      <c r="O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IF(D406="Legitimate Interest (GDPR Art. 6(1)(f))", "Yes / Required (Sheet 3)", "")</f>
        <v/>
      </c>
      <c r="L406" s="7" t="n"/>
      <c r="M406" s="7" t="n"/>
      <c r="N406">
        <f>IF(D406="", "Gap - No Legal Basis", IF(AND(D406="Consent (GDPR Art. 6(1)(a))", I406="Not Captured"), "Gap - Invalid Consent", IF(AND(D406="Legitimate Interest (GDPR Art. 6(1)(f))", L406=""), "Gap - Missing LIA", IF(AND(G406="Yes", H406=""), "Gap - Missing Art. 9 Basis", IF(OR(I406="Invalid - Not Freely Given", I406="Invalid - Not Specific", I406="Invalid - Not Informed", I406="Invalid - Ambiguous"), "Gap - Invalid Consent", "Compliant")))))</f>
        <v/>
      </c>
      <c r="O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IF(D407="Legitimate Interest (GDPR Art. 6(1)(f))", "Yes / Required (Sheet 3)", "")</f>
        <v/>
      </c>
      <c r="L407" s="7" t="n"/>
      <c r="M407" s="7" t="n"/>
      <c r="N407">
        <f>IF(D407="", "Gap - No Legal Basis", IF(AND(D407="Consent (GDPR Art. 6(1)(a))", I407="Not Captured"), "Gap - Invalid Consent", IF(AND(D407="Legitimate Interest (GDPR Art. 6(1)(f))", L407=""), "Gap - Missing LIA", IF(AND(G407="Yes", H407=""), "Gap - Missing Art. 9 Basis", IF(OR(I407="Invalid - Not Freely Given", I407="Invalid - Not Specific", I407="Invalid - Not Informed", I407="Invalid - Ambiguous"), "Gap - Invalid Consent", "Compliant")))))</f>
        <v/>
      </c>
      <c r="O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IF(D408="Legitimate Interest (GDPR Art. 6(1)(f))", "Yes / Required (Sheet 3)", "")</f>
        <v/>
      </c>
      <c r="L408" s="7" t="n"/>
      <c r="M408" s="7" t="n"/>
      <c r="N408">
        <f>IF(D408="", "Gap - No Legal Basis", IF(AND(D408="Consent (GDPR Art. 6(1)(a))", I408="Not Captured"), "Gap - Invalid Consent", IF(AND(D408="Legitimate Interest (GDPR Art. 6(1)(f))", L408=""), "Gap - Missing LIA", IF(AND(G408="Yes", H408=""), "Gap - Missing Art. 9 Basis", IF(OR(I408="Invalid - Not Freely Given", I408="Invalid - Not Specific", I408="Invalid - Not Informed", I408="Invalid - Ambiguous"), "Gap - Invalid Consent", "Compliant")))))</f>
        <v/>
      </c>
      <c r="O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IF(D409="Legitimate Interest (GDPR Art. 6(1)(f))", "Yes / Required (Sheet 3)", "")</f>
        <v/>
      </c>
      <c r="L409" s="7" t="n"/>
      <c r="M409" s="7" t="n"/>
      <c r="N409">
        <f>IF(D409="", "Gap - No Legal Basis", IF(AND(D409="Consent (GDPR Art. 6(1)(a))", I409="Not Captured"), "Gap - Invalid Consent", IF(AND(D409="Legitimate Interest (GDPR Art. 6(1)(f))", L409=""), "Gap - Missing LIA", IF(AND(G409="Yes", H409=""), "Gap - Missing Art. 9 Basis", IF(OR(I409="Invalid - Not Freely Given", I409="Invalid - Not Specific", I409="Invalid - Not Informed", I409="Invalid - Ambiguous"), "Gap - Invalid Consent", "Compliant")))))</f>
        <v/>
      </c>
      <c r="O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IF(D410="Legitimate Interest (GDPR Art. 6(1)(f))", "Yes / Required (Sheet 3)", "")</f>
        <v/>
      </c>
      <c r="L410" s="7" t="n"/>
      <c r="M410" s="7" t="n"/>
      <c r="N410">
        <f>IF(D410="", "Gap - No Legal Basis", IF(AND(D410="Consent (GDPR Art. 6(1)(a))", I410="Not Captured"), "Gap - Invalid Consent", IF(AND(D410="Legitimate Interest (GDPR Art. 6(1)(f))", L410=""), "Gap - Missing LIA", IF(AND(G410="Yes", H410=""), "Gap - Missing Art. 9 Basis", IF(OR(I410="Invalid - Not Freely Given", I410="Invalid - Not Specific", I410="Invalid - Not Informed", I410="Invalid - Ambiguous"), "Gap - Invalid Consent", "Compliant")))))</f>
        <v/>
      </c>
      <c r="O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IF(D411="Legitimate Interest (GDPR Art. 6(1)(f))", "Yes / Required (Sheet 3)", "")</f>
        <v/>
      </c>
      <c r="L411" s="7" t="n"/>
      <c r="M411" s="7" t="n"/>
      <c r="N411">
        <f>IF(D411="", "Gap - No Legal Basis", IF(AND(D411="Consent (GDPR Art. 6(1)(a))", I411="Not Captured"), "Gap - Invalid Consent", IF(AND(D411="Legitimate Interest (GDPR Art. 6(1)(f))", L411=""), "Gap - Missing LIA", IF(AND(G411="Yes", H411=""), "Gap - Missing Art. 9 Basis", IF(OR(I411="Invalid - Not Freely Given", I411="Invalid - Not Specific", I411="Invalid - Not Informed", I411="Invalid - Ambiguous"), "Gap - Invalid Consent", "Compliant")))))</f>
        <v/>
      </c>
      <c r="O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IF(D412="Legitimate Interest (GDPR Art. 6(1)(f))", "Yes / Required (Sheet 3)", "")</f>
        <v/>
      </c>
      <c r="L412" s="7" t="n"/>
      <c r="M412" s="7" t="n"/>
      <c r="N412">
        <f>IF(D412="", "Gap - No Legal Basis", IF(AND(D412="Consent (GDPR Art. 6(1)(a))", I412="Not Captured"), "Gap - Invalid Consent", IF(AND(D412="Legitimate Interest (GDPR Art. 6(1)(f))", L412=""), "Gap - Missing LIA", IF(AND(G412="Yes", H412=""), "Gap - Missing Art. 9 Basis", IF(OR(I412="Invalid - Not Freely Given", I412="Invalid - Not Specific", I412="Invalid - Not Informed", I412="Invalid - Ambiguous"), "Gap - Invalid Consent", "Compliant")))))</f>
        <v/>
      </c>
      <c r="O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IF(D413="Legitimate Interest (GDPR Art. 6(1)(f))", "Yes / Required (Sheet 3)", "")</f>
        <v/>
      </c>
      <c r="L413" s="7" t="n"/>
      <c r="M413" s="7" t="n"/>
      <c r="N413">
        <f>IF(D413="", "Gap - No Legal Basis", IF(AND(D413="Consent (GDPR Art. 6(1)(a))", I413="Not Captured"), "Gap - Invalid Consent", IF(AND(D413="Legitimate Interest (GDPR Art. 6(1)(f))", L413=""), "Gap - Missing LIA", IF(AND(G413="Yes", H413=""), "Gap - Missing Art. 9 Basis", IF(OR(I413="Invalid - Not Freely Given", I413="Invalid - Not Specific", I413="Invalid - Not Informed", I413="Invalid - Ambiguous"), "Gap - Invalid Consent", "Compliant")))))</f>
        <v/>
      </c>
      <c r="O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IF(D414="Legitimate Interest (GDPR Art. 6(1)(f))", "Yes / Required (Sheet 3)", "")</f>
        <v/>
      </c>
      <c r="L414" s="7" t="n"/>
      <c r="M414" s="7" t="n"/>
      <c r="N414">
        <f>IF(D414="", "Gap - No Legal Basis", IF(AND(D414="Consent (GDPR Art. 6(1)(a))", I414="Not Captured"), "Gap - Invalid Consent", IF(AND(D414="Legitimate Interest (GDPR Art. 6(1)(f))", L414=""), "Gap - Missing LIA", IF(AND(G414="Yes", H414=""), "Gap - Missing Art. 9 Basis", IF(OR(I414="Invalid - Not Freely Given", I414="Invalid - Not Specific", I414="Invalid - Not Informed", I414="Invalid - Ambiguous"), "Gap - Invalid Consent", "Compliant")))))</f>
        <v/>
      </c>
      <c r="O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IF(D415="Legitimate Interest (GDPR Art. 6(1)(f))", "Yes / Required (Sheet 3)", "")</f>
        <v/>
      </c>
      <c r="L415" s="7" t="n"/>
      <c r="M415" s="7" t="n"/>
      <c r="N415">
        <f>IF(D415="", "Gap - No Legal Basis", IF(AND(D415="Consent (GDPR Art. 6(1)(a))", I415="Not Captured"), "Gap - Invalid Consent", IF(AND(D415="Legitimate Interest (GDPR Art. 6(1)(f))", L415=""), "Gap - Missing LIA", IF(AND(G415="Yes", H415=""), "Gap - Missing Art. 9 Basis", IF(OR(I415="Invalid - Not Freely Given", I415="Invalid - Not Specific", I415="Invalid - Not Informed", I415="Invalid - Ambiguous"), "Gap - Invalid Consent", "Compliant")))))</f>
        <v/>
      </c>
      <c r="O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IF(D416="Legitimate Interest (GDPR Art. 6(1)(f))", "Yes / Required (Sheet 3)", "")</f>
        <v/>
      </c>
      <c r="L416" s="7" t="n"/>
      <c r="M416" s="7" t="n"/>
      <c r="N416">
        <f>IF(D416="", "Gap - No Legal Basis", IF(AND(D416="Consent (GDPR Art. 6(1)(a))", I416="Not Captured"), "Gap - Invalid Consent", IF(AND(D416="Legitimate Interest (GDPR Art. 6(1)(f))", L416=""), "Gap - Missing LIA", IF(AND(G416="Yes", H416=""), "Gap - Missing Art. 9 Basis", IF(OR(I416="Invalid - Not Freely Given", I416="Invalid - Not Specific", I416="Invalid - Not Informed", I416="Invalid - Ambiguous"), "Gap - Invalid Consent", "Compliant")))))</f>
        <v/>
      </c>
      <c r="O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IF(D417="Legitimate Interest (GDPR Art. 6(1)(f))", "Yes / Required (Sheet 3)", "")</f>
        <v/>
      </c>
      <c r="L417" s="7" t="n"/>
      <c r="M417" s="7" t="n"/>
      <c r="N417">
        <f>IF(D417="", "Gap - No Legal Basis", IF(AND(D417="Consent (GDPR Art. 6(1)(a))", I417="Not Captured"), "Gap - Invalid Consent", IF(AND(D417="Legitimate Interest (GDPR Art. 6(1)(f))", L417=""), "Gap - Missing LIA", IF(AND(G417="Yes", H417=""), "Gap - Missing Art. 9 Basis", IF(OR(I417="Invalid - Not Freely Given", I417="Invalid - Not Specific", I417="Invalid - Not Informed", I417="Invalid - Ambiguous"), "Gap - Invalid Consent", "Compliant")))))</f>
        <v/>
      </c>
      <c r="O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IF(D418="Legitimate Interest (GDPR Art. 6(1)(f))", "Yes / Required (Sheet 3)", "")</f>
        <v/>
      </c>
      <c r="L418" s="7" t="n"/>
      <c r="M418" s="7" t="n"/>
      <c r="N418">
        <f>IF(D418="", "Gap - No Legal Basis", IF(AND(D418="Consent (GDPR Art. 6(1)(a))", I418="Not Captured"), "Gap - Invalid Consent", IF(AND(D418="Legitimate Interest (GDPR Art. 6(1)(f))", L418=""), "Gap - Missing LIA", IF(AND(G418="Yes", H418=""), "Gap - Missing Art. 9 Basis", IF(OR(I418="Invalid - Not Freely Given", I418="Invalid - Not Specific", I418="Invalid - Not Informed", I418="Invalid - Ambiguous"), "Gap - Invalid Consent", "Compliant")))))</f>
        <v/>
      </c>
      <c r="O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IF(D419="Legitimate Interest (GDPR Art. 6(1)(f))", "Yes / Required (Sheet 3)", "")</f>
        <v/>
      </c>
      <c r="L419" s="7" t="n"/>
      <c r="M419" s="7" t="n"/>
      <c r="N419">
        <f>IF(D419="", "Gap - No Legal Basis", IF(AND(D419="Consent (GDPR Art. 6(1)(a))", I419="Not Captured"), "Gap - Invalid Consent", IF(AND(D419="Legitimate Interest (GDPR Art. 6(1)(f))", L419=""), "Gap - Missing LIA", IF(AND(G419="Yes", H419=""), "Gap - Missing Art. 9 Basis", IF(OR(I419="Invalid - Not Freely Given", I419="Invalid - Not Specific", I419="Invalid - Not Informed", I419="Invalid - Ambiguous"), "Gap - Invalid Consent", "Compliant")))))</f>
        <v/>
      </c>
      <c r="O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IF(D420="Legitimate Interest (GDPR Art. 6(1)(f))", "Yes / Required (Sheet 3)", "")</f>
        <v/>
      </c>
      <c r="L420" s="7" t="n"/>
      <c r="M420" s="7" t="n"/>
      <c r="N420">
        <f>IF(D420="", "Gap - No Legal Basis", IF(AND(D420="Consent (GDPR Art. 6(1)(a))", I420="Not Captured"), "Gap - Invalid Consent", IF(AND(D420="Legitimate Interest (GDPR Art. 6(1)(f))", L420=""), "Gap - Missing LIA", IF(AND(G420="Yes", H420=""), "Gap - Missing Art. 9 Basis", IF(OR(I420="Invalid - Not Freely Given", I420="Invalid - Not Specific", I420="Invalid - Not Informed", I420="Invalid - Ambiguous"), "Gap - Invalid Consent", "Compliant")))))</f>
        <v/>
      </c>
      <c r="O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IF(D421="Legitimate Interest (GDPR Art. 6(1)(f))", "Yes / Required (Sheet 3)", "")</f>
        <v/>
      </c>
      <c r="L421" s="7" t="n"/>
      <c r="M421" s="7" t="n"/>
      <c r="N421">
        <f>IF(D421="", "Gap - No Legal Basis", IF(AND(D421="Consent (GDPR Art. 6(1)(a))", I421="Not Captured"), "Gap - Invalid Consent", IF(AND(D421="Legitimate Interest (GDPR Art. 6(1)(f))", L421=""), "Gap - Missing LIA", IF(AND(G421="Yes", H421=""), "Gap - Missing Art. 9 Basis", IF(OR(I421="Invalid - Not Freely Given", I421="Invalid - Not Specific", I421="Invalid - Not Informed", I421="Invalid - Ambiguous"), "Gap - Invalid Consent", "Compliant")))))</f>
        <v/>
      </c>
      <c r="O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IF(D422="Legitimate Interest (GDPR Art. 6(1)(f))", "Yes / Required (Sheet 3)", "")</f>
        <v/>
      </c>
      <c r="L422" s="7" t="n"/>
      <c r="M422" s="7" t="n"/>
      <c r="N422">
        <f>IF(D422="", "Gap - No Legal Basis", IF(AND(D422="Consent (GDPR Art. 6(1)(a))", I422="Not Captured"), "Gap - Invalid Consent", IF(AND(D422="Legitimate Interest (GDPR Art. 6(1)(f))", L422=""), "Gap - Missing LIA", IF(AND(G422="Yes", H422=""), "Gap - Missing Art. 9 Basis", IF(OR(I422="Invalid - Not Freely Given", I422="Invalid - Not Specific", I422="Invalid - Not Informed", I422="Invalid - Ambiguous"), "Gap - Invalid Consent", "Compliant")))))</f>
        <v/>
      </c>
      <c r="O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IF(D423="Legitimate Interest (GDPR Art. 6(1)(f))", "Yes / Required (Sheet 3)", "")</f>
        <v/>
      </c>
      <c r="L423" s="7" t="n"/>
      <c r="M423" s="7" t="n"/>
      <c r="N423">
        <f>IF(D423="", "Gap - No Legal Basis", IF(AND(D423="Consent (GDPR Art. 6(1)(a))", I423="Not Captured"), "Gap - Invalid Consent", IF(AND(D423="Legitimate Interest (GDPR Art. 6(1)(f))", L423=""), "Gap - Missing LIA", IF(AND(G423="Yes", H423=""), "Gap - Missing Art. 9 Basis", IF(OR(I423="Invalid - Not Freely Given", I423="Invalid - Not Specific", I423="Invalid - Not Informed", I423="Invalid - Ambiguous"), "Gap - Invalid Consent", "Compliant")))))</f>
        <v/>
      </c>
      <c r="O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IF(D424="Legitimate Interest (GDPR Art. 6(1)(f))", "Yes / Required (Sheet 3)", "")</f>
        <v/>
      </c>
      <c r="L424" s="7" t="n"/>
      <c r="M424" s="7" t="n"/>
      <c r="N424">
        <f>IF(D424="", "Gap - No Legal Basis", IF(AND(D424="Consent (GDPR Art. 6(1)(a))", I424="Not Captured"), "Gap - Invalid Consent", IF(AND(D424="Legitimate Interest (GDPR Art. 6(1)(f))", L424=""), "Gap - Missing LIA", IF(AND(G424="Yes", H424=""), "Gap - Missing Art. 9 Basis", IF(OR(I424="Invalid - Not Freely Given", I424="Invalid - Not Specific", I424="Invalid - Not Informed", I424="Invalid - Ambiguous"), "Gap - Invalid Consent", "Compliant")))))</f>
        <v/>
      </c>
      <c r="O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IF(D425="Legitimate Interest (GDPR Art. 6(1)(f))", "Yes / Required (Sheet 3)", "")</f>
        <v/>
      </c>
      <c r="L425" s="7" t="n"/>
      <c r="M425" s="7" t="n"/>
      <c r="N425">
        <f>IF(D425="", "Gap - No Legal Basis", IF(AND(D425="Consent (GDPR Art. 6(1)(a))", I425="Not Captured"), "Gap - Invalid Consent", IF(AND(D425="Legitimate Interest (GDPR Art. 6(1)(f))", L425=""), "Gap - Missing LIA", IF(AND(G425="Yes", H425=""), "Gap - Missing Art. 9 Basis", IF(OR(I425="Invalid - Not Freely Given", I425="Invalid - Not Specific", I425="Invalid - Not Informed", I425="Invalid - Ambiguous"), "Gap - Invalid Consent", "Compliant")))))</f>
        <v/>
      </c>
      <c r="O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IF(D426="Legitimate Interest (GDPR Art. 6(1)(f))", "Yes / Required (Sheet 3)", "")</f>
        <v/>
      </c>
      <c r="L426" s="7" t="n"/>
      <c r="M426" s="7" t="n"/>
      <c r="N426">
        <f>IF(D426="", "Gap - No Legal Basis", IF(AND(D426="Consent (GDPR Art. 6(1)(a))", I426="Not Captured"), "Gap - Invalid Consent", IF(AND(D426="Legitimate Interest (GDPR Art. 6(1)(f))", L426=""), "Gap - Missing LIA", IF(AND(G426="Yes", H426=""), "Gap - Missing Art. 9 Basis", IF(OR(I426="Invalid - Not Freely Given", I426="Invalid - Not Specific", I426="Invalid - Not Informed", I426="Invalid - Ambiguous"), "Gap - Invalid Consent", "Compliant")))))</f>
        <v/>
      </c>
      <c r="O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IF(D427="Legitimate Interest (GDPR Art. 6(1)(f))", "Yes / Required (Sheet 3)", "")</f>
        <v/>
      </c>
      <c r="L427" s="7" t="n"/>
      <c r="M427" s="7" t="n"/>
      <c r="N427">
        <f>IF(D427="", "Gap - No Legal Basis", IF(AND(D427="Consent (GDPR Art. 6(1)(a))", I427="Not Captured"), "Gap - Invalid Consent", IF(AND(D427="Legitimate Interest (GDPR Art. 6(1)(f))", L427=""), "Gap - Missing LIA", IF(AND(G427="Yes", H427=""), "Gap - Missing Art. 9 Basis", IF(OR(I427="Invalid - Not Freely Given", I427="Invalid - Not Specific", I427="Invalid - Not Informed", I427="Invalid - Ambiguous"), "Gap - Invalid Consent", "Compliant")))))</f>
        <v/>
      </c>
      <c r="O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IF(D428="Legitimate Interest (GDPR Art. 6(1)(f))", "Yes / Required (Sheet 3)", "")</f>
        <v/>
      </c>
      <c r="L428" s="7" t="n"/>
      <c r="M428" s="7" t="n"/>
      <c r="N428">
        <f>IF(D428="", "Gap - No Legal Basis", IF(AND(D428="Consent (GDPR Art. 6(1)(a))", I428="Not Captured"), "Gap - Invalid Consent", IF(AND(D428="Legitimate Interest (GDPR Art. 6(1)(f))", L428=""), "Gap - Missing LIA", IF(AND(G428="Yes", H428=""), "Gap - Missing Art. 9 Basis", IF(OR(I428="Invalid - Not Freely Given", I428="Invalid - Not Specific", I428="Invalid - Not Informed", I428="Invalid - Ambiguous"), "Gap - Invalid Consent", "Compliant")))))</f>
        <v/>
      </c>
      <c r="O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IF(D429="Legitimate Interest (GDPR Art. 6(1)(f))", "Yes / Required (Sheet 3)", "")</f>
        <v/>
      </c>
      <c r="L429" s="7" t="n"/>
      <c r="M429" s="7" t="n"/>
      <c r="N429">
        <f>IF(D429="", "Gap - No Legal Basis", IF(AND(D429="Consent (GDPR Art. 6(1)(a))", I429="Not Captured"), "Gap - Invalid Consent", IF(AND(D429="Legitimate Interest (GDPR Art. 6(1)(f))", L429=""), "Gap - Missing LIA", IF(AND(G429="Yes", H429=""), "Gap - Missing Art. 9 Basis", IF(OR(I429="Invalid - Not Freely Given", I429="Invalid - Not Specific", I429="Invalid - Not Informed", I429="Invalid - Ambiguous"), "Gap - Invalid Consent", "Compliant")))))</f>
        <v/>
      </c>
      <c r="O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IF(D430="Legitimate Interest (GDPR Art. 6(1)(f))", "Yes / Required (Sheet 3)", "")</f>
        <v/>
      </c>
      <c r="L430" s="7" t="n"/>
      <c r="M430" s="7" t="n"/>
      <c r="N430">
        <f>IF(D430="", "Gap - No Legal Basis", IF(AND(D430="Consent (GDPR Art. 6(1)(a))", I430="Not Captured"), "Gap - Invalid Consent", IF(AND(D430="Legitimate Interest (GDPR Art. 6(1)(f))", L430=""), "Gap - Missing LIA", IF(AND(G430="Yes", H430=""), "Gap - Missing Art. 9 Basis", IF(OR(I430="Invalid - Not Freely Given", I430="Invalid - Not Specific", I430="Invalid - Not Informed", I430="Invalid - Ambiguous"), "Gap - Invalid Consent", "Compliant")))))</f>
        <v/>
      </c>
      <c r="O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IF(D431="Legitimate Interest (GDPR Art. 6(1)(f))", "Yes / Required (Sheet 3)", "")</f>
        <v/>
      </c>
      <c r="L431" s="7" t="n"/>
      <c r="M431" s="7" t="n"/>
      <c r="N431">
        <f>IF(D431="", "Gap - No Legal Basis", IF(AND(D431="Consent (GDPR Art. 6(1)(a))", I431="Not Captured"), "Gap - Invalid Consent", IF(AND(D431="Legitimate Interest (GDPR Art. 6(1)(f))", L431=""), "Gap - Missing LIA", IF(AND(G431="Yes", H431=""), "Gap - Missing Art. 9 Basis", IF(OR(I431="Invalid - Not Freely Given", I431="Invalid - Not Specific", I431="Invalid - Not Informed", I431="Invalid - Ambiguous"), "Gap - Invalid Consent", "Compliant")))))</f>
        <v/>
      </c>
      <c r="O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IF(D432="Legitimate Interest (GDPR Art. 6(1)(f))", "Yes / Required (Sheet 3)", "")</f>
        <v/>
      </c>
      <c r="L432" s="7" t="n"/>
      <c r="M432" s="7" t="n"/>
      <c r="N432">
        <f>IF(D432="", "Gap - No Legal Basis", IF(AND(D432="Consent (GDPR Art. 6(1)(a))", I432="Not Captured"), "Gap - Invalid Consent", IF(AND(D432="Legitimate Interest (GDPR Art. 6(1)(f))", L432=""), "Gap - Missing LIA", IF(AND(G432="Yes", H432=""), "Gap - Missing Art. 9 Basis", IF(OR(I432="Invalid - Not Freely Given", I432="Invalid - Not Specific", I432="Invalid - Not Informed", I432="Invalid - Ambiguous"), "Gap - Invalid Consent", "Compliant")))))</f>
        <v/>
      </c>
      <c r="O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IF(D433="Legitimate Interest (GDPR Art. 6(1)(f))", "Yes / Required (Sheet 3)", "")</f>
        <v/>
      </c>
      <c r="L433" s="7" t="n"/>
      <c r="M433" s="7" t="n"/>
      <c r="N433">
        <f>IF(D433="", "Gap - No Legal Basis", IF(AND(D433="Consent (GDPR Art. 6(1)(a))", I433="Not Captured"), "Gap - Invalid Consent", IF(AND(D433="Legitimate Interest (GDPR Art. 6(1)(f))", L433=""), "Gap - Missing LIA", IF(AND(G433="Yes", H433=""), "Gap - Missing Art. 9 Basis", IF(OR(I433="Invalid - Not Freely Given", I433="Invalid - Not Specific", I433="Invalid - Not Informed", I433="Invalid - Ambiguous"), "Gap - Invalid Consent", "Compliant")))))</f>
        <v/>
      </c>
      <c r="O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IF(D434="Legitimate Interest (GDPR Art. 6(1)(f))", "Yes / Required (Sheet 3)", "")</f>
        <v/>
      </c>
      <c r="L434" s="7" t="n"/>
      <c r="M434" s="7" t="n"/>
      <c r="N434">
        <f>IF(D434="", "Gap - No Legal Basis", IF(AND(D434="Consent (GDPR Art. 6(1)(a))", I434="Not Captured"), "Gap - Invalid Consent", IF(AND(D434="Legitimate Interest (GDPR Art. 6(1)(f))", L434=""), "Gap - Missing LIA", IF(AND(G434="Yes", H434=""), "Gap - Missing Art. 9 Basis", IF(OR(I434="Invalid - Not Freely Given", I434="Invalid - Not Specific", I434="Invalid - Not Informed", I434="Invalid - Ambiguous"), "Gap - Invalid Consent", "Compliant")))))</f>
        <v/>
      </c>
      <c r="O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IF(D435="Legitimate Interest (GDPR Art. 6(1)(f))", "Yes / Required (Sheet 3)", "")</f>
        <v/>
      </c>
      <c r="L435" s="7" t="n"/>
      <c r="M435" s="7" t="n"/>
      <c r="N435">
        <f>IF(D435="", "Gap - No Legal Basis", IF(AND(D435="Consent (GDPR Art. 6(1)(a))", I435="Not Captured"), "Gap - Invalid Consent", IF(AND(D435="Legitimate Interest (GDPR Art. 6(1)(f))", L435=""), "Gap - Missing LIA", IF(AND(G435="Yes", H435=""), "Gap - Missing Art. 9 Basis", IF(OR(I435="Invalid - Not Freely Given", I435="Invalid - Not Specific", I435="Invalid - Not Informed", I435="Invalid - Ambiguous"), "Gap - Invalid Consent", "Compliant")))))</f>
        <v/>
      </c>
      <c r="O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IF(D436="Legitimate Interest (GDPR Art. 6(1)(f))", "Yes / Required (Sheet 3)", "")</f>
        <v/>
      </c>
      <c r="L436" s="7" t="n"/>
      <c r="M436" s="7" t="n"/>
      <c r="N436">
        <f>IF(D436="", "Gap - No Legal Basis", IF(AND(D436="Consent (GDPR Art. 6(1)(a))", I436="Not Captured"), "Gap - Invalid Consent", IF(AND(D436="Legitimate Interest (GDPR Art. 6(1)(f))", L436=""), "Gap - Missing LIA", IF(AND(G436="Yes", H436=""), "Gap - Missing Art. 9 Basis", IF(OR(I436="Invalid - Not Freely Given", I436="Invalid - Not Specific", I436="Invalid - Not Informed", I436="Invalid - Ambiguous"), "Gap - Invalid Consent", "Compliant")))))</f>
        <v/>
      </c>
      <c r="O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IF(D437="Legitimate Interest (GDPR Art. 6(1)(f))", "Yes / Required (Sheet 3)", "")</f>
        <v/>
      </c>
      <c r="L437" s="7" t="n"/>
      <c r="M437" s="7" t="n"/>
      <c r="N437">
        <f>IF(D437="", "Gap - No Legal Basis", IF(AND(D437="Consent (GDPR Art. 6(1)(a))", I437="Not Captured"), "Gap - Invalid Consent", IF(AND(D437="Legitimate Interest (GDPR Art. 6(1)(f))", L437=""), "Gap - Missing LIA", IF(AND(G437="Yes", H437=""), "Gap - Missing Art. 9 Basis", IF(OR(I437="Invalid - Not Freely Given", I437="Invalid - Not Specific", I437="Invalid - Not Informed", I437="Invalid - Ambiguous"), "Gap - Invalid Consent", "Compliant")))))</f>
        <v/>
      </c>
      <c r="O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IF(D438="Legitimate Interest (GDPR Art. 6(1)(f))", "Yes / Required (Sheet 3)", "")</f>
        <v/>
      </c>
      <c r="L438" s="7" t="n"/>
      <c r="M438" s="7" t="n"/>
      <c r="N438">
        <f>IF(D438="", "Gap - No Legal Basis", IF(AND(D438="Consent (GDPR Art. 6(1)(a))", I438="Not Captured"), "Gap - Invalid Consent", IF(AND(D438="Legitimate Interest (GDPR Art. 6(1)(f))", L438=""), "Gap - Missing LIA", IF(AND(G438="Yes", H438=""), "Gap - Missing Art. 9 Basis", IF(OR(I438="Invalid - Not Freely Given", I438="Invalid - Not Specific", I438="Invalid - Not Informed", I438="Invalid - Ambiguous"), "Gap - Invalid Consent", "Compliant")))))</f>
        <v/>
      </c>
      <c r="O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IF(D439="Legitimate Interest (GDPR Art. 6(1)(f))", "Yes / Required (Sheet 3)", "")</f>
        <v/>
      </c>
      <c r="L439" s="7" t="n"/>
      <c r="M439" s="7" t="n"/>
      <c r="N439">
        <f>IF(D439="", "Gap - No Legal Basis", IF(AND(D439="Consent (GDPR Art. 6(1)(a))", I439="Not Captured"), "Gap - Invalid Consent", IF(AND(D439="Legitimate Interest (GDPR Art. 6(1)(f))", L439=""), "Gap - Missing LIA", IF(AND(G439="Yes", H439=""), "Gap - Missing Art. 9 Basis", IF(OR(I439="Invalid - Not Freely Given", I439="Invalid - Not Specific", I439="Invalid - Not Informed", I439="Invalid - Ambiguous"), "Gap - Invalid Consent", "Compliant")))))</f>
        <v/>
      </c>
      <c r="O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IF(D440="Legitimate Interest (GDPR Art. 6(1)(f))", "Yes / Required (Sheet 3)", "")</f>
        <v/>
      </c>
      <c r="L440" s="7" t="n"/>
      <c r="M440" s="7" t="n"/>
      <c r="N440">
        <f>IF(D440="", "Gap - No Legal Basis", IF(AND(D440="Consent (GDPR Art. 6(1)(a))", I440="Not Captured"), "Gap - Invalid Consent", IF(AND(D440="Legitimate Interest (GDPR Art. 6(1)(f))", L440=""), "Gap - Missing LIA", IF(AND(G440="Yes", H440=""), "Gap - Missing Art. 9 Basis", IF(OR(I440="Invalid - Not Freely Given", I440="Invalid - Not Specific", I440="Invalid - Not Informed", I440="Invalid - Ambiguous"), "Gap - Invalid Consent", "Compliant")))))</f>
        <v/>
      </c>
      <c r="O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IF(D441="Legitimate Interest (GDPR Art. 6(1)(f))", "Yes / Required (Sheet 3)", "")</f>
        <v/>
      </c>
      <c r="L441" s="7" t="n"/>
      <c r="M441" s="7" t="n"/>
      <c r="N441">
        <f>IF(D441="", "Gap - No Legal Basis", IF(AND(D441="Consent (GDPR Art. 6(1)(a))", I441="Not Captured"), "Gap - Invalid Consent", IF(AND(D441="Legitimate Interest (GDPR Art. 6(1)(f))", L441=""), "Gap - Missing LIA", IF(AND(G441="Yes", H441=""), "Gap - Missing Art. 9 Basis", IF(OR(I441="Invalid - Not Freely Given", I441="Invalid - Not Specific", I441="Invalid - Not Informed", I441="Invalid - Ambiguous"), "Gap - Invalid Consent", "Compliant")))))</f>
        <v/>
      </c>
      <c r="O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IF(D442="Legitimate Interest (GDPR Art. 6(1)(f))", "Yes / Required (Sheet 3)", "")</f>
        <v/>
      </c>
      <c r="L442" s="7" t="n"/>
      <c r="M442" s="7" t="n"/>
      <c r="N442">
        <f>IF(D442="", "Gap - No Legal Basis", IF(AND(D442="Consent (GDPR Art. 6(1)(a))", I442="Not Captured"), "Gap - Invalid Consent", IF(AND(D442="Legitimate Interest (GDPR Art. 6(1)(f))", L442=""), "Gap - Missing LIA", IF(AND(G442="Yes", H442=""), "Gap - Missing Art. 9 Basis", IF(OR(I442="Invalid - Not Freely Given", I442="Invalid - Not Specific", I442="Invalid - Not Informed", I442="Invalid - Ambiguous"), "Gap - Invalid Consent", "Compliant")))))</f>
        <v/>
      </c>
      <c r="O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IF(D443="Legitimate Interest (GDPR Art. 6(1)(f))", "Yes / Required (Sheet 3)", "")</f>
        <v/>
      </c>
      <c r="L443" s="7" t="n"/>
      <c r="M443" s="7" t="n"/>
      <c r="N443">
        <f>IF(D443="", "Gap - No Legal Basis", IF(AND(D443="Consent (GDPR Art. 6(1)(a))", I443="Not Captured"), "Gap - Invalid Consent", IF(AND(D443="Legitimate Interest (GDPR Art. 6(1)(f))", L443=""), "Gap - Missing LIA", IF(AND(G443="Yes", H443=""), "Gap - Missing Art. 9 Basis", IF(OR(I443="Invalid - Not Freely Given", I443="Invalid - Not Specific", I443="Invalid - Not Informed", I443="Invalid - Ambiguous"), "Gap - Invalid Consent", "Compliant")))))</f>
        <v/>
      </c>
      <c r="O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IF(D444="Legitimate Interest (GDPR Art. 6(1)(f))", "Yes / Required (Sheet 3)", "")</f>
        <v/>
      </c>
      <c r="L444" s="7" t="n"/>
      <c r="M444" s="7" t="n"/>
      <c r="N444">
        <f>IF(D444="", "Gap - No Legal Basis", IF(AND(D444="Consent (GDPR Art. 6(1)(a))", I444="Not Captured"), "Gap - Invalid Consent", IF(AND(D444="Legitimate Interest (GDPR Art. 6(1)(f))", L444=""), "Gap - Missing LIA", IF(AND(G444="Yes", H444=""), "Gap - Missing Art. 9 Basis", IF(OR(I444="Invalid - Not Freely Given", I444="Invalid - Not Specific", I444="Invalid - Not Informed", I444="Invalid - Ambiguous"), "Gap - Invalid Consent", "Compliant")))))</f>
        <v/>
      </c>
      <c r="O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IF(D445="Legitimate Interest (GDPR Art. 6(1)(f))", "Yes / Required (Sheet 3)", "")</f>
        <v/>
      </c>
      <c r="L445" s="7" t="n"/>
      <c r="M445" s="7" t="n"/>
      <c r="N445">
        <f>IF(D445="", "Gap - No Legal Basis", IF(AND(D445="Consent (GDPR Art. 6(1)(a))", I445="Not Captured"), "Gap - Invalid Consent", IF(AND(D445="Legitimate Interest (GDPR Art. 6(1)(f))", L445=""), "Gap - Missing LIA", IF(AND(G445="Yes", H445=""), "Gap - Missing Art. 9 Basis", IF(OR(I445="Invalid - Not Freely Given", I445="Invalid - Not Specific", I445="Invalid - Not Informed", I445="Invalid - Ambiguous"), "Gap - Invalid Consent", "Compliant")))))</f>
        <v/>
      </c>
      <c r="O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IF(D446="Legitimate Interest (GDPR Art. 6(1)(f))", "Yes / Required (Sheet 3)", "")</f>
        <v/>
      </c>
      <c r="L446" s="7" t="n"/>
      <c r="M446" s="7" t="n"/>
      <c r="N446">
        <f>IF(D446="", "Gap - No Legal Basis", IF(AND(D446="Consent (GDPR Art. 6(1)(a))", I446="Not Captured"), "Gap - Invalid Consent", IF(AND(D446="Legitimate Interest (GDPR Art. 6(1)(f))", L446=""), "Gap - Missing LIA", IF(AND(G446="Yes", H446=""), "Gap - Missing Art. 9 Basis", IF(OR(I446="Invalid - Not Freely Given", I446="Invalid - Not Specific", I446="Invalid - Not Informed", I446="Invalid - Ambiguous"), "Gap - Invalid Consent", "Compliant")))))</f>
        <v/>
      </c>
      <c r="O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IF(D447="Legitimate Interest (GDPR Art. 6(1)(f))", "Yes / Required (Sheet 3)", "")</f>
        <v/>
      </c>
      <c r="L447" s="7" t="n"/>
      <c r="M447" s="7" t="n"/>
      <c r="N447">
        <f>IF(D447="", "Gap - No Legal Basis", IF(AND(D447="Consent (GDPR Art. 6(1)(a))", I447="Not Captured"), "Gap - Invalid Consent", IF(AND(D447="Legitimate Interest (GDPR Art. 6(1)(f))", L447=""), "Gap - Missing LIA", IF(AND(G447="Yes", H447=""), "Gap - Missing Art. 9 Basis", IF(OR(I447="Invalid - Not Freely Given", I447="Invalid - Not Specific", I447="Invalid - Not Informed", I447="Invalid - Ambiguous"), "Gap - Invalid Consent", "Compliant")))))</f>
        <v/>
      </c>
      <c r="O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IF(D448="Legitimate Interest (GDPR Art. 6(1)(f))", "Yes / Required (Sheet 3)", "")</f>
        <v/>
      </c>
      <c r="L448" s="7" t="n"/>
      <c r="M448" s="7" t="n"/>
      <c r="N448">
        <f>IF(D448="", "Gap - No Legal Basis", IF(AND(D448="Consent (GDPR Art. 6(1)(a))", I448="Not Captured"), "Gap - Invalid Consent", IF(AND(D448="Legitimate Interest (GDPR Art. 6(1)(f))", L448=""), "Gap - Missing LIA", IF(AND(G448="Yes", H448=""), "Gap - Missing Art. 9 Basis", IF(OR(I448="Invalid - Not Freely Given", I448="Invalid - Not Specific", I448="Invalid - Not Informed", I448="Invalid - Ambiguous"), "Gap - Invalid Consent", "Compliant")))))</f>
        <v/>
      </c>
      <c r="O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IF(D449="Legitimate Interest (GDPR Art. 6(1)(f))", "Yes / Required (Sheet 3)", "")</f>
        <v/>
      </c>
      <c r="L449" s="7" t="n"/>
      <c r="M449" s="7" t="n"/>
      <c r="N449">
        <f>IF(D449="", "Gap - No Legal Basis", IF(AND(D449="Consent (GDPR Art. 6(1)(a))", I449="Not Captured"), "Gap - Invalid Consent", IF(AND(D449="Legitimate Interest (GDPR Art. 6(1)(f))", L449=""), "Gap - Missing LIA", IF(AND(G449="Yes", H449=""), "Gap - Missing Art. 9 Basis", IF(OR(I449="Invalid - Not Freely Given", I449="Invalid - Not Specific", I449="Invalid - Not Informed", I449="Invalid - Ambiguous"), "Gap - Invalid Consent", "Compliant")))))</f>
        <v/>
      </c>
      <c r="O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IF(D450="Legitimate Interest (GDPR Art. 6(1)(f))", "Yes / Required (Sheet 3)", "")</f>
        <v/>
      </c>
      <c r="L450" s="7" t="n"/>
      <c r="M450" s="7" t="n"/>
      <c r="N450">
        <f>IF(D450="", "Gap - No Legal Basis", IF(AND(D450="Consent (GDPR Art. 6(1)(a))", I450="Not Captured"), "Gap - Invalid Consent", IF(AND(D450="Legitimate Interest (GDPR Art. 6(1)(f))", L450=""), "Gap - Missing LIA", IF(AND(G450="Yes", H450=""), "Gap - Missing Art. 9 Basis", IF(OR(I450="Invalid - Not Freely Given", I450="Invalid - Not Specific", I450="Invalid - Not Informed", I450="Invalid - Ambiguous"), "Gap - Invalid Consent", "Compliant")))))</f>
        <v/>
      </c>
      <c r="O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IF(D451="Legitimate Interest (GDPR Art. 6(1)(f))", "Yes / Required (Sheet 3)", "")</f>
        <v/>
      </c>
      <c r="L451" s="7" t="n"/>
      <c r="M451" s="7" t="n"/>
      <c r="N451">
        <f>IF(D451="", "Gap - No Legal Basis", IF(AND(D451="Consent (GDPR Art. 6(1)(a))", I451="Not Captured"), "Gap - Invalid Consent", IF(AND(D451="Legitimate Interest (GDPR Art. 6(1)(f))", L451=""), "Gap - Missing LIA", IF(AND(G451="Yes", H451=""), "Gap - Missing Art. 9 Basis", IF(OR(I451="Invalid - Not Freely Given", I451="Invalid - Not Specific", I451="Invalid - Not Informed", I451="Invalid - Ambiguous"), "Gap - Invalid Consent", "Compliant")))))</f>
        <v/>
      </c>
      <c r="O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IF(D452="Legitimate Interest (GDPR Art. 6(1)(f))", "Yes / Required (Sheet 3)", "")</f>
        <v/>
      </c>
      <c r="L452" s="7" t="n"/>
      <c r="M452" s="7" t="n"/>
      <c r="N452">
        <f>IF(D452="", "Gap - No Legal Basis", IF(AND(D452="Consent (GDPR Art. 6(1)(a))", I452="Not Captured"), "Gap - Invalid Consent", IF(AND(D452="Legitimate Interest (GDPR Art. 6(1)(f))", L452=""), "Gap - Missing LIA", IF(AND(G452="Yes", H452=""), "Gap - Missing Art. 9 Basis", IF(OR(I452="Invalid - Not Freely Given", I452="Invalid - Not Specific", I452="Invalid - Not Informed", I452="Invalid - Ambiguous"), "Gap - Invalid Consent", "Compliant")))))</f>
        <v/>
      </c>
      <c r="O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IF(D453="Legitimate Interest (GDPR Art. 6(1)(f))", "Yes / Required (Sheet 3)", "")</f>
        <v/>
      </c>
      <c r="L453" s="7" t="n"/>
      <c r="M453" s="7" t="n"/>
      <c r="N453">
        <f>IF(D453="", "Gap - No Legal Basis", IF(AND(D453="Consent (GDPR Art. 6(1)(a))", I453="Not Captured"), "Gap - Invalid Consent", IF(AND(D453="Legitimate Interest (GDPR Art. 6(1)(f))", L453=""), "Gap - Missing LIA", IF(AND(G453="Yes", H453=""), "Gap - Missing Art. 9 Basis", IF(OR(I453="Invalid - Not Freely Given", I453="Invalid - Not Specific", I453="Invalid - Not Informed", I453="Invalid - Ambiguous"), "Gap - Invalid Consent", "Compliant")))))</f>
        <v/>
      </c>
      <c r="O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IF(D454="Legitimate Interest (GDPR Art. 6(1)(f))", "Yes / Required (Sheet 3)", "")</f>
        <v/>
      </c>
      <c r="L454" s="7" t="n"/>
      <c r="M454" s="7" t="n"/>
      <c r="N454">
        <f>IF(D454="", "Gap - No Legal Basis", IF(AND(D454="Consent (GDPR Art. 6(1)(a))", I454="Not Captured"), "Gap - Invalid Consent", IF(AND(D454="Legitimate Interest (GDPR Art. 6(1)(f))", L454=""), "Gap - Missing LIA", IF(AND(G454="Yes", H454=""), "Gap - Missing Art. 9 Basis", IF(OR(I454="Invalid - Not Freely Given", I454="Invalid - Not Specific", I454="Invalid - Not Informed", I454="Invalid - Ambiguous"), "Gap - Invalid Consent", "Compliant")))))</f>
        <v/>
      </c>
      <c r="O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IF(D455="Legitimate Interest (GDPR Art. 6(1)(f))", "Yes / Required (Sheet 3)", "")</f>
        <v/>
      </c>
      <c r="L455" s="7" t="n"/>
      <c r="M455" s="7" t="n"/>
      <c r="N455">
        <f>IF(D455="", "Gap - No Legal Basis", IF(AND(D455="Consent (GDPR Art. 6(1)(a))", I455="Not Captured"), "Gap - Invalid Consent", IF(AND(D455="Legitimate Interest (GDPR Art. 6(1)(f))", L455=""), "Gap - Missing LIA", IF(AND(G455="Yes", H455=""), "Gap - Missing Art. 9 Basis", IF(OR(I455="Invalid - Not Freely Given", I455="Invalid - Not Specific", I455="Invalid - Not Informed", I455="Invalid - Ambiguous"), "Gap - Invalid Consent", "Compliant")))))</f>
        <v/>
      </c>
      <c r="O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IF(D456="Legitimate Interest (GDPR Art. 6(1)(f))", "Yes / Required (Sheet 3)", "")</f>
        <v/>
      </c>
      <c r="L456" s="7" t="n"/>
      <c r="M456" s="7" t="n"/>
      <c r="N456">
        <f>IF(D456="", "Gap - No Legal Basis", IF(AND(D456="Consent (GDPR Art. 6(1)(a))", I456="Not Captured"), "Gap - Invalid Consent", IF(AND(D456="Legitimate Interest (GDPR Art. 6(1)(f))", L456=""), "Gap - Missing LIA", IF(AND(G456="Yes", H456=""), "Gap - Missing Art. 9 Basis", IF(OR(I456="Invalid - Not Freely Given", I456="Invalid - Not Specific", I456="Invalid - Not Informed", I456="Invalid - Ambiguous"), "Gap - Invalid Consent", "Compliant")))))</f>
        <v/>
      </c>
      <c r="O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IF(D457="Legitimate Interest (GDPR Art. 6(1)(f))", "Yes / Required (Sheet 3)", "")</f>
        <v/>
      </c>
      <c r="L457" s="7" t="n"/>
      <c r="M457" s="7" t="n"/>
      <c r="N457">
        <f>IF(D457="", "Gap - No Legal Basis", IF(AND(D457="Consent (GDPR Art. 6(1)(a))", I457="Not Captured"), "Gap - Invalid Consent", IF(AND(D457="Legitimate Interest (GDPR Art. 6(1)(f))", L457=""), "Gap - Missing LIA", IF(AND(G457="Yes", H457=""), "Gap - Missing Art. 9 Basis", IF(OR(I457="Invalid - Not Freely Given", I457="Invalid - Not Specific", I457="Invalid - Not Informed", I457="Invalid - Ambiguous"), "Gap - Invalid Consent", "Compliant")))))</f>
        <v/>
      </c>
      <c r="O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IF(D458="Legitimate Interest (GDPR Art. 6(1)(f))", "Yes / Required (Sheet 3)", "")</f>
        <v/>
      </c>
      <c r="L458" s="7" t="n"/>
      <c r="M458" s="7" t="n"/>
      <c r="N458">
        <f>IF(D458="", "Gap - No Legal Basis", IF(AND(D458="Consent (GDPR Art. 6(1)(a))", I458="Not Captured"), "Gap - Invalid Consent", IF(AND(D458="Legitimate Interest (GDPR Art. 6(1)(f))", L458=""), "Gap - Missing LIA", IF(AND(G458="Yes", H458=""), "Gap - Missing Art. 9 Basis", IF(OR(I458="Invalid - Not Freely Given", I458="Invalid - Not Specific", I458="Invalid - Not Informed", I458="Invalid - Ambiguous"), "Gap - Invalid Consent", "Compliant")))))</f>
        <v/>
      </c>
      <c r="O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IF(D459="Legitimate Interest (GDPR Art. 6(1)(f))", "Yes / Required (Sheet 3)", "")</f>
        <v/>
      </c>
      <c r="L459" s="7" t="n"/>
      <c r="M459" s="7" t="n"/>
      <c r="N459">
        <f>IF(D459="", "Gap - No Legal Basis", IF(AND(D459="Consent (GDPR Art. 6(1)(a))", I459="Not Captured"), "Gap - Invalid Consent", IF(AND(D459="Legitimate Interest (GDPR Art. 6(1)(f))", L459=""), "Gap - Missing LIA", IF(AND(G459="Yes", H459=""), "Gap - Missing Art. 9 Basis", IF(OR(I459="Invalid - Not Freely Given", I459="Invalid - Not Specific", I459="Invalid - Not Informed", I459="Invalid - Ambiguous"), "Gap - Invalid Consent", "Compliant")))))</f>
        <v/>
      </c>
      <c r="O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IF(D460="Legitimate Interest (GDPR Art. 6(1)(f))", "Yes / Required (Sheet 3)", "")</f>
        <v/>
      </c>
      <c r="L460" s="7" t="n"/>
      <c r="M460" s="7" t="n"/>
      <c r="N460">
        <f>IF(D460="", "Gap - No Legal Basis", IF(AND(D460="Consent (GDPR Art. 6(1)(a))", I460="Not Captured"), "Gap - Invalid Consent", IF(AND(D460="Legitimate Interest (GDPR Art. 6(1)(f))", L460=""), "Gap - Missing LIA", IF(AND(G460="Yes", H460=""), "Gap - Missing Art. 9 Basis", IF(OR(I460="Invalid - Not Freely Given", I460="Invalid - Not Specific", I460="Invalid - Not Informed", I460="Invalid - Ambiguous"), "Gap - Invalid Consent", "Compliant")))))</f>
        <v/>
      </c>
      <c r="O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IF(D461="Legitimate Interest (GDPR Art. 6(1)(f))", "Yes / Required (Sheet 3)", "")</f>
        <v/>
      </c>
      <c r="L461" s="7" t="n"/>
      <c r="M461" s="7" t="n"/>
      <c r="N461">
        <f>IF(D461="", "Gap - No Legal Basis", IF(AND(D461="Consent (GDPR Art. 6(1)(a))", I461="Not Captured"), "Gap - Invalid Consent", IF(AND(D461="Legitimate Interest (GDPR Art. 6(1)(f))", L461=""), "Gap - Missing LIA", IF(AND(G461="Yes", H461=""), "Gap - Missing Art. 9 Basis", IF(OR(I461="Invalid - Not Freely Given", I461="Invalid - Not Specific", I461="Invalid - Not Informed", I461="Invalid - Ambiguous"), "Gap - Invalid Consent", "Compliant")))))</f>
        <v/>
      </c>
      <c r="O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IF(D462="Legitimate Interest (GDPR Art. 6(1)(f))", "Yes / Required (Sheet 3)", "")</f>
        <v/>
      </c>
      <c r="L462" s="7" t="n"/>
      <c r="M462" s="7" t="n"/>
      <c r="N462">
        <f>IF(D462="", "Gap - No Legal Basis", IF(AND(D462="Consent (GDPR Art. 6(1)(a))", I462="Not Captured"), "Gap - Invalid Consent", IF(AND(D462="Legitimate Interest (GDPR Art. 6(1)(f))", L462=""), "Gap - Missing LIA", IF(AND(G462="Yes", H462=""), "Gap - Missing Art. 9 Basis", IF(OR(I462="Invalid - Not Freely Given", I462="Invalid - Not Specific", I462="Invalid - Not Informed", I462="Invalid - Ambiguous"), "Gap - Invalid Consent", "Compliant")))))</f>
        <v/>
      </c>
      <c r="O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IF(D463="Legitimate Interest (GDPR Art. 6(1)(f))", "Yes / Required (Sheet 3)", "")</f>
        <v/>
      </c>
      <c r="L463" s="7" t="n"/>
      <c r="M463" s="7" t="n"/>
      <c r="N463">
        <f>IF(D463="", "Gap - No Legal Basis", IF(AND(D463="Consent (GDPR Art. 6(1)(a))", I463="Not Captured"), "Gap - Invalid Consent", IF(AND(D463="Legitimate Interest (GDPR Art. 6(1)(f))", L463=""), "Gap - Missing LIA", IF(AND(G463="Yes", H463=""), "Gap - Missing Art. 9 Basis", IF(OR(I463="Invalid - Not Freely Given", I463="Invalid - Not Specific", I463="Invalid - Not Informed", I463="Invalid - Ambiguous"), "Gap - Invalid Consent", "Compliant")))))</f>
        <v/>
      </c>
      <c r="O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IF(D464="Legitimate Interest (GDPR Art. 6(1)(f))", "Yes / Required (Sheet 3)", "")</f>
        <v/>
      </c>
      <c r="L464" s="7" t="n"/>
      <c r="M464" s="7" t="n"/>
      <c r="N464">
        <f>IF(D464="", "Gap - No Legal Basis", IF(AND(D464="Consent (GDPR Art. 6(1)(a))", I464="Not Captured"), "Gap - Invalid Consent", IF(AND(D464="Legitimate Interest (GDPR Art. 6(1)(f))", L464=""), "Gap - Missing LIA", IF(AND(G464="Yes", H464=""), "Gap - Missing Art. 9 Basis", IF(OR(I464="Invalid - Not Freely Given", I464="Invalid - Not Specific", I464="Invalid - Not Informed", I464="Invalid - Ambiguous"), "Gap - Invalid Consent", "Compliant")))))</f>
        <v/>
      </c>
      <c r="O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IF(D465="Legitimate Interest (GDPR Art. 6(1)(f))", "Yes / Required (Sheet 3)", "")</f>
        <v/>
      </c>
      <c r="L465" s="7" t="n"/>
      <c r="M465" s="7" t="n"/>
      <c r="N465">
        <f>IF(D465="", "Gap - No Legal Basis", IF(AND(D465="Consent (GDPR Art. 6(1)(a))", I465="Not Captured"), "Gap - Invalid Consent", IF(AND(D465="Legitimate Interest (GDPR Art. 6(1)(f))", L465=""), "Gap - Missing LIA", IF(AND(G465="Yes", H465=""), "Gap - Missing Art. 9 Basis", IF(OR(I465="Invalid - Not Freely Given", I465="Invalid - Not Specific", I465="Invalid - Not Informed", I465="Invalid - Ambiguous"), "Gap - Invalid Consent", "Compliant")))))</f>
        <v/>
      </c>
      <c r="O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IF(D466="Legitimate Interest (GDPR Art. 6(1)(f))", "Yes / Required (Sheet 3)", "")</f>
        <v/>
      </c>
      <c r="L466" s="7" t="n"/>
      <c r="M466" s="7" t="n"/>
      <c r="N466">
        <f>IF(D466="", "Gap - No Legal Basis", IF(AND(D466="Consent (GDPR Art. 6(1)(a))", I466="Not Captured"), "Gap - Invalid Consent", IF(AND(D466="Legitimate Interest (GDPR Art. 6(1)(f))", L466=""), "Gap - Missing LIA", IF(AND(G466="Yes", H466=""), "Gap - Missing Art. 9 Basis", IF(OR(I466="Invalid - Not Freely Given", I466="Invalid - Not Specific", I466="Invalid - Not Informed", I466="Invalid - Ambiguous"), "Gap - Invalid Consent", "Compliant")))))</f>
        <v/>
      </c>
      <c r="O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IF(D467="Legitimate Interest (GDPR Art. 6(1)(f))", "Yes / Required (Sheet 3)", "")</f>
        <v/>
      </c>
      <c r="L467" s="7" t="n"/>
      <c r="M467" s="7" t="n"/>
      <c r="N467">
        <f>IF(D467="", "Gap - No Legal Basis", IF(AND(D467="Consent (GDPR Art. 6(1)(a))", I467="Not Captured"), "Gap - Invalid Consent", IF(AND(D467="Legitimate Interest (GDPR Art. 6(1)(f))", L467=""), "Gap - Missing LIA", IF(AND(G467="Yes", H467=""), "Gap - Missing Art. 9 Basis", IF(OR(I467="Invalid - Not Freely Given", I467="Invalid - Not Specific", I467="Invalid - Not Informed", I467="Invalid - Ambiguous"), "Gap - Invalid Consent", "Compliant")))))</f>
        <v/>
      </c>
      <c r="O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IF(D468="Legitimate Interest (GDPR Art. 6(1)(f))", "Yes / Required (Sheet 3)", "")</f>
        <v/>
      </c>
      <c r="L468" s="7" t="n"/>
      <c r="M468" s="7" t="n"/>
      <c r="N468">
        <f>IF(D468="", "Gap - No Legal Basis", IF(AND(D468="Consent (GDPR Art. 6(1)(a))", I468="Not Captured"), "Gap - Invalid Consent", IF(AND(D468="Legitimate Interest (GDPR Art. 6(1)(f))", L468=""), "Gap - Missing LIA", IF(AND(G468="Yes", H468=""), "Gap - Missing Art. 9 Basis", IF(OR(I468="Invalid - Not Freely Given", I468="Invalid - Not Specific", I468="Invalid - Not Informed", I468="Invalid - Ambiguous"), "Gap - Invalid Consent", "Compliant")))))</f>
        <v/>
      </c>
      <c r="O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IF(D469="Legitimate Interest (GDPR Art. 6(1)(f))", "Yes / Required (Sheet 3)", "")</f>
        <v/>
      </c>
      <c r="L469" s="7" t="n"/>
      <c r="M469" s="7" t="n"/>
      <c r="N469">
        <f>IF(D469="", "Gap - No Legal Basis", IF(AND(D469="Consent (GDPR Art. 6(1)(a))", I469="Not Captured"), "Gap - Invalid Consent", IF(AND(D469="Legitimate Interest (GDPR Art. 6(1)(f))", L469=""), "Gap - Missing LIA", IF(AND(G469="Yes", H469=""), "Gap - Missing Art. 9 Basis", IF(OR(I469="Invalid - Not Freely Given", I469="Invalid - Not Specific", I469="Invalid - Not Informed", I469="Invalid - Ambiguous"), "Gap - Invalid Consent", "Compliant")))))</f>
        <v/>
      </c>
      <c r="O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IF(D470="Legitimate Interest (GDPR Art. 6(1)(f))", "Yes / Required (Sheet 3)", "")</f>
        <v/>
      </c>
      <c r="L470" s="7" t="n"/>
      <c r="M470" s="7" t="n"/>
      <c r="N470">
        <f>IF(D470="", "Gap - No Legal Basis", IF(AND(D470="Consent (GDPR Art. 6(1)(a))", I470="Not Captured"), "Gap - Invalid Consent", IF(AND(D470="Legitimate Interest (GDPR Art. 6(1)(f))", L470=""), "Gap - Missing LIA", IF(AND(G470="Yes", H470=""), "Gap - Missing Art. 9 Basis", IF(OR(I470="Invalid - Not Freely Given", I470="Invalid - Not Specific", I470="Invalid - Not Informed", I470="Invalid - Ambiguous"), "Gap - Invalid Consent", "Compliant")))))</f>
        <v/>
      </c>
      <c r="O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IF(D471="Legitimate Interest (GDPR Art. 6(1)(f))", "Yes / Required (Sheet 3)", "")</f>
        <v/>
      </c>
      <c r="L471" s="7" t="n"/>
      <c r="M471" s="7" t="n"/>
      <c r="N471">
        <f>IF(D471="", "Gap - No Legal Basis", IF(AND(D471="Consent (GDPR Art. 6(1)(a))", I471="Not Captured"), "Gap - Invalid Consent", IF(AND(D471="Legitimate Interest (GDPR Art. 6(1)(f))", L471=""), "Gap - Missing LIA", IF(AND(G471="Yes", H471=""), "Gap - Missing Art. 9 Basis", IF(OR(I471="Invalid - Not Freely Given", I471="Invalid - Not Specific", I471="Invalid - Not Informed", I471="Invalid - Ambiguous"), "Gap - Invalid Consent", "Compliant")))))</f>
        <v/>
      </c>
      <c r="O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IF(D472="Legitimate Interest (GDPR Art. 6(1)(f))", "Yes / Required (Sheet 3)", "")</f>
        <v/>
      </c>
      <c r="L472" s="7" t="n"/>
      <c r="M472" s="7" t="n"/>
      <c r="N472">
        <f>IF(D472="", "Gap - No Legal Basis", IF(AND(D472="Consent (GDPR Art. 6(1)(a))", I472="Not Captured"), "Gap - Invalid Consent", IF(AND(D472="Legitimate Interest (GDPR Art. 6(1)(f))", L472=""), "Gap - Missing LIA", IF(AND(G472="Yes", H472=""), "Gap - Missing Art. 9 Basis", IF(OR(I472="Invalid - Not Freely Given", I472="Invalid - Not Specific", I472="Invalid - Not Informed", I472="Invalid - Ambiguous"), "Gap - Invalid Consent", "Compliant")))))</f>
        <v/>
      </c>
      <c r="O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IF(D473="Legitimate Interest (GDPR Art. 6(1)(f))", "Yes / Required (Sheet 3)", "")</f>
        <v/>
      </c>
      <c r="L473" s="7" t="n"/>
      <c r="M473" s="7" t="n"/>
      <c r="N473">
        <f>IF(D473="", "Gap - No Legal Basis", IF(AND(D473="Consent (GDPR Art. 6(1)(a))", I473="Not Captured"), "Gap - Invalid Consent", IF(AND(D473="Legitimate Interest (GDPR Art. 6(1)(f))", L473=""), "Gap - Missing LIA", IF(AND(G473="Yes", H473=""), "Gap - Missing Art. 9 Basis", IF(OR(I473="Invalid - Not Freely Given", I473="Invalid - Not Specific", I473="Invalid - Not Informed", I473="Invalid - Ambiguous"), "Gap - Invalid Consent", "Compliant")))))</f>
        <v/>
      </c>
      <c r="O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IF(D474="Legitimate Interest (GDPR Art. 6(1)(f))", "Yes / Required (Sheet 3)", "")</f>
        <v/>
      </c>
      <c r="L474" s="7" t="n"/>
      <c r="M474" s="7" t="n"/>
      <c r="N474">
        <f>IF(D474="", "Gap - No Legal Basis", IF(AND(D474="Consent (GDPR Art. 6(1)(a))", I474="Not Captured"), "Gap - Invalid Consent", IF(AND(D474="Legitimate Interest (GDPR Art. 6(1)(f))", L474=""), "Gap - Missing LIA", IF(AND(G474="Yes", H474=""), "Gap - Missing Art. 9 Basis", IF(OR(I474="Invalid - Not Freely Given", I474="Invalid - Not Specific", I474="Invalid - Not Informed", I474="Invalid - Ambiguous"), "Gap - Invalid Consent", "Compliant")))))</f>
        <v/>
      </c>
      <c r="O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IF(D475="Legitimate Interest (GDPR Art. 6(1)(f))", "Yes / Required (Sheet 3)", "")</f>
        <v/>
      </c>
      <c r="L475" s="7" t="n"/>
      <c r="M475" s="7" t="n"/>
      <c r="N475">
        <f>IF(D475="", "Gap - No Legal Basis", IF(AND(D475="Consent (GDPR Art. 6(1)(a))", I475="Not Captured"), "Gap - Invalid Consent", IF(AND(D475="Legitimate Interest (GDPR Art. 6(1)(f))", L475=""), "Gap - Missing LIA", IF(AND(G475="Yes", H475=""), "Gap - Missing Art. 9 Basis", IF(OR(I475="Invalid - Not Freely Given", I475="Invalid - Not Specific", I475="Invalid - Not Informed", I475="Invalid - Ambiguous"), "Gap - Invalid Consent", "Compliant")))))</f>
        <v/>
      </c>
      <c r="O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IF(D476="Legitimate Interest (GDPR Art. 6(1)(f))", "Yes / Required (Sheet 3)", "")</f>
        <v/>
      </c>
      <c r="L476" s="7" t="n"/>
      <c r="M476" s="7" t="n"/>
      <c r="N476">
        <f>IF(D476="", "Gap - No Legal Basis", IF(AND(D476="Consent (GDPR Art. 6(1)(a))", I476="Not Captured"), "Gap - Invalid Consent", IF(AND(D476="Legitimate Interest (GDPR Art. 6(1)(f))", L476=""), "Gap - Missing LIA", IF(AND(G476="Yes", H476=""), "Gap - Missing Art. 9 Basis", IF(OR(I476="Invalid - Not Freely Given", I476="Invalid - Not Specific", I476="Invalid - Not Informed", I476="Invalid - Ambiguous"), "Gap - Invalid Consent", "Compliant")))))</f>
        <v/>
      </c>
      <c r="O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IF(D477="Legitimate Interest (GDPR Art. 6(1)(f))", "Yes / Required (Sheet 3)", "")</f>
        <v/>
      </c>
      <c r="L477" s="7" t="n"/>
      <c r="M477" s="7" t="n"/>
      <c r="N477">
        <f>IF(D477="", "Gap - No Legal Basis", IF(AND(D477="Consent (GDPR Art. 6(1)(a))", I477="Not Captured"), "Gap - Invalid Consent", IF(AND(D477="Legitimate Interest (GDPR Art. 6(1)(f))", L477=""), "Gap - Missing LIA", IF(AND(G477="Yes", H477=""), "Gap - Missing Art. 9 Basis", IF(OR(I477="Invalid - Not Freely Given", I477="Invalid - Not Specific", I477="Invalid - Not Informed", I477="Invalid - Ambiguous"), "Gap - Invalid Consent", "Compliant")))))</f>
        <v/>
      </c>
      <c r="O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IF(D478="Legitimate Interest (GDPR Art. 6(1)(f))", "Yes / Required (Sheet 3)", "")</f>
        <v/>
      </c>
      <c r="L478" s="7" t="n"/>
      <c r="M478" s="7" t="n"/>
      <c r="N478">
        <f>IF(D478="", "Gap - No Legal Basis", IF(AND(D478="Consent (GDPR Art. 6(1)(a))", I478="Not Captured"), "Gap - Invalid Consent", IF(AND(D478="Legitimate Interest (GDPR Art. 6(1)(f))", L478=""), "Gap - Missing LIA", IF(AND(G478="Yes", H478=""), "Gap - Missing Art. 9 Basis", IF(OR(I478="Invalid - Not Freely Given", I478="Invalid - Not Specific", I478="Invalid - Not Informed", I478="Invalid - Ambiguous"), "Gap - Invalid Consent", "Compliant")))))</f>
        <v/>
      </c>
      <c r="O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IF(D479="Legitimate Interest (GDPR Art. 6(1)(f))", "Yes / Required (Sheet 3)", "")</f>
        <v/>
      </c>
      <c r="L479" s="7" t="n"/>
      <c r="M479" s="7" t="n"/>
      <c r="N479">
        <f>IF(D479="", "Gap - No Legal Basis", IF(AND(D479="Consent (GDPR Art. 6(1)(a))", I479="Not Captured"), "Gap - Invalid Consent", IF(AND(D479="Legitimate Interest (GDPR Art. 6(1)(f))", L479=""), "Gap - Missing LIA", IF(AND(G479="Yes", H479=""), "Gap - Missing Art. 9 Basis", IF(OR(I479="Invalid - Not Freely Given", I479="Invalid - Not Specific", I479="Invalid - Not Informed", I479="Invalid - Ambiguous"), "Gap - Invalid Consent", "Compliant")))))</f>
        <v/>
      </c>
      <c r="O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IF(D480="Legitimate Interest (GDPR Art. 6(1)(f))", "Yes / Required (Sheet 3)", "")</f>
        <v/>
      </c>
      <c r="L480" s="7" t="n"/>
      <c r="M480" s="7" t="n"/>
      <c r="N480">
        <f>IF(D480="", "Gap - No Legal Basis", IF(AND(D480="Consent (GDPR Art. 6(1)(a))", I480="Not Captured"), "Gap - Invalid Consent", IF(AND(D480="Legitimate Interest (GDPR Art. 6(1)(f))", L480=""), "Gap - Missing LIA", IF(AND(G480="Yes", H480=""), "Gap - Missing Art. 9 Basis", IF(OR(I480="Invalid - Not Freely Given", I480="Invalid - Not Specific", I480="Invalid - Not Informed", I480="Invalid - Ambiguous"), "Gap - Invalid Consent", "Compliant")))))</f>
        <v/>
      </c>
      <c r="O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IF(D481="Legitimate Interest (GDPR Art. 6(1)(f))", "Yes / Required (Sheet 3)", "")</f>
        <v/>
      </c>
      <c r="L481" s="7" t="n"/>
      <c r="M481" s="7" t="n"/>
      <c r="N481">
        <f>IF(D481="", "Gap - No Legal Basis", IF(AND(D481="Consent (GDPR Art. 6(1)(a))", I481="Not Captured"), "Gap - Invalid Consent", IF(AND(D481="Legitimate Interest (GDPR Art. 6(1)(f))", L481=""), "Gap - Missing LIA", IF(AND(G481="Yes", H481=""), "Gap - Missing Art. 9 Basis", IF(OR(I481="Invalid - Not Freely Given", I481="Invalid - Not Specific", I481="Invalid - Not Informed", I481="Invalid - Ambiguous"), "Gap - Invalid Consent", "Compliant")))))</f>
        <v/>
      </c>
      <c r="O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IF(D482="Legitimate Interest (GDPR Art. 6(1)(f))", "Yes / Required (Sheet 3)", "")</f>
        <v/>
      </c>
      <c r="L482" s="7" t="n"/>
      <c r="M482" s="7" t="n"/>
      <c r="N482">
        <f>IF(D482="", "Gap - No Legal Basis", IF(AND(D482="Consent (GDPR Art. 6(1)(a))", I482="Not Captured"), "Gap - Invalid Consent", IF(AND(D482="Legitimate Interest (GDPR Art. 6(1)(f))", L482=""), "Gap - Missing LIA", IF(AND(G482="Yes", H482=""), "Gap - Missing Art. 9 Basis", IF(OR(I482="Invalid - Not Freely Given", I482="Invalid - Not Specific", I482="Invalid - Not Informed", I482="Invalid - Ambiguous"), "Gap - Invalid Consent", "Compliant")))))</f>
        <v/>
      </c>
      <c r="O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IF(D483="Legitimate Interest (GDPR Art. 6(1)(f))", "Yes / Required (Sheet 3)", "")</f>
        <v/>
      </c>
      <c r="L483" s="7" t="n"/>
      <c r="M483" s="7" t="n"/>
      <c r="N483">
        <f>IF(D483="", "Gap - No Legal Basis", IF(AND(D483="Consent (GDPR Art. 6(1)(a))", I483="Not Captured"), "Gap - Invalid Consent", IF(AND(D483="Legitimate Interest (GDPR Art. 6(1)(f))", L483=""), "Gap - Missing LIA", IF(AND(G483="Yes", H483=""), "Gap - Missing Art. 9 Basis", IF(OR(I483="Invalid - Not Freely Given", I483="Invalid - Not Specific", I483="Invalid - Not Informed", I483="Invalid - Ambiguous"), "Gap - Invalid Consent", "Compliant")))))</f>
        <v/>
      </c>
      <c r="O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IF(D484="Legitimate Interest (GDPR Art. 6(1)(f))", "Yes / Required (Sheet 3)", "")</f>
        <v/>
      </c>
      <c r="L484" s="7" t="n"/>
      <c r="M484" s="7" t="n"/>
      <c r="N484">
        <f>IF(D484="", "Gap - No Legal Basis", IF(AND(D484="Consent (GDPR Art. 6(1)(a))", I484="Not Captured"), "Gap - Invalid Consent", IF(AND(D484="Legitimate Interest (GDPR Art. 6(1)(f))", L484=""), "Gap - Missing LIA", IF(AND(G484="Yes", H484=""), "Gap - Missing Art. 9 Basis", IF(OR(I484="Invalid - Not Freely Given", I484="Invalid - Not Specific", I484="Invalid - Not Informed", I484="Invalid - Ambiguous"), "Gap - Invalid Consent", "Compliant")))))</f>
        <v/>
      </c>
      <c r="O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IF(D485="Legitimate Interest (GDPR Art. 6(1)(f))", "Yes / Required (Sheet 3)", "")</f>
        <v/>
      </c>
      <c r="L485" s="7" t="n"/>
      <c r="M485" s="7" t="n"/>
      <c r="N485">
        <f>IF(D485="", "Gap - No Legal Basis", IF(AND(D485="Consent (GDPR Art. 6(1)(a))", I485="Not Captured"), "Gap - Invalid Consent", IF(AND(D485="Legitimate Interest (GDPR Art. 6(1)(f))", L485=""), "Gap - Missing LIA", IF(AND(G485="Yes", H485=""), "Gap - Missing Art. 9 Basis", IF(OR(I485="Invalid - Not Freely Given", I485="Invalid - Not Specific", I485="Invalid - Not Informed", I485="Invalid - Ambiguous"), "Gap - Invalid Consent", "Compliant")))))</f>
        <v/>
      </c>
      <c r="O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IF(D486="Legitimate Interest (GDPR Art. 6(1)(f))", "Yes / Required (Sheet 3)", "")</f>
        <v/>
      </c>
      <c r="L486" s="7" t="n"/>
      <c r="M486" s="7" t="n"/>
      <c r="N486">
        <f>IF(D486="", "Gap - No Legal Basis", IF(AND(D486="Consent (GDPR Art. 6(1)(a))", I486="Not Captured"), "Gap - Invalid Consent", IF(AND(D486="Legitimate Interest (GDPR Art. 6(1)(f))", L486=""), "Gap - Missing LIA", IF(AND(G486="Yes", H486=""), "Gap - Missing Art. 9 Basis", IF(OR(I486="Invalid - Not Freely Given", I486="Invalid - Not Specific", I486="Invalid - Not Informed", I486="Invalid - Ambiguous"), "Gap - Invalid Consent", "Compliant")))))</f>
        <v/>
      </c>
      <c r="O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IF(D487="Legitimate Interest (GDPR Art. 6(1)(f))", "Yes / Required (Sheet 3)", "")</f>
        <v/>
      </c>
      <c r="L487" s="7" t="n"/>
      <c r="M487" s="7" t="n"/>
      <c r="N487">
        <f>IF(D487="", "Gap - No Legal Basis", IF(AND(D487="Consent (GDPR Art. 6(1)(a))", I487="Not Captured"), "Gap - Invalid Consent", IF(AND(D487="Legitimate Interest (GDPR Art. 6(1)(f))", L487=""), "Gap - Missing LIA", IF(AND(G487="Yes", H487=""), "Gap - Missing Art. 9 Basis", IF(OR(I487="Invalid - Not Freely Given", I487="Invalid - Not Specific", I487="Invalid - Not Informed", I487="Invalid - Ambiguous"), "Gap - Invalid Consent", "Compliant")))))</f>
        <v/>
      </c>
      <c r="O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IF(D488="Legitimate Interest (GDPR Art. 6(1)(f))", "Yes / Required (Sheet 3)", "")</f>
        <v/>
      </c>
      <c r="L488" s="7" t="n"/>
      <c r="M488" s="7" t="n"/>
      <c r="N488">
        <f>IF(D488="", "Gap - No Legal Basis", IF(AND(D488="Consent (GDPR Art. 6(1)(a))", I488="Not Captured"), "Gap - Invalid Consent", IF(AND(D488="Legitimate Interest (GDPR Art. 6(1)(f))", L488=""), "Gap - Missing LIA", IF(AND(G488="Yes", H488=""), "Gap - Missing Art. 9 Basis", IF(OR(I488="Invalid - Not Freely Given", I488="Invalid - Not Specific", I488="Invalid - Not Informed", I488="Invalid - Ambiguous"), "Gap - Invalid Consent", "Compliant")))))</f>
        <v/>
      </c>
      <c r="O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IF(D489="Legitimate Interest (GDPR Art. 6(1)(f))", "Yes / Required (Sheet 3)", "")</f>
        <v/>
      </c>
      <c r="L489" s="7" t="n"/>
      <c r="M489" s="7" t="n"/>
      <c r="N489">
        <f>IF(D489="", "Gap - No Legal Basis", IF(AND(D489="Consent (GDPR Art. 6(1)(a))", I489="Not Captured"), "Gap - Invalid Consent", IF(AND(D489="Legitimate Interest (GDPR Art. 6(1)(f))", L489=""), "Gap - Missing LIA", IF(AND(G489="Yes", H489=""), "Gap - Missing Art. 9 Basis", IF(OR(I489="Invalid - Not Freely Given", I489="Invalid - Not Specific", I489="Invalid - Not Informed", I489="Invalid - Ambiguous"), "Gap - Invalid Consent", "Compliant")))))</f>
        <v/>
      </c>
      <c r="O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IF(D490="Legitimate Interest (GDPR Art. 6(1)(f))", "Yes / Required (Sheet 3)", "")</f>
        <v/>
      </c>
      <c r="L490" s="7" t="n"/>
      <c r="M490" s="7" t="n"/>
      <c r="N490">
        <f>IF(D490="", "Gap - No Legal Basis", IF(AND(D490="Consent (GDPR Art. 6(1)(a))", I490="Not Captured"), "Gap - Invalid Consent", IF(AND(D490="Legitimate Interest (GDPR Art. 6(1)(f))", L490=""), "Gap - Missing LIA", IF(AND(G490="Yes", H490=""), "Gap - Missing Art. 9 Basis", IF(OR(I490="Invalid - Not Freely Given", I490="Invalid - Not Specific", I490="Invalid - Not Informed", I490="Invalid - Ambiguous"), "Gap - Invalid Consent", "Compliant")))))</f>
        <v/>
      </c>
      <c r="O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IF(D491="Legitimate Interest (GDPR Art. 6(1)(f))", "Yes / Required (Sheet 3)", "")</f>
        <v/>
      </c>
      <c r="L491" s="7" t="n"/>
      <c r="M491" s="7" t="n"/>
      <c r="N491">
        <f>IF(D491="", "Gap - No Legal Basis", IF(AND(D491="Consent (GDPR Art. 6(1)(a))", I491="Not Captured"), "Gap - Invalid Consent", IF(AND(D491="Legitimate Interest (GDPR Art. 6(1)(f))", L491=""), "Gap - Missing LIA", IF(AND(G491="Yes", H491=""), "Gap - Missing Art. 9 Basis", IF(OR(I491="Invalid - Not Freely Given", I491="Invalid - Not Specific", I491="Invalid - Not Informed", I491="Invalid - Ambiguous"), "Gap - Invalid Consent", "Compliant")))))</f>
        <v/>
      </c>
      <c r="O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IF(D492="Legitimate Interest (GDPR Art. 6(1)(f))", "Yes / Required (Sheet 3)", "")</f>
        <v/>
      </c>
      <c r="L492" s="7" t="n"/>
      <c r="M492" s="7" t="n"/>
      <c r="N492">
        <f>IF(D492="", "Gap - No Legal Basis", IF(AND(D492="Consent (GDPR Art. 6(1)(a))", I492="Not Captured"), "Gap - Invalid Consent", IF(AND(D492="Legitimate Interest (GDPR Art. 6(1)(f))", L492=""), "Gap - Missing LIA", IF(AND(G492="Yes", H492=""), "Gap - Missing Art. 9 Basis", IF(OR(I492="Invalid - Not Freely Given", I492="Invalid - Not Specific", I492="Invalid - Not Informed", I492="Invalid - Ambiguous"), "Gap - Invalid Consent", "Compliant")))))</f>
        <v/>
      </c>
      <c r="O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IF(D493="Legitimate Interest (GDPR Art. 6(1)(f))", "Yes / Required (Sheet 3)", "")</f>
        <v/>
      </c>
      <c r="L493" s="7" t="n"/>
      <c r="M493" s="7" t="n"/>
      <c r="N493">
        <f>IF(D493="", "Gap - No Legal Basis", IF(AND(D493="Consent (GDPR Art. 6(1)(a))", I493="Not Captured"), "Gap - Invalid Consent", IF(AND(D493="Legitimate Interest (GDPR Art. 6(1)(f))", L493=""), "Gap - Missing LIA", IF(AND(G493="Yes", H493=""), "Gap - Missing Art. 9 Basis", IF(OR(I493="Invalid - Not Freely Given", I493="Invalid - Not Specific", I493="Invalid - Not Informed", I493="Invalid - Ambiguous"), "Gap - Invalid Consent", "Compliant")))))</f>
        <v/>
      </c>
      <c r="O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IF(D494="Legitimate Interest (GDPR Art. 6(1)(f))", "Yes / Required (Sheet 3)", "")</f>
        <v/>
      </c>
      <c r="L494" s="7" t="n"/>
      <c r="M494" s="7" t="n"/>
      <c r="N494">
        <f>IF(D494="", "Gap - No Legal Basis", IF(AND(D494="Consent (GDPR Art. 6(1)(a))", I494="Not Captured"), "Gap - Invalid Consent", IF(AND(D494="Legitimate Interest (GDPR Art. 6(1)(f))", L494=""), "Gap - Missing LIA", IF(AND(G494="Yes", H494=""), "Gap - Missing Art. 9 Basis", IF(OR(I494="Invalid - Not Freely Given", I494="Invalid - Not Specific", I494="Invalid - Not Informed", I494="Invalid - Ambiguous"), "Gap - Invalid Consent", "Compliant")))))</f>
        <v/>
      </c>
      <c r="O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IF(D495="Legitimate Interest (GDPR Art. 6(1)(f))", "Yes / Required (Sheet 3)", "")</f>
        <v/>
      </c>
      <c r="L495" s="7" t="n"/>
      <c r="M495" s="7" t="n"/>
      <c r="N495">
        <f>IF(D495="", "Gap - No Legal Basis", IF(AND(D495="Consent (GDPR Art. 6(1)(a))", I495="Not Captured"), "Gap - Invalid Consent", IF(AND(D495="Legitimate Interest (GDPR Art. 6(1)(f))", L495=""), "Gap - Missing LIA", IF(AND(G495="Yes", H495=""), "Gap - Missing Art. 9 Basis", IF(OR(I495="Invalid - Not Freely Given", I495="Invalid - Not Specific", I495="Invalid - Not Informed", I495="Invalid - Ambiguous"), "Gap - Invalid Consent", "Compliant")))))</f>
        <v/>
      </c>
      <c r="O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IF(D496="Legitimate Interest (GDPR Art. 6(1)(f))", "Yes / Required (Sheet 3)", "")</f>
        <v/>
      </c>
      <c r="L496" s="7" t="n"/>
      <c r="M496" s="7" t="n"/>
      <c r="N496">
        <f>IF(D496="", "Gap - No Legal Basis", IF(AND(D496="Consent (GDPR Art. 6(1)(a))", I496="Not Captured"), "Gap - Invalid Consent", IF(AND(D496="Legitimate Interest (GDPR Art. 6(1)(f))", L496=""), "Gap - Missing LIA", IF(AND(G496="Yes", H496=""), "Gap - Missing Art. 9 Basis", IF(OR(I496="Invalid - Not Freely Given", I496="Invalid - Not Specific", I496="Invalid - Not Informed", I496="Invalid - Ambiguous"), "Gap - Invalid Consent", "Compliant")))))</f>
        <v/>
      </c>
      <c r="O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IF(D497="Legitimate Interest (GDPR Art. 6(1)(f))", "Yes / Required (Sheet 3)", "")</f>
        <v/>
      </c>
      <c r="L497" s="7" t="n"/>
      <c r="M497" s="7" t="n"/>
      <c r="N497">
        <f>IF(D497="", "Gap - No Legal Basis", IF(AND(D497="Consent (GDPR Art. 6(1)(a))", I497="Not Captured"), "Gap - Invalid Consent", IF(AND(D497="Legitimate Interest (GDPR Art. 6(1)(f))", L497=""), "Gap - Missing LIA", IF(AND(G497="Yes", H497=""), "Gap - Missing Art. 9 Basis", IF(OR(I497="Invalid - Not Freely Given", I497="Invalid - Not Specific", I497="Invalid - Not Informed", I497="Invalid - Ambiguous"), "Gap - Invalid Consent", "Compliant")))))</f>
        <v/>
      </c>
      <c r="O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IF(D498="Legitimate Interest (GDPR Art. 6(1)(f))", "Yes / Required (Sheet 3)", "")</f>
        <v/>
      </c>
      <c r="L498" s="7" t="n"/>
      <c r="M498" s="7" t="n"/>
      <c r="N498">
        <f>IF(D498="", "Gap - No Legal Basis", IF(AND(D498="Consent (GDPR Art. 6(1)(a))", I498="Not Captured"), "Gap - Invalid Consent", IF(AND(D498="Legitimate Interest (GDPR Art. 6(1)(f))", L498=""), "Gap - Missing LIA", IF(AND(G498="Yes", H498=""), "Gap - Missing Art. 9 Basis", IF(OR(I498="Invalid - Not Freely Given", I498="Invalid - Not Specific", I498="Invalid - Not Informed", I498="Invalid - Ambiguous"), "Gap - Invalid Consent", "Compliant")))))</f>
        <v/>
      </c>
      <c r="O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IF(D499="Legitimate Interest (GDPR Art. 6(1)(f))", "Yes / Required (Sheet 3)", "")</f>
        <v/>
      </c>
      <c r="L499" s="7" t="n"/>
      <c r="M499" s="7" t="n"/>
      <c r="N499">
        <f>IF(D499="", "Gap - No Legal Basis", IF(AND(D499="Consent (GDPR Art. 6(1)(a))", I499="Not Captured"), "Gap - Invalid Consent", IF(AND(D499="Legitimate Interest (GDPR Art. 6(1)(f))", L499=""), "Gap - Missing LIA", IF(AND(G499="Yes", H499=""), "Gap - Missing Art. 9 Basis", IF(OR(I499="Invalid - Not Freely Given", I499="Invalid - Not Specific", I499="Invalid - Not Informed", I499="Invalid - Ambiguous"), "Gap - Invalid Consent", "Compliant")))))</f>
        <v/>
      </c>
      <c r="O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IF(D500="Legitimate Interest (GDPR Art. 6(1)(f))", "Yes / Required (Sheet 3)", "")</f>
        <v/>
      </c>
      <c r="L500" s="7" t="n"/>
      <c r="M500" s="7" t="n"/>
      <c r="N500">
        <f>IF(D500="", "Gap - No Legal Basis", IF(AND(D500="Consent (GDPR Art. 6(1)(a))", I500="Not Captured"), "Gap - Invalid Consent", IF(AND(D500="Legitimate Interest (GDPR Art. 6(1)(f))", L500=""), "Gap - Missing LIA", IF(AND(G500="Yes", H500=""), "Gap - Missing Art. 9 Basis", IF(OR(I500="Invalid - Not Freely Given", I500="Invalid - Not Specific", I500="Invalid - Not Informed", I500="Invalid - Ambiguous"), "Gap - Invalid Consent", "Compliant")))))</f>
        <v/>
      </c>
      <c r="O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IF(D501="Legitimate Interest (GDPR Art. 6(1)(f))", "Yes / Required (Sheet 3)", "")</f>
        <v/>
      </c>
      <c r="L501" s="7" t="n"/>
      <c r="M501" s="7" t="n"/>
      <c r="N501">
        <f>IF(D501="", "Gap - No Legal Basis", IF(AND(D501="Consent (GDPR Art. 6(1)(a))", I501="Not Captured"), "Gap - Invalid Consent", IF(AND(D501="Legitimate Interest (GDPR Art. 6(1)(f))", L501=""), "Gap - Missing LIA", IF(AND(G501="Yes", H501=""), "Gap - Missing Art. 9 Basis", IF(OR(I501="Invalid - Not Freely Given", I501="Invalid - Not Specific", I501="Invalid - Not Informed", I501="Invalid - Ambiguous"), "Gap - Invalid Consent", "Compliant")))))</f>
        <v/>
      </c>
      <c r="O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IF(D502="Legitimate Interest (GDPR Art. 6(1)(f))", "Yes / Required (Sheet 3)", "")</f>
        <v/>
      </c>
      <c r="L502" s="7" t="n"/>
      <c r="M502" s="7" t="n"/>
      <c r="N502">
        <f>IF(D502="", "Gap - No Legal Basis", IF(AND(D502="Consent (GDPR Art. 6(1)(a))", I502="Not Captured"), "Gap - Invalid Consent", IF(AND(D502="Legitimate Interest (GDPR Art. 6(1)(f))", L502=""), "Gap - Missing LIA", IF(AND(G502="Yes", H502=""), "Gap - Missing Art. 9 Basis", IF(OR(I502="Invalid - Not Freely Given", I502="Invalid - Not Specific", I502="Invalid - Not Informed", I502="Invalid - Ambiguous"), "Gap - Invalid Consent", "Compliant")))))</f>
        <v/>
      </c>
      <c r="O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IF(D503="Legitimate Interest (GDPR Art. 6(1)(f))", "Yes / Required (Sheet 3)", "")</f>
        <v/>
      </c>
      <c r="L503" s="7" t="n"/>
      <c r="M503" s="7" t="n"/>
      <c r="N503">
        <f>IF(D503="", "Gap - No Legal Basis", IF(AND(D503="Consent (GDPR Art. 6(1)(a))", I503="Not Captured"), "Gap - Invalid Consent", IF(AND(D503="Legitimate Interest (GDPR Art. 6(1)(f))", L503=""), "Gap - Missing LIA", IF(AND(G503="Yes", H503=""), "Gap - Missing Art. 9 Basis", IF(OR(I503="Invalid - Not Freely Given", I503="Invalid - Not Specific", I503="Invalid - Not Informed", I503="Invalid - Ambiguous"), "Gap - Invalid Consent", "Compliant")))))</f>
        <v/>
      </c>
      <c r="O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IF(D504="Legitimate Interest (GDPR Art. 6(1)(f))", "Yes / Required (Sheet 3)", "")</f>
        <v/>
      </c>
      <c r="L504" s="7" t="n"/>
      <c r="M504" s="7" t="n"/>
      <c r="N504">
        <f>IF(D504="", "Gap - No Legal Basis", IF(AND(D504="Consent (GDPR Art. 6(1)(a))", I504="Not Captured"), "Gap - Invalid Consent", IF(AND(D504="Legitimate Interest (GDPR Art. 6(1)(f))", L504=""), "Gap - Missing LIA", IF(AND(G504="Yes", H504=""), "Gap - Missing Art. 9 Basis", IF(OR(I504="Invalid - Not Freely Given", I504="Invalid - Not Specific", I504="Invalid - Not Informed", I504="Invalid - Ambiguous"), "Gap - Invalid Consent", "Compliant")))))</f>
        <v/>
      </c>
      <c r="O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IF(D505="Legitimate Interest (GDPR Art. 6(1)(f))", "Yes / Required (Sheet 3)", "")</f>
        <v/>
      </c>
      <c r="L505" s="7" t="n"/>
      <c r="M505" s="7" t="n"/>
      <c r="N505">
        <f>IF(D505="", "Gap - No Legal Basis", IF(AND(D505="Consent (GDPR Art. 6(1)(a))", I505="Not Captured"), "Gap - Invalid Consent", IF(AND(D505="Legitimate Interest (GDPR Art. 6(1)(f))", L505=""), "Gap - Missing LIA", IF(AND(G505="Yes", H505=""), "Gap - Missing Art. 9 Basis", IF(OR(I505="Invalid - Not Freely Given", I505="Invalid - Not Specific", I505="Invalid - Not Informed", I505="Invalid - Ambiguous"), "Gap - Invalid Consent", "Compliant")))))</f>
        <v/>
      </c>
      <c r="O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IF(D506="Legitimate Interest (GDPR Art. 6(1)(f))", "Yes / Required (Sheet 3)", "")</f>
        <v/>
      </c>
      <c r="L506" s="7" t="n"/>
      <c r="M506" s="7" t="n"/>
      <c r="N506">
        <f>IF(D506="", "Gap - No Legal Basis", IF(AND(D506="Consent (GDPR Art. 6(1)(a))", I506="Not Captured"), "Gap - Invalid Consent", IF(AND(D506="Legitimate Interest (GDPR Art. 6(1)(f))", L506=""), "Gap - Missing LIA", IF(AND(G506="Yes", H506=""), "Gap - Missing Art. 9 Basis", IF(OR(I506="Invalid - Not Freely Given", I506="Invalid - Not Specific", I506="Invalid - Not Informed", I506="Invalid - Ambiguous"), "Gap - Invalid Consent", "Compliant")))))</f>
        <v/>
      </c>
      <c r="O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IF(D507="Legitimate Interest (GDPR Art. 6(1)(f))", "Yes / Required (Sheet 3)", "")</f>
        <v/>
      </c>
      <c r="L507" s="7" t="n"/>
      <c r="M507" s="7" t="n"/>
      <c r="N507">
        <f>IF(D507="", "Gap - No Legal Basis", IF(AND(D507="Consent (GDPR Art. 6(1)(a))", I507="Not Captured"), "Gap - Invalid Consent", IF(AND(D507="Legitimate Interest (GDPR Art. 6(1)(f))", L507=""), "Gap - Missing LIA", IF(AND(G507="Yes", H507=""), "Gap - Missing Art. 9 Basis", IF(OR(I507="Invalid - Not Freely Given", I507="Invalid - Not Specific", I507="Invalid - Not Informed", I507="Invalid - Ambiguous"), "Gap - Invalid Consent", "Compliant")))))</f>
        <v/>
      </c>
      <c r="O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IF(D508="Legitimate Interest (GDPR Art. 6(1)(f))", "Yes / Required (Sheet 3)", "")</f>
        <v/>
      </c>
      <c r="L508" s="7" t="n"/>
      <c r="M508" s="7" t="n"/>
      <c r="N508">
        <f>IF(D508="", "Gap - No Legal Basis", IF(AND(D508="Consent (GDPR Art. 6(1)(a))", I508="Not Captured"), "Gap - Invalid Consent", IF(AND(D508="Legitimate Interest (GDPR Art. 6(1)(f))", L508=""), "Gap - Missing LIA", IF(AND(G508="Yes", H508=""), "Gap - Missing Art. 9 Basis", IF(OR(I508="Invalid - Not Freely Given", I508="Invalid - Not Specific", I508="Invalid - Not Informed", I508="Invalid - Ambiguous"), "Gap - Invalid Consent", "Compliant")))))</f>
        <v/>
      </c>
      <c r="O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IF(D509="Legitimate Interest (GDPR Art. 6(1)(f))", "Yes / Required (Sheet 3)", "")</f>
        <v/>
      </c>
      <c r="L509" s="7" t="n"/>
      <c r="M509" s="7" t="n"/>
      <c r="N509">
        <f>IF(D509="", "Gap - No Legal Basis", IF(AND(D509="Consent (GDPR Art. 6(1)(a))", I509="Not Captured"), "Gap - Invalid Consent", IF(AND(D509="Legitimate Interest (GDPR Art. 6(1)(f))", L509=""), "Gap - Missing LIA", IF(AND(G509="Yes", H509=""), "Gap - Missing Art. 9 Basis", IF(OR(I509="Invalid - Not Freely Given", I509="Invalid - Not Specific", I509="Invalid - Not Informed", I509="Invalid - Ambiguous"), "Gap - Invalid Consent", "Compliant")))))</f>
        <v/>
      </c>
      <c r="O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IF(D510="Legitimate Interest (GDPR Art. 6(1)(f))", "Yes / Required (Sheet 3)", "")</f>
        <v/>
      </c>
      <c r="L510" s="7" t="n"/>
      <c r="M510" s="7" t="n"/>
      <c r="N510">
        <f>IF(D510="", "Gap - No Legal Basis", IF(AND(D510="Consent (GDPR Art. 6(1)(a))", I510="Not Captured"), "Gap - Invalid Consent", IF(AND(D510="Legitimate Interest (GDPR Art. 6(1)(f))", L510=""), "Gap - Missing LIA", IF(AND(G510="Yes", H510=""), "Gap - Missing Art. 9 Basis", IF(OR(I510="Invalid - Not Freely Given", I510="Invalid - Not Specific", I510="Invalid - Not Informed", I510="Invalid - Ambiguous"), "Gap - Invalid Consent", "Compliant")))))</f>
        <v/>
      </c>
      <c r="O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IF(D511="Legitimate Interest (GDPR Art. 6(1)(f))", "Yes / Required (Sheet 3)", "")</f>
        <v/>
      </c>
      <c r="L511" s="7" t="n"/>
      <c r="M511" s="7" t="n"/>
      <c r="N511">
        <f>IF(D511="", "Gap - No Legal Basis", IF(AND(D511="Consent (GDPR Art. 6(1)(a))", I511="Not Captured"), "Gap - Invalid Consent", IF(AND(D511="Legitimate Interest (GDPR Art. 6(1)(f))", L511=""), "Gap - Missing LIA", IF(AND(G511="Yes", H511=""), "Gap - Missing Art. 9 Basis", IF(OR(I511="Invalid - Not Freely Given", I511="Invalid - Not Specific", I511="Invalid - Not Informed", I511="Invalid - Ambiguous"), "Gap - Invalid Consent", "Compliant")))))</f>
        <v/>
      </c>
      <c r="O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IF(D512="Legitimate Interest (GDPR Art. 6(1)(f))", "Yes / Required (Sheet 3)", "")</f>
        <v/>
      </c>
      <c r="L512" s="7" t="n"/>
      <c r="M512" s="7" t="n"/>
      <c r="N512">
        <f>IF(D512="", "Gap - No Legal Basis", IF(AND(D512="Consent (GDPR Art. 6(1)(a))", I512="Not Captured"), "Gap - Invalid Consent", IF(AND(D512="Legitimate Interest (GDPR Art. 6(1)(f))", L512=""), "Gap - Missing LIA", IF(AND(G512="Yes", H512=""), "Gap - Missing Art. 9 Basis", IF(OR(I512="Invalid - Not Freely Given", I512="Invalid - Not Specific", I512="Invalid - Not Informed", I512="Invalid - Ambiguous"), "Gap - Invalid Consent", "Compliant")))))</f>
        <v/>
      </c>
      <c r="O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IF(D513="Legitimate Interest (GDPR Art. 6(1)(f))", "Yes / Required (Sheet 3)", "")</f>
        <v/>
      </c>
      <c r="L513" s="7" t="n"/>
      <c r="M513" s="7" t="n"/>
      <c r="N513">
        <f>IF(D513="", "Gap - No Legal Basis", IF(AND(D513="Consent (GDPR Art. 6(1)(a))", I513="Not Captured"), "Gap - Invalid Consent", IF(AND(D513="Legitimate Interest (GDPR Art. 6(1)(f))", L513=""), "Gap - Missing LIA", IF(AND(G513="Yes", H513=""), "Gap - Missing Art. 9 Basis", IF(OR(I513="Invalid - Not Freely Given", I513="Invalid - Not Specific", I513="Invalid - Not Informed", I513="Invalid - Ambiguous"), "Gap - Invalid Consent", "Compliant")))))</f>
        <v/>
      </c>
      <c r="O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IF(D514="Legitimate Interest (GDPR Art. 6(1)(f))", "Yes / Required (Sheet 3)", "")</f>
        <v/>
      </c>
      <c r="L514" s="7" t="n"/>
      <c r="M514" s="7" t="n"/>
      <c r="N514">
        <f>IF(D514="", "Gap - No Legal Basis", IF(AND(D514="Consent (GDPR Art. 6(1)(a))", I514="Not Captured"), "Gap - Invalid Consent", IF(AND(D514="Legitimate Interest (GDPR Art. 6(1)(f))", L514=""), "Gap - Missing LIA", IF(AND(G514="Yes", H514=""), "Gap - Missing Art. 9 Basis", IF(OR(I514="Invalid - Not Freely Given", I514="Invalid - Not Specific", I514="Invalid - Not Informed", I514="Invalid - Ambiguous"), "Gap - Invalid Consent", "Compliant")))))</f>
        <v/>
      </c>
      <c r="O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IF(D515="Legitimate Interest (GDPR Art. 6(1)(f))", "Yes / Required (Sheet 3)", "")</f>
        <v/>
      </c>
      <c r="L515" s="7" t="n"/>
      <c r="M515" s="7" t="n"/>
      <c r="N515">
        <f>IF(D515="", "Gap - No Legal Basis", IF(AND(D515="Consent (GDPR Art. 6(1)(a))", I515="Not Captured"), "Gap - Invalid Consent", IF(AND(D515="Legitimate Interest (GDPR Art. 6(1)(f))", L515=""), "Gap - Missing LIA", IF(AND(G515="Yes", H515=""), "Gap - Missing Art. 9 Basis", IF(OR(I515="Invalid - Not Freely Given", I515="Invalid - Not Specific", I515="Invalid - Not Informed", I515="Invalid - Ambiguous"), "Gap - Invalid Consent", "Compliant")))))</f>
        <v/>
      </c>
      <c r="O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IF(D516="Legitimate Interest (GDPR Art. 6(1)(f))", "Yes / Required (Sheet 3)", "")</f>
        <v/>
      </c>
      <c r="L516" s="7" t="n"/>
      <c r="M516" s="7" t="n"/>
      <c r="N516">
        <f>IF(D516="", "Gap - No Legal Basis", IF(AND(D516="Consent (GDPR Art. 6(1)(a))", I516="Not Captured"), "Gap - Invalid Consent", IF(AND(D516="Legitimate Interest (GDPR Art. 6(1)(f))", L516=""), "Gap - Missing LIA", IF(AND(G516="Yes", H516=""), "Gap - Missing Art. 9 Basis", IF(OR(I516="Invalid - Not Freely Given", I516="Invalid - Not Specific", I516="Invalid - Not Informed", I516="Invalid - Ambiguous"), "Gap - Invalid Consent", "Compliant")))))</f>
        <v/>
      </c>
      <c r="O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IF(D517="Legitimate Interest (GDPR Art. 6(1)(f))", "Yes / Required (Sheet 3)", "")</f>
        <v/>
      </c>
      <c r="L517" s="7" t="n"/>
      <c r="M517" s="7" t="n"/>
      <c r="N517">
        <f>IF(D517="", "Gap - No Legal Basis", IF(AND(D517="Consent (GDPR Art. 6(1)(a))", I517="Not Captured"), "Gap - Invalid Consent", IF(AND(D517="Legitimate Interest (GDPR Art. 6(1)(f))", L517=""), "Gap - Missing LIA", IF(AND(G517="Yes", H517=""), "Gap - Missing Art. 9 Basis", IF(OR(I517="Invalid - Not Freely Given", I517="Invalid - Not Specific", I517="Invalid - Not Informed", I517="Invalid - Ambiguous"), "Gap - Invalid Consent", "Compliant")))))</f>
        <v/>
      </c>
      <c r="O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IF(D518="Legitimate Interest (GDPR Art. 6(1)(f))", "Yes / Required (Sheet 3)", "")</f>
        <v/>
      </c>
      <c r="L518" s="7" t="n"/>
      <c r="M518" s="7" t="n"/>
      <c r="N518">
        <f>IF(D518="", "Gap - No Legal Basis", IF(AND(D518="Consent (GDPR Art. 6(1)(a))", I518="Not Captured"), "Gap - Invalid Consent", IF(AND(D518="Legitimate Interest (GDPR Art. 6(1)(f))", L518=""), "Gap - Missing LIA", IF(AND(G518="Yes", H518=""), "Gap - Missing Art. 9 Basis", IF(OR(I518="Invalid - Not Freely Given", I518="Invalid - Not Specific", I518="Invalid - Not Informed", I518="Invalid - Ambiguous"), "Gap - Invalid Consent", "Compliant")))))</f>
        <v/>
      </c>
      <c r="O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IF(D519="Legitimate Interest (GDPR Art. 6(1)(f))", "Yes / Required (Sheet 3)", "")</f>
        <v/>
      </c>
      <c r="L519" s="7" t="n"/>
      <c r="M519" s="7" t="n"/>
      <c r="N519">
        <f>IF(D519="", "Gap - No Legal Basis", IF(AND(D519="Consent (GDPR Art. 6(1)(a))", I519="Not Captured"), "Gap - Invalid Consent", IF(AND(D519="Legitimate Interest (GDPR Art. 6(1)(f))", L519=""), "Gap - Missing LIA", IF(AND(G519="Yes", H519=""), "Gap - Missing Art. 9 Basis", IF(OR(I519="Invalid - Not Freely Given", I519="Invalid - Not Specific", I519="Invalid - Not Informed", I519="Invalid - Ambiguous"), "Gap - Invalid Consent", "Compliant")))))</f>
        <v/>
      </c>
      <c r="O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IF(D520="Legitimate Interest (GDPR Art. 6(1)(f))", "Yes / Required (Sheet 3)", "")</f>
        <v/>
      </c>
      <c r="L520" s="7" t="n"/>
      <c r="M520" s="7" t="n"/>
      <c r="N520">
        <f>IF(D520="", "Gap - No Legal Basis", IF(AND(D520="Consent (GDPR Art. 6(1)(a))", I520="Not Captured"), "Gap - Invalid Consent", IF(AND(D520="Legitimate Interest (GDPR Art. 6(1)(f))", L520=""), "Gap - Missing LIA", IF(AND(G520="Yes", H520=""), "Gap - Missing Art. 9 Basis", IF(OR(I520="Invalid - Not Freely Given", I520="Invalid - Not Specific", I520="Invalid - Not Informed", I520="Invalid - Ambiguous"), "Gap - Invalid Consent", "Compliant")))))</f>
        <v/>
      </c>
      <c r="O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IF(D521="Legitimate Interest (GDPR Art. 6(1)(f))", "Yes / Required (Sheet 3)", "")</f>
        <v/>
      </c>
      <c r="L521" s="7" t="n"/>
      <c r="M521" s="7" t="n"/>
      <c r="N521">
        <f>IF(D521="", "Gap - No Legal Basis", IF(AND(D521="Consent (GDPR Art. 6(1)(a))", I521="Not Captured"), "Gap - Invalid Consent", IF(AND(D521="Legitimate Interest (GDPR Art. 6(1)(f))", L521=""), "Gap - Missing LIA", IF(AND(G521="Yes", H521=""), "Gap - Missing Art. 9 Basis", IF(OR(I521="Invalid - Not Freely Given", I521="Invalid - Not Specific", I521="Invalid - Not Informed", I521="Invalid - Ambiguous"), "Gap - Invalid Consent", "Compliant")))))</f>
        <v/>
      </c>
      <c r="O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IF(D522="Legitimate Interest (GDPR Art. 6(1)(f))", "Yes / Required (Sheet 3)", "")</f>
        <v/>
      </c>
      <c r="L522" s="7" t="n"/>
      <c r="M522" s="7" t="n"/>
      <c r="N522">
        <f>IF(D522="", "Gap - No Legal Basis", IF(AND(D522="Consent (GDPR Art. 6(1)(a))", I522="Not Captured"), "Gap - Invalid Consent", IF(AND(D522="Legitimate Interest (GDPR Art. 6(1)(f))", L522=""), "Gap - Missing LIA", IF(AND(G522="Yes", H522=""), "Gap - Missing Art. 9 Basis", IF(OR(I522="Invalid - Not Freely Given", I522="Invalid - Not Specific", I522="Invalid - Not Informed", I522="Invalid - Ambiguous"), "Gap - Invalid Consent", "Compliant")))))</f>
        <v/>
      </c>
      <c r="O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IF(D523="Legitimate Interest (GDPR Art. 6(1)(f))", "Yes / Required (Sheet 3)", "")</f>
        <v/>
      </c>
      <c r="L523" s="7" t="n"/>
      <c r="M523" s="7" t="n"/>
      <c r="N523">
        <f>IF(D523="", "Gap - No Legal Basis", IF(AND(D523="Consent (GDPR Art. 6(1)(a))", I523="Not Captured"), "Gap - Invalid Consent", IF(AND(D523="Legitimate Interest (GDPR Art. 6(1)(f))", L523=""), "Gap - Missing LIA", IF(AND(G523="Yes", H523=""), "Gap - Missing Art. 9 Basis", IF(OR(I523="Invalid - Not Freely Given", I523="Invalid - Not Specific", I523="Invalid - Not Informed", I523="Invalid - Ambiguous"), "Gap - Invalid Consent", "Compliant")))))</f>
        <v/>
      </c>
      <c r="O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IF(D524="Legitimate Interest (GDPR Art. 6(1)(f))", "Yes / Required (Sheet 3)", "")</f>
        <v/>
      </c>
      <c r="L524" s="7" t="n"/>
      <c r="M524" s="7" t="n"/>
      <c r="N524">
        <f>IF(D524="", "Gap - No Legal Basis", IF(AND(D524="Consent (GDPR Art. 6(1)(a))", I524="Not Captured"), "Gap - Invalid Consent", IF(AND(D524="Legitimate Interest (GDPR Art. 6(1)(f))", L524=""), "Gap - Missing LIA", IF(AND(G524="Yes", H524=""), "Gap - Missing Art. 9 Basis", IF(OR(I524="Invalid - Not Freely Given", I524="Invalid - Not Specific", I524="Invalid - Not Informed", I524="Invalid - Ambiguous"), "Gap - Invalid Consent", "Compliant")))))</f>
        <v/>
      </c>
      <c r="O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IF(D525="Legitimate Interest (GDPR Art. 6(1)(f))", "Yes / Required (Sheet 3)", "")</f>
        <v/>
      </c>
      <c r="L525" s="7" t="n"/>
      <c r="M525" s="7" t="n"/>
      <c r="N525">
        <f>IF(D525="", "Gap - No Legal Basis", IF(AND(D525="Consent (GDPR Art. 6(1)(a))", I525="Not Captured"), "Gap - Invalid Consent", IF(AND(D525="Legitimate Interest (GDPR Art. 6(1)(f))", L525=""), "Gap - Missing LIA", IF(AND(G525="Yes", H525=""), "Gap - Missing Art. 9 Basis", IF(OR(I525="Invalid - Not Freely Given", I525="Invalid - Not Specific", I525="Invalid - Not Informed", I525="Invalid - Ambiguous"), "Gap - Invalid Consent", "Compliant")))))</f>
        <v/>
      </c>
      <c r="O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IF(D526="Legitimate Interest (GDPR Art. 6(1)(f))", "Yes / Required (Sheet 3)", "")</f>
        <v/>
      </c>
      <c r="L526" s="7" t="n"/>
      <c r="M526" s="7" t="n"/>
      <c r="N526">
        <f>IF(D526="", "Gap - No Legal Basis", IF(AND(D526="Consent (GDPR Art. 6(1)(a))", I526="Not Captured"), "Gap - Invalid Consent", IF(AND(D526="Legitimate Interest (GDPR Art. 6(1)(f))", L526=""), "Gap - Missing LIA", IF(AND(G526="Yes", H526=""), "Gap - Missing Art. 9 Basis", IF(OR(I526="Invalid - Not Freely Given", I526="Invalid - Not Specific", I526="Invalid - Not Informed", I526="Invalid - Ambiguous"), "Gap - Invalid Consent", "Compliant")))))</f>
        <v/>
      </c>
      <c r="O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IF(D527="Legitimate Interest (GDPR Art. 6(1)(f))", "Yes / Required (Sheet 3)", "")</f>
        <v/>
      </c>
      <c r="L527" s="7" t="n"/>
      <c r="M527" s="7" t="n"/>
      <c r="N527">
        <f>IF(D527="", "Gap - No Legal Basis", IF(AND(D527="Consent (GDPR Art. 6(1)(a))", I527="Not Captured"), "Gap - Invalid Consent", IF(AND(D527="Legitimate Interest (GDPR Art. 6(1)(f))", L527=""), "Gap - Missing LIA", IF(AND(G527="Yes", H527=""), "Gap - Missing Art. 9 Basis", IF(OR(I527="Invalid - Not Freely Given", I527="Invalid - Not Specific", I527="Invalid - Not Informed", I527="Invalid - Ambiguous"), "Gap - Invalid Consent", "Compliant")))))</f>
        <v/>
      </c>
      <c r="O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IF(D528="Legitimate Interest (GDPR Art. 6(1)(f))", "Yes / Required (Sheet 3)", "")</f>
        <v/>
      </c>
      <c r="L528" s="7" t="n"/>
      <c r="M528" s="7" t="n"/>
      <c r="N528">
        <f>IF(D528="", "Gap - No Legal Basis", IF(AND(D528="Consent (GDPR Art. 6(1)(a))", I528="Not Captured"), "Gap - Invalid Consent", IF(AND(D528="Legitimate Interest (GDPR Art. 6(1)(f))", L528=""), "Gap - Missing LIA", IF(AND(G528="Yes", H528=""), "Gap - Missing Art. 9 Basis", IF(OR(I528="Invalid - Not Freely Given", I528="Invalid - Not Specific", I528="Invalid - Not Informed", I528="Invalid - Ambiguous"), "Gap - Invalid Consent", "Compliant")))))</f>
        <v/>
      </c>
      <c r="O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IF(D529="Legitimate Interest (GDPR Art. 6(1)(f))", "Yes / Required (Sheet 3)", "")</f>
        <v/>
      </c>
      <c r="L529" s="7" t="n"/>
      <c r="M529" s="7" t="n"/>
      <c r="N529">
        <f>IF(D529="", "Gap - No Legal Basis", IF(AND(D529="Consent (GDPR Art. 6(1)(a))", I529="Not Captured"), "Gap - Invalid Consent", IF(AND(D529="Legitimate Interest (GDPR Art. 6(1)(f))", L529=""), "Gap - Missing LIA", IF(AND(G529="Yes", H529=""), "Gap - Missing Art. 9 Basis", IF(OR(I529="Invalid - Not Freely Given", I529="Invalid - Not Specific", I529="Invalid - Not Informed", I529="Invalid - Ambiguous"), "Gap - Invalid Consent", "Compliant")))))</f>
        <v/>
      </c>
      <c r="O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IF(D530="Legitimate Interest (GDPR Art. 6(1)(f))", "Yes / Required (Sheet 3)", "")</f>
        <v/>
      </c>
      <c r="L530" s="7" t="n"/>
      <c r="M530" s="7" t="n"/>
      <c r="N530">
        <f>IF(D530="", "Gap - No Legal Basis", IF(AND(D530="Consent (GDPR Art. 6(1)(a))", I530="Not Captured"), "Gap - Invalid Consent", IF(AND(D530="Legitimate Interest (GDPR Art. 6(1)(f))", L530=""), "Gap - Missing LIA", IF(AND(G530="Yes", H530=""), "Gap - Missing Art. 9 Basis", IF(OR(I530="Invalid - Not Freely Given", I530="Invalid - Not Specific", I530="Invalid - Not Informed", I530="Invalid - Ambiguous"), "Gap - Invalid Consent", "Compliant")))))</f>
        <v/>
      </c>
      <c r="O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IF(D531="Legitimate Interest (GDPR Art. 6(1)(f))", "Yes / Required (Sheet 3)", "")</f>
        <v/>
      </c>
      <c r="L531" s="7" t="n"/>
      <c r="M531" s="7" t="n"/>
      <c r="N531">
        <f>IF(D531="", "Gap - No Legal Basis", IF(AND(D531="Consent (GDPR Art. 6(1)(a))", I531="Not Captured"), "Gap - Invalid Consent", IF(AND(D531="Legitimate Interest (GDPR Art. 6(1)(f))", L531=""), "Gap - Missing LIA", IF(AND(G531="Yes", H531=""), "Gap - Missing Art. 9 Basis", IF(OR(I531="Invalid - Not Freely Given", I531="Invalid - Not Specific", I531="Invalid - Not Informed", I531="Invalid - Ambiguous"), "Gap - Invalid Consent", "Compliant")))))</f>
        <v/>
      </c>
      <c r="O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IF(D532="Legitimate Interest (GDPR Art. 6(1)(f))", "Yes / Required (Sheet 3)", "")</f>
        <v/>
      </c>
      <c r="L532" s="7" t="n"/>
      <c r="M532" s="7" t="n"/>
      <c r="N532">
        <f>IF(D532="", "Gap - No Legal Basis", IF(AND(D532="Consent (GDPR Art. 6(1)(a))", I532="Not Captured"), "Gap - Invalid Consent", IF(AND(D532="Legitimate Interest (GDPR Art. 6(1)(f))", L532=""), "Gap - Missing LIA", IF(AND(G532="Yes", H532=""), "Gap - Missing Art. 9 Basis", IF(OR(I532="Invalid - Not Freely Given", I532="Invalid - Not Specific", I532="Invalid - Not Informed", I532="Invalid - Ambiguous"), "Gap - Invalid Consent", "Compliant")))))</f>
        <v/>
      </c>
      <c r="O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IF(D533="Legitimate Interest (GDPR Art. 6(1)(f))", "Yes / Required (Sheet 3)", "")</f>
        <v/>
      </c>
      <c r="L533" s="7" t="n"/>
      <c r="M533" s="7" t="n"/>
      <c r="N533">
        <f>IF(D533="", "Gap - No Legal Basis", IF(AND(D533="Consent (GDPR Art. 6(1)(a))", I533="Not Captured"), "Gap - Invalid Consent", IF(AND(D533="Legitimate Interest (GDPR Art. 6(1)(f))", L533=""), "Gap - Missing LIA", IF(AND(G533="Yes", H533=""), "Gap - Missing Art. 9 Basis", IF(OR(I533="Invalid - Not Freely Given", I533="Invalid - Not Specific", I533="Invalid - Not Informed", I533="Invalid - Ambiguous"), "Gap - Invalid Consent", "Compliant")))))</f>
        <v/>
      </c>
      <c r="O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IF(D534="Legitimate Interest (GDPR Art. 6(1)(f))", "Yes / Required (Sheet 3)", "")</f>
        <v/>
      </c>
      <c r="L534" s="7" t="n"/>
      <c r="M534" s="7" t="n"/>
      <c r="N534">
        <f>IF(D534="", "Gap - No Legal Basis", IF(AND(D534="Consent (GDPR Art. 6(1)(a))", I534="Not Captured"), "Gap - Invalid Consent", IF(AND(D534="Legitimate Interest (GDPR Art. 6(1)(f))", L534=""), "Gap - Missing LIA", IF(AND(G534="Yes", H534=""), "Gap - Missing Art. 9 Basis", IF(OR(I534="Invalid - Not Freely Given", I534="Invalid - Not Specific", I534="Invalid - Not Informed", I534="Invalid - Ambiguous"), "Gap - Invalid Consent", "Compliant")))))</f>
        <v/>
      </c>
      <c r="O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IF(D535="Legitimate Interest (GDPR Art. 6(1)(f))", "Yes / Required (Sheet 3)", "")</f>
        <v/>
      </c>
      <c r="L535" s="7" t="n"/>
      <c r="M535" s="7" t="n"/>
      <c r="N535">
        <f>IF(D535="", "Gap - No Legal Basis", IF(AND(D535="Consent (GDPR Art. 6(1)(a))", I535="Not Captured"), "Gap - Invalid Consent", IF(AND(D535="Legitimate Interest (GDPR Art. 6(1)(f))", L535=""), "Gap - Missing LIA", IF(AND(G535="Yes", H535=""), "Gap - Missing Art. 9 Basis", IF(OR(I535="Invalid - Not Freely Given", I535="Invalid - Not Specific", I535="Invalid - Not Informed", I535="Invalid - Ambiguous"), "Gap - Invalid Consent", "Compliant")))))</f>
        <v/>
      </c>
      <c r="O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IF(D536="Legitimate Interest (GDPR Art. 6(1)(f))", "Yes / Required (Sheet 3)", "")</f>
        <v/>
      </c>
      <c r="L536" s="7" t="n"/>
      <c r="M536" s="7" t="n"/>
      <c r="N536">
        <f>IF(D536="", "Gap - No Legal Basis", IF(AND(D536="Consent (GDPR Art. 6(1)(a))", I536="Not Captured"), "Gap - Invalid Consent", IF(AND(D536="Legitimate Interest (GDPR Art. 6(1)(f))", L536=""), "Gap - Missing LIA", IF(AND(G536="Yes", H536=""), "Gap - Missing Art. 9 Basis", IF(OR(I536="Invalid - Not Freely Given", I536="Invalid - Not Specific", I536="Invalid - Not Informed", I536="Invalid - Ambiguous"), "Gap - Invalid Consent", "Compliant")))))</f>
        <v/>
      </c>
      <c r="O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IF(D537="Legitimate Interest (GDPR Art. 6(1)(f))", "Yes / Required (Sheet 3)", "")</f>
        <v/>
      </c>
      <c r="L537" s="7" t="n"/>
      <c r="M537" s="7" t="n"/>
      <c r="N537">
        <f>IF(D537="", "Gap - No Legal Basis", IF(AND(D537="Consent (GDPR Art. 6(1)(a))", I537="Not Captured"), "Gap - Invalid Consent", IF(AND(D537="Legitimate Interest (GDPR Art. 6(1)(f))", L537=""), "Gap - Missing LIA", IF(AND(G537="Yes", H537=""), "Gap - Missing Art. 9 Basis", IF(OR(I537="Invalid - Not Freely Given", I537="Invalid - Not Specific", I537="Invalid - Not Informed", I537="Invalid - Ambiguous"), "Gap - Invalid Consent", "Compliant")))))</f>
        <v/>
      </c>
      <c r="O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IF(D538="Legitimate Interest (GDPR Art. 6(1)(f))", "Yes / Required (Sheet 3)", "")</f>
        <v/>
      </c>
      <c r="L538" s="7" t="n"/>
      <c r="M538" s="7" t="n"/>
      <c r="N538">
        <f>IF(D538="", "Gap - No Legal Basis", IF(AND(D538="Consent (GDPR Art. 6(1)(a))", I538="Not Captured"), "Gap - Invalid Consent", IF(AND(D538="Legitimate Interest (GDPR Art. 6(1)(f))", L538=""), "Gap - Missing LIA", IF(AND(G538="Yes", H538=""), "Gap - Missing Art. 9 Basis", IF(OR(I538="Invalid - Not Freely Given", I538="Invalid - Not Specific", I538="Invalid - Not Informed", I538="Invalid - Ambiguous"), "Gap - Invalid Consent", "Compliant")))))</f>
        <v/>
      </c>
      <c r="O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IF(D539="Legitimate Interest (GDPR Art. 6(1)(f))", "Yes / Required (Sheet 3)", "")</f>
        <v/>
      </c>
      <c r="L539" s="7" t="n"/>
      <c r="M539" s="7" t="n"/>
      <c r="N539">
        <f>IF(D539="", "Gap - No Legal Basis", IF(AND(D539="Consent (GDPR Art. 6(1)(a))", I539="Not Captured"), "Gap - Invalid Consent", IF(AND(D539="Legitimate Interest (GDPR Art. 6(1)(f))", L539=""), "Gap - Missing LIA", IF(AND(G539="Yes", H539=""), "Gap - Missing Art. 9 Basis", IF(OR(I539="Invalid - Not Freely Given", I539="Invalid - Not Specific", I539="Invalid - Not Informed", I539="Invalid - Ambiguous"), "Gap - Invalid Consent", "Compliant")))))</f>
        <v/>
      </c>
      <c r="O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IF(D540="Legitimate Interest (GDPR Art. 6(1)(f))", "Yes / Required (Sheet 3)", "")</f>
        <v/>
      </c>
      <c r="L540" s="7" t="n"/>
      <c r="M540" s="7" t="n"/>
      <c r="N540">
        <f>IF(D540="", "Gap - No Legal Basis", IF(AND(D540="Consent (GDPR Art. 6(1)(a))", I540="Not Captured"), "Gap - Invalid Consent", IF(AND(D540="Legitimate Interest (GDPR Art. 6(1)(f))", L540=""), "Gap - Missing LIA", IF(AND(G540="Yes", H540=""), "Gap - Missing Art. 9 Basis", IF(OR(I540="Invalid - Not Freely Given", I540="Invalid - Not Specific", I540="Invalid - Not Informed", I540="Invalid - Ambiguous"), "Gap - Invalid Consent", "Compliant")))))</f>
        <v/>
      </c>
      <c r="O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IF(D541="Legitimate Interest (GDPR Art. 6(1)(f))", "Yes / Required (Sheet 3)", "")</f>
        <v/>
      </c>
      <c r="L541" s="7" t="n"/>
      <c r="M541" s="7" t="n"/>
      <c r="N541">
        <f>IF(D541="", "Gap - No Legal Basis", IF(AND(D541="Consent (GDPR Art. 6(1)(a))", I541="Not Captured"), "Gap - Invalid Consent", IF(AND(D541="Legitimate Interest (GDPR Art. 6(1)(f))", L541=""), "Gap - Missing LIA", IF(AND(G541="Yes", H541=""), "Gap - Missing Art. 9 Basis", IF(OR(I541="Invalid - Not Freely Given", I541="Invalid - Not Specific", I541="Invalid - Not Informed", I541="Invalid - Ambiguous"), "Gap - Invalid Consent", "Compliant")))))</f>
        <v/>
      </c>
      <c r="O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IF(D542="Legitimate Interest (GDPR Art. 6(1)(f))", "Yes / Required (Sheet 3)", "")</f>
        <v/>
      </c>
      <c r="L542" s="7" t="n"/>
      <c r="M542" s="7" t="n"/>
      <c r="N542">
        <f>IF(D542="", "Gap - No Legal Basis", IF(AND(D542="Consent (GDPR Art. 6(1)(a))", I542="Not Captured"), "Gap - Invalid Consent", IF(AND(D542="Legitimate Interest (GDPR Art. 6(1)(f))", L542=""), "Gap - Missing LIA", IF(AND(G542="Yes", H542=""), "Gap - Missing Art. 9 Basis", IF(OR(I542="Invalid - Not Freely Given", I542="Invalid - Not Specific", I542="Invalid - Not Informed", I542="Invalid - Ambiguous"), "Gap - Invalid Consent", "Compliant")))))</f>
        <v/>
      </c>
      <c r="O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IF(D543="Legitimate Interest (GDPR Art. 6(1)(f))", "Yes / Required (Sheet 3)", "")</f>
        <v/>
      </c>
      <c r="L543" s="7" t="n"/>
      <c r="M543" s="7" t="n"/>
      <c r="N543">
        <f>IF(D543="", "Gap - No Legal Basis", IF(AND(D543="Consent (GDPR Art. 6(1)(a))", I543="Not Captured"), "Gap - Invalid Consent", IF(AND(D543="Legitimate Interest (GDPR Art. 6(1)(f))", L543=""), "Gap - Missing LIA", IF(AND(G543="Yes", H543=""), "Gap - Missing Art. 9 Basis", IF(OR(I543="Invalid - Not Freely Given", I543="Invalid - Not Specific", I543="Invalid - Not Informed", I543="Invalid - Ambiguous"), "Gap - Invalid Consent", "Compliant")))))</f>
        <v/>
      </c>
      <c r="O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IF(D544="Legitimate Interest (GDPR Art. 6(1)(f))", "Yes / Required (Sheet 3)", "")</f>
        <v/>
      </c>
      <c r="L544" s="7" t="n"/>
      <c r="M544" s="7" t="n"/>
      <c r="N544">
        <f>IF(D544="", "Gap - No Legal Basis", IF(AND(D544="Consent (GDPR Art. 6(1)(a))", I544="Not Captured"), "Gap - Invalid Consent", IF(AND(D544="Legitimate Interest (GDPR Art. 6(1)(f))", L544=""), "Gap - Missing LIA", IF(AND(G544="Yes", H544=""), "Gap - Missing Art. 9 Basis", IF(OR(I544="Invalid - Not Freely Given", I544="Invalid - Not Specific", I544="Invalid - Not Informed", I544="Invalid - Ambiguous"), "Gap - Invalid Consent", "Compliant")))))</f>
        <v/>
      </c>
      <c r="O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IF(D545="Legitimate Interest (GDPR Art. 6(1)(f))", "Yes / Required (Sheet 3)", "")</f>
        <v/>
      </c>
      <c r="L545" s="7" t="n"/>
      <c r="M545" s="7" t="n"/>
      <c r="N545">
        <f>IF(D545="", "Gap - No Legal Basis", IF(AND(D545="Consent (GDPR Art. 6(1)(a))", I545="Not Captured"), "Gap - Invalid Consent", IF(AND(D545="Legitimate Interest (GDPR Art. 6(1)(f))", L545=""), "Gap - Missing LIA", IF(AND(G545="Yes", H545=""), "Gap - Missing Art. 9 Basis", IF(OR(I545="Invalid - Not Freely Given", I545="Invalid - Not Specific", I545="Invalid - Not Informed", I545="Invalid - Ambiguous"), "Gap - Invalid Consent", "Compliant")))))</f>
        <v/>
      </c>
      <c r="O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IF(D546="Legitimate Interest (GDPR Art. 6(1)(f))", "Yes / Required (Sheet 3)", "")</f>
        <v/>
      </c>
      <c r="L546" s="7" t="n"/>
      <c r="M546" s="7" t="n"/>
      <c r="N546">
        <f>IF(D546="", "Gap - No Legal Basis", IF(AND(D546="Consent (GDPR Art. 6(1)(a))", I546="Not Captured"), "Gap - Invalid Consent", IF(AND(D546="Legitimate Interest (GDPR Art. 6(1)(f))", L546=""), "Gap - Missing LIA", IF(AND(G546="Yes", H546=""), "Gap - Missing Art. 9 Basis", IF(OR(I546="Invalid - Not Freely Given", I546="Invalid - Not Specific", I546="Invalid - Not Informed", I546="Invalid - Ambiguous"), "Gap - Invalid Consent", "Compliant")))))</f>
        <v/>
      </c>
      <c r="O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IF(D547="Legitimate Interest (GDPR Art. 6(1)(f))", "Yes / Required (Sheet 3)", "")</f>
        <v/>
      </c>
      <c r="L547" s="7" t="n"/>
      <c r="M547" s="7" t="n"/>
      <c r="N547">
        <f>IF(D547="", "Gap - No Legal Basis", IF(AND(D547="Consent (GDPR Art. 6(1)(a))", I547="Not Captured"), "Gap - Invalid Consent", IF(AND(D547="Legitimate Interest (GDPR Art. 6(1)(f))", L547=""), "Gap - Missing LIA", IF(AND(G547="Yes", H547=""), "Gap - Missing Art. 9 Basis", IF(OR(I547="Invalid - Not Freely Given", I547="Invalid - Not Specific", I547="Invalid - Not Informed", I547="Invalid - Ambiguous"), "Gap - Invalid Consent", "Compliant")))))</f>
        <v/>
      </c>
      <c r="O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IF(D548="Legitimate Interest (GDPR Art. 6(1)(f))", "Yes / Required (Sheet 3)", "")</f>
        <v/>
      </c>
      <c r="L548" s="7" t="n"/>
      <c r="M548" s="7" t="n"/>
      <c r="N548">
        <f>IF(D548="", "Gap - No Legal Basis", IF(AND(D548="Consent (GDPR Art. 6(1)(a))", I548="Not Captured"), "Gap - Invalid Consent", IF(AND(D548="Legitimate Interest (GDPR Art. 6(1)(f))", L548=""), "Gap - Missing LIA", IF(AND(G548="Yes", H548=""), "Gap - Missing Art. 9 Basis", IF(OR(I548="Invalid - Not Freely Given", I548="Invalid - Not Specific", I548="Invalid - Not Informed", I548="Invalid - Ambiguous"), "Gap - Invalid Consent", "Compliant")))))</f>
        <v/>
      </c>
      <c r="O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IF(D549="Legitimate Interest (GDPR Art. 6(1)(f))", "Yes / Required (Sheet 3)", "")</f>
        <v/>
      </c>
      <c r="L549" s="7" t="n"/>
      <c r="M549" s="7" t="n"/>
      <c r="N549">
        <f>IF(D549="", "Gap - No Legal Basis", IF(AND(D549="Consent (GDPR Art. 6(1)(a))", I549="Not Captured"), "Gap - Invalid Consent", IF(AND(D549="Legitimate Interest (GDPR Art. 6(1)(f))", L549=""), "Gap - Missing LIA", IF(AND(G549="Yes", H549=""), "Gap - Missing Art. 9 Basis", IF(OR(I549="Invalid - Not Freely Given", I549="Invalid - Not Specific", I549="Invalid - Not Informed", I549="Invalid - Ambiguous"), "Gap - Invalid Consent", "Compliant")))))</f>
        <v/>
      </c>
      <c r="O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IF(D550="Legitimate Interest (GDPR Art. 6(1)(f))", "Yes / Required (Sheet 3)", "")</f>
        <v/>
      </c>
      <c r="L550" s="7" t="n"/>
      <c r="M550" s="7" t="n"/>
      <c r="N550">
        <f>IF(D550="", "Gap - No Legal Basis", IF(AND(D550="Consent (GDPR Art. 6(1)(a))", I550="Not Captured"), "Gap - Invalid Consent", IF(AND(D550="Legitimate Interest (GDPR Art. 6(1)(f))", L550=""), "Gap - Missing LIA", IF(AND(G550="Yes", H550=""), "Gap - Missing Art. 9 Basis", IF(OR(I550="Invalid - Not Freely Given", I550="Invalid - Not Specific", I550="Invalid - Not Informed", I550="Invalid - Ambiguous"), "Gap - Invalid Consent", "Compliant")))))</f>
        <v/>
      </c>
      <c r="O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IF(D551="Legitimate Interest (GDPR Art. 6(1)(f))", "Yes / Required (Sheet 3)", "")</f>
        <v/>
      </c>
      <c r="L551" s="7" t="n"/>
      <c r="M551" s="7" t="n"/>
      <c r="N551">
        <f>IF(D551="", "Gap - No Legal Basis", IF(AND(D551="Consent (GDPR Art. 6(1)(a))", I551="Not Captured"), "Gap - Invalid Consent", IF(AND(D551="Legitimate Interest (GDPR Art. 6(1)(f))", L551=""), "Gap - Missing LIA", IF(AND(G551="Yes", H551=""), "Gap - Missing Art. 9 Basis", IF(OR(I551="Invalid - Not Freely Given", I551="Invalid - Not Specific", I551="Invalid - Not Informed", I551="Invalid - Ambiguous"), "Gap - Invalid Consent", "Compliant")))))</f>
        <v/>
      </c>
      <c r="O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IF(D552="Legitimate Interest (GDPR Art. 6(1)(f))", "Yes / Required (Sheet 3)", "")</f>
        <v/>
      </c>
      <c r="L552" s="7" t="n"/>
      <c r="M552" s="7" t="n"/>
      <c r="N552">
        <f>IF(D552="", "Gap - No Legal Basis", IF(AND(D552="Consent (GDPR Art. 6(1)(a))", I552="Not Captured"), "Gap - Invalid Consent", IF(AND(D552="Legitimate Interest (GDPR Art. 6(1)(f))", L552=""), "Gap - Missing LIA", IF(AND(G552="Yes", H552=""), "Gap - Missing Art. 9 Basis", IF(OR(I552="Invalid - Not Freely Given", I552="Invalid - Not Specific", I552="Invalid - Not Informed", I552="Invalid - Ambiguous"), "Gap - Invalid Consent", "Compliant")))))</f>
        <v/>
      </c>
      <c r="O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IF(D553="Legitimate Interest (GDPR Art. 6(1)(f))", "Yes / Required (Sheet 3)", "")</f>
        <v/>
      </c>
      <c r="L553" s="7" t="n"/>
      <c r="M553" s="7" t="n"/>
      <c r="N553">
        <f>IF(D553="", "Gap - No Legal Basis", IF(AND(D553="Consent (GDPR Art. 6(1)(a))", I553="Not Captured"), "Gap - Invalid Consent", IF(AND(D553="Legitimate Interest (GDPR Art. 6(1)(f))", L553=""), "Gap - Missing LIA", IF(AND(G553="Yes", H553=""), "Gap - Missing Art. 9 Basis", IF(OR(I553="Invalid - Not Freely Given", I553="Invalid - Not Specific", I553="Invalid - Not Informed", I553="Invalid - Ambiguous"), "Gap - Invalid Consent", "Compliant")))))</f>
        <v/>
      </c>
      <c r="O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IF(D554="Legitimate Interest (GDPR Art. 6(1)(f))", "Yes / Required (Sheet 3)", "")</f>
        <v/>
      </c>
      <c r="L554" s="7" t="n"/>
      <c r="M554" s="7" t="n"/>
      <c r="N554">
        <f>IF(D554="", "Gap - No Legal Basis", IF(AND(D554="Consent (GDPR Art. 6(1)(a))", I554="Not Captured"), "Gap - Invalid Consent", IF(AND(D554="Legitimate Interest (GDPR Art. 6(1)(f))", L554=""), "Gap - Missing LIA", IF(AND(G554="Yes", H554=""), "Gap - Missing Art. 9 Basis", IF(OR(I554="Invalid - Not Freely Given", I554="Invalid - Not Specific", I554="Invalid - Not Informed", I554="Invalid - Ambiguous"), "Gap - Invalid Consent", "Compliant")))))</f>
        <v/>
      </c>
      <c r="O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IF(D555="Legitimate Interest (GDPR Art. 6(1)(f))", "Yes / Required (Sheet 3)", "")</f>
        <v/>
      </c>
      <c r="L555" s="7" t="n"/>
      <c r="M555" s="7" t="n"/>
      <c r="N555">
        <f>IF(D555="", "Gap - No Legal Basis", IF(AND(D555="Consent (GDPR Art. 6(1)(a))", I555="Not Captured"), "Gap - Invalid Consent", IF(AND(D555="Legitimate Interest (GDPR Art. 6(1)(f))", L555=""), "Gap - Missing LIA", IF(AND(G555="Yes", H555=""), "Gap - Missing Art. 9 Basis", IF(OR(I555="Invalid - Not Freely Given", I555="Invalid - Not Specific", I555="Invalid - Not Informed", I555="Invalid - Ambiguous"), "Gap - Invalid Consent", "Compliant")))))</f>
        <v/>
      </c>
      <c r="O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IF(D556="Legitimate Interest (GDPR Art. 6(1)(f))", "Yes / Required (Sheet 3)", "")</f>
        <v/>
      </c>
      <c r="L556" s="7" t="n"/>
      <c r="M556" s="7" t="n"/>
      <c r="N556">
        <f>IF(D556="", "Gap - No Legal Basis", IF(AND(D556="Consent (GDPR Art. 6(1)(a))", I556="Not Captured"), "Gap - Invalid Consent", IF(AND(D556="Legitimate Interest (GDPR Art. 6(1)(f))", L556=""), "Gap - Missing LIA", IF(AND(G556="Yes", H556=""), "Gap - Missing Art. 9 Basis", IF(OR(I556="Invalid - Not Freely Given", I556="Invalid - Not Specific", I556="Invalid - Not Informed", I556="Invalid - Ambiguous"), "Gap - Invalid Consent", "Compliant")))))</f>
        <v/>
      </c>
      <c r="O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IF(D557="Legitimate Interest (GDPR Art. 6(1)(f))", "Yes / Required (Sheet 3)", "")</f>
        <v/>
      </c>
      <c r="L557" s="7" t="n"/>
      <c r="M557" s="7" t="n"/>
      <c r="N557">
        <f>IF(D557="", "Gap - No Legal Basis", IF(AND(D557="Consent (GDPR Art. 6(1)(a))", I557="Not Captured"), "Gap - Invalid Consent", IF(AND(D557="Legitimate Interest (GDPR Art. 6(1)(f))", L557=""), "Gap - Missing LIA", IF(AND(G557="Yes", H557=""), "Gap - Missing Art. 9 Basis", IF(OR(I557="Invalid - Not Freely Given", I557="Invalid - Not Specific", I557="Invalid - Not Informed", I557="Invalid - Ambiguous"), "Gap - Invalid Consent", "Compliant")))))</f>
        <v/>
      </c>
      <c r="O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IF(D558="Legitimate Interest (GDPR Art. 6(1)(f))", "Yes / Required (Sheet 3)", "")</f>
        <v/>
      </c>
      <c r="L558" s="7" t="n"/>
      <c r="M558" s="7" t="n"/>
      <c r="N558">
        <f>IF(D558="", "Gap - No Legal Basis", IF(AND(D558="Consent (GDPR Art. 6(1)(a))", I558="Not Captured"), "Gap - Invalid Consent", IF(AND(D558="Legitimate Interest (GDPR Art. 6(1)(f))", L558=""), "Gap - Missing LIA", IF(AND(G558="Yes", H558=""), "Gap - Missing Art. 9 Basis", IF(OR(I558="Invalid - Not Freely Given", I558="Invalid - Not Specific", I558="Invalid - Not Informed", I558="Invalid - Ambiguous"), "Gap - Invalid Consent", "Compliant")))))</f>
        <v/>
      </c>
      <c r="O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IF(D559="Legitimate Interest (GDPR Art. 6(1)(f))", "Yes / Required (Sheet 3)", "")</f>
        <v/>
      </c>
      <c r="L559" s="7" t="n"/>
      <c r="M559" s="7" t="n"/>
      <c r="N559">
        <f>IF(D559="", "Gap - No Legal Basis", IF(AND(D559="Consent (GDPR Art. 6(1)(a))", I559="Not Captured"), "Gap - Invalid Consent", IF(AND(D559="Legitimate Interest (GDPR Art. 6(1)(f))", L559=""), "Gap - Missing LIA", IF(AND(G559="Yes", H559=""), "Gap - Missing Art. 9 Basis", IF(OR(I559="Invalid - Not Freely Given", I559="Invalid - Not Specific", I559="Invalid - Not Informed", I559="Invalid - Ambiguous"), "Gap - Invalid Consent", "Compliant")))))</f>
        <v/>
      </c>
      <c r="O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IF(D560="Legitimate Interest (GDPR Art. 6(1)(f))", "Yes / Required (Sheet 3)", "")</f>
        <v/>
      </c>
      <c r="L560" s="7" t="n"/>
      <c r="M560" s="7" t="n"/>
      <c r="N560">
        <f>IF(D560="", "Gap - No Legal Basis", IF(AND(D560="Consent (GDPR Art. 6(1)(a))", I560="Not Captured"), "Gap - Invalid Consent", IF(AND(D560="Legitimate Interest (GDPR Art. 6(1)(f))", L560=""), "Gap - Missing LIA", IF(AND(G560="Yes", H560=""), "Gap - Missing Art. 9 Basis", IF(OR(I560="Invalid - Not Freely Given", I560="Invalid - Not Specific", I560="Invalid - Not Informed", I560="Invalid - Ambiguous"), "Gap - Invalid Consent", "Compliant")))))</f>
        <v/>
      </c>
      <c r="O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IF(D561="Legitimate Interest (GDPR Art. 6(1)(f))", "Yes / Required (Sheet 3)", "")</f>
        <v/>
      </c>
      <c r="L561" s="7" t="n"/>
      <c r="M561" s="7" t="n"/>
      <c r="N561">
        <f>IF(D561="", "Gap - No Legal Basis", IF(AND(D561="Consent (GDPR Art. 6(1)(a))", I561="Not Captured"), "Gap - Invalid Consent", IF(AND(D561="Legitimate Interest (GDPR Art. 6(1)(f))", L561=""), "Gap - Missing LIA", IF(AND(G561="Yes", H561=""), "Gap - Missing Art. 9 Basis", IF(OR(I561="Invalid - Not Freely Given", I561="Invalid - Not Specific", I561="Invalid - Not Informed", I561="Invalid - Ambiguous"), "Gap - Invalid Consent", "Compliant")))))</f>
        <v/>
      </c>
      <c r="O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IF(D562="Legitimate Interest (GDPR Art. 6(1)(f))", "Yes / Required (Sheet 3)", "")</f>
        <v/>
      </c>
      <c r="L562" s="7" t="n"/>
      <c r="M562" s="7" t="n"/>
      <c r="N562">
        <f>IF(D562="", "Gap - No Legal Basis", IF(AND(D562="Consent (GDPR Art. 6(1)(a))", I562="Not Captured"), "Gap - Invalid Consent", IF(AND(D562="Legitimate Interest (GDPR Art. 6(1)(f))", L562=""), "Gap - Missing LIA", IF(AND(G562="Yes", H562=""), "Gap - Missing Art. 9 Basis", IF(OR(I562="Invalid - Not Freely Given", I562="Invalid - Not Specific", I562="Invalid - Not Informed", I562="Invalid - Ambiguous"), "Gap - Invalid Consent", "Compliant")))))</f>
        <v/>
      </c>
      <c r="O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IF(D563="Legitimate Interest (GDPR Art. 6(1)(f))", "Yes / Required (Sheet 3)", "")</f>
        <v/>
      </c>
      <c r="L563" s="7" t="n"/>
      <c r="M563" s="7" t="n"/>
      <c r="N563">
        <f>IF(D563="", "Gap - No Legal Basis", IF(AND(D563="Consent (GDPR Art. 6(1)(a))", I563="Not Captured"), "Gap - Invalid Consent", IF(AND(D563="Legitimate Interest (GDPR Art. 6(1)(f))", L563=""), "Gap - Missing LIA", IF(AND(G563="Yes", H563=""), "Gap - Missing Art. 9 Basis", IF(OR(I563="Invalid - Not Freely Given", I563="Invalid - Not Specific", I563="Invalid - Not Informed", I563="Invalid - Ambiguous"), "Gap - Invalid Consent", "Compliant")))))</f>
        <v/>
      </c>
      <c r="O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IF(D564="Legitimate Interest (GDPR Art. 6(1)(f))", "Yes / Required (Sheet 3)", "")</f>
        <v/>
      </c>
      <c r="L564" s="7" t="n"/>
      <c r="M564" s="7" t="n"/>
      <c r="N564">
        <f>IF(D564="", "Gap - No Legal Basis", IF(AND(D564="Consent (GDPR Art. 6(1)(a))", I564="Not Captured"), "Gap - Invalid Consent", IF(AND(D564="Legitimate Interest (GDPR Art. 6(1)(f))", L564=""), "Gap - Missing LIA", IF(AND(G564="Yes", H564=""), "Gap - Missing Art. 9 Basis", IF(OR(I564="Invalid - Not Freely Given", I564="Invalid - Not Specific", I564="Invalid - Not Informed", I564="Invalid - Ambiguous"), "Gap - Invalid Consent", "Compliant")))))</f>
        <v/>
      </c>
      <c r="O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IF(D565="Legitimate Interest (GDPR Art. 6(1)(f))", "Yes / Required (Sheet 3)", "")</f>
        <v/>
      </c>
      <c r="L565" s="7" t="n"/>
      <c r="M565" s="7" t="n"/>
      <c r="N565">
        <f>IF(D565="", "Gap - No Legal Basis", IF(AND(D565="Consent (GDPR Art. 6(1)(a))", I565="Not Captured"), "Gap - Invalid Consent", IF(AND(D565="Legitimate Interest (GDPR Art. 6(1)(f))", L565=""), "Gap - Missing LIA", IF(AND(G565="Yes", H565=""), "Gap - Missing Art. 9 Basis", IF(OR(I565="Invalid - Not Freely Given", I565="Invalid - Not Specific", I565="Invalid - Not Informed", I565="Invalid - Ambiguous"), "Gap - Invalid Consent", "Compliant")))))</f>
        <v/>
      </c>
      <c r="O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IF(D566="Legitimate Interest (GDPR Art. 6(1)(f))", "Yes / Required (Sheet 3)", "")</f>
        <v/>
      </c>
      <c r="L566" s="7" t="n"/>
      <c r="M566" s="7" t="n"/>
      <c r="N566">
        <f>IF(D566="", "Gap - No Legal Basis", IF(AND(D566="Consent (GDPR Art. 6(1)(a))", I566="Not Captured"), "Gap - Invalid Consent", IF(AND(D566="Legitimate Interest (GDPR Art. 6(1)(f))", L566=""), "Gap - Missing LIA", IF(AND(G566="Yes", H566=""), "Gap - Missing Art. 9 Basis", IF(OR(I566="Invalid - Not Freely Given", I566="Invalid - Not Specific", I566="Invalid - Not Informed", I566="Invalid - Ambiguous"), "Gap - Invalid Consent", "Compliant")))))</f>
        <v/>
      </c>
      <c r="O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IF(D567="Legitimate Interest (GDPR Art. 6(1)(f))", "Yes / Required (Sheet 3)", "")</f>
        <v/>
      </c>
      <c r="L567" s="7" t="n"/>
      <c r="M567" s="7" t="n"/>
      <c r="N567">
        <f>IF(D567="", "Gap - No Legal Basis", IF(AND(D567="Consent (GDPR Art. 6(1)(a))", I567="Not Captured"), "Gap - Invalid Consent", IF(AND(D567="Legitimate Interest (GDPR Art. 6(1)(f))", L567=""), "Gap - Missing LIA", IF(AND(G567="Yes", H567=""), "Gap - Missing Art. 9 Basis", IF(OR(I567="Invalid - Not Freely Given", I567="Invalid - Not Specific", I567="Invalid - Not Informed", I567="Invalid - Ambiguous"), "Gap - Invalid Consent", "Compliant")))))</f>
        <v/>
      </c>
      <c r="O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IF(D568="Legitimate Interest (GDPR Art. 6(1)(f))", "Yes / Required (Sheet 3)", "")</f>
        <v/>
      </c>
      <c r="L568" s="7" t="n"/>
      <c r="M568" s="7" t="n"/>
      <c r="N568">
        <f>IF(D568="", "Gap - No Legal Basis", IF(AND(D568="Consent (GDPR Art. 6(1)(a))", I568="Not Captured"), "Gap - Invalid Consent", IF(AND(D568="Legitimate Interest (GDPR Art. 6(1)(f))", L568=""), "Gap - Missing LIA", IF(AND(G568="Yes", H568=""), "Gap - Missing Art. 9 Basis", IF(OR(I568="Invalid - Not Freely Given", I568="Invalid - Not Specific", I568="Invalid - Not Informed", I568="Invalid - Ambiguous"), "Gap - Invalid Consent", "Compliant")))))</f>
        <v/>
      </c>
      <c r="O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IF(D569="Legitimate Interest (GDPR Art. 6(1)(f))", "Yes / Required (Sheet 3)", "")</f>
        <v/>
      </c>
      <c r="L569" s="7" t="n"/>
      <c r="M569" s="7" t="n"/>
      <c r="N569">
        <f>IF(D569="", "Gap - No Legal Basis", IF(AND(D569="Consent (GDPR Art. 6(1)(a))", I569="Not Captured"), "Gap - Invalid Consent", IF(AND(D569="Legitimate Interest (GDPR Art. 6(1)(f))", L569=""), "Gap - Missing LIA", IF(AND(G569="Yes", H569=""), "Gap - Missing Art. 9 Basis", IF(OR(I569="Invalid - Not Freely Given", I569="Invalid - Not Specific", I569="Invalid - Not Informed", I569="Invalid - Ambiguous"), "Gap - Invalid Consent", "Compliant")))))</f>
        <v/>
      </c>
      <c r="O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IF(D570="Legitimate Interest (GDPR Art. 6(1)(f))", "Yes / Required (Sheet 3)", "")</f>
        <v/>
      </c>
      <c r="L570" s="7" t="n"/>
      <c r="M570" s="7" t="n"/>
      <c r="N570">
        <f>IF(D570="", "Gap - No Legal Basis", IF(AND(D570="Consent (GDPR Art. 6(1)(a))", I570="Not Captured"), "Gap - Invalid Consent", IF(AND(D570="Legitimate Interest (GDPR Art. 6(1)(f))", L570=""), "Gap - Missing LIA", IF(AND(G570="Yes", H570=""), "Gap - Missing Art. 9 Basis", IF(OR(I570="Invalid - Not Freely Given", I570="Invalid - Not Specific", I570="Invalid - Not Informed", I570="Invalid - Ambiguous"), "Gap - Invalid Consent", "Compliant")))))</f>
        <v/>
      </c>
      <c r="O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IF(D571="Legitimate Interest (GDPR Art. 6(1)(f))", "Yes / Required (Sheet 3)", "")</f>
        <v/>
      </c>
      <c r="L571" s="7" t="n"/>
      <c r="M571" s="7" t="n"/>
      <c r="N571">
        <f>IF(D571="", "Gap - No Legal Basis", IF(AND(D571="Consent (GDPR Art. 6(1)(a))", I571="Not Captured"), "Gap - Invalid Consent", IF(AND(D571="Legitimate Interest (GDPR Art. 6(1)(f))", L571=""), "Gap - Missing LIA", IF(AND(G571="Yes", H571=""), "Gap - Missing Art. 9 Basis", IF(OR(I571="Invalid - Not Freely Given", I571="Invalid - Not Specific", I571="Invalid - Not Informed", I571="Invalid - Ambiguous"), "Gap - Invalid Consent", "Compliant")))))</f>
        <v/>
      </c>
      <c r="O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IF(D572="Legitimate Interest (GDPR Art. 6(1)(f))", "Yes / Required (Sheet 3)", "")</f>
        <v/>
      </c>
      <c r="L572" s="7" t="n"/>
      <c r="M572" s="7" t="n"/>
      <c r="N572">
        <f>IF(D572="", "Gap - No Legal Basis", IF(AND(D572="Consent (GDPR Art. 6(1)(a))", I572="Not Captured"), "Gap - Invalid Consent", IF(AND(D572="Legitimate Interest (GDPR Art. 6(1)(f))", L572=""), "Gap - Missing LIA", IF(AND(G572="Yes", H572=""), "Gap - Missing Art. 9 Basis", IF(OR(I572="Invalid - Not Freely Given", I572="Invalid - Not Specific", I572="Invalid - Not Informed", I572="Invalid - Ambiguous"), "Gap - Invalid Consent", "Compliant")))))</f>
        <v/>
      </c>
      <c r="O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IF(D573="Legitimate Interest (GDPR Art. 6(1)(f))", "Yes / Required (Sheet 3)", "")</f>
        <v/>
      </c>
      <c r="L573" s="7" t="n"/>
      <c r="M573" s="7" t="n"/>
      <c r="N573">
        <f>IF(D573="", "Gap - No Legal Basis", IF(AND(D573="Consent (GDPR Art. 6(1)(a))", I573="Not Captured"), "Gap - Invalid Consent", IF(AND(D573="Legitimate Interest (GDPR Art. 6(1)(f))", L573=""), "Gap - Missing LIA", IF(AND(G573="Yes", H573=""), "Gap - Missing Art. 9 Basis", IF(OR(I573="Invalid - Not Freely Given", I573="Invalid - Not Specific", I573="Invalid - Not Informed", I573="Invalid - Ambiguous"), "Gap - Invalid Consent", "Compliant")))))</f>
        <v/>
      </c>
      <c r="O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IF(D574="Legitimate Interest (GDPR Art. 6(1)(f))", "Yes / Required (Sheet 3)", "")</f>
        <v/>
      </c>
      <c r="L574" s="7" t="n"/>
      <c r="M574" s="7" t="n"/>
      <c r="N574">
        <f>IF(D574="", "Gap - No Legal Basis", IF(AND(D574="Consent (GDPR Art. 6(1)(a))", I574="Not Captured"), "Gap - Invalid Consent", IF(AND(D574="Legitimate Interest (GDPR Art. 6(1)(f))", L574=""), "Gap - Missing LIA", IF(AND(G574="Yes", H574=""), "Gap - Missing Art. 9 Basis", IF(OR(I574="Invalid - Not Freely Given", I574="Invalid - Not Specific", I574="Invalid - Not Informed", I574="Invalid - Ambiguous"), "Gap - Invalid Consent", "Compliant")))))</f>
        <v/>
      </c>
      <c r="O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IF(D575="Legitimate Interest (GDPR Art. 6(1)(f))", "Yes / Required (Sheet 3)", "")</f>
        <v/>
      </c>
      <c r="L575" s="7" t="n"/>
      <c r="M575" s="7" t="n"/>
      <c r="N575">
        <f>IF(D575="", "Gap - No Legal Basis", IF(AND(D575="Consent (GDPR Art. 6(1)(a))", I575="Not Captured"), "Gap - Invalid Consent", IF(AND(D575="Legitimate Interest (GDPR Art. 6(1)(f))", L575=""), "Gap - Missing LIA", IF(AND(G575="Yes", H575=""), "Gap - Missing Art. 9 Basis", IF(OR(I575="Invalid - Not Freely Given", I575="Invalid - Not Specific", I575="Invalid - Not Informed", I575="Invalid - Ambiguous"), "Gap - Invalid Consent", "Compliant")))))</f>
        <v/>
      </c>
      <c r="O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IF(D576="Legitimate Interest (GDPR Art. 6(1)(f))", "Yes / Required (Sheet 3)", "")</f>
        <v/>
      </c>
      <c r="L576" s="7" t="n"/>
      <c r="M576" s="7" t="n"/>
      <c r="N576">
        <f>IF(D576="", "Gap - No Legal Basis", IF(AND(D576="Consent (GDPR Art. 6(1)(a))", I576="Not Captured"), "Gap - Invalid Consent", IF(AND(D576="Legitimate Interest (GDPR Art. 6(1)(f))", L576=""), "Gap - Missing LIA", IF(AND(G576="Yes", H576=""), "Gap - Missing Art. 9 Basis", IF(OR(I576="Invalid - Not Freely Given", I576="Invalid - Not Specific", I576="Invalid - Not Informed", I576="Invalid - Ambiguous"), "Gap - Invalid Consent", "Compliant")))))</f>
        <v/>
      </c>
      <c r="O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IF(D577="Legitimate Interest (GDPR Art. 6(1)(f))", "Yes / Required (Sheet 3)", "")</f>
        <v/>
      </c>
      <c r="L577" s="7" t="n"/>
      <c r="M577" s="7" t="n"/>
      <c r="N577">
        <f>IF(D577="", "Gap - No Legal Basis", IF(AND(D577="Consent (GDPR Art. 6(1)(a))", I577="Not Captured"), "Gap - Invalid Consent", IF(AND(D577="Legitimate Interest (GDPR Art. 6(1)(f))", L577=""), "Gap - Missing LIA", IF(AND(G577="Yes", H577=""), "Gap - Missing Art. 9 Basis", IF(OR(I577="Invalid - Not Freely Given", I577="Invalid - Not Specific", I577="Invalid - Not Informed", I577="Invalid - Ambiguous"), "Gap - Invalid Consent", "Compliant")))))</f>
        <v/>
      </c>
      <c r="O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IF(D578="Legitimate Interest (GDPR Art. 6(1)(f))", "Yes / Required (Sheet 3)", "")</f>
        <v/>
      </c>
      <c r="L578" s="7" t="n"/>
      <c r="M578" s="7" t="n"/>
      <c r="N578">
        <f>IF(D578="", "Gap - No Legal Basis", IF(AND(D578="Consent (GDPR Art. 6(1)(a))", I578="Not Captured"), "Gap - Invalid Consent", IF(AND(D578="Legitimate Interest (GDPR Art. 6(1)(f))", L578=""), "Gap - Missing LIA", IF(AND(G578="Yes", H578=""), "Gap - Missing Art. 9 Basis", IF(OR(I578="Invalid - Not Freely Given", I578="Invalid - Not Specific", I578="Invalid - Not Informed", I578="Invalid - Ambiguous"), "Gap - Invalid Consent", "Compliant")))))</f>
        <v/>
      </c>
      <c r="O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IF(D579="Legitimate Interest (GDPR Art. 6(1)(f))", "Yes / Required (Sheet 3)", "")</f>
        <v/>
      </c>
      <c r="L579" s="7" t="n"/>
      <c r="M579" s="7" t="n"/>
      <c r="N579">
        <f>IF(D579="", "Gap - No Legal Basis", IF(AND(D579="Consent (GDPR Art. 6(1)(a))", I579="Not Captured"), "Gap - Invalid Consent", IF(AND(D579="Legitimate Interest (GDPR Art. 6(1)(f))", L579=""), "Gap - Missing LIA", IF(AND(G579="Yes", H579=""), "Gap - Missing Art. 9 Basis", IF(OR(I579="Invalid - Not Freely Given", I579="Invalid - Not Specific", I579="Invalid - Not Informed", I579="Invalid - Ambiguous"), "Gap - Invalid Consent", "Compliant")))))</f>
        <v/>
      </c>
      <c r="O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IF(D580="Legitimate Interest (GDPR Art. 6(1)(f))", "Yes / Required (Sheet 3)", "")</f>
        <v/>
      </c>
      <c r="L580" s="7" t="n"/>
      <c r="M580" s="7" t="n"/>
      <c r="N580">
        <f>IF(D580="", "Gap - No Legal Basis", IF(AND(D580="Consent (GDPR Art. 6(1)(a))", I580="Not Captured"), "Gap - Invalid Consent", IF(AND(D580="Legitimate Interest (GDPR Art. 6(1)(f))", L580=""), "Gap - Missing LIA", IF(AND(G580="Yes", H580=""), "Gap - Missing Art. 9 Basis", IF(OR(I580="Invalid - Not Freely Given", I580="Invalid - Not Specific", I580="Invalid - Not Informed", I580="Invalid - Ambiguous"), "Gap - Invalid Consent", "Compliant")))))</f>
        <v/>
      </c>
      <c r="O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IF(D581="Legitimate Interest (GDPR Art. 6(1)(f))", "Yes / Required (Sheet 3)", "")</f>
        <v/>
      </c>
      <c r="L581" s="7" t="n"/>
      <c r="M581" s="7" t="n"/>
      <c r="N581">
        <f>IF(D581="", "Gap - No Legal Basis", IF(AND(D581="Consent (GDPR Art. 6(1)(a))", I581="Not Captured"), "Gap - Invalid Consent", IF(AND(D581="Legitimate Interest (GDPR Art. 6(1)(f))", L581=""), "Gap - Missing LIA", IF(AND(G581="Yes", H581=""), "Gap - Missing Art. 9 Basis", IF(OR(I581="Invalid - Not Freely Given", I581="Invalid - Not Specific", I581="Invalid - Not Informed", I581="Invalid - Ambiguous"), "Gap - Invalid Consent", "Compliant")))))</f>
        <v/>
      </c>
      <c r="O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IF(D582="Legitimate Interest (GDPR Art. 6(1)(f))", "Yes / Required (Sheet 3)", "")</f>
        <v/>
      </c>
      <c r="L582" s="7" t="n"/>
      <c r="M582" s="7" t="n"/>
      <c r="N582">
        <f>IF(D582="", "Gap - No Legal Basis", IF(AND(D582="Consent (GDPR Art. 6(1)(a))", I582="Not Captured"), "Gap - Invalid Consent", IF(AND(D582="Legitimate Interest (GDPR Art. 6(1)(f))", L582=""), "Gap - Missing LIA", IF(AND(G582="Yes", H582=""), "Gap - Missing Art. 9 Basis", IF(OR(I582="Invalid - Not Freely Given", I582="Invalid - Not Specific", I582="Invalid - Not Informed", I582="Invalid - Ambiguous"), "Gap - Invalid Consent", "Compliant")))))</f>
        <v/>
      </c>
      <c r="O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IF(D583="Legitimate Interest (GDPR Art. 6(1)(f))", "Yes / Required (Sheet 3)", "")</f>
        <v/>
      </c>
      <c r="L583" s="7" t="n"/>
      <c r="M583" s="7" t="n"/>
      <c r="N583">
        <f>IF(D583="", "Gap - No Legal Basis", IF(AND(D583="Consent (GDPR Art. 6(1)(a))", I583="Not Captured"), "Gap - Invalid Consent", IF(AND(D583="Legitimate Interest (GDPR Art. 6(1)(f))", L583=""), "Gap - Missing LIA", IF(AND(G583="Yes", H583=""), "Gap - Missing Art. 9 Basis", IF(OR(I583="Invalid - Not Freely Given", I583="Invalid - Not Specific", I583="Invalid - Not Informed", I583="Invalid - Ambiguous"), "Gap - Invalid Consent", "Compliant")))))</f>
        <v/>
      </c>
      <c r="O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IF(D584="Legitimate Interest (GDPR Art. 6(1)(f))", "Yes / Required (Sheet 3)", "")</f>
        <v/>
      </c>
      <c r="L584" s="7" t="n"/>
      <c r="M584" s="7" t="n"/>
      <c r="N584">
        <f>IF(D584="", "Gap - No Legal Basis", IF(AND(D584="Consent (GDPR Art. 6(1)(a))", I584="Not Captured"), "Gap - Invalid Consent", IF(AND(D584="Legitimate Interest (GDPR Art. 6(1)(f))", L584=""), "Gap - Missing LIA", IF(AND(G584="Yes", H584=""), "Gap - Missing Art. 9 Basis", IF(OR(I584="Invalid - Not Freely Given", I584="Invalid - Not Specific", I584="Invalid - Not Informed", I584="Invalid - Ambiguous"), "Gap - Invalid Consent", "Compliant")))))</f>
        <v/>
      </c>
      <c r="O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IF(D585="Legitimate Interest (GDPR Art. 6(1)(f))", "Yes / Required (Sheet 3)", "")</f>
        <v/>
      </c>
      <c r="L585" s="7" t="n"/>
      <c r="M585" s="7" t="n"/>
      <c r="N585">
        <f>IF(D585="", "Gap - No Legal Basis", IF(AND(D585="Consent (GDPR Art. 6(1)(a))", I585="Not Captured"), "Gap - Invalid Consent", IF(AND(D585="Legitimate Interest (GDPR Art. 6(1)(f))", L585=""), "Gap - Missing LIA", IF(AND(G585="Yes", H585=""), "Gap - Missing Art. 9 Basis", IF(OR(I585="Invalid - Not Freely Given", I585="Invalid - Not Specific", I585="Invalid - Not Informed", I585="Invalid - Ambiguous"), "Gap - Invalid Consent", "Compliant")))))</f>
        <v/>
      </c>
      <c r="O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IF(D586="Legitimate Interest (GDPR Art. 6(1)(f))", "Yes / Required (Sheet 3)", "")</f>
        <v/>
      </c>
      <c r="L586" s="7" t="n"/>
      <c r="M586" s="7" t="n"/>
      <c r="N586">
        <f>IF(D586="", "Gap - No Legal Basis", IF(AND(D586="Consent (GDPR Art. 6(1)(a))", I586="Not Captured"), "Gap - Invalid Consent", IF(AND(D586="Legitimate Interest (GDPR Art. 6(1)(f))", L586=""), "Gap - Missing LIA", IF(AND(G586="Yes", H586=""), "Gap - Missing Art. 9 Basis", IF(OR(I586="Invalid - Not Freely Given", I586="Invalid - Not Specific", I586="Invalid - Not Informed", I586="Invalid - Ambiguous"), "Gap - Invalid Consent", "Compliant")))))</f>
        <v/>
      </c>
      <c r="O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IF(D587="Legitimate Interest (GDPR Art. 6(1)(f))", "Yes / Required (Sheet 3)", "")</f>
        <v/>
      </c>
      <c r="L587" s="7" t="n"/>
      <c r="M587" s="7" t="n"/>
      <c r="N587">
        <f>IF(D587="", "Gap - No Legal Basis", IF(AND(D587="Consent (GDPR Art. 6(1)(a))", I587="Not Captured"), "Gap - Invalid Consent", IF(AND(D587="Legitimate Interest (GDPR Art. 6(1)(f))", L587=""), "Gap - Missing LIA", IF(AND(G587="Yes", H587=""), "Gap - Missing Art. 9 Basis", IF(OR(I587="Invalid - Not Freely Given", I587="Invalid - Not Specific", I587="Invalid - Not Informed", I587="Invalid - Ambiguous"), "Gap - Invalid Consent", "Compliant")))))</f>
        <v/>
      </c>
      <c r="O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IF(D588="Legitimate Interest (GDPR Art. 6(1)(f))", "Yes / Required (Sheet 3)", "")</f>
        <v/>
      </c>
      <c r="L588" s="7" t="n"/>
      <c r="M588" s="7" t="n"/>
      <c r="N588">
        <f>IF(D588="", "Gap - No Legal Basis", IF(AND(D588="Consent (GDPR Art. 6(1)(a))", I588="Not Captured"), "Gap - Invalid Consent", IF(AND(D588="Legitimate Interest (GDPR Art. 6(1)(f))", L588=""), "Gap - Missing LIA", IF(AND(G588="Yes", H588=""), "Gap - Missing Art. 9 Basis", IF(OR(I588="Invalid - Not Freely Given", I588="Invalid - Not Specific", I588="Invalid - Not Informed", I588="Invalid - Ambiguous"), "Gap - Invalid Consent", "Compliant")))))</f>
        <v/>
      </c>
      <c r="O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IF(D589="Legitimate Interest (GDPR Art. 6(1)(f))", "Yes / Required (Sheet 3)", "")</f>
        <v/>
      </c>
      <c r="L589" s="7" t="n"/>
      <c r="M589" s="7" t="n"/>
      <c r="N589">
        <f>IF(D589="", "Gap - No Legal Basis", IF(AND(D589="Consent (GDPR Art. 6(1)(a))", I589="Not Captured"), "Gap - Invalid Consent", IF(AND(D589="Legitimate Interest (GDPR Art. 6(1)(f))", L589=""), "Gap - Missing LIA", IF(AND(G589="Yes", H589=""), "Gap - Missing Art. 9 Basis", IF(OR(I589="Invalid - Not Freely Given", I589="Invalid - Not Specific", I589="Invalid - Not Informed", I589="Invalid - Ambiguous"), "Gap - Invalid Consent", "Compliant")))))</f>
        <v/>
      </c>
      <c r="O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IF(D590="Legitimate Interest (GDPR Art. 6(1)(f))", "Yes / Required (Sheet 3)", "")</f>
        <v/>
      </c>
      <c r="L590" s="7" t="n"/>
      <c r="M590" s="7" t="n"/>
      <c r="N590">
        <f>IF(D590="", "Gap - No Legal Basis", IF(AND(D590="Consent (GDPR Art. 6(1)(a))", I590="Not Captured"), "Gap - Invalid Consent", IF(AND(D590="Legitimate Interest (GDPR Art. 6(1)(f))", L590=""), "Gap - Missing LIA", IF(AND(G590="Yes", H590=""), "Gap - Missing Art. 9 Basis", IF(OR(I590="Invalid - Not Freely Given", I590="Invalid - Not Specific", I590="Invalid - Not Informed", I590="Invalid - Ambiguous"), "Gap - Invalid Consent", "Compliant")))))</f>
        <v/>
      </c>
      <c r="O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IF(D591="Legitimate Interest (GDPR Art. 6(1)(f))", "Yes / Required (Sheet 3)", "")</f>
        <v/>
      </c>
      <c r="L591" s="7" t="n"/>
      <c r="M591" s="7" t="n"/>
      <c r="N591">
        <f>IF(D591="", "Gap - No Legal Basis", IF(AND(D591="Consent (GDPR Art. 6(1)(a))", I591="Not Captured"), "Gap - Invalid Consent", IF(AND(D591="Legitimate Interest (GDPR Art. 6(1)(f))", L591=""), "Gap - Missing LIA", IF(AND(G591="Yes", H591=""), "Gap - Missing Art. 9 Basis", IF(OR(I591="Invalid - Not Freely Given", I591="Invalid - Not Specific", I591="Invalid - Not Informed", I591="Invalid - Ambiguous"), "Gap - Invalid Consent", "Compliant")))))</f>
        <v/>
      </c>
      <c r="O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IF(D592="Legitimate Interest (GDPR Art. 6(1)(f))", "Yes / Required (Sheet 3)", "")</f>
        <v/>
      </c>
      <c r="L592" s="7" t="n"/>
      <c r="M592" s="7" t="n"/>
      <c r="N592">
        <f>IF(D592="", "Gap - No Legal Basis", IF(AND(D592="Consent (GDPR Art. 6(1)(a))", I592="Not Captured"), "Gap - Invalid Consent", IF(AND(D592="Legitimate Interest (GDPR Art. 6(1)(f))", L592=""), "Gap - Missing LIA", IF(AND(G592="Yes", H592=""), "Gap - Missing Art. 9 Basis", IF(OR(I592="Invalid - Not Freely Given", I592="Invalid - Not Specific", I592="Invalid - Not Informed", I592="Invalid - Ambiguous"), "Gap - Invalid Consent", "Compliant")))))</f>
        <v/>
      </c>
      <c r="O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IF(D593="Legitimate Interest (GDPR Art. 6(1)(f))", "Yes / Required (Sheet 3)", "")</f>
        <v/>
      </c>
      <c r="L593" s="7" t="n"/>
      <c r="M593" s="7" t="n"/>
      <c r="N593">
        <f>IF(D593="", "Gap - No Legal Basis", IF(AND(D593="Consent (GDPR Art. 6(1)(a))", I593="Not Captured"), "Gap - Invalid Consent", IF(AND(D593="Legitimate Interest (GDPR Art. 6(1)(f))", L593=""), "Gap - Missing LIA", IF(AND(G593="Yes", H593=""), "Gap - Missing Art. 9 Basis", IF(OR(I593="Invalid - Not Freely Given", I593="Invalid - Not Specific", I593="Invalid - Not Informed", I593="Invalid - Ambiguous"), "Gap - Invalid Consent", "Compliant")))))</f>
        <v/>
      </c>
      <c r="O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IF(D594="Legitimate Interest (GDPR Art. 6(1)(f))", "Yes / Required (Sheet 3)", "")</f>
        <v/>
      </c>
      <c r="L594" s="7" t="n"/>
      <c r="M594" s="7" t="n"/>
      <c r="N594">
        <f>IF(D594="", "Gap - No Legal Basis", IF(AND(D594="Consent (GDPR Art. 6(1)(a))", I594="Not Captured"), "Gap - Invalid Consent", IF(AND(D594="Legitimate Interest (GDPR Art. 6(1)(f))", L594=""), "Gap - Missing LIA", IF(AND(G594="Yes", H594=""), "Gap - Missing Art. 9 Basis", IF(OR(I594="Invalid - Not Freely Given", I594="Invalid - Not Specific", I594="Invalid - Not Informed", I594="Invalid - Ambiguous"), "Gap - Invalid Consent", "Compliant")))))</f>
        <v/>
      </c>
      <c r="O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IF(D595="Legitimate Interest (GDPR Art. 6(1)(f))", "Yes / Required (Sheet 3)", "")</f>
        <v/>
      </c>
      <c r="L595" s="7" t="n"/>
      <c r="M595" s="7" t="n"/>
      <c r="N595">
        <f>IF(D595="", "Gap - No Legal Basis", IF(AND(D595="Consent (GDPR Art. 6(1)(a))", I595="Not Captured"), "Gap - Invalid Consent", IF(AND(D595="Legitimate Interest (GDPR Art. 6(1)(f))", L595=""), "Gap - Missing LIA", IF(AND(G595="Yes", H595=""), "Gap - Missing Art. 9 Basis", IF(OR(I595="Invalid - Not Freely Given", I595="Invalid - Not Specific", I595="Invalid - Not Informed", I595="Invalid - Ambiguous"), "Gap - Invalid Consent", "Compliant")))))</f>
        <v/>
      </c>
      <c r="O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IF(D596="Legitimate Interest (GDPR Art. 6(1)(f))", "Yes / Required (Sheet 3)", "")</f>
        <v/>
      </c>
      <c r="L596" s="7" t="n"/>
      <c r="M596" s="7" t="n"/>
      <c r="N596">
        <f>IF(D596="", "Gap - No Legal Basis", IF(AND(D596="Consent (GDPR Art. 6(1)(a))", I596="Not Captured"), "Gap - Invalid Consent", IF(AND(D596="Legitimate Interest (GDPR Art. 6(1)(f))", L596=""), "Gap - Missing LIA", IF(AND(G596="Yes", H596=""), "Gap - Missing Art. 9 Basis", IF(OR(I596="Invalid - Not Freely Given", I596="Invalid - Not Specific", I596="Invalid - Not Informed", I596="Invalid - Ambiguous"), "Gap - Invalid Consent", "Compliant")))))</f>
        <v/>
      </c>
      <c r="O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IF(D597="Legitimate Interest (GDPR Art. 6(1)(f))", "Yes / Required (Sheet 3)", "")</f>
        <v/>
      </c>
      <c r="L597" s="7" t="n"/>
      <c r="M597" s="7" t="n"/>
      <c r="N597">
        <f>IF(D597="", "Gap - No Legal Basis", IF(AND(D597="Consent (GDPR Art. 6(1)(a))", I597="Not Captured"), "Gap - Invalid Consent", IF(AND(D597="Legitimate Interest (GDPR Art. 6(1)(f))", L597=""), "Gap - Missing LIA", IF(AND(G597="Yes", H597=""), "Gap - Missing Art. 9 Basis", IF(OR(I597="Invalid - Not Freely Given", I597="Invalid - Not Specific", I597="Invalid - Not Informed", I597="Invalid - Ambiguous"), "Gap - Invalid Consent", "Compliant")))))</f>
        <v/>
      </c>
      <c r="O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IF(D598="Legitimate Interest (GDPR Art. 6(1)(f))", "Yes / Required (Sheet 3)", "")</f>
        <v/>
      </c>
      <c r="L598" s="7" t="n"/>
      <c r="M598" s="7" t="n"/>
      <c r="N598">
        <f>IF(D598="", "Gap - No Legal Basis", IF(AND(D598="Consent (GDPR Art. 6(1)(a))", I598="Not Captured"), "Gap - Invalid Consent", IF(AND(D598="Legitimate Interest (GDPR Art. 6(1)(f))", L598=""), "Gap - Missing LIA", IF(AND(G598="Yes", H598=""), "Gap - Missing Art. 9 Basis", IF(OR(I598="Invalid - Not Freely Given", I598="Invalid - Not Specific", I598="Invalid - Not Informed", I598="Invalid - Ambiguous"), "Gap - Invalid Consent", "Compliant")))))</f>
        <v/>
      </c>
      <c r="O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IF(D599="Legitimate Interest (GDPR Art. 6(1)(f))", "Yes / Required (Sheet 3)", "")</f>
        <v/>
      </c>
      <c r="L599" s="7" t="n"/>
      <c r="M599" s="7" t="n"/>
      <c r="N599">
        <f>IF(D599="", "Gap - No Legal Basis", IF(AND(D599="Consent (GDPR Art. 6(1)(a))", I599="Not Captured"), "Gap - Invalid Consent", IF(AND(D599="Legitimate Interest (GDPR Art. 6(1)(f))", L599=""), "Gap - Missing LIA", IF(AND(G599="Yes", H599=""), "Gap - Missing Art. 9 Basis", IF(OR(I599="Invalid - Not Freely Given", I599="Invalid - Not Specific", I599="Invalid - Not Informed", I599="Invalid - Ambiguous"), "Gap - Invalid Consent", "Compliant")))))</f>
        <v/>
      </c>
      <c r="O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IF(D600="Legitimate Interest (GDPR Art. 6(1)(f))", "Yes / Required (Sheet 3)", "")</f>
        <v/>
      </c>
      <c r="L600" s="7" t="n"/>
      <c r="M600" s="7" t="n"/>
      <c r="N600">
        <f>IF(D600="", "Gap - No Legal Basis", IF(AND(D600="Consent (GDPR Art. 6(1)(a))", I600="Not Captured"), "Gap - Invalid Consent", IF(AND(D600="Legitimate Interest (GDPR Art. 6(1)(f))", L600=""), "Gap - Missing LIA", IF(AND(G600="Yes", H600=""), "Gap - Missing Art. 9 Basis", IF(OR(I600="Invalid - Not Freely Given", I600="Invalid - Not Specific", I600="Invalid - Not Informed", I600="Invalid - Ambiguous"), "Gap - Invalid Consent", "Compliant")))))</f>
        <v/>
      </c>
      <c r="O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IF(D601="Legitimate Interest (GDPR Art. 6(1)(f))", "Yes / Required (Sheet 3)", "")</f>
        <v/>
      </c>
      <c r="L601" s="7" t="n"/>
      <c r="M601" s="7" t="n"/>
      <c r="N601">
        <f>IF(D601="", "Gap - No Legal Basis", IF(AND(D601="Consent (GDPR Art. 6(1)(a))", I601="Not Captured"), "Gap - Invalid Consent", IF(AND(D601="Legitimate Interest (GDPR Art. 6(1)(f))", L601=""), "Gap - Missing LIA", IF(AND(G601="Yes", H601=""), "Gap - Missing Art. 9 Basis", IF(OR(I601="Invalid - Not Freely Given", I601="Invalid - Not Specific", I601="Invalid - Not Informed", I601="Invalid - Ambiguous"), "Gap - Invalid Consent", "Compliant")))))</f>
        <v/>
      </c>
      <c r="O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IF(D602="Legitimate Interest (GDPR Art. 6(1)(f))", "Yes / Required (Sheet 3)", "")</f>
        <v/>
      </c>
      <c r="L602" s="7" t="n"/>
      <c r="M602" s="7" t="n"/>
      <c r="N602">
        <f>IF(D602="", "Gap - No Legal Basis", IF(AND(D602="Consent (GDPR Art. 6(1)(a))", I602="Not Captured"), "Gap - Invalid Consent", IF(AND(D602="Legitimate Interest (GDPR Art. 6(1)(f))", L602=""), "Gap - Missing LIA", IF(AND(G602="Yes", H602=""), "Gap - Missing Art. 9 Basis", IF(OR(I602="Invalid - Not Freely Given", I602="Invalid - Not Specific", I602="Invalid - Not Informed", I602="Invalid - Ambiguous"), "Gap - Invalid Consent", "Compliant")))))</f>
        <v/>
      </c>
      <c r="O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IF(D603="Legitimate Interest (GDPR Art. 6(1)(f))", "Yes / Required (Sheet 3)", "")</f>
        <v/>
      </c>
      <c r="L603" s="7" t="n"/>
      <c r="M603" s="7" t="n"/>
      <c r="N603">
        <f>IF(D603="", "Gap - No Legal Basis", IF(AND(D603="Consent (GDPR Art. 6(1)(a))", I603="Not Captured"), "Gap - Invalid Consent", IF(AND(D603="Legitimate Interest (GDPR Art. 6(1)(f))", L603=""), "Gap - Missing LIA", IF(AND(G603="Yes", H603=""), "Gap - Missing Art. 9 Basis", IF(OR(I603="Invalid - Not Freely Given", I603="Invalid - Not Specific", I603="Invalid - Not Informed", I603="Invalid - Ambiguous"), "Gap - Invalid Consent", "Compliant")))))</f>
        <v/>
      </c>
      <c r="O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IF(D604="Legitimate Interest (GDPR Art. 6(1)(f))", "Yes / Required (Sheet 3)", "")</f>
        <v/>
      </c>
      <c r="L604" s="7" t="n"/>
      <c r="M604" s="7" t="n"/>
      <c r="N604">
        <f>IF(D604="", "Gap - No Legal Basis", IF(AND(D604="Consent (GDPR Art. 6(1)(a))", I604="Not Captured"), "Gap - Invalid Consent", IF(AND(D604="Legitimate Interest (GDPR Art. 6(1)(f))", L604=""), "Gap - Missing LIA", IF(AND(G604="Yes", H604=""), "Gap - Missing Art. 9 Basis", IF(OR(I604="Invalid - Not Freely Given", I604="Invalid - Not Specific", I604="Invalid - Not Informed", I604="Invalid - Ambiguous"), "Gap - Invalid Consent", "Compliant")))))</f>
        <v/>
      </c>
      <c r="O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IF(D605="Legitimate Interest (GDPR Art. 6(1)(f))", "Yes / Required (Sheet 3)", "")</f>
        <v/>
      </c>
      <c r="L605" s="7" t="n"/>
      <c r="M605" s="7" t="n"/>
      <c r="N605">
        <f>IF(D605="", "Gap - No Legal Basis", IF(AND(D605="Consent (GDPR Art. 6(1)(a))", I605="Not Captured"), "Gap - Invalid Consent", IF(AND(D605="Legitimate Interest (GDPR Art. 6(1)(f))", L605=""), "Gap - Missing LIA", IF(AND(G605="Yes", H605=""), "Gap - Missing Art. 9 Basis", IF(OR(I605="Invalid - Not Freely Given", I605="Invalid - Not Specific", I605="Invalid - Not Informed", I605="Invalid - Ambiguous"), "Gap - Invalid Consent", "Compliant")))))</f>
        <v/>
      </c>
      <c r="O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IF(D606="Legitimate Interest (GDPR Art. 6(1)(f))", "Yes / Required (Sheet 3)", "")</f>
        <v/>
      </c>
      <c r="L606" s="7" t="n"/>
      <c r="M606" s="7" t="n"/>
      <c r="N606">
        <f>IF(D606="", "Gap - No Legal Basis", IF(AND(D606="Consent (GDPR Art. 6(1)(a))", I606="Not Captured"), "Gap - Invalid Consent", IF(AND(D606="Legitimate Interest (GDPR Art. 6(1)(f))", L606=""), "Gap - Missing LIA", IF(AND(G606="Yes", H606=""), "Gap - Missing Art. 9 Basis", IF(OR(I606="Invalid - Not Freely Given", I606="Invalid - Not Specific", I606="Invalid - Not Informed", I606="Invalid - Ambiguous"), "Gap - Invalid Consent", "Compliant")))))</f>
        <v/>
      </c>
      <c r="O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IF(D607="Legitimate Interest (GDPR Art. 6(1)(f))", "Yes / Required (Sheet 3)", "")</f>
        <v/>
      </c>
      <c r="L607" s="7" t="n"/>
      <c r="M607" s="7" t="n"/>
      <c r="N607">
        <f>IF(D607="", "Gap - No Legal Basis", IF(AND(D607="Consent (GDPR Art. 6(1)(a))", I607="Not Captured"), "Gap - Invalid Consent", IF(AND(D607="Legitimate Interest (GDPR Art. 6(1)(f))", L607=""), "Gap - Missing LIA", IF(AND(G607="Yes", H607=""), "Gap - Missing Art. 9 Basis", IF(OR(I607="Invalid - Not Freely Given", I607="Invalid - Not Specific", I607="Invalid - Not Informed", I607="Invalid - Ambiguous"), "Gap - Invalid Consent", "Compliant")))))</f>
        <v/>
      </c>
      <c r="O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IF(D608="Legitimate Interest (GDPR Art. 6(1)(f))", "Yes / Required (Sheet 3)", "")</f>
        <v/>
      </c>
      <c r="L608" s="7" t="n"/>
      <c r="M608" s="7" t="n"/>
      <c r="N608">
        <f>IF(D608="", "Gap - No Legal Basis", IF(AND(D608="Consent (GDPR Art. 6(1)(a))", I608="Not Captured"), "Gap - Invalid Consent", IF(AND(D608="Legitimate Interest (GDPR Art. 6(1)(f))", L608=""), "Gap - Missing LIA", IF(AND(G608="Yes", H608=""), "Gap - Missing Art. 9 Basis", IF(OR(I608="Invalid - Not Freely Given", I608="Invalid - Not Specific", I608="Invalid - Not Informed", I608="Invalid - Ambiguous"), "Gap - Invalid Consent", "Compliant")))))</f>
        <v/>
      </c>
      <c r="O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IF(D609="Legitimate Interest (GDPR Art. 6(1)(f))", "Yes / Required (Sheet 3)", "")</f>
        <v/>
      </c>
      <c r="L609" s="7" t="n"/>
      <c r="M609" s="7" t="n"/>
      <c r="N609">
        <f>IF(D609="", "Gap - No Legal Basis", IF(AND(D609="Consent (GDPR Art. 6(1)(a))", I609="Not Captured"), "Gap - Invalid Consent", IF(AND(D609="Legitimate Interest (GDPR Art. 6(1)(f))", L609=""), "Gap - Missing LIA", IF(AND(G609="Yes", H609=""), "Gap - Missing Art. 9 Basis", IF(OR(I609="Invalid - Not Freely Given", I609="Invalid - Not Specific", I609="Invalid - Not Informed", I609="Invalid - Ambiguous"), "Gap - Invalid Consent", "Compliant")))))</f>
        <v/>
      </c>
      <c r="O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IF(D610="Legitimate Interest (GDPR Art. 6(1)(f))", "Yes / Required (Sheet 3)", "")</f>
        <v/>
      </c>
      <c r="L610" s="7" t="n"/>
      <c r="M610" s="7" t="n"/>
      <c r="N610">
        <f>IF(D610="", "Gap - No Legal Basis", IF(AND(D610="Consent (GDPR Art. 6(1)(a))", I610="Not Captured"), "Gap - Invalid Consent", IF(AND(D610="Legitimate Interest (GDPR Art. 6(1)(f))", L610=""), "Gap - Missing LIA", IF(AND(G610="Yes", H610=""), "Gap - Missing Art. 9 Basis", IF(OR(I610="Invalid - Not Freely Given", I610="Invalid - Not Specific", I610="Invalid - Not Informed", I610="Invalid - Ambiguous"), "Gap - Invalid Consent", "Compliant")))))</f>
        <v/>
      </c>
      <c r="O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IF(D611="Legitimate Interest (GDPR Art. 6(1)(f))", "Yes / Required (Sheet 3)", "")</f>
        <v/>
      </c>
      <c r="L611" s="7" t="n"/>
      <c r="M611" s="7" t="n"/>
      <c r="N611">
        <f>IF(D611="", "Gap - No Legal Basis", IF(AND(D611="Consent (GDPR Art. 6(1)(a))", I611="Not Captured"), "Gap - Invalid Consent", IF(AND(D611="Legitimate Interest (GDPR Art. 6(1)(f))", L611=""), "Gap - Missing LIA", IF(AND(G611="Yes", H611=""), "Gap - Missing Art. 9 Basis", IF(OR(I611="Invalid - Not Freely Given", I611="Invalid - Not Specific", I611="Invalid - Not Informed", I611="Invalid - Ambiguous"), "Gap - Invalid Consent", "Compliant")))))</f>
        <v/>
      </c>
      <c r="O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IF(D612="Legitimate Interest (GDPR Art. 6(1)(f))", "Yes / Required (Sheet 3)", "")</f>
        <v/>
      </c>
      <c r="L612" s="7" t="n"/>
      <c r="M612" s="7" t="n"/>
      <c r="N612">
        <f>IF(D612="", "Gap - No Legal Basis", IF(AND(D612="Consent (GDPR Art. 6(1)(a))", I612="Not Captured"), "Gap - Invalid Consent", IF(AND(D612="Legitimate Interest (GDPR Art. 6(1)(f))", L612=""), "Gap - Missing LIA", IF(AND(G612="Yes", H612=""), "Gap - Missing Art. 9 Basis", IF(OR(I612="Invalid - Not Freely Given", I612="Invalid - Not Specific", I612="Invalid - Not Informed", I612="Invalid - Ambiguous"), "Gap - Invalid Consent", "Compliant")))))</f>
        <v/>
      </c>
      <c r="O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IF(D613="Legitimate Interest (GDPR Art. 6(1)(f))", "Yes / Required (Sheet 3)", "")</f>
        <v/>
      </c>
      <c r="L613" s="7" t="n"/>
      <c r="M613" s="7" t="n"/>
      <c r="N613">
        <f>IF(D613="", "Gap - No Legal Basis", IF(AND(D613="Consent (GDPR Art. 6(1)(a))", I613="Not Captured"), "Gap - Invalid Consent", IF(AND(D613="Legitimate Interest (GDPR Art. 6(1)(f))", L613=""), "Gap - Missing LIA", IF(AND(G613="Yes", H613=""), "Gap - Missing Art. 9 Basis", IF(OR(I613="Invalid - Not Freely Given", I613="Invalid - Not Specific", I613="Invalid - Not Informed", I613="Invalid - Ambiguous"), "Gap - Invalid Consent", "Compliant")))))</f>
        <v/>
      </c>
      <c r="O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IF(D614="Legitimate Interest (GDPR Art. 6(1)(f))", "Yes / Required (Sheet 3)", "")</f>
        <v/>
      </c>
      <c r="L614" s="7" t="n"/>
      <c r="M614" s="7" t="n"/>
      <c r="N614">
        <f>IF(D614="", "Gap - No Legal Basis", IF(AND(D614="Consent (GDPR Art. 6(1)(a))", I614="Not Captured"), "Gap - Invalid Consent", IF(AND(D614="Legitimate Interest (GDPR Art. 6(1)(f))", L614=""), "Gap - Missing LIA", IF(AND(G614="Yes", H614=""), "Gap - Missing Art. 9 Basis", IF(OR(I614="Invalid - Not Freely Given", I614="Invalid - Not Specific", I614="Invalid - Not Informed", I614="Invalid - Ambiguous"), "Gap - Invalid Consent", "Compliant")))))</f>
        <v/>
      </c>
      <c r="O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IF(D615="Legitimate Interest (GDPR Art. 6(1)(f))", "Yes / Required (Sheet 3)", "")</f>
        <v/>
      </c>
      <c r="L615" s="7" t="n"/>
      <c r="M615" s="7" t="n"/>
      <c r="N615">
        <f>IF(D615="", "Gap - No Legal Basis", IF(AND(D615="Consent (GDPR Art. 6(1)(a))", I615="Not Captured"), "Gap - Invalid Consent", IF(AND(D615="Legitimate Interest (GDPR Art. 6(1)(f))", L615=""), "Gap - Missing LIA", IF(AND(G615="Yes", H615=""), "Gap - Missing Art. 9 Basis", IF(OR(I615="Invalid - Not Freely Given", I615="Invalid - Not Specific", I615="Invalid - Not Informed", I615="Invalid - Ambiguous"), "Gap - Invalid Consent", "Compliant")))))</f>
        <v/>
      </c>
      <c r="O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IF(D616="Legitimate Interest (GDPR Art. 6(1)(f))", "Yes / Required (Sheet 3)", "")</f>
        <v/>
      </c>
      <c r="L616" s="7" t="n"/>
      <c r="M616" s="7" t="n"/>
      <c r="N616">
        <f>IF(D616="", "Gap - No Legal Basis", IF(AND(D616="Consent (GDPR Art. 6(1)(a))", I616="Not Captured"), "Gap - Invalid Consent", IF(AND(D616="Legitimate Interest (GDPR Art. 6(1)(f))", L616=""), "Gap - Missing LIA", IF(AND(G616="Yes", H616=""), "Gap - Missing Art. 9 Basis", IF(OR(I616="Invalid - Not Freely Given", I616="Invalid - Not Specific", I616="Invalid - Not Informed", I616="Invalid - Ambiguous"), "Gap - Invalid Consent", "Compliant")))))</f>
        <v/>
      </c>
      <c r="O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IF(D617="Legitimate Interest (GDPR Art. 6(1)(f))", "Yes / Required (Sheet 3)", "")</f>
        <v/>
      </c>
      <c r="L617" s="7" t="n"/>
      <c r="M617" s="7" t="n"/>
      <c r="N617">
        <f>IF(D617="", "Gap - No Legal Basis", IF(AND(D617="Consent (GDPR Art. 6(1)(a))", I617="Not Captured"), "Gap - Invalid Consent", IF(AND(D617="Legitimate Interest (GDPR Art. 6(1)(f))", L617=""), "Gap - Missing LIA", IF(AND(G617="Yes", H617=""), "Gap - Missing Art. 9 Basis", IF(OR(I617="Invalid - Not Freely Given", I617="Invalid - Not Specific", I617="Invalid - Not Informed", I617="Invalid - Ambiguous"), "Gap - Invalid Consent", "Compliant")))))</f>
        <v/>
      </c>
      <c r="O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IF(D618="Legitimate Interest (GDPR Art. 6(1)(f))", "Yes / Required (Sheet 3)", "")</f>
        <v/>
      </c>
      <c r="L618" s="7" t="n"/>
      <c r="M618" s="7" t="n"/>
      <c r="N618">
        <f>IF(D618="", "Gap - No Legal Basis", IF(AND(D618="Consent (GDPR Art. 6(1)(a))", I618="Not Captured"), "Gap - Invalid Consent", IF(AND(D618="Legitimate Interest (GDPR Art. 6(1)(f))", L618=""), "Gap - Missing LIA", IF(AND(G618="Yes", H618=""), "Gap - Missing Art. 9 Basis", IF(OR(I618="Invalid - Not Freely Given", I618="Invalid - Not Specific", I618="Invalid - Not Informed", I618="Invalid - Ambiguous"), "Gap - Invalid Consent", "Compliant")))))</f>
        <v/>
      </c>
      <c r="O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IF(D619="Legitimate Interest (GDPR Art. 6(1)(f))", "Yes / Required (Sheet 3)", "")</f>
        <v/>
      </c>
      <c r="L619" s="7" t="n"/>
      <c r="M619" s="7" t="n"/>
      <c r="N619">
        <f>IF(D619="", "Gap - No Legal Basis", IF(AND(D619="Consent (GDPR Art. 6(1)(a))", I619="Not Captured"), "Gap - Invalid Consent", IF(AND(D619="Legitimate Interest (GDPR Art. 6(1)(f))", L619=""), "Gap - Missing LIA", IF(AND(G619="Yes", H619=""), "Gap - Missing Art. 9 Basis", IF(OR(I619="Invalid - Not Freely Given", I619="Invalid - Not Specific", I619="Invalid - Not Informed", I619="Invalid - Ambiguous"), "Gap - Invalid Consent", "Compliant")))))</f>
        <v/>
      </c>
      <c r="O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IF(D620="Legitimate Interest (GDPR Art. 6(1)(f))", "Yes / Required (Sheet 3)", "")</f>
        <v/>
      </c>
      <c r="L620" s="7" t="n"/>
      <c r="M620" s="7" t="n"/>
      <c r="N620">
        <f>IF(D620="", "Gap - No Legal Basis", IF(AND(D620="Consent (GDPR Art. 6(1)(a))", I620="Not Captured"), "Gap - Invalid Consent", IF(AND(D620="Legitimate Interest (GDPR Art. 6(1)(f))", L620=""), "Gap - Missing LIA", IF(AND(G620="Yes", H620=""), "Gap - Missing Art. 9 Basis", IF(OR(I620="Invalid - Not Freely Given", I620="Invalid - Not Specific", I620="Invalid - Not Informed", I620="Invalid - Ambiguous"), "Gap - Invalid Consent", "Compliant")))))</f>
        <v/>
      </c>
      <c r="O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IF(D621="Legitimate Interest (GDPR Art. 6(1)(f))", "Yes / Required (Sheet 3)", "")</f>
        <v/>
      </c>
      <c r="L621" s="7" t="n"/>
      <c r="M621" s="7" t="n"/>
      <c r="N621">
        <f>IF(D621="", "Gap - No Legal Basis", IF(AND(D621="Consent (GDPR Art. 6(1)(a))", I621="Not Captured"), "Gap - Invalid Consent", IF(AND(D621="Legitimate Interest (GDPR Art. 6(1)(f))", L621=""), "Gap - Missing LIA", IF(AND(G621="Yes", H621=""), "Gap - Missing Art. 9 Basis", IF(OR(I621="Invalid - Not Freely Given", I621="Invalid - Not Specific", I621="Invalid - Not Informed", I621="Invalid - Ambiguous"), "Gap - Invalid Consent", "Compliant")))))</f>
        <v/>
      </c>
      <c r="O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IF(D622="Legitimate Interest (GDPR Art. 6(1)(f))", "Yes / Required (Sheet 3)", "")</f>
        <v/>
      </c>
      <c r="L622" s="7" t="n"/>
      <c r="M622" s="7" t="n"/>
      <c r="N622">
        <f>IF(D622="", "Gap - No Legal Basis", IF(AND(D622="Consent (GDPR Art. 6(1)(a))", I622="Not Captured"), "Gap - Invalid Consent", IF(AND(D622="Legitimate Interest (GDPR Art. 6(1)(f))", L622=""), "Gap - Missing LIA", IF(AND(G622="Yes", H622=""), "Gap - Missing Art. 9 Basis", IF(OR(I622="Invalid - Not Freely Given", I622="Invalid - Not Specific", I622="Invalid - Not Informed", I622="Invalid - Ambiguous"), "Gap - Invalid Consent", "Compliant")))))</f>
        <v/>
      </c>
      <c r="O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IF(D623="Legitimate Interest (GDPR Art. 6(1)(f))", "Yes / Required (Sheet 3)", "")</f>
        <v/>
      </c>
      <c r="L623" s="7" t="n"/>
      <c r="M623" s="7" t="n"/>
      <c r="N623">
        <f>IF(D623="", "Gap - No Legal Basis", IF(AND(D623="Consent (GDPR Art. 6(1)(a))", I623="Not Captured"), "Gap - Invalid Consent", IF(AND(D623="Legitimate Interest (GDPR Art. 6(1)(f))", L623=""), "Gap - Missing LIA", IF(AND(G623="Yes", H623=""), "Gap - Missing Art. 9 Basis", IF(OR(I623="Invalid - Not Freely Given", I623="Invalid - Not Specific", I623="Invalid - Not Informed", I623="Invalid - Ambiguous"), "Gap - Invalid Consent", "Compliant")))))</f>
        <v/>
      </c>
      <c r="O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IF(D624="Legitimate Interest (GDPR Art. 6(1)(f))", "Yes / Required (Sheet 3)", "")</f>
        <v/>
      </c>
      <c r="L624" s="7" t="n"/>
      <c r="M624" s="7" t="n"/>
      <c r="N624">
        <f>IF(D624="", "Gap - No Legal Basis", IF(AND(D624="Consent (GDPR Art. 6(1)(a))", I624="Not Captured"), "Gap - Invalid Consent", IF(AND(D624="Legitimate Interest (GDPR Art. 6(1)(f))", L624=""), "Gap - Missing LIA", IF(AND(G624="Yes", H624=""), "Gap - Missing Art. 9 Basis", IF(OR(I624="Invalid - Not Freely Given", I624="Invalid - Not Specific", I624="Invalid - Not Informed", I624="Invalid - Ambiguous"), "Gap - Invalid Consent", "Compliant")))))</f>
        <v/>
      </c>
      <c r="O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IF(D625="Legitimate Interest (GDPR Art. 6(1)(f))", "Yes / Required (Sheet 3)", "")</f>
        <v/>
      </c>
      <c r="L625" s="7" t="n"/>
      <c r="M625" s="7" t="n"/>
      <c r="N625">
        <f>IF(D625="", "Gap - No Legal Basis", IF(AND(D625="Consent (GDPR Art. 6(1)(a))", I625="Not Captured"), "Gap - Invalid Consent", IF(AND(D625="Legitimate Interest (GDPR Art. 6(1)(f))", L625=""), "Gap - Missing LIA", IF(AND(G625="Yes", H625=""), "Gap - Missing Art. 9 Basis", IF(OR(I625="Invalid - Not Freely Given", I625="Invalid - Not Specific", I625="Invalid - Not Informed", I625="Invalid - Ambiguous"), "Gap - Invalid Consent", "Compliant")))))</f>
        <v/>
      </c>
      <c r="O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IF(D626="Legitimate Interest (GDPR Art. 6(1)(f))", "Yes / Required (Sheet 3)", "")</f>
        <v/>
      </c>
      <c r="L626" s="7" t="n"/>
      <c r="M626" s="7" t="n"/>
      <c r="N626">
        <f>IF(D626="", "Gap - No Legal Basis", IF(AND(D626="Consent (GDPR Art. 6(1)(a))", I626="Not Captured"), "Gap - Invalid Consent", IF(AND(D626="Legitimate Interest (GDPR Art. 6(1)(f))", L626=""), "Gap - Missing LIA", IF(AND(G626="Yes", H626=""), "Gap - Missing Art. 9 Basis", IF(OR(I626="Invalid - Not Freely Given", I626="Invalid - Not Specific", I626="Invalid - Not Informed", I626="Invalid - Ambiguous"), "Gap - Invalid Consent", "Compliant")))))</f>
        <v/>
      </c>
      <c r="O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IF(D627="Legitimate Interest (GDPR Art. 6(1)(f))", "Yes / Required (Sheet 3)", "")</f>
        <v/>
      </c>
      <c r="L627" s="7" t="n"/>
      <c r="M627" s="7" t="n"/>
      <c r="N627">
        <f>IF(D627="", "Gap - No Legal Basis", IF(AND(D627="Consent (GDPR Art. 6(1)(a))", I627="Not Captured"), "Gap - Invalid Consent", IF(AND(D627="Legitimate Interest (GDPR Art. 6(1)(f))", L627=""), "Gap - Missing LIA", IF(AND(G627="Yes", H627=""), "Gap - Missing Art. 9 Basis", IF(OR(I627="Invalid - Not Freely Given", I627="Invalid - Not Specific", I627="Invalid - Not Informed", I627="Invalid - Ambiguous"), "Gap - Invalid Consent", "Compliant")))))</f>
        <v/>
      </c>
      <c r="O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IF(D628="Legitimate Interest (GDPR Art. 6(1)(f))", "Yes / Required (Sheet 3)", "")</f>
        <v/>
      </c>
      <c r="L628" s="7" t="n"/>
      <c r="M628" s="7" t="n"/>
      <c r="N628">
        <f>IF(D628="", "Gap - No Legal Basis", IF(AND(D628="Consent (GDPR Art. 6(1)(a))", I628="Not Captured"), "Gap - Invalid Consent", IF(AND(D628="Legitimate Interest (GDPR Art. 6(1)(f))", L628=""), "Gap - Missing LIA", IF(AND(G628="Yes", H628=""), "Gap - Missing Art. 9 Basis", IF(OR(I628="Invalid - Not Freely Given", I628="Invalid - Not Specific", I628="Invalid - Not Informed", I628="Invalid - Ambiguous"), "Gap - Invalid Consent", "Compliant")))))</f>
        <v/>
      </c>
      <c r="O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IF(D629="Legitimate Interest (GDPR Art. 6(1)(f))", "Yes / Required (Sheet 3)", "")</f>
        <v/>
      </c>
      <c r="L629" s="7" t="n"/>
      <c r="M629" s="7" t="n"/>
      <c r="N629">
        <f>IF(D629="", "Gap - No Legal Basis", IF(AND(D629="Consent (GDPR Art. 6(1)(a))", I629="Not Captured"), "Gap - Invalid Consent", IF(AND(D629="Legitimate Interest (GDPR Art. 6(1)(f))", L629=""), "Gap - Missing LIA", IF(AND(G629="Yes", H629=""), "Gap - Missing Art. 9 Basis", IF(OR(I629="Invalid - Not Freely Given", I629="Invalid - Not Specific", I629="Invalid - Not Informed", I629="Invalid - Ambiguous"), "Gap - Invalid Consent", "Compliant")))))</f>
        <v/>
      </c>
      <c r="O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IF(D630="Legitimate Interest (GDPR Art. 6(1)(f))", "Yes / Required (Sheet 3)", "")</f>
        <v/>
      </c>
      <c r="L630" s="7" t="n"/>
      <c r="M630" s="7" t="n"/>
      <c r="N630">
        <f>IF(D630="", "Gap - No Legal Basis", IF(AND(D630="Consent (GDPR Art. 6(1)(a))", I630="Not Captured"), "Gap - Invalid Consent", IF(AND(D630="Legitimate Interest (GDPR Art. 6(1)(f))", L630=""), "Gap - Missing LIA", IF(AND(G630="Yes", H630=""), "Gap - Missing Art. 9 Basis", IF(OR(I630="Invalid - Not Freely Given", I630="Invalid - Not Specific", I630="Invalid - Not Informed", I630="Invalid - Ambiguous"), "Gap - Invalid Consent", "Compliant")))))</f>
        <v/>
      </c>
      <c r="O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IF(D631="Legitimate Interest (GDPR Art. 6(1)(f))", "Yes / Required (Sheet 3)", "")</f>
        <v/>
      </c>
      <c r="L631" s="7" t="n"/>
      <c r="M631" s="7" t="n"/>
      <c r="N631">
        <f>IF(D631="", "Gap - No Legal Basis", IF(AND(D631="Consent (GDPR Art. 6(1)(a))", I631="Not Captured"), "Gap - Invalid Consent", IF(AND(D631="Legitimate Interest (GDPR Art. 6(1)(f))", L631=""), "Gap - Missing LIA", IF(AND(G631="Yes", H631=""), "Gap - Missing Art. 9 Basis", IF(OR(I631="Invalid - Not Freely Given", I631="Invalid - Not Specific", I631="Invalid - Not Informed", I631="Invalid - Ambiguous"), "Gap - Invalid Consent", "Compliant")))))</f>
        <v/>
      </c>
      <c r="O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IF(D632="Legitimate Interest (GDPR Art. 6(1)(f))", "Yes / Required (Sheet 3)", "")</f>
        <v/>
      </c>
      <c r="L632" s="7" t="n"/>
      <c r="M632" s="7" t="n"/>
      <c r="N632">
        <f>IF(D632="", "Gap - No Legal Basis", IF(AND(D632="Consent (GDPR Art. 6(1)(a))", I632="Not Captured"), "Gap - Invalid Consent", IF(AND(D632="Legitimate Interest (GDPR Art. 6(1)(f))", L632=""), "Gap - Missing LIA", IF(AND(G632="Yes", H632=""), "Gap - Missing Art. 9 Basis", IF(OR(I632="Invalid - Not Freely Given", I632="Invalid - Not Specific", I632="Invalid - Not Informed", I632="Invalid - Ambiguous"), "Gap - Invalid Consent", "Compliant")))))</f>
        <v/>
      </c>
      <c r="O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IF(D633="Legitimate Interest (GDPR Art. 6(1)(f))", "Yes / Required (Sheet 3)", "")</f>
        <v/>
      </c>
      <c r="L633" s="7" t="n"/>
      <c r="M633" s="7" t="n"/>
      <c r="N633">
        <f>IF(D633="", "Gap - No Legal Basis", IF(AND(D633="Consent (GDPR Art. 6(1)(a))", I633="Not Captured"), "Gap - Invalid Consent", IF(AND(D633="Legitimate Interest (GDPR Art. 6(1)(f))", L633=""), "Gap - Missing LIA", IF(AND(G633="Yes", H633=""), "Gap - Missing Art. 9 Basis", IF(OR(I633="Invalid - Not Freely Given", I633="Invalid - Not Specific", I633="Invalid - Not Informed", I633="Invalid - Ambiguous"), "Gap - Invalid Consent", "Compliant")))))</f>
        <v/>
      </c>
      <c r="O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IF(D634="Legitimate Interest (GDPR Art. 6(1)(f))", "Yes / Required (Sheet 3)", "")</f>
        <v/>
      </c>
      <c r="L634" s="7" t="n"/>
      <c r="M634" s="7" t="n"/>
      <c r="N634">
        <f>IF(D634="", "Gap - No Legal Basis", IF(AND(D634="Consent (GDPR Art. 6(1)(a))", I634="Not Captured"), "Gap - Invalid Consent", IF(AND(D634="Legitimate Interest (GDPR Art. 6(1)(f))", L634=""), "Gap - Missing LIA", IF(AND(G634="Yes", H634=""), "Gap - Missing Art. 9 Basis", IF(OR(I634="Invalid - Not Freely Given", I634="Invalid - Not Specific", I634="Invalid - Not Informed", I634="Invalid - Ambiguous"), "Gap - Invalid Consent", "Compliant")))))</f>
        <v/>
      </c>
      <c r="O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IF(D635="Legitimate Interest (GDPR Art. 6(1)(f))", "Yes / Required (Sheet 3)", "")</f>
        <v/>
      </c>
      <c r="L635" s="7" t="n"/>
      <c r="M635" s="7" t="n"/>
      <c r="N635">
        <f>IF(D635="", "Gap - No Legal Basis", IF(AND(D635="Consent (GDPR Art. 6(1)(a))", I635="Not Captured"), "Gap - Invalid Consent", IF(AND(D635="Legitimate Interest (GDPR Art. 6(1)(f))", L635=""), "Gap - Missing LIA", IF(AND(G635="Yes", H635=""), "Gap - Missing Art. 9 Basis", IF(OR(I635="Invalid - Not Freely Given", I635="Invalid - Not Specific", I635="Invalid - Not Informed", I635="Invalid - Ambiguous"), "Gap - Invalid Consent", "Compliant")))))</f>
        <v/>
      </c>
      <c r="O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IF(D636="Legitimate Interest (GDPR Art. 6(1)(f))", "Yes / Required (Sheet 3)", "")</f>
        <v/>
      </c>
      <c r="L636" s="7" t="n"/>
      <c r="M636" s="7" t="n"/>
      <c r="N636">
        <f>IF(D636="", "Gap - No Legal Basis", IF(AND(D636="Consent (GDPR Art. 6(1)(a))", I636="Not Captured"), "Gap - Invalid Consent", IF(AND(D636="Legitimate Interest (GDPR Art. 6(1)(f))", L636=""), "Gap - Missing LIA", IF(AND(G636="Yes", H636=""), "Gap - Missing Art. 9 Basis", IF(OR(I636="Invalid - Not Freely Given", I636="Invalid - Not Specific", I636="Invalid - Not Informed", I636="Invalid - Ambiguous"), "Gap - Invalid Consent", "Compliant")))))</f>
        <v/>
      </c>
      <c r="O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IF(D637="Legitimate Interest (GDPR Art. 6(1)(f))", "Yes / Required (Sheet 3)", "")</f>
        <v/>
      </c>
      <c r="L637" s="7" t="n"/>
      <c r="M637" s="7" t="n"/>
      <c r="N637">
        <f>IF(D637="", "Gap - No Legal Basis", IF(AND(D637="Consent (GDPR Art. 6(1)(a))", I637="Not Captured"), "Gap - Invalid Consent", IF(AND(D637="Legitimate Interest (GDPR Art. 6(1)(f))", L637=""), "Gap - Missing LIA", IF(AND(G637="Yes", H637=""), "Gap - Missing Art. 9 Basis", IF(OR(I637="Invalid - Not Freely Given", I637="Invalid - Not Specific", I637="Invalid - Not Informed", I637="Invalid - Ambiguous"), "Gap - Invalid Consent", "Compliant")))))</f>
        <v/>
      </c>
      <c r="O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IF(D638="Legitimate Interest (GDPR Art. 6(1)(f))", "Yes / Required (Sheet 3)", "")</f>
        <v/>
      </c>
      <c r="L638" s="7" t="n"/>
      <c r="M638" s="7" t="n"/>
      <c r="N638">
        <f>IF(D638="", "Gap - No Legal Basis", IF(AND(D638="Consent (GDPR Art. 6(1)(a))", I638="Not Captured"), "Gap - Invalid Consent", IF(AND(D638="Legitimate Interest (GDPR Art. 6(1)(f))", L638=""), "Gap - Missing LIA", IF(AND(G638="Yes", H638=""), "Gap - Missing Art. 9 Basis", IF(OR(I638="Invalid - Not Freely Given", I638="Invalid - Not Specific", I638="Invalid - Not Informed", I638="Invalid - Ambiguous"), "Gap - Invalid Consent", "Compliant")))))</f>
        <v/>
      </c>
      <c r="O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IF(D639="Legitimate Interest (GDPR Art. 6(1)(f))", "Yes / Required (Sheet 3)", "")</f>
        <v/>
      </c>
      <c r="L639" s="7" t="n"/>
      <c r="M639" s="7" t="n"/>
      <c r="N639">
        <f>IF(D639="", "Gap - No Legal Basis", IF(AND(D639="Consent (GDPR Art. 6(1)(a))", I639="Not Captured"), "Gap - Invalid Consent", IF(AND(D639="Legitimate Interest (GDPR Art. 6(1)(f))", L639=""), "Gap - Missing LIA", IF(AND(G639="Yes", H639=""), "Gap - Missing Art. 9 Basis", IF(OR(I639="Invalid - Not Freely Given", I639="Invalid - Not Specific", I639="Invalid - Not Informed", I639="Invalid - Ambiguous"), "Gap - Invalid Consent", "Compliant")))))</f>
        <v/>
      </c>
      <c r="O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IF(D640="Legitimate Interest (GDPR Art. 6(1)(f))", "Yes / Required (Sheet 3)", "")</f>
        <v/>
      </c>
      <c r="L640" s="7" t="n"/>
      <c r="M640" s="7" t="n"/>
      <c r="N640">
        <f>IF(D640="", "Gap - No Legal Basis", IF(AND(D640="Consent (GDPR Art. 6(1)(a))", I640="Not Captured"), "Gap - Invalid Consent", IF(AND(D640="Legitimate Interest (GDPR Art. 6(1)(f))", L640=""), "Gap - Missing LIA", IF(AND(G640="Yes", H640=""), "Gap - Missing Art. 9 Basis", IF(OR(I640="Invalid - Not Freely Given", I640="Invalid - Not Specific", I640="Invalid - Not Informed", I640="Invalid - Ambiguous"), "Gap - Invalid Consent", "Compliant")))))</f>
        <v/>
      </c>
      <c r="O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IF(D641="Legitimate Interest (GDPR Art. 6(1)(f))", "Yes / Required (Sheet 3)", "")</f>
        <v/>
      </c>
      <c r="L641" s="7" t="n"/>
      <c r="M641" s="7" t="n"/>
      <c r="N641">
        <f>IF(D641="", "Gap - No Legal Basis", IF(AND(D641="Consent (GDPR Art. 6(1)(a))", I641="Not Captured"), "Gap - Invalid Consent", IF(AND(D641="Legitimate Interest (GDPR Art. 6(1)(f))", L641=""), "Gap - Missing LIA", IF(AND(G641="Yes", H641=""), "Gap - Missing Art. 9 Basis", IF(OR(I641="Invalid - Not Freely Given", I641="Invalid - Not Specific", I641="Invalid - Not Informed", I641="Invalid - Ambiguous"), "Gap - Invalid Consent", "Compliant")))))</f>
        <v/>
      </c>
      <c r="O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IF(D642="Legitimate Interest (GDPR Art. 6(1)(f))", "Yes / Required (Sheet 3)", "")</f>
        <v/>
      </c>
      <c r="L642" s="7" t="n"/>
      <c r="M642" s="7" t="n"/>
      <c r="N642">
        <f>IF(D642="", "Gap - No Legal Basis", IF(AND(D642="Consent (GDPR Art. 6(1)(a))", I642="Not Captured"), "Gap - Invalid Consent", IF(AND(D642="Legitimate Interest (GDPR Art. 6(1)(f))", L642=""), "Gap - Missing LIA", IF(AND(G642="Yes", H642=""), "Gap - Missing Art. 9 Basis", IF(OR(I642="Invalid - Not Freely Given", I642="Invalid - Not Specific", I642="Invalid - Not Informed", I642="Invalid - Ambiguous"), "Gap - Invalid Consent", "Compliant")))))</f>
        <v/>
      </c>
      <c r="O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IF(D643="Legitimate Interest (GDPR Art. 6(1)(f))", "Yes / Required (Sheet 3)", "")</f>
        <v/>
      </c>
      <c r="L643" s="7" t="n"/>
      <c r="M643" s="7" t="n"/>
      <c r="N643">
        <f>IF(D643="", "Gap - No Legal Basis", IF(AND(D643="Consent (GDPR Art. 6(1)(a))", I643="Not Captured"), "Gap - Invalid Consent", IF(AND(D643="Legitimate Interest (GDPR Art. 6(1)(f))", L643=""), "Gap - Missing LIA", IF(AND(G643="Yes", H643=""), "Gap - Missing Art. 9 Basis", IF(OR(I643="Invalid - Not Freely Given", I643="Invalid - Not Specific", I643="Invalid - Not Informed", I643="Invalid - Ambiguous"), "Gap - Invalid Consent", "Compliant")))))</f>
        <v/>
      </c>
      <c r="O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IF(D644="Legitimate Interest (GDPR Art. 6(1)(f))", "Yes / Required (Sheet 3)", "")</f>
        <v/>
      </c>
      <c r="L644" s="7" t="n"/>
      <c r="M644" s="7" t="n"/>
      <c r="N644">
        <f>IF(D644="", "Gap - No Legal Basis", IF(AND(D644="Consent (GDPR Art. 6(1)(a))", I644="Not Captured"), "Gap - Invalid Consent", IF(AND(D644="Legitimate Interest (GDPR Art. 6(1)(f))", L644=""), "Gap - Missing LIA", IF(AND(G644="Yes", H644=""), "Gap - Missing Art. 9 Basis", IF(OR(I644="Invalid - Not Freely Given", I644="Invalid - Not Specific", I644="Invalid - Not Informed", I644="Invalid - Ambiguous"), "Gap - Invalid Consent", "Compliant")))))</f>
        <v/>
      </c>
      <c r="O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IF(D645="Legitimate Interest (GDPR Art. 6(1)(f))", "Yes / Required (Sheet 3)", "")</f>
        <v/>
      </c>
      <c r="L645" s="7" t="n"/>
      <c r="M645" s="7" t="n"/>
      <c r="N645">
        <f>IF(D645="", "Gap - No Legal Basis", IF(AND(D645="Consent (GDPR Art. 6(1)(a))", I645="Not Captured"), "Gap - Invalid Consent", IF(AND(D645="Legitimate Interest (GDPR Art. 6(1)(f))", L645=""), "Gap - Missing LIA", IF(AND(G645="Yes", H645=""), "Gap - Missing Art. 9 Basis", IF(OR(I645="Invalid - Not Freely Given", I645="Invalid - Not Specific", I645="Invalid - Not Informed", I645="Invalid - Ambiguous"), "Gap - Invalid Consent", "Compliant")))))</f>
        <v/>
      </c>
      <c r="O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IF(D646="Legitimate Interest (GDPR Art. 6(1)(f))", "Yes / Required (Sheet 3)", "")</f>
        <v/>
      </c>
      <c r="L646" s="7" t="n"/>
      <c r="M646" s="7" t="n"/>
      <c r="N646">
        <f>IF(D646="", "Gap - No Legal Basis", IF(AND(D646="Consent (GDPR Art. 6(1)(a))", I646="Not Captured"), "Gap - Invalid Consent", IF(AND(D646="Legitimate Interest (GDPR Art. 6(1)(f))", L646=""), "Gap - Missing LIA", IF(AND(G646="Yes", H646=""), "Gap - Missing Art. 9 Basis", IF(OR(I646="Invalid - Not Freely Given", I646="Invalid - Not Specific", I646="Invalid - Not Informed", I646="Invalid - Ambiguous"), "Gap - Invalid Consent", "Compliant")))))</f>
        <v/>
      </c>
      <c r="O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IF(D647="Legitimate Interest (GDPR Art. 6(1)(f))", "Yes / Required (Sheet 3)", "")</f>
        <v/>
      </c>
      <c r="L647" s="7" t="n"/>
      <c r="M647" s="7" t="n"/>
      <c r="N647">
        <f>IF(D647="", "Gap - No Legal Basis", IF(AND(D647="Consent (GDPR Art. 6(1)(a))", I647="Not Captured"), "Gap - Invalid Consent", IF(AND(D647="Legitimate Interest (GDPR Art. 6(1)(f))", L647=""), "Gap - Missing LIA", IF(AND(G647="Yes", H647=""), "Gap - Missing Art. 9 Basis", IF(OR(I647="Invalid - Not Freely Given", I647="Invalid - Not Specific", I647="Invalid - Not Informed", I647="Invalid - Ambiguous"), "Gap - Invalid Consent", "Compliant")))))</f>
        <v/>
      </c>
      <c r="O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IF(D648="Legitimate Interest (GDPR Art. 6(1)(f))", "Yes / Required (Sheet 3)", "")</f>
        <v/>
      </c>
      <c r="L648" s="7" t="n"/>
      <c r="M648" s="7" t="n"/>
      <c r="N648">
        <f>IF(D648="", "Gap - No Legal Basis", IF(AND(D648="Consent (GDPR Art. 6(1)(a))", I648="Not Captured"), "Gap - Invalid Consent", IF(AND(D648="Legitimate Interest (GDPR Art. 6(1)(f))", L648=""), "Gap - Missing LIA", IF(AND(G648="Yes", H648=""), "Gap - Missing Art. 9 Basis", IF(OR(I648="Invalid - Not Freely Given", I648="Invalid - Not Specific", I648="Invalid - Not Informed", I648="Invalid - Ambiguous"), "Gap - Invalid Consent", "Compliant")))))</f>
        <v/>
      </c>
      <c r="O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IF(D649="Legitimate Interest (GDPR Art. 6(1)(f))", "Yes / Required (Sheet 3)", "")</f>
        <v/>
      </c>
      <c r="L649" s="7" t="n"/>
      <c r="M649" s="7" t="n"/>
      <c r="N649">
        <f>IF(D649="", "Gap - No Legal Basis", IF(AND(D649="Consent (GDPR Art. 6(1)(a))", I649="Not Captured"), "Gap - Invalid Consent", IF(AND(D649="Legitimate Interest (GDPR Art. 6(1)(f))", L649=""), "Gap - Missing LIA", IF(AND(G649="Yes", H649=""), "Gap - Missing Art. 9 Basis", IF(OR(I649="Invalid - Not Freely Given", I649="Invalid - Not Specific", I649="Invalid - Not Informed", I649="Invalid - Ambiguous"), "Gap - Invalid Consent", "Compliant")))))</f>
        <v/>
      </c>
      <c r="O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IF(D650="Legitimate Interest (GDPR Art. 6(1)(f))", "Yes / Required (Sheet 3)", "")</f>
        <v/>
      </c>
      <c r="L650" s="7" t="n"/>
      <c r="M650" s="7" t="n"/>
      <c r="N650">
        <f>IF(D650="", "Gap - No Legal Basis", IF(AND(D650="Consent (GDPR Art. 6(1)(a))", I650="Not Captured"), "Gap - Invalid Consent", IF(AND(D650="Legitimate Interest (GDPR Art. 6(1)(f))", L650=""), "Gap - Missing LIA", IF(AND(G650="Yes", H650=""), "Gap - Missing Art. 9 Basis", IF(OR(I650="Invalid - Not Freely Given", I650="Invalid - Not Specific", I650="Invalid - Not Informed", I650="Invalid - Ambiguous"), "Gap - Invalid Consent", "Compliant")))))</f>
        <v/>
      </c>
      <c r="O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IF(D651="Legitimate Interest (GDPR Art. 6(1)(f))", "Yes / Required (Sheet 3)", "")</f>
        <v/>
      </c>
      <c r="L651" s="7" t="n"/>
      <c r="M651" s="7" t="n"/>
      <c r="N651">
        <f>IF(D651="", "Gap - No Legal Basis", IF(AND(D651="Consent (GDPR Art. 6(1)(a))", I651="Not Captured"), "Gap - Invalid Consent", IF(AND(D651="Legitimate Interest (GDPR Art. 6(1)(f))", L651=""), "Gap - Missing LIA", IF(AND(G651="Yes", H651=""), "Gap - Missing Art. 9 Basis", IF(OR(I651="Invalid - Not Freely Given", I651="Invalid - Not Specific", I651="Invalid - Not Informed", I651="Invalid - Ambiguous"), "Gap - Invalid Consent", "Compliant")))))</f>
        <v/>
      </c>
      <c r="O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IF(D652="Legitimate Interest (GDPR Art. 6(1)(f))", "Yes / Required (Sheet 3)", "")</f>
        <v/>
      </c>
      <c r="L652" s="7" t="n"/>
      <c r="M652" s="7" t="n"/>
      <c r="N652">
        <f>IF(D652="", "Gap - No Legal Basis", IF(AND(D652="Consent (GDPR Art. 6(1)(a))", I652="Not Captured"), "Gap - Invalid Consent", IF(AND(D652="Legitimate Interest (GDPR Art. 6(1)(f))", L652=""), "Gap - Missing LIA", IF(AND(G652="Yes", H652=""), "Gap - Missing Art. 9 Basis", IF(OR(I652="Invalid - Not Freely Given", I652="Invalid - Not Specific", I652="Invalid - Not Informed", I652="Invalid - Ambiguous"), "Gap - Invalid Consent", "Compliant")))))</f>
        <v/>
      </c>
      <c r="O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IF(D653="Legitimate Interest (GDPR Art. 6(1)(f))", "Yes / Required (Sheet 3)", "")</f>
        <v/>
      </c>
      <c r="L653" s="7" t="n"/>
      <c r="M653" s="7" t="n"/>
      <c r="N653">
        <f>IF(D653="", "Gap - No Legal Basis", IF(AND(D653="Consent (GDPR Art. 6(1)(a))", I653="Not Captured"), "Gap - Invalid Consent", IF(AND(D653="Legitimate Interest (GDPR Art. 6(1)(f))", L653=""), "Gap - Missing LIA", IF(AND(G653="Yes", H653=""), "Gap - Missing Art. 9 Basis", IF(OR(I653="Invalid - Not Freely Given", I653="Invalid - Not Specific", I653="Invalid - Not Informed", I653="Invalid - Ambiguous"), "Gap - Invalid Consent", "Compliant")))))</f>
        <v/>
      </c>
      <c r="O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IF(D654="Legitimate Interest (GDPR Art. 6(1)(f))", "Yes / Required (Sheet 3)", "")</f>
        <v/>
      </c>
      <c r="L654" s="7" t="n"/>
      <c r="M654" s="7" t="n"/>
      <c r="N654">
        <f>IF(D654="", "Gap - No Legal Basis", IF(AND(D654="Consent (GDPR Art. 6(1)(a))", I654="Not Captured"), "Gap - Invalid Consent", IF(AND(D654="Legitimate Interest (GDPR Art. 6(1)(f))", L654=""), "Gap - Missing LIA", IF(AND(G654="Yes", H654=""), "Gap - Missing Art. 9 Basis", IF(OR(I654="Invalid - Not Freely Given", I654="Invalid - Not Specific", I654="Invalid - Not Informed", I654="Invalid - Ambiguous"), "Gap - Invalid Consent", "Compliant")))))</f>
        <v/>
      </c>
      <c r="O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IF(D655="Legitimate Interest (GDPR Art. 6(1)(f))", "Yes / Required (Sheet 3)", "")</f>
        <v/>
      </c>
      <c r="L655" s="7" t="n"/>
      <c r="M655" s="7" t="n"/>
      <c r="N655">
        <f>IF(D655="", "Gap - No Legal Basis", IF(AND(D655="Consent (GDPR Art. 6(1)(a))", I655="Not Captured"), "Gap - Invalid Consent", IF(AND(D655="Legitimate Interest (GDPR Art. 6(1)(f))", L655=""), "Gap - Missing LIA", IF(AND(G655="Yes", H655=""), "Gap - Missing Art. 9 Basis", IF(OR(I655="Invalid - Not Freely Given", I655="Invalid - Not Specific", I655="Invalid - Not Informed", I655="Invalid - Ambiguous"), "Gap - Invalid Consent", "Compliant")))))</f>
        <v/>
      </c>
      <c r="O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IF(D656="Legitimate Interest (GDPR Art. 6(1)(f))", "Yes / Required (Sheet 3)", "")</f>
        <v/>
      </c>
      <c r="L656" s="7" t="n"/>
      <c r="M656" s="7" t="n"/>
      <c r="N656">
        <f>IF(D656="", "Gap - No Legal Basis", IF(AND(D656="Consent (GDPR Art. 6(1)(a))", I656="Not Captured"), "Gap - Invalid Consent", IF(AND(D656="Legitimate Interest (GDPR Art. 6(1)(f))", L656=""), "Gap - Missing LIA", IF(AND(G656="Yes", H656=""), "Gap - Missing Art. 9 Basis", IF(OR(I656="Invalid - Not Freely Given", I656="Invalid - Not Specific", I656="Invalid - Not Informed", I656="Invalid - Ambiguous"), "Gap - Invalid Consent", "Compliant")))))</f>
        <v/>
      </c>
      <c r="O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IF(D657="Legitimate Interest (GDPR Art. 6(1)(f))", "Yes / Required (Sheet 3)", "")</f>
        <v/>
      </c>
      <c r="L657" s="7" t="n"/>
      <c r="M657" s="7" t="n"/>
      <c r="N657">
        <f>IF(D657="", "Gap - No Legal Basis", IF(AND(D657="Consent (GDPR Art. 6(1)(a))", I657="Not Captured"), "Gap - Invalid Consent", IF(AND(D657="Legitimate Interest (GDPR Art. 6(1)(f))", L657=""), "Gap - Missing LIA", IF(AND(G657="Yes", H657=""), "Gap - Missing Art. 9 Basis", IF(OR(I657="Invalid - Not Freely Given", I657="Invalid - Not Specific", I657="Invalid - Not Informed", I657="Invalid - Ambiguous"), "Gap - Invalid Consent", "Compliant")))))</f>
        <v/>
      </c>
      <c r="O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IF(D658="Legitimate Interest (GDPR Art. 6(1)(f))", "Yes / Required (Sheet 3)", "")</f>
        <v/>
      </c>
      <c r="L658" s="7" t="n"/>
      <c r="M658" s="7" t="n"/>
      <c r="N658">
        <f>IF(D658="", "Gap - No Legal Basis", IF(AND(D658="Consent (GDPR Art. 6(1)(a))", I658="Not Captured"), "Gap - Invalid Consent", IF(AND(D658="Legitimate Interest (GDPR Art. 6(1)(f))", L658=""), "Gap - Missing LIA", IF(AND(G658="Yes", H658=""), "Gap - Missing Art. 9 Basis", IF(OR(I658="Invalid - Not Freely Given", I658="Invalid - Not Specific", I658="Invalid - Not Informed", I658="Invalid - Ambiguous"), "Gap - Invalid Consent", "Compliant")))))</f>
        <v/>
      </c>
      <c r="O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IF(D659="Legitimate Interest (GDPR Art. 6(1)(f))", "Yes / Required (Sheet 3)", "")</f>
        <v/>
      </c>
      <c r="L659" s="7" t="n"/>
      <c r="M659" s="7" t="n"/>
      <c r="N659">
        <f>IF(D659="", "Gap - No Legal Basis", IF(AND(D659="Consent (GDPR Art. 6(1)(a))", I659="Not Captured"), "Gap - Invalid Consent", IF(AND(D659="Legitimate Interest (GDPR Art. 6(1)(f))", L659=""), "Gap - Missing LIA", IF(AND(G659="Yes", H659=""), "Gap - Missing Art. 9 Basis", IF(OR(I659="Invalid - Not Freely Given", I659="Invalid - Not Specific", I659="Invalid - Not Informed", I659="Invalid - Ambiguous"), "Gap - Invalid Consent", "Compliant")))))</f>
        <v/>
      </c>
      <c r="O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IF(D660="Legitimate Interest (GDPR Art. 6(1)(f))", "Yes / Required (Sheet 3)", "")</f>
        <v/>
      </c>
      <c r="L660" s="7" t="n"/>
      <c r="M660" s="7" t="n"/>
      <c r="N660">
        <f>IF(D660="", "Gap - No Legal Basis", IF(AND(D660="Consent (GDPR Art. 6(1)(a))", I660="Not Captured"), "Gap - Invalid Consent", IF(AND(D660="Legitimate Interest (GDPR Art. 6(1)(f))", L660=""), "Gap - Missing LIA", IF(AND(G660="Yes", H660=""), "Gap - Missing Art. 9 Basis", IF(OR(I660="Invalid - Not Freely Given", I660="Invalid - Not Specific", I660="Invalid - Not Informed", I660="Invalid - Ambiguous"), "Gap - Invalid Consent", "Compliant")))))</f>
        <v/>
      </c>
      <c r="O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IF(D661="Legitimate Interest (GDPR Art. 6(1)(f))", "Yes / Required (Sheet 3)", "")</f>
        <v/>
      </c>
      <c r="L661" s="7" t="n"/>
      <c r="M661" s="7" t="n"/>
      <c r="N661">
        <f>IF(D661="", "Gap - No Legal Basis", IF(AND(D661="Consent (GDPR Art. 6(1)(a))", I661="Not Captured"), "Gap - Invalid Consent", IF(AND(D661="Legitimate Interest (GDPR Art. 6(1)(f))", L661=""), "Gap - Missing LIA", IF(AND(G661="Yes", H661=""), "Gap - Missing Art. 9 Basis", IF(OR(I661="Invalid - Not Freely Given", I661="Invalid - Not Specific", I661="Invalid - Not Informed", I661="Invalid - Ambiguous"), "Gap - Invalid Consent", "Compliant")))))</f>
        <v/>
      </c>
      <c r="O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IF(D662="Legitimate Interest (GDPR Art. 6(1)(f))", "Yes / Required (Sheet 3)", "")</f>
        <v/>
      </c>
      <c r="L662" s="7" t="n"/>
      <c r="M662" s="7" t="n"/>
      <c r="N662">
        <f>IF(D662="", "Gap - No Legal Basis", IF(AND(D662="Consent (GDPR Art. 6(1)(a))", I662="Not Captured"), "Gap - Invalid Consent", IF(AND(D662="Legitimate Interest (GDPR Art. 6(1)(f))", L662=""), "Gap - Missing LIA", IF(AND(G662="Yes", H662=""), "Gap - Missing Art. 9 Basis", IF(OR(I662="Invalid - Not Freely Given", I662="Invalid - Not Specific", I662="Invalid - Not Informed", I662="Invalid - Ambiguous"), "Gap - Invalid Consent", "Compliant")))))</f>
        <v/>
      </c>
      <c r="O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IF(D663="Legitimate Interest (GDPR Art. 6(1)(f))", "Yes / Required (Sheet 3)", "")</f>
        <v/>
      </c>
      <c r="L663" s="7" t="n"/>
      <c r="M663" s="7" t="n"/>
      <c r="N663">
        <f>IF(D663="", "Gap - No Legal Basis", IF(AND(D663="Consent (GDPR Art. 6(1)(a))", I663="Not Captured"), "Gap - Invalid Consent", IF(AND(D663="Legitimate Interest (GDPR Art. 6(1)(f))", L663=""), "Gap - Missing LIA", IF(AND(G663="Yes", H663=""), "Gap - Missing Art. 9 Basis", IF(OR(I663="Invalid - Not Freely Given", I663="Invalid - Not Specific", I663="Invalid - Not Informed", I663="Invalid - Ambiguous"), "Gap - Invalid Consent", "Compliant")))))</f>
        <v/>
      </c>
      <c r="O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IF(D664="Legitimate Interest (GDPR Art. 6(1)(f))", "Yes / Required (Sheet 3)", "")</f>
        <v/>
      </c>
      <c r="L664" s="7" t="n"/>
      <c r="M664" s="7" t="n"/>
      <c r="N664">
        <f>IF(D664="", "Gap - No Legal Basis", IF(AND(D664="Consent (GDPR Art. 6(1)(a))", I664="Not Captured"), "Gap - Invalid Consent", IF(AND(D664="Legitimate Interest (GDPR Art. 6(1)(f))", L664=""), "Gap - Missing LIA", IF(AND(G664="Yes", H664=""), "Gap - Missing Art. 9 Basis", IF(OR(I664="Invalid - Not Freely Given", I664="Invalid - Not Specific", I664="Invalid - Not Informed", I664="Invalid - Ambiguous"), "Gap - Invalid Consent", "Compliant")))))</f>
        <v/>
      </c>
      <c r="O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IF(D665="Legitimate Interest (GDPR Art. 6(1)(f))", "Yes / Required (Sheet 3)", "")</f>
        <v/>
      </c>
      <c r="L665" s="7" t="n"/>
      <c r="M665" s="7" t="n"/>
      <c r="N665">
        <f>IF(D665="", "Gap - No Legal Basis", IF(AND(D665="Consent (GDPR Art. 6(1)(a))", I665="Not Captured"), "Gap - Invalid Consent", IF(AND(D665="Legitimate Interest (GDPR Art. 6(1)(f))", L665=""), "Gap - Missing LIA", IF(AND(G665="Yes", H665=""), "Gap - Missing Art. 9 Basis", IF(OR(I665="Invalid - Not Freely Given", I665="Invalid - Not Specific", I665="Invalid - Not Informed", I665="Invalid - Ambiguous"), "Gap - Invalid Consent", "Compliant")))))</f>
        <v/>
      </c>
      <c r="O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IF(D666="Legitimate Interest (GDPR Art. 6(1)(f))", "Yes / Required (Sheet 3)", "")</f>
        <v/>
      </c>
      <c r="L666" s="7" t="n"/>
      <c r="M666" s="7" t="n"/>
      <c r="N666">
        <f>IF(D666="", "Gap - No Legal Basis", IF(AND(D666="Consent (GDPR Art. 6(1)(a))", I666="Not Captured"), "Gap - Invalid Consent", IF(AND(D666="Legitimate Interest (GDPR Art. 6(1)(f))", L666=""), "Gap - Missing LIA", IF(AND(G666="Yes", H666=""), "Gap - Missing Art. 9 Basis", IF(OR(I666="Invalid - Not Freely Given", I666="Invalid - Not Specific", I666="Invalid - Not Informed", I666="Invalid - Ambiguous"), "Gap - Invalid Consent", "Compliant")))))</f>
        <v/>
      </c>
      <c r="O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IF(D667="Legitimate Interest (GDPR Art. 6(1)(f))", "Yes / Required (Sheet 3)", "")</f>
        <v/>
      </c>
      <c r="L667" s="7" t="n"/>
      <c r="M667" s="7" t="n"/>
      <c r="N667">
        <f>IF(D667="", "Gap - No Legal Basis", IF(AND(D667="Consent (GDPR Art. 6(1)(a))", I667="Not Captured"), "Gap - Invalid Consent", IF(AND(D667="Legitimate Interest (GDPR Art. 6(1)(f))", L667=""), "Gap - Missing LIA", IF(AND(G667="Yes", H667=""), "Gap - Missing Art. 9 Basis", IF(OR(I667="Invalid - Not Freely Given", I667="Invalid - Not Specific", I667="Invalid - Not Informed", I667="Invalid - Ambiguous"), "Gap - Invalid Consent", "Compliant")))))</f>
        <v/>
      </c>
      <c r="O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IF(D668="Legitimate Interest (GDPR Art. 6(1)(f))", "Yes / Required (Sheet 3)", "")</f>
        <v/>
      </c>
      <c r="L668" s="7" t="n"/>
      <c r="M668" s="7" t="n"/>
      <c r="N668">
        <f>IF(D668="", "Gap - No Legal Basis", IF(AND(D668="Consent (GDPR Art. 6(1)(a))", I668="Not Captured"), "Gap - Invalid Consent", IF(AND(D668="Legitimate Interest (GDPR Art. 6(1)(f))", L668=""), "Gap - Missing LIA", IF(AND(G668="Yes", H668=""), "Gap - Missing Art. 9 Basis", IF(OR(I668="Invalid - Not Freely Given", I668="Invalid - Not Specific", I668="Invalid - Not Informed", I668="Invalid - Ambiguous"), "Gap - Invalid Consent", "Compliant")))))</f>
        <v/>
      </c>
      <c r="O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IF(D669="Legitimate Interest (GDPR Art. 6(1)(f))", "Yes / Required (Sheet 3)", "")</f>
        <v/>
      </c>
      <c r="L669" s="7" t="n"/>
      <c r="M669" s="7" t="n"/>
      <c r="N669">
        <f>IF(D669="", "Gap - No Legal Basis", IF(AND(D669="Consent (GDPR Art. 6(1)(a))", I669="Not Captured"), "Gap - Invalid Consent", IF(AND(D669="Legitimate Interest (GDPR Art. 6(1)(f))", L669=""), "Gap - Missing LIA", IF(AND(G669="Yes", H669=""), "Gap - Missing Art. 9 Basis", IF(OR(I669="Invalid - Not Freely Given", I669="Invalid - Not Specific", I669="Invalid - Not Informed", I669="Invalid - Ambiguous"), "Gap - Invalid Consent", "Compliant")))))</f>
        <v/>
      </c>
      <c r="O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IF(D670="Legitimate Interest (GDPR Art. 6(1)(f))", "Yes / Required (Sheet 3)", "")</f>
        <v/>
      </c>
      <c r="L670" s="7" t="n"/>
      <c r="M670" s="7" t="n"/>
      <c r="N670">
        <f>IF(D670="", "Gap - No Legal Basis", IF(AND(D670="Consent (GDPR Art. 6(1)(a))", I670="Not Captured"), "Gap - Invalid Consent", IF(AND(D670="Legitimate Interest (GDPR Art. 6(1)(f))", L670=""), "Gap - Missing LIA", IF(AND(G670="Yes", H670=""), "Gap - Missing Art. 9 Basis", IF(OR(I670="Invalid - Not Freely Given", I670="Invalid - Not Specific", I670="Invalid - Not Informed", I670="Invalid - Ambiguous"), "Gap - Invalid Consent", "Compliant")))))</f>
        <v/>
      </c>
      <c r="O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IF(D671="Legitimate Interest (GDPR Art. 6(1)(f))", "Yes / Required (Sheet 3)", "")</f>
        <v/>
      </c>
      <c r="L671" s="7" t="n"/>
      <c r="M671" s="7" t="n"/>
      <c r="N671">
        <f>IF(D671="", "Gap - No Legal Basis", IF(AND(D671="Consent (GDPR Art. 6(1)(a))", I671="Not Captured"), "Gap - Invalid Consent", IF(AND(D671="Legitimate Interest (GDPR Art. 6(1)(f))", L671=""), "Gap - Missing LIA", IF(AND(G671="Yes", H671=""), "Gap - Missing Art. 9 Basis", IF(OR(I671="Invalid - Not Freely Given", I671="Invalid - Not Specific", I671="Invalid - Not Informed", I671="Invalid - Ambiguous"), "Gap - Invalid Consent", "Compliant")))))</f>
        <v/>
      </c>
      <c r="O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IF(D672="Legitimate Interest (GDPR Art. 6(1)(f))", "Yes / Required (Sheet 3)", "")</f>
        <v/>
      </c>
      <c r="L672" s="7" t="n"/>
      <c r="M672" s="7" t="n"/>
      <c r="N672">
        <f>IF(D672="", "Gap - No Legal Basis", IF(AND(D672="Consent (GDPR Art. 6(1)(a))", I672="Not Captured"), "Gap - Invalid Consent", IF(AND(D672="Legitimate Interest (GDPR Art. 6(1)(f))", L672=""), "Gap - Missing LIA", IF(AND(G672="Yes", H672=""), "Gap - Missing Art. 9 Basis", IF(OR(I672="Invalid - Not Freely Given", I672="Invalid - Not Specific", I672="Invalid - Not Informed", I672="Invalid - Ambiguous"), "Gap - Invalid Consent", "Compliant")))))</f>
        <v/>
      </c>
      <c r="O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IF(D673="Legitimate Interest (GDPR Art. 6(1)(f))", "Yes / Required (Sheet 3)", "")</f>
        <v/>
      </c>
      <c r="L673" s="7" t="n"/>
      <c r="M673" s="7" t="n"/>
      <c r="N673">
        <f>IF(D673="", "Gap - No Legal Basis", IF(AND(D673="Consent (GDPR Art. 6(1)(a))", I673="Not Captured"), "Gap - Invalid Consent", IF(AND(D673="Legitimate Interest (GDPR Art. 6(1)(f))", L673=""), "Gap - Missing LIA", IF(AND(G673="Yes", H673=""), "Gap - Missing Art. 9 Basis", IF(OR(I673="Invalid - Not Freely Given", I673="Invalid - Not Specific", I673="Invalid - Not Informed", I673="Invalid - Ambiguous"), "Gap - Invalid Consent", "Compliant")))))</f>
        <v/>
      </c>
      <c r="O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IF(D674="Legitimate Interest (GDPR Art. 6(1)(f))", "Yes / Required (Sheet 3)", "")</f>
        <v/>
      </c>
      <c r="L674" s="7" t="n"/>
      <c r="M674" s="7" t="n"/>
      <c r="N674">
        <f>IF(D674="", "Gap - No Legal Basis", IF(AND(D674="Consent (GDPR Art. 6(1)(a))", I674="Not Captured"), "Gap - Invalid Consent", IF(AND(D674="Legitimate Interest (GDPR Art. 6(1)(f))", L674=""), "Gap - Missing LIA", IF(AND(G674="Yes", H674=""), "Gap - Missing Art. 9 Basis", IF(OR(I674="Invalid - Not Freely Given", I674="Invalid - Not Specific", I674="Invalid - Not Informed", I674="Invalid - Ambiguous"), "Gap - Invalid Consent", "Compliant")))))</f>
        <v/>
      </c>
      <c r="O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IF(D675="Legitimate Interest (GDPR Art. 6(1)(f))", "Yes / Required (Sheet 3)", "")</f>
        <v/>
      </c>
      <c r="L675" s="7" t="n"/>
      <c r="M675" s="7" t="n"/>
      <c r="N675">
        <f>IF(D675="", "Gap - No Legal Basis", IF(AND(D675="Consent (GDPR Art. 6(1)(a))", I675="Not Captured"), "Gap - Invalid Consent", IF(AND(D675="Legitimate Interest (GDPR Art. 6(1)(f))", L675=""), "Gap - Missing LIA", IF(AND(G675="Yes", H675=""), "Gap - Missing Art. 9 Basis", IF(OR(I675="Invalid - Not Freely Given", I675="Invalid - Not Specific", I675="Invalid - Not Informed", I675="Invalid - Ambiguous"), "Gap - Invalid Consent", "Compliant")))))</f>
        <v/>
      </c>
      <c r="O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IF(D676="Legitimate Interest (GDPR Art. 6(1)(f))", "Yes / Required (Sheet 3)", "")</f>
        <v/>
      </c>
      <c r="L676" s="7" t="n"/>
      <c r="M676" s="7" t="n"/>
      <c r="N676">
        <f>IF(D676="", "Gap - No Legal Basis", IF(AND(D676="Consent (GDPR Art. 6(1)(a))", I676="Not Captured"), "Gap - Invalid Consent", IF(AND(D676="Legitimate Interest (GDPR Art. 6(1)(f))", L676=""), "Gap - Missing LIA", IF(AND(G676="Yes", H676=""), "Gap - Missing Art. 9 Basis", IF(OR(I676="Invalid - Not Freely Given", I676="Invalid - Not Specific", I676="Invalid - Not Informed", I676="Invalid - Ambiguous"), "Gap - Invalid Consent", "Compliant")))))</f>
        <v/>
      </c>
      <c r="O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IF(D677="Legitimate Interest (GDPR Art. 6(1)(f))", "Yes / Required (Sheet 3)", "")</f>
        <v/>
      </c>
      <c r="L677" s="7" t="n"/>
      <c r="M677" s="7" t="n"/>
      <c r="N677">
        <f>IF(D677="", "Gap - No Legal Basis", IF(AND(D677="Consent (GDPR Art. 6(1)(a))", I677="Not Captured"), "Gap - Invalid Consent", IF(AND(D677="Legitimate Interest (GDPR Art. 6(1)(f))", L677=""), "Gap - Missing LIA", IF(AND(G677="Yes", H677=""), "Gap - Missing Art. 9 Basis", IF(OR(I677="Invalid - Not Freely Given", I677="Invalid - Not Specific", I677="Invalid - Not Informed", I677="Invalid - Ambiguous"), "Gap - Invalid Consent", "Compliant")))))</f>
        <v/>
      </c>
      <c r="O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IF(D678="Legitimate Interest (GDPR Art. 6(1)(f))", "Yes / Required (Sheet 3)", "")</f>
        <v/>
      </c>
      <c r="L678" s="7" t="n"/>
      <c r="M678" s="7" t="n"/>
      <c r="N678">
        <f>IF(D678="", "Gap - No Legal Basis", IF(AND(D678="Consent (GDPR Art. 6(1)(a))", I678="Not Captured"), "Gap - Invalid Consent", IF(AND(D678="Legitimate Interest (GDPR Art. 6(1)(f))", L678=""), "Gap - Missing LIA", IF(AND(G678="Yes", H678=""), "Gap - Missing Art. 9 Basis", IF(OR(I678="Invalid - Not Freely Given", I678="Invalid - Not Specific", I678="Invalid - Not Informed", I678="Invalid - Ambiguous"), "Gap - Invalid Consent", "Compliant")))))</f>
        <v/>
      </c>
      <c r="O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IF(D679="Legitimate Interest (GDPR Art. 6(1)(f))", "Yes / Required (Sheet 3)", "")</f>
        <v/>
      </c>
      <c r="L679" s="7" t="n"/>
      <c r="M679" s="7" t="n"/>
      <c r="N679">
        <f>IF(D679="", "Gap - No Legal Basis", IF(AND(D679="Consent (GDPR Art. 6(1)(a))", I679="Not Captured"), "Gap - Invalid Consent", IF(AND(D679="Legitimate Interest (GDPR Art. 6(1)(f))", L679=""), "Gap - Missing LIA", IF(AND(G679="Yes", H679=""), "Gap - Missing Art. 9 Basis", IF(OR(I679="Invalid - Not Freely Given", I679="Invalid - Not Specific", I679="Invalid - Not Informed", I679="Invalid - Ambiguous"), "Gap - Invalid Consent", "Compliant")))))</f>
        <v/>
      </c>
      <c r="O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IF(D680="Legitimate Interest (GDPR Art. 6(1)(f))", "Yes / Required (Sheet 3)", "")</f>
        <v/>
      </c>
      <c r="L680" s="7" t="n"/>
      <c r="M680" s="7" t="n"/>
      <c r="N680">
        <f>IF(D680="", "Gap - No Legal Basis", IF(AND(D680="Consent (GDPR Art. 6(1)(a))", I680="Not Captured"), "Gap - Invalid Consent", IF(AND(D680="Legitimate Interest (GDPR Art. 6(1)(f))", L680=""), "Gap - Missing LIA", IF(AND(G680="Yes", H680=""), "Gap - Missing Art. 9 Basis", IF(OR(I680="Invalid - Not Freely Given", I680="Invalid - Not Specific", I680="Invalid - Not Informed", I680="Invalid - Ambiguous"), "Gap - Invalid Consent", "Compliant")))))</f>
        <v/>
      </c>
      <c r="O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IF(D681="Legitimate Interest (GDPR Art. 6(1)(f))", "Yes / Required (Sheet 3)", "")</f>
        <v/>
      </c>
      <c r="L681" s="7" t="n"/>
      <c r="M681" s="7" t="n"/>
      <c r="N681">
        <f>IF(D681="", "Gap - No Legal Basis", IF(AND(D681="Consent (GDPR Art. 6(1)(a))", I681="Not Captured"), "Gap - Invalid Consent", IF(AND(D681="Legitimate Interest (GDPR Art. 6(1)(f))", L681=""), "Gap - Missing LIA", IF(AND(G681="Yes", H681=""), "Gap - Missing Art. 9 Basis", IF(OR(I681="Invalid - Not Freely Given", I681="Invalid - Not Specific", I681="Invalid - Not Informed", I681="Invalid - Ambiguous"), "Gap - Invalid Consent", "Compliant")))))</f>
        <v/>
      </c>
      <c r="O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IF(D682="Legitimate Interest (GDPR Art. 6(1)(f))", "Yes / Required (Sheet 3)", "")</f>
        <v/>
      </c>
      <c r="L682" s="7" t="n"/>
      <c r="M682" s="7" t="n"/>
      <c r="N682">
        <f>IF(D682="", "Gap - No Legal Basis", IF(AND(D682="Consent (GDPR Art. 6(1)(a))", I682="Not Captured"), "Gap - Invalid Consent", IF(AND(D682="Legitimate Interest (GDPR Art. 6(1)(f))", L682=""), "Gap - Missing LIA", IF(AND(G682="Yes", H682=""), "Gap - Missing Art. 9 Basis", IF(OR(I682="Invalid - Not Freely Given", I682="Invalid - Not Specific", I682="Invalid - Not Informed", I682="Invalid - Ambiguous"), "Gap - Invalid Consent", "Compliant")))))</f>
        <v/>
      </c>
      <c r="O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IF(D683="Legitimate Interest (GDPR Art. 6(1)(f))", "Yes / Required (Sheet 3)", "")</f>
        <v/>
      </c>
      <c r="L683" s="7" t="n"/>
      <c r="M683" s="7" t="n"/>
      <c r="N683">
        <f>IF(D683="", "Gap - No Legal Basis", IF(AND(D683="Consent (GDPR Art. 6(1)(a))", I683="Not Captured"), "Gap - Invalid Consent", IF(AND(D683="Legitimate Interest (GDPR Art. 6(1)(f))", L683=""), "Gap - Missing LIA", IF(AND(G683="Yes", H683=""), "Gap - Missing Art. 9 Basis", IF(OR(I683="Invalid - Not Freely Given", I683="Invalid - Not Specific", I683="Invalid - Not Informed", I683="Invalid - Ambiguous"), "Gap - Invalid Consent", "Compliant")))))</f>
        <v/>
      </c>
      <c r="O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IF(D684="Legitimate Interest (GDPR Art. 6(1)(f))", "Yes / Required (Sheet 3)", "")</f>
        <v/>
      </c>
      <c r="L684" s="7" t="n"/>
      <c r="M684" s="7" t="n"/>
      <c r="N684">
        <f>IF(D684="", "Gap - No Legal Basis", IF(AND(D684="Consent (GDPR Art. 6(1)(a))", I684="Not Captured"), "Gap - Invalid Consent", IF(AND(D684="Legitimate Interest (GDPR Art. 6(1)(f))", L684=""), "Gap - Missing LIA", IF(AND(G684="Yes", H684=""), "Gap - Missing Art. 9 Basis", IF(OR(I684="Invalid - Not Freely Given", I684="Invalid - Not Specific", I684="Invalid - Not Informed", I684="Invalid - Ambiguous"), "Gap - Invalid Consent", "Compliant")))))</f>
        <v/>
      </c>
      <c r="O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IF(D685="Legitimate Interest (GDPR Art. 6(1)(f))", "Yes / Required (Sheet 3)", "")</f>
        <v/>
      </c>
      <c r="L685" s="7" t="n"/>
      <c r="M685" s="7" t="n"/>
      <c r="N685">
        <f>IF(D685="", "Gap - No Legal Basis", IF(AND(D685="Consent (GDPR Art. 6(1)(a))", I685="Not Captured"), "Gap - Invalid Consent", IF(AND(D685="Legitimate Interest (GDPR Art. 6(1)(f))", L685=""), "Gap - Missing LIA", IF(AND(G685="Yes", H685=""), "Gap - Missing Art. 9 Basis", IF(OR(I685="Invalid - Not Freely Given", I685="Invalid - Not Specific", I685="Invalid - Not Informed", I685="Invalid - Ambiguous"), "Gap - Invalid Consent", "Compliant")))))</f>
        <v/>
      </c>
      <c r="O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IF(D686="Legitimate Interest (GDPR Art. 6(1)(f))", "Yes / Required (Sheet 3)", "")</f>
        <v/>
      </c>
      <c r="L686" s="7" t="n"/>
      <c r="M686" s="7" t="n"/>
      <c r="N686">
        <f>IF(D686="", "Gap - No Legal Basis", IF(AND(D686="Consent (GDPR Art. 6(1)(a))", I686="Not Captured"), "Gap - Invalid Consent", IF(AND(D686="Legitimate Interest (GDPR Art. 6(1)(f))", L686=""), "Gap - Missing LIA", IF(AND(G686="Yes", H686=""), "Gap - Missing Art. 9 Basis", IF(OR(I686="Invalid - Not Freely Given", I686="Invalid - Not Specific", I686="Invalid - Not Informed", I686="Invalid - Ambiguous"), "Gap - Invalid Consent", "Compliant")))))</f>
        <v/>
      </c>
      <c r="O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IF(D687="Legitimate Interest (GDPR Art. 6(1)(f))", "Yes / Required (Sheet 3)", "")</f>
        <v/>
      </c>
      <c r="L687" s="7" t="n"/>
      <c r="M687" s="7" t="n"/>
      <c r="N687">
        <f>IF(D687="", "Gap - No Legal Basis", IF(AND(D687="Consent (GDPR Art. 6(1)(a))", I687="Not Captured"), "Gap - Invalid Consent", IF(AND(D687="Legitimate Interest (GDPR Art. 6(1)(f))", L687=""), "Gap - Missing LIA", IF(AND(G687="Yes", H687=""), "Gap - Missing Art. 9 Basis", IF(OR(I687="Invalid - Not Freely Given", I687="Invalid - Not Specific", I687="Invalid - Not Informed", I687="Invalid - Ambiguous"), "Gap - Invalid Consent", "Compliant")))))</f>
        <v/>
      </c>
      <c r="O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IF(D688="Legitimate Interest (GDPR Art. 6(1)(f))", "Yes / Required (Sheet 3)", "")</f>
        <v/>
      </c>
      <c r="L688" s="7" t="n"/>
      <c r="M688" s="7" t="n"/>
      <c r="N688">
        <f>IF(D688="", "Gap - No Legal Basis", IF(AND(D688="Consent (GDPR Art. 6(1)(a))", I688="Not Captured"), "Gap - Invalid Consent", IF(AND(D688="Legitimate Interest (GDPR Art. 6(1)(f))", L688=""), "Gap - Missing LIA", IF(AND(G688="Yes", H688=""), "Gap - Missing Art. 9 Basis", IF(OR(I688="Invalid - Not Freely Given", I688="Invalid - Not Specific", I688="Invalid - Not Informed", I688="Invalid - Ambiguous"), "Gap - Invalid Consent", "Compliant")))))</f>
        <v/>
      </c>
      <c r="O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IF(D689="Legitimate Interest (GDPR Art. 6(1)(f))", "Yes / Required (Sheet 3)", "")</f>
        <v/>
      </c>
      <c r="L689" s="7" t="n"/>
      <c r="M689" s="7" t="n"/>
      <c r="N689">
        <f>IF(D689="", "Gap - No Legal Basis", IF(AND(D689="Consent (GDPR Art. 6(1)(a))", I689="Not Captured"), "Gap - Invalid Consent", IF(AND(D689="Legitimate Interest (GDPR Art. 6(1)(f))", L689=""), "Gap - Missing LIA", IF(AND(G689="Yes", H689=""), "Gap - Missing Art. 9 Basis", IF(OR(I689="Invalid - Not Freely Given", I689="Invalid - Not Specific", I689="Invalid - Not Informed", I689="Invalid - Ambiguous"), "Gap - Invalid Consent", "Compliant")))))</f>
        <v/>
      </c>
      <c r="O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IF(D690="Legitimate Interest (GDPR Art. 6(1)(f))", "Yes / Required (Sheet 3)", "")</f>
        <v/>
      </c>
      <c r="L690" s="7" t="n"/>
      <c r="M690" s="7" t="n"/>
      <c r="N690">
        <f>IF(D690="", "Gap - No Legal Basis", IF(AND(D690="Consent (GDPR Art. 6(1)(a))", I690="Not Captured"), "Gap - Invalid Consent", IF(AND(D690="Legitimate Interest (GDPR Art. 6(1)(f))", L690=""), "Gap - Missing LIA", IF(AND(G690="Yes", H690=""), "Gap - Missing Art. 9 Basis", IF(OR(I690="Invalid - Not Freely Given", I690="Invalid - Not Specific", I690="Invalid - Not Informed", I690="Invalid - Ambiguous"), "Gap - Invalid Consent", "Compliant")))))</f>
        <v/>
      </c>
      <c r="O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IF(D691="Legitimate Interest (GDPR Art. 6(1)(f))", "Yes / Required (Sheet 3)", "")</f>
        <v/>
      </c>
      <c r="L691" s="7" t="n"/>
      <c r="M691" s="7" t="n"/>
      <c r="N691">
        <f>IF(D691="", "Gap - No Legal Basis", IF(AND(D691="Consent (GDPR Art. 6(1)(a))", I691="Not Captured"), "Gap - Invalid Consent", IF(AND(D691="Legitimate Interest (GDPR Art. 6(1)(f))", L691=""), "Gap - Missing LIA", IF(AND(G691="Yes", H691=""), "Gap - Missing Art. 9 Basis", IF(OR(I691="Invalid - Not Freely Given", I691="Invalid - Not Specific", I691="Invalid - Not Informed", I691="Invalid - Ambiguous"), "Gap - Invalid Consent", "Compliant")))))</f>
        <v/>
      </c>
      <c r="O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IF(D692="Legitimate Interest (GDPR Art. 6(1)(f))", "Yes / Required (Sheet 3)", "")</f>
        <v/>
      </c>
      <c r="L692" s="7" t="n"/>
      <c r="M692" s="7" t="n"/>
      <c r="N692">
        <f>IF(D692="", "Gap - No Legal Basis", IF(AND(D692="Consent (GDPR Art. 6(1)(a))", I692="Not Captured"), "Gap - Invalid Consent", IF(AND(D692="Legitimate Interest (GDPR Art. 6(1)(f))", L692=""), "Gap - Missing LIA", IF(AND(G692="Yes", H692=""), "Gap - Missing Art. 9 Basis", IF(OR(I692="Invalid - Not Freely Given", I692="Invalid - Not Specific", I692="Invalid - Not Informed", I692="Invalid - Ambiguous"), "Gap - Invalid Consent", "Compliant")))))</f>
        <v/>
      </c>
      <c r="O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IF(D693="Legitimate Interest (GDPR Art. 6(1)(f))", "Yes / Required (Sheet 3)", "")</f>
        <v/>
      </c>
      <c r="L693" s="7" t="n"/>
      <c r="M693" s="7" t="n"/>
      <c r="N693">
        <f>IF(D693="", "Gap - No Legal Basis", IF(AND(D693="Consent (GDPR Art. 6(1)(a))", I693="Not Captured"), "Gap - Invalid Consent", IF(AND(D693="Legitimate Interest (GDPR Art. 6(1)(f))", L693=""), "Gap - Missing LIA", IF(AND(G693="Yes", H693=""), "Gap - Missing Art. 9 Basis", IF(OR(I693="Invalid - Not Freely Given", I693="Invalid - Not Specific", I693="Invalid - Not Informed", I693="Invalid - Ambiguous"), "Gap - Invalid Consent", "Compliant")))))</f>
        <v/>
      </c>
      <c r="O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IF(D694="Legitimate Interest (GDPR Art. 6(1)(f))", "Yes / Required (Sheet 3)", "")</f>
        <v/>
      </c>
      <c r="L694" s="7" t="n"/>
      <c r="M694" s="7" t="n"/>
      <c r="N694">
        <f>IF(D694="", "Gap - No Legal Basis", IF(AND(D694="Consent (GDPR Art. 6(1)(a))", I694="Not Captured"), "Gap - Invalid Consent", IF(AND(D694="Legitimate Interest (GDPR Art. 6(1)(f))", L694=""), "Gap - Missing LIA", IF(AND(G694="Yes", H694=""), "Gap - Missing Art. 9 Basis", IF(OR(I694="Invalid - Not Freely Given", I694="Invalid - Not Specific", I694="Invalid - Not Informed", I694="Invalid - Ambiguous"), "Gap - Invalid Consent", "Compliant")))))</f>
        <v/>
      </c>
      <c r="O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IF(D695="Legitimate Interest (GDPR Art. 6(1)(f))", "Yes / Required (Sheet 3)", "")</f>
        <v/>
      </c>
      <c r="L695" s="7" t="n"/>
      <c r="M695" s="7" t="n"/>
      <c r="N695">
        <f>IF(D695="", "Gap - No Legal Basis", IF(AND(D695="Consent (GDPR Art. 6(1)(a))", I695="Not Captured"), "Gap - Invalid Consent", IF(AND(D695="Legitimate Interest (GDPR Art. 6(1)(f))", L695=""), "Gap - Missing LIA", IF(AND(G695="Yes", H695=""), "Gap - Missing Art. 9 Basis", IF(OR(I695="Invalid - Not Freely Given", I695="Invalid - Not Specific", I695="Invalid - Not Informed", I695="Invalid - Ambiguous"), "Gap - Invalid Consent", "Compliant")))))</f>
        <v/>
      </c>
      <c r="O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IF(D696="Legitimate Interest (GDPR Art. 6(1)(f))", "Yes / Required (Sheet 3)", "")</f>
        <v/>
      </c>
      <c r="L696" s="7" t="n"/>
      <c r="M696" s="7" t="n"/>
      <c r="N696">
        <f>IF(D696="", "Gap - No Legal Basis", IF(AND(D696="Consent (GDPR Art. 6(1)(a))", I696="Not Captured"), "Gap - Invalid Consent", IF(AND(D696="Legitimate Interest (GDPR Art. 6(1)(f))", L696=""), "Gap - Missing LIA", IF(AND(G696="Yes", H696=""), "Gap - Missing Art. 9 Basis", IF(OR(I696="Invalid - Not Freely Given", I696="Invalid - Not Specific", I696="Invalid - Not Informed", I696="Invalid - Ambiguous"), "Gap - Invalid Consent", "Compliant")))))</f>
        <v/>
      </c>
      <c r="O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IF(D697="Legitimate Interest (GDPR Art. 6(1)(f))", "Yes / Required (Sheet 3)", "")</f>
        <v/>
      </c>
      <c r="L697" s="7" t="n"/>
      <c r="M697" s="7" t="n"/>
      <c r="N697">
        <f>IF(D697="", "Gap - No Legal Basis", IF(AND(D697="Consent (GDPR Art. 6(1)(a))", I697="Not Captured"), "Gap - Invalid Consent", IF(AND(D697="Legitimate Interest (GDPR Art. 6(1)(f))", L697=""), "Gap - Missing LIA", IF(AND(G697="Yes", H697=""), "Gap - Missing Art. 9 Basis", IF(OR(I697="Invalid - Not Freely Given", I697="Invalid - Not Specific", I697="Invalid - Not Informed", I697="Invalid - Ambiguous"), "Gap - Invalid Consent", "Compliant")))))</f>
        <v/>
      </c>
      <c r="O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IF(D698="Legitimate Interest (GDPR Art. 6(1)(f))", "Yes / Required (Sheet 3)", "")</f>
        <v/>
      </c>
      <c r="L698" s="7" t="n"/>
      <c r="M698" s="7" t="n"/>
      <c r="N698">
        <f>IF(D698="", "Gap - No Legal Basis", IF(AND(D698="Consent (GDPR Art. 6(1)(a))", I698="Not Captured"), "Gap - Invalid Consent", IF(AND(D698="Legitimate Interest (GDPR Art. 6(1)(f))", L698=""), "Gap - Missing LIA", IF(AND(G698="Yes", H698=""), "Gap - Missing Art. 9 Basis", IF(OR(I698="Invalid - Not Freely Given", I698="Invalid - Not Specific", I698="Invalid - Not Informed", I698="Invalid - Ambiguous"), "Gap - Invalid Consent", "Compliant")))))</f>
        <v/>
      </c>
      <c r="O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IF(D699="Legitimate Interest (GDPR Art. 6(1)(f))", "Yes / Required (Sheet 3)", "")</f>
        <v/>
      </c>
      <c r="L699" s="7" t="n"/>
      <c r="M699" s="7" t="n"/>
      <c r="N699">
        <f>IF(D699="", "Gap - No Legal Basis", IF(AND(D699="Consent (GDPR Art. 6(1)(a))", I699="Not Captured"), "Gap - Invalid Consent", IF(AND(D699="Legitimate Interest (GDPR Art. 6(1)(f))", L699=""), "Gap - Missing LIA", IF(AND(G699="Yes", H699=""), "Gap - Missing Art. 9 Basis", IF(OR(I699="Invalid - Not Freely Given", I699="Invalid - Not Specific", I699="Invalid - Not Informed", I699="Invalid - Ambiguous"), "Gap - Invalid Consent", "Compliant")))))</f>
        <v/>
      </c>
      <c r="O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IF(D700="Legitimate Interest (GDPR Art. 6(1)(f))", "Yes / Required (Sheet 3)", "")</f>
        <v/>
      </c>
      <c r="L700" s="7" t="n"/>
      <c r="M700" s="7" t="n"/>
      <c r="N700">
        <f>IF(D700="", "Gap - No Legal Basis", IF(AND(D700="Consent (GDPR Art. 6(1)(a))", I700="Not Captured"), "Gap - Invalid Consent", IF(AND(D700="Legitimate Interest (GDPR Art. 6(1)(f))", L700=""), "Gap - Missing LIA", IF(AND(G700="Yes", H700=""), "Gap - Missing Art. 9 Basis", IF(OR(I700="Invalid - Not Freely Given", I700="Invalid - Not Specific", I700="Invalid - Not Informed", I700="Invalid - Ambiguous"), "Gap - Invalid Consent", "Compliant")))))</f>
        <v/>
      </c>
      <c r="O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IF(D701="Legitimate Interest (GDPR Art. 6(1)(f))", "Yes / Required (Sheet 3)", "")</f>
        <v/>
      </c>
      <c r="L701" s="7" t="n"/>
      <c r="M701" s="7" t="n"/>
      <c r="N701">
        <f>IF(D701="", "Gap - No Legal Basis", IF(AND(D701="Consent (GDPR Art. 6(1)(a))", I701="Not Captured"), "Gap - Invalid Consent", IF(AND(D701="Legitimate Interest (GDPR Art. 6(1)(f))", L701=""), "Gap - Missing LIA", IF(AND(G701="Yes", H701=""), "Gap - Missing Art. 9 Basis", IF(OR(I701="Invalid - Not Freely Given", I701="Invalid - Not Specific", I701="Invalid - Not Informed", I701="Invalid - Ambiguous"), "Gap - Invalid Consent", "Compliant")))))</f>
        <v/>
      </c>
      <c r="O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IF(D702="Legitimate Interest (GDPR Art. 6(1)(f))", "Yes / Required (Sheet 3)", "")</f>
        <v/>
      </c>
      <c r="L702" s="7" t="n"/>
      <c r="M702" s="7" t="n"/>
      <c r="N702">
        <f>IF(D702="", "Gap - No Legal Basis", IF(AND(D702="Consent (GDPR Art. 6(1)(a))", I702="Not Captured"), "Gap - Invalid Consent", IF(AND(D702="Legitimate Interest (GDPR Art. 6(1)(f))", L702=""), "Gap - Missing LIA", IF(AND(G702="Yes", H702=""), "Gap - Missing Art. 9 Basis", IF(OR(I702="Invalid - Not Freely Given", I702="Invalid - Not Specific", I702="Invalid - Not Informed", I702="Invalid - Ambiguous"), "Gap - Invalid Consent", "Compliant")))))</f>
        <v/>
      </c>
      <c r="O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IF(D703="Legitimate Interest (GDPR Art. 6(1)(f))", "Yes / Required (Sheet 3)", "")</f>
        <v/>
      </c>
      <c r="L703" s="7" t="n"/>
      <c r="M703" s="7" t="n"/>
      <c r="N703">
        <f>IF(D703="", "Gap - No Legal Basis", IF(AND(D703="Consent (GDPR Art. 6(1)(a))", I703="Not Captured"), "Gap - Invalid Consent", IF(AND(D703="Legitimate Interest (GDPR Art. 6(1)(f))", L703=""), "Gap - Missing LIA", IF(AND(G703="Yes", H703=""), "Gap - Missing Art. 9 Basis", IF(OR(I703="Invalid - Not Freely Given", I703="Invalid - Not Specific", I703="Invalid - Not Informed", I703="Invalid - Ambiguous"), "Gap - Invalid Consent", "Compliant")))))</f>
        <v/>
      </c>
      <c r="O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IF(D704="Legitimate Interest (GDPR Art. 6(1)(f))", "Yes / Required (Sheet 3)", "")</f>
        <v/>
      </c>
      <c r="L704" s="7" t="n"/>
      <c r="M704" s="7" t="n"/>
      <c r="N704">
        <f>IF(D704="", "Gap - No Legal Basis", IF(AND(D704="Consent (GDPR Art. 6(1)(a))", I704="Not Captured"), "Gap - Invalid Consent", IF(AND(D704="Legitimate Interest (GDPR Art. 6(1)(f))", L704=""), "Gap - Missing LIA", IF(AND(G704="Yes", H704=""), "Gap - Missing Art. 9 Basis", IF(OR(I704="Invalid - Not Freely Given", I704="Invalid - Not Specific", I704="Invalid - Not Informed", I704="Invalid - Ambiguous"), "Gap - Invalid Consent", "Compliant")))))</f>
        <v/>
      </c>
      <c r="O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IF(D705="Legitimate Interest (GDPR Art. 6(1)(f))", "Yes / Required (Sheet 3)", "")</f>
        <v/>
      </c>
      <c r="L705" s="7" t="n"/>
      <c r="M705" s="7" t="n"/>
      <c r="N705">
        <f>IF(D705="", "Gap - No Legal Basis", IF(AND(D705="Consent (GDPR Art. 6(1)(a))", I705="Not Captured"), "Gap - Invalid Consent", IF(AND(D705="Legitimate Interest (GDPR Art. 6(1)(f))", L705=""), "Gap - Missing LIA", IF(AND(G705="Yes", H705=""), "Gap - Missing Art. 9 Basis", IF(OR(I705="Invalid - Not Freely Given", I705="Invalid - Not Specific", I705="Invalid - Not Informed", I705="Invalid - Ambiguous"), "Gap - Invalid Consent", "Compliant")))))</f>
        <v/>
      </c>
      <c r="O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IF(D706="Legitimate Interest (GDPR Art. 6(1)(f))", "Yes / Required (Sheet 3)", "")</f>
        <v/>
      </c>
      <c r="L706" s="7" t="n"/>
      <c r="M706" s="7" t="n"/>
      <c r="N706">
        <f>IF(D706="", "Gap - No Legal Basis", IF(AND(D706="Consent (GDPR Art. 6(1)(a))", I706="Not Captured"), "Gap - Invalid Consent", IF(AND(D706="Legitimate Interest (GDPR Art. 6(1)(f))", L706=""), "Gap - Missing LIA", IF(AND(G706="Yes", H706=""), "Gap - Missing Art. 9 Basis", IF(OR(I706="Invalid - Not Freely Given", I706="Invalid - Not Specific", I706="Invalid - Not Informed", I706="Invalid - Ambiguous"), "Gap - Invalid Consent", "Compliant")))))</f>
        <v/>
      </c>
      <c r="O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IF(D707="Legitimate Interest (GDPR Art. 6(1)(f))", "Yes / Required (Sheet 3)", "")</f>
        <v/>
      </c>
      <c r="L707" s="7" t="n"/>
      <c r="M707" s="7" t="n"/>
      <c r="N707">
        <f>IF(D707="", "Gap - No Legal Basis", IF(AND(D707="Consent (GDPR Art. 6(1)(a))", I707="Not Captured"), "Gap - Invalid Consent", IF(AND(D707="Legitimate Interest (GDPR Art. 6(1)(f))", L707=""), "Gap - Missing LIA", IF(AND(G707="Yes", H707=""), "Gap - Missing Art. 9 Basis", IF(OR(I707="Invalid - Not Freely Given", I707="Invalid - Not Specific", I707="Invalid - Not Informed", I707="Invalid - Ambiguous"), "Gap - Invalid Consent", "Compliant")))))</f>
        <v/>
      </c>
      <c r="O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IF(D708="Legitimate Interest (GDPR Art. 6(1)(f))", "Yes / Required (Sheet 3)", "")</f>
        <v/>
      </c>
      <c r="L708" s="7" t="n"/>
      <c r="M708" s="7" t="n"/>
      <c r="N708">
        <f>IF(D708="", "Gap - No Legal Basis", IF(AND(D708="Consent (GDPR Art. 6(1)(a))", I708="Not Captured"), "Gap - Invalid Consent", IF(AND(D708="Legitimate Interest (GDPR Art. 6(1)(f))", L708=""), "Gap - Missing LIA", IF(AND(G708="Yes", H708=""), "Gap - Missing Art. 9 Basis", IF(OR(I708="Invalid - Not Freely Given", I708="Invalid - Not Specific", I708="Invalid - Not Informed", I708="Invalid - Ambiguous"), "Gap - Invalid Consent", "Compliant")))))</f>
        <v/>
      </c>
      <c r="O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IF(D709="Legitimate Interest (GDPR Art. 6(1)(f))", "Yes / Required (Sheet 3)", "")</f>
        <v/>
      </c>
      <c r="L709" s="7" t="n"/>
      <c r="M709" s="7" t="n"/>
      <c r="N709">
        <f>IF(D709="", "Gap - No Legal Basis", IF(AND(D709="Consent (GDPR Art. 6(1)(a))", I709="Not Captured"), "Gap - Invalid Consent", IF(AND(D709="Legitimate Interest (GDPR Art. 6(1)(f))", L709=""), "Gap - Missing LIA", IF(AND(G709="Yes", H709=""), "Gap - Missing Art. 9 Basis", IF(OR(I709="Invalid - Not Freely Given", I709="Invalid - Not Specific", I709="Invalid - Not Informed", I709="Invalid - Ambiguous"), "Gap - Invalid Consent", "Compliant")))))</f>
        <v/>
      </c>
      <c r="O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IF(D710="Legitimate Interest (GDPR Art. 6(1)(f))", "Yes / Required (Sheet 3)", "")</f>
        <v/>
      </c>
      <c r="L710" s="7" t="n"/>
      <c r="M710" s="7" t="n"/>
      <c r="N710">
        <f>IF(D710="", "Gap - No Legal Basis", IF(AND(D710="Consent (GDPR Art. 6(1)(a))", I710="Not Captured"), "Gap - Invalid Consent", IF(AND(D710="Legitimate Interest (GDPR Art. 6(1)(f))", L710=""), "Gap - Missing LIA", IF(AND(G710="Yes", H710=""), "Gap - Missing Art. 9 Basis", IF(OR(I710="Invalid - Not Freely Given", I710="Invalid - Not Specific", I710="Invalid - Not Informed", I710="Invalid - Ambiguous"), "Gap - Invalid Consent", "Compliant")))))</f>
        <v/>
      </c>
      <c r="O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IF(D711="Legitimate Interest (GDPR Art. 6(1)(f))", "Yes / Required (Sheet 3)", "")</f>
        <v/>
      </c>
      <c r="L711" s="7" t="n"/>
      <c r="M711" s="7" t="n"/>
      <c r="N711">
        <f>IF(D711="", "Gap - No Legal Basis", IF(AND(D711="Consent (GDPR Art. 6(1)(a))", I711="Not Captured"), "Gap - Invalid Consent", IF(AND(D711="Legitimate Interest (GDPR Art. 6(1)(f))", L711=""), "Gap - Missing LIA", IF(AND(G711="Yes", H711=""), "Gap - Missing Art. 9 Basis", IF(OR(I711="Invalid - Not Freely Given", I711="Invalid - Not Specific", I711="Invalid - Not Informed", I711="Invalid - Ambiguous"), "Gap - Invalid Consent", "Compliant")))))</f>
        <v/>
      </c>
      <c r="O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IF(D712="Legitimate Interest (GDPR Art. 6(1)(f))", "Yes / Required (Sheet 3)", "")</f>
        <v/>
      </c>
      <c r="L712" s="7" t="n"/>
      <c r="M712" s="7" t="n"/>
      <c r="N712">
        <f>IF(D712="", "Gap - No Legal Basis", IF(AND(D712="Consent (GDPR Art. 6(1)(a))", I712="Not Captured"), "Gap - Invalid Consent", IF(AND(D712="Legitimate Interest (GDPR Art. 6(1)(f))", L712=""), "Gap - Missing LIA", IF(AND(G712="Yes", H712=""), "Gap - Missing Art. 9 Basis", IF(OR(I712="Invalid - Not Freely Given", I712="Invalid - Not Specific", I712="Invalid - Not Informed", I712="Invalid - Ambiguous"), "Gap - Invalid Consent", "Compliant")))))</f>
        <v/>
      </c>
      <c r="O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IF(D713="Legitimate Interest (GDPR Art. 6(1)(f))", "Yes / Required (Sheet 3)", "")</f>
        <v/>
      </c>
      <c r="L713" s="7" t="n"/>
      <c r="M713" s="7" t="n"/>
      <c r="N713">
        <f>IF(D713="", "Gap - No Legal Basis", IF(AND(D713="Consent (GDPR Art. 6(1)(a))", I713="Not Captured"), "Gap - Invalid Consent", IF(AND(D713="Legitimate Interest (GDPR Art. 6(1)(f))", L713=""), "Gap - Missing LIA", IF(AND(G713="Yes", H713=""), "Gap - Missing Art. 9 Basis", IF(OR(I713="Invalid - Not Freely Given", I713="Invalid - Not Specific", I713="Invalid - Not Informed", I713="Invalid - Ambiguous"), "Gap - Invalid Consent", "Compliant")))))</f>
        <v/>
      </c>
      <c r="O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IF(D714="Legitimate Interest (GDPR Art. 6(1)(f))", "Yes / Required (Sheet 3)", "")</f>
        <v/>
      </c>
      <c r="L714" s="7" t="n"/>
      <c r="M714" s="7" t="n"/>
      <c r="N714">
        <f>IF(D714="", "Gap - No Legal Basis", IF(AND(D714="Consent (GDPR Art. 6(1)(a))", I714="Not Captured"), "Gap - Invalid Consent", IF(AND(D714="Legitimate Interest (GDPR Art. 6(1)(f))", L714=""), "Gap - Missing LIA", IF(AND(G714="Yes", H714=""), "Gap - Missing Art. 9 Basis", IF(OR(I714="Invalid - Not Freely Given", I714="Invalid - Not Specific", I714="Invalid - Not Informed", I714="Invalid - Ambiguous"), "Gap - Invalid Consent", "Compliant")))))</f>
        <v/>
      </c>
      <c r="O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IF(D715="Legitimate Interest (GDPR Art. 6(1)(f))", "Yes / Required (Sheet 3)", "")</f>
        <v/>
      </c>
      <c r="L715" s="7" t="n"/>
      <c r="M715" s="7" t="n"/>
      <c r="N715">
        <f>IF(D715="", "Gap - No Legal Basis", IF(AND(D715="Consent (GDPR Art. 6(1)(a))", I715="Not Captured"), "Gap - Invalid Consent", IF(AND(D715="Legitimate Interest (GDPR Art. 6(1)(f))", L715=""), "Gap - Missing LIA", IF(AND(G715="Yes", H715=""), "Gap - Missing Art. 9 Basis", IF(OR(I715="Invalid - Not Freely Given", I715="Invalid - Not Specific", I715="Invalid - Not Informed", I715="Invalid - Ambiguous"), "Gap - Invalid Consent", "Compliant")))))</f>
        <v/>
      </c>
      <c r="O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IF(D716="Legitimate Interest (GDPR Art. 6(1)(f))", "Yes / Required (Sheet 3)", "")</f>
        <v/>
      </c>
      <c r="L716" s="7" t="n"/>
      <c r="M716" s="7" t="n"/>
      <c r="N716">
        <f>IF(D716="", "Gap - No Legal Basis", IF(AND(D716="Consent (GDPR Art. 6(1)(a))", I716="Not Captured"), "Gap - Invalid Consent", IF(AND(D716="Legitimate Interest (GDPR Art. 6(1)(f))", L716=""), "Gap - Missing LIA", IF(AND(G716="Yes", H716=""), "Gap - Missing Art. 9 Basis", IF(OR(I716="Invalid - Not Freely Given", I716="Invalid - Not Specific", I716="Invalid - Not Informed", I716="Invalid - Ambiguous"), "Gap - Invalid Consent", "Compliant")))))</f>
        <v/>
      </c>
      <c r="O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IF(D717="Legitimate Interest (GDPR Art. 6(1)(f))", "Yes / Required (Sheet 3)", "")</f>
        <v/>
      </c>
      <c r="L717" s="7" t="n"/>
      <c r="M717" s="7" t="n"/>
      <c r="N717">
        <f>IF(D717="", "Gap - No Legal Basis", IF(AND(D717="Consent (GDPR Art. 6(1)(a))", I717="Not Captured"), "Gap - Invalid Consent", IF(AND(D717="Legitimate Interest (GDPR Art. 6(1)(f))", L717=""), "Gap - Missing LIA", IF(AND(G717="Yes", H717=""), "Gap - Missing Art. 9 Basis", IF(OR(I717="Invalid - Not Freely Given", I717="Invalid - Not Specific", I717="Invalid - Not Informed", I717="Invalid - Ambiguous"), "Gap - Invalid Consent", "Compliant")))))</f>
        <v/>
      </c>
      <c r="O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IF(D718="Legitimate Interest (GDPR Art. 6(1)(f))", "Yes / Required (Sheet 3)", "")</f>
        <v/>
      </c>
      <c r="L718" s="7" t="n"/>
      <c r="M718" s="7" t="n"/>
      <c r="N718">
        <f>IF(D718="", "Gap - No Legal Basis", IF(AND(D718="Consent (GDPR Art. 6(1)(a))", I718="Not Captured"), "Gap - Invalid Consent", IF(AND(D718="Legitimate Interest (GDPR Art. 6(1)(f))", L718=""), "Gap - Missing LIA", IF(AND(G718="Yes", H718=""), "Gap - Missing Art. 9 Basis", IF(OR(I718="Invalid - Not Freely Given", I718="Invalid - Not Specific", I718="Invalid - Not Informed", I718="Invalid - Ambiguous"), "Gap - Invalid Consent", "Compliant")))))</f>
        <v/>
      </c>
      <c r="O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IF(D719="Legitimate Interest (GDPR Art. 6(1)(f))", "Yes / Required (Sheet 3)", "")</f>
        <v/>
      </c>
      <c r="L719" s="7" t="n"/>
      <c r="M719" s="7" t="n"/>
      <c r="N719">
        <f>IF(D719="", "Gap - No Legal Basis", IF(AND(D719="Consent (GDPR Art. 6(1)(a))", I719="Not Captured"), "Gap - Invalid Consent", IF(AND(D719="Legitimate Interest (GDPR Art. 6(1)(f))", L719=""), "Gap - Missing LIA", IF(AND(G719="Yes", H719=""), "Gap - Missing Art. 9 Basis", IF(OR(I719="Invalid - Not Freely Given", I719="Invalid - Not Specific", I719="Invalid - Not Informed", I719="Invalid - Ambiguous"), "Gap - Invalid Consent", "Compliant")))))</f>
        <v/>
      </c>
      <c r="O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IF(D720="Legitimate Interest (GDPR Art. 6(1)(f))", "Yes / Required (Sheet 3)", "")</f>
        <v/>
      </c>
      <c r="L720" s="7" t="n"/>
      <c r="M720" s="7" t="n"/>
      <c r="N720">
        <f>IF(D720="", "Gap - No Legal Basis", IF(AND(D720="Consent (GDPR Art. 6(1)(a))", I720="Not Captured"), "Gap - Invalid Consent", IF(AND(D720="Legitimate Interest (GDPR Art. 6(1)(f))", L720=""), "Gap - Missing LIA", IF(AND(G720="Yes", H720=""), "Gap - Missing Art. 9 Basis", IF(OR(I720="Invalid - Not Freely Given", I720="Invalid - Not Specific", I720="Invalid - Not Informed", I720="Invalid - Ambiguous"), "Gap - Invalid Consent", "Compliant")))))</f>
        <v/>
      </c>
      <c r="O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IF(D721="Legitimate Interest (GDPR Art. 6(1)(f))", "Yes / Required (Sheet 3)", "")</f>
        <v/>
      </c>
      <c r="L721" s="7" t="n"/>
      <c r="M721" s="7" t="n"/>
      <c r="N721">
        <f>IF(D721="", "Gap - No Legal Basis", IF(AND(D721="Consent (GDPR Art. 6(1)(a))", I721="Not Captured"), "Gap - Invalid Consent", IF(AND(D721="Legitimate Interest (GDPR Art. 6(1)(f))", L721=""), "Gap - Missing LIA", IF(AND(G721="Yes", H721=""), "Gap - Missing Art. 9 Basis", IF(OR(I721="Invalid - Not Freely Given", I721="Invalid - Not Specific", I721="Invalid - Not Informed", I721="Invalid - Ambiguous"), "Gap - Invalid Consent", "Compliant")))))</f>
        <v/>
      </c>
      <c r="O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IF(D722="Legitimate Interest (GDPR Art. 6(1)(f))", "Yes / Required (Sheet 3)", "")</f>
        <v/>
      </c>
      <c r="L722" s="7" t="n"/>
      <c r="M722" s="7" t="n"/>
      <c r="N722">
        <f>IF(D722="", "Gap - No Legal Basis", IF(AND(D722="Consent (GDPR Art. 6(1)(a))", I722="Not Captured"), "Gap - Invalid Consent", IF(AND(D722="Legitimate Interest (GDPR Art. 6(1)(f))", L722=""), "Gap - Missing LIA", IF(AND(G722="Yes", H722=""), "Gap - Missing Art. 9 Basis", IF(OR(I722="Invalid - Not Freely Given", I722="Invalid - Not Specific", I722="Invalid - Not Informed", I722="Invalid - Ambiguous"), "Gap - Invalid Consent", "Compliant")))))</f>
        <v/>
      </c>
      <c r="O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IF(D723="Legitimate Interest (GDPR Art. 6(1)(f))", "Yes / Required (Sheet 3)", "")</f>
        <v/>
      </c>
      <c r="L723" s="7" t="n"/>
      <c r="M723" s="7" t="n"/>
      <c r="N723">
        <f>IF(D723="", "Gap - No Legal Basis", IF(AND(D723="Consent (GDPR Art. 6(1)(a))", I723="Not Captured"), "Gap - Invalid Consent", IF(AND(D723="Legitimate Interest (GDPR Art. 6(1)(f))", L723=""), "Gap - Missing LIA", IF(AND(G723="Yes", H723=""), "Gap - Missing Art. 9 Basis", IF(OR(I723="Invalid - Not Freely Given", I723="Invalid - Not Specific", I723="Invalid - Not Informed", I723="Invalid - Ambiguous"), "Gap - Invalid Consent", "Compliant")))))</f>
        <v/>
      </c>
      <c r="O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IF(D724="Legitimate Interest (GDPR Art. 6(1)(f))", "Yes / Required (Sheet 3)", "")</f>
        <v/>
      </c>
      <c r="L724" s="7" t="n"/>
      <c r="M724" s="7" t="n"/>
      <c r="N724">
        <f>IF(D724="", "Gap - No Legal Basis", IF(AND(D724="Consent (GDPR Art. 6(1)(a))", I724="Not Captured"), "Gap - Invalid Consent", IF(AND(D724="Legitimate Interest (GDPR Art. 6(1)(f))", L724=""), "Gap - Missing LIA", IF(AND(G724="Yes", H724=""), "Gap - Missing Art. 9 Basis", IF(OR(I724="Invalid - Not Freely Given", I724="Invalid - Not Specific", I724="Invalid - Not Informed", I724="Invalid - Ambiguous"), "Gap - Invalid Consent", "Compliant")))))</f>
        <v/>
      </c>
      <c r="O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IF(D725="Legitimate Interest (GDPR Art. 6(1)(f))", "Yes / Required (Sheet 3)", "")</f>
        <v/>
      </c>
      <c r="L725" s="7" t="n"/>
      <c r="M725" s="7" t="n"/>
      <c r="N725">
        <f>IF(D725="", "Gap - No Legal Basis", IF(AND(D725="Consent (GDPR Art. 6(1)(a))", I725="Not Captured"), "Gap - Invalid Consent", IF(AND(D725="Legitimate Interest (GDPR Art. 6(1)(f))", L725=""), "Gap - Missing LIA", IF(AND(G725="Yes", H725=""), "Gap - Missing Art. 9 Basis", IF(OR(I725="Invalid - Not Freely Given", I725="Invalid - Not Specific", I725="Invalid - Not Informed", I725="Invalid - Ambiguous"), "Gap - Invalid Consent", "Compliant")))))</f>
        <v/>
      </c>
      <c r="O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IF(D726="Legitimate Interest (GDPR Art. 6(1)(f))", "Yes / Required (Sheet 3)", "")</f>
        <v/>
      </c>
      <c r="L726" s="7" t="n"/>
      <c r="M726" s="7" t="n"/>
      <c r="N726">
        <f>IF(D726="", "Gap - No Legal Basis", IF(AND(D726="Consent (GDPR Art. 6(1)(a))", I726="Not Captured"), "Gap - Invalid Consent", IF(AND(D726="Legitimate Interest (GDPR Art. 6(1)(f))", L726=""), "Gap - Missing LIA", IF(AND(G726="Yes", H726=""), "Gap - Missing Art. 9 Basis", IF(OR(I726="Invalid - Not Freely Given", I726="Invalid - Not Specific", I726="Invalid - Not Informed", I726="Invalid - Ambiguous"), "Gap - Invalid Consent", "Compliant")))))</f>
        <v/>
      </c>
      <c r="O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IF(D727="Legitimate Interest (GDPR Art. 6(1)(f))", "Yes / Required (Sheet 3)", "")</f>
        <v/>
      </c>
      <c r="L727" s="7" t="n"/>
      <c r="M727" s="7" t="n"/>
      <c r="N727">
        <f>IF(D727="", "Gap - No Legal Basis", IF(AND(D727="Consent (GDPR Art. 6(1)(a))", I727="Not Captured"), "Gap - Invalid Consent", IF(AND(D727="Legitimate Interest (GDPR Art. 6(1)(f))", L727=""), "Gap - Missing LIA", IF(AND(G727="Yes", H727=""), "Gap - Missing Art. 9 Basis", IF(OR(I727="Invalid - Not Freely Given", I727="Invalid - Not Specific", I727="Invalid - Not Informed", I727="Invalid - Ambiguous"), "Gap - Invalid Consent", "Compliant")))))</f>
        <v/>
      </c>
      <c r="O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IF(D728="Legitimate Interest (GDPR Art. 6(1)(f))", "Yes / Required (Sheet 3)", "")</f>
        <v/>
      </c>
      <c r="L728" s="7" t="n"/>
      <c r="M728" s="7" t="n"/>
      <c r="N728">
        <f>IF(D728="", "Gap - No Legal Basis", IF(AND(D728="Consent (GDPR Art. 6(1)(a))", I728="Not Captured"), "Gap - Invalid Consent", IF(AND(D728="Legitimate Interest (GDPR Art. 6(1)(f))", L728=""), "Gap - Missing LIA", IF(AND(G728="Yes", H728=""), "Gap - Missing Art. 9 Basis", IF(OR(I728="Invalid - Not Freely Given", I728="Invalid - Not Specific", I728="Invalid - Not Informed", I728="Invalid - Ambiguous"), "Gap - Invalid Consent", "Compliant")))))</f>
        <v/>
      </c>
      <c r="O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IF(D729="Legitimate Interest (GDPR Art. 6(1)(f))", "Yes / Required (Sheet 3)", "")</f>
        <v/>
      </c>
      <c r="L729" s="7" t="n"/>
      <c r="M729" s="7" t="n"/>
      <c r="N729">
        <f>IF(D729="", "Gap - No Legal Basis", IF(AND(D729="Consent (GDPR Art. 6(1)(a))", I729="Not Captured"), "Gap - Invalid Consent", IF(AND(D729="Legitimate Interest (GDPR Art. 6(1)(f))", L729=""), "Gap - Missing LIA", IF(AND(G729="Yes", H729=""), "Gap - Missing Art. 9 Basis", IF(OR(I729="Invalid - Not Freely Given", I729="Invalid - Not Specific", I729="Invalid - Not Informed", I729="Invalid - Ambiguous"), "Gap - Invalid Consent", "Compliant")))))</f>
        <v/>
      </c>
      <c r="O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IF(D730="Legitimate Interest (GDPR Art. 6(1)(f))", "Yes / Required (Sheet 3)", "")</f>
        <v/>
      </c>
      <c r="L730" s="7" t="n"/>
      <c r="M730" s="7" t="n"/>
      <c r="N730">
        <f>IF(D730="", "Gap - No Legal Basis", IF(AND(D730="Consent (GDPR Art. 6(1)(a))", I730="Not Captured"), "Gap - Invalid Consent", IF(AND(D730="Legitimate Interest (GDPR Art. 6(1)(f))", L730=""), "Gap - Missing LIA", IF(AND(G730="Yes", H730=""), "Gap - Missing Art. 9 Basis", IF(OR(I730="Invalid - Not Freely Given", I730="Invalid - Not Specific", I730="Invalid - Not Informed", I730="Invalid - Ambiguous"), "Gap - Invalid Consent", "Compliant")))))</f>
        <v/>
      </c>
      <c r="O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IF(D731="Legitimate Interest (GDPR Art. 6(1)(f))", "Yes / Required (Sheet 3)", "")</f>
        <v/>
      </c>
      <c r="L731" s="7" t="n"/>
      <c r="M731" s="7" t="n"/>
      <c r="N731">
        <f>IF(D731="", "Gap - No Legal Basis", IF(AND(D731="Consent (GDPR Art. 6(1)(a))", I731="Not Captured"), "Gap - Invalid Consent", IF(AND(D731="Legitimate Interest (GDPR Art. 6(1)(f))", L731=""), "Gap - Missing LIA", IF(AND(G731="Yes", H731=""), "Gap - Missing Art. 9 Basis", IF(OR(I731="Invalid - Not Freely Given", I731="Invalid - Not Specific", I731="Invalid - Not Informed", I731="Invalid - Ambiguous"), "Gap - Invalid Consent", "Compliant")))))</f>
        <v/>
      </c>
      <c r="O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IF(D732="Legitimate Interest (GDPR Art. 6(1)(f))", "Yes / Required (Sheet 3)", "")</f>
        <v/>
      </c>
      <c r="L732" s="7" t="n"/>
      <c r="M732" s="7" t="n"/>
      <c r="N732">
        <f>IF(D732="", "Gap - No Legal Basis", IF(AND(D732="Consent (GDPR Art. 6(1)(a))", I732="Not Captured"), "Gap - Invalid Consent", IF(AND(D732="Legitimate Interest (GDPR Art. 6(1)(f))", L732=""), "Gap - Missing LIA", IF(AND(G732="Yes", H732=""), "Gap - Missing Art. 9 Basis", IF(OR(I732="Invalid - Not Freely Given", I732="Invalid - Not Specific", I732="Invalid - Not Informed", I732="Invalid - Ambiguous"), "Gap - Invalid Consent", "Compliant")))))</f>
        <v/>
      </c>
      <c r="O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IF(D733="Legitimate Interest (GDPR Art. 6(1)(f))", "Yes / Required (Sheet 3)", "")</f>
        <v/>
      </c>
      <c r="L733" s="7" t="n"/>
      <c r="M733" s="7" t="n"/>
      <c r="N733">
        <f>IF(D733="", "Gap - No Legal Basis", IF(AND(D733="Consent (GDPR Art. 6(1)(a))", I733="Not Captured"), "Gap - Invalid Consent", IF(AND(D733="Legitimate Interest (GDPR Art. 6(1)(f))", L733=""), "Gap - Missing LIA", IF(AND(G733="Yes", H733=""), "Gap - Missing Art. 9 Basis", IF(OR(I733="Invalid - Not Freely Given", I733="Invalid - Not Specific", I733="Invalid - Not Informed", I733="Invalid - Ambiguous"), "Gap - Invalid Consent", "Compliant")))))</f>
        <v/>
      </c>
      <c r="O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IF(D734="Legitimate Interest (GDPR Art. 6(1)(f))", "Yes / Required (Sheet 3)", "")</f>
        <v/>
      </c>
      <c r="L734" s="7" t="n"/>
      <c r="M734" s="7" t="n"/>
      <c r="N734">
        <f>IF(D734="", "Gap - No Legal Basis", IF(AND(D734="Consent (GDPR Art. 6(1)(a))", I734="Not Captured"), "Gap - Invalid Consent", IF(AND(D734="Legitimate Interest (GDPR Art. 6(1)(f))", L734=""), "Gap - Missing LIA", IF(AND(G734="Yes", H734=""), "Gap - Missing Art. 9 Basis", IF(OR(I734="Invalid - Not Freely Given", I734="Invalid - Not Specific", I734="Invalid - Not Informed", I734="Invalid - Ambiguous"), "Gap - Invalid Consent", "Compliant")))))</f>
        <v/>
      </c>
      <c r="O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IF(D735="Legitimate Interest (GDPR Art. 6(1)(f))", "Yes / Required (Sheet 3)", "")</f>
        <v/>
      </c>
      <c r="L735" s="7" t="n"/>
      <c r="M735" s="7" t="n"/>
      <c r="N735">
        <f>IF(D735="", "Gap - No Legal Basis", IF(AND(D735="Consent (GDPR Art. 6(1)(a))", I735="Not Captured"), "Gap - Invalid Consent", IF(AND(D735="Legitimate Interest (GDPR Art. 6(1)(f))", L735=""), "Gap - Missing LIA", IF(AND(G735="Yes", H735=""), "Gap - Missing Art. 9 Basis", IF(OR(I735="Invalid - Not Freely Given", I735="Invalid - Not Specific", I735="Invalid - Not Informed", I735="Invalid - Ambiguous"), "Gap - Invalid Consent", "Compliant")))))</f>
        <v/>
      </c>
      <c r="O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IF(D736="Legitimate Interest (GDPR Art. 6(1)(f))", "Yes / Required (Sheet 3)", "")</f>
        <v/>
      </c>
      <c r="L736" s="7" t="n"/>
      <c r="M736" s="7" t="n"/>
      <c r="N736">
        <f>IF(D736="", "Gap - No Legal Basis", IF(AND(D736="Consent (GDPR Art. 6(1)(a))", I736="Not Captured"), "Gap - Invalid Consent", IF(AND(D736="Legitimate Interest (GDPR Art. 6(1)(f))", L736=""), "Gap - Missing LIA", IF(AND(G736="Yes", H736=""), "Gap - Missing Art. 9 Basis", IF(OR(I736="Invalid - Not Freely Given", I736="Invalid - Not Specific", I736="Invalid - Not Informed", I736="Invalid - Ambiguous"), "Gap - Invalid Consent", "Compliant")))))</f>
        <v/>
      </c>
      <c r="O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IF(D737="Legitimate Interest (GDPR Art. 6(1)(f))", "Yes / Required (Sheet 3)", "")</f>
        <v/>
      </c>
      <c r="L737" s="7" t="n"/>
      <c r="M737" s="7" t="n"/>
      <c r="N737">
        <f>IF(D737="", "Gap - No Legal Basis", IF(AND(D737="Consent (GDPR Art. 6(1)(a))", I737="Not Captured"), "Gap - Invalid Consent", IF(AND(D737="Legitimate Interest (GDPR Art. 6(1)(f))", L737=""), "Gap - Missing LIA", IF(AND(G737="Yes", H737=""), "Gap - Missing Art. 9 Basis", IF(OR(I737="Invalid - Not Freely Given", I737="Invalid - Not Specific", I737="Invalid - Not Informed", I737="Invalid - Ambiguous"), "Gap - Invalid Consent", "Compliant")))))</f>
        <v/>
      </c>
      <c r="O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IF(D738="Legitimate Interest (GDPR Art. 6(1)(f))", "Yes / Required (Sheet 3)", "")</f>
        <v/>
      </c>
      <c r="L738" s="7" t="n"/>
      <c r="M738" s="7" t="n"/>
      <c r="N738">
        <f>IF(D738="", "Gap - No Legal Basis", IF(AND(D738="Consent (GDPR Art. 6(1)(a))", I738="Not Captured"), "Gap - Invalid Consent", IF(AND(D738="Legitimate Interest (GDPR Art. 6(1)(f))", L738=""), "Gap - Missing LIA", IF(AND(G738="Yes", H738=""), "Gap - Missing Art. 9 Basis", IF(OR(I738="Invalid - Not Freely Given", I738="Invalid - Not Specific", I738="Invalid - Not Informed", I738="Invalid - Ambiguous"), "Gap - Invalid Consent", "Compliant")))))</f>
        <v/>
      </c>
      <c r="O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IF(D739="Legitimate Interest (GDPR Art. 6(1)(f))", "Yes / Required (Sheet 3)", "")</f>
        <v/>
      </c>
      <c r="L739" s="7" t="n"/>
      <c r="M739" s="7" t="n"/>
      <c r="N739">
        <f>IF(D739="", "Gap - No Legal Basis", IF(AND(D739="Consent (GDPR Art. 6(1)(a))", I739="Not Captured"), "Gap - Invalid Consent", IF(AND(D739="Legitimate Interest (GDPR Art. 6(1)(f))", L739=""), "Gap - Missing LIA", IF(AND(G739="Yes", H739=""), "Gap - Missing Art. 9 Basis", IF(OR(I739="Invalid - Not Freely Given", I739="Invalid - Not Specific", I739="Invalid - Not Informed", I739="Invalid - Ambiguous"), "Gap - Invalid Consent", "Compliant")))))</f>
        <v/>
      </c>
      <c r="O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IF(D740="Legitimate Interest (GDPR Art. 6(1)(f))", "Yes / Required (Sheet 3)", "")</f>
        <v/>
      </c>
      <c r="L740" s="7" t="n"/>
      <c r="M740" s="7" t="n"/>
      <c r="N740">
        <f>IF(D740="", "Gap - No Legal Basis", IF(AND(D740="Consent (GDPR Art. 6(1)(a))", I740="Not Captured"), "Gap - Invalid Consent", IF(AND(D740="Legitimate Interest (GDPR Art. 6(1)(f))", L740=""), "Gap - Missing LIA", IF(AND(G740="Yes", H740=""), "Gap - Missing Art. 9 Basis", IF(OR(I740="Invalid - Not Freely Given", I740="Invalid - Not Specific", I740="Invalid - Not Informed", I740="Invalid - Ambiguous"), "Gap - Invalid Consent", "Compliant")))))</f>
        <v/>
      </c>
      <c r="O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IF(D741="Legitimate Interest (GDPR Art. 6(1)(f))", "Yes / Required (Sheet 3)", "")</f>
        <v/>
      </c>
      <c r="L741" s="7" t="n"/>
      <c r="M741" s="7" t="n"/>
      <c r="N741">
        <f>IF(D741="", "Gap - No Legal Basis", IF(AND(D741="Consent (GDPR Art. 6(1)(a))", I741="Not Captured"), "Gap - Invalid Consent", IF(AND(D741="Legitimate Interest (GDPR Art. 6(1)(f))", L741=""), "Gap - Missing LIA", IF(AND(G741="Yes", H741=""), "Gap - Missing Art. 9 Basis", IF(OR(I741="Invalid - Not Freely Given", I741="Invalid - Not Specific", I741="Invalid - Not Informed", I741="Invalid - Ambiguous"), "Gap - Invalid Consent", "Compliant")))))</f>
        <v/>
      </c>
      <c r="O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IF(D742="Legitimate Interest (GDPR Art. 6(1)(f))", "Yes / Required (Sheet 3)", "")</f>
        <v/>
      </c>
      <c r="L742" s="7" t="n"/>
      <c r="M742" s="7" t="n"/>
      <c r="N742">
        <f>IF(D742="", "Gap - No Legal Basis", IF(AND(D742="Consent (GDPR Art. 6(1)(a))", I742="Not Captured"), "Gap - Invalid Consent", IF(AND(D742="Legitimate Interest (GDPR Art. 6(1)(f))", L742=""), "Gap - Missing LIA", IF(AND(G742="Yes", H742=""), "Gap - Missing Art. 9 Basis", IF(OR(I742="Invalid - Not Freely Given", I742="Invalid - Not Specific", I742="Invalid - Not Informed", I742="Invalid - Ambiguous"), "Gap - Invalid Consent", "Compliant")))))</f>
        <v/>
      </c>
      <c r="O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IF(D743="Legitimate Interest (GDPR Art. 6(1)(f))", "Yes / Required (Sheet 3)", "")</f>
        <v/>
      </c>
      <c r="L743" s="7" t="n"/>
      <c r="M743" s="7" t="n"/>
      <c r="N743">
        <f>IF(D743="", "Gap - No Legal Basis", IF(AND(D743="Consent (GDPR Art. 6(1)(a))", I743="Not Captured"), "Gap - Invalid Consent", IF(AND(D743="Legitimate Interest (GDPR Art. 6(1)(f))", L743=""), "Gap - Missing LIA", IF(AND(G743="Yes", H743=""), "Gap - Missing Art. 9 Basis", IF(OR(I743="Invalid - Not Freely Given", I743="Invalid - Not Specific", I743="Invalid - Not Informed", I743="Invalid - Ambiguous"), "Gap - Invalid Consent", "Compliant")))))</f>
        <v/>
      </c>
      <c r="O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IF(D744="Legitimate Interest (GDPR Art. 6(1)(f))", "Yes / Required (Sheet 3)", "")</f>
        <v/>
      </c>
      <c r="L744" s="7" t="n"/>
      <c r="M744" s="7" t="n"/>
      <c r="N744">
        <f>IF(D744="", "Gap - No Legal Basis", IF(AND(D744="Consent (GDPR Art. 6(1)(a))", I744="Not Captured"), "Gap - Invalid Consent", IF(AND(D744="Legitimate Interest (GDPR Art. 6(1)(f))", L744=""), "Gap - Missing LIA", IF(AND(G744="Yes", H744=""), "Gap - Missing Art. 9 Basis", IF(OR(I744="Invalid - Not Freely Given", I744="Invalid - Not Specific", I744="Invalid - Not Informed", I744="Invalid - Ambiguous"), "Gap - Invalid Consent", "Compliant")))))</f>
        <v/>
      </c>
      <c r="O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IF(D745="Legitimate Interest (GDPR Art. 6(1)(f))", "Yes / Required (Sheet 3)", "")</f>
        <v/>
      </c>
      <c r="L745" s="7" t="n"/>
      <c r="M745" s="7" t="n"/>
      <c r="N745">
        <f>IF(D745="", "Gap - No Legal Basis", IF(AND(D745="Consent (GDPR Art. 6(1)(a))", I745="Not Captured"), "Gap - Invalid Consent", IF(AND(D745="Legitimate Interest (GDPR Art. 6(1)(f))", L745=""), "Gap - Missing LIA", IF(AND(G745="Yes", H745=""), "Gap - Missing Art. 9 Basis", IF(OR(I745="Invalid - Not Freely Given", I745="Invalid - Not Specific", I745="Invalid - Not Informed", I745="Invalid - Ambiguous"), "Gap - Invalid Consent", "Compliant")))))</f>
        <v/>
      </c>
      <c r="O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IF(D746="Legitimate Interest (GDPR Art. 6(1)(f))", "Yes / Required (Sheet 3)", "")</f>
        <v/>
      </c>
      <c r="L746" s="7" t="n"/>
      <c r="M746" s="7" t="n"/>
      <c r="N746">
        <f>IF(D746="", "Gap - No Legal Basis", IF(AND(D746="Consent (GDPR Art. 6(1)(a))", I746="Not Captured"), "Gap - Invalid Consent", IF(AND(D746="Legitimate Interest (GDPR Art. 6(1)(f))", L746=""), "Gap - Missing LIA", IF(AND(G746="Yes", H746=""), "Gap - Missing Art. 9 Basis", IF(OR(I746="Invalid - Not Freely Given", I746="Invalid - Not Specific", I746="Invalid - Not Informed", I746="Invalid - Ambiguous"), "Gap - Invalid Consent", "Compliant")))))</f>
        <v/>
      </c>
      <c r="O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IF(D747="Legitimate Interest (GDPR Art. 6(1)(f))", "Yes / Required (Sheet 3)", "")</f>
        <v/>
      </c>
      <c r="L747" s="7" t="n"/>
      <c r="M747" s="7" t="n"/>
      <c r="N747">
        <f>IF(D747="", "Gap - No Legal Basis", IF(AND(D747="Consent (GDPR Art. 6(1)(a))", I747="Not Captured"), "Gap - Invalid Consent", IF(AND(D747="Legitimate Interest (GDPR Art. 6(1)(f))", L747=""), "Gap - Missing LIA", IF(AND(G747="Yes", H747=""), "Gap - Missing Art. 9 Basis", IF(OR(I747="Invalid - Not Freely Given", I747="Invalid - Not Specific", I747="Invalid - Not Informed", I747="Invalid - Ambiguous"), "Gap - Invalid Consent", "Compliant")))))</f>
        <v/>
      </c>
      <c r="O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IF(D748="Legitimate Interest (GDPR Art. 6(1)(f))", "Yes / Required (Sheet 3)", "")</f>
        <v/>
      </c>
      <c r="L748" s="7" t="n"/>
      <c r="M748" s="7" t="n"/>
      <c r="N748">
        <f>IF(D748="", "Gap - No Legal Basis", IF(AND(D748="Consent (GDPR Art. 6(1)(a))", I748="Not Captured"), "Gap - Invalid Consent", IF(AND(D748="Legitimate Interest (GDPR Art. 6(1)(f))", L748=""), "Gap - Missing LIA", IF(AND(G748="Yes", H748=""), "Gap - Missing Art. 9 Basis", IF(OR(I748="Invalid - Not Freely Given", I748="Invalid - Not Specific", I748="Invalid - Not Informed", I748="Invalid - Ambiguous"), "Gap - Invalid Consent", "Compliant")))))</f>
        <v/>
      </c>
      <c r="O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IF(D749="Legitimate Interest (GDPR Art. 6(1)(f))", "Yes / Required (Sheet 3)", "")</f>
        <v/>
      </c>
      <c r="L749" s="7" t="n"/>
      <c r="M749" s="7" t="n"/>
      <c r="N749">
        <f>IF(D749="", "Gap - No Legal Basis", IF(AND(D749="Consent (GDPR Art. 6(1)(a))", I749="Not Captured"), "Gap - Invalid Consent", IF(AND(D749="Legitimate Interest (GDPR Art. 6(1)(f))", L749=""), "Gap - Missing LIA", IF(AND(G749="Yes", H749=""), "Gap - Missing Art. 9 Basis", IF(OR(I749="Invalid - Not Freely Given", I749="Invalid - Not Specific", I749="Invalid - Not Informed", I749="Invalid - Ambiguous"), "Gap - Invalid Consent", "Compliant")))))</f>
        <v/>
      </c>
      <c r="O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IF(D750="Legitimate Interest (GDPR Art. 6(1)(f))", "Yes / Required (Sheet 3)", "")</f>
        <v/>
      </c>
      <c r="L750" s="7" t="n"/>
      <c r="M750" s="7" t="n"/>
      <c r="N750">
        <f>IF(D750="", "Gap - No Legal Basis", IF(AND(D750="Consent (GDPR Art. 6(1)(a))", I750="Not Captured"), "Gap - Invalid Consent", IF(AND(D750="Legitimate Interest (GDPR Art. 6(1)(f))", L750=""), "Gap - Missing LIA", IF(AND(G750="Yes", H750=""), "Gap - Missing Art. 9 Basis", IF(OR(I750="Invalid - Not Freely Given", I750="Invalid - Not Specific", I750="Invalid - Not Informed", I750="Invalid - Ambiguous"), "Gap - Invalid Consent", "Compliant")))))</f>
        <v/>
      </c>
      <c r="O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IF(D751="Legitimate Interest (GDPR Art. 6(1)(f))", "Yes / Required (Sheet 3)", "")</f>
        <v/>
      </c>
      <c r="L751" s="7" t="n"/>
      <c r="M751" s="7" t="n"/>
      <c r="N751">
        <f>IF(D751="", "Gap - No Legal Basis", IF(AND(D751="Consent (GDPR Art. 6(1)(a))", I751="Not Captured"), "Gap - Invalid Consent", IF(AND(D751="Legitimate Interest (GDPR Art. 6(1)(f))", L751=""), "Gap - Missing LIA", IF(AND(G751="Yes", H751=""), "Gap - Missing Art. 9 Basis", IF(OR(I751="Invalid - Not Freely Given", I751="Invalid - Not Specific", I751="Invalid - Not Informed", I751="Invalid - Ambiguous"), "Gap - Invalid Consent", "Compliant")))))</f>
        <v/>
      </c>
      <c r="O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IF(D752="Legitimate Interest (GDPR Art. 6(1)(f))", "Yes / Required (Sheet 3)", "")</f>
        <v/>
      </c>
      <c r="L752" s="7" t="n"/>
      <c r="M752" s="7" t="n"/>
      <c r="N752">
        <f>IF(D752="", "Gap - No Legal Basis", IF(AND(D752="Consent (GDPR Art. 6(1)(a))", I752="Not Captured"), "Gap - Invalid Consent", IF(AND(D752="Legitimate Interest (GDPR Art. 6(1)(f))", L752=""), "Gap - Missing LIA", IF(AND(G752="Yes", H752=""), "Gap - Missing Art. 9 Basis", IF(OR(I752="Invalid - Not Freely Given", I752="Invalid - Not Specific", I752="Invalid - Not Informed", I752="Invalid - Ambiguous"), "Gap - Invalid Consent", "Compliant")))))</f>
        <v/>
      </c>
      <c r="O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IF(D753="Legitimate Interest (GDPR Art. 6(1)(f))", "Yes / Required (Sheet 3)", "")</f>
        <v/>
      </c>
      <c r="L753" s="7" t="n"/>
      <c r="M753" s="7" t="n"/>
      <c r="N753">
        <f>IF(D753="", "Gap - No Legal Basis", IF(AND(D753="Consent (GDPR Art. 6(1)(a))", I753="Not Captured"), "Gap - Invalid Consent", IF(AND(D753="Legitimate Interest (GDPR Art. 6(1)(f))", L753=""), "Gap - Missing LIA", IF(AND(G753="Yes", H753=""), "Gap - Missing Art. 9 Basis", IF(OR(I753="Invalid - Not Freely Given", I753="Invalid - Not Specific", I753="Invalid - Not Informed", I753="Invalid - Ambiguous"), "Gap - Invalid Consent", "Compliant")))))</f>
        <v/>
      </c>
      <c r="O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IF(D754="Legitimate Interest (GDPR Art. 6(1)(f))", "Yes / Required (Sheet 3)", "")</f>
        <v/>
      </c>
      <c r="L754" s="7" t="n"/>
      <c r="M754" s="7" t="n"/>
      <c r="N754">
        <f>IF(D754="", "Gap - No Legal Basis", IF(AND(D754="Consent (GDPR Art. 6(1)(a))", I754="Not Captured"), "Gap - Invalid Consent", IF(AND(D754="Legitimate Interest (GDPR Art. 6(1)(f))", L754=""), "Gap - Missing LIA", IF(AND(G754="Yes", H754=""), "Gap - Missing Art. 9 Basis", IF(OR(I754="Invalid - Not Freely Given", I754="Invalid - Not Specific", I754="Invalid - Not Informed", I754="Invalid - Ambiguous"), "Gap - Invalid Consent", "Compliant")))))</f>
        <v/>
      </c>
      <c r="O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IF(D755="Legitimate Interest (GDPR Art. 6(1)(f))", "Yes / Required (Sheet 3)", "")</f>
        <v/>
      </c>
      <c r="L755" s="7" t="n"/>
      <c r="M755" s="7" t="n"/>
      <c r="N755">
        <f>IF(D755="", "Gap - No Legal Basis", IF(AND(D755="Consent (GDPR Art. 6(1)(a))", I755="Not Captured"), "Gap - Invalid Consent", IF(AND(D755="Legitimate Interest (GDPR Art. 6(1)(f))", L755=""), "Gap - Missing LIA", IF(AND(G755="Yes", H755=""), "Gap - Missing Art. 9 Basis", IF(OR(I755="Invalid - Not Freely Given", I755="Invalid - Not Specific", I755="Invalid - Not Informed", I755="Invalid - Ambiguous"), "Gap - Invalid Consent", "Compliant")))))</f>
        <v/>
      </c>
      <c r="O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IF(D756="Legitimate Interest (GDPR Art. 6(1)(f))", "Yes / Required (Sheet 3)", "")</f>
        <v/>
      </c>
      <c r="L756" s="7" t="n"/>
      <c r="M756" s="7" t="n"/>
      <c r="N756">
        <f>IF(D756="", "Gap - No Legal Basis", IF(AND(D756="Consent (GDPR Art. 6(1)(a))", I756="Not Captured"), "Gap - Invalid Consent", IF(AND(D756="Legitimate Interest (GDPR Art. 6(1)(f))", L756=""), "Gap - Missing LIA", IF(AND(G756="Yes", H756=""), "Gap - Missing Art. 9 Basis", IF(OR(I756="Invalid - Not Freely Given", I756="Invalid - Not Specific", I756="Invalid - Not Informed", I756="Invalid - Ambiguous"), "Gap - Invalid Consent", "Compliant")))))</f>
        <v/>
      </c>
      <c r="O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IF(D757="Legitimate Interest (GDPR Art. 6(1)(f))", "Yes / Required (Sheet 3)", "")</f>
        <v/>
      </c>
      <c r="L757" s="7" t="n"/>
      <c r="M757" s="7" t="n"/>
      <c r="N757">
        <f>IF(D757="", "Gap - No Legal Basis", IF(AND(D757="Consent (GDPR Art. 6(1)(a))", I757="Not Captured"), "Gap - Invalid Consent", IF(AND(D757="Legitimate Interest (GDPR Art. 6(1)(f))", L757=""), "Gap - Missing LIA", IF(AND(G757="Yes", H757=""), "Gap - Missing Art. 9 Basis", IF(OR(I757="Invalid - Not Freely Given", I757="Invalid - Not Specific", I757="Invalid - Not Informed", I757="Invalid - Ambiguous"), "Gap - Invalid Consent", "Compliant")))))</f>
        <v/>
      </c>
      <c r="O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IF(D758="Legitimate Interest (GDPR Art. 6(1)(f))", "Yes / Required (Sheet 3)", "")</f>
        <v/>
      </c>
      <c r="L758" s="7" t="n"/>
      <c r="M758" s="7" t="n"/>
      <c r="N758">
        <f>IF(D758="", "Gap - No Legal Basis", IF(AND(D758="Consent (GDPR Art. 6(1)(a))", I758="Not Captured"), "Gap - Invalid Consent", IF(AND(D758="Legitimate Interest (GDPR Art. 6(1)(f))", L758=""), "Gap - Missing LIA", IF(AND(G758="Yes", H758=""), "Gap - Missing Art. 9 Basis", IF(OR(I758="Invalid - Not Freely Given", I758="Invalid - Not Specific", I758="Invalid - Not Informed", I758="Invalid - Ambiguous"), "Gap - Invalid Consent", "Compliant")))))</f>
        <v/>
      </c>
      <c r="O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IF(D759="Legitimate Interest (GDPR Art. 6(1)(f))", "Yes / Required (Sheet 3)", "")</f>
        <v/>
      </c>
      <c r="L759" s="7" t="n"/>
      <c r="M759" s="7" t="n"/>
      <c r="N759">
        <f>IF(D759="", "Gap - No Legal Basis", IF(AND(D759="Consent (GDPR Art. 6(1)(a))", I759="Not Captured"), "Gap - Invalid Consent", IF(AND(D759="Legitimate Interest (GDPR Art. 6(1)(f))", L759=""), "Gap - Missing LIA", IF(AND(G759="Yes", H759=""), "Gap - Missing Art. 9 Basis", IF(OR(I759="Invalid - Not Freely Given", I759="Invalid - Not Specific", I759="Invalid - Not Informed", I759="Invalid - Ambiguous"), "Gap - Invalid Consent", "Compliant")))))</f>
        <v/>
      </c>
      <c r="O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IF(D760="Legitimate Interest (GDPR Art. 6(1)(f))", "Yes / Required (Sheet 3)", "")</f>
        <v/>
      </c>
      <c r="L760" s="7" t="n"/>
      <c r="M760" s="7" t="n"/>
      <c r="N760">
        <f>IF(D760="", "Gap - No Legal Basis", IF(AND(D760="Consent (GDPR Art. 6(1)(a))", I760="Not Captured"), "Gap - Invalid Consent", IF(AND(D760="Legitimate Interest (GDPR Art. 6(1)(f))", L760=""), "Gap - Missing LIA", IF(AND(G760="Yes", H760=""), "Gap - Missing Art. 9 Basis", IF(OR(I760="Invalid - Not Freely Given", I760="Invalid - Not Specific", I760="Invalid - Not Informed", I760="Invalid - Ambiguous"), "Gap - Invalid Consent", "Compliant")))))</f>
        <v/>
      </c>
      <c r="O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IF(D761="Legitimate Interest (GDPR Art. 6(1)(f))", "Yes / Required (Sheet 3)", "")</f>
        <v/>
      </c>
      <c r="L761" s="7" t="n"/>
      <c r="M761" s="7" t="n"/>
      <c r="N761">
        <f>IF(D761="", "Gap - No Legal Basis", IF(AND(D761="Consent (GDPR Art. 6(1)(a))", I761="Not Captured"), "Gap - Invalid Consent", IF(AND(D761="Legitimate Interest (GDPR Art. 6(1)(f))", L761=""), "Gap - Missing LIA", IF(AND(G761="Yes", H761=""), "Gap - Missing Art. 9 Basis", IF(OR(I761="Invalid - Not Freely Given", I761="Invalid - Not Specific", I761="Invalid - Not Informed", I761="Invalid - Ambiguous"), "Gap - Invalid Consent", "Compliant")))))</f>
        <v/>
      </c>
      <c r="O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IF(D762="Legitimate Interest (GDPR Art. 6(1)(f))", "Yes / Required (Sheet 3)", "")</f>
        <v/>
      </c>
      <c r="L762" s="7" t="n"/>
      <c r="M762" s="7" t="n"/>
      <c r="N762">
        <f>IF(D762="", "Gap - No Legal Basis", IF(AND(D762="Consent (GDPR Art. 6(1)(a))", I762="Not Captured"), "Gap - Invalid Consent", IF(AND(D762="Legitimate Interest (GDPR Art. 6(1)(f))", L762=""), "Gap - Missing LIA", IF(AND(G762="Yes", H762=""), "Gap - Missing Art. 9 Basis", IF(OR(I762="Invalid - Not Freely Given", I762="Invalid - Not Specific", I762="Invalid - Not Informed", I762="Invalid - Ambiguous"), "Gap - Invalid Consent", "Compliant")))))</f>
        <v/>
      </c>
      <c r="O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IF(D763="Legitimate Interest (GDPR Art. 6(1)(f))", "Yes / Required (Sheet 3)", "")</f>
        <v/>
      </c>
      <c r="L763" s="7" t="n"/>
      <c r="M763" s="7" t="n"/>
      <c r="N763">
        <f>IF(D763="", "Gap - No Legal Basis", IF(AND(D763="Consent (GDPR Art. 6(1)(a))", I763="Not Captured"), "Gap - Invalid Consent", IF(AND(D763="Legitimate Interest (GDPR Art. 6(1)(f))", L763=""), "Gap - Missing LIA", IF(AND(G763="Yes", H763=""), "Gap - Missing Art. 9 Basis", IF(OR(I763="Invalid - Not Freely Given", I763="Invalid - Not Specific", I763="Invalid - Not Informed", I763="Invalid - Ambiguous"), "Gap - Invalid Consent", "Compliant")))))</f>
        <v/>
      </c>
      <c r="O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IF(D764="Legitimate Interest (GDPR Art. 6(1)(f))", "Yes / Required (Sheet 3)", "")</f>
        <v/>
      </c>
      <c r="L764" s="7" t="n"/>
      <c r="M764" s="7" t="n"/>
      <c r="N764">
        <f>IF(D764="", "Gap - No Legal Basis", IF(AND(D764="Consent (GDPR Art. 6(1)(a))", I764="Not Captured"), "Gap - Invalid Consent", IF(AND(D764="Legitimate Interest (GDPR Art. 6(1)(f))", L764=""), "Gap - Missing LIA", IF(AND(G764="Yes", H764=""), "Gap - Missing Art. 9 Basis", IF(OR(I764="Invalid - Not Freely Given", I764="Invalid - Not Specific", I764="Invalid - Not Informed", I764="Invalid - Ambiguous"), "Gap - Invalid Consent", "Compliant")))))</f>
        <v/>
      </c>
      <c r="O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IF(D765="Legitimate Interest (GDPR Art. 6(1)(f))", "Yes / Required (Sheet 3)", "")</f>
        <v/>
      </c>
      <c r="L765" s="7" t="n"/>
      <c r="M765" s="7" t="n"/>
      <c r="N765">
        <f>IF(D765="", "Gap - No Legal Basis", IF(AND(D765="Consent (GDPR Art. 6(1)(a))", I765="Not Captured"), "Gap - Invalid Consent", IF(AND(D765="Legitimate Interest (GDPR Art. 6(1)(f))", L765=""), "Gap - Missing LIA", IF(AND(G765="Yes", H765=""), "Gap - Missing Art. 9 Basis", IF(OR(I765="Invalid - Not Freely Given", I765="Invalid - Not Specific", I765="Invalid - Not Informed", I765="Invalid - Ambiguous"), "Gap - Invalid Consent", "Compliant")))))</f>
        <v/>
      </c>
      <c r="O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IF(D766="Legitimate Interest (GDPR Art. 6(1)(f))", "Yes / Required (Sheet 3)", "")</f>
        <v/>
      </c>
      <c r="L766" s="7" t="n"/>
      <c r="M766" s="7" t="n"/>
      <c r="N766">
        <f>IF(D766="", "Gap - No Legal Basis", IF(AND(D766="Consent (GDPR Art. 6(1)(a))", I766="Not Captured"), "Gap - Invalid Consent", IF(AND(D766="Legitimate Interest (GDPR Art. 6(1)(f))", L766=""), "Gap - Missing LIA", IF(AND(G766="Yes", H766=""), "Gap - Missing Art. 9 Basis", IF(OR(I766="Invalid - Not Freely Given", I766="Invalid - Not Specific", I766="Invalid - Not Informed", I766="Invalid - Ambiguous"), "Gap - Invalid Consent", "Compliant")))))</f>
        <v/>
      </c>
      <c r="O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IF(D767="Legitimate Interest (GDPR Art. 6(1)(f))", "Yes / Required (Sheet 3)", "")</f>
        <v/>
      </c>
      <c r="L767" s="7" t="n"/>
      <c r="M767" s="7" t="n"/>
      <c r="N767">
        <f>IF(D767="", "Gap - No Legal Basis", IF(AND(D767="Consent (GDPR Art. 6(1)(a))", I767="Not Captured"), "Gap - Invalid Consent", IF(AND(D767="Legitimate Interest (GDPR Art. 6(1)(f))", L767=""), "Gap - Missing LIA", IF(AND(G767="Yes", H767=""), "Gap - Missing Art. 9 Basis", IF(OR(I767="Invalid - Not Freely Given", I767="Invalid - Not Specific", I767="Invalid - Not Informed", I767="Invalid - Ambiguous"), "Gap - Invalid Consent", "Compliant")))))</f>
        <v/>
      </c>
      <c r="O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IF(D768="Legitimate Interest (GDPR Art. 6(1)(f))", "Yes / Required (Sheet 3)", "")</f>
        <v/>
      </c>
      <c r="L768" s="7" t="n"/>
      <c r="M768" s="7" t="n"/>
      <c r="N768">
        <f>IF(D768="", "Gap - No Legal Basis", IF(AND(D768="Consent (GDPR Art. 6(1)(a))", I768="Not Captured"), "Gap - Invalid Consent", IF(AND(D768="Legitimate Interest (GDPR Art. 6(1)(f))", L768=""), "Gap - Missing LIA", IF(AND(G768="Yes", H768=""), "Gap - Missing Art. 9 Basis", IF(OR(I768="Invalid - Not Freely Given", I768="Invalid - Not Specific", I768="Invalid - Not Informed", I768="Invalid - Ambiguous"), "Gap - Invalid Consent", "Compliant")))))</f>
        <v/>
      </c>
      <c r="O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IF(D769="Legitimate Interest (GDPR Art. 6(1)(f))", "Yes / Required (Sheet 3)", "")</f>
        <v/>
      </c>
      <c r="L769" s="7" t="n"/>
      <c r="M769" s="7" t="n"/>
      <c r="N769">
        <f>IF(D769="", "Gap - No Legal Basis", IF(AND(D769="Consent (GDPR Art. 6(1)(a))", I769="Not Captured"), "Gap - Invalid Consent", IF(AND(D769="Legitimate Interest (GDPR Art. 6(1)(f))", L769=""), "Gap - Missing LIA", IF(AND(G769="Yes", H769=""), "Gap - Missing Art. 9 Basis", IF(OR(I769="Invalid - Not Freely Given", I769="Invalid - Not Specific", I769="Invalid - Not Informed", I769="Invalid - Ambiguous"), "Gap - Invalid Consent", "Compliant")))))</f>
        <v/>
      </c>
      <c r="O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IF(D770="Legitimate Interest (GDPR Art. 6(1)(f))", "Yes / Required (Sheet 3)", "")</f>
        <v/>
      </c>
      <c r="L770" s="7" t="n"/>
      <c r="M770" s="7" t="n"/>
      <c r="N770">
        <f>IF(D770="", "Gap - No Legal Basis", IF(AND(D770="Consent (GDPR Art. 6(1)(a))", I770="Not Captured"), "Gap - Invalid Consent", IF(AND(D770="Legitimate Interest (GDPR Art. 6(1)(f))", L770=""), "Gap - Missing LIA", IF(AND(G770="Yes", H770=""), "Gap - Missing Art. 9 Basis", IF(OR(I770="Invalid - Not Freely Given", I770="Invalid - Not Specific", I770="Invalid - Not Informed", I770="Invalid - Ambiguous"), "Gap - Invalid Consent", "Compliant")))))</f>
        <v/>
      </c>
      <c r="O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IF(D771="Legitimate Interest (GDPR Art. 6(1)(f))", "Yes / Required (Sheet 3)", "")</f>
        <v/>
      </c>
      <c r="L771" s="7" t="n"/>
      <c r="M771" s="7" t="n"/>
      <c r="N771">
        <f>IF(D771="", "Gap - No Legal Basis", IF(AND(D771="Consent (GDPR Art. 6(1)(a))", I771="Not Captured"), "Gap - Invalid Consent", IF(AND(D771="Legitimate Interest (GDPR Art. 6(1)(f))", L771=""), "Gap - Missing LIA", IF(AND(G771="Yes", H771=""), "Gap - Missing Art. 9 Basis", IF(OR(I771="Invalid - Not Freely Given", I771="Invalid - Not Specific", I771="Invalid - Not Informed", I771="Invalid - Ambiguous"), "Gap - Invalid Consent", "Compliant")))))</f>
        <v/>
      </c>
      <c r="O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IF(D772="Legitimate Interest (GDPR Art. 6(1)(f))", "Yes / Required (Sheet 3)", "")</f>
        <v/>
      </c>
      <c r="L772" s="7" t="n"/>
      <c r="M772" s="7" t="n"/>
      <c r="N772">
        <f>IF(D772="", "Gap - No Legal Basis", IF(AND(D772="Consent (GDPR Art. 6(1)(a))", I772="Not Captured"), "Gap - Invalid Consent", IF(AND(D772="Legitimate Interest (GDPR Art. 6(1)(f))", L772=""), "Gap - Missing LIA", IF(AND(G772="Yes", H772=""), "Gap - Missing Art. 9 Basis", IF(OR(I772="Invalid - Not Freely Given", I772="Invalid - Not Specific", I772="Invalid - Not Informed", I772="Invalid - Ambiguous"), "Gap - Invalid Consent", "Compliant")))))</f>
        <v/>
      </c>
      <c r="O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IF(D773="Legitimate Interest (GDPR Art. 6(1)(f))", "Yes / Required (Sheet 3)", "")</f>
        <v/>
      </c>
      <c r="L773" s="7" t="n"/>
      <c r="M773" s="7" t="n"/>
      <c r="N773">
        <f>IF(D773="", "Gap - No Legal Basis", IF(AND(D773="Consent (GDPR Art. 6(1)(a))", I773="Not Captured"), "Gap - Invalid Consent", IF(AND(D773="Legitimate Interest (GDPR Art. 6(1)(f))", L773=""), "Gap - Missing LIA", IF(AND(G773="Yes", H773=""), "Gap - Missing Art. 9 Basis", IF(OR(I773="Invalid - Not Freely Given", I773="Invalid - Not Specific", I773="Invalid - Not Informed", I773="Invalid - Ambiguous"), "Gap - Invalid Consent", "Compliant")))))</f>
        <v/>
      </c>
      <c r="O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IF(D774="Legitimate Interest (GDPR Art. 6(1)(f))", "Yes / Required (Sheet 3)", "")</f>
        <v/>
      </c>
      <c r="L774" s="7" t="n"/>
      <c r="M774" s="7" t="n"/>
      <c r="N774">
        <f>IF(D774="", "Gap - No Legal Basis", IF(AND(D774="Consent (GDPR Art. 6(1)(a))", I774="Not Captured"), "Gap - Invalid Consent", IF(AND(D774="Legitimate Interest (GDPR Art. 6(1)(f))", L774=""), "Gap - Missing LIA", IF(AND(G774="Yes", H774=""), "Gap - Missing Art. 9 Basis", IF(OR(I774="Invalid - Not Freely Given", I774="Invalid - Not Specific", I774="Invalid - Not Informed", I774="Invalid - Ambiguous"), "Gap - Invalid Consent", "Compliant")))))</f>
        <v/>
      </c>
      <c r="O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IF(D775="Legitimate Interest (GDPR Art. 6(1)(f))", "Yes / Required (Sheet 3)", "")</f>
        <v/>
      </c>
      <c r="L775" s="7" t="n"/>
      <c r="M775" s="7" t="n"/>
      <c r="N775">
        <f>IF(D775="", "Gap - No Legal Basis", IF(AND(D775="Consent (GDPR Art. 6(1)(a))", I775="Not Captured"), "Gap - Invalid Consent", IF(AND(D775="Legitimate Interest (GDPR Art. 6(1)(f))", L775=""), "Gap - Missing LIA", IF(AND(G775="Yes", H775=""), "Gap - Missing Art. 9 Basis", IF(OR(I775="Invalid - Not Freely Given", I775="Invalid - Not Specific", I775="Invalid - Not Informed", I775="Invalid - Ambiguous"), "Gap - Invalid Consent", "Compliant")))))</f>
        <v/>
      </c>
      <c r="O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IF(D776="Legitimate Interest (GDPR Art. 6(1)(f))", "Yes / Required (Sheet 3)", "")</f>
        <v/>
      </c>
      <c r="L776" s="7" t="n"/>
      <c r="M776" s="7" t="n"/>
      <c r="N776">
        <f>IF(D776="", "Gap - No Legal Basis", IF(AND(D776="Consent (GDPR Art. 6(1)(a))", I776="Not Captured"), "Gap - Invalid Consent", IF(AND(D776="Legitimate Interest (GDPR Art. 6(1)(f))", L776=""), "Gap - Missing LIA", IF(AND(G776="Yes", H776=""), "Gap - Missing Art. 9 Basis", IF(OR(I776="Invalid - Not Freely Given", I776="Invalid - Not Specific", I776="Invalid - Not Informed", I776="Invalid - Ambiguous"), "Gap - Invalid Consent", "Compliant")))))</f>
        <v/>
      </c>
      <c r="O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IF(D777="Legitimate Interest (GDPR Art. 6(1)(f))", "Yes / Required (Sheet 3)", "")</f>
        <v/>
      </c>
      <c r="L777" s="7" t="n"/>
      <c r="M777" s="7" t="n"/>
      <c r="N777">
        <f>IF(D777="", "Gap - No Legal Basis", IF(AND(D777="Consent (GDPR Art. 6(1)(a))", I777="Not Captured"), "Gap - Invalid Consent", IF(AND(D777="Legitimate Interest (GDPR Art. 6(1)(f))", L777=""), "Gap - Missing LIA", IF(AND(G777="Yes", H777=""), "Gap - Missing Art. 9 Basis", IF(OR(I777="Invalid - Not Freely Given", I777="Invalid - Not Specific", I777="Invalid - Not Informed", I777="Invalid - Ambiguous"), "Gap - Invalid Consent", "Compliant")))))</f>
        <v/>
      </c>
      <c r="O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IF(D778="Legitimate Interest (GDPR Art. 6(1)(f))", "Yes / Required (Sheet 3)", "")</f>
        <v/>
      </c>
      <c r="L778" s="7" t="n"/>
      <c r="M778" s="7" t="n"/>
      <c r="N778">
        <f>IF(D778="", "Gap - No Legal Basis", IF(AND(D778="Consent (GDPR Art. 6(1)(a))", I778="Not Captured"), "Gap - Invalid Consent", IF(AND(D778="Legitimate Interest (GDPR Art. 6(1)(f))", L778=""), "Gap - Missing LIA", IF(AND(G778="Yes", H778=""), "Gap - Missing Art. 9 Basis", IF(OR(I778="Invalid - Not Freely Given", I778="Invalid - Not Specific", I778="Invalid - Not Informed", I778="Invalid - Ambiguous"), "Gap - Invalid Consent", "Compliant")))))</f>
        <v/>
      </c>
      <c r="O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IF(D779="Legitimate Interest (GDPR Art. 6(1)(f))", "Yes / Required (Sheet 3)", "")</f>
        <v/>
      </c>
      <c r="L779" s="7" t="n"/>
      <c r="M779" s="7" t="n"/>
      <c r="N779">
        <f>IF(D779="", "Gap - No Legal Basis", IF(AND(D779="Consent (GDPR Art. 6(1)(a))", I779="Not Captured"), "Gap - Invalid Consent", IF(AND(D779="Legitimate Interest (GDPR Art. 6(1)(f))", L779=""), "Gap - Missing LIA", IF(AND(G779="Yes", H779=""), "Gap - Missing Art. 9 Basis", IF(OR(I779="Invalid - Not Freely Given", I779="Invalid - Not Specific", I779="Invalid - Not Informed", I779="Invalid - Ambiguous"), "Gap - Invalid Consent", "Compliant")))))</f>
        <v/>
      </c>
      <c r="O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IF(D780="Legitimate Interest (GDPR Art. 6(1)(f))", "Yes / Required (Sheet 3)", "")</f>
        <v/>
      </c>
      <c r="L780" s="7" t="n"/>
      <c r="M780" s="7" t="n"/>
      <c r="N780">
        <f>IF(D780="", "Gap - No Legal Basis", IF(AND(D780="Consent (GDPR Art. 6(1)(a))", I780="Not Captured"), "Gap - Invalid Consent", IF(AND(D780="Legitimate Interest (GDPR Art. 6(1)(f))", L780=""), "Gap - Missing LIA", IF(AND(G780="Yes", H780=""), "Gap - Missing Art. 9 Basis", IF(OR(I780="Invalid - Not Freely Given", I780="Invalid - Not Specific", I780="Invalid - Not Informed", I780="Invalid - Ambiguous"), "Gap - Invalid Consent", "Compliant")))))</f>
        <v/>
      </c>
      <c r="O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IF(D781="Legitimate Interest (GDPR Art. 6(1)(f))", "Yes / Required (Sheet 3)", "")</f>
        <v/>
      </c>
      <c r="L781" s="7" t="n"/>
      <c r="M781" s="7" t="n"/>
      <c r="N781">
        <f>IF(D781="", "Gap - No Legal Basis", IF(AND(D781="Consent (GDPR Art. 6(1)(a))", I781="Not Captured"), "Gap - Invalid Consent", IF(AND(D781="Legitimate Interest (GDPR Art. 6(1)(f))", L781=""), "Gap - Missing LIA", IF(AND(G781="Yes", H781=""), "Gap - Missing Art. 9 Basis", IF(OR(I781="Invalid - Not Freely Given", I781="Invalid - Not Specific", I781="Invalid - Not Informed", I781="Invalid - Ambiguous"), "Gap - Invalid Consent", "Compliant")))))</f>
        <v/>
      </c>
      <c r="O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IF(D782="Legitimate Interest (GDPR Art. 6(1)(f))", "Yes / Required (Sheet 3)", "")</f>
        <v/>
      </c>
      <c r="L782" s="7" t="n"/>
      <c r="M782" s="7" t="n"/>
      <c r="N782">
        <f>IF(D782="", "Gap - No Legal Basis", IF(AND(D782="Consent (GDPR Art. 6(1)(a))", I782="Not Captured"), "Gap - Invalid Consent", IF(AND(D782="Legitimate Interest (GDPR Art. 6(1)(f))", L782=""), "Gap - Missing LIA", IF(AND(G782="Yes", H782=""), "Gap - Missing Art. 9 Basis", IF(OR(I782="Invalid - Not Freely Given", I782="Invalid - Not Specific", I782="Invalid - Not Informed", I782="Invalid - Ambiguous"), "Gap - Invalid Consent", "Compliant")))))</f>
        <v/>
      </c>
      <c r="O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IF(D783="Legitimate Interest (GDPR Art. 6(1)(f))", "Yes / Required (Sheet 3)", "")</f>
        <v/>
      </c>
      <c r="L783" s="7" t="n"/>
      <c r="M783" s="7" t="n"/>
      <c r="N783">
        <f>IF(D783="", "Gap - No Legal Basis", IF(AND(D783="Consent (GDPR Art. 6(1)(a))", I783="Not Captured"), "Gap - Invalid Consent", IF(AND(D783="Legitimate Interest (GDPR Art. 6(1)(f))", L783=""), "Gap - Missing LIA", IF(AND(G783="Yes", H783=""), "Gap - Missing Art. 9 Basis", IF(OR(I783="Invalid - Not Freely Given", I783="Invalid - Not Specific", I783="Invalid - Not Informed", I783="Invalid - Ambiguous"), "Gap - Invalid Consent", "Compliant")))))</f>
        <v/>
      </c>
      <c r="O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IF(D784="Legitimate Interest (GDPR Art. 6(1)(f))", "Yes / Required (Sheet 3)", "")</f>
        <v/>
      </c>
      <c r="L784" s="7" t="n"/>
      <c r="M784" s="7" t="n"/>
      <c r="N784">
        <f>IF(D784="", "Gap - No Legal Basis", IF(AND(D784="Consent (GDPR Art. 6(1)(a))", I784="Not Captured"), "Gap - Invalid Consent", IF(AND(D784="Legitimate Interest (GDPR Art. 6(1)(f))", L784=""), "Gap - Missing LIA", IF(AND(G784="Yes", H784=""), "Gap - Missing Art. 9 Basis", IF(OR(I784="Invalid - Not Freely Given", I784="Invalid - Not Specific", I784="Invalid - Not Informed", I784="Invalid - Ambiguous"), "Gap - Invalid Consent", "Compliant")))))</f>
        <v/>
      </c>
      <c r="O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IF(D785="Legitimate Interest (GDPR Art. 6(1)(f))", "Yes / Required (Sheet 3)", "")</f>
        <v/>
      </c>
      <c r="L785" s="7" t="n"/>
      <c r="M785" s="7" t="n"/>
      <c r="N785">
        <f>IF(D785="", "Gap - No Legal Basis", IF(AND(D785="Consent (GDPR Art. 6(1)(a))", I785="Not Captured"), "Gap - Invalid Consent", IF(AND(D785="Legitimate Interest (GDPR Art. 6(1)(f))", L785=""), "Gap - Missing LIA", IF(AND(G785="Yes", H785=""), "Gap - Missing Art. 9 Basis", IF(OR(I785="Invalid - Not Freely Given", I785="Invalid - Not Specific", I785="Invalid - Not Informed", I785="Invalid - Ambiguous"), "Gap - Invalid Consent", "Compliant")))))</f>
        <v/>
      </c>
      <c r="O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IF(D786="Legitimate Interest (GDPR Art. 6(1)(f))", "Yes / Required (Sheet 3)", "")</f>
        <v/>
      </c>
      <c r="L786" s="7" t="n"/>
      <c r="M786" s="7" t="n"/>
      <c r="N786">
        <f>IF(D786="", "Gap - No Legal Basis", IF(AND(D786="Consent (GDPR Art. 6(1)(a))", I786="Not Captured"), "Gap - Invalid Consent", IF(AND(D786="Legitimate Interest (GDPR Art. 6(1)(f))", L786=""), "Gap - Missing LIA", IF(AND(G786="Yes", H786=""), "Gap - Missing Art. 9 Basis", IF(OR(I786="Invalid - Not Freely Given", I786="Invalid - Not Specific", I786="Invalid - Not Informed", I786="Invalid - Ambiguous"), "Gap - Invalid Consent", "Compliant")))))</f>
        <v/>
      </c>
      <c r="O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IF(D787="Legitimate Interest (GDPR Art. 6(1)(f))", "Yes / Required (Sheet 3)", "")</f>
        <v/>
      </c>
      <c r="L787" s="7" t="n"/>
      <c r="M787" s="7" t="n"/>
      <c r="N787">
        <f>IF(D787="", "Gap - No Legal Basis", IF(AND(D787="Consent (GDPR Art. 6(1)(a))", I787="Not Captured"), "Gap - Invalid Consent", IF(AND(D787="Legitimate Interest (GDPR Art. 6(1)(f))", L787=""), "Gap - Missing LIA", IF(AND(G787="Yes", H787=""), "Gap - Missing Art. 9 Basis", IF(OR(I787="Invalid - Not Freely Given", I787="Invalid - Not Specific", I787="Invalid - Not Informed", I787="Invalid - Ambiguous"), "Gap - Invalid Consent", "Compliant")))))</f>
        <v/>
      </c>
      <c r="O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IF(D788="Legitimate Interest (GDPR Art. 6(1)(f))", "Yes / Required (Sheet 3)", "")</f>
        <v/>
      </c>
      <c r="L788" s="7" t="n"/>
      <c r="M788" s="7" t="n"/>
      <c r="N788">
        <f>IF(D788="", "Gap - No Legal Basis", IF(AND(D788="Consent (GDPR Art. 6(1)(a))", I788="Not Captured"), "Gap - Invalid Consent", IF(AND(D788="Legitimate Interest (GDPR Art. 6(1)(f))", L788=""), "Gap - Missing LIA", IF(AND(G788="Yes", H788=""), "Gap - Missing Art. 9 Basis", IF(OR(I788="Invalid - Not Freely Given", I788="Invalid - Not Specific", I788="Invalid - Not Informed", I788="Invalid - Ambiguous"), "Gap - Invalid Consent", "Compliant")))))</f>
        <v/>
      </c>
      <c r="O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IF(D789="Legitimate Interest (GDPR Art. 6(1)(f))", "Yes / Required (Sheet 3)", "")</f>
        <v/>
      </c>
      <c r="L789" s="7" t="n"/>
      <c r="M789" s="7" t="n"/>
      <c r="N789">
        <f>IF(D789="", "Gap - No Legal Basis", IF(AND(D789="Consent (GDPR Art. 6(1)(a))", I789="Not Captured"), "Gap - Invalid Consent", IF(AND(D789="Legitimate Interest (GDPR Art. 6(1)(f))", L789=""), "Gap - Missing LIA", IF(AND(G789="Yes", H789=""), "Gap - Missing Art. 9 Basis", IF(OR(I789="Invalid - Not Freely Given", I789="Invalid - Not Specific", I789="Invalid - Not Informed", I789="Invalid - Ambiguous"), "Gap - Invalid Consent", "Compliant")))))</f>
        <v/>
      </c>
      <c r="O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IF(D790="Legitimate Interest (GDPR Art. 6(1)(f))", "Yes / Required (Sheet 3)", "")</f>
        <v/>
      </c>
      <c r="L790" s="7" t="n"/>
      <c r="M790" s="7" t="n"/>
      <c r="N790">
        <f>IF(D790="", "Gap - No Legal Basis", IF(AND(D790="Consent (GDPR Art. 6(1)(a))", I790="Not Captured"), "Gap - Invalid Consent", IF(AND(D790="Legitimate Interest (GDPR Art. 6(1)(f))", L790=""), "Gap - Missing LIA", IF(AND(G790="Yes", H790=""), "Gap - Missing Art. 9 Basis", IF(OR(I790="Invalid - Not Freely Given", I790="Invalid - Not Specific", I790="Invalid - Not Informed", I790="Invalid - Ambiguous"), "Gap - Invalid Consent", "Compliant")))))</f>
        <v/>
      </c>
      <c r="O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IF(D791="Legitimate Interest (GDPR Art. 6(1)(f))", "Yes / Required (Sheet 3)", "")</f>
        <v/>
      </c>
      <c r="L791" s="7" t="n"/>
      <c r="M791" s="7" t="n"/>
      <c r="N791">
        <f>IF(D791="", "Gap - No Legal Basis", IF(AND(D791="Consent (GDPR Art. 6(1)(a))", I791="Not Captured"), "Gap - Invalid Consent", IF(AND(D791="Legitimate Interest (GDPR Art. 6(1)(f))", L791=""), "Gap - Missing LIA", IF(AND(G791="Yes", H791=""), "Gap - Missing Art. 9 Basis", IF(OR(I791="Invalid - Not Freely Given", I791="Invalid - Not Specific", I791="Invalid - Not Informed", I791="Invalid - Ambiguous"), "Gap - Invalid Consent", "Compliant")))))</f>
        <v/>
      </c>
      <c r="O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IF(D792="Legitimate Interest (GDPR Art. 6(1)(f))", "Yes / Required (Sheet 3)", "")</f>
        <v/>
      </c>
      <c r="L792" s="7" t="n"/>
      <c r="M792" s="7" t="n"/>
      <c r="N792">
        <f>IF(D792="", "Gap - No Legal Basis", IF(AND(D792="Consent (GDPR Art. 6(1)(a))", I792="Not Captured"), "Gap - Invalid Consent", IF(AND(D792="Legitimate Interest (GDPR Art. 6(1)(f))", L792=""), "Gap - Missing LIA", IF(AND(G792="Yes", H792=""), "Gap - Missing Art. 9 Basis", IF(OR(I792="Invalid - Not Freely Given", I792="Invalid - Not Specific", I792="Invalid - Not Informed", I792="Invalid - Ambiguous"), "Gap - Invalid Consent", "Compliant")))))</f>
        <v/>
      </c>
      <c r="O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IF(D793="Legitimate Interest (GDPR Art. 6(1)(f))", "Yes / Required (Sheet 3)", "")</f>
        <v/>
      </c>
      <c r="L793" s="7" t="n"/>
      <c r="M793" s="7" t="n"/>
      <c r="N793">
        <f>IF(D793="", "Gap - No Legal Basis", IF(AND(D793="Consent (GDPR Art. 6(1)(a))", I793="Not Captured"), "Gap - Invalid Consent", IF(AND(D793="Legitimate Interest (GDPR Art. 6(1)(f))", L793=""), "Gap - Missing LIA", IF(AND(G793="Yes", H793=""), "Gap - Missing Art. 9 Basis", IF(OR(I793="Invalid - Not Freely Given", I793="Invalid - Not Specific", I793="Invalid - Not Informed", I793="Invalid - Ambiguous"), "Gap - Invalid Consent", "Compliant")))))</f>
        <v/>
      </c>
      <c r="O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IF(D794="Legitimate Interest (GDPR Art. 6(1)(f))", "Yes / Required (Sheet 3)", "")</f>
        <v/>
      </c>
      <c r="L794" s="7" t="n"/>
      <c r="M794" s="7" t="n"/>
      <c r="N794">
        <f>IF(D794="", "Gap - No Legal Basis", IF(AND(D794="Consent (GDPR Art. 6(1)(a))", I794="Not Captured"), "Gap - Invalid Consent", IF(AND(D794="Legitimate Interest (GDPR Art. 6(1)(f))", L794=""), "Gap - Missing LIA", IF(AND(G794="Yes", H794=""), "Gap - Missing Art. 9 Basis", IF(OR(I794="Invalid - Not Freely Given", I794="Invalid - Not Specific", I794="Invalid - Not Informed", I794="Invalid - Ambiguous"), "Gap - Invalid Consent", "Compliant")))))</f>
        <v/>
      </c>
      <c r="O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IF(D795="Legitimate Interest (GDPR Art. 6(1)(f))", "Yes / Required (Sheet 3)", "")</f>
        <v/>
      </c>
      <c r="L795" s="7" t="n"/>
      <c r="M795" s="7" t="n"/>
      <c r="N795">
        <f>IF(D795="", "Gap - No Legal Basis", IF(AND(D795="Consent (GDPR Art. 6(1)(a))", I795="Not Captured"), "Gap - Invalid Consent", IF(AND(D795="Legitimate Interest (GDPR Art. 6(1)(f))", L795=""), "Gap - Missing LIA", IF(AND(G795="Yes", H795=""), "Gap - Missing Art. 9 Basis", IF(OR(I795="Invalid - Not Freely Given", I795="Invalid - Not Specific", I795="Invalid - Not Informed", I795="Invalid - Ambiguous"), "Gap - Invalid Consent", "Compliant")))))</f>
        <v/>
      </c>
      <c r="O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IF(D796="Legitimate Interest (GDPR Art. 6(1)(f))", "Yes / Required (Sheet 3)", "")</f>
        <v/>
      </c>
      <c r="L796" s="7" t="n"/>
      <c r="M796" s="7" t="n"/>
      <c r="N796">
        <f>IF(D796="", "Gap - No Legal Basis", IF(AND(D796="Consent (GDPR Art. 6(1)(a))", I796="Not Captured"), "Gap - Invalid Consent", IF(AND(D796="Legitimate Interest (GDPR Art. 6(1)(f))", L796=""), "Gap - Missing LIA", IF(AND(G796="Yes", H796=""), "Gap - Missing Art. 9 Basis", IF(OR(I796="Invalid - Not Freely Given", I796="Invalid - Not Specific", I796="Invalid - Not Informed", I796="Invalid - Ambiguous"), "Gap - Invalid Consent", "Compliant")))))</f>
        <v/>
      </c>
      <c r="O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IF(D797="Legitimate Interest (GDPR Art. 6(1)(f))", "Yes / Required (Sheet 3)", "")</f>
        <v/>
      </c>
      <c r="L797" s="7" t="n"/>
      <c r="M797" s="7" t="n"/>
      <c r="N797">
        <f>IF(D797="", "Gap - No Legal Basis", IF(AND(D797="Consent (GDPR Art. 6(1)(a))", I797="Not Captured"), "Gap - Invalid Consent", IF(AND(D797="Legitimate Interest (GDPR Art. 6(1)(f))", L797=""), "Gap - Missing LIA", IF(AND(G797="Yes", H797=""), "Gap - Missing Art. 9 Basis", IF(OR(I797="Invalid - Not Freely Given", I797="Invalid - Not Specific", I797="Invalid - Not Informed", I797="Invalid - Ambiguous"), "Gap - Invalid Consent", "Compliant")))))</f>
        <v/>
      </c>
      <c r="O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IF(D798="Legitimate Interest (GDPR Art. 6(1)(f))", "Yes / Required (Sheet 3)", "")</f>
        <v/>
      </c>
      <c r="L798" s="7" t="n"/>
      <c r="M798" s="7" t="n"/>
      <c r="N798">
        <f>IF(D798="", "Gap - No Legal Basis", IF(AND(D798="Consent (GDPR Art. 6(1)(a))", I798="Not Captured"), "Gap - Invalid Consent", IF(AND(D798="Legitimate Interest (GDPR Art. 6(1)(f))", L798=""), "Gap - Missing LIA", IF(AND(G798="Yes", H798=""), "Gap - Missing Art. 9 Basis", IF(OR(I798="Invalid - Not Freely Given", I798="Invalid - Not Specific", I798="Invalid - Not Informed", I798="Invalid - Ambiguous"), "Gap - Invalid Consent", "Compliant")))))</f>
        <v/>
      </c>
      <c r="O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IF(D799="Legitimate Interest (GDPR Art. 6(1)(f))", "Yes / Required (Sheet 3)", "")</f>
        <v/>
      </c>
      <c r="L799" s="7" t="n"/>
      <c r="M799" s="7" t="n"/>
      <c r="N799">
        <f>IF(D799="", "Gap - No Legal Basis", IF(AND(D799="Consent (GDPR Art. 6(1)(a))", I799="Not Captured"), "Gap - Invalid Consent", IF(AND(D799="Legitimate Interest (GDPR Art. 6(1)(f))", L799=""), "Gap - Missing LIA", IF(AND(G799="Yes", H799=""), "Gap - Missing Art. 9 Basis", IF(OR(I799="Invalid - Not Freely Given", I799="Invalid - Not Specific", I799="Invalid - Not Informed", I799="Invalid - Ambiguous"), "Gap - Invalid Consent", "Compliant")))))</f>
        <v/>
      </c>
      <c r="O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IF(D800="Legitimate Interest (GDPR Art. 6(1)(f))", "Yes / Required (Sheet 3)", "")</f>
        <v/>
      </c>
      <c r="L800" s="7" t="n"/>
      <c r="M800" s="7" t="n"/>
      <c r="N800">
        <f>IF(D800="", "Gap - No Legal Basis", IF(AND(D800="Consent (GDPR Art. 6(1)(a))", I800="Not Captured"), "Gap - Invalid Consent", IF(AND(D800="Legitimate Interest (GDPR Art. 6(1)(f))", L800=""), "Gap - Missing LIA", IF(AND(G800="Yes", H800=""), "Gap - Missing Art. 9 Basis", IF(OR(I800="Invalid - Not Freely Given", I800="Invalid - Not Specific", I800="Invalid - Not Informed", I800="Invalid - Ambiguous"), "Gap - Invalid Consent", "Compliant")))))</f>
        <v/>
      </c>
      <c r="O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IF(D801="Legitimate Interest (GDPR Art. 6(1)(f))", "Yes / Required (Sheet 3)", "")</f>
        <v/>
      </c>
      <c r="L801" s="7" t="n"/>
      <c r="M801" s="7" t="n"/>
      <c r="N801">
        <f>IF(D801="", "Gap - No Legal Basis", IF(AND(D801="Consent (GDPR Art. 6(1)(a))", I801="Not Captured"), "Gap - Invalid Consent", IF(AND(D801="Legitimate Interest (GDPR Art. 6(1)(f))", L801=""), "Gap - Missing LIA", IF(AND(G801="Yes", H801=""), "Gap - Missing Art. 9 Basis", IF(OR(I801="Invalid - Not Freely Given", I801="Invalid - Not Specific", I801="Invalid - Not Informed", I801="Invalid - Ambiguous"), "Gap - Invalid Consent", "Compliant")))))</f>
        <v/>
      </c>
      <c r="O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IF(D802="Legitimate Interest (GDPR Art. 6(1)(f))", "Yes / Required (Sheet 3)", "")</f>
        <v/>
      </c>
      <c r="L802" s="7" t="n"/>
      <c r="M802" s="7" t="n"/>
      <c r="N802">
        <f>IF(D802="", "Gap - No Legal Basis", IF(AND(D802="Consent (GDPR Art. 6(1)(a))", I802="Not Captured"), "Gap - Invalid Consent", IF(AND(D802="Legitimate Interest (GDPR Art. 6(1)(f))", L802=""), "Gap - Missing LIA", IF(AND(G802="Yes", H802=""), "Gap - Missing Art. 9 Basis", IF(OR(I802="Invalid - Not Freely Given", I802="Invalid - Not Specific", I802="Invalid - Not Informed", I802="Invalid - Ambiguous"), "Gap - Invalid Consent", "Compliant")))))</f>
        <v/>
      </c>
      <c r="O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IF(D803="Legitimate Interest (GDPR Art. 6(1)(f))", "Yes / Required (Sheet 3)", "")</f>
        <v/>
      </c>
      <c r="L803" s="7" t="n"/>
      <c r="M803" s="7" t="n"/>
      <c r="N803">
        <f>IF(D803="", "Gap - No Legal Basis", IF(AND(D803="Consent (GDPR Art. 6(1)(a))", I803="Not Captured"), "Gap - Invalid Consent", IF(AND(D803="Legitimate Interest (GDPR Art. 6(1)(f))", L803=""), "Gap - Missing LIA", IF(AND(G803="Yes", H803=""), "Gap - Missing Art. 9 Basis", IF(OR(I803="Invalid - Not Freely Given", I803="Invalid - Not Specific", I803="Invalid - Not Informed", I803="Invalid - Ambiguous"), "Gap - Invalid Consent", "Compliant")))))</f>
        <v/>
      </c>
      <c r="O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IF(D804="Legitimate Interest (GDPR Art. 6(1)(f))", "Yes / Required (Sheet 3)", "")</f>
        <v/>
      </c>
      <c r="L804" s="7" t="n"/>
      <c r="M804" s="7" t="n"/>
      <c r="N804">
        <f>IF(D804="", "Gap - No Legal Basis", IF(AND(D804="Consent (GDPR Art. 6(1)(a))", I804="Not Captured"), "Gap - Invalid Consent", IF(AND(D804="Legitimate Interest (GDPR Art. 6(1)(f))", L804=""), "Gap - Missing LIA", IF(AND(G804="Yes", H804=""), "Gap - Missing Art. 9 Basis", IF(OR(I804="Invalid - Not Freely Given", I804="Invalid - Not Specific", I804="Invalid - Not Informed", I804="Invalid - Ambiguous"), "Gap - Invalid Consent", "Compliant")))))</f>
        <v/>
      </c>
      <c r="O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IF(D805="Legitimate Interest (GDPR Art. 6(1)(f))", "Yes / Required (Sheet 3)", "")</f>
        <v/>
      </c>
      <c r="L805" s="7" t="n"/>
      <c r="M805" s="7" t="n"/>
      <c r="N805">
        <f>IF(D805="", "Gap - No Legal Basis", IF(AND(D805="Consent (GDPR Art. 6(1)(a))", I805="Not Captured"), "Gap - Invalid Consent", IF(AND(D805="Legitimate Interest (GDPR Art. 6(1)(f))", L805=""), "Gap - Missing LIA", IF(AND(G805="Yes", H805=""), "Gap - Missing Art. 9 Basis", IF(OR(I805="Invalid - Not Freely Given", I805="Invalid - Not Specific", I805="Invalid - Not Informed", I805="Invalid - Ambiguous"), "Gap - Invalid Consent", "Compliant")))))</f>
        <v/>
      </c>
      <c r="O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IF(D806="Legitimate Interest (GDPR Art. 6(1)(f))", "Yes / Required (Sheet 3)", "")</f>
        <v/>
      </c>
      <c r="L806" s="7" t="n"/>
      <c r="M806" s="7" t="n"/>
      <c r="N806">
        <f>IF(D806="", "Gap - No Legal Basis", IF(AND(D806="Consent (GDPR Art. 6(1)(a))", I806="Not Captured"), "Gap - Invalid Consent", IF(AND(D806="Legitimate Interest (GDPR Art. 6(1)(f))", L806=""), "Gap - Missing LIA", IF(AND(G806="Yes", H806=""), "Gap - Missing Art. 9 Basis", IF(OR(I806="Invalid - Not Freely Given", I806="Invalid - Not Specific", I806="Invalid - Not Informed", I806="Invalid - Ambiguous"), "Gap - Invalid Consent", "Compliant")))))</f>
        <v/>
      </c>
      <c r="O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IF(D807="Legitimate Interest (GDPR Art. 6(1)(f))", "Yes / Required (Sheet 3)", "")</f>
        <v/>
      </c>
      <c r="L807" s="7" t="n"/>
      <c r="M807" s="7" t="n"/>
      <c r="N807">
        <f>IF(D807="", "Gap - No Legal Basis", IF(AND(D807="Consent (GDPR Art. 6(1)(a))", I807="Not Captured"), "Gap - Invalid Consent", IF(AND(D807="Legitimate Interest (GDPR Art. 6(1)(f))", L807=""), "Gap - Missing LIA", IF(AND(G807="Yes", H807=""), "Gap - Missing Art. 9 Basis", IF(OR(I807="Invalid - Not Freely Given", I807="Invalid - Not Specific", I807="Invalid - Not Informed", I807="Invalid - Ambiguous"), "Gap - Invalid Consent", "Compliant")))))</f>
        <v/>
      </c>
      <c r="O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IF(D808="Legitimate Interest (GDPR Art. 6(1)(f))", "Yes / Required (Sheet 3)", "")</f>
        <v/>
      </c>
      <c r="L808" s="7" t="n"/>
      <c r="M808" s="7" t="n"/>
      <c r="N808">
        <f>IF(D808="", "Gap - No Legal Basis", IF(AND(D808="Consent (GDPR Art. 6(1)(a))", I808="Not Captured"), "Gap - Invalid Consent", IF(AND(D808="Legitimate Interest (GDPR Art. 6(1)(f))", L808=""), "Gap - Missing LIA", IF(AND(G808="Yes", H808=""), "Gap - Missing Art. 9 Basis", IF(OR(I808="Invalid - Not Freely Given", I808="Invalid - Not Specific", I808="Invalid - Not Informed", I808="Invalid - Ambiguous"), "Gap - Invalid Consent", "Compliant")))))</f>
        <v/>
      </c>
      <c r="O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IF(D809="Legitimate Interest (GDPR Art. 6(1)(f))", "Yes / Required (Sheet 3)", "")</f>
        <v/>
      </c>
      <c r="L809" s="7" t="n"/>
      <c r="M809" s="7" t="n"/>
      <c r="N809">
        <f>IF(D809="", "Gap - No Legal Basis", IF(AND(D809="Consent (GDPR Art. 6(1)(a))", I809="Not Captured"), "Gap - Invalid Consent", IF(AND(D809="Legitimate Interest (GDPR Art. 6(1)(f))", L809=""), "Gap - Missing LIA", IF(AND(G809="Yes", H809=""), "Gap - Missing Art. 9 Basis", IF(OR(I809="Invalid - Not Freely Given", I809="Invalid - Not Specific", I809="Invalid - Not Informed", I809="Invalid - Ambiguous"), "Gap - Invalid Consent", "Compliant")))))</f>
        <v/>
      </c>
      <c r="O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IF(D810="Legitimate Interest (GDPR Art. 6(1)(f))", "Yes / Required (Sheet 3)", "")</f>
        <v/>
      </c>
      <c r="L810" s="7" t="n"/>
      <c r="M810" s="7" t="n"/>
      <c r="N810">
        <f>IF(D810="", "Gap - No Legal Basis", IF(AND(D810="Consent (GDPR Art. 6(1)(a))", I810="Not Captured"), "Gap - Invalid Consent", IF(AND(D810="Legitimate Interest (GDPR Art. 6(1)(f))", L810=""), "Gap - Missing LIA", IF(AND(G810="Yes", H810=""), "Gap - Missing Art. 9 Basis", IF(OR(I810="Invalid - Not Freely Given", I810="Invalid - Not Specific", I810="Invalid - Not Informed", I810="Invalid - Ambiguous"), "Gap - Invalid Consent", "Compliant")))))</f>
        <v/>
      </c>
      <c r="O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IF(D811="Legitimate Interest (GDPR Art. 6(1)(f))", "Yes / Required (Sheet 3)", "")</f>
        <v/>
      </c>
      <c r="L811" s="7" t="n"/>
      <c r="M811" s="7" t="n"/>
      <c r="N811">
        <f>IF(D811="", "Gap - No Legal Basis", IF(AND(D811="Consent (GDPR Art. 6(1)(a))", I811="Not Captured"), "Gap - Invalid Consent", IF(AND(D811="Legitimate Interest (GDPR Art. 6(1)(f))", L811=""), "Gap - Missing LIA", IF(AND(G811="Yes", H811=""), "Gap - Missing Art. 9 Basis", IF(OR(I811="Invalid - Not Freely Given", I811="Invalid - Not Specific", I811="Invalid - Not Informed", I811="Invalid - Ambiguous"), "Gap - Invalid Consent", "Compliant")))))</f>
        <v/>
      </c>
      <c r="O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IF(D812="Legitimate Interest (GDPR Art. 6(1)(f))", "Yes / Required (Sheet 3)", "")</f>
        <v/>
      </c>
      <c r="L812" s="7" t="n"/>
      <c r="M812" s="7" t="n"/>
      <c r="N812">
        <f>IF(D812="", "Gap - No Legal Basis", IF(AND(D812="Consent (GDPR Art. 6(1)(a))", I812="Not Captured"), "Gap - Invalid Consent", IF(AND(D812="Legitimate Interest (GDPR Art. 6(1)(f))", L812=""), "Gap - Missing LIA", IF(AND(G812="Yes", H812=""), "Gap - Missing Art. 9 Basis", IF(OR(I812="Invalid - Not Freely Given", I812="Invalid - Not Specific", I812="Invalid - Not Informed", I812="Invalid - Ambiguous"), "Gap - Invalid Consent", "Compliant")))))</f>
        <v/>
      </c>
      <c r="O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IF(D813="Legitimate Interest (GDPR Art. 6(1)(f))", "Yes / Required (Sheet 3)", "")</f>
        <v/>
      </c>
      <c r="L813" s="7" t="n"/>
      <c r="M813" s="7" t="n"/>
      <c r="N813">
        <f>IF(D813="", "Gap - No Legal Basis", IF(AND(D813="Consent (GDPR Art. 6(1)(a))", I813="Not Captured"), "Gap - Invalid Consent", IF(AND(D813="Legitimate Interest (GDPR Art. 6(1)(f))", L813=""), "Gap - Missing LIA", IF(AND(G813="Yes", H813=""), "Gap - Missing Art. 9 Basis", IF(OR(I813="Invalid - Not Freely Given", I813="Invalid - Not Specific", I813="Invalid - Not Informed", I813="Invalid - Ambiguous"), "Gap - Invalid Consent", "Compliant")))))</f>
        <v/>
      </c>
      <c r="O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IF(D814="Legitimate Interest (GDPR Art. 6(1)(f))", "Yes / Required (Sheet 3)", "")</f>
        <v/>
      </c>
      <c r="L814" s="7" t="n"/>
      <c r="M814" s="7" t="n"/>
      <c r="N814">
        <f>IF(D814="", "Gap - No Legal Basis", IF(AND(D814="Consent (GDPR Art. 6(1)(a))", I814="Not Captured"), "Gap - Invalid Consent", IF(AND(D814="Legitimate Interest (GDPR Art. 6(1)(f))", L814=""), "Gap - Missing LIA", IF(AND(G814="Yes", H814=""), "Gap - Missing Art. 9 Basis", IF(OR(I814="Invalid - Not Freely Given", I814="Invalid - Not Specific", I814="Invalid - Not Informed", I814="Invalid - Ambiguous"), "Gap - Invalid Consent", "Compliant")))))</f>
        <v/>
      </c>
      <c r="O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IF(D815="Legitimate Interest (GDPR Art. 6(1)(f))", "Yes / Required (Sheet 3)", "")</f>
        <v/>
      </c>
      <c r="L815" s="7" t="n"/>
      <c r="M815" s="7" t="n"/>
      <c r="N815">
        <f>IF(D815="", "Gap - No Legal Basis", IF(AND(D815="Consent (GDPR Art. 6(1)(a))", I815="Not Captured"), "Gap - Invalid Consent", IF(AND(D815="Legitimate Interest (GDPR Art. 6(1)(f))", L815=""), "Gap - Missing LIA", IF(AND(G815="Yes", H815=""), "Gap - Missing Art. 9 Basis", IF(OR(I815="Invalid - Not Freely Given", I815="Invalid - Not Specific", I815="Invalid - Not Informed", I815="Invalid - Ambiguous"), "Gap - Invalid Consent", "Compliant")))))</f>
        <v/>
      </c>
      <c r="O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IF(D816="Legitimate Interest (GDPR Art. 6(1)(f))", "Yes / Required (Sheet 3)", "")</f>
        <v/>
      </c>
      <c r="L816" s="7" t="n"/>
      <c r="M816" s="7" t="n"/>
      <c r="N816">
        <f>IF(D816="", "Gap - No Legal Basis", IF(AND(D816="Consent (GDPR Art. 6(1)(a))", I816="Not Captured"), "Gap - Invalid Consent", IF(AND(D816="Legitimate Interest (GDPR Art. 6(1)(f))", L816=""), "Gap - Missing LIA", IF(AND(G816="Yes", H816=""), "Gap - Missing Art. 9 Basis", IF(OR(I816="Invalid - Not Freely Given", I816="Invalid - Not Specific", I816="Invalid - Not Informed", I816="Invalid - Ambiguous"), "Gap - Invalid Consent", "Compliant")))))</f>
        <v/>
      </c>
      <c r="O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IF(D817="Legitimate Interest (GDPR Art. 6(1)(f))", "Yes / Required (Sheet 3)", "")</f>
        <v/>
      </c>
      <c r="L817" s="7" t="n"/>
      <c r="M817" s="7" t="n"/>
      <c r="N817">
        <f>IF(D817="", "Gap - No Legal Basis", IF(AND(D817="Consent (GDPR Art. 6(1)(a))", I817="Not Captured"), "Gap - Invalid Consent", IF(AND(D817="Legitimate Interest (GDPR Art. 6(1)(f))", L817=""), "Gap - Missing LIA", IF(AND(G817="Yes", H817=""), "Gap - Missing Art. 9 Basis", IF(OR(I817="Invalid - Not Freely Given", I817="Invalid - Not Specific", I817="Invalid - Not Informed", I817="Invalid - Ambiguous"), "Gap - Invalid Consent", "Compliant")))))</f>
        <v/>
      </c>
      <c r="O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IF(D818="Legitimate Interest (GDPR Art. 6(1)(f))", "Yes / Required (Sheet 3)", "")</f>
        <v/>
      </c>
      <c r="L818" s="7" t="n"/>
      <c r="M818" s="7" t="n"/>
      <c r="N818">
        <f>IF(D818="", "Gap - No Legal Basis", IF(AND(D818="Consent (GDPR Art. 6(1)(a))", I818="Not Captured"), "Gap - Invalid Consent", IF(AND(D818="Legitimate Interest (GDPR Art. 6(1)(f))", L818=""), "Gap - Missing LIA", IF(AND(G818="Yes", H818=""), "Gap - Missing Art. 9 Basis", IF(OR(I818="Invalid - Not Freely Given", I818="Invalid - Not Specific", I818="Invalid - Not Informed", I818="Invalid - Ambiguous"), "Gap - Invalid Consent", "Compliant")))))</f>
        <v/>
      </c>
      <c r="O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IF(D819="Legitimate Interest (GDPR Art. 6(1)(f))", "Yes / Required (Sheet 3)", "")</f>
        <v/>
      </c>
      <c r="L819" s="7" t="n"/>
      <c r="M819" s="7" t="n"/>
      <c r="N819">
        <f>IF(D819="", "Gap - No Legal Basis", IF(AND(D819="Consent (GDPR Art. 6(1)(a))", I819="Not Captured"), "Gap - Invalid Consent", IF(AND(D819="Legitimate Interest (GDPR Art. 6(1)(f))", L819=""), "Gap - Missing LIA", IF(AND(G819="Yes", H819=""), "Gap - Missing Art. 9 Basis", IF(OR(I819="Invalid - Not Freely Given", I819="Invalid - Not Specific", I819="Invalid - Not Informed", I819="Invalid - Ambiguous"), "Gap - Invalid Consent", "Compliant")))))</f>
        <v/>
      </c>
      <c r="O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IF(D820="Legitimate Interest (GDPR Art. 6(1)(f))", "Yes / Required (Sheet 3)", "")</f>
        <v/>
      </c>
      <c r="L820" s="7" t="n"/>
      <c r="M820" s="7" t="n"/>
      <c r="N820">
        <f>IF(D820="", "Gap - No Legal Basis", IF(AND(D820="Consent (GDPR Art. 6(1)(a))", I820="Not Captured"), "Gap - Invalid Consent", IF(AND(D820="Legitimate Interest (GDPR Art. 6(1)(f))", L820=""), "Gap - Missing LIA", IF(AND(G820="Yes", H820=""), "Gap - Missing Art. 9 Basis", IF(OR(I820="Invalid - Not Freely Given", I820="Invalid - Not Specific", I820="Invalid - Not Informed", I820="Invalid - Ambiguous"), "Gap - Invalid Consent", "Compliant")))))</f>
        <v/>
      </c>
      <c r="O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IF(D821="Legitimate Interest (GDPR Art. 6(1)(f))", "Yes / Required (Sheet 3)", "")</f>
        <v/>
      </c>
      <c r="L821" s="7" t="n"/>
      <c r="M821" s="7" t="n"/>
      <c r="N821">
        <f>IF(D821="", "Gap - No Legal Basis", IF(AND(D821="Consent (GDPR Art. 6(1)(a))", I821="Not Captured"), "Gap - Invalid Consent", IF(AND(D821="Legitimate Interest (GDPR Art. 6(1)(f))", L821=""), "Gap - Missing LIA", IF(AND(G821="Yes", H821=""), "Gap - Missing Art. 9 Basis", IF(OR(I821="Invalid - Not Freely Given", I821="Invalid - Not Specific", I821="Invalid - Not Informed", I821="Invalid - Ambiguous"), "Gap - Invalid Consent", "Compliant")))))</f>
        <v/>
      </c>
      <c r="O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IF(D822="Legitimate Interest (GDPR Art. 6(1)(f))", "Yes / Required (Sheet 3)", "")</f>
        <v/>
      </c>
      <c r="L822" s="7" t="n"/>
      <c r="M822" s="7" t="n"/>
      <c r="N822">
        <f>IF(D822="", "Gap - No Legal Basis", IF(AND(D822="Consent (GDPR Art. 6(1)(a))", I822="Not Captured"), "Gap - Invalid Consent", IF(AND(D822="Legitimate Interest (GDPR Art. 6(1)(f))", L822=""), "Gap - Missing LIA", IF(AND(G822="Yes", H822=""), "Gap - Missing Art. 9 Basis", IF(OR(I822="Invalid - Not Freely Given", I822="Invalid - Not Specific", I822="Invalid - Not Informed", I822="Invalid - Ambiguous"), "Gap - Invalid Consent", "Compliant")))))</f>
        <v/>
      </c>
      <c r="O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IF(D823="Legitimate Interest (GDPR Art. 6(1)(f))", "Yes / Required (Sheet 3)", "")</f>
        <v/>
      </c>
      <c r="L823" s="7" t="n"/>
      <c r="M823" s="7" t="n"/>
      <c r="N823">
        <f>IF(D823="", "Gap - No Legal Basis", IF(AND(D823="Consent (GDPR Art. 6(1)(a))", I823="Not Captured"), "Gap - Invalid Consent", IF(AND(D823="Legitimate Interest (GDPR Art. 6(1)(f))", L823=""), "Gap - Missing LIA", IF(AND(G823="Yes", H823=""), "Gap - Missing Art. 9 Basis", IF(OR(I823="Invalid - Not Freely Given", I823="Invalid - Not Specific", I823="Invalid - Not Informed", I823="Invalid - Ambiguous"), "Gap - Invalid Consent", "Compliant")))))</f>
        <v/>
      </c>
      <c r="O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IF(D824="Legitimate Interest (GDPR Art. 6(1)(f))", "Yes / Required (Sheet 3)", "")</f>
        <v/>
      </c>
      <c r="L824" s="7" t="n"/>
      <c r="M824" s="7" t="n"/>
      <c r="N824">
        <f>IF(D824="", "Gap - No Legal Basis", IF(AND(D824="Consent (GDPR Art. 6(1)(a))", I824="Not Captured"), "Gap - Invalid Consent", IF(AND(D824="Legitimate Interest (GDPR Art. 6(1)(f))", L824=""), "Gap - Missing LIA", IF(AND(G824="Yes", H824=""), "Gap - Missing Art. 9 Basis", IF(OR(I824="Invalid - Not Freely Given", I824="Invalid - Not Specific", I824="Invalid - Not Informed", I824="Invalid - Ambiguous"), "Gap - Invalid Consent", "Compliant")))))</f>
        <v/>
      </c>
      <c r="O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IF(D825="Legitimate Interest (GDPR Art. 6(1)(f))", "Yes / Required (Sheet 3)", "")</f>
        <v/>
      </c>
      <c r="L825" s="7" t="n"/>
      <c r="M825" s="7" t="n"/>
      <c r="N825">
        <f>IF(D825="", "Gap - No Legal Basis", IF(AND(D825="Consent (GDPR Art. 6(1)(a))", I825="Not Captured"), "Gap - Invalid Consent", IF(AND(D825="Legitimate Interest (GDPR Art. 6(1)(f))", L825=""), "Gap - Missing LIA", IF(AND(G825="Yes", H825=""), "Gap - Missing Art. 9 Basis", IF(OR(I825="Invalid - Not Freely Given", I825="Invalid - Not Specific", I825="Invalid - Not Informed", I825="Invalid - Ambiguous"), "Gap - Invalid Consent", "Compliant")))))</f>
        <v/>
      </c>
      <c r="O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IF(D826="Legitimate Interest (GDPR Art. 6(1)(f))", "Yes / Required (Sheet 3)", "")</f>
        <v/>
      </c>
      <c r="L826" s="7" t="n"/>
      <c r="M826" s="7" t="n"/>
      <c r="N826">
        <f>IF(D826="", "Gap - No Legal Basis", IF(AND(D826="Consent (GDPR Art. 6(1)(a))", I826="Not Captured"), "Gap - Invalid Consent", IF(AND(D826="Legitimate Interest (GDPR Art. 6(1)(f))", L826=""), "Gap - Missing LIA", IF(AND(G826="Yes", H826=""), "Gap - Missing Art. 9 Basis", IF(OR(I826="Invalid - Not Freely Given", I826="Invalid - Not Specific", I826="Invalid - Not Informed", I826="Invalid - Ambiguous"), "Gap - Invalid Consent", "Compliant")))))</f>
        <v/>
      </c>
      <c r="O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IF(D827="Legitimate Interest (GDPR Art. 6(1)(f))", "Yes / Required (Sheet 3)", "")</f>
        <v/>
      </c>
      <c r="L827" s="7" t="n"/>
      <c r="M827" s="7" t="n"/>
      <c r="N827">
        <f>IF(D827="", "Gap - No Legal Basis", IF(AND(D827="Consent (GDPR Art. 6(1)(a))", I827="Not Captured"), "Gap - Invalid Consent", IF(AND(D827="Legitimate Interest (GDPR Art. 6(1)(f))", L827=""), "Gap - Missing LIA", IF(AND(G827="Yes", H827=""), "Gap - Missing Art. 9 Basis", IF(OR(I827="Invalid - Not Freely Given", I827="Invalid - Not Specific", I827="Invalid - Not Informed", I827="Invalid - Ambiguous"), "Gap - Invalid Consent", "Compliant")))))</f>
        <v/>
      </c>
      <c r="O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IF(D828="Legitimate Interest (GDPR Art. 6(1)(f))", "Yes / Required (Sheet 3)", "")</f>
        <v/>
      </c>
      <c r="L828" s="7" t="n"/>
      <c r="M828" s="7" t="n"/>
      <c r="N828">
        <f>IF(D828="", "Gap - No Legal Basis", IF(AND(D828="Consent (GDPR Art. 6(1)(a))", I828="Not Captured"), "Gap - Invalid Consent", IF(AND(D828="Legitimate Interest (GDPR Art. 6(1)(f))", L828=""), "Gap - Missing LIA", IF(AND(G828="Yes", H828=""), "Gap - Missing Art. 9 Basis", IF(OR(I828="Invalid - Not Freely Given", I828="Invalid - Not Specific", I828="Invalid - Not Informed", I828="Invalid - Ambiguous"), "Gap - Invalid Consent", "Compliant")))))</f>
        <v/>
      </c>
      <c r="O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IF(D829="Legitimate Interest (GDPR Art. 6(1)(f))", "Yes / Required (Sheet 3)", "")</f>
        <v/>
      </c>
      <c r="L829" s="7" t="n"/>
      <c r="M829" s="7" t="n"/>
      <c r="N829">
        <f>IF(D829="", "Gap - No Legal Basis", IF(AND(D829="Consent (GDPR Art. 6(1)(a))", I829="Not Captured"), "Gap - Invalid Consent", IF(AND(D829="Legitimate Interest (GDPR Art. 6(1)(f))", L829=""), "Gap - Missing LIA", IF(AND(G829="Yes", H829=""), "Gap - Missing Art. 9 Basis", IF(OR(I829="Invalid - Not Freely Given", I829="Invalid - Not Specific", I829="Invalid - Not Informed", I829="Invalid - Ambiguous"), "Gap - Invalid Consent", "Compliant")))))</f>
        <v/>
      </c>
      <c r="O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IF(D830="Legitimate Interest (GDPR Art. 6(1)(f))", "Yes / Required (Sheet 3)", "")</f>
        <v/>
      </c>
      <c r="L830" s="7" t="n"/>
      <c r="M830" s="7" t="n"/>
      <c r="N830">
        <f>IF(D830="", "Gap - No Legal Basis", IF(AND(D830="Consent (GDPR Art. 6(1)(a))", I830="Not Captured"), "Gap - Invalid Consent", IF(AND(D830="Legitimate Interest (GDPR Art. 6(1)(f))", L830=""), "Gap - Missing LIA", IF(AND(G830="Yes", H830=""), "Gap - Missing Art. 9 Basis", IF(OR(I830="Invalid - Not Freely Given", I830="Invalid - Not Specific", I830="Invalid - Not Informed", I830="Invalid - Ambiguous"), "Gap - Invalid Consent", "Compliant")))))</f>
        <v/>
      </c>
      <c r="O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IF(D831="Legitimate Interest (GDPR Art. 6(1)(f))", "Yes / Required (Sheet 3)", "")</f>
        <v/>
      </c>
      <c r="L831" s="7" t="n"/>
      <c r="M831" s="7" t="n"/>
      <c r="N831">
        <f>IF(D831="", "Gap - No Legal Basis", IF(AND(D831="Consent (GDPR Art. 6(1)(a))", I831="Not Captured"), "Gap - Invalid Consent", IF(AND(D831="Legitimate Interest (GDPR Art. 6(1)(f))", L831=""), "Gap - Missing LIA", IF(AND(G831="Yes", H831=""), "Gap - Missing Art. 9 Basis", IF(OR(I831="Invalid - Not Freely Given", I831="Invalid - Not Specific", I831="Invalid - Not Informed", I831="Invalid - Ambiguous"), "Gap - Invalid Consent", "Compliant")))))</f>
        <v/>
      </c>
      <c r="O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IF(D832="Legitimate Interest (GDPR Art. 6(1)(f))", "Yes / Required (Sheet 3)", "")</f>
        <v/>
      </c>
      <c r="L832" s="7" t="n"/>
      <c r="M832" s="7" t="n"/>
      <c r="N832">
        <f>IF(D832="", "Gap - No Legal Basis", IF(AND(D832="Consent (GDPR Art. 6(1)(a))", I832="Not Captured"), "Gap - Invalid Consent", IF(AND(D832="Legitimate Interest (GDPR Art. 6(1)(f))", L832=""), "Gap - Missing LIA", IF(AND(G832="Yes", H832=""), "Gap - Missing Art. 9 Basis", IF(OR(I832="Invalid - Not Freely Given", I832="Invalid - Not Specific", I832="Invalid - Not Informed", I832="Invalid - Ambiguous"), "Gap - Invalid Consent", "Compliant")))))</f>
        <v/>
      </c>
      <c r="O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IF(D833="Legitimate Interest (GDPR Art. 6(1)(f))", "Yes / Required (Sheet 3)", "")</f>
        <v/>
      </c>
      <c r="L833" s="7" t="n"/>
      <c r="M833" s="7" t="n"/>
      <c r="N833">
        <f>IF(D833="", "Gap - No Legal Basis", IF(AND(D833="Consent (GDPR Art. 6(1)(a))", I833="Not Captured"), "Gap - Invalid Consent", IF(AND(D833="Legitimate Interest (GDPR Art. 6(1)(f))", L833=""), "Gap - Missing LIA", IF(AND(G833="Yes", H833=""), "Gap - Missing Art. 9 Basis", IF(OR(I833="Invalid - Not Freely Given", I833="Invalid - Not Specific", I833="Invalid - Not Informed", I833="Invalid - Ambiguous"), "Gap - Invalid Consent", "Compliant")))))</f>
        <v/>
      </c>
      <c r="O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IF(D834="Legitimate Interest (GDPR Art. 6(1)(f))", "Yes / Required (Sheet 3)", "")</f>
        <v/>
      </c>
      <c r="L834" s="7" t="n"/>
      <c r="M834" s="7" t="n"/>
      <c r="N834">
        <f>IF(D834="", "Gap - No Legal Basis", IF(AND(D834="Consent (GDPR Art. 6(1)(a))", I834="Not Captured"), "Gap - Invalid Consent", IF(AND(D834="Legitimate Interest (GDPR Art. 6(1)(f))", L834=""), "Gap - Missing LIA", IF(AND(G834="Yes", H834=""), "Gap - Missing Art. 9 Basis", IF(OR(I834="Invalid - Not Freely Given", I834="Invalid - Not Specific", I834="Invalid - Not Informed", I834="Invalid - Ambiguous"), "Gap - Invalid Consent", "Compliant")))))</f>
        <v/>
      </c>
      <c r="O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IF(D835="Legitimate Interest (GDPR Art. 6(1)(f))", "Yes / Required (Sheet 3)", "")</f>
        <v/>
      </c>
      <c r="L835" s="7" t="n"/>
      <c r="M835" s="7" t="n"/>
      <c r="N835">
        <f>IF(D835="", "Gap - No Legal Basis", IF(AND(D835="Consent (GDPR Art. 6(1)(a))", I835="Not Captured"), "Gap - Invalid Consent", IF(AND(D835="Legitimate Interest (GDPR Art. 6(1)(f))", L835=""), "Gap - Missing LIA", IF(AND(G835="Yes", H835=""), "Gap - Missing Art. 9 Basis", IF(OR(I835="Invalid - Not Freely Given", I835="Invalid - Not Specific", I835="Invalid - Not Informed", I835="Invalid - Ambiguous"), "Gap - Invalid Consent", "Compliant")))))</f>
        <v/>
      </c>
      <c r="O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IF(D836="Legitimate Interest (GDPR Art. 6(1)(f))", "Yes / Required (Sheet 3)", "")</f>
        <v/>
      </c>
      <c r="L836" s="7" t="n"/>
      <c r="M836" s="7" t="n"/>
      <c r="N836">
        <f>IF(D836="", "Gap - No Legal Basis", IF(AND(D836="Consent (GDPR Art. 6(1)(a))", I836="Not Captured"), "Gap - Invalid Consent", IF(AND(D836="Legitimate Interest (GDPR Art. 6(1)(f))", L836=""), "Gap - Missing LIA", IF(AND(G836="Yes", H836=""), "Gap - Missing Art. 9 Basis", IF(OR(I836="Invalid - Not Freely Given", I836="Invalid - Not Specific", I836="Invalid - Not Informed", I836="Invalid - Ambiguous"), "Gap - Invalid Consent", "Compliant")))))</f>
        <v/>
      </c>
      <c r="O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IF(D837="Legitimate Interest (GDPR Art. 6(1)(f))", "Yes / Required (Sheet 3)", "")</f>
        <v/>
      </c>
      <c r="L837" s="7" t="n"/>
      <c r="M837" s="7" t="n"/>
      <c r="N837">
        <f>IF(D837="", "Gap - No Legal Basis", IF(AND(D837="Consent (GDPR Art. 6(1)(a))", I837="Not Captured"), "Gap - Invalid Consent", IF(AND(D837="Legitimate Interest (GDPR Art. 6(1)(f))", L837=""), "Gap - Missing LIA", IF(AND(G837="Yes", H837=""), "Gap - Missing Art. 9 Basis", IF(OR(I837="Invalid - Not Freely Given", I837="Invalid - Not Specific", I837="Invalid - Not Informed", I837="Invalid - Ambiguous"), "Gap - Invalid Consent", "Compliant")))))</f>
        <v/>
      </c>
      <c r="O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IF(D838="Legitimate Interest (GDPR Art. 6(1)(f))", "Yes / Required (Sheet 3)", "")</f>
        <v/>
      </c>
      <c r="L838" s="7" t="n"/>
      <c r="M838" s="7" t="n"/>
      <c r="N838">
        <f>IF(D838="", "Gap - No Legal Basis", IF(AND(D838="Consent (GDPR Art. 6(1)(a))", I838="Not Captured"), "Gap - Invalid Consent", IF(AND(D838="Legitimate Interest (GDPR Art. 6(1)(f))", L838=""), "Gap - Missing LIA", IF(AND(G838="Yes", H838=""), "Gap - Missing Art. 9 Basis", IF(OR(I838="Invalid - Not Freely Given", I838="Invalid - Not Specific", I838="Invalid - Not Informed", I838="Invalid - Ambiguous"), "Gap - Invalid Consent", "Compliant")))))</f>
        <v/>
      </c>
      <c r="O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IF(D839="Legitimate Interest (GDPR Art. 6(1)(f))", "Yes / Required (Sheet 3)", "")</f>
        <v/>
      </c>
      <c r="L839" s="7" t="n"/>
      <c r="M839" s="7" t="n"/>
      <c r="N839">
        <f>IF(D839="", "Gap - No Legal Basis", IF(AND(D839="Consent (GDPR Art. 6(1)(a))", I839="Not Captured"), "Gap - Invalid Consent", IF(AND(D839="Legitimate Interest (GDPR Art. 6(1)(f))", L839=""), "Gap - Missing LIA", IF(AND(G839="Yes", H839=""), "Gap - Missing Art. 9 Basis", IF(OR(I839="Invalid - Not Freely Given", I839="Invalid - Not Specific", I839="Invalid - Not Informed", I839="Invalid - Ambiguous"), "Gap - Invalid Consent", "Compliant")))))</f>
        <v/>
      </c>
      <c r="O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IF(D840="Legitimate Interest (GDPR Art. 6(1)(f))", "Yes / Required (Sheet 3)", "")</f>
        <v/>
      </c>
      <c r="L840" s="7" t="n"/>
      <c r="M840" s="7" t="n"/>
      <c r="N840">
        <f>IF(D840="", "Gap - No Legal Basis", IF(AND(D840="Consent (GDPR Art. 6(1)(a))", I840="Not Captured"), "Gap - Invalid Consent", IF(AND(D840="Legitimate Interest (GDPR Art. 6(1)(f))", L840=""), "Gap - Missing LIA", IF(AND(G840="Yes", H840=""), "Gap - Missing Art. 9 Basis", IF(OR(I840="Invalid - Not Freely Given", I840="Invalid - Not Specific", I840="Invalid - Not Informed", I840="Invalid - Ambiguous"), "Gap - Invalid Consent", "Compliant")))))</f>
        <v/>
      </c>
      <c r="O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IF(D841="Legitimate Interest (GDPR Art. 6(1)(f))", "Yes / Required (Sheet 3)", "")</f>
        <v/>
      </c>
      <c r="L841" s="7" t="n"/>
      <c r="M841" s="7" t="n"/>
      <c r="N841">
        <f>IF(D841="", "Gap - No Legal Basis", IF(AND(D841="Consent (GDPR Art. 6(1)(a))", I841="Not Captured"), "Gap - Invalid Consent", IF(AND(D841="Legitimate Interest (GDPR Art. 6(1)(f))", L841=""), "Gap - Missing LIA", IF(AND(G841="Yes", H841=""), "Gap - Missing Art. 9 Basis", IF(OR(I841="Invalid - Not Freely Given", I841="Invalid - Not Specific", I841="Invalid - Not Informed", I841="Invalid - Ambiguous"), "Gap - Invalid Consent", "Compliant")))))</f>
        <v/>
      </c>
      <c r="O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IF(D842="Legitimate Interest (GDPR Art. 6(1)(f))", "Yes / Required (Sheet 3)", "")</f>
        <v/>
      </c>
      <c r="L842" s="7" t="n"/>
      <c r="M842" s="7" t="n"/>
      <c r="N842">
        <f>IF(D842="", "Gap - No Legal Basis", IF(AND(D842="Consent (GDPR Art. 6(1)(a))", I842="Not Captured"), "Gap - Invalid Consent", IF(AND(D842="Legitimate Interest (GDPR Art. 6(1)(f))", L842=""), "Gap - Missing LIA", IF(AND(G842="Yes", H842=""), "Gap - Missing Art. 9 Basis", IF(OR(I842="Invalid - Not Freely Given", I842="Invalid - Not Specific", I842="Invalid - Not Informed", I842="Invalid - Ambiguous"), "Gap - Invalid Consent", "Compliant")))))</f>
        <v/>
      </c>
      <c r="O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IF(D843="Legitimate Interest (GDPR Art. 6(1)(f))", "Yes / Required (Sheet 3)", "")</f>
        <v/>
      </c>
      <c r="L843" s="7" t="n"/>
      <c r="M843" s="7" t="n"/>
      <c r="N843">
        <f>IF(D843="", "Gap - No Legal Basis", IF(AND(D843="Consent (GDPR Art. 6(1)(a))", I843="Not Captured"), "Gap - Invalid Consent", IF(AND(D843="Legitimate Interest (GDPR Art. 6(1)(f))", L843=""), "Gap - Missing LIA", IF(AND(G843="Yes", H843=""), "Gap - Missing Art. 9 Basis", IF(OR(I843="Invalid - Not Freely Given", I843="Invalid - Not Specific", I843="Invalid - Not Informed", I843="Invalid - Ambiguous"), "Gap - Invalid Consent", "Compliant")))))</f>
        <v/>
      </c>
      <c r="O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IF(D844="Legitimate Interest (GDPR Art. 6(1)(f))", "Yes / Required (Sheet 3)", "")</f>
        <v/>
      </c>
      <c r="L844" s="7" t="n"/>
      <c r="M844" s="7" t="n"/>
      <c r="N844">
        <f>IF(D844="", "Gap - No Legal Basis", IF(AND(D844="Consent (GDPR Art. 6(1)(a))", I844="Not Captured"), "Gap - Invalid Consent", IF(AND(D844="Legitimate Interest (GDPR Art. 6(1)(f))", L844=""), "Gap - Missing LIA", IF(AND(G844="Yes", H844=""), "Gap - Missing Art. 9 Basis", IF(OR(I844="Invalid - Not Freely Given", I844="Invalid - Not Specific", I844="Invalid - Not Informed", I844="Invalid - Ambiguous"), "Gap - Invalid Consent", "Compliant")))))</f>
        <v/>
      </c>
      <c r="O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IF(D845="Legitimate Interest (GDPR Art. 6(1)(f))", "Yes / Required (Sheet 3)", "")</f>
        <v/>
      </c>
      <c r="L845" s="7" t="n"/>
      <c r="M845" s="7" t="n"/>
      <c r="N845">
        <f>IF(D845="", "Gap - No Legal Basis", IF(AND(D845="Consent (GDPR Art. 6(1)(a))", I845="Not Captured"), "Gap - Invalid Consent", IF(AND(D845="Legitimate Interest (GDPR Art. 6(1)(f))", L845=""), "Gap - Missing LIA", IF(AND(G845="Yes", H845=""), "Gap - Missing Art. 9 Basis", IF(OR(I845="Invalid - Not Freely Given", I845="Invalid - Not Specific", I845="Invalid - Not Informed", I845="Invalid - Ambiguous"), "Gap - Invalid Consent", "Compliant")))))</f>
        <v/>
      </c>
      <c r="O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IF(D846="Legitimate Interest (GDPR Art. 6(1)(f))", "Yes / Required (Sheet 3)", "")</f>
        <v/>
      </c>
      <c r="L846" s="7" t="n"/>
      <c r="M846" s="7" t="n"/>
      <c r="N846">
        <f>IF(D846="", "Gap - No Legal Basis", IF(AND(D846="Consent (GDPR Art. 6(1)(a))", I846="Not Captured"), "Gap - Invalid Consent", IF(AND(D846="Legitimate Interest (GDPR Art. 6(1)(f))", L846=""), "Gap - Missing LIA", IF(AND(G846="Yes", H846=""), "Gap - Missing Art. 9 Basis", IF(OR(I846="Invalid - Not Freely Given", I846="Invalid - Not Specific", I846="Invalid - Not Informed", I846="Invalid - Ambiguous"), "Gap - Invalid Consent", "Compliant")))))</f>
        <v/>
      </c>
      <c r="O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IF(D847="Legitimate Interest (GDPR Art. 6(1)(f))", "Yes / Required (Sheet 3)", "")</f>
        <v/>
      </c>
      <c r="L847" s="7" t="n"/>
      <c r="M847" s="7" t="n"/>
      <c r="N847">
        <f>IF(D847="", "Gap - No Legal Basis", IF(AND(D847="Consent (GDPR Art. 6(1)(a))", I847="Not Captured"), "Gap - Invalid Consent", IF(AND(D847="Legitimate Interest (GDPR Art. 6(1)(f))", L847=""), "Gap - Missing LIA", IF(AND(G847="Yes", H847=""), "Gap - Missing Art. 9 Basis", IF(OR(I847="Invalid - Not Freely Given", I847="Invalid - Not Specific", I847="Invalid - Not Informed", I847="Invalid - Ambiguous"), "Gap - Invalid Consent", "Compliant")))))</f>
        <v/>
      </c>
      <c r="O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IF(D848="Legitimate Interest (GDPR Art. 6(1)(f))", "Yes / Required (Sheet 3)", "")</f>
        <v/>
      </c>
      <c r="L848" s="7" t="n"/>
      <c r="M848" s="7" t="n"/>
      <c r="N848">
        <f>IF(D848="", "Gap - No Legal Basis", IF(AND(D848="Consent (GDPR Art. 6(1)(a))", I848="Not Captured"), "Gap - Invalid Consent", IF(AND(D848="Legitimate Interest (GDPR Art. 6(1)(f))", L848=""), "Gap - Missing LIA", IF(AND(G848="Yes", H848=""), "Gap - Missing Art. 9 Basis", IF(OR(I848="Invalid - Not Freely Given", I848="Invalid - Not Specific", I848="Invalid - Not Informed", I848="Invalid - Ambiguous"), "Gap - Invalid Consent", "Compliant")))))</f>
        <v/>
      </c>
      <c r="O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IF(D849="Legitimate Interest (GDPR Art. 6(1)(f))", "Yes / Required (Sheet 3)", "")</f>
        <v/>
      </c>
      <c r="L849" s="7" t="n"/>
      <c r="M849" s="7" t="n"/>
      <c r="N849">
        <f>IF(D849="", "Gap - No Legal Basis", IF(AND(D849="Consent (GDPR Art. 6(1)(a))", I849="Not Captured"), "Gap - Invalid Consent", IF(AND(D849="Legitimate Interest (GDPR Art. 6(1)(f))", L849=""), "Gap - Missing LIA", IF(AND(G849="Yes", H849=""), "Gap - Missing Art. 9 Basis", IF(OR(I849="Invalid - Not Freely Given", I849="Invalid - Not Specific", I849="Invalid - Not Informed", I849="Invalid - Ambiguous"), "Gap - Invalid Consent", "Compliant")))))</f>
        <v/>
      </c>
      <c r="O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IF(D850="Legitimate Interest (GDPR Art. 6(1)(f))", "Yes / Required (Sheet 3)", "")</f>
        <v/>
      </c>
      <c r="L850" s="7" t="n"/>
      <c r="M850" s="7" t="n"/>
      <c r="N850">
        <f>IF(D850="", "Gap - No Legal Basis", IF(AND(D850="Consent (GDPR Art. 6(1)(a))", I850="Not Captured"), "Gap - Invalid Consent", IF(AND(D850="Legitimate Interest (GDPR Art. 6(1)(f))", L850=""), "Gap - Missing LIA", IF(AND(G850="Yes", H850=""), "Gap - Missing Art. 9 Basis", IF(OR(I850="Invalid - Not Freely Given", I850="Invalid - Not Specific", I850="Invalid - Not Informed", I850="Invalid - Ambiguous"), "Gap - Invalid Consent", "Compliant")))))</f>
        <v/>
      </c>
      <c r="O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IF(D851="Legitimate Interest (GDPR Art. 6(1)(f))", "Yes / Required (Sheet 3)", "")</f>
        <v/>
      </c>
      <c r="L851" s="7" t="n"/>
      <c r="M851" s="7" t="n"/>
      <c r="N851">
        <f>IF(D851="", "Gap - No Legal Basis", IF(AND(D851="Consent (GDPR Art. 6(1)(a))", I851="Not Captured"), "Gap - Invalid Consent", IF(AND(D851="Legitimate Interest (GDPR Art. 6(1)(f))", L851=""), "Gap - Missing LIA", IF(AND(G851="Yes", H851=""), "Gap - Missing Art. 9 Basis", IF(OR(I851="Invalid - Not Freely Given", I851="Invalid - Not Specific", I851="Invalid - Not Informed", I851="Invalid - Ambiguous"), "Gap - Invalid Consent", "Compliant")))))</f>
        <v/>
      </c>
      <c r="O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IF(D852="Legitimate Interest (GDPR Art. 6(1)(f))", "Yes / Required (Sheet 3)", "")</f>
        <v/>
      </c>
      <c r="L852" s="7" t="n"/>
      <c r="M852" s="7" t="n"/>
      <c r="N852">
        <f>IF(D852="", "Gap - No Legal Basis", IF(AND(D852="Consent (GDPR Art. 6(1)(a))", I852="Not Captured"), "Gap - Invalid Consent", IF(AND(D852="Legitimate Interest (GDPR Art. 6(1)(f))", L852=""), "Gap - Missing LIA", IF(AND(G852="Yes", H852=""), "Gap - Missing Art. 9 Basis", IF(OR(I852="Invalid - Not Freely Given", I852="Invalid - Not Specific", I852="Invalid - Not Informed", I852="Invalid - Ambiguous"), "Gap - Invalid Consent", "Compliant")))))</f>
        <v/>
      </c>
      <c r="O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IF(D853="Legitimate Interest (GDPR Art. 6(1)(f))", "Yes / Required (Sheet 3)", "")</f>
        <v/>
      </c>
      <c r="L853" s="7" t="n"/>
      <c r="M853" s="7" t="n"/>
      <c r="N853">
        <f>IF(D853="", "Gap - No Legal Basis", IF(AND(D853="Consent (GDPR Art. 6(1)(a))", I853="Not Captured"), "Gap - Invalid Consent", IF(AND(D853="Legitimate Interest (GDPR Art. 6(1)(f))", L853=""), "Gap - Missing LIA", IF(AND(G853="Yes", H853=""), "Gap - Missing Art. 9 Basis", IF(OR(I853="Invalid - Not Freely Given", I853="Invalid - Not Specific", I853="Invalid - Not Informed", I853="Invalid - Ambiguous"), "Gap - Invalid Consent", "Compliant")))))</f>
        <v/>
      </c>
      <c r="O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IF(D854="Legitimate Interest (GDPR Art. 6(1)(f))", "Yes / Required (Sheet 3)", "")</f>
        <v/>
      </c>
      <c r="L854" s="7" t="n"/>
      <c r="M854" s="7" t="n"/>
      <c r="N854">
        <f>IF(D854="", "Gap - No Legal Basis", IF(AND(D854="Consent (GDPR Art. 6(1)(a))", I854="Not Captured"), "Gap - Invalid Consent", IF(AND(D854="Legitimate Interest (GDPR Art. 6(1)(f))", L854=""), "Gap - Missing LIA", IF(AND(G854="Yes", H854=""), "Gap - Missing Art. 9 Basis", IF(OR(I854="Invalid - Not Freely Given", I854="Invalid - Not Specific", I854="Invalid - Not Informed", I854="Invalid - Ambiguous"), "Gap - Invalid Consent", "Compliant")))))</f>
        <v/>
      </c>
      <c r="O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IF(D855="Legitimate Interest (GDPR Art. 6(1)(f))", "Yes / Required (Sheet 3)", "")</f>
        <v/>
      </c>
      <c r="L855" s="7" t="n"/>
      <c r="M855" s="7" t="n"/>
      <c r="N855">
        <f>IF(D855="", "Gap - No Legal Basis", IF(AND(D855="Consent (GDPR Art. 6(1)(a))", I855="Not Captured"), "Gap - Invalid Consent", IF(AND(D855="Legitimate Interest (GDPR Art. 6(1)(f))", L855=""), "Gap - Missing LIA", IF(AND(G855="Yes", H855=""), "Gap - Missing Art. 9 Basis", IF(OR(I855="Invalid - Not Freely Given", I855="Invalid - Not Specific", I855="Invalid - Not Informed", I855="Invalid - Ambiguous"), "Gap - Invalid Consent", "Compliant")))))</f>
        <v/>
      </c>
      <c r="O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IF(D856="Legitimate Interest (GDPR Art. 6(1)(f))", "Yes / Required (Sheet 3)", "")</f>
        <v/>
      </c>
      <c r="L856" s="7" t="n"/>
      <c r="M856" s="7" t="n"/>
      <c r="N856">
        <f>IF(D856="", "Gap - No Legal Basis", IF(AND(D856="Consent (GDPR Art. 6(1)(a))", I856="Not Captured"), "Gap - Invalid Consent", IF(AND(D856="Legitimate Interest (GDPR Art. 6(1)(f))", L856=""), "Gap - Missing LIA", IF(AND(G856="Yes", H856=""), "Gap - Missing Art. 9 Basis", IF(OR(I856="Invalid - Not Freely Given", I856="Invalid - Not Specific", I856="Invalid - Not Informed", I856="Invalid - Ambiguous"), "Gap - Invalid Consent", "Compliant")))))</f>
        <v/>
      </c>
      <c r="O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IF(D857="Legitimate Interest (GDPR Art. 6(1)(f))", "Yes / Required (Sheet 3)", "")</f>
        <v/>
      </c>
      <c r="L857" s="7" t="n"/>
      <c r="M857" s="7" t="n"/>
      <c r="N857">
        <f>IF(D857="", "Gap - No Legal Basis", IF(AND(D857="Consent (GDPR Art. 6(1)(a))", I857="Not Captured"), "Gap - Invalid Consent", IF(AND(D857="Legitimate Interest (GDPR Art. 6(1)(f))", L857=""), "Gap - Missing LIA", IF(AND(G857="Yes", H857=""), "Gap - Missing Art. 9 Basis", IF(OR(I857="Invalid - Not Freely Given", I857="Invalid - Not Specific", I857="Invalid - Not Informed", I857="Invalid - Ambiguous"), "Gap - Invalid Consent", "Compliant")))))</f>
        <v/>
      </c>
      <c r="O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IF(D858="Legitimate Interest (GDPR Art. 6(1)(f))", "Yes / Required (Sheet 3)", "")</f>
        <v/>
      </c>
      <c r="L858" s="7" t="n"/>
      <c r="M858" s="7" t="n"/>
      <c r="N858">
        <f>IF(D858="", "Gap - No Legal Basis", IF(AND(D858="Consent (GDPR Art. 6(1)(a))", I858="Not Captured"), "Gap - Invalid Consent", IF(AND(D858="Legitimate Interest (GDPR Art. 6(1)(f))", L858=""), "Gap - Missing LIA", IF(AND(G858="Yes", H858=""), "Gap - Missing Art. 9 Basis", IF(OR(I858="Invalid - Not Freely Given", I858="Invalid - Not Specific", I858="Invalid - Not Informed", I858="Invalid - Ambiguous"), "Gap - Invalid Consent", "Compliant")))))</f>
        <v/>
      </c>
      <c r="O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IF(D859="Legitimate Interest (GDPR Art. 6(1)(f))", "Yes / Required (Sheet 3)", "")</f>
        <v/>
      </c>
      <c r="L859" s="7" t="n"/>
      <c r="M859" s="7" t="n"/>
      <c r="N859">
        <f>IF(D859="", "Gap - No Legal Basis", IF(AND(D859="Consent (GDPR Art. 6(1)(a))", I859="Not Captured"), "Gap - Invalid Consent", IF(AND(D859="Legitimate Interest (GDPR Art. 6(1)(f))", L859=""), "Gap - Missing LIA", IF(AND(G859="Yes", H859=""), "Gap - Missing Art. 9 Basis", IF(OR(I859="Invalid - Not Freely Given", I859="Invalid - Not Specific", I859="Invalid - Not Informed", I859="Invalid - Ambiguous"), "Gap - Invalid Consent", "Compliant")))))</f>
        <v/>
      </c>
      <c r="O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IF(D860="Legitimate Interest (GDPR Art. 6(1)(f))", "Yes / Required (Sheet 3)", "")</f>
        <v/>
      </c>
      <c r="L860" s="7" t="n"/>
      <c r="M860" s="7" t="n"/>
      <c r="N860">
        <f>IF(D860="", "Gap - No Legal Basis", IF(AND(D860="Consent (GDPR Art. 6(1)(a))", I860="Not Captured"), "Gap - Invalid Consent", IF(AND(D860="Legitimate Interest (GDPR Art. 6(1)(f))", L860=""), "Gap - Missing LIA", IF(AND(G860="Yes", H860=""), "Gap - Missing Art. 9 Basis", IF(OR(I860="Invalid - Not Freely Given", I860="Invalid - Not Specific", I860="Invalid - Not Informed", I860="Invalid - Ambiguous"), "Gap - Invalid Consent", "Compliant")))))</f>
        <v/>
      </c>
      <c r="O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IF(D861="Legitimate Interest (GDPR Art. 6(1)(f))", "Yes / Required (Sheet 3)", "")</f>
        <v/>
      </c>
      <c r="L861" s="7" t="n"/>
      <c r="M861" s="7" t="n"/>
      <c r="N861">
        <f>IF(D861="", "Gap - No Legal Basis", IF(AND(D861="Consent (GDPR Art. 6(1)(a))", I861="Not Captured"), "Gap - Invalid Consent", IF(AND(D861="Legitimate Interest (GDPR Art. 6(1)(f))", L861=""), "Gap - Missing LIA", IF(AND(G861="Yes", H861=""), "Gap - Missing Art. 9 Basis", IF(OR(I861="Invalid - Not Freely Given", I861="Invalid - Not Specific", I861="Invalid - Not Informed", I861="Invalid - Ambiguous"), "Gap - Invalid Consent", "Compliant")))))</f>
        <v/>
      </c>
      <c r="O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IF(D862="Legitimate Interest (GDPR Art. 6(1)(f))", "Yes / Required (Sheet 3)", "")</f>
        <v/>
      </c>
      <c r="L862" s="7" t="n"/>
      <c r="M862" s="7" t="n"/>
      <c r="N862">
        <f>IF(D862="", "Gap - No Legal Basis", IF(AND(D862="Consent (GDPR Art. 6(1)(a))", I862="Not Captured"), "Gap - Invalid Consent", IF(AND(D862="Legitimate Interest (GDPR Art. 6(1)(f))", L862=""), "Gap - Missing LIA", IF(AND(G862="Yes", H862=""), "Gap - Missing Art. 9 Basis", IF(OR(I862="Invalid - Not Freely Given", I862="Invalid - Not Specific", I862="Invalid - Not Informed", I862="Invalid - Ambiguous"), "Gap - Invalid Consent", "Compliant")))))</f>
        <v/>
      </c>
      <c r="O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IF(D863="Legitimate Interest (GDPR Art. 6(1)(f))", "Yes / Required (Sheet 3)", "")</f>
        <v/>
      </c>
      <c r="L863" s="7" t="n"/>
      <c r="M863" s="7" t="n"/>
      <c r="N863">
        <f>IF(D863="", "Gap - No Legal Basis", IF(AND(D863="Consent (GDPR Art. 6(1)(a))", I863="Not Captured"), "Gap - Invalid Consent", IF(AND(D863="Legitimate Interest (GDPR Art. 6(1)(f))", L863=""), "Gap - Missing LIA", IF(AND(G863="Yes", H863=""), "Gap - Missing Art. 9 Basis", IF(OR(I863="Invalid - Not Freely Given", I863="Invalid - Not Specific", I863="Invalid - Not Informed", I863="Invalid - Ambiguous"), "Gap - Invalid Consent", "Compliant")))))</f>
        <v/>
      </c>
      <c r="O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IF(D864="Legitimate Interest (GDPR Art. 6(1)(f))", "Yes / Required (Sheet 3)", "")</f>
        <v/>
      </c>
      <c r="L864" s="7" t="n"/>
      <c r="M864" s="7" t="n"/>
      <c r="N864">
        <f>IF(D864="", "Gap - No Legal Basis", IF(AND(D864="Consent (GDPR Art. 6(1)(a))", I864="Not Captured"), "Gap - Invalid Consent", IF(AND(D864="Legitimate Interest (GDPR Art. 6(1)(f))", L864=""), "Gap - Missing LIA", IF(AND(G864="Yes", H864=""), "Gap - Missing Art. 9 Basis", IF(OR(I864="Invalid - Not Freely Given", I864="Invalid - Not Specific", I864="Invalid - Not Informed", I864="Invalid - Ambiguous"), "Gap - Invalid Consent", "Compliant")))))</f>
        <v/>
      </c>
      <c r="O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IF(D865="Legitimate Interest (GDPR Art. 6(1)(f))", "Yes / Required (Sheet 3)", "")</f>
        <v/>
      </c>
      <c r="L865" s="7" t="n"/>
      <c r="M865" s="7" t="n"/>
      <c r="N865">
        <f>IF(D865="", "Gap - No Legal Basis", IF(AND(D865="Consent (GDPR Art. 6(1)(a))", I865="Not Captured"), "Gap - Invalid Consent", IF(AND(D865="Legitimate Interest (GDPR Art. 6(1)(f))", L865=""), "Gap - Missing LIA", IF(AND(G865="Yes", H865=""), "Gap - Missing Art. 9 Basis", IF(OR(I865="Invalid - Not Freely Given", I865="Invalid - Not Specific", I865="Invalid - Not Informed", I865="Invalid - Ambiguous"), "Gap - Invalid Consent", "Compliant")))))</f>
        <v/>
      </c>
      <c r="O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IF(D866="Legitimate Interest (GDPR Art. 6(1)(f))", "Yes / Required (Sheet 3)", "")</f>
        <v/>
      </c>
      <c r="L866" s="7" t="n"/>
      <c r="M866" s="7" t="n"/>
      <c r="N866">
        <f>IF(D866="", "Gap - No Legal Basis", IF(AND(D866="Consent (GDPR Art. 6(1)(a))", I866="Not Captured"), "Gap - Invalid Consent", IF(AND(D866="Legitimate Interest (GDPR Art. 6(1)(f))", L866=""), "Gap - Missing LIA", IF(AND(G866="Yes", H866=""), "Gap - Missing Art. 9 Basis", IF(OR(I866="Invalid - Not Freely Given", I866="Invalid - Not Specific", I866="Invalid - Not Informed", I866="Invalid - Ambiguous"), "Gap - Invalid Consent", "Compliant")))))</f>
        <v/>
      </c>
      <c r="O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IF(D867="Legitimate Interest (GDPR Art. 6(1)(f))", "Yes / Required (Sheet 3)", "")</f>
        <v/>
      </c>
      <c r="L867" s="7" t="n"/>
      <c r="M867" s="7" t="n"/>
      <c r="N867">
        <f>IF(D867="", "Gap - No Legal Basis", IF(AND(D867="Consent (GDPR Art. 6(1)(a))", I867="Not Captured"), "Gap - Invalid Consent", IF(AND(D867="Legitimate Interest (GDPR Art. 6(1)(f))", L867=""), "Gap - Missing LIA", IF(AND(G867="Yes", H867=""), "Gap - Missing Art. 9 Basis", IF(OR(I867="Invalid - Not Freely Given", I867="Invalid - Not Specific", I867="Invalid - Not Informed", I867="Invalid - Ambiguous"), "Gap - Invalid Consent", "Compliant")))))</f>
        <v/>
      </c>
      <c r="O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IF(D868="Legitimate Interest (GDPR Art. 6(1)(f))", "Yes / Required (Sheet 3)", "")</f>
        <v/>
      </c>
      <c r="L868" s="7" t="n"/>
      <c r="M868" s="7" t="n"/>
      <c r="N868">
        <f>IF(D868="", "Gap - No Legal Basis", IF(AND(D868="Consent (GDPR Art. 6(1)(a))", I868="Not Captured"), "Gap - Invalid Consent", IF(AND(D868="Legitimate Interest (GDPR Art. 6(1)(f))", L868=""), "Gap - Missing LIA", IF(AND(G868="Yes", H868=""), "Gap - Missing Art. 9 Basis", IF(OR(I868="Invalid - Not Freely Given", I868="Invalid - Not Specific", I868="Invalid - Not Informed", I868="Invalid - Ambiguous"), "Gap - Invalid Consent", "Compliant")))))</f>
        <v/>
      </c>
      <c r="O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IF(D869="Legitimate Interest (GDPR Art. 6(1)(f))", "Yes / Required (Sheet 3)", "")</f>
        <v/>
      </c>
      <c r="L869" s="7" t="n"/>
      <c r="M869" s="7" t="n"/>
      <c r="N869">
        <f>IF(D869="", "Gap - No Legal Basis", IF(AND(D869="Consent (GDPR Art. 6(1)(a))", I869="Not Captured"), "Gap - Invalid Consent", IF(AND(D869="Legitimate Interest (GDPR Art. 6(1)(f))", L869=""), "Gap - Missing LIA", IF(AND(G869="Yes", H869=""), "Gap - Missing Art. 9 Basis", IF(OR(I869="Invalid - Not Freely Given", I869="Invalid - Not Specific", I869="Invalid - Not Informed", I869="Invalid - Ambiguous"), "Gap - Invalid Consent", "Compliant")))))</f>
        <v/>
      </c>
      <c r="O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IF(D870="Legitimate Interest (GDPR Art. 6(1)(f))", "Yes / Required (Sheet 3)", "")</f>
        <v/>
      </c>
      <c r="L870" s="7" t="n"/>
      <c r="M870" s="7" t="n"/>
      <c r="N870">
        <f>IF(D870="", "Gap - No Legal Basis", IF(AND(D870="Consent (GDPR Art. 6(1)(a))", I870="Not Captured"), "Gap - Invalid Consent", IF(AND(D870="Legitimate Interest (GDPR Art. 6(1)(f))", L870=""), "Gap - Missing LIA", IF(AND(G870="Yes", H870=""), "Gap - Missing Art. 9 Basis", IF(OR(I870="Invalid - Not Freely Given", I870="Invalid - Not Specific", I870="Invalid - Not Informed", I870="Invalid - Ambiguous"), "Gap - Invalid Consent", "Compliant")))))</f>
        <v/>
      </c>
      <c r="O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IF(D871="Legitimate Interest (GDPR Art. 6(1)(f))", "Yes / Required (Sheet 3)", "")</f>
        <v/>
      </c>
      <c r="L871" s="7" t="n"/>
      <c r="M871" s="7" t="n"/>
      <c r="N871">
        <f>IF(D871="", "Gap - No Legal Basis", IF(AND(D871="Consent (GDPR Art. 6(1)(a))", I871="Not Captured"), "Gap - Invalid Consent", IF(AND(D871="Legitimate Interest (GDPR Art. 6(1)(f))", L871=""), "Gap - Missing LIA", IF(AND(G871="Yes", H871=""), "Gap - Missing Art. 9 Basis", IF(OR(I871="Invalid - Not Freely Given", I871="Invalid - Not Specific", I871="Invalid - Not Informed", I871="Invalid - Ambiguous"), "Gap - Invalid Consent", "Compliant")))))</f>
        <v/>
      </c>
      <c r="O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IF(D872="Legitimate Interest (GDPR Art. 6(1)(f))", "Yes / Required (Sheet 3)", "")</f>
        <v/>
      </c>
      <c r="L872" s="7" t="n"/>
      <c r="M872" s="7" t="n"/>
      <c r="N872">
        <f>IF(D872="", "Gap - No Legal Basis", IF(AND(D872="Consent (GDPR Art. 6(1)(a))", I872="Not Captured"), "Gap - Invalid Consent", IF(AND(D872="Legitimate Interest (GDPR Art. 6(1)(f))", L872=""), "Gap - Missing LIA", IF(AND(G872="Yes", H872=""), "Gap - Missing Art. 9 Basis", IF(OR(I872="Invalid - Not Freely Given", I872="Invalid - Not Specific", I872="Invalid - Not Informed", I872="Invalid - Ambiguous"), "Gap - Invalid Consent", "Compliant")))))</f>
        <v/>
      </c>
      <c r="O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IF(D873="Legitimate Interest (GDPR Art. 6(1)(f))", "Yes / Required (Sheet 3)", "")</f>
        <v/>
      </c>
      <c r="L873" s="7" t="n"/>
      <c r="M873" s="7" t="n"/>
      <c r="N873">
        <f>IF(D873="", "Gap - No Legal Basis", IF(AND(D873="Consent (GDPR Art. 6(1)(a))", I873="Not Captured"), "Gap - Invalid Consent", IF(AND(D873="Legitimate Interest (GDPR Art. 6(1)(f))", L873=""), "Gap - Missing LIA", IF(AND(G873="Yes", H873=""), "Gap - Missing Art. 9 Basis", IF(OR(I873="Invalid - Not Freely Given", I873="Invalid - Not Specific", I873="Invalid - Not Informed", I873="Invalid - Ambiguous"), "Gap - Invalid Consent", "Compliant")))))</f>
        <v/>
      </c>
      <c r="O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IF(D874="Legitimate Interest (GDPR Art. 6(1)(f))", "Yes / Required (Sheet 3)", "")</f>
        <v/>
      </c>
      <c r="L874" s="7" t="n"/>
      <c r="M874" s="7" t="n"/>
      <c r="N874">
        <f>IF(D874="", "Gap - No Legal Basis", IF(AND(D874="Consent (GDPR Art. 6(1)(a))", I874="Not Captured"), "Gap - Invalid Consent", IF(AND(D874="Legitimate Interest (GDPR Art. 6(1)(f))", L874=""), "Gap - Missing LIA", IF(AND(G874="Yes", H874=""), "Gap - Missing Art. 9 Basis", IF(OR(I874="Invalid - Not Freely Given", I874="Invalid - Not Specific", I874="Invalid - Not Informed", I874="Invalid - Ambiguous"), "Gap - Invalid Consent", "Compliant")))))</f>
        <v/>
      </c>
      <c r="O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IF(D875="Legitimate Interest (GDPR Art. 6(1)(f))", "Yes / Required (Sheet 3)", "")</f>
        <v/>
      </c>
      <c r="L875" s="7" t="n"/>
      <c r="M875" s="7" t="n"/>
      <c r="N875">
        <f>IF(D875="", "Gap - No Legal Basis", IF(AND(D875="Consent (GDPR Art. 6(1)(a))", I875="Not Captured"), "Gap - Invalid Consent", IF(AND(D875="Legitimate Interest (GDPR Art. 6(1)(f))", L875=""), "Gap - Missing LIA", IF(AND(G875="Yes", H875=""), "Gap - Missing Art. 9 Basis", IF(OR(I875="Invalid - Not Freely Given", I875="Invalid - Not Specific", I875="Invalid - Not Informed", I875="Invalid - Ambiguous"), "Gap - Invalid Consent", "Compliant")))))</f>
        <v/>
      </c>
      <c r="O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IF(D876="Legitimate Interest (GDPR Art. 6(1)(f))", "Yes / Required (Sheet 3)", "")</f>
        <v/>
      </c>
      <c r="L876" s="7" t="n"/>
      <c r="M876" s="7" t="n"/>
      <c r="N876">
        <f>IF(D876="", "Gap - No Legal Basis", IF(AND(D876="Consent (GDPR Art. 6(1)(a))", I876="Not Captured"), "Gap - Invalid Consent", IF(AND(D876="Legitimate Interest (GDPR Art. 6(1)(f))", L876=""), "Gap - Missing LIA", IF(AND(G876="Yes", H876=""), "Gap - Missing Art. 9 Basis", IF(OR(I876="Invalid - Not Freely Given", I876="Invalid - Not Specific", I876="Invalid - Not Informed", I876="Invalid - Ambiguous"), "Gap - Invalid Consent", "Compliant")))))</f>
        <v/>
      </c>
      <c r="O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IF(D877="Legitimate Interest (GDPR Art. 6(1)(f))", "Yes / Required (Sheet 3)", "")</f>
        <v/>
      </c>
      <c r="L877" s="7" t="n"/>
      <c r="M877" s="7" t="n"/>
      <c r="N877">
        <f>IF(D877="", "Gap - No Legal Basis", IF(AND(D877="Consent (GDPR Art. 6(1)(a))", I877="Not Captured"), "Gap - Invalid Consent", IF(AND(D877="Legitimate Interest (GDPR Art. 6(1)(f))", L877=""), "Gap - Missing LIA", IF(AND(G877="Yes", H877=""), "Gap - Missing Art. 9 Basis", IF(OR(I877="Invalid - Not Freely Given", I877="Invalid - Not Specific", I877="Invalid - Not Informed", I877="Invalid - Ambiguous"), "Gap - Invalid Consent", "Compliant")))))</f>
        <v/>
      </c>
      <c r="O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IF(D878="Legitimate Interest (GDPR Art. 6(1)(f))", "Yes / Required (Sheet 3)", "")</f>
        <v/>
      </c>
      <c r="L878" s="7" t="n"/>
      <c r="M878" s="7" t="n"/>
      <c r="N878">
        <f>IF(D878="", "Gap - No Legal Basis", IF(AND(D878="Consent (GDPR Art. 6(1)(a))", I878="Not Captured"), "Gap - Invalid Consent", IF(AND(D878="Legitimate Interest (GDPR Art. 6(1)(f))", L878=""), "Gap - Missing LIA", IF(AND(G878="Yes", H878=""), "Gap - Missing Art. 9 Basis", IF(OR(I878="Invalid - Not Freely Given", I878="Invalid - Not Specific", I878="Invalid - Not Informed", I878="Invalid - Ambiguous"), "Gap - Invalid Consent", "Compliant")))))</f>
        <v/>
      </c>
      <c r="O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IF(D879="Legitimate Interest (GDPR Art. 6(1)(f))", "Yes / Required (Sheet 3)", "")</f>
        <v/>
      </c>
      <c r="L879" s="7" t="n"/>
      <c r="M879" s="7" t="n"/>
      <c r="N879">
        <f>IF(D879="", "Gap - No Legal Basis", IF(AND(D879="Consent (GDPR Art. 6(1)(a))", I879="Not Captured"), "Gap - Invalid Consent", IF(AND(D879="Legitimate Interest (GDPR Art. 6(1)(f))", L879=""), "Gap - Missing LIA", IF(AND(G879="Yes", H879=""), "Gap - Missing Art. 9 Basis", IF(OR(I879="Invalid - Not Freely Given", I879="Invalid - Not Specific", I879="Invalid - Not Informed", I879="Invalid - Ambiguous"), "Gap - Invalid Consent", "Compliant")))))</f>
        <v/>
      </c>
      <c r="O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IF(D880="Legitimate Interest (GDPR Art. 6(1)(f))", "Yes / Required (Sheet 3)", "")</f>
        <v/>
      </c>
      <c r="L880" s="7" t="n"/>
      <c r="M880" s="7" t="n"/>
      <c r="N880">
        <f>IF(D880="", "Gap - No Legal Basis", IF(AND(D880="Consent (GDPR Art. 6(1)(a))", I880="Not Captured"), "Gap - Invalid Consent", IF(AND(D880="Legitimate Interest (GDPR Art. 6(1)(f))", L880=""), "Gap - Missing LIA", IF(AND(G880="Yes", H880=""), "Gap - Missing Art. 9 Basis", IF(OR(I880="Invalid - Not Freely Given", I880="Invalid - Not Specific", I880="Invalid - Not Informed", I880="Invalid - Ambiguous"), "Gap - Invalid Consent", "Compliant")))))</f>
        <v/>
      </c>
      <c r="O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IF(D881="Legitimate Interest (GDPR Art. 6(1)(f))", "Yes / Required (Sheet 3)", "")</f>
        <v/>
      </c>
      <c r="L881" s="7" t="n"/>
      <c r="M881" s="7" t="n"/>
      <c r="N881">
        <f>IF(D881="", "Gap - No Legal Basis", IF(AND(D881="Consent (GDPR Art. 6(1)(a))", I881="Not Captured"), "Gap - Invalid Consent", IF(AND(D881="Legitimate Interest (GDPR Art. 6(1)(f))", L881=""), "Gap - Missing LIA", IF(AND(G881="Yes", H881=""), "Gap - Missing Art. 9 Basis", IF(OR(I881="Invalid - Not Freely Given", I881="Invalid - Not Specific", I881="Invalid - Not Informed", I881="Invalid - Ambiguous"), "Gap - Invalid Consent", "Compliant")))))</f>
        <v/>
      </c>
      <c r="O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IF(D882="Legitimate Interest (GDPR Art. 6(1)(f))", "Yes / Required (Sheet 3)", "")</f>
        <v/>
      </c>
      <c r="L882" s="7" t="n"/>
      <c r="M882" s="7" t="n"/>
      <c r="N882">
        <f>IF(D882="", "Gap - No Legal Basis", IF(AND(D882="Consent (GDPR Art. 6(1)(a))", I882="Not Captured"), "Gap - Invalid Consent", IF(AND(D882="Legitimate Interest (GDPR Art. 6(1)(f))", L882=""), "Gap - Missing LIA", IF(AND(G882="Yes", H882=""), "Gap - Missing Art. 9 Basis", IF(OR(I882="Invalid - Not Freely Given", I882="Invalid - Not Specific", I882="Invalid - Not Informed", I882="Invalid - Ambiguous"), "Gap - Invalid Consent", "Compliant")))))</f>
        <v/>
      </c>
      <c r="O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IF(D883="Legitimate Interest (GDPR Art. 6(1)(f))", "Yes / Required (Sheet 3)", "")</f>
        <v/>
      </c>
      <c r="L883" s="7" t="n"/>
      <c r="M883" s="7" t="n"/>
      <c r="N883">
        <f>IF(D883="", "Gap - No Legal Basis", IF(AND(D883="Consent (GDPR Art. 6(1)(a))", I883="Not Captured"), "Gap - Invalid Consent", IF(AND(D883="Legitimate Interest (GDPR Art. 6(1)(f))", L883=""), "Gap - Missing LIA", IF(AND(G883="Yes", H883=""), "Gap - Missing Art. 9 Basis", IF(OR(I883="Invalid - Not Freely Given", I883="Invalid - Not Specific", I883="Invalid - Not Informed", I883="Invalid - Ambiguous"), "Gap - Invalid Consent", "Compliant")))))</f>
        <v/>
      </c>
      <c r="O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IF(D884="Legitimate Interest (GDPR Art. 6(1)(f))", "Yes / Required (Sheet 3)", "")</f>
        <v/>
      </c>
      <c r="L884" s="7" t="n"/>
      <c r="M884" s="7" t="n"/>
      <c r="N884">
        <f>IF(D884="", "Gap - No Legal Basis", IF(AND(D884="Consent (GDPR Art. 6(1)(a))", I884="Not Captured"), "Gap - Invalid Consent", IF(AND(D884="Legitimate Interest (GDPR Art. 6(1)(f))", L884=""), "Gap - Missing LIA", IF(AND(G884="Yes", H884=""), "Gap - Missing Art. 9 Basis", IF(OR(I884="Invalid - Not Freely Given", I884="Invalid - Not Specific", I884="Invalid - Not Informed", I884="Invalid - Ambiguous"), "Gap - Invalid Consent", "Compliant")))))</f>
        <v/>
      </c>
      <c r="O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IF(D885="Legitimate Interest (GDPR Art. 6(1)(f))", "Yes / Required (Sheet 3)", "")</f>
        <v/>
      </c>
      <c r="L885" s="7" t="n"/>
      <c r="M885" s="7" t="n"/>
      <c r="N885">
        <f>IF(D885="", "Gap - No Legal Basis", IF(AND(D885="Consent (GDPR Art. 6(1)(a))", I885="Not Captured"), "Gap - Invalid Consent", IF(AND(D885="Legitimate Interest (GDPR Art. 6(1)(f))", L885=""), "Gap - Missing LIA", IF(AND(G885="Yes", H885=""), "Gap - Missing Art. 9 Basis", IF(OR(I885="Invalid - Not Freely Given", I885="Invalid - Not Specific", I885="Invalid - Not Informed", I885="Invalid - Ambiguous"), "Gap - Invalid Consent", "Compliant")))))</f>
        <v/>
      </c>
      <c r="O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IF(D886="Legitimate Interest (GDPR Art. 6(1)(f))", "Yes / Required (Sheet 3)", "")</f>
        <v/>
      </c>
      <c r="L886" s="7" t="n"/>
      <c r="M886" s="7" t="n"/>
      <c r="N886">
        <f>IF(D886="", "Gap - No Legal Basis", IF(AND(D886="Consent (GDPR Art. 6(1)(a))", I886="Not Captured"), "Gap - Invalid Consent", IF(AND(D886="Legitimate Interest (GDPR Art. 6(1)(f))", L886=""), "Gap - Missing LIA", IF(AND(G886="Yes", H886=""), "Gap - Missing Art. 9 Basis", IF(OR(I886="Invalid - Not Freely Given", I886="Invalid - Not Specific", I886="Invalid - Not Informed", I886="Invalid - Ambiguous"), "Gap - Invalid Consent", "Compliant")))))</f>
        <v/>
      </c>
      <c r="O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IF(D887="Legitimate Interest (GDPR Art. 6(1)(f))", "Yes / Required (Sheet 3)", "")</f>
        <v/>
      </c>
      <c r="L887" s="7" t="n"/>
      <c r="M887" s="7" t="n"/>
      <c r="N887">
        <f>IF(D887="", "Gap - No Legal Basis", IF(AND(D887="Consent (GDPR Art. 6(1)(a))", I887="Not Captured"), "Gap - Invalid Consent", IF(AND(D887="Legitimate Interest (GDPR Art. 6(1)(f))", L887=""), "Gap - Missing LIA", IF(AND(G887="Yes", H887=""), "Gap - Missing Art. 9 Basis", IF(OR(I887="Invalid - Not Freely Given", I887="Invalid - Not Specific", I887="Invalid - Not Informed", I887="Invalid - Ambiguous"), "Gap - Invalid Consent", "Compliant")))))</f>
        <v/>
      </c>
      <c r="O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IF(D888="Legitimate Interest (GDPR Art. 6(1)(f))", "Yes / Required (Sheet 3)", "")</f>
        <v/>
      </c>
      <c r="L888" s="7" t="n"/>
      <c r="M888" s="7" t="n"/>
      <c r="N888">
        <f>IF(D888="", "Gap - No Legal Basis", IF(AND(D888="Consent (GDPR Art. 6(1)(a))", I888="Not Captured"), "Gap - Invalid Consent", IF(AND(D888="Legitimate Interest (GDPR Art. 6(1)(f))", L888=""), "Gap - Missing LIA", IF(AND(G888="Yes", H888=""), "Gap - Missing Art. 9 Basis", IF(OR(I888="Invalid - Not Freely Given", I888="Invalid - Not Specific", I888="Invalid - Not Informed", I888="Invalid - Ambiguous"), "Gap - Invalid Consent", "Compliant")))))</f>
        <v/>
      </c>
      <c r="O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IF(D889="Legitimate Interest (GDPR Art. 6(1)(f))", "Yes / Required (Sheet 3)", "")</f>
        <v/>
      </c>
      <c r="L889" s="7" t="n"/>
      <c r="M889" s="7" t="n"/>
      <c r="N889">
        <f>IF(D889="", "Gap - No Legal Basis", IF(AND(D889="Consent (GDPR Art. 6(1)(a))", I889="Not Captured"), "Gap - Invalid Consent", IF(AND(D889="Legitimate Interest (GDPR Art. 6(1)(f))", L889=""), "Gap - Missing LIA", IF(AND(G889="Yes", H889=""), "Gap - Missing Art. 9 Basis", IF(OR(I889="Invalid - Not Freely Given", I889="Invalid - Not Specific", I889="Invalid - Not Informed", I889="Invalid - Ambiguous"), "Gap - Invalid Consent", "Compliant")))))</f>
        <v/>
      </c>
      <c r="O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IF(D890="Legitimate Interest (GDPR Art. 6(1)(f))", "Yes / Required (Sheet 3)", "")</f>
        <v/>
      </c>
      <c r="L890" s="7" t="n"/>
      <c r="M890" s="7" t="n"/>
      <c r="N890">
        <f>IF(D890="", "Gap - No Legal Basis", IF(AND(D890="Consent (GDPR Art. 6(1)(a))", I890="Not Captured"), "Gap - Invalid Consent", IF(AND(D890="Legitimate Interest (GDPR Art. 6(1)(f))", L890=""), "Gap - Missing LIA", IF(AND(G890="Yes", H890=""), "Gap - Missing Art. 9 Basis", IF(OR(I890="Invalid - Not Freely Given", I890="Invalid - Not Specific", I890="Invalid - Not Informed", I890="Invalid - Ambiguous"), "Gap - Invalid Consent", "Compliant")))))</f>
        <v/>
      </c>
      <c r="O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IF(D891="Legitimate Interest (GDPR Art. 6(1)(f))", "Yes / Required (Sheet 3)", "")</f>
        <v/>
      </c>
      <c r="L891" s="7" t="n"/>
      <c r="M891" s="7" t="n"/>
      <c r="N891">
        <f>IF(D891="", "Gap - No Legal Basis", IF(AND(D891="Consent (GDPR Art. 6(1)(a))", I891="Not Captured"), "Gap - Invalid Consent", IF(AND(D891="Legitimate Interest (GDPR Art. 6(1)(f))", L891=""), "Gap - Missing LIA", IF(AND(G891="Yes", H891=""), "Gap - Missing Art. 9 Basis", IF(OR(I891="Invalid - Not Freely Given", I891="Invalid - Not Specific", I891="Invalid - Not Informed", I891="Invalid - Ambiguous"), "Gap - Invalid Consent", "Compliant")))))</f>
        <v/>
      </c>
      <c r="O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IF(D892="Legitimate Interest (GDPR Art. 6(1)(f))", "Yes / Required (Sheet 3)", "")</f>
        <v/>
      </c>
      <c r="L892" s="7" t="n"/>
      <c r="M892" s="7" t="n"/>
      <c r="N892">
        <f>IF(D892="", "Gap - No Legal Basis", IF(AND(D892="Consent (GDPR Art. 6(1)(a))", I892="Not Captured"), "Gap - Invalid Consent", IF(AND(D892="Legitimate Interest (GDPR Art. 6(1)(f))", L892=""), "Gap - Missing LIA", IF(AND(G892="Yes", H892=""), "Gap - Missing Art. 9 Basis", IF(OR(I892="Invalid - Not Freely Given", I892="Invalid - Not Specific", I892="Invalid - Not Informed", I892="Invalid - Ambiguous"), "Gap - Invalid Consent", "Compliant")))))</f>
        <v/>
      </c>
      <c r="O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IF(D893="Legitimate Interest (GDPR Art. 6(1)(f))", "Yes / Required (Sheet 3)", "")</f>
        <v/>
      </c>
      <c r="L893" s="7" t="n"/>
      <c r="M893" s="7" t="n"/>
      <c r="N893">
        <f>IF(D893="", "Gap - No Legal Basis", IF(AND(D893="Consent (GDPR Art. 6(1)(a))", I893="Not Captured"), "Gap - Invalid Consent", IF(AND(D893="Legitimate Interest (GDPR Art. 6(1)(f))", L893=""), "Gap - Missing LIA", IF(AND(G893="Yes", H893=""), "Gap - Missing Art. 9 Basis", IF(OR(I893="Invalid - Not Freely Given", I893="Invalid - Not Specific", I893="Invalid - Not Informed", I893="Invalid - Ambiguous"), "Gap - Invalid Consent", "Compliant")))))</f>
        <v/>
      </c>
      <c r="O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IF(D894="Legitimate Interest (GDPR Art. 6(1)(f))", "Yes / Required (Sheet 3)", "")</f>
        <v/>
      </c>
      <c r="L894" s="7" t="n"/>
      <c r="M894" s="7" t="n"/>
      <c r="N894">
        <f>IF(D894="", "Gap - No Legal Basis", IF(AND(D894="Consent (GDPR Art. 6(1)(a))", I894="Not Captured"), "Gap - Invalid Consent", IF(AND(D894="Legitimate Interest (GDPR Art. 6(1)(f))", L894=""), "Gap - Missing LIA", IF(AND(G894="Yes", H894=""), "Gap - Missing Art. 9 Basis", IF(OR(I894="Invalid - Not Freely Given", I894="Invalid - Not Specific", I894="Invalid - Not Informed", I894="Invalid - Ambiguous"), "Gap - Invalid Consent", "Compliant")))))</f>
        <v/>
      </c>
      <c r="O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IF(D895="Legitimate Interest (GDPR Art. 6(1)(f))", "Yes / Required (Sheet 3)", "")</f>
        <v/>
      </c>
      <c r="L895" s="7" t="n"/>
      <c r="M895" s="7" t="n"/>
      <c r="N895">
        <f>IF(D895="", "Gap - No Legal Basis", IF(AND(D895="Consent (GDPR Art. 6(1)(a))", I895="Not Captured"), "Gap - Invalid Consent", IF(AND(D895="Legitimate Interest (GDPR Art. 6(1)(f))", L895=""), "Gap - Missing LIA", IF(AND(G895="Yes", H895=""), "Gap - Missing Art. 9 Basis", IF(OR(I895="Invalid - Not Freely Given", I895="Invalid - Not Specific", I895="Invalid - Not Informed", I895="Invalid - Ambiguous"), "Gap - Invalid Consent", "Compliant")))))</f>
        <v/>
      </c>
      <c r="O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IF(D896="Legitimate Interest (GDPR Art. 6(1)(f))", "Yes / Required (Sheet 3)", "")</f>
        <v/>
      </c>
      <c r="L896" s="7" t="n"/>
      <c r="M896" s="7" t="n"/>
      <c r="N896">
        <f>IF(D896="", "Gap - No Legal Basis", IF(AND(D896="Consent (GDPR Art. 6(1)(a))", I896="Not Captured"), "Gap - Invalid Consent", IF(AND(D896="Legitimate Interest (GDPR Art. 6(1)(f))", L896=""), "Gap - Missing LIA", IF(AND(G896="Yes", H896=""), "Gap - Missing Art. 9 Basis", IF(OR(I896="Invalid - Not Freely Given", I896="Invalid - Not Specific", I896="Invalid - Not Informed", I896="Invalid - Ambiguous"), "Gap - Invalid Consent", "Compliant")))))</f>
        <v/>
      </c>
      <c r="O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IF(D897="Legitimate Interest (GDPR Art. 6(1)(f))", "Yes / Required (Sheet 3)", "")</f>
        <v/>
      </c>
      <c r="L897" s="7" t="n"/>
      <c r="M897" s="7" t="n"/>
      <c r="N897">
        <f>IF(D897="", "Gap - No Legal Basis", IF(AND(D897="Consent (GDPR Art. 6(1)(a))", I897="Not Captured"), "Gap - Invalid Consent", IF(AND(D897="Legitimate Interest (GDPR Art. 6(1)(f))", L897=""), "Gap - Missing LIA", IF(AND(G897="Yes", H897=""), "Gap - Missing Art. 9 Basis", IF(OR(I897="Invalid - Not Freely Given", I897="Invalid - Not Specific", I897="Invalid - Not Informed", I897="Invalid - Ambiguous"), "Gap - Invalid Consent", "Compliant")))))</f>
        <v/>
      </c>
      <c r="O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IF(D898="Legitimate Interest (GDPR Art. 6(1)(f))", "Yes / Required (Sheet 3)", "")</f>
        <v/>
      </c>
      <c r="L898" s="7" t="n"/>
      <c r="M898" s="7" t="n"/>
      <c r="N898">
        <f>IF(D898="", "Gap - No Legal Basis", IF(AND(D898="Consent (GDPR Art. 6(1)(a))", I898="Not Captured"), "Gap - Invalid Consent", IF(AND(D898="Legitimate Interest (GDPR Art. 6(1)(f))", L898=""), "Gap - Missing LIA", IF(AND(G898="Yes", H898=""), "Gap - Missing Art. 9 Basis", IF(OR(I898="Invalid - Not Freely Given", I898="Invalid - Not Specific", I898="Invalid - Not Informed", I898="Invalid - Ambiguous"), "Gap - Invalid Consent", "Compliant")))))</f>
        <v/>
      </c>
      <c r="O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IF(D899="Legitimate Interest (GDPR Art. 6(1)(f))", "Yes / Required (Sheet 3)", "")</f>
        <v/>
      </c>
      <c r="L899" s="7" t="n"/>
      <c r="M899" s="7" t="n"/>
      <c r="N899">
        <f>IF(D899="", "Gap - No Legal Basis", IF(AND(D899="Consent (GDPR Art. 6(1)(a))", I899="Not Captured"), "Gap - Invalid Consent", IF(AND(D899="Legitimate Interest (GDPR Art. 6(1)(f))", L899=""), "Gap - Missing LIA", IF(AND(G899="Yes", H899=""), "Gap - Missing Art. 9 Basis", IF(OR(I899="Invalid - Not Freely Given", I899="Invalid - Not Specific", I899="Invalid - Not Informed", I899="Invalid - Ambiguous"), "Gap - Invalid Consent", "Compliant")))))</f>
        <v/>
      </c>
      <c r="O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IF(D900="Legitimate Interest (GDPR Art. 6(1)(f))", "Yes / Required (Sheet 3)", "")</f>
        <v/>
      </c>
      <c r="L900" s="7" t="n"/>
      <c r="M900" s="7" t="n"/>
      <c r="N900">
        <f>IF(D900="", "Gap - No Legal Basis", IF(AND(D900="Consent (GDPR Art. 6(1)(a))", I900="Not Captured"), "Gap - Invalid Consent", IF(AND(D900="Legitimate Interest (GDPR Art. 6(1)(f))", L900=""), "Gap - Missing LIA", IF(AND(G900="Yes", H900=""), "Gap - Missing Art. 9 Basis", IF(OR(I900="Invalid - Not Freely Given", I900="Invalid - Not Specific", I900="Invalid - Not Informed", I900="Invalid - Ambiguous"), "Gap - Invalid Consent", "Compliant")))))</f>
        <v/>
      </c>
      <c r="O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IF(D901="Legitimate Interest (GDPR Art. 6(1)(f))", "Yes / Required (Sheet 3)", "")</f>
        <v/>
      </c>
      <c r="L901" s="7" t="n"/>
      <c r="M901" s="7" t="n"/>
      <c r="N901">
        <f>IF(D901="", "Gap - No Legal Basis", IF(AND(D901="Consent (GDPR Art. 6(1)(a))", I901="Not Captured"), "Gap - Invalid Consent", IF(AND(D901="Legitimate Interest (GDPR Art. 6(1)(f))", L901=""), "Gap - Missing LIA", IF(AND(G901="Yes", H901=""), "Gap - Missing Art. 9 Basis", IF(OR(I901="Invalid - Not Freely Given", I901="Invalid - Not Specific", I901="Invalid - Not Informed", I901="Invalid - Ambiguous"), "Gap - Invalid Consent", "Compliant")))))</f>
        <v/>
      </c>
      <c r="O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IF(D902="Legitimate Interest (GDPR Art. 6(1)(f))", "Yes / Required (Sheet 3)", "")</f>
        <v/>
      </c>
      <c r="L902" s="7" t="n"/>
      <c r="M902" s="7" t="n"/>
      <c r="N902">
        <f>IF(D902="", "Gap - No Legal Basis", IF(AND(D902="Consent (GDPR Art. 6(1)(a))", I902="Not Captured"), "Gap - Invalid Consent", IF(AND(D902="Legitimate Interest (GDPR Art. 6(1)(f))", L902=""), "Gap - Missing LIA", IF(AND(G902="Yes", H902=""), "Gap - Missing Art. 9 Basis", IF(OR(I902="Invalid - Not Freely Given", I902="Invalid - Not Specific", I902="Invalid - Not Informed", I902="Invalid - Ambiguous"), "Gap - Invalid Consent", "Compliant")))))</f>
        <v/>
      </c>
      <c r="O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IF(D903="Legitimate Interest (GDPR Art. 6(1)(f))", "Yes / Required (Sheet 3)", "")</f>
        <v/>
      </c>
      <c r="L903" s="7" t="n"/>
      <c r="M903" s="7" t="n"/>
      <c r="N903">
        <f>IF(D903="", "Gap - No Legal Basis", IF(AND(D903="Consent (GDPR Art. 6(1)(a))", I903="Not Captured"), "Gap - Invalid Consent", IF(AND(D903="Legitimate Interest (GDPR Art. 6(1)(f))", L903=""), "Gap - Missing LIA", IF(AND(G903="Yes", H903=""), "Gap - Missing Art. 9 Basis", IF(OR(I903="Invalid - Not Freely Given", I903="Invalid - Not Specific", I903="Invalid - Not Informed", I903="Invalid - Ambiguous"), "Gap - Invalid Consent", "Compliant")))))</f>
        <v/>
      </c>
      <c r="O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IF(D904="Legitimate Interest (GDPR Art. 6(1)(f))", "Yes / Required (Sheet 3)", "")</f>
        <v/>
      </c>
      <c r="L904" s="7" t="n"/>
      <c r="M904" s="7" t="n"/>
      <c r="N904">
        <f>IF(D904="", "Gap - No Legal Basis", IF(AND(D904="Consent (GDPR Art. 6(1)(a))", I904="Not Captured"), "Gap - Invalid Consent", IF(AND(D904="Legitimate Interest (GDPR Art. 6(1)(f))", L904=""), "Gap - Missing LIA", IF(AND(G904="Yes", H904=""), "Gap - Missing Art. 9 Basis", IF(OR(I904="Invalid - Not Freely Given", I904="Invalid - Not Specific", I904="Invalid - Not Informed", I904="Invalid - Ambiguous"), "Gap - Invalid Consent", "Compliant")))))</f>
        <v/>
      </c>
      <c r="O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IF(D905="Legitimate Interest (GDPR Art. 6(1)(f))", "Yes / Required (Sheet 3)", "")</f>
        <v/>
      </c>
      <c r="L905" s="7" t="n"/>
      <c r="M905" s="7" t="n"/>
      <c r="N905">
        <f>IF(D905="", "Gap - No Legal Basis", IF(AND(D905="Consent (GDPR Art. 6(1)(a))", I905="Not Captured"), "Gap - Invalid Consent", IF(AND(D905="Legitimate Interest (GDPR Art. 6(1)(f))", L905=""), "Gap - Missing LIA", IF(AND(G905="Yes", H905=""), "Gap - Missing Art. 9 Basis", IF(OR(I905="Invalid - Not Freely Given", I905="Invalid - Not Specific", I905="Invalid - Not Informed", I905="Invalid - Ambiguous"), "Gap - Invalid Consent", "Compliant")))))</f>
        <v/>
      </c>
      <c r="O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IF(D906="Legitimate Interest (GDPR Art. 6(1)(f))", "Yes / Required (Sheet 3)", "")</f>
        <v/>
      </c>
      <c r="L906" s="7" t="n"/>
      <c r="M906" s="7" t="n"/>
      <c r="N906">
        <f>IF(D906="", "Gap - No Legal Basis", IF(AND(D906="Consent (GDPR Art. 6(1)(a))", I906="Not Captured"), "Gap - Invalid Consent", IF(AND(D906="Legitimate Interest (GDPR Art. 6(1)(f))", L906=""), "Gap - Missing LIA", IF(AND(G906="Yes", H906=""), "Gap - Missing Art. 9 Basis", IF(OR(I906="Invalid - Not Freely Given", I906="Invalid - Not Specific", I906="Invalid - Not Informed", I906="Invalid - Ambiguous"), "Gap - Invalid Consent", "Compliant")))))</f>
        <v/>
      </c>
      <c r="O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IF(D907="Legitimate Interest (GDPR Art. 6(1)(f))", "Yes / Required (Sheet 3)", "")</f>
        <v/>
      </c>
      <c r="L907" s="7" t="n"/>
      <c r="M907" s="7" t="n"/>
      <c r="N907">
        <f>IF(D907="", "Gap - No Legal Basis", IF(AND(D907="Consent (GDPR Art. 6(1)(a))", I907="Not Captured"), "Gap - Invalid Consent", IF(AND(D907="Legitimate Interest (GDPR Art. 6(1)(f))", L907=""), "Gap - Missing LIA", IF(AND(G907="Yes", H907=""), "Gap - Missing Art. 9 Basis", IF(OR(I907="Invalid - Not Freely Given", I907="Invalid - Not Specific", I907="Invalid - Not Informed", I907="Invalid - Ambiguous"), "Gap - Invalid Consent", "Compliant")))))</f>
        <v/>
      </c>
      <c r="O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IF(D908="Legitimate Interest (GDPR Art. 6(1)(f))", "Yes / Required (Sheet 3)", "")</f>
        <v/>
      </c>
      <c r="L908" s="7" t="n"/>
      <c r="M908" s="7" t="n"/>
      <c r="N908">
        <f>IF(D908="", "Gap - No Legal Basis", IF(AND(D908="Consent (GDPR Art. 6(1)(a))", I908="Not Captured"), "Gap - Invalid Consent", IF(AND(D908="Legitimate Interest (GDPR Art. 6(1)(f))", L908=""), "Gap - Missing LIA", IF(AND(G908="Yes", H908=""), "Gap - Missing Art. 9 Basis", IF(OR(I908="Invalid - Not Freely Given", I908="Invalid - Not Specific", I908="Invalid - Not Informed", I908="Invalid - Ambiguous"), "Gap - Invalid Consent", "Compliant")))))</f>
        <v/>
      </c>
      <c r="O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IF(D909="Legitimate Interest (GDPR Art. 6(1)(f))", "Yes / Required (Sheet 3)", "")</f>
        <v/>
      </c>
      <c r="L909" s="7" t="n"/>
      <c r="M909" s="7" t="n"/>
      <c r="N909">
        <f>IF(D909="", "Gap - No Legal Basis", IF(AND(D909="Consent (GDPR Art. 6(1)(a))", I909="Not Captured"), "Gap - Invalid Consent", IF(AND(D909="Legitimate Interest (GDPR Art. 6(1)(f))", L909=""), "Gap - Missing LIA", IF(AND(G909="Yes", H909=""), "Gap - Missing Art. 9 Basis", IF(OR(I909="Invalid - Not Freely Given", I909="Invalid - Not Specific", I909="Invalid - Not Informed", I909="Invalid - Ambiguous"), "Gap - Invalid Consent", "Compliant")))))</f>
        <v/>
      </c>
      <c r="O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IF(D910="Legitimate Interest (GDPR Art. 6(1)(f))", "Yes / Required (Sheet 3)", "")</f>
        <v/>
      </c>
      <c r="L910" s="7" t="n"/>
      <c r="M910" s="7" t="n"/>
      <c r="N910">
        <f>IF(D910="", "Gap - No Legal Basis", IF(AND(D910="Consent (GDPR Art. 6(1)(a))", I910="Not Captured"), "Gap - Invalid Consent", IF(AND(D910="Legitimate Interest (GDPR Art. 6(1)(f))", L910=""), "Gap - Missing LIA", IF(AND(G910="Yes", H910=""), "Gap - Missing Art. 9 Basis", IF(OR(I910="Invalid - Not Freely Given", I910="Invalid - Not Specific", I910="Invalid - Not Informed", I910="Invalid - Ambiguous"), "Gap - Invalid Consent", "Compliant")))))</f>
        <v/>
      </c>
      <c r="O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IF(D911="Legitimate Interest (GDPR Art. 6(1)(f))", "Yes / Required (Sheet 3)", "")</f>
        <v/>
      </c>
      <c r="L911" s="7" t="n"/>
      <c r="M911" s="7" t="n"/>
      <c r="N911">
        <f>IF(D911="", "Gap - No Legal Basis", IF(AND(D911="Consent (GDPR Art. 6(1)(a))", I911="Not Captured"), "Gap - Invalid Consent", IF(AND(D911="Legitimate Interest (GDPR Art. 6(1)(f))", L911=""), "Gap - Missing LIA", IF(AND(G911="Yes", H911=""), "Gap - Missing Art. 9 Basis", IF(OR(I911="Invalid - Not Freely Given", I911="Invalid - Not Specific", I911="Invalid - Not Informed", I911="Invalid - Ambiguous"), "Gap - Invalid Consent", "Compliant")))))</f>
        <v/>
      </c>
      <c r="O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IF(D912="Legitimate Interest (GDPR Art. 6(1)(f))", "Yes / Required (Sheet 3)", "")</f>
        <v/>
      </c>
      <c r="L912" s="7" t="n"/>
      <c r="M912" s="7" t="n"/>
      <c r="N912">
        <f>IF(D912="", "Gap - No Legal Basis", IF(AND(D912="Consent (GDPR Art. 6(1)(a))", I912="Not Captured"), "Gap - Invalid Consent", IF(AND(D912="Legitimate Interest (GDPR Art. 6(1)(f))", L912=""), "Gap - Missing LIA", IF(AND(G912="Yes", H912=""), "Gap - Missing Art. 9 Basis", IF(OR(I912="Invalid - Not Freely Given", I912="Invalid - Not Specific", I912="Invalid - Not Informed", I912="Invalid - Ambiguous"), "Gap - Invalid Consent", "Compliant")))))</f>
        <v/>
      </c>
      <c r="O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IF(D913="Legitimate Interest (GDPR Art. 6(1)(f))", "Yes / Required (Sheet 3)", "")</f>
        <v/>
      </c>
      <c r="L913" s="7" t="n"/>
      <c r="M913" s="7" t="n"/>
      <c r="N913">
        <f>IF(D913="", "Gap - No Legal Basis", IF(AND(D913="Consent (GDPR Art. 6(1)(a))", I913="Not Captured"), "Gap - Invalid Consent", IF(AND(D913="Legitimate Interest (GDPR Art. 6(1)(f))", L913=""), "Gap - Missing LIA", IF(AND(G913="Yes", H913=""), "Gap - Missing Art. 9 Basis", IF(OR(I913="Invalid - Not Freely Given", I913="Invalid - Not Specific", I913="Invalid - Not Informed", I913="Invalid - Ambiguous"), "Gap - Invalid Consent", "Compliant")))))</f>
        <v/>
      </c>
      <c r="O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IF(D914="Legitimate Interest (GDPR Art. 6(1)(f))", "Yes / Required (Sheet 3)", "")</f>
        <v/>
      </c>
      <c r="L914" s="7" t="n"/>
      <c r="M914" s="7" t="n"/>
      <c r="N914">
        <f>IF(D914="", "Gap - No Legal Basis", IF(AND(D914="Consent (GDPR Art. 6(1)(a))", I914="Not Captured"), "Gap - Invalid Consent", IF(AND(D914="Legitimate Interest (GDPR Art. 6(1)(f))", L914=""), "Gap - Missing LIA", IF(AND(G914="Yes", H914=""), "Gap - Missing Art. 9 Basis", IF(OR(I914="Invalid - Not Freely Given", I914="Invalid - Not Specific", I914="Invalid - Not Informed", I914="Invalid - Ambiguous"), "Gap - Invalid Consent", "Compliant")))))</f>
        <v/>
      </c>
      <c r="O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IF(D915="Legitimate Interest (GDPR Art. 6(1)(f))", "Yes / Required (Sheet 3)", "")</f>
        <v/>
      </c>
      <c r="L915" s="7" t="n"/>
      <c r="M915" s="7" t="n"/>
      <c r="N915">
        <f>IF(D915="", "Gap - No Legal Basis", IF(AND(D915="Consent (GDPR Art. 6(1)(a))", I915="Not Captured"), "Gap - Invalid Consent", IF(AND(D915="Legitimate Interest (GDPR Art. 6(1)(f))", L915=""), "Gap - Missing LIA", IF(AND(G915="Yes", H915=""), "Gap - Missing Art. 9 Basis", IF(OR(I915="Invalid - Not Freely Given", I915="Invalid - Not Specific", I915="Invalid - Not Informed", I915="Invalid - Ambiguous"), "Gap - Invalid Consent", "Compliant")))))</f>
        <v/>
      </c>
      <c r="O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IF(D916="Legitimate Interest (GDPR Art. 6(1)(f))", "Yes / Required (Sheet 3)", "")</f>
        <v/>
      </c>
      <c r="L916" s="7" t="n"/>
      <c r="M916" s="7" t="n"/>
      <c r="N916">
        <f>IF(D916="", "Gap - No Legal Basis", IF(AND(D916="Consent (GDPR Art. 6(1)(a))", I916="Not Captured"), "Gap - Invalid Consent", IF(AND(D916="Legitimate Interest (GDPR Art. 6(1)(f))", L916=""), "Gap - Missing LIA", IF(AND(G916="Yes", H916=""), "Gap - Missing Art. 9 Basis", IF(OR(I916="Invalid - Not Freely Given", I916="Invalid - Not Specific", I916="Invalid - Not Informed", I916="Invalid - Ambiguous"), "Gap - Invalid Consent", "Compliant")))))</f>
        <v/>
      </c>
      <c r="O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IF(D917="Legitimate Interest (GDPR Art. 6(1)(f))", "Yes / Required (Sheet 3)", "")</f>
        <v/>
      </c>
      <c r="L917" s="7" t="n"/>
      <c r="M917" s="7" t="n"/>
      <c r="N917">
        <f>IF(D917="", "Gap - No Legal Basis", IF(AND(D917="Consent (GDPR Art. 6(1)(a))", I917="Not Captured"), "Gap - Invalid Consent", IF(AND(D917="Legitimate Interest (GDPR Art. 6(1)(f))", L917=""), "Gap - Missing LIA", IF(AND(G917="Yes", H917=""), "Gap - Missing Art. 9 Basis", IF(OR(I917="Invalid - Not Freely Given", I917="Invalid - Not Specific", I917="Invalid - Not Informed", I917="Invalid - Ambiguous"), "Gap - Invalid Consent", "Compliant")))))</f>
        <v/>
      </c>
      <c r="O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IF(D918="Legitimate Interest (GDPR Art. 6(1)(f))", "Yes / Required (Sheet 3)", "")</f>
        <v/>
      </c>
      <c r="L918" s="7" t="n"/>
      <c r="M918" s="7" t="n"/>
      <c r="N918">
        <f>IF(D918="", "Gap - No Legal Basis", IF(AND(D918="Consent (GDPR Art. 6(1)(a))", I918="Not Captured"), "Gap - Invalid Consent", IF(AND(D918="Legitimate Interest (GDPR Art. 6(1)(f))", L918=""), "Gap - Missing LIA", IF(AND(G918="Yes", H918=""), "Gap - Missing Art. 9 Basis", IF(OR(I918="Invalid - Not Freely Given", I918="Invalid - Not Specific", I918="Invalid - Not Informed", I918="Invalid - Ambiguous"), "Gap - Invalid Consent", "Compliant")))))</f>
        <v/>
      </c>
      <c r="O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IF(D919="Legitimate Interest (GDPR Art. 6(1)(f))", "Yes / Required (Sheet 3)", "")</f>
        <v/>
      </c>
      <c r="L919" s="7" t="n"/>
      <c r="M919" s="7" t="n"/>
      <c r="N919">
        <f>IF(D919="", "Gap - No Legal Basis", IF(AND(D919="Consent (GDPR Art. 6(1)(a))", I919="Not Captured"), "Gap - Invalid Consent", IF(AND(D919="Legitimate Interest (GDPR Art. 6(1)(f))", L919=""), "Gap - Missing LIA", IF(AND(G919="Yes", H919=""), "Gap - Missing Art. 9 Basis", IF(OR(I919="Invalid - Not Freely Given", I919="Invalid - Not Specific", I919="Invalid - Not Informed", I919="Invalid - Ambiguous"), "Gap - Invalid Consent", "Compliant")))))</f>
        <v/>
      </c>
      <c r="O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IF(D920="Legitimate Interest (GDPR Art. 6(1)(f))", "Yes / Required (Sheet 3)", "")</f>
        <v/>
      </c>
      <c r="L920" s="7" t="n"/>
      <c r="M920" s="7" t="n"/>
      <c r="N920">
        <f>IF(D920="", "Gap - No Legal Basis", IF(AND(D920="Consent (GDPR Art. 6(1)(a))", I920="Not Captured"), "Gap - Invalid Consent", IF(AND(D920="Legitimate Interest (GDPR Art. 6(1)(f))", L920=""), "Gap - Missing LIA", IF(AND(G920="Yes", H920=""), "Gap - Missing Art. 9 Basis", IF(OR(I920="Invalid - Not Freely Given", I920="Invalid - Not Specific", I920="Invalid - Not Informed", I920="Invalid - Ambiguous"), "Gap - Invalid Consent", "Compliant")))))</f>
        <v/>
      </c>
      <c r="O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IF(D921="Legitimate Interest (GDPR Art. 6(1)(f))", "Yes / Required (Sheet 3)", "")</f>
        <v/>
      </c>
      <c r="L921" s="7" t="n"/>
      <c r="M921" s="7" t="n"/>
      <c r="N921">
        <f>IF(D921="", "Gap - No Legal Basis", IF(AND(D921="Consent (GDPR Art. 6(1)(a))", I921="Not Captured"), "Gap - Invalid Consent", IF(AND(D921="Legitimate Interest (GDPR Art. 6(1)(f))", L921=""), "Gap - Missing LIA", IF(AND(G921="Yes", H921=""), "Gap - Missing Art. 9 Basis", IF(OR(I921="Invalid - Not Freely Given", I921="Invalid - Not Specific", I921="Invalid - Not Informed", I921="Invalid - Ambiguous"), "Gap - Invalid Consent", "Compliant")))))</f>
        <v/>
      </c>
      <c r="O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IF(D922="Legitimate Interest (GDPR Art. 6(1)(f))", "Yes / Required (Sheet 3)", "")</f>
        <v/>
      </c>
      <c r="L922" s="7" t="n"/>
      <c r="M922" s="7" t="n"/>
      <c r="N922">
        <f>IF(D922="", "Gap - No Legal Basis", IF(AND(D922="Consent (GDPR Art. 6(1)(a))", I922="Not Captured"), "Gap - Invalid Consent", IF(AND(D922="Legitimate Interest (GDPR Art. 6(1)(f))", L922=""), "Gap - Missing LIA", IF(AND(G922="Yes", H922=""), "Gap - Missing Art. 9 Basis", IF(OR(I922="Invalid - Not Freely Given", I922="Invalid - Not Specific", I922="Invalid - Not Informed", I922="Invalid - Ambiguous"), "Gap - Invalid Consent", "Compliant")))))</f>
        <v/>
      </c>
      <c r="O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IF(D923="Legitimate Interest (GDPR Art. 6(1)(f))", "Yes / Required (Sheet 3)", "")</f>
        <v/>
      </c>
      <c r="L923" s="7" t="n"/>
      <c r="M923" s="7" t="n"/>
      <c r="N923">
        <f>IF(D923="", "Gap - No Legal Basis", IF(AND(D923="Consent (GDPR Art. 6(1)(a))", I923="Not Captured"), "Gap - Invalid Consent", IF(AND(D923="Legitimate Interest (GDPR Art. 6(1)(f))", L923=""), "Gap - Missing LIA", IF(AND(G923="Yes", H923=""), "Gap - Missing Art. 9 Basis", IF(OR(I923="Invalid - Not Freely Given", I923="Invalid - Not Specific", I923="Invalid - Not Informed", I923="Invalid - Ambiguous"), "Gap - Invalid Consent", "Compliant")))))</f>
        <v/>
      </c>
      <c r="O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IF(D924="Legitimate Interest (GDPR Art. 6(1)(f))", "Yes / Required (Sheet 3)", "")</f>
        <v/>
      </c>
      <c r="L924" s="7" t="n"/>
      <c r="M924" s="7" t="n"/>
      <c r="N924">
        <f>IF(D924="", "Gap - No Legal Basis", IF(AND(D924="Consent (GDPR Art. 6(1)(a))", I924="Not Captured"), "Gap - Invalid Consent", IF(AND(D924="Legitimate Interest (GDPR Art. 6(1)(f))", L924=""), "Gap - Missing LIA", IF(AND(G924="Yes", H924=""), "Gap - Missing Art. 9 Basis", IF(OR(I924="Invalid - Not Freely Given", I924="Invalid - Not Specific", I924="Invalid - Not Informed", I924="Invalid - Ambiguous"), "Gap - Invalid Consent", "Compliant")))))</f>
        <v/>
      </c>
      <c r="O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IF(D925="Legitimate Interest (GDPR Art. 6(1)(f))", "Yes / Required (Sheet 3)", "")</f>
        <v/>
      </c>
      <c r="L925" s="7" t="n"/>
      <c r="M925" s="7" t="n"/>
      <c r="N925">
        <f>IF(D925="", "Gap - No Legal Basis", IF(AND(D925="Consent (GDPR Art. 6(1)(a))", I925="Not Captured"), "Gap - Invalid Consent", IF(AND(D925="Legitimate Interest (GDPR Art. 6(1)(f))", L925=""), "Gap - Missing LIA", IF(AND(G925="Yes", H925=""), "Gap - Missing Art. 9 Basis", IF(OR(I925="Invalid - Not Freely Given", I925="Invalid - Not Specific", I925="Invalid - Not Informed", I925="Invalid - Ambiguous"), "Gap - Invalid Consent", "Compliant")))))</f>
        <v/>
      </c>
      <c r="O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IF(D926="Legitimate Interest (GDPR Art. 6(1)(f))", "Yes / Required (Sheet 3)", "")</f>
        <v/>
      </c>
      <c r="L926" s="7" t="n"/>
      <c r="M926" s="7" t="n"/>
      <c r="N926">
        <f>IF(D926="", "Gap - No Legal Basis", IF(AND(D926="Consent (GDPR Art. 6(1)(a))", I926="Not Captured"), "Gap - Invalid Consent", IF(AND(D926="Legitimate Interest (GDPR Art. 6(1)(f))", L926=""), "Gap - Missing LIA", IF(AND(G926="Yes", H926=""), "Gap - Missing Art. 9 Basis", IF(OR(I926="Invalid - Not Freely Given", I926="Invalid - Not Specific", I926="Invalid - Not Informed", I926="Invalid - Ambiguous"), "Gap - Invalid Consent", "Compliant")))))</f>
        <v/>
      </c>
      <c r="O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IF(D927="Legitimate Interest (GDPR Art. 6(1)(f))", "Yes / Required (Sheet 3)", "")</f>
        <v/>
      </c>
      <c r="L927" s="7" t="n"/>
      <c r="M927" s="7" t="n"/>
      <c r="N927">
        <f>IF(D927="", "Gap - No Legal Basis", IF(AND(D927="Consent (GDPR Art. 6(1)(a))", I927="Not Captured"), "Gap - Invalid Consent", IF(AND(D927="Legitimate Interest (GDPR Art. 6(1)(f))", L927=""), "Gap - Missing LIA", IF(AND(G927="Yes", H927=""), "Gap - Missing Art. 9 Basis", IF(OR(I927="Invalid - Not Freely Given", I927="Invalid - Not Specific", I927="Invalid - Not Informed", I927="Invalid - Ambiguous"), "Gap - Invalid Consent", "Compliant")))))</f>
        <v/>
      </c>
      <c r="O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IF(D928="Legitimate Interest (GDPR Art. 6(1)(f))", "Yes / Required (Sheet 3)", "")</f>
        <v/>
      </c>
      <c r="L928" s="7" t="n"/>
      <c r="M928" s="7" t="n"/>
      <c r="N928">
        <f>IF(D928="", "Gap - No Legal Basis", IF(AND(D928="Consent (GDPR Art. 6(1)(a))", I928="Not Captured"), "Gap - Invalid Consent", IF(AND(D928="Legitimate Interest (GDPR Art. 6(1)(f))", L928=""), "Gap - Missing LIA", IF(AND(G928="Yes", H928=""), "Gap - Missing Art. 9 Basis", IF(OR(I928="Invalid - Not Freely Given", I928="Invalid - Not Specific", I928="Invalid - Not Informed", I928="Invalid - Ambiguous"), "Gap - Invalid Consent", "Compliant")))))</f>
        <v/>
      </c>
      <c r="O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IF(D929="Legitimate Interest (GDPR Art. 6(1)(f))", "Yes / Required (Sheet 3)", "")</f>
        <v/>
      </c>
      <c r="L929" s="7" t="n"/>
      <c r="M929" s="7" t="n"/>
      <c r="N929">
        <f>IF(D929="", "Gap - No Legal Basis", IF(AND(D929="Consent (GDPR Art. 6(1)(a))", I929="Not Captured"), "Gap - Invalid Consent", IF(AND(D929="Legitimate Interest (GDPR Art. 6(1)(f))", L929=""), "Gap - Missing LIA", IF(AND(G929="Yes", H929=""), "Gap - Missing Art. 9 Basis", IF(OR(I929="Invalid - Not Freely Given", I929="Invalid - Not Specific", I929="Invalid - Not Informed", I929="Invalid - Ambiguous"), "Gap - Invalid Consent", "Compliant")))))</f>
        <v/>
      </c>
      <c r="O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IF(D930="Legitimate Interest (GDPR Art. 6(1)(f))", "Yes / Required (Sheet 3)", "")</f>
        <v/>
      </c>
      <c r="L930" s="7" t="n"/>
      <c r="M930" s="7" t="n"/>
      <c r="N930">
        <f>IF(D930="", "Gap - No Legal Basis", IF(AND(D930="Consent (GDPR Art. 6(1)(a))", I930="Not Captured"), "Gap - Invalid Consent", IF(AND(D930="Legitimate Interest (GDPR Art. 6(1)(f))", L930=""), "Gap - Missing LIA", IF(AND(G930="Yes", H930=""), "Gap - Missing Art. 9 Basis", IF(OR(I930="Invalid - Not Freely Given", I930="Invalid - Not Specific", I930="Invalid - Not Informed", I930="Invalid - Ambiguous"), "Gap - Invalid Consent", "Compliant")))))</f>
        <v/>
      </c>
      <c r="O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IF(D931="Legitimate Interest (GDPR Art. 6(1)(f))", "Yes / Required (Sheet 3)", "")</f>
        <v/>
      </c>
      <c r="L931" s="7" t="n"/>
      <c r="M931" s="7" t="n"/>
      <c r="N931">
        <f>IF(D931="", "Gap - No Legal Basis", IF(AND(D931="Consent (GDPR Art. 6(1)(a))", I931="Not Captured"), "Gap - Invalid Consent", IF(AND(D931="Legitimate Interest (GDPR Art. 6(1)(f))", L931=""), "Gap - Missing LIA", IF(AND(G931="Yes", H931=""), "Gap - Missing Art. 9 Basis", IF(OR(I931="Invalid - Not Freely Given", I931="Invalid - Not Specific", I931="Invalid - Not Informed", I931="Invalid - Ambiguous"), "Gap - Invalid Consent", "Compliant")))))</f>
        <v/>
      </c>
      <c r="O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IF(D932="Legitimate Interest (GDPR Art. 6(1)(f))", "Yes / Required (Sheet 3)", "")</f>
        <v/>
      </c>
      <c r="L932" s="7" t="n"/>
      <c r="M932" s="7" t="n"/>
      <c r="N932">
        <f>IF(D932="", "Gap - No Legal Basis", IF(AND(D932="Consent (GDPR Art. 6(1)(a))", I932="Not Captured"), "Gap - Invalid Consent", IF(AND(D932="Legitimate Interest (GDPR Art. 6(1)(f))", L932=""), "Gap - Missing LIA", IF(AND(G932="Yes", H932=""), "Gap - Missing Art. 9 Basis", IF(OR(I932="Invalid - Not Freely Given", I932="Invalid - Not Specific", I932="Invalid - Not Informed", I932="Invalid - Ambiguous"), "Gap - Invalid Consent", "Compliant")))))</f>
        <v/>
      </c>
      <c r="O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IF(D933="Legitimate Interest (GDPR Art. 6(1)(f))", "Yes / Required (Sheet 3)", "")</f>
        <v/>
      </c>
      <c r="L933" s="7" t="n"/>
      <c r="M933" s="7" t="n"/>
      <c r="N933">
        <f>IF(D933="", "Gap - No Legal Basis", IF(AND(D933="Consent (GDPR Art. 6(1)(a))", I933="Not Captured"), "Gap - Invalid Consent", IF(AND(D933="Legitimate Interest (GDPR Art. 6(1)(f))", L933=""), "Gap - Missing LIA", IF(AND(G933="Yes", H933=""), "Gap - Missing Art. 9 Basis", IF(OR(I933="Invalid - Not Freely Given", I933="Invalid - Not Specific", I933="Invalid - Not Informed", I933="Invalid - Ambiguous"), "Gap - Invalid Consent", "Compliant")))))</f>
        <v/>
      </c>
      <c r="O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IF(D934="Legitimate Interest (GDPR Art. 6(1)(f))", "Yes / Required (Sheet 3)", "")</f>
        <v/>
      </c>
      <c r="L934" s="7" t="n"/>
      <c r="M934" s="7" t="n"/>
      <c r="N934">
        <f>IF(D934="", "Gap - No Legal Basis", IF(AND(D934="Consent (GDPR Art. 6(1)(a))", I934="Not Captured"), "Gap - Invalid Consent", IF(AND(D934="Legitimate Interest (GDPR Art. 6(1)(f))", L934=""), "Gap - Missing LIA", IF(AND(G934="Yes", H934=""), "Gap - Missing Art. 9 Basis", IF(OR(I934="Invalid - Not Freely Given", I934="Invalid - Not Specific", I934="Invalid - Not Informed", I934="Invalid - Ambiguous"), "Gap - Invalid Consent", "Compliant")))))</f>
        <v/>
      </c>
      <c r="O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IF(D935="Legitimate Interest (GDPR Art. 6(1)(f))", "Yes / Required (Sheet 3)", "")</f>
        <v/>
      </c>
      <c r="L935" s="7" t="n"/>
      <c r="M935" s="7" t="n"/>
      <c r="N935">
        <f>IF(D935="", "Gap - No Legal Basis", IF(AND(D935="Consent (GDPR Art. 6(1)(a))", I935="Not Captured"), "Gap - Invalid Consent", IF(AND(D935="Legitimate Interest (GDPR Art. 6(1)(f))", L935=""), "Gap - Missing LIA", IF(AND(G935="Yes", H935=""), "Gap - Missing Art. 9 Basis", IF(OR(I935="Invalid - Not Freely Given", I935="Invalid - Not Specific", I935="Invalid - Not Informed", I935="Invalid - Ambiguous"), "Gap - Invalid Consent", "Compliant")))))</f>
        <v/>
      </c>
      <c r="O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IF(D936="Legitimate Interest (GDPR Art. 6(1)(f))", "Yes / Required (Sheet 3)", "")</f>
        <v/>
      </c>
      <c r="L936" s="7" t="n"/>
      <c r="M936" s="7" t="n"/>
      <c r="N936">
        <f>IF(D936="", "Gap - No Legal Basis", IF(AND(D936="Consent (GDPR Art. 6(1)(a))", I936="Not Captured"), "Gap - Invalid Consent", IF(AND(D936="Legitimate Interest (GDPR Art. 6(1)(f))", L936=""), "Gap - Missing LIA", IF(AND(G936="Yes", H936=""), "Gap - Missing Art. 9 Basis", IF(OR(I936="Invalid - Not Freely Given", I936="Invalid - Not Specific", I936="Invalid - Not Informed", I936="Invalid - Ambiguous"), "Gap - Invalid Consent", "Compliant")))))</f>
        <v/>
      </c>
      <c r="O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IF(D937="Legitimate Interest (GDPR Art. 6(1)(f))", "Yes / Required (Sheet 3)", "")</f>
        <v/>
      </c>
      <c r="L937" s="7" t="n"/>
      <c r="M937" s="7" t="n"/>
      <c r="N937">
        <f>IF(D937="", "Gap - No Legal Basis", IF(AND(D937="Consent (GDPR Art. 6(1)(a))", I937="Not Captured"), "Gap - Invalid Consent", IF(AND(D937="Legitimate Interest (GDPR Art. 6(1)(f))", L937=""), "Gap - Missing LIA", IF(AND(G937="Yes", H937=""), "Gap - Missing Art. 9 Basis", IF(OR(I937="Invalid - Not Freely Given", I937="Invalid - Not Specific", I937="Invalid - Not Informed", I937="Invalid - Ambiguous"), "Gap - Invalid Consent", "Compliant")))))</f>
        <v/>
      </c>
      <c r="O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IF(D938="Legitimate Interest (GDPR Art. 6(1)(f))", "Yes / Required (Sheet 3)", "")</f>
        <v/>
      </c>
      <c r="L938" s="7" t="n"/>
      <c r="M938" s="7" t="n"/>
      <c r="N938">
        <f>IF(D938="", "Gap - No Legal Basis", IF(AND(D938="Consent (GDPR Art. 6(1)(a))", I938="Not Captured"), "Gap - Invalid Consent", IF(AND(D938="Legitimate Interest (GDPR Art. 6(1)(f))", L938=""), "Gap - Missing LIA", IF(AND(G938="Yes", H938=""), "Gap - Missing Art. 9 Basis", IF(OR(I938="Invalid - Not Freely Given", I938="Invalid - Not Specific", I938="Invalid - Not Informed", I938="Invalid - Ambiguous"), "Gap - Invalid Consent", "Compliant")))))</f>
        <v/>
      </c>
      <c r="O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IF(D939="Legitimate Interest (GDPR Art. 6(1)(f))", "Yes / Required (Sheet 3)", "")</f>
        <v/>
      </c>
      <c r="L939" s="7" t="n"/>
      <c r="M939" s="7" t="n"/>
      <c r="N939">
        <f>IF(D939="", "Gap - No Legal Basis", IF(AND(D939="Consent (GDPR Art. 6(1)(a))", I939="Not Captured"), "Gap - Invalid Consent", IF(AND(D939="Legitimate Interest (GDPR Art. 6(1)(f))", L939=""), "Gap - Missing LIA", IF(AND(G939="Yes", H939=""), "Gap - Missing Art. 9 Basis", IF(OR(I939="Invalid - Not Freely Given", I939="Invalid - Not Specific", I939="Invalid - Not Informed", I939="Invalid - Ambiguous"), "Gap - Invalid Consent", "Compliant")))))</f>
        <v/>
      </c>
      <c r="O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IF(D940="Legitimate Interest (GDPR Art. 6(1)(f))", "Yes / Required (Sheet 3)", "")</f>
        <v/>
      </c>
      <c r="L940" s="7" t="n"/>
      <c r="M940" s="7" t="n"/>
      <c r="N940">
        <f>IF(D940="", "Gap - No Legal Basis", IF(AND(D940="Consent (GDPR Art. 6(1)(a))", I940="Not Captured"), "Gap - Invalid Consent", IF(AND(D940="Legitimate Interest (GDPR Art. 6(1)(f))", L940=""), "Gap - Missing LIA", IF(AND(G940="Yes", H940=""), "Gap - Missing Art. 9 Basis", IF(OR(I940="Invalid - Not Freely Given", I940="Invalid - Not Specific", I940="Invalid - Not Informed", I940="Invalid - Ambiguous"), "Gap - Invalid Consent", "Compliant")))))</f>
        <v/>
      </c>
      <c r="O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IF(D941="Legitimate Interest (GDPR Art. 6(1)(f))", "Yes / Required (Sheet 3)", "")</f>
        <v/>
      </c>
      <c r="L941" s="7" t="n"/>
      <c r="M941" s="7" t="n"/>
      <c r="N941">
        <f>IF(D941="", "Gap - No Legal Basis", IF(AND(D941="Consent (GDPR Art. 6(1)(a))", I941="Not Captured"), "Gap - Invalid Consent", IF(AND(D941="Legitimate Interest (GDPR Art. 6(1)(f))", L941=""), "Gap - Missing LIA", IF(AND(G941="Yes", H941=""), "Gap - Missing Art. 9 Basis", IF(OR(I941="Invalid - Not Freely Given", I941="Invalid - Not Specific", I941="Invalid - Not Informed", I941="Invalid - Ambiguous"), "Gap - Invalid Consent", "Compliant")))))</f>
        <v/>
      </c>
      <c r="O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IF(D942="Legitimate Interest (GDPR Art. 6(1)(f))", "Yes / Required (Sheet 3)", "")</f>
        <v/>
      </c>
      <c r="L942" s="7" t="n"/>
      <c r="M942" s="7" t="n"/>
      <c r="N942">
        <f>IF(D942="", "Gap - No Legal Basis", IF(AND(D942="Consent (GDPR Art. 6(1)(a))", I942="Not Captured"), "Gap - Invalid Consent", IF(AND(D942="Legitimate Interest (GDPR Art. 6(1)(f))", L942=""), "Gap - Missing LIA", IF(AND(G942="Yes", H942=""), "Gap - Missing Art. 9 Basis", IF(OR(I942="Invalid - Not Freely Given", I942="Invalid - Not Specific", I942="Invalid - Not Informed", I942="Invalid - Ambiguous"), "Gap - Invalid Consent", "Compliant")))))</f>
        <v/>
      </c>
      <c r="O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IF(D943="Legitimate Interest (GDPR Art. 6(1)(f))", "Yes / Required (Sheet 3)", "")</f>
        <v/>
      </c>
      <c r="L943" s="7" t="n"/>
      <c r="M943" s="7" t="n"/>
      <c r="N943">
        <f>IF(D943="", "Gap - No Legal Basis", IF(AND(D943="Consent (GDPR Art. 6(1)(a))", I943="Not Captured"), "Gap - Invalid Consent", IF(AND(D943="Legitimate Interest (GDPR Art. 6(1)(f))", L943=""), "Gap - Missing LIA", IF(AND(G943="Yes", H943=""), "Gap - Missing Art. 9 Basis", IF(OR(I943="Invalid - Not Freely Given", I943="Invalid - Not Specific", I943="Invalid - Not Informed", I943="Invalid - Ambiguous"), "Gap - Invalid Consent", "Compliant")))))</f>
        <v/>
      </c>
      <c r="O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IF(D944="Legitimate Interest (GDPR Art. 6(1)(f))", "Yes / Required (Sheet 3)", "")</f>
        <v/>
      </c>
      <c r="L944" s="7" t="n"/>
      <c r="M944" s="7" t="n"/>
      <c r="N944">
        <f>IF(D944="", "Gap - No Legal Basis", IF(AND(D944="Consent (GDPR Art. 6(1)(a))", I944="Not Captured"), "Gap - Invalid Consent", IF(AND(D944="Legitimate Interest (GDPR Art. 6(1)(f))", L944=""), "Gap - Missing LIA", IF(AND(G944="Yes", H944=""), "Gap - Missing Art. 9 Basis", IF(OR(I944="Invalid - Not Freely Given", I944="Invalid - Not Specific", I944="Invalid - Not Informed", I944="Invalid - Ambiguous"), "Gap - Invalid Consent", "Compliant")))))</f>
        <v/>
      </c>
      <c r="O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IF(D945="Legitimate Interest (GDPR Art. 6(1)(f))", "Yes / Required (Sheet 3)", "")</f>
        <v/>
      </c>
      <c r="L945" s="7" t="n"/>
      <c r="M945" s="7" t="n"/>
      <c r="N945">
        <f>IF(D945="", "Gap - No Legal Basis", IF(AND(D945="Consent (GDPR Art. 6(1)(a))", I945="Not Captured"), "Gap - Invalid Consent", IF(AND(D945="Legitimate Interest (GDPR Art. 6(1)(f))", L945=""), "Gap - Missing LIA", IF(AND(G945="Yes", H945=""), "Gap - Missing Art. 9 Basis", IF(OR(I945="Invalid - Not Freely Given", I945="Invalid - Not Specific", I945="Invalid - Not Informed", I945="Invalid - Ambiguous"), "Gap - Invalid Consent", "Compliant")))))</f>
        <v/>
      </c>
      <c r="O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IF(D946="Legitimate Interest (GDPR Art. 6(1)(f))", "Yes / Required (Sheet 3)", "")</f>
        <v/>
      </c>
      <c r="L946" s="7" t="n"/>
      <c r="M946" s="7" t="n"/>
      <c r="N946">
        <f>IF(D946="", "Gap - No Legal Basis", IF(AND(D946="Consent (GDPR Art. 6(1)(a))", I946="Not Captured"), "Gap - Invalid Consent", IF(AND(D946="Legitimate Interest (GDPR Art. 6(1)(f))", L946=""), "Gap - Missing LIA", IF(AND(G946="Yes", H946=""), "Gap - Missing Art. 9 Basis", IF(OR(I946="Invalid - Not Freely Given", I946="Invalid - Not Specific", I946="Invalid - Not Informed", I946="Invalid - Ambiguous"), "Gap - Invalid Consent", "Compliant")))))</f>
        <v/>
      </c>
      <c r="O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IF(D947="Legitimate Interest (GDPR Art. 6(1)(f))", "Yes / Required (Sheet 3)", "")</f>
        <v/>
      </c>
      <c r="L947" s="7" t="n"/>
      <c r="M947" s="7" t="n"/>
      <c r="N947">
        <f>IF(D947="", "Gap - No Legal Basis", IF(AND(D947="Consent (GDPR Art. 6(1)(a))", I947="Not Captured"), "Gap - Invalid Consent", IF(AND(D947="Legitimate Interest (GDPR Art. 6(1)(f))", L947=""), "Gap - Missing LIA", IF(AND(G947="Yes", H947=""), "Gap - Missing Art. 9 Basis", IF(OR(I947="Invalid - Not Freely Given", I947="Invalid - Not Specific", I947="Invalid - Not Informed", I947="Invalid - Ambiguous"), "Gap - Invalid Consent", "Compliant")))))</f>
        <v/>
      </c>
      <c r="O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IF(D948="Legitimate Interest (GDPR Art. 6(1)(f))", "Yes / Required (Sheet 3)", "")</f>
        <v/>
      </c>
      <c r="L948" s="7" t="n"/>
      <c r="M948" s="7" t="n"/>
      <c r="N948">
        <f>IF(D948="", "Gap - No Legal Basis", IF(AND(D948="Consent (GDPR Art. 6(1)(a))", I948="Not Captured"), "Gap - Invalid Consent", IF(AND(D948="Legitimate Interest (GDPR Art. 6(1)(f))", L948=""), "Gap - Missing LIA", IF(AND(G948="Yes", H948=""), "Gap - Missing Art. 9 Basis", IF(OR(I948="Invalid - Not Freely Given", I948="Invalid - Not Specific", I948="Invalid - Not Informed", I948="Invalid - Ambiguous"), "Gap - Invalid Consent", "Compliant")))))</f>
        <v/>
      </c>
      <c r="O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IF(D949="Legitimate Interest (GDPR Art. 6(1)(f))", "Yes / Required (Sheet 3)", "")</f>
        <v/>
      </c>
      <c r="L949" s="7" t="n"/>
      <c r="M949" s="7" t="n"/>
      <c r="N949">
        <f>IF(D949="", "Gap - No Legal Basis", IF(AND(D949="Consent (GDPR Art. 6(1)(a))", I949="Not Captured"), "Gap - Invalid Consent", IF(AND(D949="Legitimate Interest (GDPR Art. 6(1)(f))", L949=""), "Gap - Missing LIA", IF(AND(G949="Yes", H949=""), "Gap - Missing Art. 9 Basis", IF(OR(I949="Invalid - Not Freely Given", I949="Invalid - Not Specific", I949="Invalid - Not Informed", I949="Invalid - Ambiguous"), "Gap - Invalid Consent", "Compliant")))))</f>
        <v/>
      </c>
      <c r="O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IF(D950="Legitimate Interest (GDPR Art. 6(1)(f))", "Yes / Required (Sheet 3)", "")</f>
        <v/>
      </c>
      <c r="L950" s="7" t="n"/>
      <c r="M950" s="7" t="n"/>
      <c r="N950">
        <f>IF(D950="", "Gap - No Legal Basis", IF(AND(D950="Consent (GDPR Art. 6(1)(a))", I950="Not Captured"), "Gap - Invalid Consent", IF(AND(D950="Legitimate Interest (GDPR Art. 6(1)(f))", L950=""), "Gap - Missing LIA", IF(AND(G950="Yes", H950=""), "Gap - Missing Art. 9 Basis", IF(OR(I950="Invalid - Not Freely Given", I950="Invalid - Not Specific", I950="Invalid - Not Informed", I950="Invalid - Ambiguous"), "Gap - Invalid Consent", "Compliant")))))</f>
        <v/>
      </c>
      <c r="O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IF(D951="Legitimate Interest (GDPR Art. 6(1)(f))", "Yes / Required (Sheet 3)", "")</f>
        <v/>
      </c>
      <c r="L951" s="7" t="n"/>
      <c r="M951" s="7" t="n"/>
      <c r="N951">
        <f>IF(D951="", "Gap - No Legal Basis", IF(AND(D951="Consent (GDPR Art. 6(1)(a))", I951="Not Captured"), "Gap - Invalid Consent", IF(AND(D951="Legitimate Interest (GDPR Art. 6(1)(f))", L951=""), "Gap - Missing LIA", IF(AND(G951="Yes", H951=""), "Gap - Missing Art. 9 Basis", IF(OR(I951="Invalid - Not Freely Given", I951="Invalid - Not Specific", I951="Invalid - Not Informed", I951="Invalid - Ambiguous"), "Gap - Invalid Consent", "Compliant")))))</f>
        <v/>
      </c>
      <c r="O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IF(D952="Legitimate Interest (GDPR Art. 6(1)(f))", "Yes / Required (Sheet 3)", "")</f>
        <v/>
      </c>
      <c r="L952" s="7" t="n"/>
      <c r="M952" s="7" t="n"/>
      <c r="N952">
        <f>IF(D952="", "Gap - No Legal Basis", IF(AND(D952="Consent (GDPR Art. 6(1)(a))", I952="Not Captured"), "Gap - Invalid Consent", IF(AND(D952="Legitimate Interest (GDPR Art. 6(1)(f))", L952=""), "Gap - Missing LIA", IF(AND(G952="Yes", H952=""), "Gap - Missing Art. 9 Basis", IF(OR(I952="Invalid - Not Freely Given", I952="Invalid - Not Specific", I952="Invalid - Not Informed", I952="Invalid - Ambiguous"), "Gap - Invalid Consent", "Compliant")))))</f>
        <v/>
      </c>
      <c r="O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IF(D953="Legitimate Interest (GDPR Art. 6(1)(f))", "Yes / Required (Sheet 3)", "")</f>
        <v/>
      </c>
      <c r="L953" s="7" t="n"/>
      <c r="M953" s="7" t="n"/>
      <c r="N953">
        <f>IF(D953="", "Gap - No Legal Basis", IF(AND(D953="Consent (GDPR Art. 6(1)(a))", I953="Not Captured"), "Gap - Invalid Consent", IF(AND(D953="Legitimate Interest (GDPR Art. 6(1)(f))", L953=""), "Gap - Missing LIA", IF(AND(G953="Yes", H953=""), "Gap - Missing Art. 9 Basis", IF(OR(I953="Invalid - Not Freely Given", I953="Invalid - Not Specific", I953="Invalid - Not Informed", I953="Invalid - Ambiguous"), "Gap - Invalid Consent", "Compliant")))))</f>
        <v/>
      </c>
      <c r="O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IF(D954="Legitimate Interest (GDPR Art. 6(1)(f))", "Yes / Required (Sheet 3)", "")</f>
        <v/>
      </c>
      <c r="L954" s="7" t="n"/>
      <c r="M954" s="7" t="n"/>
      <c r="N954">
        <f>IF(D954="", "Gap - No Legal Basis", IF(AND(D954="Consent (GDPR Art. 6(1)(a))", I954="Not Captured"), "Gap - Invalid Consent", IF(AND(D954="Legitimate Interest (GDPR Art. 6(1)(f))", L954=""), "Gap - Missing LIA", IF(AND(G954="Yes", H954=""), "Gap - Missing Art. 9 Basis", IF(OR(I954="Invalid - Not Freely Given", I954="Invalid - Not Specific", I954="Invalid - Not Informed", I954="Invalid - Ambiguous"), "Gap - Invalid Consent", "Compliant")))))</f>
        <v/>
      </c>
      <c r="O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IF(D955="Legitimate Interest (GDPR Art. 6(1)(f))", "Yes / Required (Sheet 3)", "")</f>
        <v/>
      </c>
      <c r="L955" s="7" t="n"/>
      <c r="M955" s="7" t="n"/>
      <c r="N955">
        <f>IF(D955="", "Gap - No Legal Basis", IF(AND(D955="Consent (GDPR Art. 6(1)(a))", I955="Not Captured"), "Gap - Invalid Consent", IF(AND(D955="Legitimate Interest (GDPR Art. 6(1)(f))", L955=""), "Gap - Missing LIA", IF(AND(G955="Yes", H955=""), "Gap - Missing Art. 9 Basis", IF(OR(I955="Invalid - Not Freely Given", I955="Invalid - Not Specific", I955="Invalid - Not Informed", I955="Invalid - Ambiguous"), "Gap - Invalid Consent", "Compliant")))))</f>
        <v/>
      </c>
      <c r="O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IF(D956="Legitimate Interest (GDPR Art. 6(1)(f))", "Yes / Required (Sheet 3)", "")</f>
        <v/>
      </c>
      <c r="L956" s="7" t="n"/>
      <c r="M956" s="7" t="n"/>
      <c r="N956">
        <f>IF(D956="", "Gap - No Legal Basis", IF(AND(D956="Consent (GDPR Art. 6(1)(a))", I956="Not Captured"), "Gap - Invalid Consent", IF(AND(D956="Legitimate Interest (GDPR Art. 6(1)(f))", L956=""), "Gap - Missing LIA", IF(AND(G956="Yes", H956=""), "Gap - Missing Art. 9 Basis", IF(OR(I956="Invalid - Not Freely Given", I956="Invalid - Not Specific", I956="Invalid - Not Informed", I956="Invalid - Ambiguous"), "Gap - Invalid Consent", "Compliant")))))</f>
        <v/>
      </c>
      <c r="O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IF(D957="Legitimate Interest (GDPR Art. 6(1)(f))", "Yes / Required (Sheet 3)", "")</f>
        <v/>
      </c>
      <c r="L957" s="7" t="n"/>
      <c r="M957" s="7" t="n"/>
      <c r="N957">
        <f>IF(D957="", "Gap - No Legal Basis", IF(AND(D957="Consent (GDPR Art. 6(1)(a))", I957="Not Captured"), "Gap - Invalid Consent", IF(AND(D957="Legitimate Interest (GDPR Art. 6(1)(f))", L957=""), "Gap - Missing LIA", IF(AND(G957="Yes", H957=""), "Gap - Missing Art. 9 Basis", IF(OR(I957="Invalid - Not Freely Given", I957="Invalid - Not Specific", I957="Invalid - Not Informed", I957="Invalid - Ambiguous"), "Gap - Invalid Consent", "Compliant")))))</f>
        <v/>
      </c>
      <c r="O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IF(D958="Legitimate Interest (GDPR Art. 6(1)(f))", "Yes / Required (Sheet 3)", "")</f>
        <v/>
      </c>
      <c r="L958" s="7" t="n"/>
      <c r="M958" s="7" t="n"/>
      <c r="N958">
        <f>IF(D958="", "Gap - No Legal Basis", IF(AND(D958="Consent (GDPR Art. 6(1)(a))", I958="Not Captured"), "Gap - Invalid Consent", IF(AND(D958="Legitimate Interest (GDPR Art. 6(1)(f))", L958=""), "Gap - Missing LIA", IF(AND(G958="Yes", H958=""), "Gap - Missing Art. 9 Basis", IF(OR(I958="Invalid - Not Freely Given", I958="Invalid - Not Specific", I958="Invalid - Not Informed", I958="Invalid - Ambiguous"), "Gap - Invalid Consent", "Compliant")))))</f>
        <v/>
      </c>
      <c r="O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IF(D959="Legitimate Interest (GDPR Art. 6(1)(f))", "Yes / Required (Sheet 3)", "")</f>
        <v/>
      </c>
      <c r="L959" s="7" t="n"/>
      <c r="M959" s="7" t="n"/>
      <c r="N959">
        <f>IF(D959="", "Gap - No Legal Basis", IF(AND(D959="Consent (GDPR Art. 6(1)(a))", I959="Not Captured"), "Gap - Invalid Consent", IF(AND(D959="Legitimate Interest (GDPR Art. 6(1)(f))", L959=""), "Gap - Missing LIA", IF(AND(G959="Yes", H959=""), "Gap - Missing Art. 9 Basis", IF(OR(I959="Invalid - Not Freely Given", I959="Invalid - Not Specific", I959="Invalid - Not Informed", I959="Invalid - Ambiguous"), "Gap - Invalid Consent", "Compliant")))))</f>
        <v/>
      </c>
      <c r="O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IF(D960="Legitimate Interest (GDPR Art. 6(1)(f))", "Yes / Required (Sheet 3)", "")</f>
        <v/>
      </c>
      <c r="L960" s="7" t="n"/>
      <c r="M960" s="7" t="n"/>
      <c r="N960">
        <f>IF(D960="", "Gap - No Legal Basis", IF(AND(D960="Consent (GDPR Art. 6(1)(a))", I960="Not Captured"), "Gap - Invalid Consent", IF(AND(D960="Legitimate Interest (GDPR Art. 6(1)(f))", L960=""), "Gap - Missing LIA", IF(AND(G960="Yes", H960=""), "Gap - Missing Art. 9 Basis", IF(OR(I960="Invalid - Not Freely Given", I960="Invalid - Not Specific", I960="Invalid - Not Informed", I960="Invalid - Ambiguous"), "Gap - Invalid Consent", "Compliant")))))</f>
        <v/>
      </c>
      <c r="O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IF(D961="Legitimate Interest (GDPR Art. 6(1)(f))", "Yes / Required (Sheet 3)", "")</f>
        <v/>
      </c>
      <c r="L961" s="7" t="n"/>
      <c r="M961" s="7" t="n"/>
      <c r="N961">
        <f>IF(D961="", "Gap - No Legal Basis", IF(AND(D961="Consent (GDPR Art. 6(1)(a))", I961="Not Captured"), "Gap - Invalid Consent", IF(AND(D961="Legitimate Interest (GDPR Art. 6(1)(f))", L961=""), "Gap - Missing LIA", IF(AND(G961="Yes", H961=""), "Gap - Missing Art. 9 Basis", IF(OR(I961="Invalid - Not Freely Given", I961="Invalid - Not Specific", I961="Invalid - Not Informed", I961="Invalid - Ambiguous"), "Gap - Invalid Consent", "Compliant")))))</f>
        <v/>
      </c>
      <c r="O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IF(D962="Legitimate Interest (GDPR Art. 6(1)(f))", "Yes / Required (Sheet 3)", "")</f>
        <v/>
      </c>
      <c r="L962" s="7" t="n"/>
      <c r="M962" s="7" t="n"/>
      <c r="N962">
        <f>IF(D962="", "Gap - No Legal Basis", IF(AND(D962="Consent (GDPR Art. 6(1)(a))", I962="Not Captured"), "Gap - Invalid Consent", IF(AND(D962="Legitimate Interest (GDPR Art. 6(1)(f))", L962=""), "Gap - Missing LIA", IF(AND(G962="Yes", H962=""), "Gap - Missing Art. 9 Basis", IF(OR(I962="Invalid - Not Freely Given", I962="Invalid - Not Specific", I962="Invalid - Not Informed", I962="Invalid - Ambiguous"), "Gap - Invalid Consent", "Compliant")))))</f>
        <v/>
      </c>
      <c r="O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IF(D963="Legitimate Interest (GDPR Art. 6(1)(f))", "Yes / Required (Sheet 3)", "")</f>
        <v/>
      </c>
      <c r="L963" s="7" t="n"/>
      <c r="M963" s="7" t="n"/>
      <c r="N963">
        <f>IF(D963="", "Gap - No Legal Basis", IF(AND(D963="Consent (GDPR Art. 6(1)(a))", I963="Not Captured"), "Gap - Invalid Consent", IF(AND(D963="Legitimate Interest (GDPR Art. 6(1)(f))", L963=""), "Gap - Missing LIA", IF(AND(G963="Yes", H963=""), "Gap - Missing Art. 9 Basis", IF(OR(I963="Invalid - Not Freely Given", I963="Invalid - Not Specific", I963="Invalid - Not Informed", I963="Invalid - Ambiguous"), "Gap - Invalid Consent", "Compliant")))))</f>
        <v/>
      </c>
      <c r="O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IF(D964="Legitimate Interest (GDPR Art. 6(1)(f))", "Yes / Required (Sheet 3)", "")</f>
        <v/>
      </c>
      <c r="L964" s="7" t="n"/>
      <c r="M964" s="7" t="n"/>
      <c r="N964">
        <f>IF(D964="", "Gap - No Legal Basis", IF(AND(D964="Consent (GDPR Art. 6(1)(a))", I964="Not Captured"), "Gap - Invalid Consent", IF(AND(D964="Legitimate Interest (GDPR Art. 6(1)(f))", L964=""), "Gap - Missing LIA", IF(AND(G964="Yes", H964=""), "Gap - Missing Art. 9 Basis", IF(OR(I964="Invalid - Not Freely Given", I964="Invalid - Not Specific", I964="Invalid - Not Informed", I964="Invalid - Ambiguous"), "Gap - Invalid Consent", "Compliant")))))</f>
        <v/>
      </c>
      <c r="O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IF(D965="Legitimate Interest (GDPR Art. 6(1)(f))", "Yes / Required (Sheet 3)", "")</f>
        <v/>
      </c>
      <c r="L965" s="7" t="n"/>
      <c r="M965" s="7" t="n"/>
      <c r="N965">
        <f>IF(D965="", "Gap - No Legal Basis", IF(AND(D965="Consent (GDPR Art. 6(1)(a))", I965="Not Captured"), "Gap - Invalid Consent", IF(AND(D965="Legitimate Interest (GDPR Art. 6(1)(f))", L965=""), "Gap - Missing LIA", IF(AND(G965="Yes", H965=""), "Gap - Missing Art. 9 Basis", IF(OR(I965="Invalid - Not Freely Given", I965="Invalid - Not Specific", I965="Invalid - Not Informed", I965="Invalid - Ambiguous"), "Gap - Invalid Consent", "Compliant")))))</f>
        <v/>
      </c>
      <c r="O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IF(D966="Legitimate Interest (GDPR Art. 6(1)(f))", "Yes / Required (Sheet 3)", "")</f>
        <v/>
      </c>
      <c r="L966" s="7" t="n"/>
      <c r="M966" s="7" t="n"/>
      <c r="N966">
        <f>IF(D966="", "Gap - No Legal Basis", IF(AND(D966="Consent (GDPR Art. 6(1)(a))", I966="Not Captured"), "Gap - Invalid Consent", IF(AND(D966="Legitimate Interest (GDPR Art. 6(1)(f))", L966=""), "Gap - Missing LIA", IF(AND(G966="Yes", H966=""), "Gap - Missing Art. 9 Basis", IF(OR(I966="Invalid - Not Freely Given", I966="Invalid - Not Specific", I966="Invalid - Not Informed", I966="Invalid - Ambiguous"), "Gap - Invalid Consent", "Compliant")))))</f>
        <v/>
      </c>
      <c r="O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IF(D967="Legitimate Interest (GDPR Art. 6(1)(f))", "Yes / Required (Sheet 3)", "")</f>
        <v/>
      </c>
      <c r="L967" s="7" t="n"/>
      <c r="M967" s="7" t="n"/>
      <c r="N967">
        <f>IF(D967="", "Gap - No Legal Basis", IF(AND(D967="Consent (GDPR Art. 6(1)(a))", I967="Not Captured"), "Gap - Invalid Consent", IF(AND(D967="Legitimate Interest (GDPR Art. 6(1)(f))", L967=""), "Gap - Missing LIA", IF(AND(G967="Yes", H967=""), "Gap - Missing Art. 9 Basis", IF(OR(I967="Invalid - Not Freely Given", I967="Invalid - Not Specific", I967="Invalid - Not Informed", I967="Invalid - Ambiguous"), "Gap - Invalid Consent", "Compliant")))))</f>
        <v/>
      </c>
      <c r="O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IF(D968="Legitimate Interest (GDPR Art. 6(1)(f))", "Yes / Required (Sheet 3)", "")</f>
        <v/>
      </c>
      <c r="L968" s="7" t="n"/>
      <c r="M968" s="7" t="n"/>
      <c r="N968">
        <f>IF(D968="", "Gap - No Legal Basis", IF(AND(D968="Consent (GDPR Art. 6(1)(a))", I968="Not Captured"), "Gap - Invalid Consent", IF(AND(D968="Legitimate Interest (GDPR Art. 6(1)(f))", L968=""), "Gap - Missing LIA", IF(AND(G968="Yes", H968=""), "Gap - Missing Art. 9 Basis", IF(OR(I968="Invalid - Not Freely Given", I968="Invalid - Not Specific", I968="Invalid - Not Informed", I968="Invalid - Ambiguous"), "Gap - Invalid Consent", "Compliant")))))</f>
        <v/>
      </c>
      <c r="O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IF(D969="Legitimate Interest (GDPR Art. 6(1)(f))", "Yes / Required (Sheet 3)", "")</f>
        <v/>
      </c>
      <c r="L969" s="7" t="n"/>
      <c r="M969" s="7" t="n"/>
      <c r="N969">
        <f>IF(D969="", "Gap - No Legal Basis", IF(AND(D969="Consent (GDPR Art. 6(1)(a))", I969="Not Captured"), "Gap - Invalid Consent", IF(AND(D969="Legitimate Interest (GDPR Art. 6(1)(f))", L969=""), "Gap - Missing LIA", IF(AND(G969="Yes", H969=""), "Gap - Missing Art. 9 Basis", IF(OR(I969="Invalid - Not Freely Given", I969="Invalid - Not Specific", I969="Invalid - Not Informed", I969="Invalid - Ambiguous"), "Gap - Invalid Consent", "Compliant")))))</f>
        <v/>
      </c>
      <c r="O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IF(D970="Legitimate Interest (GDPR Art. 6(1)(f))", "Yes / Required (Sheet 3)", "")</f>
        <v/>
      </c>
      <c r="L970" s="7" t="n"/>
      <c r="M970" s="7" t="n"/>
      <c r="N970">
        <f>IF(D970="", "Gap - No Legal Basis", IF(AND(D970="Consent (GDPR Art. 6(1)(a))", I970="Not Captured"), "Gap - Invalid Consent", IF(AND(D970="Legitimate Interest (GDPR Art. 6(1)(f))", L970=""), "Gap - Missing LIA", IF(AND(G970="Yes", H970=""), "Gap - Missing Art. 9 Basis", IF(OR(I970="Invalid - Not Freely Given", I970="Invalid - Not Specific", I970="Invalid - Not Informed", I970="Invalid - Ambiguous"), "Gap - Invalid Consent", "Compliant")))))</f>
        <v/>
      </c>
      <c r="O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IF(D971="Legitimate Interest (GDPR Art. 6(1)(f))", "Yes / Required (Sheet 3)", "")</f>
        <v/>
      </c>
      <c r="L971" s="7" t="n"/>
      <c r="M971" s="7" t="n"/>
      <c r="N971">
        <f>IF(D971="", "Gap - No Legal Basis", IF(AND(D971="Consent (GDPR Art. 6(1)(a))", I971="Not Captured"), "Gap - Invalid Consent", IF(AND(D971="Legitimate Interest (GDPR Art. 6(1)(f))", L971=""), "Gap - Missing LIA", IF(AND(G971="Yes", H971=""), "Gap - Missing Art. 9 Basis", IF(OR(I971="Invalid - Not Freely Given", I971="Invalid - Not Specific", I971="Invalid - Not Informed", I971="Invalid - Ambiguous"), "Gap - Invalid Consent", "Compliant")))))</f>
        <v/>
      </c>
      <c r="O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IF(D972="Legitimate Interest (GDPR Art. 6(1)(f))", "Yes / Required (Sheet 3)", "")</f>
        <v/>
      </c>
      <c r="L972" s="7" t="n"/>
      <c r="M972" s="7" t="n"/>
      <c r="N972">
        <f>IF(D972="", "Gap - No Legal Basis", IF(AND(D972="Consent (GDPR Art. 6(1)(a))", I972="Not Captured"), "Gap - Invalid Consent", IF(AND(D972="Legitimate Interest (GDPR Art. 6(1)(f))", L972=""), "Gap - Missing LIA", IF(AND(G972="Yes", H972=""), "Gap - Missing Art. 9 Basis", IF(OR(I972="Invalid - Not Freely Given", I972="Invalid - Not Specific", I972="Invalid - Not Informed", I972="Invalid - Ambiguous"), "Gap - Invalid Consent", "Compliant")))))</f>
        <v/>
      </c>
      <c r="O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IF(D973="Legitimate Interest (GDPR Art. 6(1)(f))", "Yes / Required (Sheet 3)", "")</f>
        <v/>
      </c>
      <c r="L973" s="7" t="n"/>
      <c r="M973" s="7" t="n"/>
      <c r="N973">
        <f>IF(D973="", "Gap - No Legal Basis", IF(AND(D973="Consent (GDPR Art. 6(1)(a))", I973="Not Captured"), "Gap - Invalid Consent", IF(AND(D973="Legitimate Interest (GDPR Art. 6(1)(f))", L973=""), "Gap - Missing LIA", IF(AND(G973="Yes", H973=""), "Gap - Missing Art. 9 Basis", IF(OR(I973="Invalid - Not Freely Given", I973="Invalid - Not Specific", I973="Invalid - Not Informed", I973="Invalid - Ambiguous"), "Gap - Invalid Consent", "Compliant")))))</f>
        <v/>
      </c>
      <c r="O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IF(D974="Legitimate Interest (GDPR Art. 6(1)(f))", "Yes / Required (Sheet 3)", "")</f>
        <v/>
      </c>
      <c r="L974" s="7" t="n"/>
      <c r="M974" s="7" t="n"/>
      <c r="N974">
        <f>IF(D974="", "Gap - No Legal Basis", IF(AND(D974="Consent (GDPR Art. 6(1)(a))", I974="Not Captured"), "Gap - Invalid Consent", IF(AND(D974="Legitimate Interest (GDPR Art. 6(1)(f))", L974=""), "Gap - Missing LIA", IF(AND(G974="Yes", H974=""), "Gap - Missing Art. 9 Basis", IF(OR(I974="Invalid - Not Freely Given", I974="Invalid - Not Specific", I974="Invalid - Not Informed", I974="Invalid - Ambiguous"), "Gap - Invalid Consent", "Compliant")))))</f>
        <v/>
      </c>
      <c r="O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IF(D975="Legitimate Interest (GDPR Art. 6(1)(f))", "Yes / Required (Sheet 3)", "")</f>
        <v/>
      </c>
      <c r="L975" s="7" t="n"/>
      <c r="M975" s="7" t="n"/>
      <c r="N975">
        <f>IF(D975="", "Gap - No Legal Basis", IF(AND(D975="Consent (GDPR Art. 6(1)(a))", I975="Not Captured"), "Gap - Invalid Consent", IF(AND(D975="Legitimate Interest (GDPR Art. 6(1)(f))", L975=""), "Gap - Missing LIA", IF(AND(G975="Yes", H975=""), "Gap - Missing Art. 9 Basis", IF(OR(I975="Invalid - Not Freely Given", I975="Invalid - Not Specific", I975="Invalid - Not Informed", I975="Invalid - Ambiguous"), "Gap - Invalid Consent", "Compliant")))))</f>
        <v/>
      </c>
      <c r="O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IF(D976="Legitimate Interest (GDPR Art. 6(1)(f))", "Yes / Required (Sheet 3)", "")</f>
        <v/>
      </c>
      <c r="L976" s="7" t="n"/>
      <c r="M976" s="7" t="n"/>
      <c r="N976">
        <f>IF(D976="", "Gap - No Legal Basis", IF(AND(D976="Consent (GDPR Art. 6(1)(a))", I976="Not Captured"), "Gap - Invalid Consent", IF(AND(D976="Legitimate Interest (GDPR Art. 6(1)(f))", L976=""), "Gap - Missing LIA", IF(AND(G976="Yes", H976=""), "Gap - Missing Art. 9 Basis", IF(OR(I976="Invalid - Not Freely Given", I976="Invalid - Not Specific", I976="Invalid - Not Informed", I976="Invalid - Ambiguous"), "Gap - Invalid Consent", "Compliant")))))</f>
        <v/>
      </c>
      <c r="O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IF(D977="Legitimate Interest (GDPR Art. 6(1)(f))", "Yes / Required (Sheet 3)", "")</f>
        <v/>
      </c>
      <c r="L977" s="7" t="n"/>
      <c r="M977" s="7" t="n"/>
      <c r="N977">
        <f>IF(D977="", "Gap - No Legal Basis", IF(AND(D977="Consent (GDPR Art. 6(1)(a))", I977="Not Captured"), "Gap - Invalid Consent", IF(AND(D977="Legitimate Interest (GDPR Art. 6(1)(f))", L977=""), "Gap - Missing LIA", IF(AND(G977="Yes", H977=""), "Gap - Missing Art. 9 Basis", IF(OR(I977="Invalid - Not Freely Given", I977="Invalid - Not Specific", I977="Invalid - Not Informed", I977="Invalid - Ambiguous"), "Gap - Invalid Consent", "Compliant")))))</f>
        <v/>
      </c>
      <c r="O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IF(D978="Legitimate Interest (GDPR Art. 6(1)(f))", "Yes / Required (Sheet 3)", "")</f>
        <v/>
      </c>
      <c r="L978" s="7" t="n"/>
      <c r="M978" s="7" t="n"/>
      <c r="N978">
        <f>IF(D978="", "Gap - No Legal Basis", IF(AND(D978="Consent (GDPR Art. 6(1)(a))", I978="Not Captured"), "Gap - Invalid Consent", IF(AND(D978="Legitimate Interest (GDPR Art. 6(1)(f))", L978=""), "Gap - Missing LIA", IF(AND(G978="Yes", H978=""), "Gap - Missing Art. 9 Basis", IF(OR(I978="Invalid - Not Freely Given", I978="Invalid - Not Specific", I978="Invalid - Not Informed", I978="Invalid - Ambiguous"), "Gap - Invalid Consent", "Compliant")))))</f>
        <v/>
      </c>
      <c r="O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IF(D979="Legitimate Interest (GDPR Art. 6(1)(f))", "Yes / Required (Sheet 3)", "")</f>
        <v/>
      </c>
      <c r="L979" s="7" t="n"/>
      <c r="M979" s="7" t="n"/>
      <c r="N979">
        <f>IF(D979="", "Gap - No Legal Basis", IF(AND(D979="Consent (GDPR Art. 6(1)(a))", I979="Not Captured"), "Gap - Invalid Consent", IF(AND(D979="Legitimate Interest (GDPR Art. 6(1)(f))", L979=""), "Gap - Missing LIA", IF(AND(G979="Yes", H979=""), "Gap - Missing Art. 9 Basis", IF(OR(I979="Invalid - Not Freely Given", I979="Invalid - Not Specific", I979="Invalid - Not Informed", I979="Invalid - Ambiguous"), "Gap - Invalid Consent", "Compliant")))))</f>
        <v/>
      </c>
      <c r="O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IF(D980="Legitimate Interest (GDPR Art. 6(1)(f))", "Yes / Required (Sheet 3)", "")</f>
        <v/>
      </c>
      <c r="L980" s="7" t="n"/>
      <c r="M980" s="7" t="n"/>
      <c r="N980">
        <f>IF(D980="", "Gap - No Legal Basis", IF(AND(D980="Consent (GDPR Art. 6(1)(a))", I980="Not Captured"), "Gap - Invalid Consent", IF(AND(D980="Legitimate Interest (GDPR Art. 6(1)(f))", L980=""), "Gap - Missing LIA", IF(AND(G980="Yes", H980=""), "Gap - Missing Art. 9 Basis", IF(OR(I980="Invalid - Not Freely Given", I980="Invalid - Not Specific", I980="Invalid - Not Informed", I980="Invalid - Ambiguous"), "Gap - Invalid Consent", "Compliant")))))</f>
        <v/>
      </c>
      <c r="O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IF(D981="Legitimate Interest (GDPR Art. 6(1)(f))", "Yes / Required (Sheet 3)", "")</f>
        <v/>
      </c>
      <c r="L981" s="7" t="n"/>
      <c r="M981" s="7" t="n"/>
      <c r="N981">
        <f>IF(D981="", "Gap - No Legal Basis", IF(AND(D981="Consent (GDPR Art. 6(1)(a))", I981="Not Captured"), "Gap - Invalid Consent", IF(AND(D981="Legitimate Interest (GDPR Art. 6(1)(f))", L981=""), "Gap - Missing LIA", IF(AND(G981="Yes", H981=""), "Gap - Missing Art. 9 Basis", IF(OR(I981="Invalid - Not Freely Given", I981="Invalid - Not Specific", I981="Invalid - Not Informed", I981="Invalid - Ambiguous"), "Gap - Invalid Consent", "Compliant")))))</f>
        <v/>
      </c>
      <c r="O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IF(D982="Legitimate Interest (GDPR Art. 6(1)(f))", "Yes / Required (Sheet 3)", "")</f>
        <v/>
      </c>
      <c r="L982" s="7" t="n"/>
      <c r="M982" s="7" t="n"/>
      <c r="N982">
        <f>IF(D982="", "Gap - No Legal Basis", IF(AND(D982="Consent (GDPR Art. 6(1)(a))", I982="Not Captured"), "Gap - Invalid Consent", IF(AND(D982="Legitimate Interest (GDPR Art. 6(1)(f))", L982=""), "Gap - Missing LIA", IF(AND(G982="Yes", H982=""), "Gap - Missing Art. 9 Basis", IF(OR(I982="Invalid - Not Freely Given", I982="Invalid - Not Specific", I982="Invalid - Not Informed", I982="Invalid - Ambiguous"), "Gap - Invalid Consent", "Compliant")))))</f>
        <v/>
      </c>
      <c r="O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IF(D983="Legitimate Interest (GDPR Art. 6(1)(f))", "Yes / Required (Sheet 3)", "")</f>
        <v/>
      </c>
      <c r="L983" s="7" t="n"/>
      <c r="M983" s="7" t="n"/>
      <c r="N983">
        <f>IF(D983="", "Gap - No Legal Basis", IF(AND(D983="Consent (GDPR Art. 6(1)(a))", I983="Not Captured"), "Gap - Invalid Consent", IF(AND(D983="Legitimate Interest (GDPR Art. 6(1)(f))", L983=""), "Gap - Missing LIA", IF(AND(G983="Yes", H983=""), "Gap - Missing Art. 9 Basis", IF(OR(I983="Invalid - Not Freely Given", I983="Invalid - Not Specific", I983="Invalid - Not Informed", I983="Invalid - Ambiguous"), "Gap - Invalid Consent", "Compliant")))))</f>
        <v/>
      </c>
      <c r="O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IF(D984="Legitimate Interest (GDPR Art. 6(1)(f))", "Yes / Required (Sheet 3)", "")</f>
        <v/>
      </c>
      <c r="L984" s="7" t="n"/>
      <c r="M984" s="7" t="n"/>
      <c r="N984">
        <f>IF(D984="", "Gap - No Legal Basis", IF(AND(D984="Consent (GDPR Art. 6(1)(a))", I984="Not Captured"), "Gap - Invalid Consent", IF(AND(D984="Legitimate Interest (GDPR Art. 6(1)(f))", L984=""), "Gap - Missing LIA", IF(AND(G984="Yes", H984=""), "Gap - Missing Art. 9 Basis", IF(OR(I984="Invalid - Not Freely Given", I984="Invalid - Not Specific", I984="Invalid - Not Informed", I984="Invalid - Ambiguous"), "Gap - Invalid Consent", "Compliant")))))</f>
        <v/>
      </c>
      <c r="O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IF(D985="Legitimate Interest (GDPR Art. 6(1)(f))", "Yes / Required (Sheet 3)", "")</f>
        <v/>
      </c>
      <c r="L985" s="7" t="n"/>
      <c r="M985" s="7" t="n"/>
      <c r="N985">
        <f>IF(D985="", "Gap - No Legal Basis", IF(AND(D985="Consent (GDPR Art. 6(1)(a))", I985="Not Captured"), "Gap - Invalid Consent", IF(AND(D985="Legitimate Interest (GDPR Art. 6(1)(f))", L985=""), "Gap - Missing LIA", IF(AND(G985="Yes", H985=""), "Gap - Missing Art. 9 Basis", IF(OR(I985="Invalid - Not Freely Given", I985="Invalid - Not Specific", I985="Invalid - Not Informed", I985="Invalid - Ambiguous"), "Gap - Invalid Consent", "Compliant")))))</f>
        <v/>
      </c>
      <c r="O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IF(D986="Legitimate Interest (GDPR Art. 6(1)(f))", "Yes / Required (Sheet 3)", "")</f>
        <v/>
      </c>
      <c r="L986" s="7" t="n"/>
      <c r="M986" s="7" t="n"/>
      <c r="N986">
        <f>IF(D986="", "Gap - No Legal Basis", IF(AND(D986="Consent (GDPR Art. 6(1)(a))", I986="Not Captured"), "Gap - Invalid Consent", IF(AND(D986="Legitimate Interest (GDPR Art. 6(1)(f))", L986=""), "Gap - Missing LIA", IF(AND(G986="Yes", H986=""), "Gap - Missing Art. 9 Basis", IF(OR(I986="Invalid - Not Freely Given", I986="Invalid - Not Specific", I986="Invalid - Not Informed", I986="Invalid - Ambiguous"), "Gap - Invalid Consent", "Compliant")))))</f>
        <v/>
      </c>
      <c r="O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IF(D987="Legitimate Interest (GDPR Art. 6(1)(f))", "Yes / Required (Sheet 3)", "")</f>
        <v/>
      </c>
      <c r="L987" s="7" t="n"/>
      <c r="M987" s="7" t="n"/>
      <c r="N987">
        <f>IF(D987="", "Gap - No Legal Basis", IF(AND(D987="Consent (GDPR Art. 6(1)(a))", I987="Not Captured"), "Gap - Invalid Consent", IF(AND(D987="Legitimate Interest (GDPR Art. 6(1)(f))", L987=""), "Gap - Missing LIA", IF(AND(G987="Yes", H987=""), "Gap - Missing Art. 9 Basis", IF(OR(I987="Invalid - Not Freely Given", I987="Invalid - Not Specific", I987="Invalid - Not Informed", I987="Invalid - Ambiguous"), "Gap - Invalid Consent", "Compliant")))))</f>
        <v/>
      </c>
      <c r="O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IF(D988="Legitimate Interest (GDPR Art. 6(1)(f))", "Yes / Required (Sheet 3)", "")</f>
        <v/>
      </c>
      <c r="L988" s="7" t="n"/>
      <c r="M988" s="7" t="n"/>
      <c r="N988">
        <f>IF(D988="", "Gap - No Legal Basis", IF(AND(D988="Consent (GDPR Art. 6(1)(a))", I988="Not Captured"), "Gap - Invalid Consent", IF(AND(D988="Legitimate Interest (GDPR Art. 6(1)(f))", L988=""), "Gap - Missing LIA", IF(AND(G988="Yes", H988=""), "Gap - Missing Art. 9 Basis", IF(OR(I988="Invalid - Not Freely Given", I988="Invalid - Not Specific", I988="Invalid - Not Informed", I988="Invalid - Ambiguous"), "Gap - Invalid Consent", "Compliant")))))</f>
        <v/>
      </c>
      <c r="O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IF(D989="Legitimate Interest (GDPR Art. 6(1)(f))", "Yes / Required (Sheet 3)", "")</f>
        <v/>
      </c>
      <c r="L989" s="7" t="n"/>
      <c r="M989" s="7" t="n"/>
      <c r="N989">
        <f>IF(D989="", "Gap - No Legal Basis", IF(AND(D989="Consent (GDPR Art. 6(1)(a))", I989="Not Captured"), "Gap - Invalid Consent", IF(AND(D989="Legitimate Interest (GDPR Art. 6(1)(f))", L989=""), "Gap - Missing LIA", IF(AND(G989="Yes", H989=""), "Gap - Missing Art. 9 Basis", IF(OR(I989="Invalid - Not Freely Given", I989="Invalid - Not Specific", I989="Invalid - Not Informed", I989="Invalid - Ambiguous"), "Gap - Invalid Consent", "Compliant")))))</f>
        <v/>
      </c>
      <c r="O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IF(D990="Legitimate Interest (GDPR Art. 6(1)(f))", "Yes / Required (Sheet 3)", "")</f>
        <v/>
      </c>
      <c r="L990" s="7" t="n"/>
      <c r="M990" s="7" t="n"/>
      <c r="N990">
        <f>IF(D990="", "Gap - No Legal Basis", IF(AND(D990="Consent (GDPR Art. 6(1)(a))", I990="Not Captured"), "Gap - Invalid Consent", IF(AND(D990="Legitimate Interest (GDPR Art. 6(1)(f))", L990=""), "Gap - Missing LIA", IF(AND(G990="Yes", H990=""), "Gap - Missing Art. 9 Basis", IF(OR(I990="Invalid - Not Freely Given", I990="Invalid - Not Specific", I990="Invalid - Not Informed", I990="Invalid - Ambiguous"), "Gap - Invalid Consent", "Compliant")))))</f>
        <v/>
      </c>
      <c r="O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IF(D991="Legitimate Interest (GDPR Art. 6(1)(f))", "Yes / Required (Sheet 3)", "")</f>
        <v/>
      </c>
      <c r="L991" s="7" t="n"/>
      <c r="M991" s="7" t="n"/>
      <c r="N991">
        <f>IF(D991="", "Gap - No Legal Basis", IF(AND(D991="Consent (GDPR Art. 6(1)(a))", I991="Not Captured"), "Gap - Invalid Consent", IF(AND(D991="Legitimate Interest (GDPR Art. 6(1)(f))", L991=""), "Gap - Missing LIA", IF(AND(G991="Yes", H991=""), "Gap - Missing Art. 9 Basis", IF(OR(I991="Invalid - Not Freely Given", I991="Invalid - Not Specific", I991="Invalid - Not Informed", I991="Invalid - Ambiguous"), "Gap - Invalid Consent", "Compliant")))))</f>
        <v/>
      </c>
      <c r="O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IF(D992="Legitimate Interest (GDPR Art. 6(1)(f))", "Yes / Required (Sheet 3)", "")</f>
        <v/>
      </c>
      <c r="L992" s="7" t="n"/>
      <c r="M992" s="7" t="n"/>
      <c r="N992">
        <f>IF(D992="", "Gap - No Legal Basis", IF(AND(D992="Consent (GDPR Art. 6(1)(a))", I992="Not Captured"), "Gap - Invalid Consent", IF(AND(D992="Legitimate Interest (GDPR Art. 6(1)(f))", L992=""), "Gap - Missing LIA", IF(AND(G992="Yes", H992=""), "Gap - Missing Art. 9 Basis", IF(OR(I992="Invalid - Not Freely Given", I992="Invalid - Not Specific", I992="Invalid - Not Informed", I992="Invalid - Ambiguous"), "Gap - Invalid Consent", "Compliant")))))</f>
        <v/>
      </c>
      <c r="O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IF(D993="Legitimate Interest (GDPR Art. 6(1)(f))", "Yes / Required (Sheet 3)", "")</f>
        <v/>
      </c>
      <c r="L993" s="7" t="n"/>
      <c r="M993" s="7" t="n"/>
      <c r="N993">
        <f>IF(D993="", "Gap - No Legal Basis", IF(AND(D993="Consent (GDPR Art. 6(1)(a))", I993="Not Captured"), "Gap - Invalid Consent", IF(AND(D993="Legitimate Interest (GDPR Art. 6(1)(f))", L993=""), "Gap - Missing LIA", IF(AND(G993="Yes", H993=""), "Gap - Missing Art. 9 Basis", IF(OR(I993="Invalid - Not Freely Given", I993="Invalid - Not Specific", I993="Invalid - Not Informed", I993="Invalid - Ambiguous"), "Gap - Invalid Consent", "Compliant")))))</f>
        <v/>
      </c>
      <c r="O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IF(D994="Legitimate Interest (GDPR Art. 6(1)(f))", "Yes / Required (Sheet 3)", "")</f>
        <v/>
      </c>
      <c r="L994" s="7" t="n"/>
      <c r="M994" s="7" t="n"/>
      <c r="N994">
        <f>IF(D994="", "Gap - No Legal Basis", IF(AND(D994="Consent (GDPR Art. 6(1)(a))", I994="Not Captured"), "Gap - Invalid Consent", IF(AND(D994="Legitimate Interest (GDPR Art. 6(1)(f))", L994=""), "Gap - Missing LIA", IF(AND(G994="Yes", H994=""), "Gap - Missing Art. 9 Basis", IF(OR(I994="Invalid - Not Freely Given", I994="Invalid - Not Specific", I994="Invalid - Not Informed", I994="Invalid - Ambiguous"), "Gap - Invalid Consent", "Compliant")))))</f>
        <v/>
      </c>
      <c r="O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IF(D995="Legitimate Interest (GDPR Art. 6(1)(f))", "Yes / Required (Sheet 3)", "")</f>
        <v/>
      </c>
      <c r="L995" s="7" t="n"/>
      <c r="M995" s="7" t="n"/>
      <c r="N995">
        <f>IF(D995="", "Gap - No Legal Basis", IF(AND(D995="Consent (GDPR Art. 6(1)(a))", I995="Not Captured"), "Gap - Invalid Consent", IF(AND(D995="Legitimate Interest (GDPR Art. 6(1)(f))", L995=""), "Gap - Missing LIA", IF(AND(G995="Yes", H995=""), "Gap - Missing Art. 9 Basis", IF(OR(I995="Invalid - Not Freely Given", I995="Invalid - Not Specific", I995="Invalid - Not Informed", I995="Invalid - Ambiguous"), "Gap - Invalid Consent", "Compliant")))))</f>
        <v/>
      </c>
      <c r="O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IF(D996="Legitimate Interest (GDPR Art. 6(1)(f))", "Yes / Required (Sheet 3)", "")</f>
        <v/>
      </c>
      <c r="L996" s="7" t="n"/>
      <c r="M996" s="7" t="n"/>
      <c r="N996">
        <f>IF(D996="", "Gap - No Legal Basis", IF(AND(D996="Consent (GDPR Art. 6(1)(a))", I996="Not Captured"), "Gap - Invalid Consent", IF(AND(D996="Legitimate Interest (GDPR Art. 6(1)(f))", L996=""), "Gap - Missing LIA", IF(AND(G996="Yes", H996=""), "Gap - Missing Art. 9 Basis", IF(OR(I996="Invalid - Not Freely Given", I996="Invalid - Not Specific", I996="Invalid - Not Informed", I996="Invalid - Ambiguous"), "Gap - Invalid Consent", "Compliant")))))</f>
        <v/>
      </c>
      <c r="O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IF(D997="Legitimate Interest (GDPR Art. 6(1)(f))", "Yes / Required (Sheet 3)", "")</f>
        <v/>
      </c>
      <c r="L997" s="7" t="n"/>
      <c r="M997" s="7" t="n"/>
      <c r="N997">
        <f>IF(D997="", "Gap - No Legal Basis", IF(AND(D997="Consent (GDPR Art. 6(1)(a))", I997="Not Captured"), "Gap - Invalid Consent", IF(AND(D997="Legitimate Interest (GDPR Art. 6(1)(f))", L997=""), "Gap - Missing LIA", IF(AND(G997="Yes", H997=""), "Gap - Missing Art. 9 Basis", IF(OR(I997="Invalid - Not Freely Given", I997="Invalid - Not Specific", I997="Invalid - Not Informed", I997="Invalid - Ambiguous"), "Gap - Invalid Consent", "Compliant")))))</f>
        <v/>
      </c>
      <c r="O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IF(D998="Legitimate Interest (GDPR Art. 6(1)(f))", "Yes / Required (Sheet 3)", "")</f>
        <v/>
      </c>
      <c r="L998" s="7" t="n"/>
      <c r="M998" s="7" t="n"/>
      <c r="N998">
        <f>IF(D998="", "Gap - No Legal Basis", IF(AND(D998="Consent (GDPR Art. 6(1)(a))", I998="Not Captured"), "Gap - Invalid Consent", IF(AND(D998="Legitimate Interest (GDPR Art. 6(1)(f))", L998=""), "Gap - Missing LIA", IF(AND(G998="Yes", H998=""), "Gap - Missing Art. 9 Basis", IF(OR(I998="Invalid - Not Freely Given", I998="Invalid - Not Specific", I998="Invalid - Not Informed", I998="Invalid - Ambiguous"), "Gap - Invalid Consent", "Compliant")))))</f>
        <v/>
      </c>
      <c r="O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IF(D999="Legitimate Interest (GDPR Art. 6(1)(f))", "Yes / Required (Sheet 3)", "")</f>
        <v/>
      </c>
      <c r="L999" s="7" t="n"/>
      <c r="M999" s="7" t="n"/>
      <c r="N999">
        <f>IF(D999="", "Gap - No Legal Basis", IF(AND(D999="Consent (GDPR Art. 6(1)(a))", I999="Not Captured"), "Gap - Invalid Consent", IF(AND(D999="Legitimate Interest (GDPR Art. 6(1)(f))", L999=""), "Gap - Missing LIA", IF(AND(G999="Yes", H999=""), "Gap - Missing Art. 9 Basis", IF(OR(I999="Invalid - Not Freely Given", I999="Invalid - Not Specific", I999="Invalid - Not Informed", I999="Invalid - Ambiguous"), "Gap - Invalid Consent", "Compliant")))))</f>
        <v/>
      </c>
      <c r="O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IF(D1000="Legitimate Interest (GDPR Art. 6(1)(f))", "Yes / Required (Sheet 3)", "")</f>
        <v/>
      </c>
      <c r="L1000" s="7" t="n"/>
      <c r="M1000" s="7" t="n"/>
      <c r="N1000">
        <f>IF(D1000="", "Gap - No Legal Basis", IF(AND(D1000="Consent (GDPR Art. 6(1)(a))", I1000="Not Captured"), "Gap - Invalid Consent", IF(AND(D1000="Legitimate Interest (GDPR Art. 6(1)(f))", L1000=""), "Gap - Missing LIA", IF(AND(G1000="Yes", H1000=""), "Gap - Missing Art. 9 Basis", IF(OR(I1000="Invalid - Not Freely Given", I1000="Invalid - Not Specific", I1000="Invalid - Not Informed", I1000="Invalid - Ambiguous"), "Gap - Invalid Consent", "Compliant")))))</f>
        <v/>
      </c>
      <c r="O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>
        <f>IF(D1001="Legitimate Interest (GDPR Art. 6(1)(f))", "Yes / Required (Sheet 3)", "")</f>
        <v/>
      </c>
      <c r="L1001" s="7" t="n"/>
      <c r="M1001" s="7" t="n"/>
      <c r="N1001">
        <f>IF(D1001="", "Gap - No Legal Basis", IF(AND(D1001="Consent (GDPR Art. 6(1)(a))", I1001="Not Captured"), "Gap - Invalid Consent", IF(AND(D1001="Legitimate Interest (GDPR Art. 6(1)(f))", L1001=""), "Gap - Missing LIA", IF(AND(G1001="Yes", H1001=""), "Gap - Missing Art. 9 Basis", IF(OR(I1001="Invalid - Not Freely Given", I1001="Invalid - Not Specific", I1001="Invalid - Not Informed", I1001="Invalid - Ambiguous"), "Gap - Invalid Consent", "Compliant")))))</f>
        <v/>
      </c>
      <c r="O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>
        <f>IF(D1002="Legitimate Interest (GDPR Art. 6(1)(f))", "Yes / Required (Sheet 3)", "")</f>
        <v/>
      </c>
      <c r="L1002" s="7" t="n"/>
      <c r="M1002" s="7" t="n"/>
      <c r="N1002">
        <f>IF(D1002="", "Gap - No Legal Basis", IF(AND(D1002="Consent (GDPR Art. 6(1)(a))", I1002="Not Captured"), "Gap - Invalid Consent", IF(AND(D1002="Legitimate Interest (GDPR Art. 6(1)(f))", L1002=""), "Gap - Missing LIA", IF(AND(G1002="Yes", H1002=""), "Gap - Missing Art. 9 Basis", IF(OR(I1002="Invalid - Not Freely Given", I1002="Invalid - Not Specific", I1002="Invalid - Not Informed", I1002="Invalid - Ambiguous"), "Gap - Invalid Consent", "Compliant")))))</f>
        <v/>
      </c>
      <c r="O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>
        <f>IF(D1003="Legitimate Interest (GDPR Art. 6(1)(f))", "Yes / Required (Sheet 3)", "")</f>
        <v/>
      </c>
      <c r="L1003" s="7" t="n"/>
      <c r="M1003" s="7" t="n"/>
      <c r="N1003">
        <f>IF(D1003="", "Gap - No Legal Basis", IF(AND(D1003="Consent (GDPR Art. 6(1)(a))", I1003="Not Captured"), "Gap - Invalid Consent", IF(AND(D1003="Legitimate Interest (GDPR Art. 6(1)(f))", L1003=""), "Gap - Missing LIA", IF(AND(G1003="Yes", H1003=""), "Gap - Missing Art. 9 Basis", IF(OR(I1003="Invalid - Not Freely Given", I1003="Invalid - Not Specific", I1003="Invalid - Not Informed", I1003="Invalid - Ambiguous"), "Gap - Invalid Consent", "Compliant")))))</f>
        <v/>
      </c>
      <c r="O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>
        <f>IF(D1004="Legitimate Interest (GDPR Art. 6(1)(f))", "Yes / Required (Sheet 3)", "")</f>
        <v/>
      </c>
      <c r="L1004" s="7" t="n"/>
      <c r="M1004" s="7" t="n"/>
      <c r="N1004">
        <f>IF(D1004="", "Gap - No Legal Basis", IF(AND(D1004="Consent (GDPR Art. 6(1)(a))", I1004="Not Captured"), "Gap - Invalid Consent", IF(AND(D1004="Legitimate Interest (GDPR Art. 6(1)(f))", L1004=""), "Gap - Missing LIA", IF(AND(G1004="Yes", H1004=""), "Gap - Missing Art. 9 Basis", IF(OR(I1004="Invalid - Not Freely Given", I1004="Invalid - Not Specific", I1004="Invalid - Not Informed", I1004="Invalid - Ambiguous"), "Gap - Invalid Consent", "Compliant")))))</f>
        <v/>
      </c>
      <c r="O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>
        <f>IF(D1005="Legitimate Interest (GDPR Art. 6(1)(f))", "Yes / Required (Sheet 3)", "")</f>
        <v/>
      </c>
      <c r="L1005" s="7" t="n"/>
      <c r="M1005" s="7" t="n"/>
      <c r="N1005">
        <f>IF(D1005="", "Gap - No Legal Basis", IF(AND(D1005="Consent (GDPR Art. 6(1)(a))", I1005="Not Captured"), "Gap - Invalid Consent", IF(AND(D1005="Legitimate Interest (GDPR Art. 6(1)(f))", L1005=""), "Gap - Missing LIA", IF(AND(G1005="Yes", H1005=""), "Gap - Missing Art. 9 Basis", IF(OR(I1005="Invalid - Not Freely Given", I1005="Invalid - Not Specific", I1005="Invalid - Not Informed", I1005="Invalid - Ambiguous"), "Gap - Invalid Consent", "Compliant")))))</f>
        <v/>
      </c>
      <c r="O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>
        <f>IF(D1006="Legitimate Interest (GDPR Art. 6(1)(f))", "Yes / Required (Sheet 3)", "")</f>
        <v/>
      </c>
      <c r="L1006" s="7" t="n"/>
      <c r="M1006" s="7" t="n"/>
      <c r="N1006">
        <f>IF(D1006="", "Gap - No Legal Basis", IF(AND(D1006="Consent (GDPR Art. 6(1)(a))", I1006="Not Captured"), "Gap - Invalid Consent", IF(AND(D1006="Legitimate Interest (GDPR Art. 6(1)(f))", L1006=""), "Gap - Missing LIA", IF(AND(G1006="Yes", H1006=""), "Gap - Missing Art. 9 Basis", IF(OR(I1006="Invalid - Not Freely Given", I1006="Invalid - Not Specific", I1006="Invalid - Not Informed", I1006="Invalid - Ambiguous"), "Gap - Invalid Consent", "Compliant")))))</f>
        <v/>
      </c>
      <c r="O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>
        <f>IF(D1007="Legitimate Interest (GDPR Art. 6(1)(f))", "Yes / Required (Sheet 3)", "")</f>
        <v/>
      </c>
      <c r="L1007" s="7" t="n"/>
      <c r="M1007" s="7" t="n"/>
      <c r="N1007">
        <f>IF(D1007="", "Gap - No Legal Basis", IF(AND(D1007="Consent (GDPR Art. 6(1)(a))", I1007="Not Captured"), "Gap - Invalid Consent", IF(AND(D1007="Legitimate Interest (GDPR Art. 6(1)(f))", L1007=""), "Gap - Missing LIA", IF(AND(G1007="Yes", H1007=""), "Gap - Missing Art. 9 Basis", IF(OR(I1007="Invalid - Not Freely Given", I1007="Invalid - Not Specific", I1007="Invalid - Not Informed", I1007="Invalid - Ambiguous"), "Gap - Invalid Consent", "Compliant")))))</f>
        <v/>
      </c>
      <c r="O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>
        <f>IF(D1008="Legitimate Interest (GDPR Art. 6(1)(f))", "Yes / Required (Sheet 3)", "")</f>
        <v/>
      </c>
      <c r="L1008" s="7" t="n"/>
      <c r="M1008" s="7" t="n"/>
      <c r="N1008">
        <f>IF(D1008="", "Gap - No Legal Basis", IF(AND(D1008="Consent (GDPR Art. 6(1)(a))", I1008="Not Captured"), "Gap - Invalid Consent", IF(AND(D1008="Legitimate Interest (GDPR Art. 6(1)(f))", L1008=""), "Gap - Missing LIA", IF(AND(G1008="Yes", H1008=""), "Gap - Missing Art. 9 Basis", IF(OR(I1008="Invalid - Not Freely Given", I1008="Invalid - Not Specific", I1008="Invalid - Not Informed", I1008="Invalid - Ambiguous"), "Gap - Invalid Consent", "Compliant")))))</f>
        <v/>
      </c>
      <c r="O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>
        <f>IF(D1009="Legitimate Interest (GDPR Art. 6(1)(f))", "Yes / Required (Sheet 3)", "")</f>
        <v/>
      </c>
      <c r="L1009" s="7" t="n"/>
      <c r="M1009" s="7" t="n"/>
      <c r="N1009">
        <f>IF(D1009="", "Gap - No Legal Basis", IF(AND(D1009="Consent (GDPR Art. 6(1)(a))", I1009="Not Captured"), "Gap - Invalid Consent", IF(AND(D1009="Legitimate Interest (GDPR Art. 6(1)(f))", L1009=""), "Gap - Missing LIA", IF(AND(G1009="Yes", H1009=""), "Gap - Missing Art. 9 Basis", IF(OR(I1009="Invalid - Not Freely Given", I1009="Invalid - Not Specific", I1009="Invalid - Not Informed", I1009="Invalid - Ambiguous"), "Gap - Invalid Consent", "Compliant")))))</f>
        <v/>
      </c>
      <c r="O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>
        <f>IF(D1010="Legitimate Interest (GDPR Art. 6(1)(f))", "Yes / Required (Sheet 3)", "")</f>
        <v/>
      </c>
      <c r="L1010" s="7" t="n"/>
      <c r="M1010" s="7" t="n"/>
      <c r="N1010">
        <f>IF(D1010="", "Gap - No Legal Basis", IF(AND(D1010="Consent (GDPR Art. 6(1)(a))", I1010="Not Captured"), "Gap - Invalid Consent", IF(AND(D1010="Legitimate Interest (GDPR Art. 6(1)(f))", L1010=""), "Gap - Missing LIA", IF(AND(G1010="Yes", H1010=""), "Gap - Missing Art. 9 Basis", IF(OR(I1010="Invalid - Not Freely Given", I1010="Invalid - Not Specific", I1010="Invalid - Not Informed", I1010="Invalid - Ambiguous"), "Gap - Invalid Consent", "Compliant")))))</f>
        <v/>
      </c>
      <c r="O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>
        <f>IF(D1011="Legitimate Interest (GDPR Art. 6(1)(f))", "Yes / Required (Sheet 3)", "")</f>
        <v/>
      </c>
      <c r="L1011" s="7" t="n"/>
      <c r="M1011" s="7" t="n"/>
      <c r="N1011">
        <f>IF(D1011="", "Gap - No Legal Basis", IF(AND(D1011="Consent (GDPR Art. 6(1)(a))", I1011="Not Captured"), "Gap - Invalid Consent", IF(AND(D1011="Legitimate Interest (GDPR Art. 6(1)(f))", L1011=""), "Gap - Missing LIA", IF(AND(G1011="Yes", H1011=""), "Gap - Missing Art. 9 Basis", IF(OR(I1011="Invalid - Not Freely Given", I1011="Invalid - Not Specific", I1011="Invalid - Not Informed", I1011="Invalid - Ambiguous"), "Gap - Invalid Consent", "Compliant")))))</f>
        <v/>
      </c>
      <c r="O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>
        <f>IF(D1012="Legitimate Interest (GDPR Art. 6(1)(f))", "Yes / Required (Sheet 3)", "")</f>
        <v/>
      </c>
      <c r="L1012" s="7" t="n"/>
      <c r="M1012" s="7" t="n"/>
      <c r="N1012">
        <f>IF(D1012="", "Gap - No Legal Basis", IF(AND(D1012="Consent (GDPR Art. 6(1)(a))", I1012="Not Captured"), "Gap - Invalid Consent", IF(AND(D1012="Legitimate Interest (GDPR Art. 6(1)(f))", L1012=""), "Gap - Missing LIA", IF(AND(G1012="Yes", H1012=""), "Gap - Missing Art. 9 Basis", IF(OR(I1012="Invalid - Not Freely Given", I1012="Invalid - Not Specific", I1012="Invalid - Not Informed", I1012="Invalid - Ambiguous"), "Gap - Invalid Consent", "Compliant")))))</f>
        <v/>
      </c>
      <c r="O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>
        <f>IF(D1013="Legitimate Interest (GDPR Art. 6(1)(f))", "Yes / Required (Sheet 3)", "")</f>
        <v/>
      </c>
      <c r="L1013" s="7" t="n"/>
      <c r="M1013" s="7" t="n"/>
      <c r="N1013">
        <f>IF(D1013="", "Gap - No Legal Basis", IF(AND(D1013="Consent (GDPR Art. 6(1)(a))", I1013="Not Captured"), "Gap - Invalid Consent", IF(AND(D1013="Legitimate Interest (GDPR Art. 6(1)(f))", L1013=""), "Gap - Missing LIA", IF(AND(G1013="Yes", H1013=""), "Gap - Missing Art. 9 Basis", IF(OR(I1013="Invalid - Not Freely Given", I1013="Invalid - Not Specific", I1013="Invalid - Not Informed", I1013="Invalid - Ambiguous"), "Gap - Invalid Consent", "Compliant")))))</f>
        <v/>
      </c>
      <c r="O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>
        <f>IF(D1014="Legitimate Interest (GDPR Art. 6(1)(f))", "Yes / Required (Sheet 3)", "")</f>
        <v/>
      </c>
      <c r="L1014" s="7" t="n"/>
      <c r="M1014" s="7" t="n"/>
      <c r="N1014">
        <f>IF(D1014="", "Gap - No Legal Basis", IF(AND(D1014="Consent (GDPR Art. 6(1)(a))", I1014="Not Captured"), "Gap - Invalid Consent", IF(AND(D1014="Legitimate Interest (GDPR Art. 6(1)(f))", L1014=""), "Gap - Missing LIA", IF(AND(G1014="Yes", H1014=""), "Gap - Missing Art. 9 Basis", IF(OR(I1014="Invalid - Not Freely Given", I1014="Invalid - Not Specific", I1014="Invalid - Not Informed", I1014="Invalid - Ambiguous"), "Gap - Invalid Consent", "Compliant")))))</f>
        <v/>
      </c>
      <c r="O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>
        <f>IF(D1015="Legitimate Interest (GDPR Art. 6(1)(f))", "Yes / Required (Sheet 3)", "")</f>
        <v/>
      </c>
      <c r="L1015" s="7" t="n"/>
      <c r="M1015" s="7" t="n"/>
      <c r="N1015">
        <f>IF(D1015="", "Gap - No Legal Basis", IF(AND(D1015="Consent (GDPR Art. 6(1)(a))", I1015="Not Captured"), "Gap - Invalid Consent", IF(AND(D1015="Legitimate Interest (GDPR Art. 6(1)(f))", L1015=""), "Gap - Missing LIA", IF(AND(G1015="Yes", H1015=""), "Gap - Missing Art. 9 Basis", IF(OR(I1015="Invalid - Not Freely Given", I1015="Invalid - Not Specific", I1015="Invalid - Not Informed", I1015="Invalid - Ambiguous"), "Gap - Invalid Consent", "Compliant")))))</f>
        <v/>
      </c>
      <c r="O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>
        <f>IF(D1016="Legitimate Interest (GDPR Art. 6(1)(f))", "Yes / Required (Sheet 3)", "")</f>
        <v/>
      </c>
      <c r="L1016" s="7" t="n"/>
      <c r="M1016" s="7" t="n"/>
      <c r="N1016">
        <f>IF(D1016="", "Gap - No Legal Basis", IF(AND(D1016="Consent (GDPR Art. 6(1)(a))", I1016="Not Captured"), "Gap - Invalid Consent", IF(AND(D1016="Legitimate Interest (GDPR Art. 6(1)(f))", L1016=""), "Gap - Missing LIA", IF(AND(G1016="Yes", H1016=""), "Gap - Missing Art. 9 Basis", IF(OR(I1016="Invalid - Not Freely Given", I1016="Invalid - Not Specific", I1016="Invalid - Not Informed", I1016="Invalid - Ambiguous"), "Gap - Invalid Consent", "Compliant")))))</f>
        <v/>
      </c>
      <c r="O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>
        <f>IF(D1017="Legitimate Interest (GDPR Art. 6(1)(f))", "Yes / Required (Sheet 3)", "")</f>
        <v/>
      </c>
      <c r="L1017" s="7" t="n"/>
      <c r="M1017" s="7" t="n"/>
      <c r="N1017">
        <f>IF(D1017="", "Gap - No Legal Basis", IF(AND(D1017="Consent (GDPR Art. 6(1)(a))", I1017="Not Captured"), "Gap - Invalid Consent", IF(AND(D1017="Legitimate Interest (GDPR Art. 6(1)(f))", L1017=""), "Gap - Missing LIA", IF(AND(G1017="Yes", H1017=""), "Gap - Missing Art. 9 Basis", IF(OR(I1017="Invalid - Not Freely Given", I1017="Invalid - Not Specific", I1017="Invalid - Not Informed", I1017="Invalid - Ambiguous"), "Gap - Invalid Consent", "Compliant")))))</f>
        <v/>
      </c>
      <c r="O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>
        <f>IF(D1018="Legitimate Interest (GDPR Art. 6(1)(f))", "Yes / Required (Sheet 3)", "")</f>
        <v/>
      </c>
      <c r="L1018" s="7" t="n"/>
      <c r="M1018" s="7" t="n"/>
      <c r="N1018">
        <f>IF(D1018="", "Gap - No Legal Basis", IF(AND(D1018="Consent (GDPR Art. 6(1)(a))", I1018="Not Captured"), "Gap - Invalid Consent", IF(AND(D1018="Legitimate Interest (GDPR Art. 6(1)(f))", L1018=""), "Gap - Missing LIA", IF(AND(G1018="Yes", H1018=""), "Gap - Missing Art. 9 Basis", IF(OR(I1018="Invalid - Not Freely Given", I1018="Invalid - Not Specific", I1018="Invalid - Not Informed", I1018="Invalid - Ambiguous"), "Gap - Invalid Consent", "Compliant")))))</f>
        <v/>
      </c>
      <c r="O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>
        <f>IF(D1019="Legitimate Interest (GDPR Art. 6(1)(f))", "Yes / Required (Sheet 3)", "")</f>
        <v/>
      </c>
      <c r="L1019" s="7" t="n"/>
      <c r="M1019" s="7" t="n"/>
      <c r="N1019">
        <f>IF(D1019="", "Gap - No Legal Basis", IF(AND(D1019="Consent (GDPR Art. 6(1)(a))", I1019="Not Captured"), "Gap - Invalid Consent", IF(AND(D1019="Legitimate Interest (GDPR Art. 6(1)(f))", L1019=""), "Gap - Missing LIA", IF(AND(G1019="Yes", H1019=""), "Gap - Missing Art. 9 Basis", IF(OR(I1019="Invalid - Not Freely Given", I1019="Invalid - Not Specific", I1019="Invalid - Not Informed", I1019="Invalid - Ambiguous"), "Gap - Invalid Consent", "Compliant")))))</f>
        <v/>
      </c>
      <c r="O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>
        <f>IF(D1020="Legitimate Interest (GDPR Art. 6(1)(f))", "Yes / Required (Sheet 3)", "")</f>
        <v/>
      </c>
      <c r="L1020" s="7" t="n"/>
      <c r="M1020" s="7" t="n"/>
      <c r="N1020">
        <f>IF(D1020="", "Gap - No Legal Basis", IF(AND(D1020="Consent (GDPR Art. 6(1)(a))", I1020="Not Captured"), "Gap - Invalid Consent", IF(AND(D1020="Legitimate Interest (GDPR Art. 6(1)(f))", L1020=""), "Gap - Missing LIA", IF(AND(G1020="Yes", H1020=""), "Gap - Missing Art. 9 Basis", IF(OR(I1020="Invalid - Not Freely Given", I1020="Invalid - Not Specific", I1020="Invalid - Not Informed", I1020="Invalid - Ambiguous"), "Gap - Invalid Consent", "Compliant")))))</f>
        <v/>
      </c>
      <c r="O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>
        <f>IF(D1021="Legitimate Interest (GDPR Art. 6(1)(f))", "Yes / Required (Sheet 3)", "")</f>
        <v/>
      </c>
      <c r="L1021" s="7" t="n"/>
      <c r="M1021" s="7" t="n"/>
      <c r="N1021">
        <f>IF(D1021="", "Gap - No Legal Basis", IF(AND(D1021="Consent (GDPR Art. 6(1)(a))", I1021="Not Captured"), "Gap - Invalid Consent", IF(AND(D1021="Legitimate Interest (GDPR Art. 6(1)(f))", L1021=""), "Gap - Missing LIA", IF(AND(G1021="Yes", H1021=""), "Gap - Missing Art. 9 Basis", IF(OR(I1021="Invalid - Not Freely Given", I1021="Invalid - Not Specific", I1021="Invalid - Not Informed", I1021="Invalid - Ambiguous"), "Gap - Invalid Consent", "Compliant")))))</f>
        <v/>
      </c>
      <c r="O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>
        <f>IF(D1022="Legitimate Interest (GDPR Art. 6(1)(f))", "Yes / Required (Sheet 3)", "")</f>
        <v/>
      </c>
      <c r="L1022" s="7" t="n"/>
      <c r="M1022" s="7" t="n"/>
      <c r="N1022">
        <f>IF(D1022="", "Gap - No Legal Basis", IF(AND(D1022="Consent (GDPR Art. 6(1)(a))", I1022="Not Captured"), "Gap - Invalid Consent", IF(AND(D1022="Legitimate Interest (GDPR Art. 6(1)(f))", L1022=""), "Gap - Missing LIA", IF(AND(G1022="Yes", H1022=""), "Gap - Missing Art. 9 Basis", IF(OR(I1022="Invalid - Not Freely Given", I1022="Invalid - Not Specific", I1022="Invalid - Not Informed", I1022="Invalid - Ambiguous"), "Gap - Invalid Consent", "Compliant")))))</f>
        <v/>
      </c>
      <c r="O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>
        <f>IF(D1023="Legitimate Interest (GDPR Art. 6(1)(f))", "Yes / Required (Sheet 3)", "")</f>
        <v/>
      </c>
      <c r="L1023" s="7" t="n"/>
      <c r="M1023" s="7" t="n"/>
      <c r="N1023">
        <f>IF(D1023="", "Gap - No Legal Basis", IF(AND(D1023="Consent (GDPR Art. 6(1)(a))", I1023="Not Captured"), "Gap - Invalid Consent", IF(AND(D1023="Legitimate Interest (GDPR Art. 6(1)(f))", L1023=""), "Gap - Missing LIA", IF(AND(G1023="Yes", H1023=""), "Gap - Missing Art. 9 Basis", IF(OR(I1023="Invalid - Not Freely Given", I1023="Invalid - Not Specific", I1023="Invalid - Not Informed", I1023="Invalid - Ambiguous"), "Gap - Invalid Consent", "Compliant")))))</f>
        <v/>
      </c>
      <c r="O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>
        <f>IF(D1024="Legitimate Interest (GDPR Art. 6(1)(f))", "Yes / Required (Sheet 3)", "")</f>
        <v/>
      </c>
      <c r="L1024" s="7" t="n"/>
      <c r="M1024" s="7" t="n"/>
      <c r="N1024">
        <f>IF(D1024="", "Gap - No Legal Basis", IF(AND(D1024="Consent (GDPR Art. 6(1)(a))", I1024="Not Captured"), "Gap - Invalid Consent", IF(AND(D1024="Legitimate Interest (GDPR Art. 6(1)(f))", L1024=""), "Gap - Missing LIA", IF(AND(G1024="Yes", H1024=""), "Gap - Missing Art. 9 Basis", IF(OR(I1024="Invalid - Not Freely Given", I1024="Invalid - Not Specific", I1024="Invalid - Not Informed", I1024="Invalid - Ambiguous"), "Gap - Invalid Consent", "Compliant")))))</f>
        <v/>
      </c>
      <c r="O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>
        <f>IF(D1025="Legitimate Interest (GDPR Art. 6(1)(f))", "Yes / Required (Sheet 3)", "")</f>
        <v/>
      </c>
      <c r="L1025" s="7" t="n"/>
      <c r="M1025" s="7" t="n"/>
      <c r="N1025">
        <f>IF(D1025="", "Gap - No Legal Basis", IF(AND(D1025="Consent (GDPR Art. 6(1)(a))", I1025="Not Captured"), "Gap - Invalid Consent", IF(AND(D1025="Legitimate Interest (GDPR Art. 6(1)(f))", L1025=""), "Gap - Missing LIA", IF(AND(G1025="Yes", H1025=""), "Gap - Missing Art. 9 Basis", IF(OR(I1025="Invalid - Not Freely Given", I1025="Invalid - Not Specific", I1025="Invalid - Not Informed", I1025="Invalid - Ambiguous"), "Gap - Invalid Consent", "Compliant")))))</f>
        <v/>
      </c>
      <c r="O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>
        <f>IF(D1026="Legitimate Interest (GDPR Art. 6(1)(f))", "Yes / Required (Sheet 3)", "")</f>
        <v/>
      </c>
      <c r="L1026" s="7" t="n"/>
      <c r="M1026" s="7" t="n"/>
      <c r="N1026">
        <f>IF(D1026="", "Gap - No Legal Basis", IF(AND(D1026="Consent (GDPR Art. 6(1)(a))", I1026="Not Captured"), "Gap - Invalid Consent", IF(AND(D1026="Legitimate Interest (GDPR Art. 6(1)(f))", L1026=""), "Gap - Missing LIA", IF(AND(G1026="Yes", H1026=""), "Gap - Missing Art. 9 Basis", IF(OR(I1026="Invalid - Not Freely Given", I1026="Invalid - Not Specific", I1026="Invalid - Not Informed", I1026="Invalid - Ambiguous"), "Gap - Invalid Consent", "Compliant")))))</f>
        <v/>
      </c>
      <c r="O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>
        <f>IF(D1027="Legitimate Interest (GDPR Art. 6(1)(f))", "Yes / Required (Sheet 3)", "")</f>
        <v/>
      </c>
      <c r="L1027" s="7" t="n"/>
      <c r="M1027" s="7" t="n"/>
      <c r="N1027">
        <f>IF(D1027="", "Gap - No Legal Basis", IF(AND(D1027="Consent (GDPR Art. 6(1)(a))", I1027="Not Captured"), "Gap - Invalid Consent", IF(AND(D1027="Legitimate Interest (GDPR Art. 6(1)(f))", L1027=""), "Gap - Missing LIA", IF(AND(G1027="Yes", H1027=""), "Gap - Missing Art. 9 Basis", IF(OR(I1027="Invalid - Not Freely Given", I1027="Invalid - Not Specific", I1027="Invalid - Not Informed", I1027="Invalid - Ambiguous"), "Gap - Invalid Consent", "Compliant")))))</f>
        <v/>
      </c>
      <c r="O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>
        <f>IF(D1028="Legitimate Interest (GDPR Art. 6(1)(f))", "Yes / Required (Sheet 3)", "")</f>
        <v/>
      </c>
      <c r="L1028" s="7" t="n"/>
      <c r="M1028" s="7" t="n"/>
      <c r="N1028">
        <f>IF(D1028="", "Gap - No Legal Basis", IF(AND(D1028="Consent (GDPR Art. 6(1)(a))", I1028="Not Captured"), "Gap - Invalid Consent", IF(AND(D1028="Legitimate Interest (GDPR Art. 6(1)(f))", L1028=""), "Gap - Missing LIA", IF(AND(G1028="Yes", H1028=""), "Gap - Missing Art. 9 Basis", IF(OR(I1028="Invalid - Not Freely Given", I1028="Invalid - Not Specific", I1028="Invalid - Not Informed", I1028="Invalid - Ambiguous"), "Gap - Invalid Consent", "Compliant")))))</f>
        <v/>
      </c>
      <c r="O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>
        <f>IF(D1029="Legitimate Interest (GDPR Art. 6(1)(f))", "Yes / Required (Sheet 3)", "")</f>
        <v/>
      </c>
      <c r="L1029" s="7" t="n"/>
      <c r="M1029" s="7" t="n"/>
      <c r="N1029">
        <f>IF(D1029="", "Gap - No Legal Basis", IF(AND(D1029="Consent (GDPR Art. 6(1)(a))", I1029="Not Captured"), "Gap - Invalid Consent", IF(AND(D1029="Legitimate Interest (GDPR Art. 6(1)(f))", L1029=""), "Gap - Missing LIA", IF(AND(G1029="Yes", H1029=""), "Gap - Missing Art. 9 Basis", IF(OR(I1029="Invalid - Not Freely Given", I1029="Invalid - Not Specific", I1029="Invalid - Not Informed", I1029="Invalid - Ambiguous"), "Gap - Invalid Consent", "Compliant")))))</f>
        <v/>
      </c>
      <c r="O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>
        <f>IF(D1030="Legitimate Interest (GDPR Art. 6(1)(f))", "Yes / Required (Sheet 3)", "")</f>
        <v/>
      </c>
      <c r="L1030" s="7" t="n"/>
      <c r="M1030" s="7" t="n"/>
      <c r="N1030">
        <f>IF(D1030="", "Gap - No Legal Basis", IF(AND(D1030="Consent (GDPR Art. 6(1)(a))", I1030="Not Captured"), "Gap - Invalid Consent", IF(AND(D1030="Legitimate Interest (GDPR Art. 6(1)(f))", L1030=""), "Gap - Missing LIA", IF(AND(G1030="Yes", H1030=""), "Gap - Missing Art. 9 Basis", IF(OR(I1030="Invalid - Not Freely Given", I1030="Invalid - Not Specific", I1030="Invalid - Not Informed", I1030="Invalid - Ambiguous"), "Gap - Invalid Consent", "Compliant")))))</f>
        <v/>
      </c>
      <c r="O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>
        <f>IF(D1031="Legitimate Interest (GDPR Art. 6(1)(f))", "Yes / Required (Sheet 3)", "")</f>
        <v/>
      </c>
      <c r="L1031" s="7" t="n"/>
      <c r="M1031" s="7" t="n"/>
      <c r="N1031">
        <f>IF(D1031="", "Gap - No Legal Basis", IF(AND(D1031="Consent (GDPR Art. 6(1)(a))", I1031="Not Captured"), "Gap - Invalid Consent", IF(AND(D1031="Legitimate Interest (GDPR Art. 6(1)(f))", L1031=""), "Gap - Missing LIA", IF(AND(G1031="Yes", H1031=""), "Gap - Missing Art. 9 Basis", IF(OR(I1031="Invalid - Not Freely Given", I1031="Invalid - Not Specific", I1031="Invalid - Not Informed", I1031="Invalid - Ambiguous"), "Gap - Invalid Consent", "Compliant")))))</f>
        <v/>
      </c>
      <c r="O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>
        <f>IF(D1032="Legitimate Interest (GDPR Art. 6(1)(f))", "Yes / Required (Sheet 3)", "")</f>
        <v/>
      </c>
      <c r="L1032" s="7" t="n"/>
      <c r="M1032" s="7" t="n"/>
      <c r="N1032">
        <f>IF(D1032="", "Gap - No Legal Basis", IF(AND(D1032="Consent (GDPR Art. 6(1)(a))", I1032="Not Captured"), "Gap - Invalid Consent", IF(AND(D1032="Legitimate Interest (GDPR Art. 6(1)(f))", L1032=""), "Gap - Missing LIA", IF(AND(G1032="Yes", H1032=""), "Gap - Missing Art. 9 Basis", IF(OR(I1032="Invalid - Not Freely Given", I1032="Invalid - Not Specific", I1032="Invalid - Not Informed", I1032="Invalid - Ambiguous"), "Gap - Invalid Consent", "Compliant")))))</f>
        <v/>
      </c>
      <c r="O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>
        <f>IF(D1033="Legitimate Interest (GDPR Art. 6(1)(f))", "Yes / Required (Sheet 3)", "")</f>
        <v/>
      </c>
      <c r="L1033" s="7" t="n"/>
      <c r="M1033" s="7" t="n"/>
      <c r="N1033">
        <f>IF(D1033="", "Gap - No Legal Basis", IF(AND(D1033="Consent (GDPR Art. 6(1)(a))", I1033="Not Captured"), "Gap - Invalid Consent", IF(AND(D1033="Legitimate Interest (GDPR Art. 6(1)(f))", L1033=""), "Gap - Missing LIA", IF(AND(G1033="Yes", H1033=""), "Gap - Missing Art. 9 Basis", IF(OR(I1033="Invalid - Not Freely Given", I1033="Invalid - Not Specific", I1033="Invalid - Not Informed", I1033="Invalid - Ambiguous"), "Gap - Invalid Consent", "Compliant")))))</f>
        <v/>
      </c>
      <c r="O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>
        <f>IF(D1034="Legitimate Interest (GDPR Art. 6(1)(f))", "Yes / Required (Sheet 3)", "")</f>
        <v/>
      </c>
      <c r="L1034" s="7" t="n"/>
      <c r="M1034" s="7" t="n"/>
      <c r="N1034">
        <f>IF(D1034="", "Gap - No Legal Basis", IF(AND(D1034="Consent (GDPR Art. 6(1)(a))", I1034="Not Captured"), "Gap - Invalid Consent", IF(AND(D1034="Legitimate Interest (GDPR Art. 6(1)(f))", L1034=""), "Gap - Missing LIA", IF(AND(G1034="Yes", H1034=""), "Gap - Missing Art. 9 Basis", IF(OR(I1034="Invalid - Not Freely Given", I1034="Invalid - Not Specific", I1034="Invalid - Not Informed", I1034="Invalid - Ambiguous"), "Gap - Invalid Consent", "Compliant")))))</f>
        <v/>
      </c>
      <c r="O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>
        <f>IF(D1035="Legitimate Interest (GDPR Art. 6(1)(f))", "Yes / Required (Sheet 3)", "")</f>
        <v/>
      </c>
      <c r="L1035" s="7" t="n"/>
      <c r="M1035" s="7" t="n"/>
      <c r="N1035">
        <f>IF(D1035="", "Gap - No Legal Basis", IF(AND(D1035="Consent (GDPR Art. 6(1)(a))", I1035="Not Captured"), "Gap - Invalid Consent", IF(AND(D1035="Legitimate Interest (GDPR Art. 6(1)(f))", L1035=""), "Gap - Missing LIA", IF(AND(G1035="Yes", H1035=""), "Gap - Missing Art. 9 Basis", IF(OR(I1035="Invalid - Not Freely Given", I1035="Invalid - Not Specific", I1035="Invalid - Not Informed", I1035="Invalid - Ambiguous"), "Gap - Invalid Consent", "Compliant")))))</f>
        <v/>
      </c>
      <c r="O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>
        <f>IF(D1036="Legitimate Interest (GDPR Art. 6(1)(f))", "Yes / Required (Sheet 3)", "")</f>
        <v/>
      </c>
      <c r="L1036" s="7" t="n"/>
      <c r="M1036" s="7" t="n"/>
      <c r="N1036">
        <f>IF(D1036="", "Gap - No Legal Basis", IF(AND(D1036="Consent (GDPR Art. 6(1)(a))", I1036="Not Captured"), "Gap - Invalid Consent", IF(AND(D1036="Legitimate Interest (GDPR Art. 6(1)(f))", L1036=""), "Gap - Missing LIA", IF(AND(G1036="Yes", H1036=""), "Gap - Missing Art. 9 Basis", IF(OR(I1036="Invalid - Not Freely Given", I1036="Invalid - Not Specific", I1036="Invalid - Not Informed", I1036="Invalid - Ambiguous"), "Gap - Invalid Consent", "Compliant")))))</f>
        <v/>
      </c>
      <c r="O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>
        <f>IF(D1037="Legitimate Interest (GDPR Art. 6(1)(f))", "Yes / Required (Sheet 3)", "")</f>
        <v/>
      </c>
      <c r="L1037" s="7" t="n"/>
      <c r="M1037" s="7" t="n"/>
      <c r="N1037">
        <f>IF(D1037="", "Gap - No Legal Basis", IF(AND(D1037="Consent (GDPR Art. 6(1)(a))", I1037="Not Captured"), "Gap - Invalid Consent", IF(AND(D1037="Legitimate Interest (GDPR Art. 6(1)(f))", L1037=""), "Gap - Missing LIA", IF(AND(G1037="Yes", H1037=""), "Gap - Missing Art. 9 Basis", IF(OR(I1037="Invalid - Not Freely Given", I1037="Invalid - Not Specific", I1037="Invalid - Not Informed", I1037="Invalid - Ambiguous"), "Gap - Invalid Consent", "Compliant")))))</f>
        <v/>
      </c>
      <c r="O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>
        <f>IF(D1038="Legitimate Interest (GDPR Art. 6(1)(f))", "Yes / Required (Sheet 3)", "")</f>
        <v/>
      </c>
      <c r="L1038" s="7" t="n"/>
      <c r="M1038" s="7" t="n"/>
      <c r="N1038">
        <f>IF(D1038="", "Gap - No Legal Basis", IF(AND(D1038="Consent (GDPR Art. 6(1)(a))", I1038="Not Captured"), "Gap - Invalid Consent", IF(AND(D1038="Legitimate Interest (GDPR Art. 6(1)(f))", L1038=""), "Gap - Missing LIA", IF(AND(G1038="Yes", H1038=""), "Gap - Missing Art. 9 Basis", IF(OR(I1038="Invalid - Not Freely Given", I1038="Invalid - Not Specific", I1038="Invalid - Not Informed", I1038="Invalid - Ambiguous"), "Gap - Invalid Consent", "Compliant")))))</f>
        <v/>
      </c>
      <c r="O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>
        <f>IF(D1039="Legitimate Interest (GDPR Art. 6(1)(f))", "Yes / Required (Sheet 3)", "")</f>
        <v/>
      </c>
      <c r="L1039" s="7" t="n"/>
      <c r="M1039" s="7" t="n"/>
      <c r="N1039">
        <f>IF(D1039="", "Gap - No Legal Basis", IF(AND(D1039="Consent (GDPR Art. 6(1)(a))", I1039="Not Captured"), "Gap - Invalid Consent", IF(AND(D1039="Legitimate Interest (GDPR Art. 6(1)(f))", L1039=""), "Gap - Missing LIA", IF(AND(G1039="Yes", H1039=""), "Gap - Missing Art. 9 Basis", IF(OR(I1039="Invalid - Not Freely Given", I1039="Invalid - Not Specific", I1039="Invalid - Not Informed", I1039="Invalid - Ambiguous"), "Gap - Invalid Consent", "Compliant")))))</f>
        <v/>
      </c>
      <c r="O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>
        <f>IF(D1040="Legitimate Interest (GDPR Art. 6(1)(f))", "Yes / Required (Sheet 3)", "")</f>
        <v/>
      </c>
      <c r="L1040" s="7" t="n"/>
      <c r="M1040" s="7" t="n"/>
      <c r="N1040">
        <f>IF(D1040="", "Gap - No Legal Basis", IF(AND(D1040="Consent (GDPR Art. 6(1)(a))", I1040="Not Captured"), "Gap - Invalid Consent", IF(AND(D1040="Legitimate Interest (GDPR Art. 6(1)(f))", L1040=""), "Gap - Missing LIA", IF(AND(G1040="Yes", H1040=""), "Gap - Missing Art. 9 Basis", IF(OR(I1040="Invalid - Not Freely Given", I1040="Invalid - Not Specific", I1040="Invalid - Not Informed", I1040="Invalid - Ambiguous"), "Gap - Invalid Consent", "Compliant")))))</f>
        <v/>
      </c>
      <c r="O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>
        <f>IF(D1041="Legitimate Interest (GDPR Art. 6(1)(f))", "Yes / Required (Sheet 3)", "")</f>
        <v/>
      </c>
      <c r="L1041" s="7" t="n"/>
      <c r="M1041" s="7" t="n"/>
      <c r="N1041">
        <f>IF(D1041="", "Gap - No Legal Basis", IF(AND(D1041="Consent (GDPR Art. 6(1)(a))", I1041="Not Captured"), "Gap - Invalid Consent", IF(AND(D1041="Legitimate Interest (GDPR Art. 6(1)(f))", L1041=""), "Gap - Missing LIA", IF(AND(G1041="Yes", H1041=""), "Gap - Missing Art. 9 Basis", IF(OR(I1041="Invalid - Not Freely Given", I1041="Invalid - Not Specific", I1041="Invalid - Not Informed", I1041="Invalid - Ambiguous"), "Gap - Invalid Consent", "Compliant")))))</f>
        <v/>
      </c>
      <c r="O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>
        <f>IF(D1042="Legitimate Interest (GDPR Art. 6(1)(f))", "Yes / Required (Sheet 3)", "")</f>
        <v/>
      </c>
      <c r="L1042" s="7" t="n"/>
      <c r="M1042" s="7" t="n"/>
      <c r="N1042">
        <f>IF(D1042="", "Gap - No Legal Basis", IF(AND(D1042="Consent (GDPR Art. 6(1)(a))", I1042="Not Captured"), "Gap - Invalid Consent", IF(AND(D1042="Legitimate Interest (GDPR Art. 6(1)(f))", L1042=""), "Gap - Missing LIA", IF(AND(G1042="Yes", H1042=""), "Gap - Missing Art. 9 Basis", IF(OR(I1042="Invalid - Not Freely Given", I1042="Invalid - Not Specific", I1042="Invalid - Not Informed", I1042="Invalid - Ambiguous"), "Gap - Invalid Consent", "Compliant")))))</f>
        <v/>
      </c>
      <c r="O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>
        <f>IF(D1043="Legitimate Interest (GDPR Art. 6(1)(f))", "Yes / Required (Sheet 3)", "")</f>
        <v/>
      </c>
      <c r="L1043" s="7" t="n"/>
      <c r="M1043" s="7" t="n"/>
      <c r="N1043">
        <f>IF(D1043="", "Gap - No Legal Basis", IF(AND(D1043="Consent (GDPR Art. 6(1)(a))", I1043="Not Captured"), "Gap - Invalid Consent", IF(AND(D1043="Legitimate Interest (GDPR Art. 6(1)(f))", L1043=""), "Gap - Missing LIA", IF(AND(G1043="Yes", H1043=""), "Gap - Missing Art. 9 Basis", IF(OR(I1043="Invalid - Not Freely Given", I1043="Invalid - Not Specific", I1043="Invalid - Not Informed", I1043="Invalid - Ambiguous"), "Gap - Invalid Consent", "Compliant")))))</f>
        <v/>
      </c>
      <c r="O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>
        <f>IF(D1044="Legitimate Interest (GDPR Art. 6(1)(f))", "Yes / Required (Sheet 3)", "")</f>
        <v/>
      </c>
      <c r="L1044" s="7" t="n"/>
      <c r="M1044" s="7" t="n"/>
      <c r="N1044">
        <f>IF(D1044="", "Gap - No Legal Basis", IF(AND(D1044="Consent (GDPR Art. 6(1)(a))", I1044="Not Captured"), "Gap - Invalid Consent", IF(AND(D1044="Legitimate Interest (GDPR Art. 6(1)(f))", L1044=""), "Gap - Missing LIA", IF(AND(G1044="Yes", H1044=""), "Gap - Missing Art. 9 Basis", IF(OR(I1044="Invalid - Not Freely Given", I1044="Invalid - Not Specific", I1044="Invalid - Not Informed", I1044="Invalid - Ambiguous"), "Gap - Invalid Consent", "Compliant")))))</f>
        <v/>
      </c>
      <c r="O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>
        <f>IF(D1045="Legitimate Interest (GDPR Art. 6(1)(f))", "Yes / Required (Sheet 3)", "")</f>
        <v/>
      </c>
      <c r="L1045" s="7" t="n"/>
      <c r="M1045" s="7" t="n"/>
      <c r="N1045">
        <f>IF(D1045="", "Gap - No Legal Basis", IF(AND(D1045="Consent (GDPR Art. 6(1)(a))", I1045="Not Captured"), "Gap - Invalid Consent", IF(AND(D1045="Legitimate Interest (GDPR Art. 6(1)(f))", L1045=""), "Gap - Missing LIA", IF(AND(G1045="Yes", H1045=""), "Gap - Missing Art. 9 Basis", IF(OR(I1045="Invalid - Not Freely Given", I1045="Invalid - Not Specific", I1045="Invalid - Not Informed", I1045="Invalid - Ambiguous"), "Gap - Invalid Consent", "Compliant")))))</f>
        <v/>
      </c>
      <c r="O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>
        <f>IF(D1046="Legitimate Interest (GDPR Art. 6(1)(f))", "Yes / Required (Sheet 3)", "")</f>
        <v/>
      </c>
      <c r="L1046" s="7" t="n"/>
      <c r="M1046" s="7" t="n"/>
      <c r="N1046">
        <f>IF(D1046="", "Gap - No Legal Basis", IF(AND(D1046="Consent (GDPR Art. 6(1)(a))", I1046="Not Captured"), "Gap - Invalid Consent", IF(AND(D1046="Legitimate Interest (GDPR Art. 6(1)(f))", L1046=""), "Gap - Missing LIA", IF(AND(G1046="Yes", H1046=""), "Gap - Missing Art. 9 Basis", IF(OR(I1046="Invalid - Not Freely Given", I1046="Invalid - Not Specific", I1046="Invalid - Not Informed", I1046="Invalid - Ambiguous"), "Gap - Invalid Consent", "Compliant")))))</f>
        <v/>
      </c>
      <c r="O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>
        <f>IF(D1047="Legitimate Interest (GDPR Art. 6(1)(f))", "Yes / Required (Sheet 3)", "")</f>
        <v/>
      </c>
      <c r="L1047" s="7" t="n"/>
      <c r="M1047" s="7" t="n"/>
      <c r="N1047">
        <f>IF(D1047="", "Gap - No Legal Basis", IF(AND(D1047="Consent (GDPR Art. 6(1)(a))", I1047="Not Captured"), "Gap - Invalid Consent", IF(AND(D1047="Legitimate Interest (GDPR Art. 6(1)(f))", L1047=""), "Gap - Missing LIA", IF(AND(G1047="Yes", H1047=""), "Gap - Missing Art. 9 Basis", IF(OR(I1047="Invalid - Not Freely Given", I1047="Invalid - Not Specific", I1047="Invalid - Not Informed", I1047="Invalid - Ambiguous"), "Gap - Invalid Consent", "Compliant")))))</f>
        <v/>
      </c>
      <c r="O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>
        <f>IF(D1048="Legitimate Interest (GDPR Art. 6(1)(f))", "Yes / Required (Sheet 3)", "")</f>
        <v/>
      </c>
      <c r="L1048" s="7" t="n"/>
      <c r="M1048" s="7" t="n"/>
      <c r="N1048">
        <f>IF(D1048="", "Gap - No Legal Basis", IF(AND(D1048="Consent (GDPR Art. 6(1)(a))", I1048="Not Captured"), "Gap - Invalid Consent", IF(AND(D1048="Legitimate Interest (GDPR Art. 6(1)(f))", L1048=""), "Gap - Missing LIA", IF(AND(G1048="Yes", H1048=""), "Gap - Missing Art. 9 Basis", IF(OR(I1048="Invalid - Not Freely Given", I1048="Invalid - Not Specific", I1048="Invalid - Not Informed", I1048="Invalid - Ambiguous"), "Gap - Invalid Consent", "Compliant")))))</f>
        <v/>
      </c>
      <c r="O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>
        <f>IF(D1049="Legitimate Interest (GDPR Art. 6(1)(f))", "Yes / Required (Sheet 3)", "")</f>
        <v/>
      </c>
      <c r="L1049" s="7" t="n"/>
      <c r="M1049" s="7" t="n"/>
      <c r="N1049">
        <f>IF(D1049="", "Gap - No Legal Basis", IF(AND(D1049="Consent (GDPR Art. 6(1)(a))", I1049="Not Captured"), "Gap - Invalid Consent", IF(AND(D1049="Legitimate Interest (GDPR Art. 6(1)(f))", L1049=""), "Gap - Missing LIA", IF(AND(G1049="Yes", H1049=""), "Gap - Missing Art. 9 Basis", IF(OR(I1049="Invalid - Not Freely Given", I1049="Invalid - Not Specific", I1049="Invalid - Not Informed", I1049="Invalid - Ambiguous"), "Gap - Invalid Consent", "Compliant")))))</f>
        <v/>
      </c>
      <c r="O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>
        <f>IF(D1050="Legitimate Interest (GDPR Art. 6(1)(f))", "Yes / Required (Sheet 3)", "")</f>
        <v/>
      </c>
      <c r="L1050" s="7" t="n"/>
      <c r="M1050" s="7" t="n"/>
      <c r="N1050">
        <f>IF(D1050="", "Gap - No Legal Basis", IF(AND(D1050="Consent (GDPR Art. 6(1)(a))", I1050="Not Captured"), "Gap - Invalid Consent", IF(AND(D1050="Legitimate Interest (GDPR Art. 6(1)(f))", L1050=""), "Gap - Missing LIA", IF(AND(G1050="Yes", H1050=""), "Gap - Missing Art. 9 Basis", IF(OR(I1050="Invalid - Not Freely Given", I1050="Invalid - Not Specific", I1050="Invalid - Not Informed", I1050="Invalid - Ambiguous"), "Gap - Invalid Consent", "Compliant")))))</f>
        <v/>
      </c>
      <c r="O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>
        <f>IF(D1051="Legitimate Interest (GDPR Art. 6(1)(f))", "Yes / Required (Sheet 3)", "")</f>
        <v/>
      </c>
      <c r="L1051" s="7" t="n"/>
      <c r="M1051" s="7" t="n"/>
      <c r="N1051">
        <f>IF(D1051="", "Gap - No Legal Basis", IF(AND(D1051="Consent (GDPR Art. 6(1)(a))", I1051="Not Captured"), "Gap - Invalid Consent", IF(AND(D1051="Legitimate Interest (GDPR Art. 6(1)(f))", L1051=""), "Gap - Missing LIA", IF(AND(G1051="Yes", H1051=""), "Gap - Missing Art. 9 Basis", IF(OR(I1051="Invalid - Not Freely Given", I1051="Invalid - Not Specific", I1051="Invalid - Not Informed", I1051="Invalid - Ambiguous"), "Gap - Invalid Consent", "Compliant")))))</f>
        <v/>
      </c>
      <c r="O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>
        <f>IF(D1052="Legitimate Interest (GDPR Art. 6(1)(f))", "Yes / Required (Sheet 3)", "")</f>
        <v/>
      </c>
      <c r="L1052" s="7" t="n"/>
      <c r="M1052" s="7" t="n"/>
      <c r="N1052">
        <f>IF(D1052="", "Gap - No Legal Basis", IF(AND(D1052="Consent (GDPR Art. 6(1)(a))", I1052="Not Captured"), "Gap - Invalid Consent", IF(AND(D1052="Legitimate Interest (GDPR Art. 6(1)(f))", L1052=""), "Gap - Missing LIA", IF(AND(G1052="Yes", H1052=""), "Gap - Missing Art. 9 Basis", IF(OR(I1052="Invalid - Not Freely Given", I1052="Invalid - Not Specific", I1052="Invalid - Not Informed", I1052="Invalid - Ambiguous"), "Gap - Invalid Consent", "Compliant")))))</f>
        <v/>
      </c>
      <c r="O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>
        <f>IF(D1053="Legitimate Interest (GDPR Art. 6(1)(f))", "Yes / Required (Sheet 3)", "")</f>
        <v/>
      </c>
      <c r="L1053" s="7" t="n"/>
      <c r="M1053" s="7" t="n"/>
      <c r="N1053">
        <f>IF(D1053="", "Gap - No Legal Basis", IF(AND(D1053="Consent (GDPR Art. 6(1)(a))", I1053="Not Captured"), "Gap - Invalid Consent", IF(AND(D1053="Legitimate Interest (GDPR Art. 6(1)(f))", L1053=""), "Gap - Missing LIA", IF(AND(G1053="Yes", H1053=""), "Gap - Missing Art. 9 Basis", IF(OR(I1053="Invalid - Not Freely Given", I1053="Invalid - Not Specific", I1053="Invalid - Not Informed", I1053="Invalid - Ambiguous"), "Gap - Invalid Consent", "Compliant")))))</f>
        <v/>
      </c>
      <c r="O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>
        <f>IF(D1054="Legitimate Interest (GDPR Art. 6(1)(f))", "Yes / Required (Sheet 3)", "")</f>
        <v/>
      </c>
      <c r="L1054" s="7" t="n"/>
      <c r="M1054" s="7" t="n"/>
      <c r="N1054">
        <f>IF(D1054="", "Gap - No Legal Basis", IF(AND(D1054="Consent (GDPR Art. 6(1)(a))", I1054="Not Captured"), "Gap - Invalid Consent", IF(AND(D1054="Legitimate Interest (GDPR Art. 6(1)(f))", L1054=""), "Gap - Missing LIA", IF(AND(G1054="Yes", H1054=""), "Gap - Missing Art. 9 Basis", IF(OR(I1054="Invalid - Not Freely Given", I1054="Invalid - Not Specific", I1054="Invalid - Not Informed", I1054="Invalid - Ambiguous"), "Gap - Invalid Consent", "Compliant")))))</f>
        <v/>
      </c>
      <c r="O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>
        <f>IF(D1055="Legitimate Interest (GDPR Art. 6(1)(f))", "Yes / Required (Sheet 3)", "")</f>
        <v/>
      </c>
      <c r="L1055" s="7" t="n"/>
      <c r="M1055" s="7" t="n"/>
      <c r="N1055">
        <f>IF(D1055="", "Gap - No Legal Basis", IF(AND(D1055="Consent (GDPR Art. 6(1)(a))", I1055="Not Captured"), "Gap - Invalid Consent", IF(AND(D1055="Legitimate Interest (GDPR Art. 6(1)(f))", L1055=""), "Gap - Missing LIA", IF(AND(G1055="Yes", H1055=""), "Gap - Missing Art. 9 Basis", IF(OR(I1055="Invalid - Not Freely Given", I1055="Invalid - Not Specific", I1055="Invalid - Not Informed", I1055="Invalid - Ambiguous"), "Gap - Invalid Consent", "Compliant")))))</f>
        <v/>
      </c>
      <c r="O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>
        <f>IF(D1056="Legitimate Interest (GDPR Art. 6(1)(f))", "Yes / Required (Sheet 3)", "")</f>
        <v/>
      </c>
      <c r="L1056" s="7" t="n"/>
      <c r="M1056" s="7" t="n"/>
      <c r="N1056">
        <f>IF(D1056="", "Gap - No Legal Basis", IF(AND(D1056="Consent (GDPR Art. 6(1)(a))", I1056="Not Captured"), "Gap - Invalid Consent", IF(AND(D1056="Legitimate Interest (GDPR Art. 6(1)(f))", L1056=""), "Gap - Missing LIA", IF(AND(G1056="Yes", H1056=""), "Gap - Missing Art. 9 Basis", IF(OR(I1056="Invalid - Not Freely Given", I1056="Invalid - Not Specific", I1056="Invalid - Not Informed", I1056="Invalid - Ambiguous"), "Gap - Invalid Consent", "Compliant")))))</f>
        <v/>
      </c>
      <c r="O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>
        <f>IF(D1057="Legitimate Interest (GDPR Art. 6(1)(f))", "Yes / Required (Sheet 3)", "")</f>
        <v/>
      </c>
      <c r="L1057" s="7" t="n"/>
      <c r="M1057" s="7" t="n"/>
      <c r="N1057">
        <f>IF(D1057="", "Gap - No Legal Basis", IF(AND(D1057="Consent (GDPR Art. 6(1)(a))", I1057="Not Captured"), "Gap - Invalid Consent", IF(AND(D1057="Legitimate Interest (GDPR Art. 6(1)(f))", L1057=""), "Gap - Missing LIA", IF(AND(G1057="Yes", H1057=""), "Gap - Missing Art. 9 Basis", IF(OR(I1057="Invalid - Not Freely Given", I1057="Invalid - Not Specific", I1057="Invalid - Not Informed", I1057="Invalid - Ambiguous"), "Gap - Invalid Consent", "Compliant")))))</f>
        <v/>
      </c>
      <c r="O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>
        <f>IF(D1058="Legitimate Interest (GDPR Art. 6(1)(f))", "Yes / Required (Sheet 3)", "")</f>
        <v/>
      </c>
      <c r="L1058" s="7" t="n"/>
      <c r="M1058" s="7" t="n"/>
      <c r="N1058">
        <f>IF(D1058="", "Gap - No Legal Basis", IF(AND(D1058="Consent (GDPR Art. 6(1)(a))", I1058="Not Captured"), "Gap - Invalid Consent", IF(AND(D1058="Legitimate Interest (GDPR Art. 6(1)(f))", L1058=""), "Gap - Missing LIA", IF(AND(G1058="Yes", H1058=""), "Gap - Missing Art. 9 Basis", IF(OR(I1058="Invalid - Not Freely Given", I1058="Invalid - Not Specific", I1058="Invalid - Not Informed", I1058="Invalid - Ambiguous"), "Gap - Invalid Consent", "Compliant")))))</f>
        <v/>
      </c>
      <c r="O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>
        <f>IF(D1059="Legitimate Interest (GDPR Art. 6(1)(f))", "Yes / Required (Sheet 3)", "")</f>
        <v/>
      </c>
      <c r="L1059" s="7" t="n"/>
      <c r="M1059" s="7" t="n"/>
      <c r="N1059">
        <f>IF(D1059="", "Gap - No Legal Basis", IF(AND(D1059="Consent (GDPR Art. 6(1)(a))", I1059="Not Captured"), "Gap - Invalid Consent", IF(AND(D1059="Legitimate Interest (GDPR Art. 6(1)(f))", L1059=""), "Gap - Missing LIA", IF(AND(G1059="Yes", H1059=""), "Gap - Missing Art. 9 Basis", IF(OR(I1059="Invalid - Not Freely Given", I1059="Invalid - Not Specific", I1059="Invalid - Not Informed", I1059="Invalid - Ambiguous"), "Gap - Invalid Consent", "Compliant")))))</f>
        <v/>
      </c>
      <c r="O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>
        <f>IF(D1060="Legitimate Interest (GDPR Art. 6(1)(f))", "Yes / Required (Sheet 3)", "")</f>
        <v/>
      </c>
      <c r="L1060" s="7" t="n"/>
      <c r="M1060" s="7" t="n"/>
      <c r="N1060">
        <f>IF(D1060="", "Gap - No Legal Basis", IF(AND(D1060="Consent (GDPR Art. 6(1)(a))", I1060="Not Captured"), "Gap - Invalid Consent", IF(AND(D1060="Legitimate Interest (GDPR Art. 6(1)(f))", L1060=""), "Gap - Missing LIA", IF(AND(G1060="Yes", H1060=""), "Gap - Missing Art. 9 Basis", IF(OR(I1060="Invalid - Not Freely Given", I1060="Invalid - Not Specific", I1060="Invalid - Not Informed", I1060="Invalid - Ambiguous"), "Gap - Invalid Consent", "Compliant")))))</f>
        <v/>
      </c>
      <c r="O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>
        <f>IF(D1061="Legitimate Interest (GDPR Art. 6(1)(f))", "Yes / Required (Sheet 3)", "")</f>
        <v/>
      </c>
      <c r="L1061" s="7" t="n"/>
      <c r="M1061" s="7" t="n"/>
      <c r="N1061">
        <f>IF(D1061="", "Gap - No Legal Basis", IF(AND(D1061="Consent (GDPR Art. 6(1)(a))", I1061="Not Captured"), "Gap - Invalid Consent", IF(AND(D1061="Legitimate Interest (GDPR Art. 6(1)(f))", L1061=""), "Gap - Missing LIA", IF(AND(G1061="Yes", H1061=""), "Gap - Missing Art. 9 Basis", IF(OR(I1061="Invalid - Not Freely Given", I1061="Invalid - Not Specific", I1061="Invalid - Not Informed", I1061="Invalid - Ambiguous"), "Gap - Invalid Consent", "Compliant")))))</f>
        <v/>
      </c>
      <c r="O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>
        <f>IF(D1062="Legitimate Interest (GDPR Art. 6(1)(f))", "Yes / Required (Sheet 3)", "")</f>
        <v/>
      </c>
      <c r="L1062" s="7" t="n"/>
      <c r="M1062" s="7" t="n"/>
      <c r="N1062">
        <f>IF(D1062="", "Gap - No Legal Basis", IF(AND(D1062="Consent (GDPR Art. 6(1)(a))", I1062="Not Captured"), "Gap - Invalid Consent", IF(AND(D1062="Legitimate Interest (GDPR Art. 6(1)(f))", L1062=""), "Gap - Missing LIA", IF(AND(G1062="Yes", H1062=""), "Gap - Missing Art. 9 Basis", IF(OR(I1062="Invalid - Not Freely Given", I1062="Invalid - Not Specific", I1062="Invalid - Not Informed", I1062="Invalid - Ambiguous"), "Gap - Invalid Consent", "Compliant")))))</f>
        <v/>
      </c>
      <c r="O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>
        <f>IF(D1063="Legitimate Interest (GDPR Art. 6(1)(f))", "Yes / Required (Sheet 3)", "")</f>
        <v/>
      </c>
      <c r="L1063" s="7" t="n"/>
      <c r="M1063" s="7" t="n"/>
      <c r="N1063">
        <f>IF(D1063="", "Gap - No Legal Basis", IF(AND(D1063="Consent (GDPR Art. 6(1)(a))", I1063="Not Captured"), "Gap - Invalid Consent", IF(AND(D1063="Legitimate Interest (GDPR Art. 6(1)(f))", L1063=""), "Gap - Missing LIA", IF(AND(G1063="Yes", H1063=""), "Gap - Missing Art. 9 Basis", IF(OR(I1063="Invalid - Not Freely Given", I1063="Invalid - Not Specific", I1063="Invalid - Not Informed", I1063="Invalid - Ambiguous"), "Gap - Invalid Consent", "Compliant")))))</f>
        <v/>
      </c>
      <c r="O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>
        <f>IF(D1064="Legitimate Interest (GDPR Art. 6(1)(f))", "Yes / Required (Sheet 3)", "")</f>
        <v/>
      </c>
      <c r="L1064" s="7" t="n"/>
      <c r="M1064" s="7" t="n"/>
      <c r="N1064">
        <f>IF(D1064="", "Gap - No Legal Basis", IF(AND(D1064="Consent (GDPR Art. 6(1)(a))", I1064="Not Captured"), "Gap - Invalid Consent", IF(AND(D1064="Legitimate Interest (GDPR Art. 6(1)(f))", L1064=""), "Gap - Missing LIA", IF(AND(G1064="Yes", H1064=""), "Gap - Missing Art. 9 Basis", IF(OR(I1064="Invalid - Not Freely Given", I1064="Invalid - Not Specific", I1064="Invalid - Not Informed", I1064="Invalid - Ambiguous"), "Gap - Invalid Consent", "Compliant")))))</f>
        <v/>
      </c>
      <c r="O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>
        <f>IF(D1065="Legitimate Interest (GDPR Art. 6(1)(f))", "Yes / Required (Sheet 3)", "")</f>
        <v/>
      </c>
      <c r="L1065" s="7" t="n"/>
      <c r="M1065" s="7" t="n"/>
      <c r="N1065">
        <f>IF(D1065="", "Gap - No Legal Basis", IF(AND(D1065="Consent (GDPR Art. 6(1)(a))", I1065="Not Captured"), "Gap - Invalid Consent", IF(AND(D1065="Legitimate Interest (GDPR Art. 6(1)(f))", L1065=""), "Gap - Missing LIA", IF(AND(G1065="Yes", H1065=""), "Gap - Missing Art. 9 Basis", IF(OR(I1065="Invalid - Not Freely Given", I1065="Invalid - Not Specific", I1065="Invalid - Not Informed", I1065="Invalid - Ambiguous"), "Gap - Invalid Consent", "Compliant")))))</f>
        <v/>
      </c>
      <c r="O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>
        <f>IF(D1066="Legitimate Interest (GDPR Art. 6(1)(f))", "Yes / Required (Sheet 3)", "")</f>
        <v/>
      </c>
      <c r="L1066" s="7" t="n"/>
      <c r="M1066" s="7" t="n"/>
      <c r="N1066">
        <f>IF(D1066="", "Gap - No Legal Basis", IF(AND(D1066="Consent (GDPR Art. 6(1)(a))", I1066="Not Captured"), "Gap - Invalid Consent", IF(AND(D1066="Legitimate Interest (GDPR Art. 6(1)(f))", L1066=""), "Gap - Missing LIA", IF(AND(G1066="Yes", H1066=""), "Gap - Missing Art. 9 Basis", IF(OR(I1066="Invalid - Not Freely Given", I1066="Invalid - Not Specific", I1066="Invalid - Not Informed", I1066="Invalid - Ambiguous"), "Gap - Invalid Consent", "Compliant")))))</f>
        <v/>
      </c>
      <c r="O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>
        <f>IF(D1067="Legitimate Interest (GDPR Art. 6(1)(f))", "Yes / Required (Sheet 3)", "")</f>
        <v/>
      </c>
      <c r="L1067" s="7" t="n"/>
      <c r="M1067" s="7" t="n"/>
      <c r="N1067">
        <f>IF(D1067="", "Gap - No Legal Basis", IF(AND(D1067="Consent (GDPR Art. 6(1)(a))", I1067="Not Captured"), "Gap - Invalid Consent", IF(AND(D1067="Legitimate Interest (GDPR Art. 6(1)(f))", L1067=""), "Gap - Missing LIA", IF(AND(G1067="Yes", H1067=""), "Gap - Missing Art. 9 Basis", IF(OR(I1067="Invalid - Not Freely Given", I1067="Invalid - Not Specific", I1067="Invalid - Not Informed", I1067="Invalid - Ambiguous"), "Gap - Invalid Consent", "Compliant")))))</f>
        <v/>
      </c>
      <c r="O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>
        <f>IF(D1068="Legitimate Interest (GDPR Art. 6(1)(f))", "Yes / Required (Sheet 3)", "")</f>
        <v/>
      </c>
      <c r="L1068" s="7" t="n"/>
      <c r="M1068" s="7" t="n"/>
      <c r="N1068">
        <f>IF(D1068="", "Gap - No Legal Basis", IF(AND(D1068="Consent (GDPR Art. 6(1)(a))", I1068="Not Captured"), "Gap - Invalid Consent", IF(AND(D1068="Legitimate Interest (GDPR Art. 6(1)(f))", L1068=""), "Gap - Missing LIA", IF(AND(G1068="Yes", H1068=""), "Gap - Missing Art. 9 Basis", IF(OR(I1068="Invalid - Not Freely Given", I1068="Invalid - Not Specific", I1068="Invalid - Not Informed", I1068="Invalid - Ambiguous"), "Gap - Invalid Consent", "Compliant")))))</f>
        <v/>
      </c>
      <c r="O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>
        <f>IF(D1069="Legitimate Interest (GDPR Art. 6(1)(f))", "Yes / Required (Sheet 3)", "")</f>
        <v/>
      </c>
      <c r="L1069" s="7" t="n"/>
      <c r="M1069" s="7" t="n"/>
      <c r="N1069">
        <f>IF(D1069="", "Gap - No Legal Basis", IF(AND(D1069="Consent (GDPR Art. 6(1)(a))", I1069="Not Captured"), "Gap - Invalid Consent", IF(AND(D1069="Legitimate Interest (GDPR Art. 6(1)(f))", L1069=""), "Gap - Missing LIA", IF(AND(G1069="Yes", H1069=""), "Gap - Missing Art. 9 Basis", IF(OR(I1069="Invalid - Not Freely Given", I1069="Invalid - Not Specific", I1069="Invalid - Not Informed", I1069="Invalid - Ambiguous"), "Gap - Invalid Consent", "Compliant")))))</f>
        <v/>
      </c>
      <c r="O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>
        <f>IF(D1070="Legitimate Interest (GDPR Art. 6(1)(f))", "Yes / Required (Sheet 3)", "")</f>
        <v/>
      </c>
      <c r="L1070" s="7" t="n"/>
      <c r="M1070" s="7" t="n"/>
      <c r="N1070">
        <f>IF(D1070="", "Gap - No Legal Basis", IF(AND(D1070="Consent (GDPR Art. 6(1)(a))", I1070="Not Captured"), "Gap - Invalid Consent", IF(AND(D1070="Legitimate Interest (GDPR Art. 6(1)(f))", L1070=""), "Gap - Missing LIA", IF(AND(G1070="Yes", H1070=""), "Gap - Missing Art. 9 Basis", IF(OR(I1070="Invalid - Not Freely Given", I1070="Invalid - Not Specific", I1070="Invalid - Not Informed", I1070="Invalid - Ambiguous"), "Gap - Invalid Consent", "Compliant")))))</f>
        <v/>
      </c>
      <c r="O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>
        <f>IF(D1071="Legitimate Interest (GDPR Art. 6(1)(f))", "Yes / Required (Sheet 3)", "")</f>
        <v/>
      </c>
      <c r="L1071" s="7" t="n"/>
      <c r="M1071" s="7" t="n"/>
      <c r="N1071">
        <f>IF(D1071="", "Gap - No Legal Basis", IF(AND(D1071="Consent (GDPR Art. 6(1)(a))", I1071="Not Captured"), "Gap - Invalid Consent", IF(AND(D1071="Legitimate Interest (GDPR Art. 6(1)(f))", L1071=""), "Gap - Missing LIA", IF(AND(G1071="Yes", H1071=""), "Gap - Missing Art. 9 Basis", IF(OR(I1071="Invalid - Not Freely Given", I1071="Invalid - Not Specific", I1071="Invalid - Not Informed", I1071="Invalid - Ambiguous"), "Gap - Invalid Consent", "Compliant")))))</f>
        <v/>
      </c>
      <c r="O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>
        <f>IF(D1072="Legitimate Interest (GDPR Art. 6(1)(f))", "Yes / Required (Sheet 3)", "")</f>
        <v/>
      </c>
      <c r="L1072" s="7" t="n"/>
      <c r="M1072" s="7" t="n"/>
      <c r="N1072">
        <f>IF(D1072="", "Gap - No Legal Basis", IF(AND(D1072="Consent (GDPR Art. 6(1)(a))", I1072="Not Captured"), "Gap - Invalid Consent", IF(AND(D1072="Legitimate Interest (GDPR Art. 6(1)(f))", L1072=""), "Gap - Missing LIA", IF(AND(G1072="Yes", H1072=""), "Gap - Missing Art. 9 Basis", IF(OR(I1072="Invalid - Not Freely Given", I1072="Invalid - Not Specific", I1072="Invalid - Not Informed", I1072="Invalid - Ambiguous"), "Gap - Invalid Consent", "Compliant")))))</f>
        <v/>
      </c>
      <c r="O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>
        <f>IF(D1073="Legitimate Interest (GDPR Art. 6(1)(f))", "Yes / Required (Sheet 3)", "")</f>
        <v/>
      </c>
      <c r="L1073" s="7" t="n"/>
      <c r="M1073" s="7" t="n"/>
      <c r="N1073">
        <f>IF(D1073="", "Gap - No Legal Basis", IF(AND(D1073="Consent (GDPR Art. 6(1)(a))", I1073="Not Captured"), "Gap - Invalid Consent", IF(AND(D1073="Legitimate Interest (GDPR Art. 6(1)(f))", L1073=""), "Gap - Missing LIA", IF(AND(G1073="Yes", H1073=""), "Gap - Missing Art. 9 Basis", IF(OR(I1073="Invalid - Not Freely Given", I1073="Invalid - Not Specific", I1073="Invalid - Not Informed", I1073="Invalid - Ambiguous"), "Gap - Invalid Consent", "Compliant")))))</f>
        <v/>
      </c>
      <c r="O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>
        <f>IF(D1074="Legitimate Interest (GDPR Art. 6(1)(f))", "Yes / Required (Sheet 3)", "")</f>
        <v/>
      </c>
      <c r="L1074" s="7" t="n"/>
      <c r="M1074" s="7" t="n"/>
      <c r="N1074">
        <f>IF(D1074="", "Gap - No Legal Basis", IF(AND(D1074="Consent (GDPR Art. 6(1)(a))", I1074="Not Captured"), "Gap - Invalid Consent", IF(AND(D1074="Legitimate Interest (GDPR Art. 6(1)(f))", L1074=""), "Gap - Missing LIA", IF(AND(G1074="Yes", H1074=""), "Gap - Missing Art. 9 Basis", IF(OR(I1074="Invalid - Not Freely Given", I1074="Invalid - Not Specific", I1074="Invalid - Not Informed", I1074="Invalid - Ambiguous"), "Gap - Invalid Consent", "Compliant")))))</f>
        <v/>
      </c>
      <c r="O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>
        <f>IF(D1075="Legitimate Interest (GDPR Art. 6(1)(f))", "Yes / Required (Sheet 3)", "")</f>
        <v/>
      </c>
      <c r="L1075" s="7" t="n"/>
      <c r="M1075" s="7" t="n"/>
      <c r="N1075">
        <f>IF(D1075="", "Gap - No Legal Basis", IF(AND(D1075="Consent (GDPR Art. 6(1)(a))", I1075="Not Captured"), "Gap - Invalid Consent", IF(AND(D1075="Legitimate Interest (GDPR Art. 6(1)(f))", L1075=""), "Gap - Missing LIA", IF(AND(G1075="Yes", H1075=""), "Gap - Missing Art. 9 Basis", IF(OR(I1075="Invalid - Not Freely Given", I1075="Invalid - Not Specific", I1075="Invalid - Not Informed", I1075="Invalid - Ambiguous"), "Gap - Invalid Consent", "Compliant")))))</f>
        <v/>
      </c>
      <c r="O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>
        <f>IF(D1076="Legitimate Interest (GDPR Art. 6(1)(f))", "Yes / Required (Sheet 3)", "")</f>
        <v/>
      </c>
      <c r="L1076" s="7" t="n"/>
      <c r="M1076" s="7" t="n"/>
      <c r="N1076">
        <f>IF(D1076="", "Gap - No Legal Basis", IF(AND(D1076="Consent (GDPR Art. 6(1)(a))", I1076="Not Captured"), "Gap - Invalid Consent", IF(AND(D1076="Legitimate Interest (GDPR Art. 6(1)(f))", L1076=""), "Gap - Missing LIA", IF(AND(G1076="Yes", H1076=""), "Gap - Missing Art. 9 Basis", IF(OR(I1076="Invalid - Not Freely Given", I1076="Invalid - Not Specific", I1076="Invalid - Not Informed", I1076="Invalid - Ambiguous"), "Gap - Invalid Consent", "Compliant")))))</f>
        <v/>
      </c>
      <c r="O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>
        <f>IF(D1077="Legitimate Interest (GDPR Art. 6(1)(f))", "Yes / Required (Sheet 3)", "")</f>
        <v/>
      </c>
      <c r="L1077" s="7" t="n"/>
      <c r="M1077" s="7" t="n"/>
      <c r="N1077">
        <f>IF(D1077="", "Gap - No Legal Basis", IF(AND(D1077="Consent (GDPR Art. 6(1)(a))", I1077="Not Captured"), "Gap - Invalid Consent", IF(AND(D1077="Legitimate Interest (GDPR Art. 6(1)(f))", L1077=""), "Gap - Missing LIA", IF(AND(G1077="Yes", H1077=""), "Gap - Missing Art. 9 Basis", IF(OR(I1077="Invalid - Not Freely Given", I1077="Invalid - Not Specific", I1077="Invalid - Not Informed", I1077="Invalid - Ambiguous"), "Gap - Invalid Consent", "Compliant")))))</f>
        <v/>
      </c>
      <c r="O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>
        <f>IF(D1078="Legitimate Interest (GDPR Art. 6(1)(f))", "Yes / Required (Sheet 3)", "")</f>
        <v/>
      </c>
      <c r="L1078" s="7" t="n"/>
      <c r="M1078" s="7" t="n"/>
      <c r="N1078">
        <f>IF(D1078="", "Gap - No Legal Basis", IF(AND(D1078="Consent (GDPR Art. 6(1)(a))", I1078="Not Captured"), "Gap - Invalid Consent", IF(AND(D1078="Legitimate Interest (GDPR Art. 6(1)(f))", L1078=""), "Gap - Missing LIA", IF(AND(G1078="Yes", H1078=""), "Gap - Missing Art. 9 Basis", IF(OR(I1078="Invalid - Not Freely Given", I1078="Invalid - Not Specific", I1078="Invalid - Not Informed", I1078="Invalid - Ambiguous"), "Gap - Invalid Consent", "Compliant")))))</f>
        <v/>
      </c>
      <c r="O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>
        <f>IF(D1079="Legitimate Interest (GDPR Art. 6(1)(f))", "Yes / Required (Sheet 3)", "")</f>
        <v/>
      </c>
      <c r="L1079" s="7" t="n"/>
      <c r="M1079" s="7" t="n"/>
      <c r="N1079">
        <f>IF(D1079="", "Gap - No Legal Basis", IF(AND(D1079="Consent (GDPR Art. 6(1)(a))", I1079="Not Captured"), "Gap - Invalid Consent", IF(AND(D1079="Legitimate Interest (GDPR Art. 6(1)(f))", L1079=""), "Gap - Missing LIA", IF(AND(G1079="Yes", H1079=""), "Gap - Missing Art. 9 Basis", IF(OR(I1079="Invalid - Not Freely Given", I1079="Invalid - Not Specific", I1079="Invalid - Not Informed", I1079="Invalid - Ambiguous"), "Gap - Invalid Consent", "Compliant")))))</f>
        <v/>
      </c>
      <c r="O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>
        <f>IF(D1080="Legitimate Interest (GDPR Art. 6(1)(f))", "Yes / Required (Sheet 3)", "")</f>
        <v/>
      </c>
      <c r="L1080" s="7" t="n"/>
      <c r="M1080" s="7" t="n"/>
      <c r="N1080">
        <f>IF(D1080="", "Gap - No Legal Basis", IF(AND(D1080="Consent (GDPR Art. 6(1)(a))", I1080="Not Captured"), "Gap - Invalid Consent", IF(AND(D1080="Legitimate Interest (GDPR Art. 6(1)(f))", L1080=""), "Gap - Missing LIA", IF(AND(G1080="Yes", H1080=""), "Gap - Missing Art. 9 Basis", IF(OR(I1080="Invalid - Not Freely Given", I1080="Invalid - Not Specific", I1080="Invalid - Not Informed", I1080="Invalid - Ambiguous"), "Gap - Invalid Consent", "Compliant")))))</f>
        <v/>
      </c>
      <c r="O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>
        <f>IF(D1081="Legitimate Interest (GDPR Art. 6(1)(f))", "Yes / Required (Sheet 3)", "")</f>
        <v/>
      </c>
      <c r="L1081" s="7" t="n"/>
      <c r="M1081" s="7" t="n"/>
      <c r="N1081">
        <f>IF(D1081="", "Gap - No Legal Basis", IF(AND(D1081="Consent (GDPR Art. 6(1)(a))", I1081="Not Captured"), "Gap - Invalid Consent", IF(AND(D1081="Legitimate Interest (GDPR Art. 6(1)(f))", L1081=""), "Gap - Missing LIA", IF(AND(G1081="Yes", H1081=""), "Gap - Missing Art. 9 Basis", IF(OR(I1081="Invalid - Not Freely Given", I1081="Invalid - Not Specific", I1081="Invalid - Not Informed", I1081="Invalid - Ambiguous"), "Gap - Invalid Consent", "Compliant")))))</f>
        <v/>
      </c>
      <c r="O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>
        <f>IF(D1082="Legitimate Interest (GDPR Art. 6(1)(f))", "Yes / Required (Sheet 3)", "")</f>
        <v/>
      </c>
      <c r="L1082" s="7" t="n"/>
      <c r="M1082" s="7" t="n"/>
      <c r="N1082">
        <f>IF(D1082="", "Gap - No Legal Basis", IF(AND(D1082="Consent (GDPR Art. 6(1)(a))", I1082="Not Captured"), "Gap - Invalid Consent", IF(AND(D1082="Legitimate Interest (GDPR Art. 6(1)(f))", L1082=""), "Gap - Missing LIA", IF(AND(G1082="Yes", H1082=""), "Gap - Missing Art. 9 Basis", IF(OR(I1082="Invalid - Not Freely Given", I1082="Invalid - Not Specific", I1082="Invalid - Not Informed", I1082="Invalid - Ambiguous"), "Gap - Invalid Consent", "Compliant")))))</f>
        <v/>
      </c>
      <c r="O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>
        <f>IF(D1083="Legitimate Interest (GDPR Art. 6(1)(f))", "Yes / Required (Sheet 3)", "")</f>
        <v/>
      </c>
      <c r="L1083" s="7" t="n"/>
      <c r="M1083" s="7" t="n"/>
      <c r="N1083">
        <f>IF(D1083="", "Gap - No Legal Basis", IF(AND(D1083="Consent (GDPR Art. 6(1)(a))", I1083="Not Captured"), "Gap - Invalid Consent", IF(AND(D1083="Legitimate Interest (GDPR Art. 6(1)(f))", L1083=""), "Gap - Missing LIA", IF(AND(G1083="Yes", H1083=""), "Gap - Missing Art. 9 Basis", IF(OR(I1083="Invalid - Not Freely Given", I1083="Invalid - Not Specific", I1083="Invalid - Not Informed", I1083="Invalid - Ambiguous"), "Gap - Invalid Consent", "Compliant")))))</f>
        <v/>
      </c>
      <c r="O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>
        <f>IF(D1084="Legitimate Interest (GDPR Art. 6(1)(f))", "Yes / Required (Sheet 3)", "")</f>
        <v/>
      </c>
      <c r="L1084" s="7" t="n"/>
      <c r="M1084" s="7" t="n"/>
      <c r="N1084">
        <f>IF(D1084="", "Gap - No Legal Basis", IF(AND(D1084="Consent (GDPR Art. 6(1)(a))", I1084="Not Captured"), "Gap - Invalid Consent", IF(AND(D1084="Legitimate Interest (GDPR Art. 6(1)(f))", L1084=""), "Gap - Missing LIA", IF(AND(G1084="Yes", H1084=""), "Gap - Missing Art. 9 Basis", IF(OR(I1084="Invalid - Not Freely Given", I1084="Invalid - Not Specific", I1084="Invalid - Not Informed", I1084="Invalid - Ambiguous"), "Gap - Invalid Consent", "Compliant")))))</f>
        <v/>
      </c>
      <c r="O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>
        <f>IF(D1085="Legitimate Interest (GDPR Art. 6(1)(f))", "Yes / Required (Sheet 3)", "")</f>
        <v/>
      </c>
      <c r="L1085" s="7" t="n"/>
      <c r="M1085" s="7" t="n"/>
      <c r="N1085">
        <f>IF(D1085="", "Gap - No Legal Basis", IF(AND(D1085="Consent (GDPR Art. 6(1)(a))", I1085="Not Captured"), "Gap - Invalid Consent", IF(AND(D1085="Legitimate Interest (GDPR Art. 6(1)(f))", L1085=""), "Gap - Missing LIA", IF(AND(G1085="Yes", H1085=""), "Gap - Missing Art. 9 Basis", IF(OR(I1085="Invalid - Not Freely Given", I1085="Invalid - Not Specific", I1085="Invalid - Not Informed", I1085="Invalid - Ambiguous"), "Gap - Invalid Consent", "Compliant")))))</f>
        <v/>
      </c>
      <c r="O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>
        <f>IF(D1086="Legitimate Interest (GDPR Art. 6(1)(f))", "Yes / Required (Sheet 3)", "")</f>
        <v/>
      </c>
      <c r="L1086" s="7" t="n"/>
      <c r="M1086" s="7" t="n"/>
      <c r="N1086">
        <f>IF(D1086="", "Gap - No Legal Basis", IF(AND(D1086="Consent (GDPR Art. 6(1)(a))", I1086="Not Captured"), "Gap - Invalid Consent", IF(AND(D1086="Legitimate Interest (GDPR Art. 6(1)(f))", L1086=""), "Gap - Missing LIA", IF(AND(G1086="Yes", H1086=""), "Gap - Missing Art. 9 Basis", IF(OR(I1086="Invalid - Not Freely Given", I1086="Invalid - Not Specific", I1086="Invalid - Not Informed", I1086="Invalid - Ambiguous"), "Gap - Invalid Consent", "Compliant")))))</f>
        <v/>
      </c>
      <c r="O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>
        <f>IF(D1087="Legitimate Interest (GDPR Art. 6(1)(f))", "Yes / Required (Sheet 3)", "")</f>
        <v/>
      </c>
      <c r="L1087" s="7" t="n"/>
      <c r="M1087" s="7" t="n"/>
      <c r="N1087">
        <f>IF(D1087="", "Gap - No Legal Basis", IF(AND(D1087="Consent (GDPR Art. 6(1)(a))", I1087="Not Captured"), "Gap - Invalid Consent", IF(AND(D1087="Legitimate Interest (GDPR Art. 6(1)(f))", L1087=""), "Gap - Missing LIA", IF(AND(G1087="Yes", H1087=""), "Gap - Missing Art. 9 Basis", IF(OR(I1087="Invalid - Not Freely Given", I1087="Invalid - Not Specific", I1087="Invalid - Not Informed", I1087="Invalid - Ambiguous"), "Gap - Invalid Consent", "Compliant")))))</f>
        <v/>
      </c>
      <c r="O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>
        <f>IF(D1088="Legitimate Interest (GDPR Art. 6(1)(f))", "Yes / Required (Sheet 3)", "")</f>
        <v/>
      </c>
      <c r="L1088" s="7" t="n"/>
      <c r="M1088" s="7" t="n"/>
      <c r="N1088">
        <f>IF(D1088="", "Gap - No Legal Basis", IF(AND(D1088="Consent (GDPR Art. 6(1)(a))", I1088="Not Captured"), "Gap - Invalid Consent", IF(AND(D1088="Legitimate Interest (GDPR Art. 6(1)(f))", L1088=""), "Gap - Missing LIA", IF(AND(G1088="Yes", H1088=""), "Gap - Missing Art. 9 Basis", IF(OR(I1088="Invalid - Not Freely Given", I1088="Invalid - Not Specific", I1088="Invalid - Not Informed", I1088="Invalid - Ambiguous"), "Gap - Invalid Consent", "Compliant")))))</f>
        <v/>
      </c>
      <c r="O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>
        <f>IF(D1089="Legitimate Interest (GDPR Art. 6(1)(f))", "Yes / Required (Sheet 3)", "")</f>
        <v/>
      </c>
      <c r="L1089" s="7" t="n"/>
      <c r="M1089" s="7" t="n"/>
      <c r="N1089">
        <f>IF(D1089="", "Gap - No Legal Basis", IF(AND(D1089="Consent (GDPR Art. 6(1)(a))", I1089="Not Captured"), "Gap - Invalid Consent", IF(AND(D1089="Legitimate Interest (GDPR Art. 6(1)(f))", L1089=""), "Gap - Missing LIA", IF(AND(G1089="Yes", H1089=""), "Gap - Missing Art. 9 Basis", IF(OR(I1089="Invalid - Not Freely Given", I1089="Invalid - Not Specific", I1089="Invalid - Not Informed", I1089="Invalid - Ambiguous"), "Gap - Invalid Consent", "Compliant")))))</f>
        <v/>
      </c>
      <c r="O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>
        <f>IF(D1090="Legitimate Interest (GDPR Art. 6(1)(f))", "Yes / Required (Sheet 3)", "")</f>
        <v/>
      </c>
      <c r="L1090" s="7" t="n"/>
      <c r="M1090" s="7" t="n"/>
      <c r="N1090">
        <f>IF(D1090="", "Gap - No Legal Basis", IF(AND(D1090="Consent (GDPR Art. 6(1)(a))", I1090="Not Captured"), "Gap - Invalid Consent", IF(AND(D1090="Legitimate Interest (GDPR Art. 6(1)(f))", L1090=""), "Gap - Missing LIA", IF(AND(G1090="Yes", H1090=""), "Gap - Missing Art. 9 Basis", IF(OR(I1090="Invalid - Not Freely Given", I1090="Invalid - Not Specific", I1090="Invalid - Not Informed", I1090="Invalid - Ambiguous"), "Gap - Invalid Consent", "Compliant")))))</f>
        <v/>
      </c>
      <c r="O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>
        <f>IF(D1091="Legitimate Interest (GDPR Art. 6(1)(f))", "Yes / Required (Sheet 3)", "")</f>
        <v/>
      </c>
      <c r="L1091" s="7" t="n"/>
      <c r="M1091" s="7" t="n"/>
      <c r="N1091">
        <f>IF(D1091="", "Gap - No Legal Basis", IF(AND(D1091="Consent (GDPR Art. 6(1)(a))", I1091="Not Captured"), "Gap - Invalid Consent", IF(AND(D1091="Legitimate Interest (GDPR Art. 6(1)(f))", L1091=""), "Gap - Missing LIA", IF(AND(G1091="Yes", H1091=""), "Gap - Missing Art. 9 Basis", IF(OR(I1091="Invalid - Not Freely Given", I1091="Invalid - Not Specific", I1091="Invalid - Not Informed", I1091="Invalid - Ambiguous"), "Gap - Invalid Consent", "Compliant")))))</f>
        <v/>
      </c>
      <c r="O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>
        <f>IF(D1092="Legitimate Interest (GDPR Art. 6(1)(f))", "Yes / Required (Sheet 3)", "")</f>
        <v/>
      </c>
      <c r="L1092" s="7" t="n"/>
      <c r="M1092" s="7" t="n"/>
      <c r="N1092">
        <f>IF(D1092="", "Gap - No Legal Basis", IF(AND(D1092="Consent (GDPR Art. 6(1)(a))", I1092="Not Captured"), "Gap - Invalid Consent", IF(AND(D1092="Legitimate Interest (GDPR Art. 6(1)(f))", L1092=""), "Gap - Missing LIA", IF(AND(G1092="Yes", H1092=""), "Gap - Missing Art. 9 Basis", IF(OR(I1092="Invalid - Not Freely Given", I1092="Invalid - Not Specific", I1092="Invalid - Not Informed", I1092="Invalid - Ambiguous"), "Gap - Invalid Consent", "Compliant")))))</f>
        <v/>
      </c>
      <c r="O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>
        <f>IF(D1093="Legitimate Interest (GDPR Art. 6(1)(f))", "Yes / Required (Sheet 3)", "")</f>
        <v/>
      </c>
      <c r="L1093" s="7" t="n"/>
      <c r="M1093" s="7" t="n"/>
      <c r="N1093">
        <f>IF(D1093="", "Gap - No Legal Basis", IF(AND(D1093="Consent (GDPR Art. 6(1)(a))", I1093="Not Captured"), "Gap - Invalid Consent", IF(AND(D1093="Legitimate Interest (GDPR Art. 6(1)(f))", L1093=""), "Gap - Missing LIA", IF(AND(G1093="Yes", H1093=""), "Gap - Missing Art. 9 Basis", IF(OR(I1093="Invalid - Not Freely Given", I1093="Invalid - Not Specific", I1093="Invalid - Not Informed", I1093="Invalid - Ambiguous"), "Gap - Invalid Consent", "Compliant")))))</f>
        <v/>
      </c>
      <c r="O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>
        <f>IF(D1094="Legitimate Interest (GDPR Art. 6(1)(f))", "Yes / Required (Sheet 3)", "")</f>
        <v/>
      </c>
      <c r="L1094" s="7" t="n"/>
      <c r="M1094" s="7" t="n"/>
      <c r="N1094">
        <f>IF(D1094="", "Gap - No Legal Basis", IF(AND(D1094="Consent (GDPR Art. 6(1)(a))", I1094="Not Captured"), "Gap - Invalid Consent", IF(AND(D1094="Legitimate Interest (GDPR Art. 6(1)(f))", L1094=""), "Gap - Missing LIA", IF(AND(G1094="Yes", H1094=""), "Gap - Missing Art. 9 Basis", IF(OR(I1094="Invalid - Not Freely Given", I1094="Invalid - Not Specific", I1094="Invalid - Not Informed", I1094="Invalid - Ambiguous"), "Gap - Invalid Consent", "Compliant")))))</f>
        <v/>
      </c>
      <c r="O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>
        <f>IF(D1095="Legitimate Interest (GDPR Art. 6(1)(f))", "Yes / Required (Sheet 3)", "")</f>
        <v/>
      </c>
      <c r="L1095" s="7" t="n"/>
      <c r="M1095" s="7" t="n"/>
      <c r="N1095">
        <f>IF(D1095="", "Gap - No Legal Basis", IF(AND(D1095="Consent (GDPR Art. 6(1)(a))", I1095="Not Captured"), "Gap - Invalid Consent", IF(AND(D1095="Legitimate Interest (GDPR Art. 6(1)(f))", L1095=""), "Gap - Missing LIA", IF(AND(G1095="Yes", H1095=""), "Gap - Missing Art. 9 Basis", IF(OR(I1095="Invalid - Not Freely Given", I1095="Invalid - Not Specific", I1095="Invalid - Not Informed", I1095="Invalid - Ambiguous"), "Gap - Invalid Consent", "Compliant")))))</f>
        <v/>
      </c>
      <c r="O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>
        <f>IF(D1096="Legitimate Interest (GDPR Art. 6(1)(f))", "Yes / Required (Sheet 3)", "")</f>
        <v/>
      </c>
      <c r="L1096" s="7" t="n"/>
      <c r="M1096" s="7" t="n"/>
      <c r="N1096">
        <f>IF(D1096="", "Gap - No Legal Basis", IF(AND(D1096="Consent (GDPR Art. 6(1)(a))", I1096="Not Captured"), "Gap - Invalid Consent", IF(AND(D1096="Legitimate Interest (GDPR Art. 6(1)(f))", L1096=""), "Gap - Missing LIA", IF(AND(G1096="Yes", H1096=""), "Gap - Missing Art. 9 Basis", IF(OR(I1096="Invalid - Not Freely Given", I1096="Invalid - Not Specific", I1096="Invalid - Not Informed", I1096="Invalid - Ambiguous"), "Gap - Invalid Consent", "Compliant")))))</f>
        <v/>
      </c>
      <c r="O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>
        <f>IF(D1097="Legitimate Interest (GDPR Art. 6(1)(f))", "Yes / Required (Sheet 3)", "")</f>
        <v/>
      </c>
      <c r="L1097" s="7" t="n"/>
      <c r="M1097" s="7" t="n"/>
      <c r="N1097">
        <f>IF(D1097="", "Gap - No Legal Basis", IF(AND(D1097="Consent (GDPR Art. 6(1)(a))", I1097="Not Captured"), "Gap - Invalid Consent", IF(AND(D1097="Legitimate Interest (GDPR Art. 6(1)(f))", L1097=""), "Gap - Missing LIA", IF(AND(G1097="Yes", H1097=""), "Gap - Missing Art. 9 Basis", IF(OR(I1097="Invalid - Not Freely Given", I1097="Invalid - Not Specific", I1097="Invalid - Not Informed", I1097="Invalid - Ambiguous"), "Gap - Invalid Consent", "Compliant")))))</f>
        <v/>
      </c>
      <c r="O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>
        <f>IF(D1098="Legitimate Interest (GDPR Art. 6(1)(f))", "Yes / Required (Sheet 3)", "")</f>
        <v/>
      </c>
      <c r="L1098" s="7" t="n"/>
      <c r="M1098" s="7" t="n"/>
      <c r="N1098">
        <f>IF(D1098="", "Gap - No Legal Basis", IF(AND(D1098="Consent (GDPR Art. 6(1)(a))", I1098="Not Captured"), "Gap - Invalid Consent", IF(AND(D1098="Legitimate Interest (GDPR Art. 6(1)(f))", L1098=""), "Gap - Missing LIA", IF(AND(G1098="Yes", H1098=""), "Gap - Missing Art. 9 Basis", IF(OR(I1098="Invalid - Not Freely Given", I1098="Invalid - Not Specific", I1098="Invalid - Not Informed", I1098="Invalid - Ambiguous"), "Gap - Invalid Consent", "Compliant")))))</f>
        <v/>
      </c>
      <c r="O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>
        <f>IF(D1099="Legitimate Interest (GDPR Art. 6(1)(f))", "Yes / Required (Sheet 3)", "")</f>
        <v/>
      </c>
      <c r="L1099" s="7" t="n"/>
      <c r="M1099" s="7" t="n"/>
      <c r="N1099">
        <f>IF(D1099="", "Gap - No Legal Basis", IF(AND(D1099="Consent (GDPR Art. 6(1)(a))", I1099="Not Captured"), "Gap - Invalid Consent", IF(AND(D1099="Legitimate Interest (GDPR Art. 6(1)(f))", L1099=""), "Gap - Missing LIA", IF(AND(G1099="Yes", H1099=""), "Gap - Missing Art. 9 Basis", IF(OR(I1099="Invalid - Not Freely Given", I1099="Invalid - Not Specific", I1099="Invalid - Not Informed", I1099="Invalid - Ambiguous"), "Gap - Invalid Consent", "Compliant")))))</f>
        <v/>
      </c>
      <c r="O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>
        <f>IF(D1100="Legitimate Interest (GDPR Art. 6(1)(f))", "Yes / Required (Sheet 3)", "")</f>
        <v/>
      </c>
      <c r="L1100" s="7" t="n"/>
      <c r="M1100" s="7" t="n"/>
      <c r="N1100">
        <f>IF(D1100="", "Gap - No Legal Basis", IF(AND(D1100="Consent (GDPR Art. 6(1)(a))", I1100="Not Captured"), "Gap - Invalid Consent", IF(AND(D1100="Legitimate Interest (GDPR Art. 6(1)(f))", L1100=""), "Gap - Missing LIA", IF(AND(G1100="Yes", H1100=""), "Gap - Missing Art. 9 Basis", IF(OR(I1100="Invalid - Not Freely Given", I1100="Invalid - Not Specific", I1100="Invalid - Not Informed", I1100="Invalid - Ambiguous"), "Gap - Invalid Consent", "Compliant")))))</f>
        <v/>
      </c>
      <c r="O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>
        <f>IF(D1101="Legitimate Interest (GDPR Art. 6(1)(f))", "Yes / Required (Sheet 3)", "")</f>
        <v/>
      </c>
      <c r="L1101" s="7" t="n"/>
      <c r="M1101" s="7" t="n"/>
      <c r="N1101">
        <f>IF(D1101="", "Gap - No Legal Basis", IF(AND(D1101="Consent (GDPR Art. 6(1)(a))", I1101="Not Captured"), "Gap - Invalid Consent", IF(AND(D1101="Legitimate Interest (GDPR Art. 6(1)(f))", L1101=""), "Gap - Missing LIA", IF(AND(G1101="Yes", H1101=""), "Gap - Missing Art. 9 Basis", IF(OR(I1101="Invalid - Not Freely Given", I1101="Invalid - Not Specific", I1101="Invalid - Not Informed", I1101="Invalid - Ambiguous"), "Gap - Invalid Consent", "Compliant")))))</f>
        <v/>
      </c>
      <c r="O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>
        <f>IF(D1102="Legitimate Interest (GDPR Art. 6(1)(f))", "Yes / Required (Sheet 3)", "")</f>
        <v/>
      </c>
      <c r="L1102" s="7" t="n"/>
      <c r="M1102" s="7" t="n"/>
      <c r="N1102">
        <f>IF(D1102="", "Gap - No Legal Basis", IF(AND(D1102="Consent (GDPR Art. 6(1)(a))", I1102="Not Captured"), "Gap - Invalid Consent", IF(AND(D1102="Legitimate Interest (GDPR Art. 6(1)(f))", L1102=""), "Gap - Missing LIA", IF(AND(G1102="Yes", H1102=""), "Gap - Missing Art. 9 Basis", IF(OR(I1102="Invalid - Not Freely Given", I1102="Invalid - Not Specific", I1102="Invalid - Not Informed", I1102="Invalid - Ambiguous"), "Gap - Invalid Consent", "Compliant")))))</f>
        <v/>
      </c>
      <c r="O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>
        <f>IF(D1103="Legitimate Interest (GDPR Art. 6(1)(f))", "Yes / Required (Sheet 3)", "")</f>
        <v/>
      </c>
      <c r="L1103" s="7" t="n"/>
      <c r="M1103" s="7" t="n"/>
      <c r="N1103">
        <f>IF(D1103="", "Gap - No Legal Basis", IF(AND(D1103="Consent (GDPR Art. 6(1)(a))", I1103="Not Captured"), "Gap - Invalid Consent", IF(AND(D1103="Legitimate Interest (GDPR Art. 6(1)(f))", L1103=""), "Gap - Missing LIA", IF(AND(G1103="Yes", H1103=""), "Gap - Missing Art. 9 Basis", IF(OR(I1103="Invalid - Not Freely Given", I1103="Invalid - Not Specific", I1103="Invalid - Not Informed", I1103="Invalid - Ambiguous"), "Gap - Invalid Consent", "Compliant")))))</f>
        <v/>
      </c>
      <c r="O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>
        <f>IF(D1104="Legitimate Interest (GDPR Art. 6(1)(f))", "Yes / Required (Sheet 3)", "")</f>
        <v/>
      </c>
      <c r="L1104" s="7" t="n"/>
      <c r="M1104" s="7" t="n"/>
      <c r="N1104">
        <f>IF(D1104="", "Gap - No Legal Basis", IF(AND(D1104="Consent (GDPR Art. 6(1)(a))", I1104="Not Captured"), "Gap - Invalid Consent", IF(AND(D1104="Legitimate Interest (GDPR Art. 6(1)(f))", L1104=""), "Gap - Missing LIA", IF(AND(G1104="Yes", H1104=""), "Gap - Missing Art. 9 Basis", IF(OR(I1104="Invalid - Not Freely Given", I1104="Invalid - Not Specific", I1104="Invalid - Not Informed", I1104="Invalid - Ambiguous"), "Gap - Invalid Consent", "Compliant")))))</f>
        <v/>
      </c>
      <c r="O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>
        <f>IF(D1105="Legitimate Interest (GDPR Art. 6(1)(f))", "Yes / Required (Sheet 3)", "")</f>
        <v/>
      </c>
      <c r="L1105" s="7" t="n"/>
      <c r="M1105" s="7" t="n"/>
      <c r="N1105">
        <f>IF(D1105="", "Gap - No Legal Basis", IF(AND(D1105="Consent (GDPR Art. 6(1)(a))", I1105="Not Captured"), "Gap - Invalid Consent", IF(AND(D1105="Legitimate Interest (GDPR Art. 6(1)(f))", L1105=""), "Gap - Missing LIA", IF(AND(G1105="Yes", H1105=""), "Gap - Missing Art. 9 Basis", IF(OR(I1105="Invalid - Not Freely Given", I1105="Invalid - Not Specific", I1105="Invalid - Not Informed", I1105="Invalid - Ambiguous"), "Gap - Invalid Consent", "Compliant")))))</f>
        <v/>
      </c>
      <c r="O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>
        <f>IF(D1106="Legitimate Interest (GDPR Art. 6(1)(f))", "Yes / Required (Sheet 3)", "")</f>
        <v/>
      </c>
      <c r="L1106" s="7" t="n"/>
      <c r="M1106" s="7" t="n"/>
      <c r="N1106">
        <f>IF(D1106="", "Gap - No Legal Basis", IF(AND(D1106="Consent (GDPR Art. 6(1)(a))", I1106="Not Captured"), "Gap - Invalid Consent", IF(AND(D1106="Legitimate Interest (GDPR Art. 6(1)(f))", L1106=""), "Gap - Missing LIA", IF(AND(G1106="Yes", H1106=""), "Gap - Missing Art. 9 Basis", IF(OR(I1106="Invalid - Not Freely Given", I1106="Invalid - Not Specific", I1106="Invalid - Not Informed", I1106="Invalid - Ambiguous"), "Gap - Invalid Consent", "Compliant")))))</f>
        <v/>
      </c>
      <c r="O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>
        <f>IF(D1107="Legitimate Interest (GDPR Art. 6(1)(f))", "Yes / Required (Sheet 3)", "")</f>
        <v/>
      </c>
      <c r="L1107" s="7" t="n"/>
      <c r="M1107" s="7" t="n"/>
      <c r="N1107">
        <f>IF(D1107="", "Gap - No Legal Basis", IF(AND(D1107="Consent (GDPR Art. 6(1)(a))", I1107="Not Captured"), "Gap - Invalid Consent", IF(AND(D1107="Legitimate Interest (GDPR Art. 6(1)(f))", L1107=""), "Gap - Missing LIA", IF(AND(G1107="Yes", H1107=""), "Gap - Missing Art. 9 Basis", IF(OR(I1107="Invalid - Not Freely Given", I1107="Invalid - Not Specific", I1107="Invalid - Not Informed", I1107="Invalid - Ambiguous"), "Gap - Invalid Consent", "Compliant")))))</f>
        <v/>
      </c>
      <c r="O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>
        <f>IF(D1108="Legitimate Interest (GDPR Art. 6(1)(f))", "Yes / Required (Sheet 3)", "")</f>
        <v/>
      </c>
      <c r="L1108" s="7" t="n"/>
      <c r="M1108" s="7" t="n"/>
      <c r="N1108">
        <f>IF(D1108="", "Gap - No Legal Basis", IF(AND(D1108="Consent (GDPR Art. 6(1)(a))", I1108="Not Captured"), "Gap - Invalid Consent", IF(AND(D1108="Legitimate Interest (GDPR Art. 6(1)(f))", L1108=""), "Gap - Missing LIA", IF(AND(G1108="Yes", H1108=""), "Gap - Missing Art. 9 Basis", IF(OR(I1108="Invalid - Not Freely Given", I1108="Invalid - Not Specific", I1108="Invalid - Not Informed", I1108="Invalid - Ambiguous"), "Gap - Invalid Consent", "Compliant")))))</f>
        <v/>
      </c>
      <c r="O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>
        <f>IF(D1109="Legitimate Interest (GDPR Art. 6(1)(f))", "Yes / Required (Sheet 3)", "")</f>
        <v/>
      </c>
      <c r="L1109" s="7" t="n"/>
      <c r="M1109" s="7" t="n"/>
      <c r="N1109">
        <f>IF(D1109="", "Gap - No Legal Basis", IF(AND(D1109="Consent (GDPR Art. 6(1)(a))", I1109="Not Captured"), "Gap - Invalid Consent", IF(AND(D1109="Legitimate Interest (GDPR Art. 6(1)(f))", L1109=""), "Gap - Missing LIA", IF(AND(G1109="Yes", H1109=""), "Gap - Missing Art. 9 Basis", IF(OR(I1109="Invalid - Not Freely Given", I1109="Invalid - Not Specific", I1109="Invalid - Not Informed", I1109="Invalid - Ambiguous"), "Gap - Invalid Consent", "Compliant")))))</f>
        <v/>
      </c>
      <c r="O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>
        <f>IF(D1110="Legitimate Interest (GDPR Art. 6(1)(f))", "Yes / Required (Sheet 3)", "")</f>
        <v/>
      </c>
      <c r="L1110" s="7" t="n"/>
      <c r="M1110" s="7" t="n"/>
      <c r="N1110">
        <f>IF(D1110="", "Gap - No Legal Basis", IF(AND(D1110="Consent (GDPR Art. 6(1)(a))", I1110="Not Captured"), "Gap - Invalid Consent", IF(AND(D1110="Legitimate Interest (GDPR Art. 6(1)(f))", L1110=""), "Gap - Missing LIA", IF(AND(G1110="Yes", H1110=""), "Gap - Missing Art. 9 Basis", IF(OR(I1110="Invalid - Not Freely Given", I1110="Invalid - Not Specific", I1110="Invalid - Not Informed", I1110="Invalid - Ambiguous"), "Gap - Invalid Consent", "Compliant")))))</f>
        <v/>
      </c>
      <c r="O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>
        <f>IF(D1111="Legitimate Interest (GDPR Art. 6(1)(f))", "Yes / Required (Sheet 3)", "")</f>
        <v/>
      </c>
      <c r="L1111" s="7" t="n"/>
      <c r="M1111" s="7" t="n"/>
      <c r="N1111">
        <f>IF(D1111="", "Gap - No Legal Basis", IF(AND(D1111="Consent (GDPR Art. 6(1)(a))", I1111="Not Captured"), "Gap - Invalid Consent", IF(AND(D1111="Legitimate Interest (GDPR Art. 6(1)(f))", L1111=""), "Gap - Missing LIA", IF(AND(G1111="Yes", H1111=""), "Gap - Missing Art. 9 Basis", IF(OR(I1111="Invalid - Not Freely Given", I1111="Invalid - Not Specific", I1111="Invalid - Not Informed", I1111="Invalid - Ambiguous"), "Gap - Invalid Consent", "Compliant")))))</f>
        <v/>
      </c>
      <c r="O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>
        <f>IF(D1112="Legitimate Interest (GDPR Art. 6(1)(f))", "Yes / Required (Sheet 3)", "")</f>
        <v/>
      </c>
      <c r="L1112" s="7" t="n"/>
      <c r="M1112" s="7" t="n"/>
      <c r="N1112">
        <f>IF(D1112="", "Gap - No Legal Basis", IF(AND(D1112="Consent (GDPR Art. 6(1)(a))", I1112="Not Captured"), "Gap - Invalid Consent", IF(AND(D1112="Legitimate Interest (GDPR Art. 6(1)(f))", L1112=""), "Gap - Missing LIA", IF(AND(G1112="Yes", H1112=""), "Gap - Missing Art. 9 Basis", IF(OR(I1112="Invalid - Not Freely Given", I1112="Invalid - Not Specific", I1112="Invalid - Not Informed", I1112="Invalid - Ambiguous"), "Gap - Invalid Consent", "Compliant")))))</f>
        <v/>
      </c>
      <c r="O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>
        <f>IF(D1113="Legitimate Interest (GDPR Art. 6(1)(f))", "Yes / Required (Sheet 3)", "")</f>
        <v/>
      </c>
      <c r="L1113" s="7" t="n"/>
      <c r="M1113" s="7" t="n"/>
      <c r="N1113">
        <f>IF(D1113="", "Gap - No Legal Basis", IF(AND(D1113="Consent (GDPR Art. 6(1)(a))", I1113="Not Captured"), "Gap - Invalid Consent", IF(AND(D1113="Legitimate Interest (GDPR Art. 6(1)(f))", L1113=""), "Gap - Missing LIA", IF(AND(G1113="Yes", H1113=""), "Gap - Missing Art. 9 Basis", IF(OR(I1113="Invalid - Not Freely Given", I1113="Invalid - Not Specific", I1113="Invalid - Not Informed", I1113="Invalid - Ambiguous"), "Gap - Invalid Consent", "Compliant")))))</f>
        <v/>
      </c>
      <c r="O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>
        <f>IF(D1114="Legitimate Interest (GDPR Art. 6(1)(f))", "Yes / Required (Sheet 3)", "")</f>
        <v/>
      </c>
      <c r="L1114" s="7" t="n"/>
      <c r="M1114" s="7" t="n"/>
      <c r="N1114">
        <f>IF(D1114="", "Gap - No Legal Basis", IF(AND(D1114="Consent (GDPR Art. 6(1)(a))", I1114="Not Captured"), "Gap - Invalid Consent", IF(AND(D1114="Legitimate Interest (GDPR Art. 6(1)(f))", L1114=""), "Gap - Missing LIA", IF(AND(G1114="Yes", H1114=""), "Gap - Missing Art. 9 Basis", IF(OR(I1114="Invalid - Not Freely Given", I1114="Invalid - Not Specific", I1114="Invalid - Not Informed", I1114="Invalid - Ambiguous"), "Gap - Invalid Consent", "Compliant")))))</f>
        <v/>
      </c>
      <c r="O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>
        <f>IF(D1115="Legitimate Interest (GDPR Art. 6(1)(f))", "Yes / Required (Sheet 3)", "")</f>
        <v/>
      </c>
      <c r="L1115" s="7" t="n"/>
      <c r="M1115" s="7" t="n"/>
      <c r="N1115">
        <f>IF(D1115="", "Gap - No Legal Basis", IF(AND(D1115="Consent (GDPR Art. 6(1)(a))", I1115="Not Captured"), "Gap - Invalid Consent", IF(AND(D1115="Legitimate Interest (GDPR Art. 6(1)(f))", L1115=""), "Gap - Missing LIA", IF(AND(G1115="Yes", H1115=""), "Gap - Missing Art. 9 Basis", IF(OR(I1115="Invalid - Not Freely Given", I1115="Invalid - Not Specific", I1115="Invalid - Not Informed", I1115="Invalid - Ambiguous"), "Gap - Invalid Consent", "Compliant")))))</f>
        <v/>
      </c>
      <c r="O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>
        <f>IF(D1116="Legitimate Interest (GDPR Art. 6(1)(f))", "Yes / Required (Sheet 3)", "")</f>
        <v/>
      </c>
      <c r="L1116" s="7" t="n"/>
      <c r="M1116" s="7" t="n"/>
      <c r="N1116">
        <f>IF(D1116="", "Gap - No Legal Basis", IF(AND(D1116="Consent (GDPR Art. 6(1)(a))", I1116="Not Captured"), "Gap - Invalid Consent", IF(AND(D1116="Legitimate Interest (GDPR Art. 6(1)(f))", L1116=""), "Gap - Missing LIA", IF(AND(G1116="Yes", H1116=""), "Gap - Missing Art. 9 Basis", IF(OR(I1116="Invalid - Not Freely Given", I1116="Invalid - Not Specific", I1116="Invalid - Not Informed", I1116="Invalid - Ambiguous"), "Gap - Invalid Consent", "Compliant")))))</f>
        <v/>
      </c>
      <c r="O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>
        <f>IF(D1117="Legitimate Interest (GDPR Art. 6(1)(f))", "Yes / Required (Sheet 3)", "")</f>
        <v/>
      </c>
      <c r="L1117" s="7" t="n"/>
      <c r="M1117" s="7" t="n"/>
      <c r="N1117">
        <f>IF(D1117="", "Gap - No Legal Basis", IF(AND(D1117="Consent (GDPR Art. 6(1)(a))", I1117="Not Captured"), "Gap - Invalid Consent", IF(AND(D1117="Legitimate Interest (GDPR Art. 6(1)(f))", L1117=""), "Gap - Missing LIA", IF(AND(G1117="Yes", H1117=""), "Gap - Missing Art. 9 Basis", IF(OR(I1117="Invalid - Not Freely Given", I1117="Invalid - Not Specific", I1117="Invalid - Not Informed", I1117="Invalid - Ambiguous"), "Gap - Invalid Consent", "Compliant")))))</f>
        <v/>
      </c>
      <c r="O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>
        <f>IF(D1118="Legitimate Interest (GDPR Art. 6(1)(f))", "Yes / Required (Sheet 3)", "")</f>
        <v/>
      </c>
      <c r="L1118" s="7" t="n"/>
      <c r="M1118" s="7" t="n"/>
      <c r="N1118">
        <f>IF(D1118="", "Gap - No Legal Basis", IF(AND(D1118="Consent (GDPR Art. 6(1)(a))", I1118="Not Captured"), "Gap - Invalid Consent", IF(AND(D1118="Legitimate Interest (GDPR Art. 6(1)(f))", L1118=""), "Gap - Missing LIA", IF(AND(G1118="Yes", H1118=""), "Gap - Missing Art. 9 Basis", IF(OR(I1118="Invalid - Not Freely Given", I1118="Invalid - Not Specific", I1118="Invalid - Not Informed", I1118="Invalid - Ambiguous"), "Gap - Invalid Consent", "Compliant")))))</f>
        <v/>
      </c>
      <c r="O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>
        <f>IF(D1119="Legitimate Interest (GDPR Art. 6(1)(f))", "Yes / Required (Sheet 3)", "")</f>
        <v/>
      </c>
      <c r="L1119" s="7" t="n"/>
      <c r="M1119" s="7" t="n"/>
      <c r="N1119">
        <f>IF(D1119="", "Gap - No Legal Basis", IF(AND(D1119="Consent (GDPR Art. 6(1)(a))", I1119="Not Captured"), "Gap - Invalid Consent", IF(AND(D1119="Legitimate Interest (GDPR Art. 6(1)(f))", L1119=""), "Gap - Missing LIA", IF(AND(G1119="Yes", H1119=""), "Gap - Missing Art. 9 Basis", IF(OR(I1119="Invalid - Not Freely Given", I1119="Invalid - Not Specific", I1119="Invalid - Not Informed", I1119="Invalid - Ambiguous"), "Gap - Invalid Consent", "Compliant")))))</f>
        <v/>
      </c>
      <c r="O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>
        <f>IF(D1120="Legitimate Interest (GDPR Art. 6(1)(f))", "Yes / Required (Sheet 3)", "")</f>
        <v/>
      </c>
      <c r="L1120" s="7" t="n"/>
      <c r="M1120" s="7" t="n"/>
      <c r="N1120">
        <f>IF(D1120="", "Gap - No Legal Basis", IF(AND(D1120="Consent (GDPR Art. 6(1)(a))", I1120="Not Captured"), "Gap - Invalid Consent", IF(AND(D1120="Legitimate Interest (GDPR Art. 6(1)(f))", L1120=""), "Gap - Missing LIA", IF(AND(G1120="Yes", H1120=""), "Gap - Missing Art. 9 Basis", IF(OR(I1120="Invalid - Not Freely Given", I1120="Invalid - Not Specific", I1120="Invalid - Not Informed", I1120="Invalid - Ambiguous"), "Gap - Invalid Consent", "Compliant")))))</f>
        <v/>
      </c>
      <c r="O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>
        <f>IF(D1121="Legitimate Interest (GDPR Art. 6(1)(f))", "Yes / Required (Sheet 3)", "")</f>
        <v/>
      </c>
      <c r="L1121" s="7" t="n"/>
      <c r="M1121" s="7" t="n"/>
      <c r="N1121">
        <f>IF(D1121="", "Gap - No Legal Basis", IF(AND(D1121="Consent (GDPR Art. 6(1)(a))", I1121="Not Captured"), "Gap - Invalid Consent", IF(AND(D1121="Legitimate Interest (GDPR Art. 6(1)(f))", L1121=""), "Gap - Missing LIA", IF(AND(G1121="Yes", H1121=""), "Gap - Missing Art. 9 Basis", IF(OR(I1121="Invalid - Not Freely Given", I1121="Invalid - Not Specific", I1121="Invalid - Not Informed", I1121="Invalid - Ambiguous"), "Gap - Invalid Consent", "Compliant")))))</f>
        <v/>
      </c>
      <c r="O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>
        <f>IF(D1122="Legitimate Interest (GDPR Art. 6(1)(f))", "Yes / Required (Sheet 3)", "")</f>
        <v/>
      </c>
      <c r="L1122" s="7" t="n"/>
      <c r="M1122" s="7" t="n"/>
      <c r="N1122">
        <f>IF(D1122="", "Gap - No Legal Basis", IF(AND(D1122="Consent (GDPR Art. 6(1)(a))", I1122="Not Captured"), "Gap - Invalid Consent", IF(AND(D1122="Legitimate Interest (GDPR Art. 6(1)(f))", L1122=""), "Gap - Missing LIA", IF(AND(G1122="Yes", H1122=""), "Gap - Missing Art. 9 Basis", IF(OR(I1122="Invalid - Not Freely Given", I1122="Invalid - Not Specific", I1122="Invalid - Not Informed", I1122="Invalid - Ambiguous"), "Gap - Invalid Consent", "Compliant")))))</f>
        <v/>
      </c>
      <c r="O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>
        <f>IF(D1123="Legitimate Interest (GDPR Art. 6(1)(f))", "Yes / Required (Sheet 3)", "")</f>
        <v/>
      </c>
      <c r="L1123" s="7" t="n"/>
      <c r="M1123" s="7" t="n"/>
      <c r="N1123">
        <f>IF(D1123="", "Gap - No Legal Basis", IF(AND(D1123="Consent (GDPR Art. 6(1)(a))", I1123="Not Captured"), "Gap - Invalid Consent", IF(AND(D1123="Legitimate Interest (GDPR Art. 6(1)(f))", L1123=""), "Gap - Missing LIA", IF(AND(G1123="Yes", H1123=""), "Gap - Missing Art. 9 Basis", IF(OR(I1123="Invalid - Not Freely Given", I1123="Invalid - Not Specific", I1123="Invalid - Not Informed", I1123="Invalid - Ambiguous"), "Gap - Invalid Consent", "Compliant")))))</f>
        <v/>
      </c>
      <c r="O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>
        <f>IF(D1124="Legitimate Interest (GDPR Art. 6(1)(f))", "Yes / Required (Sheet 3)", "")</f>
        <v/>
      </c>
      <c r="L1124" s="7" t="n"/>
      <c r="M1124" s="7" t="n"/>
      <c r="N1124">
        <f>IF(D1124="", "Gap - No Legal Basis", IF(AND(D1124="Consent (GDPR Art. 6(1)(a))", I1124="Not Captured"), "Gap - Invalid Consent", IF(AND(D1124="Legitimate Interest (GDPR Art. 6(1)(f))", L1124=""), "Gap - Missing LIA", IF(AND(G1124="Yes", H1124=""), "Gap - Missing Art. 9 Basis", IF(OR(I1124="Invalid - Not Freely Given", I1124="Invalid - Not Specific", I1124="Invalid - Not Informed", I1124="Invalid - Ambiguous"), "Gap - Invalid Consent", "Compliant")))))</f>
        <v/>
      </c>
      <c r="O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>
        <f>IF(D1125="Legitimate Interest (GDPR Art. 6(1)(f))", "Yes / Required (Sheet 3)", "")</f>
        <v/>
      </c>
      <c r="L1125" s="7" t="n"/>
      <c r="M1125" s="7" t="n"/>
      <c r="N1125">
        <f>IF(D1125="", "Gap - No Legal Basis", IF(AND(D1125="Consent (GDPR Art. 6(1)(a))", I1125="Not Captured"), "Gap - Invalid Consent", IF(AND(D1125="Legitimate Interest (GDPR Art. 6(1)(f))", L1125=""), "Gap - Missing LIA", IF(AND(G1125="Yes", H1125=""), "Gap - Missing Art. 9 Basis", IF(OR(I1125="Invalid - Not Freely Given", I1125="Invalid - Not Specific", I1125="Invalid - Not Informed", I1125="Invalid - Ambiguous"), "Gap - Invalid Consent", "Compliant")))))</f>
        <v/>
      </c>
      <c r="O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>
        <f>IF(D1126="Legitimate Interest (GDPR Art. 6(1)(f))", "Yes / Required (Sheet 3)", "")</f>
        <v/>
      </c>
      <c r="L1126" s="7" t="n"/>
      <c r="M1126" s="7" t="n"/>
      <c r="N1126">
        <f>IF(D1126="", "Gap - No Legal Basis", IF(AND(D1126="Consent (GDPR Art. 6(1)(a))", I1126="Not Captured"), "Gap - Invalid Consent", IF(AND(D1126="Legitimate Interest (GDPR Art. 6(1)(f))", L1126=""), "Gap - Missing LIA", IF(AND(G1126="Yes", H1126=""), "Gap - Missing Art. 9 Basis", IF(OR(I1126="Invalid - Not Freely Given", I1126="Invalid - Not Specific", I1126="Invalid - Not Informed", I1126="Invalid - Ambiguous"), "Gap - Invalid Consent", "Compliant")))))</f>
        <v/>
      </c>
      <c r="O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>
        <f>IF(D1127="Legitimate Interest (GDPR Art. 6(1)(f))", "Yes / Required (Sheet 3)", "")</f>
        <v/>
      </c>
      <c r="L1127" s="7" t="n"/>
      <c r="M1127" s="7" t="n"/>
      <c r="N1127">
        <f>IF(D1127="", "Gap - No Legal Basis", IF(AND(D1127="Consent (GDPR Art. 6(1)(a))", I1127="Not Captured"), "Gap - Invalid Consent", IF(AND(D1127="Legitimate Interest (GDPR Art. 6(1)(f))", L1127=""), "Gap - Missing LIA", IF(AND(G1127="Yes", H1127=""), "Gap - Missing Art. 9 Basis", IF(OR(I1127="Invalid - Not Freely Given", I1127="Invalid - Not Specific", I1127="Invalid - Not Informed", I1127="Invalid - Ambiguous"), "Gap - Invalid Consent", "Compliant")))))</f>
        <v/>
      </c>
      <c r="O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>
        <f>IF(D1128="Legitimate Interest (GDPR Art. 6(1)(f))", "Yes / Required (Sheet 3)", "")</f>
        <v/>
      </c>
      <c r="L1128" s="7" t="n"/>
      <c r="M1128" s="7" t="n"/>
      <c r="N1128">
        <f>IF(D1128="", "Gap - No Legal Basis", IF(AND(D1128="Consent (GDPR Art. 6(1)(a))", I1128="Not Captured"), "Gap - Invalid Consent", IF(AND(D1128="Legitimate Interest (GDPR Art. 6(1)(f))", L1128=""), "Gap - Missing LIA", IF(AND(G1128="Yes", H1128=""), "Gap - Missing Art. 9 Basis", IF(OR(I1128="Invalid - Not Freely Given", I1128="Invalid - Not Specific", I1128="Invalid - Not Informed", I1128="Invalid - Ambiguous"), "Gap - Invalid Consent", "Compliant")))))</f>
        <v/>
      </c>
      <c r="O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>
        <f>IF(D1129="Legitimate Interest (GDPR Art. 6(1)(f))", "Yes / Required (Sheet 3)", "")</f>
        <v/>
      </c>
      <c r="L1129" s="7" t="n"/>
      <c r="M1129" s="7" t="n"/>
      <c r="N1129">
        <f>IF(D1129="", "Gap - No Legal Basis", IF(AND(D1129="Consent (GDPR Art. 6(1)(a))", I1129="Not Captured"), "Gap - Invalid Consent", IF(AND(D1129="Legitimate Interest (GDPR Art. 6(1)(f))", L1129=""), "Gap - Missing LIA", IF(AND(G1129="Yes", H1129=""), "Gap - Missing Art. 9 Basis", IF(OR(I1129="Invalid - Not Freely Given", I1129="Invalid - Not Specific", I1129="Invalid - Not Informed", I1129="Invalid - Ambiguous"), "Gap - Invalid Consent", "Compliant")))))</f>
        <v/>
      </c>
      <c r="O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>
        <f>IF(D1130="Legitimate Interest (GDPR Art. 6(1)(f))", "Yes / Required (Sheet 3)", "")</f>
        <v/>
      </c>
      <c r="L1130" s="7" t="n"/>
      <c r="M1130" s="7" t="n"/>
      <c r="N1130">
        <f>IF(D1130="", "Gap - No Legal Basis", IF(AND(D1130="Consent (GDPR Art. 6(1)(a))", I1130="Not Captured"), "Gap - Invalid Consent", IF(AND(D1130="Legitimate Interest (GDPR Art. 6(1)(f))", L1130=""), "Gap - Missing LIA", IF(AND(G1130="Yes", H1130=""), "Gap - Missing Art. 9 Basis", IF(OR(I1130="Invalid - Not Freely Given", I1130="Invalid - Not Specific", I1130="Invalid - Not Informed", I1130="Invalid - Ambiguous"), "Gap - Invalid Consent", "Compliant")))))</f>
        <v/>
      </c>
      <c r="O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>
        <f>IF(D1131="Legitimate Interest (GDPR Art. 6(1)(f))", "Yes / Required (Sheet 3)", "")</f>
        <v/>
      </c>
      <c r="L1131" s="7" t="n"/>
      <c r="M1131" s="7" t="n"/>
      <c r="N1131">
        <f>IF(D1131="", "Gap - No Legal Basis", IF(AND(D1131="Consent (GDPR Art. 6(1)(a))", I1131="Not Captured"), "Gap - Invalid Consent", IF(AND(D1131="Legitimate Interest (GDPR Art. 6(1)(f))", L1131=""), "Gap - Missing LIA", IF(AND(G1131="Yes", H1131=""), "Gap - Missing Art. 9 Basis", IF(OR(I1131="Invalid - Not Freely Given", I1131="Invalid - Not Specific", I1131="Invalid - Not Informed", I1131="Invalid - Ambiguous"), "Gap - Invalid Consent", "Compliant")))))</f>
        <v/>
      </c>
      <c r="O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>
        <f>IF(D1132="Legitimate Interest (GDPR Art. 6(1)(f))", "Yes / Required (Sheet 3)", "")</f>
        <v/>
      </c>
      <c r="L1132" s="7" t="n"/>
      <c r="M1132" s="7" t="n"/>
      <c r="N1132">
        <f>IF(D1132="", "Gap - No Legal Basis", IF(AND(D1132="Consent (GDPR Art. 6(1)(a))", I1132="Not Captured"), "Gap - Invalid Consent", IF(AND(D1132="Legitimate Interest (GDPR Art. 6(1)(f))", L1132=""), "Gap - Missing LIA", IF(AND(G1132="Yes", H1132=""), "Gap - Missing Art. 9 Basis", IF(OR(I1132="Invalid - Not Freely Given", I1132="Invalid - Not Specific", I1132="Invalid - Not Informed", I1132="Invalid - Ambiguous"), "Gap - Invalid Consent", "Compliant")))))</f>
        <v/>
      </c>
      <c r="O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>
        <f>IF(D1133="Legitimate Interest (GDPR Art. 6(1)(f))", "Yes / Required (Sheet 3)", "")</f>
        <v/>
      </c>
      <c r="L1133" s="7" t="n"/>
      <c r="M1133" s="7" t="n"/>
      <c r="N1133">
        <f>IF(D1133="", "Gap - No Legal Basis", IF(AND(D1133="Consent (GDPR Art. 6(1)(a))", I1133="Not Captured"), "Gap - Invalid Consent", IF(AND(D1133="Legitimate Interest (GDPR Art. 6(1)(f))", L1133=""), "Gap - Missing LIA", IF(AND(G1133="Yes", H1133=""), "Gap - Missing Art. 9 Basis", IF(OR(I1133="Invalid - Not Freely Given", I1133="Invalid - Not Specific", I1133="Invalid - Not Informed", I1133="Invalid - Ambiguous"), "Gap - Invalid Consent", "Compliant")))))</f>
        <v/>
      </c>
      <c r="O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>
        <f>IF(D1134="Legitimate Interest (GDPR Art. 6(1)(f))", "Yes / Required (Sheet 3)", "")</f>
        <v/>
      </c>
      <c r="L1134" s="7" t="n"/>
      <c r="M1134" s="7" t="n"/>
      <c r="N1134">
        <f>IF(D1134="", "Gap - No Legal Basis", IF(AND(D1134="Consent (GDPR Art. 6(1)(a))", I1134="Not Captured"), "Gap - Invalid Consent", IF(AND(D1134="Legitimate Interest (GDPR Art. 6(1)(f))", L1134=""), "Gap - Missing LIA", IF(AND(G1134="Yes", H1134=""), "Gap - Missing Art. 9 Basis", IF(OR(I1134="Invalid - Not Freely Given", I1134="Invalid - Not Specific", I1134="Invalid - Not Informed", I1134="Invalid - Ambiguous"), "Gap - Invalid Consent", "Compliant")))))</f>
        <v/>
      </c>
      <c r="O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>
        <f>IF(D1135="Legitimate Interest (GDPR Art. 6(1)(f))", "Yes / Required (Sheet 3)", "")</f>
        <v/>
      </c>
      <c r="L1135" s="7" t="n"/>
      <c r="M1135" s="7" t="n"/>
      <c r="N1135">
        <f>IF(D1135="", "Gap - No Legal Basis", IF(AND(D1135="Consent (GDPR Art. 6(1)(a))", I1135="Not Captured"), "Gap - Invalid Consent", IF(AND(D1135="Legitimate Interest (GDPR Art. 6(1)(f))", L1135=""), "Gap - Missing LIA", IF(AND(G1135="Yes", H1135=""), "Gap - Missing Art. 9 Basis", IF(OR(I1135="Invalid - Not Freely Given", I1135="Invalid - Not Specific", I1135="Invalid - Not Informed", I1135="Invalid - Ambiguous"), "Gap - Invalid Consent", "Compliant")))))</f>
        <v/>
      </c>
      <c r="O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>
        <f>IF(D1136="Legitimate Interest (GDPR Art. 6(1)(f))", "Yes / Required (Sheet 3)", "")</f>
        <v/>
      </c>
      <c r="L1136" s="7" t="n"/>
      <c r="M1136" s="7" t="n"/>
      <c r="N1136">
        <f>IF(D1136="", "Gap - No Legal Basis", IF(AND(D1136="Consent (GDPR Art. 6(1)(a))", I1136="Not Captured"), "Gap - Invalid Consent", IF(AND(D1136="Legitimate Interest (GDPR Art. 6(1)(f))", L1136=""), "Gap - Missing LIA", IF(AND(G1136="Yes", H1136=""), "Gap - Missing Art. 9 Basis", IF(OR(I1136="Invalid - Not Freely Given", I1136="Invalid - Not Specific", I1136="Invalid - Not Informed", I1136="Invalid - Ambiguous"), "Gap - Invalid Consent", "Compliant")))))</f>
        <v/>
      </c>
      <c r="O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>
        <f>IF(D1137="Legitimate Interest (GDPR Art. 6(1)(f))", "Yes / Required (Sheet 3)", "")</f>
        <v/>
      </c>
      <c r="L1137" s="7" t="n"/>
      <c r="M1137" s="7" t="n"/>
      <c r="N1137">
        <f>IF(D1137="", "Gap - No Legal Basis", IF(AND(D1137="Consent (GDPR Art. 6(1)(a))", I1137="Not Captured"), "Gap - Invalid Consent", IF(AND(D1137="Legitimate Interest (GDPR Art. 6(1)(f))", L1137=""), "Gap - Missing LIA", IF(AND(G1137="Yes", H1137=""), "Gap - Missing Art. 9 Basis", IF(OR(I1137="Invalid - Not Freely Given", I1137="Invalid - Not Specific", I1137="Invalid - Not Informed", I1137="Invalid - Ambiguous"), "Gap - Invalid Consent", "Compliant")))))</f>
        <v/>
      </c>
      <c r="O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>
        <f>IF(D1138="Legitimate Interest (GDPR Art. 6(1)(f))", "Yes / Required (Sheet 3)", "")</f>
        <v/>
      </c>
      <c r="L1138" s="7" t="n"/>
      <c r="M1138" s="7" t="n"/>
      <c r="N1138">
        <f>IF(D1138="", "Gap - No Legal Basis", IF(AND(D1138="Consent (GDPR Art. 6(1)(a))", I1138="Not Captured"), "Gap - Invalid Consent", IF(AND(D1138="Legitimate Interest (GDPR Art. 6(1)(f))", L1138=""), "Gap - Missing LIA", IF(AND(G1138="Yes", H1138=""), "Gap - Missing Art. 9 Basis", IF(OR(I1138="Invalid - Not Freely Given", I1138="Invalid - Not Specific", I1138="Invalid - Not Informed", I1138="Invalid - Ambiguous"), "Gap - Invalid Consent", "Compliant")))))</f>
        <v/>
      </c>
      <c r="O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>
        <f>IF(D1139="Legitimate Interest (GDPR Art. 6(1)(f))", "Yes / Required (Sheet 3)", "")</f>
        <v/>
      </c>
      <c r="L1139" s="7" t="n"/>
      <c r="M1139" s="7" t="n"/>
      <c r="N1139">
        <f>IF(D1139="", "Gap - No Legal Basis", IF(AND(D1139="Consent (GDPR Art. 6(1)(a))", I1139="Not Captured"), "Gap - Invalid Consent", IF(AND(D1139="Legitimate Interest (GDPR Art. 6(1)(f))", L1139=""), "Gap - Missing LIA", IF(AND(G1139="Yes", H1139=""), "Gap - Missing Art. 9 Basis", IF(OR(I1139="Invalid - Not Freely Given", I1139="Invalid - Not Specific", I1139="Invalid - Not Informed", I1139="Invalid - Ambiguous"), "Gap - Invalid Consent", "Compliant")))))</f>
        <v/>
      </c>
      <c r="O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>
        <f>IF(D1140="Legitimate Interest (GDPR Art. 6(1)(f))", "Yes / Required (Sheet 3)", "")</f>
        <v/>
      </c>
      <c r="L1140" s="7" t="n"/>
      <c r="M1140" s="7" t="n"/>
      <c r="N1140">
        <f>IF(D1140="", "Gap - No Legal Basis", IF(AND(D1140="Consent (GDPR Art. 6(1)(a))", I1140="Not Captured"), "Gap - Invalid Consent", IF(AND(D1140="Legitimate Interest (GDPR Art. 6(1)(f))", L1140=""), "Gap - Missing LIA", IF(AND(G1140="Yes", H1140=""), "Gap - Missing Art. 9 Basis", IF(OR(I1140="Invalid - Not Freely Given", I1140="Invalid - Not Specific", I1140="Invalid - Not Informed", I1140="Invalid - Ambiguous"), "Gap - Invalid Consent", "Compliant")))))</f>
        <v/>
      </c>
      <c r="O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>
        <f>IF(D1141="Legitimate Interest (GDPR Art. 6(1)(f))", "Yes / Required (Sheet 3)", "")</f>
        <v/>
      </c>
      <c r="L1141" s="7" t="n"/>
      <c r="M1141" s="7" t="n"/>
      <c r="N1141">
        <f>IF(D1141="", "Gap - No Legal Basis", IF(AND(D1141="Consent (GDPR Art. 6(1)(a))", I1141="Not Captured"), "Gap - Invalid Consent", IF(AND(D1141="Legitimate Interest (GDPR Art. 6(1)(f))", L1141=""), "Gap - Missing LIA", IF(AND(G1141="Yes", H1141=""), "Gap - Missing Art. 9 Basis", IF(OR(I1141="Invalid - Not Freely Given", I1141="Invalid - Not Specific", I1141="Invalid - Not Informed", I1141="Invalid - Ambiguous"), "Gap - Invalid Consent", "Compliant")))))</f>
        <v/>
      </c>
      <c r="O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>
        <f>IF(D1142="Legitimate Interest (GDPR Art. 6(1)(f))", "Yes / Required (Sheet 3)", "")</f>
        <v/>
      </c>
      <c r="L1142" s="7" t="n"/>
      <c r="M1142" s="7" t="n"/>
      <c r="N1142">
        <f>IF(D1142="", "Gap - No Legal Basis", IF(AND(D1142="Consent (GDPR Art. 6(1)(a))", I1142="Not Captured"), "Gap - Invalid Consent", IF(AND(D1142="Legitimate Interest (GDPR Art. 6(1)(f))", L1142=""), "Gap - Missing LIA", IF(AND(G1142="Yes", H1142=""), "Gap - Missing Art. 9 Basis", IF(OR(I1142="Invalid - Not Freely Given", I1142="Invalid - Not Specific", I1142="Invalid - Not Informed", I1142="Invalid - Ambiguous"), "Gap - Invalid Consent", "Compliant")))))</f>
        <v/>
      </c>
      <c r="O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>
        <f>IF(D1143="Legitimate Interest (GDPR Art. 6(1)(f))", "Yes / Required (Sheet 3)", "")</f>
        <v/>
      </c>
      <c r="L1143" s="7" t="n"/>
      <c r="M1143" s="7" t="n"/>
      <c r="N1143">
        <f>IF(D1143="", "Gap - No Legal Basis", IF(AND(D1143="Consent (GDPR Art. 6(1)(a))", I1143="Not Captured"), "Gap - Invalid Consent", IF(AND(D1143="Legitimate Interest (GDPR Art. 6(1)(f))", L1143=""), "Gap - Missing LIA", IF(AND(G1143="Yes", H1143=""), "Gap - Missing Art. 9 Basis", IF(OR(I1143="Invalid - Not Freely Given", I1143="Invalid - Not Specific", I1143="Invalid - Not Informed", I1143="Invalid - Ambiguous"), "Gap - Invalid Consent", "Compliant")))))</f>
        <v/>
      </c>
      <c r="O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>
        <f>IF(D1144="Legitimate Interest (GDPR Art. 6(1)(f))", "Yes / Required (Sheet 3)", "")</f>
        <v/>
      </c>
      <c r="L1144" s="7" t="n"/>
      <c r="M1144" s="7" t="n"/>
      <c r="N1144">
        <f>IF(D1144="", "Gap - No Legal Basis", IF(AND(D1144="Consent (GDPR Art. 6(1)(a))", I1144="Not Captured"), "Gap - Invalid Consent", IF(AND(D1144="Legitimate Interest (GDPR Art. 6(1)(f))", L1144=""), "Gap - Missing LIA", IF(AND(G1144="Yes", H1144=""), "Gap - Missing Art. 9 Basis", IF(OR(I1144="Invalid - Not Freely Given", I1144="Invalid - Not Specific", I1144="Invalid - Not Informed", I1144="Invalid - Ambiguous"), "Gap - Invalid Consent", "Compliant")))))</f>
        <v/>
      </c>
      <c r="O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>
        <f>IF(D1145="Legitimate Interest (GDPR Art. 6(1)(f))", "Yes / Required (Sheet 3)", "")</f>
        <v/>
      </c>
      <c r="L1145" s="7" t="n"/>
      <c r="M1145" s="7" t="n"/>
      <c r="N1145">
        <f>IF(D1145="", "Gap - No Legal Basis", IF(AND(D1145="Consent (GDPR Art. 6(1)(a))", I1145="Not Captured"), "Gap - Invalid Consent", IF(AND(D1145="Legitimate Interest (GDPR Art. 6(1)(f))", L1145=""), "Gap - Missing LIA", IF(AND(G1145="Yes", H1145=""), "Gap - Missing Art. 9 Basis", IF(OR(I1145="Invalid - Not Freely Given", I1145="Invalid - Not Specific", I1145="Invalid - Not Informed", I1145="Invalid - Ambiguous"), "Gap - Invalid Consent", "Compliant")))))</f>
        <v/>
      </c>
      <c r="O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>
        <f>IF(D1146="Legitimate Interest (GDPR Art. 6(1)(f))", "Yes / Required (Sheet 3)", "")</f>
        <v/>
      </c>
      <c r="L1146" s="7" t="n"/>
      <c r="M1146" s="7" t="n"/>
      <c r="N1146">
        <f>IF(D1146="", "Gap - No Legal Basis", IF(AND(D1146="Consent (GDPR Art. 6(1)(a))", I1146="Not Captured"), "Gap - Invalid Consent", IF(AND(D1146="Legitimate Interest (GDPR Art. 6(1)(f))", L1146=""), "Gap - Missing LIA", IF(AND(G1146="Yes", H1146=""), "Gap - Missing Art. 9 Basis", IF(OR(I1146="Invalid - Not Freely Given", I1146="Invalid - Not Specific", I1146="Invalid - Not Informed", I1146="Invalid - Ambiguous"), "Gap - Invalid Consent", "Compliant")))))</f>
        <v/>
      </c>
      <c r="O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>
        <f>IF(D1147="Legitimate Interest (GDPR Art. 6(1)(f))", "Yes / Required (Sheet 3)", "")</f>
        <v/>
      </c>
      <c r="L1147" s="7" t="n"/>
      <c r="M1147" s="7" t="n"/>
      <c r="N1147">
        <f>IF(D1147="", "Gap - No Legal Basis", IF(AND(D1147="Consent (GDPR Art. 6(1)(a))", I1147="Not Captured"), "Gap - Invalid Consent", IF(AND(D1147="Legitimate Interest (GDPR Art. 6(1)(f))", L1147=""), "Gap - Missing LIA", IF(AND(G1147="Yes", H1147=""), "Gap - Missing Art. 9 Basis", IF(OR(I1147="Invalid - Not Freely Given", I1147="Invalid - Not Specific", I1147="Invalid - Not Informed", I1147="Invalid - Ambiguous"), "Gap - Invalid Consent", "Compliant")))))</f>
        <v/>
      </c>
      <c r="O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>
        <f>IF(D1148="Legitimate Interest (GDPR Art. 6(1)(f))", "Yes / Required (Sheet 3)", "")</f>
        <v/>
      </c>
      <c r="L1148" s="7" t="n"/>
      <c r="M1148" s="7" t="n"/>
      <c r="N1148">
        <f>IF(D1148="", "Gap - No Legal Basis", IF(AND(D1148="Consent (GDPR Art. 6(1)(a))", I1148="Not Captured"), "Gap - Invalid Consent", IF(AND(D1148="Legitimate Interest (GDPR Art. 6(1)(f))", L1148=""), "Gap - Missing LIA", IF(AND(G1148="Yes", H1148=""), "Gap - Missing Art. 9 Basis", IF(OR(I1148="Invalid - Not Freely Given", I1148="Invalid - Not Specific", I1148="Invalid - Not Informed", I1148="Invalid - Ambiguous"), "Gap - Invalid Consent", "Compliant")))))</f>
        <v/>
      </c>
      <c r="O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>
        <f>IF(D1149="Legitimate Interest (GDPR Art. 6(1)(f))", "Yes / Required (Sheet 3)", "")</f>
        <v/>
      </c>
      <c r="L1149" s="7" t="n"/>
      <c r="M1149" s="7" t="n"/>
      <c r="N1149">
        <f>IF(D1149="", "Gap - No Legal Basis", IF(AND(D1149="Consent (GDPR Art. 6(1)(a))", I1149="Not Captured"), "Gap - Invalid Consent", IF(AND(D1149="Legitimate Interest (GDPR Art. 6(1)(f))", L1149=""), "Gap - Missing LIA", IF(AND(G1149="Yes", H1149=""), "Gap - Missing Art. 9 Basis", IF(OR(I1149="Invalid - Not Freely Given", I1149="Invalid - Not Specific", I1149="Invalid - Not Informed", I1149="Invalid - Ambiguous"), "Gap - Invalid Consent", "Compliant")))))</f>
        <v/>
      </c>
      <c r="O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>
        <f>IF(D1150="Legitimate Interest (GDPR Art. 6(1)(f))", "Yes / Required (Sheet 3)", "")</f>
        <v/>
      </c>
      <c r="L1150" s="7" t="n"/>
      <c r="M1150" s="7" t="n"/>
      <c r="N1150">
        <f>IF(D1150="", "Gap - No Legal Basis", IF(AND(D1150="Consent (GDPR Art. 6(1)(a))", I1150="Not Captured"), "Gap - Invalid Consent", IF(AND(D1150="Legitimate Interest (GDPR Art. 6(1)(f))", L1150=""), "Gap - Missing LIA", IF(AND(G1150="Yes", H1150=""), "Gap - Missing Art. 9 Basis", IF(OR(I1150="Invalid - Not Freely Given", I1150="Invalid - Not Specific", I1150="Invalid - Not Informed", I1150="Invalid - Ambiguous"), "Gap - Invalid Consent", "Compliant")))))</f>
        <v/>
      </c>
      <c r="O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>
        <f>IF(D1151="Legitimate Interest (GDPR Art. 6(1)(f))", "Yes / Required (Sheet 3)", "")</f>
        <v/>
      </c>
      <c r="L1151" s="7" t="n"/>
      <c r="M1151" s="7" t="n"/>
      <c r="N1151">
        <f>IF(D1151="", "Gap - No Legal Basis", IF(AND(D1151="Consent (GDPR Art. 6(1)(a))", I1151="Not Captured"), "Gap - Invalid Consent", IF(AND(D1151="Legitimate Interest (GDPR Art. 6(1)(f))", L1151=""), "Gap - Missing LIA", IF(AND(G1151="Yes", H1151=""), "Gap - Missing Art. 9 Basis", IF(OR(I1151="Invalid - Not Freely Given", I1151="Invalid - Not Specific", I1151="Invalid - Not Informed", I1151="Invalid - Ambiguous"), "Gap - Invalid Consent", "Compliant")))))</f>
        <v/>
      </c>
      <c r="O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>
        <f>IF(D1152="Legitimate Interest (GDPR Art. 6(1)(f))", "Yes / Required (Sheet 3)", "")</f>
        <v/>
      </c>
      <c r="L1152" s="7" t="n"/>
      <c r="M1152" s="7" t="n"/>
      <c r="N1152">
        <f>IF(D1152="", "Gap - No Legal Basis", IF(AND(D1152="Consent (GDPR Art. 6(1)(a))", I1152="Not Captured"), "Gap - Invalid Consent", IF(AND(D1152="Legitimate Interest (GDPR Art. 6(1)(f))", L1152=""), "Gap - Missing LIA", IF(AND(G1152="Yes", H1152=""), "Gap - Missing Art. 9 Basis", IF(OR(I1152="Invalid - Not Freely Given", I1152="Invalid - Not Specific", I1152="Invalid - Not Informed", I1152="Invalid - Ambiguous"), "Gap - Invalid Consent", "Compliant")))))</f>
        <v/>
      </c>
      <c r="O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>
        <f>IF(D1153="Legitimate Interest (GDPR Art. 6(1)(f))", "Yes / Required (Sheet 3)", "")</f>
        <v/>
      </c>
      <c r="L1153" s="7" t="n"/>
      <c r="M1153" s="7" t="n"/>
      <c r="N1153">
        <f>IF(D1153="", "Gap - No Legal Basis", IF(AND(D1153="Consent (GDPR Art. 6(1)(a))", I1153="Not Captured"), "Gap - Invalid Consent", IF(AND(D1153="Legitimate Interest (GDPR Art. 6(1)(f))", L1153=""), "Gap - Missing LIA", IF(AND(G1153="Yes", H1153=""), "Gap - Missing Art. 9 Basis", IF(OR(I1153="Invalid - Not Freely Given", I1153="Invalid - Not Specific", I1153="Invalid - Not Informed", I1153="Invalid - Ambiguous"), "Gap - Invalid Consent", "Compliant")))))</f>
        <v/>
      </c>
      <c r="O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>
        <f>IF(D1154="Legitimate Interest (GDPR Art. 6(1)(f))", "Yes / Required (Sheet 3)", "")</f>
        <v/>
      </c>
      <c r="L1154" s="7" t="n"/>
      <c r="M1154" s="7" t="n"/>
      <c r="N1154">
        <f>IF(D1154="", "Gap - No Legal Basis", IF(AND(D1154="Consent (GDPR Art. 6(1)(a))", I1154="Not Captured"), "Gap - Invalid Consent", IF(AND(D1154="Legitimate Interest (GDPR Art. 6(1)(f))", L1154=""), "Gap - Missing LIA", IF(AND(G1154="Yes", H1154=""), "Gap - Missing Art. 9 Basis", IF(OR(I1154="Invalid - Not Freely Given", I1154="Invalid - Not Specific", I1154="Invalid - Not Informed", I1154="Invalid - Ambiguous"), "Gap - Invalid Consent", "Compliant")))))</f>
        <v/>
      </c>
      <c r="O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>
        <f>IF(D1155="Legitimate Interest (GDPR Art. 6(1)(f))", "Yes / Required (Sheet 3)", "")</f>
        <v/>
      </c>
      <c r="L1155" s="7" t="n"/>
      <c r="M1155" s="7" t="n"/>
      <c r="N1155">
        <f>IF(D1155="", "Gap - No Legal Basis", IF(AND(D1155="Consent (GDPR Art. 6(1)(a))", I1155="Not Captured"), "Gap - Invalid Consent", IF(AND(D1155="Legitimate Interest (GDPR Art. 6(1)(f))", L1155=""), "Gap - Missing LIA", IF(AND(G1155="Yes", H1155=""), "Gap - Missing Art. 9 Basis", IF(OR(I1155="Invalid - Not Freely Given", I1155="Invalid - Not Specific", I1155="Invalid - Not Informed", I1155="Invalid - Ambiguous"), "Gap - Invalid Consent", "Compliant")))))</f>
        <v/>
      </c>
      <c r="O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>
        <f>IF(D1156="Legitimate Interest (GDPR Art. 6(1)(f))", "Yes / Required (Sheet 3)", "")</f>
        <v/>
      </c>
      <c r="L1156" s="7" t="n"/>
      <c r="M1156" s="7" t="n"/>
      <c r="N1156">
        <f>IF(D1156="", "Gap - No Legal Basis", IF(AND(D1156="Consent (GDPR Art. 6(1)(a))", I1156="Not Captured"), "Gap - Invalid Consent", IF(AND(D1156="Legitimate Interest (GDPR Art. 6(1)(f))", L1156=""), "Gap - Missing LIA", IF(AND(G1156="Yes", H1156=""), "Gap - Missing Art. 9 Basis", IF(OR(I1156="Invalid - Not Freely Given", I1156="Invalid - Not Specific", I1156="Invalid - Not Informed", I1156="Invalid - Ambiguous"), "Gap - Invalid Consent", "Compliant")))))</f>
        <v/>
      </c>
      <c r="O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>
        <f>IF(D1157="Legitimate Interest (GDPR Art. 6(1)(f))", "Yes / Required (Sheet 3)", "")</f>
        <v/>
      </c>
      <c r="L1157" s="7" t="n"/>
      <c r="M1157" s="7" t="n"/>
      <c r="N1157">
        <f>IF(D1157="", "Gap - No Legal Basis", IF(AND(D1157="Consent (GDPR Art. 6(1)(a))", I1157="Not Captured"), "Gap - Invalid Consent", IF(AND(D1157="Legitimate Interest (GDPR Art. 6(1)(f))", L1157=""), "Gap - Missing LIA", IF(AND(G1157="Yes", H1157=""), "Gap - Missing Art. 9 Basis", IF(OR(I1157="Invalid - Not Freely Given", I1157="Invalid - Not Specific", I1157="Invalid - Not Informed", I1157="Invalid - Ambiguous"), "Gap - Invalid Consent", "Compliant")))))</f>
        <v/>
      </c>
      <c r="O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>
        <f>IF(D1158="Legitimate Interest (GDPR Art. 6(1)(f))", "Yes / Required (Sheet 3)", "")</f>
        <v/>
      </c>
      <c r="L1158" s="7" t="n"/>
      <c r="M1158" s="7" t="n"/>
      <c r="N1158">
        <f>IF(D1158="", "Gap - No Legal Basis", IF(AND(D1158="Consent (GDPR Art. 6(1)(a))", I1158="Not Captured"), "Gap - Invalid Consent", IF(AND(D1158="Legitimate Interest (GDPR Art. 6(1)(f))", L1158=""), "Gap - Missing LIA", IF(AND(G1158="Yes", H1158=""), "Gap - Missing Art. 9 Basis", IF(OR(I1158="Invalid - Not Freely Given", I1158="Invalid - Not Specific", I1158="Invalid - Not Informed", I1158="Invalid - Ambiguous"), "Gap - Invalid Consent", "Compliant")))))</f>
        <v/>
      </c>
      <c r="O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>
        <f>IF(D1159="Legitimate Interest (GDPR Art. 6(1)(f))", "Yes / Required (Sheet 3)", "")</f>
        <v/>
      </c>
      <c r="L1159" s="7" t="n"/>
      <c r="M1159" s="7" t="n"/>
      <c r="N1159">
        <f>IF(D1159="", "Gap - No Legal Basis", IF(AND(D1159="Consent (GDPR Art. 6(1)(a))", I1159="Not Captured"), "Gap - Invalid Consent", IF(AND(D1159="Legitimate Interest (GDPR Art. 6(1)(f))", L1159=""), "Gap - Missing LIA", IF(AND(G1159="Yes", H1159=""), "Gap - Missing Art. 9 Basis", IF(OR(I1159="Invalid - Not Freely Given", I1159="Invalid - Not Specific", I1159="Invalid - Not Informed", I1159="Invalid - Ambiguous"), "Gap - Invalid Consent", "Compliant")))))</f>
        <v/>
      </c>
      <c r="O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>
        <f>IF(D1160="Legitimate Interest (GDPR Art. 6(1)(f))", "Yes / Required (Sheet 3)", "")</f>
        <v/>
      </c>
      <c r="L1160" s="7" t="n"/>
      <c r="M1160" s="7" t="n"/>
      <c r="N1160">
        <f>IF(D1160="", "Gap - No Legal Basis", IF(AND(D1160="Consent (GDPR Art. 6(1)(a))", I1160="Not Captured"), "Gap - Invalid Consent", IF(AND(D1160="Legitimate Interest (GDPR Art. 6(1)(f))", L1160=""), "Gap - Missing LIA", IF(AND(G1160="Yes", H1160=""), "Gap - Missing Art. 9 Basis", IF(OR(I1160="Invalid - Not Freely Given", I1160="Invalid - Not Specific", I1160="Invalid - Not Informed", I1160="Invalid - Ambiguous"), "Gap - Invalid Consent", "Compliant")))))</f>
        <v/>
      </c>
      <c r="O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>
        <f>IF(D1161="Legitimate Interest (GDPR Art. 6(1)(f))", "Yes / Required (Sheet 3)", "")</f>
        <v/>
      </c>
      <c r="L1161" s="7" t="n"/>
      <c r="M1161" s="7" t="n"/>
      <c r="N1161">
        <f>IF(D1161="", "Gap - No Legal Basis", IF(AND(D1161="Consent (GDPR Art. 6(1)(a))", I1161="Not Captured"), "Gap - Invalid Consent", IF(AND(D1161="Legitimate Interest (GDPR Art. 6(1)(f))", L1161=""), "Gap - Missing LIA", IF(AND(G1161="Yes", H1161=""), "Gap - Missing Art. 9 Basis", IF(OR(I1161="Invalid - Not Freely Given", I1161="Invalid - Not Specific", I1161="Invalid - Not Informed", I1161="Invalid - Ambiguous"), "Gap - Invalid Consent", "Compliant")))))</f>
        <v/>
      </c>
      <c r="O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>
        <f>IF(D1162="Legitimate Interest (GDPR Art. 6(1)(f))", "Yes / Required (Sheet 3)", "")</f>
        <v/>
      </c>
      <c r="L1162" s="7" t="n"/>
      <c r="M1162" s="7" t="n"/>
      <c r="N1162">
        <f>IF(D1162="", "Gap - No Legal Basis", IF(AND(D1162="Consent (GDPR Art. 6(1)(a))", I1162="Not Captured"), "Gap - Invalid Consent", IF(AND(D1162="Legitimate Interest (GDPR Art. 6(1)(f))", L1162=""), "Gap - Missing LIA", IF(AND(G1162="Yes", H1162=""), "Gap - Missing Art. 9 Basis", IF(OR(I1162="Invalid - Not Freely Given", I1162="Invalid - Not Specific", I1162="Invalid - Not Informed", I1162="Invalid - Ambiguous"), "Gap - Invalid Consent", "Compliant")))))</f>
        <v/>
      </c>
      <c r="O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>
        <f>IF(D1163="Legitimate Interest (GDPR Art. 6(1)(f))", "Yes / Required (Sheet 3)", "")</f>
        <v/>
      </c>
      <c r="L1163" s="7" t="n"/>
      <c r="M1163" s="7" t="n"/>
      <c r="N1163">
        <f>IF(D1163="", "Gap - No Legal Basis", IF(AND(D1163="Consent (GDPR Art. 6(1)(a))", I1163="Not Captured"), "Gap - Invalid Consent", IF(AND(D1163="Legitimate Interest (GDPR Art. 6(1)(f))", L1163=""), "Gap - Missing LIA", IF(AND(G1163="Yes", H1163=""), "Gap - Missing Art. 9 Basis", IF(OR(I1163="Invalid - Not Freely Given", I1163="Invalid - Not Specific", I1163="Invalid - Not Informed", I1163="Invalid - Ambiguous"), "Gap - Invalid Consent", "Compliant")))))</f>
        <v/>
      </c>
      <c r="O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>
        <f>IF(D1164="Legitimate Interest (GDPR Art. 6(1)(f))", "Yes / Required (Sheet 3)", "")</f>
        <v/>
      </c>
      <c r="L1164" s="7" t="n"/>
      <c r="M1164" s="7" t="n"/>
      <c r="N1164">
        <f>IF(D1164="", "Gap - No Legal Basis", IF(AND(D1164="Consent (GDPR Art. 6(1)(a))", I1164="Not Captured"), "Gap - Invalid Consent", IF(AND(D1164="Legitimate Interest (GDPR Art. 6(1)(f))", L1164=""), "Gap - Missing LIA", IF(AND(G1164="Yes", H1164=""), "Gap - Missing Art. 9 Basis", IF(OR(I1164="Invalid - Not Freely Given", I1164="Invalid - Not Specific", I1164="Invalid - Not Informed", I1164="Invalid - Ambiguous"), "Gap - Invalid Consent", "Compliant")))))</f>
        <v/>
      </c>
      <c r="O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>
        <f>IF(D1165="Legitimate Interest (GDPR Art. 6(1)(f))", "Yes / Required (Sheet 3)", "")</f>
        <v/>
      </c>
      <c r="L1165" s="7" t="n"/>
      <c r="M1165" s="7" t="n"/>
      <c r="N1165">
        <f>IF(D1165="", "Gap - No Legal Basis", IF(AND(D1165="Consent (GDPR Art. 6(1)(a))", I1165="Not Captured"), "Gap - Invalid Consent", IF(AND(D1165="Legitimate Interest (GDPR Art. 6(1)(f))", L1165=""), "Gap - Missing LIA", IF(AND(G1165="Yes", H1165=""), "Gap - Missing Art. 9 Basis", IF(OR(I1165="Invalid - Not Freely Given", I1165="Invalid - Not Specific", I1165="Invalid - Not Informed", I1165="Invalid - Ambiguous"), "Gap - Invalid Consent", "Compliant")))))</f>
        <v/>
      </c>
      <c r="O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>
        <f>IF(D1166="Legitimate Interest (GDPR Art. 6(1)(f))", "Yes / Required (Sheet 3)", "")</f>
        <v/>
      </c>
      <c r="L1166" s="7" t="n"/>
      <c r="M1166" s="7" t="n"/>
      <c r="N1166">
        <f>IF(D1166="", "Gap - No Legal Basis", IF(AND(D1166="Consent (GDPR Art. 6(1)(a))", I1166="Not Captured"), "Gap - Invalid Consent", IF(AND(D1166="Legitimate Interest (GDPR Art. 6(1)(f))", L1166=""), "Gap - Missing LIA", IF(AND(G1166="Yes", H1166=""), "Gap - Missing Art. 9 Basis", IF(OR(I1166="Invalid - Not Freely Given", I1166="Invalid - Not Specific", I1166="Invalid - Not Informed", I1166="Invalid - Ambiguous"), "Gap - Invalid Consent", "Compliant")))))</f>
        <v/>
      </c>
      <c r="O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>
        <f>IF(D1167="Legitimate Interest (GDPR Art. 6(1)(f))", "Yes / Required (Sheet 3)", "")</f>
        <v/>
      </c>
      <c r="L1167" s="7" t="n"/>
      <c r="M1167" s="7" t="n"/>
      <c r="N1167">
        <f>IF(D1167="", "Gap - No Legal Basis", IF(AND(D1167="Consent (GDPR Art. 6(1)(a))", I1167="Not Captured"), "Gap - Invalid Consent", IF(AND(D1167="Legitimate Interest (GDPR Art. 6(1)(f))", L1167=""), "Gap - Missing LIA", IF(AND(G1167="Yes", H1167=""), "Gap - Missing Art. 9 Basis", IF(OR(I1167="Invalid - Not Freely Given", I1167="Invalid - Not Specific", I1167="Invalid - Not Informed", I1167="Invalid - Ambiguous"), "Gap - Invalid Consent", "Compliant")))))</f>
        <v/>
      </c>
      <c r="O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>
        <f>IF(D1168="Legitimate Interest (GDPR Art. 6(1)(f))", "Yes / Required (Sheet 3)", "")</f>
        <v/>
      </c>
      <c r="L1168" s="7" t="n"/>
      <c r="M1168" s="7" t="n"/>
      <c r="N1168">
        <f>IF(D1168="", "Gap - No Legal Basis", IF(AND(D1168="Consent (GDPR Art. 6(1)(a))", I1168="Not Captured"), "Gap - Invalid Consent", IF(AND(D1168="Legitimate Interest (GDPR Art. 6(1)(f))", L1168=""), "Gap - Missing LIA", IF(AND(G1168="Yes", H1168=""), "Gap - Missing Art. 9 Basis", IF(OR(I1168="Invalid - Not Freely Given", I1168="Invalid - Not Specific", I1168="Invalid - Not Informed", I1168="Invalid - Ambiguous"), "Gap - Invalid Consent", "Compliant")))))</f>
        <v/>
      </c>
      <c r="O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>
        <f>IF(D1169="Legitimate Interest (GDPR Art. 6(1)(f))", "Yes / Required (Sheet 3)", "")</f>
        <v/>
      </c>
      <c r="L1169" s="7" t="n"/>
      <c r="M1169" s="7" t="n"/>
      <c r="N1169">
        <f>IF(D1169="", "Gap - No Legal Basis", IF(AND(D1169="Consent (GDPR Art. 6(1)(a))", I1169="Not Captured"), "Gap - Invalid Consent", IF(AND(D1169="Legitimate Interest (GDPR Art. 6(1)(f))", L1169=""), "Gap - Missing LIA", IF(AND(G1169="Yes", H1169=""), "Gap - Missing Art. 9 Basis", IF(OR(I1169="Invalid - Not Freely Given", I1169="Invalid - Not Specific", I1169="Invalid - Not Informed", I1169="Invalid - Ambiguous"), "Gap - Invalid Consent", "Compliant")))))</f>
        <v/>
      </c>
      <c r="O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>
        <f>IF(D1170="Legitimate Interest (GDPR Art. 6(1)(f))", "Yes / Required (Sheet 3)", "")</f>
        <v/>
      </c>
      <c r="L1170" s="7" t="n"/>
      <c r="M1170" s="7" t="n"/>
      <c r="N1170">
        <f>IF(D1170="", "Gap - No Legal Basis", IF(AND(D1170="Consent (GDPR Art. 6(1)(a))", I1170="Not Captured"), "Gap - Invalid Consent", IF(AND(D1170="Legitimate Interest (GDPR Art. 6(1)(f))", L1170=""), "Gap - Missing LIA", IF(AND(G1170="Yes", H1170=""), "Gap - Missing Art. 9 Basis", IF(OR(I1170="Invalid - Not Freely Given", I1170="Invalid - Not Specific", I1170="Invalid - Not Informed", I1170="Invalid - Ambiguous"), "Gap - Invalid Consent", "Compliant")))))</f>
        <v/>
      </c>
      <c r="O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>
        <f>IF(D1171="Legitimate Interest (GDPR Art. 6(1)(f))", "Yes / Required (Sheet 3)", "")</f>
        <v/>
      </c>
      <c r="L1171" s="7" t="n"/>
      <c r="M1171" s="7" t="n"/>
      <c r="N1171">
        <f>IF(D1171="", "Gap - No Legal Basis", IF(AND(D1171="Consent (GDPR Art. 6(1)(a))", I1171="Not Captured"), "Gap - Invalid Consent", IF(AND(D1171="Legitimate Interest (GDPR Art. 6(1)(f))", L1171=""), "Gap - Missing LIA", IF(AND(G1171="Yes", H1171=""), "Gap - Missing Art. 9 Basis", IF(OR(I1171="Invalid - Not Freely Given", I1171="Invalid - Not Specific", I1171="Invalid - Not Informed", I1171="Invalid - Ambiguous"), "Gap - Invalid Consent", "Compliant")))))</f>
        <v/>
      </c>
      <c r="O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>
        <f>IF(D1172="Legitimate Interest (GDPR Art. 6(1)(f))", "Yes / Required (Sheet 3)", "")</f>
        <v/>
      </c>
      <c r="L1172" s="7" t="n"/>
      <c r="M1172" s="7" t="n"/>
      <c r="N1172">
        <f>IF(D1172="", "Gap - No Legal Basis", IF(AND(D1172="Consent (GDPR Art. 6(1)(a))", I1172="Not Captured"), "Gap - Invalid Consent", IF(AND(D1172="Legitimate Interest (GDPR Art. 6(1)(f))", L1172=""), "Gap - Missing LIA", IF(AND(G1172="Yes", H1172=""), "Gap - Missing Art. 9 Basis", IF(OR(I1172="Invalid - Not Freely Given", I1172="Invalid - Not Specific", I1172="Invalid - Not Informed", I1172="Invalid - Ambiguous"), "Gap - Invalid Consent", "Compliant")))))</f>
        <v/>
      </c>
      <c r="O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>
        <f>IF(D1173="Legitimate Interest (GDPR Art. 6(1)(f))", "Yes / Required (Sheet 3)", "")</f>
        <v/>
      </c>
      <c r="L1173" s="7" t="n"/>
      <c r="M1173" s="7" t="n"/>
      <c r="N1173">
        <f>IF(D1173="", "Gap - No Legal Basis", IF(AND(D1173="Consent (GDPR Art. 6(1)(a))", I1173="Not Captured"), "Gap - Invalid Consent", IF(AND(D1173="Legitimate Interest (GDPR Art. 6(1)(f))", L1173=""), "Gap - Missing LIA", IF(AND(G1173="Yes", H1173=""), "Gap - Missing Art. 9 Basis", IF(OR(I1173="Invalid - Not Freely Given", I1173="Invalid - Not Specific", I1173="Invalid - Not Informed", I1173="Invalid - Ambiguous"), "Gap - Invalid Consent", "Compliant")))))</f>
        <v/>
      </c>
      <c r="O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>
        <f>IF(D1174="Legitimate Interest (GDPR Art. 6(1)(f))", "Yes / Required (Sheet 3)", "")</f>
        <v/>
      </c>
      <c r="L1174" s="7" t="n"/>
      <c r="M1174" s="7" t="n"/>
      <c r="N1174">
        <f>IF(D1174="", "Gap - No Legal Basis", IF(AND(D1174="Consent (GDPR Art. 6(1)(a))", I1174="Not Captured"), "Gap - Invalid Consent", IF(AND(D1174="Legitimate Interest (GDPR Art. 6(1)(f))", L1174=""), "Gap - Missing LIA", IF(AND(G1174="Yes", H1174=""), "Gap - Missing Art. 9 Basis", IF(OR(I1174="Invalid - Not Freely Given", I1174="Invalid - Not Specific", I1174="Invalid - Not Informed", I1174="Invalid - Ambiguous"), "Gap - Invalid Consent", "Compliant")))))</f>
        <v/>
      </c>
      <c r="O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>
        <f>IF(D1175="Legitimate Interest (GDPR Art. 6(1)(f))", "Yes / Required (Sheet 3)", "")</f>
        <v/>
      </c>
      <c r="L1175" s="7" t="n"/>
      <c r="M1175" s="7" t="n"/>
      <c r="N1175">
        <f>IF(D1175="", "Gap - No Legal Basis", IF(AND(D1175="Consent (GDPR Art. 6(1)(a))", I1175="Not Captured"), "Gap - Invalid Consent", IF(AND(D1175="Legitimate Interest (GDPR Art. 6(1)(f))", L1175=""), "Gap - Missing LIA", IF(AND(G1175="Yes", H1175=""), "Gap - Missing Art. 9 Basis", IF(OR(I1175="Invalid - Not Freely Given", I1175="Invalid - Not Specific", I1175="Invalid - Not Informed", I1175="Invalid - Ambiguous"), "Gap - Invalid Consent", "Compliant")))))</f>
        <v/>
      </c>
      <c r="O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>
        <f>IF(D1176="Legitimate Interest (GDPR Art. 6(1)(f))", "Yes / Required (Sheet 3)", "")</f>
        <v/>
      </c>
      <c r="L1176" s="7" t="n"/>
      <c r="M1176" s="7" t="n"/>
      <c r="N1176">
        <f>IF(D1176="", "Gap - No Legal Basis", IF(AND(D1176="Consent (GDPR Art. 6(1)(a))", I1176="Not Captured"), "Gap - Invalid Consent", IF(AND(D1176="Legitimate Interest (GDPR Art. 6(1)(f))", L1176=""), "Gap - Missing LIA", IF(AND(G1176="Yes", H1176=""), "Gap - Missing Art. 9 Basis", IF(OR(I1176="Invalid - Not Freely Given", I1176="Invalid - Not Specific", I1176="Invalid - Not Informed", I1176="Invalid - Ambiguous"), "Gap - Invalid Consent", "Compliant")))))</f>
        <v/>
      </c>
      <c r="O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>
        <f>IF(D1177="Legitimate Interest (GDPR Art. 6(1)(f))", "Yes / Required (Sheet 3)", "")</f>
        <v/>
      </c>
      <c r="L1177" s="7" t="n"/>
      <c r="M1177" s="7" t="n"/>
      <c r="N1177">
        <f>IF(D1177="", "Gap - No Legal Basis", IF(AND(D1177="Consent (GDPR Art. 6(1)(a))", I1177="Not Captured"), "Gap - Invalid Consent", IF(AND(D1177="Legitimate Interest (GDPR Art. 6(1)(f))", L1177=""), "Gap - Missing LIA", IF(AND(G1177="Yes", H1177=""), "Gap - Missing Art. 9 Basis", IF(OR(I1177="Invalid - Not Freely Given", I1177="Invalid - Not Specific", I1177="Invalid - Not Informed", I1177="Invalid - Ambiguous"), "Gap - Invalid Consent", "Compliant")))))</f>
        <v/>
      </c>
      <c r="O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>
        <f>IF(D1178="Legitimate Interest (GDPR Art. 6(1)(f))", "Yes / Required (Sheet 3)", "")</f>
        <v/>
      </c>
      <c r="L1178" s="7" t="n"/>
      <c r="M1178" s="7" t="n"/>
      <c r="N1178">
        <f>IF(D1178="", "Gap - No Legal Basis", IF(AND(D1178="Consent (GDPR Art. 6(1)(a))", I1178="Not Captured"), "Gap - Invalid Consent", IF(AND(D1178="Legitimate Interest (GDPR Art. 6(1)(f))", L1178=""), "Gap - Missing LIA", IF(AND(G1178="Yes", H1178=""), "Gap - Missing Art. 9 Basis", IF(OR(I1178="Invalid - Not Freely Given", I1178="Invalid - Not Specific", I1178="Invalid - Not Informed", I1178="Invalid - Ambiguous"), "Gap - Invalid Consent", "Compliant")))))</f>
        <v/>
      </c>
      <c r="O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>
        <f>IF(D1179="Legitimate Interest (GDPR Art. 6(1)(f))", "Yes / Required (Sheet 3)", "")</f>
        <v/>
      </c>
      <c r="L1179" s="7" t="n"/>
      <c r="M1179" s="7" t="n"/>
      <c r="N1179">
        <f>IF(D1179="", "Gap - No Legal Basis", IF(AND(D1179="Consent (GDPR Art. 6(1)(a))", I1179="Not Captured"), "Gap - Invalid Consent", IF(AND(D1179="Legitimate Interest (GDPR Art. 6(1)(f))", L1179=""), "Gap - Missing LIA", IF(AND(G1179="Yes", H1179=""), "Gap - Missing Art. 9 Basis", IF(OR(I1179="Invalid - Not Freely Given", I1179="Invalid - Not Specific", I1179="Invalid - Not Informed", I1179="Invalid - Ambiguous"), "Gap - Invalid Consent", "Compliant")))))</f>
        <v/>
      </c>
      <c r="O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>
        <f>IF(D1180="Legitimate Interest (GDPR Art. 6(1)(f))", "Yes / Required (Sheet 3)", "")</f>
        <v/>
      </c>
      <c r="L1180" s="7" t="n"/>
      <c r="M1180" s="7" t="n"/>
      <c r="N1180">
        <f>IF(D1180="", "Gap - No Legal Basis", IF(AND(D1180="Consent (GDPR Art. 6(1)(a))", I1180="Not Captured"), "Gap - Invalid Consent", IF(AND(D1180="Legitimate Interest (GDPR Art. 6(1)(f))", L1180=""), "Gap - Missing LIA", IF(AND(G1180="Yes", H1180=""), "Gap - Missing Art. 9 Basis", IF(OR(I1180="Invalid - Not Freely Given", I1180="Invalid - Not Specific", I1180="Invalid - Not Informed", I1180="Invalid - Ambiguous"), "Gap - Invalid Consent", "Compliant")))))</f>
        <v/>
      </c>
      <c r="O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>
        <f>IF(D1181="Legitimate Interest (GDPR Art. 6(1)(f))", "Yes / Required (Sheet 3)", "")</f>
        <v/>
      </c>
      <c r="L1181" s="7" t="n"/>
      <c r="M1181" s="7" t="n"/>
      <c r="N1181">
        <f>IF(D1181="", "Gap - No Legal Basis", IF(AND(D1181="Consent (GDPR Art. 6(1)(a))", I1181="Not Captured"), "Gap - Invalid Consent", IF(AND(D1181="Legitimate Interest (GDPR Art. 6(1)(f))", L1181=""), "Gap - Missing LIA", IF(AND(G1181="Yes", H1181=""), "Gap - Missing Art. 9 Basis", IF(OR(I1181="Invalid - Not Freely Given", I1181="Invalid - Not Specific", I1181="Invalid - Not Informed", I1181="Invalid - Ambiguous"), "Gap - Invalid Consent", "Compliant")))))</f>
        <v/>
      </c>
      <c r="O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>
        <f>IF(D1182="Legitimate Interest (GDPR Art. 6(1)(f))", "Yes / Required (Sheet 3)", "")</f>
        <v/>
      </c>
      <c r="L1182" s="7" t="n"/>
      <c r="M1182" s="7" t="n"/>
      <c r="N1182">
        <f>IF(D1182="", "Gap - No Legal Basis", IF(AND(D1182="Consent (GDPR Art. 6(1)(a))", I1182="Not Captured"), "Gap - Invalid Consent", IF(AND(D1182="Legitimate Interest (GDPR Art. 6(1)(f))", L1182=""), "Gap - Missing LIA", IF(AND(G1182="Yes", H1182=""), "Gap - Missing Art. 9 Basis", IF(OR(I1182="Invalid - Not Freely Given", I1182="Invalid - Not Specific", I1182="Invalid - Not Informed", I1182="Invalid - Ambiguous"), "Gap - Invalid Consent", "Compliant")))))</f>
        <v/>
      </c>
      <c r="O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>
        <f>IF(D1183="Legitimate Interest (GDPR Art. 6(1)(f))", "Yes / Required (Sheet 3)", "")</f>
        <v/>
      </c>
      <c r="L1183" s="7" t="n"/>
      <c r="M1183" s="7" t="n"/>
      <c r="N1183">
        <f>IF(D1183="", "Gap - No Legal Basis", IF(AND(D1183="Consent (GDPR Art. 6(1)(a))", I1183="Not Captured"), "Gap - Invalid Consent", IF(AND(D1183="Legitimate Interest (GDPR Art. 6(1)(f))", L1183=""), "Gap - Missing LIA", IF(AND(G1183="Yes", H1183=""), "Gap - Missing Art. 9 Basis", IF(OR(I1183="Invalid - Not Freely Given", I1183="Invalid - Not Specific", I1183="Invalid - Not Informed", I1183="Invalid - Ambiguous"), "Gap - Invalid Consent", "Compliant")))))</f>
        <v/>
      </c>
      <c r="O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>
        <f>IF(D1184="Legitimate Interest (GDPR Art. 6(1)(f))", "Yes / Required (Sheet 3)", "")</f>
        <v/>
      </c>
      <c r="L1184" s="7" t="n"/>
      <c r="M1184" s="7" t="n"/>
      <c r="N1184">
        <f>IF(D1184="", "Gap - No Legal Basis", IF(AND(D1184="Consent (GDPR Art. 6(1)(a))", I1184="Not Captured"), "Gap - Invalid Consent", IF(AND(D1184="Legitimate Interest (GDPR Art. 6(1)(f))", L1184=""), "Gap - Missing LIA", IF(AND(G1184="Yes", H1184=""), "Gap - Missing Art. 9 Basis", IF(OR(I1184="Invalid - Not Freely Given", I1184="Invalid - Not Specific", I1184="Invalid - Not Informed", I1184="Invalid - Ambiguous"), "Gap - Invalid Consent", "Compliant")))))</f>
        <v/>
      </c>
      <c r="O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>
        <f>IF(D1185="Legitimate Interest (GDPR Art. 6(1)(f))", "Yes / Required (Sheet 3)", "")</f>
        <v/>
      </c>
      <c r="L1185" s="7" t="n"/>
      <c r="M1185" s="7" t="n"/>
      <c r="N1185">
        <f>IF(D1185="", "Gap - No Legal Basis", IF(AND(D1185="Consent (GDPR Art. 6(1)(a))", I1185="Not Captured"), "Gap - Invalid Consent", IF(AND(D1185="Legitimate Interest (GDPR Art. 6(1)(f))", L1185=""), "Gap - Missing LIA", IF(AND(G1185="Yes", H1185=""), "Gap - Missing Art. 9 Basis", IF(OR(I1185="Invalid - Not Freely Given", I1185="Invalid - Not Specific", I1185="Invalid - Not Informed", I1185="Invalid - Ambiguous"), "Gap - Invalid Consent", "Compliant")))))</f>
        <v/>
      </c>
      <c r="O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>
        <f>IF(D1186="Legitimate Interest (GDPR Art. 6(1)(f))", "Yes / Required (Sheet 3)", "")</f>
        <v/>
      </c>
      <c r="L1186" s="7" t="n"/>
      <c r="M1186" s="7" t="n"/>
      <c r="N1186">
        <f>IF(D1186="", "Gap - No Legal Basis", IF(AND(D1186="Consent (GDPR Art. 6(1)(a))", I1186="Not Captured"), "Gap - Invalid Consent", IF(AND(D1186="Legitimate Interest (GDPR Art. 6(1)(f))", L1186=""), "Gap - Missing LIA", IF(AND(G1186="Yes", H1186=""), "Gap - Missing Art. 9 Basis", IF(OR(I1186="Invalid - Not Freely Given", I1186="Invalid - Not Specific", I1186="Invalid - Not Informed", I1186="Invalid - Ambiguous"), "Gap - Invalid Consent", "Compliant")))))</f>
        <v/>
      </c>
      <c r="O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>
        <f>IF(D1187="Legitimate Interest (GDPR Art. 6(1)(f))", "Yes / Required (Sheet 3)", "")</f>
        <v/>
      </c>
      <c r="L1187" s="7" t="n"/>
      <c r="M1187" s="7" t="n"/>
      <c r="N1187">
        <f>IF(D1187="", "Gap - No Legal Basis", IF(AND(D1187="Consent (GDPR Art. 6(1)(a))", I1187="Not Captured"), "Gap - Invalid Consent", IF(AND(D1187="Legitimate Interest (GDPR Art. 6(1)(f))", L1187=""), "Gap - Missing LIA", IF(AND(G1187="Yes", H1187=""), "Gap - Missing Art. 9 Basis", IF(OR(I1187="Invalid - Not Freely Given", I1187="Invalid - Not Specific", I1187="Invalid - Not Informed", I1187="Invalid - Ambiguous"), "Gap - Invalid Consent", "Compliant")))))</f>
        <v/>
      </c>
      <c r="O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>
        <f>IF(D1188="Legitimate Interest (GDPR Art. 6(1)(f))", "Yes / Required (Sheet 3)", "")</f>
        <v/>
      </c>
      <c r="L1188" s="7" t="n"/>
      <c r="M1188" s="7" t="n"/>
      <c r="N1188">
        <f>IF(D1188="", "Gap - No Legal Basis", IF(AND(D1188="Consent (GDPR Art. 6(1)(a))", I1188="Not Captured"), "Gap - Invalid Consent", IF(AND(D1188="Legitimate Interest (GDPR Art. 6(1)(f))", L1188=""), "Gap - Missing LIA", IF(AND(G1188="Yes", H1188=""), "Gap - Missing Art. 9 Basis", IF(OR(I1188="Invalid - Not Freely Given", I1188="Invalid - Not Specific", I1188="Invalid - Not Informed", I1188="Invalid - Ambiguous"), "Gap - Invalid Consent", "Compliant")))))</f>
        <v/>
      </c>
      <c r="O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>
        <f>IF(D1189="Legitimate Interest (GDPR Art. 6(1)(f))", "Yes / Required (Sheet 3)", "")</f>
        <v/>
      </c>
      <c r="L1189" s="7" t="n"/>
      <c r="M1189" s="7" t="n"/>
      <c r="N1189">
        <f>IF(D1189="", "Gap - No Legal Basis", IF(AND(D1189="Consent (GDPR Art. 6(1)(a))", I1189="Not Captured"), "Gap - Invalid Consent", IF(AND(D1189="Legitimate Interest (GDPR Art. 6(1)(f))", L1189=""), "Gap - Missing LIA", IF(AND(G1189="Yes", H1189=""), "Gap - Missing Art. 9 Basis", IF(OR(I1189="Invalid - Not Freely Given", I1189="Invalid - Not Specific", I1189="Invalid - Not Informed", I1189="Invalid - Ambiguous"), "Gap - Invalid Consent", "Compliant")))))</f>
        <v/>
      </c>
      <c r="O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>
        <f>IF(D1190="Legitimate Interest (GDPR Art. 6(1)(f))", "Yes / Required (Sheet 3)", "")</f>
        <v/>
      </c>
      <c r="L1190" s="7" t="n"/>
      <c r="M1190" s="7" t="n"/>
      <c r="N1190">
        <f>IF(D1190="", "Gap - No Legal Basis", IF(AND(D1190="Consent (GDPR Art. 6(1)(a))", I1190="Not Captured"), "Gap - Invalid Consent", IF(AND(D1190="Legitimate Interest (GDPR Art. 6(1)(f))", L1190=""), "Gap - Missing LIA", IF(AND(G1190="Yes", H1190=""), "Gap - Missing Art. 9 Basis", IF(OR(I1190="Invalid - Not Freely Given", I1190="Invalid - Not Specific", I1190="Invalid - Not Informed", I1190="Invalid - Ambiguous"), "Gap - Invalid Consent", "Compliant")))))</f>
        <v/>
      </c>
      <c r="O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>
        <f>IF(D1191="Legitimate Interest (GDPR Art. 6(1)(f))", "Yes / Required (Sheet 3)", "")</f>
        <v/>
      </c>
      <c r="L1191" s="7" t="n"/>
      <c r="M1191" s="7" t="n"/>
      <c r="N1191">
        <f>IF(D1191="", "Gap - No Legal Basis", IF(AND(D1191="Consent (GDPR Art. 6(1)(a))", I1191="Not Captured"), "Gap - Invalid Consent", IF(AND(D1191="Legitimate Interest (GDPR Art. 6(1)(f))", L1191=""), "Gap - Missing LIA", IF(AND(G1191="Yes", H1191=""), "Gap - Missing Art. 9 Basis", IF(OR(I1191="Invalid - Not Freely Given", I1191="Invalid - Not Specific", I1191="Invalid - Not Informed", I1191="Invalid - Ambiguous"), "Gap - Invalid Consent", "Compliant")))))</f>
        <v/>
      </c>
      <c r="O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>
        <f>IF(D1192="Legitimate Interest (GDPR Art. 6(1)(f))", "Yes / Required (Sheet 3)", "")</f>
        <v/>
      </c>
      <c r="L1192" s="7" t="n"/>
      <c r="M1192" s="7" t="n"/>
      <c r="N1192">
        <f>IF(D1192="", "Gap - No Legal Basis", IF(AND(D1192="Consent (GDPR Art. 6(1)(a))", I1192="Not Captured"), "Gap - Invalid Consent", IF(AND(D1192="Legitimate Interest (GDPR Art. 6(1)(f))", L1192=""), "Gap - Missing LIA", IF(AND(G1192="Yes", H1192=""), "Gap - Missing Art. 9 Basis", IF(OR(I1192="Invalid - Not Freely Given", I1192="Invalid - Not Specific", I1192="Invalid - Not Informed", I1192="Invalid - Ambiguous"), "Gap - Invalid Consent", "Compliant")))))</f>
        <v/>
      </c>
      <c r="O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>
        <f>IF(D1193="Legitimate Interest (GDPR Art. 6(1)(f))", "Yes / Required (Sheet 3)", "")</f>
        <v/>
      </c>
      <c r="L1193" s="7" t="n"/>
      <c r="M1193" s="7" t="n"/>
      <c r="N1193">
        <f>IF(D1193="", "Gap - No Legal Basis", IF(AND(D1193="Consent (GDPR Art. 6(1)(a))", I1193="Not Captured"), "Gap - Invalid Consent", IF(AND(D1193="Legitimate Interest (GDPR Art. 6(1)(f))", L1193=""), "Gap - Missing LIA", IF(AND(G1193="Yes", H1193=""), "Gap - Missing Art. 9 Basis", IF(OR(I1193="Invalid - Not Freely Given", I1193="Invalid - Not Specific", I1193="Invalid - Not Informed", I1193="Invalid - Ambiguous"), "Gap - Invalid Consent", "Compliant")))))</f>
        <v/>
      </c>
      <c r="O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>
        <f>IF(D1194="Legitimate Interest (GDPR Art. 6(1)(f))", "Yes / Required (Sheet 3)", "")</f>
        <v/>
      </c>
      <c r="L1194" s="7" t="n"/>
      <c r="M1194" s="7" t="n"/>
      <c r="N1194">
        <f>IF(D1194="", "Gap - No Legal Basis", IF(AND(D1194="Consent (GDPR Art. 6(1)(a))", I1194="Not Captured"), "Gap - Invalid Consent", IF(AND(D1194="Legitimate Interest (GDPR Art. 6(1)(f))", L1194=""), "Gap - Missing LIA", IF(AND(G1194="Yes", H1194=""), "Gap - Missing Art. 9 Basis", IF(OR(I1194="Invalid - Not Freely Given", I1194="Invalid - Not Specific", I1194="Invalid - Not Informed", I1194="Invalid - Ambiguous"), "Gap - Invalid Consent", "Compliant")))))</f>
        <v/>
      </c>
      <c r="O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>
        <f>IF(D1195="Legitimate Interest (GDPR Art. 6(1)(f))", "Yes / Required (Sheet 3)", "")</f>
        <v/>
      </c>
      <c r="L1195" s="7" t="n"/>
      <c r="M1195" s="7" t="n"/>
      <c r="N1195">
        <f>IF(D1195="", "Gap - No Legal Basis", IF(AND(D1195="Consent (GDPR Art. 6(1)(a))", I1195="Not Captured"), "Gap - Invalid Consent", IF(AND(D1195="Legitimate Interest (GDPR Art. 6(1)(f))", L1195=""), "Gap - Missing LIA", IF(AND(G1195="Yes", H1195=""), "Gap - Missing Art. 9 Basis", IF(OR(I1195="Invalid - Not Freely Given", I1195="Invalid - Not Specific", I1195="Invalid - Not Informed", I1195="Invalid - Ambiguous"), "Gap - Invalid Consent", "Compliant")))))</f>
        <v/>
      </c>
      <c r="O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>
        <f>IF(D1196="Legitimate Interest (GDPR Art. 6(1)(f))", "Yes / Required (Sheet 3)", "")</f>
        <v/>
      </c>
      <c r="L1196" s="7" t="n"/>
      <c r="M1196" s="7" t="n"/>
      <c r="N1196">
        <f>IF(D1196="", "Gap - No Legal Basis", IF(AND(D1196="Consent (GDPR Art. 6(1)(a))", I1196="Not Captured"), "Gap - Invalid Consent", IF(AND(D1196="Legitimate Interest (GDPR Art. 6(1)(f))", L1196=""), "Gap - Missing LIA", IF(AND(G1196="Yes", H1196=""), "Gap - Missing Art. 9 Basis", IF(OR(I1196="Invalid - Not Freely Given", I1196="Invalid - Not Specific", I1196="Invalid - Not Informed", I1196="Invalid - Ambiguous"), "Gap - Invalid Consent", "Compliant")))))</f>
        <v/>
      </c>
      <c r="O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>
        <f>IF(D1197="Legitimate Interest (GDPR Art. 6(1)(f))", "Yes / Required (Sheet 3)", "")</f>
        <v/>
      </c>
      <c r="L1197" s="7" t="n"/>
      <c r="M1197" s="7" t="n"/>
      <c r="N1197">
        <f>IF(D1197="", "Gap - No Legal Basis", IF(AND(D1197="Consent (GDPR Art. 6(1)(a))", I1197="Not Captured"), "Gap - Invalid Consent", IF(AND(D1197="Legitimate Interest (GDPR Art. 6(1)(f))", L1197=""), "Gap - Missing LIA", IF(AND(G1197="Yes", H1197=""), "Gap - Missing Art. 9 Basis", IF(OR(I1197="Invalid - Not Freely Given", I1197="Invalid - Not Specific", I1197="Invalid - Not Informed", I1197="Invalid - Ambiguous"), "Gap - Invalid Consent", "Compliant")))))</f>
        <v/>
      </c>
      <c r="O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>
        <f>IF(D1198="Legitimate Interest (GDPR Art. 6(1)(f))", "Yes / Required (Sheet 3)", "")</f>
        <v/>
      </c>
      <c r="L1198" s="7" t="n"/>
      <c r="M1198" s="7" t="n"/>
      <c r="N1198">
        <f>IF(D1198="", "Gap - No Legal Basis", IF(AND(D1198="Consent (GDPR Art. 6(1)(a))", I1198="Not Captured"), "Gap - Invalid Consent", IF(AND(D1198="Legitimate Interest (GDPR Art. 6(1)(f))", L1198=""), "Gap - Missing LIA", IF(AND(G1198="Yes", H1198=""), "Gap - Missing Art. 9 Basis", IF(OR(I1198="Invalid - Not Freely Given", I1198="Invalid - Not Specific", I1198="Invalid - Not Informed", I1198="Invalid - Ambiguous"), "Gap - Invalid Consent", "Compliant")))))</f>
        <v/>
      </c>
      <c r="O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>
        <f>IF(D1199="Legitimate Interest (GDPR Art. 6(1)(f))", "Yes / Required (Sheet 3)", "")</f>
        <v/>
      </c>
      <c r="L1199" s="7" t="n"/>
      <c r="M1199" s="7" t="n"/>
      <c r="N1199">
        <f>IF(D1199="", "Gap - No Legal Basis", IF(AND(D1199="Consent (GDPR Art. 6(1)(a))", I1199="Not Captured"), "Gap - Invalid Consent", IF(AND(D1199="Legitimate Interest (GDPR Art. 6(1)(f))", L1199=""), "Gap - Missing LIA", IF(AND(G1199="Yes", H1199=""), "Gap - Missing Art. 9 Basis", IF(OR(I1199="Invalid - Not Freely Given", I1199="Invalid - Not Specific", I1199="Invalid - Not Informed", I1199="Invalid - Ambiguous"), "Gap - Invalid Consent", "Compliant")))))</f>
        <v/>
      </c>
      <c r="O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>
        <f>IF(D1200="Legitimate Interest (GDPR Art. 6(1)(f))", "Yes / Required (Sheet 3)", "")</f>
        <v/>
      </c>
      <c r="L1200" s="7" t="n"/>
      <c r="M1200" s="7" t="n"/>
      <c r="N1200">
        <f>IF(D1200="", "Gap - No Legal Basis", IF(AND(D1200="Consent (GDPR Art. 6(1)(a))", I1200="Not Captured"), "Gap - Invalid Consent", IF(AND(D1200="Legitimate Interest (GDPR Art. 6(1)(f))", L1200=""), "Gap - Missing LIA", IF(AND(G1200="Yes", H1200=""), "Gap - Missing Art. 9 Basis", IF(OR(I1200="Invalid - Not Freely Given", I1200="Invalid - Not Specific", I1200="Invalid - Not Informed", I1200="Invalid - Ambiguous"), "Gap - Invalid Consent", "Compliant")))))</f>
        <v/>
      </c>
      <c r="O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>
        <f>IF(D1201="Legitimate Interest (GDPR Art. 6(1)(f))", "Yes / Required (Sheet 3)", "")</f>
        <v/>
      </c>
      <c r="L1201" s="7" t="n"/>
      <c r="M1201" s="7" t="n"/>
      <c r="N1201">
        <f>IF(D1201="", "Gap - No Legal Basis", IF(AND(D1201="Consent (GDPR Art. 6(1)(a))", I1201="Not Captured"), "Gap - Invalid Consent", IF(AND(D1201="Legitimate Interest (GDPR Art. 6(1)(f))", L1201=""), "Gap - Missing LIA", IF(AND(G1201="Yes", H1201=""), "Gap - Missing Art. 9 Basis", IF(OR(I1201="Invalid - Not Freely Given", I1201="Invalid - Not Specific", I1201="Invalid - Not Informed", I1201="Invalid - Ambiguous"), "Gap - Invalid Consent", "Compliant")))))</f>
        <v/>
      </c>
      <c r="O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>
        <f>IF(D1202="Legitimate Interest (GDPR Art. 6(1)(f))", "Yes / Required (Sheet 3)", "")</f>
        <v/>
      </c>
      <c r="L1202" s="7" t="n"/>
      <c r="M1202" s="7" t="n"/>
      <c r="N1202">
        <f>IF(D1202="", "Gap - No Legal Basis", IF(AND(D1202="Consent (GDPR Art. 6(1)(a))", I1202="Not Captured"), "Gap - Invalid Consent", IF(AND(D1202="Legitimate Interest (GDPR Art. 6(1)(f))", L1202=""), "Gap - Missing LIA", IF(AND(G1202="Yes", H1202=""), "Gap - Missing Art. 9 Basis", IF(OR(I1202="Invalid - Not Freely Given", I1202="Invalid - Not Specific", I1202="Invalid - Not Informed", I1202="Invalid - Ambiguous"), "Gap - Invalid Consent", "Compliant")))))</f>
        <v/>
      </c>
      <c r="O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>
        <f>IF(D1203="Legitimate Interest (GDPR Art. 6(1)(f))", "Yes / Required (Sheet 3)", "")</f>
        <v/>
      </c>
      <c r="L1203" s="7" t="n"/>
      <c r="M1203" s="7" t="n"/>
      <c r="N1203">
        <f>IF(D1203="", "Gap - No Legal Basis", IF(AND(D1203="Consent (GDPR Art. 6(1)(a))", I1203="Not Captured"), "Gap - Invalid Consent", IF(AND(D1203="Legitimate Interest (GDPR Art. 6(1)(f))", L1203=""), "Gap - Missing LIA", IF(AND(G1203="Yes", H1203=""), "Gap - Missing Art. 9 Basis", IF(OR(I1203="Invalid - Not Freely Given", I1203="Invalid - Not Specific", I1203="Invalid - Not Informed", I1203="Invalid - Ambiguous"), "Gap - Invalid Consent", "Compliant")))))</f>
        <v/>
      </c>
      <c r="O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>
        <f>IF(D1204="Legitimate Interest (GDPR Art. 6(1)(f))", "Yes / Required (Sheet 3)", "")</f>
        <v/>
      </c>
      <c r="L1204" s="7" t="n"/>
      <c r="M1204" s="7" t="n"/>
      <c r="N1204">
        <f>IF(D1204="", "Gap - No Legal Basis", IF(AND(D1204="Consent (GDPR Art. 6(1)(a))", I1204="Not Captured"), "Gap - Invalid Consent", IF(AND(D1204="Legitimate Interest (GDPR Art. 6(1)(f))", L1204=""), "Gap - Missing LIA", IF(AND(G1204="Yes", H1204=""), "Gap - Missing Art. 9 Basis", IF(OR(I1204="Invalid - Not Freely Given", I1204="Invalid - Not Specific", I1204="Invalid - Not Informed", I1204="Invalid - Ambiguous"), "Gap - Invalid Consent", "Compliant")))))</f>
        <v/>
      </c>
      <c r="O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>
        <f>IF(D1205="Legitimate Interest (GDPR Art. 6(1)(f))", "Yes / Required (Sheet 3)", "")</f>
        <v/>
      </c>
      <c r="L1205" s="7" t="n"/>
      <c r="M1205" s="7" t="n"/>
      <c r="N1205">
        <f>IF(D1205="", "Gap - No Legal Basis", IF(AND(D1205="Consent (GDPR Art. 6(1)(a))", I1205="Not Captured"), "Gap - Invalid Consent", IF(AND(D1205="Legitimate Interest (GDPR Art. 6(1)(f))", L1205=""), "Gap - Missing LIA", IF(AND(G1205="Yes", H1205=""), "Gap - Missing Art. 9 Basis", IF(OR(I1205="Invalid - Not Freely Given", I1205="Invalid - Not Specific", I1205="Invalid - Not Informed", I1205="Invalid - Ambiguous"), "Gap - Invalid Consent", "Compliant")))))</f>
        <v/>
      </c>
      <c r="O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>
        <f>IF(D1206="Legitimate Interest (GDPR Art. 6(1)(f))", "Yes / Required (Sheet 3)", "")</f>
        <v/>
      </c>
      <c r="L1206" s="7" t="n"/>
      <c r="M1206" s="7" t="n"/>
      <c r="N1206">
        <f>IF(D1206="", "Gap - No Legal Basis", IF(AND(D1206="Consent (GDPR Art. 6(1)(a))", I1206="Not Captured"), "Gap - Invalid Consent", IF(AND(D1206="Legitimate Interest (GDPR Art. 6(1)(f))", L1206=""), "Gap - Missing LIA", IF(AND(G1206="Yes", H1206=""), "Gap - Missing Art. 9 Basis", IF(OR(I1206="Invalid - Not Freely Given", I1206="Invalid - Not Specific", I1206="Invalid - Not Informed", I1206="Invalid - Ambiguous"), "Gap - Invalid Consent", "Compliant")))))</f>
        <v/>
      </c>
      <c r="O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>
        <f>IF(D1207="Legitimate Interest (GDPR Art. 6(1)(f))", "Yes / Required (Sheet 3)", "")</f>
        <v/>
      </c>
      <c r="L1207" s="7" t="n"/>
      <c r="M1207" s="7" t="n"/>
      <c r="N1207">
        <f>IF(D1207="", "Gap - No Legal Basis", IF(AND(D1207="Consent (GDPR Art. 6(1)(a))", I1207="Not Captured"), "Gap - Invalid Consent", IF(AND(D1207="Legitimate Interest (GDPR Art. 6(1)(f))", L1207=""), "Gap - Missing LIA", IF(AND(G1207="Yes", H1207=""), "Gap - Missing Art. 9 Basis", IF(OR(I1207="Invalid - Not Freely Given", I1207="Invalid - Not Specific", I1207="Invalid - Not Informed", I1207="Invalid - Ambiguous"), "Gap - Invalid Consent", "Compliant")))))</f>
        <v/>
      </c>
      <c r="O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>
        <f>IF(D1208="Legitimate Interest (GDPR Art. 6(1)(f))", "Yes / Required (Sheet 3)", "")</f>
        <v/>
      </c>
      <c r="L1208" s="7" t="n"/>
      <c r="M1208" s="7" t="n"/>
      <c r="N1208">
        <f>IF(D1208="", "Gap - No Legal Basis", IF(AND(D1208="Consent (GDPR Art. 6(1)(a))", I1208="Not Captured"), "Gap - Invalid Consent", IF(AND(D1208="Legitimate Interest (GDPR Art. 6(1)(f))", L1208=""), "Gap - Missing LIA", IF(AND(G1208="Yes", H1208=""), "Gap - Missing Art. 9 Basis", IF(OR(I1208="Invalid - Not Freely Given", I1208="Invalid - Not Specific", I1208="Invalid - Not Informed", I1208="Invalid - Ambiguous"), "Gap - Invalid Consent", "Compliant")))))</f>
        <v/>
      </c>
      <c r="O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>
        <f>IF(D1209="Legitimate Interest (GDPR Art. 6(1)(f))", "Yes / Required (Sheet 3)", "")</f>
        <v/>
      </c>
      <c r="L1209" s="7" t="n"/>
      <c r="M1209" s="7" t="n"/>
      <c r="N1209">
        <f>IF(D1209="", "Gap - No Legal Basis", IF(AND(D1209="Consent (GDPR Art. 6(1)(a))", I1209="Not Captured"), "Gap - Invalid Consent", IF(AND(D1209="Legitimate Interest (GDPR Art. 6(1)(f))", L1209=""), "Gap - Missing LIA", IF(AND(G1209="Yes", H1209=""), "Gap - Missing Art. 9 Basis", IF(OR(I1209="Invalid - Not Freely Given", I1209="Invalid - Not Specific", I1209="Invalid - Not Informed", I1209="Invalid - Ambiguous"), "Gap - Invalid Consent", "Compliant")))))</f>
        <v/>
      </c>
      <c r="O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>
        <f>IF(D1210="Legitimate Interest (GDPR Art. 6(1)(f))", "Yes / Required (Sheet 3)", "")</f>
        <v/>
      </c>
      <c r="L1210" s="7" t="n"/>
      <c r="M1210" s="7" t="n"/>
      <c r="N1210">
        <f>IF(D1210="", "Gap - No Legal Basis", IF(AND(D1210="Consent (GDPR Art. 6(1)(a))", I1210="Not Captured"), "Gap - Invalid Consent", IF(AND(D1210="Legitimate Interest (GDPR Art. 6(1)(f))", L1210=""), "Gap - Missing LIA", IF(AND(G1210="Yes", H1210=""), "Gap - Missing Art. 9 Basis", IF(OR(I1210="Invalid - Not Freely Given", I1210="Invalid - Not Specific", I1210="Invalid - Not Informed", I1210="Invalid - Ambiguous"), "Gap - Invalid Consent", "Compliant")))))</f>
        <v/>
      </c>
      <c r="O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>
        <f>IF(D1211="Legitimate Interest (GDPR Art. 6(1)(f))", "Yes / Required (Sheet 3)", "")</f>
        <v/>
      </c>
      <c r="L1211" s="7" t="n"/>
      <c r="M1211" s="7" t="n"/>
      <c r="N1211">
        <f>IF(D1211="", "Gap - No Legal Basis", IF(AND(D1211="Consent (GDPR Art. 6(1)(a))", I1211="Not Captured"), "Gap - Invalid Consent", IF(AND(D1211="Legitimate Interest (GDPR Art. 6(1)(f))", L1211=""), "Gap - Missing LIA", IF(AND(G1211="Yes", H1211=""), "Gap - Missing Art. 9 Basis", IF(OR(I1211="Invalid - Not Freely Given", I1211="Invalid - Not Specific", I1211="Invalid - Not Informed", I1211="Invalid - Ambiguous"), "Gap - Invalid Consent", "Compliant")))))</f>
        <v/>
      </c>
      <c r="O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>
        <f>IF(D1212="Legitimate Interest (GDPR Art. 6(1)(f))", "Yes / Required (Sheet 3)", "")</f>
        <v/>
      </c>
      <c r="L1212" s="7" t="n"/>
      <c r="M1212" s="7" t="n"/>
      <c r="N1212">
        <f>IF(D1212="", "Gap - No Legal Basis", IF(AND(D1212="Consent (GDPR Art. 6(1)(a))", I1212="Not Captured"), "Gap - Invalid Consent", IF(AND(D1212="Legitimate Interest (GDPR Art. 6(1)(f))", L1212=""), "Gap - Missing LIA", IF(AND(G1212="Yes", H1212=""), "Gap - Missing Art. 9 Basis", IF(OR(I1212="Invalid - Not Freely Given", I1212="Invalid - Not Specific", I1212="Invalid - Not Informed", I1212="Invalid - Ambiguous"), "Gap - Invalid Consent", "Compliant")))))</f>
        <v/>
      </c>
      <c r="O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>
        <f>IF(D1213="Legitimate Interest (GDPR Art. 6(1)(f))", "Yes / Required (Sheet 3)", "")</f>
        <v/>
      </c>
      <c r="L1213" s="7" t="n"/>
      <c r="M1213" s="7" t="n"/>
      <c r="N1213">
        <f>IF(D1213="", "Gap - No Legal Basis", IF(AND(D1213="Consent (GDPR Art. 6(1)(a))", I1213="Not Captured"), "Gap - Invalid Consent", IF(AND(D1213="Legitimate Interest (GDPR Art. 6(1)(f))", L1213=""), "Gap - Missing LIA", IF(AND(G1213="Yes", H1213=""), "Gap - Missing Art. 9 Basis", IF(OR(I1213="Invalid - Not Freely Given", I1213="Invalid - Not Specific", I1213="Invalid - Not Informed", I1213="Invalid - Ambiguous"), "Gap - Invalid Consent", "Compliant")))))</f>
        <v/>
      </c>
      <c r="O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>
        <f>IF(D1214="Legitimate Interest (GDPR Art. 6(1)(f))", "Yes / Required (Sheet 3)", "")</f>
        <v/>
      </c>
      <c r="L1214" s="7" t="n"/>
      <c r="M1214" s="7" t="n"/>
      <c r="N1214">
        <f>IF(D1214="", "Gap - No Legal Basis", IF(AND(D1214="Consent (GDPR Art. 6(1)(a))", I1214="Not Captured"), "Gap - Invalid Consent", IF(AND(D1214="Legitimate Interest (GDPR Art. 6(1)(f))", L1214=""), "Gap - Missing LIA", IF(AND(G1214="Yes", H1214=""), "Gap - Missing Art. 9 Basis", IF(OR(I1214="Invalid - Not Freely Given", I1214="Invalid - Not Specific", I1214="Invalid - Not Informed", I1214="Invalid - Ambiguous"), "Gap - Invalid Consent", "Compliant")))))</f>
        <v/>
      </c>
      <c r="O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>
        <f>IF(D1215="Legitimate Interest (GDPR Art. 6(1)(f))", "Yes / Required (Sheet 3)", "")</f>
        <v/>
      </c>
      <c r="L1215" s="7" t="n"/>
      <c r="M1215" s="7" t="n"/>
      <c r="N1215">
        <f>IF(D1215="", "Gap - No Legal Basis", IF(AND(D1215="Consent (GDPR Art. 6(1)(a))", I1215="Not Captured"), "Gap - Invalid Consent", IF(AND(D1215="Legitimate Interest (GDPR Art. 6(1)(f))", L1215=""), "Gap - Missing LIA", IF(AND(G1215="Yes", H1215=""), "Gap - Missing Art. 9 Basis", IF(OR(I1215="Invalid - Not Freely Given", I1215="Invalid - Not Specific", I1215="Invalid - Not Informed", I1215="Invalid - Ambiguous"), "Gap - Invalid Consent", "Compliant")))))</f>
        <v/>
      </c>
      <c r="O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>
        <f>IF(D1216="Legitimate Interest (GDPR Art. 6(1)(f))", "Yes / Required (Sheet 3)", "")</f>
        <v/>
      </c>
      <c r="L1216" s="7" t="n"/>
      <c r="M1216" s="7" t="n"/>
      <c r="N1216">
        <f>IF(D1216="", "Gap - No Legal Basis", IF(AND(D1216="Consent (GDPR Art. 6(1)(a))", I1216="Not Captured"), "Gap - Invalid Consent", IF(AND(D1216="Legitimate Interest (GDPR Art. 6(1)(f))", L1216=""), "Gap - Missing LIA", IF(AND(G1216="Yes", H1216=""), "Gap - Missing Art. 9 Basis", IF(OR(I1216="Invalid - Not Freely Given", I1216="Invalid - Not Specific", I1216="Invalid - Not Informed", I1216="Invalid - Ambiguous"), "Gap - Invalid Consent", "Compliant")))))</f>
        <v/>
      </c>
      <c r="O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>
        <f>IF(D1217="Legitimate Interest (GDPR Art. 6(1)(f))", "Yes / Required (Sheet 3)", "")</f>
        <v/>
      </c>
      <c r="L1217" s="7" t="n"/>
      <c r="M1217" s="7" t="n"/>
      <c r="N1217">
        <f>IF(D1217="", "Gap - No Legal Basis", IF(AND(D1217="Consent (GDPR Art. 6(1)(a))", I1217="Not Captured"), "Gap - Invalid Consent", IF(AND(D1217="Legitimate Interest (GDPR Art. 6(1)(f))", L1217=""), "Gap - Missing LIA", IF(AND(G1217="Yes", H1217=""), "Gap - Missing Art. 9 Basis", IF(OR(I1217="Invalid - Not Freely Given", I1217="Invalid - Not Specific", I1217="Invalid - Not Informed", I1217="Invalid - Ambiguous"), "Gap - Invalid Consent", "Compliant")))))</f>
        <v/>
      </c>
      <c r="O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>
        <f>IF(D1218="Legitimate Interest (GDPR Art. 6(1)(f))", "Yes / Required (Sheet 3)", "")</f>
        <v/>
      </c>
      <c r="L1218" s="7" t="n"/>
      <c r="M1218" s="7" t="n"/>
      <c r="N1218">
        <f>IF(D1218="", "Gap - No Legal Basis", IF(AND(D1218="Consent (GDPR Art. 6(1)(a))", I1218="Not Captured"), "Gap - Invalid Consent", IF(AND(D1218="Legitimate Interest (GDPR Art. 6(1)(f))", L1218=""), "Gap - Missing LIA", IF(AND(G1218="Yes", H1218=""), "Gap - Missing Art. 9 Basis", IF(OR(I1218="Invalid - Not Freely Given", I1218="Invalid - Not Specific", I1218="Invalid - Not Informed", I1218="Invalid - Ambiguous"), "Gap - Invalid Consent", "Compliant")))))</f>
        <v/>
      </c>
      <c r="O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>
        <f>IF(D1219="Legitimate Interest (GDPR Art. 6(1)(f))", "Yes / Required (Sheet 3)", "")</f>
        <v/>
      </c>
      <c r="L1219" s="7" t="n"/>
      <c r="M1219" s="7" t="n"/>
      <c r="N1219">
        <f>IF(D1219="", "Gap - No Legal Basis", IF(AND(D1219="Consent (GDPR Art. 6(1)(a))", I1219="Not Captured"), "Gap - Invalid Consent", IF(AND(D1219="Legitimate Interest (GDPR Art. 6(1)(f))", L1219=""), "Gap - Missing LIA", IF(AND(G1219="Yes", H1219=""), "Gap - Missing Art. 9 Basis", IF(OR(I1219="Invalid - Not Freely Given", I1219="Invalid - Not Specific", I1219="Invalid - Not Informed", I1219="Invalid - Ambiguous"), "Gap - Invalid Consent", "Compliant")))))</f>
        <v/>
      </c>
      <c r="O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>
        <f>IF(D1220="Legitimate Interest (GDPR Art. 6(1)(f))", "Yes / Required (Sheet 3)", "")</f>
        <v/>
      </c>
      <c r="L1220" s="7" t="n"/>
      <c r="M1220" s="7" t="n"/>
      <c r="N1220">
        <f>IF(D1220="", "Gap - No Legal Basis", IF(AND(D1220="Consent (GDPR Art. 6(1)(a))", I1220="Not Captured"), "Gap - Invalid Consent", IF(AND(D1220="Legitimate Interest (GDPR Art. 6(1)(f))", L1220=""), "Gap - Missing LIA", IF(AND(G1220="Yes", H1220=""), "Gap - Missing Art. 9 Basis", IF(OR(I1220="Invalid - Not Freely Given", I1220="Invalid - Not Specific", I1220="Invalid - Not Informed", I1220="Invalid - Ambiguous"), "Gap - Invalid Consent", "Compliant")))))</f>
        <v/>
      </c>
      <c r="O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>
        <f>IF(D1221="Legitimate Interest (GDPR Art. 6(1)(f))", "Yes / Required (Sheet 3)", "")</f>
        <v/>
      </c>
      <c r="L1221" s="7" t="n"/>
      <c r="M1221" s="7" t="n"/>
      <c r="N1221">
        <f>IF(D1221="", "Gap - No Legal Basis", IF(AND(D1221="Consent (GDPR Art. 6(1)(a))", I1221="Not Captured"), "Gap - Invalid Consent", IF(AND(D1221="Legitimate Interest (GDPR Art. 6(1)(f))", L1221=""), "Gap - Missing LIA", IF(AND(G1221="Yes", H1221=""), "Gap - Missing Art. 9 Basis", IF(OR(I1221="Invalid - Not Freely Given", I1221="Invalid - Not Specific", I1221="Invalid - Not Informed", I1221="Invalid - Ambiguous"), "Gap - Invalid Consent", "Compliant")))))</f>
        <v/>
      </c>
      <c r="O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>
        <f>IF(D1222="Legitimate Interest (GDPR Art. 6(1)(f))", "Yes / Required (Sheet 3)", "")</f>
        <v/>
      </c>
      <c r="L1222" s="7" t="n"/>
      <c r="M1222" s="7" t="n"/>
      <c r="N1222">
        <f>IF(D1222="", "Gap - No Legal Basis", IF(AND(D1222="Consent (GDPR Art. 6(1)(a))", I1222="Not Captured"), "Gap - Invalid Consent", IF(AND(D1222="Legitimate Interest (GDPR Art. 6(1)(f))", L1222=""), "Gap - Missing LIA", IF(AND(G1222="Yes", H1222=""), "Gap - Missing Art. 9 Basis", IF(OR(I1222="Invalid - Not Freely Given", I1222="Invalid - Not Specific", I1222="Invalid - Not Informed", I1222="Invalid - Ambiguous"), "Gap - Invalid Consent", "Compliant")))))</f>
        <v/>
      </c>
      <c r="O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>
        <f>IF(D1223="Legitimate Interest (GDPR Art. 6(1)(f))", "Yes / Required (Sheet 3)", "")</f>
        <v/>
      </c>
      <c r="L1223" s="7" t="n"/>
      <c r="M1223" s="7" t="n"/>
      <c r="N1223">
        <f>IF(D1223="", "Gap - No Legal Basis", IF(AND(D1223="Consent (GDPR Art. 6(1)(a))", I1223="Not Captured"), "Gap - Invalid Consent", IF(AND(D1223="Legitimate Interest (GDPR Art. 6(1)(f))", L1223=""), "Gap - Missing LIA", IF(AND(G1223="Yes", H1223=""), "Gap - Missing Art. 9 Basis", IF(OR(I1223="Invalid - Not Freely Given", I1223="Invalid - Not Specific", I1223="Invalid - Not Informed", I1223="Invalid - Ambiguous"), "Gap - Invalid Consent", "Compliant")))))</f>
        <v/>
      </c>
      <c r="O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>
        <f>IF(D1224="Legitimate Interest (GDPR Art. 6(1)(f))", "Yes / Required (Sheet 3)", "")</f>
        <v/>
      </c>
      <c r="L1224" s="7" t="n"/>
      <c r="M1224" s="7" t="n"/>
      <c r="N1224">
        <f>IF(D1224="", "Gap - No Legal Basis", IF(AND(D1224="Consent (GDPR Art. 6(1)(a))", I1224="Not Captured"), "Gap - Invalid Consent", IF(AND(D1224="Legitimate Interest (GDPR Art. 6(1)(f))", L1224=""), "Gap - Missing LIA", IF(AND(G1224="Yes", H1224=""), "Gap - Missing Art. 9 Basis", IF(OR(I1224="Invalid - Not Freely Given", I1224="Invalid - Not Specific", I1224="Invalid - Not Informed", I1224="Invalid - Ambiguous"), "Gap - Invalid Consent", "Compliant")))))</f>
        <v/>
      </c>
      <c r="O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>
        <f>IF(D1225="Legitimate Interest (GDPR Art. 6(1)(f))", "Yes / Required (Sheet 3)", "")</f>
        <v/>
      </c>
      <c r="L1225" s="7" t="n"/>
      <c r="M1225" s="7" t="n"/>
      <c r="N1225">
        <f>IF(D1225="", "Gap - No Legal Basis", IF(AND(D1225="Consent (GDPR Art. 6(1)(a))", I1225="Not Captured"), "Gap - Invalid Consent", IF(AND(D1225="Legitimate Interest (GDPR Art. 6(1)(f))", L1225=""), "Gap - Missing LIA", IF(AND(G1225="Yes", H1225=""), "Gap - Missing Art. 9 Basis", IF(OR(I1225="Invalid - Not Freely Given", I1225="Invalid - Not Specific", I1225="Invalid - Not Informed", I1225="Invalid - Ambiguous"), "Gap - Invalid Consent", "Compliant")))))</f>
        <v/>
      </c>
      <c r="O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>
        <f>IF(D1226="Legitimate Interest (GDPR Art. 6(1)(f))", "Yes / Required (Sheet 3)", "")</f>
        <v/>
      </c>
      <c r="L1226" s="7" t="n"/>
      <c r="M1226" s="7" t="n"/>
      <c r="N1226">
        <f>IF(D1226="", "Gap - No Legal Basis", IF(AND(D1226="Consent (GDPR Art. 6(1)(a))", I1226="Not Captured"), "Gap - Invalid Consent", IF(AND(D1226="Legitimate Interest (GDPR Art. 6(1)(f))", L1226=""), "Gap - Missing LIA", IF(AND(G1226="Yes", H1226=""), "Gap - Missing Art. 9 Basis", IF(OR(I1226="Invalid - Not Freely Given", I1226="Invalid - Not Specific", I1226="Invalid - Not Informed", I1226="Invalid - Ambiguous"), "Gap - Invalid Consent", "Compliant")))))</f>
        <v/>
      </c>
      <c r="O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>
        <f>IF(D1227="Legitimate Interest (GDPR Art. 6(1)(f))", "Yes / Required (Sheet 3)", "")</f>
        <v/>
      </c>
      <c r="L1227" s="7" t="n"/>
      <c r="M1227" s="7" t="n"/>
      <c r="N1227">
        <f>IF(D1227="", "Gap - No Legal Basis", IF(AND(D1227="Consent (GDPR Art. 6(1)(a))", I1227="Not Captured"), "Gap - Invalid Consent", IF(AND(D1227="Legitimate Interest (GDPR Art. 6(1)(f))", L1227=""), "Gap - Missing LIA", IF(AND(G1227="Yes", H1227=""), "Gap - Missing Art. 9 Basis", IF(OR(I1227="Invalid - Not Freely Given", I1227="Invalid - Not Specific", I1227="Invalid - Not Informed", I1227="Invalid - Ambiguous"), "Gap - Invalid Consent", "Compliant")))))</f>
        <v/>
      </c>
      <c r="O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>
        <f>IF(D1228="Legitimate Interest (GDPR Art. 6(1)(f))", "Yes / Required (Sheet 3)", "")</f>
        <v/>
      </c>
      <c r="L1228" s="7" t="n"/>
      <c r="M1228" s="7" t="n"/>
      <c r="N1228">
        <f>IF(D1228="", "Gap - No Legal Basis", IF(AND(D1228="Consent (GDPR Art. 6(1)(a))", I1228="Not Captured"), "Gap - Invalid Consent", IF(AND(D1228="Legitimate Interest (GDPR Art. 6(1)(f))", L1228=""), "Gap - Missing LIA", IF(AND(G1228="Yes", H1228=""), "Gap - Missing Art. 9 Basis", IF(OR(I1228="Invalid - Not Freely Given", I1228="Invalid - Not Specific", I1228="Invalid - Not Informed", I1228="Invalid - Ambiguous"), "Gap - Invalid Consent", "Compliant")))))</f>
        <v/>
      </c>
      <c r="O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>
        <f>IF(D1229="Legitimate Interest (GDPR Art. 6(1)(f))", "Yes / Required (Sheet 3)", "")</f>
        <v/>
      </c>
      <c r="L1229" s="7" t="n"/>
      <c r="M1229" s="7" t="n"/>
      <c r="N1229">
        <f>IF(D1229="", "Gap - No Legal Basis", IF(AND(D1229="Consent (GDPR Art. 6(1)(a))", I1229="Not Captured"), "Gap - Invalid Consent", IF(AND(D1229="Legitimate Interest (GDPR Art. 6(1)(f))", L1229=""), "Gap - Missing LIA", IF(AND(G1229="Yes", H1229=""), "Gap - Missing Art. 9 Basis", IF(OR(I1229="Invalid - Not Freely Given", I1229="Invalid - Not Specific", I1229="Invalid - Not Informed", I1229="Invalid - Ambiguous"), "Gap - Invalid Consent", "Compliant")))))</f>
        <v/>
      </c>
      <c r="O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>
        <f>IF(D1230="Legitimate Interest (GDPR Art. 6(1)(f))", "Yes / Required (Sheet 3)", "")</f>
        <v/>
      </c>
      <c r="L1230" s="7" t="n"/>
      <c r="M1230" s="7" t="n"/>
      <c r="N1230">
        <f>IF(D1230="", "Gap - No Legal Basis", IF(AND(D1230="Consent (GDPR Art. 6(1)(a))", I1230="Not Captured"), "Gap - Invalid Consent", IF(AND(D1230="Legitimate Interest (GDPR Art. 6(1)(f))", L1230=""), "Gap - Missing LIA", IF(AND(G1230="Yes", H1230=""), "Gap - Missing Art. 9 Basis", IF(OR(I1230="Invalid - Not Freely Given", I1230="Invalid - Not Specific", I1230="Invalid - Not Informed", I1230="Invalid - Ambiguous"), "Gap - Invalid Consent", "Compliant")))))</f>
        <v/>
      </c>
      <c r="O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>
        <f>IF(D1231="Legitimate Interest (GDPR Art. 6(1)(f))", "Yes / Required (Sheet 3)", "")</f>
        <v/>
      </c>
      <c r="L1231" s="7" t="n"/>
      <c r="M1231" s="7" t="n"/>
      <c r="N1231">
        <f>IF(D1231="", "Gap - No Legal Basis", IF(AND(D1231="Consent (GDPR Art. 6(1)(a))", I1231="Not Captured"), "Gap - Invalid Consent", IF(AND(D1231="Legitimate Interest (GDPR Art. 6(1)(f))", L1231=""), "Gap - Missing LIA", IF(AND(G1231="Yes", H1231=""), "Gap - Missing Art. 9 Basis", IF(OR(I1231="Invalid - Not Freely Given", I1231="Invalid - Not Specific", I1231="Invalid - Not Informed", I1231="Invalid - Ambiguous"), "Gap - Invalid Consent", "Compliant")))))</f>
        <v/>
      </c>
      <c r="O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>
        <f>IF(D1232="Legitimate Interest (GDPR Art. 6(1)(f))", "Yes / Required (Sheet 3)", "")</f>
        <v/>
      </c>
      <c r="L1232" s="7" t="n"/>
      <c r="M1232" s="7" t="n"/>
      <c r="N1232">
        <f>IF(D1232="", "Gap - No Legal Basis", IF(AND(D1232="Consent (GDPR Art. 6(1)(a))", I1232="Not Captured"), "Gap - Invalid Consent", IF(AND(D1232="Legitimate Interest (GDPR Art. 6(1)(f))", L1232=""), "Gap - Missing LIA", IF(AND(G1232="Yes", H1232=""), "Gap - Missing Art. 9 Basis", IF(OR(I1232="Invalid - Not Freely Given", I1232="Invalid - Not Specific", I1232="Invalid - Not Informed", I1232="Invalid - Ambiguous"), "Gap - Invalid Consent", "Compliant")))))</f>
        <v/>
      </c>
      <c r="O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>
        <f>IF(D1233="Legitimate Interest (GDPR Art. 6(1)(f))", "Yes / Required (Sheet 3)", "")</f>
        <v/>
      </c>
      <c r="L1233" s="7" t="n"/>
      <c r="M1233" s="7" t="n"/>
      <c r="N1233">
        <f>IF(D1233="", "Gap - No Legal Basis", IF(AND(D1233="Consent (GDPR Art. 6(1)(a))", I1233="Not Captured"), "Gap - Invalid Consent", IF(AND(D1233="Legitimate Interest (GDPR Art. 6(1)(f))", L1233=""), "Gap - Missing LIA", IF(AND(G1233="Yes", H1233=""), "Gap - Missing Art. 9 Basis", IF(OR(I1233="Invalid - Not Freely Given", I1233="Invalid - Not Specific", I1233="Invalid - Not Informed", I1233="Invalid - Ambiguous"), "Gap - Invalid Consent", "Compliant")))))</f>
        <v/>
      </c>
      <c r="O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>
        <f>IF(D1234="Legitimate Interest (GDPR Art. 6(1)(f))", "Yes / Required (Sheet 3)", "")</f>
        <v/>
      </c>
      <c r="L1234" s="7" t="n"/>
      <c r="M1234" s="7" t="n"/>
      <c r="N1234">
        <f>IF(D1234="", "Gap - No Legal Basis", IF(AND(D1234="Consent (GDPR Art. 6(1)(a))", I1234="Not Captured"), "Gap - Invalid Consent", IF(AND(D1234="Legitimate Interest (GDPR Art. 6(1)(f))", L1234=""), "Gap - Missing LIA", IF(AND(G1234="Yes", H1234=""), "Gap - Missing Art. 9 Basis", IF(OR(I1234="Invalid - Not Freely Given", I1234="Invalid - Not Specific", I1234="Invalid - Not Informed", I1234="Invalid - Ambiguous"), "Gap - Invalid Consent", "Compliant")))))</f>
        <v/>
      </c>
      <c r="O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>
        <f>IF(D1235="Legitimate Interest (GDPR Art. 6(1)(f))", "Yes / Required (Sheet 3)", "")</f>
        <v/>
      </c>
      <c r="L1235" s="7" t="n"/>
      <c r="M1235" s="7" t="n"/>
      <c r="N1235">
        <f>IF(D1235="", "Gap - No Legal Basis", IF(AND(D1235="Consent (GDPR Art. 6(1)(a))", I1235="Not Captured"), "Gap - Invalid Consent", IF(AND(D1235="Legitimate Interest (GDPR Art. 6(1)(f))", L1235=""), "Gap - Missing LIA", IF(AND(G1235="Yes", H1235=""), "Gap - Missing Art. 9 Basis", IF(OR(I1235="Invalid - Not Freely Given", I1235="Invalid - Not Specific", I1235="Invalid - Not Informed", I1235="Invalid - Ambiguous"), "Gap - Invalid Consent", "Compliant")))))</f>
        <v/>
      </c>
      <c r="O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>
        <f>IF(D1236="Legitimate Interest (GDPR Art. 6(1)(f))", "Yes / Required (Sheet 3)", "")</f>
        <v/>
      </c>
      <c r="L1236" s="7" t="n"/>
      <c r="M1236" s="7" t="n"/>
      <c r="N1236">
        <f>IF(D1236="", "Gap - No Legal Basis", IF(AND(D1236="Consent (GDPR Art. 6(1)(a))", I1236="Not Captured"), "Gap - Invalid Consent", IF(AND(D1236="Legitimate Interest (GDPR Art. 6(1)(f))", L1236=""), "Gap - Missing LIA", IF(AND(G1236="Yes", H1236=""), "Gap - Missing Art. 9 Basis", IF(OR(I1236="Invalid - Not Freely Given", I1236="Invalid - Not Specific", I1236="Invalid - Not Informed", I1236="Invalid - Ambiguous"), "Gap - Invalid Consent", "Compliant")))))</f>
        <v/>
      </c>
      <c r="O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>
        <f>IF(D1237="Legitimate Interest (GDPR Art. 6(1)(f))", "Yes / Required (Sheet 3)", "")</f>
        <v/>
      </c>
      <c r="L1237" s="7" t="n"/>
      <c r="M1237" s="7" t="n"/>
      <c r="N1237">
        <f>IF(D1237="", "Gap - No Legal Basis", IF(AND(D1237="Consent (GDPR Art. 6(1)(a))", I1237="Not Captured"), "Gap - Invalid Consent", IF(AND(D1237="Legitimate Interest (GDPR Art. 6(1)(f))", L1237=""), "Gap - Missing LIA", IF(AND(G1237="Yes", H1237=""), "Gap - Missing Art. 9 Basis", IF(OR(I1237="Invalid - Not Freely Given", I1237="Invalid - Not Specific", I1237="Invalid - Not Informed", I1237="Invalid - Ambiguous"), "Gap - Invalid Consent", "Compliant")))))</f>
        <v/>
      </c>
      <c r="O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>
        <f>IF(D1238="Legitimate Interest (GDPR Art. 6(1)(f))", "Yes / Required (Sheet 3)", "")</f>
        <v/>
      </c>
      <c r="L1238" s="7" t="n"/>
      <c r="M1238" s="7" t="n"/>
      <c r="N1238">
        <f>IF(D1238="", "Gap - No Legal Basis", IF(AND(D1238="Consent (GDPR Art. 6(1)(a))", I1238="Not Captured"), "Gap - Invalid Consent", IF(AND(D1238="Legitimate Interest (GDPR Art. 6(1)(f))", L1238=""), "Gap - Missing LIA", IF(AND(G1238="Yes", H1238=""), "Gap - Missing Art. 9 Basis", IF(OR(I1238="Invalid - Not Freely Given", I1238="Invalid - Not Specific", I1238="Invalid - Not Informed", I1238="Invalid - Ambiguous"), "Gap - Invalid Consent", "Compliant")))))</f>
        <v/>
      </c>
      <c r="O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>
        <f>IF(D1239="Legitimate Interest (GDPR Art. 6(1)(f))", "Yes / Required (Sheet 3)", "")</f>
        <v/>
      </c>
      <c r="L1239" s="7" t="n"/>
      <c r="M1239" s="7" t="n"/>
      <c r="N1239">
        <f>IF(D1239="", "Gap - No Legal Basis", IF(AND(D1239="Consent (GDPR Art. 6(1)(a))", I1239="Not Captured"), "Gap - Invalid Consent", IF(AND(D1239="Legitimate Interest (GDPR Art. 6(1)(f))", L1239=""), "Gap - Missing LIA", IF(AND(G1239="Yes", H1239=""), "Gap - Missing Art. 9 Basis", IF(OR(I1239="Invalid - Not Freely Given", I1239="Invalid - Not Specific", I1239="Invalid - Not Informed", I1239="Invalid - Ambiguous"), "Gap - Invalid Consent", "Compliant")))))</f>
        <v/>
      </c>
      <c r="O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>
        <f>IF(D1240="Legitimate Interest (GDPR Art. 6(1)(f))", "Yes / Required (Sheet 3)", "")</f>
        <v/>
      </c>
      <c r="L1240" s="7" t="n"/>
      <c r="M1240" s="7" t="n"/>
      <c r="N1240">
        <f>IF(D1240="", "Gap - No Legal Basis", IF(AND(D1240="Consent (GDPR Art. 6(1)(a))", I1240="Not Captured"), "Gap - Invalid Consent", IF(AND(D1240="Legitimate Interest (GDPR Art. 6(1)(f))", L1240=""), "Gap - Missing LIA", IF(AND(G1240="Yes", H1240=""), "Gap - Missing Art. 9 Basis", IF(OR(I1240="Invalid - Not Freely Given", I1240="Invalid - Not Specific", I1240="Invalid - Not Informed", I1240="Invalid - Ambiguous"), "Gap - Invalid Consent", "Compliant")))))</f>
        <v/>
      </c>
      <c r="O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>
        <f>IF(D1241="Legitimate Interest (GDPR Art. 6(1)(f))", "Yes / Required (Sheet 3)", "")</f>
        <v/>
      </c>
      <c r="L1241" s="7" t="n"/>
      <c r="M1241" s="7" t="n"/>
      <c r="N1241">
        <f>IF(D1241="", "Gap - No Legal Basis", IF(AND(D1241="Consent (GDPR Art. 6(1)(a))", I1241="Not Captured"), "Gap - Invalid Consent", IF(AND(D1241="Legitimate Interest (GDPR Art. 6(1)(f))", L1241=""), "Gap - Missing LIA", IF(AND(G1241="Yes", H1241=""), "Gap - Missing Art. 9 Basis", IF(OR(I1241="Invalid - Not Freely Given", I1241="Invalid - Not Specific", I1241="Invalid - Not Informed", I1241="Invalid - Ambiguous"), "Gap - Invalid Consent", "Compliant")))))</f>
        <v/>
      </c>
      <c r="O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>
        <f>IF(D1242="Legitimate Interest (GDPR Art. 6(1)(f))", "Yes / Required (Sheet 3)", "")</f>
        <v/>
      </c>
      <c r="L1242" s="7" t="n"/>
      <c r="M1242" s="7" t="n"/>
      <c r="N1242">
        <f>IF(D1242="", "Gap - No Legal Basis", IF(AND(D1242="Consent (GDPR Art. 6(1)(a))", I1242="Not Captured"), "Gap - Invalid Consent", IF(AND(D1242="Legitimate Interest (GDPR Art. 6(1)(f))", L1242=""), "Gap - Missing LIA", IF(AND(G1242="Yes", H1242=""), "Gap - Missing Art. 9 Basis", IF(OR(I1242="Invalid - Not Freely Given", I1242="Invalid - Not Specific", I1242="Invalid - Not Informed", I1242="Invalid - Ambiguous"), "Gap - Invalid Consent", "Compliant")))))</f>
        <v/>
      </c>
      <c r="O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>
        <f>IF(D1243="Legitimate Interest (GDPR Art. 6(1)(f))", "Yes / Required (Sheet 3)", "")</f>
        <v/>
      </c>
      <c r="L1243" s="7" t="n"/>
      <c r="M1243" s="7" t="n"/>
      <c r="N1243">
        <f>IF(D1243="", "Gap - No Legal Basis", IF(AND(D1243="Consent (GDPR Art. 6(1)(a))", I1243="Not Captured"), "Gap - Invalid Consent", IF(AND(D1243="Legitimate Interest (GDPR Art. 6(1)(f))", L1243=""), "Gap - Missing LIA", IF(AND(G1243="Yes", H1243=""), "Gap - Missing Art. 9 Basis", IF(OR(I1243="Invalid - Not Freely Given", I1243="Invalid - Not Specific", I1243="Invalid - Not Informed", I1243="Invalid - Ambiguous"), "Gap - Invalid Consent", "Compliant")))))</f>
        <v/>
      </c>
      <c r="O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>
        <f>IF(D1244="Legitimate Interest (GDPR Art. 6(1)(f))", "Yes / Required (Sheet 3)", "")</f>
        <v/>
      </c>
      <c r="L1244" s="7" t="n"/>
      <c r="M1244" s="7" t="n"/>
      <c r="N1244">
        <f>IF(D1244="", "Gap - No Legal Basis", IF(AND(D1244="Consent (GDPR Art. 6(1)(a))", I1244="Not Captured"), "Gap - Invalid Consent", IF(AND(D1244="Legitimate Interest (GDPR Art. 6(1)(f))", L1244=""), "Gap - Missing LIA", IF(AND(G1244="Yes", H1244=""), "Gap - Missing Art. 9 Basis", IF(OR(I1244="Invalid - Not Freely Given", I1244="Invalid - Not Specific", I1244="Invalid - Not Informed", I1244="Invalid - Ambiguous"), "Gap - Invalid Consent", "Compliant")))))</f>
        <v/>
      </c>
      <c r="O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>
        <f>IF(D1245="Legitimate Interest (GDPR Art. 6(1)(f))", "Yes / Required (Sheet 3)", "")</f>
        <v/>
      </c>
      <c r="L1245" s="7" t="n"/>
      <c r="M1245" s="7" t="n"/>
      <c r="N1245">
        <f>IF(D1245="", "Gap - No Legal Basis", IF(AND(D1245="Consent (GDPR Art. 6(1)(a))", I1245="Not Captured"), "Gap - Invalid Consent", IF(AND(D1245="Legitimate Interest (GDPR Art. 6(1)(f))", L1245=""), "Gap - Missing LIA", IF(AND(G1245="Yes", H1245=""), "Gap - Missing Art. 9 Basis", IF(OR(I1245="Invalid - Not Freely Given", I1245="Invalid - Not Specific", I1245="Invalid - Not Informed", I1245="Invalid - Ambiguous"), "Gap - Invalid Consent", "Compliant")))))</f>
        <v/>
      </c>
      <c r="O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>
        <f>IF(D1246="Legitimate Interest (GDPR Art. 6(1)(f))", "Yes / Required (Sheet 3)", "")</f>
        <v/>
      </c>
      <c r="L1246" s="7" t="n"/>
      <c r="M1246" s="7" t="n"/>
      <c r="N1246">
        <f>IF(D1246="", "Gap - No Legal Basis", IF(AND(D1246="Consent (GDPR Art. 6(1)(a))", I1246="Not Captured"), "Gap - Invalid Consent", IF(AND(D1246="Legitimate Interest (GDPR Art. 6(1)(f))", L1246=""), "Gap - Missing LIA", IF(AND(G1246="Yes", H1246=""), "Gap - Missing Art. 9 Basis", IF(OR(I1246="Invalid - Not Freely Given", I1246="Invalid - Not Specific", I1246="Invalid - Not Informed", I1246="Invalid - Ambiguous"), "Gap - Invalid Consent", "Compliant")))))</f>
        <v/>
      </c>
      <c r="O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>
        <f>IF(D1247="Legitimate Interest (GDPR Art. 6(1)(f))", "Yes / Required (Sheet 3)", "")</f>
        <v/>
      </c>
      <c r="L1247" s="7" t="n"/>
      <c r="M1247" s="7" t="n"/>
      <c r="N1247">
        <f>IF(D1247="", "Gap - No Legal Basis", IF(AND(D1247="Consent (GDPR Art. 6(1)(a))", I1247="Not Captured"), "Gap - Invalid Consent", IF(AND(D1247="Legitimate Interest (GDPR Art. 6(1)(f))", L1247=""), "Gap - Missing LIA", IF(AND(G1247="Yes", H1247=""), "Gap - Missing Art. 9 Basis", IF(OR(I1247="Invalid - Not Freely Given", I1247="Invalid - Not Specific", I1247="Invalid - Not Informed", I1247="Invalid - Ambiguous"), "Gap - Invalid Consent", "Compliant")))))</f>
        <v/>
      </c>
      <c r="O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>
        <f>IF(D1248="Legitimate Interest (GDPR Art. 6(1)(f))", "Yes / Required (Sheet 3)", "")</f>
        <v/>
      </c>
      <c r="L1248" s="7" t="n"/>
      <c r="M1248" s="7" t="n"/>
      <c r="N1248">
        <f>IF(D1248="", "Gap - No Legal Basis", IF(AND(D1248="Consent (GDPR Art. 6(1)(a))", I1248="Not Captured"), "Gap - Invalid Consent", IF(AND(D1248="Legitimate Interest (GDPR Art. 6(1)(f))", L1248=""), "Gap - Missing LIA", IF(AND(G1248="Yes", H1248=""), "Gap - Missing Art. 9 Basis", IF(OR(I1248="Invalid - Not Freely Given", I1248="Invalid - Not Specific", I1248="Invalid - Not Informed", I1248="Invalid - Ambiguous"), "Gap - Invalid Consent", "Compliant")))))</f>
        <v/>
      </c>
      <c r="O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>
        <f>IF(D1249="Legitimate Interest (GDPR Art. 6(1)(f))", "Yes / Required (Sheet 3)", "")</f>
        <v/>
      </c>
      <c r="L1249" s="7" t="n"/>
      <c r="M1249" s="7" t="n"/>
      <c r="N1249">
        <f>IF(D1249="", "Gap - No Legal Basis", IF(AND(D1249="Consent (GDPR Art. 6(1)(a))", I1249="Not Captured"), "Gap - Invalid Consent", IF(AND(D1249="Legitimate Interest (GDPR Art. 6(1)(f))", L1249=""), "Gap - Missing LIA", IF(AND(G1249="Yes", H1249=""), "Gap - Missing Art. 9 Basis", IF(OR(I1249="Invalid - Not Freely Given", I1249="Invalid - Not Specific", I1249="Invalid - Not Informed", I1249="Invalid - Ambiguous"), "Gap - Invalid Consent", "Compliant")))))</f>
        <v/>
      </c>
      <c r="O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>
        <f>IF(D1250="Legitimate Interest (GDPR Art. 6(1)(f))", "Yes / Required (Sheet 3)", "")</f>
        <v/>
      </c>
      <c r="L1250" s="7" t="n"/>
      <c r="M1250" s="7" t="n"/>
      <c r="N1250">
        <f>IF(D1250="", "Gap - No Legal Basis", IF(AND(D1250="Consent (GDPR Art. 6(1)(a))", I1250="Not Captured"), "Gap - Invalid Consent", IF(AND(D1250="Legitimate Interest (GDPR Art. 6(1)(f))", L1250=""), "Gap - Missing LIA", IF(AND(G1250="Yes", H1250=""), "Gap - Missing Art. 9 Basis", IF(OR(I1250="Invalid - Not Freely Given", I1250="Invalid - Not Specific", I1250="Invalid - Not Informed", I1250="Invalid - Ambiguous"), "Gap - Invalid Consent", "Compliant")))))</f>
        <v/>
      </c>
      <c r="O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>
        <f>IF(D1251="Legitimate Interest (GDPR Art. 6(1)(f))", "Yes / Required (Sheet 3)", "")</f>
        <v/>
      </c>
      <c r="L1251" s="7" t="n"/>
      <c r="M1251" s="7" t="n"/>
      <c r="N1251">
        <f>IF(D1251="", "Gap - No Legal Basis", IF(AND(D1251="Consent (GDPR Art. 6(1)(a))", I1251="Not Captured"), "Gap - Invalid Consent", IF(AND(D1251="Legitimate Interest (GDPR Art. 6(1)(f))", L1251=""), "Gap - Missing LIA", IF(AND(G1251="Yes", H1251=""), "Gap - Missing Art. 9 Basis", IF(OR(I1251="Invalid - Not Freely Given", I1251="Invalid - Not Specific", I1251="Invalid - Not Informed", I1251="Invalid - Ambiguous"), "Gap - Invalid Consent", "Compliant")))))</f>
        <v/>
      </c>
      <c r="O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>
        <f>IF(D1252="Legitimate Interest (GDPR Art. 6(1)(f))", "Yes / Required (Sheet 3)", "")</f>
        <v/>
      </c>
      <c r="L1252" s="7" t="n"/>
      <c r="M1252" s="7" t="n"/>
      <c r="N1252">
        <f>IF(D1252="", "Gap - No Legal Basis", IF(AND(D1252="Consent (GDPR Art. 6(1)(a))", I1252="Not Captured"), "Gap - Invalid Consent", IF(AND(D1252="Legitimate Interest (GDPR Art. 6(1)(f))", L1252=""), "Gap - Missing LIA", IF(AND(G1252="Yes", H1252=""), "Gap - Missing Art. 9 Basis", IF(OR(I1252="Invalid - Not Freely Given", I1252="Invalid - Not Specific", I1252="Invalid - Not Informed", I1252="Invalid - Ambiguous"), "Gap - Invalid Consent", "Compliant")))))</f>
        <v/>
      </c>
      <c r="O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>
        <f>IF(D1253="Legitimate Interest (GDPR Art. 6(1)(f))", "Yes / Required (Sheet 3)", "")</f>
        <v/>
      </c>
      <c r="L1253" s="7" t="n"/>
      <c r="M1253" s="7" t="n"/>
      <c r="N1253">
        <f>IF(D1253="", "Gap - No Legal Basis", IF(AND(D1253="Consent (GDPR Art. 6(1)(a))", I1253="Not Captured"), "Gap - Invalid Consent", IF(AND(D1253="Legitimate Interest (GDPR Art. 6(1)(f))", L1253=""), "Gap - Missing LIA", IF(AND(G1253="Yes", H1253=""), "Gap - Missing Art. 9 Basis", IF(OR(I1253="Invalid - Not Freely Given", I1253="Invalid - Not Specific", I1253="Invalid - Not Informed", I1253="Invalid - Ambiguous"), "Gap - Invalid Consent", "Compliant")))))</f>
        <v/>
      </c>
      <c r="O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>
        <f>IF(D1254="Legitimate Interest (GDPR Art. 6(1)(f))", "Yes / Required (Sheet 3)", "")</f>
        <v/>
      </c>
      <c r="L1254" s="7" t="n"/>
      <c r="M1254" s="7" t="n"/>
      <c r="N1254">
        <f>IF(D1254="", "Gap - No Legal Basis", IF(AND(D1254="Consent (GDPR Art. 6(1)(a))", I1254="Not Captured"), "Gap - Invalid Consent", IF(AND(D1254="Legitimate Interest (GDPR Art. 6(1)(f))", L1254=""), "Gap - Missing LIA", IF(AND(G1254="Yes", H1254=""), "Gap - Missing Art. 9 Basis", IF(OR(I1254="Invalid - Not Freely Given", I1254="Invalid - Not Specific", I1254="Invalid - Not Informed", I1254="Invalid - Ambiguous"), "Gap - Invalid Consent", "Compliant")))))</f>
        <v/>
      </c>
      <c r="O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>
        <f>IF(D1255="Legitimate Interest (GDPR Art. 6(1)(f))", "Yes / Required (Sheet 3)", "")</f>
        <v/>
      </c>
      <c r="L1255" s="7" t="n"/>
      <c r="M1255" s="7" t="n"/>
      <c r="N1255">
        <f>IF(D1255="", "Gap - No Legal Basis", IF(AND(D1255="Consent (GDPR Art. 6(1)(a))", I1255="Not Captured"), "Gap - Invalid Consent", IF(AND(D1255="Legitimate Interest (GDPR Art. 6(1)(f))", L1255=""), "Gap - Missing LIA", IF(AND(G1255="Yes", H1255=""), "Gap - Missing Art. 9 Basis", IF(OR(I1255="Invalid - Not Freely Given", I1255="Invalid - Not Specific", I1255="Invalid - Not Informed", I1255="Invalid - Ambiguous"), "Gap - Invalid Consent", "Compliant")))))</f>
        <v/>
      </c>
      <c r="O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>
        <f>IF(D1256="Legitimate Interest (GDPR Art. 6(1)(f))", "Yes / Required (Sheet 3)", "")</f>
        <v/>
      </c>
      <c r="L1256" s="7" t="n"/>
      <c r="M1256" s="7" t="n"/>
      <c r="N1256">
        <f>IF(D1256="", "Gap - No Legal Basis", IF(AND(D1256="Consent (GDPR Art. 6(1)(a))", I1256="Not Captured"), "Gap - Invalid Consent", IF(AND(D1256="Legitimate Interest (GDPR Art. 6(1)(f))", L1256=""), "Gap - Missing LIA", IF(AND(G1256="Yes", H1256=""), "Gap - Missing Art. 9 Basis", IF(OR(I1256="Invalid - Not Freely Given", I1256="Invalid - Not Specific", I1256="Invalid - Not Informed", I1256="Invalid - Ambiguous"), "Gap - Invalid Consent", "Compliant")))))</f>
        <v/>
      </c>
      <c r="O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>
        <f>IF(D1257="Legitimate Interest (GDPR Art. 6(1)(f))", "Yes / Required (Sheet 3)", "")</f>
        <v/>
      </c>
      <c r="L1257" s="7" t="n"/>
      <c r="M1257" s="7" t="n"/>
      <c r="N1257">
        <f>IF(D1257="", "Gap - No Legal Basis", IF(AND(D1257="Consent (GDPR Art. 6(1)(a))", I1257="Not Captured"), "Gap - Invalid Consent", IF(AND(D1257="Legitimate Interest (GDPR Art. 6(1)(f))", L1257=""), "Gap - Missing LIA", IF(AND(G1257="Yes", H1257=""), "Gap - Missing Art. 9 Basis", IF(OR(I1257="Invalid - Not Freely Given", I1257="Invalid - Not Specific", I1257="Invalid - Not Informed", I1257="Invalid - Ambiguous"), "Gap - Invalid Consent", "Compliant")))))</f>
        <v/>
      </c>
      <c r="O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>
        <f>IF(D1258="Legitimate Interest (GDPR Art. 6(1)(f))", "Yes / Required (Sheet 3)", "")</f>
        <v/>
      </c>
      <c r="L1258" s="7" t="n"/>
      <c r="M1258" s="7" t="n"/>
      <c r="N1258">
        <f>IF(D1258="", "Gap - No Legal Basis", IF(AND(D1258="Consent (GDPR Art. 6(1)(a))", I1258="Not Captured"), "Gap - Invalid Consent", IF(AND(D1258="Legitimate Interest (GDPR Art. 6(1)(f))", L1258=""), "Gap - Missing LIA", IF(AND(G1258="Yes", H1258=""), "Gap - Missing Art. 9 Basis", IF(OR(I1258="Invalid - Not Freely Given", I1258="Invalid - Not Specific", I1258="Invalid - Not Informed", I1258="Invalid - Ambiguous"), "Gap - Invalid Consent", "Compliant")))))</f>
        <v/>
      </c>
      <c r="O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>
        <f>IF(D1259="Legitimate Interest (GDPR Art. 6(1)(f))", "Yes / Required (Sheet 3)", "")</f>
        <v/>
      </c>
      <c r="L1259" s="7" t="n"/>
      <c r="M1259" s="7" t="n"/>
      <c r="N1259">
        <f>IF(D1259="", "Gap - No Legal Basis", IF(AND(D1259="Consent (GDPR Art. 6(1)(a))", I1259="Not Captured"), "Gap - Invalid Consent", IF(AND(D1259="Legitimate Interest (GDPR Art. 6(1)(f))", L1259=""), "Gap - Missing LIA", IF(AND(G1259="Yes", H1259=""), "Gap - Missing Art. 9 Basis", IF(OR(I1259="Invalid - Not Freely Given", I1259="Invalid - Not Specific", I1259="Invalid - Not Informed", I1259="Invalid - Ambiguous"), "Gap - Invalid Consent", "Compliant")))))</f>
        <v/>
      </c>
      <c r="O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>
        <f>IF(D1260="Legitimate Interest (GDPR Art. 6(1)(f))", "Yes / Required (Sheet 3)", "")</f>
        <v/>
      </c>
      <c r="L1260" s="7" t="n"/>
      <c r="M1260" s="7" t="n"/>
      <c r="N1260">
        <f>IF(D1260="", "Gap - No Legal Basis", IF(AND(D1260="Consent (GDPR Art. 6(1)(a))", I1260="Not Captured"), "Gap - Invalid Consent", IF(AND(D1260="Legitimate Interest (GDPR Art. 6(1)(f))", L1260=""), "Gap - Missing LIA", IF(AND(G1260="Yes", H1260=""), "Gap - Missing Art. 9 Basis", IF(OR(I1260="Invalid - Not Freely Given", I1260="Invalid - Not Specific", I1260="Invalid - Not Informed", I1260="Invalid - Ambiguous"), "Gap - Invalid Consent", "Compliant")))))</f>
        <v/>
      </c>
      <c r="O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>
        <f>IF(D1261="Legitimate Interest (GDPR Art. 6(1)(f))", "Yes / Required (Sheet 3)", "")</f>
        <v/>
      </c>
      <c r="L1261" s="7" t="n"/>
      <c r="M1261" s="7" t="n"/>
      <c r="N1261">
        <f>IF(D1261="", "Gap - No Legal Basis", IF(AND(D1261="Consent (GDPR Art. 6(1)(a))", I1261="Not Captured"), "Gap - Invalid Consent", IF(AND(D1261="Legitimate Interest (GDPR Art. 6(1)(f))", L1261=""), "Gap - Missing LIA", IF(AND(G1261="Yes", H1261=""), "Gap - Missing Art. 9 Basis", IF(OR(I1261="Invalid - Not Freely Given", I1261="Invalid - Not Specific", I1261="Invalid - Not Informed", I1261="Invalid - Ambiguous"), "Gap - Invalid Consent", "Compliant")))))</f>
        <v/>
      </c>
      <c r="O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>
        <f>IF(D1262="Legitimate Interest (GDPR Art. 6(1)(f))", "Yes / Required (Sheet 3)", "")</f>
        <v/>
      </c>
      <c r="L1262" s="7" t="n"/>
      <c r="M1262" s="7" t="n"/>
      <c r="N1262">
        <f>IF(D1262="", "Gap - No Legal Basis", IF(AND(D1262="Consent (GDPR Art. 6(1)(a))", I1262="Not Captured"), "Gap - Invalid Consent", IF(AND(D1262="Legitimate Interest (GDPR Art. 6(1)(f))", L1262=""), "Gap - Missing LIA", IF(AND(G1262="Yes", H1262=""), "Gap - Missing Art. 9 Basis", IF(OR(I1262="Invalid - Not Freely Given", I1262="Invalid - Not Specific", I1262="Invalid - Not Informed", I1262="Invalid - Ambiguous"), "Gap - Invalid Consent", "Compliant")))))</f>
        <v/>
      </c>
      <c r="O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>
        <f>IF(D1263="Legitimate Interest (GDPR Art. 6(1)(f))", "Yes / Required (Sheet 3)", "")</f>
        <v/>
      </c>
      <c r="L1263" s="7" t="n"/>
      <c r="M1263" s="7" t="n"/>
      <c r="N1263">
        <f>IF(D1263="", "Gap - No Legal Basis", IF(AND(D1263="Consent (GDPR Art. 6(1)(a))", I1263="Not Captured"), "Gap - Invalid Consent", IF(AND(D1263="Legitimate Interest (GDPR Art. 6(1)(f))", L1263=""), "Gap - Missing LIA", IF(AND(G1263="Yes", H1263=""), "Gap - Missing Art. 9 Basis", IF(OR(I1263="Invalid - Not Freely Given", I1263="Invalid - Not Specific", I1263="Invalid - Not Informed", I1263="Invalid - Ambiguous"), "Gap - Invalid Consent", "Compliant")))))</f>
        <v/>
      </c>
      <c r="O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>
        <f>IF(D1264="Legitimate Interest (GDPR Art. 6(1)(f))", "Yes / Required (Sheet 3)", "")</f>
        <v/>
      </c>
      <c r="L1264" s="7" t="n"/>
      <c r="M1264" s="7" t="n"/>
      <c r="N1264">
        <f>IF(D1264="", "Gap - No Legal Basis", IF(AND(D1264="Consent (GDPR Art. 6(1)(a))", I1264="Not Captured"), "Gap - Invalid Consent", IF(AND(D1264="Legitimate Interest (GDPR Art. 6(1)(f))", L1264=""), "Gap - Missing LIA", IF(AND(G1264="Yes", H1264=""), "Gap - Missing Art. 9 Basis", IF(OR(I1264="Invalid - Not Freely Given", I1264="Invalid - Not Specific", I1264="Invalid - Not Informed", I1264="Invalid - Ambiguous"), "Gap - Invalid Consent", "Compliant")))))</f>
        <v/>
      </c>
      <c r="O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>
        <f>IF(D1265="Legitimate Interest (GDPR Art. 6(1)(f))", "Yes / Required (Sheet 3)", "")</f>
        <v/>
      </c>
      <c r="L1265" s="7" t="n"/>
      <c r="M1265" s="7" t="n"/>
      <c r="N1265">
        <f>IF(D1265="", "Gap - No Legal Basis", IF(AND(D1265="Consent (GDPR Art. 6(1)(a))", I1265="Not Captured"), "Gap - Invalid Consent", IF(AND(D1265="Legitimate Interest (GDPR Art. 6(1)(f))", L1265=""), "Gap - Missing LIA", IF(AND(G1265="Yes", H1265=""), "Gap - Missing Art. 9 Basis", IF(OR(I1265="Invalid - Not Freely Given", I1265="Invalid - Not Specific", I1265="Invalid - Not Informed", I1265="Invalid - Ambiguous"), "Gap - Invalid Consent", "Compliant")))))</f>
        <v/>
      </c>
      <c r="O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>
        <f>IF(D1266="Legitimate Interest (GDPR Art. 6(1)(f))", "Yes / Required (Sheet 3)", "")</f>
        <v/>
      </c>
      <c r="L1266" s="7" t="n"/>
      <c r="M1266" s="7" t="n"/>
      <c r="N1266">
        <f>IF(D1266="", "Gap - No Legal Basis", IF(AND(D1266="Consent (GDPR Art. 6(1)(a))", I1266="Not Captured"), "Gap - Invalid Consent", IF(AND(D1266="Legitimate Interest (GDPR Art. 6(1)(f))", L1266=""), "Gap - Missing LIA", IF(AND(G1266="Yes", H1266=""), "Gap - Missing Art. 9 Basis", IF(OR(I1266="Invalid - Not Freely Given", I1266="Invalid - Not Specific", I1266="Invalid - Not Informed", I1266="Invalid - Ambiguous"), "Gap - Invalid Consent", "Compliant")))))</f>
        <v/>
      </c>
      <c r="O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>
        <f>IF(D1267="Legitimate Interest (GDPR Art. 6(1)(f))", "Yes / Required (Sheet 3)", "")</f>
        <v/>
      </c>
      <c r="L1267" s="7" t="n"/>
      <c r="M1267" s="7" t="n"/>
      <c r="N1267">
        <f>IF(D1267="", "Gap - No Legal Basis", IF(AND(D1267="Consent (GDPR Art. 6(1)(a))", I1267="Not Captured"), "Gap - Invalid Consent", IF(AND(D1267="Legitimate Interest (GDPR Art. 6(1)(f))", L1267=""), "Gap - Missing LIA", IF(AND(G1267="Yes", H1267=""), "Gap - Missing Art. 9 Basis", IF(OR(I1267="Invalid - Not Freely Given", I1267="Invalid - Not Specific", I1267="Invalid - Not Informed", I1267="Invalid - Ambiguous"), "Gap - Invalid Consent", "Compliant")))))</f>
        <v/>
      </c>
      <c r="O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>
        <f>IF(D1268="Legitimate Interest (GDPR Art. 6(1)(f))", "Yes / Required (Sheet 3)", "")</f>
        <v/>
      </c>
      <c r="L1268" s="7" t="n"/>
      <c r="M1268" s="7" t="n"/>
      <c r="N1268">
        <f>IF(D1268="", "Gap - No Legal Basis", IF(AND(D1268="Consent (GDPR Art. 6(1)(a))", I1268="Not Captured"), "Gap - Invalid Consent", IF(AND(D1268="Legitimate Interest (GDPR Art. 6(1)(f))", L1268=""), "Gap - Missing LIA", IF(AND(G1268="Yes", H1268=""), "Gap - Missing Art. 9 Basis", IF(OR(I1268="Invalid - Not Freely Given", I1268="Invalid - Not Specific", I1268="Invalid - Not Informed", I1268="Invalid - Ambiguous"), "Gap - Invalid Consent", "Compliant")))))</f>
        <v/>
      </c>
      <c r="O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>
        <f>IF(D1269="Legitimate Interest (GDPR Art. 6(1)(f))", "Yes / Required (Sheet 3)", "")</f>
        <v/>
      </c>
      <c r="L1269" s="7" t="n"/>
      <c r="M1269" s="7" t="n"/>
      <c r="N1269">
        <f>IF(D1269="", "Gap - No Legal Basis", IF(AND(D1269="Consent (GDPR Art. 6(1)(a))", I1269="Not Captured"), "Gap - Invalid Consent", IF(AND(D1269="Legitimate Interest (GDPR Art. 6(1)(f))", L1269=""), "Gap - Missing LIA", IF(AND(G1269="Yes", H1269=""), "Gap - Missing Art. 9 Basis", IF(OR(I1269="Invalid - Not Freely Given", I1269="Invalid - Not Specific", I1269="Invalid - Not Informed", I1269="Invalid - Ambiguous"), "Gap - Invalid Consent", "Compliant")))))</f>
        <v/>
      </c>
      <c r="O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>
        <f>IF(D1270="Legitimate Interest (GDPR Art. 6(1)(f))", "Yes / Required (Sheet 3)", "")</f>
        <v/>
      </c>
      <c r="L1270" s="7" t="n"/>
      <c r="M1270" s="7" t="n"/>
      <c r="N1270">
        <f>IF(D1270="", "Gap - No Legal Basis", IF(AND(D1270="Consent (GDPR Art. 6(1)(a))", I1270="Not Captured"), "Gap - Invalid Consent", IF(AND(D1270="Legitimate Interest (GDPR Art. 6(1)(f))", L1270=""), "Gap - Missing LIA", IF(AND(G1270="Yes", H1270=""), "Gap - Missing Art. 9 Basis", IF(OR(I1270="Invalid - Not Freely Given", I1270="Invalid - Not Specific", I1270="Invalid - Not Informed", I1270="Invalid - Ambiguous"), "Gap - Invalid Consent", "Compliant")))))</f>
        <v/>
      </c>
      <c r="O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>
        <f>IF(D1271="Legitimate Interest (GDPR Art. 6(1)(f))", "Yes / Required (Sheet 3)", "")</f>
        <v/>
      </c>
      <c r="L1271" s="7" t="n"/>
      <c r="M1271" s="7" t="n"/>
      <c r="N1271">
        <f>IF(D1271="", "Gap - No Legal Basis", IF(AND(D1271="Consent (GDPR Art. 6(1)(a))", I1271="Not Captured"), "Gap - Invalid Consent", IF(AND(D1271="Legitimate Interest (GDPR Art. 6(1)(f))", L1271=""), "Gap - Missing LIA", IF(AND(G1271="Yes", H1271=""), "Gap - Missing Art. 9 Basis", IF(OR(I1271="Invalid - Not Freely Given", I1271="Invalid - Not Specific", I1271="Invalid - Not Informed", I1271="Invalid - Ambiguous"), "Gap - Invalid Consent", "Compliant")))))</f>
        <v/>
      </c>
      <c r="O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>
        <f>IF(D1272="Legitimate Interest (GDPR Art. 6(1)(f))", "Yes / Required (Sheet 3)", "")</f>
        <v/>
      </c>
      <c r="L1272" s="7" t="n"/>
      <c r="M1272" s="7" t="n"/>
      <c r="N1272">
        <f>IF(D1272="", "Gap - No Legal Basis", IF(AND(D1272="Consent (GDPR Art. 6(1)(a))", I1272="Not Captured"), "Gap - Invalid Consent", IF(AND(D1272="Legitimate Interest (GDPR Art. 6(1)(f))", L1272=""), "Gap - Missing LIA", IF(AND(G1272="Yes", H1272=""), "Gap - Missing Art. 9 Basis", IF(OR(I1272="Invalid - Not Freely Given", I1272="Invalid - Not Specific", I1272="Invalid - Not Informed", I1272="Invalid - Ambiguous"), "Gap - Invalid Consent", "Compliant")))))</f>
        <v/>
      </c>
      <c r="O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>
        <f>IF(D1273="Legitimate Interest (GDPR Art. 6(1)(f))", "Yes / Required (Sheet 3)", "")</f>
        <v/>
      </c>
      <c r="L1273" s="7" t="n"/>
      <c r="M1273" s="7" t="n"/>
      <c r="N1273">
        <f>IF(D1273="", "Gap - No Legal Basis", IF(AND(D1273="Consent (GDPR Art. 6(1)(a))", I1273="Not Captured"), "Gap - Invalid Consent", IF(AND(D1273="Legitimate Interest (GDPR Art. 6(1)(f))", L1273=""), "Gap - Missing LIA", IF(AND(G1273="Yes", H1273=""), "Gap - Missing Art. 9 Basis", IF(OR(I1273="Invalid - Not Freely Given", I1273="Invalid - Not Specific", I1273="Invalid - Not Informed", I1273="Invalid - Ambiguous"), "Gap - Invalid Consent", "Compliant")))))</f>
        <v/>
      </c>
      <c r="O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>
        <f>IF(D1274="Legitimate Interest (GDPR Art. 6(1)(f))", "Yes / Required (Sheet 3)", "")</f>
        <v/>
      </c>
      <c r="L1274" s="7" t="n"/>
      <c r="M1274" s="7" t="n"/>
      <c r="N1274">
        <f>IF(D1274="", "Gap - No Legal Basis", IF(AND(D1274="Consent (GDPR Art. 6(1)(a))", I1274="Not Captured"), "Gap - Invalid Consent", IF(AND(D1274="Legitimate Interest (GDPR Art. 6(1)(f))", L1274=""), "Gap - Missing LIA", IF(AND(G1274="Yes", H1274=""), "Gap - Missing Art. 9 Basis", IF(OR(I1274="Invalid - Not Freely Given", I1274="Invalid - Not Specific", I1274="Invalid - Not Informed", I1274="Invalid - Ambiguous"), "Gap - Invalid Consent", "Compliant")))))</f>
        <v/>
      </c>
      <c r="O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>
        <f>IF(D1275="Legitimate Interest (GDPR Art. 6(1)(f))", "Yes / Required (Sheet 3)", "")</f>
        <v/>
      </c>
      <c r="L1275" s="7" t="n"/>
      <c r="M1275" s="7" t="n"/>
      <c r="N1275">
        <f>IF(D1275="", "Gap - No Legal Basis", IF(AND(D1275="Consent (GDPR Art. 6(1)(a))", I1275="Not Captured"), "Gap - Invalid Consent", IF(AND(D1275="Legitimate Interest (GDPR Art. 6(1)(f))", L1275=""), "Gap - Missing LIA", IF(AND(G1275="Yes", H1275=""), "Gap - Missing Art. 9 Basis", IF(OR(I1275="Invalid - Not Freely Given", I1275="Invalid - Not Specific", I1275="Invalid - Not Informed", I1275="Invalid - Ambiguous"), "Gap - Invalid Consent", "Compliant")))))</f>
        <v/>
      </c>
      <c r="O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>
        <f>IF(D1276="Legitimate Interest (GDPR Art. 6(1)(f))", "Yes / Required (Sheet 3)", "")</f>
        <v/>
      </c>
      <c r="L1276" s="7" t="n"/>
      <c r="M1276" s="7" t="n"/>
      <c r="N1276">
        <f>IF(D1276="", "Gap - No Legal Basis", IF(AND(D1276="Consent (GDPR Art. 6(1)(a))", I1276="Not Captured"), "Gap - Invalid Consent", IF(AND(D1276="Legitimate Interest (GDPR Art. 6(1)(f))", L1276=""), "Gap - Missing LIA", IF(AND(G1276="Yes", H1276=""), "Gap - Missing Art. 9 Basis", IF(OR(I1276="Invalid - Not Freely Given", I1276="Invalid - Not Specific", I1276="Invalid - Not Informed", I1276="Invalid - Ambiguous"), "Gap - Invalid Consent", "Compliant")))))</f>
        <v/>
      </c>
      <c r="O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>
        <f>IF(D1277="Legitimate Interest (GDPR Art. 6(1)(f))", "Yes / Required (Sheet 3)", "")</f>
        <v/>
      </c>
      <c r="L1277" s="7" t="n"/>
      <c r="M1277" s="7" t="n"/>
      <c r="N1277">
        <f>IF(D1277="", "Gap - No Legal Basis", IF(AND(D1277="Consent (GDPR Art. 6(1)(a))", I1277="Not Captured"), "Gap - Invalid Consent", IF(AND(D1277="Legitimate Interest (GDPR Art. 6(1)(f))", L1277=""), "Gap - Missing LIA", IF(AND(G1277="Yes", H1277=""), "Gap - Missing Art. 9 Basis", IF(OR(I1277="Invalid - Not Freely Given", I1277="Invalid - Not Specific", I1277="Invalid - Not Informed", I1277="Invalid - Ambiguous"), "Gap - Invalid Consent", "Compliant")))))</f>
        <v/>
      </c>
      <c r="O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>
        <f>IF(D1278="Legitimate Interest (GDPR Art. 6(1)(f))", "Yes / Required (Sheet 3)", "")</f>
        <v/>
      </c>
      <c r="L1278" s="7" t="n"/>
      <c r="M1278" s="7" t="n"/>
      <c r="N1278">
        <f>IF(D1278="", "Gap - No Legal Basis", IF(AND(D1278="Consent (GDPR Art. 6(1)(a))", I1278="Not Captured"), "Gap - Invalid Consent", IF(AND(D1278="Legitimate Interest (GDPR Art. 6(1)(f))", L1278=""), "Gap - Missing LIA", IF(AND(G1278="Yes", H1278=""), "Gap - Missing Art. 9 Basis", IF(OR(I1278="Invalid - Not Freely Given", I1278="Invalid - Not Specific", I1278="Invalid - Not Informed", I1278="Invalid - Ambiguous"), "Gap - Invalid Consent", "Compliant")))))</f>
        <v/>
      </c>
      <c r="O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>
        <f>IF(D1279="Legitimate Interest (GDPR Art. 6(1)(f))", "Yes / Required (Sheet 3)", "")</f>
        <v/>
      </c>
      <c r="L1279" s="7" t="n"/>
      <c r="M1279" s="7" t="n"/>
      <c r="N1279">
        <f>IF(D1279="", "Gap - No Legal Basis", IF(AND(D1279="Consent (GDPR Art. 6(1)(a))", I1279="Not Captured"), "Gap - Invalid Consent", IF(AND(D1279="Legitimate Interest (GDPR Art. 6(1)(f))", L1279=""), "Gap - Missing LIA", IF(AND(G1279="Yes", H1279=""), "Gap - Missing Art. 9 Basis", IF(OR(I1279="Invalid - Not Freely Given", I1279="Invalid - Not Specific", I1279="Invalid - Not Informed", I1279="Invalid - Ambiguous"), "Gap - Invalid Consent", "Compliant")))))</f>
        <v/>
      </c>
      <c r="O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>
        <f>IF(D1280="Legitimate Interest (GDPR Art. 6(1)(f))", "Yes / Required (Sheet 3)", "")</f>
        <v/>
      </c>
      <c r="L1280" s="7" t="n"/>
      <c r="M1280" s="7" t="n"/>
      <c r="N1280">
        <f>IF(D1280="", "Gap - No Legal Basis", IF(AND(D1280="Consent (GDPR Art. 6(1)(a))", I1280="Not Captured"), "Gap - Invalid Consent", IF(AND(D1280="Legitimate Interest (GDPR Art. 6(1)(f))", L1280=""), "Gap - Missing LIA", IF(AND(G1280="Yes", H1280=""), "Gap - Missing Art. 9 Basis", IF(OR(I1280="Invalid - Not Freely Given", I1280="Invalid - Not Specific", I1280="Invalid - Not Informed", I1280="Invalid - Ambiguous"), "Gap - Invalid Consent", "Compliant")))))</f>
        <v/>
      </c>
      <c r="O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>
        <f>IF(D1281="Legitimate Interest (GDPR Art. 6(1)(f))", "Yes / Required (Sheet 3)", "")</f>
        <v/>
      </c>
      <c r="L1281" s="7" t="n"/>
      <c r="M1281" s="7" t="n"/>
      <c r="N1281">
        <f>IF(D1281="", "Gap - No Legal Basis", IF(AND(D1281="Consent (GDPR Art. 6(1)(a))", I1281="Not Captured"), "Gap - Invalid Consent", IF(AND(D1281="Legitimate Interest (GDPR Art. 6(1)(f))", L1281=""), "Gap - Missing LIA", IF(AND(G1281="Yes", H1281=""), "Gap - Missing Art. 9 Basis", IF(OR(I1281="Invalid - Not Freely Given", I1281="Invalid - Not Specific", I1281="Invalid - Not Informed", I1281="Invalid - Ambiguous"), "Gap - Invalid Consent", "Compliant")))))</f>
        <v/>
      </c>
      <c r="O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>
        <f>IF(D1282="Legitimate Interest (GDPR Art. 6(1)(f))", "Yes / Required (Sheet 3)", "")</f>
        <v/>
      </c>
      <c r="L1282" s="7" t="n"/>
      <c r="M1282" s="7" t="n"/>
      <c r="N1282">
        <f>IF(D1282="", "Gap - No Legal Basis", IF(AND(D1282="Consent (GDPR Art. 6(1)(a))", I1282="Not Captured"), "Gap - Invalid Consent", IF(AND(D1282="Legitimate Interest (GDPR Art. 6(1)(f))", L1282=""), "Gap - Missing LIA", IF(AND(G1282="Yes", H1282=""), "Gap - Missing Art. 9 Basis", IF(OR(I1282="Invalid - Not Freely Given", I1282="Invalid - Not Specific", I1282="Invalid - Not Informed", I1282="Invalid - Ambiguous"), "Gap - Invalid Consent", "Compliant")))))</f>
        <v/>
      </c>
      <c r="O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>
        <f>IF(D1283="Legitimate Interest (GDPR Art. 6(1)(f))", "Yes / Required (Sheet 3)", "")</f>
        <v/>
      </c>
      <c r="L1283" s="7" t="n"/>
      <c r="M1283" s="7" t="n"/>
      <c r="N1283">
        <f>IF(D1283="", "Gap - No Legal Basis", IF(AND(D1283="Consent (GDPR Art. 6(1)(a))", I1283="Not Captured"), "Gap - Invalid Consent", IF(AND(D1283="Legitimate Interest (GDPR Art. 6(1)(f))", L1283=""), "Gap - Missing LIA", IF(AND(G1283="Yes", H1283=""), "Gap - Missing Art. 9 Basis", IF(OR(I1283="Invalid - Not Freely Given", I1283="Invalid - Not Specific", I1283="Invalid - Not Informed", I1283="Invalid - Ambiguous"), "Gap - Invalid Consent", "Compliant")))))</f>
        <v/>
      </c>
      <c r="O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>
        <f>IF(D1284="Legitimate Interest (GDPR Art. 6(1)(f))", "Yes / Required (Sheet 3)", "")</f>
        <v/>
      </c>
      <c r="L1284" s="7" t="n"/>
      <c r="M1284" s="7" t="n"/>
      <c r="N1284">
        <f>IF(D1284="", "Gap - No Legal Basis", IF(AND(D1284="Consent (GDPR Art. 6(1)(a))", I1284="Not Captured"), "Gap - Invalid Consent", IF(AND(D1284="Legitimate Interest (GDPR Art. 6(1)(f))", L1284=""), "Gap - Missing LIA", IF(AND(G1284="Yes", H1284=""), "Gap - Missing Art. 9 Basis", IF(OR(I1284="Invalid - Not Freely Given", I1284="Invalid - Not Specific", I1284="Invalid - Not Informed", I1284="Invalid - Ambiguous"), "Gap - Invalid Consent", "Compliant")))))</f>
        <v/>
      </c>
      <c r="O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>
        <f>IF(D1285="Legitimate Interest (GDPR Art. 6(1)(f))", "Yes / Required (Sheet 3)", "")</f>
        <v/>
      </c>
      <c r="L1285" s="7" t="n"/>
      <c r="M1285" s="7" t="n"/>
      <c r="N1285">
        <f>IF(D1285="", "Gap - No Legal Basis", IF(AND(D1285="Consent (GDPR Art. 6(1)(a))", I1285="Not Captured"), "Gap - Invalid Consent", IF(AND(D1285="Legitimate Interest (GDPR Art. 6(1)(f))", L1285=""), "Gap - Missing LIA", IF(AND(G1285="Yes", H1285=""), "Gap - Missing Art. 9 Basis", IF(OR(I1285="Invalid - Not Freely Given", I1285="Invalid - Not Specific", I1285="Invalid - Not Informed", I1285="Invalid - Ambiguous"), "Gap - Invalid Consent", "Compliant")))))</f>
        <v/>
      </c>
      <c r="O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>
        <f>IF(D1286="Legitimate Interest (GDPR Art. 6(1)(f))", "Yes / Required (Sheet 3)", "")</f>
        <v/>
      </c>
      <c r="L1286" s="7" t="n"/>
      <c r="M1286" s="7" t="n"/>
      <c r="N1286">
        <f>IF(D1286="", "Gap - No Legal Basis", IF(AND(D1286="Consent (GDPR Art. 6(1)(a))", I1286="Not Captured"), "Gap - Invalid Consent", IF(AND(D1286="Legitimate Interest (GDPR Art. 6(1)(f))", L1286=""), "Gap - Missing LIA", IF(AND(G1286="Yes", H1286=""), "Gap - Missing Art. 9 Basis", IF(OR(I1286="Invalid - Not Freely Given", I1286="Invalid - Not Specific", I1286="Invalid - Not Informed", I1286="Invalid - Ambiguous"), "Gap - Invalid Consent", "Compliant")))))</f>
        <v/>
      </c>
      <c r="O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>
        <f>IF(D1287="Legitimate Interest (GDPR Art. 6(1)(f))", "Yes / Required (Sheet 3)", "")</f>
        <v/>
      </c>
      <c r="L1287" s="7" t="n"/>
      <c r="M1287" s="7" t="n"/>
      <c r="N1287">
        <f>IF(D1287="", "Gap - No Legal Basis", IF(AND(D1287="Consent (GDPR Art. 6(1)(a))", I1287="Not Captured"), "Gap - Invalid Consent", IF(AND(D1287="Legitimate Interest (GDPR Art. 6(1)(f))", L1287=""), "Gap - Missing LIA", IF(AND(G1287="Yes", H1287=""), "Gap - Missing Art. 9 Basis", IF(OR(I1287="Invalid - Not Freely Given", I1287="Invalid - Not Specific", I1287="Invalid - Not Informed", I1287="Invalid - Ambiguous"), "Gap - Invalid Consent", "Compliant")))))</f>
        <v/>
      </c>
      <c r="O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>
        <f>IF(D1288="Legitimate Interest (GDPR Art. 6(1)(f))", "Yes / Required (Sheet 3)", "")</f>
        <v/>
      </c>
      <c r="L1288" s="7" t="n"/>
      <c r="M1288" s="7" t="n"/>
      <c r="N1288">
        <f>IF(D1288="", "Gap - No Legal Basis", IF(AND(D1288="Consent (GDPR Art. 6(1)(a))", I1288="Not Captured"), "Gap - Invalid Consent", IF(AND(D1288="Legitimate Interest (GDPR Art. 6(1)(f))", L1288=""), "Gap - Missing LIA", IF(AND(G1288="Yes", H1288=""), "Gap - Missing Art. 9 Basis", IF(OR(I1288="Invalid - Not Freely Given", I1288="Invalid - Not Specific", I1288="Invalid - Not Informed", I1288="Invalid - Ambiguous"), "Gap - Invalid Consent", "Compliant")))))</f>
        <v/>
      </c>
      <c r="O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>
        <f>IF(D1289="Legitimate Interest (GDPR Art. 6(1)(f))", "Yes / Required (Sheet 3)", "")</f>
        <v/>
      </c>
      <c r="L1289" s="7" t="n"/>
      <c r="M1289" s="7" t="n"/>
      <c r="N1289">
        <f>IF(D1289="", "Gap - No Legal Basis", IF(AND(D1289="Consent (GDPR Art. 6(1)(a))", I1289="Not Captured"), "Gap - Invalid Consent", IF(AND(D1289="Legitimate Interest (GDPR Art. 6(1)(f))", L1289=""), "Gap - Missing LIA", IF(AND(G1289="Yes", H1289=""), "Gap - Missing Art. 9 Basis", IF(OR(I1289="Invalid - Not Freely Given", I1289="Invalid - Not Specific", I1289="Invalid - Not Informed", I1289="Invalid - Ambiguous"), "Gap - Invalid Consent", "Compliant")))))</f>
        <v/>
      </c>
      <c r="O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>
        <f>IF(D1290="Legitimate Interest (GDPR Art. 6(1)(f))", "Yes / Required (Sheet 3)", "")</f>
        <v/>
      </c>
      <c r="L1290" s="7" t="n"/>
      <c r="M1290" s="7" t="n"/>
      <c r="N1290">
        <f>IF(D1290="", "Gap - No Legal Basis", IF(AND(D1290="Consent (GDPR Art. 6(1)(a))", I1290="Not Captured"), "Gap - Invalid Consent", IF(AND(D1290="Legitimate Interest (GDPR Art. 6(1)(f))", L1290=""), "Gap - Missing LIA", IF(AND(G1290="Yes", H1290=""), "Gap - Missing Art. 9 Basis", IF(OR(I1290="Invalid - Not Freely Given", I1290="Invalid - Not Specific", I1290="Invalid - Not Informed", I1290="Invalid - Ambiguous"), "Gap - Invalid Consent", "Compliant")))))</f>
        <v/>
      </c>
      <c r="O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>
        <f>IF(D1291="Legitimate Interest (GDPR Art. 6(1)(f))", "Yes / Required (Sheet 3)", "")</f>
        <v/>
      </c>
      <c r="L1291" s="7" t="n"/>
      <c r="M1291" s="7" t="n"/>
      <c r="N1291">
        <f>IF(D1291="", "Gap - No Legal Basis", IF(AND(D1291="Consent (GDPR Art. 6(1)(a))", I1291="Not Captured"), "Gap - Invalid Consent", IF(AND(D1291="Legitimate Interest (GDPR Art. 6(1)(f))", L1291=""), "Gap - Missing LIA", IF(AND(G1291="Yes", H1291=""), "Gap - Missing Art. 9 Basis", IF(OR(I1291="Invalid - Not Freely Given", I1291="Invalid - Not Specific", I1291="Invalid - Not Informed", I1291="Invalid - Ambiguous"), "Gap - Invalid Consent", "Compliant")))))</f>
        <v/>
      </c>
      <c r="O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>
        <f>IF(D1292="Legitimate Interest (GDPR Art. 6(1)(f))", "Yes / Required (Sheet 3)", "")</f>
        <v/>
      </c>
      <c r="L1292" s="7" t="n"/>
      <c r="M1292" s="7" t="n"/>
      <c r="N1292">
        <f>IF(D1292="", "Gap - No Legal Basis", IF(AND(D1292="Consent (GDPR Art. 6(1)(a))", I1292="Not Captured"), "Gap - Invalid Consent", IF(AND(D1292="Legitimate Interest (GDPR Art. 6(1)(f))", L1292=""), "Gap - Missing LIA", IF(AND(G1292="Yes", H1292=""), "Gap - Missing Art. 9 Basis", IF(OR(I1292="Invalid - Not Freely Given", I1292="Invalid - Not Specific", I1292="Invalid - Not Informed", I1292="Invalid - Ambiguous"), "Gap - Invalid Consent", "Compliant")))))</f>
        <v/>
      </c>
      <c r="O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>
        <f>IF(D1293="Legitimate Interest (GDPR Art. 6(1)(f))", "Yes / Required (Sheet 3)", "")</f>
        <v/>
      </c>
      <c r="L1293" s="7" t="n"/>
      <c r="M1293" s="7" t="n"/>
      <c r="N1293">
        <f>IF(D1293="", "Gap - No Legal Basis", IF(AND(D1293="Consent (GDPR Art. 6(1)(a))", I1293="Not Captured"), "Gap - Invalid Consent", IF(AND(D1293="Legitimate Interest (GDPR Art. 6(1)(f))", L1293=""), "Gap - Missing LIA", IF(AND(G1293="Yes", H1293=""), "Gap - Missing Art. 9 Basis", IF(OR(I1293="Invalid - Not Freely Given", I1293="Invalid - Not Specific", I1293="Invalid - Not Informed", I1293="Invalid - Ambiguous"), "Gap - Invalid Consent", "Compliant")))))</f>
        <v/>
      </c>
      <c r="O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>
        <f>IF(D1294="Legitimate Interest (GDPR Art. 6(1)(f))", "Yes / Required (Sheet 3)", "")</f>
        <v/>
      </c>
      <c r="L1294" s="7" t="n"/>
      <c r="M1294" s="7" t="n"/>
      <c r="N1294">
        <f>IF(D1294="", "Gap - No Legal Basis", IF(AND(D1294="Consent (GDPR Art. 6(1)(a))", I1294="Not Captured"), "Gap - Invalid Consent", IF(AND(D1294="Legitimate Interest (GDPR Art. 6(1)(f))", L1294=""), "Gap - Missing LIA", IF(AND(G1294="Yes", H1294=""), "Gap - Missing Art. 9 Basis", IF(OR(I1294="Invalid - Not Freely Given", I1294="Invalid - Not Specific", I1294="Invalid - Not Informed", I1294="Invalid - Ambiguous"), "Gap - Invalid Consent", "Compliant")))))</f>
        <v/>
      </c>
      <c r="O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>
        <f>IF(D1295="Legitimate Interest (GDPR Art. 6(1)(f))", "Yes / Required (Sheet 3)", "")</f>
        <v/>
      </c>
      <c r="L1295" s="7" t="n"/>
      <c r="M1295" s="7" t="n"/>
      <c r="N1295">
        <f>IF(D1295="", "Gap - No Legal Basis", IF(AND(D1295="Consent (GDPR Art. 6(1)(a))", I1295="Not Captured"), "Gap - Invalid Consent", IF(AND(D1295="Legitimate Interest (GDPR Art. 6(1)(f))", L1295=""), "Gap - Missing LIA", IF(AND(G1295="Yes", H1295=""), "Gap - Missing Art. 9 Basis", IF(OR(I1295="Invalid - Not Freely Given", I1295="Invalid - Not Specific", I1295="Invalid - Not Informed", I1295="Invalid - Ambiguous"), "Gap - Invalid Consent", "Compliant")))))</f>
        <v/>
      </c>
      <c r="O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>
        <f>IF(D1296="Legitimate Interest (GDPR Art. 6(1)(f))", "Yes / Required (Sheet 3)", "")</f>
        <v/>
      </c>
      <c r="L1296" s="7" t="n"/>
      <c r="M1296" s="7" t="n"/>
      <c r="N1296">
        <f>IF(D1296="", "Gap - No Legal Basis", IF(AND(D1296="Consent (GDPR Art. 6(1)(a))", I1296="Not Captured"), "Gap - Invalid Consent", IF(AND(D1296="Legitimate Interest (GDPR Art. 6(1)(f))", L1296=""), "Gap - Missing LIA", IF(AND(G1296="Yes", H1296=""), "Gap - Missing Art. 9 Basis", IF(OR(I1296="Invalid - Not Freely Given", I1296="Invalid - Not Specific", I1296="Invalid - Not Informed", I1296="Invalid - Ambiguous"), "Gap - Invalid Consent", "Compliant")))))</f>
        <v/>
      </c>
      <c r="O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>
        <f>IF(D1297="Legitimate Interest (GDPR Art. 6(1)(f))", "Yes / Required (Sheet 3)", "")</f>
        <v/>
      </c>
      <c r="L1297" s="7" t="n"/>
      <c r="M1297" s="7" t="n"/>
      <c r="N1297">
        <f>IF(D1297="", "Gap - No Legal Basis", IF(AND(D1297="Consent (GDPR Art. 6(1)(a))", I1297="Not Captured"), "Gap - Invalid Consent", IF(AND(D1297="Legitimate Interest (GDPR Art. 6(1)(f))", L1297=""), "Gap - Missing LIA", IF(AND(G1297="Yes", H1297=""), "Gap - Missing Art. 9 Basis", IF(OR(I1297="Invalid - Not Freely Given", I1297="Invalid - Not Specific", I1297="Invalid - Not Informed", I1297="Invalid - Ambiguous"), "Gap - Invalid Consent", "Compliant")))))</f>
        <v/>
      </c>
      <c r="O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>
        <f>IF(D1298="Legitimate Interest (GDPR Art. 6(1)(f))", "Yes / Required (Sheet 3)", "")</f>
        <v/>
      </c>
      <c r="L1298" s="7" t="n"/>
      <c r="M1298" s="7" t="n"/>
      <c r="N1298">
        <f>IF(D1298="", "Gap - No Legal Basis", IF(AND(D1298="Consent (GDPR Art. 6(1)(a))", I1298="Not Captured"), "Gap - Invalid Consent", IF(AND(D1298="Legitimate Interest (GDPR Art. 6(1)(f))", L1298=""), "Gap - Missing LIA", IF(AND(G1298="Yes", H1298=""), "Gap - Missing Art. 9 Basis", IF(OR(I1298="Invalid - Not Freely Given", I1298="Invalid - Not Specific", I1298="Invalid - Not Informed", I1298="Invalid - Ambiguous"), "Gap - Invalid Consent", "Compliant")))))</f>
        <v/>
      </c>
      <c r="O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>
        <f>IF(D1299="Legitimate Interest (GDPR Art. 6(1)(f))", "Yes / Required (Sheet 3)", "")</f>
        <v/>
      </c>
      <c r="L1299" s="7" t="n"/>
      <c r="M1299" s="7" t="n"/>
      <c r="N1299">
        <f>IF(D1299="", "Gap - No Legal Basis", IF(AND(D1299="Consent (GDPR Art. 6(1)(a))", I1299="Not Captured"), "Gap - Invalid Consent", IF(AND(D1299="Legitimate Interest (GDPR Art. 6(1)(f))", L1299=""), "Gap - Missing LIA", IF(AND(G1299="Yes", H1299=""), "Gap - Missing Art. 9 Basis", IF(OR(I1299="Invalid - Not Freely Given", I1299="Invalid - Not Specific", I1299="Invalid - Not Informed", I1299="Invalid - Ambiguous"), "Gap - Invalid Consent", "Compliant")))))</f>
        <v/>
      </c>
      <c r="O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>
        <f>IF(D1300="Legitimate Interest (GDPR Art. 6(1)(f))", "Yes / Required (Sheet 3)", "")</f>
        <v/>
      </c>
      <c r="L1300" s="7" t="n"/>
      <c r="M1300" s="7" t="n"/>
      <c r="N1300">
        <f>IF(D1300="", "Gap - No Legal Basis", IF(AND(D1300="Consent (GDPR Art. 6(1)(a))", I1300="Not Captured"), "Gap - Invalid Consent", IF(AND(D1300="Legitimate Interest (GDPR Art. 6(1)(f))", L1300=""), "Gap - Missing LIA", IF(AND(G1300="Yes", H1300=""), "Gap - Missing Art. 9 Basis", IF(OR(I1300="Invalid - Not Freely Given", I1300="Invalid - Not Specific", I1300="Invalid - Not Informed", I1300="Invalid - Ambiguous"), "Gap - Invalid Consent", "Compliant")))))</f>
        <v/>
      </c>
      <c r="O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>
        <f>IF(D1301="Legitimate Interest (GDPR Art. 6(1)(f))", "Yes / Required (Sheet 3)", "")</f>
        <v/>
      </c>
      <c r="L1301" s="7" t="n"/>
      <c r="M1301" s="7" t="n"/>
      <c r="N1301">
        <f>IF(D1301="", "Gap - No Legal Basis", IF(AND(D1301="Consent (GDPR Art. 6(1)(a))", I1301="Not Captured"), "Gap - Invalid Consent", IF(AND(D1301="Legitimate Interest (GDPR Art. 6(1)(f))", L1301=""), "Gap - Missing LIA", IF(AND(G1301="Yes", H1301=""), "Gap - Missing Art. 9 Basis", IF(OR(I1301="Invalid - Not Freely Given", I1301="Invalid - Not Specific", I1301="Invalid - Not Informed", I1301="Invalid - Ambiguous"), "Gap - Invalid Consent", "Compliant")))))</f>
        <v/>
      </c>
      <c r="O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>
        <f>IF(D1302="Legitimate Interest (GDPR Art. 6(1)(f))", "Yes / Required (Sheet 3)", "")</f>
        <v/>
      </c>
      <c r="L1302" s="7" t="n"/>
      <c r="M1302" s="7" t="n"/>
      <c r="N1302">
        <f>IF(D1302="", "Gap - No Legal Basis", IF(AND(D1302="Consent (GDPR Art. 6(1)(a))", I1302="Not Captured"), "Gap - Invalid Consent", IF(AND(D1302="Legitimate Interest (GDPR Art. 6(1)(f))", L1302=""), "Gap - Missing LIA", IF(AND(G1302="Yes", H1302=""), "Gap - Missing Art. 9 Basis", IF(OR(I1302="Invalid - Not Freely Given", I1302="Invalid - Not Specific", I1302="Invalid - Not Informed", I1302="Invalid - Ambiguous"), "Gap - Invalid Consent", "Compliant")))))</f>
        <v/>
      </c>
      <c r="O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>
        <f>IF(D1303="Legitimate Interest (GDPR Art. 6(1)(f))", "Yes / Required (Sheet 3)", "")</f>
        <v/>
      </c>
      <c r="L1303" s="7" t="n"/>
      <c r="M1303" s="7" t="n"/>
      <c r="N1303">
        <f>IF(D1303="", "Gap - No Legal Basis", IF(AND(D1303="Consent (GDPR Art. 6(1)(a))", I1303="Not Captured"), "Gap - Invalid Consent", IF(AND(D1303="Legitimate Interest (GDPR Art. 6(1)(f))", L1303=""), "Gap - Missing LIA", IF(AND(G1303="Yes", H1303=""), "Gap - Missing Art. 9 Basis", IF(OR(I1303="Invalid - Not Freely Given", I1303="Invalid - Not Specific", I1303="Invalid - Not Informed", I1303="Invalid - Ambiguous"), "Gap - Invalid Consent", "Compliant")))))</f>
        <v/>
      </c>
      <c r="O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>
        <f>IF(D1304="Legitimate Interest (GDPR Art. 6(1)(f))", "Yes / Required (Sheet 3)", "")</f>
        <v/>
      </c>
      <c r="L1304" s="7" t="n"/>
      <c r="M1304" s="7" t="n"/>
      <c r="N1304">
        <f>IF(D1304="", "Gap - No Legal Basis", IF(AND(D1304="Consent (GDPR Art. 6(1)(a))", I1304="Not Captured"), "Gap - Invalid Consent", IF(AND(D1304="Legitimate Interest (GDPR Art. 6(1)(f))", L1304=""), "Gap - Missing LIA", IF(AND(G1304="Yes", H1304=""), "Gap - Missing Art. 9 Basis", IF(OR(I1304="Invalid - Not Freely Given", I1304="Invalid - Not Specific", I1304="Invalid - Not Informed", I1304="Invalid - Ambiguous"), "Gap - Invalid Consent", "Compliant")))))</f>
        <v/>
      </c>
      <c r="O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>
        <f>IF(D1305="Legitimate Interest (GDPR Art. 6(1)(f))", "Yes / Required (Sheet 3)", "")</f>
        <v/>
      </c>
      <c r="L1305" s="7" t="n"/>
      <c r="M1305" s="7" t="n"/>
      <c r="N1305">
        <f>IF(D1305="", "Gap - No Legal Basis", IF(AND(D1305="Consent (GDPR Art. 6(1)(a))", I1305="Not Captured"), "Gap - Invalid Consent", IF(AND(D1305="Legitimate Interest (GDPR Art. 6(1)(f))", L1305=""), "Gap - Missing LIA", IF(AND(G1305="Yes", H1305=""), "Gap - Missing Art. 9 Basis", IF(OR(I1305="Invalid - Not Freely Given", I1305="Invalid - Not Specific", I1305="Invalid - Not Informed", I1305="Invalid - Ambiguous"), "Gap - Invalid Consent", "Compliant")))))</f>
        <v/>
      </c>
      <c r="O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>
        <f>IF(D1306="Legitimate Interest (GDPR Art. 6(1)(f))", "Yes / Required (Sheet 3)", "")</f>
        <v/>
      </c>
      <c r="L1306" s="7" t="n"/>
      <c r="M1306" s="7" t="n"/>
      <c r="N1306">
        <f>IF(D1306="", "Gap - No Legal Basis", IF(AND(D1306="Consent (GDPR Art. 6(1)(a))", I1306="Not Captured"), "Gap - Invalid Consent", IF(AND(D1306="Legitimate Interest (GDPR Art. 6(1)(f))", L1306=""), "Gap - Missing LIA", IF(AND(G1306="Yes", H1306=""), "Gap - Missing Art. 9 Basis", IF(OR(I1306="Invalid - Not Freely Given", I1306="Invalid - Not Specific", I1306="Invalid - Not Informed", I1306="Invalid - Ambiguous"), "Gap - Invalid Consent", "Compliant")))))</f>
        <v/>
      </c>
      <c r="O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>
        <f>IF(D1307="Legitimate Interest (GDPR Art. 6(1)(f))", "Yes / Required (Sheet 3)", "")</f>
        <v/>
      </c>
      <c r="L1307" s="7" t="n"/>
      <c r="M1307" s="7" t="n"/>
      <c r="N1307">
        <f>IF(D1307="", "Gap - No Legal Basis", IF(AND(D1307="Consent (GDPR Art. 6(1)(a))", I1307="Not Captured"), "Gap - Invalid Consent", IF(AND(D1307="Legitimate Interest (GDPR Art. 6(1)(f))", L1307=""), "Gap - Missing LIA", IF(AND(G1307="Yes", H1307=""), "Gap - Missing Art. 9 Basis", IF(OR(I1307="Invalid - Not Freely Given", I1307="Invalid - Not Specific", I1307="Invalid - Not Informed", I1307="Invalid - Ambiguous"), "Gap - Invalid Consent", "Compliant")))))</f>
        <v/>
      </c>
      <c r="O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>
        <f>IF(D1308="Legitimate Interest (GDPR Art. 6(1)(f))", "Yes / Required (Sheet 3)", "")</f>
        <v/>
      </c>
      <c r="L1308" s="7" t="n"/>
      <c r="M1308" s="7" t="n"/>
      <c r="N1308">
        <f>IF(D1308="", "Gap - No Legal Basis", IF(AND(D1308="Consent (GDPR Art. 6(1)(a))", I1308="Not Captured"), "Gap - Invalid Consent", IF(AND(D1308="Legitimate Interest (GDPR Art. 6(1)(f))", L1308=""), "Gap - Missing LIA", IF(AND(G1308="Yes", H1308=""), "Gap - Missing Art. 9 Basis", IF(OR(I1308="Invalid - Not Freely Given", I1308="Invalid - Not Specific", I1308="Invalid - Not Informed", I1308="Invalid - Ambiguous"), "Gap - Invalid Consent", "Compliant")))))</f>
        <v/>
      </c>
      <c r="O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>
        <f>IF(D1309="Legitimate Interest (GDPR Art. 6(1)(f))", "Yes / Required (Sheet 3)", "")</f>
        <v/>
      </c>
      <c r="L1309" s="7" t="n"/>
      <c r="M1309" s="7" t="n"/>
      <c r="N1309">
        <f>IF(D1309="", "Gap - No Legal Basis", IF(AND(D1309="Consent (GDPR Art. 6(1)(a))", I1309="Not Captured"), "Gap - Invalid Consent", IF(AND(D1309="Legitimate Interest (GDPR Art. 6(1)(f))", L1309=""), "Gap - Missing LIA", IF(AND(G1309="Yes", H1309=""), "Gap - Missing Art. 9 Basis", IF(OR(I1309="Invalid - Not Freely Given", I1309="Invalid - Not Specific", I1309="Invalid - Not Informed", I1309="Invalid - Ambiguous"), "Gap - Invalid Consent", "Compliant")))))</f>
        <v/>
      </c>
      <c r="O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>
        <f>IF(D1310="Legitimate Interest (GDPR Art. 6(1)(f))", "Yes / Required (Sheet 3)", "")</f>
        <v/>
      </c>
      <c r="L1310" s="7" t="n"/>
      <c r="M1310" s="7" t="n"/>
      <c r="N1310">
        <f>IF(D1310="", "Gap - No Legal Basis", IF(AND(D1310="Consent (GDPR Art. 6(1)(a))", I1310="Not Captured"), "Gap - Invalid Consent", IF(AND(D1310="Legitimate Interest (GDPR Art. 6(1)(f))", L1310=""), "Gap - Missing LIA", IF(AND(G1310="Yes", H1310=""), "Gap - Missing Art. 9 Basis", IF(OR(I1310="Invalid - Not Freely Given", I1310="Invalid - Not Specific", I1310="Invalid - Not Informed", I1310="Invalid - Ambiguous"), "Gap - Invalid Consent", "Compliant")))))</f>
        <v/>
      </c>
      <c r="O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>
        <f>IF(D1311="Legitimate Interest (GDPR Art. 6(1)(f))", "Yes / Required (Sheet 3)", "")</f>
        <v/>
      </c>
      <c r="L1311" s="7" t="n"/>
      <c r="M1311" s="7" t="n"/>
      <c r="N1311">
        <f>IF(D1311="", "Gap - No Legal Basis", IF(AND(D1311="Consent (GDPR Art. 6(1)(a))", I1311="Not Captured"), "Gap - Invalid Consent", IF(AND(D1311="Legitimate Interest (GDPR Art. 6(1)(f))", L1311=""), "Gap - Missing LIA", IF(AND(G1311="Yes", H1311=""), "Gap - Missing Art. 9 Basis", IF(OR(I1311="Invalid - Not Freely Given", I1311="Invalid - Not Specific", I1311="Invalid - Not Informed", I1311="Invalid - Ambiguous"), "Gap - Invalid Consent", "Compliant")))))</f>
        <v/>
      </c>
      <c r="O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>
        <f>IF(D1312="Legitimate Interest (GDPR Art. 6(1)(f))", "Yes / Required (Sheet 3)", "")</f>
        <v/>
      </c>
      <c r="L1312" s="7" t="n"/>
      <c r="M1312" s="7" t="n"/>
      <c r="N1312">
        <f>IF(D1312="", "Gap - No Legal Basis", IF(AND(D1312="Consent (GDPR Art. 6(1)(a))", I1312="Not Captured"), "Gap - Invalid Consent", IF(AND(D1312="Legitimate Interest (GDPR Art. 6(1)(f))", L1312=""), "Gap - Missing LIA", IF(AND(G1312="Yes", H1312=""), "Gap - Missing Art. 9 Basis", IF(OR(I1312="Invalid - Not Freely Given", I1312="Invalid - Not Specific", I1312="Invalid - Not Informed", I1312="Invalid - Ambiguous"), "Gap - Invalid Consent", "Compliant")))))</f>
        <v/>
      </c>
      <c r="O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>
        <f>IF(D1313="Legitimate Interest (GDPR Art. 6(1)(f))", "Yes / Required (Sheet 3)", "")</f>
        <v/>
      </c>
      <c r="L1313" s="7" t="n"/>
      <c r="M1313" s="7" t="n"/>
      <c r="N1313">
        <f>IF(D1313="", "Gap - No Legal Basis", IF(AND(D1313="Consent (GDPR Art. 6(1)(a))", I1313="Not Captured"), "Gap - Invalid Consent", IF(AND(D1313="Legitimate Interest (GDPR Art. 6(1)(f))", L1313=""), "Gap - Missing LIA", IF(AND(G1313="Yes", H1313=""), "Gap - Missing Art. 9 Basis", IF(OR(I1313="Invalid - Not Freely Given", I1313="Invalid - Not Specific", I1313="Invalid - Not Informed", I1313="Invalid - Ambiguous"), "Gap - Invalid Consent", "Compliant")))))</f>
        <v/>
      </c>
      <c r="O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>
        <f>IF(D1314="Legitimate Interest (GDPR Art. 6(1)(f))", "Yes / Required (Sheet 3)", "")</f>
        <v/>
      </c>
      <c r="L1314" s="7" t="n"/>
      <c r="M1314" s="7" t="n"/>
      <c r="N1314">
        <f>IF(D1314="", "Gap - No Legal Basis", IF(AND(D1314="Consent (GDPR Art. 6(1)(a))", I1314="Not Captured"), "Gap - Invalid Consent", IF(AND(D1314="Legitimate Interest (GDPR Art. 6(1)(f))", L1314=""), "Gap - Missing LIA", IF(AND(G1314="Yes", H1314=""), "Gap - Missing Art. 9 Basis", IF(OR(I1314="Invalid - Not Freely Given", I1314="Invalid - Not Specific", I1314="Invalid - Not Informed", I1314="Invalid - Ambiguous"), "Gap - Invalid Consent", "Compliant")))))</f>
        <v/>
      </c>
      <c r="O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>
        <f>IF(D1315="Legitimate Interest (GDPR Art. 6(1)(f))", "Yes / Required (Sheet 3)", "")</f>
        <v/>
      </c>
      <c r="L1315" s="7" t="n"/>
      <c r="M1315" s="7" t="n"/>
      <c r="N1315">
        <f>IF(D1315="", "Gap - No Legal Basis", IF(AND(D1315="Consent (GDPR Art. 6(1)(a))", I1315="Not Captured"), "Gap - Invalid Consent", IF(AND(D1315="Legitimate Interest (GDPR Art. 6(1)(f))", L1315=""), "Gap - Missing LIA", IF(AND(G1315="Yes", H1315=""), "Gap - Missing Art. 9 Basis", IF(OR(I1315="Invalid - Not Freely Given", I1315="Invalid - Not Specific", I1315="Invalid - Not Informed", I1315="Invalid - Ambiguous"), "Gap - Invalid Consent", "Compliant")))))</f>
        <v/>
      </c>
      <c r="O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>
        <f>IF(D1316="Legitimate Interest (GDPR Art. 6(1)(f))", "Yes / Required (Sheet 3)", "")</f>
        <v/>
      </c>
      <c r="L1316" s="7" t="n"/>
      <c r="M1316" s="7" t="n"/>
      <c r="N1316">
        <f>IF(D1316="", "Gap - No Legal Basis", IF(AND(D1316="Consent (GDPR Art. 6(1)(a))", I1316="Not Captured"), "Gap - Invalid Consent", IF(AND(D1316="Legitimate Interest (GDPR Art. 6(1)(f))", L1316=""), "Gap - Missing LIA", IF(AND(G1316="Yes", H1316=""), "Gap - Missing Art. 9 Basis", IF(OR(I1316="Invalid - Not Freely Given", I1316="Invalid - Not Specific", I1316="Invalid - Not Informed", I1316="Invalid - Ambiguous"), "Gap - Invalid Consent", "Compliant")))))</f>
        <v/>
      </c>
      <c r="O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>
        <f>IF(D1317="Legitimate Interest (GDPR Art. 6(1)(f))", "Yes / Required (Sheet 3)", "")</f>
        <v/>
      </c>
      <c r="L1317" s="7" t="n"/>
      <c r="M1317" s="7" t="n"/>
      <c r="N1317">
        <f>IF(D1317="", "Gap - No Legal Basis", IF(AND(D1317="Consent (GDPR Art. 6(1)(a))", I1317="Not Captured"), "Gap - Invalid Consent", IF(AND(D1317="Legitimate Interest (GDPR Art. 6(1)(f))", L1317=""), "Gap - Missing LIA", IF(AND(G1317="Yes", H1317=""), "Gap - Missing Art. 9 Basis", IF(OR(I1317="Invalid - Not Freely Given", I1317="Invalid - Not Specific", I1317="Invalid - Not Informed", I1317="Invalid - Ambiguous"), "Gap - Invalid Consent", "Compliant")))))</f>
        <v/>
      </c>
      <c r="O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>
        <f>IF(D1318="Legitimate Interest (GDPR Art. 6(1)(f))", "Yes / Required (Sheet 3)", "")</f>
        <v/>
      </c>
      <c r="L1318" s="7" t="n"/>
      <c r="M1318" s="7" t="n"/>
      <c r="N1318">
        <f>IF(D1318="", "Gap - No Legal Basis", IF(AND(D1318="Consent (GDPR Art. 6(1)(a))", I1318="Not Captured"), "Gap - Invalid Consent", IF(AND(D1318="Legitimate Interest (GDPR Art. 6(1)(f))", L1318=""), "Gap - Missing LIA", IF(AND(G1318="Yes", H1318=""), "Gap - Missing Art. 9 Basis", IF(OR(I1318="Invalid - Not Freely Given", I1318="Invalid - Not Specific", I1318="Invalid - Not Informed", I1318="Invalid - Ambiguous"), "Gap - Invalid Consent", "Compliant")))))</f>
        <v/>
      </c>
      <c r="O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>
        <f>IF(D1319="Legitimate Interest (GDPR Art. 6(1)(f))", "Yes / Required (Sheet 3)", "")</f>
        <v/>
      </c>
      <c r="L1319" s="7" t="n"/>
      <c r="M1319" s="7" t="n"/>
      <c r="N1319">
        <f>IF(D1319="", "Gap - No Legal Basis", IF(AND(D1319="Consent (GDPR Art. 6(1)(a))", I1319="Not Captured"), "Gap - Invalid Consent", IF(AND(D1319="Legitimate Interest (GDPR Art. 6(1)(f))", L1319=""), "Gap - Missing LIA", IF(AND(G1319="Yes", H1319=""), "Gap - Missing Art. 9 Basis", IF(OR(I1319="Invalid - Not Freely Given", I1319="Invalid - Not Specific", I1319="Invalid - Not Informed", I1319="Invalid - Ambiguous"), "Gap - Invalid Consent", "Compliant")))))</f>
        <v/>
      </c>
      <c r="O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>
        <f>IF(D1320="Legitimate Interest (GDPR Art. 6(1)(f))", "Yes / Required (Sheet 3)", "")</f>
        <v/>
      </c>
      <c r="L1320" s="7" t="n"/>
      <c r="M1320" s="7" t="n"/>
      <c r="N1320">
        <f>IF(D1320="", "Gap - No Legal Basis", IF(AND(D1320="Consent (GDPR Art. 6(1)(a))", I1320="Not Captured"), "Gap - Invalid Consent", IF(AND(D1320="Legitimate Interest (GDPR Art. 6(1)(f))", L1320=""), "Gap - Missing LIA", IF(AND(G1320="Yes", H1320=""), "Gap - Missing Art. 9 Basis", IF(OR(I1320="Invalid - Not Freely Given", I1320="Invalid - Not Specific", I1320="Invalid - Not Informed", I1320="Invalid - Ambiguous"), "Gap - Invalid Consent", "Compliant")))))</f>
        <v/>
      </c>
      <c r="O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>
        <f>IF(D1321="Legitimate Interest (GDPR Art. 6(1)(f))", "Yes / Required (Sheet 3)", "")</f>
        <v/>
      </c>
      <c r="L1321" s="7" t="n"/>
      <c r="M1321" s="7" t="n"/>
      <c r="N1321">
        <f>IF(D1321="", "Gap - No Legal Basis", IF(AND(D1321="Consent (GDPR Art. 6(1)(a))", I1321="Not Captured"), "Gap - Invalid Consent", IF(AND(D1321="Legitimate Interest (GDPR Art. 6(1)(f))", L1321=""), "Gap - Missing LIA", IF(AND(G1321="Yes", H1321=""), "Gap - Missing Art. 9 Basis", IF(OR(I1321="Invalid - Not Freely Given", I1321="Invalid - Not Specific", I1321="Invalid - Not Informed", I1321="Invalid - Ambiguous"), "Gap - Invalid Consent", "Compliant")))))</f>
        <v/>
      </c>
      <c r="O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>
        <f>IF(D1322="Legitimate Interest (GDPR Art. 6(1)(f))", "Yes / Required (Sheet 3)", "")</f>
        <v/>
      </c>
      <c r="L1322" s="7" t="n"/>
      <c r="M1322" s="7" t="n"/>
      <c r="N1322">
        <f>IF(D1322="", "Gap - No Legal Basis", IF(AND(D1322="Consent (GDPR Art. 6(1)(a))", I1322="Not Captured"), "Gap - Invalid Consent", IF(AND(D1322="Legitimate Interest (GDPR Art. 6(1)(f))", L1322=""), "Gap - Missing LIA", IF(AND(G1322="Yes", H1322=""), "Gap - Missing Art. 9 Basis", IF(OR(I1322="Invalid - Not Freely Given", I1322="Invalid - Not Specific", I1322="Invalid - Not Informed", I1322="Invalid - Ambiguous"), "Gap - Invalid Consent", "Compliant")))))</f>
        <v/>
      </c>
      <c r="O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>
        <f>IF(D1323="Legitimate Interest (GDPR Art. 6(1)(f))", "Yes / Required (Sheet 3)", "")</f>
        <v/>
      </c>
      <c r="L1323" s="7" t="n"/>
      <c r="M1323" s="7" t="n"/>
      <c r="N1323">
        <f>IF(D1323="", "Gap - No Legal Basis", IF(AND(D1323="Consent (GDPR Art. 6(1)(a))", I1323="Not Captured"), "Gap - Invalid Consent", IF(AND(D1323="Legitimate Interest (GDPR Art. 6(1)(f))", L1323=""), "Gap - Missing LIA", IF(AND(G1323="Yes", H1323=""), "Gap - Missing Art. 9 Basis", IF(OR(I1323="Invalid - Not Freely Given", I1323="Invalid - Not Specific", I1323="Invalid - Not Informed", I1323="Invalid - Ambiguous"), "Gap - Invalid Consent", "Compliant")))))</f>
        <v/>
      </c>
      <c r="O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>
        <f>IF(D1324="Legitimate Interest (GDPR Art. 6(1)(f))", "Yes / Required (Sheet 3)", "")</f>
        <v/>
      </c>
      <c r="L1324" s="7" t="n"/>
      <c r="M1324" s="7" t="n"/>
      <c r="N1324">
        <f>IF(D1324="", "Gap - No Legal Basis", IF(AND(D1324="Consent (GDPR Art. 6(1)(a))", I1324="Not Captured"), "Gap - Invalid Consent", IF(AND(D1324="Legitimate Interest (GDPR Art. 6(1)(f))", L1324=""), "Gap - Missing LIA", IF(AND(G1324="Yes", H1324=""), "Gap - Missing Art. 9 Basis", IF(OR(I1324="Invalid - Not Freely Given", I1324="Invalid - Not Specific", I1324="Invalid - Not Informed", I1324="Invalid - Ambiguous"), "Gap - Invalid Consent", "Compliant")))))</f>
        <v/>
      </c>
      <c r="O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>
        <f>IF(D1325="Legitimate Interest (GDPR Art. 6(1)(f))", "Yes / Required (Sheet 3)", "")</f>
        <v/>
      </c>
      <c r="L1325" s="7" t="n"/>
      <c r="M1325" s="7" t="n"/>
      <c r="N1325">
        <f>IF(D1325="", "Gap - No Legal Basis", IF(AND(D1325="Consent (GDPR Art. 6(1)(a))", I1325="Not Captured"), "Gap - Invalid Consent", IF(AND(D1325="Legitimate Interest (GDPR Art. 6(1)(f))", L1325=""), "Gap - Missing LIA", IF(AND(G1325="Yes", H1325=""), "Gap - Missing Art. 9 Basis", IF(OR(I1325="Invalid - Not Freely Given", I1325="Invalid - Not Specific", I1325="Invalid - Not Informed", I1325="Invalid - Ambiguous"), "Gap - Invalid Consent", "Compliant")))))</f>
        <v/>
      </c>
      <c r="O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>
        <f>IF(D1326="Legitimate Interest (GDPR Art. 6(1)(f))", "Yes / Required (Sheet 3)", "")</f>
        <v/>
      </c>
      <c r="L1326" s="7" t="n"/>
      <c r="M1326" s="7" t="n"/>
      <c r="N1326">
        <f>IF(D1326="", "Gap - No Legal Basis", IF(AND(D1326="Consent (GDPR Art. 6(1)(a))", I1326="Not Captured"), "Gap - Invalid Consent", IF(AND(D1326="Legitimate Interest (GDPR Art. 6(1)(f))", L1326=""), "Gap - Missing LIA", IF(AND(G1326="Yes", H1326=""), "Gap - Missing Art. 9 Basis", IF(OR(I1326="Invalid - Not Freely Given", I1326="Invalid - Not Specific", I1326="Invalid - Not Informed", I1326="Invalid - Ambiguous"), "Gap - Invalid Consent", "Compliant")))))</f>
        <v/>
      </c>
      <c r="O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>
        <f>IF(D1327="Legitimate Interest (GDPR Art. 6(1)(f))", "Yes / Required (Sheet 3)", "")</f>
        <v/>
      </c>
      <c r="L1327" s="7" t="n"/>
      <c r="M1327" s="7" t="n"/>
      <c r="N1327">
        <f>IF(D1327="", "Gap - No Legal Basis", IF(AND(D1327="Consent (GDPR Art. 6(1)(a))", I1327="Not Captured"), "Gap - Invalid Consent", IF(AND(D1327="Legitimate Interest (GDPR Art. 6(1)(f))", L1327=""), "Gap - Missing LIA", IF(AND(G1327="Yes", H1327=""), "Gap - Missing Art. 9 Basis", IF(OR(I1327="Invalid - Not Freely Given", I1327="Invalid - Not Specific", I1327="Invalid - Not Informed", I1327="Invalid - Ambiguous"), "Gap - Invalid Consent", "Compliant")))))</f>
        <v/>
      </c>
      <c r="O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>
        <f>IF(D1328="Legitimate Interest (GDPR Art. 6(1)(f))", "Yes / Required (Sheet 3)", "")</f>
        <v/>
      </c>
      <c r="L1328" s="7" t="n"/>
      <c r="M1328" s="7" t="n"/>
      <c r="N1328">
        <f>IF(D1328="", "Gap - No Legal Basis", IF(AND(D1328="Consent (GDPR Art. 6(1)(a))", I1328="Not Captured"), "Gap - Invalid Consent", IF(AND(D1328="Legitimate Interest (GDPR Art. 6(1)(f))", L1328=""), "Gap - Missing LIA", IF(AND(G1328="Yes", H1328=""), "Gap - Missing Art. 9 Basis", IF(OR(I1328="Invalid - Not Freely Given", I1328="Invalid - Not Specific", I1328="Invalid - Not Informed", I1328="Invalid - Ambiguous"), "Gap - Invalid Consent", "Compliant")))))</f>
        <v/>
      </c>
      <c r="O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>
        <f>IF(D1329="Legitimate Interest (GDPR Art. 6(1)(f))", "Yes / Required (Sheet 3)", "")</f>
        <v/>
      </c>
      <c r="L1329" s="7" t="n"/>
      <c r="M1329" s="7" t="n"/>
      <c r="N1329">
        <f>IF(D1329="", "Gap - No Legal Basis", IF(AND(D1329="Consent (GDPR Art. 6(1)(a))", I1329="Not Captured"), "Gap - Invalid Consent", IF(AND(D1329="Legitimate Interest (GDPR Art. 6(1)(f))", L1329=""), "Gap - Missing LIA", IF(AND(G1329="Yes", H1329=""), "Gap - Missing Art. 9 Basis", IF(OR(I1329="Invalid - Not Freely Given", I1329="Invalid - Not Specific", I1329="Invalid - Not Informed", I1329="Invalid - Ambiguous"), "Gap - Invalid Consent", "Compliant")))))</f>
        <v/>
      </c>
      <c r="O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>
        <f>IF(D1330="Legitimate Interest (GDPR Art. 6(1)(f))", "Yes / Required (Sheet 3)", "")</f>
        <v/>
      </c>
      <c r="L1330" s="7" t="n"/>
      <c r="M1330" s="7" t="n"/>
      <c r="N1330">
        <f>IF(D1330="", "Gap - No Legal Basis", IF(AND(D1330="Consent (GDPR Art. 6(1)(a))", I1330="Not Captured"), "Gap - Invalid Consent", IF(AND(D1330="Legitimate Interest (GDPR Art. 6(1)(f))", L1330=""), "Gap - Missing LIA", IF(AND(G1330="Yes", H1330=""), "Gap - Missing Art. 9 Basis", IF(OR(I1330="Invalid - Not Freely Given", I1330="Invalid - Not Specific", I1330="Invalid - Not Informed", I1330="Invalid - Ambiguous"), "Gap - Invalid Consent", "Compliant")))))</f>
        <v/>
      </c>
      <c r="O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>
        <f>IF(D1331="Legitimate Interest (GDPR Art. 6(1)(f))", "Yes / Required (Sheet 3)", "")</f>
        <v/>
      </c>
      <c r="L1331" s="7" t="n"/>
      <c r="M1331" s="7" t="n"/>
      <c r="N1331">
        <f>IF(D1331="", "Gap - No Legal Basis", IF(AND(D1331="Consent (GDPR Art. 6(1)(a))", I1331="Not Captured"), "Gap - Invalid Consent", IF(AND(D1331="Legitimate Interest (GDPR Art. 6(1)(f))", L1331=""), "Gap - Missing LIA", IF(AND(G1331="Yes", H1331=""), "Gap - Missing Art. 9 Basis", IF(OR(I1331="Invalid - Not Freely Given", I1331="Invalid - Not Specific", I1331="Invalid - Not Informed", I1331="Invalid - Ambiguous"), "Gap - Invalid Consent", "Compliant")))))</f>
        <v/>
      </c>
      <c r="O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>
        <f>IF(D1332="Legitimate Interest (GDPR Art. 6(1)(f))", "Yes / Required (Sheet 3)", "")</f>
        <v/>
      </c>
      <c r="L1332" s="7" t="n"/>
      <c r="M1332" s="7" t="n"/>
      <c r="N1332">
        <f>IF(D1332="", "Gap - No Legal Basis", IF(AND(D1332="Consent (GDPR Art. 6(1)(a))", I1332="Not Captured"), "Gap - Invalid Consent", IF(AND(D1332="Legitimate Interest (GDPR Art. 6(1)(f))", L1332=""), "Gap - Missing LIA", IF(AND(G1332="Yes", H1332=""), "Gap - Missing Art. 9 Basis", IF(OR(I1332="Invalid - Not Freely Given", I1332="Invalid - Not Specific", I1332="Invalid - Not Informed", I1332="Invalid - Ambiguous"), "Gap - Invalid Consent", "Compliant")))))</f>
        <v/>
      </c>
      <c r="O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>
        <f>IF(D1333="Legitimate Interest (GDPR Art. 6(1)(f))", "Yes / Required (Sheet 3)", "")</f>
        <v/>
      </c>
      <c r="L1333" s="7" t="n"/>
      <c r="M1333" s="7" t="n"/>
      <c r="N1333">
        <f>IF(D1333="", "Gap - No Legal Basis", IF(AND(D1333="Consent (GDPR Art. 6(1)(a))", I1333="Not Captured"), "Gap - Invalid Consent", IF(AND(D1333="Legitimate Interest (GDPR Art. 6(1)(f))", L1333=""), "Gap - Missing LIA", IF(AND(G1333="Yes", H1333=""), "Gap - Missing Art. 9 Basis", IF(OR(I1333="Invalid - Not Freely Given", I1333="Invalid - Not Specific", I1333="Invalid - Not Informed", I1333="Invalid - Ambiguous"), "Gap - Invalid Consent", "Compliant")))))</f>
        <v/>
      </c>
      <c r="O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>
        <f>IF(D1334="Legitimate Interest (GDPR Art. 6(1)(f))", "Yes / Required (Sheet 3)", "")</f>
        <v/>
      </c>
      <c r="L1334" s="7" t="n"/>
      <c r="M1334" s="7" t="n"/>
      <c r="N1334">
        <f>IF(D1334="", "Gap - No Legal Basis", IF(AND(D1334="Consent (GDPR Art. 6(1)(a))", I1334="Not Captured"), "Gap - Invalid Consent", IF(AND(D1334="Legitimate Interest (GDPR Art. 6(1)(f))", L1334=""), "Gap - Missing LIA", IF(AND(G1334="Yes", H1334=""), "Gap - Missing Art. 9 Basis", IF(OR(I1334="Invalid - Not Freely Given", I1334="Invalid - Not Specific", I1334="Invalid - Not Informed", I1334="Invalid - Ambiguous"), "Gap - Invalid Consent", "Compliant")))))</f>
        <v/>
      </c>
      <c r="O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>
        <f>IF(D1335="Legitimate Interest (GDPR Art. 6(1)(f))", "Yes / Required (Sheet 3)", "")</f>
        <v/>
      </c>
      <c r="L1335" s="7" t="n"/>
      <c r="M1335" s="7" t="n"/>
      <c r="N1335">
        <f>IF(D1335="", "Gap - No Legal Basis", IF(AND(D1335="Consent (GDPR Art. 6(1)(a))", I1335="Not Captured"), "Gap - Invalid Consent", IF(AND(D1335="Legitimate Interest (GDPR Art. 6(1)(f))", L1335=""), "Gap - Missing LIA", IF(AND(G1335="Yes", H1335=""), "Gap - Missing Art. 9 Basis", IF(OR(I1335="Invalid - Not Freely Given", I1335="Invalid - Not Specific", I1335="Invalid - Not Informed", I1335="Invalid - Ambiguous"), "Gap - Invalid Consent", "Compliant")))))</f>
        <v/>
      </c>
      <c r="O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>
        <f>IF(D1336="Legitimate Interest (GDPR Art. 6(1)(f))", "Yes / Required (Sheet 3)", "")</f>
        <v/>
      </c>
      <c r="L1336" s="7" t="n"/>
      <c r="M1336" s="7" t="n"/>
      <c r="N1336">
        <f>IF(D1336="", "Gap - No Legal Basis", IF(AND(D1336="Consent (GDPR Art. 6(1)(a))", I1336="Not Captured"), "Gap - Invalid Consent", IF(AND(D1336="Legitimate Interest (GDPR Art. 6(1)(f))", L1336=""), "Gap - Missing LIA", IF(AND(G1336="Yes", H1336=""), "Gap - Missing Art. 9 Basis", IF(OR(I1336="Invalid - Not Freely Given", I1336="Invalid - Not Specific", I1336="Invalid - Not Informed", I1336="Invalid - Ambiguous"), "Gap - Invalid Consent", "Compliant")))))</f>
        <v/>
      </c>
      <c r="O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>
        <f>IF(D1337="Legitimate Interest (GDPR Art. 6(1)(f))", "Yes / Required (Sheet 3)", "")</f>
        <v/>
      </c>
      <c r="L1337" s="7" t="n"/>
      <c r="M1337" s="7" t="n"/>
      <c r="N1337">
        <f>IF(D1337="", "Gap - No Legal Basis", IF(AND(D1337="Consent (GDPR Art. 6(1)(a))", I1337="Not Captured"), "Gap - Invalid Consent", IF(AND(D1337="Legitimate Interest (GDPR Art. 6(1)(f))", L1337=""), "Gap - Missing LIA", IF(AND(G1337="Yes", H1337=""), "Gap - Missing Art. 9 Basis", IF(OR(I1337="Invalid - Not Freely Given", I1337="Invalid - Not Specific", I1337="Invalid - Not Informed", I1337="Invalid - Ambiguous"), "Gap - Invalid Consent", "Compliant")))))</f>
        <v/>
      </c>
      <c r="O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>
        <f>IF(D1338="Legitimate Interest (GDPR Art. 6(1)(f))", "Yes / Required (Sheet 3)", "")</f>
        <v/>
      </c>
      <c r="L1338" s="7" t="n"/>
      <c r="M1338" s="7" t="n"/>
      <c r="N1338">
        <f>IF(D1338="", "Gap - No Legal Basis", IF(AND(D1338="Consent (GDPR Art. 6(1)(a))", I1338="Not Captured"), "Gap - Invalid Consent", IF(AND(D1338="Legitimate Interest (GDPR Art. 6(1)(f))", L1338=""), "Gap - Missing LIA", IF(AND(G1338="Yes", H1338=""), "Gap - Missing Art. 9 Basis", IF(OR(I1338="Invalid - Not Freely Given", I1338="Invalid - Not Specific", I1338="Invalid - Not Informed", I1338="Invalid - Ambiguous"), "Gap - Invalid Consent", "Compliant")))))</f>
        <v/>
      </c>
      <c r="O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>
        <f>IF(D1339="Legitimate Interest (GDPR Art. 6(1)(f))", "Yes / Required (Sheet 3)", "")</f>
        <v/>
      </c>
      <c r="L1339" s="7" t="n"/>
      <c r="M1339" s="7" t="n"/>
      <c r="N1339">
        <f>IF(D1339="", "Gap - No Legal Basis", IF(AND(D1339="Consent (GDPR Art. 6(1)(a))", I1339="Not Captured"), "Gap - Invalid Consent", IF(AND(D1339="Legitimate Interest (GDPR Art. 6(1)(f))", L1339=""), "Gap - Missing LIA", IF(AND(G1339="Yes", H1339=""), "Gap - Missing Art. 9 Basis", IF(OR(I1339="Invalid - Not Freely Given", I1339="Invalid - Not Specific", I1339="Invalid - Not Informed", I1339="Invalid - Ambiguous"), "Gap - Invalid Consent", "Compliant")))))</f>
        <v/>
      </c>
      <c r="O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>
        <f>IF(D1340="Legitimate Interest (GDPR Art. 6(1)(f))", "Yes / Required (Sheet 3)", "")</f>
        <v/>
      </c>
      <c r="L1340" s="7" t="n"/>
      <c r="M1340" s="7" t="n"/>
      <c r="N1340">
        <f>IF(D1340="", "Gap - No Legal Basis", IF(AND(D1340="Consent (GDPR Art. 6(1)(a))", I1340="Not Captured"), "Gap - Invalid Consent", IF(AND(D1340="Legitimate Interest (GDPR Art. 6(1)(f))", L1340=""), "Gap - Missing LIA", IF(AND(G1340="Yes", H1340=""), "Gap - Missing Art. 9 Basis", IF(OR(I1340="Invalid - Not Freely Given", I1340="Invalid - Not Specific", I1340="Invalid - Not Informed", I1340="Invalid - Ambiguous"), "Gap - Invalid Consent", "Compliant")))))</f>
        <v/>
      </c>
      <c r="O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>
        <f>IF(D1341="Legitimate Interest (GDPR Art. 6(1)(f))", "Yes / Required (Sheet 3)", "")</f>
        <v/>
      </c>
      <c r="L1341" s="7" t="n"/>
      <c r="M1341" s="7" t="n"/>
      <c r="N1341">
        <f>IF(D1341="", "Gap - No Legal Basis", IF(AND(D1341="Consent (GDPR Art. 6(1)(a))", I1341="Not Captured"), "Gap - Invalid Consent", IF(AND(D1341="Legitimate Interest (GDPR Art. 6(1)(f))", L1341=""), "Gap - Missing LIA", IF(AND(G1341="Yes", H1341=""), "Gap - Missing Art. 9 Basis", IF(OR(I1341="Invalid - Not Freely Given", I1341="Invalid - Not Specific", I1341="Invalid - Not Informed", I1341="Invalid - Ambiguous"), "Gap - Invalid Consent", "Compliant")))))</f>
        <v/>
      </c>
      <c r="O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>
        <f>IF(D1342="Legitimate Interest (GDPR Art. 6(1)(f))", "Yes / Required (Sheet 3)", "")</f>
        <v/>
      </c>
      <c r="L1342" s="7" t="n"/>
      <c r="M1342" s="7" t="n"/>
      <c r="N1342">
        <f>IF(D1342="", "Gap - No Legal Basis", IF(AND(D1342="Consent (GDPR Art. 6(1)(a))", I1342="Not Captured"), "Gap - Invalid Consent", IF(AND(D1342="Legitimate Interest (GDPR Art. 6(1)(f))", L1342=""), "Gap - Missing LIA", IF(AND(G1342="Yes", H1342=""), "Gap - Missing Art. 9 Basis", IF(OR(I1342="Invalid - Not Freely Given", I1342="Invalid - Not Specific", I1342="Invalid - Not Informed", I1342="Invalid - Ambiguous"), "Gap - Invalid Consent", "Compliant")))))</f>
        <v/>
      </c>
      <c r="O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>
        <f>IF(D1343="Legitimate Interest (GDPR Art. 6(1)(f))", "Yes / Required (Sheet 3)", "")</f>
        <v/>
      </c>
      <c r="L1343" s="7" t="n"/>
      <c r="M1343" s="7" t="n"/>
      <c r="N1343">
        <f>IF(D1343="", "Gap - No Legal Basis", IF(AND(D1343="Consent (GDPR Art. 6(1)(a))", I1343="Not Captured"), "Gap - Invalid Consent", IF(AND(D1343="Legitimate Interest (GDPR Art. 6(1)(f))", L1343=""), "Gap - Missing LIA", IF(AND(G1343="Yes", H1343=""), "Gap - Missing Art. 9 Basis", IF(OR(I1343="Invalid - Not Freely Given", I1343="Invalid - Not Specific", I1343="Invalid - Not Informed", I1343="Invalid - Ambiguous"), "Gap - Invalid Consent", "Compliant")))))</f>
        <v/>
      </c>
      <c r="O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>
        <f>IF(D1344="Legitimate Interest (GDPR Art. 6(1)(f))", "Yes / Required (Sheet 3)", "")</f>
        <v/>
      </c>
      <c r="L1344" s="7" t="n"/>
      <c r="M1344" s="7" t="n"/>
      <c r="N1344">
        <f>IF(D1344="", "Gap - No Legal Basis", IF(AND(D1344="Consent (GDPR Art. 6(1)(a))", I1344="Not Captured"), "Gap - Invalid Consent", IF(AND(D1344="Legitimate Interest (GDPR Art. 6(1)(f))", L1344=""), "Gap - Missing LIA", IF(AND(G1344="Yes", H1344=""), "Gap - Missing Art. 9 Basis", IF(OR(I1344="Invalid - Not Freely Given", I1344="Invalid - Not Specific", I1344="Invalid - Not Informed", I1344="Invalid - Ambiguous"), "Gap - Invalid Consent", "Compliant")))))</f>
        <v/>
      </c>
      <c r="O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>
        <f>IF(D1345="Legitimate Interest (GDPR Art. 6(1)(f))", "Yes / Required (Sheet 3)", "")</f>
        <v/>
      </c>
      <c r="L1345" s="7" t="n"/>
      <c r="M1345" s="7" t="n"/>
      <c r="N1345">
        <f>IF(D1345="", "Gap - No Legal Basis", IF(AND(D1345="Consent (GDPR Art. 6(1)(a))", I1345="Not Captured"), "Gap - Invalid Consent", IF(AND(D1345="Legitimate Interest (GDPR Art. 6(1)(f))", L1345=""), "Gap - Missing LIA", IF(AND(G1345="Yes", H1345=""), "Gap - Missing Art. 9 Basis", IF(OR(I1345="Invalid - Not Freely Given", I1345="Invalid - Not Specific", I1345="Invalid - Not Informed", I1345="Invalid - Ambiguous"), "Gap - Invalid Consent", "Compliant")))))</f>
        <v/>
      </c>
      <c r="O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>
        <f>IF(D1346="Legitimate Interest (GDPR Art. 6(1)(f))", "Yes / Required (Sheet 3)", "")</f>
        <v/>
      </c>
      <c r="L1346" s="7" t="n"/>
      <c r="M1346" s="7" t="n"/>
      <c r="N1346">
        <f>IF(D1346="", "Gap - No Legal Basis", IF(AND(D1346="Consent (GDPR Art. 6(1)(a))", I1346="Not Captured"), "Gap - Invalid Consent", IF(AND(D1346="Legitimate Interest (GDPR Art. 6(1)(f))", L1346=""), "Gap - Missing LIA", IF(AND(G1346="Yes", H1346=""), "Gap - Missing Art. 9 Basis", IF(OR(I1346="Invalid - Not Freely Given", I1346="Invalid - Not Specific", I1346="Invalid - Not Informed", I1346="Invalid - Ambiguous"), "Gap - Invalid Consent", "Compliant")))))</f>
        <v/>
      </c>
      <c r="O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>
        <f>IF(D1347="Legitimate Interest (GDPR Art. 6(1)(f))", "Yes / Required (Sheet 3)", "")</f>
        <v/>
      </c>
      <c r="L1347" s="7" t="n"/>
      <c r="M1347" s="7" t="n"/>
      <c r="N1347">
        <f>IF(D1347="", "Gap - No Legal Basis", IF(AND(D1347="Consent (GDPR Art. 6(1)(a))", I1347="Not Captured"), "Gap - Invalid Consent", IF(AND(D1347="Legitimate Interest (GDPR Art. 6(1)(f))", L1347=""), "Gap - Missing LIA", IF(AND(G1347="Yes", H1347=""), "Gap - Missing Art. 9 Basis", IF(OR(I1347="Invalid - Not Freely Given", I1347="Invalid - Not Specific", I1347="Invalid - Not Informed", I1347="Invalid - Ambiguous"), "Gap - Invalid Consent", "Compliant")))))</f>
        <v/>
      </c>
      <c r="O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>
        <f>IF(D1348="Legitimate Interest (GDPR Art. 6(1)(f))", "Yes / Required (Sheet 3)", "")</f>
        <v/>
      </c>
      <c r="L1348" s="7" t="n"/>
      <c r="M1348" s="7" t="n"/>
      <c r="N1348">
        <f>IF(D1348="", "Gap - No Legal Basis", IF(AND(D1348="Consent (GDPR Art. 6(1)(a))", I1348="Not Captured"), "Gap - Invalid Consent", IF(AND(D1348="Legitimate Interest (GDPR Art. 6(1)(f))", L1348=""), "Gap - Missing LIA", IF(AND(G1348="Yes", H1348=""), "Gap - Missing Art. 9 Basis", IF(OR(I1348="Invalid - Not Freely Given", I1348="Invalid - Not Specific", I1348="Invalid - Not Informed", I1348="Invalid - Ambiguous"), "Gap - Invalid Consent", "Compliant")))))</f>
        <v/>
      </c>
      <c r="O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>
        <f>IF(D1349="Legitimate Interest (GDPR Art. 6(1)(f))", "Yes / Required (Sheet 3)", "")</f>
        <v/>
      </c>
      <c r="L1349" s="7" t="n"/>
      <c r="M1349" s="7" t="n"/>
      <c r="N1349">
        <f>IF(D1349="", "Gap - No Legal Basis", IF(AND(D1349="Consent (GDPR Art. 6(1)(a))", I1349="Not Captured"), "Gap - Invalid Consent", IF(AND(D1349="Legitimate Interest (GDPR Art. 6(1)(f))", L1349=""), "Gap - Missing LIA", IF(AND(G1349="Yes", H1349=""), "Gap - Missing Art. 9 Basis", IF(OR(I1349="Invalid - Not Freely Given", I1349="Invalid - Not Specific", I1349="Invalid - Not Informed", I1349="Invalid - Ambiguous"), "Gap - Invalid Consent", "Compliant")))))</f>
        <v/>
      </c>
      <c r="O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>
        <f>IF(D1350="Legitimate Interest (GDPR Art. 6(1)(f))", "Yes / Required (Sheet 3)", "")</f>
        <v/>
      </c>
      <c r="L1350" s="7" t="n"/>
      <c r="M1350" s="7" t="n"/>
      <c r="N1350">
        <f>IF(D1350="", "Gap - No Legal Basis", IF(AND(D1350="Consent (GDPR Art. 6(1)(a))", I1350="Not Captured"), "Gap - Invalid Consent", IF(AND(D1350="Legitimate Interest (GDPR Art. 6(1)(f))", L1350=""), "Gap - Missing LIA", IF(AND(G1350="Yes", H1350=""), "Gap - Missing Art. 9 Basis", IF(OR(I1350="Invalid - Not Freely Given", I1350="Invalid - Not Specific", I1350="Invalid - Not Informed", I1350="Invalid - Ambiguous"), "Gap - Invalid Consent", "Compliant")))))</f>
        <v/>
      </c>
      <c r="O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>
        <f>IF(D1351="Legitimate Interest (GDPR Art. 6(1)(f))", "Yes / Required (Sheet 3)", "")</f>
        <v/>
      </c>
      <c r="L1351" s="7" t="n"/>
      <c r="M1351" s="7" t="n"/>
      <c r="N1351">
        <f>IF(D1351="", "Gap - No Legal Basis", IF(AND(D1351="Consent (GDPR Art. 6(1)(a))", I1351="Not Captured"), "Gap - Invalid Consent", IF(AND(D1351="Legitimate Interest (GDPR Art. 6(1)(f))", L1351=""), "Gap - Missing LIA", IF(AND(G1351="Yes", H1351=""), "Gap - Missing Art. 9 Basis", IF(OR(I1351="Invalid - Not Freely Given", I1351="Invalid - Not Specific", I1351="Invalid - Not Informed", I1351="Invalid - Ambiguous"), "Gap - Invalid Consent", "Compliant")))))</f>
        <v/>
      </c>
      <c r="O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>
        <f>IF(D1352="Legitimate Interest (GDPR Art. 6(1)(f))", "Yes / Required (Sheet 3)", "")</f>
        <v/>
      </c>
      <c r="L1352" s="7" t="n"/>
      <c r="M1352" s="7" t="n"/>
      <c r="N1352">
        <f>IF(D1352="", "Gap - No Legal Basis", IF(AND(D1352="Consent (GDPR Art. 6(1)(a))", I1352="Not Captured"), "Gap - Invalid Consent", IF(AND(D1352="Legitimate Interest (GDPR Art. 6(1)(f))", L1352=""), "Gap - Missing LIA", IF(AND(G1352="Yes", H1352=""), "Gap - Missing Art. 9 Basis", IF(OR(I1352="Invalid - Not Freely Given", I1352="Invalid - Not Specific", I1352="Invalid - Not Informed", I1352="Invalid - Ambiguous"), "Gap - Invalid Consent", "Compliant")))))</f>
        <v/>
      </c>
      <c r="O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>
        <f>IF(D1353="Legitimate Interest (GDPR Art. 6(1)(f))", "Yes / Required (Sheet 3)", "")</f>
        <v/>
      </c>
      <c r="L1353" s="7" t="n"/>
      <c r="M1353" s="7" t="n"/>
      <c r="N1353">
        <f>IF(D1353="", "Gap - No Legal Basis", IF(AND(D1353="Consent (GDPR Art. 6(1)(a))", I1353="Not Captured"), "Gap - Invalid Consent", IF(AND(D1353="Legitimate Interest (GDPR Art. 6(1)(f))", L1353=""), "Gap - Missing LIA", IF(AND(G1353="Yes", H1353=""), "Gap - Missing Art. 9 Basis", IF(OR(I1353="Invalid - Not Freely Given", I1353="Invalid - Not Specific", I1353="Invalid - Not Informed", I1353="Invalid - Ambiguous"), "Gap - Invalid Consent", "Compliant")))))</f>
        <v/>
      </c>
      <c r="O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>
        <f>IF(D1354="Legitimate Interest (GDPR Art. 6(1)(f))", "Yes / Required (Sheet 3)", "")</f>
        <v/>
      </c>
      <c r="L1354" s="7" t="n"/>
      <c r="M1354" s="7" t="n"/>
      <c r="N1354">
        <f>IF(D1354="", "Gap - No Legal Basis", IF(AND(D1354="Consent (GDPR Art. 6(1)(a))", I1354="Not Captured"), "Gap - Invalid Consent", IF(AND(D1354="Legitimate Interest (GDPR Art. 6(1)(f))", L1354=""), "Gap - Missing LIA", IF(AND(G1354="Yes", H1354=""), "Gap - Missing Art. 9 Basis", IF(OR(I1354="Invalid - Not Freely Given", I1354="Invalid - Not Specific", I1354="Invalid - Not Informed", I1354="Invalid - Ambiguous"), "Gap - Invalid Consent", "Compliant")))))</f>
        <v/>
      </c>
      <c r="O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>
        <f>IF(D1355="Legitimate Interest (GDPR Art. 6(1)(f))", "Yes / Required (Sheet 3)", "")</f>
        <v/>
      </c>
      <c r="L1355" s="7" t="n"/>
      <c r="M1355" s="7" t="n"/>
      <c r="N1355">
        <f>IF(D1355="", "Gap - No Legal Basis", IF(AND(D1355="Consent (GDPR Art. 6(1)(a))", I1355="Not Captured"), "Gap - Invalid Consent", IF(AND(D1355="Legitimate Interest (GDPR Art. 6(1)(f))", L1355=""), "Gap - Missing LIA", IF(AND(G1355="Yes", H1355=""), "Gap - Missing Art. 9 Basis", IF(OR(I1355="Invalid - Not Freely Given", I1355="Invalid - Not Specific", I1355="Invalid - Not Informed", I1355="Invalid - Ambiguous"), "Gap - Invalid Consent", "Compliant")))))</f>
        <v/>
      </c>
      <c r="O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>
        <f>IF(D1356="Legitimate Interest (GDPR Art. 6(1)(f))", "Yes / Required (Sheet 3)", "")</f>
        <v/>
      </c>
      <c r="L1356" s="7" t="n"/>
      <c r="M1356" s="7" t="n"/>
      <c r="N1356">
        <f>IF(D1356="", "Gap - No Legal Basis", IF(AND(D1356="Consent (GDPR Art. 6(1)(a))", I1356="Not Captured"), "Gap - Invalid Consent", IF(AND(D1356="Legitimate Interest (GDPR Art. 6(1)(f))", L1356=""), "Gap - Missing LIA", IF(AND(G1356="Yes", H1356=""), "Gap - Missing Art. 9 Basis", IF(OR(I1356="Invalid - Not Freely Given", I1356="Invalid - Not Specific", I1356="Invalid - Not Informed", I1356="Invalid - Ambiguous"), "Gap - Invalid Consent", "Compliant")))))</f>
        <v/>
      </c>
      <c r="O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>
        <f>IF(D1357="Legitimate Interest (GDPR Art. 6(1)(f))", "Yes / Required (Sheet 3)", "")</f>
        <v/>
      </c>
      <c r="L1357" s="7" t="n"/>
      <c r="M1357" s="7" t="n"/>
      <c r="N1357">
        <f>IF(D1357="", "Gap - No Legal Basis", IF(AND(D1357="Consent (GDPR Art. 6(1)(a))", I1357="Not Captured"), "Gap - Invalid Consent", IF(AND(D1357="Legitimate Interest (GDPR Art. 6(1)(f))", L1357=""), "Gap - Missing LIA", IF(AND(G1357="Yes", H1357=""), "Gap - Missing Art. 9 Basis", IF(OR(I1357="Invalid - Not Freely Given", I1357="Invalid - Not Specific", I1357="Invalid - Not Informed", I1357="Invalid - Ambiguous"), "Gap - Invalid Consent", "Compliant")))))</f>
        <v/>
      </c>
      <c r="O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>
        <f>IF(D1358="Legitimate Interest (GDPR Art. 6(1)(f))", "Yes / Required (Sheet 3)", "")</f>
        <v/>
      </c>
      <c r="L1358" s="7" t="n"/>
      <c r="M1358" s="7" t="n"/>
      <c r="N1358">
        <f>IF(D1358="", "Gap - No Legal Basis", IF(AND(D1358="Consent (GDPR Art. 6(1)(a))", I1358="Not Captured"), "Gap - Invalid Consent", IF(AND(D1358="Legitimate Interest (GDPR Art. 6(1)(f))", L1358=""), "Gap - Missing LIA", IF(AND(G1358="Yes", H1358=""), "Gap - Missing Art. 9 Basis", IF(OR(I1358="Invalid - Not Freely Given", I1358="Invalid - Not Specific", I1358="Invalid - Not Informed", I1358="Invalid - Ambiguous"), "Gap - Invalid Consent", "Compliant")))))</f>
        <v/>
      </c>
      <c r="O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>
        <f>IF(D1359="Legitimate Interest (GDPR Art. 6(1)(f))", "Yes / Required (Sheet 3)", "")</f>
        <v/>
      </c>
      <c r="L1359" s="7" t="n"/>
      <c r="M1359" s="7" t="n"/>
      <c r="N1359">
        <f>IF(D1359="", "Gap - No Legal Basis", IF(AND(D1359="Consent (GDPR Art. 6(1)(a))", I1359="Not Captured"), "Gap - Invalid Consent", IF(AND(D1359="Legitimate Interest (GDPR Art. 6(1)(f))", L1359=""), "Gap - Missing LIA", IF(AND(G1359="Yes", H1359=""), "Gap - Missing Art. 9 Basis", IF(OR(I1359="Invalid - Not Freely Given", I1359="Invalid - Not Specific", I1359="Invalid - Not Informed", I1359="Invalid - Ambiguous"), "Gap - Invalid Consent", "Compliant")))))</f>
        <v/>
      </c>
      <c r="O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>
        <f>IF(D1360="Legitimate Interest (GDPR Art. 6(1)(f))", "Yes / Required (Sheet 3)", "")</f>
        <v/>
      </c>
      <c r="L1360" s="7" t="n"/>
      <c r="M1360" s="7" t="n"/>
      <c r="N1360">
        <f>IF(D1360="", "Gap - No Legal Basis", IF(AND(D1360="Consent (GDPR Art. 6(1)(a))", I1360="Not Captured"), "Gap - Invalid Consent", IF(AND(D1360="Legitimate Interest (GDPR Art. 6(1)(f))", L1360=""), "Gap - Missing LIA", IF(AND(G1360="Yes", H1360=""), "Gap - Missing Art. 9 Basis", IF(OR(I1360="Invalid - Not Freely Given", I1360="Invalid - Not Specific", I1360="Invalid - Not Informed", I1360="Invalid - Ambiguous"), "Gap - Invalid Consent", "Compliant")))))</f>
        <v/>
      </c>
      <c r="O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>
        <f>IF(D1361="Legitimate Interest (GDPR Art. 6(1)(f))", "Yes / Required (Sheet 3)", "")</f>
        <v/>
      </c>
      <c r="L1361" s="7" t="n"/>
      <c r="M1361" s="7" t="n"/>
      <c r="N1361">
        <f>IF(D1361="", "Gap - No Legal Basis", IF(AND(D1361="Consent (GDPR Art. 6(1)(a))", I1361="Not Captured"), "Gap - Invalid Consent", IF(AND(D1361="Legitimate Interest (GDPR Art. 6(1)(f))", L1361=""), "Gap - Missing LIA", IF(AND(G1361="Yes", H1361=""), "Gap - Missing Art. 9 Basis", IF(OR(I1361="Invalid - Not Freely Given", I1361="Invalid - Not Specific", I1361="Invalid - Not Informed", I1361="Invalid - Ambiguous"), "Gap - Invalid Consent", "Compliant")))))</f>
        <v/>
      </c>
      <c r="O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>
        <f>IF(D1362="Legitimate Interest (GDPR Art. 6(1)(f))", "Yes / Required (Sheet 3)", "")</f>
        <v/>
      </c>
      <c r="L1362" s="7" t="n"/>
      <c r="M1362" s="7" t="n"/>
      <c r="N1362">
        <f>IF(D1362="", "Gap - No Legal Basis", IF(AND(D1362="Consent (GDPR Art. 6(1)(a))", I1362="Not Captured"), "Gap - Invalid Consent", IF(AND(D1362="Legitimate Interest (GDPR Art. 6(1)(f))", L1362=""), "Gap - Missing LIA", IF(AND(G1362="Yes", H1362=""), "Gap - Missing Art. 9 Basis", IF(OR(I1362="Invalid - Not Freely Given", I1362="Invalid - Not Specific", I1362="Invalid - Not Informed", I1362="Invalid - Ambiguous"), "Gap - Invalid Consent", "Compliant")))))</f>
        <v/>
      </c>
      <c r="O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>
        <f>IF(D1363="Legitimate Interest (GDPR Art. 6(1)(f))", "Yes / Required (Sheet 3)", "")</f>
        <v/>
      </c>
      <c r="L1363" s="7" t="n"/>
      <c r="M1363" s="7" t="n"/>
      <c r="N1363">
        <f>IF(D1363="", "Gap - No Legal Basis", IF(AND(D1363="Consent (GDPR Art. 6(1)(a))", I1363="Not Captured"), "Gap - Invalid Consent", IF(AND(D1363="Legitimate Interest (GDPR Art. 6(1)(f))", L1363=""), "Gap - Missing LIA", IF(AND(G1363="Yes", H1363=""), "Gap - Missing Art. 9 Basis", IF(OR(I1363="Invalid - Not Freely Given", I1363="Invalid - Not Specific", I1363="Invalid - Not Informed", I1363="Invalid - Ambiguous"), "Gap - Invalid Consent", "Compliant")))))</f>
        <v/>
      </c>
      <c r="O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>
        <f>IF(D1364="Legitimate Interest (GDPR Art. 6(1)(f))", "Yes / Required (Sheet 3)", "")</f>
        <v/>
      </c>
      <c r="L1364" s="7" t="n"/>
      <c r="M1364" s="7" t="n"/>
      <c r="N1364">
        <f>IF(D1364="", "Gap - No Legal Basis", IF(AND(D1364="Consent (GDPR Art. 6(1)(a))", I1364="Not Captured"), "Gap - Invalid Consent", IF(AND(D1364="Legitimate Interest (GDPR Art. 6(1)(f))", L1364=""), "Gap - Missing LIA", IF(AND(G1364="Yes", H1364=""), "Gap - Missing Art. 9 Basis", IF(OR(I1364="Invalid - Not Freely Given", I1364="Invalid - Not Specific", I1364="Invalid - Not Informed", I1364="Invalid - Ambiguous"), "Gap - Invalid Consent", "Compliant")))))</f>
        <v/>
      </c>
      <c r="O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>
        <f>IF(D1365="Legitimate Interest (GDPR Art. 6(1)(f))", "Yes / Required (Sheet 3)", "")</f>
        <v/>
      </c>
      <c r="L1365" s="7" t="n"/>
      <c r="M1365" s="7" t="n"/>
      <c r="N1365">
        <f>IF(D1365="", "Gap - No Legal Basis", IF(AND(D1365="Consent (GDPR Art. 6(1)(a))", I1365="Not Captured"), "Gap - Invalid Consent", IF(AND(D1365="Legitimate Interest (GDPR Art. 6(1)(f))", L1365=""), "Gap - Missing LIA", IF(AND(G1365="Yes", H1365=""), "Gap - Missing Art. 9 Basis", IF(OR(I1365="Invalid - Not Freely Given", I1365="Invalid - Not Specific", I1365="Invalid - Not Informed", I1365="Invalid - Ambiguous"), "Gap - Invalid Consent", "Compliant")))))</f>
        <v/>
      </c>
      <c r="O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>
        <f>IF(D1366="Legitimate Interest (GDPR Art. 6(1)(f))", "Yes / Required (Sheet 3)", "")</f>
        <v/>
      </c>
      <c r="L1366" s="7" t="n"/>
      <c r="M1366" s="7" t="n"/>
      <c r="N1366">
        <f>IF(D1366="", "Gap - No Legal Basis", IF(AND(D1366="Consent (GDPR Art. 6(1)(a))", I1366="Not Captured"), "Gap - Invalid Consent", IF(AND(D1366="Legitimate Interest (GDPR Art. 6(1)(f))", L1366=""), "Gap - Missing LIA", IF(AND(G1366="Yes", H1366=""), "Gap - Missing Art. 9 Basis", IF(OR(I1366="Invalid - Not Freely Given", I1366="Invalid - Not Specific", I1366="Invalid - Not Informed", I1366="Invalid - Ambiguous"), "Gap - Invalid Consent", "Compliant")))))</f>
        <v/>
      </c>
      <c r="O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>
        <f>IF(D1367="Legitimate Interest (GDPR Art. 6(1)(f))", "Yes / Required (Sheet 3)", "")</f>
        <v/>
      </c>
      <c r="L1367" s="7" t="n"/>
      <c r="M1367" s="7" t="n"/>
      <c r="N1367">
        <f>IF(D1367="", "Gap - No Legal Basis", IF(AND(D1367="Consent (GDPR Art. 6(1)(a))", I1367="Not Captured"), "Gap - Invalid Consent", IF(AND(D1367="Legitimate Interest (GDPR Art. 6(1)(f))", L1367=""), "Gap - Missing LIA", IF(AND(G1367="Yes", H1367=""), "Gap - Missing Art. 9 Basis", IF(OR(I1367="Invalid - Not Freely Given", I1367="Invalid - Not Specific", I1367="Invalid - Not Informed", I1367="Invalid - Ambiguous"), "Gap - Invalid Consent", "Compliant")))))</f>
        <v/>
      </c>
      <c r="O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>
        <f>IF(D1368="Legitimate Interest (GDPR Art. 6(1)(f))", "Yes / Required (Sheet 3)", "")</f>
        <v/>
      </c>
      <c r="L1368" s="7" t="n"/>
      <c r="M1368" s="7" t="n"/>
      <c r="N1368">
        <f>IF(D1368="", "Gap - No Legal Basis", IF(AND(D1368="Consent (GDPR Art. 6(1)(a))", I1368="Not Captured"), "Gap - Invalid Consent", IF(AND(D1368="Legitimate Interest (GDPR Art. 6(1)(f))", L1368=""), "Gap - Missing LIA", IF(AND(G1368="Yes", H1368=""), "Gap - Missing Art. 9 Basis", IF(OR(I1368="Invalid - Not Freely Given", I1368="Invalid - Not Specific", I1368="Invalid - Not Informed", I1368="Invalid - Ambiguous"), "Gap - Invalid Consent", "Compliant")))))</f>
        <v/>
      </c>
      <c r="O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>
        <f>IF(D1369="Legitimate Interest (GDPR Art. 6(1)(f))", "Yes / Required (Sheet 3)", "")</f>
        <v/>
      </c>
      <c r="L1369" s="7" t="n"/>
      <c r="M1369" s="7" t="n"/>
      <c r="N1369">
        <f>IF(D1369="", "Gap - No Legal Basis", IF(AND(D1369="Consent (GDPR Art. 6(1)(a))", I1369="Not Captured"), "Gap - Invalid Consent", IF(AND(D1369="Legitimate Interest (GDPR Art. 6(1)(f))", L1369=""), "Gap - Missing LIA", IF(AND(G1369="Yes", H1369=""), "Gap - Missing Art. 9 Basis", IF(OR(I1369="Invalid - Not Freely Given", I1369="Invalid - Not Specific", I1369="Invalid - Not Informed", I1369="Invalid - Ambiguous"), "Gap - Invalid Consent", "Compliant")))))</f>
        <v/>
      </c>
      <c r="O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>
        <f>IF(D1370="Legitimate Interest (GDPR Art. 6(1)(f))", "Yes / Required (Sheet 3)", "")</f>
        <v/>
      </c>
      <c r="L1370" s="7" t="n"/>
      <c r="M1370" s="7" t="n"/>
      <c r="N1370">
        <f>IF(D1370="", "Gap - No Legal Basis", IF(AND(D1370="Consent (GDPR Art. 6(1)(a))", I1370="Not Captured"), "Gap - Invalid Consent", IF(AND(D1370="Legitimate Interest (GDPR Art. 6(1)(f))", L1370=""), "Gap - Missing LIA", IF(AND(G1370="Yes", H1370=""), "Gap - Missing Art. 9 Basis", IF(OR(I1370="Invalid - Not Freely Given", I1370="Invalid - Not Specific", I1370="Invalid - Not Informed", I1370="Invalid - Ambiguous"), "Gap - Invalid Consent", "Compliant")))))</f>
        <v/>
      </c>
      <c r="O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>
        <f>IF(D1371="Legitimate Interest (GDPR Art. 6(1)(f))", "Yes / Required (Sheet 3)", "")</f>
        <v/>
      </c>
      <c r="L1371" s="7" t="n"/>
      <c r="M1371" s="7" t="n"/>
      <c r="N1371">
        <f>IF(D1371="", "Gap - No Legal Basis", IF(AND(D1371="Consent (GDPR Art. 6(1)(a))", I1371="Not Captured"), "Gap - Invalid Consent", IF(AND(D1371="Legitimate Interest (GDPR Art. 6(1)(f))", L1371=""), "Gap - Missing LIA", IF(AND(G1371="Yes", H1371=""), "Gap - Missing Art. 9 Basis", IF(OR(I1371="Invalid - Not Freely Given", I1371="Invalid - Not Specific", I1371="Invalid - Not Informed", I1371="Invalid - Ambiguous"), "Gap - Invalid Consent", "Compliant")))))</f>
        <v/>
      </c>
      <c r="O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>
        <f>IF(D1372="Legitimate Interest (GDPR Art. 6(1)(f))", "Yes / Required (Sheet 3)", "")</f>
        <v/>
      </c>
      <c r="L1372" s="7" t="n"/>
      <c r="M1372" s="7" t="n"/>
      <c r="N1372">
        <f>IF(D1372="", "Gap - No Legal Basis", IF(AND(D1372="Consent (GDPR Art. 6(1)(a))", I1372="Not Captured"), "Gap - Invalid Consent", IF(AND(D1372="Legitimate Interest (GDPR Art. 6(1)(f))", L1372=""), "Gap - Missing LIA", IF(AND(G1372="Yes", H1372=""), "Gap - Missing Art. 9 Basis", IF(OR(I1372="Invalid - Not Freely Given", I1372="Invalid - Not Specific", I1372="Invalid - Not Informed", I1372="Invalid - Ambiguous"), "Gap - Invalid Consent", "Compliant")))))</f>
        <v/>
      </c>
      <c r="O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>
        <f>IF(D1373="Legitimate Interest (GDPR Art. 6(1)(f))", "Yes / Required (Sheet 3)", "")</f>
        <v/>
      </c>
      <c r="L1373" s="7" t="n"/>
      <c r="M1373" s="7" t="n"/>
      <c r="N1373">
        <f>IF(D1373="", "Gap - No Legal Basis", IF(AND(D1373="Consent (GDPR Art. 6(1)(a))", I1373="Not Captured"), "Gap - Invalid Consent", IF(AND(D1373="Legitimate Interest (GDPR Art. 6(1)(f))", L1373=""), "Gap - Missing LIA", IF(AND(G1373="Yes", H1373=""), "Gap - Missing Art. 9 Basis", IF(OR(I1373="Invalid - Not Freely Given", I1373="Invalid - Not Specific", I1373="Invalid - Not Informed", I1373="Invalid - Ambiguous"), "Gap - Invalid Consent", "Compliant")))))</f>
        <v/>
      </c>
      <c r="O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>
        <f>IF(D1374="Legitimate Interest (GDPR Art. 6(1)(f))", "Yes / Required (Sheet 3)", "")</f>
        <v/>
      </c>
      <c r="L1374" s="7" t="n"/>
      <c r="M1374" s="7" t="n"/>
      <c r="N1374">
        <f>IF(D1374="", "Gap - No Legal Basis", IF(AND(D1374="Consent (GDPR Art. 6(1)(a))", I1374="Not Captured"), "Gap - Invalid Consent", IF(AND(D1374="Legitimate Interest (GDPR Art. 6(1)(f))", L1374=""), "Gap - Missing LIA", IF(AND(G1374="Yes", H1374=""), "Gap - Missing Art. 9 Basis", IF(OR(I1374="Invalid - Not Freely Given", I1374="Invalid - Not Specific", I1374="Invalid - Not Informed", I1374="Invalid - Ambiguous"), "Gap - Invalid Consent", "Compliant")))))</f>
        <v/>
      </c>
      <c r="O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>
        <f>IF(D1375="Legitimate Interest (GDPR Art. 6(1)(f))", "Yes / Required (Sheet 3)", "")</f>
        <v/>
      </c>
      <c r="L1375" s="7" t="n"/>
      <c r="M1375" s="7" t="n"/>
      <c r="N1375">
        <f>IF(D1375="", "Gap - No Legal Basis", IF(AND(D1375="Consent (GDPR Art. 6(1)(a))", I1375="Not Captured"), "Gap - Invalid Consent", IF(AND(D1375="Legitimate Interest (GDPR Art. 6(1)(f))", L1375=""), "Gap - Missing LIA", IF(AND(G1375="Yes", H1375=""), "Gap - Missing Art. 9 Basis", IF(OR(I1375="Invalid - Not Freely Given", I1375="Invalid - Not Specific", I1375="Invalid - Not Informed", I1375="Invalid - Ambiguous"), "Gap - Invalid Consent", "Compliant")))))</f>
        <v/>
      </c>
      <c r="O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>
        <f>IF(D1376="Legitimate Interest (GDPR Art. 6(1)(f))", "Yes / Required (Sheet 3)", "")</f>
        <v/>
      </c>
      <c r="L1376" s="7" t="n"/>
      <c r="M1376" s="7" t="n"/>
      <c r="N1376">
        <f>IF(D1376="", "Gap - No Legal Basis", IF(AND(D1376="Consent (GDPR Art. 6(1)(a))", I1376="Not Captured"), "Gap - Invalid Consent", IF(AND(D1376="Legitimate Interest (GDPR Art. 6(1)(f))", L1376=""), "Gap - Missing LIA", IF(AND(G1376="Yes", H1376=""), "Gap - Missing Art. 9 Basis", IF(OR(I1376="Invalid - Not Freely Given", I1376="Invalid - Not Specific", I1376="Invalid - Not Informed", I1376="Invalid - Ambiguous"), "Gap - Invalid Consent", "Compliant")))))</f>
        <v/>
      </c>
      <c r="O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>
        <f>IF(D1377="Legitimate Interest (GDPR Art. 6(1)(f))", "Yes / Required (Sheet 3)", "")</f>
        <v/>
      </c>
      <c r="L1377" s="7" t="n"/>
      <c r="M1377" s="7" t="n"/>
      <c r="N1377">
        <f>IF(D1377="", "Gap - No Legal Basis", IF(AND(D1377="Consent (GDPR Art. 6(1)(a))", I1377="Not Captured"), "Gap - Invalid Consent", IF(AND(D1377="Legitimate Interest (GDPR Art. 6(1)(f))", L1377=""), "Gap - Missing LIA", IF(AND(G1377="Yes", H1377=""), "Gap - Missing Art. 9 Basis", IF(OR(I1377="Invalid - Not Freely Given", I1377="Invalid - Not Specific", I1377="Invalid - Not Informed", I1377="Invalid - Ambiguous"), "Gap - Invalid Consent", "Compliant")))))</f>
        <v/>
      </c>
      <c r="O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>
        <f>IF(D1378="Legitimate Interest (GDPR Art. 6(1)(f))", "Yes / Required (Sheet 3)", "")</f>
        <v/>
      </c>
      <c r="L1378" s="7" t="n"/>
      <c r="M1378" s="7" t="n"/>
      <c r="N1378">
        <f>IF(D1378="", "Gap - No Legal Basis", IF(AND(D1378="Consent (GDPR Art. 6(1)(a))", I1378="Not Captured"), "Gap - Invalid Consent", IF(AND(D1378="Legitimate Interest (GDPR Art. 6(1)(f))", L1378=""), "Gap - Missing LIA", IF(AND(G1378="Yes", H1378=""), "Gap - Missing Art. 9 Basis", IF(OR(I1378="Invalid - Not Freely Given", I1378="Invalid - Not Specific", I1378="Invalid - Not Informed", I1378="Invalid - Ambiguous"), "Gap - Invalid Consent", "Compliant")))))</f>
        <v/>
      </c>
      <c r="O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>
        <f>IF(D1379="Legitimate Interest (GDPR Art. 6(1)(f))", "Yes / Required (Sheet 3)", "")</f>
        <v/>
      </c>
      <c r="L1379" s="7" t="n"/>
      <c r="M1379" s="7" t="n"/>
      <c r="N1379">
        <f>IF(D1379="", "Gap - No Legal Basis", IF(AND(D1379="Consent (GDPR Art. 6(1)(a))", I1379="Not Captured"), "Gap - Invalid Consent", IF(AND(D1379="Legitimate Interest (GDPR Art. 6(1)(f))", L1379=""), "Gap - Missing LIA", IF(AND(G1379="Yes", H1379=""), "Gap - Missing Art. 9 Basis", IF(OR(I1379="Invalid - Not Freely Given", I1379="Invalid - Not Specific", I1379="Invalid - Not Informed", I1379="Invalid - Ambiguous"), "Gap - Invalid Consent", "Compliant")))))</f>
        <v/>
      </c>
      <c r="O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>
        <f>IF(D1380="Legitimate Interest (GDPR Art. 6(1)(f))", "Yes / Required (Sheet 3)", "")</f>
        <v/>
      </c>
      <c r="L1380" s="7" t="n"/>
      <c r="M1380" s="7" t="n"/>
      <c r="N1380">
        <f>IF(D1380="", "Gap - No Legal Basis", IF(AND(D1380="Consent (GDPR Art. 6(1)(a))", I1380="Not Captured"), "Gap - Invalid Consent", IF(AND(D1380="Legitimate Interest (GDPR Art. 6(1)(f))", L1380=""), "Gap - Missing LIA", IF(AND(G1380="Yes", H1380=""), "Gap - Missing Art. 9 Basis", IF(OR(I1380="Invalid - Not Freely Given", I1380="Invalid - Not Specific", I1380="Invalid - Not Informed", I1380="Invalid - Ambiguous"), "Gap - Invalid Consent", "Compliant")))))</f>
        <v/>
      </c>
      <c r="O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>
        <f>IF(D1381="Legitimate Interest (GDPR Art. 6(1)(f))", "Yes / Required (Sheet 3)", "")</f>
        <v/>
      </c>
      <c r="L1381" s="7" t="n"/>
      <c r="M1381" s="7" t="n"/>
      <c r="N1381">
        <f>IF(D1381="", "Gap - No Legal Basis", IF(AND(D1381="Consent (GDPR Art. 6(1)(a))", I1381="Not Captured"), "Gap - Invalid Consent", IF(AND(D1381="Legitimate Interest (GDPR Art. 6(1)(f))", L1381=""), "Gap - Missing LIA", IF(AND(G1381="Yes", H1381=""), "Gap - Missing Art. 9 Basis", IF(OR(I1381="Invalid - Not Freely Given", I1381="Invalid - Not Specific", I1381="Invalid - Not Informed", I1381="Invalid - Ambiguous"), "Gap - Invalid Consent", "Compliant")))))</f>
        <v/>
      </c>
      <c r="O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>
        <f>IF(D1382="Legitimate Interest (GDPR Art. 6(1)(f))", "Yes / Required (Sheet 3)", "")</f>
        <v/>
      </c>
      <c r="L1382" s="7" t="n"/>
      <c r="M1382" s="7" t="n"/>
      <c r="N1382">
        <f>IF(D1382="", "Gap - No Legal Basis", IF(AND(D1382="Consent (GDPR Art. 6(1)(a))", I1382="Not Captured"), "Gap - Invalid Consent", IF(AND(D1382="Legitimate Interest (GDPR Art. 6(1)(f))", L1382=""), "Gap - Missing LIA", IF(AND(G1382="Yes", H1382=""), "Gap - Missing Art. 9 Basis", IF(OR(I1382="Invalid - Not Freely Given", I1382="Invalid - Not Specific", I1382="Invalid - Not Informed", I1382="Invalid - Ambiguous"), "Gap - Invalid Consent", "Compliant")))))</f>
        <v/>
      </c>
      <c r="O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>
        <f>IF(D1383="Legitimate Interest (GDPR Art. 6(1)(f))", "Yes / Required (Sheet 3)", "")</f>
        <v/>
      </c>
      <c r="L1383" s="7" t="n"/>
      <c r="M1383" s="7" t="n"/>
      <c r="N1383">
        <f>IF(D1383="", "Gap - No Legal Basis", IF(AND(D1383="Consent (GDPR Art. 6(1)(a))", I1383="Not Captured"), "Gap - Invalid Consent", IF(AND(D1383="Legitimate Interest (GDPR Art. 6(1)(f))", L1383=""), "Gap - Missing LIA", IF(AND(G1383="Yes", H1383=""), "Gap - Missing Art. 9 Basis", IF(OR(I1383="Invalid - Not Freely Given", I1383="Invalid - Not Specific", I1383="Invalid - Not Informed", I1383="Invalid - Ambiguous"), "Gap - Invalid Consent", "Compliant")))))</f>
        <v/>
      </c>
      <c r="O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>
        <f>IF(D1384="Legitimate Interest (GDPR Art. 6(1)(f))", "Yes / Required (Sheet 3)", "")</f>
        <v/>
      </c>
      <c r="L1384" s="7" t="n"/>
      <c r="M1384" s="7" t="n"/>
      <c r="N1384">
        <f>IF(D1384="", "Gap - No Legal Basis", IF(AND(D1384="Consent (GDPR Art. 6(1)(a))", I1384="Not Captured"), "Gap - Invalid Consent", IF(AND(D1384="Legitimate Interest (GDPR Art. 6(1)(f))", L1384=""), "Gap - Missing LIA", IF(AND(G1384="Yes", H1384=""), "Gap - Missing Art. 9 Basis", IF(OR(I1384="Invalid - Not Freely Given", I1384="Invalid - Not Specific", I1384="Invalid - Not Informed", I1384="Invalid - Ambiguous"), "Gap - Invalid Consent", "Compliant")))))</f>
        <v/>
      </c>
      <c r="O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>
        <f>IF(D1385="Legitimate Interest (GDPR Art. 6(1)(f))", "Yes / Required (Sheet 3)", "")</f>
        <v/>
      </c>
      <c r="L1385" s="7" t="n"/>
      <c r="M1385" s="7" t="n"/>
      <c r="N1385">
        <f>IF(D1385="", "Gap - No Legal Basis", IF(AND(D1385="Consent (GDPR Art. 6(1)(a))", I1385="Not Captured"), "Gap - Invalid Consent", IF(AND(D1385="Legitimate Interest (GDPR Art. 6(1)(f))", L1385=""), "Gap - Missing LIA", IF(AND(G1385="Yes", H1385=""), "Gap - Missing Art. 9 Basis", IF(OR(I1385="Invalid - Not Freely Given", I1385="Invalid - Not Specific", I1385="Invalid - Not Informed", I1385="Invalid - Ambiguous"), "Gap - Invalid Consent", "Compliant")))))</f>
        <v/>
      </c>
      <c r="O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>
        <f>IF(D1386="Legitimate Interest (GDPR Art. 6(1)(f))", "Yes / Required (Sheet 3)", "")</f>
        <v/>
      </c>
      <c r="L1386" s="7" t="n"/>
      <c r="M1386" s="7" t="n"/>
      <c r="N1386">
        <f>IF(D1386="", "Gap - No Legal Basis", IF(AND(D1386="Consent (GDPR Art. 6(1)(a))", I1386="Not Captured"), "Gap - Invalid Consent", IF(AND(D1386="Legitimate Interest (GDPR Art. 6(1)(f))", L1386=""), "Gap - Missing LIA", IF(AND(G1386="Yes", H1386=""), "Gap - Missing Art. 9 Basis", IF(OR(I1386="Invalid - Not Freely Given", I1386="Invalid - Not Specific", I1386="Invalid - Not Informed", I1386="Invalid - Ambiguous"), "Gap - Invalid Consent", "Compliant")))))</f>
        <v/>
      </c>
      <c r="O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>
        <f>IF(D1387="Legitimate Interest (GDPR Art. 6(1)(f))", "Yes / Required (Sheet 3)", "")</f>
        <v/>
      </c>
      <c r="L1387" s="7" t="n"/>
      <c r="M1387" s="7" t="n"/>
      <c r="N1387">
        <f>IF(D1387="", "Gap - No Legal Basis", IF(AND(D1387="Consent (GDPR Art. 6(1)(a))", I1387="Not Captured"), "Gap - Invalid Consent", IF(AND(D1387="Legitimate Interest (GDPR Art. 6(1)(f))", L1387=""), "Gap - Missing LIA", IF(AND(G1387="Yes", H1387=""), "Gap - Missing Art. 9 Basis", IF(OR(I1387="Invalid - Not Freely Given", I1387="Invalid - Not Specific", I1387="Invalid - Not Informed", I1387="Invalid - Ambiguous"), "Gap - Invalid Consent", "Compliant")))))</f>
        <v/>
      </c>
      <c r="O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>
        <f>IF(D1388="Legitimate Interest (GDPR Art. 6(1)(f))", "Yes / Required (Sheet 3)", "")</f>
        <v/>
      </c>
      <c r="L1388" s="7" t="n"/>
      <c r="M1388" s="7" t="n"/>
      <c r="N1388">
        <f>IF(D1388="", "Gap - No Legal Basis", IF(AND(D1388="Consent (GDPR Art. 6(1)(a))", I1388="Not Captured"), "Gap - Invalid Consent", IF(AND(D1388="Legitimate Interest (GDPR Art. 6(1)(f))", L1388=""), "Gap - Missing LIA", IF(AND(G1388="Yes", H1388=""), "Gap - Missing Art. 9 Basis", IF(OR(I1388="Invalid - Not Freely Given", I1388="Invalid - Not Specific", I1388="Invalid - Not Informed", I1388="Invalid - Ambiguous"), "Gap - Invalid Consent", "Compliant")))))</f>
        <v/>
      </c>
      <c r="O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>
        <f>IF(D1389="Legitimate Interest (GDPR Art. 6(1)(f))", "Yes / Required (Sheet 3)", "")</f>
        <v/>
      </c>
      <c r="L1389" s="7" t="n"/>
      <c r="M1389" s="7" t="n"/>
      <c r="N1389">
        <f>IF(D1389="", "Gap - No Legal Basis", IF(AND(D1389="Consent (GDPR Art. 6(1)(a))", I1389="Not Captured"), "Gap - Invalid Consent", IF(AND(D1389="Legitimate Interest (GDPR Art. 6(1)(f))", L1389=""), "Gap - Missing LIA", IF(AND(G1389="Yes", H1389=""), "Gap - Missing Art. 9 Basis", IF(OR(I1389="Invalid - Not Freely Given", I1389="Invalid - Not Specific", I1389="Invalid - Not Informed", I1389="Invalid - Ambiguous"), "Gap - Invalid Consent", "Compliant")))))</f>
        <v/>
      </c>
      <c r="O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>
        <f>IF(D1390="Legitimate Interest (GDPR Art. 6(1)(f))", "Yes / Required (Sheet 3)", "")</f>
        <v/>
      </c>
      <c r="L1390" s="7" t="n"/>
      <c r="M1390" s="7" t="n"/>
      <c r="N1390">
        <f>IF(D1390="", "Gap - No Legal Basis", IF(AND(D1390="Consent (GDPR Art. 6(1)(a))", I1390="Not Captured"), "Gap - Invalid Consent", IF(AND(D1390="Legitimate Interest (GDPR Art. 6(1)(f))", L1390=""), "Gap - Missing LIA", IF(AND(G1390="Yes", H1390=""), "Gap - Missing Art. 9 Basis", IF(OR(I1390="Invalid - Not Freely Given", I1390="Invalid - Not Specific", I1390="Invalid - Not Informed", I1390="Invalid - Ambiguous"), "Gap - Invalid Consent", "Compliant")))))</f>
        <v/>
      </c>
      <c r="O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>
        <f>IF(D1391="Legitimate Interest (GDPR Art. 6(1)(f))", "Yes / Required (Sheet 3)", "")</f>
        <v/>
      </c>
      <c r="L1391" s="7" t="n"/>
      <c r="M1391" s="7" t="n"/>
      <c r="N1391">
        <f>IF(D1391="", "Gap - No Legal Basis", IF(AND(D1391="Consent (GDPR Art. 6(1)(a))", I1391="Not Captured"), "Gap - Invalid Consent", IF(AND(D1391="Legitimate Interest (GDPR Art. 6(1)(f))", L1391=""), "Gap - Missing LIA", IF(AND(G1391="Yes", H1391=""), "Gap - Missing Art. 9 Basis", IF(OR(I1391="Invalid - Not Freely Given", I1391="Invalid - Not Specific", I1391="Invalid - Not Informed", I1391="Invalid - Ambiguous"), "Gap - Invalid Consent", "Compliant")))))</f>
        <v/>
      </c>
      <c r="O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>
        <f>IF(D1392="Legitimate Interest (GDPR Art. 6(1)(f))", "Yes / Required (Sheet 3)", "")</f>
        <v/>
      </c>
      <c r="L1392" s="7" t="n"/>
      <c r="M1392" s="7" t="n"/>
      <c r="N1392">
        <f>IF(D1392="", "Gap - No Legal Basis", IF(AND(D1392="Consent (GDPR Art. 6(1)(a))", I1392="Not Captured"), "Gap - Invalid Consent", IF(AND(D1392="Legitimate Interest (GDPR Art. 6(1)(f))", L1392=""), "Gap - Missing LIA", IF(AND(G1392="Yes", H1392=""), "Gap - Missing Art. 9 Basis", IF(OR(I1392="Invalid - Not Freely Given", I1392="Invalid - Not Specific", I1392="Invalid - Not Informed", I1392="Invalid - Ambiguous"), "Gap - Invalid Consent", "Compliant")))))</f>
        <v/>
      </c>
      <c r="O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>
        <f>IF(D1393="Legitimate Interest (GDPR Art. 6(1)(f))", "Yes / Required (Sheet 3)", "")</f>
        <v/>
      </c>
      <c r="L1393" s="7" t="n"/>
      <c r="M1393" s="7" t="n"/>
      <c r="N1393">
        <f>IF(D1393="", "Gap - No Legal Basis", IF(AND(D1393="Consent (GDPR Art. 6(1)(a))", I1393="Not Captured"), "Gap - Invalid Consent", IF(AND(D1393="Legitimate Interest (GDPR Art. 6(1)(f))", L1393=""), "Gap - Missing LIA", IF(AND(G1393="Yes", H1393=""), "Gap - Missing Art. 9 Basis", IF(OR(I1393="Invalid - Not Freely Given", I1393="Invalid - Not Specific", I1393="Invalid - Not Informed", I1393="Invalid - Ambiguous"), "Gap - Invalid Consent", "Compliant")))))</f>
        <v/>
      </c>
      <c r="O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>
        <f>IF(D1394="Legitimate Interest (GDPR Art. 6(1)(f))", "Yes / Required (Sheet 3)", "")</f>
        <v/>
      </c>
      <c r="L1394" s="7" t="n"/>
      <c r="M1394" s="7" t="n"/>
      <c r="N1394">
        <f>IF(D1394="", "Gap - No Legal Basis", IF(AND(D1394="Consent (GDPR Art. 6(1)(a))", I1394="Not Captured"), "Gap - Invalid Consent", IF(AND(D1394="Legitimate Interest (GDPR Art. 6(1)(f))", L1394=""), "Gap - Missing LIA", IF(AND(G1394="Yes", H1394=""), "Gap - Missing Art. 9 Basis", IF(OR(I1394="Invalid - Not Freely Given", I1394="Invalid - Not Specific", I1394="Invalid - Not Informed", I1394="Invalid - Ambiguous"), "Gap - Invalid Consent", "Compliant")))))</f>
        <v/>
      </c>
      <c r="O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>
        <f>IF(D1395="Legitimate Interest (GDPR Art. 6(1)(f))", "Yes / Required (Sheet 3)", "")</f>
        <v/>
      </c>
      <c r="L1395" s="7" t="n"/>
      <c r="M1395" s="7" t="n"/>
      <c r="N1395">
        <f>IF(D1395="", "Gap - No Legal Basis", IF(AND(D1395="Consent (GDPR Art. 6(1)(a))", I1395="Not Captured"), "Gap - Invalid Consent", IF(AND(D1395="Legitimate Interest (GDPR Art. 6(1)(f))", L1395=""), "Gap - Missing LIA", IF(AND(G1395="Yes", H1395=""), "Gap - Missing Art. 9 Basis", IF(OR(I1395="Invalid - Not Freely Given", I1395="Invalid - Not Specific", I1395="Invalid - Not Informed", I1395="Invalid - Ambiguous"), "Gap - Invalid Consent", "Compliant")))))</f>
        <v/>
      </c>
      <c r="O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>
        <f>IF(D1396="Legitimate Interest (GDPR Art. 6(1)(f))", "Yes / Required (Sheet 3)", "")</f>
        <v/>
      </c>
      <c r="L1396" s="7" t="n"/>
      <c r="M1396" s="7" t="n"/>
      <c r="N1396">
        <f>IF(D1396="", "Gap - No Legal Basis", IF(AND(D1396="Consent (GDPR Art. 6(1)(a))", I1396="Not Captured"), "Gap - Invalid Consent", IF(AND(D1396="Legitimate Interest (GDPR Art. 6(1)(f))", L1396=""), "Gap - Missing LIA", IF(AND(G1396="Yes", H1396=""), "Gap - Missing Art. 9 Basis", IF(OR(I1396="Invalid - Not Freely Given", I1396="Invalid - Not Specific", I1396="Invalid - Not Informed", I1396="Invalid - Ambiguous"), "Gap - Invalid Consent", "Compliant")))))</f>
        <v/>
      </c>
      <c r="O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>
        <f>IF(D1397="Legitimate Interest (GDPR Art. 6(1)(f))", "Yes / Required (Sheet 3)", "")</f>
        <v/>
      </c>
      <c r="L1397" s="7" t="n"/>
      <c r="M1397" s="7" t="n"/>
      <c r="N1397">
        <f>IF(D1397="", "Gap - No Legal Basis", IF(AND(D1397="Consent (GDPR Art. 6(1)(a))", I1397="Not Captured"), "Gap - Invalid Consent", IF(AND(D1397="Legitimate Interest (GDPR Art. 6(1)(f))", L1397=""), "Gap - Missing LIA", IF(AND(G1397="Yes", H1397=""), "Gap - Missing Art. 9 Basis", IF(OR(I1397="Invalid - Not Freely Given", I1397="Invalid - Not Specific", I1397="Invalid - Not Informed", I1397="Invalid - Ambiguous"), "Gap - Invalid Consent", "Compliant")))))</f>
        <v/>
      </c>
      <c r="O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>
        <f>IF(D1398="Legitimate Interest (GDPR Art. 6(1)(f))", "Yes / Required (Sheet 3)", "")</f>
        <v/>
      </c>
      <c r="L1398" s="7" t="n"/>
      <c r="M1398" s="7" t="n"/>
      <c r="N1398">
        <f>IF(D1398="", "Gap - No Legal Basis", IF(AND(D1398="Consent (GDPR Art. 6(1)(a))", I1398="Not Captured"), "Gap - Invalid Consent", IF(AND(D1398="Legitimate Interest (GDPR Art. 6(1)(f))", L1398=""), "Gap - Missing LIA", IF(AND(G1398="Yes", H1398=""), "Gap - Missing Art. 9 Basis", IF(OR(I1398="Invalid - Not Freely Given", I1398="Invalid - Not Specific", I1398="Invalid - Not Informed", I1398="Invalid - Ambiguous"), "Gap - Invalid Consent", "Compliant")))))</f>
        <v/>
      </c>
      <c r="O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>
        <f>IF(D1399="Legitimate Interest (GDPR Art. 6(1)(f))", "Yes / Required (Sheet 3)", "")</f>
        <v/>
      </c>
      <c r="L1399" s="7" t="n"/>
      <c r="M1399" s="7" t="n"/>
      <c r="N1399">
        <f>IF(D1399="", "Gap - No Legal Basis", IF(AND(D1399="Consent (GDPR Art. 6(1)(a))", I1399="Not Captured"), "Gap - Invalid Consent", IF(AND(D1399="Legitimate Interest (GDPR Art. 6(1)(f))", L1399=""), "Gap - Missing LIA", IF(AND(G1399="Yes", H1399=""), "Gap - Missing Art. 9 Basis", IF(OR(I1399="Invalid - Not Freely Given", I1399="Invalid - Not Specific", I1399="Invalid - Not Informed", I1399="Invalid - Ambiguous"), "Gap - Invalid Consent", "Compliant")))))</f>
        <v/>
      </c>
      <c r="O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>
        <f>IF(D1400="Legitimate Interest (GDPR Art. 6(1)(f))", "Yes / Required (Sheet 3)", "")</f>
        <v/>
      </c>
      <c r="L1400" s="7" t="n"/>
      <c r="M1400" s="7" t="n"/>
      <c r="N1400">
        <f>IF(D1400="", "Gap - No Legal Basis", IF(AND(D1400="Consent (GDPR Art. 6(1)(a))", I1400="Not Captured"), "Gap - Invalid Consent", IF(AND(D1400="Legitimate Interest (GDPR Art. 6(1)(f))", L1400=""), "Gap - Missing LIA", IF(AND(G1400="Yes", H1400=""), "Gap - Missing Art. 9 Basis", IF(OR(I1400="Invalid - Not Freely Given", I1400="Invalid - Not Specific", I1400="Invalid - Not Informed", I1400="Invalid - Ambiguous"), "Gap - Invalid Consent", "Compliant")))))</f>
        <v/>
      </c>
      <c r="O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>
        <f>IF(D1401="Legitimate Interest (GDPR Art. 6(1)(f))", "Yes / Required (Sheet 3)", "")</f>
        <v/>
      </c>
      <c r="L1401" s="7" t="n"/>
      <c r="M1401" s="7" t="n"/>
      <c r="N1401">
        <f>IF(D1401="", "Gap - No Legal Basis", IF(AND(D1401="Consent (GDPR Art. 6(1)(a))", I1401="Not Captured"), "Gap - Invalid Consent", IF(AND(D1401="Legitimate Interest (GDPR Art. 6(1)(f))", L1401=""), "Gap - Missing LIA", IF(AND(G1401="Yes", H1401=""), "Gap - Missing Art. 9 Basis", IF(OR(I1401="Invalid - Not Freely Given", I1401="Invalid - Not Specific", I1401="Invalid - Not Informed", I1401="Invalid - Ambiguous"), "Gap - Invalid Consent", "Compliant")))))</f>
        <v/>
      </c>
      <c r="O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>
        <f>IF(D1402="Legitimate Interest (GDPR Art. 6(1)(f))", "Yes / Required (Sheet 3)", "")</f>
        <v/>
      </c>
      <c r="L1402" s="7" t="n"/>
      <c r="M1402" s="7" t="n"/>
      <c r="N1402">
        <f>IF(D1402="", "Gap - No Legal Basis", IF(AND(D1402="Consent (GDPR Art. 6(1)(a))", I1402="Not Captured"), "Gap - Invalid Consent", IF(AND(D1402="Legitimate Interest (GDPR Art. 6(1)(f))", L1402=""), "Gap - Missing LIA", IF(AND(G1402="Yes", H1402=""), "Gap - Missing Art. 9 Basis", IF(OR(I1402="Invalid - Not Freely Given", I1402="Invalid - Not Specific", I1402="Invalid - Not Informed", I1402="Invalid - Ambiguous"), "Gap - Invalid Consent", "Compliant")))))</f>
        <v/>
      </c>
      <c r="O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>
        <f>IF(D1403="Legitimate Interest (GDPR Art. 6(1)(f))", "Yes / Required (Sheet 3)", "")</f>
        <v/>
      </c>
      <c r="L1403" s="7" t="n"/>
      <c r="M1403" s="7" t="n"/>
      <c r="N1403">
        <f>IF(D1403="", "Gap - No Legal Basis", IF(AND(D1403="Consent (GDPR Art. 6(1)(a))", I1403="Not Captured"), "Gap - Invalid Consent", IF(AND(D1403="Legitimate Interest (GDPR Art. 6(1)(f))", L1403=""), "Gap - Missing LIA", IF(AND(G1403="Yes", H1403=""), "Gap - Missing Art. 9 Basis", IF(OR(I1403="Invalid - Not Freely Given", I1403="Invalid - Not Specific", I1403="Invalid - Not Informed", I1403="Invalid - Ambiguous"), "Gap - Invalid Consent", "Compliant")))))</f>
        <v/>
      </c>
      <c r="O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>
        <f>IF(D1404="Legitimate Interest (GDPR Art. 6(1)(f))", "Yes / Required (Sheet 3)", "")</f>
        <v/>
      </c>
      <c r="L1404" s="7" t="n"/>
      <c r="M1404" s="7" t="n"/>
      <c r="N1404">
        <f>IF(D1404="", "Gap - No Legal Basis", IF(AND(D1404="Consent (GDPR Art. 6(1)(a))", I1404="Not Captured"), "Gap - Invalid Consent", IF(AND(D1404="Legitimate Interest (GDPR Art. 6(1)(f))", L1404=""), "Gap - Missing LIA", IF(AND(G1404="Yes", H1404=""), "Gap - Missing Art. 9 Basis", IF(OR(I1404="Invalid - Not Freely Given", I1404="Invalid - Not Specific", I1404="Invalid - Not Informed", I1404="Invalid - Ambiguous"), "Gap - Invalid Consent", "Compliant")))))</f>
        <v/>
      </c>
      <c r="O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>
        <f>IF(D1405="Legitimate Interest (GDPR Art. 6(1)(f))", "Yes / Required (Sheet 3)", "")</f>
        <v/>
      </c>
      <c r="L1405" s="7" t="n"/>
      <c r="M1405" s="7" t="n"/>
      <c r="N1405">
        <f>IF(D1405="", "Gap - No Legal Basis", IF(AND(D1405="Consent (GDPR Art. 6(1)(a))", I1405="Not Captured"), "Gap - Invalid Consent", IF(AND(D1405="Legitimate Interest (GDPR Art. 6(1)(f))", L1405=""), "Gap - Missing LIA", IF(AND(G1405="Yes", H1405=""), "Gap - Missing Art. 9 Basis", IF(OR(I1405="Invalid - Not Freely Given", I1405="Invalid - Not Specific", I1405="Invalid - Not Informed", I1405="Invalid - Ambiguous"), "Gap - Invalid Consent", "Compliant")))))</f>
        <v/>
      </c>
      <c r="O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>
        <f>IF(D1406="Legitimate Interest (GDPR Art. 6(1)(f))", "Yes / Required (Sheet 3)", "")</f>
        <v/>
      </c>
      <c r="L1406" s="7" t="n"/>
      <c r="M1406" s="7" t="n"/>
      <c r="N1406">
        <f>IF(D1406="", "Gap - No Legal Basis", IF(AND(D1406="Consent (GDPR Art. 6(1)(a))", I1406="Not Captured"), "Gap - Invalid Consent", IF(AND(D1406="Legitimate Interest (GDPR Art. 6(1)(f))", L1406=""), "Gap - Missing LIA", IF(AND(G1406="Yes", H1406=""), "Gap - Missing Art. 9 Basis", IF(OR(I1406="Invalid - Not Freely Given", I1406="Invalid - Not Specific", I1406="Invalid - Not Informed", I1406="Invalid - Ambiguous"), "Gap - Invalid Consent", "Compliant")))))</f>
        <v/>
      </c>
      <c r="O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>
        <f>IF(D1407="Legitimate Interest (GDPR Art. 6(1)(f))", "Yes / Required (Sheet 3)", "")</f>
        <v/>
      </c>
      <c r="L1407" s="7" t="n"/>
      <c r="M1407" s="7" t="n"/>
      <c r="N1407">
        <f>IF(D1407="", "Gap - No Legal Basis", IF(AND(D1407="Consent (GDPR Art. 6(1)(a))", I1407="Not Captured"), "Gap - Invalid Consent", IF(AND(D1407="Legitimate Interest (GDPR Art. 6(1)(f))", L1407=""), "Gap - Missing LIA", IF(AND(G1407="Yes", H1407=""), "Gap - Missing Art. 9 Basis", IF(OR(I1407="Invalid - Not Freely Given", I1407="Invalid - Not Specific", I1407="Invalid - Not Informed", I1407="Invalid - Ambiguous"), "Gap - Invalid Consent", "Compliant")))))</f>
        <v/>
      </c>
      <c r="O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>
        <f>IF(D1408="Legitimate Interest (GDPR Art. 6(1)(f))", "Yes / Required (Sheet 3)", "")</f>
        <v/>
      </c>
      <c r="L1408" s="7" t="n"/>
      <c r="M1408" s="7" t="n"/>
      <c r="N1408">
        <f>IF(D1408="", "Gap - No Legal Basis", IF(AND(D1408="Consent (GDPR Art. 6(1)(a))", I1408="Not Captured"), "Gap - Invalid Consent", IF(AND(D1408="Legitimate Interest (GDPR Art. 6(1)(f))", L1408=""), "Gap - Missing LIA", IF(AND(G1408="Yes", H1408=""), "Gap - Missing Art. 9 Basis", IF(OR(I1408="Invalid - Not Freely Given", I1408="Invalid - Not Specific", I1408="Invalid - Not Informed", I1408="Invalid - Ambiguous"), "Gap - Invalid Consent", "Compliant")))))</f>
        <v/>
      </c>
      <c r="O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>
        <f>IF(D1409="Legitimate Interest (GDPR Art. 6(1)(f))", "Yes / Required (Sheet 3)", "")</f>
        <v/>
      </c>
      <c r="L1409" s="7" t="n"/>
      <c r="M1409" s="7" t="n"/>
      <c r="N1409">
        <f>IF(D1409="", "Gap - No Legal Basis", IF(AND(D1409="Consent (GDPR Art. 6(1)(a))", I1409="Not Captured"), "Gap - Invalid Consent", IF(AND(D1409="Legitimate Interest (GDPR Art. 6(1)(f))", L1409=""), "Gap - Missing LIA", IF(AND(G1409="Yes", H1409=""), "Gap - Missing Art. 9 Basis", IF(OR(I1409="Invalid - Not Freely Given", I1409="Invalid - Not Specific", I1409="Invalid - Not Informed", I1409="Invalid - Ambiguous"), "Gap - Invalid Consent", "Compliant")))))</f>
        <v/>
      </c>
      <c r="O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>
        <f>IF(D1410="Legitimate Interest (GDPR Art. 6(1)(f))", "Yes / Required (Sheet 3)", "")</f>
        <v/>
      </c>
      <c r="L1410" s="7" t="n"/>
      <c r="M1410" s="7" t="n"/>
      <c r="N1410">
        <f>IF(D1410="", "Gap - No Legal Basis", IF(AND(D1410="Consent (GDPR Art. 6(1)(a))", I1410="Not Captured"), "Gap - Invalid Consent", IF(AND(D1410="Legitimate Interest (GDPR Art. 6(1)(f))", L1410=""), "Gap - Missing LIA", IF(AND(G1410="Yes", H1410=""), "Gap - Missing Art. 9 Basis", IF(OR(I1410="Invalid - Not Freely Given", I1410="Invalid - Not Specific", I1410="Invalid - Not Informed", I1410="Invalid - Ambiguous"), "Gap - Invalid Consent", "Compliant")))))</f>
        <v/>
      </c>
      <c r="O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>
        <f>IF(D1411="Legitimate Interest (GDPR Art. 6(1)(f))", "Yes / Required (Sheet 3)", "")</f>
        <v/>
      </c>
      <c r="L1411" s="7" t="n"/>
      <c r="M1411" s="7" t="n"/>
      <c r="N1411">
        <f>IF(D1411="", "Gap - No Legal Basis", IF(AND(D1411="Consent (GDPR Art. 6(1)(a))", I1411="Not Captured"), "Gap - Invalid Consent", IF(AND(D1411="Legitimate Interest (GDPR Art. 6(1)(f))", L1411=""), "Gap - Missing LIA", IF(AND(G1411="Yes", H1411=""), "Gap - Missing Art. 9 Basis", IF(OR(I1411="Invalid - Not Freely Given", I1411="Invalid - Not Specific", I1411="Invalid - Not Informed", I1411="Invalid - Ambiguous"), "Gap - Invalid Consent", "Compliant")))))</f>
        <v/>
      </c>
      <c r="O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>
        <f>IF(D1412="Legitimate Interest (GDPR Art. 6(1)(f))", "Yes / Required (Sheet 3)", "")</f>
        <v/>
      </c>
      <c r="L1412" s="7" t="n"/>
      <c r="M1412" s="7" t="n"/>
      <c r="N1412">
        <f>IF(D1412="", "Gap - No Legal Basis", IF(AND(D1412="Consent (GDPR Art. 6(1)(a))", I1412="Not Captured"), "Gap - Invalid Consent", IF(AND(D1412="Legitimate Interest (GDPR Art. 6(1)(f))", L1412=""), "Gap - Missing LIA", IF(AND(G1412="Yes", H1412=""), "Gap - Missing Art. 9 Basis", IF(OR(I1412="Invalid - Not Freely Given", I1412="Invalid - Not Specific", I1412="Invalid - Not Informed", I1412="Invalid - Ambiguous"), "Gap - Invalid Consent", "Compliant")))))</f>
        <v/>
      </c>
      <c r="O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>
        <f>IF(D1413="Legitimate Interest (GDPR Art. 6(1)(f))", "Yes / Required (Sheet 3)", "")</f>
        <v/>
      </c>
      <c r="L1413" s="7" t="n"/>
      <c r="M1413" s="7" t="n"/>
      <c r="N1413">
        <f>IF(D1413="", "Gap - No Legal Basis", IF(AND(D1413="Consent (GDPR Art. 6(1)(a))", I1413="Not Captured"), "Gap - Invalid Consent", IF(AND(D1413="Legitimate Interest (GDPR Art. 6(1)(f))", L1413=""), "Gap - Missing LIA", IF(AND(G1413="Yes", H1413=""), "Gap - Missing Art. 9 Basis", IF(OR(I1413="Invalid - Not Freely Given", I1413="Invalid - Not Specific", I1413="Invalid - Not Informed", I1413="Invalid - Ambiguous"), "Gap - Invalid Consent", "Compliant")))))</f>
        <v/>
      </c>
      <c r="O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>
        <f>IF(D1414="Legitimate Interest (GDPR Art. 6(1)(f))", "Yes / Required (Sheet 3)", "")</f>
        <v/>
      </c>
      <c r="L1414" s="7" t="n"/>
      <c r="M1414" s="7" t="n"/>
      <c r="N1414">
        <f>IF(D1414="", "Gap - No Legal Basis", IF(AND(D1414="Consent (GDPR Art. 6(1)(a))", I1414="Not Captured"), "Gap - Invalid Consent", IF(AND(D1414="Legitimate Interest (GDPR Art. 6(1)(f))", L1414=""), "Gap - Missing LIA", IF(AND(G1414="Yes", H1414=""), "Gap - Missing Art. 9 Basis", IF(OR(I1414="Invalid - Not Freely Given", I1414="Invalid - Not Specific", I1414="Invalid - Not Informed", I1414="Invalid - Ambiguous"), "Gap - Invalid Consent", "Compliant")))))</f>
        <v/>
      </c>
      <c r="O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>
        <f>IF(D1415="Legitimate Interest (GDPR Art. 6(1)(f))", "Yes / Required (Sheet 3)", "")</f>
        <v/>
      </c>
      <c r="L1415" s="7" t="n"/>
      <c r="M1415" s="7" t="n"/>
      <c r="N1415">
        <f>IF(D1415="", "Gap - No Legal Basis", IF(AND(D1415="Consent (GDPR Art. 6(1)(a))", I1415="Not Captured"), "Gap - Invalid Consent", IF(AND(D1415="Legitimate Interest (GDPR Art. 6(1)(f))", L1415=""), "Gap - Missing LIA", IF(AND(G1415="Yes", H1415=""), "Gap - Missing Art. 9 Basis", IF(OR(I1415="Invalid - Not Freely Given", I1415="Invalid - Not Specific", I1415="Invalid - Not Informed", I1415="Invalid - Ambiguous"), "Gap - Invalid Consent", "Compliant")))))</f>
        <v/>
      </c>
      <c r="O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>
        <f>IF(D1416="Legitimate Interest (GDPR Art. 6(1)(f))", "Yes / Required (Sheet 3)", "")</f>
        <v/>
      </c>
      <c r="L1416" s="7" t="n"/>
      <c r="M1416" s="7" t="n"/>
      <c r="N1416">
        <f>IF(D1416="", "Gap - No Legal Basis", IF(AND(D1416="Consent (GDPR Art. 6(1)(a))", I1416="Not Captured"), "Gap - Invalid Consent", IF(AND(D1416="Legitimate Interest (GDPR Art. 6(1)(f))", L1416=""), "Gap - Missing LIA", IF(AND(G1416="Yes", H1416=""), "Gap - Missing Art. 9 Basis", IF(OR(I1416="Invalid - Not Freely Given", I1416="Invalid - Not Specific", I1416="Invalid - Not Informed", I1416="Invalid - Ambiguous"), "Gap - Invalid Consent", "Compliant")))))</f>
        <v/>
      </c>
      <c r="O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>
        <f>IF(D1417="Legitimate Interest (GDPR Art. 6(1)(f))", "Yes / Required (Sheet 3)", "")</f>
        <v/>
      </c>
      <c r="L1417" s="7" t="n"/>
      <c r="M1417" s="7" t="n"/>
      <c r="N1417">
        <f>IF(D1417="", "Gap - No Legal Basis", IF(AND(D1417="Consent (GDPR Art. 6(1)(a))", I1417="Not Captured"), "Gap - Invalid Consent", IF(AND(D1417="Legitimate Interest (GDPR Art. 6(1)(f))", L1417=""), "Gap - Missing LIA", IF(AND(G1417="Yes", H1417=""), "Gap - Missing Art. 9 Basis", IF(OR(I1417="Invalid - Not Freely Given", I1417="Invalid - Not Specific", I1417="Invalid - Not Informed", I1417="Invalid - Ambiguous"), "Gap - Invalid Consent", "Compliant")))))</f>
        <v/>
      </c>
      <c r="O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>
        <f>IF(D1418="Legitimate Interest (GDPR Art. 6(1)(f))", "Yes / Required (Sheet 3)", "")</f>
        <v/>
      </c>
      <c r="L1418" s="7" t="n"/>
      <c r="M1418" s="7" t="n"/>
      <c r="N1418">
        <f>IF(D1418="", "Gap - No Legal Basis", IF(AND(D1418="Consent (GDPR Art. 6(1)(a))", I1418="Not Captured"), "Gap - Invalid Consent", IF(AND(D1418="Legitimate Interest (GDPR Art. 6(1)(f))", L1418=""), "Gap - Missing LIA", IF(AND(G1418="Yes", H1418=""), "Gap - Missing Art. 9 Basis", IF(OR(I1418="Invalid - Not Freely Given", I1418="Invalid - Not Specific", I1418="Invalid - Not Informed", I1418="Invalid - Ambiguous"), "Gap - Invalid Consent", "Compliant")))))</f>
        <v/>
      </c>
      <c r="O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>
        <f>IF(D1419="Legitimate Interest (GDPR Art. 6(1)(f))", "Yes / Required (Sheet 3)", "")</f>
        <v/>
      </c>
      <c r="L1419" s="7" t="n"/>
      <c r="M1419" s="7" t="n"/>
      <c r="N1419">
        <f>IF(D1419="", "Gap - No Legal Basis", IF(AND(D1419="Consent (GDPR Art. 6(1)(a))", I1419="Not Captured"), "Gap - Invalid Consent", IF(AND(D1419="Legitimate Interest (GDPR Art. 6(1)(f))", L1419=""), "Gap - Missing LIA", IF(AND(G1419="Yes", H1419=""), "Gap - Missing Art. 9 Basis", IF(OR(I1419="Invalid - Not Freely Given", I1419="Invalid - Not Specific", I1419="Invalid - Not Informed", I1419="Invalid - Ambiguous"), "Gap - Invalid Consent", "Compliant")))))</f>
        <v/>
      </c>
      <c r="O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>
        <f>IF(D1420="Legitimate Interest (GDPR Art. 6(1)(f))", "Yes / Required (Sheet 3)", "")</f>
        <v/>
      </c>
      <c r="L1420" s="7" t="n"/>
      <c r="M1420" s="7" t="n"/>
      <c r="N1420">
        <f>IF(D1420="", "Gap - No Legal Basis", IF(AND(D1420="Consent (GDPR Art. 6(1)(a))", I1420="Not Captured"), "Gap - Invalid Consent", IF(AND(D1420="Legitimate Interest (GDPR Art. 6(1)(f))", L1420=""), "Gap - Missing LIA", IF(AND(G1420="Yes", H1420=""), "Gap - Missing Art. 9 Basis", IF(OR(I1420="Invalid - Not Freely Given", I1420="Invalid - Not Specific", I1420="Invalid - Not Informed", I1420="Invalid - Ambiguous"), "Gap - Invalid Consent", "Compliant")))))</f>
        <v/>
      </c>
      <c r="O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>
        <f>IF(D1421="Legitimate Interest (GDPR Art. 6(1)(f))", "Yes / Required (Sheet 3)", "")</f>
        <v/>
      </c>
      <c r="L1421" s="7" t="n"/>
      <c r="M1421" s="7" t="n"/>
      <c r="N1421">
        <f>IF(D1421="", "Gap - No Legal Basis", IF(AND(D1421="Consent (GDPR Art. 6(1)(a))", I1421="Not Captured"), "Gap - Invalid Consent", IF(AND(D1421="Legitimate Interest (GDPR Art. 6(1)(f))", L1421=""), "Gap - Missing LIA", IF(AND(G1421="Yes", H1421=""), "Gap - Missing Art. 9 Basis", IF(OR(I1421="Invalid - Not Freely Given", I1421="Invalid - Not Specific", I1421="Invalid - Not Informed", I1421="Invalid - Ambiguous"), "Gap - Invalid Consent", "Compliant")))))</f>
        <v/>
      </c>
      <c r="O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>
        <f>IF(D1422="Legitimate Interest (GDPR Art. 6(1)(f))", "Yes / Required (Sheet 3)", "")</f>
        <v/>
      </c>
      <c r="L1422" s="7" t="n"/>
      <c r="M1422" s="7" t="n"/>
      <c r="N1422">
        <f>IF(D1422="", "Gap - No Legal Basis", IF(AND(D1422="Consent (GDPR Art. 6(1)(a))", I1422="Not Captured"), "Gap - Invalid Consent", IF(AND(D1422="Legitimate Interest (GDPR Art. 6(1)(f))", L1422=""), "Gap - Missing LIA", IF(AND(G1422="Yes", H1422=""), "Gap - Missing Art. 9 Basis", IF(OR(I1422="Invalid - Not Freely Given", I1422="Invalid - Not Specific", I1422="Invalid - Not Informed", I1422="Invalid - Ambiguous"), "Gap - Invalid Consent", "Compliant")))))</f>
        <v/>
      </c>
      <c r="O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>
        <f>IF(D1423="Legitimate Interest (GDPR Art. 6(1)(f))", "Yes / Required (Sheet 3)", "")</f>
        <v/>
      </c>
      <c r="L1423" s="7" t="n"/>
      <c r="M1423" s="7" t="n"/>
      <c r="N1423">
        <f>IF(D1423="", "Gap - No Legal Basis", IF(AND(D1423="Consent (GDPR Art. 6(1)(a))", I1423="Not Captured"), "Gap - Invalid Consent", IF(AND(D1423="Legitimate Interest (GDPR Art. 6(1)(f))", L1423=""), "Gap - Missing LIA", IF(AND(G1423="Yes", H1423=""), "Gap - Missing Art. 9 Basis", IF(OR(I1423="Invalid - Not Freely Given", I1423="Invalid - Not Specific", I1423="Invalid - Not Informed", I1423="Invalid - Ambiguous"), "Gap - Invalid Consent", "Compliant")))))</f>
        <v/>
      </c>
      <c r="O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>
        <f>IF(D1424="Legitimate Interest (GDPR Art. 6(1)(f))", "Yes / Required (Sheet 3)", "")</f>
        <v/>
      </c>
      <c r="L1424" s="7" t="n"/>
      <c r="M1424" s="7" t="n"/>
      <c r="N1424">
        <f>IF(D1424="", "Gap - No Legal Basis", IF(AND(D1424="Consent (GDPR Art. 6(1)(a))", I1424="Not Captured"), "Gap - Invalid Consent", IF(AND(D1424="Legitimate Interest (GDPR Art. 6(1)(f))", L1424=""), "Gap - Missing LIA", IF(AND(G1424="Yes", H1424=""), "Gap - Missing Art. 9 Basis", IF(OR(I1424="Invalid - Not Freely Given", I1424="Invalid - Not Specific", I1424="Invalid - Not Informed", I1424="Invalid - Ambiguous"), "Gap - Invalid Consent", "Compliant")))))</f>
        <v/>
      </c>
      <c r="O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>
        <f>IF(D1425="Legitimate Interest (GDPR Art. 6(1)(f))", "Yes / Required (Sheet 3)", "")</f>
        <v/>
      </c>
      <c r="L1425" s="7" t="n"/>
      <c r="M1425" s="7" t="n"/>
      <c r="N1425">
        <f>IF(D1425="", "Gap - No Legal Basis", IF(AND(D1425="Consent (GDPR Art. 6(1)(a))", I1425="Not Captured"), "Gap - Invalid Consent", IF(AND(D1425="Legitimate Interest (GDPR Art. 6(1)(f))", L1425=""), "Gap - Missing LIA", IF(AND(G1425="Yes", H1425=""), "Gap - Missing Art. 9 Basis", IF(OR(I1425="Invalid - Not Freely Given", I1425="Invalid - Not Specific", I1425="Invalid - Not Informed", I1425="Invalid - Ambiguous"), "Gap - Invalid Consent", "Compliant")))))</f>
        <v/>
      </c>
      <c r="O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>
        <f>IF(D1426="Legitimate Interest (GDPR Art. 6(1)(f))", "Yes / Required (Sheet 3)", "")</f>
        <v/>
      </c>
      <c r="L1426" s="7" t="n"/>
      <c r="M1426" s="7" t="n"/>
      <c r="N1426">
        <f>IF(D1426="", "Gap - No Legal Basis", IF(AND(D1426="Consent (GDPR Art. 6(1)(a))", I1426="Not Captured"), "Gap - Invalid Consent", IF(AND(D1426="Legitimate Interest (GDPR Art. 6(1)(f))", L1426=""), "Gap - Missing LIA", IF(AND(G1426="Yes", H1426=""), "Gap - Missing Art. 9 Basis", IF(OR(I1426="Invalid - Not Freely Given", I1426="Invalid - Not Specific", I1426="Invalid - Not Informed", I1426="Invalid - Ambiguous"), "Gap - Invalid Consent", "Compliant")))))</f>
        <v/>
      </c>
      <c r="O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>
        <f>IF(D1427="Legitimate Interest (GDPR Art. 6(1)(f))", "Yes / Required (Sheet 3)", "")</f>
        <v/>
      </c>
      <c r="L1427" s="7" t="n"/>
      <c r="M1427" s="7" t="n"/>
      <c r="N1427">
        <f>IF(D1427="", "Gap - No Legal Basis", IF(AND(D1427="Consent (GDPR Art. 6(1)(a))", I1427="Not Captured"), "Gap - Invalid Consent", IF(AND(D1427="Legitimate Interest (GDPR Art. 6(1)(f))", L1427=""), "Gap - Missing LIA", IF(AND(G1427="Yes", H1427=""), "Gap - Missing Art. 9 Basis", IF(OR(I1427="Invalid - Not Freely Given", I1427="Invalid - Not Specific", I1427="Invalid - Not Informed", I1427="Invalid - Ambiguous"), "Gap - Invalid Consent", "Compliant")))))</f>
        <v/>
      </c>
      <c r="O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>
        <f>IF(D1428="Legitimate Interest (GDPR Art. 6(1)(f))", "Yes / Required (Sheet 3)", "")</f>
        <v/>
      </c>
      <c r="L1428" s="7" t="n"/>
      <c r="M1428" s="7" t="n"/>
      <c r="N1428">
        <f>IF(D1428="", "Gap - No Legal Basis", IF(AND(D1428="Consent (GDPR Art. 6(1)(a))", I1428="Not Captured"), "Gap - Invalid Consent", IF(AND(D1428="Legitimate Interest (GDPR Art. 6(1)(f))", L1428=""), "Gap - Missing LIA", IF(AND(G1428="Yes", H1428=""), "Gap - Missing Art. 9 Basis", IF(OR(I1428="Invalid - Not Freely Given", I1428="Invalid - Not Specific", I1428="Invalid - Not Informed", I1428="Invalid - Ambiguous"), "Gap - Invalid Consent", "Compliant")))))</f>
        <v/>
      </c>
      <c r="O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>
        <f>IF(D1429="Legitimate Interest (GDPR Art. 6(1)(f))", "Yes / Required (Sheet 3)", "")</f>
        <v/>
      </c>
      <c r="L1429" s="7" t="n"/>
      <c r="M1429" s="7" t="n"/>
      <c r="N1429">
        <f>IF(D1429="", "Gap - No Legal Basis", IF(AND(D1429="Consent (GDPR Art. 6(1)(a))", I1429="Not Captured"), "Gap - Invalid Consent", IF(AND(D1429="Legitimate Interest (GDPR Art. 6(1)(f))", L1429=""), "Gap - Missing LIA", IF(AND(G1429="Yes", H1429=""), "Gap - Missing Art. 9 Basis", IF(OR(I1429="Invalid - Not Freely Given", I1429="Invalid - Not Specific", I1429="Invalid - Not Informed", I1429="Invalid - Ambiguous"), "Gap - Invalid Consent", "Compliant")))))</f>
        <v/>
      </c>
      <c r="O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>
        <f>IF(D1430="Legitimate Interest (GDPR Art. 6(1)(f))", "Yes / Required (Sheet 3)", "")</f>
        <v/>
      </c>
      <c r="L1430" s="7" t="n"/>
      <c r="M1430" s="7" t="n"/>
      <c r="N1430">
        <f>IF(D1430="", "Gap - No Legal Basis", IF(AND(D1430="Consent (GDPR Art. 6(1)(a))", I1430="Not Captured"), "Gap - Invalid Consent", IF(AND(D1430="Legitimate Interest (GDPR Art. 6(1)(f))", L1430=""), "Gap - Missing LIA", IF(AND(G1430="Yes", H1430=""), "Gap - Missing Art. 9 Basis", IF(OR(I1430="Invalid - Not Freely Given", I1430="Invalid - Not Specific", I1430="Invalid - Not Informed", I1430="Invalid - Ambiguous"), "Gap - Invalid Consent", "Compliant")))))</f>
        <v/>
      </c>
      <c r="O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>
        <f>IF(D1431="Legitimate Interest (GDPR Art. 6(1)(f))", "Yes / Required (Sheet 3)", "")</f>
        <v/>
      </c>
      <c r="L1431" s="7" t="n"/>
      <c r="M1431" s="7" t="n"/>
      <c r="N1431">
        <f>IF(D1431="", "Gap - No Legal Basis", IF(AND(D1431="Consent (GDPR Art. 6(1)(a))", I1431="Not Captured"), "Gap - Invalid Consent", IF(AND(D1431="Legitimate Interest (GDPR Art. 6(1)(f))", L1431=""), "Gap - Missing LIA", IF(AND(G1431="Yes", H1431=""), "Gap - Missing Art. 9 Basis", IF(OR(I1431="Invalid - Not Freely Given", I1431="Invalid - Not Specific", I1431="Invalid - Not Informed", I1431="Invalid - Ambiguous"), "Gap - Invalid Consent", "Compliant")))))</f>
        <v/>
      </c>
      <c r="O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>
        <f>IF(D1432="Legitimate Interest (GDPR Art. 6(1)(f))", "Yes / Required (Sheet 3)", "")</f>
        <v/>
      </c>
      <c r="L1432" s="7" t="n"/>
      <c r="M1432" s="7" t="n"/>
      <c r="N1432">
        <f>IF(D1432="", "Gap - No Legal Basis", IF(AND(D1432="Consent (GDPR Art. 6(1)(a))", I1432="Not Captured"), "Gap - Invalid Consent", IF(AND(D1432="Legitimate Interest (GDPR Art. 6(1)(f))", L1432=""), "Gap - Missing LIA", IF(AND(G1432="Yes", H1432=""), "Gap - Missing Art. 9 Basis", IF(OR(I1432="Invalid - Not Freely Given", I1432="Invalid - Not Specific", I1432="Invalid - Not Informed", I1432="Invalid - Ambiguous"), "Gap - Invalid Consent", "Compliant")))))</f>
        <v/>
      </c>
      <c r="O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>
        <f>IF(D1433="Legitimate Interest (GDPR Art. 6(1)(f))", "Yes / Required (Sheet 3)", "")</f>
        <v/>
      </c>
      <c r="L1433" s="7" t="n"/>
      <c r="M1433" s="7" t="n"/>
      <c r="N1433">
        <f>IF(D1433="", "Gap - No Legal Basis", IF(AND(D1433="Consent (GDPR Art. 6(1)(a))", I1433="Not Captured"), "Gap - Invalid Consent", IF(AND(D1433="Legitimate Interest (GDPR Art. 6(1)(f))", L1433=""), "Gap - Missing LIA", IF(AND(G1433="Yes", H1433=""), "Gap - Missing Art. 9 Basis", IF(OR(I1433="Invalid - Not Freely Given", I1433="Invalid - Not Specific", I1433="Invalid - Not Informed", I1433="Invalid - Ambiguous"), "Gap - Invalid Consent", "Compliant")))))</f>
        <v/>
      </c>
      <c r="O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>
        <f>IF(D1434="Legitimate Interest (GDPR Art. 6(1)(f))", "Yes / Required (Sheet 3)", "")</f>
        <v/>
      </c>
      <c r="L1434" s="7" t="n"/>
      <c r="M1434" s="7" t="n"/>
      <c r="N1434">
        <f>IF(D1434="", "Gap - No Legal Basis", IF(AND(D1434="Consent (GDPR Art. 6(1)(a))", I1434="Not Captured"), "Gap - Invalid Consent", IF(AND(D1434="Legitimate Interest (GDPR Art. 6(1)(f))", L1434=""), "Gap - Missing LIA", IF(AND(G1434="Yes", H1434=""), "Gap - Missing Art. 9 Basis", IF(OR(I1434="Invalid - Not Freely Given", I1434="Invalid - Not Specific", I1434="Invalid - Not Informed", I1434="Invalid - Ambiguous"), "Gap - Invalid Consent", "Compliant")))))</f>
        <v/>
      </c>
      <c r="O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>
        <f>IF(D1435="Legitimate Interest (GDPR Art. 6(1)(f))", "Yes / Required (Sheet 3)", "")</f>
        <v/>
      </c>
      <c r="L1435" s="7" t="n"/>
      <c r="M1435" s="7" t="n"/>
      <c r="N1435">
        <f>IF(D1435="", "Gap - No Legal Basis", IF(AND(D1435="Consent (GDPR Art. 6(1)(a))", I1435="Not Captured"), "Gap - Invalid Consent", IF(AND(D1435="Legitimate Interest (GDPR Art. 6(1)(f))", L1435=""), "Gap - Missing LIA", IF(AND(G1435="Yes", H1435=""), "Gap - Missing Art. 9 Basis", IF(OR(I1435="Invalid - Not Freely Given", I1435="Invalid - Not Specific", I1435="Invalid - Not Informed", I1435="Invalid - Ambiguous"), "Gap - Invalid Consent", "Compliant")))))</f>
        <v/>
      </c>
      <c r="O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>
        <f>IF(D1436="Legitimate Interest (GDPR Art. 6(1)(f))", "Yes / Required (Sheet 3)", "")</f>
        <v/>
      </c>
      <c r="L1436" s="7" t="n"/>
      <c r="M1436" s="7" t="n"/>
      <c r="N1436">
        <f>IF(D1436="", "Gap - No Legal Basis", IF(AND(D1436="Consent (GDPR Art. 6(1)(a))", I1436="Not Captured"), "Gap - Invalid Consent", IF(AND(D1436="Legitimate Interest (GDPR Art. 6(1)(f))", L1436=""), "Gap - Missing LIA", IF(AND(G1436="Yes", H1436=""), "Gap - Missing Art. 9 Basis", IF(OR(I1436="Invalid - Not Freely Given", I1436="Invalid - Not Specific", I1436="Invalid - Not Informed", I1436="Invalid - Ambiguous"), "Gap - Invalid Consent", "Compliant")))))</f>
        <v/>
      </c>
      <c r="O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>
        <f>IF(D1437="Legitimate Interest (GDPR Art. 6(1)(f))", "Yes / Required (Sheet 3)", "")</f>
        <v/>
      </c>
      <c r="L1437" s="7" t="n"/>
      <c r="M1437" s="7" t="n"/>
      <c r="N1437">
        <f>IF(D1437="", "Gap - No Legal Basis", IF(AND(D1437="Consent (GDPR Art. 6(1)(a))", I1437="Not Captured"), "Gap - Invalid Consent", IF(AND(D1437="Legitimate Interest (GDPR Art. 6(1)(f))", L1437=""), "Gap - Missing LIA", IF(AND(G1437="Yes", H1437=""), "Gap - Missing Art. 9 Basis", IF(OR(I1437="Invalid - Not Freely Given", I1437="Invalid - Not Specific", I1437="Invalid - Not Informed", I1437="Invalid - Ambiguous"), "Gap - Invalid Consent", "Compliant")))))</f>
        <v/>
      </c>
      <c r="O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>
        <f>IF(D1438="Legitimate Interest (GDPR Art. 6(1)(f))", "Yes / Required (Sheet 3)", "")</f>
        <v/>
      </c>
      <c r="L1438" s="7" t="n"/>
      <c r="M1438" s="7" t="n"/>
      <c r="N1438">
        <f>IF(D1438="", "Gap - No Legal Basis", IF(AND(D1438="Consent (GDPR Art. 6(1)(a))", I1438="Not Captured"), "Gap - Invalid Consent", IF(AND(D1438="Legitimate Interest (GDPR Art. 6(1)(f))", L1438=""), "Gap - Missing LIA", IF(AND(G1438="Yes", H1438=""), "Gap - Missing Art. 9 Basis", IF(OR(I1438="Invalid - Not Freely Given", I1438="Invalid - Not Specific", I1438="Invalid - Not Informed", I1438="Invalid - Ambiguous"), "Gap - Invalid Consent", "Compliant")))))</f>
        <v/>
      </c>
      <c r="O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>
        <f>IF(D1439="Legitimate Interest (GDPR Art. 6(1)(f))", "Yes / Required (Sheet 3)", "")</f>
        <v/>
      </c>
      <c r="L1439" s="7" t="n"/>
      <c r="M1439" s="7" t="n"/>
      <c r="N1439">
        <f>IF(D1439="", "Gap - No Legal Basis", IF(AND(D1439="Consent (GDPR Art. 6(1)(a))", I1439="Not Captured"), "Gap - Invalid Consent", IF(AND(D1439="Legitimate Interest (GDPR Art. 6(1)(f))", L1439=""), "Gap - Missing LIA", IF(AND(G1439="Yes", H1439=""), "Gap - Missing Art. 9 Basis", IF(OR(I1439="Invalid - Not Freely Given", I1439="Invalid - Not Specific", I1439="Invalid - Not Informed", I1439="Invalid - Ambiguous"), "Gap - Invalid Consent", "Compliant")))))</f>
        <v/>
      </c>
      <c r="O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>
        <f>IF(D1440="Legitimate Interest (GDPR Art. 6(1)(f))", "Yes / Required (Sheet 3)", "")</f>
        <v/>
      </c>
      <c r="L1440" s="7" t="n"/>
      <c r="M1440" s="7" t="n"/>
      <c r="N1440">
        <f>IF(D1440="", "Gap - No Legal Basis", IF(AND(D1440="Consent (GDPR Art. 6(1)(a))", I1440="Not Captured"), "Gap - Invalid Consent", IF(AND(D1440="Legitimate Interest (GDPR Art. 6(1)(f))", L1440=""), "Gap - Missing LIA", IF(AND(G1440="Yes", H1440=""), "Gap - Missing Art. 9 Basis", IF(OR(I1440="Invalid - Not Freely Given", I1440="Invalid - Not Specific", I1440="Invalid - Not Informed", I1440="Invalid - Ambiguous"), "Gap - Invalid Consent", "Compliant")))))</f>
        <v/>
      </c>
      <c r="O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>
        <f>IF(D1441="Legitimate Interest (GDPR Art. 6(1)(f))", "Yes / Required (Sheet 3)", "")</f>
        <v/>
      </c>
      <c r="L1441" s="7" t="n"/>
      <c r="M1441" s="7" t="n"/>
      <c r="N1441">
        <f>IF(D1441="", "Gap - No Legal Basis", IF(AND(D1441="Consent (GDPR Art. 6(1)(a))", I1441="Not Captured"), "Gap - Invalid Consent", IF(AND(D1441="Legitimate Interest (GDPR Art. 6(1)(f))", L1441=""), "Gap - Missing LIA", IF(AND(G1441="Yes", H1441=""), "Gap - Missing Art. 9 Basis", IF(OR(I1441="Invalid - Not Freely Given", I1441="Invalid - Not Specific", I1441="Invalid - Not Informed", I1441="Invalid - Ambiguous"), "Gap - Invalid Consent", "Compliant")))))</f>
        <v/>
      </c>
      <c r="O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>
        <f>IF(D1442="Legitimate Interest (GDPR Art. 6(1)(f))", "Yes / Required (Sheet 3)", "")</f>
        <v/>
      </c>
      <c r="L1442" s="7" t="n"/>
      <c r="M1442" s="7" t="n"/>
      <c r="N1442">
        <f>IF(D1442="", "Gap - No Legal Basis", IF(AND(D1442="Consent (GDPR Art. 6(1)(a))", I1442="Not Captured"), "Gap - Invalid Consent", IF(AND(D1442="Legitimate Interest (GDPR Art. 6(1)(f))", L1442=""), "Gap - Missing LIA", IF(AND(G1442="Yes", H1442=""), "Gap - Missing Art. 9 Basis", IF(OR(I1442="Invalid - Not Freely Given", I1442="Invalid - Not Specific", I1442="Invalid - Not Informed", I1442="Invalid - Ambiguous"), "Gap - Invalid Consent", "Compliant")))))</f>
        <v/>
      </c>
      <c r="O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>
        <f>IF(D1443="Legitimate Interest (GDPR Art. 6(1)(f))", "Yes / Required (Sheet 3)", "")</f>
        <v/>
      </c>
      <c r="L1443" s="7" t="n"/>
      <c r="M1443" s="7" t="n"/>
      <c r="N1443">
        <f>IF(D1443="", "Gap - No Legal Basis", IF(AND(D1443="Consent (GDPR Art. 6(1)(a))", I1443="Not Captured"), "Gap - Invalid Consent", IF(AND(D1443="Legitimate Interest (GDPR Art. 6(1)(f))", L1443=""), "Gap - Missing LIA", IF(AND(G1443="Yes", H1443=""), "Gap - Missing Art. 9 Basis", IF(OR(I1443="Invalid - Not Freely Given", I1443="Invalid - Not Specific", I1443="Invalid - Not Informed", I1443="Invalid - Ambiguous"), "Gap - Invalid Consent", "Compliant")))))</f>
        <v/>
      </c>
      <c r="O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>
        <f>IF(D1444="Legitimate Interest (GDPR Art. 6(1)(f))", "Yes / Required (Sheet 3)", "")</f>
        <v/>
      </c>
      <c r="L1444" s="7" t="n"/>
      <c r="M1444" s="7" t="n"/>
      <c r="N1444">
        <f>IF(D1444="", "Gap - No Legal Basis", IF(AND(D1444="Consent (GDPR Art. 6(1)(a))", I1444="Not Captured"), "Gap - Invalid Consent", IF(AND(D1444="Legitimate Interest (GDPR Art. 6(1)(f))", L1444=""), "Gap - Missing LIA", IF(AND(G1444="Yes", H1444=""), "Gap - Missing Art. 9 Basis", IF(OR(I1444="Invalid - Not Freely Given", I1444="Invalid - Not Specific", I1444="Invalid - Not Informed", I1444="Invalid - Ambiguous"), "Gap - Invalid Consent", "Compliant")))))</f>
        <v/>
      </c>
      <c r="O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>
        <f>IF(D1445="Legitimate Interest (GDPR Art. 6(1)(f))", "Yes / Required (Sheet 3)", "")</f>
        <v/>
      </c>
      <c r="L1445" s="7" t="n"/>
      <c r="M1445" s="7" t="n"/>
      <c r="N1445">
        <f>IF(D1445="", "Gap - No Legal Basis", IF(AND(D1445="Consent (GDPR Art. 6(1)(a))", I1445="Not Captured"), "Gap - Invalid Consent", IF(AND(D1445="Legitimate Interest (GDPR Art. 6(1)(f))", L1445=""), "Gap - Missing LIA", IF(AND(G1445="Yes", H1445=""), "Gap - Missing Art. 9 Basis", IF(OR(I1445="Invalid - Not Freely Given", I1445="Invalid - Not Specific", I1445="Invalid - Not Informed", I1445="Invalid - Ambiguous"), "Gap - Invalid Consent", "Compliant")))))</f>
        <v/>
      </c>
      <c r="O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>
        <f>IF(D1446="Legitimate Interest (GDPR Art. 6(1)(f))", "Yes / Required (Sheet 3)", "")</f>
        <v/>
      </c>
      <c r="L1446" s="7" t="n"/>
      <c r="M1446" s="7" t="n"/>
      <c r="N1446">
        <f>IF(D1446="", "Gap - No Legal Basis", IF(AND(D1446="Consent (GDPR Art. 6(1)(a))", I1446="Not Captured"), "Gap - Invalid Consent", IF(AND(D1446="Legitimate Interest (GDPR Art. 6(1)(f))", L1446=""), "Gap - Missing LIA", IF(AND(G1446="Yes", H1446=""), "Gap - Missing Art. 9 Basis", IF(OR(I1446="Invalid - Not Freely Given", I1446="Invalid - Not Specific", I1446="Invalid - Not Informed", I1446="Invalid - Ambiguous"), "Gap - Invalid Consent", "Compliant")))))</f>
        <v/>
      </c>
      <c r="O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>
        <f>IF(D1447="Legitimate Interest (GDPR Art. 6(1)(f))", "Yes / Required (Sheet 3)", "")</f>
        <v/>
      </c>
      <c r="L1447" s="7" t="n"/>
      <c r="M1447" s="7" t="n"/>
      <c r="N1447">
        <f>IF(D1447="", "Gap - No Legal Basis", IF(AND(D1447="Consent (GDPR Art. 6(1)(a))", I1447="Not Captured"), "Gap - Invalid Consent", IF(AND(D1447="Legitimate Interest (GDPR Art. 6(1)(f))", L1447=""), "Gap - Missing LIA", IF(AND(G1447="Yes", H1447=""), "Gap - Missing Art. 9 Basis", IF(OR(I1447="Invalid - Not Freely Given", I1447="Invalid - Not Specific", I1447="Invalid - Not Informed", I1447="Invalid - Ambiguous"), "Gap - Invalid Consent", "Compliant")))))</f>
        <v/>
      </c>
      <c r="O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>
        <f>IF(D1448="Legitimate Interest (GDPR Art. 6(1)(f))", "Yes / Required (Sheet 3)", "")</f>
        <v/>
      </c>
      <c r="L1448" s="7" t="n"/>
      <c r="M1448" s="7" t="n"/>
      <c r="N1448">
        <f>IF(D1448="", "Gap - No Legal Basis", IF(AND(D1448="Consent (GDPR Art. 6(1)(a))", I1448="Not Captured"), "Gap - Invalid Consent", IF(AND(D1448="Legitimate Interest (GDPR Art. 6(1)(f))", L1448=""), "Gap - Missing LIA", IF(AND(G1448="Yes", H1448=""), "Gap - Missing Art. 9 Basis", IF(OR(I1448="Invalid - Not Freely Given", I1448="Invalid - Not Specific", I1448="Invalid - Not Informed", I1448="Invalid - Ambiguous"), "Gap - Invalid Consent", "Compliant")))))</f>
        <v/>
      </c>
      <c r="O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>
        <f>IF(D1449="Legitimate Interest (GDPR Art. 6(1)(f))", "Yes / Required (Sheet 3)", "")</f>
        <v/>
      </c>
      <c r="L1449" s="7" t="n"/>
      <c r="M1449" s="7" t="n"/>
      <c r="N1449">
        <f>IF(D1449="", "Gap - No Legal Basis", IF(AND(D1449="Consent (GDPR Art. 6(1)(a))", I1449="Not Captured"), "Gap - Invalid Consent", IF(AND(D1449="Legitimate Interest (GDPR Art. 6(1)(f))", L1449=""), "Gap - Missing LIA", IF(AND(G1449="Yes", H1449=""), "Gap - Missing Art. 9 Basis", IF(OR(I1449="Invalid - Not Freely Given", I1449="Invalid - Not Specific", I1449="Invalid - Not Informed", I1449="Invalid - Ambiguous"), "Gap - Invalid Consent", "Compliant")))))</f>
        <v/>
      </c>
      <c r="O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>
        <f>IF(D1450="Legitimate Interest (GDPR Art. 6(1)(f))", "Yes / Required (Sheet 3)", "")</f>
        <v/>
      </c>
      <c r="L1450" s="7" t="n"/>
      <c r="M1450" s="7" t="n"/>
      <c r="N1450">
        <f>IF(D1450="", "Gap - No Legal Basis", IF(AND(D1450="Consent (GDPR Art. 6(1)(a))", I1450="Not Captured"), "Gap - Invalid Consent", IF(AND(D1450="Legitimate Interest (GDPR Art. 6(1)(f))", L1450=""), "Gap - Missing LIA", IF(AND(G1450="Yes", H1450=""), "Gap - Missing Art. 9 Basis", IF(OR(I1450="Invalid - Not Freely Given", I1450="Invalid - Not Specific", I1450="Invalid - Not Informed", I1450="Invalid - Ambiguous"), "Gap - Invalid Consent", "Compliant")))))</f>
        <v/>
      </c>
      <c r="O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>
        <f>IF(D1451="Legitimate Interest (GDPR Art. 6(1)(f))", "Yes / Required (Sheet 3)", "")</f>
        <v/>
      </c>
      <c r="L1451" s="7" t="n"/>
      <c r="M1451" s="7" t="n"/>
      <c r="N1451">
        <f>IF(D1451="", "Gap - No Legal Basis", IF(AND(D1451="Consent (GDPR Art. 6(1)(a))", I1451="Not Captured"), "Gap - Invalid Consent", IF(AND(D1451="Legitimate Interest (GDPR Art. 6(1)(f))", L1451=""), "Gap - Missing LIA", IF(AND(G1451="Yes", H1451=""), "Gap - Missing Art. 9 Basis", IF(OR(I1451="Invalid - Not Freely Given", I1451="Invalid - Not Specific", I1451="Invalid - Not Informed", I1451="Invalid - Ambiguous"), "Gap - Invalid Consent", "Compliant")))))</f>
        <v/>
      </c>
      <c r="O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>
        <f>IF(D1452="Legitimate Interest (GDPR Art. 6(1)(f))", "Yes / Required (Sheet 3)", "")</f>
        <v/>
      </c>
      <c r="L1452" s="7" t="n"/>
      <c r="M1452" s="7" t="n"/>
      <c r="N1452">
        <f>IF(D1452="", "Gap - No Legal Basis", IF(AND(D1452="Consent (GDPR Art. 6(1)(a))", I1452="Not Captured"), "Gap - Invalid Consent", IF(AND(D1452="Legitimate Interest (GDPR Art. 6(1)(f))", L1452=""), "Gap - Missing LIA", IF(AND(G1452="Yes", H1452=""), "Gap - Missing Art. 9 Basis", IF(OR(I1452="Invalid - Not Freely Given", I1452="Invalid - Not Specific", I1452="Invalid - Not Informed", I1452="Invalid - Ambiguous"), "Gap - Invalid Consent", "Compliant")))))</f>
        <v/>
      </c>
      <c r="O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>
        <f>IF(D1453="Legitimate Interest (GDPR Art. 6(1)(f))", "Yes / Required (Sheet 3)", "")</f>
        <v/>
      </c>
      <c r="L1453" s="7" t="n"/>
      <c r="M1453" s="7" t="n"/>
      <c r="N1453">
        <f>IF(D1453="", "Gap - No Legal Basis", IF(AND(D1453="Consent (GDPR Art. 6(1)(a))", I1453="Not Captured"), "Gap - Invalid Consent", IF(AND(D1453="Legitimate Interest (GDPR Art. 6(1)(f))", L1453=""), "Gap - Missing LIA", IF(AND(G1453="Yes", H1453=""), "Gap - Missing Art. 9 Basis", IF(OR(I1453="Invalid - Not Freely Given", I1453="Invalid - Not Specific", I1453="Invalid - Not Informed", I1453="Invalid - Ambiguous"), "Gap - Invalid Consent", "Compliant")))))</f>
        <v/>
      </c>
      <c r="O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>
        <f>IF(D1454="Legitimate Interest (GDPR Art. 6(1)(f))", "Yes / Required (Sheet 3)", "")</f>
        <v/>
      </c>
      <c r="L1454" s="7" t="n"/>
      <c r="M1454" s="7" t="n"/>
      <c r="N1454">
        <f>IF(D1454="", "Gap - No Legal Basis", IF(AND(D1454="Consent (GDPR Art. 6(1)(a))", I1454="Not Captured"), "Gap - Invalid Consent", IF(AND(D1454="Legitimate Interest (GDPR Art. 6(1)(f))", L1454=""), "Gap - Missing LIA", IF(AND(G1454="Yes", H1454=""), "Gap - Missing Art. 9 Basis", IF(OR(I1454="Invalid - Not Freely Given", I1454="Invalid - Not Specific", I1454="Invalid - Not Informed", I1454="Invalid - Ambiguous"), "Gap - Invalid Consent", "Compliant")))))</f>
        <v/>
      </c>
      <c r="O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>
        <f>IF(D1455="Legitimate Interest (GDPR Art. 6(1)(f))", "Yes / Required (Sheet 3)", "")</f>
        <v/>
      </c>
      <c r="L1455" s="7" t="n"/>
      <c r="M1455" s="7" t="n"/>
      <c r="N1455">
        <f>IF(D1455="", "Gap - No Legal Basis", IF(AND(D1455="Consent (GDPR Art. 6(1)(a))", I1455="Not Captured"), "Gap - Invalid Consent", IF(AND(D1455="Legitimate Interest (GDPR Art. 6(1)(f))", L1455=""), "Gap - Missing LIA", IF(AND(G1455="Yes", H1455=""), "Gap - Missing Art. 9 Basis", IF(OR(I1455="Invalid - Not Freely Given", I1455="Invalid - Not Specific", I1455="Invalid - Not Informed", I1455="Invalid - Ambiguous"), "Gap - Invalid Consent", "Compliant")))))</f>
        <v/>
      </c>
      <c r="O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>
        <f>IF(D1456="Legitimate Interest (GDPR Art. 6(1)(f))", "Yes / Required (Sheet 3)", "")</f>
        <v/>
      </c>
      <c r="L1456" s="7" t="n"/>
      <c r="M1456" s="7" t="n"/>
      <c r="N1456">
        <f>IF(D1456="", "Gap - No Legal Basis", IF(AND(D1456="Consent (GDPR Art. 6(1)(a))", I1456="Not Captured"), "Gap - Invalid Consent", IF(AND(D1456="Legitimate Interest (GDPR Art. 6(1)(f))", L1456=""), "Gap - Missing LIA", IF(AND(G1456="Yes", H1456=""), "Gap - Missing Art. 9 Basis", IF(OR(I1456="Invalid - Not Freely Given", I1456="Invalid - Not Specific", I1456="Invalid - Not Informed", I1456="Invalid - Ambiguous"), "Gap - Invalid Consent", "Compliant")))))</f>
        <v/>
      </c>
      <c r="O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>
        <f>IF(D1457="Legitimate Interest (GDPR Art. 6(1)(f))", "Yes / Required (Sheet 3)", "")</f>
        <v/>
      </c>
      <c r="L1457" s="7" t="n"/>
      <c r="M1457" s="7" t="n"/>
      <c r="N1457">
        <f>IF(D1457="", "Gap - No Legal Basis", IF(AND(D1457="Consent (GDPR Art. 6(1)(a))", I1457="Not Captured"), "Gap - Invalid Consent", IF(AND(D1457="Legitimate Interest (GDPR Art. 6(1)(f))", L1457=""), "Gap - Missing LIA", IF(AND(G1457="Yes", H1457=""), "Gap - Missing Art. 9 Basis", IF(OR(I1457="Invalid - Not Freely Given", I1457="Invalid - Not Specific", I1457="Invalid - Not Informed", I1457="Invalid - Ambiguous"), "Gap - Invalid Consent", "Compliant")))))</f>
        <v/>
      </c>
      <c r="O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>
        <f>IF(D1458="Legitimate Interest (GDPR Art. 6(1)(f))", "Yes / Required (Sheet 3)", "")</f>
        <v/>
      </c>
      <c r="L1458" s="7" t="n"/>
      <c r="M1458" s="7" t="n"/>
      <c r="N1458">
        <f>IF(D1458="", "Gap - No Legal Basis", IF(AND(D1458="Consent (GDPR Art. 6(1)(a))", I1458="Not Captured"), "Gap - Invalid Consent", IF(AND(D1458="Legitimate Interest (GDPR Art. 6(1)(f))", L1458=""), "Gap - Missing LIA", IF(AND(G1458="Yes", H1458=""), "Gap - Missing Art. 9 Basis", IF(OR(I1458="Invalid - Not Freely Given", I1458="Invalid - Not Specific", I1458="Invalid - Not Informed", I1458="Invalid - Ambiguous"), "Gap - Invalid Consent", "Compliant")))))</f>
        <v/>
      </c>
      <c r="O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>
        <f>IF(D1459="Legitimate Interest (GDPR Art. 6(1)(f))", "Yes / Required (Sheet 3)", "")</f>
        <v/>
      </c>
      <c r="L1459" s="7" t="n"/>
      <c r="M1459" s="7" t="n"/>
      <c r="N1459">
        <f>IF(D1459="", "Gap - No Legal Basis", IF(AND(D1459="Consent (GDPR Art. 6(1)(a))", I1459="Not Captured"), "Gap - Invalid Consent", IF(AND(D1459="Legitimate Interest (GDPR Art. 6(1)(f))", L1459=""), "Gap - Missing LIA", IF(AND(G1459="Yes", H1459=""), "Gap - Missing Art. 9 Basis", IF(OR(I1459="Invalid - Not Freely Given", I1459="Invalid - Not Specific", I1459="Invalid - Not Informed", I1459="Invalid - Ambiguous"), "Gap - Invalid Consent", "Compliant")))))</f>
        <v/>
      </c>
      <c r="O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>
        <f>IF(D1460="Legitimate Interest (GDPR Art. 6(1)(f))", "Yes / Required (Sheet 3)", "")</f>
        <v/>
      </c>
      <c r="L1460" s="7" t="n"/>
      <c r="M1460" s="7" t="n"/>
      <c r="N1460">
        <f>IF(D1460="", "Gap - No Legal Basis", IF(AND(D1460="Consent (GDPR Art. 6(1)(a))", I1460="Not Captured"), "Gap - Invalid Consent", IF(AND(D1460="Legitimate Interest (GDPR Art. 6(1)(f))", L1460=""), "Gap - Missing LIA", IF(AND(G1460="Yes", H1460=""), "Gap - Missing Art. 9 Basis", IF(OR(I1460="Invalid - Not Freely Given", I1460="Invalid - Not Specific", I1460="Invalid - Not Informed", I1460="Invalid - Ambiguous"), "Gap - Invalid Consent", "Compliant")))))</f>
        <v/>
      </c>
      <c r="O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>
        <f>IF(D1461="Legitimate Interest (GDPR Art. 6(1)(f))", "Yes / Required (Sheet 3)", "")</f>
        <v/>
      </c>
      <c r="L1461" s="7" t="n"/>
      <c r="M1461" s="7" t="n"/>
      <c r="N1461">
        <f>IF(D1461="", "Gap - No Legal Basis", IF(AND(D1461="Consent (GDPR Art. 6(1)(a))", I1461="Not Captured"), "Gap - Invalid Consent", IF(AND(D1461="Legitimate Interest (GDPR Art. 6(1)(f))", L1461=""), "Gap - Missing LIA", IF(AND(G1461="Yes", H1461=""), "Gap - Missing Art. 9 Basis", IF(OR(I1461="Invalid - Not Freely Given", I1461="Invalid - Not Specific", I1461="Invalid - Not Informed", I1461="Invalid - Ambiguous"), "Gap - Invalid Consent", "Compliant")))))</f>
        <v/>
      </c>
      <c r="O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>
        <f>IF(D1462="Legitimate Interest (GDPR Art. 6(1)(f))", "Yes / Required (Sheet 3)", "")</f>
        <v/>
      </c>
      <c r="L1462" s="7" t="n"/>
      <c r="M1462" s="7" t="n"/>
      <c r="N1462">
        <f>IF(D1462="", "Gap - No Legal Basis", IF(AND(D1462="Consent (GDPR Art. 6(1)(a))", I1462="Not Captured"), "Gap - Invalid Consent", IF(AND(D1462="Legitimate Interest (GDPR Art. 6(1)(f))", L1462=""), "Gap - Missing LIA", IF(AND(G1462="Yes", H1462=""), "Gap - Missing Art. 9 Basis", IF(OR(I1462="Invalid - Not Freely Given", I1462="Invalid - Not Specific", I1462="Invalid - Not Informed", I1462="Invalid - Ambiguous"), "Gap - Invalid Consent", "Compliant")))))</f>
        <v/>
      </c>
      <c r="O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>
        <f>IF(D1463="Legitimate Interest (GDPR Art. 6(1)(f))", "Yes / Required (Sheet 3)", "")</f>
        <v/>
      </c>
      <c r="L1463" s="7" t="n"/>
      <c r="M1463" s="7" t="n"/>
      <c r="N1463">
        <f>IF(D1463="", "Gap - No Legal Basis", IF(AND(D1463="Consent (GDPR Art. 6(1)(a))", I1463="Not Captured"), "Gap - Invalid Consent", IF(AND(D1463="Legitimate Interest (GDPR Art. 6(1)(f))", L1463=""), "Gap - Missing LIA", IF(AND(G1463="Yes", H1463=""), "Gap - Missing Art. 9 Basis", IF(OR(I1463="Invalid - Not Freely Given", I1463="Invalid - Not Specific", I1463="Invalid - Not Informed", I1463="Invalid - Ambiguous"), "Gap - Invalid Consent", "Compliant")))))</f>
        <v/>
      </c>
      <c r="O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>
        <f>IF(D1464="Legitimate Interest (GDPR Art. 6(1)(f))", "Yes / Required (Sheet 3)", "")</f>
        <v/>
      </c>
      <c r="L1464" s="7" t="n"/>
      <c r="M1464" s="7" t="n"/>
      <c r="N1464">
        <f>IF(D1464="", "Gap - No Legal Basis", IF(AND(D1464="Consent (GDPR Art. 6(1)(a))", I1464="Not Captured"), "Gap - Invalid Consent", IF(AND(D1464="Legitimate Interest (GDPR Art. 6(1)(f))", L1464=""), "Gap - Missing LIA", IF(AND(G1464="Yes", H1464=""), "Gap - Missing Art. 9 Basis", IF(OR(I1464="Invalid - Not Freely Given", I1464="Invalid - Not Specific", I1464="Invalid - Not Informed", I1464="Invalid - Ambiguous"), "Gap - Invalid Consent", "Compliant")))))</f>
        <v/>
      </c>
      <c r="O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>
        <f>IF(D1465="Legitimate Interest (GDPR Art. 6(1)(f))", "Yes / Required (Sheet 3)", "")</f>
        <v/>
      </c>
      <c r="L1465" s="7" t="n"/>
      <c r="M1465" s="7" t="n"/>
      <c r="N1465">
        <f>IF(D1465="", "Gap - No Legal Basis", IF(AND(D1465="Consent (GDPR Art. 6(1)(a))", I1465="Not Captured"), "Gap - Invalid Consent", IF(AND(D1465="Legitimate Interest (GDPR Art. 6(1)(f))", L1465=""), "Gap - Missing LIA", IF(AND(G1465="Yes", H1465=""), "Gap - Missing Art. 9 Basis", IF(OR(I1465="Invalid - Not Freely Given", I1465="Invalid - Not Specific", I1465="Invalid - Not Informed", I1465="Invalid - Ambiguous"), "Gap - Invalid Consent", "Compliant")))))</f>
        <v/>
      </c>
      <c r="O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>
        <f>IF(D1466="Legitimate Interest (GDPR Art. 6(1)(f))", "Yes / Required (Sheet 3)", "")</f>
        <v/>
      </c>
      <c r="L1466" s="7" t="n"/>
      <c r="M1466" s="7" t="n"/>
      <c r="N1466">
        <f>IF(D1466="", "Gap - No Legal Basis", IF(AND(D1466="Consent (GDPR Art. 6(1)(a))", I1466="Not Captured"), "Gap - Invalid Consent", IF(AND(D1466="Legitimate Interest (GDPR Art. 6(1)(f))", L1466=""), "Gap - Missing LIA", IF(AND(G1466="Yes", H1466=""), "Gap - Missing Art. 9 Basis", IF(OR(I1466="Invalid - Not Freely Given", I1466="Invalid - Not Specific", I1466="Invalid - Not Informed", I1466="Invalid - Ambiguous"), "Gap - Invalid Consent", "Compliant")))))</f>
        <v/>
      </c>
      <c r="O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>
        <f>IF(D1467="Legitimate Interest (GDPR Art. 6(1)(f))", "Yes / Required (Sheet 3)", "")</f>
        <v/>
      </c>
      <c r="L1467" s="7" t="n"/>
      <c r="M1467" s="7" t="n"/>
      <c r="N1467">
        <f>IF(D1467="", "Gap - No Legal Basis", IF(AND(D1467="Consent (GDPR Art. 6(1)(a))", I1467="Not Captured"), "Gap - Invalid Consent", IF(AND(D1467="Legitimate Interest (GDPR Art. 6(1)(f))", L1467=""), "Gap - Missing LIA", IF(AND(G1467="Yes", H1467=""), "Gap - Missing Art. 9 Basis", IF(OR(I1467="Invalid - Not Freely Given", I1467="Invalid - Not Specific", I1467="Invalid - Not Informed", I1467="Invalid - Ambiguous"), "Gap - Invalid Consent", "Compliant")))))</f>
        <v/>
      </c>
      <c r="O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>
        <f>IF(D1468="Legitimate Interest (GDPR Art. 6(1)(f))", "Yes / Required (Sheet 3)", "")</f>
        <v/>
      </c>
      <c r="L1468" s="7" t="n"/>
      <c r="M1468" s="7" t="n"/>
      <c r="N1468">
        <f>IF(D1468="", "Gap - No Legal Basis", IF(AND(D1468="Consent (GDPR Art. 6(1)(a))", I1468="Not Captured"), "Gap - Invalid Consent", IF(AND(D1468="Legitimate Interest (GDPR Art. 6(1)(f))", L1468=""), "Gap - Missing LIA", IF(AND(G1468="Yes", H1468=""), "Gap - Missing Art. 9 Basis", IF(OR(I1468="Invalid - Not Freely Given", I1468="Invalid - Not Specific", I1468="Invalid - Not Informed", I1468="Invalid - Ambiguous"), "Gap - Invalid Consent", "Compliant")))))</f>
        <v/>
      </c>
      <c r="O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>
        <f>IF(D1469="Legitimate Interest (GDPR Art. 6(1)(f))", "Yes / Required (Sheet 3)", "")</f>
        <v/>
      </c>
      <c r="L1469" s="7" t="n"/>
      <c r="M1469" s="7" t="n"/>
      <c r="N1469">
        <f>IF(D1469="", "Gap - No Legal Basis", IF(AND(D1469="Consent (GDPR Art. 6(1)(a))", I1469="Not Captured"), "Gap - Invalid Consent", IF(AND(D1469="Legitimate Interest (GDPR Art. 6(1)(f))", L1469=""), "Gap - Missing LIA", IF(AND(G1469="Yes", H1469=""), "Gap - Missing Art. 9 Basis", IF(OR(I1469="Invalid - Not Freely Given", I1469="Invalid - Not Specific", I1469="Invalid - Not Informed", I1469="Invalid - Ambiguous"), "Gap - Invalid Consent", "Compliant")))))</f>
        <v/>
      </c>
      <c r="O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>
        <f>IF(D1470="Legitimate Interest (GDPR Art. 6(1)(f))", "Yes / Required (Sheet 3)", "")</f>
        <v/>
      </c>
      <c r="L1470" s="7" t="n"/>
      <c r="M1470" s="7" t="n"/>
      <c r="N1470">
        <f>IF(D1470="", "Gap - No Legal Basis", IF(AND(D1470="Consent (GDPR Art. 6(1)(a))", I1470="Not Captured"), "Gap - Invalid Consent", IF(AND(D1470="Legitimate Interest (GDPR Art. 6(1)(f))", L1470=""), "Gap - Missing LIA", IF(AND(G1470="Yes", H1470=""), "Gap - Missing Art. 9 Basis", IF(OR(I1470="Invalid - Not Freely Given", I1470="Invalid - Not Specific", I1470="Invalid - Not Informed", I1470="Invalid - Ambiguous"), "Gap - Invalid Consent", "Compliant")))))</f>
        <v/>
      </c>
      <c r="O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>
        <f>IF(D1471="Legitimate Interest (GDPR Art. 6(1)(f))", "Yes / Required (Sheet 3)", "")</f>
        <v/>
      </c>
      <c r="L1471" s="7" t="n"/>
      <c r="M1471" s="7" t="n"/>
      <c r="N1471">
        <f>IF(D1471="", "Gap - No Legal Basis", IF(AND(D1471="Consent (GDPR Art. 6(1)(a))", I1471="Not Captured"), "Gap - Invalid Consent", IF(AND(D1471="Legitimate Interest (GDPR Art. 6(1)(f))", L1471=""), "Gap - Missing LIA", IF(AND(G1471="Yes", H1471=""), "Gap - Missing Art. 9 Basis", IF(OR(I1471="Invalid - Not Freely Given", I1471="Invalid - Not Specific", I1471="Invalid - Not Informed", I1471="Invalid - Ambiguous"), "Gap - Invalid Consent", "Compliant")))))</f>
        <v/>
      </c>
      <c r="O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>
        <f>IF(D1472="Legitimate Interest (GDPR Art. 6(1)(f))", "Yes / Required (Sheet 3)", "")</f>
        <v/>
      </c>
      <c r="L1472" s="7" t="n"/>
      <c r="M1472" s="7" t="n"/>
      <c r="N1472">
        <f>IF(D1472="", "Gap - No Legal Basis", IF(AND(D1472="Consent (GDPR Art. 6(1)(a))", I1472="Not Captured"), "Gap - Invalid Consent", IF(AND(D1472="Legitimate Interest (GDPR Art. 6(1)(f))", L1472=""), "Gap - Missing LIA", IF(AND(G1472="Yes", H1472=""), "Gap - Missing Art. 9 Basis", IF(OR(I1472="Invalid - Not Freely Given", I1472="Invalid - Not Specific", I1472="Invalid - Not Informed", I1472="Invalid - Ambiguous"), "Gap - Invalid Consent", "Compliant")))))</f>
        <v/>
      </c>
      <c r="O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>
        <f>IF(D1473="Legitimate Interest (GDPR Art. 6(1)(f))", "Yes / Required (Sheet 3)", "")</f>
        <v/>
      </c>
      <c r="L1473" s="7" t="n"/>
      <c r="M1473" s="7" t="n"/>
      <c r="N1473">
        <f>IF(D1473="", "Gap - No Legal Basis", IF(AND(D1473="Consent (GDPR Art. 6(1)(a))", I1473="Not Captured"), "Gap - Invalid Consent", IF(AND(D1473="Legitimate Interest (GDPR Art. 6(1)(f))", L1473=""), "Gap - Missing LIA", IF(AND(G1473="Yes", H1473=""), "Gap - Missing Art. 9 Basis", IF(OR(I1473="Invalid - Not Freely Given", I1473="Invalid - Not Specific", I1473="Invalid - Not Informed", I1473="Invalid - Ambiguous"), "Gap - Invalid Consent", "Compliant")))))</f>
        <v/>
      </c>
      <c r="O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>
        <f>IF(D1474="Legitimate Interest (GDPR Art. 6(1)(f))", "Yes / Required (Sheet 3)", "")</f>
        <v/>
      </c>
      <c r="L1474" s="7" t="n"/>
      <c r="M1474" s="7" t="n"/>
      <c r="N1474">
        <f>IF(D1474="", "Gap - No Legal Basis", IF(AND(D1474="Consent (GDPR Art. 6(1)(a))", I1474="Not Captured"), "Gap - Invalid Consent", IF(AND(D1474="Legitimate Interest (GDPR Art. 6(1)(f))", L1474=""), "Gap - Missing LIA", IF(AND(G1474="Yes", H1474=""), "Gap - Missing Art. 9 Basis", IF(OR(I1474="Invalid - Not Freely Given", I1474="Invalid - Not Specific", I1474="Invalid - Not Informed", I1474="Invalid - Ambiguous"), "Gap - Invalid Consent", "Compliant")))))</f>
        <v/>
      </c>
      <c r="O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>
        <f>IF(D1475="Legitimate Interest (GDPR Art. 6(1)(f))", "Yes / Required (Sheet 3)", "")</f>
        <v/>
      </c>
      <c r="L1475" s="7" t="n"/>
      <c r="M1475" s="7" t="n"/>
      <c r="N1475">
        <f>IF(D1475="", "Gap - No Legal Basis", IF(AND(D1475="Consent (GDPR Art. 6(1)(a))", I1475="Not Captured"), "Gap - Invalid Consent", IF(AND(D1475="Legitimate Interest (GDPR Art. 6(1)(f))", L1475=""), "Gap - Missing LIA", IF(AND(G1475="Yes", H1475=""), "Gap - Missing Art. 9 Basis", IF(OR(I1475="Invalid - Not Freely Given", I1475="Invalid - Not Specific", I1475="Invalid - Not Informed", I1475="Invalid - Ambiguous"), "Gap - Invalid Consent", "Compliant")))))</f>
        <v/>
      </c>
      <c r="O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>
        <f>IF(D1476="Legitimate Interest (GDPR Art. 6(1)(f))", "Yes / Required (Sheet 3)", "")</f>
        <v/>
      </c>
      <c r="L1476" s="7" t="n"/>
      <c r="M1476" s="7" t="n"/>
      <c r="N1476">
        <f>IF(D1476="", "Gap - No Legal Basis", IF(AND(D1476="Consent (GDPR Art. 6(1)(a))", I1476="Not Captured"), "Gap - Invalid Consent", IF(AND(D1476="Legitimate Interest (GDPR Art. 6(1)(f))", L1476=""), "Gap - Missing LIA", IF(AND(G1476="Yes", H1476=""), "Gap - Missing Art. 9 Basis", IF(OR(I1476="Invalid - Not Freely Given", I1476="Invalid - Not Specific", I1476="Invalid - Not Informed", I1476="Invalid - Ambiguous"), "Gap - Invalid Consent", "Compliant")))))</f>
        <v/>
      </c>
      <c r="O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>
        <f>IF(D1477="Legitimate Interest (GDPR Art. 6(1)(f))", "Yes / Required (Sheet 3)", "")</f>
        <v/>
      </c>
      <c r="L1477" s="7" t="n"/>
      <c r="M1477" s="7" t="n"/>
      <c r="N1477">
        <f>IF(D1477="", "Gap - No Legal Basis", IF(AND(D1477="Consent (GDPR Art. 6(1)(a))", I1477="Not Captured"), "Gap - Invalid Consent", IF(AND(D1477="Legitimate Interest (GDPR Art. 6(1)(f))", L1477=""), "Gap - Missing LIA", IF(AND(G1477="Yes", H1477=""), "Gap - Missing Art. 9 Basis", IF(OR(I1477="Invalid - Not Freely Given", I1477="Invalid - Not Specific", I1477="Invalid - Not Informed", I1477="Invalid - Ambiguous"), "Gap - Invalid Consent", "Compliant")))))</f>
        <v/>
      </c>
      <c r="O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>
        <f>IF(D1478="Legitimate Interest (GDPR Art. 6(1)(f))", "Yes / Required (Sheet 3)", "")</f>
        <v/>
      </c>
      <c r="L1478" s="7" t="n"/>
      <c r="M1478" s="7" t="n"/>
      <c r="N1478">
        <f>IF(D1478="", "Gap - No Legal Basis", IF(AND(D1478="Consent (GDPR Art. 6(1)(a))", I1478="Not Captured"), "Gap - Invalid Consent", IF(AND(D1478="Legitimate Interest (GDPR Art. 6(1)(f))", L1478=""), "Gap - Missing LIA", IF(AND(G1478="Yes", H1478=""), "Gap - Missing Art. 9 Basis", IF(OR(I1478="Invalid - Not Freely Given", I1478="Invalid - Not Specific", I1478="Invalid - Not Informed", I1478="Invalid - Ambiguous"), "Gap - Invalid Consent", "Compliant")))))</f>
        <v/>
      </c>
      <c r="O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>
        <f>IF(D1479="Legitimate Interest (GDPR Art. 6(1)(f))", "Yes / Required (Sheet 3)", "")</f>
        <v/>
      </c>
      <c r="L1479" s="7" t="n"/>
      <c r="M1479" s="7" t="n"/>
      <c r="N1479">
        <f>IF(D1479="", "Gap - No Legal Basis", IF(AND(D1479="Consent (GDPR Art. 6(1)(a))", I1479="Not Captured"), "Gap - Invalid Consent", IF(AND(D1479="Legitimate Interest (GDPR Art. 6(1)(f))", L1479=""), "Gap - Missing LIA", IF(AND(G1479="Yes", H1479=""), "Gap - Missing Art. 9 Basis", IF(OR(I1479="Invalid - Not Freely Given", I1479="Invalid - Not Specific", I1479="Invalid - Not Informed", I1479="Invalid - Ambiguous"), "Gap - Invalid Consent", "Compliant")))))</f>
        <v/>
      </c>
      <c r="O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>
        <f>IF(D1480="Legitimate Interest (GDPR Art. 6(1)(f))", "Yes / Required (Sheet 3)", "")</f>
        <v/>
      </c>
      <c r="L1480" s="7" t="n"/>
      <c r="M1480" s="7" t="n"/>
      <c r="N1480">
        <f>IF(D1480="", "Gap - No Legal Basis", IF(AND(D1480="Consent (GDPR Art. 6(1)(a))", I1480="Not Captured"), "Gap - Invalid Consent", IF(AND(D1480="Legitimate Interest (GDPR Art. 6(1)(f))", L1480=""), "Gap - Missing LIA", IF(AND(G1480="Yes", H1480=""), "Gap - Missing Art. 9 Basis", IF(OR(I1480="Invalid - Not Freely Given", I1480="Invalid - Not Specific", I1480="Invalid - Not Informed", I1480="Invalid - Ambiguous"), "Gap - Invalid Consent", "Compliant")))))</f>
        <v/>
      </c>
      <c r="O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>
        <f>IF(D1481="Legitimate Interest (GDPR Art. 6(1)(f))", "Yes / Required (Sheet 3)", "")</f>
        <v/>
      </c>
      <c r="L1481" s="7" t="n"/>
      <c r="M1481" s="7" t="n"/>
      <c r="N1481">
        <f>IF(D1481="", "Gap - No Legal Basis", IF(AND(D1481="Consent (GDPR Art. 6(1)(a))", I1481="Not Captured"), "Gap - Invalid Consent", IF(AND(D1481="Legitimate Interest (GDPR Art. 6(1)(f))", L1481=""), "Gap - Missing LIA", IF(AND(G1481="Yes", H1481=""), "Gap - Missing Art. 9 Basis", IF(OR(I1481="Invalid - Not Freely Given", I1481="Invalid - Not Specific", I1481="Invalid - Not Informed", I1481="Invalid - Ambiguous"), "Gap - Invalid Consent", "Compliant")))))</f>
        <v/>
      </c>
      <c r="O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>
        <f>IF(D1482="Legitimate Interest (GDPR Art. 6(1)(f))", "Yes / Required (Sheet 3)", "")</f>
        <v/>
      </c>
      <c r="L1482" s="7" t="n"/>
      <c r="M1482" s="7" t="n"/>
      <c r="N1482">
        <f>IF(D1482="", "Gap - No Legal Basis", IF(AND(D1482="Consent (GDPR Art. 6(1)(a))", I1482="Not Captured"), "Gap - Invalid Consent", IF(AND(D1482="Legitimate Interest (GDPR Art. 6(1)(f))", L1482=""), "Gap - Missing LIA", IF(AND(G1482="Yes", H1482=""), "Gap - Missing Art. 9 Basis", IF(OR(I1482="Invalid - Not Freely Given", I1482="Invalid - Not Specific", I1482="Invalid - Not Informed", I1482="Invalid - Ambiguous"), "Gap - Invalid Consent", "Compliant")))))</f>
        <v/>
      </c>
      <c r="O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>
        <f>IF(D1483="Legitimate Interest (GDPR Art. 6(1)(f))", "Yes / Required (Sheet 3)", "")</f>
        <v/>
      </c>
      <c r="L1483" s="7" t="n"/>
      <c r="M1483" s="7" t="n"/>
      <c r="N1483">
        <f>IF(D1483="", "Gap - No Legal Basis", IF(AND(D1483="Consent (GDPR Art. 6(1)(a))", I1483="Not Captured"), "Gap - Invalid Consent", IF(AND(D1483="Legitimate Interest (GDPR Art. 6(1)(f))", L1483=""), "Gap - Missing LIA", IF(AND(G1483="Yes", H1483=""), "Gap - Missing Art. 9 Basis", IF(OR(I1483="Invalid - Not Freely Given", I1483="Invalid - Not Specific", I1483="Invalid - Not Informed", I1483="Invalid - Ambiguous"), "Gap - Invalid Consent", "Compliant")))))</f>
        <v/>
      </c>
      <c r="O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>
        <f>IF(D1484="Legitimate Interest (GDPR Art. 6(1)(f))", "Yes / Required (Sheet 3)", "")</f>
        <v/>
      </c>
      <c r="L1484" s="7" t="n"/>
      <c r="M1484" s="7" t="n"/>
      <c r="N1484">
        <f>IF(D1484="", "Gap - No Legal Basis", IF(AND(D1484="Consent (GDPR Art. 6(1)(a))", I1484="Not Captured"), "Gap - Invalid Consent", IF(AND(D1484="Legitimate Interest (GDPR Art. 6(1)(f))", L1484=""), "Gap - Missing LIA", IF(AND(G1484="Yes", H1484=""), "Gap - Missing Art. 9 Basis", IF(OR(I1484="Invalid - Not Freely Given", I1484="Invalid - Not Specific", I1484="Invalid - Not Informed", I1484="Invalid - Ambiguous"), "Gap - Invalid Consent", "Compliant")))))</f>
        <v/>
      </c>
      <c r="O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>
        <f>IF(D1485="Legitimate Interest (GDPR Art. 6(1)(f))", "Yes / Required (Sheet 3)", "")</f>
        <v/>
      </c>
      <c r="L1485" s="7" t="n"/>
      <c r="M1485" s="7" t="n"/>
      <c r="N1485">
        <f>IF(D1485="", "Gap - No Legal Basis", IF(AND(D1485="Consent (GDPR Art. 6(1)(a))", I1485="Not Captured"), "Gap - Invalid Consent", IF(AND(D1485="Legitimate Interest (GDPR Art. 6(1)(f))", L1485=""), "Gap - Missing LIA", IF(AND(G1485="Yes", H1485=""), "Gap - Missing Art. 9 Basis", IF(OR(I1485="Invalid - Not Freely Given", I1485="Invalid - Not Specific", I1485="Invalid - Not Informed", I1485="Invalid - Ambiguous"), "Gap - Invalid Consent", "Compliant")))))</f>
        <v/>
      </c>
      <c r="O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>
        <f>IF(D1486="Legitimate Interest (GDPR Art. 6(1)(f))", "Yes / Required (Sheet 3)", "")</f>
        <v/>
      </c>
      <c r="L1486" s="7" t="n"/>
      <c r="M1486" s="7" t="n"/>
      <c r="N1486">
        <f>IF(D1486="", "Gap - No Legal Basis", IF(AND(D1486="Consent (GDPR Art. 6(1)(a))", I1486="Not Captured"), "Gap - Invalid Consent", IF(AND(D1486="Legitimate Interest (GDPR Art. 6(1)(f))", L1486=""), "Gap - Missing LIA", IF(AND(G1486="Yes", H1486=""), "Gap - Missing Art. 9 Basis", IF(OR(I1486="Invalid - Not Freely Given", I1486="Invalid - Not Specific", I1486="Invalid - Not Informed", I1486="Invalid - Ambiguous"), "Gap - Invalid Consent", "Compliant")))))</f>
        <v/>
      </c>
      <c r="O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>
        <f>IF(D1487="Legitimate Interest (GDPR Art. 6(1)(f))", "Yes / Required (Sheet 3)", "")</f>
        <v/>
      </c>
      <c r="L1487" s="7" t="n"/>
      <c r="M1487" s="7" t="n"/>
      <c r="N1487">
        <f>IF(D1487="", "Gap - No Legal Basis", IF(AND(D1487="Consent (GDPR Art. 6(1)(a))", I1487="Not Captured"), "Gap - Invalid Consent", IF(AND(D1487="Legitimate Interest (GDPR Art. 6(1)(f))", L1487=""), "Gap - Missing LIA", IF(AND(G1487="Yes", H1487=""), "Gap - Missing Art. 9 Basis", IF(OR(I1487="Invalid - Not Freely Given", I1487="Invalid - Not Specific", I1487="Invalid - Not Informed", I1487="Invalid - Ambiguous"), "Gap - Invalid Consent", "Compliant")))))</f>
        <v/>
      </c>
      <c r="O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>
        <f>IF(D1488="Legitimate Interest (GDPR Art. 6(1)(f))", "Yes / Required (Sheet 3)", "")</f>
        <v/>
      </c>
      <c r="L1488" s="7" t="n"/>
      <c r="M1488" s="7" t="n"/>
      <c r="N1488">
        <f>IF(D1488="", "Gap - No Legal Basis", IF(AND(D1488="Consent (GDPR Art. 6(1)(a))", I1488="Not Captured"), "Gap - Invalid Consent", IF(AND(D1488="Legitimate Interest (GDPR Art. 6(1)(f))", L1488=""), "Gap - Missing LIA", IF(AND(G1488="Yes", H1488=""), "Gap - Missing Art. 9 Basis", IF(OR(I1488="Invalid - Not Freely Given", I1488="Invalid - Not Specific", I1488="Invalid - Not Informed", I1488="Invalid - Ambiguous"), "Gap - Invalid Consent", "Compliant")))))</f>
        <v/>
      </c>
      <c r="O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>
        <f>IF(D1489="Legitimate Interest (GDPR Art. 6(1)(f))", "Yes / Required (Sheet 3)", "")</f>
        <v/>
      </c>
      <c r="L1489" s="7" t="n"/>
      <c r="M1489" s="7" t="n"/>
      <c r="N1489">
        <f>IF(D1489="", "Gap - No Legal Basis", IF(AND(D1489="Consent (GDPR Art. 6(1)(a))", I1489="Not Captured"), "Gap - Invalid Consent", IF(AND(D1489="Legitimate Interest (GDPR Art. 6(1)(f))", L1489=""), "Gap - Missing LIA", IF(AND(G1489="Yes", H1489=""), "Gap - Missing Art. 9 Basis", IF(OR(I1489="Invalid - Not Freely Given", I1489="Invalid - Not Specific", I1489="Invalid - Not Informed", I1489="Invalid - Ambiguous"), "Gap - Invalid Consent", "Compliant")))))</f>
        <v/>
      </c>
      <c r="O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>
        <f>IF(D1490="Legitimate Interest (GDPR Art. 6(1)(f))", "Yes / Required (Sheet 3)", "")</f>
        <v/>
      </c>
      <c r="L1490" s="7" t="n"/>
      <c r="M1490" s="7" t="n"/>
      <c r="N1490">
        <f>IF(D1490="", "Gap - No Legal Basis", IF(AND(D1490="Consent (GDPR Art. 6(1)(a))", I1490="Not Captured"), "Gap - Invalid Consent", IF(AND(D1490="Legitimate Interest (GDPR Art. 6(1)(f))", L1490=""), "Gap - Missing LIA", IF(AND(G1490="Yes", H1490=""), "Gap - Missing Art. 9 Basis", IF(OR(I1490="Invalid - Not Freely Given", I1490="Invalid - Not Specific", I1490="Invalid - Not Informed", I1490="Invalid - Ambiguous"), "Gap - Invalid Consent", "Compliant")))))</f>
        <v/>
      </c>
      <c r="O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>
        <f>IF(D1491="Legitimate Interest (GDPR Art. 6(1)(f))", "Yes / Required (Sheet 3)", "")</f>
        <v/>
      </c>
      <c r="L1491" s="7" t="n"/>
      <c r="M1491" s="7" t="n"/>
      <c r="N1491">
        <f>IF(D1491="", "Gap - No Legal Basis", IF(AND(D1491="Consent (GDPR Art. 6(1)(a))", I1491="Not Captured"), "Gap - Invalid Consent", IF(AND(D1491="Legitimate Interest (GDPR Art. 6(1)(f))", L1491=""), "Gap - Missing LIA", IF(AND(G1491="Yes", H1491=""), "Gap - Missing Art. 9 Basis", IF(OR(I1491="Invalid - Not Freely Given", I1491="Invalid - Not Specific", I1491="Invalid - Not Informed", I1491="Invalid - Ambiguous"), "Gap - Invalid Consent", "Compliant")))))</f>
        <v/>
      </c>
      <c r="O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>
        <f>IF(D1492="Legitimate Interest (GDPR Art. 6(1)(f))", "Yes / Required (Sheet 3)", "")</f>
        <v/>
      </c>
      <c r="L1492" s="7" t="n"/>
      <c r="M1492" s="7" t="n"/>
      <c r="N1492">
        <f>IF(D1492="", "Gap - No Legal Basis", IF(AND(D1492="Consent (GDPR Art. 6(1)(a))", I1492="Not Captured"), "Gap - Invalid Consent", IF(AND(D1492="Legitimate Interest (GDPR Art. 6(1)(f))", L1492=""), "Gap - Missing LIA", IF(AND(G1492="Yes", H1492=""), "Gap - Missing Art. 9 Basis", IF(OR(I1492="Invalid - Not Freely Given", I1492="Invalid - Not Specific", I1492="Invalid - Not Informed", I1492="Invalid - Ambiguous"), "Gap - Invalid Consent", "Compliant")))))</f>
        <v/>
      </c>
      <c r="O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>
        <f>IF(D1493="Legitimate Interest (GDPR Art. 6(1)(f))", "Yes / Required (Sheet 3)", "")</f>
        <v/>
      </c>
      <c r="L1493" s="7" t="n"/>
      <c r="M1493" s="7" t="n"/>
      <c r="N1493">
        <f>IF(D1493="", "Gap - No Legal Basis", IF(AND(D1493="Consent (GDPR Art. 6(1)(a))", I1493="Not Captured"), "Gap - Invalid Consent", IF(AND(D1493="Legitimate Interest (GDPR Art. 6(1)(f))", L1493=""), "Gap - Missing LIA", IF(AND(G1493="Yes", H1493=""), "Gap - Missing Art. 9 Basis", IF(OR(I1493="Invalid - Not Freely Given", I1493="Invalid - Not Specific", I1493="Invalid - Not Informed", I1493="Invalid - Ambiguous"), "Gap - Invalid Consent", "Compliant")))))</f>
        <v/>
      </c>
      <c r="O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>
        <f>IF(D1494="Legitimate Interest (GDPR Art. 6(1)(f))", "Yes / Required (Sheet 3)", "")</f>
        <v/>
      </c>
      <c r="L1494" s="7" t="n"/>
      <c r="M1494" s="7" t="n"/>
      <c r="N1494">
        <f>IF(D1494="", "Gap - No Legal Basis", IF(AND(D1494="Consent (GDPR Art. 6(1)(a))", I1494="Not Captured"), "Gap - Invalid Consent", IF(AND(D1494="Legitimate Interest (GDPR Art. 6(1)(f))", L1494=""), "Gap - Missing LIA", IF(AND(G1494="Yes", H1494=""), "Gap - Missing Art. 9 Basis", IF(OR(I1494="Invalid - Not Freely Given", I1494="Invalid - Not Specific", I1494="Invalid - Not Informed", I1494="Invalid - Ambiguous"), "Gap - Invalid Consent", "Compliant")))))</f>
        <v/>
      </c>
      <c r="O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>
        <f>IF(D1495="Legitimate Interest (GDPR Art. 6(1)(f))", "Yes / Required (Sheet 3)", "")</f>
        <v/>
      </c>
      <c r="L1495" s="7" t="n"/>
      <c r="M1495" s="7" t="n"/>
      <c r="N1495">
        <f>IF(D1495="", "Gap - No Legal Basis", IF(AND(D1495="Consent (GDPR Art. 6(1)(a))", I1495="Not Captured"), "Gap - Invalid Consent", IF(AND(D1495="Legitimate Interest (GDPR Art. 6(1)(f))", L1495=""), "Gap - Missing LIA", IF(AND(G1495="Yes", H1495=""), "Gap - Missing Art. 9 Basis", IF(OR(I1495="Invalid - Not Freely Given", I1495="Invalid - Not Specific", I1495="Invalid - Not Informed", I1495="Invalid - Ambiguous"), "Gap - Invalid Consent", "Compliant")))))</f>
        <v/>
      </c>
      <c r="O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>
        <f>IF(D1496="Legitimate Interest (GDPR Art. 6(1)(f))", "Yes / Required (Sheet 3)", "")</f>
        <v/>
      </c>
      <c r="L1496" s="7" t="n"/>
      <c r="M1496" s="7" t="n"/>
      <c r="N1496">
        <f>IF(D1496="", "Gap - No Legal Basis", IF(AND(D1496="Consent (GDPR Art. 6(1)(a))", I1496="Not Captured"), "Gap - Invalid Consent", IF(AND(D1496="Legitimate Interest (GDPR Art. 6(1)(f))", L1496=""), "Gap - Missing LIA", IF(AND(G1496="Yes", H1496=""), "Gap - Missing Art. 9 Basis", IF(OR(I1496="Invalid - Not Freely Given", I1496="Invalid - Not Specific", I1496="Invalid - Not Informed", I1496="Invalid - Ambiguous"), "Gap - Invalid Consent", "Compliant")))))</f>
        <v/>
      </c>
      <c r="O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>
        <f>IF(D1497="Legitimate Interest (GDPR Art. 6(1)(f))", "Yes / Required (Sheet 3)", "")</f>
        <v/>
      </c>
      <c r="L1497" s="7" t="n"/>
      <c r="M1497" s="7" t="n"/>
      <c r="N1497">
        <f>IF(D1497="", "Gap - No Legal Basis", IF(AND(D1497="Consent (GDPR Art. 6(1)(a))", I1497="Not Captured"), "Gap - Invalid Consent", IF(AND(D1497="Legitimate Interest (GDPR Art. 6(1)(f))", L1497=""), "Gap - Missing LIA", IF(AND(G1497="Yes", H1497=""), "Gap - Missing Art. 9 Basis", IF(OR(I1497="Invalid - Not Freely Given", I1497="Invalid - Not Specific", I1497="Invalid - Not Informed", I1497="Invalid - Ambiguous"), "Gap - Invalid Consent", "Compliant")))))</f>
        <v/>
      </c>
      <c r="O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>
        <f>IF(D1498="Legitimate Interest (GDPR Art. 6(1)(f))", "Yes / Required (Sheet 3)", "")</f>
        <v/>
      </c>
      <c r="L1498" s="7" t="n"/>
      <c r="M1498" s="7" t="n"/>
      <c r="N1498">
        <f>IF(D1498="", "Gap - No Legal Basis", IF(AND(D1498="Consent (GDPR Art. 6(1)(a))", I1498="Not Captured"), "Gap - Invalid Consent", IF(AND(D1498="Legitimate Interest (GDPR Art. 6(1)(f))", L1498=""), "Gap - Missing LIA", IF(AND(G1498="Yes", H1498=""), "Gap - Missing Art. 9 Basis", IF(OR(I1498="Invalid - Not Freely Given", I1498="Invalid - Not Specific", I1498="Invalid - Not Informed", I1498="Invalid - Ambiguous"), "Gap - Invalid Consent", "Compliant")))))</f>
        <v/>
      </c>
      <c r="O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>
        <f>IF(D1499="Legitimate Interest (GDPR Art. 6(1)(f))", "Yes / Required (Sheet 3)", "")</f>
        <v/>
      </c>
      <c r="L1499" s="7" t="n"/>
      <c r="M1499" s="7" t="n"/>
      <c r="N1499">
        <f>IF(D1499="", "Gap - No Legal Basis", IF(AND(D1499="Consent (GDPR Art. 6(1)(a))", I1499="Not Captured"), "Gap - Invalid Consent", IF(AND(D1499="Legitimate Interest (GDPR Art. 6(1)(f))", L1499=""), "Gap - Missing LIA", IF(AND(G1499="Yes", H1499=""), "Gap - Missing Art. 9 Basis", IF(OR(I1499="Invalid - Not Freely Given", I1499="Invalid - Not Specific", I1499="Invalid - Not Informed", I1499="Invalid - Ambiguous"), "Gap - Invalid Consent", "Compliant")))))</f>
        <v/>
      </c>
      <c r="O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>
        <f>IF(D1500="Legitimate Interest (GDPR Art. 6(1)(f))", "Yes / Required (Sheet 3)", "")</f>
        <v/>
      </c>
      <c r="L1500" s="7" t="n"/>
      <c r="M1500" s="7" t="n"/>
      <c r="N1500">
        <f>IF(D1500="", "Gap - No Legal Basis", IF(AND(D1500="Consent (GDPR Art. 6(1)(a))", I1500="Not Captured"), "Gap - Invalid Consent", IF(AND(D1500="Legitimate Interest (GDPR Art. 6(1)(f))", L1500=""), "Gap - Missing LIA", IF(AND(G1500="Yes", H1500=""), "Gap - Missing Art. 9 Basis", IF(OR(I1500="Invalid - Not Freely Given", I1500="Invalid - Not Specific", I1500="Invalid - Not Informed", I1500="Invalid - Ambiguous"), "Gap - Invalid Consent", "Compliant")))))</f>
        <v/>
      </c>
      <c r="O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>
        <f>IF(D1501="Legitimate Interest (GDPR Art. 6(1)(f))", "Yes / Required (Sheet 3)", "")</f>
        <v/>
      </c>
      <c r="L1501" s="7" t="n"/>
      <c r="M1501" s="7" t="n"/>
      <c r="N1501">
        <f>IF(D1501="", "Gap - No Legal Basis", IF(AND(D1501="Consent (GDPR Art. 6(1)(a))", I1501="Not Captured"), "Gap - Invalid Consent", IF(AND(D1501="Legitimate Interest (GDPR Art. 6(1)(f))", L1501=""), "Gap - Missing LIA", IF(AND(G1501="Yes", H1501=""), "Gap - Missing Art. 9 Basis", IF(OR(I1501="Invalid - Not Freely Given", I1501="Invalid - Not Specific", I1501="Invalid - Not Informed", I1501="Invalid - Ambiguous"), "Gap - Invalid Consent", "Compliant")))))</f>
        <v/>
      </c>
      <c r="O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>
        <f>IF(D1502="Legitimate Interest (GDPR Art. 6(1)(f))", "Yes / Required (Sheet 3)", "")</f>
        <v/>
      </c>
      <c r="L1502" s="7" t="n"/>
      <c r="M1502" s="7" t="n"/>
      <c r="N1502">
        <f>IF(D1502="", "Gap - No Legal Basis", IF(AND(D1502="Consent (GDPR Art. 6(1)(a))", I1502="Not Captured"), "Gap - Invalid Consent", IF(AND(D1502="Legitimate Interest (GDPR Art. 6(1)(f))", L1502=""), "Gap - Missing LIA", IF(AND(G1502="Yes", H1502=""), "Gap - Missing Art. 9 Basis", IF(OR(I1502="Invalid - Not Freely Given", I1502="Invalid - Not Specific", I1502="Invalid - Not Informed", I1502="Invalid - Ambiguous"), "Gap - Invalid Consent", "Compliant")))))</f>
        <v/>
      </c>
      <c r="O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>
        <f>IF(D1503="Legitimate Interest (GDPR Art. 6(1)(f))", "Yes / Required (Sheet 3)", "")</f>
        <v/>
      </c>
      <c r="L1503" s="7" t="n"/>
      <c r="M1503" s="7" t="n"/>
      <c r="N1503">
        <f>IF(D1503="", "Gap - No Legal Basis", IF(AND(D1503="Consent (GDPR Art. 6(1)(a))", I1503="Not Captured"), "Gap - Invalid Consent", IF(AND(D1503="Legitimate Interest (GDPR Art. 6(1)(f))", L1503=""), "Gap - Missing LIA", IF(AND(G1503="Yes", H1503=""), "Gap - Missing Art. 9 Basis", IF(OR(I1503="Invalid - Not Freely Given", I1503="Invalid - Not Specific", I1503="Invalid - Not Informed", I1503="Invalid - Ambiguous"), "Gap - Invalid Consent", "Compliant")))))</f>
        <v/>
      </c>
      <c r="O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>
        <f>IF(D1504="Legitimate Interest (GDPR Art. 6(1)(f))", "Yes / Required (Sheet 3)", "")</f>
        <v/>
      </c>
      <c r="L1504" s="7" t="n"/>
      <c r="M1504" s="7" t="n"/>
      <c r="N1504">
        <f>IF(D1504="", "Gap - No Legal Basis", IF(AND(D1504="Consent (GDPR Art. 6(1)(a))", I1504="Not Captured"), "Gap - Invalid Consent", IF(AND(D1504="Legitimate Interest (GDPR Art. 6(1)(f))", L1504=""), "Gap - Missing LIA", IF(AND(G1504="Yes", H1504=""), "Gap - Missing Art. 9 Basis", IF(OR(I1504="Invalid - Not Freely Given", I1504="Invalid - Not Specific", I1504="Invalid - Not Informed", I1504="Invalid - Ambiguous"), "Gap - Invalid Consent", "Compliant")))))</f>
        <v/>
      </c>
      <c r="O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>
        <f>IF(D1505="Legitimate Interest (GDPR Art. 6(1)(f))", "Yes / Required (Sheet 3)", "")</f>
        <v/>
      </c>
      <c r="L1505" s="7" t="n"/>
      <c r="M1505" s="7" t="n"/>
      <c r="N1505">
        <f>IF(D1505="", "Gap - No Legal Basis", IF(AND(D1505="Consent (GDPR Art. 6(1)(a))", I1505="Not Captured"), "Gap - Invalid Consent", IF(AND(D1505="Legitimate Interest (GDPR Art. 6(1)(f))", L1505=""), "Gap - Missing LIA", IF(AND(G1505="Yes", H1505=""), "Gap - Missing Art. 9 Basis", IF(OR(I1505="Invalid - Not Freely Given", I1505="Invalid - Not Specific", I1505="Invalid - Not Informed", I1505="Invalid - Ambiguous"), "Gap - Invalid Consent", "Compliant")))))</f>
        <v/>
      </c>
      <c r="O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>
        <f>IF(D1506="Legitimate Interest (GDPR Art. 6(1)(f))", "Yes / Required (Sheet 3)", "")</f>
        <v/>
      </c>
      <c r="L1506" s="7" t="n"/>
      <c r="M1506" s="7" t="n"/>
      <c r="N1506">
        <f>IF(D1506="", "Gap - No Legal Basis", IF(AND(D1506="Consent (GDPR Art. 6(1)(a))", I1506="Not Captured"), "Gap - Invalid Consent", IF(AND(D1506="Legitimate Interest (GDPR Art. 6(1)(f))", L1506=""), "Gap - Missing LIA", IF(AND(G1506="Yes", H1506=""), "Gap - Missing Art. 9 Basis", IF(OR(I1506="Invalid - Not Freely Given", I1506="Invalid - Not Specific", I1506="Invalid - Not Informed", I1506="Invalid - Ambiguous"), "Gap - Invalid Consent", "Compliant")))))</f>
        <v/>
      </c>
      <c r="O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>
        <f>IF(D1507="Legitimate Interest (GDPR Art. 6(1)(f))", "Yes / Required (Sheet 3)", "")</f>
        <v/>
      </c>
      <c r="L1507" s="7" t="n"/>
      <c r="M1507" s="7" t="n"/>
      <c r="N1507">
        <f>IF(D1507="", "Gap - No Legal Basis", IF(AND(D1507="Consent (GDPR Art. 6(1)(a))", I1507="Not Captured"), "Gap - Invalid Consent", IF(AND(D1507="Legitimate Interest (GDPR Art. 6(1)(f))", L1507=""), "Gap - Missing LIA", IF(AND(G1507="Yes", H1507=""), "Gap - Missing Art. 9 Basis", IF(OR(I1507="Invalid - Not Freely Given", I1507="Invalid - Not Specific", I1507="Invalid - Not Informed", I1507="Invalid - Ambiguous"), "Gap - Invalid Consent", "Compliant")))))</f>
        <v/>
      </c>
      <c r="O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>
        <f>IF(D1508="Legitimate Interest (GDPR Art. 6(1)(f))", "Yes / Required (Sheet 3)", "")</f>
        <v/>
      </c>
      <c r="L1508" s="7" t="n"/>
      <c r="M1508" s="7" t="n"/>
      <c r="N1508">
        <f>IF(D1508="", "Gap - No Legal Basis", IF(AND(D1508="Consent (GDPR Art. 6(1)(a))", I1508="Not Captured"), "Gap - Invalid Consent", IF(AND(D1508="Legitimate Interest (GDPR Art. 6(1)(f))", L1508=""), "Gap - Missing LIA", IF(AND(G1508="Yes", H1508=""), "Gap - Missing Art. 9 Basis", IF(OR(I1508="Invalid - Not Freely Given", I1508="Invalid - Not Specific", I1508="Invalid - Not Informed", I1508="Invalid - Ambiguous"), "Gap - Invalid Consent", "Compliant")))))</f>
        <v/>
      </c>
      <c r="O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>
        <f>IF(D1509="Legitimate Interest (GDPR Art. 6(1)(f))", "Yes / Required (Sheet 3)", "")</f>
        <v/>
      </c>
      <c r="L1509" s="7" t="n"/>
      <c r="M1509" s="7" t="n"/>
      <c r="N1509">
        <f>IF(D1509="", "Gap - No Legal Basis", IF(AND(D1509="Consent (GDPR Art. 6(1)(a))", I1509="Not Captured"), "Gap - Invalid Consent", IF(AND(D1509="Legitimate Interest (GDPR Art. 6(1)(f))", L1509=""), "Gap - Missing LIA", IF(AND(G1509="Yes", H1509=""), "Gap - Missing Art. 9 Basis", IF(OR(I1509="Invalid - Not Freely Given", I1509="Invalid - Not Specific", I1509="Invalid - Not Informed", I1509="Invalid - Ambiguous"), "Gap - Invalid Consent", "Compliant")))))</f>
        <v/>
      </c>
      <c r="O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>
        <f>IF(D1510="Legitimate Interest (GDPR Art. 6(1)(f))", "Yes / Required (Sheet 3)", "")</f>
        <v/>
      </c>
      <c r="L1510" s="7" t="n"/>
      <c r="M1510" s="7" t="n"/>
      <c r="N1510">
        <f>IF(D1510="", "Gap - No Legal Basis", IF(AND(D1510="Consent (GDPR Art. 6(1)(a))", I1510="Not Captured"), "Gap - Invalid Consent", IF(AND(D1510="Legitimate Interest (GDPR Art. 6(1)(f))", L1510=""), "Gap - Missing LIA", IF(AND(G1510="Yes", H1510=""), "Gap - Missing Art. 9 Basis", IF(OR(I1510="Invalid - Not Freely Given", I1510="Invalid - Not Specific", I1510="Invalid - Not Informed", I1510="Invalid - Ambiguous"), "Gap - Invalid Consent", "Compliant")))))</f>
        <v/>
      </c>
      <c r="O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>
        <f>IF(D1511="Legitimate Interest (GDPR Art. 6(1)(f))", "Yes / Required (Sheet 3)", "")</f>
        <v/>
      </c>
      <c r="L1511" s="7" t="n"/>
      <c r="M1511" s="7" t="n"/>
      <c r="N1511">
        <f>IF(D1511="", "Gap - No Legal Basis", IF(AND(D1511="Consent (GDPR Art. 6(1)(a))", I1511="Not Captured"), "Gap - Invalid Consent", IF(AND(D1511="Legitimate Interest (GDPR Art. 6(1)(f))", L1511=""), "Gap - Missing LIA", IF(AND(G1511="Yes", H1511=""), "Gap - Missing Art. 9 Basis", IF(OR(I1511="Invalid - Not Freely Given", I1511="Invalid - Not Specific", I1511="Invalid - Not Informed", I1511="Invalid - Ambiguous"), "Gap - Invalid Consent", "Compliant")))))</f>
        <v/>
      </c>
      <c r="O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>
        <f>IF(D1512="Legitimate Interest (GDPR Art. 6(1)(f))", "Yes / Required (Sheet 3)", "")</f>
        <v/>
      </c>
      <c r="L1512" s="7" t="n"/>
      <c r="M1512" s="7" t="n"/>
      <c r="N1512">
        <f>IF(D1512="", "Gap - No Legal Basis", IF(AND(D1512="Consent (GDPR Art. 6(1)(a))", I1512="Not Captured"), "Gap - Invalid Consent", IF(AND(D1512="Legitimate Interest (GDPR Art. 6(1)(f))", L1512=""), "Gap - Missing LIA", IF(AND(G1512="Yes", H1512=""), "Gap - Missing Art. 9 Basis", IF(OR(I1512="Invalid - Not Freely Given", I1512="Invalid - Not Specific", I1512="Invalid - Not Informed", I1512="Invalid - Ambiguous"), "Gap - Invalid Consent", "Compliant")))))</f>
        <v/>
      </c>
      <c r="O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>
        <f>IF(D1513="Legitimate Interest (GDPR Art. 6(1)(f))", "Yes / Required (Sheet 3)", "")</f>
        <v/>
      </c>
      <c r="L1513" s="7" t="n"/>
      <c r="M1513" s="7" t="n"/>
      <c r="N1513">
        <f>IF(D1513="", "Gap - No Legal Basis", IF(AND(D1513="Consent (GDPR Art. 6(1)(a))", I1513="Not Captured"), "Gap - Invalid Consent", IF(AND(D1513="Legitimate Interest (GDPR Art. 6(1)(f))", L1513=""), "Gap - Missing LIA", IF(AND(G1513="Yes", H1513=""), "Gap - Missing Art. 9 Basis", IF(OR(I1513="Invalid - Not Freely Given", I1513="Invalid - Not Specific", I1513="Invalid - Not Informed", I1513="Invalid - Ambiguous"), "Gap - Invalid Consent", "Compliant")))))</f>
        <v/>
      </c>
      <c r="O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>
        <f>IF(D1514="Legitimate Interest (GDPR Art. 6(1)(f))", "Yes / Required (Sheet 3)", "")</f>
        <v/>
      </c>
      <c r="L1514" s="7" t="n"/>
      <c r="M1514" s="7" t="n"/>
      <c r="N1514">
        <f>IF(D1514="", "Gap - No Legal Basis", IF(AND(D1514="Consent (GDPR Art. 6(1)(a))", I1514="Not Captured"), "Gap - Invalid Consent", IF(AND(D1514="Legitimate Interest (GDPR Art. 6(1)(f))", L1514=""), "Gap - Missing LIA", IF(AND(G1514="Yes", H1514=""), "Gap - Missing Art. 9 Basis", IF(OR(I1514="Invalid - Not Freely Given", I1514="Invalid - Not Specific", I1514="Invalid - Not Informed", I1514="Invalid - Ambiguous"), "Gap - Invalid Consent", "Compliant")))))</f>
        <v/>
      </c>
      <c r="O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>
        <f>IF(D1515="Legitimate Interest (GDPR Art. 6(1)(f))", "Yes / Required (Sheet 3)", "")</f>
        <v/>
      </c>
      <c r="L1515" s="7" t="n"/>
      <c r="M1515" s="7" t="n"/>
      <c r="N1515">
        <f>IF(D1515="", "Gap - No Legal Basis", IF(AND(D1515="Consent (GDPR Art. 6(1)(a))", I1515="Not Captured"), "Gap - Invalid Consent", IF(AND(D1515="Legitimate Interest (GDPR Art. 6(1)(f))", L1515=""), "Gap - Missing LIA", IF(AND(G1515="Yes", H1515=""), "Gap - Missing Art. 9 Basis", IF(OR(I1515="Invalid - Not Freely Given", I1515="Invalid - Not Specific", I1515="Invalid - Not Informed", I1515="Invalid - Ambiguous"), "Gap - Invalid Consent", "Compliant")))))</f>
        <v/>
      </c>
      <c r="O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>
        <f>IF(D1516="Legitimate Interest (GDPR Art. 6(1)(f))", "Yes / Required (Sheet 3)", "")</f>
        <v/>
      </c>
      <c r="L1516" s="7" t="n"/>
      <c r="M1516" s="7" t="n"/>
      <c r="N1516">
        <f>IF(D1516="", "Gap - No Legal Basis", IF(AND(D1516="Consent (GDPR Art. 6(1)(a))", I1516="Not Captured"), "Gap - Invalid Consent", IF(AND(D1516="Legitimate Interest (GDPR Art. 6(1)(f))", L1516=""), "Gap - Missing LIA", IF(AND(G1516="Yes", H1516=""), "Gap - Missing Art. 9 Basis", IF(OR(I1516="Invalid - Not Freely Given", I1516="Invalid - Not Specific", I1516="Invalid - Not Informed", I1516="Invalid - Ambiguous"), "Gap - Invalid Consent", "Compliant")))))</f>
        <v/>
      </c>
      <c r="O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>
        <f>IF(D1517="Legitimate Interest (GDPR Art. 6(1)(f))", "Yes / Required (Sheet 3)", "")</f>
        <v/>
      </c>
      <c r="L1517" s="7" t="n"/>
      <c r="M1517" s="7" t="n"/>
      <c r="N1517">
        <f>IF(D1517="", "Gap - No Legal Basis", IF(AND(D1517="Consent (GDPR Art. 6(1)(a))", I1517="Not Captured"), "Gap - Invalid Consent", IF(AND(D1517="Legitimate Interest (GDPR Art. 6(1)(f))", L1517=""), "Gap - Missing LIA", IF(AND(G1517="Yes", H1517=""), "Gap - Missing Art. 9 Basis", IF(OR(I1517="Invalid - Not Freely Given", I1517="Invalid - Not Specific", I1517="Invalid - Not Informed", I1517="Invalid - Ambiguous"), "Gap - Invalid Consent", "Compliant")))))</f>
        <v/>
      </c>
      <c r="O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>
        <f>IF(D1518="Legitimate Interest (GDPR Art. 6(1)(f))", "Yes / Required (Sheet 3)", "")</f>
        <v/>
      </c>
      <c r="L1518" s="7" t="n"/>
      <c r="M1518" s="7" t="n"/>
      <c r="N1518">
        <f>IF(D1518="", "Gap - No Legal Basis", IF(AND(D1518="Consent (GDPR Art. 6(1)(a))", I1518="Not Captured"), "Gap - Invalid Consent", IF(AND(D1518="Legitimate Interest (GDPR Art. 6(1)(f))", L1518=""), "Gap - Missing LIA", IF(AND(G1518="Yes", H1518=""), "Gap - Missing Art. 9 Basis", IF(OR(I1518="Invalid - Not Freely Given", I1518="Invalid - Not Specific", I1518="Invalid - Not Informed", I1518="Invalid - Ambiguous"), "Gap - Invalid Consent", "Compliant")))))</f>
        <v/>
      </c>
      <c r="O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>
        <f>IF(D1519="Legitimate Interest (GDPR Art. 6(1)(f))", "Yes / Required (Sheet 3)", "")</f>
        <v/>
      </c>
      <c r="L1519" s="7" t="n"/>
      <c r="M1519" s="7" t="n"/>
      <c r="N1519">
        <f>IF(D1519="", "Gap - No Legal Basis", IF(AND(D1519="Consent (GDPR Art. 6(1)(a))", I1519="Not Captured"), "Gap - Invalid Consent", IF(AND(D1519="Legitimate Interest (GDPR Art. 6(1)(f))", L1519=""), "Gap - Missing LIA", IF(AND(G1519="Yes", H1519=""), "Gap - Missing Art. 9 Basis", IF(OR(I1519="Invalid - Not Freely Given", I1519="Invalid - Not Specific", I1519="Invalid - Not Informed", I1519="Invalid - Ambiguous"), "Gap - Invalid Consent", "Compliant")))))</f>
        <v/>
      </c>
      <c r="O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>
        <f>IF(D1520="Legitimate Interest (GDPR Art. 6(1)(f))", "Yes / Required (Sheet 3)", "")</f>
        <v/>
      </c>
      <c r="L1520" s="7" t="n"/>
      <c r="M1520" s="7" t="n"/>
      <c r="N1520">
        <f>IF(D1520="", "Gap - No Legal Basis", IF(AND(D1520="Consent (GDPR Art. 6(1)(a))", I1520="Not Captured"), "Gap - Invalid Consent", IF(AND(D1520="Legitimate Interest (GDPR Art. 6(1)(f))", L1520=""), "Gap - Missing LIA", IF(AND(G1520="Yes", H1520=""), "Gap - Missing Art. 9 Basis", IF(OR(I1520="Invalid - Not Freely Given", I1520="Invalid - Not Specific", I1520="Invalid - Not Informed", I1520="Invalid - Ambiguous"), "Gap - Invalid Consent", "Compliant")))))</f>
        <v/>
      </c>
      <c r="O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>
        <f>IF(D1521="Legitimate Interest (GDPR Art. 6(1)(f))", "Yes / Required (Sheet 3)", "")</f>
        <v/>
      </c>
      <c r="L1521" s="7" t="n"/>
      <c r="M1521" s="7" t="n"/>
      <c r="N1521">
        <f>IF(D1521="", "Gap - No Legal Basis", IF(AND(D1521="Consent (GDPR Art. 6(1)(a))", I1521="Not Captured"), "Gap - Invalid Consent", IF(AND(D1521="Legitimate Interest (GDPR Art. 6(1)(f))", L1521=""), "Gap - Missing LIA", IF(AND(G1521="Yes", H1521=""), "Gap - Missing Art. 9 Basis", IF(OR(I1521="Invalid - Not Freely Given", I1521="Invalid - Not Specific", I1521="Invalid - Not Informed", I1521="Invalid - Ambiguous"), "Gap - Invalid Consent", "Compliant")))))</f>
        <v/>
      </c>
      <c r="O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>
        <f>IF(D1522="Legitimate Interest (GDPR Art. 6(1)(f))", "Yes / Required (Sheet 3)", "")</f>
        <v/>
      </c>
      <c r="L1522" s="7" t="n"/>
      <c r="M1522" s="7" t="n"/>
      <c r="N1522">
        <f>IF(D1522="", "Gap - No Legal Basis", IF(AND(D1522="Consent (GDPR Art. 6(1)(a))", I1522="Not Captured"), "Gap - Invalid Consent", IF(AND(D1522="Legitimate Interest (GDPR Art. 6(1)(f))", L1522=""), "Gap - Missing LIA", IF(AND(G1522="Yes", H1522=""), "Gap - Missing Art. 9 Basis", IF(OR(I1522="Invalid - Not Freely Given", I1522="Invalid - Not Specific", I1522="Invalid - Not Informed", I1522="Invalid - Ambiguous"), "Gap - Invalid Consent", "Compliant")))))</f>
        <v/>
      </c>
      <c r="O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>
        <f>IF(D1523="Legitimate Interest (GDPR Art. 6(1)(f))", "Yes / Required (Sheet 3)", "")</f>
        <v/>
      </c>
      <c r="L1523" s="7" t="n"/>
      <c r="M1523" s="7" t="n"/>
      <c r="N1523">
        <f>IF(D1523="", "Gap - No Legal Basis", IF(AND(D1523="Consent (GDPR Art. 6(1)(a))", I1523="Not Captured"), "Gap - Invalid Consent", IF(AND(D1523="Legitimate Interest (GDPR Art. 6(1)(f))", L1523=""), "Gap - Missing LIA", IF(AND(G1523="Yes", H1523=""), "Gap - Missing Art. 9 Basis", IF(OR(I1523="Invalid - Not Freely Given", I1523="Invalid - Not Specific", I1523="Invalid - Not Informed", I1523="Invalid - Ambiguous"), "Gap - Invalid Consent", "Compliant")))))</f>
        <v/>
      </c>
      <c r="O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>
        <f>IF(D1524="Legitimate Interest (GDPR Art. 6(1)(f))", "Yes / Required (Sheet 3)", "")</f>
        <v/>
      </c>
      <c r="L1524" s="7" t="n"/>
      <c r="M1524" s="7" t="n"/>
      <c r="N1524">
        <f>IF(D1524="", "Gap - No Legal Basis", IF(AND(D1524="Consent (GDPR Art. 6(1)(a))", I1524="Not Captured"), "Gap - Invalid Consent", IF(AND(D1524="Legitimate Interest (GDPR Art. 6(1)(f))", L1524=""), "Gap - Missing LIA", IF(AND(G1524="Yes", H1524=""), "Gap - Missing Art. 9 Basis", IF(OR(I1524="Invalid - Not Freely Given", I1524="Invalid - Not Specific", I1524="Invalid - Not Informed", I1524="Invalid - Ambiguous"), "Gap - Invalid Consent", "Compliant")))))</f>
        <v/>
      </c>
      <c r="O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>
        <f>IF(D1525="Legitimate Interest (GDPR Art. 6(1)(f))", "Yes / Required (Sheet 3)", "")</f>
        <v/>
      </c>
      <c r="L1525" s="7" t="n"/>
      <c r="M1525" s="7" t="n"/>
      <c r="N1525">
        <f>IF(D1525="", "Gap - No Legal Basis", IF(AND(D1525="Consent (GDPR Art. 6(1)(a))", I1525="Not Captured"), "Gap - Invalid Consent", IF(AND(D1525="Legitimate Interest (GDPR Art. 6(1)(f))", L1525=""), "Gap - Missing LIA", IF(AND(G1525="Yes", H1525=""), "Gap - Missing Art. 9 Basis", IF(OR(I1525="Invalid - Not Freely Given", I1525="Invalid - Not Specific", I1525="Invalid - Not Informed", I1525="Invalid - Ambiguous"), "Gap - Invalid Consent", "Compliant")))))</f>
        <v/>
      </c>
      <c r="O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>
        <f>IF(D1526="Legitimate Interest (GDPR Art. 6(1)(f))", "Yes / Required (Sheet 3)", "")</f>
        <v/>
      </c>
      <c r="L1526" s="7" t="n"/>
      <c r="M1526" s="7" t="n"/>
      <c r="N1526">
        <f>IF(D1526="", "Gap - No Legal Basis", IF(AND(D1526="Consent (GDPR Art. 6(1)(a))", I1526="Not Captured"), "Gap - Invalid Consent", IF(AND(D1526="Legitimate Interest (GDPR Art. 6(1)(f))", L1526=""), "Gap - Missing LIA", IF(AND(G1526="Yes", H1526=""), "Gap - Missing Art. 9 Basis", IF(OR(I1526="Invalid - Not Freely Given", I1526="Invalid - Not Specific", I1526="Invalid - Not Informed", I1526="Invalid - Ambiguous"), "Gap - Invalid Consent", "Compliant")))))</f>
        <v/>
      </c>
      <c r="O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>
        <f>IF(D1527="Legitimate Interest (GDPR Art. 6(1)(f))", "Yes / Required (Sheet 3)", "")</f>
        <v/>
      </c>
      <c r="L1527" s="7" t="n"/>
      <c r="M1527" s="7" t="n"/>
      <c r="N1527">
        <f>IF(D1527="", "Gap - No Legal Basis", IF(AND(D1527="Consent (GDPR Art. 6(1)(a))", I1527="Not Captured"), "Gap - Invalid Consent", IF(AND(D1527="Legitimate Interest (GDPR Art. 6(1)(f))", L1527=""), "Gap - Missing LIA", IF(AND(G1527="Yes", H1527=""), "Gap - Missing Art. 9 Basis", IF(OR(I1527="Invalid - Not Freely Given", I1527="Invalid - Not Specific", I1527="Invalid - Not Informed", I1527="Invalid - Ambiguous"), "Gap - Invalid Consent", "Compliant")))))</f>
        <v/>
      </c>
      <c r="O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>
        <f>IF(D1528="Legitimate Interest (GDPR Art. 6(1)(f))", "Yes / Required (Sheet 3)", "")</f>
        <v/>
      </c>
      <c r="L1528" s="7" t="n"/>
      <c r="M1528" s="7" t="n"/>
      <c r="N1528">
        <f>IF(D1528="", "Gap - No Legal Basis", IF(AND(D1528="Consent (GDPR Art. 6(1)(a))", I1528="Not Captured"), "Gap - Invalid Consent", IF(AND(D1528="Legitimate Interest (GDPR Art. 6(1)(f))", L1528=""), "Gap - Missing LIA", IF(AND(G1528="Yes", H1528=""), "Gap - Missing Art. 9 Basis", IF(OR(I1528="Invalid - Not Freely Given", I1528="Invalid - Not Specific", I1528="Invalid - Not Informed", I1528="Invalid - Ambiguous"), "Gap - Invalid Consent", "Compliant")))))</f>
        <v/>
      </c>
      <c r="O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>
        <f>IF(D1529="Legitimate Interest (GDPR Art. 6(1)(f))", "Yes / Required (Sheet 3)", "")</f>
        <v/>
      </c>
      <c r="L1529" s="7" t="n"/>
      <c r="M1529" s="7" t="n"/>
      <c r="N1529">
        <f>IF(D1529="", "Gap - No Legal Basis", IF(AND(D1529="Consent (GDPR Art. 6(1)(a))", I1529="Not Captured"), "Gap - Invalid Consent", IF(AND(D1529="Legitimate Interest (GDPR Art. 6(1)(f))", L1529=""), "Gap - Missing LIA", IF(AND(G1529="Yes", H1529=""), "Gap - Missing Art. 9 Basis", IF(OR(I1529="Invalid - Not Freely Given", I1529="Invalid - Not Specific", I1529="Invalid - Not Informed", I1529="Invalid - Ambiguous"), "Gap - Invalid Consent", "Compliant")))))</f>
        <v/>
      </c>
      <c r="O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>
        <f>IF(D1530="Legitimate Interest (GDPR Art. 6(1)(f))", "Yes / Required (Sheet 3)", "")</f>
        <v/>
      </c>
      <c r="L1530" s="7" t="n"/>
      <c r="M1530" s="7" t="n"/>
      <c r="N1530">
        <f>IF(D1530="", "Gap - No Legal Basis", IF(AND(D1530="Consent (GDPR Art. 6(1)(a))", I1530="Not Captured"), "Gap - Invalid Consent", IF(AND(D1530="Legitimate Interest (GDPR Art. 6(1)(f))", L1530=""), "Gap - Missing LIA", IF(AND(G1530="Yes", H1530=""), "Gap - Missing Art. 9 Basis", IF(OR(I1530="Invalid - Not Freely Given", I1530="Invalid - Not Specific", I1530="Invalid - Not Informed", I1530="Invalid - Ambiguous"), "Gap - Invalid Consent", "Compliant")))))</f>
        <v/>
      </c>
      <c r="O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>
        <f>IF(D1531="Legitimate Interest (GDPR Art. 6(1)(f))", "Yes / Required (Sheet 3)", "")</f>
        <v/>
      </c>
      <c r="L1531" s="7" t="n"/>
      <c r="M1531" s="7" t="n"/>
      <c r="N1531">
        <f>IF(D1531="", "Gap - No Legal Basis", IF(AND(D1531="Consent (GDPR Art. 6(1)(a))", I1531="Not Captured"), "Gap - Invalid Consent", IF(AND(D1531="Legitimate Interest (GDPR Art. 6(1)(f))", L1531=""), "Gap - Missing LIA", IF(AND(G1531="Yes", H1531=""), "Gap - Missing Art. 9 Basis", IF(OR(I1531="Invalid - Not Freely Given", I1531="Invalid - Not Specific", I1531="Invalid - Not Informed", I1531="Invalid - Ambiguous"), "Gap - Invalid Consent", "Compliant")))))</f>
        <v/>
      </c>
      <c r="O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>
        <f>IF(D1532="Legitimate Interest (GDPR Art. 6(1)(f))", "Yes / Required (Sheet 3)", "")</f>
        <v/>
      </c>
      <c r="L1532" s="7" t="n"/>
      <c r="M1532" s="7" t="n"/>
      <c r="N1532">
        <f>IF(D1532="", "Gap - No Legal Basis", IF(AND(D1532="Consent (GDPR Art. 6(1)(a))", I1532="Not Captured"), "Gap - Invalid Consent", IF(AND(D1532="Legitimate Interest (GDPR Art. 6(1)(f))", L1532=""), "Gap - Missing LIA", IF(AND(G1532="Yes", H1532=""), "Gap - Missing Art. 9 Basis", IF(OR(I1532="Invalid - Not Freely Given", I1532="Invalid - Not Specific", I1532="Invalid - Not Informed", I1532="Invalid - Ambiguous"), "Gap - Invalid Consent", "Compliant")))))</f>
        <v/>
      </c>
      <c r="O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>
        <f>IF(D1533="Legitimate Interest (GDPR Art. 6(1)(f))", "Yes / Required (Sheet 3)", "")</f>
        <v/>
      </c>
      <c r="L1533" s="7" t="n"/>
      <c r="M1533" s="7" t="n"/>
      <c r="N1533">
        <f>IF(D1533="", "Gap - No Legal Basis", IF(AND(D1533="Consent (GDPR Art. 6(1)(a))", I1533="Not Captured"), "Gap - Invalid Consent", IF(AND(D1533="Legitimate Interest (GDPR Art. 6(1)(f))", L1533=""), "Gap - Missing LIA", IF(AND(G1533="Yes", H1533=""), "Gap - Missing Art. 9 Basis", IF(OR(I1533="Invalid - Not Freely Given", I1533="Invalid - Not Specific", I1533="Invalid - Not Informed", I1533="Invalid - Ambiguous"), "Gap - Invalid Consent", "Compliant")))))</f>
        <v/>
      </c>
      <c r="O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>
        <f>IF(D1534="Legitimate Interest (GDPR Art. 6(1)(f))", "Yes / Required (Sheet 3)", "")</f>
        <v/>
      </c>
      <c r="L1534" s="7" t="n"/>
      <c r="M1534" s="7" t="n"/>
      <c r="N1534">
        <f>IF(D1534="", "Gap - No Legal Basis", IF(AND(D1534="Consent (GDPR Art. 6(1)(a))", I1534="Not Captured"), "Gap - Invalid Consent", IF(AND(D1534="Legitimate Interest (GDPR Art. 6(1)(f))", L1534=""), "Gap - Missing LIA", IF(AND(G1534="Yes", H1534=""), "Gap - Missing Art. 9 Basis", IF(OR(I1534="Invalid - Not Freely Given", I1534="Invalid - Not Specific", I1534="Invalid - Not Informed", I1534="Invalid - Ambiguous"), "Gap - Invalid Consent", "Compliant")))))</f>
        <v/>
      </c>
      <c r="O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>
        <f>IF(D1535="Legitimate Interest (GDPR Art. 6(1)(f))", "Yes / Required (Sheet 3)", "")</f>
        <v/>
      </c>
      <c r="L1535" s="7" t="n"/>
      <c r="M1535" s="7" t="n"/>
      <c r="N1535">
        <f>IF(D1535="", "Gap - No Legal Basis", IF(AND(D1535="Consent (GDPR Art. 6(1)(a))", I1535="Not Captured"), "Gap - Invalid Consent", IF(AND(D1535="Legitimate Interest (GDPR Art. 6(1)(f))", L1535=""), "Gap - Missing LIA", IF(AND(G1535="Yes", H1535=""), "Gap - Missing Art. 9 Basis", IF(OR(I1535="Invalid - Not Freely Given", I1535="Invalid - Not Specific", I1535="Invalid - Not Informed", I1535="Invalid - Ambiguous"), "Gap - Invalid Consent", "Compliant")))))</f>
        <v/>
      </c>
      <c r="O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>
        <f>IF(D1536="Legitimate Interest (GDPR Art. 6(1)(f))", "Yes / Required (Sheet 3)", "")</f>
        <v/>
      </c>
      <c r="L1536" s="7" t="n"/>
      <c r="M1536" s="7" t="n"/>
      <c r="N1536">
        <f>IF(D1536="", "Gap - No Legal Basis", IF(AND(D1536="Consent (GDPR Art. 6(1)(a))", I1536="Not Captured"), "Gap - Invalid Consent", IF(AND(D1536="Legitimate Interest (GDPR Art. 6(1)(f))", L1536=""), "Gap - Missing LIA", IF(AND(G1536="Yes", H1536=""), "Gap - Missing Art. 9 Basis", IF(OR(I1536="Invalid - Not Freely Given", I1536="Invalid - Not Specific", I1536="Invalid - Not Informed", I1536="Invalid - Ambiguous"), "Gap - Invalid Consent", "Compliant")))))</f>
        <v/>
      </c>
      <c r="O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>
        <f>IF(D1537="Legitimate Interest (GDPR Art. 6(1)(f))", "Yes / Required (Sheet 3)", "")</f>
        <v/>
      </c>
      <c r="L1537" s="7" t="n"/>
      <c r="M1537" s="7" t="n"/>
      <c r="N1537">
        <f>IF(D1537="", "Gap - No Legal Basis", IF(AND(D1537="Consent (GDPR Art. 6(1)(a))", I1537="Not Captured"), "Gap - Invalid Consent", IF(AND(D1537="Legitimate Interest (GDPR Art. 6(1)(f))", L1537=""), "Gap - Missing LIA", IF(AND(G1537="Yes", H1537=""), "Gap - Missing Art. 9 Basis", IF(OR(I1537="Invalid - Not Freely Given", I1537="Invalid - Not Specific", I1537="Invalid - Not Informed", I1537="Invalid - Ambiguous"), "Gap - Invalid Consent", "Compliant")))))</f>
        <v/>
      </c>
      <c r="O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>
        <f>IF(D1538="Legitimate Interest (GDPR Art. 6(1)(f))", "Yes / Required (Sheet 3)", "")</f>
        <v/>
      </c>
      <c r="L1538" s="7" t="n"/>
      <c r="M1538" s="7" t="n"/>
      <c r="N1538">
        <f>IF(D1538="", "Gap - No Legal Basis", IF(AND(D1538="Consent (GDPR Art. 6(1)(a))", I1538="Not Captured"), "Gap - Invalid Consent", IF(AND(D1538="Legitimate Interest (GDPR Art. 6(1)(f))", L1538=""), "Gap - Missing LIA", IF(AND(G1538="Yes", H1538=""), "Gap - Missing Art. 9 Basis", IF(OR(I1538="Invalid - Not Freely Given", I1538="Invalid - Not Specific", I1538="Invalid - Not Informed", I1538="Invalid - Ambiguous"), "Gap - Invalid Consent", "Compliant")))))</f>
        <v/>
      </c>
      <c r="O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>
        <f>IF(D1539="Legitimate Interest (GDPR Art. 6(1)(f))", "Yes / Required (Sheet 3)", "")</f>
        <v/>
      </c>
      <c r="L1539" s="7" t="n"/>
      <c r="M1539" s="7" t="n"/>
      <c r="N1539">
        <f>IF(D1539="", "Gap - No Legal Basis", IF(AND(D1539="Consent (GDPR Art. 6(1)(a))", I1539="Not Captured"), "Gap - Invalid Consent", IF(AND(D1539="Legitimate Interest (GDPR Art. 6(1)(f))", L1539=""), "Gap - Missing LIA", IF(AND(G1539="Yes", H1539=""), "Gap - Missing Art. 9 Basis", IF(OR(I1539="Invalid - Not Freely Given", I1539="Invalid - Not Specific", I1539="Invalid - Not Informed", I1539="Invalid - Ambiguous"), "Gap - Invalid Consent", "Compliant")))))</f>
        <v/>
      </c>
      <c r="O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>
        <f>IF(D1540="Legitimate Interest (GDPR Art. 6(1)(f))", "Yes / Required (Sheet 3)", "")</f>
        <v/>
      </c>
      <c r="L1540" s="7" t="n"/>
      <c r="M1540" s="7" t="n"/>
      <c r="N1540">
        <f>IF(D1540="", "Gap - No Legal Basis", IF(AND(D1540="Consent (GDPR Art. 6(1)(a))", I1540="Not Captured"), "Gap - Invalid Consent", IF(AND(D1540="Legitimate Interest (GDPR Art. 6(1)(f))", L1540=""), "Gap - Missing LIA", IF(AND(G1540="Yes", H1540=""), "Gap - Missing Art. 9 Basis", IF(OR(I1540="Invalid - Not Freely Given", I1540="Invalid - Not Specific", I1540="Invalid - Not Informed", I1540="Invalid - Ambiguous"), "Gap - Invalid Consent", "Compliant")))))</f>
        <v/>
      </c>
      <c r="O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>
        <f>IF(D1541="Legitimate Interest (GDPR Art. 6(1)(f))", "Yes / Required (Sheet 3)", "")</f>
        <v/>
      </c>
      <c r="L1541" s="7" t="n"/>
      <c r="M1541" s="7" t="n"/>
      <c r="N1541">
        <f>IF(D1541="", "Gap - No Legal Basis", IF(AND(D1541="Consent (GDPR Art. 6(1)(a))", I1541="Not Captured"), "Gap - Invalid Consent", IF(AND(D1541="Legitimate Interest (GDPR Art. 6(1)(f))", L1541=""), "Gap - Missing LIA", IF(AND(G1541="Yes", H1541=""), "Gap - Missing Art. 9 Basis", IF(OR(I1541="Invalid - Not Freely Given", I1541="Invalid - Not Specific", I1541="Invalid - Not Informed", I1541="Invalid - Ambiguous"), "Gap - Invalid Consent", "Compliant")))))</f>
        <v/>
      </c>
      <c r="O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>
        <f>IF(D1542="Legitimate Interest (GDPR Art. 6(1)(f))", "Yes / Required (Sheet 3)", "")</f>
        <v/>
      </c>
      <c r="L1542" s="7" t="n"/>
      <c r="M1542" s="7" t="n"/>
      <c r="N1542">
        <f>IF(D1542="", "Gap - No Legal Basis", IF(AND(D1542="Consent (GDPR Art. 6(1)(a))", I1542="Not Captured"), "Gap - Invalid Consent", IF(AND(D1542="Legitimate Interest (GDPR Art. 6(1)(f))", L1542=""), "Gap - Missing LIA", IF(AND(G1542="Yes", H1542=""), "Gap - Missing Art. 9 Basis", IF(OR(I1542="Invalid - Not Freely Given", I1542="Invalid - Not Specific", I1542="Invalid - Not Informed", I1542="Invalid - Ambiguous"), "Gap - Invalid Consent", "Compliant")))))</f>
        <v/>
      </c>
      <c r="O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>
        <f>IF(D1543="Legitimate Interest (GDPR Art. 6(1)(f))", "Yes / Required (Sheet 3)", "")</f>
        <v/>
      </c>
      <c r="L1543" s="7" t="n"/>
      <c r="M1543" s="7" t="n"/>
      <c r="N1543">
        <f>IF(D1543="", "Gap - No Legal Basis", IF(AND(D1543="Consent (GDPR Art. 6(1)(a))", I1543="Not Captured"), "Gap - Invalid Consent", IF(AND(D1543="Legitimate Interest (GDPR Art. 6(1)(f))", L1543=""), "Gap - Missing LIA", IF(AND(G1543="Yes", H1543=""), "Gap - Missing Art. 9 Basis", IF(OR(I1543="Invalid - Not Freely Given", I1543="Invalid - Not Specific", I1543="Invalid - Not Informed", I1543="Invalid - Ambiguous"), "Gap - Invalid Consent", "Compliant")))))</f>
        <v/>
      </c>
      <c r="O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>
        <f>IF(D1544="Legitimate Interest (GDPR Art. 6(1)(f))", "Yes / Required (Sheet 3)", "")</f>
        <v/>
      </c>
      <c r="L1544" s="7" t="n"/>
      <c r="M1544" s="7" t="n"/>
      <c r="N1544">
        <f>IF(D1544="", "Gap - No Legal Basis", IF(AND(D1544="Consent (GDPR Art. 6(1)(a))", I1544="Not Captured"), "Gap - Invalid Consent", IF(AND(D1544="Legitimate Interest (GDPR Art. 6(1)(f))", L1544=""), "Gap - Missing LIA", IF(AND(G1544="Yes", H1544=""), "Gap - Missing Art. 9 Basis", IF(OR(I1544="Invalid - Not Freely Given", I1544="Invalid - Not Specific", I1544="Invalid - Not Informed", I1544="Invalid - Ambiguous"), "Gap - Invalid Consent", "Compliant")))))</f>
        <v/>
      </c>
      <c r="O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>
        <f>IF(D1545="Legitimate Interest (GDPR Art. 6(1)(f))", "Yes / Required (Sheet 3)", "")</f>
        <v/>
      </c>
      <c r="L1545" s="7" t="n"/>
      <c r="M1545" s="7" t="n"/>
      <c r="N1545">
        <f>IF(D1545="", "Gap - No Legal Basis", IF(AND(D1545="Consent (GDPR Art. 6(1)(a))", I1545="Not Captured"), "Gap - Invalid Consent", IF(AND(D1545="Legitimate Interest (GDPR Art. 6(1)(f))", L1545=""), "Gap - Missing LIA", IF(AND(G1545="Yes", H1545=""), "Gap - Missing Art. 9 Basis", IF(OR(I1545="Invalid - Not Freely Given", I1545="Invalid - Not Specific", I1545="Invalid - Not Informed", I1545="Invalid - Ambiguous"), "Gap - Invalid Consent", "Compliant")))))</f>
        <v/>
      </c>
      <c r="O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>
        <f>IF(D1546="Legitimate Interest (GDPR Art. 6(1)(f))", "Yes / Required (Sheet 3)", "")</f>
        <v/>
      </c>
      <c r="L1546" s="7" t="n"/>
      <c r="M1546" s="7" t="n"/>
      <c r="N1546">
        <f>IF(D1546="", "Gap - No Legal Basis", IF(AND(D1546="Consent (GDPR Art. 6(1)(a))", I1546="Not Captured"), "Gap - Invalid Consent", IF(AND(D1546="Legitimate Interest (GDPR Art. 6(1)(f))", L1546=""), "Gap - Missing LIA", IF(AND(G1546="Yes", H1546=""), "Gap - Missing Art. 9 Basis", IF(OR(I1546="Invalid - Not Freely Given", I1546="Invalid - Not Specific", I1546="Invalid - Not Informed", I1546="Invalid - Ambiguous"), "Gap - Invalid Consent", "Compliant")))))</f>
        <v/>
      </c>
      <c r="O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>
        <f>IF(D1547="Legitimate Interest (GDPR Art. 6(1)(f))", "Yes / Required (Sheet 3)", "")</f>
        <v/>
      </c>
      <c r="L1547" s="7" t="n"/>
      <c r="M1547" s="7" t="n"/>
      <c r="N1547">
        <f>IF(D1547="", "Gap - No Legal Basis", IF(AND(D1547="Consent (GDPR Art. 6(1)(a))", I1547="Not Captured"), "Gap - Invalid Consent", IF(AND(D1547="Legitimate Interest (GDPR Art. 6(1)(f))", L1547=""), "Gap - Missing LIA", IF(AND(G1547="Yes", H1547=""), "Gap - Missing Art. 9 Basis", IF(OR(I1547="Invalid - Not Freely Given", I1547="Invalid - Not Specific", I1547="Invalid - Not Informed", I1547="Invalid - Ambiguous"), "Gap - Invalid Consent", "Compliant")))))</f>
        <v/>
      </c>
      <c r="O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>
        <f>IF(D1548="Legitimate Interest (GDPR Art. 6(1)(f))", "Yes / Required (Sheet 3)", "")</f>
        <v/>
      </c>
      <c r="L1548" s="7" t="n"/>
      <c r="M1548" s="7" t="n"/>
      <c r="N1548">
        <f>IF(D1548="", "Gap - No Legal Basis", IF(AND(D1548="Consent (GDPR Art. 6(1)(a))", I1548="Not Captured"), "Gap - Invalid Consent", IF(AND(D1548="Legitimate Interest (GDPR Art. 6(1)(f))", L1548=""), "Gap - Missing LIA", IF(AND(G1548="Yes", H1548=""), "Gap - Missing Art. 9 Basis", IF(OR(I1548="Invalid - Not Freely Given", I1548="Invalid - Not Specific", I1548="Invalid - Not Informed", I1548="Invalid - Ambiguous"), "Gap - Invalid Consent", "Compliant")))))</f>
        <v/>
      </c>
      <c r="O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>
        <f>IF(D1549="Legitimate Interest (GDPR Art. 6(1)(f))", "Yes / Required (Sheet 3)", "")</f>
        <v/>
      </c>
      <c r="L1549" s="7" t="n"/>
      <c r="M1549" s="7" t="n"/>
      <c r="N1549">
        <f>IF(D1549="", "Gap - No Legal Basis", IF(AND(D1549="Consent (GDPR Art. 6(1)(a))", I1549="Not Captured"), "Gap - Invalid Consent", IF(AND(D1549="Legitimate Interest (GDPR Art. 6(1)(f))", L1549=""), "Gap - Missing LIA", IF(AND(G1549="Yes", H1549=""), "Gap - Missing Art. 9 Basis", IF(OR(I1549="Invalid - Not Freely Given", I1549="Invalid - Not Specific", I1549="Invalid - Not Informed", I1549="Invalid - Ambiguous"), "Gap - Invalid Consent", "Compliant")))))</f>
        <v/>
      </c>
      <c r="O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>
        <f>IF(D1550="Legitimate Interest (GDPR Art. 6(1)(f))", "Yes / Required (Sheet 3)", "")</f>
        <v/>
      </c>
      <c r="L1550" s="7" t="n"/>
      <c r="M1550" s="7" t="n"/>
      <c r="N1550">
        <f>IF(D1550="", "Gap - No Legal Basis", IF(AND(D1550="Consent (GDPR Art. 6(1)(a))", I1550="Not Captured"), "Gap - Invalid Consent", IF(AND(D1550="Legitimate Interest (GDPR Art. 6(1)(f))", L1550=""), "Gap - Missing LIA", IF(AND(G1550="Yes", H1550=""), "Gap - Missing Art. 9 Basis", IF(OR(I1550="Invalid - Not Freely Given", I1550="Invalid - Not Specific", I1550="Invalid - Not Informed", I1550="Invalid - Ambiguous"), "Gap - Invalid Consent", "Compliant")))))</f>
        <v/>
      </c>
      <c r="O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>
        <f>IF(D1551="Legitimate Interest (GDPR Art. 6(1)(f))", "Yes / Required (Sheet 3)", "")</f>
        <v/>
      </c>
      <c r="L1551" s="7" t="n"/>
      <c r="M1551" s="7" t="n"/>
      <c r="N1551">
        <f>IF(D1551="", "Gap - No Legal Basis", IF(AND(D1551="Consent (GDPR Art. 6(1)(a))", I1551="Not Captured"), "Gap - Invalid Consent", IF(AND(D1551="Legitimate Interest (GDPR Art. 6(1)(f))", L1551=""), "Gap - Missing LIA", IF(AND(G1551="Yes", H1551=""), "Gap - Missing Art. 9 Basis", IF(OR(I1551="Invalid - Not Freely Given", I1551="Invalid - Not Specific", I1551="Invalid - Not Informed", I1551="Invalid - Ambiguous"), "Gap - Invalid Consent", "Compliant")))))</f>
        <v/>
      </c>
      <c r="O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>
        <f>IF(D1552="Legitimate Interest (GDPR Art. 6(1)(f))", "Yes / Required (Sheet 3)", "")</f>
        <v/>
      </c>
      <c r="L1552" s="7" t="n"/>
      <c r="M1552" s="7" t="n"/>
      <c r="N1552">
        <f>IF(D1552="", "Gap - No Legal Basis", IF(AND(D1552="Consent (GDPR Art. 6(1)(a))", I1552="Not Captured"), "Gap - Invalid Consent", IF(AND(D1552="Legitimate Interest (GDPR Art. 6(1)(f))", L1552=""), "Gap - Missing LIA", IF(AND(G1552="Yes", H1552=""), "Gap - Missing Art. 9 Basis", IF(OR(I1552="Invalid - Not Freely Given", I1552="Invalid - Not Specific", I1552="Invalid - Not Informed", I1552="Invalid - Ambiguous"), "Gap - Invalid Consent", "Compliant")))))</f>
        <v/>
      </c>
      <c r="O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>
        <f>IF(D1553="Legitimate Interest (GDPR Art. 6(1)(f))", "Yes / Required (Sheet 3)", "")</f>
        <v/>
      </c>
      <c r="L1553" s="7" t="n"/>
      <c r="M1553" s="7" t="n"/>
      <c r="N1553">
        <f>IF(D1553="", "Gap - No Legal Basis", IF(AND(D1553="Consent (GDPR Art. 6(1)(a))", I1553="Not Captured"), "Gap - Invalid Consent", IF(AND(D1553="Legitimate Interest (GDPR Art. 6(1)(f))", L1553=""), "Gap - Missing LIA", IF(AND(G1553="Yes", H1553=""), "Gap - Missing Art. 9 Basis", IF(OR(I1553="Invalid - Not Freely Given", I1553="Invalid - Not Specific", I1553="Invalid - Not Informed", I1553="Invalid - Ambiguous"), "Gap - Invalid Consent", "Compliant")))))</f>
        <v/>
      </c>
      <c r="O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>
        <f>IF(D1554="Legitimate Interest (GDPR Art. 6(1)(f))", "Yes / Required (Sheet 3)", "")</f>
        <v/>
      </c>
      <c r="L1554" s="7" t="n"/>
      <c r="M1554" s="7" t="n"/>
      <c r="N1554">
        <f>IF(D1554="", "Gap - No Legal Basis", IF(AND(D1554="Consent (GDPR Art. 6(1)(a))", I1554="Not Captured"), "Gap - Invalid Consent", IF(AND(D1554="Legitimate Interest (GDPR Art. 6(1)(f))", L1554=""), "Gap - Missing LIA", IF(AND(G1554="Yes", H1554=""), "Gap - Missing Art. 9 Basis", IF(OR(I1554="Invalid - Not Freely Given", I1554="Invalid - Not Specific", I1554="Invalid - Not Informed", I1554="Invalid - Ambiguous"), "Gap - Invalid Consent", "Compliant")))))</f>
        <v/>
      </c>
      <c r="O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>
        <f>IF(D1555="Legitimate Interest (GDPR Art. 6(1)(f))", "Yes / Required (Sheet 3)", "")</f>
        <v/>
      </c>
      <c r="L1555" s="7" t="n"/>
      <c r="M1555" s="7" t="n"/>
      <c r="N1555">
        <f>IF(D1555="", "Gap - No Legal Basis", IF(AND(D1555="Consent (GDPR Art. 6(1)(a))", I1555="Not Captured"), "Gap - Invalid Consent", IF(AND(D1555="Legitimate Interest (GDPR Art. 6(1)(f))", L1555=""), "Gap - Missing LIA", IF(AND(G1555="Yes", H1555=""), "Gap - Missing Art. 9 Basis", IF(OR(I1555="Invalid - Not Freely Given", I1555="Invalid - Not Specific", I1555="Invalid - Not Informed", I1555="Invalid - Ambiguous"), "Gap - Invalid Consent", "Compliant")))))</f>
        <v/>
      </c>
      <c r="O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>
        <f>IF(D1556="Legitimate Interest (GDPR Art. 6(1)(f))", "Yes / Required (Sheet 3)", "")</f>
        <v/>
      </c>
      <c r="L1556" s="7" t="n"/>
      <c r="M1556" s="7" t="n"/>
      <c r="N1556">
        <f>IF(D1556="", "Gap - No Legal Basis", IF(AND(D1556="Consent (GDPR Art. 6(1)(a))", I1556="Not Captured"), "Gap - Invalid Consent", IF(AND(D1556="Legitimate Interest (GDPR Art. 6(1)(f))", L1556=""), "Gap - Missing LIA", IF(AND(G1556="Yes", H1556=""), "Gap - Missing Art. 9 Basis", IF(OR(I1556="Invalid - Not Freely Given", I1556="Invalid - Not Specific", I1556="Invalid - Not Informed", I1556="Invalid - Ambiguous"), "Gap - Invalid Consent", "Compliant")))))</f>
        <v/>
      </c>
      <c r="O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>
        <f>IF(D1557="Legitimate Interest (GDPR Art. 6(1)(f))", "Yes / Required (Sheet 3)", "")</f>
        <v/>
      </c>
      <c r="L1557" s="7" t="n"/>
      <c r="M1557" s="7" t="n"/>
      <c r="N1557">
        <f>IF(D1557="", "Gap - No Legal Basis", IF(AND(D1557="Consent (GDPR Art. 6(1)(a))", I1557="Not Captured"), "Gap - Invalid Consent", IF(AND(D1557="Legitimate Interest (GDPR Art. 6(1)(f))", L1557=""), "Gap - Missing LIA", IF(AND(G1557="Yes", H1557=""), "Gap - Missing Art. 9 Basis", IF(OR(I1557="Invalid - Not Freely Given", I1557="Invalid - Not Specific", I1557="Invalid - Not Informed", I1557="Invalid - Ambiguous"), "Gap - Invalid Consent", "Compliant")))))</f>
        <v/>
      </c>
      <c r="O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>
        <f>IF(D1558="Legitimate Interest (GDPR Art. 6(1)(f))", "Yes / Required (Sheet 3)", "")</f>
        <v/>
      </c>
      <c r="L1558" s="7" t="n"/>
      <c r="M1558" s="7" t="n"/>
      <c r="N1558">
        <f>IF(D1558="", "Gap - No Legal Basis", IF(AND(D1558="Consent (GDPR Art. 6(1)(a))", I1558="Not Captured"), "Gap - Invalid Consent", IF(AND(D1558="Legitimate Interest (GDPR Art. 6(1)(f))", L1558=""), "Gap - Missing LIA", IF(AND(G1558="Yes", H1558=""), "Gap - Missing Art. 9 Basis", IF(OR(I1558="Invalid - Not Freely Given", I1558="Invalid - Not Specific", I1558="Invalid - Not Informed", I1558="Invalid - Ambiguous"), "Gap - Invalid Consent", "Compliant")))))</f>
        <v/>
      </c>
      <c r="O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>
        <f>IF(D1559="Legitimate Interest (GDPR Art. 6(1)(f))", "Yes / Required (Sheet 3)", "")</f>
        <v/>
      </c>
      <c r="L1559" s="7" t="n"/>
      <c r="M1559" s="7" t="n"/>
      <c r="N1559">
        <f>IF(D1559="", "Gap - No Legal Basis", IF(AND(D1559="Consent (GDPR Art. 6(1)(a))", I1559="Not Captured"), "Gap - Invalid Consent", IF(AND(D1559="Legitimate Interest (GDPR Art. 6(1)(f))", L1559=""), "Gap - Missing LIA", IF(AND(G1559="Yes", H1559=""), "Gap - Missing Art. 9 Basis", IF(OR(I1559="Invalid - Not Freely Given", I1559="Invalid - Not Specific", I1559="Invalid - Not Informed", I1559="Invalid - Ambiguous"), "Gap - Invalid Consent", "Compliant")))))</f>
        <v/>
      </c>
      <c r="O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>
        <f>IF(D1560="Legitimate Interest (GDPR Art. 6(1)(f))", "Yes / Required (Sheet 3)", "")</f>
        <v/>
      </c>
      <c r="L1560" s="7" t="n"/>
      <c r="M1560" s="7" t="n"/>
      <c r="N1560">
        <f>IF(D1560="", "Gap - No Legal Basis", IF(AND(D1560="Consent (GDPR Art. 6(1)(a))", I1560="Not Captured"), "Gap - Invalid Consent", IF(AND(D1560="Legitimate Interest (GDPR Art. 6(1)(f))", L1560=""), "Gap - Missing LIA", IF(AND(G1560="Yes", H1560=""), "Gap - Missing Art. 9 Basis", IF(OR(I1560="Invalid - Not Freely Given", I1560="Invalid - Not Specific", I1560="Invalid - Not Informed", I1560="Invalid - Ambiguous"), "Gap - Invalid Consent", "Compliant")))))</f>
        <v/>
      </c>
      <c r="O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>
        <f>IF(D1561="Legitimate Interest (GDPR Art. 6(1)(f))", "Yes / Required (Sheet 3)", "")</f>
        <v/>
      </c>
      <c r="L1561" s="7" t="n"/>
      <c r="M1561" s="7" t="n"/>
      <c r="N1561">
        <f>IF(D1561="", "Gap - No Legal Basis", IF(AND(D1561="Consent (GDPR Art. 6(1)(a))", I1561="Not Captured"), "Gap - Invalid Consent", IF(AND(D1561="Legitimate Interest (GDPR Art. 6(1)(f))", L1561=""), "Gap - Missing LIA", IF(AND(G1561="Yes", H1561=""), "Gap - Missing Art. 9 Basis", IF(OR(I1561="Invalid - Not Freely Given", I1561="Invalid - Not Specific", I1561="Invalid - Not Informed", I1561="Invalid - Ambiguous"), "Gap - Invalid Consent", "Compliant")))))</f>
        <v/>
      </c>
      <c r="O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>
        <f>IF(D1562="Legitimate Interest (GDPR Art. 6(1)(f))", "Yes / Required (Sheet 3)", "")</f>
        <v/>
      </c>
      <c r="L1562" s="7" t="n"/>
      <c r="M1562" s="7" t="n"/>
      <c r="N1562">
        <f>IF(D1562="", "Gap - No Legal Basis", IF(AND(D1562="Consent (GDPR Art. 6(1)(a))", I1562="Not Captured"), "Gap - Invalid Consent", IF(AND(D1562="Legitimate Interest (GDPR Art. 6(1)(f))", L1562=""), "Gap - Missing LIA", IF(AND(G1562="Yes", H1562=""), "Gap - Missing Art. 9 Basis", IF(OR(I1562="Invalid - Not Freely Given", I1562="Invalid - Not Specific", I1562="Invalid - Not Informed", I1562="Invalid - Ambiguous"), "Gap - Invalid Consent", "Compliant")))))</f>
        <v/>
      </c>
      <c r="O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>
        <f>IF(D1563="Legitimate Interest (GDPR Art. 6(1)(f))", "Yes / Required (Sheet 3)", "")</f>
        <v/>
      </c>
      <c r="L1563" s="7" t="n"/>
      <c r="M1563" s="7" t="n"/>
      <c r="N1563">
        <f>IF(D1563="", "Gap - No Legal Basis", IF(AND(D1563="Consent (GDPR Art. 6(1)(a))", I1563="Not Captured"), "Gap - Invalid Consent", IF(AND(D1563="Legitimate Interest (GDPR Art. 6(1)(f))", L1563=""), "Gap - Missing LIA", IF(AND(G1563="Yes", H1563=""), "Gap - Missing Art. 9 Basis", IF(OR(I1563="Invalid - Not Freely Given", I1563="Invalid - Not Specific", I1563="Invalid - Not Informed", I1563="Invalid - Ambiguous"), "Gap - Invalid Consent", "Compliant")))))</f>
        <v/>
      </c>
      <c r="O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>
        <f>IF(D1564="Legitimate Interest (GDPR Art. 6(1)(f))", "Yes / Required (Sheet 3)", "")</f>
        <v/>
      </c>
      <c r="L1564" s="7" t="n"/>
      <c r="M1564" s="7" t="n"/>
      <c r="N1564">
        <f>IF(D1564="", "Gap - No Legal Basis", IF(AND(D1564="Consent (GDPR Art. 6(1)(a))", I1564="Not Captured"), "Gap - Invalid Consent", IF(AND(D1564="Legitimate Interest (GDPR Art. 6(1)(f))", L1564=""), "Gap - Missing LIA", IF(AND(G1564="Yes", H1564=""), "Gap - Missing Art. 9 Basis", IF(OR(I1564="Invalid - Not Freely Given", I1564="Invalid - Not Specific", I1564="Invalid - Not Informed", I1564="Invalid - Ambiguous"), "Gap - Invalid Consent", "Compliant")))))</f>
        <v/>
      </c>
      <c r="O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>
        <f>IF(D1565="Legitimate Interest (GDPR Art. 6(1)(f))", "Yes / Required (Sheet 3)", "")</f>
        <v/>
      </c>
      <c r="L1565" s="7" t="n"/>
      <c r="M1565" s="7" t="n"/>
      <c r="N1565">
        <f>IF(D1565="", "Gap - No Legal Basis", IF(AND(D1565="Consent (GDPR Art. 6(1)(a))", I1565="Not Captured"), "Gap - Invalid Consent", IF(AND(D1565="Legitimate Interest (GDPR Art. 6(1)(f))", L1565=""), "Gap - Missing LIA", IF(AND(G1565="Yes", H1565=""), "Gap - Missing Art. 9 Basis", IF(OR(I1565="Invalid - Not Freely Given", I1565="Invalid - Not Specific", I1565="Invalid - Not Informed", I1565="Invalid - Ambiguous"), "Gap - Invalid Consent", "Compliant")))))</f>
        <v/>
      </c>
      <c r="O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>
        <f>IF(D1566="Legitimate Interest (GDPR Art. 6(1)(f))", "Yes / Required (Sheet 3)", "")</f>
        <v/>
      </c>
      <c r="L1566" s="7" t="n"/>
      <c r="M1566" s="7" t="n"/>
      <c r="N1566">
        <f>IF(D1566="", "Gap - No Legal Basis", IF(AND(D1566="Consent (GDPR Art. 6(1)(a))", I1566="Not Captured"), "Gap - Invalid Consent", IF(AND(D1566="Legitimate Interest (GDPR Art. 6(1)(f))", L1566=""), "Gap - Missing LIA", IF(AND(G1566="Yes", H1566=""), "Gap - Missing Art. 9 Basis", IF(OR(I1566="Invalid - Not Freely Given", I1566="Invalid - Not Specific", I1566="Invalid - Not Informed", I1566="Invalid - Ambiguous"), "Gap - Invalid Consent", "Compliant")))))</f>
        <v/>
      </c>
      <c r="O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>
        <f>IF(D1567="Legitimate Interest (GDPR Art. 6(1)(f))", "Yes / Required (Sheet 3)", "")</f>
        <v/>
      </c>
      <c r="L1567" s="7" t="n"/>
      <c r="M1567" s="7" t="n"/>
      <c r="N1567">
        <f>IF(D1567="", "Gap - No Legal Basis", IF(AND(D1567="Consent (GDPR Art. 6(1)(a))", I1567="Not Captured"), "Gap - Invalid Consent", IF(AND(D1567="Legitimate Interest (GDPR Art. 6(1)(f))", L1567=""), "Gap - Missing LIA", IF(AND(G1567="Yes", H1567=""), "Gap - Missing Art. 9 Basis", IF(OR(I1567="Invalid - Not Freely Given", I1567="Invalid - Not Specific", I1567="Invalid - Not Informed", I1567="Invalid - Ambiguous"), "Gap - Invalid Consent", "Compliant")))))</f>
        <v/>
      </c>
      <c r="O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>
        <f>IF(D1568="Legitimate Interest (GDPR Art. 6(1)(f))", "Yes / Required (Sheet 3)", "")</f>
        <v/>
      </c>
      <c r="L1568" s="7" t="n"/>
      <c r="M1568" s="7" t="n"/>
      <c r="N1568">
        <f>IF(D1568="", "Gap - No Legal Basis", IF(AND(D1568="Consent (GDPR Art. 6(1)(a))", I1568="Not Captured"), "Gap - Invalid Consent", IF(AND(D1568="Legitimate Interest (GDPR Art. 6(1)(f))", L1568=""), "Gap - Missing LIA", IF(AND(G1568="Yes", H1568=""), "Gap - Missing Art. 9 Basis", IF(OR(I1568="Invalid - Not Freely Given", I1568="Invalid - Not Specific", I1568="Invalid - Not Informed", I1568="Invalid - Ambiguous"), "Gap - Invalid Consent", "Compliant")))))</f>
        <v/>
      </c>
      <c r="O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>
        <f>IF(D1569="Legitimate Interest (GDPR Art. 6(1)(f))", "Yes / Required (Sheet 3)", "")</f>
        <v/>
      </c>
      <c r="L1569" s="7" t="n"/>
      <c r="M1569" s="7" t="n"/>
      <c r="N1569">
        <f>IF(D1569="", "Gap - No Legal Basis", IF(AND(D1569="Consent (GDPR Art. 6(1)(a))", I1569="Not Captured"), "Gap - Invalid Consent", IF(AND(D1569="Legitimate Interest (GDPR Art. 6(1)(f))", L1569=""), "Gap - Missing LIA", IF(AND(G1569="Yes", H1569=""), "Gap - Missing Art. 9 Basis", IF(OR(I1569="Invalid - Not Freely Given", I1569="Invalid - Not Specific", I1569="Invalid - Not Informed", I1569="Invalid - Ambiguous"), "Gap - Invalid Consent", "Compliant")))))</f>
        <v/>
      </c>
      <c r="O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>
        <f>IF(D1570="Legitimate Interest (GDPR Art. 6(1)(f))", "Yes / Required (Sheet 3)", "")</f>
        <v/>
      </c>
      <c r="L1570" s="7" t="n"/>
      <c r="M1570" s="7" t="n"/>
      <c r="N1570">
        <f>IF(D1570="", "Gap - No Legal Basis", IF(AND(D1570="Consent (GDPR Art. 6(1)(a))", I1570="Not Captured"), "Gap - Invalid Consent", IF(AND(D1570="Legitimate Interest (GDPR Art. 6(1)(f))", L1570=""), "Gap - Missing LIA", IF(AND(G1570="Yes", H1570=""), "Gap - Missing Art. 9 Basis", IF(OR(I1570="Invalid - Not Freely Given", I1570="Invalid - Not Specific", I1570="Invalid - Not Informed", I1570="Invalid - Ambiguous"), "Gap - Invalid Consent", "Compliant")))))</f>
        <v/>
      </c>
      <c r="O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>
        <f>IF(D1571="Legitimate Interest (GDPR Art. 6(1)(f))", "Yes / Required (Sheet 3)", "")</f>
        <v/>
      </c>
      <c r="L1571" s="7" t="n"/>
      <c r="M1571" s="7" t="n"/>
      <c r="N1571">
        <f>IF(D1571="", "Gap - No Legal Basis", IF(AND(D1571="Consent (GDPR Art. 6(1)(a))", I1571="Not Captured"), "Gap - Invalid Consent", IF(AND(D1571="Legitimate Interest (GDPR Art. 6(1)(f))", L1571=""), "Gap - Missing LIA", IF(AND(G1571="Yes", H1571=""), "Gap - Missing Art. 9 Basis", IF(OR(I1571="Invalid - Not Freely Given", I1571="Invalid - Not Specific", I1571="Invalid - Not Informed", I1571="Invalid - Ambiguous"), "Gap - Invalid Consent", "Compliant")))))</f>
        <v/>
      </c>
      <c r="O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>
        <f>IF(D1572="Legitimate Interest (GDPR Art. 6(1)(f))", "Yes / Required (Sheet 3)", "")</f>
        <v/>
      </c>
      <c r="L1572" s="7" t="n"/>
      <c r="M1572" s="7" t="n"/>
      <c r="N1572">
        <f>IF(D1572="", "Gap - No Legal Basis", IF(AND(D1572="Consent (GDPR Art. 6(1)(a))", I1572="Not Captured"), "Gap - Invalid Consent", IF(AND(D1572="Legitimate Interest (GDPR Art. 6(1)(f))", L1572=""), "Gap - Missing LIA", IF(AND(G1572="Yes", H1572=""), "Gap - Missing Art. 9 Basis", IF(OR(I1572="Invalid - Not Freely Given", I1572="Invalid - Not Specific", I1572="Invalid - Not Informed", I1572="Invalid - Ambiguous"), "Gap - Invalid Consent", "Compliant")))))</f>
        <v/>
      </c>
      <c r="O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>
        <f>IF(D1573="Legitimate Interest (GDPR Art. 6(1)(f))", "Yes / Required (Sheet 3)", "")</f>
        <v/>
      </c>
      <c r="L1573" s="7" t="n"/>
      <c r="M1573" s="7" t="n"/>
      <c r="N1573">
        <f>IF(D1573="", "Gap - No Legal Basis", IF(AND(D1573="Consent (GDPR Art. 6(1)(a))", I1573="Not Captured"), "Gap - Invalid Consent", IF(AND(D1573="Legitimate Interest (GDPR Art. 6(1)(f))", L1573=""), "Gap - Missing LIA", IF(AND(G1573="Yes", H1573=""), "Gap - Missing Art. 9 Basis", IF(OR(I1573="Invalid - Not Freely Given", I1573="Invalid - Not Specific", I1573="Invalid - Not Informed", I1573="Invalid - Ambiguous"), "Gap - Invalid Consent", "Compliant")))))</f>
        <v/>
      </c>
      <c r="O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>
        <f>IF(D1574="Legitimate Interest (GDPR Art. 6(1)(f))", "Yes / Required (Sheet 3)", "")</f>
        <v/>
      </c>
      <c r="L1574" s="7" t="n"/>
      <c r="M1574" s="7" t="n"/>
      <c r="N1574">
        <f>IF(D1574="", "Gap - No Legal Basis", IF(AND(D1574="Consent (GDPR Art. 6(1)(a))", I1574="Not Captured"), "Gap - Invalid Consent", IF(AND(D1574="Legitimate Interest (GDPR Art. 6(1)(f))", L1574=""), "Gap - Missing LIA", IF(AND(G1574="Yes", H1574=""), "Gap - Missing Art. 9 Basis", IF(OR(I1574="Invalid - Not Freely Given", I1574="Invalid - Not Specific", I1574="Invalid - Not Informed", I1574="Invalid - Ambiguous"), "Gap - Invalid Consent", "Compliant")))))</f>
        <v/>
      </c>
      <c r="O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>
        <f>IF(D1575="Legitimate Interest (GDPR Art. 6(1)(f))", "Yes / Required (Sheet 3)", "")</f>
        <v/>
      </c>
      <c r="L1575" s="7" t="n"/>
      <c r="M1575" s="7" t="n"/>
      <c r="N1575">
        <f>IF(D1575="", "Gap - No Legal Basis", IF(AND(D1575="Consent (GDPR Art. 6(1)(a))", I1575="Not Captured"), "Gap - Invalid Consent", IF(AND(D1575="Legitimate Interest (GDPR Art. 6(1)(f))", L1575=""), "Gap - Missing LIA", IF(AND(G1575="Yes", H1575=""), "Gap - Missing Art. 9 Basis", IF(OR(I1575="Invalid - Not Freely Given", I1575="Invalid - Not Specific", I1575="Invalid - Not Informed", I1575="Invalid - Ambiguous"), "Gap - Invalid Consent", "Compliant")))))</f>
        <v/>
      </c>
      <c r="O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>
        <f>IF(D1576="Legitimate Interest (GDPR Art. 6(1)(f))", "Yes / Required (Sheet 3)", "")</f>
        <v/>
      </c>
      <c r="L1576" s="7" t="n"/>
      <c r="M1576" s="7" t="n"/>
      <c r="N1576">
        <f>IF(D1576="", "Gap - No Legal Basis", IF(AND(D1576="Consent (GDPR Art. 6(1)(a))", I1576="Not Captured"), "Gap - Invalid Consent", IF(AND(D1576="Legitimate Interest (GDPR Art. 6(1)(f))", L1576=""), "Gap - Missing LIA", IF(AND(G1576="Yes", H1576=""), "Gap - Missing Art. 9 Basis", IF(OR(I1576="Invalid - Not Freely Given", I1576="Invalid - Not Specific", I1576="Invalid - Not Informed", I1576="Invalid - Ambiguous"), "Gap - Invalid Consent", "Compliant")))))</f>
        <v/>
      </c>
      <c r="O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>
        <f>IF(D1577="Legitimate Interest (GDPR Art. 6(1)(f))", "Yes / Required (Sheet 3)", "")</f>
        <v/>
      </c>
      <c r="L1577" s="7" t="n"/>
      <c r="M1577" s="7" t="n"/>
      <c r="N1577">
        <f>IF(D1577="", "Gap - No Legal Basis", IF(AND(D1577="Consent (GDPR Art. 6(1)(a))", I1577="Not Captured"), "Gap - Invalid Consent", IF(AND(D1577="Legitimate Interest (GDPR Art. 6(1)(f))", L1577=""), "Gap - Missing LIA", IF(AND(G1577="Yes", H1577=""), "Gap - Missing Art. 9 Basis", IF(OR(I1577="Invalid - Not Freely Given", I1577="Invalid - Not Specific", I1577="Invalid - Not Informed", I1577="Invalid - Ambiguous"), "Gap - Invalid Consent", "Compliant")))))</f>
        <v/>
      </c>
      <c r="O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>
        <f>IF(D1578="Legitimate Interest (GDPR Art. 6(1)(f))", "Yes / Required (Sheet 3)", "")</f>
        <v/>
      </c>
      <c r="L1578" s="7" t="n"/>
      <c r="M1578" s="7" t="n"/>
      <c r="N1578">
        <f>IF(D1578="", "Gap - No Legal Basis", IF(AND(D1578="Consent (GDPR Art. 6(1)(a))", I1578="Not Captured"), "Gap - Invalid Consent", IF(AND(D1578="Legitimate Interest (GDPR Art. 6(1)(f))", L1578=""), "Gap - Missing LIA", IF(AND(G1578="Yes", H1578=""), "Gap - Missing Art. 9 Basis", IF(OR(I1578="Invalid - Not Freely Given", I1578="Invalid - Not Specific", I1578="Invalid - Not Informed", I1578="Invalid - Ambiguous"), "Gap - Invalid Consent", "Compliant")))))</f>
        <v/>
      </c>
      <c r="O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>
        <f>IF(D1579="Legitimate Interest (GDPR Art. 6(1)(f))", "Yes / Required (Sheet 3)", "")</f>
        <v/>
      </c>
      <c r="L1579" s="7" t="n"/>
      <c r="M1579" s="7" t="n"/>
      <c r="N1579">
        <f>IF(D1579="", "Gap - No Legal Basis", IF(AND(D1579="Consent (GDPR Art. 6(1)(a))", I1579="Not Captured"), "Gap - Invalid Consent", IF(AND(D1579="Legitimate Interest (GDPR Art. 6(1)(f))", L1579=""), "Gap - Missing LIA", IF(AND(G1579="Yes", H1579=""), "Gap - Missing Art. 9 Basis", IF(OR(I1579="Invalid - Not Freely Given", I1579="Invalid - Not Specific", I1579="Invalid - Not Informed", I1579="Invalid - Ambiguous"), "Gap - Invalid Consent", "Compliant")))))</f>
        <v/>
      </c>
      <c r="O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>
        <f>IF(D1580="Legitimate Interest (GDPR Art. 6(1)(f))", "Yes / Required (Sheet 3)", "")</f>
        <v/>
      </c>
      <c r="L1580" s="7" t="n"/>
      <c r="M1580" s="7" t="n"/>
      <c r="N1580">
        <f>IF(D1580="", "Gap - No Legal Basis", IF(AND(D1580="Consent (GDPR Art. 6(1)(a))", I1580="Not Captured"), "Gap - Invalid Consent", IF(AND(D1580="Legitimate Interest (GDPR Art. 6(1)(f))", L1580=""), "Gap - Missing LIA", IF(AND(G1580="Yes", H1580=""), "Gap - Missing Art. 9 Basis", IF(OR(I1580="Invalid - Not Freely Given", I1580="Invalid - Not Specific", I1580="Invalid - Not Informed", I1580="Invalid - Ambiguous"), "Gap - Invalid Consent", "Compliant")))))</f>
        <v/>
      </c>
      <c r="O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>
        <f>IF(D1581="Legitimate Interest (GDPR Art. 6(1)(f))", "Yes / Required (Sheet 3)", "")</f>
        <v/>
      </c>
      <c r="L1581" s="7" t="n"/>
      <c r="M1581" s="7" t="n"/>
      <c r="N1581">
        <f>IF(D1581="", "Gap - No Legal Basis", IF(AND(D1581="Consent (GDPR Art. 6(1)(a))", I1581="Not Captured"), "Gap - Invalid Consent", IF(AND(D1581="Legitimate Interest (GDPR Art. 6(1)(f))", L1581=""), "Gap - Missing LIA", IF(AND(G1581="Yes", H1581=""), "Gap - Missing Art. 9 Basis", IF(OR(I1581="Invalid - Not Freely Given", I1581="Invalid - Not Specific", I1581="Invalid - Not Informed", I1581="Invalid - Ambiguous"), "Gap - Invalid Consent", "Compliant")))))</f>
        <v/>
      </c>
      <c r="O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>
        <f>IF(D1582="Legitimate Interest (GDPR Art. 6(1)(f))", "Yes / Required (Sheet 3)", "")</f>
        <v/>
      </c>
      <c r="L1582" s="7" t="n"/>
      <c r="M1582" s="7" t="n"/>
      <c r="N1582">
        <f>IF(D1582="", "Gap - No Legal Basis", IF(AND(D1582="Consent (GDPR Art. 6(1)(a))", I1582="Not Captured"), "Gap - Invalid Consent", IF(AND(D1582="Legitimate Interest (GDPR Art. 6(1)(f))", L1582=""), "Gap - Missing LIA", IF(AND(G1582="Yes", H1582=""), "Gap - Missing Art. 9 Basis", IF(OR(I1582="Invalid - Not Freely Given", I1582="Invalid - Not Specific", I1582="Invalid - Not Informed", I1582="Invalid - Ambiguous"), "Gap - Invalid Consent", "Compliant")))))</f>
        <v/>
      </c>
      <c r="O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>
        <f>IF(D1583="Legitimate Interest (GDPR Art. 6(1)(f))", "Yes / Required (Sheet 3)", "")</f>
        <v/>
      </c>
      <c r="L1583" s="7" t="n"/>
      <c r="M1583" s="7" t="n"/>
      <c r="N1583">
        <f>IF(D1583="", "Gap - No Legal Basis", IF(AND(D1583="Consent (GDPR Art. 6(1)(a))", I1583="Not Captured"), "Gap - Invalid Consent", IF(AND(D1583="Legitimate Interest (GDPR Art. 6(1)(f))", L1583=""), "Gap - Missing LIA", IF(AND(G1583="Yes", H1583=""), "Gap - Missing Art. 9 Basis", IF(OR(I1583="Invalid - Not Freely Given", I1583="Invalid - Not Specific", I1583="Invalid - Not Informed", I1583="Invalid - Ambiguous"), "Gap - Invalid Consent", "Compliant")))))</f>
        <v/>
      </c>
      <c r="O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>
        <f>IF(D1584="Legitimate Interest (GDPR Art. 6(1)(f))", "Yes / Required (Sheet 3)", "")</f>
        <v/>
      </c>
      <c r="L1584" s="7" t="n"/>
      <c r="M1584" s="7" t="n"/>
      <c r="N1584">
        <f>IF(D1584="", "Gap - No Legal Basis", IF(AND(D1584="Consent (GDPR Art. 6(1)(a))", I1584="Not Captured"), "Gap - Invalid Consent", IF(AND(D1584="Legitimate Interest (GDPR Art. 6(1)(f))", L1584=""), "Gap - Missing LIA", IF(AND(G1584="Yes", H1584=""), "Gap - Missing Art. 9 Basis", IF(OR(I1584="Invalid - Not Freely Given", I1584="Invalid - Not Specific", I1584="Invalid - Not Informed", I1584="Invalid - Ambiguous"), "Gap - Invalid Consent", "Compliant")))))</f>
        <v/>
      </c>
      <c r="O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>
        <f>IF(D1585="Legitimate Interest (GDPR Art. 6(1)(f))", "Yes / Required (Sheet 3)", "")</f>
        <v/>
      </c>
      <c r="L1585" s="7" t="n"/>
      <c r="M1585" s="7" t="n"/>
      <c r="N1585">
        <f>IF(D1585="", "Gap - No Legal Basis", IF(AND(D1585="Consent (GDPR Art. 6(1)(a))", I1585="Not Captured"), "Gap - Invalid Consent", IF(AND(D1585="Legitimate Interest (GDPR Art. 6(1)(f))", L1585=""), "Gap - Missing LIA", IF(AND(G1585="Yes", H1585=""), "Gap - Missing Art. 9 Basis", IF(OR(I1585="Invalid - Not Freely Given", I1585="Invalid - Not Specific", I1585="Invalid - Not Informed", I1585="Invalid - Ambiguous"), "Gap - Invalid Consent", "Compliant")))))</f>
        <v/>
      </c>
      <c r="O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>
        <f>IF(D1586="Legitimate Interest (GDPR Art. 6(1)(f))", "Yes / Required (Sheet 3)", "")</f>
        <v/>
      </c>
      <c r="L1586" s="7" t="n"/>
      <c r="M1586" s="7" t="n"/>
      <c r="N1586">
        <f>IF(D1586="", "Gap - No Legal Basis", IF(AND(D1586="Consent (GDPR Art. 6(1)(a))", I1586="Not Captured"), "Gap - Invalid Consent", IF(AND(D1586="Legitimate Interest (GDPR Art. 6(1)(f))", L1586=""), "Gap - Missing LIA", IF(AND(G1586="Yes", H1586=""), "Gap - Missing Art. 9 Basis", IF(OR(I1586="Invalid - Not Freely Given", I1586="Invalid - Not Specific", I1586="Invalid - Not Informed", I1586="Invalid - Ambiguous"), "Gap - Invalid Consent", "Compliant")))))</f>
        <v/>
      </c>
      <c r="O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>
        <f>IF(D1587="Legitimate Interest (GDPR Art. 6(1)(f))", "Yes / Required (Sheet 3)", "")</f>
        <v/>
      </c>
      <c r="L1587" s="7" t="n"/>
      <c r="M1587" s="7" t="n"/>
      <c r="N1587">
        <f>IF(D1587="", "Gap - No Legal Basis", IF(AND(D1587="Consent (GDPR Art. 6(1)(a))", I1587="Not Captured"), "Gap - Invalid Consent", IF(AND(D1587="Legitimate Interest (GDPR Art. 6(1)(f))", L1587=""), "Gap - Missing LIA", IF(AND(G1587="Yes", H1587=""), "Gap - Missing Art. 9 Basis", IF(OR(I1587="Invalid - Not Freely Given", I1587="Invalid - Not Specific", I1587="Invalid - Not Informed", I1587="Invalid - Ambiguous"), "Gap - Invalid Consent", "Compliant")))))</f>
        <v/>
      </c>
      <c r="O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>
        <f>IF(D1588="Legitimate Interest (GDPR Art. 6(1)(f))", "Yes / Required (Sheet 3)", "")</f>
        <v/>
      </c>
      <c r="L1588" s="7" t="n"/>
      <c r="M1588" s="7" t="n"/>
      <c r="N1588">
        <f>IF(D1588="", "Gap - No Legal Basis", IF(AND(D1588="Consent (GDPR Art. 6(1)(a))", I1588="Not Captured"), "Gap - Invalid Consent", IF(AND(D1588="Legitimate Interest (GDPR Art. 6(1)(f))", L1588=""), "Gap - Missing LIA", IF(AND(G1588="Yes", H1588=""), "Gap - Missing Art. 9 Basis", IF(OR(I1588="Invalid - Not Freely Given", I1588="Invalid - Not Specific", I1588="Invalid - Not Informed", I1588="Invalid - Ambiguous"), "Gap - Invalid Consent", "Compliant")))))</f>
        <v/>
      </c>
      <c r="O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>
        <f>IF(D1589="Legitimate Interest (GDPR Art. 6(1)(f))", "Yes / Required (Sheet 3)", "")</f>
        <v/>
      </c>
      <c r="L1589" s="7" t="n"/>
      <c r="M1589" s="7" t="n"/>
      <c r="N1589">
        <f>IF(D1589="", "Gap - No Legal Basis", IF(AND(D1589="Consent (GDPR Art. 6(1)(a))", I1589="Not Captured"), "Gap - Invalid Consent", IF(AND(D1589="Legitimate Interest (GDPR Art. 6(1)(f))", L1589=""), "Gap - Missing LIA", IF(AND(G1589="Yes", H1589=""), "Gap - Missing Art. 9 Basis", IF(OR(I1589="Invalid - Not Freely Given", I1589="Invalid - Not Specific", I1589="Invalid - Not Informed", I1589="Invalid - Ambiguous"), "Gap - Invalid Consent", "Compliant")))))</f>
        <v/>
      </c>
      <c r="O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>
        <f>IF(D1590="Legitimate Interest (GDPR Art. 6(1)(f))", "Yes / Required (Sheet 3)", "")</f>
        <v/>
      </c>
      <c r="L1590" s="7" t="n"/>
      <c r="M1590" s="7" t="n"/>
      <c r="N1590">
        <f>IF(D1590="", "Gap - No Legal Basis", IF(AND(D1590="Consent (GDPR Art. 6(1)(a))", I1590="Not Captured"), "Gap - Invalid Consent", IF(AND(D1590="Legitimate Interest (GDPR Art. 6(1)(f))", L1590=""), "Gap - Missing LIA", IF(AND(G1590="Yes", H1590=""), "Gap - Missing Art. 9 Basis", IF(OR(I1590="Invalid - Not Freely Given", I1590="Invalid - Not Specific", I1590="Invalid - Not Informed", I1590="Invalid - Ambiguous"), "Gap - Invalid Consent", "Compliant")))))</f>
        <v/>
      </c>
      <c r="O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>
        <f>IF(D1591="Legitimate Interest (GDPR Art. 6(1)(f))", "Yes / Required (Sheet 3)", "")</f>
        <v/>
      </c>
      <c r="L1591" s="7" t="n"/>
      <c r="M1591" s="7" t="n"/>
      <c r="N1591">
        <f>IF(D1591="", "Gap - No Legal Basis", IF(AND(D1591="Consent (GDPR Art. 6(1)(a))", I1591="Not Captured"), "Gap - Invalid Consent", IF(AND(D1591="Legitimate Interest (GDPR Art. 6(1)(f))", L1591=""), "Gap - Missing LIA", IF(AND(G1591="Yes", H1591=""), "Gap - Missing Art. 9 Basis", IF(OR(I1591="Invalid - Not Freely Given", I1591="Invalid - Not Specific", I1591="Invalid - Not Informed", I1591="Invalid - Ambiguous"), "Gap - Invalid Consent", "Compliant")))))</f>
        <v/>
      </c>
      <c r="O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>
        <f>IF(D1592="Legitimate Interest (GDPR Art. 6(1)(f))", "Yes / Required (Sheet 3)", "")</f>
        <v/>
      </c>
      <c r="L1592" s="7" t="n"/>
      <c r="M1592" s="7" t="n"/>
      <c r="N1592">
        <f>IF(D1592="", "Gap - No Legal Basis", IF(AND(D1592="Consent (GDPR Art. 6(1)(a))", I1592="Not Captured"), "Gap - Invalid Consent", IF(AND(D1592="Legitimate Interest (GDPR Art. 6(1)(f))", L1592=""), "Gap - Missing LIA", IF(AND(G1592="Yes", H1592=""), "Gap - Missing Art. 9 Basis", IF(OR(I1592="Invalid - Not Freely Given", I1592="Invalid - Not Specific", I1592="Invalid - Not Informed", I1592="Invalid - Ambiguous"), "Gap - Invalid Consent", "Compliant")))))</f>
        <v/>
      </c>
      <c r="O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>
        <f>IF(D1593="Legitimate Interest (GDPR Art. 6(1)(f))", "Yes / Required (Sheet 3)", "")</f>
        <v/>
      </c>
      <c r="L1593" s="7" t="n"/>
      <c r="M1593" s="7" t="n"/>
      <c r="N1593">
        <f>IF(D1593="", "Gap - No Legal Basis", IF(AND(D1593="Consent (GDPR Art. 6(1)(a))", I1593="Not Captured"), "Gap - Invalid Consent", IF(AND(D1593="Legitimate Interest (GDPR Art. 6(1)(f))", L1593=""), "Gap - Missing LIA", IF(AND(G1593="Yes", H1593=""), "Gap - Missing Art. 9 Basis", IF(OR(I1593="Invalid - Not Freely Given", I1593="Invalid - Not Specific", I1593="Invalid - Not Informed", I1593="Invalid - Ambiguous"), "Gap - Invalid Consent", "Compliant")))))</f>
        <v/>
      </c>
      <c r="O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>
        <f>IF(D1594="Legitimate Interest (GDPR Art. 6(1)(f))", "Yes / Required (Sheet 3)", "")</f>
        <v/>
      </c>
      <c r="L1594" s="7" t="n"/>
      <c r="M1594" s="7" t="n"/>
      <c r="N1594">
        <f>IF(D1594="", "Gap - No Legal Basis", IF(AND(D1594="Consent (GDPR Art. 6(1)(a))", I1594="Not Captured"), "Gap - Invalid Consent", IF(AND(D1594="Legitimate Interest (GDPR Art. 6(1)(f))", L1594=""), "Gap - Missing LIA", IF(AND(G1594="Yes", H1594=""), "Gap - Missing Art. 9 Basis", IF(OR(I1594="Invalid - Not Freely Given", I1594="Invalid - Not Specific", I1594="Invalid - Not Informed", I1594="Invalid - Ambiguous"), "Gap - Invalid Consent", "Compliant")))))</f>
        <v/>
      </c>
      <c r="O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>
        <f>IF(D1595="Legitimate Interest (GDPR Art. 6(1)(f))", "Yes / Required (Sheet 3)", "")</f>
        <v/>
      </c>
      <c r="L1595" s="7" t="n"/>
      <c r="M1595" s="7" t="n"/>
      <c r="N1595">
        <f>IF(D1595="", "Gap - No Legal Basis", IF(AND(D1595="Consent (GDPR Art. 6(1)(a))", I1595="Not Captured"), "Gap - Invalid Consent", IF(AND(D1595="Legitimate Interest (GDPR Art. 6(1)(f))", L1595=""), "Gap - Missing LIA", IF(AND(G1595="Yes", H1595=""), "Gap - Missing Art. 9 Basis", IF(OR(I1595="Invalid - Not Freely Given", I1595="Invalid - Not Specific", I1595="Invalid - Not Informed", I1595="Invalid - Ambiguous"), "Gap - Invalid Consent", "Compliant")))))</f>
        <v/>
      </c>
      <c r="O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>
        <f>IF(D1596="Legitimate Interest (GDPR Art. 6(1)(f))", "Yes / Required (Sheet 3)", "")</f>
        <v/>
      </c>
      <c r="L1596" s="7" t="n"/>
      <c r="M1596" s="7" t="n"/>
      <c r="N1596">
        <f>IF(D1596="", "Gap - No Legal Basis", IF(AND(D1596="Consent (GDPR Art. 6(1)(a))", I1596="Not Captured"), "Gap - Invalid Consent", IF(AND(D1596="Legitimate Interest (GDPR Art. 6(1)(f))", L1596=""), "Gap - Missing LIA", IF(AND(G1596="Yes", H1596=""), "Gap - Missing Art. 9 Basis", IF(OR(I1596="Invalid - Not Freely Given", I1596="Invalid - Not Specific", I1596="Invalid - Not Informed", I1596="Invalid - Ambiguous"), "Gap - Invalid Consent", "Compliant")))))</f>
        <v/>
      </c>
      <c r="O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>
        <f>IF(D1597="Legitimate Interest (GDPR Art. 6(1)(f))", "Yes / Required (Sheet 3)", "")</f>
        <v/>
      </c>
      <c r="L1597" s="7" t="n"/>
      <c r="M1597" s="7" t="n"/>
      <c r="N1597">
        <f>IF(D1597="", "Gap - No Legal Basis", IF(AND(D1597="Consent (GDPR Art. 6(1)(a))", I1597="Not Captured"), "Gap - Invalid Consent", IF(AND(D1597="Legitimate Interest (GDPR Art. 6(1)(f))", L1597=""), "Gap - Missing LIA", IF(AND(G1597="Yes", H1597=""), "Gap - Missing Art. 9 Basis", IF(OR(I1597="Invalid - Not Freely Given", I1597="Invalid - Not Specific", I1597="Invalid - Not Informed", I1597="Invalid - Ambiguous"), "Gap - Invalid Consent", "Compliant")))))</f>
        <v/>
      </c>
      <c r="O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>
        <f>IF(D1598="Legitimate Interest (GDPR Art. 6(1)(f))", "Yes / Required (Sheet 3)", "")</f>
        <v/>
      </c>
      <c r="L1598" s="7" t="n"/>
      <c r="M1598" s="7" t="n"/>
      <c r="N1598">
        <f>IF(D1598="", "Gap - No Legal Basis", IF(AND(D1598="Consent (GDPR Art. 6(1)(a))", I1598="Not Captured"), "Gap - Invalid Consent", IF(AND(D1598="Legitimate Interest (GDPR Art. 6(1)(f))", L1598=""), "Gap - Missing LIA", IF(AND(G1598="Yes", H1598=""), "Gap - Missing Art. 9 Basis", IF(OR(I1598="Invalid - Not Freely Given", I1598="Invalid - Not Specific", I1598="Invalid - Not Informed", I1598="Invalid - Ambiguous"), "Gap - Invalid Consent", "Compliant")))))</f>
        <v/>
      </c>
      <c r="O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>
        <f>IF(D1599="Legitimate Interest (GDPR Art. 6(1)(f))", "Yes / Required (Sheet 3)", "")</f>
        <v/>
      </c>
      <c r="L1599" s="7" t="n"/>
      <c r="M1599" s="7" t="n"/>
      <c r="N1599">
        <f>IF(D1599="", "Gap - No Legal Basis", IF(AND(D1599="Consent (GDPR Art. 6(1)(a))", I1599="Not Captured"), "Gap - Invalid Consent", IF(AND(D1599="Legitimate Interest (GDPR Art. 6(1)(f))", L1599=""), "Gap - Missing LIA", IF(AND(G1599="Yes", H1599=""), "Gap - Missing Art. 9 Basis", IF(OR(I1599="Invalid - Not Freely Given", I1599="Invalid - Not Specific", I1599="Invalid - Not Informed", I1599="Invalid - Ambiguous"), "Gap - Invalid Consent", "Compliant")))))</f>
        <v/>
      </c>
      <c r="O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>
        <f>IF(D1600="Legitimate Interest (GDPR Art. 6(1)(f))", "Yes / Required (Sheet 3)", "")</f>
        <v/>
      </c>
      <c r="L1600" s="7" t="n"/>
      <c r="M1600" s="7" t="n"/>
      <c r="N1600">
        <f>IF(D1600="", "Gap - No Legal Basis", IF(AND(D1600="Consent (GDPR Art. 6(1)(a))", I1600="Not Captured"), "Gap - Invalid Consent", IF(AND(D1600="Legitimate Interest (GDPR Art. 6(1)(f))", L1600=""), "Gap - Missing LIA", IF(AND(G1600="Yes", H1600=""), "Gap - Missing Art. 9 Basis", IF(OR(I1600="Invalid - Not Freely Given", I1600="Invalid - Not Specific", I1600="Invalid - Not Informed", I1600="Invalid - Ambiguous"), "Gap - Invalid Consent", "Compliant")))))</f>
        <v/>
      </c>
      <c r="O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>
        <f>IF(D1601="Legitimate Interest (GDPR Art. 6(1)(f))", "Yes / Required (Sheet 3)", "")</f>
        <v/>
      </c>
      <c r="L1601" s="7" t="n"/>
      <c r="M1601" s="7" t="n"/>
      <c r="N1601">
        <f>IF(D1601="", "Gap - No Legal Basis", IF(AND(D1601="Consent (GDPR Art. 6(1)(a))", I1601="Not Captured"), "Gap - Invalid Consent", IF(AND(D1601="Legitimate Interest (GDPR Art. 6(1)(f))", L1601=""), "Gap - Missing LIA", IF(AND(G1601="Yes", H1601=""), "Gap - Missing Art. 9 Basis", IF(OR(I1601="Invalid - Not Freely Given", I1601="Invalid - Not Specific", I1601="Invalid - Not Informed", I1601="Invalid - Ambiguous"), "Gap - Invalid Consent", "Compliant")))))</f>
        <v/>
      </c>
      <c r="O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>
        <f>IF(D1602="Legitimate Interest (GDPR Art. 6(1)(f))", "Yes / Required (Sheet 3)", "")</f>
        <v/>
      </c>
      <c r="L1602" s="7" t="n"/>
      <c r="M1602" s="7" t="n"/>
      <c r="N1602">
        <f>IF(D1602="", "Gap - No Legal Basis", IF(AND(D1602="Consent (GDPR Art. 6(1)(a))", I1602="Not Captured"), "Gap - Invalid Consent", IF(AND(D1602="Legitimate Interest (GDPR Art. 6(1)(f))", L1602=""), "Gap - Missing LIA", IF(AND(G1602="Yes", H1602=""), "Gap - Missing Art. 9 Basis", IF(OR(I1602="Invalid - Not Freely Given", I1602="Invalid - Not Specific", I1602="Invalid - Not Informed", I1602="Invalid - Ambiguous"), "Gap - Invalid Consent", "Compliant")))))</f>
        <v/>
      </c>
      <c r="O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>
        <f>IF(D1603="Legitimate Interest (GDPR Art. 6(1)(f))", "Yes / Required (Sheet 3)", "")</f>
        <v/>
      </c>
      <c r="L1603" s="7" t="n"/>
      <c r="M1603" s="7" t="n"/>
      <c r="N1603">
        <f>IF(D1603="", "Gap - No Legal Basis", IF(AND(D1603="Consent (GDPR Art. 6(1)(a))", I1603="Not Captured"), "Gap - Invalid Consent", IF(AND(D1603="Legitimate Interest (GDPR Art. 6(1)(f))", L1603=""), "Gap - Missing LIA", IF(AND(G1603="Yes", H1603=""), "Gap - Missing Art. 9 Basis", IF(OR(I1603="Invalid - Not Freely Given", I1603="Invalid - Not Specific", I1603="Invalid - Not Informed", I1603="Invalid - Ambiguous"), "Gap - Invalid Consent", "Compliant")))))</f>
        <v/>
      </c>
      <c r="O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>
        <f>IF(D1604="Legitimate Interest (GDPR Art. 6(1)(f))", "Yes / Required (Sheet 3)", "")</f>
        <v/>
      </c>
      <c r="L1604" s="7" t="n"/>
      <c r="M1604" s="7" t="n"/>
      <c r="N1604">
        <f>IF(D1604="", "Gap - No Legal Basis", IF(AND(D1604="Consent (GDPR Art. 6(1)(a))", I1604="Not Captured"), "Gap - Invalid Consent", IF(AND(D1604="Legitimate Interest (GDPR Art. 6(1)(f))", L1604=""), "Gap - Missing LIA", IF(AND(G1604="Yes", H1604=""), "Gap - Missing Art. 9 Basis", IF(OR(I1604="Invalid - Not Freely Given", I1604="Invalid - Not Specific", I1604="Invalid - Not Informed", I1604="Invalid - Ambiguous"), "Gap - Invalid Consent", "Compliant")))))</f>
        <v/>
      </c>
      <c r="O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>
        <f>IF(D1605="Legitimate Interest (GDPR Art. 6(1)(f))", "Yes / Required (Sheet 3)", "")</f>
        <v/>
      </c>
      <c r="L1605" s="7" t="n"/>
      <c r="M1605" s="7" t="n"/>
      <c r="N1605">
        <f>IF(D1605="", "Gap - No Legal Basis", IF(AND(D1605="Consent (GDPR Art. 6(1)(a))", I1605="Not Captured"), "Gap - Invalid Consent", IF(AND(D1605="Legitimate Interest (GDPR Art. 6(1)(f))", L1605=""), "Gap - Missing LIA", IF(AND(G1605="Yes", H1605=""), "Gap - Missing Art. 9 Basis", IF(OR(I1605="Invalid - Not Freely Given", I1605="Invalid - Not Specific", I1605="Invalid - Not Informed", I1605="Invalid - Ambiguous"), "Gap - Invalid Consent", "Compliant")))))</f>
        <v/>
      </c>
      <c r="O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>
        <f>IF(D1606="Legitimate Interest (GDPR Art. 6(1)(f))", "Yes / Required (Sheet 3)", "")</f>
        <v/>
      </c>
      <c r="L1606" s="7" t="n"/>
      <c r="M1606" s="7" t="n"/>
      <c r="N1606">
        <f>IF(D1606="", "Gap - No Legal Basis", IF(AND(D1606="Consent (GDPR Art. 6(1)(a))", I1606="Not Captured"), "Gap - Invalid Consent", IF(AND(D1606="Legitimate Interest (GDPR Art. 6(1)(f))", L1606=""), "Gap - Missing LIA", IF(AND(G1606="Yes", H1606=""), "Gap - Missing Art. 9 Basis", IF(OR(I1606="Invalid - Not Freely Given", I1606="Invalid - Not Specific", I1606="Invalid - Not Informed", I1606="Invalid - Ambiguous"), "Gap - Invalid Consent", "Compliant")))))</f>
        <v/>
      </c>
      <c r="O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>
        <f>IF(D1607="Legitimate Interest (GDPR Art. 6(1)(f))", "Yes / Required (Sheet 3)", "")</f>
        <v/>
      </c>
      <c r="L1607" s="7" t="n"/>
      <c r="M1607" s="7" t="n"/>
      <c r="N1607">
        <f>IF(D1607="", "Gap - No Legal Basis", IF(AND(D1607="Consent (GDPR Art. 6(1)(a))", I1607="Not Captured"), "Gap - Invalid Consent", IF(AND(D1607="Legitimate Interest (GDPR Art. 6(1)(f))", L1607=""), "Gap - Missing LIA", IF(AND(G1607="Yes", H1607=""), "Gap - Missing Art. 9 Basis", IF(OR(I1607="Invalid - Not Freely Given", I1607="Invalid - Not Specific", I1607="Invalid - Not Informed", I1607="Invalid - Ambiguous"), "Gap - Invalid Consent", "Compliant")))))</f>
        <v/>
      </c>
      <c r="O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>
        <f>IF(D1608="Legitimate Interest (GDPR Art. 6(1)(f))", "Yes / Required (Sheet 3)", "")</f>
        <v/>
      </c>
      <c r="L1608" s="7" t="n"/>
      <c r="M1608" s="7" t="n"/>
      <c r="N1608">
        <f>IF(D1608="", "Gap - No Legal Basis", IF(AND(D1608="Consent (GDPR Art. 6(1)(a))", I1608="Not Captured"), "Gap - Invalid Consent", IF(AND(D1608="Legitimate Interest (GDPR Art. 6(1)(f))", L1608=""), "Gap - Missing LIA", IF(AND(G1608="Yes", H1608=""), "Gap - Missing Art. 9 Basis", IF(OR(I1608="Invalid - Not Freely Given", I1608="Invalid - Not Specific", I1608="Invalid - Not Informed", I1608="Invalid - Ambiguous"), "Gap - Invalid Consent", "Compliant")))))</f>
        <v/>
      </c>
      <c r="O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>
        <f>IF(D1609="Legitimate Interest (GDPR Art. 6(1)(f))", "Yes / Required (Sheet 3)", "")</f>
        <v/>
      </c>
      <c r="L1609" s="7" t="n"/>
      <c r="M1609" s="7" t="n"/>
      <c r="N1609">
        <f>IF(D1609="", "Gap - No Legal Basis", IF(AND(D1609="Consent (GDPR Art. 6(1)(a))", I1609="Not Captured"), "Gap - Invalid Consent", IF(AND(D1609="Legitimate Interest (GDPR Art. 6(1)(f))", L1609=""), "Gap - Missing LIA", IF(AND(G1609="Yes", H1609=""), "Gap - Missing Art. 9 Basis", IF(OR(I1609="Invalid - Not Freely Given", I1609="Invalid - Not Specific", I1609="Invalid - Not Informed", I1609="Invalid - Ambiguous"), "Gap - Invalid Consent", "Compliant")))))</f>
        <v/>
      </c>
      <c r="O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>
        <f>IF(D1610="Legitimate Interest (GDPR Art. 6(1)(f))", "Yes / Required (Sheet 3)", "")</f>
        <v/>
      </c>
      <c r="L1610" s="7" t="n"/>
      <c r="M1610" s="7" t="n"/>
      <c r="N1610">
        <f>IF(D1610="", "Gap - No Legal Basis", IF(AND(D1610="Consent (GDPR Art. 6(1)(a))", I1610="Not Captured"), "Gap - Invalid Consent", IF(AND(D1610="Legitimate Interest (GDPR Art. 6(1)(f))", L1610=""), "Gap - Missing LIA", IF(AND(G1610="Yes", H1610=""), "Gap - Missing Art. 9 Basis", IF(OR(I1610="Invalid - Not Freely Given", I1610="Invalid - Not Specific", I1610="Invalid - Not Informed", I1610="Invalid - Ambiguous"), "Gap - Invalid Consent", "Compliant")))))</f>
        <v/>
      </c>
      <c r="O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>
        <f>IF(D1611="Legitimate Interest (GDPR Art. 6(1)(f))", "Yes / Required (Sheet 3)", "")</f>
        <v/>
      </c>
      <c r="L1611" s="7" t="n"/>
      <c r="M1611" s="7" t="n"/>
      <c r="N1611">
        <f>IF(D1611="", "Gap - No Legal Basis", IF(AND(D1611="Consent (GDPR Art. 6(1)(a))", I1611="Not Captured"), "Gap - Invalid Consent", IF(AND(D1611="Legitimate Interest (GDPR Art. 6(1)(f))", L1611=""), "Gap - Missing LIA", IF(AND(G1611="Yes", H1611=""), "Gap - Missing Art. 9 Basis", IF(OR(I1611="Invalid - Not Freely Given", I1611="Invalid - Not Specific", I1611="Invalid - Not Informed", I1611="Invalid - Ambiguous"), "Gap - Invalid Consent", "Compliant")))))</f>
        <v/>
      </c>
      <c r="O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>
        <f>IF(D1612="Legitimate Interest (GDPR Art. 6(1)(f))", "Yes / Required (Sheet 3)", "")</f>
        <v/>
      </c>
      <c r="L1612" s="7" t="n"/>
      <c r="M1612" s="7" t="n"/>
      <c r="N1612">
        <f>IF(D1612="", "Gap - No Legal Basis", IF(AND(D1612="Consent (GDPR Art. 6(1)(a))", I1612="Not Captured"), "Gap - Invalid Consent", IF(AND(D1612="Legitimate Interest (GDPR Art. 6(1)(f))", L1612=""), "Gap - Missing LIA", IF(AND(G1612="Yes", H1612=""), "Gap - Missing Art. 9 Basis", IF(OR(I1612="Invalid - Not Freely Given", I1612="Invalid - Not Specific", I1612="Invalid - Not Informed", I1612="Invalid - Ambiguous"), "Gap - Invalid Consent", "Compliant")))))</f>
        <v/>
      </c>
      <c r="O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>
        <f>IF(D1613="Legitimate Interest (GDPR Art. 6(1)(f))", "Yes / Required (Sheet 3)", "")</f>
        <v/>
      </c>
      <c r="L1613" s="7" t="n"/>
      <c r="M1613" s="7" t="n"/>
      <c r="N1613">
        <f>IF(D1613="", "Gap - No Legal Basis", IF(AND(D1613="Consent (GDPR Art. 6(1)(a))", I1613="Not Captured"), "Gap - Invalid Consent", IF(AND(D1613="Legitimate Interest (GDPR Art. 6(1)(f))", L1613=""), "Gap - Missing LIA", IF(AND(G1613="Yes", H1613=""), "Gap - Missing Art. 9 Basis", IF(OR(I1613="Invalid - Not Freely Given", I1613="Invalid - Not Specific", I1613="Invalid - Not Informed", I1613="Invalid - Ambiguous"), "Gap - Invalid Consent", "Compliant")))))</f>
        <v/>
      </c>
      <c r="O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>
        <f>IF(D1614="Legitimate Interest (GDPR Art. 6(1)(f))", "Yes / Required (Sheet 3)", "")</f>
        <v/>
      </c>
      <c r="L1614" s="7" t="n"/>
      <c r="M1614" s="7" t="n"/>
      <c r="N1614">
        <f>IF(D1614="", "Gap - No Legal Basis", IF(AND(D1614="Consent (GDPR Art. 6(1)(a))", I1614="Not Captured"), "Gap - Invalid Consent", IF(AND(D1614="Legitimate Interest (GDPR Art. 6(1)(f))", L1614=""), "Gap - Missing LIA", IF(AND(G1614="Yes", H1614=""), "Gap - Missing Art. 9 Basis", IF(OR(I1614="Invalid - Not Freely Given", I1614="Invalid - Not Specific", I1614="Invalid - Not Informed", I1614="Invalid - Ambiguous"), "Gap - Invalid Consent", "Compliant")))))</f>
        <v/>
      </c>
      <c r="O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>
        <f>IF(D1615="Legitimate Interest (GDPR Art. 6(1)(f))", "Yes / Required (Sheet 3)", "")</f>
        <v/>
      </c>
      <c r="L1615" s="7" t="n"/>
      <c r="M1615" s="7" t="n"/>
      <c r="N1615">
        <f>IF(D1615="", "Gap - No Legal Basis", IF(AND(D1615="Consent (GDPR Art. 6(1)(a))", I1615="Not Captured"), "Gap - Invalid Consent", IF(AND(D1615="Legitimate Interest (GDPR Art. 6(1)(f))", L1615=""), "Gap - Missing LIA", IF(AND(G1615="Yes", H1615=""), "Gap - Missing Art. 9 Basis", IF(OR(I1615="Invalid - Not Freely Given", I1615="Invalid - Not Specific", I1615="Invalid - Not Informed", I1615="Invalid - Ambiguous"), "Gap - Invalid Consent", "Compliant")))))</f>
        <v/>
      </c>
      <c r="O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>
        <f>IF(D1616="Legitimate Interest (GDPR Art. 6(1)(f))", "Yes / Required (Sheet 3)", "")</f>
        <v/>
      </c>
      <c r="L1616" s="7" t="n"/>
      <c r="M1616" s="7" t="n"/>
      <c r="N1616">
        <f>IF(D1616="", "Gap - No Legal Basis", IF(AND(D1616="Consent (GDPR Art. 6(1)(a))", I1616="Not Captured"), "Gap - Invalid Consent", IF(AND(D1616="Legitimate Interest (GDPR Art. 6(1)(f))", L1616=""), "Gap - Missing LIA", IF(AND(G1616="Yes", H1616=""), "Gap - Missing Art. 9 Basis", IF(OR(I1616="Invalid - Not Freely Given", I1616="Invalid - Not Specific", I1616="Invalid - Not Informed", I1616="Invalid - Ambiguous"), "Gap - Invalid Consent", "Compliant")))))</f>
        <v/>
      </c>
      <c r="O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>
        <f>IF(D1617="Legitimate Interest (GDPR Art. 6(1)(f))", "Yes / Required (Sheet 3)", "")</f>
        <v/>
      </c>
      <c r="L1617" s="7" t="n"/>
      <c r="M1617" s="7" t="n"/>
      <c r="N1617">
        <f>IF(D1617="", "Gap - No Legal Basis", IF(AND(D1617="Consent (GDPR Art. 6(1)(a))", I1617="Not Captured"), "Gap - Invalid Consent", IF(AND(D1617="Legitimate Interest (GDPR Art. 6(1)(f))", L1617=""), "Gap - Missing LIA", IF(AND(G1617="Yes", H1617=""), "Gap - Missing Art. 9 Basis", IF(OR(I1617="Invalid - Not Freely Given", I1617="Invalid - Not Specific", I1617="Invalid - Not Informed", I1617="Invalid - Ambiguous"), "Gap - Invalid Consent", "Compliant")))))</f>
        <v/>
      </c>
      <c r="O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>
        <f>IF(D1618="Legitimate Interest (GDPR Art. 6(1)(f))", "Yes / Required (Sheet 3)", "")</f>
        <v/>
      </c>
      <c r="L1618" s="7" t="n"/>
      <c r="M1618" s="7" t="n"/>
      <c r="N1618">
        <f>IF(D1618="", "Gap - No Legal Basis", IF(AND(D1618="Consent (GDPR Art. 6(1)(a))", I1618="Not Captured"), "Gap - Invalid Consent", IF(AND(D1618="Legitimate Interest (GDPR Art. 6(1)(f))", L1618=""), "Gap - Missing LIA", IF(AND(G1618="Yes", H1618=""), "Gap - Missing Art. 9 Basis", IF(OR(I1618="Invalid - Not Freely Given", I1618="Invalid - Not Specific", I1618="Invalid - Not Informed", I1618="Invalid - Ambiguous"), "Gap - Invalid Consent", "Compliant")))))</f>
        <v/>
      </c>
      <c r="O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>
        <f>IF(D1619="Legitimate Interest (GDPR Art. 6(1)(f))", "Yes / Required (Sheet 3)", "")</f>
        <v/>
      </c>
      <c r="L1619" s="7" t="n"/>
      <c r="M1619" s="7" t="n"/>
      <c r="N1619">
        <f>IF(D1619="", "Gap - No Legal Basis", IF(AND(D1619="Consent (GDPR Art. 6(1)(a))", I1619="Not Captured"), "Gap - Invalid Consent", IF(AND(D1619="Legitimate Interest (GDPR Art. 6(1)(f))", L1619=""), "Gap - Missing LIA", IF(AND(G1619="Yes", H1619=""), "Gap - Missing Art. 9 Basis", IF(OR(I1619="Invalid - Not Freely Given", I1619="Invalid - Not Specific", I1619="Invalid - Not Informed", I1619="Invalid - Ambiguous"), "Gap - Invalid Consent", "Compliant")))))</f>
        <v/>
      </c>
      <c r="O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>
        <f>IF(D1620="Legitimate Interest (GDPR Art. 6(1)(f))", "Yes / Required (Sheet 3)", "")</f>
        <v/>
      </c>
      <c r="L1620" s="7" t="n"/>
      <c r="M1620" s="7" t="n"/>
      <c r="N1620">
        <f>IF(D1620="", "Gap - No Legal Basis", IF(AND(D1620="Consent (GDPR Art. 6(1)(a))", I1620="Not Captured"), "Gap - Invalid Consent", IF(AND(D1620="Legitimate Interest (GDPR Art. 6(1)(f))", L1620=""), "Gap - Missing LIA", IF(AND(G1620="Yes", H1620=""), "Gap - Missing Art. 9 Basis", IF(OR(I1620="Invalid - Not Freely Given", I1620="Invalid - Not Specific", I1620="Invalid - Not Informed", I1620="Invalid - Ambiguous"), "Gap - Invalid Consent", "Compliant")))))</f>
        <v/>
      </c>
      <c r="O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>
        <f>IF(D1621="Legitimate Interest (GDPR Art. 6(1)(f))", "Yes / Required (Sheet 3)", "")</f>
        <v/>
      </c>
      <c r="L1621" s="7" t="n"/>
      <c r="M1621" s="7" t="n"/>
      <c r="N1621">
        <f>IF(D1621="", "Gap - No Legal Basis", IF(AND(D1621="Consent (GDPR Art. 6(1)(a))", I1621="Not Captured"), "Gap - Invalid Consent", IF(AND(D1621="Legitimate Interest (GDPR Art. 6(1)(f))", L1621=""), "Gap - Missing LIA", IF(AND(G1621="Yes", H1621=""), "Gap - Missing Art. 9 Basis", IF(OR(I1621="Invalid - Not Freely Given", I1621="Invalid - Not Specific", I1621="Invalid - Not Informed", I1621="Invalid - Ambiguous"), "Gap - Invalid Consent", "Compliant")))))</f>
        <v/>
      </c>
      <c r="O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>
        <f>IF(D1622="Legitimate Interest (GDPR Art. 6(1)(f))", "Yes / Required (Sheet 3)", "")</f>
        <v/>
      </c>
      <c r="L1622" s="7" t="n"/>
      <c r="M1622" s="7" t="n"/>
      <c r="N1622">
        <f>IF(D1622="", "Gap - No Legal Basis", IF(AND(D1622="Consent (GDPR Art. 6(1)(a))", I1622="Not Captured"), "Gap - Invalid Consent", IF(AND(D1622="Legitimate Interest (GDPR Art. 6(1)(f))", L1622=""), "Gap - Missing LIA", IF(AND(G1622="Yes", H1622=""), "Gap - Missing Art. 9 Basis", IF(OR(I1622="Invalid - Not Freely Given", I1622="Invalid - Not Specific", I1622="Invalid - Not Informed", I1622="Invalid - Ambiguous"), "Gap - Invalid Consent", "Compliant")))))</f>
        <v/>
      </c>
      <c r="O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>
        <f>IF(D1623="Legitimate Interest (GDPR Art. 6(1)(f))", "Yes / Required (Sheet 3)", "")</f>
        <v/>
      </c>
      <c r="L1623" s="7" t="n"/>
      <c r="M1623" s="7" t="n"/>
      <c r="N1623">
        <f>IF(D1623="", "Gap - No Legal Basis", IF(AND(D1623="Consent (GDPR Art. 6(1)(a))", I1623="Not Captured"), "Gap - Invalid Consent", IF(AND(D1623="Legitimate Interest (GDPR Art. 6(1)(f))", L1623=""), "Gap - Missing LIA", IF(AND(G1623="Yes", H1623=""), "Gap - Missing Art. 9 Basis", IF(OR(I1623="Invalid - Not Freely Given", I1623="Invalid - Not Specific", I1623="Invalid - Not Informed", I1623="Invalid - Ambiguous"), "Gap - Invalid Consent", "Compliant")))))</f>
        <v/>
      </c>
      <c r="O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>
        <f>IF(D1624="Legitimate Interest (GDPR Art. 6(1)(f))", "Yes / Required (Sheet 3)", "")</f>
        <v/>
      </c>
      <c r="L1624" s="7" t="n"/>
      <c r="M1624" s="7" t="n"/>
      <c r="N1624">
        <f>IF(D1624="", "Gap - No Legal Basis", IF(AND(D1624="Consent (GDPR Art. 6(1)(a))", I1624="Not Captured"), "Gap - Invalid Consent", IF(AND(D1624="Legitimate Interest (GDPR Art. 6(1)(f))", L1624=""), "Gap - Missing LIA", IF(AND(G1624="Yes", H1624=""), "Gap - Missing Art. 9 Basis", IF(OR(I1624="Invalid - Not Freely Given", I1624="Invalid - Not Specific", I1624="Invalid - Not Informed", I1624="Invalid - Ambiguous"), "Gap - Invalid Consent", "Compliant")))))</f>
        <v/>
      </c>
      <c r="O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>
        <f>IF(D1625="Legitimate Interest (GDPR Art. 6(1)(f))", "Yes / Required (Sheet 3)", "")</f>
        <v/>
      </c>
      <c r="L1625" s="7" t="n"/>
      <c r="M1625" s="7" t="n"/>
      <c r="N1625">
        <f>IF(D1625="", "Gap - No Legal Basis", IF(AND(D1625="Consent (GDPR Art. 6(1)(a))", I1625="Not Captured"), "Gap - Invalid Consent", IF(AND(D1625="Legitimate Interest (GDPR Art. 6(1)(f))", L1625=""), "Gap - Missing LIA", IF(AND(G1625="Yes", H1625=""), "Gap - Missing Art. 9 Basis", IF(OR(I1625="Invalid - Not Freely Given", I1625="Invalid - Not Specific", I1625="Invalid - Not Informed", I1625="Invalid - Ambiguous"), "Gap - Invalid Consent", "Compliant")))))</f>
        <v/>
      </c>
      <c r="O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>
        <f>IF(D1626="Legitimate Interest (GDPR Art. 6(1)(f))", "Yes / Required (Sheet 3)", "")</f>
        <v/>
      </c>
      <c r="L1626" s="7" t="n"/>
      <c r="M1626" s="7" t="n"/>
      <c r="N1626">
        <f>IF(D1626="", "Gap - No Legal Basis", IF(AND(D1626="Consent (GDPR Art. 6(1)(a))", I1626="Not Captured"), "Gap - Invalid Consent", IF(AND(D1626="Legitimate Interest (GDPR Art. 6(1)(f))", L1626=""), "Gap - Missing LIA", IF(AND(G1626="Yes", H1626=""), "Gap - Missing Art. 9 Basis", IF(OR(I1626="Invalid - Not Freely Given", I1626="Invalid - Not Specific", I1626="Invalid - Not Informed", I1626="Invalid - Ambiguous"), "Gap - Invalid Consent", "Compliant")))))</f>
        <v/>
      </c>
      <c r="O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>
        <f>IF(D1627="Legitimate Interest (GDPR Art. 6(1)(f))", "Yes / Required (Sheet 3)", "")</f>
        <v/>
      </c>
      <c r="L1627" s="7" t="n"/>
      <c r="M1627" s="7" t="n"/>
      <c r="N1627">
        <f>IF(D1627="", "Gap - No Legal Basis", IF(AND(D1627="Consent (GDPR Art. 6(1)(a))", I1627="Not Captured"), "Gap - Invalid Consent", IF(AND(D1627="Legitimate Interest (GDPR Art. 6(1)(f))", L1627=""), "Gap - Missing LIA", IF(AND(G1627="Yes", H1627=""), "Gap - Missing Art. 9 Basis", IF(OR(I1627="Invalid - Not Freely Given", I1627="Invalid - Not Specific", I1627="Invalid - Not Informed", I1627="Invalid - Ambiguous"), "Gap - Invalid Consent", "Compliant")))))</f>
        <v/>
      </c>
      <c r="O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>
        <f>IF(D1628="Legitimate Interest (GDPR Art. 6(1)(f))", "Yes / Required (Sheet 3)", "")</f>
        <v/>
      </c>
      <c r="L1628" s="7" t="n"/>
      <c r="M1628" s="7" t="n"/>
      <c r="N1628">
        <f>IF(D1628="", "Gap - No Legal Basis", IF(AND(D1628="Consent (GDPR Art. 6(1)(a))", I1628="Not Captured"), "Gap - Invalid Consent", IF(AND(D1628="Legitimate Interest (GDPR Art. 6(1)(f))", L1628=""), "Gap - Missing LIA", IF(AND(G1628="Yes", H1628=""), "Gap - Missing Art. 9 Basis", IF(OR(I1628="Invalid - Not Freely Given", I1628="Invalid - Not Specific", I1628="Invalid - Not Informed", I1628="Invalid - Ambiguous"), "Gap - Invalid Consent", "Compliant")))))</f>
        <v/>
      </c>
      <c r="O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>
        <f>IF(D1629="Legitimate Interest (GDPR Art. 6(1)(f))", "Yes / Required (Sheet 3)", "")</f>
        <v/>
      </c>
      <c r="L1629" s="7" t="n"/>
      <c r="M1629" s="7" t="n"/>
      <c r="N1629">
        <f>IF(D1629="", "Gap - No Legal Basis", IF(AND(D1629="Consent (GDPR Art. 6(1)(a))", I1629="Not Captured"), "Gap - Invalid Consent", IF(AND(D1629="Legitimate Interest (GDPR Art. 6(1)(f))", L1629=""), "Gap - Missing LIA", IF(AND(G1629="Yes", H1629=""), "Gap - Missing Art. 9 Basis", IF(OR(I1629="Invalid - Not Freely Given", I1629="Invalid - Not Specific", I1629="Invalid - Not Informed", I1629="Invalid - Ambiguous"), "Gap - Invalid Consent", "Compliant")))))</f>
        <v/>
      </c>
      <c r="O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>
        <f>IF(D1630="Legitimate Interest (GDPR Art. 6(1)(f))", "Yes / Required (Sheet 3)", "")</f>
        <v/>
      </c>
      <c r="L1630" s="7" t="n"/>
      <c r="M1630" s="7" t="n"/>
      <c r="N1630">
        <f>IF(D1630="", "Gap - No Legal Basis", IF(AND(D1630="Consent (GDPR Art. 6(1)(a))", I1630="Not Captured"), "Gap - Invalid Consent", IF(AND(D1630="Legitimate Interest (GDPR Art. 6(1)(f))", L1630=""), "Gap - Missing LIA", IF(AND(G1630="Yes", H1630=""), "Gap - Missing Art. 9 Basis", IF(OR(I1630="Invalid - Not Freely Given", I1630="Invalid - Not Specific", I1630="Invalid - Not Informed", I1630="Invalid - Ambiguous"), "Gap - Invalid Consent", "Compliant")))))</f>
        <v/>
      </c>
      <c r="O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>
        <f>IF(D1631="Legitimate Interest (GDPR Art. 6(1)(f))", "Yes / Required (Sheet 3)", "")</f>
        <v/>
      </c>
      <c r="L1631" s="7" t="n"/>
      <c r="M1631" s="7" t="n"/>
      <c r="N1631">
        <f>IF(D1631="", "Gap - No Legal Basis", IF(AND(D1631="Consent (GDPR Art. 6(1)(a))", I1631="Not Captured"), "Gap - Invalid Consent", IF(AND(D1631="Legitimate Interest (GDPR Art. 6(1)(f))", L1631=""), "Gap - Missing LIA", IF(AND(G1631="Yes", H1631=""), "Gap - Missing Art. 9 Basis", IF(OR(I1631="Invalid - Not Freely Given", I1631="Invalid - Not Specific", I1631="Invalid - Not Informed", I1631="Invalid - Ambiguous"), "Gap - Invalid Consent", "Compliant")))))</f>
        <v/>
      </c>
      <c r="O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>
        <f>IF(D1632="Legitimate Interest (GDPR Art. 6(1)(f))", "Yes / Required (Sheet 3)", "")</f>
        <v/>
      </c>
      <c r="L1632" s="7" t="n"/>
      <c r="M1632" s="7" t="n"/>
      <c r="N1632">
        <f>IF(D1632="", "Gap - No Legal Basis", IF(AND(D1632="Consent (GDPR Art. 6(1)(a))", I1632="Not Captured"), "Gap - Invalid Consent", IF(AND(D1632="Legitimate Interest (GDPR Art. 6(1)(f))", L1632=""), "Gap - Missing LIA", IF(AND(G1632="Yes", H1632=""), "Gap - Missing Art. 9 Basis", IF(OR(I1632="Invalid - Not Freely Given", I1632="Invalid - Not Specific", I1632="Invalid - Not Informed", I1632="Invalid - Ambiguous"), "Gap - Invalid Consent", "Compliant")))))</f>
        <v/>
      </c>
      <c r="O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>
        <f>IF(D1633="Legitimate Interest (GDPR Art. 6(1)(f))", "Yes / Required (Sheet 3)", "")</f>
        <v/>
      </c>
      <c r="L1633" s="7" t="n"/>
      <c r="M1633" s="7" t="n"/>
      <c r="N1633">
        <f>IF(D1633="", "Gap - No Legal Basis", IF(AND(D1633="Consent (GDPR Art. 6(1)(a))", I1633="Not Captured"), "Gap - Invalid Consent", IF(AND(D1633="Legitimate Interest (GDPR Art. 6(1)(f))", L1633=""), "Gap - Missing LIA", IF(AND(G1633="Yes", H1633=""), "Gap - Missing Art. 9 Basis", IF(OR(I1633="Invalid - Not Freely Given", I1633="Invalid - Not Specific", I1633="Invalid - Not Informed", I1633="Invalid - Ambiguous"), "Gap - Invalid Consent", "Compliant")))))</f>
        <v/>
      </c>
      <c r="O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>
        <f>IF(D1634="Legitimate Interest (GDPR Art. 6(1)(f))", "Yes / Required (Sheet 3)", "")</f>
        <v/>
      </c>
      <c r="L1634" s="7" t="n"/>
      <c r="M1634" s="7" t="n"/>
      <c r="N1634">
        <f>IF(D1634="", "Gap - No Legal Basis", IF(AND(D1634="Consent (GDPR Art. 6(1)(a))", I1634="Not Captured"), "Gap - Invalid Consent", IF(AND(D1634="Legitimate Interest (GDPR Art. 6(1)(f))", L1634=""), "Gap - Missing LIA", IF(AND(G1634="Yes", H1634=""), "Gap - Missing Art. 9 Basis", IF(OR(I1634="Invalid - Not Freely Given", I1634="Invalid - Not Specific", I1634="Invalid - Not Informed", I1634="Invalid - Ambiguous"), "Gap - Invalid Consent", "Compliant")))))</f>
        <v/>
      </c>
      <c r="O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>
        <f>IF(D1635="Legitimate Interest (GDPR Art. 6(1)(f))", "Yes / Required (Sheet 3)", "")</f>
        <v/>
      </c>
      <c r="L1635" s="7" t="n"/>
      <c r="M1635" s="7" t="n"/>
      <c r="N1635">
        <f>IF(D1635="", "Gap - No Legal Basis", IF(AND(D1635="Consent (GDPR Art. 6(1)(a))", I1635="Not Captured"), "Gap - Invalid Consent", IF(AND(D1635="Legitimate Interest (GDPR Art. 6(1)(f))", L1635=""), "Gap - Missing LIA", IF(AND(G1635="Yes", H1635=""), "Gap - Missing Art. 9 Basis", IF(OR(I1635="Invalid - Not Freely Given", I1635="Invalid - Not Specific", I1635="Invalid - Not Informed", I1635="Invalid - Ambiguous"), "Gap - Invalid Consent", "Compliant")))))</f>
        <v/>
      </c>
      <c r="O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>
        <f>IF(D1636="Legitimate Interest (GDPR Art. 6(1)(f))", "Yes / Required (Sheet 3)", "")</f>
        <v/>
      </c>
      <c r="L1636" s="7" t="n"/>
      <c r="M1636" s="7" t="n"/>
      <c r="N1636">
        <f>IF(D1636="", "Gap - No Legal Basis", IF(AND(D1636="Consent (GDPR Art. 6(1)(a))", I1636="Not Captured"), "Gap - Invalid Consent", IF(AND(D1636="Legitimate Interest (GDPR Art. 6(1)(f))", L1636=""), "Gap - Missing LIA", IF(AND(G1636="Yes", H1636=""), "Gap - Missing Art. 9 Basis", IF(OR(I1636="Invalid - Not Freely Given", I1636="Invalid - Not Specific", I1636="Invalid - Not Informed", I1636="Invalid - Ambiguous"), "Gap - Invalid Consent", "Compliant")))))</f>
        <v/>
      </c>
      <c r="O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>
        <f>IF(D1637="Legitimate Interest (GDPR Art. 6(1)(f))", "Yes / Required (Sheet 3)", "")</f>
        <v/>
      </c>
      <c r="L1637" s="7" t="n"/>
      <c r="M1637" s="7" t="n"/>
      <c r="N1637">
        <f>IF(D1637="", "Gap - No Legal Basis", IF(AND(D1637="Consent (GDPR Art. 6(1)(a))", I1637="Not Captured"), "Gap - Invalid Consent", IF(AND(D1637="Legitimate Interest (GDPR Art. 6(1)(f))", L1637=""), "Gap - Missing LIA", IF(AND(G1637="Yes", H1637=""), "Gap - Missing Art. 9 Basis", IF(OR(I1637="Invalid - Not Freely Given", I1637="Invalid - Not Specific", I1637="Invalid - Not Informed", I1637="Invalid - Ambiguous"), "Gap - Invalid Consent", "Compliant")))))</f>
        <v/>
      </c>
      <c r="O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>
        <f>IF(D1638="Legitimate Interest (GDPR Art. 6(1)(f))", "Yes / Required (Sheet 3)", "")</f>
        <v/>
      </c>
      <c r="L1638" s="7" t="n"/>
      <c r="M1638" s="7" t="n"/>
      <c r="N1638">
        <f>IF(D1638="", "Gap - No Legal Basis", IF(AND(D1638="Consent (GDPR Art. 6(1)(a))", I1638="Not Captured"), "Gap - Invalid Consent", IF(AND(D1638="Legitimate Interest (GDPR Art. 6(1)(f))", L1638=""), "Gap - Missing LIA", IF(AND(G1638="Yes", H1638=""), "Gap - Missing Art. 9 Basis", IF(OR(I1638="Invalid - Not Freely Given", I1638="Invalid - Not Specific", I1638="Invalid - Not Informed", I1638="Invalid - Ambiguous"), "Gap - Invalid Consent", "Compliant")))))</f>
        <v/>
      </c>
      <c r="O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>
        <f>IF(D1639="Legitimate Interest (GDPR Art. 6(1)(f))", "Yes / Required (Sheet 3)", "")</f>
        <v/>
      </c>
      <c r="L1639" s="7" t="n"/>
      <c r="M1639" s="7" t="n"/>
      <c r="N1639">
        <f>IF(D1639="", "Gap - No Legal Basis", IF(AND(D1639="Consent (GDPR Art. 6(1)(a))", I1639="Not Captured"), "Gap - Invalid Consent", IF(AND(D1639="Legitimate Interest (GDPR Art. 6(1)(f))", L1639=""), "Gap - Missing LIA", IF(AND(G1639="Yes", H1639=""), "Gap - Missing Art. 9 Basis", IF(OR(I1639="Invalid - Not Freely Given", I1639="Invalid - Not Specific", I1639="Invalid - Not Informed", I1639="Invalid - Ambiguous"), "Gap - Invalid Consent", "Compliant")))))</f>
        <v/>
      </c>
      <c r="O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>
        <f>IF(D1640="Legitimate Interest (GDPR Art. 6(1)(f))", "Yes / Required (Sheet 3)", "")</f>
        <v/>
      </c>
      <c r="L1640" s="7" t="n"/>
      <c r="M1640" s="7" t="n"/>
      <c r="N1640">
        <f>IF(D1640="", "Gap - No Legal Basis", IF(AND(D1640="Consent (GDPR Art. 6(1)(a))", I1640="Not Captured"), "Gap - Invalid Consent", IF(AND(D1640="Legitimate Interest (GDPR Art. 6(1)(f))", L1640=""), "Gap - Missing LIA", IF(AND(G1640="Yes", H1640=""), "Gap - Missing Art. 9 Basis", IF(OR(I1640="Invalid - Not Freely Given", I1640="Invalid - Not Specific", I1640="Invalid - Not Informed", I1640="Invalid - Ambiguous"), "Gap - Invalid Consent", "Compliant")))))</f>
        <v/>
      </c>
      <c r="O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>
        <f>IF(D1641="Legitimate Interest (GDPR Art. 6(1)(f))", "Yes / Required (Sheet 3)", "")</f>
        <v/>
      </c>
      <c r="L1641" s="7" t="n"/>
      <c r="M1641" s="7" t="n"/>
      <c r="N1641">
        <f>IF(D1641="", "Gap - No Legal Basis", IF(AND(D1641="Consent (GDPR Art. 6(1)(a))", I1641="Not Captured"), "Gap - Invalid Consent", IF(AND(D1641="Legitimate Interest (GDPR Art. 6(1)(f))", L1641=""), "Gap - Missing LIA", IF(AND(G1641="Yes", H1641=""), "Gap - Missing Art. 9 Basis", IF(OR(I1641="Invalid - Not Freely Given", I1641="Invalid - Not Specific", I1641="Invalid - Not Informed", I1641="Invalid - Ambiguous"), "Gap - Invalid Consent", "Compliant")))))</f>
        <v/>
      </c>
      <c r="O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>
        <f>IF(D1642="Legitimate Interest (GDPR Art. 6(1)(f))", "Yes / Required (Sheet 3)", "")</f>
        <v/>
      </c>
      <c r="L1642" s="7" t="n"/>
      <c r="M1642" s="7" t="n"/>
      <c r="N1642">
        <f>IF(D1642="", "Gap - No Legal Basis", IF(AND(D1642="Consent (GDPR Art. 6(1)(a))", I1642="Not Captured"), "Gap - Invalid Consent", IF(AND(D1642="Legitimate Interest (GDPR Art. 6(1)(f))", L1642=""), "Gap - Missing LIA", IF(AND(G1642="Yes", H1642=""), "Gap - Missing Art. 9 Basis", IF(OR(I1642="Invalid - Not Freely Given", I1642="Invalid - Not Specific", I1642="Invalid - Not Informed", I1642="Invalid - Ambiguous"), "Gap - Invalid Consent", "Compliant")))))</f>
        <v/>
      </c>
      <c r="O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>
        <f>IF(D1643="Legitimate Interest (GDPR Art. 6(1)(f))", "Yes / Required (Sheet 3)", "")</f>
        <v/>
      </c>
      <c r="L1643" s="7" t="n"/>
      <c r="M1643" s="7" t="n"/>
      <c r="N1643">
        <f>IF(D1643="", "Gap - No Legal Basis", IF(AND(D1643="Consent (GDPR Art. 6(1)(a))", I1643="Not Captured"), "Gap - Invalid Consent", IF(AND(D1643="Legitimate Interest (GDPR Art. 6(1)(f))", L1643=""), "Gap - Missing LIA", IF(AND(G1643="Yes", H1643=""), "Gap - Missing Art. 9 Basis", IF(OR(I1643="Invalid - Not Freely Given", I1643="Invalid - Not Specific", I1643="Invalid - Not Informed", I1643="Invalid - Ambiguous"), "Gap - Invalid Consent", "Compliant")))))</f>
        <v/>
      </c>
      <c r="O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>
        <f>IF(D1644="Legitimate Interest (GDPR Art. 6(1)(f))", "Yes / Required (Sheet 3)", "")</f>
        <v/>
      </c>
      <c r="L1644" s="7" t="n"/>
      <c r="M1644" s="7" t="n"/>
      <c r="N1644">
        <f>IF(D1644="", "Gap - No Legal Basis", IF(AND(D1644="Consent (GDPR Art. 6(1)(a))", I1644="Not Captured"), "Gap - Invalid Consent", IF(AND(D1644="Legitimate Interest (GDPR Art. 6(1)(f))", L1644=""), "Gap - Missing LIA", IF(AND(G1644="Yes", H1644=""), "Gap - Missing Art. 9 Basis", IF(OR(I1644="Invalid - Not Freely Given", I1644="Invalid - Not Specific", I1644="Invalid - Not Informed", I1644="Invalid - Ambiguous"), "Gap - Invalid Consent", "Compliant")))))</f>
        <v/>
      </c>
      <c r="O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>
        <f>IF(D1645="Legitimate Interest (GDPR Art. 6(1)(f))", "Yes / Required (Sheet 3)", "")</f>
        <v/>
      </c>
      <c r="L1645" s="7" t="n"/>
      <c r="M1645" s="7" t="n"/>
      <c r="N1645">
        <f>IF(D1645="", "Gap - No Legal Basis", IF(AND(D1645="Consent (GDPR Art. 6(1)(a))", I1645="Not Captured"), "Gap - Invalid Consent", IF(AND(D1645="Legitimate Interest (GDPR Art. 6(1)(f))", L1645=""), "Gap - Missing LIA", IF(AND(G1645="Yes", H1645=""), "Gap - Missing Art. 9 Basis", IF(OR(I1645="Invalid - Not Freely Given", I1645="Invalid - Not Specific", I1645="Invalid - Not Informed", I1645="Invalid - Ambiguous"), "Gap - Invalid Consent", "Compliant")))))</f>
        <v/>
      </c>
      <c r="O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>
        <f>IF(D1646="Legitimate Interest (GDPR Art. 6(1)(f))", "Yes / Required (Sheet 3)", "")</f>
        <v/>
      </c>
      <c r="L1646" s="7" t="n"/>
      <c r="M1646" s="7" t="n"/>
      <c r="N1646">
        <f>IF(D1646="", "Gap - No Legal Basis", IF(AND(D1646="Consent (GDPR Art. 6(1)(a))", I1646="Not Captured"), "Gap - Invalid Consent", IF(AND(D1646="Legitimate Interest (GDPR Art. 6(1)(f))", L1646=""), "Gap - Missing LIA", IF(AND(G1646="Yes", H1646=""), "Gap - Missing Art. 9 Basis", IF(OR(I1646="Invalid - Not Freely Given", I1646="Invalid - Not Specific", I1646="Invalid - Not Informed", I1646="Invalid - Ambiguous"), "Gap - Invalid Consent", "Compliant")))))</f>
        <v/>
      </c>
      <c r="O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>
        <f>IF(D1647="Legitimate Interest (GDPR Art. 6(1)(f))", "Yes / Required (Sheet 3)", "")</f>
        <v/>
      </c>
      <c r="L1647" s="7" t="n"/>
      <c r="M1647" s="7" t="n"/>
      <c r="N1647">
        <f>IF(D1647="", "Gap - No Legal Basis", IF(AND(D1647="Consent (GDPR Art. 6(1)(a))", I1647="Not Captured"), "Gap - Invalid Consent", IF(AND(D1647="Legitimate Interest (GDPR Art. 6(1)(f))", L1647=""), "Gap - Missing LIA", IF(AND(G1647="Yes", H1647=""), "Gap - Missing Art. 9 Basis", IF(OR(I1647="Invalid - Not Freely Given", I1647="Invalid - Not Specific", I1647="Invalid - Not Informed", I1647="Invalid - Ambiguous"), "Gap - Invalid Consent", "Compliant")))))</f>
        <v/>
      </c>
      <c r="O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>
        <f>IF(D1648="Legitimate Interest (GDPR Art. 6(1)(f))", "Yes / Required (Sheet 3)", "")</f>
        <v/>
      </c>
      <c r="L1648" s="7" t="n"/>
      <c r="M1648" s="7" t="n"/>
      <c r="N1648">
        <f>IF(D1648="", "Gap - No Legal Basis", IF(AND(D1648="Consent (GDPR Art. 6(1)(a))", I1648="Not Captured"), "Gap - Invalid Consent", IF(AND(D1648="Legitimate Interest (GDPR Art. 6(1)(f))", L1648=""), "Gap - Missing LIA", IF(AND(G1648="Yes", H1648=""), "Gap - Missing Art. 9 Basis", IF(OR(I1648="Invalid - Not Freely Given", I1648="Invalid - Not Specific", I1648="Invalid - Not Informed", I1648="Invalid - Ambiguous"), "Gap - Invalid Consent", "Compliant")))))</f>
        <v/>
      </c>
      <c r="O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>
        <f>IF(D1649="Legitimate Interest (GDPR Art. 6(1)(f))", "Yes / Required (Sheet 3)", "")</f>
        <v/>
      </c>
      <c r="L1649" s="7" t="n"/>
      <c r="M1649" s="7" t="n"/>
      <c r="N1649">
        <f>IF(D1649="", "Gap - No Legal Basis", IF(AND(D1649="Consent (GDPR Art. 6(1)(a))", I1649="Not Captured"), "Gap - Invalid Consent", IF(AND(D1649="Legitimate Interest (GDPR Art. 6(1)(f))", L1649=""), "Gap - Missing LIA", IF(AND(G1649="Yes", H1649=""), "Gap - Missing Art. 9 Basis", IF(OR(I1649="Invalid - Not Freely Given", I1649="Invalid - Not Specific", I1649="Invalid - Not Informed", I1649="Invalid - Ambiguous"), "Gap - Invalid Consent", "Compliant")))))</f>
        <v/>
      </c>
      <c r="O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>
        <f>IF(D1650="Legitimate Interest (GDPR Art. 6(1)(f))", "Yes / Required (Sheet 3)", "")</f>
        <v/>
      </c>
      <c r="L1650" s="7" t="n"/>
      <c r="M1650" s="7" t="n"/>
      <c r="N1650">
        <f>IF(D1650="", "Gap - No Legal Basis", IF(AND(D1650="Consent (GDPR Art. 6(1)(a))", I1650="Not Captured"), "Gap - Invalid Consent", IF(AND(D1650="Legitimate Interest (GDPR Art. 6(1)(f))", L1650=""), "Gap - Missing LIA", IF(AND(G1650="Yes", H1650=""), "Gap - Missing Art. 9 Basis", IF(OR(I1650="Invalid - Not Freely Given", I1650="Invalid - Not Specific", I1650="Invalid - Not Informed", I1650="Invalid - Ambiguous"), "Gap - Invalid Consent", "Compliant")))))</f>
        <v/>
      </c>
      <c r="O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>
        <f>IF(D1651="Legitimate Interest (GDPR Art. 6(1)(f))", "Yes / Required (Sheet 3)", "")</f>
        <v/>
      </c>
      <c r="L1651" s="7" t="n"/>
      <c r="M1651" s="7" t="n"/>
      <c r="N1651">
        <f>IF(D1651="", "Gap - No Legal Basis", IF(AND(D1651="Consent (GDPR Art. 6(1)(a))", I1651="Not Captured"), "Gap - Invalid Consent", IF(AND(D1651="Legitimate Interest (GDPR Art. 6(1)(f))", L1651=""), "Gap - Missing LIA", IF(AND(G1651="Yes", H1651=""), "Gap - Missing Art. 9 Basis", IF(OR(I1651="Invalid - Not Freely Given", I1651="Invalid - Not Specific", I1651="Invalid - Not Informed", I1651="Invalid - Ambiguous"), "Gap - Invalid Consent", "Compliant")))))</f>
        <v/>
      </c>
      <c r="O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>
        <f>IF(D1652="Legitimate Interest (GDPR Art. 6(1)(f))", "Yes / Required (Sheet 3)", "")</f>
        <v/>
      </c>
      <c r="L1652" s="7" t="n"/>
      <c r="M1652" s="7" t="n"/>
      <c r="N1652">
        <f>IF(D1652="", "Gap - No Legal Basis", IF(AND(D1652="Consent (GDPR Art. 6(1)(a))", I1652="Not Captured"), "Gap - Invalid Consent", IF(AND(D1652="Legitimate Interest (GDPR Art. 6(1)(f))", L1652=""), "Gap - Missing LIA", IF(AND(G1652="Yes", H1652=""), "Gap - Missing Art. 9 Basis", IF(OR(I1652="Invalid - Not Freely Given", I1652="Invalid - Not Specific", I1652="Invalid - Not Informed", I1652="Invalid - Ambiguous"), "Gap - Invalid Consent", "Compliant")))))</f>
        <v/>
      </c>
      <c r="O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>
        <f>IF(D1653="Legitimate Interest (GDPR Art. 6(1)(f))", "Yes / Required (Sheet 3)", "")</f>
        <v/>
      </c>
      <c r="L1653" s="7" t="n"/>
      <c r="M1653" s="7" t="n"/>
      <c r="N1653">
        <f>IF(D1653="", "Gap - No Legal Basis", IF(AND(D1653="Consent (GDPR Art. 6(1)(a))", I1653="Not Captured"), "Gap - Invalid Consent", IF(AND(D1653="Legitimate Interest (GDPR Art. 6(1)(f))", L1653=""), "Gap - Missing LIA", IF(AND(G1653="Yes", H1653=""), "Gap - Missing Art. 9 Basis", IF(OR(I1653="Invalid - Not Freely Given", I1653="Invalid - Not Specific", I1653="Invalid - Not Informed", I1653="Invalid - Ambiguous"), "Gap - Invalid Consent", "Compliant")))))</f>
        <v/>
      </c>
      <c r="O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>
        <f>IF(D1654="Legitimate Interest (GDPR Art. 6(1)(f))", "Yes / Required (Sheet 3)", "")</f>
        <v/>
      </c>
      <c r="L1654" s="7" t="n"/>
      <c r="M1654" s="7" t="n"/>
      <c r="N1654">
        <f>IF(D1654="", "Gap - No Legal Basis", IF(AND(D1654="Consent (GDPR Art. 6(1)(a))", I1654="Not Captured"), "Gap - Invalid Consent", IF(AND(D1654="Legitimate Interest (GDPR Art. 6(1)(f))", L1654=""), "Gap - Missing LIA", IF(AND(G1654="Yes", H1654=""), "Gap - Missing Art. 9 Basis", IF(OR(I1654="Invalid - Not Freely Given", I1654="Invalid - Not Specific", I1654="Invalid - Not Informed", I1654="Invalid - Ambiguous"), "Gap - Invalid Consent", "Compliant")))))</f>
        <v/>
      </c>
      <c r="O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>
        <f>IF(D1655="Legitimate Interest (GDPR Art. 6(1)(f))", "Yes / Required (Sheet 3)", "")</f>
        <v/>
      </c>
      <c r="L1655" s="7" t="n"/>
      <c r="M1655" s="7" t="n"/>
      <c r="N1655">
        <f>IF(D1655="", "Gap - No Legal Basis", IF(AND(D1655="Consent (GDPR Art. 6(1)(a))", I1655="Not Captured"), "Gap - Invalid Consent", IF(AND(D1655="Legitimate Interest (GDPR Art. 6(1)(f))", L1655=""), "Gap - Missing LIA", IF(AND(G1655="Yes", H1655=""), "Gap - Missing Art. 9 Basis", IF(OR(I1655="Invalid - Not Freely Given", I1655="Invalid - Not Specific", I1655="Invalid - Not Informed", I1655="Invalid - Ambiguous"), "Gap - Invalid Consent", "Compliant")))))</f>
        <v/>
      </c>
      <c r="O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>
        <f>IF(D1656="Legitimate Interest (GDPR Art. 6(1)(f))", "Yes / Required (Sheet 3)", "")</f>
        <v/>
      </c>
      <c r="L1656" s="7" t="n"/>
      <c r="M1656" s="7" t="n"/>
      <c r="N1656">
        <f>IF(D1656="", "Gap - No Legal Basis", IF(AND(D1656="Consent (GDPR Art. 6(1)(a))", I1656="Not Captured"), "Gap - Invalid Consent", IF(AND(D1656="Legitimate Interest (GDPR Art. 6(1)(f))", L1656=""), "Gap - Missing LIA", IF(AND(G1656="Yes", H1656=""), "Gap - Missing Art. 9 Basis", IF(OR(I1656="Invalid - Not Freely Given", I1656="Invalid - Not Specific", I1656="Invalid - Not Informed", I1656="Invalid - Ambiguous"), "Gap - Invalid Consent", "Compliant")))))</f>
        <v/>
      </c>
      <c r="O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>
        <f>IF(D1657="Legitimate Interest (GDPR Art. 6(1)(f))", "Yes / Required (Sheet 3)", "")</f>
        <v/>
      </c>
      <c r="L1657" s="7" t="n"/>
      <c r="M1657" s="7" t="n"/>
      <c r="N1657">
        <f>IF(D1657="", "Gap - No Legal Basis", IF(AND(D1657="Consent (GDPR Art. 6(1)(a))", I1657="Not Captured"), "Gap - Invalid Consent", IF(AND(D1657="Legitimate Interest (GDPR Art. 6(1)(f))", L1657=""), "Gap - Missing LIA", IF(AND(G1657="Yes", H1657=""), "Gap - Missing Art. 9 Basis", IF(OR(I1657="Invalid - Not Freely Given", I1657="Invalid - Not Specific", I1657="Invalid - Not Informed", I1657="Invalid - Ambiguous"), "Gap - Invalid Consent", "Compliant")))))</f>
        <v/>
      </c>
      <c r="O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>
        <f>IF(D1658="Legitimate Interest (GDPR Art. 6(1)(f))", "Yes / Required (Sheet 3)", "")</f>
        <v/>
      </c>
      <c r="L1658" s="7" t="n"/>
      <c r="M1658" s="7" t="n"/>
      <c r="N1658">
        <f>IF(D1658="", "Gap - No Legal Basis", IF(AND(D1658="Consent (GDPR Art. 6(1)(a))", I1658="Not Captured"), "Gap - Invalid Consent", IF(AND(D1658="Legitimate Interest (GDPR Art. 6(1)(f))", L1658=""), "Gap - Missing LIA", IF(AND(G1658="Yes", H1658=""), "Gap - Missing Art. 9 Basis", IF(OR(I1658="Invalid - Not Freely Given", I1658="Invalid - Not Specific", I1658="Invalid - Not Informed", I1658="Invalid - Ambiguous"), "Gap - Invalid Consent", "Compliant")))))</f>
        <v/>
      </c>
      <c r="O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>
        <f>IF(D1659="Legitimate Interest (GDPR Art. 6(1)(f))", "Yes / Required (Sheet 3)", "")</f>
        <v/>
      </c>
      <c r="L1659" s="7" t="n"/>
      <c r="M1659" s="7" t="n"/>
      <c r="N1659">
        <f>IF(D1659="", "Gap - No Legal Basis", IF(AND(D1659="Consent (GDPR Art. 6(1)(a))", I1659="Not Captured"), "Gap - Invalid Consent", IF(AND(D1659="Legitimate Interest (GDPR Art. 6(1)(f))", L1659=""), "Gap - Missing LIA", IF(AND(G1659="Yes", H1659=""), "Gap - Missing Art. 9 Basis", IF(OR(I1659="Invalid - Not Freely Given", I1659="Invalid - Not Specific", I1659="Invalid - Not Informed", I1659="Invalid - Ambiguous"), "Gap - Invalid Consent", "Compliant")))))</f>
        <v/>
      </c>
      <c r="O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>
        <f>IF(D1660="Legitimate Interest (GDPR Art. 6(1)(f))", "Yes / Required (Sheet 3)", "")</f>
        <v/>
      </c>
      <c r="L1660" s="7" t="n"/>
      <c r="M1660" s="7" t="n"/>
      <c r="N1660">
        <f>IF(D1660="", "Gap - No Legal Basis", IF(AND(D1660="Consent (GDPR Art. 6(1)(a))", I1660="Not Captured"), "Gap - Invalid Consent", IF(AND(D1660="Legitimate Interest (GDPR Art. 6(1)(f))", L1660=""), "Gap - Missing LIA", IF(AND(G1660="Yes", H1660=""), "Gap - Missing Art. 9 Basis", IF(OR(I1660="Invalid - Not Freely Given", I1660="Invalid - Not Specific", I1660="Invalid - Not Informed", I1660="Invalid - Ambiguous"), "Gap - Invalid Consent", "Compliant")))))</f>
        <v/>
      </c>
      <c r="O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>
        <f>IF(D1661="Legitimate Interest (GDPR Art. 6(1)(f))", "Yes / Required (Sheet 3)", "")</f>
        <v/>
      </c>
      <c r="L1661" s="7" t="n"/>
      <c r="M1661" s="7" t="n"/>
      <c r="N1661">
        <f>IF(D1661="", "Gap - No Legal Basis", IF(AND(D1661="Consent (GDPR Art. 6(1)(a))", I1661="Not Captured"), "Gap - Invalid Consent", IF(AND(D1661="Legitimate Interest (GDPR Art. 6(1)(f))", L1661=""), "Gap - Missing LIA", IF(AND(G1661="Yes", H1661=""), "Gap - Missing Art. 9 Basis", IF(OR(I1661="Invalid - Not Freely Given", I1661="Invalid - Not Specific", I1661="Invalid - Not Informed", I1661="Invalid - Ambiguous"), "Gap - Invalid Consent", "Compliant")))))</f>
        <v/>
      </c>
      <c r="O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>
        <f>IF(D1662="Legitimate Interest (GDPR Art. 6(1)(f))", "Yes / Required (Sheet 3)", "")</f>
        <v/>
      </c>
      <c r="L1662" s="7" t="n"/>
      <c r="M1662" s="7" t="n"/>
      <c r="N1662">
        <f>IF(D1662="", "Gap - No Legal Basis", IF(AND(D1662="Consent (GDPR Art. 6(1)(a))", I1662="Not Captured"), "Gap - Invalid Consent", IF(AND(D1662="Legitimate Interest (GDPR Art. 6(1)(f))", L1662=""), "Gap - Missing LIA", IF(AND(G1662="Yes", H1662=""), "Gap - Missing Art. 9 Basis", IF(OR(I1662="Invalid - Not Freely Given", I1662="Invalid - Not Specific", I1662="Invalid - Not Informed", I1662="Invalid - Ambiguous"), "Gap - Invalid Consent", "Compliant")))))</f>
        <v/>
      </c>
      <c r="O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>
        <f>IF(D1663="Legitimate Interest (GDPR Art. 6(1)(f))", "Yes / Required (Sheet 3)", "")</f>
        <v/>
      </c>
      <c r="L1663" s="7" t="n"/>
      <c r="M1663" s="7" t="n"/>
      <c r="N1663">
        <f>IF(D1663="", "Gap - No Legal Basis", IF(AND(D1663="Consent (GDPR Art. 6(1)(a))", I1663="Not Captured"), "Gap - Invalid Consent", IF(AND(D1663="Legitimate Interest (GDPR Art. 6(1)(f))", L1663=""), "Gap - Missing LIA", IF(AND(G1663="Yes", H1663=""), "Gap - Missing Art. 9 Basis", IF(OR(I1663="Invalid - Not Freely Given", I1663="Invalid - Not Specific", I1663="Invalid - Not Informed", I1663="Invalid - Ambiguous"), "Gap - Invalid Consent", "Compliant")))))</f>
        <v/>
      </c>
      <c r="O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>
        <f>IF(D1664="Legitimate Interest (GDPR Art. 6(1)(f))", "Yes / Required (Sheet 3)", "")</f>
        <v/>
      </c>
      <c r="L1664" s="7" t="n"/>
      <c r="M1664" s="7" t="n"/>
      <c r="N1664">
        <f>IF(D1664="", "Gap - No Legal Basis", IF(AND(D1664="Consent (GDPR Art. 6(1)(a))", I1664="Not Captured"), "Gap - Invalid Consent", IF(AND(D1664="Legitimate Interest (GDPR Art. 6(1)(f))", L1664=""), "Gap - Missing LIA", IF(AND(G1664="Yes", H1664=""), "Gap - Missing Art. 9 Basis", IF(OR(I1664="Invalid - Not Freely Given", I1664="Invalid - Not Specific", I1664="Invalid - Not Informed", I1664="Invalid - Ambiguous"), "Gap - Invalid Consent", "Compliant")))))</f>
        <v/>
      </c>
      <c r="O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>
        <f>IF(D1665="Legitimate Interest (GDPR Art. 6(1)(f))", "Yes / Required (Sheet 3)", "")</f>
        <v/>
      </c>
      <c r="L1665" s="7" t="n"/>
      <c r="M1665" s="7" t="n"/>
      <c r="N1665">
        <f>IF(D1665="", "Gap - No Legal Basis", IF(AND(D1665="Consent (GDPR Art. 6(1)(a))", I1665="Not Captured"), "Gap - Invalid Consent", IF(AND(D1665="Legitimate Interest (GDPR Art. 6(1)(f))", L1665=""), "Gap - Missing LIA", IF(AND(G1665="Yes", H1665=""), "Gap - Missing Art. 9 Basis", IF(OR(I1665="Invalid - Not Freely Given", I1665="Invalid - Not Specific", I1665="Invalid - Not Informed", I1665="Invalid - Ambiguous"), "Gap - Invalid Consent", "Compliant")))))</f>
        <v/>
      </c>
      <c r="O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>
        <f>IF(D1666="Legitimate Interest (GDPR Art. 6(1)(f))", "Yes / Required (Sheet 3)", "")</f>
        <v/>
      </c>
      <c r="L1666" s="7" t="n"/>
      <c r="M1666" s="7" t="n"/>
      <c r="N1666">
        <f>IF(D1666="", "Gap - No Legal Basis", IF(AND(D1666="Consent (GDPR Art. 6(1)(a))", I1666="Not Captured"), "Gap - Invalid Consent", IF(AND(D1666="Legitimate Interest (GDPR Art. 6(1)(f))", L1666=""), "Gap - Missing LIA", IF(AND(G1666="Yes", H1666=""), "Gap - Missing Art. 9 Basis", IF(OR(I1666="Invalid - Not Freely Given", I1666="Invalid - Not Specific", I1666="Invalid - Not Informed", I1666="Invalid - Ambiguous"), "Gap - Invalid Consent", "Compliant")))))</f>
        <v/>
      </c>
      <c r="O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>
        <f>IF(D1667="Legitimate Interest (GDPR Art. 6(1)(f))", "Yes / Required (Sheet 3)", "")</f>
        <v/>
      </c>
      <c r="L1667" s="7" t="n"/>
      <c r="M1667" s="7" t="n"/>
      <c r="N1667">
        <f>IF(D1667="", "Gap - No Legal Basis", IF(AND(D1667="Consent (GDPR Art. 6(1)(a))", I1667="Not Captured"), "Gap - Invalid Consent", IF(AND(D1667="Legitimate Interest (GDPR Art. 6(1)(f))", L1667=""), "Gap - Missing LIA", IF(AND(G1667="Yes", H1667=""), "Gap - Missing Art. 9 Basis", IF(OR(I1667="Invalid - Not Freely Given", I1667="Invalid - Not Specific", I1667="Invalid - Not Informed", I1667="Invalid - Ambiguous"), "Gap - Invalid Consent", "Compliant")))))</f>
        <v/>
      </c>
      <c r="O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>
        <f>IF(D1668="Legitimate Interest (GDPR Art. 6(1)(f))", "Yes / Required (Sheet 3)", "")</f>
        <v/>
      </c>
      <c r="L1668" s="7" t="n"/>
      <c r="M1668" s="7" t="n"/>
      <c r="N1668">
        <f>IF(D1668="", "Gap - No Legal Basis", IF(AND(D1668="Consent (GDPR Art. 6(1)(a))", I1668="Not Captured"), "Gap - Invalid Consent", IF(AND(D1668="Legitimate Interest (GDPR Art. 6(1)(f))", L1668=""), "Gap - Missing LIA", IF(AND(G1668="Yes", H1668=""), "Gap - Missing Art. 9 Basis", IF(OR(I1668="Invalid - Not Freely Given", I1668="Invalid - Not Specific", I1668="Invalid - Not Informed", I1668="Invalid - Ambiguous"), "Gap - Invalid Consent", "Compliant")))))</f>
        <v/>
      </c>
      <c r="O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>
        <f>IF(D1669="Legitimate Interest (GDPR Art. 6(1)(f))", "Yes / Required (Sheet 3)", "")</f>
        <v/>
      </c>
      <c r="L1669" s="7" t="n"/>
      <c r="M1669" s="7" t="n"/>
      <c r="N1669">
        <f>IF(D1669="", "Gap - No Legal Basis", IF(AND(D1669="Consent (GDPR Art. 6(1)(a))", I1669="Not Captured"), "Gap - Invalid Consent", IF(AND(D1669="Legitimate Interest (GDPR Art. 6(1)(f))", L1669=""), "Gap - Missing LIA", IF(AND(G1669="Yes", H1669=""), "Gap - Missing Art. 9 Basis", IF(OR(I1669="Invalid - Not Freely Given", I1669="Invalid - Not Specific", I1669="Invalid - Not Informed", I1669="Invalid - Ambiguous"), "Gap - Invalid Consent", "Compliant")))))</f>
        <v/>
      </c>
      <c r="O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>
        <f>IF(D1670="Legitimate Interest (GDPR Art. 6(1)(f))", "Yes / Required (Sheet 3)", "")</f>
        <v/>
      </c>
      <c r="L1670" s="7" t="n"/>
      <c r="M1670" s="7" t="n"/>
      <c r="N1670">
        <f>IF(D1670="", "Gap - No Legal Basis", IF(AND(D1670="Consent (GDPR Art. 6(1)(a))", I1670="Not Captured"), "Gap - Invalid Consent", IF(AND(D1670="Legitimate Interest (GDPR Art. 6(1)(f))", L1670=""), "Gap - Missing LIA", IF(AND(G1670="Yes", H1670=""), "Gap - Missing Art. 9 Basis", IF(OR(I1670="Invalid - Not Freely Given", I1670="Invalid - Not Specific", I1670="Invalid - Not Informed", I1670="Invalid - Ambiguous"), "Gap - Invalid Consent", "Compliant")))))</f>
        <v/>
      </c>
      <c r="O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>
        <f>IF(D1671="Legitimate Interest (GDPR Art. 6(1)(f))", "Yes / Required (Sheet 3)", "")</f>
        <v/>
      </c>
      <c r="L1671" s="7" t="n"/>
      <c r="M1671" s="7" t="n"/>
      <c r="N1671">
        <f>IF(D1671="", "Gap - No Legal Basis", IF(AND(D1671="Consent (GDPR Art. 6(1)(a))", I1671="Not Captured"), "Gap - Invalid Consent", IF(AND(D1671="Legitimate Interest (GDPR Art. 6(1)(f))", L1671=""), "Gap - Missing LIA", IF(AND(G1671="Yes", H1671=""), "Gap - Missing Art. 9 Basis", IF(OR(I1671="Invalid - Not Freely Given", I1671="Invalid - Not Specific", I1671="Invalid - Not Informed", I1671="Invalid - Ambiguous"), "Gap - Invalid Consent", "Compliant")))))</f>
        <v/>
      </c>
      <c r="O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>
        <f>IF(D1672="Legitimate Interest (GDPR Art. 6(1)(f))", "Yes / Required (Sheet 3)", "")</f>
        <v/>
      </c>
      <c r="L1672" s="7" t="n"/>
      <c r="M1672" s="7" t="n"/>
      <c r="N1672">
        <f>IF(D1672="", "Gap - No Legal Basis", IF(AND(D1672="Consent (GDPR Art. 6(1)(a))", I1672="Not Captured"), "Gap - Invalid Consent", IF(AND(D1672="Legitimate Interest (GDPR Art. 6(1)(f))", L1672=""), "Gap - Missing LIA", IF(AND(G1672="Yes", H1672=""), "Gap - Missing Art. 9 Basis", IF(OR(I1672="Invalid - Not Freely Given", I1672="Invalid - Not Specific", I1672="Invalid - Not Informed", I1672="Invalid - Ambiguous"), "Gap - Invalid Consent", "Compliant")))))</f>
        <v/>
      </c>
      <c r="O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>
        <f>IF(D1673="Legitimate Interest (GDPR Art. 6(1)(f))", "Yes / Required (Sheet 3)", "")</f>
        <v/>
      </c>
      <c r="L1673" s="7" t="n"/>
      <c r="M1673" s="7" t="n"/>
      <c r="N1673">
        <f>IF(D1673="", "Gap - No Legal Basis", IF(AND(D1673="Consent (GDPR Art. 6(1)(a))", I1673="Not Captured"), "Gap - Invalid Consent", IF(AND(D1673="Legitimate Interest (GDPR Art. 6(1)(f))", L1673=""), "Gap - Missing LIA", IF(AND(G1673="Yes", H1673=""), "Gap - Missing Art. 9 Basis", IF(OR(I1673="Invalid - Not Freely Given", I1673="Invalid - Not Specific", I1673="Invalid - Not Informed", I1673="Invalid - Ambiguous"), "Gap - Invalid Consent", "Compliant")))))</f>
        <v/>
      </c>
      <c r="O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>
        <f>IF(D1674="Legitimate Interest (GDPR Art. 6(1)(f))", "Yes / Required (Sheet 3)", "")</f>
        <v/>
      </c>
      <c r="L1674" s="7" t="n"/>
      <c r="M1674" s="7" t="n"/>
      <c r="N1674">
        <f>IF(D1674="", "Gap - No Legal Basis", IF(AND(D1674="Consent (GDPR Art. 6(1)(a))", I1674="Not Captured"), "Gap - Invalid Consent", IF(AND(D1674="Legitimate Interest (GDPR Art. 6(1)(f))", L1674=""), "Gap - Missing LIA", IF(AND(G1674="Yes", H1674=""), "Gap - Missing Art. 9 Basis", IF(OR(I1674="Invalid - Not Freely Given", I1674="Invalid - Not Specific", I1674="Invalid - Not Informed", I1674="Invalid - Ambiguous"), "Gap - Invalid Consent", "Compliant")))))</f>
        <v/>
      </c>
      <c r="O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>
        <f>IF(D1675="Legitimate Interest (GDPR Art. 6(1)(f))", "Yes / Required (Sheet 3)", "")</f>
        <v/>
      </c>
      <c r="L1675" s="7" t="n"/>
      <c r="M1675" s="7" t="n"/>
      <c r="N1675">
        <f>IF(D1675="", "Gap - No Legal Basis", IF(AND(D1675="Consent (GDPR Art. 6(1)(a))", I1675="Not Captured"), "Gap - Invalid Consent", IF(AND(D1675="Legitimate Interest (GDPR Art. 6(1)(f))", L1675=""), "Gap - Missing LIA", IF(AND(G1675="Yes", H1675=""), "Gap - Missing Art. 9 Basis", IF(OR(I1675="Invalid - Not Freely Given", I1675="Invalid - Not Specific", I1675="Invalid - Not Informed", I1675="Invalid - Ambiguous"), "Gap - Invalid Consent", "Compliant")))))</f>
        <v/>
      </c>
      <c r="O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>
        <f>IF(D1676="Legitimate Interest (GDPR Art. 6(1)(f))", "Yes / Required (Sheet 3)", "")</f>
        <v/>
      </c>
      <c r="L1676" s="7" t="n"/>
      <c r="M1676" s="7" t="n"/>
      <c r="N1676">
        <f>IF(D1676="", "Gap - No Legal Basis", IF(AND(D1676="Consent (GDPR Art. 6(1)(a))", I1676="Not Captured"), "Gap - Invalid Consent", IF(AND(D1676="Legitimate Interest (GDPR Art. 6(1)(f))", L1676=""), "Gap - Missing LIA", IF(AND(G1676="Yes", H1676=""), "Gap - Missing Art. 9 Basis", IF(OR(I1676="Invalid - Not Freely Given", I1676="Invalid - Not Specific", I1676="Invalid - Not Informed", I1676="Invalid - Ambiguous"), "Gap - Invalid Consent", "Compliant")))))</f>
        <v/>
      </c>
      <c r="O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>
        <f>IF(D1677="Legitimate Interest (GDPR Art. 6(1)(f))", "Yes / Required (Sheet 3)", "")</f>
        <v/>
      </c>
      <c r="L1677" s="7" t="n"/>
      <c r="M1677" s="7" t="n"/>
      <c r="N1677">
        <f>IF(D1677="", "Gap - No Legal Basis", IF(AND(D1677="Consent (GDPR Art. 6(1)(a))", I1677="Not Captured"), "Gap - Invalid Consent", IF(AND(D1677="Legitimate Interest (GDPR Art. 6(1)(f))", L1677=""), "Gap - Missing LIA", IF(AND(G1677="Yes", H1677=""), "Gap - Missing Art. 9 Basis", IF(OR(I1677="Invalid - Not Freely Given", I1677="Invalid - Not Specific", I1677="Invalid - Not Informed", I1677="Invalid - Ambiguous"), "Gap - Invalid Consent", "Compliant")))))</f>
        <v/>
      </c>
      <c r="O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>
        <f>IF(D1678="Legitimate Interest (GDPR Art. 6(1)(f))", "Yes / Required (Sheet 3)", "")</f>
        <v/>
      </c>
      <c r="L1678" s="7" t="n"/>
      <c r="M1678" s="7" t="n"/>
      <c r="N1678">
        <f>IF(D1678="", "Gap - No Legal Basis", IF(AND(D1678="Consent (GDPR Art. 6(1)(a))", I1678="Not Captured"), "Gap - Invalid Consent", IF(AND(D1678="Legitimate Interest (GDPR Art. 6(1)(f))", L1678=""), "Gap - Missing LIA", IF(AND(G1678="Yes", H1678=""), "Gap - Missing Art. 9 Basis", IF(OR(I1678="Invalid - Not Freely Given", I1678="Invalid - Not Specific", I1678="Invalid - Not Informed", I1678="Invalid - Ambiguous"), "Gap - Invalid Consent", "Compliant")))))</f>
        <v/>
      </c>
      <c r="O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>
        <f>IF(D1679="Legitimate Interest (GDPR Art. 6(1)(f))", "Yes / Required (Sheet 3)", "")</f>
        <v/>
      </c>
      <c r="L1679" s="7" t="n"/>
      <c r="M1679" s="7" t="n"/>
      <c r="N1679">
        <f>IF(D1679="", "Gap - No Legal Basis", IF(AND(D1679="Consent (GDPR Art. 6(1)(a))", I1679="Not Captured"), "Gap - Invalid Consent", IF(AND(D1679="Legitimate Interest (GDPR Art. 6(1)(f))", L1679=""), "Gap - Missing LIA", IF(AND(G1679="Yes", H1679=""), "Gap - Missing Art. 9 Basis", IF(OR(I1679="Invalid - Not Freely Given", I1679="Invalid - Not Specific", I1679="Invalid - Not Informed", I1679="Invalid - Ambiguous"), "Gap - Invalid Consent", "Compliant")))))</f>
        <v/>
      </c>
      <c r="O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>
        <f>IF(D1680="Legitimate Interest (GDPR Art. 6(1)(f))", "Yes / Required (Sheet 3)", "")</f>
        <v/>
      </c>
      <c r="L1680" s="7" t="n"/>
      <c r="M1680" s="7" t="n"/>
      <c r="N1680">
        <f>IF(D1680="", "Gap - No Legal Basis", IF(AND(D1680="Consent (GDPR Art. 6(1)(a))", I1680="Not Captured"), "Gap - Invalid Consent", IF(AND(D1680="Legitimate Interest (GDPR Art. 6(1)(f))", L1680=""), "Gap - Missing LIA", IF(AND(G1680="Yes", H1680=""), "Gap - Missing Art. 9 Basis", IF(OR(I1680="Invalid - Not Freely Given", I1680="Invalid - Not Specific", I1680="Invalid - Not Informed", I1680="Invalid - Ambiguous"), "Gap - Invalid Consent", "Compliant")))))</f>
        <v/>
      </c>
      <c r="O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>
        <f>IF(D1681="Legitimate Interest (GDPR Art. 6(1)(f))", "Yes / Required (Sheet 3)", "")</f>
        <v/>
      </c>
      <c r="L1681" s="7" t="n"/>
      <c r="M1681" s="7" t="n"/>
      <c r="N1681">
        <f>IF(D1681="", "Gap - No Legal Basis", IF(AND(D1681="Consent (GDPR Art. 6(1)(a))", I1681="Not Captured"), "Gap - Invalid Consent", IF(AND(D1681="Legitimate Interest (GDPR Art. 6(1)(f))", L1681=""), "Gap - Missing LIA", IF(AND(G1681="Yes", H1681=""), "Gap - Missing Art. 9 Basis", IF(OR(I1681="Invalid - Not Freely Given", I1681="Invalid - Not Specific", I1681="Invalid - Not Informed", I1681="Invalid - Ambiguous"), "Gap - Invalid Consent", "Compliant")))))</f>
        <v/>
      </c>
      <c r="O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>
        <f>IF(D1682="Legitimate Interest (GDPR Art. 6(1)(f))", "Yes / Required (Sheet 3)", "")</f>
        <v/>
      </c>
      <c r="L1682" s="7" t="n"/>
      <c r="M1682" s="7" t="n"/>
      <c r="N1682">
        <f>IF(D1682="", "Gap - No Legal Basis", IF(AND(D1682="Consent (GDPR Art. 6(1)(a))", I1682="Not Captured"), "Gap - Invalid Consent", IF(AND(D1682="Legitimate Interest (GDPR Art. 6(1)(f))", L1682=""), "Gap - Missing LIA", IF(AND(G1682="Yes", H1682=""), "Gap - Missing Art. 9 Basis", IF(OR(I1682="Invalid - Not Freely Given", I1682="Invalid - Not Specific", I1682="Invalid - Not Informed", I1682="Invalid - Ambiguous"), "Gap - Invalid Consent", "Compliant")))))</f>
        <v/>
      </c>
      <c r="O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>
        <f>IF(D1683="Legitimate Interest (GDPR Art. 6(1)(f))", "Yes / Required (Sheet 3)", "")</f>
        <v/>
      </c>
      <c r="L1683" s="7" t="n"/>
      <c r="M1683" s="7" t="n"/>
      <c r="N1683">
        <f>IF(D1683="", "Gap - No Legal Basis", IF(AND(D1683="Consent (GDPR Art. 6(1)(a))", I1683="Not Captured"), "Gap - Invalid Consent", IF(AND(D1683="Legitimate Interest (GDPR Art. 6(1)(f))", L1683=""), "Gap - Missing LIA", IF(AND(G1683="Yes", H1683=""), "Gap - Missing Art. 9 Basis", IF(OR(I1683="Invalid - Not Freely Given", I1683="Invalid - Not Specific", I1683="Invalid - Not Informed", I1683="Invalid - Ambiguous"), "Gap - Invalid Consent", "Compliant")))))</f>
        <v/>
      </c>
      <c r="O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>
        <f>IF(D1684="Legitimate Interest (GDPR Art. 6(1)(f))", "Yes / Required (Sheet 3)", "")</f>
        <v/>
      </c>
      <c r="L1684" s="7" t="n"/>
      <c r="M1684" s="7" t="n"/>
      <c r="N1684">
        <f>IF(D1684="", "Gap - No Legal Basis", IF(AND(D1684="Consent (GDPR Art. 6(1)(a))", I1684="Not Captured"), "Gap - Invalid Consent", IF(AND(D1684="Legitimate Interest (GDPR Art. 6(1)(f))", L1684=""), "Gap - Missing LIA", IF(AND(G1684="Yes", H1684=""), "Gap - Missing Art. 9 Basis", IF(OR(I1684="Invalid - Not Freely Given", I1684="Invalid - Not Specific", I1684="Invalid - Not Informed", I1684="Invalid - Ambiguous"), "Gap - Invalid Consent", "Compliant")))))</f>
        <v/>
      </c>
      <c r="O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>
        <f>IF(D1685="Legitimate Interest (GDPR Art. 6(1)(f))", "Yes / Required (Sheet 3)", "")</f>
        <v/>
      </c>
      <c r="L1685" s="7" t="n"/>
      <c r="M1685" s="7" t="n"/>
      <c r="N1685">
        <f>IF(D1685="", "Gap - No Legal Basis", IF(AND(D1685="Consent (GDPR Art. 6(1)(a))", I1685="Not Captured"), "Gap - Invalid Consent", IF(AND(D1685="Legitimate Interest (GDPR Art. 6(1)(f))", L1685=""), "Gap - Missing LIA", IF(AND(G1685="Yes", H1685=""), "Gap - Missing Art. 9 Basis", IF(OR(I1685="Invalid - Not Freely Given", I1685="Invalid - Not Specific", I1685="Invalid - Not Informed", I1685="Invalid - Ambiguous"), "Gap - Invalid Consent", "Compliant")))))</f>
        <v/>
      </c>
      <c r="O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>
        <f>IF(D1686="Legitimate Interest (GDPR Art. 6(1)(f))", "Yes / Required (Sheet 3)", "")</f>
        <v/>
      </c>
      <c r="L1686" s="7" t="n"/>
      <c r="M1686" s="7" t="n"/>
      <c r="N1686">
        <f>IF(D1686="", "Gap - No Legal Basis", IF(AND(D1686="Consent (GDPR Art. 6(1)(a))", I1686="Not Captured"), "Gap - Invalid Consent", IF(AND(D1686="Legitimate Interest (GDPR Art. 6(1)(f))", L1686=""), "Gap - Missing LIA", IF(AND(G1686="Yes", H1686=""), "Gap - Missing Art. 9 Basis", IF(OR(I1686="Invalid - Not Freely Given", I1686="Invalid - Not Specific", I1686="Invalid - Not Informed", I1686="Invalid - Ambiguous"), "Gap - Invalid Consent", "Compliant")))))</f>
        <v/>
      </c>
      <c r="O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>
        <f>IF(D1687="Legitimate Interest (GDPR Art. 6(1)(f))", "Yes / Required (Sheet 3)", "")</f>
        <v/>
      </c>
      <c r="L1687" s="7" t="n"/>
      <c r="M1687" s="7" t="n"/>
      <c r="N1687">
        <f>IF(D1687="", "Gap - No Legal Basis", IF(AND(D1687="Consent (GDPR Art. 6(1)(a))", I1687="Not Captured"), "Gap - Invalid Consent", IF(AND(D1687="Legitimate Interest (GDPR Art. 6(1)(f))", L1687=""), "Gap - Missing LIA", IF(AND(G1687="Yes", H1687=""), "Gap - Missing Art. 9 Basis", IF(OR(I1687="Invalid - Not Freely Given", I1687="Invalid - Not Specific", I1687="Invalid - Not Informed", I1687="Invalid - Ambiguous"), "Gap - Invalid Consent", "Compliant")))))</f>
        <v/>
      </c>
      <c r="O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>
        <f>IF(D1688="Legitimate Interest (GDPR Art. 6(1)(f))", "Yes / Required (Sheet 3)", "")</f>
        <v/>
      </c>
      <c r="L1688" s="7" t="n"/>
      <c r="M1688" s="7" t="n"/>
      <c r="N1688">
        <f>IF(D1688="", "Gap - No Legal Basis", IF(AND(D1688="Consent (GDPR Art. 6(1)(a))", I1688="Not Captured"), "Gap - Invalid Consent", IF(AND(D1688="Legitimate Interest (GDPR Art. 6(1)(f))", L1688=""), "Gap - Missing LIA", IF(AND(G1688="Yes", H1688=""), "Gap - Missing Art. 9 Basis", IF(OR(I1688="Invalid - Not Freely Given", I1688="Invalid - Not Specific", I1688="Invalid - Not Informed", I1688="Invalid - Ambiguous"), "Gap - Invalid Consent", "Compliant")))))</f>
        <v/>
      </c>
      <c r="O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>
        <f>IF(D1689="Legitimate Interest (GDPR Art. 6(1)(f))", "Yes / Required (Sheet 3)", "")</f>
        <v/>
      </c>
      <c r="L1689" s="7" t="n"/>
      <c r="M1689" s="7" t="n"/>
      <c r="N1689">
        <f>IF(D1689="", "Gap - No Legal Basis", IF(AND(D1689="Consent (GDPR Art. 6(1)(a))", I1689="Not Captured"), "Gap - Invalid Consent", IF(AND(D1689="Legitimate Interest (GDPR Art. 6(1)(f))", L1689=""), "Gap - Missing LIA", IF(AND(G1689="Yes", H1689=""), "Gap - Missing Art. 9 Basis", IF(OR(I1689="Invalid - Not Freely Given", I1689="Invalid - Not Specific", I1689="Invalid - Not Informed", I1689="Invalid - Ambiguous"), "Gap - Invalid Consent", "Compliant")))))</f>
        <v/>
      </c>
      <c r="O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>
        <f>IF(D1690="Legitimate Interest (GDPR Art. 6(1)(f))", "Yes / Required (Sheet 3)", "")</f>
        <v/>
      </c>
      <c r="L1690" s="7" t="n"/>
      <c r="M1690" s="7" t="n"/>
      <c r="N1690">
        <f>IF(D1690="", "Gap - No Legal Basis", IF(AND(D1690="Consent (GDPR Art. 6(1)(a))", I1690="Not Captured"), "Gap - Invalid Consent", IF(AND(D1690="Legitimate Interest (GDPR Art. 6(1)(f))", L1690=""), "Gap - Missing LIA", IF(AND(G1690="Yes", H1690=""), "Gap - Missing Art. 9 Basis", IF(OR(I1690="Invalid - Not Freely Given", I1690="Invalid - Not Specific", I1690="Invalid - Not Informed", I1690="Invalid - Ambiguous"), "Gap - Invalid Consent", "Compliant")))))</f>
        <v/>
      </c>
      <c r="O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>
        <f>IF(D1691="Legitimate Interest (GDPR Art. 6(1)(f))", "Yes / Required (Sheet 3)", "")</f>
        <v/>
      </c>
      <c r="L1691" s="7" t="n"/>
      <c r="M1691" s="7" t="n"/>
      <c r="N1691">
        <f>IF(D1691="", "Gap - No Legal Basis", IF(AND(D1691="Consent (GDPR Art. 6(1)(a))", I1691="Not Captured"), "Gap - Invalid Consent", IF(AND(D1691="Legitimate Interest (GDPR Art. 6(1)(f))", L1691=""), "Gap - Missing LIA", IF(AND(G1691="Yes", H1691=""), "Gap - Missing Art. 9 Basis", IF(OR(I1691="Invalid - Not Freely Given", I1691="Invalid - Not Specific", I1691="Invalid - Not Informed", I1691="Invalid - Ambiguous"), "Gap - Invalid Consent", "Compliant")))))</f>
        <v/>
      </c>
      <c r="O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>
        <f>IF(D1692="Legitimate Interest (GDPR Art. 6(1)(f))", "Yes / Required (Sheet 3)", "")</f>
        <v/>
      </c>
      <c r="L1692" s="7" t="n"/>
      <c r="M1692" s="7" t="n"/>
      <c r="N1692">
        <f>IF(D1692="", "Gap - No Legal Basis", IF(AND(D1692="Consent (GDPR Art. 6(1)(a))", I1692="Not Captured"), "Gap - Invalid Consent", IF(AND(D1692="Legitimate Interest (GDPR Art. 6(1)(f))", L1692=""), "Gap - Missing LIA", IF(AND(G1692="Yes", H1692=""), "Gap - Missing Art. 9 Basis", IF(OR(I1692="Invalid - Not Freely Given", I1692="Invalid - Not Specific", I1692="Invalid - Not Informed", I1692="Invalid - Ambiguous"), "Gap - Invalid Consent", "Compliant")))))</f>
        <v/>
      </c>
      <c r="O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>
        <f>IF(D1693="Legitimate Interest (GDPR Art. 6(1)(f))", "Yes / Required (Sheet 3)", "")</f>
        <v/>
      </c>
      <c r="L1693" s="7" t="n"/>
      <c r="M1693" s="7" t="n"/>
      <c r="N1693">
        <f>IF(D1693="", "Gap - No Legal Basis", IF(AND(D1693="Consent (GDPR Art. 6(1)(a))", I1693="Not Captured"), "Gap - Invalid Consent", IF(AND(D1693="Legitimate Interest (GDPR Art. 6(1)(f))", L1693=""), "Gap - Missing LIA", IF(AND(G1693="Yes", H1693=""), "Gap - Missing Art. 9 Basis", IF(OR(I1693="Invalid - Not Freely Given", I1693="Invalid - Not Specific", I1693="Invalid - Not Informed", I1693="Invalid - Ambiguous"), "Gap - Invalid Consent", "Compliant")))))</f>
        <v/>
      </c>
      <c r="O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>
        <f>IF(D1694="Legitimate Interest (GDPR Art. 6(1)(f))", "Yes / Required (Sheet 3)", "")</f>
        <v/>
      </c>
      <c r="L1694" s="7" t="n"/>
      <c r="M1694" s="7" t="n"/>
      <c r="N1694">
        <f>IF(D1694="", "Gap - No Legal Basis", IF(AND(D1694="Consent (GDPR Art. 6(1)(a))", I1694="Not Captured"), "Gap - Invalid Consent", IF(AND(D1694="Legitimate Interest (GDPR Art. 6(1)(f))", L1694=""), "Gap - Missing LIA", IF(AND(G1694="Yes", H1694=""), "Gap - Missing Art. 9 Basis", IF(OR(I1694="Invalid - Not Freely Given", I1694="Invalid - Not Specific", I1694="Invalid - Not Informed", I1694="Invalid - Ambiguous"), "Gap - Invalid Consent", "Compliant")))))</f>
        <v/>
      </c>
      <c r="O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>
        <f>IF(D1695="Legitimate Interest (GDPR Art. 6(1)(f))", "Yes / Required (Sheet 3)", "")</f>
        <v/>
      </c>
      <c r="L1695" s="7" t="n"/>
      <c r="M1695" s="7" t="n"/>
      <c r="N1695">
        <f>IF(D1695="", "Gap - No Legal Basis", IF(AND(D1695="Consent (GDPR Art. 6(1)(a))", I1695="Not Captured"), "Gap - Invalid Consent", IF(AND(D1695="Legitimate Interest (GDPR Art. 6(1)(f))", L1695=""), "Gap - Missing LIA", IF(AND(G1695="Yes", H1695=""), "Gap - Missing Art. 9 Basis", IF(OR(I1695="Invalid - Not Freely Given", I1695="Invalid - Not Specific", I1695="Invalid - Not Informed", I1695="Invalid - Ambiguous"), "Gap - Invalid Consent", "Compliant")))))</f>
        <v/>
      </c>
      <c r="O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>
        <f>IF(D1696="Legitimate Interest (GDPR Art. 6(1)(f))", "Yes / Required (Sheet 3)", "")</f>
        <v/>
      </c>
      <c r="L1696" s="7" t="n"/>
      <c r="M1696" s="7" t="n"/>
      <c r="N1696">
        <f>IF(D1696="", "Gap - No Legal Basis", IF(AND(D1696="Consent (GDPR Art. 6(1)(a))", I1696="Not Captured"), "Gap - Invalid Consent", IF(AND(D1696="Legitimate Interest (GDPR Art. 6(1)(f))", L1696=""), "Gap - Missing LIA", IF(AND(G1696="Yes", H1696=""), "Gap - Missing Art. 9 Basis", IF(OR(I1696="Invalid - Not Freely Given", I1696="Invalid - Not Specific", I1696="Invalid - Not Informed", I1696="Invalid - Ambiguous"), "Gap - Invalid Consent", "Compliant")))))</f>
        <v/>
      </c>
      <c r="O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>
        <f>IF(D1697="Legitimate Interest (GDPR Art. 6(1)(f))", "Yes / Required (Sheet 3)", "")</f>
        <v/>
      </c>
      <c r="L1697" s="7" t="n"/>
      <c r="M1697" s="7" t="n"/>
      <c r="N1697">
        <f>IF(D1697="", "Gap - No Legal Basis", IF(AND(D1697="Consent (GDPR Art. 6(1)(a))", I1697="Not Captured"), "Gap - Invalid Consent", IF(AND(D1697="Legitimate Interest (GDPR Art. 6(1)(f))", L1697=""), "Gap - Missing LIA", IF(AND(G1697="Yes", H1697=""), "Gap - Missing Art. 9 Basis", IF(OR(I1697="Invalid - Not Freely Given", I1697="Invalid - Not Specific", I1697="Invalid - Not Informed", I1697="Invalid - Ambiguous"), "Gap - Invalid Consent", "Compliant")))))</f>
        <v/>
      </c>
      <c r="O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>
        <f>IF(D1698="Legitimate Interest (GDPR Art. 6(1)(f))", "Yes / Required (Sheet 3)", "")</f>
        <v/>
      </c>
      <c r="L1698" s="7" t="n"/>
      <c r="M1698" s="7" t="n"/>
      <c r="N1698">
        <f>IF(D1698="", "Gap - No Legal Basis", IF(AND(D1698="Consent (GDPR Art. 6(1)(a))", I1698="Not Captured"), "Gap - Invalid Consent", IF(AND(D1698="Legitimate Interest (GDPR Art. 6(1)(f))", L1698=""), "Gap - Missing LIA", IF(AND(G1698="Yes", H1698=""), "Gap - Missing Art. 9 Basis", IF(OR(I1698="Invalid - Not Freely Given", I1698="Invalid - Not Specific", I1698="Invalid - Not Informed", I1698="Invalid - Ambiguous"), "Gap - Invalid Consent", "Compliant")))))</f>
        <v/>
      </c>
      <c r="O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>
        <f>IF(D1699="Legitimate Interest (GDPR Art. 6(1)(f))", "Yes / Required (Sheet 3)", "")</f>
        <v/>
      </c>
      <c r="L1699" s="7" t="n"/>
      <c r="M1699" s="7" t="n"/>
      <c r="N1699">
        <f>IF(D1699="", "Gap - No Legal Basis", IF(AND(D1699="Consent (GDPR Art. 6(1)(a))", I1699="Not Captured"), "Gap - Invalid Consent", IF(AND(D1699="Legitimate Interest (GDPR Art. 6(1)(f))", L1699=""), "Gap - Missing LIA", IF(AND(G1699="Yes", H1699=""), "Gap - Missing Art. 9 Basis", IF(OR(I1699="Invalid - Not Freely Given", I1699="Invalid - Not Specific", I1699="Invalid - Not Informed", I1699="Invalid - Ambiguous"), "Gap - Invalid Consent", "Compliant")))))</f>
        <v/>
      </c>
      <c r="O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>
        <f>IF(D1700="Legitimate Interest (GDPR Art. 6(1)(f))", "Yes / Required (Sheet 3)", "")</f>
        <v/>
      </c>
      <c r="L1700" s="7" t="n"/>
      <c r="M1700" s="7" t="n"/>
      <c r="N1700">
        <f>IF(D1700="", "Gap - No Legal Basis", IF(AND(D1700="Consent (GDPR Art. 6(1)(a))", I1700="Not Captured"), "Gap - Invalid Consent", IF(AND(D1700="Legitimate Interest (GDPR Art. 6(1)(f))", L1700=""), "Gap - Missing LIA", IF(AND(G1700="Yes", H1700=""), "Gap - Missing Art. 9 Basis", IF(OR(I1700="Invalid - Not Freely Given", I1700="Invalid - Not Specific", I1700="Invalid - Not Informed", I1700="Invalid - Ambiguous"), "Gap - Invalid Consent", "Compliant")))))</f>
        <v/>
      </c>
      <c r="O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>
        <f>IF(D1701="Legitimate Interest (GDPR Art. 6(1)(f))", "Yes / Required (Sheet 3)", "")</f>
        <v/>
      </c>
      <c r="L1701" s="7" t="n"/>
      <c r="M1701" s="7" t="n"/>
      <c r="N1701">
        <f>IF(D1701="", "Gap - No Legal Basis", IF(AND(D1701="Consent (GDPR Art. 6(1)(a))", I1701="Not Captured"), "Gap - Invalid Consent", IF(AND(D1701="Legitimate Interest (GDPR Art. 6(1)(f))", L1701=""), "Gap - Missing LIA", IF(AND(G1701="Yes", H1701=""), "Gap - Missing Art. 9 Basis", IF(OR(I1701="Invalid - Not Freely Given", I1701="Invalid - Not Specific", I1701="Invalid - Not Informed", I1701="Invalid - Ambiguous"), "Gap - Invalid Consent", "Compliant")))))</f>
        <v/>
      </c>
      <c r="O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>
        <f>IF(D1702="Legitimate Interest (GDPR Art. 6(1)(f))", "Yes / Required (Sheet 3)", "")</f>
        <v/>
      </c>
      <c r="L1702" s="7" t="n"/>
      <c r="M1702" s="7" t="n"/>
      <c r="N1702">
        <f>IF(D1702="", "Gap - No Legal Basis", IF(AND(D1702="Consent (GDPR Art. 6(1)(a))", I1702="Not Captured"), "Gap - Invalid Consent", IF(AND(D1702="Legitimate Interest (GDPR Art. 6(1)(f))", L1702=""), "Gap - Missing LIA", IF(AND(G1702="Yes", H1702=""), "Gap - Missing Art. 9 Basis", IF(OR(I1702="Invalid - Not Freely Given", I1702="Invalid - Not Specific", I1702="Invalid - Not Informed", I1702="Invalid - Ambiguous"), "Gap - Invalid Consent", "Compliant")))))</f>
        <v/>
      </c>
      <c r="O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>
        <f>IF(D1703="Legitimate Interest (GDPR Art. 6(1)(f))", "Yes / Required (Sheet 3)", "")</f>
        <v/>
      </c>
      <c r="L1703" s="7" t="n"/>
      <c r="M1703" s="7" t="n"/>
      <c r="N1703">
        <f>IF(D1703="", "Gap - No Legal Basis", IF(AND(D1703="Consent (GDPR Art. 6(1)(a))", I1703="Not Captured"), "Gap - Invalid Consent", IF(AND(D1703="Legitimate Interest (GDPR Art. 6(1)(f))", L1703=""), "Gap - Missing LIA", IF(AND(G1703="Yes", H1703=""), "Gap - Missing Art. 9 Basis", IF(OR(I1703="Invalid - Not Freely Given", I1703="Invalid - Not Specific", I1703="Invalid - Not Informed", I1703="Invalid - Ambiguous"), "Gap - Invalid Consent", "Compliant")))))</f>
        <v/>
      </c>
      <c r="O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>
        <f>IF(D1704="Legitimate Interest (GDPR Art. 6(1)(f))", "Yes / Required (Sheet 3)", "")</f>
        <v/>
      </c>
      <c r="L1704" s="7" t="n"/>
      <c r="M1704" s="7" t="n"/>
      <c r="N1704">
        <f>IF(D1704="", "Gap - No Legal Basis", IF(AND(D1704="Consent (GDPR Art. 6(1)(a))", I1704="Not Captured"), "Gap - Invalid Consent", IF(AND(D1704="Legitimate Interest (GDPR Art. 6(1)(f))", L1704=""), "Gap - Missing LIA", IF(AND(G1704="Yes", H1704=""), "Gap - Missing Art. 9 Basis", IF(OR(I1704="Invalid - Not Freely Given", I1704="Invalid - Not Specific", I1704="Invalid - Not Informed", I1704="Invalid - Ambiguous"), "Gap - Invalid Consent", "Compliant")))))</f>
        <v/>
      </c>
      <c r="O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>
        <f>IF(D1705="Legitimate Interest (GDPR Art. 6(1)(f))", "Yes / Required (Sheet 3)", "")</f>
        <v/>
      </c>
      <c r="L1705" s="7" t="n"/>
      <c r="M1705" s="7" t="n"/>
      <c r="N1705">
        <f>IF(D1705="", "Gap - No Legal Basis", IF(AND(D1705="Consent (GDPR Art. 6(1)(a))", I1705="Not Captured"), "Gap - Invalid Consent", IF(AND(D1705="Legitimate Interest (GDPR Art. 6(1)(f))", L1705=""), "Gap - Missing LIA", IF(AND(G1705="Yes", H1705=""), "Gap - Missing Art. 9 Basis", IF(OR(I1705="Invalid - Not Freely Given", I1705="Invalid - Not Specific", I1705="Invalid - Not Informed", I1705="Invalid - Ambiguous"), "Gap - Invalid Consent", "Compliant")))))</f>
        <v/>
      </c>
      <c r="O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>
        <f>IF(D1706="Legitimate Interest (GDPR Art. 6(1)(f))", "Yes / Required (Sheet 3)", "")</f>
        <v/>
      </c>
      <c r="L1706" s="7" t="n"/>
      <c r="M1706" s="7" t="n"/>
      <c r="N1706">
        <f>IF(D1706="", "Gap - No Legal Basis", IF(AND(D1706="Consent (GDPR Art. 6(1)(a))", I1706="Not Captured"), "Gap - Invalid Consent", IF(AND(D1706="Legitimate Interest (GDPR Art. 6(1)(f))", L1706=""), "Gap - Missing LIA", IF(AND(G1706="Yes", H1706=""), "Gap - Missing Art. 9 Basis", IF(OR(I1706="Invalid - Not Freely Given", I1706="Invalid - Not Specific", I1706="Invalid - Not Informed", I1706="Invalid - Ambiguous"), "Gap - Invalid Consent", "Compliant")))))</f>
        <v/>
      </c>
      <c r="O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>
        <f>IF(D1707="Legitimate Interest (GDPR Art. 6(1)(f))", "Yes / Required (Sheet 3)", "")</f>
        <v/>
      </c>
      <c r="L1707" s="7" t="n"/>
      <c r="M1707" s="7" t="n"/>
      <c r="N1707">
        <f>IF(D1707="", "Gap - No Legal Basis", IF(AND(D1707="Consent (GDPR Art. 6(1)(a))", I1707="Not Captured"), "Gap - Invalid Consent", IF(AND(D1707="Legitimate Interest (GDPR Art. 6(1)(f))", L1707=""), "Gap - Missing LIA", IF(AND(G1707="Yes", H1707=""), "Gap - Missing Art. 9 Basis", IF(OR(I1707="Invalid - Not Freely Given", I1707="Invalid - Not Specific", I1707="Invalid - Not Informed", I1707="Invalid - Ambiguous"), "Gap - Invalid Consent", "Compliant")))))</f>
        <v/>
      </c>
      <c r="O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>
        <f>IF(D1708="Legitimate Interest (GDPR Art. 6(1)(f))", "Yes / Required (Sheet 3)", "")</f>
        <v/>
      </c>
      <c r="L1708" s="7" t="n"/>
      <c r="M1708" s="7" t="n"/>
      <c r="N1708">
        <f>IF(D1708="", "Gap - No Legal Basis", IF(AND(D1708="Consent (GDPR Art. 6(1)(a))", I1708="Not Captured"), "Gap - Invalid Consent", IF(AND(D1708="Legitimate Interest (GDPR Art. 6(1)(f))", L1708=""), "Gap - Missing LIA", IF(AND(G1708="Yes", H1708=""), "Gap - Missing Art. 9 Basis", IF(OR(I1708="Invalid - Not Freely Given", I1708="Invalid - Not Specific", I1708="Invalid - Not Informed", I1708="Invalid - Ambiguous"), "Gap - Invalid Consent", "Compliant")))))</f>
        <v/>
      </c>
      <c r="O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>
        <f>IF(D1709="Legitimate Interest (GDPR Art. 6(1)(f))", "Yes / Required (Sheet 3)", "")</f>
        <v/>
      </c>
      <c r="L1709" s="7" t="n"/>
      <c r="M1709" s="7" t="n"/>
      <c r="N1709">
        <f>IF(D1709="", "Gap - No Legal Basis", IF(AND(D1709="Consent (GDPR Art. 6(1)(a))", I1709="Not Captured"), "Gap - Invalid Consent", IF(AND(D1709="Legitimate Interest (GDPR Art. 6(1)(f))", L1709=""), "Gap - Missing LIA", IF(AND(G1709="Yes", H1709=""), "Gap - Missing Art. 9 Basis", IF(OR(I1709="Invalid - Not Freely Given", I1709="Invalid - Not Specific", I1709="Invalid - Not Informed", I1709="Invalid - Ambiguous"), "Gap - Invalid Consent", "Compliant")))))</f>
        <v/>
      </c>
      <c r="O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>
        <f>IF(D1710="Legitimate Interest (GDPR Art. 6(1)(f))", "Yes / Required (Sheet 3)", "")</f>
        <v/>
      </c>
      <c r="L1710" s="7" t="n"/>
      <c r="M1710" s="7" t="n"/>
      <c r="N1710">
        <f>IF(D1710="", "Gap - No Legal Basis", IF(AND(D1710="Consent (GDPR Art. 6(1)(a))", I1710="Not Captured"), "Gap - Invalid Consent", IF(AND(D1710="Legitimate Interest (GDPR Art. 6(1)(f))", L1710=""), "Gap - Missing LIA", IF(AND(G1710="Yes", H1710=""), "Gap - Missing Art. 9 Basis", IF(OR(I1710="Invalid - Not Freely Given", I1710="Invalid - Not Specific", I1710="Invalid - Not Informed", I1710="Invalid - Ambiguous"), "Gap - Invalid Consent", "Compliant")))))</f>
        <v/>
      </c>
      <c r="O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>
        <f>IF(D1711="Legitimate Interest (GDPR Art. 6(1)(f))", "Yes / Required (Sheet 3)", "")</f>
        <v/>
      </c>
      <c r="L1711" s="7" t="n"/>
      <c r="M1711" s="7" t="n"/>
      <c r="N1711">
        <f>IF(D1711="", "Gap - No Legal Basis", IF(AND(D1711="Consent (GDPR Art. 6(1)(a))", I1711="Not Captured"), "Gap - Invalid Consent", IF(AND(D1711="Legitimate Interest (GDPR Art. 6(1)(f))", L1711=""), "Gap - Missing LIA", IF(AND(G1711="Yes", H1711=""), "Gap - Missing Art. 9 Basis", IF(OR(I1711="Invalid - Not Freely Given", I1711="Invalid - Not Specific", I1711="Invalid - Not Informed", I1711="Invalid - Ambiguous"), "Gap - Invalid Consent", "Compliant")))))</f>
        <v/>
      </c>
      <c r="O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>
        <f>IF(D1712="Legitimate Interest (GDPR Art. 6(1)(f))", "Yes / Required (Sheet 3)", "")</f>
        <v/>
      </c>
      <c r="L1712" s="7" t="n"/>
      <c r="M1712" s="7" t="n"/>
      <c r="N1712">
        <f>IF(D1712="", "Gap - No Legal Basis", IF(AND(D1712="Consent (GDPR Art. 6(1)(a))", I1712="Not Captured"), "Gap - Invalid Consent", IF(AND(D1712="Legitimate Interest (GDPR Art. 6(1)(f))", L1712=""), "Gap - Missing LIA", IF(AND(G1712="Yes", H1712=""), "Gap - Missing Art. 9 Basis", IF(OR(I1712="Invalid - Not Freely Given", I1712="Invalid - Not Specific", I1712="Invalid - Not Informed", I1712="Invalid - Ambiguous"), "Gap - Invalid Consent", "Compliant")))))</f>
        <v/>
      </c>
      <c r="O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>
        <f>IF(D1713="Legitimate Interest (GDPR Art. 6(1)(f))", "Yes / Required (Sheet 3)", "")</f>
        <v/>
      </c>
      <c r="L1713" s="7" t="n"/>
      <c r="M1713" s="7" t="n"/>
      <c r="N1713">
        <f>IF(D1713="", "Gap - No Legal Basis", IF(AND(D1713="Consent (GDPR Art. 6(1)(a))", I1713="Not Captured"), "Gap - Invalid Consent", IF(AND(D1713="Legitimate Interest (GDPR Art. 6(1)(f))", L1713=""), "Gap - Missing LIA", IF(AND(G1713="Yes", H1713=""), "Gap - Missing Art. 9 Basis", IF(OR(I1713="Invalid - Not Freely Given", I1713="Invalid - Not Specific", I1713="Invalid - Not Informed", I1713="Invalid - Ambiguous"), "Gap - Invalid Consent", "Compliant")))))</f>
        <v/>
      </c>
      <c r="O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>
        <f>IF(D1714="Legitimate Interest (GDPR Art. 6(1)(f))", "Yes / Required (Sheet 3)", "")</f>
        <v/>
      </c>
      <c r="L1714" s="7" t="n"/>
      <c r="M1714" s="7" t="n"/>
      <c r="N1714">
        <f>IF(D1714="", "Gap - No Legal Basis", IF(AND(D1714="Consent (GDPR Art. 6(1)(a))", I1714="Not Captured"), "Gap - Invalid Consent", IF(AND(D1714="Legitimate Interest (GDPR Art. 6(1)(f))", L1714=""), "Gap - Missing LIA", IF(AND(G1714="Yes", H1714=""), "Gap - Missing Art. 9 Basis", IF(OR(I1714="Invalid - Not Freely Given", I1714="Invalid - Not Specific", I1714="Invalid - Not Informed", I1714="Invalid - Ambiguous"), "Gap - Invalid Consent", "Compliant")))))</f>
        <v/>
      </c>
      <c r="O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>
        <f>IF(D1715="Legitimate Interest (GDPR Art. 6(1)(f))", "Yes / Required (Sheet 3)", "")</f>
        <v/>
      </c>
      <c r="L1715" s="7" t="n"/>
      <c r="M1715" s="7" t="n"/>
      <c r="N1715">
        <f>IF(D1715="", "Gap - No Legal Basis", IF(AND(D1715="Consent (GDPR Art. 6(1)(a))", I1715="Not Captured"), "Gap - Invalid Consent", IF(AND(D1715="Legitimate Interest (GDPR Art. 6(1)(f))", L1715=""), "Gap - Missing LIA", IF(AND(G1715="Yes", H1715=""), "Gap - Missing Art. 9 Basis", IF(OR(I1715="Invalid - Not Freely Given", I1715="Invalid - Not Specific", I1715="Invalid - Not Informed", I1715="Invalid - Ambiguous"), "Gap - Invalid Consent", "Compliant")))))</f>
        <v/>
      </c>
      <c r="O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>
        <f>IF(D1716="Legitimate Interest (GDPR Art. 6(1)(f))", "Yes / Required (Sheet 3)", "")</f>
        <v/>
      </c>
      <c r="L1716" s="7" t="n"/>
      <c r="M1716" s="7" t="n"/>
      <c r="N1716">
        <f>IF(D1716="", "Gap - No Legal Basis", IF(AND(D1716="Consent (GDPR Art. 6(1)(a))", I1716="Not Captured"), "Gap - Invalid Consent", IF(AND(D1716="Legitimate Interest (GDPR Art. 6(1)(f))", L1716=""), "Gap - Missing LIA", IF(AND(G1716="Yes", H1716=""), "Gap - Missing Art. 9 Basis", IF(OR(I1716="Invalid - Not Freely Given", I1716="Invalid - Not Specific", I1716="Invalid - Not Informed", I1716="Invalid - Ambiguous"), "Gap - Invalid Consent", "Compliant")))))</f>
        <v/>
      </c>
      <c r="O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>
        <f>IF(D1717="Legitimate Interest (GDPR Art. 6(1)(f))", "Yes / Required (Sheet 3)", "")</f>
        <v/>
      </c>
      <c r="L1717" s="7" t="n"/>
      <c r="M1717" s="7" t="n"/>
      <c r="N1717">
        <f>IF(D1717="", "Gap - No Legal Basis", IF(AND(D1717="Consent (GDPR Art. 6(1)(a))", I1717="Not Captured"), "Gap - Invalid Consent", IF(AND(D1717="Legitimate Interest (GDPR Art. 6(1)(f))", L1717=""), "Gap - Missing LIA", IF(AND(G1717="Yes", H1717=""), "Gap - Missing Art. 9 Basis", IF(OR(I1717="Invalid - Not Freely Given", I1717="Invalid - Not Specific", I1717="Invalid - Not Informed", I1717="Invalid - Ambiguous"), "Gap - Invalid Consent", "Compliant")))))</f>
        <v/>
      </c>
      <c r="O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>
        <f>IF(D1718="Legitimate Interest (GDPR Art. 6(1)(f))", "Yes / Required (Sheet 3)", "")</f>
        <v/>
      </c>
      <c r="L1718" s="7" t="n"/>
      <c r="M1718" s="7" t="n"/>
      <c r="N1718">
        <f>IF(D1718="", "Gap - No Legal Basis", IF(AND(D1718="Consent (GDPR Art. 6(1)(a))", I1718="Not Captured"), "Gap - Invalid Consent", IF(AND(D1718="Legitimate Interest (GDPR Art. 6(1)(f))", L1718=""), "Gap - Missing LIA", IF(AND(G1718="Yes", H1718=""), "Gap - Missing Art. 9 Basis", IF(OR(I1718="Invalid - Not Freely Given", I1718="Invalid - Not Specific", I1718="Invalid - Not Informed", I1718="Invalid - Ambiguous"), "Gap - Invalid Consent", "Compliant")))))</f>
        <v/>
      </c>
      <c r="O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>
        <f>IF(D1719="Legitimate Interest (GDPR Art. 6(1)(f))", "Yes / Required (Sheet 3)", "")</f>
        <v/>
      </c>
      <c r="L1719" s="7" t="n"/>
      <c r="M1719" s="7" t="n"/>
      <c r="N1719">
        <f>IF(D1719="", "Gap - No Legal Basis", IF(AND(D1719="Consent (GDPR Art. 6(1)(a))", I1719="Not Captured"), "Gap - Invalid Consent", IF(AND(D1719="Legitimate Interest (GDPR Art. 6(1)(f))", L1719=""), "Gap - Missing LIA", IF(AND(G1719="Yes", H1719=""), "Gap - Missing Art. 9 Basis", IF(OR(I1719="Invalid - Not Freely Given", I1719="Invalid - Not Specific", I1719="Invalid - Not Informed", I1719="Invalid - Ambiguous"), "Gap - Invalid Consent", "Compliant")))))</f>
        <v/>
      </c>
      <c r="O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>
        <f>IF(D1720="Legitimate Interest (GDPR Art. 6(1)(f))", "Yes / Required (Sheet 3)", "")</f>
        <v/>
      </c>
      <c r="L1720" s="7" t="n"/>
      <c r="M1720" s="7" t="n"/>
      <c r="N1720">
        <f>IF(D1720="", "Gap - No Legal Basis", IF(AND(D1720="Consent (GDPR Art. 6(1)(a))", I1720="Not Captured"), "Gap - Invalid Consent", IF(AND(D1720="Legitimate Interest (GDPR Art. 6(1)(f))", L1720=""), "Gap - Missing LIA", IF(AND(G1720="Yes", H1720=""), "Gap - Missing Art. 9 Basis", IF(OR(I1720="Invalid - Not Freely Given", I1720="Invalid - Not Specific", I1720="Invalid - Not Informed", I1720="Invalid - Ambiguous"), "Gap - Invalid Consent", "Compliant")))))</f>
        <v/>
      </c>
      <c r="O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>
        <f>IF(D1721="Legitimate Interest (GDPR Art. 6(1)(f))", "Yes / Required (Sheet 3)", "")</f>
        <v/>
      </c>
      <c r="L1721" s="7" t="n"/>
      <c r="M1721" s="7" t="n"/>
      <c r="N1721">
        <f>IF(D1721="", "Gap - No Legal Basis", IF(AND(D1721="Consent (GDPR Art. 6(1)(a))", I1721="Not Captured"), "Gap - Invalid Consent", IF(AND(D1721="Legitimate Interest (GDPR Art. 6(1)(f))", L1721=""), "Gap - Missing LIA", IF(AND(G1721="Yes", H1721=""), "Gap - Missing Art. 9 Basis", IF(OR(I1721="Invalid - Not Freely Given", I1721="Invalid - Not Specific", I1721="Invalid - Not Informed", I1721="Invalid - Ambiguous"), "Gap - Invalid Consent", "Compliant")))))</f>
        <v/>
      </c>
      <c r="O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>
        <f>IF(D1722="Legitimate Interest (GDPR Art. 6(1)(f))", "Yes / Required (Sheet 3)", "")</f>
        <v/>
      </c>
      <c r="L1722" s="7" t="n"/>
      <c r="M1722" s="7" t="n"/>
      <c r="N1722">
        <f>IF(D1722="", "Gap - No Legal Basis", IF(AND(D1722="Consent (GDPR Art. 6(1)(a))", I1722="Not Captured"), "Gap - Invalid Consent", IF(AND(D1722="Legitimate Interest (GDPR Art. 6(1)(f))", L1722=""), "Gap - Missing LIA", IF(AND(G1722="Yes", H1722=""), "Gap - Missing Art. 9 Basis", IF(OR(I1722="Invalid - Not Freely Given", I1722="Invalid - Not Specific", I1722="Invalid - Not Informed", I1722="Invalid - Ambiguous"), "Gap - Invalid Consent", "Compliant")))))</f>
        <v/>
      </c>
      <c r="O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>
        <f>IF(D1723="Legitimate Interest (GDPR Art. 6(1)(f))", "Yes / Required (Sheet 3)", "")</f>
        <v/>
      </c>
      <c r="L1723" s="7" t="n"/>
      <c r="M1723" s="7" t="n"/>
      <c r="N1723">
        <f>IF(D1723="", "Gap - No Legal Basis", IF(AND(D1723="Consent (GDPR Art. 6(1)(a))", I1723="Not Captured"), "Gap - Invalid Consent", IF(AND(D1723="Legitimate Interest (GDPR Art. 6(1)(f))", L1723=""), "Gap - Missing LIA", IF(AND(G1723="Yes", H1723=""), "Gap - Missing Art. 9 Basis", IF(OR(I1723="Invalid - Not Freely Given", I1723="Invalid - Not Specific", I1723="Invalid - Not Informed", I1723="Invalid - Ambiguous"), "Gap - Invalid Consent", "Compliant")))))</f>
        <v/>
      </c>
      <c r="O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>
        <f>IF(D1724="Legitimate Interest (GDPR Art. 6(1)(f))", "Yes / Required (Sheet 3)", "")</f>
        <v/>
      </c>
      <c r="L1724" s="7" t="n"/>
      <c r="M1724" s="7" t="n"/>
      <c r="N1724">
        <f>IF(D1724="", "Gap - No Legal Basis", IF(AND(D1724="Consent (GDPR Art. 6(1)(a))", I1724="Not Captured"), "Gap - Invalid Consent", IF(AND(D1724="Legitimate Interest (GDPR Art. 6(1)(f))", L1724=""), "Gap - Missing LIA", IF(AND(G1724="Yes", H1724=""), "Gap - Missing Art. 9 Basis", IF(OR(I1724="Invalid - Not Freely Given", I1724="Invalid - Not Specific", I1724="Invalid - Not Informed", I1724="Invalid - Ambiguous"), "Gap - Invalid Consent", "Compliant")))))</f>
        <v/>
      </c>
      <c r="O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>
        <f>IF(D1725="Legitimate Interest (GDPR Art. 6(1)(f))", "Yes / Required (Sheet 3)", "")</f>
        <v/>
      </c>
      <c r="L1725" s="7" t="n"/>
      <c r="M1725" s="7" t="n"/>
      <c r="N1725">
        <f>IF(D1725="", "Gap - No Legal Basis", IF(AND(D1725="Consent (GDPR Art. 6(1)(a))", I1725="Not Captured"), "Gap - Invalid Consent", IF(AND(D1725="Legitimate Interest (GDPR Art. 6(1)(f))", L1725=""), "Gap - Missing LIA", IF(AND(G1725="Yes", H1725=""), "Gap - Missing Art. 9 Basis", IF(OR(I1725="Invalid - Not Freely Given", I1725="Invalid - Not Specific", I1725="Invalid - Not Informed", I1725="Invalid - Ambiguous"), "Gap - Invalid Consent", "Compliant")))))</f>
        <v/>
      </c>
      <c r="O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>
        <f>IF(D1726="Legitimate Interest (GDPR Art. 6(1)(f))", "Yes / Required (Sheet 3)", "")</f>
        <v/>
      </c>
      <c r="L1726" s="7" t="n"/>
      <c r="M1726" s="7" t="n"/>
      <c r="N1726">
        <f>IF(D1726="", "Gap - No Legal Basis", IF(AND(D1726="Consent (GDPR Art. 6(1)(a))", I1726="Not Captured"), "Gap - Invalid Consent", IF(AND(D1726="Legitimate Interest (GDPR Art. 6(1)(f))", L1726=""), "Gap - Missing LIA", IF(AND(G1726="Yes", H1726=""), "Gap - Missing Art. 9 Basis", IF(OR(I1726="Invalid - Not Freely Given", I1726="Invalid - Not Specific", I1726="Invalid - Not Informed", I1726="Invalid - Ambiguous"), "Gap - Invalid Consent", "Compliant")))))</f>
        <v/>
      </c>
      <c r="O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>
        <f>IF(D1727="Legitimate Interest (GDPR Art. 6(1)(f))", "Yes / Required (Sheet 3)", "")</f>
        <v/>
      </c>
      <c r="L1727" s="7" t="n"/>
      <c r="M1727" s="7" t="n"/>
      <c r="N1727">
        <f>IF(D1727="", "Gap - No Legal Basis", IF(AND(D1727="Consent (GDPR Art. 6(1)(a))", I1727="Not Captured"), "Gap - Invalid Consent", IF(AND(D1727="Legitimate Interest (GDPR Art. 6(1)(f))", L1727=""), "Gap - Missing LIA", IF(AND(G1727="Yes", H1727=""), "Gap - Missing Art. 9 Basis", IF(OR(I1727="Invalid - Not Freely Given", I1727="Invalid - Not Specific", I1727="Invalid - Not Informed", I1727="Invalid - Ambiguous"), "Gap - Invalid Consent", "Compliant")))))</f>
        <v/>
      </c>
      <c r="O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>
        <f>IF(D1728="Legitimate Interest (GDPR Art. 6(1)(f))", "Yes / Required (Sheet 3)", "")</f>
        <v/>
      </c>
      <c r="L1728" s="7" t="n"/>
      <c r="M1728" s="7" t="n"/>
      <c r="N1728">
        <f>IF(D1728="", "Gap - No Legal Basis", IF(AND(D1728="Consent (GDPR Art. 6(1)(a))", I1728="Not Captured"), "Gap - Invalid Consent", IF(AND(D1728="Legitimate Interest (GDPR Art. 6(1)(f))", L1728=""), "Gap - Missing LIA", IF(AND(G1728="Yes", H1728=""), "Gap - Missing Art. 9 Basis", IF(OR(I1728="Invalid - Not Freely Given", I1728="Invalid - Not Specific", I1728="Invalid - Not Informed", I1728="Invalid - Ambiguous"), "Gap - Invalid Consent", "Compliant")))))</f>
        <v/>
      </c>
      <c r="O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>
        <f>IF(D1729="Legitimate Interest (GDPR Art. 6(1)(f))", "Yes / Required (Sheet 3)", "")</f>
        <v/>
      </c>
      <c r="L1729" s="7" t="n"/>
      <c r="M1729" s="7" t="n"/>
      <c r="N1729">
        <f>IF(D1729="", "Gap - No Legal Basis", IF(AND(D1729="Consent (GDPR Art. 6(1)(a))", I1729="Not Captured"), "Gap - Invalid Consent", IF(AND(D1729="Legitimate Interest (GDPR Art. 6(1)(f))", L1729=""), "Gap - Missing LIA", IF(AND(G1729="Yes", H1729=""), "Gap - Missing Art. 9 Basis", IF(OR(I1729="Invalid - Not Freely Given", I1729="Invalid - Not Specific", I1729="Invalid - Not Informed", I1729="Invalid - Ambiguous"), "Gap - Invalid Consent", "Compliant")))))</f>
        <v/>
      </c>
      <c r="O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>
        <f>IF(D1730="Legitimate Interest (GDPR Art. 6(1)(f))", "Yes / Required (Sheet 3)", "")</f>
        <v/>
      </c>
      <c r="L1730" s="7" t="n"/>
      <c r="M1730" s="7" t="n"/>
      <c r="N1730">
        <f>IF(D1730="", "Gap - No Legal Basis", IF(AND(D1730="Consent (GDPR Art. 6(1)(a))", I1730="Not Captured"), "Gap - Invalid Consent", IF(AND(D1730="Legitimate Interest (GDPR Art. 6(1)(f))", L1730=""), "Gap - Missing LIA", IF(AND(G1730="Yes", H1730=""), "Gap - Missing Art. 9 Basis", IF(OR(I1730="Invalid - Not Freely Given", I1730="Invalid - Not Specific", I1730="Invalid - Not Informed", I1730="Invalid - Ambiguous"), "Gap - Invalid Consent", "Compliant")))))</f>
        <v/>
      </c>
      <c r="O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>
        <f>IF(D1731="Legitimate Interest (GDPR Art. 6(1)(f))", "Yes / Required (Sheet 3)", "")</f>
        <v/>
      </c>
      <c r="L1731" s="7" t="n"/>
      <c r="M1731" s="7" t="n"/>
      <c r="N1731">
        <f>IF(D1731="", "Gap - No Legal Basis", IF(AND(D1731="Consent (GDPR Art. 6(1)(a))", I1731="Not Captured"), "Gap - Invalid Consent", IF(AND(D1731="Legitimate Interest (GDPR Art. 6(1)(f))", L1731=""), "Gap - Missing LIA", IF(AND(G1731="Yes", H1731=""), "Gap - Missing Art. 9 Basis", IF(OR(I1731="Invalid - Not Freely Given", I1731="Invalid - Not Specific", I1731="Invalid - Not Informed", I1731="Invalid - Ambiguous"), "Gap - Invalid Consent", "Compliant")))))</f>
        <v/>
      </c>
      <c r="O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>
        <f>IF(D1732="Legitimate Interest (GDPR Art. 6(1)(f))", "Yes / Required (Sheet 3)", "")</f>
        <v/>
      </c>
      <c r="L1732" s="7" t="n"/>
      <c r="M1732" s="7" t="n"/>
      <c r="N1732">
        <f>IF(D1732="", "Gap - No Legal Basis", IF(AND(D1732="Consent (GDPR Art. 6(1)(a))", I1732="Not Captured"), "Gap - Invalid Consent", IF(AND(D1732="Legitimate Interest (GDPR Art. 6(1)(f))", L1732=""), "Gap - Missing LIA", IF(AND(G1732="Yes", H1732=""), "Gap - Missing Art. 9 Basis", IF(OR(I1732="Invalid - Not Freely Given", I1732="Invalid - Not Specific", I1732="Invalid - Not Informed", I1732="Invalid - Ambiguous"), "Gap - Invalid Consent", "Compliant")))))</f>
        <v/>
      </c>
      <c r="O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>
        <f>IF(D1733="Legitimate Interest (GDPR Art. 6(1)(f))", "Yes / Required (Sheet 3)", "")</f>
        <v/>
      </c>
      <c r="L1733" s="7" t="n"/>
      <c r="M1733" s="7" t="n"/>
      <c r="N1733">
        <f>IF(D1733="", "Gap - No Legal Basis", IF(AND(D1733="Consent (GDPR Art. 6(1)(a))", I1733="Not Captured"), "Gap - Invalid Consent", IF(AND(D1733="Legitimate Interest (GDPR Art. 6(1)(f))", L1733=""), "Gap - Missing LIA", IF(AND(G1733="Yes", H1733=""), "Gap - Missing Art. 9 Basis", IF(OR(I1733="Invalid - Not Freely Given", I1733="Invalid - Not Specific", I1733="Invalid - Not Informed", I1733="Invalid - Ambiguous"), "Gap - Invalid Consent", "Compliant")))))</f>
        <v/>
      </c>
      <c r="O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>
        <f>IF(D1734="Legitimate Interest (GDPR Art. 6(1)(f))", "Yes / Required (Sheet 3)", "")</f>
        <v/>
      </c>
      <c r="L1734" s="7" t="n"/>
      <c r="M1734" s="7" t="n"/>
      <c r="N1734">
        <f>IF(D1734="", "Gap - No Legal Basis", IF(AND(D1734="Consent (GDPR Art. 6(1)(a))", I1734="Not Captured"), "Gap - Invalid Consent", IF(AND(D1734="Legitimate Interest (GDPR Art. 6(1)(f))", L1734=""), "Gap - Missing LIA", IF(AND(G1734="Yes", H1734=""), "Gap - Missing Art. 9 Basis", IF(OR(I1734="Invalid - Not Freely Given", I1734="Invalid - Not Specific", I1734="Invalid - Not Informed", I1734="Invalid - Ambiguous"), "Gap - Invalid Consent", "Compliant")))))</f>
        <v/>
      </c>
      <c r="O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>
        <f>IF(D1735="Legitimate Interest (GDPR Art. 6(1)(f))", "Yes / Required (Sheet 3)", "")</f>
        <v/>
      </c>
      <c r="L1735" s="7" t="n"/>
      <c r="M1735" s="7" t="n"/>
      <c r="N1735">
        <f>IF(D1735="", "Gap - No Legal Basis", IF(AND(D1735="Consent (GDPR Art. 6(1)(a))", I1735="Not Captured"), "Gap - Invalid Consent", IF(AND(D1735="Legitimate Interest (GDPR Art. 6(1)(f))", L1735=""), "Gap - Missing LIA", IF(AND(G1735="Yes", H1735=""), "Gap - Missing Art. 9 Basis", IF(OR(I1735="Invalid - Not Freely Given", I1735="Invalid - Not Specific", I1735="Invalid - Not Informed", I1735="Invalid - Ambiguous"), "Gap - Invalid Consent", "Compliant")))))</f>
        <v/>
      </c>
      <c r="O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>
        <f>IF(D1736="Legitimate Interest (GDPR Art. 6(1)(f))", "Yes / Required (Sheet 3)", "")</f>
        <v/>
      </c>
      <c r="L1736" s="7" t="n"/>
      <c r="M1736" s="7" t="n"/>
      <c r="N1736">
        <f>IF(D1736="", "Gap - No Legal Basis", IF(AND(D1736="Consent (GDPR Art. 6(1)(a))", I1736="Not Captured"), "Gap - Invalid Consent", IF(AND(D1736="Legitimate Interest (GDPR Art. 6(1)(f))", L1736=""), "Gap - Missing LIA", IF(AND(G1736="Yes", H1736=""), "Gap - Missing Art. 9 Basis", IF(OR(I1736="Invalid - Not Freely Given", I1736="Invalid - Not Specific", I1736="Invalid - Not Informed", I1736="Invalid - Ambiguous"), "Gap - Invalid Consent", "Compliant")))))</f>
        <v/>
      </c>
      <c r="O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>
        <f>IF(D1737="Legitimate Interest (GDPR Art. 6(1)(f))", "Yes / Required (Sheet 3)", "")</f>
        <v/>
      </c>
      <c r="L1737" s="7" t="n"/>
      <c r="M1737" s="7" t="n"/>
      <c r="N1737">
        <f>IF(D1737="", "Gap - No Legal Basis", IF(AND(D1737="Consent (GDPR Art. 6(1)(a))", I1737="Not Captured"), "Gap - Invalid Consent", IF(AND(D1737="Legitimate Interest (GDPR Art. 6(1)(f))", L1737=""), "Gap - Missing LIA", IF(AND(G1737="Yes", H1737=""), "Gap - Missing Art. 9 Basis", IF(OR(I1737="Invalid - Not Freely Given", I1737="Invalid - Not Specific", I1737="Invalid - Not Informed", I1737="Invalid - Ambiguous"), "Gap - Invalid Consent", "Compliant")))))</f>
        <v/>
      </c>
      <c r="O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>
        <f>IF(D1738="Legitimate Interest (GDPR Art. 6(1)(f))", "Yes / Required (Sheet 3)", "")</f>
        <v/>
      </c>
      <c r="L1738" s="7" t="n"/>
      <c r="M1738" s="7" t="n"/>
      <c r="N1738">
        <f>IF(D1738="", "Gap - No Legal Basis", IF(AND(D1738="Consent (GDPR Art. 6(1)(a))", I1738="Not Captured"), "Gap - Invalid Consent", IF(AND(D1738="Legitimate Interest (GDPR Art. 6(1)(f))", L1738=""), "Gap - Missing LIA", IF(AND(G1738="Yes", H1738=""), "Gap - Missing Art. 9 Basis", IF(OR(I1738="Invalid - Not Freely Given", I1738="Invalid - Not Specific", I1738="Invalid - Not Informed", I1738="Invalid - Ambiguous"), "Gap - Invalid Consent", "Compliant")))))</f>
        <v/>
      </c>
      <c r="O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>
        <f>IF(D1739="Legitimate Interest (GDPR Art. 6(1)(f))", "Yes / Required (Sheet 3)", "")</f>
        <v/>
      </c>
      <c r="L1739" s="7" t="n"/>
      <c r="M1739" s="7" t="n"/>
      <c r="N1739">
        <f>IF(D1739="", "Gap - No Legal Basis", IF(AND(D1739="Consent (GDPR Art. 6(1)(a))", I1739="Not Captured"), "Gap - Invalid Consent", IF(AND(D1739="Legitimate Interest (GDPR Art. 6(1)(f))", L1739=""), "Gap - Missing LIA", IF(AND(G1739="Yes", H1739=""), "Gap - Missing Art. 9 Basis", IF(OR(I1739="Invalid - Not Freely Given", I1739="Invalid - Not Specific", I1739="Invalid - Not Informed", I1739="Invalid - Ambiguous"), "Gap - Invalid Consent", "Compliant")))))</f>
        <v/>
      </c>
      <c r="O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>
        <f>IF(D1740="Legitimate Interest (GDPR Art. 6(1)(f))", "Yes / Required (Sheet 3)", "")</f>
        <v/>
      </c>
      <c r="L1740" s="7" t="n"/>
      <c r="M1740" s="7" t="n"/>
      <c r="N1740">
        <f>IF(D1740="", "Gap - No Legal Basis", IF(AND(D1740="Consent (GDPR Art. 6(1)(a))", I1740="Not Captured"), "Gap - Invalid Consent", IF(AND(D1740="Legitimate Interest (GDPR Art. 6(1)(f))", L1740=""), "Gap - Missing LIA", IF(AND(G1740="Yes", H1740=""), "Gap - Missing Art. 9 Basis", IF(OR(I1740="Invalid - Not Freely Given", I1740="Invalid - Not Specific", I1740="Invalid - Not Informed", I1740="Invalid - Ambiguous"), "Gap - Invalid Consent", "Compliant")))))</f>
        <v/>
      </c>
      <c r="O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>
        <f>IF(D1741="Legitimate Interest (GDPR Art. 6(1)(f))", "Yes / Required (Sheet 3)", "")</f>
        <v/>
      </c>
      <c r="L1741" s="7" t="n"/>
      <c r="M1741" s="7" t="n"/>
      <c r="N1741">
        <f>IF(D1741="", "Gap - No Legal Basis", IF(AND(D1741="Consent (GDPR Art. 6(1)(a))", I1741="Not Captured"), "Gap - Invalid Consent", IF(AND(D1741="Legitimate Interest (GDPR Art. 6(1)(f))", L1741=""), "Gap - Missing LIA", IF(AND(G1741="Yes", H1741=""), "Gap - Missing Art. 9 Basis", IF(OR(I1741="Invalid - Not Freely Given", I1741="Invalid - Not Specific", I1741="Invalid - Not Informed", I1741="Invalid - Ambiguous"), "Gap - Invalid Consent", "Compliant")))))</f>
        <v/>
      </c>
      <c r="O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>
        <f>IF(D1742="Legitimate Interest (GDPR Art. 6(1)(f))", "Yes / Required (Sheet 3)", "")</f>
        <v/>
      </c>
      <c r="L1742" s="7" t="n"/>
      <c r="M1742" s="7" t="n"/>
      <c r="N1742">
        <f>IF(D1742="", "Gap - No Legal Basis", IF(AND(D1742="Consent (GDPR Art. 6(1)(a))", I1742="Not Captured"), "Gap - Invalid Consent", IF(AND(D1742="Legitimate Interest (GDPR Art. 6(1)(f))", L1742=""), "Gap - Missing LIA", IF(AND(G1742="Yes", H1742=""), "Gap - Missing Art. 9 Basis", IF(OR(I1742="Invalid - Not Freely Given", I1742="Invalid - Not Specific", I1742="Invalid - Not Informed", I1742="Invalid - Ambiguous"), "Gap - Invalid Consent", "Compliant")))))</f>
        <v/>
      </c>
      <c r="O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>
        <f>IF(D1743="Legitimate Interest (GDPR Art. 6(1)(f))", "Yes / Required (Sheet 3)", "")</f>
        <v/>
      </c>
      <c r="L1743" s="7" t="n"/>
      <c r="M1743" s="7" t="n"/>
      <c r="N1743">
        <f>IF(D1743="", "Gap - No Legal Basis", IF(AND(D1743="Consent (GDPR Art. 6(1)(a))", I1743="Not Captured"), "Gap - Invalid Consent", IF(AND(D1743="Legitimate Interest (GDPR Art. 6(1)(f))", L1743=""), "Gap - Missing LIA", IF(AND(G1743="Yes", H1743=""), "Gap - Missing Art. 9 Basis", IF(OR(I1743="Invalid - Not Freely Given", I1743="Invalid - Not Specific", I1743="Invalid - Not Informed", I1743="Invalid - Ambiguous"), "Gap - Invalid Consent", "Compliant")))))</f>
        <v/>
      </c>
      <c r="O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>
        <f>IF(D1744="Legitimate Interest (GDPR Art. 6(1)(f))", "Yes / Required (Sheet 3)", "")</f>
        <v/>
      </c>
      <c r="L1744" s="7" t="n"/>
      <c r="M1744" s="7" t="n"/>
      <c r="N1744">
        <f>IF(D1744="", "Gap - No Legal Basis", IF(AND(D1744="Consent (GDPR Art. 6(1)(a))", I1744="Not Captured"), "Gap - Invalid Consent", IF(AND(D1744="Legitimate Interest (GDPR Art. 6(1)(f))", L1744=""), "Gap - Missing LIA", IF(AND(G1744="Yes", H1744=""), "Gap - Missing Art. 9 Basis", IF(OR(I1744="Invalid - Not Freely Given", I1744="Invalid - Not Specific", I1744="Invalid - Not Informed", I1744="Invalid - Ambiguous"), "Gap - Invalid Consent", "Compliant")))))</f>
        <v/>
      </c>
      <c r="O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>
        <f>IF(D1745="Legitimate Interest (GDPR Art. 6(1)(f))", "Yes / Required (Sheet 3)", "")</f>
        <v/>
      </c>
      <c r="L1745" s="7" t="n"/>
      <c r="M1745" s="7" t="n"/>
      <c r="N1745">
        <f>IF(D1745="", "Gap - No Legal Basis", IF(AND(D1745="Consent (GDPR Art. 6(1)(a))", I1745="Not Captured"), "Gap - Invalid Consent", IF(AND(D1745="Legitimate Interest (GDPR Art. 6(1)(f))", L1745=""), "Gap - Missing LIA", IF(AND(G1745="Yes", H1745=""), "Gap - Missing Art. 9 Basis", IF(OR(I1745="Invalid - Not Freely Given", I1745="Invalid - Not Specific", I1745="Invalid - Not Informed", I1745="Invalid - Ambiguous"), "Gap - Invalid Consent", "Compliant")))))</f>
        <v/>
      </c>
      <c r="O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>
        <f>IF(D1746="Legitimate Interest (GDPR Art. 6(1)(f))", "Yes / Required (Sheet 3)", "")</f>
        <v/>
      </c>
      <c r="L1746" s="7" t="n"/>
      <c r="M1746" s="7" t="n"/>
      <c r="N1746">
        <f>IF(D1746="", "Gap - No Legal Basis", IF(AND(D1746="Consent (GDPR Art. 6(1)(a))", I1746="Not Captured"), "Gap - Invalid Consent", IF(AND(D1746="Legitimate Interest (GDPR Art. 6(1)(f))", L1746=""), "Gap - Missing LIA", IF(AND(G1746="Yes", H1746=""), "Gap - Missing Art. 9 Basis", IF(OR(I1746="Invalid - Not Freely Given", I1746="Invalid - Not Specific", I1746="Invalid - Not Informed", I1746="Invalid - Ambiguous"), "Gap - Invalid Consent", "Compliant")))))</f>
        <v/>
      </c>
      <c r="O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>
        <f>IF(D1747="Legitimate Interest (GDPR Art. 6(1)(f))", "Yes / Required (Sheet 3)", "")</f>
        <v/>
      </c>
      <c r="L1747" s="7" t="n"/>
      <c r="M1747" s="7" t="n"/>
      <c r="N1747">
        <f>IF(D1747="", "Gap - No Legal Basis", IF(AND(D1747="Consent (GDPR Art. 6(1)(a))", I1747="Not Captured"), "Gap - Invalid Consent", IF(AND(D1747="Legitimate Interest (GDPR Art. 6(1)(f))", L1747=""), "Gap - Missing LIA", IF(AND(G1747="Yes", H1747=""), "Gap - Missing Art. 9 Basis", IF(OR(I1747="Invalid - Not Freely Given", I1747="Invalid - Not Specific", I1747="Invalid - Not Informed", I1747="Invalid - Ambiguous"), "Gap - Invalid Consent", "Compliant")))))</f>
        <v/>
      </c>
      <c r="O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>
        <f>IF(D1748="Legitimate Interest (GDPR Art. 6(1)(f))", "Yes / Required (Sheet 3)", "")</f>
        <v/>
      </c>
      <c r="L1748" s="7" t="n"/>
      <c r="M1748" s="7" t="n"/>
      <c r="N1748">
        <f>IF(D1748="", "Gap - No Legal Basis", IF(AND(D1748="Consent (GDPR Art. 6(1)(a))", I1748="Not Captured"), "Gap - Invalid Consent", IF(AND(D1748="Legitimate Interest (GDPR Art. 6(1)(f))", L1748=""), "Gap - Missing LIA", IF(AND(G1748="Yes", H1748=""), "Gap - Missing Art. 9 Basis", IF(OR(I1748="Invalid - Not Freely Given", I1748="Invalid - Not Specific", I1748="Invalid - Not Informed", I1748="Invalid - Ambiguous"), "Gap - Invalid Consent", "Compliant")))))</f>
        <v/>
      </c>
      <c r="O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>
        <f>IF(D1749="Legitimate Interest (GDPR Art. 6(1)(f))", "Yes / Required (Sheet 3)", "")</f>
        <v/>
      </c>
      <c r="L1749" s="7" t="n"/>
      <c r="M1749" s="7" t="n"/>
      <c r="N1749">
        <f>IF(D1749="", "Gap - No Legal Basis", IF(AND(D1749="Consent (GDPR Art. 6(1)(a))", I1749="Not Captured"), "Gap - Invalid Consent", IF(AND(D1749="Legitimate Interest (GDPR Art. 6(1)(f))", L1749=""), "Gap - Missing LIA", IF(AND(G1749="Yes", H1749=""), "Gap - Missing Art. 9 Basis", IF(OR(I1749="Invalid - Not Freely Given", I1749="Invalid - Not Specific", I1749="Invalid - Not Informed", I1749="Invalid - Ambiguous"), "Gap - Invalid Consent", "Compliant")))))</f>
        <v/>
      </c>
      <c r="O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>
        <f>IF(D1750="Legitimate Interest (GDPR Art. 6(1)(f))", "Yes / Required (Sheet 3)", "")</f>
        <v/>
      </c>
      <c r="L1750" s="7" t="n"/>
      <c r="M1750" s="7" t="n"/>
      <c r="N1750">
        <f>IF(D1750="", "Gap - No Legal Basis", IF(AND(D1750="Consent (GDPR Art. 6(1)(a))", I1750="Not Captured"), "Gap - Invalid Consent", IF(AND(D1750="Legitimate Interest (GDPR Art. 6(1)(f))", L1750=""), "Gap - Missing LIA", IF(AND(G1750="Yes", H1750=""), "Gap - Missing Art. 9 Basis", IF(OR(I1750="Invalid - Not Freely Given", I1750="Invalid - Not Specific", I1750="Invalid - Not Informed", I1750="Invalid - Ambiguous"), "Gap - Invalid Consent", "Compliant")))))</f>
        <v/>
      </c>
      <c r="O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>
        <f>IF(D1751="Legitimate Interest (GDPR Art. 6(1)(f))", "Yes / Required (Sheet 3)", "")</f>
        <v/>
      </c>
      <c r="L1751" s="7" t="n"/>
      <c r="M1751" s="7" t="n"/>
      <c r="N1751">
        <f>IF(D1751="", "Gap - No Legal Basis", IF(AND(D1751="Consent (GDPR Art. 6(1)(a))", I1751="Not Captured"), "Gap - Invalid Consent", IF(AND(D1751="Legitimate Interest (GDPR Art. 6(1)(f))", L1751=""), "Gap - Missing LIA", IF(AND(G1751="Yes", H1751=""), "Gap - Missing Art. 9 Basis", IF(OR(I1751="Invalid - Not Freely Given", I1751="Invalid - Not Specific", I1751="Invalid - Not Informed", I1751="Invalid - Ambiguous"), "Gap - Invalid Consent", "Compliant")))))</f>
        <v/>
      </c>
      <c r="O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>
        <f>IF(D1752="Legitimate Interest (GDPR Art. 6(1)(f))", "Yes / Required (Sheet 3)", "")</f>
        <v/>
      </c>
      <c r="L1752" s="7" t="n"/>
      <c r="M1752" s="7" t="n"/>
      <c r="N1752">
        <f>IF(D1752="", "Gap - No Legal Basis", IF(AND(D1752="Consent (GDPR Art. 6(1)(a))", I1752="Not Captured"), "Gap - Invalid Consent", IF(AND(D1752="Legitimate Interest (GDPR Art. 6(1)(f))", L1752=""), "Gap - Missing LIA", IF(AND(G1752="Yes", H1752=""), "Gap - Missing Art. 9 Basis", IF(OR(I1752="Invalid - Not Freely Given", I1752="Invalid - Not Specific", I1752="Invalid - Not Informed", I1752="Invalid - Ambiguous"), "Gap - Invalid Consent", "Compliant")))))</f>
        <v/>
      </c>
      <c r="O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>
        <f>IF(D1753="Legitimate Interest (GDPR Art. 6(1)(f))", "Yes / Required (Sheet 3)", "")</f>
        <v/>
      </c>
      <c r="L1753" s="7" t="n"/>
      <c r="M1753" s="7" t="n"/>
      <c r="N1753">
        <f>IF(D1753="", "Gap - No Legal Basis", IF(AND(D1753="Consent (GDPR Art. 6(1)(a))", I1753="Not Captured"), "Gap - Invalid Consent", IF(AND(D1753="Legitimate Interest (GDPR Art. 6(1)(f))", L1753=""), "Gap - Missing LIA", IF(AND(G1753="Yes", H1753=""), "Gap - Missing Art. 9 Basis", IF(OR(I1753="Invalid - Not Freely Given", I1753="Invalid - Not Specific", I1753="Invalid - Not Informed", I1753="Invalid - Ambiguous"), "Gap - Invalid Consent", "Compliant")))))</f>
        <v/>
      </c>
      <c r="O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>
        <f>IF(D1754="Legitimate Interest (GDPR Art. 6(1)(f))", "Yes / Required (Sheet 3)", "")</f>
        <v/>
      </c>
      <c r="L1754" s="7" t="n"/>
      <c r="M1754" s="7" t="n"/>
      <c r="N1754">
        <f>IF(D1754="", "Gap - No Legal Basis", IF(AND(D1754="Consent (GDPR Art. 6(1)(a))", I1754="Not Captured"), "Gap - Invalid Consent", IF(AND(D1754="Legitimate Interest (GDPR Art. 6(1)(f))", L1754=""), "Gap - Missing LIA", IF(AND(G1754="Yes", H1754=""), "Gap - Missing Art. 9 Basis", IF(OR(I1754="Invalid - Not Freely Given", I1754="Invalid - Not Specific", I1754="Invalid - Not Informed", I1754="Invalid - Ambiguous"), "Gap - Invalid Consent", "Compliant")))))</f>
        <v/>
      </c>
      <c r="O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>
        <f>IF(D1755="Legitimate Interest (GDPR Art. 6(1)(f))", "Yes / Required (Sheet 3)", "")</f>
        <v/>
      </c>
      <c r="L1755" s="7" t="n"/>
      <c r="M1755" s="7" t="n"/>
      <c r="N1755">
        <f>IF(D1755="", "Gap - No Legal Basis", IF(AND(D1755="Consent (GDPR Art. 6(1)(a))", I1755="Not Captured"), "Gap - Invalid Consent", IF(AND(D1755="Legitimate Interest (GDPR Art. 6(1)(f))", L1755=""), "Gap - Missing LIA", IF(AND(G1755="Yes", H1755=""), "Gap - Missing Art. 9 Basis", IF(OR(I1755="Invalid - Not Freely Given", I1755="Invalid - Not Specific", I1755="Invalid - Not Informed", I1755="Invalid - Ambiguous"), "Gap - Invalid Consent", "Compliant")))))</f>
        <v/>
      </c>
      <c r="O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>
        <f>IF(D1756="Legitimate Interest (GDPR Art. 6(1)(f))", "Yes / Required (Sheet 3)", "")</f>
        <v/>
      </c>
      <c r="L1756" s="7" t="n"/>
      <c r="M1756" s="7" t="n"/>
      <c r="N1756">
        <f>IF(D1756="", "Gap - No Legal Basis", IF(AND(D1756="Consent (GDPR Art. 6(1)(a))", I1756="Not Captured"), "Gap - Invalid Consent", IF(AND(D1756="Legitimate Interest (GDPR Art. 6(1)(f))", L1756=""), "Gap - Missing LIA", IF(AND(G1756="Yes", H1756=""), "Gap - Missing Art. 9 Basis", IF(OR(I1756="Invalid - Not Freely Given", I1756="Invalid - Not Specific", I1756="Invalid - Not Informed", I1756="Invalid - Ambiguous"), "Gap - Invalid Consent", "Compliant")))))</f>
        <v/>
      </c>
      <c r="O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>
        <f>IF(D1757="Legitimate Interest (GDPR Art. 6(1)(f))", "Yes / Required (Sheet 3)", "")</f>
        <v/>
      </c>
      <c r="L1757" s="7" t="n"/>
      <c r="M1757" s="7" t="n"/>
      <c r="N1757">
        <f>IF(D1757="", "Gap - No Legal Basis", IF(AND(D1757="Consent (GDPR Art. 6(1)(a))", I1757="Not Captured"), "Gap - Invalid Consent", IF(AND(D1757="Legitimate Interest (GDPR Art. 6(1)(f))", L1757=""), "Gap - Missing LIA", IF(AND(G1757="Yes", H1757=""), "Gap - Missing Art. 9 Basis", IF(OR(I1757="Invalid - Not Freely Given", I1757="Invalid - Not Specific", I1757="Invalid - Not Informed", I1757="Invalid - Ambiguous"), "Gap - Invalid Consent", "Compliant")))))</f>
        <v/>
      </c>
      <c r="O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>
        <f>IF(D1758="Legitimate Interest (GDPR Art. 6(1)(f))", "Yes / Required (Sheet 3)", "")</f>
        <v/>
      </c>
      <c r="L1758" s="7" t="n"/>
      <c r="M1758" s="7" t="n"/>
      <c r="N1758">
        <f>IF(D1758="", "Gap - No Legal Basis", IF(AND(D1758="Consent (GDPR Art. 6(1)(a))", I1758="Not Captured"), "Gap - Invalid Consent", IF(AND(D1758="Legitimate Interest (GDPR Art. 6(1)(f))", L1758=""), "Gap - Missing LIA", IF(AND(G1758="Yes", H1758=""), "Gap - Missing Art. 9 Basis", IF(OR(I1758="Invalid - Not Freely Given", I1758="Invalid - Not Specific", I1758="Invalid - Not Informed", I1758="Invalid - Ambiguous"), "Gap - Invalid Consent", "Compliant")))))</f>
        <v/>
      </c>
      <c r="O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>
        <f>IF(D1759="Legitimate Interest (GDPR Art. 6(1)(f))", "Yes / Required (Sheet 3)", "")</f>
        <v/>
      </c>
      <c r="L1759" s="7" t="n"/>
      <c r="M1759" s="7" t="n"/>
      <c r="N1759">
        <f>IF(D1759="", "Gap - No Legal Basis", IF(AND(D1759="Consent (GDPR Art. 6(1)(a))", I1759="Not Captured"), "Gap - Invalid Consent", IF(AND(D1759="Legitimate Interest (GDPR Art. 6(1)(f))", L1759=""), "Gap - Missing LIA", IF(AND(G1759="Yes", H1759=""), "Gap - Missing Art. 9 Basis", IF(OR(I1759="Invalid - Not Freely Given", I1759="Invalid - Not Specific", I1759="Invalid - Not Informed", I1759="Invalid - Ambiguous"), "Gap - Invalid Consent", "Compliant")))))</f>
        <v/>
      </c>
      <c r="O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>
        <f>IF(D1760="Legitimate Interest (GDPR Art. 6(1)(f))", "Yes / Required (Sheet 3)", "")</f>
        <v/>
      </c>
      <c r="L1760" s="7" t="n"/>
      <c r="M1760" s="7" t="n"/>
      <c r="N1760">
        <f>IF(D1760="", "Gap - No Legal Basis", IF(AND(D1760="Consent (GDPR Art. 6(1)(a))", I1760="Not Captured"), "Gap - Invalid Consent", IF(AND(D1760="Legitimate Interest (GDPR Art. 6(1)(f))", L1760=""), "Gap - Missing LIA", IF(AND(G1760="Yes", H1760=""), "Gap - Missing Art. 9 Basis", IF(OR(I1760="Invalid - Not Freely Given", I1760="Invalid - Not Specific", I1760="Invalid - Not Informed", I1760="Invalid - Ambiguous"), "Gap - Invalid Consent", "Compliant")))))</f>
        <v/>
      </c>
      <c r="O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>
        <f>IF(D1761="Legitimate Interest (GDPR Art. 6(1)(f))", "Yes / Required (Sheet 3)", "")</f>
        <v/>
      </c>
      <c r="L1761" s="7" t="n"/>
      <c r="M1761" s="7" t="n"/>
      <c r="N1761">
        <f>IF(D1761="", "Gap - No Legal Basis", IF(AND(D1761="Consent (GDPR Art. 6(1)(a))", I1761="Not Captured"), "Gap - Invalid Consent", IF(AND(D1761="Legitimate Interest (GDPR Art. 6(1)(f))", L1761=""), "Gap - Missing LIA", IF(AND(G1761="Yes", H1761=""), "Gap - Missing Art. 9 Basis", IF(OR(I1761="Invalid - Not Freely Given", I1761="Invalid - Not Specific", I1761="Invalid - Not Informed", I1761="Invalid - Ambiguous"), "Gap - Invalid Consent", "Compliant")))))</f>
        <v/>
      </c>
      <c r="O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>
        <f>IF(D1762="Legitimate Interest (GDPR Art. 6(1)(f))", "Yes / Required (Sheet 3)", "")</f>
        <v/>
      </c>
      <c r="L1762" s="7" t="n"/>
      <c r="M1762" s="7" t="n"/>
      <c r="N1762">
        <f>IF(D1762="", "Gap - No Legal Basis", IF(AND(D1762="Consent (GDPR Art. 6(1)(a))", I1762="Not Captured"), "Gap - Invalid Consent", IF(AND(D1762="Legitimate Interest (GDPR Art. 6(1)(f))", L1762=""), "Gap - Missing LIA", IF(AND(G1762="Yes", H1762=""), "Gap - Missing Art. 9 Basis", IF(OR(I1762="Invalid - Not Freely Given", I1762="Invalid - Not Specific", I1762="Invalid - Not Informed", I1762="Invalid - Ambiguous"), "Gap - Invalid Consent", "Compliant")))))</f>
        <v/>
      </c>
      <c r="O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>
        <f>IF(D1763="Legitimate Interest (GDPR Art. 6(1)(f))", "Yes / Required (Sheet 3)", "")</f>
        <v/>
      </c>
      <c r="L1763" s="7" t="n"/>
      <c r="M1763" s="7" t="n"/>
      <c r="N1763">
        <f>IF(D1763="", "Gap - No Legal Basis", IF(AND(D1763="Consent (GDPR Art. 6(1)(a))", I1763="Not Captured"), "Gap - Invalid Consent", IF(AND(D1763="Legitimate Interest (GDPR Art. 6(1)(f))", L1763=""), "Gap - Missing LIA", IF(AND(G1763="Yes", H1763=""), "Gap - Missing Art. 9 Basis", IF(OR(I1763="Invalid - Not Freely Given", I1763="Invalid - Not Specific", I1763="Invalid - Not Informed", I1763="Invalid - Ambiguous"), "Gap - Invalid Consent", "Compliant")))))</f>
        <v/>
      </c>
      <c r="O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>
        <f>IF(D1764="Legitimate Interest (GDPR Art. 6(1)(f))", "Yes / Required (Sheet 3)", "")</f>
        <v/>
      </c>
      <c r="L1764" s="7" t="n"/>
      <c r="M1764" s="7" t="n"/>
      <c r="N1764">
        <f>IF(D1764="", "Gap - No Legal Basis", IF(AND(D1764="Consent (GDPR Art. 6(1)(a))", I1764="Not Captured"), "Gap - Invalid Consent", IF(AND(D1764="Legitimate Interest (GDPR Art. 6(1)(f))", L1764=""), "Gap - Missing LIA", IF(AND(G1764="Yes", H1764=""), "Gap - Missing Art. 9 Basis", IF(OR(I1764="Invalid - Not Freely Given", I1764="Invalid - Not Specific", I1764="Invalid - Not Informed", I1764="Invalid - Ambiguous"), "Gap - Invalid Consent", "Compliant")))))</f>
        <v/>
      </c>
      <c r="O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>
        <f>IF(D1765="Legitimate Interest (GDPR Art. 6(1)(f))", "Yes / Required (Sheet 3)", "")</f>
        <v/>
      </c>
      <c r="L1765" s="7" t="n"/>
      <c r="M1765" s="7" t="n"/>
      <c r="N1765">
        <f>IF(D1765="", "Gap - No Legal Basis", IF(AND(D1765="Consent (GDPR Art. 6(1)(a))", I1765="Not Captured"), "Gap - Invalid Consent", IF(AND(D1765="Legitimate Interest (GDPR Art. 6(1)(f))", L1765=""), "Gap - Missing LIA", IF(AND(G1765="Yes", H1765=""), "Gap - Missing Art. 9 Basis", IF(OR(I1765="Invalid - Not Freely Given", I1765="Invalid - Not Specific", I1765="Invalid - Not Informed", I1765="Invalid - Ambiguous"), "Gap - Invalid Consent", "Compliant")))))</f>
        <v/>
      </c>
      <c r="O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>
        <f>IF(D1766="Legitimate Interest (GDPR Art. 6(1)(f))", "Yes / Required (Sheet 3)", "")</f>
        <v/>
      </c>
      <c r="L1766" s="7" t="n"/>
      <c r="M1766" s="7" t="n"/>
      <c r="N1766">
        <f>IF(D1766="", "Gap - No Legal Basis", IF(AND(D1766="Consent (GDPR Art. 6(1)(a))", I1766="Not Captured"), "Gap - Invalid Consent", IF(AND(D1766="Legitimate Interest (GDPR Art. 6(1)(f))", L1766=""), "Gap - Missing LIA", IF(AND(G1766="Yes", H1766=""), "Gap - Missing Art. 9 Basis", IF(OR(I1766="Invalid - Not Freely Given", I1766="Invalid - Not Specific", I1766="Invalid - Not Informed", I1766="Invalid - Ambiguous"), "Gap - Invalid Consent", "Compliant")))))</f>
        <v/>
      </c>
      <c r="O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>
        <f>IF(D1767="Legitimate Interest (GDPR Art. 6(1)(f))", "Yes / Required (Sheet 3)", "")</f>
        <v/>
      </c>
      <c r="L1767" s="7" t="n"/>
      <c r="M1767" s="7" t="n"/>
      <c r="N1767">
        <f>IF(D1767="", "Gap - No Legal Basis", IF(AND(D1767="Consent (GDPR Art. 6(1)(a))", I1767="Not Captured"), "Gap - Invalid Consent", IF(AND(D1767="Legitimate Interest (GDPR Art. 6(1)(f))", L1767=""), "Gap - Missing LIA", IF(AND(G1767="Yes", H1767=""), "Gap - Missing Art. 9 Basis", IF(OR(I1767="Invalid - Not Freely Given", I1767="Invalid - Not Specific", I1767="Invalid - Not Informed", I1767="Invalid - Ambiguous"), "Gap - Invalid Consent", "Compliant")))))</f>
        <v/>
      </c>
      <c r="O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>
        <f>IF(D1768="Legitimate Interest (GDPR Art. 6(1)(f))", "Yes / Required (Sheet 3)", "")</f>
        <v/>
      </c>
      <c r="L1768" s="7" t="n"/>
      <c r="M1768" s="7" t="n"/>
      <c r="N1768">
        <f>IF(D1768="", "Gap - No Legal Basis", IF(AND(D1768="Consent (GDPR Art. 6(1)(a))", I1768="Not Captured"), "Gap - Invalid Consent", IF(AND(D1768="Legitimate Interest (GDPR Art. 6(1)(f))", L1768=""), "Gap - Missing LIA", IF(AND(G1768="Yes", H1768=""), "Gap - Missing Art. 9 Basis", IF(OR(I1768="Invalid - Not Freely Given", I1768="Invalid - Not Specific", I1768="Invalid - Not Informed", I1768="Invalid - Ambiguous"), "Gap - Invalid Consent", "Compliant")))))</f>
        <v/>
      </c>
      <c r="O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>
        <f>IF(D1769="Legitimate Interest (GDPR Art. 6(1)(f))", "Yes / Required (Sheet 3)", "")</f>
        <v/>
      </c>
      <c r="L1769" s="7" t="n"/>
      <c r="M1769" s="7" t="n"/>
      <c r="N1769">
        <f>IF(D1769="", "Gap - No Legal Basis", IF(AND(D1769="Consent (GDPR Art. 6(1)(a))", I1769="Not Captured"), "Gap - Invalid Consent", IF(AND(D1769="Legitimate Interest (GDPR Art. 6(1)(f))", L1769=""), "Gap - Missing LIA", IF(AND(G1769="Yes", H1769=""), "Gap - Missing Art. 9 Basis", IF(OR(I1769="Invalid - Not Freely Given", I1769="Invalid - Not Specific", I1769="Invalid - Not Informed", I1769="Invalid - Ambiguous"), "Gap - Invalid Consent", "Compliant")))))</f>
        <v/>
      </c>
      <c r="O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>
        <f>IF(D1770="Legitimate Interest (GDPR Art. 6(1)(f))", "Yes / Required (Sheet 3)", "")</f>
        <v/>
      </c>
      <c r="L1770" s="7" t="n"/>
      <c r="M1770" s="7" t="n"/>
      <c r="N1770">
        <f>IF(D1770="", "Gap - No Legal Basis", IF(AND(D1770="Consent (GDPR Art. 6(1)(a))", I1770="Not Captured"), "Gap - Invalid Consent", IF(AND(D1770="Legitimate Interest (GDPR Art. 6(1)(f))", L1770=""), "Gap - Missing LIA", IF(AND(G1770="Yes", H1770=""), "Gap - Missing Art. 9 Basis", IF(OR(I1770="Invalid - Not Freely Given", I1770="Invalid - Not Specific", I1770="Invalid - Not Informed", I1770="Invalid - Ambiguous"), "Gap - Invalid Consent", "Compliant")))))</f>
        <v/>
      </c>
      <c r="O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>
        <f>IF(D1771="Legitimate Interest (GDPR Art. 6(1)(f))", "Yes / Required (Sheet 3)", "")</f>
        <v/>
      </c>
      <c r="L1771" s="7" t="n"/>
      <c r="M1771" s="7" t="n"/>
      <c r="N1771">
        <f>IF(D1771="", "Gap - No Legal Basis", IF(AND(D1771="Consent (GDPR Art. 6(1)(a))", I1771="Not Captured"), "Gap - Invalid Consent", IF(AND(D1771="Legitimate Interest (GDPR Art. 6(1)(f))", L1771=""), "Gap - Missing LIA", IF(AND(G1771="Yes", H1771=""), "Gap - Missing Art. 9 Basis", IF(OR(I1771="Invalid - Not Freely Given", I1771="Invalid - Not Specific", I1771="Invalid - Not Informed", I1771="Invalid - Ambiguous"), "Gap - Invalid Consent", "Compliant")))))</f>
        <v/>
      </c>
      <c r="O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>
        <f>IF(D1772="Legitimate Interest (GDPR Art. 6(1)(f))", "Yes / Required (Sheet 3)", "")</f>
        <v/>
      </c>
      <c r="L1772" s="7" t="n"/>
      <c r="M1772" s="7" t="n"/>
      <c r="N1772">
        <f>IF(D1772="", "Gap - No Legal Basis", IF(AND(D1772="Consent (GDPR Art. 6(1)(a))", I1772="Not Captured"), "Gap - Invalid Consent", IF(AND(D1772="Legitimate Interest (GDPR Art. 6(1)(f))", L1772=""), "Gap - Missing LIA", IF(AND(G1772="Yes", H1772=""), "Gap - Missing Art. 9 Basis", IF(OR(I1772="Invalid - Not Freely Given", I1772="Invalid - Not Specific", I1772="Invalid - Not Informed", I1772="Invalid - Ambiguous"), "Gap - Invalid Consent", "Compliant")))))</f>
        <v/>
      </c>
      <c r="O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>
        <f>IF(D1773="Legitimate Interest (GDPR Art. 6(1)(f))", "Yes / Required (Sheet 3)", "")</f>
        <v/>
      </c>
      <c r="L1773" s="7" t="n"/>
      <c r="M1773" s="7" t="n"/>
      <c r="N1773">
        <f>IF(D1773="", "Gap - No Legal Basis", IF(AND(D1773="Consent (GDPR Art. 6(1)(a))", I1773="Not Captured"), "Gap - Invalid Consent", IF(AND(D1773="Legitimate Interest (GDPR Art. 6(1)(f))", L1773=""), "Gap - Missing LIA", IF(AND(G1773="Yes", H1773=""), "Gap - Missing Art. 9 Basis", IF(OR(I1773="Invalid - Not Freely Given", I1773="Invalid - Not Specific", I1773="Invalid - Not Informed", I1773="Invalid - Ambiguous"), "Gap - Invalid Consent", "Compliant")))))</f>
        <v/>
      </c>
      <c r="O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>
        <f>IF(D1774="Legitimate Interest (GDPR Art. 6(1)(f))", "Yes / Required (Sheet 3)", "")</f>
        <v/>
      </c>
      <c r="L1774" s="7" t="n"/>
      <c r="M1774" s="7" t="n"/>
      <c r="N1774">
        <f>IF(D1774="", "Gap - No Legal Basis", IF(AND(D1774="Consent (GDPR Art. 6(1)(a))", I1774="Not Captured"), "Gap - Invalid Consent", IF(AND(D1774="Legitimate Interest (GDPR Art. 6(1)(f))", L1774=""), "Gap - Missing LIA", IF(AND(G1774="Yes", H1774=""), "Gap - Missing Art. 9 Basis", IF(OR(I1774="Invalid - Not Freely Given", I1774="Invalid - Not Specific", I1774="Invalid - Not Informed", I1774="Invalid - Ambiguous"), "Gap - Invalid Consent", "Compliant")))))</f>
        <v/>
      </c>
      <c r="O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>
        <f>IF(D1775="Legitimate Interest (GDPR Art. 6(1)(f))", "Yes / Required (Sheet 3)", "")</f>
        <v/>
      </c>
      <c r="L1775" s="7" t="n"/>
      <c r="M1775" s="7" t="n"/>
      <c r="N1775">
        <f>IF(D1775="", "Gap - No Legal Basis", IF(AND(D1775="Consent (GDPR Art. 6(1)(a))", I1775="Not Captured"), "Gap - Invalid Consent", IF(AND(D1775="Legitimate Interest (GDPR Art. 6(1)(f))", L1775=""), "Gap - Missing LIA", IF(AND(G1775="Yes", H1775=""), "Gap - Missing Art. 9 Basis", IF(OR(I1775="Invalid - Not Freely Given", I1775="Invalid - Not Specific", I1775="Invalid - Not Informed", I1775="Invalid - Ambiguous"), "Gap - Invalid Consent", "Compliant")))))</f>
        <v/>
      </c>
      <c r="O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>
        <f>IF(D1776="Legitimate Interest (GDPR Art. 6(1)(f))", "Yes / Required (Sheet 3)", "")</f>
        <v/>
      </c>
      <c r="L1776" s="7" t="n"/>
      <c r="M1776" s="7" t="n"/>
      <c r="N1776">
        <f>IF(D1776="", "Gap - No Legal Basis", IF(AND(D1776="Consent (GDPR Art. 6(1)(a))", I1776="Not Captured"), "Gap - Invalid Consent", IF(AND(D1776="Legitimate Interest (GDPR Art. 6(1)(f))", L1776=""), "Gap - Missing LIA", IF(AND(G1776="Yes", H1776=""), "Gap - Missing Art. 9 Basis", IF(OR(I1776="Invalid - Not Freely Given", I1776="Invalid - Not Specific", I1776="Invalid - Not Informed", I1776="Invalid - Ambiguous"), "Gap - Invalid Consent", "Compliant")))))</f>
        <v/>
      </c>
      <c r="O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>
        <f>IF(D1777="Legitimate Interest (GDPR Art. 6(1)(f))", "Yes / Required (Sheet 3)", "")</f>
        <v/>
      </c>
      <c r="L1777" s="7" t="n"/>
      <c r="M1777" s="7" t="n"/>
      <c r="N1777">
        <f>IF(D1777="", "Gap - No Legal Basis", IF(AND(D1777="Consent (GDPR Art. 6(1)(a))", I1777="Not Captured"), "Gap - Invalid Consent", IF(AND(D1777="Legitimate Interest (GDPR Art. 6(1)(f))", L1777=""), "Gap - Missing LIA", IF(AND(G1777="Yes", H1777=""), "Gap - Missing Art. 9 Basis", IF(OR(I1777="Invalid - Not Freely Given", I1777="Invalid - Not Specific", I1777="Invalid - Not Informed", I1777="Invalid - Ambiguous"), "Gap - Invalid Consent", "Compliant")))))</f>
        <v/>
      </c>
      <c r="O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>
        <f>IF(D1778="Legitimate Interest (GDPR Art. 6(1)(f))", "Yes / Required (Sheet 3)", "")</f>
        <v/>
      </c>
      <c r="L1778" s="7" t="n"/>
      <c r="M1778" s="7" t="n"/>
      <c r="N1778">
        <f>IF(D1778="", "Gap - No Legal Basis", IF(AND(D1778="Consent (GDPR Art. 6(1)(a))", I1778="Not Captured"), "Gap - Invalid Consent", IF(AND(D1778="Legitimate Interest (GDPR Art. 6(1)(f))", L1778=""), "Gap - Missing LIA", IF(AND(G1778="Yes", H1778=""), "Gap - Missing Art. 9 Basis", IF(OR(I1778="Invalid - Not Freely Given", I1778="Invalid - Not Specific", I1778="Invalid - Not Informed", I1778="Invalid - Ambiguous"), "Gap - Invalid Consent", "Compliant")))))</f>
        <v/>
      </c>
      <c r="O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>
        <f>IF(D1779="Legitimate Interest (GDPR Art. 6(1)(f))", "Yes / Required (Sheet 3)", "")</f>
        <v/>
      </c>
      <c r="L1779" s="7" t="n"/>
      <c r="M1779" s="7" t="n"/>
      <c r="N1779">
        <f>IF(D1779="", "Gap - No Legal Basis", IF(AND(D1779="Consent (GDPR Art. 6(1)(a))", I1779="Not Captured"), "Gap - Invalid Consent", IF(AND(D1779="Legitimate Interest (GDPR Art. 6(1)(f))", L1779=""), "Gap - Missing LIA", IF(AND(G1779="Yes", H1779=""), "Gap - Missing Art. 9 Basis", IF(OR(I1779="Invalid - Not Freely Given", I1779="Invalid - Not Specific", I1779="Invalid - Not Informed", I1779="Invalid - Ambiguous"), "Gap - Invalid Consent", "Compliant")))))</f>
        <v/>
      </c>
      <c r="O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>
        <f>IF(D1780="Legitimate Interest (GDPR Art. 6(1)(f))", "Yes / Required (Sheet 3)", "")</f>
        <v/>
      </c>
      <c r="L1780" s="7" t="n"/>
      <c r="M1780" s="7" t="n"/>
      <c r="N1780">
        <f>IF(D1780="", "Gap - No Legal Basis", IF(AND(D1780="Consent (GDPR Art. 6(1)(a))", I1780="Not Captured"), "Gap - Invalid Consent", IF(AND(D1780="Legitimate Interest (GDPR Art. 6(1)(f))", L1780=""), "Gap - Missing LIA", IF(AND(G1780="Yes", H1780=""), "Gap - Missing Art. 9 Basis", IF(OR(I1780="Invalid - Not Freely Given", I1780="Invalid - Not Specific", I1780="Invalid - Not Informed", I1780="Invalid - Ambiguous"), "Gap - Invalid Consent", "Compliant")))))</f>
        <v/>
      </c>
      <c r="O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>
        <f>IF(D1781="Legitimate Interest (GDPR Art. 6(1)(f))", "Yes / Required (Sheet 3)", "")</f>
        <v/>
      </c>
      <c r="L1781" s="7" t="n"/>
      <c r="M1781" s="7" t="n"/>
      <c r="N1781">
        <f>IF(D1781="", "Gap - No Legal Basis", IF(AND(D1781="Consent (GDPR Art. 6(1)(a))", I1781="Not Captured"), "Gap - Invalid Consent", IF(AND(D1781="Legitimate Interest (GDPR Art. 6(1)(f))", L1781=""), "Gap - Missing LIA", IF(AND(G1781="Yes", H1781=""), "Gap - Missing Art. 9 Basis", IF(OR(I1781="Invalid - Not Freely Given", I1781="Invalid - Not Specific", I1781="Invalid - Not Informed", I1781="Invalid - Ambiguous"), "Gap - Invalid Consent", "Compliant")))))</f>
        <v/>
      </c>
      <c r="O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>
        <f>IF(D1782="Legitimate Interest (GDPR Art. 6(1)(f))", "Yes / Required (Sheet 3)", "")</f>
        <v/>
      </c>
      <c r="L1782" s="7" t="n"/>
      <c r="M1782" s="7" t="n"/>
      <c r="N1782">
        <f>IF(D1782="", "Gap - No Legal Basis", IF(AND(D1782="Consent (GDPR Art. 6(1)(a))", I1782="Not Captured"), "Gap - Invalid Consent", IF(AND(D1782="Legitimate Interest (GDPR Art. 6(1)(f))", L1782=""), "Gap - Missing LIA", IF(AND(G1782="Yes", H1782=""), "Gap - Missing Art. 9 Basis", IF(OR(I1782="Invalid - Not Freely Given", I1782="Invalid - Not Specific", I1782="Invalid - Not Informed", I1782="Invalid - Ambiguous"), "Gap - Invalid Consent", "Compliant")))))</f>
        <v/>
      </c>
      <c r="O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>
        <f>IF(D1783="Legitimate Interest (GDPR Art. 6(1)(f))", "Yes / Required (Sheet 3)", "")</f>
        <v/>
      </c>
      <c r="L1783" s="7" t="n"/>
      <c r="M1783" s="7" t="n"/>
      <c r="N1783">
        <f>IF(D1783="", "Gap - No Legal Basis", IF(AND(D1783="Consent (GDPR Art. 6(1)(a))", I1783="Not Captured"), "Gap - Invalid Consent", IF(AND(D1783="Legitimate Interest (GDPR Art. 6(1)(f))", L1783=""), "Gap - Missing LIA", IF(AND(G1783="Yes", H1783=""), "Gap - Missing Art. 9 Basis", IF(OR(I1783="Invalid - Not Freely Given", I1783="Invalid - Not Specific", I1783="Invalid - Not Informed", I1783="Invalid - Ambiguous"), "Gap - Invalid Consent", "Compliant")))))</f>
        <v/>
      </c>
      <c r="O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>
        <f>IF(D1784="Legitimate Interest (GDPR Art. 6(1)(f))", "Yes / Required (Sheet 3)", "")</f>
        <v/>
      </c>
      <c r="L1784" s="7" t="n"/>
      <c r="M1784" s="7" t="n"/>
      <c r="N1784">
        <f>IF(D1784="", "Gap - No Legal Basis", IF(AND(D1784="Consent (GDPR Art. 6(1)(a))", I1784="Not Captured"), "Gap - Invalid Consent", IF(AND(D1784="Legitimate Interest (GDPR Art. 6(1)(f))", L1784=""), "Gap - Missing LIA", IF(AND(G1784="Yes", H1784=""), "Gap - Missing Art. 9 Basis", IF(OR(I1784="Invalid - Not Freely Given", I1784="Invalid - Not Specific", I1784="Invalid - Not Informed", I1784="Invalid - Ambiguous"), "Gap - Invalid Consent", "Compliant")))))</f>
        <v/>
      </c>
      <c r="O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>
        <f>IF(D1785="Legitimate Interest (GDPR Art. 6(1)(f))", "Yes / Required (Sheet 3)", "")</f>
        <v/>
      </c>
      <c r="L1785" s="7" t="n"/>
      <c r="M1785" s="7" t="n"/>
      <c r="N1785">
        <f>IF(D1785="", "Gap - No Legal Basis", IF(AND(D1785="Consent (GDPR Art. 6(1)(a))", I1785="Not Captured"), "Gap - Invalid Consent", IF(AND(D1785="Legitimate Interest (GDPR Art. 6(1)(f))", L1785=""), "Gap - Missing LIA", IF(AND(G1785="Yes", H1785=""), "Gap - Missing Art. 9 Basis", IF(OR(I1785="Invalid - Not Freely Given", I1785="Invalid - Not Specific", I1785="Invalid - Not Informed", I1785="Invalid - Ambiguous"), "Gap - Invalid Consent", "Compliant")))))</f>
        <v/>
      </c>
      <c r="O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>
        <f>IF(D1786="Legitimate Interest (GDPR Art. 6(1)(f))", "Yes / Required (Sheet 3)", "")</f>
        <v/>
      </c>
      <c r="L1786" s="7" t="n"/>
      <c r="M1786" s="7" t="n"/>
      <c r="N1786">
        <f>IF(D1786="", "Gap - No Legal Basis", IF(AND(D1786="Consent (GDPR Art. 6(1)(a))", I1786="Not Captured"), "Gap - Invalid Consent", IF(AND(D1786="Legitimate Interest (GDPR Art. 6(1)(f))", L1786=""), "Gap - Missing LIA", IF(AND(G1786="Yes", H1786=""), "Gap - Missing Art. 9 Basis", IF(OR(I1786="Invalid - Not Freely Given", I1786="Invalid - Not Specific", I1786="Invalid - Not Informed", I1786="Invalid - Ambiguous"), "Gap - Invalid Consent", "Compliant")))))</f>
        <v/>
      </c>
      <c r="O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>
        <f>IF(D1787="Legitimate Interest (GDPR Art. 6(1)(f))", "Yes / Required (Sheet 3)", "")</f>
        <v/>
      </c>
      <c r="L1787" s="7" t="n"/>
      <c r="M1787" s="7" t="n"/>
      <c r="N1787">
        <f>IF(D1787="", "Gap - No Legal Basis", IF(AND(D1787="Consent (GDPR Art. 6(1)(a))", I1787="Not Captured"), "Gap - Invalid Consent", IF(AND(D1787="Legitimate Interest (GDPR Art. 6(1)(f))", L1787=""), "Gap - Missing LIA", IF(AND(G1787="Yes", H1787=""), "Gap - Missing Art. 9 Basis", IF(OR(I1787="Invalid - Not Freely Given", I1787="Invalid - Not Specific", I1787="Invalid - Not Informed", I1787="Invalid - Ambiguous"), "Gap - Invalid Consent", "Compliant")))))</f>
        <v/>
      </c>
      <c r="O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>
        <f>IF(D1788="Legitimate Interest (GDPR Art. 6(1)(f))", "Yes / Required (Sheet 3)", "")</f>
        <v/>
      </c>
      <c r="L1788" s="7" t="n"/>
      <c r="M1788" s="7" t="n"/>
      <c r="N1788">
        <f>IF(D1788="", "Gap - No Legal Basis", IF(AND(D1788="Consent (GDPR Art. 6(1)(a))", I1788="Not Captured"), "Gap - Invalid Consent", IF(AND(D1788="Legitimate Interest (GDPR Art. 6(1)(f))", L1788=""), "Gap - Missing LIA", IF(AND(G1788="Yes", H1788=""), "Gap - Missing Art. 9 Basis", IF(OR(I1788="Invalid - Not Freely Given", I1788="Invalid - Not Specific", I1788="Invalid - Not Informed", I1788="Invalid - Ambiguous"), "Gap - Invalid Consent", "Compliant")))))</f>
        <v/>
      </c>
      <c r="O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>
        <f>IF(D1789="Legitimate Interest (GDPR Art. 6(1)(f))", "Yes / Required (Sheet 3)", "")</f>
        <v/>
      </c>
      <c r="L1789" s="7" t="n"/>
      <c r="M1789" s="7" t="n"/>
      <c r="N1789">
        <f>IF(D1789="", "Gap - No Legal Basis", IF(AND(D1789="Consent (GDPR Art. 6(1)(a))", I1789="Not Captured"), "Gap - Invalid Consent", IF(AND(D1789="Legitimate Interest (GDPR Art. 6(1)(f))", L1789=""), "Gap - Missing LIA", IF(AND(G1789="Yes", H1789=""), "Gap - Missing Art. 9 Basis", IF(OR(I1789="Invalid - Not Freely Given", I1789="Invalid - Not Specific", I1789="Invalid - Not Informed", I1789="Invalid - Ambiguous"), "Gap - Invalid Consent", "Compliant")))))</f>
        <v/>
      </c>
      <c r="O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>
        <f>IF(D1790="Legitimate Interest (GDPR Art. 6(1)(f))", "Yes / Required (Sheet 3)", "")</f>
        <v/>
      </c>
      <c r="L1790" s="7" t="n"/>
      <c r="M1790" s="7" t="n"/>
      <c r="N1790">
        <f>IF(D1790="", "Gap - No Legal Basis", IF(AND(D1790="Consent (GDPR Art. 6(1)(a))", I1790="Not Captured"), "Gap - Invalid Consent", IF(AND(D1790="Legitimate Interest (GDPR Art. 6(1)(f))", L1790=""), "Gap - Missing LIA", IF(AND(G1790="Yes", H1790=""), "Gap - Missing Art. 9 Basis", IF(OR(I1790="Invalid - Not Freely Given", I1790="Invalid - Not Specific", I1790="Invalid - Not Informed", I1790="Invalid - Ambiguous"), "Gap - Invalid Consent", "Compliant")))))</f>
        <v/>
      </c>
      <c r="O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>
        <f>IF(D1791="Legitimate Interest (GDPR Art. 6(1)(f))", "Yes / Required (Sheet 3)", "")</f>
        <v/>
      </c>
      <c r="L1791" s="7" t="n"/>
      <c r="M1791" s="7" t="n"/>
      <c r="N1791">
        <f>IF(D1791="", "Gap - No Legal Basis", IF(AND(D1791="Consent (GDPR Art. 6(1)(a))", I1791="Not Captured"), "Gap - Invalid Consent", IF(AND(D1791="Legitimate Interest (GDPR Art. 6(1)(f))", L1791=""), "Gap - Missing LIA", IF(AND(G1791="Yes", H1791=""), "Gap - Missing Art. 9 Basis", IF(OR(I1791="Invalid - Not Freely Given", I1791="Invalid - Not Specific", I1791="Invalid - Not Informed", I1791="Invalid - Ambiguous"), "Gap - Invalid Consent", "Compliant")))))</f>
        <v/>
      </c>
      <c r="O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>
        <f>IF(D1792="Legitimate Interest (GDPR Art. 6(1)(f))", "Yes / Required (Sheet 3)", "")</f>
        <v/>
      </c>
      <c r="L1792" s="7" t="n"/>
      <c r="M1792" s="7" t="n"/>
      <c r="N1792">
        <f>IF(D1792="", "Gap - No Legal Basis", IF(AND(D1792="Consent (GDPR Art. 6(1)(a))", I1792="Not Captured"), "Gap - Invalid Consent", IF(AND(D1792="Legitimate Interest (GDPR Art. 6(1)(f))", L1792=""), "Gap - Missing LIA", IF(AND(G1792="Yes", H1792=""), "Gap - Missing Art. 9 Basis", IF(OR(I1792="Invalid - Not Freely Given", I1792="Invalid - Not Specific", I1792="Invalid - Not Informed", I1792="Invalid - Ambiguous"), "Gap - Invalid Consent", "Compliant")))))</f>
        <v/>
      </c>
      <c r="O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>
        <f>IF(D1793="Legitimate Interest (GDPR Art. 6(1)(f))", "Yes / Required (Sheet 3)", "")</f>
        <v/>
      </c>
      <c r="L1793" s="7" t="n"/>
      <c r="M1793" s="7" t="n"/>
      <c r="N1793">
        <f>IF(D1793="", "Gap - No Legal Basis", IF(AND(D1793="Consent (GDPR Art. 6(1)(a))", I1793="Not Captured"), "Gap - Invalid Consent", IF(AND(D1793="Legitimate Interest (GDPR Art. 6(1)(f))", L1793=""), "Gap - Missing LIA", IF(AND(G1793="Yes", H1793=""), "Gap - Missing Art. 9 Basis", IF(OR(I1793="Invalid - Not Freely Given", I1793="Invalid - Not Specific", I1793="Invalid - Not Informed", I1793="Invalid - Ambiguous"), "Gap - Invalid Consent", "Compliant")))))</f>
        <v/>
      </c>
      <c r="O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>
        <f>IF(D1794="Legitimate Interest (GDPR Art. 6(1)(f))", "Yes / Required (Sheet 3)", "")</f>
        <v/>
      </c>
      <c r="L1794" s="7" t="n"/>
      <c r="M1794" s="7" t="n"/>
      <c r="N1794">
        <f>IF(D1794="", "Gap - No Legal Basis", IF(AND(D1794="Consent (GDPR Art. 6(1)(a))", I1794="Not Captured"), "Gap - Invalid Consent", IF(AND(D1794="Legitimate Interest (GDPR Art. 6(1)(f))", L1794=""), "Gap - Missing LIA", IF(AND(G1794="Yes", H1794=""), "Gap - Missing Art. 9 Basis", IF(OR(I1794="Invalid - Not Freely Given", I1794="Invalid - Not Specific", I1794="Invalid - Not Informed", I1794="Invalid - Ambiguous"), "Gap - Invalid Consent", "Compliant")))))</f>
        <v/>
      </c>
      <c r="O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>
        <f>IF(D1795="Legitimate Interest (GDPR Art. 6(1)(f))", "Yes / Required (Sheet 3)", "")</f>
        <v/>
      </c>
      <c r="L1795" s="7" t="n"/>
      <c r="M1795" s="7" t="n"/>
      <c r="N1795">
        <f>IF(D1795="", "Gap - No Legal Basis", IF(AND(D1795="Consent (GDPR Art. 6(1)(a))", I1795="Not Captured"), "Gap - Invalid Consent", IF(AND(D1795="Legitimate Interest (GDPR Art. 6(1)(f))", L1795=""), "Gap - Missing LIA", IF(AND(G1795="Yes", H1795=""), "Gap - Missing Art. 9 Basis", IF(OR(I1795="Invalid - Not Freely Given", I1795="Invalid - Not Specific", I1795="Invalid - Not Informed", I1795="Invalid - Ambiguous"), "Gap - Invalid Consent", "Compliant")))))</f>
        <v/>
      </c>
      <c r="O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>
        <f>IF(D1796="Legitimate Interest (GDPR Art. 6(1)(f))", "Yes / Required (Sheet 3)", "")</f>
        <v/>
      </c>
      <c r="L1796" s="7" t="n"/>
      <c r="M1796" s="7" t="n"/>
      <c r="N1796">
        <f>IF(D1796="", "Gap - No Legal Basis", IF(AND(D1796="Consent (GDPR Art. 6(1)(a))", I1796="Not Captured"), "Gap - Invalid Consent", IF(AND(D1796="Legitimate Interest (GDPR Art. 6(1)(f))", L1796=""), "Gap - Missing LIA", IF(AND(G1796="Yes", H1796=""), "Gap - Missing Art. 9 Basis", IF(OR(I1796="Invalid - Not Freely Given", I1796="Invalid - Not Specific", I1796="Invalid - Not Informed", I1796="Invalid - Ambiguous"), "Gap - Invalid Consent", "Compliant")))))</f>
        <v/>
      </c>
      <c r="O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>
        <f>IF(D1797="Legitimate Interest (GDPR Art. 6(1)(f))", "Yes / Required (Sheet 3)", "")</f>
        <v/>
      </c>
      <c r="L1797" s="7" t="n"/>
      <c r="M1797" s="7" t="n"/>
      <c r="N1797">
        <f>IF(D1797="", "Gap - No Legal Basis", IF(AND(D1797="Consent (GDPR Art. 6(1)(a))", I1797="Not Captured"), "Gap - Invalid Consent", IF(AND(D1797="Legitimate Interest (GDPR Art. 6(1)(f))", L1797=""), "Gap - Missing LIA", IF(AND(G1797="Yes", H1797=""), "Gap - Missing Art. 9 Basis", IF(OR(I1797="Invalid - Not Freely Given", I1797="Invalid - Not Specific", I1797="Invalid - Not Informed", I1797="Invalid - Ambiguous"), "Gap - Invalid Consent", "Compliant")))))</f>
        <v/>
      </c>
      <c r="O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>
        <f>IF(D1798="Legitimate Interest (GDPR Art. 6(1)(f))", "Yes / Required (Sheet 3)", "")</f>
        <v/>
      </c>
      <c r="L1798" s="7" t="n"/>
      <c r="M1798" s="7" t="n"/>
      <c r="N1798">
        <f>IF(D1798="", "Gap - No Legal Basis", IF(AND(D1798="Consent (GDPR Art. 6(1)(a))", I1798="Not Captured"), "Gap - Invalid Consent", IF(AND(D1798="Legitimate Interest (GDPR Art. 6(1)(f))", L1798=""), "Gap - Missing LIA", IF(AND(G1798="Yes", H1798=""), "Gap - Missing Art. 9 Basis", IF(OR(I1798="Invalid - Not Freely Given", I1798="Invalid - Not Specific", I1798="Invalid - Not Informed", I1798="Invalid - Ambiguous"), "Gap - Invalid Consent", "Compliant")))))</f>
        <v/>
      </c>
      <c r="O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>
        <f>IF(D1799="Legitimate Interest (GDPR Art. 6(1)(f))", "Yes / Required (Sheet 3)", "")</f>
        <v/>
      </c>
      <c r="L1799" s="7" t="n"/>
      <c r="M1799" s="7" t="n"/>
      <c r="N1799">
        <f>IF(D1799="", "Gap - No Legal Basis", IF(AND(D1799="Consent (GDPR Art. 6(1)(a))", I1799="Not Captured"), "Gap - Invalid Consent", IF(AND(D1799="Legitimate Interest (GDPR Art. 6(1)(f))", L1799=""), "Gap - Missing LIA", IF(AND(G1799="Yes", H1799=""), "Gap - Missing Art. 9 Basis", IF(OR(I1799="Invalid - Not Freely Given", I1799="Invalid - Not Specific", I1799="Invalid - Not Informed", I1799="Invalid - Ambiguous"), "Gap - Invalid Consent", "Compliant")))))</f>
        <v/>
      </c>
      <c r="O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>
        <f>IF(D1800="Legitimate Interest (GDPR Art. 6(1)(f))", "Yes / Required (Sheet 3)", "")</f>
        <v/>
      </c>
      <c r="L1800" s="7" t="n"/>
      <c r="M1800" s="7" t="n"/>
      <c r="N1800">
        <f>IF(D1800="", "Gap - No Legal Basis", IF(AND(D1800="Consent (GDPR Art. 6(1)(a))", I1800="Not Captured"), "Gap - Invalid Consent", IF(AND(D1800="Legitimate Interest (GDPR Art. 6(1)(f))", L1800=""), "Gap - Missing LIA", IF(AND(G1800="Yes", H1800=""), "Gap - Missing Art. 9 Basis", IF(OR(I1800="Invalid - Not Freely Given", I1800="Invalid - Not Specific", I1800="Invalid - Not Informed", I1800="Invalid - Ambiguous"), "Gap - Invalid Consent", "Compliant")))))</f>
        <v/>
      </c>
      <c r="O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>
        <f>IF(D1801="Legitimate Interest (GDPR Art. 6(1)(f))", "Yes / Required (Sheet 3)", "")</f>
        <v/>
      </c>
      <c r="L1801" s="7" t="n"/>
      <c r="M1801" s="7" t="n"/>
      <c r="N1801">
        <f>IF(D1801="", "Gap - No Legal Basis", IF(AND(D1801="Consent (GDPR Art. 6(1)(a))", I1801="Not Captured"), "Gap - Invalid Consent", IF(AND(D1801="Legitimate Interest (GDPR Art. 6(1)(f))", L1801=""), "Gap - Missing LIA", IF(AND(G1801="Yes", H1801=""), "Gap - Missing Art. 9 Basis", IF(OR(I1801="Invalid - Not Freely Given", I1801="Invalid - Not Specific", I1801="Invalid - Not Informed", I1801="Invalid - Ambiguous"), "Gap - Invalid Consent", "Compliant")))))</f>
        <v/>
      </c>
      <c r="O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>
        <f>IF(D1802="Legitimate Interest (GDPR Art. 6(1)(f))", "Yes / Required (Sheet 3)", "")</f>
        <v/>
      </c>
      <c r="L1802" s="7" t="n"/>
      <c r="M1802" s="7" t="n"/>
      <c r="N1802">
        <f>IF(D1802="", "Gap - No Legal Basis", IF(AND(D1802="Consent (GDPR Art. 6(1)(a))", I1802="Not Captured"), "Gap - Invalid Consent", IF(AND(D1802="Legitimate Interest (GDPR Art. 6(1)(f))", L1802=""), "Gap - Missing LIA", IF(AND(G1802="Yes", H1802=""), "Gap - Missing Art. 9 Basis", IF(OR(I1802="Invalid - Not Freely Given", I1802="Invalid - Not Specific", I1802="Invalid - Not Informed", I1802="Invalid - Ambiguous"), "Gap - Invalid Consent", "Compliant")))))</f>
        <v/>
      </c>
      <c r="O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>
        <f>IF(D1803="Legitimate Interest (GDPR Art. 6(1)(f))", "Yes / Required (Sheet 3)", "")</f>
        <v/>
      </c>
      <c r="L1803" s="7" t="n"/>
      <c r="M1803" s="7" t="n"/>
      <c r="N1803">
        <f>IF(D1803="", "Gap - No Legal Basis", IF(AND(D1803="Consent (GDPR Art. 6(1)(a))", I1803="Not Captured"), "Gap - Invalid Consent", IF(AND(D1803="Legitimate Interest (GDPR Art. 6(1)(f))", L1803=""), "Gap - Missing LIA", IF(AND(G1803="Yes", H1803=""), "Gap - Missing Art. 9 Basis", IF(OR(I1803="Invalid - Not Freely Given", I1803="Invalid - Not Specific", I1803="Invalid - Not Informed", I1803="Invalid - Ambiguous"), "Gap - Invalid Consent", "Compliant")))))</f>
        <v/>
      </c>
      <c r="O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>
        <f>IF(D1804="Legitimate Interest (GDPR Art. 6(1)(f))", "Yes / Required (Sheet 3)", "")</f>
        <v/>
      </c>
      <c r="L1804" s="7" t="n"/>
      <c r="M1804" s="7" t="n"/>
      <c r="N1804">
        <f>IF(D1804="", "Gap - No Legal Basis", IF(AND(D1804="Consent (GDPR Art. 6(1)(a))", I1804="Not Captured"), "Gap - Invalid Consent", IF(AND(D1804="Legitimate Interest (GDPR Art. 6(1)(f))", L1804=""), "Gap - Missing LIA", IF(AND(G1804="Yes", H1804=""), "Gap - Missing Art. 9 Basis", IF(OR(I1804="Invalid - Not Freely Given", I1804="Invalid - Not Specific", I1804="Invalid - Not Informed", I1804="Invalid - Ambiguous"), "Gap - Invalid Consent", "Compliant")))))</f>
        <v/>
      </c>
      <c r="O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>
        <f>IF(D1805="Legitimate Interest (GDPR Art. 6(1)(f))", "Yes / Required (Sheet 3)", "")</f>
        <v/>
      </c>
      <c r="L1805" s="7" t="n"/>
      <c r="M1805" s="7" t="n"/>
      <c r="N1805">
        <f>IF(D1805="", "Gap - No Legal Basis", IF(AND(D1805="Consent (GDPR Art. 6(1)(a))", I1805="Not Captured"), "Gap - Invalid Consent", IF(AND(D1805="Legitimate Interest (GDPR Art. 6(1)(f))", L1805=""), "Gap - Missing LIA", IF(AND(G1805="Yes", H1805=""), "Gap - Missing Art. 9 Basis", IF(OR(I1805="Invalid - Not Freely Given", I1805="Invalid - Not Specific", I1805="Invalid - Not Informed", I1805="Invalid - Ambiguous"), "Gap - Invalid Consent", "Compliant")))))</f>
        <v/>
      </c>
      <c r="O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>
        <f>IF(D1806="Legitimate Interest (GDPR Art. 6(1)(f))", "Yes / Required (Sheet 3)", "")</f>
        <v/>
      </c>
      <c r="L1806" s="7" t="n"/>
      <c r="M1806" s="7" t="n"/>
      <c r="N1806">
        <f>IF(D1806="", "Gap - No Legal Basis", IF(AND(D1806="Consent (GDPR Art. 6(1)(a))", I1806="Not Captured"), "Gap - Invalid Consent", IF(AND(D1806="Legitimate Interest (GDPR Art. 6(1)(f))", L1806=""), "Gap - Missing LIA", IF(AND(G1806="Yes", H1806=""), "Gap - Missing Art. 9 Basis", IF(OR(I1806="Invalid - Not Freely Given", I1806="Invalid - Not Specific", I1806="Invalid - Not Informed", I1806="Invalid - Ambiguous"), "Gap - Invalid Consent", "Compliant")))))</f>
        <v/>
      </c>
      <c r="O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>
        <f>IF(D1807="Legitimate Interest (GDPR Art. 6(1)(f))", "Yes / Required (Sheet 3)", "")</f>
        <v/>
      </c>
      <c r="L1807" s="7" t="n"/>
      <c r="M1807" s="7" t="n"/>
      <c r="N1807">
        <f>IF(D1807="", "Gap - No Legal Basis", IF(AND(D1807="Consent (GDPR Art. 6(1)(a))", I1807="Not Captured"), "Gap - Invalid Consent", IF(AND(D1807="Legitimate Interest (GDPR Art. 6(1)(f))", L1807=""), "Gap - Missing LIA", IF(AND(G1807="Yes", H1807=""), "Gap - Missing Art. 9 Basis", IF(OR(I1807="Invalid - Not Freely Given", I1807="Invalid - Not Specific", I1807="Invalid - Not Informed", I1807="Invalid - Ambiguous"), "Gap - Invalid Consent", "Compliant")))))</f>
        <v/>
      </c>
      <c r="O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>
        <f>IF(D1808="Legitimate Interest (GDPR Art. 6(1)(f))", "Yes / Required (Sheet 3)", "")</f>
        <v/>
      </c>
      <c r="L1808" s="7" t="n"/>
      <c r="M1808" s="7" t="n"/>
      <c r="N1808">
        <f>IF(D1808="", "Gap - No Legal Basis", IF(AND(D1808="Consent (GDPR Art. 6(1)(a))", I1808="Not Captured"), "Gap - Invalid Consent", IF(AND(D1808="Legitimate Interest (GDPR Art. 6(1)(f))", L1808=""), "Gap - Missing LIA", IF(AND(G1808="Yes", H1808=""), "Gap - Missing Art. 9 Basis", IF(OR(I1808="Invalid - Not Freely Given", I1808="Invalid - Not Specific", I1808="Invalid - Not Informed", I1808="Invalid - Ambiguous"), "Gap - Invalid Consent", "Compliant")))))</f>
        <v/>
      </c>
      <c r="O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>
        <f>IF(D1809="Legitimate Interest (GDPR Art. 6(1)(f))", "Yes / Required (Sheet 3)", "")</f>
        <v/>
      </c>
      <c r="L1809" s="7" t="n"/>
      <c r="M1809" s="7" t="n"/>
      <c r="N1809">
        <f>IF(D1809="", "Gap - No Legal Basis", IF(AND(D1809="Consent (GDPR Art. 6(1)(a))", I1809="Not Captured"), "Gap - Invalid Consent", IF(AND(D1809="Legitimate Interest (GDPR Art. 6(1)(f))", L1809=""), "Gap - Missing LIA", IF(AND(G1809="Yes", H1809=""), "Gap - Missing Art. 9 Basis", IF(OR(I1809="Invalid - Not Freely Given", I1809="Invalid - Not Specific", I1809="Invalid - Not Informed", I1809="Invalid - Ambiguous"), "Gap - Invalid Consent", "Compliant")))))</f>
        <v/>
      </c>
      <c r="O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>
        <f>IF(D1810="Legitimate Interest (GDPR Art. 6(1)(f))", "Yes / Required (Sheet 3)", "")</f>
        <v/>
      </c>
      <c r="L1810" s="7" t="n"/>
      <c r="M1810" s="7" t="n"/>
      <c r="N1810">
        <f>IF(D1810="", "Gap - No Legal Basis", IF(AND(D1810="Consent (GDPR Art. 6(1)(a))", I1810="Not Captured"), "Gap - Invalid Consent", IF(AND(D1810="Legitimate Interest (GDPR Art. 6(1)(f))", L1810=""), "Gap - Missing LIA", IF(AND(G1810="Yes", H1810=""), "Gap - Missing Art. 9 Basis", IF(OR(I1810="Invalid - Not Freely Given", I1810="Invalid - Not Specific", I1810="Invalid - Not Informed", I1810="Invalid - Ambiguous"), "Gap - Invalid Consent", "Compliant")))))</f>
        <v/>
      </c>
      <c r="O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>
        <f>IF(D1811="Legitimate Interest (GDPR Art. 6(1)(f))", "Yes / Required (Sheet 3)", "")</f>
        <v/>
      </c>
      <c r="L1811" s="7" t="n"/>
      <c r="M1811" s="7" t="n"/>
      <c r="N1811">
        <f>IF(D1811="", "Gap - No Legal Basis", IF(AND(D1811="Consent (GDPR Art. 6(1)(a))", I1811="Not Captured"), "Gap - Invalid Consent", IF(AND(D1811="Legitimate Interest (GDPR Art. 6(1)(f))", L1811=""), "Gap - Missing LIA", IF(AND(G1811="Yes", H1811=""), "Gap - Missing Art. 9 Basis", IF(OR(I1811="Invalid - Not Freely Given", I1811="Invalid - Not Specific", I1811="Invalid - Not Informed", I1811="Invalid - Ambiguous"), "Gap - Invalid Consent", "Compliant")))))</f>
        <v/>
      </c>
      <c r="O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>
        <f>IF(D1812="Legitimate Interest (GDPR Art. 6(1)(f))", "Yes / Required (Sheet 3)", "")</f>
        <v/>
      </c>
      <c r="L1812" s="7" t="n"/>
      <c r="M1812" s="7" t="n"/>
      <c r="N1812">
        <f>IF(D1812="", "Gap - No Legal Basis", IF(AND(D1812="Consent (GDPR Art. 6(1)(a))", I1812="Not Captured"), "Gap - Invalid Consent", IF(AND(D1812="Legitimate Interest (GDPR Art. 6(1)(f))", L1812=""), "Gap - Missing LIA", IF(AND(G1812="Yes", H1812=""), "Gap - Missing Art. 9 Basis", IF(OR(I1812="Invalid - Not Freely Given", I1812="Invalid - Not Specific", I1812="Invalid - Not Informed", I1812="Invalid - Ambiguous"), "Gap - Invalid Consent", "Compliant")))))</f>
        <v/>
      </c>
      <c r="O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>
        <f>IF(D1813="Legitimate Interest (GDPR Art. 6(1)(f))", "Yes / Required (Sheet 3)", "")</f>
        <v/>
      </c>
      <c r="L1813" s="7" t="n"/>
      <c r="M1813" s="7" t="n"/>
      <c r="N1813">
        <f>IF(D1813="", "Gap - No Legal Basis", IF(AND(D1813="Consent (GDPR Art. 6(1)(a))", I1813="Not Captured"), "Gap - Invalid Consent", IF(AND(D1813="Legitimate Interest (GDPR Art. 6(1)(f))", L1813=""), "Gap - Missing LIA", IF(AND(G1813="Yes", H1813=""), "Gap - Missing Art. 9 Basis", IF(OR(I1813="Invalid - Not Freely Given", I1813="Invalid - Not Specific", I1813="Invalid - Not Informed", I1813="Invalid - Ambiguous"), "Gap - Invalid Consent", "Compliant")))))</f>
        <v/>
      </c>
      <c r="O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>
        <f>IF(D1814="Legitimate Interest (GDPR Art. 6(1)(f))", "Yes / Required (Sheet 3)", "")</f>
        <v/>
      </c>
      <c r="L1814" s="7" t="n"/>
      <c r="M1814" s="7" t="n"/>
      <c r="N1814">
        <f>IF(D1814="", "Gap - No Legal Basis", IF(AND(D1814="Consent (GDPR Art. 6(1)(a))", I1814="Not Captured"), "Gap - Invalid Consent", IF(AND(D1814="Legitimate Interest (GDPR Art. 6(1)(f))", L1814=""), "Gap - Missing LIA", IF(AND(G1814="Yes", H1814=""), "Gap - Missing Art. 9 Basis", IF(OR(I1814="Invalid - Not Freely Given", I1814="Invalid - Not Specific", I1814="Invalid - Not Informed", I1814="Invalid - Ambiguous"), "Gap - Invalid Consent", "Compliant")))))</f>
        <v/>
      </c>
      <c r="O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>
        <f>IF(D1815="Legitimate Interest (GDPR Art. 6(1)(f))", "Yes / Required (Sheet 3)", "")</f>
        <v/>
      </c>
      <c r="L1815" s="7" t="n"/>
      <c r="M1815" s="7" t="n"/>
      <c r="N1815">
        <f>IF(D1815="", "Gap - No Legal Basis", IF(AND(D1815="Consent (GDPR Art. 6(1)(a))", I1815="Not Captured"), "Gap - Invalid Consent", IF(AND(D1815="Legitimate Interest (GDPR Art. 6(1)(f))", L1815=""), "Gap - Missing LIA", IF(AND(G1815="Yes", H1815=""), "Gap - Missing Art. 9 Basis", IF(OR(I1815="Invalid - Not Freely Given", I1815="Invalid - Not Specific", I1815="Invalid - Not Informed", I1815="Invalid - Ambiguous"), "Gap - Invalid Consent", "Compliant")))))</f>
        <v/>
      </c>
      <c r="O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>
        <f>IF(D1816="Legitimate Interest (GDPR Art. 6(1)(f))", "Yes / Required (Sheet 3)", "")</f>
        <v/>
      </c>
      <c r="L1816" s="7" t="n"/>
      <c r="M1816" s="7" t="n"/>
      <c r="N1816">
        <f>IF(D1816="", "Gap - No Legal Basis", IF(AND(D1816="Consent (GDPR Art. 6(1)(a))", I1816="Not Captured"), "Gap - Invalid Consent", IF(AND(D1816="Legitimate Interest (GDPR Art. 6(1)(f))", L1816=""), "Gap - Missing LIA", IF(AND(G1816="Yes", H1816=""), "Gap - Missing Art. 9 Basis", IF(OR(I1816="Invalid - Not Freely Given", I1816="Invalid - Not Specific", I1816="Invalid - Not Informed", I1816="Invalid - Ambiguous"), "Gap - Invalid Consent", "Compliant")))))</f>
        <v/>
      </c>
      <c r="O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>
        <f>IF(D1817="Legitimate Interest (GDPR Art. 6(1)(f))", "Yes / Required (Sheet 3)", "")</f>
        <v/>
      </c>
      <c r="L1817" s="7" t="n"/>
      <c r="M1817" s="7" t="n"/>
      <c r="N1817">
        <f>IF(D1817="", "Gap - No Legal Basis", IF(AND(D1817="Consent (GDPR Art. 6(1)(a))", I1817="Not Captured"), "Gap - Invalid Consent", IF(AND(D1817="Legitimate Interest (GDPR Art. 6(1)(f))", L1817=""), "Gap - Missing LIA", IF(AND(G1817="Yes", H1817=""), "Gap - Missing Art. 9 Basis", IF(OR(I1817="Invalid - Not Freely Given", I1817="Invalid - Not Specific", I1817="Invalid - Not Informed", I1817="Invalid - Ambiguous"), "Gap - Invalid Consent", "Compliant")))))</f>
        <v/>
      </c>
      <c r="O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>
        <f>IF(D1818="Legitimate Interest (GDPR Art. 6(1)(f))", "Yes / Required (Sheet 3)", "")</f>
        <v/>
      </c>
      <c r="L1818" s="7" t="n"/>
      <c r="M1818" s="7" t="n"/>
      <c r="N1818">
        <f>IF(D1818="", "Gap - No Legal Basis", IF(AND(D1818="Consent (GDPR Art. 6(1)(a))", I1818="Not Captured"), "Gap - Invalid Consent", IF(AND(D1818="Legitimate Interest (GDPR Art. 6(1)(f))", L1818=""), "Gap - Missing LIA", IF(AND(G1818="Yes", H1818=""), "Gap - Missing Art. 9 Basis", IF(OR(I1818="Invalid - Not Freely Given", I1818="Invalid - Not Specific", I1818="Invalid - Not Informed", I1818="Invalid - Ambiguous"), "Gap - Invalid Consent", "Compliant")))))</f>
        <v/>
      </c>
      <c r="O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>
        <f>IF(D1819="Legitimate Interest (GDPR Art. 6(1)(f))", "Yes / Required (Sheet 3)", "")</f>
        <v/>
      </c>
      <c r="L1819" s="7" t="n"/>
      <c r="M1819" s="7" t="n"/>
      <c r="N1819">
        <f>IF(D1819="", "Gap - No Legal Basis", IF(AND(D1819="Consent (GDPR Art. 6(1)(a))", I1819="Not Captured"), "Gap - Invalid Consent", IF(AND(D1819="Legitimate Interest (GDPR Art. 6(1)(f))", L1819=""), "Gap - Missing LIA", IF(AND(G1819="Yes", H1819=""), "Gap - Missing Art. 9 Basis", IF(OR(I1819="Invalid - Not Freely Given", I1819="Invalid - Not Specific", I1819="Invalid - Not Informed", I1819="Invalid - Ambiguous"), "Gap - Invalid Consent", "Compliant")))))</f>
        <v/>
      </c>
      <c r="O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>
        <f>IF(D1820="Legitimate Interest (GDPR Art. 6(1)(f))", "Yes / Required (Sheet 3)", "")</f>
        <v/>
      </c>
      <c r="L1820" s="7" t="n"/>
      <c r="M1820" s="7" t="n"/>
      <c r="N1820">
        <f>IF(D1820="", "Gap - No Legal Basis", IF(AND(D1820="Consent (GDPR Art. 6(1)(a))", I1820="Not Captured"), "Gap - Invalid Consent", IF(AND(D1820="Legitimate Interest (GDPR Art. 6(1)(f))", L1820=""), "Gap - Missing LIA", IF(AND(G1820="Yes", H1820=""), "Gap - Missing Art. 9 Basis", IF(OR(I1820="Invalid - Not Freely Given", I1820="Invalid - Not Specific", I1820="Invalid - Not Informed", I1820="Invalid - Ambiguous"), "Gap - Invalid Consent", "Compliant")))))</f>
        <v/>
      </c>
      <c r="O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>
        <f>IF(D1821="Legitimate Interest (GDPR Art. 6(1)(f))", "Yes / Required (Sheet 3)", "")</f>
        <v/>
      </c>
      <c r="L1821" s="7" t="n"/>
      <c r="M1821" s="7" t="n"/>
      <c r="N1821">
        <f>IF(D1821="", "Gap - No Legal Basis", IF(AND(D1821="Consent (GDPR Art. 6(1)(a))", I1821="Not Captured"), "Gap - Invalid Consent", IF(AND(D1821="Legitimate Interest (GDPR Art. 6(1)(f))", L1821=""), "Gap - Missing LIA", IF(AND(G1821="Yes", H1821=""), "Gap - Missing Art. 9 Basis", IF(OR(I1821="Invalid - Not Freely Given", I1821="Invalid - Not Specific", I1821="Invalid - Not Informed", I1821="Invalid - Ambiguous"), "Gap - Invalid Consent", "Compliant")))))</f>
        <v/>
      </c>
      <c r="O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>
        <f>IF(D1822="Legitimate Interest (GDPR Art. 6(1)(f))", "Yes / Required (Sheet 3)", "")</f>
        <v/>
      </c>
      <c r="L1822" s="7" t="n"/>
      <c r="M1822" s="7" t="n"/>
      <c r="N1822">
        <f>IF(D1822="", "Gap - No Legal Basis", IF(AND(D1822="Consent (GDPR Art. 6(1)(a))", I1822="Not Captured"), "Gap - Invalid Consent", IF(AND(D1822="Legitimate Interest (GDPR Art. 6(1)(f))", L1822=""), "Gap - Missing LIA", IF(AND(G1822="Yes", H1822=""), "Gap - Missing Art. 9 Basis", IF(OR(I1822="Invalid - Not Freely Given", I1822="Invalid - Not Specific", I1822="Invalid - Not Informed", I1822="Invalid - Ambiguous"), "Gap - Invalid Consent", "Compliant")))))</f>
        <v/>
      </c>
      <c r="O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>
        <f>IF(D1823="Legitimate Interest (GDPR Art. 6(1)(f))", "Yes / Required (Sheet 3)", "")</f>
        <v/>
      </c>
      <c r="L1823" s="7" t="n"/>
      <c r="M1823" s="7" t="n"/>
      <c r="N1823">
        <f>IF(D1823="", "Gap - No Legal Basis", IF(AND(D1823="Consent (GDPR Art. 6(1)(a))", I1823="Not Captured"), "Gap - Invalid Consent", IF(AND(D1823="Legitimate Interest (GDPR Art. 6(1)(f))", L1823=""), "Gap - Missing LIA", IF(AND(G1823="Yes", H1823=""), "Gap - Missing Art. 9 Basis", IF(OR(I1823="Invalid - Not Freely Given", I1823="Invalid - Not Specific", I1823="Invalid - Not Informed", I1823="Invalid - Ambiguous"), "Gap - Invalid Consent", "Compliant")))))</f>
        <v/>
      </c>
      <c r="O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>
        <f>IF(D1824="Legitimate Interest (GDPR Art. 6(1)(f))", "Yes / Required (Sheet 3)", "")</f>
        <v/>
      </c>
      <c r="L1824" s="7" t="n"/>
      <c r="M1824" s="7" t="n"/>
      <c r="N1824">
        <f>IF(D1824="", "Gap - No Legal Basis", IF(AND(D1824="Consent (GDPR Art. 6(1)(a))", I1824="Not Captured"), "Gap - Invalid Consent", IF(AND(D1824="Legitimate Interest (GDPR Art. 6(1)(f))", L1824=""), "Gap - Missing LIA", IF(AND(G1824="Yes", H1824=""), "Gap - Missing Art. 9 Basis", IF(OR(I1824="Invalid - Not Freely Given", I1824="Invalid - Not Specific", I1824="Invalid - Not Informed", I1824="Invalid - Ambiguous"), "Gap - Invalid Consent", "Compliant")))))</f>
        <v/>
      </c>
      <c r="O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>
        <f>IF(D1825="Legitimate Interest (GDPR Art. 6(1)(f))", "Yes / Required (Sheet 3)", "")</f>
        <v/>
      </c>
      <c r="L1825" s="7" t="n"/>
      <c r="M1825" s="7" t="n"/>
      <c r="N1825">
        <f>IF(D1825="", "Gap - No Legal Basis", IF(AND(D1825="Consent (GDPR Art. 6(1)(a))", I1825="Not Captured"), "Gap - Invalid Consent", IF(AND(D1825="Legitimate Interest (GDPR Art. 6(1)(f))", L1825=""), "Gap - Missing LIA", IF(AND(G1825="Yes", H1825=""), "Gap - Missing Art. 9 Basis", IF(OR(I1825="Invalid - Not Freely Given", I1825="Invalid - Not Specific", I1825="Invalid - Not Informed", I1825="Invalid - Ambiguous"), "Gap - Invalid Consent", "Compliant")))))</f>
        <v/>
      </c>
      <c r="O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>
        <f>IF(D1826="Legitimate Interest (GDPR Art. 6(1)(f))", "Yes / Required (Sheet 3)", "")</f>
        <v/>
      </c>
      <c r="L1826" s="7" t="n"/>
      <c r="M1826" s="7" t="n"/>
      <c r="N1826">
        <f>IF(D1826="", "Gap - No Legal Basis", IF(AND(D1826="Consent (GDPR Art. 6(1)(a))", I1826="Not Captured"), "Gap - Invalid Consent", IF(AND(D1826="Legitimate Interest (GDPR Art. 6(1)(f))", L1826=""), "Gap - Missing LIA", IF(AND(G1826="Yes", H1826=""), "Gap - Missing Art. 9 Basis", IF(OR(I1826="Invalid - Not Freely Given", I1826="Invalid - Not Specific", I1826="Invalid - Not Informed", I1826="Invalid - Ambiguous"), "Gap - Invalid Consent", "Compliant")))))</f>
        <v/>
      </c>
      <c r="O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>
        <f>IF(D1827="Legitimate Interest (GDPR Art. 6(1)(f))", "Yes / Required (Sheet 3)", "")</f>
        <v/>
      </c>
      <c r="L1827" s="7" t="n"/>
      <c r="M1827" s="7" t="n"/>
      <c r="N1827">
        <f>IF(D1827="", "Gap - No Legal Basis", IF(AND(D1827="Consent (GDPR Art. 6(1)(a))", I1827="Not Captured"), "Gap - Invalid Consent", IF(AND(D1827="Legitimate Interest (GDPR Art. 6(1)(f))", L1827=""), "Gap - Missing LIA", IF(AND(G1827="Yes", H1827=""), "Gap - Missing Art. 9 Basis", IF(OR(I1827="Invalid - Not Freely Given", I1827="Invalid - Not Specific", I1827="Invalid - Not Informed", I1827="Invalid - Ambiguous"), "Gap - Invalid Consent", "Compliant")))))</f>
        <v/>
      </c>
      <c r="O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>
        <f>IF(D1828="Legitimate Interest (GDPR Art. 6(1)(f))", "Yes / Required (Sheet 3)", "")</f>
        <v/>
      </c>
      <c r="L1828" s="7" t="n"/>
      <c r="M1828" s="7" t="n"/>
      <c r="N1828">
        <f>IF(D1828="", "Gap - No Legal Basis", IF(AND(D1828="Consent (GDPR Art. 6(1)(a))", I1828="Not Captured"), "Gap - Invalid Consent", IF(AND(D1828="Legitimate Interest (GDPR Art. 6(1)(f))", L1828=""), "Gap - Missing LIA", IF(AND(G1828="Yes", H1828=""), "Gap - Missing Art. 9 Basis", IF(OR(I1828="Invalid - Not Freely Given", I1828="Invalid - Not Specific", I1828="Invalid - Not Informed", I1828="Invalid - Ambiguous"), "Gap - Invalid Consent", "Compliant")))))</f>
        <v/>
      </c>
      <c r="O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>
        <f>IF(D1829="Legitimate Interest (GDPR Art. 6(1)(f))", "Yes / Required (Sheet 3)", "")</f>
        <v/>
      </c>
      <c r="L1829" s="7" t="n"/>
      <c r="M1829" s="7" t="n"/>
      <c r="N1829">
        <f>IF(D1829="", "Gap - No Legal Basis", IF(AND(D1829="Consent (GDPR Art. 6(1)(a))", I1829="Not Captured"), "Gap - Invalid Consent", IF(AND(D1829="Legitimate Interest (GDPR Art. 6(1)(f))", L1829=""), "Gap - Missing LIA", IF(AND(G1829="Yes", H1829=""), "Gap - Missing Art. 9 Basis", IF(OR(I1829="Invalid - Not Freely Given", I1829="Invalid - Not Specific", I1829="Invalid - Not Informed", I1829="Invalid - Ambiguous"), "Gap - Invalid Consent", "Compliant")))))</f>
        <v/>
      </c>
      <c r="O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>
        <f>IF(D1830="Legitimate Interest (GDPR Art. 6(1)(f))", "Yes / Required (Sheet 3)", "")</f>
        <v/>
      </c>
      <c r="L1830" s="7" t="n"/>
      <c r="M1830" s="7" t="n"/>
      <c r="N1830">
        <f>IF(D1830="", "Gap - No Legal Basis", IF(AND(D1830="Consent (GDPR Art. 6(1)(a))", I1830="Not Captured"), "Gap - Invalid Consent", IF(AND(D1830="Legitimate Interest (GDPR Art. 6(1)(f))", L1830=""), "Gap - Missing LIA", IF(AND(G1830="Yes", H1830=""), "Gap - Missing Art. 9 Basis", IF(OR(I1830="Invalid - Not Freely Given", I1830="Invalid - Not Specific", I1830="Invalid - Not Informed", I1830="Invalid - Ambiguous"), "Gap - Invalid Consent", "Compliant")))))</f>
        <v/>
      </c>
      <c r="O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>
        <f>IF(D1831="Legitimate Interest (GDPR Art. 6(1)(f))", "Yes / Required (Sheet 3)", "")</f>
        <v/>
      </c>
      <c r="L1831" s="7" t="n"/>
      <c r="M1831" s="7" t="n"/>
      <c r="N1831">
        <f>IF(D1831="", "Gap - No Legal Basis", IF(AND(D1831="Consent (GDPR Art. 6(1)(a))", I1831="Not Captured"), "Gap - Invalid Consent", IF(AND(D1831="Legitimate Interest (GDPR Art. 6(1)(f))", L1831=""), "Gap - Missing LIA", IF(AND(G1831="Yes", H1831=""), "Gap - Missing Art. 9 Basis", IF(OR(I1831="Invalid - Not Freely Given", I1831="Invalid - Not Specific", I1831="Invalid - Not Informed", I1831="Invalid - Ambiguous"), "Gap - Invalid Consent", "Compliant")))))</f>
        <v/>
      </c>
      <c r="O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>
        <f>IF(D1832="Legitimate Interest (GDPR Art. 6(1)(f))", "Yes / Required (Sheet 3)", "")</f>
        <v/>
      </c>
      <c r="L1832" s="7" t="n"/>
      <c r="M1832" s="7" t="n"/>
      <c r="N1832">
        <f>IF(D1832="", "Gap - No Legal Basis", IF(AND(D1832="Consent (GDPR Art. 6(1)(a))", I1832="Not Captured"), "Gap - Invalid Consent", IF(AND(D1832="Legitimate Interest (GDPR Art. 6(1)(f))", L1832=""), "Gap - Missing LIA", IF(AND(G1832="Yes", H1832=""), "Gap - Missing Art. 9 Basis", IF(OR(I1832="Invalid - Not Freely Given", I1832="Invalid - Not Specific", I1832="Invalid - Not Informed", I1832="Invalid - Ambiguous"), "Gap - Invalid Consent", "Compliant")))))</f>
        <v/>
      </c>
      <c r="O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>
        <f>IF(D1833="Legitimate Interest (GDPR Art. 6(1)(f))", "Yes / Required (Sheet 3)", "")</f>
        <v/>
      </c>
      <c r="L1833" s="7" t="n"/>
      <c r="M1833" s="7" t="n"/>
      <c r="N1833">
        <f>IF(D1833="", "Gap - No Legal Basis", IF(AND(D1833="Consent (GDPR Art. 6(1)(a))", I1833="Not Captured"), "Gap - Invalid Consent", IF(AND(D1833="Legitimate Interest (GDPR Art. 6(1)(f))", L1833=""), "Gap - Missing LIA", IF(AND(G1833="Yes", H1833=""), "Gap - Missing Art. 9 Basis", IF(OR(I1833="Invalid - Not Freely Given", I1833="Invalid - Not Specific", I1833="Invalid - Not Informed", I1833="Invalid - Ambiguous"), "Gap - Invalid Consent", "Compliant")))))</f>
        <v/>
      </c>
      <c r="O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>
        <f>IF(D1834="Legitimate Interest (GDPR Art. 6(1)(f))", "Yes / Required (Sheet 3)", "")</f>
        <v/>
      </c>
      <c r="L1834" s="7" t="n"/>
      <c r="M1834" s="7" t="n"/>
      <c r="N1834">
        <f>IF(D1834="", "Gap - No Legal Basis", IF(AND(D1834="Consent (GDPR Art. 6(1)(a))", I1834="Not Captured"), "Gap - Invalid Consent", IF(AND(D1834="Legitimate Interest (GDPR Art. 6(1)(f))", L1834=""), "Gap - Missing LIA", IF(AND(G1834="Yes", H1834=""), "Gap - Missing Art. 9 Basis", IF(OR(I1834="Invalid - Not Freely Given", I1834="Invalid - Not Specific", I1834="Invalid - Not Informed", I1834="Invalid - Ambiguous"), "Gap - Invalid Consent", "Compliant")))))</f>
        <v/>
      </c>
      <c r="O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>
        <f>IF(D1835="Legitimate Interest (GDPR Art. 6(1)(f))", "Yes / Required (Sheet 3)", "")</f>
        <v/>
      </c>
      <c r="L1835" s="7" t="n"/>
      <c r="M1835" s="7" t="n"/>
      <c r="N1835">
        <f>IF(D1835="", "Gap - No Legal Basis", IF(AND(D1835="Consent (GDPR Art. 6(1)(a))", I1835="Not Captured"), "Gap - Invalid Consent", IF(AND(D1835="Legitimate Interest (GDPR Art. 6(1)(f))", L1835=""), "Gap - Missing LIA", IF(AND(G1835="Yes", H1835=""), "Gap - Missing Art. 9 Basis", IF(OR(I1835="Invalid - Not Freely Given", I1835="Invalid - Not Specific", I1835="Invalid - Not Informed", I1835="Invalid - Ambiguous"), "Gap - Invalid Consent", "Compliant")))))</f>
        <v/>
      </c>
      <c r="O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>
        <f>IF(D1836="Legitimate Interest (GDPR Art. 6(1)(f))", "Yes / Required (Sheet 3)", "")</f>
        <v/>
      </c>
      <c r="L1836" s="7" t="n"/>
      <c r="M1836" s="7" t="n"/>
      <c r="N1836">
        <f>IF(D1836="", "Gap - No Legal Basis", IF(AND(D1836="Consent (GDPR Art. 6(1)(a))", I1836="Not Captured"), "Gap - Invalid Consent", IF(AND(D1836="Legitimate Interest (GDPR Art. 6(1)(f))", L1836=""), "Gap - Missing LIA", IF(AND(G1836="Yes", H1836=""), "Gap - Missing Art. 9 Basis", IF(OR(I1836="Invalid - Not Freely Given", I1836="Invalid - Not Specific", I1836="Invalid - Not Informed", I1836="Invalid - Ambiguous"), "Gap - Invalid Consent", "Compliant")))))</f>
        <v/>
      </c>
      <c r="O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>
        <f>IF(D1837="Legitimate Interest (GDPR Art. 6(1)(f))", "Yes / Required (Sheet 3)", "")</f>
        <v/>
      </c>
      <c r="L1837" s="7" t="n"/>
      <c r="M1837" s="7" t="n"/>
      <c r="N1837">
        <f>IF(D1837="", "Gap - No Legal Basis", IF(AND(D1837="Consent (GDPR Art. 6(1)(a))", I1837="Not Captured"), "Gap - Invalid Consent", IF(AND(D1837="Legitimate Interest (GDPR Art. 6(1)(f))", L1837=""), "Gap - Missing LIA", IF(AND(G1837="Yes", H1837=""), "Gap - Missing Art. 9 Basis", IF(OR(I1837="Invalid - Not Freely Given", I1837="Invalid - Not Specific", I1837="Invalid - Not Informed", I1837="Invalid - Ambiguous"), "Gap - Invalid Consent", "Compliant")))))</f>
        <v/>
      </c>
      <c r="O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>
        <f>IF(D1838="Legitimate Interest (GDPR Art. 6(1)(f))", "Yes / Required (Sheet 3)", "")</f>
        <v/>
      </c>
      <c r="L1838" s="7" t="n"/>
      <c r="M1838" s="7" t="n"/>
      <c r="N1838">
        <f>IF(D1838="", "Gap - No Legal Basis", IF(AND(D1838="Consent (GDPR Art. 6(1)(a))", I1838="Not Captured"), "Gap - Invalid Consent", IF(AND(D1838="Legitimate Interest (GDPR Art. 6(1)(f))", L1838=""), "Gap - Missing LIA", IF(AND(G1838="Yes", H1838=""), "Gap - Missing Art. 9 Basis", IF(OR(I1838="Invalid - Not Freely Given", I1838="Invalid - Not Specific", I1838="Invalid - Not Informed", I1838="Invalid - Ambiguous"), "Gap - Invalid Consent", "Compliant")))))</f>
        <v/>
      </c>
      <c r="O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>
        <f>IF(D1839="Legitimate Interest (GDPR Art. 6(1)(f))", "Yes / Required (Sheet 3)", "")</f>
        <v/>
      </c>
      <c r="L1839" s="7" t="n"/>
      <c r="M1839" s="7" t="n"/>
      <c r="N1839">
        <f>IF(D1839="", "Gap - No Legal Basis", IF(AND(D1839="Consent (GDPR Art. 6(1)(a))", I1839="Not Captured"), "Gap - Invalid Consent", IF(AND(D1839="Legitimate Interest (GDPR Art. 6(1)(f))", L1839=""), "Gap - Missing LIA", IF(AND(G1839="Yes", H1839=""), "Gap - Missing Art. 9 Basis", IF(OR(I1839="Invalid - Not Freely Given", I1839="Invalid - Not Specific", I1839="Invalid - Not Informed", I1839="Invalid - Ambiguous"), "Gap - Invalid Consent", "Compliant")))))</f>
        <v/>
      </c>
      <c r="O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>
        <f>IF(D1840="Legitimate Interest (GDPR Art. 6(1)(f))", "Yes / Required (Sheet 3)", "")</f>
        <v/>
      </c>
      <c r="L1840" s="7" t="n"/>
      <c r="M1840" s="7" t="n"/>
      <c r="N1840">
        <f>IF(D1840="", "Gap - No Legal Basis", IF(AND(D1840="Consent (GDPR Art. 6(1)(a))", I1840="Not Captured"), "Gap - Invalid Consent", IF(AND(D1840="Legitimate Interest (GDPR Art. 6(1)(f))", L1840=""), "Gap - Missing LIA", IF(AND(G1840="Yes", H1840=""), "Gap - Missing Art. 9 Basis", IF(OR(I1840="Invalid - Not Freely Given", I1840="Invalid - Not Specific", I1840="Invalid - Not Informed", I1840="Invalid - Ambiguous"), "Gap - Invalid Consent", "Compliant")))))</f>
        <v/>
      </c>
      <c r="O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>
        <f>IF(D1841="Legitimate Interest (GDPR Art. 6(1)(f))", "Yes / Required (Sheet 3)", "")</f>
        <v/>
      </c>
      <c r="L1841" s="7" t="n"/>
      <c r="M1841" s="7" t="n"/>
      <c r="N1841">
        <f>IF(D1841="", "Gap - No Legal Basis", IF(AND(D1841="Consent (GDPR Art. 6(1)(a))", I1841="Not Captured"), "Gap - Invalid Consent", IF(AND(D1841="Legitimate Interest (GDPR Art. 6(1)(f))", L1841=""), "Gap - Missing LIA", IF(AND(G1841="Yes", H1841=""), "Gap - Missing Art. 9 Basis", IF(OR(I1841="Invalid - Not Freely Given", I1841="Invalid - Not Specific", I1841="Invalid - Not Informed", I1841="Invalid - Ambiguous"), "Gap - Invalid Consent", "Compliant")))))</f>
        <v/>
      </c>
      <c r="O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>
        <f>IF(D1842="Legitimate Interest (GDPR Art. 6(1)(f))", "Yes / Required (Sheet 3)", "")</f>
        <v/>
      </c>
      <c r="L1842" s="7" t="n"/>
      <c r="M1842" s="7" t="n"/>
      <c r="N1842">
        <f>IF(D1842="", "Gap - No Legal Basis", IF(AND(D1842="Consent (GDPR Art. 6(1)(a))", I1842="Not Captured"), "Gap - Invalid Consent", IF(AND(D1842="Legitimate Interest (GDPR Art. 6(1)(f))", L1842=""), "Gap - Missing LIA", IF(AND(G1842="Yes", H1842=""), "Gap - Missing Art. 9 Basis", IF(OR(I1842="Invalid - Not Freely Given", I1842="Invalid - Not Specific", I1842="Invalid - Not Informed", I1842="Invalid - Ambiguous"), "Gap - Invalid Consent", "Compliant")))))</f>
        <v/>
      </c>
      <c r="O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>
        <f>IF(D1843="Legitimate Interest (GDPR Art. 6(1)(f))", "Yes / Required (Sheet 3)", "")</f>
        <v/>
      </c>
      <c r="L1843" s="7" t="n"/>
      <c r="M1843" s="7" t="n"/>
      <c r="N1843">
        <f>IF(D1843="", "Gap - No Legal Basis", IF(AND(D1843="Consent (GDPR Art. 6(1)(a))", I1843="Not Captured"), "Gap - Invalid Consent", IF(AND(D1843="Legitimate Interest (GDPR Art. 6(1)(f))", L1843=""), "Gap - Missing LIA", IF(AND(G1843="Yes", H1843=""), "Gap - Missing Art. 9 Basis", IF(OR(I1843="Invalid - Not Freely Given", I1843="Invalid - Not Specific", I1843="Invalid - Not Informed", I1843="Invalid - Ambiguous"), "Gap - Invalid Consent", "Compliant")))))</f>
        <v/>
      </c>
      <c r="O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>
        <f>IF(D1844="Legitimate Interest (GDPR Art. 6(1)(f))", "Yes / Required (Sheet 3)", "")</f>
        <v/>
      </c>
      <c r="L1844" s="7" t="n"/>
      <c r="M1844" s="7" t="n"/>
      <c r="N1844">
        <f>IF(D1844="", "Gap - No Legal Basis", IF(AND(D1844="Consent (GDPR Art. 6(1)(a))", I1844="Not Captured"), "Gap - Invalid Consent", IF(AND(D1844="Legitimate Interest (GDPR Art. 6(1)(f))", L1844=""), "Gap - Missing LIA", IF(AND(G1844="Yes", H1844=""), "Gap - Missing Art. 9 Basis", IF(OR(I1844="Invalid - Not Freely Given", I1844="Invalid - Not Specific", I1844="Invalid - Not Informed", I1844="Invalid - Ambiguous"), "Gap - Invalid Consent", "Compliant")))))</f>
        <v/>
      </c>
      <c r="O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>
        <f>IF(D1845="Legitimate Interest (GDPR Art. 6(1)(f))", "Yes / Required (Sheet 3)", "")</f>
        <v/>
      </c>
      <c r="L1845" s="7" t="n"/>
      <c r="M1845" s="7" t="n"/>
      <c r="N1845">
        <f>IF(D1845="", "Gap - No Legal Basis", IF(AND(D1845="Consent (GDPR Art. 6(1)(a))", I1845="Not Captured"), "Gap - Invalid Consent", IF(AND(D1845="Legitimate Interest (GDPR Art. 6(1)(f))", L1845=""), "Gap - Missing LIA", IF(AND(G1845="Yes", H1845=""), "Gap - Missing Art. 9 Basis", IF(OR(I1845="Invalid - Not Freely Given", I1845="Invalid - Not Specific", I1845="Invalid - Not Informed", I1845="Invalid - Ambiguous"), "Gap - Invalid Consent", "Compliant")))))</f>
        <v/>
      </c>
      <c r="O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>
        <f>IF(D1846="Legitimate Interest (GDPR Art. 6(1)(f))", "Yes / Required (Sheet 3)", "")</f>
        <v/>
      </c>
      <c r="L1846" s="7" t="n"/>
      <c r="M1846" s="7" t="n"/>
      <c r="N1846">
        <f>IF(D1846="", "Gap - No Legal Basis", IF(AND(D1846="Consent (GDPR Art. 6(1)(a))", I1846="Not Captured"), "Gap - Invalid Consent", IF(AND(D1846="Legitimate Interest (GDPR Art. 6(1)(f))", L1846=""), "Gap - Missing LIA", IF(AND(G1846="Yes", H1846=""), "Gap - Missing Art. 9 Basis", IF(OR(I1846="Invalid - Not Freely Given", I1846="Invalid - Not Specific", I1846="Invalid - Not Informed", I1846="Invalid - Ambiguous"), "Gap - Invalid Consent", "Compliant")))))</f>
        <v/>
      </c>
      <c r="O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>
        <f>IF(D1847="Legitimate Interest (GDPR Art. 6(1)(f))", "Yes / Required (Sheet 3)", "")</f>
        <v/>
      </c>
      <c r="L1847" s="7" t="n"/>
      <c r="M1847" s="7" t="n"/>
      <c r="N1847">
        <f>IF(D1847="", "Gap - No Legal Basis", IF(AND(D1847="Consent (GDPR Art. 6(1)(a))", I1847="Not Captured"), "Gap - Invalid Consent", IF(AND(D1847="Legitimate Interest (GDPR Art. 6(1)(f))", L1847=""), "Gap - Missing LIA", IF(AND(G1847="Yes", H1847=""), "Gap - Missing Art. 9 Basis", IF(OR(I1847="Invalid - Not Freely Given", I1847="Invalid - Not Specific", I1847="Invalid - Not Informed", I1847="Invalid - Ambiguous"), "Gap - Invalid Consent", "Compliant")))))</f>
        <v/>
      </c>
      <c r="O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>
        <f>IF(D1848="Legitimate Interest (GDPR Art. 6(1)(f))", "Yes / Required (Sheet 3)", "")</f>
        <v/>
      </c>
      <c r="L1848" s="7" t="n"/>
      <c r="M1848" s="7" t="n"/>
      <c r="N1848">
        <f>IF(D1848="", "Gap - No Legal Basis", IF(AND(D1848="Consent (GDPR Art. 6(1)(a))", I1848="Not Captured"), "Gap - Invalid Consent", IF(AND(D1848="Legitimate Interest (GDPR Art. 6(1)(f))", L1848=""), "Gap - Missing LIA", IF(AND(G1848="Yes", H1848=""), "Gap - Missing Art. 9 Basis", IF(OR(I1848="Invalid - Not Freely Given", I1848="Invalid - Not Specific", I1848="Invalid - Not Informed", I1848="Invalid - Ambiguous"), "Gap - Invalid Consent", "Compliant")))))</f>
        <v/>
      </c>
      <c r="O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>
        <f>IF(D1849="Legitimate Interest (GDPR Art. 6(1)(f))", "Yes / Required (Sheet 3)", "")</f>
        <v/>
      </c>
      <c r="L1849" s="7" t="n"/>
      <c r="M1849" s="7" t="n"/>
      <c r="N1849">
        <f>IF(D1849="", "Gap - No Legal Basis", IF(AND(D1849="Consent (GDPR Art. 6(1)(a))", I1849="Not Captured"), "Gap - Invalid Consent", IF(AND(D1849="Legitimate Interest (GDPR Art. 6(1)(f))", L1849=""), "Gap - Missing LIA", IF(AND(G1849="Yes", H1849=""), "Gap - Missing Art. 9 Basis", IF(OR(I1849="Invalid - Not Freely Given", I1849="Invalid - Not Specific", I1849="Invalid - Not Informed", I1849="Invalid - Ambiguous"), "Gap - Invalid Consent", "Compliant")))))</f>
        <v/>
      </c>
      <c r="O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>
        <f>IF(D1850="Legitimate Interest (GDPR Art. 6(1)(f))", "Yes / Required (Sheet 3)", "")</f>
        <v/>
      </c>
      <c r="L1850" s="7" t="n"/>
      <c r="M1850" s="7" t="n"/>
      <c r="N1850">
        <f>IF(D1850="", "Gap - No Legal Basis", IF(AND(D1850="Consent (GDPR Art. 6(1)(a))", I1850="Not Captured"), "Gap - Invalid Consent", IF(AND(D1850="Legitimate Interest (GDPR Art. 6(1)(f))", L1850=""), "Gap - Missing LIA", IF(AND(G1850="Yes", H1850=""), "Gap - Missing Art. 9 Basis", IF(OR(I1850="Invalid - Not Freely Given", I1850="Invalid - Not Specific", I1850="Invalid - Not Informed", I1850="Invalid - Ambiguous"), "Gap - Invalid Consent", "Compliant")))))</f>
        <v/>
      </c>
      <c r="O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>
        <f>IF(D1851="Legitimate Interest (GDPR Art. 6(1)(f))", "Yes / Required (Sheet 3)", "")</f>
        <v/>
      </c>
      <c r="L1851" s="7" t="n"/>
      <c r="M1851" s="7" t="n"/>
      <c r="N1851">
        <f>IF(D1851="", "Gap - No Legal Basis", IF(AND(D1851="Consent (GDPR Art. 6(1)(a))", I1851="Not Captured"), "Gap - Invalid Consent", IF(AND(D1851="Legitimate Interest (GDPR Art. 6(1)(f))", L1851=""), "Gap - Missing LIA", IF(AND(G1851="Yes", H1851=""), "Gap - Missing Art. 9 Basis", IF(OR(I1851="Invalid - Not Freely Given", I1851="Invalid - Not Specific", I1851="Invalid - Not Informed", I1851="Invalid - Ambiguous"), "Gap - Invalid Consent", "Compliant")))))</f>
        <v/>
      </c>
      <c r="O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>
        <f>IF(D1852="Legitimate Interest (GDPR Art. 6(1)(f))", "Yes / Required (Sheet 3)", "")</f>
        <v/>
      </c>
      <c r="L1852" s="7" t="n"/>
      <c r="M1852" s="7" t="n"/>
      <c r="N1852">
        <f>IF(D1852="", "Gap - No Legal Basis", IF(AND(D1852="Consent (GDPR Art. 6(1)(a))", I1852="Not Captured"), "Gap - Invalid Consent", IF(AND(D1852="Legitimate Interest (GDPR Art. 6(1)(f))", L1852=""), "Gap - Missing LIA", IF(AND(G1852="Yes", H1852=""), "Gap - Missing Art. 9 Basis", IF(OR(I1852="Invalid - Not Freely Given", I1852="Invalid - Not Specific", I1852="Invalid - Not Informed", I1852="Invalid - Ambiguous"), "Gap - Invalid Consent", "Compliant")))))</f>
        <v/>
      </c>
      <c r="O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>
        <f>IF(D1853="Legitimate Interest (GDPR Art. 6(1)(f))", "Yes / Required (Sheet 3)", "")</f>
        <v/>
      </c>
      <c r="L1853" s="7" t="n"/>
      <c r="M1853" s="7" t="n"/>
      <c r="N1853">
        <f>IF(D1853="", "Gap - No Legal Basis", IF(AND(D1853="Consent (GDPR Art. 6(1)(a))", I1853="Not Captured"), "Gap - Invalid Consent", IF(AND(D1853="Legitimate Interest (GDPR Art. 6(1)(f))", L1853=""), "Gap - Missing LIA", IF(AND(G1853="Yes", H1853=""), "Gap - Missing Art. 9 Basis", IF(OR(I1853="Invalid - Not Freely Given", I1853="Invalid - Not Specific", I1853="Invalid - Not Informed", I1853="Invalid - Ambiguous"), "Gap - Invalid Consent", "Compliant")))))</f>
        <v/>
      </c>
      <c r="O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>
        <f>IF(D1854="Legitimate Interest (GDPR Art. 6(1)(f))", "Yes / Required (Sheet 3)", "")</f>
        <v/>
      </c>
      <c r="L1854" s="7" t="n"/>
      <c r="M1854" s="7" t="n"/>
      <c r="N1854">
        <f>IF(D1854="", "Gap - No Legal Basis", IF(AND(D1854="Consent (GDPR Art. 6(1)(a))", I1854="Not Captured"), "Gap - Invalid Consent", IF(AND(D1854="Legitimate Interest (GDPR Art. 6(1)(f))", L1854=""), "Gap - Missing LIA", IF(AND(G1854="Yes", H1854=""), "Gap - Missing Art. 9 Basis", IF(OR(I1854="Invalid - Not Freely Given", I1854="Invalid - Not Specific", I1854="Invalid - Not Informed", I1854="Invalid - Ambiguous"), "Gap - Invalid Consent", "Compliant")))))</f>
        <v/>
      </c>
      <c r="O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>
        <f>IF(D1855="Legitimate Interest (GDPR Art. 6(1)(f))", "Yes / Required (Sheet 3)", "")</f>
        <v/>
      </c>
      <c r="L1855" s="7" t="n"/>
      <c r="M1855" s="7" t="n"/>
      <c r="N1855">
        <f>IF(D1855="", "Gap - No Legal Basis", IF(AND(D1855="Consent (GDPR Art. 6(1)(a))", I1855="Not Captured"), "Gap - Invalid Consent", IF(AND(D1855="Legitimate Interest (GDPR Art. 6(1)(f))", L1855=""), "Gap - Missing LIA", IF(AND(G1855="Yes", H1855=""), "Gap - Missing Art. 9 Basis", IF(OR(I1855="Invalid - Not Freely Given", I1855="Invalid - Not Specific", I1855="Invalid - Not Informed", I1855="Invalid - Ambiguous"), "Gap - Invalid Consent", "Compliant")))))</f>
        <v/>
      </c>
      <c r="O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>
        <f>IF(D1856="Legitimate Interest (GDPR Art. 6(1)(f))", "Yes / Required (Sheet 3)", "")</f>
        <v/>
      </c>
      <c r="L1856" s="7" t="n"/>
      <c r="M1856" s="7" t="n"/>
      <c r="N1856">
        <f>IF(D1856="", "Gap - No Legal Basis", IF(AND(D1856="Consent (GDPR Art. 6(1)(a))", I1856="Not Captured"), "Gap - Invalid Consent", IF(AND(D1856="Legitimate Interest (GDPR Art. 6(1)(f))", L1856=""), "Gap - Missing LIA", IF(AND(G1856="Yes", H1856=""), "Gap - Missing Art. 9 Basis", IF(OR(I1856="Invalid - Not Freely Given", I1856="Invalid - Not Specific", I1856="Invalid - Not Informed", I1856="Invalid - Ambiguous"), "Gap - Invalid Consent", "Compliant")))))</f>
        <v/>
      </c>
      <c r="O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>
        <f>IF(D1857="Legitimate Interest (GDPR Art. 6(1)(f))", "Yes / Required (Sheet 3)", "")</f>
        <v/>
      </c>
      <c r="L1857" s="7" t="n"/>
      <c r="M1857" s="7" t="n"/>
      <c r="N1857">
        <f>IF(D1857="", "Gap - No Legal Basis", IF(AND(D1857="Consent (GDPR Art. 6(1)(a))", I1857="Not Captured"), "Gap - Invalid Consent", IF(AND(D1857="Legitimate Interest (GDPR Art. 6(1)(f))", L1857=""), "Gap - Missing LIA", IF(AND(G1857="Yes", H1857=""), "Gap - Missing Art. 9 Basis", IF(OR(I1857="Invalid - Not Freely Given", I1857="Invalid - Not Specific", I1857="Invalid - Not Informed", I1857="Invalid - Ambiguous"), "Gap - Invalid Consent", "Compliant")))))</f>
        <v/>
      </c>
      <c r="O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>
        <f>IF(D1858="Legitimate Interest (GDPR Art. 6(1)(f))", "Yes / Required (Sheet 3)", "")</f>
        <v/>
      </c>
      <c r="L1858" s="7" t="n"/>
      <c r="M1858" s="7" t="n"/>
      <c r="N1858">
        <f>IF(D1858="", "Gap - No Legal Basis", IF(AND(D1858="Consent (GDPR Art. 6(1)(a))", I1858="Not Captured"), "Gap - Invalid Consent", IF(AND(D1858="Legitimate Interest (GDPR Art. 6(1)(f))", L1858=""), "Gap - Missing LIA", IF(AND(G1858="Yes", H1858=""), "Gap - Missing Art. 9 Basis", IF(OR(I1858="Invalid - Not Freely Given", I1858="Invalid - Not Specific", I1858="Invalid - Not Informed", I1858="Invalid - Ambiguous"), "Gap - Invalid Consent", "Compliant")))))</f>
        <v/>
      </c>
      <c r="O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>
        <f>IF(D1859="Legitimate Interest (GDPR Art. 6(1)(f))", "Yes / Required (Sheet 3)", "")</f>
        <v/>
      </c>
      <c r="L1859" s="7" t="n"/>
      <c r="M1859" s="7" t="n"/>
      <c r="N1859">
        <f>IF(D1859="", "Gap - No Legal Basis", IF(AND(D1859="Consent (GDPR Art. 6(1)(a))", I1859="Not Captured"), "Gap - Invalid Consent", IF(AND(D1859="Legitimate Interest (GDPR Art. 6(1)(f))", L1859=""), "Gap - Missing LIA", IF(AND(G1859="Yes", H1859=""), "Gap - Missing Art. 9 Basis", IF(OR(I1859="Invalid - Not Freely Given", I1859="Invalid - Not Specific", I1859="Invalid - Not Informed", I1859="Invalid - Ambiguous"), "Gap - Invalid Consent", "Compliant")))))</f>
        <v/>
      </c>
      <c r="O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>
        <f>IF(D1860="Legitimate Interest (GDPR Art. 6(1)(f))", "Yes / Required (Sheet 3)", "")</f>
        <v/>
      </c>
      <c r="L1860" s="7" t="n"/>
      <c r="M1860" s="7" t="n"/>
      <c r="N1860">
        <f>IF(D1860="", "Gap - No Legal Basis", IF(AND(D1860="Consent (GDPR Art. 6(1)(a))", I1860="Not Captured"), "Gap - Invalid Consent", IF(AND(D1860="Legitimate Interest (GDPR Art. 6(1)(f))", L1860=""), "Gap - Missing LIA", IF(AND(G1860="Yes", H1860=""), "Gap - Missing Art. 9 Basis", IF(OR(I1860="Invalid - Not Freely Given", I1860="Invalid - Not Specific", I1860="Invalid - Not Informed", I1860="Invalid - Ambiguous"), "Gap - Invalid Consent", "Compliant")))))</f>
        <v/>
      </c>
      <c r="O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>
        <f>IF(D1861="Legitimate Interest (GDPR Art. 6(1)(f))", "Yes / Required (Sheet 3)", "")</f>
        <v/>
      </c>
      <c r="L1861" s="7" t="n"/>
      <c r="M1861" s="7" t="n"/>
      <c r="N1861">
        <f>IF(D1861="", "Gap - No Legal Basis", IF(AND(D1861="Consent (GDPR Art. 6(1)(a))", I1861="Not Captured"), "Gap - Invalid Consent", IF(AND(D1861="Legitimate Interest (GDPR Art. 6(1)(f))", L1861=""), "Gap - Missing LIA", IF(AND(G1861="Yes", H1861=""), "Gap - Missing Art. 9 Basis", IF(OR(I1861="Invalid - Not Freely Given", I1861="Invalid - Not Specific", I1861="Invalid - Not Informed", I1861="Invalid - Ambiguous"), "Gap - Invalid Consent", "Compliant")))))</f>
        <v/>
      </c>
      <c r="O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>
        <f>IF(D1862="Legitimate Interest (GDPR Art. 6(1)(f))", "Yes / Required (Sheet 3)", "")</f>
        <v/>
      </c>
      <c r="L1862" s="7" t="n"/>
      <c r="M1862" s="7" t="n"/>
      <c r="N1862">
        <f>IF(D1862="", "Gap - No Legal Basis", IF(AND(D1862="Consent (GDPR Art. 6(1)(a))", I1862="Not Captured"), "Gap - Invalid Consent", IF(AND(D1862="Legitimate Interest (GDPR Art. 6(1)(f))", L1862=""), "Gap - Missing LIA", IF(AND(G1862="Yes", H1862=""), "Gap - Missing Art. 9 Basis", IF(OR(I1862="Invalid - Not Freely Given", I1862="Invalid - Not Specific", I1862="Invalid - Not Informed", I1862="Invalid - Ambiguous"), "Gap - Invalid Consent", "Compliant")))))</f>
        <v/>
      </c>
      <c r="O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>
        <f>IF(D1863="Legitimate Interest (GDPR Art. 6(1)(f))", "Yes / Required (Sheet 3)", "")</f>
        <v/>
      </c>
      <c r="L1863" s="7" t="n"/>
      <c r="M1863" s="7" t="n"/>
      <c r="N1863">
        <f>IF(D1863="", "Gap - No Legal Basis", IF(AND(D1863="Consent (GDPR Art. 6(1)(a))", I1863="Not Captured"), "Gap - Invalid Consent", IF(AND(D1863="Legitimate Interest (GDPR Art. 6(1)(f))", L1863=""), "Gap - Missing LIA", IF(AND(G1863="Yes", H1863=""), "Gap - Missing Art. 9 Basis", IF(OR(I1863="Invalid - Not Freely Given", I1863="Invalid - Not Specific", I1863="Invalid - Not Informed", I1863="Invalid - Ambiguous"), "Gap - Invalid Consent", "Compliant")))))</f>
        <v/>
      </c>
      <c r="O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>
        <f>IF(D1864="Legitimate Interest (GDPR Art. 6(1)(f))", "Yes / Required (Sheet 3)", "")</f>
        <v/>
      </c>
      <c r="L1864" s="7" t="n"/>
      <c r="M1864" s="7" t="n"/>
      <c r="N1864">
        <f>IF(D1864="", "Gap - No Legal Basis", IF(AND(D1864="Consent (GDPR Art. 6(1)(a))", I1864="Not Captured"), "Gap - Invalid Consent", IF(AND(D1864="Legitimate Interest (GDPR Art. 6(1)(f))", L1864=""), "Gap - Missing LIA", IF(AND(G1864="Yes", H1864=""), "Gap - Missing Art. 9 Basis", IF(OR(I1864="Invalid - Not Freely Given", I1864="Invalid - Not Specific", I1864="Invalid - Not Informed", I1864="Invalid - Ambiguous"), "Gap - Invalid Consent", "Compliant")))))</f>
        <v/>
      </c>
      <c r="O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>
        <f>IF(D1865="Legitimate Interest (GDPR Art. 6(1)(f))", "Yes / Required (Sheet 3)", "")</f>
        <v/>
      </c>
      <c r="L1865" s="7" t="n"/>
      <c r="M1865" s="7" t="n"/>
      <c r="N1865">
        <f>IF(D1865="", "Gap - No Legal Basis", IF(AND(D1865="Consent (GDPR Art. 6(1)(a))", I1865="Not Captured"), "Gap - Invalid Consent", IF(AND(D1865="Legitimate Interest (GDPR Art. 6(1)(f))", L1865=""), "Gap - Missing LIA", IF(AND(G1865="Yes", H1865=""), "Gap - Missing Art. 9 Basis", IF(OR(I1865="Invalid - Not Freely Given", I1865="Invalid - Not Specific", I1865="Invalid - Not Informed", I1865="Invalid - Ambiguous"), "Gap - Invalid Consent", "Compliant")))))</f>
        <v/>
      </c>
      <c r="O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>
        <f>IF(D1866="Legitimate Interest (GDPR Art. 6(1)(f))", "Yes / Required (Sheet 3)", "")</f>
        <v/>
      </c>
      <c r="L1866" s="7" t="n"/>
      <c r="M1866" s="7" t="n"/>
      <c r="N1866">
        <f>IF(D1866="", "Gap - No Legal Basis", IF(AND(D1866="Consent (GDPR Art. 6(1)(a))", I1866="Not Captured"), "Gap - Invalid Consent", IF(AND(D1866="Legitimate Interest (GDPR Art. 6(1)(f))", L1866=""), "Gap - Missing LIA", IF(AND(G1866="Yes", H1866=""), "Gap - Missing Art. 9 Basis", IF(OR(I1866="Invalid - Not Freely Given", I1866="Invalid - Not Specific", I1866="Invalid - Not Informed", I1866="Invalid - Ambiguous"), "Gap - Invalid Consent", "Compliant")))))</f>
        <v/>
      </c>
      <c r="O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>
        <f>IF(D1867="Legitimate Interest (GDPR Art. 6(1)(f))", "Yes / Required (Sheet 3)", "")</f>
        <v/>
      </c>
      <c r="L1867" s="7" t="n"/>
      <c r="M1867" s="7" t="n"/>
      <c r="N1867">
        <f>IF(D1867="", "Gap - No Legal Basis", IF(AND(D1867="Consent (GDPR Art. 6(1)(a))", I1867="Not Captured"), "Gap - Invalid Consent", IF(AND(D1867="Legitimate Interest (GDPR Art. 6(1)(f))", L1867=""), "Gap - Missing LIA", IF(AND(G1867="Yes", H1867=""), "Gap - Missing Art. 9 Basis", IF(OR(I1867="Invalid - Not Freely Given", I1867="Invalid - Not Specific", I1867="Invalid - Not Informed", I1867="Invalid - Ambiguous"), "Gap - Invalid Consent", "Compliant")))))</f>
        <v/>
      </c>
      <c r="O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>
        <f>IF(D1868="Legitimate Interest (GDPR Art. 6(1)(f))", "Yes / Required (Sheet 3)", "")</f>
        <v/>
      </c>
      <c r="L1868" s="7" t="n"/>
      <c r="M1868" s="7" t="n"/>
      <c r="N1868">
        <f>IF(D1868="", "Gap - No Legal Basis", IF(AND(D1868="Consent (GDPR Art. 6(1)(a))", I1868="Not Captured"), "Gap - Invalid Consent", IF(AND(D1868="Legitimate Interest (GDPR Art. 6(1)(f))", L1868=""), "Gap - Missing LIA", IF(AND(G1868="Yes", H1868=""), "Gap - Missing Art. 9 Basis", IF(OR(I1868="Invalid - Not Freely Given", I1868="Invalid - Not Specific", I1868="Invalid - Not Informed", I1868="Invalid - Ambiguous"), "Gap - Invalid Consent", "Compliant")))))</f>
        <v/>
      </c>
      <c r="O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>
        <f>IF(D1869="Legitimate Interest (GDPR Art. 6(1)(f))", "Yes / Required (Sheet 3)", "")</f>
        <v/>
      </c>
      <c r="L1869" s="7" t="n"/>
      <c r="M1869" s="7" t="n"/>
      <c r="N1869">
        <f>IF(D1869="", "Gap - No Legal Basis", IF(AND(D1869="Consent (GDPR Art. 6(1)(a))", I1869="Not Captured"), "Gap - Invalid Consent", IF(AND(D1869="Legitimate Interest (GDPR Art. 6(1)(f))", L1869=""), "Gap - Missing LIA", IF(AND(G1869="Yes", H1869=""), "Gap - Missing Art. 9 Basis", IF(OR(I1869="Invalid - Not Freely Given", I1869="Invalid - Not Specific", I1869="Invalid - Not Informed", I1869="Invalid - Ambiguous"), "Gap - Invalid Consent", "Compliant")))))</f>
        <v/>
      </c>
      <c r="O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>
        <f>IF(D1870="Legitimate Interest (GDPR Art. 6(1)(f))", "Yes / Required (Sheet 3)", "")</f>
        <v/>
      </c>
      <c r="L1870" s="7" t="n"/>
      <c r="M1870" s="7" t="n"/>
      <c r="N1870">
        <f>IF(D1870="", "Gap - No Legal Basis", IF(AND(D1870="Consent (GDPR Art. 6(1)(a))", I1870="Not Captured"), "Gap - Invalid Consent", IF(AND(D1870="Legitimate Interest (GDPR Art. 6(1)(f))", L1870=""), "Gap - Missing LIA", IF(AND(G1870="Yes", H1870=""), "Gap - Missing Art. 9 Basis", IF(OR(I1870="Invalid - Not Freely Given", I1870="Invalid - Not Specific", I1870="Invalid - Not Informed", I1870="Invalid - Ambiguous"), "Gap - Invalid Consent", "Compliant")))))</f>
        <v/>
      </c>
      <c r="O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>
        <f>IF(D1871="Legitimate Interest (GDPR Art. 6(1)(f))", "Yes / Required (Sheet 3)", "")</f>
        <v/>
      </c>
      <c r="L1871" s="7" t="n"/>
      <c r="M1871" s="7" t="n"/>
      <c r="N1871">
        <f>IF(D1871="", "Gap - No Legal Basis", IF(AND(D1871="Consent (GDPR Art. 6(1)(a))", I1871="Not Captured"), "Gap - Invalid Consent", IF(AND(D1871="Legitimate Interest (GDPR Art. 6(1)(f))", L1871=""), "Gap - Missing LIA", IF(AND(G1871="Yes", H1871=""), "Gap - Missing Art. 9 Basis", IF(OR(I1871="Invalid - Not Freely Given", I1871="Invalid - Not Specific", I1871="Invalid - Not Informed", I1871="Invalid - Ambiguous"), "Gap - Invalid Consent", "Compliant")))))</f>
        <v/>
      </c>
      <c r="O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>
        <f>IF(D1872="Legitimate Interest (GDPR Art. 6(1)(f))", "Yes / Required (Sheet 3)", "")</f>
        <v/>
      </c>
      <c r="L1872" s="7" t="n"/>
      <c r="M1872" s="7" t="n"/>
      <c r="N1872">
        <f>IF(D1872="", "Gap - No Legal Basis", IF(AND(D1872="Consent (GDPR Art. 6(1)(a))", I1872="Not Captured"), "Gap - Invalid Consent", IF(AND(D1872="Legitimate Interest (GDPR Art. 6(1)(f))", L1872=""), "Gap - Missing LIA", IF(AND(G1872="Yes", H1872=""), "Gap - Missing Art. 9 Basis", IF(OR(I1872="Invalid - Not Freely Given", I1872="Invalid - Not Specific", I1872="Invalid - Not Informed", I1872="Invalid - Ambiguous"), "Gap - Invalid Consent", "Compliant")))))</f>
        <v/>
      </c>
      <c r="O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>
        <f>IF(D1873="Legitimate Interest (GDPR Art. 6(1)(f))", "Yes / Required (Sheet 3)", "")</f>
        <v/>
      </c>
      <c r="L1873" s="7" t="n"/>
      <c r="M1873" s="7" t="n"/>
      <c r="N1873">
        <f>IF(D1873="", "Gap - No Legal Basis", IF(AND(D1873="Consent (GDPR Art. 6(1)(a))", I1873="Not Captured"), "Gap - Invalid Consent", IF(AND(D1873="Legitimate Interest (GDPR Art. 6(1)(f))", L1873=""), "Gap - Missing LIA", IF(AND(G1873="Yes", H1873=""), "Gap - Missing Art. 9 Basis", IF(OR(I1873="Invalid - Not Freely Given", I1873="Invalid - Not Specific", I1873="Invalid - Not Informed", I1873="Invalid - Ambiguous"), "Gap - Invalid Consent", "Compliant")))))</f>
        <v/>
      </c>
      <c r="O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>
        <f>IF(D1874="Legitimate Interest (GDPR Art. 6(1)(f))", "Yes / Required (Sheet 3)", "")</f>
        <v/>
      </c>
      <c r="L1874" s="7" t="n"/>
      <c r="M1874" s="7" t="n"/>
      <c r="N1874">
        <f>IF(D1874="", "Gap - No Legal Basis", IF(AND(D1874="Consent (GDPR Art. 6(1)(a))", I1874="Not Captured"), "Gap - Invalid Consent", IF(AND(D1874="Legitimate Interest (GDPR Art. 6(1)(f))", L1874=""), "Gap - Missing LIA", IF(AND(G1874="Yes", H1874=""), "Gap - Missing Art. 9 Basis", IF(OR(I1874="Invalid - Not Freely Given", I1874="Invalid - Not Specific", I1874="Invalid - Not Informed", I1874="Invalid - Ambiguous"), "Gap - Invalid Consent", "Compliant")))))</f>
        <v/>
      </c>
      <c r="O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>
        <f>IF(D1875="Legitimate Interest (GDPR Art. 6(1)(f))", "Yes / Required (Sheet 3)", "")</f>
        <v/>
      </c>
      <c r="L1875" s="7" t="n"/>
      <c r="M1875" s="7" t="n"/>
      <c r="N1875">
        <f>IF(D1875="", "Gap - No Legal Basis", IF(AND(D1875="Consent (GDPR Art. 6(1)(a))", I1875="Not Captured"), "Gap - Invalid Consent", IF(AND(D1875="Legitimate Interest (GDPR Art. 6(1)(f))", L1875=""), "Gap - Missing LIA", IF(AND(G1875="Yes", H1875=""), "Gap - Missing Art. 9 Basis", IF(OR(I1875="Invalid - Not Freely Given", I1875="Invalid - Not Specific", I1875="Invalid - Not Informed", I1875="Invalid - Ambiguous"), "Gap - Invalid Consent", "Compliant")))))</f>
        <v/>
      </c>
      <c r="O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>
        <f>IF(D1876="Legitimate Interest (GDPR Art. 6(1)(f))", "Yes / Required (Sheet 3)", "")</f>
        <v/>
      </c>
      <c r="L1876" s="7" t="n"/>
      <c r="M1876" s="7" t="n"/>
      <c r="N1876">
        <f>IF(D1876="", "Gap - No Legal Basis", IF(AND(D1876="Consent (GDPR Art. 6(1)(a))", I1876="Not Captured"), "Gap - Invalid Consent", IF(AND(D1876="Legitimate Interest (GDPR Art. 6(1)(f))", L1876=""), "Gap - Missing LIA", IF(AND(G1876="Yes", H1876=""), "Gap - Missing Art. 9 Basis", IF(OR(I1876="Invalid - Not Freely Given", I1876="Invalid - Not Specific", I1876="Invalid - Not Informed", I1876="Invalid - Ambiguous"), "Gap - Invalid Consent", "Compliant")))))</f>
        <v/>
      </c>
      <c r="O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>
        <f>IF(D1877="Legitimate Interest (GDPR Art. 6(1)(f))", "Yes / Required (Sheet 3)", "")</f>
        <v/>
      </c>
      <c r="L1877" s="7" t="n"/>
      <c r="M1877" s="7" t="n"/>
      <c r="N1877">
        <f>IF(D1877="", "Gap - No Legal Basis", IF(AND(D1877="Consent (GDPR Art. 6(1)(a))", I1877="Not Captured"), "Gap - Invalid Consent", IF(AND(D1877="Legitimate Interest (GDPR Art. 6(1)(f))", L1877=""), "Gap - Missing LIA", IF(AND(G1877="Yes", H1877=""), "Gap - Missing Art. 9 Basis", IF(OR(I1877="Invalid - Not Freely Given", I1877="Invalid - Not Specific", I1877="Invalid - Not Informed", I1877="Invalid - Ambiguous"), "Gap - Invalid Consent", "Compliant")))))</f>
        <v/>
      </c>
      <c r="O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>
        <f>IF(D1878="Legitimate Interest (GDPR Art. 6(1)(f))", "Yes / Required (Sheet 3)", "")</f>
        <v/>
      </c>
      <c r="L1878" s="7" t="n"/>
      <c r="M1878" s="7" t="n"/>
      <c r="N1878">
        <f>IF(D1878="", "Gap - No Legal Basis", IF(AND(D1878="Consent (GDPR Art. 6(1)(a))", I1878="Not Captured"), "Gap - Invalid Consent", IF(AND(D1878="Legitimate Interest (GDPR Art. 6(1)(f))", L1878=""), "Gap - Missing LIA", IF(AND(G1878="Yes", H1878=""), "Gap - Missing Art. 9 Basis", IF(OR(I1878="Invalid - Not Freely Given", I1878="Invalid - Not Specific", I1878="Invalid - Not Informed", I1878="Invalid - Ambiguous"), "Gap - Invalid Consent", "Compliant")))))</f>
        <v/>
      </c>
      <c r="O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>
        <f>IF(D1879="Legitimate Interest (GDPR Art. 6(1)(f))", "Yes / Required (Sheet 3)", "")</f>
        <v/>
      </c>
      <c r="L1879" s="7" t="n"/>
      <c r="M1879" s="7" t="n"/>
      <c r="N1879">
        <f>IF(D1879="", "Gap - No Legal Basis", IF(AND(D1879="Consent (GDPR Art. 6(1)(a))", I1879="Not Captured"), "Gap - Invalid Consent", IF(AND(D1879="Legitimate Interest (GDPR Art. 6(1)(f))", L1879=""), "Gap - Missing LIA", IF(AND(G1879="Yes", H1879=""), "Gap - Missing Art. 9 Basis", IF(OR(I1879="Invalid - Not Freely Given", I1879="Invalid - Not Specific", I1879="Invalid - Not Informed", I1879="Invalid - Ambiguous"), "Gap - Invalid Consent", "Compliant")))))</f>
        <v/>
      </c>
      <c r="O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>
        <f>IF(D1880="Legitimate Interest (GDPR Art. 6(1)(f))", "Yes / Required (Sheet 3)", "")</f>
        <v/>
      </c>
      <c r="L1880" s="7" t="n"/>
      <c r="M1880" s="7" t="n"/>
      <c r="N1880">
        <f>IF(D1880="", "Gap - No Legal Basis", IF(AND(D1880="Consent (GDPR Art. 6(1)(a))", I1880="Not Captured"), "Gap - Invalid Consent", IF(AND(D1880="Legitimate Interest (GDPR Art. 6(1)(f))", L1880=""), "Gap - Missing LIA", IF(AND(G1880="Yes", H1880=""), "Gap - Missing Art. 9 Basis", IF(OR(I1880="Invalid - Not Freely Given", I1880="Invalid - Not Specific", I1880="Invalid - Not Informed", I1880="Invalid - Ambiguous"), "Gap - Invalid Consent", "Compliant")))))</f>
        <v/>
      </c>
      <c r="O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>
        <f>IF(D1881="Legitimate Interest (GDPR Art. 6(1)(f))", "Yes / Required (Sheet 3)", "")</f>
        <v/>
      </c>
      <c r="L1881" s="7" t="n"/>
      <c r="M1881" s="7" t="n"/>
      <c r="N1881">
        <f>IF(D1881="", "Gap - No Legal Basis", IF(AND(D1881="Consent (GDPR Art. 6(1)(a))", I1881="Not Captured"), "Gap - Invalid Consent", IF(AND(D1881="Legitimate Interest (GDPR Art. 6(1)(f))", L1881=""), "Gap - Missing LIA", IF(AND(G1881="Yes", H1881=""), "Gap - Missing Art. 9 Basis", IF(OR(I1881="Invalid - Not Freely Given", I1881="Invalid - Not Specific", I1881="Invalid - Not Informed", I1881="Invalid - Ambiguous"), "Gap - Invalid Consent", "Compliant")))))</f>
        <v/>
      </c>
      <c r="O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>
        <f>IF(D1882="Legitimate Interest (GDPR Art. 6(1)(f))", "Yes / Required (Sheet 3)", "")</f>
        <v/>
      </c>
      <c r="L1882" s="7" t="n"/>
      <c r="M1882" s="7" t="n"/>
      <c r="N1882">
        <f>IF(D1882="", "Gap - No Legal Basis", IF(AND(D1882="Consent (GDPR Art. 6(1)(a))", I1882="Not Captured"), "Gap - Invalid Consent", IF(AND(D1882="Legitimate Interest (GDPR Art. 6(1)(f))", L1882=""), "Gap - Missing LIA", IF(AND(G1882="Yes", H1882=""), "Gap - Missing Art. 9 Basis", IF(OR(I1882="Invalid - Not Freely Given", I1882="Invalid - Not Specific", I1882="Invalid - Not Informed", I1882="Invalid - Ambiguous"), "Gap - Invalid Consent", "Compliant")))))</f>
        <v/>
      </c>
      <c r="O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>
        <f>IF(D1883="Legitimate Interest (GDPR Art. 6(1)(f))", "Yes / Required (Sheet 3)", "")</f>
        <v/>
      </c>
      <c r="L1883" s="7" t="n"/>
      <c r="M1883" s="7" t="n"/>
      <c r="N1883">
        <f>IF(D1883="", "Gap - No Legal Basis", IF(AND(D1883="Consent (GDPR Art. 6(1)(a))", I1883="Not Captured"), "Gap - Invalid Consent", IF(AND(D1883="Legitimate Interest (GDPR Art. 6(1)(f))", L1883=""), "Gap - Missing LIA", IF(AND(G1883="Yes", H1883=""), "Gap - Missing Art. 9 Basis", IF(OR(I1883="Invalid - Not Freely Given", I1883="Invalid - Not Specific", I1883="Invalid - Not Informed", I1883="Invalid - Ambiguous"), "Gap - Invalid Consent", "Compliant")))))</f>
        <v/>
      </c>
      <c r="O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>
        <f>IF(D1884="Legitimate Interest (GDPR Art. 6(1)(f))", "Yes / Required (Sheet 3)", "")</f>
        <v/>
      </c>
      <c r="L1884" s="7" t="n"/>
      <c r="M1884" s="7" t="n"/>
      <c r="N1884">
        <f>IF(D1884="", "Gap - No Legal Basis", IF(AND(D1884="Consent (GDPR Art. 6(1)(a))", I1884="Not Captured"), "Gap - Invalid Consent", IF(AND(D1884="Legitimate Interest (GDPR Art. 6(1)(f))", L1884=""), "Gap - Missing LIA", IF(AND(G1884="Yes", H1884=""), "Gap - Missing Art. 9 Basis", IF(OR(I1884="Invalid - Not Freely Given", I1884="Invalid - Not Specific", I1884="Invalid - Not Informed", I1884="Invalid - Ambiguous"), "Gap - Invalid Consent", "Compliant")))))</f>
        <v/>
      </c>
      <c r="O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>
        <f>IF(D1885="Legitimate Interest (GDPR Art. 6(1)(f))", "Yes / Required (Sheet 3)", "")</f>
        <v/>
      </c>
      <c r="L1885" s="7" t="n"/>
      <c r="M1885" s="7" t="n"/>
      <c r="N1885">
        <f>IF(D1885="", "Gap - No Legal Basis", IF(AND(D1885="Consent (GDPR Art. 6(1)(a))", I1885="Not Captured"), "Gap - Invalid Consent", IF(AND(D1885="Legitimate Interest (GDPR Art. 6(1)(f))", L1885=""), "Gap - Missing LIA", IF(AND(G1885="Yes", H1885=""), "Gap - Missing Art. 9 Basis", IF(OR(I1885="Invalid - Not Freely Given", I1885="Invalid - Not Specific", I1885="Invalid - Not Informed", I1885="Invalid - Ambiguous"), "Gap - Invalid Consent", "Compliant")))))</f>
        <v/>
      </c>
      <c r="O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>
        <f>IF(D1886="Legitimate Interest (GDPR Art. 6(1)(f))", "Yes / Required (Sheet 3)", "")</f>
        <v/>
      </c>
      <c r="L1886" s="7" t="n"/>
      <c r="M1886" s="7" t="n"/>
      <c r="N1886">
        <f>IF(D1886="", "Gap - No Legal Basis", IF(AND(D1886="Consent (GDPR Art. 6(1)(a))", I1886="Not Captured"), "Gap - Invalid Consent", IF(AND(D1886="Legitimate Interest (GDPR Art. 6(1)(f))", L1886=""), "Gap - Missing LIA", IF(AND(G1886="Yes", H1886=""), "Gap - Missing Art. 9 Basis", IF(OR(I1886="Invalid - Not Freely Given", I1886="Invalid - Not Specific", I1886="Invalid - Not Informed", I1886="Invalid - Ambiguous"), "Gap - Invalid Consent", "Compliant")))))</f>
        <v/>
      </c>
      <c r="O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>
        <f>IF(D1887="Legitimate Interest (GDPR Art. 6(1)(f))", "Yes / Required (Sheet 3)", "")</f>
        <v/>
      </c>
      <c r="L1887" s="7" t="n"/>
      <c r="M1887" s="7" t="n"/>
      <c r="N1887">
        <f>IF(D1887="", "Gap - No Legal Basis", IF(AND(D1887="Consent (GDPR Art. 6(1)(a))", I1887="Not Captured"), "Gap - Invalid Consent", IF(AND(D1887="Legitimate Interest (GDPR Art. 6(1)(f))", L1887=""), "Gap - Missing LIA", IF(AND(G1887="Yes", H1887=""), "Gap - Missing Art. 9 Basis", IF(OR(I1887="Invalid - Not Freely Given", I1887="Invalid - Not Specific", I1887="Invalid - Not Informed", I1887="Invalid - Ambiguous"), "Gap - Invalid Consent", "Compliant")))))</f>
        <v/>
      </c>
      <c r="O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>
        <f>IF(D1888="Legitimate Interest (GDPR Art. 6(1)(f))", "Yes / Required (Sheet 3)", "")</f>
        <v/>
      </c>
      <c r="L1888" s="7" t="n"/>
      <c r="M1888" s="7" t="n"/>
      <c r="N1888">
        <f>IF(D1888="", "Gap - No Legal Basis", IF(AND(D1888="Consent (GDPR Art. 6(1)(a))", I1888="Not Captured"), "Gap - Invalid Consent", IF(AND(D1888="Legitimate Interest (GDPR Art. 6(1)(f))", L1888=""), "Gap - Missing LIA", IF(AND(G1888="Yes", H1888=""), "Gap - Missing Art. 9 Basis", IF(OR(I1888="Invalid - Not Freely Given", I1888="Invalid - Not Specific", I1888="Invalid - Not Informed", I1888="Invalid - Ambiguous"), "Gap - Invalid Consent", "Compliant")))))</f>
        <v/>
      </c>
      <c r="O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>
        <f>IF(D1889="Legitimate Interest (GDPR Art. 6(1)(f))", "Yes / Required (Sheet 3)", "")</f>
        <v/>
      </c>
      <c r="L1889" s="7" t="n"/>
      <c r="M1889" s="7" t="n"/>
      <c r="N1889">
        <f>IF(D1889="", "Gap - No Legal Basis", IF(AND(D1889="Consent (GDPR Art. 6(1)(a))", I1889="Not Captured"), "Gap - Invalid Consent", IF(AND(D1889="Legitimate Interest (GDPR Art. 6(1)(f))", L1889=""), "Gap - Missing LIA", IF(AND(G1889="Yes", H1889=""), "Gap - Missing Art. 9 Basis", IF(OR(I1889="Invalid - Not Freely Given", I1889="Invalid - Not Specific", I1889="Invalid - Not Informed", I1889="Invalid - Ambiguous"), "Gap - Invalid Consent", "Compliant")))))</f>
        <v/>
      </c>
      <c r="O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>
        <f>IF(D1890="Legitimate Interest (GDPR Art. 6(1)(f))", "Yes / Required (Sheet 3)", "")</f>
        <v/>
      </c>
      <c r="L1890" s="7" t="n"/>
      <c r="M1890" s="7" t="n"/>
      <c r="N1890">
        <f>IF(D1890="", "Gap - No Legal Basis", IF(AND(D1890="Consent (GDPR Art. 6(1)(a))", I1890="Not Captured"), "Gap - Invalid Consent", IF(AND(D1890="Legitimate Interest (GDPR Art. 6(1)(f))", L1890=""), "Gap - Missing LIA", IF(AND(G1890="Yes", H1890=""), "Gap - Missing Art. 9 Basis", IF(OR(I1890="Invalid - Not Freely Given", I1890="Invalid - Not Specific", I1890="Invalid - Not Informed", I1890="Invalid - Ambiguous"), "Gap - Invalid Consent", "Compliant")))))</f>
        <v/>
      </c>
      <c r="O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>
        <f>IF(D1891="Legitimate Interest (GDPR Art. 6(1)(f))", "Yes / Required (Sheet 3)", "")</f>
        <v/>
      </c>
      <c r="L1891" s="7" t="n"/>
      <c r="M1891" s="7" t="n"/>
      <c r="N1891">
        <f>IF(D1891="", "Gap - No Legal Basis", IF(AND(D1891="Consent (GDPR Art. 6(1)(a))", I1891="Not Captured"), "Gap - Invalid Consent", IF(AND(D1891="Legitimate Interest (GDPR Art. 6(1)(f))", L1891=""), "Gap - Missing LIA", IF(AND(G1891="Yes", H1891=""), "Gap - Missing Art. 9 Basis", IF(OR(I1891="Invalid - Not Freely Given", I1891="Invalid - Not Specific", I1891="Invalid - Not Informed", I1891="Invalid - Ambiguous"), "Gap - Invalid Consent", "Compliant")))))</f>
        <v/>
      </c>
      <c r="O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>
        <f>IF(D1892="Legitimate Interest (GDPR Art. 6(1)(f))", "Yes / Required (Sheet 3)", "")</f>
        <v/>
      </c>
      <c r="L1892" s="7" t="n"/>
      <c r="M1892" s="7" t="n"/>
      <c r="N1892">
        <f>IF(D1892="", "Gap - No Legal Basis", IF(AND(D1892="Consent (GDPR Art. 6(1)(a))", I1892="Not Captured"), "Gap - Invalid Consent", IF(AND(D1892="Legitimate Interest (GDPR Art. 6(1)(f))", L1892=""), "Gap - Missing LIA", IF(AND(G1892="Yes", H1892=""), "Gap - Missing Art. 9 Basis", IF(OR(I1892="Invalid - Not Freely Given", I1892="Invalid - Not Specific", I1892="Invalid - Not Informed", I1892="Invalid - Ambiguous"), "Gap - Invalid Consent", "Compliant")))))</f>
        <v/>
      </c>
      <c r="O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>
        <f>IF(D1893="Legitimate Interest (GDPR Art. 6(1)(f))", "Yes / Required (Sheet 3)", "")</f>
        <v/>
      </c>
      <c r="L1893" s="7" t="n"/>
      <c r="M1893" s="7" t="n"/>
      <c r="N1893">
        <f>IF(D1893="", "Gap - No Legal Basis", IF(AND(D1893="Consent (GDPR Art. 6(1)(a))", I1893="Not Captured"), "Gap - Invalid Consent", IF(AND(D1893="Legitimate Interest (GDPR Art. 6(1)(f))", L1893=""), "Gap - Missing LIA", IF(AND(G1893="Yes", H1893=""), "Gap - Missing Art. 9 Basis", IF(OR(I1893="Invalid - Not Freely Given", I1893="Invalid - Not Specific", I1893="Invalid - Not Informed", I1893="Invalid - Ambiguous"), "Gap - Invalid Consent", "Compliant")))))</f>
        <v/>
      </c>
      <c r="O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>
        <f>IF(D1894="Legitimate Interest (GDPR Art. 6(1)(f))", "Yes / Required (Sheet 3)", "")</f>
        <v/>
      </c>
      <c r="L1894" s="7" t="n"/>
      <c r="M1894" s="7" t="n"/>
      <c r="N1894">
        <f>IF(D1894="", "Gap - No Legal Basis", IF(AND(D1894="Consent (GDPR Art. 6(1)(a))", I1894="Not Captured"), "Gap - Invalid Consent", IF(AND(D1894="Legitimate Interest (GDPR Art. 6(1)(f))", L1894=""), "Gap - Missing LIA", IF(AND(G1894="Yes", H1894=""), "Gap - Missing Art. 9 Basis", IF(OR(I1894="Invalid - Not Freely Given", I1894="Invalid - Not Specific", I1894="Invalid - Not Informed", I1894="Invalid - Ambiguous"), "Gap - Invalid Consent", "Compliant")))))</f>
        <v/>
      </c>
      <c r="O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>
        <f>IF(D1895="Legitimate Interest (GDPR Art. 6(1)(f))", "Yes / Required (Sheet 3)", "")</f>
        <v/>
      </c>
      <c r="L1895" s="7" t="n"/>
      <c r="M1895" s="7" t="n"/>
      <c r="N1895">
        <f>IF(D1895="", "Gap - No Legal Basis", IF(AND(D1895="Consent (GDPR Art. 6(1)(a))", I1895="Not Captured"), "Gap - Invalid Consent", IF(AND(D1895="Legitimate Interest (GDPR Art. 6(1)(f))", L1895=""), "Gap - Missing LIA", IF(AND(G1895="Yes", H1895=""), "Gap - Missing Art. 9 Basis", IF(OR(I1895="Invalid - Not Freely Given", I1895="Invalid - Not Specific", I1895="Invalid - Not Informed", I1895="Invalid - Ambiguous"), "Gap - Invalid Consent", "Compliant")))))</f>
        <v/>
      </c>
      <c r="O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>
        <f>IF(D1896="Legitimate Interest (GDPR Art. 6(1)(f))", "Yes / Required (Sheet 3)", "")</f>
        <v/>
      </c>
      <c r="L1896" s="7" t="n"/>
      <c r="M1896" s="7" t="n"/>
      <c r="N1896">
        <f>IF(D1896="", "Gap - No Legal Basis", IF(AND(D1896="Consent (GDPR Art. 6(1)(a))", I1896="Not Captured"), "Gap - Invalid Consent", IF(AND(D1896="Legitimate Interest (GDPR Art. 6(1)(f))", L1896=""), "Gap - Missing LIA", IF(AND(G1896="Yes", H1896=""), "Gap - Missing Art. 9 Basis", IF(OR(I1896="Invalid - Not Freely Given", I1896="Invalid - Not Specific", I1896="Invalid - Not Informed", I1896="Invalid - Ambiguous"), "Gap - Invalid Consent", "Compliant")))))</f>
        <v/>
      </c>
      <c r="O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>
        <f>IF(D1897="Legitimate Interest (GDPR Art. 6(1)(f))", "Yes / Required (Sheet 3)", "")</f>
        <v/>
      </c>
      <c r="L1897" s="7" t="n"/>
      <c r="M1897" s="7" t="n"/>
      <c r="N1897">
        <f>IF(D1897="", "Gap - No Legal Basis", IF(AND(D1897="Consent (GDPR Art. 6(1)(a))", I1897="Not Captured"), "Gap - Invalid Consent", IF(AND(D1897="Legitimate Interest (GDPR Art. 6(1)(f))", L1897=""), "Gap - Missing LIA", IF(AND(G1897="Yes", H1897=""), "Gap - Missing Art. 9 Basis", IF(OR(I1897="Invalid - Not Freely Given", I1897="Invalid - Not Specific", I1897="Invalid - Not Informed", I1897="Invalid - Ambiguous"), "Gap - Invalid Consent", "Compliant")))))</f>
        <v/>
      </c>
      <c r="O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>
        <f>IF(D1898="Legitimate Interest (GDPR Art. 6(1)(f))", "Yes / Required (Sheet 3)", "")</f>
        <v/>
      </c>
      <c r="L1898" s="7" t="n"/>
      <c r="M1898" s="7" t="n"/>
      <c r="N1898">
        <f>IF(D1898="", "Gap - No Legal Basis", IF(AND(D1898="Consent (GDPR Art. 6(1)(a))", I1898="Not Captured"), "Gap - Invalid Consent", IF(AND(D1898="Legitimate Interest (GDPR Art. 6(1)(f))", L1898=""), "Gap - Missing LIA", IF(AND(G1898="Yes", H1898=""), "Gap - Missing Art. 9 Basis", IF(OR(I1898="Invalid - Not Freely Given", I1898="Invalid - Not Specific", I1898="Invalid - Not Informed", I1898="Invalid - Ambiguous"), "Gap - Invalid Consent", "Compliant")))))</f>
        <v/>
      </c>
      <c r="O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>
        <f>IF(D1899="Legitimate Interest (GDPR Art. 6(1)(f))", "Yes / Required (Sheet 3)", "")</f>
        <v/>
      </c>
      <c r="L1899" s="7" t="n"/>
      <c r="M1899" s="7" t="n"/>
      <c r="N1899">
        <f>IF(D1899="", "Gap - No Legal Basis", IF(AND(D1899="Consent (GDPR Art. 6(1)(a))", I1899="Not Captured"), "Gap - Invalid Consent", IF(AND(D1899="Legitimate Interest (GDPR Art. 6(1)(f))", L1899=""), "Gap - Missing LIA", IF(AND(G1899="Yes", H1899=""), "Gap - Missing Art. 9 Basis", IF(OR(I1899="Invalid - Not Freely Given", I1899="Invalid - Not Specific", I1899="Invalid - Not Informed", I1899="Invalid - Ambiguous"), "Gap - Invalid Consent", "Compliant")))))</f>
        <v/>
      </c>
      <c r="O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>
        <f>IF(D1900="Legitimate Interest (GDPR Art. 6(1)(f))", "Yes / Required (Sheet 3)", "")</f>
        <v/>
      </c>
      <c r="L1900" s="7" t="n"/>
      <c r="M1900" s="7" t="n"/>
      <c r="N1900">
        <f>IF(D1900="", "Gap - No Legal Basis", IF(AND(D1900="Consent (GDPR Art. 6(1)(a))", I1900="Not Captured"), "Gap - Invalid Consent", IF(AND(D1900="Legitimate Interest (GDPR Art. 6(1)(f))", L1900=""), "Gap - Missing LIA", IF(AND(G1900="Yes", H1900=""), "Gap - Missing Art. 9 Basis", IF(OR(I1900="Invalid - Not Freely Given", I1900="Invalid - Not Specific", I1900="Invalid - Not Informed", I1900="Invalid - Ambiguous"), "Gap - Invalid Consent", "Compliant")))))</f>
        <v/>
      </c>
      <c r="O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>
        <f>IF(D1901="Legitimate Interest (GDPR Art. 6(1)(f))", "Yes / Required (Sheet 3)", "")</f>
        <v/>
      </c>
      <c r="L1901" s="7" t="n"/>
      <c r="M1901" s="7" t="n"/>
      <c r="N1901">
        <f>IF(D1901="", "Gap - No Legal Basis", IF(AND(D1901="Consent (GDPR Art. 6(1)(a))", I1901="Not Captured"), "Gap - Invalid Consent", IF(AND(D1901="Legitimate Interest (GDPR Art. 6(1)(f))", L1901=""), "Gap - Missing LIA", IF(AND(G1901="Yes", H1901=""), "Gap - Missing Art. 9 Basis", IF(OR(I1901="Invalid - Not Freely Given", I1901="Invalid - Not Specific", I1901="Invalid - Not Informed", I1901="Invalid - Ambiguous"), "Gap - Invalid Consent", "Compliant")))))</f>
        <v/>
      </c>
      <c r="O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>
        <f>IF(D1902="Legitimate Interest (GDPR Art. 6(1)(f))", "Yes / Required (Sheet 3)", "")</f>
        <v/>
      </c>
      <c r="L1902" s="7" t="n"/>
      <c r="M1902" s="7" t="n"/>
      <c r="N1902">
        <f>IF(D1902="", "Gap - No Legal Basis", IF(AND(D1902="Consent (GDPR Art. 6(1)(a))", I1902="Not Captured"), "Gap - Invalid Consent", IF(AND(D1902="Legitimate Interest (GDPR Art. 6(1)(f))", L1902=""), "Gap - Missing LIA", IF(AND(G1902="Yes", H1902=""), "Gap - Missing Art. 9 Basis", IF(OR(I1902="Invalid - Not Freely Given", I1902="Invalid - Not Specific", I1902="Invalid - Not Informed", I1902="Invalid - Ambiguous"), "Gap - Invalid Consent", "Compliant")))))</f>
        <v/>
      </c>
      <c r="O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>
        <f>IF(D1903="Legitimate Interest (GDPR Art. 6(1)(f))", "Yes / Required (Sheet 3)", "")</f>
        <v/>
      </c>
      <c r="L1903" s="7" t="n"/>
      <c r="M1903" s="7" t="n"/>
      <c r="N1903">
        <f>IF(D1903="", "Gap - No Legal Basis", IF(AND(D1903="Consent (GDPR Art. 6(1)(a))", I1903="Not Captured"), "Gap - Invalid Consent", IF(AND(D1903="Legitimate Interest (GDPR Art. 6(1)(f))", L1903=""), "Gap - Missing LIA", IF(AND(G1903="Yes", H1903=""), "Gap - Missing Art. 9 Basis", IF(OR(I1903="Invalid - Not Freely Given", I1903="Invalid - Not Specific", I1903="Invalid - Not Informed", I1903="Invalid - Ambiguous"), "Gap - Invalid Consent", "Compliant")))))</f>
        <v/>
      </c>
      <c r="O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>
        <f>IF(D1904="Legitimate Interest (GDPR Art. 6(1)(f))", "Yes / Required (Sheet 3)", "")</f>
        <v/>
      </c>
      <c r="L1904" s="7" t="n"/>
      <c r="M1904" s="7" t="n"/>
      <c r="N1904">
        <f>IF(D1904="", "Gap - No Legal Basis", IF(AND(D1904="Consent (GDPR Art. 6(1)(a))", I1904="Not Captured"), "Gap - Invalid Consent", IF(AND(D1904="Legitimate Interest (GDPR Art. 6(1)(f))", L1904=""), "Gap - Missing LIA", IF(AND(G1904="Yes", H1904=""), "Gap - Missing Art. 9 Basis", IF(OR(I1904="Invalid - Not Freely Given", I1904="Invalid - Not Specific", I1904="Invalid - Not Informed", I1904="Invalid - Ambiguous"), "Gap - Invalid Consent", "Compliant")))))</f>
        <v/>
      </c>
      <c r="O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>
        <f>IF(D1905="Legitimate Interest (GDPR Art. 6(1)(f))", "Yes / Required (Sheet 3)", "")</f>
        <v/>
      </c>
      <c r="L1905" s="7" t="n"/>
      <c r="M1905" s="7" t="n"/>
      <c r="N1905">
        <f>IF(D1905="", "Gap - No Legal Basis", IF(AND(D1905="Consent (GDPR Art. 6(1)(a))", I1905="Not Captured"), "Gap - Invalid Consent", IF(AND(D1905="Legitimate Interest (GDPR Art. 6(1)(f))", L1905=""), "Gap - Missing LIA", IF(AND(G1905="Yes", H1905=""), "Gap - Missing Art. 9 Basis", IF(OR(I1905="Invalid - Not Freely Given", I1905="Invalid - Not Specific", I1905="Invalid - Not Informed", I1905="Invalid - Ambiguous"), "Gap - Invalid Consent", "Compliant")))))</f>
        <v/>
      </c>
      <c r="O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>
        <f>IF(D1906="Legitimate Interest (GDPR Art. 6(1)(f))", "Yes / Required (Sheet 3)", "")</f>
        <v/>
      </c>
      <c r="L1906" s="7" t="n"/>
      <c r="M1906" s="7" t="n"/>
      <c r="N1906">
        <f>IF(D1906="", "Gap - No Legal Basis", IF(AND(D1906="Consent (GDPR Art. 6(1)(a))", I1906="Not Captured"), "Gap - Invalid Consent", IF(AND(D1906="Legitimate Interest (GDPR Art. 6(1)(f))", L1906=""), "Gap - Missing LIA", IF(AND(G1906="Yes", H1906=""), "Gap - Missing Art. 9 Basis", IF(OR(I1906="Invalid - Not Freely Given", I1906="Invalid - Not Specific", I1906="Invalid - Not Informed", I1906="Invalid - Ambiguous"), "Gap - Invalid Consent", "Compliant")))))</f>
        <v/>
      </c>
      <c r="O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>
        <f>IF(D1907="Legitimate Interest (GDPR Art. 6(1)(f))", "Yes / Required (Sheet 3)", "")</f>
        <v/>
      </c>
      <c r="L1907" s="7" t="n"/>
      <c r="M1907" s="7" t="n"/>
      <c r="N1907">
        <f>IF(D1907="", "Gap - No Legal Basis", IF(AND(D1907="Consent (GDPR Art. 6(1)(a))", I1907="Not Captured"), "Gap - Invalid Consent", IF(AND(D1907="Legitimate Interest (GDPR Art. 6(1)(f))", L1907=""), "Gap - Missing LIA", IF(AND(G1907="Yes", H1907=""), "Gap - Missing Art. 9 Basis", IF(OR(I1907="Invalid - Not Freely Given", I1907="Invalid - Not Specific", I1907="Invalid - Not Informed", I1907="Invalid - Ambiguous"), "Gap - Invalid Consent", "Compliant")))))</f>
        <v/>
      </c>
      <c r="O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>
        <f>IF(D1908="Legitimate Interest (GDPR Art. 6(1)(f))", "Yes / Required (Sheet 3)", "")</f>
        <v/>
      </c>
      <c r="L1908" s="7" t="n"/>
      <c r="M1908" s="7" t="n"/>
      <c r="N1908">
        <f>IF(D1908="", "Gap - No Legal Basis", IF(AND(D1908="Consent (GDPR Art. 6(1)(a))", I1908="Not Captured"), "Gap - Invalid Consent", IF(AND(D1908="Legitimate Interest (GDPR Art. 6(1)(f))", L1908=""), "Gap - Missing LIA", IF(AND(G1908="Yes", H1908=""), "Gap - Missing Art. 9 Basis", IF(OR(I1908="Invalid - Not Freely Given", I1908="Invalid - Not Specific", I1908="Invalid - Not Informed", I1908="Invalid - Ambiguous"), "Gap - Invalid Consent", "Compliant")))))</f>
        <v/>
      </c>
      <c r="O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>
        <f>IF(D1909="Legitimate Interest (GDPR Art. 6(1)(f))", "Yes / Required (Sheet 3)", "")</f>
        <v/>
      </c>
      <c r="L1909" s="7" t="n"/>
      <c r="M1909" s="7" t="n"/>
      <c r="N1909">
        <f>IF(D1909="", "Gap - No Legal Basis", IF(AND(D1909="Consent (GDPR Art. 6(1)(a))", I1909="Not Captured"), "Gap - Invalid Consent", IF(AND(D1909="Legitimate Interest (GDPR Art. 6(1)(f))", L1909=""), "Gap - Missing LIA", IF(AND(G1909="Yes", H1909=""), "Gap - Missing Art. 9 Basis", IF(OR(I1909="Invalid - Not Freely Given", I1909="Invalid - Not Specific", I1909="Invalid - Not Informed", I1909="Invalid - Ambiguous"), "Gap - Invalid Consent", "Compliant")))))</f>
        <v/>
      </c>
      <c r="O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>
        <f>IF(D1910="Legitimate Interest (GDPR Art. 6(1)(f))", "Yes / Required (Sheet 3)", "")</f>
        <v/>
      </c>
      <c r="L1910" s="7" t="n"/>
      <c r="M1910" s="7" t="n"/>
      <c r="N1910">
        <f>IF(D1910="", "Gap - No Legal Basis", IF(AND(D1910="Consent (GDPR Art. 6(1)(a))", I1910="Not Captured"), "Gap - Invalid Consent", IF(AND(D1910="Legitimate Interest (GDPR Art. 6(1)(f))", L1910=""), "Gap - Missing LIA", IF(AND(G1910="Yes", H1910=""), "Gap - Missing Art. 9 Basis", IF(OR(I1910="Invalid - Not Freely Given", I1910="Invalid - Not Specific", I1910="Invalid - Not Informed", I1910="Invalid - Ambiguous"), "Gap - Invalid Consent", "Compliant")))))</f>
        <v/>
      </c>
      <c r="O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>
        <f>IF(D1911="Legitimate Interest (GDPR Art. 6(1)(f))", "Yes / Required (Sheet 3)", "")</f>
        <v/>
      </c>
      <c r="L1911" s="7" t="n"/>
      <c r="M1911" s="7" t="n"/>
      <c r="N1911">
        <f>IF(D1911="", "Gap - No Legal Basis", IF(AND(D1911="Consent (GDPR Art. 6(1)(a))", I1911="Not Captured"), "Gap - Invalid Consent", IF(AND(D1911="Legitimate Interest (GDPR Art. 6(1)(f))", L1911=""), "Gap - Missing LIA", IF(AND(G1911="Yes", H1911=""), "Gap - Missing Art. 9 Basis", IF(OR(I1911="Invalid - Not Freely Given", I1911="Invalid - Not Specific", I1911="Invalid - Not Informed", I1911="Invalid - Ambiguous"), "Gap - Invalid Consent", "Compliant")))))</f>
        <v/>
      </c>
      <c r="O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>
        <f>IF(D1912="Legitimate Interest (GDPR Art. 6(1)(f))", "Yes / Required (Sheet 3)", "")</f>
        <v/>
      </c>
      <c r="L1912" s="7" t="n"/>
      <c r="M1912" s="7" t="n"/>
      <c r="N1912">
        <f>IF(D1912="", "Gap - No Legal Basis", IF(AND(D1912="Consent (GDPR Art. 6(1)(a))", I1912="Not Captured"), "Gap - Invalid Consent", IF(AND(D1912="Legitimate Interest (GDPR Art. 6(1)(f))", L1912=""), "Gap - Missing LIA", IF(AND(G1912="Yes", H1912=""), "Gap - Missing Art. 9 Basis", IF(OR(I1912="Invalid - Not Freely Given", I1912="Invalid - Not Specific", I1912="Invalid - Not Informed", I1912="Invalid - Ambiguous"), "Gap - Invalid Consent", "Compliant")))))</f>
        <v/>
      </c>
      <c r="O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>
        <f>IF(D1913="Legitimate Interest (GDPR Art. 6(1)(f))", "Yes / Required (Sheet 3)", "")</f>
        <v/>
      </c>
      <c r="L1913" s="7" t="n"/>
      <c r="M1913" s="7" t="n"/>
      <c r="N1913">
        <f>IF(D1913="", "Gap - No Legal Basis", IF(AND(D1913="Consent (GDPR Art. 6(1)(a))", I1913="Not Captured"), "Gap - Invalid Consent", IF(AND(D1913="Legitimate Interest (GDPR Art. 6(1)(f))", L1913=""), "Gap - Missing LIA", IF(AND(G1913="Yes", H1913=""), "Gap - Missing Art. 9 Basis", IF(OR(I1913="Invalid - Not Freely Given", I1913="Invalid - Not Specific", I1913="Invalid - Not Informed", I1913="Invalid - Ambiguous"), "Gap - Invalid Consent", "Compliant")))))</f>
        <v/>
      </c>
      <c r="O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>
        <f>IF(D1914="Legitimate Interest (GDPR Art. 6(1)(f))", "Yes / Required (Sheet 3)", "")</f>
        <v/>
      </c>
      <c r="L1914" s="7" t="n"/>
      <c r="M1914" s="7" t="n"/>
      <c r="N1914">
        <f>IF(D1914="", "Gap - No Legal Basis", IF(AND(D1914="Consent (GDPR Art. 6(1)(a))", I1914="Not Captured"), "Gap - Invalid Consent", IF(AND(D1914="Legitimate Interest (GDPR Art. 6(1)(f))", L1914=""), "Gap - Missing LIA", IF(AND(G1914="Yes", H1914=""), "Gap - Missing Art. 9 Basis", IF(OR(I1914="Invalid - Not Freely Given", I1914="Invalid - Not Specific", I1914="Invalid - Not Informed", I1914="Invalid - Ambiguous"), "Gap - Invalid Consent", "Compliant")))))</f>
        <v/>
      </c>
      <c r="O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>
        <f>IF(D1915="Legitimate Interest (GDPR Art. 6(1)(f))", "Yes / Required (Sheet 3)", "")</f>
        <v/>
      </c>
      <c r="L1915" s="7" t="n"/>
      <c r="M1915" s="7" t="n"/>
      <c r="N1915">
        <f>IF(D1915="", "Gap - No Legal Basis", IF(AND(D1915="Consent (GDPR Art. 6(1)(a))", I1915="Not Captured"), "Gap - Invalid Consent", IF(AND(D1915="Legitimate Interest (GDPR Art. 6(1)(f))", L1915=""), "Gap - Missing LIA", IF(AND(G1915="Yes", H1915=""), "Gap - Missing Art. 9 Basis", IF(OR(I1915="Invalid - Not Freely Given", I1915="Invalid - Not Specific", I1915="Invalid - Not Informed", I1915="Invalid - Ambiguous"), "Gap - Invalid Consent", "Compliant")))))</f>
        <v/>
      </c>
      <c r="O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>
        <f>IF(D1916="Legitimate Interest (GDPR Art. 6(1)(f))", "Yes / Required (Sheet 3)", "")</f>
        <v/>
      </c>
      <c r="L1916" s="7" t="n"/>
      <c r="M1916" s="7" t="n"/>
      <c r="N1916">
        <f>IF(D1916="", "Gap - No Legal Basis", IF(AND(D1916="Consent (GDPR Art. 6(1)(a))", I1916="Not Captured"), "Gap - Invalid Consent", IF(AND(D1916="Legitimate Interest (GDPR Art. 6(1)(f))", L1916=""), "Gap - Missing LIA", IF(AND(G1916="Yes", H1916=""), "Gap - Missing Art. 9 Basis", IF(OR(I1916="Invalid - Not Freely Given", I1916="Invalid - Not Specific", I1916="Invalid - Not Informed", I1916="Invalid - Ambiguous"), "Gap - Invalid Consent", "Compliant")))))</f>
        <v/>
      </c>
      <c r="O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>
        <f>IF(D1917="Legitimate Interest (GDPR Art. 6(1)(f))", "Yes / Required (Sheet 3)", "")</f>
        <v/>
      </c>
      <c r="L1917" s="7" t="n"/>
      <c r="M1917" s="7" t="n"/>
      <c r="N1917">
        <f>IF(D1917="", "Gap - No Legal Basis", IF(AND(D1917="Consent (GDPR Art. 6(1)(a))", I1917="Not Captured"), "Gap - Invalid Consent", IF(AND(D1917="Legitimate Interest (GDPR Art. 6(1)(f))", L1917=""), "Gap - Missing LIA", IF(AND(G1917="Yes", H1917=""), "Gap - Missing Art. 9 Basis", IF(OR(I1917="Invalid - Not Freely Given", I1917="Invalid - Not Specific", I1917="Invalid - Not Informed", I1917="Invalid - Ambiguous"), "Gap - Invalid Consent", "Compliant")))))</f>
        <v/>
      </c>
      <c r="O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>
        <f>IF(D1918="Legitimate Interest (GDPR Art. 6(1)(f))", "Yes / Required (Sheet 3)", "")</f>
        <v/>
      </c>
      <c r="L1918" s="7" t="n"/>
      <c r="M1918" s="7" t="n"/>
      <c r="N1918">
        <f>IF(D1918="", "Gap - No Legal Basis", IF(AND(D1918="Consent (GDPR Art. 6(1)(a))", I1918="Not Captured"), "Gap - Invalid Consent", IF(AND(D1918="Legitimate Interest (GDPR Art. 6(1)(f))", L1918=""), "Gap - Missing LIA", IF(AND(G1918="Yes", H1918=""), "Gap - Missing Art. 9 Basis", IF(OR(I1918="Invalid - Not Freely Given", I1918="Invalid - Not Specific", I1918="Invalid - Not Informed", I1918="Invalid - Ambiguous"), "Gap - Invalid Consent", "Compliant")))))</f>
        <v/>
      </c>
      <c r="O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>
        <f>IF(D1919="Legitimate Interest (GDPR Art. 6(1)(f))", "Yes / Required (Sheet 3)", "")</f>
        <v/>
      </c>
      <c r="L1919" s="7" t="n"/>
      <c r="M1919" s="7" t="n"/>
      <c r="N1919">
        <f>IF(D1919="", "Gap - No Legal Basis", IF(AND(D1919="Consent (GDPR Art. 6(1)(a))", I1919="Not Captured"), "Gap - Invalid Consent", IF(AND(D1919="Legitimate Interest (GDPR Art. 6(1)(f))", L1919=""), "Gap - Missing LIA", IF(AND(G1919="Yes", H1919=""), "Gap - Missing Art. 9 Basis", IF(OR(I1919="Invalid - Not Freely Given", I1919="Invalid - Not Specific", I1919="Invalid - Not Informed", I1919="Invalid - Ambiguous"), "Gap - Invalid Consent", "Compliant")))))</f>
        <v/>
      </c>
      <c r="O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>
        <f>IF(D1920="Legitimate Interest (GDPR Art. 6(1)(f))", "Yes / Required (Sheet 3)", "")</f>
        <v/>
      </c>
      <c r="L1920" s="7" t="n"/>
      <c r="M1920" s="7" t="n"/>
      <c r="N1920">
        <f>IF(D1920="", "Gap - No Legal Basis", IF(AND(D1920="Consent (GDPR Art. 6(1)(a))", I1920="Not Captured"), "Gap - Invalid Consent", IF(AND(D1920="Legitimate Interest (GDPR Art. 6(1)(f))", L1920=""), "Gap - Missing LIA", IF(AND(G1920="Yes", H1920=""), "Gap - Missing Art. 9 Basis", IF(OR(I1920="Invalid - Not Freely Given", I1920="Invalid - Not Specific", I1920="Invalid - Not Informed", I1920="Invalid - Ambiguous"), "Gap - Invalid Consent", "Compliant")))))</f>
        <v/>
      </c>
      <c r="O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>
        <f>IF(D1921="Legitimate Interest (GDPR Art. 6(1)(f))", "Yes / Required (Sheet 3)", "")</f>
        <v/>
      </c>
      <c r="L1921" s="7" t="n"/>
      <c r="M1921" s="7" t="n"/>
      <c r="N1921">
        <f>IF(D1921="", "Gap - No Legal Basis", IF(AND(D1921="Consent (GDPR Art. 6(1)(a))", I1921="Not Captured"), "Gap - Invalid Consent", IF(AND(D1921="Legitimate Interest (GDPR Art. 6(1)(f))", L1921=""), "Gap - Missing LIA", IF(AND(G1921="Yes", H1921=""), "Gap - Missing Art. 9 Basis", IF(OR(I1921="Invalid - Not Freely Given", I1921="Invalid - Not Specific", I1921="Invalid - Not Informed", I1921="Invalid - Ambiguous"), "Gap - Invalid Consent", "Compliant")))))</f>
        <v/>
      </c>
      <c r="O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>
        <f>IF(D1922="Legitimate Interest (GDPR Art. 6(1)(f))", "Yes / Required (Sheet 3)", "")</f>
        <v/>
      </c>
      <c r="L1922" s="7" t="n"/>
      <c r="M1922" s="7" t="n"/>
      <c r="N1922">
        <f>IF(D1922="", "Gap - No Legal Basis", IF(AND(D1922="Consent (GDPR Art. 6(1)(a))", I1922="Not Captured"), "Gap - Invalid Consent", IF(AND(D1922="Legitimate Interest (GDPR Art. 6(1)(f))", L1922=""), "Gap - Missing LIA", IF(AND(G1922="Yes", H1922=""), "Gap - Missing Art. 9 Basis", IF(OR(I1922="Invalid - Not Freely Given", I1922="Invalid - Not Specific", I1922="Invalid - Not Informed", I1922="Invalid - Ambiguous"), "Gap - Invalid Consent", "Compliant")))))</f>
        <v/>
      </c>
      <c r="O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>
        <f>IF(D1923="Legitimate Interest (GDPR Art. 6(1)(f))", "Yes / Required (Sheet 3)", "")</f>
        <v/>
      </c>
      <c r="L1923" s="7" t="n"/>
      <c r="M1923" s="7" t="n"/>
      <c r="N1923">
        <f>IF(D1923="", "Gap - No Legal Basis", IF(AND(D1923="Consent (GDPR Art. 6(1)(a))", I1923="Not Captured"), "Gap - Invalid Consent", IF(AND(D1923="Legitimate Interest (GDPR Art. 6(1)(f))", L1923=""), "Gap - Missing LIA", IF(AND(G1923="Yes", H1923=""), "Gap - Missing Art. 9 Basis", IF(OR(I1923="Invalid - Not Freely Given", I1923="Invalid - Not Specific", I1923="Invalid - Not Informed", I1923="Invalid - Ambiguous"), "Gap - Invalid Consent", "Compliant")))))</f>
        <v/>
      </c>
      <c r="O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>
        <f>IF(D1924="Legitimate Interest (GDPR Art. 6(1)(f))", "Yes / Required (Sheet 3)", "")</f>
        <v/>
      </c>
      <c r="L1924" s="7" t="n"/>
      <c r="M1924" s="7" t="n"/>
      <c r="N1924">
        <f>IF(D1924="", "Gap - No Legal Basis", IF(AND(D1924="Consent (GDPR Art. 6(1)(a))", I1924="Not Captured"), "Gap - Invalid Consent", IF(AND(D1924="Legitimate Interest (GDPR Art. 6(1)(f))", L1924=""), "Gap - Missing LIA", IF(AND(G1924="Yes", H1924=""), "Gap - Missing Art. 9 Basis", IF(OR(I1924="Invalid - Not Freely Given", I1924="Invalid - Not Specific", I1924="Invalid - Not Informed", I1924="Invalid - Ambiguous"), "Gap - Invalid Consent", "Compliant")))))</f>
        <v/>
      </c>
      <c r="O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>
        <f>IF(D1925="Legitimate Interest (GDPR Art. 6(1)(f))", "Yes / Required (Sheet 3)", "")</f>
        <v/>
      </c>
      <c r="L1925" s="7" t="n"/>
      <c r="M1925" s="7" t="n"/>
      <c r="N1925">
        <f>IF(D1925="", "Gap - No Legal Basis", IF(AND(D1925="Consent (GDPR Art. 6(1)(a))", I1925="Not Captured"), "Gap - Invalid Consent", IF(AND(D1925="Legitimate Interest (GDPR Art. 6(1)(f))", L1925=""), "Gap - Missing LIA", IF(AND(G1925="Yes", H1925=""), "Gap - Missing Art. 9 Basis", IF(OR(I1925="Invalid - Not Freely Given", I1925="Invalid - Not Specific", I1925="Invalid - Not Informed", I1925="Invalid - Ambiguous"), "Gap - Invalid Consent", "Compliant")))))</f>
        <v/>
      </c>
      <c r="O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>
        <f>IF(D1926="Legitimate Interest (GDPR Art. 6(1)(f))", "Yes / Required (Sheet 3)", "")</f>
        <v/>
      </c>
      <c r="L1926" s="7" t="n"/>
      <c r="M1926" s="7" t="n"/>
      <c r="N1926">
        <f>IF(D1926="", "Gap - No Legal Basis", IF(AND(D1926="Consent (GDPR Art. 6(1)(a))", I1926="Not Captured"), "Gap - Invalid Consent", IF(AND(D1926="Legitimate Interest (GDPR Art. 6(1)(f))", L1926=""), "Gap - Missing LIA", IF(AND(G1926="Yes", H1926=""), "Gap - Missing Art. 9 Basis", IF(OR(I1926="Invalid - Not Freely Given", I1926="Invalid - Not Specific", I1926="Invalid - Not Informed", I1926="Invalid - Ambiguous"), "Gap - Invalid Consent", "Compliant")))))</f>
        <v/>
      </c>
      <c r="O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>
        <f>IF(D1927="Legitimate Interest (GDPR Art. 6(1)(f))", "Yes / Required (Sheet 3)", "")</f>
        <v/>
      </c>
      <c r="L1927" s="7" t="n"/>
      <c r="M1927" s="7" t="n"/>
      <c r="N1927">
        <f>IF(D1927="", "Gap - No Legal Basis", IF(AND(D1927="Consent (GDPR Art. 6(1)(a))", I1927="Not Captured"), "Gap - Invalid Consent", IF(AND(D1927="Legitimate Interest (GDPR Art. 6(1)(f))", L1927=""), "Gap - Missing LIA", IF(AND(G1927="Yes", H1927=""), "Gap - Missing Art. 9 Basis", IF(OR(I1927="Invalid - Not Freely Given", I1927="Invalid - Not Specific", I1927="Invalid - Not Informed", I1927="Invalid - Ambiguous"), "Gap - Invalid Consent", "Compliant")))))</f>
        <v/>
      </c>
      <c r="O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>
        <f>IF(D1928="Legitimate Interest (GDPR Art. 6(1)(f))", "Yes / Required (Sheet 3)", "")</f>
        <v/>
      </c>
      <c r="L1928" s="7" t="n"/>
      <c r="M1928" s="7" t="n"/>
      <c r="N1928">
        <f>IF(D1928="", "Gap - No Legal Basis", IF(AND(D1928="Consent (GDPR Art. 6(1)(a))", I1928="Not Captured"), "Gap - Invalid Consent", IF(AND(D1928="Legitimate Interest (GDPR Art. 6(1)(f))", L1928=""), "Gap - Missing LIA", IF(AND(G1928="Yes", H1928=""), "Gap - Missing Art. 9 Basis", IF(OR(I1928="Invalid - Not Freely Given", I1928="Invalid - Not Specific", I1928="Invalid - Not Informed", I1928="Invalid - Ambiguous"), "Gap - Invalid Consent", "Compliant")))))</f>
        <v/>
      </c>
      <c r="O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>
        <f>IF(D1929="Legitimate Interest (GDPR Art. 6(1)(f))", "Yes / Required (Sheet 3)", "")</f>
        <v/>
      </c>
      <c r="L1929" s="7" t="n"/>
      <c r="M1929" s="7" t="n"/>
      <c r="N1929">
        <f>IF(D1929="", "Gap - No Legal Basis", IF(AND(D1929="Consent (GDPR Art. 6(1)(a))", I1929="Not Captured"), "Gap - Invalid Consent", IF(AND(D1929="Legitimate Interest (GDPR Art. 6(1)(f))", L1929=""), "Gap - Missing LIA", IF(AND(G1929="Yes", H1929=""), "Gap - Missing Art. 9 Basis", IF(OR(I1929="Invalid - Not Freely Given", I1929="Invalid - Not Specific", I1929="Invalid - Not Informed", I1929="Invalid - Ambiguous"), "Gap - Invalid Consent", "Compliant")))))</f>
        <v/>
      </c>
      <c r="O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>
        <f>IF(D1930="Legitimate Interest (GDPR Art. 6(1)(f))", "Yes / Required (Sheet 3)", "")</f>
        <v/>
      </c>
      <c r="L1930" s="7" t="n"/>
      <c r="M1930" s="7" t="n"/>
      <c r="N1930">
        <f>IF(D1930="", "Gap - No Legal Basis", IF(AND(D1930="Consent (GDPR Art. 6(1)(a))", I1930="Not Captured"), "Gap - Invalid Consent", IF(AND(D1930="Legitimate Interest (GDPR Art. 6(1)(f))", L1930=""), "Gap - Missing LIA", IF(AND(G1930="Yes", H1930=""), "Gap - Missing Art. 9 Basis", IF(OR(I1930="Invalid - Not Freely Given", I1930="Invalid - Not Specific", I1930="Invalid - Not Informed", I1930="Invalid - Ambiguous"), "Gap - Invalid Consent", "Compliant")))))</f>
        <v/>
      </c>
      <c r="O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>
        <f>IF(D1931="Legitimate Interest (GDPR Art. 6(1)(f))", "Yes / Required (Sheet 3)", "")</f>
        <v/>
      </c>
      <c r="L1931" s="7" t="n"/>
      <c r="M1931" s="7" t="n"/>
      <c r="N1931">
        <f>IF(D1931="", "Gap - No Legal Basis", IF(AND(D1931="Consent (GDPR Art. 6(1)(a))", I1931="Not Captured"), "Gap - Invalid Consent", IF(AND(D1931="Legitimate Interest (GDPR Art. 6(1)(f))", L1931=""), "Gap - Missing LIA", IF(AND(G1931="Yes", H1931=""), "Gap - Missing Art. 9 Basis", IF(OR(I1931="Invalid - Not Freely Given", I1931="Invalid - Not Specific", I1931="Invalid - Not Informed", I1931="Invalid - Ambiguous"), "Gap - Invalid Consent", "Compliant")))))</f>
        <v/>
      </c>
      <c r="O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>
        <f>IF(D1932="Legitimate Interest (GDPR Art. 6(1)(f))", "Yes / Required (Sheet 3)", "")</f>
        <v/>
      </c>
      <c r="L1932" s="7" t="n"/>
      <c r="M1932" s="7" t="n"/>
      <c r="N1932">
        <f>IF(D1932="", "Gap - No Legal Basis", IF(AND(D1932="Consent (GDPR Art. 6(1)(a))", I1932="Not Captured"), "Gap - Invalid Consent", IF(AND(D1932="Legitimate Interest (GDPR Art. 6(1)(f))", L1932=""), "Gap - Missing LIA", IF(AND(G1932="Yes", H1932=""), "Gap - Missing Art. 9 Basis", IF(OR(I1932="Invalid - Not Freely Given", I1932="Invalid - Not Specific", I1932="Invalid - Not Informed", I1932="Invalid - Ambiguous"), "Gap - Invalid Consent", "Compliant")))))</f>
        <v/>
      </c>
      <c r="O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>
        <f>IF(D1933="Legitimate Interest (GDPR Art. 6(1)(f))", "Yes / Required (Sheet 3)", "")</f>
        <v/>
      </c>
      <c r="L1933" s="7" t="n"/>
      <c r="M1933" s="7" t="n"/>
      <c r="N1933">
        <f>IF(D1933="", "Gap - No Legal Basis", IF(AND(D1933="Consent (GDPR Art. 6(1)(a))", I1933="Not Captured"), "Gap - Invalid Consent", IF(AND(D1933="Legitimate Interest (GDPR Art. 6(1)(f))", L1933=""), "Gap - Missing LIA", IF(AND(G1933="Yes", H1933=""), "Gap - Missing Art. 9 Basis", IF(OR(I1933="Invalid - Not Freely Given", I1933="Invalid - Not Specific", I1933="Invalid - Not Informed", I1933="Invalid - Ambiguous"), "Gap - Invalid Consent", "Compliant")))))</f>
        <v/>
      </c>
      <c r="O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>
        <f>IF(D1934="Legitimate Interest (GDPR Art. 6(1)(f))", "Yes / Required (Sheet 3)", "")</f>
        <v/>
      </c>
      <c r="L1934" s="7" t="n"/>
      <c r="M1934" s="7" t="n"/>
      <c r="N1934">
        <f>IF(D1934="", "Gap - No Legal Basis", IF(AND(D1934="Consent (GDPR Art. 6(1)(a))", I1934="Not Captured"), "Gap - Invalid Consent", IF(AND(D1934="Legitimate Interest (GDPR Art. 6(1)(f))", L1934=""), "Gap - Missing LIA", IF(AND(G1934="Yes", H1934=""), "Gap - Missing Art. 9 Basis", IF(OR(I1934="Invalid - Not Freely Given", I1934="Invalid - Not Specific", I1934="Invalid - Not Informed", I1934="Invalid - Ambiguous"), "Gap - Invalid Consent", "Compliant")))))</f>
        <v/>
      </c>
      <c r="O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>
        <f>IF(D1935="Legitimate Interest (GDPR Art. 6(1)(f))", "Yes / Required (Sheet 3)", "")</f>
        <v/>
      </c>
      <c r="L1935" s="7" t="n"/>
      <c r="M1935" s="7" t="n"/>
      <c r="N1935">
        <f>IF(D1935="", "Gap - No Legal Basis", IF(AND(D1935="Consent (GDPR Art. 6(1)(a))", I1935="Not Captured"), "Gap - Invalid Consent", IF(AND(D1935="Legitimate Interest (GDPR Art. 6(1)(f))", L1935=""), "Gap - Missing LIA", IF(AND(G1935="Yes", H1935=""), "Gap - Missing Art. 9 Basis", IF(OR(I1935="Invalid - Not Freely Given", I1935="Invalid - Not Specific", I1935="Invalid - Not Informed", I1935="Invalid - Ambiguous"), "Gap - Invalid Consent", "Compliant")))))</f>
        <v/>
      </c>
      <c r="O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>
        <f>IF(D1936="Legitimate Interest (GDPR Art. 6(1)(f))", "Yes / Required (Sheet 3)", "")</f>
        <v/>
      </c>
      <c r="L1936" s="7" t="n"/>
      <c r="M1936" s="7" t="n"/>
      <c r="N1936">
        <f>IF(D1936="", "Gap - No Legal Basis", IF(AND(D1936="Consent (GDPR Art. 6(1)(a))", I1936="Not Captured"), "Gap - Invalid Consent", IF(AND(D1936="Legitimate Interest (GDPR Art. 6(1)(f))", L1936=""), "Gap - Missing LIA", IF(AND(G1936="Yes", H1936=""), "Gap - Missing Art. 9 Basis", IF(OR(I1936="Invalid - Not Freely Given", I1936="Invalid - Not Specific", I1936="Invalid - Not Informed", I1936="Invalid - Ambiguous"), "Gap - Invalid Consent", "Compliant")))))</f>
        <v/>
      </c>
      <c r="O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>
        <f>IF(D1937="Legitimate Interest (GDPR Art. 6(1)(f))", "Yes / Required (Sheet 3)", "")</f>
        <v/>
      </c>
      <c r="L1937" s="7" t="n"/>
      <c r="M1937" s="7" t="n"/>
      <c r="N1937">
        <f>IF(D1937="", "Gap - No Legal Basis", IF(AND(D1937="Consent (GDPR Art. 6(1)(a))", I1937="Not Captured"), "Gap - Invalid Consent", IF(AND(D1937="Legitimate Interest (GDPR Art. 6(1)(f))", L1937=""), "Gap - Missing LIA", IF(AND(G1937="Yes", H1937=""), "Gap - Missing Art. 9 Basis", IF(OR(I1937="Invalid - Not Freely Given", I1937="Invalid - Not Specific", I1937="Invalid - Not Informed", I1937="Invalid - Ambiguous"), "Gap - Invalid Consent", "Compliant")))))</f>
        <v/>
      </c>
      <c r="O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>
        <f>IF(D1938="Legitimate Interest (GDPR Art. 6(1)(f))", "Yes / Required (Sheet 3)", "")</f>
        <v/>
      </c>
      <c r="L1938" s="7" t="n"/>
      <c r="M1938" s="7" t="n"/>
      <c r="N1938">
        <f>IF(D1938="", "Gap - No Legal Basis", IF(AND(D1938="Consent (GDPR Art. 6(1)(a))", I1938="Not Captured"), "Gap - Invalid Consent", IF(AND(D1938="Legitimate Interest (GDPR Art. 6(1)(f))", L1938=""), "Gap - Missing LIA", IF(AND(G1938="Yes", H1938=""), "Gap - Missing Art. 9 Basis", IF(OR(I1938="Invalid - Not Freely Given", I1938="Invalid - Not Specific", I1938="Invalid - Not Informed", I1938="Invalid - Ambiguous"), "Gap - Invalid Consent", "Compliant")))))</f>
        <v/>
      </c>
      <c r="O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>
        <f>IF(D1939="Legitimate Interest (GDPR Art. 6(1)(f))", "Yes / Required (Sheet 3)", "")</f>
        <v/>
      </c>
      <c r="L1939" s="7" t="n"/>
      <c r="M1939" s="7" t="n"/>
      <c r="N1939">
        <f>IF(D1939="", "Gap - No Legal Basis", IF(AND(D1939="Consent (GDPR Art. 6(1)(a))", I1939="Not Captured"), "Gap - Invalid Consent", IF(AND(D1939="Legitimate Interest (GDPR Art. 6(1)(f))", L1939=""), "Gap - Missing LIA", IF(AND(G1939="Yes", H1939=""), "Gap - Missing Art. 9 Basis", IF(OR(I1939="Invalid - Not Freely Given", I1939="Invalid - Not Specific", I1939="Invalid - Not Informed", I1939="Invalid - Ambiguous"), "Gap - Invalid Consent", "Compliant")))))</f>
        <v/>
      </c>
      <c r="O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>
        <f>IF(D1940="Legitimate Interest (GDPR Art. 6(1)(f))", "Yes / Required (Sheet 3)", "")</f>
        <v/>
      </c>
      <c r="L1940" s="7" t="n"/>
      <c r="M1940" s="7" t="n"/>
      <c r="N1940">
        <f>IF(D1940="", "Gap - No Legal Basis", IF(AND(D1940="Consent (GDPR Art. 6(1)(a))", I1940="Not Captured"), "Gap - Invalid Consent", IF(AND(D1940="Legitimate Interest (GDPR Art. 6(1)(f))", L1940=""), "Gap - Missing LIA", IF(AND(G1940="Yes", H1940=""), "Gap - Missing Art. 9 Basis", IF(OR(I1940="Invalid - Not Freely Given", I1940="Invalid - Not Specific", I1940="Invalid - Not Informed", I1940="Invalid - Ambiguous"), "Gap - Invalid Consent", "Compliant")))))</f>
        <v/>
      </c>
      <c r="O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>
        <f>IF(D1941="Legitimate Interest (GDPR Art. 6(1)(f))", "Yes / Required (Sheet 3)", "")</f>
        <v/>
      </c>
      <c r="L1941" s="7" t="n"/>
      <c r="M1941" s="7" t="n"/>
      <c r="N1941">
        <f>IF(D1941="", "Gap - No Legal Basis", IF(AND(D1941="Consent (GDPR Art. 6(1)(a))", I1941="Not Captured"), "Gap - Invalid Consent", IF(AND(D1941="Legitimate Interest (GDPR Art. 6(1)(f))", L1941=""), "Gap - Missing LIA", IF(AND(G1941="Yes", H1941=""), "Gap - Missing Art. 9 Basis", IF(OR(I1941="Invalid - Not Freely Given", I1941="Invalid - Not Specific", I1941="Invalid - Not Informed", I1941="Invalid - Ambiguous"), "Gap - Invalid Consent", "Compliant")))))</f>
        <v/>
      </c>
      <c r="O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>
        <f>IF(D1942="Legitimate Interest (GDPR Art. 6(1)(f))", "Yes / Required (Sheet 3)", "")</f>
        <v/>
      </c>
      <c r="L1942" s="7" t="n"/>
      <c r="M1942" s="7" t="n"/>
      <c r="N1942">
        <f>IF(D1942="", "Gap - No Legal Basis", IF(AND(D1942="Consent (GDPR Art. 6(1)(a))", I1942="Not Captured"), "Gap - Invalid Consent", IF(AND(D1942="Legitimate Interest (GDPR Art. 6(1)(f))", L1942=""), "Gap - Missing LIA", IF(AND(G1942="Yes", H1942=""), "Gap - Missing Art. 9 Basis", IF(OR(I1942="Invalid - Not Freely Given", I1942="Invalid - Not Specific", I1942="Invalid - Not Informed", I1942="Invalid - Ambiguous"), "Gap - Invalid Consent", "Compliant")))))</f>
        <v/>
      </c>
      <c r="O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>
        <f>IF(D1943="Legitimate Interest (GDPR Art. 6(1)(f))", "Yes / Required (Sheet 3)", "")</f>
        <v/>
      </c>
      <c r="L1943" s="7" t="n"/>
      <c r="M1943" s="7" t="n"/>
      <c r="N1943">
        <f>IF(D1943="", "Gap - No Legal Basis", IF(AND(D1943="Consent (GDPR Art. 6(1)(a))", I1943="Not Captured"), "Gap - Invalid Consent", IF(AND(D1943="Legitimate Interest (GDPR Art. 6(1)(f))", L1943=""), "Gap - Missing LIA", IF(AND(G1943="Yes", H1943=""), "Gap - Missing Art. 9 Basis", IF(OR(I1943="Invalid - Not Freely Given", I1943="Invalid - Not Specific", I1943="Invalid - Not Informed", I1943="Invalid - Ambiguous"), "Gap - Invalid Consent", "Compliant")))))</f>
        <v/>
      </c>
      <c r="O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>
        <f>IF(D1944="Legitimate Interest (GDPR Art. 6(1)(f))", "Yes / Required (Sheet 3)", "")</f>
        <v/>
      </c>
      <c r="L1944" s="7" t="n"/>
      <c r="M1944" s="7" t="n"/>
      <c r="N1944">
        <f>IF(D1944="", "Gap - No Legal Basis", IF(AND(D1944="Consent (GDPR Art. 6(1)(a))", I1944="Not Captured"), "Gap - Invalid Consent", IF(AND(D1944="Legitimate Interest (GDPR Art. 6(1)(f))", L1944=""), "Gap - Missing LIA", IF(AND(G1944="Yes", H1944=""), "Gap - Missing Art. 9 Basis", IF(OR(I1944="Invalid - Not Freely Given", I1944="Invalid - Not Specific", I1944="Invalid - Not Informed", I1944="Invalid - Ambiguous"), "Gap - Invalid Consent", "Compliant")))))</f>
        <v/>
      </c>
      <c r="O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>
        <f>IF(D1945="Legitimate Interest (GDPR Art. 6(1)(f))", "Yes / Required (Sheet 3)", "")</f>
        <v/>
      </c>
      <c r="L1945" s="7" t="n"/>
      <c r="M1945" s="7" t="n"/>
      <c r="N1945">
        <f>IF(D1945="", "Gap - No Legal Basis", IF(AND(D1945="Consent (GDPR Art. 6(1)(a))", I1945="Not Captured"), "Gap - Invalid Consent", IF(AND(D1945="Legitimate Interest (GDPR Art. 6(1)(f))", L1945=""), "Gap - Missing LIA", IF(AND(G1945="Yes", H1945=""), "Gap - Missing Art. 9 Basis", IF(OR(I1945="Invalid - Not Freely Given", I1945="Invalid - Not Specific", I1945="Invalid - Not Informed", I1945="Invalid - Ambiguous"), "Gap - Invalid Consent", "Compliant")))))</f>
        <v/>
      </c>
      <c r="O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>
        <f>IF(D1946="Legitimate Interest (GDPR Art. 6(1)(f))", "Yes / Required (Sheet 3)", "")</f>
        <v/>
      </c>
      <c r="L1946" s="7" t="n"/>
      <c r="M1946" s="7" t="n"/>
      <c r="N1946">
        <f>IF(D1946="", "Gap - No Legal Basis", IF(AND(D1946="Consent (GDPR Art. 6(1)(a))", I1946="Not Captured"), "Gap - Invalid Consent", IF(AND(D1946="Legitimate Interest (GDPR Art. 6(1)(f))", L1946=""), "Gap - Missing LIA", IF(AND(G1946="Yes", H1946=""), "Gap - Missing Art. 9 Basis", IF(OR(I1946="Invalid - Not Freely Given", I1946="Invalid - Not Specific", I1946="Invalid - Not Informed", I1946="Invalid - Ambiguous"), "Gap - Invalid Consent", "Compliant")))))</f>
        <v/>
      </c>
      <c r="O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>
        <f>IF(D1947="Legitimate Interest (GDPR Art. 6(1)(f))", "Yes / Required (Sheet 3)", "")</f>
        <v/>
      </c>
      <c r="L1947" s="7" t="n"/>
      <c r="M1947" s="7" t="n"/>
      <c r="N1947">
        <f>IF(D1947="", "Gap - No Legal Basis", IF(AND(D1947="Consent (GDPR Art. 6(1)(a))", I1947="Not Captured"), "Gap - Invalid Consent", IF(AND(D1947="Legitimate Interest (GDPR Art. 6(1)(f))", L1947=""), "Gap - Missing LIA", IF(AND(G1947="Yes", H1947=""), "Gap - Missing Art. 9 Basis", IF(OR(I1947="Invalid - Not Freely Given", I1947="Invalid - Not Specific", I1947="Invalid - Not Informed", I1947="Invalid - Ambiguous"), "Gap - Invalid Consent", "Compliant")))))</f>
        <v/>
      </c>
      <c r="O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>
        <f>IF(D1948="Legitimate Interest (GDPR Art. 6(1)(f))", "Yes / Required (Sheet 3)", "")</f>
        <v/>
      </c>
      <c r="L1948" s="7" t="n"/>
      <c r="M1948" s="7" t="n"/>
      <c r="N1948">
        <f>IF(D1948="", "Gap - No Legal Basis", IF(AND(D1948="Consent (GDPR Art. 6(1)(a))", I1948="Not Captured"), "Gap - Invalid Consent", IF(AND(D1948="Legitimate Interest (GDPR Art. 6(1)(f))", L1948=""), "Gap - Missing LIA", IF(AND(G1948="Yes", H1948=""), "Gap - Missing Art. 9 Basis", IF(OR(I1948="Invalid - Not Freely Given", I1948="Invalid - Not Specific", I1948="Invalid - Not Informed", I1948="Invalid - Ambiguous"), "Gap - Invalid Consent", "Compliant")))))</f>
        <v/>
      </c>
      <c r="O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>
        <f>IF(D1949="Legitimate Interest (GDPR Art. 6(1)(f))", "Yes / Required (Sheet 3)", "")</f>
        <v/>
      </c>
      <c r="L1949" s="7" t="n"/>
      <c r="M1949" s="7" t="n"/>
      <c r="N1949">
        <f>IF(D1949="", "Gap - No Legal Basis", IF(AND(D1949="Consent (GDPR Art. 6(1)(a))", I1949="Not Captured"), "Gap - Invalid Consent", IF(AND(D1949="Legitimate Interest (GDPR Art. 6(1)(f))", L1949=""), "Gap - Missing LIA", IF(AND(G1949="Yes", H1949=""), "Gap - Missing Art. 9 Basis", IF(OR(I1949="Invalid - Not Freely Given", I1949="Invalid - Not Specific", I1949="Invalid - Not Informed", I1949="Invalid - Ambiguous"), "Gap - Invalid Consent", "Compliant")))))</f>
        <v/>
      </c>
      <c r="O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>
        <f>IF(D1950="Legitimate Interest (GDPR Art. 6(1)(f))", "Yes / Required (Sheet 3)", "")</f>
        <v/>
      </c>
      <c r="L1950" s="7" t="n"/>
      <c r="M1950" s="7" t="n"/>
      <c r="N1950">
        <f>IF(D1950="", "Gap - No Legal Basis", IF(AND(D1950="Consent (GDPR Art. 6(1)(a))", I1950="Not Captured"), "Gap - Invalid Consent", IF(AND(D1950="Legitimate Interest (GDPR Art. 6(1)(f))", L1950=""), "Gap - Missing LIA", IF(AND(G1950="Yes", H1950=""), "Gap - Missing Art. 9 Basis", IF(OR(I1950="Invalid - Not Freely Given", I1950="Invalid - Not Specific", I1950="Invalid - Not Informed", I1950="Invalid - Ambiguous"), "Gap - Invalid Consent", "Compliant")))))</f>
        <v/>
      </c>
      <c r="O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>
        <f>IF(D1951="Legitimate Interest (GDPR Art. 6(1)(f))", "Yes / Required (Sheet 3)", "")</f>
        <v/>
      </c>
      <c r="L1951" s="7" t="n"/>
      <c r="M1951" s="7" t="n"/>
      <c r="N1951">
        <f>IF(D1951="", "Gap - No Legal Basis", IF(AND(D1951="Consent (GDPR Art. 6(1)(a))", I1951="Not Captured"), "Gap - Invalid Consent", IF(AND(D1951="Legitimate Interest (GDPR Art. 6(1)(f))", L1951=""), "Gap - Missing LIA", IF(AND(G1951="Yes", H1951=""), "Gap - Missing Art. 9 Basis", IF(OR(I1951="Invalid - Not Freely Given", I1951="Invalid - Not Specific", I1951="Invalid - Not Informed", I1951="Invalid - Ambiguous"), "Gap - Invalid Consent", "Compliant")))))</f>
        <v/>
      </c>
      <c r="O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>
        <f>IF(D1952="Legitimate Interest (GDPR Art. 6(1)(f))", "Yes / Required (Sheet 3)", "")</f>
        <v/>
      </c>
      <c r="L1952" s="7" t="n"/>
      <c r="M1952" s="7" t="n"/>
      <c r="N1952">
        <f>IF(D1952="", "Gap - No Legal Basis", IF(AND(D1952="Consent (GDPR Art. 6(1)(a))", I1952="Not Captured"), "Gap - Invalid Consent", IF(AND(D1952="Legitimate Interest (GDPR Art. 6(1)(f))", L1952=""), "Gap - Missing LIA", IF(AND(G1952="Yes", H1952=""), "Gap - Missing Art. 9 Basis", IF(OR(I1952="Invalid - Not Freely Given", I1952="Invalid - Not Specific", I1952="Invalid - Not Informed", I1952="Invalid - Ambiguous"), "Gap - Invalid Consent", "Compliant")))))</f>
        <v/>
      </c>
      <c r="O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>
        <f>IF(D1953="Legitimate Interest (GDPR Art. 6(1)(f))", "Yes / Required (Sheet 3)", "")</f>
        <v/>
      </c>
      <c r="L1953" s="7" t="n"/>
      <c r="M1953" s="7" t="n"/>
      <c r="N1953">
        <f>IF(D1953="", "Gap - No Legal Basis", IF(AND(D1953="Consent (GDPR Art. 6(1)(a))", I1953="Not Captured"), "Gap - Invalid Consent", IF(AND(D1953="Legitimate Interest (GDPR Art. 6(1)(f))", L1953=""), "Gap - Missing LIA", IF(AND(G1953="Yes", H1953=""), "Gap - Missing Art. 9 Basis", IF(OR(I1953="Invalid - Not Freely Given", I1953="Invalid - Not Specific", I1953="Invalid - Not Informed", I1953="Invalid - Ambiguous"), "Gap - Invalid Consent", "Compliant")))))</f>
        <v/>
      </c>
      <c r="O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>
        <f>IF(D1954="Legitimate Interest (GDPR Art. 6(1)(f))", "Yes / Required (Sheet 3)", "")</f>
        <v/>
      </c>
      <c r="L1954" s="7" t="n"/>
      <c r="M1954" s="7" t="n"/>
      <c r="N1954">
        <f>IF(D1954="", "Gap - No Legal Basis", IF(AND(D1954="Consent (GDPR Art. 6(1)(a))", I1954="Not Captured"), "Gap - Invalid Consent", IF(AND(D1954="Legitimate Interest (GDPR Art. 6(1)(f))", L1954=""), "Gap - Missing LIA", IF(AND(G1954="Yes", H1954=""), "Gap - Missing Art. 9 Basis", IF(OR(I1954="Invalid - Not Freely Given", I1954="Invalid - Not Specific", I1954="Invalid - Not Informed", I1954="Invalid - Ambiguous"), "Gap - Invalid Consent", "Compliant")))))</f>
        <v/>
      </c>
      <c r="O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>
        <f>IF(D1955="Legitimate Interest (GDPR Art. 6(1)(f))", "Yes / Required (Sheet 3)", "")</f>
        <v/>
      </c>
      <c r="L1955" s="7" t="n"/>
      <c r="M1955" s="7" t="n"/>
      <c r="N1955">
        <f>IF(D1955="", "Gap - No Legal Basis", IF(AND(D1955="Consent (GDPR Art. 6(1)(a))", I1955="Not Captured"), "Gap - Invalid Consent", IF(AND(D1955="Legitimate Interest (GDPR Art. 6(1)(f))", L1955=""), "Gap - Missing LIA", IF(AND(G1955="Yes", H1955=""), "Gap - Missing Art. 9 Basis", IF(OR(I1955="Invalid - Not Freely Given", I1955="Invalid - Not Specific", I1955="Invalid - Not Informed", I1955="Invalid - Ambiguous"), "Gap - Invalid Consent", "Compliant")))))</f>
        <v/>
      </c>
      <c r="O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>
        <f>IF(D1956="Legitimate Interest (GDPR Art. 6(1)(f))", "Yes / Required (Sheet 3)", "")</f>
        <v/>
      </c>
      <c r="L1956" s="7" t="n"/>
      <c r="M1956" s="7" t="n"/>
      <c r="N1956">
        <f>IF(D1956="", "Gap - No Legal Basis", IF(AND(D1956="Consent (GDPR Art. 6(1)(a))", I1956="Not Captured"), "Gap - Invalid Consent", IF(AND(D1956="Legitimate Interest (GDPR Art. 6(1)(f))", L1956=""), "Gap - Missing LIA", IF(AND(G1956="Yes", H1956=""), "Gap - Missing Art. 9 Basis", IF(OR(I1956="Invalid - Not Freely Given", I1956="Invalid - Not Specific", I1956="Invalid - Not Informed", I1956="Invalid - Ambiguous"), "Gap - Invalid Consent", "Compliant")))))</f>
        <v/>
      </c>
      <c r="O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>
        <f>IF(D1957="Legitimate Interest (GDPR Art. 6(1)(f))", "Yes / Required (Sheet 3)", "")</f>
        <v/>
      </c>
      <c r="L1957" s="7" t="n"/>
      <c r="M1957" s="7" t="n"/>
      <c r="N1957">
        <f>IF(D1957="", "Gap - No Legal Basis", IF(AND(D1957="Consent (GDPR Art. 6(1)(a))", I1957="Not Captured"), "Gap - Invalid Consent", IF(AND(D1957="Legitimate Interest (GDPR Art. 6(1)(f))", L1957=""), "Gap - Missing LIA", IF(AND(G1957="Yes", H1957=""), "Gap - Missing Art. 9 Basis", IF(OR(I1957="Invalid - Not Freely Given", I1957="Invalid - Not Specific", I1957="Invalid - Not Informed", I1957="Invalid - Ambiguous"), "Gap - Invalid Consent", "Compliant")))))</f>
        <v/>
      </c>
      <c r="O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>
        <f>IF(D1958="Legitimate Interest (GDPR Art. 6(1)(f))", "Yes / Required (Sheet 3)", "")</f>
        <v/>
      </c>
      <c r="L1958" s="7" t="n"/>
      <c r="M1958" s="7" t="n"/>
      <c r="N1958">
        <f>IF(D1958="", "Gap - No Legal Basis", IF(AND(D1958="Consent (GDPR Art. 6(1)(a))", I1958="Not Captured"), "Gap - Invalid Consent", IF(AND(D1958="Legitimate Interest (GDPR Art. 6(1)(f))", L1958=""), "Gap - Missing LIA", IF(AND(G1958="Yes", H1958=""), "Gap - Missing Art. 9 Basis", IF(OR(I1958="Invalid - Not Freely Given", I1958="Invalid - Not Specific", I1958="Invalid - Not Informed", I1958="Invalid - Ambiguous"), "Gap - Invalid Consent", "Compliant")))))</f>
        <v/>
      </c>
      <c r="O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>
        <f>IF(D1959="Legitimate Interest (GDPR Art. 6(1)(f))", "Yes / Required (Sheet 3)", "")</f>
        <v/>
      </c>
      <c r="L1959" s="7" t="n"/>
      <c r="M1959" s="7" t="n"/>
      <c r="N1959">
        <f>IF(D1959="", "Gap - No Legal Basis", IF(AND(D1959="Consent (GDPR Art. 6(1)(a))", I1959="Not Captured"), "Gap - Invalid Consent", IF(AND(D1959="Legitimate Interest (GDPR Art. 6(1)(f))", L1959=""), "Gap - Missing LIA", IF(AND(G1959="Yes", H1959=""), "Gap - Missing Art. 9 Basis", IF(OR(I1959="Invalid - Not Freely Given", I1959="Invalid - Not Specific", I1959="Invalid - Not Informed", I1959="Invalid - Ambiguous"), "Gap - Invalid Consent", "Compliant")))))</f>
        <v/>
      </c>
      <c r="O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>
        <f>IF(D1960="Legitimate Interest (GDPR Art. 6(1)(f))", "Yes / Required (Sheet 3)", "")</f>
        <v/>
      </c>
      <c r="L1960" s="7" t="n"/>
      <c r="M1960" s="7" t="n"/>
      <c r="N1960">
        <f>IF(D1960="", "Gap - No Legal Basis", IF(AND(D1960="Consent (GDPR Art. 6(1)(a))", I1960="Not Captured"), "Gap - Invalid Consent", IF(AND(D1960="Legitimate Interest (GDPR Art. 6(1)(f))", L1960=""), "Gap - Missing LIA", IF(AND(G1960="Yes", H1960=""), "Gap - Missing Art. 9 Basis", IF(OR(I1960="Invalid - Not Freely Given", I1960="Invalid - Not Specific", I1960="Invalid - Not Informed", I1960="Invalid - Ambiguous"), "Gap - Invalid Consent", "Compliant")))))</f>
        <v/>
      </c>
      <c r="O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>
        <f>IF(D1961="Legitimate Interest (GDPR Art. 6(1)(f))", "Yes / Required (Sheet 3)", "")</f>
        <v/>
      </c>
      <c r="L1961" s="7" t="n"/>
      <c r="M1961" s="7" t="n"/>
      <c r="N1961">
        <f>IF(D1961="", "Gap - No Legal Basis", IF(AND(D1961="Consent (GDPR Art. 6(1)(a))", I1961="Not Captured"), "Gap - Invalid Consent", IF(AND(D1961="Legitimate Interest (GDPR Art. 6(1)(f))", L1961=""), "Gap - Missing LIA", IF(AND(G1961="Yes", H1961=""), "Gap - Missing Art. 9 Basis", IF(OR(I1961="Invalid - Not Freely Given", I1961="Invalid - Not Specific", I1961="Invalid - Not Informed", I1961="Invalid - Ambiguous"), "Gap - Invalid Consent", "Compliant")))))</f>
        <v/>
      </c>
      <c r="O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>
        <f>IF(D1962="Legitimate Interest (GDPR Art. 6(1)(f))", "Yes / Required (Sheet 3)", "")</f>
        <v/>
      </c>
      <c r="L1962" s="7" t="n"/>
      <c r="M1962" s="7" t="n"/>
      <c r="N1962">
        <f>IF(D1962="", "Gap - No Legal Basis", IF(AND(D1962="Consent (GDPR Art. 6(1)(a))", I1962="Not Captured"), "Gap - Invalid Consent", IF(AND(D1962="Legitimate Interest (GDPR Art. 6(1)(f))", L1962=""), "Gap - Missing LIA", IF(AND(G1962="Yes", H1962=""), "Gap - Missing Art. 9 Basis", IF(OR(I1962="Invalid - Not Freely Given", I1962="Invalid - Not Specific", I1962="Invalid - Not Informed", I1962="Invalid - Ambiguous"), "Gap - Invalid Consent", "Compliant")))))</f>
        <v/>
      </c>
      <c r="O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>
        <f>IF(D1963="Legitimate Interest (GDPR Art. 6(1)(f))", "Yes / Required (Sheet 3)", "")</f>
        <v/>
      </c>
      <c r="L1963" s="7" t="n"/>
      <c r="M1963" s="7" t="n"/>
      <c r="N1963">
        <f>IF(D1963="", "Gap - No Legal Basis", IF(AND(D1963="Consent (GDPR Art. 6(1)(a))", I1963="Not Captured"), "Gap - Invalid Consent", IF(AND(D1963="Legitimate Interest (GDPR Art. 6(1)(f))", L1963=""), "Gap - Missing LIA", IF(AND(G1963="Yes", H1963=""), "Gap - Missing Art. 9 Basis", IF(OR(I1963="Invalid - Not Freely Given", I1963="Invalid - Not Specific", I1963="Invalid - Not Informed", I1963="Invalid - Ambiguous"), "Gap - Invalid Consent", "Compliant")))))</f>
        <v/>
      </c>
      <c r="O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>
        <f>IF(D1964="Legitimate Interest (GDPR Art. 6(1)(f))", "Yes / Required (Sheet 3)", "")</f>
        <v/>
      </c>
      <c r="L1964" s="7" t="n"/>
      <c r="M1964" s="7" t="n"/>
      <c r="N1964">
        <f>IF(D1964="", "Gap - No Legal Basis", IF(AND(D1964="Consent (GDPR Art. 6(1)(a))", I1964="Not Captured"), "Gap - Invalid Consent", IF(AND(D1964="Legitimate Interest (GDPR Art. 6(1)(f))", L1964=""), "Gap - Missing LIA", IF(AND(G1964="Yes", H1964=""), "Gap - Missing Art. 9 Basis", IF(OR(I1964="Invalid - Not Freely Given", I1964="Invalid - Not Specific", I1964="Invalid - Not Informed", I1964="Invalid - Ambiguous"), "Gap - Invalid Consent", "Compliant")))))</f>
        <v/>
      </c>
      <c r="O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>
        <f>IF(D1965="Legitimate Interest (GDPR Art. 6(1)(f))", "Yes / Required (Sheet 3)", "")</f>
        <v/>
      </c>
      <c r="L1965" s="7" t="n"/>
      <c r="M1965" s="7" t="n"/>
      <c r="N1965">
        <f>IF(D1965="", "Gap - No Legal Basis", IF(AND(D1965="Consent (GDPR Art. 6(1)(a))", I1965="Not Captured"), "Gap - Invalid Consent", IF(AND(D1965="Legitimate Interest (GDPR Art. 6(1)(f))", L1965=""), "Gap - Missing LIA", IF(AND(G1965="Yes", H1965=""), "Gap - Missing Art. 9 Basis", IF(OR(I1965="Invalid - Not Freely Given", I1965="Invalid - Not Specific", I1965="Invalid - Not Informed", I1965="Invalid - Ambiguous"), "Gap - Invalid Consent", "Compliant")))))</f>
        <v/>
      </c>
      <c r="O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>
        <f>IF(D1966="Legitimate Interest (GDPR Art. 6(1)(f))", "Yes / Required (Sheet 3)", "")</f>
        <v/>
      </c>
      <c r="L1966" s="7" t="n"/>
      <c r="M1966" s="7" t="n"/>
      <c r="N1966">
        <f>IF(D1966="", "Gap - No Legal Basis", IF(AND(D1966="Consent (GDPR Art. 6(1)(a))", I1966="Not Captured"), "Gap - Invalid Consent", IF(AND(D1966="Legitimate Interest (GDPR Art. 6(1)(f))", L1966=""), "Gap - Missing LIA", IF(AND(G1966="Yes", H1966=""), "Gap - Missing Art. 9 Basis", IF(OR(I1966="Invalid - Not Freely Given", I1966="Invalid - Not Specific", I1966="Invalid - Not Informed", I1966="Invalid - Ambiguous"), "Gap - Invalid Consent", "Compliant")))))</f>
        <v/>
      </c>
      <c r="O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>
        <f>IF(D1967="Legitimate Interest (GDPR Art. 6(1)(f))", "Yes / Required (Sheet 3)", "")</f>
        <v/>
      </c>
      <c r="L1967" s="7" t="n"/>
      <c r="M1967" s="7" t="n"/>
      <c r="N1967">
        <f>IF(D1967="", "Gap - No Legal Basis", IF(AND(D1967="Consent (GDPR Art. 6(1)(a))", I1967="Not Captured"), "Gap - Invalid Consent", IF(AND(D1967="Legitimate Interest (GDPR Art. 6(1)(f))", L1967=""), "Gap - Missing LIA", IF(AND(G1967="Yes", H1967=""), "Gap - Missing Art. 9 Basis", IF(OR(I1967="Invalid - Not Freely Given", I1967="Invalid - Not Specific", I1967="Invalid - Not Informed", I1967="Invalid - Ambiguous"), "Gap - Invalid Consent", "Compliant")))))</f>
        <v/>
      </c>
      <c r="O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>
        <f>IF(D1968="Legitimate Interest (GDPR Art. 6(1)(f))", "Yes / Required (Sheet 3)", "")</f>
        <v/>
      </c>
      <c r="L1968" s="7" t="n"/>
      <c r="M1968" s="7" t="n"/>
      <c r="N1968">
        <f>IF(D1968="", "Gap - No Legal Basis", IF(AND(D1968="Consent (GDPR Art. 6(1)(a))", I1968="Not Captured"), "Gap - Invalid Consent", IF(AND(D1968="Legitimate Interest (GDPR Art. 6(1)(f))", L1968=""), "Gap - Missing LIA", IF(AND(G1968="Yes", H1968=""), "Gap - Missing Art. 9 Basis", IF(OR(I1968="Invalid - Not Freely Given", I1968="Invalid - Not Specific", I1968="Invalid - Not Informed", I1968="Invalid - Ambiguous"), "Gap - Invalid Consent", "Compliant")))))</f>
        <v/>
      </c>
      <c r="O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>
        <f>IF(D1969="Legitimate Interest (GDPR Art. 6(1)(f))", "Yes / Required (Sheet 3)", "")</f>
        <v/>
      </c>
      <c r="L1969" s="7" t="n"/>
      <c r="M1969" s="7" t="n"/>
      <c r="N1969">
        <f>IF(D1969="", "Gap - No Legal Basis", IF(AND(D1969="Consent (GDPR Art. 6(1)(a))", I1969="Not Captured"), "Gap - Invalid Consent", IF(AND(D1969="Legitimate Interest (GDPR Art. 6(1)(f))", L1969=""), "Gap - Missing LIA", IF(AND(G1969="Yes", H1969=""), "Gap - Missing Art. 9 Basis", IF(OR(I1969="Invalid - Not Freely Given", I1969="Invalid - Not Specific", I1969="Invalid - Not Informed", I1969="Invalid - Ambiguous"), "Gap - Invalid Consent", "Compliant")))))</f>
        <v/>
      </c>
      <c r="O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>
        <f>IF(D1970="Legitimate Interest (GDPR Art. 6(1)(f))", "Yes / Required (Sheet 3)", "")</f>
        <v/>
      </c>
      <c r="L1970" s="7" t="n"/>
      <c r="M1970" s="7" t="n"/>
      <c r="N1970">
        <f>IF(D1970="", "Gap - No Legal Basis", IF(AND(D1970="Consent (GDPR Art. 6(1)(a))", I1970="Not Captured"), "Gap - Invalid Consent", IF(AND(D1970="Legitimate Interest (GDPR Art. 6(1)(f))", L1970=""), "Gap - Missing LIA", IF(AND(G1970="Yes", H1970=""), "Gap - Missing Art. 9 Basis", IF(OR(I1970="Invalid - Not Freely Given", I1970="Invalid - Not Specific", I1970="Invalid - Not Informed", I1970="Invalid - Ambiguous"), "Gap - Invalid Consent", "Compliant")))))</f>
        <v/>
      </c>
      <c r="O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>
        <f>IF(D1971="Legitimate Interest (GDPR Art. 6(1)(f))", "Yes / Required (Sheet 3)", "")</f>
        <v/>
      </c>
      <c r="L1971" s="7" t="n"/>
      <c r="M1971" s="7" t="n"/>
      <c r="N1971">
        <f>IF(D1971="", "Gap - No Legal Basis", IF(AND(D1971="Consent (GDPR Art. 6(1)(a))", I1971="Not Captured"), "Gap - Invalid Consent", IF(AND(D1971="Legitimate Interest (GDPR Art. 6(1)(f))", L1971=""), "Gap - Missing LIA", IF(AND(G1971="Yes", H1971=""), "Gap - Missing Art. 9 Basis", IF(OR(I1971="Invalid - Not Freely Given", I1971="Invalid - Not Specific", I1971="Invalid - Not Informed", I1971="Invalid - Ambiguous"), "Gap - Invalid Consent", "Compliant")))))</f>
        <v/>
      </c>
      <c r="O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>
        <f>IF(D1972="Legitimate Interest (GDPR Art. 6(1)(f))", "Yes / Required (Sheet 3)", "")</f>
        <v/>
      </c>
      <c r="L1972" s="7" t="n"/>
      <c r="M1972" s="7" t="n"/>
      <c r="N1972">
        <f>IF(D1972="", "Gap - No Legal Basis", IF(AND(D1972="Consent (GDPR Art. 6(1)(a))", I1972="Not Captured"), "Gap - Invalid Consent", IF(AND(D1972="Legitimate Interest (GDPR Art. 6(1)(f))", L1972=""), "Gap - Missing LIA", IF(AND(G1972="Yes", H1972=""), "Gap - Missing Art. 9 Basis", IF(OR(I1972="Invalid - Not Freely Given", I1972="Invalid - Not Specific", I1972="Invalid - Not Informed", I1972="Invalid - Ambiguous"), "Gap - Invalid Consent", "Compliant")))))</f>
        <v/>
      </c>
      <c r="O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>
        <f>IF(D1973="Legitimate Interest (GDPR Art. 6(1)(f))", "Yes / Required (Sheet 3)", "")</f>
        <v/>
      </c>
      <c r="L1973" s="7" t="n"/>
      <c r="M1973" s="7" t="n"/>
      <c r="N1973">
        <f>IF(D1973="", "Gap - No Legal Basis", IF(AND(D1973="Consent (GDPR Art. 6(1)(a))", I1973="Not Captured"), "Gap - Invalid Consent", IF(AND(D1973="Legitimate Interest (GDPR Art. 6(1)(f))", L1973=""), "Gap - Missing LIA", IF(AND(G1973="Yes", H1973=""), "Gap - Missing Art. 9 Basis", IF(OR(I1973="Invalid - Not Freely Given", I1973="Invalid - Not Specific", I1973="Invalid - Not Informed", I1973="Invalid - Ambiguous"), "Gap - Invalid Consent", "Compliant")))))</f>
        <v/>
      </c>
      <c r="O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>
        <f>IF(D1974="Legitimate Interest (GDPR Art. 6(1)(f))", "Yes / Required (Sheet 3)", "")</f>
        <v/>
      </c>
      <c r="L1974" s="7" t="n"/>
      <c r="M1974" s="7" t="n"/>
      <c r="N1974">
        <f>IF(D1974="", "Gap - No Legal Basis", IF(AND(D1974="Consent (GDPR Art. 6(1)(a))", I1974="Not Captured"), "Gap - Invalid Consent", IF(AND(D1974="Legitimate Interest (GDPR Art. 6(1)(f))", L1974=""), "Gap - Missing LIA", IF(AND(G1974="Yes", H1974=""), "Gap - Missing Art. 9 Basis", IF(OR(I1974="Invalid - Not Freely Given", I1974="Invalid - Not Specific", I1974="Invalid - Not Informed", I1974="Invalid - Ambiguous"), "Gap - Invalid Consent", "Compliant")))))</f>
        <v/>
      </c>
      <c r="O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>
        <f>IF(D1975="Legitimate Interest (GDPR Art. 6(1)(f))", "Yes / Required (Sheet 3)", "")</f>
        <v/>
      </c>
      <c r="L1975" s="7" t="n"/>
      <c r="M1975" s="7" t="n"/>
      <c r="N1975">
        <f>IF(D1975="", "Gap - No Legal Basis", IF(AND(D1975="Consent (GDPR Art. 6(1)(a))", I1975="Not Captured"), "Gap - Invalid Consent", IF(AND(D1975="Legitimate Interest (GDPR Art. 6(1)(f))", L1975=""), "Gap - Missing LIA", IF(AND(G1975="Yes", H1975=""), "Gap - Missing Art. 9 Basis", IF(OR(I1975="Invalid - Not Freely Given", I1975="Invalid - Not Specific", I1975="Invalid - Not Informed", I1975="Invalid - Ambiguous"), "Gap - Invalid Consent", "Compliant")))))</f>
        <v/>
      </c>
      <c r="O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>
        <f>IF(D1976="Legitimate Interest (GDPR Art. 6(1)(f))", "Yes / Required (Sheet 3)", "")</f>
        <v/>
      </c>
      <c r="L1976" s="7" t="n"/>
      <c r="M1976" s="7" t="n"/>
      <c r="N1976">
        <f>IF(D1976="", "Gap - No Legal Basis", IF(AND(D1976="Consent (GDPR Art. 6(1)(a))", I1976="Not Captured"), "Gap - Invalid Consent", IF(AND(D1976="Legitimate Interest (GDPR Art. 6(1)(f))", L1976=""), "Gap - Missing LIA", IF(AND(G1976="Yes", H1976=""), "Gap - Missing Art. 9 Basis", IF(OR(I1976="Invalid - Not Freely Given", I1976="Invalid - Not Specific", I1976="Invalid - Not Informed", I1976="Invalid - Ambiguous"), "Gap - Invalid Consent", "Compliant")))))</f>
        <v/>
      </c>
      <c r="O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>
        <f>IF(D1977="Legitimate Interest (GDPR Art. 6(1)(f))", "Yes / Required (Sheet 3)", "")</f>
        <v/>
      </c>
      <c r="L1977" s="7" t="n"/>
      <c r="M1977" s="7" t="n"/>
      <c r="N1977">
        <f>IF(D1977="", "Gap - No Legal Basis", IF(AND(D1977="Consent (GDPR Art. 6(1)(a))", I1977="Not Captured"), "Gap - Invalid Consent", IF(AND(D1977="Legitimate Interest (GDPR Art. 6(1)(f))", L1977=""), "Gap - Missing LIA", IF(AND(G1977="Yes", H1977=""), "Gap - Missing Art. 9 Basis", IF(OR(I1977="Invalid - Not Freely Given", I1977="Invalid - Not Specific", I1977="Invalid - Not Informed", I1977="Invalid - Ambiguous"), "Gap - Invalid Consent", "Compliant")))))</f>
        <v/>
      </c>
      <c r="O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>
        <f>IF(D1978="Legitimate Interest (GDPR Art. 6(1)(f))", "Yes / Required (Sheet 3)", "")</f>
        <v/>
      </c>
      <c r="L1978" s="7" t="n"/>
      <c r="M1978" s="7" t="n"/>
      <c r="N1978">
        <f>IF(D1978="", "Gap - No Legal Basis", IF(AND(D1978="Consent (GDPR Art. 6(1)(a))", I1978="Not Captured"), "Gap - Invalid Consent", IF(AND(D1978="Legitimate Interest (GDPR Art. 6(1)(f))", L1978=""), "Gap - Missing LIA", IF(AND(G1978="Yes", H1978=""), "Gap - Missing Art. 9 Basis", IF(OR(I1978="Invalid - Not Freely Given", I1978="Invalid - Not Specific", I1978="Invalid - Not Informed", I1978="Invalid - Ambiguous"), "Gap - Invalid Consent", "Compliant")))))</f>
        <v/>
      </c>
      <c r="O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>
        <f>IF(D1979="Legitimate Interest (GDPR Art. 6(1)(f))", "Yes / Required (Sheet 3)", "")</f>
        <v/>
      </c>
      <c r="L1979" s="7" t="n"/>
      <c r="M1979" s="7" t="n"/>
      <c r="N1979">
        <f>IF(D1979="", "Gap - No Legal Basis", IF(AND(D1979="Consent (GDPR Art. 6(1)(a))", I1979="Not Captured"), "Gap - Invalid Consent", IF(AND(D1979="Legitimate Interest (GDPR Art. 6(1)(f))", L1979=""), "Gap - Missing LIA", IF(AND(G1979="Yes", H1979=""), "Gap - Missing Art. 9 Basis", IF(OR(I1979="Invalid - Not Freely Given", I1979="Invalid - Not Specific", I1979="Invalid - Not Informed", I1979="Invalid - Ambiguous"), "Gap - Invalid Consent", "Compliant")))))</f>
        <v/>
      </c>
      <c r="O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>
        <f>IF(D1980="Legitimate Interest (GDPR Art. 6(1)(f))", "Yes / Required (Sheet 3)", "")</f>
        <v/>
      </c>
      <c r="L1980" s="7" t="n"/>
      <c r="M1980" s="7" t="n"/>
      <c r="N1980">
        <f>IF(D1980="", "Gap - No Legal Basis", IF(AND(D1980="Consent (GDPR Art. 6(1)(a))", I1980="Not Captured"), "Gap - Invalid Consent", IF(AND(D1980="Legitimate Interest (GDPR Art. 6(1)(f))", L1980=""), "Gap - Missing LIA", IF(AND(G1980="Yes", H1980=""), "Gap - Missing Art. 9 Basis", IF(OR(I1980="Invalid - Not Freely Given", I1980="Invalid - Not Specific", I1980="Invalid - Not Informed", I1980="Invalid - Ambiguous"), "Gap - Invalid Consent", "Compliant")))))</f>
        <v/>
      </c>
      <c r="O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>
        <f>IF(D1981="Legitimate Interest (GDPR Art. 6(1)(f))", "Yes / Required (Sheet 3)", "")</f>
        <v/>
      </c>
      <c r="L1981" s="7" t="n"/>
      <c r="M1981" s="7" t="n"/>
      <c r="N1981">
        <f>IF(D1981="", "Gap - No Legal Basis", IF(AND(D1981="Consent (GDPR Art. 6(1)(a))", I1981="Not Captured"), "Gap - Invalid Consent", IF(AND(D1981="Legitimate Interest (GDPR Art. 6(1)(f))", L1981=""), "Gap - Missing LIA", IF(AND(G1981="Yes", H1981=""), "Gap - Missing Art. 9 Basis", IF(OR(I1981="Invalid - Not Freely Given", I1981="Invalid - Not Specific", I1981="Invalid - Not Informed", I1981="Invalid - Ambiguous"), "Gap - Invalid Consent", "Compliant")))))</f>
        <v/>
      </c>
      <c r="O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>
        <f>IF(D1982="Legitimate Interest (GDPR Art. 6(1)(f))", "Yes / Required (Sheet 3)", "")</f>
        <v/>
      </c>
      <c r="L1982" s="7" t="n"/>
      <c r="M1982" s="7" t="n"/>
      <c r="N1982">
        <f>IF(D1982="", "Gap - No Legal Basis", IF(AND(D1982="Consent (GDPR Art. 6(1)(a))", I1982="Not Captured"), "Gap - Invalid Consent", IF(AND(D1982="Legitimate Interest (GDPR Art. 6(1)(f))", L1982=""), "Gap - Missing LIA", IF(AND(G1982="Yes", H1982=""), "Gap - Missing Art. 9 Basis", IF(OR(I1982="Invalid - Not Freely Given", I1982="Invalid - Not Specific", I1982="Invalid - Not Informed", I1982="Invalid - Ambiguous"), "Gap - Invalid Consent", "Compliant")))))</f>
        <v/>
      </c>
      <c r="O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>
        <f>IF(D1983="Legitimate Interest (GDPR Art. 6(1)(f))", "Yes / Required (Sheet 3)", "")</f>
        <v/>
      </c>
      <c r="L1983" s="7" t="n"/>
      <c r="M1983" s="7" t="n"/>
      <c r="N1983">
        <f>IF(D1983="", "Gap - No Legal Basis", IF(AND(D1983="Consent (GDPR Art. 6(1)(a))", I1983="Not Captured"), "Gap - Invalid Consent", IF(AND(D1983="Legitimate Interest (GDPR Art. 6(1)(f))", L1983=""), "Gap - Missing LIA", IF(AND(G1983="Yes", H1983=""), "Gap - Missing Art. 9 Basis", IF(OR(I1983="Invalid - Not Freely Given", I1983="Invalid - Not Specific", I1983="Invalid - Not Informed", I1983="Invalid - Ambiguous"), "Gap - Invalid Consent", "Compliant")))))</f>
        <v/>
      </c>
      <c r="O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>
        <f>IF(D1984="Legitimate Interest (GDPR Art. 6(1)(f))", "Yes / Required (Sheet 3)", "")</f>
        <v/>
      </c>
      <c r="L1984" s="7" t="n"/>
      <c r="M1984" s="7" t="n"/>
      <c r="N1984">
        <f>IF(D1984="", "Gap - No Legal Basis", IF(AND(D1984="Consent (GDPR Art. 6(1)(a))", I1984="Not Captured"), "Gap - Invalid Consent", IF(AND(D1984="Legitimate Interest (GDPR Art. 6(1)(f))", L1984=""), "Gap - Missing LIA", IF(AND(G1984="Yes", H1984=""), "Gap - Missing Art. 9 Basis", IF(OR(I1984="Invalid - Not Freely Given", I1984="Invalid - Not Specific", I1984="Invalid - Not Informed", I1984="Invalid - Ambiguous"), "Gap - Invalid Consent", "Compliant")))))</f>
        <v/>
      </c>
      <c r="O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>
        <f>IF(D1985="Legitimate Interest (GDPR Art. 6(1)(f))", "Yes / Required (Sheet 3)", "")</f>
        <v/>
      </c>
      <c r="L1985" s="7" t="n"/>
      <c r="M1985" s="7" t="n"/>
      <c r="N1985">
        <f>IF(D1985="", "Gap - No Legal Basis", IF(AND(D1985="Consent (GDPR Art. 6(1)(a))", I1985="Not Captured"), "Gap - Invalid Consent", IF(AND(D1985="Legitimate Interest (GDPR Art. 6(1)(f))", L1985=""), "Gap - Missing LIA", IF(AND(G1985="Yes", H1985=""), "Gap - Missing Art. 9 Basis", IF(OR(I1985="Invalid - Not Freely Given", I1985="Invalid - Not Specific", I1985="Invalid - Not Informed", I1985="Invalid - Ambiguous"), "Gap - Invalid Consent", "Compliant")))))</f>
        <v/>
      </c>
      <c r="O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>
        <f>IF(D1986="Legitimate Interest (GDPR Art. 6(1)(f))", "Yes / Required (Sheet 3)", "")</f>
        <v/>
      </c>
      <c r="L1986" s="7" t="n"/>
      <c r="M1986" s="7" t="n"/>
      <c r="N1986">
        <f>IF(D1986="", "Gap - No Legal Basis", IF(AND(D1986="Consent (GDPR Art. 6(1)(a))", I1986="Not Captured"), "Gap - Invalid Consent", IF(AND(D1986="Legitimate Interest (GDPR Art. 6(1)(f))", L1986=""), "Gap - Missing LIA", IF(AND(G1986="Yes", H1986=""), "Gap - Missing Art. 9 Basis", IF(OR(I1986="Invalid - Not Freely Given", I1986="Invalid - Not Specific", I1986="Invalid - Not Informed", I1986="Invalid - Ambiguous"), "Gap - Invalid Consent", "Compliant")))))</f>
        <v/>
      </c>
      <c r="O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>
        <f>IF(D1987="Legitimate Interest (GDPR Art. 6(1)(f))", "Yes / Required (Sheet 3)", "")</f>
        <v/>
      </c>
      <c r="L1987" s="7" t="n"/>
      <c r="M1987" s="7" t="n"/>
      <c r="N1987">
        <f>IF(D1987="", "Gap - No Legal Basis", IF(AND(D1987="Consent (GDPR Art. 6(1)(a))", I1987="Not Captured"), "Gap - Invalid Consent", IF(AND(D1987="Legitimate Interest (GDPR Art. 6(1)(f))", L1987=""), "Gap - Missing LIA", IF(AND(G1987="Yes", H1987=""), "Gap - Missing Art. 9 Basis", IF(OR(I1987="Invalid - Not Freely Given", I1987="Invalid - Not Specific", I1987="Invalid - Not Informed", I1987="Invalid - Ambiguous"), "Gap - Invalid Consent", "Compliant")))))</f>
        <v/>
      </c>
      <c r="O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>
        <f>IF(D1988="Legitimate Interest (GDPR Art. 6(1)(f))", "Yes / Required (Sheet 3)", "")</f>
        <v/>
      </c>
      <c r="L1988" s="7" t="n"/>
      <c r="M1988" s="7" t="n"/>
      <c r="N1988">
        <f>IF(D1988="", "Gap - No Legal Basis", IF(AND(D1988="Consent (GDPR Art. 6(1)(a))", I1988="Not Captured"), "Gap - Invalid Consent", IF(AND(D1988="Legitimate Interest (GDPR Art. 6(1)(f))", L1988=""), "Gap - Missing LIA", IF(AND(G1988="Yes", H1988=""), "Gap - Missing Art. 9 Basis", IF(OR(I1988="Invalid - Not Freely Given", I1988="Invalid - Not Specific", I1988="Invalid - Not Informed", I1988="Invalid - Ambiguous"), "Gap - Invalid Consent", "Compliant")))))</f>
        <v/>
      </c>
      <c r="O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>
        <f>IF(D1989="Legitimate Interest (GDPR Art. 6(1)(f))", "Yes / Required (Sheet 3)", "")</f>
        <v/>
      </c>
      <c r="L1989" s="7" t="n"/>
      <c r="M1989" s="7" t="n"/>
      <c r="N1989">
        <f>IF(D1989="", "Gap - No Legal Basis", IF(AND(D1989="Consent (GDPR Art. 6(1)(a))", I1989="Not Captured"), "Gap - Invalid Consent", IF(AND(D1989="Legitimate Interest (GDPR Art. 6(1)(f))", L1989=""), "Gap - Missing LIA", IF(AND(G1989="Yes", H1989=""), "Gap - Missing Art. 9 Basis", IF(OR(I1989="Invalid - Not Freely Given", I1989="Invalid - Not Specific", I1989="Invalid - Not Informed", I1989="Invalid - Ambiguous"), "Gap - Invalid Consent", "Compliant")))))</f>
        <v/>
      </c>
      <c r="O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>
        <f>IF(D1990="Legitimate Interest (GDPR Art. 6(1)(f))", "Yes / Required (Sheet 3)", "")</f>
        <v/>
      </c>
      <c r="L1990" s="7" t="n"/>
      <c r="M1990" s="7" t="n"/>
      <c r="N1990">
        <f>IF(D1990="", "Gap - No Legal Basis", IF(AND(D1990="Consent (GDPR Art. 6(1)(a))", I1990="Not Captured"), "Gap - Invalid Consent", IF(AND(D1990="Legitimate Interest (GDPR Art. 6(1)(f))", L1990=""), "Gap - Missing LIA", IF(AND(G1990="Yes", H1990=""), "Gap - Missing Art. 9 Basis", IF(OR(I1990="Invalid - Not Freely Given", I1990="Invalid - Not Specific", I1990="Invalid - Not Informed", I1990="Invalid - Ambiguous"), "Gap - Invalid Consent", "Compliant")))))</f>
        <v/>
      </c>
      <c r="O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>
        <f>IF(D1991="Legitimate Interest (GDPR Art. 6(1)(f))", "Yes / Required (Sheet 3)", "")</f>
        <v/>
      </c>
      <c r="L1991" s="7" t="n"/>
      <c r="M1991" s="7" t="n"/>
      <c r="N1991">
        <f>IF(D1991="", "Gap - No Legal Basis", IF(AND(D1991="Consent (GDPR Art. 6(1)(a))", I1991="Not Captured"), "Gap - Invalid Consent", IF(AND(D1991="Legitimate Interest (GDPR Art. 6(1)(f))", L1991=""), "Gap - Missing LIA", IF(AND(G1991="Yes", H1991=""), "Gap - Missing Art. 9 Basis", IF(OR(I1991="Invalid - Not Freely Given", I1991="Invalid - Not Specific", I1991="Invalid - Not Informed", I1991="Invalid - Ambiguous"), "Gap - Invalid Consent", "Compliant")))))</f>
        <v/>
      </c>
      <c r="O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>
        <f>IF(D1992="Legitimate Interest (GDPR Art. 6(1)(f))", "Yes / Required (Sheet 3)", "")</f>
        <v/>
      </c>
      <c r="L1992" s="7" t="n"/>
      <c r="M1992" s="7" t="n"/>
      <c r="N1992">
        <f>IF(D1992="", "Gap - No Legal Basis", IF(AND(D1992="Consent (GDPR Art. 6(1)(a))", I1992="Not Captured"), "Gap - Invalid Consent", IF(AND(D1992="Legitimate Interest (GDPR Art. 6(1)(f))", L1992=""), "Gap - Missing LIA", IF(AND(G1992="Yes", H1992=""), "Gap - Missing Art. 9 Basis", IF(OR(I1992="Invalid - Not Freely Given", I1992="Invalid - Not Specific", I1992="Invalid - Not Informed", I1992="Invalid - Ambiguous"), "Gap - Invalid Consent", "Compliant")))))</f>
        <v/>
      </c>
      <c r="O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>
        <f>IF(D1993="Legitimate Interest (GDPR Art. 6(1)(f))", "Yes / Required (Sheet 3)", "")</f>
        <v/>
      </c>
      <c r="L1993" s="7" t="n"/>
      <c r="M1993" s="7" t="n"/>
      <c r="N1993">
        <f>IF(D1993="", "Gap - No Legal Basis", IF(AND(D1993="Consent (GDPR Art. 6(1)(a))", I1993="Not Captured"), "Gap - Invalid Consent", IF(AND(D1993="Legitimate Interest (GDPR Art. 6(1)(f))", L1993=""), "Gap - Missing LIA", IF(AND(G1993="Yes", H1993=""), "Gap - Missing Art. 9 Basis", IF(OR(I1993="Invalid - Not Freely Given", I1993="Invalid - Not Specific", I1993="Invalid - Not Informed", I1993="Invalid - Ambiguous"), "Gap - Invalid Consent", "Compliant")))))</f>
        <v/>
      </c>
      <c r="O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>
        <f>IF(D1994="Legitimate Interest (GDPR Art. 6(1)(f))", "Yes / Required (Sheet 3)", "")</f>
        <v/>
      </c>
      <c r="L1994" s="7" t="n"/>
      <c r="M1994" s="7" t="n"/>
      <c r="N1994">
        <f>IF(D1994="", "Gap - No Legal Basis", IF(AND(D1994="Consent (GDPR Art. 6(1)(a))", I1994="Not Captured"), "Gap - Invalid Consent", IF(AND(D1994="Legitimate Interest (GDPR Art. 6(1)(f))", L1994=""), "Gap - Missing LIA", IF(AND(G1994="Yes", H1994=""), "Gap - Missing Art. 9 Basis", IF(OR(I1994="Invalid - Not Freely Given", I1994="Invalid - Not Specific", I1994="Invalid - Not Informed", I1994="Invalid - Ambiguous"), "Gap - Invalid Consent", "Compliant")))))</f>
        <v/>
      </c>
      <c r="O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>
        <f>IF(D1995="Legitimate Interest (GDPR Art. 6(1)(f))", "Yes / Required (Sheet 3)", "")</f>
        <v/>
      </c>
      <c r="L1995" s="7" t="n"/>
      <c r="M1995" s="7" t="n"/>
      <c r="N1995">
        <f>IF(D1995="", "Gap - No Legal Basis", IF(AND(D1995="Consent (GDPR Art. 6(1)(a))", I1995="Not Captured"), "Gap - Invalid Consent", IF(AND(D1995="Legitimate Interest (GDPR Art. 6(1)(f))", L1995=""), "Gap - Missing LIA", IF(AND(G1995="Yes", H1995=""), "Gap - Missing Art. 9 Basis", IF(OR(I1995="Invalid - Not Freely Given", I1995="Invalid - Not Specific", I1995="Invalid - Not Informed", I1995="Invalid - Ambiguous"), "Gap - Invalid Consent", "Compliant")))))</f>
        <v/>
      </c>
      <c r="O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>
        <f>IF(D1996="Legitimate Interest (GDPR Art. 6(1)(f))", "Yes / Required (Sheet 3)", "")</f>
        <v/>
      </c>
      <c r="L1996" s="7" t="n"/>
      <c r="M1996" s="7" t="n"/>
      <c r="N1996">
        <f>IF(D1996="", "Gap - No Legal Basis", IF(AND(D1996="Consent (GDPR Art. 6(1)(a))", I1996="Not Captured"), "Gap - Invalid Consent", IF(AND(D1996="Legitimate Interest (GDPR Art. 6(1)(f))", L1996=""), "Gap - Missing LIA", IF(AND(G1996="Yes", H1996=""), "Gap - Missing Art. 9 Basis", IF(OR(I1996="Invalid - Not Freely Given", I1996="Invalid - Not Specific", I1996="Invalid - Not Informed", I1996="Invalid - Ambiguous"), "Gap - Invalid Consent", "Compliant")))))</f>
        <v/>
      </c>
      <c r="O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>
        <f>IF(D1997="Legitimate Interest (GDPR Art. 6(1)(f))", "Yes / Required (Sheet 3)", "")</f>
        <v/>
      </c>
      <c r="L1997" s="7" t="n"/>
      <c r="M1997" s="7" t="n"/>
      <c r="N1997">
        <f>IF(D1997="", "Gap - No Legal Basis", IF(AND(D1997="Consent (GDPR Art. 6(1)(a))", I1997="Not Captured"), "Gap - Invalid Consent", IF(AND(D1997="Legitimate Interest (GDPR Art. 6(1)(f))", L1997=""), "Gap - Missing LIA", IF(AND(G1997="Yes", H1997=""), "Gap - Missing Art. 9 Basis", IF(OR(I1997="Invalid - Not Freely Given", I1997="Invalid - Not Specific", I1997="Invalid - Not Informed", I1997="Invalid - Ambiguous"), "Gap - Invalid Consent", "Compliant")))))</f>
        <v/>
      </c>
      <c r="O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>
        <f>IF(D1998="Legitimate Interest (GDPR Art. 6(1)(f))", "Yes / Required (Sheet 3)", "")</f>
        <v/>
      </c>
      <c r="L1998" s="7" t="n"/>
      <c r="M1998" s="7" t="n"/>
      <c r="N1998">
        <f>IF(D1998="", "Gap - No Legal Basis", IF(AND(D1998="Consent (GDPR Art. 6(1)(a))", I1998="Not Captured"), "Gap - Invalid Consent", IF(AND(D1998="Legitimate Interest (GDPR Art. 6(1)(f))", L1998=""), "Gap - Missing LIA", IF(AND(G1998="Yes", H1998=""), "Gap - Missing Art. 9 Basis", IF(OR(I1998="Invalid - Not Freely Given", I1998="Invalid - Not Specific", I1998="Invalid - Not Informed", I1998="Invalid - Ambiguous"), "Gap - Invalid Consent", "Compliant")))))</f>
        <v/>
      </c>
      <c r="O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>
        <f>IF(D1999="Legitimate Interest (GDPR Art. 6(1)(f))", "Yes / Required (Sheet 3)", "")</f>
        <v/>
      </c>
      <c r="L1999" s="7" t="n"/>
      <c r="M1999" s="7" t="n"/>
      <c r="N1999">
        <f>IF(D1999="", "Gap - No Legal Basis", IF(AND(D1999="Consent (GDPR Art. 6(1)(a))", I1999="Not Captured"), "Gap - Invalid Consent", IF(AND(D1999="Legitimate Interest (GDPR Art. 6(1)(f))", L1999=""), "Gap - Missing LIA", IF(AND(G1999="Yes", H1999=""), "Gap - Missing Art. 9 Basis", IF(OR(I1999="Invalid - Not Freely Given", I1999="Invalid - Not Specific", I1999="Invalid - Not Informed", I1999="Invalid - Ambiguous"), "Gap - Invalid Consent", "Compliant")))))</f>
        <v/>
      </c>
      <c r="O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>
        <f>IF(D2000="Legitimate Interest (GDPR Art. 6(1)(f))", "Yes / Required (Sheet 3)", "")</f>
        <v/>
      </c>
      <c r="L2000" s="7" t="n"/>
      <c r="M2000" s="7" t="n"/>
      <c r="N2000">
        <f>IF(D2000="", "Gap - No Legal Basis", IF(AND(D2000="Consent (GDPR Art. 6(1)(a))", I2000="Not Captured"), "Gap - Invalid Consent", IF(AND(D2000="Legitimate Interest (GDPR Art. 6(1)(f))", L2000=""), "Gap - Missing LIA", IF(AND(G2000="Yes", H2000=""), "Gap - Missing Art. 9 Basis", IF(OR(I2000="Invalid - Not Freely Given", I2000="Invalid - Not Specific", I2000="Invalid - Not Informed", I2000="Invalid - Ambiguous"), "Gap - Invalid Consent", "Compliant")))))</f>
        <v/>
      </c>
      <c r="O2000" s="7" t="n"/>
    </row>
    <row r="2001">
      <c r="A2001" s="7" t="n"/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>
        <f>IF(D2001="Legitimate Interest (GDPR Art. 6(1)(f))", "Yes / Required (Sheet 3)", "")</f>
        <v/>
      </c>
      <c r="L2001" s="7" t="n"/>
      <c r="M2001" s="7" t="n"/>
      <c r="N2001">
        <f>IF(D2001="", "Gap - No Legal Basis", IF(AND(D2001="Consent (GDPR Art. 6(1)(a))", I2001="Not Captured"), "Gap - Invalid Consent", IF(AND(D2001="Legitimate Interest (GDPR Art. 6(1)(f))", L2001=""), "Gap - Missing LIA", IF(AND(G2001="Yes", H2001=""), "Gap - Missing Art. 9 Basis", IF(OR(I2001="Invalid - Not Freely Given", I2001="Invalid - Not Specific", I2001="Invalid - Not Informed", I2001="Invalid - Ambiguous"), "Gap - Invalid Consent", "Compliant")))))</f>
        <v/>
      </c>
      <c r="O2001" s="7" t="n"/>
    </row>
    <row r="2002">
      <c r="A2002" s="7" t="n"/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>
        <f>IF(D2002="Legitimate Interest (GDPR Art. 6(1)(f))", "Yes / Required (Sheet 3)", "")</f>
        <v/>
      </c>
      <c r="L2002" s="7" t="n"/>
      <c r="M2002" s="7" t="n"/>
      <c r="N2002">
        <f>IF(D2002="", "Gap - No Legal Basis", IF(AND(D2002="Consent (GDPR Art. 6(1)(a))", I2002="Not Captured"), "Gap - Invalid Consent", IF(AND(D2002="Legitimate Interest (GDPR Art. 6(1)(f))", L2002=""), "Gap - Missing LIA", IF(AND(G2002="Yes", H2002=""), "Gap - Missing Art. 9 Basis", IF(OR(I2002="Invalid - Not Freely Given", I2002="Invalid - Not Specific", I2002="Invalid - Not Informed", I2002="Invalid - Ambiguous"), "Gap - Invalid Consent", "Compliant")))))</f>
        <v/>
      </c>
      <c r="O2002" s="7" t="n"/>
    </row>
    <row r="2003">
      <c r="A2003" s="7" t="n"/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>
        <f>IF(D2003="Legitimate Interest (GDPR Art. 6(1)(f))", "Yes / Required (Sheet 3)", "")</f>
        <v/>
      </c>
      <c r="L2003" s="7" t="n"/>
      <c r="M2003" s="7" t="n"/>
      <c r="N2003">
        <f>IF(D2003="", "Gap - No Legal Basis", IF(AND(D2003="Consent (GDPR Art. 6(1)(a))", I2003="Not Captured"), "Gap - Invalid Consent", IF(AND(D2003="Legitimate Interest (GDPR Art. 6(1)(f))", L2003=""), "Gap - Missing LIA", IF(AND(G2003="Yes", H2003=""), "Gap - Missing Art. 9 Basis", IF(OR(I2003="Invalid - Not Freely Given", I2003="Invalid - Not Specific", I2003="Invalid - Not Informed", I2003="Invalid - Ambiguous"), "Gap - Invalid Consent", "Compliant")))))</f>
        <v/>
      </c>
      <c r="O2003" s="7" t="n"/>
    </row>
    <row r="2004">
      <c r="A2004" s="7" t="n"/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>
        <f>IF(D2004="Legitimate Interest (GDPR Art. 6(1)(f))", "Yes / Required (Sheet 3)", "")</f>
        <v/>
      </c>
      <c r="L2004" s="7" t="n"/>
      <c r="M2004" s="7" t="n"/>
      <c r="N2004">
        <f>IF(D2004="", "Gap - No Legal Basis", IF(AND(D2004="Consent (GDPR Art. 6(1)(a))", I2004="Not Captured"), "Gap - Invalid Consent", IF(AND(D2004="Legitimate Interest (GDPR Art. 6(1)(f))", L2004=""), "Gap - Missing LIA", IF(AND(G2004="Yes", H2004=""), "Gap - Missing Art. 9 Basis", IF(OR(I2004="Invalid - Not Freely Given", I2004="Invalid - Not Specific", I2004="Invalid - Not Informed", I2004="Invalid - Ambiguous"), "Gap - Invalid Consent", "Compliant")))))</f>
        <v/>
      </c>
      <c r="O2004" s="7" t="n"/>
    </row>
    <row r="2005">
      <c r="A2005" s="7" t="n"/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>
        <f>IF(D2005="Legitimate Interest (GDPR Art. 6(1)(f))", "Yes / Required (Sheet 3)", "")</f>
        <v/>
      </c>
      <c r="L2005" s="7" t="n"/>
      <c r="M2005" s="7" t="n"/>
      <c r="N2005">
        <f>IF(D2005="", "Gap - No Legal Basis", IF(AND(D2005="Consent (GDPR Art. 6(1)(a))", I2005="Not Captured"), "Gap - Invalid Consent", IF(AND(D2005="Legitimate Interest (GDPR Art. 6(1)(f))", L2005=""), "Gap - Missing LIA", IF(AND(G2005="Yes", H2005=""), "Gap - Missing Art. 9 Basis", IF(OR(I2005="Invalid - Not Freely Given", I2005="Invalid - Not Specific", I2005="Invalid - Not Informed", I2005="Invalid - Ambiguous"), "Gap - Invalid Consent", "Compliant")))))</f>
        <v/>
      </c>
      <c r="O2005" s="7" t="n"/>
    </row>
    <row r="2006">
      <c r="A2006" s="7" t="n"/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>
        <f>IF(D2006="Legitimate Interest (GDPR Art. 6(1)(f))", "Yes / Required (Sheet 3)", "")</f>
        <v/>
      </c>
      <c r="L2006" s="7" t="n"/>
      <c r="M2006" s="7" t="n"/>
      <c r="N2006">
        <f>IF(D2006="", "Gap - No Legal Basis", IF(AND(D2006="Consent (GDPR Art. 6(1)(a))", I2006="Not Captured"), "Gap - Invalid Consent", IF(AND(D2006="Legitimate Interest (GDPR Art. 6(1)(f))", L2006=""), "Gap - Missing LIA", IF(AND(G2006="Yes", H2006=""), "Gap - Missing Art. 9 Basis", IF(OR(I2006="Invalid - Not Freely Given", I2006="Invalid - Not Specific", I2006="Invalid - Not Informed", I2006="Invalid - Ambiguous"), "Gap - Invalid Consent", "Compliant")))))</f>
        <v/>
      </c>
      <c r="O2006" s="7" t="n"/>
    </row>
    <row r="2007">
      <c r="A2007" s="7" t="n"/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>
        <f>IF(D2007="Legitimate Interest (GDPR Art. 6(1)(f))", "Yes / Required (Sheet 3)", "")</f>
        <v/>
      </c>
      <c r="L2007" s="7" t="n"/>
      <c r="M2007" s="7" t="n"/>
      <c r="N2007">
        <f>IF(D2007="", "Gap - No Legal Basis", IF(AND(D2007="Consent (GDPR Art. 6(1)(a))", I2007="Not Captured"), "Gap - Invalid Consent", IF(AND(D2007="Legitimate Interest (GDPR Art. 6(1)(f))", L2007=""), "Gap - Missing LIA", IF(AND(G2007="Yes", H2007=""), "Gap - Missing Art. 9 Basis", IF(OR(I2007="Invalid - Not Freely Given", I2007="Invalid - Not Specific", I2007="Invalid - Not Informed", I2007="Invalid - Ambiguous"), "Gap - Invalid Consent", "Compliant")))))</f>
        <v/>
      </c>
      <c r="O2007" s="7" t="n"/>
    </row>
    <row r="2008">
      <c r="A2008" s="7" t="n"/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>
        <f>IF(D2008="Legitimate Interest (GDPR Art. 6(1)(f))", "Yes / Required (Sheet 3)", "")</f>
        <v/>
      </c>
      <c r="L2008" s="7" t="n"/>
      <c r="M2008" s="7" t="n"/>
      <c r="N2008">
        <f>IF(D2008="", "Gap - No Legal Basis", IF(AND(D2008="Consent (GDPR Art. 6(1)(a))", I2008="Not Captured"), "Gap - Invalid Consent", IF(AND(D2008="Legitimate Interest (GDPR Art. 6(1)(f))", L2008=""), "Gap - Missing LIA", IF(AND(G2008="Yes", H2008=""), "Gap - Missing Art. 9 Basis", IF(OR(I2008="Invalid - Not Freely Given", I2008="Invalid - Not Specific", I2008="Invalid - Not Informed", I2008="Invalid - Ambiguous"), "Gap - Invalid Consent", "Compliant")))))</f>
        <v/>
      </c>
      <c r="O2008" s="7" t="n"/>
    </row>
    <row r="2009">
      <c r="A2009" s="7" t="n"/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>
        <f>IF(D2009="Legitimate Interest (GDPR Art. 6(1)(f))", "Yes / Required (Sheet 3)", "")</f>
        <v/>
      </c>
      <c r="L2009" s="7" t="n"/>
      <c r="M2009" s="7" t="n"/>
      <c r="N2009">
        <f>IF(D2009="", "Gap - No Legal Basis", IF(AND(D2009="Consent (GDPR Art. 6(1)(a))", I2009="Not Captured"), "Gap - Invalid Consent", IF(AND(D2009="Legitimate Interest (GDPR Art. 6(1)(f))", L2009=""), "Gap - Missing LIA", IF(AND(G2009="Yes", H2009=""), "Gap - Missing Art. 9 Basis", IF(OR(I2009="Invalid - Not Freely Given", I2009="Invalid - Not Specific", I2009="Invalid - Not Informed", I2009="Invalid - Ambiguous"), "Gap - Invalid Consent", "Compliant")))))</f>
        <v/>
      </c>
      <c r="O2009" s="7" t="n"/>
    </row>
    <row r="2010">
      <c r="A2010" s="7" t="n"/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>
        <f>IF(D2010="Legitimate Interest (GDPR Art. 6(1)(f))", "Yes / Required (Sheet 3)", "")</f>
        <v/>
      </c>
      <c r="L2010" s="7" t="n"/>
      <c r="M2010" s="7" t="n"/>
      <c r="N2010">
        <f>IF(D2010="", "Gap - No Legal Basis", IF(AND(D2010="Consent (GDPR Art. 6(1)(a))", I2010="Not Captured"), "Gap - Invalid Consent", IF(AND(D2010="Legitimate Interest (GDPR Art. 6(1)(f))", L2010=""), "Gap - Missing LIA", IF(AND(G2010="Yes", H2010=""), "Gap - Missing Art. 9 Basis", IF(OR(I2010="Invalid - Not Freely Given", I2010="Invalid - Not Specific", I2010="Invalid - Not Informed", I2010="Invalid - Ambiguous"), "Gap - Invalid Consent", "Compliant")))))</f>
        <v/>
      </c>
      <c r="O2010" s="7" t="n"/>
    </row>
    <row r="2011">
      <c r="A2011" s="7" t="n"/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>
        <f>IF(D2011="Legitimate Interest (GDPR Art. 6(1)(f))", "Yes / Required (Sheet 3)", "")</f>
        <v/>
      </c>
      <c r="L2011" s="7" t="n"/>
      <c r="M2011" s="7" t="n"/>
      <c r="N2011">
        <f>IF(D2011="", "Gap - No Legal Basis", IF(AND(D2011="Consent (GDPR Art. 6(1)(a))", I2011="Not Captured"), "Gap - Invalid Consent", IF(AND(D2011="Legitimate Interest (GDPR Art. 6(1)(f))", L2011=""), "Gap - Missing LIA", IF(AND(G2011="Yes", H2011=""), "Gap - Missing Art. 9 Basis", IF(OR(I2011="Invalid - Not Freely Given", I2011="Invalid - Not Specific", I2011="Invalid - Not Informed", I2011="Invalid - Ambiguous"), "Gap - Invalid Consent", "Compliant")))))</f>
        <v/>
      </c>
      <c r="O2011" s="7" t="n"/>
    </row>
    <row r="2012">
      <c r="A2012" s="7" t="n"/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>
        <f>IF(D2012="Legitimate Interest (GDPR Art. 6(1)(f))", "Yes / Required (Sheet 3)", "")</f>
        <v/>
      </c>
      <c r="L2012" s="7" t="n"/>
      <c r="M2012" s="7" t="n"/>
      <c r="N2012">
        <f>IF(D2012="", "Gap - No Legal Basis", IF(AND(D2012="Consent (GDPR Art. 6(1)(a))", I2012="Not Captured"), "Gap - Invalid Consent", IF(AND(D2012="Legitimate Interest (GDPR Art. 6(1)(f))", L2012=""), "Gap - Missing LIA", IF(AND(G2012="Yes", H2012=""), "Gap - Missing Art. 9 Basis", IF(OR(I2012="Invalid - Not Freely Given", I2012="Invalid - Not Specific", I2012="Invalid - Not Informed", I2012="Invalid - Ambiguous"), "Gap - Invalid Consent", "Compliant")))))</f>
        <v/>
      </c>
      <c r="O2012" s="7" t="n"/>
    </row>
    <row r="2013">
      <c r="A2013" s="7" t="n"/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>
        <f>IF(D2013="Legitimate Interest (GDPR Art. 6(1)(f))", "Yes / Required (Sheet 3)", "")</f>
        <v/>
      </c>
      <c r="L2013" s="7" t="n"/>
      <c r="M2013" s="7" t="n"/>
      <c r="N2013">
        <f>IF(D2013="", "Gap - No Legal Basis", IF(AND(D2013="Consent (GDPR Art. 6(1)(a))", I2013="Not Captured"), "Gap - Invalid Consent", IF(AND(D2013="Legitimate Interest (GDPR Art. 6(1)(f))", L2013=""), "Gap - Missing LIA", IF(AND(G2013="Yes", H2013=""), "Gap - Missing Art. 9 Basis", IF(OR(I2013="Invalid - Not Freely Given", I2013="Invalid - Not Specific", I2013="Invalid - Not Informed", I2013="Invalid - Ambiguous"), "Gap - Invalid Consent", "Compliant")))))</f>
        <v/>
      </c>
      <c r="O2013" s="7" t="n"/>
    </row>
    <row r="2014">
      <c r="A2014" s="7" t="n"/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>
        <f>IF(D2014="Legitimate Interest (GDPR Art. 6(1)(f))", "Yes / Required (Sheet 3)", "")</f>
        <v/>
      </c>
      <c r="L2014" s="7" t="n"/>
      <c r="M2014" s="7" t="n"/>
      <c r="N2014">
        <f>IF(D2014="", "Gap - No Legal Basis", IF(AND(D2014="Consent (GDPR Art. 6(1)(a))", I2014="Not Captured"), "Gap - Invalid Consent", IF(AND(D2014="Legitimate Interest (GDPR Art. 6(1)(f))", L2014=""), "Gap - Missing LIA", IF(AND(G2014="Yes", H2014=""), "Gap - Missing Art. 9 Basis", IF(OR(I2014="Invalid - Not Freely Given", I2014="Invalid - Not Specific", I2014="Invalid - Not Informed", I2014="Invalid - Ambiguous"), "Gap - Invalid Consent", "Compliant")))))</f>
        <v/>
      </c>
      <c r="O2014" s="7" t="n"/>
    </row>
    <row r="2015">
      <c r="A2015" s="7" t="n"/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>
        <f>IF(D2015="Legitimate Interest (GDPR Art. 6(1)(f))", "Yes / Required (Sheet 3)", "")</f>
        <v/>
      </c>
      <c r="L2015" s="7" t="n"/>
      <c r="M2015" s="7" t="n"/>
      <c r="N2015">
        <f>IF(D2015="", "Gap - No Legal Basis", IF(AND(D2015="Consent (GDPR Art. 6(1)(a))", I2015="Not Captured"), "Gap - Invalid Consent", IF(AND(D2015="Legitimate Interest (GDPR Art. 6(1)(f))", L2015=""), "Gap - Missing LIA", IF(AND(G2015="Yes", H2015=""), "Gap - Missing Art. 9 Basis", IF(OR(I2015="Invalid - Not Freely Given", I2015="Invalid - Not Specific", I2015="Invalid - Not Informed", I2015="Invalid - Ambiguous"), "Gap - Invalid Consent", "Compliant")))))</f>
        <v/>
      </c>
      <c r="O2015" s="7" t="n"/>
    </row>
    <row r="2016">
      <c r="A2016" s="7" t="n"/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>
        <f>IF(D2016="Legitimate Interest (GDPR Art. 6(1)(f))", "Yes / Required (Sheet 3)", "")</f>
        <v/>
      </c>
      <c r="L2016" s="7" t="n"/>
      <c r="M2016" s="7" t="n"/>
      <c r="N2016">
        <f>IF(D2016="", "Gap - No Legal Basis", IF(AND(D2016="Consent (GDPR Art. 6(1)(a))", I2016="Not Captured"), "Gap - Invalid Consent", IF(AND(D2016="Legitimate Interest (GDPR Art. 6(1)(f))", L2016=""), "Gap - Missing LIA", IF(AND(G2016="Yes", H2016=""), "Gap - Missing Art. 9 Basis", IF(OR(I2016="Invalid - Not Freely Given", I2016="Invalid - Not Specific", I2016="Invalid - Not Informed", I2016="Invalid - Ambiguous"), "Gap - Invalid Consent", "Compliant")))))</f>
        <v/>
      </c>
      <c r="O2016" s="7" t="n"/>
    </row>
    <row r="2017">
      <c r="A2017" s="7" t="n"/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>
        <f>IF(D2017="Legitimate Interest (GDPR Art. 6(1)(f))", "Yes / Required (Sheet 3)", "")</f>
        <v/>
      </c>
      <c r="L2017" s="7" t="n"/>
      <c r="M2017" s="7" t="n"/>
      <c r="N2017">
        <f>IF(D2017="", "Gap - No Legal Basis", IF(AND(D2017="Consent (GDPR Art. 6(1)(a))", I2017="Not Captured"), "Gap - Invalid Consent", IF(AND(D2017="Legitimate Interest (GDPR Art. 6(1)(f))", L2017=""), "Gap - Missing LIA", IF(AND(G2017="Yes", H2017=""), "Gap - Missing Art. 9 Basis", IF(OR(I2017="Invalid - Not Freely Given", I2017="Invalid - Not Specific", I2017="Invalid - Not Informed", I2017="Invalid - Ambiguous"), "Gap - Invalid Consent", "Compliant")))))</f>
        <v/>
      </c>
      <c r="O2017" s="7" t="n"/>
    </row>
    <row r="2018">
      <c r="A2018" s="7" t="n"/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>
        <f>IF(D2018="Legitimate Interest (GDPR Art. 6(1)(f))", "Yes / Required (Sheet 3)", "")</f>
        <v/>
      </c>
      <c r="L2018" s="7" t="n"/>
      <c r="M2018" s="7" t="n"/>
      <c r="N2018">
        <f>IF(D2018="", "Gap - No Legal Basis", IF(AND(D2018="Consent (GDPR Art. 6(1)(a))", I2018="Not Captured"), "Gap - Invalid Consent", IF(AND(D2018="Legitimate Interest (GDPR Art. 6(1)(f))", L2018=""), "Gap - Missing LIA", IF(AND(G2018="Yes", H2018=""), "Gap - Missing Art. 9 Basis", IF(OR(I2018="Invalid - Not Freely Given", I2018="Invalid - Not Specific", I2018="Invalid - Not Informed", I2018="Invalid - Ambiguous"), "Gap - Invalid Consent", "Compliant")))))</f>
        <v/>
      </c>
      <c r="O2018" s="7" t="n"/>
    </row>
    <row r="2019">
      <c r="A2019" s="7" t="n"/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>
        <f>IF(D2019="Legitimate Interest (GDPR Art. 6(1)(f))", "Yes / Required (Sheet 3)", "")</f>
        <v/>
      </c>
      <c r="L2019" s="7" t="n"/>
      <c r="M2019" s="7" t="n"/>
      <c r="N2019">
        <f>IF(D2019="", "Gap - No Legal Basis", IF(AND(D2019="Consent (GDPR Art. 6(1)(a))", I2019="Not Captured"), "Gap - Invalid Consent", IF(AND(D2019="Legitimate Interest (GDPR Art. 6(1)(f))", L2019=""), "Gap - Missing LIA", IF(AND(G2019="Yes", H2019=""), "Gap - Missing Art. 9 Basis", IF(OR(I2019="Invalid - Not Freely Given", I2019="Invalid - Not Specific", I2019="Invalid - Not Informed", I2019="Invalid - Ambiguous"), "Gap - Invalid Consent", "Compliant")))))</f>
        <v/>
      </c>
      <c r="O2019" s="7" t="n"/>
    </row>
    <row r="2020">
      <c r="A2020" s="7" t="n"/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>
        <f>IF(D2020="Legitimate Interest (GDPR Art. 6(1)(f))", "Yes / Required (Sheet 3)", "")</f>
        <v/>
      </c>
      <c r="L2020" s="7" t="n"/>
      <c r="M2020" s="7" t="n"/>
      <c r="N2020">
        <f>IF(D2020="", "Gap - No Legal Basis", IF(AND(D2020="Consent (GDPR Art. 6(1)(a))", I2020="Not Captured"), "Gap - Invalid Consent", IF(AND(D2020="Legitimate Interest (GDPR Art. 6(1)(f))", L2020=""), "Gap - Missing LIA", IF(AND(G2020="Yes", H2020=""), "Gap - Missing Art. 9 Basis", IF(OR(I2020="Invalid - Not Freely Given", I2020="Invalid - Not Specific", I2020="Invalid - Not Informed", I2020="Invalid - Ambiguous"), "Gap - Invalid Consent", "Compliant")))))</f>
        <v/>
      </c>
      <c r="O2020" s="7" t="n"/>
    </row>
    <row r="2021">
      <c r="A2021" s="7" t="n"/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>
        <f>IF(D2021="Legitimate Interest (GDPR Art. 6(1)(f))", "Yes / Required (Sheet 3)", "")</f>
        <v/>
      </c>
      <c r="L2021" s="7" t="n"/>
      <c r="M2021" s="7" t="n"/>
      <c r="N2021">
        <f>IF(D2021="", "Gap - No Legal Basis", IF(AND(D2021="Consent (GDPR Art. 6(1)(a))", I2021="Not Captured"), "Gap - Invalid Consent", IF(AND(D2021="Legitimate Interest (GDPR Art. 6(1)(f))", L2021=""), "Gap - Missing LIA", IF(AND(G2021="Yes", H2021=""), "Gap - Missing Art. 9 Basis", IF(OR(I2021="Invalid - Not Freely Given", I2021="Invalid - Not Specific", I2021="Invalid - Not Informed", I2021="Invalid - Ambiguous"), "Gap - Invalid Consent", "Compliant")))))</f>
        <v/>
      </c>
      <c r="O2021" s="7" t="n"/>
    </row>
    <row r="2022">
      <c r="A2022" s="7" t="n"/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>
        <f>IF(D2022="Legitimate Interest (GDPR Art. 6(1)(f))", "Yes / Required (Sheet 3)", "")</f>
        <v/>
      </c>
      <c r="L2022" s="7" t="n"/>
      <c r="M2022" s="7" t="n"/>
      <c r="N2022">
        <f>IF(D2022="", "Gap - No Legal Basis", IF(AND(D2022="Consent (GDPR Art. 6(1)(a))", I2022="Not Captured"), "Gap - Invalid Consent", IF(AND(D2022="Legitimate Interest (GDPR Art. 6(1)(f))", L2022=""), "Gap - Missing LIA", IF(AND(G2022="Yes", H2022=""), "Gap - Missing Art. 9 Basis", IF(OR(I2022="Invalid - Not Freely Given", I2022="Invalid - Not Specific", I2022="Invalid - Not Informed", I2022="Invalid - Ambiguous"), "Gap - Invalid Consent", "Compliant")))))</f>
        <v/>
      </c>
      <c r="O2022" s="7" t="n"/>
    </row>
    <row r="2023">
      <c r="A2023" s="7" t="n"/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>
        <f>IF(D2023="Legitimate Interest (GDPR Art. 6(1)(f))", "Yes / Required (Sheet 3)", "")</f>
        <v/>
      </c>
      <c r="L2023" s="7" t="n"/>
      <c r="M2023" s="7" t="n"/>
      <c r="N2023">
        <f>IF(D2023="", "Gap - No Legal Basis", IF(AND(D2023="Consent (GDPR Art. 6(1)(a))", I2023="Not Captured"), "Gap - Invalid Consent", IF(AND(D2023="Legitimate Interest (GDPR Art. 6(1)(f))", L2023=""), "Gap - Missing LIA", IF(AND(G2023="Yes", H2023=""), "Gap - Missing Art. 9 Basis", IF(OR(I2023="Invalid - Not Freely Given", I2023="Invalid - Not Specific", I2023="Invalid - Not Informed", I2023="Invalid - Ambiguous"), "Gap - Invalid Consent", "Compliant")))))</f>
        <v/>
      </c>
      <c r="O2023" s="7" t="n"/>
    </row>
    <row r="2024">
      <c r="A2024" s="7" t="n"/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>
        <f>IF(D2024="Legitimate Interest (GDPR Art. 6(1)(f))", "Yes / Required (Sheet 3)", "")</f>
        <v/>
      </c>
      <c r="L2024" s="7" t="n"/>
      <c r="M2024" s="7" t="n"/>
      <c r="N2024">
        <f>IF(D2024="", "Gap - No Legal Basis", IF(AND(D2024="Consent (GDPR Art. 6(1)(a))", I2024="Not Captured"), "Gap - Invalid Consent", IF(AND(D2024="Legitimate Interest (GDPR Art. 6(1)(f))", L2024=""), "Gap - Missing LIA", IF(AND(G2024="Yes", H2024=""), "Gap - Missing Art. 9 Basis", IF(OR(I2024="Invalid - Not Freely Given", I2024="Invalid - Not Specific", I2024="Invalid - Not Informed", I2024="Invalid - Ambiguous"), "Gap - Invalid Consent", "Compliant")))))</f>
        <v/>
      </c>
      <c r="O2024" s="7" t="n"/>
    </row>
    <row r="2025">
      <c r="A2025" s="7" t="n"/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>
        <f>IF(D2025="Legitimate Interest (GDPR Art. 6(1)(f))", "Yes / Required (Sheet 3)", "")</f>
        <v/>
      </c>
      <c r="L2025" s="7" t="n"/>
      <c r="M2025" s="7" t="n"/>
      <c r="N2025">
        <f>IF(D2025="", "Gap - No Legal Basis", IF(AND(D2025="Consent (GDPR Art. 6(1)(a))", I2025="Not Captured"), "Gap - Invalid Consent", IF(AND(D2025="Legitimate Interest (GDPR Art. 6(1)(f))", L2025=""), "Gap - Missing LIA", IF(AND(G2025="Yes", H2025=""), "Gap - Missing Art. 9 Basis", IF(OR(I2025="Invalid - Not Freely Given", I2025="Invalid - Not Specific", I2025="Invalid - Not Informed", I2025="Invalid - Ambiguous"), "Gap - Invalid Consent", "Compliant")))))</f>
        <v/>
      </c>
      <c r="O2025" s="7" t="n"/>
    </row>
    <row r="2026">
      <c r="A2026" s="7" t="n"/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>
        <f>IF(D2026="Legitimate Interest (GDPR Art. 6(1)(f))", "Yes / Required (Sheet 3)", "")</f>
        <v/>
      </c>
      <c r="L2026" s="7" t="n"/>
      <c r="M2026" s="7" t="n"/>
      <c r="N2026">
        <f>IF(D2026="", "Gap - No Legal Basis", IF(AND(D2026="Consent (GDPR Art. 6(1)(a))", I2026="Not Captured"), "Gap - Invalid Consent", IF(AND(D2026="Legitimate Interest (GDPR Art. 6(1)(f))", L2026=""), "Gap - Missing LIA", IF(AND(G2026="Yes", H2026=""), "Gap - Missing Art. 9 Basis", IF(OR(I2026="Invalid - Not Freely Given", I2026="Invalid - Not Specific", I2026="Invalid - Not Informed", I2026="Invalid - Ambiguous"), "Gap - Invalid Consent", "Compliant")))))</f>
        <v/>
      </c>
      <c r="O2026" s="7" t="n"/>
    </row>
    <row r="2027">
      <c r="A2027" s="7" t="n"/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>
        <f>IF(D2027="Legitimate Interest (GDPR Art. 6(1)(f))", "Yes / Required (Sheet 3)", "")</f>
        <v/>
      </c>
      <c r="L2027" s="7" t="n"/>
      <c r="M2027" s="7" t="n"/>
      <c r="N2027">
        <f>IF(D2027="", "Gap - No Legal Basis", IF(AND(D2027="Consent (GDPR Art. 6(1)(a))", I2027="Not Captured"), "Gap - Invalid Consent", IF(AND(D2027="Legitimate Interest (GDPR Art. 6(1)(f))", L2027=""), "Gap - Missing LIA", IF(AND(G2027="Yes", H2027=""), "Gap - Missing Art. 9 Basis", IF(OR(I2027="Invalid - Not Freely Given", I2027="Invalid - Not Specific", I2027="Invalid - Not Informed", I2027="Invalid - Ambiguous"), "Gap - Invalid Consent", "Compliant")))))</f>
        <v/>
      </c>
      <c r="O2027" s="7" t="n"/>
    </row>
    <row r="2028">
      <c r="A2028" s="7" t="n"/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>
        <f>IF(D2028="Legitimate Interest (GDPR Art. 6(1)(f))", "Yes / Required (Sheet 3)", "")</f>
        <v/>
      </c>
      <c r="L2028" s="7" t="n"/>
      <c r="M2028" s="7" t="n"/>
      <c r="N2028">
        <f>IF(D2028="", "Gap - No Legal Basis", IF(AND(D2028="Consent (GDPR Art. 6(1)(a))", I2028="Not Captured"), "Gap - Invalid Consent", IF(AND(D2028="Legitimate Interest (GDPR Art. 6(1)(f))", L2028=""), "Gap - Missing LIA", IF(AND(G2028="Yes", H2028=""), "Gap - Missing Art. 9 Basis", IF(OR(I2028="Invalid - Not Freely Given", I2028="Invalid - Not Specific", I2028="Invalid - Not Informed", I2028="Invalid - Ambiguous"), "Gap - Invalid Consent", "Compliant")))))</f>
        <v/>
      </c>
      <c r="O2028" s="7" t="n"/>
    </row>
    <row r="2029">
      <c r="A2029" s="7" t="n"/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>
        <f>IF(D2029="Legitimate Interest (GDPR Art. 6(1)(f))", "Yes / Required (Sheet 3)", "")</f>
        <v/>
      </c>
      <c r="L2029" s="7" t="n"/>
      <c r="M2029" s="7" t="n"/>
      <c r="N2029">
        <f>IF(D2029="", "Gap - No Legal Basis", IF(AND(D2029="Consent (GDPR Art. 6(1)(a))", I2029="Not Captured"), "Gap - Invalid Consent", IF(AND(D2029="Legitimate Interest (GDPR Art. 6(1)(f))", L2029=""), "Gap - Missing LIA", IF(AND(G2029="Yes", H2029=""), "Gap - Missing Art. 9 Basis", IF(OR(I2029="Invalid - Not Freely Given", I2029="Invalid - Not Specific", I2029="Invalid - Not Informed", I2029="Invalid - Ambiguous"), "Gap - Invalid Consent", "Compliant")))))</f>
        <v/>
      </c>
      <c r="O2029" s="7" t="n"/>
    </row>
    <row r="2030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>
        <f>IF(D2030="Legitimate Interest (GDPR Art. 6(1)(f))", "Yes / Required (Sheet 3)", "")</f>
        <v/>
      </c>
      <c r="L2030" s="7" t="n"/>
      <c r="M2030" s="7" t="n"/>
      <c r="N2030">
        <f>IF(D2030="", "Gap - No Legal Basis", IF(AND(D2030="Consent (GDPR Art. 6(1)(a))", I2030="Not Captured"), "Gap - Invalid Consent", IF(AND(D2030="Legitimate Interest (GDPR Art. 6(1)(f))", L2030=""), "Gap - Missing LIA", IF(AND(G2030="Yes", H2030=""), "Gap - Missing Art. 9 Basis", IF(OR(I2030="Invalid - Not Freely Given", I2030="Invalid - Not Specific", I2030="Invalid - Not Informed", I2030="Invalid - Ambiguous"), "Gap - Invalid Consent", "Compliant")))))</f>
        <v/>
      </c>
      <c r="O2030" s="7" t="n"/>
    </row>
    <row r="2031">
      <c r="A2031" s="7" t="n"/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>
        <f>IF(D2031="Legitimate Interest (GDPR Art. 6(1)(f))", "Yes / Required (Sheet 3)", "")</f>
        <v/>
      </c>
      <c r="L2031" s="7" t="n"/>
      <c r="M2031" s="7" t="n"/>
      <c r="N2031">
        <f>IF(D2031="", "Gap - No Legal Basis", IF(AND(D2031="Consent (GDPR Art. 6(1)(a))", I2031="Not Captured"), "Gap - Invalid Consent", IF(AND(D2031="Legitimate Interest (GDPR Art. 6(1)(f))", L2031=""), "Gap - Missing LIA", IF(AND(G2031="Yes", H2031=""), "Gap - Missing Art. 9 Basis", IF(OR(I2031="Invalid - Not Freely Given", I2031="Invalid - Not Specific", I2031="Invalid - Not Informed", I2031="Invalid - Ambiguous"), "Gap - Invalid Consent", "Compliant")))))</f>
        <v/>
      </c>
      <c r="O2031" s="7" t="n"/>
    </row>
    <row r="2032">
      <c r="A2032" s="7" t="n"/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>
        <f>IF(D2032="Legitimate Interest (GDPR Art. 6(1)(f))", "Yes / Required (Sheet 3)", "")</f>
        <v/>
      </c>
      <c r="L2032" s="7" t="n"/>
      <c r="M2032" s="7" t="n"/>
      <c r="N2032">
        <f>IF(D2032="", "Gap - No Legal Basis", IF(AND(D2032="Consent (GDPR Art. 6(1)(a))", I2032="Not Captured"), "Gap - Invalid Consent", IF(AND(D2032="Legitimate Interest (GDPR Art. 6(1)(f))", L2032=""), "Gap - Missing LIA", IF(AND(G2032="Yes", H2032=""), "Gap - Missing Art. 9 Basis", IF(OR(I2032="Invalid - Not Freely Given", I2032="Invalid - Not Specific", I2032="Invalid - Not Informed", I2032="Invalid - Ambiguous"), "Gap - Invalid Consent", "Compliant")))))</f>
        <v/>
      </c>
      <c r="O2032" s="7" t="n"/>
    </row>
    <row r="2033">
      <c r="A2033" s="7" t="n"/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>
        <f>IF(D2033="Legitimate Interest (GDPR Art. 6(1)(f))", "Yes / Required (Sheet 3)", "")</f>
        <v/>
      </c>
      <c r="L2033" s="7" t="n"/>
      <c r="M2033" s="7" t="n"/>
      <c r="N2033">
        <f>IF(D2033="", "Gap - No Legal Basis", IF(AND(D2033="Consent (GDPR Art. 6(1)(a))", I2033="Not Captured"), "Gap - Invalid Consent", IF(AND(D2033="Legitimate Interest (GDPR Art. 6(1)(f))", L2033=""), "Gap - Missing LIA", IF(AND(G2033="Yes", H2033=""), "Gap - Missing Art. 9 Basis", IF(OR(I2033="Invalid - Not Freely Given", I2033="Invalid - Not Specific", I2033="Invalid - Not Informed", I2033="Invalid - Ambiguous"), "Gap - Invalid Consent", "Compliant")))))</f>
        <v/>
      </c>
      <c r="O2033" s="7" t="n"/>
    </row>
    <row r="2034">
      <c r="A2034" s="7" t="n"/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>
        <f>IF(D2034="Legitimate Interest (GDPR Art. 6(1)(f))", "Yes / Required (Sheet 3)", "")</f>
        <v/>
      </c>
      <c r="L2034" s="7" t="n"/>
      <c r="M2034" s="7" t="n"/>
      <c r="N2034">
        <f>IF(D2034="", "Gap - No Legal Basis", IF(AND(D2034="Consent (GDPR Art. 6(1)(a))", I2034="Not Captured"), "Gap - Invalid Consent", IF(AND(D2034="Legitimate Interest (GDPR Art. 6(1)(f))", L2034=""), "Gap - Missing LIA", IF(AND(G2034="Yes", H2034=""), "Gap - Missing Art. 9 Basis", IF(OR(I2034="Invalid - Not Freely Given", I2034="Invalid - Not Specific", I2034="Invalid - Not Informed", I2034="Invalid - Ambiguous"), "Gap - Invalid Consent", "Compliant")))))</f>
        <v/>
      </c>
      <c r="O2034" s="7" t="n"/>
    </row>
    <row r="2035">
      <c r="A2035" s="7" t="n"/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>
        <f>IF(D2035="Legitimate Interest (GDPR Art. 6(1)(f))", "Yes / Required (Sheet 3)", "")</f>
        <v/>
      </c>
      <c r="L2035" s="7" t="n"/>
      <c r="M2035" s="7" t="n"/>
      <c r="N2035">
        <f>IF(D2035="", "Gap - No Legal Basis", IF(AND(D2035="Consent (GDPR Art. 6(1)(a))", I2035="Not Captured"), "Gap - Invalid Consent", IF(AND(D2035="Legitimate Interest (GDPR Art. 6(1)(f))", L2035=""), "Gap - Missing LIA", IF(AND(G2035="Yes", H2035=""), "Gap - Missing Art. 9 Basis", IF(OR(I2035="Invalid - Not Freely Given", I2035="Invalid - Not Specific", I2035="Invalid - Not Informed", I2035="Invalid - Ambiguous"), "Gap - Invalid Consent", "Compliant")))))</f>
        <v/>
      </c>
      <c r="O2035" s="7" t="n"/>
    </row>
    <row r="2036">
      <c r="A2036" s="7" t="n"/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>
        <f>IF(D2036="Legitimate Interest (GDPR Art. 6(1)(f))", "Yes / Required (Sheet 3)", "")</f>
        <v/>
      </c>
      <c r="L2036" s="7" t="n"/>
      <c r="M2036" s="7" t="n"/>
      <c r="N2036">
        <f>IF(D2036="", "Gap - No Legal Basis", IF(AND(D2036="Consent (GDPR Art. 6(1)(a))", I2036="Not Captured"), "Gap - Invalid Consent", IF(AND(D2036="Legitimate Interest (GDPR Art. 6(1)(f))", L2036=""), "Gap - Missing LIA", IF(AND(G2036="Yes", H2036=""), "Gap - Missing Art. 9 Basis", IF(OR(I2036="Invalid - Not Freely Given", I2036="Invalid - Not Specific", I2036="Invalid - Not Informed", I2036="Invalid - Ambiguous"), "Gap - Invalid Consent", "Compliant")))))</f>
        <v/>
      </c>
      <c r="O2036" s="7" t="n"/>
    </row>
    <row r="2037">
      <c r="A2037" s="7" t="n"/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>
        <f>IF(D2037="Legitimate Interest (GDPR Art. 6(1)(f))", "Yes / Required (Sheet 3)", "")</f>
        <v/>
      </c>
      <c r="L2037" s="7" t="n"/>
      <c r="M2037" s="7" t="n"/>
      <c r="N2037">
        <f>IF(D2037="", "Gap - No Legal Basis", IF(AND(D2037="Consent (GDPR Art. 6(1)(a))", I2037="Not Captured"), "Gap - Invalid Consent", IF(AND(D2037="Legitimate Interest (GDPR Art. 6(1)(f))", L2037=""), "Gap - Missing LIA", IF(AND(G2037="Yes", H2037=""), "Gap - Missing Art. 9 Basis", IF(OR(I2037="Invalid - Not Freely Given", I2037="Invalid - Not Specific", I2037="Invalid - Not Informed", I2037="Invalid - Ambiguous"), "Gap - Invalid Consent", "Compliant")))))</f>
        <v/>
      </c>
      <c r="O2037" s="7" t="n"/>
    </row>
    <row r="2038">
      <c r="A2038" s="7" t="n"/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>
        <f>IF(D2038="Legitimate Interest (GDPR Art. 6(1)(f))", "Yes / Required (Sheet 3)", "")</f>
        <v/>
      </c>
      <c r="L2038" s="7" t="n"/>
      <c r="M2038" s="7" t="n"/>
      <c r="N2038">
        <f>IF(D2038="", "Gap - No Legal Basis", IF(AND(D2038="Consent (GDPR Art. 6(1)(a))", I2038="Not Captured"), "Gap - Invalid Consent", IF(AND(D2038="Legitimate Interest (GDPR Art. 6(1)(f))", L2038=""), "Gap - Missing LIA", IF(AND(G2038="Yes", H2038=""), "Gap - Missing Art. 9 Basis", IF(OR(I2038="Invalid - Not Freely Given", I2038="Invalid - Not Specific", I2038="Invalid - Not Informed", I2038="Invalid - Ambiguous"), "Gap - Invalid Consent", "Compliant")))))</f>
        <v/>
      </c>
      <c r="O2038" s="7" t="n"/>
    </row>
    <row r="2039">
      <c r="A2039" s="7" t="n"/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>
        <f>IF(D2039="Legitimate Interest (GDPR Art. 6(1)(f))", "Yes / Required (Sheet 3)", "")</f>
        <v/>
      </c>
      <c r="L2039" s="7" t="n"/>
      <c r="M2039" s="7" t="n"/>
      <c r="N2039">
        <f>IF(D2039="", "Gap - No Legal Basis", IF(AND(D2039="Consent (GDPR Art. 6(1)(a))", I2039="Not Captured"), "Gap - Invalid Consent", IF(AND(D2039="Legitimate Interest (GDPR Art. 6(1)(f))", L2039=""), "Gap - Missing LIA", IF(AND(G2039="Yes", H2039=""), "Gap - Missing Art. 9 Basis", IF(OR(I2039="Invalid - Not Freely Given", I2039="Invalid - Not Specific", I2039="Invalid - Not Informed", I2039="Invalid - Ambiguous"), "Gap - Invalid Consent", "Compliant")))))</f>
        <v/>
      </c>
      <c r="O2039" s="7" t="n"/>
    </row>
    <row r="2040">
      <c r="A2040" s="7" t="n"/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>
        <f>IF(D2040="Legitimate Interest (GDPR Art. 6(1)(f))", "Yes / Required (Sheet 3)", "")</f>
        <v/>
      </c>
      <c r="L2040" s="7" t="n"/>
      <c r="M2040" s="7" t="n"/>
      <c r="N2040">
        <f>IF(D2040="", "Gap - No Legal Basis", IF(AND(D2040="Consent (GDPR Art. 6(1)(a))", I2040="Not Captured"), "Gap - Invalid Consent", IF(AND(D2040="Legitimate Interest (GDPR Art. 6(1)(f))", L2040=""), "Gap - Missing LIA", IF(AND(G2040="Yes", H2040=""), "Gap - Missing Art. 9 Basis", IF(OR(I2040="Invalid - Not Freely Given", I2040="Invalid - Not Specific", I2040="Invalid - Not Informed", I2040="Invalid - Ambiguous"), "Gap - Invalid Consent", "Compliant")))))</f>
        <v/>
      </c>
      <c r="O2040" s="7" t="n"/>
    </row>
    <row r="2041">
      <c r="A2041" s="7" t="n"/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>
        <f>IF(D2041="Legitimate Interest (GDPR Art. 6(1)(f))", "Yes / Required (Sheet 3)", "")</f>
        <v/>
      </c>
      <c r="L2041" s="7" t="n"/>
      <c r="M2041" s="7" t="n"/>
      <c r="N2041">
        <f>IF(D2041="", "Gap - No Legal Basis", IF(AND(D2041="Consent (GDPR Art. 6(1)(a))", I2041="Not Captured"), "Gap - Invalid Consent", IF(AND(D2041="Legitimate Interest (GDPR Art. 6(1)(f))", L2041=""), "Gap - Missing LIA", IF(AND(G2041="Yes", H2041=""), "Gap - Missing Art. 9 Basis", IF(OR(I2041="Invalid - Not Freely Given", I2041="Invalid - Not Specific", I2041="Invalid - Not Informed", I2041="Invalid - Ambiguous"), "Gap - Invalid Consent", "Compliant")))))</f>
        <v/>
      </c>
      <c r="O2041" s="7" t="n"/>
    </row>
    <row r="2042">
      <c r="A2042" s="7" t="n"/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>
        <f>IF(D2042="Legitimate Interest (GDPR Art. 6(1)(f))", "Yes / Required (Sheet 3)", "")</f>
        <v/>
      </c>
      <c r="L2042" s="7" t="n"/>
      <c r="M2042" s="7" t="n"/>
      <c r="N2042">
        <f>IF(D2042="", "Gap - No Legal Basis", IF(AND(D2042="Consent (GDPR Art. 6(1)(a))", I2042="Not Captured"), "Gap - Invalid Consent", IF(AND(D2042="Legitimate Interest (GDPR Art. 6(1)(f))", L2042=""), "Gap - Missing LIA", IF(AND(G2042="Yes", H2042=""), "Gap - Missing Art. 9 Basis", IF(OR(I2042="Invalid - Not Freely Given", I2042="Invalid - Not Specific", I2042="Invalid - Not Informed", I2042="Invalid - Ambiguous"), "Gap - Invalid Consent", "Compliant")))))</f>
        <v/>
      </c>
      <c r="O2042" s="7" t="n"/>
    </row>
    <row r="2043">
      <c r="A2043" s="7" t="n"/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>
        <f>IF(D2043="Legitimate Interest (GDPR Art. 6(1)(f))", "Yes / Required (Sheet 3)", "")</f>
        <v/>
      </c>
      <c r="L2043" s="7" t="n"/>
      <c r="M2043" s="7" t="n"/>
      <c r="N2043">
        <f>IF(D2043="", "Gap - No Legal Basis", IF(AND(D2043="Consent (GDPR Art. 6(1)(a))", I2043="Not Captured"), "Gap - Invalid Consent", IF(AND(D2043="Legitimate Interest (GDPR Art. 6(1)(f))", L2043=""), "Gap - Missing LIA", IF(AND(G2043="Yes", H2043=""), "Gap - Missing Art. 9 Basis", IF(OR(I2043="Invalid - Not Freely Given", I2043="Invalid - Not Specific", I2043="Invalid - Not Informed", I2043="Invalid - Ambiguous"), "Gap - Invalid Consent", "Compliant")))))</f>
        <v/>
      </c>
      <c r="O2043" s="7" t="n"/>
    </row>
    <row r="2044">
      <c r="A2044" s="7" t="n"/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>
        <f>IF(D2044="Legitimate Interest (GDPR Art. 6(1)(f))", "Yes / Required (Sheet 3)", "")</f>
        <v/>
      </c>
      <c r="L2044" s="7" t="n"/>
      <c r="M2044" s="7" t="n"/>
      <c r="N2044">
        <f>IF(D2044="", "Gap - No Legal Basis", IF(AND(D2044="Consent (GDPR Art. 6(1)(a))", I2044="Not Captured"), "Gap - Invalid Consent", IF(AND(D2044="Legitimate Interest (GDPR Art. 6(1)(f))", L2044=""), "Gap - Missing LIA", IF(AND(G2044="Yes", H2044=""), "Gap - Missing Art. 9 Basis", IF(OR(I2044="Invalid - Not Freely Given", I2044="Invalid - Not Specific", I2044="Invalid - Not Informed", I2044="Invalid - Ambiguous"), "Gap - Invalid Consent", "Compliant")))))</f>
        <v/>
      </c>
      <c r="O2044" s="7" t="n"/>
    </row>
    <row r="2045">
      <c r="A2045" s="7" t="n"/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>
        <f>IF(D2045="Legitimate Interest (GDPR Art. 6(1)(f))", "Yes / Required (Sheet 3)", "")</f>
        <v/>
      </c>
      <c r="L2045" s="7" t="n"/>
      <c r="M2045" s="7" t="n"/>
      <c r="N2045">
        <f>IF(D2045="", "Gap - No Legal Basis", IF(AND(D2045="Consent (GDPR Art. 6(1)(a))", I2045="Not Captured"), "Gap - Invalid Consent", IF(AND(D2045="Legitimate Interest (GDPR Art. 6(1)(f))", L2045=""), "Gap - Missing LIA", IF(AND(G2045="Yes", H2045=""), "Gap - Missing Art. 9 Basis", IF(OR(I2045="Invalid - Not Freely Given", I2045="Invalid - Not Specific", I2045="Invalid - Not Informed", I2045="Invalid - Ambiguous"), "Gap - Invalid Consent", "Compliant")))))</f>
        <v/>
      </c>
      <c r="O2045" s="7" t="n"/>
    </row>
    <row r="2046">
      <c r="A2046" s="7" t="n"/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>
        <f>IF(D2046="Legitimate Interest (GDPR Art. 6(1)(f))", "Yes / Required (Sheet 3)", "")</f>
        <v/>
      </c>
      <c r="L2046" s="7" t="n"/>
      <c r="M2046" s="7" t="n"/>
      <c r="N2046">
        <f>IF(D2046="", "Gap - No Legal Basis", IF(AND(D2046="Consent (GDPR Art. 6(1)(a))", I2046="Not Captured"), "Gap - Invalid Consent", IF(AND(D2046="Legitimate Interest (GDPR Art. 6(1)(f))", L2046=""), "Gap - Missing LIA", IF(AND(G2046="Yes", H2046=""), "Gap - Missing Art. 9 Basis", IF(OR(I2046="Invalid - Not Freely Given", I2046="Invalid - Not Specific", I2046="Invalid - Not Informed", I2046="Invalid - Ambiguous"), "Gap - Invalid Consent", "Compliant")))))</f>
        <v/>
      </c>
      <c r="O2046" s="7" t="n"/>
    </row>
    <row r="2047">
      <c r="A2047" s="7" t="n"/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>
        <f>IF(D2047="Legitimate Interest (GDPR Art. 6(1)(f))", "Yes / Required (Sheet 3)", "")</f>
        <v/>
      </c>
      <c r="L2047" s="7" t="n"/>
      <c r="M2047" s="7" t="n"/>
      <c r="N2047">
        <f>IF(D2047="", "Gap - No Legal Basis", IF(AND(D2047="Consent (GDPR Art. 6(1)(a))", I2047="Not Captured"), "Gap - Invalid Consent", IF(AND(D2047="Legitimate Interest (GDPR Art. 6(1)(f))", L2047=""), "Gap - Missing LIA", IF(AND(G2047="Yes", H2047=""), "Gap - Missing Art. 9 Basis", IF(OR(I2047="Invalid - Not Freely Given", I2047="Invalid - Not Specific", I2047="Invalid - Not Informed", I2047="Invalid - Ambiguous"), "Gap - Invalid Consent", "Compliant")))))</f>
        <v/>
      </c>
      <c r="O2047" s="7" t="n"/>
    </row>
    <row r="2048">
      <c r="A2048" s="7" t="n"/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>
        <f>IF(D2048="Legitimate Interest (GDPR Art. 6(1)(f))", "Yes / Required (Sheet 3)", "")</f>
        <v/>
      </c>
      <c r="L2048" s="7" t="n"/>
      <c r="M2048" s="7" t="n"/>
      <c r="N2048">
        <f>IF(D2048="", "Gap - No Legal Basis", IF(AND(D2048="Consent (GDPR Art. 6(1)(a))", I2048="Not Captured"), "Gap - Invalid Consent", IF(AND(D2048="Legitimate Interest (GDPR Art. 6(1)(f))", L2048=""), "Gap - Missing LIA", IF(AND(G2048="Yes", H2048=""), "Gap - Missing Art. 9 Basis", IF(OR(I2048="Invalid - Not Freely Given", I2048="Invalid - Not Specific", I2048="Invalid - Not Informed", I2048="Invalid - Ambiguous"), "Gap - Invalid Consent", "Compliant")))))</f>
        <v/>
      </c>
      <c r="O2048" s="7" t="n"/>
    </row>
    <row r="2049">
      <c r="A2049" s="7" t="n"/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>
        <f>IF(D2049="Legitimate Interest (GDPR Art. 6(1)(f))", "Yes / Required (Sheet 3)", "")</f>
        <v/>
      </c>
      <c r="L2049" s="7" t="n"/>
      <c r="M2049" s="7" t="n"/>
      <c r="N2049">
        <f>IF(D2049="", "Gap - No Legal Basis", IF(AND(D2049="Consent (GDPR Art. 6(1)(a))", I2049="Not Captured"), "Gap - Invalid Consent", IF(AND(D2049="Legitimate Interest (GDPR Art. 6(1)(f))", L2049=""), "Gap - Missing LIA", IF(AND(G2049="Yes", H2049=""), "Gap - Missing Art. 9 Basis", IF(OR(I2049="Invalid - Not Freely Given", I2049="Invalid - Not Specific", I2049="Invalid - Not Informed", I2049="Invalid - Ambiguous"), "Gap - Invalid Consent", "Compliant")))))</f>
        <v/>
      </c>
      <c r="O2049" s="7" t="n"/>
    </row>
    <row r="2050">
      <c r="A2050" s="7" t="n"/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>
        <f>IF(D2050="Legitimate Interest (GDPR Art. 6(1)(f))", "Yes / Required (Sheet 3)", "")</f>
        <v/>
      </c>
      <c r="L2050" s="7" t="n"/>
      <c r="M2050" s="7" t="n"/>
      <c r="N2050">
        <f>IF(D2050="", "Gap - No Legal Basis", IF(AND(D2050="Consent (GDPR Art. 6(1)(a))", I2050="Not Captured"), "Gap - Invalid Consent", IF(AND(D2050="Legitimate Interest (GDPR Art. 6(1)(f))", L2050=""), "Gap - Missing LIA", IF(AND(G2050="Yes", H2050=""), "Gap - Missing Art. 9 Basis", IF(OR(I2050="Invalid - Not Freely Given", I2050="Invalid - Not Specific", I2050="Invalid - Not Informed", I2050="Invalid - Ambiguous"), "Gap - Invalid Consent", "Compliant")))))</f>
        <v/>
      </c>
      <c r="O2050" s="7" t="n"/>
    </row>
    <row r="2051">
      <c r="A2051" s="7" t="n"/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>
        <f>IF(D2051="Legitimate Interest (GDPR Art. 6(1)(f))", "Yes / Required (Sheet 3)", "")</f>
        <v/>
      </c>
      <c r="L2051" s="7" t="n"/>
      <c r="M2051" s="7" t="n"/>
      <c r="N2051">
        <f>IF(D2051="", "Gap - No Legal Basis", IF(AND(D2051="Consent (GDPR Art. 6(1)(a))", I2051="Not Captured"), "Gap - Invalid Consent", IF(AND(D2051="Legitimate Interest (GDPR Art. 6(1)(f))", L2051=""), "Gap - Missing LIA", IF(AND(G2051="Yes", H2051=""), "Gap - Missing Art. 9 Basis", IF(OR(I2051="Invalid - Not Freely Given", I2051="Invalid - Not Specific", I2051="Invalid - Not Informed", I2051="Invalid - Ambiguous"), "Gap - Invalid Consent", "Compliant")))))</f>
        <v/>
      </c>
      <c r="O2051" s="7" t="n"/>
    </row>
    <row r="2052">
      <c r="A2052" s="7" t="n"/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>
        <f>IF(D2052="Legitimate Interest (GDPR Art. 6(1)(f))", "Yes / Required (Sheet 3)", "")</f>
        <v/>
      </c>
      <c r="L2052" s="7" t="n"/>
      <c r="M2052" s="7" t="n"/>
      <c r="N2052">
        <f>IF(D2052="", "Gap - No Legal Basis", IF(AND(D2052="Consent (GDPR Art. 6(1)(a))", I2052="Not Captured"), "Gap - Invalid Consent", IF(AND(D2052="Legitimate Interest (GDPR Art. 6(1)(f))", L2052=""), "Gap - Missing LIA", IF(AND(G2052="Yes", H2052=""), "Gap - Missing Art. 9 Basis", IF(OR(I2052="Invalid - Not Freely Given", I2052="Invalid - Not Specific", I2052="Invalid - Not Informed", I2052="Invalid - Ambiguous"), "Gap - Invalid Consent", "Compliant")))))</f>
        <v/>
      </c>
      <c r="O2052" s="7" t="n"/>
    </row>
    <row r="2053">
      <c r="A2053" s="7" t="n"/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>
        <f>IF(D2053="Legitimate Interest (GDPR Art. 6(1)(f))", "Yes / Required (Sheet 3)", "")</f>
        <v/>
      </c>
      <c r="L2053" s="7" t="n"/>
      <c r="M2053" s="7" t="n"/>
      <c r="N2053">
        <f>IF(D2053="", "Gap - No Legal Basis", IF(AND(D2053="Consent (GDPR Art. 6(1)(a))", I2053="Not Captured"), "Gap - Invalid Consent", IF(AND(D2053="Legitimate Interest (GDPR Art. 6(1)(f))", L2053=""), "Gap - Missing LIA", IF(AND(G2053="Yes", H2053=""), "Gap - Missing Art. 9 Basis", IF(OR(I2053="Invalid - Not Freely Given", I2053="Invalid - Not Specific", I2053="Invalid - Not Informed", I2053="Invalid - Ambiguous"), "Gap - Invalid Consent", "Compliant")))))</f>
        <v/>
      </c>
      <c r="O2053" s="7" t="n"/>
    </row>
    <row r="2054">
      <c r="A2054" s="7" t="n"/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>
        <f>IF(D2054="Legitimate Interest (GDPR Art. 6(1)(f))", "Yes / Required (Sheet 3)", "")</f>
        <v/>
      </c>
      <c r="L2054" s="7" t="n"/>
      <c r="M2054" s="7" t="n"/>
      <c r="N2054">
        <f>IF(D2054="", "Gap - No Legal Basis", IF(AND(D2054="Consent (GDPR Art. 6(1)(a))", I2054="Not Captured"), "Gap - Invalid Consent", IF(AND(D2054="Legitimate Interest (GDPR Art. 6(1)(f))", L2054=""), "Gap - Missing LIA", IF(AND(G2054="Yes", H2054=""), "Gap - Missing Art. 9 Basis", IF(OR(I2054="Invalid - Not Freely Given", I2054="Invalid - Not Specific", I2054="Invalid - Not Informed", I2054="Invalid - Ambiguous"), "Gap - Invalid Consent", "Compliant")))))</f>
        <v/>
      </c>
      <c r="O2054" s="7" t="n"/>
    </row>
    <row r="2055">
      <c r="A2055" s="7" t="n"/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>
        <f>IF(D2055="Legitimate Interest (GDPR Art. 6(1)(f))", "Yes / Required (Sheet 3)", "")</f>
        <v/>
      </c>
      <c r="L2055" s="7" t="n"/>
      <c r="M2055" s="7" t="n"/>
      <c r="N2055">
        <f>IF(D2055="", "Gap - No Legal Basis", IF(AND(D2055="Consent (GDPR Art. 6(1)(a))", I2055="Not Captured"), "Gap - Invalid Consent", IF(AND(D2055="Legitimate Interest (GDPR Art. 6(1)(f))", L2055=""), "Gap - Missing LIA", IF(AND(G2055="Yes", H2055=""), "Gap - Missing Art. 9 Basis", IF(OR(I2055="Invalid - Not Freely Given", I2055="Invalid - Not Specific", I2055="Invalid - Not Informed", I2055="Invalid - Ambiguous"), "Gap - Invalid Consent", "Compliant")))))</f>
        <v/>
      </c>
      <c r="O2055" s="7" t="n"/>
    </row>
    <row r="2056">
      <c r="A2056" s="7" t="n"/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>
        <f>IF(D2056="Legitimate Interest (GDPR Art. 6(1)(f))", "Yes / Required (Sheet 3)", "")</f>
        <v/>
      </c>
      <c r="L2056" s="7" t="n"/>
      <c r="M2056" s="7" t="n"/>
      <c r="N2056">
        <f>IF(D2056="", "Gap - No Legal Basis", IF(AND(D2056="Consent (GDPR Art. 6(1)(a))", I2056="Not Captured"), "Gap - Invalid Consent", IF(AND(D2056="Legitimate Interest (GDPR Art. 6(1)(f))", L2056=""), "Gap - Missing LIA", IF(AND(G2056="Yes", H2056=""), "Gap - Missing Art. 9 Basis", IF(OR(I2056="Invalid - Not Freely Given", I2056="Invalid - Not Specific", I2056="Invalid - Not Informed", I2056="Invalid - Ambiguous"), "Gap - Invalid Consent", "Compliant")))))</f>
        <v/>
      </c>
      <c r="O2056" s="7" t="n"/>
    </row>
    <row r="2057">
      <c r="A2057" s="7" t="n"/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>
        <f>IF(D2057="Legitimate Interest (GDPR Art. 6(1)(f))", "Yes / Required (Sheet 3)", "")</f>
        <v/>
      </c>
      <c r="L2057" s="7" t="n"/>
      <c r="M2057" s="7" t="n"/>
      <c r="N2057">
        <f>IF(D2057="", "Gap - No Legal Basis", IF(AND(D2057="Consent (GDPR Art. 6(1)(a))", I2057="Not Captured"), "Gap - Invalid Consent", IF(AND(D2057="Legitimate Interest (GDPR Art. 6(1)(f))", L2057=""), "Gap - Missing LIA", IF(AND(G2057="Yes", H2057=""), "Gap - Missing Art. 9 Basis", IF(OR(I2057="Invalid - Not Freely Given", I2057="Invalid - Not Specific", I2057="Invalid - Not Informed", I2057="Invalid - Ambiguous"), "Gap - Invalid Consent", "Compliant")))))</f>
        <v/>
      </c>
      <c r="O2057" s="7" t="n"/>
    </row>
    <row r="2058">
      <c r="A2058" s="7" t="n"/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>
        <f>IF(D2058="Legitimate Interest (GDPR Art. 6(1)(f))", "Yes / Required (Sheet 3)", "")</f>
        <v/>
      </c>
      <c r="L2058" s="7" t="n"/>
      <c r="M2058" s="7" t="n"/>
      <c r="N2058">
        <f>IF(D2058="", "Gap - No Legal Basis", IF(AND(D2058="Consent (GDPR Art. 6(1)(a))", I2058="Not Captured"), "Gap - Invalid Consent", IF(AND(D2058="Legitimate Interest (GDPR Art. 6(1)(f))", L2058=""), "Gap - Missing LIA", IF(AND(G2058="Yes", H2058=""), "Gap - Missing Art. 9 Basis", IF(OR(I2058="Invalid - Not Freely Given", I2058="Invalid - Not Specific", I2058="Invalid - Not Informed", I2058="Invalid - Ambiguous"), "Gap - Invalid Consent", "Compliant")))))</f>
        <v/>
      </c>
      <c r="O2058" s="7" t="n"/>
    </row>
    <row r="2059">
      <c r="A2059" s="7" t="n"/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>
        <f>IF(D2059="Legitimate Interest (GDPR Art. 6(1)(f))", "Yes / Required (Sheet 3)", "")</f>
        <v/>
      </c>
      <c r="L2059" s="7" t="n"/>
      <c r="M2059" s="7" t="n"/>
      <c r="N2059">
        <f>IF(D2059="", "Gap - No Legal Basis", IF(AND(D2059="Consent (GDPR Art. 6(1)(a))", I2059="Not Captured"), "Gap - Invalid Consent", IF(AND(D2059="Legitimate Interest (GDPR Art. 6(1)(f))", L2059=""), "Gap - Missing LIA", IF(AND(G2059="Yes", H2059=""), "Gap - Missing Art. 9 Basis", IF(OR(I2059="Invalid - Not Freely Given", I2059="Invalid - Not Specific", I2059="Invalid - Not Informed", I2059="Invalid - Ambiguous"), "Gap - Invalid Consent", "Compliant")))))</f>
        <v/>
      </c>
      <c r="O2059" s="7" t="n"/>
    </row>
    <row r="2060">
      <c r="A2060" s="7" t="n"/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>
        <f>IF(D2060="Legitimate Interest (GDPR Art. 6(1)(f))", "Yes / Required (Sheet 3)", "")</f>
        <v/>
      </c>
      <c r="L2060" s="7" t="n"/>
      <c r="M2060" s="7" t="n"/>
      <c r="N2060">
        <f>IF(D2060="", "Gap - No Legal Basis", IF(AND(D2060="Consent (GDPR Art. 6(1)(a))", I2060="Not Captured"), "Gap - Invalid Consent", IF(AND(D2060="Legitimate Interest (GDPR Art. 6(1)(f))", L2060=""), "Gap - Missing LIA", IF(AND(G2060="Yes", H2060=""), "Gap - Missing Art. 9 Basis", IF(OR(I2060="Invalid - Not Freely Given", I2060="Invalid - Not Specific", I2060="Invalid - Not Informed", I2060="Invalid - Ambiguous"), "Gap - Invalid Consent", "Compliant")))))</f>
        <v/>
      </c>
      <c r="O2060" s="7" t="n"/>
    </row>
    <row r="2061">
      <c r="A2061" s="7" t="n"/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>
        <f>IF(D2061="Legitimate Interest (GDPR Art. 6(1)(f))", "Yes / Required (Sheet 3)", "")</f>
        <v/>
      </c>
      <c r="L2061" s="7" t="n"/>
      <c r="M2061" s="7" t="n"/>
      <c r="N2061">
        <f>IF(D2061="", "Gap - No Legal Basis", IF(AND(D2061="Consent (GDPR Art. 6(1)(a))", I2061="Not Captured"), "Gap - Invalid Consent", IF(AND(D2061="Legitimate Interest (GDPR Art. 6(1)(f))", L2061=""), "Gap - Missing LIA", IF(AND(G2061="Yes", H2061=""), "Gap - Missing Art. 9 Basis", IF(OR(I2061="Invalid - Not Freely Given", I2061="Invalid - Not Specific", I2061="Invalid - Not Informed", I2061="Invalid - Ambiguous"), "Gap - Invalid Consent", "Compliant")))))</f>
        <v/>
      </c>
      <c r="O2061" s="7" t="n"/>
    </row>
    <row r="2062">
      <c r="A2062" s="7" t="n"/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>
        <f>IF(D2062="Legitimate Interest (GDPR Art. 6(1)(f))", "Yes / Required (Sheet 3)", "")</f>
        <v/>
      </c>
      <c r="L2062" s="7" t="n"/>
      <c r="M2062" s="7" t="n"/>
      <c r="N2062">
        <f>IF(D2062="", "Gap - No Legal Basis", IF(AND(D2062="Consent (GDPR Art. 6(1)(a))", I2062="Not Captured"), "Gap - Invalid Consent", IF(AND(D2062="Legitimate Interest (GDPR Art. 6(1)(f))", L2062=""), "Gap - Missing LIA", IF(AND(G2062="Yes", H2062=""), "Gap - Missing Art. 9 Basis", IF(OR(I2062="Invalid - Not Freely Given", I2062="Invalid - Not Specific", I2062="Invalid - Not Informed", I2062="Invalid - Ambiguous"), "Gap - Invalid Consent", "Compliant")))))</f>
        <v/>
      </c>
      <c r="O2062" s="7" t="n"/>
    </row>
    <row r="2063">
      <c r="A2063" s="7" t="n"/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>
        <f>IF(D2063="Legitimate Interest (GDPR Art. 6(1)(f))", "Yes / Required (Sheet 3)", "")</f>
        <v/>
      </c>
      <c r="L2063" s="7" t="n"/>
      <c r="M2063" s="7" t="n"/>
      <c r="N2063">
        <f>IF(D2063="", "Gap - No Legal Basis", IF(AND(D2063="Consent (GDPR Art. 6(1)(a))", I2063="Not Captured"), "Gap - Invalid Consent", IF(AND(D2063="Legitimate Interest (GDPR Art. 6(1)(f))", L2063=""), "Gap - Missing LIA", IF(AND(G2063="Yes", H2063=""), "Gap - Missing Art. 9 Basis", IF(OR(I2063="Invalid - Not Freely Given", I2063="Invalid - Not Specific", I2063="Invalid - Not Informed", I2063="Invalid - Ambiguous"), "Gap - Invalid Consent", "Compliant")))))</f>
        <v/>
      </c>
      <c r="O2063" s="7" t="n"/>
    </row>
    <row r="2064">
      <c r="A2064" s="7" t="n"/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>
        <f>IF(D2064="Legitimate Interest (GDPR Art. 6(1)(f))", "Yes / Required (Sheet 3)", "")</f>
        <v/>
      </c>
      <c r="L2064" s="7" t="n"/>
      <c r="M2064" s="7" t="n"/>
      <c r="N2064">
        <f>IF(D2064="", "Gap - No Legal Basis", IF(AND(D2064="Consent (GDPR Art. 6(1)(a))", I2064="Not Captured"), "Gap - Invalid Consent", IF(AND(D2064="Legitimate Interest (GDPR Art. 6(1)(f))", L2064=""), "Gap - Missing LIA", IF(AND(G2064="Yes", H2064=""), "Gap - Missing Art. 9 Basis", IF(OR(I2064="Invalid - Not Freely Given", I2064="Invalid - Not Specific", I2064="Invalid - Not Informed", I2064="Invalid - Ambiguous"), "Gap - Invalid Consent", "Compliant")))))</f>
        <v/>
      </c>
      <c r="O2064" s="7" t="n"/>
    </row>
    <row r="2065">
      <c r="A2065" s="7" t="n"/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>
        <f>IF(D2065="Legitimate Interest (GDPR Art. 6(1)(f))", "Yes / Required (Sheet 3)", "")</f>
        <v/>
      </c>
      <c r="L2065" s="7" t="n"/>
      <c r="M2065" s="7" t="n"/>
      <c r="N2065">
        <f>IF(D2065="", "Gap - No Legal Basis", IF(AND(D2065="Consent (GDPR Art. 6(1)(a))", I2065="Not Captured"), "Gap - Invalid Consent", IF(AND(D2065="Legitimate Interest (GDPR Art. 6(1)(f))", L2065=""), "Gap - Missing LIA", IF(AND(G2065="Yes", H2065=""), "Gap - Missing Art. 9 Basis", IF(OR(I2065="Invalid - Not Freely Given", I2065="Invalid - Not Specific", I2065="Invalid - Not Informed", I2065="Invalid - Ambiguous"), "Gap - Invalid Consent", "Compliant")))))</f>
        <v/>
      </c>
      <c r="O2065" s="7" t="n"/>
    </row>
    <row r="2066">
      <c r="A2066" s="7" t="n"/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>
        <f>IF(D2066="Legitimate Interest (GDPR Art. 6(1)(f))", "Yes / Required (Sheet 3)", "")</f>
        <v/>
      </c>
      <c r="L2066" s="7" t="n"/>
      <c r="M2066" s="7" t="n"/>
      <c r="N2066">
        <f>IF(D2066="", "Gap - No Legal Basis", IF(AND(D2066="Consent (GDPR Art. 6(1)(a))", I2066="Not Captured"), "Gap - Invalid Consent", IF(AND(D2066="Legitimate Interest (GDPR Art. 6(1)(f))", L2066=""), "Gap - Missing LIA", IF(AND(G2066="Yes", H2066=""), "Gap - Missing Art. 9 Basis", IF(OR(I2066="Invalid - Not Freely Given", I2066="Invalid - Not Specific", I2066="Invalid - Not Informed", I2066="Invalid - Ambiguous"), "Gap - Invalid Consent", "Compliant")))))</f>
        <v/>
      </c>
      <c r="O2066" s="7" t="n"/>
    </row>
    <row r="2067">
      <c r="A2067" s="7" t="n"/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>
        <f>IF(D2067="Legitimate Interest (GDPR Art. 6(1)(f))", "Yes / Required (Sheet 3)", "")</f>
        <v/>
      </c>
      <c r="L2067" s="7" t="n"/>
      <c r="M2067" s="7" t="n"/>
      <c r="N2067">
        <f>IF(D2067="", "Gap - No Legal Basis", IF(AND(D2067="Consent (GDPR Art. 6(1)(a))", I2067="Not Captured"), "Gap - Invalid Consent", IF(AND(D2067="Legitimate Interest (GDPR Art. 6(1)(f))", L2067=""), "Gap - Missing LIA", IF(AND(G2067="Yes", H2067=""), "Gap - Missing Art. 9 Basis", IF(OR(I2067="Invalid - Not Freely Given", I2067="Invalid - Not Specific", I2067="Invalid - Not Informed", I2067="Invalid - Ambiguous"), "Gap - Invalid Consent", "Compliant")))))</f>
        <v/>
      </c>
      <c r="O2067" s="7" t="n"/>
    </row>
    <row r="2068">
      <c r="A2068" s="7" t="n"/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>
        <f>IF(D2068="Legitimate Interest (GDPR Art. 6(1)(f))", "Yes / Required (Sheet 3)", "")</f>
        <v/>
      </c>
      <c r="L2068" s="7" t="n"/>
      <c r="M2068" s="7" t="n"/>
      <c r="N2068">
        <f>IF(D2068="", "Gap - No Legal Basis", IF(AND(D2068="Consent (GDPR Art. 6(1)(a))", I2068="Not Captured"), "Gap - Invalid Consent", IF(AND(D2068="Legitimate Interest (GDPR Art. 6(1)(f))", L2068=""), "Gap - Missing LIA", IF(AND(G2068="Yes", H2068=""), "Gap - Missing Art. 9 Basis", IF(OR(I2068="Invalid - Not Freely Given", I2068="Invalid - Not Specific", I2068="Invalid - Not Informed", I2068="Invalid - Ambiguous"), "Gap - Invalid Consent", "Compliant")))))</f>
        <v/>
      </c>
      <c r="O2068" s="7" t="n"/>
    </row>
    <row r="2069">
      <c r="A2069" s="7" t="n"/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>
        <f>IF(D2069="Legitimate Interest (GDPR Art. 6(1)(f))", "Yes / Required (Sheet 3)", "")</f>
        <v/>
      </c>
      <c r="L2069" s="7" t="n"/>
      <c r="M2069" s="7" t="n"/>
      <c r="N2069">
        <f>IF(D2069="", "Gap - No Legal Basis", IF(AND(D2069="Consent (GDPR Art. 6(1)(a))", I2069="Not Captured"), "Gap - Invalid Consent", IF(AND(D2069="Legitimate Interest (GDPR Art. 6(1)(f))", L2069=""), "Gap - Missing LIA", IF(AND(G2069="Yes", H2069=""), "Gap - Missing Art. 9 Basis", IF(OR(I2069="Invalid - Not Freely Given", I2069="Invalid - Not Specific", I2069="Invalid - Not Informed", I2069="Invalid - Ambiguous"), "Gap - Invalid Consent", "Compliant")))))</f>
        <v/>
      </c>
      <c r="O2069" s="7" t="n"/>
    </row>
    <row r="2070">
      <c r="A2070" s="7" t="n"/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>
        <f>IF(D2070="Legitimate Interest (GDPR Art. 6(1)(f))", "Yes / Required (Sheet 3)", "")</f>
        <v/>
      </c>
      <c r="L2070" s="7" t="n"/>
      <c r="M2070" s="7" t="n"/>
      <c r="N2070">
        <f>IF(D2070="", "Gap - No Legal Basis", IF(AND(D2070="Consent (GDPR Art. 6(1)(a))", I2070="Not Captured"), "Gap - Invalid Consent", IF(AND(D2070="Legitimate Interest (GDPR Art. 6(1)(f))", L2070=""), "Gap - Missing LIA", IF(AND(G2070="Yes", H2070=""), "Gap - Missing Art. 9 Basis", IF(OR(I2070="Invalid - Not Freely Given", I2070="Invalid - Not Specific", I2070="Invalid - Not Informed", I2070="Invalid - Ambiguous"), "Gap - Invalid Consent", "Compliant")))))</f>
        <v/>
      </c>
      <c r="O2070" s="7" t="n"/>
    </row>
    <row r="2071">
      <c r="A2071" s="7" t="n"/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>
        <f>IF(D2071="Legitimate Interest (GDPR Art. 6(1)(f))", "Yes / Required (Sheet 3)", "")</f>
        <v/>
      </c>
      <c r="L2071" s="7" t="n"/>
      <c r="M2071" s="7" t="n"/>
      <c r="N2071">
        <f>IF(D2071="", "Gap - No Legal Basis", IF(AND(D2071="Consent (GDPR Art. 6(1)(a))", I2071="Not Captured"), "Gap - Invalid Consent", IF(AND(D2071="Legitimate Interest (GDPR Art. 6(1)(f))", L2071=""), "Gap - Missing LIA", IF(AND(G2071="Yes", H2071=""), "Gap - Missing Art. 9 Basis", IF(OR(I2071="Invalid - Not Freely Given", I2071="Invalid - Not Specific", I2071="Invalid - Not Informed", I2071="Invalid - Ambiguous"), "Gap - Invalid Consent", "Compliant")))))</f>
        <v/>
      </c>
      <c r="O2071" s="7" t="n"/>
    </row>
    <row r="2072">
      <c r="A2072" s="7" t="n"/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>
        <f>IF(D2072="Legitimate Interest (GDPR Art. 6(1)(f))", "Yes / Required (Sheet 3)", "")</f>
        <v/>
      </c>
      <c r="L2072" s="7" t="n"/>
      <c r="M2072" s="7" t="n"/>
      <c r="N2072">
        <f>IF(D2072="", "Gap - No Legal Basis", IF(AND(D2072="Consent (GDPR Art. 6(1)(a))", I2072="Not Captured"), "Gap - Invalid Consent", IF(AND(D2072="Legitimate Interest (GDPR Art. 6(1)(f))", L2072=""), "Gap - Missing LIA", IF(AND(G2072="Yes", H2072=""), "Gap - Missing Art. 9 Basis", IF(OR(I2072="Invalid - Not Freely Given", I2072="Invalid - Not Specific", I2072="Invalid - Not Informed", I2072="Invalid - Ambiguous"), "Gap - Invalid Consent", "Compliant")))))</f>
        <v/>
      </c>
      <c r="O2072" s="7" t="n"/>
    </row>
    <row r="2073">
      <c r="A2073" s="7" t="n"/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>
        <f>IF(D2073="Legitimate Interest (GDPR Art. 6(1)(f))", "Yes / Required (Sheet 3)", "")</f>
        <v/>
      </c>
      <c r="L2073" s="7" t="n"/>
      <c r="M2073" s="7" t="n"/>
      <c r="N2073">
        <f>IF(D2073="", "Gap - No Legal Basis", IF(AND(D2073="Consent (GDPR Art. 6(1)(a))", I2073="Not Captured"), "Gap - Invalid Consent", IF(AND(D2073="Legitimate Interest (GDPR Art. 6(1)(f))", L2073=""), "Gap - Missing LIA", IF(AND(G2073="Yes", H2073=""), "Gap - Missing Art. 9 Basis", IF(OR(I2073="Invalid - Not Freely Given", I2073="Invalid - Not Specific", I2073="Invalid - Not Informed", I2073="Invalid - Ambiguous"), "Gap - Invalid Consent", "Compliant")))))</f>
        <v/>
      </c>
      <c r="O2073" s="7" t="n"/>
    </row>
    <row r="2074">
      <c r="A2074" s="7" t="n"/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>
        <f>IF(D2074="Legitimate Interest (GDPR Art. 6(1)(f))", "Yes / Required (Sheet 3)", "")</f>
        <v/>
      </c>
      <c r="L2074" s="7" t="n"/>
      <c r="M2074" s="7" t="n"/>
      <c r="N2074">
        <f>IF(D2074="", "Gap - No Legal Basis", IF(AND(D2074="Consent (GDPR Art. 6(1)(a))", I2074="Not Captured"), "Gap - Invalid Consent", IF(AND(D2074="Legitimate Interest (GDPR Art. 6(1)(f))", L2074=""), "Gap - Missing LIA", IF(AND(G2074="Yes", H2074=""), "Gap - Missing Art. 9 Basis", IF(OR(I2074="Invalid - Not Freely Given", I2074="Invalid - Not Specific", I2074="Invalid - Not Informed", I2074="Invalid - Ambiguous"), "Gap - Invalid Consent", "Compliant")))))</f>
        <v/>
      </c>
      <c r="O2074" s="7" t="n"/>
    </row>
    <row r="2075">
      <c r="A2075" s="7" t="n"/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>
        <f>IF(D2075="Legitimate Interest (GDPR Art. 6(1)(f))", "Yes / Required (Sheet 3)", "")</f>
        <v/>
      </c>
      <c r="L2075" s="7" t="n"/>
      <c r="M2075" s="7" t="n"/>
      <c r="N2075">
        <f>IF(D2075="", "Gap - No Legal Basis", IF(AND(D2075="Consent (GDPR Art. 6(1)(a))", I2075="Not Captured"), "Gap - Invalid Consent", IF(AND(D2075="Legitimate Interest (GDPR Art. 6(1)(f))", L2075=""), "Gap - Missing LIA", IF(AND(G2075="Yes", H2075=""), "Gap - Missing Art. 9 Basis", IF(OR(I2075="Invalid - Not Freely Given", I2075="Invalid - Not Specific", I2075="Invalid - Not Informed", I2075="Invalid - Ambiguous"), "Gap - Invalid Consent", "Compliant")))))</f>
        <v/>
      </c>
      <c r="O2075" s="7" t="n"/>
    </row>
    <row r="2076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>
        <f>IF(D2076="Legitimate Interest (GDPR Art. 6(1)(f))", "Yes / Required (Sheet 3)", "")</f>
        <v/>
      </c>
      <c r="L2076" s="7" t="n"/>
      <c r="M2076" s="7" t="n"/>
      <c r="N2076">
        <f>IF(D2076="", "Gap - No Legal Basis", IF(AND(D2076="Consent (GDPR Art. 6(1)(a))", I2076="Not Captured"), "Gap - Invalid Consent", IF(AND(D2076="Legitimate Interest (GDPR Art. 6(1)(f))", L2076=""), "Gap - Missing LIA", IF(AND(G2076="Yes", H2076=""), "Gap - Missing Art. 9 Basis", IF(OR(I2076="Invalid - Not Freely Given", I2076="Invalid - Not Specific", I2076="Invalid - Not Informed", I2076="Invalid - Ambiguous"), "Gap - Invalid Consent", "Compliant")))))</f>
        <v/>
      </c>
      <c r="O2076" s="7" t="n"/>
    </row>
    <row r="2077">
      <c r="A2077" s="7" t="n"/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>
        <f>IF(D2077="Legitimate Interest (GDPR Art. 6(1)(f))", "Yes / Required (Sheet 3)", "")</f>
        <v/>
      </c>
      <c r="L2077" s="7" t="n"/>
      <c r="M2077" s="7" t="n"/>
      <c r="N2077">
        <f>IF(D2077="", "Gap - No Legal Basis", IF(AND(D2077="Consent (GDPR Art. 6(1)(a))", I2077="Not Captured"), "Gap - Invalid Consent", IF(AND(D2077="Legitimate Interest (GDPR Art. 6(1)(f))", L2077=""), "Gap - Missing LIA", IF(AND(G2077="Yes", H2077=""), "Gap - Missing Art. 9 Basis", IF(OR(I2077="Invalid - Not Freely Given", I2077="Invalid - Not Specific", I2077="Invalid - Not Informed", I2077="Invalid - Ambiguous"), "Gap - Invalid Consent", "Compliant")))))</f>
        <v/>
      </c>
      <c r="O2077" s="7" t="n"/>
    </row>
    <row r="2078">
      <c r="A2078" s="7" t="n"/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>
        <f>IF(D2078="Legitimate Interest (GDPR Art. 6(1)(f))", "Yes / Required (Sheet 3)", "")</f>
        <v/>
      </c>
      <c r="L2078" s="7" t="n"/>
      <c r="M2078" s="7" t="n"/>
      <c r="N2078">
        <f>IF(D2078="", "Gap - No Legal Basis", IF(AND(D2078="Consent (GDPR Art. 6(1)(a))", I2078="Not Captured"), "Gap - Invalid Consent", IF(AND(D2078="Legitimate Interest (GDPR Art. 6(1)(f))", L2078=""), "Gap - Missing LIA", IF(AND(G2078="Yes", H2078=""), "Gap - Missing Art. 9 Basis", IF(OR(I2078="Invalid - Not Freely Given", I2078="Invalid - Not Specific", I2078="Invalid - Not Informed", I2078="Invalid - Ambiguous"), "Gap - Invalid Consent", "Compliant")))))</f>
        <v/>
      </c>
      <c r="O2078" s="7" t="n"/>
    </row>
    <row r="2079">
      <c r="A2079" s="7" t="n"/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>
        <f>IF(D2079="Legitimate Interest (GDPR Art. 6(1)(f))", "Yes / Required (Sheet 3)", "")</f>
        <v/>
      </c>
      <c r="L2079" s="7" t="n"/>
      <c r="M2079" s="7" t="n"/>
      <c r="N2079">
        <f>IF(D2079="", "Gap - No Legal Basis", IF(AND(D2079="Consent (GDPR Art. 6(1)(a))", I2079="Not Captured"), "Gap - Invalid Consent", IF(AND(D2079="Legitimate Interest (GDPR Art. 6(1)(f))", L2079=""), "Gap - Missing LIA", IF(AND(G2079="Yes", H2079=""), "Gap - Missing Art. 9 Basis", IF(OR(I2079="Invalid - Not Freely Given", I2079="Invalid - Not Specific", I2079="Invalid - Not Informed", I2079="Invalid - Ambiguous"), "Gap - Invalid Consent", "Compliant")))))</f>
        <v/>
      </c>
      <c r="O2079" s="7" t="n"/>
    </row>
    <row r="2080">
      <c r="A2080" s="7" t="n"/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>
        <f>IF(D2080="Legitimate Interest (GDPR Art. 6(1)(f))", "Yes / Required (Sheet 3)", "")</f>
        <v/>
      </c>
      <c r="L2080" s="7" t="n"/>
      <c r="M2080" s="7" t="n"/>
      <c r="N2080">
        <f>IF(D2080="", "Gap - No Legal Basis", IF(AND(D2080="Consent (GDPR Art. 6(1)(a))", I2080="Not Captured"), "Gap - Invalid Consent", IF(AND(D2080="Legitimate Interest (GDPR Art. 6(1)(f))", L2080=""), "Gap - Missing LIA", IF(AND(G2080="Yes", H2080=""), "Gap - Missing Art. 9 Basis", IF(OR(I2080="Invalid - Not Freely Given", I2080="Invalid - Not Specific", I2080="Invalid - Not Informed", I2080="Invalid - Ambiguous"), "Gap - Invalid Consent", "Compliant")))))</f>
        <v/>
      </c>
      <c r="O2080" s="7" t="n"/>
    </row>
    <row r="2081">
      <c r="A2081" s="7" t="n"/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>
        <f>IF(D2081="Legitimate Interest (GDPR Art. 6(1)(f))", "Yes / Required (Sheet 3)", "")</f>
        <v/>
      </c>
      <c r="L2081" s="7" t="n"/>
      <c r="M2081" s="7" t="n"/>
      <c r="N2081">
        <f>IF(D2081="", "Gap - No Legal Basis", IF(AND(D2081="Consent (GDPR Art. 6(1)(a))", I2081="Not Captured"), "Gap - Invalid Consent", IF(AND(D2081="Legitimate Interest (GDPR Art. 6(1)(f))", L2081=""), "Gap - Missing LIA", IF(AND(G2081="Yes", H2081=""), "Gap - Missing Art. 9 Basis", IF(OR(I2081="Invalid - Not Freely Given", I2081="Invalid - Not Specific", I2081="Invalid - Not Informed", I2081="Invalid - Ambiguous"), "Gap - Invalid Consent", "Compliant")))))</f>
        <v/>
      </c>
      <c r="O2081" s="7" t="n"/>
    </row>
    <row r="2082">
      <c r="A2082" s="7" t="n"/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>
        <f>IF(D2082="Legitimate Interest (GDPR Art. 6(1)(f))", "Yes / Required (Sheet 3)", "")</f>
        <v/>
      </c>
      <c r="L2082" s="7" t="n"/>
      <c r="M2082" s="7" t="n"/>
      <c r="N2082">
        <f>IF(D2082="", "Gap - No Legal Basis", IF(AND(D2082="Consent (GDPR Art. 6(1)(a))", I2082="Not Captured"), "Gap - Invalid Consent", IF(AND(D2082="Legitimate Interest (GDPR Art. 6(1)(f))", L2082=""), "Gap - Missing LIA", IF(AND(G2082="Yes", H2082=""), "Gap - Missing Art. 9 Basis", IF(OR(I2082="Invalid - Not Freely Given", I2082="Invalid - Not Specific", I2082="Invalid - Not Informed", I2082="Invalid - Ambiguous"), "Gap - Invalid Consent", "Compliant")))))</f>
        <v/>
      </c>
      <c r="O2082" s="7" t="n"/>
    </row>
    <row r="2083">
      <c r="A2083" s="7" t="n"/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>
        <f>IF(D2083="Legitimate Interest (GDPR Art. 6(1)(f))", "Yes / Required (Sheet 3)", "")</f>
        <v/>
      </c>
      <c r="L2083" s="7" t="n"/>
      <c r="M2083" s="7" t="n"/>
      <c r="N2083">
        <f>IF(D2083="", "Gap - No Legal Basis", IF(AND(D2083="Consent (GDPR Art. 6(1)(a))", I2083="Not Captured"), "Gap - Invalid Consent", IF(AND(D2083="Legitimate Interest (GDPR Art. 6(1)(f))", L2083=""), "Gap - Missing LIA", IF(AND(G2083="Yes", H2083=""), "Gap - Missing Art. 9 Basis", IF(OR(I2083="Invalid - Not Freely Given", I2083="Invalid - Not Specific", I2083="Invalid - Not Informed", I2083="Invalid - Ambiguous"), "Gap - Invalid Consent", "Compliant")))))</f>
        <v/>
      </c>
      <c r="O2083" s="7" t="n"/>
    </row>
    <row r="2084">
      <c r="A2084" s="7" t="n"/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>
        <f>IF(D2084="Legitimate Interest (GDPR Art. 6(1)(f))", "Yes / Required (Sheet 3)", "")</f>
        <v/>
      </c>
      <c r="L2084" s="7" t="n"/>
      <c r="M2084" s="7" t="n"/>
      <c r="N2084">
        <f>IF(D2084="", "Gap - No Legal Basis", IF(AND(D2084="Consent (GDPR Art. 6(1)(a))", I2084="Not Captured"), "Gap - Invalid Consent", IF(AND(D2084="Legitimate Interest (GDPR Art. 6(1)(f))", L2084=""), "Gap - Missing LIA", IF(AND(G2084="Yes", H2084=""), "Gap - Missing Art. 9 Basis", IF(OR(I2084="Invalid - Not Freely Given", I2084="Invalid - Not Specific", I2084="Invalid - Not Informed", I2084="Invalid - Ambiguous"), "Gap - Invalid Consent", "Compliant")))))</f>
        <v/>
      </c>
      <c r="O2084" s="7" t="n"/>
    </row>
    <row r="2085">
      <c r="A2085" s="7" t="n"/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>
        <f>IF(D2085="Legitimate Interest (GDPR Art. 6(1)(f))", "Yes / Required (Sheet 3)", "")</f>
        <v/>
      </c>
      <c r="L2085" s="7" t="n"/>
      <c r="M2085" s="7" t="n"/>
      <c r="N2085">
        <f>IF(D2085="", "Gap - No Legal Basis", IF(AND(D2085="Consent (GDPR Art. 6(1)(a))", I2085="Not Captured"), "Gap - Invalid Consent", IF(AND(D2085="Legitimate Interest (GDPR Art. 6(1)(f))", L2085=""), "Gap - Missing LIA", IF(AND(G2085="Yes", H2085=""), "Gap - Missing Art. 9 Basis", IF(OR(I2085="Invalid - Not Freely Given", I2085="Invalid - Not Specific", I2085="Invalid - Not Informed", I2085="Invalid - Ambiguous"), "Gap - Invalid Consent", "Compliant")))))</f>
        <v/>
      </c>
      <c r="O2085" s="7" t="n"/>
    </row>
    <row r="2086">
      <c r="A2086" s="7" t="n"/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>
        <f>IF(D2086="Legitimate Interest (GDPR Art. 6(1)(f))", "Yes / Required (Sheet 3)", "")</f>
        <v/>
      </c>
      <c r="L2086" s="7" t="n"/>
      <c r="M2086" s="7" t="n"/>
      <c r="N2086">
        <f>IF(D2086="", "Gap - No Legal Basis", IF(AND(D2086="Consent (GDPR Art. 6(1)(a))", I2086="Not Captured"), "Gap - Invalid Consent", IF(AND(D2086="Legitimate Interest (GDPR Art. 6(1)(f))", L2086=""), "Gap - Missing LIA", IF(AND(G2086="Yes", H2086=""), "Gap - Missing Art. 9 Basis", IF(OR(I2086="Invalid - Not Freely Given", I2086="Invalid - Not Specific", I2086="Invalid - Not Informed", I2086="Invalid - Ambiguous"), "Gap - Invalid Consent", "Compliant")))))</f>
        <v/>
      </c>
      <c r="O2086" s="7" t="n"/>
    </row>
    <row r="2087">
      <c r="A2087" s="7" t="n"/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>
        <f>IF(D2087="Legitimate Interest (GDPR Art. 6(1)(f))", "Yes / Required (Sheet 3)", "")</f>
        <v/>
      </c>
      <c r="L2087" s="7" t="n"/>
      <c r="M2087" s="7" t="n"/>
      <c r="N2087">
        <f>IF(D2087="", "Gap - No Legal Basis", IF(AND(D2087="Consent (GDPR Art. 6(1)(a))", I2087="Not Captured"), "Gap - Invalid Consent", IF(AND(D2087="Legitimate Interest (GDPR Art. 6(1)(f))", L2087=""), "Gap - Missing LIA", IF(AND(G2087="Yes", H2087=""), "Gap - Missing Art. 9 Basis", IF(OR(I2087="Invalid - Not Freely Given", I2087="Invalid - Not Specific", I2087="Invalid - Not Informed", I2087="Invalid - Ambiguous"), "Gap - Invalid Consent", "Compliant")))))</f>
        <v/>
      </c>
      <c r="O2087" s="7" t="n"/>
    </row>
    <row r="2088">
      <c r="A2088" s="7" t="n"/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>
        <f>IF(D2088="Legitimate Interest (GDPR Art. 6(1)(f))", "Yes / Required (Sheet 3)", "")</f>
        <v/>
      </c>
      <c r="L2088" s="7" t="n"/>
      <c r="M2088" s="7" t="n"/>
      <c r="N2088">
        <f>IF(D2088="", "Gap - No Legal Basis", IF(AND(D2088="Consent (GDPR Art. 6(1)(a))", I2088="Not Captured"), "Gap - Invalid Consent", IF(AND(D2088="Legitimate Interest (GDPR Art. 6(1)(f))", L2088=""), "Gap - Missing LIA", IF(AND(G2088="Yes", H2088=""), "Gap - Missing Art. 9 Basis", IF(OR(I2088="Invalid - Not Freely Given", I2088="Invalid - Not Specific", I2088="Invalid - Not Informed", I2088="Invalid - Ambiguous"), "Gap - Invalid Consent", "Compliant")))))</f>
        <v/>
      </c>
      <c r="O2088" s="7" t="n"/>
    </row>
    <row r="2089">
      <c r="A2089" s="7" t="n"/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>
        <f>IF(D2089="Legitimate Interest (GDPR Art. 6(1)(f))", "Yes / Required (Sheet 3)", "")</f>
        <v/>
      </c>
      <c r="L2089" s="7" t="n"/>
      <c r="M2089" s="7" t="n"/>
      <c r="N2089">
        <f>IF(D2089="", "Gap - No Legal Basis", IF(AND(D2089="Consent (GDPR Art. 6(1)(a))", I2089="Not Captured"), "Gap - Invalid Consent", IF(AND(D2089="Legitimate Interest (GDPR Art. 6(1)(f))", L2089=""), "Gap - Missing LIA", IF(AND(G2089="Yes", H2089=""), "Gap - Missing Art. 9 Basis", IF(OR(I2089="Invalid - Not Freely Given", I2089="Invalid - Not Specific", I2089="Invalid - Not Informed", I2089="Invalid - Ambiguous"), "Gap - Invalid Consent", "Compliant")))))</f>
        <v/>
      </c>
      <c r="O2089" s="7" t="n"/>
    </row>
    <row r="2090">
      <c r="A2090" s="7" t="n"/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>
        <f>IF(D2090="Legitimate Interest (GDPR Art. 6(1)(f))", "Yes / Required (Sheet 3)", "")</f>
        <v/>
      </c>
      <c r="L2090" s="7" t="n"/>
      <c r="M2090" s="7" t="n"/>
      <c r="N2090">
        <f>IF(D2090="", "Gap - No Legal Basis", IF(AND(D2090="Consent (GDPR Art. 6(1)(a))", I2090="Not Captured"), "Gap - Invalid Consent", IF(AND(D2090="Legitimate Interest (GDPR Art. 6(1)(f))", L2090=""), "Gap - Missing LIA", IF(AND(G2090="Yes", H2090=""), "Gap - Missing Art. 9 Basis", IF(OR(I2090="Invalid - Not Freely Given", I2090="Invalid - Not Specific", I2090="Invalid - Not Informed", I2090="Invalid - Ambiguous"), "Gap - Invalid Consent", "Compliant")))))</f>
        <v/>
      </c>
      <c r="O2090" s="7" t="n"/>
    </row>
    <row r="2091">
      <c r="A2091" s="7" t="n"/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>
        <f>IF(D2091="Legitimate Interest (GDPR Art. 6(1)(f))", "Yes / Required (Sheet 3)", "")</f>
        <v/>
      </c>
      <c r="L2091" s="7" t="n"/>
      <c r="M2091" s="7" t="n"/>
      <c r="N2091">
        <f>IF(D2091="", "Gap - No Legal Basis", IF(AND(D2091="Consent (GDPR Art. 6(1)(a))", I2091="Not Captured"), "Gap - Invalid Consent", IF(AND(D2091="Legitimate Interest (GDPR Art. 6(1)(f))", L2091=""), "Gap - Missing LIA", IF(AND(G2091="Yes", H2091=""), "Gap - Missing Art. 9 Basis", IF(OR(I2091="Invalid - Not Freely Given", I2091="Invalid - Not Specific", I2091="Invalid - Not Informed", I2091="Invalid - Ambiguous"), "Gap - Invalid Consent", "Compliant")))))</f>
        <v/>
      </c>
      <c r="O2091" s="7" t="n"/>
    </row>
    <row r="2092">
      <c r="A2092" s="7" t="n"/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>
        <f>IF(D2092="Legitimate Interest (GDPR Art. 6(1)(f))", "Yes / Required (Sheet 3)", "")</f>
        <v/>
      </c>
      <c r="L2092" s="7" t="n"/>
      <c r="M2092" s="7" t="n"/>
      <c r="N2092">
        <f>IF(D2092="", "Gap - No Legal Basis", IF(AND(D2092="Consent (GDPR Art. 6(1)(a))", I2092="Not Captured"), "Gap - Invalid Consent", IF(AND(D2092="Legitimate Interest (GDPR Art. 6(1)(f))", L2092=""), "Gap - Missing LIA", IF(AND(G2092="Yes", H2092=""), "Gap - Missing Art. 9 Basis", IF(OR(I2092="Invalid - Not Freely Given", I2092="Invalid - Not Specific", I2092="Invalid - Not Informed", I2092="Invalid - Ambiguous"), "Gap - Invalid Consent", "Compliant")))))</f>
        <v/>
      </c>
      <c r="O2092" s="7" t="n"/>
    </row>
    <row r="2093">
      <c r="A2093" s="7" t="n"/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>
        <f>IF(D2093="Legitimate Interest (GDPR Art. 6(1)(f))", "Yes / Required (Sheet 3)", "")</f>
        <v/>
      </c>
      <c r="L2093" s="7" t="n"/>
      <c r="M2093" s="7" t="n"/>
      <c r="N2093">
        <f>IF(D2093="", "Gap - No Legal Basis", IF(AND(D2093="Consent (GDPR Art. 6(1)(a))", I2093="Not Captured"), "Gap - Invalid Consent", IF(AND(D2093="Legitimate Interest (GDPR Art. 6(1)(f))", L2093=""), "Gap - Missing LIA", IF(AND(G2093="Yes", H2093=""), "Gap - Missing Art. 9 Basis", IF(OR(I2093="Invalid - Not Freely Given", I2093="Invalid - Not Specific", I2093="Invalid - Not Informed", I2093="Invalid - Ambiguous"), "Gap - Invalid Consent", "Compliant")))))</f>
        <v/>
      </c>
      <c r="O2093" s="7" t="n"/>
    </row>
    <row r="2094">
      <c r="A2094" s="7" t="n"/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>
        <f>IF(D2094="Legitimate Interest (GDPR Art. 6(1)(f))", "Yes / Required (Sheet 3)", "")</f>
        <v/>
      </c>
      <c r="L2094" s="7" t="n"/>
      <c r="M2094" s="7" t="n"/>
      <c r="N2094">
        <f>IF(D2094="", "Gap - No Legal Basis", IF(AND(D2094="Consent (GDPR Art. 6(1)(a))", I2094="Not Captured"), "Gap - Invalid Consent", IF(AND(D2094="Legitimate Interest (GDPR Art. 6(1)(f))", L2094=""), "Gap - Missing LIA", IF(AND(G2094="Yes", H2094=""), "Gap - Missing Art. 9 Basis", IF(OR(I2094="Invalid - Not Freely Given", I2094="Invalid - Not Specific", I2094="Invalid - Not Informed", I2094="Invalid - Ambiguous"), "Gap - Invalid Consent", "Compliant")))))</f>
        <v/>
      </c>
      <c r="O2094" s="7" t="n"/>
    </row>
    <row r="2095">
      <c r="A2095" s="7" t="n"/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>
        <f>IF(D2095="Legitimate Interest (GDPR Art. 6(1)(f))", "Yes / Required (Sheet 3)", "")</f>
        <v/>
      </c>
      <c r="L2095" s="7" t="n"/>
      <c r="M2095" s="7" t="n"/>
      <c r="N2095">
        <f>IF(D2095="", "Gap - No Legal Basis", IF(AND(D2095="Consent (GDPR Art. 6(1)(a))", I2095="Not Captured"), "Gap - Invalid Consent", IF(AND(D2095="Legitimate Interest (GDPR Art. 6(1)(f))", L2095=""), "Gap - Missing LIA", IF(AND(G2095="Yes", H2095=""), "Gap - Missing Art. 9 Basis", IF(OR(I2095="Invalid - Not Freely Given", I2095="Invalid - Not Specific", I2095="Invalid - Not Informed", I2095="Invalid - Ambiguous"), "Gap - Invalid Consent", "Compliant")))))</f>
        <v/>
      </c>
      <c r="O2095" s="7" t="n"/>
    </row>
    <row r="2096">
      <c r="A2096" s="7" t="n"/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>
        <f>IF(D2096="Legitimate Interest (GDPR Art. 6(1)(f))", "Yes / Required (Sheet 3)", "")</f>
        <v/>
      </c>
      <c r="L2096" s="7" t="n"/>
      <c r="M2096" s="7" t="n"/>
      <c r="N2096">
        <f>IF(D2096="", "Gap - No Legal Basis", IF(AND(D2096="Consent (GDPR Art. 6(1)(a))", I2096="Not Captured"), "Gap - Invalid Consent", IF(AND(D2096="Legitimate Interest (GDPR Art. 6(1)(f))", L2096=""), "Gap - Missing LIA", IF(AND(G2096="Yes", H2096=""), "Gap - Missing Art. 9 Basis", IF(OR(I2096="Invalid - Not Freely Given", I2096="Invalid - Not Specific", I2096="Invalid - Not Informed", I2096="Invalid - Ambiguous"), "Gap - Invalid Consent", "Compliant")))))</f>
        <v/>
      </c>
      <c r="O2096" s="7" t="n"/>
    </row>
    <row r="2097">
      <c r="A2097" s="7" t="n"/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>
        <f>IF(D2097="Legitimate Interest (GDPR Art. 6(1)(f))", "Yes / Required (Sheet 3)", "")</f>
        <v/>
      </c>
      <c r="L2097" s="7" t="n"/>
      <c r="M2097" s="7" t="n"/>
      <c r="N2097">
        <f>IF(D2097="", "Gap - No Legal Basis", IF(AND(D2097="Consent (GDPR Art. 6(1)(a))", I2097="Not Captured"), "Gap - Invalid Consent", IF(AND(D2097="Legitimate Interest (GDPR Art. 6(1)(f))", L2097=""), "Gap - Missing LIA", IF(AND(G2097="Yes", H2097=""), "Gap - Missing Art. 9 Basis", IF(OR(I2097="Invalid - Not Freely Given", I2097="Invalid - Not Specific", I2097="Invalid - Not Informed", I2097="Invalid - Ambiguous"), "Gap - Invalid Consent", "Compliant")))))</f>
        <v/>
      </c>
      <c r="O2097" s="7" t="n"/>
    </row>
    <row r="2098">
      <c r="A2098" s="7" t="n"/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>
        <f>IF(D2098="Legitimate Interest (GDPR Art. 6(1)(f))", "Yes / Required (Sheet 3)", "")</f>
        <v/>
      </c>
      <c r="L2098" s="7" t="n"/>
      <c r="M2098" s="7" t="n"/>
      <c r="N2098">
        <f>IF(D2098="", "Gap - No Legal Basis", IF(AND(D2098="Consent (GDPR Art. 6(1)(a))", I2098="Not Captured"), "Gap - Invalid Consent", IF(AND(D2098="Legitimate Interest (GDPR Art. 6(1)(f))", L2098=""), "Gap - Missing LIA", IF(AND(G2098="Yes", H2098=""), "Gap - Missing Art. 9 Basis", IF(OR(I2098="Invalid - Not Freely Given", I2098="Invalid - Not Specific", I2098="Invalid - Not Informed", I2098="Invalid - Ambiguous"), "Gap - Invalid Consent", "Compliant")))))</f>
        <v/>
      </c>
      <c r="O2098" s="7" t="n"/>
    </row>
    <row r="2099">
      <c r="A2099" s="7" t="n"/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>
        <f>IF(D2099="Legitimate Interest (GDPR Art. 6(1)(f))", "Yes / Required (Sheet 3)", "")</f>
        <v/>
      </c>
      <c r="L2099" s="7" t="n"/>
      <c r="M2099" s="7" t="n"/>
      <c r="N2099">
        <f>IF(D2099="", "Gap - No Legal Basis", IF(AND(D2099="Consent (GDPR Art. 6(1)(a))", I2099="Not Captured"), "Gap - Invalid Consent", IF(AND(D2099="Legitimate Interest (GDPR Art. 6(1)(f))", L2099=""), "Gap - Missing LIA", IF(AND(G2099="Yes", H2099=""), "Gap - Missing Art. 9 Basis", IF(OR(I2099="Invalid - Not Freely Given", I2099="Invalid - Not Specific", I2099="Invalid - Not Informed", I2099="Invalid - Ambiguous"), "Gap - Invalid Consent", "Compliant")))))</f>
        <v/>
      </c>
      <c r="O2099" s="7" t="n"/>
    </row>
    <row r="2100">
      <c r="A2100" s="7" t="n"/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>
        <f>IF(D2100="Legitimate Interest (GDPR Art. 6(1)(f))", "Yes / Required (Sheet 3)", "")</f>
        <v/>
      </c>
      <c r="L2100" s="7" t="n"/>
      <c r="M2100" s="7" t="n"/>
      <c r="N2100">
        <f>IF(D2100="", "Gap - No Legal Basis", IF(AND(D2100="Consent (GDPR Art. 6(1)(a))", I2100="Not Captured"), "Gap - Invalid Consent", IF(AND(D2100="Legitimate Interest (GDPR Art. 6(1)(f))", L2100=""), "Gap - Missing LIA", IF(AND(G2100="Yes", H2100=""), "Gap - Missing Art. 9 Basis", IF(OR(I2100="Invalid - Not Freely Given", I2100="Invalid - Not Specific", I2100="Invalid - Not Informed", I2100="Invalid - Ambiguous"), "Gap - Invalid Consent", "Compliant")))))</f>
        <v/>
      </c>
      <c r="O2100" s="7" t="n"/>
    </row>
    <row r="2101">
      <c r="A2101" s="7" t="n"/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>
        <f>IF(D2101="Legitimate Interest (GDPR Art. 6(1)(f))", "Yes / Required (Sheet 3)", "")</f>
        <v/>
      </c>
      <c r="L2101" s="7" t="n"/>
      <c r="M2101" s="7" t="n"/>
      <c r="N2101">
        <f>IF(D2101="", "Gap - No Legal Basis", IF(AND(D2101="Consent (GDPR Art. 6(1)(a))", I2101="Not Captured"), "Gap - Invalid Consent", IF(AND(D2101="Legitimate Interest (GDPR Art. 6(1)(f))", L2101=""), "Gap - Missing LIA", IF(AND(G2101="Yes", H2101=""), "Gap - Missing Art. 9 Basis", IF(OR(I2101="Invalid - Not Freely Given", I2101="Invalid - Not Specific", I2101="Invalid - Not Informed", I2101="Invalid - Ambiguous"), "Gap - Invalid Consent", "Compliant")))))</f>
        <v/>
      </c>
      <c r="O2101" s="7" t="n"/>
    </row>
    <row r="2102">
      <c r="A2102" s="7" t="n"/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>
        <f>IF(D2102="Legitimate Interest (GDPR Art. 6(1)(f))", "Yes / Required (Sheet 3)", "")</f>
        <v/>
      </c>
      <c r="L2102" s="7" t="n"/>
      <c r="M2102" s="7" t="n"/>
      <c r="N2102">
        <f>IF(D2102="", "Gap - No Legal Basis", IF(AND(D2102="Consent (GDPR Art. 6(1)(a))", I2102="Not Captured"), "Gap - Invalid Consent", IF(AND(D2102="Legitimate Interest (GDPR Art. 6(1)(f))", L2102=""), "Gap - Missing LIA", IF(AND(G2102="Yes", H2102=""), "Gap - Missing Art. 9 Basis", IF(OR(I2102="Invalid - Not Freely Given", I2102="Invalid - Not Specific", I2102="Invalid - Not Informed", I2102="Invalid - Ambiguous"), "Gap - Invalid Consent", "Compliant")))))</f>
        <v/>
      </c>
      <c r="O2102" s="7" t="n"/>
    </row>
    <row r="2103">
      <c r="A2103" s="7" t="n"/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>
        <f>IF(D2103="Legitimate Interest (GDPR Art. 6(1)(f))", "Yes / Required (Sheet 3)", "")</f>
        <v/>
      </c>
      <c r="L2103" s="7" t="n"/>
      <c r="M2103" s="7" t="n"/>
      <c r="N2103">
        <f>IF(D2103="", "Gap - No Legal Basis", IF(AND(D2103="Consent (GDPR Art. 6(1)(a))", I2103="Not Captured"), "Gap - Invalid Consent", IF(AND(D2103="Legitimate Interest (GDPR Art. 6(1)(f))", L2103=""), "Gap - Missing LIA", IF(AND(G2103="Yes", H2103=""), "Gap - Missing Art. 9 Basis", IF(OR(I2103="Invalid - Not Freely Given", I2103="Invalid - Not Specific", I2103="Invalid - Not Informed", I2103="Invalid - Ambiguous"), "Gap - Invalid Consent", "Compliant")))))</f>
        <v/>
      </c>
      <c r="O2103" s="7" t="n"/>
    </row>
    <row r="2104">
      <c r="A2104" s="7" t="n"/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>
        <f>IF(D2104="Legitimate Interest (GDPR Art. 6(1)(f))", "Yes / Required (Sheet 3)", "")</f>
        <v/>
      </c>
      <c r="L2104" s="7" t="n"/>
      <c r="M2104" s="7" t="n"/>
      <c r="N2104">
        <f>IF(D2104="", "Gap - No Legal Basis", IF(AND(D2104="Consent (GDPR Art. 6(1)(a))", I2104="Not Captured"), "Gap - Invalid Consent", IF(AND(D2104="Legitimate Interest (GDPR Art. 6(1)(f))", L2104=""), "Gap - Missing LIA", IF(AND(G2104="Yes", H2104=""), "Gap - Missing Art. 9 Basis", IF(OR(I2104="Invalid - Not Freely Given", I2104="Invalid - Not Specific", I2104="Invalid - Not Informed", I2104="Invalid - Ambiguous"), "Gap - Invalid Consent", "Compliant")))))</f>
        <v/>
      </c>
      <c r="O2104" s="7" t="n"/>
    </row>
    <row r="2105">
      <c r="A2105" s="7" t="n"/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>
        <f>IF(D2105="Legitimate Interest (GDPR Art. 6(1)(f))", "Yes / Required (Sheet 3)", "")</f>
        <v/>
      </c>
      <c r="L2105" s="7" t="n"/>
      <c r="M2105" s="7" t="n"/>
      <c r="N2105">
        <f>IF(D2105="", "Gap - No Legal Basis", IF(AND(D2105="Consent (GDPR Art. 6(1)(a))", I2105="Not Captured"), "Gap - Invalid Consent", IF(AND(D2105="Legitimate Interest (GDPR Art. 6(1)(f))", L2105=""), "Gap - Missing LIA", IF(AND(G2105="Yes", H2105=""), "Gap - Missing Art. 9 Basis", IF(OR(I2105="Invalid - Not Freely Given", I2105="Invalid - Not Specific", I2105="Invalid - Not Informed", I2105="Invalid - Ambiguous"), "Gap - Invalid Consent", "Compliant")))))</f>
        <v/>
      </c>
      <c r="O2105" s="7" t="n"/>
    </row>
    <row r="2106">
      <c r="A2106" s="7" t="n"/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>
        <f>IF(D2106="Legitimate Interest (GDPR Art. 6(1)(f))", "Yes / Required (Sheet 3)", "")</f>
        <v/>
      </c>
      <c r="L2106" s="7" t="n"/>
      <c r="M2106" s="7" t="n"/>
      <c r="N2106">
        <f>IF(D2106="", "Gap - No Legal Basis", IF(AND(D2106="Consent (GDPR Art. 6(1)(a))", I2106="Not Captured"), "Gap - Invalid Consent", IF(AND(D2106="Legitimate Interest (GDPR Art. 6(1)(f))", L2106=""), "Gap - Missing LIA", IF(AND(G2106="Yes", H2106=""), "Gap - Missing Art. 9 Basis", IF(OR(I2106="Invalid - Not Freely Given", I2106="Invalid - Not Specific", I2106="Invalid - Not Informed", I2106="Invalid - Ambiguous"), "Gap - Invalid Consent", "Compliant")))))</f>
        <v/>
      </c>
      <c r="O2106" s="7" t="n"/>
    </row>
    <row r="2107">
      <c r="A2107" s="7" t="n"/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>
        <f>IF(D2107="Legitimate Interest (GDPR Art. 6(1)(f))", "Yes / Required (Sheet 3)", "")</f>
        <v/>
      </c>
      <c r="L2107" s="7" t="n"/>
      <c r="M2107" s="7" t="n"/>
      <c r="N2107">
        <f>IF(D2107="", "Gap - No Legal Basis", IF(AND(D2107="Consent (GDPR Art. 6(1)(a))", I2107="Not Captured"), "Gap - Invalid Consent", IF(AND(D2107="Legitimate Interest (GDPR Art. 6(1)(f))", L2107=""), "Gap - Missing LIA", IF(AND(G2107="Yes", H2107=""), "Gap - Missing Art. 9 Basis", IF(OR(I2107="Invalid - Not Freely Given", I2107="Invalid - Not Specific", I2107="Invalid - Not Informed", I2107="Invalid - Ambiguous"), "Gap - Invalid Consent", "Compliant")))))</f>
        <v/>
      </c>
      <c r="O2107" s="7" t="n"/>
    </row>
    <row r="2108">
      <c r="A2108" s="7" t="n"/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>
        <f>IF(D2108="Legitimate Interest (GDPR Art. 6(1)(f))", "Yes / Required (Sheet 3)", "")</f>
        <v/>
      </c>
      <c r="L2108" s="7" t="n"/>
      <c r="M2108" s="7" t="n"/>
      <c r="N2108">
        <f>IF(D2108="", "Gap - No Legal Basis", IF(AND(D2108="Consent (GDPR Art. 6(1)(a))", I2108="Not Captured"), "Gap - Invalid Consent", IF(AND(D2108="Legitimate Interest (GDPR Art. 6(1)(f))", L2108=""), "Gap - Missing LIA", IF(AND(G2108="Yes", H2108=""), "Gap - Missing Art. 9 Basis", IF(OR(I2108="Invalid - Not Freely Given", I2108="Invalid - Not Specific", I2108="Invalid - Not Informed", I2108="Invalid - Ambiguous"), "Gap - Invalid Consent", "Compliant")))))</f>
        <v/>
      </c>
      <c r="O2108" s="7" t="n"/>
    </row>
    <row r="2109">
      <c r="A2109" s="7" t="n"/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>
        <f>IF(D2109="Legitimate Interest (GDPR Art. 6(1)(f))", "Yes / Required (Sheet 3)", "")</f>
        <v/>
      </c>
      <c r="L2109" s="7" t="n"/>
      <c r="M2109" s="7" t="n"/>
      <c r="N2109">
        <f>IF(D2109="", "Gap - No Legal Basis", IF(AND(D2109="Consent (GDPR Art. 6(1)(a))", I2109="Not Captured"), "Gap - Invalid Consent", IF(AND(D2109="Legitimate Interest (GDPR Art. 6(1)(f))", L2109=""), "Gap - Missing LIA", IF(AND(G2109="Yes", H2109=""), "Gap - Missing Art. 9 Basis", IF(OR(I2109="Invalid - Not Freely Given", I2109="Invalid - Not Specific", I2109="Invalid - Not Informed", I2109="Invalid - Ambiguous"), "Gap - Invalid Consent", "Compliant")))))</f>
        <v/>
      </c>
      <c r="O2109" s="7" t="n"/>
    </row>
    <row r="2110">
      <c r="A2110" s="7" t="n"/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>
        <f>IF(D2110="Legitimate Interest (GDPR Art. 6(1)(f))", "Yes / Required (Sheet 3)", "")</f>
        <v/>
      </c>
      <c r="L2110" s="7" t="n"/>
      <c r="M2110" s="7" t="n"/>
      <c r="N2110">
        <f>IF(D2110="", "Gap - No Legal Basis", IF(AND(D2110="Consent (GDPR Art. 6(1)(a))", I2110="Not Captured"), "Gap - Invalid Consent", IF(AND(D2110="Legitimate Interest (GDPR Art. 6(1)(f))", L2110=""), "Gap - Missing LIA", IF(AND(G2110="Yes", H2110=""), "Gap - Missing Art. 9 Basis", IF(OR(I2110="Invalid - Not Freely Given", I2110="Invalid - Not Specific", I2110="Invalid - Not Informed", I2110="Invalid - Ambiguous"), "Gap - Invalid Consent", "Compliant")))))</f>
        <v/>
      </c>
      <c r="O2110" s="7" t="n"/>
    </row>
    <row r="2111">
      <c r="A2111" s="7" t="n"/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>
        <f>IF(D2111="Legitimate Interest (GDPR Art. 6(1)(f))", "Yes / Required (Sheet 3)", "")</f>
        <v/>
      </c>
      <c r="L2111" s="7" t="n"/>
      <c r="M2111" s="7" t="n"/>
      <c r="N2111">
        <f>IF(D2111="", "Gap - No Legal Basis", IF(AND(D2111="Consent (GDPR Art. 6(1)(a))", I2111="Not Captured"), "Gap - Invalid Consent", IF(AND(D2111="Legitimate Interest (GDPR Art. 6(1)(f))", L2111=""), "Gap - Missing LIA", IF(AND(G2111="Yes", H2111=""), "Gap - Missing Art. 9 Basis", IF(OR(I2111="Invalid - Not Freely Given", I2111="Invalid - Not Specific", I2111="Invalid - Not Informed", I2111="Invalid - Ambiguous"), "Gap - Invalid Consent", "Compliant")))))</f>
        <v/>
      </c>
      <c r="O2111" s="7" t="n"/>
    </row>
    <row r="2112">
      <c r="A2112" s="7" t="n"/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>
        <f>IF(D2112="Legitimate Interest (GDPR Art. 6(1)(f))", "Yes / Required (Sheet 3)", "")</f>
        <v/>
      </c>
      <c r="L2112" s="7" t="n"/>
      <c r="M2112" s="7" t="n"/>
      <c r="N2112">
        <f>IF(D2112="", "Gap - No Legal Basis", IF(AND(D2112="Consent (GDPR Art. 6(1)(a))", I2112="Not Captured"), "Gap - Invalid Consent", IF(AND(D2112="Legitimate Interest (GDPR Art. 6(1)(f))", L2112=""), "Gap - Missing LIA", IF(AND(G2112="Yes", H2112=""), "Gap - Missing Art. 9 Basis", IF(OR(I2112="Invalid - Not Freely Given", I2112="Invalid - Not Specific", I2112="Invalid - Not Informed", I2112="Invalid - Ambiguous"), "Gap - Invalid Consent", "Compliant")))))</f>
        <v/>
      </c>
      <c r="O2112" s="7" t="n"/>
    </row>
    <row r="2113">
      <c r="A2113" s="7" t="n"/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>
        <f>IF(D2113="Legitimate Interest (GDPR Art. 6(1)(f))", "Yes / Required (Sheet 3)", "")</f>
        <v/>
      </c>
      <c r="L2113" s="7" t="n"/>
      <c r="M2113" s="7" t="n"/>
      <c r="N2113">
        <f>IF(D2113="", "Gap - No Legal Basis", IF(AND(D2113="Consent (GDPR Art. 6(1)(a))", I2113="Not Captured"), "Gap - Invalid Consent", IF(AND(D2113="Legitimate Interest (GDPR Art. 6(1)(f))", L2113=""), "Gap - Missing LIA", IF(AND(G2113="Yes", H2113=""), "Gap - Missing Art. 9 Basis", IF(OR(I2113="Invalid - Not Freely Given", I2113="Invalid - Not Specific", I2113="Invalid - Not Informed", I2113="Invalid - Ambiguous"), "Gap - Invalid Consent", "Compliant")))))</f>
        <v/>
      </c>
      <c r="O2113" s="7" t="n"/>
    </row>
    <row r="2114">
      <c r="A2114" s="7" t="n"/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>
        <f>IF(D2114="Legitimate Interest (GDPR Art. 6(1)(f))", "Yes / Required (Sheet 3)", "")</f>
        <v/>
      </c>
      <c r="L2114" s="7" t="n"/>
      <c r="M2114" s="7" t="n"/>
      <c r="N2114">
        <f>IF(D2114="", "Gap - No Legal Basis", IF(AND(D2114="Consent (GDPR Art. 6(1)(a))", I2114="Not Captured"), "Gap - Invalid Consent", IF(AND(D2114="Legitimate Interest (GDPR Art. 6(1)(f))", L2114=""), "Gap - Missing LIA", IF(AND(G2114="Yes", H2114=""), "Gap - Missing Art. 9 Basis", IF(OR(I2114="Invalid - Not Freely Given", I2114="Invalid - Not Specific", I2114="Invalid - Not Informed", I2114="Invalid - Ambiguous"), "Gap - Invalid Consent", "Compliant")))))</f>
        <v/>
      </c>
      <c r="O2114" s="7" t="n"/>
    </row>
    <row r="2115">
      <c r="A2115" s="7" t="n"/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>
        <f>IF(D2115="Legitimate Interest (GDPR Art. 6(1)(f))", "Yes / Required (Sheet 3)", "")</f>
        <v/>
      </c>
      <c r="L2115" s="7" t="n"/>
      <c r="M2115" s="7" t="n"/>
      <c r="N2115">
        <f>IF(D2115="", "Gap - No Legal Basis", IF(AND(D2115="Consent (GDPR Art. 6(1)(a))", I2115="Not Captured"), "Gap - Invalid Consent", IF(AND(D2115="Legitimate Interest (GDPR Art. 6(1)(f))", L2115=""), "Gap - Missing LIA", IF(AND(G2115="Yes", H2115=""), "Gap - Missing Art. 9 Basis", IF(OR(I2115="Invalid - Not Freely Given", I2115="Invalid - Not Specific", I2115="Invalid - Not Informed", I2115="Invalid - Ambiguous"), "Gap - Invalid Consent", "Compliant")))))</f>
        <v/>
      </c>
      <c r="O2115" s="7" t="n"/>
    </row>
    <row r="2116">
      <c r="A2116" s="7" t="n"/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>
        <f>IF(D2116="Legitimate Interest (GDPR Art. 6(1)(f))", "Yes / Required (Sheet 3)", "")</f>
        <v/>
      </c>
      <c r="L2116" s="7" t="n"/>
      <c r="M2116" s="7" t="n"/>
      <c r="N2116">
        <f>IF(D2116="", "Gap - No Legal Basis", IF(AND(D2116="Consent (GDPR Art. 6(1)(a))", I2116="Not Captured"), "Gap - Invalid Consent", IF(AND(D2116="Legitimate Interest (GDPR Art. 6(1)(f))", L2116=""), "Gap - Missing LIA", IF(AND(G2116="Yes", H2116=""), "Gap - Missing Art. 9 Basis", IF(OR(I2116="Invalid - Not Freely Given", I2116="Invalid - Not Specific", I2116="Invalid - Not Informed", I2116="Invalid - Ambiguous"), "Gap - Invalid Consent", "Compliant")))))</f>
        <v/>
      </c>
      <c r="O2116" s="7" t="n"/>
    </row>
    <row r="2117">
      <c r="A2117" s="7" t="n"/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>
        <f>IF(D2117="Legitimate Interest (GDPR Art. 6(1)(f))", "Yes / Required (Sheet 3)", "")</f>
        <v/>
      </c>
      <c r="L2117" s="7" t="n"/>
      <c r="M2117" s="7" t="n"/>
      <c r="N2117">
        <f>IF(D2117="", "Gap - No Legal Basis", IF(AND(D2117="Consent (GDPR Art. 6(1)(a))", I2117="Not Captured"), "Gap - Invalid Consent", IF(AND(D2117="Legitimate Interest (GDPR Art. 6(1)(f))", L2117=""), "Gap - Missing LIA", IF(AND(G2117="Yes", H2117=""), "Gap - Missing Art. 9 Basis", IF(OR(I2117="Invalid - Not Freely Given", I2117="Invalid - Not Specific", I2117="Invalid - Not Informed", I2117="Invalid - Ambiguous"), "Gap - Invalid Consent", "Compliant")))))</f>
        <v/>
      </c>
      <c r="O2117" s="7" t="n"/>
    </row>
    <row r="2118">
      <c r="A2118" s="7" t="n"/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>
        <f>IF(D2118="Legitimate Interest (GDPR Art. 6(1)(f))", "Yes / Required (Sheet 3)", "")</f>
        <v/>
      </c>
      <c r="L2118" s="7" t="n"/>
      <c r="M2118" s="7" t="n"/>
      <c r="N2118">
        <f>IF(D2118="", "Gap - No Legal Basis", IF(AND(D2118="Consent (GDPR Art. 6(1)(a))", I2118="Not Captured"), "Gap - Invalid Consent", IF(AND(D2118="Legitimate Interest (GDPR Art. 6(1)(f))", L2118=""), "Gap - Missing LIA", IF(AND(G2118="Yes", H2118=""), "Gap - Missing Art. 9 Basis", IF(OR(I2118="Invalid - Not Freely Given", I2118="Invalid - Not Specific", I2118="Invalid - Not Informed", I2118="Invalid - Ambiguous"), "Gap - Invalid Consent", "Compliant")))))</f>
        <v/>
      </c>
      <c r="O2118" s="7" t="n"/>
    </row>
    <row r="2119">
      <c r="A2119" s="7" t="n"/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>
        <f>IF(D2119="Legitimate Interest (GDPR Art. 6(1)(f))", "Yes / Required (Sheet 3)", "")</f>
        <v/>
      </c>
      <c r="L2119" s="7" t="n"/>
      <c r="M2119" s="7" t="n"/>
      <c r="N2119">
        <f>IF(D2119="", "Gap - No Legal Basis", IF(AND(D2119="Consent (GDPR Art. 6(1)(a))", I2119="Not Captured"), "Gap - Invalid Consent", IF(AND(D2119="Legitimate Interest (GDPR Art. 6(1)(f))", L2119=""), "Gap - Missing LIA", IF(AND(G2119="Yes", H2119=""), "Gap - Missing Art. 9 Basis", IF(OR(I2119="Invalid - Not Freely Given", I2119="Invalid - Not Specific", I2119="Invalid - Not Informed", I2119="Invalid - Ambiguous"), "Gap - Invalid Consent", "Compliant")))))</f>
        <v/>
      </c>
      <c r="O2119" s="7" t="n"/>
    </row>
    <row r="2120">
      <c r="A2120" s="7" t="n"/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>
        <f>IF(D2120="Legitimate Interest (GDPR Art. 6(1)(f))", "Yes / Required (Sheet 3)", "")</f>
        <v/>
      </c>
      <c r="L2120" s="7" t="n"/>
      <c r="M2120" s="7" t="n"/>
      <c r="N2120">
        <f>IF(D2120="", "Gap - No Legal Basis", IF(AND(D2120="Consent (GDPR Art. 6(1)(a))", I2120="Not Captured"), "Gap - Invalid Consent", IF(AND(D2120="Legitimate Interest (GDPR Art. 6(1)(f))", L2120=""), "Gap - Missing LIA", IF(AND(G2120="Yes", H2120=""), "Gap - Missing Art. 9 Basis", IF(OR(I2120="Invalid - Not Freely Given", I2120="Invalid - Not Specific", I2120="Invalid - Not Informed", I2120="Invalid - Ambiguous"), "Gap - Invalid Consent", "Compliant")))))</f>
        <v/>
      </c>
      <c r="O2120" s="7" t="n"/>
    </row>
    <row r="2121">
      <c r="A2121" s="7" t="n"/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>
        <f>IF(D2121="Legitimate Interest (GDPR Art. 6(1)(f))", "Yes / Required (Sheet 3)", "")</f>
        <v/>
      </c>
      <c r="L2121" s="7" t="n"/>
      <c r="M2121" s="7" t="n"/>
      <c r="N2121">
        <f>IF(D2121="", "Gap - No Legal Basis", IF(AND(D2121="Consent (GDPR Art. 6(1)(a))", I2121="Not Captured"), "Gap - Invalid Consent", IF(AND(D2121="Legitimate Interest (GDPR Art. 6(1)(f))", L2121=""), "Gap - Missing LIA", IF(AND(G2121="Yes", H2121=""), "Gap - Missing Art. 9 Basis", IF(OR(I2121="Invalid - Not Freely Given", I2121="Invalid - Not Specific", I2121="Invalid - Not Informed", I2121="Invalid - Ambiguous"), "Gap - Invalid Consent", "Compliant")))))</f>
        <v/>
      </c>
      <c r="O2121" s="7" t="n"/>
    </row>
    <row r="2122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>
        <f>IF(D2122="Legitimate Interest (GDPR Art. 6(1)(f))", "Yes / Required (Sheet 3)", "")</f>
        <v/>
      </c>
      <c r="L2122" s="7" t="n"/>
      <c r="M2122" s="7" t="n"/>
      <c r="N2122">
        <f>IF(D2122="", "Gap - No Legal Basis", IF(AND(D2122="Consent (GDPR Art. 6(1)(a))", I2122="Not Captured"), "Gap - Invalid Consent", IF(AND(D2122="Legitimate Interest (GDPR Art. 6(1)(f))", L2122=""), "Gap - Missing LIA", IF(AND(G2122="Yes", H2122=""), "Gap - Missing Art. 9 Basis", IF(OR(I2122="Invalid - Not Freely Given", I2122="Invalid - Not Specific", I2122="Invalid - Not Informed", I2122="Invalid - Ambiguous"), "Gap - Invalid Consent", "Compliant")))))</f>
        <v/>
      </c>
      <c r="O2122" s="7" t="n"/>
    </row>
    <row r="2123">
      <c r="A2123" s="7" t="n"/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>
        <f>IF(D2123="Legitimate Interest (GDPR Art. 6(1)(f))", "Yes / Required (Sheet 3)", "")</f>
        <v/>
      </c>
      <c r="L2123" s="7" t="n"/>
      <c r="M2123" s="7" t="n"/>
      <c r="N2123">
        <f>IF(D2123="", "Gap - No Legal Basis", IF(AND(D2123="Consent (GDPR Art. 6(1)(a))", I2123="Not Captured"), "Gap - Invalid Consent", IF(AND(D2123="Legitimate Interest (GDPR Art. 6(1)(f))", L2123=""), "Gap - Missing LIA", IF(AND(G2123="Yes", H2123=""), "Gap - Missing Art. 9 Basis", IF(OR(I2123="Invalid - Not Freely Given", I2123="Invalid - Not Specific", I2123="Invalid - Not Informed", I2123="Invalid - Ambiguous"), "Gap - Invalid Consent", "Compliant")))))</f>
        <v/>
      </c>
      <c r="O2123" s="7" t="n"/>
    </row>
    <row r="2124">
      <c r="A2124" s="7" t="n"/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>
        <f>IF(D2124="Legitimate Interest (GDPR Art. 6(1)(f))", "Yes / Required (Sheet 3)", "")</f>
        <v/>
      </c>
      <c r="L2124" s="7" t="n"/>
      <c r="M2124" s="7" t="n"/>
      <c r="N2124">
        <f>IF(D2124="", "Gap - No Legal Basis", IF(AND(D2124="Consent (GDPR Art. 6(1)(a))", I2124="Not Captured"), "Gap - Invalid Consent", IF(AND(D2124="Legitimate Interest (GDPR Art. 6(1)(f))", L2124=""), "Gap - Missing LIA", IF(AND(G2124="Yes", H2124=""), "Gap - Missing Art. 9 Basis", IF(OR(I2124="Invalid - Not Freely Given", I2124="Invalid - Not Specific", I2124="Invalid - Not Informed", I2124="Invalid - Ambiguous"), "Gap - Invalid Consent", "Compliant")))))</f>
        <v/>
      </c>
      <c r="O2124" s="7" t="n"/>
    </row>
    <row r="2125">
      <c r="A2125" s="7" t="n"/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>
        <f>IF(D2125="Legitimate Interest (GDPR Art. 6(1)(f))", "Yes / Required (Sheet 3)", "")</f>
        <v/>
      </c>
      <c r="L2125" s="7" t="n"/>
      <c r="M2125" s="7" t="n"/>
      <c r="N2125">
        <f>IF(D2125="", "Gap - No Legal Basis", IF(AND(D2125="Consent (GDPR Art. 6(1)(a))", I2125="Not Captured"), "Gap - Invalid Consent", IF(AND(D2125="Legitimate Interest (GDPR Art. 6(1)(f))", L2125=""), "Gap - Missing LIA", IF(AND(G2125="Yes", H2125=""), "Gap - Missing Art. 9 Basis", IF(OR(I2125="Invalid - Not Freely Given", I2125="Invalid - Not Specific", I2125="Invalid - Not Informed", I2125="Invalid - Ambiguous"), "Gap - Invalid Consent", "Compliant")))))</f>
        <v/>
      </c>
      <c r="O2125" s="7" t="n"/>
    </row>
    <row r="2126">
      <c r="A2126" s="7" t="n"/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>
        <f>IF(D2126="Legitimate Interest (GDPR Art. 6(1)(f))", "Yes / Required (Sheet 3)", "")</f>
        <v/>
      </c>
      <c r="L2126" s="7" t="n"/>
      <c r="M2126" s="7" t="n"/>
      <c r="N2126">
        <f>IF(D2126="", "Gap - No Legal Basis", IF(AND(D2126="Consent (GDPR Art. 6(1)(a))", I2126="Not Captured"), "Gap - Invalid Consent", IF(AND(D2126="Legitimate Interest (GDPR Art. 6(1)(f))", L2126=""), "Gap - Missing LIA", IF(AND(G2126="Yes", H2126=""), "Gap - Missing Art. 9 Basis", IF(OR(I2126="Invalid - Not Freely Given", I2126="Invalid - Not Specific", I2126="Invalid - Not Informed", I2126="Invalid - Ambiguous"), "Gap - Invalid Consent", "Compliant")))))</f>
        <v/>
      </c>
      <c r="O2126" s="7" t="n"/>
    </row>
    <row r="2127">
      <c r="A2127" s="7" t="n"/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>
        <f>IF(D2127="Legitimate Interest (GDPR Art. 6(1)(f))", "Yes / Required (Sheet 3)", "")</f>
        <v/>
      </c>
      <c r="L2127" s="7" t="n"/>
      <c r="M2127" s="7" t="n"/>
      <c r="N2127">
        <f>IF(D2127="", "Gap - No Legal Basis", IF(AND(D2127="Consent (GDPR Art. 6(1)(a))", I2127="Not Captured"), "Gap - Invalid Consent", IF(AND(D2127="Legitimate Interest (GDPR Art. 6(1)(f))", L2127=""), "Gap - Missing LIA", IF(AND(G2127="Yes", H2127=""), "Gap - Missing Art. 9 Basis", IF(OR(I2127="Invalid - Not Freely Given", I2127="Invalid - Not Specific", I2127="Invalid - Not Informed", I2127="Invalid - Ambiguous"), "Gap - Invalid Consent", "Compliant")))))</f>
        <v/>
      </c>
      <c r="O2127" s="7" t="n"/>
    </row>
    <row r="2128">
      <c r="A2128" s="7" t="n"/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>
        <f>IF(D2128="Legitimate Interest (GDPR Art. 6(1)(f))", "Yes / Required (Sheet 3)", "")</f>
        <v/>
      </c>
      <c r="L2128" s="7" t="n"/>
      <c r="M2128" s="7" t="n"/>
      <c r="N2128">
        <f>IF(D2128="", "Gap - No Legal Basis", IF(AND(D2128="Consent (GDPR Art. 6(1)(a))", I2128="Not Captured"), "Gap - Invalid Consent", IF(AND(D2128="Legitimate Interest (GDPR Art. 6(1)(f))", L2128=""), "Gap - Missing LIA", IF(AND(G2128="Yes", H2128=""), "Gap - Missing Art. 9 Basis", IF(OR(I2128="Invalid - Not Freely Given", I2128="Invalid - Not Specific", I2128="Invalid - Not Informed", I2128="Invalid - Ambiguous"), "Gap - Invalid Consent", "Compliant")))))</f>
        <v/>
      </c>
      <c r="O2128" s="7" t="n"/>
    </row>
    <row r="2129">
      <c r="A2129" s="7" t="n"/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>
        <f>IF(D2129="Legitimate Interest (GDPR Art. 6(1)(f))", "Yes / Required (Sheet 3)", "")</f>
        <v/>
      </c>
      <c r="L2129" s="7" t="n"/>
      <c r="M2129" s="7" t="n"/>
      <c r="N2129">
        <f>IF(D2129="", "Gap - No Legal Basis", IF(AND(D2129="Consent (GDPR Art. 6(1)(a))", I2129="Not Captured"), "Gap - Invalid Consent", IF(AND(D2129="Legitimate Interest (GDPR Art. 6(1)(f))", L2129=""), "Gap - Missing LIA", IF(AND(G2129="Yes", H2129=""), "Gap - Missing Art. 9 Basis", IF(OR(I2129="Invalid - Not Freely Given", I2129="Invalid - Not Specific", I2129="Invalid - Not Informed", I2129="Invalid - Ambiguous"), "Gap - Invalid Consent", "Compliant")))))</f>
        <v/>
      </c>
      <c r="O2129" s="7" t="n"/>
    </row>
    <row r="2130">
      <c r="A2130" s="7" t="n"/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>
        <f>IF(D2130="Legitimate Interest (GDPR Art. 6(1)(f))", "Yes / Required (Sheet 3)", "")</f>
        <v/>
      </c>
      <c r="L2130" s="7" t="n"/>
      <c r="M2130" s="7" t="n"/>
      <c r="N2130">
        <f>IF(D2130="", "Gap - No Legal Basis", IF(AND(D2130="Consent (GDPR Art. 6(1)(a))", I2130="Not Captured"), "Gap - Invalid Consent", IF(AND(D2130="Legitimate Interest (GDPR Art. 6(1)(f))", L2130=""), "Gap - Missing LIA", IF(AND(G2130="Yes", H2130=""), "Gap - Missing Art. 9 Basis", IF(OR(I2130="Invalid - Not Freely Given", I2130="Invalid - Not Specific", I2130="Invalid - Not Informed", I2130="Invalid - Ambiguous"), "Gap - Invalid Consent", "Compliant")))))</f>
        <v/>
      </c>
      <c r="O2130" s="7" t="n"/>
    </row>
    <row r="2131">
      <c r="A2131" s="7" t="n"/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>
        <f>IF(D2131="Legitimate Interest (GDPR Art. 6(1)(f))", "Yes / Required (Sheet 3)", "")</f>
        <v/>
      </c>
      <c r="L2131" s="7" t="n"/>
      <c r="M2131" s="7" t="n"/>
      <c r="N2131">
        <f>IF(D2131="", "Gap - No Legal Basis", IF(AND(D2131="Consent (GDPR Art. 6(1)(a))", I2131="Not Captured"), "Gap - Invalid Consent", IF(AND(D2131="Legitimate Interest (GDPR Art. 6(1)(f))", L2131=""), "Gap - Missing LIA", IF(AND(G2131="Yes", H2131=""), "Gap - Missing Art. 9 Basis", IF(OR(I2131="Invalid - Not Freely Given", I2131="Invalid - Not Specific", I2131="Invalid - Not Informed", I2131="Invalid - Ambiguous"), "Gap - Invalid Consent", "Compliant")))))</f>
        <v/>
      </c>
      <c r="O2131" s="7" t="n"/>
    </row>
    <row r="2132">
      <c r="A2132" s="7" t="n"/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>
        <f>IF(D2132="Legitimate Interest (GDPR Art. 6(1)(f))", "Yes / Required (Sheet 3)", "")</f>
        <v/>
      </c>
      <c r="L2132" s="7" t="n"/>
      <c r="M2132" s="7" t="n"/>
      <c r="N2132">
        <f>IF(D2132="", "Gap - No Legal Basis", IF(AND(D2132="Consent (GDPR Art. 6(1)(a))", I2132="Not Captured"), "Gap - Invalid Consent", IF(AND(D2132="Legitimate Interest (GDPR Art. 6(1)(f))", L2132=""), "Gap - Missing LIA", IF(AND(G2132="Yes", H2132=""), "Gap - Missing Art. 9 Basis", IF(OR(I2132="Invalid - Not Freely Given", I2132="Invalid - Not Specific", I2132="Invalid - Not Informed", I2132="Invalid - Ambiguous"), "Gap - Invalid Consent", "Compliant")))))</f>
        <v/>
      </c>
      <c r="O2132" s="7" t="n"/>
    </row>
    <row r="2133">
      <c r="A2133" s="7" t="n"/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>
        <f>IF(D2133="Legitimate Interest (GDPR Art. 6(1)(f))", "Yes / Required (Sheet 3)", "")</f>
        <v/>
      </c>
      <c r="L2133" s="7" t="n"/>
      <c r="M2133" s="7" t="n"/>
      <c r="N2133">
        <f>IF(D2133="", "Gap - No Legal Basis", IF(AND(D2133="Consent (GDPR Art. 6(1)(a))", I2133="Not Captured"), "Gap - Invalid Consent", IF(AND(D2133="Legitimate Interest (GDPR Art. 6(1)(f))", L2133=""), "Gap - Missing LIA", IF(AND(G2133="Yes", H2133=""), "Gap - Missing Art. 9 Basis", IF(OR(I2133="Invalid - Not Freely Given", I2133="Invalid - Not Specific", I2133="Invalid - Not Informed", I2133="Invalid - Ambiguous"), "Gap - Invalid Consent", "Compliant")))))</f>
        <v/>
      </c>
      <c r="O2133" s="7" t="n"/>
    </row>
    <row r="2134">
      <c r="A2134" s="7" t="n"/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>
        <f>IF(D2134="Legitimate Interest (GDPR Art. 6(1)(f))", "Yes / Required (Sheet 3)", "")</f>
        <v/>
      </c>
      <c r="L2134" s="7" t="n"/>
      <c r="M2134" s="7" t="n"/>
      <c r="N2134">
        <f>IF(D2134="", "Gap - No Legal Basis", IF(AND(D2134="Consent (GDPR Art. 6(1)(a))", I2134="Not Captured"), "Gap - Invalid Consent", IF(AND(D2134="Legitimate Interest (GDPR Art. 6(1)(f))", L2134=""), "Gap - Missing LIA", IF(AND(G2134="Yes", H2134=""), "Gap - Missing Art. 9 Basis", IF(OR(I2134="Invalid - Not Freely Given", I2134="Invalid - Not Specific", I2134="Invalid - Not Informed", I2134="Invalid - Ambiguous"), "Gap - Invalid Consent", "Compliant")))))</f>
        <v/>
      </c>
      <c r="O2134" s="7" t="n"/>
    </row>
    <row r="2135">
      <c r="A2135" s="7" t="n"/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>
        <f>IF(D2135="Legitimate Interest (GDPR Art. 6(1)(f))", "Yes / Required (Sheet 3)", "")</f>
        <v/>
      </c>
      <c r="L2135" s="7" t="n"/>
      <c r="M2135" s="7" t="n"/>
      <c r="N2135">
        <f>IF(D2135="", "Gap - No Legal Basis", IF(AND(D2135="Consent (GDPR Art. 6(1)(a))", I2135="Not Captured"), "Gap - Invalid Consent", IF(AND(D2135="Legitimate Interest (GDPR Art. 6(1)(f))", L2135=""), "Gap - Missing LIA", IF(AND(G2135="Yes", H2135=""), "Gap - Missing Art. 9 Basis", IF(OR(I2135="Invalid - Not Freely Given", I2135="Invalid - Not Specific", I2135="Invalid - Not Informed", I2135="Invalid - Ambiguous"), "Gap - Invalid Consent", "Compliant")))))</f>
        <v/>
      </c>
      <c r="O2135" s="7" t="n"/>
    </row>
    <row r="2136">
      <c r="A2136" s="7" t="n"/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>
        <f>IF(D2136="Legitimate Interest (GDPR Art. 6(1)(f))", "Yes / Required (Sheet 3)", "")</f>
        <v/>
      </c>
      <c r="L2136" s="7" t="n"/>
      <c r="M2136" s="7" t="n"/>
      <c r="N2136">
        <f>IF(D2136="", "Gap - No Legal Basis", IF(AND(D2136="Consent (GDPR Art. 6(1)(a))", I2136="Not Captured"), "Gap - Invalid Consent", IF(AND(D2136="Legitimate Interest (GDPR Art. 6(1)(f))", L2136=""), "Gap - Missing LIA", IF(AND(G2136="Yes", H2136=""), "Gap - Missing Art. 9 Basis", IF(OR(I2136="Invalid - Not Freely Given", I2136="Invalid - Not Specific", I2136="Invalid - Not Informed", I2136="Invalid - Ambiguous"), "Gap - Invalid Consent", "Compliant")))))</f>
        <v/>
      </c>
      <c r="O2136" s="7" t="n"/>
    </row>
    <row r="2137">
      <c r="A2137" s="7" t="n"/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>
        <f>IF(D2137="Legitimate Interest (GDPR Art. 6(1)(f))", "Yes / Required (Sheet 3)", "")</f>
        <v/>
      </c>
      <c r="L2137" s="7" t="n"/>
      <c r="M2137" s="7" t="n"/>
      <c r="N2137">
        <f>IF(D2137="", "Gap - No Legal Basis", IF(AND(D2137="Consent (GDPR Art. 6(1)(a))", I2137="Not Captured"), "Gap - Invalid Consent", IF(AND(D2137="Legitimate Interest (GDPR Art. 6(1)(f))", L2137=""), "Gap - Missing LIA", IF(AND(G2137="Yes", H2137=""), "Gap - Missing Art. 9 Basis", IF(OR(I2137="Invalid - Not Freely Given", I2137="Invalid - Not Specific", I2137="Invalid - Not Informed", I2137="Invalid - Ambiguous"), "Gap - Invalid Consent", "Compliant")))))</f>
        <v/>
      </c>
      <c r="O2137" s="7" t="n"/>
    </row>
    <row r="2138">
      <c r="A2138" s="7" t="n"/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>
        <f>IF(D2138="Legitimate Interest (GDPR Art. 6(1)(f))", "Yes / Required (Sheet 3)", "")</f>
        <v/>
      </c>
      <c r="L2138" s="7" t="n"/>
      <c r="M2138" s="7" t="n"/>
      <c r="N2138">
        <f>IF(D2138="", "Gap - No Legal Basis", IF(AND(D2138="Consent (GDPR Art. 6(1)(a))", I2138="Not Captured"), "Gap - Invalid Consent", IF(AND(D2138="Legitimate Interest (GDPR Art. 6(1)(f))", L2138=""), "Gap - Missing LIA", IF(AND(G2138="Yes", H2138=""), "Gap - Missing Art. 9 Basis", IF(OR(I2138="Invalid - Not Freely Given", I2138="Invalid - Not Specific", I2138="Invalid - Not Informed", I2138="Invalid - Ambiguous"), "Gap - Invalid Consent", "Compliant")))))</f>
        <v/>
      </c>
      <c r="O2138" s="7" t="n"/>
    </row>
    <row r="2139">
      <c r="A2139" s="7" t="n"/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>
        <f>IF(D2139="Legitimate Interest (GDPR Art. 6(1)(f))", "Yes / Required (Sheet 3)", "")</f>
        <v/>
      </c>
      <c r="L2139" s="7" t="n"/>
      <c r="M2139" s="7" t="n"/>
      <c r="N2139">
        <f>IF(D2139="", "Gap - No Legal Basis", IF(AND(D2139="Consent (GDPR Art. 6(1)(a))", I2139="Not Captured"), "Gap - Invalid Consent", IF(AND(D2139="Legitimate Interest (GDPR Art. 6(1)(f))", L2139=""), "Gap - Missing LIA", IF(AND(G2139="Yes", H2139=""), "Gap - Missing Art. 9 Basis", IF(OR(I2139="Invalid - Not Freely Given", I2139="Invalid - Not Specific", I2139="Invalid - Not Informed", I2139="Invalid - Ambiguous"), "Gap - Invalid Consent", "Compliant")))))</f>
        <v/>
      </c>
      <c r="O2139" s="7" t="n"/>
    </row>
    <row r="2140">
      <c r="A2140" s="7" t="n"/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>
        <f>IF(D2140="Legitimate Interest (GDPR Art. 6(1)(f))", "Yes / Required (Sheet 3)", "")</f>
        <v/>
      </c>
      <c r="L2140" s="7" t="n"/>
      <c r="M2140" s="7" t="n"/>
      <c r="N2140">
        <f>IF(D2140="", "Gap - No Legal Basis", IF(AND(D2140="Consent (GDPR Art. 6(1)(a))", I2140="Not Captured"), "Gap - Invalid Consent", IF(AND(D2140="Legitimate Interest (GDPR Art. 6(1)(f))", L2140=""), "Gap - Missing LIA", IF(AND(G2140="Yes", H2140=""), "Gap - Missing Art. 9 Basis", IF(OR(I2140="Invalid - Not Freely Given", I2140="Invalid - Not Specific", I2140="Invalid - Not Informed", I2140="Invalid - Ambiguous"), "Gap - Invalid Consent", "Compliant")))))</f>
        <v/>
      </c>
      <c r="O2140" s="7" t="n"/>
    </row>
    <row r="2141">
      <c r="A2141" s="7" t="n"/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>
        <f>IF(D2141="Legitimate Interest (GDPR Art. 6(1)(f))", "Yes / Required (Sheet 3)", "")</f>
        <v/>
      </c>
      <c r="L2141" s="7" t="n"/>
      <c r="M2141" s="7" t="n"/>
      <c r="N2141">
        <f>IF(D2141="", "Gap - No Legal Basis", IF(AND(D2141="Consent (GDPR Art. 6(1)(a))", I2141="Not Captured"), "Gap - Invalid Consent", IF(AND(D2141="Legitimate Interest (GDPR Art. 6(1)(f))", L2141=""), "Gap - Missing LIA", IF(AND(G2141="Yes", H2141=""), "Gap - Missing Art. 9 Basis", IF(OR(I2141="Invalid - Not Freely Given", I2141="Invalid - Not Specific", I2141="Invalid - Not Informed", I2141="Invalid - Ambiguous"), "Gap - Invalid Consent", "Compliant")))))</f>
        <v/>
      </c>
      <c r="O2141" s="7" t="n"/>
    </row>
    <row r="2142">
      <c r="A2142" s="7" t="n"/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>
        <f>IF(D2142="Legitimate Interest (GDPR Art. 6(1)(f))", "Yes / Required (Sheet 3)", "")</f>
        <v/>
      </c>
      <c r="L2142" s="7" t="n"/>
      <c r="M2142" s="7" t="n"/>
      <c r="N2142">
        <f>IF(D2142="", "Gap - No Legal Basis", IF(AND(D2142="Consent (GDPR Art. 6(1)(a))", I2142="Not Captured"), "Gap - Invalid Consent", IF(AND(D2142="Legitimate Interest (GDPR Art. 6(1)(f))", L2142=""), "Gap - Missing LIA", IF(AND(G2142="Yes", H2142=""), "Gap - Missing Art. 9 Basis", IF(OR(I2142="Invalid - Not Freely Given", I2142="Invalid - Not Specific", I2142="Invalid - Not Informed", I2142="Invalid - Ambiguous"), "Gap - Invalid Consent", "Compliant")))))</f>
        <v/>
      </c>
      <c r="O2142" s="7" t="n"/>
    </row>
    <row r="2143">
      <c r="A2143" s="7" t="n"/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>
        <f>IF(D2143="Legitimate Interest (GDPR Art. 6(1)(f))", "Yes / Required (Sheet 3)", "")</f>
        <v/>
      </c>
      <c r="L2143" s="7" t="n"/>
      <c r="M2143" s="7" t="n"/>
      <c r="N2143">
        <f>IF(D2143="", "Gap - No Legal Basis", IF(AND(D2143="Consent (GDPR Art. 6(1)(a))", I2143="Not Captured"), "Gap - Invalid Consent", IF(AND(D2143="Legitimate Interest (GDPR Art. 6(1)(f))", L2143=""), "Gap - Missing LIA", IF(AND(G2143="Yes", H2143=""), "Gap - Missing Art. 9 Basis", IF(OR(I2143="Invalid - Not Freely Given", I2143="Invalid - Not Specific", I2143="Invalid - Not Informed", I2143="Invalid - Ambiguous"), "Gap - Invalid Consent", "Compliant")))))</f>
        <v/>
      </c>
      <c r="O2143" s="7" t="n"/>
    </row>
    <row r="2144">
      <c r="A2144" s="7" t="n"/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>
        <f>IF(D2144="Legitimate Interest (GDPR Art. 6(1)(f))", "Yes / Required (Sheet 3)", "")</f>
        <v/>
      </c>
      <c r="L2144" s="7" t="n"/>
      <c r="M2144" s="7" t="n"/>
      <c r="N2144">
        <f>IF(D2144="", "Gap - No Legal Basis", IF(AND(D2144="Consent (GDPR Art. 6(1)(a))", I2144="Not Captured"), "Gap - Invalid Consent", IF(AND(D2144="Legitimate Interest (GDPR Art. 6(1)(f))", L2144=""), "Gap - Missing LIA", IF(AND(G2144="Yes", H2144=""), "Gap - Missing Art. 9 Basis", IF(OR(I2144="Invalid - Not Freely Given", I2144="Invalid - Not Specific", I2144="Invalid - Not Informed", I2144="Invalid - Ambiguous"), "Gap - Invalid Consent", "Compliant")))))</f>
        <v/>
      </c>
      <c r="O2144" s="7" t="n"/>
    </row>
    <row r="2145">
      <c r="A2145" s="7" t="n"/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>
        <f>IF(D2145="Legitimate Interest (GDPR Art. 6(1)(f))", "Yes / Required (Sheet 3)", "")</f>
        <v/>
      </c>
      <c r="L2145" s="7" t="n"/>
      <c r="M2145" s="7" t="n"/>
      <c r="N2145">
        <f>IF(D2145="", "Gap - No Legal Basis", IF(AND(D2145="Consent (GDPR Art. 6(1)(a))", I2145="Not Captured"), "Gap - Invalid Consent", IF(AND(D2145="Legitimate Interest (GDPR Art. 6(1)(f))", L2145=""), "Gap - Missing LIA", IF(AND(G2145="Yes", H2145=""), "Gap - Missing Art. 9 Basis", IF(OR(I2145="Invalid - Not Freely Given", I2145="Invalid - Not Specific", I2145="Invalid - Not Informed", I2145="Invalid - Ambiguous"), "Gap - Invalid Consent", "Compliant")))))</f>
        <v/>
      </c>
      <c r="O2145" s="7" t="n"/>
    </row>
    <row r="2146">
      <c r="A2146" s="7" t="n"/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>
        <f>IF(D2146="Legitimate Interest (GDPR Art. 6(1)(f))", "Yes / Required (Sheet 3)", "")</f>
        <v/>
      </c>
      <c r="L2146" s="7" t="n"/>
      <c r="M2146" s="7" t="n"/>
      <c r="N2146">
        <f>IF(D2146="", "Gap - No Legal Basis", IF(AND(D2146="Consent (GDPR Art. 6(1)(a))", I2146="Not Captured"), "Gap - Invalid Consent", IF(AND(D2146="Legitimate Interest (GDPR Art. 6(1)(f))", L2146=""), "Gap - Missing LIA", IF(AND(G2146="Yes", H2146=""), "Gap - Missing Art. 9 Basis", IF(OR(I2146="Invalid - Not Freely Given", I2146="Invalid - Not Specific", I2146="Invalid - Not Informed", I2146="Invalid - Ambiguous"), "Gap - Invalid Consent", "Compliant")))))</f>
        <v/>
      </c>
      <c r="O2146" s="7" t="n"/>
    </row>
    <row r="2147">
      <c r="A2147" s="7" t="n"/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>
        <f>IF(D2147="Legitimate Interest (GDPR Art. 6(1)(f))", "Yes / Required (Sheet 3)", "")</f>
        <v/>
      </c>
      <c r="L2147" s="7" t="n"/>
      <c r="M2147" s="7" t="n"/>
      <c r="N2147">
        <f>IF(D2147="", "Gap - No Legal Basis", IF(AND(D2147="Consent (GDPR Art. 6(1)(a))", I2147="Not Captured"), "Gap - Invalid Consent", IF(AND(D2147="Legitimate Interest (GDPR Art. 6(1)(f))", L2147=""), "Gap - Missing LIA", IF(AND(G2147="Yes", H2147=""), "Gap - Missing Art. 9 Basis", IF(OR(I2147="Invalid - Not Freely Given", I2147="Invalid - Not Specific", I2147="Invalid - Not Informed", I2147="Invalid - Ambiguous"), "Gap - Invalid Consent", "Compliant")))))</f>
        <v/>
      </c>
      <c r="O2147" s="7" t="n"/>
    </row>
    <row r="2148">
      <c r="A2148" s="7" t="n"/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>
        <f>IF(D2148="Legitimate Interest (GDPR Art. 6(1)(f))", "Yes / Required (Sheet 3)", "")</f>
        <v/>
      </c>
      <c r="L2148" s="7" t="n"/>
      <c r="M2148" s="7" t="n"/>
      <c r="N2148">
        <f>IF(D2148="", "Gap - No Legal Basis", IF(AND(D2148="Consent (GDPR Art. 6(1)(a))", I2148="Not Captured"), "Gap - Invalid Consent", IF(AND(D2148="Legitimate Interest (GDPR Art. 6(1)(f))", L2148=""), "Gap - Missing LIA", IF(AND(G2148="Yes", H2148=""), "Gap - Missing Art. 9 Basis", IF(OR(I2148="Invalid - Not Freely Given", I2148="Invalid - Not Specific", I2148="Invalid - Not Informed", I2148="Invalid - Ambiguous"), "Gap - Invalid Consent", "Compliant")))))</f>
        <v/>
      </c>
      <c r="O2148" s="7" t="n"/>
    </row>
    <row r="2149">
      <c r="A2149" s="7" t="n"/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>
        <f>IF(D2149="Legitimate Interest (GDPR Art. 6(1)(f))", "Yes / Required (Sheet 3)", "")</f>
        <v/>
      </c>
      <c r="L2149" s="7" t="n"/>
      <c r="M2149" s="7" t="n"/>
      <c r="N2149">
        <f>IF(D2149="", "Gap - No Legal Basis", IF(AND(D2149="Consent (GDPR Art. 6(1)(a))", I2149="Not Captured"), "Gap - Invalid Consent", IF(AND(D2149="Legitimate Interest (GDPR Art. 6(1)(f))", L2149=""), "Gap - Missing LIA", IF(AND(G2149="Yes", H2149=""), "Gap - Missing Art. 9 Basis", IF(OR(I2149="Invalid - Not Freely Given", I2149="Invalid - Not Specific", I2149="Invalid - Not Informed", I2149="Invalid - Ambiguous"), "Gap - Invalid Consent", "Compliant")))))</f>
        <v/>
      </c>
      <c r="O2149" s="7" t="n"/>
    </row>
    <row r="2150">
      <c r="A2150" s="7" t="n"/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>
        <f>IF(D2150="Legitimate Interest (GDPR Art. 6(1)(f))", "Yes / Required (Sheet 3)", "")</f>
        <v/>
      </c>
      <c r="L2150" s="7" t="n"/>
      <c r="M2150" s="7" t="n"/>
      <c r="N2150">
        <f>IF(D2150="", "Gap - No Legal Basis", IF(AND(D2150="Consent (GDPR Art. 6(1)(a))", I2150="Not Captured"), "Gap - Invalid Consent", IF(AND(D2150="Legitimate Interest (GDPR Art. 6(1)(f))", L2150=""), "Gap - Missing LIA", IF(AND(G2150="Yes", H2150=""), "Gap - Missing Art. 9 Basis", IF(OR(I2150="Invalid - Not Freely Given", I2150="Invalid - Not Specific", I2150="Invalid - Not Informed", I2150="Invalid - Ambiguous"), "Gap - Invalid Consent", "Compliant")))))</f>
        <v/>
      </c>
      <c r="O2150" s="7" t="n"/>
    </row>
    <row r="2151">
      <c r="A2151" s="7" t="n"/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>
        <f>IF(D2151="Legitimate Interest (GDPR Art. 6(1)(f))", "Yes / Required (Sheet 3)", "")</f>
        <v/>
      </c>
      <c r="L2151" s="7" t="n"/>
      <c r="M2151" s="7" t="n"/>
      <c r="N2151">
        <f>IF(D2151="", "Gap - No Legal Basis", IF(AND(D2151="Consent (GDPR Art. 6(1)(a))", I2151="Not Captured"), "Gap - Invalid Consent", IF(AND(D2151="Legitimate Interest (GDPR Art. 6(1)(f))", L2151=""), "Gap - Missing LIA", IF(AND(G2151="Yes", H2151=""), "Gap - Missing Art. 9 Basis", IF(OR(I2151="Invalid - Not Freely Given", I2151="Invalid - Not Specific", I2151="Invalid - Not Informed", I2151="Invalid - Ambiguous"), "Gap - Invalid Consent", "Compliant")))))</f>
        <v/>
      </c>
      <c r="O2151" s="7" t="n"/>
    </row>
    <row r="2152">
      <c r="A2152" s="7" t="n"/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>
        <f>IF(D2152="Legitimate Interest (GDPR Art. 6(1)(f))", "Yes / Required (Sheet 3)", "")</f>
        <v/>
      </c>
      <c r="L2152" s="7" t="n"/>
      <c r="M2152" s="7" t="n"/>
      <c r="N2152">
        <f>IF(D2152="", "Gap - No Legal Basis", IF(AND(D2152="Consent (GDPR Art. 6(1)(a))", I2152="Not Captured"), "Gap - Invalid Consent", IF(AND(D2152="Legitimate Interest (GDPR Art. 6(1)(f))", L2152=""), "Gap - Missing LIA", IF(AND(G2152="Yes", H2152=""), "Gap - Missing Art. 9 Basis", IF(OR(I2152="Invalid - Not Freely Given", I2152="Invalid - Not Specific", I2152="Invalid - Not Informed", I2152="Invalid - Ambiguous"), "Gap - Invalid Consent", "Compliant")))))</f>
        <v/>
      </c>
      <c r="O2152" s="7" t="n"/>
    </row>
    <row r="2153">
      <c r="A2153" s="7" t="n"/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>
        <f>IF(D2153="Legitimate Interest (GDPR Art. 6(1)(f))", "Yes / Required (Sheet 3)", "")</f>
        <v/>
      </c>
      <c r="L2153" s="7" t="n"/>
      <c r="M2153" s="7" t="n"/>
      <c r="N2153">
        <f>IF(D2153="", "Gap - No Legal Basis", IF(AND(D2153="Consent (GDPR Art. 6(1)(a))", I2153="Not Captured"), "Gap - Invalid Consent", IF(AND(D2153="Legitimate Interest (GDPR Art. 6(1)(f))", L2153=""), "Gap - Missing LIA", IF(AND(G2153="Yes", H2153=""), "Gap - Missing Art. 9 Basis", IF(OR(I2153="Invalid - Not Freely Given", I2153="Invalid - Not Specific", I2153="Invalid - Not Informed", I2153="Invalid - Ambiguous"), "Gap - Invalid Consent", "Compliant")))))</f>
        <v/>
      </c>
      <c r="O2153" s="7" t="n"/>
    </row>
    <row r="2154">
      <c r="A2154" s="7" t="n"/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>
        <f>IF(D2154="Legitimate Interest (GDPR Art. 6(1)(f))", "Yes / Required (Sheet 3)", "")</f>
        <v/>
      </c>
      <c r="L2154" s="7" t="n"/>
      <c r="M2154" s="7" t="n"/>
      <c r="N2154">
        <f>IF(D2154="", "Gap - No Legal Basis", IF(AND(D2154="Consent (GDPR Art. 6(1)(a))", I2154="Not Captured"), "Gap - Invalid Consent", IF(AND(D2154="Legitimate Interest (GDPR Art. 6(1)(f))", L2154=""), "Gap - Missing LIA", IF(AND(G2154="Yes", H2154=""), "Gap - Missing Art. 9 Basis", IF(OR(I2154="Invalid - Not Freely Given", I2154="Invalid - Not Specific", I2154="Invalid - Not Informed", I2154="Invalid - Ambiguous"), "Gap - Invalid Consent", "Compliant")))))</f>
        <v/>
      </c>
      <c r="O2154" s="7" t="n"/>
    </row>
    <row r="2155">
      <c r="A2155" s="7" t="n"/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>
        <f>IF(D2155="Legitimate Interest (GDPR Art. 6(1)(f))", "Yes / Required (Sheet 3)", "")</f>
        <v/>
      </c>
      <c r="L2155" s="7" t="n"/>
      <c r="M2155" s="7" t="n"/>
      <c r="N2155">
        <f>IF(D2155="", "Gap - No Legal Basis", IF(AND(D2155="Consent (GDPR Art. 6(1)(a))", I2155="Not Captured"), "Gap - Invalid Consent", IF(AND(D2155="Legitimate Interest (GDPR Art. 6(1)(f))", L2155=""), "Gap - Missing LIA", IF(AND(G2155="Yes", H2155=""), "Gap - Missing Art. 9 Basis", IF(OR(I2155="Invalid - Not Freely Given", I2155="Invalid - Not Specific", I2155="Invalid - Not Informed", I2155="Invalid - Ambiguous"), "Gap - Invalid Consent", "Compliant")))))</f>
        <v/>
      </c>
      <c r="O2155" s="7" t="n"/>
    </row>
    <row r="2156">
      <c r="A2156" s="7" t="n"/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>
        <f>IF(D2156="Legitimate Interest (GDPR Art. 6(1)(f))", "Yes / Required (Sheet 3)", "")</f>
        <v/>
      </c>
      <c r="L2156" s="7" t="n"/>
      <c r="M2156" s="7" t="n"/>
      <c r="N2156">
        <f>IF(D2156="", "Gap - No Legal Basis", IF(AND(D2156="Consent (GDPR Art. 6(1)(a))", I2156="Not Captured"), "Gap - Invalid Consent", IF(AND(D2156="Legitimate Interest (GDPR Art. 6(1)(f))", L2156=""), "Gap - Missing LIA", IF(AND(G2156="Yes", H2156=""), "Gap - Missing Art. 9 Basis", IF(OR(I2156="Invalid - Not Freely Given", I2156="Invalid - Not Specific", I2156="Invalid - Not Informed", I2156="Invalid - Ambiguous"), "Gap - Invalid Consent", "Compliant")))))</f>
        <v/>
      </c>
      <c r="O2156" s="7" t="n"/>
    </row>
    <row r="2157">
      <c r="A2157" s="7" t="n"/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>
        <f>IF(D2157="Legitimate Interest (GDPR Art. 6(1)(f))", "Yes / Required (Sheet 3)", "")</f>
        <v/>
      </c>
      <c r="L2157" s="7" t="n"/>
      <c r="M2157" s="7" t="n"/>
      <c r="N2157">
        <f>IF(D2157="", "Gap - No Legal Basis", IF(AND(D2157="Consent (GDPR Art. 6(1)(a))", I2157="Not Captured"), "Gap - Invalid Consent", IF(AND(D2157="Legitimate Interest (GDPR Art. 6(1)(f))", L2157=""), "Gap - Missing LIA", IF(AND(G2157="Yes", H2157=""), "Gap - Missing Art. 9 Basis", IF(OR(I2157="Invalid - Not Freely Given", I2157="Invalid - Not Specific", I2157="Invalid - Not Informed", I2157="Invalid - Ambiguous"), "Gap - Invalid Consent", "Compliant")))))</f>
        <v/>
      </c>
      <c r="O2157" s="7" t="n"/>
    </row>
    <row r="2158">
      <c r="A2158" s="7" t="n"/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>
        <f>IF(D2158="Legitimate Interest (GDPR Art. 6(1)(f))", "Yes / Required (Sheet 3)", "")</f>
        <v/>
      </c>
      <c r="L2158" s="7" t="n"/>
      <c r="M2158" s="7" t="n"/>
      <c r="N2158">
        <f>IF(D2158="", "Gap - No Legal Basis", IF(AND(D2158="Consent (GDPR Art. 6(1)(a))", I2158="Not Captured"), "Gap - Invalid Consent", IF(AND(D2158="Legitimate Interest (GDPR Art. 6(1)(f))", L2158=""), "Gap - Missing LIA", IF(AND(G2158="Yes", H2158=""), "Gap - Missing Art. 9 Basis", IF(OR(I2158="Invalid - Not Freely Given", I2158="Invalid - Not Specific", I2158="Invalid - Not Informed", I2158="Invalid - Ambiguous"), "Gap - Invalid Consent", "Compliant")))))</f>
        <v/>
      </c>
      <c r="O2158" s="7" t="n"/>
    </row>
    <row r="2159">
      <c r="A2159" s="7" t="n"/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>
        <f>IF(D2159="Legitimate Interest (GDPR Art. 6(1)(f))", "Yes / Required (Sheet 3)", "")</f>
        <v/>
      </c>
      <c r="L2159" s="7" t="n"/>
      <c r="M2159" s="7" t="n"/>
      <c r="N2159">
        <f>IF(D2159="", "Gap - No Legal Basis", IF(AND(D2159="Consent (GDPR Art. 6(1)(a))", I2159="Not Captured"), "Gap - Invalid Consent", IF(AND(D2159="Legitimate Interest (GDPR Art. 6(1)(f))", L2159=""), "Gap - Missing LIA", IF(AND(G2159="Yes", H2159=""), "Gap - Missing Art. 9 Basis", IF(OR(I2159="Invalid - Not Freely Given", I2159="Invalid - Not Specific", I2159="Invalid - Not Informed", I2159="Invalid - Ambiguous"), "Gap - Invalid Consent", "Compliant")))))</f>
        <v/>
      </c>
      <c r="O2159" s="7" t="n"/>
    </row>
    <row r="2160">
      <c r="A2160" s="7" t="n"/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>
        <f>IF(D2160="Legitimate Interest (GDPR Art. 6(1)(f))", "Yes / Required (Sheet 3)", "")</f>
        <v/>
      </c>
      <c r="L2160" s="7" t="n"/>
      <c r="M2160" s="7" t="n"/>
      <c r="N2160">
        <f>IF(D2160="", "Gap - No Legal Basis", IF(AND(D2160="Consent (GDPR Art. 6(1)(a))", I2160="Not Captured"), "Gap - Invalid Consent", IF(AND(D2160="Legitimate Interest (GDPR Art. 6(1)(f))", L2160=""), "Gap - Missing LIA", IF(AND(G2160="Yes", H2160=""), "Gap - Missing Art. 9 Basis", IF(OR(I2160="Invalid - Not Freely Given", I2160="Invalid - Not Specific", I2160="Invalid - Not Informed", I2160="Invalid - Ambiguous"), "Gap - Invalid Consent", "Compliant")))))</f>
        <v/>
      </c>
      <c r="O2160" s="7" t="n"/>
    </row>
    <row r="2161">
      <c r="A2161" s="7" t="n"/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>
        <f>IF(D2161="Legitimate Interest (GDPR Art. 6(1)(f))", "Yes / Required (Sheet 3)", "")</f>
        <v/>
      </c>
      <c r="L2161" s="7" t="n"/>
      <c r="M2161" s="7" t="n"/>
      <c r="N2161">
        <f>IF(D2161="", "Gap - No Legal Basis", IF(AND(D2161="Consent (GDPR Art. 6(1)(a))", I2161="Not Captured"), "Gap - Invalid Consent", IF(AND(D2161="Legitimate Interest (GDPR Art. 6(1)(f))", L2161=""), "Gap - Missing LIA", IF(AND(G2161="Yes", H2161=""), "Gap - Missing Art. 9 Basis", IF(OR(I2161="Invalid - Not Freely Given", I2161="Invalid - Not Specific", I2161="Invalid - Not Informed", I2161="Invalid - Ambiguous"), "Gap - Invalid Consent", "Compliant")))))</f>
        <v/>
      </c>
      <c r="O2161" s="7" t="n"/>
    </row>
    <row r="2162">
      <c r="A2162" s="7" t="n"/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>
        <f>IF(D2162="Legitimate Interest (GDPR Art. 6(1)(f))", "Yes / Required (Sheet 3)", "")</f>
        <v/>
      </c>
      <c r="L2162" s="7" t="n"/>
      <c r="M2162" s="7" t="n"/>
      <c r="N2162">
        <f>IF(D2162="", "Gap - No Legal Basis", IF(AND(D2162="Consent (GDPR Art. 6(1)(a))", I2162="Not Captured"), "Gap - Invalid Consent", IF(AND(D2162="Legitimate Interest (GDPR Art. 6(1)(f))", L2162=""), "Gap - Missing LIA", IF(AND(G2162="Yes", H2162=""), "Gap - Missing Art. 9 Basis", IF(OR(I2162="Invalid - Not Freely Given", I2162="Invalid - Not Specific", I2162="Invalid - Not Informed", I2162="Invalid - Ambiguous"), "Gap - Invalid Consent", "Compliant")))))</f>
        <v/>
      </c>
      <c r="O2162" s="7" t="n"/>
    </row>
    <row r="2163">
      <c r="A2163" s="7" t="n"/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>
        <f>IF(D2163="Legitimate Interest (GDPR Art. 6(1)(f))", "Yes / Required (Sheet 3)", "")</f>
        <v/>
      </c>
      <c r="L2163" s="7" t="n"/>
      <c r="M2163" s="7" t="n"/>
      <c r="N2163">
        <f>IF(D2163="", "Gap - No Legal Basis", IF(AND(D2163="Consent (GDPR Art. 6(1)(a))", I2163="Not Captured"), "Gap - Invalid Consent", IF(AND(D2163="Legitimate Interest (GDPR Art. 6(1)(f))", L2163=""), "Gap - Missing LIA", IF(AND(G2163="Yes", H2163=""), "Gap - Missing Art. 9 Basis", IF(OR(I2163="Invalid - Not Freely Given", I2163="Invalid - Not Specific", I2163="Invalid - Not Informed", I2163="Invalid - Ambiguous"), "Gap - Invalid Consent", "Compliant")))))</f>
        <v/>
      </c>
      <c r="O2163" s="7" t="n"/>
    </row>
    <row r="2164">
      <c r="A2164" s="7" t="n"/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>
        <f>IF(D2164="Legitimate Interest (GDPR Art. 6(1)(f))", "Yes / Required (Sheet 3)", "")</f>
        <v/>
      </c>
      <c r="L2164" s="7" t="n"/>
      <c r="M2164" s="7" t="n"/>
      <c r="N2164">
        <f>IF(D2164="", "Gap - No Legal Basis", IF(AND(D2164="Consent (GDPR Art. 6(1)(a))", I2164="Not Captured"), "Gap - Invalid Consent", IF(AND(D2164="Legitimate Interest (GDPR Art. 6(1)(f))", L2164=""), "Gap - Missing LIA", IF(AND(G2164="Yes", H2164=""), "Gap - Missing Art. 9 Basis", IF(OR(I2164="Invalid - Not Freely Given", I2164="Invalid - Not Specific", I2164="Invalid - Not Informed", I2164="Invalid - Ambiguous"), "Gap - Invalid Consent", "Compliant")))))</f>
        <v/>
      </c>
      <c r="O2164" s="7" t="n"/>
    </row>
    <row r="2165">
      <c r="A2165" s="7" t="n"/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>
        <f>IF(D2165="Legitimate Interest (GDPR Art. 6(1)(f))", "Yes / Required (Sheet 3)", "")</f>
        <v/>
      </c>
      <c r="L2165" s="7" t="n"/>
      <c r="M2165" s="7" t="n"/>
      <c r="N2165">
        <f>IF(D2165="", "Gap - No Legal Basis", IF(AND(D2165="Consent (GDPR Art. 6(1)(a))", I2165="Not Captured"), "Gap - Invalid Consent", IF(AND(D2165="Legitimate Interest (GDPR Art. 6(1)(f))", L2165=""), "Gap - Missing LIA", IF(AND(G2165="Yes", H2165=""), "Gap - Missing Art. 9 Basis", IF(OR(I2165="Invalid - Not Freely Given", I2165="Invalid - Not Specific", I2165="Invalid - Not Informed", I2165="Invalid - Ambiguous"), "Gap - Invalid Consent", "Compliant")))))</f>
        <v/>
      </c>
      <c r="O2165" s="7" t="n"/>
    </row>
    <row r="2166">
      <c r="A2166" s="7" t="n"/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>
        <f>IF(D2166="Legitimate Interest (GDPR Art. 6(1)(f))", "Yes / Required (Sheet 3)", "")</f>
        <v/>
      </c>
      <c r="L2166" s="7" t="n"/>
      <c r="M2166" s="7" t="n"/>
      <c r="N2166">
        <f>IF(D2166="", "Gap - No Legal Basis", IF(AND(D2166="Consent (GDPR Art. 6(1)(a))", I2166="Not Captured"), "Gap - Invalid Consent", IF(AND(D2166="Legitimate Interest (GDPR Art. 6(1)(f))", L2166=""), "Gap - Missing LIA", IF(AND(G2166="Yes", H2166=""), "Gap - Missing Art. 9 Basis", IF(OR(I2166="Invalid - Not Freely Given", I2166="Invalid - Not Specific", I2166="Invalid - Not Informed", I2166="Invalid - Ambiguous"), "Gap - Invalid Consent", "Compliant")))))</f>
        <v/>
      </c>
      <c r="O2166" s="7" t="n"/>
    </row>
    <row r="2167">
      <c r="A2167" s="7" t="n"/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>
        <f>IF(D2167="Legitimate Interest (GDPR Art. 6(1)(f))", "Yes / Required (Sheet 3)", "")</f>
        <v/>
      </c>
      <c r="L2167" s="7" t="n"/>
      <c r="M2167" s="7" t="n"/>
      <c r="N2167">
        <f>IF(D2167="", "Gap - No Legal Basis", IF(AND(D2167="Consent (GDPR Art. 6(1)(a))", I2167="Not Captured"), "Gap - Invalid Consent", IF(AND(D2167="Legitimate Interest (GDPR Art. 6(1)(f))", L2167=""), "Gap - Missing LIA", IF(AND(G2167="Yes", H2167=""), "Gap - Missing Art. 9 Basis", IF(OR(I2167="Invalid - Not Freely Given", I2167="Invalid - Not Specific", I2167="Invalid - Not Informed", I2167="Invalid - Ambiguous"), "Gap - Invalid Consent", "Compliant")))))</f>
        <v/>
      </c>
      <c r="O2167" s="7" t="n"/>
    </row>
    <row r="2168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>
        <f>IF(D2168="Legitimate Interest (GDPR Art. 6(1)(f))", "Yes / Required (Sheet 3)", "")</f>
        <v/>
      </c>
      <c r="L2168" s="7" t="n"/>
      <c r="M2168" s="7" t="n"/>
      <c r="N2168">
        <f>IF(D2168="", "Gap - No Legal Basis", IF(AND(D2168="Consent (GDPR Art. 6(1)(a))", I2168="Not Captured"), "Gap - Invalid Consent", IF(AND(D2168="Legitimate Interest (GDPR Art. 6(1)(f))", L2168=""), "Gap - Missing LIA", IF(AND(G2168="Yes", H2168=""), "Gap - Missing Art. 9 Basis", IF(OR(I2168="Invalid - Not Freely Given", I2168="Invalid - Not Specific", I2168="Invalid - Not Informed", I2168="Invalid - Ambiguous"), "Gap - Invalid Consent", "Compliant")))))</f>
        <v/>
      </c>
      <c r="O2168" s="7" t="n"/>
    </row>
    <row r="2169">
      <c r="A2169" s="7" t="n"/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>
        <f>IF(D2169="Legitimate Interest (GDPR Art. 6(1)(f))", "Yes / Required (Sheet 3)", "")</f>
        <v/>
      </c>
      <c r="L2169" s="7" t="n"/>
      <c r="M2169" s="7" t="n"/>
      <c r="N2169">
        <f>IF(D2169="", "Gap - No Legal Basis", IF(AND(D2169="Consent (GDPR Art. 6(1)(a))", I2169="Not Captured"), "Gap - Invalid Consent", IF(AND(D2169="Legitimate Interest (GDPR Art. 6(1)(f))", L2169=""), "Gap - Missing LIA", IF(AND(G2169="Yes", H2169=""), "Gap - Missing Art. 9 Basis", IF(OR(I2169="Invalid - Not Freely Given", I2169="Invalid - Not Specific", I2169="Invalid - Not Informed", I2169="Invalid - Ambiguous"), "Gap - Invalid Consent", "Compliant")))))</f>
        <v/>
      </c>
      <c r="O2169" s="7" t="n"/>
    </row>
    <row r="2170">
      <c r="A2170" s="7" t="n"/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>
        <f>IF(D2170="Legitimate Interest (GDPR Art. 6(1)(f))", "Yes / Required (Sheet 3)", "")</f>
        <v/>
      </c>
      <c r="L2170" s="7" t="n"/>
      <c r="M2170" s="7" t="n"/>
      <c r="N2170">
        <f>IF(D2170="", "Gap - No Legal Basis", IF(AND(D2170="Consent (GDPR Art. 6(1)(a))", I2170="Not Captured"), "Gap - Invalid Consent", IF(AND(D2170="Legitimate Interest (GDPR Art. 6(1)(f))", L2170=""), "Gap - Missing LIA", IF(AND(G2170="Yes", H2170=""), "Gap - Missing Art. 9 Basis", IF(OR(I2170="Invalid - Not Freely Given", I2170="Invalid - Not Specific", I2170="Invalid - Not Informed", I2170="Invalid - Ambiguous"), "Gap - Invalid Consent", "Compliant")))))</f>
        <v/>
      </c>
      <c r="O2170" s="7" t="n"/>
    </row>
    <row r="2171">
      <c r="A2171" s="7" t="n"/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>
        <f>IF(D2171="Legitimate Interest (GDPR Art. 6(1)(f))", "Yes / Required (Sheet 3)", "")</f>
        <v/>
      </c>
      <c r="L2171" s="7" t="n"/>
      <c r="M2171" s="7" t="n"/>
      <c r="N2171">
        <f>IF(D2171="", "Gap - No Legal Basis", IF(AND(D2171="Consent (GDPR Art. 6(1)(a))", I2171="Not Captured"), "Gap - Invalid Consent", IF(AND(D2171="Legitimate Interest (GDPR Art. 6(1)(f))", L2171=""), "Gap - Missing LIA", IF(AND(G2171="Yes", H2171=""), "Gap - Missing Art. 9 Basis", IF(OR(I2171="Invalid - Not Freely Given", I2171="Invalid - Not Specific", I2171="Invalid - Not Informed", I2171="Invalid - Ambiguous"), "Gap - Invalid Consent", "Compliant")))))</f>
        <v/>
      </c>
      <c r="O2171" s="7" t="n"/>
    </row>
    <row r="2172">
      <c r="A2172" s="7" t="n"/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>
        <f>IF(D2172="Legitimate Interest (GDPR Art. 6(1)(f))", "Yes / Required (Sheet 3)", "")</f>
        <v/>
      </c>
      <c r="L2172" s="7" t="n"/>
      <c r="M2172" s="7" t="n"/>
      <c r="N2172">
        <f>IF(D2172="", "Gap - No Legal Basis", IF(AND(D2172="Consent (GDPR Art. 6(1)(a))", I2172="Not Captured"), "Gap - Invalid Consent", IF(AND(D2172="Legitimate Interest (GDPR Art. 6(1)(f))", L2172=""), "Gap - Missing LIA", IF(AND(G2172="Yes", H2172=""), "Gap - Missing Art. 9 Basis", IF(OR(I2172="Invalid - Not Freely Given", I2172="Invalid - Not Specific", I2172="Invalid - Not Informed", I2172="Invalid - Ambiguous"), "Gap - Invalid Consent", "Compliant")))))</f>
        <v/>
      </c>
      <c r="O2172" s="7" t="n"/>
    </row>
    <row r="2173">
      <c r="A2173" s="7" t="n"/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>
        <f>IF(D2173="Legitimate Interest (GDPR Art. 6(1)(f))", "Yes / Required (Sheet 3)", "")</f>
        <v/>
      </c>
      <c r="L2173" s="7" t="n"/>
      <c r="M2173" s="7" t="n"/>
      <c r="N2173">
        <f>IF(D2173="", "Gap - No Legal Basis", IF(AND(D2173="Consent (GDPR Art. 6(1)(a))", I2173="Not Captured"), "Gap - Invalid Consent", IF(AND(D2173="Legitimate Interest (GDPR Art. 6(1)(f))", L2173=""), "Gap - Missing LIA", IF(AND(G2173="Yes", H2173=""), "Gap - Missing Art. 9 Basis", IF(OR(I2173="Invalid - Not Freely Given", I2173="Invalid - Not Specific", I2173="Invalid - Not Informed", I2173="Invalid - Ambiguous"), "Gap - Invalid Consent", "Compliant")))))</f>
        <v/>
      </c>
      <c r="O2173" s="7" t="n"/>
    </row>
    <row r="2174">
      <c r="A2174" s="7" t="n"/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>
        <f>IF(D2174="Legitimate Interest (GDPR Art. 6(1)(f))", "Yes / Required (Sheet 3)", "")</f>
        <v/>
      </c>
      <c r="L2174" s="7" t="n"/>
      <c r="M2174" s="7" t="n"/>
      <c r="N2174">
        <f>IF(D2174="", "Gap - No Legal Basis", IF(AND(D2174="Consent (GDPR Art. 6(1)(a))", I2174="Not Captured"), "Gap - Invalid Consent", IF(AND(D2174="Legitimate Interest (GDPR Art. 6(1)(f))", L2174=""), "Gap - Missing LIA", IF(AND(G2174="Yes", H2174=""), "Gap - Missing Art. 9 Basis", IF(OR(I2174="Invalid - Not Freely Given", I2174="Invalid - Not Specific", I2174="Invalid - Not Informed", I2174="Invalid - Ambiguous"), "Gap - Invalid Consent", "Compliant")))))</f>
        <v/>
      </c>
      <c r="O2174" s="7" t="n"/>
    </row>
    <row r="2175">
      <c r="A2175" s="7" t="n"/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>
        <f>IF(D2175="Legitimate Interest (GDPR Art. 6(1)(f))", "Yes / Required (Sheet 3)", "")</f>
        <v/>
      </c>
      <c r="L2175" s="7" t="n"/>
      <c r="M2175" s="7" t="n"/>
      <c r="N2175">
        <f>IF(D2175="", "Gap - No Legal Basis", IF(AND(D2175="Consent (GDPR Art. 6(1)(a))", I2175="Not Captured"), "Gap - Invalid Consent", IF(AND(D2175="Legitimate Interest (GDPR Art. 6(1)(f))", L2175=""), "Gap - Missing LIA", IF(AND(G2175="Yes", H2175=""), "Gap - Missing Art. 9 Basis", IF(OR(I2175="Invalid - Not Freely Given", I2175="Invalid - Not Specific", I2175="Invalid - Not Informed", I2175="Invalid - Ambiguous"), "Gap - Invalid Consent", "Compliant")))))</f>
        <v/>
      </c>
      <c r="O2175" s="7" t="n"/>
    </row>
    <row r="2176">
      <c r="A2176" s="7" t="n"/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>
        <f>IF(D2176="Legitimate Interest (GDPR Art. 6(1)(f))", "Yes / Required (Sheet 3)", "")</f>
        <v/>
      </c>
      <c r="L2176" s="7" t="n"/>
      <c r="M2176" s="7" t="n"/>
      <c r="N2176">
        <f>IF(D2176="", "Gap - No Legal Basis", IF(AND(D2176="Consent (GDPR Art. 6(1)(a))", I2176="Not Captured"), "Gap - Invalid Consent", IF(AND(D2176="Legitimate Interest (GDPR Art. 6(1)(f))", L2176=""), "Gap - Missing LIA", IF(AND(G2176="Yes", H2176=""), "Gap - Missing Art. 9 Basis", IF(OR(I2176="Invalid - Not Freely Given", I2176="Invalid - Not Specific", I2176="Invalid - Not Informed", I2176="Invalid - Ambiguous"), "Gap - Invalid Consent", "Compliant")))))</f>
        <v/>
      </c>
      <c r="O2176" s="7" t="n"/>
    </row>
    <row r="2177">
      <c r="A2177" s="7" t="n"/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>
        <f>IF(D2177="Legitimate Interest (GDPR Art. 6(1)(f))", "Yes / Required (Sheet 3)", "")</f>
        <v/>
      </c>
      <c r="L2177" s="7" t="n"/>
      <c r="M2177" s="7" t="n"/>
      <c r="N2177">
        <f>IF(D2177="", "Gap - No Legal Basis", IF(AND(D2177="Consent (GDPR Art. 6(1)(a))", I2177="Not Captured"), "Gap - Invalid Consent", IF(AND(D2177="Legitimate Interest (GDPR Art. 6(1)(f))", L2177=""), "Gap - Missing LIA", IF(AND(G2177="Yes", H2177=""), "Gap - Missing Art. 9 Basis", IF(OR(I2177="Invalid - Not Freely Given", I2177="Invalid - Not Specific", I2177="Invalid - Not Informed", I2177="Invalid - Ambiguous"), "Gap - Invalid Consent", "Compliant")))))</f>
        <v/>
      </c>
      <c r="O2177" s="7" t="n"/>
    </row>
    <row r="2178">
      <c r="A2178" s="7" t="n"/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>
        <f>IF(D2178="Legitimate Interest (GDPR Art. 6(1)(f))", "Yes / Required (Sheet 3)", "")</f>
        <v/>
      </c>
      <c r="L2178" s="7" t="n"/>
      <c r="M2178" s="7" t="n"/>
      <c r="N2178">
        <f>IF(D2178="", "Gap - No Legal Basis", IF(AND(D2178="Consent (GDPR Art. 6(1)(a))", I2178="Not Captured"), "Gap - Invalid Consent", IF(AND(D2178="Legitimate Interest (GDPR Art. 6(1)(f))", L2178=""), "Gap - Missing LIA", IF(AND(G2178="Yes", H2178=""), "Gap - Missing Art. 9 Basis", IF(OR(I2178="Invalid - Not Freely Given", I2178="Invalid - Not Specific", I2178="Invalid - Not Informed", I2178="Invalid - Ambiguous"), "Gap - Invalid Consent", "Compliant")))))</f>
        <v/>
      </c>
      <c r="O2178" s="7" t="n"/>
    </row>
    <row r="2179">
      <c r="A2179" s="7" t="n"/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>
        <f>IF(D2179="Legitimate Interest (GDPR Art. 6(1)(f))", "Yes / Required (Sheet 3)", "")</f>
        <v/>
      </c>
      <c r="L2179" s="7" t="n"/>
      <c r="M2179" s="7" t="n"/>
      <c r="N2179">
        <f>IF(D2179="", "Gap - No Legal Basis", IF(AND(D2179="Consent (GDPR Art. 6(1)(a))", I2179="Not Captured"), "Gap - Invalid Consent", IF(AND(D2179="Legitimate Interest (GDPR Art. 6(1)(f))", L2179=""), "Gap - Missing LIA", IF(AND(G2179="Yes", H2179=""), "Gap - Missing Art. 9 Basis", IF(OR(I2179="Invalid - Not Freely Given", I2179="Invalid - Not Specific", I2179="Invalid - Not Informed", I2179="Invalid - Ambiguous"), "Gap - Invalid Consent", "Compliant")))))</f>
        <v/>
      </c>
      <c r="O2179" s="7" t="n"/>
    </row>
    <row r="2180">
      <c r="A2180" s="7" t="n"/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>
        <f>IF(D2180="Legitimate Interest (GDPR Art. 6(1)(f))", "Yes / Required (Sheet 3)", "")</f>
        <v/>
      </c>
      <c r="L2180" s="7" t="n"/>
      <c r="M2180" s="7" t="n"/>
      <c r="N2180">
        <f>IF(D2180="", "Gap - No Legal Basis", IF(AND(D2180="Consent (GDPR Art. 6(1)(a))", I2180="Not Captured"), "Gap - Invalid Consent", IF(AND(D2180="Legitimate Interest (GDPR Art. 6(1)(f))", L2180=""), "Gap - Missing LIA", IF(AND(G2180="Yes", H2180=""), "Gap - Missing Art. 9 Basis", IF(OR(I2180="Invalid - Not Freely Given", I2180="Invalid - Not Specific", I2180="Invalid - Not Informed", I2180="Invalid - Ambiguous"), "Gap - Invalid Consent", "Compliant")))))</f>
        <v/>
      </c>
      <c r="O2180" s="7" t="n"/>
    </row>
    <row r="2181">
      <c r="A2181" s="7" t="n"/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>
        <f>IF(D2181="Legitimate Interest (GDPR Art. 6(1)(f))", "Yes / Required (Sheet 3)", "")</f>
        <v/>
      </c>
      <c r="L2181" s="7" t="n"/>
      <c r="M2181" s="7" t="n"/>
      <c r="N2181">
        <f>IF(D2181="", "Gap - No Legal Basis", IF(AND(D2181="Consent (GDPR Art. 6(1)(a))", I2181="Not Captured"), "Gap - Invalid Consent", IF(AND(D2181="Legitimate Interest (GDPR Art. 6(1)(f))", L2181=""), "Gap - Missing LIA", IF(AND(G2181="Yes", H2181=""), "Gap - Missing Art. 9 Basis", IF(OR(I2181="Invalid - Not Freely Given", I2181="Invalid - Not Specific", I2181="Invalid - Not Informed", I2181="Invalid - Ambiguous"), "Gap - Invalid Consent", "Compliant")))))</f>
        <v/>
      </c>
      <c r="O2181" s="7" t="n"/>
    </row>
    <row r="2182">
      <c r="A2182" s="7" t="n"/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>
        <f>IF(D2182="Legitimate Interest (GDPR Art. 6(1)(f))", "Yes / Required (Sheet 3)", "")</f>
        <v/>
      </c>
      <c r="L2182" s="7" t="n"/>
      <c r="M2182" s="7" t="n"/>
      <c r="N2182">
        <f>IF(D2182="", "Gap - No Legal Basis", IF(AND(D2182="Consent (GDPR Art. 6(1)(a))", I2182="Not Captured"), "Gap - Invalid Consent", IF(AND(D2182="Legitimate Interest (GDPR Art. 6(1)(f))", L2182=""), "Gap - Missing LIA", IF(AND(G2182="Yes", H2182=""), "Gap - Missing Art. 9 Basis", IF(OR(I2182="Invalid - Not Freely Given", I2182="Invalid - Not Specific", I2182="Invalid - Not Informed", I2182="Invalid - Ambiguous"), "Gap - Invalid Consent", "Compliant")))))</f>
        <v/>
      </c>
      <c r="O2182" s="7" t="n"/>
    </row>
    <row r="2183">
      <c r="A2183" s="7" t="n"/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>
        <f>IF(D2183="Legitimate Interest (GDPR Art. 6(1)(f))", "Yes / Required (Sheet 3)", "")</f>
        <v/>
      </c>
      <c r="L2183" s="7" t="n"/>
      <c r="M2183" s="7" t="n"/>
      <c r="N2183">
        <f>IF(D2183="", "Gap - No Legal Basis", IF(AND(D2183="Consent (GDPR Art. 6(1)(a))", I2183="Not Captured"), "Gap - Invalid Consent", IF(AND(D2183="Legitimate Interest (GDPR Art. 6(1)(f))", L2183=""), "Gap - Missing LIA", IF(AND(G2183="Yes", H2183=""), "Gap - Missing Art. 9 Basis", IF(OR(I2183="Invalid - Not Freely Given", I2183="Invalid - Not Specific", I2183="Invalid - Not Informed", I2183="Invalid - Ambiguous"), "Gap - Invalid Consent", "Compliant")))))</f>
        <v/>
      </c>
      <c r="O2183" s="7" t="n"/>
    </row>
    <row r="2184">
      <c r="A2184" s="7" t="n"/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>
        <f>IF(D2184="Legitimate Interest (GDPR Art. 6(1)(f))", "Yes / Required (Sheet 3)", "")</f>
        <v/>
      </c>
      <c r="L2184" s="7" t="n"/>
      <c r="M2184" s="7" t="n"/>
      <c r="N2184">
        <f>IF(D2184="", "Gap - No Legal Basis", IF(AND(D2184="Consent (GDPR Art. 6(1)(a))", I2184="Not Captured"), "Gap - Invalid Consent", IF(AND(D2184="Legitimate Interest (GDPR Art. 6(1)(f))", L2184=""), "Gap - Missing LIA", IF(AND(G2184="Yes", H2184=""), "Gap - Missing Art. 9 Basis", IF(OR(I2184="Invalid - Not Freely Given", I2184="Invalid - Not Specific", I2184="Invalid - Not Informed", I2184="Invalid - Ambiguous"), "Gap - Invalid Consent", "Compliant")))))</f>
        <v/>
      </c>
      <c r="O2184" s="7" t="n"/>
    </row>
    <row r="2185">
      <c r="A2185" s="7" t="n"/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>
        <f>IF(D2185="Legitimate Interest (GDPR Art. 6(1)(f))", "Yes / Required (Sheet 3)", "")</f>
        <v/>
      </c>
      <c r="L2185" s="7" t="n"/>
      <c r="M2185" s="7" t="n"/>
      <c r="N2185">
        <f>IF(D2185="", "Gap - No Legal Basis", IF(AND(D2185="Consent (GDPR Art. 6(1)(a))", I2185="Not Captured"), "Gap - Invalid Consent", IF(AND(D2185="Legitimate Interest (GDPR Art. 6(1)(f))", L2185=""), "Gap - Missing LIA", IF(AND(G2185="Yes", H2185=""), "Gap - Missing Art. 9 Basis", IF(OR(I2185="Invalid - Not Freely Given", I2185="Invalid - Not Specific", I2185="Invalid - Not Informed", I2185="Invalid - Ambiguous"), "Gap - Invalid Consent", "Compliant")))))</f>
        <v/>
      </c>
      <c r="O2185" s="7" t="n"/>
    </row>
    <row r="2186">
      <c r="A2186" s="7" t="n"/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>
        <f>IF(D2186="Legitimate Interest (GDPR Art. 6(1)(f))", "Yes / Required (Sheet 3)", "")</f>
        <v/>
      </c>
      <c r="L2186" s="7" t="n"/>
      <c r="M2186" s="7" t="n"/>
      <c r="N2186">
        <f>IF(D2186="", "Gap - No Legal Basis", IF(AND(D2186="Consent (GDPR Art. 6(1)(a))", I2186="Not Captured"), "Gap - Invalid Consent", IF(AND(D2186="Legitimate Interest (GDPR Art. 6(1)(f))", L2186=""), "Gap - Missing LIA", IF(AND(G2186="Yes", H2186=""), "Gap - Missing Art. 9 Basis", IF(OR(I2186="Invalid - Not Freely Given", I2186="Invalid - Not Specific", I2186="Invalid - Not Informed", I2186="Invalid - Ambiguous"), "Gap - Invalid Consent", "Compliant")))))</f>
        <v/>
      </c>
      <c r="O2186" s="7" t="n"/>
    </row>
    <row r="2187">
      <c r="A2187" s="7" t="n"/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>
        <f>IF(D2187="Legitimate Interest (GDPR Art. 6(1)(f))", "Yes / Required (Sheet 3)", "")</f>
        <v/>
      </c>
      <c r="L2187" s="7" t="n"/>
      <c r="M2187" s="7" t="n"/>
      <c r="N2187">
        <f>IF(D2187="", "Gap - No Legal Basis", IF(AND(D2187="Consent (GDPR Art. 6(1)(a))", I2187="Not Captured"), "Gap - Invalid Consent", IF(AND(D2187="Legitimate Interest (GDPR Art. 6(1)(f))", L2187=""), "Gap - Missing LIA", IF(AND(G2187="Yes", H2187=""), "Gap - Missing Art. 9 Basis", IF(OR(I2187="Invalid - Not Freely Given", I2187="Invalid - Not Specific", I2187="Invalid - Not Informed", I2187="Invalid - Ambiguous"), "Gap - Invalid Consent", "Compliant")))))</f>
        <v/>
      </c>
      <c r="O2187" s="7" t="n"/>
    </row>
    <row r="2188">
      <c r="A2188" s="7" t="n"/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>
        <f>IF(D2188="Legitimate Interest (GDPR Art. 6(1)(f))", "Yes / Required (Sheet 3)", "")</f>
        <v/>
      </c>
      <c r="L2188" s="7" t="n"/>
      <c r="M2188" s="7" t="n"/>
      <c r="N2188">
        <f>IF(D2188="", "Gap - No Legal Basis", IF(AND(D2188="Consent (GDPR Art. 6(1)(a))", I2188="Not Captured"), "Gap - Invalid Consent", IF(AND(D2188="Legitimate Interest (GDPR Art. 6(1)(f))", L2188=""), "Gap - Missing LIA", IF(AND(G2188="Yes", H2188=""), "Gap - Missing Art. 9 Basis", IF(OR(I2188="Invalid - Not Freely Given", I2188="Invalid - Not Specific", I2188="Invalid - Not Informed", I2188="Invalid - Ambiguous"), "Gap - Invalid Consent", "Compliant")))))</f>
        <v/>
      </c>
      <c r="O2188" s="7" t="n"/>
    </row>
    <row r="2189">
      <c r="A2189" s="7" t="n"/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>
        <f>IF(D2189="Legitimate Interest (GDPR Art. 6(1)(f))", "Yes / Required (Sheet 3)", "")</f>
        <v/>
      </c>
      <c r="L2189" s="7" t="n"/>
      <c r="M2189" s="7" t="n"/>
      <c r="N2189">
        <f>IF(D2189="", "Gap - No Legal Basis", IF(AND(D2189="Consent (GDPR Art. 6(1)(a))", I2189="Not Captured"), "Gap - Invalid Consent", IF(AND(D2189="Legitimate Interest (GDPR Art. 6(1)(f))", L2189=""), "Gap - Missing LIA", IF(AND(G2189="Yes", H2189=""), "Gap - Missing Art. 9 Basis", IF(OR(I2189="Invalid - Not Freely Given", I2189="Invalid - Not Specific", I2189="Invalid - Not Informed", I2189="Invalid - Ambiguous"), "Gap - Invalid Consent", "Compliant")))))</f>
        <v/>
      </c>
      <c r="O2189" s="7" t="n"/>
    </row>
    <row r="2190">
      <c r="A2190" s="7" t="n"/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>
        <f>IF(D2190="Legitimate Interest (GDPR Art. 6(1)(f))", "Yes / Required (Sheet 3)", "")</f>
        <v/>
      </c>
      <c r="L2190" s="7" t="n"/>
      <c r="M2190" s="7" t="n"/>
      <c r="N2190">
        <f>IF(D2190="", "Gap - No Legal Basis", IF(AND(D2190="Consent (GDPR Art. 6(1)(a))", I2190="Not Captured"), "Gap - Invalid Consent", IF(AND(D2190="Legitimate Interest (GDPR Art. 6(1)(f))", L2190=""), "Gap - Missing LIA", IF(AND(G2190="Yes", H2190=""), "Gap - Missing Art. 9 Basis", IF(OR(I2190="Invalid - Not Freely Given", I2190="Invalid - Not Specific", I2190="Invalid - Not Informed", I2190="Invalid - Ambiguous"), "Gap - Invalid Consent", "Compliant")))))</f>
        <v/>
      </c>
      <c r="O2190" s="7" t="n"/>
    </row>
    <row r="2191">
      <c r="A2191" s="7" t="n"/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>
        <f>IF(D2191="Legitimate Interest (GDPR Art. 6(1)(f))", "Yes / Required (Sheet 3)", "")</f>
        <v/>
      </c>
      <c r="L2191" s="7" t="n"/>
      <c r="M2191" s="7" t="n"/>
      <c r="N2191">
        <f>IF(D2191="", "Gap - No Legal Basis", IF(AND(D2191="Consent (GDPR Art. 6(1)(a))", I2191="Not Captured"), "Gap - Invalid Consent", IF(AND(D2191="Legitimate Interest (GDPR Art. 6(1)(f))", L2191=""), "Gap - Missing LIA", IF(AND(G2191="Yes", H2191=""), "Gap - Missing Art. 9 Basis", IF(OR(I2191="Invalid - Not Freely Given", I2191="Invalid - Not Specific", I2191="Invalid - Not Informed", I2191="Invalid - Ambiguous"), "Gap - Invalid Consent", "Compliant")))))</f>
        <v/>
      </c>
      <c r="O2191" s="7" t="n"/>
    </row>
    <row r="2192">
      <c r="A2192" s="7" t="n"/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>
        <f>IF(D2192="Legitimate Interest (GDPR Art. 6(1)(f))", "Yes / Required (Sheet 3)", "")</f>
        <v/>
      </c>
      <c r="L2192" s="7" t="n"/>
      <c r="M2192" s="7" t="n"/>
      <c r="N2192">
        <f>IF(D2192="", "Gap - No Legal Basis", IF(AND(D2192="Consent (GDPR Art. 6(1)(a))", I2192="Not Captured"), "Gap - Invalid Consent", IF(AND(D2192="Legitimate Interest (GDPR Art. 6(1)(f))", L2192=""), "Gap - Missing LIA", IF(AND(G2192="Yes", H2192=""), "Gap - Missing Art. 9 Basis", IF(OR(I2192="Invalid - Not Freely Given", I2192="Invalid - Not Specific", I2192="Invalid - Not Informed", I2192="Invalid - Ambiguous"), "Gap - Invalid Consent", "Compliant")))))</f>
        <v/>
      </c>
      <c r="O2192" s="7" t="n"/>
    </row>
    <row r="2193">
      <c r="A2193" s="7" t="n"/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>
        <f>IF(D2193="Legitimate Interest (GDPR Art. 6(1)(f))", "Yes / Required (Sheet 3)", "")</f>
        <v/>
      </c>
      <c r="L2193" s="7" t="n"/>
      <c r="M2193" s="7" t="n"/>
      <c r="N2193">
        <f>IF(D2193="", "Gap - No Legal Basis", IF(AND(D2193="Consent (GDPR Art. 6(1)(a))", I2193="Not Captured"), "Gap - Invalid Consent", IF(AND(D2193="Legitimate Interest (GDPR Art. 6(1)(f))", L2193=""), "Gap - Missing LIA", IF(AND(G2193="Yes", H2193=""), "Gap - Missing Art. 9 Basis", IF(OR(I2193="Invalid - Not Freely Given", I2193="Invalid - Not Specific", I2193="Invalid - Not Informed", I2193="Invalid - Ambiguous"), "Gap - Invalid Consent", "Compliant")))))</f>
        <v/>
      </c>
      <c r="O2193" s="7" t="n"/>
    </row>
    <row r="2194">
      <c r="A2194" s="7" t="n"/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>
        <f>IF(D2194="Legitimate Interest (GDPR Art. 6(1)(f))", "Yes / Required (Sheet 3)", "")</f>
        <v/>
      </c>
      <c r="L2194" s="7" t="n"/>
      <c r="M2194" s="7" t="n"/>
      <c r="N2194">
        <f>IF(D2194="", "Gap - No Legal Basis", IF(AND(D2194="Consent (GDPR Art. 6(1)(a))", I2194="Not Captured"), "Gap - Invalid Consent", IF(AND(D2194="Legitimate Interest (GDPR Art. 6(1)(f))", L2194=""), "Gap - Missing LIA", IF(AND(G2194="Yes", H2194=""), "Gap - Missing Art. 9 Basis", IF(OR(I2194="Invalid - Not Freely Given", I2194="Invalid - Not Specific", I2194="Invalid - Not Informed", I2194="Invalid - Ambiguous"), "Gap - Invalid Consent", "Compliant")))))</f>
        <v/>
      </c>
      <c r="O2194" s="7" t="n"/>
    </row>
    <row r="2195">
      <c r="A2195" s="7" t="n"/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>
        <f>IF(D2195="Legitimate Interest (GDPR Art. 6(1)(f))", "Yes / Required (Sheet 3)", "")</f>
        <v/>
      </c>
      <c r="L2195" s="7" t="n"/>
      <c r="M2195" s="7" t="n"/>
      <c r="N2195">
        <f>IF(D2195="", "Gap - No Legal Basis", IF(AND(D2195="Consent (GDPR Art. 6(1)(a))", I2195="Not Captured"), "Gap - Invalid Consent", IF(AND(D2195="Legitimate Interest (GDPR Art. 6(1)(f))", L2195=""), "Gap - Missing LIA", IF(AND(G2195="Yes", H2195=""), "Gap - Missing Art. 9 Basis", IF(OR(I2195="Invalid - Not Freely Given", I2195="Invalid - Not Specific", I2195="Invalid - Not Informed", I2195="Invalid - Ambiguous"), "Gap - Invalid Consent", "Compliant")))))</f>
        <v/>
      </c>
      <c r="O2195" s="7" t="n"/>
    </row>
    <row r="2196">
      <c r="A2196" s="7" t="n"/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>
        <f>IF(D2196="Legitimate Interest (GDPR Art. 6(1)(f))", "Yes / Required (Sheet 3)", "")</f>
        <v/>
      </c>
      <c r="L2196" s="7" t="n"/>
      <c r="M2196" s="7" t="n"/>
      <c r="N2196">
        <f>IF(D2196="", "Gap - No Legal Basis", IF(AND(D2196="Consent (GDPR Art. 6(1)(a))", I2196="Not Captured"), "Gap - Invalid Consent", IF(AND(D2196="Legitimate Interest (GDPR Art. 6(1)(f))", L2196=""), "Gap - Missing LIA", IF(AND(G2196="Yes", H2196=""), "Gap - Missing Art. 9 Basis", IF(OR(I2196="Invalid - Not Freely Given", I2196="Invalid - Not Specific", I2196="Invalid - Not Informed", I2196="Invalid - Ambiguous"), "Gap - Invalid Consent", "Compliant")))))</f>
        <v/>
      </c>
      <c r="O2196" s="7" t="n"/>
    </row>
    <row r="2197">
      <c r="A2197" s="7" t="n"/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>
        <f>IF(D2197="Legitimate Interest (GDPR Art. 6(1)(f))", "Yes / Required (Sheet 3)", "")</f>
        <v/>
      </c>
      <c r="L2197" s="7" t="n"/>
      <c r="M2197" s="7" t="n"/>
      <c r="N2197">
        <f>IF(D2197="", "Gap - No Legal Basis", IF(AND(D2197="Consent (GDPR Art. 6(1)(a))", I2197="Not Captured"), "Gap - Invalid Consent", IF(AND(D2197="Legitimate Interest (GDPR Art. 6(1)(f))", L2197=""), "Gap - Missing LIA", IF(AND(G2197="Yes", H2197=""), "Gap - Missing Art. 9 Basis", IF(OR(I2197="Invalid - Not Freely Given", I2197="Invalid - Not Specific", I2197="Invalid - Not Informed", I2197="Invalid - Ambiguous"), "Gap - Invalid Consent", "Compliant")))))</f>
        <v/>
      </c>
      <c r="O2197" s="7" t="n"/>
    </row>
    <row r="2198">
      <c r="A2198" s="7" t="n"/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>
        <f>IF(D2198="Legitimate Interest (GDPR Art. 6(1)(f))", "Yes / Required (Sheet 3)", "")</f>
        <v/>
      </c>
      <c r="L2198" s="7" t="n"/>
      <c r="M2198" s="7" t="n"/>
      <c r="N2198">
        <f>IF(D2198="", "Gap - No Legal Basis", IF(AND(D2198="Consent (GDPR Art. 6(1)(a))", I2198="Not Captured"), "Gap - Invalid Consent", IF(AND(D2198="Legitimate Interest (GDPR Art. 6(1)(f))", L2198=""), "Gap - Missing LIA", IF(AND(G2198="Yes", H2198=""), "Gap - Missing Art. 9 Basis", IF(OR(I2198="Invalid - Not Freely Given", I2198="Invalid - Not Specific", I2198="Invalid - Not Informed", I2198="Invalid - Ambiguous"), "Gap - Invalid Consent", "Compliant")))))</f>
        <v/>
      </c>
      <c r="O2198" s="7" t="n"/>
    </row>
    <row r="2199">
      <c r="A2199" s="7" t="n"/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>
        <f>IF(D2199="Legitimate Interest (GDPR Art. 6(1)(f))", "Yes / Required (Sheet 3)", "")</f>
        <v/>
      </c>
      <c r="L2199" s="7" t="n"/>
      <c r="M2199" s="7" t="n"/>
      <c r="N2199">
        <f>IF(D2199="", "Gap - No Legal Basis", IF(AND(D2199="Consent (GDPR Art. 6(1)(a))", I2199="Not Captured"), "Gap - Invalid Consent", IF(AND(D2199="Legitimate Interest (GDPR Art. 6(1)(f))", L2199=""), "Gap - Missing LIA", IF(AND(G2199="Yes", H2199=""), "Gap - Missing Art. 9 Basis", IF(OR(I2199="Invalid - Not Freely Given", I2199="Invalid - Not Specific", I2199="Invalid - Not Informed", I2199="Invalid - Ambiguous"), "Gap - Invalid Consent", "Compliant")))))</f>
        <v/>
      </c>
      <c r="O2199" s="7" t="n"/>
    </row>
    <row r="2200">
      <c r="A2200" s="7" t="n"/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>
        <f>IF(D2200="Legitimate Interest (GDPR Art. 6(1)(f))", "Yes / Required (Sheet 3)", "")</f>
        <v/>
      </c>
      <c r="L2200" s="7" t="n"/>
      <c r="M2200" s="7" t="n"/>
      <c r="N2200">
        <f>IF(D2200="", "Gap - No Legal Basis", IF(AND(D2200="Consent (GDPR Art. 6(1)(a))", I2200="Not Captured"), "Gap - Invalid Consent", IF(AND(D2200="Legitimate Interest (GDPR Art. 6(1)(f))", L2200=""), "Gap - Missing LIA", IF(AND(G2200="Yes", H2200=""), "Gap - Missing Art. 9 Basis", IF(OR(I2200="Invalid - Not Freely Given", I2200="Invalid - Not Specific", I2200="Invalid - Not Informed", I2200="Invalid - Ambiguous"), "Gap - Invalid Consent", "Compliant")))))</f>
        <v/>
      </c>
      <c r="O2200" s="7" t="n"/>
    </row>
    <row r="2201">
      <c r="A2201" s="7" t="n"/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>
        <f>IF(D2201="Legitimate Interest (GDPR Art. 6(1)(f))", "Yes / Required (Sheet 3)", "")</f>
        <v/>
      </c>
      <c r="L2201" s="7" t="n"/>
      <c r="M2201" s="7" t="n"/>
      <c r="N2201">
        <f>IF(D2201="", "Gap - No Legal Basis", IF(AND(D2201="Consent (GDPR Art. 6(1)(a))", I2201="Not Captured"), "Gap - Invalid Consent", IF(AND(D2201="Legitimate Interest (GDPR Art. 6(1)(f))", L2201=""), "Gap - Missing LIA", IF(AND(G2201="Yes", H2201=""), "Gap - Missing Art. 9 Basis", IF(OR(I2201="Invalid - Not Freely Given", I2201="Invalid - Not Specific", I2201="Invalid - Not Informed", I2201="Invalid - Ambiguous"), "Gap - Invalid Consent", "Compliant")))))</f>
        <v/>
      </c>
      <c r="O2201" s="7" t="n"/>
    </row>
    <row r="2202">
      <c r="A2202" s="7" t="n"/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>
        <f>IF(D2202="Legitimate Interest (GDPR Art. 6(1)(f))", "Yes / Required (Sheet 3)", "")</f>
        <v/>
      </c>
      <c r="L2202" s="7" t="n"/>
      <c r="M2202" s="7" t="n"/>
      <c r="N2202">
        <f>IF(D2202="", "Gap - No Legal Basis", IF(AND(D2202="Consent (GDPR Art. 6(1)(a))", I2202="Not Captured"), "Gap - Invalid Consent", IF(AND(D2202="Legitimate Interest (GDPR Art. 6(1)(f))", L2202=""), "Gap - Missing LIA", IF(AND(G2202="Yes", H2202=""), "Gap - Missing Art. 9 Basis", IF(OR(I2202="Invalid - Not Freely Given", I2202="Invalid - Not Specific", I2202="Invalid - Not Informed", I2202="Invalid - Ambiguous"), "Gap - Invalid Consent", "Compliant")))))</f>
        <v/>
      </c>
      <c r="O2202" s="7" t="n"/>
    </row>
    <row r="2203">
      <c r="A2203" s="7" t="n"/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>
        <f>IF(D2203="Legitimate Interest (GDPR Art. 6(1)(f))", "Yes / Required (Sheet 3)", "")</f>
        <v/>
      </c>
      <c r="L2203" s="7" t="n"/>
      <c r="M2203" s="7" t="n"/>
      <c r="N2203">
        <f>IF(D2203="", "Gap - No Legal Basis", IF(AND(D2203="Consent (GDPR Art. 6(1)(a))", I2203="Not Captured"), "Gap - Invalid Consent", IF(AND(D2203="Legitimate Interest (GDPR Art. 6(1)(f))", L2203=""), "Gap - Missing LIA", IF(AND(G2203="Yes", H2203=""), "Gap - Missing Art. 9 Basis", IF(OR(I2203="Invalid - Not Freely Given", I2203="Invalid - Not Specific", I2203="Invalid - Not Informed", I2203="Invalid - Ambiguous"), "Gap - Invalid Consent", "Compliant")))))</f>
        <v/>
      </c>
      <c r="O2203" s="7" t="n"/>
    </row>
    <row r="2204">
      <c r="A2204" s="7" t="n"/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>
        <f>IF(D2204="Legitimate Interest (GDPR Art. 6(1)(f))", "Yes / Required (Sheet 3)", "")</f>
        <v/>
      </c>
      <c r="L2204" s="7" t="n"/>
      <c r="M2204" s="7" t="n"/>
      <c r="N2204">
        <f>IF(D2204="", "Gap - No Legal Basis", IF(AND(D2204="Consent (GDPR Art. 6(1)(a))", I2204="Not Captured"), "Gap - Invalid Consent", IF(AND(D2204="Legitimate Interest (GDPR Art. 6(1)(f))", L2204=""), "Gap - Missing LIA", IF(AND(G2204="Yes", H2204=""), "Gap - Missing Art. 9 Basis", IF(OR(I2204="Invalid - Not Freely Given", I2204="Invalid - Not Specific", I2204="Invalid - Not Informed", I2204="Invalid - Ambiguous"), "Gap - Invalid Consent", "Compliant")))))</f>
        <v/>
      </c>
      <c r="O2204" s="7" t="n"/>
    </row>
    <row r="2205">
      <c r="A2205" s="7" t="n"/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>
        <f>IF(D2205="Legitimate Interest (GDPR Art. 6(1)(f))", "Yes / Required (Sheet 3)", "")</f>
        <v/>
      </c>
      <c r="L2205" s="7" t="n"/>
      <c r="M2205" s="7" t="n"/>
      <c r="N2205">
        <f>IF(D2205="", "Gap - No Legal Basis", IF(AND(D2205="Consent (GDPR Art. 6(1)(a))", I2205="Not Captured"), "Gap - Invalid Consent", IF(AND(D2205="Legitimate Interest (GDPR Art. 6(1)(f))", L2205=""), "Gap - Missing LIA", IF(AND(G2205="Yes", H2205=""), "Gap - Missing Art. 9 Basis", IF(OR(I2205="Invalid - Not Freely Given", I2205="Invalid - Not Specific", I2205="Invalid - Not Informed", I2205="Invalid - Ambiguous"), "Gap - Invalid Consent", "Compliant")))))</f>
        <v/>
      </c>
      <c r="O2205" s="7" t="n"/>
    </row>
    <row r="2206">
      <c r="A2206" s="7" t="n"/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>
        <f>IF(D2206="Legitimate Interest (GDPR Art. 6(1)(f))", "Yes / Required (Sheet 3)", "")</f>
        <v/>
      </c>
      <c r="L2206" s="7" t="n"/>
      <c r="M2206" s="7" t="n"/>
      <c r="N2206">
        <f>IF(D2206="", "Gap - No Legal Basis", IF(AND(D2206="Consent (GDPR Art. 6(1)(a))", I2206="Not Captured"), "Gap - Invalid Consent", IF(AND(D2206="Legitimate Interest (GDPR Art. 6(1)(f))", L2206=""), "Gap - Missing LIA", IF(AND(G2206="Yes", H2206=""), "Gap - Missing Art. 9 Basis", IF(OR(I2206="Invalid - Not Freely Given", I2206="Invalid - Not Specific", I2206="Invalid - Not Informed", I2206="Invalid - Ambiguous"), "Gap - Invalid Consent", "Compliant")))))</f>
        <v/>
      </c>
      <c r="O2206" s="7" t="n"/>
    </row>
    <row r="2207">
      <c r="A2207" s="7" t="n"/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>
        <f>IF(D2207="Legitimate Interest (GDPR Art. 6(1)(f))", "Yes / Required (Sheet 3)", "")</f>
        <v/>
      </c>
      <c r="L2207" s="7" t="n"/>
      <c r="M2207" s="7" t="n"/>
      <c r="N2207">
        <f>IF(D2207="", "Gap - No Legal Basis", IF(AND(D2207="Consent (GDPR Art. 6(1)(a))", I2207="Not Captured"), "Gap - Invalid Consent", IF(AND(D2207="Legitimate Interest (GDPR Art. 6(1)(f))", L2207=""), "Gap - Missing LIA", IF(AND(G2207="Yes", H2207=""), "Gap - Missing Art. 9 Basis", IF(OR(I2207="Invalid - Not Freely Given", I2207="Invalid - Not Specific", I2207="Invalid - Not Informed", I2207="Invalid - Ambiguous"), "Gap - Invalid Consent", "Compliant")))))</f>
        <v/>
      </c>
      <c r="O2207" s="7" t="n"/>
    </row>
    <row r="2208">
      <c r="A2208" s="7" t="n"/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>
        <f>IF(D2208="Legitimate Interest (GDPR Art. 6(1)(f))", "Yes / Required (Sheet 3)", "")</f>
        <v/>
      </c>
      <c r="L2208" s="7" t="n"/>
      <c r="M2208" s="7" t="n"/>
      <c r="N2208">
        <f>IF(D2208="", "Gap - No Legal Basis", IF(AND(D2208="Consent (GDPR Art. 6(1)(a))", I2208="Not Captured"), "Gap - Invalid Consent", IF(AND(D2208="Legitimate Interest (GDPR Art. 6(1)(f))", L2208=""), "Gap - Missing LIA", IF(AND(G2208="Yes", H2208=""), "Gap - Missing Art. 9 Basis", IF(OR(I2208="Invalid - Not Freely Given", I2208="Invalid - Not Specific", I2208="Invalid - Not Informed", I2208="Invalid - Ambiguous"), "Gap - Invalid Consent", "Compliant")))))</f>
        <v/>
      </c>
      <c r="O2208" s="7" t="n"/>
    </row>
    <row r="2209">
      <c r="A2209" s="7" t="n"/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>
        <f>IF(D2209="Legitimate Interest (GDPR Art. 6(1)(f))", "Yes / Required (Sheet 3)", "")</f>
        <v/>
      </c>
      <c r="L2209" s="7" t="n"/>
      <c r="M2209" s="7" t="n"/>
      <c r="N2209">
        <f>IF(D2209="", "Gap - No Legal Basis", IF(AND(D2209="Consent (GDPR Art. 6(1)(a))", I2209="Not Captured"), "Gap - Invalid Consent", IF(AND(D2209="Legitimate Interest (GDPR Art. 6(1)(f))", L2209=""), "Gap - Missing LIA", IF(AND(G2209="Yes", H2209=""), "Gap - Missing Art. 9 Basis", IF(OR(I2209="Invalid - Not Freely Given", I2209="Invalid - Not Specific", I2209="Invalid - Not Informed", I2209="Invalid - Ambiguous"), "Gap - Invalid Consent", "Compliant")))))</f>
        <v/>
      </c>
      <c r="O2209" s="7" t="n"/>
    </row>
    <row r="2210">
      <c r="A2210" s="7" t="n"/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>
        <f>IF(D2210="Legitimate Interest (GDPR Art. 6(1)(f))", "Yes / Required (Sheet 3)", "")</f>
        <v/>
      </c>
      <c r="L2210" s="7" t="n"/>
      <c r="M2210" s="7" t="n"/>
      <c r="N2210">
        <f>IF(D2210="", "Gap - No Legal Basis", IF(AND(D2210="Consent (GDPR Art. 6(1)(a))", I2210="Not Captured"), "Gap - Invalid Consent", IF(AND(D2210="Legitimate Interest (GDPR Art. 6(1)(f))", L2210=""), "Gap - Missing LIA", IF(AND(G2210="Yes", H2210=""), "Gap - Missing Art. 9 Basis", IF(OR(I2210="Invalid - Not Freely Given", I2210="Invalid - Not Specific", I2210="Invalid - Not Informed", I2210="Invalid - Ambiguous"), "Gap - Invalid Consent", "Compliant")))))</f>
        <v/>
      </c>
      <c r="O2210" s="7" t="n"/>
    </row>
    <row r="2211">
      <c r="A2211" s="7" t="n"/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>
        <f>IF(D2211="Legitimate Interest (GDPR Art. 6(1)(f))", "Yes / Required (Sheet 3)", "")</f>
        <v/>
      </c>
      <c r="L2211" s="7" t="n"/>
      <c r="M2211" s="7" t="n"/>
      <c r="N2211">
        <f>IF(D2211="", "Gap - No Legal Basis", IF(AND(D2211="Consent (GDPR Art. 6(1)(a))", I2211="Not Captured"), "Gap - Invalid Consent", IF(AND(D2211="Legitimate Interest (GDPR Art. 6(1)(f))", L2211=""), "Gap - Missing LIA", IF(AND(G2211="Yes", H2211=""), "Gap - Missing Art. 9 Basis", IF(OR(I2211="Invalid - Not Freely Given", I2211="Invalid - Not Specific", I2211="Invalid - Not Informed", I2211="Invalid - Ambiguous"), "Gap - Invalid Consent", "Compliant")))))</f>
        <v/>
      </c>
      <c r="O2211" s="7" t="n"/>
    </row>
    <row r="2212">
      <c r="A2212" s="7" t="n"/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>
        <f>IF(D2212="Legitimate Interest (GDPR Art. 6(1)(f))", "Yes / Required (Sheet 3)", "")</f>
        <v/>
      </c>
      <c r="L2212" s="7" t="n"/>
      <c r="M2212" s="7" t="n"/>
      <c r="N2212">
        <f>IF(D2212="", "Gap - No Legal Basis", IF(AND(D2212="Consent (GDPR Art. 6(1)(a))", I2212="Not Captured"), "Gap - Invalid Consent", IF(AND(D2212="Legitimate Interest (GDPR Art. 6(1)(f))", L2212=""), "Gap - Missing LIA", IF(AND(G2212="Yes", H2212=""), "Gap - Missing Art. 9 Basis", IF(OR(I2212="Invalid - Not Freely Given", I2212="Invalid - Not Specific", I2212="Invalid - Not Informed", I2212="Invalid - Ambiguous"), "Gap - Invalid Consent", "Compliant")))))</f>
        <v/>
      </c>
      <c r="O2212" s="7" t="n"/>
    </row>
    <row r="2213">
      <c r="A2213" s="7" t="n"/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>
        <f>IF(D2213="Legitimate Interest (GDPR Art. 6(1)(f))", "Yes / Required (Sheet 3)", "")</f>
        <v/>
      </c>
      <c r="L2213" s="7" t="n"/>
      <c r="M2213" s="7" t="n"/>
      <c r="N2213">
        <f>IF(D2213="", "Gap - No Legal Basis", IF(AND(D2213="Consent (GDPR Art. 6(1)(a))", I2213="Not Captured"), "Gap - Invalid Consent", IF(AND(D2213="Legitimate Interest (GDPR Art. 6(1)(f))", L2213=""), "Gap - Missing LIA", IF(AND(G2213="Yes", H2213=""), "Gap - Missing Art. 9 Basis", IF(OR(I2213="Invalid - Not Freely Given", I2213="Invalid - Not Specific", I2213="Invalid - Not Informed", I2213="Invalid - Ambiguous"), "Gap - Invalid Consent", "Compliant")))))</f>
        <v/>
      </c>
      <c r="O2213" s="7" t="n"/>
    </row>
    <row r="2214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>
        <f>IF(D2214="Legitimate Interest (GDPR Art. 6(1)(f))", "Yes / Required (Sheet 3)", "")</f>
        <v/>
      </c>
      <c r="L2214" s="7" t="n"/>
      <c r="M2214" s="7" t="n"/>
      <c r="N2214">
        <f>IF(D2214="", "Gap - No Legal Basis", IF(AND(D2214="Consent (GDPR Art. 6(1)(a))", I2214="Not Captured"), "Gap - Invalid Consent", IF(AND(D2214="Legitimate Interest (GDPR Art. 6(1)(f))", L2214=""), "Gap - Missing LIA", IF(AND(G2214="Yes", H2214=""), "Gap - Missing Art. 9 Basis", IF(OR(I2214="Invalid - Not Freely Given", I2214="Invalid - Not Specific", I2214="Invalid - Not Informed", I2214="Invalid - Ambiguous"), "Gap - Invalid Consent", "Compliant")))))</f>
        <v/>
      </c>
      <c r="O2214" s="7" t="n"/>
    </row>
    <row r="2215">
      <c r="A2215" s="7" t="n"/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>
        <f>IF(D2215="Legitimate Interest (GDPR Art. 6(1)(f))", "Yes / Required (Sheet 3)", "")</f>
        <v/>
      </c>
      <c r="L2215" s="7" t="n"/>
      <c r="M2215" s="7" t="n"/>
      <c r="N2215">
        <f>IF(D2215="", "Gap - No Legal Basis", IF(AND(D2215="Consent (GDPR Art. 6(1)(a))", I2215="Not Captured"), "Gap - Invalid Consent", IF(AND(D2215="Legitimate Interest (GDPR Art. 6(1)(f))", L2215=""), "Gap - Missing LIA", IF(AND(G2215="Yes", H2215=""), "Gap - Missing Art. 9 Basis", IF(OR(I2215="Invalid - Not Freely Given", I2215="Invalid - Not Specific", I2215="Invalid - Not Informed", I2215="Invalid - Ambiguous"), "Gap - Invalid Consent", "Compliant")))))</f>
        <v/>
      </c>
      <c r="O2215" s="7" t="n"/>
    </row>
    <row r="2216">
      <c r="A2216" s="7" t="n"/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>
        <f>IF(D2216="Legitimate Interest (GDPR Art. 6(1)(f))", "Yes / Required (Sheet 3)", "")</f>
        <v/>
      </c>
      <c r="L2216" s="7" t="n"/>
      <c r="M2216" s="7" t="n"/>
      <c r="N2216">
        <f>IF(D2216="", "Gap - No Legal Basis", IF(AND(D2216="Consent (GDPR Art. 6(1)(a))", I2216="Not Captured"), "Gap - Invalid Consent", IF(AND(D2216="Legitimate Interest (GDPR Art. 6(1)(f))", L2216=""), "Gap - Missing LIA", IF(AND(G2216="Yes", H2216=""), "Gap - Missing Art. 9 Basis", IF(OR(I2216="Invalid - Not Freely Given", I2216="Invalid - Not Specific", I2216="Invalid - Not Informed", I2216="Invalid - Ambiguous"), "Gap - Invalid Consent", "Compliant")))))</f>
        <v/>
      </c>
      <c r="O2216" s="7" t="n"/>
    </row>
    <row r="2217">
      <c r="A2217" s="7" t="n"/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>
        <f>IF(D2217="Legitimate Interest (GDPR Art. 6(1)(f))", "Yes / Required (Sheet 3)", "")</f>
        <v/>
      </c>
      <c r="L2217" s="7" t="n"/>
      <c r="M2217" s="7" t="n"/>
      <c r="N2217">
        <f>IF(D2217="", "Gap - No Legal Basis", IF(AND(D2217="Consent (GDPR Art. 6(1)(a))", I2217="Not Captured"), "Gap - Invalid Consent", IF(AND(D2217="Legitimate Interest (GDPR Art. 6(1)(f))", L2217=""), "Gap - Missing LIA", IF(AND(G2217="Yes", H2217=""), "Gap - Missing Art. 9 Basis", IF(OR(I2217="Invalid - Not Freely Given", I2217="Invalid - Not Specific", I2217="Invalid - Not Informed", I2217="Invalid - Ambiguous"), "Gap - Invalid Consent", "Compliant")))))</f>
        <v/>
      </c>
      <c r="O2217" s="7" t="n"/>
    </row>
    <row r="2218">
      <c r="A2218" s="7" t="n"/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>
        <f>IF(D2218="Legitimate Interest (GDPR Art. 6(1)(f))", "Yes / Required (Sheet 3)", "")</f>
        <v/>
      </c>
      <c r="L2218" s="7" t="n"/>
      <c r="M2218" s="7" t="n"/>
      <c r="N2218">
        <f>IF(D2218="", "Gap - No Legal Basis", IF(AND(D2218="Consent (GDPR Art. 6(1)(a))", I2218="Not Captured"), "Gap - Invalid Consent", IF(AND(D2218="Legitimate Interest (GDPR Art. 6(1)(f))", L2218=""), "Gap - Missing LIA", IF(AND(G2218="Yes", H2218=""), "Gap - Missing Art. 9 Basis", IF(OR(I2218="Invalid - Not Freely Given", I2218="Invalid - Not Specific", I2218="Invalid - Not Informed", I2218="Invalid - Ambiguous"), "Gap - Invalid Consent", "Compliant")))))</f>
        <v/>
      </c>
      <c r="O2218" s="7" t="n"/>
    </row>
    <row r="2219">
      <c r="A2219" s="7" t="n"/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>
        <f>IF(D2219="Legitimate Interest (GDPR Art. 6(1)(f))", "Yes / Required (Sheet 3)", "")</f>
        <v/>
      </c>
      <c r="L2219" s="7" t="n"/>
      <c r="M2219" s="7" t="n"/>
      <c r="N2219">
        <f>IF(D2219="", "Gap - No Legal Basis", IF(AND(D2219="Consent (GDPR Art. 6(1)(a))", I2219="Not Captured"), "Gap - Invalid Consent", IF(AND(D2219="Legitimate Interest (GDPR Art. 6(1)(f))", L2219=""), "Gap - Missing LIA", IF(AND(G2219="Yes", H2219=""), "Gap - Missing Art. 9 Basis", IF(OR(I2219="Invalid - Not Freely Given", I2219="Invalid - Not Specific", I2219="Invalid - Not Informed", I2219="Invalid - Ambiguous"), "Gap - Invalid Consent", "Compliant")))))</f>
        <v/>
      </c>
      <c r="O2219" s="7" t="n"/>
    </row>
    <row r="2220">
      <c r="A2220" s="7" t="n"/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>
        <f>IF(D2220="Legitimate Interest (GDPR Art. 6(1)(f))", "Yes / Required (Sheet 3)", "")</f>
        <v/>
      </c>
      <c r="L2220" s="7" t="n"/>
      <c r="M2220" s="7" t="n"/>
      <c r="N2220">
        <f>IF(D2220="", "Gap - No Legal Basis", IF(AND(D2220="Consent (GDPR Art. 6(1)(a))", I2220="Not Captured"), "Gap - Invalid Consent", IF(AND(D2220="Legitimate Interest (GDPR Art. 6(1)(f))", L2220=""), "Gap - Missing LIA", IF(AND(G2220="Yes", H2220=""), "Gap - Missing Art. 9 Basis", IF(OR(I2220="Invalid - Not Freely Given", I2220="Invalid - Not Specific", I2220="Invalid - Not Informed", I2220="Invalid - Ambiguous"), "Gap - Invalid Consent", "Compliant")))))</f>
        <v/>
      </c>
      <c r="O2220" s="7" t="n"/>
    </row>
    <row r="2221">
      <c r="A2221" s="7" t="n"/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>
        <f>IF(D2221="Legitimate Interest (GDPR Art. 6(1)(f))", "Yes / Required (Sheet 3)", "")</f>
        <v/>
      </c>
      <c r="L2221" s="7" t="n"/>
      <c r="M2221" s="7" t="n"/>
      <c r="N2221">
        <f>IF(D2221="", "Gap - No Legal Basis", IF(AND(D2221="Consent (GDPR Art. 6(1)(a))", I2221="Not Captured"), "Gap - Invalid Consent", IF(AND(D2221="Legitimate Interest (GDPR Art. 6(1)(f))", L2221=""), "Gap - Missing LIA", IF(AND(G2221="Yes", H2221=""), "Gap - Missing Art. 9 Basis", IF(OR(I2221="Invalid - Not Freely Given", I2221="Invalid - Not Specific", I2221="Invalid - Not Informed", I2221="Invalid - Ambiguous"), "Gap - Invalid Consent", "Compliant")))))</f>
        <v/>
      </c>
      <c r="O2221" s="7" t="n"/>
    </row>
    <row r="2222">
      <c r="A2222" s="7" t="n"/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>
        <f>IF(D2222="Legitimate Interest (GDPR Art. 6(1)(f))", "Yes / Required (Sheet 3)", "")</f>
        <v/>
      </c>
      <c r="L2222" s="7" t="n"/>
      <c r="M2222" s="7" t="n"/>
      <c r="N2222">
        <f>IF(D2222="", "Gap - No Legal Basis", IF(AND(D2222="Consent (GDPR Art. 6(1)(a))", I2222="Not Captured"), "Gap - Invalid Consent", IF(AND(D2222="Legitimate Interest (GDPR Art. 6(1)(f))", L2222=""), "Gap - Missing LIA", IF(AND(G2222="Yes", H2222=""), "Gap - Missing Art. 9 Basis", IF(OR(I2222="Invalid - Not Freely Given", I2222="Invalid - Not Specific", I2222="Invalid - Not Informed", I2222="Invalid - Ambiguous"), "Gap - Invalid Consent", "Compliant")))))</f>
        <v/>
      </c>
      <c r="O2222" s="7" t="n"/>
    </row>
    <row r="2223">
      <c r="A2223" s="7" t="n"/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>
        <f>IF(D2223="Legitimate Interest (GDPR Art. 6(1)(f))", "Yes / Required (Sheet 3)", "")</f>
        <v/>
      </c>
      <c r="L2223" s="7" t="n"/>
      <c r="M2223" s="7" t="n"/>
      <c r="N2223">
        <f>IF(D2223="", "Gap - No Legal Basis", IF(AND(D2223="Consent (GDPR Art. 6(1)(a))", I2223="Not Captured"), "Gap - Invalid Consent", IF(AND(D2223="Legitimate Interest (GDPR Art. 6(1)(f))", L2223=""), "Gap - Missing LIA", IF(AND(G2223="Yes", H2223=""), "Gap - Missing Art. 9 Basis", IF(OR(I2223="Invalid - Not Freely Given", I2223="Invalid - Not Specific", I2223="Invalid - Not Informed", I2223="Invalid - Ambiguous"), "Gap - Invalid Consent", "Compliant")))))</f>
        <v/>
      </c>
      <c r="O2223" s="7" t="n"/>
    </row>
    <row r="2224">
      <c r="A2224" s="7" t="n"/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>
        <f>IF(D2224="Legitimate Interest (GDPR Art. 6(1)(f))", "Yes / Required (Sheet 3)", "")</f>
        <v/>
      </c>
      <c r="L2224" s="7" t="n"/>
      <c r="M2224" s="7" t="n"/>
      <c r="N2224">
        <f>IF(D2224="", "Gap - No Legal Basis", IF(AND(D2224="Consent (GDPR Art. 6(1)(a))", I2224="Not Captured"), "Gap - Invalid Consent", IF(AND(D2224="Legitimate Interest (GDPR Art. 6(1)(f))", L2224=""), "Gap - Missing LIA", IF(AND(G2224="Yes", H2224=""), "Gap - Missing Art. 9 Basis", IF(OR(I2224="Invalid - Not Freely Given", I2224="Invalid - Not Specific", I2224="Invalid - Not Informed", I2224="Invalid - Ambiguous"), "Gap - Invalid Consent", "Compliant")))))</f>
        <v/>
      </c>
      <c r="O2224" s="7" t="n"/>
    </row>
    <row r="2225">
      <c r="A2225" s="7" t="n"/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>
        <f>IF(D2225="Legitimate Interest (GDPR Art. 6(1)(f))", "Yes / Required (Sheet 3)", "")</f>
        <v/>
      </c>
      <c r="L2225" s="7" t="n"/>
      <c r="M2225" s="7" t="n"/>
      <c r="N2225">
        <f>IF(D2225="", "Gap - No Legal Basis", IF(AND(D2225="Consent (GDPR Art. 6(1)(a))", I2225="Not Captured"), "Gap - Invalid Consent", IF(AND(D2225="Legitimate Interest (GDPR Art. 6(1)(f))", L2225=""), "Gap - Missing LIA", IF(AND(G2225="Yes", H2225=""), "Gap - Missing Art. 9 Basis", IF(OR(I2225="Invalid - Not Freely Given", I2225="Invalid - Not Specific", I2225="Invalid - Not Informed", I2225="Invalid - Ambiguous"), "Gap - Invalid Consent", "Compliant")))))</f>
        <v/>
      </c>
      <c r="O2225" s="7" t="n"/>
    </row>
    <row r="2226">
      <c r="A2226" s="7" t="n"/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>
        <f>IF(D2226="Legitimate Interest (GDPR Art. 6(1)(f))", "Yes / Required (Sheet 3)", "")</f>
        <v/>
      </c>
      <c r="L2226" s="7" t="n"/>
      <c r="M2226" s="7" t="n"/>
      <c r="N2226">
        <f>IF(D2226="", "Gap - No Legal Basis", IF(AND(D2226="Consent (GDPR Art. 6(1)(a))", I2226="Not Captured"), "Gap - Invalid Consent", IF(AND(D2226="Legitimate Interest (GDPR Art. 6(1)(f))", L2226=""), "Gap - Missing LIA", IF(AND(G2226="Yes", H2226=""), "Gap - Missing Art. 9 Basis", IF(OR(I2226="Invalid - Not Freely Given", I2226="Invalid - Not Specific", I2226="Invalid - Not Informed", I2226="Invalid - Ambiguous"), "Gap - Invalid Consent", "Compliant")))))</f>
        <v/>
      </c>
      <c r="O2226" s="7" t="n"/>
    </row>
    <row r="2227">
      <c r="A2227" s="7" t="n"/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>
        <f>IF(D2227="Legitimate Interest (GDPR Art. 6(1)(f))", "Yes / Required (Sheet 3)", "")</f>
        <v/>
      </c>
      <c r="L2227" s="7" t="n"/>
      <c r="M2227" s="7" t="n"/>
      <c r="N2227">
        <f>IF(D2227="", "Gap - No Legal Basis", IF(AND(D2227="Consent (GDPR Art. 6(1)(a))", I2227="Not Captured"), "Gap - Invalid Consent", IF(AND(D2227="Legitimate Interest (GDPR Art. 6(1)(f))", L2227=""), "Gap - Missing LIA", IF(AND(G2227="Yes", H2227=""), "Gap - Missing Art. 9 Basis", IF(OR(I2227="Invalid - Not Freely Given", I2227="Invalid - Not Specific", I2227="Invalid - Not Informed", I2227="Invalid - Ambiguous"), "Gap - Invalid Consent", "Compliant")))))</f>
        <v/>
      </c>
      <c r="O2227" s="7" t="n"/>
    </row>
    <row r="2228">
      <c r="A2228" s="7" t="n"/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>
        <f>IF(D2228="Legitimate Interest (GDPR Art. 6(1)(f))", "Yes / Required (Sheet 3)", "")</f>
        <v/>
      </c>
      <c r="L2228" s="7" t="n"/>
      <c r="M2228" s="7" t="n"/>
      <c r="N2228">
        <f>IF(D2228="", "Gap - No Legal Basis", IF(AND(D2228="Consent (GDPR Art. 6(1)(a))", I2228="Not Captured"), "Gap - Invalid Consent", IF(AND(D2228="Legitimate Interest (GDPR Art. 6(1)(f))", L2228=""), "Gap - Missing LIA", IF(AND(G2228="Yes", H2228=""), "Gap - Missing Art. 9 Basis", IF(OR(I2228="Invalid - Not Freely Given", I2228="Invalid - Not Specific", I2228="Invalid - Not Informed", I2228="Invalid - Ambiguous"), "Gap - Invalid Consent", "Compliant")))))</f>
        <v/>
      </c>
      <c r="O2228" s="7" t="n"/>
    </row>
    <row r="2229">
      <c r="A2229" s="7" t="n"/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>
        <f>IF(D2229="Legitimate Interest (GDPR Art. 6(1)(f))", "Yes / Required (Sheet 3)", "")</f>
        <v/>
      </c>
      <c r="L2229" s="7" t="n"/>
      <c r="M2229" s="7" t="n"/>
      <c r="N2229">
        <f>IF(D2229="", "Gap - No Legal Basis", IF(AND(D2229="Consent (GDPR Art. 6(1)(a))", I2229="Not Captured"), "Gap - Invalid Consent", IF(AND(D2229="Legitimate Interest (GDPR Art. 6(1)(f))", L2229=""), "Gap - Missing LIA", IF(AND(G2229="Yes", H2229=""), "Gap - Missing Art. 9 Basis", IF(OR(I2229="Invalid - Not Freely Given", I2229="Invalid - Not Specific", I2229="Invalid - Not Informed", I2229="Invalid - Ambiguous"), "Gap - Invalid Consent", "Compliant")))))</f>
        <v/>
      </c>
      <c r="O2229" s="7" t="n"/>
    </row>
    <row r="2230">
      <c r="A2230" s="7" t="n"/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>
        <f>IF(D2230="Legitimate Interest (GDPR Art. 6(1)(f))", "Yes / Required (Sheet 3)", "")</f>
        <v/>
      </c>
      <c r="L2230" s="7" t="n"/>
      <c r="M2230" s="7" t="n"/>
      <c r="N2230">
        <f>IF(D2230="", "Gap - No Legal Basis", IF(AND(D2230="Consent (GDPR Art. 6(1)(a))", I2230="Not Captured"), "Gap - Invalid Consent", IF(AND(D2230="Legitimate Interest (GDPR Art. 6(1)(f))", L2230=""), "Gap - Missing LIA", IF(AND(G2230="Yes", H2230=""), "Gap - Missing Art. 9 Basis", IF(OR(I2230="Invalid - Not Freely Given", I2230="Invalid - Not Specific", I2230="Invalid - Not Informed", I2230="Invalid - Ambiguous"), "Gap - Invalid Consent", "Compliant")))))</f>
        <v/>
      </c>
      <c r="O2230" s="7" t="n"/>
    </row>
    <row r="2231">
      <c r="A2231" s="7" t="n"/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>
        <f>IF(D2231="Legitimate Interest (GDPR Art. 6(1)(f))", "Yes / Required (Sheet 3)", "")</f>
        <v/>
      </c>
      <c r="L2231" s="7" t="n"/>
      <c r="M2231" s="7" t="n"/>
      <c r="N2231">
        <f>IF(D2231="", "Gap - No Legal Basis", IF(AND(D2231="Consent (GDPR Art. 6(1)(a))", I2231="Not Captured"), "Gap - Invalid Consent", IF(AND(D2231="Legitimate Interest (GDPR Art. 6(1)(f))", L2231=""), "Gap - Missing LIA", IF(AND(G2231="Yes", H2231=""), "Gap - Missing Art. 9 Basis", IF(OR(I2231="Invalid - Not Freely Given", I2231="Invalid - Not Specific", I2231="Invalid - Not Informed", I2231="Invalid - Ambiguous"), "Gap - Invalid Consent", "Compliant")))))</f>
        <v/>
      </c>
      <c r="O2231" s="7" t="n"/>
    </row>
    <row r="2232">
      <c r="A2232" s="7" t="n"/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>
        <f>IF(D2232="Legitimate Interest (GDPR Art. 6(1)(f))", "Yes / Required (Sheet 3)", "")</f>
        <v/>
      </c>
      <c r="L2232" s="7" t="n"/>
      <c r="M2232" s="7" t="n"/>
      <c r="N2232">
        <f>IF(D2232="", "Gap - No Legal Basis", IF(AND(D2232="Consent (GDPR Art. 6(1)(a))", I2232="Not Captured"), "Gap - Invalid Consent", IF(AND(D2232="Legitimate Interest (GDPR Art. 6(1)(f))", L2232=""), "Gap - Missing LIA", IF(AND(G2232="Yes", H2232=""), "Gap - Missing Art. 9 Basis", IF(OR(I2232="Invalid - Not Freely Given", I2232="Invalid - Not Specific", I2232="Invalid - Not Informed", I2232="Invalid - Ambiguous"), "Gap - Invalid Consent", "Compliant")))))</f>
        <v/>
      </c>
      <c r="O2232" s="7" t="n"/>
    </row>
    <row r="2233">
      <c r="A2233" s="7" t="n"/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>
        <f>IF(D2233="Legitimate Interest (GDPR Art. 6(1)(f))", "Yes / Required (Sheet 3)", "")</f>
        <v/>
      </c>
      <c r="L2233" s="7" t="n"/>
      <c r="M2233" s="7" t="n"/>
      <c r="N2233">
        <f>IF(D2233="", "Gap - No Legal Basis", IF(AND(D2233="Consent (GDPR Art. 6(1)(a))", I2233="Not Captured"), "Gap - Invalid Consent", IF(AND(D2233="Legitimate Interest (GDPR Art. 6(1)(f))", L2233=""), "Gap - Missing LIA", IF(AND(G2233="Yes", H2233=""), "Gap - Missing Art. 9 Basis", IF(OR(I2233="Invalid - Not Freely Given", I2233="Invalid - Not Specific", I2233="Invalid - Not Informed", I2233="Invalid - Ambiguous"), "Gap - Invalid Consent", "Compliant")))))</f>
        <v/>
      </c>
      <c r="O2233" s="7" t="n"/>
    </row>
    <row r="2234">
      <c r="A2234" s="7" t="n"/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>
        <f>IF(D2234="Legitimate Interest (GDPR Art. 6(1)(f))", "Yes / Required (Sheet 3)", "")</f>
        <v/>
      </c>
      <c r="L2234" s="7" t="n"/>
      <c r="M2234" s="7" t="n"/>
      <c r="N2234">
        <f>IF(D2234="", "Gap - No Legal Basis", IF(AND(D2234="Consent (GDPR Art. 6(1)(a))", I2234="Not Captured"), "Gap - Invalid Consent", IF(AND(D2234="Legitimate Interest (GDPR Art. 6(1)(f))", L2234=""), "Gap - Missing LIA", IF(AND(G2234="Yes", H2234=""), "Gap - Missing Art. 9 Basis", IF(OR(I2234="Invalid - Not Freely Given", I2234="Invalid - Not Specific", I2234="Invalid - Not Informed", I2234="Invalid - Ambiguous"), "Gap - Invalid Consent", "Compliant")))))</f>
        <v/>
      </c>
      <c r="O2234" s="7" t="n"/>
    </row>
    <row r="2235">
      <c r="A2235" s="7" t="n"/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>
        <f>IF(D2235="Legitimate Interest (GDPR Art. 6(1)(f))", "Yes / Required (Sheet 3)", "")</f>
        <v/>
      </c>
      <c r="L2235" s="7" t="n"/>
      <c r="M2235" s="7" t="n"/>
      <c r="N2235">
        <f>IF(D2235="", "Gap - No Legal Basis", IF(AND(D2235="Consent (GDPR Art. 6(1)(a))", I2235="Not Captured"), "Gap - Invalid Consent", IF(AND(D2235="Legitimate Interest (GDPR Art. 6(1)(f))", L2235=""), "Gap - Missing LIA", IF(AND(G2235="Yes", H2235=""), "Gap - Missing Art. 9 Basis", IF(OR(I2235="Invalid - Not Freely Given", I2235="Invalid - Not Specific", I2235="Invalid - Not Informed", I2235="Invalid - Ambiguous"), "Gap - Invalid Consent", "Compliant")))))</f>
        <v/>
      </c>
      <c r="O2235" s="7" t="n"/>
    </row>
    <row r="2236">
      <c r="A2236" s="7" t="n"/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>
        <f>IF(D2236="Legitimate Interest (GDPR Art. 6(1)(f))", "Yes / Required (Sheet 3)", "")</f>
        <v/>
      </c>
      <c r="L2236" s="7" t="n"/>
      <c r="M2236" s="7" t="n"/>
      <c r="N2236">
        <f>IF(D2236="", "Gap - No Legal Basis", IF(AND(D2236="Consent (GDPR Art. 6(1)(a))", I2236="Not Captured"), "Gap - Invalid Consent", IF(AND(D2236="Legitimate Interest (GDPR Art. 6(1)(f))", L2236=""), "Gap - Missing LIA", IF(AND(G2236="Yes", H2236=""), "Gap - Missing Art. 9 Basis", IF(OR(I2236="Invalid - Not Freely Given", I2236="Invalid - Not Specific", I2236="Invalid - Not Informed", I2236="Invalid - Ambiguous"), "Gap - Invalid Consent", "Compliant")))))</f>
        <v/>
      </c>
      <c r="O2236" s="7" t="n"/>
    </row>
    <row r="2237">
      <c r="A2237" s="7" t="n"/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>
        <f>IF(D2237="Legitimate Interest (GDPR Art. 6(1)(f))", "Yes / Required (Sheet 3)", "")</f>
        <v/>
      </c>
      <c r="L2237" s="7" t="n"/>
      <c r="M2237" s="7" t="n"/>
      <c r="N2237">
        <f>IF(D2237="", "Gap - No Legal Basis", IF(AND(D2237="Consent (GDPR Art. 6(1)(a))", I2237="Not Captured"), "Gap - Invalid Consent", IF(AND(D2237="Legitimate Interest (GDPR Art. 6(1)(f))", L2237=""), "Gap - Missing LIA", IF(AND(G2237="Yes", H2237=""), "Gap - Missing Art. 9 Basis", IF(OR(I2237="Invalid - Not Freely Given", I2237="Invalid - Not Specific", I2237="Invalid - Not Informed", I2237="Invalid - Ambiguous"), "Gap - Invalid Consent", "Compliant")))))</f>
        <v/>
      </c>
      <c r="O2237" s="7" t="n"/>
    </row>
    <row r="2238">
      <c r="A2238" s="7" t="n"/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>
        <f>IF(D2238="Legitimate Interest (GDPR Art. 6(1)(f))", "Yes / Required (Sheet 3)", "")</f>
        <v/>
      </c>
      <c r="L2238" s="7" t="n"/>
      <c r="M2238" s="7" t="n"/>
      <c r="N2238">
        <f>IF(D2238="", "Gap - No Legal Basis", IF(AND(D2238="Consent (GDPR Art. 6(1)(a))", I2238="Not Captured"), "Gap - Invalid Consent", IF(AND(D2238="Legitimate Interest (GDPR Art. 6(1)(f))", L2238=""), "Gap - Missing LIA", IF(AND(G2238="Yes", H2238=""), "Gap - Missing Art. 9 Basis", IF(OR(I2238="Invalid - Not Freely Given", I2238="Invalid - Not Specific", I2238="Invalid - Not Informed", I2238="Invalid - Ambiguous"), "Gap - Invalid Consent", "Compliant")))))</f>
        <v/>
      </c>
      <c r="O2238" s="7" t="n"/>
    </row>
    <row r="2239">
      <c r="A2239" s="7" t="n"/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>
        <f>IF(D2239="Legitimate Interest (GDPR Art. 6(1)(f))", "Yes / Required (Sheet 3)", "")</f>
        <v/>
      </c>
      <c r="L2239" s="7" t="n"/>
      <c r="M2239" s="7" t="n"/>
      <c r="N2239">
        <f>IF(D2239="", "Gap - No Legal Basis", IF(AND(D2239="Consent (GDPR Art. 6(1)(a))", I2239="Not Captured"), "Gap - Invalid Consent", IF(AND(D2239="Legitimate Interest (GDPR Art. 6(1)(f))", L2239=""), "Gap - Missing LIA", IF(AND(G2239="Yes", H2239=""), "Gap - Missing Art. 9 Basis", IF(OR(I2239="Invalid - Not Freely Given", I2239="Invalid - Not Specific", I2239="Invalid - Not Informed", I2239="Invalid - Ambiguous"), "Gap - Invalid Consent", "Compliant")))))</f>
        <v/>
      </c>
      <c r="O2239" s="7" t="n"/>
    </row>
    <row r="2240">
      <c r="A2240" s="7" t="n"/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>
        <f>IF(D2240="Legitimate Interest (GDPR Art. 6(1)(f))", "Yes / Required (Sheet 3)", "")</f>
        <v/>
      </c>
      <c r="L2240" s="7" t="n"/>
      <c r="M2240" s="7" t="n"/>
      <c r="N2240">
        <f>IF(D2240="", "Gap - No Legal Basis", IF(AND(D2240="Consent (GDPR Art. 6(1)(a))", I2240="Not Captured"), "Gap - Invalid Consent", IF(AND(D2240="Legitimate Interest (GDPR Art. 6(1)(f))", L2240=""), "Gap - Missing LIA", IF(AND(G2240="Yes", H2240=""), "Gap - Missing Art. 9 Basis", IF(OR(I2240="Invalid - Not Freely Given", I2240="Invalid - Not Specific", I2240="Invalid - Not Informed", I2240="Invalid - Ambiguous"), "Gap - Invalid Consent", "Compliant")))))</f>
        <v/>
      </c>
      <c r="O2240" s="7" t="n"/>
    </row>
    <row r="2241">
      <c r="A2241" s="7" t="n"/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>
        <f>IF(D2241="Legitimate Interest (GDPR Art. 6(1)(f))", "Yes / Required (Sheet 3)", "")</f>
        <v/>
      </c>
      <c r="L2241" s="7" t="n"/>
      <c r="M2241" s="7" t="n"/>
      <c r="N2241">
        <f>IF(D2241="", "Gap - No Legal Basis", IF(AND(D2241="Consent (GDPR Art. 6(1)(a))", I2241="Not Captured"), "Gap - Invalid Consent", IF(AND(D2241="Legitimate Interest (GDPR Art. 6(1)(f))", L2241=""), "Gap - Missing LIA", IF(AND(G2241="Yes", H2241=""), "Gap - Missing Art. 9 Basis", IF(OR(I2241="Invalid - Not Freely Given", I2241="Invalid - Not Specific", I2241="Invalid - Not Informed", I2241="Invalid - Ambiguous"), "Gap - Invalid Consent", "Compliant")))))</f>
        <v/>
      </c>
      <c r="O2241" s="7" t="n"/>
    </row>
    <row r="2242">
      <c r="A2242" s="7" t="n"/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>
        <f>IF(D2242="Legitimate Interest (GDPR Art. 6(1)(f))", "Yes / Required (Sheet 3)", "")</f>
        <v/>
      </c>
      <c r="L2242" s="7" t="n"/>
      <c r="M2242" s="7" t="n"/>
      <c r="N2242">
        <f>IF(D2242="", "Gap - No Legal Basis", IF(AND(D2242="Consent (GDPR Art. 6(1)(a))", I2242="Not Captured"), "Gap - Invalid Consent", IF(AND(D2242="Legitimate Interest (GDPR Art. 6(1)(f))", L2242=""), "Gap - Missing LIA", IF(AND(G2242="Yes", H2242=""), "Gap - Missing Art. 9 Basis", IF(OR(I2242="Invalid - Not Freely Given", I2242="Invalid - Not Specific", I2242="Invalid - Not Informed", I2242="Invalid - Ambiguous"), "Gap - Invalid Consent", "Compliant")))))</f>
        <v/>
      </c>
      <c r="O2242" s="7" t="n"/>
    </row>
    <row r="2243">
      <c r="A2243" s="7" t="n"/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>
        <f>IF(D2243="Legitimate Interest (GDPR Art. 6(1)(f))", "Yes / Required (Sheet 3)", "")</f>
        <v/>
      </c>
      <c r="L2243" s="7" t="n"/>
      <c r="M2243" s="7" t="n"/>
      <c r="N2243">
        <f>IF(D2243="", "Gap - No Legal Basis", IF(AND(D2243="Consent (GDPR Art. 6(1)(a))", I2243="Not Captured"), "Gap - Invalid Consent", IF(AND(D2243="Legitimate Interest (GDPR Art. 6(1)(f))", L2243=""), "Gap - Missing LIA", IF(AND(G2243="Yes", H2243=""), "Gap - Missing Art. 9 Basis", IF(OR(I2243="Invalid - Not Freely Given", I2243="Invalid - Not Specific", I2243="Invalid - Not Informed", I2243="Invalid - Ambiguous"), "Gap - Invalid Consent", "Compliant")))))</f>
        <v/>
      </c>
      <c r="O2243" s="7" t="n"/>
    </row>
    <row r="2244">
      <c r="A2244" s="7" t="n"/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>
        <f>IF(D2244="Legitimate Interest (GDPR Art. 6(1)(f))", "Yes / Required (Sheet 3)", "")</f>
        <v/>
      </c>
      <c r="L2244" s="7" t="n"/>
      <c r="M2244" s="7" t="n"/>
      <c r="N2244">
        <f>IF(D2244="", "Gap - No Legal Basis", IF(AND(D2244="Consent (GDPR Art. 6(1)(a))", I2244="Not Captured"), "Gap - Invalid Consent", IF(AND(D2244="Legitimate Interest (GDPR Art. 6(1)(f))", L2244=""), "Gap - Missing LIA", IF(AND(G2244="Yes", H2244=""), "Gap - Missing Art. 9 Basis", IF(OR(I2244="Invalid - Not Freely Given", I2244="Invalid - Not Specific", I2244="Invalid - Not Informed", I2244="Invalid - Ambiguous"), "Gap - Invalid Consent", "Compliant")))))</f>
        <v/>
      </c>
      <c r="O2244" s="7" t="n"/>
    </row>
    <row r="2245">
      <c r="A2245" s="7" t="n"/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>
        <f>IF(D2245="Legitimate Interest (GDPR Art. 6(1)(f))", "Yes / Required (Sheet 3)", "")</f>
        <v/>
      </c>
      <c r="L2245" s="7" t="n"/>
      <c r="M2245" s="7" t="n"/>
      <c r="N2245">
        <f>IF(D2245="", "Gap - No Legal Basis", IF(AND(D2245="Consent (GDPR Art. 6(1)(a))", I2245="Not Captured"), "Gap - Invalid Consent", IF(AND(D2245="Legitimate Interest (GDPR Art. 6(1)(f))", L2245=""), "Gap - Missing LIA", IF(AND(G2245="Yes", H2245=""), "Gap - Missing Art. 9 Basis", IF(OR(I2245="Invalid - Not Freely Given", I2245="Invalid - Not Specific", I2245="Invalid - Not Informed", I2245="Invalid - Ambiguous"), "Gap - Invalid Consent", "Compliant")))))</f>
        <v/>
      </c>
      <c r="O2245" s="7" t="n"/>
    </row>
    <row r="2246">
      <c r="A2246" s="7" t="n"/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>
        <f>IF(D2246="Legitimate Interest (GDPR Art. 6(1)(f))", "Yes / Required (Sheet 3)", "")</f>
        <v/>
      </c>
      <c r="L2246" s="7" t="n"/>
      <c r="M2246" s="7" t="n"/>
      <c r="N2246">
        <f>IF(D2246="", "Gap - No Legal Basis", IF(AND(D2246="Consent (GDPR Art. 6(1)(a))", I2246="Not Captured"), "Gap - Invalid Consent", IF(AND(D2246="Legitimate Interest (GDPR Art. 6(1)(f))", L2246=""), "Gap - Missing LIA", IF(AND(G2246="Yes", H2246=""), "Gap - Missing Art. 9 Basis", IF(OR(I2246="Invalid - Not Freely Given", I2246="Invalid - Not Specific", I2246="Invalid - Not Informed", I2246="Invalid - Ambiguous"), "Gap - Invalid Consent", "Compliant")))))</f>
        <v/>
      </c>
      <c r="O2246" s="7" t="n"/>
    </row>
    <row r="2247">
      <c r="A2247" s="7" t="n"/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>
        <f>IF(D2247="Legitimate Interest (GDPR Art. 6(1)(f))", "Yes / Required (Sheet 3)", "")</f>
        <v/>
      </c>
      <c r="L2247" s="7" t="n"/>
      <c r="M2247" s="7" t="n"/>
      <c r="N2247">
        <f>IF(D2247="", "Gap - No Legal Basis", IF(AND(D2247="Consent (GDPR Art. 6(1)(a))", I2247="Not Captured"), "Gap - Invalid Consent", IF(AND(D2247="Legitimate Interest (GDPR Art. 6(1)(f))", L2247=""), "Gap - Missing LIA", IF(AND(G2247="Yes", H2247=""), "Gap - Missing Art. 9 Basis", IF(OR(I2247="Invalid - Not Freely Given", I2247="Invalid - Not Specific", I2247="Invalid - Not Informed", I2247="Invalid - Ambiguous"), "Gap - Invalid Consent", "Compliant")))))</f>
        <v/>
      </c>
      <c r="O2247" s="7" t="n"/>
    </row>
    <row r="2248">
      <c r="A2248" s="7" t="n"/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>
        <f>IF(D2248="Legitimate Interest (GDPR Art. 6(1)(f))", "Yes / Required (Sheet 3)", "")</f>
        <v/>
      </c>
      <c r="L2248" s="7" t="n"/>
      <c r="M2248" s="7" t="n"/>
      <c r="N2248">
        <f>IF(D2248="", "Gap - No Legal Basis", IF(AND(D2248="Consent (GDPR Art. 6(1)(a))", I2248="Not Captured"), "Gap - Invalid Consent", IF(AND(D2248="Legitimate Interest (GDPR Art. 6(1)(f))", L2248=""), "Gap - Missing LIA", IF(AND(G2248="Yes", H2248=""), "Gap - Missing Art. 9 Basis", IF(OR(I2248="Invalid - Not Freely Given", I2248="Invalid - Not Specific", I2248="Invalid - Not Informed", I2248="Invalid - Ambiguous"), "Gap - Invalid Consent", "Compliant")))))</f>
        <v/>
      </c>
      <c r="O2248" s="7" t="n"/>
    </row>
    <row r="2249">
      <c r="A2249" s="7" t="n"/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>
        <f>IF(D2249="Legitimate Interest (GDPR Art. 6(1)(f))", "Yes / Required (Sheet 3)", "")</f>
        <v/>
      </c>
      <c r="L2249" s="7" t="n"/>
      <c r="M2249" s="7" t="n"/>
      <c r="N2249">
        <f>IF(D2249="", "Gap - No Legal Basis", IF(AND(D2249="Consent (GDPR Art. 6(1)(a))", I2249="Not Captured"), "Gap - Invalid Consent", IF(AND(D2249="Legitimate Interest (GDPR Art. 6(1)(f))", L2249=""), "Gap - Missing LIA", IF(AND(G2249="Yes", H2249=""), "Gap - Missing Art. 9 Basis", IF(OR(I2249="Invalid - Not Freely Given", I2249="Invalid - Not Specific", I2249="Invalid - Not Informed", I2249="Invalid - Ambiguous"), "Gap - Invalid Consent", "Compliant")))))</f>
        <v/>
      </c>
      <c r="O2249" s="7" t="n"/>
    </row>
    <row r="2250">
      <c r="A2250" s="7" t="n"/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>
        <f>IF(D2250="Legitimate Interest (GDPR Art. 6(1)(f))", "Yes / Required (Sheet 3)", "")</f>
        <v/>
      </c>
      <c r="L2250" s="7" t="n"/>
      <c r="M2250" s="7" t="n"/>
      <c r="N2250">
        <f>IF(D2250="", "Gap - No Legal Basis", IF(AND(D2250="Consent (GDPR Art. 6(1)(a))", I2250="Not Captured"), "Gap - Invalid Consent", IF(AND(D2250="Legitimate Interest (GDPR Art. 6(1)(f))", L2250=""), "Gap - Missing LIA", IF(AND(G2250="Yes", H2250=""), "Gap - Missing Art. 9 Basis", IF(OR(I2250="Invalid - Not Freely Given", I2250="Invalid - Not Specific", I2250="Invalid - Not Informed", I2250="Invalid - Ambiguous"), "Gap - Invalid Consent", "Compliant")))))</f>
        <v/>
      </c>
      <c r="O2250" s="7" t="n"/>
    </row>
    <row r="2251">
      <c r="A2251" s="7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>
        <f>IF(D2251="Legitimate Interest (GDPR Art. 6(1)(f))", "Yes / Required (Sheet 3)", "")</f>
        <v/>
      </c>
      <c r="L2251" s="7" t="n"/>
      <c r="M2251" s="7" t="n"/>
      <c r="N2251">
        <f>IF(D2251="", "Gap - No Legal Basis", IF(AND(D2251="Consent (GDPR Art. 6(1)(a))", I2251="Not Captured"), "Gap - Invalid Consent", IF(AND(D2251="Legitimate Interest (GDPR Art. 6(1)(f))", L2251=""), "Gap - Missing LIA", IF(AND(G2251="Yes", H2251=""), "Gap - Missing Art. 9 Basis", IF(OR(I2251="Invalid - Not Freely Given", I2251="Invalid - Not Specific", I2251="Invalid - Not Informed", I2251="Invalid - Ambiguous"), "Gap - Invalid Consent", "Compliant")))))</f>
        <v/>
      </c>
      <c r="O2251" s="7" t="n"/>
    </row>
    <row r="2252">
      <c r="A2252" s="7" t="n"/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>
        <f>IF(D2252="Legitimate Interest (GDPR Art. 6(1)(f))", "Yes / Required (Sheet 3)", "")</f>
        <v/>
      </c>
      <c r="L2252" s="7" t="n"/>
      <c r="M2252" s="7" t="n"/>
      <c r="N2252">
        <f>IF(D2252="", "Gap - No Legal Basis", IF(AND(D2252="Consent (GDPR Art. 6(1)(a))", I2252="Not Captured"), "Gap - Invalid Consent", IF(AND(D2252="Legitimate Interest (GDPR Art. 6(1)(f))", L2252=""), "Gap - Missing LIA", IF(AND(G2252="Yes", H2252=""), "Gap - Missing Art. 9 Basis", IF(OR(I2252="Invalid - Not Freely Given", I2252="Invalid - Not Specific", I2252="Invalid - Not Informed", I2252="Invalid - Ambiguous"), "Gap - Invalid Consent", "Compliant")))))</f>
        <v/>
      </c>
      <c r="O2252" s="7" t="n"/>
    </row>
    <row r="2253">
      <c r="A2253" s="7" t="n"/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>
        <f>IF(D2253="Legitimate Interest (GDPR Art. 6(1)(f))", "Yes / Required (Sheet 3)", "")</f>
        <v/>
      </c>
      <c r="L2253" s="7" t="n"/>
      <c r="M2253" s="7" t="n"/>
      <c r="N2253">
        <f>IF(D2253="", "Gap - No Legal Basis", IF(AND(D2253="Consent (GDPR Art. 6(1)(a))", I2253="Not Captured"), "Gap - Invalid Consent", IF(AND(D2253="Legitimate Interest (GDPR Art. 6(1)(f))", L2253=""), "Gap - Missing LIA", IF(AND(G2253="Yes", H2253=""), "Gap - Missing Art. 9 Basis", IF(OR(I2253="Invalid - Not Freely Given", I2253="Invalid - Not Specific", I2253="Invalid - Not Informed", I2253="Invalid - Ambiguous"), "Gap - Invalid Consent", "Compliant")))))</f>
        <v/>
      </c>
      <c r="O2253" s="7" t="n"/>
    </row>
    <row r="2254">
      <c r="A2254" s="7" t="n"/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>
        <f>IF(D2254="Legitimate Interest (GDPR Art. 6(1)(f))", "Yes / Required (Sheet 3)", "")</f>
        <v/>
      </c>
      <c r="L2254" s="7" t="n"/>
      <c r="M2254" s="7" t="n"/>
      <c r="N2254">
        <f>IF(D2254="", "Gap - No Legal Basis", IF(AND(D2254="Consent (GDPR Art. 6(1)(a))", I2254="Not Captured"), "Gap - Invalid Consent", IF(AND(D2254="Legitimate Interest (GDPR Art. 6(1)(f))", L2254=""), "Gap - Missing LIA", IF(AND(G2254="Yes", H2254=""), "Gap - Missing Art. 9 Basis", IF(OR(I2254="Invalid - Not Freely Given", I2254="Invalid - Not Specific", I2254="Invalid - Not Informed", I2254="Invalid - Ambiguous"), "Gap - Invalid Consent", "Compliant")))))</f>
        <v/>
      </c>
      <c r="O2254" s="7" t="n"/>
    </row>
    <row r="2255">
      <c r="A2255" s="7" t="n"/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>
        <f>IF(D2255="Legitimate Interest (GDPR Art. 6(1)(f))", "Yes / Required (Sheet 3)", "")</f>
        <v/>
      </c>
      <c r="L2255" s="7" t="n"/>
      <c r="M2255" s="7" t="n"/>
      <c r="N2255">
        <f>IF(D2255="", "Gap - No Legal Basis", IF(AND(D2255="Consent (GDPR Art. 6(1)(a))", I2255="Not Captured"), "Gap - Invalid Consent", IF(AND(D2255="Legitimate Interest (GDPR Art. 6(1)(f))", L2255=""), "Gap - Missing LIA", IF(AND(G2255="Yes", H2255=""), "Gap - Missing Art. 9 Basis", IF(OR(I2255="Invalid - Not Freely Given", I2255="Invalid - Not Specific", I2255="Invalid - Not Informed", I2255="Invalid - Ambiguous"), "Gap - Invalid Consent", "Compliant")))))</f>
        <v/>
      </c>
      <c r="O2255" s="7" t="n"/>
    </row>
    <row r="2256">
      <c r="A2256" s="7" t="n"/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>
        <f>IF(D2256="Legitimate Interest (GDPR Art. 6(1)(f))", "Yes / Required (Sheet 3)", "")</f>
        <v/>
      </c>
      <c r="L2256" s="7" t="n"/>
      <c r="M2256" s="7" t="n"/>
      <c r="N2256">
        <f>IF(D2256="", "Gap - No Legal Basis", IF(AND(D2256="Consent (GDPR Art. 6(1)(a))", I2256="Not Captured"), "Gap - Invalid Consent", IF(AND(D2256="Legitimate Interest (GDPR Art. 6(1)(f))", L2256=""), "Gap - Missing LIA", IF(AND(G2256="Yes", H2256=""), "Gap - Missing Art. 9 Basis", IF(OR(I2256="Invalid - Not Freely Given", I2256="Invalid - Not Specific", I2256="Invalid - Not Informed", I2256="Invalid - Ambiguous"), "Gap - Invalid Consent", "Compliant")))))</f>
        <v/>
      </c>
      <c r="O2256" s="7" t="n"/>
    </row>
    <row r="2257">
      <c r="A2257" s="7" t="n"/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>
        <f>IF(D2257="Legitimate Interest (GDPR Art. 6(1)(f))", "Yes / Required (Sheet 3)", "")</f>
        <v/>
      </c>
      <c r="L2257" s="7" t="n"/>
      <c r="M2257" s="7" t="n"/>
      <c r="N2257">
        <f>IF(D2257="", "Gap - No Legal Basis", IF(AND(D2257="Consent (GDPR Art. 6(1)(a))", I2257="Not Captured"), "Gap - Invalid Consent", IF(AND(D2257="Legitimate Interest (GDPR Art. 6(1)(f))", L2257=""), "Gap - Missing LIA", IF(AND(G2257="Yes", H2257=""), "Gap - Missing Art. 9 Basis", IF(OR(I2257="Invalid - Not Freely Given", I2257="Invalid - Not Specific", I2257="Invalid - Not Informed", I2257="Invalid - Ambiguous"), "Gap - Invalid Consent", "Compliant")))))</f>
        <v/>
      </c>
      <c r="O2257" s="7" t="n"/>
    </row>
    <row r="2258">
      <c r="A2258" s="7" t="n"/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>
        <f>IF(D2258="Legitimate Interest (GDPR Art. 6(1)(f))", "Yes / Required (Sheet 3)", "")</f>
        <v/>
      </c>
      <c r="L2258" s="7" t="n"/>
      <c r="M2258" s="7" t="n"/>
      <c r="N2258">
        <f>IF(D2258="", "Gap - No Legal Basis", IF(AND(D2258="Consent (GDPR Art. 6(1)(a))", I2258="Not Captured"), "Gap - Invalid Consent", IF(AND(D2258="Legitimate Interest (GDPR Art. 6(1)(f))", L2258=""), "Gap - Missing LIA", IF(AND(G2258="Yes", H2258=""), "Gap - Missing Art. 9 Basis", IF(OR(I2258="Invalid - Not Freely Given", I2258="Invalid - Not Specific", I2258="Invalid - Not Informed", I2258="Invalid - Ambiguous"), "Gap - Invalid Consent", "Compliant")))))</f>
        <v/>
      </c>
      <c r="O2258" s="7" t="n"/>
    </row>
    <row r="2259">
      <c r="A2259" s="7" t="n"/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>
        <f>IF(D2259="Legitimate Interest (GDPR Art. 6(1)(f))", "Yes / Required (Sheet 3)", "")</f>
        <v/>
      </c>
      <c r="L2259" s="7" t="n"/>
      <c r="M2259" s="7" t="n"/>
      <c r="N2259">
        <f>IF(D2259="", "Gap - No Legal Basis", IF(AND(D2259="Consent (GDPR Art. 6(1)(a))", I2259="Not Captured"), "Gap - Invalid Consent", IF(AND(D2259="Legitimate Interest (GDPR Art. 6(1)(f))", L2259=""), "Gap - Missing LIA", IF(AND(G2259="Yes", H2259=""), "Gap - Missing Art. 9 Basis", IF(OR(I2259="Invalid - Not Freely Given", I2259="Invalid - Not Specific", I2259="Invalid - Not Informed", I2259="Invalid - Ambiguous"), "Gap - Invalid Consent", "Compliant")))))</f>
        <v/>
      </c>
      <c r="O2259" s="7" t="n"/>
    </row>
    <row r="2260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>
        <f>IF(D2260="Legitimate Interest (GDPR Art. 6(1)(f))", "Yes / Required (Sheet 3)", "")</f>
        <v/>
      </c>
      <c r="L2260" s="7" t="n"/>
      <c r="M2260" s="7" t="n"/>
      <c r="N2260">
        <f>IF(D2260="", "Gap - No Legal Basis", IF(AND(D2260="Consent (GDPR Art. 6(1)(a))", I2260="Not Captured"), "Gap - Invalid Consent", IF(AND(D2260="Legitimate Interest (GDPR Art. 6(1)(f))", L2260=""), "Gap - Missing LIA", IF(AND(G2260="Yes", H2260=""), "Gap - Missing Art. 9 Basis", IF(OR(I2260="Invalid - Not Freely Given", I2260="Invalid - Not Specific", I2260="Invalid - Not Informed", I2260="Invalid - Ambiguous"), "Gap - Invalid Consent", "Compliant")))))</f>
        <v/>
      </c>
      <c r="O2260" s="7" t="n"/>
    </row>
    <row r="2261">
      <c r="A2261" s="7" t="n"/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>
        <f>IF(D2261="Legitimate Interest (GDPR Art. 6(1)(f))", "Yes / Required (Sheet 3)", "")</f>
        <v/>
      </c>
      <c r="L2261" s="7" t="n"/>
      <c r="M2261" s="7" t="n"/>
      <c r="N2261">
        <f>IF(D2261="", "Gap - No Legal Basis", IF(AND(D2261="Consent (GDPR Art. 6(1)(a))", I2261="Not Captured"), "Gap - Invalid Consent", IF(AND(D2261="Legitimate Interest (GDPR Art. 6(1)(f))", L2261=""), "Gap - Missing LIA", IF(AND(G2261="Yes", H2261=""), "Gap - Missing Art. 9 Basis", IF(OR(I2261="Invalid - Not Freely Given", I2261="Invalid - Not Specific", I2261="Invalid - Not Informed", I2261="Invalid - Ambiguous"), "Gap - Invalid Consent", "Compliant")))))</f>
        <v/>
      </c>
      <c r="O2261" s="7" t="n"/>
    </row>
    <row r="2262">
      <c r="A2262" s="7" t="n"/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>
        <f>IF(D2262="Legitimate Interest (GDPR Art. 6(1)(f))", "Yes / Required (Sheet 3)", "")</f>
        <v/>
      </c>
      <c r="L2262" s="7" t="n"/>
      <c r="M2262" s="7" t="n"/>
      <c r="N2262">
        <f>IF(D2262="", "Gap - No Legal Basis", IF(AND(D2262="Consent (GDPR Art. 6(1)(a))", I2262="Not Captured"), "Gap - Invalid Consent", IF(AND(D2262="Legitimate Interest (GDPR Art. 6(1)(f))", L2262=""), "Gap - Missing LIA", IF(AND(G2262="Yes", H2262=""), "Gap - Missing Art. 9 Basis", IF(OR(I2262="Invalid - Not Freely Given", I2262="Invalid - Not Specific", I2262="Invalid - Not Informed", I2262="Invalid - Ambiguous"), "Gap - Invalid Consent", "Compliant")))))</f>
        <v/>
      </c>
      <c r="O2262" s="7" t="n"/>
    </row>
    <row r="2263">
      <c r="A2263" s="7" t="n"/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>
        <f>IF(D2263="Legitimate Interest (GDPR Art. 6(1)(f))", "Yes / Required (Sheet 3)", "")</f>
        <v/>
      </c>
      <c r="L2263" s="7" t="n"/>
      <c r="M2263" s="7" t="n"/>
      <c r="N2263">
        <f>IF(D2263="", "Gap - No Legal Basis", IF(AND(D2263="Consent (GDPR Art. 6(1)(a))", I2263="Not Captured"), "Gap - Invalid Consent", IF(AND(D2263="Legitimate Interest (GDPR Art. 6(1)(f))", L2263=""), "Gap - Missing LIA", IF(AND(G2263="Yes", H2263=""), "Gap - Missing Art. 9 Basis", IF(OR(I2263="Invalid - Not Freely Given", I2263="Invalid - Not Specific", I2263="Invalid - Not Informed", I2263="Invalid - Ambiguous"), "Gap - Invalid Consent", "Compliant")))))</f>
        <v/>
      </c>
      <c r="O2263" s="7" t="n"/>
    </row>
    <row r="2264">
      <c r="A2264" s="7" t="n"/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>
        <f>IF(D2264="Legitimate Interest (GDPR Art. 6(1)(f))", "Yes / Required (Sheet 3)", "")</f>
        <v/>
      </c>
      <c r="L2264" s="7" t="n"/>
      <c r="M2264" s="7" t="n"/>
      <c r="N2264">
        <f>IF(D2264="", "Gap - No Legal Basis", IF(AND(D2264="Consent (GDPR Art. 6(1)(a))", I2264="Not Captured"), "Gap - Invalid Consent", IF(AND(D2264="Legitimate Interest (GDPR Art. 6(1)(f))", L2264=""), "Gap - Missing LIA", IF(AND(G2264="Yes", H2264=""), "Gap - Missing Art. 9 Basis", IF(OR(I2264="Invalid - Not Freely Given", I2264="Invalid - Not Specific", I2264="Invalid - Not Informed", I2264="Invalid - Ambiguous"), "Gap - Invalid Consent", "Compliant")))))</f>
        <v/>
      </c>
      <c r="O2264" s="7" t="n"/>
    </row>
    <row r="2265">
      <c r="A2265" s="7" t="n"/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>
        <f>IF(D2265="Legitimate Interest (GDPR Art. 6(1)(f))", "Yes / Required (Sheet 3)", "")</f>
        <v/>
      </c>
      <c r="L2265" s="7" t="n"/>
      <c r="M2265" s="7" t="n"/>
      <c r="N2265">
        <f>IF(D2265="", "Gap - No Legal Basis", IF(AND(D2265="Consent (GDPR Art. 6(1)(a))", I2265="Not Captured"), "Gap - Invalid Consent", IF(AND(D2265="Legitimate Interest (GDPR Art. 6(1)(f))", L2265=""), "Gap - Missing LIA", IF(AND(G2265="Yes", H2265=""), "Gap - Missing Art. 9 Basis", IF(OR(I2265="Invalid - Not Freely Given", I2265="Invalid - Not Specific", I2265="Invalid - Not Informed", I2265="Invalid - Ambiguous"), "Gap - Invalid Consent", "Compliant")))))</f>
        <v/>
      </c>
      <c r="O2265" s="7" t="n"/>
    </row>
    <row r="2266">
      <c r="A2266" s="7" t="n"/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>
        <f>IF(D2266="Legitimate Interest (GDPR Art. 6(1)(f))", "Yes / Required (Sheet 3)", "")</f>
        <v/>
      </c>
      <c r="L2266" s="7" t="n"/>
      <c r="M2266" s="7" t="n"/>
      <c r="N2266">
        <f>IF(D2266="", "Gap - No Legal Basis", IF(AND(D2266="Consent (GDPR Art. 6(1)(a))", I2266="Not Captured"), "Gap - Invalid Consent", IF(AND(D2266="Legitimate Interest (GDPR Art. 6(1)(f))", L2266=""), "Gap - Missing LIA", IF(AND(G2266="Yes", H2266=""), "Gap - Missing Art. 9 Basis", IF(OR(I2266="Invalid - Not Freely Given", I2266="Invalid - Not Specific", I2266="Invalid - Not Informed", I2266="Invalid - Ambiguous"), "Gap - Invalid Consent", "Compliant")))))</f>
        <v/>
      </c>
      <c r="O2266" s="7" t="n"/>
    </row>
    <row r="2267">
      <c r="A2267" s="7" t="n"/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>
        <f>IF(D2267="Legitimate Interest (GDPR Art. 6(1)(f))", "Yes / Required (Sheet 3)", "")</f>
        <v/>
      </c>
      <c r="L2267" s="7" t="n"/>
      <c r="M2267" s="7" t="n"/>
      <c r="N2267">
        <f>IF(D2267="", "Gap - No Legal Basis", IF(AND(D2267="Consent (GDPR Art. 6(1)(a))", I2267="Not Captured"), "Gap - Invalid Consent", IF(AND(D2267="Legitimate Interest (GDPR Art. 6(1)(f))", L2267=""), "Gap - Missing LIA", IF(AND(G2267="Yes", H2267=""), "Gap - Missing Art. 9 Basis", IF(OR(I2267="Invalid - Not Freely Given", I2267="Invalid - Not Specific", I2267="Invalid - Not Informed", I2267="Invalid - Ambiguous"), "Gap - Invalid Consent", "Compliant")))))</f>
        <v/>
      </c>
      <c r="O2267" s="7" t="n"/>
    </row>
    <row r="2268">
      <c r="A2268" s="7" t="n"/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>
        <f>IF(D2268="Legitimate Interest (GDPR Art. 6(1)(f))", "Yes / Required (Sheet 3)", "")</f>
        <v/>
      </c>
      <c r="L2268" s="7" t="n"/>
      <c r="M2268" s="7" t="n"/>
      <c r="N2268">
        <f>IF(D2268="", "Gap - No Legal Basis", IF(AND(D2268="Consent (GDPR Art. 6(1)(a))", I2268="Not Captured"), "Gap - Invalid Consent", IF(AND(D2268="Legitimate Interest (GDPR Art. 6(1)(f))", L2268=""), "Gap - Missing LIA", IF(AND(G2268="Yes", H2268=""), "Gap - Missing Art. 9 Basis", IF(OR(I2268="Invalid - Not Freely Given", I2268="Invalid - Not Specific", I2268="Invalid - Not Informed", I2268="Invalid - Ambiguous"), "Gap - Invalid Consent", "Compliant")))))</f>
        <v/>
      </c>
      <c r="O2268" s="7" t="n"/>
    </row>
    <row r="2269">
      <c r="A2269" s="7" t="n"/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>
        <f>IF(D2269="Legitimate Interest (GDPR Art. 6(1)(f))", "Yes / Required (Sheet 3)", "")</f>
        <v/>
      </c>
      <c r="L2269" s="7" t="n"/>
      <c r="M2269" s="7" t="n"/>
      <c r="N2269">
        <f>IF(D2269="", "Gap - No Legal Basis", IF(AND(D2269="Consent (GDPR Art. 6(1)(a))", I2269="Not Captured"), "Gap - Invalid Consent", IF(AND(D2269="Legitimate Interest (GDPR Art. 6(1)(f))", L2269=""), "Gap - Missing LIA", IF(AND(G2269="Yes", H2269=""), "Gap - Missing Art. 9 Basis", IF(OR(I2269="Invalid - Not Freely Given", I2269="Invalid - Not Specific", I2269="Invalid - Not Informed", I2269="Invalid - Ambiguous"), "Gap - Invalid Consent", "Compliant")))))</f>
        <v/>
      </c>
      <c r="O2269" s="7" t="n"/>
    </row>
    <row r="2270">
      <c r="A2270" s="7" t="n"/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>
        <f>IF(D2270="Legitimate Interest (GDPR Art. 6(1)(f))", "Yes / Required (Sheet 3)", "")</f>
        <v/>
      </c>
      <c r="L2270" s="7" t="n"/>
      <c r="M2270" s="7" t="n"/>
      <c r="N2270">
        <f>IF(D2270="", "Gap - No Legal Basis", IF(AND(D2270="Consent (GDPR Art. 6(1)(a))", I2270="Not Captured"), "Gap - Invalid Consent", IF(AND(D2270="Legitimate Interest (GDPR Art. 6(1)(f))", L2270=""), "Gap - Missing LIA", IF(AND(G2270="Yes", H2270=""), "Gap - Missing Art. 9 Basis", IF(OR(I2270="Invalid - Not Freely Given", I2270="Invalid - Not Specific", I2270="Invalid - Not Informed", I2270="Invalid - Ambiguous"), "Gap - Invalid Consent", "Compliant")))))</f>
        <v/>
      </c>
      <c r="O2270" s="7" t="n"/>
    </row>
    <row r="2271">
      <c r="A2271" s="7" t="n"/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>
        <f>IF(D2271="Legitimate Interest (GDPR Art. 6(1)(f))", "Yes / Required (Sheet 3)", "")</f>
        <v/>
      </c>
      <c r="L2271" s="7" t="n"/>
      <c r="M2271" s="7" t="n"/>
      <c r="N2271">
        <f>IF(D2271="", "Gap - No Legal Basis", IF(AND(D2271="Consent (GDPR Art. 6(1)(a))", I2271="Not Captured"), "Gap - Invalid Consent", IF(AND(D2271="Legitimate Interest (GDPR Art. 6(1)(f))", L2271=""), "Gap - Missing LIA", IF(AND(G2271="Yes", H2271=""), "Gap - Missing Art. 9 Basis", IF(OR(I2271="Invalid - Not Freely Given", I2271="Invalid - Not Specific", I2271="Invalid - Not Informed", I2271="Invalid - Ambiguous"), "Gap - Invalid Consent", "Compliant")))))</f>
        <v/>
      </c>
      <c r="O2271" s="7" t="n"/>
    </row>
    <row r="2272">
      <c r="A2272" s="7" t="n"/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>
        <f>IF(D2272="Legitimate Interest (GDPR Art. 6(1)(f))", "Yes / Required (Sheet 3)", "")</f>
        <v/>
      </c>
      <c r="L2272" s="7" t="n"/>
      <c r="M2272" s="7" t="n"/>
      <c r="N2272">
        <f>IF(D2272="", "Gap - No Legal Basis", IF(AND(D2272="Consent (GDPR Art. 6(1)(a))", I2272="Not Captured"), "Gap - Invalid Consent", IF(AND(D2272="Legitimate Interest (GDPR Art. 6(1)(f))", L2272=""), "Gap - Missing LIA", IF(AND(G2272="Yes", H2272=""), "Gap - Missing Art. 9 Basis", IF(OR(I2272="Invalid - Not Freely Given", I2272="Invalid - Not Specific", I2272="Invalid - Not Informed", I2272="Invalid - Ambiguous"), "Gap - Invalid Consent", "Compliant")))))</f>
        <v/>
      </c>
      <c r="O2272" s="7" t="n"/>
    </row>
    <row r="2273">
      <c r="A2273" s="7" t="n"/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>
        <f>IF(D2273="Legitimate Interest (GDPR Art. 6(1)(f))", "Yes / Required (Sheet 3)", "")</f>
        <v/>
      </c>
      <c r="L2273" s="7" t="n"/>
      <c r="M2273" s="7" t="n"/>
      <c r="N2273">
        <f>IF(D2273="", "Gap - No Legal Basis", IF(AND(D2273="Consent (GDPR Art. 6(1)(a))", I2273="Not Captured"), "Gap - Invalid Consent", IF(AND(D2273="Legitimate Interest (GDPR Art. 6(1)(f))", L2273=""), "Gap - Missing LIA", IF(AND(G2273="Yes", H2273=""), "Gap - Missing Art. 9 Basis", IF(OR(I2273="Invalid - Not Freely Given", I2273="Invalid - Not Specific", I2273="Invalid - Not Informed", I2273="Invalid - Ambiguous"), "Gap - Invalid Consent", "Compliant")))))</f>
        <v/>
      </c>
      <c r="O2273" s="7" t="n"/>
    </row>
    <row r="2274">
      <c r="A2274" s="7" t="n"/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>
        <f>IF(D2274="Legitimate Interest (GDPR Art. 6(1)(f))", "Yes / Required (Sheet 3)", "")</f>
        <v/>
      </c>
      <c r="L2274" s="7" t="n"/>
      <c r="M2274" s="7" t="n"/>
      <c r="N2274">
        <f>IF(D2274="", "Gap - No Legal Basis", IF(AND(D2274="Consent (GDPR Art. 6(1)(a))", I2274="Not Captured"), "Gap - Invalid Consent", IF(AND(D2274="Legitimate Interest (GDPR Art. 6(1)(f))", L2274=""), "Gap - Missing LIA", IF(AND(G2274="Yes", H2274=""), "Gap - Missing Art. 9 Basis", IF(OR(I2274="Invalid - Not Freely Given", I2274="Invalid - Not Specific", I2274="Invalid - Not Informed", I2274="Invalid - Ambiguous"), "Gap - Invalid Consent", "Compliant")))))</f>
        <v/>
      </c>
      <c r="O2274" s="7" t="n"/>
    </row>
    <row r="2275">
      <c r="A2275" s="7" t="n"/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>
        <f>IF(D2275="Legitimate Interest (GDPR Art. 6(1)(f))", "Yes / Required (Sheet 3)", "")</f>
        <v/>
      </c>
      <c r="L2275" s="7" t="n"/>
      <c r="M2275" s="7" t="n"/>
      <c r="N2275">
        <f>IF(D2275="", "Gap - No Legal Basis", IF(AND(D2275="Consent (GDPR Art. 6(1)(a))", I2275="Not Captured"), "Gap - Invalid Consent", IF(AND(D2275="Legitimate Interest (GDPR Art. 6(1)(f))", L2275=""), "Gap - Missing LIA", IF(AND(G2275="Yes", H2275=""), "Gap - Missing Art. 9 Basis", IF(OR(I2275="Invalid - Not Freely Given", I2275="Invalid - Not Specific", I2275="Invalid - Not Informed", I2275="Invalid - Ambiguous"), "Gap - Invalid Consent", "Compliant")))))</f>
        <v/>
      </c>
      <c r="O2275" s="7" t="n"/>
    </row>
    <row r="2276">
      <c r="A2276" s="7" t="n"/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>
        <f>IF(D2276="Legitimate Interest (GDPR Art. 6(1)(f))", "Yes / Required (Sheet 3)", "")</f>
        <v/>
      </c>
      <c r="L2276" s="7" t="n"/>
      <c r="M2276" s="7" t="n"/>
      <c r="N2276">
        <f>IF(D2276="", "Gap - No Legal Basis", IF(AND(D2276="Consent (GDPR Art. 6(1)(a))", I2276="Not Captured"), "Gap - Invalid Consent", IF(AND(D2276="Legitimate Interest (GDPR Art. 6(1)(f))", L2276=""), "Gap - Missing LIA", IF(AND(G2276="Yes", H2276=""), "Gap - Missing Art. 9 Basis", IF(OR(I2276="Invalid - Not Freely Given", I2276="Invalid - Not Specific", I2276="Invalid - Not Informed", I2276="Invalid - Ambiguous"), "Gap - Invalid Consent", "Compliant")))))</f>
        <v/>
      </c>
      <c r="O2276" s="7" t="n"/>
    </row>
    <row r="2277">
      <c r="A2277" s="7" t="n"/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>
        <f>IF(D2277="Legitimate Interest (GDPR Art. 6(1)(f))", "Yes / Required (Sheet 3)", "")</f>
        <v/>
      </c>
      <c r="L2277" s="7" t="n"/>
      <c r="M2277" s="7" t="n"/>
      <c r="N2277">
        <f>IF(D2277="", "Gap - No Legal Basis", IF(AND(D2277="Consent (GDPR Art. 6(1)(a))", I2277="Not Captured"), "Gap - Invalid Consent", IF(AND(D2277="Legitimate Interest (GDPR Art. 6(1)(f))", L2277=""), "Gap - Missing LIA", IF(AND(G2277="Yes", H2277=""), "Gap - Missing Art. 9 Basis", IF(OR(I2277="Invalid - Not Freely Given", I2277="Invalid - Not Specific", I2277="Invalid - Not Informed", I2277="Invalid - Ambiguous"), "Gap - Invalid Consent", "Compliant")))))</f>
        <v/>
      </c>
      <c r="O2277" s="7" t="n"/>
    </row>
    <row r="2278">
      <c r="A2278" s="7" t="n"/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>
        <f>IF(D2278="Legitimate Interest (GDPR Art. 6(1)(f))", "Yes / Required (Sheet 3)", "")</f>
        <v/>
      </c>
      <c r="L2278" s="7" t="n"/>
      <c r="M2278" s="7" t="n"/>
      <c r="N2278">
        <f>IF(D2278="", "Gap - No Legal Basis", IF(AND(D2278="Consent (GDPR Art. 6(1)(a))", I2278="Not Captured"), "Gap - Invalid Consent", IF(AND(D2278="Legitimate Interest (GDPR Art. 6(1)(f))", L2278=""), "Gap - Missing LIA", IF(AND(G2278="Yes", H2278=""), "Gap - Missing Art. 9 Basis", IF(OR(I2278="Invalid - Not Freely Given", I2278="Invalid - Not Specific", I2278="Invalid - Not Informed", I2278="Invalid - Ambiguous"), "Gap - Invalid Consent", "Compliant")))))</f>
        <v/>
      </c>
      <c r="O2278" s="7" t="n"/>
    </row>
    <row r="2279">
      <c r="A2279" s="7" t="n"/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>
        <f>IF(D2279="Legitimate Interest (GDPR Art. 6(1)(f))", "Yes / Required (Sheet 3)", "")</f>
        <v/>
      </c>
      <c r="L2279" s="7" t="n"/>
      <c r="M2279" s="7" t="n"/>
      <c r="N2279">
        <f>IF(D2279="", "Gap - No Legal Basis", IF(AND(D2279="Consent (GDPR Art. 6(1)(a))", I2279="Not Captured"), "Gap - Invalid Consent", IF(AND(D2279="Legitimate Interest (GDPR Art. 6(1)(f))", L2279=""), "Gap - Missing LIA", IF(AND(G2279="Yes", H2279=""), "Gap - Missing Art. 9 Basis", IF(OR(I2279="Invalid - Not Freely Given", I2279="Invalid - Not Specific", I2279="Invalid - Not Informed", I2279="Invalid - Ambiguous"), "Gap - Invalid Consent", "Compliant")))))</f>
        <v/>
      </c>
      <c r="O2279" s="7" t="n"/>
    </row>
    <row r="2280">
      <c r="A2280" s="7" t="n"/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>
        <f>IF(D2280="Legitimate Interest (GDPR Art. 6(1)(f))", "Yes / Required (Sheet 3)", "")</f>
        <v/>
      </c>
      <c r="L2280" s="7" t="n"/>
      <c r="M2280" s="7" t="n"/>
      <c r="N2280">
        <f>IF(D2280="", "Gap - No Legal Basis", IF(AND(D2280="Consent (GDPR Art. 6(1)(a))", I2280="Not Captured"), "Gap - Invalid Consent", IF(AND(D2280="Legitimate Interest (GDPR Art. 6(1)(f))", L2280=""), "Gap - Missing LIA", IF(AND(G2280="Yes", H2280=""), "Gap - Missing Art. 9 Basis", IF(OR(I2280="Invalid - Not Freely Given", I2280="Invalid - Not Specific", I2280="Invalid - Not Informed", I2280="Invalid - Ambiguous"), "Gap - Invalid Consent", "Compliant")))))</f>
        <v/>
      </c>
      <c r="O2280" s="7" t="n"/>
    </row>
    <row r="2281">
      <c r="A2281" s="7" t="n"/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>
        <f>IF(D2281="Legitimate Interest (GDPR Art. 6(1)(f))", "Yes / Required (Sheet 3)", "")</f>
        <v/>
      </c>
      <c r="L2281" s="7" t="n"/>
      <c r="M2281" s="7" t="n"/>
      <c r="N2281">
        <f>IF(D2281="", "Gap - No Legal Basis", IF(AND(D2281="Consent (GDPR Art. 6(1)(a))", I2281="Not Captured"), "Gap - Invalid Consent", IF(AND(D2281="Legitimate Interest (GDPR Art. 6(1)(f))", L2281=""), "Gap - Missing LIA", IF(AND(G2281="Yes", H2281=""), "Gap - Missing Art. 9 Basis", IF(OR(I2281="Invalid - Not Freely Given", I2281="Invalid - Not Specific", I2281="Invalid - Not Informed", I2281="Invalid - Ambiguous"), "Gap - Invalid Consent", "Compliant")))))</f>
        <v/>
      </c>
      <c r="O2281" s="7" t="n"/>
    </row>
    <row r="2282">
      <c r="A2282" s="7" t="n"/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>
        <f>IF(D2282="Legitimate Interest (GDPR Art. 6(1)(f))", "Yes / Required (Sheet 3)", "")</f>
        <v/>
      </c>
      <c r="L2282" s="7" t="n"/>
      <c r="M2282" s="7" t="n"/>
      <c r="N2282">
        <f>IF(D2282="", "Gap - No Legal Basis", IF(AND(D2282="Consent (GDPR Art. 6(1)(a))", I2282="Not Captured"), "Gap - Invalid Consent", IF(AND(D2282="Legitimate Interest (GDPR Art. 6(1)(f))", L2282=""), "Gap - Missing LIA", IF(AND(G2282="Yes", H2282=""), "Gap - Missing Art. 9 Basis", IF(OR(I2282="Invalid - Not Freely Given", I2282="Invalid - Not Specific", I2282="Invalid - Not Informed", I2282="Invalid - Ambiguous"), "Gap - Invalid Consent", "Compliant")))))</f>
        <v/>
      </c>
      <c r="O2282" s="7" t="n"/>
    </row>
    <row r="2283">
      <c r="A2283" s="7" t="n"/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>
        <f>IF(D2283="Legitimate Interest (GDPR Art. 6(1)(f))", "Yes / Required (Sheet 3)", "")</f>
        <v/>
      </c>
      <c r="L2283" s="7" t="n"/>
      <c r="M2283" s="7" t="n"/>
      <c r="N2283">
        <f>IF(D2283="", "Gap - No Legal Basis", IF(AND(D2283="Consent (GDPR Art. 6(1)(a))", I2283="Not Captured"), "Gap - Invalid Consent", IF(AND(D2283="Legitimate Interest (GDPR Art. 6(1)(f))", L2283=""), "Gap - Missing LIA", IF(AND(G2283="Yes", H2283=""), "Gap - Missing Art. 9 Basis", IF(OR(I2283="Invalid - Not Freely Given", I2283="Invalid - Not Specific", I2283="Invalid - Not Informed", I2283="Invalid - Ambiguous"), "Gap - Invalid Consent", "Compliant")))))</f>
        <v/>
      </c>
      <c r="O2283" s="7" t="n"/>
    </row>
    <row r="2284">
      <c r="A2284" s="7" t="n"/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>
        <f>IF(D2284="Legitimate Interest (GDPR Art. 6(1)(f))", "Yes / Required (Sheet 3)", "")</f>
        <v/>
      </c>
      <c r="L2284" s="7" t="n"/>
      <c r="M2284" s="7" t="n"/>
      <c r="N2284">
        <f>IF(D2284="", "Gap - No Legal Basis", IF(AND(D2284="Consent (GDPR Art. 6(1)(a))", I2284="Not Captured"), "Gap - Invalid Consent", IF(AND(D2284="Legitimate Interest (GDPR Art. 6(1)(f))", L2284=""), "Gap - Missing LIA", IF(AND(G2284="Yes", H2284=""), "Gap - Missing Art. 9 Basis", IF(OR(I2284="Invalid - Not Freely Given", I2284="Invalid - Not Specific", I2284="Invalid - Not Informed", I2284="Invalid - Ambiguous"), "Gap - Invalid Consent", "Compliant")))))</f>
        <v/>
      </c>
      <c r="O2284" s="7" t="n"/>
    </row>
    <row r="2285">
      <c r="A2285" s="7" t="n"/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>
        <f>IF(D2285="Legitimate Interest (GDPR Art. 6(1)(f))", "Yes / Required (Sheet 3)", "")</f>
        <v/>
      </c>
      <c r="L2285" s="7" t="n"/>
      <c r="M2285" s="7" t="n"/>
      <c r="N2285">
        <f>IF(D2285="", "Gap - No Legal Basis", IF(AND(D2285="Consent (GDPR Art. 6(1)(a))", I2285="Not Captured"), "Gap - Invalid Consent", IF(AND(D2285="Legitimate Interest (GDPR Art. 6(1)(f))", L2285=""), "Gap - Missing LIA", IF(AND(G2285="Yes", H2285=""), "Gap - Missing Art. 9 Basis", IF(OR(I2285="Invalid - Not Freely Given", I2285="Invalid - Not Specific", I2285="Invalid - Not Informed", I2285="Invalid - Ambiguous"), "Gap - Invalid Consent", "Compliant")))))</f>
        <v/>
      </c>
      <c r="O2285" s="7" t="n"/>
    </row>
    <row r="2286">
      <c r="A2286" s="7" t="n"/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>
        <f>IF(D2286="Legitimate Interest (GDPR Art. 6(1)(f))", "Yes / Required (Sheet 3)", "")</f>
        <v/>
      </c>
      <c r="L2286" s="7" t="n"/>
      <c r="M2286" s="7" t="n"/>
      <c r="N2286">
        <f>IF(D2286="", "Gap - No Legal Basis", IF(AND(D2286="Consent (GDPR Art. 6(1)(a))", I2286="Not Captured"), "Gap - Invalid Consent", IF(AND(D2286="Legitimate Interest (GDPR Art. 6(1)(f))", L2286=""), "Gap - Missing LIA", IF(AND(G2286="Yes", H2286=""), "Gap - Missing Art. 9 Basis", IF(OR(I2286="Invalid - Not Freely Given", I2286="Invalid - Not Specific", I2286="Invalid - Not Informed", I2286="Invalid - Ambiguous"), "Gap - Invalid Consent", "Compliant")))))</f>
        <v/>
      </c>
      <c r="O2286" s="7" t="n"/>
    </row>
    <row r="2287">
      <c r="A2287" s="7" t="n"/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>
        <f>IF(D2287="Legitimate Interest (GDPR Art. 6(1)(f))", "Yes / Required (Sheet 3)", "")</f>
        <v/>
      </c>
      <c r="L2287" s="7" t="n"/>
      <c r="M2287" s="7" t="n"/>
      <c r="N2287">
        <f>IF(D2287="", "Gap - No Legal Basis", IF(AND(D2287="Consent (GDPR Art. 6(1)(a))", I2287="Not Captured"), "Gap - Invalid Consent", IF(AND(D2287="Legitimate Interest (GDPR Art. 6(1)(f))", L2287=""), "Gap - Missing LIA", IF(AND(G2287="Yes", H2287=""), "Gap - Missing Art. 9 Basis", IF(OR(I2287="Invalid - Not Freely Given", I2287="Invalid - Not Specific", I2287="Invalid - Not Informed", I2287="Invalid - Ambiguous"), "Gap - Invalid Consent", "Compliant")))))</f>
        <v/>
      </c>
      <c r="O2287" s="7" t="n"/>
    </row>
    <row r="2288">
      <c r="A2288" s="7" t="n"/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>
        <f>IF(D2288="Legitimate Interest (GDPR Art. 6(1)(f))", "Yes / Required (Sheet 3)", "")</f>
        <v/>
      </c>
      <c r="L2288" s="7" t="n"/>
      <c r="M2288" s="7" t="n"/>
      <c r="N2288">
        <f>IF(D2288="", "Gap - No Legal Basis", IF(AND(D2288="Consent (GDPR Art. 6(1)(a))", I2288="Not Captured"), "Gap - Invalid Consent", IF(AND(D2288="Legitimate Interest (GDPR Art. 6(1)(f))", L2288=""), "Gap - Missing LIA", IF(AND(G2288="Yes", H2288=""), "Gap - Missing Art. 9 Basis", IF(OR(I2288="Invalid - Not Freely Given", I2288="Invalid - Not Specific", I2288="Invalid - Not Informed", I2288="Invalid - Ambiguous"), "Gap - Invalid Consent", "Compliant")))))</f>
        <v/>
      </c>
      <c r="O2288" s="7" t="n"/>
    </row>
    <row r="2289">
      <c r="A2289" s="7" t="n"/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>
        <f>IF(D2289="Legitimate Interest (GDPR Art. 6(1)(f))", "Yes / Required (Sheet 3)", "")</f>
        <v/>
      </c>
      <c r="L2289" s="7" t="n"/>
      <c r="M2289" s="7" t="n"/>
      <c r="N2289">
        <f>IF(D2289="", "Gap - No Legal Basis", IF(AND(D2289="Consent (GDPR Art. 6(1)(a))", I2289="Not Captured"), "Gap - Invalid Consent", IF(AND(D2289="Legitimate Interest (GDPR Art. 6(1)(f))", L2289=""), "Gap - Missing LIA", IF(AND(G2289="Yes", H2289=""), "Gap - Missing Art. 9 Basis", IF(OR(I2289="Invalid - Not Freely Given", I2289="Invalid - Not Specific", I2289="Invalid - Not Informed", I2289="Invalid - Ambiguous"), "Gap - Invalid Consent", "Compliant")))))</f>
        <v/>
      </c>
      <c r="O2289" s="7" t="n"/>
    </row>
    <row r="2290">
      <c r="A2290" s="7" t="n"/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>
        <f>IF(D2290="Legitimate Interest (GDPR Art. 6(1)(f))", "Yes / Required (Sheet 3)", "")</f>
        <v/>
      </c>
      <c r="L2290" s="7" t="n"/>
      <c r="M2290" s="7" t="n"/>
      <c r="N2290">
        <f>IF(D2290="", "Gap - No Legal Basis", IF(AND(D2290="Consent (GDPR Art. 6(1)(a))", I2290="Not Captured"), "Gap - Invalid Consent", IF(AND(D2290="Legitimate Interest (GDPR Art. 6(1)(f))", L2290=""), "Gap - Missing LIA", IF(AND(G2290="Yes", H2290=""), "Gap - Missing Art. 9 Basis", IF(OR(I2290="Invalid - Not Freely Given", I2290="Invalid - Not Specific", I2290="Invalid - Not Informed", I2290="Invalid - Ambiguous"), "Gap - Invalid Consent", "Compliant")))))</f>
        <v/>
      </c>
      <c r="O2290" s="7" t="n"/>
    </row>
    <row r="2291">
      <c r="A2291" s="7" t="n"/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>
        <f>IF(D2291="Legitimate Interest (GDPR Art. 6(1)(f))", "Yes / Required (Sheet 3)", "")</f>
        <v/>
      </c>
      <c r="L2291" s="7" t="n"/>
      <c r="M2291" s="7" t="n"/>
      <c r="N2291">
        <f>IF(D2291="", "Gap - No Legal Basis", IF(AND(D2291="Consent (GDPR Art. 6(1)(a))", I2291="Not Captured"), "Gap - Invalid Consent", IF(AND(D2291="Legitimate Interest (GDPR Art. 6(1)(f))", L2291=""), "Gap - Missing LIA", IF(AND(G2291="Yes", H2291=""), "Gap - Missing Art. 9 Basis", IF(OR(I2291="Invalid - Not Freely Given", I2291="Invalid - Not Specific", I2291="Invalid - Not Informed", I2291="Invalid - Ambiguous"), "Gap - Invalid Consent", "Compliant")))))</f>
        <v/>
      </c>
      <c r="O2291" s="7" t="n"/>
    </row>
    <row r="2292">
      <c r="A2292" s="7" t="n"/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>
        <f>IF(D2292="Legitimate Interest (GDPR Art. 6(1)(f))", "Yes / Required (Sheet 3)", "")</f>
        <v/>
      </c>
      <c r="L2292" s="7" t="n"/>
      <c r="M2292" s="7" t="n"/>
      <c r="N2292">
        <f>IF(D2292="", "Gap - No Legal Basis", IF(AND(D2292="Consent (GDPR Art. 6(1)(a))", I2292="Not Captured"), "Gap - Invalid Consent", IF(AND(D2292="Legitimate Interest (GDPR Art. 6(1)(f))", L2292=""), "Gap - Missing LIA", IF(AND(G2292="Yes", H2292=""), "Gap - Missing Art. 9 Basis", IF(OR(I2292="Invalid - Not Freely Given", I2292="Invalid - Not Specific", I2292="Invalid - Not Informed", I2292="Invalid - Ambiguous"), "Gap - Invalid Consent", "Compliant")))))</f>
        <v/>
      </c>
      <c r="O2292" s="7" t="n"/>
    </row>
    <row r="2293">
      <c r="A2293" s="7" t="n"/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>
        <f>IF(D2293="Legitimate Interest (GDPR Art. 6(1)(f))", "Yes / Required (Sheet 3)", "")</f>
        <v/>
      </c>
      <c r="L2293" s="7" t="n"/>
      <c r="M2293" s="7" t="n"/>
      <c r="N2293">
        <f>IF(D2293="", "Gap - No Legal Basis", IF(AND(D2293="Consent (GDPR Art. 6(1)(a))", I2293="Not Captured"), "Gap - Invalid Consent", IF(AND(D2293="Legitimate Interest (GDPR Art. 6(1)(f))", L2293=""), "Gap - Missing LIA", IF(AND(G2293="Yes", H2293=""), "Gap - Missing Art. 9 Basis", IF(OR(I2293="Invalid - Not Freely Given", I2293="Invalid - Not Specific", I2293="Invalid - Not Informed", I2293="Invalid - Ambiguous"), "Gap - Invalid Consent", "Compliant")))))</f>
        <v/>
      </c>
      <c r="O2293" s="7" t="n"/>
    </row>
    <row r="2294">
      <c r="A2294" s="7" t="n"/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>
        <f>IF(D2294="Legitimate Interest (GDPR Art. 6(1)(f))", "Yes / Required (Sheet 3)", "")</f>
        <v/>
      </c>
      <c r="L2294" s="7" t="n"/>
      <c r="M2294" s="7" t="n"/>
      <c r="N2294">
        <f>IF(D2294="", "Gap - No Legal Basis", IF(AND(D2294="Consent (GDPR Art. 6(1)(a))", I2294="Not Captured"), "Gap - Invalid Consent", IF(AND(D2294="Legitimate Interest (GDPR Art. 6(1)(f))", L2294=""), "Gap - Missing LIA", IF(AND(G2294="Yes", H2294=""), "Gap - Missing Art. 9 Basis", IF(OR(I2294="Invalid - Not Freely Given", I2294="Invalid - Not Specific", I2294="Invalid - Not Informed", I2294="Invalid - Ambiguous"), "Gap - Invalid Consent", "Compliant")))))</f>
        <v/>
      </c>
      <c r="O2294" s="7" t="n"/>
    </row>
    <row r="2295">
      <c r="A2295" s="7" t="n"/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>
        <f>IF(D2295="Legitimate Interest (GDPR Art. 6(1)(f))", "Yes / Required (Sheet 3)", "")</f>
        <v/>
      </c>
      <c r="L2295" s="7" t="n"/>
      <c r="M2295" s="7" t="n"/>
      <c r="N2295">
        <f>IF(D2295="", "Gap - No Legal Basis", IF(AND(D2295="Consent (GDPR Art. 6(1)(a))", I2295="Not Captured"), "Gap - Invalid Consent", IF(AND(D2295="Legitimate Interest (GDPR Art. 6(1)(f))", L2295=""), "Gap - Missing LIA", IF(AND(G2295="Yes", H2295=""), "Gap - Missing Art. 9 Basis", IF(OR(I2295="Invalid - Not Freely Given", I2295="Invalid - Not Specific", I2295="Invalid - Not Informed", I2295="Invalid - Ambiguous"), "Gap - Invalid Consent", "Compliant")))))</f>
        <v/>
      </c>
      <c r="O2295" s="7" t="n"/>
    </row>
    <row r="2296">
      <c r="A2296" s="7" t="n"/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>
        <f>IF(D2296="Legitimate Interest (GDPR Art. 6(1)(f))", "Yes / Required (Sheet 3)", "")</f>
        <v/>
      </c>
      <c r="L2296" s="7" t="n"/>
      <c r="M2296" s="7" t="n"/>
      <c r="N2296">
        <f>IF(D2296="", "Gap - No Legal Basis", IF(AND(D2296="Consent (GDPR Art. 6(1)(a))", I2296="Not Captured"), "Gap - Invalid Consent", IF(AND(D2296="Legitimate Interest (GDPR Art. 6(1)(f))", L2296=""), "Gap - Missing LIA", IF(AND(G2296="Yes", H2296=""), "Gap - Missing Art. 9 Basis", IF(OR(I2296="Invalid - Not Freely Given", I2296="Invalid - Not Specific", I2296="Invalid - Not Informed", I2296="Invalid - Ambiguous"), "Gap - Invalid Consent", "Compliant")))))</f>
        <v/>
      </c>
      <c r="O2296" s="7" t="n"/>
    </row>
    <row r="2297">
      <c r="A2297" s="7" t="n"/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>
        <f>IF(D2297="Legitimate Interest (GDPR Art. 6(1)(f))", "Yes / Required (Sheet 3)", "")</f>
        <v/>
      </c>
      <c r="L2297" s="7" t="n"/>
      <c r="M2297" s="7" t="n"/>
      <c r="N2297">
        <f>IF(D2297="", "Gap - No Legal Basis", IF(AND(D2297="Consent (GDPR Art. 6(1)(a))", I2297="Not Captured"), "Gap - Invalid Consent", IF(AND(D2297="Legitimate Interest (GDPR Art. 6(1)(f))", L2297=""), "Gap - Missing LIA", IF(AND(G2297="Yes", H2297=""), "Gap - Missing Art. 9 Basis", IF(OR(I2297="Invalid - Not Freely Given", I2297="Invalid - Not Specific", I2297="Invalid - Not Informed", I2297="Invalid - Ambiguous"), "Gap - Invalid Consent", "Compliant")))))</f>
        <v/>
      </c>
      <c r="O2297" s="7" t="n"/>
    </row>
    <row r="2298">
      <c r="A2298" s="7" t="n"/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>
        <f>IF(D2298="Legitimate Interest (GDPR Art. 6(1)(f))", "Yes / Required (Sheet 3)", "")</f>
        <v/>
      </c>
      <c r="L2298" s="7" t="n"/>
      <c r="M2298" s="7" t="n"/>
      <c r="N2298">
        <f>IF(D2298="", "Gap - No Legal Basis", IF(AND(D2298="Consent (GDPR Art. 6(1)(a))", I2298="Not Captured"), "Gap - Invalid Consent", IF(AND(D2298="Legitimate Interest (GDPR Art. 6(1)(f))", L2298=""), "Gap - Missing LIA", IF(AND(G2298="Yes", H2298=""), "Gap - Missing Art. 9 Basis", IF(OR(I2298="Invalid - Not Freely Given", I2298="Invalid - Not Specific", I2298="Invalid - Not Informed", I2298="Invalid - Ambiguous"), "Gap - Invalid Consent", "Compliant")))))</f>
        <v/>
      </c>
      <c r="O2298" s="7" t="n"/>
    </row>
    <row r="2299">
      <c r="A2299" s="7" t="n"/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>
        <f>IF(D2299="Legitimate Interest (GDPR Art. 6(1)(f))", "Yes / Required (Sheet 3)", "")</f>
        <v/>
      </c>
      <c r="L2299" s="7" t="n"/>
      <c r="M2299" s="7" t="n"/>
      <c r="N2299">
        <f>IF(D2299="", "Gap - No Legal Basis", IF(AND(D2299="Consent (GDPR Art. 6(1)(a))", I2299="Not Captured"), "Gap - Invalid Consent", IF(AND(D2299="Legitimate Interest (GDPR Art. 6(1)(f))", L2299=""), "Gap - Missing LIA", IF(AND(G2299="Yes", H2299=""), "Gap - Missing Art. 9 Basis", IF(OR(I2299="Invalid - Not Freely Given", I2299="Invalid - Not Specific", I2299="Invalid - Not Informed", I2299="Invalid - Ambiguous"), "Gap - Invalid Consent", "Compliant")))))</f>
        <v/>
      </c>
      <c r="O2299" s="7" t="n"/>
    </row>
    <row r="2300">
      <c r="A2300" s="7" t="n"/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>
        <f>IF(D2300="Legitimate Interest (GDPR Art. 6(1)(f))", "Yes / Required (Sheet 3)", "")</f>
        <v/>
      </c>
      <c r="L2300" s="7" t="n"/>
      <c r="M2300" s="7" t="n"/>
      <c r="N2300">
        <f>IF(D2300="", "Gap - No Legal Basis", IF(AND(D2300="Consent (GDPR Art. 6(1)(a))", I2300="Not Captured"), "Gap - Invalid Consent", IF(AND(D2300="Legitimate Interest (GDPR Art. 6(1)(f))", L2300=""), "Gap - Missing LIA", IF(AND(G2300="Yes", H2300=""), "Gap - Missing Art. 9 Basis", IF(OR(I2300="Invalid - Not Freely Given", I2300="Invalid - Not Specific", I2300="Invalid - Not Informed", I2300="Invalid - Ambiguous"), "Gap - Invalid Consent", "Compliant")))))</f>
        <v/>
      </c>
      <c r="O2300" s="7" t="n"/>
    </row>
    <row r="2301">
      <c r="A2301" s="7" t="n"/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>
        <f>IF(D2301="Legitimate Interest (GDPR Art. 6(1)(f))", "Yes / Required (Sheet 3)", "")</f>
        <v/>
      </c>
      <c r="L2301" s="7" t="n"/>
      <c r="M2301" s="7" t="n"/>
      <c r="N2301">
        <f>IF(D2301="", "Gap - No Legal Basis", IF(AND(D2301="Consent (GDPR Art. 6(1)(a))", I2301="Not Captured"), "Gap - Invalid Consent", IF(AND(D2301="Legitimate Interest (GDPR Art. 6(1)(f))", L2301=""), "Gap - Missing LIA", IF(AND(G2301="Yes", H2301=""), "Gap - Missing Art. 9 Basis", IF(OR(I2301="Invalid - Not Freely Given", I2301="Invalid - Not Specific", I2301="Invalid - Not Informed", I2301="Invalid - Ambiguous"), "Gap - Invalid Consent", "Compliant")))))</f>
        <v/>
      </c>
      <c r="O2301" s="7" t="n"/>
    </row>
    <row r="2302">
      <c r="A2302" s="7" t="n"/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>
        <f>IF(D2302="Legitimate Interest (GDPR Art. 6(1)(f))", "Yes / Required (Sheet 3)", "")</f>
        <v/>
      </c>
      <c r="L2302" s="7" t="n"/>
      <c r="M2302" s="7" t="n"/>
      <c r="N2302">
        <f>IF(D2302="", "Gap - No Legal Basis", IF(AND(D2302="Consent (GDPR Art. 6(1)(a))", I2302="Not Captured"), "Gap - Invalid Consent", IF(AND(D2302="Legitimate Interest (GDPR Art. 6(1)(f))", L2302=""), "Gap - Missing LIA", IF(AND(G2302="Yes", H2302=""), "Gap - Missing Art. 9 Basis", IF(OR(I2302="Invalid - Not Freely Given", I2302="Invalid - Not Specific", I2302="Invalid - Not Informed", I2302="Invalid - Ambiguous"), "Gap - Invalid Consent", "Compliant")))))</f>
        <v/>
      </c>
      <c r="O2302" s="7" t="n"/>
    </row>
    <row r="2303">
      <c r="A2303" s="7" t="n"/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>
        <f>IF(D2303="Legitimate Interest (GDPR Art. 6(1)(f))", "Yes / Required (Sheet 3)", "")</f>
        <v/>
      </c>
      <c r="L2303" s="7" t="n"/>
      <c r="M2303" s="7" t="n"/>
      <c r="N2303">
        <f>IF(D2303="", "Gap - No Legal Basis", IF(AND(D2303="Consent (GDPR Art. 6(1)(a))", I2303="Not Captured"), "Gap - Invalid Consent", IF(AND(D2303="Legitimate Interest (GDPR Art. 6(1)(f))", L2303=""), "Gap - Missing LIA", IF(AND(G2303="Yes", H2303=""), "Gap - Missing Art. 9 Basis", IF(OR(I2303="Invalid - Not Freely Given", I2303="Invalid - Not Specific", I2303="Invalid - Not Informed", I2303="Invalid - Ambiguous"), "Gap - Invalid Consent", "Compliant")))))</f>
        <v/>
      </c>
      <c r="O2303" s="7" t="n"/>
    </row>
    <row r="2304">
      <c r="A2304" s="7" t="n"/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>
        <f>IF(D2304="Legitimate Interest (GDPR Art. 6(1)(f))", "Yes / Required (Sheet 3)", "")</f>
        <v/>
      </c>
      <c r="L2304" s="7" t="n"/>
      <c r="M2304" s="7" t="n"/>
      <c r="N2304">
        <f>IF(D2304="", "Gap - No Legal Basis", IF(AND(D2304="Consent (GDPR Art. 6(1)(a))", I2304="Not Captured"), "Gap - Invalid Consent", IF(AND(D2304="Legitimate Interest (GDPR Art. 6(1)(f))", L2304=""), "Gap - Missing LIA", IF(AND(G2304="Yes", H2304=""), "Gap - Missing Art. 9 Basis", IF(OR(I2304="Invalid - Not Freely Given", I2304="Invalid - Not Specific", I2304="Invalid - Not Informed", I2304="Invalid - Ambiguous"), "Gap - Invalid Consent", "Compliant")))))</f>
        <v/>
      </c>
      <c r="O2304" s="7" t="n"/>
    </row>
    <row r="2305">
      <c r="A2305" s="7" t="n"/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>
        <f>IF(D2305="Legitimate Interest (GDPR Art. 6(1)(f))", "Yes / Required (Sheet 3)", "")</f>
        <v/>
      </c>
      <c r="L2305" s="7" t="n"/>
      <c r="M2305" s="7" t="n"/>
      <c r="N2305">
        <f>IF(D2305="", "Gap - No Legal Basis", IF(AND(D2305="Consent (GDPR Art. 6(1)(a))", I2305="Not Captured"), "Gap - Invalid Consent", IF(AND(D2305="Legitimate Interest (GDPR Art. 6(1)(f))", L2305=""), "Gap - Missing LIA", IF(AND(G2305="Yes", H2305=""), "Gap - Missing Art. 9 Basis", IF(OR(I2305="Invalid - Not Freely Given", I2305="Invalid - Not Specific", I2305="Invalid - Not Informed", I2305="Invalid - Ambiguous"), "Gap - Invalid Consent", "Compliant")))))</f>
        <v/>
      </c>
      <c r="O2305" s="7" t="n"/>
    </row>
    <row r="2306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>
        <f>IF(D2306="Legitimate Interest (GDPR Art. 6(1)(f))", "Yes / Required (Sheet 3)", "")</f>
        <v/>
      </c>
      <c r="L2306" s="7" t="n"/>
      <c r="M2306" s="7" t="n"/>
      <c r="N2306">
        <f>IF(D2306="", "Gap - No Legal Basis", IF(AND(D2306="Consent (GDPR Art. 6(1)(a))", I2306="Not Captured"), "Gap - Invalid Consent", IF(AND(D2306="Legitimate Interest (GDPR Art. 6(1)(f))", L2306=""), "Gap - Missing LIA", IF(AND(G2306="Yes", H2306=""), "Gap - Missing Art. 9 Basis", IF(OR(I2306="Invalid - Not Freely Given", I2306="Invalid - Not Specific", I2306="Invalid - Not Informed", I2306="Invalid - Ambiguous"), "Gap - Invalid Consent", "Compliant")))))</f>
        <v/>
      </c>
      <c r="O2306" s="7" t="n"/>
    </row>
    <row r="2307">
      <c r="A2307" s="7" t="n"/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>
        <f>IF(D2307="Legitimate Interest (GDPR Art. 6(1)(f))", "Yes / Required (Sheet 3)", "")</f>
        <v/>
      </c>
      <c r="L2307" s="7" t="n"/>
      <c r="M2307" s="7" t="n"/>
      <c r="N2307">
        <f>IF(D2307="", "Gap - No Legal Basis", IF(AND(D2307="Consent (GDPR Art. 6(1)(a))", I2307="Not Captured"), "Gap - Invalid Consent", IF(AND(D2307="Legitimate Interest (GDPR Art. 6(1)(f))", L2307=""), "Gap - Missing LIA", IF(AND(G2307="Yes", H2307=""), "Gap - Missing Art. 9 Basis", IF(OR(I2307="Invalid - Not Freely Given", I2307="Invalid - Not Specific", I2307="Invalid - Not Informed", I2307="Invalid - Ambiguous"), "Gap - Invalid Consent", "Compliant")))))</f>
        <v/>
      </c>
      <c r="O2307" s="7" t="n"/>
    </row>
    <row r="2308">
      <c r="A2308" s="7" t="n"/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>
        <f>IF(D2308="Legitimate Interest (GDPR Art. 6(1)(f))", "Yes / Required (Sheet 3)", "")</f>
        <v/>
      </c>
      <c r="L2308" s="7" t="n"/>
      <c r="M2308" s="7" t="n"/>
      <c r="N2308">
        <f>IF(D2308="", "Gap - No Legal Basis", IF(AND(D2308="Consent (GDPR Art. 6(1)(a))", I2308="Not Captured"), "Gap - Invalid Consent", IF(AND(D2308="Legitimate Interest (GDPR Art. 6(1)(f))", L2308=""), "Gap - Missing LIA", IF(AND(G2308="Yes", H2308=""), "Gap - Missing Art. 9 Basis", IF(OR(I2308="Invalid - Not Freely Given", I2308="Invalid - Not Specific", I2308="Invalid - Not Informed", I2308="Invalid - Ambiguous"), "Gap - Invalid Consent", "Compliant")))))</f>
        <v/>
      </c>
      <c r="O2308" s="7" t="n"/>
    </row>
    <row r="2309">
      <c r="A2309" s="7" t="n"/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>
        <f>IF(D2309="Legitimate Interest (GDPR Art. 6(1)(f))", "Yes / Required (Sheet 3)", "")</f>
        <v/>
      </c>
      <c r="L2309" s="7" t="n"/>
      <c r="M2309" s="7" t="n"/>
      <c r="N2309">
        <f>IF(D2309="", "Gap - No Legal Basis", IF(AND(D2309="Consent (GDPR Art. 6(1)(a))", I2309="Not Captured"), "Gap - Invalid Consent", IF(AND(D2309="Legitimate Interest (GDPR Art. 6(1)(f))", L2309=""), "Gap - Missing LIA", IF(AND(G2309="Yes", H2309=""), "Gap - Missing Art. 9 Basis", IF(OR(I2309="Invalid - Not Freely Given", I2309="Invalid - Not Specific", I2309="Invalid - Not Informed", I2309="Invalid - Ambiguous"), "Gap - Invalid Consent", "Compliant")))))</f>
        <v/>
      </c>
      <c r="O2309" s="7" t="n"/>
    </row>
    <row r="2310">
      <c r="A2310" s="7" t="n"/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>
        <f>IF(D2310="Legitimate Interest (GDPR Art. 6(1)(f))", "Yes / Required (Sheet 3)", "")</f>
        <v/>
      </c>
      <c r="L2310" s="7" t="n"/>
      <c r="M2310" s="7" t="n"/>
      <c r="N2310">
        <f>IF(D2310="", "Gap - No Legal Basis", IF(AND(D2310="Consent (GDPR Art. 6(1)(a))", I2310="Not Captured"), "Gap - Invalid Consent", IF(AND(D2310="Legitimate Interest (GDPR Art. 6(1)(f))", L2310=""), "Gap - Missing LIA", IF(AND(G2310="Yes", H2310=""), "Gap - Missing Art. 9 Basis", IF(OR(I2310="Invalid - Not Freely Given", I2310="Invalid - Not Specific", I2310="Invalid - Not Informed", I2310="Invalid - Ambiguous"), "Gap - Invalid Consent", "Compliant")))))</f>
        <v/>
      </c>
      <c r="O2310" s="7" t="n"/>
    </row>
    <row r="2311">
      <c r="A2311" s="7" t="n"/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>
        <f>IF(D2311="Legitimate Interest (GDPR Art. 6(1)(f))", "Yes / Required (Sheet 3)", "")</f>
        <v/>
      </c>
      <c r="L2311" s="7" t="n"/>
      <c r="M2311" s="7" t="n"/>
      <c r="N2311">
        <f>IF(D2311="", "Gap - No Legal Basis", IF(AND(D2311="Consent (GDPR Art. 6(1)(a))", I2311="Not Captured"), "Gap - Invalid Consent", IF(AND(D2311="Legitimate Interest (GDPR Art. 6(1)(f))", L2311=""), "Gap - Missing LIA", IF(AND(G2311="Yes", H2311=""), "Gap - Missing Art. 9 Basis", IF(OR(I2311="Invalid - Not Freely Given", I2311="Invalid - Not Specific", I2311="Invalid - Not Informed", I2311="Invalid - Ambiguous"), "Gap - Invalid Consent", "Compliant")))))</f>
        <v/>
      </c>
      <c r="O2311" s="7" t="n"/>
    </row>
    <row r="2312">
      <c r="A2312" s="7" t="n"/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>
        <f>IF(D2312="Legitimate Interest (GDPR Art. 6(1)(f))", "Yes / Required (Sheet 3)", "")</f>
        <v/>
      </c>
      <c r="L2312" s="7" t="n"/>
      <c r="M2312" s="7" t="n"/>
      <c r="N2312">
        <f>IF(D2312="", "Gap - No Legal Basis", IF(AND(D2312="Consent (GDPR Art. 6(1)(a))", I2312="Not Captured"), "Gap - Invalid Consent", IF(AND(D2312="Legitimate Interest (GDPR Art. 6(1)(f))", L2312=""), "Gap - Missing LIA", IF(AND(G2312="Yes", H2312=""), "Gap - Missing Art. 9 Basis", IF(OR(I2312="Invalid - Not Freely Given", I2312="Invalid - Not Specific", I2312="Invalid - Not Informed", I2312="Invalid - Ambiguous"), "Gap - Invalid Consent", "Compliant")))))</f>
        <v/>
      </c>
      <c r="O2312" s="7" t="n"/>
    </row>
    <row r="2313">
      <c r="A2313" s="7" t="n"/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>
        <f>IF(D2313="Legitimate Interest (GDPR Art. 6(1)(f))", "Yes / Required (Sheet 3)", "")</f>
        <v/>
      </c>
      <c r="L2313" s="7" t="n"/>
      <c r="M2313" s="7" t="n"/>
      <c r="N2313">
        <f>IF(D2313="", "Gap - No Legal Basis", IF(AND(D2313="Consent (GDPR Art. 6(1)(a))", I2313="Not Captured"), "Gap - Invalid Consent", IF(AND(D2313="Legitimate Interest (GDPR Art. 6(1)(f))", L2313=""), "Gap - Missing LIA", IF(AND(G2313="Yes", H2313=""), "Gap - Missing Art. 9 Basis", IF(OR(I2313="Invalid - Not Freely Given", I2313="Invalid - Not Specific", I2313="Invalid - Not Informed", I2313="Invalid - Ambiguous"), "Gap - Invalid Consent", "Compliant")))))</f>
        <v/>
      </c>
      <c r="O2313" s="7" t="n"/>
    </row>
    <row r="2314">
      <c r="A2314" s="7" t="n"/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>
        <f>IF(D2314="Legitimate Interest (GDPR Art. 6(1)(f))", "Yes / Required (Sheet 3)", "")</f>
        <v/>
      </c>
      <c r="L2314" s="7" t="n"/>
      <c r="M2314" s="7" t="n"/>
      <c r="N2314">
        <f>IF(D2314="", "Gap - No Legal Basis", IF(AND(D2314="Consent (GDPR Art. 6(1)(a))", I2314="Not Captured"), "Gap - Invalid Consent", IF(AND(D2314="Legitimate Interest (GDPR Art. 6(1)(f))", L2314=""), "Gap - Missing LIA", IF(AND(G2314="Yes", H2314=""), "Gap - Missing Art. 9 Basis", IF(OR(I2314="Invalid - Not Freely Given", I2314="Invalid - Not Specific", I2314="Invalid - Not Informed", I2314="Invalid - Ambiguous"), "Gap - Invalid Consent", "Compliant")))))</f>
        <v/>
      </c>
      <c r="O2314" s="7" t="n"/>
    </row>
    <row r="2315">
      <c r="A2315" s="7" t="n"/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>
        <f>IF(D2315="Legitimate Interest (GDPR Art. 6(1)(f))", "Yes / Required (Sheet 3)", "")</f>
        <v/>
      </c>
      <c r="L2315" s="7" t="n"/>
      <c r="M2315" s="7" t="n"/>
      <c r="N2315">
        <f>IF(D2315="", "Gap - No Legal Basis", IF(AND(D2315="Consent (GDPR Art. 6(1)(a))", I2315="Not Captured"), "Gap - Invalid Consent", IF(AND(D2315="Legitimate Interest (GDPR Art. 6(1)(f))", L2315=""), "Gap - Missing LIA", IF(AND(G2315="Yes", H2315=""), "Gap - Missing Art. 9 Basis", IF(OR(I2315="Invalid - Not Freely Given", I2315="Invalid - Not Specific", I2315="Invalid - Not Informed", I2315="Invalid - Ambiguous"), "Gap - Invalid Consent", "Compliant")))))</f>
        <v/>
      </c>
      <c r="O2315" s="7" t="n"/>
    </row>
    <row r="2316">
      <c r="A2316" s="7" t="n"/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>
        <f>IF(D2316="Legitimate Interest (GDPR Art. 6(1)(f))", "Yes / Required (Sheet 3)", "")</f>
        <v/>
      </c>
      <c r="L2316" s="7" t="n"/>
      <c r="M2316" s="7" t="n"/>
      <c r="N2316">
        <f>IF(D2316="", "Gap - No Legal Basis", IF(AND(D2316="Consent (GDPR Art. 6(1)(a))", I2316="Not Captured"), "Gap - Invalid Consent", IF(AND(D2316="Legitimate Interest (GDPR Art. 6(1)(f))", L2316=""), "Gap - Missing LIA", IF(AND(G2316="Yes", H2316=""), "Gap - Missing Art. 9 Basis", IF(OR(I2316="Invalid - Not Freely Given", I2316="Invalid - Not Specific", I2316="Invalid - Not Informed", I2316="Invalid - Ambiguous"), "Gap - Invalid Consent", "Compliant")))))</f>
        <v/>
      </c>
      <c r="O2316" s="7" t="n"/>
    </row>
    <row r="2317">
      <c r="A2317" s="7" t="n"/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>
        <f>IF(D2317="Legitimate Interest (GDPR Art. 6(1)(f))", "Yes / Required (Sheet 3)", "")</f>
        <v/>
      </c>
      <c r="L2317" s="7" t="n"/>
      <c r="M2317" s="7" t="n"/>
      <c r="N2317">
        <f>IF(D2317="", "Gap - No Legal Basis", IF(AND(D2317="Consent (GDPR Art. 6(1)(a))", I2317="Not Captured"), "Gap - Invalid Consent", IF(AND(D2317="Legitimate Interest (GDPR Art. 6(1)(f))", L2317=""), "Gap - Missing LIA", IF(AND(G2317="Yes", H2317=""), "Gap - Missing Art. 9 Basis", IF(OR(I2317="Invalid - Not Freely Given", I2317="Invalid - Not Specific", I2317="Invalid - Not Informed", I2317="Invalid - Ambiguous"), "Gap - Invalid Consent", "Compliant")))))</f>
        <v/>
      </c>
      <c r="O2317" s="7" t="n"/>
    </row>
    <row r="2318">
      <c r="A2318" s="7" t="n"/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>
        <f>IF(D2318="Legitimate Interest (GDPR Art. 6(1)(f))", "Yes / Required (Sheet 3)", "")</f>
        <v/>
      </c>
      <c r="L2318" s="7" t="n"/>
      <c r="M2318" s="7" t="n"/>
      <c r="N2318">
        <f>IF(D2318="", "Gap - No Legal Basis", IF(AND(D2318="Consent (GDPR Art. 6(1)(a))", I2318="Not Captured"), "Gap - Invalid Consent", IF(AND(D2318="Legitimate Interest (GDPR Art. 6(1)(f))", L2318=""), "Gap - Missing LIA", IF(AND(G2318="Yes", H2318=""), "Gap - Missing Art. 9 Basis", IF(OR(I2318="Invalid - Not Freely Given", I2318="Invalid - Not Specific", I2318="Invalid - Not Informed", I2318="Invalid - Ambiguous"), "Gap - Invalid Consent", "Compliant")))))</f>
        <v/>
      </c>
      <c r="O2318" s="7" t="n"/>
    </row>
    <row r="2319">
      <c r="A2319" s="7" t="n"/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>
        <f>IF(D2319="Legitimate Interest (GDPR Art. 6(1)(f))", "Yes / Required (Sheet 3)", "")</f>
        <v/>
      </c>
      <c r="L2319" s="7" t="n"/>
      <c r="M2319" s="7" t="n"/>
      <c r="N2319">
        <f>IF(D2319="", "Gap - No Legal Basis", IF(AND(D2319="Consent (GDPR Art. 6(1)(a))", I2319="Not Captured"), "Gap - Invalid Consent", IF(AND(D2319="Legitimate Interest (GDPR Art. 6(1)(f))", L2319=""), "Gap - Missing LIA", IF(AND(G2319="Yes", H2319=""), "Gap - Missing Art. 9 Basis", IF(OR(I2319="Invalid - Not Freely Given", I2319="Invalid - Not Specific", I2319="Invalid - Not Informed", I2319="Invalid - Ambiguous"), "Gap - Invalid Consent", "Compliant")))))</f>
        <v/>
      </c>
      <c r="O2319" s="7" t="n"/>
    </row>
    <row r="2320">
      <c r="A2320" s="7" t="n"/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>
        <f>IF(D2320="Legitimate Interest (GDPR Art. 6(1)(f))", "Yes / Required (Sheet 3)", "")</f>
        <v/>
      </c>
      <c r="L2320" s="7" t="n"/>
      <c r="M2320" s="7" t="n"/>
      <c r="N2320">
        <f>IF(D2320="", "Gap - No Legal Basis", IF(AND(D2320="Consent (GDPR Art. 6(1)(a))", I2320="Not Captured"), "Gap - Invalid Consent", IF(AND(D2320="Legitimate Interest (GDPR Art. 6(1)(f))", L2320=""), "Gap - Missing LIA", IF(AND(G2320="Yes", H2320=""), "Gap - Missing Art. 9 Basis", IF(OR(I2320="Invalid - Not Freely Given", I2320="Invalid - Not Specific", I2320="Invalid - Not Informed", I2320="Invalid - Ambiguous"), "Gap - Invalid Consent", "Compliant")))))</f>
        <v/>
      </c>
      <c r="O2320" s="7" t="n"/>
    </row>
    <row r="2321">
      <c r="A2321" s="7" t="n"/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>
        <f>IF(D2321="Legitimate Interest (GDPR Art. 6(1)(f))", "Yes / Required (Sheet 3)", "")</f>
        <v/>
      </c>
      <c r="L2321" s="7" t="n"/>
      <c r="M2321" s="7" t="n"/>
      <c r="N2321">
        <f>IF(D2321="", "Gap - No Legal Basis", IF(AND(D2321="Consent (GDPR Art. 6(1)(a))", I2321="Not Captured"), "Gap - Invalid Consent", IF(AND(D2321="Legitimate Interest (GDPR Art. 6(1)(f))", L2321=""), "Gap - Missing LIA", IF(AND(G2321="Yes", H2321=""), "Gap - Missing Art. 9 Basis", IF(OR(I2321="Invalid - Not Freely Given", I2321="Invalid - Not Specific", I2321="Invalid - Not Informed", I2321="Invalid - Ambiguous"), "Gap - Invalid Consent", "Compliant")))))</f>
        <v/>
      </c>
      <c r="O2321" s="7" t="n"/>
    </row>
    <row r="2322">
      <c r="A2322" s="7" t="n"/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>
        <f>IF(D2322="Legitimate Interest (GDPR Art. 6(1)(f))", "Yes / Required (Sheet 3)", "")</f>
        <v/>
      </c>
      <c r="L2322" s="7" t="n"/>
      <c r="M2322" s="7" t="n"/>
      <c r="N2322">
        <f>IF(D2322="", "Gap - No Legal Basis", IF(AND(D2322="Consent (GDPR Art. 6(1)(a))", I2322="Not Captured"), "Gap - Invalid Consent", IF(AND(D2322="Legitimate Interest (GDPR Art. 6(1)(f))", L2322=""), "Gap - Missing LIA", IF(AND(G2322="Yes", H2322=""), "Gap - Missing Art. 9 Basis", IF(OR(I2322="Invalid - Not Freely Given", I2322="Invalid - Not Specific", I2322="Invalid - Not Informed", I2322="Invalid - Ambiguous"), "Gap - Invalid Consent", "Compliant")))))</f>
        <v/>
      </c>
      <c r="O2322" s="7" t="n"/>
    </row>
    <row r="2323">
      <c r="A2323" s="7" t="n"/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>
        <f>IF(D2323="Legitimate Interest (GDPR Art. 6(1)(f))", "Yes / Required (Sheet 3)", "")</f>
        <v/>
      </c>
      <c r="L2323" s="7" t="n"/>
      <c r="M2323" s="7" t="n"/>
      <c r="N2323">
        <f>IF(D2323="", "Gap - No Legal Basis", IF(AND(D2323="Consent (GDPR Art. 6(1)(a))", I2323="Not Captured"), "Gap - Invalid Consent", IF(AND(D2323="Legitimate Interest (GDPR Art. 6(1)(f))", L2323=""), "Gap - Missing LIA", IF(AND(G2323="Yes", H2323=""), "Gap - Missing Art. 9 Basis", IF(OR(I2323="Invalid - Not Freely Given", I2323="Invalid - Not Specific", I2323="Invalid - Not Informed", I2323="Invalid - Ambiguous"), "Gap - Invalid Consent", "Compliant")))))</f>
        <v/>
      </c>
      <c r="O2323" s="7" t="n"/>
    </row>
    <row r="2324">
      <c r="A2324" s="7" t="n"/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>
        <f>IF(D2324="Legitimate Interest (GDPR Art. 6(1)(f))", "Yes / Required (Sheet 3)", "")</f>
        <v/>
      </c>
      <c r="L2324" s="7" t="n"/>
      <c r="M2324" s="7" t="n"/>
      <c r="N2324">
        <f>IF(D2324="", "Gap - No Legal Basis", IF(AND(D2324="Consent (GDPR Art. 6(1)(a))", I2324="Not Captured"), "Gap - Invalid Consent", IF(AND(D2324="Legitimate Interest (GDPR Art. 6(1)(f))", L2324=""), "Gap - Missing LIA", IF(AND(G2324="Yes", H2324=""), "Gap - Missing Art. 9 Basis", IF(OR(I2324="Invalid - Not Freely Given", I2324="Invalid - Not Specific", I2324="Invalid - Not Informed", I2324="Invalid - Ambiguous"), "Gap - Invalid Consent", "Compliant")))))</f>
        <v/>
      </c>
      <c r="O2324" s="7" t="n"/>
    </row>
    <row r="2325">
      <c r="A2325" s="7" t="n"/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>
        <f>IF(D2325="Legitimate Interest (GDPR Art. 6(1)(f))", "Yes / Required (Sheet 3)", "")</f>
        <v/>
      </c>
      <c r="L2325" s="7" t="n"/>
      <c r="M2325" s="7" t="n"/>
      <c r="N2325">
        <f>IF(D2325="", "Gap - No Legal Basis", IF(AND(D2325="Consent (GDPR Art. 6(1)(a))", I2325="Not Captured"), "Gap - Invalid Consent", IF(AND(D2325="Legitimate Interest (GDPR Art. 6(1)(f))", L2325=""), "Gap - Missing LIA", IF(AND(G2325="Yes", H2325=""), "Gap - Missing Art. 9 Basis", IF(OR(I2325="Invalid - Not Freely Given", I2325="Invalid - Not Specific", I2325="Invalid - Not Informed", I2325="Invalid - Ambiguous"), "Gap - Invalid Consent", "Compliant")))))</f>
        <v/>
      </c>
      <c r="O2325" s="7" t="n"/>
    </row>
    <row r="2326">
      <c r="A2326" s="7" t="n"/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>
        <f>IF(D2326="Legitimate Interest (GDPR Art. 6(1)(f))", "Yes / Required (Sheet 3)", "")</f>
        <v/>
      </c>
      <c r="L2326" s="7" t="n"/>
      <c r="M2326" s="7" t="n"/>
      <c r="N2326">
        <f>IF(D2326="", "Gap - No Legal Basis", IF(AND(D2326="Consent (GDPR Art. 6(1)(a))", I2326="Not Captured"), "Gap - Invalid Consent", IF(AND(D2326="Legitimate Interest (GDPR Art. 6(1)(f))", L2326=""), "Gap - Missing LIA", IF(AND(G2326="Yes", H2326=""), "Gap - Missing Art. 9 Basis", IF(OR(I2326="Invalid - Not Freely Given", I2326="Invalid - Not Specific", I2326="Invalid - Not Informed", I2326="Invalid - Ambiguous"), "Gap - Invalid Consent", "Compliant")))))</f>
        <v/>
      </c>
      <c r="O2326" s="7" t="n"/>
    </row>
    <row r="2327">
      <c r="A2327" s="7" t="n"/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>
        <f>IF(D2327="Legitimate Interest (GDPR Art. 6(1)(f))", "Yes / Required (Sheet 3)", "")</f>
        <v/>
      </c>
      <c r="L2327" s="7" t="n"/>
      <c r="M2327" s="7" t="n"/>
      <c r="N2327">
        <f>IF(D2327="", "Gap - No Legal Basis", IF(AND(D2327="Consent (GDPR Art. 6(1)(a))", I2327="Not Captured"), "Gap - Invalid Consent", IF(AND(D2327="Legitimate Interest (GDPR Art. 6(1)(f))", L2327=""), "Gap - Missing LIA", IF(AND(G2327="Yes", H2327=""), "Gap - Missing Art. 9 Basis", IF(OR(I2327="Invalid - Not Freely Given", I2327="Invalid - Not Specific", I2327="Invalid - Not Informed", I2327="Invalid - Ambiguous"), "Gap - Invalid Consent", "Compliant")))))</f>
        <v/>
      </c>
      <c r="O2327" s="7" t="n"/>
    </row>
    <row r="2328">
      <c r="A2328" s="7" t="n"/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>
        <f>IF(D2328="Legitimate Interest (GDPR Art. 6(1)(f))", "Yes / Required (Sheet 3)", "")</f>
        <v/>
      </c>
      <c r="L2328" s="7" t="n"/>
      <c r="M2328" s="7" t="n"/>
      <c r="N2328">
        <f>IF(D2328="", "Gap - No Legal Basis", IF(AND(D2328="Consent (GDPR Art. 6(1)(a))", I2328="Not Captured"), "Gap - Invalid Consent", IF(AND(D2328="Legitimate Interest (GDPR Art. 6(1)(f))", L2328=""), "Gap - Missing LIA", IF(AND(G2328="Yes", H2328=""), "Gap - Missing Art. 9 Basis", IF(OR(I2328="Invalid - Not Freely Given", I2328="Invalid - Not Specific", I2328="Invalid - Not Informed", I2328="Invalid - Ambiguous"), "Gap - Invalid Consent", "Compliant")))))</f>
        <v/>
      </c>
      <c r="O2328" s="7" t="n"/>
    </row>
    <row r="2329">
      <c r="A2329" s="7" t="n"/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>
        <f>IF(D2329="Legitimate Interest (GDPR Art. 6(1)(f))", "Yes / Required (Sheet 3)", "")</f>
        <v/>
      </c>
      <c r="L2329" s="7" t="n"/>
      <c r="M2329" s="7" t="n"/>
      <c r="N2329">
        <f>IF(D2329="", "Gap - No Legal Basis", IF(AND(D2329="Consent (GDPR Art. 6(1)(a))", I2329="Not Captured"), "Gap - Invalid Consent", IF(AND(D2329="Legitimate Interest (GDPR Art. 6(1)(f))", L2329=""), "Gap - Missing LIA", IF(AND(G2329="Yes", H2329=""), "Gap - Missing Art. 9 Basis", IF(OR(I2329="Invalid - Not Freely Given", I2329="Invalid - Not Specific", I2329="Invalid - Not Informed", I2329="Invalid - Ambiguous"), "Gap - Invalid Consent", "Compliant")))))</f>
        <v/>
      </c>
      <c r="O2329" s="7" t="n"/>
    </row>
    <row r="2330">
      <c r="A2330" s="7" t="n"/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>
        <f>IF(D2330="Legitimate Interest (GDPR Art. 6(1)(f))", "Yes / Required (Sheet 3)", "")</f>
        <v/>
      </c>
      <c r="L2330" s="7" t="n"/>
      <c r="M2330" s="7" t="n"/>
      <c r="N2330">
        <f>IF(D2330="", "Gap - No Legal Basis", IF(AND(D2330="Consent (GDPR Art. 6(1)(a))", I2330="Not Captured"), "Gap - Invalid Consent", IF(AND(D2330="Legitimate Interest (GDPR Art. 6(1)(f))", L2330=""), "Gap - Missing LIA", IF(AND(G2330="Yes", H2330=""), "Gap - Missing Art. 9 Basis", IF(OR(I2330="Invalid - Not Freely Given", I2330="Invalid - Not Specific", I2330="Invalid - Not Informed", I2330="Invalid - Ambiguous"), "Gap - Invalid Consent", "Compliant")))))</f>
        <v/>
      </c>
      <c r="O2330" s="7" t="n"/>
    </row>
    <row r="2331">
      <c r="A2331" s="7" t="n"/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>
        <f>IF(D2331="Legitimate Interest (GDPR Art. 6(1)(f))", "Yes / Required (Sheet 3)", "")</f>
        <v/>
      </c>
      <c r="L2331" s="7" t="n"/>
      <c r="M2331" s="7" t="n"/>
      <c r="N2331">
        <f>IF(D2331="", "Gap - No Legal Basis", IF(AND(D2331="Consent (GDPR Art. 6(1)(a))", I2331="Not Captured"), "Gap - Invalid Consent", IF(AND(D2331="Legitimate Interest (GDPR Art. 6(1)(f))", L2331=""), "Gap - Missing LIA", IF(AND(G2331="Yes", H2331=""), "Gap - Missing Art. 9 Basis", IF(OR(I2331="Invalid - Not Freely Given", I2331="Invalid - Not Specific", I2331="Invalid - Not Informed", I2331="Invalid - Ambiguous"), "Gap - Invalid Consent", "Compliant")))))</f>
        <v/>
      </c>
      <c r="O2331" s="7" t="n"/>
    </row>
    <row r="2332">
      <c r="A2332" s="7" t="n"/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>
        <f>IF(D2332="Legitimate Interest (GDPR Art. 6(1)(f))", "Yes / Required (Sheet 3)", "")</f>
        <v/>
      </c>
      <c r="L2332" s="7" t="n"/>
      <c r="M2332" s="7" t="n"/>
      <c r="N2332">
        <f>IF(D2332="", "Gap - No Legal Basis", IF(AND(D2332="Consent (GDPR Art. 6(1)(a))", I2332="Not Captured"), "Gap - Invalid Consent", IF(AND(D2332="Legitimate Interest (GDPR Art. 6(1)(f))", L2332=""), "Gap - Missing LIA", IF(AND(G2332="Yes", H2332=""), "Gap - Missing Art. 9 Basis", IF(OR(I2332="Invalid - Not Freely Given", I2332="Invalid - Not Specific", I2332="Invalid - Not Informed", I2332="Invalid - Ambiguous"), "Gap - Invalid Consent", "Compliant")))))</f>
        <v/>
      </c>
      <c r="O2332" s="7" t="n"/>
    </row>
    <row r="2333">
      <c r="A2333" s="7" t="n"/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>
        <f>IF(D2333="Legitimate Interest (GDPR Art. 6(1)(f))", "Yes / Required (Sheet 3)", "")</f>
        <v/>
      </c>
      <c r="L2333" s="7" t="n"/>
      <c r="M2333" s="7" t="n"/>
      <c r="N2333">
        <f>IF(D2333="", "Gap - No Legal Basis", IF(AND(D2333="Consent (GDPR Art. 6(1)(a))", I2333="Not Captured"), "Gap - Invalid Consent", IF(AND(D2333="Legitimate Interest (GDPR Art. 6(1)(f))", L2333=""), "Gap - Missing LIA", IF(AND(G2333="Yes", H2333=""), "Gap - Missing Art. 9 Basis", IF(OR(I2333="Invalid - Not Freely Given", I2333="Invalid - Not Specific", I2333="Invalid - Not Informed", I2333="Invalid - Ambiguous"), "Gap - Invalid Consent", "Compliant")))))</f>
        <v/>
      </c>
      <c r="O2333" s="7" t="n"/>
    </row>
    <row r="2334">
      <c r="A2334" s="7" t="n"/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>
        <f>IF(D2334="Legitimate Interest (GDPR Art. 6(1)(f))", "Yes / Required (Sheet 3)", "")</f>
        <v/>
      </c>
      <c r="L2334" s="7" t="n"/>
      <c r="M2334" s="7" t="n"/>
      <c r="N2334">
        <f>IF(D2334="", "Gap - No Legal Basis", IF(AND(D2334="Consent (GDPR Art. 6(1)(a))", I2334="Not Captured"), "Gap - Invalid Consent", IF(AND(D2334="Legitimate Interest (GDPR Art. 6(1)(f))", L2334=""), "Gap - Missing LIA", IF(AND(G2334="Yes", H2334=""), "Gap - Missing Art. 9 Basis", IF(OR(I2334="Invalid - Not Freely Given", I2334="Invalid - Not Specific", I2334="Invalid - Not Informed", I2334="Invalid - Ambiguous"), "Gap - Invalid Consent", "Compliant")))))</f>
        <v/>
      </c>
      <c r="O2334" s="7" t="n"/>
    </row>
    <row r="2335">
      <c r="A2335" s="7" t="n"/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>
        <f>IF(D2335="Legitimate Interest (GDPR Art. 6(1)(f))", "Yes / Required (Sheet 3)", "")</f>
        <v/>
      </c>
      <c r="L2335" s="7" t="n"/>
      <c r="M2335" s="7" t="n"/>
      <c r="N2335">
        <f>IF(D2335="", "Gap - No Legal Basis", IF(AND(D2335="Consent (GDPR Art. 6(1)(a))", I2335="Not Captured"), "Gap - Invalid Consent", IF(AND(D2335="Legitimate Interest (GDPR Art. 6(1)(f))", L2335=""), "Gap - Missing LIA", IF(AND(G2335="Yes", H2335=""), "Gap - Missing Art. 9 Basis", IF(OR(I2335="Invalid - Not Freely Given", I2335="Invalid - Not Specific", I2335="Invalid - Not Informed", I2335="Invalid - Ambiguous"), "Gap - Invalid Consent", "Compliant")))))</f>
        <v/>
      </c>
      <c r="O2335" s="7" t="n"/>
    </row>
    <row r="2336">
      <c r="A2336" s="7" t="n"/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>
        <f>IF(D2336="Legitimate Interest (GDPR Art. 6(1)(f))", "Yes / Required (Sheet 3)", "")</f>
        <v/>
      </c>
      <c r="L2336" s="7" t="n"/>
      <c r="M2336" s="7" t="n"/>
      <c r="N2336">
        <f>IF(D2336="", "Gap - No Legal Basis", IF(AND(D2336="Consent (GDPR Art. 6(1)(a))", I2336="Not Captured"), "Gap - Invalid Consent", IF(AND(D2336="Legitimate Interest (GDPR Art. 6(1)(f))", L2336=""), "Gap - Missing LIA", IF(AND(G2336="Yes", H2336=""), "Gap - Missing Art. 9 Basis", IF(OR(I2336="Invalid - Not Freely Given", I2336="Invalid - Not Specific", I2336="Invalid - Not Informed", I2336="Invalid - Ambiguous"), "Gap - Invalid Consent", "Compliant")))))</f>
        <v/>
      </c>
      <c r="O2336" s="7" t="n"/>
    </row>
    <row r="2337">
      <c r="A2337" s="7" t="n"/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>
        <f>IF(D2337="Legitimate Interest (GDPR Art. 6(1)(f))", "Yes / Required (Sheet 3)", "")</f>
        <v/>
      </c>
      <c r="L2337" s="7" t="n"/>
      <c r="M2337" s="7" t="n"/>
      <c r="N2337">
        <f>IF(D2337="", "Gap - No Legal Basis", IF(AND(D2337="Consent (GDPR Art. 6(1)(a))", I2337="Not Captured"), "Gap - Invalid Consent", IF(AND(D2337="Legitimate Interest (GDPR Art. 6(1)(f))", L2337=""), "Gap - Missing LIA", IF(AND(G2337="Yes", H2337=""), "Gap - Missing Art. 9 Basis", IF(OR(I2337="Invalid - Not Freely Given", I2337="Invalid - Not Specific", I2337="Invalid - Not Informed", I2337="Invalid - Ambiguous"), "Gap - Invalid Consent", "Compliant")))))</f>
        <v/>
      </c>
      <c r="O2337" s="7" t="n"/>
    </row>
    <row r="2338">
      <c r="A2338" s="7" t="n"/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>
        <f>IF(D2338="Legitimate Interest (GDPR Art. 6(1)(f))", "Yes / Required (Sheet 3)", "")</f>
        <v/>
      </c>
      <c r="L2338" s="7" t="n"/>
      <c r="M2338" s="7" t="n"/>
      <c r="N2338">
        <f>IF(D2338="", "Gap - No Legal Basis", IF(AND(D2338="Consent (GDPR Art. 6(1)(a))", I2338="Not Captured"), "Gap - Invalid Consent", IF(AND(D2338="Legitimate Interest (GDPR Art. 6(1)(f))", L2338=""), "Gap - Missing LIA", IF(AND(G2338="Yes", H2338=""), "Gap - Missing Art. 9 Basis", IF(OR(I2338="Invalid - Not Freely Given", I2338="Invalid - Not Specific", I2338="Invalid - Not Informed", I2338="Invalid - Ambiguous"), "Gap - Invalid Consent", "Compliant")))))</f>
        <v/>
      </c>
      <c r="O2338" s="7" t="n"/>
    </row>
    <row r="2339">
      <c r="A2339" s="7" t="n"/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>
        <f>IF(D2339="Legitimate Interest (GDPR Art. 6(1)(f))", "Yes / Required (Sheet 3)", "")</f>
        <v/>
      </c>
      <c r="L2339" s="7" t="n"/>
      <c r="M2339" s="7" t="n"/>
      <c r="N2339">
        <f>IF(D2339="", "Gap - No Legal Basis", IF(AND(D2339="Consent (GDPR Art. 6(1)(a))", I2339="Not Captured"), "Gap - Invalid Consent", IF(AND(D2339="Legitimate Interest (GDPR Art. 6(1)(f))", L2339=""), "Gap - Missing LIA", IF(AND(G2339="Yes", H2339=""), "Gap - Missing Art. 9 Basis", IF(OR(I2339="Invalid - Not Freely Given", I2339="Invalid - Not Specific", I2339="Invalid - Not Informed", I2339="Invalid - Ambiguous"), "Gap - Invalid Consent", "Compliant")))))</f>
        <v/>
      </c>
      <c r="O2339" s="7" t="n"/>
    </row>
    <row r="2340">
      <c r="A2340" s="7" t="n"/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>
        <f>IF(D2340="Legitimate Interest (GDPR Art. 6(1)(f))", "Yes / Required (Sheet 3)", "")</f>
        <v/>
      </c>
      <c r="L2340" s="7" t="n"/>
      <c r="M2340" s="7" t="n"/>
      <c r="N2340">
        <f>IF(D2340="", "Gap - No Legal Basis", IF(AND(D2340="Consent (GDPR Art. 6(1)(a))", I2340="Not Captured"), "Gap - Invalid Consent", IF(AND(D2340="Legitimate Interest (GDPR Art. 6(1)(f))", L2340=""), "Gap - Missing LIA", IF(AND(G2340="Yes", H2340=""), "Gap - Missing Art. 9 Basis", IF(OR(I2340="Invalid - Not Freely Given", I2340="Invalid - Not Specific", I2340="Invalid - Not Informed", I2340="Invalid - Ambiguous"), "Gap - Invalid Consent", "Compliant")))))</f>
        <v/>
      </c>
      <c r="O2340" s="7" t="n"/>
    </row>
    <row r="2341">
      <c r="A2341" s="7" t="n"/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>
        <f>IF(D2341="Legitimate Interest (GDPR Art. 6(1)(f))", "Yes / Required (Sheet 3)", "")</f>
        <v/>
      </c>
      <c r="L2341" s="7" t="n"/>
      <c r="M2341" s="7" t="n"/>
      <c r="N2341">
        <f>IF(D2341="", "Gap - No Legal Basis", IF(AND(D2341="Consent (GDPR Art. 6(1)(a))", I2341="Not Captured"), "Gap - Invalid Consent", IF(AND(D2341="Legitimate Interest (GDPR Art. 6(1)(f))", L2341=""), "Gap - Missing LIA", IF(AND(G2341="Yes", H2341=""), "Gap - Missing Art. 9 Basis", IF(OR(I2341="Invalid - Not Freely Given", I2341="Invalid - Not Specific", I2341="Invalid - Not Informed", I2341="Invalid - Ambiguous"), "Gap - Invalid Consent", "Compliant")))))</f>
        <v/>
      </c>
      <c r="O2341" s="7" t="n"/>
    </row>
    <row r="2342">
      <c r="A2342" s="7" t="n"/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>
        <f>IF(D2342="Legitimate Interest (GDPR Art. 6(1)(f))", "Yes / Required (Sheet 3)", "")</f>
        <v/>
      </c>
      <c r="L2342" s="7" t="n"/>
      <c r="M2342" s="7" t="n"/>
      <c r="N2342">
        <f>IF(D2342="", "Gap - No Legal Basis", IF(AND(D2342="Consent (GDPR Art. 6(1)(a))", I2342="Not Captured"), "Gap - Invalid Consent", IF(AND(D2342="Legitimate Interest (GDPR Art. 6(1)(f))", L2342=""), "Gap - Missing LIA", IF(AND(G2342="Yes", H2342=""), "Gap - Missing Art. 9 Basis", IF(OR(I2342="Invalid - Not Freely Given", I2342="Invalid - Not Specific", I2342="Invalid - Not Informed", I2342="Invalid - Ambiguous"), "Gap - Invalid Consent", "Compliant")))))</f>
        <v/>
      </c>
      <c r="O2342" s="7" t="n"/>
    </row>
    <row r="2343">
      <c r="A2343" s="7" t="n"/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>
        <f>IF(D2343="Legitimate Interest (GDPR Art. 6(1)(f))", "Yes / Required (Sheet 3)", "")</f>
        <v/>
      </c>
      <c r="L2343" s="7" t="n"/>
      <c r="M2343" s="7" t="n"/>
      <c r="N2343">
        <f>IF(D2343="", "Gap - No Legal Basis", IF(AND(D2343="Consent (GDPR Art. 6(1)(a))", I2343="Not Captured"), "Gap - Invalid Consent", IF(AND(D2343="Legitimate Interest (GDPR Art. 6(1)(f))", L2343=""), "Gap - Missing LIA", IF(AND(G2343="Yes", H2343=""), "Gap - Missing Art. 9 Basis", IF(OR(I2343="Invalid - Not Freely Given", I2343="Invalid - Not Specific", I2343="Invalid - Not Informed", I2343="Invalid - Ambiguous"), "Gap - Invalid Consent", "Compliant")))))</f>
        <v/>
      </c>
      <c r="O2343" s="7" t="n"/>
    </row>
    <row r="2344">
      <c r="A2344" s="7" t="n"/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>
        <f>IF(D2344="Legitimate Interest (GDPR Art. 6(1)(f))", "Yes / Required (Sheet 3)", "")</f>
        <v/>
      </c>
      <c r="L2344" s="7" t="n"/>
      <c r="M2344" s="7" t="n"/>
      <c r="N2344">
        <f>IF(D2344="", "Gap - No Legal Basis", IF(AND(D2344="Consent (GDPR Art. 6(1)(a))", I2344="Not Captured"), "Gap - Invalid Consent", IF(AND(D2344="Legitimate Interest (GDPR Art. 6(1)(f))", L2344=""), "Gap - Missing LIA", IF(AND(G2344="Yes", H2344=""), "Gap - Missing Art. 9 Basis", IF(OR(I2344="Invalid - Not Freely Given", I2344="Invalid - Not Specific", I2344="Invalid - Not Informed", I2344="Invalid - Ambiguous"), "Gap - Invalid Consent", "Compliant")))))</f>
        <v/>
      </c>
      <c r="O2344" s="7" t="n"/>
    </row>
    <row r="2345">
      <c r="A2345" s="7" t="n"/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>
        <f>IF(D2345="Legitimate Interest (GDPR Art. 6(1)(f))", "Yes / Required (Sheet 3)", "")</f>
        <v/>
      </c>
      <c r="L2345" s="7" t="n"/>
      <c r="M2345" s="7" t="n"/>
      <c r="N2345">
        <f>IF(D2345="", "Gap - No Legal Basis", IF(AND(D2345="Consent (GDPR Art. 6(1)(a))", I2345="Not Captured"), "Gap - Invalid Consent", IF(AND(D2345="Legitimate Interest (GDPR Art. 6(1)(f))", L2345=""), "Gap - Missing LIA", IF(AND(G2345="Yes", H2345=""), "Gap - Missing Art. 9 Basis", IF(OR(I2345="Invalid - Not Freely Given", I2345="Invalid - Not Specific", I2345="Invalid - Not Informed", I2345="Invalid - Ambiguous"), "Gap - Invalid Consent", "Compliant")))))</f>
        <v/>
      </c>
      <c r="O2345" s="7" t="n"/>
    </row>
    <row r="2346">
      <c r="A2346" s="7" t="n"/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>
        <f>IF(D2346="Legitimate Interest (GDPR Art. 6(1)(f))", "Yes / Required (Sheet 3)", "")</f>
        <v/>
      </c>
      <c r="L2346" s="7" t="n"/>
      <c r="M2346" s="7" t="n"/>
      <c r="N2346">
        <f>IF(D2346="", "Gap - No Legal Basis", IF(AND(D2346="Consent (GDPR Art. 6(1)(a))", I2346="Not Captured"), "Gap - Invalid Consent", IF(AND(D2346="Legitimate Interest (GDPR Art. 6(1)(f))", L2346=""), "Gap - Missing LIA", IF(AND(G2346="Yes", H2346=""), "Gap - Missing Art. 9 Basis", IF(OR(I2346="Invalid - Not Freely Given", I2346="Invalid - Not Specific", I2346="Invalid - Not Informed", I2346="Invalid - Ambiguous"), "Gap - Invalid Consent", "Compliant")))))</f>
        <v/>
      </c>
      <c r="O2346" s="7" t="n"/>
    </row>
    <row r="2347">
      <c r="A2347" s="7" t="n"/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>
        <f>IF(D2347="Legitimate Interest (GDPR Art. 6(1)(f))", "Yes / Required (Sheet 3)", "")</f>
        <v/>
      </c>
      <c r="L2347" s="7" t="n"/>
      <c r="M2347" s="7" t="n"/>
      <c r="N2347">
        <f>IF(D2347="", "Gap - No Legal Basis", IF(AND(D2347="Consent (GDPR Art. 6(1)(a))", I2347="Not Captured"), "Gap - Invalid Consent", IF(AND(D2347="Legitimate Interest (GDPR Art. 6(1)(f))", L2347=""), "Gap - Missing LIA", IF(AND(G2347="Yes", H2347=""), "Gap - Missing Art. 9 Basis", IF(OR(I2347="Invalid - Not Freely Given", I2347="Invalid - Not Specific", I2347="Invalid - Not Informed", I2347="Invalid - Ambiguous"), "Gap - Invalid Consent", "Compliant")))))</f>
        <v/>
      </c>
      <c r="O2347" s="7" t="n"/>
    </row>
    <row r="2348">
      <c r="A2348" s="7" t="n"/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>
        <f>IF(D2348="Legitimate Interest (GDPR Art. 6(1)(f))", "Yes / Required (Sheet 3)", "")</f>
        <v/>
      </c>
      <c r="L2348" s="7" t="n"/>
      <c r="M2348" s="7" t="n"/>
      <c r="N2348">
        <f>IF(D2348="", "Gap - No Legal Basis", IF(AND(D2348="Consent (GDPR Art. 6(1)(a))", I2348="Not Captured"), "Gap - Invalid Consent", IF(AND(D2348="Legitimate Interest (GDPR Art. 6(1)(f))", L2348=""), "Gap - Missing LIA", IF(AND(G2348="Yes", H2348=""), "Gap - Missing Art. 9 Basis", IF(OR(I2348="Invalid - Not Freely Given", I2348="Invalid - Not Specific", I2348="Invalid - Not Informed", I2348="Invalid - Ambiguous"), "Gap - Invalid Consent", "Compliant")))))</f>
        <v/>
      </c>
      <c r="O2348" s="7" t="n"/>
    </row>
    <row r="2349">
      <c r="A2349" s="7" t="n"/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>
        <f>IF(D2349="Legitimate Interest (GDPR Art. 6(1)(f))", "Yes / Required (Sheet 3)", "")</f>
        <v/>
      </c>
      <c r="L2349" s="7" t="n"/>
      <c r="M2349" s="7" t="n"/>
      <c r="N2349">
        <f>IF(D2349="", "Gap - No Legal Basis", IF(AND(D2349="Consent (GDPR Art. 6(1)(a))", I2349="Not Captured"), "Gap - Invalid Consent", IF(AND(D2349="Legitimate Interest (GDPR Art. 6(1)(f))", L2349=""), "Gap - Missing LIA", IF(AND(G2349="Yes", H2349=""), "Gap - Missing Art. 9 Basis", IF(OR(I2349="Invalid - Not Freely Given", I2349="Invalid - Not Specific", I2349="Invalid - Not Informed", I2349="Invalid - Ambiguous"), "Gap - Invalid Consent", "Compliant")))))</f>
        <v/>
      </c>
      <c r="O2349" s="7" t="n"/>
    </row>
    <row r="2350">
      <c r="A2350" s="7" t="n"/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>
        <f>IF(D2350="Legitimate Interest (GDPR Art. 6(1)(f))", "Yes / Required (Sheet 3)", "")</f>
        <v/>
      </c>
      <c r="L2350" s="7" t="n"/>
      <c r="M2350" s="7" t="n"/>
      <c r="N2350">
        <f>IF(D2350="", "Gap - No Legal Basis", IF(AND(D2350="Consent (GDPR Art. 6(1)(a))", I2350="Not Captured"), "Gap - Invalid Consent", IF(AND(D2350="Legitimate Interest (GDPR Art. 6(1)(f))", L2350=""), "Gap - Missing LIA", IF(AND(G2350="Yes", H2350=""), "Gap - Missing Art. 9 Basis", IF(OR(I2350="Invalid - Not Freely Given", I2350="Invalid - Not Specific", I2350="Invalid - Not Informed", I2350="Invalid - Ambiguous"), "Gap - Invalid Consent", "Compliant")))))</f>
        <v/>
      </c>
      <c r="O2350" s="7" t="n"/>
    </row>
    <row r="2351">
      <c r="A2351" s="7" t="n"/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>
        <f>IF(D2351="Legitimate Interest (GDPR Art. 6(1)(f))", "Yes / Required (Sheet 3)", "")</f>
        <v/>
      </c>
      <c r="L2351" s="7" t="n"/>
      <c r="M2351" s="7" t="n"/>
      <c r="N2351">
        <f>IF(D2351="", "Gap - No Legal Basis", IF(AND(D2351="Consent (GDPR Art. 6(1)(a))", I2351="Not Captured"), "Gap - Invalid Consent", IF(AND(D2351="Legitimate Interest (GDPR Art. 6(1)(f))", L2351=""), "Gap - Missing LIA", IF(AND(G2351="Yes", H2351=""), "Gap - Missing Art. 9 Basis", IF(OR(I2351="Invalid - Not Freely Given", I2351="Invalid - Not Specific", I2351="Invalid - Not Informed", I2351="Invalid - Ambiguous"), "Gap - Invalid Consent", "Compliant")))))</f>
        <v/>
      </c>
      <c r="O2351" s="7" t="n"/>
    </row>
    <row r="2352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>
        <f>IF(D2352="Legitimate Interest (GDPR Art. 6(1)(f))", "Yes / Required (Sheet 3)", "")</f>
        <v/>
      </c>
      <c r="L2352" s="7" t="n"/>
      <c r="M2352" s="7" t="n"/>
      <c r="N2352">
        <f>IF(D2352="", "Gap - No Legal Basis", IF(AND(D2352="Consent (GDPR Art. 6(1)(a))", I2352="Not Captured"), "Gap - Invalid Consent", IF(AND(D2352="Legitimate Interest (GDPR Art. 6(1)(f))", L2352=""), "Gap - Missing LIA", IF(AND(G2352="Yes", H2352=""), "Gap - Missing Art. 9 Basis", IF(OR(I2352="Invalid - Not Freely Given", I2352="Invalid - Not Specific", I2352="Invalid - Not Informed", I2352="Invalid - Ambiguous"), "Gap - Invalid Consent", "Compliant")))))</f>
        <v/>
      </c>
      <c r="O2352" s="7" t="n"/>
    </row>
    <row r="2353">
      <c r="A2353" s="7" t="n"/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>
        <f>IF(D2353="Legitimate Interest (GDPR Art. 6(1)(f))", "Yes / Required (Sheet 3)", "")</f>
        <v/>
      </c>
      <c r="L2353" s="7" t="n"/>
      <c r="M2353" s="7" t="n"/>
      <c r="N2353">
        <f>IF(D2353="", "Gap - No Legal Basis", IF(AND(D2353="Consent (GDPR Art. 6(1)(a))", I2353="Not Captured"), "Gap - Invalid Consent", IF(AND(D2353="Legitimate Interest (GDPR Art. 6(1)(f))", L2353=""), "Gap - Missing LIA", IF(AND(G2353="Yes", H2353=""), "Gap - Missing Art. 9 Basis", IF(OR(I2353="Invalid - Not Freely Given", I2353="Invalid - Not Specific", I2353="Invalid - Not Informed", I2353="Invalid - Ambiguous"), "Gap - Invalid Consent", "Compliant")))))</f>
        <v/>
      </c>
      <c r="O2353" s="7" t="n"/>
    </row>
    <row r="2354">
      <c r="A2354" s="7" t="n"/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>
        <f>IF(D2354="Legitimate Interest (GDPR Art. 6(1)(f))", "Yes / Required (Sheet 3)", "")</f>
        <v/>
      </c>
      <c r="L2354" s="7" t="n"/>
      <c r="M2354" s="7" t="n"/>
      <c r="N2354">
        <f>IF(D2354="", "Gap - No Legal Basis", IF(AND(D2354="Consent (GDPR Art. 6(1)(a))", I2354="Not Captured"), "Gap - Invalid Consent", IF(AND(D2354="Legitimate Interest (GDPR Art. 6(1)(f))", L2354=""), "Gap - Missing LIA", IF(AND(G2354="Yes", H2354=""), "Gap - Missing Art. 9 Basis", IF(OR(I2354="Invalid - Not Freely Given", I2354="Invalid - Not Specific", I2354="Invalid - Not Informed", I2354="Invalid - Ambiguous"), "Gap - Invalid Consent", "Compliant")))))</f>
        <v/>
      </c>
      <c r="O2354" s="7" t="n"/>
    </row>
    <row r="2355">
      <c r="A2355" s="7" t="n"/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>
        <f>IF(D2355="Legitimate Interest (GDPR Art. 6(1)(f))", "Yes / Required (Sheet 3)", "")</f>
        <v/>
      </c>
      <c r="L2355" s="7" t="n"/>
      <c r="M2355" s="7" t="n"/>
      <c r="N2355">
        <f>IF(D2355="", "Gap - No Legal Basis", IF(AND(D2355="Consent (GDPR Art. 6(1)(a))", I2355="Not Captured"), "Gap - Invalid Consent", IF(AND(D2355="Legitimate Interest (GDPR Art. 6(1)(f))", L2355=""), "Gap - Missing LIA", IF(AND(G2355="Yes", H2355=""), "Gap - Missing Art. 9 Basis", IF(OR(I2355="Invalid - Not Freely Given", I2355="Invalid - Not Specific", I2355="Invalid - Not Informed", I2355="Invalid - Ambiguous"), "Gap - Invalid Consent", "Compliant")))))</f>
        <v/>
      </c>
      <c r="O2355" s="7" t="n"/>
    </row>
    <row r="2356">
      <c r="A2356" s="7" t="n"/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>
        <f>IF(D2356="Legitimate Interest (GDPR Art. 6(1)(f))", "Yes / Required (Sheet 3)", "")</f>
        <v/>
      </c>
      <c r="L2356" s="7" t="n"/>
      <c r="M2356" s="7" t="n"/>
      <c r="N2356">
        <f>IF(D2356="", "Gap - No Legal Basis", IF(AND(D2356="Consent (GDPR Art. 6(1)(a))", I2356="Not Captured"), "Gap - Invalid Consent", IF(AND(D2356="Legitimate Interest (GDPR Art. 6(1)(f))", L2356=""), "Gap - Missing LIA", IF(AND(G2356="Yes", H2356=""), "Gap - Missing Art. 9 Basis", IF(OR(I2356="Invalid - Not Freely Given", I2356="Invalid - Not Specific", I2356="Invalid - Not Informed", I2356="Invalid - Ambiguous"), "Gap - Invalid Consent", "Compliant")))))</f>
        <v/>
      </c>
      <c r="O2356" s="7" t="n"/>
    </row>
    <row r="2357">
      <c r="A2357" s="7" t="n"/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>
        <f>IF(D2357="Legitimate Interest (GDPR Art. 6(1)(f))", "Yes / Required (Sheet 3)", "")</f>
        <v/>
      </c>
      <c r="L2357" s="7" t="n"/>
      <c r="M2357" s="7" t="n"/>
      <c r="N2357">
        <f>IF(D2357="", "Gap - No Legal Basis", IF(AND(D2357="Consent (GDPR Art. 6(1)(a))", I2357="Not Captured"), "Gap - Invalid Consent", IF(AND(D2357="Legitimate Interest (GDPR Art. 6(1)(f))", L2357=""), "Gap - Missing LIA", IF(AND(G2357="Yes", H2357=""), "Gap - Missing Art. 9 Basis", IF(OR(I2357="Invalid - Not Freely Given", I2357="Invalid - Not Specific", I2357="Invalid - Not Informed", I2357="Invalid - Ambiguous"), "Gap - Invalid Consent", "Compliant")))))</f>
        <v/>
      </c>
      <c r="O2357" s="7" t="n"/>
    </row>
    <row r="2358">
      <c r="A2358" s="7" t="n"/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>
        <f>IF(D2358="Legitimate Interest (GDPR Art. 6(1)(f))", "Yes / Required (Sheet 3)", "")</f>
        <v/>
      </c>
      <c r="L2358" s="7" t="n"/>
      <c r="M2358" s="7" t="n"/>
      <c r="N2358">
        <f>IF(D2358="", "Gap - No Legal Basis", IF(AND(D2358="Consent (GDPR Art. 6(1)(a))", I2358="Not Captured"), "Gap - Invalid Consent", IF(AND(D2358="Legitimate Interest (GDPR Art. 6(1)(f))", L2358=""), "Gap - Missing LIA", IF(AND(G2358="Yes", H2358=""), "Gap - Missing Art. 9 Basis", IF(OR(I2358="Invalid - Not Freely Given", I2358="Invalid - Not Specific", I2358="Invalid - Not Informed", I2358="Invalid - Ambiguous"), "Gap - Invalid Consent", "Compliant")))))</f>
        <v/>
      </c>
      <c r="O2358" s="7" t="n"/>
    </row>
    <row r="2359">
      <c r="A2359" s="7" t="n"/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>
        <f>IF(D2359="Legitimate Interest (GDPR Art. 6(1)(f))", "Yes / Required (Sheet 3)", "")</f>
        <v/>
      </c>
      <c r="L2359" s="7" t="n"/>
      <c r="M2359" s="7" t="n"/>
      <c r="N2359">
        <f>IF(D2359="", "Gap - No Legal Basis", IF(AND(D2359="Consent (GDPR Art. 6(1)(a))", I2359="Not Captured"), "Gap - Invalid Consent", IF(AND(D2359="Legitimate Interest (GDPR Art. 6(1)(f))", L2359=""), "Gap - Missing LIA", IF(AND(G2359="Yes", H2359=""), "Gap - Missing Art. 9 Basis", IF(OR(I2359="Invalid - Not Freely Given", I2359="Invalid - Not Specific", I2359="Invalid - Not Informed", I2359="Invalid - Ambiguous"), "Gap - Invalid Consent", "Compliant")))))</f>
        <v/>
      </c>
      <c r="O2359" s="7" t="n"/>
    </row>
    <row r="2360">
      <c r="A2360" s="7" t="n"/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>
        <f>IF(D2360="Legitimate Interest (GDPR Art. 6(1)(f))", "Yes / Required (Sheet 3)", "")</f>
        <v/>
      </c>
      <c r="L2360" s="7" t="n"/>
      <c r="M2360" s="7" t="n"/>
      <c r="N2360">
        <f>IF(D2360="", "Gap - No Legal Basis", IF(AND(D2360="Consent (GDPR Art. 6(1)(a))", I2360="Not Captured"), "Gap - Invalid Consent", IF(AND(D2360="Legitimate Interest (GDPR Art. 6(1)(f))", L2360=""), "Gap - Missing LIA", IF(AND(G2360="Yes", H2360=""), "Gap - Missing Art. 9 Basis", IF(OR(I2360="Invalid - Not Freely Given", I2360="Invalid - Not Specific", I2360="Invalid - Not Informed", I2360="Invalid - Ambiguous"), "Gap - Invalid Consent", "Compliant")))))</f>
        <v/>
      </c>
      <c r="O2360" s="7" t="n"/>
    </row>
    <row r="2361">
      <c r="A2361" s="7" t="n"/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>
        <f>IF(D2361="Legitimate Interest (GDPR Art. 6(1)(f))", "Yes / Required (Sheet 3)", "")</f>
        <v/>
      </c>
      <c r="L2361" s="7" t="n"/>
      <c r="M2361" s="7" t="n"/>
      <c r="N2361">
        <f>IF(D2361="", "Gap - No Legal Basis", IF(AND(D2361="Consent (GDPR Art. 6(1)(a))", I2361="Not Captured"), "Gap - Invalid Consent", IF(AND(D2361="Legitimate Interest (GDPR Art. 6(1)(f))", L2361=""), "Gap - Missing LIA", IF(AND(G2361="Yes", H2361=""), "Gap - Missing Art. 9 Basis", IF(OR(I2361="Invalid - Not Freely Given", I2361="Invalid - Not Specific", I2361="Invalid - Not Informed", I2361="Invalid - Ambiguous"), "Gap - Invalid Consent", "Compliant")))))</f>
        <v/>
      </c>
      <c r="O2361" s="7" t="n"/>
    </row>
    <row r="2362">
      <c r="A2362" s="7" t="n"/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>
        <f>IF(D2362="Legitimate Interest (GDPR Art. 6(1)(f))", "Yes / Required (Sheet 3)", "")</f>
        <v/>
      </c>
      <c r="L2362" s="7" t="n"/>
      <c r="M2362" s="7" t="n"/>
      <c r="N2362">
        <f>IF(D2362="", "Gap - No Legal Basis", IF(AND(D2362="Consent (GDPR Art. 6(1)(a))", I2362="Not Captured"), "Gap - Invalid Consent", IF(AND(D2362="Legitimate Interest (GDPR Art. 6(1)(f))", L2362=""), "Gap - Missing LIA", IF(AND(G2362="Yes", H2362=""), "Gap - Missing Art. 9 Basis", IF(OR(I2362="Invalid - Not Freely Given", I2362="Invalid - Not Specific", I2362="Invalid - Not Informed", I2362="Invalid - Ambiguous"), "Gap - Invalid Consent", "Compliant")))))</f>
        <v/>
      </c>
      <c r="O2362" s="7" t="n"/>
    </row>
    <row r="2363">
      <c r="A2363" s="7" t="n"/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>
        <f>IF(D2363="Legitimate Interest (GDPR Art. 6(1)(f))", "Yes / Required (Sheet 3)", "")</f>
        <v/>
      </c>
      <c r="L2363" s="7" t="n"/>
      <c r="M2363" s="7" t="n"/>
      <c r="N2363">
        <f>IF(D2363="", "Gap - No Legal Basis", IF(AND(D2363="Consent (GDPR Art. 6(1)(a))", I2363="Not Captured"), "Gap - Invalid Consent", IF(AND(D2363="Legitimate Interest (GDPR Art. 6(1)(f))", L2363=""), "Gap - Missing LIA", IF(AND(G2363="Yes", H2363=""), "Gap - Missing Art. 9 Basis", IF(OR(I2363="Invalid - Not Freely Given", I2363="Invalid - Not Specific", I2363="Invalid - Not Informed", I2363="Invalid - Ambiguous"), "Gap - Invalid Consent", "Compliant")))))</f>
        <v/>
      </c>
      <c r="O2363" s="7" t="n"/>
    </row>
    <row r="2364">
      <c r="A2364" s="7" t="n"/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>
        <f>IF(D2364="Legitimate Interest (GDPR Art. 6(1)(f))", "Yes / Required (Sheet 3)", "")</f>
        <v/>
      </c>
      <c r="L2364" s="7" t="n"/>
      <c r="M2364" s="7" t="n"/>
      <c r="N2364">
        <f>IF(D2364="", "Gap - No Legal Basis", IF(AND(D2364="Consent (GDPR Art. 6(1)(a))", I2364="Not Captured"), "Gap - Invalid Consent", IF(AND(D2364="Legitimate Interest (GDPR Art. 6(1)(f))", L2364=""), "Gap - Missing LIA", IF(AND(G2364="Yes", H2364=""), "Gap - Missing Art. 9 Basis", IF(OR(I2364="Invalid - Not Freely Given", I2364="Invalid - Not Specific", I2364="Invalid - Not Informed", I2364="Invalid - Ambiguous"), "Gap - Invalid Consent", "Compliant")))))</f>
        <v/>
      </c>
      <c r="O2364" s="7" t="n"/>
    </row>
    <row r="2365">
      <c r="A2365" s="7" t="n"/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>
        <f>IF(D2365="Legitimate Interest (GDPR Art. 6(1)(f))", "Yes / Required (Sheet 3)", "")</f>
        <v/>
      </c>
      <c r="L2365" s="7" t="n"/>
      <c r="M2365" s="7" t="n"/>
      <c r="N2365">
        <f>IF(D2365="", "Gap - No Legal Basis", IF(AND(D2365="Consent (GDPR Art. 6(1)(a))", I2365="Not Captured"), "Gap - Invalid Consent", IF(AND(D2365="Legitimate Interest (GDPR Art. 6(1)(f))", L2365=""), "Gap - Missing LIA", IF(AND(G2365="Yes", H2365=""), "Gap - Missing Art. 9 Basis", IF(OR(I2365="Invalid - Not Freely Given", I2365="Invalid - Not Specific", I2365="Invalid - Not Informed", I2365="Invalid - Ambiguous"), "Gap - Invalid Consent", "Compliant")))))</f>
        <v/>
      </c>
      <c r="O2365" s="7" t="n"/>
    </row>
    <row r="2366">
      <c r="A2366" s="7" t="n"/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>
        <f>IF(D2366="Legitimate Interest (GDPR Art. 6(1)(f))", "Yes / Required (Sheet 3)", "")</f>
        <v/>
      </c>
      <c r="L2366" s="7" t="n"/>
      <c r="M2366" s="7" t="n"/>
      <c r="N2366">
        <f>IF(D2366="", "Gap - No Legal Basis", IF(AND(D2366="Consent (GDPR Art. 6(1)(a))", I2366="Not Captured"), "Gap - Invalid Consent", IF(AND(D2366="Legitimate Interest (GDPR Art. 6(1)(f))", L2366=""), "Gap - Missing LIA", IF(AND(G2366="Yes", H2366=""), "Gap - Missing Art. 9 Basis", IF(OR(I2366="Invalid - Not Freely Given", I2366="Invalid - Not Specific", I2366="Invalid - Not Informed", I2366="Invalid - Ambiguous"), "Gap - Invalid Consent", "Compliant")))))</f>
        <v/>
      </c>
      <c r="O2366" s="7" t="n"/>
    </row>
    <row r="2367">
      <c r="A2367" s="7" t="n"/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>
        <f>IF(D2367="Legitimate Interest (GDPR Art. 6(1)(f))", "Yes / Required (Sheet 3)", "")</f>
        <v/>
      </c>
      <c r="L2367" s="7" t="n"/>
      <c r="M2367" s="7" t="n"/>
      <c r="N2367">
        <f>IF(D2367="", "Gap - No Legal Basis", IF(AND(D2367="Consent (GDPR Art. 6(1)(a))", I2367="Not Captured"), "Gap - Invalid Consent", IF(AND(D2367="Legitimate Interest (GDPR Art. 6(1)(f))", L2367=""), "Gap - Missing LIA", IF(AND(G2367="Yes", H2367=""), "Gap - Missing Art. 9 Basis", IF(OR(I2367="Invalid - Not Freely Given", I2367="Invalid - Not Specific", I2367="Invalid - Not Informed", I2367="Invalid - Ambiguous"), "Gap - Invalid Consent", "Compliant")))))</f>
        <v/>
      </c>
      <c r="O2367" s="7" t="n"/>
    </row>
    <row r="2368">
      <c r="A2368" s="7" t="n"/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>
        <f>IF(D2368="Legitimate Interest (GDPR Art. 6(1)(f))", "Yes / Required (Sheet 3)", "")</f>
        <v/>
      </c>
      <c r="L2368" s="7" t="n"/>
      <c r="M2368" s="7" t="n"/>
      <c r="N2368">
        <f>IF(D2368="", "Gap - No Legal Basis", IF(AND(D2368="Consent (GDPR Art. 6(1)(a))", I2368="Not Captured"), "Gap - Invalid Consent", IF(AND(D2368="Legitimate Interest (GDPR Art. 6(1)(f))", L2368=""), "Gap - Missing LIA", IF(AND(G2368="Yes", H2368=""), "Gap - Missing Art. 9 Basis", IF(OR(I2368="Invalid - Not Freely Given", I2368="Invalid - Not Specific", I2368="Invalid - Not Informed", I2368="Invalid - Ambiguous"), "Gap - Invalid Consent", "Compliant")))))</f>
        <v/>
      </c>
      <c r="O2368" s="7" t="n"/>
    </row>
    <row r="2369">
      <c r="A2369" s="7" t="n"/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>
        <f>IF(D2369="Legitimate Interest (GDPR Art. 6(1)(f))", "Yes / Required (Sheet 3)", "")</f>
        <v/>
      </c>
      <c r="L2369" s="7" t="n"/>
      <c r="M2369" s="7" t="n"/>
      <c r="N2369">
        <f>IF(D2369="", "Gap - No Legal Basis", IF(AND(D2369="Consent (GDPR Art. 6(1)(a))", I2369="Not Captured"), "Gap - Invalid Consent", IF(AND(D2369="Legitimate Interest (GDPR Art. 6(1)(f))", L2369=""), "Gap - Missing LIA", IF(AND(G2369="Yes", H2369=""), "Gap - Missing Art. 9 Basis", IF(OR(I2369="Invalid - Not Freely Given", I2369="Invalid - Not Specific", I2369="Invalid - Not Informed", I2369="Invalid - Ambiguous"), "Gap - Invalid Consent", "Compliant")))))</f>
        <v/>
      </c>
      <c r="O2369" s="7" t="n"/>
    </row>
    <row r="2370">
      <c r="A2370" s="7" t="n"/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>
        <f>IF(D2370="Legitimate Interest (GDPR Art. 6(1)(f))", "Yes / Required (Sheet 3)", "")</f>
        <v/>
      </c>
      <c r="L2370" s="7" t="n"/>
      <c r="M2370" s="7" t="n"/>
      <c r="N2370">
        <f>IF(D2370="", "Gap - No Legal Basis", IF(AND(D2370="Consent (GDPR Art. 6(1)(a))", I2370="Not Captured"), "Gap - Invalid Consent", IF(AND(D2370="Legitimate Interest (GDPR Art. 6(1)(f))", L2370=""), "Gap - Missing LIA", IF(AND(G2370="Yes", H2370=""), "Gap - Missing Art. 9 Basis", IF(OR(I2370="Invalid - Not Freely Given", I2370="Invalid - Not Specific", I2370="Invalid - Not Informed", I2370="Invalid - Ambiguous"), "Gap - Invalid Consent", "Compliant")))))</f>
        <v/>
      </c>
      <c r="O2370" s="7" t="n"/>
    </row>
    <row r="2371">
      <c r="A2371" s="7" t="n"/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>
        <f>IF(D2371="Legitimate Interest (GDPR Art. 6(1)(f))", "Yes / Required (Sheet 3)", "")</f>
        <v/>
      </c>
      <c r="L2371" s="7" t="n"/>
      <c r="M2371" s="7" t="n"/>
      <c r="N2371">
        <f>IF(D2371="", "Gap - No Legal Basis", IF(AND(D2371="Consent (GDPR Art. 6(1)(a))", I2371="Not Captured"), "Gap - Invalid Consent", IF(AND(D2371="Legitimate Interest (GDPR Art. 6(1)(f))", L2371=""), "Gap - Missing LIA", IF(AND(G2371="Yes", H2371=""), "Gap - Missing Art. 9 Basis", IF(OR(I2371="Invalid - Not Freely Given", I2371="Invalid - Not Specific", I2371="Invalid - Not Informed", I2371="Invalid - Ambiguous"), "Gap - Invalid Consent", "Compliant")))))</f>
        <v/>
      </c>
      <c r="O2371" s="7" t="n"/>
    </row>
    <row r="2372">
      <c r="A2372" s="7" t="n"/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>
        <f>IF(D2372="Legitimate Interest (GDPR Art. 6(1)(f))", "Yes / Required (Sheet 3)", "")</f>
        <v/>
      </c>
      <c r="L2372" s="7" t="n"/>
      <c r="M2372" s="7" t="n"/>
      <c r="N2372">
        <f>IF(D2372="", "Gap - No Legal Basis", IF(AND(D2372="Consent (GDPR Art. 6(1)(a))", I2372="Not Captured"), "Gap - Invalid Consent", IF(AND(D2372="Legitimate Interest (GDPR Art. 6(1)(f))", L2372=""), "Gap - Missing LIA", IF(AND(G2372="Yes", H2372=""), "Gap - Missing Art. 9 Basis", IF(OR(I2372="Invalid - Not Freely Given", I2372="Invalid - Not Specific", I2372="Invalid - Not Informed", I2372="Invalid - Ambiguous"), "Gap - Invalid Consent", "Compliant")))))</f>
        <v/>
      </c>
      <c r="O2372" s="7" t="n"/>
    </row>
    <row r="2373">
      <c r="A2373" s="7" t="n"/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>
        <f>IF(D2373="Legitimate Interest (GDPR Art. 6(1)(f))", "Yes / Required (Sheet 3)", "")</f>
        <v/>
      </c>
      <c r="L2373" s="7" t="n"/>
      <c r="M2373" s="7" t="n"/>
      <c r="N2373">
        <f>IF(D2373="", "Gap - No Legal Basis", IF(AND(D2373="Consent (GDPR Art. 6(1)(a))", I2373="Not Captured"), "Gap - Invalid Consent", IF(AND(D2373="Legitimate Interest (GDPR Art. 6(1)(f))", L2373=""), "Gap - Missing LIA", IF(AND(G2373="Yes", H2373=""), "Gap - Missing Art. 9 Basis", IF(OR(I2373="Invalid - Not Freely Given", I2373="Invalid - Not Specific", I2373="Invalid - Not Informed", I2373="Invalid - Ambiguous"), "Gap - Invalid Consent", "Compliant")))))</f>
        <v/>
      </c>
      <c r="O2373" s="7" t="n"/>
    </row>
    <row r="2374">
      <c r="A2374" s="7" t="n"/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>
        <f>IF(D2374="Legitimate Interest (GDPR Art. 6(1)(f))", "Yes / Required (Sheet 3)", "")</f>
        <v/>
      </c>
      <c r="L2374" s="7" t="n"/>
      <c r="M2374" s="7" t="n"/>
      <c r="N2374">
        <f>IF(D2374="", "Gap - No Legal Basis", IF(AND(D2374="Consent (GDPR Art. 6(1)(a))", I2374="Not Captured"), "Gap - Invalid Consent", IF(AND(D2374="Legitimate Interest (GDPR Art. 6(1)(f))", L2374=""), "Gap - Missing LIA", IF(AND(G2374="Yes", H2374=""), "Gap - Missing Art. 9 Basis", IF(OR(I2374="Invalid - Not Freely Given", I2374="Invalid - Not Specific", I2374="Invalid - Not Informed", I2374="Invalid - Ambiguous"), "Gap - Invalid Consent", "Compliant")))))</f>
        <v/>
      </c>
      <c r="O2374" s="7" t="n"/>
    </row>
    <row r="2375">
      <c r="A2375" s="7" t="n"/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>
        <f>IF(D2375="Legitimate Interest (GDPR Art. 6(1)(f))", "Yes / Required (Sheet 3)", "")</f>
        <v/>
      </c>
      <c r="L2375" s="7" t="n"/>
      <c r="M2375" s="7" t="n"/>
      <c r="N2375">
        <f>IF(D2375="", "Gap - No Legal Basis", IF(AND(D2375="Consent (GDPR Art. 6(1)(a))", I2375="Not Captured"), "Gap - Invalid Consent", IF(AND(D2375="Legitimate Interest (GDPR Art. 6(1)(f))", L2375=""), "Gap - Missing LIA", IF(AND(G2375="Yes", H2375=""), "Gap - Missing Art. 9 Basis", IF(OR(I2375="Invalid - Not Freely Given", I2375="Invalid - Not Specific", I2375="Invalid - Not Informed", I2375="Invalid - Ambiguous"), "Gap - Invalid Consent", "Compliant")))))</f>
        <v/>
      </c>
      <c r="O2375" s="7" t="n"/>
    </row>
    <row r="2376">
      <c r="A2376" s="7" t="n"/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>
        <f>IF(D2376="Legitimate Interest (GDPR Art. 6(1)(f))", "Yes / Required (Sheet 3)", "")</f>
        <v/>
      </c>
      <c r="L2376" s="7" t="n"/>
      <c r="M2376" s="7" t="n"/>
      <c r="N2376">
        <f>IF(D2376="", "Gap - No Legal Basis", IF(AND(D2376="Consent (GDPR Art. 6(1)(a))", I2376="Not Captured"), "Gap - Invalid Consent", IF(AND(D2376="Legitimate Interest (GDPR Art. 6(1)(f))", L2376=""), "Gap - Missing LIA", IF(AND(G2376="Yes", H2376=""), "Gap - Missing Art. 9 Basis", IF(OR(I2376="Invalid - Not Freely Given", I2376="Invalid - Not Specific", I2376="Invalid - Not Informed", I2376="Invalid - Ambiguous"), "Gap - Invalid Consent", "Compliant")))))</f>
        <v/>
      </c>
      <c r="O2376" s="7" t="n"/>
    </row>
    <row r="2377">
      <c r="A2377" s="7" t="n"/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>
        <f>IF(D2377="Legitimate Interest (GDPR Art. 6(1)(f))", "Yes / Required (Sheet 3)", "")</f>
        <v/>
      </c>
      <c r="L2377" s="7" t="n"/>
      <c r="M2377" s="7" t="n"/>
      <c r="N2377">
        <f>IF(D2377="", "Gap - No Legal Basis", IF(AND(D2377="Consent (GDPR Art. 6(1)(a))", I2377="Not Captured"), "Gap - Invalid Consent", IF(AND(D2377="Legitimate Interest (GDPR Art. 6(1)(f))", L2377=""), "Gap - Missing LIA", IF(AND(G2377="Yes", H2377=""), "Gap - Missing Art. 9 Basis", IF(OR(I2377="Invalid - Not Freely Given", I2377="Invalid - Not Specific", I2377="Invalid - Not Informed", I2377="Invalid - Ambiguous"), "Gap - Invalid Consent", "Compliant")))))</f>
        <v/>
      </c>
      <c r="O2377" s="7" t="n"/>
    </row>
    <row r="2378">
      <c r="A2378" s="7" t="n"/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>
        <f>IF(D2378="Legitimate Interest (GDPR Art. 6(1)(f))", "Yes / Required (Sheet 3)", "")</f>
        <v/>
      </c>
      <c r="L2378" s="7" t="n"/>
      <c r="M2378" s="7" t="n"/>
      <c r="N2378">
        <f>IF(D2378="", "Gap - No Legal Basis", IF(AND(D2378="Consent (GDPR Art. 6(1)(a))", I2378="Not Captured"), "Gap - Invalid Consent", IF(AND(D2378="Legitimate Interest (GDPR Art. 6(1)(f))", L2378=""), "Gap - Missing LIA", IF(AND(G2378="Yes", H2378=""), "Gap - Missing Art. 9 Basis", IF(OR(I2378="Invalid - Not Freely Given", I2378="Invalid - Not Specific", I2378="Invalid - Not Informed", I2378="Invalid - Ambiguous"), "Gap - Invalid Consent", "Compliant")))))</f>
        <v/>
      </c>
      <c r="O2378" s="7" t="n"/>
    </row>
    <row r="2379">
      <c r="A2379" s="7" t="n"/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>
        <f>IF(D2379="Legitimate Interest (GDPR Art. 6(1)(f))", "Yes / Required (Sheet 3)", "")</f>
        <v/>
      </c>
      <c r="L2379" s="7" t="n"/>
      <c r="M2379" s="7" t="n"/>
      <c r="N2379">
        <f>IF(D2379="", "Gap - No Legal Basis", IF(AND(D2379="Consent (GDPR Art. 6(1)(a))", I2379="Not Captured"), "Gap - Invalid Consent", IF(AND(D2379="Legitimate Interest (GDPR Art. 6(1)(f))", L2379=""), "Gap - Missing LIA", IF(AND(G2379="Yes", H2379=""), "Gap - Missing Art. 9 Basis", IF(OR(I2379="Invalid - Not Freely Given", I2379="Invalid - Not Specific", I2379="Invalid - Not Informed", I2379="Invalid - Ambiguous"), "Gap - Invalid Consent", "Compliant")))))</f>
        <v/>
      </c>
      <c r="O2379" s="7" t="n"/>
    </row>
    <row r="2380">
      <c r="A2380" s="7" t="n"/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>
        <f>IF(D2380="Legitimate Interest (GDPR Art. 6(1)(f))", "Yes / Required (Sheet 3)", "")</f>
        <v/>
      </c>
      <c r="L2380" s="7" t="n"/>
      <c r="M2380" s="7" t="n"/>
      <c r="N2380">
        <f>IF(D2380="", "Gap - No Legal Basis", IF(AND(D2380="Consent (GDPR Art. 6(1)(a))", I2380="Not Captured"), "Gap - Invalid Consent", IF(AND(D2380="Legitimate Interest (GDPR Art. 6(1)(f))", L2380=""), "Gap - Missing LIA", IF(AND(G2380="Yes", H2380=""), "Gap - Missing Art. 9 Basis", IF(OR(I2380="Invalid - Not Freely Given", I2380="Invalid - Not Specific", I2380="Invalid - Not Informed", I2380="Invalid - Ambiguous"), "Gap - Invalid Consent", "Compliant")))))</f>
        <v/>
      </c>
      <c r="O2380" s="7" t="n"/>
    </row>
    <row r="2381">
      <c r="A2381" s="7" t="n"/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>
        <f>IF(D2381="Legitimate Interest (GDPR Art. 6(1)(f))", "Yes / Required (Sheet 3)", "")</f>
        <v/>
      </c>
      <c r="L2381" s="7" t="n"/>
      <c r="M2381" s="7" t="n"/>
      <c r="N2381">
        <f>IF(D2381="", "Gap - No Legal Basis", IF(AND(D2381="Consent (GDPR Art. 6(1)(a))", I2381="Not Captured"), "Gap - Invalid Consent", IF(AND(D2381="Legitimate Interest (GDPR Art. 6(1)(f))", L2381=""), "Gap - Missing LIA", IF(AND(G2381="Yes", H2381=""), "Gap - Missing Art. 9 Basis", IF(OR(I2381="Invalid - Not Freely Given", I2381="Invalid - Not Specific", I2381="Invalid - Not Informed", I2381="Invalid - Ambiguous"), "Gap - Invalid Consent", "Compliant")))))</f>
        <v/>
      </c>
      <c r="O2381" s="7" t="n"/>
    </row>
    <row r="2382">
      <c r="A2382" s="7" t="n"/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>
        <f>IF(D2382="Legitimate Interest (GDPR Art. 6(1)(f))", "Yes / Required (Sheet 3)", "")</f>
        <v/>
      </c>
      <c r="L2382" s="7" t="n"/>
      <c r="M2382" s="7" t="n"/>
      <c r="N2382">
        <f>IF(D2382="", "Gap - No Legal Basis", IF(AND(D2382="Consent (GDPR Art. 6(1)(a))", I2382="Not Captured"), "Gap - Invalid Consent", IF(AND(D2382="Legitimate Interest (GDPR Art. 6(1)(f))", L2382=""), "Gap - Missing LIA", IF(AND(G2382="Yes", H2382=""), "Gap - Missing Art. 9 Basis", IF(OR(I2382="Invalid - Not Freely Given", I2382="Invalid - Not Specific", I2382="Invalid - Not Informed", I2382="Invalid - Ambiguous"), "Gap - Invalid Consent", "Compliant")))))</f>
        <v/>
      </c>
      <c r="O2382" s="7" t="n"/>
    </row>
    <row r="2383">
      <c r="A2383" s="7" t="n"/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>
        <f>IF(D2383="Legitimate Interest (GDPR Art. 6(1)(f))", "Yes / Required (Sheet 3)", "")</f>
        <v/>
      </c>
      <c r="L2383" s="7" t="n"/>
      <c r="M2383" s="7" t="n"/>
      <c r="N2383">
        <f>IF(D2383="", "Gap - No Legal Basis", IF(AND(D2383="Consent (GDPR Art. 6(1)(a))", I2383="Not Captured"), "Gap - Invalid Consent", IF(AND(D2383="Legitimate Interest (GDPR Art. 6(1)(f))", L2383=""), "Gap - Missing LIA", IF(AND(G2383="Yes", H2383=""), "Gap - Missing Art. 9 Basis", IF(OR(I2383="Invalid - Not Freely Given", I2383="Invalid - Not Specific", I2383="Invalid - Not Informed", I2383="Invalid - Ambiguous"), "Gap - Invalid Consent", "Compliant")))))</f>
        <v/>
      </c>
      <c r="O2383" s="7" t="n"/>
    </row>
    <row r="2384">
      <c r="A2384" s="7" t="n"/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>
        <f>IF(D2384="Legitimate Interest (GDPR Art. 6(1)(f))", "Yes / Required (Sheet 3)", "")</f>
        <v/>
      </c>
      <c r="L2384" s="7" t="n"/>
      <c r="M2384" s="7" t="n"/>
      <c r="N2384">
        <f>IF(D2384="", "Gap - No Legal Basis", IF(AND(D2384="Consent (GDPR Art. 6(1)(a))", I2384="Not Captured"), "Gap - Invalid Consent", IF(AND(D2384="Legitimate Interest (GDPR Art. 6(1)(f))", L2384=""), "Gap - Missing LIA", IF(AND(G2384="Yes", H2384=""), "Gap - Missing Art. 9 Basis", IF(OR(I2384="Invalid - Not Freely Given", I2384="Invalid - Not Specific", I2384="Invalid - Not Informed", I2384="Invalid - Ambiguous"), "Gap - Invalid Consent", "Compliant")))))</f>
        <v/>
      </c>
      <c r="O2384" s="7" t="n"/>
    </row>
    <row r="2385">
      <c r="A2385" s="7" t="n"/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>
        <f>IF(D2385="Legitimate Interest (GDPR Art. 6(1)(f))", "Yes / Required (Sheet 3)", "")</f>
        <v/>
      </c>
      <c r="L2385" s="7" t="n"/>
      <c r="M2385" s="7" t="n"/>
      <c r="N2385">
        <f>IF(D2385="", "Gap - No Legal Basis", IF(AND(D2385="Consent (GDPR Art. 6(1)(a))", I2385="Not Captured"), "Gap - Invalid Consent", IF(AND(D2385="Legitimate Interest (GDPR Art. 6(1)(f))", L2385=""), "Gap - Missing LIA", IF(AND(G2385="Yes", H2385=""), "Gap - Missing Art. 9 Basis", IF(OR(I2385="Invalid - Not Freely Given", I2385="Invalid - Not Specific", I2385="Invalid - Not Informed", I2385="Invalid - Ambiguous"), "Gap - Invalid Consent", "Compliant")))))</f>
        <v/>
      </c>
      <c r="O2385" s="7" t="n"/>
    </row>
    <row r="2386">
      <c r="A2386" s="7" t="n"/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>
        <f>IF(D2386="Legitimate Interest (GDPR Art. 6(1)(f))", "Yes / Required (Sheet 3)", "")</f>
        <v/>
      </c>
      <c r="L2386" s="7" t="n"/>
      <c r="M2386" s="7" t="n"/>
      <c r="N2386">
        <f>IF(D2386="", "Gap - No Legal Basis", IF(AND(D2386="Consent (GDPR Art. 6(1)(a))", I2386="Not Captured"), "Gap - Invalid Consent", IF(AND(D2386="Legitimate Interest (GDPR Art. 6(1)(f))", L2386=""), "Gap - Missing LIA", IF(AND(G2386="Yes", H2386=""), "Gap - Missing Art. 9 Basis", IF(OR(I2386="Invalid - Not Freely Given", I2386="Invalid - Not Specific", I2386="Invalid - Not Informed", I2386="Invalid - Ambiguous"), "Gap - Invalid Consent", "Compliant")))))</f>
        <v/>
      </c>
      <c r="O2386" s="7" t="n"/>
    </row>
    <row r="2387">
      <c r="A2387" s="7" t="n"/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>
        <f>IF(D2387="Legitimate Interest (GDPR Art. 6(1)(f))", "Yes / Required (Sheet 3)", "")</f>
        <v/>
      </c>
      <c r="L2387" s="7" t="n"/>
      <c r="M2387" s="7" t="n"/>
      <c r="N2387">
        <f>IF(D2387="", "Gap - No Legal Basis", IF(AND(D2387="Consent (GDPR Art. 6(1)(a))", I2387="Not Captured"), "Gap - Invalid Consent", IF(AND(D2387="Legitimate Interest (GDPR Art. 6(1)(f))", L2387=""), "Gap - Missing LIA", IF(AND(G2387="Yes", H2387=""), "Gap - Missing Art. 9 Basis", IF(OR(I2387="Invalid - Not Freely Given", I2387="Invalid - Not Specific", I2387="Invalid - Not Informed", I2387="Invalid - Ambiguous"), "Gap - Invalid Consent", "Compliant")))))</f>
        <v/>
      </c>
      <c r="O2387" s="7" t="n"/>
    </row>
    <row r="2388">
      <c r="A2388" s="7" t="n"/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>
        <f>IF(D2388="Legitimate Interest (GDPR Art. 6(1)(f))", "Yes / Required (Sheet 3)", "")</f>
        <v/>
      </c>
      <c r="L2388" s="7" t="n"/>
      <c r="M2388" s="7" t="n"/>
      <c r="N2388">
        <f>IF(D2388="", "Gap - No Legal Basis", IF(AND(D2388="Consent (GDPR Art. 6(1)(a))", I2388="Not Captured"), "Gap - Invalid Consent", IF(AND(D2388="Legitimate Interest (GDPR Art. 6(1)(f))", L2388=""), "Gap - Missing LIA", IF(AND(G2388="Yes", H2388=""), "Gap - Missing Art. 9 Basis", IF(OR(I2388="Invalid - Not Freely Given", I2388="Invalid - Not Specific", I2388="Invalid - Not Informed", I2388="Invalid - Ambiguous"), "Gap - Invalid Consent", "Compliant")))))</f>
        <v/>
      </c>
      <c r="O2388" s="7" t="n"/>
    </row>
    <row r="2389">
      <c r="A2389" s="7" t="n"/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>
        <f>IF(D2389="Legitimate Interest (GDPR Art. 6(1)(f))", "Yes / Required (Sheet 3)", "")</f>
        <v/>
      </c>
      <c r="L2389" s="7" t="n"/>
      <c r="M2389" s="7" t="n"/>
      <c r="N2389">
        <f>IF(D2389="", "Gap - No Legal Basis", IF(AND(D2389="Consent (GDPR Art. 6(1)(a))", I2389="Not Captured"), "Gap - Invalid Consent", IF(AND(D2389="Legitimate Interest (GDPR Art. 6(1)(f))", L2389=""), "Gap - Missing LIA", IF(AND(G2389="Yes", H2389=""), "Gap - Missing Art. 9 Basis", IF(OR(I2389="Invalid - Not Freely Given", I2389="Invalid - Not Specific", I2389="Invalid - Not Informed", I2389="Invalid - Ambiguous"), "Gap - Invalid Consent", "Compliant")))))</f>
        <v/>
      </c>
      <c r="O2389" s="7" t="n"/>
    </row>
    <row r="2390">
      <c r="A2390" s="7" t="n"/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>
        <f>IF(D2390="Legitimate Interest (GDPR Art. 6(1)(f))", "Yes / Required (Sheet 3)", "")</f>
        <v/>
      </c>
      <c r="L2390" s="7" t="n"/>
      <c r="M2390" s="7" t="n"/>
      <c r="N2390">
        <f>IF(D2390="", "Gap - No Legal Basis", IF(AND(D2390="Consent (GDPR Art. 6(1)(a))", I2390="Not Captured"), "Gap - Invalid Consent", IF(AND(D2390="Legitimate Interest (GDPR Art. 6(1)(f))", L2390=""), "Gap - Missing LIA", IF(AND(G2390="Yes", H2390=""), "Gap - Missing Art. 9 Basis", IF(OR(I2390="Invalid - Not Freely Given", I2390="Invalid - Not Specific", I2390="Invalid - Not Informed", I2390="Invalid - Ambiguous"), "Gap - Invalid Consent", "Compliant")))))</f>
        <v/>
      </c>
      <c r="O2390" s="7" t="n"/>
    </row>
    <row r="2391">
      <c r="A2391" s="7" t="n"/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>
        <f>IF(D2391="Legitimate Interest (GDPR Art. 6(1)(f))", "Yes / Required (Sheet 3)", "")</f>
        <v/>
      </c>
      <c r="L2391" s="7" t="n"/>
      <c r="M2391" s="7" t="n"/>
      <c r="N2391">
        <f>IF(D2391="", "Gap - No Legal Basis", IF(AND(D2391="Consent (GDPR Art. 6(1)(a))", I2391="Not Captured"), "Gap - Invalid Consent", IF(AND(D2391="Legitimate Interest (GDPR Art. 6(1)(f))", L2391=""), "Gap - Missing LIA", IF(AND(G2391="Yes", H2391=""), "Gap - Missing Art. 9 Basis", IF(OR(I2391="Invalid - Not Freely Given", I2391="Invalid - Not Specific", I2391="Invalid - Not Informed", I2391="Invalid - Ambiguous"), "Gap - Invalid Consent", "Compliant")))))</f>
        <v/>
      </c>
      <c r="O2391" s="7" t="n"/>
    </row>
    <row r="2392">
      <c r="A2392" s="7" t="n"/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>
        <f>IF(D2392="Legitimate Interest (GDPR Art. 6(1)(f))", "Yes / Required (Sheet 3)", "")</f>
        <v/>
      </c>
      <c r="L2392" s="7" t="n"/>
      <c r="M2392" s="7" t="n"/>
      <c r="N2392">
        <f>IF(D2392="", "Gap - No Legal Basis", IF(AND(D2392="Consent (GDPR Art. 6(1)(a))", I2392="Not Captured"), "Gap - Invalid Consent", IF(AND(D2392="Legitimate Interest (GDPR Art. 6(1)(f))", L2392=""), "Gap - Missing LIA", IF(AND(G2392="Yes", H2392=""), "Gap - Missing Art. 9 Basis", IF(OR(I2392="Invalid - Not Freely Given", I2392="Invalid - Not Specific", I2392="Invalid - Not Informed", I2392="Invalid - Ambiguous"), "Gap - Invalid Consent", "Compliant")))))</f>
        <v/>
      </c>
      <c r="O2392" s="7" t="n"/>
    </row>
    <row r="2393">
      <c r="A2393" s="7" t="n"/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>
        <f>IF(D2393="Legitimate Interest (GDPR Art. 6(1)(f))", "Yes / Required (Sheet 3)", "")</f>
        <v/>
      </c>
      <c r="L2393" s="7" t="n"/>
      <c r="M2393" s="7" t="n"/>
      <c r="N2393">
        <f>IF(D2393="", "Gap - No Legal Basis", IF(AND(D2393="Consent (GDPR Art. 6(1)(a))", I2393="Not Captured"), "Gap - Invalid Consent", IF(AND(D2393="Legitimate Interest (GDPR Art. 6(1)(f))", L2393=""), "Gap - Missing LIA", IF(AND(G2393="Yes", H2393=""), "Gap - Missing Art. 9 Basis", IF(OR(I2393="Invalid - Not Freely Given", I2393="Invalid - Not Specific", I2393="Invalid - Not Informed", I2393="Invalid - Ambiguous"), "Gap - Invalid Consent", "Compliant")))))</f>
        <v/>
      </c>
      <c r="O2393" s="7" t="n"/>
    </row>
    <row r="2394">
      <c r="A2394" s="7" t="n"/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>
        <f>IF(D2394="Legitimate Interest (GDPR Art. 6(1)(f))", "Yes / Required (Sheet 3)", "")</f>
        <v/>
      </c>
      <c r="L2394" s="7" t="n"/>
      <c r="M2394" s="7" t="n"/>
      <c r="N2394">
        <f>IF(D2394="", "Gap - No Legal Basis", IF(AND(D2394="Consent (GDPR Art. 6(1)(a))", I2394="Not Captured"), "Gap - Invalid Consent", IF(AND(D2394="Legitimate Interest (GDPR Art. 6(1)(f))", L2394=""), "Gap - Missing LIA", IF(AND(G2394="Yes", H2394=""), "Gap - Missing Art. 9 Basis", IF(OR(I2394="Invalid - Not Freely Given", I2394="Invalid - Not Specific", I2394="Invalid - Not Informed", I2394="Invalid - Ambiguous"), "Gap - Invalid Consent", "Compliant")))))</f>
        <v/>
      </c>
      <c r="O2394" s="7" t="n"/>
    </row>
    <row r="2395">
      <c r="A2395" s="7" t="n"/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>
        <f>IF(D2395="Legitimate Interest (GDPR Art. 6(1)(f))", "Yes / Required (Sheet 3)", "")</f>
        <v/>
      </c>
      <c r="L2395" s="7" t="n"/>
      <c r="M2395" s="7" t="n"/>
      <c r="N2395">
        <f>IF(D2395="", "Gap - No Legal Basis", IF(AND(D2395="Consent (GDPR Art. 6(1)(a))", I2395="Not Captured"), "Gap - Invalid Consent", IF(AND(D2395="Legitimate Interest (GDPR Art. 6(1)(f))", L2395=""), "Gap - Missing LIA", IF(AND(G2395="Yes", H2395=""), "Gap - Missing Art. 9 Basis", IF(OR(I2395="Invalid - Not Freely Given", I2395="Invalid - Not Specific", I2395="Invalid - Not Informed", I2395="Invalid - Ambiguous"), "Gap - Invalid Consent", "Compliant")))))</f>
        <v/>
      </c>
      <c r="O2395" s="7" t="n"/>
    </row>
    <row r="2396">
      <c r="A2396" s="7" t="n"/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>
        <f>IF(D2396="Legitimate Interest (GDPR Art. 6(1)(f))", "Yes / Required (Sheet 3)", "")</f>
        <v/>
      </c>
      <c r="L2396" s="7" t="n"/>
      <c r="M2396" s="7" t="n"/>
      <c r="N2396">
        <f>IF(D2396="", "Gap - No Legal Basis", IF(AND(D2396="Consent (GDPR Art. 6(1)(a))", I2396="Not Captured"), "Gap - Invalid Consent", IF(AND(D2396="Legitimate Interest (GDPR Art. 6(1)(f))", L2396=""), "Gap - Missing LIA", IF(AND(G2396="Yes", H2396=""), "Gap - Missing Art. 9 Basis", IF(OR(I2396="Invalid - Not Freely Given", I2396="Invalid - Not Specific", I2396="Invalid - Not Informed", I2396="Invalid - Ambiguous"), "Gap - Invalid Consent", "Compliant")))))</f>
        <v/>
      </c>
      <c r="O2396" s="7" t="n"/>
    </row>
    <row r="2397">
      <c r="A2397" s="7" t="n"/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>
        <f>IF(D2397="Legitimate Interest (GDPR Art. 6(1)(f))", "Yes / Required (Sheet 3)", "")</f>
        <v/>
      </c>
      <c r="L2397" s="7" t="n"/>
      <c r="M2397" s="7" t="n"/>
      <c r="N2397">
        <f>IF(D2397="", "Gap - No Legal Basis", IF(AND(D2397="Consent (GDPR Art. 6(1)(a))", I2397="Not Captured"), "Gap - Invalid Consent", IF(AND(D2397="Legitimate Interest (GDPR Art. 6(1)(f))", L2397=""), "Gap - Missing LIA", IF(AND(G2397="Yes", H2397=""), "Gap - Missing Art. 9 Basis", IF(OR(I2397="Invalid - Not Freely Given", I2397="Invalid - Not Specific", I2397="Invalid - Not Informed", I2397="Invalid - Ambiguous"), "Gap - Invalid Consent", "Compliant")))))</f>
        <v/>
      </c>
      <c r="O2397" s="7" t="n"/>
    </row>
    <row r="2398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>
        <f>IF(D2398="Legitimate Interest (GDPR Art. 6(1)(f))", "Yes / Required (Sheet 3)", "")</f>
        <v/>
      </c>
      <c r="L2398" s="7" t="n"/>
      <c r="M2398" s="7" t="n"/>
      <c r="N2398">
        <f>IF(D2398="", "Gap - No Legal Basis", IF(AND(D2398="Consent (GDPR Art. 6(1)(a))", I2398="Not Captured"), "Gap - Invalid Consent", IF(AND(D2398="Legitimate Interest (GDPR Art. 6(1)(f))", L2398=""), "Gap - Missing LIA", IF(AND(G2398="Yes", H2398=""), "Gap - Missing Art. 9 Basis", IF(OR(I2398="Invalid - Not Freely Given", I2398="Invalid - Not Specific", I2398="Invalid - Not Informed", I2398="Invalid - Ambiguous"), "Gap - Invalid Consent", "Compliant")))))</f>
        <v/>
      </c>
      <c r="O2398" s="7" t="n"/>
    </row>
    <row r="2399">
      <c r="A2399" s="7" t="n"/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>
        <f>IF(D2399="Legitimate Interest (GDPR Art. 6(1)(f))", "Yes / Required (Sheet 3)", "")</f>
        <v/>
      </c>
      <c r="L2399" s="7" t="n"/>
      <c r="M2399" s="7" t="n"/>
      <c r="N2399">
        <f>IF(D2399="", "Gap - No Legal Basis", IF(AND(D2399="Consent (GDPR Art. 6(1)(a))", I2399="Not Captured"), "Gap - Invalid Consent", IF(AND(D2399="Legitimate Interest (GDPR Art. 6(1)(f))", L2399=""), "Gap - Missing LIA", IF(AND(G2399="Yes", H2399=""), "Gap - Missing Art. 9 Basis", IF(OR(I2399="Invalid - Not Freely Given", I2399="Invalid - Not Specific", I2399="Invalid - Not Informed", I2399="Invalid - Ambiguous"), "Gap - Invalid Consent", "Compliant")))))</f>
        <v/>
      </c>
      <c r="O2399" s="7" t="n"/>
    </row>
    <row r="2400">
      <c r="A2400" s="7" t="n"/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>
        <f>IF(D2400="Legitimate Interest (GDPR Art. 6(1)(f))", "Yes / Required (Sheet 3)", "")</f>
        <v/>
      </c>
      <c r="L2400" s="7" t="n"/>
      <c r="M2400" s="7" t="n"/>
      <c r="N2400">
        <f>IF(D2400="", "Gap - No Legal Basis", IF(AND(D2400="Consent (GDPR Art. 6(1)(a))", I2400="Not Captured"), "Gap - Invalid Consent", IF(AND(D2400="Legitimate Interest (GDPR Art. 6(1)(f))", L2400=""), "Gap - Missing LIA", IF(AND(G2400="Yes", H2400=""), "Gap - Missing Art. 9 Basis", IF(OR(I2400="Invalid - Not Freely Given", I2400="Invalid - Not Specific", I2400="Invalid - Not Informed", I2400="Invalid - Ambiguous"), "Gap - Invalid Consent", "Compliant")))))</f>
        <v/>
      </c>
      <c r="O2400" s="7" t="n"/>
    </row>
    <row r="2401">
      <c r="A2401" s="7" t="n"/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>
        <f>IF(D2401="Legitimate Interest (GDPR Art. 6(1)(f))", "Yes / Required (Sheet 3)", "")</f>
        <v/>
      </c>
      <c r="L2401" s="7" t="n"/>
      <c r="M2401" s="7" t="n"/>
      <c r="N2401">
        <f>IF(D2401="", "Gap - No Legal Basis", IF(AND(D2401="Consent (GDPR Art. 6(1)(a))", I2401="Not Captured"), "Gap - Invalid Consent", IF(AND(D2401="Legitimate Interest (GDPR Art. 6(1)(f))", L2401=""), "Gap - Missing LIA", IF(AND(G2401="Yes", H2401=""), "Gap - Missing Art. 9 Basis", IF(OR(I2401="Invalid - Not Freely Given", I2401="Invalid - Not Specific", I2401="Invalid - Not Informed", I2401="Invalid - Ambiguous"), "Gap - Invalid Consent", "Compliant")))))</f>
        <v/>
      </c>
      <c r="O2401" s="7" t="n"/>
    </row>
    <row r="2402">
      <c r="A2402" s="7" t="n"/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>
        <f>IF(D2402="Legitimate Interest (GDPR Art. 6(1)(f))", "Yes / Required (Sheet 3)", "")</f>
        <v/>
      </c>
      <c r="L2402" s="7" t="n"/>
      <c r="M2402" s="7" t="n"/>
      <c r="N2402">
        <f>IF(D2402="", "Gap - No Legal Basis", IF(AND(D2402="Consent (GDPR Art. 6(1)(a))", I2402="Not Captured"), "Gap - Invalid Consent", IF(AND(D2402="Legitimate Interest (GDPR Art. 6(1)(f))", L2402=""), "Gap - Missing LIA", IF(AND(G2402="Yes", H2402=""), "Gap - Missing Art. 9 Basis", IF(OR(I2402="Invalid - Not Freely Given", I2402="Invalid - Not Specific", I2402="Invalid - Not Informed", I2402="Invalid - Ambiguous"), "Gap - Invalid Consent", "Compliant")))))</f>
        <v/>
      </c>
      <c r="O2402" s="7" t="n"/>
    </row>
    <row r="2403">
      <c r="A2403" s="7" t="n"/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>
        <f>IF(D2403="Legitimate Interest (GDPR Art. 6(1)(f))", "Yes / Required (Sheet 3)", "")</f>
        <v/>
      </c>
      <c r="L2403" s="7" t="n"/>
      <c r="M2403" s="7" t="n"/>
      <c r="N2403">
        <f>IF(D2403="", "Gap - No Legal Basis", IF(AND(D2403="Consent (GDPR Art. 6(1)(a))", I2403="Not Captured"), "Gap - Invalid Consent", IF(AND(D2403="Legitimate Interest (GDPR Art. 6(1)(f))", L2403=""), "Gap - Missing LIA", IF(AND(G2403="Yes", H2403=""), "Gap - Missing Art. 9 Basis", IF(OR(I2403="Invalid - Not Freely Given", I2403="Invalid - Not Specific", I2403="Invalid - Not Informed", I2403="Invalid - Ambiguous"), "Gap - Invalid Consent", "Compliant")))))</f>
        <v/>
      </c>
      <c r="O2403" s="7" t="n"/>
    </row>
    <row r="2404">
      <c r="A2404" s="7" t="n"/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>
        <f>IF(D2404="Legitimate Interest (GDPR Art. 6(1)(f))", "Yes / Required (Sheet 3)", "")</f>
        <v/>
      </c>
      <c r="L2404" s="7" t="n"/>
      <c r="M2404" s="7" t="n"/>
      <c r="N2404">
        <f>IF(D2404="", "Gap - No Legal Basis", IF(AND(D2404="Consent (GDPR Art. 6(1)(a))", I2404="Not Captured"), "Gap - Invalid Consent", IF(AND(D2404="Legitimate Interest (GDPR Art. 6(1)(f))", L2404=""), "Gap - Missing LIA", IF(AND(G2404="Yes", H2404=""), "Gap - Missing Art. 9 Basis", IF(OR(I2404="Invalid - Not Freely Given", I2404="Invalid - Not Specific", I2404="Invalid - Not Informed", I2404="Invalid - Ambiguous"), "Gap - Invalid Consent", "Compliant")))))</f>
        <v/>
      </c>
      <c r="O2404" s="7" t="n"/>
    </row>
    <row r="2405">
      <c r="A2405" s="7" t="n"/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>
        <f>IF(D2405="Legitimate Interest (GDPR Art. 6(1)(f))", "Yes / Required (Sheet 3)", "")</f>
        <v/>
      </c>
      <c r="L2405" s="7" t="n"/>
      <c r="M2405" s="7" t="n"/>
      <c r="N2405">
        <f>IF(D2405="", "Gap - No Legal Basis", IF(AND(D2405="Consent (GDPR Art. 6(1)(a))", I2405="Not Captured"), "Gap - Invalid Consent", IF(AND(D2405="Legitimate Interest (GDPR Art. 6(1)(f))", L2405=""), "Gap - Missing LIA", IF(AND(G2405="Yes", H2405=""), "Gap - Missing Art. 9 Basis", IF(OR(I2405="Invalid - Not Freely Given", I2405="Invalid - Not Specific", I2405="Invalid - Not Informed", I2405="Invalid - Ambiguous"), "Gap - Invalid Consent", "Compliant")))))</f>
        <v/>
      </c>
      <c r="O2405" s="7" t="n"/>
    </row>
    <row r="2406">
      <c r="A2406" s="7" t="n"/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>
        <f>IF(D2406="Legitimate Interest (GDPR Art. 6(1)(f))", "Yes / Required (Sheet 3)", "")</f>
        <v/>
      </c>
      <c r="L2406" s="7" t="n"/>
      <c r="M2406" s="7" t="n"/>
      <c r="N2406">
        <f>IF(D2406="", "Gap - No Legal Basis", IF(AND(D2406="Consent (GDPR Art. 6(1)(a))", I2406="Not Captured"), "Gap - Invalid Consent", IF(AND(D2406="Legitimate Interest (GDPR Art. 6(1)(f))", L2406=""), "Gap - Missing LIA", IF(AND(G2406="Yes", H2406=""), "Gap - Missing Art. 9 Basis", IF(OR(I2406="Invalid - Not Freely Given", I2406="Invalid - Not Specific", I2406="Invalid - Not Informed", I2406="Invalid - Ambiguous"), "Gap - Invalid Consent", "Compliant")))))</f>
        <v/>
      </c>
      <c r="O2406" s="7" t="n"/>
    </row>
    <row r="2407">
      <c r="A2407" s="7" t="n"/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>
        <f>IF(D2407="Legitimate Interest (GDPR Art. 6(1)(f))", "Yes / Required (Sheet 3)", "")</f>
        <v/>
      </c>
      <c r="L2407" s="7" t="n"/>
      <c r="M2407" s="7" t="n"/>
      <c r="N2407">
        <f>IF(D2407="", "Gap - No Legal Basis", IF(AND(D2407="Consent (GDPR Art. 6(1)(a))", I2407="Not Captured"), "Gap - Invalid Consent", IF(AND(D2407="Legitimate Interest (GDPR Art. 6(1)(f))", L2407=""), "Gap - Missing LIA", IF(AND(G2407="Yes", H2407=""), "Gap - Missing Art. 9 Basis", IF(OR(I2407="Invalid - Not Freely Given", I2407="Invalid - Not Specific", I2407="Invalid - Not Informed", I2407="Invalid - Ambiguous"), "Gap - Invalid Consent", "Compliant")))))</f>
        <v/>
      </c>
      <c r="O2407" s="7" t="n"/>
    </row>
    <row r="2408">
      <c r="A2408" s="7" t="n"/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>
        <f>IF(D2408="Legitimate Interest (GDPR Art. 6(1)(f))", "Yes / Required (Sheet 3)", "")</f>
        <v/>
      </c>
      <c r="L2408" s="7" t="n"/>
      <c r="M2408" s="7" t="n"/>
      <c r="N2408">
        <f>IF(D2408="", "Gap - No Legal Basis", IF(AND(D2408="Consent (GDPR Art. 6(1)(a))", I2408="Not Captured"), "Gap - Invalid Consent", IF(AND(D2408="Legitimate Interest (GDPR Art. 6(1)(f))", L2408=""), "Gap - Missing LIA", IF(AND(G2408="Yes", H2408=""), "Gap - Missing Art. 9 Basis", IF(OR(I2408="Invalid - Not Freely Given", I2408="Invalid - Not Specific", I2408="Invalid - Not Informed", I2408="Invalid - Ambiguous"), "Gap - Invalid Consent", "Compliant")))))</f>
        <v/>
      </c>
      <c r="O2408" s="7" t="n"/>
    </row>
    <row r="2409">
      <c r="A2409" s="7" t="n"/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>
        <f>IF(D2409="Legitimate Interest (GDPR Art. 6(1)(f))", "Yes / Required (Sheet 3)", "")</f>
        <v/>
      </c>
      <c r="L2409" s="7" t="n"/>
      <c r="M2409" s="7" t="n"/>
      <c r="N2409">
        <f>IF(D2409="", "Gap - No Legal Basis", IF(AND(D2409="Consent (GDPR Art. 6(1)(a))", I2409="Not Captured"), "Gap - Invalid Consent", IF(AND(D2409="Legitimate Interest (GDPR Art. 6(1)(f))", L2409=""), "Gap - Missing LIA", IF(AND(G2409="Yes", H2409=""), "Gap - Missing Art. 9 Basis", IF(OR(I2409="Invalid - Not Freely Given", I2409="Invalid - Not Specific", I2409="Invalid - Not Informed", I2409="Invalid - Ambiguous"), "Gap - Invalid Consent", "Compliant")))))</f>
        <v/>
      </c>
      <c r="O2409" s="7" t="n"/>
    </row>
    <row r="2410">
      <c r="A2410" s="7" t="n"/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>
        <f>IF(D2410="Legitimate Interest (GDPR Art. 6(1)(f))", "Yes / Required (Sheet 3)", "")</f>
        <v/>
      </c>
      <c r="L2410" s="7" t="n"/>
      <c r="M2410" s="7" t="n"/>
      <c r="N2410">
        <f>IF(D2410="", "Gap - No Legal Basis", IF(AND(D2410="Consent (GDPR Art. 6(1)(a))", I2410="Not Captured"), "Gap - Invalid Consent", IF(AND(D2410="Legitimate Interest (GDPR Art. 6(1)(f))", L2410=""), "Gap - Missing LIA", IF(AND(G2410="Yes", H2410=""), "Gap - Missing Art. 9 Basis", IF(OR(I2410="Invalid - Not Freely Given", I2410="Invalid - Not Specific", I2410="Invalid - Not Informed", I2410="Invalid - Ambiguous"), "Gap - Invalid Consent", "Compliant")))))</f>
        <v/>
      </c>
      <c r="O2410" s="7" t="n"/>
    </row>
    <row r="2411">
      <c r="A2411" s="7" t="n"/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>
        <f>IF(D2411="Legitimate Interest (GDPR Art. 6(1)(f))", "Yes / Required (Sheet 3)", "")</f>
        <v/>
      </c>
      <c r="L2411" s="7" t="n"/>
      <c r="M2411" s="7" t="n"/>
      <c r="N2411">
        <f>IF(D2411="", "Gap - No Legal Basis", IF(AND(D2411="Consent (GDPR Art. 6(1)(a))", I2411="Not Captured"), "Gap - Invalid Consent", IF(AND(D2411="Legitimate Interest (GDPR Art. 6(1)(f))", L2411=""), "Gap - Missing LIA", IF(AND(G2411="Yes", H2411=""), "Gap - Missing Art. 9 Basis", IF(OR(I2411="Invalid - Not Freely Given", I2411="Invalid - Not Specific", I2411="Invalid - Not Informed", I2411="Invalid - Ambiguous"), "Gap - Invalid Consent", "Compliant")))))</f>
        <v/>
      </c>
      <c r="O2411" s="7" t="n"/>
    </row>
    <row r="2412">
      <c r="A2412" s="7" t="n"/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>
        <f>IF(D2412="Legitimate Interest (GDPR Art. 6(1)(f))", "Yes / Required (Sheet 3)", "")</f>
        <v/>
      </c>
      <c r="L2412" s="7" t="n"/>
      <c r="M2412" s="7" t="n"/>
      <c r="N2412">
        <f>IF(D2412="", "Gap - No Legal Basis", IF(AND(D2412="Consent (GDPR Art. 6(1)(a))", I2412="Not Captured"), "Gap - Invalid Consent", IF(AND(D2412="Legitimate Interest (GDPR Art. 6(1)(f))", L2412=""), "Gap - Missing LIA", IF(AND(G2412="Yes", H2412=""), "Gap - Missing Art. 9 Basis", IF(OR(I2412="Invalid - Not Freely Given", I2412="Invalid - Not Specific", I2412="Invalid - Not Informed", I2412="Invalid - Ambiguous"), "Gap - Invalid Consent", "Compliant")))))</f>
        <v/>
      </c>
      <c r="O2412" s="7" t="n"/>
    </row>
    <row r="2413">
      <c r="A2413" s="7" t="n"/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>
        <f>IF(D2413="Legitimate Interest (GDPR Art. 6(1)(f))", "Yes / Required (Sheet 3)", "")</f>
        <v/>
      </c>
      <c r="L2413" s="7" t="n"/>
      <c r="M2413" s="7" t="n"/>
      <c r="N2413">
        <f>IF(D2413="", "Gap - No Legal Basis", IF(AND(D2413="Consent (GDPR Art. 6(1)(a))", I2413="Not Captured"), "Gap - Invalid Consent", IF(AND(D2413="Legitimate Interest (GDPR Art. 6(1)(f))", L2413=""), "Gap - Missing LIA", IF(AND(G2413="Yes", H2413=""), "Gap - Missing Art. 9 Basis", IF(OR(I2413="Invalid - Not Freely Given", I2413="Invalid - Not Specific", I2413="Invalid - Not Informed", I2413="Invalid - Ambiguous"), "Gap - Invalid Consent", "Compliant")))))</f>
        <v/>
      </c>
      <c r="O2413" s="7" t="n"/>
    </row>
    <row r="2414">
      <c r="A2414" s="7" t="n"/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>
        <f>IF(D2414="Legitimate Interest (GDPR Art. 6(1)(f))", "Yes / Required (Sheet 3)", "")</f>
        <v/>
      </c>
      <c r="L2414" s="7" t="n"/>
      <c r="M2414" s="7" t="n"/>
      <c r="N2414">
        <f>IF(D2414="", "Gap - No Legal Basis", IF(AND(D2414="Consent (GDPR Art. 6(1)(a))", I2414="Not Captured"), "Gap - Invalid Consent", IF(AND(D2414="Legitimate Interest (GDPR Art. 6(1)(f))", L2414=""), "Gap - Missing LIA", IF(AND(G2414="Yes", H2414=""), "Gap - Missing Art. 9 Basis", IF(OR(I2414="Invalid - Not Freely Given", I2414="Invalid - Not Specific", I2414="Invalid - Not Informed", I2414="Invalid - Ambiguous"), "Gap - Invalid Consent", "Compliant")))))</f>
        <v/>
      </c>
      <c r="O2414" s="7" t="n"/>
    </row>
    <row r="2415">
      <c r="A2415" s="7" t="n"/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>
        <f>IF(D2415="Legitimate Interest (GDPR Art. 6(1)(f))", "Yes / Required (Sheet 3)", "")</f>
        <v/>
      </c>
      <c r="L2415" s="7" t="n"/>
      <c r="M2415" s="7" t="n"/>
      <c r="N2415">
        <f>IF(D2415="", "Gap - No Legal Basis", IF(AND(D2415="Consent (GDPR Art. 6(1)(a))", I2415="Not Captured"), "Gap - Invalid Consent", IF(AND(D2415="Legitimate Interest (GDPR Art. 6(1)(f))", L2415=""), "Gap - Missing LIA", IF(AND(G2415="Yes", H2415=""), "Gap - Missing Art. 9 Basis", IF(OR(I2415="Invalid - Not Freely Given", I2415="Invalid - Not Specific", I2415="Invalid - Not Informed", I2415="Invalid - Ambiguous"), "Gap - Invalid Consent", "Compliant")))))</f>
        <v/>
      </c>
      <c r="O2415" s="7" t="n"/>
    </row>
    <row r="2416">
      <c r="A2416" s="7" t="n"/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>
        <f>IF(D2416="Legitimate Interest (GDPR Art. 6(1)(f))", "Yes / Required (Sheet 3)", "")</f>
        <v/>
      </c>
      <c r="L2416" s="7" t="n"/>
      <c r="M2416" s="7" t="n"/>
      <c r="N2416">
        <f>IF(D2416="", "Gap - No Legal Basis", IF(AND(D2416="Consent (GDPR Art. 6(1)(a))", I2416="Not Captured"), "Gap - Invalid Consent", IF(AND(D2416="Legitimate Interest (GDPR Art. 6(1)(f))", L2416=""), "Gap - Missing LIA", IF(AND(G2416="Yes", H2416=""), "Gap - Missing Art. 9 Basis", IF(OR(I2416="Invalid - Not Freely Given", I2416="Invalid - Not Specific", I2416="Invalid - Not Informed", I2416="Invalid - Ambiguous"), "Gap - Invalid Consent", "Compliant")))))</f>
        <v/>
      </c>
      <c r="O2416" s="7" t="n"/>
    </row>
    <row r="2417">
      <c r="A2417" s="7" t="n"/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>
        <f>IF(D2417="Legitimate Interest (GDPR Art. 6(1)(f))", "Yes / Required (Sheet 3)", "")</f>
        <v/>
      </c>
      <c r="L2417" s="7" t="n"/>
      <c r="M2417" s="7" t="n"/>
      <c r="N2417">
        <f>IF(D2417="", "Gap - No Legal Basis", IF(AND(D2417="Consent (GDPR Art. 6(1)(a))", I2417="Not Captured"), "Gap - Invalid Consent", IF(AND(D2417="Legitimate Interest (GDPR Art. 6(1)(f))", L2417=""), "Gap - Missing LIA", IF(AND(G2417="Yes", H2417=""), "Gap - Missing Art. 9 Basis", IF(OR(I2417="Invalid - Not Freely Given", I2417="Invalid - Not Specific", I2417="Invalid - Not Informed", I2417="Invalid - Ambiguous"), "Gap - Invalid Consent", "Compliant")))))</f>
        <v/>
      </c>
      <c r="O2417" s="7" t="n"/>
    </row>
    <row r="2418">
      <c r="A2418" s="7" t="n"/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>
        <f>IF(D2418="Legitimate Interest (GDPR Art. 6(1)(f))", "Yes / Required (Sheet 3)", "")</f>
        <v/>
      </c>
      <c r="L2418" s="7" t="n"/>
      <c r="M2418" s="7" t="n"/>
      <c r="N2418">
        <f>IF(D2418="", "Gap - No Legal Basis", IF(AND(D2418="Consent (GDPR Art. 6(1)(a))", I2418="Not Captured"), "Gap - Invalid Consent", IF(AND(D2418="Legitimate Interest (GDPR Art. 6(1)(f))", L2418=""), "Gap - Missing LIA", IF(AND(G2418="Yes", H2418=""), "Gap - Missing Art. 9 Basis", IF(OR(I2418="Invalid - Not Freely Given", I2418="Invalid - Not Specific", I2418="Invalid - Not Informed", I2418="Invalid - Ambiguous"), "Gap - Invalid Consent", "Compliant")))))</f>
        <v/>
      </c>
      <c r="O2418" s="7" t="n"/>
    </row>
    <row r="2419">
      <c r="A2419" s="7" t="n"/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>
        <f>IF(D2419="Legitimate Interest (GDPR Art. 6(1)(f))", "Yes / Required (Sheet 3)", "")</f>
        <v/>
      </c>
      <c r="L2419" s="7" t="n"/>
      <c r="M2419" s="7" t="n"/>
      <c r="N2419">
        <f>IF(D2419="", "Gap - No Legal Basis", IF(AND(D2419="Consent (GDPR Art. 6(1)(a))", I2419="Not Captured"), "Gap - Invalid Consent", IF(AND(D2419="Legitimate Interest (GDPR Art. 6(1)(f))", L2419=""), "Gap - Missing LIA", IF(AND(G2419="Yes", H2419=""), "Gap - Missing Art. 9 Basis", IF(OR(I2419="Invalid - Not Freely Given", I2419="Invalid - Not Specific", I2419="Invalid - Not Informed", I2419="Invalid - Ambiguous"), "Gap - Invalid Consent", "Compliant")))))</f>
        <v/>
      </c>
      <c r="O2419" s="7" t="n"/>
    </row>
    <row r="2420">
      <c r="A2420" s="7" t="n"/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>
        <f>IF(D2420="Legitimate Interest (GDPR Art. 6(1)(f))", "Yes / Required (Sheet 3)", "")</f>
        <v/>
      </c>
      <c r="L2420" s="7" t="n"/>
      <c r="M2420" s="7" t="n"/>
      <c r="N2420">
        <f>IF(D2420="", "Gap - No Legal Basis", IF(AND(D2420="Consent (GDPR Art. 6(1)(a))", I2420="Not Captured"), "Gap - Invalid Consent", IF(AND(D2420="Legitimate Interest (GDPR Art. 6(1)(f))", L2420=""), "Gap - Missing LIA", IF(AND(G2420="Yes", H2420=""), "Gap - Missing Art. 9 Basis", IF(OR(I2420="Invalid - Not Freely Given", I2420="Invalid - Not Specific", I2420="Invalid - Not Informed", I2420="Invalid - Ambiguous"), "Gap - Invalid Consent", "Compliant")))))</f>
        <v/>
      </c>
      <c r="O2420" s="7" t="n"/>
    </row>
    <row r="2421">
      <c r="A2421" s="7" t="n"/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>
        <f>IF(D2421="Legitimate Interest (GDPR Art. 6(1)(f))", "Yes / Required (Sheet 3)", "")</f>
        <v/>
      </c>
      <c r="L2421" s="7" t="n"/>
      <c r="M2421" s="7" t="n"/>
      <c r="N2421">
        <f>IF(D2421="", "Gap - No Legal Basis", IF(AND(D2421="Consent (GDPR Art. 6(1)(a))", I2421="Not Captured"), "Gap - Invalid Consent", IF(AND(D2421="Legitimate Interest (GDPR Art. 6(1)(f))", L2421=""), "Gap - Missing LIA", IF(AND(G2421="Yes", H2421=""), "Gap - Missing Art. 9 Basis", IF(OR(I2421="Invalid - Not Freely Given", I2421="Invalid - Not Specific", I2421="Invalid - Not Informed", I2421="Invalid - Ambiguous"), "Gap - Invalid Consent", "Compliant")))))</f>
        <v/>
      </c>
      <c r="O2421" s="7" t="n"/>
    </row>
    <row r="2422">
      <c r="A2422" s="7" t="n"/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>
        <f>IF(D2422="Legitimate Interest (GDPR Art. 6(1)(f))", "Yes / Required (Sheet 3)", "")</f>
        <v/>
      </c>
      <c r="L2422" s="7" t="n"/>
      <c r="M2422" s="7" t="n"/>
      <c r="N2422">
        <f>IF(D2422="", "Gap - No Legal Basis", IF(AND(D2422="Consent (GDPR Art. 6(1)(a))", I2422="Not Captured"), "Gap - Invalid Consent", IF(AND(D2422="Legitimate Interest (GDPR Art. 6(1)(f))", L2422=""), "Gap - Missing LIA", IF(AND(G2422="Yes", H2422=""), "Gap - Missing Art. 9 Basis", IF(OR(I2422="Invalid - Not Freely Given", I2422="Invalid - Not Specific", I2422="Invalid - Not Informed", I2422="Invalid - Ambiguous"), "Gap - Invalid Consent", "Compliant")))))</f>
        <v/>
      </c>
      <c r="O2422" s="7" t="n"/>
    </row>
    <row r="2423">
      <c r="A2423" s="7" t="n"/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>
        <f>IF(D2423="Legitimate Interest (GDPR Art. 6(1)(f))", "Yes / Required (Sheet 3)", "")</f>
        <v/>
      </c>
      <c r="L2423" s="7" t="n"/>
      <c r="M2423" s="7" t="n"/>
      <c r="N2423">
        <f>IF(D2423="", "Gap - No Legal Basis", IF(AND(D2423="Consent (GDPR Art. 6(1)(a))", I2423="Not Captured"), "Gap - Invalid Consent", IF(AND(D2423="Legitimate Interest (GDPR Art. 6(1)(f))", L2423=""), "Gap - Missing LIA", IF(AND(G2423="Yes", H2423=""), "Gap - Missing Art. 9 Basis", IF(OR(I2423="Invalid - Not Freely Given", I2423="Invalid - Not Specific", I2423="Invalid - Not Informed", I2423="Invalid - Ambiguous"), "Gap - Invalid Consent", "Compliant")))))</f>
        <v/>
      </c>
      <c r="O2423" s="7" t="n"/>
    </row>
    <row r="2424">
      <c r="A2424" s="7" t="n"/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>
        <f>IF(D2424="Legitimate Interest (GDPR Art. 6(1)(f))", "Yes / Required (Sheet 3)", "")</f>
        <v/>
      </c>
      <c r="L2424" s="7" t="n"/>
      <c r="M2424" s="7" t="n"/>
      <c r="N2424">
        <f>IF(D2424="", "Gap - No Legal Basis", IF(AND(D2424="Consent (GDPR Art. 6(1)(a))", I2424="Not Captured"), "Gap - Invalid Consent", IF(AND(D2424="Legitimate Interest (GDPR Art. 6(1)(f))", L2424=""), "Gap - Missing LIA", IF(AND(G2424="Yes", H2424=""), "Gap - Missing Art. 9 Basis", IF(OR(I2424="Invalid - Not Freely Given", I2424="Invalid - Not Specific", I2424="Invalid - Not Informed", I2424="Invalid - Ambiguous"), "Gap - Invalid Consent", "Compliant")))))</f>
        <v/>
      </c>
      <c r="O2424" s="7" t="n"/>
    </row>
    <row r="2425">
      <c r="A2425" s="7" t="n"/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>
        <f>IF(D2425="Legitimate Interest (GDPR Art. 6(1)(f))", "Yes / Required (Sheet 3)", "")</f>
        <v/>
      </c>
      <c r="L2425" s="7" t="n"/>
      <c r="M2425" s="7" t="n"/>
      <c r="N2425">
        <f>IF(D2425="", "Gap - No Legal Basis", IF(AND(D2425="Consent (GDPR Art. 6(1)(a))", I2425="Not Captured"), "Gap - Invalid Consent", IF(AND(D2425="Legitimate Interest (GDPR Art. 6(1)(f))", L2425=""), "Gap - Missing LIA", IF(AND(G2425="Yes", H2425=""), "Gap - Missing Art. 9 Basis", IF(OR(I2425="Invalid - Not Freely Given", I2425="Invalid - Not Specific", I2425="Invalid - Not Informed", I2425="Invalid - Ambiguous"), "Gap - Invalid Consent", "Compliant")))))</f>
        <v/>
      </c>
      <c r="O2425" s="7" t="n"/>
    </row>
    <row r="2426">
      <c r="A2426" s="7" t="n"/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>
        <f>IF(D2426="Legitimate Interest (GDPR Art. 6(1)(f))", "Yes / Required (Sheet 3)", "")</f>
        <v/>
      </c>
      <c r="L2426" s="7" t="n"/>
      <c r="M2426" s="7" t="n"/>
      <c r="N2426">
        <f>IF(D2426="", "Gap - No Legal Basis", IF(AND(D2426="Consent (GDPR Art. 6(1)(a))", I2426="Not Captured"), "Gap - Invalid Consent", IF(AND(D2426="Legitimate Interest (GDPR Art. 6(1)(f))", L2426=""), "Gap - Missing LIA", IF(AND(G2426="Yes", H2426=""), "Gap - Missing Art. 9 Basis", IF(OR(I2426="Invalid - Not Freely Given", I2426="Invalid - Not Specific", I2426="Invalid - Not Informed", I2426="Invalid - Ambiguous"), "Gap - Invalid Consent", "Compliant")))))</f>
        <v/>
      </c>
      <c r="O2426" s="7" t="n"/>
    </row>
    <row r="2427">
      <c r="A2427" s="7" t="n"/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>
        <f>IF(D2427="Legitimate Interest (GDPR Art. 6(1)(f))", "Yes / Required (Sheet 3)", "")</f>
        <v/>
      </c>
      <c r="L2427" s="7" t="n"/>
      <c r="M2427" s="7" t="n"/>
      <c r="N2427">
        <f>IF(D2427="", "Gap - No Legal Basis", IF(AND(D2427="Consent (GDPR Art. 6(1)(a))", I2427="Not Captured"), "Gap - Invalid Consent", IF(AND(D2427="Legitimate Interest (GDPR Art. 6(1)(f))", L2427=""), "Gap - Missing LIA", IF(AND(G2427="Yes", H2427=""), "Gap - Missing Art. 9 Basis", IF(OR(I2427="Invalid - Not Freely Given", I2427="Invalid - Not Specific", I2427="Invalid - Not Informed", I2427="Invalid - Ambiguous"), "Gap - Invalid Consent", "Compliant")))))</f>
        <v/>
      </c>
      <c r="O2427" s="7" t="n"/>
    </row>
    <row r="2428">
      <c r="A2428" s="7" t="n"/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>
        <f>IF(D2428="Legitimate Interest (GDPR Art. 6(1)(f))", "Yes / Required (Sheet 3)", "")</f>
        <v/>
      </c>
      <c r="L2428" s="7" t="n"/>
      <c r="M2428" s="7" t="n"/>
      <c r="N2428">
        <f>IF(D2428="", "Gap - No Legal Basis", IF(AND(D2428="Consent (GDPR Art. 6(1)(a))", I2428="Not Captured"), "Gap - Invalid Consent", IF(AND(D2428="Legitimate Interest (GDPR Art. 6(1)(f))", L2428=""), "Gap - Missing LIA", IF(AND(G2428="Yes", H2428=""), "Gap - Missing Art. 9 Basis", IF(OR(I2428="Invalid - Not Freely Given", I2428="Invalid - Not Specific", I2428="Invalid - Not Informed", I2428="Invalid - Ambiguous"), "Gap - Invalid Consent", "Compliant")))))</f>
        <v/>
      </c>
      <c r="O2428" s="7" t="n"/>
    </row>
    <row r="2429">
      <c r="A2429" s="7" t="n"/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>
        <f>IF(D2429="Legitimate Interest (GDPR Art. 6(1)(f))", "Yes / Required (Sheet 3)", "")</f>
        <v/>
      </c>
      <c r="L2429" s="7" t="n"/>
      <c r="M2429" s="7" t="n"/>
      <c r="N2429">
        <f>IF(D2429="", "Gap - No Legal Basis", IF(AND(D2429="Consent (GDPR Art. 6(1)(a))", I2429="Not Captured"), "Gap - Invalid Consent", IF(AND(D2429="Legitimate Interest (GDPR Art. 6(1)(f))", L2429=""), "Gap - Missing LIA", IF(AND(G2429="Yes", H2429=""), "Gap - Missing Art. 9 Basis", IF(OR(I2429="Invalid - Not Freely Given", I2429="Invalid - Not Specific", I2429="Invalid - Not Informed", I2429="Invalid - Ambiguous"), "Gap - Invalid Consent", "Compliant")))))</f>
        <v/>
      </c>
      <c r="O2429" s="7" t="n"/>
    </row>
    <row r="2430">
      <c r="A2430" s="7" t="n"/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>
        <f>IF(D2430="Legitimate Interest (GDPR Art. 6(1)(f))", "Yes / Required (Sheet 3)", "")</f>
        <v/>
      </c>
      <c r="L2430" s="7" t="n"/>
      <c r="M2430" s="7" t="n"/>
      <c r="N2430">
        <f>IF(D2430="", "Gap - No Legal Basis", IF(AND(D2430="Consent (GDPR Art. 6(1)(a))", I2430="Not Captured"), "Gap - Invalid Consent", IF(AND(D2430="Legitimate Interest (GDPR Art. 6(1)(f))", L2430=""), "Gap - Missing LIA", IF(AND(G2430="Yes", H2430=""), "Gap - Missing Art. 9 Basis", IF(OR(I2430="Invalid - Not Freely Given", I2430="Invalid - Not Specific", I2430="Invalid - Not Informed", I2430="Invalid - Ambiguous"), "Gap - Invalid Consent", "Compliant")))))</f>
        <v/>
      </c>
      <c r="O2430" s="7" t="n"/>
    </row>
    <row r="2431">
      <c r="A2431" s="7" t="n"/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>
        <f>IF(D2431="Legitimate Interest (GDPR Art. 6(1)(f))", "Yes / Required (Sheet 3)", "")</f>
        <v/>
      </c>
      <c r="L2431" s="7" t="n"/>
      <c r="M2431" s="7" t="n"/>
      <c r="N2431">
        <f>IF(D2431="", "Gap - No Legal Basis", IF(AND(D2431="Consent (GDPR Art. 6(1)(a))", I2431="Not Captured"), "Gap - Invalid Consent", IF(AND(D2431="Legitimate Interest (GDPR Art. 6(1)(f))", L2431=""), "Gap - Missing LIA", IF(AND(G2431="Yes", H2431=""), "Gap - Missing Art. 9 Basis", IF(OR(I2431="Invalid - Not Freely Given", I2431="Invalid - Not Specific", I2431="Invalid - Not Informed", I2431="Invalid - Ambiguous"), "Gap - Invalid Consent", "Compliant")))))</f>
        <v/>
      </c>
      <c r="O2431" s="7" t="n"/>
    </row>
    <row r="2432">
      <c r="A2432" s="7" t="n"/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>
        <f>IF(D2432="Legitimate Interest (GDPR Art. 6(1)(f))", "Yes / Required (Sheet 3)", "")</f>
        <v/>
      </c>
      <c r="L2432" s="7" t="n"/>
      <c r="M2432" s="7" t="n"/>
      <c r="N2432">
        <f>IF(D2432="", "Gap - No Legal Basis", IF(AND(D2432="Consent (GDPR Art. 6(1)(a))", I2432="Not Captured"), "Gap - Invalid Consent", IF(AND(D2432="Legitimate Interest (GDPR Art. 6(1)(f))", L2432=""), "Gap - Missing LIA", IF(AND(G2432="Yes", H2432=""), "Gap - Missing Art. 9 Basis", IF(OR(I2432="Invalid - Not Freely Given", I2432="Invalid - Not Specific", I2432="Invalid - Not Informed", I2432="Invalid - Ambiguous"), "Gap - Invalid Consent", "Compliant")))))</f>
        <v/>
      </c>
      <c r="O2432" s="7" t="n"/>
    </row>
    <row r="2433">
      <c r="A2433" s="7" t="n"/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>
        <f>IF(D2433="Legitimate Interest (GDPR Art. 6(1)(f))", "Yes / Required (Sheet 3)", "")</f>
        <v/>
      </c>
      <c r="L2433" s="7" t="n"/>
      <c r="M2433" s="7" t="n"/>
      <c r="N2433">
        <f>IF(D2433="", "Gap - No Legal Basis", IF(AND(D2433="Consent (GDPR Art. 6(1)(a))", I2433="Not Captured"), "Gap - Invalid Consent", IF(AND(D2433="Legitimate Interest (GDPR Art. 6(1)(f))", L2433=""), "Gap - Missing LIA", IF(AND(G2433="Yes", H2433=""), "Gap - Missing Art. 9 Basis", IF(OR(I2433="Invalid - Not Freely Given", I2433="Invalid - Not Specific", I2433="Invalid - Not Informed", I2433="Invalid - Ambiguous"), "Gap - Invalid Consent", "Compliant")))))</f>
        <v/>
      </c>
      <c r="O2433" s="7" t="n"/>
    </row>
    <row r="2434">
      <c r="A2434" s="7" t="n"/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>
        <f>IF(D2434="Legitimate Interest (GDPR Art. 6(1)(f))", "Yes / Required (Sheet 3)", "")</f>
        <v/>
      </c>
      <c r="L2434" s="7" t="n"/>
      <c r="M2434" s="7" t="n"/>
      <c r="N2434">
        <f>IF(D2434="", "Gap - No Legal Basis", IF(AND(D2434="Consent (GDPR Art. 6(1)(a))", I2434="Not Captured"), "Gap - Invalid Consent", IF(AND(D2434="Legitimate Interest (GDPR Art. 6(1)(f))", L2434=""), "Gap - Missing LIA", IF(AND(G2434="Yes", H2434=""), "Gap - Missing Art. 9 Basis", IF(OR(I2434="Invalid - Not Freely Given", I2434="Invalid - Not Specific", I2434="Invalid - Not Informed", I2434="Invalid - Ambiguous"), "Gap - Invalid Consent", "Compliant")))))</f>
        <v/>
      </c>
      <c r="O2434" s="7" t="n"/>
    </row>
    <row r="2435">
      <c r="A2435" s="7" t="n"/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>
        <f>IF(D2435="Legitimate Interest (GDPR Art. 6(1)(f))", "Yes / Required (Sheet 3)", "")</f>
        <v/>
      </c>
      <c r="L2435" s="7" t="n"/>
      <c r="M2435" s="7" t="n"/>
      <c r="N2435">
        <f>IF(D2435="", "Gap - No Legal Basis", IF(AND(D2435="Consent (GDPR Art. 6(1)(a))", I2435="Not Captured"), "Gap - Invalid Consent", IF(AND(D2435="Legitimate Interest (GDPR Art. 6(1)(f))", L2435=""), "Gap - Missing LIA", IF(AND(G2435="Yes", H2435=""), "Gap - Missing Art. 9 Basis", IF(OR(I2435="Invalid - Not Freely Given", I2435="Invalid - Not Specific", I2435="Invalid - Not Informed", I2435="Invalid - Ambiguous"), "Gap - Invalid Consent", "Compliant")))))</f>
        <v/>
      </c>
      <c r="O2435" s="7" t="n"/>
    </row>
    <row r="2436">
      <c r="A2436" s="7" t="n"/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>
        <f>IF(D2436="Legitimate Interest (GDPR Art. 6(1)(f))", "Yes / Required (Sheet 3)", "")</f>
        <v/>
      </c>
      <c r="L2436" s="7" t="n"/>
      <c r="M2436" s="7" t="n"/>
      <c r="N2436">
        <f>IF(D2436="", "Gap - No Legal Basis", IF(AND(D2436="Consent (GDPR Art. 6(1)(a))", I2436="Not Captured"), "Gap - Invalid Consent", IF(AND(D2436="Legitimate Interest (GDPR Art. 6(1)(f))", L2436=""), "Gap - Missing LIA", IF(AND(G2436="Yes", H2436=""), "Gap - Missing Art. 9 Basis", IF(OR(I2436="Invalid - Not Freely Given", I2436="Invalid - Not Specific", I2436="Invalid - Not Informed", I2436="Invalid - Ambiguous"), "Gap - Invalid Consent", "Compliant")))))</f>
        <v/>
      </c>
      <c r="O2436" s="7" t="n"/>
    </row>
    <row r="2437">
      <c r="A2437" s="7" t="n"/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>
        <f>IF(D2437="Legitimate Interest (GDPR Art. 6(1)(f))", "Yes / Required (Sheet 3)", "")</f>
        <v/>
      </c>
      <c r="L2437" s="7" t="n"/>
      <c r="M2437" s="7" t="n"/>
      <c r="N2437">
        <f>IF(D2437="", "Gap - No Legal Basis", IF(AND(D2437="Consent (GDPR Art. 6(1)(a))", I2437="Not Captured"), "Gap - Invalid Consent", IF(AND(D2437="Legitimate Interest (GDPR Art. 6(1)(f))", L2437=""), "Gap - Missing LIA", IF(AND(G2437="Yes", H2437=""), "Gap - Missing Art. 9 Basis", IF(OR(I2437="Invalid - Not Freely Given", I2437="Invalid - Not Specific", I2437="Invalid - Not Informed", I2437="Invalid - Ambiguous"), "Gap - Invalid Consent", "Compliant")))))</f>
        <v/>
      </c>
      <c r="O2437" s="7" t="n"/>
    </row>
    <row r="2438">
      <c r="A2438" s="7" t="n"/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>
        <f>IF(D2438="Legitimate Interest (GDPR Art. 6(1)(f))", "Yes / Required (Sheet 3)", "")</f>
        <v/>
      </c>
      <c r="L2438" s="7" t="n"/>
      <c r="M2438" s="7" t="n"/>
      <c r="N2438">
        <f>IF(D2438="", "Gap - No Legal Basis", IF(AND(D2438="Consent (GDPR Art. 6(1)(a))", I2438="Not Captured"), "Gap - Invalid Consent", IF(AND(D2438="Legitimate Interest (GDPR Art. 6(1)(f))", L2438=""), "Gap - Missing LIA", IF(AND(G2438="Yes", H2438=""), "Gap - Missing Art. 9 Basis", IF(OR(I2438="Invalid - Not Freely Given", I2438="Invalid - Not Specific", I2438="Invalid - Not Informed", I2438="Invalid - Ambiguous"), "Gap - Invalid Consent", "Compliant")))))</f>
        <v/>
      </c>
      <c r="O2438" s="7" t="n"/>
    </row>
    <row r="2439">
      <c r="A2439" s="7" t="n"/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>
        <f>IF(D2439="Legitimate Interest (GDPR Art. 6(1)(f))", "Yes / Required (Sheet 3)", "")</f>
        <v/>
      </c>
      <c r="L2439" s="7" t="n"/>
      <c r="M2439" s="7" t="n"/>
      <c r="N2439">
        <f>IF(D2439="", "Gap - No Legal Basis", IF(AND(D2439="Consent (GDPR Art. 6(1)(a))", I2439="Not Captured"), "Gap - Invalid Consent", IF(AND(D2439="Legitimate Interest (GDPR Art. 6(1)(f))", L2439=""), "Gap - Missing LIA", IF(AND(G2439="Yes", H2439=""), "Gap - Missing Art. 9 Basis", IF(OR(I2439="Invalid - Not Freely Given", I2439="Invalid - Not Specific", I2439="Invalid - Not Informed", I2439="Invalid - Ambiguous"), "Gap - Invalid Consent", "Compliant")))))</f>
        <v/>
      </c>
      <c r="O2439" s="7" t="n"/>
    </row>
    <row r="2440">
      <c r="A2440" s="7" t="n"/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>
        <f>IF(D2440="Legitimate Interest (GDPR Art. 6(1)(f))", "Yes / Required (Sheet 3)", "")</f>
        <v/>
      </c>
      <c r="L2440" s="7" t="n"/>
      <c r="M2440" s="7" t="n"/>
      <c r="N2440">
        <f>IF(D2440="", "Gap - No Legal Basis", IF(AND(D2440="Consent (GDPR Art. 6(1)(a))", I2440="Not Captured"), "Gap - Invalid Consent", IF(AND(D2440="Legitimate Interest (GDPR Art. 6(1)(f))", L2440=""), "Gap - Missing LIA", IF(AND(G2440="Yes", H2440=""), "Gap - Missing Art. 9 Basis", IF(OR(I2440="Invalid - Not Freely Given", I2440="Invalid - Not Specific", I2440="Invalid - Not Informed", I2440="Invalid - Ambiguous"), "Gap - Invalid Consent", "Compliant")))))</f>
        <v/>
      </c>
      <c r="O2440" s="7" t="n"/>
    </row>
    <row r="2441">
      <c r="A2441" s="7" t="n"/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>
        <f>IF(D2441="Legitimate Interest (GDPR Art. 6(1)(f))", "Yes / Required (Sheet 3)", "")</f>
        <v/>
      </c>
      <c r="L2441" s="7" t="n"/>
      <c r="M2441" s="7" t="n"/>
      <c r="N2441">
        <f>IF(D2441="", "Gap - No Legal Basis", IF(AND(D2441="Consent (GDPR Art. 6(1)(a))", I2441="Not Captured"), "Gap - Invalid Consent", IF(AND(D2441="Legitimate Interest (GDPR Art. 6(1)(f))", L2441=""), "Gap - Missing LIA", IF(AND(G2441="Yes", H2441=""), "Gap - Missing Art. 9 Basis", IF(OR(I2441="Invalid - Not Freely Given", I2441="Invalid - Not Specific", I2441="Invalid - Not Informed", I2441="Invalid - Ambiguous"), "Gap - Invalid Consent", "Compliant")))))</f>
        <v/>
      </c>
      <c r="O2441" s="7" t="n"/>
    </row>
    <row r="2442">
      <c r="A2442" s="7" t="n"/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>
        <f>IF(D2442="Legitimate Interest (GDPR Art. 6(1)(f))", "Yes / Required (Sheet 3)", "")</f>
        <v/>
      </c>
      <c r="L2442" s="7" t="n"/>
      <c r="M2442" s="7" t="n"/>
      <c r="N2442">
        <f>IF(D2442="", "Gap - No Legal Basis", IF(AND(D2442="Consent (GDPR Art. 6(1)(a))", I2442="Not Captured"), "Gap - Invalid Consent", IF(AND(D2442="Legitimate Interest (GDPR Art. 6(1)(f))", L2442=""), "Gap - Missing LIA", IF(AND(G2442="Yes", H2442=""), "Gap - Missing Art. 9 Basis", IF(OR(I2442="Invalid - Not Freely Given", I2442="Invalid - Not Specific", I2442="Invalid - Not Informed", I2442="Invalid - Ambiguous"), "Gap - Invalid Consent", "Compliant")))))</f>
        <v/>
      </c>
      <c r="O2442" s="7" t="n"/>
    </row>
    <row r="2443">
      <c r="A2443" s="7" t="n"/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>
        <f>IF(D2443="Legitimate Interest (GDPR Art. 6(1)(f))", "Yes / Required (Sheet 3)", "")</f>
        <v/>
      </c>
      <c r="L2443" s="7" t="n"/>
      <c r="M2443" s="7" t="n"/>
      <c r="N2443">
        <f>IF(D2443="", "Gap - No Legal Basis", IF(AND(D2443="Consent (GDPR Art. 6(1)(a))", I2443="Not Captured"), "Gap - Invalid Consent", IF(AND(D2443="Legitimate Interest (GDPR Art. 6(1)(f))", L2443=""), "Gap - Missing LIA", IF(AND(G2443="Yes", H2443=""), "Gap - Missing Art. 9 Basis", IF(OR(I2443="Invalid - Not Freely Given", I2443="Invalid - Not Specific", I2443="Invalid - Not Informed", I2443="Invalid - Ambiguous"), "Gap - Invalid Consent", "Compliant")))))</f>
        <v/>
      </c>
      <c r="O2443" s="7" t="n"/>
    </row>
    <row r="2444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>
        <f>IF(D2444="Legitimate Interest (GDPR Art. 6(1)(f))", "Yes / Required (Sheet 3)", "")</f>
        <v/>
      </c>
      <c r="L2444" s="7" t="n"/>
      <c r="M2444" s="7" t="n"/>
      <c r="N2444">
        <f>IF(D2444="", "Gap - No Legal Basis", IF(AND(D2444="Consent (GDPR Art. 6(1)(a))", I2444="Not Captured"), "Gap - Invalid Consent", IF(AND(D2444="Legitimate Interest (GDPR Art. 6(1)(f))", L2444=""), "Gap - Missing LIA", IF(AND(G2444="Yes", H2444=""), "Gap - Missing Art. 9 Basis", IF(OR(I2444="Invalid - Not Freely Given", I2444="Invalid - Not Specific", I2444="Invalid - Not Informed", I2444="Invalid - Ambiguous"), "Gap - Invalid Consent", "Compliant")))))</f>
        <v/>
      </c>
      <c r="O2444" s="7" t="n"/>
    </row>
    <row r="2445">
      <c r="A2445" s="7" t="n"/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>
        <f>IF(D2445="Legitimate Interest (GDPR Art. 6(1)(f))", "Yes / Required (Sheet 3)", "")</f>
        <v/>
      </c>
      <c r="L2445" s="7" t="n"/>
      <c r="M2445" s="7" t="n"/>
      <c r="N2445">
        <f>IF(D2445="", "Gap - No Legal Basis", IF(AND(D2445="Consent (GDPR Art. 6(1)(a))", I2445="Not Captured"), "Gap - Invalid Consent", IF(AND(D2445="Legitimate Interest (GDPR Art. 6(1)(f))", L2445=""), "Gap - Missing LIA", IF(AND(G2445="Yes", H2445=""), "Gap - Missing Art. 9 Basis", IF(OR(I2445="Invalid - Not Freely Given", I2445="Invalid - Not Specific", I2445="Invalid - Not Informed", I2445="Invalid - Ambiguous"), "Gap - Invalid Consent", "Compliant")))))</f>
        <v/>
      </c>
      <c r="O2445" s="7" t="n"/>
    </row>
    <row r="2446">
      <c r="A2446" s="7" t="n"/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>
        <f>IF(D2446="Legitimate Interest (GDPR Art. 6(1)(f))", "Yes / Required (Sheet 3)", "")</f>
        <v/>
      </c>
      <c r="L2446" s="7" t="n"/>
      <c r="M2446" s="7" t="n"/>
      <c r="N2446">
        <f>IF(D2446="", "Gap - No Legal Basis", IF(AND(D2446="Consent (GDPR Art. 6(1)(a))", I2446="Not Captured"), "Gap - Invalid Consent", IF(AND(D2446="Legitimate Interest (GDPR Art. 6(1)(f))", L2446=""), "Gap - Missing LIA", IF(AND(G2446="Yes", H2446=""), "Gap - Missing Art. 9 Basis", IF(OR(I2446="Invalid - Not Freely Given", I2446="Invalid - Not Specific", I2446="Invalid - Not Informed", I2446="Invalid - Ambiguous"), "Gap - Invalid Consent", "Compliant")))))</f>
        <v/>
      </c>
      <c r="O2446" s="7" t="n"/>
    </row>
    <row r="2447">
      <c r="A2447" s="7" t="n"/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>
        <f>IF(D2447="Legitimate Interest (GDPR Art. 6(1)(f))", "Yes / Required (Sheet 3)", "")</f>
        <v/>
      </c>
      <c r="L2447" s="7" t="n"/>
      <c r="M2447" s="7" t="n"/>
      <c r="N2447">
        <f>IF(D2447="", "Gap - No Legal Basis", IF(AND(D2447="Consent (GDPR Art. 6(1)(a))", I2447="Not Captured"), "Gap - Invalid Consent", IF(AND(D2447="Legitimate Interest (GDPR Art. 6(1)(f))", L2447=""), "Gap - Missing LIA", IF(AND(G2447="Yes", H2447=""), "Gap - Missing Art. 9 Basis", IF(OR(I2447="Invalid - Not Freely Given", I2447="Invalid - Not Specific", I2447="Invalid - Not Informed", I2447="Invalid - Ambiguous"), "Gap - Invalid Consent", "Compliant")))))</f>
        <v/>
      </c>
      <c r="O2447" s="7" t="n"/>
    </row>
    <row r="2448">
      <c r="A2448" s="7" t="n"/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>
        <f>IF(D2448="Legitimate Interest (GDPR Art. 6(1)(f))", "Yes / Required (Sheet 3)", "")</f>
        <v/>
      </c>
      <c r="L2448" s="7" t="n"/>
      <c r="M2448" s="7" t="n"/>
      <c r="N2448">
        <f>IF(D2448="", "Gap - No Legal Basis", IF(AND(D2448="Consent (GDPR Art. 6(1)(a))", I2448="Not Captured"), "Gap - Invalid Consent", IF(AND(D2448="Legitimate Interest (GDPR Art. 6(1)(f))", L2448=""), "Gap - Missing LIA", IF(AND(G2448="Yes", H2448=""), "Gap - Missing Art. 9 Basis", IF(OR(I2448="Invalid - Not Freely Given", I2448="Invalid - Not Specific", I2448="Invalid - Not Informed", I2448="Invalid - Ambiguous"), "Gap - Invalid Consent", "Compliant")))))</f>
        <v/>
      </c>
      <c r="O2448" s="7" t="n"/>
    </row>
    <row r="2449">
      <c r="A2449" s="7" t="n"/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>
        <f>IF(D2449="Legitimate Interest (GDPR Art. 6(1)(f))", "Yes / Required (Sheet 3)", "")</f>
        <v/>
      </c>
      <c r="L2449" s="7" t="n"/>
      <c r="M2449" s="7" t="n"/>
      <c r="N2449">
        <f>IF(D2449="", "Gap - No Legal Basis", IF(AND(D2449="Consent (GDPR Art. 6(1)(a))", I2449="Not Captured"), "Gap - Invalid Consent", IF(AND(D2449="Legitimate Interest (GDPR Art. 6(1)(f))", L2449=""), "Gap - Missing LIA", IF(AND(G2449="Yes", H2449=""), "Gap - Missing Art. 9 Basis", IF(OR(I2449="Invalid - Not Freely Given", I2449="Invalid - Not Specific", I2449="Invalid - Not Informed", I2449="Invalid - Ambiguous"), "Gap - Invalid Consent", "Compliant")))))</f>
        <v/>
      </c>
      <c r="O2449" s="7" t="n"/>
    </row>
    <row r="2450">
      <c r="A2450" s="7" t="n"/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>
        <f>IF(D2450="Legitimate Interest (GDPR Art. 6(1)(f))", "Yes / Required (Sheet 3)", "")</f>
        <v/>
      </c>
      <c r="L2450" s="7" t="n"/>
      <c r="M2450" s="7" t="n"/>
      <c r="N2450">
        <f>IF(D2450="", "Gap - No Legal Basis", IF(AND(D2450="Consent (GDPR Art. 6(1)(a))", I2450="Not Captured"), "Gap - Invalid Consent", IF(AND(D2450="Legitimate Interest (GDPR Art. 6(1)(f))", L2450=""), "Gap - Missing LIA", IF(AND(G2450="Yes", H2450=""), "Gap - Missing Art. 9 Basis", IF(OR(I2450="Invalid - Not Freely Given", I2450="Invalid - Not Specific", I2450="Invalid - Not Informed", I2450="Invalid - Ambiguous"), "Gap - Invalid Consent", "Compliant")))))</f>
        <v/>
      </c>
      <c r="O2450" s="7" t="n"/>
    </row>
    <row r="2451">
      <c r="A2451" s="7" t="n"/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>
        <f>IF(D2451="Legitimate Interest (GDPR Art. 6(1)(f))", "Yes / Required (Sheet 3)", "")</f>
        <v/>
      </c>
      <c r="L2451" s="7" t="n"/>
      <c r="M2451" s="7" t="n"/>
      <c r="N2451">
        <f>IF(D2451="", "Gap - No Legal Basis", IF(AND(D2451="Consent (GDPR Art. 6(1)(a))", I2451="Not Captured"), "Gap - Invalid Consent", IF(AND(D2451="Legitimate Interest (GDPR Art. 6(1)(f))", L2451=""), "Gap - Missing LIA", IF(AND(G2451="Yes", H2451=""), "Gap - Missing Art. 9 Basis", IF(OR(I2451="Invalid - Not Freely Given", I2451="Invalid - Not Specific", I2451="Invalid - Not Informed", I2451="Invalid - Ambiguous"), "Gap - Invalid Consent", "Compliant")))))</f>
        <v/>
      </c>
      <c r="O2451" s="7" t="n"/>
    </row>
    <row r="2452">
      <c r="A2452" s="7" t="n"/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>
        <f>IF(D2452="Legitimate Interest (GDPR Art. 6(1)(f))", "Yes / Required (Sheet 3)", "")</f>
        <v/>
      </c>
      <c r="L2452" s="7" t="n"/>
      <c r="M2452" s="7" t="n"/>
      <c r="N2452">
        <f>IF(D2452="", "Gap - No Legal Basis", IF(AND(D2452="Consent (GDPR Art. 6(1)(a))", I2452="Not Captured"), "Gap - Invalid Consent", IF(AND(D2452="Legitimate Interest (GDPR Art. 6(1)(f))", L2452=""), "Gap - Missing LIA", IF(AND(G2452="Yes", H2452=""), "Gap - Missing Art. 9 Basis", IF(OR(I2452="Invalid - Not Freely Given", I2452="Invalid - Not Specific", I2452="Invalid - Not Informed", I2452="Invalid - Ambiguous"), "Gap - Invalid Consent", "Compliant")))))</f>
        <v/>
      </c>
      <c r="O2452" s="7" t="n"/>
    </row>
    <row r="2453">
      <c r="A2453" s="7" t="n"/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>
        <f>IF(D2453="Legitimate Interest (GDPR Art. 6(1)(f))", "Yes / Required (Sheet 3)", "")</f>
        <v/>
      </c>
      <c r="L2453" s="7" t="n"/>
      <c r="M2453" s="7" t="n"/>
      <c r="N2453">
        <f>IF(D2453="", "Gap - No Legal Basis", IF(AND(D2453="Consent (GDPR Art. 6(1)(a))", I2453="Not Captured"), "Gap - Invalid Consent", IF(AND(D2453="Legitimate Interest (GDPR Art. 6(1)(f))", L2453=""), "Gap - Missing LIA", IF(AND(G2453="Yes", H2453=""), "Gap - Missing Art. 9 Basis", IF(OR(I2453="Invalid - Not Freely Given", I2453="Invalid - Not Specific", I2453="Invalid - Not Informed", I2453="Invalid - Ambiguous"), "Gap - Invalid Consent", "Compliant")))))</f>
        <v/>
      </c>
      <c r="O2453" s="7" t="n"/>
    </row>
    <row r="2454">
      <c r="A2454" s="7" t="n"/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>
        <f>IF(D2454="Legitimate Interest (GDPR Art. 6(1)(f))", "Yes / Required (Sheet 3)", "")</f>
        <v/>
      </c>
      <c r="L2454" s="7" t="n"/>
      <c r="M2454" s="7" t="n"/>
      <c r="N2454">
        <f>IF(D2454="", "Gap - No Legal Basis", IF(AND(D2454="Consent (GDPR Art. 6(1)(a))", I2454="Not Captured"), "Gap - Invalid Consent", IF(AND(D2454="Legitimate Interest (GDPR Art. 6(1)(f))", L2454=""), "Gap - Missing LIA", IF(AND(G2454="Yes", H2454=""), "Gap - Missing Art. 9 Basis", IF(OR(I2454="Invalid - Not Freely Given", I2454="Invalid - Not Specific", I2454="Invalid - Not Informed", I2454="Invalid - Ambiguous"), "Gap - Invalid Consent", "Compliant")))))</f>
        <v/>
      </c>
      <c r="O2454" s="7" t="n"/>
    </row>
    <row r="2455">
      <c r="A2455" s="7" t="n"/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>
        <f>IF(D2455="Legitimate Interest (GDPR Art. 6(1)(f))", "Yes / Required (Sheet 3)", "")</f>
        <v/>
      </c>
      <c r="L2455" s="7" t="n"/>
      <c r="M2455" s="7" t="n"/>
      <c r="N2455">
        <f>IF(D2455="", "Gap - No Legal Basis", IF(AND(D2455="Consent (GDPR Art. 6(1)(a))", I2455="Not Captured"), "Gap - Invalid Consent", IF(AND(D2455="Legitimate Interest (GDPR Art. 6(1)(f))", L2455=""), "Gap - Missing LIA", IF(AND(G2455="Yes", H2455=""), "Gap - Missing Art. 9 Basis", IF(OR(I2455="Invalid - Not Freely Given", I2455="Invalid - Not Specific", I2455="Invalid - Not Informed", I2455="Invalid - Ambiguous"), "Gap - Invalid Consent", "Compliant")))))</f>
        <v/>
      </c>
      <c r="O2455" s="7" t="n"/>
    </row>
    <row r="2456">
      <c r="A2456" s="7" t="n"/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>
        <f>IF(D2456="Legitimate Interest (GDPR Art. 6(1)(f))", "Yes / Required (Sheet 3)", "")</f>
        <v/>
      </c>
      <c r="L2456" s="7" t="n"/>
      <c r="M2456" s="7" t="n"/>
      <c r="N2456">
        <f>IF(D2456="", "Gap - No Legal Basis", IF(AND(D2456="Consent (GDPR Art. 6(1)(a))", I2456="Not Captured"), "Gap - Invalid Consent", IF(AND(D2456="Legitimate Interest (GDPR Art. 6(1)(f))", L2456=""), "Gap - Missing LIA", IF(AND(G2456="Yes", H2456=""), "Gap - Missing Art. 9 Basis", IF(OR(I2456="Invalid - Not Freely Given", I2456="Invalid - Not Specific", I2456="Invalid - Not Informed", I2456="Invalid - Ambiguous"), "Gap - Invalid Consent", "Compliant")))))</f>
        <v/>
      </c>
      <c r="O2456" s="7" t="n"/>
    </row>
    <row r="2457">
      <c r="A2457" s="7" t="n"/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>
        <f>IF(D2457="Legitimate Interest (GDPR Art. 6(1)(f))", "Yes / Required (Sheet 3)", "")</f>
        <v/>
      </c>
      <c r="L2457" s="7" t="n"/>
      <c r="M2457" s="7" t="n"/>
      <c r="N2457">
        <f>IF(D2457="", "Gap - No Legal Basis", IF(AND(D2457="Consent (GDPR Art. 6(1)(a))", I2457="Not Captured"), "Gap - Invalid Consent", IF(AND(D2457="Legitimate Interest (GDPR Art. 6(1)(f))", L2457=""), "Gap - Missing LIA", IF(AND(G2457="Yes", H2457=""), "Gap - Missing Art. 9 Basis", IF(OR(I2457="Invalid - Not Freely Given", I2457="Invalid - Not Specific", I2457="Invalid - Not Informed", I2457="Invalid - Ambiguous"), "Gap - Invalid Consent", "Compliant")))))</f>
        <v/>
      </c>
      <c r="O2457" s="7" t="n"/>
    </row>
    <row r="2458">
      <c r="A2458" s="7" t="n"/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>
        <f>IF(D2458="Legitimate Interest (GDPR Art. 6(1)(f))", "Yes / Required (Sheet 3)", "")</f>
        <v/>
      </c>
      <c r="L2458" s="7" t="n"/>
      <c r="M2458" s="7" t="n"/>
      <c r="N2458">
        <f>IF(D2458="", "Gap - No Legal Basis", IF(AND(D2458="Consent (GDPR Art. 6(1)(a))", I2458="Not Captured"), "Gap - Invalid Consent", IF(AND(D2458="Legitimate Interest (GDPR Art. 6(1)(f))", L2458=""), "Gap - Missing LIA", IF(AND(G2458="Yes", H2458=""), "Gap - Missing Art. 9 Basis", IF(OR(I2458="Invalid - Not Freely Given", I2458="Invalid - Not Specific", I2458="Invalid - Not Informed", I2458="Invalid - Ambiguous"), "Gap - Invalid Consent", "Compliant")))))</f>
        <v/>
      </c>
      <c r="O2458" s="7" t="n"/>
    </row>
    <row r="2459">
      <c r="A2459" s="7" t="n"/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>
        <f>IF(D2459="Legitimate Interest (GDPR Art. 6(1)(f))", "Yes / Required (Sheet 3)", "")</f>
        <v/>
      </c>
      <c r="L2459" s="7" t="n"/>
      <c r="M2459" s="7" t="n"/>
      <c r="N2459">
        <f>IF(D2459="", "Gap - No Legal Basis", IF(AND(D2459="Consent (GDPR Art. 6(1)(a))", I2459="Not Captured"), "Gap - Invalid Consent", IF(AND(D2459="Legitimate Interest (GDPR Art. 6(1)(f))", L2459=""), "Gap - Missing LIA", IF(AND(G2459="Yes", H2459=""), "Gap - Missing Art. 9 Basis", IF(OR(I2459="Invalid - Not Freely Given", I2459="Invalid - Not Specific", I2459="Invalid - Not Informed", I2459="Invalid - Ambiguous"), "Gap - Invalid Consent", "Compliant")))))</f>
        <v/>
      </c>
      <c r="O2459" s="7" t="n"/>
    </row>
    <row r="2460">
      <c r="A2460" s="7" t="n"/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>
        <f>IF(D2460="Legitimate Interest (GDPR Art. 6(1)(f))", "Yes / Required (Sheet 3)", "")</f>
        <v/>
      </c>
      <c r="L2460" s="7" t="n"/>
      <c r="M2460" s="7" t="n"/>
      <c r="N2460">
        <f>IF(D2460="", "Gap - No Legal Basis", IF(AND(D2460="Consent (GDPR Art. 6(1)(a))", I2460="Not Captured"), "Gap - Invalid Consent", IF(AND(D2460="Legitimate Interest (GDPR Art. 6(1)(f))", L2460=""), "Gap - Missing LIA", IF(AND(G2460="Yes", H2460=""), "Gap - Missing Art. 9 Basis", IF(OR(I2460="Invalid - Not Freely Given", I2460="Invalid - Not Specific", I2460="Invalid - Not Informed", I2460="Invalid - Ambiguous"), "Gap - Invalid Consent", "Compliant")))))</f>
        <v/>
      </c>
      <c r="O2460" s="7" t="n"/>
    </row>
    <row r="2461">
      <c r="A2461" s="7" t="n"/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>
        <f>IF(D2461="Legitimate Interest (GDPR Art. 6(1)(f))", "Yes / Required (Sheet 3)", "")</f>
        <v/>
      </c>
      <c r="L2461" s="7" t="n"/>
      <c r="M2461" s="7" t="n"/>
      <c r="N2461">
        <f>IF(D2461="", "Gap - No Legal Basis", IF(AND(D2461="Consent (GDPR Art. 6(1)(a))", I2461="Not Captured"), "Gap - Invalid Consent", IF(AND(D2461="Legitimate Interest (GDPR Art. 6(1)(f))", L2461=""), "Gap - Missing LIA", IF(AND(G2461="Yes", H2461=""), "Gap - Missing Art. 9 Basis", IF(OR(I2461="Invalid - Not Freely Given", I2461="Invalid - Not Specific", I2461="Invalid - Not Informed", I2461="Invalid - Ambiguous"), "Gap - Invalid Consent", "Compliant")))))</f>
        <v/>
      </c>
      <c r="O2461" s="7" t="n"/>
    </row>
    <row r="2462">
      <c r="A2462" s="7" t="n"/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>
        <f>IF(D2462="Legitimate Interest (GDPR Art. 6(1)(f))", "Yes / Required (Sheet 3)", "")</f>
        <v/>
      </c>
      <c r="L2462" s="7" t="n"/>
      <c r="M2462" s="7" t="n"/>
      <c r="N2462">
        <f>IF(D2462="", "Gap - No Legal Basis", IF(AND(D2462="Consent (GDPR Art. 6(1)(a))", I2462="Not Captured"), "Gap - Invalid Consent", IF(AND(D2462="Legitimate Interest (GDPR Art. 6(1)(f))", L2462=""), "Gap - Missing LIA", IF(AND(G2462="Yes", H2462=""), "Gap - Missing Art. 9 Basis", IF(OR(I2462="Invalid - Not Freely Given", I2462="Invalid - Not Specific", I2462="Invalid - Not Informed", I2462="Invalid - Ambiguous"), "Gap - Invalid Consent", "Compliant")))))</f>
        <v/>
      </c>
      <c r="O2462" s="7" t="n"/>
    </row>
    <row r="2463">
      <c r="A2463" s="7" t="n"/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>
        <f>IF(D2463="Legitimate Interest (GDPR Art. 6(1)(f))", "Yes / Required (Sheet 3)", "")</f>
        <v/>
      </c>
      <c r="L2463" s="7" t="n"/>
      <c r="M2463" s="7" t="n"/>
      <c r="N2463">
        <f>IF(D2463="", "Gap - No Legal Basis", IF(AND(D2463="Consent (GDPR Art. 6(1)(a))", I2463="Not Captured"), "Gap - Invalid Consent", IF(AND(D2463="Legitimate Interest (GDPR Art. 6(1)(f))", L2463=""), "Gap - Missing LIA", IF(AND(G2463="Yes", H2463=""), "Gap - Missing Art. 9 Basis", IF(OR(I2463="Invalid - Not Freely Given", I2463="Invalid - Not Specific", I2463="Invalid - Not Informed", I2463="Invalid - Ambiguous"), "Gap - Invalid Consent", "Compliant")))))</f>
        <v/>
      </c>
      <c r="O2463" s="7" t="n"/>
    </row>
    <row r="2464">
      <c r="A2464" s="7" t="n"/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>
        <f>IF(D2464="Legitimate Interest (GDPR Art. 6(1)(f))", "Yes / Required (Sheet 3)", "")</f>
        <v/>
      </c>
      <c r="L2464" s="7" t="n"/>
      <c r="M2464" s="7" t="n"/>
      <c r="N2464">
        <f>IF(D2464="", "Gap - No Legal Basis", IF(AND(D2464="Consent (GDPR Art. 6(1)(a))", I2464="Not Captured"), "Gap - Invalid Consent", IF(AND(D2464="Legitimate Interest (GDPR Art. 6(1)(f))", L2464=""), "Gap - Missing LIA", IF(AND(G2464="Yes", H2464=""), "Gap - Missing Art. 9 Basis", IF(OR(I2464="Invalid - Not Freely Given", I2464="Invalid - Not Specific", I2464="Invalid - Not Informed", I2464="Invalid - Ambiguous"), "Gap - Invalid Consent", "Compliant")))))</f>
        <v/>
      </c>
      <c r="O2464" s="7" t="n"/>
    </row>
    <row r="2465">
      <c r="A2465" s="7" t="n"/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>
        <f>IF(D2465="Legitimate Interest (GDPR Art. 6(1)(f))", "Yes / Required (Sheet 3)", "")</f>
        <v/>
      </c>
      <c r="L2465" s="7" t="n"/>
      <c r="M2465" s="7" t="n"/>
      <c r="N2465">
        <f>IF(D2465="", "Gap - No Legal Basis", IF(AND(D2465="Consent (GDPR Art. 6(1)(a))", I2465="Not Captured"), "Gap - Invalid Consent", IF(AND(D2465="Legitimate Interest (GDPR Art. 6(1)(f))", L2465=""), "Gap - Missing LIA", IF(AND(G2465="Yes", H2465=""), "Gap - Missing Art. 9 Basis", IF(OR(I2465="Invalid - Not Freely Given", I2465="Invalid - Not Specific", I2465="Invalid - Not Informed", I2465="Invalid - Ambiguous"), "Gap - Invalid Consent", "Compliant")))))</f>
        <v/>
      </c>
      <c r="O2465" s="7" t="n"/>
    </row>
    <row r="2466">
      <c r="A2466" s="7" t="n"/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>
        <f>IF(D2466="Legitimate Interest (GDPR Art. 6(1)(f))", "Yes / Required (Sheet 3)", "")</f>
        <v/>
      </c>
      <c r="L2466" s="7" t="n"/>
      <c r="M2466" s="7" t="n"/>
      <c r="N2466">
        <f>IF(D2466="", "Gap - No Legal Basis", IF(AND(D2466="Consent (GDPR Art. 6(1)(a))", I2466="Not Captured"), "Gap - Invalid Consent", IF(AND(D2466="Legitimate Interest (GDPR Art. 6(1)(f))", L2466=""), "Gap - Missing LIA", IF(AND(G2466="Yes", H2466=""), "Gap - Missing Art. 9 Basis", IF(OR(I2466="Invalid - Not Freely Given", I2466="Invalid - Not Specific", I2466="Invalid - Not Informed", I2466="Invalid - Ambiguous"), "Gap - Invalid Consent", "Compliant")))))</f>
        <v/>
      </c>
      <c r="O2466" s="7" t="n"/>
    </row>
    <row r="2467">
      <c r="A2467" s="7" t="n"/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>
        <f>IF(D2467="Legitimate Interest (GDPR Art. 6(1)(f))", "Yes / Required (Sheet 3)", "")</f>
        <v/>
      </c>
      <c r="L2467" s="7" t="n"/>
      <c r="M2467" s="7" t="n"/>
      <c r="N2467">
        <f>IF(D2467="", "Gap - No Legal Basis", IF(AND(D2467="Consent (GDPR Art. 6(1)(a))", I2467="Not Captured"), "Gap - Invalid Consent", IF(AND(D2467="Legitimate Interest (GDPR Art. 6(1)(f))", L2467=""), "Gap - Missing LIA", IF(AND(G2467="Yes", H2467=""), "Gap - Missing Art. 9 Basis", IF(OR(I2467="Invalid - Not Freely Given", I2467="Invalid - Not Specific", I2467="Invalid - Not Informed", I2467="Invalid - Ambiguous"), "Gap - Invalid Consent", "Compliant")))))</f>
        <v/>
      </c>
      <c r="O2467" s="7" t="n"/>
    </row>
    <row r="2468">
      <c r="A2468" s="7" t="n"/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>
        <f>IF(D2468="Legitimate Interest (GDPR Art. 6(1)(f))", "Yes / Required (Sheet 3)", "")</f>
        <v/>
      </c>
      <c r="L2468" s="7" t="n"/>
      <c r="M2468" s="7" t="n"/>
      <c r="N2468">
        <f>IF(D2468="", "Gap - No Legal Basis", IF(AND(D2468="Consent (GDPR Art. 6(1)(a))", I2468="Not Captured"), "Gap - Invalid Consent", IF(AND(D2468="Legitimate Interest (GDPR Art. 6(1)(f))", L2468=""), "Gap - Missing LIA", IF(AND(G2468="Yes", H2468=""), "Gap - Missing Art. 9 Basis", IF(OR(I2468="Invalid - Not Freely Given", I2468="Invalid - Not Specific", I2468="Invalid - Not Informed", I2468="Invalid - Ambiguous"), "Gap - Invalid Consent", "Compliant")))))</f>
        <v/>
      </c>
      <c r="O2468" s="7" t="n"/>
    </row>
    <row r="2469">
      <c r="A2469" s="7" t="n"/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>
        <f>IF(D2469="Legitimate Interest (GDPR Art. 6(1)(f))", "Yes / Required (Sheet 3)", "")</f>
        <v/>
      </c>
      <c r="L2469" s="7" t="n"/>
      <c r="M2469" s="7" t="n"/>
      <c r="N2469">
        <f>IF(D2469="", "Gap - No Legal Basis", IF(AND(D2469="Consent (GDPR Art. 6(1)(a))", I2469="Not Captured"), "Gap - Invalid Consent", IF(AND(D2469="Legitimate Interest (GDPR Art. 6(1)(f))", L2469=""), "Gap - Missing LIA", IF(AND(G2469="Yes", H2469=""), "Gap - Missing Art. 9 Basis", IF(OR(I2469="Invalid - Not Freely Given", I2469="Invalid - Not Specific", I2469="Invalid - Not Informed", I2469="Invalid - Ambiguous"), "Gap - Invalid Consent", "Compliant")))))</f>
        <v/>
      </c>
      <c r="O2469" s="7" t="n"/>
    </row>
    <row r="2470">
      <c r="A2470" s="7" t="n"/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>
        <f>IF(D2470="Legitimate Interest (GDPR Art. 6(1)(f))", "Yes / Required (Sheet 3)", "")</f>
        <v/>
      </c>
      <c r="L2470" s="7" t="n"/>
      <c r="M2470" s="7" t="n"/>
      <c r="N2470">
        <f>IF(D2470="", "Gap - No Legal Basis", IF(AND(D2470="Consent (GDPR Art. 6(1)(a))", I2470="Not Captured"), "Gap - Invalid Consent", IF(AND(D2470="Legitimate Interest (GDPR Art. 6(1)(f))", L2470=""), "Gap - Missing LIA", IF(AND(G2470="Yes", H2470=""), "Gap - Missing Art. 9 Basis", IF(OR(I2470="Invalid - Not Freely Given", I2470="Invalid - Not Specific", I2470="Invalid - Not Informed", I2470="Invalid - Ambiguous"), "Gap - Invalid Consent", "Compliant")))))</f>
        <v/>
      </c>
      <c r="O2470" s="7" t="n"/>
    </row>
    <row r="2471">
      <c r="A2471" s="7" t="n"/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>
        <f>IF(D2471="Legitimate Interest (GDPR Art. 6(1)(f))", "Yes / Required (Sheet 3)", "")</f>
        <v/>
      </c>
      <c r="L2471" s="7" t="n"/>
      <c r="M2471" s="7" t="n"/>
      <c r="N2471">
        <f>IF(D2471="", "Gap - No Legal Basis", IF(AND(D2471="Consent (GDPR Art. 6(1)(a))", I2471="Not Captured"), "Gap - Invalid Consent", IF(AND(D2471="Legitimate Interest (GDPR Art. 6(1)(f))", L2471=""), "Gap - Missing LIA", IF(AND(G2471="Yes", H2471=""), "Gap - Missing Art. 9 Basis", IF(OR(I2471="Invalid - Not Freely Given", I2471="Invalid - Not Specific", I2471="Invalid - Not Informed", I2471="Invalid - Ambiguous"), "Gap - Invalid Consent", "Compliant")))))</f>
        <v/>
      </c>
      <c r="O2471" s="7" t="n"/>
    </row>
    <row r="2472">
      <c r="A2472" s="7" t="n"/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>
        <f>IF(D2472="Legitimate Interest (GDPR Art. 6(1)(f))", "Yes / Required (Sheet 3)", "")</f>
        <v/>
      </c>
      <c r="L2472" s="7" t="n"/>
      <c r="M2472" s="7" t="n"/>
      <c r="N2472">
        <f>IF(D2472="", "Gap - No Legal Basis", IF(AND(D2472="Consent (GDPR Art. 6(1)(a))", I2472="Not Captured"), "Gap - Invalid Consent", IF(AND(D2472="Legitimate Interest (GDPR Art. 6(1)(f))", L2472=""), "Gap - Missing LIA", IF(AND(G2472="Yes", H2472=""), "Gap - Missing Art. 9 Basis", IF(OR(I2472="Invalid - Not Freely Given", I2472="Invalid - Not Specific", I2472="Invalid - Not Informed", I2472="Invalid - Ambiguous"), "Gap - Invalid Consent", "Compliant")))))</f>
        <v/>
      </c>
      <c r="O2472" s="7" t="n"/>
    </row>
    <row r="2473">
      <c r="A2473" s="7" t="n"/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>
        <f>IF(D2473="Legitimate Interest (GDPR Art. 6(1)(f))", "Yes / Required (Sheet 3)", "")</f>
        <v/>
      </c>
      <c r="L2473" s="7" t="n"/>
      <c r="M2473" s="7" t="n"/>
      <c r="N2473">
        <f>IF(D2473="", "Gap - No Legal Basis", IF(AND(D2473="Consent (GDPR Art. 6(1)(a))", I2473="Not Captured"), "Gap - Invalid Consent", IF(AND(D2473="Legitimate Interest (GDPR Art. 6(1)(f))", L2473=""), "Gap - Missing LIA", IF(AND(G2473="Yes", H2473=""), "Gap - Missing Art. 9 Basis", IF(OR(I2473="Invalid - Not Freely Given", I2473="Invalid - Not Specific", I2473="Invalid - Not Informed", I2473="Invalid - Ambiguous"), "Gap - Invalid Consent", "Compliant")))))</f>
        <v/>
      </c>
      <c r="O2473" s="7" t="n"/>
    </row>
    <row r="2474">
      <c r="A2474" s="7" t="n"/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>
        <f>IF(D2474="Legitimate Interest (GDPR Art. 6(1)(f))", "Yes / Required (Sheet 3)", "")</f>
        <v/>
      </c>
      <c r="L2474" s="7" t="n"/>
      <c r="M2474" s="7" t="n"/>
      <c r="N2474">
        <f>IF(D2474="", "Gap - No Legal Basis", IF(AND(D2474="Consent (GDPR Art. 6(1)(a))", I2474="Not Captured"), "Gap - Invalid Consent", IF(AND(D2474="Legitimate Interest (GDPR Art. 6(1)(f))", L2474=""), "Gap - Missing LIA", IF(AND(G2474="Yes", H2474=""), "Gap - Missing Art. 9 Basis", IF(OR(I2474="Invalid - Not Freely Given", I2474="Invalid - Not Specific", I2474="Invalid - Not Informed", I2474="Invalid - Ambiguous"), "Gap - Invalid Consent", "Compliant")))))</f>
        <v/>
      </c>
      <c r="O2474" s="7" t="n"/>
    </row>
    <row r="2475">
      <c r="A2475" s="7" t="n"/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>
        <f>IF(D2475="Legitimate Interest (GDPR Art. 6(1)(f))", "Yes / Required (Sheet 3)", "")</f>
        <v/>
      </c>
      <c r="L2475" s="7" t="n"/>
      <c r="M2475" s="7" t="n"/>
      <c r="N2475">
        <f>IF(D2475="", "Gap - No Legal Basis", IF(AND(D2475="Consent (GDPR Art. 6(1)(a))", I2475="Not Captured"), "Gap - Invalid Consent", IF(AND(D2475="Legitimate Interest (GDPR Art. 6(1)(f))", L2475=""), "Gap - Missing LIA", IF(AND(G2475="Yes", H2475=""), "Gap - Missing Art. 9 Basis", IF(OR(I2475="Invalid - Not Freely Given", I2475="Invalid - Not Specific", I2475="Invalid - Not Informed", I2475="Invalid - Ambiguous"), "Gap - Invalid Consent", "Compliant")))))</f>
        <v/>
      </c>
      <c r="O2475" s="7" t="n"/>
    </row>
    <row r="2476">
      <c r="A2476" s="7" t="n"/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>
        <f>IF(D2476="Legitimate Interest (GDPR Art. 6(1)(f))", "Yes / Required (Sheet 3)", "")</f>
        <v/>
      </c>
      <c r="L2476" s="7" t="n"/>
      <c r="M2476" s="7" t="n"/>
      <c r="N2476">
        <f>IF(D2476="", "Gap - No Legal Basis", IF(AND(D2476="Consent (GDPR Art. 6(1)(a))", I2476="Not Captured"), "Gap - Invalid Consent", IF(AND(D2476="Legitimate Interest (GDPR Art. 6(1)(f))", L2476=""), "Gap - Missing LIA", IF(AND(G2476="Yes", H2476=""), "Gap - Missing Art. 9 Basis", IF(OR(I2476="Invalid - Not Freely Given", I2476="Invalid - Not Specific", I2476="Invalid - Not Informed", I2476="Invalid - Ambiguous"), "Gap - Invalid Consent", "Compliant")))))</f>
        <v/>
      </c>
      <c r="O2476" s="7" t="n"/>
    </row>
    <row r="2477">
      <c r="A2477" s="7" t="n"/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>
        <f>IF(D2477="Legitimate Interest (GDPR Art. 6(1)(f))", "Yes / Required (Sheet 3)", "")</f>
        <v/>
      </c>
      <c r="L2477" s="7" t="n"/>
      <c r="M2477" s="7" t="n"/>
      <c r="N2477">
        <f>IF(D2477="", "Gap - No Legal Basis", IF(AND(D2477="Consent (GDPR Art. 6(1)(a))", I2477="Not Captured"), "Gap - Invalid Consent", IF(AND(D2477="Legitimate Interest (GDPR Art. 6(1)(f))", L2477=""), "Gap - Missing LIA", IF(AND(G2477="Yes", H2477=""), "Gap - Missing Art. 9 Basis", IF(OR(I2477="Invalid - Not Freely Given", I2477="Invalid - Not Specific", I2477="Invalid - Not Informed", I2477="Invalid - Ambiguous"), "Gap - Invalid Consent", "Compliant")))))</f>
        <v/>
      </c>
      <c r="O2477" s="7" t="n"/>
    </row>
    <row r="2478">
      <c r="A2478" s="7" t="n"/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>
        <f>IF(D2478="Legitimate Interest (GDPR Art. 6(1)(f))", "Yes / Required (Sheet 3)", "")</f>
        <v/>
      </c>
      <c r="L2478" s="7" t="n"/>
      <c r="M2478" s="7" t="n"/>
      <c r="N2478">
        <f>IF(D2478="", "Gap - No Legal Basis", IF(AND(D2478="Consent (GDPR Art. 6(1)(a))", I2478="Not Captured"), "Gap - Invalid Consent", IF(AND(D2478="Legitimate Interest (GDPR Art. 6(1)(f))", L2478=""), "Gap - Missing LIA", IF(AND(G2478="Yes", H2478=""), "Gap - Missing Art. 9 Basis", IF(OR(I2478="Invalid - Not Freely Given", I2478="Invalid - Not Specific", I2478="Invalid - Not Informed", I2478="Invalid - Ambiguous"), "Gap - Invalid Consent", "Compliant")))))</f>
        <v/>
      </c>
      <c r="O2478" s="7" t="n"/>
    </row>
    <row r="2479">
      <c r="A2479" s="7" t="n"/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>
        <f>IF(D2479="Legitimate Interest (GDPR Art. 6(1)(f))", "Yes / Required (Sheet 3)", "")</f>
        <v/>
      </c>
      <c r="L2479" s="7" t="n"/>
      <c r="M2479" s="7" t="n"/>
      <c r="N2479">
        <f>IF(D2479="", "Gap - No Legal Basis", IF(AND(D2479="Consent (GDPR Art. 6(1)(a))", I2479="Not Captured"), "Gap - Invalid Consent", IF(AND(D2479="Legitimate Interest (GDPR Art. 6(1)(f))", L2479=""), "Gap - Missing LIA", IF(AND(G2479="Yes", H2479=""), "Gap - Missing Art. 9 Basis", IF(OR(I2479="Invalid - Not Freely Given", I2479="Invalid - Not Specific", I2479="Invalid - Not Informed", I2479="Invalid - Ambiguous"), "Gap - Invalid Consent", "Compliant")))))</f>
        <v/>
      </c>
      <c r="O2479" s="7" t="n"/>
    </row>
    <row r="2480">
      <c r="A2480" s="7" t="n"/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>
        <f>IF(D2480="Legitimate Interest (GDPR Art. 6(1)(f))", "Yes / Required (Sheet 3)", "")</f>
        <v/>
      </c>
      <c r="L2480" s="7" t="n"/>
      <c r="M2480" s="7" t="n"/>
      <c r="N2480">
        <f>IF(D2480="", "Gap - No Legal Basis", IF(AND(D2480="Consent (GDPR Art. 6(1)(a))", I2480="Not Captured"), "Gap - Invalid Consent", IF(AND(D2480="Legitimate Interest (GDPR Art. 6(1)(f))", L2480=""), "Gap - Missing LIA", IF(AND(G2480="Yes", H2480=""), "Gap - Missing Art. 9 Basis", IF(OR(I2480="Invalid - Not Freely Given", I2480="Invalid - Not Specific", I2480="Invalid - Not Informed", I2480="Invalid - Ambiguous"), "Gap - Invalid Consent", "Compliant")))))</f>
        <v/>
      </c>
      <c r="O2480" s="7" t="n"/>
    </row>
    <row r="2481">
      <c r="A2481" s="7" t="n"/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>
        <f>IF(D2481="Legitimate Interest (GDPR Art. 6(1)(f))", "Yes / Required (Sheet 3)", "")</f>
        <v/>
      </c>
      <c r="L2481" s="7" t="n"/>
      <c r="M2481" s="7" t="n"/>
      <c r="N2481">
        <f>IF(D2481="", "Gap - No Legal Basis", IF(AND(D2481="Consent (GDPR Art. 6(1)(a))", I2481="Not Captured"), "Gap - Invalid Consent", IF(AND(D2481="Legitimate Interest (GDPR Art. 6(1)(f))", L2481=""), "Gap - Missing LIA", IF(AND(G2481="Yes", H2481=""), "Gap - Missing Art. 9 Basis", IF(OR(I2481="Invalid - Not Freely Given", I2481="Invalid - Not Specific", I2481="Invalid - Not Informed", I2481="Invalid - Ambiguous"), "Gap - Invalid Consent", "Compliant")))))</f>
        <v/>
      </c>
      <c r="O2481" s="7" t="n"/>
    </row>
    <row r="2482">
      <c r="A2482" s="7" t="n"/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>
        <f>IF(D2482="Legitimate Interest (GDPR Art. 6(1)(f))", "Yes / Required (Sheet 3)", "")</f>
        <v/>
      </c>
      <c r="L2482" s="7" t="n"/>
      <c r="M2482" s="7" t="n"/>
      <c r="N2482">
        <f>IF(D2482="", "Gap - No Legal Basis", IF(AND(D2482="Consent (GDPR Art. 6(1)(a))", I2482="Not Captured"), "Gap - Invalid Consent", IF(AND(D2482="Legitimate Interest (GDPR Art. 6(1)(f))", L2482=""), "Gap - Missing LIA", IF(AND(G2482="Yes", H2482=""), "Gap - Missing Art. 9 Basis", IF(OR(I2482="Invalid - Not Freely Given", I2482="Invalid - Not Specific", I2482="Invalid - Not Informed", I2482="Invalid - Ambiguous"), "Gap - Invalid Consent", "Compliant")))))</f>
        <v/>
      </c>
      <c r="O2482" s="7" t="n"/>
    </row>
    <row r="2483">
      <c r="A2483" s="7" t="n"/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>
        <f>IF(D2483="Legitimate Interest (GDPR Art. 6(1)(f))", "Yes / Required (Sheet 3)", "")</f>
        <v/>
      </c>
      <c r="L2483" s="7" t="n"/>
      <c r="M2483" s="7" t="n"/>
      <c r="N2483">
        <f>IF(D2483="", "Gap - No Legal Basis", IF(AND(D2483="Consent (GDPR Art. 6(1)(a))", I2483="Not Captured"), "Gap - Invalid Consent", IF(AND(D2483="Legitimate Interest (GDPR Art. 6(1)(f))", L2483=""), "Gap - Missing LIA", IF(AND(G2483="Yes", H2483=""), "Gap - Missing Art. 9 Basis", IF(OR(I2483="Invalid - Not Freely Given", I2483="Invalid - Not Specific", I2483="Invalid - Not Informed", I2483="Invalid - Ambiguous"), "Gap - Invalid Consent", "Compliant")))))</f>
        <v/>
      </c>
      <c r="O2483" s="7" t="n"/>
    </row>
    <row r="2484">
      <c r="A2484" s="7" t="n"/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>
        <f>IF(D2484="Legitimate Interest (GDPR Art. 6(1)(f))", "Yes / Required (Sheet 3)", "")</f>
        <v/>
      </c>
      <c r="L2484" s="7" t="n"/>
      <c r="M2484" s="7" t="n"/>
      <c r="N2484">
        <f>IF(D2484="", "Gap - No Legal Basis", IF(AND(D2484="Consent (GDPR Art. 6(1)(a))", I2484="Not Captured"), "Gap - Invalid Consent", IF(AND(D2484="Legitimate Interest (GDPR Art. 6(1)(f))", L2484=""), "Gap - Missing LIA", IF(AND(G2484="Yes", H2484=""), "Gap - Missing Art. 9 Basis", IF(OR(I2484="Invalid - Not Freely Given", I2484="Invalid - Not Specific", I2484="Invalid - Not Informed", I2484="Invalid - Ambiguous"), "Gap - Invalid Consent", "Compliant")))))</f>
        <v/>
      </c>
      <c r="O2484" s="7" t="n"/>
    </row>
    <row r="2485">
      <c r="A2485" s="7" t="n"/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>
        <f>IF(D2485="Legitimate Interest (GDPR Art. 6(1)(f))", "Yes / Required (Sheet 3)", "")</f>
        <v/>
      </c>
      <c r="L2485" s="7" t="n"/>
      <c r="M2485" s="7" t="n"/>
      <c r="N2485">
        <f>IF(D2485="", "Gap - No Legal Basis", IF(AND(D2485="Consent (GDPR Art. 6(1)(a))", I2485="Not Captured"), "Gap - Invalid Consent", IF(AND(D2485="Legitimate Interest (GDPR Art. 6(1)(f))", L2485=""), "Gap - Missing LIA", IF(AND(G2485="Yes", H2485=""), "Gap - Missing Art. 9 Basis", IF(OR(I2485="Invalid - Not Freely Given", I2485="Invalid - Not Specific", I2485="Invalid - Not Informed", I2485="Invalid - Ambiguous"), "Gap - Invalid Consent", "Compliant")))))</f>
        <v/>
      </c>
      <c r="O2485" s="7" t="n"/>
    </row>
    <row r="2486">
      <c r="A2486" s="7" t="n"/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>
        <f>IF(D2486="Legitimate Interest (GDPR Art. 6(1)(f))", "Yes / Required (Sheet 3)", "")</f>
        <v/>
      </c>
      <c r="L2486" s="7" t="n"/>
      <c r="M2486" s="7" t="n"/>
      <c r="N2486">
        <f>IF(D2486="", "Gap - No Legal Basis", IF(AND(D2486="Consent (GDPR Art. 6(1)(a))", I2486="Not Captured"), "Gap - Invalid Consent", IF(AND(D2486="Legitimate Interest (GDPR Art. 6(1)(f))", L2486=""), "Gap - Missing LIA", IF(AND(G2486="Yes", H2486=""), "Gap - Missing Art. 9 Basis", IF(OR(I2486="Invalid - Not Freely Given", I2486="Invalid - Not Specific", I2486="Invalid - Not Informed", I2486="Invalid - Ambiguous"), "Gap - Invalid Consent", "Compliant")))))</f>
        <v/>
      </c>
      <c r="O2486" s="7" t="n"/>
    </row>
    <row r="2487">
      <c r="A2487" s="7" t="n"/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>
        <f>IF(D2487="Legitimate Interest (GDPR Art. 6(1)(f))", "Yes / Required (Sheet 3)", "")</f>
        <v/>
      </c>
      <c r="L2487" s="7" t="n"/>
      <c r="M2487" s="7" t="n"/>
      <c r="N2487">
        <f>IF(D2487="", "Gap - No Legal Basis", IF(AND(D2487="Consent (GDPR Art. 6(1)(a))", I2487="Not Captured"), "Gap - Invalid Consent", IF(AND(D2487="Legitimate Interest (GDPR Art. 6(1)(f))", L2487=""), "Gap - Missing LIA", IF(AND(G2487="Yes", H2487=""), "Gap - Missing Art. 9 Basis", IF(OR(I2487="Invalid - Not Freely Given", I2487="Invalid - Not Specific", I2487="Invalid - Not Informed", I2487="Invalid - Ambiguous"), "Gap - Invalid Consent", "Compliant")))))</f>
        <v/>
      </c>
      <c r="O2487" s="7" t="n"/>
    </row>
    <row r="2488">
      <c r="A2488" s="7" t="n"/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>
        <f>IF(D2488="Legitimate Interest (GDPR Art. 6(1)(f))", "Yes / Required (Sheet 3)", "")</f>
        <v/>
      </c>
      <c r="L2488" s="7" t="n"/>
      <c r="M2488" s="7" t="n"/>
      <c r="N2488">
        <f>IF(D2488="", "Gap - No Legal Basis", IF(AND(D2488="Consent (GDPR Art. 6(1)(a))", I2488="Not Captured"), "Gap - Invalid Consent", IF(AND(D2488="Legitimate Interest (GDPR Art. 6(1)(f))", L2488=""), "Gap - Missing LIA", IF(AND(G2488="Yes", H2488=""), "Gap - Missing Art. 9 Basis", IF(OR(I2488="Invalid - Not Freely Given", I2488="Invalid - Not Specific", I2488="Invalid - Not Informed", I2488="Invalid - Ambiguous"), "Gap - Invalid Consent", "Compliant")))))</f>
        <v/>
      </c>
      <c r="O2488" s="7" t="n"/>
    </row>
    <row r="2489">
      <c r="A2489" s="7" t="n"/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>
        <f>IF(D2489="Legitimate Interest (GDPR Art. 6(1)(f))", "Yes / Required (Sheet 3)", "")</f>
        <v/>
      </c>
      <c r="L2489" s="7" t="n"/>
      <c r="M2489" s="7" t="n"/>
      <c r="N2489">
        <f>IF(D2489="", "Gap - No Legal Basis", IF(AND(D2489="Consent (GDPR Art. 6(1)(a))", I2489="Not Captured"), "Gap - Invalid Consent", IF(AND(D2489="Legitimate Interest (GDPR Art. 6(1)(f))", L2489=""), "Gap - Missing LIA", IF(AND(G2489="Yes", H2489=""), "Gap - Missing Art. 9 Basis", IF(OR(I2489="Invalid - Not Freely Given", I2489="Invalid - Not Specific", I2489="Invalid - Not Informed", I2489="Invalid - Ambiguous"), "Gap - Invalid Consent", "Compliant")))))</f>
        <v/>
      </c>
      <c r="O2489" s="7" t="n"/>
    </row>
    <row r="2490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>
        <f>IF(D2490="Legitimate Interest (GDPR Art. 6(1)(f))", "Yes / Required (Sheet 3)", "")</f>
        <v/>
      </c>
      <c r="L2490" s="7" t="n"/>
      <c r="M2490" s="7" t="n"/>
      <c r="N2490">
        <f>IF(D2490="", "Gap - No Legal Basis", IF(AND(D2490="Consent (GDPR Art. 6(1)(a))", I2490="Not Captured"), "Gap - Invalid Consent", IF(AND(D2490="Legitimate Interest (GDPR Art. 6(1)(f))", L2490=""), "Gap - Missing LIA", IF(AND(G2490="Yes", H2490=""), "Gap - Missing Art. 9 Basis", IF(OR(I2490="Invalid - Not Freely Given", I2490="Invalid - Not Specific", I2490="Invalid - Not Informed", I2490="Invalid - Ambiguous"), "Gap - Invalid Consent", "Compliant")))))</f>
        <v/>
      </c>
      <c r="O2490" s="7" t="n"/>
    </row>
    <row r="2491">
      <c r="A2491" s="7" t="n"/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>
        <f>IF(D2491="Legitimate Interest (GDPR Art. 6(1)(f))", "Yes / Required (Sheet 3)", "")</f>
        <v/>
      </c>
      <c r="L2491" s="7" t="n"/>
      <c r="M2491" s="7" t="n"/>
      <c r="N2491">
        <f>IF(D2491="", "Gap - No Legal Basis", IF(AND(D2491="Consent (GDPR Art. 6(1)(a))", I2491="Not Captured"), "Gap - Invalid Consent", IF(AND(D2491="Legitimate Interest (GDPR Art. 6(1)(f))", L2491=""), "Gap - Missing LIA", IF(AND(G2491="Yes", H2491=""), "Gap - Missing Art. 9 Basis", IF(OR(I2491="Invalid - Not Freely Given", I2491="Invalid - Not Specific", I2491="Invalid - Not Informed", I2491="Invalid - Ambiguous"), "Gap - Invalid Consent", "Compliant")))))</f>
        <v/>
      </c>
      <c r="O2491" s="7" t="n"/>
    </row>
    <row r="2492">
      <c r="A2492" s="7" t="n"/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>
        <f>IF(D2492="Legitimate Interest (GDPR Art. 6(1)(f))", "Yes / Required (Sheet 3)", "")</f>
        <v/>
      </c>
      <c r="L2492" s="7" t="n"/>
      <c r="M2492" s="7" t="n"/>
      <c r="N2492">
        <f>IF(D2492="", "Gap - No Legal Basis", IF(AND(D2492="Consent (GDPR Art. 6(1)(a))", I2492="Not Captured"), "Gap - Invalid Consent", IF(AND(D2492="Legitimate Interest (GDPR Art. 6(1)(f))", L2492=""), "Gap - Missing LIA", IF(AND(G2492="Yes", H2492=""), "Gap - Missing Art. 9 Basis", IF(OR(I2492="Invalid - Not Freely Given", I2492="Invalid - Not Specific", I2492="Invalid - Not Informed", I2492="Invalid - Ambiguous"), "Gap - Invalid Consent", "Compliant")))))</f>
        <v/>
      </c>
      <c r="O2492" s="7" t="n"/>
    </row>
    <row r="2493">
      <c r="A2493" s="7" t="n"/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>
        <f>IF(D2493="Legitimate Interest (GDPR Art. 6(1)(f))", "Yes / Required (Sheet 3)", "")</f>
        <v/>
      </c>
      <c r="L2493" s="7" t="n"/>
      <c r="M2493" s="7" t="n"/>
      <c r="N2493">
        <f>IF(D2493="", "Gap - No Legal Basis", IF(AND(D2493="Consent (GDPR Art. 6(1)(a))", I2493="Not Captured"), "Gap - Invalid Consent", IF(AND(D2493="Legitimate Interest (GDPR Art. 6(1)(f))", L2493=""), "Gap - Missing LIA", IF(AND(G2493="Yes", H2493=""), "Gap - Missing Art. 9 Basis", IF(OR(I2493="Invalid - Not Freely Given", I2493="Invalid - Not Specific", I2493="Invalid - Not Informed", I2493="Invalid - Ambiguous"), "Gap - Invalid Consent", "Compliant")))))</f>
        <v/>
      </c>
      <c r="O2493" s="7" t="n"/>
    </row>
    <row r="2494">
      <c r="A2494" s="7" t="n"/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>
        <f>IF(D2494="Legitimate Interest (GDPR Art. 6(1)(f))", "Yes / Required (Sheet 3)", "")</f>
        <v/>
      </c>
      <c r="L2494" s="7" t="n"/>
      <c r="M2494" s="7" t="n"/>
      <c r="N2494">
        <f>IF(D2494="", "Gap - No Legal Basis", IF(AND(D2494="Consent (GDPR Art. 6(1)(a))", I2494="Not Captured"), "Gap - Invalid Consent", IF(AND(D2494="Legitimate Interest (GDPR Art. 6(1)(f))", L2494=""), "Gap - Missing LIA", IF(AND(G2494="Yes", H2494=""), "Gap - Missing Art. 9 Basis", IF(OR(I2494="Invalid - Not Freely Given", I2494="Invalid - Not Specific", I2494="Invalid - Not Informed", I2494="Invalid - Ambiguous"), "Gap - Invalid Consent", "Compliant")))))</f>
        <v/>
      </c>
      <c r="O2494" s="7" t="n"/>
    </row>
    <row r="2495">
      <c r="A2495" s="7" t="n"/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>
        <f>IF(D2495="Legitimate Interest (GDPR Art. 6(1)(f))", "Yes / Required (Sheet 3)", "")</f>
        <v/>
      </c>
      <c r="L2495" s="7" t="n"/>
      <c r="M2495" s="7" t="n"/>
      <c r="N2495">
        <f>IF(D2495="", "Gap - No Legal Basis", IF(AND(D2495="Consent (GDPR Art. 6(1)(a))", I2495="Not Captured"), "Gap - Invalid Consent", IF(AND(D2495="Legitimate Interest (GDPR Art. 6(1)(f))", L2495=""), "Gap - Missing LIA", IF(AND(G2495="Yes", H2495=""), "Gap - Missing Art. 9 Basis", IF(OR(I2495="Invalid - Not Freely Given", I2495="Invalid - Not Specific", I2495="Invalid - Not Informed", I2495="Invalid - Ambiguous"), "Gap - Invalid Consent", "Compliant")))))</f>
        <v/>
      </c>
      <c r="O2495" s="7" t="n"/>
    </row>
    <row r="2496">
      <c r="A2496" s="7" t="n"/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>
        <f>IF(D2496="Legitimate Interest (GDPR Art. 6(1)(f))", "Yes / Required (Sheet 3)", "")</f>
        <v/>
      </c>
      <c r="L2496" s="7" t="n"/>
      <c r="M2496" s="7" t="n"/>
      <c r="N2496">
        <f>IF(D2496="", "Gap - No Legal Basis", IF(AND(D2496="Consent (GDPR Art. 6(1)(a))", I2496="Not Captured"), "Gap - Invalid Consent", IF(AND(D2496="Legitimate Interest (GDPR Art. 6(1)(f))", L2496=""), "Gap - Missing LIA", IF(AND(G2496="Yes", H2496=""), "Gap - Missing Art. 9 Basis", IF(OR(I2496="Invalid - Not Freely Given", I2496="Invalid - Not Specific", I2496="Invalid - Not Informed", I2496="Invalid - Ambiguous"), "Gap - Invalid Consent", "Compliant")))))</f>
        <v/>
      </c>
      <c r="O2496" s="7" t="n"/>
    </row>
    <row r="2497">
      <c r="A2497" s="7" t="n"/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>
        <f>IF(D2497="Legitimate Interest (GDPR Art. 6(1)(f))", "Yes / Required (Sheet 3)", "")</f>
        <v/>
      </c>
      <c r="L2497" s="7" t="n"/>
      <c r="M2497" s="7" t="n"/>
      <c r="N2497">
        <f>IF(D2497="", "Gap - No Legal Basis", IF(AND(D2497="Consent (GDPR Art. 6(1)(a))", I2497="Not Captured"), "Gap - Invalid Consent", IF(AND(D2497="Legitimate Interest (GDPR Art. 6(1)(f))", L2497=""), "Gap - Missing LIA", IF(AND(G2497="Yes", H2497=""), "Gap - Missing Art. 9 Basis", IF(OR(I2497="Invalid - Not Freely Given", I2497="Invalid - Not Specific", I2497="Invalid - Not Informed", I2497="Invalid - Ambiguous"), "Gap - Invalid Consent", "Compliant")))))</f>
        <v/>
      </c>
      <c r="O2497" s="7" t="n"/>
    </row>
    <row r="2498">
      <c r="A2498" s="7" t="n"/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>
        <f>IF(D2498="Legitimate Interest (GDPR Art. 6(1)(f))", "Yes / Required (Sheet 3)", "")</f>
        <v/>
      </c>
      <c r="L2498" s="7" t="n"/>
      <c r="M2498" s="7" t="n"/>
      <c r="N2498">
        <f>IF(D2498="", "Gap - No Legal Basis", IF(AND(D2498="Consent (GDPR Art. 6(1)(a))", I2498="Not Captured"), "Gap - Invalid Consent", IF(AND(D2498="Legitimate Interest (GDPR Art. 6(1)(f))", L2498=""), "Gap - Missing LIA", IF(AND(G2498="Yes", H2498=""), "Gap - Missing Art. 9 Basis", IF(OR(I2498="Invalid - Not Freely Given", I2498="Invalid - Not Specific", I2498="Invalid - Not Informed", I2498="Invalid - Ambiguous"), "Gap - Invalid Consent", "Compliant")))))</f>
        <v/>
      </c>
      <c r="O2498" s="7" t="n"/>
    </row>
    <row r="2499">
      <c r="A2499" s="7" t="n"/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>
        <f>IF(D2499="Legitimate Interest (GDPR Art. 6(1)(f))", "Yes / Required (Sheet 3)", "")</f>
        <v/>
      </c>
      <c r="L2499" s="7" t="n"/>
      <c r="M2499" s="7" t="n"/>
      <c r="N2499">
        <f>IF(D2499="", "Gap - No Legal Basis", IF(AND(D2499="Consent (GDPR Art. 6(1)(a))", I2499="Not Captured"), "Gap - Invalid Consent", IF(AND(D2499="Legitimate Interest (GDPR Art. 6(1)(f))", L2499=""), "Gap - Missing LIA", IF(AND(G2499="Yes", H2499=""), "Gap - Missing Art. 9 Basis", IF(OR(I2499="Invalid - Not Freely Given", I2499="Invalid - Not Specific", I2499="Invalid - Not Informed", I2499="Invalid - Ambiguous"), "Gap - Invalid Consent", "Compliant")))))</f>
        <v/>
      </c>
      <c r="O2499" s="7" t="n"/>
    </row>
    <row r="2500">
      <c r="A2500" s="7" t="n"/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>
        <f>IF(D2500="Legitimate Interest (GDPR Art. 6(1)(f))", "Yes / Required (Sheet 3)", "")</f>
        <v/>
      </c>
      <c r="L2500" s="7" t="n"/>
      <c r="M2500" s="7" t="n"/>
      <c r="N2500">
        <f>IF(D2500="", "Gap - No Legal Basis", IF(AND(D2500="Consent (GDPR Art. 6(1)(a))", I2500="Not Captured"), "Gap - Invalid Consent", IF(AND(D2500="Legitimate Interest (GDPR Art. 6(1)(f))", L2500=""), "Gap - Missing LIA", IF(AND(G2500="Yes", H2500=""), "Gap - Missing Art. 9 Basis", IF(OR(I2500="Invalid - Not Freely Given", I2500="Invalid - Not Specific", I2500="Invalid - Not Informed", I2500="Invalid - Ambiguous"), "Gap - Invalid Consent", "Compliant")))))</f>
        <v/>
      </c>
      <c r="O2500" s="7" t="n"/>
    </row>
    <row r="2501">
      <c r="A2501" s="7" t="n"/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>
        <f>IF(D2501="Legitimate Interest (GDPR Art. 6(1)(f))", "Yes / Required (Sheet 3)", "")</f>
        <v/>
      </c>
      <c r="L2501" s="7" t="n"/>
      <c r="M2501" s="7" t="n"/>
      <c r="N2501">
        <f>IF(D2501="", "Gap - No Legal Basis", IF(AND(D2501="Consent (GDPR Art. 6(1)(a))", I2501="Not Captured"), "Gap - Invalid Consent", IF(AND(D2501="Legitimate Interest (GDPR Art. 6(1)(f))", L2501=""), "Gap - Missing LIA", IF(AND(G2501="Yes", H2501=""), "Gap - Missing Art. 9 Basis", IF(OR(I2501="Invalid - Not Freely Given", I2501="Invalid - Not Specific", I2501="Invalid - Not Informed", I2501="Invalid - Ambiguous"), "Gap - Invalid Consent", "Compliant")))))</f>
        <v/>
      </c>
      <c r="O2501" s="7" t="n"/>
    </row>
    <row r="2502">
      <c r="A2502" s="7" t="n"/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>
        <f>IF(D2502="Legitimate Interest (GDPR Art. 6(1)(f))", "Yes / Required (Sheet 3)", "")</f>
        <v/>
      </c>
      <c r="L2502" s="7" t="n"/>
      <c r="M2502" s="7" t="n"/>
      <c r="N2502">
        <f>IF(D2502="", "Gap - No Legal Basis", IF(AND(D2502="Consent (GDPR Art. 6(1)(a))", I2502="Not Captured"), "Gap - Invalid Consent", IF(AND(D2502="Legitimate Interest (GDPR Art. 6(1)(f))", L2502=""), "Gap - Missing LIA", IF(AND(G2502="Yes", H2502=""), "Gap - Missing Art. 9 Basis", IF(OR(I2502="Invalid - Not Freely Given", I2502="Invalid - Not Specific", I2502="Invalid - Not Informed", I2502="Invalid - Ambiguous"), "Gap - Invalid Consent", "Compliant")))))</f>
        <v/>
      </c>
      <c r="O2502" s="7" t="n"/>
    </row>
    <row r="2503">
      <c r="A2503" s="7" t="n"/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>
        <f>IF(D2503="Legitimate Interest (GDPR Art. 6(1)(f))", "Yes / Required (Sheet 3)", "")</f>
        <v/>
      </c>
      <c r="L2503" s="7" t="n"/>
      <c r="M2503" s="7" t="n"/>
      <c r="N2503">
        <f>IF(D2503="", "Gap - No Legal Basis", IF(AND(D2503="Consent (GDPR Art. 6(1)(a))", I2503="Not Captured"), "Gap - Invalid Consent", IF(AND(D2503="Legitimate Interest (GDPR Art. 6(1)(f))", L2503=""), "Gap - Missing LIA", IF(AND(G2503="Yes", H2503=""), "Gap - Missing Art. 9 Basis", IF(OR(I2503="Invalid - Not Freely Given", I2503="Invalid - Not Specific", I2503="Invalid - Not Informed", I2503="Invalid - Ambiguous"), "Gap - Invalid Consent", "Compliant")))))</f>
        <v/>
      </c>
      <c r="O2503" s="7" t="n"/>
    </row>
    <row r="2504">
      <c r="A2504" s="7" t="n"/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>
        <f>IF(D2504="Legitimate Interest (GDPR Art. 6(1)(f))", "Yes / Required (Sheet 3)", "")</f>
        <v/>
      </c>
      <c r="L2504" s="7" t="n"/>
      <c r="M2504" s="7" t="n"/>
      <c r="N2504">
        <f>IF(D2504="", "Gap - No Legal Basis", IF(AND(D2504="Consent (GDPR Art. 6(1)(a))", I2504="Not Captured"), "Gap - Invalid Consent", IF(AND(D2504="Legitimate Interest (GDPR Art. 6(1)(f))", L2504=""), "Gap - Missing LIA", IF(AND(G2504="Yes", H2504=""), "Gap - Missing Art. 9 Basis", IF(OR(I2504="Invalid - Not Freely Given", I2504="Invalid - Not Specific", I2504="Invalid - Not Informed", I2504="Invalid - Ambiguous"), "Gap - Invalid Consent", "Compliant")))))</f>
        <v/>
      </c>
      <c r="O2504" s="7" t="n"/>
    </row>
    <row r="2505">
      <c r="A2505" s="7" t="n"/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>
        <f>IF(D2505="Legitimate Interest (GDPR Art. 6(1)(f))", "Yes / Required (Sheet 3)", "")</f>
        <v/>
      </c>
      <c r="L2505" s="7" t="n"/>
      <c r="M2505" s="7" t="n"/>
      <c r="N2505">
        <f>IF(D2505="", "Gap - No Legal Basis", IF(AND(D2505="Consent (GDPR Art. 6(1)(a))", I2505="Not Captured"), "Gap - Invalid Consent", IF(AND(D2505="Legitimate Interest (GDPR Art. 6(1)(f))", L2505=""), "Gap - Missing LIA", IF(AND(G2505="Yes", H2505=""), "Gap - Missing Art. 9 Basis", IF(OR(I2505="Invalid - Not Freely Given", I2505="Invalid - Not Specific", I2505="Invalid - Not Informed", I2505="Invalid - Ambiguous"), "Gap - Invalid Consent", "Compliant")))))</f>
        <v/>
      </c>
      <c r="O2505" s="7" t="n"/>
    </row>
    <row r="2506">
      <c r="A2506" s="7" t="n"/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>
        <f>IF(D2506="Legitimate Interest (GDPR Art. 6(1)(f))", "Yes / Required (Sheet 3)", "")</f>
        <v/>
      </c>
      <c r="L2506" s="7" t="n"/>
      <c r="M2506" s="7" t="n"/>
      <c r="N2506">
        <f>IF(D2506="", "Gap - No Legal Basis", IF(AND(D2506="Consent (GDPR Art. 6(1)(a))", I2506="Not Captured"), "Gap - Invalid Consent", IF(AND(D2506="Legitimate Interest (GDPR Art. 6(1)(f))", L2506=""), "Gap - Missing LIA", IF(AND(G2506="Yes", H2506=""), "Gap - Missing Art. 9 Basis", IF(OR(I2506="Invalid - Not Freely Given", I2506="Invalid - Not Specific", I2506="Invalid - Not Informed", I2506="Invalid - Ambiguous"), "Gap - Invalid Consent", "Compliant")))))</f>
        <v/>
      </c>
      <c r="O2506" s="7" t="n"/>
    </row>
    <row r="2507">
      <c r="A2507" s="7" t="n"/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>
        <f>IF(D2507="Legitimate Interest (GDPR Art. 6(1)(f))", "Yes / Required (Sheet 3)", "")</f>
        <v/>
      </c>
      <c r="L2507" s="7" t="n"/>
      <c r="M2507" s="7" t="n"/>
      <c r="N2507">
        <f>IF(D2507="", "Gap - No Legal Basis", IF(AND(D2507="Consent (GDPR Art. 6(1)(a))", I2507="Not Captured"), "Gap - Invalid Consent", IF(AND(D2507="Legitimate Interest (GDPR Art. 6(1)(f))", L2507=""), "Gap - Missing LIA", IF(AND(G2507="Yes", H2507=""), "Gap - Missing Art. 9 Basis", IF(OR(I2507="Invalid - Not Freely Given", I2507="Invalid - Not Specific", I2507="Invalid - Not Informed", I2507="Invalid - Ambiguous"), "Gap - Invalid Consent", "Compliant")))))</f>
        <v/>
      </c>
      <c r="O2507" s="7" t="n"/>
    </row>
    <row r="2508">
      <c r="A2508" s="7" t="n"/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>
        <f>IF(D2508="Legitimate Interest (GDPR Art. 6(1)(f))", "Yes / Required (Sheet 3)", "")</f>
        <v/>
      </c>
      <c r="L2508" s="7" t="n"/>
      <c r="M2508" s="7" t="n"/>
      <c r="N2508">
        <f>IF(D2508="", "Gap - No Legal Basis", IF(AND(D2508="Consent (GDPR Art. 6(1)(a))", I2508="Not Captured"), "Gap - Invalid Consent", IF(AND(D2508="Legitimate Interest (GDPR Art. 6(1)(f))", L2508=""), "Gap - Missing LIA", IF(AND(G2508="Yes", H2508=""), "Gap - Missing Art. 9 Basis", IF(OR(I2508="Invalid - Not Freely Given", I2508="Invalid - Not Specific", I2508="Invalid - Not Informed", I2508="Invalid - Ambiguous"), "Gap - Invalid Consent", "Compliant")))))</f>
        <v/>
      </c>
      <c r="O2508" s="7" t="n"/>
    </row>
    <row r="2509">
      <c r="A2509" s="7" t="n"/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>
        <f>IF(D2509="Legitimate Interest (GDPR Art. 6(1)(f))", "Yes / Required (Sheet 3)", "")</f>
        <v/>
      </c>
      <c r="L2509" s="7" t="n"/>
      <c r="M2509" s="7" t="n"/>
      <c r="N2509">
        <f>IF(D2509="", "Gap - No Legal Basis", IF(AND(D2509="Consent (GDPR Art. 6(1)(a))", I2509="Not Captured"), "Gap - Invalid Consent", IF(AND(D2509="Legitimate Interest (GDPR Art. 6(1)(f))", L2509=""), "Gap - Missing LIA", IF(AND(G2509="Yes", H2509=""), "Gap - Missing Art. 9 Basis", IF(OR(I2509="Invalid - Not Freely Given", I2509="Invalid - Not Specific", I2509="Invalid - Not Informed", I2509="Invalid - Ambiguous"), "Gap - Invalid Consent", "Compliant")))))</f>
        <v/>
      </c>
      <c r="O2509" s="7" t="n"/>
    </row>
    <row r="2510">
      <c r="A2510" s="7" t="n"/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>
        <f>IF(D2510="Legitimate Interest (GDPR Art. 6(1)(f))", "Yes / Required (Sheet 3)", "")</f>
        <v/>
      </c>
      <c r="L2510" s="7" t="n"/>
      <c r="M2510" s="7" t="n"/>
      <c r="N2510">
        <f>IF(D2510="", "Gap - No Legal Basis", IF(AND(D2510="Consent (GDPR Art. 6(1)(a))", I2510="Not Captured"), "Gap - Invalid Consent", IF(AND(D2510="Legitimate Interest (GDPR Art. 6(1)(f))", L2510=""), "Gap - Missing LIA", IF(AND(G2510="Yes", H2510=""), "Gap - Missing Art. 9 Basis", IF(OR(I2510="Invalid - Not Freely Given", I2510="Invalid - Not Specific", I2510="Invalid - Not Informed", I2510="Invalid - Ambiguous"), "Gap - Invalid Consent", "Compliant")))))</f>
        <v/>
      </c>
      <c r="O2510" s="7" t="n"/>
    </row>
    <row r="2511">
      <c r="A2511" s="7" t="n"/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>
        <f>IF(D2511="Legitimate Interest (GDPR Art. 6(1)(f))", "Yes / Required (Sheet 3)", "")</f>
        <v/>
      </c>
      <c r="L2511" s="7" t="n"/>
      <c r="M2511" s="7" t="n"/>
      <c r="N2511">
        <f>IF(D2511="", "Gap - No Legal Basis", IF(AND(D2511="Consent (GDPR Art. 6(1)(a))", I2511="Not Captured"), "Gap - Invalid Consent", IF(AND(D2511="Legitimate Interest (GDPR Art. 6(1)(f))", L2511=""), "Gap - Missing LIA", IF(AND(G2511="Yes", H2511=""), "Gap - Missing Art. 9 Basis", IF(OR(I2511="Invalid - Not Freely Given", I2511="Invalid - Not Specific", I2511="Invalid - Not Informed", I2511="Invalid - Ambiguous"), "Gap - Invalid Consent", "Compliant")))))</f>
        <v/>
      </c>
      <c r="O2511" s="7" t="n"/>
    </row>
    <row r="2512">
      <c r="A2512" s="7" t="n"/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>
        <f>IF(D2512="Legitimate Interest (GDPR Art. 6(1)(f))", "Yes / Required (Sheet 3)", "")</f>
        <v/>
      </c>
      <c r="L2512" s="7" t="n"/>
      <c r="M2512" s="7" t="n"/>
      <c r="N2512">
        <f>IF(D2512="", "Gap - No Legal Basis", IF(AND(D2512="Consent (GDPR Art. 6(1)(a))", I2512="Not Captured"), "Gap - Invalid Consent", IF(AND(D2512="Legitimate Interest (GDPR Art. 6(1)(f))", L2512=""), "Gap - Missing LIA", IF(AND(G2512="Yes", H2512=""), "Gap - Missing Art. 9 Basis", IF(OR(I2512="Invalid - Not Freely Given", I2512="Invalid - Not Specific", I2512="Invalid - Not Informed", I2512="Invalid - Ambiguous"), "Gap - Invalid Consent", "Compliant")))))</f>
        <v/>
      </c>
      <c r="O2512" s="7" t="n"/>
    </row>
    <row r="2513">
      <c r="A2513" s="7" t="n"/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>
        <f>IF(D2513="Legitimate Interest (GDPR Art. 6(1)(f))", "Yes / Required (Sheet 3)", "")</f>
        <v/>
      </c>
      <c r="L2513" s="7" t="n"/>
      <c r="M2513" s="7" t="n"/>
      <c r="N2513">
        <f>IF(D2513="", "Gap - No Legal Basis", IF(AND(D2513="Consent (GDPR Art. 6(1)(a))", I2513="Not Captured"), "Gap - Invalid Consent", IF(AND(D2513="Legitimate Interest (GDPR Art. 6(1)(f))", L2513=""), "Gap - Missing LIA", IF(AND(G2513="Yes", H2513=""), "Gap - Missing Art. 9 Basis", IF(OR(I2513="Invalid - Not Freely Given", I2513="Invalid - Not Specific", I2513="Invalid - Not Informed", I2513="Invalid - Ambiguous"), "Gap - Invalid Consent", "Compliant")))))</f>
        <v/>
      </c>
      <c r="O2513" s="7" t="n"/>
    </row>
    <row r="2514">
      <c r="A2514" s="7" t="n"/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>
        <f>IF(D2514="Legitimate Interest (GDPR Art. 6(1)(f))", "Yes / Required (Sheet 3)", "")</f>
        <v/>
      </c>
      <c r="L2514" s="7" t="n"/>
      <c r="M2514" s="7" t="n"/>
      <c r="N2514">
        <f>IF(D2514="", "Gap - No Legal Basis", IF(AND(D2514="Consent (GDPR Art. 6(1)(a))", I2514="Not Captured"), "Gap - Invalid Consent", IF(AND(D2514="Legitimate Interest (GDPR Art. 6(1)(f))", L2514=""), "Gap - Missing LIA", IF(AND(G2514="Yes", H2514=""), "Gap - Missing Art. 9 Basis", IF(OR(I2514="Invalid - Not Freely Given", I2514="Invalid - Not Specific", I2514="Invalid - Not Informed", I2514="Invalid - Ambiguous"), "Gap - Invalid Consent", "Compliant")))))</f>
        <v/>
      </c>
      <c r="O2514" s="7" t="n"/>
    </row>
    <row r="2515">
      <c r="A2515" s="7" t="n"/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>
        <f>IF(D2515="Legitimate Interest (GDPR Art. 6(1)(f))", "Yes / Required (Sheet 3)", "")</f>
        <v/>
      </c>
      <c r="L2515" s="7" t="n"/>
      <c r="M2515" s="7" t="n"/>
      <c r="N2515">
        <f>IF(D2515="", "Gap - No Legal Basis", IF(AND(D2515="Consent (GDPR Art. 6(1)(a))", I2515="Not Captured"), "Gap - Invalid Consent", IF(AND(D2515="Legitimate Interest (GDPR Art. 6(1)(f))", L2515=""), "Gap - Missing LIA", IF(AND(G2515="Yes", H2515=""), "Gap - Missing Art. 9 Basis", IF(OR(I2515="Invalid - Not Freely Given", I2515="Invalid - Not Specific", I2515="Invalid - Not Informed", I2515="Invalid - Ambiguous"), "Gap - Invalid Consent", "Compliant")))))</f>
        <v/>
      </c>
      <c r="O2515" s="7" t="n"/>
    </row>
    <row r="2516">
      <c r="A2516" s="7" t="n"/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>
        <f>IF(D2516="Legitimate Interest (GDPR Art. 6(1)(f))", "Yes / Required (Sheet 3)", "")</f>
        <v/>
      </c>
      <c r="L2516" s="7" t="n"/>
      <c r="M2516" s="7" t="n"/>
      <c r="N2516">
        <f>IF(D2516="", "Gap - No Legal Basis", IF(AND(D2516="Consent (GDPR Art. 6(1)(a))", I2516="Not Captured"), "Gap - Invalid Consent", IF(AND(D2516="Legitimate Interest (GDPR Art. 6(1)(f))", L2516=""), "Gap - Missing LIA", IF(AND(G2516="Yes", H2516=""), "Gap - Missing Art. 9 Basis", IF(OR(I2516="Invalid - Not Freely Given", I2516="Invalid - Not Specific", I2516="Invalid - Not Informed", I2516="Invalid - Ambiguous"), "Gap - Invalid Consent", "Compliant")))))</f>
        <v/>
      </c>
      <c r="O2516" s="7" t="n"/>
    </row>
    <row r="2517">
      <c r="A2517" s="7" t="n"/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>
        <f>IF(D2517="Legitimate Interest (GDPR Art. 6(1)(f))", "Yes / Required (Sheet 3)", "")</f>
        <v/>
      </c>
      <c r="L2517" s="7" t="n"/>
      <c r="M2517" s="7" t="n"/>
      <c r="N2517">
        <f>IF(D2517="", "Gap - No Legal Basis", IF(AND(D2517="Consent (GDPR Art. 6(1)(a))", I2517="Not Captured"), "Gap - Invalid Consent", IF(AND(D2517="Legitimate Interest (GDPR Art. 6(1)(f))", L2517=""), "Gap - Missing LIA", IF(AND(G2517="Yes", H2517=""), "Gap - Missing Art. 9 Basis", IF(OR(I2517="Invalid - Not Freely Given", I2517="Invalid - Not Specific", I2517="Invalid - Not Informed", I2517="Invalid - Ambiguous"), "Gap - Invalid Consent", "Compliant")))))</f>
        <v/>
      </c>
      <c r="O2517" s="7" t="n"/>
    </row>
    <row r="2518">
      <c r="A2518" s="7" t="n"/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>
        <f>IF(D2518="Legitimate Interest (GDPR Art. 6(1)(f))", "Yes / Required (Sheet 3)", "")</f>
        <v/>
      </c>
      <c r="L2518" s="7" t="n"/>
      <c r="M2518" s="7" t="n"/>
      <c r="N2518">
        <f>IF(D2518="", "Gap - No Legal Basis", IF(AND(D2518="Consent (GDPR Art. 6(1)(a))", I2518="Not Captured"), "Gap - Invalid Consent", IF(AND(D2518="Legitimate Interest (GDPR Art. 6(1)(f))", L2518=""), "Gap - Missing LIA", IF(AND(G2518="Yes", H2518=""), "Gap - Missing Art. 9 Basis", IF(OR(I2518="Invalid - Not Freely Given", I2518="Invalid - Not Specific", I2518="Invalid - Not Informed", I2518="Invalid - Ambiguous"), "Gap - Invalid Consent", "Compliant")))))</f>
        <v/>
      </c>
      <c r="O2518" s="7" t="n"/>
    </row>
    <row r="2519">
      <c r="A2519" s="7" t="n"/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>
        <f>IF(D2519="Legitimate Interest (GDPR Art. 6(1)(f))", "Yes / Required (Sheet 3)", "")</f>
        <v/>
      </c>
      <c r="L2519" s="7" t="n"/>
      <c r="M2519" s="7" t="n"/>
      <c r="N2519">
        <f>IF(D2519="", "Gap - No Legal Basis", IF(AND(D2519="Consent (GDPR Art. 6(1)(a))", I2519="Not Captured"), "Gap - Invalid Consent", IF(AND(D2519="Legitimate Interest (GDPR Art. 6(1)(f))", L2519=""), "Gap - Missing LIA", IF(AND(G2519="Yes", H2519=""), "Gap - Missing Art. 9 Basis", IF(OR(I2519="Invalid - Not Freely Given", I2519="Invalid - Not Specific", I2519="Invalid - Not Informed", I2519="Invalid - Ambiguous"), "Gap - Invalid Consent", "Compliant")))))</f>
        <v/>
      </c>
      <c r="O2519" s="7" t="n"/>
    </row>
    <row r="2520">
      <c r="A2520" s="7" t="n"/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>
        <f>IF(D2520="Legitimate Interest (GDPR Art. 6(1)(f))", "Yes / Required (Sheet 3)", "")</f>
        <v/>
      </c>
      <c r="L2520" s="7" t="n"/>
      <c r="M2520" s="7" t="n"/>
      <c r="N2520">
        <f>IF(D2520="", "Gap - No Legal Basis", IF(AND(D2520="Consent (GDPR Art. 6(1)(a))", I2520="Not Captured"), "Gap - Invalid Consent", IF(AND(D2520="Legitimate Interest (GDPR Art. 6(1)(f))", L2520=""), "Gap - Missing LIA", IF(AND(G2520="Yes", H2520=""), "Gap - Missing Art. 9 Basis", IF(OR(I2520="Invalid - Not Freely Given", I2520="Invalid - Not Specific", I2520="Invalid - Not Informed", I2520="Invalid - Ambiguous"), "Gap - Invalid Consent", "Compliant")))))</f>
        <v/>
      </c>
      <c r="O2520" s="7" t="n"/>
    </row>
    <row r="2521">
      <c r="A2521" s="7" t="n"/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>
        <f>IF(D2521="Legitimate Interest (GDPR Art. 6(1)(f))", "Yes / Required (Sheet 3)", "")</f>
        <v/>
      </c>
      <c r="L2521" s="7" t="n"/>
      <c r="M2521" s="7" t="n"/>
      <c r="N2521">
        <f>IF(D2521="", "Gap - No Legal Basis", IF(AND(D2521="Consent (GDPR Art. 6(1)(a))", I2521="Not Captured"), "Gap - Invalid Consent", IF(AND(D2521="Legitimate Interest (GDPR Art. 6(1)(f))", L2521=""), "Gap - Missing LIA", IF(AND(G2521="Yes", H2521=""), "Gap - Missing Art. 9 Basis", IF(OR(I2521="Invalid - Not Freely Given", I2521="Invalid - Not Specific", I2521="Invalid - Not Informed", I2521="Invalid - Ambiguous"), "Gap - Invalid Consent", "Compliant")))))</f>
        <v/>
      </c>
      <c r="O2521" s="7" t="n"/>
    </row>
    <row r="2522">
      <c r="A2522" s="7" t="n"/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>
        <f>IF(D2522="Legitimate Interest (GDPR Art. 6(1)(f))", "Yes / Required (Sheet 3)", "")</f>
        <v/>
      </c>
      <c r="L2522" s="7" t="n"/>
      <c r="M2522" s="7" t="n"/>
      <c r="N2522">
        <f>IF(D2522="", "Gap - No Legal Basis", IF(AND(D2522="Consent (GDPR Art. 6(1)(a))", I2522="Not Captured"), "Gap - Invalid Consent", IF(AND(D2522="Legitimate Interest (GDPR Art. 6(1)(f))", L2522=""), "Gap - Missing LIA", IF(AND(G2522="Yes", H2522=""), "Gap - Missing Art. 9 Basis", IF(OR(I2522="Invalid - Not Freely Given", I2522="Invalid - Not Specific", I2522="Invalid - Not Informed", I2522="Invalid - Ambiguous"), "Gap - Invalid Consent", "Compliant")))))</f>
        <v/>
      </c>
      <c r="O2522" s="7" t="n"/>
    </row>
    <row r="2523">
      <c r="A2523" s="7" t="n"/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>
        <f>IF(D2523="Legitimate Interest (GDPR Art. 6(1)(f))", "Yes / Required (Sheet 3)", "")</f>
        <v/>
      </c>
      <c r="L2523" s="7" t="n"/>
      <c r="M2523" s="7" t="n"/>
      <c r="N2523">
        <f>IF(D2523="", "Gap - No Legal Basis", IF(AND(D2523="Consent (GDPR Art. 6(1)(a))", I2523="Not Captured"), "Gap - Invalid Consent", IF(AND(D2523="Legitimate Interest (GDPR Art. 6(1)(f))", L2523=""), "Gap - Missing LIA", IF(AND(G2523="Yes", H2523=""), "Gap - Missing Art. 9 Basis", IF(OR(I2523="Invalid - Not Freely Given", I2523="Invalid - Not Specific", I2523="Invalid - Not Informed", I2523="Invalid - Ambiguous"), "Gap - Invalid Consent", "Compliant")))))</f>
        <v/>
      </c>
      <c r="O2523" s="7" t="n"/>
    </row>
    <row r="2524">
      <c r="A2524" s="7" t="n"/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>
        <f>IF(D2524="Legitimate Interest (GDPR Art. 6(1)(f))", "Yes / Required (Sheet 3)", "")</f>
        <v/>
      </c>
      <c r="L2524" s="7" t="n"/>
      <c r="M2524" s="7" t="n"/>
      <c r="N2524">
        <f>IF(D2524="", "Gap - No Legal Basis", IF(AND(D2524="Consent (GDPR Art. 6(1)(a))", I2524="Not Captured"), "Gap - Invalid Consent", IF(AND(D2524="Legitimate Interest (GDPR Art. 6(1)(f))", L2524=""), "Gap - Missing LIA", IF(AND(G2524="Yes", H2524=""), "Gap - Missing Art. 9 Basis", IF(OR(I2524="Invalid - Not Freely Given", I2524="Invalid - Not Specific", I2524="Invalid - Not Informed", I2524="Invalid - Ambiguous"), "Gap - Invalid Consent", "Compliant")))))</f>
        <v/>
      </c>
      <c r="O2524" s="7" t="n"/>
    </row>
    <row r="2525">
      <c r="A2525" s="7" t="n"/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>
        <f>IF(D2525="Legitimate Interest (GDPR Art. 6(1)(f))", "Yes / Required (Sheet 3)", "")</f>
        <v/>
      </c>
      <c r="L2525" s="7" t="n"/>
      <c r="M2525" s="7" t="n"/>
      <c r="N2525">
        <f>IF(D2525="", "Gap - No Legal Basis", IF(AND(D2525="Consent (GDPR Art. 6(1)(a))", I2525="Not Captured"), "Gap - Invalid Consent", IF(AND(D2525="Legitimate Interest (GDPR Art. 6(1)(f))", L2525=""), "Gap - Missing LIA", IF(AND(G2525="Yes", H2525=""), "Gap - Missing Art. 9 Basis", IF(OR(I2525="Invalid - Not Freely Given", I2525="Invalid - Not Specific", I2525="Invalid - Not Informed", I2525="Invalid - Ambiguous"), "Gap - Invalid Consent", "Compliant")))))</f>
        <v/>
      </c>
      <c r="O2525" s="7" t="n"/>
    </row>
    <row r="2526">
      <c r="A2526" s="7" t="n"/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>
        <f>IF(D2526="Legitimate Interest (GDPR Art. 6(1)(f))", "Yes / Required (Sheet 3)", "")</f>
        <v/>
      </c>
      <c r="L2526" s="7" t="n"/>
      <c r="M2526" s="7" t="n"/>
      <c r="N2526">
        <f>IF(D2526="", "Gap - No Legal Basis", IF(AND(D2526="Consent (GDPR Art. 6(1)(a))", I2526="Not Captured"), "Gap - Invalid Consent", IF(AND(D2526="Legitimate Interest (GDPR Art. 6(1)(f))", L2526=""), "Gap - Missing LIA", IF(AND(G2526="Yes", H2526=""), "Gap - Missing Art. 9 Basis", IF(OR(I2526="Invalid - Not Freely Given", I2526="Invalid - Not Specific", I2526="Invalid - Not Informed", I2526="Invalid - Ambiguous"), "Gap - Invalid Consent", "Compliant")))))</f>
        <v/>
      </c>
      <c r="O2526" s="7" t="n"/>
    </row>
    <row r="2527">
      <c r="A2527" s="7" t="n"/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>
        <f>IF(D2527="Legitimate Interest (GDPR Art. 6(1)(f))", "Yes / Required (Sheet 3)", "")</f>
        <v/>
      </c>
      <c r="L2527" s="7" t="n"/>
      <c r="M2527" s="7" t="n"/>
      <c r="N2527">
        <f>IF(D2527="", "Gap - No Legal Basis", IF(AND(D2527="Consent (GDPR Art. 6(1)(a))", I2527="Not Captured"), "Gap - Invalid Consent", IF(AND(D2527="Legitimate Interest (GDPR Art. 6(1)(f))", L2527=""), "Gap - Missing LIA", IF(AND(G2527="Yes", H2527=""), "Gap - Missing Art. 9 Basis", IF(OR(I2527="Invalid - Not Freely Given", I2527="Invalid - Not Specific", I2527="Invalid - Not Informed", I2527="Invalid - Ambiguous"), "Gap - Invalid Consent", "Compliant")))))</f>
        <v/>
      </c>
      <c r="O2527" s="7" t="n"/>
    </row>
    <row r="2528">
      <c r="A2528" s="7" t="n"/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>
        <f>IF(D2528="Legitimate Interest (GDPR Art. 6(1)(f))", "Yes / Required (Sheet 3)", "")</f>
        <v/>
      </c>
      <c r="L2528" s="7" t="n"/>
      <c r="M2528" s="7" t="n"/>
      <c r="N2528">
        <f>IF(D2528="", "Gap - No Legal Basis", IF(AND(D2528="Consent (GDPR Art. 6(1)(a))", I2528="Not Captured"), "Gap - Invalid Consent", IF(AND(D2528="Legitimate Interest (GDPR Art. 6(1)(f))", L2528=""), "Gap - Missing LIA", IF(AND(G2528="Yes", H2528=""), "Gap - Missing Art. 9 Basis", IF(OR(I2528="Invalid - Not Freely Given", I2528="Invalid - Not Specific", I2528="Invalid - Not Informed", I2528="Invalid - Ambiguous"), "Gap - Invalid Consent", "Compliant")))))</f>
        <v/>
      </c>
      <c r="O2528" s="7" t="n"/>
    </row>
    <row r="2529">
      <c r="A2529" s="7" t="n"/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>
        <f>IF(D2529="Legitimate Interest (GDPR Art. 6(1)(f))", "Yes / Required (Sheet 3)", "")</f>
        <v/>
      </c>
      <c r="L2529" s="7" t="n"/>
      <c r="M2529" s="7" t="n"/>
      <c r="N2529">
        <f>IF(D2529="", "Gap - No Legal Basis", IF(AND(D2529="Consent (GDPR Art. 6(1)(a))", I2529="Not Captured"), "Gap - Invalid Consent", IF(AND(D2529="Legitimate Interest (GDPR Art. 6(1)(f))", L2529=""), "Gap - Missing LIA", IF(AND(G2529="Yes", H2529=""), "Gap - Missing Art. 9 Basis", IF(OR(I2529="Invalid - Not Freely Given", I2529="Invalid - Not Specific", I2529="Invalid - Not Informed", I2529="Invalid - Ambiguous"), "Gap - Invalid Consent", "Compliant")))))</f>
        <v/>
      </c>
      <c r="O2529" s="7" t="n"/>
    </row>
    <row r="2530">
      <c r="A2530" s="7" t="n"/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>
        <f>IF(D2530="Legitimate Interest (GDPR Art. 6(1)(f))", "Yes / Required (Sheet 3)", "")</f>
        <v/>
      </c>
      <c r="L2530" s="7" t="n"/>
      <c r="M2530" s="7" t="n"/>
      <c r="N2530">
        <f>IF(D2530="", "Gap - No Legal Basis", IF(AND(D2530="Consent (GDPR Art. 6(1)(a))", I2530="Not Captured"), "Gap - Invalid Consent", IF(AND(D2530="Legitimate Interest (GDPR Art. 6(1)(f))", L2530=""), "Gap - Missing LIA", IF(AND(G2530="Yes", H2530=""), "Gap - Missing Art. 9 Basis", IF(OR(I2530="Invalid - Not Freely Given", I2530="Invalid - Not Specific", I2530="Invalid - Not Informed", I2530="Invalid - Ambiguous"), "Gap - Invalid Consent", "Compliant")))))</f>
        <v/>
      </c>
      <c r="O2530" s="7" t="n"/>
    </row>
    <row r="2531">
      <c r="A2531" s="7" t="n"/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>
        <f>IF(D2531="Legitimate Interest (GDPR Art. 6(1)(f))", "Yes / Required (Sheet 3)", "")</f>
        <v/>
      </c>
      <c r="L2531" s="7" t="n"/>
      <c r="M2531" s="7" t="n"/>
      <c r="N2531">
        <f>IF(D2531="", "Gap - No Legal Basis", IF(AND(D2531="Consent (GDPR Art. 6(1)(a))", I2531="Not Captured"), "Gap - Invalid Consent", IF(AND(D2531="Legitimate Interest (GDPR Art. 6(1)(f))", L2531=""), "Gap - Missing LIA", IF(AND(G2531="Yes", H2531=""), "Gap - Missing Art. 9 Basis", IF(OR(I2531="Invalid - Not Freely Given", I2531="Invalid - Not Specific", I2531="Invalid - Not Informed", I2531="Invalid - Ambiguous"), "Gap - Invalid Consent", "Compliant")))))</f>
        <v/>
      </c>
      <c r="O2531" s="7" t="n"/>
    </row>
    <row r="2532">
      <c r="A2532" s="7" t="n"/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>
        <f>IF(D2532="Legitimate Interest (GDPR Art. 6(1)(f))", "Yes / Required (Sheet 3)", "")</f>
        <v/>
      </c>
      <c r="L2532" s="7" t="n"/>
      <c r="M2532" s="7" t="n"/>
      <c r="N2532">
        <f>IF(D2532="", "Gap - No Legal Basis", IF(AND(D2532="Consent (GDPR Art. 6(1)(a))", I2532="Not Captured"), "Gap - Invalid Consent", IF(AND(D2532="Legitimate Interest (GDPR Art. 6(1)(f))", L2532=""), "Gap - Missing LIA", IF(AND(G2532="Yes", H2532=""), "Gap - Missing Art. 9 Basis", IF(OR(I2532="Invalid - Not Freely Given", I2532="Invalid - Not Specific", I2532="Invalid - Not Informed", I2532="Invalid - Ambiguous"), "Gap - Invalid Consent", "Compliant")))))</f>
        <v/>
      </c>
      <c r="O2532" s="7" t="n"/>
    </row>
    <row r="2533">
      <c r="A2533" s="7" t="n"/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>
        <f>IF(D2533="Legitimate Interest (GDPR Art. 6(1)(f))", "Yes / Required (Sheet 3)", "")</f>
        <v/>
      </c>
      <c r="L2533" s="7" t="n"/>
      <c r="M2533" s="7" t="n"/>
      <c r="N2533">
        <f>IF(D2533="", "Gap - No Legal Basis", IF(AND(D2533="Consent (GDPR Art. 6(1)(a))", I2533="Not Captured"), "Gap - Invalid Consent", IF(AND(D2533="Legitimate Interest (GDPR Art. 6(1)(f))", L2533=""), "Gap - Missing LIA", IF(AND(G2533="Yes", H2533=""), "Gap - Missing Art. 9 Basis", IF(OR(I2533="Invalid - Not Freely Given", I2533="Invalid - Not Specific", I2533="Invalid - Not Informed", I2533="Invalid - Ambiguous"), "Gap - Invalid Consent", "Compliant")))))</f>
        <v/>
      </c>
      <c r="O2533" s="7" t="n"/>
    </row>
    <row r="2534">
      <c r="A2534" s="7" t="n"/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>
        <f>IF(D2534="Legitimate Interest (GDPR Art. 6(1)(f))", "Yes / Required (Sheet 3)", "")</f>
        <v/>
      </c>
      <c r="L2534" s="7" t="n"/>
      <c r="M2534" s="7" t="n"/>
      <c r="N2534">
        <f>IF(D2534="", "Gap - No Legal Basis", IF(AND(D2534="Consent (GDPR Art. 6(1)(a))", I2534="Not Captured"), "Gap - Invalid Consent", IF(AND(D2534="Legitimate Interest (GDPR Art. 6(1)(f))", L2534=""), "Gap - Missing LIA", IF(AND(G2534="Yes", H2534=""), "Gap - Missing Art. 9 Basis", IF(OR(I2534="Invalid - Not Freely Given", I2534="Invalid - Not Specific", I2534="Invalid - Not Informed", I2534="Invalid - Ambiguous"), "Gap - Invalid Consent", "Compliant")))))</f>
        <v/>
      </c>
      <c r="O2534" s="7" t="n"/>
    </row>
    <row r="2535">
      <c r="A2535" s="7" t="n"/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>
        <f>IF(D2535="Legitimate Interest (GDPR Art. 6(1)(f))", "Yes / Required (Sheet 3)", "")</f>
        <v/>
      </c>
      <c r="L2535" s="7" t="n"/>
      <c r="M2535" s="7" t="n"/>
      <c r="N2535">
        <f>IF(D2535="", "Gap - No Legal Basis", IF(AND(D2535="Consent (GDPR Art. 6(1)(a))", I2535="Not Captured"), "Gap - Invalid Consent", IF(AND(D2535="Legitimate Interest (GDPR Art. 6(1)(f))", L2535=""), "Gap - Missing LIA", IF(AND(G2535="Yes", H2535=""), "Gap - Missing Art. 9 Basis", IF(OR(I2535="Invalid - Not Freely Given", I2535="Invalid - Not Specific", I2535="Invalid - Not Informed", I2535="Invalid - Ambiguous"), "Gap - Invalid Consent", "Compliant")))))</f>
        <v/>
      </c>
      <c r="O2535" s="7" t="n"/>
    </row>
    <row r="2536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>
        <f>IF(D2536="Legitimate Interest (GDPR Art. 6(1)(f))", "Yes / Required (Sheet 3)", "")</f>
        <v/>
      </c>
      <c r="L2536" s="7" t="n"/>
      <c r="M2536" s="7" t="n"/>
      <c r="N2536">
        <f>IF(D2536="", "Gap - No Legal Basis", IF(AND(D2536="Consent (GDPR Art. 6(1)(a))", I2536="Not Captured"), "Gap - Invalid Consent", IF(AND(D2536="Legitimate Interest (GDPR Art. 6(1)(f))", L2536=""), "Gap - Missing LIA", IF(AND(G2536="Yes", H2536=""), "Gap - Missing Art. 9 Basis", IF(OR(I2536="Invalid - Not Freely Given", I2536="Invalid - Not Specific", I2536="Invalid - Not Informed", I2536="Invalid - Ambiguous"), "Gap - Invalid Consent", "Compliant")))))</f>
        <v/>
      </c>
      <c r="O2536" s="7" t="n"/>
    </row>
    <row r="2537">
      <c r="A2537" s="7" t="n"/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>
        <f>IF(D2537="Legitimate Interest (GDPR Art. 6(1)(f))", "Yes / Required (Sheet 3)", "")</f>
        <v/>
      </c>
      <c r="L2537" s="7" t="n"/>
      <c r="M2537" s="7" t="n"/>
      <c r="N2537">
        <f>IF(D2537="", "Gap - No Legal Basis", IF(AND(D2537="Consent (GDPR Art. 6(1)(a))", I2537="Not Captured"), "Gap - Invalid Consent", IF(AND(D2537="Legitimate Interest (GDPR Art. 6(1)(f))", L2537=""), "Gap - Missing LIA", IF(AND(G2537="Yes", H2537=""), "Gap - Missing Art. 9 Basis", IF(OR(I2537="Invalid - Not Freely Given", I2537="Invalid - Not Specific", I2537="Invalid - Not Informed", I2537="Invalid - Ambiguous"), "Gap - Invalid Consent", "Compliant")))))</f>
        <v/>
      </c>
      <c r="O2537" s="7" t="n"/>
    </row>
    <row r="2538">
      <c r="A2538" s="7" t="n"/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>
        <f>IF(D2538="Legitimate Interest (GDPR Art. 6(1)(f))", "Yes / Required (Sheet 3)", "")</f>
        <v/>
      </c>
      <c r="L2538" s="7" t="n"/>
      <c r="M2538" s="7" t="n"/>
      <c r="N2538">
        <f>IF(D2538="", "Gap - No Legal Basis", IF(AND(D2538="Consent (GDPR Art. 6(1)(a))", I2538="Not Captured"), "Gap - Invalid Consent", IF(AND(D2538="Legitimate Interest (GDPR Art. 6(1)(f))", L2538=""), "Gap - Missing LIA", IF(AND(G2538="Yes", H2538=""), "Gap - Missing Art. 9 Basis", IF(OR(I2538="Invalid - Not Freely Given", I2538="Invalid - Not Specific", I2538="Invalid - Not Informed", I2538="Invalid - Ambiguous"), "Gap - Invalid Consent", "Compliant")))))</f>
        <v/>
      </c>
      <c r="O2538" s="7" t="n"/>
    </row>
    <row r="2539">
      <c r="A2539" s="7" t="n"/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>
        <f>IF(D2539="Legitimate Interest (GDPR Art. 6(1)(f))", "Yes / Required (Sheet 3)", "")</f>
        <v/>
      </c>
      <c r="L2539" s="7" t="n"/>
      <c r="M2539" s="7" t="n"/>
      <c r="N2539">
        <f>IF(D2539="", "Gap - No Legal Basis", IF(AND(D2539="Consent (GDPR Art. 6(1)(a))", I2539="Not Captured"), "Gap - Invalid Consent", IF(AND(D2539="Legitimate Interest (GDPR Art. 6(1)(f))", L2539=""), "Gap - Missing LIA", IF(AND(G2539="Yes", H2539=""), "Gap - Missing Art. 9 Basis", IF(OR(I2539="Invalid - Not Freely Given", I2539="Invalid - Not Specific", I2539="Invalid - Not Informed", I2539="Invalid - Ambiguous"), "Gap - Invalid Consent", "Compliant")))))</f>
        <v/>
      </c>
      <c r="O2539" s="7" t="n"/>
    </row>
    <row r="2540">
      <c r="A2540" s="7" t="n"/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>
        <f>IF(D2540="Legitimate Interest (GDPR Art. 6(1)(f))", "Yes / Required (Sheet 3)", "")</f>
        <v/>
      </c>
      <c r="L2540" s="7" t="n"/>
      <c r="M2540" s="7" t="n"/>
      <c r="N2540">
        <f>IF(D2540="", "Gap - No Legal Basis", IF(AND(D2540="Consent (GDPR Art. 6(1)(a))", I2540="Not Captured"), "Gap - Invalid Consent", IF(AND(D2540="Legitimate Interest (GDPR Art. 6(1)(f))", L2540=""), "Gap - Missing LIA", IF(AND(G2540="Yes", H2540=""), "Gap - Missing Art. 9 Basis", IF(OR(I2540="Invalid - Not Freely Given", I2540="Invalid - Not Specific", I2540="Invalid - Not Informed", I2540="Invalid - Ambiguous"), "Gap - Invalid Consent", "Compliant")))))</f>
        <v/>
      </c>
      <c r="O2540" s="7" t="n"/>
    </row>
    <row r="2541">
      <c r="A2541" s="7" t="n"/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>
        <f>IF(D2541="Legitimate Interest (GDPR Art. 6(1)(f))", "Yes / Required (Sheet 3)", "")</f>
        <v/>
      </c>
      <c r="L2541" s="7" t="n"/>
      <c r="M2541" s="7" t="n"/>
      <c r="N2541">
        <f>IF(D2541="", "Gap - No Legal Basis", IF(AND(D2541="Consent (GDPR Art. 6(1)(a))", I2541="Not Captured"), "Gap - Invalid Consent", IF(AND(D2541="Legitimate Interest (GDPR Art. 6(1)(f))", L2541=""), "Gap - Missing LIA", IF(AND(G2541="Yes", H2541=""), "Gap - Missing Art. 9 Basis", IF(OR(I2541="Invalid - Not Freely Given", I2541="Invalid - Not Specific", I2541="Invalid - Not Informed", I2541="Invalid - Ambiguous"), "Gap - Invalid Consent", "Compliant")))))</f>
        <v/>
      </c>
      <c r="O2541" s="7" t="n"/>
    </row>
    <row r="2542">
      <c r="A2542" s="7" t="n"/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>
        <f>IF(D2542="Legitimate Interest (GDPR Art. 6(1)(f))", "Yes / Required (Sheet 3)", "")</f>
        <v/>
      </c>
      <c r="L2542" s="7" t="n"/>
      <c r="M2542" s="7" t="n"/>
      <c r="N2542">
        <f>IF(D2542="", "Gap - No Legal Basis", IF(AND(D2542="Consent (GDPR Art. 6(1)(a))", I2542="Not Captured"), "Gap - Invalid Consent", IF(AND(D2542="Legitimate Interest (GDPR Art. 6(1)(f))", L2542=""), "Gap - Missing LIA", IF(AND(G2542="Yes", H2542=""), "Gap - Missing Art. 9 Basis", IF(OR(I2542="Invalid - Not Freely Given", I2542="Invalid - Not Specific", I2542="Invalid - Not Informed", I2542="Invalid - Ambiguous"), "Gap - Invalid Consent", "Compliant")))))</f>
        <v/>
      </c>
      <c r="O2542" s="7" t="n"/>
    </row>
    <row r="2543">
      <c r="A2543" s="7" t="n"/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>
        <f>IF(D2543="Legitimate Interest (GDPR Art. 6(1)(f))", "Yes / Required (Sheet 3)", "")</f>
        <v/>
      </c>
      <c r="L2543" s="7" t="n"/>
      <c r="M2543" s="7" t="n"/>
      <c r="N2543">
        <f>IF(D2543="", "Gap - No Legal Basis", IF(AND(D2543="Consent (GDPR Art. 6(1)(a))", I2543="Not Captured"), "Gap - Invalid Consent", IF(AND(D2543="Legitimate Interest (GDPR Art. 6(1)(f))", L2543=""), "Gap - Missing LIA", IF(AND(G2543="Yes", H2543=""), "Gap - Missing Art. 9 Basis", IF(OR(I2543="Invalid - Not Freely Given", I2543="Invalid - Not Specific", I2543="Invalid - Not Informed", I2543="Invalid - Ambiguous"), "Gap - Invalid Consent", "Compliant")))))</f>
        <v/>
      </c>
      <c r="O2543" s="7" t="n"/>
    </row>
    <row r="2544">
      <c r="A2544" s="7" t="n"/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>
        <f>IF(D2544="Legitimate Interest (GDPR Art. 6(1)(f))", "Yes / Required (Sheet 3)", "")</f>
        <v/>
      </c>
      <c r="L2544" s="7" t="n"/>
      <c r="M2544" s="7" t="n"/>
      <c r="N2544">
        <f>IF(D2544="", "Gap - No Legal Basis", IF(AND(D2544="Consent (GDPR Art. 6(1)(a))", I2544="Not Captured"), "Gap - Invalid Consent", IF(AND(D2544="Legitimate Interest (GDPR Art. 6(1)(f))", L2544=""), "Gap - Missing LIA", IF(AND(G2544="Yes", H2544=""), "Gap - Missing Art. 9 Basis", IF(OR(I2544="Invalid - Not Freely Given", I2544="Invalid - Not Specific", I2544="Invalid - Not Informed", I2544="Invalid - Ambiguous"), "Gap - Invalid Consent", "Compliant")))))</f>
        <v/>
      </c>
      <c r="O2544" s="7" t="n"/>
    </row>
    <row r="2545">
      <c r="A2545" s="7" t="n"/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>
        <f>IF(D2545="Legitimate Interest (GDPR Art. 6(1)(f))", "Yes / Required (Sheet 3)", "")</f>
        <v/>
      </c>
      <c r="L2545" s="7" t="n"/>
      <c r="M2545" s="7" t="n"/>
      <c r="N2545">
        <f>IF(D2545="", "Gap - No Legal Basis", IF(AND(D2545="Consent (GDPR Art. 6(1)(a))", I2545="Not Captured"), "Gap - Invalid Consent", IF(AND(D2545="Legitimate Interest (GDPR Art. 6(1)(f))", L2545=""), "Gap - Missing LIA", IF(AND(G2545="Yes", H2545=""), "Gap - Missing Art. 9 Basis", IF(OR(I2545="Invalid - Not Freely Given", I2545="Invalid - Not Specific", I2545="Invalid - Not Informed", I2545="Invalid - Ambiguous"), "Gap - Invalid Consent", "Compliant")))))</f>
        <v/>
      </c>
      <c r="O2545" s="7" t="n"/>
    </row>
    <row r="2546">
      <c r="A2546" s="7" t="n"/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>
        <f>IF(D2546="Legitimate Interest (GDPR Art. 6(1)(f))", "Yes / Required (Sheet 3)", "")</f>
        <v/>
      </c>
      <c r="L2546" s="7" t="n"/>
      <c r="M2546" s="7" t="n"/>
      <c r="N2546">
        <f>IF(D2546="", "Gap - No Legal Basis", IF(AND(D2546="Consent (GDPR Art. 6(1)(a))", I2546="Not Captured"), "Gap - Invalid Consent", IF(AND(D2546="Legitimate Interest (GDPR Art. 6(1)(f))", L2546=""), "Gap - Missing LIA", IF(AND(G2546="Yes", H2546=""), "Gap - Missing Art. 9 Basis", IF(OR(I2546="Invalid - Not Freely Given", I2546="Invalid - Not Specific", I2546="Invalid - Not Informed", I2546="Invalid - Ambiguous"), "Gap - Invalid Consent", "Compliant")))))</f>
        <v/>
      </c>
      <c r="O2546" s="7" t="n"/>
    </row>
    <row r="2547">
      <c r="A2547" s="7" t="n"/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>
        <f>IF(D2547="Legitimate Interest (GDPR Art. 6(1)(f))", "Yes / Required (Sheet 3)", "")</f>
        <v/>
      </c>
      <c r="L2547" s="7" t="n"/>
      <c r="M2547" s="7" t="n"/>
      <c r="N2547">
        <f>IF(D2547="", "Gap - No Legal Basis", IF(AND(D2547="Consent (GDPR Art. 6(1)(a))", I2547="Not Captured"), "Gap - Invalid Consent", IF(AND(D2547="Legitimate Interest (GDPR Art. 6(1)(f))", L2547=""), "Gap - Missing LIA", IF(AND(G2547="Yes", H2547=""), "Gap - Missing Art. 9 Basis", IF(OR(I2547="Invalid - Not Freely Given", I2547="Invalid - Not Specific", I2547="Invalid - Not Informed", I2547="Invalid - Ambiguous"), "Gap - Invalid Consent", "Compliant")))))</f>
        <v/>
      </c>
      <c r="O2547" s="7" t="n"/>
    </row>
    <row r="2548">
      <c r="A2548" s="7" t="n"/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>
        <f>IF(D2548="Legitimate Interest (GDPR Art. 6(1)(f))", "Yes / Required (Sheet 3)", "")</f>
        <v/>
      </c>
      <c r="L2548" s="7" t="n"/>
      <c r="M2548" s="7" t="n"/>
      <c r="N2548">
        <f>IF(D2548="", "Gap - No Legal Basis", IF(AND(D2548="Consent (GDPR Art. 6(1)(a))", I2548="Not Captured"), "Gap - Invalid Consent", IF(AND(D2548="Legitimate Interest (GDPR Art. 6(1)(f))", L2548=""), "Gap - Missing LIA", IF(AND(G2548="Yes", H2548=""), "Gap - Missing Art. 9 Basis", IF(OR(I2548="Invalid - Not Freely Given", I2548="Invalid - Not Specific", I2548="Invalid - Not Informed", I2548="Invalid - Ambiguous"), "Gap - Invalid Consent", "Compliant")))))</f>
        <v/>
      </c>
      <c r="O2548" s="7" t="n"/>
    </row>
    <row r="2549">
      <c r="A2549" s="7" t="n"/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>
        <f>IF(D2549="Legitimate Interest (GDPR Art. 6(1)(f))", "Yes / Required (Sheet 3)", "")</f>
        <v/>
      </c>
      <c r="L2549" s="7" t="n"/>
      <c r="M2549" s="7" t="n"/>
      <c r="N2549">
        <f>IF(D2549="", "Gap - No Legal Basis", IF(AND(D2549="Consent (GDPR Art. 6(1)(a))", I2549="Not Captured"), "Gap - Invalid Consent", IF(AND(D2549="Legitimate Interest (GDPR Art. 6(1)(f))", L2549=""), "Gap - Missing LIA", IF(AND(G2549="Yes", H2549=""), "Gap - Missing Art. 9 Basis", IF(OR(I2549="Invalid - Not Freely Given", I2549="Invalid - Not Specific", I2549="Invalid - Not Informed", I2549="Invalid - Ambiguous"), "Gap - Invalid Consent", "Compliant")))))</f>
        <v/>
      </c>
      <c r="O2549" s="7" t="n"/>
    </row>
    <row r="2550">
      <c r="A2550" s="7" t="n"/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>
        <f>IF(D2550="Legitimate Interest (GDPR Art. 6(1)(f))", "Yes / Required (Sheet 3)", "")</f>
        <v/>
      </c>
      <c r="L2550" s="7" t="n"/>
      <c r="M2550" s="7" t="n"/>
      <c r="N2550">
        <f>IF(D2550="", "Gap - No Legal Basis", IF(AND(D2550="Consent (GDPR Art. 6(1)(a))", I2550="Not Captured"), "Gap - Invalid Consent", IF(AND(D2550="Legitimate Interest (GDPR Art. 6(1)(f))", L2550=""), "Gap - Missing LIA", IF(AND(G2550="Yes", H2550=""), "Gap - Missing Art. 9 Basis", IF(OR(I2550="Invalid - Not Freely Given", I2550="Invalid - Not Specific", I2550="Invalid - Not Informed", I2550="Invalid - Ambiguous"), "Gap - Invalid Consent", "Compliant")))))</f>
        <v/>
      </c>
      <c r="O2550" s="7" t="n"/>
    </row>
    <row r="2551">
      <c r="A2551" s="7" t="n"/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>
        <f>IF(D2551="Legitimate Interest (GDPR Art. 6(1)(f))", "Yes / Required (Sheet 3)", "")</f>
        <v/>
      </c>
      <c r="L2551" s="7" t="n"/>
      <c r="M2551" s="7" t="n"/>
      <c r="N2551">
        <f>IF(D2551="", "Gap - No Legal Basis", IF(AND(D2551="Consent (GDPR Art. 6(1)(a))", I2551="Not Captured"), "Gap - Invalid Consent", IF(AND(D2551="Legitimate Interest (GDPR Art. 6(1)(f))", L2551=""), "Gap - Missing LIA", IF(AND(G2551="Yes", H2551=""), "Gap - Missing Art. 9 Basis", IF(OR(I2551="Invalid - Not Freely Given", I2551="Invalid - Not Specific", I2551="Invalid - Not Informed", I2551="Invalid - Ambiguous"), "Gap - Invalid Consent", "Compliant")))))</f>
        <v/>
      </c>
      <c r="O2551" s="7" t="n"/>
    </row>
    <row r="2552">
      <c r="A2552" s="7" t="n"/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>
        <f>IF(D2552="Legitimate Interest (GDPR Art. 6(1)(f))", "Yes / Required (Sheet 3)", "")</f>
        <v/>
      </c>
      <c r="L2552" s="7" t="n"/>
      <c r="M2552" s="7" t="n"/>
      <c r="N2552">
        <f>IF(D2552="", "Gap - No Legal Basis", IF(AND(D2552="Consent (GDPR Art. 6(1)(a))", I2552="Not Captured"), "Gap - Invalid Consent", IF(AND(D2552="Legitimate Interest (GDPR Art. 6(1)(f))", L2552=""), "Gap - Missing LIA", IF(AND(G2552="Yes", H2552=""), "Gap - Missing Art. 9 Basis", IF(OR(I2552="Invalid - Not Freely Given", I2552="Invalid - Not Specific", I2552="Invalid - Not Informed", I2552="Invalid - Ambiguous"), "Gap - Invalid Consent", "Compliant")))))</f>
        <v/>
      </c>
      <c r="O2552" s="7" t="n"/>
    </row>
    <row r="2553">
      <c r="A2553" s="7" t="n"/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>
        <f>IF(D2553="Legitimate Interest (GDPR Art. 6(1)(f))", "Yes / Required (Sheet 3)", "")</f>
        <v/>
      </c>
      <c r="L2553" s="7" t="n"/>
      <c r="M2553" s="7" t="n"/>
      <c r="N2553">
        <f>IF(D2553="", "Gap - No Legal Basis", IF(AND(D2553="Consent (GDPR Art. 6(1)(a))", I2553="Not Captured"), "Gap - Invalid Consent", IF(AND(D2553="Legitimate Interest (GDPR Art. 6(1)(f))", L2553=""), "Gap - Missing LIA", IF(AND(G2553="Yes", H2553=""), "Gap - Missing Art. 9 Basis", IF(OR(I2553="Invalid - Not Freely Given", I2553="Invalid - Not Specific", I2553="Invalid - Not Informed", I2553="Invalid - Ambiguous"), "Gap - Invalid Consent", "Compliant")))))</f>
        <v/>
      </c>
      <c r="O2553" s="7" t="n"/>
    </row>
    <row r="2554">
      <c r="A2554" s="7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>
        <f>IF(D2554="Legitimate Interest (GDPR Art. 6(1)(f))", "Yes / Required (Sheet 3)", "")</f>
        <v/>
      </c>
      <c r="L2554" s="7" t="n"/>
      <c r="M2554" s="7" t="n"/>
      <c r="N2554">
        <f>IF(D2554="", "Gap - No Legal Basis", IF(AND(D2554="Consent (GDPR Art. 6(1)(a))", I2554="Not Captured"), "Gap - Invalid Consent", IF(AND(D2554="Legitimate Interest (GDPR Art. 6(1)(f))", L2554=""), "Gap - Missing LIA", IF(AND(G2554="Yes", H2554=""), "Gap - Missing Art. 9 Basis", IF(OR(I2554="Invalid - Not Freely Given", I2554="Invalid - Not Specific", I2554="Invalid - Not Informed", I2554="Invalid - Ambiguous"), "Gap - Invalid Consent", "Compliant")))))</f>
        <v/>
      </c>
      <c r="O2554" s="7" t="n"/>
    </row>
    <row r="2555">
      <c r="A2555" s="7" t="n"/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>
        <f>IF(D2555="Legitimate Interest (GDPR Art. 6(1)(f))", "Yes / Required (Sheet 3)", "")</f>
        <v/>
      </c>
      <c r="L2555" s="7" t="n"/>
      <c r="M2555" s="7" t="n"/>
      <c r="N2555">
        <f>IF(D2555="", "Gap - No Legal Basis", IF(AND(D2555="Consent (GDPR Art. 6(1)(a))", I2555="Not Captured"), "Gap - Invalid Consent", IF(AND(D2555="Legitimate Interest (GDPR Art. 6(1)(f))", L2555=""), "Gap - Missing LIA", IF(AND(G2555="Yes", H2555=""), "Gap - Missing Art. 9 Basis", IF(OR(I2555="Invalid - Not Freely Given", I2555="Invalid - Not Specific", I2555="Invalid - Not Informed", I2555="Invalid - Ambiguous"), "Gap - Invalid Consent", "Compliant")))))</f>
        <v/>
      </c>
      <c r="O2555" s="7" t="n"/>
    </row>
    <row r="2556">
      <c r="A2556" s="7" t="n"/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>
        <f>IF(D2556="Legitimate Interest (GDPR Art. 6(1)(f))", "Yes / Required (Sheet 3)", "")</f>
        <v/>
      </c>
      <c r="L2556" s="7" t="n"/>
      <c r="M2556" s="7" t="n"/>
      <c r="N2556">
        <f>IF(D2556="", "Gap - No Legal Basis", IF(AND(D2556="Consent (GDPR Art. 6(1)(a))", I2556="Not Captured"), "Gap - Invalid Consent", IF(AND(D2556="Legitimate Interest (GDPR Art. 6(1)(f))", L2556=""), "Gap - Missing LIA", IF(AND(G2556="Yes", H2556=""), "Gap - Missing Art. 9 Basis", IF(OR(I2556="Invalid - Not Freely Given", I2556="Invalid - Not Specific", I2556="Invalid - Not Informed", I2556="Invalid - Ambiguous"), "Gap - Invalid Consent", "Compliant")))))</f>
        <v/>
      </c>
      <c r="O2556" s="7" t="n"/>
    </row>
    <row r="2557">
      <c r="A2557" s="7" t="n"/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>
        <f>IF(D2557="Legitimate Interest (GDPR Art. 6(1)(f))", "Yes / Required (Sheet 3)", "")</f>
        <v/>
      </c>
      <c r="L2557" s="7" t="n"/>
      <c r="M2557" s="7" t="n"/>
      <c r="N2557">
        <f>IF(D2557="", "Gap - No Legal Basis", IF(AND(D2557="Consent (GDPR Art. 6(1)(a))", I2557="Not Captured"), "Gap - Invalid Consent", IF(AND(D2557="Legitimate Interest (GDPR Art. 6(1)(f))", L2557=""), "Gap - Missing LIA", IF(AND(G2557="Yes", H2557=""), "Gap - Missing Art. 9 Basis", IF(OR(I2557="Invalid - Not Freely Given", I2557="Invalid - Not Specific", I2557="Invalid - Not Informed", I2557="Invalid - Ambiguous"), "Gap - Invalid Consent", "Compliant")))))</f>
        <v/>
      </c>
      <c r="O2557" s="7" t="n"/>
    </row>
    <row r="2558">
      <c r="A2558" s="7" t="n"/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>
        <f>IF(D2558="Legitimate Interest (GDPR Art. 6(1)(f))", "Yes / Required (Sheet 3)", "")</f>
        <v/>
      </c>
      <c r="L2558" s="7" t="n"/>
      <c r="M2558" s="7" t="n"/>
      <c r="N2558">
        <f>IF(D2558="", "Gap - No Legal Basis", IF(AND(D2558="Consent (GDPR Art. 6(1)(a))", I2558="Not Captured"), "Gap - Invalid Consent", IF(AND(D2558="Legitimate Interest (GDPR Art. 6(1)(f))", L2558=""), "Gap - Missing LIA", IF(AND(G2558="Yes", H2558=""), "Gap - Missing Art. 9 Basis", IF(OR(I2558="Invalid - Not Freely Given", I2558="Invalid - Not Specific", I2558="Invalid - Not Informed", I2558="Invalid - Ambiguous"), "Gap - Invalid Consent", "Compliant")))))</f>
        <v/>
      </c>
      <c r="O2558" s="7" t="n"/>
    </row>
    <row r="2559">
      <c r="A2559" s="7" t="n"/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>
        <f>IF(D2559="Legitimate Interest (GDPR Art. 6(1)(f))", "Yes / Required (Sheet 3)", "")</f>
        <v/>
      </c>
      <c r="L2559" s="7" t="n"/>
      <c r="M2559" s="7" t="n"/>
      <c r="N2559">
        <f>IF(D2559="", "Gap - No Legal Basis", IF(AND(D2559="Consent (GDPR Art. 6(1)(a))", I2559="Not Captured"), "Gap - Invalid Consent", IF(AND(D2559="Legitimate Interest (GDPR Art. 6(1)(f))", L2559=""), "Gap - Missing LIA", IF(AND(G2559="Yes", H2559=""), "Gap - Missing Art. 9 Basis", IF(OR(I2559="Invalid - Not Freely Given", I2559="Invalid - Not Specific", I2559="Invalid - Not Informed", I2559="Invalid - Ambiguous"), "Gap - Invalid Consent", "Compliant")))))</f>
        <v/>
      </c>
      <c r="O2559" s="7" t="n"/>
    </row>
    <row r="2560">
      <c r="A2560" s="7" t="n"/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>
        <f>IF(D2560="Legitimate Interest (GDPR Art. 6(1)(f))", "Yes / Required (Sheet 3)", "")</f>
        <v/>
      </c>
      <c r="L2560" s="7" t="n"/>
      <c r="M2560" s="7" t="n"/>
      <c r="N2560">
        <f>IF(D2560="", "Gap - No Legal Basis", IF(AND(D2560="Consent (GDPR Art. 6(1)(a))", I2560="Not Captured"), "Gap - Invalid Consent", IF(AND(D2560="Legitimate Interest (GDPR Art. 6(1)(f))", L2560=""), "Gap - Missing LIA", IF(AND(G2560="Yes", H2560=""), "Gap - Missing Art. 9 Basis", IF(OR(I2560="Invalid - Not Freely Given", I2560="Invalid - Not Specific", I2560="Invalid - Not Informed", I2560="Invalid - Ambiguous"), "Gap - Invalid Consent", "Compliant")))))</f>
        <v/>
      </c>
      <c r="O2560" s="7" t="n"/>
    </row>
    <row r="2561">
      <c r="A2561" s="7" t="n"/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>
        <f>IF(D2561="Legitimate Interest (GDPR Art. 6(1)(f))", "Yes / Required (Sheet 3)", "")</f>
        <v/>
      </c>
      <c r="L2561" s="7" t="n"/>
      <c r="M2561" s="7" t="n"/>
      <c r="N2561">
        <f>IF(D2561="", "Gap - No Legal Basis", IF(AND(D2561="Consent (GDPR Art. 6(1)(a))", I2561="Not Captured"), "Gap - Invalid Consent", IF(AND(D2561="Legitimate Interest (GDPR Art. 6(1)(f))", L2561=""), "Gap - Missing LIA", IF(AND(G2561="Yes", H2561=""), "Gap - Missing Art. 9 Basis", IF(OR(I2561="Invalid - Not Freely Given", I2561="Invalid - Not Specific", I2561="Invalid - Not Informed", I2561="Invalid - Ambiguous"), "Gap - Invalid Consent", "Compliant")))))</f>
        <v/>
      </c>
      <c r="O2561" s="7" t="n"/>
    </row>
    <row r="2562">
      <c r="A2562" s="7" t="n"/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>
        <f>IF(D2562="Legitimate Interest (GDPR Art. 6(1)(f))", "Yes / Required (Sheet 3)", "")</f>
        <v/>
      </c>
      <c r="L2562" s="7" t="n"/>
      <c r="M2562" s="7" t="n"/>
      <c r="N2562">
        <f>IF(D2562="", "Gap - No Legal Basis", IF(AND(D2562="Consent (GDPR Art. 6(1)(a))", I2562="Not Captured"), "Gap - Invalid Consent", IF(AND(D2562="Legitimate Interest (GDPR Art. 6(1)(f))", L2562=""), "Gap - Missing LIA", IF(AND(G2562="Yes", H2562=""), "Gap - Missing Art. 9 Basis", IF(OR(I2562="Invalid - Not Freely Given", I2562="Invalid - Not Specific", I2562="Invalid - Not Informed", I2562="Invalid - Ambiguous"), "Gap - Invalid Consent", "Compliant")))))</f>
        <v/>
      </c>
      <c r="O2562" s="7" t="n"/>
    </row>
    <row r="2563">
      <c r="A2563" s="7" t="n"/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>
        <f>IF(D2563="Legitimate Interest (GDPR Art. 6(1)(f))", "Yes / Required (Sheet 3)", "")</f>
        <v/>
      </c>
      <c r="L2563" s="7" t="n"/>
      <c r="M2563" s="7" t="n"/>
      <c r="N2563">
        <f>IF(D2563="", "Gap - No Legal Basis", IF(AND(D2563="Consent (GDPR Art. 6(1)(a))", I2563="Not Captured"), "Gap - Invalid Consent", IF(AND(D2563="Legitimate Interest (GDPR Art. 6(1)(f))", L2563=""), "Gap - Missing LIA", IF(AND(G2563="Yes", H2563=""), "Gap - Missing Art. 9 Basis", IF(OR(I2563="Invalid - Not Freely Given", I2563="Invalid - Not Specific", I2563="Invalid - Not Informed", I2563="Invalid - Ambiguous"), "Gap - Invalid Consent", "Compliant")))))</f>
        <v/>
      </c>
      <c r="O2563" s="7" t="n"/>
    </row>
    <row r="2564">
      <c r="A2564" s="7" t="n"/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>
        <f>IF(D2564="Legitimate Interest (GDPR Art. 6(1)(f))", "Yes / Required (Sheet 3)", "")</f>
        <v/>
      </c>
      <c r="L2564" s="7" t="n"/>
      <c r="M2564" s="7" t="n"/>
      <c r="N2564">
        <f>IF(D2564="", "Gap - No Legal Basis", IF(AND(D2564="Consent (GDPR Art. 6(1)(a))", I2564="Not Captured"), "Gap - Invalid Consent", IF(AND(D2564="Legitimate Interest (GDPR Art. 6(1)(f))", L2564=""), "Gap - Missing LIA", IF(AND(G2564="Yes", H2564=""), "Gap - Missing Art. 9 Basis", IF(OR(I2564="Invalid - Not Freely Given", I2564="Invalid - Not Specific", I2564="Invalid - Not Informed", I2564="Invalid - Ambiguous"), "Gap - Invalid Consent", "Compliant")))))</f>
        <v/>
      </c>
      <c r="O2564" s="7" t="n"/>
    </row>
    <row r="2565">
      <c r="A2565" s="7" t="n"/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>
        <f>IF(D2565="Legitimate Interest (GDPR Art. 6(1)(f))", "Yes / Required (Sheet 3)", "")</f>
        <v/>
      </c>
      <c r="L2565" s="7" t="n"/>
      <c r="M2565" s="7" t="n"/>
      <c r="N2565">
        <f>IF(D2565="", "Gap - No Legal Basis", IF(AND(D2565="Consent (GDPR Art. 6(1)(a))", I2565="Not Captured"), "Gap - Invalid Consent", IF(AND(D2565="Legitimate Interest (GDPR Art. 6(1)(f))", L2565=""), "Gap - Missing LIA", IF(AND(G2565="Yes", H2565=""), "Gap - Missing Art. 9 Basis", IF(OR(I2565="Invalid - Not Freely Given", I2565="Invalid - Not Specific", I2565="Invalid - Not Informed", I2565="Invalid - Ambiguous"), "Gap - Invalid Consent", "Compliant")))))</f>
        <v/>
      </c>
      <c r="O2565" s="7" t="n"/>
    </row>
    <row r="2566">
      <c r="A2566" s="7" t="n"/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>
        <f>IF(D2566="Legitimate Interest (GDPR Art. 6(1)(f))", "Yes / Required (Sheet 3)", "")</f>
        <v/>
      </c>
      <c r="L2566" s="7" t="n"/>
      <c r="M2566" s="7" t="n"/>
      <c r="N2566">
        <f>IF(D2566="", "Gap - No Legal Basis", IF(AND(D2566="Consent (GDPR Art. 6(1)(a))", I2566="Not Captured"), "Gap - Invalid Consent", IF(AND(D2566="Legitimate Interest (GDPR Art. 6(1)(f))", L2566=""), "Gap - Missing LIA", IF(AND(G2566="Yes", H2566=""), "Gap - Missing Art. 9 Basis", IF(OR(I2566="Invalid - Not Freely Given", I2566="Invalid - Not Specific", I2566="Invalid - Not Informed", I2566="Invalid - Ambiguous"), "Gap - Invalid Consent", "Compliant")))))</f>
        <v/>
      </c>
      <c r="O2566" s="7" t="n"/>
    </row>
    <row r="2567">
      <c r="A2567" s="7" t="n"/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>
        <f>IF(D2567="Legitimate Interest (GDPR Art. 6(1)(f))", "Yes / Required (Sheet 3)", "")</f>
        <v/>
      </c>
      <c r="L2567" s="7" t="n"/>
      <c r="M2567" s="7" t="n"/>
      <c r="N2567">
        <f>IF(D2567="", "Gap - No Legal Basis", IF(AND(D2567="Consent (GDPR Art. 6(1)(a))", I2567="Not Captured"), "Gap - Invalid Consent", IF(AND(D2567="Legitimate Interest (GDPR Art. 6(1)(f))", L2567=""), "Gap - Missing LIA", IF(AND(G2567="Yes", H2567=""), "Gap - Missing Art. 9 Basis", IF(OR(I2567="Invalid - Not Freely Given", I2567="Invalid - Not Specific", I2567="Invalid - Not Informed", I2567="Invalid - Ambiguous"), "Gap - Invalid Consent", "Compliant")))))</f>
        <v/>
      </c>
      <c r="O2567" s="7" t="n"/>
    </row>
    <row r="2568">
      <c r="A2568" s="7" t="n"/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>
        <f>IF(D2568="Legitimate Interest (GDPR Art. 6(1)(f))", "Yes / Required (Sheet 3)", "")</f>
        <v/>
      </c>
      <c r="L2568" s="7" t="n"/>
      <c r="M2568" s="7" t="n"/>
      <c r="N2568">
        <f>IF(D2568="", "Gap - No Legal Basis", IF(AND(D2568="Consent (GDPR Art. 6(1)(a))", I2568="Not Captured"), "Gap - Invalid Consent", IF(AND(D2568="Legitimate Interest (GDPR Art. 6(1)(f))", L2568=""), "Gap - Missing LIA", IF(AND(G2568="Yes", H2568=""), "Gap - Missing Art. 9 Basis", IF(OR(I2568="Invalid - Not Freely Given", I2568="Invalid - Not Specific", I2568="Invalid - Not Informed", I2568="Invalid - Ambiguous"), "Gap - Invalid Consent", "Compliant")))))</f>
        <v/>
      </c>
      <c r="O2568" s="7" t="n"/>
    </row>
    <row r="2569">
      <c r="A2569" s="7" t="n"/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>
        <f>IF(D2569="Legitimate Interest (GDPR Art. 6(1)(f))", "Yes / Required (Sheet 3)", "")</f>
        <v/>
      </c>
      <c r="L2569" s="7" t="n"/>
      <c r="M2569" s="7" t="n"/>
      <c r="N2569">
        <f>IF(D2569="", "Gap - No Legal Basis", IF(AND(D2569="Consent (GDPR Art. 6(1)(a))", I2569="Not Captured"), "Gap - Invalid Consent", IF(AND(D2569="Legitimate Interest (GDPR Art. 6(1)(f))", L2569=""), "Gap - Missing LIA", IF(AND(G2569="Yes", H2569=""), "Gap - Missing Art. 9 Basis", IF(OR(I2569="Invalid - Not Freely Given", I2569="Invalid - Not Specific", I2569="Invalid - Not Informed", I2569="Invalid - Ambiguous"), "Gap - Invalid Consent", "Compliant")))))</f>
        <v/>
      </c>
      <c r="O2569" s="7" t="n"/>
    </row>
    <row r="2570">
      <c r="A2570" s="7" t="n"/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>
        <f>IF(D2570="Legitimate Interest (GDPR Art. 6(1)(f))", "Yes / Required (Sheet 3)", "")</f>
        <v/>
      </c>
      <c r="L2570" s="7" t="n"/>
      <c r="M2570" s="7" t="n"/>
      <c r="N2570">
        <f>IF(D2570="", "Gap - No Legal Basis", IF(AND(D2570="Consent (GDPR Art. 6(1)(a))", I2570="Not Captured"), "Gap - Invalid Consent", IF(AND(D2570="Legitimate Interest (GDPR Art. 6(1)(f))", L2570=""), "Gap - Missing LIA", IF(AND(G2570="Yes", H2570=""), "Gap - Missing Art. 9 Basis", IF(OR(I2570="Invalid - Not Freely Given", I2570="Invalid - Not Specific", I2570="Invalid - Not Informed", I2570="Invalid - Ambiguous"), "Gap - Invalid Consent", "Compliant")))))</f>
        <v/>
      </c>
      <c r="O2570" s="7" t="n"/>
    </row>
    <row r="2571">
      <c r="A2571" s="7" t="n"/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>
        <f>IF(D2571="Legitimate Interest (GDPR Art. 6(1)(f))", "Yes / Required (Sheet 3)", "")</f>
        <v/>
      </c>
      <c r="L2571" s="7" t="n"/>
      <c r="M2571" s="7" t="n"/>
      <c r="N2571">
        <f>IF(D2571="", "Gap - No Legal Basis", IF(AND(D2571="Consent (GDPR Art. 6(1)(a))", I2571="Not Captured"), "Gap - Invalid Consent", IF(AND(D2571="Legitimate Interest (GDPR Art. 6(1)(f))", L2571=""), "Gap - Missing LIA", IF(AND(G2571="Yes", H2571=""), "Gap - Missing Art. 9 Basis", IF(OR(I2571="Invalid - Not Freely Given", I2571="Invalid - Not Specific", I2571="Invalid - Not Informed", I2571="Invalid - Ambiguous"), "Gap - Invalid Consent", "Compliant")))))</f>
        <v/>
      </c>
      <c r="O2571" s="7" t="n"/>
    </row>
    <row r="2572">
      <c r="A2572" s="7" t="n"/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>
        <f>IF(D2572="Legitimate Interest (GDPR Art. 6(1)(f))", "Yes / Required (Sheet 3)", "")</f>
        <v/>
      </c>
      <c r="L2572" s="7" t="n"/>
      <c r="M2572" s="7" t="n"/>
      <c r="N2572">
        <f>IF(D2572="", "Gap - No Legal Basis", IF(AND(D2572="Consent (GDPR Art. 6(1)(a))", I2572="Not Captured"), "Gap - Invalid Consent", IF(AND(D2572="Legitimate Interest (GDPR Art. 6(1)(f))", L2572=""), "Gap - Missing LIA", IF(AND(G2572="Yes", H2572=""), "Gap - Missing Art. 9 Basis", IF(OR(I2572="Invalid - Not Freely Given", I2572="Invalid - Not Specific", I2572="Invalid - Not Informed", I2572="Invalid - Ambiguous"), "Gap - Invalid Consent", "Compliant")))))</f>
        <v/>
      </c>
      <c r="O2572" s="7" t="n"/>
    </row>
    <row r="2573">
      <c r="A2573" s="7" t="n"/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>
        <f>IF(D2573="Legitimate Interest (GDPR Art. 6(1)(f))", "Yes / Required (Sheet 3)", "")</f>
        <v/>
      </c>
      <c r="L2573" s="7" t="n"/>
      <c r="M2573" s="7" t="n"/>
      <c r="N2573">
        <f>IF(D2573="", "Gap - No Legal Basis", IF(AND(D2573="Consent (GDPR Art. 6(1)(a))", I2573="Not Captured"), "Gap - Invalid Consent", IF(AND(D2573="Legitimate Interest (GDPR Art. 6(1)(f))", L2573=""), "Gap - Missing LIA", IF(AND(G2573="Yes", H2573=""), "Gap - Missing Art. 9 Basis", IF(OR(I2573="Invalid - Not Freely Given", I2573="Invalid - Not Specific", I2573="Invalid - Not Informed", I2573="Invalid - Ambiguous"), "Gap - Invalid Consent", "Compliant")))))</f>
        <v/>
      </c>
      <c r="O2573" s="7" t="n"/>
    </row>
    <row r="2574">
      <c r="A2574" s="7" t="n"/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>
        <f>IF(D2574="Legitimate Interest (GDPR Art. 6(1)(f))", "Yes / Required (Sheet 3)", "")</f>
        <v/>
      </c>
      <c r="L2574" s="7" t="n"/>
      <c r="M2574" s="7" t="n"/>
      <c r="N2574">
        <f>IF(D2574="", "Gap - No Legal Basis", IF(AND(D2574="Consent (GDPR Art. 6(1)(a))", I2574="Not Captured"), "Gap - Invalid Consent", IF(AND(D2574="Legitimate Interest (GDPR Art. 6(1)(f))", L2574=""), "Gap - Missing LIA", IF(AND(G2574="Yes", H2574=""), "Gap - Missing Art. 9 Basis", IF(OR(I2574="Invalid - Not Freely Given", I2574="Invalid - Not Specific", I2574="Invalid - Not Informed", I2574="Invalid - Ambiguous"), "Gap - Invalid Consent", "Compliant")))))</f>
        <v/>
      </c>
      <c r="O2574" s="7" t="n"/>
    </row>
    <row r="2575">
      <c r="A2575" s="7" t="n"/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>
        <f>IF(D2575="Legitimate Interest (GDPR Art. 6(1)(f))", "Yes / Required (Sheet 3)", "")</f>
        <v/>
      </c>
      <c r="L2575" s="7" t="n"/>
      <c r="M2575" s="7" t="n"/>
      <c r="N2575">
        <f>IF(D2575="", "Gap - No Legal Basis", IF(AND(D2575="Consent (GDPR Art. 6(1)(a))", I2575="Not Captured"), "Gap - Invalid Consent", IF(AND(D2575="Legitimate Interest (GDPR Art. 6(1)(f))", L2575=""), "Gap - Missing LIA", IF(AND(G2575="Yes", H2575=""), "Gap - Missing Art. 9 Basis", IF(OR(I2575="Invalid - Not Freely Given", I2575="Invalid - Not Specific", I2575="Invalid - Not Informed", I2575="Invalid - Ambiguous"), "Gap - Invalid Consent", "Compliant")))))</f>
        <v/>
      </c>
      <c r="O2575" s="7" t="n"/>
    </row>
    <row r="2576">
      <c r="A2576" s="7" t="n"/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>
        <f>IF(D2576="Legitimate Interest (GDPR Art. 6(1)(f))", "Yes / Required (Sheet 3)", "")</f>
        <v/>
      </c>
      <c r="L2576" s="7" t="n"/>
      <c r="M2576" s="7" t="n"/>
      <c r="N2576">
        <f>IF(D2576="", "Gap - No Legal Basis", IF(AND(D2576="Consent (GDPR Art. 6(1)(a))", I2576="Not Captured"), "Gap - Invalid Consent", IF(AND(D2576="Legitimate Interest (GDPR Art. 6(1)(f))", L2576=""), "Gap - Missing LIA", IF(AND(G2576="Yes", H2576=""), "Gap - Missing Art. 9 Basis", IF(OR(I2576="Invalid - Not Freely Given", I2576="Invalid - Not Specific", I2576="Invalid - Not Informed", I2576="Invalid - Ambiguous"), "Gap - Invalid Consent", "Compliant")))))</f>
        <v/>
      </c>
      <c r="O2576" s="7" t="n"/>
    </row>
    <row r="2577">
      <c r="A2577" s="7" t="n"/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>
        <f>IF(D2577="Legitimate Interest (GDPR Art. 6(1)(f))", "Yes / Required (Sheet 3)", "")</f>
        <v/>
      </c>
      <c r="L2577" s="7" t="n"/>
      <c r="M2577" s="7" t="n"/>
      <c r="N2577">
        <f>IF(D2577="", "Gap - No Legal Basis", IF(AND(D2577="Consent (GDPR Art. 6(1)(a))", I2577="Not Captured"), "Gap - Invalid Consent", IF(AND(D2577="Legitimate Interest (GDPR Art. 6(1)(f))", L2577=""), "Gap - Missing LIA", IF(AND(G2577="Yes", H2577=""), "Gap - Missing Art. 9 Basis", IF(OR(I2577="Invalid - Not Freely Given", I2577="Invalid - Not Specific", I2577="Invalid - Not Informed", I2577="Invalid - Ambiguous"), "Gap - Invalid Consent", "Compliant")))))</f>
        <v/>
      </c>
      <c r="O2577" s="7" t="n"/>
    </row>
    <row r="2578">
      <c r="A2578" s="7" t="n"/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>
        <f>IF(D2578="Legitimate Interest (GDPR Art. 6(1)(f))", "Yes / Required (Sheet 3)", "")</f>
        <v/>
      </c>
      <c r="L2578" s="7" t="n"/>
      <c r="M2578" s="7" t="n"/>
      <c r="N2578">
        <f>IF(D2578="", "Gap - No Legal Basis", IF(AND(D2578="Consent (GDPR Art. 6(1)(a))", I2578="Not Captured"), "Gap - Invalid Consent", IF(AND(D2578="Legitimate Interest (GDPR Art. 6(1)(f))", L2578=""), "Gap - Missing LIA", IF(AND(G2578="Yes", H2578=""), "Gap - Missing Art. 9 Basis", IF(OR(I2578="Invalid - Not Freely Given", I2578="Invalid - Not Specific", I2578="Invalid - Not Informed", I2578="Invalid - Ambiguous"), "Gap - Invalid Consent", "Compliant")))))</f>
        <v/>
      </c>
      <c r="O2578" s="7" t="n"/>
    </row>
    <row r="2579">
      <c r="A2579" s="7" t="n"/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>
        <f>IF(D2579="Legitimate Interest (GDPR Art. 6(1)(f))", "Yes / Required (Sheet 3)", "")</f>
        <v/>
      </c>
      <c r="L2579" s="7" t="n"/>
      <c r="M2579" s="7" t="n"/>
      <c r="N2579">
        <f>IF(D2579="", "Gap - No Legal Basis", IF(AND(D2579="Consent (GDPR Art. 6(1)(a))", I2579="Not Captured"), "Gap - Invalid Consent", IF(AND(D2579="Legitimate Interest (GDPR Art. 6(1)(f))", L2579=""), "Gap - Missing LIA", IF(AND(G2579="Yes", H2579=""), "Gap - Missing Art. 9 Basis", IF(OR(I2579="Invalid - Not Freely Given", I2579="Invalid - Not Specific", I2579="Invalid - Not Informed", I2579="Invalid - Ambiguous"), "Gap - Invalid Consent", "Compliant")))))</f>
        <v/>
      </c>
      <c r="O2579" s="7" t="n"/>
    </row>
    <row r="2580">
      <c r="A2580" s="7" t="n"/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>
        <f>IF(D2580="Legitimate Interest (GDPR Art. 6(1)(f))", "Yes / Required (Sheet 3)", "")</f>
        <v/>
      </c>
      <c r="L2580" s="7" t="n"/>
      <c r="M2580" s="7" t="n"/>
      <c r="N2580">
        <f>IF(D2580="", "Gap - No Legal Basis", IF(AND(D2580="Consent (GDPR Art. 6(1)(a))", I2580="Not Captured"), "Gap - Invalid Consent", IF(AND(D2580="Legitimate Interest (GDPR Art. 6(1)(f))", L2580=""), "Gap - Missing LIA", IF(AND(G2580="Yes", H2580=""), "Gap - Missing Art. 9 Basis", IF(OR(I2580="Invalid - Not Freely Given", I2580="Invalid - Not Specific", I2580="Invalid - Not Informed", I2580="Invalid - Ambiguous"), "Gap - Invalid Consent", "Compliant")))))</f>
        <v/>
      </c>
      <c r="O2580" s="7" t="n"/>
    </row>
    <row r="2581">
      <c r="A2581" s="7" t="n"/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>
        <f>IF(D2581="Legitimate Interest (GDPR Art. 6(1)(f))", "Yes / Required (Sheet 3)", "")</f>
        <v/>
      </c>
      <c r="L2581" s="7" t="n"/>
      <c r="M2581" s="7" t="n"/>
      <c r="N2581">
        <f>IF(D2581="", "Gap - No Legal Basis", IF(AND(D2581="Consent (GDPR Art. 6(1)(a))", I2581="Not Captured"), "Gap - Invalid Consent", IF(AND(D2581="Legitimate Interest (GDPR Art. 6(1)(f))", L2581=""), "Gap - Missing LIA", IF(AND(G2581="Yes", H2581=""), "Gap - Missing Art. 9 Basis", IF(OR(I2581="Invalid - Not Freely Given", I2581="Invalid - Not Specific", I2581="Invalid - Not Informed", I2581="Invalid - Ambiguous"), "Gap - Invalid Consent", "Compliant")))))</f>
        <v/>
      </c>
      <c r="O2581" s="7" t="n"/>
    </row>
    <row r="2582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>
        <f>IF(D2582="Legitimate Interest (GDPR Art. 6(1)(f))", "Yes / Required (Sheet 3)", "")</f>
        <v/>
      </c>
      <c r="L2582" s="7" t="n"/>
      <c r="M2582" s="7" t="n"/>
      <c r="N2582">
        <f>IF(D2582="", "Gap - No Legal Basis", IF(AND(D2582="Consent (GDPR Art. 6(1)(a))", I2582="Not Captured"), "Gap - Invalid Consent", IF(AND(D2582="Legitimate Interest (GDPR Art. 6(1)(f))", L2582=""), "Gap - Missing LIA", IF(AND(G2582="Yes", H2582=""), "Gap - Missing Art. 9 Basis", IF(OR(I2582="Invalid - Not Freely Given", I2582="Invalid - Not Specific", I2582="Invalid - Not Informed", I2582="Invalid - Ambiguous"), "Gap - Invalid Consent", "Compliant")))))</f>
        <v/>
      </c>
      <c r="O2582" s="7" t="n"/>
    </row>
    <row r="2583">
      <c r="A2583" s="7" t="n"/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>
        <f>IF(D2583="Legitimate Interest (GDPR Art. 6(1)(f))", "Yes / Required (Sheet 3)", "")</f>
        <v/>
      </c>
      <c r="L2583" s="7" t="n"/>
      <c r="M2583" s="7" t="n"/>
      <c r="N2583">
        <f>IF(D2583="", "Gap - No Legal Basis", IF(AND(D2583="Consent (GDPR Art. 6(1)(a))", I2583="Not Captured"), "Gap - Invalid Consent", IF(AND(D2583="Legitimate Interest (GDPR Art. 6(1)(f))", L2583=""), "Gap - Missing LIA", IF(AND(G2583="Yes", H2583=""), "Gap - Missing Art. 9 Basis", IF(OR(I2583="Invalid - Not Freely Given", I2583="Invalid - Not Specific", I2583="Invalid - Not Informed", I2583="Invalid - Ambiguous"), "Gap - Invalid Consent", "Compliant")))))</f>
        <v/>
      </c>
      <c r="O2583" s="7" t="n"/>
    </row>
    <row r="2584">
      <c r="A2584" s="7" t="n"/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>
        <f>IF(D2584="Legitimate Interest (GDPR Art. 6(1)(f))", "Yes / Required (Sheet 3)", "")</f>
        <v/>
      </c>
      <c r="L2584" s="7" t="n"/>
      <c r="M2584" s="7" t="n"/>
      <c r="N2584">
        <f>IF(D2584="", "Gap - No Legal Basis", IF(AND(D2584="Consent (GDPR Art. 6(1)(a))", I2584="Not Captured"), "Gap - Invalid Consent", IF(AND(D2584="Legitimate Interest (GDPR Art. 6(1)(f))", L2584=""), "Gap - Missing LIA", IF(AND(G2584="Yes", H2584=""), "Gap - Missing Art. 9 Basis", IF(OR(I2584="Invalid - Not Freely Given", I2584="Invalid - Not Specific", I2584="Invalid - Not Informed", I2584="Invalid - Ambiguous"), "Gap - Invalid Consent", "Compliant")))))</f>
        <v/>
      </c>
      <c r="O2584" s="7" t="n"/>
    </row>
    <row r="2585">
      <c r="A2585" s="7" t="n"/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>
        <f>IF(D2585="Legitimate Interest (GDPR Art. 6(1)(f))", "Yes / Required (Sheet 3)", "")</f>
        <v/>
      </c>
      <c r="L2585" s="7" t="n"/>
      <c r="M2585" s="7" t="n"/>
      <c r="N2585">
        <f>IF(D2585="", "Gap - No Legal Basis", IF(AND(D2585="Consent (GDPR Art. 6(1)(a))", I2585="Not Captured"), "Gap - Invalid Consent", IF(AND(D2585="Legitimate Interest (GDPR Art. 6(1)(f))", L2585=""), "Gap - Missing LIA", IF(AND(G2585="Yes", H2585=""), "Gap - Missing Art. 9 Basis", IF(OR(I2585="Invalid - Not Freely Given", I2585="Invalid - Not Specific", I2585="Invalid - Not Informed", I2585="Invalid - Ambiguous"), "Gap - Invalid Consent", "Compliant")))))</f>
        <v/>
      </c>
      <c r="O2585" s="7" t="n"/>
    </row>
    <row r="2586">
      <c r="A2586" s="7" t="n"/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>
        <f>IF(D2586="Legitimate Interest (GDPR Art. 6(1)(f))", "Yes / Required (Sheet 3)", "")</f>
        <v/>
      </c>
      <c r="L2586" s="7" t="n"/>
      <c r="M2586" s="7" t="n"/>
      <c r="N2586">
        <f>IF(D2586="", "Gap - No Legal Basis", IF(AND(D2586="Consent (GDPR Art. 6(1)(a))", I2586="Not Captured"), "Gap - Invalid Consent", IF(AND(D2586="Legitimate Interest (GDPR Art. 6(1)(f))", L2586=""), "Gap - Missing LIA", IF(AND(G2586="Yes", H2586=""), "Gap - Missing Art. 9 Basis", IF(OR(I2586="Invalid - Not Freely Given", I2586="Invalid - Not Specific", I2586="Invalid - Not Informed", I2586="Invalid - Ambiguous"), "Gap - Invalid Consent", "Compliant")))))</f>
        <v/>
      </c>
      <c r="O2586" s="7" t="n"/>
    </row>
    <row r="2587">
      <c r="A2587" s="7" t="n"/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>
        <f>IF(D2587="Legitimate Interest (GDPR Art. 6(1)(f))", "Yes / Required (Sheet 3)", "")</f>
        <v/>
      </c>
      <c r="L2587" s="7" t="n"/>
      <c r="M2587" s="7" t="n"/>
      <c r="N2587">
        <f>IF(D2587="", "Gap - No Legal Basis", IF(AND(D2587="Consent (GDPR Art. 6(1)(a))", I2587="Not Captured"), "Gap - Invalid Consent", IF(AND(D2587="Legitimate Interest (GDPR Art. 6(1)(f))", L2587=""), "Gap - Missing LIA", IF(AND(G2587="Yes", H2587=""), "Gap - Missing Art. 9 Basis", IF(OR(I2587="Invalid - Not Freely Given", I2587="Invalid - Not Specific", I2587="Invalid - Not Informed", I2587="Invalid - Ambiguous"), "Gap - Invalid Consent", "Compliant")))))</f>
        <v/>
      </c>
      <c r="O2587" s="7" t="n"/>
    </row>
    <row r="2588">
      <c r="A2588" s="7" t="n"/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>
        <f>IF(D2588="Legitimate Interest (GDPR Art. 6(1)(f))", "Yes / Required (Sheet 3)", "")</f>
        <v/>
      </c>
      <c r="L2588" s="7" t="n"/>
      <c r="M2588" s="7" t="n"/>
      <c r="N2588">
        <f>IF(D2588="", "Gap - No Legal Basis", IF(AND(D2588="Consent (GDPR Art. 6(1)(a))", I2588="Not Captured"), "Gap - Invalid Consent", IF(AND(D2588="Legitimate Interest (GDPR Art. 6(1)(f))", L2588=""), "Gap - Missing LIA", IF(AND(G2588="Yes", H2588=""), "Gap - Missing Art. 9 Basis", IF(OR(I2588="Invalid - Not Freely Given", I2588="Invalid - Not Specific", I2588="Invalid - Not Informed", I2588="Invalid - Ambiguous"), "Gap - Invalid Consent", "Compliant")))))</f>
        <v/>
      </c>
      <c r="O2588" s="7" t="n"/>
    </row>
    <row r="2589">
      <c r="A2589" s="7" t="n"/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>
        <f>IF(D2589="Legitimate Interest (GDPR Art. 6(1)(f))", "Yes / Required (Sheet 3)", "")</f>
        <v/>
      </c>
      <c r="L2589" s="7" t="n"/>
      <c r="M2589" s="7" t="n"/>
      <c r="N2589">
        <f>IF(D2589="", "Gap - No Legal Basis", IF(AND(D2589="Consent (GDPR Art. 6(1)(a))", I2589="Not Captured"), "Gap - Invalid Consent", IF(AND(D2589="Legitimate Interest (GDPR Art. 6(1)(f))", L2589=""), "Gap - Missing LIA", IF(AND(G2589="Yes", H2589=""), "Gap - Missing Art. 9 Basis", IF(OR(I2589="Invalid - Not Freely Given", I2589="Invalid - Not Specific", I2589="Invalid - Not Informed", I2589="Invalid - Ambiguous"), "Gap - Invalid Consent", "Compliant")))))</f>
        <v/>
      </c>
      <c r="O2589" s="7" t="n"/>
    </row>
    <row r="2590">
      <c r="A2590" s="7" t="n"/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>
        <f>IF(D2590="Legitimate Interest (GDPR Art. 6(1)(f))", "Yes / Required (Sheet 3)", "")</f>
        <v/>
      </c>
      <c r="L2590" s="7" t="n"/>
      <c r="M2590" s="7" t="n"/>
      <c r="N2590">
        <f>IF(D2590="", "Gap - No Legal Basis", IF(AND(D2590="Consent (GDPR Art. 6(1)(a))", I2590="Not Captured"), "Gap - Invalid Consent", IF(AND(D2590="Legitimate Interest (GDPR Art. 6(1)(f))", L2590=""), "Gap - Missing LIA", IF(AND(G2590="Yes", H2590=""), "Gap - Missing Art. 9 Basis", IF(OR(I2590="Invalid - Not Freely Given", I2590="Invalid - Not Specific", I2590="Invalid - Not Informed", I2590="Invalid - Ambiguous"), "Gap - Invalid Consent", "Compliant")))))</f>
        <v/>
      </c>
      <c r="O2590" s="7" t="n"/>
    </row>
    <row r="2591">
      <c r="A2591" s="7" t="n"/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>
        <f>IF(D2591="Legitimate Interest (GDPR Art. 6(1)(f))", "Yes / Required (Sheet 3)", "")</f>
        <v/>
      </c>
      <c r="L2591" s="7" t="n"/>
      <c r="M2591" s="7" t="n"/>
      <c r="N2591">
        <f>IF(D2591="", "Gap - No Legal Basis", IF(AND(D2591="Consent (GDPR Art. 6(1)(a))", I2591="Not Captured"), "Gap - Invalid Consent", IF(AND(D2591="Legitimate Interest (GDPR Art. 6(1)(f))", L2591=""), "Gap - Missing LIA", IF(AND(G2591="Yes", H2591=""), "Gap - Missing Art. 9 Basis", IF(OR(I2591="Invalid - Not Freely Given", I2591="Invalid - Not Specific", I2591="Invalid - Not Informed", I2591="Invalid - Ambiguous"), "Gap - Invalid Consent", "Compliant")))))</f>
        <v/>
      </c>
      <c r="O2591" s="7" t="n"/>
    </row>
    <row r="2592">
      <c r="A2592" s="7" t="n"/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>
        <f>IF(D2592="Legitimate Interest (GDPR Art. 6(1)(f))", "Yes / Required (Sheet 3)", "")</f>
        <v/>
      </c>
      <c r="L2592" s="7" t="n"/>
      <c r="M2592" s="7" t="n"/>
      <c r="N2592">
        <f>IF(D2592="", "Gap - No Legal Basis", IF(AND(D2592="Consent (GDPR Art. 6(1)(a))", I2592="Not Captured"), "Gap - Invalid Consent", IF(AND(D2592="Legitimate Interest (GDPR Art. 6(1)(f))", L2592=""), "Gap - Missing LIA", IF(AND(G2592="Yes", H2592=""), "Gap - Missing Art. 9 Basis", IF(OR(I2592="Invalid - Not Freely Given", I2592="Invalid - Not Specific", I2592="Invalid - Not Informed", I2592="Invalid - Ambiguous"), "Gap - Invalid Consent", "Compliant")))))</f>
        <v/>
      </c>
      <c r="O2592" s="7" t="n"/>
    </row>
    <row r="2593">
      <c r="A2593" s="7" t="n"/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>
        <f>IF(D2593="Legitimate Interest (GDPR Art. 6(1)(f))", "Yes / Required (Sheet 3)", "")</f>
        <v/>
      </c>
      <c r="L2593" s="7" t="n"/>
      <c r="M2593" s="7" t="n"/>
      <c r="N2593">
        <f>IF(D2593="", "Gap - No Legal Basis", IF(AND(D2593="Consent (GDPR Art. 6(1)(a))", I2593="Not Captured"), "Gap - Invalid Consent", IF(AND(D2593="Legitimate Interest (GDPR Art. 6(1)(f))", L2593=""), "Gap - Missing LIA", IF(AND(G2593="Yes", H2593=""), "Gap - Missing Art. 9 Basis", IF(OR(I2593="Invalid - Not Freely Given", I2593="Invalid - Not Specific", I2593="Invalid - Not Informed", I2593="Invalid - Ambiguous"), "Gap - Invalid Consent", "Compliant")))))</f>
        <v/>
      </c>
      <c r="O2593" s="7" t="n"/>
    </row>
    <row r="2594">
      <c r="A2594" s="7" t="n"/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>
        <f>IF(D2594="Legitimate Interest (GDPR Art. 6(1)(f))", "Yes / Required (Sheet 3)", "")</f>
        <v/>
      </c>
      <c r="L2594" s="7" t="n"/>
      <c r="M2594" s="7" t="n"/>
      <c r="N2594">
        <f>IF(D2594="", "Gap - No Legal Basis", IF(AND(D2594="Consent (GDPR Art. 6(1)(a))", I2594="Not Captured"), "Gap - Invalid Consent", IF(AND(D2594="Legitimate Interest (GDPR Art. 6(1)(f))", L2594=""), "Gap - Missing LIA", IF(AND(G2594="Yes", H2594=""), "Gap - Missing Art. 9 Basis", IF(OR(I2594="Invalid - Not Freely Given", I2594="Invalid - Not Specific", I2594="Invalid - Not Informed", I2594="Invalid - Ambiguous"), "Gap - Invalid Consent", "Compliant")))))</f>
        <v/>
      </c>
      <c r="O2594" s="7" t="n"/>
    </row>
    <row r="2595">
      <c r="A2595" s="7" t="n"/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>
        <f>IF(D2595="Legitimate Interest (GDPR Art. 6(1)(f))", "Yes / Required (Sheet 3)", "")</f>
        <v/>
      </c>
      <c r="L2595" s="7" t="n"/>
      <c r="M2595" s="7" t="n"/>
      <c r="N2595">
        <f>IF(D2595="", "Gap - No Legal Basis", IF(AND(D2595="Consent (GDPR Art. 6(1)(a))", I2595="Not Captured"), "Gap - Invalid Consent", IF(AND(D2595="Legitimate Interest (GDPR Art. 6(1)(f))", L2595=""), "Gap - Missing LIA", IF(AND(G2595="Yes", H2595=""), "Gap - Missing Art. 9 Basis", IF(OR(I2595="Invalid - Not Freely Given", I2595="Invalid - Not Specific", I2595="Invalid - Not Informed", I2595="Invalid - Ambiguous"), "Gap - Invalid Consent", "Compliant")))))</f>
        <v/>
      </c>
      <c r="O2595" s="7" t="n"/>
    </row>
    <row r="2596">
      <c r="A2596" s="7" t="n"/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>
        <f>IF(D2596="Legitimate Interest (GDPR Art. 6(1)(f))", "Yes / Required (Sheet 3)", "")</f>
        <v/>
      </c>
      <c r="L2596" s="7" t="n"/>
      <c r="M2596" s="7" t="n"/>
      <c r="N2596">
        <f>IF(D2596="", "Gap - No Legal Basis", IF(AND(D2596="Consent (GDPR Art. 6(1)(a))", I2596="Not Captured"), "Gap - Invalid Consent", IF(AND(D2596="Legitimate Interest (GDPR Art. 6(1)(f))", L2596=""), "Gap - Missing LIA", IF(AND(G2596="Yes", H2596=""), "Gap - Missing Art. 9 Basis", IF(OR(I2596="Invalid - Not Freely Given", I2596="Invalid - Not Specific", I2596="Invalid - Not Informed", I2596="Invalid - Ambiguous"), "Gap - Invalid Consent", "Compliant")))))</f>
        <v/>
      </c>
      <c r="O2596" s="7" t="n"/>
    </row>
    <row r="2597">
      <c r="A2597" s="7" t="n"/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>
        <f>IF(D2597="Legitimate Interest (GDPR Art. 6(1)(f))", "Yes / Required (Sheet 3)", "")</f>
        <v/>
      </c>
      <c r="L2597" s="7" t="n"/>
      <c r="M2597" s="7" t="n"/>
      <c r="N2597">
        <f>IF(D2597="", "Gap - No Legal Basis", IF(AND(D2597="Consent (GDPR Art. 6(1)(a))", I2597="Not Captured"), "Gap - Invalid Consent", IF(AND(D2597="Legitimate Interest (GDPR Art. 6(1)(f))", L2597=""), "Gap - Missing LIA", IF(AND(G2597="Yes", H2597=""), "Gap - Missing Art. 9 Basis", IF(OR(I2597="Invalid - Not Freely Given", I2597="Invalid - Not Specific", I2597="Invalid - Not Informed", I2597="Invalid - Ambiguous"), "Gap - Invalid Consent", "Compliant")))))</f>
        <v/>
      </c>
      <c r="O2597" s="7" t="n"/>
    </row>
    <row r="2598">
      <c r="A2598" s="7" t="n"/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>
        <f>IF(D2598="Legitimate Interest (GDPR Art. 6(1)(f))", "Yes / Required (Sheet 3)", "")</f>
        <v/>
      </c>
      <c r="L2598" s="7" t="n"/>
      <c r="M2598" s="7" t="n"/>
      <c r="N2598">
        <f>IF(D2598="", "Gap - No Legal Basis", IF(AND(D2598="Consent (GDPR Art. 6(1)(a))", I2598="Not Captured"), "Gap - Invalid Consent", IF(AND(D2598="Legitimate Interest (GDPR Art. 6(1)(f))", L2598=""), "Gap - Missing LIA", IF(AND(G2598="Yes", H2598=""), "Gap - Missing Art. 9 Basis", IF(OR(I2598="Invalid - Not Freely Given", I2598="Invalid - Not Specific", I2598="Invalid - Not Informed", I2598="Invalid - Ambiguous"), "Gap - Invalid Consent", "Compliant")))))</f>
        <v/>
      </c>
      <c r="O2598" s="7" t="n"/>
    </row>
    <row r="2599">
      <c r="A2599" s="7" t="n"/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>
        <f>IF(D2599="Legitimate Interest (GDPR Art. 6(1)(f))", "Yes / Required (Sheet 3)", "")</f>
        <v/>
      </c>
      <c r="L2599" s="7" t="n"/>
      <c r="M2599" s="7" t="n"/>
      <c r="N2599">
        <f>IF(D2599="", "Gap - No Legal Basis", IF(AND(D2599="Consent (GDPR Art. 6(1)(a))", I2599="Not Captured"), "Gap - Invalid Consent", IF(AND(D2599="Legitimate Interest (GDPR Art. 6(1)(f))", L2599=""), "Gap - Missing LIA", IF(AND(G2599="Yes", H2599=""), "Gap - Missing Art. 9 Basis", IF(OR(I2599="Invalid - Not Freely Given", I2599="Invalid - Not Specific", I2599="Invalid - Not Informed", I2599="Invalid - Ambiguous"), "Gap - Invalid Consent", "Compliant")))))</f>
        <v/>
      </c>
      <c r="O2599" s="7" t="n"/>
    </row>
    <row r="2600">
      <c r="A2600" s="7" t="n"/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>
        <f>IF(D2600="Legitimate Interest (GDPR Art. 6(1)(f))", "Yes / Required (Sheet 3)", "")</f>
        <v/>
      </c>
      <c r="L2600" s="7" t="n"/>
      <c r="M2600" s="7" t="n"/>
      <c r="N2600">
        <f>IF(D2600="", "Gap - No Legal Basis", IF(AND(D2600="Consent (GDPR Art. 6(1)(a))", I2600="Not Captured"), "Gap - Invalid Consent", IF(AND(D2600="Legitimate Interest (GDPR Art. 6(1)(f))", L2600=""), "Gap - Missing LIA", IF(AND(G2600="Yes", H2600=""), "Gap - Missing Art. 9 Basis", IF(OR(I2600="Invalid - Not Freely Given", I2600="Invalid - Not Specific", I2600="Invalid - Not Informed", I2600="Invalid - Ambiguous"), "Gap - Invalid Consent", "Compliant")))))</f>
        <v/>
      </c>
      <c r="O2600" s="7" t="n"/>
    </row>
    <row r="2601">
      <c r="A2601" s="7" t="n"/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>
        <f>IF(D2601="Legitimate Interest (GDPR Art. 6(1)(f))", "Yes / Required (Sheet 3)", "")</f>
        <v/>
      </c>
      <c r="L2601" s="7" t="n"/>
      <c r="M2601" s="7" t="n"/>
      <c r="N2601">
        <f>IF(D2601="", "Gap - No Legal Basis", IF(AND(D2601="Consent (GDPR Art. 6(1)(a))", I2601="Not Captured"), "Gap - Invalid Consent", IF(AND(D2601="Legitimate Interest (GDPR Art. 6(1)(f))", L2601=""), "Gap - Missing LIA", IF(AND(G2601="Yes", H2601=""), "Gap - Missing Art. 9 Basis", IF(OR(I2601="Invalid - Not Freely Given", I2601="Invalid - Not Specific", I2601="Invalid - Not Informed", I2601="Invalid - Ambiguous"), "Gap - Invalid Consent", "Compliant")))))</f>
        <v/>
      </c>
      <c r="O2601" s="7" t="n"/>
    </row>
    <row r="2602">
      <c r="A2602" s="7" t="n"/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>
        <f>IF(D2602="Legitimate Interest (GDPR Art. 6(1)(f))", "Yes / Required (Sheet 3)", "")</f>
        <v/>
      </c>
      <c r="L2602" s="7" t="n"/>
      <c r="M2602" s="7" t="n"/>
      <c r="N2602">
        <f>IF(D2602="", "Gap - No Legal Basis", IF(AND(D2602="Consent (GDPR Art. 6(1)(a))", I2602="Not Captured"), "Gap - Invalid Consent", IF(AND(D2602="Legitimate Interest (GDPR Art. 6(1)(f))", L2602=""), "Gap - Missing LIA", IF(AND(G2602="Yes", H2602=""), "Gap - Missing Art. 9 Basis", IF(OR(I2602="Invalid - Not Freely Given", I2602="Invalid - Not Specific", I2602="Invalid - Not Informed", I2602="Invalid - Ambiguous"), "Gap - Invalid Consent", "Compliant")))))</f>
        <v/>
      </c>
      <c r="O2602" s="7" t="n"/>
    </row>
    <row r="2603">
      <c r="A2603" s="7" t="n"/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>
        <f>IF(D2603="Legitimate Interest (GDPR Art. 6(1)(f))", "Yes / Required (Sheet 3)", "")</f>
        <v/>
      </c>
      <c r="L2603" s="7" t="n"/>
      <c r="M2603" s="7" t="n"/>
      <c r="N2603">
        <f>IF(D2603="", "Gap - No Legal Basis", IF(AND(D2603="Consent (GDPR Art. 6(1)(a))", I2603="Not Captured"), "Gap - Invalid Consent", IF(AND(D2603="Legitimate Interest (GDPR Art. 6(1)(f))", L2603=""), "Gap - Missing LIA", IF(AND(G2603="Yes", H2603=""), "Gap - Missing Art. 9 Basis", IF(OR(I2603="Invalid - Not Freely Given", I2603="Invalid - Not Specific", I2603="Invalid - Not Informed", I2603="Invalid - Ambiguous"), "Gap - Invalid Consent", "Compliant")))))</f>
        <v/>
      </c>
      <c r="O2603" s="7" t="n"/>
    </row>
    <row r="2604">
      <c r="A2604" s="7" t="n"/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>
        <f>IF(D2604="Legitimate Interest (GDPR Art. 6(1)(f))", "Yes / Required (Sheet 3)", "")</f>
        <v/>
      </c>
      <c r="L2604" s="7" t="n"/>
      <c r="M2604" s="7" t="n"/>
      <c r="N2604">
        <f>IF(D2604="", "Gap - No Legal Basis", IF(AND(D2604="Consent (GDPR Art. 6(1)(a))", I2604="Not Captured"), "Gap - Invalid Consent", IF(AND(D2604="Legitimate Interest (GDPR Art. 6(1)(f))", L2604=""), "Gap - Missing LIA", IF(AND(G2604="Yes", H2604=""), "Gap - Missing Art. 9 Basis", IF(OR(I2604="Invalid - Not Freely Given", I2604="Invalid - Not Specific", I2604="Invalid - Not Informed", I2604="Invalid - Ambiguous"), "Gap - Invalid Consent", "Compliant")))))</f>
        <v/>
      </c>
      <c r="O2604" s="7" t="n"/>
    </row>
    <row r="2605">
      <c r="A2605" s="7" t="n"/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>
        <f>IF(D2605="Legitimate Interest (GDPR Art. 6(1)(f))", "Yes / Required (Sheet 3)", "")</f>
        <v/>
      </c>
      <c r="L2605" s="7" t="n"/>
      <c r="M2605" s="7" t="n"/>
      <c r="N2605">
        <f>IF(D2605="", "Gap - No Legal Basis", IF(AND(D2605="Consent (GDPR Art. 6(1)(a))", I2605="Not Captured"), "Gap - Invalid Consent", IF(AND(D2605="Legitimate Interest (GDPR Art. 6(1)(f))", L2605=""), "Gap - Missing LIA", IF(AND(G2605="Yes", H2605=""), "Gap - Missing Art. 9 Basis", IF(OR(I2605="Invalid - Not Freely Given", I2605="Invalid - Not Specific", I2605="Invalid - Not Informed", I2605="Invalid - Ambiguous"), "Gap - Invalid Consent", "Compliant")))))</f>
        <v/>
      </c>
      <c r="O2605" s="7" t="n"/>
    </row>
    <row r="2606">
      <c r="A2606" s="7" t="n"/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>
        <f>IF(D2606="Legitimate Interest (GDPR Art. 6(1)(f))", "Yes / Required (Sheet 3)", "")</f>
        <v/>
      </c>
      <c r="L2606" s="7" t="n"/>
      <c r="M2606" s="7" t="n"/>
      <c r="N2606">
        <f>IF(D2606="", "Gap - No Legal Basis", IF(AND(D2606="Consent (GDPR Art. 6(1)(a))", I2606="Not Captured"), "Gap - Invalid Consent", IF(AND(D2606="Legitimate Interest (GDPR Art. 6(1)(f))", L2606=""), "Gap - Missing LIA", IF(AND(G2606="Yes", H2606=""), "Gap - Missing Art. 9 Basis", IF(OR(I2606="Invalid - Not Freely Given", I2606="Invalid - Not Specific", I2606="Invalid - Not Informed", I2606="Invalid - Ambiguous"), "Gap - Invalid Consent", "Compliant")))))</f>
        <v/>
      </c>
      <c r="O2606" s="7" t="n"/>
    </row>
    <row r="2607">
      <c r="A2607" s="7" t="n"/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>
        <f>IF(D2607="Legitimate Interest (GDPR Art. 6(1)(f))", "Yes / Required (Sheet 3)", "")</f>
        <v/>
      </c>
      <c r="L2607" s="7" t="n"/>
      <c r="M2607" s="7" t="n"/>
      <c r="N2607">
        <f>IF(D2607="", "Gap - No Legal Basis", IF(AND(D2607="Consent (GDPR Art. 6(1)(a))", I2607="Not Captured"), "Gap - Invalid Consent", IF(AND(D2607="Legitimate Interest (GDPR Art. 6(1)(f))", L2607=""), "Gap - Missing LIA", IF(AND(G2607="Yes", H2607=""), "Gap - Missing Art. 9 Basis", IF(OR(I2607="Invalid - Not Freely Given", I2607="Invalid - Not Specific", I2607="Invalid - Not Informed", I2607="Invalid - Ambiguous"), "Gap - Invalid Consent", "Compliant")))))</f>
        <v/>
      </c>
      <c r="O2607" s="7" t="n"/>
    </row>
    <row r="2608">
      <c r="A2608" s="7" t="n"/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>
        <f>IF(D2608="Legitimate Interest (GDPR Art. 6(1)(f))", "Yes / Required (Sheet 3)", "")</f>
        <v/>
      </c>
      <c r="L2608" s="7" t="n"/>
      <c r="M2608" s="7" t="n"/>
      <c r="N2608">
        <f>IF(D2608="", "Gap - No Legal Basis", IF(AND(D2608="Consent (GDPR Art. 6(1)(a))", I2608="Not Captured"), "Gap - Invalid Consent", IF(AND(D2608="Legitimate Interest (GDPR Art. 6(1)(f))", L2608=""), "Gap - Missing LIA", IF(AND(G2608="Yes", H2608=""), "Gap - Missing Art. 9 Basis", IF(OR(I2608="Invalid - Not Freely Given", I2608="Invalid - Not Specific", I2608="Invalid - Not Informed", I2608="Invalid - Ambiguous"), "Gap - Invalid Consent", "Compliant")))))</f>
        <v/>
      </c>
      <c r="O2608" s="7" t="n"/>
    </row>
    <row r="2609">
      <c r="A2609" s="7" t="n"/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>
        <f>IF(D2609="Legitimate Interest (GDPR Art. 6(1)(f))", "Yes / Required (Sheet 3)", "")</f>
        <v/>
      </c>
      <c r="L2609" s="7" t="n"/>
      <c r="M2609" s="7" t="n"/>
      <c r="N2609">
        <f>IF(D2609="", "Gap - No Legal Basis", IF(AND(D2609="Consent (GDPR Art. 6(1)(a))", I2609="Not Captured"), "Gap - Invalid Consent", IF(AND(D2609="Legitimate Interest (GDPR Art. 6(1)(f))", L2609=""), "Gap - Missing LIA", IF(AND(G2609="Yes", H2609=""), "Gap - Missing Art. 9 Basis", IF(OR(I2609="Invalid - Not Freely Given", I2609="Invalid - Not Specific", I2609="Invalid - Not Informed", I2609="Invalid - Ambiguous"), "Gap - Invalid Consent", "Compliant")))))</f>
        <v/>
      </c>
      <c r="O2609" s="7" t="n"/>
    </row>
    <row r="2610">
      <c r="A2610" s="7" t="n"/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>
        <f>IF(D2610="Legitimate Interest (GDPR Art. 6(1)(f))", "Yes / Required (Sheet 3)", "")</f>
        <v/>
      </c>
      <c r="L2610" s="7" t="n"/>
      <c r="M2610" s="7" t="n"/>
      <c r="N2610">
        <f>IF(D2610="", "Gap - No Legal Basis", IF(AND(D2610="Consent (GDPR Art. 6(1)(a))", I2610="Not Captured"), "Gap - Invalid Consent", IF(AND(D2610="Legitimate Interest (GDPR Art. 6(1)(f))", L2610=""), "Gap - Missing LIA", IF(AND(G2610="Yes", H2610=""), "Gap - Missing Art. 9 Basis", IF(OR(I2610="Invalid - Not Freely Given", I2610="Invalid - Not Specific", I2610="Invalid - Not Informed", I2610="Invalid - Ambiguous"), "Gap - Invalid Consent", "Compliant")))))</f>
        <v/>
      </c>
      <c r="O2610" s="7" t="n"/>
    </row>
    <row r="2611">
      <c r="A2611" s="7" t="n"/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>
        <f>IF(D2611="Legitimate Interest (GDPR Art. 6(1)(f))", "Yes / Required (Sheet 3)", "")</f>
        <v/>
      </c>
      <c r="L2611" s="7" t="n"/>
      <c r="M2611" s="7" t="n"/>
      <c r="N2611">
        <f>IF(D2611="", "Gap - No Legal Basis", IF(AND(D2611="Consent (GDPR Art. 6(1)(a))", I2611="Not Captured"), "Gap - Invalid Consent", IF(AND(D2611="Legitimate Interest (GDPR Art. 6(1)(f))", L2611=""), "Gap - Missing LIA", IF(AND(G2611="Yes", H2611=""), "Gap - Missing Art. 9 Basis", IF(OR(I2611="Invalid - Not Freely Given", I2611="Invalid - Not Specific", I2611="Invalid - Not Informed", I2611="Invalid - Ambiguous"), "Gap - Invalid Consent", "Compliant")))))</f>
        <v/>
      </c>
      <c r="O2611" s="7" t="n"/>
    </row>
    <row r="2612">
      <c r="A2612" s="7" t="n"/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>
        <f>IF(D2612="Legitimate Interest (GDPR Art. 6(1)(f))", "Yes / Required (Sheet 3)", "")</f>
        <v/>
      </c>
      <c r="L2612" s="7" t="n"/>
      <c r="M2612" s="7" t="n"/>
      <c r="N2612">
        <f>IF(D2612="", "Gap - No Legal Basis", IF(AND(D2612="Consent (GDPR Art. 6(1)(a))", I2612="Not Captured"), "Gap - Invalid Consent", IF(AND(D2612="Legitimate Interest (GDPR Art. 6(1)(f))", L2612=""), "Gap - Missing LIA", IF(AND(G2612="Yes", H2612=""), "Gap - Missing Art. 9 Basis", IF(OR(I2612="Invalid - Not Freely Given", I2612="Invalid - Not Specific", I2612="Invalid - Not Informed", I2612="Invalid - Ambiguous"), "Gap - Invalid Consent", "Compliant")))))</f>
        <v/>
      </c>
      <c r="O2612" s="7" t="n"/>
    </row>
    <row r="2613">
      <c r="A2613" s="7" t="n"/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>
        <f>IF(D2613="Legitimate Interest (GDPR Art. 6(1)(f))", "Yes / Required (Sheet 3)", "")</f>
        <v/>
      </c>
      <c r="L2613" s="7" t="n"/>
      <c r="M2613" s="7" t="n"/>
      <c r="N2613">
        <f>IF(D2613="", "Gap - No Legal Basis", IF(AND(D2613="Consent (GDPR Art. 6(1)(a))", I2613="Not Captured"), "Gap - Invalid Consent", IF(AND(D2613="Legitimate Interest (GDPR Art. 6(1)(f))", L2613=""), "Gap - Missing LIA", IF(AND(G2613="Yes", H2613=""), "Gap - Missing Art. 9 Basis", IF(OR(I2613="Invalid - Not Freely Given", I2613="Invalid - Not Specific", I2613="Invalid - Not Informed", I2613="Invalid - Ambiguous"), "Gap - Invalid Consent", "Compliant")))))</f>
        <v/>
      </c>
      <c r="O2613" s="7" t="n"/>
    </row>
    <row r="2614">
      <c r="A2614" s="7" t="n"/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>
        <f>IF(D2614="Legitimate Interest (GDPR Art. 6(1)(f))", "Yes / Required (Sheet 3)", "")</f>
        <v/>
      </c>
      <c r="L2614" s="7" t="n"/>
      <c r="M2614" s="7" t="n"/>
      <c r="N2614">
        <f>IF(D2614="", "Gap - No Legal Basis", IF(AND(D2614="Consent (GDPR Art. 6(1)(a))", I2614="Not Captured"), "Gap - Invalid Consent", IF(AND(D2614="Legitimate Interest (GDPR Art. 6(1)(f))", L2614=""), "Gap - Missing LIA", IF(AND(G2614="Yes", H2614=""), "Gap - Missing Art. 9 Basis", IF(OR(I2614="Invalid - Not Freely Given", I2614="Invalid - Not Specific", I2614="Invalid - Not Informed", I2614="Invalid - Ambiguous"), "Gap - Invalid Consent", "Compliant")))))</f>
        <v/>
      </c>
      <c r="O2614" s="7" t="n"/>
    </row>
    <row r="2615">
      <c r="A2615" s="7" t="n"/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>
        <f>IF(D2615="Legitimate Interest (GDPR Art. 6(1)(f))", "Yes / Required (Sheet 3)", "")</f>
        <v/>
      </c>
      <c r="L2615" s="7" t="n"/>
      <c r="M2615" s="7" t="n"/>
      <c r="N2615">
        <f>IF(D2615="", "Gap - No Legal Basis", IF(AND(D2615="Consent (GDPR Art. 6(1)(a))", I2615="Not Captured"), "Gap - Invalid Consent", IF(AND(D2615="Legitimate Interest (GDPR Art. 6(1)(f))", L2615=""), "Gap - Missing LIA", IF(AND(G2615="Yes", H2615=""), "Gap - Missing Art. 9 Basis", IF(OR(I2615="Invalid - Not Freely Given", I2615="Invalid - Not Specific", I2615="Invalid - Not Informed", I2615="Invalid - Ambiguous"), "Gap - Invalid Consent", "Compliant")))))</f>
        <v/>
      </c>
      <c r="O2615" s="7" t="n"/>
    </row>
    <row r="2616">
      <c r="A2616" s="7" t="n"/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>
        <f>IF(D2616="Legitimate Interest (GDPR Art. 6(1)(f))", "Yes / Required (Sheet 3)", "")</f>
        <v/>
      </c>
      <c r="L2616" s="7" t="n"/>
      <c r="M2616" s="7" t="n"/>
      <c r="N2616">
        <f>IF(D2616="", "Gap - No Legal Basis", IF(AND(D2616="Consent (GDPR Art. 6(1)(a))", I2616="Not Captured"), "Gap - Invalid Consent", IF(AND(D2616="Legitimate Interest (GDPR Art. 6(1)(f))", L2616=""), "Gap - Missing LIA", IF(AND(G2616="Yes", H2616=""), "Gap - Missing Art. 9 Basis", IF(OR(I2616="Invalid - Not Freely Given", I2616="Invalid - Not Specific", I2616="Invalid - Not Informed", I2616="Invalid - Ambiguous"), "Gap - Invalid Consent", "Compliant")))))</f>
        <v/>
      </c>
      <c r="O2616" s="7" t="n"/>
    </row>
    <row r="2617">
      <c r="A2617" s="7" t="n"/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>
        <f>IF(D2617="Legitimate Interest (GDPR Art. 6(1)(f))", "Yes / Required (Sheet 3)", "")</f>
        <v/>
      </c>
      <c r="L2617" s="7" t="n"/>
      <c r="M2617" s="7" t="n"/>
      <c r="N2617">
        <f>IF(D2617="", "Gap - No Legal Basis", IF(AND(D2617="Consent (GDPR Art. 6(1)(a))", I2617="Not Captured"), "Gap - Invalid Consent", IF(AND(D2617="Legitimate Interest (GDPR Art. 6(1)(f))", L2617=""), "Gap - Missing LIA", IF(AND(G2617="Yes", H2617=""), "Gap - Missing Art. 9 Basis", IF(OR(I2617="Invalid - Not Freely Given", I2617="Invalid - Not Specific", I2617="Invalid - Not Informed", I2617="Invalid - Ambiguous"), "Gap - Invalid Consent", "Compliant")))))</f>
        <v/>
      </c>
      <c r="O2617" s="7" t="n"/>
    </row>
    <row r="2618">
      <c r="A2618" s="7" t="n"/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>
        <f>IF(D2618="Legitimate Interest (GDPR Art. 6(1)(f))", "Yes / Required (Sheet 3)", "")</f>
        <v/>
      </c>
      <c r="L2618" s="7" t="n"/>
      <c r="M2618" s="7" t="n"/>
      <c r="N2618">
        <f>IF(D2618="", "Gap - No Legal Basis", IF(AND(D2618="Consent (GDPR Art. 6(1)(a))", I2618="Not Captured"), "Gap - Invalid Consent", IF(AND(D2618="Legitimate Interest (GDPR Art. 6(1)(f))", L2618=""), "Gap - Missing LIA", IF(AND(G2618="Yes", H2618=""), "Gap - Missing Art. 9 Basis", IF(OR(I2618="Invalid - Not Freely Given", I2618="Invalid - Not Specific", I2618="Invalid - Not Informed", I2618="Invalid - Ambiguous"), "Gap - Invalid Consent", "Compliant")))))</f>
        <v/>
      </c>
      <c r="O2618" s="7" t="n"/>
    </row>
    <row r="2619">
      <c r="A2619" s="7" t="n"/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>
        <f>IF(D2619="Legitimate Interest (GDPR Art. 6(1)(f))", "Yes / Required (Sheet 3)", "")</f>
        <v/>
      </c>
      <c r="L2619" s="7" t="n"/>
      <c r="M2619" s="7" t="n"/>
      <c r="N2619">
        <f>IF(D2619="", "Gap - No Legal Basis", IF(AND(D2619="Consent (GDPR Art. 6(1)(a))", I2619="Not Captured"), "Gap - Invalid Consent", IF(AND(D2619="Legitimate Interest (GDPR Art. 6(1)(f))", L2619=""), "Gap - Missing LIA", IF(AND(G2619="Yes", H2619=""), "Gap - Missing Art. 9 Basis", IF(OR(I2619="Invalid - Not Freely Given", I2619="Invalid - Not Specific", I2619="Invalid - Not Informed", I2619="Invalid - Ambiguous"), "Gap - Invalid Consent", "Compliant")))))</f>
        <v/>
      </c>
      <c r="O2619" s="7" t="n"/>
    </row>
    <row r="2620">
      <c r="A2620" s="7" t="n"/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>
        <f>IF(D2620="Legitimate Interest (GDPR Art. 6(1)(f))", "Yes / Required (Sheet 3)", "")</f>
        <v/>
      </c>
      <c r="L2620" s="7" t="n"/>
      <c r="M2620" s="7" t="n"/>
      <c r="N2620">
        <f>IF(D2620="", "Gap - No Legal Basis", IF(AND(D2620="Consent (GDPR Art. 6(1)(a))", I2620="Not Captured"), "Gap - Invalid Consent", IF(AND(D2620="Legitimate Interest (GDPR Art. 6(1)(f))", L2620=""), "Gap - Missing LIA", IF(AND(G2620="Yes", H2620=""), "Gap - Missing Art. 9 Basis", IF(OR(I2620="Invalid - Not Freely Given", I2620="Invalid - Not Specific", I2620="Invalid - Not Informed", I2620="Invalid - Ambiguous"), "Gap - Invalid Consent", "Compliant")))))</f>
        <v/>
      </c>
      <c r="O2620" s="7" t="n"/>
    </row>
    <row r="2621">
      <c r="A2621" s="7" t="n"/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>
        <f>IF(D2621="Legitimate Interest (GDPR Art. 6(1)(f))", "Yes / Required (Sheet 3)", "")</f>
        <v/>
      </c>
      <c r="L2621" s="7" t="n"/>
      <c r="M2621" s="7" t="n"/>
      <c r="N2621">
        <f>IF(D2621="", "Gap - No Legal Basis", IF(AND(D2621="Consent (GDPR Art. 6(1)(a))", I2621="Not Captured"), "Gap - Invalid Consent", IF(AND(D2621="Legitimate Interest (GDPR Art. 6(1)(f))", L2621=""), "Gap - Missing LIA", IF(AND(G2621="Yes", H2621=""), "Gap - Missing Art. 9 Basis", IF(OR(I2621="Invalid - Not Freely Given", I2621="Invalid - Not Specific", I2621="Invalid - Not Informed", I2621="Invalid - Ambiguous"), "Gap - Invalid Consent", "Compliant")))))</f>
        <v/>
      </c>
      <c r="O2621" s="7" t="n"/>
    </row>
    <row r="2622">
      <c r="A2622" s="7" t="n"/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>
        <f>IF(D2622="Legitimate Interest (GDPR Art. 6(1)(f))", "Yes / Required (Sheet 3)", "")</f>
        <v/>
      </c>
      <c r="L2622" s="7" t="n"/>
      <c r="M2622" s="7" t="n"/>
      <c r="N2622">
        <f>IF(D2622="", "Gap - No Legal Basis", IF(AND(D2622="Consent (GDPR Art. 6(1)(a))", I2622="Not Captured"), "Gap - Invalid Consent", IF(AND(D2622="Legitimate Interest (GDPR Art. 6(1)(f))", L2622=""), "Gap - Missing LIA", IF(AND(G2622="Yes", H2622=""), "Gap - Missing Art. 9 Basis", IF(OR(I2622="Invalid - Not Freely Given", I2622="Invalid - Not Specific", I2622="Invalid - Not Informed", I2622="Invalid - Ambiguous"), "Gap - Invalid Consent", "Compliant")))))</f>
        <v/>
      </c>
      <c r="O2622" s="7" t="n"/>
    </row>
    <row r="2623">
      <c r="A2623" s="7" t="n"/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>
        <f>IF(D2623="Legitimate Interest (GDPR Art. 6(1)(f))", "Yes / Required (Sheet 3)", "")</f>
        <v/>
      </c>
      <c r="L2623" s="7" t="n"/>
      <c r="M2623" s="7" t="n"/>
      <c r="N2623">
        <f>IF(D2623="", "Gap - No Legal Basis", IF(AND(D2623="Consent (GDPR Art. 6(1)(a))", I2623="Not Captured"), "Gap - Invalid Consent", IF(AND(D2623="Legitimate Interest (GDPR Art. 6(1)(f))", L2623=""), "Gap - Missing LIA", IF(AND(G2623="Yes", H2623=""), "Gap - Missing Art. 9 Basis", IF(OR(I2623="Invalid - Not Freely Given", I2623="Invalid - Not Specific", I2623="Invalid - Not Informed", I2623="Invalid - Ambiguous"), "Gap - Invalid Consent", "Compliant")))))</f>
        <v/>
      </c>
      <c r="O2623" s="7" t="n"/>
    </row>
    <row r="2624">
      <c r="A2624" s="7" t="n"/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>
        <f>IF(D2624="Legitimate Interest (GDPR Art. 6(1)(f))", "Yes / Required (Sheet 3)", "")</f>
        <v/>
      </c>
      <c r="L2624" s="7" t="n"/>
      <c r="M2624" s="7" t="n"/>
      <c r="N2624">
        <f>IF(D2624="", "Gap - No Legal Basis", IF(AND(D2624="Consent (GDPR Art. 6(1)(a))", I2624="Not Captured"), "Gap - Invalid Consent", IF(AND(D2624="Legitimate Interest (GDPR Art. 6(1)(f))", L2624=""), "Gap - Missing LIA", IF(AND(G2624="Yes", H2624=""), "Gap - Missing Art. 9 Basis", IF(OR(I2624="Invalid - Not Freely Given", I2624="Invalid - Not Specific", I2624="Invalid - Not Informed", I2624="Invalid - Ambiguous"), "Gap - Invalid Consent", "Compliant")))))</f>
        <v/>
      </c>
      <c r="O2624" s="7" t="n"/>
    </row>
    <row r="2625">
      <c r="A2625" s="7" t="n"/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>
        <f>IF(D2625="Legitimate Interest (GDPR Art. 6(1)(f))", "Yes / Required (Sheet 3)", "")</f>
        <v/>
      </c>
      <c r="L2625" s="7" t="n"/>
      <c r="M2625" s="7" t="n"/>
      <c r="N2625">
        <f>IF(D2625="", "Gap - No Legal Basis", IF(AND(D2625="Consent (GDPR Art. 6(1)(a))", I2625="Not Captured"), "Gap - Invalid Consent", IF(AND(D2625="Legitimate Interest (GDPR Art. 6(1)(f))", L2625=""), "Gap - Missing LIA", IF(AND(G2625="Yes", H2625=""), "Gap - Missing Art. 9 Basis", IF(OR(I2625="Invalid - Not Freely Given", I2625="Invalid - Not Specific", I2625="Invalid - Not Informed", I2625="Invalid - Ambiguous"), "Gap - Invalid Consent", "Compliant")))))</f>
        <v/>
      </c>
      <c r="O2625" s="7" t="n"/>
    </row>
    <row r="2626">
      <c r="A2626" s="7" t="n"/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>
        <f>IF(D2626="Legitimate Interest (GDPR Art. 6(1)(f))", "Yes / Required (Sheet 3)", "")</f>
        <v/>
      </c>
      <c r="L2626" s="7" t="n"/>
      <c r="M2626" s="7" t="n"/>
      <c r="N2626">
        <f>IF(D2626="", "Gap - No Legal Basis", IF(AND(D2626="Consent (GDPR Art. 6(1)(a))", I2626="Not Captured"), "Gap - Invalid Consent", IF(AND(D2626="Legitimate Interest (GDPR Art. 6(1)(f))", L2626=""), "Gap - Missing LIA", IF(AND(G2626="Yes", H2626=""), "Gap - Missing Art. 9 Basis", IF(OR(I2626="Invalid - Not Freely Given", I2626="Invalid - Not Specific", I2626="Invalid - Not Informed", I2626="Invalid - Ambiguous"), "Gap - Invalid Consent", "Compliant")))))</f>
        <v/>
      </c>
      <c r="O2626" s="7" t="n"/>
    </row>
    <row r="2627">
      <c r="A2627" s="7" t="n"/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>
        <f>IF(D2627="Legitimate Interest (GDPR Art. 6(1)(f))", "Yes / Required (Sheet 3)", "")</f>
        <v/>
      </c>
      <c r="L2627" s="7" t="n"/>
      <c r="M2627" s="7" t="n"/>
      <c r="N2627">
        <f>IF(D2627="", "Gap - No Legal Basis", IF(AND(D2627="Consent (GDPR Art. 6(1)(a))", I2627="Not Captured"), "Gap - Invalid Consent", IF(AND(D2627="Legitimate Interest (GDPR Art. 6(1)(f))", L2627=""), "Gap - Missing LIA", IF(AND(G2627="Yes", H2627=""), "Gap - Missing Art. 9 Basis", IF(OR(I2627="Invalid - Not Freely Given", I2627="Invalid - Not Specific", I2627="Invalid - Not Informed", I2627="Invalid - Ambiguous"), "Gap - Invalid Consent", "Compliant")))))</f>
        <v/>
      </c>
      <c r="O2627" s="7" t="n"/>
    </row>
    <row r="2628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>
        <f>IF(D2628="Legitimate Interest (GDPR Art. 6(1)(f))", "Yes / Required (Sheet 3)", "")</f>
        <v/>
      </c>
      <c r="L2628" s="7" t="n"/>
      <c r="M2628" s="7" t="n"/>
      <c r="N2628">
        <f>IF(D2628="", "Gap - No Legal Basis", IF(AND(D2628="Consent (GDPR Art. 6(1)(a))", I2628="Not Captured"), "Gap - Invalid Consent", IF(AND(D2628="Legitimate Interest (GDPR Art. 6(1)(f))", L2628=""), "Gap - Missing LIA", IF(AND(G2628="Yes", H2628=""), "Gap - Missing Art. 9 Basis", IF(OR(I2628="Invalid - Not Freely Given", I2628="Invalid - Not Specific", I2628="Invalid - Not Informed", I2628="Invalid - Ambiguous"), "Gap - Invalid Consent", "Compliant")))))</f>
        <v/>
      </c>
      <c r="O2628" s="7" t="n"/>
    </row>
    <row r="2629">
      <c r="A2629" s="7" t="n"/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>
        <f>IF(D2629="Legitimate Interest (GDPR Art. 6(1)(f))", "Yes / Required (Sheet 3)", "")</f>
        <v/>
      </c>
      <c r="L2629" s="7" t="n"/>
      <c r="M2629" s="7" t="n"/>
      <c r="N2629">
        <f>IF(D2629="", "Gap - No Legal Basis", IF(AND(D2629="Consent (GDPR Art. 6(1)(a))", I2629="Not Captured"), "Gap - Invalid Consent", IF(AND(D2629="Legitimate Interest (GDPR Art. 6(1)(f))", L2629=""), "Gap - Missing LIA", IF(AND(G2629="Yes", H2629=""), "Gap - Missing Art. 9 Basis", IF(OR(I2629="Invalid - Not Freely Given", I2629="Invalid - Not Specific", I2629="Invalid - Not Informed", I2629="Invalid - Ambiguous"), "Gap - Invalid Consent", "Compliant")))))</f>
        <v/>
      </c>
      <c r="O2629" s="7" t="n"/>
    </row>
    <row r="2630">
      <c r="A2630" s="7" t="n"/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>
        <f>IF(D2630="Legitimate Interest (GDPR Art. 6(1)(f))", "Yes / Required (Sheet 3)", "")</f>
        <v/>
      </c>
      <c r="L2630" s="7" t="n"/>
      <c r="M2630" s="7" t="n"/>
      <c r="N2630">
        <f>IF(D2630="", "Gap - No Legal Basis", IF(AND(D2630="Consent (GDPR Art. 6(1)(a))", I2630="Not Captured"), "Gap - Invalid Consent", IF(AND(D2630="Legitimate Interest (GDPR Art. 6(1)(f))", L2630=""), "Gap - Missing LIA", IF(AND(G2630="Yes", H2630=""), "Gap - Missing Art. 9 Basis", IF(OR(I2630="Invalid - Not Freely Given", I2630="Invalid - Not Specific", I2630="Invalid - Not Informed", I2630="Invalid - Ambiguous"), "Gap - Invalid Consent", "Compliant")))))</f>
        <v/>
      </c>
      <c r="O2630" s="7" t="n"/>
    </row>
    <row r="2631">
      <c r="A2631" s="7" t="n"/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>
        <f>IF(D2631="Legitimate Interest (GDPR Art. 6(1)(f))", "Yes / Required (Sheet 3)", "")</f>
        <v/>
      </c>
      <c r="L2631" s="7" t="n"/>
      <c r="M2631" s="7" t="n"/>
      <c r="N2631">
        <f>IF(D2631="", "Gap - No Legal Basis", IF(AND(D2631="Consent (GDPR Art. 6(1)(a))", I2631="Not Captured"), "Gap - Invalid Consent", IF(AND(D2631="Legitimate Interest (GDPR Art. 6(1)(f))", L2631=""), "Gap - Missing LIA", IF(AND(G2631="Yes", H2631=""), "Gap - Missing Art. 9 Basis", IF(OR(I2631="Invalid - Not Freely Given", I2631="Invalid - Not Specific", I2631="Invalid - Not Informed", I2631="Invalid - Ambiguous"), "Gap - Invalid Consent", "Compliant")))))</f>
        <v/>
      </c>
      <c r="O2631" s="7" t="n"/>
    </row>
    <row r="2632">
      <c r="A2632" s="7" t="n"/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>
        <f>IF(D2632="Legitimate Interest (GDPR Art. 6(1)(f))", "Yes / Required (Sheet 3)", "")</f>
        <v/>
      </c>
      <c r="L2632" s="7" t="n"/>
      <c r="M2632" s="7" t="n"/>
      <c r="N2632">
        <f>IF(D2632="", "Gap - No Legal Basis", IF(AND(D2632="Consent (GDPR Art. 6(1)(a))", I2632="Not Captured"), "Gap - Invalid Consent", IF(AND(D2632="Legitimate Interest (GDPR Art. 6(1)(f))", L2632=""), "Gap - Missing LIA", IF(AND(G2632="Yes", H2632=""), "Gap - Missing Art. 9 Basis", IF(OR(I2632="Invalid - Not Freely Given", I2632="Invalid - Not Specific", I2632="Invalid - Not Informed", I2632="Invalid - Ambiguous"), "Gap - Invalid Consent", "Compliant")))))</f>
        <v/>
      </c>
      <c r="O2632" s="7" t="n"/>
    </row>
    <row r="2633">
      <c r="A2633" s="7" t="n"/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>
        <f>IF(D2633="Legitimate Interest (GDPR Art. 6(1)(f))", "Yes / Required (Sheet 3)", "")</f>
        <v/>
      </c>
      <c r="L2633" s="7" t="n"/>
      <c r="M2633" s="7" t="n"/>
      <c r="N2633">
        <f>IF(D2633="", "Gap - No Legal Basis", IF(AND(D2633="Consent (GDPR Art. 6(1)(a))", I2633="Not Captured"), "Gap - Invalid Consent", IF(AND(D2633="Legitimate Interest (GDPR Art. 6(1)(f))", L2633=""), "Gap - Missing LIA", IF(AND(G2633="Yes", H2633=""), "Gap - Missing Art. 9 Basis", IF(OR(I2633="Invalid - Not Freely Given", I2633="Invalid - Not Specific", I2633="Invalid - Not Informed", I2633="Invalid - Ambiguous"), "Gap - Invalid Consent", "Compliant")))))</f>
        <v/>
      </c>
      <c r="O2633" s="7" t="n"/>
    </row>
    <row r="2634">
      <c r="A2634" s="7" t="n"/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>
        <f>IF(D2634="Legitimate Interest (GDPR Art. 6(1)(f))", "Yes / Required (Sheet 3)", "")</f>
        <v/>
      </c>
      <c r="L2634" s="7" t="n"/>
      <c r="M2634" s="7" t="n"/>
      <c r="N2634">
        <f>IF(D2634="", "Gap - No Legal Basis", IF(AND(D2634="Consent (GDPR Art. 6(1)(a))", I2634="Not Captured"), "Gap - Invalid Consent", IF(AND(D2634="Legitimate Interest (GDPR Art. 6(1)(f))", L2634=""), "Gap - Missing LIA", IF(AND(G2634="Yes", H2634=""), "Gap - Missing Art. 9 Basis", IF(OR(I2634="Invalid - Not Freely Given", I2634="Invalid - Not Specific", I2634="Invalid - Not Informed", I2634="Invalid - Ambiguous"), "Gap - Invalid Consent", "Compliant")))))</f>
        <v/>
      </c>
      <c r="O2634" s="7" t="n"/>
    </row>
    <row r="2635">
      <c r="A2635" s="7" t="n"/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>
        <f>IF(D2635="Legitimate Interest (GDPR Art. 6(1)(f))", "Yes / Required (Sheet 3)", "")</f>
        <v/>
      </c>
      <c r="L2635" s="7" t="n"/>
      <c r="M2635" s="7" t="n"/>
      <c r="N2635">
        <f>IF(D2635="", "Gap - No Legal Basis", IF(AND(D2635="Consent (GDPR Art. 6(1)(a))", I2635="Not Captured"), "Gap - Invalid Consent", IF(AND(D2635="Legitimate Interest (GDPR Art. 6(1)(f))", L2635=""), "Gap - Missing LIA", IF(AND(G2635="Yes", H2635=""), "Gap - Missing Art. 9 Basis", IF(OR(I2635="Invalid - Not Freely Given", I2635="Invalid - Not Specific", I2635="Invalid - Not Informed", I2635="Invalid - Ambiguous"), "Gap - Invalid Consent", "Compliant")))))</f>
        <v/>
      </c>
      <c r="O2635" s="7" t="n"/>
    </row>
    <row r="2636">
      <c r="A2636" s="7" t="n"/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>
        <f>IF(D2636="Legitimate Interest (GDPR Art. 6(1)(f))", "Yes / Required (Sheet 3)", "")</f>
        <v/>
      </c>
      <c r="L2636" s="7" t="n"/>
      <c r="M2636" s="7" t="n"/>
      <c r="N2636">
        <f>IF(D2636="", "Gap - No Legal Basis", IF(AND(D2636="Consent (GDPR Art. 6(1)(a))", I2636="Not Captured"), "Gap - Invalid Consent", IF(AND(D2636="Legitimate Interest (GDPR Art. 6(1)(f))", L2636=""), "Gap - Missing LIA", IF(AND(G2636="Yes", H2636=""), "Gap - Missing Art. 9 Basis", IF(OR(I2636="Invalid - Not Freely Given", I2636="Invalid - Not Specific", I2636="Invalid - Not Informed", I2636="Invalid - Ambiguous"), "Gap - Invalid Consent", "Compliant")))))</f>
        <v/>
      </c>
      <c r="O2636" s="7" t="n"/>
    </row>
    <row r="2637">
      <c r="A2637" s="7" t="n"/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>
        <f>IF(D2637="Legitimate Interest (GDPR Art. 6(1)(f))", "Yes / Required (Sheet 3)", "")</f>
        <v/>
      </c>
      <c r="L2637" s="7" t="n"/>
      <c r="M2637" s="7" t="n"/>
      <c r="N2637">
        <f>IF(D2637="", "Gap - No Legal Basis", IF(AND(D2637="Consent (GDPR Art. 6(1)(a))", I2637="Not Captured"), "Gap - Invalid Consent", IF(AND(D2637="Legitimate Interest (GDPR Art. 6(1)(f))", L2637=""), "Gap - Missing LIA", IF(AND(G2637="Yes", H2637=""), "Gap - Missing Art. 9 Basis", IF(OR(I2637="Invalid - Not Freely Given", I2637="Invalid - Not Specific", I2637="Invalid - Not Informed", I2637="Invalid - Ambiguous"), "Gap - Invalid Consent", "Compliant")))))</f>
        <v/>
      </c>
      <c r="O2637" s="7" t="n"/>
    </row>
    <row r="2638">
      <c r="A2638" s="7" t="n"/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>
        <f>IF(D2638="Legitimate Interest (GDPR Art. 6(1)(f))", "Yes / Required (Sheet 3)", "")</f>
        <v/>
      </c>
      <c r="L2638" s="7" t="n"/>
      <c r="M2638" s="7" t="n"/>
      <c r="N2638">
        <f>IF(D2638="", "Gap - No Legal Basis", IF(AND(D2638="Consent (GDPR Art. 6(1)(a))", I2638="Not Captured"), "Gap - Invalid Consent", IF(AND(D2638="Legitimate Interest (GDPR Art. 6(1)(f))", L2638=""), "Gap - Missing LIA", IF(AND(G2638="Yes", H2638=""), "Gap - Missing Art. 9 Basis", IF(OR(I2638="Invalid - Not Freely Given", I2638="Invalid - Not Specific", I2638="Invalid - Not Informed", I2638="Invalid - Ambiguous"), "Gap - Invalid Consent", "Compliant")))))</f>
        <v/>
      </c>
      <c r="O2638" s="7" t="n"/>
    </row>
    <row r="2639">
      <c r="A2639" s="7" t="n"/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>
        <f>IF(D2639="Legitimate Interest (GDPR Art. 6(1)(f))", "Yes / Required (Sheet 3)", "")</f>
        <v/>
      </c>
      <c r="L2639" s="7" t="n"/>
      <c r="M2639" s="7" t="n"/>
      <c r="N2639">
        <f>IF(D2639="", "Gap - No Legal Basis", IF(AND(D2639="Consent (GDPR Art. 6(1)(a))", I2639="Not Captured"), "Gap - Invalid Consent", IF(AND(D2639="Legitimate Interest (GDPR Art. 6(1)(f))", L2639=""), "Gap - Missing LIA", IF(AND(G2639="Yes", H2639=""), "Gap - Missing Art. 9 Basis", IF(OR(I2639="Invalid - Not Freely Given", I2639="Invalid - Not Specific", I2639="Invalid - Not Informed", I2639="Invalid - Ambiguous"), "Gap - Invalid Consent", "Compliant")))))</f>
        <v/>
      </c>
      <c r="O2639" s="7" t="n"/>
    </row>
    <row r="2640">
      <c r="A2640" s="7" t="n"/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>
        <f>IF(D2640="Legitimate Interest (GDPR Art. 6(1)(f))", "Yes / Required (Sheet 3)", "")</f>
        <v/>
      </c>
      <c r="L2640" s="7" t="n"/>
      <c r="M2640" s="7" t="n"/>
      <c r="N2640">
        <f>IF(D2640="", "Gap - No Legal Basis", IF(AND(D2640="Consent (GDPR Art. 6(1)(a))", I2640="Not Captured"), "Gap - Invalid Consent", IF(AND(D2640="Legitimate Interest (GDPR Art. 6(1)(f))", L2640=""), "Gap - Missing LIA", IF(AND(G2640="Yes", H2640=""), "Gap - Missing Art. 9 Basis", IF(OR(I2640="Invalid - Not Freely Given", I2640="Invalid - Not Specific", I2640="Invalid - Not Informed", I2640="Invalid - Ambiguous"), "Gap - Invalid Consent", "Compliant")))))</f>
        <v/>
      </c>
      <c r="O2640" s="7" t="n"/>
    </row>
    <row r="2641">
      <c r="A2641" s="7" t="n"/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>
        <f>IF(D2641="Legitimate Interest (GDPR Art. 6(1)(f))", "Yes / Required (Sheet 3)", "")</f>
        <v/>
      </c>
      <c r="L2641" s="7" t="n"/>
      <c r="M2641" s="7" t="n"/>
      <c r="N2641">
        <f>IF(D2641="", "Gap - No Legal Basis", IF(AND(D2641="Consent (GDPR Art. 6(1)(a))", I2641="Not Captured"), "Gap - Invalid Consent", IF(AND(D2641="Legitimate Interest (GDPR Art. 6(1)(f))", L2641=""), "Gap - Missing LIA", IF(AND(G2641="Yes", H2641=""), "Gap - Missing Art. 9 Basis", IF(OR(I2641="Invalid - Not Freely Given", I2641="Invalid - Not Specific", I2641="Invalid - Not Informed", I2641="Invalid - Ambiguous"), "Gap - Invalid Consent", "Compliant")))))</f>
        <v/>
      </c>
      <c r="O2641" s="7" t="n"/>
    </row>
    <row r="2642">
      <c r="A2642" s="7" t="n"/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>
        <f>IF(D2642="Legitimate Interest (GDPR Art. 6(1)(f))", "Yes / Required (Sheet 3)", "")</f>
        <v/>
      </c>
      <c r="L2642" s="7" t="n"/>
      <c r="M2642" s="7" t="n"/>
      <c r="N2642">
        <f>IF(D2642="", "Gap - No Legal Basis", IF(AND(D2642="Consent (GDPR Art. 6(1)(a))", I2642="Not Captured"), "Gap - Invalid Consent", IF(AND(D2642="Legitimate Interest (GDPR Art. 6(1)(f))", L2642=""), "Gap - Missing LIA", IF(AND(G2642="Yes", H2642=""), "Gap - Missing Art. 9 Basis", IF(OR(I2642="Invalid - Not Freely Given", I2642="Invalid - Not Specific", I2642="Invalid - Not Informed", I2642="Invalid - Ambiguous"), "Gap - Invalid Consent", "Compliant")))))</f>
        <v/>
      </c>
      <c r="O2642" s="7" t="n"/>
    </row>
    <row r="2643">
      <c r="A2643" s="7" t="n"/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>
        <f>IF(D2643="Legitimate Interest (GDPR Art. 6(1)(f))", "Yes / Required (Sheet 3)", "")</f>
        <v/>
      </c>
      <c r="L2643" s="7" t="n"/>
      <c r="M2643" s="7" t="n"/>
      <c r="N2643">
        <f>IF(D2643="", "Gap - No Legal Basis", IF(AND(D2643="Consent (GDPR Art. 6(1)(a))", I2643="Not Captured"), "Gap - Invalid Consent", IF(AND(D2643="Legitimate Interest (GDPR Art. 6(1)(f))", L2643=""), "Gap - Missing LIA", IF(AND(G2643="Yes", H2643=""), "Gap - Missing Art. 9 Basis", IF(OR(I2643="Invalid - Not Freely Given", I2643="Invalid - Not Specific", I2643="Invalid - Not Informed", I2643="Invalid - Ambiguous"), "Gap - Invalid Consent", "Compliant")))))</f>
        <v/>
      </c>
      <c r="O2643" s="7" t="n"/>
    </row>
    <row r="2644">
      <c r="A2644" s="7" t="n"/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>
        <f>IF(D2644="Legitimate Interest (GDPR Art. 6(1)(f))", "Yes / Required (Sheet 3)", "")</f>
        <v/>
      </c>
      <c r="L2644" s="7" t="n"/>
      <c r="M2644" s="7" t="n"/>
      <c r="N2644">
        <f>IF(D2644="", "Gap - No Legal Basis", IF(AND(D2644="Consent (GDPR Art. 6(1)(a))", I2644="Not Captured"), "Gap - Invalid Consent", IF(AND(D2644="Legitimate Interest (GDPR Art. 6(1)(f))", L2644=""), "Gap - Missing LIA", IF(AND(G2644="Yes", H2644=""), "Gap - Missing Art. 9 Basis", IF(OR(I2644="Invalid - Not Freely Given", I2644="Invalid - Not Specific", I2644="Invalid - Not Informed", I2644="Invalid - Ambiguous"), "Gap - Invalid Consent", "Compliant")))))</f>
        <v/>
      </c>
      <c r="O2644" s="7" t="n"/>
    </row>
    <row r="2645">
      <c r="A2645" s="7" t="n"/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>
        <f>IF(D2645="Legitimate Interest (GDPR Art. 6(1)(f))", "Yes / Required (Sheet 3)", "")</f>
        <v/>
      </c>
      <c r="L2645" s="7" t="n"/>
      <c r="M2645" s="7" t="n"/>
      <c r="N2645">
        <f>IF(D2645="", "Gap - No Legal Basis", IF(AND(D2645="Consent (GDPR Art. 6(1)(a))", I2645="Not Captured"), "Gap - Invalid Consent", IF(AND(D2645="Legitimate Interest (GDPR Art. 6(1)(f))", L2645=""), "Gap - Missing LIA", IF(AND(G2645="Yes", H2645=""), "Gap - Missing Art. 9 Basis", IF(OR(I2645="Invalid - Not Freely Given", I2645="Invalid - Not Specific", I2645="Invalid - Not Informed", I2645="Invalid - Ambiguous"), "Gap - Invalid Consent", "Compliant")))))</f>
        <v/>
      </c>
      <c r="O2645" s="7" t="n"/>
    </row>
    <row r="2646">
      <c r="A2646" s="7" t="n"/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>
        <f>IF(D2646="Legitimate Interest (GDPR Art. 6(1)(f))", "Yes / Required (Sheet 3)", "")</f>
        <v/>
      </c>
      <c r="L2646" s="7" t="n"/>
      <c r="M2646" s="7" t="n"/>
      <c r="N2646">
        <f>IF(D2646="", "Gap - No Legal Basis", IF(AND(D2646="Consent (GDPR Art. 6(1)(a))", I2646="Not Captured"), "Gap - Invalid Consent", IF(AND(D2646="Legitimate Interest (GDPR Art. 6(1)(f))", L2646=""), "Gap - Missing LIA", IF(AND(G2646="Yes", H2646=""), "Gap - Missing Art. 9 Basis", IF(OR(I2646="Invalid - Not Freely Given", I2646="Invalid - Not Specific", I2646="Invalid - Not Informed", I2646="Invalid - Ambiguous"), "Gap - Invalid Consent", "Compliant")))))</f>
        <v/>
      </c>
      <c r="O2646" s="7" t="n"/>
    </row>
    <row r="2647">
      <c r="A2647" s="7" t="n"/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>
        <f>IF(D2647="Legitimate Interest (GDPR Art. 6(1)(f))", "Yes / Required (Sheet 3)", "")</f>
        <v/>
      </c>
      <c r="L2647" s="7" t="n"/>
      <c r="M2647" s="7" t="n"/>
      <c r="N2647">
        <f>IF(D2647="", "Gap - No Legal Basis", IF(AND(D2647="Consent (GDPR Art. 6(1)(a))", I2647="Not Captured"), "Gap - Invalid Consent", IF(AND(D2647="Legitimate Interest (GDPR Art. 6(1)(f))", L2647=""), "Gap - Missing LIA", IF(AND(G2647="Yes", H2647=""), "Gap - Missing Art. 9 Basis", IF(OR(I2647="Invalid - Not Freely Given", I2647="Invalid - Not Specific", I2647="Invalid - Not Informed", I2647="Invalid - Ambiguous"), "Gap - Invalid Consent", "Compliant")))))</f>
        <v/>
      </c>
      <c r="O2647" s="7" t="n"/>
    </row>
    <row r="2648">
      <c r="A2648" s="7" t="n"/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>
        <f>IF(D2648="Legitimate Interest (GDPR Art. 6(1)(f))", "Yes / Required (Sheet 3)", "")</f>
        <v/>
      </c>
      <c r="L2648" s="7" t="n"/>
      <c r="M2648" s="7" t="n"/>
      <c r="N2648">
        <f>IF(D2648="", "Gap - No Legal Basis", IF(AND(D2648="Consent (GDPR Art. 6(1)(a))", I2648="Not Captured"), "Gap - Invalid Consent", IF(AND(D2648="Legitimate Interest (GDPR Art. 6(1)(f))", L2648=""), "Gap - Missing LIA", IF(AND(G2648="Yes", H2648=""), "Gap - Missing Art. 9 Basis", IF(OR(I2648="Invalid - Not Freely Given", I2648="Invalid - Not Specific", I2648="Invalid - Not Informed", I2648="Invalid - Ambiguous"), "Gap - Invalid Consent", "Compliant")))))</f>
        <v/>
      </c>
      <c r="O2648" s="7" t="n"/>
    </row>
    <row r="2649">
      <c r="A2649" s="7" t="n"/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>
        <f>IF(D2649="Legitimate Interest (GDPR Art. 6(1)(f))", "Yes / Required (Sheet 3)", "")</f>
        <v/>
      </c>
      <c r="L2649" s="7" t="n"/>
      <c r="M2649" s="7" t="n"/>
      <c r="N2649">
        <f>IF(D2649="", "Gap - No Legal Basis", IF(AND(D2649="Consent (GDPR Art. 6(1)(a))", I2649="Not Captured"), "Gap - Invalid Consent", IF(AND(D2649="Legitimate Interest (GDPR Art. 6(1)(f))", L2649=""), "Gap - Missing LIA", IF(AND(G2649="Yes", H2649=""), "Gap - Missing Art. 9 Basis", IF(OR(I2649="Invalid - Not Freely Given", I2649="Invalid - Not Specific", I2649="Invalid - Not Informed", I2649="Invalid - Ambiguous"), "Gap - Invalid Consent", "Compliant")))))</f>
        <v/>
      </c>
      <c r="O2649" s="7" t="n"/>
    </row>
    <row r="2650">
      <c r="A2650" s="7" t="n"/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>
        <f>IF(D2650="Legitimate Interest (GDPR Art. 6(1)(f))", "Yes / Required (Sheet 3)", "")</f>
        <v/>
      </c>
      <c r="L2650" s="7" t="n"/>
      <c r="M2650" s="7" t="n"/>
      <c r="N2650">
        <f>IF(D2650="", "Gap - No Legal Basis", IF(AND(D2650="Consent (GDPR Art. 6(1)(a))", I2650="Not Captured"), "Gap - Invalid Consent", IF(AND(D2650="Legitimate Interest (GDPR Art. 6(1)(f))", L2650=""), "Gap - Missing LIA", IF(AND(G2650="Yes", H2650=""), "Gap - Missing Art. 9 Basis", IF(OR(I2650="Invalid - Not Freely Given", I2650="Invalid - Not Specific", I2650="Invalid - Not Informed", I2650="Invalid - Ambiguous"), "Gap - Invalid Consent", "Compliant")))))</f>
        <v/>
      </c>
      <c r="O2650" s="7" t="n"/>
    </row>
    <row r="2651">
      <c r="A2651" s="7" t="n"/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>
        <f>IF(D2651="Legitimate Interest (GDPR Art. 6(1)(f))", "Yes / Required (Sheet 3)", "")</f>
        <v/>
      </c>
      <c r="L2651" s="7" t="n"/>
      <c r="M2651" s="7" t="n"/>
      <c r="N2651">
        <f>IF(D2651="", "Gap - No Legal Basis", IF(AND(D2651="Consent (GDPR Art. 6(1)(a))", I2651="Not Captured"), "Gap - Invalid Consent", IF(AND(D2651="Legitimate Interest (GDPR Art. 6(1)(f))", L2651=""), "Gap - Missing LIA", IF(AND(G2651="Yes", H2651=""), "Gap - Missing Art. 9 Basis", IF(OR(I2651="Invalid - Not Freely Given", I2651="Invalid - Not Specific", I2651="Invalid - Not Informed", I2651="Invalid - Ambiguous"), "Gap - Invalid Consent", "Compliant")))))</f>
        <v/>
      </c>
      <c r="O2651" s="7" t="n"/>
    </row>
    <row r="2652">
      <c r="A2652" s="7" t="n"/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>
        <f>IF(D2652="Legitimate Interest (GDPR Art. 6(1)(f))", "Yes / Required (Sheet 3)", "")</f>
        <v/>
      </c>
      <c r="L2652" s="7" t="n"/>
      <c r="M2652" s="7" t="n"/>
      <c r="N2652">
        <f>IF(D2652="", "Gap - No Legal Basis", IF(AND(D2652="Consent (GDPR Art. 6(1)(a))", I2652="Not Captured"), "Gap - Invalid Consent", IF(AND(D2652="Legitimate Interest (GDPR Art. 6(1)(f))", L2652=""), "Gap - Missing LIA", IF(AND(G2652="Yes", H2652=""), "Gap - Missing Art. 9 Basis", IF(OR(I2652="Invalid - Not Freely Given", I2652="Invalid - Not Specific", I2652="Invalid - Not Informed", I2652="Invalid - Ambiguous"), "Gap - Invalid Consent", "Compliant")))))</f>
        <v/>
      </c>
      <c r="O2652" s="7" t="n"/>
    </row>
    <row r="2653">
      <c r="A2653" s="7" t="n"/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>
        <f>IF(D2653="Legitimate Interest (GDPR Art. 6(1)(f))", "Yes / Required (Sheet 3)", "")</f>
        <v/>
      </c>
      <c r="L2653" s="7" t="n"/>
      <c r="M2653" s="7" t="n"/>
      <c r="N2653">
        <f>IF(D2653="", "Gap - No Legal Basis", IF(AND(D2653="Consent (GDPR Art. 6(1)(a))", I2653="Not Captured"), "Gap - Invalid Consent", IF(AND(D2653="Legitimate Interest (GDPR Art. 6(1)(f))", L2653=""), "Gap - Missing LIA", IF(AND(G2653="Yes", H2653=""), "Gap - Missing Art. 9 Basis", IF(OR(I2653="Invalid - Not Freely Given", I2653="Invalid - Not Specific", I2653="Invalid - Not Informed", I2653="Invalid - Ambiguous"), "Gap - Invalid Consent", "Compliant")))))</f>
        <v/>
      </c>
      <c r="O2653" s="7" t="n"/>
    </row>
    <row r="2654">
      <c r="A2654" s="7" t="n"/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>
        <f>IF(D2654="Legitimate Interest (GDPR Art. 6(1)(f))", "Yes / Required (Sheet 3)", "")</f>
        <v/>
      </c>
      <c r="L2654" s="7" t="n"/>
      <c r="M2654" s="7" t="n"/>
      <c r="N2654">
        <f>IF(D2654="", "Gap - No Legal Basis", IF(AND(D2654="Consent (GDPR Art. 6(1)(a))", I2654="Not Captured"), "Gap - Invalid Consent", IF(AND(D2654="Legitimate Interest (GDPR Art. 6(1)(f))", L2654=""), "Gap - Missing LIA", IF(AND(G2654="Yes", H2654=""), "Gap - Missing Art. 9 Basis", IF(OR(I2654="Invalid - Not Freely Given", I2654="Invalid - Not Specific", I2654="Invalid - Not Informed", I2654="Invalid - Ambiguous"), "Gap - Invalid Consent", "Compliant")))))</f>
        <v/>
      </c>
      <c r="O2654" s="7" t="n"/>
    </row>
    <row r="2655">
      <c r="A2655" s="7" t="n"/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>
        <f>IF(D2655="Legitimate Interest (GDPR Art. 6(1)(f))", "Yes / Required (Sheet 3)", "")</f>
        <v/>
      </c>
      <c r="L2655" s="7" t="n"/>
      <c r="M2655" s="7" t="n"/>
      <c r="N2655">
        <f>IF(D2655="", "Gap - No Legal Basis", IF(AND(D2655="Consent (GDPR Art. 6(1)(a))", I2655="Not Captured"), "Gap - Invalid Consent", IF(AND(D2655="Legitimate Interest (GDPR Art. 6(1)(f))", L2655=""), "Gap - Missing LIA", IF(AND(G2655="Yes", H2655=""), "Gap - Missing Art. 9 Basis", IF(OR(I2655="Invalid - Not Freely Given", I2655="Invalid - Not Specific", I2655="Invalid - Not Informed", I2655="Invalid - Ambiguous"), "Gap - Invalid Consent", "Compliant")))))</f>
        <v/>
      </c>
      <c r="O2655" s="7" t="n"/>
    </row>
    <row r="2656">
      <c r="A2656" s="7" t="n"/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>
        <f>IF(D2656="Legitimate Interest (GDPR Art. 6(1)(f))", "Yes / Required (Sheet 3)", "")</f>
        <v/>
      </c>
      <c r="L2656" s="7" t="n"/>
      <c r="M2656" s="7" t="n"/>
      <c r="N2656">
        <f>IF(D2656="", "Gap - No Legal Basis", IF(AND(D2656="Consent (GDPR Art. 6(1)(a))", I2656="Not Captured"), "Gap - Invalid Consent", IF(AND(D2656="Legitimate Interest (GDPR Art. 6(1)(f))", L2656=""), "Gap - Missing LIA", IF(AND(G2656="Yes", H2656=""), "Gap - Missing Art. 9 Basis", IF(OR(I2656="Invalid - Not Freely Given", I2656="Invalid - Not Specific", I2656="Invalid - Not Informed", I2656="Invalid - Ambiguous"), "Gap - Invalid Consent", "Compliant")))))</f>
        <v/>
      </c>
      <c r="O2656" s="7" t="n"/>
    </row>
    <row r="2657">
      <c r="A2657" s="7" t="n"/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>
        <f>IF(D2657="Legitimate Interest (GDPR Art. 6(1)(f))", "Yes / Required (Sheet 3)", "")</f>
        <v/>
      </c>
      <c r="L2657" s="7" t="n"/>
      <c r="M2657" s="7" t="n"/>
      <c r="N2657">
        <f>IF(D2657="", "Gap - No Legal Basis", IF(AND(D2657="Consent (GDPR Art. 6(1)(a))", I2657="Not Captured"), "Gap - Invalid Consent", IF(AND(D2657="Legitimate Interest (GDPR Art. 6(1)(f))", L2657=""), "Gap - Missing LIA", IF(AND(G2657="Yes", H2657=""), "Gap - Missing Art. 9 Basis", IF(OR(I2657="Invalid - Not Freely Given", I2657="Invalid - Not Specific", I2657="Invalid - Not Informed", I2657="Invalid - Ambiguous"), "Gap - Invalid Consent", "Compliant")))))</f>
        <v/>
      </c>
      <c r="O2657" s="7" t="n"/>
    </row>
    <row r="2658">
      <c r="A2658" s="7" t="n"/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>
        <f>IF(D2658="Legitimate Interest (GDPR Art. 6(1)(f))", "Yes / Required (Sheet 3)", "")</f>
        <v/>
      </c>
      <c r="L2658" s="7" t="n"/>
      <c r="M2658" s="7" t="n"/>
      <c r="N2658">
        <f>IF(D2658="", "Gap - No Legal Basis", IF(AND(D2658="Consent (GDPR Art. 6(1)(a))", I2658="Not Captured"), "Gap - Invalid Consent", IF(AND(D2658="Legitimate Interest (GDPR Art. 6(1)(f))", L2658=""), "Gap - Missing LIA", IF(AND(G2658="Yes", H2658=""), "Gap - Missing Art. 9 Basis", IF(OR(I2658="Invalid - Not Freely Given", I2658="Invalid - Not Specific", I2658="Invalid - Not Informed", I2658="Invalid - Ambiguous"), "Gap - Invalid Consent", "Compliant")))))</f>
        <v/>
      </c>
      <c r="O2658" s="7" t="n"/>
    </row>
    <row r="2659">
      <c r="A2659" s="7" t="n"/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>
        <f>IF(D2659="Legitimate Interest (GDPR Art. 6(1)(f))", "Yes / Required (Sheet 3)", "")</f>
        <v/>
      </c>
      <c r="L2659" s="7" t="n"/>
      <c r="M2659" s="7" t="n"/>
      <c r="N2659">
        <f>IF(D2659="", "Gap - No Legal Basis", IF(AND(D2659="Consent (GDPR Art. 6(1)(a))", I2659="Not Captured"), "Gap - Invalid Consent", IF(AND(D2659="Legitimate Interest (GDPR Art. 6(1)(f))", L2659=""), "Gap - Missing LIA", IF(AND(G2659="Yes", H2659=""), "Gap - Missing Art. 9 Basis", IF(OR(I2659="Invalid - Not Freely Given", I2659="Invalid - Not Specific", I2659="Invalid - Not Informed", I2659="Invalid - Ambiguous"), "Gap - Invalid Consent", "Compliant")))))</f>
        <v/>
      </c>
      <c r="O2659" s="7" t="n"/>
    </row>
    <row r="2660">
      <c r="A2660" s="7" t="n"/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>
        <f>IF(D2660="Legitimate Interest (GDPR Art. 6(1)(f))", "Yes / Required (Sheet 3)", "")</f>
        <v/>
      </c>
      <c r="L2660" s="7" t="n"/>
      <c r="M2660" s="7" t="n"/>
      <c r="N2660">
        <f>IF(D2660="", "Gap - No Legal Basis", IF(AND(D2660="Consent (GDPR Art. 6(1)(a))", I2660="Not Captured"), "Gap - Invalid Consent", IF(AND(D2660="Legitimate Interest (GDPR Art. 6(1)(f))", L2660=""), "Gap - Missing LIA", IF(AND(G2660="Yes", H2660=""), "Gap - Missing Art. 9 Basis", IF(OR(I2660="Invalid - Not Freely Given", I2660="Invalid - Not Specific", I2660="Invalid - Not Informed", I2660="Invalid - Ambiguous"), "Gap - Invalid Consent", "Compliant")))))</f>
        <v/>
      </c>
      <c r="O2660" s="7" t="n"/>
    </row>
    <row r="2661">
      <c r="A2661" s="7" t="n"/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>
        <f>IF(D2661="Legitimate Interest (GDPR Art. 6(1)(f))", "Yes / Required (Sheet 3)", "")</f>
        <v/>
      </c>
      <c r="L2661" s="7" t="n"/>
      <c r="M2661" s="7" t="n"/>
      <c r="N2661">
        <f>IF(D2661="", "Gap - No Legal Basis", IF(AND(D2661="Consent (GDPR Art. 6(1)(a))", I2661="Not Captured"), "Gap - Invalid Consent", IF(AND(D2661="Legitimate Interest (GDPR Art. 6(1)(f))", L2661=""), "Gap - Missing LIA", IF(AND(G2661="Yes", H2661=""), "Gap - Missing Art. 9 Basis", IF(OR(I2661="Invalid - Not Freely Given", I2661="Invalid - Not Specific", I2661="Invalid - Not Informed", I2661="Invalid - Ambiguous"), "Gap - Invalid Consent", "Compliant")))))</f>
        <v/>
      </c>
      <c r="O2661" s="7" t="n"/>
    </row>
    <row r="2662">
      <c r="A2662" s="7" t="n"/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>
        <f>IF(D2662="Legitimate Interest (GDPR Art. 6(1)(f))", "Yes / Required (Sheet 3)", "")</f>
        <v/>
      </c>
      <c r="L2662" s="7" t="n"/>
      <c r="M2662" s="7" t="n"/>
      <c r="N2662">
        <f>IF(D2662="", "Gap - No Legal Basis", IF(AND(D2662="Consent (GDPR Art. 6(1)(a))", I2662="Not Captured"), "Gap - Invalid Consent", IF(AND(D2662="Legitimate Interest (GDPR Art. 6(1)(f))", L2662=""), "Gap - Missing LIA", IF(AND(G2662="Yes", H2662=""), "Gap - Missing Art. 9 Basis", IF(OR(I2662="Invalid - Not Freely Given", I2662="Invalid - Not Specific", I2662="Invalid - Not Informed", I2662="Invalid - Ambiguous"), "Gap - Invalid Consent", "Compliant")))))</f>
        <v/>
      </c>
      <c r="O2662" s="7" t="n"/>
    </row>
    <row r="2663">
      <c r="A2663" s="7" t="n"/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>
        <f>IF(D2663="Legitimate Interest (GDPR Art. 6(1)(f))", "Yes / Required (Sheet 3)", "")</f>
        <v/>
      </c>
      <c r="L2663" s="7" t="n"/>
      <c r="M2663" s="7" t="n"/>
      <c r="N2663">
        <f>IF(D2663="", "Gap - No Legal Basis", IF(AND(D2663="Consent (GDPR Art. 6(1)(a))", I2663="Not Captured"), "Gap - Invalid Consent", IF(AND(D2663="Legitimate Interest (GDPR Art. 6(1)(f))", L2663=""), "Gap - Missing LIA", IF(AND(G2663="Yes", H2663=""), "Gap - Missing Art. 9 Basis", IF(OR(I2663="Invalid - Not Freely Given", I2663="Invalid - Not Specific", I2663="Invalid - Not Informed", I2663="Invalid - Ambiguous"), "Gap - Invalid Consent", "Compliant")))))</f>
        <v/>
      </c>
      <c r="O2663" s="7" t="n"/>
    </row>
    <row r="2664">
      <c r="A2664" s="7" t="n"/>
      <c r="B2664" s="7" t="n"/>
      <c r="C2664" s="7" t="n"/>
      <c r="D2664" s="7" t="n"/>
      <c r="E2664" s="7" t="n"/>
      <c r="F2664" s="7" t="n"/>
      <c r="G2664" s="7" t="n"/>
      <c r="H2664" s="7" t="n"/>
      <c r="I2664" s="7" t="n"/>
      <c r="J2664" s="7" t="n"/>
      <c r="K2664">
        <f>IF(D2664="Legitimate Interest (GDPR Art. 6(1)(f))", "Yes / Required (Sheet 3)", "")</f>
        <v/>
      </c>
      <c r="L2664" s="7" t="n"/>
      <c r="M2664" s="7" t="n"/>
      <c r="N2664">
        <f>IF(D2664="", "Gap - No Legal Basis", IF(AND(D2664="Consent (GDPR Art. 6(1)(a))", I2664="Not Captured"), "Gap - Invalid Consent", IF(AND(D2664="Legitimate Interest (GDPR Art. 6(1)(f))", L2664=""), "Gap - Missing LIA", IF(AND(G2664="Yes", H2664=""), "Gap - Missing Art. 9 Basis", IF(OR(I2664="Invalid - Not Freely Given", I2664="Invalid - Not Specific", I2664="Invalid - Not Informed", I2664="Invalid - Ambiguous"), "Gap - Invalid Consent", "Compliant")))))</f>
        <v/>
      </c>
      <c r="O2664" s="7" t="n"/>
    </row>
    <row r="2665">
      <c r="A2665" s="7" t="n"/>
      <c r="B2665" s="7" t="n"/>
      <c r="C2665" s="7" t="n"/>
      <c r="D2665" s="7" t="n"/>
      <c r="E2665" s="7" t="n"/>
      <c r="F2665" s="7" t="n"/>
      <c r="G2665" s="7" t="n"/>
      <c r="H2665" s="7" t="n"/>
      <c r="I2665" s="7" t="n"/>
      <c r="J2665" s="7" t="n"/>
      <c r="K2665">
        <f>IF(D2665="Legitimate Interest (GDPR Art. 6(1)(f))", "Yes / Required (Sheet 3)", "")</f>
        <v/>
      </c>
      <c r="L2665" s="7" t="n"/>
      <c r="M2665" s="7" t="n"/>
      <c r="N2665">
        <f>IF(D2665="", "Gap - No Legal Basis", IF(AND(D2665="Consent (GDPR Art. 6(1)(a))", I2665="Not Captured"), "Gap - Invalid Consent", IF(AND(D2665="Legitimate Interest (GDPR Art. 6(1)(f))", L2665=""), "Gap - Missing LIA", IF(AND(G2665="Yes", H2665=""), "Gap - Missing Art. 9 Basis", IF(OR(I2665="Invalid - Not Freely Given", I2665="Invalid - Not Specific", I2665="Invalid - Not Informed", I2665="Invalid - Ambiguous"), "Gap - Invalid Consent", "Compliant")))))</f>
        <v/>
      </c>
      <c r="O2665" s="7" t="n"/>
    </row>
    <row r="2666">
      <c r="A2666" s="7" t="n"/>
      <c r="B2666" s="7" t="n"/>
      <c r="C2666" s="7" t="n"/>
      <c r="D2666" s="7" t="n"/>
      <c r="E2666" s="7" t="n"/>
      <c r="F2666" s="7" t="n"/>
      <c r="G2666" s="7" t="n"/>
      <c r="H2666" s="7" t="n"/>
      <c r="I2666" s="7" t="n"/>
      <c r="J2666" s="7" t="n"/>
      <c r="K2666">
        <f>IF(D2666="Legitimate Interest (GDPR Art. 6(1)(f))", "Yes / Required (Sheet 3)", "")</f>
        <v/>
      </c>
      <c r="L2666" s="7" t="n"/>
      <c r="M2666" s="7" t="n"/>
      <c r="N2666">
        <f>IF(D2666="", "Gap - No Legal Basis", IF(AND(D2666="Consent (GDPR Art. 6(1)(a))", I2666="Not Captured"), "Gap - Invalid Consent", IF(AND(D2666="Legitimate Interest (GDPR Art. 6(1)(f))", L2666=""), "Gap - Missing LIA", IF(AND(G2666="Yes", H2666=""), "Gap - Missing Art. 9 Basis", IF(OR(I2666="Invalid - Not Freely Given", I2666="Invalid - Not Specific", I2666="Invalid - Not Informed", I2666="Invalid - Ambiguous"), "Gap - Invalid Consent", "Compliant")))))</f>
        <v/>
      </c>
      <c r="O2666" s="7" t="n"/>
    </row>
    <row r="2667">
      <c r="A2667" s="7" t="n"/>
      <c r="B2667" s="7" t="n"/>
      <c r="C2667" s="7" t="n"/>
      <c r="D2667" s="7" t="n"/>
      <c r="E2667" s="7" t="n"/>
      <c r="F2667" s="7" t="n"/>
      <c r="G2667" s="7" t="n"/>
      <c r="H2667" s="7" t="n"/>
      <c r="I2667" s="7" t="n"/>
      <c r="J2667" s="7" t="n"/>
      <c r="K2667">
        <f>IF(D2667="Legitimate Interest (GDPR Art. 6(1)(f))", "Yes / Required (Sheet 3)", "")</f>
        <v/>
      </c>
      <c r="L2667" s="7" t="n"/>
      <c r="M2667" s="7" t="n"/>
      <c r="N2667">
        <f>IF(D2667="", "Gap - No Legal Basis", IF(AND(D2667="Consent (GDPR Art. 6(1)(a))", I2667="Not Captured"), "Gap - Invalid Consent", IF(AND(D2667="Legitimate Interest (GDPR Art. 6(1)(f))", L2667=""), "Gap - Missing LIA", IF(AND(G2667="Yes", H2667=""), "Gap - Missing Art. 9 Basis", IF(OR(I2667="Invalid - Not Freely Given", I2667="Invalid - Not Specific", I2667="Invalid - Not Informed", I2667="Invalid - Ambiguous"), "Gap - Invalid Consent", "Compliant")))))</f>
        <v/>
      </c>
      <c r="O2667" s="7" t="n"/>
    </row>
    <row r="2668">
      <c r="A2668" s="7" t="n"/>
      <c r="B2668" s="7" t="n"/>
      <c r="C2668" s="7" t="n"/>
      <c r="D2668" s="7" t="n"/>
      <c r="E2668" s="7" t="n"/>
      <c r="F2668" s="7" t="n"/>
      <c r="G2668" s="7" t="n"/>
      <c r="H2668" s="7" t="n"/>
      <c r="I2668" s="7" t="n"/>
      <c r="J2668" s="7" t="n"/>
      <c r="K2668">
        <f>IF(D2668="Legitimate Interest (GDPR Art. 6(1)(f))", "Yes / Required (Sheet 3)", "")</f>
        <v/>
      </c>
      <c r="L2668" s="7" t="n"/>
      <c r="M2668" s="7" t="n"/>
      <c r="N2668">
        <f>IF(D2668="", "Gap - No Legal Basis", IF(AND(D2668="Consent (GDPR Art. 6(1)(a))", I2668="Not Captured"), "Gap - Invalid Consent", IF(AND(D2668="Legitimate Interest (GDPR Art. 6(1)(f))", L2668=""), "Gap - Missing LIA", IF(AND(G2668="Yes", H2668=""), "Gap - Missing Art. 9 Basis", IF(OR(I2668="Invalid - Not Freely Given", I2668="Invalid - Not Specific", I2668="Invalid - Not Informed", I2668="Invalid - Ambiguous"), "Gap - Invalid Consent", "Compliant")))))</f>
        <v/>
      </c>
      <c r="O2668" s="7" t="n"/>
    </row>
    <row r="2669">
      <c r="A2669" s="7" t="n"/>
      <c r="B2669" s="7" t="n"/>
      <c r="C2669" s="7" t="n"/>
      <c r="D2669" s="7" t="n"/>
      <c r="E2669" s="7" t="n"/>
      <c r="F2669" s="7" t="n"/>
      <c r="G2669" s="7" t="n"/>
      <c r="H2669" s="7" t="n"/>
      <c r="I2669" s="7" t="n"/>
      <c r="J2669" s="7" t="n"/>
      <c r="K2669">
        <f>IF(D2669="Legitimate Interest (GDPR Art. 6(1)(f))", "Yes / Required (Sheet 3)", "")</f>
        <v/>
      </c>
      <c r="L2669" s="7" t="n"/>
      <c r="M2669" s="7" t="n"/>
      <c r="N2669">
        <f>IF(D2669="", "Gap - No Legal Basis", IF(AND(D2669="Consent (GDPR Art. 6(1)(a))", I2669="Not Captured"), "Gap - Invalid Consent", IF(AND(D2669="Legitimate Interest (GDPR Art. 6(1)(f))", L2669=""), "Gap - Missing LIA", IF(AND(G2669="Yes", H2669=""), "Gap - Missing Art. 9 Basis", IF(OR(I2669="Invalid - Not Freely Given", I2669="Invalid - Not Specific", I2669="Invalid - Not Informed", I2669="Invalid - Ambiguous"), "Gap - Invalid Consent", "Compliant")))))</f>
        <v/>
      </c>
      <c r="O2669" s="7" t="n"/>
    </row>
    <row r="2670">
      <c r="A2670" s="7" t="n"/>
      <c r="B2670" s="7" t="n"/>
      <c r="C2670" s="7" t="n"/>
      <c r="D2670" s="7" t="n"/>
      <c r="E2670" s="7" t="n"/>
      <c r="F2670" s="7" t="n"/>
      <c r="G2670" s="7" t="n"/>
      <c r="H2670" s="7" t="n"/>
      <c r="I2670" s="7" t="n"/>
      <c r="J2670" s="7" t="n"/>
      <c r="K2670">
        <f>IF(D2670="Legitimate Interest (GDPR Art. 6(1)(f))", "Yes / Required (Sheet 3)", "")</f>
        <v/>
      </c>
      <c r="L2670" s="7" t="n"/>
      <c r="M2670" s="7" t="n"/>
      <c r="N2670">
        <f>IF(D2670="", "Gap - No Legal Basis", IF(AND(D2670="Consent (GDPR Art. 6(1)(a))", I2670="Not Captured"), "Gap - Invalid Consent", IF(AND(D2670="Legitimate Interest (GDPR Art. 6(1)(f))", L2670=""), "Gap - Missing LIA", IF(AND(G2670="Yes", H2670=""), "Gap - Missing Art. 9 Basis", IF(OR(I2670="Invalid - Not Freely Given", I2670="Invalid - Not Specific", I2670="Invalid - Not Informed", I2670="Invalid - Ambiguous"), "Gap - Invalid Consent", "Compliant")))))</f>
        <v/>
      </c>
      <c r="O2670" s="7" t="n"/>
    </row>
    <row r="2671">
      <c r="A2671" s="7" t="n"/>
      <c r="B2671" s="7" t="n"/>
      <c r="C2671" s="7" t="n"/>
      <c r="D2671" s="7" t="n"/>
      <c r="E2671" s="7" t="n"/>
      <c r="F2671" s="7" t="n"/>
      <c r="G2671" s="7" t="n"/>
      <c r="H2671" s="7" t="n"/>
      <c r="I2671" s="7" t="n"/>
      <c r="J2671" s="7" t="n"/>
      <c r="K2671">
        <f>IF(D2671="Legitimate Interest (GDPR Art. 6(1)(f))", "Yes / Required (Sheet 3)", "")</f>
        <v/>
      </c>
      <c r="L2671" s="7" t="n"/>
      <c r="M2671" s="7" t="n"/>
      <c r="N2671">
        <f>IF(D2671="", "Gap - No Legal Basis", IF(AND(D2671="Consent (GDPR Art. 6(1)(a))", I2671="Not Captured"), "Gap - Invalid Consent", IF(AND(D2671="Legitimate Interest (GDPR Art. 6(1)(f))", L2671=""), "Gap - Missing LIA", IF(AND(G2671="Yes", H2671=""), "Gap - Missing Art. 9 Basis", IF(OR(I2671="Invalid - Not Freely Given", I2671="Invalid - Not Specific", I2671="Invalid - Not Informed", I2671="Invalid - Ambiguous"), "Gap - Invalid Consent", "Compliant")))))</f>
        <v/>
      </c>
      <c r="O2671" s="7" t="n"/>
    </row>
    <row r="2672">
      <c r="A2672" s="7" t="n"/>
      <c r="B2672" s="7" t="n"/>
      <c r="C2672" s="7" t="n"/>
      <c r="D2672" s="7" t="n"/>
      <c r="E2672" s="7" t="n"/>
      <c r="F2672" s="7" t="n"/>
      <c r="G2672" s="7" t="n"/>
      <c r="H2672" s="7" t="n"/>
      <c r="I2672" s="7" t="n"/>
      <c r="J2672" s="7" t="n"/>
      <c r="K2672">
        <f>IF(D2672="Legitimate Interest (GDPR Art. 6(1)(f))", "Yes / Required (Sheet 3)", "")</f>
        <v/>
      </c>
      <c r="L2672" s="7" t="n"/>
      <c r="M2672" s="7" t="n"/>
      <c r="N2672">
        <f>IF(D2672="", "Gap - No Legal Basis", IF(AND(D2672="Consent (GDPR Art. 6(1)(a))", I2672="Not Captured"), "Gap - Invalid Consent", IF(AND(D2672="Legitimate Interest (GDPR Art. 6(1)(f))", L2672=""), "Gap - Missing LIA", IF(AND(G2672="Yes", H2672=""), "Gap - Missing Art. 9 Basis", IF(OR(I2672="Invalid - Not Freely Given", I2672="Invalid - Not Specific", I2672="Invalid - Not Informed", I2672="Invalid - Ambiguous"), "Gap - Invalid Consent", "Compliant")))))</f>
        <v/>
      </c>
      <c r="O2672" s="7" t="n"/>
    </row>
    <row r="2673">
      <c r="A2673" s="7" t="n"/>
      <c r="B2673" s="7" t="n"/>
      <c r="C2673" s="7" t="n"/>
      <c r="D2673" s="7" t="n"/>
      <c r="E2673" s="7" t="n"/>
      <c r="F2673" s="7" t="n"/>
      <c r="G2673" s="7" t="n"/>
      <c r="H2673" s="7" t="n"/>
      <c r="I2673" s="7" t="n"/>
      <c r="J2673" s="7" t="n"/>
      <c r="K2673">
        <f>IF(D2673="Legitimate Interest (GDPR Art. 6(1)(f))", "Yes / Required (Sheet 3)", "")</f>
        <v/>
      </c>
      <c r="L2673" s="7" t="n"/>
      <c r="M2673" s="7" t="n"/>
      <c r="N2673">
        <f>IF(D2673="", "Gap - No Legal Basis", IF(AND(D2673="Consent (GDPR Art. 6(1)(a))", I2673="Not Captured"), "Gap - Invalid Consent", IF(AND(D2673="Legitimate Interest (GDPR Art. 6(1)(f))", L2673=""), "Gap - Missing LIA", IF(AND(G2673="Yes", H2673=""), "Gap - Missing Art. 9 Basis", IF(OR(I2673="Invalid - Not Freely Given", I2673="Invalid - Not Specific", I2673="Invalid - Not Informed", I2673="Invalid - Ambiguous"), "Gap - Invalid Consent", "Compliant")))))</f>
        <v/>
      </c>
      <c r="O2673" s="7" t="n"/>
    </row>
    <row r="2674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7" t="n"/>
      <c r="J2674" s="7" t="n"/>
      <c r="K2674">
        <f>IF(D2674="Legitimate Interest (GDPR Art. 6(1)(f))", "Yes / Required (Sheet 3)", "")</f>
        <v/>
      </c>
      <c r="L2674" s="7" t="n"/>
      <c r="M2674" s="7" t="n"/>
      <c r="N2674">
        <f>IF(D2674="", "Gap - No Legal Basis", IF(AND(D2674="Consent (GDPR Art. 6(1)(a))", I2674="Not Captured"), "Gap - Invalid Consent", IF(AND(D2674="Legitimate Interest (GDPR Art. 6(1)(f))", L2674=""), "Gap - Missing LIA", IF(AND(G2674="Yes", H2674=""), "Gap - Missing Art. 9 Basis", IF(OR(I2674="Invalid - Not Freely Given", I2674="Invalid - Not Specific", I2674="Invalid - Not Informed", I2674="Invalid - Ambiguous"), "Gap - Invalid Consent", "Compliant")))))</f>
        <v/>
      </c>
      <c r="O2674" s="7" t="n"/>
    </row>
    <row r="2675">
      <c r="A2675" s="7" t="n"/>
      <c r="B2675" s="7" t="n"/>
      <c r="C2675" s="7" t="n"/>
      <c r="D2675" s="7" t="n"/>
      <c r="E2675" s="7" t="n"/>
      <c r="F2675" s="7" t="n"/>
      <c r="G2675" s="7" t="n"/>
      <c r="H2675" s="7" t="n"/>
      <c r="I2675" s="7" t="n"/>
      <c r="J2675" s="7" t="n"/>
      <c r="K2675">
        <f>IF(D2675="Legitimate Interest (GDPR Art. 6(1)(f))", "Yes / Required (Sheet 3)", "")</f>
        <v/>
      </c>
      <c r="L2675" s="7" t="n"/>
      <c r="M2675" s="7" t="n"/>
      <c r="N2675">
        <f>IF(D2675="", "Gap - No Legal Basis", IF(AND(D2675="Consent (GDPR Art. 6(1)(a))", I2675="Not Captured"), "Gap - Invalid Consent", IF(AND(D2675="Legitimate Interest (GDPR Art. 6(1)(f))", L2675=""), "Gap - Missing LIA", IF(AND(G2675="Yes", H2675=""), "Gap - Missing Art. 9 Basis", IF(OR(I2675="Invalid - Not Freely Given", I2675="Invalid - Not Specific", I2675="Invalid - Not Informed", I2675="Invalid - Ambiguous"), "Gap - Invalid Consent", "Compliant")))))</f>
        <v/>
      </c>
      <c r="O2675" s="7" t="n"/>
    </row>
    <row r="2676">
      <c r="A2676" s="7" t="n"/>
      <c r="B2676" s="7" t="n"/>
      <c r="C2676" s="7" t="n"/>
      <c r="D2676" s="7" t="n"/>
      <c r="E2676" s="7" t="n"/>
      <c r="F2676" s="7" t="n"/>
      <c r="G2676" s="7" t="n"/>
      <c r="H2676" s="7" t="n"/>
      <c r="I2676" s="7" t="n"/>
      <c r="J2676" s="7" t="n"/>
      <c r="K2676">
        <f>IF(D2676="Legitimate Interest (GDPR Art. 6(1)(f))", "Yes / Required (Sheet 3)", "")</f>
        <v/>
      </c>
      <c r="L2676" s="7" t="n"/>
      <c r="M2676" s="7" t="n"/>
      <c r="N2676">
        <f>IF(D2676="", "Gap - No Legal Basis", IF(AND(D2676="Consent (GDPR Art. 6(1)(a))", I2676="Not Captured"), "Gap - Invalid Consent", IF(AND(D2676="Legitimate Interest (GDPR Art. 6(1)(f))", L2676=""), "Gap - Missing LIA", IF(AND(G2676="Yes", H2676=""), "Gap - Missing Art. 9 Basis", IF(OR(I2676="Invalid - Not Freely Given", I2676="Invalid - Not Specific", I2676="Invalid - Not Informed", I2676="Invalid - Ambiguous"), "Gap - Invalid Consent", "Compliant")))))</f>
        <v/>
      </c>
      <c r="O2676" s="7" t="n"/>
    </row>
    <row r="2677">
      <c r="A2677" s="7" t="n"/>
      <c r="B2677" s="7" t="n"/>
      <c r="C2677" s="7" t="n"/>
      <c r="D2677" s="7" t="n"/>
      <c r="E2677" s="7" t="n"/>
      <c r="F2677" s="7" t="n"/>
      <c r="G2677" s="7" t="n"/>
      <c r="H2677" s="7" t="n"/>
      <c r="I2677" s="7" t="n"/>
      <c r="J2677" s="7" t="n"/>
      <c r="K2677">
        <f>IF(D2677="Legitimate Interest (GDPR Art. 6(1)(f))", "Yes / Required (Sheet 3)", "")</f>
        <v/>
      </c>
      <c r="L2677" s="7" t="n"/>
      <c r="M2677" s="7" t="n"/>
      <c r="N2677">
        <f>IF(D2677="", "Gap - No Legal Basis", IF(AND(D2677="Consent (GDPR Art. 6(1)(a))", I2677="Not Captured"), "Gap - Invalid Consent", IF(AND(D2677="Legitimate Interest (GDPR Art. 6(1)(f))", L2677=""), "Gap - Missing LIA", IF(AND(G2677="Yes", H2677=""), "Gap - Missing Art. 9 Basis", IF(OR(I2677="Invalid - Not Freely Given", I2677="Invalid - Not Specific", I2677="Invalid - Not Informed", I2677="Invalid - Ambiguous"), "Gap - Invalid Consent", "Compliant")))))</f>
        <v/>
      </c>
      <c r="O2677" s="7" t="n"/>
    </row>
    <row r="2678">
      <c r="A2678" s="7" t="n"/>
      <c r="B2678" s="7" t="n"/>
      <c r="C2678" s="7" t="n"/>
      <c r="D2678" s="7" t="n"/>
      <c r="E2678" s="7" t="n"/>
      <c r="F2678" s="7" t="n"/>
      <c r="G2678" s="7" t="n"/>
      <c r="H2678" s="7" t="n"/>
      <c r="I2678" s="7" t="n"/>
      <c r="J2678" s="7" t="n"/>
      <c r="K2678">
        <f>IF(D2678="Legitimate Interest (GDPR Art. 6(1)(f))", "Yes / Required (Sheet 3)", "")</f>
        <v/>
      </c>
      <c r="L2678" s="7" t="n"/>
      <c r="M2678" s="7" t="n"/>
      <c r="N2678">
        <f>IF(D2678="", "Gap - No Legal Basis", IF(AND(D2678="Consent (GDPR Art. 6(1)(a))", I2678="Not Captured"), "Gap - Invalid Consent", IF(AND(D2678="Legitimate Interest (GDPR Art. 6(1)(f))", L2678=""), "Gap - Missing LIA", IF(AND(G2678="Yes", H2678=""), "Gap - Missing Art. 9 Basis", IF(OR(I2678="Invalid - Not Freely Given", I2678="Invalid - Not Specific", I2678="Invalid - Not Informed", I2678="Invalid - Ambiguous"), "Gap - Invalid Consent", "Compliant")))))</f>
        <v/>
      </c>
      <c r="O2678" s="7" t="n"/>
    </row>
    <row r="2679">
      <c r="A2679" s="7" t="n"/>
      <c r="B2679" s="7" t="n"/>
      <c r="C2679" s="7" t="n"/>
      <c r="D2679" s="7" t="n"/>
      <c r="E2679" s="7" t="n"/>
      <c r="F2679" s="7" t="n"/>
      <c r="G2679" s="7" t="n"/>
      <c r="H2679" s="7" t="n"/>
      <c r="I2679" s="7" t="n"/>
      <c r="J2679" s="7" t="n"/>
      <c r="K2679">
        <f>IF(D2679="Legitimate Interest (GDPR Art. 6(1)(f))", "Yes / Required (Sheet 3)", "")</f>
        <v/>
      </c>
      <c r="L2679" s="7" t="n"/>
      <c r="M2679" s="7" t="n"/>
      <c r="N2679">
        <f>IF(D2679="", "Gap - No Legal Basis", IF(AND(D2679="Consent (GDPR Art. 6(1)(a))", I2679="Not Captured"), "Gap - Invalid Consent", IF(AND(D2679="Legitimate Interest (GDPR Art. 6(1)(f))", L2679=""), "Gap - Missing LIA", IF(AND(G2679="Yes", H2679=""), "Gap - Missing Art. 9 Basis", IF(OR(I2679="Invalid - Not Freely Given", I2679="Invalid - Not Specific", I2679="Invalid - Not Informed", I2679="Invalid - Ambiguous"), "Gap - Invalid Consent", "Compliant")))))</f>
        <v/>
      </c>
      <c r="O2679" s="7" t="n"/>
    </row>
    <row r="2680">
      <c r="A2680" s="7" t="n"/>
      <c r="B2680" s="7" t="n"/>
      <c r="C2680" s="7" t="n"/>
      <c r="D2680" s="7" t="n"/>
      <c r="E2680" s="7" t="n"/>
      <c r="F2680" s="7" t="n"/>
      <c r="G2680" s="7" t="n"/>
      <c r="H2680" s="7" t="n"/>
      <c r="I2680" s="7" t="n"/>
      <c r="J2680" s="7" t="n"/>
      <c r="K2680">
        <f>IF(D2680="Legitimate Interest (GDPR Art. 6(1)(f))", "Yes / Required (Sheet 3)", "")</f>
        <v/>
      </c>
      <c r="L2680" s="7" t="n"/>
      <c r="M2680" s="7" t="n"/>
      <c r="N2680">
        <f>IF(D2680="", "Gap - No Legal Basis", IF(AND(D2680="Consent (GDPR Art. 6(1)(a))", I2680="Not Captured"), "Gap - Invalid Consent", IF(AND(D2680="Legitimate Interest (GDPR Art. 6(1)(f))", L2680=""), "Gap - Missing LIA", IF(AND(G2680="Yes", H2680=""), "Gap - Missing Art. 9 Basis", IF(OR(I2680="Invalid - Not Freely Given", I2680="Invalid - Not Specific", I2680="Invalid - Not Informed", I2680="Invalid - Ambiguous"), "Gap - Invalid Consent", "Compliant")))))</f>
        <v/>
      </c>
      <c r="O2680" s="7" t="n"/>
    </row>
    <row r="2681">
      <c r="A2681" s="7" t="n"/>
      <c r="B2681" s="7" t="n"/>
      <c r="C2681" s="7" t="n"/>
      <c r="D2681" s="7" t="n"/>
      <c r="E2681" s="7" t="n"/>
      <c r="F2681" s="7" t="n"/>
      <c r="G2681" s="7" t="n"/>
      <c r="H2681" s="7" t="n"/>
      <c r="I2681" s="7" t="n"/>
      <c r="J2681" s="7" t="n"/>
      <c r="K2681">
        <f>IF(D2681="Legitimate Interest (GDPR Art. 6(1)(f))", "Yes / Required (Sheet 3)", "")</f>
        <v/>
      </c>
      <c r="L2681" s="7" t="n"/>
      <c r="M2681" s="7" t="n"/>
      <c r="N2681">
        <f>IF(D2681="", "Gap - No Legal Basis", IF(AND(D2681="Consent (GDPR Art. 6(1)(a))", I2681="Not Captured"), "Gap - Invalid Consent", IF(AND(D2681="Legitimate Interest (GDPR Art. 6(1)(f))", L2681=""), "Gap - Missing LIA", IF(AND(G2681="Yes", H2681=""), "Gap - Missing Art. 9 Basis", IF(OR(I2681="Invalid - Not Freely Given", I2681="Invalid - Not Specific", I2681="Invalid - Not Informed", I2681="Invalid - Ambiguous"), "Gap - Invalid Consent", "Compliant")))))</f>
        <v/>
      </c>
      <c r="O2681" s="7" t="n"/>
    </row>
    <row r="2682">
      <c r="A2682" s="7" t="n"/>
      <c r="B2682" s="7" t="n"/>
      <c r="C2682" s="7" t="n"/>
      <c r="D2682" s="7" t="n"/>
      <c r="E2682" s="7" t="n"/>
      <c r="F2682" s="7" t="n"/>
      <c r="G2682" s="7" t="n"/>
      <c r="H2682" s="7" t="n"/>
      <c r="I2682" s="7" t="n"/>
      <c r="J2682" s="7" t="n"/>
      <c r="K2682">
        <f>IF(D2682="Legitimate Interest (GDPR Art. 6(1)(f))", "Yes / Required (Sheet 3)", "")</f>
        <v/>
      </c>
      <c r="L2682" s="7" t="n"/>
      <c r="M2682" s="7" t="n"/>
      <c r="N2682">
        <f>IF(D2682="", "Gap - No Legal Basis", IF(AND(D2682="Consent (GDPR Art. 6(1)(a))", I2682="Not Captured"), "Gap - Invalid Consent", IF(AND(D2682="Legitimate Interest (GDPR Art. 6(1)(f))", L2682=""), "Gap - Missing LIA", IF(AND(G2682="Yes", H2682=""), "Gap - Missing Art. 9 Basis", IF(OR(I2682="Invalid - Not Freely Given", I2682="Invalid - Not Specific", I2682="Invalid - Not Informed", I2682="Invalid - Ambiguous"), "Gap - Invalid Consent", "Compliant")))))</f>
        <v/>
      </c>
      <c r="O2682" s="7" t="n"/>
    </row>
    <row r="2683">
      <c r="A2683" s="7" t="n"/>
      <c r="B2683" s="7" t="n"/>
      <c r="C2683" s="7" t="n"/>
      <c r="D2683" s="7" t="n"/>
      <c r="E2683" s="7" t="n"/>
      <c r="F2683" s="7" t="n"/>
      <c r="G2683" s="7" t="n"/>
      <c r="H2683" s="7" t="n"/>
      <c r="I2683" s="7" t="n"/>
      <c r="J2683" s="7" t="n"/>
      <c r="K2683">
        <f>IF(D2683="Legitimate Interest (GDPR Art. 6(1)(f))", "Yes / Required (Sheet 3)", "")</f>
        <v/>
      </c>
      <c r="L2683" s="7" t="n"/>
      <c r="M2683" s="7" t="n"/>
      <c r="N2683">
        <f>IF(D2683="", "Gap - No Legal Basis", IF(AND(D2683="Consent (GDPR Art. 6(1)(a))", I2683="Not Captured"), "Gap - Invalid Consent", IF(AND(D2683="Legitimate Interest (GDPR Art. 6(1)(f))", L2683=""), "Gap - Missing LIA", IF(AND(G2683="Yes", H2683=""), "Gap - Missing Art. 9 Basis", IF(OR(I2683="Invalid - Not Freely Given", I2683="Invalid - Not Specific", I2683="Invalid - Not Informed", I2683="Invalid - Ambiguous"), "Gap - Invalid Consent", "Compliant")))))</f>
        <v/>
      </c>
      <c r="O2683" s="7" t="n"/>
    </row>
    <row r="2684">
      <c r="A2684" s="7" t="n"/>
      <c r="B2684" s="7" t="n"/>
      <c r="C2684" s="7" t="n"/>
      <c r="D2684" s="7" t="n"/>
      <c r="E2684" s="7" t="n"/>
      <c r="F2684" s="7" t="n"/>
      <c r="G2684" s="7" t="n"/>
      <c r="H2684" s="7" t="n"/>
      <c r="I2684" s="7" t="n"/>
      <c r="J2684" s="7" t="n"/>
      <c r="K2684">
        <f>IF(D2684="Legitimate Interest (GDPR Art. 6(1)(f))", "Yes / Required (Sheet 3)", "")</f>
        <v/>
      </c>
      <c r="L2684" s="7" t="n"/>
      <c r="M2684" s="7" t="n"/>
      <c r="N2684">
        <f>IF(D2684="", "Gap - No Legal Basis", IF(AND(D2684="Consent (GDPR Art. 6(1)(a))", I2684="Not Captured"), "Gap - Invalid Consent", IF(AND(D2684="Legitimate Interest (GDPR Art. 6(1)(f))", L2684=""), "Gap - Missing LIA", IF(AND(G2684="Yes", H2684=""), "Gap - Missing Art. 9 Basis", IF(OR(I2684="Invalid - Not Freely Given", I2684="Invalid - Not Specific", I2684="Invalid - Not Informed", I2684="Invalid - Ambiguous"), "Gap - Invalid Consent", "Compliant")))))</f>
        <v/>
      </c>
      <c r="O2684" s="7" t="n"/>
    </row>
    <row r="2685">
      <c r="A2685" s="7" t="n"/>
      <c r="B2685" s="7" t="n"/>
      <c r="C2685" s="7" t="n"/>
      <c r="D2685" s="7" t="n"/>
      <c r="E2685" s="7" t="n"/>
      <c r="F2685" s="7" t="n"/>
      <c r="G2685" s="7" t="n"/>
      <c r="H2685" s="7" t="n"/>
      <c r="I2685" s="7" t="n"/>
      <c r="J2685" s="7" t="n"/>
      <c r="K2685">
        <f>IF(D2685="Legitimate Interest (GDPR Art. 6(1)(f))", "Yes / Required (Sheet 3)", "")</f>
        <v/>
      </c>
      <c r="L2685" s="7" t="n"/>
      <c r="M2685" s="7" t="n"/>
      <c r="N2685">
        <f>IF(D2685="", "Gap - No Legal Basis", IF(AND(D2685="Consent (GDPR Art. 6(1)(a))", I2685="Not Captured"), "Gap - Invalid Consent", IF(AND(D2685="Legitimate Interest (GDPR Art. 6(1)(f))", L2685=""), "Gap - Missing LIA", IF(AND(G2685="Yes", H2685=""), "Gap - Missing Art. 9 Basis", IF(OR(I2685="Invalid - Not Freely Given", I2685="Invalid - Not Specific", I2685="Invalid - Not Informed", I2685="Invalid - Ambiguous"), "Gap - Invalid Consent", "Compliant")))))</f>
        <v/>
      </c>
      <c r="O2685" s="7" t="n"/>
    </row>
    <row r="2686">
      <c r="A2686" s="7" t="n"/>
      <c r="B2686" s="7" t="n"/>
      <c r="C2686" s="7" t="n"/>
      <c r="D2686" s="7" t="n"/>
      <c r="E2686" s="7" t="n"/>
      <c r="F2686" s="7" t="n"/>
      <c r="G2686" s="7" t="n"/>
      <c r="H2686" s="7" t="n"/>
      <c r="I2686" s="7" t="n"/>
      <c r="J2686" s="7" t="n"/>
      <c r="K2686">
        <f>IF(D2686="Legitimate Interest (GDPR Art. 6(1)(f))", "Yes / Required (Sheet 3)", "")</f>
        <v/>
      </c>
      <c r="L2686" s="7" t="n"/>
      <c r="M2686" s="7" t="n"/>
      <c r="N2686">
        <f>IF(D2686="", "Gap - No Legal Basis", IF(AND(D2686="Consent (GDPR Art. 6(1)(a))", I2686="Not Captured"), "Gap - Invalid Consent", IF(AND(D2686="Legitimate Interest (GDPR Art. 6(1)(f))", L2686=""), "Gap - Missing LIA", IF(AND(G2686="Yes", H2686=""), "Gap - Missing Art. 9 Basis", IF(OR(I2686="Invalid - Not Freely Given", I2686="Invalid - Not Specific", I2686="Invalid - Not Informed", I2686="Invalid - Ambiguous"), "Gap - Invalid Consent", "Compliant")))))</f>
        <v/>
      </c>
      <c r="O2686" s="7" t="n"/>
    </row>
    <row r="2687">
      <c r="A2687" s="7" t="n"/>
      <c r="B2687" s="7" t="n"/>
      <c r="C2687" s="7" t="n"/>
      <c r="D2687" s="7" t="n"/>
      <c r="E2687" s="7" t="n"/>
      <c r="F2687" s="7" t="n"/>
      <c r="G2687" s="7" t="n"/>
      <c r="H2687" s="7" t="n"/>
      <c r="I2687" s="7" t="n"/>
      <c r="J2687" s="7" t="n"/>
      <c r="K2687">
        <f>IF(D2687="Legitimate Interest (GDPR Art. 6(1)(f))", "Yes / Required (Sheet 3)", "")</f>
        <v/>
      </c>
      <c r="L2687" s="7" t="n"/>
      <c r="M2687" s="7" t="n"/>
      <c r="N2687">
        <f>IF(D2687="", "Gap - No Legal Basis", IF(AND(D2687="Consent (GDPR Art. 6(1)(a))", I2687="Not Captured"), "Gap - Invalid Consent", IF(AND(D2687="Legitimate Interest (GDPR Art. 6(1)(f))", L2687=""), "Gap - Missing LIA", IF(AND(G2687="Yes", H2687=""), "Gap - Missing Art. 9 Basis", IF(OR(I2687="Invalid - Not Freely Given", I2687="Invalid - Not Specific", I2687="Invalid - Not Informed", I2687="Invalid - Ambiguous"), "Gap - Invalid Consent", "Compliant")))))</f>
        <v/>
      </c>
      <c r="O2687" s="7" t="n"/>
    </row>
    <row r="2688">
      <c r="A2688" s="7" t="n"/>
      <c r="B2688" s="7" t="n"/>
      <c r="C2688" s="7" t="n"/>
      <c r="D2688" s="7" t="n"/>
      <c r="E2688" s="7" t="n"/>
      <c r="F2688" s="7" t="n"/>
      <c r="G2688" s="7" t="n"/>
      <c r="H2688" s="7" t="n"/>
      <c r="I2688" s="7" t="n"/>
      <c r="J2688" s="7" t="n"/>
      <c r="K2688">
        <f>IF(D2688="Legitimate Interest (GDPR Art. 6(1)(f))", "Yes / Required (Sheet 3)", "")</f>
        <v/>
      </c>
      <c r="L2688" s="7" t="n"/>
      <c r="M2688" s="7" t="n"/>
      <c r="N2688">
        <f>IF(D2688="", "Gap - No Legal Basis", IF(AND(D2688="Consent (GDPR Art. 6(1)(a))", I2688="Not Captured"), "Gap - Invalid Consent", IF(AND(D2688="Legitimate Interest (GDPR Art. 6(1)(f))", L2688=""), "Gap - Missing LIA", IF(AND(G2688="Yes", H2688=""), "Gap - Missing Art. 9 Basis", IF(OR(I2688="Invalid - Not Freely Given", I2688="Invalid - Not Specific", I2688="Invalid - Not Informed", I2688="Invalid - Ambiguous"), "Gap - Invalid Consent", "Compliant")))))</f>
        <v/>
      </c>
      <c r="O2688" s="7" t="n"/>
    </row>
    <row r="2689">
      <c r="A2689" s="7" t="n"/>
      <c r="B2689" s="7" t="n"/>
      <c r="C2689" s="7" t="n"/>
      <c r="D2689" s="7" t="n"/>
      <c r="E2689" s="7" t="n"/>
      <c r="F2689" s="7" t="n"/>
      <c r="G2689" s="7" t="n"/>
      <c r="H2689" s="7" t="n"/>
      <c r="I2689" s="7" t="n"/>
      <c r="J2689" s="7" t="n"/>
      <c r="K2689">
        <f>IF(D2689="Legitimate Interest (GDPR Art. 6(1)(f))", "Yes / Required (Sheet 3)", "")</f>
        <v/>
      </c>
      <c r="L2689" s="7" t="n"/>
      <c r="M2689" s="7" t="n"/>
      <c r="N2689">
        <f>IF(D2689="", "Gap - No Legal Basis", IF(AND(D2689="Consent (GDPR Art. 6(1)(a))", I2689="Not Captured"), "Gap - Invalid Consent", IF(AND(D2689="Legitimate Interest (GDPR Art. 6(1)(f))", L2689=""), "Gap - Missing LIA", IF(AND(G2689="Yes", H2689=""), "Gap - Missing Art. 9 Basis", IF(OR(I2689="Invalid - Not Freely Given", I2689="Invalid - Not Specific", I2689="Invalid - Not Informed", I2689="Invalid - Ambiguous"), "Gap - Invalid Consent", "Compliant")))))</f>
        <v/>
      </c>
      <c r="O2689" s="7" t="n"/>
    </row>
    <row r="2690">
      <c r="A2690" s="7" t="n"/>
      <c r="B2690" s="7" t="n"/>
      <c r="C2690" s="7" t="n"/>
      <c r="D2690" s="7" t="n"/>
      <c r="E2690" s="7" t="n"/>
      <c r="F2690" s="7" t="n"/>
      <c r="G2690" s="7" t="n"/>
      <c r="H2690" s="7" t="n"/>
      <c r="I2690" s="7" t="n"/>
      <c r="J2690" s="7" t="n"/>
      <c r="K2690">
        <f>IF(D2690="Legitimate Interest (GDPR Art. 6(1)(f))", "Yes / Required (Sheet 3)", "")</f>
        <v/>
      </c>
      <c r="L2690" s="7" t="n"/>
      <c r="M2690" s="7" t="n"/>
      <c r="N2690">
        <f>IF(D2690="", "Gap - No Legal Basis", IF(AND(D2690="Consent (GDPR Art. 6(1)(a))", I2690="Not Captured"), "Gap - Invalid Consent", IF(AND(D2690="Legitimate Interest (GDPR Art. 6(1)(f))", L2690=""), "Gap - Missing LIA", IF(AND(G2690="Yes", H2690=""), "Gap - Missing Art. 9 Basis", IF(OR(I2690="Invalid - Not Freely Given", I2690="Invalid - Not Specific", I2690="Invalid - Not Informed", I2690="Invalid - Ambiguous"), "Gap - Invalid Consent", "Compliant")))))</f>
        <v/>
      </c>
      <c r="O2690" s="7" t="n"/>
    </row>
    <row r="2691">
      <c r="A2691" s="7" t="n"/>
      <c r="B2691" s="7" t="n"/>
      <c r="C2691" s="7" t="n"/>
      <c r="D2691" s="7" t="n"/>
      <c r="E2691" s="7" t="n"/>
      <c r="F2691" s="7" t="n"/>
      <c r="G2691" s="7" t="n"/>
      <c r="H2691" s="7" t="n"/>
      <c r="I2691" s="7" t="n"/>
      <c r="J2691" s="7" t="n"/>
      <c r="K2691">
        <f>IF(D2691="Legitimate Interest (GDPR Art. 6(1)(f))", "Yes / Required (Sheet 3)", "")</f>
        <v/>
      </c>
      <c r="L2691" s="7" t="n"/>
      <c r="M2691" s="7" t="n"/>
      <c r="N2691">
        <f>IF(D2691="", "Gap - No Legal Basis", IF(AND(D2691="Consent (GDPR Art. 6(1)(a))", I2691="Not Captured"), "Gap - Invalid Consent", IF(AND(D2691="Legitimate Interest (GDPR Art. 6(1)(f))", L2691=""), "Gap - Missing LIA", IF(AND(G2691="Yes", H2691=""), "Gap - Missing Art. 9 Basis", IF(OR(I2691="Invalid - Not Freely Given", I2691="Invalid - Not Specific", I2691="Invalid - Not Informed", I2691="Invalid - Ambiguous"), "Gap - Invalid Consent", "Compliant")))))</f>
        <v/>
      </c>
      <c r="O2691" s="7" t="n"/>
    </row>
    <row r="2692">
      <c r="A2692" s="7" t="n"/>
      <c r="B2692" s="7" t="n"/>
      <c r="C2692" s="7" t="n"/>
      <c r="D2692" s="7" t="n"/>
      <c r="E2692" s="7" t="n"/>
      <c r="F2692" s="7" t="n"/>
      <c r="G2692" s="7" t="n"/>
      <c r="H2692" s="7" t="n"/>
      <c r="I2692" s="7" t="n"/>
      <c r="J2692" s="7" t="n"/>
      <c r="K2692">
        <f>IF(D2692="Legitimate Interest (GDPR Art. 6(1)(f))", "Yes / Required (Sheet 3)", "")</f>
        <v/>
      </c>
      <c r="L2692" s="7" t="n"/>
      <c r="M2692" s="7" t="n"/>
      <c r="N2692">
        <f>IF(D2692="", "Gap - No Legal Basis", IF(AND(D2692="Consent (GDPR Art. 6(1)(a))", I2692="Not Captured"), "Gap - Invalid Consent", IF(AND(D2692="Legitimate Interest (GDPR Art. 6(1)(f))", L2692=""), "Gap - Missing LIA", IF(AND(G2692="Yes", H2692=""), "Gap - Missing Art. 9 Basis", IF(OR(I2692="Invalid - Not Freely Given", I2692="Invalid - Not Specific", I2692="Invalid - Not Informed", I2692="Invalid - Ambiguous"), "Gap - Invalid Consent", "Compliant")))))</f>
        <v/>
      </c>
      <c r="O2692" s="7" t="n"/>
    </row>
    <row r="2693">
      <c r="A2693" s="7" t="n"/>
      <c r="B2693" s="7" t="n"/>
      <c r="C2693" s="7" t="n"/>
      <c r="D2693" s="7" t="n"/>
      <c r="E2693" s="7" t="n"/>
      <c r="F2693" s="7" t="n"/>
      <c r="G2693" s="7" t="n"/>
      <c r="H2693" s="7" t="n"/>
      <c r="I2693" s="7" t="n"/>
      <c r="J2693" s="7" t="n"/>
      <c r="K2693">
        <f>IF(D2693="Legitimate Interest (GDPR Art. 6(1)(f))", "Yes / Required (Sheet 3)", "")</f>
        <v/>
      </c>
      <c r="L2693" s="7" t="n"/>
      <c r="M2693" s="7" t="n"/>
      <c r="N2693">
        <f>IF(D2693="", "Gap - No Legal Basis", IF(AND(D2693="Consent (GDPR Art. 6(1)(a))", I2693="Not Captured"), "Gap - Invalid Consent", IF(AND(D2693="Legitimate Interest (GDPR Art. 6(1)(f))", L2693=""), "Gap - Missing LIA", IF(AND(G2693="Yes", H2693=""), "Gap - Missing Art. 9 Basis", IF(OR(I2693="Invalid - Not Freely Given", I2693="Invalid - Not Specific", I2693="Invalid - Not Informed", I2693="Invalid - Ambiguous"), "Gap - Invalid Consent", "Compliant")))))</f>
        <v/>
      </c>
      <c r="O2693" s="7" t="n"/>
    </row>
    <row r="2694">
      <c r="A2694" s="7" t="n"/>
      <c r="B2694" s="7" t="n"/>
      <c r="C2694" s="7" t="n"/>
      <c r="D2694" s="7" t="n"/>
      <c r="E2694" s="7" t="n"/>
      <c r="F2694" s="7" t="n"/>
      <c r="G2694" s="7" t="n"/>
      <c r="H2694" s="7" t="n"/>
      <c r="I2694" s="7" t="n"/>
      <c r="J2694" s="7" t="n"/>
      <c r="K2694">
        <f>IF(D2694="Legitimate Interest (GDPR Art. 6(1)(f))", "Yes / Required (Sheet 3)", "")</f>
        <v/>
      </c>
      <c r="L2694" s="7" t="n"/>
      <c r="M2694" s="7" t="n"/>
      <c r="N2694">
        <f>IF(D2694="", "Gap - No Legal Basis", IF(AND(D2694="Consent (GDPR Art. 6(1)(a))", I2694="Not Captured"), "Gap - Invalid Consent", IF(AND(D2694="Legitimate Interest (GDPR Art. 6(1)(f))", L2694=""), "Gap - Missing LIA", IF(AND(G2694="Yes", H2694=""), "Gap - Missing Art. 9 Basis", IF(OR(I2694="Invalid - Not Freely Given", I2694="Invalid - Not Specific", I2694="Invalid - Not Informed", I2694="Invalid - Ambiguous"), "Gap - Invalid Consent", "Compliant")))))</f>
        <v/>
      </c>
      <c r="O2694" s="7" t="n"/>
    </row>
    <row r="2695">
      <c r="A2695" s="7" t="n"/>
      <c r="B2695" s="7" t="n"/>
      <c r="C2695" s="7" t="n"/>
      <c r="D2695" s="7" t="n"/>
      <c r="E2695" s="7" t="n"/>
      <c r="F2695" s="7" t="n"/>
      <c r="G2695" s="7" t="n"/>
      <c r="H2695" s="7" t="n"/>
      <c r="I2695" s="7" t="n"/>
      <c r="J2695" s="7" t="n"/>
      <c r="K2695">
        <f>IF(D2695="Legitimate Interest (GDPR Art. 6(1)(f))", "Yes / Required (Sheet 3)", "")</f>
        <v/>
      </c>
      <c r="L2695" s="7" t="n"/>
      <c r="M2695" s="7" t="n"/>
      <c r="N2695">
        <f>IF(D2695="", "Gap - No Legal Basis", IF(AND(D2695="Consent (GDPR Art. 6(1)(a))", I2695="Not Captured"), "Gap - Invalid Consent", IF(AND(D2695="Legitimate Interest (GDPR Art. 6(1)(f))", L2695=""), "Gap - Missing LIA", IF(AND(G2695="Yes", H2695=""), "Gap - Missing Art. 9 Basis", IF(OR(I2695="Invalid - Not Freely Given", I2695="Invalid - Not Specific", I2695="Invalid - Not Informed", I2695="Invalid - Ambiguous"), "Gap - Invalid Consent", "Compliant")))))</f>
        <v/>
      </c>
      <c r="O2695" s="7" t="n"/>
    </row>
    <row r="2696">
      <c r="A2696" s="7" t="n"/>
      <c r="B2696" s="7" t="n"/>
      <c r="C2696" s="7" t="n"/>
      <c r="D2696" s="7" t="n"/>
      <c r="E2696" s="7" t="n"/>
      <c r="F2696" s="7" t="n"/>
      <c r="G2696" s="7" t="n"/>
      <c r="H2696" s="7" t="n"/>
      <c r="I2696" s="7" t="n"/>
      <c r="J2696" s="7" t="n"/>
      <c r="K2696">
        <f>IF(D2696="Legitimate Interest (GDPR Art. 6(1)(f))", "Yes / Required (Sheet 3)", "")</f>
        <v/>
      </c>
      <c r="L2696" s="7" t="n"/>
      <c r="M2696" s="7" t="n"/>
      <c r="N2696">
        <f>IF(D2696="", "Gap - No Legal Basis", IF(AND(D2696="Consent (GDPR Art. 6(1)(a))", I2696="Not Captured"), "Gap - Invalid Consent", IF(AND(D2696="Legitimate Interest (GDPR Art. 6(1)(f))", L2696=""), "Gap - Missing LIA", IF(AND(G2696="Yes", H2696=""), "Gap - Missing Art. 9 Basis", IF(OR(I2696="Invalid - Not Freely Given", I2696="Invalid - Not Specific", I2696="Invalid - Not Informed", I2696="Invalid - Ambiguous"), "Gap - Invalid Consent", "Compliant")))))</f>
        <v/>
      </c>
      <c r="O2696" s="7" t="n"/>
    </row>
    <row r="2697">
      <c r="A2697" s="7" t="n"/>
      <c r="B2697" s="7" t="n"/>
      <c r="C2697" s="7" t="n"/>
      <c r="D2697" s="7" t="n"/>
      <c r="E2697" s="7" t="n"/>
      <c r="F2697" s="7" t="n"/>
      <c r="G2697" s="7" t="n"/>
      <c r="H2697" s="7" t="n"/>
      <c r="I2697" s="7" t="n"/>
      <c r="J2697" s="7" t="n"/>
      <c r="K2697">
        <f>IF(D2697="Legitimate Interest (GDPR Art. 6(1)(f))", "Yes / Required (Sheet 3)", "")</f>
        <v/>
      </c>
      <c r="L2697" s="7" t="n"/>
      <c r="M2697" s="7" t="n"/>
      <c r="N2697">
        <f>IF(D2697="", "Gap - No Legal Basis", IF(AND(D2697="Consent (GDPR Art. 6(1)(a))", I2697="Not Captured"), "Gap - Invalid Consent", IF(AND(D2697="Legitimate Interest (GDPR Art. 6(1)(f))", L2697=""), "Gap - Missing LIA", IF(AND(G2697="Yes", H2697=""), "Gap - Missing Art. 9 Basis", IF(OR(I2697="Invalid - Not Freely Given", I2697="Invalid - Not Specific", I2697="Invalid - Not Informed", I2697="Invalid - Ambiguous"), "Gap - Invalid Consent", "Compliant")))))</f>
        <v/>
      </c>
      <c r="O2697" s="7" t="n"/>
    </row>
    <row r="2698">
      <c r="A2698" s="7" t="n"/>
      <c r="B2698" s="7" t="n"/>
      <c r="C2698" s="7" t="n"/>
      <c r="D2698" s="7" t="n"/>
      <c r="E2698" s="7" t="n"/>
      <c r="F2698" s="7" t="n"/>
      <c r="G2698" s="7" t="n"/>
      <c r="H2698" s="7" t="n"/>
      <c r="I2698" s="7" t="n"/>
      <c r="J2698" s="7" t="n"/>
      <c r="K2698">
        <f>IF(D2698="Legitimate Interest (GDPR Art. 6(1)(f))", "Yes / Required (Sheet 3)", "")</f>
        <v/>
      </c>
      <c r="L2698" s="7" t="n"/>
      <c r="M2698" s="7" t="n"/>
      <c r="N2698">
        <f>IF(D2698="", "Gap - No Legal Basis", IF(AND(D2698="Consent (GDPR Art. 6(1)(a))", I2698="Not Captured"), "Gap - Invalid Consent", IF(AND(D2698="Legitimate Interest (GDPR Art. 6(1)(f))", L2698=""), "Gap - Missing LIA", IF(AND(G2698="Yes", H2698=""), "Gap - Missing Art. 9 Basis", IF(OR(I2698="Invalid - Not Freely Given", I2698="Invalid - Not Specific", I2698="Invalid - Not Informed", I2698="Invalid - Ambiguous"), "Gap - Invalid Consent", "Compliant")))))</f>
        <v/>
      </c>
      <c r="O2698" s="7" t="n"/>
    </row>
    <row r="2699">
      <c r="A2699" s="7" t="n"/>
      <c r="B2699" s="7" t="n"/>
      <c r="C2699" s="7" t="n"/>
      <c r="D2699" s="7" t="n"/>
      <c r="E2699" s="7" t="n"/>
      <c r="F2699" s="7" t="n"/>
      <c r="G2699" s="7" t="n"/>
      <c r="H2699" s="7" t="n"/>
      <c r="I2699" s="7" t="n"/>
      <c r="J2699" s="7" t="n"/>
      <c r="K2699">
        <f>IF(D2699="Legitimate Interest (GDPR Art. 6(1)(f))", "Yes / Required (Sheet 3)", "")</f>
        <v/>
      </c>
      <c r="L2699" s="7" t="n"/>
      <c r="M2699" s="7" t="n"/>
      <c r="N2699">
        <f>IF(D2699="", "Gap - No Legal Basis", IF(AND(D2699="Consent (GDPR Art. 6(1)(a))", I2699="Not Captured"), "Gap - Invalid Consent", IF(AND(D2699="Legitimate Interest (GDPR Art. 6(1)(f))", L2699=""), "Gap - Missing LIA", IF(AND(G2699="Yes", H2699=""), "Gap - Missing Art. 9 Basis", IF(OR(I2699="Invalid - Not Freely Given", I2699="Invalid - Not Specific", I2699="Invalid - Not Informed", I2699="Invalid - Ambiguous"), "Gap - Invalid Consent", "Compliant")))))</f>
        <v/>
      </c>
      <c r="O2699" s="7" t="n"/>
    </row>
    <row r="2700">
      <c r="A2700" s="7" t="n"/>
      <c r="B2700" s="7" t="n"/>
      <c r="C2700" s="7" t="n"/>
      <c r="D2700" s="7" t="n"/>
      <c r="E2700" s="7" t="n"/>
      <c r="F2700" s="7" t="n"/>
      <c r="G2700" s="7" t="n"/>
      <c r="H2700" s="7" t="n"/>
      <c r="I2700" s="7" t="n"/>
      <c r="J2700" s="7" t="n"/>
      <c r="K2700">
        <f>IF(D2700="Legitimate Interest (GDPR Art. 6(1)(f))", "Yes / Required (Sheet 3)", "")</f>
        <v/>
      </c>
      <c r="L2700" s="7" t="n"/>
      <c r="M2700" s="7" t="n"/>
      <c r="N2700">
        <f>IF(D2700="", "Gap - No Legal Basis", IF(AND(D2700="Consent (GDPR Art. 6(1)(a))", I2700="Not Captured"), "Gap - Invalid Consent", IF(AND(D2700="Legitimate Interest (GDPR Art. 6(1)(f))", L2700=""), "Gap - Missing LIA", IF(AND(G2700="Yes", H2700=""), "Gap - Missing Art. 9 Basis", IF(OR(I2700="Invalid - Not Freely Given", I2700="Invalid - Not Specific", I2700="Invalid - Not Informed", I2700="Invalid - Ambiguous"), "Gap - Invalid Consent", "Compliant")))))</f>
        <v/>
      </c>
      <c r="O2700" s="7" t="n"/>
    </row>
    <row r="2701">
      <c r="A2701" s="7" t="n"/>
      <c r="B2701" s="7" t="n"/>
      <c r="C2701" s="7" t="n"/>
      <c r="D2701" s="7" t="n"/>
      <c r="E2701" s="7" t="n"/>
      <c r="F2701" s="7" t="n"/>
      <c r="G2701" s="7" t="n"/>
      <c r="H2701" s="7" t="n"/>
      <c r="I2701" s="7" t="n"/>
      <c r="J2701" s="7" t="n"/>
      <c r="K2701">
        <f>IF(D2701="Legitimate Interest (GDPR Art. 6(1)(f))", "Yes / Required (Sheet 3)", "")</f>
        <v/>
      </c>
      <c r="L2701" s="7" t="n"/>
      <c r="M2701" s="7" t="n"/>
      <c r="N2701">
        <f>IF(D2701="", "Gap - No Legal Basis", IF(AND(D2701="Consent (GDPR Art. 6(1)(a))", I2701="Not Captured"), "Gap - Invalid Consent", IF(AND(D2701="Legitimate Interest (GDPR Art. 6(1)(f))", L2701=""), "Gap - Missing LIA", IF(AND(G2701="Yes", H2701=""), "Gap - Missing Art. 9 Basis", IF(OR(I2701="Invalid - Not Freely Given", I2701="Invalid - Not Specific", I2701="Invalid - Not Informed", I2701="Invalid - Ambiguous"), "Gap - Invalid Consent", "Compliant")))))</f>
        <v/>
      </c>
      <c r="O2701" s="7" t="n"/>
    </row>
    <row r="2702">
      <c r="A2702" s="7" t="n"/>
      <c r="B2702" s="7" t="n"/>
      <c r="C2702" s="7" t="n"/>
      <c r="D2702" s="7" t="n"/>
      <c r="E2702" s="7" t="n"/>
      <c r="F2702" s="7" t="n"/>
      <c r="G2702" s="7" t="n"/>
      <c r="H2702" s="7" t="n"/>
      <c r="I2702" s="7" t="n"/>
      <c r="J2702" s="7" t="n"/>
      <c r="K2702">
        <f>IF(D2702="Legitimate Interest (GDPR Art. 6(1)(f))", "Yes / Required (Sheet 3)", "")</f>
        <v/>
      </c>
      <c r="L2702" s="7" t="n"/>
      <c r="M2702" s="7" t="n"/>
      <c r="N2702">
        <f>IF(D2702="", "Gap - No Legal Basis", IF(AND(D2702="Consent (GDPR Art. 6(1)(a))", I2702="Not Captured"), "Gap - Invalid Consent", IF(AND(D2702="Legitimate Interest (GDPR Art. 6(1)(f))", L2702=""), "Gap - Missing LIA", IF(AND(G2702="Yes", H2702=""), "Gap - Missing Art. 9 Basis", IF(OR(I2702="Invalid - Not Freely Given", I2702="Invalid - Not Specific", I2702="Invalid - Not Informed", I2702="Invalid - Ambiguous"), "Gap - Invalid Consent", "Compliant")))))</f>
        <v/>
      </c>
      <c r="O2702" s="7" t="n"/>
    </row>
    <row r="2703">
      <c r="A2703" s="7" t="n"/>
      <c r="B2703" s="7" t="n"/>
      <c r="C2703" s="7" t="n"/>
      <c r="D2703" s="7" t="n"/>
      <c r="E2703" s="7" t="n"/>
      <c r="F2703" s="7" t="n"/>
      <c r="G2703" s="7" t="n"/>
      <c r="H2703" s="7" t="n"/>
      <c r="I2703" s="7" t="n"/>
      <c r="J2703" s="7" t="n"/>
      <c r="K2703">
        <f>IF(D2703="Legitimate Interest (GDPR Art. 6(1)(f))", "Yes / Required (Sheet 3)", "")</f>
        <v/>
      </c>
      <c r="L2703" s="7" t="n"/>
      <c r="M2703" s="7" t="n"/>
      <c r="N2703">
        <f>IF(D2703="", "Gap - No Legal Basis", IF(AND(D2703="Consent (GDPR Art. 6(1)(a))", I2703="Not Captured"), "Gap - Invalid Consent", IF(AND(D2703="Legitimate Interest (GDPR Art. 6(1)(f))", L2703=""), "Gap - Missing LIA", IF(AND(G2703="Yes", H2703=""), "Gap - Missing Art. 9 Basis", IF(OR(I2703="Invalid - Not Freely Given", I2703="Invalid - Not Specific", I2703="Invalid - Not Informed", I2703="Invalid - Ambiguous"), "Gap - Invalid Consent", "Compliant")))))</f>
        <v/>
      </c>
      <c r="O2703" s="7" t="n"/>
    </row>
    <row r="2704">
      <c r="A2704" s="7" t="n"/>
      <c r="B2704" s="7" t="n"/>
      <c r="C2704" s="7" t="n"/>
      <c r="D2704" s="7" t="n"/>
      <c r="E2704" s="7" t="n"/>
      <c r="F2704" s="7" t="n"/>
      <c r="G2704" s="7" t="n"/>
      <c r="H2704" s="7" t="n"/>
      <c r="I2704" s="7" t="n"/>
      <c r="J2704" s="7" t="n"/>
      <c r="K2704">
        <f>IF(D2704="Legitimate Interest (GDPR Art. 6(1)(f))", "Yes / Required (Sheet 3)", "")</f>
        <v/>
      </c>
      <c r="L2704" s="7" t="n"/>
      <c r="M2704" s="7" t="n"/>
      <c r="N2704">
        <f>IF(D2704="", "Gap - No Legal Basis", IF(AND(D2704="Consent (GDPR Art. 6(1)(a))", I2704="Not Captured"), "Gap - Invalid Consent", IF(AND(D2704="Legitimate Interest (GDPR Art. 6(1)(f))", L2704=""), "Gap - Missing LIA", IF(AND(G2704="Yes", H2704=""), "Gap - Missing Art. 9 Basis", IF(OR(I2704="Invalid - Not Freely Given", I2704="Invalid - Not Specific", I2704="Invalid - Not Informed", I2704="Invalid - Ambiguous"), "Gap - Invalid Consent", "Compliant")))))</f>
        <v/>
      </c>
      <c r="O2704" s="7" t="n"/>
    </row>
    <row r="2705">
      <c r="A2705" s="7" t="n"/>
      <c r="B2705" s="7" t="n"/>
      <c r="C2705" s="7" t="n"/>
      <c r="D2705" s="7" t="n"/>
      <c r="E2705" s="7" t="n"/>
      <c r="F2705" s="7" t="n"/>
      <c r="G2705" s="7" t="n"/>
      <c r="H2705" s="7" t="n"/>
      <c r="I2705" s="7" t="n"/>
      <c r="J2705" s="7" t="n"/>
      <c r="K2705">
        <f>IF(D2705="Legitimate Interest (GDPR Art. 6(1)(f))", "Yes / Required (Sheet 3)", "")</f>
        <v/>
      </c>
      <c r="L2705" s="7" t="n"/>
      <c r="M2705" s="7" t="n"/>
      <c r="N2705">
        <f>IF(D2705="", "Gap - No Legal Basis", IF(AND(D2705="Consent (GDPR Art. 6(1)(a))", I2705="Not Captured"), "Gap - Invalid Consent", IF(AND(D2705="Legitimate Interest (GDPR Art. 6(1)(f))", L2705=""), "Gap - Missing LIA", IF(AND(G2705="Yes", H2705=""), "Gap - Missing Art. 9 Basis", IF(OR(I2705="Invalid - Not Freely Given", I2705="Invalid - Not Specific", I2705="Invalid - Not Informed", I2705="Invalid - Ambiguous"), "Gap - Invalid Consent", "Compliant")))))</f>
        <v/>
      </c>
      <c r="O2705" s="7" t="n"/>
    </row>
    <row r="2706">
      <c r="A2706" s="7" t="n"/>
      <c r="B2706" s="7" t="n"/>
      <c r="C2706" s="7" t="n"/>
      <c r="D2706" s="7" t="n"/>
      <c r="E2706" s="7" t="n"/>
      <c r="F2706" s="7" t="n"/>
      <c r="G2706" s="7" t="n"/>
      <c r="H2706" s="7" t="n"/>
      <c r="I2706" s="7" t="n"/>
      <c r="J2706" s="7" t="n"/>
      <c r="K2706">
        <f>IF(D2706="Legitimate Interest (GDPR Art. 6(1)(f))", "Yes / Required (Sheet 3)", "")</f>
        <v/>
      </c>
      <c r="L2706" s="7" t="n"/>
      <c r="M2706" s="7" t="n"/>
      <c r="N2706">
        <f>IF(D2706="", "Gap - No Legal Basis", IF(AND(D2706="Consent (GDPR Art. 6(1)(a))", I2706="Not Captured"), "Gap - Invalid Consent", IF(AND(D2706="Legitimate Interest (GDPR Art. 6(1)(f))", L2706=""), "Gap - Missing LIA", IF(AND(G2706="Yes", H2706=""), "Gap - Missing Art. 9 Basis", IF(OR(I2706="Invalid - Not Freely Given", I2706="Invalid - Not Specific", I2706="Invalid - Not Informed", I2706="Invalid - Ambiguous"), "Gap - Invalid Consent", "Compliant")))))</f>
        <v/>
      </c>
      <c r="O2706" s="7" t="n"/>
    </row>
    <row r="2707">
      <c r="A2707" s="7" t="n"/>
      <c r="B2707" s="7" t="n"/>
      <c r="C2707" s="7" t="n"/>
      <c r="D2707" s="7" t="n"/>
      <c r="E2707" s="7" t="n"/>
      <c r="F2707" s="7" t="n"/>
      <c r="G2707" s="7" t="n"/>
      <c r="H2707" s="7" t="n"/>
      <c r="I2707" s="7" t="n"/>
      <c r="J2707" s="7" t="n"/>
      <c r="K2707">
        <f>IF(D2707="Legitimate Interest (GDPR Art. 6(1)(f))", "Yes / Required (Sheet 3)", "")</f>
        <v/>
      </c>
      <c r="L2707" s="7" t="n"/>
      <c r="M2707" s="7" t="n"/>
      <c r="N2707">
        <f>IF(D2707="", "Gap - No Legal Basis", IF(AND(D2707="Consent (GDPR Art. 6(1)(a))", I2707="Not Captured"), "Gap - Invalid Consent", IF(AND(D2707="Legitimate Interest (GDPR Art. 6(1)(f))", L2707=""), "Gap - Missing LIA", IF(AND(G2707="Yes", H2707=""), "Gap - Missing Art. 9 Basis", IF(OR(I2707="Invalid - Not Freely Given", I2707="Invalid - Not Specific", I2707="Invalid - Not Informed", I2707="Invalid - Ambiguous"), "Gap - Invalid Consent", "Compliant")))))</f>
        <v/>
      </c>
      <c r="O2707" s="7" t="n"/>
    </row>
    <row r="2708">
      <c r="A2708" s="7" t="n"/>
      <c r="B2708" s="7" t="n"/>
      <c r="C2708" s="7" t="n"/>
      <c r="D2708" s="7" t="n"/>
      <c r="E2708" s="7" t="n"/>
      <c r="F2708" s="7" t="n"/>
      <c r="G2708" s="7" t="n"/>
      <c r="H2708" s="7" t="n"/>
      <c r="I2708" s="7" t="n"/>
      <c r="J2708" s="7" t="n"/>
      <c r="K2708">
        <f>IF(D2708="Legitimate Interest (GDPR Art. 6(1)(f))", "Yes / Required (Sheet 3)", "")</f>
        <v/>
      </c>
      <c r="L2708" s="7" t="n"/>
      <c r="M2708" s="7" t="n"/>
      <c r="N2708">
        <f>IF(D2708="", "Gap - No Legal Basis", IF(AND(D2708="Consent (GDPR Art. 6(1)(a))", I2708="Not Captured"), "Gap - Invalid Consent", IF(AND(D2708="Legitimate Interest (GDPR Art. 6(1)(f))", L2708=""), "Gap - Missing LIA", IF(AND(G2708="Yes", H2708=""), "Gap - Missing Art. 9 Basis", IF(OR(I2708="Invalid - Not Freely Given", I2708="Invalid - Not Specific", I2708="Invalid - Not Informed", I2708="Invalid - Ambiguous"), "Gap - Invalid Consent", "Compliant")))))</f>
        <v/>
      </c>
      <c r="O2708" s="7" t="n"/>
    </row>
    <row r="2709">
      <c r="A2709" s="7" t="n"/>
      <c r="B2709" s="7" t="n"/>
      <c r="C2709" s="7" t="n"/>
      <c r="D2709" s="7" t="n"/>
      <c r="E2709" s="7" t="n"/>
      <c r="F2709" s="7" t="n"/>
      <c r="G2709" s="7" t="n"/>
      <c r="H2709" s="7" t="n"/>
      <c r="I2709" s="7" t="n"/>
      <c r="J2709" s="7" t="n"/>
      <c r="K2709">
        <f>IF(D2709="Legitimate Interest (GDPR Art. 6(1)(f))", "Yes / Required (Sheet 3)", "")</f>
        <v/>
      </c>
      <c r="L2709" s="7" t="n"/>
      <c r="M2709" s="7" t="n"/>
      <c r="N2709">
        <f>IF(D2709="", "Gap - No Legal Basis", IF(AND(D2709="Consent (GDPR Art. 6(1)(a))", I2709="Not Captured"), "Gap - Invalid Consent", IF(AND(D2709="Legitimate Interest (GDPR Art. 6(1)(f))", L2709=""), "Gap - Missing LIA", IF(AND(G2709="Yes", H2709=""), "Gap - Missing Art. 9 Basis", IF(OR(I2709="Invalid - Not Freely Given", I2709="Invalid - Not Specific", I2709="Invalid - Not Informed", I2709="Invalid - Ambiguous"), "Gap - Invalid Consent", "Compliant")))))</f>
        <v/>
      </c>
      <c r="O2709" s="7" t="n"/>
    </row>
    <row r="2710">
      <c r="A2710" s="7" t="n"/>
      <c r="B2710" s="7" t="n"/>
      <c r="C2710" s="7" t="n"/>
      <c r="D2710" s="7" t="n"/>
      <c r="E2710" s="7" t="n"/>
      <c r="F2710" s="7" t="n"/>
      <c r="G2710" s="7" t="n"/>
      <c r="H2710" s="7" t="n"/>
      <c r="I2710" s="7" t="n"/>
      <c r="J2710" s="7" t="n"/>
      <c r="K2710">
        <f>IF(D2710="Legitimate Interest (GDPR Art. 6(1)(f))", "Yes / Required (Sheet 3)", "")</f>
        <v/>
      </c>
      <c r="L2710" s="7" t="n"/>
      <c r="M2710" s="7" t="n"/>
      <c r="N2710">
        <f>IF(D2710="", "Gap - No Legal Basis", IF(AND(D2710="Consent (GDPR Art. 6(1)(a))", I2710="Not Captured"), "Gap - Invalid Consent", IF(AND(D2710="Legitimate Interest (GDPR Art. 6(1)(f))", L2710=""), "Gap - Missing LIA", IF(AND(G2710="Yes", H2710=""), "Gap - Missing Art. 9 Basis", IF(OR(I2710="Invalid - Not Freely Given", I2710="Invalid - Not Specific", I2710="Invalid - Not Informed", I2710="Invalid - Ambiguous"), "Gap - Invalid Consent", "Compliant")))))</f>
        <v/>
      </c>
      <c r="O2710" s="7" t="n"/>
    </row>
    <row r="2711">
      <c r="A2711" s="7" t="n"/>
      <c r="B2711" s="7" t="n"/>
      <c r="C2711" s="7" t="n"/>
      <c r="D2711" s="7" t="n"/>
      <c r="E2711" s="7" t="n"/>
      <c r="F2711" s="7" t="n"/>
      <c r="G2711" s="7" t="n"/>
      <c r="H2711" s="7" t="n"/>
      <c r="I2711" s="7" t="n"/>
      <c r="J2711" s="7" t="n"/>
      <c r="K2711">
        <f>IF(D2711="Legitimate Interest (GDPR Art. 6(1)(f))", "Yes / Required (Sheet 3)", "")</f>
        <v/>
      </c>
      <c r="L2711" s="7" t="n"/>
      <c r="M2711" s="7" t="n"/>
      <c r="N2711">
        <f>IF(D2711="", "Gap - No Legal Basis", IF(AND(D2711="Consent (GDPR Art. 6(1)(a))", I2711="Not Captured"), "Gap - Invalid Consent", IF(AND(D2711="Legitimate Interest (GDPR Art. 6(1)(f))", L2711=""), "Gap - Missing LIA", IF(AND(G2711="Yes", H2711=""), "Gap - Missing Art. 9 Basis", IF(OR(I2711="Invalid - Not Freely Given", I2711="Invalid - Not Specific", I2711="Invalid - Not Informed", I2711="Invalid - Ambiguous"), "Gap - Invalid Consent", "Compliant")))))</f>
        <v/>
      </c>
      <c r="O2711" s="7" t="n"/>
    </row>
    <row r="2712">
      <c r="A2712" s="7" t="n"/>
      <c r="B2712" s="7" t="n"/>
      <c r="C2712" s="7" t="n"/>
      <c r="D2712" s="7" t="n"/>
      <c r="E2712" s="7" t="n"/>
      <c r="F2712" s="7" t="n"/>
      <c r="G2712" s="7" t="n"/>
      <c r="H2712" s="7" t="n"/>
      <c r="I2712" s="7" t="n"/>
      <c r="J2712" s="7" t="n"/>
      <c r="K2712">
        <f>IF(D2712="Legitimate Interest (GDPR Art. 6(1)(f))", "Yes / Required (Sheet 3)", "")</f>
        <v/>
      </c>
      <c r="L2712" s="7" t="n"/>
      <c r="M2712" s="7" t="n"/>
      <c r="N2712">
        <f>IF(D2712="", "Gap - No Legal Basis", IF(AND(D2712="Consent (GDPR Art. 6(1)(a))", I2712="Not Captured"), "Gap - Invalid Consent", IF(AND(D2712="Legitimate Interest (GDPR Art. 6(1)(f))", L2712=""), "Gap - Missing LIA", IF(AND(G2712="Yes", H2712=""), "Gap - Missing Art. 9 Basis", IF(OR(I2712="Invalid - Not Freely Given", I2712="Invalid - Not Specific", I2712="Invalid - Not Informed", I2712="Invalid - Ambiguous"), "Gap - Invalid Consent", "Compliant")))))</f>
        <v/>
      </c>
      <c r="O2712" s="7" t="n"/>
    </row>
    <row r="2713">
      <c r="A2713" s="7" t="n"/>
      <c r="B2713" s="7" t="n"/>
      <c r="C2713" s="7" t="n"/>
      <c r="D2713" s="7" t="n"/>
      <c r="E2713" s="7" t="n"/>
      <c r="F2713" s="7" t="n"/>
      <c r="G2713" s="7" t="n"/>
      <c r="H2713" s="7" t="n"/>
      <c r="I2713" s="7" t="n"/>
      <c r="J2713" s="7" t="n"/>
      <c r="K2713">
        <f>IF(D2713="Legitimate Interest (GDPR Art. 6(1)(f))", "Yes / Required (Sheet 3)", "")</f>
        <v/>
      </c>
      <c r="L2713" s="7" t="n"/>
      <c r="M2713" s="7" t="n"/>
      <c r="N2713">
        <f>IF(D2713="", "Gap - No Legal Basis", IF(AND(D2713="Consent (GDPR Art. 6(1)(a))", I2713="Not Captured"), "Gap - Invalid Consent", IF(AND(D2713="Legitimate Interest (GDPR Art. 6(1)(f))", L2713=""), "Gap - Missing LIA", IF(AND(G2713="Yes", H2713=""), "Gap - Missing Art. 9 Basis", IF(OR(I2713="Invalid - Not Freely Given", I2713="Invalid - Not Specific", I2713="Invalid - Not Informed", I2713="Invalid - Ambiguous"), "Gap - Invalid Consent", "Compliant")))))</f>
        <v/>
      </c>
      <c r="O2713" s="7" t="n"/>
    </row>
    <row r="2714">
      <c r="A2714" s="7" t="n"/>
      <c r="B2714" s="7" t="n"/>
      <c r="C2714" s="7" t="n"/>
      <c r="D2714" s="7" t="n"/>
      <c r="E2714" s="7" t="n"/>
      <c r="F2714" s="7" t="n"/>
      <c r="G2714" s="7" t="n"/>
      <c r="H2714" s="7" t="n"/>
      <c r="I2714" s="7" t="n"/>
      <c r="J2714" s="7" t="n"/>
      <c r="K2714">
        <f>IF(D2714="Legitimate Interest (GDPR Art. 6(1)(f))", "Yes / Required (Sheet 3)", "")</f>
        <v/>
      </c>
      <c r="L2714" s="7" t="n"/>
      <c r="M2714" s="7" t="n"/>
      <c r="N2714">
        <f>IF(D2714="", "Gap - No Legal Basis", IF(AND(D2714="Consent (GDPR Art. 6(1)(a))", I2714="Not Captured"), "Gap - Invalid Consent", IF(AND(D2714="Legitimate Interest (GDPR Art. 6(1)(f))", L2714=""), "Gap - Missing LIA", IF(AND(G2714="Yes", H2714=""), "Gap - Missing Art. 9 Basis", IF(OR(I2714="Invalid - Not Freely Given", I2714="Invalid - Not Specific", I2714="Invalid - Not Informed", I2714="Invalid - Ambiguous"), "Gap - Invalid Consent", "Compliant")))))</f>
        <v/>
      </c>
      <c r="O2714" s="7" t="n"/>
    </row>
    <row r="2715">
      <c r="A2715" s="7" t="n"/>
      <c r="B2715" s="7" t="n"/>
      <c r="C2715" s="7" t="n"/>
      <c r="D2715" s="7" t="n"/>
      <c r="E2715" s="7" t="n"/>
      <c r="F2715" s="7" t="n"/>
      <c r="G2715" s="7" t="n"/>
      <c r="H2715" s="7" t="n"/>
      <c r="I2715" s="7" t="n"/>
      <c r="J2715" s="7" t="n"/>
      <c r="K2715">
        <f>IF(D2715="Legitimate Interest (GDPR Art. 6(1)(f))", "Yes / Required (Sheet 3)", "")</f>
        <v/>
      </c>
      <c r="L2715" s="7" t="n"/>
      <c r="M2715" s="7" t="n"/>
      <c r="N2715">
        <f>IF(D2715="", "Gap - No Legal Basis", IF(AND(D2715="Consent (GDPR Art. 6(1)(a))", I2715="Not Captured"), "Gap - Invalid Consent", IF(AND(D2715="Legitimate Interest (GDPR Art. 6(1)(f))", L2715=""), "Gap - Missing LIA", IF(AND(G2715="Yes", H2715=""), "Gap - Missing Art. 9 Basis", IF(OR(I2715="Invalid - Not Freely Given", I2715="Invalid - Not Specific", I2715="Invalid - Not Informed", I2715="Invalid - Ambiguous"), "Gap - Invalid Consent", "Compliant")))))</f>
        <v/>
      </c>
      <c r="O2715" s="7" t="n"/>
    </row>
    <row r="2716">
      <c r="A2716" s="7" t="n"/>
      <c r="B2716" s="7" t="n"/>
      <c r="C2716" s="7" t="n"/>
      <c r="D2716" s="7" t="n"/>
      <c r="E2716" s="7" t="n"/>
      <c r="F2716" s="7" t="n"/>
      <c r="G2716" s="7" t="n"/>
      <c r="H2716" s="7" t="n"/>
      <c r="I2716" s="7" t="n"/>
      <c r="J2716" s="7" t="n"/>
      <c r="K2716">
        <f>IF(D2716="Legitimate Interest (GDPR Art. 6(1)(f))", "Yes / Required (Sheet 3)", "")</f>
        <v/>
      </c>
      <c r="L2716" s="7" t="n"/>
      <c r="M2716" s="7" t="n"/>
      <c r="N2716">
        <f>IF(D2716="", "Gap - No Legal Basis", IF(AND(D2716="Consent (GDPR Art. 6(1)(a))", I2716="Not Captured"), "Gap - Invalid Consent", IF(AND(D2716="Legitimate Interest (GDPR Art. 6(1)(f))", L2716=""), "Gap - Missing LIA", IF(AND(G2716="Yes", H2716=""), "Gap - Missing Art. 9 Basis", IF(OR(I2716="Invalid - Not Freely Given", I2716="Invalid - Not Specific", I2716="Invalid - Not Informed", I2716="Invalid - Ambiguous"), "Gap - Invalid Consent", "Compliant")))))</f>
        <v/>
      </c>
      <c r="O2716" s="7" t="n"/>
    </row>
    <row r="2717">
      <c r="A2717" s="7" t="n"/>
      <c r="B2717" s="7" t="n"/>
      <c r="C2717" s="7" t="n"/>
      <c r="D2717" s="7" t="n"/>
      <c r="E2717" s="7" t="n"/>
      <c r="F2717" s="7" t="n"/>
      <c r="G2717" s="7" t="n"/>
      <c r="H2717" s="7" t="n"/>
      <c r="I2717" s="7" t="n"/>
      <c r="J2717" s="7" t="n"/>
      <c r="K2717">
        <f>IF(D2717="Legitimate Interest (GDPR Art. 6(1)(f))", "Yes / Required (Sheet 3)", "")</f>
        <v/>
      </c>
      <c r="L2717" s="7" t="n"/>
      <c r="M2717" s="7" t="n"/>
      <c r="N2717">
        <f>IF(D2717="", "Gap - No Legal Basis", IF(AND(D2717="Consent (GDPR Art. 6(1)(a))", I2717="Not Captured"), "Gap - Invalid Consent", IF(AND(D2717="Legitimate Interest (GDPR Art. 6(1)(f))", L2717=""), "Gap - Missing LIA", IF(AND(G2717="Yes", H2717=""), "Gap - Missing Art. 9 Basis", IF(OR(I2717="Invalid - Not Freely Given", I2717="Invalid - Not Specific", I2717="Invalid - Not Informed", I2717="Invalid - Ambiguous"), "Gap - Invalid Consent", "Compliant")))))</f>
        <v/>
      </c>
      <c r="O2717" s="7" t="n"/>
    </row>
    <row r="2718">
      <c r="A2718" s="7" t="n"/>
      <c r="B2718" s="7" t="n"/>
      <c r="C2718" s="7" t="n"/>
      <c r="D2718" s="7" t="n"/>
      <c r="E2718" s="7" t="n"/>
      <c r="F2718" s="7" t="n"/>
      <c r="G2718" s="7" t="n"/>
      <c r="H2718" s="7" t="n"/>
      <c r="I2718" s="7" t="n"/>
      <c r="J2718" s="7" t="n"/>
      <c r="K2718">
        <f>IF(D2718="Legitimate Interest (GDPR Art. 6(1)(f))", "Yes / Required (Sheet 3)", "")</f>
        <v/>
      </c>
      <c r="L2718" s="7" t="n"/>
      <c r="M2718" s="7" t="n"/>
      <c r="N2718">
        <f>IF(D2718="", "Gap - No Legal Basis", IF(AND(D2718="Consent (GDPR Art. 6(1)(a))", I2718="Not Captured"), "Gap - Invalid Consent", IF(AND(D2718="Legitimate Interest (GDPR Art. 6(1)(f))", L2718=""), "Gap - Missing LIA", IF(AND(G2718="Yes", H2718=""), "Gap - Missing Art. 9 Basis", IF(OR(I2718="Invalid - Not Freely Given", I2718="Invalid - Not Specific", I2718="Invalid - Not Informed", I2718="Invalid - Ambiguous"), "Gap - Invalid Consent", "Compliant")))))</f>
        <v/>
      </c>
      <c r="O2718" s="7" t="n"/>
    </row>
    <row r="2719">
      <c r="A2719" s="7" t="n"/>
      <c r="B2719" s="7" t="n"/>
      <c r="C2719" s="7" t="n"/>
      <c r="D2719" s="7" t="n"/>
      <c r="E2719" s="7" t="n"/>
      <c r="F2719" s="7" t="n"/>
      <c r="G2719" s="7" t="n"/>
      <c r="H2719" s="7" t="n"/>
      <c r="I2719" s="7" t="n"/>
      <c r="J2719" s="7" t="n"/>
      <c r="K2719">
        <f>IF(D2719="Legitimate Interest (GDPR Art. 6(1)(f))", "Yes / Required (Sheet 3)", "")</f>
        <v/>
      </c>
      <c r="L2719" s="7" t="n"/>
      <c r="M2719" s="7" t="n"/>
      <c r="N2719">
        <f>IF(D2719="", "Gap - No Legal Basis", IF(AND(D2719="Consent (GDPR Art. 6(1)(a))", I2719="Not Captured"), "Gap - Invalid Consent", IF(AND(D2719="Legitimate Interest (GDPR Art. 6(1)(f))", L2719=""), "Gap - Missing LIA", IF(AND(G2719="Yes", H2719=""), "Gap - Missing Art. 9 Basis", IF(OR(I2719="Invalid - Not Freely Given", I2719="Invalid - Not Specific", I2719="Invalid - Not Informed", I2719="Invalid - Ambiguous"), "Gap - Invalid Consent", "Compliant")))))</f>
        <v/>
      </c>
      <c r="O2719" s="7" t="n"/>
    </row>
    <row r="2720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7" t="n"/>
      <c r="J2720" s="7" t="n"/>
      <c r="K2720">
        <f>IF(D2720="Legitimate Interest (GDPR Art. 6(1)(f))", "Yes / Required (Sheet 3)", "")</f>
        <v/>
      </c>
      <c r="L2720" s="7" t="n"/>
      <c r="M2720" s="7" t="n"/>
      <c r="N2720">
        <f>IF(D2720="", "Gap - No Legal Basis", IF(AND(D2720="Consent (GDPR Art. 6(1)(a))", I2720="Not Captured"), "Gap - Invalid Consent", IF(AND(D2720="Legitimate Interest (GDPR Art. 6(1)(f))", L2720=""), "Gap - Missing LIA", IF(AND(G2720="Yes", H2720=""), "Gap - Missing Art. 9 Basis", IF(OR(I2720="Invalid - Not Freely Given", I2720="Invalid - Not Specific", I2720="Invalid - Not Informed", I2720="Invalid - Ambiguous"), "Gap - Invalid Consent", "Compliant")))))</f>
        <v/>
      </c>
      <c r="O2720" s="7" t="n"/>
    </row>
    <row r="2721">
      <c r="A2721" s="7" t="n"/>
      <c r="B2721" s="7" t="n"/>
      <c r="C2721" s="7" t="n"/>
      <c r="D2721" s="7" t="n"/>
      <c r="E2721" s="7" t="n"/>
      <c r="F2721" s="7" t="n"/>
      <c r="G2721" s="7" t="n"/>
      <c r="H2721" s="7" t="n"/>
      <c r="I2721" s="7" t="n"/>
      <c r="J2721" s="7" t="n"/>
      <c r="K2721">
        <f>IF(D2721="Legitimate Interest (GDPR Art. 6(1)(f))", "Yes / Required (Sheet 3)", "")</f>
        <v/>
      </c>
      <c r="L2721" s="7" t="n"/>
      <c r="M2721" s="7" t="n"/>
      <c r="N2721">
        <f>IF(D2721="", "Gap - No Legal Basis", IF(AND(D2721="Consent (GDPR Art. 6(1)(a))", I2721="Not Captured"), "Gap - Invalid Consent", IF(AND(D2721="Legitimate Interest (GDPR Art. 6(1)(f))", L2721=""), "Gap - Missing LIA", IF(AND(G2721="Yes", H2721=""), "Gap - Missing Art. 9 Basis", IF(OR(I2721="Invalid - Not Freely Given", I2721="Invalid - Not Specific", I2721="Invalid - Not Informed", I2721="Invalid - Ambiguous"), "Gap - Invalid Consent", "Compliant")))))</f>
        <v/>
      </c>
      <c r="O2721" s="7" t="n"/>
    </row>
    <row r="2722">
      <c r="A2722" s="7" t="n"/>
      <c r="B2722" s="7" t="n"/>
      <c r="C2722" s="7" t="n"/>
      <c r="D2722" s="7" t="n"/>
      <c r="E2722" s="7" t="n"/>
      <c r="F2722" s="7" t="n"/>
      <c r="G2722" s="7" t="n"/>
      <c r="H2722" s="7" t="n"/>
      <c r="I2722" s="7" t="n"/>
      <c r="J2722" s="7" t="n"/>
      <c r="K2722">
        <f>IF(D2722="Legitimate Interest (GDPR Art. 6(1)(f))", "Yes / Required (Sheet 3)", "")</f>
        <v/>
      </c>
      <c r="L2722" s="7" t="n"/>
      <c r="M2722" s="7" t="n"/>
      <c r="N2722">
        <f>IF(D2722="", "Gap - No Legal Basis", IF(AND(D2722="Consent (GDPR Art. 6(1)(a))", I2722="Not Captured"), "Gap - Invalid Consent", IF(AND(D2722="Legitimate Interest (GDPR Art. 6(1)(f))", L2722=""), "Gap - Missing LIA", IF(AND(G2722="Yes", H2722=""), "Gap - Missing Art. 9 Basis", IF(OR(I2722="Invalid - Not Freely Given", I2722="Invalid - Not Specific", I2722="Invalid - Not Informed", I2722="Invalid - Ambiguous"), "Gap - Invalid Consent", "Compliant")))))</f>
        <v/>
      </c>
      <c r="O2722" s="7" t="n"/>
    </row>
    <row r="2723">
      <c r="A2723" s="7" t="n"/>
      <c r="B2723" s="7" t="n"/>
      <c r="C2723" s="7" t="n"/>
      <c r="D2723" s="7" t="n"/>
      <c r="E2723" s="7" t="n"/>
      <c r="F2723" s="7" t="n"/>
      <c r="G2723" s="7" t="n"/>
      <c r="H2723" s="7" t="n"/>
      <c r="I2723" s="7" t="n"/>
      <c r="J2723" s="7" t="n"/>
      <c r="K2723">
        <f>IF(D2723="Legitimate Interest (GDPR Art. 6(1)(f))", "Yes / Required (Sheet 3)", "")</f>
        <v/>
      </c>
      <c r="L2723" s="7" t="n"/>
      <c r="M2723" s="7" t="n"/>
      <c r="N2723">
        <f>IF(D2723="", "Gap - No Legal Basis", IF(AND(D2723="Consent (GDPR Art. 6(1)(a))", I2723="Not Captured"), "Gap - Invalid Consent", IF(AND(D2723="Legitimate Interest (GDPR Art. 6(1)(f))", L2723=""), "Gap - Missing LIA", IF(AND(G2723="Yes", H2723=""), "Gap - Missing Art. 9 Basis", IF(OR(I2723="Invalid - Not Freely Given", I2723="Invalid - Not Specific", I2723="Invalid - Not Informed", I2723="Invalid - Ambiguous"), "Gap - Invalid Consent", "Compliant")))))</f>
        <v/>
      </c>
      <c r="O2723" s="7" t="n"/>
    </row>
    <row r="2724">
      <c r="A2724" s="7" t="n"/>
      <c r="B2724" s="7" t="n"/>
      <c r="C2724" s="7" t="n"/>
      <c r="D2724" s="7" t="n"/>
      <c r="E2724" s="7" t="n"/>
      <c r="F2724" s="7" t="n"/>
      <c r="G2724" s="7" t="n"/>
      <c r="H2724" s="7" t="n"/>
      <c r="I2724" s="7" t="n"/>
      <c r="J2724" s="7" t="n"/>
      <c r="K2724">
        <f>IF(D2724="Legitimate Interest (GDPR Art. 6(1)(f))", "Yes / Required (Sheet 3)", "")</f>
        <v/>
      </c>
      <c r="L2724" s="7" t="n"/>
      <c r="M2724" s="7" t="n"/>
      <c r="N2724">
        <f>IF(D2724="", "Gap - No Legal Basis", IF(AND(D2724="Consent (GDPR Art. 6(1)(a))", I2724="Not Captured"), "Gap - Invalid Consent", IF(AND(D2724="Legitimate Interest (GDPR Art. 6(1)(f))", L2724=""), "Gap - Missing LIA", IF(AND(G2724="Yes", H2724=""), "Gap - Missing Art. 9 Basis", IF(OR(I2724="Invalid - Not Freely Given", I2724="Invalid - Not Specific", I2724="Invalid - Not Informed", I2724="Invalid - Ambiguous"), "Gap - Invalid Consent", "Compliant")))))</f>
        <v/>
      </c>
      <c r="O2724" s="7" t="n"/>
    </row>
    <row r="2725">
      <c r="A2725" s="7" t="n"/>
      <c r="B2725" s="7" t="n"/>
      <c r="C2725" s="7" t="n"/>
      <c r="D2725" s="7" t="n"/>
      <c r="E2725" s="7" t="n"/>
      <c r="F2725" s="7" t="n"/>
      <c r="G2725" s="7" t="n"/>
      <c r="H2725" s="7" t="n"/>
      <c r="I2725" s="7" t="n"/>
      <c r="J2725" s="7" t="n"/>
      <c r="K2725">
        <f>IF(D2725="Legitimate Interest (GDPR Art. 6(1)(f))", "Yes / Required (Sheet 3)", "")</f>
        <v/>
      </c>
      <c r="L2725" s="7" t="n"/>
      <c r="M2725" s="7" t="n"/>
      <c r="N2725">
        <f>IF(D2725="", "Gap - No Legal Basis", IF(AND(D2725="Consent (GDPR Art. 6(1)(a))", I2725="Not Captured"), "Gap - Invalid Consent", IF(AND(D2725="Legitimate Interest (GDPR Art. 6(1)(f))", L2725=""), "Gap - Missing LIA", IF(AND(G2725="Yes", H2725=""), "Gap - Missing Art. 9 Basis", IF(OR(I2725="Invalid - Not Freely Given", I2725="Invalid - Not Specific", I2725="Invalid - Not Informed", I2725="Invalid - Ambiguous"), "Gap - Invalid Consent", "Compliant")))))</f>
        <v/>
      </c>
      <c r="O2725" s="7" t="n"/>
    </row>
    <row r="2726">
      <c r="A2726" s="7" t="n"/>
      <c r="B2726" s="7" t="n"/>
      <c r="C2726" s="7" t="n"/>
      <c r="D2726" s="7" t="n"/>
      <c r="E2726" s="7" t="n"/>
      <c r="F2726" s="7" t="n"/>
      <c r="G2726" s="7" t="n"/>
      <c r="H2726" s="7" t="n"/>
      <c r="I2726" s="7" t="n"/>
      <c r="J2726" s="7" t="n"/>
      <c r="K2726">
        <f>IF(D2726="Legitimate Interest (GDPR Art. 6(1)(f))", "Yes / Required (Sheet 3)", "")</f>
        <v/>
      </c>
      <c r="L2726" s="7" t="n"/>
      <c r="M2726" s="7" t="n"/>
      <c r="N2726">
        <f>IF(D2726="", "Gap - No Legal Basis", IF(AND(D2726="Consent (GDPR Art. 6(1)(a))", I2726="Not Captured"), "Gap - Invalid Consent", IF(AND(D2726="Legitimate Interest (GDPR Art. 6(1)(f))", L2726=""), "Gap - Missing LIA", IF(AND(G2726="Yes", H2726=""), "Gap - Missing Art. 9 Basis", IF(OR(I2726="Invalid - Not Freely Given", I2726="Invalid - Not Specific", I2726="Invalid - Not Informed", I2726="Invalid - Ambiguous"), "Gap - Invalid Consent", "Compliant")))))</f>
        <v/>
      </c>
      <c r="O2726" s="7" t="n"/>
    </row>
    <row r="2727">
      <c r="A2727" s="7" t="n"/>
      <c r="B2727" s="7" t="n"/>
      <c r="C2727" s="7" t="n"/>
      <c r="D2727" s="7" t="n"/>
      <c r="E2727" s="7" t="n"/>
      <c r="F2727" s="7" t="n"/>
      <c r="G2727" s="7" t="n"/>
      <c r="H2727" s="7" t="n"/>
      <c r="I2727" s="7" t="n"/>
      <c r="J2727" s="7" t="n"/>
      <c r="K2727">
        <f>IF(D2727="Legitimate Interest (GDPR Art. 6(1)(f))", "Yes / Required (Sheet 3)", "")</f>
        <v/>
      </c>
      <c r="L2727" s="7" t="n"/>
      <c r="M2727" s="7" t="n"/>
      <c r="N2727">
        <f>IF(D2727="", "Gap - No Legal Basis", IF(AND(D2727="Consent (GDPR Art. 6(1)(a))", I2727="Not Captured"), "Gap - Invalid Consent", IF(AND(D2727="Legitimate Interest (GDPR Art. 6(1)(f))", L2727=""), "Gap - Missing LIA", IF(AND(G2727="Yes", H2727=""), "Gap - Missing Art. 9 Basis", IF(OR(I2727="Invalid - Not Freely Given", I2727="Invalid - Not Specific", I2727="Invalid - Not Informed", I2727="Invalid - Ambiguous"), "Gap - Invalid Consent", "Compliant")))))</f>
        <v/>
      </c>
      <c r="O2727" s="7" t="n"/>
    </row>
    <row r="2728">
      <c r="A2728" s="7" t="n"/>
      <c r="B2728" s="7" t="n"/>
      <c r="C2728" s="7" t="n"/>
      <c r="D2728" s="7" t="n"/>
      <c r="E2728" s="7" t="n"/>
      <c r="F2728" s="7" t="n"/>
      <c r="G2728" s="7" t="n"/>
      <c r="H2728" s="7" t="n"/>
      <c r="I2728" s="7" t="n"/>
      <c r="J2728" s="7" t="n"/>
      <c r="K2728">
        <f>IF(D2728="Legitimate Interest (GDPR Art. 6(1)(f))", "Yes / Required (Sheet 3)", "")</f>
        <v/>
      </c>
      <c r="L2728" s="7" t="n"/>
      <c r="M2728" s="7" t="n"/>
      <c r="N2728">
        <f>IF(D2728="", "Gap - No Legal Basis", IF(AND(D2728="Consent (GDPR Art. 6(1)(a))", I2728="Not Captured"), "Gap - Invalid Consent", IF(AND(D2728="Legitimate Interest (GDPR Art. 6(1)(f))", L2728=""), "Gap - Missing LIA", IF(AND(G2728="Yes", H2728=""), "Gap - Missing Art. 9 Basis", IF(OR(I2728="Invalid - Not Freely Given", I2728="Invalid - Not Specific", I2728="Invalid - Not Informed", I2728="Invalid - Ambiguous"), "Gap - Invalid Consent", "Compliant")))))</f>
        <v/>
      </c>
      <c r="O2728" s="7" t="n"/>
    </row>
    <row r="2729">
      <c r="A2729" s="7" t="n"/>
      <c r="B2729" s="7" t="n"/>
      <c r="C2729" s="7" t="n"/>
      <c r="D2729" s="7" t="n"/>
      <c r="E2729" s="7" t="n"/>
      <c r="F2729" s="7" t="n"/>
      <c r="G2729" s="7" t="n"/>
      <c r="H2729" s="7" t="n"/>
      <c r="I2729" s="7" t="n"/>
      <c r="J2729" s="7" t="n"/>
      <c r="K2729">
        <f>IF(D2729="Legitimate Interest (GDPR Art. 6(1)(f))", "Yes / Required (Sheet 3)", "")</f>
        <v/>
      </c>
      <c r="L2729" s="7" t="n"/>
      <c r="M2729" s="7" t="n"/>
      <c r="N2729">
        <f>IF(D2729="", "Gap - No Legal Basis", IF(AND(D2729="Consent (GDPR Art. 6(1)(a))", I2729="Not Captured"), "Gap - Invalid Consent", IF(AND(D2729="Legitimate Interest (GDPR Art. 6(1)(f))", L2729=""), "Gap - Missing LIA", IF(AND(G2729="Yes", H2729=""), "Gap - Missing Art. 9 Basis", IF(OR(I2729="Invalid - Not Freely Given", I2729="Invalid - Not Specific", I2729="Invalid - Not Informed", I2729="Invalid - Ambiguous"), "Gap - Invalid Consent", "Compliant")))))</f>
        <v/>
      </c>
      <c r="O2729" s="7" t="n"/>
    </row>
    <row r="2730">
      <c r="A2730" s="7" t="n"/>
      <c r="B2730" s="7" t="n"/>
      <c r="C2730" s="7" t="n"/>
      <c r="D2730" s="7" t="n"/>
      <c r="E2730" s="7" t="n"/>
      <c r="F2730" s="7" t="n"/>
      <c r="G2730" s="7" t="n"/>
      <c r="H2730" s="7" t="n"/>
      <c r="I2730" s="7" t="n"/>
      <c r="J2730" s="7" t="n"/>
      <c r="K2730">
        <f>IF(D2730="Legitimate Interest (GDPR Art. 6(1)(f))", "Yes / Required (Sheet 3)", "")</f>
        <v/>
      </c>
      <c r="L2730" s="7" t="n"/>
      <c r="M2730" s="7" t="n"/>
      <c r="N2730">
        <f>IF(D2730="", "Gap - No Legal Basis", IF(AND(D2730="Consent (GDPR Art. 6(1)(a))", I2730="Not Captured"), "Gap - Invalid Consent", IF(AND(D2730="Legitimate Interest (GDPR Art. 6(1)(f))", L2730=""), "Gap - Missing LIA", IF(AND(G2730="Yes", H2730=""), "Gap - Missing Art. 9 Basis", IF(OR(I2730="Invalid - Not Freely Given", I2730="Invalid - Not Specific", I2730="Invalid - Not Informed", I2730="Invalid - Ambiguous"), "Gap - Invalid Consent", "Compliant")))))</f>
        <v/>
      </c>
      <c r="O2730" s="7" t="n"/>
    </row>
    <row r="2731">
      <c r="A2731" s="7" t="n"/>
      <c r="B2731" s="7" t="n"/>
      <c r="C2731" s="7" t="n"/>
      <c r="D2731" s="7" t="n"/>
      <c r="E2731" s="7" t="n"/>
      <c r="F2731" s="7" t="n"/>
      <c r="G2731" s="7" t="n"/>
      <c r="H2731" s="7" t="n"/>
      <c r="I2731" s="7" t="n"/>
      <c r="J2731" s="7" t="n"/>
      <c r="K2731">
        <f>IF(D2731="Legitimate Interest (GDPR Art. 6(1)(f))", "Yes / Required (Sheet 3)", "")</f>
        <v/>
      </c>
      <c r="L2731" s="7" t="n"/>
      <c r="M2731" s="7" t="n"/>
      <c r="N2731">
        <f>IF(D2731="", "Gap - No Legal Basis", IF(AND(D2731="Consent (GDPR Art. 6(1)(a))", I2731="Not Captured"), "Gap - Invalid Consent", IF(AND(D2731="Legitimate Interest (GDPR Art. 6(1)(f))", L2731=""), "Gap - Missing LIA", IF(AND(G2731="Yes", H2731=""), "Gap - Missing Art. 9 Basis", IF(OR(I2731="Invalid - Not Freely Given", I2731="Invalid - Not Specific", I2731="Invalid - Not Informed", I2731="Invalid - Ambiguous"), "Gap - Invalid Consent", "Compliant")))))</f>
        <v/>
      </c>
      <c r="O2731" s="7" t="n"/>
    </row>
    <row r="2732">
      <c r="A2732" s="7" t="n"/>
      <c r="B2732" s="7" t="n"/>
      <c r="C2732" s="7" t="n"/>
      <c r="D2732" s="7" t="n"/>
      <c r="E2732" s="7" t="n"/>
      <c r="F2732" s="7" t="n"/>
      <c r="G2732" s="7" t="n"/>
      <c r="H2732" s="7" t="n"/>
      <c r="I2732" s="7" t="n"/>
      <c r="J2732" s="7" t="n"/>
      <c r="K2732">
        <f>IF(D2732="Legitimate Interest (GDPR Art. 6(1)(f))", "Yes / Required (Sheet 3)", "")</f>
        <v/>
      </c>
      <c r="L2732" s="7" t="n"/>
      <c r="M2732" s="7" t="n"/>
      <c r="N2732">
        <f>IF(D2732="", "Gap - No Legal Basis", IF(AND(D2732="Consent (GDPR Art. 6(1)(a))", I2732="Not Captured"), "Gap - Invalid Consent", IF(AND(D2732="Legitimate Interest (GDPR Art. 6(1)(f))", L2732=""), "Gap - Missing LIA", IF(AND(G2732="Yes", H2732=""), "Gap - Missing Art. 9 Basis", IF(OR(I2732="Invalid - Not Freely Given", I2732="Invalid - Not Specific", I2732="Invalid - Not Informed", I2732="Invalid - Ambiguous"), "Gap - Invalid Consent", "Compliant")))))</f>
        <v/>
      </c>
      <c r="O2732" s="7" t="n"/>
    </row>
    <row r="2733">
      <c r="A2733" s="7" t="n"/>
      <c r="B2733" s="7" t="n"/>
      <c r="C2733" s="7" t="n"/>
      <c r="D2733" s="7" t="n"/>
      <c r="E2733" s="7" t="n"/>
      <c r="F2733" s="7" t="n"/>
      <c r="G2733" s="7" t="n"/>
      <c r="H2733" s="7" t="n"/>
      <c r="I2733" s="7" t="n"/>
      <c r="J2733" s="7" t="n"/>
      <c r="K2733">
        <f>IF(D2733="Legitimate Interest (GDPR Art. 6(1)(f))", "Yes / Required (Sheet 3)", "")</f>
        <v/>
      </c>
      <c r="L2733" s="7" t="n"/>
      <c r="M2733" s="7" t="n"/>
      <c r="N2733">
        <f>IF(D2733="", "Gap - No Legal Basis", IF(AND(D2733="Consent (GDPR Art. 6(1)(a))", I2733="Not Captured"), "Gap - Invalid Consent", IF(AND(D2733="Legitimate Interest (GDPR Art. 6(1)(f))", L2733=""), "Gap - Missing LIA", IF(AND(G2733="Yes", H2733=""), "Gap - Missing Art. 9 Basis", IF(OR(I2733="Invalid - Not Freely Given", I2733="Invalid - Not Specific", I2733="Invalid - Not Informed", I2733="Invalid - Ambiguous"), "Gap - Invalid Consent", "Compliant")))))</f>
        <v/>
      </c>
      <c r="O2733" s="7" t="n"/>
    </row>
    <row r="2734">
      <c r="A2734" s="7" t="n"/>
      <c r="B2734" s="7" t="n"/>
      <c r="C2734" s="7" t="n"/>
      <c r="D2734" s="7" t="n"/>
      <c r="E2734" s="7" t="n"/>
      <c r="F2734" s="7" t="n"/>
      <c r="G2734" s="7" t="n"/>
      <c r="H2734" s="7" t="n"/>
      <c r="I2734" s="7" t="n"/>
      <c r="J2734" s="7" t="n"/>
      <c r="K2734">
        <f>IF(D2734="Legitimate Interest (GDPR Art. 6(1)(f))", "Yes / Required (Sheet 3)", "")</f>
        <v/>
      </c>
      <c r="L2734" s="7" t="n"/>
      <c r="M2734" s="7" t="n"/>
      <c r="N2734">
        <f>IF(D2734="", "Gap - No Legal Basis", IF(AND(D2734="Consent (GDPR Art. 6(1)(a))", I2734="Not Captured"), "Gap - Invalid Consent", IF(AND(D2734="Legitimate Interest (GDPR Art. 6(1)(f))", L2734=""), "Gap - Missing LIA", IF(AND(G2734="Yes", H2734=""), "Gap - Missing Art. 9 Basis", IF(OR(I2734="Invalid - Not Freely Given", I2734="Invalid - Not Specific", I2734="Invalid - Not Informed", I2734="Invalid - Ambiguous"), "Gap - Invalid Consent", "Compliant")))))</f>
        <v/>
      </c>
      <c r="O2734" s="7" t="n"/>
    </row>
    <row r="2735">
      <c r="A2735" s="7" t="n"/>
      <c r="B2735" s="7" t="n"/>
      <c r="C2735" s="7" t="n"/>
      <c r="D2735" s="7" t="n"/>
      <c r="E2735" s="7" t="n"/>
      <c r="F2735" s="7" t="n"/>
      <c r="G2735" s="7" t="n"/>
      <c r="H2735" s="7" t="n"/>
      <c r="I2735" s="7" t="n"/>
      <c r="J2735" s="7" t="n"/>
      <c r="K2735">
        <f>IF(D2735="Legitimate Interest (GDPR Art. 6(1)(f))", "Yes / Required (Sheet 3)", "")</f>
        <v/>
      </c>
      <c r="L2735" s="7" t="n"/>
      <c r="M2735" s="7" t="n"/>
      <c r="N2735">
        <f>IF(D2735="", "Gap - No Legal Basis", IF(AND(D2735="Consent (GDPR Art. 6(1)(a))", I2735="Not Captured"), "Gap - Invalid Consent", IF(AND(D2735="Legitimate Interest (GDPR Art. 6(1)(f))", L2735=""), "Gap - Missing LIA", IF(AND(G2735="Yes", H2735=""), "Gap - Missing Art. 9 Basis", IF(OR(I2735="Invalid - Not Freely Given", I2735="Invalid - Not Specific", I2735="Invalid - Not Informed", I2735="Invalid - Ambiguous"), "Gap - Invalid Consent", "Compliant")))))</f>
        <v/>
      </c>
      <c r="O2735" s="7" t="n"/>
    </row>
    <row r="2736">
      <c r="A2736" s="7" t="n"/>
      <c r="B2736" s="7" t="n"/>
      <c r="C2736" s="7" t="n"/>
      <c r="D2736" s="7" t="n"/>
      <c r="E2736" s="7" t="n"/>
      <c r="F2736" s="7" t="n"/>
      <c r="G2736" s="7" t="n"/>
      <c r="H2736" s="7" t="n"/>
      <c r="I2736" s="7" t="n"/>
      <c r="J2736" s="7" t="n"/>
      <c r="K2736">
        <f>IF(D2736="Legitimate Interest (GDPR Art. 6(1)(f))", "Yes / Required (Sheet 3)", "")</f>
        <v/>
      </c>
      <c r="L2736" s="7" t="n"/>
      <c r="M2736" s="7" t="n"/>
      <c r="N2736">
        <f>IF(D2736="", "Gap - No Legal Basis", IF(AND(D2736="Consent (GDPR Art. 6(1)(a))", I2736="Not Captured"), "Gap - Invalid Consent", IF(AND(D2736="Legitimate Interest (GDPR Art. 6(1)(f))", L2736=""), "Gap - Missing LIA", IF(AND(G2736="Yes", H2736=""), "Gap - Missing Art. 9 Basis", IF(OR(I2736="Invalid - Not Freely Given", I2736="Invalid - Not Specific", I2736="Invalid - Not Informed", I2736="Invalid - Ambiguous"), "Gap - Invalid Consent", "Compliant")))))</f>
        <v/>
      </c>
      <c r="O2736" s="7" t="n"/>
    </row>
    <row r="2737">
      <c r="A2737" s="7" t="n"/>
      <c r="B2737" s="7" t="n"/>
      <c r="C2737" s="7" t="n"/>
      <c r="D2737" s="7" t="n"/>
      <c r="E2737" s="7" t="n"/>
      <c r="F2737" s="7" t="n"/>
      <c r="G2737" s="7" t="n"/>
      <c r="H2737" s="7" t="n"/>
      <c r="I2737" s="7" t="n"/>
      <c r="J2737" s="7" t="n"/>
      <c r="K2737">
        <f>IF(D2737="Legitimate Interest (GDPR Art. 6(1)(f))", "Yes / Required (Sheet 3)", "")</f>
        <v/>
      </c>
      <c r="L2737" s="7" t="n"/>
      <c r="M2737" s="7" t="n"/>
      <c r="N2737">
        <f>IF(D2737="", "Gap - No Legal Basis", IF(AND(D2737="Consent (GDPR Art. 6(1)(a))", I2737="Not Captured"), "Gap - Invalid Consent", IF(AND(D2737="Legitimate Interest (GDPR Art. 6(1)(f))", L2737=""), "Gap - Missing LIA", IF(AND(G2737="Yes", H2737=""), "Gap - Missing Art. 9 Basis", IF(OR(I2737="Invalid - Not Freely Given", I2737="Invalid - Not Specific", I2737="Invalid - Not Informed", I2737="Invalid - Ambiguous"), "Gap - Invalid Consent", "Compliant")))))</f>
        <v/>
      </c>
      <c r="O2737" s="7" t="n"/>
    </row>
    <row r="2738">
      <c r="A2738" s="7" t="n"/>
      <c r="B2738" s="7" t="n"/>
      <c r="C2738" s="7" t="n"/>
      <c r="D2738" s="7" t="n"/>
      <c r="E2738" s="7" t="n"/>
      <c r="F2738" s="7" t="n"/>
      <c r="G2738" s="7" t="n"/>
      <c r="H2738" s="7" t="n"/>
      <c r="I2738" s="7" t="n"/>
      <c r="J2738" s="7" t="n"/>
      <c r="K2738">
        <f>IF(D2738="Legitimate Interest (GDPR Art. 6(1)(f))", "Yes / Required (Sheet 3)", "")</f>
        <v/>
      </c>
      <c r="L2738" s="7" t="n"/>
      <c r="M2738" s="7" t="n"/>
      <c r="N2738">
        <f>IF(D2738="", "Gap - No Legal Basis", IF(AND(D2738="Consent (GDPR Art. 6(1)(a))", I2738="Not Captured"), "Gap - Invalid Consent", IF(AND(D2738="Legitimate Interest (GDPR Art. 6(1)(f))", L2738=""), "Gap - Missing LIA", IF(AND(G2738="Yes", H2738=""), "Gap - Missing Art. 9 Basis", IF(OR(I2738="Invalid - Not Freely Given", I2738="Invalid - Not Specific", I2738="Invalid - Not Informed", I2738="Invalid - Ambiguous"), "Gap - Invalid Consent", "Compliant")))))</f>
        <v/>
      </c>
      <c r="O2738" s="7" t="n"/>
    </row>
    <row r="2739">
      <c r="A2739" s="7" t="n"/>
      <c r="B2739" s="7" t="n"/>
      <c r="C2739" s="7" t="n"/>
      <c r="D2739" s="7" t="n"/>
      <c r="E2739" s="7" t="n"/>
      <c r="F2739" s="7" t="n"/>
      <c r="G2739" s="7" t="n"/>
      <c r="H2739" s="7" t="n"/>
      <c r="I2739" s="7" t="n"/>
      <c r="J2739" s="7" t="n"/>
      <c r="K2739">
        <f>IF(D2739="Legitimate Interest (GDPR Art. 6(1)(f))", "Yes / Required (Sheet 3)", "")</f>
        <v/>
      </c>
      <c r="L2739" s="7" t="n"/>
      <c r="M2739" s="7" t="n"/>
      <c r="N2739">
        <f>IF(D2739="", "Gap - No Legal Basis", IF(AND(D2739="Consent (GDPR Art. 6(1)(a))", I2739="Not Captured"), "Gap - Invalid Consent", IF(AND(D2739="Legitimate Interest (GDPR Art. 6(1)(f))", L2739=""), "Gap - Missing LIA", IF(AND(G2739="Yes", H2739=""), "Gap - Missing Art. 9 Basis", IF(OR(I2739="Invalid - Not Freely Given", I2739="Invalid - Not Specific", I2739="Invalid - Not Informed", I2739="Invalid - Ambiguous"), "Gap - Invalid Consent", "Compliant")))))</f>
        <v/>
      </c>
      <c r="O2739" s="7" t="n"/>
    </row>
    <row r="2740">
      <c r="A2740" s="7" t="n"/>
      <c r="B2740" s="7" t="n"/>
      <c r="C2740" s="7" t="n"/>
      <c r="D2740" s="7" t="n"/>
      <c r="E2740" s="7" t="n"/>
      <c r="F2740" s="7" t="n"/>
      <c r="G2740" s="7" t="n"/>
      <c r="H2740" s="7" t="n"/>
      <c r="I2740" s="7" t="n"/>
      <c r="J2740" s="7" t="n"/>
      <c r="K2740">
        <f>IF(D2740="Legitimate Interest (GDPR Art. 6(1)(f))", "Yes / Required (Sheet 3)", "")</f>
        <v/>
      </c>
      <c r="L2740" s="7" t="n"/>
      <c r="M2740" s="7" t="n"/>
      <c r="N2740">
        <f>IF(D2740="", "Gap - No Legal Basis", IF(AND(D2740="Consent (GDPR Art. 6(1)(a))", I2740="Not Captured"), "Gap - Invalid Consent", IF(AND(D2740="Legitimate Interest (GDPR Art. 6(1)(f))", L2740=""), "Gap - Missing LIA", IF(AND(G2740="Yes", H2740=""), "Gap - Missing Art. 9 Basis", IF(OR(I2740="Invalid - Not Freely Given", I2740="Invalid - Not Specific", I2740="Invalid - Not Informed", I2740="Invalid - Ambiguous"), "Gap - Invalid Consent", "Compliant")))))</f>
        <v/>
      </c>
      <c r="O2740" s="7" t="n"/>
    </row>
    <row r="2741">
      <c r="A2741" s="7" t="n"/>
      <c r="B2741" s="7" t="n"/>
      <c r="C2741" s="7" t="n"/>
      <c r="D2741" s="7" t="n"/>
      <c r="E2741" s="7" t="n"/>
      <c r="F2741" s="7" t="n"/>
      <c r="G2741" s="7" t="n"/>
      <c r="H2741" s="7" t="n"/>
      <c r="I2741" s="7" t="n"/>
      <c r="J2741" s="7" t="n"/>
      <c r="K2741">
        <f>IF(D2741="Legitimate Interest (GDPR Art. 6(1)(f))", "Yes / Required (Sheet 3)", "")</f>
        <v/>
      </c>
      <c r="L2741" s="7" t="n"/>
      <c r="M2741" s="7" t="n"/>
      <c r="N2741">
        <f>IF(D2741="", "Gap - No Legal Basis", IF(AND(D2741="Consent (GDPR Art. 6(1)(a))", I2741="Not Captured"), "Gap - Invalid Consent", IF(AND(D2741="Legitimate Interest (GDPR Art. 6(1)(f))", L2741=""), "Gap - Missing LIA", IF(AND(G2741="Yes", H2741=""), "Gap - Missing Art. 9 Basis", IF(OR(I2741="Invalid - Not Freely Given", I2741="Invalid - Not Specific", I2741="Invalid - Not Informed", I2741="Invalid - Ambiguous"), "Gap - Invalid Consent", "Compliant")))))</f>
        <v/>
      </c>
      <c r="O2741" s="7" t="n"/>
    </row>
    <row r="2742">
      <c r="A2742" s="7" t="n"/>
      <c r="B2742" s="7" t="n"/>
      <c r="C2742" s="7" t="n"/>
      <c r="D2742" s="7" t="n"/>
      <c r="E2742" s="7" t="n"/>
      <c r="F2742" s="7" t="n"/>
      <c r="G2742" s="7" t="n"/>
      <c r="H2742" s="7" t="n"/>
      <c r="I2742" s="7" t="n"/>
      <c r="J2742" s="7" t="n"/>
      <c r="K2742">
        <f>IF(D2742="Legitimate Interest (GDPR Art. 6(1)(f))", "Yes / Required (Sheet 3)", "")</f>
        <v/>
      </c>
      <c r="L2742" s="7" t="n"/>
      <c r="M2742" s="7" t="n"/>
      <c r="N2742">
        <f>IF(D2742="", "Gap - No Legal Basis", IF(AND(D2742="Consent (GDPR Art. 6(1)(a))", I2742="Not Captured"), "Gap - Invalid Consent", IF(AND(D2742="Legitimate Interest (GDPR Art. 6(1)(f))", L2742=""), "Gap - Missing LIA", IF(AND(G2742="Yes", H2742=""), "Gap - Missing Art. 9 Basis", IF(OR(I2742="Invalid - Not Freely Given", I2742="Invalid - Not Specific", I2742="Invalid - Not Informed", I2742="Invalid - Ambiguous"), "Gap - Invalid Consent", "Compliant")))))</f>
        <v/>
      </c>
      <c r="O2742" s="7" t="n"/>
    </row>
    <row r="2743">
      <c r="A2743" s="7" t="n"/>
      <c r="B2743" s="7" t="n"/>
      <c r="C2743" s="7" t="n"/>
      <c r="D2743" s="7" t="n"/>
      <c r="E2743" s="7" t="n"/>
      <c r="F2743" s="7" t="n"/>
      <c r="G2743" s="7" t="n"/>
      <c r="H2743" s="7" t="n"/>
      <c r="I2743" s="7" t="n"/>
      <c r="J2743" s="7" t="n"/>
      <c r="K2743">
        <f>IF(D2743="Legitimate Interest (GDPR Art. 6(1)(f))", "Yes / Required (Sheet 3)", "")</f>
        <v/>
      </c>
      <c r="L2743" s="7" t="n"/>
      <c r="M2743" s="7" t="n"/>
      <c r="N2743">
        <f>IF(D2743="", "Gap - No Legal Basis", IF(AND(D2743="Consent (GDPR Art. 6(1)(a))", I2743="Not Captured"), "Gap - Invalid Consent", IF(AND(D2743="Legitimate Interest (GDPR Art. 6(1)(f))", L2743=""), "Gap - Missing LIA", IF(AND(G2743="Yes", H2743=""), "Gap - Missing Art. 9 Basis", IF(OR(I2743="Invalid - Not Freely Given", I2743="Invalid - Not Specific", I2743="Invalid - Not Informed", I2743="Invalid - Ambiguous"), "Gap - Invalid Consent", "Compliant")))))</f>
        <v/>
      </c>
      <c r="O2743" s="7" t="n"/>
    </row>
    <row r="2744">
      <c r="A2744" s="7" t="n"/>
      <c r="B2744" s="7" t="n"/>
      <c r="C2744" s="7" t="n"/>
      <c r="D2744" s="7" t="n"/>
      <c r="E2744" s="7" t="n"/>
      <c r="F2744" s="7" t="n"/>
      <c r="G2744" s="7" t="n"/>
      <c r="H2744" s="7" t="n"/>
      <c r="I2744" s="7" t="n"/>
      <c r="J2744" s="7" t="n"/>
      <c r="K2744">
        <f>IF(D2744="Legitimate Interest (GDPR Art. 6(1)(f))", "Yes / Required (Sheet 3)", "")</f>
        <v/>
      </c>
      <c r="L2744" s="7" t="n"/>
      <c r="M2744" s="7" t="n"/>
      <c r="N2744">
        <f>IF(D2744="", "Gap - No Legal Basis", IF(AND(D2744="Consent (GDPR Art. 6(1)(a))", I2744="Not Captured"), "Gap - Invalid Consent", IF(AND(D2744="Legitimate Interest (GDPR Art. 6(1)(f))", L2744=""), "Gap - Missing LIA", IF(AND(G2744="Yes", H2744=""), "Gap - Missing Art. 9 Basis", IF(OR(I2744="Invalid - Not Freely Given", I2744="Invalid - Not Specific", I2744="Invalid - Not Informed", I2744="Invalid - Ambiguous"), "Gap - Invalid Consent", "Compliant")))))</f>
        <v/>
      </c>
      <c r="O2744" s="7" t="n"/>
    </row>
    <row r="2745">
      <c r="A2745" s="7" t="n"/>
      <c r="B2745" s="7" t="n"/>
      <c r="C2745" s="7" t="n"/>
      <c r="D2745" s="7" t="n"/>
      <c r="E2745" s="7" t="n"/>
      <c r="F2745" s="7" t="n"/>
      <c r="G2745" s="7" t="n"/>
      <c r="H2745" s="7" t="n"/>
      <c r="I2745" s="7" t="n"/>
      <c r="J2745" s="7" t="n"/>
      <c r="K2745">
        <f>IF(D2745="Legitimate Interest (GDPR Art. 6(1)(f))", "Yes / Required (Sheet 3)", "")</f>
        <v/>
      </c>
      <c r="L2745" s="7" t="n"/>
      <c r="M2745" s="7" t="n"/>
      <c r="N2745">
        <f>IF(D2745="", "Gap - No Legal Basis", IF(AND(D2745="Consent (GDPR Art. 6(1)(a))", I2745="Not Captured"), "Gap - Invalid Consent", IF(AND(D2745="Legitimate Interest (GDPR Art. 6(1)(f))", L2745=""), "Gap - Missing LIA", IF(AND(G2745="Yes", H2745=""), "Gap - Missing Art. 9 Basis", IF(OR(I2745="Invalid - Not Freely Given", I2745="Invalid - Not Specific", I2745="Invalid - Not Informed", I2745="Invalid - Ambiguous"), "Gap - Invalid Consent", "Compliant")))))</f>
        <v/>
      </c>
      <c r="O2745" s="7" t="n"/>
    </row>
    <row r="2746">
      <c r="A2746" s="7" t="n"/>
      <c r="B2746" s="7" t="n"/>
      <c r="C2746" s="7" t="n"/>
      <c r="D2746" s="7" t="n"/>
      <c r="E2746" s="7" t="n"/>
      <c r="F2746" s="7" t="n"/>
      <c r="G2746" s="7" t="n"/>
      <c r="H2746" s="7" t="n"/>
      <c r="I2746" s="7" t="n"/>
      <c r="J2746" s="7" t="n"/>
      <c r="K2746">
        <f>IF(D2746="Legitimate Interest (GDPR Art. 6(1)(f))", "Yes / Required (Sheet 3)", "")</f>
        <v/>
      </c>
      <c r="L2746" s="7" t="n"/>
      <c r="M2746" s="7" t="n"/>
      <c r="N2746">
        <f>IF(D2746="", "Gap - No Legal Basis", IF(AND(D2746="Consent (GDPR Art. 6(1)(a))", I2746="Not Captured"), "Gap - Invalid Consent", IF(AND(D2746="Legitimate Interest (GDPR Art. 6(1)(f))", L2746=""), "Gap - Missing LIA", IF(AND(G2746="Yes", H2746=""), "Gap - Missing Art. 9 Basis", IF(OR(I2746="Invalid - Not Freely Given", I2746="Invalid - Not Specific", I2746="Invalid - Not Informed", I2746="Invalid - Ambiguous"), "Gap - Invalid Consent", "Compliant")))))</f>
        <v/>
      </c>
      <c r="O2746" s="7" t="n"/>
    </row>
    <row r="2747">
      <c r="A2747" s="7" t="n"/>
      <c r="B2747" s="7" t="n"/>
      <c r="C2747" s="7" t="n"/>
      <c r="D2747" s="7" t="n"/>
      <c r="E2747" s="7" t="n"/>
      <c r="F2747" s="7" t="n"/>
      <c r="G2747" s="7" t="n"/>
      <c r="H2747" s="7" t="n"/>
      <c r="I2747" s="7" t="n"/>
      <c r="J2747" s="7" t="n"/>
      <c r="K2747">
        <f>IF(D2747="Legitimate Interest (GDPR Art. 6(1)(f))", "Yes / Required (Sheet 3)", "")</f>
        <v/>
      </c>
      <c r="L2747" s="7" t="n"/>
      <c r="M2747" s="7" t="n"/>
      <c r="N2747">
        <f>IF(D2747="", "Gap - No Legal Basis", IF(AND(D2747="Consent (GDPR Art. 6(1)(a))", I2747="Not Captured"), "Gap - Invalid Consent", IF(AND(D2747="Legitimate Interest (GDPR Art. 6(1)(f))", L2747=""), "Gap - Missing LIA", IF(AND(G2747="Yes", H2747=""), "Gap - Missing Art. 9 Basis", IF(OR(I2747="Invalid - Not Freely Given", I2747="Invalid - Not Specific", I2747="Invalid - Not Informed", I2747="Invalid - Ambiguous"), "Gap - Invalid Consent", "Compliant")))))</f>
        <v/>
      </c>
      <c r="O2747" s="7" t="n"/>
    </row>
    <row r="2748">
      <c r="A2748" s="7" t="n"/>
      <c r="B2748" s="7" t="n"/>
      <c r="C2748" s="7" t="n"/>
      <c r="D2748" s="7" t="n"/>
      <c r="E2748" s="7" t="n"/>
      <c r="F2748" s="7" t="n"/>
      <c r="G2748" s="7" t="n"/>
      <c r="H2748" s="7" t="n"/>
      <c r="I2748" s="7" t="n"/>
      <c r="J2748" s="7" t="n"/>
      <c r="K2748">
        <f>IF(D2748="Legitimate Interest (GDPR Art. 6(1)(f))", "Yes / Required (Sheet 3)", "")</f>
        <v/>
      </c>
      <c r="L2748" s="7" t="n"/>
      <c r="M2748" s="7" t="n"/>
      <c r="N2748">
        <f>IF(D2748="", "Gap - No Legal Basis", IF(AND(D2748="Consent (GDPR Art. 6(1)(a))", I2748="Not Captured"), "Gap - Invalid Consent", IF(AND(D2748="Legitimate Interest (GDPR Art. 6(1)(f))", L2748=""), "Gap - Missing LIA", IF(AND(G2748="Yes", H2748=""), "Gap - Missing Art. 9 Basis", IF(OR(I2748="Invalid - Not Freely Given", I2748="Invalid - Not Specific", I2748="Invalid - Not Informed", I2748="Invalid - Ambiguous"), "Gap - Invalid Consent", "Compliant")))))</f>
        <v/>
      </c>
      <c r="O2748" s="7" t="n"/>
    </row>
    <row r="2749">
      <c r="A2749" s="7" t="n"/>
      <c r="B2749" s="7" t="n"/>
      <c r="C2749" s="7" t="n"/>
      <c r="D2749" s="7" t="n"/>
      <c r="E2749" s="7" t="n"/>
      <c r="F2749" s="7" t="n"/>
      <c r="G2749" s="7" t="n"/>
      <c r="H2749" s="7" t="n"/>
      <c r="I2749" s="7" t="n"/>
      <c r="J2749" s="7" t="n"/>
      <c r="K2749">
        <f>IF(D2749="Legitimate Interest (GDPR Art. 6(1)(f))", "Yes / Required (Sheet 3)", "")</f>
        <v/>
      </c>
      <c r="L2749" s="7" t="n"/>
      <c r="M2749" s="7" t="n"/>
      <c r="N2749">
        <f>IF(D2749="", "Gap - No Legal Basis", IF(AND(D2749="Consent (GDPR Art. 6(1)(a))", I2749="Not Captured"), "Gap - Invalid Consent", IF(AND(D2749="Legitimate Interest (GDPR Art. 6(1)(f))", L2749=""), "Gap - Missing LIA", IF(AND(G2749="Yes", H2749=""), "Gap - Missing Art. 9 Basis", IF(OR(I2749="Invalid - Not Freely Given", I2749="Invalid - Not Specific", I2749="Invalid - Not Informed", I2749="Invalid - Ambiguous"), "Gap - Invalid Consent", "Compliant")))))</f>
        <v/>
      </c>
      <c r="O2749" s="7" t="n"/>
    </row>
    <row r="2750">
      <c r="A2750" s="7" t="n"/>
      <c r="B2750" s="7" t="n"/>
      <c r="C2750" s="7" t="n"/>
      <c r="D2750" s="7" t="n"/>
      <c r="E2750" s="7" t="n"/>
      <c r="F2750" s="7" t="n"/>
      <c r="G2750" s="7" t="n"/>
      <c r="H2750" s="7" t="n"/>
      <c r="I2750" s="7" t="n"/>
      <c r="J2750" s="7" t="n"/>
      <c r="K2750">
        <f>IF(D2750="Legitimate Interest (GDPR Art. 6(1)(f))", "Yes / Required (Sheet 3)", "")</f>
        <v/>
      </c>
      <c r="L2750" s="7" t="n"/>
      <c r="M2750" s="7" t="n"/>
      <c r="N2750">
        <f>IF(D2750="", "Gap - No Legal Basis", IF(AND(D2750="Consent (GDPR Art. 6(1)(a))", I2750="Not Captured"), "Gap - Invalid Consent", IF(AND(D2750="Legitimate Interest (GDPR Art. 6(1)(f))", L2750=""), "Gap - Missing LIA", IF(AND(G2750="Yes", H2750=""), "Gap - Missing Art. 9 Basis", IF(OR(I2750="Invalid - Not Freely Given", I2750="Invalid - Not Specific", I2750="Invalid - Not Informed", I2750="Invalid - Ambiguous"), "Gap - Invalid Consent", "Compliant")))))</f>
        <v/>
      </c>
      <c r="O2750" s="7" t="n"/>
    </row>
    <row r="2751">
      <c r="A2751" s="7" t="n"/>
      <c r="B2751" s="7" t="n"/>
      <c r="C2751" s="7" t="n"/>
      <c r="D2751" s="7" t="n"/>
      <c r="E2751" s="7" t="n"/>
      <c r="F2751" s="7" t="n"/>
      <c r="G2751" s="7" t="n"/>
      <c r="H2751" s="7" t="n"/>
      <c r="I2751" s="7" t="n"/>
      <c r="J2751" s="7" t="n"/>
      <c r="K2751">
        <f>IF(D2751="Legitimate Interest (GDPR Art. 6(1)(f))", "Yes / Required (Sheet 3)", "")</f>
        <v/>
      </c>
      <c r="L2751" s="7" t="n"/>
      <c r="M2751" s="7" t="n"/>
      <c r="N2751">
        <f>IF(D2751="", "Gap - No Legal Basis", IF(AND(D2751="Consent (GDPR Art. 6(1)(a))", I2751="Not Captured"), "Gap - Invalid Consent", IF(AND(D2751="Legitimate Interest (GDPR Art. 6(1)(f))", L2751=""), "Gap - Missing LIA", IF(AND(G2751="Yes", H2751=""), "Gap - Missing Art. 9 Basis", IF(OR(I2751="Invalid - Not Freely Given", I2751="Invalid - Not Specific", I2751="Invalid - Not Informed", I2751="Invalid - Ambiguous"), "Gap - Invalid Consent", "Compliant")))))</f>
        <v/>
      </c>
      <c r="O2751" s="7" t="n"/>
    </row>
    <row r="2752">
      <c r="A2752" s="7" t="n"/>
      <c r="B2752" s="7" t="n"/>
      <c r="C2752" s="7" t="n"/>
      <c r="D2752" s="7" t="n"/>
      <c r="E2752" s="7" t="n"/>
      <c r="F2752" s="7" t="n"/>
      <c r="G2752" s="7" t="n"/>
      <c r="H2752" s="7" t="n"/>
      <c r="I2752" s="7" t="n"/>
      <c r="J2752" s="7" t="n"/>
      <c r="K2752">
        <f>IF(D2752="Legitimate Interest (GDPR Art. 6(1)(f))", "Yes / Required (Sheet 3)", "")</f>
        <v/>
      </c>
      <c r="L2752" s="7" t="n"/>
      <c r="M2752" s="7" t="n"/>
      <c r="N2752">
        <f>IF(D2752="", "Gap - No Legal Basis", IF(AND(D2752="Consent (GDPR Art. 6(1)(a))", I2752="Not Captured"), "Gap - Invalid Consent", IF(AND(D2752="Legitimate Interest (GDPR Art. 6(1)(f))", L2752=""), "Gap - Missing LIA", IF(AND(G2752="Yes", H2752=""), "Gap - Missing Art. 9 Basis", IF(OR(I2752="Invalid - Not Freely Given", I2752="Invalid - Not Specific", I2752="Invalid - Not Informed", I2752="Invalid - Ambiguous"), "Gap - Invalid Consent", "Compliant")))))</f>
        <v/>
      </c>
      <c r="O2752" s="7" t="n"/>
    </row>
    <row r="2753">
      <c r="A2753" s="7" t="n"/>
      <c r="B2753" s="7" t="n"/>
      <c r="C2753" s="7" t="n"/>
      <c r="D2753" s="7" t="n"/>
      <c r="E2753" s="7" t="n"/>
      <c r="F2753" s="7" t="n"/>
      <c r="G2753" s="7" t="n"/>
      <c r="H2753" s="7" t="n"/>
      <c r="I2753" s="7" t="n"/>
      <c r="J2753" s="7" t="n"/>
      <c r="K2753">
        <f>IF(D2753="Legitimate Interest (GDPR Art. 6(1)(f))", "Yes / Required (Sheet 3)", "")</f>
        <v/>
      </c>
      <c r="L2753" s="7" t="n"/>
      <c r="M2753" s="7" t="n"/>
      <c r="N2753">
        <f>IF(D2753="", "Gap - No Legal Basis", IF(AND(D2753="Consent (GDPR Art. 6(1)(a))", I2753="Not Captured"), "Gap - Invalid Consent", IF(AND(D2753="Legitimate Interest (GDPR Art. 6(1)(f))", L2753=""), "Gap - Missing LIA", IF(AND(G2753="Yes", H2753=""), "Gap - Missing Art. 9 Basis", IF(OR(I2753="Invalid - Not Freely Given", I2753="Invalid - Not Specific", I2753="Invalid - Not Informed", I2753="Invalid - Ambiguous"), "Gap - Invalid Consent", "Compliant")))))</f>
        <v/>
      </c>
      <c r="O2753" s="7" t="n"/>
    </row>
    <row r="2754">
      <c r="A2754" s="7" t="n"/>
      <c r="B2754" s="7" t="n"/>
      <c r="C2754" s="7" t="n"/>
      <c r="D2754" s="7" t="n"/>
      <c r="E2754" s="7" t="n"/>
      <c r="F2754" s="7" t="n"/>
      <c r="G2754" s="7" t="n"/>
      <c r="H2754" s="7" t="n"/>
      <c r="I2754" s="7" t="n"/>
      <c r="J2754" s="7" t="n"/>
      <c r="K2754">
        <f>IF(D2754="Legitimate Interest (GDPR Art. 6(1)(f))", "Yes / Required (Sheet 3)", "")</f>
        <v/>
      </c>
      <c r="L2754" s="7" t="n"/>
      <c r="M2754" s="7" t="n"/>
      <c r="N2754">
        <f>IF(D2754="", "Gap - No Legal Basis", IF(AND(D2754="Consent (GDPR Art. 6(1)(a))", I2754="Not Captured"), "Gap - Invalid Consent", IF(AND(D2754="Legitimate Interest (GDPR Art. 6(1)(f))", L2754=""), "Gap - Missing LIA", IF(AND(G2754="Yes", H2754=""), "Gap - Missing Art. 9 Basis", IF(OR(I2754="Invalid - Not Freely Given", I2754="Invalid - Not Specific", I2754="Invalid - Not Informed", I2754="Invalid - Ambiguous"), "Gap - Invalid Consent", "Compliant")))))</f>
        <v/>
      </c>
      <c r="O2754" s="7" t="n"/>
    </row>
    <row r="2755">
      <c r="A2755" s="7" t="n"/>
      <c r="B2755" s="7" t="n"/>
      <c r="C2755" s="7" t="n"/>
      <c r="D2755" s="7" t="n"/>
      <c r="E2755" s="7" t="n"/>
      <c r="F2755" s="7" t="n"/>
      <c r="G2755" s="7" t="n"/>
      <c r="H2755" s="7" t="n"/>
      <c r="I2755" s="7" t="n"/>
      <c r="J2755" s="7" t="n"/>
      <c r="K2755">
        <f>IF(D2755="Legitimate Interest (GDPR Art. 6(1)(f))", "Yes / Required (Sheet 3)", "")</f>
        <v/>
      </c>
      <c r="L2755" s="7" t="n"/>
      <c r="M2755" s="7" t="n"/>
      <c r="N2755">
        <f>IF(D2755="", "Gap - No Legal Basis", IF(AND(D2755="Consent (GDPR Art. 6(1)(a))", I2755="Not Captured"), "Gap - Invalid Consent", IF(AND(D2755="Legitimate Interest (GDPR Art. 6(1)(f))", L2755=""), "Gap - Missing LIA", IF(AND(G2755="Yes", H2755=""), "Gap - Missing Art. 9 Basis", IF(OR(I2755="Invalid - Not Freely Given", I2755="Invalid - Not Specific", I2755="Invalid - Not Informed", I2755="Invalid - Ambiguous"), "Gap - Invalid Consent", "Compliant")))))</f>
        <v/>
      </c>
      <c r="O2755" s="7" t="n"/>
    </row>
    <row r="2756">
      <c r="A2756" s="7" t="n"/>
      <c r="B2756" s="7" t="n"/>
      <c r="C2756" s="7" t="n"/>
      <c r="D2756" s="7" t="n"/>
      <c r="E2756" s="7" t="n"/>
      <c r="F2756" s="7" t="n"/>
      <c r="G2756" s="7" t="n"/>
      <c r="H2756" s="7" t="n"/>
      <c r="I2756" s="7" t="n"/>
      <c r="J2756" s="7" t="n"/>
      <c r="K2756">
        <f>IF(D2756="Legitimate Interest (GDPR Art. 6(1)(f))", "Yes / Required (Sheet 3)", "")</f>
        <v/>
      </c>
      <c r="L2756" s="7" t="n"/>
      <c r="M2756" s="7" t="n"/>
      <c r="N2756">
        <f>IF(D2756="", "Gap - No Legal Basis", IF(AND(D2756="Consent (GDPR Art. 6(1)(a))", I2756="Not Captured"), "Gap - Invalid Consent", IF(AND(D2756="Legitimate Interest (GDPR Art. 6(1)(f))", L2756=""), "Gap - Missing LIA", IF(AND(G2756="Yes", H2756=""), "Gap - Missing Art. 9 Basis", IF(OR(I2756="Invalid - Not Freely Given", I2756="Invalid - Not Specific", I2756="Invalid - Not Informed", I2756="Invalid - Ambiguous"), "Gap - Invalid Consent", "Compliant")))))</f>
        <v/>
      </c>
      <c r="O2756" s="7" t="n"/>
    </row>
    <row r="2757">
      <c r="A2757" s="7" t="n"/>
      <c r="B2757" s="7" t="n"/>
      <c r="C2757" s="7" t="n"/>
      <c r="D2757" s="7" t="n"/>
      <c r="E2757" s="7" t="n"/>
      <c r="F2757" s="7" t="n"/>
      <c r="G2757" s="7" t="n"/>
      <c r="H2757" s="7" t="n"/>
      <c r="I2757" s="7" t="n"/>
      <c r="J2757" s="7" t="n"/>
      <c r="K2757">
        <f>IF(D2757="Legitimate Interest (GDPR Art. 6(1)(f))", "Yes / Required (Sheet 3)", "")</f>
        <v/>
      </c>
      <c r="L2757" s="7" t="n"/>
      <c r="M2757" s="7" t="n"/>
      <c r="N2757">
        <f>IF(D2757="", "Gap - No Legal Basis", IF(AND(D2757="Consent (GDPR Art. 6(1)(a))", I2757="Not Captured"), "Gap - Invalid Consent", IF(AND(D2757="Legitimate Interest (GDPR Art. 6(1)(f))", L2757=""), "Gap - Missing LIA", IF(AND(G2757="Yes", H2757=""), "Gap - Missing Art. 9 Basis", IF(OR(I2757="Invalid - Not Freely Given", I2757="Invalid - Not Specific", I2757="Invalid - Not Informed", I2757="Invalid - Ambiguous"), "Gap - Invalid Consent", "Compliant")))))</f>
        <v/>
      </c>
      <c r="O2757" s="7" t="n"/>
    </row>
    <row r="2758">
      <c r="A2758" s="7" t="n"/>
      <c r="B2758" s="7" t="n"/>
      <c r="C2758" s="7" t="n"/>
      <c r="D2758" s="7" t="n"/>
      <c r="E2758" s="7" t="n"/>
      <c r="F2758" s="7" t="n"/>
      <c r="G2758" s="7" t="n"/>
      <c r="H2758" s="7" t="n"/>
      <c r="I2758" s="7" t="n"/>
      <c r="J2758" s="7" t="n"/>
      <c r="K2758">
        <f>IF(D2758="Legitimate Interest (GDPR Art. 6(1)(f))", "Yes / Required (Sheet 3)", "")</f>
        <v/>
      </c>
      <c r="L2758" s="7" t="n"/>
      <c r="M2758" s="7" t="n"/>
      <c r="N2758">
        <f>IF(D2758="", "Gap - No Legal Basis", IF(AND(D2758="Consent (GDPR Art. 6(1)(a))", I2758="Not Captured"), "Gap - Invalid Consent", IF(AND(D2758="Legitimate Interest (GDPR Art. 6(1)(f))", L2758=""), "Gap - Missing LIA", IF(AND(G2758="Yes", H2758=""), "Gap - Missing Art. 9 Basis", IF(OR(I2758="Invalid - Not Freely Given", I2758="Invalid - Not Specific", I2758="Invalid - Not Informed", I2758="Invalid - Ambiguous"), "Gap - Invalid Consent", "Compliant")))))</f>
        <v/>
      </c>
      <c r="O2758" s="7" t="n"/>
    </row>
    <row r="2759">
      <c r="A2759" s="7" t="n"/>
      <c r="B2759" s="7" t="n"/>
      <c r="C2759" s="7" t="n"/>
      <c r="D2759" s="7" t="n"/>
      <c r="E2759" s="7" t="n"/>
      <c r="F2759" s="7" t="n"/>
      <c r="G2759" s="7" t="n"/>
      <c r="H2759" s="7" t="n"/>
      <c r="I2759" s="7" t="n"/>
      <c r="J2759" s="7" t="n"/>
      <c r="K2759">
        <f>IF(D2759="Legitimate Interest (GDPR Art. 6(1)(f))", "Yes / Required (Sheet 3)", "")</f>
        <v/>
      </c>
      <c r="L2759" s="7" t="n"/>
      <c r="M2759" s="7" t="n"/>
      <c r="N2759">
        <f>IF(D2759="", "Gap - No Legal Basis", IF(AND(D2759="Consent (GDPR Art. 6(1)(a))", I2759="Not Captured"), "Gap - Invalid Consent", IF(AND(D2759="Legitimate Interest (GDPR Art. 6(1)(f))", L2759=""), "Gap - Missing LIA", IF(AND(G2759="Yes", H2759=""), "Gap - Missing Art. 9 Basis", IF(OR(I2759="Invalid - Not Freely Given", I2759="Invalid - Not Specific", I2759="Invalid - Not Informed", I2759="Invalid - Ambiguous"), "Gap - Invalid Consent", "Compliant")))))</f>
        <v/>
      </c>
      <c r="O2759" s="7" t="n"/>
    </row>
    <row r="2760">
      <c r="A2760" s="7" t="n"/>
      <c r="B2760" s="7" t="n"/>
      <c r="C2760" s="7" t="n"/>
      <c r="D2760" s="7" t="n"/>
      <c r="E2760" s="7" t="n"/>
      <c r="F2760" s="7" t="n"/>
      <c r="G2760" s="7" t="n"/>
      <c r="H2760" s="7" t="n"/>
      <c r="I2760" s="7" t="n"/>
      <c r="J2760" s="7" t="n"/>
      <c r="K2760">
        <f>IF(D2760="Legitimate Interest (GDPR Art. 6(1)(f))", "Yes / Required (Sheet 3)", "")</f>
        <v/>
      </c>
      <c r="L2760" s="7" t="n"/>
      <c r="M2760" s="7" t="n"/>
      <c r="N2760">
        <f>IF(D2760="", "Gap - No Legal Basis", IF(AND(D2760="Consent (GDPR Art. 6(1)(a))", I2760="Not Captured"), "Gap - Invalid Consent", IF(AND(D2760="Legitimate Interest (GDPR Art. 6(1)(f))", L2760=""), "Gap - Missing LIA", IF(AND(G2760="Yes", H2760=""), "Gap - Missing Art. 9 Basis", IF(OR(I2760="Invalid - Not Freely Given", I2760="Invalid - Not Specific", I2760="Invalid - Not Informed", I2760="Invalid - Ambiguous"), "Gap - Invalid Consent", "Compliant")))))</f>
        <v/>
      </c>
      <c r="O2760" s="7" t="n"/>
    </row>
    <row r="2761">
      <c r="A2761" s="7" t="n"/>
      <c r="B2761" s="7" t="n"/>
      <c r="C2761" s="7" t="n"/>
      <c r="D2761" s="7" t="n"/>
      <c r="E2761" s="7" t="n"/>
      <c r="F2761" s="7" t="n"/>
      <c r="G2761" s="7" t="n"/>
      <c r="H2761" s="7" t="n"/>
      <c r="I2761" s="7" t="n"/>
      <c r="J2761" s="7" t="n"/>
      <c r="K2761">
        <f>IF(D2761="Legitimate Interest (GDPR Art. 6(1)(f))", "Yes / Required (Sheet 3)", "")</f>
        <v/>
      </c>
      <c r="L2761" s="7" t="n"/>
      <c r="M2761" s="7" t="n"/>
      <c r="N2761">
        <f>IF(D2761="", "Gap - No Legal Basis", IF(AND(D2761="Consent (GDPR Art. 6(1)(a))", I2761="Not Captured"), "Gap - Invalid Consent", IF(AND(D2761="Legitimate Interest (GDPR Art. 6(1)(f))", L2761=""), "Gap - Missing LIA", IF(AND(G2761="Yes", H2761=""), "Gap - Missing Art. 9 Basis", IF(OR(I2761="Invalid - Not Freely Given", I2761="Invalid - Not Specific", I2761="Invalid - Not Informed", I2761="Invalid - Ambiguous"), "Gap - Invalid Consent", "Compliant")))))</f>
        <v/>
      </c>
      <c r="O2761" s="7" t="n"/>
    </row>
    <row r="2762">
      <c r="A2762" s="7" t="n"/>
      <c r="B2762" s="7" t="n"/>
      <c r="C2762" s="7" t="n"/>
      <c r="D2762" s="7" t="n"/>
      <c r="E2762" s="7" t="n"/>
      <c r="F2762" s="7" t="n"/>
      <c r="G2762" s="7" t="n"/>
      <c r="H2762" s="7" t="n"/>
      <c r="I2762" s="7" t="n"/>
      <c r="J2762" s="7" t="n"/>
      <c r="K2762">
        <f>IF(D2762="Legitimate Interest (GDPR Art. 6(1)(f))", "Yes / Required (Sheet 3)", "")</f>
        <v/>
      </c>
      <c r="L2762" s="7" t="n"/>
      <c r="M2762" s="7" t="n"/>
      <c r="N2762">
        <f>IF(D2762="", "Gap - No Legal Basis", IF(AND(D2762="Consent (GDPR Art. 6(1)(a))", I2762="Not Captured"), "Gap - Invalid Consent", IF(AND(D2762="Legitimate Interest (GDPR Art. 6(1)(f))", L2762=""), "Gap - Missing LIA", IF(AND(G2762="Yes", H2762=""), "Gap - Missing Art. 9 Basis", IF(OR(I2762="Invalid - Not Freely Given", I2762="Invalid - Not Specific", I2762="Invalid - Not Informed", I2762="Invalid - Ambiguous"), "Gap - Invalid Consent", "Compliant")))))</f>
        <v/>
      </c>
      <c r="O2762" s="7" t="n"/>
    </row>
    <row r="2763">
      <c r="A2763" s="7" t="n"/>
      <c r="B2763" s="7" t="n"/>
      <c r="C2763" s="7" t="n"/>
      <c r="D2763" s="7" t="n"/>
      <c r="E2763" s="7" t="n"/>
      <c r="F2763" s="7" t="n"/>
      <c r="G2763" s="7" t="n"/>
      <c r="H2763" s="7" t="n"/>
      <c r="I2763" s="7" t="n"/>
      <c r="J2763" s="7" t="n"/>
      <c r="K2763">
        <f>IF(D2763="Legitimate Interest (GDPR Art. 6(1)(f))", "Yes / Required (Sheet 3)", "")</f>
        <v/>
      </c>
      <c r="L2763" s="7" t="n"/>
      <c r="M2763" s="7" t="n"/>
      <c r="N2763">
        <f>IF(D2763="", "Gap - No Legal Basis", IF(AND(D2763="Consent (GDPR Art. 6(1)(a))", I2763="Not Captured"), "Gap - Invalid Consent", IF(AND(D2763="Legitimate Interest (GDPR Art. 6(1)(f))", L2763=""), "Gap - Missing LIA", IF(AND(G2763="Yes", H2763=""), "Gap - Missing Art. 9 Basis", IF(OR(I2763="Invalid - Not Freely Given", I2763="Invalid - Not Specific", I2763="Invalid - Not Informed", I2763="Invalid - Ambiguous"), "Gap - Invalid Consent", "Compliant")))))</f>
        <v/>
      </c>
      <c r="O2763" s="7" t="n"/>
    </row>
    <row r="2764">
      <c r="A2764" s="7" t="n"/>
      <c r="B2764" s="7" t="n"/>
      <c r="C2764" s="7" t="n"/>
      <c r="D2764" s="7" t="n"/>
      <c r="E2764" s="7" t="n"/>
      <c r="F2764" s="7" t="n"/>
      <c r="G2764" s="7" t="n"/>
      <c r="H2764" s="7" t="n"/>
      <c r="I2764" s="7" t="n"/>
      <c r="J2764" s="7" t="n"/>
      <c r="K2764">
        <f>IF(D2764="Legitimate Interest (GDPR Art. 6(1)(f))", "Yes / Required (Sheet 3)", "")</f>
        <v/>
      </c>
      <c r="L2764" s="7" t="n"/>
      <c r="M2764" s="7" t="n"/>
      <c r="N2764">
        <f>IF(D2764="", "Gap - No Legal Basis", IF(AND(D2764="Consent (GDPR Art. 6(1)(a))", I2764="Not Captured"), "Gap - Invalid Consent", IF(AND(D2764="Legitimate Interest (GDPR Art. 6(1)(f))", L2764=""), "Gap - Missing LIA", IF(AND(G2764="Yes", H2764=""), "Gap - Missing Art. 9 Basis", IF(OR(I2764="Invalid - Not Freely Given", I2764="Invalid - Not Specific", I2764="Invalid - Not Informed", I2764="Invalid - Ambiguous"), "Gap - Invalid Consent", "Compliant")))))</f>
        <v/>
      </c>
      <c r="O2764" s="7" t="n"/>
    </row>
    <row r="2765">
      <c r="A2765" s="7" t="n"/>
      <c r="B2765" s="7" t="n"/>
      <c r="C2765" s="7" t="n"/>
      <c r="D2765" s="7" t="n"/>
      <c r="E2765" s="7" t="n"/>
      <c r="F2765" s="7" t="n"/>
      <c r="G2765" s="7" t="n"/>
      <c r="H2765" s="7" t="n"/>
      <c r="I2765" s="7" t="n"/>
      <c r="J2765" s="7" t="n"/>
      <c r="K2765">
        <f>IF(D2765="Legitimate Interest (GDPR Art. 6(1)(f))", "Yes / Required (Sheet 3)", "")</f>
        <v/>
      </c>
      <c r="L2765" s="7" t="n"/>
      <c r="M2765" s="7" t="n"/>
      <c r="N2765">
        <f>IF(D2765="", "Gap - No Legal Basis", IF(AND(D2765="Consent (GDPR Art. 6(1)(a))", I2765="Not Captured"), "Gap - Invalid Consent", IF(AND(D2765="Legitimate Interest (GDPR Art. 6(1)(f))", L2765=""), "Gap - Missing LIA", IF(AND(G2765="Yes", H2765=""), "Gap - Missing Art. 9 Basis", IF(OR(I2765="Invalid - Not Freely Given", I2765="Invalid - Not Specific", I2765="Invalid - Not Informed", I2765="Invalid - Ambiguous"), "Gap - Invalid Consent", "Compliant")))))</f>
        <v/>
      </c>
      <c r="O2765" s="7" t="n"/>
    </row>
    <row r="2766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7" t="n"/>
      <c r="J2766" s="7" t="n"/>
      <c r="K2766">
        <f>IF(D2766="Legitimate Interest (GDPR Art. 6(1)(f))", "Yes / Required (Sheet 3)", "")</f>
        <v/>
      </c>
      <c r="L2766" s="7" t="n"/>
      <c r="M2766" s="7" t="n"/>
      <c r="N2766">
        <f>IF(D2766="", "Gap - No Legal Basis", IF(AND(D2766="Consent (GDPR Art. 6(1)(a))", I2766="Not Captured"), "Gap - Invalid Consent", IF(AND(D2766="Legitimate Interest (GDPR Art. 6(1)(f))", L2766=""), "Gap - Missing LIA", IF(AND(G2766="Yes", H2766=""), "Gap - Missing Art. 9 Basis", IF(OR(I2766="Invalid - Not Freely Given", I2766="Invalid - Not Specific", I2766="Invalid - Not Informed", I2766="Invalid - Ambiguous"), "Gap - Invalid Consent", "Compliant")))))</f>
        <v/>
      </c>
      <c r="O2766" s="7" t="n"/>
    </row>
    <row r="2767">
      <c r="A2767" s="7" t="n"/>
      <c r="B2767" s="7" t="n"/>
      <c r="C2767" s="7" t="n"/>
      <c r="D2767" s="7" t="n"/>
      <c r="E2767" s="7" t="n"/>
      <c r="F2767" s="7" t="n"/>
      <c r="G2767" s="7" t="n"/>
      <c r="H2767" s="7" t="n"/>
      <c r="I2767" s="7" t="n"/>
      <c r="J2767" s="7" t="n"/>
      <c r="K2767">
        <f>IF(D2767="Legitimate Interest (GDPR Art. 6(1)(f))", "Yes / Required (Sheet 3)", "")</f>
        <v/>
      </c>
      <c r="L2767" s="7" t="n"/>
      <c r="M2767" s="7" t="n"/>
      <c r="N2767">
        <f>IF(D2767="", "Gap - No Legal Basis", IF(AND(D2767="Consent (GDPR Art. 6(1)(a))", I2767="Not Captured"), "Gap - Invalid Consent", IF(AND(D2767="Legitimate Interest (GDPR Art. 6(1)(f))", L2767=""), "Gap - Missing LIA", IF(AND(G2767="Yes", H2767=""), "Gap - Missing Art. 9 Basis", IF(OR(I2767="Invalid - Not Freely Given", I2767="Invalid - Not Specific", I2767="Invalid - Not Informed", I2767="Invalid - Ambiguous"), "Gap - Invalid Consent", "Compliant")))))</f>
        <v/>
      </c>
      <c r="O2767" s="7" t="n"/>
    </row>
    <row r="2768">
      <c r="A2768" s="7" t="n"/>
      <c r="B2768" s="7" t="n"/>
      <c r="C2768" s="7" t="n"/>
      <c r="D2768" s="7" t="n"/>
      <c r="E2768" s="7" t="n"/>
      <c r="F2768" s="7" t="n"/>
      <c r="G2768" s="7" t="n"/>
      <c r="H2768" s="7" t="n"/>
      <c r="I2768" s="7" t="n"/>
      <c r="J2768" s="7" t="n"/>
      <c r="K2768">
        <f>IF(D2768="Legitimate Interest (GDPR Art. 6(1)(f))", "Yes / Required (Sheet 3)", "")</f>
        <v/>
      </c>
      <c r="L2768" s="7" t="n"/>
      <c r="M2768" s="7" t="n"/>
      <c r="N2768">
        <f>IF(D2768="", "Gap - No Legal Basis", IF(AND(D2768="Consent (GDPR Art. 6(1)(a))", I2768="Not Captured"), "Gap - Invalid Consent", IF(AND(D2768="Legitimate Interest (GDPR Art. 6(1)(f))", L2768=""), "Gap - Missing LIA", IF(AND(G2768="Yes", H2768=""), "Gap - Missing Art. 9 Basis", IF(OR(I2768="Invalid - Not Freely Given", I2768="Invalid - Not Specific", I2768="Invalid - Not Informed", I2768="Invalid - Ambiguous"), "Gap - Invalid Consent", "Compliant")))))</f>
        <v/>
      </c>
      <c r="O2768" s="7" t="n"/>
    </row>
    <row r="2769">
      <c r="A2769" s="7" t="n"/>
      <c r="B2769" s="7" t="n"/>
      <c r="C2769" s="7" t="n"/>
      <c r="D2769" s="7" t="n"/>
      <c r="E2769" s="7" t="n"/>
      <c r="F2769" s="7" t="n"/>
      <c r="G2769" s="7" t="n"/>
      <c r="H2769" s="7" t="n"/>
      <c r="I2769" s="7" t="n"/>
      <c r="J2769" s="7" t="n"/>
      <c r="K2769">
        <f>IF(D2769="Legitimate Interest (GDPR Art. 6(1)(f))", "Yes / Required (Sheet 3)", "")</f>
        <v/>
      </c>
      <c r="L2769" s="7" t="n"/>
      <c r="M2769" s="7" t="n"/>
      <c r="N2769">
        <f>IF(D2769="", "Gap - No Legal Basis", IF(AND(D2769="Consent (GDPR Art. 6(1)(a))", I2769="Not Captured"), "Gap - Invalid Consent", IF(AND(D2769="Legitimate Interest (GDPR Art. 6(1)(f))", L2769=""), "Gap - Missing LIA", IF(AND(G2769="Yes", H2769=""), "Gap - Missing Art. 9 Basis", IF(OR(I2769="Invalid - Not Freely Given", I2769="Invalid - Not Specific", I2769="Invalid - Not Informed", I2769="Invalid - Ambiguous"), "Gap - Invalid Consent", "Compliant")))))</f>
        <v/>
      </c>
      <c r="O2769" s="7" t="n"/>
    </row>
    <row r="2770">
      <c r="A2770" s="7" t="n"/>
      <c r="B2770" s="7" t="n"/>
      <c r="C2770" s="7" t="n"/>
      <c r="D2770" s="7" t="n"/>
      <c r="E2770" s="7" t="n"/>
      <c r="F2770" s="7" t="n"/>
      <c r="G2770" s="7" t="n"/>
      <c r="H2770" s="7" t="n"/>
      <c r="I2770" s="7" t="n"/>
      <c r="J2770" s="7" t="n"/>
      <c r="K2770">
        <f>IF(D2770="Legitimate Interest (GDPR Art. 6(1)(f))", "Yes / Required (Sheet 3)", "")</f>
        <v/>
      </c>
      <c r="L2770" s="7" t="n"/>
      <c r="M2770" s="7" t="n"/>
      <c r="N2770">
        <f>IF(D2770="", "Gap - No Legal Basis", IF(AND(D2770="Consent (GDPR Art. 6(1)(a))", I2770="Not Captured"), "Gap - Invalid Consent", IF(AND(D2770="Legitimate Interest (GDPR Art. 6(1)(f))", L2770=""), "Gap - Missing LIA", IF(AND(G2770="Yes", H2770=""), "Gap - Missing Art. 9 Basis", IF(OR(I2770="Invalid - Not Freely Given", I2770="Invalid - Not Specific", I2770="Invalid - Not Informed", I2770="Invalid - Ambiguous"), "Gap - Invalid Consent", "Compliant")))))</f>
        <v/>
      </c>
      <c r="O2770" s="7" t="n"/>
    </row>
    <row r="2771">
      <c r="A2771" s="7" t="n"/>
      <c r="B2771" s="7" t="n"/>
      <c r="C2771" s="7" t="n"/>
      <c r="D2771" s="7" t="n"/>
      <c r="E2771" s="7" t="n"/>
      <c r="F2771" s="7" t="n"/>
      <c r="G2771" s="7" t="n"/>
      <c r="H2771" s="7" t="n"/>
      <c r="I2771" s="7" t="n"/>
      <c r="J2771" s="7" t="n"/>
      <c r="K2771">
        <f>IF(D2771="Legitimate Interest (GDPR Art. 6(1)(f))", "Yes / Required (Sheet 3)", "")</f>
        <v/>
      </c>
      <c r="L2771" s="7" t="n"/>
      <c r="M2771" s="7" t="n"/>
      <c r="N2771">
        <f>IF(D2771="", "Gap - No Legal Basis", IF(AND(D2771="Consent (GDPR Art. 6(1)(a))", I2771="Not Captured"), "Gap - Invalid Consent", IF(AND(D2771="Legitimate Interest (GDPR Art. 6(1)(f))", L2771=""), "Gap - Missing LIA", IF(AND(G2771="Yes", H2771=""), "Gap - Missing Art. 9 Basis", IF(OR(I2771="Invalid - Not Freely Given", I2771="Invalid - Not Specific", I2771="Invalid - Not Informed", I2771="Invalid - Ambiguous"), "Gap - Invalid Consent", "Compliant")))))</f>
        <v/>
      </c>
      <c r="O2771" s="7" t="n"/>
    </row>
    <row r="2772">
      <c r="A2772" s="7" t="n"/>
      <c r="B2772" s="7" t="n"/>
      <c r="C2772" s="7" t="n"/>
      <c r="D2772" s="7" t="n"/>
      <c r="E2772" s="7" t="n"/>
      <c r="F2772" s="7" t="n"/>
      <c r="G2772" s="7" t="n"/>
      <c r="H2772" s="7" t="n"/>
      <c r="I2772" s="7" t="n"/>
      <c r="J2772" s="7" t="n"/>
      <c r="K2772">
        <f>IF(D2772="Legitimate Interest (GDPR Art. 6(1)(f))", "Yes / Required (Sheet 3)", "")</f>
        <v/>
      </c>
      <c r="L2772" s="7" t="n"/>
      <c r="M2772" s="7" t="n"/>
      <c r="N2772">
        <f>IF(D2772="", "Gap - No Legal Basis", IF(AND(D2772="Consent (GDPR Art. 6(1)(a))", I2772="Not Captured"), "Gap - Invalid Consent", IF(AND(D2772="Legitimate Interest (GDPR Art. 6(1)(f))", L2772=""), "Gap - Missing LIA", IF(AND(G2772="Yes", H2772=""), "Gap - Missing Art. 9 Basis", IF(OR(I2772="Invalid - Not Freely Given", I2772="Invalid - Not Specific", I2772="Invalid - Not Informed", I2772="Invalid - Ambiguous"), "Gap - Invalid Consent", "Compliant")))))</f>
        <v/>
      </c>
      <c r="O2772" s="7" t="n"/>
    </row>
    <row r="2773">
      <c r="A2773" s="7" t="n"/>
      <c r="B2773" s="7" t="n"/>
      <c r="C2773" s="7" t="n"/>
      <c r="D2773" s="7" t="n"/>
      <c r="E2773" s="7" t="n"/>
      <c r="F2773" s="7" t="n"/>
      <c r="G2773" s="7" t="n"/>
      <c r="H2773" s="7" t="n"/>
      <c r="I2773" s="7" t="n"/>
      <c r="J2773" s="7" t="n"/>
      <c r="K2773">
        <f>IF(D2773="Legitimate Interest (GDPR Art. 6(1)(f))", "Yes / Required (Sheet 3)", "")</f>
        <v/>
      </c>
      <c r="L2773" s="7" t="n"/>
      <c r="M2773" s="7" t="n"/>
      <c r="N2773">
        <f>IF(D2773="", "Gap - No Legal Basis", IF(AND(D2773="Consent (GDPR Art. 6(1)(a))", I2773="Not Captured"), "Gap - Invalid Consent", IF(AND(D2773="Legitimate Interest (GDPR Art. 6(1)(f))", L2773=""), "Gap - Missing LIA", IF(AND(G2773="Yes", H2773=""), "Gap - Missing Art. 9 Basis", IF(OR(I2773="Invalid - Not Freely Given", I2773="Invalid - Not Specific", I2773="Invalid - Not Informed", I2773="Invalid - Ambiguous"), "Gap - Invalid Consent", "Compliant")))))</f>
        <v/>
      </c>
      <c r="O2773" s="7" t="n"/>
    </row>
    <row r="2774">
      <c r="A2774" s="7" t="n"/>
      <c r="B2774" s="7" t="n"/>
      <c r="C2774" s="7" t="n"/>
      <c r="D2774" s="7" t="n"/>
      <c r="E2774" s="7" t="n"/>
      <c r="F2774" s="7" t="n"/>
      <c r="G2774" s="7" t="n"/>
      <c r="H2774" s="7" t="n"/>
      <c r="I2774" s="7" t="n"/>
      <c r="J2774" s="7" t="n"/>
      <c r="K2774">
        <f>IF(D2774="Legitimate Interest (GDPR Art. 6(1)(f))", "Yes / Required (Sheet 3)", "")</f>
        <v/>
      </c>
      <c r="L2774" s="7" t="n"/>
      <c r="M2774" s="7" t="n"/>
      <c r="N2774">
        <f>IF(D2774="", "Gap - No Legal Basis", IF(AND(D2774="Consent (GDPR Art. 6(1)(a))", I2774="Not Captured"), "Gap - Invalid Consent", IF(AND(D2774="Legitimate Interest (GDPR Art. 6(1)(f))", L2774=""), "Gap - Missing LIA", IF(AND(G2774="Yes", H2774=""), "Gap - Missing Art. 9 Basis", IF(OR(I2774="Invalid - Not Freely Given", I2774="Invalid - Not Specific", I2774="Invalid - Not Informed", I2774="Invalid - Ambiguous"), "Gap - Invalid Consent", "Compliant")))))</f>
        <v/>
      </c>
      <c r="O2774" s="7" t="n"/>
    </row>
    <row r="2775">
      <c r="A2775" s="7" t="n"/>
      <c r="B2775" s="7" t="n"/>
      <c r="C2775" s="7" t="n"/>
      <c r="D2775" s="7" t="n"/>
      <c r="E2775" s="7" t="n"/>
      <c r="F2775" s="7" t="n"/>
      <c r="G2775" s="7" t="n"/>
      <c r="H2775" s="7" t="n"/>
      <c r="I2775" s="7" t="n"/>
      <c r="J2775" s="7" t="n"/>
      <c r="K2775">
        <f>IF(D2775="Legitimate Interest (GDPR Art. 6(1)(f))", "Yes / Required (Sheet 3)", "")</f>
        <v/>
      </c>
      <c r="L2775" s="7" t="n"/>
      <c r="M2775" s="7" t="n"/>
      <c r="N2775">
        <f>IF(D2775="", "Gap - No Legal Basis", IF(AND(D2775="Consent (GDPR Art. 6(1)(a))", I2775="Not Captured"), "Gap - Invalid Consent", IF(AND(D2775="Legitimate Interest (GDPR Art. 6(1)(f))", L2775=""), "Gap - Missing LIA", IF(AND(G2775="Yes", H2775=""), "Gap - Missing Art. 9 Basis", IF(OR(I2775="Invalid - Not Freely Given", I2775="Invalid - Not Specific", I2775="Invalid - Not Informed", I2775="Invalid - Ambiguous"), "Gap - Invalid Consent", "Compliant")))))</f>
        <v/>
      </c>
      <c r="O2775" s="7" t="n"/>
    </row>
    <row r="2776">
      <c r="A2776" s="7" t="n"/>
      <c r="B2776" s="7" t="n"/>
      <c r="C2776" s="7" t="n"/>
      <c r="D2776" s="7" t="n"/>
      <c r="E2776" s="7" t="n"/>
      <c r="F2776" s="7" t="n"/>
      <c r="G2776" s="7" t="n"/>
      <c r="H2776" s="7" t="n"/>
      <c r="I2776" s="7" t="n"/>
      <c r="J2776" s="7" t="n"/>
      <c r="K2776">
        <f>IF(D2776="Legitimate Interest (GDPR Art. 6(1)(f))", "Yes / Required (Sheet 3)", "")</f>
        <v/>
      </c>
      <c r="L2776" s="7" t="n"/>
      <c r="M2776" s="7" t="n"/>
      <c r="N2776">
        <f>IF(D2776="", "Gap - No Legal Basis", IF(AND(D2776="Consent (GDPR Art. 6(1)(a))", I2776="Not Captured"), "Gap - Invalid Consent", IF(AND(D2776="Legitimate Interest (GDPR Art. 6(1)(f))", L2776=""), "Gap - Missing LIA", IF(AND(G2776="Yes", H2776=""), "Gap - Missing Art. 9 Basis", IF(OR(I2776="Invalid - Not Freely Given", I2776="Invalid - Not Specific", I2776="Invalid - Not Informed", I2776="Invalid - Ambiguous"), "Gap - Invalid Consent", "Compliant")))))</f>
        <v/>
      </c>
      <c r="O2776" s="7" t="n"/>
    </row>
    <row r="2777">
      <c r="A2777" s="7" t="n"/>
      <c r="B2777" s="7" t="n"/>
      <c r="C2777" s="7" t="n"/>
      <c r="D2777" s="7" t="n"/>
      <c r="E2777" s="7" t="n"/>
      <c r="F2777" s="7" t="n"/>
      <c r="G2777" s="7" t="n"/>
      <c r="H2777" s="7" t="n"/>
      <c r="I2777" s="7" t="n"/>
      <c r="J2777" s="7" t="n"/>
      <c r="K2777">
        <f>IF(D2777="Legitimate Interest (GDPR Art. 6(1)(f))", "Yes / Required (Sheet 3)", "")</f>
        <v/>
      </c>
      <c r="L2777" s="7" t="n"/>
      <c r="M2777" s="7" t="n"/>
      <c r="N2777">
        <f>IF(D2777="", "Gap - No Legal Basis", IF(AND(D2777="Consent (GDPR Art. 6(1)(a))", I2777="Not Captured"), "Gap - Invalid Consent", IF(AND(D2777="Legitimate Interest (GDPR Art. 6(1)(f))", L2777=""), "Gap - Missing LIA", IF(AND(G2777="Yes", H2777=""), "Gap - Missing Art. 9 Basis", IF(OR(I2777="Invalid - Not Freely Given", I2777="Invalid - Not Specific", I2777="Invalid - Not Informed", I2777="Invalid - Ambiguous"), "Gap - Invalid Consent", "Compliant")))))</f>
        <v/>
      </c>
      <c r="O2777" s="7" t="n"/>
    </row>
    <row r="2778">
      <c r="A2778" s="7" t="n"/>
      <c r="B2778" s="7" t="n"/>
      <c r="C2778" s="7" t="n"/>
      <c r="D2778" s="7" t="n"/>
      <c r="E2778" s="7" t="n"/>
      <c r="F2778" s="7" t="n"/>
      <c r="G2778" s="7" t="n"/>
      <c r="H2778" s="7" t="n"/>
      <c r="I2778" s="7" t="n"/>
      <c r="J2778" s="7" t="n"/>
      <c r="K2778">
        <f>IF(D2778="Legitimate Interest (GDPR Art. 6(1)(f))", "Yes / Required (Sheet 3)", "")</f>
        <v/>
      </c>
      <c r="L2778" s="7" t="n"/>
      <c r="M2778" s="7" t="n"/>
      <c r="N2778">
        <f>IF(D2778="", "Gap - No Legal Basis", IF(AND(D2778="Consent (GDPR Art. 6(1)(a))", I2778="Not Captured"), "Gap - Invalid Consent", IF(AND(D2778="Legitimate Interest (GDPR Art. 6(1)(f))", L2778=""), "Gap - Missing LIA", IF(AND(G2778="Yes", H2778=""), "Gap - Missing Art. 9 Basis", IF(OR(I2778="Invalid - Not Freely Given", I2778="Invalid - Not Specific", I2778="Invalid - Not Informed", I2778="Invalid - Ambiguous"), "Gap - Invalid Consent", "Compliant")))))</f>
        <v/>
      </c>
      <c r="O2778" s="7" t="n"/>
    </row>
    <row r="2779">
      <c r="A2779" s="7" t="n"/>
      <c r="B2779" s="7" t="n"/>
      <c r="C2779" s="7" t="n"/>
      <c r="D2779" s="7" t="n"/>
      <c r="E2779" s="7" t="n"/>
      <c r="F2779" s="7" t="n"/>
      <c r="G2779" s="7" t="n"/>
      <c r="H2779" s="7" t="n"/>
      <c r="I2779" s="7" t="n"/>
      <c r="J2779" s="7" t="n"/>
      <c r="K2779">
        <f>IF(D2779="Legitimate Interest (GDPR Art. 6(1)(f))", "Yes / Required (Sheet 3)", "")</f>
        <v/>
      </c>
      <c r="L2779" s="7" t="n"/>
      <c r="M2779" s="7" t="n"/>
      <c r="N2779">
        <f>IF(D2779="", "Gap - No Legal Basis", IF(AND(D2779="Consent (GDPR Art. 6(1)(a))", I2779="Not Captured"), "Gap - Invalid Consent", IF(AND(D2779="Legitimate Interest (GDPR Art. 6(1)(f))", L2779=""), "Gap - Missing LIA", IF(AND(G2779="Yes", H2779=""), "Gap - Missing Art. 9 Basis", IF(OR(I2779="Invalid - Not Freely Given", I2779="Invalid - Not Specific", I2779="Invalid - Not Informed", I2779="Invalid - Ambiguous"), "Gap - Invalid Consent", "Compliant")))))</f>
        <v/>
      </c>
      <c r="O2779" s="7" t="n"/>
    </row>
    <row r="2780">
      <c r="A2780" s="7" t="n"/>
      <c r="B2780" s="7" t="n"/>
      <c r="C2780" s="7" t="n"/>
      <c r="D2780" s="7" t="n"/>
      <c r="E2780" s="7" t="n"/>
      <c r="F2780" s="7" t="n"/>
      <c r="G2780" s="7" t="n"/>
      <c r="H2780" s="7" t="n"/>
      <c r="I2780" s="7" t="n"/>
      <c r="J2780" s="7" t="n"/>
      <c r="K2780">
        <f>IF(D2780="Legitimate Interest (GDPR Art. 6(1)(f))", "Yes / Required (Sheet 3)", "")</f>
        <v/>
      </c>
      <c r="L2780" s="7" t="n"/>
      <c r="M2780" s="7" t="n"/>
      <c r="N2780">
        <f>IF(D2780="", "Gap - No Legal Basis", IF(AND(D2780="Consent (GDPR Art. 6(1)(a))", I2780="Not Captured"), "Gap - Invalid Consent", IF(AND(D2780="Legitimate Interest (GDPR Art. 6(1)(f))", L2780=""), "Gap - Missing LIA", IF(AND(G2780="Yes", H2780=""), "Gap - Missing Art. 9 Basis", IF(OR(I2780="Invalid - Not Freely Given", I2780="Invalid - Not Specific", I2780="Invalid - Not Informed", I2780="Invalid - Ambiguous"), "Gap - Invalid Consent", "Compliant")))))</f>
        <v/>
      </c>
      <c r="O2780" s="7" t="n"/>
    </row>
    <row r="2781">
      <c r="A2781" s="7" t="n"/>
      <c r="B2781" s="7" t="n"/>
      <c r="C2781" s="7" t="n"/>
      <c r="D2781" s="7" t="n"/>
      <c r="E2781" s="7" t="n"/>
      <c r="F2781" s="7" t="n"/>
      <c r="G2781" s="7" t="n"/>
      <c r="H2781" s="7" t="n"/>
      <c r="I2781" s="7" t="n"/>
      <c r="J2781" s="7" t="n"/>
      <c r="K2781">
        <f>IF(D2781="Legitimate Interest (GDPR Art. 6(1)(f))", "Yes / Required (Sheet 3)", "")</f>
        <v/>
      </c>
      <c r="L2781" s="7" t="n"/>
      <c r="M2781" s="7" t="n"/>
      <c r="N2781">
        <f>IF(D2781="", "Gap - No Legal Basis", IF(AND(D2781="Consent (GDPR Art. 6(1)(a))", I2781="Not Captured"), "Gap - Invalid Consent", IF(AND(D2781="Legitimate Interest (GDPR Art. 6(1)(f))", L2781=""), "Gap - Missing LIA", IF(AND(G2781="Yes", H2781=""), "Gap - Missing Art. 9 Basis", IF(OR(I2781="Invalid - Not Freely Given", I2781="Invalid - Not Specific", I2781="Invalid - Not Informed", I2781="Invalid - Ambiguous"), "Gap - Invalid Consent", "Compliant")))))</f>
        <v/>
      </c>
      <c r="O2781" s="7" t="n"/>
    </row>
    <row r="2782">
      <c r="A2782" s="7" t="n"/>
      <c r="B2782" s="7" t="n"/>
      <c r="C2782" s="7" t="n"/>
      <c r="D2782" s="7" t="n"/>
      <c r="E2782" s="7" t="n"/>
      <c r="F2782" s="7" t="n"/>
      <c r="G2782" s="7" t="n"/>
      <c r="H2782" s="7" t="n"/>
      <c r="I2782" s="7" t="n"/>
      <c r="J2782" s="7" t="n"/>
      <c r="K2782">
        <f>IF(D2782="Legitimate Interest (GDPR Art. 6(1)(f))", "Yes / Required (Sheet 3)", "")</f>
        <v/>
      </c>
      <c r="L2782" s="7" t="n"/>
      <c r="M2782" s="7" t="n"/>
      <c r="N2782">
        <f>IF(D2782="", "Gap - No Legal Basis", IF(AND(D2782="Consent (GDPR Art. 6(1)(a))", I2782="Not Captured"), "Gap - Invalid Consent", IF(AND(D2782="Legitimate Interest (GDPR Art. 6(1)(f))", L2782=""), "Gap - Missing LIA", IF(AND(G2782="Yes", H2782=""), "Gap - Missing Art. 9 Basis", IF(OR(I2782="Invalid - Not Freely Given", I2782="Invalid - Not Specific", I2782="Invalid - Not Informed", I2782="Invalid - Ambiguous"), "Gap - Invalid Consent", "Compliant")))))</f>
        <v/>
      </c>
      <c r="O2782" s="7" t="n"/>
    </row>
    <row r="2783">
      <c r="A2783" s="7" t="n"/>
      <c r="B2783" s="7" t="n"/>
      <c r="C2783" s="7" t="n"/>
      <c r="D2783" s="7" t="n"/>
      <c r="E2783" s="7" t="n"/>
      <c r="F2783" s="7" t="n"/>
      <c r="G2783" s="7" t="n"/>
      <c r="H2783" s="7" t="n"/>
      <c r="I2783" s="7" t="n"/>
      <c r="J2783" s="7" t="n"/>
      <c r="K2783">
        <f>IF(D2783="Legitimate Interest (GDPR Art. 6(1)(f))", "Yes / Required (Sheet 3)", "")</f>
        <v/>
      </c>
      <c r="L2783" s="7" t="n"/>
      <c r="M2783" s="7" t="n"/>
      <c r="N2783">
        <f>IF(D2783="", "Gap - No Legal Basis", IF(AND(D2783="Consent (GDPR Art. 6(1)(a))", I2783="Not Captured"), "Gap - Invalid Consent", IF(AND(D2783="Legitimate Interest (GDPR Art. 6(1)(f))", L2783=""), "Gap - Missing LIA", IF(AND(G2783="Yes", H2783=""), "Gap - Missing Art. 9 Basis", IF(OR(I2783="Invalid - Not Freely Given", I2783="Invalid - Not Specific", I2783="Invalid - Not Informed", I2783="Invalid - Ambiguous"), "Gap - Invalid Consent", "Compliant")))))</f>
        <v/>
      </c>
      <c r="O2783" s="7" t="n"/>
    </row>
    <row r="2784">
      <c r="A2784" s="7" t="n"/>
      <c r="B2784" s="7" t="n"/>
      <c r="C2784" s="7" t="n"/>
      <c r="D2784" s="7" t="n"/>
      <c r="E2784" s="7" t="n"/>
      <c r="F2784" s="7" t="n"/>
      <c r="G2784" s="7" t="n"/>
      <c r="H2784" s="7" t="n"/>
      <c r="I2784" s="7" t="n"/>
      <c r="J2784" s="7" t="n"/>
      <c r="K2784">
        <f>IF(D2784="Legitimate Interest (GDPR Art. 6(1)(f))", "Yes / Required (Sheet 3)", "")</f>
        <v/>
      </c>
      <c r="L2784" s="7" t="n"/>
      <c r="M2784" s="7" t="n"/>
      <c r="N2784">
        <f>IF(D2784="", "Gap - No Legal Basis", IF(AND(D2784="Consent (GDPR Art. 6(1)(a))", I2784="Not Captured"), "Gap - Invalid Consent", IF(AND(D2784="Legitimate Interest (GDPR Art. 6(1)(f))", L2784=""), "Gap - Missing LIA", IF(AND(G2784="Yes", H2784=""), "Gap - Missing Art. 9 Basis", IF(OR(I2784="Invalid - Not Freely Given", I2784="Invalid - Not Specific", I2784="Invalid - Not Informed", I2784="Invalid - Ambiguous"), "Gap - Invalid Consent", "Compliant")))))</f>
        <v/>
      </c>
      <c r="O2784" s="7" t="n"/>
    </row>
    <row r="2785">
      <c r="A2785" s="7" t="n"/>
      <c r="B2785" s="7" t="n"/>
      <c r="C2785" s="7" t="n"/>
      <c r="D2785" s="7" t="n"/>
      <c r="E2785" s="7" t="n"/>
      <c r="F2785" s="7" t="n"/>
      <c r="G2785" s="7" t="n"/>
      <c r="H2785" s="7" t="n"/>
      <c r="I2785" s="7" t="n"/>
      <c r="J2785" s="7" t="n"/>
      <c r="K2785">
        <f>IF(D2785="Legitimate Interest (GDPR Art. 6(1)(f))", "Yes / Required (Sheet 3)", "")</f>
        <v/>
      </c>
      <c r="L2785" s="7" t="n"/>
      <c r="M2785" s="7" t="n"/>
      <c r="N2785">
        <f>IF(D2785="", "Gap - No Legal Basis", IF(AND(D2785="Consent (GDPR Art. 6(1)(a))", I2785="Not Captured"), "Gap - Invalid Consent", IF(AND(D2785="Legitimate Interest (GDPR Art. 6(1)(f))", L2785=""), "Gap - Missing LIA", IF(AND(G2785="Yes", H2785=""), "Gap - Missing Art. 9 Basis", IF(OR(I2785="Invalid - Not Freely Given", I2785="Invalid - Not Specific", I2785="Invalid - Not Informed", I2785="Invalid - Ambiguous"), "Gap - Invalid Consent", "Compliant")))))</f>
        <v/>
      </c>
      <c r="O2785" s="7" t="n"/>
    </row>
    <row r="2786">
      <c r="A2786" s="7" t="n"/>
      <c r="B2786" s="7" t="n"/>
      <c r="C2786" s="7" t="n"/>
      <c r="D2786" s="7" t="n"/>
      <c r="E2786" s="7" t="n"/>
      <c r="F2786" s="7" t="n"/>
      <c r="G2786" s="7" t="n"/>
      <c r="H2786" s="7" t="n"/>
      <c r="I2786" s="7" t="n"/>
      <c r="J2786" s="7" t="n"/>
      <c r="K2786">
        <f>IF(D2786="Legitimate Interest (GDPR Art. 6(1)(f))", "Yes / Required (Sheet 3)", "")</f>
        <v/>
      </c>
      <c r="L2786" s="7" t="n"/>
      <c r="M2786" s="7" t="n"/>
      <c r="N2786">
        <f>IF(D2786="", "Gap - No Legal Basis", IF(AND(D2786="Consent (GDPR Art. 6(1)(a))", I2786="Not Captured"), "Gap - Invalid Consent", IF(AND(D2786="Legitimate Interest (GDPR Art. 6(1)(f))", L2786=""), "Gap - Missing LIA", IF(AND(G2786="Yes", H2786=""), "Gap - Missing Art. 9 Basis", IF(OR(I2786="Invalid - Not Freely Given", I2786="Invalid - Not Specific", I2786="Invalid - Not Informed", I2786="Invalid - Ambiguous"), "Gap - Invalid Consent", "Compliant")))))</f>
        <v/>
      </c>
      <c r="O2786" s="7" t="n"/>
    </row>
    <row r="2787">
      <c r="A2787" s="7" t="n"/>
      <c r="B2787" s="7" t="n"/>
      <c r="C2787" s="7" t="n"/>
      <c r="D2787" s="7" t="n"/>
      <c r="E2787" s="7" t="n"/>
      <c r="F2787" s="7" t="n"/>
      <c r="G2787" s="7" t="n"/>
      <c r="H2787" s="7" t="n"/>
      <c r="I2787" s="7" t="n"/>
      <c r="J2787" s="7" t="n"/>
      <c r="K2787">
        <f>IF(D2787="Legitimate Interest (GDPR Art. 6(1)(f))", "Yes / Required (Sheet 3)", "")</f>
        <v/>
      </c>
      <c r="L2787" s="7" t="n"/>
      <c r="M2787" s="7" t="n"/>
      <c r="N2787">
        <f>IF(D2787="", "Gap - No Legal Basis", IF(AND(D2787="Consent (GDPR Art. 6(1)(a))", I2787="Not Captured"), "Gap - Invalid Consent", IF(AND(D2787="Legitimate Interest (GDPR Art. 6(1)(f))", L2787=""), "Gap - Missing LIA", IF(AND(G2787="Yes", H2787=""), "Gap - Missing Art. 9 Basis", IF(OR(I2787="Invalid - Not Freely Given", I2787="Invalid - Not Specific", I2787="Invalid - Not Informed", I2787="Invalid - Ambiguous"), "Gap - Invalid Consent", "Compliant")))))</f>
        <v/>
      </c>
      <c r="O2787" s="7" t="n"/>
    </row>
    <row r="2788">
      <c r="A2788" s="7" t="n"/>
      <c r="B2788" s="7" t="n"/>
      <c r="C2788" s="7" t="n"/>
      <c r="D2788" s="7" t="n"/>
      <c r="E2788" s="7" t="n"/>
      <c r="F2788" s="7" t="n"/>
      <c r="G2788" s="7" t="n"/>
      <c r="H2788" s="7" t="n"/>
      <c r="I2788" s="7" t="n"/>
      <c r="J2788" s="7" t="n"/>
      <c r="K2788">
        <f>IF(D2788="Legitimate Interest (GDPR Art. 6(1)(f))", "Yes / Required (Sheet 3)", "")</f>
        <v/>
      </c>
      <c r="L2788" s="7" t="n"/>
      <c r="M2788" s="7" t="n"/>
      <c r="N2788">
        <f>IF(D2788="", "Gap - No Legal Basis", IF(AND(D2788="Consent (GDPR Art. 6(1)(a))", I2788="Not Captured"), "Gap - Invalid Consent", IF(AND(D2788="Legitimate Interest (GDPR Art. 6(1)(f))", L2788=""), "Gap - Missing LIA", IF(AND(G2788="Yes", H2788=""), "Gap - Missing Art. 9 Basis", IF(OR(I2788="Invalid - Not Freely Given", I2788="Invalid - Not Specific", I2788="Invalid - Not Informed", I2788="Invalid - Ambiguous"), "Gap - Invalid Consent", "Compliant")))))</f>
        <v/>
      </c>
      <c r="O2788" s="7" t="n"/>
    </row>
    <row r="2789">
      <c r="A2789" s="7" t="n"/>
      <c r="B2789" s="7" t="n"/>
      <c r="C2789" s="7" t="n"/>
      <c r="D2789" s="7" t="n"/>
      <c r="E2789" s="7" t="n"/>
      <c r="F2789" s="7" t="n"/>
      <c r="G2789" s="7" t="n"/>
      <c r="H2789" s="7" t="n"/>
      <c r="I2789" s="7" t="n"/>
      <c r="J2789" s="7" t="n"/>
      <c r="K2789">
        <f>IF(D2789="Legitimate Interest (GDPR Art. 6(1)(f))", "Yes / Required (Sheet 3)", "")</f>
        <v/>
      </c>
      <c r="L2789" s="7" t="n"/>
      <c r="M2789" s="7" t="n"/>
      <c r="N2789">
        <f>IF(D2789="", "Gap - No Legal Basis", IF(AND(D2789="Consent (GDPR Art. 6(1)(a))", I2789="Not Captured"), "Gap - Invalid Consent", IF(AND(D2789="Legitimate Interest (GDPR Art. 6(1)(f))", L2789=""), "Gap - Missing LIA", IF(AND(G2789="Yes", H2789=""), "Gap - Missing Art. 9 Basis", IF(OR(I2789="Invalid - Not Freely Given", I2789="Invalid - Not Specific", I2789="Invalid - Not Informed", I2789="Invalid - Ambiguous"), "Gap - Invalid Consent", "Compliant")))))</f>
        <v/>
      </c>
      <c r="O2789" s="7" t="n"/>
    </row>
    <row r="2790">
      <c r="A2790" s="7" t="n"/>
      <c r="B2790" s="7" t="n"/>
      <c r="C2790" s="7" t="n"/>
      <c r="D2790" s="7" t="n"/>
      <c r="E2790" s="7" t="n"/>
      <c r="F2790" s="7" t="n"/>
      <c r="G2790" s="7" t="n"/>
      <c r="H2790" s="7" t="n"/>
      <c r="I2790" s="7" t="n"/>
      <c r="J2790" s="7" t="n"/>
      <c r="K2790">
        <f>IF(D2790="Legitimate Interest (GDPR Art. 6(1)(f))", "Yes / Required (Sheet 3)", "")</f>
        <v/>
      </c>
      <c r="L2790" s="7" t="n"/>
      <c r="M2790" s="7" t="n"/>
      <c r="N2790">
        <f>IF(D2790="", "Gap - No Legal Basis", IF(AND(D2790="Consent (GDPR Art. 6(1)(a))", I2790="Not Captured"), "Gap - Invalid Consent", IF(AND(D2790="Legitimate Interest (GDPR Art. 6(1)(f))", L2790=""), "Gap - Missing LIA", IF(AND(G2790="Yes", H2790=""), "Gap - Missing Art. 9 Basis", IF(OR(I2790="Invalid - Not Freely Given", I2790="Invalid - Not Specific", I2790="Invalid - Not Informed", I2790="Invalid - Ambiguous"), "Gap - Invalid Consent", "Compliant")))))</f>
        <v/>
      </c>
      <c r="O2790" s="7" t="n"/>
    </row>
    <row r="2791">
      <c r="A2791" s="7" t="n"/>
      <c r="B2791" s="7" t="n"/>
      <c r="C2791" s="7" t="n"/>
      <c r="D2791" s="7" t="n"/>
      <c r="E2791" s="7" t="n"/>
      <c r="F2791" s="7" t="n"/>
      <c r="G2791" s="7" t="n"/>
      <c r="H2791" s="7" t="n"/>
      <c r="I2791" s="7" t="n"/>
      <c r="J2791" s="7" t="n"/>
      <c r="K2791">
        <f>IF(D2791="Legitimate Interest (GDPR Art. 6(1)(f))", "Yes / Required (Sheet 3)", "")</f>
        <v/>
      </c>
      <c r="L2791" s="7" t="n"/>
      <c r="M2791" s="7" t="n"/>
      <c r="N2791">
        <f>IF(D2791="", "Gap - No Legal Basis", IF(AND(D2791="Consent (GDPR Art. 6(1)(a))", I2791="Not Captured"), "Gap - Invalid Consent", IF(AND(D2791="Legitimate Interest (GDPR Art. 6(1)(f))", L2791=""), "Gap - Missing LIA", IF(AND(G2791="Yes", H2791=""), "Gap - Missing Art. 9 Basis", IF(OR(I2791="Invalid - Not Freely Given", I2791="Invalid - Not Specific", I2791="Invalid - Not Informed", I2791="Invalid - Ambiguous"), "Gap - Invalid Consent", "Compliant")))))</f>
        <v/>
      </c>
      <c r="O2791" s="7" t="n"/>
    </row>
    <row r="2792">
      <c r="A2792" s="7" t="n"/>
      <c r="B2792" s="7" t="n"/>
      <c r="C2792" s="7" t="n"/>
      <c r="D2792" s="7" t="n"/>
      <c r="E2792" s="7" t="n"/>
      <c r="F2792" s="7" t="n"/>
      <c r="G2792" s="7" t="n"/>
      <c r="H2792" s="7" t="n"/>
      <c r="I2792" s="7" t="n"/>
      <c r="J2792" s="7" t="n"/>
      <c r="K2792">
        <f>IF(D2792="Legitimate Interest (GDPR Art. 6(1)(f))", "Yes / Required (Sheet 3)", "")</f>
        <v/>
      </c>
      <c r="L2792" s="7" t="n"/>
      <c r="M2792" s="7" t="n"/>
      <c r="N2792">
        <f>IF(D2792="", "Gap - No Legal Basis", IF(AND(D2792="Consent (GDPR Art. 6(1)(a))", I2792="Not Captured"), "Gap - Invalid Consent", IF(AND(D2792="Legitimate Interest (GDPR Art. 6(1)(f))", L2792=""), "Gap - Missing LIA", IF(AND(G2792="Yes", H2792=""), "Gap - Missing Art. 9 Basis", IF(OR(I2792="Invalid - Not Freely Given", I2792="Invalid - Not Specific", I2792="Invalid - Not Informed", I2792="Invalid - Ambiguous"), "Gap - Invalid Consent", "Compliant")))))</f>
        <v/>
      </c>
      <c r="O2792" s="7" t="n"/>
    </row>
    <row r="2793">
      <c r="A2793" s="7" t="n"/>
      <c r="B2793" s="7" t="n"/>
      <c r="C2793" s="7" t="n"/>
      <c r="D2793" s="7" t="n"/>
      <c r="E2793" s="7" t="n"/>
      <c r="F2793" s="7" t="n"/>
      <c r="G2793" s="7" t="n"/>
      <c r="H2793" s="7" t="n"/>
      <c r="I2793" s="7" t="n"/>
      <c r="J2793" s="7" t="n"/>
      <c r="K2793">
        <f>IF(D2793="Legitimate Interest (GDPR Art. 6(1)(f))", "Yes / Required (Sheet 3)", "")</f>
        <v/>
      </c>
      <c r="L2793" s="7" t="n"/>
      <c r="M2793" s="7" t="n"/>
      <c r="N2793">
        <f>IF(D2793="", "Gap - No Legal Basis", IF(AND(D2793="Consent (GDPR Art. 6(1)(a))", I2793="Not Captured"), "Gap - Invalid Consent", IF(AND(D2793="Legitimate Interest (GDPR Art. 6(1)(f))", L2793=""), "Gap - Missing LIA", IF(AND(G2793="Yes", H2793=""), "Gap - Missing Art. 9 Basis", IF(OR(I2793="Invalid - Not Freely Given", I2793="Invalid - Not Specific", I2793="Invalid - Not Informed", I2793="Invalid - Ambiguous"), "Gap - Invalid Consent", "Compliant")))))</f>
        <v/>
      </c>
      <c r="O2793" s="7" t="n"/>
    </row>
    <row r="2794">
      <c r="A2794" s="7" t="n"/>
      <c r="B2794" s="7" t="n"/>
      <c r="C2794" s="7" t="n"/>
      <c r="D2794" s="7" t="n"/>
      <c r="E2794" s="7" t="n"/>
      <c r="F2794" s="7" t="n"/>
      <c r="G2794" s="7" t="n"/>
      <c r="H2794" s="7" t="n"/>
      <c r="I2794" s="7" t="n"/>
      <c r="J2794" s="7" t="n"/>
      <c r="K2794">
        <f>IF(D2794="Legitimate Interest (GDPR Art. 6(1)(f))", "Yes / Required (Sheet 3)", "")</f>
        <v/>
      </c>
      <c r="L2794" s="7" t="n"/>
      <c r="M2794" s="7" t="n"/>
      <c r="N2794">
        <f>IF(D2794="", "Gap - No Legal Basis", IF(AND(D2794="Consent (GDPR Art. 6(1)(a))", I2794="Not Captured"), "Gap - Invalid Consent", IF(AND(D2794="Legitimate Interest (GDPR Art. 6(1)(f))", L2794=""), "Gap - Missing LIA", IF(AND(G2794="Yes", H2794=""), "Gap - Missing Art. 9 Basis", IF(OR(I2794="Invalid - Not Freely Given", I2794="Invalid - Not Specific", I2794="Invalid - Not Informed", I2794="Invalid - Ambiguous"), "Gap - Invalid Consent", "Compliant")))))</f>
        <v/>
      </c>
      <c r="O2794" s="7" t="n"/>
    </row>
    <row r="2795">
      <c r="A2795" s="7" t="n"/>
      <c r="B2795" s="7" t="n"/>
      <c r="C2795" s="7" t="n"/>
      <c r="D2795" s="7" t="n"/>
      <c r="E2795" s="7" t="n"/>
      <c r="F2795" s="7" t="n"/>
      <c r="G2795" s="7" t="n"/>
      <c r="H2795" s="7" t="n"/>
      <c r="I2795" s="7" t="n"/>
      <c r="J2795" s="7" t="n"/>
      <c r="K2795">
        <f>IF(D2795="Legitimate Interest (GDPR Art. 6(1)(f))", "Yes / Required (Sheet 3)", "")</f>
        <v/>
      </c>
      <c r="L2795" s="7" t="n"/>
      <c r="M2795" s="7" t="n"/>
      <c r="N2795">
        <f>IF(D2795="", "Gap - No Legal Basis", IF(AND(D2795="Consent (GDPR Art. 6(1)(a))", I2795="Not Captured"), "Gap - Invalid Consent", IF(AND(D2795="Legitimate Interest (GDPR Art. 6(1)(f))", L2795=""), "Gap - Missing LIA", IF(AND(G2795="Yes", H2795=""), "Gap - Missing Art. 9 Basis", IF(OR(I2795="Invalid - Not Freely Given", I2795="Invalid - Not Specific", I2795="Invalid - Not Informed", I2795="Invalid - Ambiguous"), "Gap - Invalid Consent", "Compliant")))))</f>
        <v/>
      </c>
      <c r="O2795" s="7" t="n"/>
    </row>
    <row r="2796">
      <c r="A2796" s="7" t="n"/>
      <c r="B2796" s="7" t="n"/>
      <c r="C2796" s="7" t="n"/>
      <c r="D2796" s="7" t="n"/>
      <c r="E2796" s="7" t="n"/>
      <c r="F2796" s="7" t="n"/>
      <c r="G2796" s="7" t="n"/>
      <c r="H2796" s="7" t="n"/>
      <c r="I2796" s="7" t="n"/>
      <c r="J2796" s="7" t="n"/>
      <c r="K2796">
        <f>IF(D2796="Legitimate Interest (GDPR Art. 6(1)(f))", "Yes / Required (Sheet 3)", "")</f>
        <v/>
      </c>
      <c r="L2796" s="7" t="n"/>
      <c r="M2796" s="7" t="n"/>
      <c r="N2796">
        <f>IF(D2796="", "Gap - No Legal Basis", IF(AND(D2796="Consent (GDPR Art. 6(1)(a))", I2796="Not Captured"), "Gap - Invalid Consent", IF(AND(D2796="Legitimate Interest (GDPR Art. 6(1)(f))", L2796=""), "Gap - Missing LIA", IF(AND(G2796="Yes", H2796=""), "Gap - Missing Art. 9 Basis", IF(OR(I2796="Invalid - Not Freely Given", I2796="Invalid - Not Specific", I2796="Invalid - Not Informed", I2796="Invalid - Ambiguous"), "Gap - Invalid Consent", "Compliant")))))</f>
        <v/>
      </c>
      <c r="O2796" s="7" t="n"/>
    </row>
    <row r="2797">
      <c r="A2797" s="7" t="n"/>
      <c r="B2797" s="7" t="n"/>
      <c r="C2797" s="7" t="n"/>
      <c r="D2797" s="7" t="n"/>
      <c r="E2797" s="7" t="n"/>
      <c r="F2797" s="7" t="n"/>
      <c r="G2797" s="7" t="n"/>
      <c r="H2797" s="7" t="n"/>
      <c r="I2797" s="7" t="n"/>
      <c r="J2797" s="7" t="n"/>
      <c r="K2797">
        <f>IF(D2797="Legitimate Interest (GDPR Art. 6(1)(f))", "Yes / Required (Sheet 3)", "")</f>
        <v/>
      </c>
      <c r="L2797" s="7" t="n"/>
      <c r="M2797" s="7" t="n"/>
      <c r="N2797">
        <f>IF(D2797="", "Gap - No Legal Basis", IF(AND(D2797="Consent (GDPR Art. 6(1)(a))", I2797="Not Captured"), "Gap - Invalid Consent", IF(AND(D2797="Legitimate Interest (GDPR Art. 6(1)(f))", L2797=""), "Gap - Missing LIA", IF(AND(G2797="Yes", H2797=""), "Gap - Missing Art. 9 Basis", IF(OR(I2797="Invalid - Not Freely Given", I2797="Invalid - Not Specific", I2797="Invalid - Not Informed", I2797="Invalid - Ambiguous"), "Gap - Invalid Consent", "Compliant")))))</f>
        <v/>
      </c>
      <c r="O2797" s="7" t="n"/>
    </row>
    <row r="2798">
      <c r="A2798" s="7" t="n"/>
      <c r="B2798" s="7" t="n"/>
      <c r="C2798" s="7" t="n"/>
      <c r="D2798" s="7" t="n"/>
      <c r="E2798" s="7" t="n"/>
      <c r="F2798" s="7" t="n"/>
      <c r="G2798" s="7" t="n"/>
      <c r="H2798" s="7" t="n"/>
      <c r="I2798" s="7" t="n"/>
      <c r="J2798" s="7" t="n"/>
      <c r="K2798">
        <f>IF(D2798="Legitimate Interest (GDPR Art. 6(1)(f))", "Yes / Required (Sheet 3)", "")</f>
        <v/>
      </c>
      <c r="L2798" s="7" t="n"/>
      <c r="M2798" s="7" t="n"/>
      <c r="N2798">
        <f>IF(D2798="", "Gap - No Legal Basis", IF(AND(D2798="Consent (GDPR Art. 6(1)(a))", I2798="Not Captured"), "Gap - Invalid Consent", IF(AND(D2798="Legitimate Interest (GDPR Art. 6(1)(f))", L2798=""), "Gap - Missing LIA", IF(AND(G2798="Yes", H2798=""), "Gap - Missing Art. 9 Basis", IF(OR(I2798="Invalid - Not Freely Given", I2798="Invalid - Not Specific", I2798="Invalid - Not Informed", I2798="Invalid - Ambiguous"), "Gap - Invalid Consent", "Compliant")))))</f>
        <v/>
      </c>
      <c r="O2798" s="7" t="n"/>
    </row>
    <row r="2799">
      <c r="A2799" s="7" t="n"/>
      <c r="B2799" s="7" t="n"/>
      <c r="C2799" s="7" t="n"/>
      <c r="D2799" s="7" t="n"/>
      <c r="E2799" s="7" t="n"/>
      <c r="F2799" s="7" t="n"/>
      <c r="G2799" s="7" t="n"/>
      <c r="H2799" s="7" t="n"/>
      <c r="I2799" s="7" t="n"/>
      <c r="J2799" s="7" t="n"/>
      <c r="K2799">
        <f>IF(D2799="Legitimate Interest (GDPR Art. 6(1)(f))", "Yes / Required (Sheet 3)", "")</f>
        <v/>
      </c>
      <c r="L2799" s="7" t="n"/>
      <c r="M2799" s="7" t="n"/>
      <c r="N2799">
        <f>IF(D2799="", "Gap - No Legal Basis", IF(AND(D2799="Consent (GDPR Art. 6(1)(a))", I2799="Not Captured"), "Gap - Invalid Consent", IF(AND(D2799="Legitimate Interest (GDPR Art. 6(1)(f))", L2799=""), "Gap - Missing LIA", IF(AND(G2799="Yes", H2799=""), "Gap - Missing Art. 9 Basis", IF(OR(I2799="Invalid - Not Freely Given", I2799="Invalid - Not Specific", I2799="Invalid - Not Informed", I2799="Invalid - Ambiguous"), "Gap - Invalid Consent", "Compliant")))))</f>
        <v/>
      </c>
      <c r="O2799" s="7" t="n"/>
    </row>
    <row r="2800">
      <c r="A2800" s="7" t="n"/>
      <c r="B2800" s="7" t="n"/>
      <c r="C2800" s="7" t="n"/>
      <c r="D2800" s="7" t="n"/>
      <c r="E2800" s="7" t="n"/>
      <c r="F2800" s="7" t="n"/>
      <c r="G2800" s="7" t="n"/>
      <c r="H2800" s="7" t="n"/>
      <c r="I2800" s="7" t="n"/>
      <c r="J2800" s="7" t="n"/>
      <c r="K2800">
        <f>IF(D2800="Legitimate Interest (GDPR Art. 6(1)(f))", "Yes / Required (Sheet 3)", "")</f>
        <v/>
      </c>
      <c r="L2800" s="7" t="n"/>
      <c r="M2800" s="7" t="n"/>
      <c r="N2800">
        <f>IF(D2800="", "Gap - No Legal Basis", IF(AND(D2800="Consent (GDPR Art. 6(1)(a))", I2800="Not Captured"), "Gap - Invalid Consent", IF(AND(D2800="Legitimate Interest (GDPR Art. 6(1)(f))", L2800=""), "Gap - Missing LIA", IF(AND(G2800="Yes", H2800=""), "Gap - Missing Art. 9 Basis", IF(OR(I2800="Invalid - Not Freely Given", I2800="Invalid - Not Specific", I2800="Invalid - Not Informed", I2800="Invalid - Ambiguous"), "Gap - Invalid Consent", "Compliant")))))</f>
        <v/>
      </c>
      <c r="O2800" s="7" t="n"/>
    </row>
    <row r="2801">
      <c r="A2801" s="7" t="n"/>
      <c r="B2801" s="7" t="n"/>
      <c r="C2801" s="7" t="n"/>
      <c r="D2801" s="7" t="n"/>
      <c r="E2801" s="7" t="n"/>
      <c r="F2801" s="7" t="n"/>
      <c r="G2801" s="7" t="n"/>
      <c r="H2801" s="7" t="n"/>
      <c r="I2801" s="7" t="n"/>
      <c r="J2801" s="7" t="n"/>
      <c r="K2801">
        <f>IF(D2801="Legitimate Interest (GDPR Art. 6(1)(f))", "Yes / Required (Sheet 3)", "")</f>
        <v/>
      </c>
      <c r="L2801" s="7" t="n"/>
      <c r="M2801" s="7" t="n"/>
      <c r="N2801">
        <f>IF(D2801="", "Gap - No Legal Basis", IF(AND(D2801="Consent (GDPR Art. 6(1)(a))", I2801="Not Captured"), "Gap - Invalid Consent", IF(AND(D2801="Legitimate Interest (GDPR Art. 6(1)(f))", L2801=""), "Gap - Missing LIA", IF(AND(G2801="Yes", H2801=""), "Gap - Missing Art. 9 Basis", IF(OR(I2801="Invalid - Not Freely Given", I2801="Invalid - Not Specific", I2801="Invalid - Not Informed", I2801="Invalid - Ambiguous"), "Gap - Invalid Consent", "Compliant")))))</f>
        <v/>
      </c>
      <c r="O2801" s="7" t="n"/>
    </row>
    <row r="2802">
      <c r="A2802" s="7" t="n"/>
      <c r="B2802" s="7" t="n"/>
      <c r="C2802" s="7" t="n"/>
      <c r="D2802" s="7" t="n"/>
      <c r="E2802" s="7" t="n"/>
      <c r="F2802" s="7" t="n"/>
      <c r="G2802" s="7" t="n"/>
      <c r="H2802" s="7" t="n"/>
      <c r="I2802" s="7" t="n"/>
      <c r="J2802" s="7" t="n"/>
      <c r="K2802">
        <f>IF(D2802="Legitimate Interest (GDPR Art. 6(1)(f))", "Yes / Required (Sheet 3)", "")</f>
        <v/>
      </c>
      <c r="L2802" s="7" t="n"/>
      <c r="M2802" s="7" t="n"/>
      <c r="N2802">
        <f>IF(D2802="", "Gap - No Legal Basis", IF(AND(D2802="Consent (GDPR Art. 6(1)(a))", I2802="Not Captured"), "Gap - Invalid Consent", IF(AND(D2802="Legitimate Interest (GDPR Art. 6(1)(f))", L2802=""), "Gap - Missing LIA", IF(AND(G2802="Yes", H2802=""), "Gap - Missing Art. 9 Basis", IF(OR(I2802="Invalid - Not Freely Given", I2802="Invalid - Not Specific", I2802="Invalid - Not Informed", I2802="Invalid - Ambiguous"), "Gap - Invalid Consent", "Compliant")))))</f>
        <v/>
      </c>
      <c r="O2802" s="7" t="n"/>
    </row>
    <row r="2803">
      <c r="A2803" s="7" t="n"/>
      <c r="B2803" s="7" t="n"/>
      <c r="C2803" s="7" t="n"/>
      <c r="D2803" s="7" t="n"/>
      <c r="E2803" s="7" t="n"/>
      <c r="F2803" s="7" t="n"/>
      <c r="G2803" s="7" t="n"/>
      <c r="H2803" s="7" t="n"/>
      <c r="I2803" s="7" t="n"/>
      <c r="J2803" s="7" t="n"/>
      <c r="K2803">
        <f>IF(D2803="Legitimate Interest (GDPR Art. 6(1)(f))", "Yes / Required (Sheet 3)", "")</f>
        <v/>
      </c>
      <c r="L2803" s="7" t="n"/>
      <c r="M2803" s="7" t="n"/>
      <c r="N2803">
        <f>IF(D2803="", "Gap - No Legal Basis", IF(AND(D2803="Consent (GDPR Art. 6(1)(a))", I2803="Not Captured"), "Gap - Invalid Consent", IF(AND(D2803="Legitimate Interest (GDPR Art. 6(1)(f))", L2803=""), "Gap - Missing LIA", IF(AND(G2803="Yes", H2803=""), "Gap - Missing Art. 9 Basis", IF(OR(I2803="Invalid - Not Freely Given", I2803="Invalid - Not Specific", I2803="Invalid - Not Informed", I2803="Invalid - Ambiguous"), "Gap - Invalid Consent", "Compliant")))))</f>
        <v/>
      </c>
      <c r="O2803" s="7" t="n"/>
    </row>
    <row r="2804">
      <c r="A2804" s="7" t="n"/>
      <c r="B2804" s="7" t="n"/>
      <c r="C2804" s="7" t="n"/>
      <c r="D2804" s="7" t="n"/>
      <c r="E2804" s="7" t="n"/>
      <c r="F2804" s="7" t="n"/>
      <c r="G2804" s="7" t="n"/>
      <c r="H2804" s="7" t="n"/>
      <c r="I2804" s="7" t="n"/>
      <c r="J2804" s="7" t="n"/>
      <c r="K2804">
        <f>IF(D2804="Legitimate Interest (GDPR Art. 6(1)(f))", "Yes / Required (Sheet 3)", "")</f>
        <v/>
      </c>
      <c r="L2804" s="7" t="n"/>
      <c r="M2804" s="7" t="n"/>
      <c r="N2804">
        <f>IF(D2804="", "Gap - No Legal Basis", IF(AND(D2804="Consent (GDPR Art. 6(1)(a))", I2804="Not Captured"), "Gap - Invalid Consent", IF(AND(D2804="Legitimate Interest (GDPR Art. 6(1)(f))", L2804=""), "Gap - Missing LIA", IF(AND(G2804="Yes", H2804=""), "Gap - Missing Art. 9 Basis", IF(OR(I2804="Invalid - Not Freely Given", I2804="Invalid - Not Specific", I2804="Invalid - Not Informed", I2804="Invalid - Ambiguous"), "Gap - Invalid Consent", "Compliant")))))</f>
        <v/>
      </c>
      <c r="O2804" s="7" t="n"/>
    </row>
    <row r="2805">
      <c r="A2805" s="7" t="n"/>
      <c r="B2805" s="7" t="n"/>
      <c r="C2805" s="7" t="n"/>
      <c r="D2805" s="7" t="n"/>
      <c r="E2805" s="7" t="n"/>
      <c r="F2805" s="7" t="n"/>
      <c r="G2805" s="7" t="n"/>
      <c r="H2805" s="7" t="n"/>
      <c r="I2805" s="7" t="n"/>
      <c r="J2805" s="7" t="n"/>
      <c r="K2805">
        <f>IF(D2805="Legitimate Interest (GDPR Art. 6(1)(f))", "Yes / Required (Sheet 3)", "")</f>
        <v/>
      </c>
      <c r="L2805" s="7" t="n"/>
      <c r="M2805" s="7" t="n"/>
      <c r="N2805">
        <f>IF(D2805="", "Gap - No Legal Basis", IF(AND(D2805="Consent (GDPR Art. 6(1)(a))", I2805="Not Captured"), "Gap - Invalid Consent", IF(AND(D2805="Legitimate Interest (GDPR Art. 6(1)(f))", L2805=""), "Gap - Missing LIA", IF(AND(G2805="Yes", H2805=""), "Gap - Missing Art. 9 Basis", IF(OR(I2805="Invalid - Not Freely Given", I2805="Invalid - Not Specific", I2805="Invalid - Not Informed", I2805="Invalid - Ambiguous"), "Gap - Invalid Consent", "Compliant")))))</f>
        <v/>
      </c>
      <c r="O2805" s="7" t="n"/>
    </row>
    <row r="2806">
      <c r="A2806" s="7" t="n"/>
      <c r="B2806" s="7" t="n"/>
      <c r="C2806" s="7" t="n"/>
      <c r="D2806" s="7" t="n"/>
      <c r="E2806" s="7" t="n"/>
      <c r="F2806" s="7" t="n"/>
      <c r="G2806" s="7" t="n"/>
      <c r="H2806" s="7" t="n"/>
      <c r="I2806" s="7" t="n"/>
      <c r="J2806" s="7" t="n"/>
      <c r="K2806">
        <f>IF(D2806="Legitimate Interest (GDPR Art. 6(1)(f))", "Yes / Required (Sheet 3)", "")</f>
        <v/>
      </c>
      <c r="L2806" s="7" t="n"/>
      <c r="M2806" s="7" t="n"/>
      <c r="N2806">
        <f>IF(D2806="", "Gap - No Legal Basis", IF(AND(D2806="Consent (GDPR Art. 6(1)(a))", I2806="Not Captured"), "Gap - Invalid Consent", IF(AND(D2806="Legitimate Interest (GDPR Art. 6(1)(f))", L2806=""), "Gap - Missing LIA", IF(AND(G2806="Yes", H2806=""), "Gap - Missing Art. 9 Basis", IF(OR(I2806="Invalid - Not Freely Given", I2806="Invalid - Not Specific", I2806="Invalid - Not Informed", I2806="Invalid - Ambiguous"), "Gap - Invalid Consent", "Compliant")))))</f>
        <v/>
      </c>
      <c r="O2806" s="7" t="n"/>
    </row>
    <row r="2807">
      <c r="A2807" s="7" t="n"/>
      <c r="B2807" s="7" t="n"/>
      <c r="C2807" s="7" t="n"/>
      <c r="D2807" s="7" t="n"/>
      <c r="E2807" s="7" t="n"/>
      <c r="F2807" s="7" t="n"/>
      <c r="G2807" s="7" t="n"/>
      <c r="H2807" s="7" t="n"/>
      <c r="I2807" s="7" t="n"/>
      <c r="J2807" s="7" t="n"/>
      <c r="K2807">
        <f>IF(D2807="Legitimate Interest (GDPR Art. 6(1)(f))", "Yes / Required (Sheet 3)", "")</f>
        <v/>
      </c>
      <c r="L2807" s="7" t="n"/>
      <c r="M2807" s="7" t="n"/>
      <c r="N2807">
        <f>IF(D2807="", "Gap - No Legal Basis", IF(AND(D2807="Consent (GDPR Art. 6(1)(a))", I2807="Not Captured"), "Gap - Invalid Consent", IF(AND(D2807="Legitimate Interest (GDPR Art. 6(1)(f))", L2807=""), "Gap - Missing LIA", IF(AND(G2807="Yes", H2807=""), "Gap - Missing Art. 9 Basis", IF(OR(I2807="Invalid - Not Freely Given", I2807="Invalid - Not Specific", I2807="Invalid - Not Informed", I2807="Invalid - Ambiguous"), "Gap - Invalid Consent", "Compliant")))))</f>
        <v/>
      </c>
      <c r="O2807" s="7" t="n"/>
    </row>
    <row r="2808">
      <c r="A2808" s="7" t="n"/>
      <c r="B2808" s="7" t="n"/>
      <c r="C2808" s="7" t="n"/>
      <c r="D2808" s="7" t="n"/>
      <c r="E2808" s="7" t="n"/>
      <c r="F2808" s="7" t="n"/>
      <c r="G2808" s="7" t="n"/>
      <c r="H2808" s="7" t="n"/>
      <c r="I2808" s="7" t="n"/>
      <c r="J2808" s="7" t="n"/>
      <c r="K2808">
        <f>IF(D2808="Legitimate Interest (GDPR Art. 6(1)(f))", "Yes / Required (Sheet 3)", "")</f>
        <v/>
      </c>
      <c r="L2808" s="7" t="n"/>
      <c r="M2808" s="7" t="n"/>
      <c r="N2808">
        <f>IF(D2808="", "Gap - No Legal Basis", IF(AND(D2808="Consent (GDPR Art. 6(1)(a))", I2808="Not Captured"), "Gap - Invalid Consent", IF(AND(D2808="Legitimate Interest (GDPR Art. 6(1)(f))", L2808=""), "Gap - Missing LIA", IF(AND(G2808="Yes", H2808=""), "Gap - Missing Art. 9 Basis", IF(OR(I2808="Invalid - Not Freely Given", I2808="Invalid - Not Specific", I2808="Invalid - Not Informed", I2808="Invalid - Ambiguous"), "Gap - Invalid Consent", "Compliant")))))</f>
        <v/>
      </c>
      <c r="O2808" s="7" t="n"/>
    </row>
    <row r="2809">
      <c r="A2809" s="7" t="n"/>
      <c r="B2809" s="7" t="n"/>
      <c r="C2809" s="7" t="n"/>
      <c r="D2809" s="7" t="n"/>
      <c r="E2809" s="7" t="n"/>
      <c r="F2809" s="7" t="n"/>
      <c r="G2809" s="7" t="n"/>
      <c r="H2809" s="7" t="n"/>
      <c r="I2809" s="7" t="n"/>
      <c r="J2809" s="7" t="n"/>
      <c r="K2809">
        <f>IF(D2809="Legitimate Interest (GDPR Art. 6(1)(f))", "Yes / Required (Sheet 3)", "")</f>
        <v/>
      </c>
      <c r="L2809" s="7" t="n"/>
      <c r="M2809" s="7" t="n"/>
      <c r="N2809">
        <f>IF(D2809="", "Gap - No Legal Basis", IF(AND(D2809="Consent (GDPR Art. 6(1)(a))", I2809="Not Captured"), "Gap - Invalid Consent", IF(AND(D2809="Legitimate Interest (GDPR Art. 6(1)(f))", L2809=""), "Gap - Missing LIA", IF(AND(G2809="Yes", H2809=""), "Gap - Missing Art. 9 Basis", IF(OR(I2809="Invalid - Not Freely Given", I2809="Invalid - Not Specific", I2809="Invalid - Not Informed", I2809="Invalid - Ambiguous"), "Gap - Invalid Consent", "Compliant")))))</f>
        <v/>
      </c>
      <c r="O2809" s="7" t="n"/>
    </row>
    <row r="2810">
      <c r="A2810" s="7" t="n"/>
      <c r="B2810" s="7" t="n"/>
      <c r="C2810" s="7" t="n"/>
      <c r="D2810" s="7" t="n"/>
      <c r="E2810" s="7" t="n"/>
      <c r="F2810" s="7" t="n"/>
      <c r="G2810" s="7" t="n"/>
      <c r="H2810" s="7" t="n"/>
      <c r="I2810" s="7" t="n"/>
      <c r="J2810" s="7" t="n"/>
      <c r="K2810">
        <f>IF(D2810="Legitimate Interest (GDPR Art. 6(1)(f))", "Yes / Required (Sheet 3)", "")</f>
        <v/>
      </c>
      <c r="L2810" s="7" t="n"/>
      <c r="M2810" s="7" t="n"/>
      <c r="N2810">
        <f>IF(D2810="", "Gap - No Legal Basis", IF(AND(D2810="Consent (GDPR Art. 6(1)(a))", I2810="Not Captured"), "Gap - Invalid Consent", IF(AND(D2810="Legitimate Interest (GDPR Art. 6(1)(f))", L2810=""), "Gap - Missing LIA", IF(AND(G2810="Yes", H2810=""), "Gap - Missing Art. 9 Basis", IF(OR(I2810="Invalid - Not Freely Given", I2810="Invalid - Not Specific", I2810="Invalid - Not Informed", I2810="Invalid - Ambiguous"), "Gap - Invalid Consent", "Compliant")))))</f>
        <v/>
      </c>
      <c r="O2810" s="7" t="n"/>
    </row>
    <row r="2811">
      <c r="A2811" s="7" t="n"/>
      <c r="B2811" s="7" t="n"/>
      <c r="C2811" s="7" t="n"/>
      <c r="D2811" s="7" t="n"/>
      <c r="E2811" s="7" t="n"/>
      <c r="F2811" s="7" t="n"/>
      <c r="G2811" s="7" t="n"/>
      <c r="H2811" s="7" t="n"/>
      <c r="I2811" s="7" t="n"/>
      <c r="J2811" s="7" t="n"/>
      <c r="K2811">
        <f>IF(D2811="Legitimate Interest (GDPR Art. 6(1)(f))", "Yes / Required (Sheet 3)", "")</f>
        <v/>
      </c>
      <c r="L2811" s="7" t="n"/>
      <c r="M2811" s="7" t="n"/>
      <c r="N2811">
        <f>IF(D2811="", "Gap - No Legal Basis", IF(AND(D2811="Consent (GDPR Art. 6(1)(a))", I2811="Not Captured"), "Gap - Invalid Consent", IF(AND(D2811="Legitimate Interest (GDPR Art. 6(1)(f))", L2811=""), "Gap - Missing LIA", IF(AND(G2811="Yes", H2811=""), "Gap - Missing Art. 9 Basis", IF(OR(I2811="Invalid - Not Freely Given", I2811="Invalid - Not Specific", I2811="Invalid - Not Informed", I2811="Invalid - Ambiguous"), "Gap - Invalid Consent", "Compliant")))))</f>
        <v/>
      </c>
      <c r="O2811" s="7" t="n"/>
    </row>
    <row r="2812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7" t="n"/>
      <c r="J2812" s="7" t="n"/>
      <c r="K2812">
        <f>IF(D2812="Legitimate Interest (GDPR Art. 6(1)(f))", "Yes / Required (Sheet 3)", "")</f>
        <v/>
      </c>
      <c r="L2812" s="7" t="n"/>
      <c r="M2812" s="7" t="n"/>
      <c r="N2812">
        <f>IF(D2812="", "Gap - No Legal Basis", IF(AND(D2812="Consent (GDPR Art. 6(1)(a))", I2812="Not Captured"), "Gap - Invalid Consent", IF(AND(D2812="Legitimate Interest (GDPR Art. 6(1)(f))", L2812=""), "Gap - Missing LIA", IF(AND(G2812="Yes", H2812=""), "Gap - Missing Art. 9 Basis", IF(OR(I2812="Invalid - Not Freely Given", I2812="Invalid - Not Specific", I2812="Invalid - Not Informed", I2812="Invalid - Ambiguous"), "Gap - Invalid Consent", "Compliant")))))</f>
        <v/>
      </c>
      <c r="O2812" s="7" t="n"/>
    </row>
    <row r="2813">
      <c r="A2813" s="7" t="n"/>
      <c r="B2813" s="7" t="n"/>
      <c r="C2813" s="7" t="n"/>
      <c r="D2813" s="7" t="n"/>
      <c r="E2813" s="7" t="n"/>
      <c r="F2813" s="7" t="n"/>
      <c r="G2813" s="7" t="n"/>
      <c r="H2813" s="7" t="n"/>
      <c r="I2813" s="7" t="n"/>
      <c r="J2813" s="7" t="n"/>
      <c r="K2813">
        <f>IF(D2813="Legitimate Interest (GDPR Art. 6(1)(f))", "Yes / Required (Sheet 3)", "")</f>
        <v/>
      </c>
      <c r="L2813" s="7" t="n"/>
      <c r="M2813" s="7" t="n"/>
      <c r="N2813">
        <f>IF(D2813="", "Gap - No Legal Basis", IF(AND(D2813="Consent (GDPR Art. 6(1)(a))", I2813="Not Captured"), "Gap - Invalid Consent", IF(AND(D2813="Legitimate Interest (GDPR Art. 6(1)(f))", L2813=""), "Gap - Missing LIA", IF(AND(G2813="Yes", H2813=""), "Gap - Missing Art. 9 Basis", IF(OR(I2813="Invalid - Not Freely Given", I2813="Invalid - Not Specific", I2813="Invalid - Not Informed", I2813="Invalid - Ambiguous"), "Gap - Invalid Consent", "Compliant")))))</f>
        <v/>
      </c>
      <c r="O2813" s="7" t="n"/>
    </row>
    <row r="2814">
      <c r="A2814" s="7" t="n"/>
      <c r="B2814" s="7" t="n"/>
      <c r="C2814" s="7" t="n"/>
      <c r="D2814" s="7" t="n"/>
      <c r="E2814" s="7" t="n"/>
      <c r="F2814" s="7" t="n"/>
      <c r="G2814" s="7" t="n"/>
      <c r="H2814" s="7" t="n"/>
      <c r="I2814" s="7" t="n"/>
      <c r="J2814" s="7" t="n"/>
      <c r="K2814">
        <f>IF(D2814="Legitimate Interest (GDPR Art. 6(1)(f))", "Yes / Required (Sheet 3)", "")</f>
        <v/>
      </c>
      <c r="L2814" s="7" t="n"/>
      <c r="M2814" s="7" t="n"/>
      <c r="N2814">
        <f>IF(D2814="", "Gap - No Legal Basis", IF(AND(D2814="Consent (GDPR Art. 6(1)(a))", I2814="Not Captured"), "Gap - Invalid Consent", IF(AND(D2814="Legitimate Interest (GDPR Art. 6(1)(f))", L2814=""), "Gap - Missing LIA", IF(AND(G2814="Yes", H2814=""), "Gap - Missing Art. 9 Basis", IF(OR(I2814="Invalid - Not Freely Given", I2814="Invalid - Not Specific", I2814="Invalid - Not Informed", I2814="Invalid - Ambiguous"), "Gap - Invalid Consent", "Compliant")))))</f>
        <v/>
      </c>
      <c r="O2814" s="7" t="n"/>
    </row>
    <row r="2815">
      <c r="A2815" s="7" t="n"/>
      <c r="B2815" s="7" t="n"/>
      <c r="C2815" s="7" t="n"/>
      <c r="D2815" s="7" t="n"/>
      <c r="E2815" s="7" t="n"/>
      <c r="F2815" s="7" t="n"/>
      <c r="G2815" s="7" t="n"/>
      <c r="H2815" s="7" t="n"/>
      <c r="I2815" s="7" t="n"/>
      <c r="J2815" s="7" t="n"/>
      <c r="K2815">
        <f>IF(D2815="Legitimate Interest (GDPR Art. 6(1)(f))", "Yes / Required (Sheet 3)", "")</f>
        <v/>
      </c>
      <c r="L2815" s="7" t="n"/>
      <c r="M2815" s="7" t="n"/>
      <c r="N2815">
        <f>IF(D2815="", "Gap - No Legal Basis", IF(AND(D2815="Consent (GDPR Art. 6(1)(a))", I2815="Not Captured"), "Gap - Invalid Consent", IF(AND(D2815="Legitimate Interest (GDPR Art. 6(1)(f))", L2815=""), "Gap - Missing LIA", IF(AND(G2815="Yes", H2815=""), "Gap - Missing Art. 9 Basis", IF(OR(I2815="Invalid - Not Freely Given", I2815="Invalid - Not Specific", I2815="Invalid - Not Informed", I2815="Invalid - Ambiguous"), "Gap - Invalid Consent", "Compliant")))))</f>
        <v/>
      </c>
      <c r="O2815" s="7" t="n"/>
    </row>
    <row r="2816">
      <c r="A2816" s="7" t="n"/>
      <c r="B2816" s="7" t="n"/>
      <c r="C2816" s="7" t="n"/>
      <c r="D2816" s="7" t="n"/>
      <c r="E2816" s="7" t="n"/>
      <c r="F2816" s="7" t="n"/>
      <c r="G2816" s="7" t="n"/>
      <c r="H2816" s="7" t="n"/>
      <c r="I2816" s="7" t="n"/>
      <c r="J2816" s="7" t="n"/>
      <c r="K2816">
        <f>IF(D2816="Legitimate Interest (GDPR Art. 6(1)(f))", "Yes / Required (Sheet 3)", "")</f>
        <v/>
      </c>
      <c r="L2816" s="7" t="n"/>
      <c r="M2816" s="7" t="n"/>
      <c r="N2816">
        <f>IF(D2816="", "Gap - No Legal Basis", IF(AND(D2816="Consent (GDPR Art. 6(1)(a))", I2816="Not Captured"), "Gap - Invalid Consent", IF(AND(D2816="Legitimate Interest (GDPR Art. 6(1)(f))", L2816=""), "Gap - Missing LIA", IF(AND(G2816="Yes", H2816=""), "Gap - Missing Art. 9 Basis", IF(OR(I2816="Invalid - Not Freely Given", I2816="Invalid - Not Specific", I2816="Invalid - Not Informed", I2816="Invalid - Ambiguous"), "Gap - Invalid Consent", "Compliant")))))</f>
        <v/>
      </c>
      <c r="O2816" s="7" t="n"/>
    </row>
    <row r="2817">
      <c r="A2817" s="7" t="n"/>
      <c r="B2817" s="7" t="n"/>
      <c r="C2817" s="7" t="n"/>
      <c r="D2817" s="7" t="n"/>
      <c r="E2817" s="7" t="n"/>
      <c r="F2817" s="7" t="n"/>
      <c r="G2817" s="7" t="n"/>
      <c r="H2817" s="7" t="n"/>
      <c r="I2817" s="7" t="n"/>
      <c r="J2817" s="7" t="n"/>
      <c r="K2817">
        <f>IF(D2817="Legitimate Interest (GDPR Art. 6(1)(f))", "Yes / Required (Sheet 3)", "")</f>
        <v/>
      </c>
      <c r="L2817" s="7" t="n"/>
      <c r="M2817" s="7" t="n"/>
      <c r="N2817">
        <f>IF(D2817="", "Gap - No Legal Basis", IF(AND(D2817="Consent (GDPR Art. 6(1)(a))", I2817="Not Captured"), "Gap - Invalid Consent", IF(AND(D2817="Legitimate Interest (GDPR Art. 6(1)(f))", L2817=""), "Gap - Missing LIA", IF(AND(G2817="Yes", H2817=""), "Gap - Missing Art. 9 Basis", IF(OR(I2817="Invalid - Not Freely Given", I2817="Invalid - Not Specific", I2817="Invalid - Not Informed", I2817="Invalid - Ambiguous"), "Gap - Invalid Consent", "Compliant")))))</f>
        <v/>
      </c>
      <c r="O2817" s="7" t="n"/>
    </row>
    <row r="2818">
      <c r="A2818" s="7" t="n"/>
      <c r="B2818" s="7" t="n"/>
      <c r="C2818" s="7" t="n"/>
      <c r="D2818" s="7" t="n"/>
      <c r="E2818" s="7" t="n"/>
      <c r="F2818" s="7" t="n"/>
      <c r="G2818" s="7" t="n"/>
      <c r="H2818" s="7" t="n"/>
      <c r="I2818" s="7" t="n"/>
      <c r="J2818" s="7" t="n"/>
      <c r="K2818">
        <f>IF(D2818="Legitimate Interest (GDPR Art. 6(1)(f))", "Yes / Required (Sheet 3)", "")</f>
        <v/>
      </c>
      <c r="L2818" s="7" t="n"/>
      <c r="M2818" s="7" t="n"/>
      <c r="N2818">
        <f>IF(D2818="", "Gap - No Legal Basis", IF(AND(D2818="Consent (GDPR Art. 6(1)(a))", I2818="Not Captured"), "Gap - Invalid Consent", IF(AND(D2818="Legitimate Interest (GDPR Art. 6(1)(f))", L2818=""), "Gap - Missing LIA", IF(AND(G2818="Yes", H2818=""), "Gap - Missing Art. 9 Basis", IF(OR(I2818="Invalid - Not Freely Given", I2818="Invalid - Not Specific", I2818="Invalid - Not Informed", I2818="Invalid - Ambiguous"), "Gap - Invalid Consent", "Compliant")))))</f>
        <v/>
      </c>
      <c r="O2818" s="7" t="n"/>
    </row>
    <row r="2819">
      <c r="A2819" s="7" t="n"/>
      <c r="B2819" s="7" t="n"/>
      <c r="C2819" s="7" t="n"/>
      <c r="D2819" s="7" t="n"/>
      <c r="E2819" s="7" t="n"/>
      <c r="F2819" s="7" t="n"/>
      <c r="G2819" s="7" t="n"/>
      <c r="H2819" s="7" t="n"/>
      <c r="I2819" s="7" t="n"/>
      <c r="J2819" s="7" t="n"/>
      <c r="K2819">
        <f>IF(D2819="Legitimate Interest (GDPR Art. 6(1)(f))", "Yes / Required (Sheet 3)", "")</f>
        <v/>
      </c>
      <c r="L2819" s="7" t="n"/>
      <c r="M2819" s="7" t="n"/>
      <c r="N2819">
        <f>IF(D2819="", "Gap - No Legal Basis", IF(AND(D2819="Consent (GDPR Art. 6(1)(a))", I2819="Not Captured"), "Gap - Invalid Consent", IF(AND(D2819="Legitimate Interest (GDPR Art. 6(1)(f))", L2819=""), "Gap - Missing LIA", IF(AND(G2819="Yes", H2819=""), "Gap - Missing Art. 9 Basis", IF(OR(I2819="Invalid - Not Freely Given", I2819="Invalid - Not Specific", I2819="Invalid - Not Informed", I2819="Invalid - Ambiguous"), "Gap - Invalid Consent", "Compliant")))))</f>
        <v/>
      </c>
      <c r="O2819" s="7" t="n"/>
    </row>
    <row r="2820">
      <c r="A2820" s="7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>
        <f>IF(D2820="Legitimate Interest (GDPR Art. 6(1)(f))", "Yes / Required (Sheet 3)", "")</f>
        <v/>
      </c>
      <c r="L2820" s="7" t="n"/>
      <c r="M2820" s="7" t="n"/>
      <c r="N2820">
        <f>IF(D2820="", "Gap - No Legal Basis", IF(AND(D2820="Consent (GDPR Art. 6(1)(a))", I2820="Not Captured"), "Gap - Invalid Consent", IF(AND(D2820="Legitimate Interest (GDPR Art. 6(1)(f))", L2820=""), "Gap - Missing LIA", IF(AND(G2820="Yes", H2820=""), "Gap - Missing Art. 9 Basis", IF(OR(I2820="Invalid - Not Freely Given", I2820="Invalid - Not Specific", I2820="Invalid - Not Informed", I2820="Invalid - Ambiguous"), "Gap - Invalid Consent", "Compliant")))))</f>
        <v/>
      </c>
      <c r="O2820" s="7" t="n"/>
    </row>
    <row r="2821">
      <c r="A2821" s="7" t="n"/>
      <c r="B2821" s="7" t="n"/>
      <c r="C2821" s="7" t="n"/>
      <c r="D2821" s="7" t="n"/>
      <c r="E2821" s="7" t="n"/>
      <c r="F2821" s="7" t="n"/>
      <c r="G2821" s="7" t="n"/>
      <c r="H2821" s="7" t="n"/>
      <c r="I2821" s="7" t="n"/>
      <c r="J2821" s="7" t="n"/>
      <c r="K2821">
        <f>IF(D2821="Legitimate Interest (GDPR Art. 6(1)(f))", "Yes / Required (Sheet 3)", "")</f>
        <v/>
      </c>
      <c r="L2821" s="7" t="n"/>
      <c r="M2821" s="7" t="n"/>
      <c r="N2821">
        <f>IF(D2821="", "Gap - No Legal Basis", IF(AND(D2821="Consent (GDPR Art. 6(1)(a))", I2821="Not Captured"), "Gap - Invalid Consent", IF(AND(D2821="Legitimate Interest (GDPR Art. 6(1)(f))", L2821=""), "Gap - Missing LIA", IF(AND(G2821="Yes", H2821=""), "Gap - Missing Art. 9 Basis", IF(OR(I2821="Invalid - Not Freely Given", I2821="Invalid - Not Specific", I2821="Invalid - Not Informed", I2821="Invalid - Ambiguous"), "Gap - Invalid Consent", "Compliant")))))</f>
        <v/>
      </c>
      <c r="O2821" s="7" t="n"/>
    </row>
    <row r="2822">
      <c r="A2822" s="7" t="n"/>
      <c r="B2822" s="7" t="n"/>
      <c r="C2822" s="7" t="n"/>
      <c r="D2822" s="7" t="n"/>
      <c r="E2822" s="7" t="n"/>
      <c r="F2822" s="7" t="n"/>
      <c r="G2822" s="7" t="n"/>
      <c r="H2822" s="7" t="n"/>
      <c r="I2822" s="7" t="n"/>
      <c r="J2822" s="7" t="n"/>
      <c r="K2822">
        <f>IF(D2822="Legitimate Interest (GDPR Art. 6(1)(f))", "Yes / Required (Sheet 3)", "")</f>
        <v/>
      </c>
      <c r="L2822" s="7" t="n"/>
      <c r="M2822" s="7" t="n"/>
      <c r="N2822">
        <f>IF(D2822="", "Gap - No Legal Basis", IF(AND(D2822="Consent (GDPR Art. 6(1)(a))", I2822="Not Captured"), "Gap - Invalid Consent", IF(AND(D2822="Legitimate Interest (GDPR Art. 6(1)(f))", L2822=""), "Gap - Missing LIA", IF(AND(G2822="Yes", H2822=""), "Gap - Missing Art. 9 Basis", IF(OR(I2822="Invalid - Not Freely Given", I2822="Invalid - Not Specific", I2822="Invalid - Not Informed", I2822="Invalid - Ambiguous"), "Gap - Invalid Consent", "Compliant")))))</f>
        <v/>
      </c>
      <c r="O2822" s="7" t="n"/>
    </row>
    <row r="2823">
      <c r="A2823" s="7" t="n"/>
      <c r="B2823" s="7" t="n"/>
      <c r="C2823" s="7" t="n"/>
      <c r="D2823" s="7" t="n"/>
      <c r="E2823" s="7" t="n"/>
      <c r="F2823" s="7" t="n"/>
      <c r="G2823" s="7" t="n"/>
      <c r="H2823" s="7" t="n"/>
      <c r="I2823" s="7" t="n"/>
      <c r="J2823" s="7" t="n"/>
      <c r="K2823">
        <f>IF(D2823="Legitimate Interest (GDPR Art. 6(1)(f))", "Yes / Required (Sheet 3)", "")</f>
        <v/>
      </c>
      <c r="L2823" s="7" t="n"/>
      <c r="M2823" s="7" t="n"/>
      <c r="N2823">
        <f>IF(D2823="", "Gap - No Legal Basis", IF(AND(D2823="Consent (GDPR Art. 6(1)(a))", I2823="Not Captured"), "Gap - Invalid Consent", IF(AND(D2823="Legitimate Interest (GDPR Art. 6(1)(f))", L2823=""), "Gap - Missing LIA", IF(AND(G2823="Yes", H2823=""), "Gap - Missing Art. 9 Basis", IF(OR(I2823="Invalid - Not Freely Given", I2823="Invalid - Not Specific", I2823="Invalid - Not Informed", I2823="Invalid - Ambiguous"), "Gap - Invalid Consent", "Compliant")))))</f>
        <v/>
      </c>
      <c r="O2823" s="7" t="n"/>
    </row>
    <row r="2824">
      <c r="A2824" s="7" t="n"/>
      <c r="B2824" s="7" t="n"/>
      <c r="C2824" s="7" t="n"/>
      <c r="D2824" s="7" t="n"/>
      <c r="E2824" s="7" t="n"/>
      <c r="F2824" s="7" t="n"/>
      <c r="G2824" s="7" t="n"/>
      <c r="H2824" s="7" t="n"/>
      <c r="I2824" s="7" t="n"/>
      <c r="J2824" s="7" t="n"/>
      <c r="K2824">
        <f>IF(D2824="Legitimate Interest (GDPR Art. 6(1)(f))", "Yes / Required (Sheet 3)", "")</f>
        <v/>
      </c>
      <c r="L2824" s="7" t="n"/>
      <c r="M2824" s="7" t="n"/>
      <c r="N2824">
        <f>IF(D2824="", "Gap - No Legal Basis", IF(AND(D2824="Consent (GDPR Art. 6(1)(a))", I2824="Not Captured"), "Gap - Invalid Consent", IF(AND(D2824="Legitimate Interest (GDPR Art. 6(1)(f))", L2824=""), "Gap - Missing LIA", IF(AND(G2824="Yes", H2824=""), "Gap - Missing Art. 9 Basis", IF(OR(I2824="Invalid - Not Freely Given", I2824="Invalid - Not Specific", I2824="Invalid - Not Informed", I2824="Invalid - Ambiguous"), "Gap - Invalid Consent", "Compliant")))))</f>
        <v/>
      </c>
      <c r="O2824" s="7" t="n"/>
    </row>
    <row r="2825">
      <c r="A2825" s="7" t="n"/>
      <c r="B2825" s="7" t="n"/>
      <c r="C2825" s="7" t="n"/>
      <c r="D2825" s="7" t="n"/>
      <c r="E2825" s="7" t="n"/>
      <c r="F2825" s="7" t="n"/>
      <c r="G2825" s="7" t="n"/>
      <c r="H2825" s="7" t="n"/>
      <c r="I2825" s="7" t="n"/>
      <c r="J2825" s="7" t="n"/>
      <c r="K2825">
        <f>IF(D2825="Legitimate Interest (GDPR Art. 6(1)(f))", "Yes / Required (Sheet 3)", "")</f>
        <v/>
      </c>
      <c r="L2825" s="7" t="n"/>
      <c r="M2825" s="7" t="n"/>
      <c r="N2825">
        <f>IF(D2825="", "Gap - No Legal Basis", IF(AND(D2825="Consent (GDPR Art. 6(1)(a))", I2825="Not Captured"), "Gap - Invalid Consent", IF(AND(D2825="Legitimate Interest (GDPR Art. 6(1)(f))", L2825=""), "Gap - Missing LIA", IF(AND(G2825="Yes", H2825=""), "Gap - Missing Art. 9 Basis", IF(OR(I2825="Invalid - Not Freely Given", I2825="Invalid - Not Specific", I2825="Invalid - Not Informed", I2825="Invalid - Ambiguous"), "Gap - Invalid Consent", "Compliant")))))</f>
        <v/>
      </c>
      <c r="O2825" s="7" t="n"/>
    </row>
    <row r="2826">
      <c r="A2826" s="7" t="n"/>
      <c r="B2826" s="7" t="n"/>
      <c r="C2826" s="7" t="n"/>
      <c r="D2826" s="7" t="n"/>
      <c r="E2826" s="7" t="n"/>
      <c r="F2826" s="7" t="n"/>
      <c r="G2826" s="7" t="n"/>
      <c r="H2826" s="7" t="n"/>
      <c r="I2826" s="7" t="n"/>
      <c r="J2826" s="7" t="n"/>
      <c r="K2826">
        <f>IF(D2826="Legitimate Interest (GDPR Art. 6(1)(f))", "Yes / Required (Sheet 3)", "")</f>
        <v/>
      </c>
      <c r="L2826" s="7" t="n"/>
      <c r="M2826" s="7" t="n"/>
      <c r="N2826">
        <f>IF(D2826="", "Gap - No Legal Basis", IF(AND(D2826="Consent (GDPR Art. 6(1)(a))", I2826="Not Captured"), "Gap - Invalid Consent", IF(AND(D2826="Legitimate Interest (GDPR Art. 6(1)(f))", L2826=""), "Gap - Missing LIA", IF(AND(G2826="Yes", H2826=""), "Gap - Missing Art. 9 Basis", IF(OR(I2826="Invalid - Not Freely Given", I2826="Invalid - Not Specific", I2826="Invalid - Not Informed", I2826="Invalid - Ambiguous"), "Gap - Invalid Consent", "Compliant")))))</f>
        <v/>
      </c>
      <c r="O2826" s="7" t="n"/>
    </row>
    <row r="2827">
      <c r="A2827" s="7" t="n"/>
      <c r="B2827" s="7" t="n"/>
      <c r="C2827" s="7" t="n"/>
      <c r="D2827" s="7" t="n"/>
      <c r="E2827" s="7" t="n"/>
      <c r="F2827" s="7" t="n"/>
      <c r="G2827" s="7" t="n"/>
      <c r="H2827" s="7" t="n"/>
      <c r="I2827" s="7" t="n"/>
      <c r="J2827" s="7" t="n"/>
      <c r="K2827">
        <f>IF(D2827="Legitimate Interest (GDPR Art. 6(1)(f))", "Yes / Required (Sheet 3)", "")</f>
        <v/>
      </c>
      <c r="L2827" s="7" t="n"/>
      <c r="M2827" s="7" t="n"/>
      <c r="N2827">
        <f>IF(D2827="", "Gap - No Legal Basis", IF(AND(D2827="Consent (GDPR Art. 6(1)(a))", I2827="Not Captured"), "Gap - Invalid Consent", IF(AND(D2827="Legitimate Interest (GDPR Art. 6(1)(f))", L2827=""), "Gap - Missing LIA", IF(AND(G2827="Yes", H2827=""), "Gap - Missing Art. 9 Basis", IF(OR(I2827="Invalid - Not Freely Given", I2827="Invalid - Not Specific", I2827="Invalid - Not Informed", I2827="Invalid - Ambiguous"), "Gap - Invalid Consent", "Compliant")))))</f>
        <v/>
      </c>
      <c r="O2827" s="7" t="n"/>
    </row>
    <row r="2828">
      <c r="A2828" s="7" t="n"/>
      <c r="B2828" s="7" t="n"/>
      <c r="C2828" s="7" t="n"/>
      <c r="D2828" s="7" t="n"/>
      <c r="E2828" s="7" t="n"/>
      <c r="F2828" s="7" t="n"/>
      <c r="G2828" s="7" t="n"/>
      <c r="H2828" s="7" t="n"/>
      <c r="I2828" s="7" t="n"/>
      <c r="J2828" s="7" t="n"/>
      <c r="K2828">
        <f>IF(D2828="Legitimate Interest (GDPR Art. 6(1)(f))", "Yes / Required (Sheet 3)", "")</f>
        <v/>
      </c>
      <c r="L2828" s="7" t="n"/>
      <c r="M2828" s="7" t="n"/>
      <c r="N2828">
        <f>IF(D2828="", "Gap - No Legal Basis", IF(AND(D2828="Consent (GDPR Art. 6(1)(a))", I2828="Not Captured"), "Gap - Invalid Consent", IF(AND(D2828="Legitimate Interest (GDPR Art. 6(1)(f))", L2828=""), "Gap - Missing LIA", IF(AND(G2828="Yes", H2828=""), "Gap - Missing Art. 9 Basis", IF(OR(I2828="Invalid - Not Freely Given", I2828="Invalid - Not Specific", I2828="Invalid - Not Informed", I2828="Invalid - Ambiguous"), "Gap - Invalid Consent", "Compliant")))))</f>
        <v/>
      </c>
      <c r="O2828" s="7" t="n"/>
    </row>
    <row r="2829">
      <c r="A2829" s="7" t="n"/>
      <c r="B2829" s="7" t="n"/>
      <c r="C2829" s="7" t="n"/>
      <c r="D2829" s="7" t="n"/>
      <c r="E2829" s="7" t="n"/>
      <c r="F2829" s="7" t="n"/>
      <c r="G2829" s="7" t="n"/>
      <c r="H2829" s="7" t="n"/>
      <c r="I2829" s="7" t="n"/>
      <c r="J2829" s="7" t="n"/>
      <c r="K2829">
        <f>IF(D2829="Legitimate Interest (GDPR Art. 6(1)(f))", "Yes / Required (Sheet 3)", "")</f>
        <v/>
      </c>
      <c r="L2829" s="7" t="n"/>
      <c r="M2829" s="7" t="n"/>
      <c r="N2829">
        <f>IF(D2829="", "Gap - No Legal Basis", IF(AND(D2829="Consent (GDPR Art. 6(1)(a))", I2829="Not Captured"), "Gap - Invalid Consent", IF(AND(D2829="Legitimate Interest (GDPR Art. 6(1)(f))", L2829=""), "Gap - Missing LIA", IF(AND(G2829="Yes", H2829=""), "Gap - Missing Art. 9 Basis", IF(OR(I2829="Invalid - Not Freely Given", I2829="Invalid - Not Specific", I2829="Invalid - Not Informed", I2829="Invalid - Ambiguous"), "Gap - Invalid Consent", "Compliant")))))</f>
        <v/>
      </c>
      <c r="O2829" s="7" t="n"/>
    </row>
    <row r="2830">
      <c r="A2830" s="7" t="n"/>
      <c r="B2830" s="7" t="n"/>
      <c r="C2830" s="7" t="n"/>
      <c r="D2830" s="7" t="n"/>
      <c r="E2830" s="7" t="n"/>
      <c r="F2830" s="7" t="n"/>
      <c r="G2830" s="7" t="n"/>
      <c r="H2830" s="7" t="n"/>
      <c r="I2830" s="7" t="n"/>
      <c r="J2830" s="7" t="n"/>
      <c r="K2830">
        <f>IF(D2830="Legitimate Interest (GDPR Art. 6(1)(f))", "Yes / Required (Sheet 3)", "")</f>
        <v/>
      </c>
      <c r="L2830" s="7" t="n"/>
      <c r="M2830" s="7" t="n"/>
      <c r="N2830">
        <f>IF(D2830="", "Gap - No Legal Basis", IF(AND(D2830="Consent (GDPR Art. 6(1)(a))", I2830="Not Captured"), "Gap - Invalid Consent", IF(AND(D2830="Legitimate Interest (GDPR Art. 6(1)(f))", L2830=""), "Gap - Missing LIA", IF(AND(G2830="Yes", H2830=""), "Gap - Missing Art. 9 Basis", IF(OR(I2830="Invalid - Not Freely Given", I2830="Invalid - Not Specific", I2830="Invalid - Not Informed", I2830="Invalid - Ambiguous"), "Gap - Invalid Consent", "Compliant")))))</f>
        <v/>
      </c>
      <c r="O2830" s="7" t="n"/>
    </row>
    <row r="2831">
      <c r="A2831" s="7" t="n"/>
      <c r="B2831" s="7" t="n"/>
      <c r="C2831" s="7" t="n"/>
      <c r="D2831" s="7" t="n"/>
      <c r="E2831" s="7" t="n"/>
      <c r="F2831" s="7" t="n"/>
      <c r="G2831" s="7" t="n"/>
      <c r="H2831" s="7" t="n"/>
      <c r="I2831" s="7" t="n"/>
      <c r="J2831" s="7" t="n"/>
      <c r="K2831">
        <f>IF(D2831="Legitimate Interest (GDPR Art. 6(1)(f))", "Yes / Required (Sheet 3)", "")</f>
        <v/>
      </c>
      <c r="L2831" s="7" t="n"/>
      <c r="M2831" s="7" t="n"/>
      <c r="N2831">
        <f>IF(D2831="", "Gap - No Legal Basis", IF(AND(D2831="Consent (GDPR Art. 6(1)(a))", I2831="Not Captured"), "Gap - Invalid Consent", IF(AND(D2831="Legitimate Interest (GDPR Art. 6(1)(f))", L2831=""), "Gap - Missing LIA", IF(AND(G2831="Yes", H2831=""), "Gap - Missing Art. 9 Basis", IF(OR(I2831="Invalid - Not Freely Given", I2831="Invalid - Not Specific", I2831="Invalid - Not Informed", I2831="Invalid - Ambiguous"), "Gap - Invalid Consent", "Compliant")))))</f>
        <v/>
      </c>
      <c r="O2831" s="7" t="n"/>
    </row>
    <row r="2832">
      <c r="A2832" s="7" t="n"/>
      <c r="B2832" s="7" t="n"/>
      <c r="C2832" s="7" t="n"/>
      <c r="D2832" s="7" t="n"/>
      <c r="E2832" s="7" t="n"/>
      <c r="F2832" s="7" t="n"/>
      <c r="G2832" s="7" t="n"/>
      <c r="H2832" s="7" t="n"/>
      <c r="I2832" s="7" t="n"/>
      <c r="J2832" s="7" t="n"/>
      <c r="K2832">
        <f>IF(D2832="Legitimate Interest (GDPR Art. 6(1)(f))", "Yes / Required (Sheet 3)", "")</f>
        <v/>
      </c>
      <c r="L2832" s="7" t="n"/>
      <c r="M2832" s="7" t="n"/>
      <c r="N2832">
        <f>IF(D2832="", "Gap - No Legal Basis", IF(AND(D2832="Consent (GDPR Art. 6(1)(a))", I2832="Not Captured"), "Gap - Invalid Consent", IF(AND(D2832="Legitimate Interest (GDPR Art. 6(1)(f))", L2832=""), "Gap - Missing LIA", IF(AND(G2832="Yes", H2832=""), "Gap - Missing Art. 9 Basis", IF(OR(I2832="Invalid - Not Freely Given", I2832="Invalid - Not Specific", I2832="Invalid - Not Informed", I2832="Invalid - Ambiguous"), "Gap - Invalid Consent", "Compliant")))))</f>
        <v/>
      </c>
      <c r="O2832" s="7" t="n"/>
    </row>
    <row r="2833">
      <c r="A2833" s="7" t="n"/>
      <c r="B2833" s="7" t="n"/>
      <c r="C2833" s="7" t="n"/>
      <c r="D2833" s="7" t="n"/>
      <c r="E2833" s="7" t="n"/>
      <c r="F2833" s="7" t="n"/>
      <c r="G2833" s="7" t="n"/>
      <c r="H2833" s="7" t="n"/>
      <c r="I2833" s="7" t="n"/>
      <c r="J2833" s="7" t="n"/>
      <c r="K2833">
        <f>IF(D2833="Legitimate Interest (GDPR Art. 6(1)(f))", "Yes / Required (Sheet 3)", "")</f>
        <v/>
      </c>
      <c r="L2833" s="7" t="n"/>
      <c r="M2833" s="7" t="n"/>
      <c r="N2833">
        <f>IF(D2833="", "Gap - No Legal Basis", IF(AND(D2833="Consent (GDPR Art. 6(1)(a))", I2833="Not Captured"), "Gap - Invalid Consent", IF(AND(D2833="Legitimate Interest (GDPR Art. 6(1)(f))", L2833=""), "Gap - Missing LIA", IF(AND(G2833="Yes", H2833=""), "Gap - Missing Art. 9 Basis", IF(OR(I2833="Invalid - Not Freely Given", I2833="Invalid - Not Specific", I2833="Invalid - Not Informed", I2833="Invalid - Ambiguous"), "Gap - Invalid Consent", "Compliant")))))</f>
        <v/>
      </c>
      <c r="O2833" s="7" t="n"/>
    </row>
    <row r="2834">
      <c r="A2834" s="7" t="n"/>
      <c r="B2834" s="7" t="n"/>
      <c r="C2834" s="7" t="n"/>
      <c r="D2834" s="7" t="n"/>
      <c r="E2834" s="7" t="n"/>
      <c r="F2834" s="7" t="n"/>
      <c r="G2834" s="7" t="n"/>
      <c r="H2834" s="7" t="n"/>
      <c r="I2834" s="7" t="n"/>
      <c r="J2834" s="7" t="n"/>
      <c r="K2834">
        <f>IF(D2834="Legitimate Interest (GDPR Art. 6(1)(f))", "Yes / Required (Sheet 3)", "")</f>
        <v/>
      </c>
      <c r="L2834" s="7" t="n"/>
      <c r="M2834" s="7" t="n"/>
      <c r="N2834">
        <f>IF(D2834="", "Gap - No Legal Basis", IF(AND(D2834="Consent (GDPR Art. 6(1)(a))", I2834="Not Captured"), "Gap - Invalid Consent", IF(AND(D2834="Legitimate Interest (GDPR Art. 6(1)(f))", L2834=""), "Gap - Missing LIA", IF(AND(G2834="Yes", H2834=""), "Gap - Missing Art. 9 Basis", IF(OR(I2834="Invalid - Not Freely Given", I2834="Invalid - Not Specific", I2834="Invalid - Not Informed", I2834="Invalid - Ambiguous"), "Gap - Invalid Consent", "Compliant")))))</f>
        <v/>
      </c>
      <c r="O2834" s="7" t="n"/>
    </row>
    <row r="2835">
      <c r="A2835" s="7" t="n"/>
      <c r="B2835" s="7" t="n"/>
      <c r="C2835" s="7" t="n"/>
      <c r="D2835" s="7" t="n"/>
      <c r="E2835" s="7" t="n"/>
      <c r="F2835" s="7" t="n"/>
      <c r="G2835" s="7" t="n"/>
      <c r="H2835" s="7" t="n"/>
      <c r="I2835" s="7" t="n"/>
      <c r="J2835" s="7" t="n"/>
      <c r="K2835">
        <f>IF(D2835="Legitimate Interest (GDPR Art. 6(1)(f))", "Yes / Required (Sheet 3)", "")</f>
        <v/>
      </c>
      <c r="L2835" s="7" t="n"/>
      <c r="M2835" s="7" t="n"/>
      <c r="N2835">
        <f>IF(D2835="", "Gap - No Legal Basis", IF(AND(D2835="Consent (GDPR Art. 6(1)(a))", I2835="Not Captured"), "Gap - Invalid Consent", IF(AND(D2835="Legitimate Interest (GDPR Art. 6(1)(f))", L2835=""), "Gap - Missing LIA", IF(AND(G2835="Yes", H2835=""), "Gap - Missing Art. 9 Basis", IF(OR(I2835="Invalid - Not Freely Given", I2835="Invalid - Not Specific", I2835="Invalid - Not Informed", I2835="Invalid - Ambiguous"), "Gap - Invalid Consent", "Compliant")))))</f>
        <v/>
      </c>
      <c r="O2835" s="7" t="n"/>
    </row>
    <row r="2836">
      <c r="A2836" s="7" t="n"/>
      <c r="B2836" s="7" t="n"/>
      <c r="C2836" s="7" t="n"/>
      <c r="D2836" s="7" t="n"/>
      <c r="E2836" s="7" t="n"/>
      <c r="F2836" s="7" t="n"/>
      <c r="G2836" s="7" t="n"/>
      <c r="H2836" s="7" t="n"/>
      <c r="I2836" s="7" t="n"/>
      <c r="J2836" s="7" t="n"/>
      <c r="K2836">
        <f>IF(D2836="Legitimate Interest (GDPR Art. 6(1)(f))", "Yes / Required (Sheet 3)", "")</f>
        <v/>
      </c>
      <c r="L2836" s="7" t="n"/>
      <c r="M2836" s="7" t="n"/>
      <c r="N2836">
        <f>IF(D2836="", "Gap - No Legal Basis", IF(AND(D2836="Consent (GDPR Art. 6(1)(a))", I2836="Not Captured"), "Gap - Invalid Consent", IF(AND(D2836="Legitimate Interest (GDPR Art. 6(1)(f))", L2836=""), "Gap - Missing LIA", IF(AND(G2836="Yes", H2836=""), "Gap - Missing Art. 9 Basis", IF(OR(I2836="Invalid - Not Freely Given", I2836="Invalid - Not Specific", I2836="Invalid - Not Informed", I2836="Invalid - Ambiguous"), "Gap - Invalid Consent", "Compliant")))))</f>
        <v/>
      </c>
      <c r="O2836" s="7" t="n"/>
    </row>
    <row r="2837">
      <c r="A2837" s="7" t="n"/>
      <c r="B2837" s="7" t="n"/>
      <c r="C2837" s="7" t="n"/>
      <c r="D2837" s="7" t="n"/>
      <c r="E2837" s="7" t="n"/>
      <c r="F2837" s="7" t="n"/>
      <c r="G2837" s="7" t="n"/>
      <c r="H2837" s="7" t="n"/>
      <c r="I2837" s="7" t="n"/>
      <c r="J2837" s="7" t="n"/>
      <c r="K2837">
        <f>IF(D2837="Legitimate Interest (GDPR Art. 6(1)(f))", "Yes / Required (Sheet 3)", "")</f>
        <v/>
      </c>
      <c r="L2837" s="7" t="n"/>
      <c r="M2837" s="7" t="n"/>
      <c r="N2837">
        <f>IF(D2837="", "Gap - No Legal Basis", IF(AND(D2837="Consent (GDPR Art. 6(1)(a))", I2837="Not Captured"), "Gap - Invalid Consent", IF(AND(D2837="Legitimate Interest (GDPR Art. 6(1)(f))", L2837=""), "Gap - Missing LIA", IF(AND(G2837="Yes", H2837=""), "Gap - Missing Art. 9 Basis", IF(OR(I2837="Invalid - Not Freely Given", I2837="Invalid - Not Specific", I2837="Invalid - Not Informed", I2837="Invalid - Ambiguous"), "Gap - Invalid Consent", "Compliant")))))</f>
        <v/>
      </c>
      <c r="O2837" s="7" t="n"/>
    </row>
    <row r="2838">
      <c r="A2838" s="7" t="n"/>
      <c r="B2838" s="7" t="n"/>
      <c r="C2838" s="7" t="n"/>
      <c r="D2838" s="7" t="n"/>
      <c r="E2838" s="7" t="n"/>
      <c r="F2838" s="7" t="n"/>
      <c r="G2838" s="7" t="n"/>
      <c r="H2838" s="7" t="n"/>
      <c r="I2838" s="7" t="n"/>
      <c r="J2838" s="7" t="n"/>
      <c r="K2838">
        <f>IF(D2838="Legitimate Interest (GDPR Art. 6(1)(f))", "Yes / Required (Sheet 3)", "")</f>
        <v/>
      </c>
      <c r="L2838" s="7" t="n"/>
      <c r="M2838" s="7" t="n"/>
      <c r="N2838">
        <f>IF(D2838="", "Gap - No Legal Basis", IF(AND(D2838="Consent (GDPR Art. 6(1)(a))", I2838="Not Captured"), "Gap - Invalid Consent", IF(AND(D2838="Legitimate Interest (GDPR Art. 6(1)(f))", L2838=""), "Gap - Missing LIA", IF(AND(G2838="Yes", H2838=""), "Gap - Missing Art. 9 Basis", IF(OR(I2838="Invalid - Not Freely Given", I2838="Invalid - Not Specific", I2838="Invalid - Not Informed", I2838="Invalid - Ambiguous"), "Gap - Invalid Consent", "Compliant")))))</f>
        <v/>
      </c>
      <c r="O2838" s="7" t="n"/>
    </row>
    <row r="2839">
      <c r="A2839" s="7" t="n"/>
      <c r="B2839" s="7" t="n"/>
      <c r="C2839" s="7" t="n"/>
      <c r="D2839" s="7" t="n"/>
      <c r="E2839" s="7" t="n"/>
      <c r="F2839" s="7" t="n"/>
      <c r="G2839" s="7" t="n"/>
      <c r="H2839" s="7" t="n"/>
      <c r="I2839" s="7" t="n"/>
      <c r="J2839" s="7" t="n"/>
      <c r="K2839">
        <f>IF(D2839="Legitimate Interest (GDPR Art. 6(1)(f))", "Yes / Required (Sheet 3)", "")</f>
        <v/>
      </c>
      <c r="L2839" s="7" t="n"/>
      <c r="M2839" s="7" t="n"/>
      <c r="N2839">
        <f>IF(D2839="", "Gap - No Legal Basis", IF(AND(D2839="Consent (GDPR Art. 6(1)(a))", I2839="Not Captured"), "Gap - Invalid Consent", IF(AND(D2839="Legitimate Interest (GDPR Art. 6(1)(f))", L2839=""), "Gap - Missing LIA", IF(AND(G2839="Yes", H2839=""), "Gap - Missing Art. 9 Basis", IF(OR(I2839="Invalid - Not Freely Given", I2839="Invalid - Not Specific", I2839="Invalid - Not Informed", I2839="Invalid - Ambiguous"), "Gap - Invalid Consent", "Compliant")))))</f>
        <v/>
      </c>
      <c r="O2839" s="7" t="n"/>
    </row>
    <row r="2840">
      <c r="A2840" s="7" t="n"/>
      <c r="B2840" s="7" t="n"/>
      <c r="C2840" s="7" t="n"/>
      <c r="D2840" s="7" t="n"/>
      <c r="E2840" s="7" t="n"/>
      <c r="F2840" s="7" t="n"/>
      <c r="G2840" s="7" t="n"/>
      <c r="H2840" s="7" t="n"/>
      <c r="I2840" s="7" t="n"/>
      <c r="J2840" s="7" t="n"/>
      <c r="K2840">
        <f>IF(D2840="Legitimate Interest (GDPR Art. 6(1)(f))", "Yes / Required (Sheet 3)", "")</f>
        <v/>
      </c>
      <c r="L2840" s="7" t="n"/>
      <c r="M2840" s="7" t="n"/>
      <c r="N2840">
        <f>IF(D2840="", "Gap - No Legal Basis", IF(AND(D2840="Consent (GDPR Art. 6(1)(a))", I2840="Not Captured"), "Gap - Invalid Consent", IF(AND(D2840="Legitimate Interest (GDPR Art. 6(1)(f))", L2840=""), "Gap - Missing LIA", IF(AND(G2840="Yes", H2840=""), "Gap - Missing Art. 9 Basis", IF(OR(I2840="Invalid - Not Freely Given", I2840="Invalid - Not Specific", I2840="Invalid - Not Informed", I2840="Invalid - Ambiguous"), "Gap - Invalid Consent", "Compliant")))))</f>
        <v/>
      </c>
      <c r="O2840" s="7" t="n"/>
    </row>
    <row r="2841">
      <c r="A2841" s="7" t="n"/>
      <c r="B2841" s="7" t="n"/>
      <c r="C2841" s="7" t="n"/>
      <c r="D2841" s="7" t="n"/>
      <c r="E2841" s="7" t="n"/>
      <c r="F2841" s="7" t="n"/>
      <c r="G2841" s="7" t="n"/>
      <c r="H2841" s="7" t="n"/>
      <c r="I2841" s="7" t="n"/>
      <c r="J2841" s="7" t="n"/>
      <c r="K2841">
        <f>IF(D2841="Legitimate Interest (GDPR Art. 6(1)(f))", "Yes / Required (Sheet 3)", "")</f>
        <v/>
      </c>
      <c r="L2841" s="7" t="n"/>
      <c r="M2841" s="7" t="n"/>
      <c r="N2841">
        <f>IF(D2841="", "Gap - No Legal Basis", IF(AND(D2841="Consent (GDPR Art. 6(1)(a))", I2841="Not Captured"), "Gap - Invalid Consent", IF(AND(D2841="Legitimate Interest (GDPR Art. 6(1)(f))", L2841=""), "Gap - Missing LIA", IF(AND(G2841="Yes", H2841=""), "Gap - Missing Art. 9 Basis", IF(OR(I2841="Invalid - Not Freely Given", I2841="Invalid - Not Specific", I2841="Invalid - Not Informed", I2841="Invalid - Ambiguous"), "Gap - Invalid Consent", "Compliant")))))</f>
        <v/>
      </c>
      <c r="O2841" s="7" t="n"/>
    </row>
    <row r="2842">
      <c r="A2842" s="7" t="n"/>
      <c r="B2842" s="7" t="n"/>
      <c r="C2842" s="7" t="n"/>
      <c r="D2842" s="7" t="n"/>
      <c r="E2842" s="7" t="n"/>
      <c r="F2842" s="7" t="n"/>
      <c r="G2842" s="7" t="n"/>
      <c r="H2842" s="7" t="n"/>
      <c r="I2842" s="7" t="n"/>
      <c r="J2842" s="7" t="n"/>
      <c r="K2842">
        <f>IF(D2842="Legitimate Interest (GDPR Art. 6(1)(f))", "Yes / Required (Sheet 3)", "")</f>
        <v/>
      </c>
      <c r="L2842" s="7" t="n"/>
      <c r="M2842" s="7" t="n"/>
      <c r="N2842">
        <f>IF(D2842="", "Gap - No Legal Basis", IF(AND(D2842="Consent (GDPR Art. 6(1)(a))", I2842="Not Captured"), "Gap - Invalid Consent", IF(AND(D2842="Legitimate Interest (GDPR Art. 6(1)(f))", L2842=""), "Gap - Missing LIA", IF(AND(G2842="Yes", H2842=""), "Gap - Missing Art. 9 Basis", IF(OR(I2842="Invalid - Not Freely Given", I2842="Invalid - Not Specific", I2842="Invalid - Not Informed", I2842="Invalid - Ambiguous"), "Gap - Invalid Consent", "Compliant")))))</f>
        <v/>
      </c>
      <c r="O2842" s="7" t="n"/>
    </row>
    <row r="2843">
      <c r="A2843" s="7" t="n"/>
      <c r="B2843" s="7" t="n"/>
      <c r="C2843" s="7" t="n"/>
      <c r="D2843" s="7" t="n"/>
      <c r="E2843" s="7" t="n"/>
      <c r="F2843" s="7" t="n"/>
      <c r="G2843" s="7" t="n"/>
      <c r="H2843" s="7" t="n"/>
      <c r="I2843" s="7" t="n"/>
      <c r="J2843" s="7" t="n"/>
      <c r="K2843">
        <f>IF(D2843="Legitimate Interest (GDPR Art. 6(1)(f))", "Yes / Required (Sheet 3)", "")</f>
        <v/>
      </c>
      <c r="L2843" s="7" t="n"/>
      <c r="M2843" s="7" t="n"/>
      <c r="N2843">
        <f>IF(D2843="", "Gap - No Legal Basis", IF(AND(D2843="Consent (GDPR Art. 6(1)(a))", I2843="Not Captured"), "Gap - Invalid Consent", IF(AND(D2843="Legitimate Interest (GDPR Art. 6(1)(f))", L2843=""), "Gap - Missing LIA", IF(AND(G2843="Yes", H2843=""), "Gap - Missing Art. 9 Basis", IF(OR(I2843="Invalid - Not Freely Given", I2843="Invalid - Not Specific", I2843="Invalid - Not Informed", I2843="Invalid - Ambiguous"), "Gap - Invalid Consent", "Compliant")))))</f>
        <v/>
      </c>
      <c r="O2843" s="7" t="n"/>
    </row>
    <row r="2844">
      <c r="A2844" s="7" t="n"/>
      <c r="B2844" s="7" t="n"/>
      <c r="C2844" s="7" t="n"/>
      <c r="D2844" s="7" t="n"/>
      <c r="E2844" s="7" t="n"/>
      <c r="F2844" s="7" t="n"/>
      <c r="G2844" s="7" t="n"/>
      <c r="H2844" s="7" t="n"/>
      <c r="I2844" s="7" t="n"/>
      <c r="J2844" s="7" t="n"/>
      <c r="K2844">
        <f>IF(D2844="Legitimate Interest (GDPR Art. 6(1)(f))", "Yes / Required (Sheet 3)", "")</f>
        <v/>
      </c>
      <c r="L2844" s="7" t="n"/>
      <c r="M2844" s="7" t="n"/>
      <c r="N2844">
        <f>IF(D2844="", "Gap - No Legal Basis", IF(AND(D2844="Consent (GDPR Art. 6(1)(a))", I2844="Not Captured"), "Gap - Invalid Consent", IF(AND(D2844="Legitimate Interest (GDPR Art. 6(1)(f))", L2844=""), "Gap - Missing LIA", IF(AND(G2844="Yes", H2844=""), "Gap - Missing Art. 9 Basis", IF(OR(I2844="Invalid - Not Freely Given", I2844="Invalid - Not Specific", I2844="Invalid - Not Informed", I2844="Invalid - Ambiguous"), "Gap - Invalid Consent", "Compliant")))))</f>
        <v/>
      </c>
      <c r="O2844" s="7" t="n"/>
    </row>
    <row r="2845">
      <c r="A2845" s="7" t="n"/>
      <c r="B2845" s="7" t="n"/>
      <c r="C2845" s="7" t="n"/>
      <c r="D2845" s="7" t="n"/>
      <c r="E2845" s="7" t="n"/>
      <c r="F2845" s="7" t="n"/>
      <c r="G2845" s="7" t="n"/>
      <c r="H2845" s="7" t="n"/>
      <c r="I2845" s="7" t="n"/>
      <c r="J2845" s="7" t="n"/>
      <c r="K2845">
        <f>IF(D2845="Legitimate Interest (GDPR Art. 6(1)(f))", "Yes / Required (Sheet 3)", "")</f>
        <v/>
      </c>
      <c r="L2845" s="7" t="n"/>
      <c r="M2845" s="7" t="n"/>
      <c r="N2845">
        <f>IF(D2845="", "Gap - No Legal Basis", IF(AND(D2845="Consent (GDPR Art. 6(1)(a))", I2845="Not Captured"), "Gap - Invalid Consent", IF(AND(D2845="Legitimate Interest (GDPR Art. 6(1)(f))", L2845=""), "Gap - Missing LIA", IF(AND(G2845="Yes", H2845=""), "Gap - Missing Art. 9 Basis", IF(OR(I2845="Invalid - Not Freely Given", I2845="Invalid - Not Specific", I2845="Invalid - Not Informed", I2845="Invalid - Ambiguous"), "Gap - Invalid Consent", "Compliant")))))</f>
        <v/>
      </c>
      <c r="O2845" s="7" t="n"/>
    </row>
    <row r="2846">
      <c r="A2846" s="7" t="n"/>
      <c r="B2846" s="7" t="n"/>
      <c r="C2846" s="7" t="n"/>
      <c r="D2846" s="7" t="n"/>
      <c r="E2846" s="7" t="n"/>
      <c r="F2846" s="7" t="n"/>
      <c r="G2846" s="7" t="n"/>
      <c r="H2846" s="7" t="n"/>
      <c r="I2846" s="7" t="n"/>
      <c r="J2846" s="7" t="n"/>
      <c r="K2846">
        <f>IF(D2846="Legitimate Interest (GDPR Art. 6(1)(f))", "Yes / Required (Sheet 3)", "")</f>
        <v/>
      </c>
      <c r="L2846" s="7" t="n"/>
      <c r="M2846" s="7" t="n"/>
      <c r="N2846">
        <f>IF(D2846="", "Gap - No Legal Basis", IF(AND(D2846="Consent (GDPR Art. 6(1)(a))", I2846="Not Captured"), "Gap - Invalid Consent", IF(AND(D2846="Legitimate Interest (GDPR Art. 6(1)(f))", L2846=""), "Gap - Missing LIA", IF(AND(G2846="Yes", H2846=""), "Gap - Missing Art. 9 Basis", IF(OR(I2846="Invalid - Not Freely Given", I2846="Invalid - Not Specific", I2846="Invalid - Not Informed", I2846="Invalid - Ambiguous"), "Gap - Invalid Consent", "Compliant")))))</f>
        <v/>
      </c>
      <c r="O2846" s="7" t="n"/>
    </row>
    <row r="2847">
      <c r="A2847" s="7" t="n"/>
      <c r="B2847" s="7" t="n"/>
      <c r="C2847" s="7" t="n"/>
      <c r="D2847" s="7" t="n"/>
      <c r="E2847" s="7" t="n"/>
      <c r="F2847" s="7" t="n"/>
      <c r="G2847" s="7" t="n"/>
      <c r="H2847" s="7" t="n"/>
      <c r="I2847" s="7" t="n"/>
      <c r="J2847" s="7" t="n"/>
      <c r="K2847">
        <f>IF(D2847="Legitimate Interest (GDPR Art. 6(1)(f))", "Yes / Required (Sheet 3)", "")</f>
        <v/>
      </c>
      <c r="L2847" s="7" t="n"/>
      <c r="M2847" s="7" t="n"/>
      <c r="N2847">
        <f>IF(D2847="", "Gap - No Legal Basis", IF(AND(D2847="Consent (GDPR Art. 6(1)(a))", I2847="Not Captured"), "Gap - Invalid Consent", IF(AND(D2847="Legitimate Interest (GDPR Art. 6(1)(f))", L2847=""), "Gap - Missing LIA", IF(AND(G2847="Yes", H2847=""), "Gap - Missing Art. 9 Basis", IF(OR(I2847="Invalid - Not Freely Given", I2847="Invalid - Not Specific", I2847="Invalid - Not Informed", I2847="Invalid - Ambiguous"), "Gap - Invalid Consent", "Compliant")))))</f>
        <v/>
      </c>
      <c r="O2847" s="7" t="n"/>
    </row>
    <row r="2848">
      <c r="A2848" s="7" t="n"/>
      <c r="B2848" s="7" t="n"/>
      <c r="C2848" s="7" t="n"/>
      <c r="D2848" s="7" t="n"/>
      <c r="E2848" s="7" t="n"/>
      <c r="F2848" s="7" t="n"/>
      <c r="G2848" s="7" t="n"/>
      <c r="H2848" s="7" t="n"/>
      <c r="I2848" s="7" t="n"/>
      <c r="J2848" s="7" t="n"/>
      <c r="K2848">
        <f>IF(D2848="Legitimate Interest (GDPR Art. 6(1)(f))", "Yes / Required (Sheet 3)", "")</f>
        <v/>
      </c>
      <c r="L2848" s="7" t="n"/>
      <c r="M2848" s="7" t="n"/>
      <c r="N2848">
        <f>IF(D2848="", "Gap - No Legal Basis", IF(AND(D2848="Consent (GDPR Art. 6(1)(a))", I2848="Not Captured"), "Gap - Invalid Consent", IF(AND(D2848="Legitimate Interest (GDPR Art. 6(1)(f))", L2848=""), "Gap - Missing LIA", IF(AND(G2848="Yes", H2848=""), "Gap - Missing Art. 9 Basis", IF(OR(I2848="Invalid - Not Freely Given", I2848="Invalid - Not Specific", I2848="Invalid - Not Informed", I2848="Invalid - Ambiguous"), "Gap - Invalid Consent", "Compliant")))))</f>
        <v/>
      </c>
      <c r="O2848" s="7" t="n"/>
    </row>
    <row r="2849">
      <c r="A2849" s="7" t="n"/>
      <c r="B2849" s="7" t="n"/>
      <c r="C2849" s="7" t="n"/>
      <c r="D2849" s="7" t="n"/>
      <c r="E2849" s="7" t="n"/>
      <c r="F2849" s="7" t="n"/>
      <c r="G2849" s="7" t="n"/>
      <c r="H2849" s="7" t="n"/>
      <c r="I2849" s="7" t="n"/>
      <c r="J2849" s="7" t="n"/>
      <c r="K2849">
        <f>IF(D2849="Legitimate Interest (GDPR Art. 6(1)(f))", "Yes / Required (Sheet 3)", "")</f>
        <v/>
      </c>
      <c r="L2849" s="7" t="n"/>
      <c r="M2849" s="7" t="n"/>
      <c r="N2849">
        <f>IF(D2849="", "Gap - No Legal Basis", IF(AND(D2849="Consent (GDPR Art. 6(1)(a))", I2849="Not Captured"), "Gap - Invalid Consent", IF(AND(D2849="Legitimate Interest (GDPR Art. 6(1)(f))", L2849=""), "Gap - Missing LIA", IF(AND(G2849="Yes", H2849=""), "Gap - Missing Art. 9 Basis", IF(OR(I2849="Invalid - Not Freely Given", I2849="Invalid - Not Specific", I2849="Invalid - Not Informed", I2849="Invalid - Ambiguous"), "Gap - Invalid Consent", "Compliant")))))</f>
        <v/>
      </c>
      <c r="O2849" s="7" t="n"/>
    </row>
    <row r="2850">
      <c r="A2850" s="7" t="n"/>
      <c r="B2850" s="7" t="n"/>
      <c r="C2850" s="7" t="n"/>
      <c r="D2850" s="7" t="n"/>
      <c r="E2850" s="7" t="n"/>
      <c r="F2850" s="7" t="n"/>
      <c r="G2850" s="7" t="n"/>
      <c r="H2850" s="7" t="n"/>
      <c r="I2850" s="7" t="n"/>
      <c r="J2850" s="7" t="n"/>
      <c r="K2850">
        <f>IF(D2850="Legitimate Interest (GDPR Art. 6(1)(f))", "Yes / Required (Sheet 3)", "")</f>
        <v/>
      </c>
      <c r="L2850" s="7" t="n"/>
      <c r="M2850" s="7" t="n"/>
      <c r="N2850">
        <f>IF(D2850="", "Gap - No Legal Basis", IF(AND(D2850="Consent (GDPR Art. 6(1)(a))", I2850="Not Captured"), "Gap - Invalid Consent", IF(AND(D2850="Legitimate Interest (GDPR Art. 6(1)(f))", L2850=""), "Gap - Missing LIA", IF(AND(G2850="Yes", H2850=""), "Gap - Missing Art. 9 Basis", IF(OR(I2850="Invalid - Not Freely Given", I2850="Invalid - Not Specific", I2850="Invalid - Not Informed", I2850="Invalid - Ambiguous"), "Gap - Invalid Consent", "Compliant")))))</f>
        <v/>
      </c>
      <c r="O2850" s="7" t="n"/>
    </row>
    <row r="2851">
      <c r="A2851" s="7" t="n"/>
      <c r="B2851" s="7" t="n"/>
      <c r="C2851" s="7" t="n"/>
      <c r="D2851" s="7" t="n"/>
      <c r="E2851" s="7" t="n"/>
      <c r="F2851" s="7" t="n"/>
      <c r="G2851" s="7" t="n"/>
      <c r="H2851" s="7" t="n"/>
      <c r="I2851" s="7" t="n"/>
      <c r="J2851" s="7" t="n"/>
      <c r="K2851">
        <f>IF(D2851="Legitimate Interest (GDPR Art. 6(1)(f))", "Yes / Required (Sheet 3)", "")</f>
        <v/>
      </c>
      <c r="L2851" s="7" t="n"/>
      <c r="M2851" s="7" t="n"/>
      <c r="N2851">
        <f>IF(D2851="", "Gap - No Legal Basis", IF(AND(D2851="Consent (GDPR Art. 6(1)(a))", I2851="Not Captured"), "Gap - Invalid Consent", IF(AND(D2851="Legitimate Interest (GDPR Art. 6(1)(f))", L2851=""), "Gap - Missing LIA", IF(AND(G2851="Yes", H2851=""), "Gap - Missing Art. 9 Basis", IF(OR(I2851="Invalid - Not Freely Given", I2851="Invalid - Not Specific", I2851="Invalid - Not Informed", I2851="Invalid - Ambiguous"), "Gap - Invalid Consent", "Compliant")))))</f>
        <v/>
      </c>
      <c r="O2851" s="7" t="n"/>
    </row>
    <row r="2852">
      <c r="A2852" s="7" t="n"/>
      <c r="B2852" s="7" t="n"/>
      <c r="C2852" s="7" t="n"/>
      <c r="D2852" s="7" t="n"/>
      <c r="E2852" s="7" t="n"/>
      <c r="F2852" s="7" t="n"/>
      <c r="G2852" s="7" t="n"/>
      <c r="H2852" s="7" t="n"/>
      <c r="I2852" s="7" t="n"/>
      <c r="J2852" s="7" t="n"/>
      <c r="K2852">
        <f>IF(D2852="Legitimate Interest (GDPR Art. 6(1)(f))", "Yes / Required (Sheet 3)", "")</f>
        <v/>
      </c>
      <c r="L2852" s="7" t="n"/>
      <c r="M2852" s="7" t="n"/>
      <c r="N2852">
        <f>IF(D2852="", "Gap - No Legal Basis", IF(AND(D2852="Consent (GDPR Art. 6(1)(a))", I2852="Not Captured"), "Gap - Invalid Consent", IF(AND(D2852="Legitimate Interest (GDPR Art. 6(1)(f))", L2852=""), "Gap - Missing LIA", IF(AND(G2852="Yes", H2852=""), "Gap - Missing Art. 9 Basis", IF(OR(I2852="Invalid - Not Freely Given", I2852="Invalid - Not Specific", I2852="Invalid - Not Informed", I2852="Invalid - Ambiguous"), "Gap - Invalid Consent", "Compliant")))))</f>
        <v/>
      </c>
      <c r="O2852" s="7" t="n"/>
    </row>
    <row r="2853">
      <c r="A2853" s="7" t="n"/>
      <c r="B2853" s="7" t="n"/>
      <c r="C2853" s="7" t="n"/>
      <c r="D2853" s="7" t="n"/>
      <c r="E2853" s="7" t="n"/>
      <c r="F2853" s="7" t="n"/>
      <c r="G2853" s="7" t="n"/>
      <c r="H2853" s="7" t="n"/>
      <c r="I2853" s="7" t="n"/>
      <c r="J2853" s="7" t="n"/>
      <c r="K2853">
        <f>IF(D2853="Legitimate Interest (GDPR Art. 6(1)(f))", "Yes / Required (Sheet 3)", "")</f>
        <v/>
      </c>
      <c r="L2853" s="7" t="n"/>
      <c r="M2853" s="7" t="n"/>
      <c r="N2853">
        <f>IF(D2853="", "Gap - No Legal Basis", IF(AND(D2853="Consent (GDPR Art. 6(1)(a))", I2853="Not Captured"), "Gap - Invalid Consent", IF(AND(D2853="Legitimate Interest (GDPR Art. 6(1)(f))", L2853=""), "Gap - Missing LIA", IF(AND(G2853="Yes", H2853=""), "Gap - Missing Art. 9 Basis", IF(OR(I2853="Invalid - Not Freely Given", I2853="Invalid - Not Specific", I2853="Invalid - Not Informed", I2853="Invalid - Ambiguous"), "Gap - Invalid Consent", "Compliant")))))</f>
        <v/>
      </c>
      <c r="O2853" s="7" t="n"/>
    </row>
    <row r="2854">
      <c r="A2854" s="7" t="n"/>
      <c r="B2854" s="7" t="n"/>
      <c r="C2854" s="7" t="n"/>
      <c r="D2854" s="7" t="n"/>
      <c r="E2854" s="7" t="n"/>
      <c r="F2854" s="7" t="n"/>
      <c r="G2854" s="7" t="n"/>
      <c r="H2854" s="7" t="n"/>
      <c r="I2854" s="7" t="n"/>
      <c r="J2854" s="7" t="n"/>
      <c r="K2854">
        <f>IF(D2854="Legitimate Interest (GDPR Art. 6(1)(f))", "Yes / Required (Sheet 3)", "")</f>
        <v/>
      </c>
      <c r="L2854" s="7" t="n"/>
      <c r="M2854" s="7" t="n"/>
      <c r="N2854">
        <f>IF(D2854="", "Gap - No Legal Basis", IF(AND(D2854="Consent (GDPR Art. 6(1)(a))", I2854="Not Captured"), "Gap - Invalid Consent", IF(AND(D2854="Legitimate Interest (GDPR Art. 6(1)(f))", L2854=""), "Gap - Missing LIA", IF(AND(G2854="Yes", H2854=""), "Gap - Missing Art. 9 Basis", IF(OR(I2854="Invalid - Not Freely Given", I2854="Invalid - Not Specific", I2854="Invalid - Not Informed", I2854="Invalid - Ambiguous"), "Gap - Invalid Consent", "Compliant")))))</f>
        <v/>
      </c>
      <c r="O2854" s="7" t="n"/>
    </row>
    <row r="2855">
      <c r="A2855" s="7" t="n"/>
      <c r="B2855" s="7" t="n"/>
      <c r="C2855" s="7" t="n"/>
      <c r="D2855" s="7" t="n"/>
      <c r="E2855" s="7" t="n"/>
      <c r="F2855" s="7" t="n"/>
      <c r="G2855" s="7" t="n"/>
      <c r="H2855" s="7" t="n"/>
      <c r="I2855" s="7" t="n"/>
      <c r="J2855" s="7" t="n"/>
      <c r="K2855">
        <f>IF(D2855="Legitimate Interest (GDPR Art. 6(1)(f))", "Yes / Required (Sheet 3)", "")</f>
        <v/>
      </c>
      <c r="L2855" s="7" t="n"/>
      <c r="M2855" s="7" t="n"/>
      <c r="N2855">
        <f>IF(D2855="", "Gap - No Legal Basis", IF(AND(D2855="Consent (GDPR Art. 6(1)(a))", I2855="Not Captured"), "Gap - Invalid Consent", IF(AND(D2855="Legitimate Interest (GDPR Art. 6(1)(f))", L2855=""), "Gap - Missing LIA", IF(AND(G2855="Yes", H2855=""), "Gap - Missing Art. 9 Basis", IF(OR(I2855="Invalid - Not Freely Given", I2855="Invalid - Not Specific", I2855="Invalid - Not Informed", I2855="Invalid - Ambiguous"), "Gap - Invalid Consent", "Compliant")))))</f>
        <v/>
      </c>
      <c r="O2855" s="7" t="n"/>
    </row>
    <row r="2856">
      <c r="A2856" s="7" t="n"/>
      <c r="B2856" s="7" t="n"/>
      <c r="C2856" s="7" t="n"/>
      <c r="D2856" s="7" t="n"/>
      <c r="E2856" s="7" t="n"/>
      <c r="F2856" s="7" t="n"/>
      <c r="G2856" s="7" t="n"/>
      <c r="H2856" s="7" t="n"/>
      <c r="I2856" s="7" t="n"/>
      <c r="J2856" s="7" t="n"/>
      <c r="K2856">
        <f>IF(D2856="Legitimate Interest (GDPR Art. 6(1)(f))", "Yes / Required (Sheet 3)", "")</f>
        <v/>
      </c>
      <c r="L2856" s="7" t="n"/>
      <c r="M2856" s="7" t="n"/>
      <c r="N2856">
        <f>IF(D2856="", "Gap - No Legal Basis", IF(AND(D2856="Consent (GDPR Art. 6(1)(a))", I2856="Not Captured"), "Gap - Invalid Consent", IF(AND(D2856="Legitimate Interest (GDPR Art. 6(1)(f))", L2856=""), "Gap - Missing LIA", IF(AND(G2856="Yes", H2856=""), "Gap - Missing Art. 9 Basis", IF(OR(I2856="Invalid - Not Freely Given", I2856="Invalid - Not Specific", I2856="Invalid - Not Informed", I2856="Invalid - Ambiguous"), "Gap - Invalid Consent", "Compliant")))))</f>
        <v/>
      </c>
      <c r="O2856" s="7" t="n"/>
    </row>
    <row r="2857">
      <c r="A2857" s="7" t="n"/>
      <c r="B2857" s="7" t="n"/>
      <c r="C2857" s="7" t="n"/>
      <c r="D2857" s="7" t="n"/>
      <c r="E2857" s="7" t="n"/>
      <c r="F2857" s="7" t="n"/>
      <c r="G2857" s="7" t="n"/>
      <c r="H2857" s="7" t="n"/>
      <c r="I2857" s="7" t="n"/>
      <c r="J2857" s="7" t="n"/>
      <c r="K2857">
        <f>IF(D2857="Legitimate Interest (GDPR Art. 6(1)(f))", "Yes / Required (Sheet 3)", "")</f>
        <v/>
      </c>
      <c r="L2857" s="7" t="n"/>
      <c r="M2857" s="7" t="n"/>
      <c r="N2857">
        <f>IF(D2857="", "Gap - No Legal Basis", IF(AND(D2857="Consent (GDPR Art. 6(1)(a))", I2857="Not Captured"), "Gap - Invalid Consent", IF(AND(D2857="Legitimate Interest (GDPR Art. 6(1)(f))", L2857=""), "Gap - Missing LIA", IF(AND(G2857="Yes", H2857=""), "Gap - Missing Art. 9 Basis", IF(OR(I2857="Invalid - Not Freely Given", I2857="Invalid - Not Specific", I2857="Invalid - Not Informed", I2857="Invalid - Ambiguous"), "Gap - Invalid Consent", "Compliant")))))</f>
        <v/>
      </c>
      <c r="O2857" s="7" t="n"/>
    </row>
    <row r="2858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7" t="n"/>
      <c r="J2858" s="7" t="n"/>
      <c r="K2858">
        <f>IF(D2858="Legitimate Interest (GDPR Art. 6(1)(f))", "Yes / Required (Sheet 3)", "")</f>
        <v/>
      </c>
      <c r="L2858" s="7" t="n"/>
      <c r="M2858" s="7" t="n"/>
      <c r="N2858">
        <f>IF(D2858="", "Gap - No Legal Basis", IF(AND(D2858="Consent (GDPR Art. 6(1)(a))", I2858="Not Captured"), "Gap - Invalid Consent", IF(AND(D2858="Legitimate Interest (GDPR Art. 6(1)(f))", L2858=""), "Gap - Missing LIA", IF(AND(G2858="Yes", H2858=""), "Gap - Missing Art. 9 Basis", IF(OR(I2858="Invalid - Not Freely Given", I2858="Invalid - Not Specific", I2858="Invalid - Not Informed", I2858="Invalid - Ambiguous"), "Gap - Invalid Consent", "Compliant")))))</f>
        <v/>
      </c>
      <c r="O2858" s="7" t="n"/>
    </row>
    <row r="2859">
      <c r="A2859" s="7" t="n"/>
      <c r="B2859" s="7" t="n"/>
      <c r="C2859" s="7" t="n"/>
      <c r="D2859" s="7" t="n"/>
      <c r="E2859" s="7" t="n"/>
      <c r="F2859" s="7" t="n"/>
      <c r="G2859" s="7" t="n"/>
      <c r="H2859" s="7" t="n"/>
      <c r="I2859" s="7" t="n"/>
      <c r="J2859" s="7" t="n"/>
      <c r="K2859">
        <f>IF(D2859="Legitimate Interest (GDPR Art. 6(1)(f))", "Yes / Required (Sheet 3)", "")</f>
        <v/>
      </c>
      <c r="L2859" s="7" t="n"/>
      <c r="M2859" s="7" t="n"/>
      <c r="N2859">
        <f>IF(D2859="", "Gap - No Legal Basis", IF(AND(D2859="Consent (GDPR Art. 6(1)(a))", I2859="Not Captured"), "Gap - Invalid Consent", IF(AND(D2859="Legitimate Interest (GDPR Art. 6(1)(f))", L2859=""), "Gap - Missing LIA", IF(AND(G2859="Yes", H2859=""), "Gap - Missing Art. 9 Basis", IF(OR(I2859="Invalid - Not Freely Given", I2859="Invalid - Not Specific", I2859="Invalid - Not Informed", I2859="Invalid - Ambiguous"), "Gap - Invalid Consent", "Compliant")))))</f>
        <v/>
      </c>
      <c r="O2859" s="7" t="n"/>
    </row>
    <row r="2860">
      <c r="A2860" s="7" t="n"/>
      <c r="B2860" s="7" t="n"/>
      <c r="C2860" s="7" t="n"/>
      <c r="D2860" s="7" t="n"/>
      <c r="E2860" s="7" t="n"/>
      <c r="F2860" s="7" t="n"/>
      <c r="G2860" s="7" t="n"/>
      <c r="H2860" s="7" t="n"/>
      <c r="I2860" s="7" t="n"/>
      <c r="J2860" s="7" t="n"/>
      <c r="K2860">
        <f>IF(D2860="Legitimate Interest (GDPR Art. 6(1)(f))", "Yes / Required (Sheet 3)", "")</f>
        <v/>
      </c>
      <c r="L2860" s="7" t="n"/>
      <c r="M2860" s="7" t="n"/>
      <c r="N2860">
        <f>IF(D2860="", "Gap - No Legal Basis", IF(AND(D2860="Consent (GDPR Art. 6(1)(a))", I2860="Not Captured"), "Gap - Invalid Consent", IF(AND(D2860="Legitimate Interest (GDPR Art. 6(1)(f))", L2860=""), "Gap - Missing LIA", IF(AND(G2860="Yes", H2860=""), "Gap - Missing Art. 9 Basis", IF(OR(I2860="Invalid - Not Freely Given", I2860="Invalid - Not Specific", I2860="Invalid - Not Informed", I2860="Invalid - Ambiguous"), "Gap - Invalid Consent", "Compliant")))))</f>
        <v/>
      </c>
      <c r="O2860" s="7" t="n"/>
    </row>
    <row r="2861">
      <c r="A2861" s="7" t="n"/>
      <c r="B2861" s="7" t="n"/>
      <c r="C2861" s="7" t="n"/>
      <c r="D2861" s="7" t="n"/>
      <c r="E2861" s="7" t="n"/>
      <c r="F2861" s="7" t="n"/>
      <c r="G2861" s="7" t="n"/>
      <c r="H2861" s="7" t="n"/>
      <c r="I2861" s="7" t="n"/>
      <c r="J2861" s="7" t="n"/>
      <c r="K2861">
        <f>IF(D2861="Legitimate Interest (GDPR Art. 6(1)(f))", "Yes / Required (Sheet 3)", "")</f>
        <v/>
      </c>
      <c r="L2861" s="7" t="n"/>
      <c r="M2861" s="7" t="n"/>
      <c r="N2861">
        <f>IF(D2861="", "Gap - No Legal Basis", IF(AND(D2861="Consent (GDPR Art. 6(1)(a))", I2861="Not Captured"), "Gap - Invalid Consent", IF(AND(D2861="Legitimate Interest (GDPR Art. 6(1)(f))", L2861=""), "Gap - Missing LIA", IF(AND(G2861="Yes", H2861=""), "Gap - Missing Art. 9 Basis", IF(OR(I2861="Invalid - Not Freely Given", I2861="Invalid - Not Specific", I2861="Invalid - Not Informed", I2861="Invalid - Ambiguous"), "Gap - Invalid Consent", "Compliant")))))</f>
        <v/>
      </c>
      <c r="O2861" s="7" t="n"/>
    </row>
    <row r="2862">
      <c r="A2862" s="7" t="n"/>
      <c r="B2862" s="7" t="n"/>
      <c r="C2862" s="7" t="n"/>
      <c r="D2862" s="7" t="n"/>
      <c r="E2862" s="7" t="n"/>
      <c r="F2862" s="7" t="n"/>
      <c r="G2862" s="7" t="n"/>
      <c r="H2862" s="7" t="n"/>
      <c r="I2862" s="7" t="n"/>
      <c r="J2862" s="7" t="n"/>
      <c r="K2862">
        <f>IF(D2862="Legitimate Interest (GDPR Art. 6(1)(f))", "Yes / Required (Sheet 3)", "")</f>
        <v/>
      </c>
      <c r="L2862" s="7" t="n"/>
      <c r="M2862" s="7" t="n"/>
      <c r="N2862">
        <f>IF(D2862="", "Gap - No Legal Basis", IF(AND(D2862="Consent (GDPR Art. 6(1)(a))", I2862="Not Captured"), "Gap - Invalid Consent", IF(AND(D2862="Legitimate Interest (GDPR Art. 6(1)(f))", L2862=""), "Gap - Missing LIA", IF(AND(G2862="Yes", H2862=""), "Gap - Missing Art. 9 Basis", IF(OR(I2862="Invalid - Not Freely Given", I2862="Invalid - Not Specific", I2862="Invalid - Not Informed", I2862="Invalid - Ambiguous"), "Gap - Invalid Consent", "Compliant")))))</f>
        <v/>
      </c>
      <c r="O2862" s="7" t="n"/>
    </row>
    <row r="2863">
      <c r="A2863" s="7" t="n"/>
      <c r="B2863" s="7" t="n"/>
      <c r="C2863" s="7" t="n"/>
      <c r="D2863" s="7" t="n"/>
      <c r="E2863" s="7" t="n"/>
      <c r="F2863" s="7" t="n"/>
      <c r="G2863" s="7" t="n"/>
      <c r="H2863" s="7" t="n"/>
      <c r="I2863" s="7" t="n"/>
      <c r="J2863" s="7" t="n"/>
      <c r="K2863">
        <f>IF(D2863="Legitimate Interest (GDPR Art. 6(1)(f))", "Yes / Required (Sheet 3)", "")</f>
        <v/>
      </c>
      <c r="L2863" s="7" t="n"/>
      <c r="M2863" s="7" t="n"/>
      <c r="N2863">
        <f>IF(D2863="", "Gap - No Legal Basis", IF(AND(D2863="Consent (GDPR Art. 6(1)(a))", I2863="Not Captured"), "Gap - Invalid Consent", IF(AND(D2863="Legitimate Interest (GDPR Art. 6(1)(f))", L2863=""), "Gap - Missing LIA", IF(AND(G2863="Yes", H2863=""), "Gap - Missing Art. 9 Basis", IF(OR(I2863="Invalid - Not Freely Given", I2863="Invalid - Not Specific", I2863="Invalid - Not Informed", I2863="Invalid - Ambiguous"), "Gap - Invalid Consent", "Compliant")))))</f>
        <v/>
      </c>
      <c r="O2863" s="7" t="n"/>
    </row>
    <row r="2864">
      <c r="A2864" s="7" t="n"/>
      <c r="B2864" s="7" t="n"/>
      <c r="C2864" s="7" t="n"/>
      <c r="D2864" s="7" t="n"/>
      <c r="E2864" s="7" t="n"/>
      <c r="F2864" s="7" t="n"/>
      <c r="G2864" s="7" t="n"/>
      <c r="H2864" s="7" t="n"/>
      <c r="I2864" s="7" t="n"/>
      <c r="J2864" s="7" t="n"/>
      <c r="K2864">
        <f>IF(D2864="Legitimate Interest (GDPR Art. 6(1)(f))", "Yes / Required (Sheet 3)", "")</f>
        <v/>
      </c>
      <c r="L2864" s="7" t="n"/>
      <c r="M2864" s="7" t="n"/>
      <c r="N2864">
        <f>IF(D2864="", "Gap - No Legal Basis", IF(AND(D2864="Consent (GDPR Art. 6(1)(a))", I2864="Not Captured"), "Gap - Invalid Consent", IF(AND(D2864="Legitimate Interest (GDPR Art. 6(1)(f))", L2864=""), "Gap - Missing LIA", IF(AND(G2864="Yes", H2864=""), "Gap - Missing Art. 9 Basis", IF(OR(I2864="Invalid - Not Freely Given", I2864="Invalid - Not Specific", I2864="Invalid - Not Informed", I2864="Invalid - Ambiguous"), "Gap - Invalid Consent", "Compliant")))))</f>
        <v/>
      </c>
      <c r="O2864" s="7" t="n"/>
    </row>
    <row r="2865">
      <c r="A2865" s="7" t="n"/>
      <c r="B2865" s="7" t="n"/>
      <c r="C2865" s="7" t="n"/>
      <c r="D2865" s="7" t="n"/>
      <c r="E2865" s="7" t="n"/>
      <c r="F2865" s="7" t="n"/>
      <c r="G2865" s="7" t="n"/>
      <c r="H2865" s="7" t="n"/>
      <c r="I2865" s="7" t="n"/>
      <c r="J2865" s="7" t="n"/>
      <c r="K2865">
        <f>IF(D2865="Legitimate Interest (GDPR Art. 6(1)(f))", "Yes / Required (Sheet 3)", "")</f>
        <v/>
      </c>
      <c r="L2865" s="7" t="n"/>
      <c r="M2865" s="7" t="n"/>
      <c r="N2865">
        <f>IF(D2865="", "Gap - No Legal Basis", IF(AND(D2865="Consent (GDPR Art. 6(1)(a))", I2865="Not Captured"), "Gap - Invalid Consent", IF(AND(D2865="Legitimate Interest (GDPR Art. 6(1)(f))", L2865=""), "Gap - Missing LIA", IF(AND(G2865="Yes", H2865=""), "Gap - Missing Art. 9 Basis", IF(OR(I2865="Invalid - Not Freely Given", I2865="Invalid - Not Specific", I2865="Invalid - Not Informed", I2865="Invalid - Ambiguous"), "Gap - Invalid Consent", "Compliant")))))</f>
        <v/>
      </c>
      <c r="O2865" s="7" t="n"/>
    </row>
    <row r="2866">
      <c r="A2866" s="7" t="n"/>
      <c r="B2866" s="7" t="n"/>
      <c r="C2866" s="7" t="n"/>
      <c r="D2866" s="7" t="n"/>
      <c r="E2866" s="7" t="n"/>
      <c r="F2866" s="7" t="n"/>
      <c r="G2866" s="7" t="n"/>
      <c r="H2866" s="7" t="n"/>
      <c r="I2866" s="7" t="n"/>
      <c r="J2866" s="7" t="n"/>
      <c r="K2866">
        <f>IF(D2866="Legitimate Interest (GDPR Art. 6(1)(f))", "Yes / Required (Sheet 3)", "")</f>
        <v/>
      </c>
      <c r="L2866" s="7" t="n"/>
      <c r="M2866" s="7" t="n"/>
      <c r="N2866">
        <f>IF(D2866="", "Gap - No Legal Basis", IF(AND(D2866="Consent (GDPR Art. 6(1)(a))", I2866="Not Captured"), "Gap - Invalid Consent", IF(AND(D2866="Legitimate Interest (GDPR Art. 6(1)(f))", L2866=""), "Gap - Missing LIA", IF(AND(G2866="Yes", H2866=""), "Gap - Missing Art. 9 Basis", IF(OR(I2866="Invalid - Not Freely Given", I2866="Invalid - Not Specific", I2866="Invalid - Not Informed", I2866="Invalid - Ambiguous"), "Gap - Invalid Consent", "Compliant")))))</f>
        <v/>
      </c>
      <c r="O2866" s="7" t="n"/>
    </row>
    <row r="2867">
      <c r="A2867" s="7" t="n"/>
      <c r="B2867" s="7" t="n"/>
      <c r="C2867" s="7" t="n"/>
      <c r="D2867" s="7" t="n"/>
      <c r="E2867" s="7" t="n"/>
      <c r="F2867" s="7" t="n"/>
      <c r="G2867" s="7" t="n"/>
      <c r="H2867" s="7" t="n"/>
      <c r="I2867" s="7" t="n"/>
      <c r="J2867" s="7" t="n"/>
      <c r="K2867">
        <f>IF(D2867="Legitimate Interest (GDPR Art. 6(1)(f))", "Yes / Required (Sheet 3)", "")</f>
        <v/>
      </c>
      <c r="L2867" s="7" t="n"/>
      <c r="M2867" s="7" t="n"/>
      <c r="N2867">
        <f>IF(D2867="", "Gap - No Legal Basis", IF(AND(D2867="Consent (GDPR Art. 6(1)(a))", I2867="Not Captured"), "Gap - Invalid Consent", IF(AND(D2867="Legitimate Interest (GDPR Art. 6(1)(f))", L2867=""), "Gap - Missing LIA", IF(AND(G2867="Yes", H2867=""), "Gap - Missing Art. 9 Basis", IF(OR(I2867="Invalid - Not Freely Given", I2867="Invalid - Not Specific", I2867="Invalid - Not Informed", I2867="Invalid - Ambiguous"), "Gap - Invalid Consent", "Compliant")))))</f>
        <v/>
      </c>
      <c r="O2867" s="7" t="n"/>
    </row>
    <row r="2868">
      <c r="A2868" s="7" t="n"/>
      <c r="B2868" s="7" t="n"/>
      <c r="C2868" s="7" t="n"/>
      <c r="D2868" s="7" t="n"/>
      <c r="E2868" s="7" t="n"/>
      <c r="F2868" s="7" t="n"/>
      <c r="G2868" s="7" t="n"/>
      <c r="H2868" s="7" t="n"/>
      <c r="I2868" s="7" t="n"/>
      <c r="J2868" s="7" t="n"/>
      <c r="K2868">
        <f>IF(D2868="Legitimate Interest (GDPR Art. 6(1)(f))", "Yes / Required (Sheet 3)", "")</f>
        <v/>
      </c>
      <c r="L2868" s="7" t="n"/>
      <c r="M2868" s="7" t="n"/>
      <c r="N2868">
        <f>IF(D2868="", "Gap - No Legal Basis", IF(AND(D2868="Consent (GDPR Art. 6(1)(a))", I2868="Not Captured"), "Gap - Invalid Consent", IF(AND(D2868="Legitimate Interest (GDPR Art. 6(1)(f))", L2868=""), "Gap - Missing LIA", IF(AND(G2868="Yes", H2868=""), "Gap - Missing Art. 9 Basis", IF(OR(I2868="Invalid - Not Freely Given", I2868="Invalid - Not Specific", I2868="Invalid - Not Informed", I2868="Invalid - Ambiguous"), "Gap - Invalid Consent", "Compliant")))))</f>
        <v/>
      </c>
      <c r="O2868" s="7" t="n"/>
    </row>
    <row r="2869">
      <c r="A2869" s="7" t="n"/>
      <c r="B2869" s="7" t="n"/>
      <c r="C2869" s="7" t="n"/>
      <c r="D2869" s="7" t="n"/>
      <c r="E2869" s="7" t="n"/>
      <c r="F2869" s="7" t="n"/>
      <c r="G2869" s="7" t="n"/>
      <c r="H2869" s="7" t="n"/>
      <c r="I2869" s="7" t="n"/>
      <c r="J2869" s="7" t="n"/>
      <c r="K2869">
        <f>IF(D2869="Legitimate Interest (GDPR Art. 6(1)(f))", "Yes / Required (Sheet 3)", "")</f>
        <v/>
      </c>
      <c r="L2869" s="7" t="n"/>
      <c r="M2869" s="7" t="n"/>
      <c r="N2869">
        <f>IF(D2869="", "Gap - No Legal Basis", IF(AND(D2869="Consent (GDPR Art. 6(1)(a))", I2869="Not Captured"), "Gap - Invalid Consent", IF(AND(D2869="Legitimate Interest (GDPR Art. 6(1)(f))", L2869=""), "Gap - Missing LIA", IF(AND(G2869="Yes", H2869=""), "Gap - Missing Art. 9 Basis", IF(OR(I2869="Invalid - Not Freely Given", I2869="Invalid - Not Specific", I2869="Invalid - Not Informed", I2869="Invalid - Ambiguous"), "Gap - Invalid Consent", "Compliant")))))</f>
        <v/>
      </c>
      <c r="O2869" s="7" t="n"/>
    </row>
    <row r="2870">
      <c r="A2870" s="7" t="n"/>
      <c r="B2870" s="7" t="n"/>
      <c r="C2870" s="7" t="n"/>
      <c r="D2870" s="7" t="n"/>
      <c r="E2870" s="7" t="n"/>
      <c r="F2870" s="7" t="n"/>
      <c r="G2870" s="7" t="n"/>
      <c r="H2870" s="7" t="n"/>
      <c r="I2870" s="7" t="n"/>
      <c r="J2870" s="7" t="n"/>
      <c r="K2870">
        <f>IF(D2870="Legitimate Interest (GDPR Art. 6(1)(f))", "Yes / Required (Sheet 3)", "")</f>
        <v/>
      </c>
      <c r="L2870" s="7" t="n"/>
      <c r="M2870" s="7" t="n"/>
      <c r="N2870">
        <f>IF(D2870="", "Gap - No Legal Basis", IF(AND(D2870="Consent (GDPR Art. 6(1)(a))", I2870="Not Captured"), "Gap - Invalid Consent", IF(AND(D2870="Legitimate Interest (GDPR Art. 6(1)(f))", L2870=""), "Gap - Missing LIA", IF(AND(G2870="Yes", H2870=""), "Gap - Missing Art. 9 Basis", IF(OR(I2870="Invalid - Not Freely Given", I2870="Invalid - Not Specific", I2870="Invalid - Not Informed", I2870="Invalid - Ambiguous"), "Gap - Invalid Consent", "Compliant")))))</f>
        <v/>
      </c>
      <c r="O2870" s="7" t="n"/>
    </row>
    <row r="2871">
      <c r="A2871" s="7" t="n"/>
      <c r="B2871" s="7" t="n"/>
      <c r="C2871" s="7" t="n"/>
      <c r="D2871" s="7" t="n"/>
      <c r="E2871" s="7" t="n"/>
      <c r="F2871" s="7" t="n"/>
      <c r="G2871" s="7" t="n"/>
      <c r="H2871" s="7" t="n"/>
      <c r="I2871" s="7" t="n"/>
      <c r="J2871" s="7" t="n"/>
      <c r="K2871">
        <f>IF(D2871="Legitimate Interest (GDPR Art. 6(1)(f))", "Yes / Required (Sheet 3)", "")</f>
        <v/>
      </c>
      <c r="L2871" s="7" t="n"/>
      <c r="M2871" s="7" t="n"/>
      <c r="N2871">
        <f>IF(D2871="", "Gap - No Legal Basis", IF(AND(D2871="Consent (GDPR Art. 6(1)(a))", I2871="Not Captured"), "Gap - Invalid Consent", IF(AND(D2871="Legitimate Interest (GDPR Art. 6(1)(f))", L2871=""), "Gap - Missing LIA", IF(AND(G2871="Yes", H2871=""), "Gap - Missing Art. 9 Basis", IF(OR(I2871="Invalid - Not Freely Given", I2871="Invalid - Not Specific", I2871="Invalid - Not Informed", I2871="Invalid - Ambiguous"), "Gap - Invalid Consent", "Compliant")))))</f>
        <v/>
      </c>
      <c r="O2871" s="7" t="n"/>
    </row>
    <row r="2872">
      <c r="A2872" s="7" t="n"/>
      <c r="B2872" s="7" t="n"/>
      <c r="C2872" s="7" t="n"/>
      <c r="D2872" s="7" t="n"/>
      <c r="E2872" s="7" t="n"/>
      <c r="F2872" s="7" t="n"/>
      <c r="G2872" s="7" t="n"/>
      <c r="H2872" s="7" t="n"/>
      <c r="I2872" s="7" t="n"/>
      <c r="J2872" s="7" t="n"/>
      <c r="K2872">
        <f>IF(D2872="Legitimate Interest (GDPR Art. 6(1)(f))", "Yes / Required (Sheet 3)", "")</f>
        <v/>
      </c>
      <c r="L2872" s="7" t="n"/>
      <c r="M2872" s="7" t="n"/>
      <c r="N2872">
        <f>IF(D2872="", "Gap - No Legal Basis", IF(AND(D2872="Consent (GDPR Art. 6(1)(a))", I2872="Not Captured"), "Gap - Invalid Consent", IF(AND(D2872="Legitimate Interest (GDPR Art. 6(1)(f))", L2872=""), "Gap - Missing LIA", IF(AND(G2872="Yes", H2872=""), "Gap - Missing Art. 9 Basis", IF(OR(I2872="Invalid - Not Freely Given", I2872="Invalid - Not Specific", I2872="Invalid - Not Informed", I2872="Invalid - Ambiguous"), "Gap - Invalid Consent", "Compliant")))))</f>
        <v/>
      </c>
      <c r="O2872" s="7" t="n"/>
    </row>
    <row r="2873">
      <c r="A2873" s="7" t="n"/>
      <c r="B2873" s="7" t="n"/>
      <c r="C2873" s="7" t="n"/>
      <c r="D2873" s="7" t="n"/>
      <c r="E2873" s="7" t="n"/>
      <c r="F2873" s="7" t="n"/>
      <c r="G2873" s="7" t="n"/>
      <c r="H2873" s="7" t="n"/>
      <c r="I2873" s="7" t="n"/>
      <c r="J2873" s="7" t="n"/>
      <c r="K2873">
        <f>IF(D2873="Legitimate Interest (GDPR Art. 6(1)(f))", "Yes / Required (Sheet 3)", "")</f>
        <v/>
      </c>
      <c r="L2873" s="7" t="n"/>
      <c r="M2873" s="7" t="n"/>
      <c r="N2873">
        <f>IF(D2873="", "Gap - No Legal Basis", IF(AND(D2873="Consent (GDPR Art. 6(1)(a))", I2873="Not Captured"), "Gap - Invalid Consent", IF(AND(D2873="Legitimate Interest (GDPR Art. 6(1)(f))", L2873=""), "Gap - Missing LIA", IF(AND(G2873="Yes", H2873=""), "Gap - Missing Art. 9 Basis", IF(OR(I2873="Invalid - Not Freely Given", I2873="Invalid - Not Specific", I2873="Invalid - Not Informed", I2873="Invalid - Ambiguous"), "Gap - Invalid Consent", "Compliant")))))</f>
        <v/>
      </c>
      <c r="O2873" s="7" t="n"/>
    </row>
    <row r="2874">
      <c r="A2874" s="7" t="n"/>
      <c r="B2874" s="7" t="n"/>
      <c r="C2874" s="7" t="n"/>
      <c r="D2874" s="7" t="n"/>
      <c r="E2874" s="7" t="n"/>
      <c r="F2874" s="7" t="n"/>
      <c r="G2874" s="7" t="n"/>
      <c r="H2874" s="7" t="n"/>
      <c r="I2874" s="7" t="n"/>
      <c r="J2874" s="7" t="n"/>
      <c r="K2874">
        <f>IF(D2874="Legitimate Interest (GDPR Art. 6(1)(f))", "Yes / Required (Sheet 3)", "")</f>
        <v/>
      </c>
      <c r="L2874" s="7" t="n"/>
      <c r="M2874" s="7" t="n"/>
      <c r="N2874">
        <f>IF(D2874="", "Gap - No Legal Basis", IF(AND(D2874="Consent (GDPR Art. 6(1)(a))", I2874="Not Captured"), "Gap - Invalid Consent", IF(AND(D2874="Legitimate Interest (GDPR Art. 6(1)(f))", L2874=""), "Gap - Missing LIA", IF(AND(G2874="Yes", H2874=""), "Gap - Missing Art. 9 Basis", IF(OR(I2874="Invalid - Not Freely Given", I2874="Invalid - Not Specific", I2874="Invalid - Not Informed", I2874="Invalid - Ambiguous"), "Gap - Invalid Consent", "Compliant")))))</f>
        <v/>
      </c>
      <c r="O2874" s="7" t="n"/>
    </row>
    <row r="2875">
      <c r="A2875" s="7" t="n"/>
      <c r="B2875" s="7" t="n"/>
      <c r="C2875" s="7" t="n"/>
      <c r="D2875" s="7" t="n"/>
      <c r="E2875" s="7" t="n"/>
      <c r="F2875" s="7" t="n"/>
      <c r="G2875" s="7" t="n"/>
      <c r="H2875" s="7" t="n"/>
      <c r="I2875" s="7" t="n"/>
      <c r="J2875" s="7" t="n"/>
      <c r="K2875">
        <f>IF(D2875="Legitimate Interest (GDPR Art. 6(1)(f))", "Yes / Required (Sheet 3)", "")</f>
        <v/>
      </c>
      <c r="L2875" s="7" t="n"/>
      <c r="M2875" s="7" t="n"/>
      <c r="N2875">
        <f>IF(D2875="", "Gap - No Legal Basis", IF(AND(D2875="Consent (GDPR Art. 6(1)(a))", I2875="Not Captured"), "Gap - Invalid Consent", IF(AND(D2875="Legitimate Interest (GDPR Art. 6(1)(f))", L2875=""), "Gap - Missing LIA", IF(AND(G2875="Yes", H2875=""), "Gap - Missing Art. 9 Basis", IF(OR(I2875="Invalid - Not Freely Given", I2875="Invalid - Not Specific", I2875="Invalid - Not Informed", I2875="Invalid - Ambiguous"), "Gap - Invalid Consent", "Compliant")))))</f>
        <v/>
      </c>
      <c r="O2875" s="7" t="n"/>
    </row>
    <row r="2876">
      <c r="A2876" s="7" t="n"/>
      <c r="B2876" s="7" t="n"/>
      <c r="C2876" s="7" t="n"/>
      <c r="D2876" s="7" t="n"/>
      <c r="E2876" s="7" t="n"/>
      <c r="F2876" s="7" t="n"/>
      <c r="G2876" s="7" t="n"/>
      <c r="H2876" s="7" t="n"/>
      <c r="I2876" s="7" t="n"/>
      <c r="J2876" s="7" t="n"/>
      <c r="K2876">
        <f>IF(D2876="Legitimate Interest (GDPR Art. 6(1)(f))", "Yes / Required (Sheet 3)", "")</f>
        <v/>
      </c>
      <c r="L2876" s="7" t="n"/>
      <c r="M2876" s="7" t="n"/>
      <c r="N2876">
        <f>IF(D2876="", "Gap - No Legal Basis", IF(AND(D2876="Consent (GDPR Art. 6(1)(a))", I2876="Not Captured"), "Gap - Invalid Consent", IF(AND(D2876="Legitimate Interest (GDPR Art. 6(1)(f))", L2876=""), "Gap - Missing LIA", IF(AND(G2876="Yes", H2876=""), "Gap - Missing Art. 9 Basis", IF(OR(I2876="Invalid - Not Freely Given", I2876="Invalid - Not Specific", I2876="Invalid - Not Informed", I2876="Invalid - Ambiguous"), "Gap - Invalid Consent", "Compliant")))))</f>
        <v/>
      </c>
      <c r="O2876" s="7" t="n"/>
    </row>
    <row r="2877">
      <c r="A2877" s="7" t="n"/>
      <c r="B2877" s="7" t="n"/>
      <c r="C2877" s="7" t="n"/>
      <c r="D2877" s="7" t="n"/>
      <c r="E2877" s="7" t="n"/>
      <c r="F2877" s="7" t="n"/>
      <c r="G2877" s="7" t="n"/>
      <c r="H2877" s="7" t="n"/>
      <c r="I2877" s="7" t="n"/>
      <c r="J2877" s="7" t="n"/>
      <c r="K2877">
        <f>IF(D2877="Legitimate Interest (GDPR Art. 6(1)(f))", "Yes / Required (Sheet 3)", "")</f>
        <v/>
      </c>
      <c r="L2877" s="7" t="n"/>
      <c r="M2877" s="7" t="n"/>
      <c r="N2877">
        <f>IF(D2877="", "Gap - No Legal Basis", IF(AND(D2877="Consent (GDPR Art. 6(1)(a))", I2877="Not Captured"), "Gap - Invalid Consent", IF(AND(D2877="Legitimate Interest (GDPR Art. 6(1)(f))", L2877=""), "Gap - Missing LIA", IF(AND(G2877="Yes", H2877=""), "Gap - Missing Art. 9 Basis", IF(OR(I2877="Invalid - Not Freely Given", I2877="Invalid - Not Specific", I2877="Invalid - Not Informed", I2877="Invalid - Ambiguous"), "Gap - Invalid Consent", "Compliant")))))</f>
        <v/>
      </c>
      <c r="O2877" s="7" t="n"/>
    </row>
    <row r="2878">
      <c r="A2878" s="7" t="n"/>
      <c r="B2878" s="7" t="n"/>
      <c r="C2878" s="7" t="n"/>
      <c r="D2878" s="7" t="n"/>
      <c r="E2878" s="7" t="n"/>
      <c r="F2878" s="7" t="n"/>
      <c r="G2878" s="7" t="n"/>
      <c r="H2878" s="7" t="n"/>
      <c r="I2878" s="7" t="n"/>
      <c r="J2878" s="7" t="n"/>
      <c r="K2878">
        <f>IF(D2878="Legitimate Interest (GDPR Art. 6(1)(f))", "Yes / Required (Sheet 3)", "")</f>
        <v/>
      </c>
      <c r="L2878" s="7" t="n"/>
      <c r="M2878" s="7" t="n"/>
      <c r="N2878">
        <f>IF(D2878="", "Gap - No Legal Basis", IF(AND(D2878="Consent (GDPR Art. 6(1)(a))", I2878="Not Captured"), "Gap - Invalid Consent", IF(AND(D2878="Legitimate Interest (GDPR Art. 6(1)(f))", L2878=""), "Gap - Missing LIA", IF(AND(G2878="Yes", H2878=""), "Gap - Missing Art. 9 Basis", IF(OR(I2878="Invalid - Not Freely Given", I2878="Invalid - Not Specific", I2878="Invalid - Not Informed", I2878="Invalid - Ambiguous"), "Gap - Invalid Consent", "Compliant")))))</f>
        <v/>
      </c>
      <c r="O2878" s="7" t="n"/>
    </row>
    <row r="2879">
      <c r="A2879" s="7" t="n"/>
      <c r="B2879" s="7" t="n"/>
      <c r="C2879" s="7" t="n"/>
      <c r="D2879" s="7" t="n"/>
      <c r="E2879" s="7" t="n"/>
      <c r="F2879" s="7" t="n"/>
      <c r="G2879" s="7" t="n"/>
      <c r="H2879" s="7" t="n"/>
      <c r="I2879" s="7" t="n"/>
      <c r="J2879" s="7" t="n"/>
      <c r="K2879">
        <f>IF(D2879="Legitimate Interest (GDPR Art. 6(1)(f))", "Yes / Required (Sheet 3)", "")</f>
        <v/>
      </c>
      <c r="L2879" s="7" t="n"/>
      <c r="M2879" s="7" t="n"/>
      <c r="N2879">
        <f>IF(D2879="", "Gap - No Legal Basis", IF(AND(D2879="Consent (GDPR Art. 6(1)(a))", I2879="Not Captured"), "Gap - Invalid Consent", IF(AND(D2879="Legitimate Interest (GDPR Art. 6(1)(f))", L2879=""), "Gap - Missing LIA", IF(AND(G2879="Yes", H2879=""), "Gap - Missing Art. 9 Basis", IF(OR(I2879="Invalid - Not Freely Given", I2879="Invalid - Not Specific", I2879="Invalid - Not Informed", I2879="Invalid - Ambiguous"), "Gap - Invalid Consent", "Compliant")))))</f>
        <v/>
      </c>
      <c r="O2879" s="7" t="n"/>
    </row>
    <row r="2880">
      <c r="A2880" s="7" t="n"/>
      <c r="B2880" s="7" t="n"/>
      <c r="C2880" s="7" t="n"/>
      <c r="D2880" s="7" t="n"/>
      <c r="E2880" s="7" t="n"/>
      <c r="F2880" s="7" t="n"/>
      <c r="G2880" s="7" t="n"/>
      <c r="H2880" s="7" t="n"/>
      <c r="I2880" s="7" t="n"/>
      <c r="J2880" s="7" t="n"/>
      <c r="K2880">
        <f>IF(D2880="Legitimate Interest (GDPR Art. 6(1)(f))", "Yes / Required (Sheet 3)", "")</f>
        <v/>
      </c>
      <c r="L2880" s="7" t="n"/>
      <c r="M2880" s="7" t="n"/>
      <c r="N2880">
        <f>IF(D2880="", "Gap - No Legal Basis", IF(AND(D2880="Consent (GDPR Art. 6(1)(a))", I2880="Not Captured"), "Gap - Invalid Consent", IF(AND(D2880="Legitimate Interest (GDPR Art. 6(1)(f))", L2880=""), "Gap - Missing LIA", IF(AND(G2880="Yes", H2880=""), "Gap - Missing Art. 9 Basis", IF(OR(I2880="Invalid - Not Freely Given", I2880="Invalid - Not Specific", I2880="Invalid - Not Informed", I2880="Invalid - Ambiguous"), "Gap - Invalid Consent", "Compliant")))))</f>
        <v/>
      </c>
      <c r="O2880" s="7" t="n"/>
    </row>
    <row r="2881">
      <c r="A2881" s="7" t="n"/>
      <c r="B2881" s="7" t="n"/>
      <c r="C2881" s="7" t="n"/>
      <c r="D2881" s="7" t="n"/>
      <c r="E2881" s="7" t="n"/>
      <c r="F2881" s="7" t="n"/>
      <c r="G2881" s="7" t="n"/>
      <c r="H2881" s="7" t="n"/>
      <c r="I2881" s="7" t="n"/>
      <c r="J2881" s="7" t="n"/>
      <c r="K2881">
        <f>IF(D2881="Legitimate Interest (GDPR Art. 6(1)(f))", "Yes / Required (Sheet 3)", "")</f>
        <v/>
      </c>
      <c r="L2881" s="7" t="n"/>
      <c r="M2881" s="7" t="n"/>
      <c r="N2881">
        <f>IF(D2881="", "Gap - No Legal Basis", IF(AND(D2881="Consent (GDPR Art. 6(1)(a))", I2881="Not Captured"), "Gap - Invalid Consent", IF(AND(D2881="Legitimate Interest (GDPR Art. 6(1)(f))", L2881=""), "Gap - Missing LIA", IF(AND(G2881="Yes", H2881=""), "Gap - Missing Art. 9 Basis", IF(OR(I2881="Invalid - Not Freely Given", I2881="Invalid - Not Specific", I2881="Invalid - Not Informed", I2881="Invalid - Ambiguous"), "Gap - Invalid Consent", "Compliant")))))</f>
        <v/>
      </c>
      <c r="O2881" s="7" t="n"/>
    </row>
    <row r="2882">
      <c r="A2882" s="7" t="n"/>
      <c r="B2882" s="7" t="n"/>
      <c r="C2882" s="7" t="n"/>
      <c r="D2882" s="7" t="n"/>
      <c r="E2882" s="7" t="n"/>
      <c r="F2882" s="7" t="n"/>
      <c r="G2882" s="7" t="n"/>
      <c r="H2882" s="7" t="n"/>
      <c r="I2882" s="7" t="n"/>
      <c r="J2882" s="7" t="n"/>
      <c r="K2882">
        <f>IF(D2882="Legitimate Interest (GDPR Art. 6(1)(f))", "Yes / Required (Sheet 3)", "")</f>
        <v/>
      </c>
      <c r="L2882" s="7" t="n"/>
      <c r="M2882" s="7" t="n"/>
      <c r="N2882">
        <f>IF(D2882="", "Gap - No Legal Basis", IF(AND(D2882="Consent (GDPR Art. 6(1)(a))", I2882="Not Captured"), "Gap - Invalid Consent", IF(AND(D2882="Legitimate Interest (GDPR Art. 6(1)(f))", L2882=""), "Gap - Missing LIA", IF(AND(G2882="Yes", H2882=""), "Gap - Missing Art. 9 Basis", IF(OR(I2882="Invalid - Not Freely Given", I2882="Invalid - Not Specific", I2882="Invalid - Not Informed", I2882="Invalid - Ambiguous"), "Gap - Invalid Consent", "Compliant")))))</f>
        <v/>
      </c>
      <c r="O2882" s="7" t="n"/>
    </row>
    <row r="2883">
      <c r="A2883" s="7" t="n"/>
      <c r="B2883" s="7" t="n"/>
      <c r="C2883" s="7" t="n"/>
      <c r="D2883" s="7" t="n"/>
      <c r="E2883" s="7" t="n"/>
      <c r="F2883" s="7" t="n"/>
      <c r="G2883" s="7" t="n"/>
      <c r="H2883" s="7" t="n"/>
      <c r="I2883" s="7" t="n"/>
      <c r="J2883" s="7" t="n"/>
      <c r="K2883">
        <f>IF(D2883="Legitimate Interest (GDPR Art. 6(1)(f))", "Yes / Required (Sheet 3)", "")</f>
        <v/>
      </c>
      <c r="L2883" s="7" t="n"/>
      <c r="M2883" s="7" t="n"/>
      <c r="N2883">
        <f>IF(D2883="", "Gap - No Legal Basis", IF(AND(D2883="Consent (GDPR Art. 6(1)(a))", I2883="Not Captured"), "Gap - Invalid Consent", IF(AND(D2883="Legitimate Interest (GDPR Art. 6(1)(f))", L2883=""), "Gap - Missing LIA", IF(AND(G2883="Yes", H2883=""), "Gap - Missing Art. 9 Basis", IF(OR(I2883="Invalid - Not Freely Given", I2883="Invalid - Not Specific", I2883="Invalid - Not Informed", I2883="Invalid - Ambiguous"), "Gap - Invalid Consent", "Compliant")))))</f>
        <v/>
      </c>
      <c r="O2883" s="7" t="n"/>
    </row>
    <row r="2884">
      <c r="A2884" s="7" t="n"/>
      <c r="B2884" s="7" t="n"/>
      <c r="C2884" s="7" t="n"/>
      <c r="D2884" s="7" t="n"/>
      <c r="E2884" s="7" t="n"/>
      <c r="F2884" s="7" t="n"/>
      <c r="G2884" s="7" t="n"/>
      <c r="H2884" s="7" t="n"/>
      <c r="I2884" s="7" t="n"/>
      <c r="J2884" s="7" t="n"/>
      <c r="K2884">
        <f>IF(D2884="Legitimate Interest (GDPR Art. 6(1)(f))", "Yes / Required (Sheet 3)", "")</f>
        <v/>
      </c>
      <c r="L2884" s="7" t="n"/>
      <c r="M2884" s="7" t="n"/>
      <c r="N2884">
        <f>IF(D2884="", "Gap - No Legal Basis", IF(AND(D2884="Consent (GDPR Art. 6(1)(a))", I2884="Not Captured"), "Gap - Invalid Consent", IF(AND(D2884="Legitimate Interest (GDPR Art. 6(1)(f))", L2884=""), "Gap - Missing LIA", IF(AND(G2884="Yes", H2884=""), "Gap - Missing Art. 9 Basis", IF(OR(I2884="Invalid - Not Freely Given", I2884="Invalid - Not Specific", I2884="Invalid - Not Informed", I2884="Invalid - Ambiguous"), "Gap - Invalid Consent", "Compliant")))))</f>
        <v/>
      </c>
      <c r="O2884" s="7" t="n"/>
    </row>
    <row r="2885">
      <c r="A2885" s="7" t="n"/>
      <c r="B2885" s="7" t="n"/>
      <c r="C2885" s="7" t="n"/>
      <c r="D2885" s="7" t="n"/>
      <c r="E2885" s="7" t="n"/>
      <c r="F2885" s="7" t="n"/>
      <c r="G2885" s="7" t="n"/>
      <c r="H2885" s="7" t="n"/>
      <c r="I2885" s="7" t="n"/>
      <c r="J2885" s="7" t="n"/>
      <c r="K2885">
        <f>IF(D2885="Legitimate Interest (GDPR Art. 6(1)(f))", "Yes / Required (Sheet 3)", "")</f>
        <v/>
      </c>
      <c r="L2885" s="7" t="n"/>
      <c r="M2885" s="7" t="n"/>
      <c r="N2885">
        <f>IF(D2885="", "Gap - No Legal Basis", IF(AND(D2885="Consent (GDPR Art. 6(1)(a))", I2885="Not Captured"), "Gap - Invalid Consent", IF(AND(D2885="Legitimate Interest (GDPR Art. 6(1)(f))", L2885=""), "Gap - Missing LIA", IF(AND(G2885="Yes", H2885=""), "Gap - Missing Art. 9 Basis", IF(OR(I2885="Invalid - Not Freely Given", I2885="Invalid - Not Specific", I2885="Invalid - Not Informed", I2885="Invalid - Ambiguous"), "Gap - Invalid Consent", "Compliant")))))</f>
        <v/>
      </c>
      <c r="O2885" s="7" t="n"/>
    </row>
    <row r="2886">
      <c r="A2886" s="7" t="n"/>
      <c r="B2886" s="7" t="n"/>
      <c r="C2886" s="7" t="n"/>
      <c r="D2886" s="7" t="n"/>
      <c r="E2886" s="7" t="n"/>
      <c r="F2886" s="7" t="n"/>
      <c r="G2886" s="7" t="n"/>
      <c r="H2886" s="7" t="n"/>
      <c r="I2886" s="7" t="n"/>
      <c r="J2886" s="7" t="n"/>
      <c r="K2886">
        <f>IF(D2886="Legitimate Interest (GDPR Art. 6(1)(f))", "Yes / Required (Sheet 3)", "")</f>
        <v/>
      </c>
      <c r="L2886" s="7" t="n"/>
      <c r="M2886" s="7" t="n"/>
      <c r="N2886">
        <f>IF(D2886="", "Gap - No Legal Basis", IF(AND(D2886="Consent (GDPR Art. 6(1)(a))", I2886="Not Captured"), "Gap - Invalid Consent", IF(AND(D2886="Legitimate Interest (GDPR Art. 6(1)(f))", L2886=""), "Gap - Missing LIA", IF(AND(G2886="Yes", H2886=""), "Gap - Missing Art. 9 Basis", IF(OR(I2886="Invalid - Not Freely Given", I2886="Invalid - Not Specific", I2886="Invalid - Not Informed", I2886="Invalid - Ambiguous"), "Gap - Invalid Consent", "Compliant")))))</f>
        <v/>
      </c>
      <c r="O2886" s="7" t="n"/>
    </row>
    <row r="2887">
      <c r="A2887" s="7" t="n"/>
      <c r="B2887" s="7" t="n"/>
      <c r="C2887" s="7" t="n"/>
      <c r="D2887" s="7" t="n"/>
      <c r="E2887" s="7" t="n"/>
      <c r="F2887" s="7" t="n"/>
      <c r="G2887" s="7" t="n"/>
      <c r="H2887" s="7" t="n"/>
      <c r="I2887" s="7" t="n"/>
      <c r="J2887" s="7" t="n"/>
      <c r="K2887">
        <f>IF(D2887="Legitimate Interest (GDPR Art. 6(1)(f))", "Yes / Required (Sheet 3)", "")</f>
        <v/>
      </c>
      <c r="L2887" s="7" t="n"/>
      <c r="M2887" s="7" t="n"/>
      <c r="N2887">
        <f>IF(D2887="", "Gap - No Legal Basis", IF(AND(D2887="Consent (GDPR Art. 6(1)(a))", I2887="Not Captured"), "Gap - Invalid Consent", IF(AND(D2887="Legitimate Interest (GDPR Art. 6(1)(f))", L2887=""), "Gap - Missing LIA", IF(AND(G2887="Yes", H2887=""), "Gap - Missing Art. 9 Basis", IF(OR(I2887="Invalid - Not Freely Given", I2887="Invalid - Not Specific", I2887="Invalid - Not Informed", I2887="Invalid - Ambiguous"), "Gap - Invalid Consent", "Compliant")))))</f>
        <v/>
      </c>
      <c r="O2887" s="7" t="n"/>
    </row>
    <row r="2888">
      <c r="A2888" s="7" t="n"/>
      <c r="B2888" s="7" t="n"/>
      <c r="C2888" s="7" t="n"/>
      <c r="D2888" s="7" t="n"/>
      <c r="E2888" s="7" t="n"/>
      <c r="F2888" s="7" t="n"/>
      <c r="G2888" s="7" t="n"/>
      <c r="H2888" s="7" t="n"/>
      <c r="I2888" s="7" t="n"/>
      <c r="J2888" s="7" t="n"/>
      <c r="K2888">
        <f>IF(D2888="Legitimate Interest (GDPR Art. 6(1)(f))", "Yes / Required (Sheet 3)", "")</f>
        <v/>
      </c>
      <c r="L2888" s="7" t="n"/>
      <c r="M2888" s="7" t="n"/>
      <c r="N2888">
        <f>IF(D2888="", "Gap - No Legal Basis", IF(AND(D2888="Consent (GDPR Art. 6(1)(a))", I2888="Not Captured"), "Gap - Invalid Consent", IF(AND(D2888="Legitimate Interest (GDPR Art. 6(1)(f))", L2888=""), "Gap - Missing LIA", IF(AND(G2888="Yes", H2888=""), "Gap - Missing Art. 9 Basis", IF(OR(I2888="Invalid - Not Freely Given", I2888="Invalid - Not Specific", I2888="Invalid - Not Informed", I2888="Invalid - Ambiguous"), "Gap - Invalid Consent", "Compliant")))))</f>
        <v/>
      </c>
      <c r="O2888" s="7" t="n"/>
    </row>
    <row r="2889">
      <c r="A2889" s="7" t="n"/>
      <c r="B2889" s="7" t="n"/>
      <c r="C2889" s="7" t="n"/>
      <c r="D2889" s="7" t="n"/>
      <c r="E2889" s="7" t="n"/>
      <c r="F2889" s="7" t="n"/>
      <c r="G2889" s="7" t="n"/>
      <c r="H2889" s="7" t="n"/>
      <c r="I2889" s="7" t="n"/>
      <c r="J2889" s="7" t="n"/>
      <c r="K2889">
        <f>IF(D2889="Legitimate Interest (GDPR Art. 6(1)(f))", "Yes / Required (Sheet 3)", "")</f>
        <v/>
      </c>
      <c r="L2889" s="7" t="n"/>
      <c r="M2889" s="7" t="n"/>
      <c r="N2889">
        <f>IF(D2889="", "Gap - No Legal Basis", IF(AND(D2889="Consent (GDPR Art. 6(1)(a))", I2889="Not Captured"), "Gap - Invalid Consent", IF(AND(D2889="Legitimate Interest (GDPR Art. 6(1)(f))", L2889=""), "Gap - Missing LIA", IF(AND(G2889="Yes", H2889=""), "Gap - Missing Art. 9 Basis", IF(OR(I2889="Invalid - Not Freely Given", I2889="Invalid - Not Specific", I2889="Invalid - Not Informed", I2889="Invalid - Ambiguous"), "Gap - Invalid Consent", "Compliant")))))</f>
        <v/>
      </c>
      <c r="O2889" s="7" t="n"/>
    </row>
    <row r="2890">
      <c r="A2890" s="7" t="n"/>
      <c r="B2890" s="7" t="n"/>
      <c r="C2890" s="7" t="n"/>
      <c r="D2890" s="7" t="n"/>
      <c r="E2890" s="7" t="n"/>
      <c r="F2890" s="7" t="n"/>
      <c r="G2890" s="7" t="n"/>
      <c r="H2890" s="7" t="n"/>
      <c r="I2890" s="7" t="n"/>
      <c r="J2890" s="7" t="n"/>
      <c r="K2890">
        <f>IF(D2890="Legitimate Interest (GDPR Art. 6(1)(f))", "Yes / Required (Sheet 3)", "")</f>
        <v/>
      </c>
      <c r="L2890" s="7" t="n"/>
      <c r="M2890" s="7" t="n"/>
      <c r="N2890">
        <f>IF(D2890="", "Gap - No Legal Basis", IF(AND(D2890="Consent (GDPR Art. 6(1)(a))", I2890="Not Captured"), "Gap - Invalid Consent", IF(AND(D2890="Legitimate Interest (GDPR Art. 6(1)(f))", L2890=""), "Gap - Missing LIA", IF(AND(G2890="Yes", H2890=""), "Gap - Missing Art. 9 Basis", IF(OR(I2890="Invalid - Not Freely Given", I2890="Invalid - Not Specific", I2890="Invalid - Not Informed", I2890="Invalid - Ambiguous"), "Gap - Invalid Consent", "Compliant")))))</f>
        <v/>
      </c>
      <c r="O2890" s="7" t="n"/>
    </row>
    <row r="2891">
      <c r="A2891" s="7" t="n"/>
      <c r="B2891" s="7" t="n"/>
      <c r="C2891" s="7" t="n"/>
      <c r="D2891" s="7" t="n"/>
      <c r="E2891" s="7" t="n"/>
      <c r="F2891" s="7" t="n"/>
      <c r="G2891" s="7" t="n"/>
      <c r="H2891" s="7" t="n"/>
      <c r="I2891" s="7" t="n"/>
      <c r="J2891" s="7" t="n"/>
      <c r="K2891">
        <f>IF(D2891="Legitimate Interest (GDPR Art. 6(1)(f))", "Yes / Required (Sheet 3)", "")</f>
        <v/>
      </c>
      <c r="L2891" s="7" t="n"/>
      <c r="M2891" s="7" t="n"/>
      <c r="N2891">
        <f>IF(D2891="", "Gap - No Legal Basis", IF(AND(D2891="Consent (GDPR Art. 6(1)(a))", I2891="Not Captured"), "Gap - Invalid Consent", IF(AND(D2891="Legitimate Interest (GDPR Art. 6(1)(f))", L2891=""), "Gap - Missing LIA", IF(AND(G2891="Yes", H2891=""), "Gap - Missing Art. 9 Basis", IF(OR(I2891="Invalid - Not Freely Given", I2891="Invalid - Not Specific", I2891="Invalid - Not Informed", I2891="Invalid - Ambiguous"), "Gap - Invalid Consent", "Compliant")))))</f>
        <v/>
      </c>
      <c r="O2891" s="7" t="n"/>
    </row>
    <row r="2892">
      <c r="A2892" s="7" t="n"/>
      <c r="B2892" s="7" t="n"/>
      <c r="C2892" s="7" t="n"/>
      <c r="D2892" s="7" t="n"/>
      <c r="E2892" s="7" t="n"/>
      <c r="F2892" s="7" t="n"/>
      <c r="G2892" s="7" t="n"/>
      <c r="H2892" s="7" t="n"/>
      <c r="I2892" s="7" t="n"/>
      <c r="J2892" s="7" t="n"/>
      <c r="K2892">
        <f>IF(D2892="Legitimate Interest (GDPR Art. 6(1)(f))", "Yes / Required (Sheet 3)", "")</f>
        <v/>
      </c>
      <c r="L2892" s="7" t="n"/>
      <c r="M2892" s="7" t="n"/>
      <c r="N2892">
        <f>IF(D2892="", "Gap - No Legal Basis", IF(AND(D2892="Consent (GDPR Art. 6(1)(a))", I2892="Not Captured"), "Gap - Invalid Consent", IF(AND(D2892="Legitimate Interest (GDPR Art. 6(1)(f))", L2892=""), "Gap - Missing LIA", IF(AND(G2892="Yes", H2892=""), "Gap - Missing Art. 9 Basis", IF(OR(I2892="Invalid - Not Freely Given", I2892="Invalid - Not Specific", I2892="Invalid - Not Informed", I2892="Invalid - Ambiguous"), "Gap - Invalid Consent", "Compliant")))))</f>
        <v/>
      </c>
      <c r="O2892" s="7" t="n"/>
    </row>
    <row r="2893">
      <c r="A2893" s="7" t="n"/>
      <c r="B2893" s="7" t="n"/>
      <c r="C2893" s="7" t="n"/>
      <c r="D2893" s="7" t="n"/>
      <c r="E2893" s="7" t="n"/>
      <c r="F2893" s="7" t="n"/>
      <c r="G2893" s="7" t="n"/>
      <c r="H2893" s="7" t="n"/>
      <c r="I2893" s="7" t="n"/>
      <c r="J2893" s="7" t="n"/>
      <c r="K2893">
        <f>IF(D2893="Legitimate Interest (GDPR Art. 6(1)(f))", "Yes / Required (Sheet 3)", "")</f>
        <v/>
      </c>
      <c r="L2893" s="7" t="n"/>
      <c r="M2893" s="7" t="n"/>
      <c r="N2893">
        <f>IF(D2893="", "Gap - No Legal Basis", IF(AND(D2893="Consent (GDPR Art. 6(1)(a))", I2893="Not Captured"), "Gap - Invalid Consent", IF(AND(D2893="Legitimate Interest (GDPR Art. 6(1)(f))", L2893=""), "Gap - Missing LIA", IF(AND(G2893="Yes", H2893=""), "Gap - Missing Art. 9 Basis", IF(OR(I2893="Invalid - Not Freely Given", I2893="Invalid - Not Specific", I2893="Invalid - Not Informed", I2893="Invalid - Ambiguous"), "Gap - Invalid Consent", "Compliant")))))</f>
        <v/>
      </c>
      <c r="O2893" s="7" t="n"/>
    </row>
    <row r="2894">
      <c r="A2894" s="7" t="n"/>
      <c r="B2894" s="7" t="n"/>
      <c r="C2894" s="7" t="n"/>
      <c r="D2894" s="7" t="n"/>
      <c r="E2894" s="7" t="n"/>
      <c r="F2894" s="7" t="n"/>
      <c r="G2894" s="7" t="n"/>
      <c r="H2894" s="7" t="n"/>
      <c r="I2894" s="7" t="n"/>
      <c r="J2894" s="7" t="n"/>
      <c r="K2894">
        <f>IF(D2894="Legitimate Interest (GDPR Art. 6(1)(f))", "Yes / Required (Sheet 3)", "")</f>
        <v/>
      </c>
      <c r="L2894" s="7" t="n"/>
      <c r="M2894" s="7" t="n"/>
      <c r="N2894">
        <f>IF(D2894="", "Gap - No Legal Basis", IF(AND(D2894="Consent (GDPR Art. 6(1)(a))", I2894="Not Captured"), "Gap - Invalid Consent", IF(AND(D2894="Legitimate Interest (GDPR Art. 6(1)(f))", L2894=""), "Gap - Missing LIA", IF(AND(G2894="Yes", H2894=""), "Gap - Missing Art. 9 Basis", IF(OR(I2894="Invalid - Not Freely Given", I2894="Invalid - Not Specific", I2894="Invalid - Not Informed", I2894="Invalid - Ambiguous"), "Gap - Invalid Consent", "Compliant")))))</f>
        <v/>
      </c>
      <c r="O2894" s="7" t="n"/>
    </row>
    <row r="2895">
      <c r="A2895" s="7" t="n"/>
      <c r="B2895" s="7" t="n"/>
      <c r="C2895" s="7" t="n"/>
      <c r="D2895" s="7" t="n"/>
      <c r="E2895" s="7" t="n"/>
      <c r="F2895" s="7" t="n"/>
      <c r="G2895" s="7" t="n"/>
      <c r="H2895" s="7" t="n"/>
      <c r="I2895" s="7" t="n"/>
      <c r="J2895" s="7" t="n"/>
      <c r="K2895">
        <f>IF(D2895="Legitimate Interest (GDPR Art. 6(1)(f))", "Yes / Required (Sheet 3)", "")</f>
        <v/>
      </c>
      <c r="L2895" s="7" t="n"/>
      <c r="M2895" s="7" t="n"/>
      <c r="N2895">
        <f>IF(D2895="", "Gap - No Legal Basis", IF(AND(D2895="Consent (GDPR Art. 6(1)(a))", I2895="Not Captured"), "Gap - Invalid Consent", IF(AND(D2895="Legitimate Interest (GDPR Art. 6(1)(f))", L2895=""), "Gap - Missing LIA", IF(AND(G2895="Yes", H2895=""), "Gap - Missing Art. 9 Basis", IF(OR(I2895="Invalid - Not Freely Given", I2895="Invalid - Not Specific", I2895="Invalid - Not Informed", I2895="Invalid - Ambiguous"), "Gap - Invalid Consent", "Compliant")))))</f>
        <v/>
      </c>
      <c r="O2895" s="7" t="n"/>
    </row>
    <row r="2896">
      <c r="A2896" s="7" t="n"/>
      <c r="B2896" s="7" t="n"/>
      <c r="C2896" s="7" t="n"/>
      <c r="D2896" s="7" t="n"/>
      <c r="E2896" s="7" t="n"/>
      <c r="F2896" s="7" t="n"/>
      <c r="G2896" s="7" t="n"/>
      <c r="H2896" s="7" t="n"/>
      <c r="I2896" s="7" t="n"/>
      <c r="J2896" s="7" t="n"/>
      <c r="K2896">
        <f>IF(D2896="Legitimate Interest (GDPR Art. 6(1)(f))", "Yes / Required (Sheet 3)", "")</f>
        <v/>
      </c>
      <c r="L2896" s="7" t="n"/>
      <c r="M2896" s="7" t="n"/>
      <c r="N2896">
        <f>IF(D2896="", "Gap - No Legal Basis", IF(AND(D2896="Consent (GDPR Art. 6(1)(a))", I2896="Not Captured"), "Gap - Invalid Consent", IF(AND(D2896="Legitimate Interest (GDPR Art. 6(1)(f))", L2896=""), "Gap - Missing LIA", IF(AND(G2896="Yes", H2896=""), "Gap - Missing Art. 9 Basis", IF(OR(I2896="Invalid - Not Freely Given", I2896="Invalid - Not Specific", I2896="Invalid - Not Informed", I2896="Invalid - Ambiguous"), "Gap - Invalid Consent", "Compliant")))))</f>
        <v/>
      </c>
      <c r="O2896" s="7" t="n"/>
    </row>
    <row r="2897">
      <c r="A2897" s="7" t="n"/>
      <c r="B2897" s="7" t="n"/>
      <c r="C2897" s="7" t="n"/>
      <c r="D2897" s="7" t="n"/>
      <c r="E2897" s="7" t="n"/>
      <c r="F2897" s="7" t="n"/>
      <c r="G2897" s="7" t="n"/>
      <c r="H2897" s="7" t="n"/>
      <c r="I2897" s="7" t="n"/>
      <c r="J2897" s="7" t="n"/>
      <c r="K2897">
        <f>IF(D2897="Legitimate Interest (GDPR Art. 6(1)(f))", "Yes / Required (Sheet 3)", "")</f>
        <v/>
      </c>
      <c r="L2897" s="7" t="n"/>
      <c r="M2897" s="7" t="n"/>
      <c r="N2897">
        <f>IF(D2897="", "Gap - No Legal Basis", IF(AND(D2897="Consent (GDPR Art. 6(1)(a))", I2897="Not Captured"), "Gap - Invalid Consent", IF(AND(D2897="Legitimate Interest (GDPR Art. 6(1)(f))", L2897=""), "Gap - Missing LIA", IF(AND(G2897="Yes", H2897=""), "Gap - Missing Art. 9 Basis", IF(OR(I2897="Invalid - Not Freely Given", I2897="Invalid - Not Specific", I2897="Invalid - Not Informed", I2897="Invalid - Ambiguous"), "Gap - Invalid Consent", "Compliant")))))</f>
        <v/>
      </c>
      <c r="O2897" s="7" t="n"/>
    </row>
    <row r="2898">
      <c r="A2898" s="7" t="n"/>
      <c r="B2898" s="7" t="n"/>
      <c r="C2898" s="7" t="n"/>
      <c r="D2898" s="7" t="n"/>
      <c r="E2898" s="7" t="n"/>
      <c r="F2898" s="7" t="n"/>
      <c r="G2898" s="7" t="n"/>
      <c r="H2898" s="7" t="n"/>
      <c r="I2898" s="7" t="n"/>
      <c r="J2898" s="7" t="n"/>
      <c r="K2898">
        <f>IF(D2898="Legitimate Interest (GDPR Art. 6(1)(f))", "Yes / Required (Sheet 3)", "")</f>
        <v/>
      </c>
      <c r="L2898" s="7" t="n"/>
      <c r="M2898" s="7" t="n"/>
      <c r="N2898">
        <f>IF(D2898="", "Gap - No Legal Basis", IF(AND(D2898="Consent (GDPR Art. 6(1)(a))", I2898="Not Captured"), "Gap - Invalid Consent", IF(AND(D2898="Legitimate Interest (GDPR Art. 6(1)(f))", L2898=""), "Gap - Missing LIA", IF(AND(G2898="Yes", H2898=""), "Gap - Missing Art. 9 Basis", IF(OR(I2898="Invalid - Not Freely Given", I2898="Invalid - Not Specific", I2898="Invalid - Not Informed", I2898="Invalid - Ambiguous"), "Gap - Invalid Consent", "Compliant")))))</f>
        <v/>
      </c>
      <c r="O2898" s="7" t="n"/>
    </row>
    <row r="2899">
      <c r="A2899" s="7" t="n"/>
      <c r="B2899" s="7" t="n"/>
      <c r="C2899" s="7" t="n"/>
      <c r="D2899" s="7" t="n"/>
      <c r="E2899" s="7" t="n"/>
      <c r="F2899" s="7" t="n"/>
      <c r="G2899" s="7" t="n"/>
      <c r="H2899" s="7" t="n"/>
      <c r="I2899" s="7" t="n"/>
      <c r="J2899" s="7" t="n"/>
      <c r="K2899">
        <f>IF(D2899="Legitimate Interest (GDPR Art. 6(1)(f))", "Yes / Required (Sheet 3)", "")</f>
        <v/>
      </c>
      <c r="L2899" s="7" t="n"/>
      <c r="M2899" s="7" t="n"/>
      <c r="N2899">
        <f>IF(D2899="", "Gap - No Legal Basis", IF(AND(D2899="Consent (GDPR Art. 6(1)(a))", I2899="Not Captured"), "Gap - Invalid Consent", IF(AND(D2899="Legitimate Interest (GDPR Art. 6(1)(f))", L2899=""), "Gap - Missing LIA", IF(AND(G2899="Yes", H2899=""), "Gap - Missing Art. 9 Basis", IF(OR(I2899="Invalid - Not Freely Given", I2899="Invalid - Not Specific", I2899="Invalid - Not Informed", I2899="Invalid - Ambiguous"), "Gap - Invalid Consent", "Compliant")))))</f>
        <v/>
      </c>
      <c r="O2899" s="7" t="n"/>
    </row>
    <row r="2900">
      <c r="A2900" s="7" t="n"/>
      <c r="B2900" s="7" t="n"/>
      <c r="C2900" s="7" t="n"/>
      <c r="D2900" s="7" t="n"/>
      <c r="E2900" s="7" t="n"/>
      <c r="F2900" s="7" t="n"/>
      <c r="G2900" s="7" t="n"/>
      <c r="H2900" s="7" t="n"/>
      <c r="I2900" s="7" t="n"/>
      <c r="J2900" s="7" t="n"/>
      <c r="K2900">
        <f>IF(D2900="Legitimate Interest (GDPR Art. 6(1)(f))", "Yes / Required (Sheet 3)", "")</f>
        <v/>
      </c>
      <c r="L2900" s="7" t="n"/>
      <c r="M2900" s="7" t="n"/>
      <c r="N2900">
        <f>IF(D2900="", "Gap - No Legal Basis", IF(AND(D2900="Consent (GDPR Art. 6(1)(a))", I2900="Not Captured"), "Gap - Invalid Consent", IF(AND(D2900="Legitimate Interest (GDPR Art. 6(1)(f))", L2900=""), "Gap - Missing LIA", IF(AND(G2900="Yes", H2900=""), "Gap - Missing Art. 9 Basis", IF(OR(I2900="Invalid - Not Freely Given", I2900="Invalid - Not Specific", I2900="Invalid - Not Informed", I2900="Invalid - Ambiguous"), "Gap - Invalid Consent", "Compliant")))))</f>
        <v/>
      </c>
      <c r="O2900" s="7" t="n"/>
    </row>
    <row r="2901">
      <c r="A2901" s="7" t="n"/>
      <c r="B2901" s="7" t="n"/>
      <c r="C2901" s="7" t="n"/>
      <c r="D2901" s="7" t="n"/>
      <c r="E2901" s="7" t="n"/>
      <c r="F2901" s="7" t="n"/>
      <c r="G2901" s="7" t="n"/>
      <c r="H2901" s="7" t="n"/>
      <c r="I2901" s="7" t="n"/>
      <c r="J2901" s="7" t="n"/>
      <c r="K2901">
        <f>IF(D2901="Legitimate Interest (GDPR Art. 6(1)(f))", "Yes / Required (Sheet 3)", "")</f>
        <v/>
      </c>
      <c r="L2901" s="7" t="n"/>
      <c r="M2901" s="7" t="n"/>
      <c r="N2901">
        <f>IF(D2901="", "Gap - No Legal Basis", IF(AND(D2901="Consent (GDPR Art. 6(1)(a))", I2901="Not Captured"), "Gap - Invalid Consent", IF(AND(D2901="Legitimate Interest (GDPR Art. 6(1)(f))", L2901=""), "Gap - Missing LIA", IF(AND(G2901="Yes", H2901=""), "Gap - Missing Art. 9 Basis", IF(OR(I2901="Invalid - Not Freely Given", I2901="Invalid - Not Specific", I2901="Invalid - Not Informed", I2901="Invalid - Ambiguous"), "Gap - Invalid Consent", "Compliant")))))</f>
        <v/>
      </c>
      <c r="O2901" s="7" t="n"/>
    </row>
    <row r="2902">
      <c r="A2902" s="7" t="n"/>
      <c r="B2902" s="7" t="n"/>
      <c r="C2902" s="7" t="n"/>
      <c r="D2902" s="7" t="n"/>
      <c r="E2902" s="7" t="n"/>
      <c r="F2902" s="7" t="n"/>
      <c r="G2902" s="7" t="n"/>
      <c r="H2902" s="7" t="n"/>
      <c r="I2902" s="7" t="n"/>
      <c r="J2902" s="7" t="n"/>
      <c r="K2902">
        <f>IF(D2902="Legitimate Interest (GDPR Art. 6(1)(f))", "Yes / Required (Sheet 3)", "")</f>
        <v/>
      </c>
      <c r="L2902" s="7" t="n"/>
      <c r="M2902" s="7" t="n"/>
      <c r="N2902">
        <f>IF(D2902="", "Gap - No Legal Basis", IF(AND(D2902="Consent (GDPR Art. 6(1)(a))", I2902="Not Captured"), "Gap - Invalid Consent", IF(AND(D2902="Legitimate Interest (GDPR Art. 6(1)(f))", L2902=""), "Gap - Missing LIA", IF(AND(G2902="Yes", H2902=""), "Gap - Missing Art. 9 Basis", IF(OR(I2902="Invalid - Not Freely Given", I2902="Invalid - Not Specific", I2902="Invalid - Not Informed", I2902="Invalid - Ambiguous"), "Gap - Invalid Consent", "Compliant")))))</f>
        <v/>
      </c>
      <c r="O2902" s="7" t="n"/>
    </row>
    <row r="2903">
      <c r="A2903" s="7" t="n"/>
      <c r="B2903" s="7" t="n"/>
      <c r="C2903" s="7" t="n"/>
      <c r="D2903" s="7" t="n"/>
      <c r="E2903" s="7" t="n"/>
      <c r="F2903" s="7" t="n"/>
      <c r="G2903" s="7" t="n"/>
      <c r="H2903" s="7" t="n"/>
      <c r="I2903" s="7" t="n"/>
      <c r="J2903" s="7" t="n"/>
      <c r="K2903">
        <f>IF(D2903="Legitimate Interest (GDPR Art. 6(1)(f))", "Yes / Required (Sheet 3)", "")</f>
        <v/>
      </c>
      <c r="L2903" s="7" t="n"/>
      <c r="M2903" s="7" t="n"/>
      <c r="N2903">
        <f>IF(D2903="", "Gap - No Legal Basis", IF(AND(D2903="Consent (GDPR Art. 6(1)(a))", I2903="Not Captured"), "Gap - Invalid Consent", IF(AND(D2903="Legitimate Interest (GDPR Art. 6(1)(f))", L2903=""), "Gap - Missing LIA", IF(AND(G2903="Yes", H2903=""), "Gap - Missing Art. 9 Basis", IF(OR(I2903="Invalid - Not Freely Given", I2903="Invalid - Not Specific", I2903="Invalid - Not Informed", I2903="Invalid - Ambiguous"), "Gap - Invalid Consent", "Compliant")))))</f>
        <v/>
      </c>
      <c r="O2903" s="7" t="n"/>
    </row>
    <row r="2904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7" t="n"/>
      <c r="J2904" s="7" t="n"/>
      <c r="K2904">
        <f>IF(D2904="Legitimate Interest (GDPR Art. 6(1)(f))", "Yes / Required (Sheet 3)", "")</f>
        <v/>
      </c>
      <c r="L2904" s="7" t="n"/>
      <c r="M2904" s="7" t="n"/>
      <c r="N2904">
        <f>IF(D2904="", "Gap - No Legal Basis", IF(AND(D2904="Consent (GDPR Art. 6(1)(a))", I2904="Not Captured"), "Gap - Invalid Consent", IF(AND(D2904="Legitimate Interest (GDPR Art. 6(1)(f))", L2904=""), "Gap - Missing LIA", IF(AND(G2904="Yes", H2904=""), "Gap - Missing Art. 9 Basis", IF(OR(I2904="Invalid - Not Freely Given", I2904="Invalid - Not Specific", I2904="Invalid - Not Informed", I2904="Invalid - Ambiguous"), "Gap - Invalid Consent", "Compliant")))))</f>
        <v/>
      </c>
      <c r="O2904" s="7" t="n"/>
    </row>
    <row r="2905">
      <c r="A2905" s="7" t="n"/>
      <c r="B2905" s="7" t="n"/>
      <c r="C2905" s="7" t="n"/>
      <c r="D2905" s="7" t="n"/>
      <c r="E2905" s="7" t="n"/>
      <c r="F2905" s="7" t="n"/>
      <c r="G2905" s="7" t="n"/>
      <c r="H2905" s="7" t="n"/>
      <c r="I2905" s="7" t="n"/>
      <c r="J2905" s="7" t="n"/>
      <c r="K2905">
        <f>IF(D2905="Legitimate Interest (GDPR Art. 6(1)(f))", "Yes / Required (Sheet 3)", "")</f>
        <v/>
      </c>
      <c r="L2905" s="7" t="n"/>
      <c r="M2905" s="7" t="n"/>
      <c r="N2905">
        <f>IF(D2905="", "Gap - No Legal Basis", IF(AND(D2905="Consent (GDPR Art. 6(1)(a))", I2905="Not Captured"), "Gap - Invalid Consent", IF(AND(D2905="Legitimate Interest (GDPR Art. 6(1)(f))", L2905=""), "Gap - Missing LIA", IF(AND(G2905="Yes", H2905=""), "Gap - Missing Art. 9 Basis", IF(OR(I2905="Invalid - Not Freely Given", I2905="Invalid - Not Specific", I2905="Invalid - Not Informed", I2905="Invalid - Ambiguous"), "Gap - Invalid Consent", "Compliant")))))</f>
        <v/>
      </c>
      <c r="O2905" s="7" t="n"/>
    </row>
    <row r="2906">
      <c r="A2906" s="7" t="n"/>
      <c r="B2906" s="7" t="n"/>
      <c r="C2906" s="7" t="n"/>
      <c r="D2906" s="7" t="n"/>
      <c r="E2906" s="7" t="n"/>
      <c r="F2906" s="7" t="n"/>
      <c r="G2906" s="7" t="n"/>
      <c r="H2906" s="7" t="n"/>
      <c r="I2906" s="7" t="n"/>
      <c r="J2906" s="7" t="n"/>
      <c r="K2906">
        <f>IF(D2906="Legitimate Interest (GDPR Art. 6(1)(f))", "Yes / Required (Sheet 3)", "")</f>
        <v/>
      </c>
      <c r="L2906" s="7" t="n"/>
      <c r="M2906" s="7" t="n"/>
      <c r="N2906">
        <f>IF(D2906="", "Gap - No Legal Basis", IF(AND(D2906="Consent (GDPR Art. 6(1)(a))", I2906="Not Captured"), "Gap - Invalid Consent", IF(AND(D2906="Legitimate Interest (GDPR Art. 6(1)(f))", L2906=""), "Gap - Missing LIA", IF(AND(G2906="Yes", H2906=""), "Gap - Missing Art. 9 Basis", IF(OR(I2906="Invalid - Not Freely Given", I2906="Invalid - Not Specific", I2906="Invalid - Not Informed", I2906="Invalid - Ambiguous"), "Gap - Invalid Consent", "Compliant")))))</f>
        <v/>
      </c>
      <c r="O2906" s="7" t="n"/>
    </row>
    <row r="2907">
      <c r="A2907" s="7" t="n"/>
      <c r="B2907" s="7" t="n"/>
      <c r="C2907" s="7" t="n"/>
      <c r="D2907" s="7" t="n"/>
      <c r="E2907" s="7" t="n"/>
      <c r="F2907" s="7" t="n"/>
      <c r="G2907" s="7" t="n"/>
      <c r="H2907" s="7" t="n"/>
      <c r="I2907" s="7" t="n"/>
      <c r="J2907" s="7" t="n"/>
      <c r="K2907">
        <f>IF(D2907="Legitimate Interest (GDPR Art. 6(1)(f))", "Yes / Required (Sheet 3)", "")</f>
        <v/>
      </c>
      <c r="L2907" s="7" t="n"/>
      <c r="M2907" s="7" t="n"/>
      <c r="N2907">
        <f>IF(D2907="", "Gap - No Legal Basis", IF(AND(D2907="Consent (GDPR Art. 6(1)(a))", I2907="Not Captured"), "Gap - Invalid Consent", IF(AND(D2907="Legitimate Interest (GDPR Art. 6(1)(f))", L2907=""), "Gap - Missing LIA", IF(AND(G2907="Yes", H2907=""), "Gap - Missing Art. 9 Basis", IF(OR(I2907="Invalid - Not Freely Given", I2907="Invalid - Not Specific", I2907="Invalid - Not Informed", I2907="Invalid - Ambiguous"), "Gap - Invalid Consent", "Compliant")))))</f>
        <v/>
      </c>
      <c r="O2907" s="7" t="n"/>
    </row>
    <row r="2908">
      <c r="A2908" s="7" t="n"/>
      <c r="B2908" s="7" t="n"/>
      <c r="C2908" s="7" t="n"/>
      <c r="D2908" s="7" t="n"/>
      <c r="E2908" s="7" t="n"/>
      <c r="F2908" s="7" t="n"/>
      <c r="G2908" s="7" t="n"/>
      <c r="H2908" s="7" t="n"/>
      <c r="I2908" s="7" t="n"/>
      <c r="J2908" s="7" t="n"/>
      <c r="K2908">
        <f>IF(D2908="Legitimate Interest (GDPR Art. 6(1)(f))", "Yes / Required (Sheet 3)", "")</f>
        <v/>
      </c>
      <c r="L2908" s="7" t="n"/>
      <c r="M2908" s="7" t="n"/>
      <c r="N2908">
        <f>IF(D2908="", "Gap - No Legal Basis", IF(AND(D2908="Consent (GDPR Art. 6(1)(a))", I2908="Not Captured"), "Gap - Invalid Consent", IF(AND(D2908="Legitimate Interest (GDPR Art. 6(1)(f))", L2908=""), "Gap - Missing LIA", IF(AND(G2908="Yes", H2908=""), "Gap - Missing Art. 9 Basis", IF(OR(I2908="Invalid - Not Freely Given", I2908="Invalid - Not Specific", I2908="Invalid - Not Informed", I2908="Invalid - Ambiguous"), "Gap - Invalid Consent", "Compliant")))))</f>
        <v/>
      </c>
      <c r="O2908" s="7" t="n"/>
    </row>
    <row r="2909">
      <c r="A2909" s="7" t="n"/>
      <c r="B2909" s="7" t="n"/>
      <c r="C2909" s="7" t="n"/>
      <c r="D2909" s="7" t="n"/>
      <c r="E2909" s="7" t="n"/>
      <c r="F2909" s="7" t="n"/>
      <c r="G2909" s="7" t="n"/>
      <c r="H2909" s="7" t="n"/>
      <c r="I2909" s="7" t="n"/>
      <c r="J2909" s="7" t="n"/>
      <c r="K2909">
        <f>IF(D2909="Legitimate Interest (GDPR Art. 6(1)(f))", "Yes / Required (Sheet 3)", "")</f>
        <v/>
      </c>
      <c r="L2909" s="7" t="n"/>
      <c r="M2909" s="7" t="n"/>
      <c r="N2909">
        <f>IF(D2909="", "Gap - No Legal Basis", IF(AND(D2909="Consent (GDPR Art. 6(1)(a))", I2909="Not Captured"), "Gap - Invalid Consent", IF(AND(D2909="Legitimate Interest (GDPR Art. 6(1)(f))", L2909=""), "Gap - Missing LIA", IF(AND(G2909="Yes", H2909=""), "Gap - Missing Art. 9 Basis", IF(OR(I2909="Invalid - Not Freely Given", I2909="Invalid - Not Specific", I2909="Invalid - Not Informed", I2909="Invalid - Ambiguous"), "Gap - Invalid Consent", "Compliant")))))</f>
        <v/>
      </c>
      <c r="O2909" s="7" t="n"/>
    </row>
    <row r="2910">
      <c r="A2910" s="7" t="n"/>
      <c r="B2910" s="7" t="n"/>
      <c r="C2910" s="7" t="n"/>
      <c r="D2910" s="7" t="n"/>
      <c r="E2910" s="7" t="n"/>
      <c r="F2910" s="7" t="n"/>
      <c r="G2910" s="7" t="n"/>
      <c r="H2910" s="7" t="n"/>
      <c r="I2910" s="7" t="n"/>
      <c r="J2910" s="7" t="n"/>
      <c r="K2910">
        <f>IF(D2910="Legitimate Interest (GDPR Art. 6(1)(f))", "Yes / Required (Sheet 3)", "")</f>
        <v/>
      </c>
      <c r="L2910" s="7" t="n"/>
      <c r="M2910" s="7" t="n"/>
      <c r="N2910">
        <f>IF(D2910="", "Gap - No Legal Basis", IF(AND(D2910="Consent (GDPR Art. 6(1)(a))", I2910="Not Captured"), "Gap - Invalid Consent", IF(AND(D2910="Legitimate Interest (GDPR Art. 6(1)(f))", L2910=""), "Gap - Missing LIA", IF(AND(G2910="Yes", H2910=""), "Gap - Missing Art. 9 Basis", IF(OR(I2910="Invalid - Not Freely Given", I2910="Invalid - Not Specific", I2910="Invalid - Not Informed", I2910="Invalid - Ambiguous"), "Gap - Invalid Consent", "Compliant")))))</f>
        <v/>
      </c>
      <c r="O2910" s="7" t="n"/>
    </row>
    <row r="2911">
      <c r="A2911" s="7" t="n"/>
      <c r="B2911" s="7" t="n"/>
      <c r="C2911" s="7" t="n"/>
      <c r="D2911" s="7" t="n"/>
      <c r="E2911" s="7" t="n"/>
      <c r="F2911" s="7" t="n"/>
      <c r="G2911" s="7" t="n"/>
      <c r="H2911" s="7" t="n"/>
      <c r="I2911" s="7" t="n"/>
      <c r="J2911" s="7" t="n"/>
      <c r="K2911">
        <f>IF(D2911="Legitimate Interest (GDPR Art. 6(1)(f))", "Yes / Required (Sheet 3)", "")</f>
        <v/>
      </c>
      <c r="L2911" s="7" t="n"/>
      <c r="M2911" s="7" t="n"/>
      <c r="N2911">
        <f>IF(D2911="", "Gap - No Legal Basis", IF(AND(D2911="Consent (GDPR Art. 6(1)(a))", I2911="Not Captured"), "Gap - Invalid Consent", IF(AND(D2911="Legitimate Interest (GDPR Art. 6(1)(f))", L2911=""), "Gap - Missing LIA", IF(AND(G2911="Yes", H2911=""), "Gap - Missing Art. 9 Basis", IF(OR(I2911="Invalid - Not Freely Given", I2911="Invalid - Not Specific", I2911="Invalid - Not Informed", I2911="Invalid - Ambiguous"), "Gap - Invalid Consent", "Compliant")))))</f>
        <v/>
      </c>
      <c r="O2911" s="7" t="n"/>
    </row>
    <row r="2912">
      <c r="A2912" s="7" t="n"/>
      <c r="B2912" s="7" t="n"/>
      <c r="C2912" s="7" t="n"/>
      <c r="D2912" s="7" t="n"/>
      <c r="E2912" s="7" t="n"/>
      <c r="F2912" s="7" t="n"/>
      <c r="G2912" s="7" t="n"/>
      <c r="H2912" s="7" t="n"/>
      <c r="I2912" s="7" t="n"/>
      <c r="J2912" s="7" t="n"/>
      <c r="K2912">
        <f>IF(D2912="Legitimate Interest (GDPR Art. 6(1)(f))", "Yes / Required (Sheet 3)", "")</f>
        <v/>
      </c>
      <c r="L2912" s="7" t="n"/>
      <c r="M2912" s="7" t="n"/>
      <c r="N2912">
        <f>IF(D2912="", "Gap - No Legal Basis", IF(AND(D2912="Consent (GDPR Art. 6(1)(a))", I2912="Not Captured"), "Gap - Invalid Consent", IF(AND(D2912="Legitimate Interest (GDPR Art. 6(1)(f))", L2912=""), "Gap - Missing LIA", IF(AND(G2912="Yes", H2912=""), "Gap - Missing Art. 9 Basis", IF(OR(I2912="Invalid - Not Freely Given", I2912="Invalid - Not Specific", I2912="Invalid - Not Informed", I2912="Invalid - Ambiguous"), "Gap - Invalid Consent", "Compliant")))))</f>
        <v/>
      </c>
      <c r="O2912" s="7" t="n"/>
    </row>
    <row r="2913">
      <c r="A2913" s="7" t="n"/>
      <c r="B2913" s="7" t="n"/>
      <c r="C2913" s="7" t="n"/>
      <c r="D2913" s="7" t="n"/>
      <c r="E2913" s="7" t="n"/>
      <c r="F2913" s="7" t="n"/>
      <c r="G2913" s="7" t="n"/>
      <c r="H2913" s="7" t="n"/>
      <c r="I2913" s="7" t="n"/>
      <c r="J2913" s="7" t="n"/>
      <c r="K2913">
        <f>IF(D2913="Legitimate Interest (GDPR Art. 6(1)(f))", "Yes / Required (Sheet 3)", "")</f>
        <v/>
      </c>
      <c r="L2913" s="7" t="n"/>
      <c r="M2913" s="7" t="n"/>
      <c r="N2913">
        <f>IF(D2913="", "Gap - No Legal Basis", IF(AND(D2913="Consent (GDPR Art. 6(1)(a))", I2913="Not Captured"), "Gap - Invalid Consent", IF(AND(D2913="Legitimate Interest (GDPR Art. 6(1)(f))", L2913=""), "Gap - Missing LIA", IF(AND(G2913="Yes", H2913=""), "Gap - Missing Art. 9 Basis", IF(OR(I2913="Invalid - Not Freely Given", I2913="Invalid - Not Specific", I2913="Invalid - Not Informed", I2913="Invalid - Ambiguous"), "Gap - Invalid Consent", "Compliant")))))</f>
        <v/>
      </c>
      <c r="O2913" s="7" t="n"/>
    </row>
    <row r="2914">
      <c r="A2914" s="7" t="n"/>
      <c r="B2914" s="7" t="n"/>
      <c r="C2914" s="7" t="n"/>
      <c r="D2914" s="7" t="n"/>
      <c r="E2914" s="7" t="n"/>
      <c r="F2914" s="7" t="n"/>
      <c r="G2914" s="7" t="n"/>
      <c r="H2914" s="7" t="n"/>
      <c r="I2914" s="7" t="n"/>
      <c r="J2914" s="7" t="n"/>
      <c r="K2914">
        <f>IF(D2914="Legitimate Interest (GDPR Art. 6(1)(f))", "Yes / Required (Sheet 3)", "")</f>
        <v/>
      </c>
      <c r="L2914" s="7" t="n"/>
      <c r="M2914" s="7" t="n"/>
      <c r="N2914">
        <f>IF(D2914="", "Gap - No Legal Basis", IF(AND(D2914="Consent (GDPR Art. 6(1)(a))", I2914="Not Captured"), "Gap - Invalid Consent", IF(AND(D2914="Legitimate Interest (GDPR Art. 6(1)(f))", L2914=""), "Gap - Missing LIA", IF(AND(G2914="Yes", H2914=""), "Gap - Missing Art. 9 Basis", IF(OR(I2914="Invalid - Not Freely Given", I2914="Invalid - Not Specific", I2914="Invalid - Not Informed", I2914="Invalid - Ambiguous"), "Gap - Invalid Consent", "Compliant")))))</f>
        <v/>
      </c>
      <c r="O2914" s="7" t="n"/>
    </row>
    <row r="2915">
      <c r="A2915" s="7" t="n"/>
      <c r="B2915" s="7" t="n"/>
      <c r="C2915" s="7" t="n"/>
      <c r="D2915" s="7" t="n"/>
      <c r="E2915" s="7" t="n"/>
      <c r="F2915" s="7" t="n"/>
      <c r="G2915" s="7" t="n"/>
      <c r="H2915" s="7" t="n"/>
      <c r="I2915" s="7" t="n"/>
      <c r="J2915" s="7" t="n"/>
      <c r="K2915">
        <f>IF(D2915="Legitimate Interest (GDPR Art. 6(1)(f))", "Yes / Required (Sheet 3)", "")</f>
        <v/>
      </c>
      <c r="L2915" s="7" t="n"/>
      <c r="M2915" s="7" t="n"/>
      <c r="N2915">
        <f>IF(D2915="", "Gap - No Legal Basis", IF(AND(D2915="Consent (GDPR Art. 6(1)(a))", I2915="Not Captured"), "Gap - Invalid Consent", IF(AND(D2915="Legitimate Interest (GDPR Art. 6(1)(f))", L2915=""), "Gap - Missing LIA", IF(AND(G2915="Yes", H2915=""), "Gap - Missing Art. 9 Basis", IF(OR(I2915="Invalid - Not Freely Given", I2915="Invalid - Not Specific", I2915="Invalid - Not Informed", I2915="Invalid - Ambiguous"), "Gap - Invalid Consent", "Compliant")))))</f>
        <v/>
      </c>
      <c r="O2915" s="7" t="n"/>
    </row>
    <row r="2916">
      <c r="A2916" s="7" t="n"/>
      <c r="B2916" s="7" t="n"/>
      <c r="C2916" s="7" t="n"/>
      <c r="D2916" s="7" t="n"/>
      <c r="E2916" s="7" t="n"/>
      <c r="F2916" s="7" t="n"/>
      <c r="G2916" s="7" t="n"/>
      <c r="H2916" s="7" t="n"/>
      <c r="I2916" s="7" t="n"/>
      <c r="J2916" s="7" t="n"/>
      <c r="K2916">
        <f>IF(D2916="Legitimate Interest (GDPR Art. 6(1)(f))", "Yes / Required (Sheet 3)", "")</f>
        <v/>
      </c>
      <c r="L2916" s="7" t="n"/>
      <c r="M2916" s="7" t="n"/>
      <c r="N2916">
        <f>IF(D2916="", "Gap - No Legal Basis", IF(AND(D2916="Consent (GDPR Art. 6(1)(a))", I2916="Not Captured"), "Gap - Invalid Consent", IF(AND(D2916="Legitimate Interest (GDPR Art. 6(1)(f))", L2916=""), "Gap - Missing LIA", IF(AND(G2916="Yes", H2916=""), "Gap - Missing Art. 9 Basis", IF(OR(I2916="Invalid - Not Freely Given", I2916="Invalid - Not Specific", I2916="Invalid - Not Informed", I2916="Invalid - Ambiguous"), "Gap - Invalid Consent", "Compliant")))))</f>
        <v/>
      </c>
      <c r="O2916" s="7" t="n"/>
    </row>
    <row r="2917">
      <c r="A2917" s="7" t="n"/>
      <c r="B2917" s="7" t="n"/>
      <c r="C2917" s="7" t="n"/>
      <c r="D2917" s="7" t="n"/>
      <c r="E2917" s="7" t="n"/>
      <c r="F2917" s="7" t="n"/>
      <c r="G2917" s="7" t="n"/>
      <c r="H2917" s="7" t="n"/>
      <c r="I2917" s="7" t="n"/>
      <c r="J2917" s="7" t="n"/>
      <c r="K2917">
        <f>IF(D2917="Legitimate Interest (GDPR Art. 6(1)(f))", "Yes / Required (Sheet 3)", "")</f>
        <v/>
      </c>
      <c r="L2917" s="7" t="n"/>
      <c r="M2917" s="7" t="n"/>
      <c r="N2917">
        <f>IF(D2917="", "Gap - No Legal Basis", IF(AND(D2917="Consent (GDPR Art. 6(1)(a))", I2917="Not Captured"), "Gap - Invalid Consent", IF(AND(D2917="Legitimate Interest (GDPR Art. 6(1)(f))", L2917=""), "Gap - Missing LIA", IF(AND(G2917="Yes", H2917=""), "Gap - Missing Art. 9 Basis", IF(OR(I2917="Invalid - Not Freely Given", I2917="Invalid - Not Specific", I2917="Invalid - Not Informed", I2917="Invalid - Ambiguous"), "Gap - Invalid Consent", "Compliant")))))</f>
        <v/>
      </c>
      <c r="O2917" s="7" t="n"/>
    </row>
    <row r="2918">
      <c r="A2918" s="7" t="n"/>
      <c r="B2918" s="7" t="n"/>
      <c r="C2918" s="7" t="n"/>
      <c r="D2918" s="7" t="n"/>
      <c r="E2918" s="7" t="n"/>
      <c r="F2918" s="7" t="n"/>
      <c r="G2918" s="7" t="n"/>
      <c r="H2918" s="7" t="n"/>
      <c r="I2918" s="7" t="n"/>
      <c r="J2918" s="7" t="n"/>
      <c r="K2918">
        <f>IF(D2918="Legitimate Interest (GDPR Art. 6(1)(f))", "Yes / Required (Sheet 3)", "")</f>
        <v/>
      </c>
      <c r="L2918" s="7" t="n"/>
      <c r="M2918" s="7" t="n"/>
      <c r="N2918">
        <f>IF(D2918="", "Gap - No Legal Basis", IF(AND(D2918="Consent (GDPR Art. 6(1)(a))", I2918="Not Captured"), "Gap - Invalid Consent", IF(AND(D2918="Legitimate Interest (GDPR Art. 6(1)(f))", L2918=""), "Gap - Missing LIA", IF(AND(G2918="Yes", H2918=""), "Gap - Missing Art. 9 Basis", IF(OR(I2918="Invalid - Not Freely Given", I2918="Invalid - Not Specific", I2918="Invalid - Not Informed", I2918="Invalid - Ambiguous"), "Gap - Invalid Consent", "Compliant")))))</f>
        <v/>
      </c>
      <c r="O2918" s="7" t="n"/>
    </row>
    <row r="2919">
      <c r="A2919" s="7" t="n"/>
      <c r="B2919" s="7" t="n"/>
      <c r="C2919" s="7" t="n"/>
      <c r="D2919" s="7" t="n"/>
      <c r="E2919" s="7" t="n"/>
      <c r="F2919" s="7" t="n"/>
      <c r="G2919" s="7" t="n"/>
      <c r="H2919" s="7" t="n"/>
      <c r="I2919" s="7" t="n"/>
      <c r="J2919" s="7" t="n"/>
      <c r="K2919">
        <f>IF(D2919="Legitimate Interest (GDPR Art. 6(1)(f))", "Yes / Required (Sheet 3)", "")</f>
        <v/>
      </c>
      <c r="L2919" s="7" t="n"/>
      <c r="M2919" s="7" t="n"/>
      <c r="N2919">
        <f>IF(D2919="", "Gap - No Legal Basis", IF(AND(D2919="Consent (GDPR Art. 6(1)(a))", I2919="Not Captured"), "Gap - Invalid Consent", IF(AND(D2919="Legitimate Interest (GDPR Art. 6(1)(f))", L2919=""), "Gap - Missing LIA", IF(AND(G2919="Yes", H2919=""), "Gap - Missing Art. 9 Basis", IF(OR(I2919="Invalid - Not Freely Given", I2919="Invalid - Not Specific", I2919="Invalid - Not Informed", I2919="Invalid - Ambiguous"), "Gap - Invalid Consent", "Compliant")))))</f>
        <v/>
      </c>
      <c r="O2919" s="7" t="n"/>
    </row>
    <row r="2920">
      <c r="A2920" s="7" t="n"/>
      <c r="B2920" s="7" t="n"/>
      <c r="C2920" s="7" t="n"/>
      <c r="D2920" s="7" t="n"/>
      <c r="E2920" s="7" t="n"/>
      <c r="F2920" s="7" t="n"/>
      <c r="G2920" s="7" t="n"/>
      <c r="H2920" s="7" t="n"/>
      <c r="I2920" s="7" t="n"/>
      <c r="J2920" s="7" t="n"/>
      <c r="K2920">
        <f>IF(D2920="Legitimate Interest (GDPR Art. 6(1)(f))", "Yes / Required (Sheet 3)", "")</f>
        <v/>
      </c>
      <c r="L2920" s="7" t="n"/>
      <c r="M2920" s="7" t="n"/>
      <c r="N2920">
        <f>IF(D2920="", "Gap - No Legal Basis", IF(AND(D2920="Consent (GDPR Art. 6(1)(a))", I2920="Not Captured"), "Gap - Invalid Consent", IF(AND(D2920="Legitimate Interest (GDPR Art. 6(1)(f))", L2920=""), "Gap - Missing LIA", IF(AND(G2920="Yes", H2920=""), "Gap - Missing Art. 9 Basis", IF(OR(I2920="Invalid - Not Freely Given", I2920="Invalid - Not Specific", I2920="Invalid - Not Informed", I2920="Invalid - Ambiguous"), "Gap - Invalid Consent", "Compliant")))))</f>
        <v/>
      </c>
      <c r="O2920" s="7" t="n"/>
    </row>
    <row r="2921">
      <c r="A2921" s="7" t="n"/>
      <c r="B2921" s="7" t="n"/>
      <c r="C2921" s="7" t="n"/>
      <c r="D2921" s="7" t="n"/>
      <c r="E2921" s="7" t="n"/>
      <c r="F2921" s="7" t="n"/>
      <c r="G2921" s="7" t="n"/>
      <c r="H2921" s="7" t="n"/>
      <c r="I2921" s="7" t="n"/>
      <c r="J2921" s="7" t="n"/>
      <c r="K2921">
        <f>IF(D2921="Legitimate Interest (GDPR Art. 6(1)(f))", "Yes / Required (Sheet 3)", "")</f>
        <v/>
      </c>
      <c r="L2921" s="7" t="n"/>
      <c r="M2921" s="7" t="n"/>
      <c r="N2921">
        <f>IF(D2921="", "Gap - No Legal Basis", IF(AND(D2921="Consent (GDPR Art. 6(1)(a))", I2921="Not Captured"), "Gap - Invalid Consent", IF(AND(D2921="Legitimate Interest (GDPR Art. 6(1)(f))", L2921=""), "Gap - Missing LIA", IF(AND(G2921="Yes", H2921=""), "Gap - Missing Art. 9 Basis", IF(OR(I2921="Invalid - Not Freely Given", I2921="Invalid - Not Specific", I2921="Invalid - Not Informed", I2921="Invalid - Ambiguous"), "Gap - Invalid Consent", "Compliant")))))</f>
        <v/>
      </c>
      <c r="O2921" s="7" t="n"/>
    </row>
    <row r="2922">
      <c r="A2922" s="7" t="n"/>
      <c r="B2922" s="7" t="n"/>
      <c r="C2922" s="7" t="n"/>
      <c r="D2922" s="7" t="n"/>
      <c r="E2922" s="7" t="n"/>
      <c r="F2922" s="7" t="n"/>
      <c r="G2922" s="7" t="n"/>
      <c r="H2922" s="7" t="n"/>
      <c r="I2922" s="7" t="n"/>
      <c r="J2922" s="7" t="n"/>
      <c r="K2922">
        <f>IF(D2922="Legitimate Interest (GDPR Art. 6(1)(f))", "Yes / Required (Sheet 3)", "")</f>
        <v/>
      </c>
      <c r="L2922" s="7" t="n"/>
      <c r="M2922" s="7" t="n"/>
      <c r="N2922">
        <f>IF(D2922="", "Gap - No Legal Basis", IF(AND(D2922="Consent (GDPR Art. 6(1)(a))", I2922="Not Captured"), "Gap - Invalid Consent", IF(AND(D2922="Legitimate Interest (GDPR Art. 6(1)(f))", L2922=""), "Gap - Missing LIA", IF(AND(G2922="Yes", H2922=""), "Gap - Missing Art. 9 Basis", IF(OR(I2922="Invalid - Not Freely Given", I2922="Invalid - Not Specific", I2922="Invalid - Not Informed", I2922="Invalid - Ambiguous"), "Gap - Invalid Consent", "Compliant")))))</f>
        <v/>
      </c>
      <c r="O2922" s="7" t="n"/>
    </row>
    <row r="2923">
      <c r="A2923" s="7" t="n"/>
      <c r="B2923" s="7" t="n"/>
      <c r="C2923" s="7" t="n"/>
      <c r="D2923" s="7" t="n"/>
      <c r="E2923" s="7" t="n"/>
      <c r="F2923" s="7" t="n"/>
      <c r="G2923" s="7" t="n"/>
      <c r="H2923" s="7" t="n"/>
      <c r="I2923" s="7" t="n"/>
      <c r="J2923" s="7" t="n"/>
      <c r="K2923">
        <f>IF(D2923="Legitimate Interest (GDPR Art. 6(1)(f))", "Yes / Required (Sheet 3)", "")</f>
        <v/>
      </c>
      <c r="L2923" s="7" t="n"/>
      <c r="M2923" s="7" t="n"/>
      <c r="N2923">
        <f>IF(D2923="", "Gap - No Legal Basis", IF(AND(D2923="Consent (GDPR Art. 6(1)(a))", I2923="Not Captured"), "Gap - Invalid Consent", IF(AND(D2923="Legitimate Interest (GDPR Art. 6(1)(f))", L2923=""), "Gap - Missing LIA", IF(AND(G2923="Yes", H2923=""), "Gap - Missing Art. 9 Basis", IF(OR(I2923="Invalid - Not Freely Given", I2923="Invalid - Not Specific", I2923="Invalid - Not Informed", I2923="Invalid - Ambiguous"), "Gap - Invalid Consent", "Compliant")))))</f>
        <v/>
      </c>
      <c r="O2923" s="7" t="n"/>
    </row>
    <row r="2924">
      <c r="A2924" s="7" t="n"/>
      <c r="B2924" s="7" t="n"/>
      <c r="C2924" s="7" t="n"/>
      <c r="D2924" s="7" t="n"/>
      <c r="E2924" s="7" t="n"/>
      <c r="F2924" s="7" t="n"/>
      <c r="G2924" s="7" t="n"/>
      <c r="H2924" s="7" t="n"/>
      <c r="I2924" s="7" t="n"/>
      <c r="J2924" s="7" t="n"/>
      <c r="K2924">
        <f>IF(D2924="Legitimate Interest (GDPR Art. 6(1)(f))", "Yes / Required (Sheet 3)", "")</f>
        <v/>
      </c>
      <c r="L2924" s="7" t="n"/>
      <c r="M2924" s="7" t="n"/>
      <c r="N2924">
        <f>IF(D2924="", "Gap - No Legal Basis", IF(AND(D2924="Consent (GDPR Art. 6(1)(a))", I2924="Not Captured"), "Gap - Invalid Consent", IF(AND(D2924="Legitimate Interest (GDPR Art. 6(1)(f))", L2924=""), "Gap - Missing LIA", IF(AND(G2924="Yes", H2924=""), "Gap - Missing Art. 9 Basis", IF(OR(I2924="Invalid - Not Freely Given", I2924="Invalid - Not Specific", I2924="Invalid - Not Informed", I2924="Invalid - Ambiguous"), "Gap - Invalid Consent", "Compliant")))))</f>
        <v/>
      </c>
      <c r="O2924" s="7" t="n"/>
    </row>
    <row r="2925">
      <c r="A2925" s="7" t="n"/>
      <c r="B2925" s="7" t="n"/>
      <c r="C2925" s="7" t="n"/>
      <c r="D2925" s="7" t="n"/>
      <c r="E2925" s="7" t="n"/>
      <c r="F2925" s="7" t="n"/>
      <c r="G2925" s="7" t="n"/>
      <c r="H2925" s="7" t="n"/>
      <c r="I2925" s="7" t="n"/>
      <c r="J2925" s="7" t="n"/>
      <c r="K2925">
        <f>IF(D2925="Legitimate Interest (GDPR Art. 6(1)(f))", "Yes / Required (Sheet 3)", "")</f>
        <v/>
      </c>
      <c r="L2925" s="7" t="n"/>
      <c r="M2925" s="7" t="n"/>
      <c r="N2925">
        <f>IF(D2925="", "Gap - No Legal Basis", IF(AND(D2925="Consent (GDPR Art. 6(1)(a))", I2925="Not Captured"), "Gap - Invalid Consent", IF(AND(D2925="Legitimate Interest (GDPR Art. 6(1)(f))", L2925=""), "Gap - Missing LIA", IF(AND(G2925="Yes", H2925=""), "Gap - Missing Art. 9 Basis", IF(OR(I2925="Invalid - Not Freely Given", I2925="Invalid - Not Specific", I2925="Invalid - Not Informed", I2925="Invalid - Ambiguous"), "Gap - Invalid Consent", "Compliant")))))</f>
        <v/>
      </c>
      <c r="O2925" s="7" t="n"/>
    </row>
    <row r="2926">
      <c r="A2926" s="7" t="n"/>
      <c r="B2926" s="7" t="n"/>
      <c r="C2926" s="7" t="n"/>
      <c r="D2926" s="7" t="n"/>
      <c r="E2926" s="7" t="n"/>
      <c r="F2926" s="7" t="n"/>
      <c r="G2926" s="7" t="n"/>
      <c r="H2926" s="7" t="n"/>
      <c r="I2926" s="7" t="n"/>
      <c r="J2926" s="7" t="n"/>
      <c r="K2926">
        <f>IF(D2926="Legitimate Interest (GDPR Art. 6(1)(f))", "Yes / Required (Sheet 3)", "")</f>
        <v/>
      </c>
      <c r="L2926" s="7" t="n"/>
      <c r="M2926" s="7" t="n"/>
      <c r="N2926">
        <f>IF(D2926="", "Gap - No Legal Basis", IF(AND(D2926="Consent (GDPR Art. 6(1)(a))", I2926="Not Captured"), "Gap - Invalid Consent", IF(AND(D2926="Legitimate Interest (GDPR Art. 6(1)(f))", L2926=""), "Gap - Missing LIA", IF(AND(G2926="Yes", H2926=""), "Gap - Missing Art. 9 Basis", IF(OR(I2926="Invalid - Not Freely Given", I2926="Invalid - Not Specific", I2926="Invalid - Not Informed", I2926="Invalid - Ambiguous"), "Gap - Invalid Consent", "Compliant")))))</f>
        <v/>
      </c>
      <c r="O2926" s="7" t="n"/>
    </row>
    <row r="2927">
      <c r="A2927" s="7" t="n"/>
      <c r="B2927" s="7" t="n"/>
      <c r="C2927" s="7" t="n"/>
      <c r="D2927" s="7" t="n"/>
      <c r="E2927" s="7" t="n"/>
      <c r="F2927" s="7" t="n"/>
      <c r="G2927" s="7" t="n"/>
      <c r="H2927" s="7" t="n"/>
      <c r="I2927" s="7" t="n"/>
      <c r="J2927" s="7" t="n"/>
      <c r="K2927">
        <f>IF(D2927="Legitimate Interest (GDPR Art. 6(1)(f))", "Yes / Required (Sheet 3)", "")</f>
        <v/>
      </c>
      <c r="L2927" s="7" t="n"/>
      <c r="M2927" s="7" t="n"/>
      <c r="N2927">
        <f>IF(D2927="", "Gap - No Legal Basis", IF(AND(D2927="Consent (GDPR Art. 6(1)(a))", I2927="Not Captured"), "Gap - Invalid Consent", IF(AND(D2927="Legitimate Interest (GDPR Art. 6(1)(f))", L2927=""), "Gap - Missing LIA", IF(AND(G2927="Yes", H2927=""), "Gap - Missing Art. 9 Basis", IF(OR(I2927="Invalid - Not Freely Given", I2927="Invalid - Not Specific", I2927="Invalid - Not Informed", I2927="Invalid - Ambiguous"), "Gap - Invalid Consent", "Compliant")))))</f>
        <v/>
      </c>
      <c r="O2927" s="7" t="n"/>
    </row>
    <row r="2928">
      <c r="A2928" s="7" t="n"/>
      <c r="B2928" s="7" t="n"/>
      <c r="C2928" s="7" t="n"/>
      <c r="D2928" s="7" t="n"/>
      <c r="E2928" s="7" t="n"/>
      <c r="F2928" s="7" t="n"/>
      <c r="G2928" s="7" t="n"/>
      <c r="H2928" s="7" t="n"/>
      <c r="I2928" s="7" t="n"/>
      <c r="J2928" s="7" t="n"/>
      <c r="K2928">
        <f>IF(D2928="Legitimate Interest (GDPR Art. 6(1)(f))", "Yes / Required (Sheet 3)", "")</f>
        <v/>
      </c>
      <c r="L2928" s="7" t="n"/>
      <c r="M2928" s="7" t="n"/>
      <c r="N2928">
        <f>IF(D2928="", "Gap - No Legal Basis", IF(AND(D2928="Consent (GDPR Art. 6(1)(a))", I2928="Not Captured"), "Gap - Invalid Consent", IF(AND(D2928="Legitimate Interest (GDPR Art. 6(1)(f))", L2928=""), "Gap - Missing LIA", IF(AND(G2928="Yes", H2928=""), "Gap - Missing Art. 9 Basis", IF(OR(I2928="Invalid - Not Freely Given", I2928="Invalid - Not Specific", I2928="Invalid - Not Informed", I2928="Invalid - Ambiguous"), "Gap - Invalid Consent", "Compliant")))))</f>
        <v/>
      </c>
      <c r="O2928" s="7" t="n"/>
    </row>
    <row r="2929">
      <c r="A2929" s="7" t="n"/>
      <c r="B2929" s="7" t="n"/>
      <c r="C2929" s="7" t="n"/>
      <c r="D2929" s="7" t="n"/>
      <c r="E2929" s="7" t="n"/>
      <c r="F2929" s="7" t="n"/>
      <c r="G2929" s="7" t="n"/>
      <c r="H2929" s="7" t="n"/>
      <c r="I2929" s="7" t="n"/>
      <c r="J2929" s="7" t="n"/>
      <c r="K2929">
        <f>IF(D2929="Legitimate Interest (GDPR Art. 6(1)(f))", "Yes / Required (Sheet 3)", "")</f>
        <v/>
      </c>
      <c r="L2929" s="7" t="n"/>
      <c r="M2929" s="7" t="n"/>
      <c r="N2929">
        <f>IF(D2929="", "Gap - No Legal Basis", IF(AND(D2929="Consent (GDPR Art. 6(1)(a))", I2929="Not Captured"), "Gap - Invalid Consent", IF(AND(D2929="Legitimate Interest (GDPR Art. 6(1)(f))", L2929=""), "Gap - Missing LIA", IF(AND(G2929="Yes", H2929=""), "Gap - Missing Art. 9 Basis", IF(OR(I2929="Invalid - Not Freely Given", I2929="Invalid - Not Specific", I2929="Invalid - Not Informed", I2929="Invalid - Ambiguous"), "Gap - Invalid Consent", "Compliant")))))</f>
        <v/>
      </c>
      <c r="O2929" s="7" t="n"/>
    </row>
    <row r="2930">
      <c r="A2930" s="7" t="n"/>
      <c r="B2930" s="7" t="n"/>
      <c r="C2930" s="7" t="n"/>
      <c r="D2930" s="7" t="n"/>
      <c r="E2930" s="7" t="n"/>
      <c r="F2930" s="7" t="n"/>
      <c r="G2930" s="7" t="n"/>
      <c r="H2930" s="7" t="n"/>
      <c r="I2930" s="7" t="n"/>
      <c r="J2930" s="7" t="n"/>
      <c r="K2930">
        <f>IF(D2930="Legitimate Interest (GDPR Art. 6(1)(f))", "Yes / Required (Sheet 3)", "")</f>
        <v/>
      </c>
      <c r="L2930" s="7" t="n"/>
      <c r="M2930" s="7" t="n"/>
      <c r="N2930">
        <f>IF(D2930="", "Gap - No Legal Basis", IF(AND(D2930="Consent (GDPR Art. 6(1)(a))", I2930="Not Captured"), "Gap - Invalid Consent", IF(AND(D2930="Legitimate Interest (GDPR Art. 6(1)(f))", L2930=""), "Gap - Missing LIA", IF(AND(G2930="Yes", H2930=""), "Gap - Missing Art. 9 Basis", IF(OR(I2930="Invalid - Not Freely Given", I2930="Invalid - Not Specific", I2930="Invalid - Not Informed", I2930="Invalid - Ambiguous"), "Gap - Invalid Consent", "Compliant")))))</f>
        <v/>
      </c>
      <c r="O2930" s="7" t="n"/>
    </row>
    <row r="2931">
      <c r="A2931" s="7" t="n"/>
      <c r="B2931" s="7" t="n"/>
      <c r="C2931" s="7" t="n"/>
      <c r="D2931" s="7" t="n"/>
      <c r="E2931" s="7" t="n"/>
      <c r="F2931" s="7" t="n"/>
      <c r="G2931" s="7" t="n"/>
      <c r="H2931" s="7" t="n"/>
      <c r="I2931" s="7" t="n"/>
      <c r="J2931" s="7" t="n"/>
      <c r="K2931">
        <f>IF(D2931="Legitimate Interest (GDPR Art. 6(1)(f))", "Yes / Required (Sheet 3)", "")</f>
        <v/>
      </c>
      <c r="L2931" s="7" t="n"/>
      <c r="M2931" s="7" t="n"/>
      <c r="N2931">
        <f>IF(D2931="", "Gap - No Legal Basis", IF(AND(D2931="Consent (GDPR Art. 6(1)(a))", I2931="Not Captured"), "Gap - Invalid Consent", IF(AND(D2931="Legitimate Interest (GDPR Art. 6(1)(f))", L2931=""), "Gap - Missing LIA", IF(AND(G2931="Yes", H2931=""), "Gap - Missing Art. 9 Basis", IF(OR(I2931="Invalid - Not Freely Given", I2931="Invalid - Not Specific", I2931="Invalid - Not Informed", I2931="Invalid - Ambiguous"), "Gap - Invalid Consent", "Compliant")))))</f>
        <v/>
      </c>
      <c r="O2931" s="7" t="n"/>
    </row>
    <row r="2932">
      <c r="A2932" s="7" t="n"/>
      <c r="B2932" s="7" t="n"/>
      <c r="C2932" s="7" t="n"/>
      <c r="D2932" s="7" t="n"/>
      <c r="E2932" s="7" t="n"/>
      <c r="F2932" s="7" t="n"/>
      <c r="G2932" s="7" t="n"/>
      <c r="H2932" s="7" t="n"/>
      <c r="I2932" s="7" t="n"/>
      <c r="J2932" s="7" t="n"/>
      <c r="K2932">
        <f>IF(D2932="Legitimate Interest (GDPR Art. 6(1)(f))", "Yes / Required (Sheet 3)", "")</f>
        <v/>
      </c>
      <c r="L2932" s="7" t="n"/>
      <c r="M2932" s="7" t="n"/>
      <c r="N2932">
        <f>IF(D2932="", "Gap - No Legal Basis", IF(AND(D2932="Consent (GDPR Art. 6(1)(a))", I2932="Not Captured"), "Gap - Invalid Consent", IF(AND(D2932="Legitimate Interest (GDPR Art. 6(1)(f))", L2932=""), "Gap - Missing LIA", IF(AND(G2932="Yes", H2932=""), "Gap - Missing Art. 9 Basis", IF(OR(I2932="Invalid - Not Freely Given", I2932="Invalid - Not Specific", I2932="Invalid - Not Informed", I2932="Invalid - Ambiguous"), "Gap - Invalid Consent", "Compliant")))))</f>
        <v/>
      </c>
      <c r="O2932" s="7" t="n"/>
    </row>
    <row r="2933">
      <c r="A2933" s="7" t="n"/>
      <c r="B2933" s="7" t="n"/>
      <c r="C2933" s="7" t="n"/>
      <c r="D2933" s="7" t="n"/>
      <c r="E2933" s="7" t="n"/>
      <c r="F2933" s="7" t="n"/>
      <c r="G2933" s="7" t="n"/>
      <c r="H2933" s="7" t="n"/>
      <c r="I2933" s="7" t="n"/>
      <c r="J2933" s="7" t="n"/>
      <c r="K2933">
        <f>IF(D2933="Legitimate Interest (GDPR Art. 6(1)(f))", "Yes / Required (Sheet 3)", "")</f>
        <v/>
      </c>
      <c r="L2933" s="7" t="n"/>
      <c r="M2933" s="7" t="n"/>
      <c r="N2933">
        <f>IF(D2933="", "Gap - No Legal Basis", IF(AND(D2933="Consent (GDPR Art. 6(1)(a))", I2933="Not Captured"), "Gap - Invalid Consent", IF(AND(D2933="Legitimate Interest (GDPR Art. 6(1)(f))", L2933=""), "Gap - Missing LIA", IF(AND(G2933="Yes", H2933=""), "Gap - Missing Art. 9 Basis", IF(OR(I2933="Invalid - Not Freely Given", I2933="Invalid - Not Specific", I2933="Invalid - Not Informed", I2933="Invalid - Ambiguous"), "Gap - Invalid Consent", "Compliant")))))</f>
        <v/>
      </c>
      <c r="O2933" s="7" t="n"/>
    </row>
    <row r="2934">
      <c r="A2934" s="7" t="n"/>
      <c r="B2934" s="7" t="n"/>
      <c r="C2934" s="7" t="n"/>
      <c r="D2934" s="7" t="n"/>
      <c r="E2934" s="7" t="n"/>
      <c r="F2934" s="7" t="n"/>
      <c r="G2934" s="7" t="n"/>
      <c r="H2934" s="7" t="n"/>
      <c r="I2934" s="7" t="n"/>
      <c r="J2934" s="7" t="n"/>
      <c r="K2934">
        <f>IF(D2934="Legitimate Interest (GDPR Art. 6(1)(f))", "Yes / Required (Sheet 3)", "")</f>
        <v/>
      </c>
      <c r="L2934" s="7" t="n"/>
      <c r="M2934" s="7" t="n"/>
      <c r="N2934">
        <f>IF(D2934="", "Gap - No Legal Basis", IF(AND(D2934="Consent (GDPR Art. 6(1)(a))", I2934="Not Captured"), "Gap - Invalid Consent", IF(AND(D2934="Legitimate Interest (GDPR Art. 6(1)(f))", L2934=""), "Gap - Missing LIA", IF(AND(G2934="Yes", H2934=""), "Gap - Missing Art. 9 Basis", IF(OR(I2934="Invalid - Not Freely Given", I2934="Invalid - Not Specific", I2934="Invalid - Not Informed", I2934="Invalid - Ambiguous"), "Gap - Invalid Consent", "Compliant")))))</f>
        <v/>
      </c>
      <c r="O2934" s="7" t="n"/>
    </row>
    <row r="2935">
      <c r="A2935" s="7" t="n"/>
      <c r="B2935" s="7" t="n"/>
      <c r="C2935" s="7" t="n"/>
      <c r="D2935" s="7" t="n"/>
      <c r="E2935" s="7" t="n"/>
      <c r="F2935" s="7" t="n"/>
      <c r="G2935" s="7" t="n"/>
      <c r="H2935" s="7" t="n"/>
      <c r="I2935" s="7" t="n"/>
      <c r="J2935" s="7" t="n"/>
      <c r="K2935">
        <f>IF(D2935="Legitimate Interest (GDPR Art. 6(1)(f))", "Yes / Required (Sheet 3)", "")</f>
        <v/>
      </c>
      <c r="L2935" s="7" t="n"/>
      <c r="M2935" s="7" t="n"/>
      <c r="N2935">
        <f>IF(D2935="", "Gap - No Legal Basis", IF(AND(D2935="Consent (GDPR Art. 6(1)(a))", I2935="Not Captured"), "Gap - Invalid Consent", IF(AND(D2935="Legitimate Interest (GDPR Art. 6(1)(f))", L2935=""), "Gap - Missing LIA", IF(AND(G2935="Yes", H2935=""), "Gap - Missing Art. 9 Basis", IF(OR(I2935="Invalid - Not Freely Given", I2935="Invalid - Not Specific", I2935="Invalid - Not Informed", I2935="Invalid - Ambiguous"), "Gap - Invalid Consent", "Compliant")))))</f>
        <v/>
      </c>
      <c r="O2935" s="7" t="n"/>
    </row>
    <row r="2936">
      <c r="A2936" s="7" t="n"/>
      <c r="B2936" s="7" t="n"/>
      <c r="C2936" s="7" t="n"/>
      <c r="D2936" s="7" t="n"/>
      <c r="E2936" s="7" t="n"/>
      <c r="F2936" s="7" t="n"/>
      <c r="G2936" s="7" t="n"/>
      <c r="H2936" s="7" t="n"/>
      <c r="I2936" s="7" t="n"/>
      <c r="J2936" s="7" t="n"/>
      <c r="K2936">
        <f>IF(D2936="Legitimate Interest (GDPR Art. 6(1)(f))", "Yes / Required (Sheet 3)", "")</f>
        <v/>
      </c>
      <c r="L2936" s="7" t="n"/>
      <c r="M2936" s="7" t="n"/>
      <c r="N2936">
        <f>IF(D2936="", "Gap - No Legal Basis", IF(AND(D2936="Consent (GDPR Art. 6(1)(a))", I2936="Not Captured"), "Gap - Invalid Consent", IF(AND(D2936="Legitimate Interest (GDPR Art. 6(1)(f))", L2936=""), "Gap - Missing LIA", IF(AND(G2936="Yes", H2936=""), "Gap - Missing Art. 9 Basis", IF(OR(I2936="Invalid - Not Freely Given", I2936="Invalid - Not Specific", I2936="Invalid - Not Informed", I2936="Invalid - Ambiguous"), "Gap - Invalid Consent", "Compliant")))))</f>
        <v/>
      </c>
      <c r="O2936" s="7" t="n"/>
    </row>
    <row r="2937">
      <c r="A2937" s="7" t="n"/>
      <c r="B2937" s="7" t="n"/>
      <c r="C2937" s="7" t="n"/>
      <c r="D2937" s="7" t="n"/>
      <c r="E2937" s="7" t="n"/>
      <c r="F2937" s="7" t="n"/>
      <c r="G2937" s="7" t="n"/>
      <c r="H2937" s="7" t="n"/>
      <c r="I2937" s="7" t="n"/>
      <c r="J2937" s="7" t="n"/>
      <c r="K2937">
        <f>IF(D2937="Legitimate Interest (GDPR Art. 6(1)(f))", "Yes / Required (Sheet 3)", "")</f>
        <v/>
      </c>
      <c r="L2937" s="7" t="n"/>
      <c r="M2937" s="7" t="n"/>
      <c r="N2937">
        <f>IF(D2937="", "Gap - No Legal Basis", IF(AND(D2937="Consent (GDPR Art. 6(1)(a))", I2937="Not Captured"), "Gap - Invalid Consent", IF(AND(D2937="Legitimate Interest (GDPR Art. 6(1)(f))", L2937=""), "Gap - Missing LIA", IF(AND(G2937="Yes", H2937=""), "Gap - Missing Art. 9 Basis", IF(OR(I2937="Invalid - Not Freely Given", I2937="Invalid - Not Specific", I2937="Invalid - Not Informed", I2937="Invalid - Ambiguous"), "Gap - Invalid Consent", "Compliant")))))</f>
        <v/>
      </c>
      <c r="O2937" s="7" t="n"/>
    </row>
    <row r="2938">
      <c r="A2938" s="7" t="n"/>
      <c r="B2938" s="7" t="n"/>
      <c r="C2938" s="7" t="n"/>
      <c r="D2938" s="7" t="n"/>
      <c r="E2938" s="7" t="n"/>
      <c r="F2938" s="7" t="n"/>
      <c r="G2938" s="7" t="n"/>
      <c r="H2938" s="7" t="n"/>
      <c r="I2938" s="7" t="n"/>
      <c r="J2938" s="7" t="n"/>
      <c r="K2938">
        <f>IF(D2938="Legitimate Interest (GDPR Art. 6(1)(f))", "Yes / Required (Sheet 3)", "")</f>
        <v/>
      </c>
      <c r="L2938" s="7" t="n"/>
      <c r="M2938" s="7" t="n"/>
      <c r="N2938">
        <f>IF(D2938="", "Gap - No Legal Basis", IF(AND(D2938="Consent (GDPR Art. 6(1)(a))", I2938="Not Captured"), "Gap - Invalid Consent", IF(AND(D2938="Legitimate Interest (GDPR Art. 6(1)(f))", L2938=""), "Gap - Missing LIA", IF(AND(G2938="Yes", H2938=""), "Gap - Missing Art. 9 Basis", IF(OR(I2938="Invalid - Not Freely Given", I2938="Invalid - Not Specific", I2938="Invalid - Not Informed", I2938="Invalid - Ambiguous"), "Gap - Invalid Consent", "Compliant")))))</f>
        <v/>
      </c>
      <c r="O2938" s="7" t="n"/>
    </row>
    <row r="2939">
      <c r="A2939" s="7" t="n"/>
      <c r="B2939" s="7" t="n"/>
      <c r="C2939" s="7" t="n"/>
      <c r="D2939" s="7" t="n"/>
      <c r="E2939" s="7" t="n"/>
      <c r="F2939" s="7" t="n"/>
      <c r="G2939" s="7" t="n"/>
      <c r="H2939" s="7" t="n"/>
      <c r="I2939" s="7" t="n"/>
      <c r="J2939" s="7" t="n"/>
      <c r="K2939">
        <f>IF(D2939="Legitimate Interest (GDPR Art. 6(1)(f))", "Yes / Required (Sheet 3)", "")</f>
        <v/>
      </c>
      <c r="L2939" s="7" t="n"/>
      <c r="M2939" s="7" t="n"/>
      <c r="N2939">
        <f>IF(D2939="", "Gap - No Legal Basis", IF(AND(D2939="Consent (GDPR Art. 6(1)(a))", I2939="Not Captured"), "Gap - Invalid Consent", IF(AND(D2939="Legitimate Interest (GDPR Art. 6(1)(f))", L2939=""), "Gap - Missing LIA", IF(AND(G2939="Yes", H2939=""), "Gap - Missing Art. 9 Basis", IF(OR(I2939="Invalid - Not Freely Given", I2939="Invalid - Not Specific", I2939="Invalid - Not Informed", I2939="Invalid - Ambiguous"), "Gap - Invalid Consent", "Compliant")))))</f>
        <v/>
      </c>
      <c r="O2939" s="7" t="n"/>
    </row>
    <row r="2940">
      <c r="A2940" s="7" t="n"/>
      <c r="B2940" s="7" t="n"/>
      <c r="C2940" s="7" t="n"/>
      <c r="D2940" s="7" t="n"/>
      <c r="E2940" s="7" t="n"/>
      <c r="F2940" s="7" t="n"/>
      <c r="G2940" s="7" t="n"/>
      <c r="H2940" s="7" t="n"/>
      <c r="I2940" s="7" t="n"/>
      <c r="J2940" s="7" t="n"/>
      <c r="K2940">
        <f>IF(D2940="Legitimate Interest (GDPR Art. 6(1)(f))", "Yes / Required (Sheet 3)", "")</f>
        <v/>
      </c>
      <c r="L2940" s="7" t="n"/>
      <c r="M2940" s="7" t="n"/>
      <c r="N2940">
        <f>IF(D2940="", "Gap - No Legal Basis", IF(AND(D2940="Consent (GDPR Art. 6(1)(a))", I2940="Not Captured"), "Gap - Invalid Consent", IF(AND(D2940="Legitimate Interest (GDPR Art. 6(1)(f))", L2940=""), "Gap - Missing LIA", IF(AND(G2940="Yes", H2940=""), "Gap - Missing Art. 9 Basis", IF(OR(I2940="Invalid - Not Freely Given", I2940="Invalid - Not Specific", I2940="Invalid - Not Informed", I2940="Invalid - Ambiguous"), "Gap - Invalid Consent", "Compliant")))))</f>
        <v/>
      </c>
      <c r="O2940" s="7" t="n"/>
    </row>
    <row r="2941">
      <c r="A2941" s="7" t="n"/>
      <c r="B2941" s="7" t="n"/>
      <c r="C2941" s="7" t="n"/>
      <c r="D2941" s="7" t="n"/>
      <c r="E2941" s="7" t="n"/>
      <c r="F2941" s="7" t="n"/>
      <c r="G2941" s="7" t="n"/>
      <c r="H2941" s="7" t="n"/>
      <c r="I2941" s="7" t="n"/>
      <c r="J2941" s="7" t="n"/>
      <c r="K2941">
        <f>IF(D2941="Legitimate Interest (GDPR Art. 6(1)(f))", "Yes / Required (Sheet 3)", "")</f>
        <v/>
      </c>
      <c r="L2941" s="7" t="n"/>
      <c r="M2941" s="7" t="n"/>
      <c r="N2941">
        <f>IF(D2941="", "Gap - No Legal Basis", IF(AND(D2941="Consent (GDPR Art. 6(1)(a))", I2941="Not Captured"), "Gap - Invalid Consent", IF(AND(D2941="Legitimate Interest (GDPR Art. 6(1)(f))", L2941=""), "Gap - Missing LIA", IF(AND(G2941="Yes", H2941=""), "Gap - Missing Art. 9 Basis", IF(OR(I2941="Invalid - Not Freely Given", I2941="Invalid - Not Specific", I2941="Invalid - Not Informed", I2941="Invalid - Ambiguous"), "Gap - Invalid Consent", "Compliant")))))</f>
        <v/>
      </c>
      <c r="O2941" s="7" t="n"/>
    </row>
    <row r="2942">
      <c r="A2942" s="7" t="n"/>
      <c r="B2942" s="7" t="n"/>
      <c r="C2942" s="7" t="n"/>
      <c r="D2942" s="7" t="n"/>
      <c r="E2942" s="7" t="n"/>
      <c r="F2942" s="7" t="n"/>
      <c r="G2942" s="7" t="n"/>
      <c r="H2942" s="7" t="n"/>
      <c r="I2942" s="7" t="n"/>
      <c r="J2942" s="7" t="n"/>
      <c r="K2942">
        <f>IF(D2942="Legitimate Interest (GDPR Art. 6(1)(f))", "Yes / Required (Sheet 3)", "")</f>
        <v/>
      </c>
      <c r="L2942" s="7" t="n"/>
      <c r="M2942" s="7" t="n"/>
      <c r="N2942">
        <f>IF(D2942="", "Gap - No Legal Basis", IF(AND(D2942="Consent (GDPR Art. 6(1)(a))", I2942="Not Captured"), "Gap - Invalid Consent", IF(AND(D2942="Legitimate Interest (GDPR Art. 6(1)(f))", L2942=""), "Gap - Missing LIA", IF(AND(G2942="Yes", H2942=""), "Gap - Missing Art. 9 Basis", IF(OR(I2942="Invalid - Not Freely Given", I2942="Invalid - Not Specific", I2942="Invalid - Not Informed", I2942="Invalid - Ambiguous"), "Gap - Invalid Consent", "Compliant")))))</f>
        <v/>
      </c>
      <c r="O2942" s="7" t="n"/>
    </row>
    <row r="2943">
      <c r="A2943" s="7" t="n"/>
      <c r="B2943" s="7" t="n"/>
      <c r="C2943" s="7" t="n"/>
      <c r="D2943" s="7" t="n"/>
      <c r="E2943" s="7" t="n"/>
      <c r="F2943" s="7" t="n"/>
      <c r="G2943" s="7" t="n"/>
      <c r="H2943" s="7" t="n"/>
      <c r="I2943" s="7" t="n"/>
      <c r="J2943" s="7" t="n"/>
      <c r="K2943">
        <f>IF(D2943="Legitimate Interest (GDPR Art. 6(1)(f))", "Yes / Required (Sheet 3)", "")</f>
        <v/>
      </c>
      <c r="L2943" s="7" t="n"/>
      <c r="M2943" s="7" t="n"/>
      <c r="N2943">
        <f>IF(D2943="", "Gap - No Legal Basis", IF(AND(D2943="Consent (GDPR Art. 6(1)(a))", I2943="Not Captured"), "Gap - Invalid Consent", IF(AND(D2943="Legitimate Interest (GDPR Art. 6(1)(f))", L2943=""), "Gap - Missing LIA", IF(AND(G2943="Yes", H2943=""), "Gap - Missing Art. 9 Basis", IF(OR(I2943="Invalid - Not Freely Given", I2943="Invalid - Not Specific", I2943="Invalid - Not Informed", I2943="Invalid - Ambiguous"), "Gap - Invalid Consent", "Compliant")))))</f>
        <v/>
      </c>
      <c r="O2943" s="7" t="n"/>
    </row>
    <row r="2944">
      <c r="A2944" s="7" t="n"/>
      <c r="B2944" s="7" t="n"/>
      <c r="C2944" s="7" t="n"/>
      <c r="D2944" s="7" t="n"/>
      <c r="E2944" s="7" t="n"/>
      <c r="F2944" s="7" t="n"/>
      <c r="G2944" s="7" t="n"/>
      <c r="H2944" s="7" t="n"/>
      <c r="I2944" s="7" t="n"/>
      <c r="J2944" s="7" t="n"/>
      <c r="K2944">
        <f>IF(D2944="Legitimate Interest (GDPR Art. 6(1)(f))", "Yes / Required (Sheet 3)", "")</f>
        <v/>
      </c>
      <c r="L2944" s="7" t="n"/>
      <c r="M2944" s="7" t="n"/>
      <c r="N2944">
        <f>IF(D2944="", "Gap - No Legal Basis", IF(AND(D2944="Consent (GDPR Art. 6(1)(a))", I2944="Not Captured"), "Gap - Invalid Consent", IF(AND(D2944="Legitimate Interest (GDPR Art. 6(1)(f))", L2944=""), "Gap - Missing LIA", IF(AND(G2944="Yes", H2944=""), "Gap - Missing Art. 9 Basis", IF(OR(I2944="Invalid - Not Freely Given", I2944="Invalid - Not Specific", I2944="Invalid - Not Informed", I2944="Invalid - Ambiguous"), "Gap - Invalid Consent", "Compliant")))))</f>
        <v/>
      </c>
      <c r="O2944" s="7" t="n"/>
    </row>
    <row r="2945">
      <c r="A2945" s="7" t="n"/>
      <c r="B2945" s="7" t="n"/>
      <c r="C2945" s="7" t="n"/>
      <c r="D2945" s="7" t="n"/>
      <c r="E2945" s="7" t="n"/>
      <c r="F2945" s="7" t="n"/>
      <c r="G2945" s="7" t="n"/>
      <c r="H2945" s="7" t="n"/>
      <c r="I2945" s="7" t="n"/>
      <c r="J2945" s="7" t="n"/>
      <c r="K2945">
        <f>IF(D2945="Legitimate Interest (GDPR Art. 6(1)(f))", "Yes / Required (Sheet 3)", "")</f>
        <v/>
      </c>
      <c r="L2945" s="7" t="n"/>
      <c r="M2945" s="7" t="n"/>
      <c r="N2945">
        <f>IF(D2945="", "Gap - No Legal Basis", IF(AND(D2945="Consent (GDPR Art. 6(1)(a))", I2945="Not Captured"), "Gap - Invalid Consent", IF(AND(D2945="Legitimate Interest (GDPR Art. 6(1)(f))", L2945=""), "Gap - Missing LIA", IF(AND(G2945="Yes", H2945=""), "Gap - Missing Art. 9 Basis", IF(OR(I2945="Invalid - Not Freely Given", I2945="Invalid - Not Specific", I2945="Invalid - Not Informed", I2945="Invalid - Ambiguous"), "Gap - Invalid Consent", "Compliant")))))</f>
        <v/>
      </c>
      <c r="O2945" s="7" t="n"/>
    </row>
    <row r="2946">
      <c r="A2946" s="7" t="n"/>
      <c r="B2946" s="7" t="n"/>
      <c r="C2946" s="7" t="n"/>
      <c r="D2946" s="7" t="n"/>
      <c r="E2946" s="7" t="n"/>
      <c r="F2946" s="7" t="n"/>
      <c r="G2946" s="7" t="n"/>
      <c r="H2946" s="7" t="n"/>
      <c r="I2946" s="7" t="n"/>
      <c r="J2946" s="7" t="n"/>
      <c r="K2946">
        <f>IF(D2946="Legitimate Interest (GDPR Art. 6(1)(f))", "Yes / Required (Sheet 3)", "")</f>
        <v/>
      </c>
      <c r="L2946" s="7" t="n"/>
      <c r="M2946" s="7" t="n"/>
      <c r="N2946">
        <f>IF(D2946="", "Gap - No Legal Basis", IF(AND(D2946="Consent (GDPR Art. 6(1)(a))", I2946="Not Captured"), "Gap - Invalid Consent", IF(AND(D2946="Legitimate Interest (GDPR Art. 6(1)(f))", L2946=""), "Gap - Missing LIA", IF(AND(G2946="Yes", H2946=""), "Gap - Missing Art. 9 Basis", IF(OR(I2946="Invalid - Not Freely Given", I2946="Invalid - Not Specific", I2946="Invalid - Not Informed", I2946="Invalid - Ambiguous"), "Gap - Invalid Consent", "Compliant")))))</f>
        <v/>
      </c>
      <c r="O2946" s="7" t="n"/>
    </row>
    <row r="2947">
      <c r="A2947" s="7" t="n"/>
      <c r="B2947" s="7" t="n"/>
      <c r="C2947" s="7" t="n"/>
      <c r="D2947" s="7" t="n"/>
      <c r="E2947" s="7" t="n"/>
      <c r="F2947" s="7" t="n"/>
      <c r="G2947" s="7" t="n"/>
      <c r="H2947" s="7" t="n"/>
      <c r="I2947" s="7" t="n"/>
      <c r="J2947" s="7" t="n"/>
      <c r="K2947">
        <f>IF(D2947="Legitimate Interest (GDPR Art. 6(1)(f))", "Yes / Required (Sheet 3)", "")</f>
        <v/>
      </c>
      <c r="L2947" s="7" t="n"/>
      <c r="M2947" s="7" t="n"/>
      <c r="N2947">
        <f>IF(D2947="", "Gap - No Legal Basis", IF(AND(D2947="Consent (GDPR Art. 6(1)(a))", I2947="Not Captured"), "Gap - Invalid Consent", IF(AND(D2947="Legitimate Interest (GDPR Art. 6(1)(f))", L2947=""), "Gap - Missing LIA", IF(AND(G2947="Yes", H2947=""), "Gap - Missing Art. 9 Basis", IF(OR(I2947="Invalid - Not Freely Given", I2947="Invalid - Not Specific", I2947="Invalid - Not Informed", I2947="Invalid - Ambiguous"), "Gap - Invalid Consent", "Compliant")))))</f>
        <v/>
      </c>
      <c r="O2947" s="7" t="n"/>
    </row>
    <row r="2948">
      <c r="A2948" s="7" t="n"/>
      <c r="B2948" s="7" t="n"/>
      <c r="C2948" s="7" t="n"/>
      <c r="D2948" s="7" t="n"/>
      <c r="E2948" s="7" t="n"/>
      <c r="F2948" s="7" t="n"/>
      <c r="G2948" s="7" t="n"/>
      <c r="H2948" s="7" t="n"/>
      <c r="I2948" s="7" t="n"/>
      <c r="J2948" s="7" t="n"/>
      <c r="K2948">
        <f>IF(D2948="Legitimate Interest (GDPR Art. 6(1)(f))", "Yes / Required (Sheet 3)", "")</f>
        <v/>
      </c>
      <c r="L2948" s="7" t="n"/>
      <c r="M2948" s="7" t="n"/>
      <c r="N2948">
        <f>IF(D2948="", "Gap - No Legal Basis", IF(AND(D2948="Consent (GDPR Art. 6(1)(a))", I2948="Not Captured"), "Gap - Invalid Consent", IF(AND(D2948="Legitimate Interest (GDPR Art. 6(1)(f))", L2948=""), "Gap - Missing LIA", IF(AND(G2948="Yes", H2948=""), "Gap - Missing Art. 9 Basis", IF(OR(I2948="Invalid - Not Freely Given", I2948="Invalid - Not Specific", I2948="Invalid - Not Informed", I2948="Invalid - Ambiguous"), "Gap - Invalid Consent", "Compliant")))))</f>
        <v/>
      </c>
      <c r="O2948" s="7" t="n"/>
    </row>
    <row r="2949">
      <c r="A2949" s="7" t="n"/>
      <c r="B2949" s="7" t="n"/>
      <c r="C2949" s="7" t="n"/>
      <c r="D2949" s="7" t="n"/>
      <c r="E2949" s="7" t="n"/>
      <c r="F2949" s="7" t="n"/>
      <c r="G2949" s="7" t="n"/>
      <c r="H2949" s="7" t="n"/>
      <c r="I2949" s="7" t="n"/>
      <c r="J2949" s="7" t="n"/>
      <c r="K2949">
        <f>IF(D2949="Legitimate Interest (GDPR Art. 6(1)(f))", "Yes / Required (Sheet 3)", "")</f>
        <v/>
      </c>
      <c r="L2949" s="7" t="n"/>
      <c r="M2949" s="7" t="n"/>
      <c r="N2949">
        <f>IF(D2949="", "Gap - No Legal Basis", IF(AND(D2949="Consent (GDPR Art. 6(1)(a))", I2949="Not Captured"), "Gap - Invalid Consent", IF(AND(D2949="Legitimate Interest (GDPR Art. 6(1)(f))", L2949=""), "Gap - Missing LIA", IF(AND(G2949="Yes", H2949=""), "Gap - Missing Art. 9 Basis", IF(OR(I2949="Invalid - Not Freely Given", I2949="Invalid - Not Specific", I2949="Invalid - Not Informed", I2949="Invalid - Ambiguous"), "Gap - Invalid Consent", "Compliant")))))</f>
        <v/>
      </c>
      <c r="O2949" s="7" t="n"/>
    </row>
    <row r="2950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7" t="n"/>
      <c r="J2950" s="7" t="n"/>
      <c r="K2950">
        <f>IF(D2950="Legitimate Interest (GDPR Art. 6(1)(f))", "Yes / Required (Sheet 3)", "")</f>
        <v/>
      </c>
      <c r="L2950" s="7" t="n"/>
      <c r="M2950" s="7" t="n"/>
      <c r="N2950">
        <f>IF(D2950="", "Gap - No Legal Basis", IF(AND(D2950="Consent (GDPR Art. 6(1)(a))", I2950="Not Captured"), "Gap - Invalid Consent", IF(AND(D2950="Legitimate Interest (GDPR Art. 6(1)(f))", L2950=""), "Gap - Missing LIA", IF(AND(G2950="Yes", H2950=""), "Gap - Missing Art. 9 Basis", IF(OR(I2950="Invalid - Not Freely Given", I2950="Invalid - Not Specific", I2950="Invalid - Not Informed", I2950="Invalid - Ambiguous"), "Gap - Invalid Consent", "Compliant")))))</f>
        <v/>
      </c>
      <c r="O2950" s="7" t="n"/>
    </row>
    <row r="2951">
      <c r="A2951" s="7" t="n"/>
      <c r="B2951" s="7" t="n"/>
      <c r="C2951" s="7" t="n"/>
      <c r="D2951" s="7" t="n"/>
      <c r="E2951" s="7" t="n"/>
      <c r="F2951" s="7" t="n"/>
      <c r="G2951" s="7" t="n"/>
      <c r="H2951" s="7" t="n"/>
      <c r="I2951" s="7" t="n"/>
      <c r="J2951" s="7" t="n"/>
      <c r="K2951">
        <f>IF(D2951="Legitimate Interest (GDPR Art. 6(1)(f))", "Yes / Required (Sheet 3)", "")</f>
        <v/>
      </c>
      <c r="L2951" s="7" t="n"/>
      <c r="M2951" s="7" t="n"/>
      <c r="N2951">
        <f>IF(D2951="", "Gap - No Legal Basis", IF(AND(D2951="Consent (GDPR Art. 6(1)(a))", I2951="Not Captured"), "Gap - Invalid Consent", IF(AND(D2951="Legitimate Interest (GDPR Art. 6(1)(f))", L2951=""), "Gap - Missing LIA", IF(AND(G2951="Yes", H2951=""), "Gap - Missing Art. 9 Basis", IF(OR(I2951="Invalid - Not Freely Given", I2951="Invalid - Not Specific", I2951="Invalid - Not Informed", I2951="Invalid - Ambiguous"), "Gap - Invalid Consent", "Compliant")))))</f>
        <v/>
      </c>
      <c r="O2951" s="7" t="n"/>
    </row>
    <row r="2952">
      <c r="A2952" s="7" t="n"/>
      <c r="B2952" s="7" t="n"/>
      <c r="C2952" s="7" t="n"/>
      <c r="D2952" s="7" t="n"/>
      <c r="E2952" s="7" t="n"/>
      <c r="F2952" s="7" t="n"/>
      <c r="G2952" s="7" t="n"/>
      <c r="H2952" s="7" t="n"/>
      <c r="I2952" s="7" t="n"/>
      <c r="J2952" s="7" t="n"/>
      <c r="K2952">
        <f>IF(D2952="Legitimate Interest (GDPR Art. 6(1)(f))", "Yes / Required (Sheet 3)", "")</f>
        <v/>
      </c>
      <c r="L2952" s="7" t="n"/>
      <c r="M2952" s="7" t="n"/>
      <c r="N2952">
        <f>IF(D2952="", "Gap - No Legal Basis", IF(AND(D2952="Consent (GDPR Art. 6(1)(a))", I2952="Not Captured"), "Gap - Invalid Consent", IF(AND(D2952="Legitimate Interest (GDPR Art. 6(1)(f))", L2952=""), "Gap - Missing LIA", IF(AND(G2952="Yes", H2952=""), "Gap - Missing Art. 9 Basis", IF(OR(I2952="Invalid - Not Freely Given", I2952="Invalid - Not Specific", I2952="Invalid - Not Informed", I2952="Invalid - Ambiguous"), "Gap - Invalid Consent", "Compliant")))))</f>
        <v/>
      </c>
      <c r="O2952" s="7" t="n"/>
    </row>
    <row r="2953">
      <c r="A2953" s="7" t="n"/>
      <c r="B2953" s="7" t="n"/>
      <c r="C2953" s="7" t="n"/>
      <c r="D2953" s="7" t="n"/>
      <c r="E2953" s="7" t="n"/>
      <c r="F2953" s="7" t="n"/>
      <c r="G2953" s="7" t="n"/>
      <c r="H2953" s="7" t="n"/>
      <c r="I2953" s="7" t="n"/>
      <c r="J2953" s="7" t="n"/>
      <c r="K2953">
        <f>IF(D2953="Legitimate Interest (GDPR Art. 6(1)(f))", "Yes / Required (Sheet 3)", "")</f>
        <v/>
      </c>
      <c r="L2953" s="7" t="n"/>
      <c r="M2953" s="7" t="n"/>
      <c r="N2953">
        <f>IF(D2953="", "Gap - No Legal Basis", IF(AND(D2953="Consent (GDPR Art. 6(1)(a))", I2953="Not Captured"), "Gap - Invalid Consent", IF(AND(D2953="Legitimate Interest (GDPR Art. 6(1)(f))", L2953=""), "Gap - Missing LIA", IF(AND(G2953="Yes", H2953=""), "Gap - Missing Art. 9 Basis", IF(OR(I2953="Invalid - Not Freely Given", I2953="Invalid - Not Specific", I2953="Invalid - Not Informed", I2953="Invalid - Ambiguous"), "Gap - Invalid Consent", "Compliant")))))</f>
        <v/>
      </c>
      <c r="O2953" s="7" t="n"/>
    </row>
    <row r="2954">
      <c r="A2954" s="7" t="n"/>
      <c r="B2954" s="7" t="n"/>
      <c r="C2954" s="7" t="n"/>
      <c r="D2954" s="7" t="n"/>
      <c r="E2954" s="7" t="n"/>
      <c r="F2954" s="7" t="n"/>
      <c r="G2954" s="7" t="n"/>
      <c r="H2954" s="7" t="n"/>
      <c r="I2954" s="7" t="n"/>
      <c r="J2954" s="7" t="n"/>
      <c r="K2954">
        <f>IF(D2954="Legitimate Interest (GDPR Art. 6(1)(f))", "Yes / Required (Sheet 3)", "")</f>
        <v/>
      </c>
      <c r="L2954" s="7" t="n"/>
      <c r="M2954" s="7" t="n"/>
      <c r="N2954">
        <f>IF(D2954="", "Gap - No Legal Basis", IF(AND(D2954="Consent (GDPR Art. 6(1)(a))", I2954="Not Captured"), "Gap - Invalid Consent", IF(AND(D2954="Legitimate Interest (GDPR Art. 6(1)(f))", L2954=""), "Gap - Missing LIA", IF(AND(G2954="Yes", H2954=""), "Gap - Missing Art. 9 Basis", IF(OR(I2954="Invalid - Not Freely Given", I2954="Invalid - Not Specific", I2954="Invalid - Not Informed", I2954="Invalid - Ambiguous"), "Gap - Invalid Consent", "Compliant")))))</f>
        <v/>
      </c>
      <c r="O2954" s="7" t="n"/>
    </row>
    <row r="2955">
      <c r="A2955" s="7" t="n"/>
      <c r="B2955" s="7" t="n"/>
      <c r="C2955" s="7" t="n"/>
      <c r="D2955" s="7" t="n"/>
      <c r="E2955" s="7" t="n"/>
      <c r="F2955" s="7" t="n"/>
      <c r="G2955" s="7" t="n"/>
      <c r="H2955" s="7" t="n"/>
      <c r="I2955" s="7" t="n"/>
      <c r="J2955" s="7" t="n"/>
      <c r="K2955">
        <f>IF(D2955="Legitimate Interest (GDPR Art. 6(1)(f))", "Yes / Required (Sheet 3)", "")</f>
        <v/>
      </c>
      <c r="L2955" s="7" t="n"/>
      <c r="M2955" s="7" t="n"/>
      <c r="N2955">
        <f>IF(D2955="", "Gap - No Legal Basis", IF(AND(D2955="Consent (GDPR Art. 6(1)(a))", I2955="Not Captured"), "Gap - Invalid Consent", IF(AND(D2955="Legitimate Interest (GDPR Art. 6(1)(f))", L2955=""), "Gap - Missing LIA", IF(AND(G2955="Yes", H2955=""), "Gap - Missing Art. 9 Basis", IF(OR(I2955="Invalid - Not Freely Given", I2955="Invalid - Not Specific", I2955="Invalid - Not Informed", I2955="Invalid - Ambiguous"), "Gap - Invalid Consent", "Compliant")))))</f>
        <v/>
      </c>
      <c r="O2955" s="7" t="n"/>
    </row>
    <row r="2956">
      <c r="A2956" s="7" t="n"/>
      <c r="B2956" s="7" t="n"/>
      <c r="C2956" s="7" t="n"/>
      <c r="D2956" s="7" t="n"/>
      <c r="E2956" s="7" t="n"/>
      <c r="F2956" s="7" t="n"/>
      <c r="G2956" s="7" t="n"/>
      <c r="H2956" s="7" t="n"/>
      <c r="I2956" s="7" t="n"/>
      <c r="J2956" s="7" t="n"/>
      <c r="K2956">
        <f>IF(D2956="Legitimate Interest (GDPR Art. 6(1)(f))", "Yes / Required (Sheet 3)", "")</f>
        <v/>
      </c>
      <c r="L2956" s="7" t="n"/>
      <c r="M2956" s="7" t="n"/>
      <c r="N2956">
        <f>IF(D2956="", "Gap - No Legal Basis", IF(AND(D2956="Consent (GDPR Art. 6(1)(a))", I2956="Not Captured"), "Gap - Invalid Consent", IF(AND(D2956="Legitimate Interest (GDPR Art. 6(1)(f))", L2956=""), "Gap - Missing LIA", IF(AND(G2956="Yes", H2956=""), "Gap - Missing Art. 9 Basis", IF(OR(I2956="Invalid - Not Freely Given", I2956="Invalid - Not Specific", I2956="Invalid - Not Informed", I2956="Invalid - Ambiguous"), "Gap - Invalid Consent", "Compliant")))))</f>
        <v/>
      </c>
      <c r="O2956" s="7" t="n"/>
    </row>
    <row r="2957">
      <c r="A2957" s="7" t="n"/>
      <c r="B2957" s="7" t="n"/>
      <c r="C2957" s="7" t="n"/>
      <c r="D2957" s="7" t="n"/>
      <c r="E2957" s="7" t="n"/>
      <c r="F2957" s="7" t="n"/>
      <c r="G2957" s="7" t="n"/>
      <c r="H2957" s="7" t="n"/>
      <c r="I2957" s="7" t="n"/>
      <c r="J2957" s="7" t="n"/>
      <c r="K2957">
        <f>IF(D2957="Legitimate Interest (GDPR Art. 6(1)(f))", "Yes / Required (Sheet 3)", "")</f>
        <v/>
      </c>
      <c r="L2957" s="7" t="n"/>
      <c r="M2957" s="7" t="n"/>
      <c r="N2957">
        <f>IF(D2957="", "Gap - No Legal Basis", IF(AND(D2957="Consent (GDPR Art. 6(1)(a))", I2957="Not Captured"), "Gap - Invalid Consent", IF(AND(D2957="Legitimate Interest (GDPR Art. 6(1)(f))", L2957=""), "Gap - Missing LIA", IF(AND(G2957="Yes", H2957=""), "Gap - Missing Art. 9 Basis", IF(OR(I2957="Invalid - Not Freely Given", I2957="Invalid - Not Specific", I2957="Invalid - Not Informed", I2957="Invalid - Ambiguous"), "Gap - Invalid Consent", "Compliant")))))</f>
        <v/>
      </c>
      <c r="O2957" s="7" t="n"/>
    </row>
    <row r="2958">
      <c r="A2958" s="7" t="n"/>
      <c r="B2958" s="7" t="n"/>
      <c r="C2958" s="7" t="n"/>
      <c r="D2958" s="7" t="n"/>
      <c r="E2958" s="7" t="n"/>
      <c r="F2958" s="7" t="n"/>
      <c r="G2958" s="7" t="n"/>
      <c r="H2958" s="7" t="n"/>
      <c r="I2958" s="7" t="n"/>
      <c r="J2958" s="7" t="n"/>
      <c r="K2958">
        <f>IF(D2958="Legitimate Interest (GDPR Art. 6(1)(f))", "Yes / Required (Sheet 3)", "")</f>
        <v/>
      </c>
      <c r="L2958" s="7" t="n"/>
      <c r="M2958" s="7" t="n"/>
      <c r="N2958">
        <f>IF(D2958="", "Gap - No Legal Basis", IF(AND(D2958="Consent (GDPR Art. 6(1)(a))", I2958="Not Captured"), "Gap - Invalid Consent", IF(AND(D2958="Legitimate Interest (GDPR Art. 6(1)(f))", L2958=""), "Gap - Missing LIA", IF(AND(G2958="Yes", H2958=""), "Gap - Missing Art. 9 Basis", IF(OR(I2958="Invalid - Not Freely Given", I2958="Invalid - Not Specific", I2958="Invalid - Not Informed", I2958="Invalid - Ambiguous"), "Gap - Invalid Consent", "Compliant")))))</f>
        <v/>
      </c>
      <c r="O2958" s="7" t="n"/>
    </row>
    <row r="2959">
      <c r="A2959" s="7" t="n"/>
      <c r="B2959" s="7" t="n"/>
      <c r="C2959" s="7" t="n"/>
      <c r="D2959" s="7" t="n"/>
      <c r="E2959" s="7" t="n"/>
      <c r="F2959" s="7" t="n"/>
      <c r="G2959" s="7" t="n"/>
      <c r="H2959" s="7" t="n"/>
      <c r="I2959" s="7" t="n"/>
      <c r="J2959" s="7" t="n"/>
      <c r="K2959">
        <f>IF(D2959="Legitimate Interest (GDPR Art. 6(1)(f))", "Yes / Required (Sheet 3)", "")</f>
        <v/>
      </c>
      <c r="L2959" s="7" t="n"/>
      <c r="M2959" s="7" t="n"/>
      <c r="N2959">
        <f>IF(D2959="", "Gap - No Legal Basis", IF(AND(D2959="Consent (GDPR Art. 6(1)(a))", I2959="Not Captured"), "Gap - Invalid Consent", IF(AND(D2959="Legitimate Interest (GDPR Art. 6(1)(f))", L2959=""), "Gap - Missing LIA", IF(AND(G2959="Yes", H2959=""), "Gap - Missing Art. 9 Basis", IF(OR(I2959="Invalid - Not Freely Given", I2959="Invalid - Not Specific", I2959="Invalid - Not Informed", I2959="Invalid - Ambiguous"), "Gap - Invalid Consent", "Compliant")))))</f>
        <v/>
      </c>
      <c r="O2959" s="7" t="n"/>
    </row>
    <row r="2960">
      <c r="A2960" s="7" t="n"/>
      <c r="B2960" s="7" t="n"/>
      <c r="C2960" s="7" t="n"/>
      <c r="D2960" s="7" t="n"/>
      <c r="E2960" s="7" t="n"/>
      <c r="F2960" s="7" t="n"/>
      <c r="G2960" s="7" t="n"/>
      <c r="H2960" s="7" t="n"/>
      <c r="I2960" s="7" t="n"/>
      <c r="J2960" s="7" t="n"/>
      <c r="K2960">
        <f>IF(D2960="Legitimate Interest (GDPR Art. 6(1)(f))", "Yes / Required (Sheet 3)", "")</f>
        <v/>
      </c>
      <c r="L2960" s="7" t="n"/>
      <c r="M2960" s="7" t="n"/>
      <c r="N2960">
        <f>IF(D2960="", "Gap - No Legal Basis", IF(AND(D2960="Consent (GDPR Art. 6(1)(a))", I2960="Not Captured"), "Gap - Invalid Consent", IF(AND(D2960="Legitimate Interest (GDPR Art. 6(1)(f))", L2960=""), "Gap - Missing LIA", IF(AND(G2960="Yes", H2960=""), "Gap - Missing Art. 9 Basis", IF(OR(I2960="Invalid - Not Freely Given", I2960="Invalid - Not Specific", I2960="Invalid - Not Informed", I2960="Invalid - Ambiguous"), "Gap - Invalid Consent", "Compliant")))))</f>
        <v/>
      </c>
      <c r="O2960" s="7" t="n"/>
    </row>
    <row r="2961">
      <c r="A2961" s="7" t="n"/>
      <c r="B2961" s="7" t="n"/>
      <c r="C2961" s="7" t="n"/>
      <c r="D2961" s="7" t="n"/>
      <c r="E2961" s="7" t="n"/>
      <c r="F2961" s="7" t="n"/>
      <c r="G2961" s="7" t="n"/>
      <c r="H2961" s="7" t="n"/>
      <c r="I2961" s="7" t="n"/>
      <c r="J2961" s="7" t="n"/>
      <c r="K2961">
        <f>IF(D2961="Legitimate Interest (GDPR Art. 6(1)(f))", "Yes / Required (Sheet 3)", "")</f>
        <v/>
      </c>
      <c r="L2961" s="7" t="n"/>
      <c r="M2961" s="7" t="n"/>
      <c r="N2961">
        <f>IF(D2961="", "Gap - No Legal Basis", IF(AND(D2961="Consent (GDPR Art. 6(1)(a))", I2961="Not Captured"), "Gap - Invalid Consent", IF(AND(D2961="Legitimate Interest (GDPR Art. 6(1)(f))", L2961=""), "Gap - Missing LIA", IF(AND(G2961="Yes", H2961=""), "Gap - Missing Art. 9 Basis", IF(OR(I2961="Invalid - Not Freely Given", I2961="Invalid - Not Specific", I2961="Invalid - Not Informed", I2961="Invalid - Ambiguous"), "Gap - Invalid Consent", "Compliant")))))</f>
        <v/>
      </c>
      <c r="O2961" s="7" t="n"/>
    </row>
    <row r="2962">
      <c r="A2962" s="7" t="n"/>
      <c r="B2962" s="7" t="n"/>
      <c r="C2962" s="7" t="n"/>
      <c r="D2962" s="7" t="n"/>
      <c r="E2962" s="7" t="n"/>
      <c r="F2962" s="7" t="n"/>
      <c r="G2962" s="7" t="n"/>
      <c r="H2962" s="7" t="n"/>
      <c r="I2962" s="7" t="n"/>
      <c r="J2962" s="7" t="n"/>
      <c r="K2962">
        <f>IF(D2962="Legitimate Interest (GDPR Art. 6(1)(f))", "Yes / Required (Sheet 3)", "")</f>
        <v/>
      </c>
      <c r="L2962" s="7" t="n"/>
      <c r="M2962" s="7" t="n"/>
      <c r="N2962">
        <f>IF(D2962="", "Gap - No Legal Basis", IF(AND(D2962="Consent (GDPR Art. 6(1)(a))", I2962="Not Captured"), "Gap - Invalid Consent", IF(AND(D2962="Legitimate Interest (GDPR Art. 6(1)(f))", L2962=""), "Gap - Missing LIA", IF(AND(G2962="Yes", H2962=""), "Gap - Missing Art. 9 Basis", IF(OR(I2962="Invalid - Not Freely Given", I2962="Invalid - Not Specific", I2962="Invalid - Not Informed", I2962="Invalid - Ambiguous"), "Gap - Invalid Consent", "Compliant")))))</f>
        <v/>
      </c>
      <c r="O2962" s="7" t="n"/>
    </row>
    <row r="2963">
      <c r="A2963" s="7" t="n"/>
      <c r="B2963" s="7" t="n"/>
      <c r="C2963" s="7" t="n"/>
      <c r="D2963" s="7" t="n"/>
      <c r="E2963" s="7" t="n"/>
      <c r="F2963" s="7" t="n"/>
      <c r="G2963" s="7" t="n"/>
      <c r="H2963" s="7" t="n"/>
      <c r="I2963" s="7" t="n"/>
      <c r="J2963" s="7" t="n"/>
      <c r="K2963">
        <f>IF(D2963="Legitimate Interest (GDPR Art. 6(1)(f))", "Yes / Required (Sheet 3)", "")</f>
        <v/>
      </c>
      <c r="L2963" s="7" t="n"/>
      <c r="M2963" s="7" t="n"/>
      <c r="N2963">
        <f>IF(D2963="", "Gap - No Legal Basis", IF(AND(D2963="Consent (GDPR Art. 6(1)(a))", I2963="Not Captured"), "Gap - Invalid Consent", IF(AND(D2963="Legitimate Interest (GDPR Art. 6(1)(f))", L2963=""), "Gap - Missing LIA", IF(AND(G2963="Yes", H2963=""), "Gap - Missing Art. 9 Basis", IF(OR(I2963="Invalid - Not Freely Given", I2963="Invalid - Not Specific", I2963="Invalid - Not Informed", I2963="Invalid - Ambiguous"), "Gap - Invalid Consent", "Compliant")))))</f>
        <v/>
      </c>
      <c r="O2963" s="7" t="n"/>
    </row>
    <row r="2964">
      <c r="A2964" s="7" t="n"/>
      <c r="B2964" s="7" t="n"/>
      <c r="C2964" s="7" t="n"/>
      <c r="D2964" s="7" t="n"/>
      <c r="E2964" s="7" t="n"/>
      <c r="F2964" s="7" t="n"/>
      <c r="G2964" s="7" t="n"/>
      <c r="H2964" s="7" t="n"/>
      <c r="I2964" s="7" t="n"/>
      <c r="J2964" s="7" t="n"/>
      <c r="K2964">
        <f>IF(D2964="Legitimate Interest (GDPR Art. 6(1)(f))", "Yes / Required (Sheet 3)", "")</f>
        <v/>
      </c>
      <c r="L2964" s="7" t="n"/>
      <c r="M2964" s="7" t="n"/>
      <c r="N2964">
        <f>IF(D2964="", "Gap - No Legal Basis", IF(AND(D2964="Consent (GDPR Art. 6(1)(a))", I2964="Not Captured"), "Gap - Invalid Consent", IF(AND(D2964="Legitimate Interest (GDPR Art. 6(1)(f))", L2964=""), "Gap - Missing LIA", IF(AND(G2964="Yes", H2964=""), "Gap - Missing Art. 9 Basis", IF(OR(I2964="Invalid - Not Freely Given", I2964="Invalid - Not Specific", I2964="Invalid - Not Informed", I2964="Invalid - Ambiguous"), "Gap - Invalid Consent", "Compliant")))))</f>
        <v/>
      </c>
      <c r="O2964" s="7" t="n"/>
    </row>
    <row r="2965">
      <c r="A2965" s="7" t="n"/>
      <c r="B2965" s="7" t="n"/>
      <c r="C2965" s="7" t="n"/>
      <c r="D2965" s="7" t="n"/>
      <c r="E2965" s="7" t="n"/>
      <c r="F2965" s="7" t="n"/>
      <c r="G2965" s="7" t="n"/>
      <c r="H2965" s="7" t="n"/>
      <c r="I2965" s="7" t="n"/>
      <c r="J2965" s="7" t="n"/>
      <c r="K2965">
        <f>IF(D2965="Legitimate Interest (GDPR Art. 6(1)(f))", "Yes / Required (Sheet 3)", "")</f>
        <v/>
      </c>
      <c r="L2965" s="7" t="n"/>
      <c r="M2965" s="7" t="n"/>
      <c r="N2965">
        <f>IF(D2965="", "Gap - No Legal Basis", IF(AND(D2965="Consent (GDPR Art. 6(1)(a))", I2965="Not Captured"), "Gap - Invalid Consent", IF(AND(D2965="Legitimate Interest (GDPR Art. 6(1)(f))", L2965=""), "Gap - Missing LIA", IF(AND(G2965="Yes", H2965=""), "Gap - Missing Art. 9 Basis", IF(OR(I2965="Invalid - Not Freely Given", I2965="Invalid - Not Specific", I2965="Invalid - Not Informed", I2965="Invalid - Ambiguous"), "Gap - Invalid Consent", "Compliant")))))</f>
        <v/>
      </c>
      <c r="O2965" s="7" t="n"/>
    </row>
    <row r="2966">
      <c r="A2966" s="7" t="n"/>
      <c r="B2966" s="7" t="n"/>
      <c r="C2966" s="7" t="n"/>
      <c r="D2966" s="7" t="n"/>
      <c r="E2966" s="7" t="n"/>
      <c r="F2966" s="7" t="n"/>
      <c r="G2966" s="7" t="n"/>
      <c r="H2966" s="7" t="n"/>
      <c r="I2966" s="7" t="n"/>
      <c r="J2966" s="7" t="n"/>
      <c r="K2966">
        <f>IF(D2966="Legitimate Interest (GDPR Art. 6(1)(f))", "Yes / Required (Sheet 3)", "")</f>
        <v/>
      </c>
      <c r="L2966" s="7" t="n"/>
      <c r="M2966" s="7" t="n"/>
      <c r="N2966">
        <f>IF(D2966="", "Gap - No Legal Basis", IF(AND(D2966="Consent (GDPR Art. 6(1)(a))", I2966="Not Captured"), "Gap - Invalid Consent", IF(AND(D2966="Legitimate Interest (GDPR Art. 6(1)(f))", L2966=""), "Gap - Missing LIA", IF(AND(G2966="Yes", H2966=""), "Gap - Missing Art. 9 Basis", IF(OR(I2966="Invalid - Not Freely Given", I2966="Invalid - Not Specific", I2966="Invalid - Not Informed", I2966="Invalid - Ambiguous"), "Gap - Invalid Consent", "Compliant")))))</f>
        <v/>
      </c>
      <c r="O2966" s="7" t="n"/>
    </row>
    <row r="2967">
      <c r="A2967" s="7" t="n"/>
      <c r="B2967" s="7" t="n"/>
      <c r="C2967" s="7" t="n"/>
      <c r="D2967" s="7" t="n"/>
      <c r="E2967" s="7" t="n"/>
      <c r="F2967" s="7" t="n"/>
      <c r="G2967" s="7" t="n"/>
      <c r="H2967" s="7" t="n"/>
      <c r="I2967" s="7" t="n"/>
      <c r="J2967" s="7" t="n"/>
      <c r="K2967">
        <f>IF(D2967="Legitimate Interest (GDPR Art. 6(1)(f))", "Yes / Required (Sheet 3)", "")</f>
        <v/>
      </c>
      <c r="L2967" s="7" t="n"/>
      <c r="M2967" s="7" t="n"/>
      <c r="N2967">
        <f>IF(D2967="", "Gap - No Legal Basis", IF(AND(D2967="Consent (GDPR Art. 6(1)(a))", I2967="Not Captured"), "Gap - Invalid Consent", IF(AND(D2967="Legitimate Interest (GDPR Art. 6(1)(f))", L2967=""), "Gap - Missing LIA", IF(AND(G2967="Yes", H2967=""), "Gap - Missing Art. 9 Basis", IF(OR(I2967="Invalid - Not Freely Given", I2967="Invalid - Not Specific", I2967="Invalid - Not Informed", I2967="Invalid - Ambiguous"), "Gap - Invalid Consent", "Compliant")))))</f>
        <v/>
      </c>
      <c r="O2967" s="7" t="n"/>
    </row>
    <row r="2968">
      <c r="A2968" s="7" t="n"/>
      <c r="B2968" s="7" t="n"/>
      <c r="C2968" s="7" t="n"/>
      <c r="D2968" s="7" t="n"/>
      <c r="E2968" s="7" t="n"/>
      <c r="F2968" s="7" t="n"/>
      <c r="G2968" s="7" t="n"/>
      <c r="H2968" s="7" t="n"/>
      <c r="I2968" s="7" t="n"/>
      <c r="J2968" s="7" t="n"/>
      <c r="K2968">
        <f>IF(D2968="Legitimate Interest (GDPR Art. 6(1)(f))", "Yes / Required (Sheet 3)", "")</f>
        <v/>
      </c>
      <c r="L2968" s="7" t="n"/>
      <c r="M2968" s="7" t="n"/>
      <c r="N2968">
        <f>IF(D2968="", "Gap - No Legal Basis", IF(AND(D2968="Consent (GDPR Art. 6(1)(a))", I2968="Not Captured"), "Gap - Invalid Consent", IF(AND(D2968="Legitimate Interest (GDPR Art. 6(1)(f))", L2968=""), "Gap - Missing LIA", IF(AND(G2968="Yes", H2968=""), "Gap - Missing Art. 9 Basis", IF(OR(I2968="Invalid - Not Freely Given", I2968="Invalid - Not Specific", I2968="Invalid - Not Informed", I2968="Invalid - Ambiguous"), "Gap - Invalid Consent", "Compliant")))))</f>
        <v/>
      </c>
      <c r="O2968" s="7" t="n"/>
    </row>
    <row r="2969">
      <c r="A2969" s="7" t="n"/>
      <c r="B2969" s="7" t="n"/>
      <c r="C2969" s="7" t="n"/>
      <c r="D2969" s="7" t="n"/>
      <c r="E2969" s="7" t="n"/>
      <c r="F2969" s="7" t="n"/>
      <c r="G2969" s="7" t="n"/>
      <c r="H2969" s="7" t="n"/>
      <c r="I2969" s="7" t="n"/>
      <c r="J2969" s="7" t="n"/>
      <c r="K2969">
        <f>IF(D2969="Legitimate Interest (GDPR Art. 6(1)(f))", "Yes / Required (Sheet 3)", "")</f>
        <v/>
      </c>
      <c r="L2969" s="7" t="n"/>
      <c r="M2969" s="7" t="n"/>
      <c r="N2969">
        <f>IF(D2969="", "Gap - No Legal Basis", IF(AND(D2969="Consent (GDPR Art. 6(1)(a))", I2969="Not Captured"), "Gap - Invalid Consent", IF(AND(D2969="Legitimate Interest (GDPR Art. 6(1)(f))", L2969=""), "Gap - Missing LIA", IF(AND(G2969="Yes", H2969=""), "Gap - Missing Art. 9 Basis", IF(OR(I2969="Invalid - Not Freely Given", I2969="Invalid - Not Specific", I2969="Invalid - Not Informed", I2969="Invalid - Ambiguous"), "Gap - Invalid Consent", "Compliant")))))</f>
        <v/>
      </c>
      <c r="O2969" s="7" t="n"/>
    </row>
    <row r="2970">
      <c r="A2970" s="7" t="n"/>
      <c r="B2970" s="7" t="n"/>
      <c r="C2970" s="7" t="n"/>
      <c r="D2970" s="7" t="n"/>
      <c r="E2970" s="7" t="n"/>
      <c r="F2970" s="7" t="n"/>
      <c r="G2970" s="7" t="n"/>
      <c r="H2970" s="7" t="n"/>
      <c r="I2970" s="7" t="n"/>
      <c r="J2970" s="7" t="n"/>
      <c r="K2970">
        <f>IF(D2970="Legitimate Interest (GDPR Art. 6(1)(f))", "Yes / Required (Sheet 3)", "")</f>
        <v/>
      </c>
      <c r="L2970" s="7" t="n"/>
      <c r="M2970" s="7" t="n"/>
      <c r="N2970">
        <f>IF(D2970="", "Gap - No Legal Basis", IF(AND(D2970="Consent (GDPR Art. 6(1)(a))", I2970="Not Captured"), "Gap - Invalid Consent", IF(AND(D2970="Legitimate Interest (GDPR Art. 6(1)(f))", L2970=""), "Gap - Missing LIA", IF(AND(G2970="Yes", H2970=""), "Gap - Missing Art. 9 Basis", IF(OR(I2970="Invalid - Not Freely Given", I2970="Invalid - Not Specific", I2970="Invalid - Not Informed", I2970="Invalid - Ambiguous"), "Gap - Invalid Consent", "Compliant")))))</f>
        <v/>
      </c>
      <c r="O2970" s="7" t="n"/>
    </row>
    <row r="2971">
      <c r="A2971" s="7" t="n"/>
      <c r="B2971" s="7" t="n"/>
      <c r="C2971" s="7" t="n"/>
      <c r="D2971" s="7" t="n"/>
      <c r="E2971" s="7" t="n"/>
      <c r="F2971" s="7" t="n"/>
      <c r="G2971" s="7" t="n"/>
      <c r="H2971" s="7" t="n"/>
      <c r="I2971" s="7" t="n"/>
      <c r="J2971" s="7" t="n"/>
      <c r="K2971">
        <f>IF(D2971="Legitimate Interest (GDPR Art. 6(1)(f))", "Yes / Required (Sheet 3)", "")</f>
        <v/>
      </c>
      <c r="L2971" s="7" t="n"/>
      <c r="M2971" s="7" t="n"/>
      <c r="N2971">
        <f>IF(D2971="", "Gap - No Legal Basis", IF(AND(D2971="Consent (GDPR Art. 6(1)(a))", I2971="Not Captured"), "Gap - Invalid Consent", IF(AND(D2971="Legitimate Interest (GDPR Art. 6(1)(f))", L2971=""), "Gap - Missing LIA", IF(AND(G2971="Yes", H2971=""), "Gap - Missing Art. 9 Basis", IF(OR(I2971="Invalid - Not Freely Given", I2971="Invalid - Not Specific", I2971="Invalid - Not Informed", I2971="Invalid - Ambiguous"), "Gap - Invalid Consent", "Compliant")))))</f>
        <v/>
      </c>
      <c r="O2971" s="7" t="n"/>
    </row>
    <row r="2972">
      <c r="A2972" s="7" t="n"/>
      <c r="B2972" s="7" t="n"/>
      <c r="C2972" s="7" t="n"/>
      <c r="D2972" s="7" t="n"/>
      <c r="E2972" s="7" t="n"/>
      <c r="F2972" s="7" t="n"/>
      <c r="G2972" s="7" t="n"/>
      <c r="H2972" s="7" t="n"/>
      <c r="I2972" s="7" t="n"/>
      <c r="J2972" s="7" t="n"/>
      <c r="K2972">
        <f>IF(D2972="Legitimate Interest (GDPR Art. 6(1)(f))", "Yes / Required (Sheet 3)", "")</f>
        <v/>
      </c>
      <c r="L2972" s="7" t="n"/>
      <c r="M2972" s="7" t="n"/>
      <c r="N2972">
        <f>IF(D2972="", "Gap - No Legal Basis", IF(AND(D2972="Consent (GDPR Art. 6(1)(a))", I2972="Not Captured"), "Gap - Invalid Consent", IF(AND(D2972="Legitimate Interest (GDPR Art. 6(1)(f))", L2972=""), "Gap - Missing LIA", IF(AND(G2972="Yes", H2972=""), "Gap - Missing Art. 9 Basis", IF(OR(I2972="Invalid - Not Freely Given", I2972="Invalid - Not Specific", I2972="Invalid - Not Informed", I2972="Invalid - Ambiguous"), "Gap - Invalid Consent", "Compliant")))))</f>
        <v/>
      </c>
      <c r="O2972" s="7" t="n"/>
    </row>
    <row r="2973">
      <c r="A2973" s="7" t="n"/>
      <c r="B2973" s="7" t="n"/>
      <c r="C2973" s="7" t="n"/>
      <c r="D2973" s="7" t="n"/>
      <c r="E2973" s="7" t="n"/>
      <c r="F2973" s="7" t="n"/>
      <c r="G2973" s="7" t="n"/>
      <c r="H2973" s="7" t="n"/>
      <c r="I2973" s="7" t="n"/>
      <c r="J2973" s="7" t="n"/>
      <c r="K2973">
        <f>IF(D2973="Legitimate Interest (GDPR Art. 6(1)(f))", "Yes / Required (Sheet 3)", "")</f>
        <v/>
      </c>
      <c r="L2973" s="7" t="n"/>
      <c r="M2973" s="7" t="n"/>
      <c r="N2973">
        <f>IF(D2973="", "Gap - No Legal Basis", IF(AND(D2973="Consent (GDPR Art. 6(1)(a))", I2973="Not Captured"), "Gap - Invalid Consent", IF(AND(D2973="Legitimate Interest (GDPR Art. 6(1)(f))", L2973=""), "Gap - Missing LIA", IF(AND(G2973="Yes", H2973=""), "Gap - Missing Art. 9 Basis", IF(OR(I2973="Invalid - Not Freely Given", I2973="Invalid - Not Specific", I2973="Invalid - Not Informed", I2973="Invalid - Ambiguous"), "Gap - Invalid Consent", "Compliant")))))</f>
        <v/>
      </c>
      <c r="O2973" s="7" t="n"/>
    </row>
    <row r="2974">
      <c r="A2974" s="7" t="n"/>
      <c r="B2974" s="7" t="n"/>
      <c r="C2974" s="7" t="n"/>
      <c r="D2974" s="7" t="n"/>
      <c r="E2974" s="7" t="n"/>
      <c r="F2974" s="7" t="n"/>
      <c r="G2974" s="7" t="n"/>
      <c r="H2974" s="7" t="n"/>
      <c r="I2974" s="7" t="n"/>
      <c r="J2974" s="7" t="n"/>
      <c r="K2974">
        <f>IF(D2974="Legitimate Interest (GDPR Art. 6(1)(f))", "Yes / Required (Sheet 3)", "")</f>
        <v/>
      </c>
      <c r="L2974" s="7" t="n"/>
      <c r="M2974" s="7" t="n"/>
      <c r="N2974">
        <f>IF(D2974="", "Gap - No Legal Basis", IF(AND(D2974="Consent (GDPR Art. 6(1)(a))", I2974="Not Captured"), "Gap - Invalid Consent", IF(AND(D2974="Legitimate Interest (GDPR Art. 6(1)(f))", L2974=""), "Gap - Missing LIA", IF(AND(G2974="Yes", H2974=""), "Gap - Missing Art. 9 Basis", IF(OR(I2974="Invalid - Not Freely Given", I2974="Invalid - Not Specific", I2974="Invalid - Not Informed", I2974="Invalid - Ambiguous"), "Gap - Invalid Consent", "Compliant")))))</f>
        <v/>
      </c>
      <c r="O2974" s="7" t="n"/>
    </row>
    <row r="2975">
      <c r="A2975" s="7" t="n"/>
      <c r="B2975" s="7" t="n"/>
      <c r="C2975" s="7" t="n"/>
      <c r="D2975" s="7" t="n"/>
      <c r="E2975" s="7" t="n"/>
      <c r="F2975" s="7" t="n"/>
      <c r="G2975" s="7" t="n"/>
      <c r="H2975" s="7" t="n"/>
      <c r="I2975" s="7" t="n"/>
      <c r="J2975" s="7" t="n"/>
      <c r="K2975">
        <f>IF(D2975="Legitimate Interest (GDPR Art. 6(1)(f))", "Yes / Required (Sheet 3)", "")</f>
        <v/>
      </c>
      <c r="L2975" s="7" t="n"/>
      <c r="M2975" s="7" t="n"/>
      <c r="N2975">
        <f>IF(D2975="", "Gap - No Legal Basis", IF(AND(D2975="Consent (GDPR Art. 6(1)(a))", I2975="Not Captured"), "Gap - Invalid Consent", IF(AND(D2975="Legitimate Interest (GDPR Art. 6(1)(f))", L2975=""), "Gap - Missing LIA", IF(AND(G2975="Yes", H2975=""), "Gap - Missing Art. 9 Basis", IF(OR(I2975="Invalid - Not Freely Given", I2975="Invalid - Not Specific", I2975="Invalid - Not Informed", I2975="Invalid - Ambiguous"), "Gap - Invalid Consent", "Compliant")))))</f>
        <v/>
      </c>
      <c r="O2975" s="7" t="n"/>
    </row>
    <row r="2976">
      <c r="A2976" s="7" t="n"/>
      <c r="B2976" s="7" t="n"/>
      <c r="C2976" s="7" t="n"/>
      <c r="D2976" s="7" t="n"/>
      <c r="E2976" s="7" t="n"/>
      <c r="F2976" s="7" t="n"/>
      <c r="G2976" s="7" t="n"/>
      <c r="H2976" s="7" t="n"/>
      <c r="I2976" s="7" t="n"/>
      <c r="J2976" s="7" t="n"/>
      <c r="K2976">
        <f>IF(D2976="Legitimate Interest (GDPR Art. 6(1)(f))", "Yes / Required (Sheet 3)", "")</f>
        <v/>
      </c>
      <c r="L2976" s="7" t="n"/>
      <c r="M2976" s="7" t="n"/>
      <c r="N2976">
        <f>IF(D2976="", "Gap - No Legal Basis", IF(AND(D2976="Consent (GDPR Art. 6(1)(a))", I2976="Not Captured"), "Gap - Invalid Consent", IF(AND(D2976="Legitimate Interest (GDPR Art. 6(1)(f))", L2976=""), "Gap - Missing LIA", IF(AND(G2976="Yes", H2976=""), "Gap - Missing Art. 9 Basis", IF(OR(I2976="Invalid - Not Freely Given", I2976="Invalid - Not Specific", I2976="Invalid - Not Informed", I2976="Invalid - Ambiguous"), "Gap - Invalid Consent", "Compliant")))))</f>
        <v/>
      </c>
      <c r="O2976" s="7" t="n"/>
    </row>
    <row r="2977">
      <c r="A2977" s="7" t="n"/>
      <c r="B2977" s="7" t="n"/>
      <c r="C2977" s="7" t="n"/>
      <c r="D2977" s="7" t="n"/>
      <c r="E2977" s="7" t="n"/>
      <c r="F2977" s="7" t="n"/>
      <c r="G2977" s="7" t="n"/>
      <c r="H2977" s="7" t="n"/>
      <c r="I2977" s="7" t="n"/>
      <c r="J2977" s="7" t="n"/>
      <c r="K2977">
        <f>IF(D2977="Legitimate Interest (GDPR Art. 6(1)(f))", "Yes / Required (Sheet 3)", "")</f>
        <v/>
      </c>
      <c r="L2977" s="7" t="n"/>
      <c r="M2977" s="7" t="n"/>
      <c r="N2977">
        <f>IF(D2977="", "Gap - No Legal Basis", IF(AND(D2977="Consent (GDPR Art. 6(1)(a))", I2977="Not Captured"), "Gap - Invalid Consent", IF(AND(D2977="Legitimate Interest (GDPR Art. 6(1)(f))", L2977=""), "Gap - Missing LIA", IF(AND(G2977="Yes", H2977=""), "Gap - Missing Art. 9 Basis", IF(OR(I2977="Invalid - Not Freely Given", I2977="Invalid - Not Specific", I2977="Invalid - Not Informed", I2977="Invalid - Ambiguous"), "Gap - Invalid Consent", "Compliant")))))</f>
        <v/>
      </c>
      <c r="O2977" s="7" t="n"/>
    </row>
    <row r="2978">
      <c r="A2978" s="7" t="n"/>
      <c r="B2978" s="7" t="n"/>
      <c r="C2978" s="7" t="n"/>
      <c r="D2978" s="7" t="n"/>
      <c r="E2978" s="7" t="n"/>
      <c r="F2978" s="7" t="n"/>
      <c r="G2978" s="7" t="n"/>
      <c r="H2978" s="7" t="n"/>
      <c r="I2978" s="7" t="n"/>
      <c r="J2978" s="7" t="n"/>
      <c r="K2978">
        <f>IF(D2978="Legitimate Interest (GDPR Art. 6(1)(f))", "Yes / Required (Sheet 3)", "")</f>
        <v/>
      </c>
      <c r="L2978" s="7" t="n"/>
      <c r="M2978" s="7" t="n"/>
      <c r="N2978">
        <f>IF(D2978="", "Gap - No Legal Basis", IF(AND(D2978="Consent (GDPR Art. 6(1)(a))", I2978="Not Captured"), "Gap - Invalid Consent", IF(AND(D2978="Legitimate Interest (GDPR Art. 6(1)(f))", L2978=""), "Gap - Missing LIA", IF(AND(G2978="Yes", H2978=""), "Gap - Missing Art. 9 Basis", IF(OR(I2978="Invalid - Not Freely Given", I2978="Invalid - Not Specific", I2978="Invalid - Not Informed", I2978="Invalid - Ambiguous"), "Gap - Invalid Consent", "Compliant")))))</f>
        <v/>
      </c>
      <c r="O2978" s="7" t="n"/>
    </row>
    <row r="2979">
      <c r="A2979" s="7" t="n"/>
      <c r="B2979" s="7" t="n"/>
      <c r="C2979" s="7" t="n"/>
      <c r="D2979" s="7" t="n"/>
      <c r="E2979" s="7" t="n"/>
      <c r="F2979" s="7" t="n"/>
      <c r="G2979" s="7" t="n"/>
      <c r="H2979" s="7" t="n"/>
      <c r="I2979" s="7" t="n"/>
      <c r="J2979" s="7" t="n"/>
      <c r="K2979">
        <f>IF(D2979="Legitimate Interest (GDPR Art. 6(1)(f))", "Yes / Required (Sheet 3)", "")</f>
        <v/>
      </c>
      <c r="L2979" s="7" t="n"/>
      <c r="M2979" s="7" t="n"/>
      <c r="N2979">
        <f>IF(D2979="", "Gap - No Legal Basis", IF(AND(D2979="Consent (GDPR Art. 6(1)(a))", I2979="Not Captured"), "Gap - Invalid Consent", IF(AND(D2979="Legitimate Interest (GDPR Art. 6(1)(f))", L2979=""), "Gap - Missing LIA", IF(AND(G2979="Yes", H2979=""), "Gap - Missing Art. 9 Basis", IF(OR(I2979="Invalid - Not Freely Given", I2979="Invalid - Not Specific", I2979="Invalid - Not Informed", I2979="Invalid - Ambiguous"), "Gap - Invalid Consent", "Compliant")))))</f>
        <v/>
      </c>
      <c r="O2979" s="7" t="n"/>
    </row>
    <row r="2980">
      <c r="A2980" s="7" t="n"/>
      <c r="B2980" s="7" t="n"/>
      <c r="C2980" s="7" t="n"/>
      <c r="D2980" s="7" t="n"/>
      <c r="E2980" s="7" t="n"/>
      <c r="F2980" s="7" t="n"/>
      <c r="G2980" s="7" t="n"/>
      <c r="H2980" s="7" t="n"/>
      <c r="I2980" s="7" t="n"/>
      <c r="J2980" s="7" t="n"/>
      <c r="K2980">
        <f>IF(D2980="Legitimate Interest (GDPR Art. 6(1)(f))", "Yes / Required (Sheet 3)", "")</f>
        <v/>
      </c>
      <c r="L2980" s="7" t="n"/>
      <c r="M2980" s="7" t="n"/>
      <c r="N2980">
        <f>IF(D2980="", "Gap - No Legal Basis", IF(AND(D2980="Consent (GDPR Art. 6(1)(a))", I2980="Not Captured"), "Gap - Invalid Consent", IF(AND(D2980="Legitimate Interest (GDPR Art. 6(1)(f))", L2980=""), "Gap - Missing LIA", IF(AND(G2980="Yes", H2980=""), "Gap - Missing Art. 9 Basis", IF(OR(I2980="Invalid - Not Freely Given", I2980="Invalid - Not Specific", I2980="Invalid - Not Informed", I2980="Invalid - Ambiguous"), "Gap - Invalid Consent", "Compliant")))))</f>
        <v/>
      </c>
      <c r="O2980" s="7" t="n"/>
    </row>
    <row r="2981">
      <c r="A2981" s="7" t="n"/>
      <c r="B2981" s="7" t="n"/>
      <c r="C2981" s="7" t="n"/>
      <c r="D2981" s="7" t="n"/>
      <c r="E2981" s="7" t="n"/>
      <c r="F2981" s="7" t="n"/>
      <c r="G2981" s="7" t="n"/>
      <c r="H2981" s="7" t="n"/>
      <c r="I2981" s="7" t="n"/>
      <c r="J2981" s="7" t="n"/>
      <c r="K2981">
        <f>IF(D2981="Legitimate Interest (GDPR Art. 6(1)(f))", "Yes / Required (Sheet 3)", "")</f>
        <v/>
      </c>
      <c r="L2981" s="7" t="n"/>
      <c r="M2981" s="7" t="n"/>
      <c r="N2981">
        <f>IF(D2981="", "Gap - No Legal Basis", IF(AND(D2981="Consent (GDPR Art. 6(1)(a))", I2981="Not Captured"), "Gap - Invalid Consent", IF(AND(D2981="Legitimate Interest (GDPR Art. 6(1)(f))", L2981=""), "Gap - Missing LIA", IF(AND(G2981="Yes", H2981=""), "Gap - Missing Art. 9 Basis", IF(OR(I2981="Invalid - Not Freely Given", I2981="Invalid - Not Specific", I2981="Invalid - Not Informed", I2981="Invalid - Ambiguous"), "Gap - Invalid Consent", "Compliant")))))</f>
        <v/>
      </c>
      <c r="O2981" s="7" t="n"/>
    </row>
    <row r="2982">
      <c r="A2982" s="7" t="n"/>
      <c r="B2982" s="7" t="n"/>
      <c r="C2982" s="7" t="n"/>
      <c r="D2982" s="7" t="n"/>
      <c r="E2982" s="7" t="n"/>
      <c r="F2982" s="7" t="n"/>
      <c r="G2982" s="7" t="n"/>
      <c r="H2982" s="7" t="n"/>
      <c r="I2982" s="7" t="n"/>
      <c r="J2982" s="7" t="n"/>
      <c r="K2982">
        <f>IF(D2982="Legitimate Interest (GDPR Art. 6(1)(f))", "Yes / Required (Sheet 3)", "")</f>
        <v/>
      </c>
      <c r="L2982" s="7" t="n"/>
      <c r="M2982" s="7" t="n"/>
      <c r="N2982">
        <f>IF(D2982="", "Gap - No Legal Basis", IF(AND(D2982="Consent (GDPR Art. 6(1)(a))", I2982="Not Captured"), "Gap - Invalid Consent", IF(AND(D2982="Legitimate Interest (GDPR Art. 6(1)(f))", L2982=""), "Gap - Missing LIA", IF(AND(G2982="Yes", H2982=""), "Gap - Missing Art. 9 Basis", IF(OR(I2982="Invalid - Not Freely Given", I2982="Invalid - Not Specific", I2982="Invalid - Not Informed", I2982="Invalid - Ambiguous"), "Gap - Invalid Consent", "Compliant")))))</f>
        <v/>
      </c>
      <c r="O2982" s="7" t="n"/>
    </row>
    <row r="2983">
      <c r="A2983" s="7" t="n"/>
      <c r="B2983" s="7" t="n"/>
      <c r="C2983" s="7" t="n"/>
      <c r="D2983" s="7" t="n"/>
      <c r="E2983" s="7" t="n"/>
      <c r="F2983" s="7" t="n"/>
      <c r="G2983" s="7" t="n"/>
      <c r="H2983" s="7" t="n"/>
      <c r="I2983" s="7" t="n"/>
      <c r="J2983" s="7" t="n"/>
      <c r="K2983">
        <f>IF(D2983="Legitimate Interest (GDPR Art. 6(1)(f))", "Yes / Required (Sheet 3)", "")</f>
        <v/>
      </c>
      <c r="L2983" s="7" t="n"/>
      <c r="M2983" s="7" t="n"/>
      <c r="N2983">
        <f>IF(D2983="", "Gap - No Legal Basis", IF(AND(D2983="Consent (GDPR Art. 6(1)(a))", I2983="Not Captured"), "Gap - Invalid Consent", IF(AND(D2983="Legitimate Interest (GDPR Art. 6(1)(f))", L2983=""), "Gap - Missing LIA", IF(AND(G2983="Yes", H2983=""), "Gap - Missing Art. 9 Basis", IF(OR(I2983="Invalid - Not Freely Given", I2983="Invalid - Not Specific", I2983="Invalid - Not Informed", I2983="Invalid - Ambiguous"), "Gap - Invalid Consent", "Compliant")))))</f>
        <v/>
      </c>
      <c r="O2983" s="7" t="n"/>
    </row>
    <row r="2984">
      <c r="A2984" s="7" t="n"/>
      <c r="B2984" s="7" t="n"/>
      <c r="C2984" s="7" t="n"/>
      <c r="D2984" s="7" t="n"/>
      <c r="E2984" s="7" t="n"/>
      <c r="F2984" s="7" t="n"/>
      <c r="G2984" s="7" t="n"/>
      <c r="H2984" s="7" t="n"/>
      <c r="I2984" s="7" t="n"/>
      <c r="J2984" s="7" t="n"/>
      <c r="K2984">
        <f>IF(D2984="Legitimate Interest (GDPR Art. 6(1)(f))", "Yes / Required (Sheet 3)", "")</f>
        <v/>
      </c>
      <c r="L2984" s="7" t="n"/>
      <c r="M2984" s="7" t="n"/>
      <c r="N2984">
        <f>IF(D2984="", "Gap - No Legal Basis", IF(AND(D2984="Consent (GDPR Art. 6(1)(a))", I2984="Not Captured"), "Gap - Invalid Consent", IF(AND(D2984="Legitimate Interest (GDPR Art. 6(1)(f))", L2984=""), "Gap - Missing LIA", IF(AND(G2984="Yes", H2984=""), "Gap - Missing Art. 9 Basis", IF(OR(I2984="Invalid - Not Freely Given", I2984="Invalid - Not Specific", I2984="Invalid - Not Informed", I2984="Invalid - Ambiguous"), "Gap - Invalid Consent", "Compliant")))))</f>
        <v/>
      </c>
      <c r="O2984" s="7" t="n"/>
    </row>
    <row r="2985">
      <c r="A2985" s="7" t="n"/>
      <c r="B2985" s="7" t="n"/>
      <c r="C2985" s="7" t="n"/>
      <c r="D2985" s="7" t="n"/>
      <c r="E2985" s="7" t="n"/>
      <c r="F2985" s="7" t="n"/>
      <c r="G2985" s="7" t="n"/>
      <c r="H2985" s="7" t="n"/>
      <c r="I2985" s="7" t="n"/>
      <c r="J2985" s="7" t="n"/>
      <c r="K2985">
        <f>IF(D2985="Legitimate Interest (GDPR Art. 6(1)(f))", "Yes / Required (Sheet 3)", "")</f>
        <v/>
      </c>
      <c r="L2985" s="7" t="n"/>
      <c r="M2985" s="7" t="n"/>
      <c r="N2985">
        <f>IF(D2985="", "Gap - No Legal Basis", IF(AND(D2985="Consent (GDPR Art. 6(1)(a))", I2985="Not Captured"), "Gap - Invalid Consent", IF(AND(D2985="Legitimate Interest (GDPR Art. 6(1)(f))", L2985=""), "Gap - Missing LIA", IF(AND(G2985="Yes", H2985=""), "Gap - Missing Art. 9 Basis", IF(OR(I2985="Invalid - Not Freely Given", I2985="Invalid - Not Specific", I2985="Invalid - Not Informed", I2985="Invalid - Ambiguous"), "Gap - Invalid Consent", "Compliant")))))</f>
        <v/>
      </c>
      <c r="O2985" s="7" t="n"/>
    </row>
    <row r="2986">
      <c r="A2986" s="7" t="n"/>
      <c r="B2986" s="7" t="n"/>
      <c r="C2986" s="7" t="n"/>
      <c r="D2986" s="7" t="n"/>
      <c r="E2986" s="7" t="n"/>
      <c r="F2986" s="7" t="n"/>
      <c r="G2986" s="7" t="n"/>
      <c r="H2986" s="7" t="n"/>
      <c r="I2986" s="7" t="n"/>
      <c r="J2986" s="7" t="n"/>
      <c r="K2986">
        <f>IF(D2986="Legitimate Interest (GDPR Art. 6(1)(f))", "Yes / Required (Sheet 3)", "")</f>
        <v/>
      </c>
      <c r="L2986" s="7" t="n"/>
      <c r="M2986" s="7" t="n"/>
      <c r="N2986">
        <f>IF(D2986="", "Gap - No Legal Basis", IF(AND(D2986="Consent (GDPR Art. 6(1)(a))", I2986="Not Captured"), "Gap - Invalid Consent", IF(AND(D2986="Legitimate Interest (GDPR Art. 6(1)(f))", L2986=""), "Gap - Missing LIA", IF(AND(G2986="Yes", H2986=""), "Gap - Missing Art. 9 Basis", IF(OR(I2986="Invalid - Not Freely Given", I2986="Invalid - Not Specific", I2986="Invalid - Not Informed", I2986="Invalid - Ambiguous"), "Gap - Invalid Consent", "Compliant")))))</f>
        <v/>
      </c>
      <c r="O2986" s="7" t="n"/>
    </row>
    <row r="2987">
      <c r="A2987" s="7" t="n"/>
      <c r="B2987" s="7" t="n"/>
      <c r="C2987" s="7" t="n"/>
      <c r="D2987" s="7" t="n"/>
      <c r="E2987" s="7" t="n"/>
      <c r="F2987" s="7" t="n"/>
      <c r="G2987" s="7" t="n"/>
      <c r="H2987" s="7" t="n"/>
      <c r="I2987" s="7" t="n"/>
      <c r="J2987" s="7" t="n"/>
      <c r="K2987">
        <f>IF(D2987="Legitimate Interest (GDPR Art. 6(1)(f))", "Yes / Required (Sheet 3)", "")</f>
        <v/>
      </c>
      <c r="L2987" s="7" t="n"/>
      <c r="M2987" s="7" t="n"/>
      <c r="N2987">
        <f>IF(D2987="", "Gap - No Legal Basis", IF(AND(D2987="Consent (GDPR Art. 6(1)(a))", I2987="Not Captured"), "Gap - Invalid Consent", IF(AND(D2987="Legitimate Interest (GDPR Art. 6(1)(f))", L2987=""), "Gap - Missing LIA", IF(AND(G2987="Yes", H2987=""), "Gap - Missing Art. 9 Basis", IF(OR(I2987="Invalid - Not Freely Given", I2987="Invalid - Not Specific", I2987="Invalid - Not Informed", I2987="Invalid - Ambiguous"), "Gap - Invalid Consent", "Compliant")))))</f>
        <v/>
      </c>
      <c r="O2987" s="7" t="n"/>
    </row>
    <row r="2988">
      <c r="A2988" s="7" t="n"/>
      <c r="B2988" s="7" t="n"/>
      <c r="C2988" s="7" t="n"/>
      <c r="D2988" s="7" t="n"/>
      <c r="E2988" s="7" t="n"/>
      <c r="F2988" s="7" t="n"/>
      <c r="G2988" s="7" t="n"/>
      <c r="H2988" s="7" t="n"/>
      <c r="I2988" s="7" t="n"/>
      <c r="J2988" s="7" t="n"/>
      <c r="K2988">
        <f>IF(D2988="Legitimate Interest (GDPR Art. 6(1)(f))", "Yes / Required (Sheet 3)", "")</f>
        <v/>
      </c>
      <c r="L2988" s="7" t="n"/>
      <c r="M2988" s="7" t="n"/>
      <c r="N2988">
        <f>IF(D2988="", "Gap - No Legal Basis", IF(AND(D2988="Consent (GDPR Art. 6(1)(a))", I2988="Not Captured"), "Gap - Invalid Consent", IF(AND(D2988="Legitimate Interest (GDPR Art. 6(1)(f))", L2988=""), "Gap - Missing LIA", IF(AND(G2988="Yes", H2988=""), "Gap - Missing Art. 9 Basis", IF(OR(I2988="Invalid - Not Freely Given", I2988="Invalid - Not Specific", I2988="Invalid - Not Informed", I2988="Invalid - Ambiguous"), "Gap - Invalid Consent", "Compliant")))))</f>
        <v/>
      </c>
      <c r="O2988" s="7" t="n"/>
    </row>
    <row r="2989">
      <c r="A2989" s="7" t="n"/>
      <c r="B2989" s="7" t="n"/>
      <c r="C2989" s="7" t="n"/>
      <c r="D2989" s="7" t="n"/>
      <c r="E2989" s="7" t="n"/>
      <c r="F2989" s="7" t="n"/>
      <c r="G2989" s="7" t="n"/>
      <c r="H2989" s="7" t="n"/>
      <c r="I2989" s="7" t="n"/>
      <c r="J2989" s="7" t="n"/>
      <c r="K2989">
        <f>IF(D2989="Legitimate Interest (GDPR Art. 6(1)(f))", "Yes / Required (Sheet 3)", "")</f>
        <v/>
      </c>
      <c r="L2989" s="7" t="n"/>
      <c r="M2989" s="7" t="n"/>
      <c r="N2989">
        <f>IF(D2989="", "Gap - No Legal Basis", IF(AND(D2989="Consent (GDPR Art. 6(1)(a))", I2989="Not Captured"), "Gap - Invalid Consent", IF(AND(D2989="Legitimate Interest (GDPR Art. 6(1)(f))", L2989=""), "Gap - Missing LIA", IF(AND(G2989="Yes", H2989=""), "Gap - Missing Art. 9 Basis", IF(OR(I2989="Invalid - Not Freely Given", I2989="Invalid - Not Specific", I2989="Invalid - Not Informed", I2989="Invalid - Ambiguous"), "Gap - Invalid Consent", "Compliant")))))</f>
        <v/>
      </c>
      <c r="O2989" s="7" t="n"/>
    </row>
    <row r="2990">
      <c r="A2990" s="7" t="n"/>
      <c r="B2990" s="7" t="n"/>
      <c r="C2990" s="7" t="n"/>
      <c r="D2990" s="7" t="n"/>
      <c r="E2990" s="7" t="n"/>
      <c r="F2990" s="7" t="n"/>
      <c r="G2990" s="7" t="n"/>
      <c r="H2990" s="7" t="n"/>
      <c r="I2990" s="7" t="n"/>
      <c r="J2990" s="7" t="n"/>
      <c r="K2990">
        <f>IF(D2990="Legitimate Interest (GDPR Art. 6(1)(f))", "Yes / Required (Sheet 3)", "")</f>
        <v/>
      </c>
      <c r="L2990" s="7" t="n"/>
      <c r="M2990" s="7" t="n"/>
      <c r="N2990">
        <f>IF(D2990="", "Gap - No Legal Basis", IF(AND(D2990="Consent (GDPR Art. 6(1)(a))", I2990="Not Captured"), "Gap - Invalid Consent", IF(AND(D2990="Legitimate Interest (GDPR Art. 6(1)(f))", L2990=""), "Gap - Missing LIA", IF(AND(G2990="Yes", H2990=""), "Gap - Missing Art. 9 Basis", IF(OR(I2990="Invalid - Not Freely Given", I2990="Invalid - Not Specific", I2990="Invalid - Not Informed", I2990="Invalid - Ambiguous"), "Gap - Invalid Consent", "Compliant")))))</f>
        <v/>
      </c>
      <c r="O2990" s="7" t="n"/>
    </row>
    <row r="2991">
      <c r="A2991" s="7" t="n"/>
      <c r="B2991" s="7" t="n"/>
      <c r="C2991" s="7" t="n"/>
      <c r="D2991" s="7" t="n"/>
      <c r="E2991" s="7" t="n"/>
      <c r="F2991" s="7" t="n"/>
      <c r="G2991" s="7" t="n"/>
      <c r="H2991" s="7" t="n"/>
      <c r="I2991" s="7" t="n"/>
      <c r="J2991" s="7" t="n"/>
      <c r="K2991">
        <f>IF(D2991="Legitimate Interest (GDPR Art. 6(1)(f))", "Yes / Required (Sheet 3)", "")</f>
        <v/>
      </c>
      <c r="L2991" s="7" t="n"/>
      <c r="M2991" s="7" t="n"/>
      <c r="N2991">
        <f>IF(D2991="", "Gap - No Legal Basis", IF(AND(D2991="Consent (GDPR Art. 6(1)(a))", I2991="Not Captured"), "Gap - Invalid Consent", IF(AND(D2991="Legitimate Interest (GDPR Art. 6(1)(f))", L2991=""), "Gap - Missing LIA", IF(AND(G2991="Yes", H2991=""), "Gap - Missing Art. 9 Basis", IF(OR(I2991="Invalid - Not Freely Given", I2991="Invalid - Not Specific", I2991="Invalid - Not Informed", I2991="Invalid - Ambiguous"), "Gap - Invalid Consent", "Compliant")))))</f>
        <v/>
      </c>
      <c r="O2991" s="7" t="n"/>
    </row>
    <row r="2992">
      <c r="A2992" s="7" t="n"/>
      <c r="B2992" s="7" t="n"/>
      <c r="C2992" s="7" t="n"/>
      <c r="D2992" s="7" t="n"/>
      <c r="E2992" s="7" t="n"/>
      <c r="F2992" s="7" t="n"/>
      <c r="G2992" s="7" t="n"/>
      <c r="H2992" s="7" t="n"/>
      <c r="I2992" s="7" t="n"/>
      <c r="J2992" s="7" t="n"/>
      <c r="K2992">
        <f>IF(D2992="Legitimate Interest (GDPR Art. 6(1)(f))", "Yes / Required (Sheet 3)", "")</f>
        <v/>
      </c>
      <c r="L2992" s="7" t="n"/>
      <c r="M2992" s="7" t="n"/>
      <c r="N2992">
        <f>IF(D2992="", "Gap - No Legal Basis", IF(AND(D2992="Consent (GDPR Art. 6(1)(a))", I2992="Not Captured"), "Gap - Invalid Consent", IF(AND(D2992="Legitimate Interest (GDPR Art. 6(1)(f))", L2992=""), "Gap - Missing LIA", IF(AND(G2992="Yes", H2992=""), "Gap - Missing Art. 9 Basis", IF(OR(I2992="Invalid - Not Freely Given", I2992="Invalid - Not Specific", I2992="Invalid - Not Informed", I2992="Invalid - Ambiguous"), "Gap - Invalid Consent", "Compliant")))))</f>
        <v/>
      </c>
      <c r="O2992" s="7" t="n"/>
    </row>
    <row r="2993">
      <c r="A2993" s="7" t="n"/>
      <c r="B2993" s="7" t="n"/>
      <c r="C2993" s="7" t="n"/>
      <c r="D2993" s="7" t="n"/>
      <c r="E2993" s="7" t="n"/>
      <c r="F2993" s="7" t="n"/>
      <c r="G2993" s="7" t="n"/>
      <c r="H2993" s="7" t="n"/>
      <c r="I2993" s="7" t="n"/>
      <c r="J2993" s="7" t="n"/>
      <c r="K2993">
        <f>IF(D2993="Legitimate Interest (GDPR Art. 6(1)(f))", "Yes / Required (Sheet 3)", "")</f>
        <v/>
      </c>
      <c r="L2993" s="7" t="n"/>
      <c r="M2993" s="7" t="n"/>
      <c r="N2993">
        <f>IF(D2993="", "Gap - No Legal Basis", IF(AND(D2993="Consent (GDPR Art. 6(1)(a))", I2993="Not Captured"), "Gap - Invalid Consent", IF(AND(D2993="Legitimate Interest (GDPR Art. 6(1)(f))", L2993=""), "Gap - Missing LIA", IF(AND(G2993="Yes", H2993=""), "Gap - Missing Art. 9 Basis", IF(OR(I2993="Invalid - Not Freely Given", I2993="Invalid - Not Specific", I2993="Invalid - Not Informed", I2993="Invalid - Ambiguous"), "Gap - Invalid Consent", "Compliant")))))</f>
        <v/>
      </c>
      <c r="O2993" s="7" t="n"/>
    </row>
    <row r="2994">
      <c r="A2994" s="7" t="n"/>
      <c r="B2994" s="7" t="n"/>
      <c r="C2994" s="7" t="n"/>
      <c r="D2994" s="7" t="n"/>
      <c r="E2994" s="7" t="n"/>
      <c r="F2994" s="7" t="n"/>
      <c r="G2994" s="7" t="n"/>
      <c r="H2994" s="7" t="n"/>
      <c r="I2994" s="7" t="n"/>
      <c r="J2994" s="7" t="n"/>
      <c r="K2994">
        <f>IF(D2994="Legitimate Interest (GDPR Art. 6(1)(f))", "Yes / Required (Sheet 3)", "")</f>
        <v/>
      </c>
      <c r="L2994" s="7" t="n"/>
      <c r="M2994" s="7" t="n"/>
      <c r="N2994">
        <f>IF(D2994="", "Gap - No Legal Basis", IF(AND(D2994="Consent (GDPR Art. 6(1)(a))", I2994="Not Captured"), "Gap - Invalid Consent", IF(AND(D2994="Legitimate Interest (GDPR Art. 6(1)(f))", L2994=""), "Gap - Missing LIA", IF(AND(G2994="Yes", H2994=""), "Gap - Missing Art. 9 Basis", IF(OR(I2994="Invalid - Not Freely Given", I2994="Invalid - Not Specific", I2994="Invalid - Not Informed", I2994="Invalid - Ambiguous"), "Gap - Invalid Consent", "Compliant")))))</f>
        <v/>
      </c>
      <c r="O2994" s="7" t="n"/>
    </row>
    <row r="2995">
      <c r="A2995" s="7" t="n"/>
      <c r="B2995" s="7" t="n"/>
      <c r="C2995" s="7" t="n"/>
      <c r="D2995" s="7" t="n"/>
      <c r="E2995" s="7" t="n"/>
      <c r="F2995" s="7" t="n"/>
      <c r="G2995" s="7" t="n"/>
      <c r="H2995" s="7" t="n"/>
      <c r="I2995" s="7" t="n"/>
      <c r="J2995" s="7" t="n"/>
      <c r="K2995">
        <f>IF(D2995="Legitimate Interest (GDPR Art. 6(1)(f))", "Yes / Required (Sheet 3)", "")</f>
        <v/>
      </c>
      <c r="L2995" s="7" t="n"/>
      <c r="M2995" s="7" t="n"/>
      <c r="N2995">
        <f>IF(D2995="", "Gap - No Legal Basis", IF(AND(D2995="Consent (GDPR Art. 6(1)(a))", I2995="Not Captured"), "Gap - Invalid Consent", IF(AND(D2995="Legitimate Interest (GDPR Art. 6(1)(f))", L2995=""), "Gap - Missing LIA", IF(AND(G2995="Yes", H2995=""), "Gap - Missing Art. 9 Basis", IF(OR(I2995="Invalid - Not Freely Given", I2995="Invalid - Not Specific", I2995="Invalid - Not Informed", I2995="Invalid - Ambiguous"), "Gap - Invalid Consent", "Compliant")))))</f>
        <v/>
      </c>
      <c r="O2995" s="7" t="n"/>
    </row>
    <row r="2996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7" t="n"/>
      <c r="J2996" s="7" t="n"/>
      <c r="K2996">
        <f>IF(D2996="Legitimate Interest (GDPR Art. 6(1)(f))", "Yes / Required (Sheet 3)", "")</f>
        <v/>
      </c>
      <c r="L2996" s="7" t="n"/>
      <c r="M2996" s="7" t="n"/>
      <c r="N2996">
        <f>IF(D2996="", "Gap - No Legal Basis", IF(AND(D2996="Consent (GDPR Art. 6(1)(a))", I2996="Not Captured"), "Gap - Invalid Consent", IF(AND(D2996="Legitimate Interest (GDPR Art. 6(1)(f))", L2996=""), "Gap - Missing LIA", IF(AND(G2996="Yes", H2996=""), "Gap - Missing Art. 9 Basis", IF(OR(I2996="Invalid - Not Freely Given", I2996="Invalid - Not Specific", I2996="Invalid - Not Informed", I2996="Invalid - Ambiguous"), "Gap - Invalid Consent", "Compliant")))))</f>
        <v/>
      </c>
      <c r="O2996" s="7" t="n"/>
    </row>
    <row r="2997">
      <c r="A2997" s="7" t="n"/>
      <c r="B2997" s="7" t="n"/>
      <c r="C2997" s="7" t="n"/>
      <c r="D2997" s="7" t="n"/>
      <c r="E2997" s="7" t="n"/>
      <c r="F2997" s="7" t="n"/>
      <c r="G2997" s="7" t="n"/>
      <c r="H2997" s="7" t="n"/>
      <c r="I2997" s="7" t="n"/>
      <c r="J2997" s="7" t="n"/>
      <c r="K2997">
        <f>IF(D2997="Legitimate Interest (GDPR Art. 6(1)(f))", "Yes / Required (Sheet 3)", "")</f>
        <v/>
      </c>
      <c r="L2997" s="7" t="n"/>
      <c r="M2997" s="7" t="n"/>
      <c r="N2997">
        <f>IF(D2997="", "Gap - No Legal Basis", IF(AND(D2997="Consent (GDPR Art. 6(1)(a))", I2997="Not Captured"), "Gap - Invalid Consent", IF(AND(D2997="Legitimate Interest (GDPR Art. 6(1)(f))", L2997=""), "Gap - Missing LIA", IF(AND(G2997="Yes", H2997=""), "Gap - Missing Art. 9 Basis", IF(OR(I2997="Invalid - Not Freely Given", I2997="Invalid - Not Specific", I2997="Invalid - Not Informed", I2997="Invalid - Ambiguous"), "Gap - Invalid Consent", "Compliant")))))</f>
        <v/>
      </c>
      <c r="O2997" s="7" t="n"/>
    </row>
    <row r="2998">
      <c r="A2998" s="7" t="n"/>
      <c r="B2998" s="7" t="n"/>
      <c r="C2998" s="7" t="n"/>
      <c r="D2998" s="7" t="n"/>
      <c r="E2998" s="7" t="n"/>
      <c r="F2998" s="7" t="n"/>
      <c r="G2998" s="7" t="n"/>
      <c r="H2998" s="7" t="n"/>
      <c r="I2998" s="7" t="n"/>
      <c r="J2998" s="7" t="n"/>
      <c r="K2998">
        <f>IF(D2998="Legitimate Interest (GDPR Art. 6(1)(f))", "Yes / Required (Sheet 3)", "")</f>
        <v/>
      </c>
      <c r="L2998" s="7" t="n"/>
      <c r="M2998" s="7" t="n"/>
      <c r="N2998">
        <f>IF(D2998="", "Gap - No Legal Basis", IF(AND(D2998="Consent (GDPR Art. 6(1)(a))", I2998="Not Captured"), "Gap - Invalid Consent", IF(AND(D2998="Legitimate Interest (GDPR Art. 6(1)(f))", L2998=""), "Gap - Missing LIA", IF(AND(G2998="Yes", H2998=""), "Gap - Missing Art. 9 Basis", IF(OR(I2998="Invalid - Not Freely Given", I2998="Invalid - Not Specific", I2998="Invalid - Not Informed", I2998="Invalid - Ambiguous"), "Gap - Invalid Consent", "Compliant")))))</f>
        <v/>
      </c>
      <c r="O2998" s="7" t="n"/>
    </row>
    <row r="2999">
      <c r="A2999" s="7" t="n"/>
      <c r="B2999" s="7" t="n"/>
      <c r="C2999" s="7" t="n"/>
      <c r="D2999" s="7" t="n"/>
      <c r="E2999" s="7" t="n"/>
      <c r="F2999" s="7" t="n"/>
      <c r="G2999" s="7" t="n"/>
      <c r="H2999" s="7" t="n"/>
      <c r="I2999" s="7" t="n"/>
      <c r="J2999" s="7" t="n"/>
      <c r="K2999">
        <f>IF(D2999="Legitimate Interest (GDPR Art. 6(1)(f))", "Yes / Required (Sheet 3)", "")</f>
        <v/>
      </c>
      <c r="L2999" s="7" t="n"/>
      <c r="M2999" s="7" t="n"/>
      <c r="N2999">
        <f>IF(D2999="", "Gap - No Legal Basis", IF(AND(D2999="Consent (GDPR Art. 6(1)(a))", I2999="Not Captured"), "Gap - Invalid Consent", IF(AND(D2999="Legitimate Interest (GDPR Art. 6(1)(f))", L2999=""), "Gap - Missing LIA", IF(AND(G2999="Yes", H2999=""), "Gap - Missing Art. 9 Basis", IF(OR(I2999="Invalid - Not Freely Given", I2999="Invalid - Not Specific", I2999="Invalid - Not Informed", I2999="Invalid - Ambiguous"), "Gap - Invalid Consent", "Compliant")))))</f>
        <v/>
      </c>
      <c r="O2999" s="7" t="n"/>
    </row>
    <row r="3000">
      <c r="A3000" s="7" t="n"/>
      <c r="B3000" s="7" t="n"/>
      <c r="C3000" s="7" t="n"/>
      <c r="D3000" s="7" t="n"/>
      <c r="E3000" s="7" t="n"/>
      <c r="F3000" s="7" t="n"/>
      <c r="G3000" s="7" t="n"/>
      <c r="H3000" s="7" t="n"/>
      <c r="I3000" s="7" t="n"/>
      <c r="J3000" s="7" t="n"/>
      <c r="K3000">
        <f>IF(D3000="Legitimate Interest (GDPR Art. 6(1)(f))", "Yes / Required (Sheet 3)", "")</f>
        <v/>
      </c>
      <c r="L3000" s="7" t="n"/>
      <c r="M3000" s="7" t="n"/>
      <c r="N3000">
        <f>IF(D3000="", "Gap - No Legal Basis", IF(AND(D3000="Consent (GDPR Art. 6(1)(a))", I3000="Not Captured"), "Gap - Invalid Consent", IF(AND(D3000="Legitimate Interest (GDPR Art. 6(1)(f))", L3000=""), "Gap - Missing LIA", IF(AND(G3000="Yes", H3000=""), "Gap - Missing Art. 9 Basis", IF(OR(I3000="Invalid - Not Freely Given", I3000="Invalid - Not Specific", I3000="Invalid - Not Informed", I3000="Invalid - Ambiguous"), "Gap - Invalid Consent", "Compliant")))))</f>
        <v/>
      </c>
      <c r="O3000" s="7" t="n"/>
    </row>
    <row r="3001">
      <c r="A3001" s="7" t="n"/>
      <c r="B3001" s="7" t="n"/>
      <c r="C3001" s="7" t="n"/>
      <c r="D3001" s="7" t="n"/>
      <c r="E3001" s="7" t="n"/>
      <c r="F3001" s="7" t="n"/>
      <c r="G3001" s="7" t="n"/>
      <c r="H3001" s="7" t="n"/>
      <c r="I3001" s="7" t="n"/>
      <c r="J3001" s="7" t="n"/>
      <c r="K3001">
        <f>IF(D3001="Legitimate Interest (GDPR Art. 6(1)(f))", "Yes / Required (Sheet 3)", "")</f>
        <v/>
      </c>
      <c r="L3001" s="7" t="n"/>
      <c r="M3001" s="7" t="n"/>
      <c r="N3001">
        <f>IF(D3001="", "Gap - No Legal Basis", IF(AND(D3001="Consent (GDPR Art. 6(1)(a))", I3001="Not Captured"), "Gap - Invalid Consent", IF(AND(D3001="Legitimate Interest (GDPR Art. 6(1)(f))", L3001=""), "Gap - Missing LIA", IF(AND(G3001="Yes", H3001=""), "Gap - Missing Art. 9 Basis", IF(OR(I3001="Invalid - Not Freely Given", I3001="Invalid - Not Specific", I3001="Invalid - Not Informed", I3001="Invalid - Ambiguous"), "Gap - Invalid Consent", "Compliant")))))</f>
        <v/>
      </c>
      <c r="O3001" s="7" t="n"/>
    </row>
    <row r="3002">
      <c r="A3002" s="7" t="n"/>
      <c r="B3002" s="7" t="n"/>
      <c r="C3002" s="7" t="n"/>
      <c r="D3002" s="7" t="n"/>
      <c r="E3002" s="7" t="n"/>
      <c r="F3002" s="7" t="n"/>
      <c r="G3002" s="7" t="n"/>
      <c r="H3002" s="7" t="n"/>
      <c r="I3002" s="7" t="n"/>
      <c r="J3002" s="7" t="n"/>
      <c r="K3002">
        <f>IF(D3002="Legitimate Interest (GDPR Art. 6(1)(f))", "Yes / Required (Sheet 3)", "")</f>
        <v/>
      </c>
      <c r="L3002" s="7" t="n"/>
      <c r="M3002" s="7" t="n"/>
      <c r="N3002">
        <f>IF(D3002="", "Gap - No Legal Basis", IF(AND(D3002="Consent (GDPR Art. 6(1)(a))", I3002="Not Captured"), "Gap - Invalid Consent", IF(AND(D3002="Legitimate Interest (GDPR Art. 6(1)(f))", L3002=""), "Gap - Missing LIA", IF(AND(G3002="Yes", H3002=""), "Gap - Missing Art. 9 Basis", IF(OR(I3002="Invalid - Not Freely Given", I3002="Invalid - Not Specific", I3002="Invalid - Not Informed", I3002="Invalid - Ambiguous"), "Gap - Invalid Consent", "Compliant")))))</f>
        <v/>
      </c>
      <c r="O3002" s="7" t="n"/>
    </row>
    <row r="3003">
      <c r="A3003" s="7" t="n"/>
      <c r="B3003" s="7" t="n"/>
      <c r="C3003" s="7" t="n"/>
      <c r="D3003" s="7" t="n"/>
      <c r="E3003" s="7" t="n"/>
      <c r="F3003" s="7" t="n"/>
      <c r="G3003" s="7" t="n"/>
      <c r="H3003" s="7" t="n"/>
      <c r="I3003" s="7" t="n"/>
      <c r="J3003" s="7" t="n"/>
      <c r="K3003">
        <f>IF(D3003="Legitimate Interest (GDPR Art. 6(1)(f))", "Yes / Required (Sheet 3)", "")</f>
        <v/>
      </c>
      <c r="L3003" s="7" t="n"/>
      <c r="M3003" s="7" t="n"/>
      <c r="N3003">
        <f>IF(D3003="", "Gap - No Legal Basis", IF(AND(D3003="Consent (GDPR Art. 6(1)(a))", I3003="Not Captured"), "Gap - Invalid Consent", IF(AND(D3003="Legitimate Interest (GDPR Art. 6(1)(f))", L3003=""), "Gap - Missing LIA", IF(AND(G3003="Yes", H3003=""), "Gap - Missing Art. 9 Basis", IF(OR(I3003="Invalid - Not Freely Given", I3003="Invalid - Not Specific", I3003="Invalid - Not Informed", I3003="Invalid - Ambiguous"), "Gap - Invalid Consent", "Compliant")))))</f>
        <v/>
      </c>
      <c r="O3003" s="7" t="n"/>
    </row>
    <row r="3004">
      <c r="A3004" s="7" t="n"/>
      <c r="B3004" s="7" t="n"/>
      <c r="C3004" s="7" t="n"/>
      <c r="D3004" s="7" t="n"/>
      <c r="E3004" s="7" t="n"/>
      <c r="F3004" s="7" t="n"/>
      <c r="G3004" s="7" t="n"/>
      <c r="H3004" s="7" t="n"/>
      <c r="I3004" s="7" t="n"/>
      <c r="J3004" s="7" t="n"/>
      <c r="K3004">
        <f>IF(D3004="Legitimate Interest (GDPR Art. 6(1)(f))", "Yes / Required (Sheet 3)", "")</f>
        <v/>
      </c>
      <c r="L3004" s="7" t="n"/>
      <c r="M3004" s="7" t="n"/>
      <c r="N3004">
        <f>IF(D3004="", "Gap - No Legal Basis", IF(AND(D3004="Consent (GDPR Art. 6(1)(a))", I3004="Not Captured"), "Gap - Invalid Consent", IF(AND(D3004="Legitimate Interest (GDPR Art. 6(1)(f))", L3004=""), "Gap - Missing LIA", IF(AND(G3004="Yes", H3004=""), "Gap - Missing Art. 9 Basis", IF(OR(I3004="Invalid - Not Freely Given", I3004="Invalid - Not Specific", I3004="Invalid - Not Informed", I3004="Invalid - Ambiguous"), "Gap - Invalid Consent", "Compliant")))))</f>
        <v/>
      </c>
      <c r="O3004" s="7" t="n"/>
    </row>
    <row r="3005">
      <c r="A3005" s="7" t="n"/>
      <c r="B3005" s="7" t="n"/>
      <c r="C3005" s="7" t="n"/>
      <c r="D3005" s="7" t="n"/>
      <c r="E3005" s="7" t="n"/>
      <c r="F3005" s="7" t="n"/>
      <c r="G3005" s="7" t="n"/>
      <c r="H3005" s="7" t="n"/>
      <c r="I3005" s="7" t="n"/>
      <c r="J3005" s="7" t="n"/>
      <c r="K3005">
        <f>IF(D3005="Legitimate Interest (GDPR Art. 6(1)(f))", "Yes / Required (Sheet 3)", "")</f>
        <v/>
      </c>
      <c r="L3005" s="7" t="n"/>
      <c r="M3005" s="7" t="n"/>
      <c r="N3005">
        <f>IF(D3005="", "Gap - No Legal Basis", IF(AND(D3005="Consent (GDPR Art. 6(1)(a))", I3005="Not Captured"), "Gap - Invalid Consent", IF(AND(D3005="Legitimate Interest (GDPR Art. 6(1)(f))", L3005=""), "Gap - Missing LIA", IF(AND(G3005="Yes", H3005=""), "Gap - Missing Art. 9 Basis", IF(OR(I3005="Invalid - Not Freely Given", I3005="Invalid - Not Specific", I3005="Invalid - Not Informed", I3005="Invalid - Ambiguous"), "Gap - Invalid Consent", "Compliant")))))</f>
        <v/>
      </c>
      <c r="O3005" s="7" t="n"/>
    </row>
    <row r="3006">
      <c r="A3006" s="7" t="n"/>
      <c r="B3006" s="7" t="n"/>
      <c r="C3006" s="7" t="n"/>
      <c r="D3006" s="7" t="n"/>
      <c r="E3006" s="7" t="n"/>
      <c r="F3006" s="7" t="n"/>
      <c r="G3006" s="7" t="n"/>
      <c r="H3006" s="7" t="n"/>
      <c r="I3006" s="7" t="n"/>
      <c r="J3006" s="7" t="n"/>
      <c r="K3006">
        <f>IF(D3006="Legitimate Interest (GDPR Art. 6(1)(f))", "Yes / Required (Sheet 3)", "")</f>
        <v/>
      </c>
      <c r="L3006" s="7" t="n"/>
      <c r="M3006" s="7" t="n"/>
      <c r="N3006">
        <f>IF(D3006="", "Gap - No Legal Basis", IF(AND(D3006="Consent (GDPR Art. 6(1)(a))", I3006="Not Captured"), "Gap - Invalid Consent", IF(AND(D3006="Legitimate Interest (GDPR Art. 6(1)(f))", L3006=""), "Gap - Missing LIA", IF(AND(G3006="Yes", H3006=""), "Gap - Missing Art. 9 Basis", IF(OR(I3006="Invalid - Not Freely Given", I3006="Invalid - Not Specific", I3006="Invalid - Not Informed", I3006="Invalid - Ambiguous"), "Gap - Invalid Consent", "Compliant")))))</f>
        <v/>
      </c>
      <c r="O3006" s="7" t="n"/>
    </row>
    <row r="3007">
      <c r="A3007" s="7" t="n"/>
      <c r="B3007" s="7" t="n"/>
      <c r="C3007" s="7" t="n"/>
      <c r="D3007" s="7" t="n"/>
      <c r="E3007" s="7" t="n"/>
      <c r="F3007" s="7" t="n"/>
      <c r="G3007" s="7" t="n"/>
      <c r="H3007" s="7" t="n"/>
      <c r="I3007" s="7" t="n"/>
      <c r="J3007" s="7" t="n"/>
      <c r="K3007">
        <f>IF(D3007="Legitimate Interest (GDPR Art. 6(1)(f))", "Yes / Required (Sheet 3)", "")</f>
        <v/>
      </c>
      <c r="L3007" s="7" t="n"/>
      <c r="M3007" s="7" t="n"/>
      <c r="N3007">
        <f>IF(D3007="", "Gap - No Legal Basis", IF(AND(D3007="Consent (GDPR Art. 6(1)(a))", I3007="Not Captured"), "Gap - Invalid Consent", IF(AND(D3007="Legitimate Interest (GDPR Art. 6(1)(f))", L3007=""), "Gap - Missing LIA", IF(AND(G3007="Yes", H3007=""), "Gap - Missing Art. 9 Basis", IF(OR(I3007="Invalid - Not Freely Given", I3007="Invalid - Not Specific", I3007="Invalid - Not Informed", I3007="Invalid - Ambiguous"), "Gap - Invalid Consent", "Compliant")))))</f>
        <v/>
      </c>
      <c r="O3007" s="7" t="n"/>
    </row>
    <row r="3008">
      <c r="A3008" s="7" t="n"/>
      <c r="B3008" s="7" t="n"/>
      <c r="C3008" s="7" t="n"/>
      <c r="D3008" s="7" t="n"/>
      <c r="E3008" s="7" t="n"/>
      <c r="F3008" s="7" t="n"/>
      <c r="G3008" s="7" t="n"/>
      <c r="H3008" s="7" t="n"/>
      <c r="I3008" s="7" t="n"/>
      <c r="J3008" s="7" t="n"/>
      <c r="K3008">
        <f>IF(D3008="Legitimate Interest (GDPR Art. 6(1)(f))", "Yes / Required (Sheet 3)", "")</f>
        <v/>
      </c>
      <c r="L3008" s="7" t="n"/>
      <c r="M3008" s="7" t="n"/>
      <c r="N3008">
        <f>IF(D3008="", "Gap - No Legal Basis", IF(AND(D3008="Consent (GDPR Art. 6(1)(a))", I3008="Not Captured"), "Gap - Invalid Consent", IF(AND(D3008="Legitimate Interest (GDPR Art. 6(1)(f))", L3008=""), "Gap - Missing LIA", IF(AND(G3008="Yes", H3008=""), "Gap - Missing Art. 9 Basis", IF(OR(I3008="Invalid - Not Freely Given", I3008="Invalid - Not Specific", I3008="Invalid - Not Informed", I3008="Invalid - Ambiguous"), "Gap - Invalid Consent", "Compliant")))))</f>
        <v/>
      </c>
      <c r="O3008" s="7" t="n"/>
    </row>
    <row r="3009">
      <c r="A3009" s="7" t="n"/>
      <c r="B3009" s="7" t="n"/>
      <c r="C3009" s="7" t="n"/>
      <c r="D3009" s="7" t="n"/>
      <c r="E3009" s="7" t="n"/>
      <c r="F3009" s="7" t="n"/>
      <c r="G3009" s="7" t="n"/>
      <c r="H3009" s="7" t="n"/>
      <c r="I3009" s="7" t="n"/>
      <c r="J3009" s="7" t="n"/>
      <c r="K3009">
        <f>IF(D3009="Legitimate Interest (GDPR Art. 6(1)(f))", "Yes / Required (Sheet 3)", "")</f>
        <v/>
      </c>
      <c r="L3009" s="7" t="n"/>
      <c r="M3009" s="7" t="n"/>
      <c r="N3009">
        <f>IF(D3009="", "Gap - No Legal Basis", IF(AND(D3009="Consent (GDPR Art. 6(1)(a))", I3009="Not Captured"), "Gap - Invalid Consent", IF(AND(D3009="Legitimate Interest (GDPR Art. 6(1)(f))", L3009=""), "Gap - Missing LIA", IF(AND(G3009="Yes", H3009=""), "Gap - Missing Art. 9 Basis", IF(OR(I3009="Invalid - Not Freely Given", I3009="Invalid - Not Specific", I3009="Invalid - Not Informed", I3009="Invalid - Ambiguous"), "Gap - Invalid Consent", "Compliant")))))</f>
        <v/>
      </c>
      <c r="O3009" s="7" t="n"/>
    </row>
    <row r="3010">
      <c r="A3010" s="7" t="n"/>
      <c r="B3010" s="7" t="n"/>
      <c r="C3010" s="7" t="n"/>
      <c r="D3010" s="7" t="n"/>
      <c r="E3010" s="7" t="n"/>
      <c r="F3010" s="7" t="n"/>
      <c r="G3010" s="7" t="n"/>
      <c r="H3010" s="7" t="n"/>
      <c r="I3010" s="7" t="n"/>
      <c r="J3010" s="7" t="n"/>
      <c r="K3010">
        <f>IF(D3010="Legitimate Interest (GDPR Art. 6(1)(f))", "Yes / Required (Sheet 3)", "")</f>
        <v/>
      </c>
      <c r="L3010" s="7" t="n"/>
      <c r="M3010" s="7" t="n"/>
      <c r="N3010">
        <f>IF(D3010="", "Gap - No Legal Basis", IF(AND(D3010="Consent (GDPR Art. 6(1)(a))", I3010="Not Captured"), "Gap - Invalid Consent", IF(AND(D3010="Legitimate Interest (GDPR Art. 6(1)(f))", L3010=""), "Gap - Missing LIA", IF(AND(G3010="Yes", H3010=""), "Gap - Missing Art. 9 Basis", IF(OR(I3010="Invalid - Not Freely Given", I3010="Invalid - Not Specific", I3010="Invalid - Not Informed", I3010="Invalid - Ambiguous"), "Gap - Invalid Consent", "Compliant")))))</f>
        <v/>
      </c>
      <c r="O3010" s="7" t="n"/>
    </row>
    <row r="3011">
      <c r="A3011" s="7" t="n"/>
      <c r="B3011" s="7" t="n"/>
      <c r="C3011" s="7" t="n"/>
      <c r="D3011" s="7" t="n"/>
      <c r="E3011" s="7" t="n"/>
      <c r="F3011" s="7" t="n"/>
      <c r="G3011" s="7" t="n"/>
      <c r="H3011" s="7" t="n"/>
      <c r="I3011" s="7" t="n"/>
      <c r="J3011" s="7" t="n"/>
      <c r="K3011">
        <f>IF(D3011="Legitimate Interest (GDPR Art. 6(1)(f))", "Yes / Required (Sheet 3)", "")</f>
        <v/>
      </c>
      <c r="L3011" s="7" t="n"/>
      <c r="M3011" s="7" t="n"/>
      <c r="N3011">
        <f>IF(D3011="", "Gap - No Legal Basis", IF(AND(D3011="Consent (GDPR Art. 6(1)(a))", I3011="Not Captured"), "Gap - Invalid Consent", IF(AND(D3011="Legitimate Interest (GDPR Art. 6(1)(f))", L3011=""), "Gap - Missing LIA", IF(AND(G3011="Yes", H3011=""), "Gap - Missing Art. 9 Basis", IF(OR(I3011="Invalid - Not Freely Given", I3011="Invalid - Not Specific", I3011="Invalid - Not Informed", I3011="Invalid - Ambiguous"), "Gap - Invalid Consent", "Compliant")))))</f>
        <v/>
      </c>
      <c r="O3011" s="7" t="n"/>
    </row>
    <row r="3012">
      <c r="A3012" s="7" t="n"/>
      <c r="B3012" s="7" t="n"/>
      <c r="C3012" s="7" t="n"/>
      <c r="D3012" s="7" t="n"/>
      <c r="E3012" s="7" t="n"/>
      <c r="F3012" s="7" t="n"/>
      <c r="G3012" s="7" t="n"/>
      <c r="H3012" s="7" t="n"/>
      <c r="I3012" s="7" t="n"/>
      <c r="J3012" s="7" t="n"/>
      <c r="K3012">
        <f>IF(D3012="Legitimate Interest (GDPR Art. 6(1)(f))", "Yes / Required (Sheet 3)", "")</f>
        <v/>
      </c>
      <c r="L3012" s="7" t="n"/>
      <c r="M3012" s="7" t="n"/>
      <c r="N3012">
        <f>IF(D3012="", "Gap - No Legal Basis", IF(AND(D3012="Consent (GDPR Art. 6(1)(a))", I3012="Not Captured"), "Gap - Invalid Consent", IF(AND(D3012="Legitimate Interest (GDPR Art. 6(1)(f))", L3012=""), "Gap - Missing LIA", IF(AND(G3012="Yes", H3012=""), "Gap - Missing Art. 9 Basis", IF(OR(I3012="Invalid - Not Freely Given", I3012="Invalid - Not Specific", I3012="Invalid - Not Informed", I3012="Invalid - Ambiguous"), "Gap - Invalid Consent", "Compliant")))))</f>
        <v/>
      </c>
      <c r="O3012" s="7" t="n"/>
    </row>
    <row r="3013">
      <c r="A3013" s="7" t="n"/>
      <c r="B3013" s="7" t="n"/>
      <c r="C3013" s="7" t="n"/>
      <c r="D3013" s="7" t="n"/>
      <c r="E3013" s="7" t="n"/>
      <c r="F3013" s="7" t="n"/>
      <c r="G3013" s="7" t="n"/>
      <c r="H3013" s="7" t="n"/>
      <c r="I3013" s="7" t="n"/>
      <c r="J3013" s="7" t="n"/>
      <c r="K3013">
        <f>IF(D3013="Legitimate Interest (GDPR Art. 6(1)(f))", "Yes / Required (Sheet 3)", "")</f>
        <v/>
      </c>
      <c r="L3013" s="7" t="n"/>
      <c r="M3013" s="7" t="n"/>
      <c r="N3013">
        <f>IF(D3013="", "Gap - No Legal Basis", IF(AND(D3013="Consent (GDPR Art. 6(1)(a))", I3013="Not Captured"), "Gap - Invalid Consent", IF(AND(D3013="Legitimate Interest (GDPR Art. 6(1)(f))", L3013=""), "Gap - Missing LIA", IF(AND(G3013="Yes", H3013=""), "Gap - Missing Art. 9 Basis", IF(OR(I3013="Invalid - Not Freely Given", I3013="Invalid - Not Specific", I3013="Invalid - Not Informed", I3013="Invalid - Ambiguous"), "Gap - Invalid Consent", "Compliant")))))</f>
        <v/>
      </c>
      <c r="O3013" s="7" t="n"/>
    </row>
    <row r="3014">
      <c r="A3014" s="7" t="n"/>
      <c r="B3014" s="7" t="n"/>
      <c r="C3014" s="7" t="n"/>
      <c r="D3014" s="7" t="n"/>
      <c r="E3014" s="7" t="n"/>
      <c r="F3014" s="7" t="n"/>
      <c r="G3014" s="7" t="n"/>
      <c r="H3014" s="7" t="n"/>
      <c r="I3014" s="7" t="n"/>
      <c r="J3014" s="7" t="n"/>
      <c r="K3014">
        <f>IF(D3014="Legitimate Interest (GDPR Art. 6(1)(f))", "Yes / Required (Sheet 3)", "")</f>
        <v/>
      </c>
      <c r="L3014" s="7" t="n"/>
      <c r="M3014" s="7" t="n"/>
      <c r="N3014">
        <f>IF(D3014="", "Gap - No Legal Basis", IF(AND(D3014="Consent (GDPR Art. 6(1)(a))", I3014="Not Captured"), "Gap - Invalid Consent", IF(AND(D3014="Legitimate Interest (GDPR Art. 6(1)(f))", L3014=""), "Gap - Missing LIA", IF(AND(G3014="Yes", H3014=""), "Gap - Missing Art. 9 Basis", IF(OR(I3014="Invalid - Not Freely Given", I3014="Invalid - Not Specific", I3014="Invalid - Not Informed", I3014="Invalid - Ambiguous"), "Gap - Invalid Consent", "Compliant")))))</f>
        <v/>
      </c>
      <c r="O3014" s="7" t="n"/>
    </row>
    <row r="3015">
      <c r="A3015" s="7" t="n"/>
      <c r="B3015" s="7" t="n"/>
      <c r="C3015" s="7" t="n"/>
      <c r="D3015" s="7" t="n"/>
      <c r="E3015" s="7" t="n"/>
      <c r="F3015" s="7" t="n"/>
      <c r="G3015" s="7" t="n"/>
      <c r="H3015" s="7" t="n"/>
      <c r="I3015" s="7" t="n"/>
      <c r="J3015" s="7" t="n"/>
      <c r="K3015">
        <f>IF(D3015="Legitimate Interest (GDPR Art. 6(1)(f))", "Yes / Required (Sheet 3)", "")</f>
        <v/>
      </c>
      <c r="L3015" s="7" t="n"/>
      <c r="M3015" s="7" t="n"/>
      <c r="N3015">
        <f>IF(D3015="", "Gap - No Legal Basis", IF(AND(D3015="Consent (GDPR Art. 6(1)(a))", I3015="Not Captured"), "Gap - Invalid Consent", IF(AND(D3015="Legitimate Interest (GDPR Art. 6(1)(f))", L3015=""), "Gap - Missing LIA", IF(AND(G3015="Yes", H3015=""), "Gap - Missing Art. 9 Basis", IF(OR(I3015="Invalid - Not Freely Given", I3015="Invalid - Not Specific", I3015="Invalid - Not Informed", I3015="Invalid - Ambiguous"), "Gap - Invalid Consent", "Compliant")))))</f>
        <v/>
      </c>
      <c r="O3015" s="7" t="n"/>
    </row>
    <row r="3016">
      <c r="A3016" s="7" t="n"/>
      <c r="B3016" s="7" t="n"/>
      <c r="C3016" s="7" t="n"/>
      <c r="D3016" s="7" t="n"/>
      <c r="E3016" s="7" t="n"/>
      <c r="F3016" s="7" t="n"/>
      <c r="G3016" s="7" t="n"/>
      <c r="H3016" s="7" t="n"/>
      <c r="I3016" s="7" t="n"/>
      <c r="J3016" s="7" t="n"/>
      <c r="K3016">
        <f>IF(D3016="Legitimate Interest (GDPR Art. 6(1)(f))", "Yes / Required (Sheet 3)", "")</f>
        <v/>
      </c>
      <c r="L3016" s="7" t="n"/>
      <c r="M3016" s="7" t="n"/>
      <c r="N3016">
        <f>IF(D3016="", "Gap - No Legal Basis", IF(AND(D3016="Consent (GDPR Art. 6(1)(a))", I3016="Not Captured"), "Gap - Invalid Consent", IF(AND(D3016="Legitimate Interest (GDPR Art. 6(1)(f))", L3016=""), "Gap - Missing LIA", IF(AND(G3016="Yes", H3016=""), "Gap - Missing Art. 9 Basis", IF(OR(I3016="Invalid - Not Freely Given", I3016="Invalid - Not Specific", I3016="Invalid - Not Informed", I3016="Invalid - Ambiguous"), "Gap - Invalid Consent", "Compliant")))))</f>
        <v/>
      </c>
      <c r="O3016" s="7" t="n"/>
    </row>
    <row r="3017">
      <c r="A3017" s="7" t="n"/>
      <c r="B3017" s="7" t="n"/>
      <c r="C3017" s="7" t="n"/>
      <c r="D3017" s="7" t="n"/>
      <c r="E3017" s="7" t="n"/>
      <c r="F3017" s="7" t="n"/>
      <c r="G3017" s="7" t="n"/>
      <c r="H3017" s="7" t="n"/>
      <c r="I3017" s="7" t="n"/>
      <c r="J3017" s="7" t="n"/>
      <c r="K3017">
        <f>IF(D3017="Legitimate Interest (GDPR Art. 6(1)(f))", "Yes / Required (Sheet 3)", "")</f>
        <v/>
      </c>
      <c r="L3017" s="7" t="n"/>
      <c r="M3017" s="7" t="n"/>
      <c r="N3017">
        <f>IF(D3017="", "Gap - No Legal Basis", IF(AND(D3017="Consent (GDPR Art. 6(1)(a))", I3017="Not Captured"), "Gap - Invalid Consent", IF(AND(D3017="Legitimate Interest (GDPR Art. 6(1)(f))", L3017=""), "Gap - Missing LIA", IF(AND(G3017="Yes", H3017=""), "Gap - Missing Art. 9 Basis", IF(OR(I3017="Invalid - Not Freely Given", I3017="Invalid - Not Specific", I3017="Invalid - Not Informed", I3017="Invalid - Ambiguous"), "Gap - Invalid Consent", "Compliant")))))</f>
        <v/>
      </c>
      <c r="O3017" s="7" t="n"/>
    </row>
    <row r="3018">
      <c r="A3018" s="7" t="n"/>
      <c r="B3018" s="7" t="n"/>
      <c r="C3018" s="7" t="n"/>
      <c r="D3018" s="7" t="n"/>
      <c r="E3018" s="7" t="n"/>
      <c r="F3018" s="7" t="n"/>
      <c r="G3018" s="7" t="n"/>
      <c r="H3018" s="7" t="n"/>
      <c r="I3018" s="7" t="n"/>
      <c r="J3018" s="7" t="n"/>
      <c r="K3018">
        <f>IF(D3018="Legitimate Interest (GDPR Art. 6(1)(f))", "Yes / Required (Sheet 3)", "")</f>
        <v/>
      </c>
      <c r="L3018" s="7" t="n"/>
      <c r="M3018" s="7" t="n"/>
      <c r="N3018">
        <f>IF(D3018="", "Gap - No Legal Basis", IF(AND(D3018="Consent (GDPR Art. 6(1)(a))", I3018="Not Captured"), "Gap - Invalid Consent", IF(AND(D3018="Legitimate Interest (GDPR Art. 6(1)(f))", L3018=""), "Gap - Missing LIA", IF(AND(G3018="Yes", H3018=""), "Gap - Missing Art. 9 Basis", IF(OR(I3018="Invalid - Not Freely Given", I3018="Invalid - Not Specific", I3018="Invalid - Not Informed", I3018="Invalid - Ambiguous"), "Gap - Invalid Consent", "Compliant")))))</f>
        <v/>
      </c>
      <c r="O3018" s="7" t="n"/>
    </row>
    <row r="3019">
      <c r="A3019" s="7" t="n"/>
      <c r="B3019" s="7" t="n"/>
      <c r="C3019" s="7" t="n"/>
      <c r="D3019" s="7" t="n"/>
      <c r="E3019" s="7" t="n"/>
      <c r="F3019" s="7" t="n"/>
      <c r="G3019" s="7" t="n"/>
      <c r="H3019" s="7" t="n"/>
      <c r="I3019" s="7" t="n"/>
      <c r="J3019" s="7" t="n"/>
      <c r="K3019">
        <f>IF(D3019="Legitimate Interest (GDPR Art. 6(1)(f))", "Yes / Required (Sheet 3)", "")</f>
        <v/>
      </c>
      <c r="L3019" s="7" t="n"/>
      <c r="M3019" s="7" t="n"/>
      <c r="N3019">
        <f>IF(D3019="", "Gap - No Legal Basis", IF(AND(D3019="Consent (GDPR Art. 6(1)(a))", I3019="Not Captured"), "Gap - Invalid Consent", IF(AND(D3019="Legitimate Interest (GDPR Art. 6(1)(f))", L3019=""), "Gap - Missing LIA", IF(AND(G3019="Yes", H3019=""), "Gap - Missing Art. 9 Basis", IF(OR(I3019="Invalid - Not Freely Given", I3019="Invalid - Not Specific", I3019="Invalid - Not Informed", I3019="Invalid - Ambiguous"), "Gap - Invalid Consent", "Compliant")))))</f>
        <v/>
      </c>
      <c r="O3019" s="7" t="n"/>
    </row>
    <row r="3020">
      <c r="A3020" s="7" t="n"/>
      <c r="B3020" s="7" t="n"/>
      <c r="C3020" s="7" t="n"/>
      <c r="D3020" s="7" t="n"/>
      <c r="E3020" s="7" t="n"/>
      <c r="F3020" s="7" t="n"/>
      <c r="G3020" s="7" t="n"/>
      <c r="H3020" s="7" t="n"/>
      <c r="I3020" s="7" t="n"/>
      <c r="J3020" s="7" t="n"/>
      <c r="K3020">
        <f>IF(D3020="Legitimate Interest (GDPR Art. 6(1)(f))", "Yes / Required (Sheet 3)", "")</f>
        <v/>
      </c>
      <c r="L3020" s="7" t="n"/>
      <c r="M3020" s="7" t="n"/>
      <c r="N3020">
        <f>IF(D3020="", "Gap - No Legal Basis", IF(AND(D3020="Consent (GDPR Art. 6(1)(a))", I3020="Not Captured"), "Gap - Invalid Consent", IF(AND(D3020="Legitimate Interest (GDPR Art. 6(1)(f))", L3020=""), "Gap - Missing LIA", IF(AND(G3020="Yes", H3020=""), "Gap - Missing Art. 9 Basis", IF(OR(I3020="Invalid - Not Freely Given", I3020="Invalid - Not Specific", I3020="Invalid - Not Informed", I3020="Invalid - Ambiguous"), "Gap - Invalid Consent", "Compliant")))))</f>
        <v/>
      </c>
      <c r="O3020" s="7" t="n"/>
    </row>
    <row r="3021">
      <c r="A3021" s="7" t="n"/>
      <c r="B3021" s="7" t="n"/>
      <c r="C3021" s="7" t="n"/>
      <c r="D3021" s="7" t="n"/>
      <c r="E3021" s="7" t="n"/>
      <c r="F3021" s="7" t="n"/>
      <c r="G3021" s="7" t="n"/>
      <c r="H3021" s="7" t="n"/>
      <c r="I3021" s="7" t="n"/>
      <c r="J3021" s="7" t="n"/>
      <c r="K3021">
        <f>IF(D3021="Legitimate Interest (GDPR Art. 6(1)(f))", "Yes / Required (Sheet 3)", "")</f>
        <v/>
      </c>
      <c r="L3021" s="7" t="n"/>
      <c r="M3021" s="7" t="n"/>
      <c r="N3021">
        <f>IF(D3021="", "Gap - No Legal Basis", IF(AND(D3021="Consent (GDPR Art. 6(1)(a))", I3021="Not Captured"), "Gap - Invalid Consent", IF(AND(D3021="Legitimate Interest (GDPR Art. 6(1)(f))", L3021=""), "Gap - Missing LIA", IF(AND(G3021="Yes", H3021=""), "Gap - Missing Art. 9 Basis", IF(OR(I3021="Invalid - Not Freely Given", I3021="Invalid - Not Specific", I3021="Invalid - Not Informed", I3021="Invalid - Ambiguous"), "Gap - Invalid Consent", "Compliant")))))</f>
        <v/>
      </c>
      <c r="O3021" s="7" t="n"/>
    </row>
    <row r="3022">
      <c r="A3022" s="7" t="n"/>
      <c r="B3022" s="7" t="n"/>
      <c r="C3022" s="7" t="n"/>
      <c r="D3022" s="7" t="n"/>
      <c r="E3022" s="7" t="n"/>
      <c r="F3022" s="7" t="n"/>
      <c r="G3022" s="7" t="n"/>
      <c r="H3022" s="7" t="n"/>
      <c r="I3022" s="7" t="n"/>
      <c r="J3022" s="7" t="n"/>
      <c r="K3022">
        <f>IF(D3022="Legitimate Interest (GDPR Art. 6(1)(f))", "Yes / Required (Sheet 3)", "")</f>
        <v/>
      </c>
      <c r="L3022" s="7" t="n"/>
      <c r="M3022" s="7" t="n"/>
      <c r="N3022">
        <f>IF(D3022="", "Gap - No Legal Basis", IF(AND(D3022="Consent (GDPR Art. 6(1)(a))", I3022="Not Captured"), "Gap - Invalid Consent", IF(AND(D3022="Legitimate Interest (GDPR Art. 6(1)(f))", L3022=""), "Gap - Missing LIA", IF(AND(G3022="Yes", H3022=""), "Gap - Missing Art. 9 Basis", IF(OR(I3022="Invalid - Not Freely Given", I3022="Invalid - Not Specific", I3022="Invalid - Not Informed", I3022="Invalid - Ambiguous"), "Gap - Invalid Consent", "Compliant")))))</f>
        <v/>
      </c>
      <c r="O3022" s="7" t="n"/>
    </row>
    <row r="3023">
      <c r="A3023" s="7" t="n"/>
      <c r="B3023" s="7" t="n"/>
      <c r="C3023" s="7" t="n"/>
      <c r="D3023" s="7" t="n"/>
      <c r="E3023" s="7" t="n"/>
      <c r="F3023" s="7" t="n"/>
      <c r="G3023" s="7" t="n"/>
      <c r="H3023" s="7" t="n"/>
      <c r="I3023" s="7" t="n"/>
      <c r="J3023" s="7" t="n"/>
      <c r="K3023">
        <f>IF(D3023="Legitimate Interest (GDPR Art. 6(1)(f))", "Yes / Required (Sheet 3)", "")</f>
        <v/>
      </c>
      <c r="L3023" s="7" t="n"/>
      <c r="M3023" s="7" t="n"/>
      <c r="N3023">
        <f>IF(D3023="", "Gap - No Legal Basis", IF(AND(D3023="Consent (GDPR Art. 6(1)(a))", I3023="Not Captured"), "Gap - Invalid Consent", IF(AND(D3023="Legitimate Interest (GDPR Art. 6(1)(f))", L3023=""), "Gap - Missing LIA", IF(AND(G3023="Yes", H3023=""), "Gap - Missing Art. 9 Basis", IF(OR(I3023="Invalid - Not Freely Given", I3023="Invalid - Not Specific", I3023="Invalid - Not Informed", I3023="Invalid - Ambiguous"), "Gap - Invalid Consent", "Compliant")))))</f>
        <v/>
      </c>
      <c r="O3023" s="7" t="n"/>
    </row>
    <row r="3024">
      <c r="A3024" s="7" t="n"/>
      <c r="B3024" s="7" t="n"/>
      <c r="C3024" s="7" t="n"/>
      <c r="D3024" s="7" t="n"/>
      <c r="E3024" s="7" t="n"/>
      <c r="F3024" s="7" t="n"/>
      <c r="G3024" s="7" t="n"/>
      <c r="H3024" s="7" t="n"/>
      <c r="I3024" s="7" t="n"/>
      <c r="J3024" s="7" t="n"/>
      <c r="K3024">
        <f>IF(D3024="Legitimate Interest (GDPR Art. 6(1)(f))", "Yes / Required (Sheet 3)", "")</f>
        <v/>
      </c>
      <c r="L3024" s="7" t="n"/>
      <c r="M3024" s="7" t="n"/>
      <c r="N3024">
        <f>IF(D3024="", "Gap - No Legal Basis", IF(AND(D3024="Consent (GDPR Art. 6(1)(a))", I3024="Not Captured"), "Gap - Invalid Consent", IF(AND(D3024="Legitimate Interest (GDPR Art. 6(1)(f))", L3024=""), "Gap - Missing LIA", IF(AND(G3024="Yes", H3024=""), "Gap - Missing Art. 9 Basis", IF(OR(I3024="Invalid - Not Freely Given", I3024="Invalid - Not Specific", I3024="Invalid - Not Informed", I3024="Invalid - Ambiguous"), "Gap - Invalid Consent", "Compliant")))))</f>
        <v/>
      </c>
      <c r="O3024" s="7" t="n"/>
    </row>
    <row r="3025">
      <c r="A3025" s="7" t="n"/>
      <c r="B3025" s="7" t="n"/>
      <c r="C3025" s="7" t="n"/>
      <c r="D3025" s="7" t="n"/>
      <c r="E3025" s="7" t="n"/>
      <c r="F3025" s="7" t="n"/>
      <c r="G3025" s="7" t="n"/>
      <c r="H3025" s="7" t="n"/>
      <c r="I3025" s="7" t="n"/>
      <c r="J3025" s="7" t="n"/>
      <c r="K3025">
        <f>IF(D3025="Legitimate Interest (GDPR Art. 6(1)(f))", "Yes / Required (Sheet 3)", "")</f>
        <v/>
      </c>
      <c r="L3025" s="7" t="n"/>
      <c r="M3025" s="7" t="n"/>
      <c r="N3025">
        <f>IF(D3025="", "Gap - No Legal Basis", IF(AND(D3025="Consent (GDPR Art. 6(1)(a))", I3025="Not Captured"), "Gap - Invalid Consent", IF(AND(D3025="Legitimate Interest (GDPR Art. 6(1)(f))", L3025=""), "Gap - Missing LIA", IF(AND(G3025="Yes", H3025=""), "Gap - Missing Art. 9 Basis", IF(OR(I3025="Invalid - Not Freely Given", I3025="Invalid - Not Specific", I3025="Invalid - Not Informed", I3025="Invalid - Ambiguous"), "Gap - Invalid Consent", "Compliant")))))</f>
        <v/>
      </c>
      <c r="O3025" s="7" t="n"/>
    </row>
    <row r="3026">
      <c r="A3026" s="7" t="n"/>
      <c r="B3026" s="7" t="n"/>
      <c r="C3026" s="7" t="n"/>
      <c r="D3026" s="7" t="n"/>
      <c r="E3026" s="7" t="n"/>
      <c r="F3026" s="7" t="n"/>
      <c r="G3026" s="7" t="n"/>
      <c r="H3026" s="7" t="n"/>
      <c r="I3026" s="7" t="n"/>
      <c r="J3026" s="7" t="n"/>
      <c r="K3026">
        <f>IF(D3026="Legitimate Interest (GDPR Art. 6(1)(f))", "Yes / Required (Sheet 3)", "")</f>
        <v/>
      </c>
      <c r="L3026" s="7" t="n"/>
      <c r="M3026" s="7" t="n"/>
      <c r="N3026">
        <f>IF(D3026="", "Gap - No Legal Basis", IF(AND(D3026="Consent (GDPR Art. 6(1)(a))", I3026="Not Captured"), "Gap - Invalid Consent", IF(AND(D3026="Legitimate Interest (GDPR Art. 6(1)(f))", L3026=""), "Gap - Missing LIA", IF(AND(G3026="Yes", H3026=""), "Gap - Missing Art. 9 Basis", IF(OR(I3026="Invalid - Not Freely Given", I3026="Invalid - Not Specific", I3026="Invalid - Not Informed", I3026="Invalid - Ambiguous"), "Gap - Invalid Consent", "Compliant")))))</f>
        <v/>
      </c>
      <c r="O3026" s="7" t="n"/>
    </row>
    <row r="3027">
      <c r="A3027" s="7" t="n"/>
      <c r="B3027" s="7" t="n"/>
      <c r="C3027" s="7" t="n"/>
      <c r="D3027" s="7" t="n"/>
      <c r="E3027" s="7" t="n"/>
      <c r="F3027" s="7" t="n"/>
      <c r="G3027" s="7" t="n"/>
      <c r="H3027" s="7" t="n"/>
      <c r="I3027" s="7" t="n"/>
      <c r="J3027" s="7" t="n"/>
      <c r="K3027">
        <f>IF(D3027="Legitimate Interest (GDPR Art. 6(1)(f))", "Yes / Required (Sheet 3)", "")</f>
        <v/>
      </c>
      <c r="L3027" s="7" t="n"/>
      <c r="M3027" s="7" t="n"/>
      <c r="N3027">
        <f>IF(D3027="", "Gap - No Legal Basis", IF(AND(D3027="Consent (GDPR Art. 6(1)(a))", I3027="Not Captured"), "Gap - Invalid Consent", IF(AND(D3027="Legitimate Interest (GDPR Art. 6(1)(f))", L3027=""), "Gap - Missing LIA", IF(AND(G3027="Yes", H3027=""), "Gap - Missing Art. 9 Basis", IF(OR(I3027="Invalid - Not Freely Given", I3027="Invalid - Not Specific", I3027="Invalid - Not Informed", I3027="Invalid - Ambiguous"), "Gap - Invalid Consent", "Compliant")))))</f>
        <v/>
      </c>
      <c r="O3027" s="7" t="n"/>
    </row>
    <row r="3028">
      <c r="A3028" s="7" t="n"/>
      <c r="B3028" s="7" t="n"/>
      <c r="C3028" s="7" t="n"/>
      <c r="D3028" s="7" t="n"/>
      <c r="E3028" s="7" t="n"/>
      <c r="F3028" s="7" t="n"/>
      <c r="G3028" s="7" t="n"/>
      <c r="H3028" s="7" t="n"/>
      <c r="I3028" s="7" t="n"/>
      <c r="J3028" s="7" t="n"/>
      <c r="K3028">
        <f>IF(D3028="Legitimate Interest (GDPR Art. 6(1)(f))", "Yes / Required (Sheet 3)", "")</f>
        <v/>
      </c>
      <c r="L3028" s="7" t="n"/>
      <c r="M3028" s="7" t="n"/>
      <c r="N3028">
        <f>IF(D3028="", "Gap - No Legal Basis", IF(AND(D3028="Consent (GDPR Art. 6(1)(a))", I3028="Not Captured"), "Gap - Invalid Consent", IF(AND(D3028="Legitimate Interest (GDPR Art. 6(1)(f))", L3028=""), "Gap - Missing LIA", IF(AND(G3028="Yes", H3028=""), "Gap - Missing Art. 9 Basis", IF(OR(I3028="Invalid - Not Freely Given", I3028="Invalid - Not Specific", I3028="Invalid - Not Informed", I3028="Invalid - Ambiguous"), "Gap - Invalid Consent", "Compliant")))))</f>
        <v/>
      </c>
      <c r="O3028" s="7" t="n"/>
    </row>
    <row r="3029">
      <c r="A3029" s="7" t="n"/>
      <c r="B3029" s="7" t="n"/>
      <c r="C3029" s="7" t="n"/>
      <c r="D3029" s="7" t="n"/>
      <c r="E3029" s="7" t="n"/>
      <c r="F3029" s="7" t="n"/>
      <c r="G3029" s="7" t="n"/>
      <c r="H3029" s="7" t="n"/>
      <c r="I3029" s="7" t="n"/>
      <c r="J3029" s="7" t="n"/>
      <c r="K3029">
        <f>IF(D3029="Legitimate Interest (GDPR Art. 6(1)(f))", "Yes / Required (Sheet 3)", "")</f>
        <v/>
      </c>
      <c r="L3029" s="7" t="n"/>
      <c r="M3029" s="7" t="n"/>
      <c r="N3029">
        <f>IF(D3029="", "Gap - No Legal Basis", IF(AND(D3029="Consent (GDPR Art. 6(1)(a))", I3029="Not Captured"), "Gap - Invalid Consent", IF(AND(D3029="Legitimate Interest (GDPR Art. 6(1)(f))", L3029=""), "Gap - Missing LIA", IF(AND(G3029="Yes", H3029=""), "Gap - Missing Art. 9 Basis", IF(OR(I3029="Invalid - Not Freely Given", I3029="Invalid - Not Specific", I3029="Invalid - Not Informed", I3029="Invalid - Ambiguous"), "Gap - Invalid Consent", "Compliant")))))</f>
        <v/>
      </c>
      <c r="O3029" s="7" t="n"/>
    </row>
    <row r="3030">
      <c r="A3030" s="7" t="n"/>
      <c r="B3030" s="7" t="n"/>
      <c r="C3030" s="7" t="n"/>
      <c r="D3030" s="7" t="n"/>
      <c r="E3030" s="7" t="n"/>
      <c r="F3030" s="7" t="n"/>
      <c r="G3030" s="7" t="n"/>
      <c r="H3030" s="7" t="n"/>
      <c r="I3030" s="7" t="n"/>
      <c r="J3030" s="7" t="n"/>
      <c r="K3030">
        <f>IF(D3030="Legitimate Interest (GDPR Art. 6(1)(f))", "Yes / Required (Sheet 3)", "")</f>
        <v/>
      </c>
      <c r="L3030" s="7" t="n"/>
      <c r="M3030" s="7" t="n"/>
      <c r="N3030">
        <f>IF(D3030="", "Gap - No Legal Basis", IF(AND(D3030="Consent (GDPR Art. 6(1)(a))", I3030="Not Captured"), "Gap - Invalid Consent", IF(AND(D3030="Legitimate Interest (GDPR Art. 6(1)(f))", L3030=""), "Gap - Missing LIA", IF(AND(G3030="Yes", H3030=""), "Gap - Missing Art. 9 Basis", IF(OR(I3030="Invalid - Not Freely Given", I3030="Invalid - Not Specific", I3030="Invalid - Not Informed", I3030="Invalid - Ambiguous"), "Gap - Invalid Consent", "Compliant")))))</f>
        <v/>
      </c>
      <c r="O3030" s="7" t="n"/>
    </row>
    <row r="3031">
      <c r="A3031" s="7" t="n"/>
      <c r="B3031" s="7" t="n"/>
      <c r="C3031" s="7" t="n"/>
      <c r="D3031" s="7" t="n"/>
      <c r="E3031" s="7" t="n"/>
      <c r="F3031" s="7" t="n"/>
      <c r="G3031" s="7" t="n"/>
      <c r="H3031" s="7" t="n"/>
      <c r="I3031" s="7" t="n"/>
      <c r="J3031" s="7" t="n"/>
      <c r="K3031">
        <f>IF(D3031="Legitimate Interest (GDPR Art. 6(1)(f))", "Yes / Required (Sheet 3)", "")</f>
        <v/>
      </c>
      <c r="L3031" s="7" t="n"/>
      <c r="M3031" s="7" t="n"/>
      <c r="N3031">
        <f>IF(D3031="", "Gap - No Legal Basis", IF(AND(D3031="Consent (GDPR Art. 6(1)(a))", I3031="Not Captured"), "Gap - Invalid Consent", IF(AND(D3031="Legitimate Interest (GDPR Art. 6(1)(f))", L3031=""), "Gap - Missing LIA", IF(AND(G3031="Yes", H3031=""), "Gap - Missing Art. 9 Basis", IF(OR(I3031="Invalid - Not Freely Given", I3031="Invalid - Not Specific", I3031="Invalid - Not Informed", I3031="Invalid - Ambiguous"), "Gap - Invalid Consent", "Compliant")))))</f>
        <v/>
      </c>
      <c r="O3031" s="7" t="n"/>
    </row>
    <row r="3032">
      <c r="A3032" s="7" t="n"/>
      <c r="B3032" s="7" t="n"/>
      <c r="C3032" s="7" t="n"/>
      <c r="D3032" s="7" t="n"/>
      <c r="E3032" s="7" t="n"/>
      <c r="F3032" s="7" t="n"/>
      <c r="G3032" s="7" t="n"/>
      <c r="H3032" s="7" t="n"/>
      <c r="I3032" s="7" t="n"/>
      <c r="J3032" s="7" t="n"/>
      <c r="K3032">
        <f>IF(D3032="Legitimate Interest (GDPR Art. 6(1)(f))", "Yes / Required (Sheet 3)", "")</f>
        <v/>
      </c>
      <c r="L3032" s="7" t="n"/>
      <c r="M3032" s="7" t="n"/>
      <c r="N3032">
        <f>IF(D3032="", "Gap - No Legal Basis", IF(AND(D3032="Consent (GDPR Art. 6(1)(a))", I3032="Not Captured"), "Gap - Invalid Consent", IF(AND(D3032="Legitimate Interest (GDPR Art. 6(1)(f))", L3032=""), "Gap - Missing LIA", IF(AND(G3032="Yes", H3032=""), "Gap - Missing Art. 9 Basis", IF(OR(I3032="Invalid - Not Freely Given", I3032="Invalid - Not Specific", I3032="Invalid - Not Informed", I3032="Invalid - Ambiguous"), "Gap - Invalid Consent", "Compliant")))))</f>
        <v/>
      </c>
      <c r="O3032" s="7" t="n"/>
    </row>
    <row r="3033">
      <c r="A3033" s="7" t="n"/>
      <c r="B3033" s="7" t="n"/>
      <c r="C3033" s="7" t="n"/>
      <c r="D3033" s="7" t="n"/>
      <c r="E3033" s="7" t="n"/>
      <c r="F3033" s="7" t="n"/>
      <c r="G3033" s="7" t="n"/>
      <c r="H3033" s="7" t="n"/>
      <c r="I3033" s="7" t="n"/>
      <c r="J3033" s="7" t="n"/>
      <c r="K3033">
        <f>IF(D3033="Legitimate Interest (GDPR Art. 6(1)(f))", "Yes / Required (Sheet 3)", "")</f>
        <v/>
      </c>
      <c r="L3033" s="7" t="n"/>
      <c r="M3033" s="7" t="n"/>
      <c r="N3033">
        <f>IF(D3033="", "Gap - No Legal Basis", IF(AND(D3033="Consent (GDPR Art. 6(1)(a))", I3033="Not Captured"), "Gap - Invalid Consent", IF(AND(D3033="Legitimate Interest (GDPR Art. 6(1)(f))", L3033=""), "Gap - Missing LIA", IF(AND(G3033="Yes", H3033=""), "Gap - Missing Art. 9 Basis", IF(OR(I3033="Invalid - Not Freely Given", I3033="Invalid - Not Specific", I3033="Invalid - Not Informed", I3033="Invalid - Ambiguous"), "Gap - Invalid Consent", "Compliant")))))</f>
        <v/>
      </c>
      <c r="O3033" s="7" t="n"/>
    </row>
    <row r="3034">
      <c r="A3034" s="7" t="n"/>
      <c r="B3034" s="7" t="n"/>
      <c r="C3034" s="7" t="n"/>
      <c r="D3034" s="7" t="n"/>
      <c r="E3034" s="7" t="n"/>
      <c r="F3034" s="7" t="n"/>
      <c r="G3034" s="7" t="n"/>
      <c r="H3034" s="7" t="n"/>
      <c r="I3034" s="7" t="n"/>
      <c r="J3034" s="7" t="n"/>
      <c r="K3034">
        <f>IF(D3034="Legitimate Interest (GDPR Art. 6(1)(f))", "Yes / Required (Sheet 3)", "")</f>
        <v/>
      </c>
      <c r="L3034" s="7" t="n"/>
      <c r="M3034" s="7" t="n"/>
      <c r="N3034">
        <f>IF(D3034="", "Gap - No Legal Basis", IF(AND(D3034="Consent (GDPR Art. 6(1)(a))", I3034="Not Captured"), "Gap - Invalid Consent", IF(AND(D3034="Legitimate Interest (GDPR Art. 6(1)(f))", L3034=""), "Gap - Missing LIA", IF(AND(G3034="Yes", H3034=""), "Gap - Missing Art. 9 Basis", IF(OR(I3034="Invalid - Not Freely Given", I3034="Invalid - Not Specific", I3034="Invalid - Not Informed", I3034="Invalid - Ambiguous"), "Gap - Invalid Consent", "Compliant")))))</f>
        <v/>
      </c>
      <c r="O3034" s="7" t="n"/>
    </row>
    <row r="3035">
      <c r="A3035" s="7" t="n"/>
      <c r="B3035" s="7" t="n"/>
      <c r="C3035" s="7" t="n"/>
      <c r="D3035" s="7" t="n"/>
      <c r="E3035" s="7" t="n"/>
      <c r="F3035" s="7" t="n"/>
      <c r="G3035" s="7" t="n"/>
      <c r="H3035" s="7" t="n"/>
      <c r="I3035" s="7" t="n"/>
      <c r="J3035" s="7" t="n"/>
      <c r="K3035">
        <f>IF(D3035="Legitimate Interest (GDPR Art. 6(1)(f))", "Yes / Required (Sheet 3)", "")</f>
        <v/>
      </c>
      <c r="L3035" s="7" t="n"/>
      <c r="M3035" s="7" t="n"/>
      <c r="N3035">
        <f>IF(D3035="", "Gap - No Legal Basis", IF(AND(D3035="Consent (GDPR Art. 6(1)(a))", I3035="Not Captured"), "Gap - Invalid Consent", IF(AND(D3035="Legitimate Interest (GDPR Art. 6(1)(f))", L3035=""), "Gap - Missing LIA", IF(AND(G3035="Yes", H3035=""), "Gap - Missing Art. 9 Basis", IF(OR(I3035="Invalid - Not Freely Given", I3035="Invalid - Not Specific", I3035="Invalid - Not Informed", I3035="Invalid - Ambiguous"), "Gap - Invalid Consent", "Compliant")))))</f>
        <v/>
      </c>
      <c r="O3035" s="7" t="n"/>
    </row>
    <row r="3036">
      <c r="A3036" s="7" t="n"/>
      <c r="B3036" s="7" t="n"/>
      <c r="C3036" s="7" t="n"/>
      <c r="D3036" s="7" t="n"/>
      <c r="E3036" s="7" t="n"/>
      <c r="F3036" s="7" t="n"/>
      <c r="G3036" s="7" t="n"/>
      <c r="H3036" s="7" t="n"/>
      <c r="I3036" s="7" t="n"/>
      <c r="J3036" s="7" t="n"/>
      <c r="K3036">
        <f>IF(D3036="Legitimate Interest (GDPR Art. 6(1)(f))", "Yes / Required (Sheet 3)", "")</f>
        <v/>
      </c>
      <c r="L3036" s="7" t="n"/>
      <c r="M3036" s="7" t="n"/>
      <c r="N3036">
        <f>IF(D3036="", "Gap - No Legal Basis", IF(AND(D3036="Consent (GDPR Art. 6(1)(a))", I3036="Not Captured"), "Gap - Invalid Consent", IF(AND(D3036="Legitimate Interest (GDPR Art. 6(1)(f))", L3036=""), "Gap - Missing LIA", IF(AND(G3036="Yes", H3036=""), "Gap - Missing Art. 9 Basis", IF(OR(I3036="Invalid - Not Freely Given", I3036="Invalid - Not Specific", I3036="Invalid - Not Informed", I3036="Invalid - Ambiguous"), "Gap - Invalid Consent", "Compliant")))))</f>
        <v/>
      </c>
      <c r="O3036" s="7" t="n"/>
    </row>
    <row r="3037">
      <c r="A3037" s="7" t="n"/>
      <c r="B3037" s="7" t="n"/>
      <c r="C3037" s="7" t="n"/>
      <c r="D3037" s="7" t="n"/>
      <c r="E3037" s="7" t="n"/>
      <c r="F3037" s="7" t="n"/>
      <c r="G3037" s="7" t="n"/>
      <c r="H3037" s="7" t="n"/>
      <c r="I3037" s="7" t="n"/>
      <c r="J3037" s="7" t="n"/>
      <c r="K3037">
        <f>IF(D3037="Legitimate Interest (GDPR Art. 6(1)(f))", "Yes / Required (Sheet 3)", "")</f>
        <v/>
      </c>
      <c r="L3037" s="7" t="n"/>
      <c r="M3037" s="7" t="n"/>
      <c r="N3037">
        <f>IF(D3037="", "Gap - No Legal Basis", IF(AND(D3037="Consent (GDPR Art. 6(1)(a))", I3037="Not Captured"), "Gap - Invalid Consent", IF(AND(D3037="Legitimate Interest (GDPR Art. 6(1)(f))", L3037=""), "Gap - Missing LIA", IF(AND(G3037="Yes", H3037=""), "Gap - Missing Art. 9 Basis", IF(OR(I3037="Invalid - Not Freely Given", I3037="Invalid - Not Specific", I3037="Invalid - Not Informed", I3037="Invalid - Ambiguous"), "Gap - Invalid Consent", "Compliant")))))</f>
        <v/>
      </c>
      <c r="O3037" s="7" t="n"/>
    </row>
    <row r="3038">
      <c r="A3038" s="7" t="n"/>
      <c r="B3038" s="7" t="n"/>
      <c r="C3038" s="7" t="n"/>
      <c r="D3038" s="7" t="n"/>
      <c r="E3038" s="7" t="n"/>
      <c r="F3038" s="7" t="n"/>
      <c r="G3038" s="7" t="n"/>
      <c r="H3038" s="7" t="n"/>
      <c r="I3038" s="7" t="n"/>
      <c r="J3038" s="7" t="n"/>
      <c r="K3038">
        <f>IF(D3038="Legitimate Interest (GDPR Art. 6(1)(f))", "Yes / Required (Sheet 3)", "")</f>
        <v/>
      </c>
      <c r="L3038" s="7" t="n"/>
      <c r="M3038" s="7" t="n"/>
      <c r="N3038">
        <f>IF(D3038="", "Gap - No Legal Basis", IF(AND(D3038="Consent (GDPR Art. 6(1)(a))", I3038="Not Captured"), "Gap - Invalid Consent", IF(AND(D3038="Legitimate Interest (GDPR Art. 6(1)(f))", L3038=""), "Gap - Missing LIA", IF(AND(G3038="Yes", H3038=""), "Gap - Missing Art. 9 Basis", IF(OR(I3038="Invalid - Not Freely Given", I3038="Invalid - Not Specific", I3038="Invalid - Not Informed", I3038="Invalid - Ambiguous"), "Gap - Invalid Consent", "Compliant")))))</f>
        <v/>
      </c>
      <c r="O3038" s="7" t="n"/>
    </row>
    <row r="3039">
      <c r="A3039" s="7" t="n"/>
      <c r="B3039" s="7" t="n"/>
      <c r="C3039" s="7" t="n"/>
      <c r="D3039" s="7" t="n"/>
      <c r="E3039" s="7" t="n"/>
      <c r="F3039" s="7" t="n"/>
      <c r="G3039" s="7" t="n"/>
      <c r="H3039" s="7" t="n"/>
      <c r="I3039" s="7" t="n"/>
      <c r="J3039" s="7" t="n"/>
      <c r="K3039">
        <f>IF(D3039="Legitimate Interest (GDPR Art. 6(1)(f))", "Yes / Required (Sheet 3)", "")</f>
        <v/>
      </c>
      <c r="L3039" s="7" t="n"/>
      <c r="M3039" s="7" t="n"/>
      <c r="N3039">
        <f>IF(D3039="", "Gap - No Legal Basis", IF(AND(D3039="Consent (GDPR Art. 6(1)(a))", I3039="Not Captured"), "Gap - Invalid Consent", IF(AND(D3039="Legitimate Interest (GDPR Art. 6(1)(f))", L3039=""), "Gap - Missing LIA", IF(AND(G3039="Yes", H3039=""), "Gap - Missing Art. 9 Basis", IF(OR(I3039="Invalid - Not Freely Given", I3039="Invalid - Not Specific", I3039="Invalid - Not Informed", I3039="Invalid - Ambiguous"), "Gap - Invalid Consent", "Compliant")))))</f>
        <v/>
      </c>
      <c r="O3039" s="7" t="n"/>
    </row>
    <row r="3040">
      <c r="A3040" s="7" t="n"/>
      <c r="B3040" s="7" t="n"/>
      <c r="C3040" s="7" t="n"/>
      <c r="D3040" s="7" t="n"/>
      <c r="E3040" s="7" t="n"/>
      <c r="F3040" s="7" t="n"/>
      <c r="G3040" s="7" t="n"/>
      <c r="H3040" s="7" t="n"/>
      <c r="I3040" s="7" t="n"/>
      <c r="J3040" s="7" t="n"/>
      <c r="K3040">
        <f>IF(D3040="Legitimate Interest (GDPR Art. 6(1)(f))", "Yes / Required (Sheet 3)", "")</f>
        <v/>
      </c>
      <c r="L3040" s="7" t="n"/>
      <c r="M3040" s="7" t="n"/>
      <c r="N3040">
        <f>IF(D3040="", "Gap - No Legal Basis", IF(AND(D3040="Consent (GDPR Art. 6(1)(a))", I3040="Not Captured"), "Gap - Invalid Consent", IF(AND(D3040="Legitimate Interest (GDPR Art. 6(1)(f))", L3040=""), "Gap - Missing LIA", IF(AND(G3040="Yes", H3040=""), "Gap - Missing Art. 9 Basis", IF(OR(I3040="Invalid - Not Freely Given", I3040="Invalid - Not Specific", I3040="Invalid - Not Informed", I3040="Invalid - Ambiguous"), "Gap - Invalid Consent", "Compliant")))))</f>
        <v/>
      </c>
      <c r="O3040" s="7" t="n"/>
    </row>
    <row r="3041">
      <c r="A3041" s="7" t="n"/>
      <c r="B3041" s="7" t="n"/>
      <c r="C3041" s="7" t="n"/>
      <c r="D3041" s="7" t="n"/>
      <c r="E3041" s="7" t="n"/>
      <c r="F3041" s="7" t="n"/>
      <c r="G3041" s="7" t="n"/>
      <c r="H3041" s="7" t="n"/>
      <c r="I3041" s="7" t="n"/>
      <c r="J3041" s="7" t="n"/>
      <c r="K3041">
        <f>IF(D3041="Legitimate Interest (GDPR Art. 6(1)(f))", "Yes / Required (Sheet 3)", "")</f>
        <v/>
      </c>
      <c r="L3041" s="7" t="n"/>
      <c r="M3041" s="7" t="n"/>
      <c r="N3041">
        <f>IF(D3041="", "Gap - No Legal Basis", IF(AND(D3041="Consent (GDPR Art. 6(1)(a))", I3041="Not Captured"), "Gap - Invalid Consent", IF(AND(D3041="Legitimate Interest (GDPR Art. 6(1)(f))", L3041=""), "Gap - Missing LIA", IF(AND(G3041="Yes", H3041=""), "Gap - Missing Art. 9 Basis", IF(OR(I3041="Invalid - Not Freely Given", I3041="Invalid - Not Specific", I3041="Invalid - Not Informed", I3041="Invalid - Ambiguous"), "Gap - Invalid Consent", "Compliant")))))</f>
        <v/>
      </c>
      <c r="O3041" s="7" t="n"/>
    </row>
    <row r="3042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7" t="n"/>
      <c r="J3042" s="7" t="n"/>
      <c r="K3042">
        <f>IF(D3042="Legitimate Interest (GDPR Art. 6(1)(f))", "Yes / Required (Sheet 3)", "")</f>
        <v/>
      </c>
      <c r="L3042" s="7" t="n"/>
      <c r="M3042" s="7" t="n"/>
      <c r="N3042">
        <f>IF(D3042="", "Gap - No Legal Basis", IF(AND(D3042="Consent (GDPR Art. 6(1)(a))", I3042="Not Captured"), "Gap - Invalid Consent", IF(AND(D3042="Legitimate Interest (GDPR Art. 6(1)(f))", L3042=""), "Gap - Missing LIA", IF(AND(G3042="Yes", H3042=""), "Gap - Missing Art. 9 Basis", IF(OR(I3042="Invalid - Not Freely Given", I3042="Invalid - Not Specific", I3042="Invalid - Not Informed", I3042="Invalid - Ambiguous"), "Gap - Invalid Consent", "Compliant")))))</f>
        <v/>
      </c>
      <c r="O3042" s="7" t="n"/>
    </row>
    <row r="3043">
      <c r="A3043" s="7" t="n"/>
      <c r="B3043" s="7" t="n"/>
      <c r="C3043" s="7" t="n"/>
      <c r="D3043" s="7" t="n"/>
      <c r="E3043" s="7" t="n"/>
      <c r="F3043" s="7" t="n"/>
      <c r="G3043" s="7" t="n"/>
      <c r="H3043" s="7" t="n"/>
      <c r="I3043" s="7" t="n"/>
      <c r="J3043" s="7" t="n"/>
      <c r="K3043">
        <f>IF(D3043="Legitimate Interest (GDPR Art. 6(1)(f))", "Yes / Required (Sheet 3)", "")</f>
        <v/>
      </c>
      <c r="L3043" s="7" t="n"/>
      <c r="M3043" s="7" t="n"/>
      <c r="N3043">
        <f>IF(D3043="", "Gap - No Legal Basis", IF(AND(D3043="Consent (GDPR Art. 6(1)(a))", I3043="Not Captured"), "Gap - Invalid Consent", IF(AND(D3043="Legitimate Interest (GDPR Art. 6(1)(f))", L3043=""), "Gap - Missing LIA", IF(AND(G3043="Yes", H3043=""), "Gap - Missing Art. 9 Basis", IF(OR(I3043="Invalid - Not Freely Given", I3043="Invalid - Not Specific", I3043="Invalid - Not Informed", I3043="Invalid - Ambiguous"), "Gap - Invalid Consent", "Compliant")))))</f>
        <v/>
      </c>
      <c r="O3043" s="7" t="n"/>
    </row>
    <row r="3044">
      <c r="A3044" s="7" t="n"/>
      <c r="B3044" s="7" t="n"/>
      <c r="C3044" s="7" t="n"/>
      <c r="D3044" s="7" t="n"/>
      <c r="E3044" s="7" t="n"/>
      <c r="F3044" s="7" t="n"/>
      <c r="G3044" s="7" t="n"/>
      <c r="H3044" s="7" t="n"/>
      <c r="I3044" s="7" t="n"/>
      <c r="J3044" s="7" t="n"/>
      <c r="K3044">
        <f>IF(D3044="Legitimate Interest (GDPR Art. 6(1)(f))", "Yes / Required (Sheet 3)", "")</f>
        <v/>
      </c>
      <c r="L3044" s="7" t="n"/>
      <c r="M3044" s="7" t="n"/>
      <c r="N3044">
        <f>IF(D3044="", "Gap - No Legal Basis", IF(AND(D3044="Consent (GDPR Art. 6(1)(a))", I3044="Not Captured"), "Gap - Invalid Consent", IF(AND(D3044="Legitimate Interest (GDPR Art. 6(1)(f))", L3044=""), "Gap - Missing LIA", IF(AND(G3044="Yes", H3044=""), "Gap - Missing Art. 9 Basis", IF(OR(I3044="Invalid - Not Freely Given", I3044="Invalid - Not Specific", I3044="Invalid - Not Informed", I3044="Invalid - Ambiguous"), "Gap - Invalid Consent", "Compliant")))))</f>
        <v/>
      </c>
      <c r="O3044" s="7" t="n"/>
    </row>
    <row r="3045">
      <c r="A3045" s="7" t="n"/>
      <c r="B3045" s="7" t="n"/>
      <c r="C3045" s="7" t="n"/>
      <c r="D3045" s="7" t="n"/>
      <c r="E3045" s="7" t="n"/>
      <c r="F3045" s="7" t="n"/>
      <c r="G3045" s="7" t="n"/>
      <c r="H3045" s="7" t="n"/>
      <c r="I3045" s="7" t="n"/>
      <c r="J3045" s="7" t="n"/>
      <c r="K3045">
        <f>IF(D3045="Legitimate Interest (GDPR Art. 6(1)(f))", "Yes / Required (Sheet 3)", "")</f>
        <v/>
      </c>
      <c r="L3045" s="7" t="n"/>
      <c r="M3045" s="7" t="n"/>
      <c r="N3045">
        <f>IF(D3045="", "Gap - No Legal Basis", IF(AND(D3045="Consent (GDPR Art. 6(1)(a))", I3045="Not Captured"), "Gap - Invalid Consent", IF(AND(D3045="Legitimate Interest (GDPR Art. 6(1)(f))", L3045=""), "Gap - Missing LIA", IF(AND(G3045="Yes", H3045=""), "Gap - Missing Art. 9 Basis", IF(OR(I3045="Invalid - Not Freely Given", I3045="Invalid - Not Specific", I3045="Invalid - Not Informed", I3045="Invalid - Ambiguous"), "Gap - Invalid Consent", "Compliant")))))</f>
        <v/>
      </c>
      <c r="O3045" s="7" t="n"/>
    </row>
    <row r="3046">
      <c r="A3046" s="7" t="n"/>
      <c r="B3046" s="7" t="n"/>
      <c r="C3046" s="7" t="n"/>
      <c r="D3046" s="7" t="n"/>
      <c r="E3046" s="7" t="n"/>
      <c r="F3046" s="7" t="n"/>
      <c r="G3046" s="7" t="n"/>
      <c r="H3046" s="7" t="n"/>
      <c r="I3046" s="7" t="n"/>
      <c r="J3046" s="7" t="n"/>
      <c r="K3046">
        <f>IF(D3046="Legitimate Interest (GDPR Art. 6(1)(f))", "Yes / Required (Sheet 3)", "")</f>
        <v/>
      </c>
      <c r="L3046" s="7" t="n"/>
      <c r="M3046" s="7" t="n"/>
      <c r="N3046">
        <f>IF(D3046="", "Gap - No Legal Basis", IF(AND(D3046="Consent (GDPR Art. 6(1)(a))", I3046="Not Captured"), "Gap - Invalid Consent", IF(AND(D3046="Legitimate Interest (GDPR Art. 6(1)(f))", L3046=""), "Gap - Missing LIA", IF(AND(G3046="Yes", H3046=""), "Gap - Missing Art. 9 Basis", IF(OR(I3046="Invalid - Not Freely Given", I3046="Invalid - Not Specific", I3046="Invalid - Not Informed", I3046="Invalid - Ambiguous"), "Gap - Invalid Consent", "Compliant")))))</f>
        <v/>
      </c>
      <c r="O3046" s="7" t="n"/>
    </row>
    <row r="3047">
      <c r="A3047" s="7" t="n"/>
      <c r="B3047" s="7" t="n"/>
      <c r="C3047" s="7" t="n"/>
      <c r="D3047" s="7" t="n"/>
      <c r="E3047" s="7" t="n"/>
      <c r="F3047" s="7" t="n"/>
      <c r="G3047" s="7" t="n"/>
      <c r="H3047" s="7" t="n"/>
      <c r="I3047" s="7" t="n"/>
      <c r="J3047" s="7" t="n"/>
      <c r="K3047">
        <f>IF(D3047="Legitimate Interest (GDPR Art. 6(1)(f))", "Yes / Required (Sheet 3)", "")</f>
        <v/>
      </c>
      <c r="L3047" s="7" t="n"/>
      <c r="M3047" s="7" t="n"/>
      <c r="N3047">
        <f>IF(D3047="", "Gap - No Legal Basis", IF(AND(D3047="Consent (GDPR Art. 6(1)(a))", I3047="Not Captured"), "Gap - Invalid Consent", IF(AND(D3047="Legitimate Interest (GDPR Art. 6(1)(f))", L3047=""), "Gap - Missing LIA", IF(AND(G3047="Yes", H3047=""), "Gap - Missing Art. 9 Basis", IF(OR(I3047="Invalid - Not Freely Given", I3047="Invalid - Not Specific", I3047="Invalid - Not Informed", I3047="Invalid - Ambiguous"), "Gap - Invalid Consent", "Compliant")))))</f>
        <v/>
      </c>
      <c r="O3047" s="7" t="n"/>
    </row>
    <row r="3048">
      <c r="A3048" s="7" t="n"/>
      <c r="B3048" s="7" t="n"/>
      <c r="C3048" s="7" t="n"/>
      <c r="D3048" s="7" t="n"/>
      <c r="E3048" s="7" t="n"/>
      <c r="F3048" s="7" t="n"/>
      <c r="G3048" s="7" t="n"/>
      <c r="H3048" s="7" t="n"/>
      <c r="I3048" s="7" t="n"/>
      <c r="J3048" s="7" t="n"/>
      <c r="K3048">
        <f>IF(D3048="Legitimate Interest (GDPR Art. 6(1)(f))", "Yes / Required (Sheet 3)", "")</f>
        <v/>
      </c>
      <c r="L3048" s="7" t="n"/>
      <c r="M3048" s="7" t="n"/>
      <c r="N3048">
        <f>IF(D3048="", "Gap - No Legal Basis", IF(AND(D3048="Consent (GDPR Art. 6(1)(a))", I3048="Not Captured"), "Gap - Invalid Consent", IF(AND(D3048="Legitimate Interest (GDPR Art. 6(1)(f))", L3048=""), "Gap - Missing LIA", IF(AND(G3048="Yes", H3048=""), "Gap - Missing Art. 9 Basis", IF(OR(I3048="Invalid - Not Freely Given", I3048="Invalid - Not Specific", I3048="Invalid - Not Informed", I3048="Invalid - Ambiguous"), "Gap - Invalid Consent", "Compliant")))))</f>
        <v/>
      </c>
      <c r="O3048" s="7" t="n"/>
    </row>
    <row r="3049">
      <c r="A3049" s="7" t="n"/>
      <c r="B3049" s="7" t="n"/>
      <c r="C3049" s="7" t="n"/>
      <c r="D3049" s="7" t="n"/>
      <c r="E3049" s="7" t="n"/>
      <c r="F3049" s="7" t="n"/>
      <c r="G3049" s="7" t="n"/>
      <c r="H3049" s="7" t="n"/>
      <c r="I3049" s="7" t="n"/>
      <c r="J3049" s="7" t="n"/>
      <c r="K3049">
        <f>IF(D3049="Legitimate Interest (GDPR Art. 6(1)(f))", "Yes / Required (Sheet 3)", "")</f>
        <v/>
      </c>
      <c r="L3049" s="7" t="n"/>
      <c r="M3049" s="7" t="n"/>
      <c r="N3049">
        <f>IF(D3049="", "Gap - No Legal Basis", IF(AND(D3049="Consent (GDPR Art. 6(1)(a))", I3049="Not Captured"), "Gap - Invalid Consent", IF(AND(D3049="Legitimate Interest (GDPR Art. 6(1)(f))", L3049=""), "Gap - Missing LIA", IF(AND(G3049="Yes", H3049=""), "Gap - Missing Art. 9 Basis", IF(OR(I3049="Invalid - Not Freely Given", I3049="Invalid - Not Specific", I3049="Invalid - Not Informed", I3049="Invalid - Ambiguous"), "Gap - Invalid Consent", "Compliant")))))</f>
        <v/>
      </c>
      <c r="O3049" s="7" t="n"/>
    </row>
    <row r="3050">
      <c r="A3050" s="7" t="n"/>
      <c r="B3050" s="7" t="n"/>
      <c r="C3050" s="7" t="n"/>
      <c r="D3050" s="7" t="n"/>
      <c r="E3050" s="7" t="n"/>
      <c r="F3050" s="7" t="n"/>
      <c r="G3050" s="7" t="n"/>
      <c r="H3050" s="7" t="n"/>
      <c r="I3050" s="7" t="n"/>
      <c r="J3050" s="7" t="n"/>
      <c r="K3050">
        <f>IF(D3050="Legitimate Interest (GDPR Art. 6(1)(f))", "Yes / Required (Sheet 3)", "")</f>
        <v/>
      </c>
      <c r="L3050" s="7" t="n"/>
      <c r="M3050" s="7" t="n"/>
      <c r="N3050">
        <f>IF(D3050="", "Gap - No Legal Basis", IF(AND(D3050="Consent (GDPR Art. 6(1)(a))", I3050="Not Captured"), "Gap - Invalid Consent", IF(AND(D3050="Legitimate Interest (GDPR Art. 6(1)(f))", L3050=""), "Gap - Missing LIA", IF(AND(G3050="Yes", H3050=""), "Gap - Missing Art. 9 Basis", IF(OR(I3050="Invalid - Not Freely Given", I3050="Invalid - Not Specific", I3050="Invalid - Not Informed", I3050="Invalid - Ambiguous"), "Gap - Invalid Consent", "Compliant")))))</f>
        <v/>
      </c>
      <c r="O3050" s="7" t="n"/>
    </row>
    <row r="3051">
      <c r="A3051" s="7" t="n"/>
      <c r="B3051" s="7" t="n"/>
      <c r="C3051" s="7" t="n"/>
      <c r="D3051" s="7" t="n"/>
      <c r="E3051" s="7" t="n"/>
      <c r="F3051" s="7" t="n"/>
      <c r="G3051" s="7" t="n"/>
      <c r="H3051" s="7" t="n"/>
      <c r="I3051" s="7" t="n"/>
      <c r="J3051" s="7" t="n"/>
      <c r="K3051">
        <f>IF(D3051="Legitimate Interest (GDPR Art. 6(1)(f))", "Yes / Required (Sheet 3)", "")</f>
        <v/>
      </c>
      <c r="L3051" s="7" t="n"/>
      <c r="M3051" s="7" t="n"/>
      <c r="N3051">
        <f>IF(D3051="", "Gap - No Legal Basis", IF(AND(D3051="Consent (GDPR Art. 6(1)(a))", I3051="Not Captured"), "Gap - Invalid Consent", IF(AND(D3051="Legitimate Interest (GDPR Art. 6(1)(f))", L3051=""), "Gap - Missing LIA", IF(AND(G3051="Yes", H3051=""), "Gap - Missing Art. 9 Basis", IF(OR(I3051="Invalid - Not Freely Given", I3051="Invalid - Not Specific", I3051="Invalid - Not Informed", I3051="Invalid - Ambiguous"), "Gap - Invalid Consent", "Compliant")))))</f>
        <v/>
      </c>
      <c r="O3051" s="7" t="n"/>
    </row>
    <row r="3052">
      <c r="A3052" s="7" t="n"/>
      <c r="B3052" s="7" t="n"/>
      <c r="C3052" s="7" t="n"/>
      <c r="D3052" s="7" t="n"/>
      <c r="E3052" s="7" t="n"/>
      <c r="F3052" s="7" t="n"/>
      <c r="G3052" s="7" t="n"/>
      <c r="H3052" s="7" t="n"/>
      <c r="I3052" s="7" t="n"/>
      <c r="J3052" s="7" t="n"/>
      <c r="K3052">
        <f>IF(D3052="Legitimate Interest (GDPR Art. 6(1)(f))", "Yes / Required (Sheet 3)", "")</f>
        <v/>
      </c>
      <c r="L3052" s="7" t="n"/>
      <c r="M3052" s="7" t="n"/>
      <c r="N3052">
        <f>IF(D3052="", "Gap - No Legal Basis", IF(AND(D3052="Consent (GDPR Art. 6(1)(a))", I3052="Not Captured"), "Gap - Invalid Consent", IF(AND(D3052="Legitimate Interest (GDPR Art. 6(1)(f))", L3052=""), "Gap - Missing LIA", IF(AND(G3052="Yes", H3052=""), "Gap - Missing Art. 9 Basis", IF(OR(I3052="Invalid - Not Freely Given", I3052="Invalid - Not Specific", I3052="Invalid - Not Informed", I3052="Invalid - Ambiguous"), "Gap - Invalid Consent", "Compliant")))))</f>
        <v/>
      </c>
      <c r="O3052" s="7" t="n"/>
    </row>
    <row r="3053">
      <c r="A3053" s="7" t="n"/>
      <c r="B3053" s="7" t="n"/>
      <c r="C3053" s="7" t="n"/>
      <c r="D3053" s="7" t="n"/>
      <c r="E3053" s="7" t="n"/>
      <c r="F3053" s="7" t="n"/>
      <c r="G3053" s="7" t="n"/>
      <c r="H3053" s="7" t="n"/>
      <c r="I3053" s="7" t="n"/>
      <c r="J3053" s="7" t="n"/>
      <c r="K3053">
        <f>IF(D3053="Legitimate Interest (GDPR Art. 6(1)(f))", "Yes / Required (Sheet 3)", "")</f>
        <v/>
      </c>
      <c r="L3053" s="7" t="n"/>
      <c r="M3053" s="7" t="n"/>
      <c r="N3053">
        <f>IF(D3053="", "Gap - No Legal Basis", IF(AND(D3053="Consent (GDPR Art. 6(1)(a))", I3053="Not Captured"), "Gap - Invalid Consent", IF(AND(D3053="Legitimate Interest (GDPR Art. 6(1)(f))", L3053=""), "Gap - Missing LIA", IF(AND(G3053="Yes", H3053=""), "Gap - Missing Art. 9 Basis", IF(OR(I3053="Invalid - Not Freely Given", I3053="Invalid - Not Specific", I3053="Invalid - Not Informed", I3053="Invalid - Ambiguous"), "Gap - Invalid Consent", "Compliant")))))</f>
        <v/>
      </c>
      <c r="O3053" s="7" t="n"/>
    </row>
    <row r="3054">
      <c r="A3054" s="7" t="n"/>
      <c r="B3054" s="7" t="n"/>
      <c r="C3054" s="7" t="n"/>
      <c r="D3054" s="7" t="n"/>
      <c r="E3054" s="7" t="n"/>
      <c r="F3054" s="7" t="n"/>
      <c r="G3054" s="7" t="n"/>
      <c r="H3054" s="7" t="n"/>
      <c r="I3054" s="7" t="n"/>
      <c r="J3054" s="7" t="n"/>
      <c r="K3054">
        <f>IF(D3054="Legitimate Interest (GDPR Art. 6(1)(f))", "Yes / Required (Sheet 3)", "")</f>
        <v/>
      </c>
      <c r="L3054" s="7" t="n"/>
      <c r="M3054" s="7" t="n"/>
      <c r="N3054">
        <f>IF(D3054="", "Gap - No Legal Basis", IF(AND(D3054="Consent (GDPR Art. 6(1)(a))", I3054="Not Captured"), "Gap - Invalid Consent", IF(AND(D3054="Legitimate Interest (GDPR Art. 6(1)(f))", L3054=""), "Gap - Missing LIA", IF(AND(G3054="Yes", H3054=""), "Gap - Missing Art. 9 Basis", IF(OR(I3054="Invalid - Not Freely Given", I3054="Invalid - Not Specific", I3054="Invalid - Not Informed", I3054="Invalid - Ambiguous"), "Gap - Invalid Consent", "Compliant")))))</f>
        <v/>
      </c>
      <c r="O3054" s="7" t="n"/>
    </row>
    <row r="3055">
      <c r="A3055" s="7" t="n"/>
      <c r="B3055" s="7" t="n"/>
      <c r="C3055" s="7" t="n"/>
      <c r="D3055" s="7" t="n"/>
      <c r="E3055" s="7" t="n"/>
      <c r="F3055" s="7" t="n"/>
      <c r="G3055" s="7" t="n"/>
      <c r="H3055" s="7" t="n"/>
      <c r="I3055" s="7" t="n"/>
      <c r="J3055" s="7" t="n"/>
      <c r="K3055">
        <f>IF(D3055="Legitimate Interest (GDPR Art. 6(1)(f))", "Yes / Required (Sheet 3)", "")</f>
        <v/>
      </c>
      <c r="L3055" s="7" t="n"/>
      <c r="M3055" s="7" t="n"/>
      <c r="N3055">
        <f>IF(D3055="", "Gap - No Legal Basis", IF(AND(D3055="Consent (GDPR Art. 6(1)(a))", I3055="Not Captured"), "Gap - Invalid Consent", IF(AND(D3055="Legitimate Interest (GDPR Art. 6(1)(f))", L3055=""), "Gap - Missing LIA", IF(AND(G3055="Yes", H3055=""), "Gap - Missing Art. 9 Basis", IF(OR(I3055="Invalid - Not Freely Given", I3055="Invalid - Not Specific", I3055="Invalid - Not Informed", I3055="Invalid - Ambiguous"), "Gap - Invalid Consent", "Compliant")))))</f>
        <v/>
      </c>
      <c r="O3055" s="7" t="n"/>
    </row>
    <row r="3056">
      <c r="A3056" s="7" t="n"/>
      <c r="B3056" s="7" t="n"/>
      <c r="C3056" s="7" t="n"/>
      <c r="D3056" s="7" t="n"/>
      <c r="E3056" s="7" t="n"/>
      <c r="F3056" s="7" t="n"/>
      <c r="G3056" s="7" t="n"/>
      <c r="H3056" s="7" t="n"/>
      <c r="I3056" s="7" t="n"/>
      <c r="J3056" s="7" t="n"/>
      <c r="K3056">
        <f>IF(D3056="Legitimate Interest (GDPR Art. 6(1)(f))", "Yes / Required (Sheet 3)", "")</f>
        <v/>
      </c>
      <c r="L3056" s="7" t="n"/>
      <c r="M3056" s="7" t="n"/>
      <c r="N3056">
        <f>IF(D3056="", "Gap - No Legal Basis", IF(AND(D3056="Consent (GDPR Art. 6(1)(a))", I3056="Not Captured"), "Gap - Invalid Consent", IF(AND(D3056="Legitimate Interest (GDPR Art. 6(1)(f))", L3056=""), "Gap - Missing LIA", IF(AND(G3056="Yes", H3056=""), "Gap - Missing Art. 9 Basis", IF(OR(I3056="Invalid - Not Freely Given", I3056="Invalid - Not Specific", I3056="Invalid - Not Informed", I3056="Invalid - Ambiguous"), "Gap - Invalid Consent", "Compliant")))))</f>
        <v/>
      </c>
      <c r="O3056" s="7" t="n"/>
    </row>
    <row r="3057">
      <c r="A3057" s="7" t="n"/>
      <c r="B3057" s="7" t="n"/>
      <c r="C3057" s="7" t="n"/>
      <c r="D3057" s="7" t="n"/>
      <c r="E3057" s="7" t="n"/>
      <c r="F3057" s="7" t="n"/>
      <c r="G3057" s="7" t="n"/>
      <c r="H3057" s="7" t="n"/>
      <c r="I3057" s="7" t="n"/>
      <c r="J3057" s="7" t="n"/>
      <c r="K3057">
        <f>IF(D3057="Legitimate Interest (GDPR Art. 6(1)(f))", "Yes / Required (Sheet 3)", "")</f>
        <v/>
      </c>
      <c r="L3057" s="7" t="n"/>
      <c r="M3057" s="7" t="n"/>
      <c r="N3057">
        <f>IF(D3057="", "Gap - No Legal Basis", IF(AND(D3057="Consent (GDPR Art. 6(1)(a))", I3057="Not Captured"), "Gap - Invalid Consent", IF(AND(D3057="Legitimate Interest (GDPR Art. 6(1)(f))", L3057=""), "Gap - Missing LIA", IF(AND(G3057="Yes", H3057=""), "Gap - Missing Art. 9 Basis", IF(OR(I3057="Invalid - Not Freely Given", I3057="Invalid - Not Specific", I3057="Invalid - Not Informed", I3057="Invalid - Ambiguous"), "Gap - Invalid Consent", "Compliant")))))</f>
        <v/>
      </c>
      <c r="O3057" s="7" t="n"/>
    </row>
    <row r="3058">
      <c r="A3058" s="7" t="n"/>
      <c r="B3058" s="7" t="n"/>
      <c r="C3058" s="7" t="n"/>
      <c r="D3058" s="7" t="n"/>
      <c r="E3058" s="7" t="n"/>
      <c r="F3058" s="7" t="n"/>
      <c r="G3058" s="7" t="n"/>
      <c r="H3058" s="7" t="n"/>
      <c r="I3058" s="7" t="n"/>
      <c r="J3058" s="7" t="n"/>
      <c r="K3058">
        <f>IF(D3058="Legitimate Interest (GDPR Art. 6(1)(f))", "Yes / Required (Sheet 3)", "")</f>
        <v/>
      </c>
      <c r="L3058" s="7" t="n"/>
      <c r="M3058" s="7" t="n"/>
      <c r="N3058">
        <f>IF(D3058="", "Gap - No Legal Basis", IF(AND(D3058="Consent (GDPR Art. 6(1)(a))", I3058="Not Captured"), "Gap - Invalid Consent", IF(AND(D3058="Legitimate Interest (GDPR Art. 6(1)(f))", L3058=""), "Gap - Missing LIA", IF(AND(G3058="Yes", H3058=""), "Gap - Missing Art. 9 Basis", IF(OR(I3058="Invalid - Not Freely Given", I3058="Invalid - Not Specific", I3058="Invalid - Not Informed", I3058="Invalid - Ambiguous"), "Gap - Invalid Consent", "Compliant")))))</f>
        <v/>
      </c>
      <c r="O3058" s="7" t="n"/>
    </row>
    <row r="3059">
      <c r="A3059" s="7" t="n"/>
      <c r="B3059" s="7" t="n"/>
      <c r="C3059" s="7" t="n"/>
      <c r="D3059" s="7" t="n"/>
      <c r="E3059" s="7" t="n"/>
      <c r="F3059" s="7" t="n"/>
      <c r="G3059" s="7" t="n"/>
      <c r="H3059" s="7" t="n"/>
      <c r="I3059" s="7" t="n"/>
      <c r="J3059" s="7" t="n"/>
      <c r="K3059">
        <f>IF(D3059="Legitimate Interest (GDPR Art. 6(1)(f))", "Yes / Required (Sheet 3)", "")</f>
        <v/>
      </c>
      <c r="L3059" s="7" t="n"/>
      <c r="M3059" s="7" t="n"/>
      <c r="N3059">
        <f>IF(D3059="", "Gap - No Legal Basis", IF(AND(D3059="Consent (GDPR Art. 6(1)(a))", I3059="Not Captured"), "Gap - Invalid Consent", IF(AND(D3059="Legitimate Interest (GDPR Art. 6(1)(f))", L3059=""), "Gap - Missing LIA", IF(AND(G3059="Yes", H3059=""), "Gap - Missing Art. 9 Basis", IF(OR(I3059="Invalid - Not Freely Given", I3059="Invalid - Not Specific", I3059="Invalid - Not Informed", I3059="Invalid - Ambiguous"), "Gap - Invalid Consent", "Compliant")))))</f>
        <v/>
      </c>
      <c r="O3059" s="7" t="n"/>
    </row>
    <row r="3060">
      <c r="A3060" s="7" t="n"/>
      <c r="B3060" s="7" t="n"/>
      <c r="C3060" s="7" t="n"/>
      <c r="D3060" s="7" t="n"/>
      <c r="E3060" s="7" t="n"/>
      <c r="F3060" s="7" t="n"/>
      <c r="G3060" s="7" t="n"/>
      <c r="H3060" s="7" t="n"/>
      <c r="I3060" s="7" t="n"/>
      <c r="J3060" s="7" t="n"/>
      <c r="K3060">
        <f>IF(D3060="Legitimate Interest (GDPR Art. 6(1)(f))", "Yes / Required (Sheet 3)", "")</f>
        <v/>
      </c>
      <c r="L3060" s="7" t="n"/>
      <c r="M3060" s="7" t="n"/>
      <c r="N3060">
        <f>IF(D3060="", "Gap - No Legal Basis", IF(AND(D3060="Consent (GDPR Art. 6(1)(a))", I3060="Not Captured"), "Gap - Invalid Consent", IF(AND(D3060="Legitimate Interest (GDPR Art. 6(1)(f))", L3060=""), "Gap - Missing LIA", IF(AND(G3060="Yes", H3060=""), "Gap - Missing Art. 9 Basis", IF(OR(I3060="Invalid - Not Freely Given", I3060="Invalid - Not Specific", I3060="Invalid - Not Informed", I3060="Invalid - Ambiguous"), "Gap - Invalid Consent", "Compliant")))))</f>
        <v/>
      </c>
      <c r="O3060" s="7" t="n"/>
    </row>
    <row r="3061">
      <c r="A3061" s="7" t="n"/>
      <c r="B3061" s="7" t="n"/>
      <c r="C3061" s="7" t="n"/>
      <c r="D3061" s="7" t="n"/>
      <c r="E3061" s="7" t="n"/>
      <c r="F3061" s="7" t="n"/>
      <c r="G3061" s="7" t="n"/>
      <c r="H3061" s="7" t="n"/>
      <c r="I3061" s="7" t="n"/>
      <c r="J3061" s="7" t="n"/>
      <c r="K3061">
        <f>IF(D3061="Legitimate Interest (GDPR Art. 6(1)(f))", "Yes / Required (Sheet 3)", "")</f>
        <v/>
      </c>
      <c r="L3061" s="7" t="n"/>
      <c r="M3061" s="7" t="n"/>
      <c r="N3061">
        <f>IF(D3061="", "Gap - No Legal Basis", IF(AND(D3061="Consent (GDPR Art. 6(1)(a))", I3061="Not Captured"), "Gap - Invalid Consent", IF(AND(D3061="Legitimate Interest (GDPR Art. 6(1)(f))", L3061=""), "Gap - Missing LIA", IF(AND(G3061="Yes", H3061=""), "Gap - Missing Art. 9 Basis", IF(OR(I3061="Invalid - Not Freely Given", I3061="Invalid - Not Specific", I3061="Invalid - Not Informed", I3061="Invalid - Ambiguous"), "Gap - Invalid Consent", "Compliant")))))</f>
        <v/>
      </c>
      <c r="O3061" s="7" t="n"/>
    </row>
    <row r="3062">
      <c r="A3062" s="7" t="n"/>
      <c r="B3062" s="7" t="n"/>
      <c r="C3062" s="7" t="n"/>
      <c r="D3062" s="7" t="n"/>
      <c r="E3062" s="7" t="n"/>
      <c r="F3062" s="7" t="n"/>
      <c r="G3062" s="7" t="n"/>
      <c r="H3062" s="7" t="n"/>
      <c r="I3062" s="7" t="n"/>
      <c r="J3062" s="7" t="n"/>
      <c r="K3062">
        <f>IF(D3062="Legitimate Interest (GDPR Art. 6(1)(f))", "Yes / Required (Sheet 3)", "")</f>
        <v/>
      </c>
      <c r="L3062" s="7" t="n"/>
      <c r="M3062" s="7" t="n"/>
      <c r="N3062">
        <f>IF(D3062="", "Gap - No Legal Basis", IF(AND(D3062="Consent (GDPR Art. 6(1)(a))", I3062="Not Captured"), "Gap - Invalid Consent", IF(AND(D3062="Legitimate Interest (GDPR Art. 6(1)(f))", L3062=""), "Gap - Missing LIA", IF(AND(G3062="Yes", H3062=""), "Gap - Missing Art. 9 Basis", IF(OR(I3062="Invalid - Not Freely Given", I3062="Invalid - Not Specific", I3062="Invalid - Not Informed", I3062="Invalid - Ambiguous"), "Gap - Invalid Consent", "Compliant")))))</f>
        <v/>
      </c>
      <c r="O3062" s="7" t="n"/>
    </row>
    <row r="3063">
      <c r="A3063" s="7" t="n"/>
      <c r="B3063" s="7" t="n"/>
      <c r="C3063" s="7" t="n"/>
      <c r="D3063" s="7" t="n"/>
      <c r="E3063" s="7" t="n"/>
      <c r="F3063" s="7" t="n"/>
      <c r="G3063" s="7" t="n"/>
      <c r="H3063" s="7" t="n"/>
      <c r="I3063" s="7" t="n"/>
      <c r="J3063" s="7" t="n"/>
      <c r="K3063">
        <f>IF(D3063="Legitimate Interest (GDPR Art. 6(1)(f))", "Yes / Required (Sheet 3)", "")</f>
        <v/>
      </c>
      <c r="L3063" s="7" t="n"/>
      <c r="M3063" s="7" t="n"/>
      <c r="N3063">
        <f>IF(D3063="", "Gap - No Legal Basis", IF(AND(D3063="Consent (GDPR Art. 6(1)(a))", I3063="Not Captured"), "Gap - Invalid Consent", IF(AND(D3063="Legitimate Interest (GDPR Art. 6(1)(f))", L3063=""), "Gap - Missing LIA", IF(AND(G3063="Yes", H3063=""), "Gap - Missing Art. 9 Basis", IF(OR(I3063="Invalid - Not Freely Given", I3063="Invalid - Not Specific", I3063="Invalid - Not Informed", I3063="Invalid - Ambiguous"), "Gap - Invalid Consent", "Compliant")))))</f>
        <v/>
      </c>
      <c r="O3063" s="7" t="n"/>
    </row>
    <row r="3064">
      <c r="A3064" s="7" t="n"/>
      <c r="B3064" s="7" t="n"/>
      <c r="C3064" s="7" t="n"/>
      <c r="D3064" s="7" t="n"/>
      <c r="E3064" s="7" t="n"/>
      <c r="F3064" s="7" t="n"/>
      <c r="G3064" s="7" t="n"/>
      <c r="H3064" s="7" t="n"/>
      <c r="I3064" s="7" t="n"/>
      <c r="J3064" s="7" t="n"/>
      <c r="K3064">
        <f>IF(D3064="Legitimate Interest (GDPR Art. 6(1)(f))", "Yes / Required (Sheet 3)", "")</f>
        <v/>
      </c>
      <c r="L3064" s="7" t="n"/>
      <c r="M3064" s="7" t="n"/>
      <c r="N3064">
        <f>IF(D3064="", "Gap - No Legal Basis", IF(AND(D3064="Consent (GDPR Art. 6(1)(a))", I3064="Not Captured"), "Gap - Invalid Consent", IF(AND(D3064="Legitimate Interest (GDPR Art. 6(1)(f))", L3064=""), "Gap - Missing LIA", IF(AND(G3064="Yes", H3064=""), "Gap - Missing Art. 9 Basis", IF(OR(I3064="Invalid - Not Freely Given", I3064="Invalid - Not Specific", I3064="Invalid - Not Informed", I3064="Invalid - Ambiguous"), "Gap - Invalid Consent", "Compliant")))))</f>
        <v/>
      </c>
      <c r="O3064" s="7" t="n"/>
    </row>
    <row r="3065">
      <c r="A3065" s="7" t="n"/>
      <c r="B3065" s="7" t="n"/>
      <c r="C3065" s="7" t="n"/>
      <c r="D3065" s="7" t="n"/>
      <c r="E3065" s="7" t="n"/>
      <c r="F3065" s="7" t="n"/>
      <c r="G3065" s="7" t="n"/>
      <c r="H3065" s="7" t="n"/>
      <c r="I3065" s="7" t="n"/>
      <c r="J3065" s="7" t="n"/>
      <c r="K3065">
        <f>IF(D3065="Legitimate Interest (GDPR Art. 6(1)(f))", "Yes / Required (Sheet 3)", "")</f>
        <v/>
      </c>
      <c r="L3065" s="7" t="n"/>
      <c r="M3065" s="7" t="n"/>
      <c r="N3065">
        <f>IF(D3065="", "Gap - No Legal Basis", IF(AND(D3065="Consent (GDPR Art. 6(1)(a))", I3065="Not Captured"), "Gap - Invalid Consent", IF(AND(D3065="Legitimate Interest (GDPR Art. 6(1)(f))", L3065=""), "Gap - Missing LIA", IF(AND(G3065="Yes", H3065=""), "Gap - Missing Art. 9 Basis", IF(OR(I3065="Invalid - Not Freely Given", I3065="Invalid - Not Specific", I3065="Invalid - Not Informed", I3065="Invalid - Ambiguous"), "Gap - Invalid Consent", "Compliant")))))</f>
        <v/>
      </c>
      <c r="O3065" s="7" t="n"/>
    </row>
    <row r="3066">
      <c r="A3066" s="7" t="n"/>
      <c r="B3066" s="7" t="n"/>
      <c r="C3066" s="7" t="n"/>
      <c r="D3066" s="7" t="n"/>
      <c r="E3066" s="7" t="n"/>
      <c r="F3066" s="7" t="n"/>
      <c r="G3066" s="7" t="n"/>
      <c r="H3066" s="7" t="n"/>
      <c r="I3066" s="7" t="n"/>
      <c r="J3066" s="7" t="n"/>
      <c r="K3066">
        <f>IF(D3066="Legitimate Interest (GDPR Art. 6(1)(f))", "Yes / Required (Sheet 3)", "")</f>
        <v/>
      </c>
      <c r="L3066" s="7" t="n"/>
      <c r="M3066" s="7" t="n"/>
      <c r="N3066">
        <f>IF(D3066="", "Gap - No Legal Basis", IF(AND(D3066="Consent (GDPR Art. 6(1)(a))", I3066="Not Captured"), "Gap - Invalid Consent", IF(AND(D3066="Legitimate Interest (GDPR Art. 6(1)(f))", L3066=""), "Gap - Missing LIA", IF(AND(G3066="Yes", H3066=""), "Gap - Missing Art. 9 Basis", IF(OR(I3066="Invalid - Not Freely Given", I3066="Invalid - Not Specific", I3066="Invalid - Not Informed", I3066="Invalid - Ambiguous"), "Gap - Invalid Consent", "Compliant")))))</f>
        <v/>
      </c>
      <c r="O3066" s="7" t="n"/>
    </row>
    <row r="3067">
      <c r="A3067" s="7" t="n"/>
      <c r="B3067" s="7" t="n"/>
      <c r="C3067" s="7" t="n"/>
      <c r="D3067" s="7" t="n"/>
      <c r="E3067" s="7" t="n"/>
      <c r="F3067" s="7" t="n"/>
      <c r="G3067" s="7" t="n"/>
      <c r="H3067" s="7" t="n"/>
      <c r="I3067" s="7" t="n"/>
      <c r="J3067" s="7" t="n"/>
      <c r="K3067">
        <f>IF(D3067="Legitimate Interest (GDPR Art. 6(1)(f))", "Yes / Required (Sheet 3)", "")</f>
        <v/>
      </c>
      <c r="L3067" s="7" t="n"/>
      <c r="M3067" s="7" t="n"/>
      <c r="N3067">
        <f>IF(D3067="", "Gap - No Legal Basis", IF(AND(D3067="Consent (GDPR Art. 6(1)(a))", I3067="Not Captured"), "Gap - Invalid Consent", IF(AND(D3067="Legitimate Interest (GDPR Art. 6(1)(f))", L3067=""), "Gap - Missing LIA", IF(AND(G3067="Yes", H3067=""), "Gap - Missing Art. 9 Basis", IF(OR(I3067="Invalid - Not Freely Given", I3067="Invalid - Not Specific", I3067="Invalid - Not Informed", I3067="Invalid - Ambiguous"), "Gap - Invalid Consent", "Compliant")))))</f>
        <v/>
      </c>
      <c r="O3067" s="7" t="n"/>
    </row>
    <row r="3068">
      <c r="A3068" s="7" t="n"/>
      <c r="B3068" s="7" t="n"/>
      <c r="C3068" s="7" t="n"/>
      <c r="D3068" s="7" t="n"/>
      <c r="E3068" s="7" t="n"/>
      <c r="F3068" s="7" t="n"/>
      <c r="G3068" s="7" t="n"/>
      <c r="H3068" s="7" t="n"/>
      <c r="I3068" s="7" t="n"/>
      <c r="J3068" s="7" t="n"/>
      <c r="K3068">
        <f>IF(D3068="Legitimate Interest (GDPR Art. 6(1)(f))", "Yes / Required (Sheet 3)", "")</f>
        <v/>
      </c>
      <c r="L3068" s="7" t="n"/>
      <c r="M3068" s="7" t="n"/>
      <c r="N3068">
        <f>IF(D3068="", "Gap - No Legal Basis", IF(AND(D3068="Consent (GDPR Art. 6(1)(a))", I3068="Not Captured"), "Gap - Invalid Consent", IF(AND(D3068="Legitimate Interest (GDPR Art. 6(1)(f))", L3068=""), "Gap - Missing LIA", IF(AND(G3068="Yes", H3068=""), "Gap - Missing Art. 9 Basis", IF(OR(I3068="Invalid - Not Freely Given", I3068="Invalid - Not Specific", I3068="Invalid - Not Informed", I3068="Invalid - Ambiguous"), "Gap - Invalid Consent", "Compliant")))))</f>
        <v/>
      </c>
      <c r="O3068" s="7" t="n"/>
    </row>
    <row r="3069">
      <c r="A3069" s="7" t="n"/>
      <c r="B3069" s="7" t="n"/>
      <c r="C3069" s="7" t="n"/>
      <c r="D3069" s="7" t="n"/>
      <c r="E3069" s="7" t="n"/>
      <c r="F3069" s="7" t="n"/>
      <c r="G3069" s="7" t="n"/>
      <c r="H3069" s="7" t="n"/>
      <c r="I3069" s="7" t="n"/>
      <c r="J3069" s="7" t="n"/>
      <c r="K3069">
        <f>IF(D3069="Legitimate Interest (GDPR Art. 6(1)(f))", "Yes / Required (Sheet 3)", "")</f>
        <v/>
      </c>
      <c r="L3069" s="7" t="n"/>
      <c r="M3069" s="7" t="n"/>
      <c r="N3069">
        <f>IF(D3069="", "Gap - No Legal Basis", IF(AND(D3069="Consent (GDPR Art. 6(1)(a))", I3069="Not Captured"), "Gap - Invalid Consent", IF(AND(D3069="Legitimate Interest (GDPR Art. 6(1)(f))", L3069=""), "Gap - Missing LIA", IF(AND(G3069="Yes", H3069=""), "Gap - Missing Art. 9 Basis", IF(OR(I3069="Invalid - Not Freely Given", I3069="Invalid - Not Specific", I3069="Invalid - Not Informed", I3069="Invalid - Ambiguous"), "Gap - Invalid Consent", "Compliant")))))</f>
        <v/>
      </c>
      <c r="O3069" s="7" t="n"/>
    </row>
    <row r="3070">
      <c r="A3070" s="7" t="n"/>
      <c r="B3070" s="7" t="n"/>
      <c r="C3070" s="7" t="n"/>
      <c r="D3070" s="7" t="n"/>
      <c r="E3070" s="7" t="n"/>
      <c r="F3070" s="7" t="n"/>
      <c r="G3070" s="7" t="n"/>
      <c r="H3070" s="7" t="n"/>
      <c r="I3070" s="7" t="n"/>
      <c r="J3070" s="7" t="n"/>
      <c r="K3070">
        <f>IF(D3070="Legitimate Interest (GDPR Art. 6(1)(f))", "Yes / Required (Sheet 3)", "")</f>
        <v/>
      </c>
      <c r="L3070" s="7" t="n"/>
      <c r="M3070" s="7" t="n"/>
      <c r="N3070">
        <f>IF(D3070="", "Gap - No Legal Basis", IF(AND(D3070="Consent (GDPR Art. 6(1)(a))", I3070="Not Captured"), "Gap - Invalid Consent", IF(AND(D3070="Legitimate Interest (GDPR Art. 6(1)(f))", L3070=""), "Gap - Missing LIA", IF(AND(G3070="Yes", H3070=""), "Gap - Missing Art. 9 Basis", IF(OR(I3070="Invalid - Not Freely Given", I3070="Invalid - Not Specific", I3070="Invalid - Not Informed", I3070="Invalid - Ambiguous"), "Gap - Invalid Consent", "Compliant")))))</f>
        <v/>
      </c>
      <c r="O3070" s="7" t="n"/>
    </row>
    <row r="3071">
      <c r="A3071" s="7" t="n"/>
      <c r="B3071" s="7" t="n"/>
      <c r="C3071" s="7" t="n"/>
      <c r="D3071" s="7" t="n"/>
      <c r="E3071" s="7" t="n"/>
      <c r="F3071" s="7" t="n"/>
      <c r="G3071" s="7" t="n"/>
      <c r="H3071" s="7" t="n"/>
      <c r="I3071" s="7" t="n"/>
      <c r="J3071" s="7" t="n"/>
      <c r="K3071">
        <f>IF(D3071="Legitimate Interest (GDPR Art. 6(1)(f))", "Yes / Required (Sheet 3)", "")</f>
        <v/>
      </c>
      <c r="L3071" s="7" t="n"/>
      <c r="M3071" s="7" t="n"/>
      <c r="N3071">
        <f>IF(D3071="", "Gap - No Legal Basis", IF(AND(D3071="Consent (GDPR Art. 6(1)(a))", I3071="Not Captured"), "Gap - Invalid Consent", IF(AND(D3071="Legitimate Interest (GDPR Art. 6(1)(f))", L3071=""), "Gap - Missing LIA", IF(AND(G3071="Yes", H3071=""), "Gap - Missing Art. 9 Basis", IF(OR(I3071="Invalid - Not Freely Given", I3071="Invalid - Not Specific", I3071="Invalid - Not Informed", I3071="Invalid - Ambiguous"), "Gap - Invalid Consent", "Compliant")))))</f>
        <v/>
      </c>
      <c r="O3071" s="7" t="n"/>
    </row>
    <row r="3072">
      <c r="A3072" s="7" t="n"/>
      <c r="B3072" s="7" t="n"/>
      <c r="C3072" s="7" t="n"/>
      <c r="D3072" s="7" t="n"/>
      <c r="E3072" s="7" t="n"/>
      <c r="F3072" s="7" t="n"/>
      <c r="G3072" s="7" t="n"/>
      <c r="H3072" s="7" t="n"/>
      <c r="I3072" s="7" t="n"/>
      <c r="J3072" s="7" t="n"/>
      <c r="K3072">
        <f>IF(D3072="Legitimate Interest (GDPR Art. 6(1)(f))", "Yes / Required (Sheet 3)", "")</f>
        <v/>
      </c>
      <c r="L3072" s="7" t="n"/>
      <c r="M3072" s="7" t="n"/>
      <c r="N3072">
        <f>IF(D3072="", "Gap - No Legal Basis", IF(AND(D3072="Consent (GDPR Art. 6(1)(a))", I3072="Not Captured"), "Gap - Invalid Consent", IF(AND(D3072="Legitimate Interest (GDPR Art. 6(1)(f))", L3072=""), "Gap - Missing LIA", IF(AND(G3072="Yes", H3072=""), "Gap - Missing Art. 9 Basis", IF(OR(I3072="Invalid - Not Freely Given", I3072="Invalid - Not Specific", I3072="Invalid - Not Informed", I3072="Invalid - Ambiguous"), "Gap - Invalid Consent", "Compliant")))))</f>
        <v/>
      </c>
      <c r="O3072" s="7" t="n"/>
    </row>
    <row r="3073">
      <c r="A3073" s="7" t="n"/>
      <c r="B3073" s="7" t="n"/>
      <c r="C3073" s="7" t="n"/>
      <c r="D3073" s="7" t="n"/>
      <c r="E3073" s="7" t="n"/>
      <c r="F3073" s="7" t="n"/>
      <c r="G3073" s="7" t="n"/>
      <c r="H3073" s="7" t="n"/>
      <c r="I3073" s="7" t="n"/>
      <c r="J3073" s="7" t="n"/>
      <c r="K3073">
        <f>IF(D3073="Legitimate Interest (GDPR Art. 6(1)(f))", "Yes / Required (Sheet 3)", "")</f>
        <v/>
      </c>
      <c r="L3073" s="7" t="n"/>
      <c r="M3073" s="7" t="n"/>
      <c r="N3073">
        <f>IF(D3073="", "Gap - No Legal Basis", IF(AND(D3073="Consent (GDPR Art. 6(1)(a))", I3073="Not Captured"), "Gap - Invalid Consent", IF(AND(D3073="Legitimate Interest (GDPR Art. 6(1)(f))", L3073=""), "Gap - Missing LIA", IF(AND(G3073="Yes", H3073=""), "Gap - Missing Art. 9 Basis", IF(OR(I3073="Invalid - Not Freely Given", I3073="Invalid - Not Specific", I3073="Invalid - Not Informed", I3073="Invalid - Ambiguous"), "Gap - Invalid Consent", "Compliant")))))</f>
        <v/>
      </c>
      <c r="O3073" s="7" t="n"/>
    </row>
    <row r="3074">
      <c r="A3074" s="7" t="n"/>
      <c r="B3074" s="7" t="n"/>
      <c r="C3074" s="7" t="n"/>
      <c r="D3074" s="7" t="n"/>
      <c r="E3074" s="7" t="n"/>
      <c r="F3074" s="7" t="n"/>
      <c r="G3074" s="7" t="n"/>
      <c r="H3074" s="7" t="n"/>
      <c r="I3074" s="7" t="n"/>
      <c r="J3074" s="7" t="n"/>
      <c r="K3074">
        <f>IF(D3074="Legitimate Interest (GDPR Art. 6(1)(f))", "Yes / Required (Sheet 3)", "")</f>
        <v/>
      </c>
      <c r="L3074" s="7" t="n"/>
      <c r="M3074" s="7" t="n"/>
      <c r="N3074">
        <f>IF(D3074="", "Gap - No Legal Basis", IF(AND(D3074="Consent (GDPR Art. 6(1)(a))", I3074="Not Captured"), "Gap - Invalid Consent", IF(AND(D3074="Legitimate Interest (GDPR Art. 6(1)(f))", L3074=""), "Gap - Missing LIA", IF(AND(G3074="Yes", H3074=""), "Gap - Missing Art. 9 Basis", IF(OR(I3074="Invalid - Not Freely Given", I3074="Invalid - Not Specific", I3074="Invalid - Not Informed", I3074="Invalid - Ambiguous"), "Gap - Invalid Consent", "Compliant")))))</f>
        <v/>
      </c>
      <c r="O3074" s="7" t="n"/>
    </row>
    <row r="3075">
      <c r="A3075" s="7" t="n"/>
      <c r="B3075" s="7" t="n"/>
      <c r="C3075" s="7" t="n"/>
      <c r="D3075" s="7" t="n"/>
      <c r="E3075" s="7" t="n"/>
      <c r="F3075" s="7" t="n"/>
      <c r="G3075" s="7" t="n"/>
      <c r="H3075" s="7" t="n"/>
      <c r="I3075" s="7" t="n"/>
      <c r="J3075" s="7" t="n"/>
      <c r="K3075">
        <f>IF(D3075="Legitimate Interest (GDPR Art. 6(1)(f))", "Yes / Required (Sheet 3)", "")</f>
        <v/>
      </c>
      <c r="L3075" s="7" t="n"/>
      <c r="M3075" s="7" t="n"/>
      <c r="N3075">
        <f>IF(D3075="", "Gap - No Legal Basis", IF(AND(D3075="Consent (GDPR Art. 6(1)(a))", I3075="Not Captured"), "Gap - Invalid Consent", IF(AND(D3075="Legitimate Interest (GDPR Art. 6(1)(f))", L3075=""), "Gap - Missing LIA", IF(AND(G3075="Yes", H3075=""), "Gap - Missing Art. 9 Basis", IF(OR(I3075="Invalid - Not Freely Given", I3075="Invalid - Not Specific", I3075="Invalid - Not Informed", I3075="Invalid - Ambiguous"), "Gap - Invalid Consent", "Compliant")))))</f>
        <v/>
      </c>
      <c r="O3075" s="7" t="n"/>
    </row>
    <row r="3076">
      <c r="A3076" s="7" t="n"/>
      <c r="B3076" s="7" t="n"/>
      <c r="C3076" s="7" t="n"/>
      <c r="D3076" s="7" t="n"/>
      <c r="E3076" s="7" t="n"/>
      <c r="F3076" s="7" t="n"/>
      <c r="G3076" s="7" t="n"/>
      <c r="H3076" s="7" t="n"/>
      <c r="I3076" s="7" t="n"/>
      <c r="J3076" s="7" t="n"/>
      <c r="K3076">
        <f>IF(D3076="Legitimate Interest (GDPR Art. 6(1)(f))", "Yes / Required (Sheet 3)", "")</f>
        <v/>
      </c>
      <c r="L3076" s="7" t="n"/>
      <c r="M3076" s="7" t="n"/>
      <c r="N3076">
        <f>IF(D3076="", "Gap - No Legal Basis", IF(AND(D3076="Consent (GDPR Art. 6(1)(a))", I3076="Not Captured"), "Gap - Invalid Consent", IF(AND(D3076="Legitimate Interest (GDPR Art. 6(1)(f))", L3076=""), "Gap - Missing LIA", IF(AND(G3076="Yes", H3076=""), "Gap - Missing Art. 9 Basis", IF(OR(I3076="Invalid - Not Freely Given", I3076="Invalid - Not Specific", I3076="Invalid - Not Informed", I3076="Invalid - Ambiguous"), "Gap - Invalid Consent", "Compliant")))))</f>
        <v/>
      </c>
      <c r="O3076" s="7" t="n"/>
    </row>
    <row r="3077">
      <c r="A3077" s="7" t="n"/>
      <c r="B3077" s="7" t="n"/>
      <c r="C3077" s="7" t="n"/>
      <c r="D3077" s="7" t="n"/>
      <c r="E3077" s="7" t="n"/>
      <c r="F3077" s="7" t="n"/>
      <c r="G3077" s="7" t="n"/>
      <c r="H3077" s="7" t="n"/>
      <c r="I3077" s="7" t="n"/>
      <c r="J3077" s="7" t="n"/>
      <c r="K3077">
        <f>IF(D3077="Legitimate Interest (GDPR Art. 6(1)(f))", "Yes / Required (Sheet 3)", "")</f>
        <v/>
      </c>
      <c r="L3077" s="7" t="n"/>
      <c r="M3077" s="7" t="n"/>
      <c r="N3077">
        <f>IF(D3077="", "Gap - No Legal Basis", IF(AND(D3077="Consent (GDPR Art. 6(1)(a))", I3077="Not Captured"), "Gap - Invalid Consent", IF(AND(D3077="Legitimate Interest (GDPR Art. 6(1)(f))", L3077=""), "Gap - Missing LIA", IF(AND(G3077="Yes", H3077=""), "Gap - Missing Art. 9 Basis", IF(OR(I3077="Invalid - Not Freely Given", I3077="Invalid - Not Specific", I3077="Invalid - Not Informed", I3077="Invalid - Ambiguous"), "Gap - Invalid Consent", "Compliant")))))</f>
        <v/>
      </c>
      <c r="O3077" s="7" t="n"/>
    </row>
    <row r="3078">
      <c r="A3078" s="7" t="n"/>
      <c r="B3078" s="7" t="n"/>
      <c r="C3078" s="7" t="n"/>
      <c r="D3078" s="7" t="n"/>
      <c r="E3078" s="7" t="n"/>
      <c r="F3078" s="7" t="n"/>
      <c r="G3078" s="7" t="n"/>
      <c r="H3078" s="7" t="n"/>
      <c r="I3078" s="7" t="n"/>
      <c r="J3078" s="7" t="n"/>
      <c r="K3078">
        <f>IF(D3078="Legitimate Interest (GDPR Art. 6(1)(f))", "Yes / Required (Sheet 3)", "")</f>
        <v/>
      </c>
      <c r="L3078" s="7" t="n"/>
      <c r="M3078" s="7" t="n"/>
      <c r="N3078">
        <f>IF(D3078="", "Gap - No Legal Basis", IF(AND(D3078="Consent (GDPR Art. 6(1)(a))", I3078="Not Captured"), "Gap - Invalid Consent", IF(AND(D3078="Legitimate Interest (GDPR Art. 6(1)(f))", L3078=""), "Gap - Missing LIA", IF(AND(G3078="Yes", H3078=""), "Gap - Missing Art. 9 Basis", IF(OR(I3078="Invalid - Not Freely Given", I3078="Invalid - Not Specific", I3078="Invalid - Not Informed", I3078="Invalid - Ambiguous"), "Gap - Invalid Consent", "Compliant")))))</f>
        <v/>
      </c>
      <c r="O3078" s="7" t="n"/>
    </row>
    <row r="3079">
      <c r="A3079" s="7" t="n"/>
      <c r="B3079" s="7" t="n"/>
      <c r="C3079" s="7" t="n"/>
      <c r="D3079" s="7" t="n"/>
      <c r="E3079" s="7" t="n"/>
      <c r="F3079" s="7" t="n"/>
      <c r="G3079" s="7" t="n"/>
      <c r="H3079" s="7" t="n"/>
      <c r="I3079" s="7" t="n"/>
      <c r="J3079" s="7" t="n"/>
      <c r="K3079">
        <f>IF(D3079="Legitimate Interest (GDPR Art. 6(1)(f))", "Yes / Required (Sheet 3)", "")</f>
        <v/>
      </c>
      <c r="L3079" s="7" t="n"/>
      <c r="M3079" s="7" t="n"/>
      <c r="N3079">
        <f>IF(D3079="", "Gap - No Legal Basis", IF(AND(D3079="Consent (GDPR Art. 6(1)(a))", I3079="Not Captured"), "Gap - Invalid Consent", IF(AND(D3079="Legitimate Interest (GDPR Art. 6(1)(f))", L3079=""), "Gap - Missing LIA", IF(AND(G3079="Yes", H3079=""), "Gap - Missing Art. 9 Basis", IF(OR(I3079="Invalid - Not Freely Given", I3079="Invalid - Not Specific", I3079="Invalid - Not Informed", I3079="Invalid - Ambiguous"), "Gap - Invalid Consent", "Compliant")))))</f>
        <v/>
      </c>
      <c r="O3079" s="7" t="n"/>
    </row>
    <row r="3080">
      <c r="A3080" s="7" t="n"/>
      <c r="B3080" s="7" t="n"/>
      <c r="C3080" s="7" t="n"/>
      <c r="D3080" s="7" t="n"/>
      <c r="E3080" s="7" t="n"/>
      <c r="F3080" s="7" t="n"/>
      <c r="G3080" s="7" t="n"/>
      <c r="H3080" s="7" t="n"/>
      <c r="I3080" s="7" t="n"/>
      <c r="J3080" s="7" t="n"/>
      <c r="K3080">
        <f>IF(D3080="Legitimate Interest (GDPR Art. 6(1)(f))", "Yes / Required (Sheet 3)", "")</f>
        <v/>
      </c>
      <c r="L3080" s="7" t="n"/>
      <c r="M3080" s="7" t="n"/>
      <c r="N3080">
        <f>IF(D3080="", "Gap - No Legal Basis", IF(AND(D3080="Consent (GDPR Art. 6(1)(a))", I3080="Not Captured"), "Gap - Invalid Consent", IF(AND(D3080="Legitimate Interest (GDPR Art. 6(1)(f))", L3080=""), "Gap - Missing LIA", IF(AND(G3080="Yes", H3080=""), "Gap - Missing Art. 9 Basis", IF(OR(I3080="Invalid - Not Freely Given", I3080="Invalid - Not Specific", I3080="Invalid - Not Informed", I3080="Invalid - Ambiguous"), "Gap - Invalid Consent", "Compliant")))))</f>
        <v/>
      </c>
      <c r="O3080" s="7" t="n"/>
    </row>
    <row r="3081">
      <c r="A3081" s="7" t="n"/>
      <c r="B3081" s="7" t="n"/>
      <c r="C3081" s="7" t="n"/>
      <c r="D3081" s="7" t="n"/>
      <c r="E3081" s="7" t="n"/>
      <c r="F3081" s="7" t="n"/>
      <c r="G3081" s="7" t="n"/>
      <c r="H3081" s="7" t="n"/>
      <c r="I3081" s="7" t="n"/>
      <c r="J3081" s="7" t="n"/>
      <c r="K3081">
        <f>IF(D3081="Legitimate Interest (GDPR Art. 6(1)(f))", "Yes / Required (Sheet 3)", "")</f>
        <v/>
      </c>
      <c r="L3081" s="7" t="n"/>
      <c r="M3081" s="7" t="n"/>
      <c r="N3081">
        <f>IF(D3081="", "Gap - No Legal Basis", IF(AND(D3081="Consent (GDPR Art. 6(1)(a))", I3081="Not Captured"), "Gap - Invalid Consent", IF(AND(D3081="Legitimate Interest (GDPR Art. 6(1)(f))", L3081=""), "Gap - Missing LIA", IF(AND(G3081="Yes", H3081=""), "Gap - Missing Art. 9 Basis", IF(OR(I3081="Invalid - Not Freely Given", I3081="Invalid - Not Specific", I3081="Invalid - Not Informed", I3081="Invalid - Ambiguous"), "Gap - Invalid Consent", "Compliant")))))</f>
        <v/>
      </c>
      <c r="O3081" s="7" t="n"/>
    </row>
    <row r="3082">
      <c r="A3082" s="7" t="n"/>
      <c r="B3082" s="7" t="n"/>
      <c r="C3082" s="7" t="n"/>
      <c r="D3082" s="7" t="n"/>
      <c r="E3082" s="7" t="n"/>
      <c r="F3082" s="7" t="n"/>
      <c r="G3082" s="7" t="n"/>
      <c r="H3082" s="7" t="n"/>
      <c r="I3082" s="7" t="n"/>
      <c r="J3082" s="7" t="n"/>
      <c r="K3082">
        <f>IF(D3082="Legitimate Interest (GDPR Art. 6(1)(f))", "Yes / Required (Sheet 3)", "")</f>
        <v/>
      </c>
      <c r="L3082" s="7" t="n"/>
      <c r="M3082" s="7" t="n"/>
      <c r="N3082">
        <f>IF(D3082="", "Gap - No Legal Basis", IF(AND(D3082="Consent (GDPR Art. 6(1)(a))", I3082="Not Captured"), "Gap - Invalid Consent", IF(AND(D3082="Legitimate Interest (GDPR Art. 6(1)(f))", L3082=""), "Gap - Missing LIA", IF(AND(G3082="Yes", H3082=""), "Gap - Missing Art. 9 Basis", IF(OR(I3082="Invalid - Not Freely Given", I3082="Invalid - Not Specific", I3082="Invalid - Not Informed", I3082="Invalid - Ambiguous"), "Gap - Invalid Consent", "Compliant")))))</f>
        <v/>
      </c>
      <c r="O3082" s="7" t="n"/>
    </row>
    <row r="3083">
      <c r="A3083" s="7" t="n"/>
      <c r="B3083" s="7" t="n"/>
      <c r="C3083" s="7" t="n"/>
      <c r="D3083" s="7" t="n"/>
      <c r="E3083" s="7" t="n"/>
      <c r="F3083" s="7" t="n"/>
      <c r="G3083" s="7" t="n"/>
      <c r="H3083" s="7" t="n"/>
      <c r="I3083" s="7" t="n"/>
      <c r="J3083" s="7" t="n"/>
      <c r="K3083">
        <f>IF(D3083="Legitimate Interest (GDPR Art. 6(1)(f))", "Yes / Required (Sheet 3)", "")</f>
        <v/>
      </c>
      <c r="L3083" s="7" t="n"/>
      <c r="M3083" s="7" t="n"/>
      <c r="N3083">
        <f>IF(D3083="", "Gap - No Legal Basis", IF(AND(D3083="Consent (GDPR Art. 6(1)(a))", I3083="Not Captured"), "Gap - Invalid Consent", IF(AND(D3083="Legitimate Interest (GDPR Art. 6(1)(f))", L3083=""), "Gap - Missing LIA", IF(AND(G3083="Yes", H3083=""), "Gap - Missing Art. 9 Basis", IF(OR(I3083="Invalid - Not Freely Given", I3083="Invalid - Not Specific", I3083="Invalid - Not Informed", I3083="Invalid - Ambiguous"), "Gap - Invalid Consent", "Compliant")))))</f>
        <v/>
      </c>
      <c r="O3083" s="7" t="n"/>
    </row>
    <row r="3084">
      <c r="A3084" s="7" t="n"/>
      <c r="B3084" s="7" t="n"/>
      <c r="C3084" s="7" t="n"/>
      <c r="D3084" s="7" t="n"/>
      <c r="E3084" s="7" t="n"/>
      <c r="F3084" s="7" t="n"/>
      <c r="G3084" s="7" t="n"/>
      <c r="H3084" s="7" t="n"/>
      <c r="I3084" s="7" t="n"/>
      <c r="J3084" s="7" t="n"/>
      <c r="K3084">
        <f>IF(D3084="Legitimate Interest (GDPR Art. 6(1)(f))", "Yes / Required (Sheet 3)", "")</f>
        <v/>
      </c>
      <c r="L3084" s="7" t="n"/>
      <c r="M3084" s="7" t="n"/>
      <c r="N3084">
        <f>IF(D3084="", "Gap - No Legal Basis", IF(AND(D3084="Consent (GDPR Art. 6(1)(a))", I3084="Not Captured"), "Gap - Invalid Consent", IF(AND(D3084="Legitimate Interest (GDPR Art. 6(1)(f))", L3084=""), "Gap - Missing LIA", IF(AND(G3084="Yes", H3084=""), "Gap - Missing Art. 9 Basis", IF(OR(I3084="Invalid - Not Freely Given", I3084="Invalid - Not Specific", I3084="Invalid - Not Informed", I3084="Invalid - Ambiguous"), "Gap - Invalid Consent", "Compliant")))))</f>
        <v/>
      </c>
      <c r="O3084" s="7" t="n"/>
    </row>
    <row r="3085">
      <c r="A3085" s="7" t="n"/>
      <c r="B3085" s="7" t="n"/>
      <c r="C3085" s="7" t="n"/>
      <c r="D3085" s="7" t="n"/>
      <c r="E3085" s="7" t="n"/>
      <c r="F3085" s="7" t="n"/>
      <c r="G3085" s="7" t="n"/>
      <c r="H3085" s="7" t="n"/>
      <c r="I3085" s="7" t="n"/>
      <c r="J3085" s="7" t="n"/>
      <c r="K3085">
        <f>IF(D3085="Legitimate Interest (GDPR Art. 6(1)(f))", "Yes / Required (Sheet 3)", "")</f>
        <v/>
      </c>
      <c r="L3085" s="7" t="n"/>
      <c r="M3085" s="7" t="n"/>
      <c r="N3085">
        <f>IF(D3085="", "Gap - No Legal Basis", IF(AND(D3085="Consent (GDPR Art. 6(1)(a))", I3085="Not Captured"), "Gap - Invalid Consent", IF(AND(D3085="Legitimate Interest (GDPR Art. 6(1)(f))", L3085=""), "Gap - Missing LIA", IF(AND(G3085="Yes", H3085=""), "Gap - Missing Art. 9 Basis", IF(OR(I3085="Invalid - Not Freely Given", I3085="Invalid - Not Specific", I3085="Invalid - Not Informed", I3085="Invalid - Ambiguous"), "Gap - Invalid Consent", "Compliant")))))</f>
        <v/>
      </c>
      <c r="O3085" s="7" t="n"/>
    </row>
    <row r="3086">
      <c r="A3086" s="7" t="n"/>
      <c r="B3086" s="7" t="n"/>
      <c r="C3086" s="7" t="n"/>
      <c r="D3086" s="7" t="n"/>
      <c r="E3086" s="7" t="n"/>
      <c r="F3086" s="7" t="n"/>
      <c r="G3086" s="7" t="n"/>
      <c r="H3086" s="7" t="n"/>
      <c r="I3086" s="7" t="n"/>
      <c r="J3086" s="7" t="n"/>
      <c r="K3086">
        <f>IF(D3086="Legitimate Interest (GDPR Art. 6(1)(f))", "Yes / Required (Sheet 3)", "")</f>
        <v/>
      </c>
      <c r="L3086" s="7" t="n"/>
      <c r="M3086" s="7" t="n"/>
      <c r="N3086">
        <f>IF(D3086="", "Gap - No Legal Basis", IF(AND(D3086="Consent (GDPR Art. 6(1)(a))", I3086="Not Captured"), "Gap - Invalid Consent", IF(AND(D3086="Legitimate Interest (GDPR Art. 6(1)(f))", L3086=""), "Gap - Missing LIA", IF(AND(G3086="Yes", H3086=""), "Gap - Missing Art. 9 Basis", IF(OR(I3086="Invalid - Not Freely Given", I3086="Invalid - Not Specific", I3086="Invalid - Not Informed", I3086="Invalid - Ambiguous"), "Gap - Invalid Consent", "Compliant")))))</f>
        <v/>
      </c>
      <c r="O3086" s="7" t="n"/>
    </row>
    <row r="3087">
      <c r="A3087" s="7" t="n"/>
      <c r="B3087" s="7" t="n"/>
      <c r="C3087" s="7" t="n"/>
      <c r="D3087" s="7" t="n"/>
      <c r="E3087" s="7" t="n"/>
      <c r="F3087" s="7" t="n"/>
      <c r="G3087" s="7" t="n"/>
      <c r="H3087" s="7" t="n"/>
      <c r="I3087" s="7" t="n"/>
      <c r="J3087" s="7" t="n"/>
      <c r="K3087">
        <f>IF(D3087="Legitimate Interest (GDPR Art. 6(1)(f))", "Yes / Required (Sheet 3)", "")</f>
        <v/>
      </c>
      <c r="L3087" s="7" t="n"/>
      <c r="M3087" s="7" t="n"/>
      <c r="N3087">
        <f>IF(D3087="", "Gap - No Legal Basis", IF(AND(D3087="Consent (GDPR Art. 6(1)(a))", I3087="Not Captured"), "Gap - Invalid Consent", IF(AND(D3087="Legitimate Interest (GDPR Art. 6(1)(f))", L3087=""), "Gap - Missing LIA", IF(AND(G3087="Yes", H3087=""), "Gap - Missing Art. 9 Basis", IF(OR(I3087="Invalid - Not Freely Given", I3087="Invalid - Not Specific", I3087="Invalid - Not Informed", I3087="Invalid - Ambiguous"), "Gap - Invalid Consent", "Compliant")))))</f>
        <v/>
      </c>
      <c r="O3087" s="7" t="n"/>
    </row>
    <row r="3088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7" t="n"/>
      <c r="J3088" s="7" t="n"/>
      <c r="K3088">
        <f>IF(D3088="Legitimate Interest (GDPR Art. 6(1)(f))", "Yes / Required (Sheet 3)", "")</f>
        <v/>
      </c>
      <c r="L3088" s="7" t="n"/>
      <c r="M3088" s="7" t="n"/>
      <c r="N3088">
        <f>IF(D3088="", "Gap - No Legal Basis", IF(AND(D3088="Consent (GDPR Art. 6(1)(a))", I3088="Not Captured"), "Gap - Invalid Consent", IF(AND(D3088="Legitimate Interest (GDPR Art. 6(1)(f))", L3088=""), "Gap - Missing LIA", IF(AND(G3088="Yes", H3088=""), "Gap - Missing Art. 9 Basis", IF(OR(I3088="Invalid - Not Freely Given", I3088="Invalid - Not Specific", I3088="Invalid - Not Informed", I3088="Invalid - Ambiguous"), "Gap - Invalid Consent", "Compliant")))))</f>
        <v/>
      </c>
      <c r="O3088" s="7" t="n"/>
    </row>
    <row r="3089">
      <c r="A3089" s="7" t="n"/>
      <c r="B3089" s="7" t="n"/>
      <c r="C3089" s="7" t="n"/>
      <c r="D3089" s="7" t="n"/>
      <c r="E3089" s="7" t="n"/>
      <c r="F3089" s="7" t="n"/>
      <c r="G3089" s="7" t="n"/>
      <c r="H3089" s="7" t="n"/>
      <c r="I3089" s="7" t="n"/>
      <c r="J3089" s="7" t="n"/>
      <c r="K3089">
        <f>IF(D3089="Legitimate Interest (GDPR Art. 6(1)(f))", "Yes / Required (Sheet 3)", "")</f>
        <v/>
      </c>
      <c r="L3089" s="7" t="n"/>
      <c r="M3089" s="7" t="n"/>
      <c r="N3089">
        <f>IF(D3089="", "Gap - No Legal Basis", IF(AND(D3089="Consent (GDPR Art. 6(1)(a))", I3089="Not Captured"), "Gap - Invalid Consent", IF(AND(D3089="Legitimate Interest (GDPR Art. 6(1)(f))", L3089=""), "Gap - Missing LIA", IF(AND(G3089="Yes", H3089=""), "Gap - Missing Art. 9 Basis", IF(OR(I3089="Invalid - Not Freely Given", I3089="Invalid - Not Specific", I3089="Invalid - Not Informed", I3089="Invalid - Ambiguous"), "Gap - Invalid Consent", "Compliant")))))</f>
        <v/>
      </c>
      <c r="O3089" s="7" t="n"/>
    </row>
    <row r="3090">
      <c r="A3090" s="7" t="n"/>
      <c r="B3090" s="7" t="n"/>
      <c r="C3090" s="7" t="n"/>
      <c r="D3090" s="7" t="n"/>
      <c r="E3090" s="7" t="n"/>
      <c r="F3090" s="7" t="n"/>
      <c r="G3090" s="7" t="n"/>
      <c r="H3090" s="7" t="n"/>
      <c r="I3090" s="7" t="n"/>
      <c r="J3090" s="7" t="n"/>
      <c r="K3090">
        <f>IF(D3090="Legitimate Interest (GDPR Art. 6(1)(f))", "Yes / Required (Sheet 3)", "")</f>
        <v/>
      </c>
      <c r="L3090" s="7" t="n"/>
      <c r="M3090" s="7" t="n"/>
      <c r="N3090">
        <f>IF(D3090="", "Gap - No Legal Basis", IF(AND(D3090="Consent (GDPR Art. 6(1)(a))", I3090="Not Captured"), "Gap - Invalid Consent", IF(AND(D3090="Legitimate Interest (GDPR Art. 6(1)(f))", L3090=""), "Gap - Missing LIA", IF(AND(G3090="Yes", H3090=""), "Gap - Missing Art. 9 Basis", IF(OR(I3090="Invalid - Not Freely Given", I3090="Invalid - Not Specific", I3090="Invalid - Not Informed", I3090="Invalid - Ambiguous"), "Gap - Invalid Consent", "Compliant")))))</f>
        <v/>
      </c>
      <c r="O3090" s="7" t="n"/>
    </row>
    <row r="3091">
      <c r="A3091" s="7" t="n"/>
      <c r="B3091" s="7" t="n"/>
      <c r="C3091" s="7" t="n"/>
      <c r="D3091" s="7" t="n"/>
      <c r="E3091" s="7" t="n"/>
      <c r="F3091" s="7" t="n"/>
      <c r="G3091" s="7" t="n"/>
      <c r="H3091" s="7" t="n"/>
      <c r="I3091" s="7" t="n"/>
      <c r="J3091" s="7" t="n"/>
      <c r="K3091">
        <f>IF(D3091="Legitimate Interest (GDPR Art. 6(1)(f))", "Yes / Required (Sheet 3)", "")</f>
        <v/>
      </c>
      <c r="L3091" s="7" t="n"/>
      <c r="M3091" s="7" t="n"/>
      <c r="N3091">
        <f>IF(D3091="", "Gap - No Legal Basis", IF(AND(D3091="Consent (GDPR Art. 6(1)(a))", I3091="Not Captured"), "Gap - Invalid Consent", IF(AND(D3091="Legitimate Interest (GDPR Art. 6(1)(f))", L3091=""), "Gap - Missing LIA", IF(AND(G3091="Yes", H3091=""), "Gap - Missing Art. 9 Basis", IF(OR(I3091="Invalid - Not Freely Given", I3091="Invalid - Not Specific", I3091="Invalid - Not Informed", I3091="Invalid - Ambiguous"), "Gap - Invalid Consent", "Compliant")))))</f>
        <v/>
      </c>
      <c r="O3091" s="7" t="n"/>
    </row>
    <row r="3092">
      <c r="A3092" s="7" t="n"/>
      <c r="B3092" s="7" t="n"/>
      <c r="C3092" s="7" t="n"/>
      <c r="D3092" s="7" t="n"/>
      <c r="E3092" s="7" t="n"/>
      <c r="F3092" s="7" t="n"/>
      <c r="G3092" s="7" t="n"/>
      <c r="H3092" s="7" t="n"/>
      <c r="I3092" s="7" t="n"/>
      <c r="J3092" s="7" t="n"/>
      <c r="K3092">
        <f>IF(D3092="Legitimate Interest (GDPR Art. 6(1)(f))", "Yes / Required (Sheet 3)", "")</f>
        <v/>
      </c>
      <c r="L3092" s="7" t="n"/>
      <c r="M3092" s="7" t="n"/>
      <c r="N3092">
        <f>IF(D3092="", "Gap - No Legal Basis", IF(AND(D3092="Consent (GDPR Art. 6(1)(a))", I3092="Not Captured"), "Gap - Invalid Consent", IF(AND(D3092="Legitimate Interest (GDPR Art. 6(1)(f))", L3092=""), "Gap - Missing LIA", IF(AND(G3092="Yes", H3092=""), "Gap - Missing Art. 9 Basis", IF(OR(I3092="Invalid - Not Freely Given", I3092="Invalid - Not Specific", I3092="Invalid - Not Informed", I3092="Invalid - Ambiguous"), "Gap - Invalid Consent", "Compliant")))))</f>
        <v/>
      </c>
      <c r="O3092" s="7" t="n"/>
    </row>
    <row r="3093">
      <c r="A3093" s="7" t="n"/>
      <c r="B3093" s="7" t="n"/>
      <c r="C3093" s="7" t="n"/>
      <c r="D3093" s="7" t="n"/>
      <c r="E3093" s="7" t="n"/>
      <c r="F3093" s="7" t="n"/>
      <c r="G3093" s="7" t="n"/>
      <c r="H3093" s="7" t="n"/>
      <c r="I3093" s="7" t="n"/>
      <c r="J3093" s="7" t="n"/>
      <c r="K3093">
        <f>IF(D3093="Legitimate Interest (GDPR Art. 6(1)(f))", "Yes / Required (Sheet 3)", "")</f>
        <v/>
      </c>
      <c r="L3093" s="7" t="n"/>
      <c r="M3093" s="7" t="n"/>
      <c r="N3093">
        <f>IF(D3093="", "Gap - No Legal Basis", IF(AND(D3093="Consent (GDPR Art. 6(1)(a))", I3093="Not Captured"), "Gap - Invalid Consent", IF(AND(D3093="Legitimate Interest (GDPR Art. 6(1)(f))", L3093=""), "Gap - Missing LIA", IF(AND(G3093="Yes", H3093=""), "Gap - Missing Art. 9 Basis", IF(OR(I3093="Invalid - Not Freely Given", I3093="Invalid - Not Specific", I3093="Invalid - Not Informed", I3093="Invalid - Ambiguous"), "Gap - Invalid Consent", "Compliant")))))</f>
        <v/>
      </c>
      <c r="O3093" s="7" t="n"/>
    </row>
    <row r="3094">
      <c r="A3094" s="7" t="n"/>
      <c r="B3094" s="7" t="n"/>
      <c r="C3094" s="7" t="n"/>
      <c r="D3094" s="7" t="n"/>
      <c r="E3094" s="7" t="n"/>
      <c r="F3094" s="7" t="n"/>
      <c r="G3094" s="7" t="n"/>
      <c r="H3094" s="7" t="n"/>
      <c r="I3094" s="7" t="n"/>
      <c r="J3094" s="7" t="n"/>
      <c r="K3094">
        <f>IF(D3094="Legitimate Interest (GDPR Art. 6(1)(f))", "Yes / Required (Sheet 3)", "")</f>
        <v/>
      </c>
      <c r="L3094" s="7" t="n"/>
      <c r="M3094" s="7" t="n"/>
      <c r="N3094">
        <f>IF(D3094="", "Gap - No Legal Basis", IF(AND(D3094="Consent (GDPR Art. 6(1)(a))", I3094="Not Captured"), "Gap - Invalid Consent", IF(AND(D3094="Legitimate Interest (GDPR Art. 6(1)(f))", L3094=""), "Gap - Missing LIA", IF(AND(G3094="Yes", H3094=""), "Gap - Missing Art. 9 Basis", IF(OR(I3094="Invalid - Not Freely Given", I3094="Invalid - Not Specific", I3094="Invalid - Not Informed", I3094="Invalid - Ambiguous"), "Gap - Invalid Consent", "Compliant")))))</f>
        <v/>
      </c>
      <c r="O3094" s="7" t="n"/>
    </row>
    <row r="3095">
      <c r="A3095" s="7" t="n"/>
      <c r="B3095" s="7" t="n"/>
      <c r="C3095" s="7" t="n"/>
      <c r="D3095" s="7" t="n"/>
      <c r="E3095" s="7" t="n"/>
      <c r="F3095" s="7" t="n"/>
      <c r="G3095" s="7" t="n"/>
      <c r="H3095" s="7" t="n"/>
      <c r="I3095" s="7" t="n"/>
      <c r="J3095" s="7" t="n"/>
      <c r="K3095">
        <f>IF(D3095="Legitimate Interest (GDPR Art. 6(1)(f))", "Yes / Required (Sheet 3)", "")</f>
        <v/>
      </c>
      <c r="L3095" s="7" t="n"/>
      <c r="M3095" s="7" t="n"/>
      <c r="N3095">
        <f>IF(D3095="", "Gap - No Legal Basis", IF(AND(D3095="Consent (GDPR Art. 6(1)(a))", I3095="Not Captured"), "Gap - Invalid Consent", IF(AND(D3095="Legitimate Interest (GDPR Art. 6(1)(f))", L3095=""), "Gap - Missing LIA", IF(AND(G3095="Yes", H3095=""), "Gap - Missing Art. 9 Basis", IF(OR(I3095="Invalid - Not Freely Given", I3095="Invalid - Not Specific", I3095="Invalid - Not Informed", I3095="Invalid - Ambiguous"), "Gap - Invalid Consent", "Compliant")))))</f>
        <v/>
      </c>
      <c r="O3095" s="7" t="n"/>
    </row>
    <row r="3096">
      <c r="A3096" s="7" t="n"/>
      <c r="B3096" s="7" t="n"/>
      <c r="C3096" s="7" t="n"/>
      <c r="D3096" s="7" t="n"/>
      <c r="E3096" s="7" t="n"/>
      <c r="F3096" s="7" t="n"/>
      <c r="G3096" s="7" t="n"/>
      <c r="H3096" s="7" t="n"/>
      <c r="I3096" s="7" t="n"/>
      <c r="J3096" s="7" t="n"/>
      <c r="K3096">
        <f>IF(D3096="Legitimate Interest (GDPR Art. 6(1)(f))", "Yes / Required (Sheet 3)", "")</f>
        <v/>
      </c>
      <c r="L3096" s="7" t="n"/>
      <c r="M3096" s="7" t="n"/>
      <c r="N3096">
        <f>IF(D3096="", "Gap - No Legal Basis", IF(AND(D3096="Consent (GDPR Art. 6(1)(a))", I3096="Not Captured"), "Gap - Invalid Consent", IF(AND(D3096="Legitimate Interest (GDPR Art. 6(1)(f))", L3096=""), "Gap - Missing LIA", IF(AND(G3096="Yes", H3096=""), "Gap - Missing Art. 9 Basis", IF(OR(I3096="Invalid - Not Freely Given", I3096="Invalid - Not Specific", I3096="Invalid - Not Informed", I3096="Invalid - Ambiguous"), "Gap - Invalid Consent", "Compliant")))))</f>
        <v/>
      </c>
      <c r="O3096" s="7" t="n"/>
    </row>
    <row r="3097">
      <c r="A3097" s="7" t="n"/>
      <c r="B3097" s="7" t="n"/>
      <c r="C3097" s="7" t="n"/>
      <c r="D3097" s="7" t="n"/>
      <c r="E3097" s="7" t="n"/>
      <c r="F3097" s="7" t="n"/>
      <c r="G3097" s="7" t="n"/>
      <c r="H3097" s="7" t="n"/>
      <c r="I3097" s="7" t="n"/>
      <c r="J3097" s="7" t="n"/>
      <c r="K3097">
        <f>IF(D3097="Legitimate Interest (GDPR Art. 6(1)(f))", "Yes / Required (Sheet 3)", "")</f>
        <v/>
      </c>
      <c r="L3097" s="7" t="n"/>
      <c r="M3097" s="7" t="n"/>
      <c r="N3097">
        <f>IF(D3097="", "Gap - No Legal Basis", IF(AND(D3097="Consent (GDPR Art. 6(1)(a))", I3097="Not Captured"), "Gap - Invalid Consent", IF(AND(D3097="Legitimate Interest (GDPR Art. 6(1)(f))", L3097=""), "Gap - Missing LIA", IF(AND(G3097="Yes", H3097=""), "Gap - Missing Art. 9 Basis", IF(OR(I3097="Invalid - Not Freely Given", I3097="Invalid - Not Specific", I3097="Invalid - Not Informed", I3097="Invalid - Ambiguous"), "Gap - Invalid Consent", "Compliant")))))</f>
        <v/>
      </c>
      <c r="O3097" s="7" t="n"/>
    </row>
    <row r="3098">
      <c r="A3098" s="7" t="n"/>
      <c r="B3098" s="7" t="n"/>
      <c r="C3098" s="7" t="n"/>
      <c r="D3098" s="7" t="n"/>
      <c r="E3098" s="7" t="n"/>
      <c r="F3098" s="7" t="n"/>
      <c r="G3098" s="7" t="n"/>
      <c r="H3098" s="7" t="n"/>
      <c r="I3098" s="7" t="n"/>
      <c r="J3098" s="7" t="n"/>
      <c r="K3098">
        <f>IF(D3098="Legitimate Interest (GDPR Art. 6(1)(f))", "Yes / Required (Sheet 3)", "")</f>
        <v/>
      </c>
      <c r="L3098" s="7" t="n"/>
      <c r="M3098" s="7" t="n"/>
      <c r="N3098">
        <f>IF(D3098="", "Gap - No Legal Basis", IF(AND(D3098="Consent (GDPR Art. 6(1)(a))", I3098="Not Captured"), "Gap - Invalid Consent", IF(AND(D3098="Legitimate Interest (GDPR Art. 6(1)(f))", L3098=""), "Gap - Missing LIA", IF(AND(G3098="Yes", H3098=""), "Gap - Missing Art. 9 Basis", IF(OR(I3098="Invalid - Not Freely Given", I3098="Invalid - Not Specific", I3098="Invalid - Not Informed", I3098="Invalid - Ambiguous"), "Gap - Invalid Consent", "Compliant")))))</f>
        <v/>
      </c>
      <c r="O3098" s="7" t="n"/>
    </row>
    <row r="3099">
      <c r="A3099" s="7" t="n"/>
      <c r="B3099" s="7" t="n"/>
      <c r="C3099" s="7" t="n"/>
      <c r="D3099" s="7" t="n"/>
      <c r="E3099" s="7" t="n"/>
      <c r="F3099" s="7" t="n"/>
      <c r="G3099" s="7" t="n"/>
      <c r="H3099" s="7" t="n"/>
      <c r="I3099" s="7" t="n"/>
      <c r="J3099" s="7" t="n"/>
      <c r="K3099">
        <f>IF(D3099="Legitimate Interest (GDPR Art. 6(1)(f))", "Yes / Required (Sheet 3)", "")</f>
        <v/>
      </c>
      <c r="L3099" s="7" t="n"/>
      <c r="M3099" s="7" t="n"/>
      <c r="N3099">
        <f>IF(D3099="", "Gap - No Legal Basis", IF(AND(D3099="Consent (GDPR Art. 6(1)(a))", I3099="Not Captured"), "Gap - Invalid Consent", IF(AND(D3099="Legitimate Interest (GDPR Art. 6(1)(f))", L3099=""), "Gap - Missing LIA", IF(AND(G3099="Yes", H3099=""), "Gap - Missing Art. 9 Basis", IF(OR(I3099="Invalid - Not Freely Given", I3099="Invalid - Not Specific", I3099="Invalid - Not Informed", I3099="Invalid - Ambiguous"), "Gap - Invalid Consent", "Compliant")))))</f>
        <v/>
      </c>
      <c r="O3099" s="7" t="n"/>
    </row>
    <row r="3100">
      <c r="A3100" s="7" t="n"/>
      <c r="B3100" s="7" t="n"/>
      <c r="C3100" s="7" t="n"/>
      <c r="D3100" s="7" t="n"/>
      <c r="E3100" s="7" t="n"/>
      <c r="F3100" s="7" t="n"/>
      <c r="G3100" s="7" t="n"/>
      <c r="H3100" s="7" t="n"/>
      <c r="I3100" s="7" t="n"/>
      <c r="J3100" s="7" t="n"/>
      <c r="K3100">
        <f>IF(D3100="Legitimate Interest (GDPR Art. 6(1)(f))", "Yes / Required (Sheet 3)", "")</f>
        <v/>
      </c>
      <c r="L3100" s="7" t="n"/>
      <c r="M3100" s="7" t="n"/>
      <c r="N3100">
        <f>IF(D3100="", "Gap - No Legal Basis", IF(AND(D3100="Consent (GDPR Art. 6(1)(a))", I3100="Not Captured"), "Gap - Invalid Consent", IF(AND(D3100="Legitimate Interest (GDPR Art. 6(1)(f))", L3100=""), "Gap - Missing LIA", IF(AND(G3100="Yes", H3100=""), "Gap - Missing Art. 9 Basis", IF(OR(I3100="Invalid - Not Freely Given", I3100="Invalid - Not Specific", I3100="Invalid - Not Informed", I3100="Invalid - Ambiguous"), "Gap - Invalid Consent", "Compliant")))))</f>
        <v/>
      </c>
      <c r="O3100" s="7" t="n"/>
    </row>
    <row r="3101">
      <c r="A3101" s="7" t="n"/>
      <c r="B3101" s="7" t="n"/>
      <c r="C3101" s="7" t="n"/>
      <c r="D3101" s="7" t="n"/>
      <c r="E3101" s="7" t="n"/>
      <c r="F3101" s="7" t="n"/>
      <c r="G3101" s="7" t="n"/>
      <c r="H3101" s="7" t="n"/>
      <c r="I3101" s="7" t="n"/>
      <c r="J3101" s="7" t="n"/>
      <c r="K3101">
        <f>IF(D3101="Legitimate Interest (GDPR Art. 6(1)(f))", "Yes / Required (Sheet 3)", "")</f>
        <v/>
      </c>
      <c r="L3101" s="7" t="n"/>
      <c r="M3101" s="7" t="n"/>
      <c r="N3101">
        <f>IF(D3101="", "Gap - No Legal Basis", IF(AND(D3101="Consent (GDPR Art. 6(1)(a))", I3101="Not Captured"), "Gap - Invalid Consent", IF(AND(D3101="Legitimate Interest (GDPR Art. 6(1)(f))", L3101=""), "Gap - Missing LIA", IF(AND(G3101="Yes", H3101=""), "Gap - Missing Art. 9 Basis", IF(OR(I3101="Invalid - Not Freely Given", I3101="Invalid - Not Specific", I3101="Invalid - Not Informed", I3101="Invalid - Ambiguous"), "Gap - Invalid Consent", "Compliant")))))</f>
        <v/>
      </c>
      <c r="O3101" s="7" t="n"/>
    </row>
    <row r="3102">
      <c r="A3102" s="7" t="n"/>
      <c r="B3102" s="7" t="n"/>
      <c r="C3102" s="7" t="n"/>
      <c r="D3102" s="7" t="n"/>
      <c r="E3102" s="7" t="n"/>
      <c r="F3102" s="7" t="n"/>
      <c r="G3102" s="7" t="n"/>
      <c r="H3102" s="7" t="n"/>
      <c r="I3102" s="7" t="n"/>
      <c r="J3102" s="7" t="n"/>
      <c r="K3102">
        <f>IF(D3102="Legitimate Interest (GDPR Art. 6(1)(f))", "Yes / Required (Sheet 3)", "")</f>
        <v/>
      </c>
      <c r="L3102" s="7" t="n"/>
      <c r="M3102" s="7" t="n"/>
      <c r="N3102">
        <f>IF(D3102="", "Gap - No Legal Basis", IF(AND(D3102="Consent (GDPR Art. 6(1)(a))", I3102="Not Captured"), "Gap - Invalid Consent", IF(AND(D3102="Legitimate Interest (GDPR Art. 6(1)(f))", L3102=""), "Gap - Missing LIA", IF(AND(G3102="Yes", H3102=""), "Gap - Missing Art. 9 Basis", IF(OR(I3102="Invalid - Not Freely Given", I3102="Invalid - Not Specific", I3102="Invalid - Not Informed", I3102="Invalid - Ambiguous"), "Gap - Invalid Consent", "Compliant")))))</f>
        <v/>
      </c>
      <c r="O3102" s="7" t="n"/>
    </row>
    <row r="3103">
      <c r="A3103" s="7" t="n"/>
      <c r="B3103" s="7" t="n"/>
      <c r="C3103" s="7" t="n"/>
      <c r="D3103" s="7" t="n"/>
      <c r="E3103" s="7" t="n"/>
      <c r="F3103" s="7" t="n"/>
      <c r="G3103" s="7" t="n"/>
      <c r="H3103" s="7" t="n"/>
      <c r="I3103" s="7" t="n"/>
      <c r="J3103" s="7" t="n"/>
      <c r="K3103">
        <f>IF(D3103="Legitimate Interest (GDPR Art. 6(1)(f))", "Yes / Required (Sheet 3)", "")</f>
        <v/>
      </c>
      <c r="L3103" s="7" t="n"/>
      <c r="M3103" s="7" t="n"/>
      <c r="N3103">
        <f>IF(D3103="", "Gap - No Legal Basis", IF(AND(D3103="Consent (GDPR Art. 6(1)(a))", I3103="Not Captured"), "Gap - Invalid Consent", IF(AND(D3103="Legitimate Interest (GDPR Art. 6(1)(f))", L3103=""), "Gap - Missing LIA", IF(AND(G3103="Yes", H3103=""), "Gap - Missing Art. 9 Basis", IF(OR(I3103="Invalid - Not Freely Given", I3103="Invalid - Not Specific", I3103="Invalid - Not Informed", I3103="Invalid - Ambiguous"), "Gap - Invalid Consent", "Compliant")))))</f>
        <v/>
      </c>
      <c r="O3103" s="7" t="n"/>
    </row>
    <row r="3104">
      <c r="A3104" s="7" t="n"/>
      <c r="B3104" s="7" t="n"/>
      <c r="C3104" s="7" t="n"/>
      <c r="D3104" s="7" t="n"/>
      <c r="E3104" s="7" t="n"/>
      <c r="F3104" s="7" t="n"/>
      <c r="G3104" s="7" t="n"/>
      <c r="H3104" s="7" t="n"/>
      <c r="I3104" s="7" t="n"/>
      <c r="J3104" s="7" t="n"/>
      <c r="K3104">
        <f>IF(D3104="Legitimate Interest (GDPR Art. 6(1)(f))", "Yes / Required (Sheet 3)", "")</f>
        <v/>
      </c>
      <c r="L3104" s="7" t="n"/>
      <c r="M3104" s="7" t="n"/>
      <c r="N3104">
        <f>IF(D3104="", "Gap - No Legal Basis", IF(AND(D3104="Consent (GDPR Art. 6(1)(a))", I3104="Not Captured"), "Gap - Invalid Consent", IF(AND(D3104="Legitimate Interest (GDPR Art. 6(1)(f))", L3104=""), "Gap - Missing LIA", IF(AND(G3104="Yes", H3104=""), "Gap - Missing Art. 9 Basis", IF(OR(I3104="Invalid - Not Freely Given", I3104="Invalid - Not Specific", I3104="Invalid - Not Informed", I3104="Invalid - Ambiguous"), "Gap - Invalid Consent", "Compliant")))))</f>
        <v/>
      </c>
      <c r="O3104" s="7" t="n"/>
    </row>
    <row r="3105">
      <c r="A3105" s="7" t="n"/>
      <c r="B3105" s="7" t="n"/>
      <c r="C3105" s="7" t="n"/>
      <c r="D3105" s="7" t="n"/>
      <c r="E3105" s="7" t="n"/>
      <c r="F3105" s="7" t="n"/>
      <c r="G3105" s="7" t="n"/>
      <c r="H3105" s="7" t="n"/>
      <c r="I3105" s="7" t="n"/>
      <c r="J3105" s="7" t="n"/>
      <c r="K3105">
        <f>IF(D3105="Legitimate Interest (GDPR Art. 6(1)(f))", "Yes / Required (Sheet 3)", "")</f>
        <v/>
      </c>
      <c r="L3105" s="7" t="n"/>
      <c r="M3105" s="7" t="n"/>
      <c r="N3105">
        <f>IF(D3105="", "Gap - No Legal Basis", IF(AND(D3105="Consent (GDPR Art. 6(1)(a))", I3105="Not Captured"), "Gap - Invalid Consent", IF(AND(D3105="Legitimate Interest (GDPR Art. 6(1)(f))", L3105=""), "Gap - Missing LIA", IF(AND(G3105="Yes", H3105=""), "Gap - Missing Art. 9 Basis", IF(OR(I3105="Invalid - Not Freely Given", I3105="Invalid - Not Specific", I3105="Invalid - Not Informed", I3105="Invalid - Ambiguous"), "Gap - Invalid Consent", "Compliant")))))</f>
        <v/>
      </c>
      <c r="O3105" s="7" t="n"/>
    </row>
    <row r="3106">
      <c r="A3106" s="7" t="n"/>
      <c r="B3106" s="7" t="n"/>
      <c r="C3106" s="7" t="n"/>
      <c r="D3106" s="7" t="n"/>
      <c r="E3106" s="7" t="n"/>
      <c r="F3106" s="7" t="n"/>
      <c r="G3106" s="7" t="n"/>
      <c r="H3106" s="7" t="n"/>
      <c r="I3106" s="7" t="n"/>
      <c r="J3106" s="7" t="n"/>
      <c r="K3106">
        <f>IF(D3106="Legitimate Interest (GDPR Art. 6(1)(f))", "Yes / Required (Sheet 3)", "")</f>
        <v/>
      </c>
      <c r="L3106" s="7" t="n"/>
      <c r="M3106" s="7" t="n"/>
      <c r="N3106">
        <f>IF(D3106="", "Gap - No Legal Basis", IF(AND(D3106="Consent (GDPR Art. 6(1)(a))", I3106="Not Captured"), "Gap - Invalid Consent", IF(AND(D3106="Legitimate Interest (GDPR Art. 6(1)(f))", L3106=""), "Gap - Missing LIA", IF(AND(G3106="Yes", H3106=""), "Gap - Missing Art. 9 Basis", IF(OR(I3106="Invalid - Not Freely Given", I3106="Invalid - Not Specific", I3106="Invalid - Not Informed", I3106="Invalid - Ambiguous"), "Gap - Invalid Consent", "Compliant")))))</f>
        <v/>
      </c>
      <c r="O3106" s="7" t="n"/>
    </row>
    <row r="3107">
      <c r="A3107" s="7" t="n"/>
      <c r="B3107" s="7" t="n"/>
      <c r="C3107" s="7" t="n"/>
      <c r="D3107" s="7" t="n"/>
      <c r="E3107" s="7" t="n"/>
      <c r="F3107" s="7" t="n"/>
      <c r="G3107" s="7" t="n"/>
      <c r="H3107" s="7" t="n"/>
      <c r="I3107" s="7" t="n"/>
      <c r="J3107" s="7" t="n"/>
      <c r="K3107">
        <f>IF(D3107="Legitimate Interest (GDPR Art. 6(1)(f))", "Yes / Required (Sheet 3)", "")</f>
        <v/>
      </c>
      <c r="L3107" s="7" t="n"/>
      <c r="M3107" s="7" t="n"/>
      <c r="N3107">
        <f>IF(D3107="", "Gap - No Legal Basis", IF(AND(D3107="Consent (GDPR Art. 6(1)(a))", I3107="Not Captured"), "Gap - Invalid Consent", IF(AND(D3107="Legitimate Interest (GDPR Art. 6(1)(f))", L3107=""), "Gap - Missing LIA", IF(AND(G3107="Yes", H3107=""), "Gap - Missing Art. 9 Basis", IF(OR(I3107="Invalid - Not Freely Given", I3107="Invalid - Not Specific", I3107="Invalid - Not Informed", I3107="Invalid - Ambiguous"), "Gap - Invalid Consent", "Compliant")))))</f>
        <v/>
      </c>
      <c r="O3107" s="7" t="n"/>
    </row>
    <row r="3108">
      <c r="A3108" s="7" t="n"/>
      <c r="B3108" s="7" t="n"/>
      <c r="C3108" s="7" t="n"/>
      <c r="D3108" s="7" t="n"/>
      <c r="E3108" s="7" t="n"/>
      <c r="F3108" s="7" t="n"/>
      <c r="G3108" s="7" t="n"/>
      <c r="H3108" s="7" t="n"/>
      <c r="I3108" s="7" t="n"/>
      <c r="J3108" s="7" t="n"/>
      <c r="K3108">
        <f>IF(D3108="Legitimate Interest (GDPR Art. 6(1)(f))", "Yes / Required (Sheet 3)", "")</f>
        <v/>
      </c>
      <c r="L3108" s="7" t="n"/>
      <c r="M3108" s="7" t="n"/>
      <c r="N3108">
        <f>IF(D3108="", "Gap - No Legal Basis", IF(AND(D3108="Consent (GDPR Art. 6(1)(a))", I3108="Not Captured"), "Gap - Invalid Consent", IF(AND(D3108="Legitimate Interest (GDPR Art. 6(1)(f))", L3108=""), "Gap - Missing LIA", IF(AND(G3108="Yes", H3108=""), "Gap - Missing Art. 9 Basis", IF(OR(I3108="Invalid - Not Freely Given", I3108="Invalid - Not Specific", I3108="Invalid - Not Informed", I3108="Invalid - Ambiguous"), "Gap - Invalid Consent", "Compliant")))))</f>
        <v/>
      </c>
      <c r="O3108" s="7" t="n"/>
    </row>
    <row r="3109">
      <c r="A3109" s="7" t="n"/>
      <c r="B3109" s="7" t="n"/>
      <c r="C3109" s="7" t="n"/>
      <c r="D3109" s="7" t="n"/>
      <c r="E3109" s="7" t="n"/>
      <c r="F3109" s="7" t="n"/>
      <c r="G3109" s="7" t="n"/>
      <c r="H3109" s="7" t="n"/>
      <c r="I3109" s="7" t="n"/>
      <c r="J3109" s="7" t="n"/>
      <c r="K3109">
        <f>IF(D3109="Legitimate Interest (GDPR Art. 6(1)(f))", "Yes / Required (Sheet 3)", "")</f>
        <v/>
      </c>
      <c r="L3109" s="7" t="n"/>
      <c r="M3109" s="7" t="n"/>
      <c r="N3109">
        <f>IF(D3109="", "Gap - No Legal Basis", IF(AND(D3109="Consent (GDPR Art. 6(1)(a))", I3109="Not Captured"), "Gap - Invalid Consent", IF(AND(D3109="Legitimate Interest (GDPR Art. 6(1)(f))", L3109=""), "Gap - Missing LIA", IF(AND(G3109="Yes", H3109=""), "Gap - Missing Art. 9 Basis", IF(OR(I3109="Invalid - Not Freely Given", I3109="Invalid - Not Specific", I3109="Invalid - Not Informed", I3109="Invalid - Ambiguous"), "Gap - Invalid Consent", "Compliant")))))</f>
        <v/>
      </c>
      <c r="O3109" s="7" t="n"/>
    </row>
    <row r="3110">
      <c r="A3110" s="7" t="n"/>
      <c r="B3110" s="7" t="n"/>
      <c r="C3110" s="7" t="n"/>
      <c r="D3110" s="7" t="n"/>
      <c r="E3110" s="7" t="n"/>
      <c r="F3110" s="7" t="n"/>
      <c r="G3110" s="7" t="n"/>
      <c r="H3110" s="7" t="n"/>
      <c r="I3110" s="7" t="n"/>
      <c r="J3110" s="7" t="n"/>
      <c r="K3110">
        <f>IF(D3110="Legitimate Interest (GDPR Art. 6(1)(f))", "Yes / Required (Sheet 3)", "")</f>
        <v/>
      </c>
      <c r="L3110" s="7" t="n"/>
      <c r="M3110" s="7" t="n"/>
      <c r="N3110">
        <f>IF(D3110="", "Gap - No Legal Basis", IF(AND(D3110="Consent (GDPR Art. 6(1)(a))", I3110="Not Captured"), "Gap - Invalid Consent", IF(AND(D3110="Legitimate Interest (GDPR Art. 6(1)(f))", L3110=""), "Gap - Missing LIA", IF(AND(G3110="Yes", H3110=""), "Gap - Missing Art. 9 Basis", IF(OR(I3110="Invalid - Not Freely Given", I3110="Invalid - Not Specific", I3110="Invalid - Not Informed", I3110="Invalid - Ambiguous"), "Gap - Invalid Consent", "Compliant")))))</f>
        <v/>
      </c>
      <c r="O3110" s="7" t="n"/>
    </row>
    <row r="3111">
      <c r="A3111" s="7" t="n"/>
      <c r="B3111" s="7" t="n"/>
      <c r="C3111" s="7" t="n"/>
      <c r="D3111" s="7" t="n"/>
      <c r="E3111" s="7" t="n"/>
      <c r="F3111" s="7" t="n"/>
      <c r="G3111" s="7" t="n"/>
      <c r="H3111" s="7" t="n"/>
      <c r="I3111" s="7" t="n"/>
      <c r="J3111" s="7" t="n"/>
      <c r="K3111">
        <f>IF(D3111="Legitimate Interest (GDPR Art. 6(1)(f))", "Yes / Required (Sheet 3)", "")</f>
        <v/>
      </c>
      <c r="L3111" s="7" t="n"/>
      <c r="M3111" s="7" t="n"/>
      <c r="N3111">
        <f>IF(D3111="", "Gap - No Legal Basis", IF(AND(D3111="Consent (GDPR Art. 6(1)(a))", I3111="Not Captured"), "Gap - Invalid Consent", IF(AND(D3111="Legitimate Interest (GDPR Art. 6(1)(f))", L3111=""), "Gap - Missing LIA", IF(AND(G3111="Yes", H3111=""), "Gap - Missing Art. 9 Basis", IF(OR(I3111="Invalid - Not Freely Given", I3111="Invalid - Not Specific", I3111="Invalid - Not Informed", I3111="Invalid - Ambiguous"), "Gap - Invalid Consent", "Compliant")))))</f>
        <v/>
      </c>
      <c r="O3111" s="7" t="n"/>
    </row>
    <row r="3112">
      <c r="A3112" s="7" t="n"/>
      <c r="B3112" s="7" t="n"/>
      <c r="C3112" s="7" t="n"/>
      <c r="D3112" s="7" t="n"/>
      <c r="E3112" s="7" t="n"/>
      <c r="F3112" s="7" t="n"/>
      <c r="G3112" s="7" t="n"/>
      <c r="H3112" s="7" t="n"/>
      <c r="I3112" s="7" t="n"/>
      <c r="J3112" s="7" t="n"/>
      <c r="K3112">
        <f>IF(D3112="Legitimate Interest (GDPR Art. 6(1)(f))", "Yes / Required (Sheet 3)", "")</f>
        <v/>
      </c>
      <c r="L3112" s="7" t="n"/>
      <c r="M3112" s="7" t="n"/>
      <c r="N3112">
        <f>IF(D3112="", "Gap - No Legal Basis", IF(AND(D3112="Consent (GDPR Art. 6(1)(a))", I3112="Not Captured"), "Gap - Invalid Consent", IF(AND(D3112="Legitimate Interest (GDPR Art. 6(1)(f))", L3112=""), "Gap - Missing LIA", IF(AND(G3112="Yes", H3112=""), "Gap - Missing Art. 9 Basis", IF(OR(I3112="Invalid - Not Freely Given", I3112="Invalid - Not Specific", I3112="Invalid - Not Informed", I3112="Invalid - Ambiguous"), "Gap - Invalid Consent", "Compliant")))))</f>
        <v/>
      </c>
      <c r="O3112" s="7" t="n"/>
    </row>
    <row r="3113">
      <c r="A3113" s="7" t="n"/>
      <c r="B3113" s="7" t="n"/>
      <c r="C3113" s="7" t="n"/>
      <c r="D3113" s="7" t="n"/>
      <c r="E3113" s="7" t="n"/>
      <c r="F3113" s="7" t="n"/>
      <c r="G3113" s="7" t="n"/>
      <c r="H3113" s="7" t="n"/>
      <c r="I3113" s="7" t="n"/>
      <c r="J3113" s="7" t="n"/>
      <c r="K3113">
        <f>IF(D3113="Legitimate Interest (GDPR Art. 6(1)(f))", "Yes / Required (Sheet 3)", "")</f>
        <v/>
      </c>
      <c r="L3113" s="7" t="n"/>
      <c r="M3113" s="7" t="n"/>
      <c r="N3113">
        <f>IF(D3113="", "Gap - No Legal Basis", IF(AND(D3113="Consent (GDPR Art. 6(1)(a))", I3113="Not Captured"), "Gap - Invalid Consent", IF(AND(D3113="Legitimate Interest (GDPR Art. 6(1)(f))", L3113=""), "Gap - Missing LIA", IF(AND(G3113="Yes", H3113=""), "Gap - Missing Art. 9 Basis", IF(OR(I3113="Invalid - Not Freely Given", I3113="Invalid - Not Specific", I3113="Invalid - Not Informed", I3113="Invalid - Ambiguous"), "Gap - Invalid Consent", "Compliant")))))</f>
        <v/>
      </c>
      <c r="O3113" s="7" t="n"/>
    </row>
    <row r="3114">
      <c r="A3114" s="7" t="n"/>
      <c r="B3114" s="7" t="n"/>
      <c r="C3114" s="7" t="n"/>
      <c r="D3114" s="7" t="n"/>
      <c r="E3114" s="7" t="n"/>
      <c r="F3114" s="7" t="n"/>
      <c r="G3114" s="7" t="n"/>
      <c r="H3114" s="7" t="n"/>
      <c r="I3114" s="7" t="n"/>
      <c r="J3114" s="7" t="n"/>
      <c r="K3114">
        <f>IF(D3114="Legitimate Interest (GDPR Art. 6(1)(f))", "Yes / Required (Sheet 3)", "")</f>
        <v/>
      </c>
      <c r="L3114" s="7" t="n"/>
      <c r="M3114" s="7" t="n"/>
      <c r="N3114">
        <f>IF(D3114="", "Gap - No Legal Basis", IF(AND(D3114="Consent (GDPR Art. 6(1)(a))", I3114="Not Captured"), "Gap - Invalid Consent", IF(AND(D3114="Legitimate Interest (GDPR Art. 6(1)(f))", L3114=""), "Gap - Missing LIA", IF(AND(G3114="Yes", H3114=""), "Gap - Missing Art. 9 Basis", IF(OR(I3114="Invalid - Not Freely Given", I3114="Invalid - Not Specific", I3114="Invalid - Not Informed", I3114="Invalid - Ambiguous"), "Gap - Invalid Consent", "Compliant")))))</f>
        <v/>
      </c>
      <c r="O3114" s="7" t="n"/>
    </row>
    <row r="3115">
      <c r="A3115" s="7" t="n"/>
      <c r="B3115" s="7" t="n"/>
      <c r="C3115" s="7" t="n"/>
      <c r="D3115" s="7" t="n"/>
      <c r="E3115" s="7" t="n"/>
      <c r="F3115" s="7" t="n"/>
      <c r="G3115" s="7" t="n"/>
      <c r="H3115" s="7" t="n"/>
      <c r="I3115" s="7" t="n"/>
      <c r="J3115" s="7" t="n"/>
      <c r="K3115">
        <f>IF(D3115="Legitimate Interest (GDPR Art. 6(1)(f))", "Yes / Required (Sheet 3)", "")</f>
        <v/>
      </c>
      <c r="L3115" s="7" t="n"/>
      <c r="M3115" s="7" t="n"/>
      <c r="N3115">
        <f>IF(D3115="", "Gap - No Legal Basis", IF(AND(D3115="Consent (GDPR Art. 6(1)(a))", I3115="Not Captured"), "Gap - Invalid Consent", IF(AND(D3115="Legitimate Interest (GDPR Art. 6(1)(f))", L3115=""), "Gap - Missing LIA", IF(AND(G3115="Yes", H3115=""), "Gap - Missing Art. 9 Basis", IF(OR(I3115="Invalid - Not Freely Given", I3115="Invalid - Not Specific", I3115="Invalid - Not Informed", I3115="Invalid - Ambiguous"), "Gap - Invalid Consent", "Compliant")))))</f>
        <v/>
      </c>
      <c r="O3115" s="7" t="n"/>
    </row>
    <row r="3116">
      <c r="A3116" s="7" t="n"/>
      <c r="B3116" s="7" t="n"/>
      <c r="C3116" s="7" t="n"/>
      <c r="D3116" s="7" t="n"/>
      <c r="E3116" s="7" t="n"/>
      <c r="F3116" s="7" t="n"/>
      <c r="G3116" s="7" t="n"/>
      <c r="H3116" s="7" t="n"/>
      <c r="I3116" s="7" t="n"/>
      <c r="J3116" s="7" t="n"/>
      <c r="K3116">
        <f>IF(D3116="Legitimate Interest (GDPR Art. 6(1)(f))", "Yes / Required (Sheet 3)", "")</f>
        <v/>
      </c>
      <c r="L3116" s="7" t="n"/>
      <c r="M3116" s="7" t="n"/>
      <c r="N3116">
        <f>IF(D3116="", "Gap - No Legal Basis", IF(AND(D3116="Consent (GDPR Art. 6(1)(a))", I3116="Not Captured"), "Gap - Invalid Consent", IF(AND(D3116="Legitimate Interest (GDPR Art. 6(1)(f))", L3116=""), "Gap - Missing LIA", IF(AND(G3116="Yes", H3116=""), "Gap - Missing Art. 9 Basis", IF(OR(I3116="Invalid - Not Freely Given", I3116="Invalid - Not Specific", I3116="Invalid - Not Informed", I3116="Invalid - Ambiguous"), "Gap - Invalid Consent", "Compliant")))))</f>
        <v/>
      </c>
      <c r="O3116" s="7" t="n"/>
    </row>
    <row r="3117">
      <c r="A3117" s="7" t="n"/>
      <c r="B3117" s="7" t="n"/>
      <c r="C3117" s="7" t="n"/>
      <c r="D3117" s="7" t="n"/>
      <c r="E3117" s="7" t="n"/>
      <c r="F3117" s="7" t="n"/>
      <c r="G3117" s="7" t="n"/>
      <c r="H3117" s="7" t="n"/>
      <c r="I3117" s="7" t="n"/>
      <c r="J3117" s="7" t="n"/>
      <c r="K3117">
        <f>IF(D3117="Legitimate Interest (GDPR Art. 6(1)(f))", "Yes / Required (Sheet 3)", "")</f>
        <v/>
      </c>
      <c r="L3117" s="7" t="n"/>
      <c r="M3117" s="7" t="n"/>
      <c r="N3117">
        <f>IF(D3117="", "Gap - No Legal Basis", IF(AND(D3117="Consent (GDPR Art. 6(1)(a))", I3117="Not Captured"), "Gap - Invalid Consent", IF(AND(D3117="Legitimate Interest (GDPR Art. 6(1)(f))", L3117=""), "Gap - Missing LIA", IF(AND(G3117="Yes", H3117=""), "Gap - Missing Art. 9 Basis", IF(OR(I3117="Invalid - Not Freely Given", I3117="Invalid - Not Specific", I3117="Invalid - Not Informed", I3117="Invalid - Ambiguous"), "Gap - Invalid Consent", "Compliant")))))</f>
        <v/>
      </c>
      <c r="O3117" s="7" t="n"/>
    </row>
    <row r="3118">
      <c r="A3118" s="7" t="n"/>
      <c r="B3118" s="7" t="n"/>
      <c r="C3118" s="7" t="n"/>
      <c r="D3118" s="7" t="n"/>
      <c r="E3118" s="7" t="n"/>
      <c r="F3118" s="7" t="n"/>
      <c r="G3118" s="7" t="n"/>
      <c r="H3118" s="7" t="n"/>
      <c r="I3118" s="7" t="n"/>
      <c r="J3118" s="7" t="n"/>
      <c r="K3118">
        <f>IF(D3118="Legitimate Interest (GDPR Art. 6(1)(f))", "Yes / Required (Sheet 3)", "")</f>
        <v/>
      </c>
      <c r="L3118" s="7" t="n"/>
      <c r="M3118" s="7" t="n"/>
      <c r="N3118">
        <f>IF(D3118="", "Gap - No Legal Basis", IF(AND(D3118="Consent (GDPR Art. 6(1)(a))", I3118="Not Captured"), "Gap - Invalid Consent", IF(AND(D3118="Legitimate Interest (GDPR Art. 6(1)(f))", L3118=""), "Gap - Missing LIA", IF(AND(G3118="Yes", H3118=""), "Gap - Missing Art. 9 Basis", IF(OR(I3118="Invalid - Not Freely Given", I3118="Invalid - Not Specific", I3118="Invalid - Not Informed", I3118="Invalid - Ambiguous"), "Gap - Invalid Consent", "Compliant")))))</f>
        <v/>
      </c>
      <c r="O3118" s="7" t="n"/>
    </row>
    <row r="3119">
      <c r="A3119" s="7" t="n"/>
      <c r="B3119" s="7" t="n"/>
      <c r="C3119" s="7" t="n"/>
      <c r="D3119" s="7" t="n"/>
      <c r="E3119" s="7" t="n"/>
      <c r="F3119" s="7" t="n"/>
      <c r="G3119" s="7" t="n"/>
      <c r="H3119" s="7" t="n"/>
      <c r="I3119" s="7" t="n"/>
      <c r="J3119" s="7" t="n"/>
      <c r="K3119">
        <f>IF(D3119="Legitimate Interest (GDPR Art. 6(1)(f))", "Yes / Required (Sheet 3)", "")</f>
        <v/>
      </c>
      <c r="L3119" s="7" t="n"/>
      <c r="M3119" s="7" t="n"/>
      <c r="N3119">
        <f>IF(D3119="", "Gap - No Legal Basis", IF(AND(D3119="Consent (GDPR Art. 6(1)(a))", I3119="Not Captured"), "Gap - Invalid Consent", IF(AND(D3119="Legitimate Interest (GDPR Art. 6(1)(f))", L3119=""), "Gap - Missing LIA", IF(AND(G3119="Yes", H3119=""), "Gap - Missing Art. 9 Basis", IF(OR(I3119="Invalid - Not Freely Given", I3119="Invalid - Not Specific", I3119="Invalid - Not Informed", I3119="Invalid - Ambiguous"), "Gap - Invalid Consent", "Compliant")))))</f>
        <v/>
      </c>
      <c r="O3119" s="7" t="n"/>
    </row>
    <row r="3120">
      <c r="A3120" s="7" t="n"/>
      <c r="B3120" s="7" t="n"/>
      <c r="C3120" s="7" t="n"/>
      <c r="D3120" s="7" t="n"/>
      <c r="E3120" s="7" t="n"/>
      <c r="F3120" s="7" t="n"/>
      <c r="G3120" s="7" t="n"/>
      <c r="H3120" s="7" t="n"/>
      <c r="I3120" s="7" t="n"/>
      <c r="J3120" s="7" t="n"/>
      <c r="K3120">
        <f>IF(D3120="Legitimate Interest (GDPR Art. 6(1)(f))", "Yes / Required (Sheet 3)", "")</f>
        <v/>
      </c>
      <c r="L3120" s="7" t="n"/>
      <c r="M3120" s="7" t="n"/>
      <c r="N3120">
        <f>IF(D3120="", "Gap - No Legal Basis", IF(AND(D3120="Consent (GDPR Art. 6(1)(a))", I3120="Not Captured"), "Gap - Invalid Consent", IF(AND(D3120="Legitimate Interest (GDPR Art. 6(1)(f))", L3120=""), "Gap - Missing LIA", IF(AND(G3120="Yes", H3120=""), "Gap - Missing Art. 9 Basis", IF(OR(I3120="Invalid - Not Freely Given", I3120="Invalid - Not Specific", I3120="Invalid - Not Informed", I3120="Invalid - Ambiguous"), "Gap - Invalid Consent", "Compliant")))))</f>
        <v/>
      </c>
      <c r="O3120" s="7" t="n"/>
    </row>
    <row r="3121">
      <c r="A3121" s="7" t="n"/>
      <c r="B3121" s="7" t="n"/>
      <c r="C3121" s="7" t="n"/>
      <c r="D3121" s="7" t="n"/>
      <c r="E3121" s="7" t="n"/>
      <c r="F3121" s="7" t="n"/>
      <c r="G3121" s="7" t="n"/>
      <c r="H3121" s="7" t="n"/>
      <c r="I3121" s="7" t="n"/>
      <c r="J3121" s="7" t="n"/>
      <c r="K3121">
        <f>IF(D3121="Legitimate Interest (GDPR Art. 6(1)(f))", "Yes / Required (Sheet 3)", "")</f>
        <v/>
      </c>
      <c r="L3121" s="7" t="n"/>
      <c r="M3121" s="7" t="n"/>
      <c r="N3121">
        <f>IF(D3121="", "Gap - No Legal Basis", IF(AND(D3121="Consent (GDPR Art. 6(1)(a))", I3121="Not Captured"), "Gap - Invalid Consent", IF(AND(D3121="Legitimate Interest (GDPR Art. 6(1)(f))", L3121=""), "Gap - Missing LIA", IF(AND(G3121="Yes", H3121=""), "Gap - Missing Art. 9 Basis", IF(OR(I3121="Invalid - Not Freely Given", I3121="Invalid - Not Specific", I3121="Invalid - Not Informed", I3121="Invalid - Ambiguous"), "Gap - Invalid Consent", "Compliant")))))</f>
        <v/>
      </c>
      <c r="O3121" s="7" t="n"/>
    </row>
    <row r="3122">
      <c r="A3122" s="7" t="n"/>
      <c r="B3122" s="7" t="n"/>
      <c r="C3122" s="7" t="n"/>
      <c r="D3122" s="7" t="n"/>
      <c r="E3122" s="7" t="n"/>
      <c r="F3122" s="7" t="n"/>
      <c r="G3122" s="7" t="n"/>
      <c r="H3122" s="7" t="n"/>
      <c r="I3122" s="7" t="n"/>
      <c r="J3122" s="7" t="n"/>
      <c r="K3122">
        <f>IF(D3122="Legitimate Interest (GDPR Art. 6(1)(f))", "Yes / Required (Sheet 3)", "")</f>
        <v/>
      </c>
      <c r="L3122" s="7" t="n"/>
      <c r="M3122" s="7" t="n"/>
      <c r="N3122">
        <f>IF(D3122="", "Gap - No Legal Basis", IF(AND(D3122="Consent (GDPR Art. 6(1)(a))", I3122="Not Captured"), "Gap - Invalid Consent", IF(AND(D3122="Legitimate Interest (GDPR Art. 6(1)(f))", L3122=""), "Gap - Missing LIA", IF(AND(G3122="Yes", H3122=""), "Gap - Missing Art. 9 Basis", IF(OR(I3122="Invalid - Not Freely Given", I3122="Invalid - Not Specific", I3122="Invalid - Not Informed", I3122="Invalid - Ambiguous"), "Gap - Invalid Consent", "Compliant")))))</f>
        <v/>
      </c>
      <c r="O3122" s="7" t="n"/>
    </row>
    <row r="3123">
      <c r="A3123" s="7" t="n"/>
      <c r="B3123" s="7" t="n"/>
      <c r="C3123" s="7" t="n"/>
      <c r="D3123" s="7" t="n"/>
      <c r="E3123" s="7" t="n"/>
      <c r="F3123" s="7" t="n"/>
      <c r="G3123" s="7" t="n"/>
      <c r="H3123" s="7" t="n"/>
      <c r="I3123" s="7" t="n"/>
      <c r="J3123" s="7" t="n"/>
      <c r="K3123">
        <f>IF(D3123="Legitimate Interest (GDPR Art. 6(1)(f))", "Yes / Required (Sheet 3)", "")</f>
        <v/>
      </c>
      <c r="L3123" s="7" t="n"/>
      <c r="M3123" s="7" t="n"/>
      <c r="N3123">
        <f>IF(D3123="", "Gap - No Legal Basis", IF(AND(D3123="Consent (GDPR Art. 6(1)(a))", I3123="Not Captured"), "Gap - Invalid Consent", IF(AND(D3123="Legitimate Interest (GDPR Art. 6(1)(f))", L3123=""), "Gap - Missing LIA", IF(AND(G3123="Yes", H3123=""), "Gap - Missing Art. 9 Basis", IF(OR(I3123="Invalid - Not Freely Given", I3123="Invalid - Not Specific", I3123="Invalid - Not Informed", I3123="Invalid - Ambiguous"), "Gap - Invalid Consent", "Compliant")))))</f>
        <v/>
      </c>
      <c r="O3123" s="7" t="n"/>
    </row>
    <row r="3124">
      <c r="A3124" s="7" t="n"/>
      <c r="B3124" s="7" t="n"/>
      <c r="C3124" s="7" t="n"/>
      <c r="D3124" s="7" t="n"/>
      <c r="E3124" s="7" t="n"/>
      <c r="F3124" s="7" t="n"/>
      <c r="G3124" s="7" t="n"/>
      <c r="H3124" s="7" t="n"/>
      <c r="I3124" s="7" t="n"/>
      <c r="J3124" s="7" t="n"/>
      <c r="K3124">
        <f>IF(D3124="Legitimate Interest (GDPR Art. 6(1)(f))", "Yes / Required (Sheet 3)", "")</f>
        <v/>
      </c>
      <c r="L3124" s="7" t="n"/>
      <c r="M3124" s="7" t="n"/>
      <c r="N3124">
        <f>IF(D3124="", "Gap - No Legal Basis", IF(AND(D3124="Consent (GDPR Art. 6(1)(a))", I3124="Not Captured"), "Gap - Invalid Consent", IF(AND(D3124="Legitimate Interest (GDPR Art. 6(1)(f))", L3124=""), "Gap - Missing LIA", IF(AND(G3124="Yes", H3124=""), "Gap - Missing Art. 9 Basis", IF(OR(I3124="Invalid - Not Freely Given", I3124="Invalid - Not Specific", I3124="Invalid - Not Informed", I3124="Invalid - Ambiguous"), "Gap - Invalid Consent", "Compliant")))))</f>
        <v/>
      </c>
      <c r="O3124" s="7" t="n"/>
    </row>
    <row r="3125">
      <c r="A3125" s="7" t="n"/>
      <c r="B3125" s="7" t="n"/>
      <c r="C3125" s="7" t="n"/>
      <c r="D3125" s="7" t="n"/>
      <c r="E3125" s="7" t="n"/>
      <c r="F3125" s="7" t="n"/>
      <c r="G3125" s="7" t="n"/>
      <c r="H3125" s="7" t="n"/>
      <c r="I3125" s="7" t="n"/>
      <c r="J3125" s="7" t="n"/>
      <c r="K3125">
        <f>IF(D3125="Legitimate Interest (GDPR Art. 6(1)(f))", "Yes / Required (Sheet 3)", "")</f>
        <v/>
      </c>
      <c r="L3125" s="7" t="n"/>
      <c r="M3125" s="7" t="n"/>
      <c r="N3125">
        <f>IF(D3125="", "Gap - No Legal Basis", IF(AND(D3125="Consent (GDPR Art. 6(1)(a))", I3125="Not Captured"), "Gap - Invalid Consent", IF(AND(D3125="Legitimate Interest (GDPR Art. 6(1)(f))", L3125=""), "Gap - Missing LIA", IF(AND(G3125="Yes", H3125=""), "Gap - Missing Art. 9 Basis", IF(OR(I3125="Invalid - Not Freely Given", I3125="Invalid - Not Specific", I3125="Invalid - Not Informed", I3125="Invalid - Ambiguous"), "Gap - Invalid Consent", "Compliant")))))</f>
        <v/>
      </c>
      <c r="O3125" s="7" t="n"/>
    </row>
    <row r="3126">
      <c r="A3126" s="7" t="n"/>
      <c r="B3126" s="7" t="n"/>
      <c r="C3126" s="7" t="n"/>
      <c r="D3126" s="7" t="n"/>
      <c r="E3126" s="7" t="n"/>
      <c r="F3126" s="7" t="n"/>
      <c r="G3126" s="7" t="n"/>
      <c r="H3126" s="7" t="n"/>
      <c r="I3126" s="7" t="n"/>
      <c r="J3126" s="7" t="n"/>
      <c r="K3126">
        <f>IF(D3126="Legitimate Interest (GDPR Art. 6(1)(f))", "Yes / Required (Sheet 3)", "")</f>
        <v/>
      </c>
      <c r="L3126" s="7" t="n"/>
      <c r="M3126" s="7" t="n"/>
      <c r="N3126">
        <f>IF(D3126="", "Gap - No Legal Basis", IF(AND(D3126="Consent (GDPR Art. 6(1)(a))", I3126="Not Captured"), "Gap - Invalid Consent", IF(AND(D3126="Legitimate Interest (GDPR Art. 6(1)(f))", L3126=""), "Gap - Missing LIA", IF(AND(G3126="Yes", H3126=""), "Gap - Missing Art. 9 Basis", IF(OR(I3126="Invalid - Not Freely Given", I3126="Invalid - Not Specific", I3126="Invalid - Not Informed", I3126="Invalid - Ambiguous"), "Gap - Invalid Consent", "Compliant")))))</f>
        <v/>
      </c>
      <c r="O3126" s="7" t="n"/>
    </row>
    <row r="3127">
      <c r="A3127" s="7" t="n"/>
      <c r="B3127" s="7" t="n"/>
      <c r="C3127" s="7" t="n"/>
      <c r="D3127" s="7" t="n"/>
      <c r="E3127" s="7" t="n"/>
      <c r="F3127" s="7" t="n"/>
      <c r="G3127" s="7" t="n"/>
      <c r="H3127" s="7" t="n"/>
      <c r="I3127" s="7" t="n"/>
      <c r="J3127" s="7" t="n"/>
      <c r="K3127">
        <f>IF(D3127="Legitimate Interest (GDPR Art. 6(1)(f))", "Yes / Required (Sheet 3)", "")</f>
        <v/>
      </c>
      <c r="L3127" s="7" t="n"/>
      <c r="M3127" s="7" t="n"/>
      <c r="N3127">
        <f>IF(D3127="", "Gap - No Legal Basis", IF(AND(D3127="Consent (GDPR Art. 6(1)(a))", I3127="Not Captured"), "Gap - Invalid Consent", IF(AND(D3127="Legitimate Interest (GDPR Art. 6(1)(f))", L3127=""), "Gap - Missing LIA", IF(AND(G3127="Yes", H3127=""), "Gap - Missing Art. 9 Basis", IF(OR(I3127="Invalid - Not Freely Given", I3127="Invalid - Not Specific", I3127="Invalid - Not Informed", I3127="Invalid - Ambiguous"), "Gap - Invalid Consent", "Compliant")))))</f>
        <v/>
      </c>
      <c r="O3127" s="7" t="n"/>
    </row>
    <row r="3128">
      <c r="A3128" s="7" t="n"/>
      <c r="B3128" s="7" t="n"/>
      <c r="C3128" s="7" t="n"/>
      <c r="D3128" s="7" t="n"/>
      <c r="E3128" s="7" t="n"/>
      <c r="F3128" s="7" t="n"/>
      <c r="G3128" s="7" t="n"/>
      <c r="H3128" s="7" t="n"/>
      <c r="I3128" s="7" t="n"/>
      <c r="J3128" s="7" t="n"/>
      <c r="K3128">
        <f>IF(D3128="Legitimate Interest (GDPR Art. 6(1)(f))", "Yes / Required (Sheet 3)", "")</f>
        <v/>
      </c>
      <c r="L3128" s="7" t="n"/>
      <c r="M3128" s="7" t="n"/>
      <c r="N3128">
        <f>IF(D3128="", "Gap - No Legal Basis", IF(AND(D3128="Consent (GDPR Art. 6(1)(a))", I3128="Not Captured"), "Gap - Invalid Consent", IF(AND(D3128="Legitimate Interest (GDPR Art. 6(1)(f))", L3128=""), "Gap - Missing LIA", IF(AND(G3128="Yes", H3128=""), "Gap - Missing Art. 9 Basis", IF(OR(I3128="Invalid - Not Freely Given", I3128="Invalid - Not Specific", I3128="Invalid - Not Informed", I3128="Invalid - Ambiguous"), "Gap - Invalid Consent", "Compliant")))))</f>
        <v/>
      </c>
      <c r="O3128" s="7" t="n"/>
    </row>
    <row r="3129">
      <c r="A3129" s="7" t="n"/>
      <c r="B3129" s="7" t="n"/>
      <c r="C3129" s="7" t="n"/>
      <c r="D3129" s="7" t="n"/>
      <c r="E3129" s="7" t="n"/>
      <c r="F3129" s="7" t="n"/>
      <c r="G3129" s="7" t="n"/>
      <c r="H3129" s="7" t="n"/>
      <c r="I3129" s="7" t="n"/>
      <c r="J3129" s="7" t="n"/>
      <c r="K3129">
        <f>IF(D3129="Legitimate Interest (GDPR Art. 6(1)(f))", "Yes / Required (Sheet 3)", "")</f>
        <v/>
      </c>
      <c r="L3129" s="7" t="n"/>
      <c r="M3129" s="7" t="n"/>
      <c r="N3129">
        <f>IF(D3129="", "Gap - No Legal Basis", IF(AND(D3129="Consent (GDPR Art. 6(1)(a))", I3129="Not Captured"), "Gap - Invalid Consent", IF(AND(D3129="Legitimate Interest (GDPR Art. 6(1)(f))", L3129=""), "Gap - Missing LIA", IF(AND(G3129="Yes", H3129=""), "Gap - Missing Art. 9 Basis", IF(OR(I3129="Invalid - Not Freely Given", I3129="Invalid - Not Specific", I3129="Invalid - Not Informed", I3129="Invalid - Ambiguous"), "Gap - Invalid Consent", "Compliant")))))</f>
        <v/>
      </c>
      <c r="O3129" s="7" t="n"/>
    </row>
    <row r="3130">
      <c r="A3130" s="7" t="n"/>
      <c r="B3130" s="7" t="n"/>
      <c r="C3130" s="7" t="n"/>
      <c r="D3130" s="7" t="n"/>
      <c r="E3130" s="7" t="n"/>
      <c r="F3130" s="7" t="n"/>
      <c r="G3130" s="7" t="n"/>
      <c r="H3130" s="7" t="n"/>
      <c r="I3130" s="7" t="n"/>
      <c r="J3130" s="7" t="n"/>
      <c r="K3130">
        <f>IF(D3130="Legitimate Interest (GDPR Art. 6(1)(f))", "Yes / Required (Sheet 3)", "")</f>
        <v/>
      </c>
      <c r="L3130" s="7" t="n"/>
      <c r="M3130" s="7" t="n"/>
      <c r="N3130">
        <f>IF(D3130="", "Gap - No Legal Basis", IF(AND(D3130="Consent (GDPR Art. 6(1)(a))", I3130="Not Captured"), "Gap - Invalid Consent", IF(AND(D3130="Legitimate Interest (GDPR Art. 6(1)(f))", L3130=""), "Gap - Missing LIA", IF(AND(G3130="Yes", H3130=""), "Gap - Missing Art. 9 Basis", IF(OR(I3130="Invalid - Not Freely Given", I3130="Invalid - Not Specific", I3130="Invalid - Not Informed", I3130="Invalid - Ambiguous"), "Gap - Invalid Consent", "Compliant")))))</f>
        <v/>
      </c>
      <c r="O3130" s="7" t="n"/>
    </row>
    <row r="3131">
      <c r="A3131" s="7" t="n"/>
      <c r="B3131" s="7" t="n"/>
      <c r="C3131" s="7" t="n"/>
      <c r="D3131" s="7" t="n"/>
      <c r="E3131" s="7" t="n"/>
      <c r="F3131" s="7" t="n"/>
      <c r="G3131" s="7" t="n"/>
      <c r="H3131" s="7" t="n"/>
      <c r="I3131" s="7" t="n"/>
      <c r="J3131" s="7" t="n"/>
      <c r="K3131">
        <f>IF(D3131="Legitimate Interest (GDPR Art. 6(1)(f))", "Yes / Required (Sheet 3)", "")</f>
        <v/>
      </c>
      <c r="L3131" s="7" t="n"/>
      <c r="M3131" s="7" t="n"/>
      <c r="N3131">
        <f>IF(D3131="", "Gap - No Legal Basis", IF(AND(D3131="Consent (GDPR Art. 6(1)(a))", I3131="Not Captured"), "Gap - Invalid Consent", IF(AND(D3131="Legitimate Interest (GDPR Art. 6(1)(f))", L3131=""), "Gap - Missing LIA", IF(AND(G3131="Yes", H3131=""), "Gap - Missing Art. 9 Basis", IF(OR(I3131="Invalid - Not Freely Given", I3131="Invalid - Not Specific", I3131="Invalid - Not Informed", I3131="Invalid - Ambiguous"), "Gap - Invalid Consent", "Compliant")))))</f>
        <v/>
      </c>
      <c r="O3131" s="7" t="n"/>
    </row>
    <row r="3132">
      <c r="A3132" s="7" t="n"/>
      <c r="B3132" s="7" t="n"/>
      <c r="C3132" s="7" t="n"/>
      <c r="D3132" s="7" t="n"/>
      <c r="E3132" s="7" t="n"/>
      <c r="F3132" s="7" t="n"/>
      <c r="G3132" s="7" t="n"/>
      <c r="H3132" s="7" t="n"/>
      <c r="I3132" s="7" t="n"/>
      <c r="J3132" s="7" t="n"/>
      <c r="K3132">
        <f>IF(D3132="Legitimate Interest (GDPR Art. 6(1)(f))", "Yes / Required (Sheet 3)", "")</f>
        <v/>
      </c>
      <c r="L3132" s="7" t="n"/>
      <c r="M3132" s="7" t="n"/>
      <c r="N3132">
        <f>IF(D3132="", "Gap - No Legal Basis", IF(AND(D3132="Consent (GDPR Art. 6(1)(a))", I3132="Not Captured"), "Gap - Invalid Consent", IF(AND(D3132="Legitimate Interest (GDPR Art. 6(1)(f))", L3132=""), "Gap - Missing LIA", IF(AND(G3132="Yes", H3132=""), "Gap - Missing Art. 9 Basis", IF(OR(I3132="Invalid - Not Freely Given", I3132="Invalid - Not Specific", I3132="Invalid - Not Informed", I3132="Invalid - Ambiguous"), "Gap - Invalid Consent", "Compliant")))))</f>
        <v/>
      </c>
      <c r="O3132" s="7" t="n"/>
    </row>
    <row r="3133">
      <c r="A3133" s="7" t="n"/>
      <c r="B3133" s="7" t="n"/>
      <c r="C3133" s="7" t="n"/>
      <c r="D3133" s="7" t="n"/>
      <c r="E3133" s="7" t="n"/>
      <c r="F3133" s="7" t="n"/>
      <c r="G3133" s="7" t="n"/>
      <c r="H3133" s="7" t="n"/>
      <c r="I3133" s="7" t="n"/>
      <c r="J3133" s="7" t="n"/>
      <c r="K3133">
        <f>IF(D3133="Legitimate Interest (GDPR Art. 6(1)(f))", "Yes / Required (Sheet 3)", "")</f>
        <v/>
      </c>
      <c r="L3133" s="7" t="n"/>
      <c r="M3133" s="7" t="n"/>
      <c r="N3133">
        <f>IF(D3133="", "Gap - No Legal Basis", IF(AND(D3133="Consent (GDPR Art. 6(1)(a))", I3133="Not Captured"), "Gap - Invalid Consent", IF(AND(D3133="Legitimate Interest (GDPR Art. 6(1)(f))", L3133=""), "Gap - Missing LIA", IF(AND(G3133="Yes", H3133=""), "Gap - Missing Art. 9 Basis", IF(OR(I3133="Invalid - Not Freely Given", I3133="Invalid - Not Specific", I3133="Invalid - Not Informed", I3133="Invalid - Ambiguous"), "Gap - Invalid Consent", "Compliant")))))</f>
        <v/>
      </c>
      <c r="O3133" s="7" t="n"/>
    </row>
    <row r="3134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7" t="n"/>
      <c r="J3134" s="7" t="n"/>
      <c r="K3134">
        <f>IF(D3134="Legitimate Interest (GDPR Art. 6(1)(f))", "Yes / Required (Sheet 3)", "")</f>
        <v/>
      </c>
      <c r="L3134" s="7" t="n"/>
      <c r="M3134" s="7" t="n"/>
      <c r="N3134">
        <f>IF(D3134="", "Gap - No Legal Basis", IF(AND(D3134="Consent (GDPR Art. 6(1)(a))", I3134="Not Captured"), "Gap - Invalid Consent", IF(AND(D3134="Legitimate Interest (GDPR Art. 6(1)(f))", L3134=""), "Gap - Missing LIA", IF(AND(G3134="Yes", H3134=""), "Gap - Missing Art. 9 Basis", IF(OR(I3134="Invalid - Not Freely Given", I3134="Invalid - Not Specific", I3134="Invalid - Not Informed", I3134="Invalid - Ambiguous"), "Gap - Invalid Consent", "Compliant")))))</f>
        <v/>
      </c>
      <c r="O3134" s="7" t="n"/>
    </row>
    <row r="3135">
      <c r="A3135" s="7" t="n"/>
      <c r="B3135" s="7" t="n"/>
      <c r="C3135" s="7" t="n"/>
      <c r="D3135" s="7" t="n"/>
      <c r="E3135" s="7" t="n"/>
      <c r="F3135" s="7" t="n"/>
      <c r="G3135" s="7" t="n"/>
      <c r="H3135" s="7" t="n"/>
      <c r="I3135" s="7" t="n"/>
      <c r="J3135" s="7" t="n"/>
      <c r="K3135">
        <f>IF(D3135="Legitimate Interest (GDPR Art. 6(1)(f))", "Yes / Required (Sheet 3)", "")</f>
        <v/>
      </c>
      <c r="L3135" s="7" t="n"/>
      <c r="M3135" s="7" t="n"/>
      <c r="N3135">
        <f>IF(D3135="", "Gap - No Legal Basis", IF(AND(D3135="Consent (GDPR Art. 6(1)(a))", I3135="Not Captured"), "Gap - Invalid Consent", IF(AND(D3135="Legitimate Interest (GDPR Art. 6(1)(f))", L3135=""), "Gap - Missing LIA", IF(AND(G3135="Yes", H3135=""), "Gap - Missing Art. 9 Basis", IF(OR(I3135="Invalid - Not Freely Given", I3135="Invalid - Not Specific", I3135="Invalid - Not Informed", I3135="Invalid - Ambiguous"), "Gap - Invalid Consent", "Compliant")))))</f>
        <v/>
      </c>
      <c r="O3135" s="7" t="n"/>
    </row>
    <row r="3136">
      <c r="A3136" s="7" t="n"/>
      <c r="B3136" s="7" t="n"/>
      <c r="C3136" s="7" t="n"/>
      <c r="D3136" s="7" t="n"/>
      <c r="E3136" s="7" t="n"/>
      <c r="F3136" s="7" t="n"/>
      <c r="G3136" s="7" t="n"/>
      <c r="H3136" s="7" t="n"/>
      <c r="I3136" s="7" t="n"/>
      <c r="J3136" s="7" t="n"/>
      <c r="K3136">
        <f>IF(D3136="Legitimate Interest (GDPR Art. 6(1)(f))", "Yes / Required (Sheet 3)", "")</f>
        <v/>
      </c>
      <c r="L3136" s="7" t="n"/>
      <c r="M3136" s="7" t="n"/>
      <c r="N3136">
        <f>IF(D3136="", "Gap - No Legal Basis", IF(AND(D3136="Consent (GDPR Art. 6(1)(a))", I3136="Not Captured"), "Gap - Invalid Consent", IF(AND(D3136="Legitimate Interest (GDPR Art. 6(1)(f))", L3136=""), "Gap - Missing LIA", IF(AND(G3136="Yes", H3136=""), "Gap - Missing Art. 9 Basis", IF(OR(I3136="Invalid - Not Freely Given", I3136="Invalid - Not Specific", I3136="Invalid - Not Informed", I3136="Invalid - Ambiguous"), "Gap - Invalid Consent", "Compliant")))))</f>
        <v/>
      </c>
      <c r="O3136" s="7" t="n"/>
    </row>
    <row r="3137">
      <c r="A3137" s="7" t="n"/>
      <c r="B3137" s="7" t="n"/>
      <c r="C3137" s="7" t="n"/>
      <c r="D3137" s="7" t="n"/>
      <c r="E3137" s="7" t="n"/>
      <c r="F3137" s="7" t="n"/>
      <c r="G3137" s="7" t="n"/>
      <c r="H3137" s="7" t="n"/>
      <c r="I3137" s="7" t="n"/>
      <c r="J3137" s="7" t="n"/>
      <c r="K3137">
        <f>IF(D3137="Legitimate Interest (GDPR Art. 6(1)(f))", "Yes / Required (Sheet 3)", "")</f>
        <v/>
      </c>
      <c r="L3137" s="7" t="n"/>
      <c r="M3137" s="7" t="n"/>
      <c r="N3137">
        <f>IF(D3137="", "Gap - No Legal Basis", IF(AND(D3137="Consent (GDPR Art. 6(1)(a))", I3137="Not Captured"), "Gap - Invalid Consent", IF(AND(D3137="Legitimate Interest (GDPR Art. 6(1)(f))", L3137=""), "Gap - Missing LIA", IF(AND(G3137="Yes", H3137=""), "Gap - Missing Art. 9 Basis", IF(OR(I3137="Invalid - Not Freely Given", I3137="Invalid - Not Specific", I3137="Invalid - Not Informed", I3137="Invalid - Ambiguous"), "Gap - Invalid Consent", "Compliant")))))</f>
        <v/>
      </c>
      <c r="O3137" s="7" t="n"/>
    </row>
    <row r="3138">
      <c r="A3138" s="7" t="n"/>
      <c r="B3138" s="7" t="n"/>
      <c r="C3138" s="7" t="n"/>
      <c r="D3138" s="7" t="n"/>
      <c r="E3138" s="7" t="n"/>
      <c r="F3138" s="7" t="n"/>
      <c r="G3138" s="7" t="n"/>
      <c r="H3138" s="7" t="n"/>
      <c r="I3138" s="7" t="n"/>
      <c r="J3138" s="7" t="n"/>
      <c r="K3138">
        <f>IF(D3138="Legitimate Interest (GDPR Art. 6(1)(f))", "Yes / Required (Sheet 3)", "")</f>
        <v/>
      </c>
      <c r="L3138" s="7" t="n"/>
      <c r="M3138" s="7" t="n"/>
      <c r="N3138">
        <f>IF(D3138="", "Gap - No Legal Basis", IF(AND(D3138="Consent (GDPR Art. 6(1)(a))", I3138="Not Captured"), "Gap - Invalid Consent", IF(AND(D3138="Legitimate Interest (GDPR Art. 6(1)(f))", L3138=""), "Gap - Missing LIA", IF(AND(G3138="Yes", H3138=""), "Gap - Missing Art. 9 Basis", IF(OR(I3138="Invalid - Not Freely Given", I3138="Invalid - Not Specific", I3138="Invalid - Not Informed", I3138="Invalid - Ambiguous"), "Gap - Invalid Consent", "Compliant")))))</f>
        <v/>
      </c>
      <c r="O3138" s="7" t="n"/>
    </row>
    <row r="3139">
      <c r="A3139" s="7" t="n"/>
      <c r="B3139" s="7" t="n"/>
      <c r="C3139" s="7" t="n"/>
      <c r="D3139" s="7" t="n"/>
      <c r="E3139" s="7" t="n"/>
      <c r="F3139" s="7" t="n"/>
      <c r="G3139" s="7" t="n"/>
      <c r="H3139" s="7" t="n"/>
      <c r="I3139" s="7" t="n"/>
      <c r="J3139" s="7" t="n"/>
      <c r="K3139">
        <f>IF(D3139="Legitimate Interest (GDPR Art. 6(1)(f))", "Yes / Required (Sheet 3)", "")</f>
        <v/>
      </c>
      <c r="L3139" s="7" t="n"/>
      <c r="M3139" s="7" t="n"/>
      <c r="N3139">
        <f>IF(D3139="", "Gap - No Legal Basis", IF(AND(D3139="Consent (GDPR Art. 6(1)(a))", I3139="Not Captured"), "Gap - Invalid Consent", IF(AND(D3139="Legitimate Interest (GDPR Art. 6(1)(f))", L3139=""), "Gap - Missing LIA", IF(AND(G3139="Yes", H3139=""), "Gap - Missing Art. 9 Basis", IF(OR(I3139="Invalid - Not Freely Given", I3139="Invalid - Not Specific", I3139="Invalid - Not Informed", I3139="Invalid - Ambiguous"), "Gap - Invalid Consent", "Compliant")))))</f>
        <v/>
      </c>
      <c r="O3139" s="7" t="n"/>
    </row>
    <row r="3140">
      <c r="A3140" s="7" t="n"/>
      <c r="B3140" s="7" t="n"/>
      <c r="C3140" s="7" t="n"/>
      <c r="D3140" s="7" t="n"/>
      <c r="E3140" s="7" t="n"/>
      <c r="F3140" s="7" t="n"/>
      <c r="G3140" s="7" t="n"/>
      <c r="H3140" s="7" t="n"/>
      <c r="I3140" s="7" t="n"/>
      <c r="J3140" s="7" t="n"/>
      <c r="K3140">
        <f>IF(D3140="Legitimate Interest (GDPR Art. 6(1)(f))", "Yes / Required (Sheet 3)", "")</f>
        <v/>
      </c>
      <c r="L3140" s="7" t="n"/>
      <c r="M3140" s="7" t="n"/>
      <c r="N3140">
        <f>IF(D3140="", "Gap - No Legal Basis", IF(AND(D3140="Consent (GDPR Art. 6(1)(a))", I3140="Not Captured"), "Gap - Invalid Consent", IF(AND(D3140="Legitimate Interest (GDPR Art. 6(1)(f))", L3140=""), "Gap - Missing LIA", IF(AND(G3140="Yes", H3140=""), "Gap - Missing Art. 9 Basis", IF(OR(I3140="Invalid - Not Freely Given", I3140="Invalid - Not Specific", I3140="Invalid - Not Informed", I3140="Invalid - Ambiguous"), "Gap - Invalid Consent", "Compliant")))))</f>
        <v/>
      </c>
      <c r="O3140" s="7" t="n"/>
    </row>
    <row r="3141">
      <c r="A3141" s="7" t="n"/>
      <c r="B3141" s="7" t="n"/>
      <c r="C3141" s="7" t="n"/>
      <c r="D3141" s="7" t="n"/>
      <c r="E3141" s="7" t="n"/>
      <c r="F3141" s="7" t="n"/>
      <c r="G3141" s="7" t="n"/>
      <c r="H3141" s="7" t="n"/>
      <c r="I3141" s="7" t="n"/>
      <c r="J3141" s="7" t="n"/>
      <c r="K3141">
        <f>IF(D3141="Legitimate Interest (GDPR Art. 6(1)(f))", "Yes / Required (Sheet 3)", "")</f>
        <v/>
      </c>
      <c r="L3141" s="7" t="n"/>
      <c r="M3141" s="7" t="n"/>
      <c r="N3141">
        <f>IF(D3141="", "Gap - No Legal Basis", IF(AND(D3141="Consent (GDPR Art. 6(1)(a))", I3141="Not Captured"), "Gap - Invalid Consent", IF(AND(D3141="Legitimate Interest (GDPR Art. 6(1)(f))", L3141=""), "Gap - Missing LIA", IF(AND(G3141="Yes", H3141=""), "Gap - Missing Art. 9 Basis", IF(OR(I3141="Invalid - Not Freely Given", I3141="Invalid - Not Specific", I3141="Invalid - Not Informed", I3141="Invalid - Ambiguous"), "Gap - Invalid Consent", "Compliant")))))</f>
        <v/>
      </c>
      <c r="O3141" s="7" t="n"/>
    </row>
    <row r="3142">
      <c r="A3142" s="7" t="n"/>
      <c r="B3142" s="7" t="n"/>
      <c r="C3142" s="7" t="n"/>
      <c r="D3142" s="7" t="n"/>
      <c r="E3142" s="7" t="n"/>
      <c r="F3142" s="7" t="n"/>
      <c r="G3142" s="7" t="n"/>
      <c r="H3142" s="7" t="n"/>
      <c r="I3142" s="7" t="n"/>
      <c r="J3142" s="7" t="n"/>
      <c r="K3142">
        <f>IF(D3142="Legitimate Interest (GDPR Art. 6(1)(f))", "Yes / Required (Sheet 3)", "")</f>
        <v/>
      </c>
      <c r="L3142" s="7" t="n"/>
      <c r="M3142" s="7" t="n"/>
      <c r="N3142">
        <f>IF(D3142="", "Gap - No Legal Basis", IF(AND(D3142="Consent (GDPR Art. 6(1)(a))", I3142="Not Captured"), "Gap - Invalid Consent", IF(AND(D3142="Legitimate Interest (GDPR Art. 6(1)(f))", L3142=""), "Gap - Missing LIA", IF(AND(G3142="Yes", H3142=""), "Gap - Missing Art. 9 Basis", IF(OR(I3142="Invalid - Not Freely Given", I3142="Invalid - Not Specific", I3142="Invalid - Not Informed", I3142="Invalid - Ambiguous"), "Gap - Invalid Consent", "Compliant")))))</f>
        <v/>
      </c>
      <c r="O3142" s="7" t="n"/>
    </row>
    <row r="3143">
      <c r="A3143" s="7" t="n"/>
      <c r="B3143" s="7" t="n"/>
      <c r="C3143" s="7" t="n"/>
      <c r="D3143" s="7" t="n"/>
      <c r="E3143" s="7" t="n"/>
      <c r="F3143" s="7" t="n"/>
      <c r="G3143" s="7" t="n"/>
      <c r="H3143" s="7" t="n"/>
      <c r="I3143" s="7" t="n"/>
      <c r="J3143" s="7" t="n"/>
      <c r="K3143">
        <f>IF(D3143="Legitimate Interest (GDPR Art. 6(1)(f))", "Yes / Required (Sheet 3)", "")</f>
        <v/>
      </c>
      <c r="L3143" s="7" t="n"/>
      <c r="M3143" s="7" t="n"/>
      <c r="N3143">
        <f>IF(D3143="", "Gap - No Legal Basis", IF(AND(D3143="Consent (GDPR Art. 6(1)(a))", I3143="Not Captured"), "Gap - Invalid Consent", IF(AND(D3143="Legitimate Interest (GDPR Art. 6(1)(f))", L3143=""), "Gap - Missing LIA", IF(AND(G3143="Yes", H3143=""), "Gap - Missing Art. 9 Basis", IF(OR(I3143="Invalid - Not Freely Given", I3143="Invalid - Not Specific", I3143="Invalid - Not Informed", I3143="Invalid - Ambiguous"), "Gap - Invalid Consent", "Compliant")))))</f>
        <v/>
      </c>
      <c r="O3143" s="7" t="n"/>
    </row>
    <row r="3144">
      <c r="A3144" s="7" t="n"/>
      <c r="B3144" s="7" t="n"/>
      <c r="C3144" s="7" t="n"/>
      <c r="D3144" s="7" t="n"/>
      <c r="E3144" s="7" t="n"/>
      <c r="F3144" s="7" t="n"/>
      <c r="G3144" s="7" t="n"/>
      <c r="H3144" s="7" t="n"/>
      <c r="I3144" s="7" t="n"/>
      <c r="J3144" s="7" t="n"/>
      <c r="K3144">
        <f>IF(D3144="Legitimate Interest (GDPR Art. 6(1)(f))", "Yes / Required (Sheet 3)", "")</f>
        <v/>
      </c>
      <c r="L3144" s="7" t="n"/>
      <c r="M3144" s="7" t="n"/>
      <c r="N3144">
        <f>IF(D3144="", "Gap - No Legal Basis", IF(AND(D3144="Consent (GDPR Art. 6(1)(a))", I3144="Not Captured"), "Gap - Invalid Consent", IF(AND(D3144="Legitimate Interest (GDPR Art. 6(1)(f))", L3144=""), "Gap - Missing LIA", IF(AND(G3144="Yes", H3144=""), "Gap - Missing Art. 9 Basis", IF(OR(I3144="Invalid - Not Freely Given", I3144="Invalid - Not Specific", I3144="Invalid - Not Informed", I3144="Invalid - Ambiguous"), "Gap - Invalid Consent", "Compliant")))))</f>
        <v/>
      </c>
      <c r="O3144" s="7" t="n"/>
    </row>
    <row r="3145">
      <c r="A3145" s="7" t="n"/>
      <c r="B3145" s="7" t="n"/>
      <c r="C3145" s="7" t="n"/>
      <c r="D3145" s="7" t="n"/>
      <c r="E3145" s="7" t="n"/>
      <c r="F3145" s="7" t="n"/>
      <c r="G3145" s="7" t="n"/>
      <c r="H3145" s="7" t="n"/>
      <c r="I3145" s="7" t="n"/>
      <c r="J3145" s="7" t="n"/>
      <c r="K3145">
        <f>IF(D3145="Legitimate Interest (GDPR Art. 6(1)(f))", "Yes / Required (Sheet 3)", "")</f>
        <v/>
      </c>
      <c r="L3145" s="7" t="n"/>
      <c r="M3145" s="7" t="n"/>
      <c r="N3145">
        <f>IF(D3145="", "Gap - No Legal Basis", IF(AND(D3145="Consent (GDPR Art. 6(1)(a))", I3145="Not Captured"), "Gap - Invalid Consent", IF(AND(D3145="Legitimate Interest (GDPR Art. 6(1)(f))", L3145=""), "Gap - Missing LIA", IF(AND(G3145="Yes", H3145=""), "Gap - Missing Art. 9 Basis", IF(OR(I3145="Invalid - Not Freely Given", I3145="Invalid - Not Specific", I3145="Invalid - Not Informed", I3145="Invalid - Ambiguous"), "Gap - Invalid Consent", "Compliant")))))</f>
        <v/>
      </c>
      <c r="O3145" s="7" t="n"/>
    </row>
    <row r="3146">
      <c r="A3146" s="7" t="n"/>
      <c r="B3146" s="7" t="n"/>
      <c r="C3146" s="7" t="n"/>
      <c r="D3146" s="7" t="n"/>
      <c r="E3146" s="7" t="n"/>
      <c r="F3146" s="7" t="n"/>
      <c r="G3146" s="7" t="n"/>
      <c r="H3146" s="7" t="n"/>
      <c r="I3146" s="7" t="n"/>
      <c r="J3146" s="7" t="n"/>
      <c r="K3146">
        <f>IF(D3146="Legitimate Interest (GDPR Art. 6(1)(f))", "Yes / Required (Sheet 3)", "")</f>
        <v/>
      </c>
      <c r="L3146" s="7" t="n"/>
      <c r="M3146" s="7" t="n"/>
      <c r="N3146">
        <f>IF(D3146="", "Gap - No Legal Basis", IF(AND(D3146="Consent (GDPR Art. 6(1)(a))", I3146="Not Captured"), "Gap - Invalid Consent", IF(AND(D3146="Legitimate Interest (GDPR Art. 6(1)(f))", L3146=""), "Gap - Missing LIA", IF(AND(G3146="Yes", H3146=""), "Gap - Missing Art. 9 Basis", IF(OR(I3146="Invalid - Not Freely Given", I3146="Invalid - Not Specific", I3146="Invalid - Not Informed", I3146="Invalid - Ambiguous"), "Gap - Invalid Consent", "Compliant")))))</f>
        <v/>
      </c>
      <c r="O3146" s="7" t="n"/>
    </row>
    <row r="3147">
      <c r="A3147" s="7" t="n"/>
      <c r="B3147" s="7" t="n"/>
      <c r="C3147" s="7" t="n"/>
      <c r="D3147" s="7" t="n"/>
      <c r="E3147" s="7" t="n"/>
      <c r="F3147" s="7" t="n"/>
      <c r="G3147" s="7" t="n"/>
      <c r="H3147" s="7" t="n"/>
      <c r="I3147" s="7" t="n"/>
      <c r="J3147" s="7" t="n"/>
      <c r="K3147">
        <f>IF(D3147="Legitimate Interest (GDPR Art. 6(1)(f))", "Yes / Required (Sheet 3)", "")</f>
        <v/>
      </c>
      <c r="L3147" s="7" t="n"/>
      <c r="M3147" s="7" t="n"/>
      <c r="N3147">
        <f>IF(D3147="", "Gap - No Legal Basis", IF(AND(D3147="Consent (GDPR Art. 6(1)(a))", I3147="Not Captured"), "Gap - Invalid Consent", IF(AND(D3147="Legitimate Interest (GDPR Art. 6(1)(f))", L3147=""), "Gap - Missing LIA", IF(AND(G3147="Yes", H3147=""), "Gap - Missing Art. 9 Basis", IF(OR(I3147="Invalid - Not Freely Given", I3147="Invalid - Not Specific", I3147="Invalid - Not Informed", I3147="Invalid - Ambiguous"), "Gap - Invalid Consent", "Compliant")))))</f>
        <v/>
      </c>
      <c r="O3147" s="7" t="n"/>
    </row>
    <row r="3148">
      <c r="A3148" s="7" t="n"/>
      <c r="B3148" s="7" t="n"/>
      <c r="C3148" s="7" t="n"/>
      <c r="D3148" s="7" t="n"/>
      <c r="E3148" s="7" t="n"/>
      <c r="F3148" s="7" t="n"/>
      <c r="G3148" s="7" t="n"/>
      <c r="H3148" s="7" t="n"/>
      <c r="I3148" s="7" t="n"/>
      <c r="J3148" s="7" t="n"/>
      <c r="K3148">
        <f>IF(D3148="Legitimate Interest (GDPR Art. 6(1)(f))", "Yes / Required (Sheet 3)", "")</f>
        <v/>
      </c>
      <c r="L3148" s="7" t="n"/>
      <c r="M3148" s="7" t="n"/>
      <c r="N3148">
        <f>IF(D3148="", "Gap - No Legal Basis", IF(AND(D3148="Consent (GDPR Art. 6(1)(a))", I3148="Not Captured"), "Gap - Invalid Consent", IF(AND(D3148="Legitimate Interest (GDPR Art. 6(1)(f))", L3148=""), "Gap - Missing LIA", IF(AND(G3148="Yes", H3148=""), "Gap - Missing Art. 9 Basis", IF(OR(I3148="Invalid - Not Freely Given", I3148="Invalid - Not Specific", I3148="Invalid - Not Informed", I3148="Invalid - Ambiguous"), "Gap - Invalid Consent", "Compliant")))))</f>
        <v/>
      </c>
      <c r="O3148" s="7" t="n"/>
    </row>
    <row r="3149">
      <c r="A3149" s="7" t="n"/>
      <c r="B3149" s="7" t="n"/>
      <c r="C3149" s="7" t="n"/>
      <c r="D3149" s="7" t="n"/>
      <c r="E3149" s="7" t="n"/>
      <c r="F3149" s="7" t="n"/>
      <c r="G3149" s="7" t="n"/>
      <c r="H3149" s="7" t="n"/>
      <c r="I3149" s="7" t="n"/>
      <c r="J3149" s="7" t="n"/>
      <c r="K3149">
        <f>IF(D3149="Legitimate Interest (GDPR Art. 6(1)(f))", "Yes / Required (Sheet 3)", "")</f>
        <v/>
      </c>
      <c r="L3149" s="7" t="n"/>
      <c r="M3149" s="7" t="n"/>
      <c r="N3149">
        <f>IF(D3149="", "Gap - No Legal Basis", IF(AND(D3149="Consent (GDPR Art. 6(1)(a))", I3149="Not Captured"), "Gap - Invalid Consent", IF(AND(D3149="Legitimate Interest (GDPR Art. 6(1)(f))", L3149=""), "Gap - Missing LIA", IF(AND(G3149="Yes", H3149=""), "Gap - Missing Art. 9 Basis", IF(OR(I3149="Invalid - Not Freely Given", I3149="Invalid - Not Specific", I3149="Invalid - Not Informed", I3149="Invalid - Ambiguous"), "Gap - Invalid Consent", "Compliant")))))</f>
        <v/>
      </c>
      <c r="O3149" s="7" t="n"/>
    </row>
    <row r="3150">
      <c r="A3150" s="7" t="n"/>
      <c r="B3150" s="7" t="n"/>
      <c r="C3150" s="7" t="n"/>
      <c r="D3150" s="7" t="n"/>
      <c r="E3150" s="7" t="n"/>
      <c r="F3150" s="7" t="n"/>
      <c r="G3150" s="7" t="n"/>
      <c r="H3150" s="7" t="n"/>
      <c r="I3150" s="7" t="n"/>
      <c r="J3150" s="7" t="n"/>
      <c r="K3150">
        <f>IF(D3150="Legitimate Interest (GDPR Art. 6(1)(f))", "Yes / Required (Sheet 3)", "")</f>
        <v/>
      </c>
      <c r="L3150" s="7" t="n"/>
      <c r="M3150" s="7" t="n"/>
      <c r="N3150">
        <f>IF(D3150="", "Gap - No Legal Basis", IF(AND(D3150="Consent (GDPR Art. 6(1)(a))", I3150="Not Captured"), "Gap - Invalid Consent", IF(AND(D3150="Legitimate Interest (GDPR Art. 6(1)(f))", L3150=""), "Gap - Missing LIA", IF(AND(G3150="Yes", H3150=""), "Gap - Missing Art. 9 Basis", IF(OR(I3150="Invalid - Not Freely Given", I3150="Invalid - Not Specific", I3150="Invalid - Not Informed", I3150="Invalid - Ambiguous"), "Gap - Invalid Consent", "Compliant")))))</f>
        <v/>
      </c>
      <c r="O3150" s="7" t="n"/>
    </row>
    <row r="3151">
      <c r="A3151" s="7" t="n"/>
      <c r="B3151" s="7" t="n"/>
      <c r="C3151" s="7" t="n"/>
      <c r="D3151" s="7" t="n"/>
      <c r="E3151" s="7" t="n"/>
      <c r="F3151" s="7" t="n"/>
      <c r="G3151" s="7" t="n"/>
      <c r="H3151" s="7" t="n"/>
      <c r="I3151" s="7" t="n"/>
      <c r="J3151" s="7" t="n"/>
      <c r="K3151">
        <f>IF(D3151="Legitimate Interest (GDPR Art. 6(1)(f))", "Yes / Required (Sheet 3)", "")</f>
        <v/>
      </c>
      <c r="L3151" s="7" t="n"/>
      <c r="M3151" s="7" t="n"/>
      <c r="N3151">
        <f>IF(D3151="", "Gap - No Legal Basis", IF(AND(D3151="Consent (GDPR Art. 6(1)(a))", I3151="Not Captured"), "Gap - Invalid Consent", IF(AND(D3151="Legitimate Interest (GDPR Art. 6(1)(f))", L3151=""), "Gap - Missing LIA", IF(AND(G3151="Yes", H3151=""), "Gap - Missing Art. 9 Basis", IF(OR(I3151="Invalid - Not Freely Given", I3151="Invalid - Not Specific", I3151="Invalid - Not Informed", I3151="Invalid - Ambiguous"), "Gap - Invalid Consent", "Compliant")))))</f>
        <v/>
      </c>
      <c r="O3151" s="7" t="n"/>
    </row>
    <row r="3152">
      <c r="A3152" s="7" t="n"/>
      <c r="B3152" s="7" t="n"/>
      <c r="C3152" s="7" t="n"/>
      <c r="D3152" s="7" t="n"/>
      <c r="E3152" s="7" t="n"/>
      <c r="F3152" s="7" t="n"/>
      <c r="G3152" s="7" t="n"/>
      <c r="H3152" s="7" t="n"/>
      <c r="I3152" s="7" t="n"/>
      <c r="J3152" s="7" t="n"/>
      <c r="K3152">
        <f>IF(D3152="Legitimate Interest (GDPR Art. 6(1)(f))", "Yes / Required (Sheet 3)", "")</f>
        <v/>
      </c>
      <c r="L3152" s="7" t="n"/>
      <c r="M3152" s="7" t="n"/>
      <c r="N3152">
        <f>IF(D3152="", "Gap - No Legal Basis", IF(AND(D3152="Consent (GDPR Art. 6(1)(a))", I3152="Not Captured"), "Gap - Invalid Consent", IF(AND(D3152="Legitimate Interest (GDPR Art. 6(1)(f))", L3152=""), "Gap - Missing LIA", IF(AND(G3152="Yes", H3152=""), "Gap - Missing Art. 9 Basis", IF(OR(I3152="Invalid - Not Freely Given", I3152="Invalid - Not Specific", I3152="Invalid - Not Informed", I3152="Invalid - Ambiguous"), "Gap - Invalid Consent", "Compliant")))))</f>
        <v/>
      </c>
      <c r="O3152" s="7" t="n"/>
    </row>
    <row r="3153">
      <c r="A3153" s="7" t="n"/>
      <c r="B3153" s="7" t="n"/>
      <c r="C3153" s="7" t="n"/>
      <c r="D3153" s="7" t="n"/>
      <c r="E3153" s="7" t="n"/>
      <c r="F3153" s="7" t="n"/>
      <c r="G3153" s="7" t="n"/>
      <c r="H3153" s="7" t="n"/>
      <c r="I3153" s="7" t="n"/>
      <c r="J3153" s="7" t="n"/>
      <c r="K3153">
        <f>IF(D3153="Legitimate Interest (GDPR Art. 6(1)(f))", "Yes / Required (Sheet 3)", "")</f>
        <v/>
      </c>
      <c r="L3153" s="7" t="n"/>
      <c r="M3153" s="7" t="n"/>
      <c r="N3153">
        <f>IF(D3153="", "Gap - No Legal Basis", IF(AND(D3153="Consent (GDPR Art. 6(1)(a))", I3153="Not Captured"), "Gap - Invalid Consent", IF(AND(D3153="Legitimate Interest (GDPR Art. 6(1)(f))", L3153=""), "Gap - Missing LIA", IF(AND(G3153="Yes", H3153=""), "Gap - Missing Art. 9 Basis", IF(OR(I3153="Invalid - Not Freely Given", I3153="Invalid - Not Specific", I3153="Invalid - Not Informed", I3153="Invalid - Ambiguous"), "Gap - Invalid Consent", "Compliant")))))</f>
        <v/>
      </c>
      <c r="O3153" s="7" t="n"/>
    </row>
    <row r="3154">
      <c r="A3154" s="7" t="n"/>
      <c r="B3154" s="7" t="n"/>
      <c r="C3154" s="7" t="n"/>
      <c r="D3154" s="7" t="n"/>
      <c r="E3154" s="7" t="n"/>
      <c r="F3154" s="7" t="n"/>
      <c r="G3154" s="7" t="n"/>
      <c r="H3154" s="7" t="n"/>
      <c r="I3154" s="7" t="n"/>
      <c r="J3154" s="7" t="n"/>
      <c r="K3154">
        <f>IF(D3154="Legitimate Interest (GDPR Art. 6(1)(f))", "Yes / Required (Sheet 3)", "")</f>
        <v/>
      </c>
      <c r="L3154" s="7" t="n"/>
      <c r="M3154" s="7" t="n"/>
      <c r="N3154">
        <f>IF(D3154="", "Gap - No Legal Basis", IF(AND(D3154="Consent (GDPR Art. 6(1)(a))", I3154="Not Captured"), "Gap - Invalid Consent", IF(AND(D3154="Legitimate Interest (GDPR Art. 6(1)(f))", L3154=""), "Gap - Missing LIA", IF(AND(G3154="Yes", H3154=""), "Gap - Missing Art. 9 Basis", IF(OR(I3154="Invalid - Not Freely Given", I3154="Invalid - Not Specific", I3154="Invalid - Not Informed", I3154="Invalid - Ambiguous"), "Gap - Invalid Consent", "Compliant")))))</f>
        <v/>
      </c>
      <c r="O3154" s="7" t="n"/>
    </row>
    <row r="3155">
      <c r="A3155" s="7" t="n"/>
      <c r="B3155" s="7" t="n"/>
      <c r="C3155" s="7" t="n"/>
      <c r="D3155" s="7" t="n"/>
      <c r="E3155" s="7" t="n"/>
      <c r="F3155" s="7" t="n"/>
      <c r="G3155" s="7" t="n"/>
      <c r="H3155" s="7" t="n"/>
      <c r="I3155" s="7" t="n"/>
      <c r="J3155" s="7" t="n"/>
      <c r="K3155">
        <f>IF(D3155="Legitimate Interest (GDPR Art. 6(1)(f))", "Yes / Required (Sheet 3)", "")</f>
        <v/>
      </c>
      <c r="L3155" s="7" t="n"/>
      <c r="M3155" s="7" t="n"/>
      <c r="N3155">
        <f>IF(D3155="", "Gap - No Legal Basis", IF(AND(D3155="Consent (GDPR Art. 6(1)(a))", I3155="Not Captured"), "Gap - Invalid Consent", IF(AND(D3155="Legitimate Interest (GDPR Art. 6(1)(f))", L3155=""), "Gap - Missing LIA", IF(AND(G3155="Yes", H3155=""), "Gap - Missing Art. 9 Basis", IF(OR(I3155="Invalid - Not Freely Given", I3155="Invalid - Not Specific", I3155="Invalid - Not Informed", I3155="Invalid - Ambiguous"), "Gap - Invalid Consent", "Compliant")))))</f>
        <v/>
      </c>
      <c r="O3155" s="7" t="n"/>
    </row>
    <row r="3156">
      <c r="A3156" s="7" t="n"/>
      <c r="B3156" s="7" t="n"/>
      <c r="C3156" s="7" t="n"/>
      <c r="D3156" s="7" t="n"/>
      <c r="E3156" s="7" t="n"/>
      <c r="F3156" s="7" t="n"/>
      <c r="G3156" s="7" t="n"/>
      <c r="H3156" s="7" t="n"/>
      <c r="I3156" s="7" t="n"/>
      <c r="J3156" s="7" t="n"/>
      <c r="K3156">
        <f>IF(D3156="Legitimate Interest (GDPR Art. 6(1)(f))", "Yes / Required (Sheet 3)", "")</f>
        <v/>
      </c>
      <c r="L3156" s="7" t="n"/>
      <c r="M3156" s="7" t="n"/>
      <c r="N3156">
        <f>IF(D3156="", "Gap - No Legal Basis", IF(AND(D3156="Consent (GDPR Art. 6(1)(a))", I3156="Not Captured"), "Gap - Invalid Consent", IF(AND(D3156="Legitimate Interest (GDPR Art. 6(1)(f))", L3156=""), "Gap - Missing LIA", IF(AND(G3156="Yes", H3156=""), "Gap - Missing Art. 9 Basis", IF(OR(I3156="Invalid - Not Freely Given", I3156="Invalid - Not Specific", I3156="Invalid - Not Informed", I3156="Invalid - Ambiguous"), "Gap - Invalid Consent", "Compliant")))))</f>
        <v/>
      </c>
      <c r="O3156" s="7" t="n"/>
    </row>
    <row r="3157">
      <c r="A3157" s="7" t="n"/>
      <c r="B3157" s="7" t="n"/>
      <c r="C3157" s="7" t="n"/>
      <c r="D3157" s="7" t="n"/>
      <c r="E3157" s="7" t="n"/>
      <c r="F3157" s="7" t="n"/>
      <c r="G3157" s="7" t="n"/>
      <c r="H3157" s="7" t="n"/>
      <c r="I3157" s="7" t="n"/>
      <c r="J3157" s="7" t="n"/>
      <c r="K3157">
        <f>IF(D3157="Legitimate Interest (GDPR Art. 6(1)(f))", "Yes / Required (Sheet 3)", "")</f>
        <v/>
      </c>
      <c r="L3157" s="7" t="n"/>
      <c r="M3157" s="7" t="n"/>
      <c r="N3157">
        <f>IF(D3157="", "Gap - No Legal Basis", IF(AND(D3157="Consent (GDPR Art. 6(1)(a))", I3157="Not Captured"), "Gap - Invalid Consent", IF(AND(D3157="Legitimate Interest (GDPR Art. 6(1)(f))", L3157=""), "Gap - Missing LIA", IF(AND(G3157="Yes", H3157=""), "Gap - Missing Art. 9 Basis", IF(OR(I3157="Invalid - Not Freely Given", I3157="Invalid - Not Specific", I3157="Invalid - Not Informed", I3157="Invalid - Ambiguous"), "Gap - Invalid Consent", "Compliant")))))</f>
        <v/>
      </c>
      <c r="O3157" s="7" t="n"/>
    </row>
    <row r="3158">
      <c r="A3158" s="7" t="n"/>
      <c r="B3158" s="7" t="n"/>
      <c r="C3158" s="7" t="n"/>
      <c r="D3158" s="7" t="n"/>
      <c r="E3158" s="7" t="n"/>
      <c r="F3158" s="7" t="n"/>
      <c r="G3158" s="7" t="n"/>
      <c r="H3158" s="7" t="n"/>
      <c r="I3158" s="7" t="n"/>
      <c r="J3158" s="7" t="n"/>
      <c r="K3158">
        <f>IF(D3158="Legitimate Interest (GDPR Art. 6(1)(f))", "Yes / Required (Sheet 3)", "")</f>
        <v/>
      </c>
      <c r="L3158" s="7" t="n"/>
      <c r="M3158" s="7" t="n"/>
      <c r="N3158">
        <f>IF(D3158="", "Gap - No Legal Basis", IF(AND(D3158="Consent (GDPR Art. 6(1)(a))", I3158="Not Captured"), "Gap - Invalid Consent", IF(AND(D3158="Legitimate Interest (GDPR Art. 6(1)(f))", L3158=""), "Gap - Missing LIA", IF(AND(G3158="Yes", H3158=""), "Gap - Missing Art. 9 Basis", IF(OR(I3158="Invalid - Not Freely Given", I3158="Invalid - Not Specific", I3158="Invalid - Not Informed", I3158="Invalid - Ambiguous"), "Gap - Invalid Consent", "Compliant")))))</f>
        <v/>
      </c>
      <c r="O3158" s="7" t="n"/>
    </row>
    <row r="3159">
      <c r="A3159" s="7" t="n"/>
      <c r="B3159" s="7" t="n"/>
      <c r="C3159" s="7" t="n"/>
      <c r="D3159" s="7" t="n"/>
      <c r="E3159" s="7" t="n"/>
      <c r="F3159" s="7" t="n"/>
      <c r="G3159" s="7" t="n"/>
      <c r="H3159" s="7" t="n"/>
      <c r="I3159" s="7" t="n"/>
      <c r="J3159" s="7" t="n"/>
      <c r="K3159">
        <f>IF(D3159="Legitimate Interest (GDPR Art. 6(1)(f))", "Yes / Required (Sheet 3)", "")</f>
        <v/>
      </c>
      <c r="L3159" s="7" t="n"/>
      <c r="M3159" s="7" t="n"/>
      <c r="N3159">
        <f>IF(D3159="", "Gap - No Legal Basis", IF(AND(D3159="Consent (GDPR Art. 6(1)(a))", I3159="Not Captured"), "Gap - Invalid Consent", IF(AND(D3159="Legitimate Interest (GDPR Art. 6(1)(f))", L3159=""), "Gap - Missing LIA", IF(AND(G3159="Yes", H3159=""), "Gap - Missing Art. 9 Basis", IF(OR(I3159="Invalid - Not Freely Given", I3159="Invalid - Not Specific", I3159="Invalid - Not Informed", I3159="Invalid - Ambiguous"), "Gap - Invalid Consent", "Compliant")))))</f>
        <v/>
      </c>
      <c r="O3159" s="7" t="n"/>
    </row>
    <row r="3160">
      <c r="A3160" s="7" t="n"/>
      <c r="B3160" s="7" t="n"/>
      <c r="C3160" s="7" t="n"/>
      <c r="D3160" s="7" t="n"/>
      <c r="E3160" s="7" t="n"/>
      <c r="F3160" s="7" t="n"/>
      <c r="G3160" s="7" t="n"/>
      <c r="H3160" s="7" t="n"/>
      <c r="I3160" s="7" t="n"/>
      <c r="J3160" s="7" t="n"/>
      <c r="K3160">
        <f>IF(D3160="Legitimate Interest (GDPR Art. 6(1)(f))", "Yes / Required (Sheet 3)", "")</f>
        <v/>
      </c>
      <c r="L3160" s="7" t="n"/>
      <c r="M3160" s="7" t="n"/>
      <c r="N3160">
        <f>IF(D3160="", "Gap - No Legal Basis", IF(AND(D3160="Consent (GDPR Art. 6(1)(a))", I3160="Not Captured"), "Gap - Invalid Consent", IF(AND(D3160="Legitimate Interest (GDPR Art. 6(1)(f))", L3160=""), "Gap - Missing LIA", IF(AND(G3160="Yes", H3160=""), "Gap - Missing Art. 9 Basis", IF(OR(I3160="Invalid - Not Freely Given", I3160="Invalid - Not Specific", I3160="Invalid - Not Informed", I3160="Invalid - Ambiguous"), "Gap - Invalid Consent", "Compliant")))))</f>
        <v/>
      </c>
      <c r="O3160" s="7" t="n"/>
    </row>
    <row r="3161">
      <c r="A3161" s="7" t="n"/>
      <c r="B3161" s="7" t="n"/>
      <c r="C3161" s="7" t="n"/>
      <c r="D3161" s="7" t="n"/>
      <c r="E3161" s="7" t="n"/>
      <c r="F3161" s="7" t="n"/>
      <c r="G3161" s="7" t="n"/>
      <c r="H3161" s="7" t="n"/>
      <c r="I3161" s="7" t="n"/>
      <c r="J3161" s="7" t="n"/>
      <c r="K3161">
        <f>IF(D3161="Legitimate Interest (GDPR Art. 6(1)(f))", "Yes / Required (Sheet 3)", "")</f>
        <v/>
      </c>
      <c r="L3161" s="7" t="n"/>
      <c r="M3161" s="7" t="n"/>
      <c r="N3161">
        <f>IF(D3161="", "Gap - No Legal Basis", IF(AND(D3161="Consent (GDPR Art. 6(1)(a))", I3161="Not Captured"), "Gap - Invalid Consent", IF(AND(D3161="Legitimate Interest (GDPR Art. 6(1)(f))", L3161=""), "Gap - Missing LIA", IF(AND(G3161="Yes", H3161=""), "Gap - Missing Art. 9 Basis", IF(OR(I3161="Invalid - Not Freely Given", I3161="Invalid - Not Specific", I3161="Invalid - Not Informed", I3161="Invalid - Ambiguous"), "Gap - Invalid Consent", "Compliant")))))</f>
        <v/>
      </c>
      <c r="O3161" s="7" t="n"/>
    </row>
    <row r="3162">
      <c r="A3162" s="7" t="n"/>
      <c r="B3162" s="7" t="n"/>
      <c r="C3162" s="7" t="n"/>
      <c r="D3162" s="7" t="n"/>
      <c r="E3162" s="7" t="n"/>
      <c r="F3162" s="7" t="n"/>
      <c r="G3162" s="7" t="n"/>
      <c r="H3162" s="7" t="n"/>
      <c r="I3162" s="7" t="n"/>
      <c r="J3162" s="7" t="n"/>
      <c r="K3162">
        <f>IF(D3162="Legitimate Interest (GDPR Art. 6(1)(f))", "Yes / Required (Sheet 3)", "")</f>
        <v/>
      </c>
      <c r="L3162" s="7" t="n"/>
      <c r="M3162" s="7" t="n"/>
      <c r="N3162">
        <f>IF(D3162="", "Gap - No Legal Basis", IF(AND(D3162="Consent (GDPR Art. 6(1)(a))", I3162="Not Captured"), "Gap - Invalid Consent", IF(AND(D3162="Legitimate Interest (GDPR Art. 6(1)(f))", L3162=""), "Gap - Missing LIA", IF(AND(G3162="Yes", H3162=""), "Gap - Missing Art. 9 Basis", IF(OR(I3162="Invalid - Not Freely Given", I3162="Invalid - Not Specific", I3162="Invalid - Not Informed", I3162="Invalid - Ambiguous"), "Gap - Invalid Consent", "Compliant")))))</f>
        <v/>
      </c>
      <c r="O3162" s="7" t="n"/>
    </row>
    <row r="3163">
      <c r="A3163" s="7" t="n"/>
      <c r="B3163" s="7" t="n"/>
      <c r="C3163" s="7" t="n"/>
      <c r="D3163" s="7" t="n"/>
      <c r="E3163" s="7" t="n"/>
      <c r="F3163" s="7" t="n"/>
      <c r="G3163" s="7" t="n"/>
      <c r="H3163" s="7" t="n"/>
      <c r="I3163" s="7" t="n"/>
      <c r="J3163" s="7" t="n"/>
      <c r="K3163">
        <f>IF(D3163="Legitimate Interest (GDPR Art. 6(1)(f))", "Yes / Required (Sheet 3)", "")</f>
        <v/>
      </c>
      <c r="L3163" s="7" t="n"/>
      <c r="M3163" s="7" t="n"/>
      <c r="N3163">
        <f>IF(D3163="", "Gap - No Legal Basis", IF(AND(D3163="Consent (GDPR Art. 6(1)(a))", I3163="Not Captured"), "Gap - Invalid Consent", IF(AND(D3163="Legitimate Interest (GDPR Art. 6(1)(f))", L3163=""), "Gap - Missing LIA", IF(AND(G3163="Yes", H3163=""), "Gap - Missing Art. 9 Basis", IF(OR(I3163="Invalid - Not Freely Given", I3163="Invalid - Not Specific", I3163="Invalid - Not Informed", I3163="Invalid - Ambiguous"), "Gap - Invalid Consent", "Compliant")))))</f>
        <v/>
      </c>
      <c r="O3163" s="7" t="n"/>
    </row>
    <row r="3164">
      <c r="A3164" s="7" t="n"/>
      <c r="B3164" s="7" t="n"/>
      <c r="C3164" s="7" t="n"/>
      <c r="D3164" s="7" t="n"/>
      <c r="E3164" s="7" t="n"/>
      <c r="F3164" s="7" t="n"/>
      <c r="G3164" s="7" t="n"/>
      <c r="H3164" s="7" t="n"/>
      <c r="I3164" s="7" t="n"/>
      <c r="J3164" s="7" t="n"/>
      <c r="K3164">
        <f>IF(D3164="Legitimate Interest (GDPR Art. 6(1)(f))", "Yes / Required (Sheet 3)", "")</f>
        <v/>
      </c>
      <c r="L3164" s="7" t="n"/>
      <c r="M3164" s="7" t="n"/>
      <c r="N3164">
        <f>IF(D3164="", "Gap - No Legal Basis", IF(AND(D3164="Consent (GDPR Art. 6(1)(a))", I3164="Not Captured"), "Gap - Invalid Consent", IF(AND(D3164="Legitimate Interest (GDPR Art. 6(1)(f))", L3164=""), "Gap - Missing LIA", IF(AND(G3164="Yes", H3164=""), "Gap - Missing Art. 9 Basis", IF(OR(I3164="Invalid - Not Freely Given", I3164="Invalid - Not Specific", I3164="Invalid - Not Informed", I3164="Invalid - Ambiguous"), "Gap - Invalid Consent", "Compliant")))))</f>
        <v/>
      </c>
      <c r="O3164" s="7" t="n"/>
    </row>
    <row r="3165">
      <c r="A3165" s="7" t="n"/>
      <c r="B3165" s="7" t="n"/>
      <c r="C3165" s="7" t="n"/>
      <c r="D3165" s="7" t="n"/>
      <c r="E3165" s="7" t="n"/>
      <c r="F3165" s="7" t="n"/>
      <c r="G3165" s="7" t="n"/>
      <c r="H3165" s="7" t="n"/>
      <c r="I3165" s="7" t="n"/>
      <c r="J3165" s="7" t="n"/>
      <c r="K3165">
        <f>IF(D3165="Legitimate Interest (GDPR Art. 6(1)(f))", "Yes / Required (Sheet 3)", "")</f>
        <v/>
      </c>
      <c r="L3165" s="7" t="n"/>
      <c r="M3165" s="7" t="n"/>
      <c r="N3165">
        <f>IF(D3165="", "Gap - No Legal Basis", IF(AND(D3165="Consent (GDPR Art. 6(1)(a))", I3165="Not Captured"), "Gap - Invalid Consent", IF(AND(D3165="Legitimate Interest (GDPR Art. 6(1)(f))", L3165=""), "Gap - Missing LIA", IF(AND(G3165="Yes", H3165=""), "Gap - Missing Art. 9 Basis", IF(OR(I3165="Invalid - Not Freely Given", I3165="Invalid - Not Specific", I3165="Invalid - Not Informed", I3165="Invalid - Ambiguous"), "Gap - Invalid Consent", "Compliant")))))</f>
        <v/>
      </c>
      <c r="O3165" s="7" t="n"/>
    </row>
    <row r="3166">
      <c r="A3166" s="7" t="n"/>
      <c r="B3166" s="7" t="n"/>
      <c r="C3166" s="7" t="n"/>
      <c r="D3166" s="7" t="n"/>
      <c r="E3166" s="7" t="n"/>
      <c r="F3166" s="7" t="n"/>
      <c r="G3166" s="7" t="n"/>
      <c r="H3166" s="7" t="n"/>
      <c r="I3166" s="7" t="n"/>
      <c r="J3166" s="7" t="n"/>
      <c r="K3166">
        <f>IF(D3166="Legitimate Interest (GDPR Art. 6(1)(f))", "Yes / Required (Sheet 3)", "")</f>
        <v/>
      </c>
      <c r="L3166" s="7" t="n"/>
      <c r="M3166" s="7" t="n"/>
      <c r="N3166">
        <f>IF(D3166="", "Gap - No Legal Basis", IF(AND(D3166="Consent (GDPR Art. 6(1)(a))", I3166="Not Captured"), "Gap - Invalid Consent", IF(AND(D3166="Legitimate Interest (GDPR Art. 6(1)(f))", L3166=""), "Gap - Missing LIA", IF(AND(G3166="Yes", H3166=""), "Gap - Missing Art. 9 Basis", IF(OR(I3166="Invalid - Not Freely Given", I3166="Invalid - Not Specific", I3166="Invalid - Not Informed", I3166="Invalid - Ambiguous"), "Gap - Invalid Consent", "Compliant")))))</f>
        <v/>
      </c>
      <c r="O3166" s="7" t="n"/>
    </row>
    <row r="3167">
      <c r="A3167" s="7" t="n"/>
      <c r="B3167" s="7" t="n"/>
      <c r="C3167" s="7" t="n"/>
      <c r="D3167" s="7" t="n"/>
      <c r="E3167" s="7" t="n"/>
      <c r="F3167" s="7" t="n"/>
      <c r="G3167" s="7" t="n"/>
      <c r="H3167" s="7" t="n"/>
      <c r="I3167" s="7" t="n"/>
      <c r="J3167" s="7" t="n"/>
      <c r="K3167">
        <f>IF(D3167="Legitimate Interest (GDPR Art. 6(1)(f))", "Yes / Required (Sheet 3)", "")</f>
        <v/>
      </c>
      <c r="L3167" s="7" t="n"/>
      <c r="M3167" s="7" t="n"/>
      <c r="N3167">
        <f>IF(D3167="", "Gap - No Legal Basis", IF(AND(D3167="Consent (GDPR Art. 6(1)(a))", I3167="Not Captured"), "Gap - Invalid Consent", IF(AND(D3167="Legitimate Interest (GDPR Art. 6(1)(f))", L3167=""), "Gap - Missing LIA", IF(AND(G3167="Yes", H3167=""), "Gap - Missing Art. 9 Basis", IF(OR(I3167="Invalid - Not Freely Given", I3167="Invalid - Not Specific", I3167="Invalid - Not Informed", I3167="Invalid - Ambiguous"), "Gap - Invalid Consent", "Compliant")))))</f>
        <v/>
      </c>
      <c r="O3167" s="7" t="n"/>
    </row>
    <row r="3168">
      <c r="A3168" s="7" t="n"/>
      <c r="B3168" s="7" t="n"/>
      <c r="C3168" s="7" t="n"/>
      <c r="D3168" s="7" t="n"/>
      <c r="E3168" s="7" t="n"/>
      <c r="F3168" s="7" t="n"/>
      <c r="G3168" s="7" t="n"/>
      <c r="H3168" s="7" t="n"/>
      <c r="I3168" s="7" t="n"/>
      <c r="J3168" s="7" t="n"/>
      <c r="K3168">
        <f>IF(D3168="Legitimate Interest (GDPR Art. 6(1)(f))", "Yes / Required (Sheet 3)", "")</f>
        <v/>
      </c>
      <c r="L3168" s="7" t="n"/>
      <c r="M3168" s="7" t="n"/>
      <c r="N3168">
        <f>IF(D3168="", "Gap - No Legal Basis", IF(AND(D3168="Consent (GDPR Art. 6(1)(a))", I3168="Not Captured"), "Gap - Invalid Consent", IF(AND(D3168="Legitimate Interest (GDPR Art. 6(1)(f))", L3168=""), "Gap - Missing LIA", IF(AND(G3168="Yes", H3168=""), "Gap - Missing Art. 9 Basis", IF(OR(I3168="Invalid - Not Freely Given", I3168="Invalid - Not Specific", I3168="Invalid - Not Informed", I3168="Invalid - Ambiguous"), "Gap - Invalid Consent", "Compliant")))))</f>
        <v/>
      </c>
      <c r="O3168" s="7" t="n"/>
    </row>
    <row r="3169">
      <c r="A3169" s="7" t="n"/>
      <c r="B3169" s="7" t="n"/>
      <c r="C3169" s="7" t="n"/>
      <c r="D3169" s="7" t="n"/>
      <c r="E3169" s="7" t="n"/>
      <c r="F3169" s="7" t="n"/>
      <c r="G3169" s="7" t="n"/>
      <c r="H3169" s="7" t="n"/>
      <c r="I3169" s="7" t="n"/>
      <c r="J3169" s="7" t="n"/>
      <c r="K3169">
        <f>IF(D3169="Legitimate Interest (GDPR Art. 6(1)(f))", "Yes / Required (Sheet 3)", "")</f>
        <v/>
      </c>
      <c r="L3169" s="7" t="n"/>
      <c r="M3169" s="7" t="n"/>
      <c r="N3169">
        <f>IF(D3169="", "Gap - No Legal Basis", IF(AND(D3169="Consent (GDPR Art. 6(1)(a))", I3169="Not Captured"), "Gap - Invalid Consent", IF(AND(D3169="Legitimate Interest (GDPR Art. 6(1)(f))", L3169=""), "Gap - Missing LIA", IF(AND(G3169="Yes", H3169=""), "Gap - Missing Art. 9 Basis", IF(OR(I3169="Invalid - Not Freely Given", I3169="Invalid - Not Specific", I3169="Invalid - Not Informed", I3169="Invalid - Ambiguous"), "Gap - Invalid Consent", "Compliant")))))</f>
        <v/>
      </c>
      <c r="O3169" s="7" t="n"/>
    </row>
    <row r="3170">
      <c r="A3170" s="7" t="n"/>
      <c r="B3170" s="7" t="n"/>
      <c r="C3170" s="7" t="n"/>
      <c r="D3170" s="7" t="n"/>
      <c r="E3170" s="7" t="n"/>
      <c r="F3170" s="7" t="n"/>
      <c r="G3170" s="7" t="n"/>
      <c r="H3170" s="7" t="n"/>
      <c r="I3170" s="7" t="n"/>
      <c r="J3170" s="7" t="n"/>
      <c r="K3170">
        <f>IF(D3170="Legitimate Interest (GDPR Art. 6(1)(f))", "Yes / Required (Sheet 3)", "")</f>
        <v/>
      </c>
      <c r="L3170" s="7" t="n"/>
      <c r="M3170" s="7" t="n"/>
      <c r="N3170">
        <f>IF(D3170="", "Gap - No Legal Basis", IF(AND(D3170="Consent (GDPR Art. 6(1)(a))", I3170="Not Captured"), "Gap - Invalid Consent", IF(AND(D3170="Legitimate Interest (GDPR Art. 6(1)(f))", L3170=""), "Gap - Missing LIA", IF(AND(G3170="Yes", H3170=""), "Gap - Missing Art. 9 Basis", IF(OR(I3170="Invalid - Not Freely Given", I3170="Invalid - Not Specific", I3170="Invalid - Not Informed", I3170="Invalid - Ambiguous"), "Gap - Invalid Consent", "Compliant")))))</f>
        <v/>
      </c>
      <c r="O3170" s="7" t="n"/>
    </row>
    <row r="3171">
      <c r="A3171" s="7" t="n"/>
      <c r="B3171" s="7" t="n"/>
      <c r="C3171" s="7" t="n"/>
      <c r="D3171" s="7" t="n"/>
      <c r="E3171" s="7" t="n"/>
      <c r="F3171" s="7" t="n"/>
      <c r="G3171" s="7" t="n"/>
      <c r="H3171" s="7" t="n"/>
      <c r="I3171" s="7" t="n"/>
      <c r="J3171" s="7" t="n"/>
      <c r="K3171">
        <f>IF(D3171="Legitimate Interest (GDPR Art. 6(1)(f))", "Yes / Required (Sheet 3)", "")</f>
        <v/>
      </c>
      <c r="L3171" s="7" t="n"/>
      <c r="M3171" s="7" t="n"/>
      <c r="N3171">
        <f>IF(D3171="", "Gap - No Legal Basis", IF(AND(D3171="Consent (GDPR Art. 6(1)(a))", I3171="Not Captured"), "Gap - Invalid Consent", IF(AND(D3171="Legitimate Interest (GDPR Art. 6(1)(f))", L3171=""), "Gap - Missing LIA", IF(AND(G3171="Yes", H3171=""), "Gap - Missing Art. 9 Basis", IF(OR(I3171="Invalid - Not Freely Given", I3171="Invalid - Not Specific", I3171="Invalid - Not Informed", I3171="Invalid - Ambiguous"), "Gap - Invalid Consent", "Compliant")))))</f>
        <v/>
      </c>
      <c r="O3171" s="7" t="n"/>
    </row>
    <row r="3172">
      <c r="A3172" s="7" t="n"/>
      <c r="B3172" s="7" t="n"/>
      <c r="C3172" s="7" t="n"/>
      <c r="D3172" s="7" t="n"/>
      <c r="E3172" s="7" t="n"/>
      <c r="F3172" s="7" t="n"/>
      <c r="G3172" s="7" t="n"/>
      <c r="H3172" s="7" t="n"/>
      <c r="I3172" s="7" t="n"/>
      <c r="J3172" s="7" t="n"/>
      <c r="K3172">
        <f>IF(D3172="Legitimate Interest (GDPR Art. 6(1)(f))", "Yes / Required (Sheet 3)", "")</f>
        <v/>
      </c>
      <c r="L3172" s="7" t="n"/>
      <c r="M3172" s="7" t="n"/>
      <c r="N3172">
        <f>IF(D3172="", "Gap - No Legal Basis", IF(AND(D3172="Consent (GDPR Art. 6(1)(a))", I3172="Not Captured"), "Gap - Invalid Consent", IF(AND(D3172="Legitimate Interest (GDPR Art. 6(1)(f))", L3172=""), "Gap - Missing LIA", IF(AND(G3172="Yes", H3172=""), "Gap - Missing Art. 9 Basis", IF(OR(I3172="Invalid - Not Freely Given", I3172="Invalid - Not Specific", I3172="Invalid - Not Informed", I3172="Invalid - Ambiguous"), "Gap - Invalid Consent", "Compliant")))))</f>
        <v/>
      </c>
      <c r="O3172" s="7" t="n"/>
    </row>
    <row r="3173">
      <c r="A3173" s="7" t="n"/>
      <c r="B3173" s="7" t="n"/>
      <c r="C3173" s="7" t="n"/>
      <c r="D3173" s="7" t="n"/>
      <c r="E3173" s="7" t="n"/>
      <c r="F3173" s="7" t="n"/>
      <c r="G3173" s="7" t="n"/>
      <c r="H3173" s="7" t="n"/>
      <c r="I3173" s="7" t="n"/>
      <c r="J3173" s="7" t="n"/>
      <c r="K3173">
        <f>IF(D3173="Legitimate Interest (GDPR Art. 6(1)(f))", "Yes / Required (Sheet 3)", "")</f>
        <v/>
      </c>
      <c r="L3173" s="7" t="n"/>
      <c r="M3173" s="7" t="n"/>
      <c r="N3173">
        <f>IF(D3173="", "Gap - No Legal Basis", IF(AND(D3173="Consent (GDPR Art. 6(1)(a))", I3173="Not Captured"), "Gap - Invalid Consent", IF(AND(D3173="Legitimate Interest (GDPR Art. 6(1)(f))", L3173=""), "Gap - Missing LIA", IF(AND(G3173="Yes", H3173=""), "Gap - Missing Art. 9 Basis", IF(OR(I3173="Invalid - Not Freely Given", I3173="Invalid - Not Specific", I3173="Invalid - Not Informed", I3173="Invalid - Ambiguous"), "Gap - Invalid Consent", "Compliant")))))</f>
        <v/>
      </c>
      <c r="O3173" s="7" t="n"/>
    </row>
    <row r="3174">
      <c r="A3174" s="7" t="n"/>
      <c r="B3174" s="7" t="n"/>
      <c r="C3174" s="7" t="n"/>
      <c r="D3174" s="7" t="n"/>
      <c r="E3174" s="7" t="n"/>
      <c r="F3174" s="7" t="n"/>
      <c r="G3174" s="7" t="n"/>
      <c r="H3174" s="7" t="n"/>
      <c r="I3174" s="7" t="n"/>
      <c r="J3174" s="7" t="n"/>
      <c r="K3174">
        <f>IF(D3174="Legitimate Interest (GDPR Art. 6(1)(f))", "Yes / Required (Sheet 3)", "")</f>
        <v/>
      </c>
      <c r="L3174" s="7" t="n"/>
      <c r="M3174" s="7" t="n"/>
      <c r="N3174">
        <f>IF(D3174="", "Gap - No Legal Basis", IF(AND(D3174="Consent (GDPR Art. 6(1)(a))", I3174="Not Captured"), "Gap - Invalid Consent", IF(AND(D3174="Legitimate Interest (GDPR Art. 6(1)(f))", L3174=""), "Gap - Missing LIA", IF(AND(G3174="Yes", H3174=""), "Gap - Missing Art. 9 Basis", IF(OR(I3174="Invalid - Not Freely Given", I3174="Invalid - Not Specific", I3174="Invalid - Not Informed", I3174="Invalid - Ambiguous"), "Gap - Invalid Consent", "Compliant")))))</f>
        <v/>
      </c>
      <c r="O3174" s="7" t="n"/>
    </row>
    <row r="3175">
      <c r="A3175" s="7" t="n"/>
      <c r="B3175" s="7" t="n"/>
      <c r="C3175" s="7" t="n"/>
      <c r="D3175" s="7" t="n"/>
      <c r="E3175" s="7" t="n"/>
      <c r="F3175" s="7" t="n"/>
      <c r="G3175" s="7" t="n"/>
      <c r="H3175" s="7" t="n"/>
      <c r="I3175" s="7" t="n"/>
      <c r="J3175" s="7" t="n"/>
      <c r="K3175">
        <f>IF(D3175="Legitimate Interest (GDPR Art. 6(1)(f))", "Yes / Required (Sheet 3)", "")</f>
        <v/>
      </c>
      <c r="L3175" s="7" t="n"/>
      <c r="M3175" s="7" t="n"/>
      <c r="N3175">
        <f>IF(D3175="", "Gap - No Legal Basis", IF(AND(D3175="Consent (GDPR Art. 6(1)(a))", I3175="Not Captured"), "Gap - Invalid Consent", IF(AND(D3175="Legitimate Interest (GDPR Art. 6(1)(f))", L3175=""), "Gap - Missing LIA", IF(AND(G3175="Yes", H3175=""), "Gap - Missing Art. 9 Basis", IF(OR(I3175="Invalid - Not Freely Given", I3175="Invalid - Not Specific", I3175="Invalid - Not Informed", I3175="Invalid - Ambiguous"), "Gap - Invalid Consent", "Compliant")))))</f>
        <v/>
      </c>
      <c r="O3175" s="7" t="n"/>
    </row>
    <row r="3176">
      <c r="A3176" s="7" t="n"/>
      <c r="B3176" s="7" t="n"/>
      <c r="C3176" s="7" t="n"/>
      <c r="D3176" s="7" t="n"/>
      <c r="E3176" s="7" t="n"/>
      <c r="F3176" s="7" t="n"/>
      <c r="G3176" s="7" t="n"/>
      <c r="H3176" s="7" t="n"/>
      <c r="I3176" s="7" t="n"/>
      <c r="J3176" s="7" t="n"/>
      <c r="K3176">
        <f>IF(D3176="Legitimate Interest (GDPR Art. 6(1)(f))", "Yes / Required (Sheet 3)", "")</f>
        <v/>
      </c>
      <c r="L3176" s="7" t="n"/>
      <c r="M3176" s="7" t="n"/>
      <c r="N3176">
        <f>IF(D3176="", "Gap - No Legal Basis", IF(AND(D3176="Consent (GDPR Art. 6(1)(a))", I3176="Not Captured"), "Gap - Invalid Consent", IF(AND(D3176="Legitimate Interest (GDPR Art. 6(1)(f))", L3176=""), "Gap - Missing LIA", IF(AND(G3176="Yes", H3176=""), "Gap - Missing Art. 9 Basis", IF(OR(I3176="Invalid - Not Freely Given", I3176="Invalid - Not Specific", I3176="Invalid - Not Informed", I3176="Invalid - Ambiguous"), "Gap - Invalid Consent", "Compliant")))))</f>
        <v/>
      </c>
      <c r="O3176" s="7" t="n"/>
    </row>
    <row r="3177">
      <c r="A3177" s="7" t="n"/>
      <c r="B3177" s="7" t="n"/>
      <c r="C3177" s="7" t="n"/>
      <c r="D3177" s="7" t="n"/>
      <c r="E3177" s="7" t="n"/>
      <c r="F3177" s="7" t="n"/>
      <c r="G3177" s="7" t="n"/>
      <c r="H3177" s="7" t="n"/>
      <c r="I3177" s="7" t="n"/>
      <c r="J3177" s="7" t="n"/>
      <c r="K3177">
        <f>IF(D3177="Legitimate Interest (GDPR Art. 6(1)(f))", "Yes / Required (Sheet 3)", "")</f>
        <v/>
      </c>
      <c r="L3177" s="7" t="n"/>
      <c r="M3177" s="7" t="n"/>
      <c r="N3177">
        <f>IF(D3177="", "Gap - No Legal Basis", IF(AND(D3177="Consent (GDPR Art. 6(1)(a))", I3177="Not Captured"), "Gap - Invalid Consent", IF(AND(D3177="Legitimate Interest (GDPR Art. 6(1)(f))", L3177=""), "Gap - Missing LIA", IF(AND(G3177="Yes", H3177=""), "Gap - Missing Art. 9 Basis", IF(OR(I3177="Invalid - Not Freely Given", I3177="Invalid - Not Specific", I3177="Invalid - Not Informed", I3177="Invalid - Ambiguous"), "Gap - Invalid Consent", "Compliant")))))</f>
        <v/>
      </c>
      <c r="O3177" s="7" t="n"/>
    </row>
    <row r="3178">
      <c r="A3178" s="7" t="n"/>
      <c r="B3178" s="7" t="n"/>
      <c r="C3178" s="7" t="n"/>
      <c r="D3178" s="7" t="n"/>
      <c r="E3178" s="7" t="n"/>
      <c r="F3178" s="7" t="n"/>
      <c r="G3178" s="7" t="n"/>
      <c r="H3178" s="7" t="n"/>
      <c r="I3178" s="7" t="n"/>
      <c r="J3178" s="7" t="n"/>
      <c r="K3178">
        <f>IF(D3178="Legitimate Interest (GDPR Art. 6(1)(f))", "Yes / Required (Sheet 3)", "")</f>
        <v/>
      </c>
      <c r="L3178" s="7" t="n"/>
      <c r="M3178" s="7" t="n"/>
      <c r="N3178">
        <f>IF(D3178="", "Gap - No Legal Basis", IF(AND(D3178="Consent (GDPR Art. 6(1)(a))", I3178="Not Captured"), "Gap - Invalid Consent", IF(AND(D3178="Legitimate Interest (GDPR Art. 6(1)(f))", L3178=""), "Gap - Missing LIA", IF(AND(G3178="Yes", H3178=""), "Gap - Missing Art. 9 Basis", IF(OR(I3178="Invalid - Not Freely Given", I3178="Invalid - Not Specific", I3178="Invalid - Not Informed", I3178="Invalid - Ambiguous"), "Gap - Invalid Consent", "Compliant")))))</f>
        <v/>
      </c>
      <c r="O3178" s="7" t="n"/>
    </row>
    <row r="3179">
      <c r="A3179" s="7" t="n"/>
      <c r="B3179" s="7" t="n"/>
      <c r="C3179" s="7" t="n"/>
      <c r="D3179" s="7" t="n"/>
      <c r="E3179" s="7" t="n"/>
      <c r="F3179" s="7" t="n"/>
      <c r="G3179" s="7" t="n"/>
      <c r="H3179" s="7" t="n"/>
      <c r="I3179" s="7" t="n"/>
      <c r="J3179" s="7" t="n"/>
      <c r="K3179">
        <f>IF(D3179="Legitimate Interest (GDPR Art. 6(1)(f))", "Yes / Required (Sheet 3)", "")</f>
        <v/>
      </c>
      <c r="L3179" s="7" t="n"/>
      <c r="M3179" s="7" t="n"/>
      <c r="N3179">
        <f>IF(D3179="", "Gap - No Legal Basis", IF(AND(D3179="Consent (GDPR Art. 6(1)(a))", I3179="Not Captured"), "Gap - Invalid Consent", IF(AND(D3179="Legitimate Interest (GDPR Art. 6(1)(f))", L3179=""), "Gap - Missing LIA", IF(AND(G3179="Yes", H3179=""), "Gap - Missing Art. 9 Basis", IF(OR(I3179="Invalid - Not Freely Given", I3179="Invalid - Not Specific", I3179="Invalid - Not Informed", I3179="Invalid - Ambiguous"), "Gap - Invalid Consent", "Compliant")))))</f>
        <v/>
      </c>
      <c r="O3179" s="7" t="n"/>
    </row>
    <row r="3180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7" t="n"/>
      <c r="J3180" s="7" t="n"/>
      <c r="K3180">
        <f>IF(D3180="Legitimate Interest (GDPR Art. 6(1)(f))", "Yes / Required (Sheet 3)", "")</f>
        <v/>
      </c>
      <c r="L3180" s="7" t="n"/>
      <c r="M3180" s="7" t="n"/>
      <c r="N3180">
        <f>IF(D3180="", "Gap - No Legal Basis", IF(AND(D3180="Consent (GDPR Art. 6(1)(a))", I3180="Not Captured"), "Gap - Invalid Consent", IF(AND(D3180="Legitimate Interest (GDPR Art. 6(1)(f))", L3180=""), "Gap - Missing LIA", IF(AND(G3180="Yes", H3180=""), "Gap - Missing Art. 9 Basis", IF(OR(I3180="Invalid - Not Freely Given", I3180="Invalid - Not Specific", I3180="Invalid - Not Informed", I3180="Invalid - Ambiguous"), "Gap - Invalid Consent", "Compliant")))))</f>
        <v/>
      </c>
      <c r="O3180" s="7" t="n"/>
    </row>
    <row r="3181">
      <c r="A3181" s="7" t="n"/>
      <c r="B3181" s="7" t="n"/>
      <c r="C3181" s="7" t="n"/>
      <c r="D3181" s="7" t="n"/>
      <c r="E3181" s="7" t="n"/>
      <c r="F3181" s="7" t="n"/>
      <c r="G3181" s="7" t="n"/>
      <c r="H3181" s="7" t="n"/>
      <c r="I3181" s="7" t="n"/>
      <c r="J3181" s="7" t="n"/>
      <c r="K3181">
        <f>IF(D3181="Legitimate Interest (GDPR Art. 6(1)(f))", "Yes / Required (Sheet 3)", "")</f>
        <v/>
      </c>
      <c r="L3181" s="7" t="n"/>
      <c r="M3181" s="7" t="n"/>
      <c r="N3181">
        <f>IF(D3181="", "Gap - No Legal Basis", IF(AND(D3181="Consent (GDPR Art. 6(1)(a))", I3181="Not Captured"), "Gap - Invalid Consent", IF(AND(D3181="Legitimate Interest (GDPR Art. 6(1)(f))", L3181=""), "Gap - Missing LIA", IF(AND(G3181="Yes", H3181=""), "Gap - Missing Art. 9 Basis", IF(OR(I3181="Invalid - Not Freely Given", I3181="Invalid - Not Specific", I3181="Invalid - Not Informed", I3181="Invalid - Ambiguous"), "Gap - Invalid Consent", "Compliant")))))</f>
        <v/>
      </c>
      <c r="O3181" s="7" t="n"/>
    </row>
    <row r="3182">
      <c r="A3182" s="7" t="n"/>
      <c r="B3182" s="7" t="n"/>
      <c r="C3182" s="7" t="n"/>
      <c r="D3182" s="7" t="n"/>
      <c r="E3182" s="7" t="n"/>
      <c r="F3182" s="7" t="n"/>
      <c r="G3182" s="7" t="n"/>
      <c r="H3182" s="7" t="n"/>
      <c r="I3182" s="7" t="n"/>
      <c r="J3182" s="7" t="n"/>
      <c r="K3182">
        <f>IF(D3182="Legitimate Interest (GDPR Art. 6(1)(f))", "Yes / Required (Sheet 3)", "")</f>
        <v/>
      </c>
      <c r="L3182" s="7" t="n"/>
      <c r="M3182" s="7" t="n"/>
      <c r="N3182">
        <f>IF(D3182="", "Gap - No Legal Basis", IF(AND(D3182="Consent (GDPR Art. 6(1)(a))", I3182="Not Captured"), "Gap - Invalid Consent", IF(AND(D3182="Legitimate Interest (GDPR Art. 6(1)(f))", L3182=""), "Gap - Missing LIA", IF(AND(G3182="Yes", H3182=""), "Gap - Missing Art. 9 Basis", IF(OR(I3182="Invalid - Not Freely Given", I3182="Invalid - Not Specific", I3182="Invalid - Not Informed", I3182="Invalid - Ambiguous"), "Gap - Invalid Consent", "Compliant")))))</f>
        <v/>
      </c>
      <c r="O3182" s="7" t="n"/>
    </row>
    <row r="3183">
      <c r="A3183" s="7" t="n"/>
      <c r="B3183" s="7" t="n"/>
      <c r="C3183" s="7" t="n"/>
      <c r="D3183" s="7" t="n"/>
      <c r="E3183" s="7" t="n"/>
      <c r="F3183" s="7" t="n"/>
      <c r="G3183" s="7" t="n"/>
      <c r="H3183" s="7" t="n"/>
      <c r="I3183" s="7" t="n"/>
      <c r="J3183" s="7" t="n"/>
      <c r="K3183">
        <f>IF(D3183="Legitimate Interest (GDPR Art. 6(1)(f))", "Yes / Required (Sheet 3)", "")</f>
        <v/>
      </c>
      <c r="L3183" s="7" t="n"/>
      <c r="M3183" s="7" t="n"/>
      <c r="N3183">
        <f>IF(D3183="", "Gap - No Legal Basis", IF(AND(D3183="Consent (GDPR Art. 6(1)(a))", I3183="Not Captured"), "Gap - Invalid Consent", IF(AND(D3183="Legitimate Interest (GDPR Art. 6(1)(f))", L3183=""), "Gap - Missing LIA", IF(AND(G3183="Yes", H3183=""), "Gap - Missing Art. 9 Basis", IF(OR(I3183="Invalid - Not Freely Given", I3183="Invalid - Not Specific", I3183="Invalid - Not Informed", I3183="Invalid - Ambiguous"), "Gap - Invalid Consent", "Compliant")))))</f>
        <v/>
      </c>
      <c r="O3183" s="7" t="n"/>
    </row>
    <row r="3184">
      <c r="A3184" s="7" t="n"/>
      <c r="B3184" s="7" t="n"/>
      <c r="C3184" s="7" t="n"/>
      <c r="D3184" s="7" t="n"/>
      <c r="E3184" s="7" t="n"/>
      <c r="F3184" s="7" t="n"/>
      <c r="G3184" s="7" t="n"/>
      <c r="H3184" s="7" t="n"/>
      <c r="I3184" s="7" t="n"/>
      <c r="J3184" s="7" t="n"/>
      <c r="K3184">
        <f>IF(D3184="Legitimate Interest (GDPR Art. 6(1)(f))", "Yes / Required (Sheet 3)", "")</f>
        <v/>
      </c>
      <c r="L3184" s="7" t="n"/>
      <c r="M3184" s="7" t="n"/>
      <c r="N3184">
        <f>IF(D3184="", "Gap - No Legal Basis", IF(AND(D3184="Consent (GDPR Art. 6(1)(a))", I3184="Not Captured"), "Gap - Invalid Consent", IF(AND(D3184="Legitimate Interest (GDPR Art. 6(1)(f))", L3184=""), "Gap - Missing LIA", IF(AND(G3184="Yes", H3184=""), "Gap - Missing Art. 9 Basis", IF(OR(I3184="Invalid - Not Freely Given", I3184="Invalid - Not Specific", I3184="Invalid - Not Informed", I3184="Invalid - Ambiguous"), "Gap - Invalid Consent", "Compliant")))))</f>
        <v/>
      </c>
      <c r="O3184" s="7" t="n"/>
    </row>
    <row r="3185">
      <c r="A3185" s="7" t="n"/>
      <c r="B3185" s="7" t="n"/>
      <c r="C3185" s="7" t="n"/>
      <c r="D3185" s="7" t="n"/>
      <c r="E3185" s="7" t="n"/>
      <c r="F3185" s="7" t="n"/>
      <c r="G3185" s="7" t="n"/>
      <c r="H3185" s="7" t="n"/>
      <c r="I3185" s="7" t="n"/>
      <c r="J3185" s="7" t="n"/>
      <c r="K3185">
        <f>IF(D3185="Legitimate Interest (GDPR Art. 6(1)(f))", "Yes / Required (Sheet 3)", "")</f>
        <v/>
      </c>
      <c r="L3185" s="7" t="n"/>
      <c r="M3185" s="7" t="n"/>
      <c r="N3185">
        <f>IF(D3185="", "Gap - No Legal Basis", IF(AND(D3185="Consent (GDPR Art. 6(1)(a))", I3185="Not Captured"), "Gap - Invalid Consent", IF(AND(D3185="Legitimate Interest (GDPR Art. 6(1)(f))", L3185=""), "Gap - Missing LIA", IF(AND(G3185="Yes", H3185=""), "Gap - Missing Art. 9 Basis", IF(OR(I3185="Invalid - Not Freely Given", I3185="Invalid - Not Specific", I3185="Invalid - Not Informed", I3185="Invalid - Ambiguous"), "Gap - Invalid Consent", "Compliant")))))</f>
        <v/>
      </c>
      <c r="O3185" s="7" t="n"/>
    </row>
    <row r="3186">
      <c r="A3186" s="7" t="n"/>
      <c r="B3186" s="7" t="n"/>
      <c r="C3186" s="7" t="n"/>
      <c r="D3186" s="7" t="n"/>
      <c r="E3186" s="7" t="n"/>
      <c r="F3186" s="7" t="n"/>
      <c r="G3186" s="7" t="n"/>
      <c r="H3186" s="7" t="n"/>
      <c r="I3186" s="7" t="n"/>
      <c r="J3186" s="7" t="n"/>
      <c r="K3186">
        <f>IF(D3186="Legitimate Interest (GDPR Art. 6(1)(f))", "Yes / Required (Sheet 3)", "")</f>
        <v/>
      </c>
      <c r="L3186" s="7" t="n"/>
      <c r="M3186" s="7" t="n"/>
      <c r="N3186">
        <f>IF(D3186="", "Gap - No Legal Basis", IF(AND(D3186="Consent (GDPR Art. 6(1)(a))", I3186="Not Captured"), "Gap - Invalid Consent", IF(AND(D3186="Legitimate Interest (GDPR Art. 6(1)(f))", L3186=""), "Gap - Missing LIA", IF(AND(G3186="Yes", H3186=""), "Gap - Missing Art. 9 Basis", IF(OR(I3186="Invalid - Not Freely Given", I3186="Invalid - Not Specific", I3186="Invalid - Not Informed", I3186="Invalid - Ambiguous"), "Gap - Invalid Consent", "Compliant")))))</f>
        <v/>
      </c>
      <c r="O3186" s="7" t="n"/>
    </row>
    <row r="3187">
      <c r="A3187" s="7" t="n"/>
      <c r="B3187" s="7" t="n"/>
      <c r="C3187" s="7" t="n"/>
      <c r="D3187" s="7" t="n"/>
      <c r="E3187" s="7" t="n"/>
      <c r="F3187" s="7" t="n"/>
      <c r="G3187" s="7" t="n"/>
      <c r="H3187" s="7" t="n"/>
      <c r="I3187" s="7" t="n"/>
      <c r="J3187" s="7" t="n"/>
      <c r="K3187">
        <f>IF(D3187="Legitimate Interest (GDPR Art. 6(1)(f))", "Yes / Required (Sheet 3)", "")</f>
        <v/>
      </c>
      <c r="L3187" s="7" t="n"/>
      <c r="M3187" s="7" t="n"/>
      <c r="N3187">
        <f>IF(D3187="", "Gap - No Legal Basis", IF(AND(D3187="Consent (GDPR Art. 6(1)(a))", I3187="Not Captured"), "Gap - Invalid Consent", IF(AND(D3187="Legitimate Interest (GDPR Art. 6(1)(f))", L3187=""), "Gap - Missing LIA", IF(AND(G3187="Yes", H3187=""), "Gap - Missing Art. 9 Basis", IF(OR(I3187="Invalid - Not Freely Given", I3187="Invalid - Not Specific", I3187="Invalid - Not Informed", I3187="Invalid - Ambiguous"), "Gap - Invalid Consent", "Compliant")))))</f>
        <v/>
      </c>
      <c r="O3187" s="7" t="n"/>
    </row>
    <row r="3188">
      <c r="A3188" s="7" t="n"/>
      <c r="B3188" s="7" t="n"/>
      <c r="C3188" s="7" t="n"/>
      <c r="D3188" s="7" t="n"/>
      <c r="E3188" s="7" t="n"/>
      <c r="F3188" s="7" t="n"/>
      <c r="G3188" s="7" t="n"/>
      <c r="H3188" s="7" t="n"/>
      <c r="I3188" s="7" t="n"/>
      <c r="J3188" s="7" t="n"/>
      <c r="K3188">
        <f>IF(D3188="Legitimate Interest (GDPR Art. 6(1)(f))", "Yes / Required (Sheet 3)", "")</f>
        <v/>
      </c>
      <c r="L3188" s="7" t="n"/>
      <c r="M3188" s="7" t="n"/>
      <c r="N3188">
        <f>IF(D3188="", "Gap - No Legal Basis", IF(AND(D3188="Consent (GDPR Art. 6(1)(a))", I3188="Not Captured"), "Gap - Invalid Consent", IF(AND(D3188="Legitimate Interest (GDPR Art. 6(1)(f))", L3188=""), "Gap - Missing LIA", IF(AND(G3188="Yes", H3188=""), "Gap - Missing Art. 9 Basis", IF(OR(I3188="Invalid - Not Freely Given", I3188="Invalid - Not Specific", I3188="Invalid - Not Informed", I3188="Invalid - Ambiguous"), "Gap - Invalid Consent", "Compliant")))))</f>
        <v/>
      </c>
      <c r="O3188" s="7" t="n"/>
    </row>
    <row r="3189">
      <c r="A3189" s="7" t="n"/>
      <c r="B3189" s="7" t="n"/>
      <c r="C3189" s="7" t="n"/>
      <c r="D3189" s="7" t="n"/>
      <c r="E3189" s="7" t="n"/>
      <c r="F3189" s="7" t="n"/>
      <c r="G3189" s="7" t="n"/>
      <c r="H3189" s="7" t="n"/>
      <c r="I3189" s="7" t="n"/>
      <c r="J3189" s="7" t="n"/>
      <c r="K3189">
        <f>IF(D3189="Legitimate Interest (GDPR Art. 6(1)(f))", "Yes / Required (Sheet 3)", "")</f>
        <v/>
      </c>
      <c r="L3189" s="7" t="n"/>
      <c r="M3189" s="7" t="n"/>
      <c r="N3189">
        <f>IF(D3189="", "Gap - No Legal Basis", IF(AND(D3189="Consent (GDPR Art. 6(1)(a))", I3189="Not Captured"), "Gap - Invalid Consent", IF(AND(D3189="Legitimate Interest (GDPR Art. 6(1)(f))", L3189=""), "Gap - Missing LIA", IF(AND(G3189="Yes", H3189=""), "Gap - Missing Art. 9 Basis", IF(OR(I3189="Invalid - Not Freely Given", I3189="Invalid - Not Specific", I3189="Invalid - Not Informed", I3189="Invalid - Ambiguous"), "Gap - Invalid Consent", "Compliant")))))</f>
        <v/>
      </c>
      <c r="O3189" s="7" t="n"/>
    </row>
    <row r="3190">
      <c r="A3190" s="7" t="n"/>
      <c r="B3190" s="7" t="n"/>
      <c r="C3190" s="7" t="n"/>
      <c r="D3190" s="7" t="n"/>
      <c r="E3190" s="7" t="n"/>
      <c r="F3190" s="7" t="n"/>
      <c r="G3190" s="7" t="n"/>
      <c r="H3190" s="7" t="n"/>
      <c r="I3190" s="7" t="n"/>
      <c r="J3190" s="7" t="n"/>
      <c r="K3190">
        <f>IF(D3190="Legitimate Interest (GDPR Art. 6(1)(f))", "Yes / Required (Sheet 3)", "")</f>
        <v/>
      </c>
      <c r="L3190" s="7" t="n"/>
      <c r="M3190" s="7" t="n"/>
      <c r="N3190">
        <f>IF(D3190="", "Gap - No Legal Basis", IF(AND(D3190="Consent (GDPR Art. 6(1)(a))", I3190="Not Captured"), "Gap - Invalid Consent", IF(AND(D3190="Legitimate Interest (GDPR Art. 6(1)(f))", L3190=""), "Gap - Missing LIA", IF(AND(G3190="Yes", H3190=""), "Gap - Missing Art. 9 Basis", IF(OR(I3190="Invalid - Not Freely Given", I3190="Invalid - Not Specific", I3190="Invalid - Not Informed", I3190="Invalid - Ambiguous"), "Gap - Invalid Consent", "Compliant")))))</f>
        <v/>
      </c>
      <c r="O3190" s="7" t="n"/>
    </row>
    <row r="3191">
      <c r="A3191" s="7" t="n"/>
      <c r="B3191" s="7" t="n"/>
      <c r="C3191" s="7" t="n"/>
      <c r="D3191" s="7" t="n"/>
      <c r="E3191" s="7" t="n"/>
      <c r="F3191" s="7" t="n"/>
      <c r="G3191" s="7" t="n"/>
      <c r="H3191" s="7" t="n"/>
      <c r="I3191" s="7" t="n"/>
      <c r="J3191" s="7" t="n"/>
      <c r="K3191">
        <f>IF(D3191="Legitimate Interest (GDPR Art. 6(1)(f))", "Yes / Required (Sheet 3)", "")</f>
        <v/>
      </c>
      <c r="L3191" s="7" t="n"/>
      <c r="M3191" s="7" t="n"/>
      <c r="N3191">
        <f>IF(D3191="", "Gap - No Legal Basis", IF(AND(D3191="Consent (GDPR Art. 6(1)(a))", I3191="Not Captured"), "Gap - Invalid Consent", IF(AND(D3191="Legitimate Interest (GDPR Art. 6(1)(f))", L3191=""), "Gap - Missing LIA", IF(AND(G3191="Yes", H3191=""), "Gap - Missing Art. 9 Basis", IF(OR(I3191="Invalid - Not Freely Given", I3191="Invalid - Not Specific", I3191="Invalid - Not Informed", I3191="Invalid - Ambiguous"), "Gap - Invalid Consent", "Compliant")))))</f>
        <v/>
      </c>
      <c r="O3191" s="7" t="n"/>
    </row>
    <row r="3192">
      <c r="A3192" s="7" t="n"/>
      <c r="B3192" s="7" t="n"/>
      <c r="C3192" s="7" t="n"/>
      <c r="D3192" s="7" t="n"/>
      <c r="E3192" s="7" t="n"/>
      <c r="F3192" s="7" t="n"/>
      <c r="G3192" s="7" t="n"/>
      <c r="H3192" s="7" t="n"/>
      <c r="I3192" s="7" t="n"/>
      <c r="J3192" s="7" t="n"/>
      <c r="K3192">
        <f>IF(D3192="Legitimate Interest (GDPR Art. 6(1)(f))", "Yes / Required (Sheet 3)", "")</f>
        <v/>
      </c>
      <c r="L3192" s="7" t="n"/>
      <c r="M3192" s="7" t="n"/>
      <c r="N3192">
        <f>IF(D3192="", "Gap - No Legal Basis", IF(AND(D3192="Consent (GDPR Art. 6(1)(a))", I3192="Not Captured"), "Gap - Invalid Consent", IF(AND(D3192="Legitimate Interest (GDPR Art. 6(1)(f))", L3192=""), "Gap - Missing LIA", IF(AND(G3192="Yes", H3192=""), "Gap - Missing Art. 9 Basis", IF(OR(I3192="Invalid - Not Freely Given", I3192="Invalid - Not Specific", I3192="Invalid - Not Informed", I3192="Invalid - Ambiguous"), "Gap - Invalid Consent", "Compliant")))))</f>
        <v/>
      </c>
      <c r="O3192" s="7" t="n"/>
    </row>
    <row r="3193">
      <c r="A3193" s="7" t="n"/>
      <c r="B3193" s="7" t="n"/>
      <c r="C3193" s="7" t="n"/>
      <c r="D3193" s="7" t="n"/>
      <c r="E3193" s="7" t="n"/>
      <c r="F3193" s="7" t="n"/>
      <c r="G3193" s="7" t="n"/>
      <c r="H3193" s="7" t="n"/>
      <c r="I3193" s="7" t="n"/>
      <c r="J3193" s="7" t="n"/>
      <c r="K3193">
        <f>IF(D3193="Legitimate Interest (GDPR Art. 6(1)(f))", "Yes / Required (Sheet 3)", "")</f>
        <v/>
      </c>
      <c r="L3193" s="7" t="n"/>
      <c r="M3193" s="7" t="n"/>
      <c r="N3193">
        <f>IF(D3193="", "Gap - No Legal Basis", IF(AND(D3193="Consent (GDPR Art. 6(1)(a))", I3193="Not Captured"), "Gap - Invalid Consent", IF(AND(D3193="Legitimate Interest (GDPR Art. 6(1)(f))", L3193=""), "Gap - Missing LIA", IF(AND(G3193="Yes", H3193=""), "Gap - Missing Art. 9 Basis", IF(OR(I3193="Invalid - Not Freely Given", I3193="Invalid - Not Specific", I3193="Invalid - Not Informed", I3193="Invalid - Ambiguous"), "Gap - Invalid Consent", "Compliant")))))</f>
        <v/>
      </c>
      <c r="O3193" s="7" t="n"/>
    </row>
    <row r="3194">
      <c r="A3194" s="7" t="n"/>
      <c r="B3194" s="7" t="n"/>
      <c r="C3194" s="7" t="n"/>
      <c r="D3194" s="7" t="n"/>
      <c r="E3194" s="7" t="n"/>
      <c r="F3194" s="7" t="n"/>
      <c r="G3194" s="7" t="n"/>
      <c r="H3194" s="7" t="n"/>
      <c r="I3194" s="7" t="n"/>
      <c r="J3194" s="7" t="n"/>
      <c r="K3194">
        <f>IF(D3194="Legitimate Interest (GDPR Art. 6(1)(f))", "Yes / Required (Sheet 3)", "")</f>
        <v/>
      </c>
      <c r="L3194" s="7" t="n"/>
      <c r="M3194" s="7" t="n"/>
      <c r="N3194">
        <f>IF(D3194="", "Gap - No Legal Basis", IF(AND(D3194="Consent (GDPR Art. 6(1)(a))", I3194="Not Captured"), "Gap - Invalid Consent", IF(AND(D3194="Legitimate Interest (GDPR Art. 6(1)(f))", L3194=""), "Gap - Missing LIA", IF(AND(G3194="Yes", H3194=""), "Gap - Missing Art. 9 Basis", IF(OR(I3194="Invalid - Not Freely Given", I3194="Invalid - Not Specific", I3194="Invalid - Not Informed", I3194="Invalid - Ambiguous"), "Gap - Invalid Consent", "Compliant")))))</f>
        <v/>
      </c>
      <c r="O3194" s="7" t="n"/>
    </row>
    <row r="3195">
      <c r="A3195" s="7" t="n"/>
      <c r="B3195" s="7" t="n"/>
      <c r="C3195" s="7" t="n"/>
      <c r="D3195" s="7" t="n"/>
      <c r="E3195" s="7" t="n"/>
      <c r="F3195" s="7" t="n"/>
      <c r="G3195" s="7" t="n"/>
      <c r="H3195" s="7" t="n"/>
      <c r="I3195" s="7" t="n"/>
      <c r="J3195" s="7" t="n"/>
      <c r="K3195">
        <f>IF(D3195="Legitimate Interest (GDPR Art. 6(1)(f))", "Yes / Required (Sheet 3)", "")</f>
        <v/>
      </c>
      <c r="L3195" s="7" t="n"/>
      <c r="M3195" s="7" t="n"/>
      <c r="N3195">
        <f>IF(D3195="", "Gap - No Legal Basis", IF(AND(D3195="Consent (GDPR Art. 6(1)(a))", I3195="Not Captured"), "Gap - Invalid Consent", IF(AND(D3195="Legitimate Interest (GDPR Art. 6(1)(f))", L3195=""), "Gap - Missing LIA", IF(AND(G3195="Yes", H3195=""), "Gap - Missing Art. 9 Basis", IF(OR(I3195="Invalid - Not Freely Given", I3195="Invalid - Not Specific", I3195="Invalid - Not Informed", I3195="Invalid - Ambiguous"), "Gap - Invalid Consent", "Compliant")))))</f>
        <v/>
      </c>
      <c r="O3195" s="7" t="n"/>
    </row>
    <row r="3196">
      <c r="A3196" s="7" t="n"/>
      <c r="B3196" s="7" t="n"/>
      <c r="C3196" s="7" t="n"/>
      <c r="D3196" s="7" t="n"/>
      <c r="E3196" s="7" t="n"/>
      <c r="F3196" s="7" t="n"/>
      <c r="G3196" s="7" t="n"/>
      <c r="H3196" s="7" t="n"/>
      <c r="I3196" s="7" t="n"/>
      <c r="J3196" s="7" t="n"/>
      <c r="K3196">
        <f>IF(D3196="Legitimate Interest (GDPR Art. 6(1)(f))", "Yes / Required (Sheet 3)", "")</f>
        <v/>
      </c>
      <c r="L3196" s="7" t="n"/>
      <c r="M3196" s="7" t="n"/>
      <c r="N3196">
        <f>IF(D3196="", "Gap - No Legal Basis", IF(AND(D3196="Consent (GDPR Art. 6(1)(a))", I3196="Not Captured"), "Gap - Invalid Consent", IF(AND(D3196="Legitimate Interest (GDPR Art. 6(1)(f))", L3196=""), "Gap - Missing LIA", IF(AND(G3196="Yes", H3196=""), "Gap - Missing Art. 9 Basis", IF(OR(I3196="Invalid - Not Freely Given", I3196="Invalid - Not Specific", I3196="Invalid - Not Informed", I3196="Invalid - Ambiguous"), "Gap - Invalid Consent", "Compliant")))))</f>
        <v/>
      </c>
      <c r="O3196" s="7" t="n"/>
    </row>
    <row r="3197">
      <c r="A3197" s="7" t="n"/>
      <c r="B3197" s="7" t="n"/>
      <c r="C3197" s="7" t="n"/>
      <c r="D3197" s="7" t="n"/>
      <c r="E3197" s="7" t="n"/>
      <c r="F3197" s="7" t="n"/>
      <c r="G3197" s="7" t="n"/>
      <c r="H3197" s="7" t="n"/>
      <c r="I3197" s="7" t="n"/>
      <c r="J3197" s="7" t="n"/>
      <c r="K3197">
        <f>IF(D3197="Legitimate Interest (GDPR Art. 6(1)(f))", "Yes / Required (Sheet 3)", "")</f>
        <v/>
      </c>
      <c r="L3197" s="7" t="n"/>
      <c r="M3197" s="7" t="n"/>
      <c r="N3197">
        <f>IF(D3197="", "Gap - No Legal Basis", IF(AND(D3197="Consent (GDPR Art. 6(1)(a))", I3197="Not Captured"), "Gap - Invalid Consent", IF(AND(D3197="Legitimate Interest (GDPR Art. 6(1)(f))", L3197=""), "Gap - Missing LIA", IF(AND(G3197="Yes", H3197=""), "Gap - Missing Art. 9 Basis", IF(OR(I3197="Invalid - Not Freely Given", I3197="Invalid - Not Specific", I3197="Invalid - Not Informed", I3197="Invalid - Ambiguous"), "Gap - Invalid Consent", "Compliant")))))</f>
        <v/>
      </c>
      <c r="O3197" s="7" t="n"/>
    </row>
    <row r="3198">
      <c r="A3198" s="7" t="n"/>
      <c r="B3198" s="7" t="n"/>
      <c r="C3198" s="7" t="n"/>
      <c r="D3198" s="7" t="n"/>
      <c r="E3198" s="7" t="n"/>
      <c r="F3198" s="7" t="n"/>
      <c r="G3198" s="7" t="n"/>
      <c r="H3198" s="7" t="n"/>
      <c r="I3198" s="7" t="n"/>
      <c r="J3198" s="7" t="n"/>
      <c r="K3198">
        <f>IF(D3198="Legitimate Interest (GDPR Art. 6(1)(f))", "Yes / Required (Sheet 3)", "")</f>
        <v/>
      </c>
      <c r="L3198" s="7" t="n"/>
      <c r="M3198" s="7" t="n"/>
      <c r="N3198">
        <f>IF(D3198="", "Gap - No Legal Basis", IF(AND(D3198="Consent (GDPR Art. 6(1)(a))", I3198="Not Captured"), "Gap - Invalid Consent", IF(AND(D3198="Legitimate Interest (GDPR Art. 6(1)(f))", L3198=""), "Gap - Missing LIA", IF(AND(G3198="Yes", H3198=""), "Gap - Missing Art. 9 Basis", IF(OR(I3198="Invalid - Not Freely Given", I3198="Invalid - Not Specific", I3198="Invalid - Not Informed", I3198="Invalid - Ambiguous"), "Gap - Invalid Consent", "Compliant")))))</f>
        <v/>
      </c>
      <c r="O3198" s="7" t="n"/>
    </row>
    <row r="3199">
      <c r="A3199" s="7" t="n"/>
      <c r="B3199" s="7" t="n"/>
      <c r="C3199" s="7" t="n"/>
      <c r="D3199" s="7" t="n"/>
      <c r="E3199" s="7" t="n"/>
      <c r="F3199" s="7" t="n"/>
      <c r="G3199" s="7" t="n"/>
      <c r="H3199" s="7" t="n"/>
      <c r="I3199" s="7" t="n"/>
      <c r="J3199" s="7" t="n"/>
      <c r="K3199">
        <f>IF(D3199="Legitimate Interest (GDPR Art. 6(1)(f))", "Yes / Required (Sheet 3)", "")</f>
        <v/>
      </c>
      <c r="L3199" s="7" t="n"/>
      <c r="M3199" s="7" t="n"/>
      <c r="N3199">
        <f>IF(D3199="", "Gap - No Legal Basis", IF(AND(D3199="Consent (GDPR Art. 6(1)(a))", I3199="Not Captured"), "Gap - Invalid Consent", IF(AND(D3199="Legitimate Interest (GDPR Art. 6(1)(f))", L3199=""), "Gap - Missing LIA", IF(AND(G3199="Yes", H3199=""), "Gap - Missing Art. 9 Basis", IF(OR(I3199="Invalid - Not Freely Given", I3199="Invalid - Not Specific", I3199="Invalid - Not Informed", I3199="Invalid - Ambiguous"), "Gap - Invalid Consent", "Compliant")))))</f>
        <v/>
      </c>
      <c r="O3199" s="7" t="n"/>
    </row>
    <row r="3200">
      <c r="A3200" s="7" t="n"/>
      <c r="B3200" s="7" t="n"/>
      <c r="C3200" s="7" t="n"/>
      <c r="D3200" s="7" t="n"/>
      <c r="E3200" s="7" t="n"/>
      <c r="F3200" s="7" t="n"/>
      <c r="G3200" s="7" t="n"/>
      <c r="H3200" s="7" t="n"/>
      <c r="I3200" s="7" t="n"/>
      <c r="J3200" s="7" t="n"/>
      <c r="K3200">
        <f>IF(D3200="Legitimate Interest (GDPR Art. 6(1)(f))", "Yes / Required (Sheet 3)", "")</f>
        <v/>
      </c>
      <c r="L3200" s="7" t="n"/>
      <c r="M3200" s="7" t="n"/>
      <c r="N3200">
        <f>IF(D3200="", "Gap - No Legal Basis", IF(AND(D3200="Consent (GDPR Art. 6(1)(a))", I3200="Not Captured"), "Gap - Invalid Consent", IF(AND(D3200="Legitimate Interest (GDPR Art. 6(1)(f))", L3200=""), "Gap - Missing LIA", IF(AND(G3200="Yes", H3200=""), "Gap - Missing Art. 9 Basis", IF(OR(I3200="Invalid - Not Freely Given", I3200="Invalid - Not Specific", I3200="Invalid - Not Informed", I3200="Invalid - Ambiguous"), "Gap - Invalid Consent", "Compliant")))))</f>
        <v/>
      </c>
      <c r="O3200" s="7" t="n"/>
    </row>
    <row r="3201">
      <c r="A3201" s="7" t="n"/>
      <c r="B3201" s="7" t="n"/>
      <c r="C3201" s="7" t="n"/>
      <c r="D3201" s="7" t="n"/>
      <c r="E3201" s="7" t="n"/>
      <c r="F3201" s="7" t="n"/>
      <c r="G3201" s="7" t="n"/>
      <c r="H3201" s="7" t="n"/>
      <c r="I3201" s="7" t="n"/>
      <c r="J3201" s="7" t="n"/>
      <c r="K3201">
        <f>IF(D3201="Legitimate Interest (GDPR Art. 6(1)(f))", "Yes / Required (Sheet 3)", "")</f>
        <v/>
      </c>
      <c r="L3201" s="7" t="n"/>
      <c r="M3201" s="7" t="n"/>
      <c r="N3201">
        <f>IF(D3201="", "Gap - No Legal Basis", IF(AND(D3201="Consent (GDPR Art. 6(1)(a))", I3201="Not Captured"), "Gap - Invalid Consent", IF(AND(D3201="Legitimate Interest (GDPR Art. 6(1)(f))", L3201=""), "Gap - Missing LIA", IF(AND(G3201="Yes", H3201=""), "Gap - Missing Art. 9 Basis", IF(OR(I3201="Invalid - Not Freely Given", I3201="Invalid - Not Specific", I3201="Invalid - Not Informed", I3201="Invalid - Ambiguous"), "Gap - Invalid Consent", "Compliant")))))</f>
        <v/>
      </c>
      <c r="O3201" s="7" t="n"/>
    </row>
    <row r="3202">
      <c r="A3202" s="7" t="n"/>
      <c r="B3202" s="7" t="n"/>
      <c r="C3202" s="7" t="n"/>
      <c r="D3202" s="7" t="n"/>
      <c r="E3202" s="7" t="n"/>
      <c r="F3202" s="7" t="n"/>
      <c r="G3202" s="7" t="n"/>
      <c r="H3202" s="7" t="n"/>
      <c r="I3202" s="7" t="n"/>
      <c r="J3202" s="7" t="n"/>
      <c r="K3202">
        <f>IF(D3202="Legitimate Interest (GDPR Art. 6(1)(f))", "Yes / Required (Sheet 3)", "")</f>
        <v/>
      </c>
      <c r="L3202" s="7" t="n"/>
      <c r="M3202" s="7" t="n"/>
      <c r="N3202">
        <f>IF(D3202="", "Gap - No Legal Basis", IF(AND(D3202="Consent (GDPR Art. 6(1)(a))", I3202="Not Captured"), "Gap - Invalid Consent", IF(AND(D3202="Legitimate Interest (GDPR Art. 6(1)(f))", L3202=""), "Gap - Missing LIA", IF(AND(G3202="Yes", H3202=""), "Gap - Missing Art. 9 Basis", IF(OR(I3202="Invalid - Not Freely Given", I3202="Invalid - Not Specific", I3202="Invalid - Not Informed", I3202="Invalid - Ambiguous"), "Gap - Invalid Consent", "Compliant")))))</f>
        <v/>
      </c>
      <c r="O3202" s="7" t="n"/>
    </row>
    <row r="3203">
      <c r="A3203" s="7" t="n"/>
      <c r="B3203" s="7" t="n"/>
      <c r="C3203" s="7" t="n"/>
      <c r="D3203" s="7" t="n"/>
      <c r="E3203" s="7" t="n"/>
      <c r="F3203" s="7" t="n"/>
      <c r="G3203" s="7" t="n"/>
      <c r="H3203" s="7" t="n"/>
      <c r="I3203" s="7" t="n"/>
      <c r="J3203" s="7" t="n"/>
      <c r="K3203">
        <f>IF(D3203="Legitimate Interest (GDPR Art. 6(1)(f))", "Yes / Required (Sheet 3)", "")</f>
        <v/>
      </c>
      <c r="L3203" s="7" t="n"/>
      <c r="M3203" s="7" t="n"/>
      <c r="N3203">
        <f>IF(D3203="", "Gap - No Legal Basis", IF(AND(D3203="Consent (GDPR Art. 6(1)(a))", I3203="Not Captured"), "Gap - Invalid Consent", IF(AND(D3203="Legitimate Interest (GDPR Art. 6(1)(f))", L3203=""), "Gap - Missing LIA", IF(AND(G3203="Yes", H3203=""), "Gap - Missing Art. 9 Basis", IF(OR(I3203="Invalid - Not Freely Given", I3203="Invalid - Not Specific", I3203="Invalid - Not Informed", I3203="Invalid - Ambiguous"), "Gap - Invalid Consent", "Compliant")))))</f>
        <v/>
      </c>
      <c r="O3203" s="7" t="n"/>
    </row>
    <row r="3204">
      <c r="A3204" s="7" t="n"/>
      <c r="B3204" s="7" t="n"/>
      <c r="C3204" s="7" t="n"/>
      <c r="D3204" s="7" t="n"/>
      <c r="E3204" s="7" t="n"/>
      <c r="F3204" s="7" t="n"/>
      <c r="G3204" s="7" t="n"/>
      <c r="H3204" s="7" t="n"/>
      <c r="I3204" s="7" t="n"/>
      <c r="J3204" s="7" t="n"/>
      <c r="K3204">
        <f>IF(D3204="Legitimate Interest (GDPR Art. 6(1)(f))", "Yes / Required (Sheet 3)", "")</f>
        <v/>
      </c>
      <c r="L3204" s="7" t="n"/>
      <c r="M3204" s="7" t="n"/>
      <c r="N3204">
        <f>IF(D3204="", "Gap - No Legal Basis", IF(AND(D3204="Consent (GDPR Art. 6(1)(a))", I3204="Not Captured"), "Gap - Invalid Consent", IF(AND(D3204="Legitimate Interest (GDPR Art. 6(1)(f))", L3204=""), "Gap - Missing LIA", IF(AND(G3204="Yes", H3204=""), "Gap - Missing Art. 9 Basis", IF(OR(I3204="Invalid - Not Freely Given", I3204="Invalid - Not Specific", I3204="Invalid - Not Informed", I3204="Invalid - Ambiguous"), "Gap - Invalid Consent", "Compliant")))))</f>
        <v/>
      </c>
      <c r="O3204" s="7" t="n"/>
    </row>
    <row r="3205">
      <c r="A3205" s="7" t="n"/>
      <c r="B3205" s="7" t="n"/>
      <c r="C3205" s="7" t="n"/>
      <c r="D3205" s="7" t="n"/>
      <c r="E3205" s="7" t="n"/>
      <c r="F3205" s="7" t="n"/>
      <c r="G3205" s="7" t="n"/>
      <c r="H3205" s="7" t="n"/>
      <c r="I3205" s="7" t="n"/>
      <c r="J3205" s="7" t="n"/>
      <c r="K3205">
        <f>IF(D3205="Legitimate Interest (GDPR Art. 6(1)(f))", "Yes / Required (Sheet 3)", "")</f>
        <v/>
      </c>
      <c r="L3205" s="7" t="n"/>
      <c r="M3205" s="7" t="n"/>
      <c r="N3205">
        <f>IF(D3205="", "Gap - No Legal Basis", IF(AND(D3205="Consent (GDPR Art. 6(1)(a))", I3205="Not Captured"), "Gap - Invalid Consent", IF(AND(D3205="Legitimate Interest (GDPR Art. 6(1)(f))", L3205=""), "Gap - Missing LIA", IF(AND(G3205="Yes", H3205=""), "Gap - Missing Art. 9 Basis", IF(OR(I3205="Invalid - Not Freely Given", I3205="Invalid - Not Specific", I3205="Invalid - Not Informed", I3205="Invalid - Ambiguous"), "Gap - Invalid Consent", "Compliant")))))</f>
        <v/>
      </c>
      <c r="O3205" s="7" t="n"/>
    </row>
    <row r="3206">
      <c r="A3206" s="7" t="n"/>
      <c r="B3206" s="7" t="n"/>
      <c r="C3206" s="7" t="n"/>
      <c r="D3206" s="7" t="n"/>
      <c r="E3206" s="7" t="n"/>
      <c r="F3206" s="7" t="n"/>
      <c r="G3206" s="7" t="n"/>
      <c r="H3206" s="7" t="n"/>
      <c r="I3206" s="7" t="n"/>
      <c r="J3206" s="7" t="n"/>
      <c r="K3206">
        <f>IF(D3206="Legitimate Interest (GDPR Art. 6(1)(f))", "Yes / Required (Sheet 3)", "")</f>
        <v/>
      </c>
      <c r="L3206" s="7" t="n"/>
      <c r="M3206" s="7" t="n"/>
      <c r="N3206">
        <f>IF(D3206="", "Gap - No Legal Basis", IF(AND(D3206="Consent (GDPR Art. 6(1)(a))", I3206="Not Captured"), "Gap - Invalid Consent", IF(AND(D3206="Legitimate Interest (GDPR Art. 6(1)(f))", L3206=""), "Gap - Missing LIA", IF(AND(G3206="Yes", H3206=""), "Gap - Missing Art. 9 Basis", IF(OR(I3206="Invalid - Not Freely Given", I3206="Invalid - Not Specific", I3206="Invalid - Not Informed", I3206="Invalid - Ambiguous"), "Gap - Invalid Consent", "Compliant")))))</f>
        <v/>
      </c>
      <c r="O3206" s="7" t="n"/>
    </row>
    <row r="3207">
      <c r="A3207" s="7" t="n"/>
      <c r="B3207" s="7" t="n"/>
      <c r="C3207" s="7" t="n"/>
      <c r="D3207" s="7" t="n"/>
      <c r="E3207" s="7" t="n"/>
      <c r="F3207" s="7" t="n"/>
      <c r="G3207" s="7" t="n"/>
      <c r="H3207" s="7" t="n"/>
      <c r="I3207" s="7" t="n"/>
      <c r="J3207" s="7" t="n"/>
      <c r="K3207">
        <f>IF(D3207="Legitimate Interest (GDPR Art. 6(1)(f))", "Yes / Required (Sheet 3)", "")</f>
        <v/>
      </c>
      <c r="L3207" s="7" t="n"/>
      <c r="M3207" s="7" t="n"/>
      <c r="N3207">
        <f>IF(D3207="", "Gap - No Legal Basis", IF(AND(D3207="Consent (GDPR Art. 6(1)(a))", I3207="Not Captured"), "Gap - Invalid Consent", IF(AND(D3207="Legitimate Interest (GDPR Art. 6(1)(f))", L3207=""), "Gap - Missing LIA", IF(AND(G3207="Yes", H3207=""), "Gap - Missing Art. 9 Basis", IF(OR(I3207="Invalid - Not Freely Given", I3207="Invalid - Not Specific", I3207="Invalid - Not Informed", I3207="Invalid - Ambiguous"), "Gap - Invalid Consent", "Compliant")))))</f>
        <v/>
      </c>
      <c r="O3207" s="7" t="n"/>
    </row>
    <row r="3208">
      <c r="A3208" s="7" t="n"/>
      <c r="B3208" s="7" t="n"/>
      <c r="C3208" s="7" t="n"/>
      <c r="D3208" s="7" t="n"/>
      <c r="E3208" s="7" t="n"/>
      <c r="F3208" s="7" t="n"/>
      <c r="G3208" s="7" t="n"/>
      <c r="H3208" s="7" t="n"/>
      <c r="I3208" s="7" t="n"/>
      <c r="J3208" s="7" t="n"/>
      <c r="K3208">
        <f>IF(D3208="Legitimate Interest (GDPR Art. 6(1)(f))", "Yes / Required (Sheet 3)", "")</f>
        <v/>
      </c>
      <c r="L3208" s="7" t="n"/>
      <c r="M3208" s="7" t="n"/>
      <c r="N3208">
        <f>IF(D3208="", "Gap - No Legal Basis", IF(AND(D3208="Consent (GDPR Art. 6(1)(a))", I3208="Not Captured"), "Gap - Invalid Consent", IF(AND(D3208="Legitimate Interest (GDPR Art. 6(1)(f))", L3208=""), "Gap - Missing LIA", IF(AND(G3208="Yes", H3208=""), "Gap - Missing Art. 9 Basis", IF(OR(I3208="Invalid - Not Freely Given", I3208="Invalid - Not Specific", I3208="Invalid - Not Informed", I3208="Invalid - Ambiguous"), "Gap - Invalid Consent", "Compliant")))))</f>
        <v/>
      </c>
      <c r="O3208" s="7" t="n"/>
    </row>
    <row r="3209">
      <c r="A3209" s="7" t="n"/>
      <c r="B3209" s="7" t="n"/>
      <c r="C3209" s="7" t="n"/>
      <c r="D3209" s="7" t="n"/>
      <c r="E3209" s="7" t="n"/>
      <c r="F3209" s="7" t="n"/>
      <c r="G3209" s="7" t="n"/>
      <c r="H3209" s="7" t="n"/>
      <c r="I3209" s="7" t="n"/>
      <c r="J3209" s="7" t="n"/>
      <c r="K3209">
        <f>IF(D3209="Legitimate Interest (GDPR Art. 6(1)(f))", "Yes / Required (Sheet 3)", "")</f>
        <v/>
      </c>
      <c r="L3209" s="7" t="n"/>
      <c r="M3209" s="7" t="n"/>
      <c r="N3209">
        <f>IF(D3209="", "Gap - No Legal Basis", IF(AND(D3209="Consent (GDPR Art. 6(1)(a))", I3209="Not Captured"), "Gap - Invalid Consent", IF(AND(D3209="Legitimate Interest (GDPR Art. 6(1)(f))", L3209=""), "Gap - Missing LIA", IF(AND(G3209="Yes", H3209=""), "Gap - Missing Art. 9 Basis", IF(OR(I3209="Invalid - Not Freely Given", I3209="Invalid - Not Specific", I3209="Invalid - Not Informed", I3209="Invalid - Ambiguous"), "Gap - Invalid Consent", "Compliant")))))</f>
        <v/>
      </c>
      <c r="O3209" s="7" t="n"/>
    </row>
    <row r="3210">
      <c r="A3210" s="7" t="n"/>
      <c r="B3210" s="7" t="n"/>
      <c r="C3210" s="7" t="n"/>
      <c r="D3210" s="7" t="n"/>
      <c r="E3210" s="7" t="n"/>
      <c r="F3210" s="7" t="n"/>
      <c r="G3210" s="7" t="n"/>
      <c r="H3210" s="7" t="n"/>
      <c r="I3210" s="7" t="n"/>
      <c r="J3210" s="7" t="n"/>
      <c r="K3210">
        <f>IF(D3210="Legitimate Interest (GDPR Art. 6(1)(f))", "Yes / Required (Sheet 3)", "")</f>
        <v/>
      </c>
      <c r="L3210" s="7" t="n"/>
      <c r="M3210" s="7" t="n"/>
      <c r="N3210">
        <f>IF(D3210="", "Gap - No Legal Basis", IF(AND(D3210="Consent (GDPR Art. 6(1)(a))", I3210="Not Captured"), "Gap - Invalid Consent", IF(AND(D3210="Legitimate Interest (GDPR Art. 6(1)(f))", L3210=""), "Gap - Missing LIA", IF(AND(G3210="Yes", H3210=""), "Gap - Missing Art. 9 Basis", IF(OR(I3210="Invalid - Not Freely Given", I3210="Invalid - Not Specific", I3210="Invalid - Not Informed", I3210="Invalid - Ambiguous"), "Gap - Invalid Consent", "Compliant")))))</f>
        <v/>
      </c>
      <c r="O3210" s="7" t="n"/>
    </row>
    <row r="3211">
      <c r="A3211" s="7" t="n"/>
      <c r="B3211" s="7" t="n"/>
      <c r="C3211" s="7" t="n"/>
      <c r="D3211" s="7" t="n"/>
      <c r="E3211" s="7" t="n"/>
      <c r="F3211" s="7" t="n"/>
      <c r="G3211" s="7" t="n"/>
      <c r="H3211" s="7" t="n"/>
      <c r="I3211" s="7" t="n"/>
      <c r="J3211" s="7" t="n"/>
      <c r="K3211">
        <f>IF(D3211="Legitimate Interest (GDPR Art. 6(1)(f))", "Yes / Required (Sheet 3)", "")</f>
        <v/>
      </c>
      <c r="L3211" s="7" t="n"/>
      <c r="M3211" s="7" t="n"/>
      <c r="N3211">
        <f>IF(D3211="", "Gap - No Legal Basis", IF(AND(D3211="Consent (GDPR Art. 6(1)(a))", I3211="Not Captured"), "Gap - Invalid Consent", IF(AND(D3211="Legitimate Interest (GDPR Art. 6(1)(f))", L3211=""), "Gap - Missing LIA", IF(AND(G3211="Yes", H3211=""), "Gap - Missing Art. 9 Basis", IF(OR(I3211="Invalid - Not Freely Given", I3211="Invalid - Not Specific", I3211="Invalid - Not Informed", I3211="Invalid - Ambiguous"), "Gap - Invalid Consent", "Compliant")))))</f>
        <v/>
      </c>
      <c r="O3211" s="7" t="n"/>
    </row>
    <row r="3212">
      <c r="A3212" s="7" t="n"/>
      <c r="B3212" s="7" t="n"/>
      <c r="C3212" s="7" t="n"/>
      <c r="D3212" s="7" t="n"/>
      <c r="E3212" s="7" t="n"/>
      <c r="F3212" s="7" t="n"/>
      <c r="G3212" s="7" t="n"/>
      <c r="H3212" s="7" t="n"/>
      <c r="I3212" s="7" t="n"/>
      <c r="J3212" s="7" t="n"/>
      <c r="K3212">
        <f>IF(D3212="Legitimate Interest (GDPR Art. 6(1)(f))", "Yes / Required (Sheet 3)", "")</f>
        <v/>
      </c>
      <c r="L3212" s="7" t="n"/>
      <c r="M3212" s="7" t="n"/>
      <c r="N3212">
        <f>IF(D3212="", "Gap - No Legal Basis", IF(AND(D3212="Consent (GDPR Art. 6(1)(a))", I3212="Not Captured"), "Gap - Invalid Consent", IF(AND(D3212="Legitimate Interest (GDPR Art. 6(1)(f))", L3212=""), "Gap - Missing LIA", IF(AND(G3212="Yes", H3212=""), "Gap - Missing Art. 9 Basis", IF(OR(I3212="Invalid - Not Freely Given", I3212="Invalid - Not Specific", I3212="Invalid - Not Informed", I3212="Invalid - Ambiguous"), "Gap - Invalid Consent", "Compliant")))))</f>
        <v/>
      </c>
      <c r="O3212" s="7" t="n"/>
    </row>
    <row r="3213">
      <c r="A3213" s="7" t="n"/>
      <c r="B3213" s="7" t="n"/>
      <c r="C3213" s="7" t="n"/>
      <c r="D3213" s="7" t="n"/>
      <c r="E3213" s="7" t="n"/>
      <c r="F3213" s="7" t="n"/>
      <c r="G3213" s="7" t="n"/>
      <c r="H3213" s="7" t="n"/>
      <c r="I3213" s="7" t="n"/>
      <c r="J3213" s="7" t="n"/>
      <c r="K3213">
        <f>IF(D3213="Legitimate Interest (GDPR Art. 6(1)(f))", "Yes / Required (Sheet 3)", "")</f>
        <v/>
      </c>
      <c r="L3213" s="7" t="n"/>
      <c r="M3213" s="7" t="n"/>
      <c r="N3213">
        <f>IF(D3213="", "Gap - No Legal Basis", IF(AND(D3213="Consent (GDPR Art. 6(1)(a))", I3213="Not Captured"), "Gap - Invalid Consent", IF(AND(D3213="Legitimate Interest (GDPR Art. 6(1)(f))", L3213=""), "Gap - Missing LIA", IF(AND(G3213="Yes", H3213=""), "Gap - Missing Art. 9 Basis", IF(OR(I3213="Invalid - Not Freely Given", I3213="Invalid - Not Specific", I3213="Invalid - Not Informed", I3213="Invalid - Ambiguous"), "Gap - Invalid Consent", "Compliant")))))</f>
        <v/>
      </c>
      <c r="O3213" s="7" t="n"/>
    </row>
    <row r="3214">
      <c r="A3214" s="7" t="n"/>
      <c r="B3214" s="7" t="n"/>
      <c r="C3214" s="7" t="n"/>
      <c r="D3214" s="7" t="n"/>
      <c r="E3214" s="7" t="n"/>
      <c r="F3214" s="7" t="n"/>
      <c r="G3214" s="7" t="n"/>
      <c r="H3214" s="7" t="n"/>
      <c r="I3214" s="7" t="n"/>
      <c r="J3214" s="7" t="n"/>
      <c r="K3214">
        <f>IF(D3214="Legitimate Interest (GDPR Art. 6(1)(f))", "Yes / Required (Sheet 3)", "")</f>
        <v/>
      </c>
      <c r="L3214" s="7" t="n"/>
      <c r="M3214" s="7" t="n"/>
      <c r="N3214">
        <f>IF(D3214="", "Gap - No Legal Basis", IF(AND(D3214="Consent (GDPR Art. 6(1)(a))", I3214="Not Captured"), "Gap - Invalid Consent", IF(AND(D3214="Legitimate Interest (GDPR Art. 6(1)(f))", L3214=""), "Gap - Missing LIA", IF(AND(G3214="Yes", H3214=""), "Gap - Missing Art. 9 Basis", IF(OR(I3214="Invalid - Not Freely Given", I3214="Invalid - Not Specific", I3214="Invalid - Not Informed", I3214="Invalid - Ambiguous"), "Gap - Invalid Consent", "Compliant")))))</f>
        <v/>
      </c>
      <c r="O3214" s="7" t="n"/>
    </row>
    <row r="3215">
      <c r="A3215" s="7" t="n"/>
      <c r="B3215" s="7" t="n"/>
      <c r="C3215" s="7" t="n"/>
      <c r="D3215" s="7" t="n"/>
      <c r="E3215" s="7" t="n"/>
      <c r="F3215" s="7" t="n"/>
      <c r="G3215" s="7" t="n"/>
      <c r="H3215" s="7" t="n"/>
      <c r="I3215" s="7" t="n"/>
      <c r="J3215" s="7" t="n"/>
      <c r="K3215">
        <f>IF(D3215="Legitimate Interest (GDPR Art. 6(1)(f))", "Yes / Required (Sheet 3)", "")</f>
        <v/>
      </c>
      <c r="L3215" s="7" t="n"/>
      <c r="M3215" s="7" t="n"/>
      <c r="N3215">
        <f>IF(D3215="", "Gap - No Legal Basis", IF(AND(D3215="Consent (GDPR Art. 6(1)(a))", I3215="Not Captured"), "Gap - Invalid Consent", IF(AND(D3215="Legitimate Interest (GDPR Art. 6(1)(f))", L3215=""), "Gap - Missing LIA", IF(AND(G3215="Yes", H3215=""), "Gap - Missing Art. 9 Basis", IF(OR(I3215="Invalid - Not Freely Given", I3215="Invalid - Not Specific", I3215="Invalid - Not Informed", I3215="Invalid - Ambiguous"), "Gap - Invalid Consent", "Compliant")))))</f>
        <v/>
      </c>
      <c r="O3215" s="7" t="n"/>
    </row>
    <row r="3216">
      <c r="A3216" s="7" t="n"/>
      <c r="B3216" s="7" t="n"/>
      <c r="C3216" s="7" t="n"/>
      <c r="D3216" s="7" t="n"/>
      <c r="E3216" s="7" t="n"/>
      <c r="F3216" s="7" t="n"/>
      <c r="G3216" s="7" t="n"/>
      <c r="H3216" s="7" t="n"/>
      <c r="I3216" s="7" t="n"/>
      <c r="J3216" s="7" t="n"/>
      <c r="K3216">
        <f>IF(D3216="Legitimate Interest (GDPR Art. 6(1)(f))", "Yes / Required (Sheet 3)", "")</f>
        <v/>
      </c>
      <c r="L3216" s="7" t="n"/>
      <c r="M3216" s="7" t="n"/>
      <c r="N3216">
        <f>IF(D3216="", "Gap - No Legal Basis", IF(AND(D3216="Consent (GDPR Art. 6(1)(a))", I3216="Not Captured"), "Gap - Invalid Consent", IF(AND(D3216="Legitimate Interest (GDPR Art. 6(1)(f))", L3216=""), "Gap - Missing LIA", IF(AND(G3216="Yes", H3216=""), "Gap - Missing Art. 9 Basis", IF(OR(I3216="Invalid - Not Freely Given", I3216="Invalid - Not Specific", I3216="Invalid - Not Informed", I3216="Invalid - Ambiguous"), "Gap - Invalid Consent", "Compliant")))))</f>
        <v/>
      </c>
      <c r="O3216" s="7" t="n"/>
    </row>
    <row r="3217">
      <c r="A3217" s="7" t="n"/>
      <c r="B3217" s="7" t="n"/>
      <c r="C3217" s="7" t="n"/>
      <c r="D3217" s="7" t="n"/>
      <c r="E3217" s="7" t="n"/>
      <c r="F3217" s="7" t="n"/>
      <c r="G3217" s="7" t="n"/>
      <c r="H3217" s="7" t="n"/>
      <c r="I3217" s="7" t="n"/>
      <c r="J3217" s="7" t="n"/>
      <c r="K3217">
        <f>IF(D3217="Legitimate Interest (GDPR Art. 6(1)(f))", "Yes / Required (Sheet 3)", "")</f>
        <v/>
      </c>
      <c r="L3217" s="7" t="n"/>
      <c r="M3217" s="7" t="n"/>
      <c r="N3217">
        <f>IF(D3217="", "Gap - No Legal Basis", IF(AND(D3217="Consent (GDPR Art. 6(1)(a))", I3217="Not Captured"), "Gap - Invalid Consent", IF(AND(D3217="Legitimate Interest (GDPR Art. 6(1)(f))", L3217=""), "Gap - Missing LIA", IF(AND(G3217="Yes", H3217=""), "Gap - Missing Art. 9 Basis", IF(OR(I3217="Invalid - Not Freely Given", I3217="Invalid - Not Specific", I3217="Invalid - Not Informed", I3217="Invalid - Ambiguous"), "Gap - Invalid Consent", "Compliant")))))</f>
        <v/>
      </c>
      <c r="O3217" s="7" t="n"/>
    </row>
    <row r="3218">
      <c r="A3218" s="7" t="n"/>
      <c r="B3218" s="7" t="n"/>
      <c r="C3218" s="7" t="n"/>
      <c r="D3218" s="7" t="n"/>
      <c r="E3218" s="7" t="n"/>
      <c r="F3218" s="7" t="n"/>
      <c r="G3218" s="7" t="n"/>
      <c r="H3218" s="7" t="n"/>
      <c r="I3218" s="7" t="n"/>
      <c r="J3218" s="7" t="n"/>
      <c r="K3218">
        <f>IF(D3218="Legitimate Interest (GDPR Art. 6(1)(f))", "Yes / Required (Sheet 3)", "")</f>
        <v/>
      </c>
      <c r="L3218" s="7" t="n"/>
      <c r="M3218" s="7" t="n"/>
      <c r="N3218">
        <f>IF(D3218="", "Gap - No Legal Basis", IF(AND(D3218="Consent (GDPR Art. 6(1)(a))", I3218="Not Captured"), "Gap - Invalid Consent", IF(AND(D3218="Legitimate Interest (GDPR Art. 6(1)(f))", L3218=""), "Gap - Missing LIA", IF(AND(G3218="Yes", H3218=""), "Gap - Missing Art. 9 Basis", IF(OR(I3218="Invalid - Not Freely Given", I3218="Invalid - Not Specific", I3218="Invalid - Not Informed", I3218="Invalid - Ambiguous"), "Gap - Invalid Consent", "Compliant")))))</f>
        <v/>
      </c>
      <c r="O3218" s="7" t="n"/>
    </row>
    <row r="3219">
      <c r="A3219" s="7" t="n"/>
      <c r="B3219" s="7" t="n"/>
      <c r="C3219" s="7" t="n"/>
      <c r="D3219" s="7" t="n"/>
      <c r="E3219" s="7" t="n"/>
      <c r="F3219" s="7" t="n"/>
      <c r="G3219" s="7" t="n"/>
      <c r="H3219" s="7" t="n"/>
      <c r="I3219" s="7" t="n"/>
      <c r="J3219" s="7" t="n"/>
      <c r="K3219">
        <f>IF(D3219="Legitimate Interest (GDPR Art. 6(1)(f))", "Yes / Required (Sheet 3)", "")</f>
        <v/>
      </c>
      <c r="L3219" s="7" t="n"/>
      <c r="M3219" s="7" t="n"/>
      <c r="N3219">
        <f>IF(D3219="", "Gap - No Legal Basis", IF(AND(D3219="Consent (GDPR Art. 6(1)(a))", I3219="Not Captured"), "Gap - Invalid Consent", IF(AND(D3219="Legitimate Interest (GDPR Art. 6(1)(f))", L3219=""), "Gap - Missing LIA", IF(AND(G3219="Yes", H3219=""), "Gap - Missing Art. 9 Basis", IF(OR(I3219="Invalid - Not Freely Given", I3219="Invalid - Not Specific", I3219="Invalid - Not Informed", I3219="Invalid - Ambiguous"), "Gap - Invalid Consent", "Compliant")))))</f>
        <v/>
      </c>
      <c r="O3219" s="7" t="n"/>
    </row>
    <row r="3220">
      <c r="A3220" s="7" t="n"/>
      <c r="B3220" s="7" t="n"/>
      <c r="C3220" s="7" t="n"/>
      <c r="D3220" s="7" t="n"/>
      <c r="E3220" s="7" t="n"/>
      <c r="F3220" s="7" t="n"/>
      <c r="G3220" s="7" t="n"/>
      <c r="H3220" s="7" t="n"/>
      <c r="I3220" s="7" t="n"/>
      <c r="J3220" s="7" t="n"/>
      <c r="K3220">
        <f>IF(D3220="Legitimate Interest (GDPR Art. 6(1)(f))", "Yes / Required (Sheet 3)", "")</f>
        <v/>
      </c>
      <c r="L3220" s="7" t="n"/>
      <c r="M3220" s="7" t="n"/>
      <c r="N3220">
        <f>IF(D3220="", "Gap - No Legal Basis", IF(AND(D3220="Consent (GDPR Art. 6(1)(a))", I3220="Not Captured"), "Gap - Invalid Consent", IF(AND(D3220="Legitimate Interest (GDPR Art. 6(1)(f))", L3220=""), "Gap - Missing LIA", IF(AND(G3220="Yes", H3220=""), "Gap - Missing Art. 9 Basis", IF(OR(I3220="Invalid - Not Freely Given", I3220="Invalid - Not Specific", I3220="Invalid - Not Informed", I3220="Invalid - Ambiguous"), "Gap - Invalid Consent", "Compliant")))))</f>
        <v/>
      </c>
      <c r="O3220" s="7" t="n"/>
    </row>
    <row r="3221">
      <c r="A3221" s="7" t="n"/>
      <c r="B3221" s="7" t="n"/>
      <c r="C3221" s="7" t="n"/>
      <c r="D3221" s="7" t="n"/>
      <c r="E3221" s="7" t="n"/>
      <c r="F3221" s="7" t="n"/>
      <c r="G3221" s="7" t="n"/>
      <c r="H3221" s="7" t="n"/>
      <c r="I3221" s="7" t="n"/>
      <c r="J3221" s="7" t="n"/>
      <c r="K3221">
        <f>IF(D3221="Legitimate Interest (GDPR Art. 6(1)(f))", "Yes / Required (Sheet 3)", "")</f>
        <v/>
      </c>
      <c r="L3221" s="7" t="n"/>
      <c r="M3221" s="7" t="n"/>
      <c r="N3221">
        <f>IF(D3221="", "Gap - No Legal Basis", IF(AND(D3221="Consent (GDPR Art. 6(1)(a))", I3221="Not Captured"), "Gap - Invalid Consent", IF(AND(D3221="Legitimate Interest (GDPR Art. 6(1)(f))", L3221=""), "Gap - Missing LIA", IF(AND(G3221="Yes", H3221=""), "Gap - Missing Art. 9 Basis", IF(OR(I3221="Invalid - Not Freely Given", I3221="Invalid - Not Specific", I3221="Invalid - Not Informed", I3221="Invalid - Ambiguous"), "Gap - Invalid Consent", "Compliant")))))</f>
        <v/>
      </c>
      <c r="O3221" s="7" t="n"/>
    </row>
    <row r="3222">
      <c r="A3222" s="7" t="n"/>
      <c r="B3222" s="7" t="n"/>
      <c r="C3222" s="7" t="n"/>
      <c r="D3222" s="7" t="n"/>
      <c r="E3222" s="7" t="n"/>
      <c r="F3222" s="7" t="n"/>
      <c r="G3222" s="7" t="n"/>
      <c r="H3222" s="7" t="n"/>
      <c r="I3222" s="7" t="n"/>
      <c r="J3222" s="7" t="n"/>
      <c r="K3222">
        <f>IF(D3222="Legitimate Interest (GDPR Art. 6(1)(f))", "Yes / Required (Sheet 3)", "")</f>
        <v/>
      </c>
      <c r="L3222" s="7" t="n"/>
      <c r="M3222" s="7" t="n"/>
      <c r="N3222">
        <f>IF(D3222="", "Gap - No Legal Basis", IF(AND(D3222="Consent (GDPR Art. 6(1)(a))", I3222="Not Captured"), "Gap - Invalid Consent", IF(AND(D3222="Legitimate Interest (GDPR Art. 6(1)(f))", L3222=""), "Gap - Missing LIA", IF(AND(G3222="Yes", H3222=""), "Gap - Missing Art. 9 Basis", IF(OR(I3222="Invalid - Not Freely Given", I3222="Invalid - Not Specific", I3222="Invalid - Not Informed", I3222="Invalid - Ambiguous"), "Gap - Invalid Consent", "Compliant")))))</f>
        <v/>
      </c>
      <c r="O3222" s="7" t="n"/>
    </row>
    <row r="3223">
      <c r="A3223" s="7" t="n"/>
      <c r="B3223" s="7" t="n"/>
      <c r="C3223" s="7" t="n"/>
      <c r="D3223" s="7" t="n"/>
      <c r="E3223" s="7" t="n"/>
      <c r="F3223" s="7" t="n"/>
      <c r="G3223" s="7" t="n"/>
      <c r="H3223" s="7" t="n"/>
      <c r="I3223" s="7" t="n"/>
      <c r="J3223" s="7" t="n"/>
      <c r="K3223">
        <f>IF(D3223="Legitimate Interest (GDPR Art. 6(1)(f))", "Yes / Required (Sheet 3)", "")</f>
        <v/>
      </c>
      <c r="L3223" s="7" t="n"/>
      <c r="M3223" s="7" t="n"/>
      <c r="N3223">
        <f>IF(D3223="", "Gap - No Legal Basis", IF(AND(D3223="Consent (GDPR Art. 6(1)(a))", I3223="Not Captured"), "Gap - Invalid Consent", IF(AND(D3223="Legitimate Interest (GDPR Art. 6(1)(f))", L3223=""), "Gap - Missing LIA", IF(AND(G3223="Yes", H3223=""), "Gap - Missing Art. 9 Basis", IF(OR(I3223="Invalid - Not Freely Given", I3223="Invalid - Not Specific", I3223="Invalid - Not Informed", I3223="Invalid - Ambiguous"), "Gap - Invalid Consent", "Compliant")))))</f>
        <v/>
      </c>
      <c r="O3223" s="7" t="n"/>
    </row>
    <row r="3224">
      <c r="A3224" s="7" t="n"/>
      <c r="B3224" s="7" t="n"/>
      <c r="C3224" s="7" t="n"/>
      <c r="D3224" s="7" t="n"/>
      <c r="E3224" s="7" t="n"/>
      <c r="F3224" s="7" t="n"/>
      <c r="G3224" s="7" t="n"/>
      <c r="H3224" s="7" t="n"/>
      <c r="I3224" s="7" t="n"/>
      <c r="J3224" s="7" t="n"/>
      <c r="K3224">
        <f>IF(D3224="Legitimate Interest (GDPR Art. 6(1)(f))", "Yes / Required (Sheet 3)", "")</f>
        <v/>
      </c>
      <c r="L3224" s="7" t="n"/>
      <c r="M3224" s="7" t="n"/>
      <c r="N3224">
        <f>IF(D3224="", "Gap - No Legal Basis", IF(AND(D3224="Consent (GDPR Art. 6(1)(a))", I3224="Not Captured"), "Gap - Invalid Consent", IF(AND(D3224="Legitimate Interest (GDPR Art. 6(1)(f))", L3224=""), "Gap - Missing LIA", IF(AND(G3224="Yes", H3224=""), "Gap - Missing Art. 9 Basis", IF(OR(I3224="Invalid - Not Freely Given", I3224="Invalid - Not Specific", I3224="Invalid - Not Informed", I3224="Invalid - Ambiguous"), "Gap - Invalid Consent", "Compliant")))))</f>
        <v/>
      </c>
      <c r="O3224" s="7" t="n"/>
    </row>
    <row r="3225">
      <c r="A3225" s="7" t="n"/>
      <c r="B3225" s="7" t="n"/>
      <c r="C3225" s="7" t="n"/>
      <c r="D3225" s="7" t="n"/>
      <c r="E3225" s="7" t="n"/>
      <c r="F3225" s="7" t="n"/>
      <c r="G3225" s="7" t="n"/>
      <c r="H3225" s="7" t="n"/>
      <c r="I3225" s="7" t="n"/>
      <c r="J3225" s="7" t="n"/>
      <c r="K3225">
        <f>IF(D3225="Legitimate Interest (GDPR Art. 6(1)(f))", "Yes / Required (Sheet 3)", "")</f>
        <v/>
      </c>
      <c r="L3225" s="7" t="n"/>
      <c r="M3225" s="7" t="n"/>
      <c r="N3225">
        <f>IF(D3225="", "Gap - No Legal Basis", IF(AND(D3225="Consent (GDPR Art. 6(1)(a))", I3225="Not Captured"), "Gap - Invalid Consent", IF(AND(D3225="Legitimate Interest (GDPR Art. 6(1)(f))", L3225=""), "Gap - Missing LIA", IF(AND(G3225="Yes", H3225=""), "Gap - Missing Art. 9 Basis", IF(OR(I3225="Invalid - Not Freely Given", I3225="Invalid - Not Specific", I3225="Invalid - Not Informed", I3225="Invalid - Ambiguous"), "Gap - Invalid Consent", "Compliant")))))</f>
        <v/>
      </c>
      <c r="O3225" s="7" t="n"/>
    </row>
    <row r="3226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7" t="n"/>
      <c r="J3226" s="7" t="n"/>
      <c r="K3226">
        <f>IF(D3226="Legitimate Interest (GDPR Art. 6(1)(f))", "Yes / Required (Sheet 3)", "")</f>
        <v/>
      </c>
      <c r="L3226" s="7" t="n"/>
      <c r="M3226" s="7" t="n"/>
      <c r="N3226">
        <f>IF(D3226="", "Gap - No Legal Basis", IF(AND(D3226="Consent (GDPR Art. 6(1)(a))", I3226="Not Captured"), "Gap - Invalid Consent", IF(AND(D3226="Legitimate Interest (GDPR Art. 6(1)(f))", L3226=""), "Gap - Missing LIA", IF(AND(G3226="Yes", H3226=""), "Gap - Missing Art. 9 Basis", IF(OR(I3226="Invalid - Not Freely Given", I3226="Invalid - Not Specific", I3226="Invalid - Not Informed", I3226="Invalid - Ambiguous"), "Gap - Invalid Consent", "Compliant")))))</f>
        <v/>
      </c>
      <c r="O3226" s="7" t="n"/>
    </row>
    <row r="3227">
      <c r="A3227" s="7" t="n"/>
      <c r="B3227" s="7" t="n"/>
      <c r="C3227" s="7" t="n"/>
      <c r="D3227" s="7" t="n"/>
      <c r="E3227" s="7" t="n"/>
      <c r="F3227" s="7" t="n"/>
      <c r="G3227" s="7" t="n"/>
      <c r="H3227" s="7" t="n"/>
      <c r="I3227" s="7" t="n"/>
      <c r="J3227" s="7" t="n"/>
      <c r="K3227">
        <f>IF(D3227="Legitimate Interest (GDPR Art. 6(1)(f))", "Yes / Required (Sheet 3)", "")</f>
        <v/>
      </c>
      <c r="L3227" s="7" t="n"/>
      <c r="M3227" s="7" t="n"/>
      <c r="N3227">
        <f>IF(D3227="", "Gap - No Legal Basis", IF(AND(D3227="Consent (GDPR Art. 6(1)(a))", I3227="Not Captured"), "Gap - Invalid Consent", IF(AND(D3227="Legitimate Interest (GDPR Art. 6(1)(f))", L3227=""), "Gap - Missing LIA", IF(AND(G3227="Yes", H3227=""), "Gap - Missing Art. 9 Basis", IF(OR(I3227="Invalid - Not Freely Given", I3227="Invalid - Not Specific", I3227="Invalid - Not Informed", I3227="Invalid - Ambiguous"), "Gap - Invalid Consent", "Compliant")))))</f>
        <v/>
      </c>
      <c r="O3227" s="7" t="n"/>
    </row>
    <row r="3228">
      <c r="A3228" s="7" t="n"/>
      <c r="B3228" s="7" t="n"/>
      <c r="C3228" s="7" t="n"/>
      <c r="D3228" s="7" t="n"/>
      <c r="E3228" s="7" t="n"/>
      <c r="F3228" s="7" t="n"/>
      <c r="G3228" s="7" t="n"/>
      <c r="H3228" s="7" t="n"/>
      <c r="I3228" s="7" t="n"/>
      <c r="J3228" s="7" t="n"/>
      <c r="K3228">
        <f>IF(D3228="Legitimate Interest (GDPR Art. 6(1)(f))", "Yes / Required (Sheet 3)", "")</f>
        <v/>
      </c>
      <c r="L3228" s="7" t="n"/>
      <c r="M3228" s="7" t="n"/>
      <c r="N3228">
        <f>IF(D3228="", "Gap - No Legal Basis", IF(AND(D3228="Consent (GDPR Art. 6(1)(a))", I3228="Not Captured"), "Gap - Invalid Consent", IF(AND(D3228="Legitimate Interest (GDPR Art. 6(1)(f))", L3228=""), "Gap - Missing LIA", IF(AND(G3228="Yes", H3228=""), "Gap - Missing Art. 9 Basis", IF(OR(I3228="Invalid - Not Freely Given", I3228="Invalid - Not Specific", I3228="Invalid - Not Informed", I3228="Invalid - Ambiguous"), "Gap - Invalid Consent", "Compliant")))))</f>
        <v/>
      </c>
      <c r="O3228" s="7" t="n"/>
    </row>
    <row r="3229">
      <c r="A3229" s="7" t="n"/>
      <c r="B3229" s="7" t="n"/>
      <c r="C3229" s="7" t="n"/>
      <c r="D3229" s="7" t="n"/>
      <c r="E3229" s="7" t="n"/>
      <c r="F3229" s="7" t="n"/>
      <c r="G3229" s="7" t="n"/>
      <c r="H3229" s="7" t="n"/>
      <c r="I3229" s="7" t="n"/>
      <c r="J3229" s="7" t="n"/>
      <c r="K3229">
        <f>IF(D3229="Legitimate Interest (GDPR Art. 6(1)(f))", "Yes / Required (Sheet 3)", "")</f>
        <v/>
      </c>
      <c r="L3229" s="7" t="n"/>
      <c r="M3229" s="7" t="n"/>
      <c r="N3229">
        <f>IF(D3229="", "Gap - No Legal Basis", IF(AND(D3229="Consent (GDPR Art. 6(1)(a))", I3229="Not Captured"), "Gap - Invalid Consent", IF(AND(D3229="Legitimate Interest (GDPR Art. 6(1)(f))", L3229=""), "Gap - Missing LIA", IF(AND(G3229="Yes", H3229=""), "Gap - Missing Art. 9 Basis", IF(OR(I3229="Invalid - Not Freely Given", I3229="Invalid - Not Specific", I3229="Invalid - Not Informed", I3229="Invalid - Ambiguous"), "Gap - Invalid Consent", "Compliant")))))</f>
        <v/>
      </c>
      <c r="O3229" s="7" t="n"/>
    </row>
    <row r="3230">
      <c r="A3230" s="7" t="n"/>
      <c r="B3230" s="7" t="n"/>
      <c r="C3230" s="7" t="n"/>
      <c r="D3230" s="7" t="n"/>
      <c r="E3230" s="7" t="n"/>
      <c r="F3230" s="7" t="n"/>
      <c r="G3230" s="7" t="n"/>
      <c r="H3230" s="7" t="n"/>
      <c r="I3230" s="7" t="n"/>
      <c r="J3230" s="7" t="n"/>
      <c r="K3230">
        <f>IF(D3230="Legitimate Interest (GDPR Art. 6(1)(f))", "Yes / Required (Sheet 3)", "")</f>
        <v/>
      </c>
      <c r="L3230" s="7" t="n"/>
      <c r="M3230" s="7" t="n"/>
      <c r="N3230">
        <f>IF(D3230="", "Gap - No Legal Basis", IF(AND(D3230="Consent (GDPR Art. 6(1)(a))", I3230="Not Captured"), "Gap - Invalid Consent", IF(AND(D3230="Legitimate Interest (GDPR Art. 6(1)(f))", L3230=""), "Gap - Missing LIA", IF(AND(G3230="Yes", H3230=""), "Gap - Missing Art. 9 Basis", IF(OR(I3230="Invalid - Not Freely Given", I3230="Invalid - Not Specific", I3230="Invalid - Not Informed", I3230="Invalid - Ambiguous"), "Gap - Invalid Consent", "Compliant")))))</f>
        <v/>
      </c>
      <c r="O3230" s="7" t="n"/>
    </row>
    <row r="3231">
      <c r="A3231" s="7" t="n"/>
      <c r="B3231" s="7" t="n"/>
      <c r="C3231" s="7" t="n"/>
      <c r="D3231" s="7" t="n"/>
      <c r="E3231" s="7" t="n"/>
      <c r="F3231" s="7" t="n"/>
      <c r="G3231" s="7" t="n"/>
      <c r="H3231" s="7" t="n"/>
      <c r="I3231" s="7" t="n"/>
      <c r="J3231" s="7" t="n"/>
      <c r="K3231">
        <f>IF(D3231="Legitimate Interest (GDPR Art. 6(1)(f))", "Yes / Required (Sheet 3)", "")</f>
        <v/>
      </c>
      <c r="L3231" s="7" t="n"/>
      <c r="M3231" s="7" t="n"/>
      <c r="N3231">
        <f>IF(D3231="", "Gap - No Legal Basis", IF(AND(D3231="Consent (GDPR Art. 6(1)(a))", I3231="Not Captured"), "Gap - Invalid Consent", IF(AND(D3231="Legitimate Interest (GDPR Art. 6(1)(f))", L3231=""), "Gap - Missing LIA", IF(AND(G3231="Yes", H3231=""), "Gap - Missing Art. 9 Basis", IF(OR(I3231="Invalid - Not Freely Given", I3231="Invalid - Not Specific", I3231="Invalid - Not Informed", I3231="Invalid - Ambiguous"), "Gap - Invalid Consent", "Compliant")))))</f>
        <v/>
      </c>
      <c r="O3231" s="7" t="n"/>
    </row>
    <row r="3232">
      <c r="A3232" s="7" t="n"/>
      <c r="B3232" s="7" t="n"/>
      <c r="C3232" s="7" t="n"/>
      <c r="D3232" s="7" t="n"/>
      <c r="E3232" s="7" t="n"/>
      <c r="F3232" s="7" t="n"/>
      <c r="G3232" s="7" t="n"/>
      <c r="H3232" s="7" t="n"/>
      <c r="I3232" s="7" t="n"/>
      <c r="J3232" s="7" t="n"/>
      <c r="K3232">
        <f>IF(D3232="Legitimate Interest (GDPR Art. 6(1)(f))", "Yes / Required (Sheet 3)", "")</f>
        <v/>
      </c>
      <c r="L3232" s="7" t="n"/>
      <c r="M3232" s="7" t="n"/>
      <c r="N3232">
        <f>IF(D3232="", "Gap - No Legal Basis", IF(AND(D3232="Consent (GDPR Art. 6(1)(a))", I3232="Not Captured"), "Gap - Invalid Consent", IF(AND(D3232="Legitimate Interest (GDPR Art. 6(1)(f))", L3232=""), "Gap - Missing LIA", IF(AND(G3232="Yes", H3232=""), "Gap - Missing Art. 9 Basis", IF(OR(I3232="Invalid - Not Freely Given", I3232="Invalid - Not Specific", I3232="Invalid - Not Informed", I3232="Invalid - Ambiguous"), "Gap - Invalid Consent", "Compliant")))))</f>
        <v/>
      </c>
      <c r="O3232" s="7" t="n"/>
    </row>
    <row r="3233">
      <c r="A3233" s="7" t="n"/>
      <c r="B3233" s="7" t="n"/>
      <c r="C3233" s="7" t="n"/>
      <c r="D3233" s="7" t="n"/>
      <c r="E3233" s="7" t="n"/>
      <c r="F3233" s="7" t="n"/>
      <c r="G3233" s="7" t="n"/>
      <c r="H3233" s="7" t="n"/>
      <c r="I3233" s="7" t="n"/>
      <c r="J3233" s="7" t="n"/>
      <c r="K3233">
        <f>IF(D3233="Legitimate Interest (GDPR Art. 6(1)(f))", "Yes / Required (Sheet 3)", "")</f>
        <v/>
      </c>
      <c r="L3233" s="7" t="n"/>
      <c r="M3233" s="7" t="n"/>
      <c r="N3233">
        <f>IF(D3233="", "Gap - No Legal Basis", IF(AND(D3233="Consent (GDPR Art. 6(1)(a))", I3233="Not Captured"), "Gap - Invalid Consent", IF(AND(D3233="Legitimate Interest (GDPR Art. 6(1)(f))", L3233=""), "Gap - Missing LIA", IF(AND(G3233="Yes", H3233=""), "Gap - Missing Art. 9 Basis", IF(OR(I3233="Invalid - Not Freely Given", I3233="Invalid - Not Specific", I3233="Invalid - Not Informed", I3233="Invalid - Ambiguous"), "Gap - Invalid Consent", "Compliant")))))</f>
        <v/>
      </c>
      <c r="O3233" s="7" t="n"/>
    </row>
    <row r="3234">
      <c r="A3234" s="7" t="n"/>
      <c r="B3234" s="7" t="n"/>
      <c r="C3234" s="7" t="n"/>
      <c r="D3234" s="7" t="n"/>
      <c r="E3234" s="7" t="n"/>
      <c r="F3234" s="7" t="n"/>
      <c r="G3234" s="7" t="n"/>
      <c r="H3234" s="7" t="n"/>
      <c r="I3234" s="7" t="n"/>
      <c r="J3234" s="7" t="n"/>
      <c r="K3234">
        <f>IF(D3234="Legitimate Interest (GDPR Art. 6(1)(f))", "Yes / Required (Sheet 3)", "")</f>
        <v/>
      </c>
      <c r="L3234" s="7" t="n"/>
      <c r="M3234" s="7" t="n"/>
      <c r="N3234">
        <f>IF(D3234="", "Gap - No Legal Basis", IF(AND(D3234="Consent (GDPR Art. 6(1)(a))", I3234="Not Captured"), "Gap - Invalid Consent", IF(AND(D3234="Legitimate Interest (GDPR Art. 6(1)(f))", L3234=""), "Gap - Missing LIA", IF(AND(G3234="Yes", H3234=""), "Gap - Missing Art. 9 Basis", IF(OR(I3234="Invalid - Not Freely Given", I3234="Invalid - Not Specific", I3234="Invalid - Not Informed", I3234="Invalid - Ambiguous"), "Gap - Invalid Consent", "Compliant")))))</f>
        <v/>
      </c>
      <c r="O3234" s="7" t="n"/>
    </row>
    <row r="3235">
      <c r="A3235" s="7" t="n"/>
      <c r="B3235" s="7" t="n"/>
      <c r="C3235" s="7" t="n"/>
      <c r="D3235" s="7" t="n"/>
      <c r="E3235" s="7" t="n"/>
      <c r="F3235" s="7" t="n"/>
      <c r="G3235" s="7" t="n"/>
      <c r="H3235" s="7" t="n"/>
      <c r="I3235" s="7" t="n"/>
      <c r="J3235" s="7" t="n"/>
      <c r="K3235">
        <f>IF(D3235="Legitimate Interest (GDPR Art. 6(1)(f))", "Yes / Required (Sheet 3)", "")</f>
        <v/>
      </c>
      <c r="L3235" s="7" t="n"/>
      <c r="M3235" s="7" t="n"/>
      <c r="N3235">
        <f>IF(D3235="", "Gap - No Legal Basis", IF(AND(D3235="Consent (GDPR Art. 6(1)(a))", I3235="Not Captured"), "Gap - Invalid Consent", IF(AND(D3235="Legitimate Interest (GDPR Art. 6(1)(f))", L3235=""), "Gap - Missing LIA", IF(AND(G3235="Yes", H3235=""), "Gap - Missing Art. 9 Basis", IF(OR(I3235="Invalid - Not Freely Given", I3235="Invalid - Not Specific", I3235="Invalid - Not Informed", I3235="Invalid - Ambiguous"), "Gap - Invalid Consent", "Compliant")))))</f>
        <v/>
      </c>
      <c r="O3235" s="7" t="n"/>
    </row>
    <row r="3236">
      <c r="A3236" s="7" t="n"/>
      <c r="B3236" s="7" t="n"/>
      <c r="C3236" s="7" t="n"/>
      <c r="D3236" s="7" t="n"/>
      <c r="E3236" s="7" t="n"/>
      <c r="F3236" s="7" t="n"/>
      <c r="G3236" s="7" t="n"/>
      <c r="H3236" s="7" t="n"/>
      <c r="I3236" s="7" t="n"/>
      <c r="J3236" s="7" t="n"/>
      <c r="K3236">
        <f>IF(D3236="Legitimate Interest (GDPR Art. 6(1)(f))", "Yes / Required (Sheet 3)", "")</f>
        <v/>
      </c>
      <c r="L3236" s="7" t="n"/>
      <c r="M3236" s="7" t="n"/>
      <c r="N3236">
        <f>IF(D3236="", "Gap - No Legal Basis", IF(AND(D3236="Consent (GDPR Art. 6(1)(a))", I3236="Not Captured"), "Gap - Invalid Consent", IF(AND(D3236="Legitimate Interest (GDPR Art. 6(1)(f))", L3236=""), "Gap - Missing LIA", IF(AND(G3236="Yes", H3236=""), "Gap - Missing Art. 9 Basis", IF(OR(I3236="Invalid - Not Freely Given", I3236="Invalid - Not Specific", I3236="Invalid - Not Informed", I3236="Invalid - Ambiguous"), "Gap - Invalid Consent", "Compliant")))))</f>
        <v/>
      </c>
      <c r="O3236" s="7" t="n"/>
    </row>
    <row r="3237">
      <c r="A3237" s="7" t="n"/>
      <c r="B3237" s="7" t="n"/>
      <c r="C3237" s="7" t="n"/>
      <c r="D3237" s="7" t="n"/>
      <c r="E3237" s="7" t="n"/>
      <c r="F3237" s="7" t="n"/>
      <c r="G3237" s="7" t="n"/>
      <c r="H3237" s="7" t="n"/>
      <c r="I3237" s="7" t="n"/>
      <c r="J3237" s="7" t="n"/>
      <c r="K3237">
        <f>IF(D3237="Legitimate Interest (GDPR Art. 6(1)(f))", "Yes / Required (Sheet 3)", "")</f>
        <v/>
      </c>
      <c r="L3237" s="7" t="n"/>
      <c r="M3237" s="7" t="n"/>
      <c r="N3237">
        <f>IF(D3237="", "Gap - No Legal Basis", IF(AND(D3237="Consent (GDPR Art. 6(1)(a))", I3237="Not Captured"), "Gap - Invalid Consent", IF(AND(D3237="Legitimate Interest (GDPR Art. 6(1)(f))", L3237=""), "Gap - Missing LIA", IF(AND(G3237="Yes", H3237=""), "Gap - Missing Art. 9 Basis", IF(OR(I3237="Invalid - Not Freely Given", I3237="Invalid - Not Specific", I3237="Invalid - Not Informed", I3237="Invalid - Ambiguous"), "Gap - Invalid Consent", "Compliant")))))</f>
        <v/>
      </c>
      <c r="O3237" s="7" t="n"/>
    </row>
    <row r="3238">
      <c r="A3238" s="7" t="n"/>
      <c r="B3238" s="7" t="n"/>
      <c r="C3238" s="7" t="n"/>
      <c r="D3238" s="7" t="n"/>
      <c r="E3238" s="7" t="n"/>
      <c r="F3238" s="7" t="n"/>
      <c r="G3238" s="7" t="n"/>
      <c r="H3238" s="7" t="n"/>
      <c r="I3238" s="7" t="n"/>
      <c r="J3238" s="7" t="n"/>
      <c r="K3238">
        <f>IF(D3238="Legitimate Interest (GDPR Art. 6(1)(f))", "Yes / Required (Sheet 3)", "")</f>
        <v/>
      </c>
      <c r="L3238" s="7" t="n"/>
      <c r="M3238" s="7" t="n"/>
      <c r="N3238">
        <f>IF(D3238="", "Gap - No Legal Basis", IF(AND(D3238="Consent (GDPR Art. 6(1)(a))", I3238="Not Captured"), "Gap - Invalid Consent", IF(AND(D3238="Legitimate Interest (GDPR Art. 6(1)(f))", L3238=""), "Gap - Missing LIA", IF(AND(G3238="Yes", H3238=""), "Gap - Missing Art. 9 Basis", IF(OR(I3238="Invalid - Not Freely Given", I3238="Invalid - Not Specific", I3238="Invalid - Not Informed", I3238="Invalid - Ambiguous"), "Gap - Invalid Consent", "Compliant")))))</f>
        <v/>
      </c>
      <c r="O3238" s="7" t="n"/>
    </row>
    <row r="3239">
      <c r="A3239" s="7" t="n"/>
      <c r="B3239" s="7" t="n"/>
      <c r="C3239" s="7" t="n"/>
      <c r="D3239" s="7" t="n"/>
      <c r="E3239" s="7" t="n"/>
      <c r="F3239" s="7" t="n"/>
      <c r="G3239" s="7" t="n"/>
      <c r="H3239" s="7" t="n"/>
      <c r="I3239" s="7" t="n"/>
      <c r="J3239" s="7" t="n"/>
      <c r="K3239">
        <f>IF(D3239="Legitimate Interest (GDPR Art. 6(1)(f))", "Yes / Required (Sheet 3)", "")</f>
        <v/>
      </c>
      <c r="L3239" s="7" t="n"/>
      <c r="M3239" s="7" t="n"/>
      <c r="N3239">
        <f>IF(D3239="", "Gap - No Legal Basis", IF(AND(D3239="Consent (GDPR Art. 6(1)(a))", I3239="Not Captured"), "Gap - Invalid Consent", IF(AND(D3239="Legitimate Interest (GDPR Art. 6(1)(f))", L3239=""), "Gap - Missing LIA", IF(AND(G3239="Yes", H3239=""), "Gap - Missing Art. 9 Basis", IF(OR(I3239="Invalid - Not Freely Given", I3239="Invalid - Not Specific", I3239="Invalid - Not Informed", I3239="Invalid - Ambiguous"), "Gap - Invalid Consent", "Compliant")))))</f>
        <v/>
      </c>
      <c r="O3239" s="7" t="n"/>
    </row>
    <row r="3240">
      <c r="A3240" s="7" t="n"/>
      <c r="B3240" s="7" t="n"/>
      <c r="C3240" s="7" t="n"/>
      <c r="D3240" s="7" t="n"/>
      <c r="E3240" s="7" t="n"/>
      <c r="F3240" s="7" t="n"/>
      <c r="G3240" s="7" t="n"/>
      <c r="H3240" s="7" t="n"/>
      <c r="I3240" s="7" t="n"/>
      <c r="J3240" s="7" t="n"/>
      <c r="K3240">
        <f>IF(D3240="Legitimate Interest (GDPR Art. 6(1)(f))", "Yes / Required (Sheet 3)", "")</f>
        <v/>
      </c>
      <c r="L3240" s="7" t="n"/>
      <c r="M3240" s="7" t="n"/>
      <c r="N3240">
        <f>IF(D3240="", "Gap - No Legal Basis", IF(AND(D3240="Consent (GDPR Art. 6(1)(a))", I3240="Not Captured"), "Gap - Invalid Consent", IF(AND(D3240="Legitimate Interest (GDPR Art. 6(1)(f))", L3240=""), "Gap - Missing LIA", IF(AND(G3240="Yes", H3240=""), "Gap - Missing Art. 9 Basis", IF(OR(I3240="Invalid - Not Freely Given", I3240="Invalid - Not Specific", I3240="Invalid - Not Informed", I3240="Invalid - Ambiguous"), "Gap - Invalid Consent", "Compliant")))))</f>
        <v/>
      </c>
      <c r="O3240" s="7" t="n"/>
    </row>
    <row r="3241">
      <c r="A3241" s="7" t="n"/>
      <c r="B3241" s="7" t="n"/>
      <c r="C3241" s="7" t="n"/>
      <c r="D3241" s="7" t="n"/>
      <c r="E3241" s="7" t="n"/>
      <c r="F3241" s="7" t="n"/>
      <c r="G3241" s="7" t="n"/>
      <c r="H3241" s="7" t="n"/>
      <c r="I3241" s="7" t="n"/>
      <c r="J3241" s="7" t="n"/>
      <c r="K3241">
        <f>IF(D3241="Legitimate Interest (GDPR Art. 6(1)(f))", "Yes / Required (Sheet 3)", "")</f>
        <v/>
      </c>
      <c r="L3241" s="7" t="n"/>
      <c r="M3241" s="7" t="n"/>
      <c r="N3241">
        <f>IF(D3241="", "Gap - No Legal Basis", IF(AND(D3241="Consent (GDPR Art. 6(1)(a))", I3241="Not Captured"), "Gap - Invalid Consent", IF(AND(D3241="Legitimate Interest (GDPR Art. 6(1)(f))", L3241=""), "Gap - Missing LIA", IF(AND(G3241="Yes", H3241=""), "Gap - Missing Art. 9 Basis", IF(OR(I3241="Invalid - Not Freely Given", I3241="Invalid - Not Specific", I3241="Invalid - Not Informed", I3241="Invalid - Ambiguous"), "Gap - Invalid Consent", "Compliant")))))</f>
        <v/>
      </c>
      <c r="O3241" s="7" t="n"/>
    </row>
    <row r="3242">
      <c r="A3242" s="7" t="n"/>
      <c r="B3242" s="7" t="n"/>
      <c r="C3242" s="7" t="n"/>
      <c r="D3242" s="7" t="n"/>
      <c r="E3242" s="7" t="n"/>
      <c r="F3242" s="7" t="n"/>
      <c r="G3242" s="7" t="n"/>
      <c r="H3242" s="7" t="n"/>
      <c r="I3242" s="7" t="n"/>
      <c r="J3242" s="7" t="n"/>
      <c r="K3242">
        <f>IF(D3242="Legitimate Interest (GDPR Art. 6(1)(f))", "Yes / Required (Sheet 3)", "")</f>
        <v/>
      </c>
      <c r="L3242" s="7" t="n"/>
      <c r="M3242" s="7" t="n"/>
      <c r="N3242">
        <f>IF(D3242="", "Gap - No Legal Basis", IF(AND(D3242="Consent (GDPR Art. 6(1)(a))", I3242="Not Captured"), "Gap - Invalid Consent", IF(AND(D3242="Legitimate Interest (GDPR Art. 6(1)(f))", L3242=""), "Gap - Missing LIA", IF(AND(G3242="Yes", H3242=""), "Gap - Missing Art. 9 Basis", IF(OR(I3242="Invalid - Not Freely Given", I3242="Invalid - Not Specific", I3242="Invalid - Not Informed", I3242="Invalid - Ambiguous"), "Gap - Invalid Consent", "Compliant")))))</f>
        <v/>
      </c>
      <c r="O3242" s="7" t="n"/>
    </row>
    <row r="3243">
      <c r="A3243" s="7" t="n"/>
      <c r="B3243" s="7" t="n"/>
      <c r="C3243" s="7" t="n"/>
      <c r="D3243" s="7" t="n"/>
      <c r="E3243" s="7" t="n"/>
      <c r="F3243" s="7" t="n"/>
      <c r="G3243" s="7" t="n"/>
      <c r="H3243" s="7" t="n"/>
      <c r="I3243" s="7" t="n"/>
      <c r="J3243" s="7" t="n"/>
      <c r="K3243">
        <f>IF(D3243="Legitimate Interest (GDPR Art. 6(1)(f))", "Yes / Required (Sheet 3)", "")</f>
        <v/>
      </c>
      <c r="L3243" s="7" t="n"/>
      <c r="M3243" s="7" t="n"/>
      <c r="N3243">
        <f>IF(D3243="", "Gap - No Legal Basis", IF(AND(D3243="Consent (GDPR Art. 6(1)(a))", I3243="Not Captured"), "Gap - Invalid Consent", IF(AND(D3243="Legitimate Interest (GDPR Art. 6(1)(f))", L3243=""), "Gap - Missing LIA", IF(AND(G3243="Yes", H3243=""), "Gap - Missing Art. 9 Basis", IF(OR(I3243="Invalid - Not Freely Given", I3243="Invalid - Not Specific", I3243="Invalid - Not Informed", I3243="Invalid - Ambiguous"), "Gap - Invalid Consent", "Compliant")))))</f>
        <v/>
      </c>
      <c r="O3243" s="7" t="n"/>
    </row>
    <row r="3244">
      <c r="A3244" s="7" t="n"/>
      <c r="B3244" s="7" t="n"/>
      <c r="C3244" s="7" t="n"/>
      <c r="D3244" s="7" t="n"/>
      <c r="E3244" s="7" t="n"/>
      <c r="F3244" s="7" t="n"/>
      <c r="G3244" s="7" t="n"/>
      <c r="H3244" s="7" t="n"/>
      <c r="I3244" s="7" t="n"/>
      <c r="J3244" s="7" t="n"/>
      <c r="K3244">
        <f>IF(D3244="Legitimate Interest (GDPR Art. 6(1)(f))", "Yes / Required (Sheet 3)", "")</f>
        <v/>
      </c>
      <c r="L3244" s="7" t="n"/>
      <c r="M3244" s="7" t="n"/>
      <c r="N3244">
        <f>IF(D3244="", "Gap - No Legal Basis", IF(AND(D3244="Consent (GDPR Art. 6(1)(a))", I3244="Not Captured"), "Gap - Invalid Consent", IF(AND(D3244="Legitimate Interest (GDPR Art. 6(1)(f))", L3244=""), "Gap - Missing LIA", IF(AND(G3244="Yes", H3244=""), "Gap - Missing Art. 9 Basis", IF(OR(I3244="Invalid - Not Freely Given", I3244="Invalid - Not Specific", I3244="Invalid - Not Informed", I3244="Invalid - Ambiguous"), "Gap - Invalid Consent", "Compliant")))))</f>
        <v/>
      </c>
      <c r="O3244" s="7" t="n"/>
    </row>
    <row r="3245">
      <c r="A3245" s="7" t="n"/>
      <c r="B3245" s="7" t="n"/>
      <c r="C3245" s="7" t="n"/>
      <c r="D3245" s="7" t="n"/>
      <c r="E3245" s="7" t="n"/>
      <c r="F3245" s="7" t="n"/>
      <c r="G3245" s="7" t="n"/>
      <c r="H3245" s="7" t="n"/>
      <c r="I3245" s="7" t="n"/>
      <c r="J3245" s="7" t="n"/>
      <c r="K3245">
        <f>IF(D3245="Legitimate Interest (GDPR Art. 6(1)(f))", "Yes / Required (Sheet 3)", "")</f>
        <v/>
      </c>
      <c r="L3245" s="7" t="n"/>
      <c r="M3245" s="7" t="n"/>
      <c r="N3245">
        <f>IF(D3245="", "Gap - No Legal Basis", IF(AND(D3245="Consent (GDPR Art. 6(1)(a))", I3245="Not Captured"), "Gap - Invalid Consent", IF(AND(D3245="Legitimate Interest (GDPR Art. 6(1)(f))", L3245=""), "Gap - Missing LIA", IF(AND(G3245="Yes", H3245=""), "Gap - Missing Art. 9 Basis", IF(OR(I3245="Invalid - Not Freely Given", I3245="Invalid - Not Specific", I3245="Invalid - Not Informed", I3245="Invalid - Ambiguous"), "Gap - Invalid Consent", "Compliant")))))</f>
        <v/>
      </c>
      <c r="O3245" s="7" t="n"/>
    </row>
    <row r="3246">
      <c r="A3246" s="7" t="n"/>
      <c r="B3246" s="7" t="n"/>
      <c r="C3246" s="7" t="n"/>
      <c r="D3246" s="7" t="n"/>
      <c r="E3246" s="7" t="n"/>
      <c r="F3246" s="7" t="n"/>
      <c r="G3246" s="7" t="n"/>
      <c r="H3246" s="7" t="n"/>
      <c r="I3246" s="7" t="n"/>
      <c r="J3246" s="7" t="n"/>
      <c r="K3246">
        <f>IF(D3246="Legitimate Interest (GDPR Art. 6(1)(f))", "Yes / Required (Sheet 3)", "")</f>
        <v/>
      </c>
      <c r="L3246" s="7" t="n"/>
      <c r="M3246" s="7" t="n"/>
      <c r="N3246">
        <f>IF(D3246="", "Gap - No Legal Basis", IF(AND(D3246="Consent (GDPR Art. 6(1)(a))", I3246="Not Captured"), "Gap - Invalid Consent", IF(AND(D3246="Legitimate Interest (GDPR Art. 6(1)(f))", L3246=""), "Gap - Missing LIA", IF(AND(G3246="Yes", H3246=""), "Gap - Missing Art. 9 Basis", IF(OR(I3246="Invalid - Not Freely Given", I3246="Invalid - Not Specific", I3246="Invalid - Not Informed", I3246="Invalid - Ambiguous"), "Gap - Invalid Consent", "Compliant")))))</f>
        <v/>
      </c>
      <c r="O3246" s="7" t="n"/>
    </row>
    <row r="3247">
      <c r="A3247" s="7" t="n"/>
      <c r="B3247" s="7" t="n"/>
      <c r="C3247" s="7" t="n"/>
      <c r="D3247" s="7" t="n"/>
      <c r="E3247" s="7" t="n"/>
      <c r="F3247" s="7" t="n"/>
      <c r="G3247" s="7" t="n"/>
      <c r="H3247" s="7" t="n"/>
      <c r="I3247" s="7" t="n"/>
      <c r="J3247" s="7" t="n"/>
      <c r="K3247">
        <f>IF(D3247="Legitimate Interest (GDPR Art. 6(1)(f))", "Yes / Required (Sheet 3)", "")</f>
        <v/>
      </c>
      <c r="L3247" s="7" t="n"/>
      <c r="M3247" s="7" t="n"/>
      <c r="N3247">
        <f>IF(D3247="", "Gap - No Legal Basis", IF(AND(D3247="Consent (GDPR Art. 6(1)(a))", I3247="Not Captured"), "Gap - Invalid Consent", IF(AND(D3247="Legitimate Interest (GDPR Art. 6(1)(f))", L3247=""), "Gap - Missing LIA", IF(AND(G3247="Yes", H3247=""), "Gap - Missing Art. 9 Basis", IF(OR(I3247="Invalid - Not Freely Given", I3247="Invalid - Not Specific", I3247="Invalid - Not Informed", I3247="Invalid - Ambiguous"), "Gap - Invalid Consent", "Compliant")))))</f>
        <v/>
      </c>
      <c r="O3247" s="7" t="n"/>
    </row>
    <row r="3248">
      <c r="A3248" s="7" t="n"/>
      <c r="B3248" s="7" t="n"/>
      <c r="C3248" s="7" t="n"/>
      <c r="D3248" s="7" t="n"/>
      <c r="E3248" s="7" t="n"/>
      <c r="F3248" s="7" t="n"/>
      <c r="G3248" s="7" t="n"/>
      <c r="H3248" s="7" t="n"/>
      <c r="I3248" s="7" t="n"/>
      <c r="J3248" s="7" t="n"/>
      <c r="K3248">
        <f>IF(D3248="Legitimate Interest (GDPR Art. 6(1)(f))", "Yes / Required (Sheet 3)", "")</f>
        <v/>
      </c>
      <c r="L3248" s="7" t="n"/>
      <c r="M3248" s="7" t="n"/>
      <c r="N3248">
        <f>IF(D3248="", "Gap - No Legal Basis", IF(AND(D3248="Consent (GDPR Art. 6(1)(a))", I3248="Not Captured"), "Gap - Invalid Consent", IF(AND(D3248="Legitimate Interest (GDPR Art. 6(1)(f))", L3248=""), "Gap - Missing LIA", IF(AND(G3248="Yes", H3248=""), "Gap - Missing Art. 9 Basis", IF(OR(I3248="Invalid - Not Freely Given", I3248="Invalid - Not Specific", I3248="Invalid - Not Informed", I3248="Invalid - Ambiguous"), "Gap - Invalid Consent", "Compliant")))))</f>
        <v/>
      </c>
      <c r="O3248" s="7" t="n"/>
    </row>
    <row r="3249">
      <c r="A3249" s="7" t="n"/>
      <c r="B3249" s="7" t="n"/>
      <c r="C3249" s="7" t="n"/>
      <c r="D3249" s="7" t="n"/>
      <c r="E3249" s="7" t="n"/>
      <c r="F3249" s="7" t="n"/>
      <c r="G3249" s="7" t="n"/>
      <c r="H3249" s="7" t="n"/>
      <c r="I3249" s="7" t="n"/>
      <c r="J3249" s="7" t="n"/>
      <c r="K3249">
        <f>IF(D3249="Legitimate Interest (GDPR Art. 6(1)(f))", "Yes / Required (Sheet 3)", "")</f>
        <v/>
      </c>
      <c r="L3249" s="7" t="n"/>
      <c r="M3249" s="7" t="n"/>
      <c r="N3249">
        <f>IF(D3249="", "Gap - No Legal Basis", IF(AND(D3249="Consent (GDPR Art. 6(1)(a))", I3249="Not Captured"), "Gap - Invalid Consent", IF(AND(D3249="Legitimate Interest (GDPR Art. 6(1)(f))", L3249=""), "Gap - Missing LIA", IF(AND(G3249="Yes", H3249=""), "Gap - Missing Art. 9 Basis", IF(OR(I3249="Invalid - Not Freely Given", I3249="Invalid - Not Specific", I3249="Invalid - Not Informed", I3249="Invalid - Ambiguous"), "Gap - Invalid Consent", "Compliant")))))</f>
        <v/>
      </c>
      <c r="O3249" s="7" t="n"/>
    </row>
    <row r="3250">
      <c r="A3250" s="7" t="n"/>
      <c r="B3250" s="7" t="n"/>
      <c r="C3250" s="7" t="n"/>
      <c r="D3250" s="7" t="n"/>
      <c r="E3250" s="7" t="n"/>
      <c r="F3250" s="7" t="n"/>
      <c r="G3250" s="7" t="n"/>
      <c r="H3250" s="7" t="n"/>
      <c r="I3250" s="7" t="n"/>
      <c r="J3250" s="7" t="n"/>
      <c r="K3250">
        <f>IF(D3250="Legitimate Interest (GDPR Art. 6(1)(f))", "Yes / Required (Sheet 3)", "")</f>
        <v/>
      </c>
      <c r="L3250" s="7" t="n"/>
      <c r="M3250" s="7" t="n"/>
      <c r="N3250">
        <f>IF(D3250="", "Gap - No Legal Basis", IF(AND(D3250="Consent (GDPR Art. 6(1)(a))", I3250="Not Captured"), "Gap - Invalid Consent", IF(AND(D3250="Legitimate Interest (GDPR Art. 6(1)(f))", L3250=""), "Gap - Missing LIA", IF(AND(G3250="Yes", H3250=""), "Gap - Missing Art. 9 Basis", IF(OR(I3250="Invalid - Not Freely Given", I3250="Invalid - Not Specific", I3250="Invalid - Not Informed", I3250="Invalid - Ambiguous"), "Gap - Invalid Consent", "Compliant")))))</f>
        <v/>
      </c>
      <c r="O3250" s="7" t="n"/>
    </row>
    <row r="3251">
      <c r="A3251" s="7" t="n"/>
      <c r="B3251" s="7" t="n"/>
      <c r="C3251" s="7" t="n"/>
      <c r="D3251" s="7" t="n"/>
      <c r="E3251" s="7" t="n"/>
      <c r="F3251" s="7" t="n"/>
      <c r="G3251" s="7" t="n"/>
      <c r="H3251" s="7" t="n"/>
      <c r="I3251" s="7" t="n"/>
      <c r="J3251" s="7" t="n"/>
      <c r="K3251">
        <f>IF(D3251="Legitimate Interest (GDPR Art. 6(1)(f))", "Yes / Required (Sheet 3)", "")</f>
        <v/>
      </c>
      <c r="L3251" s="7" t="n"/>
      <c r="M3251" s="7" t="n"/>
      <c r="N3251">
        <f>IF(D3251="", "Gap - No Legal Basis", IF(AND(D3251="Consent (GDPR Art. 6(1)(a))", I3251="Not Captured"), "Gap - Invalid Consent", IF(AND(D3251="Legitimate Interest (GDPR Art. 6(1)(f))", L3251=""), "Gap - Missing LIA", IF(AND(G3251="Yes", H3251=""), "Gap - Missing Art. 9 Basis", IF(OR(I3251="Invalid - Not Freely Given", I3251="Invalid - Not Specific", I3251="Invalid - Not Informed", I3251="Invalid - Ambiguous"), "Gap - Invalid Consent", "Compliant")))))</f>
        <v/>
      </c>
      <c r="O3251" s="7" t="n"/>
    </row>
    <row r="3252">
      <c r="A3252" s="7" t="n"/>
      <c r="B3252" s="7" t="n"/>
      <c r="C3252" s="7" t="n"/>
      <c r="D3252" s="7" t="n"/>
      <c r="E3252" s="7" t="n"/>
      <c r="F3252" s="7" t="n"/>
      <c r="G3252" s="7" t="n"/>
      <c r="H3252" s="7" t="n"/>
      <c r="I3252" s="7" t="n"/>
      <c r="J3252" s="7" t="n"/>
      <c r="K3252">
        <f>IF(D3252="Legitimate Interest (GDPR Art. 6(1)(f))", "Yes / Required (Sheet 3)", "")</f>
        <v/>
      </c>
      <c r="L3252" s="7" t="n"/>
      <c r="M3252" s="7" t="n"/>
      <c r="N3252">
        <f>IF(D3252="", "Gap - No Legal Basis", IF(AND(D3252="Consent (GDPR Art. 6(1)(a))", I3252="Not Captured"), "Gap - Invalid Consent", IF(AND(D3252="Legitimate Interest (GDPR Art. 6(1)(f))", L3252=""), "Gap - Missing LIA", IF(AND(G3252="Yes", H3252=""), "Gap - Missing Art. 9 Basis", IF(OR(I3252="Invalid - Not Freely Given", I3252="Invalid - Not Specific", I3252="Invalid - Not Informed", I3252="Invalid - Ambiguous"), "Gap - Invalid Consent", "Compliant")))))</f>
        <v/>
      </c>
      <c r="O3252" s="7" t="n"/>
    </row>
    <row r="3253">
      <c r="A3253" s="7" t="n"/>
      <c r="B3253" s="7" t="n"/>
      <c r="C3253" s="7" t="n"/>
      <c r="D3253" s="7" t="n"/>
      <c r="E3253" s="7" t="n"/>
      <c r="F3253" s="7" t="n"/>
      <c r="G3253" s="7" t="n"/>
      <c r="H3253" s="7" t="n"/>
      <c r="I3253" s="7" t="n"/>
      <c r="J3253" s="7" t="n"/>
      <c r="K3253">
        <f>IF(D3253="Legitimate Interest (GDPR Art. 6(1)(f))", "Yes / Required (Sheet 3)", "")</f>
        <v/>
      </c>
      <c r="L3253" s="7" t="n"/>
      <c r="M3253" s="7" t="n"/>
      <c r="N3253">
        <f>IF(D3253="", "Gap - No Legal Basis", IF(AND(D3253="Consent (GDPR Art. 6(1)(a))", I3253="Not Captured"), "Gap - Invalid Consent", IF(AND(D3253="Legitimate Interest (GDPR Art. 6(1)(f))", L3253=""), "Gap - Missing LIA", IF(AND(G3253="Yes", H3253=""), "Gap - Missing Art. 9 Basis", IF(OR(I3253="Invalid - Not Freely Given", I3253="Invalid - Not Specific", I3253="Invalid - Not Informed", I3253="Invalid - Ambiguous"), "Gap - Invalid Consent", "Compliant")))))</f>
        <v/>
      </c>
      <c r="O3253" s="7" t="n"/>
    </row>
    <row r="3254">
      <c r="A3254" s="7" t="n"/>
      <c r="B3254" s="7" t="n"/>
      <c r="C3254" s="7" t="n"/>
      <c r="D3254" s="7" t="n"/>
      <c r="E3254" s="7" t="n"/>
      <c r="F3254" s="7" t="n"/>
      <c r="G3254" s="7" t="n"/>
      <c r="H3254" s="7" t="n"/>
      <c r="I3254" s="7" t="n"/>
      <c r="J3254" s="7" t="n"/>
      <c r="K3254">
        <f>IF(D3254="Legitimate Interest (GDPR Art. 6(1)(f))", "Yes / Required (Sheet 3)", "")</f>
        <v/>
      </c>
      <c r="L3254" s="7" t="n"/>
      <c r="M3254" s="7" t="n"/>
      <c r="N3254">
        <f>IF(D3254="", "Gap - No Legal Basis", IF(AND(D3254="Consent (GDPR Art. 6(1)(a))", I3254="Not Captured"), "Gap - Invalid Consent", IF(AND(D3254="Legitimate Interest (GDPR Art. 6(1)(f))", L3254=""), "Gap - Missing LIA", IF(AND(G3254="Yes", H3254=""), "Gap - Missing Art. 9 Basis", IF(OR(I3254="Invalid - Not Freely Given", I3254="Invalid - Not Specific", I3254="Invalid - Not Informed", I3254="Invalid - Ambiguous"), "Gap - Invalid Consent", "Compliant")))))</f>
        <v/>
      </c>
      <c r="O3254" s="7" t="n"/>
    </row>
    <row r="3255">
      <c r="A3255" s="7" t="n"/>
      <c r="B3255" s="7" t="n"/>
      <c r="C3255" s="7" t="n"/>
      <c r="D3255" s="7" t="n"/>
      <c r="E3255" s="7" t="n"/>
      <c r="F3255" s="7" t="n"/>
      <c r="G3255" s="7" t="n"/>
      <c r="H3255" s="7" t="n"/>
      <c r="I3255" s="7" t="n"/>
      <c r="J3255" s="7" t="n"/>
      <c r="K3255">
        <f>IF(D3255="Legitimate Interest (GDPR Art. 6(1)(f))", "Yes / Required (Sheet 3)", "")</f>
        <v/>
      </c>
      <c r="L3255" s="7" t="n"/>
      <c r="M3255" s="7" t="n"/>
      <c r="N3255">
        <f>IF(D3255="", "Gap - No Legal Basis", IF(AND(D3255="Consent (GDPR Art. 6(1)(a))", I3255="Not Captured"), "Gap - Invalid Consent", IF(AND(D3255="Legitimate Interest (GDPR Art. 6(1)(f))", L3255=""), "Gap - Missing LIA", IF(AND(G3255="Yes", H3255=""), "Gap - Missing Art. 9 Basis", IF(OR(I3255="Invalid - Not Freely Given", I3255="Invalid - Not Specific", I3255="Invalid - Not Informed", I3255="Invalid - Ambiguous"), "Gap - Invalid Consent", "Compliant")))))</f>
        <v/>
      </c>
      <c r="O3255" s="7" t="n"/>
    </row>
    <row r="3256">
      <c r="A3256" s="7" t="n"/>
      <c r="B3256" s="7" t="n"/>
      <c r="C3256" s="7" t="n"/>
      <c r="D3256" s="7" t="n"/>
      <c r="E3256" s="7" t="n"/>
      <c r="F3256" s="7" t="n"/>
      <c r="G3256" s="7" t="n"/>
      <c r="H3256" s="7" t="n"/>
      <c r="I3256" s="7" t="n"/>
      <c r="J3256" s="7" t="n"/>
      <c r="K3256">
        <f>IF(D3256="Legitimate Interest (GDPR Art. 6(1)(f))", "Yes / Required (Sheet 3)", "")</f>
        <v/>
      </c>
      <c r="L3256" s="7" t="n"/>
      <c r="M3256" s="7" t="n"/>
      <c r="N3256">
        <f>IF(D3256="", "Gap - No Legal Basis", IF(AND(D3256="Consent (GDPR Art. 6(1)(a))", I3256="Not Captured"), "Gap - Invalid Consent", IF(AND(D3256="Legitimate Interest (GDPR Art. 6(1)(f))", L3256=""), "Gap - Missing LIA", IF(AND(G3256="Yes", H3256=""), "Gap - Missing Art. 9 Basis", IF(OR(I3256="Invalid - Not Freely Given", I3256="Invalid - Not Specific", I3256="Invalid - Not Informed", I3256="Invalid - Ambiguous"), "Gap - Invalid Consent", "Compliant")))))</f>
        <v/>
      </c>
      <c r="O3256" s="7" t="n"/>
    </row>
    <row r="3257">
      <c r="A3257" s="7" t="n"/>
      <c r="B3257" s="7" t="n"/>
      <c r="C3257" s="7" t="n"/>
      <c r="D3257" s="7" t="n"/>
      <c r="E3257" s="7" t="n"/>
      <c r="F3257" s="7" t="n"/>
      <c r="G3257" s="7" t="n"/>
      <c r="H3257" s="7" t="n"/>
      <c r="I3257" s="7" t="n"/>
      <c r="J3257" s="7" t="n"/>
      <c r="K3257">
        <f>IF(D3257="Legitimate Interest (GDPR Art. 6(1)(f))", "Yes / Required (Sheet 3)", "")</f>
        <v/>
      </c>
      <c r="L3257" s="7" t="n"/>
      <c r="M3257" s="7" t="n"/>
      <c r="N3257">
        <f>IF(D3257="", "Gap - No Legal Basis", IF(AND(D3257="Consent (GDPR Art. 6(1)(a))", I3257="Not Captured"), "Gap - Invalid Consent", IF(AND(D3257="Legitimate Interest (GDPR Art. 6(1)(f))", L3257=""), "Gap - Missing LIA", IF(AND(G3257="Yes", H3257=""), "Gap - Missing Art. 9 Basis", IF(OR(I3257="Invalid - Not Freely Given", I3257="Invalid - Not Specific", I3257="Invalid - Not Informed", I3257="Invalid - Ambiguous"), "Gap - Invalid Consent", "Compliant")))))</f>
        <v/>
      </c>
      <c r="O3257" s="7" t="n"/>
    </row>
    <row r="3258">
      <c r="A3258" s="7" t="n"/>
      <c r="B3258" s="7" t="n"/>
      <c r="C3258" s="7" t="n"/>
      <c r="D3258" s="7" t="n"/>
      <c r="E3258" s="7" t="n"/>
      <c r="F3258" s="7" t="n"/>
      <c r="G3258" s="7" t="n"/>
      <c r="H3258" s="7" t="n"/>
      <c r="I3258" s="7" t="n"/>
      <c r="J3258" s="7" t="n"/>
      <c r="K3258">
        <f>IF(D3258="Legitimate Interest (GDPR Art. 6(1)(f))", "Yes / Required (Sheet 3)", "")</f>
        <v/>
      </c>
      <c r="L3258" s="7" t="n"/>
      <c r="M3258" s="7" t="n"/>
      <c r="N3258">
        <f>IF(D3258="", "Gap - No Legal Basis", IF(AND(D3258="Consent (GDPR Art. 6(1)(a))", I3258="Not Captured"), "Gap - Invalid Consent", IF(AND(D3258="Legitimate Interest (GDPR Art. 6(1)(f))", L3258=""), "Gap - Missing LIA", IF(AND(G3258="Yes", H3258=""), "Gap - Missing Art. 9 Basis", IF(OR(I3258="Invalid - Not Freely Given", I3258="Invalid - Not Specific", I3258="Invalid - Not Informed", I3258="Invalid - Ambiguous"), "Gap - Invalid Consent", "Compliant")))))</f>
        <v/>
      </c>
      <c r="O3258" s="7" t="n"/>
    </row>
    <row r="3259">
      <c r="A3259" s="7" t="n"/>
      <c r="B3259" s="7" t="n"/>
      <c r="C3259" s="7" t="n"/>
      <c r="D3259" s="7" t="n"/>
      <c r="E3259" s="7" t="n"/>
      <c r="F3259" s="7" t="n"/>
      <c r="G3259" s="7" t="n"/>
      <c r="H3259" s="7" t="n"/>
      <c r="I3259" s="7" t="n"/>
      <c r="J3259" s="7" t="n"/>
      <c r="K3259">
        <f>IF(D3259="Legitimate Interest (GDPR Art. 6(1)(f))", "Yes / Required (Sheet 3)", "")</f>
        <v/>
      </c>
      <c r="L3259" s="7" t="n"/>
      <c r="M3259" s="7" t="n"/>
      <c r="N3259">
        <f>IF(D3259="", "Gap - No Legal Basis", IF(AND(D3259="Consent (GDPR Art. 6(1)(a))", I3259="Not Captured"), "Gap - Invalid Consent", IF(AND(D3259="Legitimate Interest (GDPR Art. 6(1)(f))", L3259=""), "Gap - Missing LIA", IF(AND(G3259="Yes", H3259=""), "Gap - Missing Art. 9 Basis", IF(OR(I3259="Invalid - Not Freely Given", I3259="Invalid - Not Specific", I3259="Invalid - Not Informed", I3259="Invalid - Ambiguous"), "Gap - Invalid Consent", "Compliant")))))</f>
        <v/>
      </c>
      <c r="O3259" s="7" t="n"/>
    </row>
    <row r="3260">
      <c r="A3260" s="7" t="n"/>
      <c r="B3260" s="7" t="n"/>
      <c r="C3260" s="7" t="n"/>
      <c r="D3260" s="7" t="n"/>
      <c r="E3260" s="7" t="n"/>
      <c r="F3260" s="7" t="n"/>
      <c r="G3260" s="7" t="n"/>
      <c r="H3260" s="7" t="n"/>
      <c r="I3260" s="7" t="n"/>
      <c r="J3260" s="7" t="n"/>
      <c r="K3260">
        <f>IF(D3260="Legitimate Interest (GDPR Art. 6(1)(f))", "Yes / Required (Sheet 3)", "")</f>
        <v/>
      </c>
      <c r="L3260" s="7" t="n"/>
      <c r="M3260" s="7" t="n"/>
      <c r="N3260">
        <f>IF(D3260="", "Gap - No Legal Basis", IF(AND(D3260="Consent (GDPR Art. 6(1)(a))", I3260="Not Captured"), "Gap - Invalid Consent", IF(AND(D3260="Legitimate Interest (GDPR Art. 6(1)(f))", L3260=""), "Gap - Missing LIA", IF(AND(G3260="Yes", H3260=""), "Gap - Missing Art. 9 Basis", IF(OR(I3260="Invalid - Not Freely Given", I3260="Invalid - Not Specific", I3260="Invalid - Not Informed", I3260="Invalid - Ambiguous"), "Gap - Invalid Consent", "Compliant")))))</f>
        <v/>
      </c>
      <c r="O3260" s="7" t="n"/>
    </row>
    <row r="3261">
      <c r="A3261" s="7" t="n"/>
      <c r="B3261" s="7" t="n"/>
      <c r="C3261" s="7" t="n"/>
      <c r="D3261" s="7" t="n"/>
      <c r="E3261" s="7" t="n"/>
      <c r="F3261" s="7" t="n"/>
      <c r="G3261" s="7" t="n"/>
      <c r="H3261" s="7" t="n"/>
      <c r="I3261" s="7" t="n"/>
      <c r="J3261" s="7" t="n"/>
      <c r="K3261">
        <f>IF(D3261="Legitimate Interest (GDPR Art. 6(1)(f))", "Yes / Required (Sheet 3)", "")</f>
        <v/>
      </c>
      <c r="L3261" s="7" t="n"/>
      <c r="M3261" s="7" t="n"/>
      <c r="N3261">
        <f>IF(D3261="", "Gap - No Legal Basis", IF(AND(D3261="Consent (GDPR Art. 6(1)(a))", I3261="Not Captured"), "Gap - Invalid Consent", IF(AND(D3261="Legitimate Interest (GDPR Art. 6(1)(f))", L3261=""), "Gap - Missing LIA", IF(AND(G3261="Yes", H3261=""), "Gap - Missing Art. 9 Basis", IF(OR(I3261="Invalid - Not Freely Given", I3261="Invalid - Not Specific", I3261="Invalid - Not Informed", I3261="Invalid - Ambiguous"), "Gap - Invalid Consent", "Compliant")))))</f>
        <v/>
      </c>
      <c r="O3261" s="7" t="n"/>
    </row>
    <row r="3262">
      <c r="A3262" s="7" t="n"/>
      <c r="B3262" s="7" t="n"/>
      <c r="C3262" s="7" t="n"/>
      <c r="D3262" s="7" t="n"/>
      <c r="E3262" s="7" t="n"/>
      <c r="F3262" s="7" t="n"/>
      <c r="G3262" s="7" t="n"/>
      <c r="H3262" s="7" t="n"/>
      <c r="I3262" s="7" t="n"/>
      <c r="J3262" s="7" t="n"/>
      <c r="K3262">
        <f>IF(D3262="Legitimate Interest (GDPR Art. 6(1)(f))", "Yes / Required (Sheet 3)", "")</f>
        <v/>
      </c>
      <c r="L3262" s="7" t="n"/>
      <c r="M3262" s="7" t="n"/>
      <c r="N3262">
        <f>IF(D3262="", "Gap - No Legal Basis", IF(AND(D3262="Consent (GDPR Art. 6(1)(a))", I3262="Not Captured"), "Gap - Invalid Consent", IF(AND(D3262="Legitimate Interest (GDPR Art. 6(1)(f))", L3262=""), "Gap - Missing LIA", IF(AND(G3262="Yes", H3262=""), "Gap - Missing Art. 9 Basis", IF(OR(I3262="Invalid - Not Freely Given", I3262="Invalid - Not Specific", I3262="Invalid - Not Informed", I3262="Invalid - Ambiguous"), "Gap - Invalid Consent", "Compliant")))))</f>
        <v/>
      </c>
      <c r="O3262" s="7" t="n"/>
    </row>
    <row r="3263">
      <c r="A3263" s="7" t="n"/>
      <c r="B3263" s="7" t="n"/>
      <c r="C3263" s="7" t="n"/>
      <c r="D3263" s="7" t="n"/>
      <c r="E3263" s="7" t="n"/>
      <c r="F3263" s="7" t="n"/>
      <c r="G3263" s="7" t="n"/>
      <c r="H3263" s="7" t="n"/>
      <c r="I3263" s="7" t="n"/>
      <c r="J3263" s="7" t="n"/>
      <c r="K3263">
        <f>IF(D3263="Legitimate Interest (GDPR Art. 6(1)(f))", "Yes / Required (Sheet 3)", "")</f>
        <v/>
      </c>
      <c r="L3263" s="7" t="n"/>
      <c r="M3263" s="7" t="n"/>
      <c r="N3263">
        <f>IF(D3263="", "Gap - No Legal Basis", IF(AND(D3263="Consent (GDPR Art. 6(1)(a))", I3263="Not Captured"), "Gap - Invalid Consent", IF(AND(D3263="Legitimate Interest (GDPR Art. 6(1)(f))", L3263=""), "Gap - Missing LIA", IF(AND(G3263="Yes", H3263=""), "Gap - Missing Art. 9 Basis", IF(OR(I3263="Invalid - Not Freely Given", I3263="Invalid - Not Specific", I3263="Invalid - Not Informed", I3263="Invalid - Ambiguous"), "Gap - Invalid Consent", "Compliant")))))</f>
        <v/>
      </c>
      <c r="O3263" s="7" t="n"/>
    </row>
    <row r="3264">
      <c r="A3264" s="7" t="n"/>
      <c r="B3264" s="7" t="n"/>
      <c r="C3264" s="7" t="n"/>
      <c r="D3264" s="7" t="n"/>
      <c r="E3264" s="7" t="n"/>
      <c r="F3264" s="7" t="n"/>
      <c r="G3264" s="7" t="n"/>
      <c r="H3264" s="7" t="n"/>
      <c r="I3264" s="7" t="n"/>
      <c r="J3264" s="7" t="n"/>
      <c r="K3264">
        <f>IF(D3264="Legitimate Interest (GDPR Art. 6(1)(f))", "Yes / Required (Sheet 3)", "")</f>
        <v/>
      </c>
      <c r="L3264" s="7" t="n"/>
      <c r="M3264" s="7" t="n"/>
      <c r="N3264">
        <f>IF(D3264="", "Gap - No Legal Basis", IF(AND(D3264="Consent (GDPR Art. 6(1)(a))", I3264="Not Captured"), "Gap - Invalid Consent", IF(AND(D3264="Legitimate Interest (GDPR Art. 6(1)(f))", L3264=""), "Gap - Missing LIA", IF(AND(G3264="Yes", H3264=""), "Gap - Missing Art. 9 Basis", IF(OR(I3264="Invalid - Not Freely Given", I3264="Invalid - Not Specific", I3264="Invalid - Not Informed", I3264="Invalid - Ambiguous"), "Gap - Invalid Consent", "Compliant")))))</f>
        <v/>
      </c>
      <c r="O3264" s="7" t="n"/>
    </row>
    <row r="3265">
      <c r="A3265" s="7" t="n"/>
      <c r="B3265" s="7" t="n"/>
      <c r="C3265" s="7" t="n"/>
      <c r="D3265" s="7" t="n"/>
      <c r="E3265" s="7" t="n"/>
      <c r="F3265" s="7" t="n"/>
      <c r="G3265" s="7" t="n"/>
      <c r="H3265" s="7" t="n"/>
      <c r="I3265" s="7" t="n"/>
      <c r="J3265" s="7" t="n"/>
      <c r="K3265">
        <f>IF(D3265="Legitimate Interest (GDPR Art. 6(1)(f))", "Yes / Required (Sheet 3)", "")</f>
        <v/>
      </c>
      <c r="L3265" s="7" t="n"/>
      <c r="M3265" s="7" t="n"/>
      <c r="N3265">
        <f>IF(D3265="", "Gap - No Legal Basis", IF(AND(D3265="Consent (GDPR Art. 6(1)(a))", I3265="Not Captured"), "Gap - Invalid Consent", IF(AND(D3265="Legitimate Interest (GDPR Art. 6(1)(f))", L3265=""), "Gap - Missing LIA", IF(AND(G3265="Yes", H3265=""), "Gap - Missing Art. 9 Basis", IF(OR(I3265="Invalid - Not Freely Given", I3265="Invalid - Not Specific", I3265="Invalid - Not Informed", I3265="Invalid - Ambiguous"), "Gap - Invalid Consent", "Compliant")))))</f>
        <v/>
      </c>
      <c r="O3265" s="7" t="n"/>
    </row>
    <row r="3266">
      <c r="A3266" s="7" t="n"/>
      <c r="B3266" s="7" t="n"/>
      <c r="C3266" s="7" t="n"/>
      <c r="D3266" s="7" t="n"/>
      <c r="E3266" s="7" t="n"/>
      <c r="F3266" s="7" t="n"/>
      <c r="G3266" s="7" t="n"/>
      <c r="H3266" s="7" t="n"/>
      <c r="I3266" s="7" t="n"/>
      <c r="J3266" s="7" t="n"/>
      <c r="K3266">
        <f>IF(D3266="Legitimate Interest (GDPR Art. 6(1)(f))", "Yes / Required (Sheet 3)", "")</f>
        <v/>
      </c>
      <c r="L3266" s="7" t="n"/>
      <c r="M3266" s="7" t="n"/>
      <c r="N3266">
        <f>IF(D3266="", "Gap - No Legal Basis", IF(AND(D3266="Consent (GDPR Art. 6(1)(a))", I3266="Not Captured"), "Gap - Invalid Consent", IF(AND(D3266="Legitimate Interest (GDPR Art. 6(1)(f))", L3266=""), "Gap - Missing LIA", IF(AND(G3266="Yes", H3266=""), "Gap - Missing Art. 9 Basis", IF(OR(I3266="Invalid - Not Freely Given", I3266="Invalid - Not Specific", I3266="Invalid - Not Informed", I3266="Invalid - Ambiguous"), "Gap - Invalid Consent", "Compliant")))))</f>
        <v/>
      </c>
      <c r="O3266" s="7" t="n"/>
    </row>
    <row r="3267">
      <c r="A3267" s="7" t="n"/>
      <c r="B3267" s="7" t="n"/>
      <c r="C3267" s="7" t="n"/>
      <c r="D3267" s="7" t="n"/>
      <c r="E3267" s="7" t="n"/>
      <c r="F3267" s="7" t="n"/>
      <c r="G3267" s="7" t="n"/>
      <c r="H3267" s="7" t="n"/>
      <c r="I3267" s="7" t="n"/>
      <c r="J3267" s="7" t="n"/>
      <c r="K3267">
        <f>IF(D3267="Legitimate Interest (GDPR Art. 6(1)(f))", "Yes / Required (Sheet 3)", "")</f>
        <v/>
      </c>
      <c r="L3267" s="7" t="n"/>
      <c r="M3267" s="7" t="n"/>
      <c r="N3267">
        <f>IF(D3267="", "Gap - No Legal Basis", IF(AND(D3267="Consent (GDPR Art. 6(1)(a))", I3267="Not Captured"), "Gap - Invalid Consent", IF(AND(D3267="Legitimate Interest (GDPR Art. 6(1)(f))", L3267=""), "Gap - Missing LIA", IF(AND(G3267="Yes", H3267=""), "Gap - Missing Art. 9 Basis", IF(OR(I3267="Invalid - Not Freely Given", I3267="Invalid - Not Specific", I3267="Invalid - Not Informed", I3267="Invalid - Ambiguous"), "Gap - Invalid Consent", "Compliant")))))</f>
        <v/>
      </c>
      <c r="O3267" s="7" t="n"/>
    </row>
    <row r="3268">
      <c r="A3268" s="7" t="n"/>
      <c r="B3268" s="7" t="n"/>
      <c r="C3268" s="7" t="n"/>
      <c r="D3268" s="7" t="n"/>
      <c r="E3268" s="7" t="n"/>
      <c r="F3268" s="7" t="n"/>
      <c r="G3268" s="7" t="n"/>
      <c r="H3268" s="7" t="n"/>
      <c r="I3268" s="7" t="n"/>
      <c r="J3268" s="7" t="n"/>
      <c r="K3268">
        <f>IF(D3268="Legitimate Interest (GDPR Art. 6(1)(f))", "Yes / Required (Sheet 3)", "")</f>
        <v/>
      </c>
      <c r="L3268" s="7" t="n"/>
      <c r="M3268" s="7" t="n"/>
      <c r="N3268">
        <f>IF(D3268="", "Gap - No Legal Basis", IF(AND(D3268="Consent (GDPR Art. 6(1)(a))", I3268="Not Captured"), "Gap - Invalid Consent", IF(AND(D3268="Legitimate Interest (GDPR Art. 6(1)(f))", L3268=""), "Gap - Missing LIA", IF(AND(G3268="Yes", H3268=""), "Gap - Missing Art. 9 Basis", IF(OR(I3268="Invalid - Not Freely Given", I3268="Invalid - Not Specific", I3268="Invalid - Not Informed", I3268="Invalid - Ambiguous"), "Gap - Invalid Consent", "Compliant")))))</f>
        <v/>
      </c>
      <c r="O3268" s="7" t="n"/>
    </row>
    <row r="3269">
      <c r="A3269" s="7" t="n"/>
      <c r="B3269" s="7" t="n"/>
      <c r="C3269" s="7" t="n"/>
      <c r="D3269" s="7" t="n"/>
      <c r="E3269" s="7" t="n"/>
      <c r="F3269" s="7" t="n"/>
      <c r="G3269" s="7" t="n"/>
      <c r="H3269" s="7" t="n"/>
      <c r="I3269" s="7" t="n"/>
      <c r="J3269" s="7" t="n"/>
      <c r="K3269">
        <f>IF(D3269="Legitimate Interest (GDPR Art. 6(1)(f))", "Yes / Required (Sheet 3)", "")</f>
        <v/>
      </c>
      <c r="L3269" s="7" t="n"/>
      <c r="M3269" s="7" t="n"/>
      <c r="N3269">
        <f>IF(D3269="", "Gap - No Legal Basis", IF(AND(D3269="Consent (GDPR Art. 6(1)(a))", I3269="Not Captured"), "Gap - Invalid Consent", IF(AND(D3269="Legitimate Interest (GDPR Art. 6(1)(f))", L3269=""), "Gap - Missing LIA", IF(AND(G3269="Yes", H3269=""), "Gap - Missing Art. 9 Basis", IF(OR(I3269="Invalid - Not Freely Given", I3269="Invalid - Not Specific", I3269="Invalid - Not Informed", I3269="Invalid - Ambiguous"), "Gap - Invalid Consent", "Compliant")))))</f>
        <v/>
      </c>
      <c r="O3269" s="7" t="n"/>
    </row>
    <row r="3270">
      <c r="A3270" s="7" t="n"/>
      <c r="B3270" s="7" t="n"/>
      <c r="C3270" s="7" t="n"/>
      <c r="D3270" s="7" t="n"/>
      <c r="E3270" s="7" t="n"/>
      <c r="F3270" s="7" t="n"/>
      <c r="G3270" s="7" t="n"/>
      <c r="H3270" s="7" t="n"/>
      <c r="I3270" s="7" t="n"/>
      <c r="J3270" s="7" t="n"/>
      <c r="K3270">
        <f>IF(D3270="Legitimate Interest (GDPR Art. 6(1)(f))", "Yes / Required (Sheet 3)", "")</f>
        <v/>
      </c>
      <c r="L3270" s="7" t="n"/>
      <c r="M3270" s="7" t="n"/>
      <c r="N3270">
        <f>IF(D3270="", "Gap - No Legal Basis", IF(AND(D3270="Consent (GDPR Art. 6(1)(a))", I3270="Not Captured"), "Gap - Invalid Consent", IF(AND(D3270="Legitimate Interest (GDPR Art. 6(1)(f))", L3270=""), "Gap - Missing LIA", IF(AND(G3270="Yes", H3270=""), "Gap - Missing Art. 9 Basis", IF(OR(I3270="Invalid - Not Freely Given", I3270="Invalid - Not Specific", I3270="Invalid - Not Informed", I3270="Invalid - Ambiguous"), "Gap - Invalid Consent", "Compliant")))))</f>
        <v/>
      </c>
      <c r="O3270" s="7" t="n"/>
    </row>
    <row r="3271">
      <c r="A3271" s="7" t="n"/>
      <c r="B3271" s="7" t="n"/>
      <c r="C3271" s="7" t="n"/>
      <c r="D3271" s="7" t="n"/>
      <c r="E3271" s="7" t="n"/>
      <c r="F3271" s="7" t="n"/>
      <c r="G3271" s="7" t="n"/>
      <c r="H3271" s="7" t="n"/>
      <c r="I3271" s="7" t="n"/>
      <c r="J3271" s="7" t="n"/>
      <c r="K3271">
        <f>IF(D3271="Legitimate Interest (GDPR Art. 6(1)(f))", "Yes / Required (Sheet 3)", "")</f>
        <v/>
      </c>
      <c r="L3271" s="7" t="n"/>
      <c r="M3271" s="7" t="n"/>
      <c r="N3271">
        <f>IF(D3271="", "Gap - No Legal Basis", IF(AND(D3271="Consent (GDPR Art. 6(1)(a))", I3271="Not Captured"), "Gap - Invalid Consent", IF(AND(D3271="Legitimate Interest (GDPR Art. 6(1)(f))", L3271=""), "Gap - Missing LIA", IF(AND(G3271="Yes", H3271=""), "Gap - Missing Art. 9 Basis", IF(OR(I3271="Invalid - Not Freely Given", I3271="Invalid - Not Specific", I3271="Invalid - Not Informed", I3271="Invalid - Ambiguous"), "Gap - Invalid Consent", "Compliant")))))</f>
        <v/>
      </c>
      <c r="O3271" s="7" t="n"/>
    </row>
    <row r="3272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7" t="n"/>
      <c r="J3272" s="7" t="n"/>
      <c r="K3272">
        <f>IF(D3272="Legitimate Interest (GDPR Art. 6(1)(f))", "Yes / Required (Sheet 3)", "")</f>
        <v/>
      </c>
      <c r="L3272" s="7" t="n"/>
      <c r="M3272" s="7" t="n"/>
      <c r="N3272">
        <f>IF(D3272="", "Gap - No Legal Basis", IF(AND(D3272="Consent (GDPR Art. 6(1)(a))", I3272="Not Captured"), "Gap - Invalid Consent", IF(AND(D3272="Legitimate Interest (GDPR Art. 6(1)(f))", L3272=""), "Gap - Missing LIA", IF(AND(G3272="Yes", H3272=""), "Gap - Missing Art. 9 Basis", IF(OR(I3272="Invalid - Not Freely Given", I3272="Invalid - Not Specific", I3272="Invalid - Not Informed", I3272="Invalid - Ambiguous"), "Gap - Invalid Consent", "Compliant")))))</f>
        <v/>
      </c>
      <c r="O3272" s="7" t="n"/>
    </row>
    <row r="3273">
      <c r="A3273" s="7" t="n"/>
      <c r="B3273" s="7" t="n"/>
      <c r="C3273" s="7" t="n"/>
      <c r="D3273" s="7" t="n"/>
      <c r="E3273" s="7" t="n"/>
      <c r="F3273" s="7" t="n"/>
      <c r="G3273" s="7" t="n"/>
      <c r="H3273" s="7" t="n"/>
      <c r="I3273" s="7" t="n"/>
      <c r="J3273" s="7" t="n"/>
      <c r="K3273">
        <f>IF(D3273="Legitimate Interest (GDPR Art. 6(1)(f))", "Yes / Required (Sheet 3)", "")</f>
        <v/>
      </c>
      <c r="L3273" s="7" t="n"/>
      <c r="M3273" s="7" t="n"/>
      <c r="N3273">
        <f>IF(D3273="", "Gap - No Legal Basis", IF(AND(D3273="Consent (GDPR Art. 6(1)(a))", I3273="Not Captured"), "Gap - Invalid Consent", IF(AND(D3273="Legitimate Interest (GDPR Art. 6(1)(f))", L3273=""), "Gap - Missing LIA", IF(AND(G3273="Yes", H3273=""), "Gap - Missing Art. 9 Basis", IF(OR(I3273="Invalid - Not Freely Given", I3273="Invalid - Not Specific", I3273="Invalid - Not Informed", I3273="Invalid - Ambiguous"), "Gap - Invalid Consent", "Compliant")))))</f>
        <v/>
      </c>
      <c r="O3273" s="7" t="n"/>
    </row>
    <row r="3274">
      <c r="A3274" s="7" t="n"/>
      <c r="B3274" s="7" t="n"/>
      <c r="C3274" s="7" t="n"/>
      <c r="D3274" s="7" t="n"/>
      <c r="E3274" s="7" t="n"/>
      <c r="F3274" s="7" t="n"/>
      <c r="G3274" s="7" t="n"/>
      <c r="H3274" s="7" t="n"/>
      <c r="I3274" s="7" t="n"/>
      <c r="J3274" s="7" t="n"/>
      <c r="K3274">
        <f>IF(D3274="Legitimate Interest (GDPR Art. 6(1)(f))", "Yes / Required (Sheet 3)", "")</f>
        <v/>
      </c>
      <c r="L3274" s="7" t="n"/>
      <c r="M3274" s="7" t="n"/>
      <c r="N3274">
        <f>IF(D3274="", "Gap - No Legal Basis", IF(AND(D3274="Consent (GDPR Art. 6(1)(a))", I3274="Not Captured"), "Gap - Invalid Consent", IF(AND(D3274="Legitimate Interest (GDPR Art. 6(1)(f))", L3274=""), "Gap - Missing LIA", IF(AND(G3274="Yes", H3274=""), "Gap - Missing Art. 9 Basis", IF(OR(I3274="Invalid - Not Freely Given", I3274="Invalid - Not Specific", I3274="Invalid - Not Informed", I3274="Invalid - Ambiguous"), "Gap - Invalid Consent", "Compliant")))))</f>
        <v/>
      </c>
      <c r="O3274" s="7" t="n"/>
    </row>
    <row r="3275">
      <c r="A3275" s="7" t="n"/>
      <c r="B3275" s="7" t="n"/>
      <c r="C3275" s="7" t="n"/>
      <c r="D3275" s="7" t="n"/>
      <c r="E3275" s="7" t="n"/>
      <c r="F3275" s="7" t="n"/>
      <c r="G3275" s="7" t="n"/>
      <c r="H3275" s="7" t="n"/>
      <c r="I3275" s="7" t="n"/>
      <c r="J3275" s="7" t="n"/>
      <c r="K3275">
        <f>IF(D3275="Legitimate Interest (GDPR Art. 6(1)(f))", "Yes / Required (Sheet 3)", "")</f>
        <v/>
      </c>
      <c r="L3275" s="7" t="n"/>
      <c r="M3275" s="7" t="n"/>
      <c r="N3275">
        <f>IF(D3275="", "Gap - No Legal Basis", IF(AND(D3275="Consent (GDPR Art. 6(1)(a))", I3275="Not Captured"), "Gap - Invalid Consent", IF(AND(D3275="Legitimate Interest (GDPR Art. 6(1)(f))", L3275=""), "Gap - Missing LIA", IF(AND(G3275="Yes", H3275=""), "Gap - Missing Art. 9 Basis", IF(OR(I3275="Invalid - Not Freely Given", I3275="Invalid - Not Specific", I3275="Invalid - Not Informed", I3275="Invalid - Ambiguous"), "Gap - Invalid Consent", "Compliant")))))</f>
        <v/>
      </c>
      <c r="O3275" s="7" t="n"/>
    </row>
    <row r="3276">
      <c r="A3276" s="7" t="n"/>
      <c r="B3276" s="7" t="n"/>
      <c r="C3276" s="7" t="n"/>
      <c r="D3276" s="7" t="n"/>
      <c r="E3276" s="7" t="n"/>
      <c r="F3276" s="7" t="n"/>
      <c r="G3276" s="7" t="n"/>
      <c r="H3276" s="7" t="n"/>
      <c r="I3276" s="7" t="n"/>
      <c r="J3276" s="7" t="n"/>
      <c r="K3276">
        <f>IF(D3276="Legitimate Interest (GDPR Art. 6(1)(f))", "Yes / Required (Sheet 3)", "")</f>
        <v/>
      </c>
      <c r="L3276" s="7" t="n"/>
      <c r="M3276" s="7" t="n"/>
      <c r="N3276">
        <f>IF(D3276="", "Gap - No Legal Basis", IF(AND(D3276="Consent (GDPR Art. 6(1)(a))", I3276="Not Captured"), "Gap - Invalid Consent", IF(AND(D3276="Legitimate Interest (GDPR Art. 6(1)(f))", L3276=""), "Gap - Missing LIA", IF(AND(G3276="Yes", H3276=""), "Gap - Missing Art. 9 Basis", IF(OR(I3276="Invalid - Not Freely Given", I3276="Invalid - Not Specific", I3276="Invalid - Not Informed", I3276="Invalid - Ambiguous"), "Gap - Invalid Consent", "Compliant")))))</f>
        <v/>
      </c>
      <c r="O3276" s="7" t="n"/>
    </row>
    <row r="3277">
      <c r="A3277" s="7" t="n"/>
      <c r="B3277" s="7" t="n"/>
      <c r="C3277" s="7" t="n"/>
      <c r="D3277" s="7" t="n"/>
      <c r="E3277" s="7" t="n"/>
      <c r="F3277" s="7" t="n"/>
      <c r="G3277" s="7" t="n"/>
      <c r="H3277" s="7" t="n"/>
      <c r="I3277" s="7" t="n"/>
      <c r="J3277" s="7" t="n"/>
      <c r="K3277">
        <f>IF(D3277="Legitimate Interest (GDPR Art. 6(1)(f))", "Yes / Required (Sheet 3)", "")</f>
        <v/>
      </c>
      <c r="L3277" s="7" t="n"/>
      <c r="M3277" s="7" t="n"/>
      <c r="N3277">
        <f>IF(D3277="", "Gap - No Legal Basis", IF(AND(D3277="Consent (GDPR Art. 6(1)(a))", I3277="Not Captured"), "Gap - Invalid Consent", IF(AND(D3277="Legitimate Interest (GDPR Art. 6(1)(f))", L3277=""), "Gap - Missing LIA", IF(AND(G3277="Yes", H3277=""), "Gap - Missing Art. 9 Basis", IF(OR(I3277="Invalid - Not Freely Given", I3277="Invalid - Not Specific", I3277="Invalid - Not Informed", I3277="Invalid - Ambiguous"), "Gap - Invalid Consent", "Compliant")))))</f>
        <v/>
      </c>
      <c r="O3277" s="7" t="n"/>
    </row>
    <row r="3278">
      <c r="A3278" s="7" t="n"/>
      <c r="B3278" s="7" t="n"/>
      <c r="C3278" s="7" t="n"/>
      <c r="D3278" s="7" t="n"/>
      <c r="E3278" s="7" t="n"/>
      <c r="F3278" s="7" t="n"/>
      <c r="G3278" s="7" t="n"/>
      <c r="H3278" s="7" t="n"/>
      <c r="I3278" s="7" t="n"/>
      <c r="J3278" s="7" t="n"/>
      <c r="K3278">
        <f>IF(D3278="Legitimate Interest (GDPR Art. 6(1)(f))", "Yes / Required (Sheet 3)", "")</f>
        <v/>
      </c>
      <c r="L3278" s="7" t="n"/>
      <c r="M3278" s="7" t="n"/>
      <c r="N3278">
        <f>IF(D3278="", "Gap - No Legal Basis", IF(AND(D3278="Consent (GDPR Art. 6(1)(a))", I3278="Not Captured"), "Gap - Invalid Consent", IF(AND(D3278="Legitimate Interest (GDPR Art. 6(1)(f))", L3278=""), "Gap - Missing LIA", IF(AND(G3278="Yes", H3278=""), "Gap - Missing Art. 9 Basis", IF(OR(I3278="Invalid - Not Freely Given", I3278="Invalid - Not Specific", I3278="Invalid - Not Informed", I3278="Invalid - Ambiguous"), "Gap - Invalid Consent", "Compliant")))))</f>
        <v/>
      </c>
      <c r="O3278" s="7" t="n"/>
    </row>
    <row r="3279">
      <c r="A3279" s="7" t="n"/>
      <c r="B3279" s="7" t="n"/>
      <c r="C3279" s="7" t="n"/>
      <c r="D3279" s="7" t="n"/>
      <c r="E3279" s="7" t="n"/>
      <c r="F3279" s="7" t="n"/>
      <c r="G3279" s="7" t="n"/>
      <c r="H3279" s="7" t="n"/>
      <c r="I3279" s="7" t="n"/>
      <c r="J3279" s="7" t="n"/>
      <c r="K3279">
        <f>IF(D3279="Legitimate Interest (GDPR Art. 6(1)(f))", "Yes / Required (Sheet 3)", "")</f>
        <v/>
      </c>
      <c r="L3279" s="7" t="n"/>
      <c r="M3279" s="7" t="n"/>
      <c r="N3279">
        <f>IF(D3279="", "Gap - No Legal Basis", IF(AND(D3279="Consent (GDPR Art. 6(1)(a))", I3279="Not Captured"), "Gap - Invalid Consent", IF(AND(D3279="Legitimate Interest (GDPR Art. 6(1)(f))", L3279=""), "Gap - Missing LIA", IF(AND(G3279="Yes", H3279=""), "Gap - Missing Art. 9 Basis", IF(OR(I3279="Invalid - Not Freely Given", I3279="Invalid - Not Specific", I3279="Invalid - Not Informed", I3279="Invalid - Ambiguous"), "Gap - Invalid Consent", "Compliant")))))</f>
        <v/>
      </c>
      <c r="O3279" s="7" t="n"/>
    </row>
    <row r="3280">
      <c r="A3280" s="7" t="n"/>
      <c r="B3280" s="7" t="n"/>
      <c r="C3280" s="7" t="n"/>
      <c r="D3280" s="7" t="n"/>
      <c r="E3280" s="7" t="n"/>
      <c r="F3280" s="7" t="n"/>
      <c r="G3280" s="7" t="n"/>
      <c r="H3280" s="7" t="n"/>
      <c r="I3280" s="7" t="n"/>
      <c r="J3280" s="7" t="n"/>
      <c r="K3280">
        <f>IF(D3280="Legitimate Interest (GDPR Art. 6(1)(f))", "Yes / Required (Sheet 3)", "")</f>
        <v/>
      </c>
      <c r="L3280" s="7" t="n"/>
      <c r="M3280" s="7" t="n"/>
      <c r="N3280">
        <f>IF(D3280="", "Gap - No Legal Basis", IF(AND(D3280="Consent (GDPR Art. 6(1)(a))", I3280="Not Captured"), "Gap - Invalid Consent", IF(AND(D3280="Legitimate Interest (GDPR Art. 6(1)(f))", L3280=""), "Gap - Missing LIA", IF(AND(G3280="Yes", H3280=""), "Gap - Missing Art. 9 Basis", IF(OR(I3280="Invalid - Not Freely Given", I3280="Invalid - Not Specific", I3280="Invalid - Not Informed", I3280="Invalid - Ambiguous"), "Gap - Invalid Consent", "Compliant")))))</f>
        <v/>
      </c>
      <c r="O3280" s="7" t="n"/>
    </row>
    <row r="3281">
      <c r="A3281" s="7" t="n"/>
      <c r="B3281" s="7" t="n"/>
      <c r="C3281" s="7" t="n"/>
      <c r="D3281" s="7" t="n"/>
      <c r="E3281" s="7" t="n"/>
      <c r="F3281" s="7" t="n"/>
      <c r="G3281" s="7" t="n"/>
      <c r="H3281" s="7" t="n"/>
      <c r="I3281" s="7" t="n"/>
      <c r="J3281" s="7" t="n"/>
      <c r="K3281">
        <f>IF(D3281="Legitimate Interest (GDPR Art. 6(1)(f))", "Yes / Required (Sheet 3)", "")</f>
        <v/>
      </c>
      <c r="L3281" s="7" t="n"/>
      <c r="M3281" s="7" t="n"/>
      <c r="N3281">
        <f>IF(D3281="", "Gap - No Legal Basis", IF(AND(D3281="Consent (GDPR Art. 6(1)(a))", I3281="Not Captured"), "Gap - Invalid Consent", IF(AND(D3281="Legitimate Interest (GDPR Art. 6(1)(f))", L3281=""), "Gap - Missing LIA", IF(AND(G3281="Yes", H3281=""), "Gap - Missing Art. 9 Basis", IF(OR(I3281="Invalid - Not Freely Given", I3281="Invalid - Not Specific", I3281="Invalid - Not Informed", I3281="Invalid - Ambiguous"), "Gap - Invalid Consent", "Compliant")))))</f>
        <v/>
      </c>
      <c r="O3281" s="7" t="n"/>
    </row>
    <row r="3282">
      <c r="A3282" s="7" t="n"/>
      <c r="B3282" s="7" t="n"/>
      <c r="C3282" s="7" t="n"/>
      <c r="D3282" s="7" t="n"/>
      <c r="E3282" s="7" t="n"/>
      <c r="F3282" s="7" t="n"/>
      <c r="G3282" s="7" t="n"/>
      <c r="H3282" s="7" t="n"/>
      <c r="I3282" s="7" t="n"/>
      <c r="J3282" s="7" t="n"/>
      <c r="K3282">
        <f>IF(D3282="Legitimate Interest (GDPR Art. 6(1)(f))", "Yes / Required (Sheet 3)", "")</f>
        <v/>
      </c>
      <c r="L3282" s="7" t="n"/>
      <c r="M3282" s="7" t="n"/>
      <c r="N3282">
        <f>IF(D3282="", "Gap - No Legal Basis", IF(AND(D3282="Consent (GDPR Art. 6(1)(a))", I3282="Not Captured"), "Gap - Invalid Consent", IF(AND(D3282="Legitimate Interest (GDPR Art. 6(1)(f))", L3282=""), "Gap - Missing LIA", IF(AND(G3282="Yes", H3282=""), "Gap - Missing Art. 9 Basis", IF(OR(I3282="Invalid - Not Freely Given", I3282="Invalid - Not Specific", I3282="Invalid - Not Informed", I3282="Invalid - Ambiguous"), "Gap - Invalid Consent", "Compliant")))))</f>
        <v/>
      </c>
      <c r="O3282" s="7" t="n"/>
    </row>
    <row r="3283">
      <c r="A3283" s="7" t="n"/>
      <c r="B3283" s="7" t="n"/>
      <c r="C3283" s="7" t="n"/>
      <c r="D3283" s="7" t="n"/>
      <c r="E3283" s="7" t="n"/>
      <c r="F3283" s="7" t="n"/>
      <c r="G3283" s="7" t="n"/>
      <c r="H3283" s="7" t="n"/>
      <c r="I3283" s="7" t="n"/>
      <c r="J3283" s="7" t="n"/>
      <c r="K3283">
        <f>IF(D3283="Legitimate Interest (GDPR Art. 6(1)(f))", "Yes / Required (Sheet 3)", "")</f>
        <v/>
      </c>
      <c r="L3283" s="7" t="n"/>
      <c r="M3283" s="7" t="n"/>
      <c r="N3283">
        <f>IF(D3283="", "Gap - No Legal Basis", IF(AND(D3283="Consent (GDPR Art. 6(1)(a))", I3283="Not Captured"), "Gap - Invalid Consent", IF(AND(D3283="Legitimate Interest (GDPR Art. 6(1)(f))", L3283=""), "Gap - Missing LIA", IF(AND(G3283="Yes", H3283=""), "Gap - Missing Art. 9 Basis", IF(OR(I3283="Invalid - Not Freely Given", I3283="Invalid - Not Specific", I3283="Invalid - Not Informed", I3283="Invalid - Ambiguous"), "Gap - Invalid Consent", "Compliant")))))</f>
        <v/>
      </c>
      <c r="O3283" s="7" t="n"/>
    </row>
    <row r="3284">
      <c r="A3284" s="7" t="n"/>
      <c r="B3284" s="7" t="n"/>
      <c r="C3284" s="7" t="n"/>
      <c r="D3284" s="7" t="n"/>
      <c r="E3284" s="7" t="n"/>
      <c r="F3284" s="7" t="n"/>
      <c r="G3284" s="7" t="n"/>
      <c r="H3284" s="7" t="n"/>
      <c r="I3284" s="7" t="n"/>
      <c r="J3284" s="7" t="n"/>
      <c r="K3284">
        <f>IF(D3284="Legitimate Interest (GDPR Art. 6(1)(f))", "Yes / Required (Sheet 3)", "")</f>
        <v/>
      </c>
      <c r="L3284" s="7" t="n"/>
      <c r="M3284" s="7" t="n"/>
      <c r="N3284">
        <f>IF(D3284="", "Gap - No Legal Basis", IF(AND(D3284="Consent (GDPR Art. 6(1)(a))", I3284="Not Captured"), "Gap - Invalid Consent", IF(AND(D3284="Legitimate Interest (GDPR Art. 6(1)(f))", L3284=""), "Gap - Missing LIA", IF(AND(G3284="Yes", H3284=""), "Gap - Missing Art. 9 Basis", IF(OR(I3284="Invalid - Not Freely Given", I3284="Invalid - Not Specific", I3284="Invalid - Not Informed", I3284="Invalid - Ambiguous"), "Gap - Invalid Consent", "Compliant")))))</f>
        <v/>
      </c>
      <c r="O3284" s="7" t="n"/>
    </row>
    <row r="3285">
      <c r="A3285" s="7" t="n"/>
      <c r="B3285" s="7" t="n"/>
      <c r="C3285" s="7" t="n"/>
      <c r="D3285" s="7" t="n"/>
      <c r="E3285" s="7" t="n"/>
      <c r="F3285" s="7" t="n"/>
      <c r="G3285" s="7" t="n"/>
      <c r="H3285" s="7" t="n"/>
      <c r="I3285" s="7" t="n"/>
      <c r="J3285" s="7" t="n"/>
      <c r="K3285">
        <f>IF(D3285="Legitimate Interest (GDPR Art. 6(1)(f))", "Yes / Required (Sheet 3)", "")</f>
        <v/>
      </c>
      <c r="L3285" s="7" t="n"/>
      <c r="M3285" s="7" t="n"/>
      <c r="N3285">
        <f>IF(D3285="", "Gap - No Legal Basis", IF(AND(D3285="Consent (GDPR Art. 6(1)(a))", I3285="Not Captured"), "Gap - Invalid Consent", IF(AND(D3285="Legitimate Interest (GDPR Art. 6(1)(f))", L3285=""), "Gap - Missing LIA", IF(AND(G3285="Yes", H3285=""), "Gap - Missing Art. 9 Basis", IF(OR(I3285="Invalid - Not Freely Given", I3285="Invalid - Not Specific", I3285="Invalid - Not Informed", I3285="Invalid - Ambiguous"), "Gap - Invalid Consent", "Compliant")))))</f>
        <v/>
      </c>
      <c r="O3285" s="7" t="n"/>
    </row>
    <row r="3286">
      <c r="A3286" s="7" t="n"/>
      <c r="B3286" s="7" t="n"/>
      <c r="C3286" s="7" t="n"/>
      <c r="D3286" s="7" t="n"/>
      <c r="E3286" s="7" t="n"/>
      <c r="F3286" s="7" t="n"/>
      <c r="G3286" s="7" t="n"/>
      <c r="H3286" s="7" t="n"/>
      <c r="I3286" s="7" t="n"/>
      <c r="J3286" s="7" t="n"/>
      <c r="K3286">
        <f>IF(D3286="Legitimate Interest (GDPR Art. 6(1)(f))", "Yes / Required (Sheet 3)", "")</f>
        <v/>
      </c>
      <c r="L3286" s="7" t="n"/>
      <c r="M3286" s="7" t="n"/>
      <c r="N3286">
        <f>IF(D3286="", "Gap - No Legal Basis", IF(AND(D3286="Consent (GDPR Art. 6(1)(a))", I3286="Not Captured"), "Gap - Invalid Consent", IF(AND(D3286="Legitimate Interest (GDPR Art. 6(1)(f))", L3286=""), "Gap - Missing LIA", IF(AND(G3286="Yes", H3286=""), "Gap - Missing Art. 9 Basis", IF(OR(I3286="Invalid - Not Freely Given", I3286="Invalid - Not Specific", I3286="Invalid - Not Informed", I3286="Invalid - Ambiguous"), "Gap - Invalid Consent", "Compliant")))))</f>
        <v/>
      </c>
      <c r="O3286" s="7" t="n"/>
    </row>
    <row r="3287">
      <c r="A3287" s="7" t="n"/>
      <c r="B3287" s="7" t="n"/>
      <c r="C3287" s="7" t="n"/>
      <c r="D3287" s="7" t="n"/>
      <c r="E3287" s="7" t="n"/>
      <c r="F3287" s="7" t="n"/>
      <c r="G3287" s="7" t="n"/>
      <c r="H3287" s="7" t="n"/>
      <c r="I3287" s="7" t="n"/>
      <c r="J3287" s="7" t="n"/>
      <c r="K3287">
        <f>IF(D3287="Legitimate Interest (GDPR Art. 6(1)(f))", "Yes / Required (Sheet 3)", "")</f>
        <v/>
      </c>
      <c r="L3287" s="7" t="n"/>
      <c r="M3287" s="7" t="n"/>
      <c r="N3287">
        <f>IF(D3287="", "Gap - No Legal Basis", IF(AND(D3287="Consent (GDPR Art. 6(1)(a))", I3287="Not Captured"), "Gap - Invalid Consent", IF(AND(D3287="Legitimate Interest (GDPR Art. 6(1)(f))", L3287=""), "Gap - Missing LIA", IF(AND(G3287="Yes", H3287=""), "Gap - Missing Art. 9 Basis", IF(OR(I3287="Invalid - Not Freely Given", I3287="Invalid - Not Specific", I3287="Invalid - Not Informed", I3287="Invalid - Ambiguous"), "Gap - Invalid Consent", "Compliant")))))</f>
        <v/>
      </c>
      <c r="O3287" s="7" t="n"/>
    </row>
    <row r="3288">
      <c r="A3288" s="7" t="n"/>
      <c r="B3288" s="7" t="n"/>
      <c r="C3288" s="7" t="n"/>
      <c r="D3288" s="7" t="n"/>
      <c r="E3288" s="7" t="n"/>
      <c r="F3288" s="7" t="n"/>
      <c r="G3288" s="7" t="n"/>
      <c r="H3288" s="7" t="n"/>
      <c r="I3288" s="7" t="n"/>
      <c r="J3288" s="7" t="n"/>
      <c r="K3288">
        <f>IF(D3288="Legitimate Interest (GDPR Art. 6(1)(f))", "Yes / Required (Sheet 3)", "")</f>
        <v/>
      </c>
      <c r="L3288" s="7" t="n"/>
      <c r="M3288" s="7" t="n"/>
      <c r="N3288">
        <f>IF(D3288="", "Gap - No Legal Basis", IF(AND(D3288="Consent (GDPR Art. 6(1)(a))", I3288="Not Captured"), "Gap - Invalid Consent", IF(AND(D3288="Legitimate Interest (GDPR Art. 6(1)(f))", L3288=""), "Gap - Missing LIA", IF(AND(G3288="Yes", H3288=""), "Gap - Missing Art. 9 Basis", IF(OR(I3288="Invalid - Not Freely Given", I3288="Invalid - Not Specific", I3288="Invalid - Not Informed", I3288="Invalid - Ambiguous"), "Gap - Invalid Consent", "Compliant")))))</f>
        <v/>
      </c>
      <c r="O3288" s="7" t="n"/>
    </row>
    <row r="3289">
      <c r="A3289" s="7" t="n"/>
      <c r="B3289" s="7" t="n"/>
      <c r="C3289" s="7" t="n"/>
      <c r="D3289" s="7" t="n"/>
      <c r="E3289" s="7" t="n"/>
      <c r="F3289" s="7" t="n"/>
      <c r="G3289" s="7" t="n"/>
      <c r="H3289" s="7" t="n"/>
      <c r="I3289" s="7" t="n"/>
      <c r="J3289" s="7" t="n"/>
      <c r="K3289">
        <f>IF(D3289="Legitimate Interest (GDPR Art. 6(1)(f))", "Yes / Required (Sheet 3)", "")</f>
        <v/>
      </c>
      <c r="L3289" s="7" t="n"/>
      <c r="M3289" s="7" t="n"/>
      <c r="N3289">
        <f>IF(D3289="", "Gap - No Legal Basis", IF(AND(D3289="Consent (GDPR Art. 6(1)(a))", I3289="Not Captured"), "Gap - Invalid Consent", IF(AND(D3289="Legitimate Interest (GDPR Art. 6(1)(f))", L3289=""), "Gap - Missing LIA", IF(AND(G3289="Yes", H3289=""), "Gap - Missing Art. 9 Basis", IF(OR(I3289="Invalid - Not Freely Given", I3289="Invalid - Not Specific", I3289="Invalid - Not Informed", I3289="Invalid - Ambiguous"), "Gap - Invalid Consent", "Compliant")))))</f>
        <v/>
      </c>
      <c r="O3289" s="7" t="n"/>
    </row>
    <row r="3290">
      <c r="A3290" s="7" t="n"/>
      <c r="B3290" s="7" t="n"/>
      <c r="C3290" s="7" t="n"/>
      <c r="D3290" s="7" t="n"/>
      <c r="E3290" s="7" t="n"/>
      <c r="F3290" s="7" t="n"/>
      <c r="G3290" s="7" t="n"/>
      <c r="H3290" s="7" t="n"/>
      <c r="I3290" s="7" t="n"/>
      <c r="J3290" s="7" t="n"/>
      <c r="K3290">
        <f>IF(D3290="Legitimate Interest (GDPR Art. 6(1)(f))", "Yes / Required (Sheet 3)", "")</f>
        <v/>
      </c>
      <c r="L3290" s="7" t="n"/>
      <c r="M3290" s="7" t="n"/>
      <c r="N3290">
        <f>IF(D3290="", "Gap - No Legal Basis", IF(AND(D3290="Consent (GDPR Art. 6(1)(a))", I3290="Not Captured"), "Gap - Invalid Consent", IF(AND(D3290="Legitimate Interest (GDPR Art. 6(1)(f))", L3290=""), "Gap - Missing LIA", IF(AND(G3290="Yes", H3290=""), "Gap - Missing Art. 9 Basis", IF(OR(I3290="Invalid - Not Freely Given", I3290="Invalid - Not Specific", I3290="Invalid - Not Informed", I3290="Invalid - Ambiguous"), "Gap - Invalid Consent", "Compliant")))))</f>
        <v/>
      </c>
      <c r="O3290" s="7" t="n"/>
    </row>
    <row r="3291">
      <c r="A3291" s="7" t="n"/>
      <c r="B3291" s="7" t="n"/>
      <c r="C3291" s="7" t="n"/>
      <c r="D3291" s="7" t="n"/>
      <c r="E3291" s="7" t="n"/>
      <c r="F3291" s="7" t="n"/>
      <c r="G3291" s="7" t="n"/>
      <c r="H3291" s="7" t="n"/>
      <c r="I3291" s="7" t="n"/>
      <c r="J3291" s="7" t="n"/>
      <c r="K3291">
        <f>IF(D3291="Legitimate Interest (GDPR Art. 6(1)(f))", "Yes / Required (Sheet 3)", "")</f>
        <v/>
      </c>
      <c r="L3291" s="7" t="n"/>
      <c r="M3291" s="7" t="n"/>
      <c r="N3291">
        <f>IF(D3291="", "Gap - No Legal Basis", IF(AND(D3291="Consent (GDPR Art. 6(1)(a))", I3291="Not Captured"), "Gap - Invalid Consent", IF(AND(D3291="Legitimate Interest (GDPR Art. 6(1)(f))", L3291=""), "Gap - Missing LIA", IF(AND(G3291="Yes", H3291=""), "Gap - Missing Art. 9 Basis", IF(OR(I3291="Invalid - Not Freely Given", I3291="Invalid - Not Specific", I3291="Invalid - Not Informed", I3291="Invalid - Ambiguous"), "Gap - Invalid Consent", "Compliant")))))</f>
        <v/>
      </c>
      <c r="O3291" s="7" t="n"/>
    </row>
    <row r="3292">
      <c r="A3292" s="7" t="n"/>
      <c r="B3292" s="7" t="n"/>
      <c r="C3292" s="7" t="n"/>
      <c r="D3292" s="7" t="n"/>
      <c r="E3292" s="7" t="n"/>
      <c r="F3292" s="7" t="n"/>
      <c r="G3292" s="7" t="n"/>
      <c r="H3292" s="7" t="n"/>
      <c r="I3292" s="7" t="n"/>
      <c r="J3292" s="7" t="n"/>
      <c r="K3292">
        <f>IF(D3292="Legitimate Interest (GDPR Art. 6(1)(f))", "Yes / Required (Sheet 3)", "")</f>
        <v/>
      </c>
      <c r="L3292" s="7" t="n"/>
      <c r="M3292" s="7" t="n"/>
      <c r="N3292">
        <f>IF(D3292="", "Gap - No Legal Basis", IF(AND(D3292="Consent (GDPR Art. 6(1)(a))", I3292="Not Captured"), "Gap - Invalid Consent", IF(AND(D3292="Legitimate Interest (GDPR Art. 6(1)(f))", L3292=""), "Gap - Missing LIA", IF(AND(G3292="Yes", H3292=""), "Gap - Missing Art. 9 Basis", IF(OR(I3292="Invalid - Not Freely Given", I3292="Invalid - Not Specific", I3292="Invalid - Not Informed", I3292="Invalid - Ambiguous"), "Gap - Invalid Consent", "Compliant")))))</f>
        <v/>
      </c>
      <c r="O3292" s="7" t="n"/>
    </row>
    <row r="3293">
      <c r="A3293" s="7" t="n"/>
      <c r="B3293" s="7" t="n"/>
      <c r="C3293" s="7" t="n"/>
      <c r="D3293" s="7" t="n"/>
      <c r="E3293" s="7" t="n"/>
      <c r="F3293" s="7" t="n"/>
      <c r="G3293" s="7" t="n"/>
      <c r="H3293" s="7" t="n"/>
      <c r="I3293" s="7" t="n"/>
      <c r="J3293" s="7" t="n"/>
      <c r="K3293">
        <f>IF(D3293="Legitimate Interest (GDPR Art. 6(1)(f))", "Yes / Required (Sheet 3)", "")</f>
        <v/>
      </c>
      <c r="L3293" s="7" t="n"/>
      <c r="M3293" s="7" t="n"/>
      <c r="N3293">
        <f>IF(D3293="", "Gap - No Legal Basis", IF(AND(D3293="Consent (GDPR Art. 6(1)(a))", I3293="Not Captured"), "Gap - Invalid Consent", IF(AND(D3293="Legitimate Interest (GDPR Art. 6(1)(f))", L3293=""), "Gap - Missing LIA", IF(AND(G3293="Yes", H3293=""), "Gap - Missing Art. 9 Basis", IF(OR(I3293="Invalid - Not Freely Given", I3293="Invalid - Not Specific", I3293="Invalid - Not Informed", I3293="Invalid - Ambiguous"), "Gap - Invalid Consent", "Compliant")))))</f>
        <v/>
      </c>
      <c r="O3293" s="7" t="n"/>
    </row>
    <row r="3294">
      <c r="A3294" s="7" t="n"/>
      <c r="B3294" s="7" t="n"/>
      <c r="C3294" s="7" t="n"/>
      <c r="D3294" s="7" t="n"/>
      <c r="E3294" s="7" t="n"/>
      <c r="F3294" s="7" t="n"/>
      <c r="G3294" s="7" t="n"/>
      <c r="H3294" s="7" t="n"/>
      <c r="I3294" s="7" t="n"/>
      <c r="J3294" s="7" t="n"/>
      <c r="K3294">
        <f>IF(D3294="Legitimate Interest (GDPR Art. 6(1)(f))", "Yes / Required (Sheet 3)", "")</f>
        <v/>
      </c>
      <c r="L3294" s="7" t="n"/>
      <c r="M3294" s="7" t="n"/>
      <c r="N3294">
        <f>IF(D3294="", "Gap - No Legal Basis", IF(AND(D3294="Consent (GDPR Art. 6(1)(a))", I3294="Not Captured"), "Gap - Invalid Consent", IF(AND(D3294="Legitimate Interest (GDPR Art. 6(1)(f))", L3294=""), "Gap - Missing LIA", IF(AND(G3294="Yes", H3294=""), "Gap - Missing Art. 9 Basis", IF(OR(I3294="Invalid - Not Freely Given", I3294="Invalid - Not Specific", I3294="Invalid - Not Informed", I3294="Invalid - Ambiguous"), "Gap - Invalid Consent", "Compliant")))))</f>
        <v/>
      </c>
      <c r="O3294" s="7" t="n"/>
    </row>
    <row r="3295">
      <c r="A3295" s="7" t="n"/>
      <c r="B3295" s="7" t="n"/>
      <c r="C3295" s="7" t="n"/>
      <c r="D3295" s="7" t="n"/>
      <c r="E3295" s="7" t="n"/>
      <c r="F3295" s="7" t="n"/>
      <c r="G3295" s="7" t="n"/>
      <c r="H3295" s="7" t="n"/>
      <c r="I3295" s="7" t="n"/>
      <c r="J3295" s="7" t="n"/>
      <c r="K3295">
        <f>IF(D3295="Legitimate Interest (GDPR Art. 6(1)(f))", "Yes / Required (Sheet 3)", "")</f>
        <v/>
      </c>
      <c r="L3295" s="7" t="n"/>
      <c r="M3295" s="7" t="n"/>
      <c r="N3295">
        <f>IF(D3295="", "Gap - No Legal Basis", IF(AND(D3295="Consent (GDPR Art. 6(1)(a))", I3295="Not Captured"), "Gap - Invalid Consent", IF(AND(D3295="Legitimate Interest (GDPR Art. 6(1)(f))", L3295=""), "Gap - Missing LIA", IF(AND(G3295="Yes", H3295=""), "Gap - Missing Art. 9 Basis", IF(OR(I3295="Invalid - Not Freely Given", I3295="Invalid - Not Specific", I3295="Invalid - Not Informed", I3295="Invalid - Ambiguous"), "Gap - Invalid Consent", "Compliant")))))</f>
        <v/>
      </c>
      <c r="O3295" s="7" t="n"/>
    </row>
    <row r="3296">
      <c r="A3296" s="7" t="n"/>
      <c r="B3296" s="7" t="n"/>
      <c r="C3296" s="7" t="n"/>
      <c r="D3296" s="7" t="n"/>
      <c r="E3296" s="7" t="n"/>
      <c r="F3296" s="7" t="n"/>
      <c r="G3296" s="7" t="n"/>
      <c r="H3296" s="7" t="n"/>
      <c r="I3296" s="7" t="n"/>
      <c r="J3296" s="7" t="n"/>
      <c r="K3296">
        <f>IF(D3296="Legitimate Interest (GDPR Art. 6(1)(f))", "Yes / Required (Sheet 3)", "")</f>
        <v/>
      </c>
      <c r="L3296" s="7" t="n"/>
      <c r="M3296" s="7" t="n"/>
      <c r="N3296">
        <f>IF(D3296="", "Gap - No Legal Basis", IF(AND(D3296="Consent (GDPR Art. 6(1)(a))", I3296="Not Captured"), "Gap - Invalid Consent", IF(AND(D3296="Legitimate Interest (GDPR Art. 6(1)(f))", L3296=""), "Gap - Missing LIA", IF(AND(G3296="Yes", H3296=""), "Gap - Missing Art. 9 Basis", IF(OR(I3296="Invalid - Not Freely Given", I3296="Invalid - Not Specific", I3296="Invalid - Not Informed", I3296="Invalid - Ambiguous"), "Gap - Invalid Consent", "Compliant")))))</f>
        <v/>
      </c>
      <c r="O3296" s="7" t="n"/>
    </row>
    <row r="3297">
      <c r="A3297" s="7" t="n"/>
      <c r="B3297" s="7" t="n"/>
      <c r="C3297" s="7" t="n"/>
      <c r="D3297" s="7" t="n"/>
      <c r="E3297" s="7" t="n"/>
      <c r="F3297" s="7" t="n"/>
      <c r="G3297" s="7" t="n"/>
      <c r="H3297" s="7" t="n"/>
      <c r="I3297" s="7" t="n"/>
      <c r="J3297" s="7" t="n"/>
      <c r="K3297">
        <f>IF(D3297="Legitimate Interest (GDPR Art. 6(1)(f))", "Yes / Required (Sheet 3)", "")</f>
        <v/>
      </c>
      <c r="L3297" s="7" t="n"/>
      <c r="M3297" s="7" t="n"/>
      <c r="N3297">
        <f>IF(D3297="", "Gap - No Legal Basis", IF(AND(D3297="Consent (GDPR Art. 6(1)(a))", I3297="Not Captured"), "Gap - Invalid Consent", IF(AND(D3297="Legitimate Interest (GDPR Art. 6(1)(f))", L3297=""), "Gap - Missing LIA", IF(AND(G3297="Yes", H3297=""), "Gap - Missing Art. 9 Basis", IF(OR(I3297="Invalid - Not Freely Given", I3297="Invalid - Not Specific", I3297="Invalid - Not Informed", I3297="Invalid - Ambiguous"), "Gap - Invalid Consent", "Compliant")))))</f>
        <v/>
      </c>
      <c r="O3297" s="7" t="n"/>
    </row>
    <row r="3298">
      <c r="A3298" s="7" t="n"/>
      <c r="B3298" s="7" t="n"/>
      <c r="C3298" s="7" t="n"/>
      <c r="D3298" s="7" t="n"/>
      <c r="E3298" s="7" t="n"/>
      <c r="F3298" s="7" t="n"/>
      <c r="G3298" s="7" t="n"/>
      <c r="H3298" s="7" t="n"/>
      <c r="I3298" s="7" t="n"/>
      <c r="J3298" s="7" t="n"/>
      <c r="K3298">
        <f>IF(D3298="Legitimate Interest (GDPR Art. 6(1)(f))", "Yes / Required (Sheet 3)", "")</f>
        <v/>
      </c>
      <c r="L3298" s="7" t="n"/>
      <c r="M3298" s="7" t="n"/>
      <c r="N3298">
        <f>IF(D3298="", "Gap - No Legal Basis", IF(AND(D3298="Consent (GDPR Art. 6(1)(a))", I3298="Not Captured"), "Gap - Invalid Consent", IF(AND(D3298="Legitimate Interest (GDPR Art. 6(1)(f))", L3298=""), "Gap - Missing LIA", IF(AND(G3298="Yes", H3298=""), "Gap - Missing Art. 9 Basis", IF(OR(I3298="Invalid - Not Freely Given", I3298="Invalid - Not Specific", I3298="Invalid - Not Informed", I3298="Invalid - Ambiguous"), "Gap - Invalid Consent", "Compliant")))))</f>
        <v/>
      </c>
      <c r="O3298" s="7" t="n"/>
    </row>
    <row r="3299">
      <c r="A3299" s="7" t="n"/>
      <c r="B3299" s="7" t="n"/>
      <c r="C3299" s="7" t="n"/>
      <c r="D3299" s="7" t="n"/>
      <c r="E3299" s="7" t="n"/>
      <c r="F3299" s="7" t="n"/>
      <c r="G3299" s="7" t="n"/>
      <c r="H3299" s="7" t="n"/>
      <c r="I3299" s="7" t="n"/>
      <c r="J3299" s="7" t="n"/>
      <c r="K3299">
        <f>IF(D3299="Legitimate Interest (GDPR Art. 6(1)(f))", "Yes / Required (Sheet 3)", "")</f>
        <v/>
      </c>
      <c r="L3299" s="7" t="n"/>
      <c r="M3299" s="7" t="n"/>
      <c r="N3299">
        <f>IF(D3299="", "Gap - No Legal Basis", IF(AND(D3299="Consent (GDPR Art. 6(1)(a))", I3299="Not Captured"), "Gap - Invalid Consent", IF(AND(D3299="Legitimate Interest (GDPR Art. 6(1)(f))", L3299=""), "Gap - Missing LIA", IF(AND(G3299="Yes", H3299=""), "Gap - Missing Art. 9 Basis", IF(OR(I3299="Invalid - Not Freely Given", I3299="Invalid - Not Specific", I3299="Invalid - Not Informed", I3299="Invalid - Ambiguous"), "Gap - Invalid Consent", "Compliant")))))</f>
        <v/>
      </c>
      <c r="O3299" s="7" t="n"/>
    </row>
    <row r="3300">
      <c r="A3300" s="7" t="n"/>
      <c r="B3300" s="7" t="n"/>
      <c r="C3300" s="7" t="n"/>
      <c r="D3300" s="7" t="n"/>
      <c r="E3300" s="7" t="n"/>
      <c r="F3300" s="7" t="n"/>
      <c r="G3300" s="7" t="n"/>
      <c r="H3300" s="7" t="n"/>
      <c r="I3300" s="7" t="n"/>
      <c r="J3300" s="7" t="n"/>
      <c r="K3300">
        <f>IF(D3300="Legitimate Interest (GDPR Art. 6(1)(f))", "Yes / Required (Sheet 3)", "")</f>
        <v/>
      </c>
      <c r="L3300" s="7" t="n"/>
      <c r="M3300" s="7" t="n"/>
      <c r="N3300">
        <f>IF(D3300="", "Gap - No Legal Basis", IF(AND(D3300="Consent (GDPR Art. 6(1)(a))", I3300="Not Captured"), "Gap - Invalid Consent", IF(AND(D3300="Legitimate Interest (GDPR Art. 6(1)(f))", L3300=""), "Gap - Missing LIA", IF(AND(G3300="Yes", H3300=""), "Gap - Missing Art. 9 Basis", IF(OR(I3300="Invalid - Not Freely Given", I3300="Invalid - Not Specific", I3300="Invalid - Not Informed", I3300="Invalid - Ambiguous"), "Gap - Invalid Consent", "Compliant")))))</f>
        <v/>
      </c>
      <c r="O3300" s="7" t="n"/>
    </row>
    <row r="3301">
      <c r="A3301" s="7" t="n"/>
      <c r="B3301" s="7" t="n"/>
      <c r="C3301" s="7" t="n"/>
      <c r="D3301" s="7" t="n"/>
      <c r="E3301" s="7" t="n"/>
      <c r="F3301" s="7" t="n"/>
      <c r="G3301" s="7" t="n"/>
      <c r="H3301" s="7" t="n"/>
      <c r="I3301" s="7" t="n"/>
      <c r="J3301" s="7" t="n"/>
      <c r="K3301">
        <f>IF(D3301="Legitimate Interest (GDPR Art. 6(1)(f))", "Yes / Required (Sheet 3)", "")</f>
        <v/>
      </c>
      <c r="L3301" s="7" t="n"/>
      <c r="M3301" s="7" t="n"/>
      <c r="N3301">
        <f>IF(D3301="", "Gap - No Legal Basis", IF(AND(D3301="Consent (GDPR Art. 6(1)(a))", I3301="Not Captured"), "Gap - Invalid Consent", IF(AND(D3301="Legitimate Interest (GDPR Art. 6(1)(f))", L3301=""), "Gap - Missing LIA", IF(AND(G3301="Yes", H3301=""), "Gap - Missing Art. 9 Basis", IF(OR(I3301="Invalid - Not Freely Given", I3301="Invalid - Not Specific", I3301="Invalid - Not Informed", I3301="Invalid - Ambiguous"), "Gap - Invalid Consent", "Compliant")))))</f>
        <v/>
      </c>
      <c r="O3301" s="7" t="n"/>
    </row>
    <row r="3302">
      <c r="A3302" s="7" t="n"/>
      <c r="B3302" s="7" t="n"/>
      <c r="C3302" s="7" t="n"/>
      <c r="D3302" s="7" t="n"/>
      <c r="E3302" s="7" t="n"/>
      <c r="F3302" s="7" t="n"/>
      <c r="G3302" s="7" t="n"/>
      <c r="H3302" s="7" t="n"/>
      <c r="I3302" s="7" t="n"/>
      <c r="J3302" s="7" t="n"/>
      <c r="K3302">
        <f>IF(D3302="Legitimate Interest (GDPR Art. 6(1)(f))", "Yes / Required (Sheet 3)", "")</f>
        <v/>
      </c>
      <c r="L3302" s="7" t="n"/>
      <c r="M3302" s="7" t="n"/>
      <c r="N3302">
        <f>IF(D3302="", "Gap - No Legal Basis", IF(AND(D3302="Consent (GDPR Art. 6(1)(a))", I3302="Not Captured"), "Gap - Invalid Consent", IF(AND(D3302="Legitimate Interest (GDPR Art. 6(1)(f))", L3302=""), "Gap - Missing LIA", IF(AND(G3302="Yes", H3302=""), "Gap - Missing Art. 9 Basis", IF(OR(I3302="Invalid - Not Freely Given", I3302="Invalid - Not Specific", I3302="Invalid - Not Informed", I3302="Invalid - Ambiguous"), "Gap - Invalid Consent", "Compliant")))))</f>
        <v/>
      </c>
      <c r="O3302" s="7" t="n"/>
    </row>
    <row r="3303">
      <c r="A3303" s="7" t="n"/>
      <c r="B3303" s="7" t="n"/>
      <c r="C3303" s="7" t="n"/>
      <c r="D3303" s="7" t="n"/>
      <c r="E3303" s="7" t="n"/>
      <c r="F3303" s="7" t="n"/>
      <c r="G3303" s="7" t="n"/>
      <c r="H3303" s="7" t="n"/>
      <c r="I3303" s="7" t="n"/>
      <c r="J3303" s="7" t="n"/>
      <c r="K3303">
        <f>IF(D3303="Legitimate Interest (GDPR Art. 6(1)(f))", "Yes / Required (Sheet 3)", "")</f>
        <v/>
      </c>
      <c r="L3303" s="7" t="n"/>
      <c r="M3303" s="7" t="n"/>
      <c r="N3303">
        <f>IF(D3303="", "Gap - No Legal Basis", IF(AND(D3303="Consent (GDPR Art. 6(1)(a))", I3303="Not Captured"), "Gap - Invalid Consent", IF(AND(D3303="Legitimate Interest (GDPR Art. 6(1)(f))", L3303=""), "Gap - Missing LIA", IF(AND(G3303="Yes", H3303=""), "Gap - Missing Art. 9 Basis", IF(OR(I3303="Invalid - Not Freely Given", I3303="Invalid - Not Specific", I3303="Invalid - Not Informed", I3303="Invalid - Ambiguous"), "Gap - Invalid Consent", "Compliant")))))</f>
        <v/>
      </c>
      <c r="O3303" s="7" t="n"/>
    </row>
    <row r="3304">
      <c r="A3304" s="7" t="n"/>
      <c r="B3304" s="7" t="n"/>
      <c r="C3304" s="7" t="n"/>
      <c r="D3304" s="7" t="n"/>
      <c r="E3304" s="7" t="n"/>
      <c r="F3304" s="7" t="n"/>
      <c r="G3304" s="7" t="n"/>
      <c r="H3304" s="7" t="n"/>
      <c r="I3304" s="7" t="n"/>
      <c r="J3304" s="7" t="n"/>
      <c r="K3304">
        <f>IF(D3304="Legitimate Interest (GDPR Art. 6(1)(f))", "Yes / Required (Sheet 3)", "")</f>
        <v/>
      </c>
      <c r="L3304" s="7" t="n"/>
      <c r="M3304" s="7" t="n"/>
      <c r="N3304">
        <f>IF(D3304="", "Gap - No Legal Basis", IF(AND(D3304="Consent (GDPR Art. 6(1)(a))", I3304="Not Captured"), "Gap - Invalid Consent", IF(AND(D3304="Legitimate Interest (GDPR Art. 6(1)(f))", L3304=""), "Gap - Missing LIA", IF(AND(G3304="Yes", H3304=""), "Gap - Missing Art. 9 Basis", IF(OR(I3304="Invalid - Not Freely Given", I3304="Invalid - Not Specific", I3304="Invalid - Not Informed", I3304="Invalid - Ambiguous"), "Gap - Invalid Consent", "Compliant")))))</f>
        <v/>
      </c>
      <c r="O3304" s="7" t="n"/>
    </row>
    <row r="3305">
      <c r="A3305" s="7" t="n"/>
      <c r="B3305" s="7" t="n"/>
      <c r="C3305" s="7" t="n"/>
      <c r="D3305" s="7" t="n"/>
      <c r="E3305" s="7" t="n"/>
      <c r="F3305" s="7" t="n"/>
      <c r="G3305" s="7" t="n"/>
      <c r="H3305" s="7" t="n"/>
      <c r="I3305" s="7" t="n"/>
      <c r="J3305" s="7" t="n"/>
      <c r="K3305">
        <f>IF(D3305="Legitimate Interest (GDPR Art. 6(1)(f))", "Yes / Required (Sheet 3)", "")</f>
        <v/>
      </c>
      <c r="L3305" s="7" t="n"/>
      <c r="M3305" s="7" t="n"/>
      <c r="N3305">
        <f>IF(D3305="", "Gap - No Legal Basis", IF(AND(D3305="Consent (GDPR Art. 6(1)(a))", I3305="Not Captured"), "Gap - Invalid Consent", IF(AND(D3305="Legitimate Interest (GDPR Art. 6(1)(f))", L3305=""), "Gap - Missing LIA", IF(AND(G3305="Yes", H3305=""), "Gap - Missing Art. 9 Basis", IF(OR(I3305="Invalid - Not Freely Given", I3305="Invalid - Not Specific", I3305="Invalid - Not Informed", I3305="Invalid - Ambiguous"), "Gap - Invalid Consent", "Compliant")))))</f>
        <v/>
      </c>
      <c r="O3305" s="7" t="n"/>
    </row>
    <row r="3306">
      <c r="A3306" s="7" t="n"/>
      <c r="B3306" s="7" t="n"/>
      <c r="C3306" s="7" t="n"/>
      <c r="D3306" s="7" t="n"/>
      <c r="E3306" s="7" t="n"/>
      <c r="F3306" s="7" t="n"/>
      <c r="G3306" s="7" t="n"/>
      <c r="H3306" s="7" t="n"/>
      <c r="I3306" s="7" t="n"/>
      <c r="J3306" s="7" t="n"/>
      <c r="K3306">
        <f>IF(D3306="Legitimate Interest (GDPR Art. 6(1)(f))", "Yes / Required (Sheet 3)", "")</f>
        <v/>
      </c>
      <c r="L3306" s="7" t="n"/>
      <c r="M3306" s="7" t="n"/>
      <c r="N3306">
        <f>IF(D3306="", "Gap - No Legal Basis", IF(AND(D3306="Consent (GDPR Art. 6(1)(a))", I3306="Not Captured"), "Gap - Invalid Consent", IF(AND(D3306="Legitimate Interest (GDPR Art. 6(1)(f))", L3306=""), "Gap - Missing LIA", IF(AND(G3306="Yes", H3306=""), "Gap - Missing Art. 9 Basis", IF(OR(I3306="Invalid - Not Freely Given", I3306="Invalid - Not Specific", I3306="Invalid - Not Informed", I3306="Invalid - Ambiguous"), "Gap - Invalid Consent", "Compliant")))))</f>
        <v/>
      </c>
      <c r="O3306" s="7" t="n"/>
    </row>
    <row r="3307">
      <c r="A3307" s="7" t="n"/>
      <c r="B3307" s="7" t="n"/>
      <c r="C3307" s="7" t="n"/>
      <c r="D3307" s="7" t="n"/>
      <c r="E3307" s="7" t="n"/>
      <c r="F3307" s="7" t="n"/>
      <c r="G3307" s="7" t="n"/>
      <c r="H3307" s="7" t="n"/>
      <c r="I3307" s="7" t="n"/>
      <c r="J3307" s="7" t="n"/>
      <c r="K3307">
        <f>IF(D3307="Legitimate Interest (GDPR Art. 6(1)(f))", "Yes / Required (Sheet 3)", "")</f>
        <v/>
      </c>
      <c r="L3307" s="7" t="n"/>
      <c r="M3307" s="7" t="n"/>
      <c r="N3307">
        <f>IF(D3307="", "Gap - No Legal Basis", IF(AND(D3307="Consent (GDPR Art. 6(1)(a))", I3307="Not Captured"), "Gap - Invalid Consent", IF(AND(D3307="Legitimate Interest (GDPR Art. 6(1)(f))", L3307=""), "Gap - Missing LIA", IF(AND(G3307="Yes", H3307=""), "Gap - Missing Art. 9 Basis", IF(OR(I3307="Invalid - Not Freely Given", I3307="Invalid - Not Specific", I3307="Invalid - Not Informed", I3307="Invalid - Ambiguous"), "Gap - Invalid Consent", "Compliant")))))</f>
        <v/>
      </c>
      <c r="O3307" s="7" t="n"/>
    </row>
    <row r="3308">
      <c r="A3308" s="7" t="n"/>
      <c r="B3308" s="7" t="n"/>
      <c r="C3308" s="7" t="n"/>
      <c r="D3308" s="7" t="n"/>
      <c r="E3308" s="7" t="n"/>
      <c r="F3308" s="7" t="n"/>
      <c r="G3308" s="7" t="n"/>
      <c r="H3308" s="7" t="n"/>
      <c r="I3308" s="7" t="n"/>
      <c r="J3308" s="7" t="n"/>
      <c r="K3308">
        <f>IF(D3308="Legitimate Interest (GDPR Art. 6(1)(f))", "Yes / Required (Sheet 3)", "")</f>
        <v/>
      </c>
      <c r="L3308" s="7" t="n"/>
      <c r="M3308" s="7" t="n"/>
      <c r="N3308">
        <f>IF(D3308="", "Gap - No Legal Basis", IF(AND(D3308="Consent (GDPR Art. 6(1)(a))", I3308="Not Captured"), "Gap - Invalid Consent", IF(AND(D3308="Legitimate Interest (GDPR Art. 6(1)(f))", L3308=""), "Gap - Missing LIA", IF(AND(G3308="Yes", H3308=""), "Gap - Missing Art. 9 Basis", IF(OR(I3308="Invalid - Not Freely Given", I3308="Invalid - Not Specific", I3308="Invalid - Not Informed", I3308="Invalid - Ambiguous"), "Gap - Invalid Consent", "Compliant")))))</f>
        <v/>
      </c>
      <c r="O3308" s="7" t="n"/>
    </row>
    <row r="3309">
      <c r="A3309" s="7" t="n"/>
      <c r="B3309" s="7" t="n"/>
      <c r="C3309" s="7" t="n"/>
      <c r="D3309" s="7" t="n"/>
      <c r="E3309" s="7" t="n"/>
      <c r="F3309" s="7" t="n"/>
      <c r="G3309" s="7" t="n"/>
      <c r="H3309" s="7" t="n"/>
      <c r="I3309" s="7" t="n"/>
      <c r="J3309" s="7" t="n"/>
      <c r="K3309">
        <f>IF(D3309="Legitimate Interest (GDPR Art. 6(1)(f))", "Yes / Required (Sheet 3)", "")</f>
        <v/>
      </c>
      <c r="L3309" s="7" t="n"/>
      <c r="M3309" s="7" t="n"/>
      <c r="N3309">
        <f>IF(D3309="", "Gap - No Legal Basis", IF(AND(D3309="Consent (GDPR Art. 6(1)(a))", I3309="Not Captured"), "Gap - Invalid Consent", IF(AND(D3309="Legitimate Interest (GDPR Art. 6(1)(f))", L3309=""), "Gap - Missing LIA", IF(AND(G3309="Yes", H3309=""), "Gap - Missing Art. 9 Basis", IF(OR(I3309="Invalid - Not Freely Given", I3309="Invalid - Not Specific", I3309="Invalid - Not Informed", I3309="Invalid - Ambiguous"), "Gap - Invalid Consent", "Compliant")))))</f>
        <v/>
      </c>
      <c r="O3309" s="7" t="n"/>
    </row>
    <row r="3310">
      <c r="A3310" s="7" t="n"/>
      <c r="B3310" s="7" t="n"/>
      <c r="C3310" s="7" t="n"/>
      <c r="D3310" s="7" t="n"/>
      <c r="E3310" s="7" t="n"/>
      <c r="F3310" s="7" t="n"/>
      <c r="G3310" s="7" t="n"/>
      <c r="H3310" s="7" t="n"/>
      <c r="I3310" s="7" t="n"/>
      <c r="J3310" s="7" t="n"/>
      <c r="K3310">
        <f>IF(D3310="Legitimate Interest (GDPR Art. 6(1)(f))", "Yes / Required (Sheet 3)", "")</f>
        <v/>
      </c>
      <c r="L3310" s="7" t="n"/>
      <c r="M3310" s="7" t="n"/>
      <c r="N3310">
        <f>IF(D3310="", "Gap - No Legal Basis", IF(AND(D3310="Consent (GDPR Art. 6(1)(a))", I3310="Not Captured"), "Gap - Invalid Consent", IF(AND(D3310="Legitimate Interest (GDPR Art. 6(1)(f))", L3310=""), "Gap - Missing LIA", IF(AND(G3310="Yes", H3310=""), "Gap - Missing Art. 9 Basis", IF(OR(I3310="Invalid - Not Freely Given", I3310="Invalid - Not Specific", I3310="Invalid - Not Informed", I3310="Invalid - Ambiguous"), "Gap - Invalid Consent", "Compliant")))))</f>
        <v/>
      </c>
      <c r="O3310" s="7" t="n"/>
    </row>
    <row r="3311">
      <c r="A3311" s="7" t="n"/>
      <c r="B3311" s="7" t="n"/>
      <c r="C3311" s="7" t="n"/>
      <c r="D3311" s="7" t="n"/>
      <c r="E3311" s="7" t="n"/>
      <c r="F3311" s="7" t="n"/>
      <c r="G3311" s="7" t="n"/>
      <c r="H3311" s="7" t="n"/>
      <c r="I3311" s="7" t="n"/>
      <c r="J3311" s="7" t="n"/>
      <c r="K3311">
        <f>IF(D3311="Legitimate Interest (GDPR Art. 6(1)(f))", "Yes / Required (Sheet 3)", "")</f>
        <v/>
      </c>
      <c r="L3311" s="7" t="n"/>
      <c r="M3311" s="7" t="n"/>
      <c r="N3311">
        <f>IF(D3311="", "Gap - No Legal Basis", IF(AND(D3311="Consent (GDPR Art. 6(1)(a))", I3311="Not Captured"), "Gap - Invalid Consent", IF(AND(D3311="Legitimate Interest (GDPR Art. 6(1)(f))", L3311=""), "Gap - Missing LIA", IF(AND(G3311="Yes", H3311=""), "Gap - Missing Art. 9 Basis", IF(OR(I3311="Invalid - Not Freely Given", I3311="Invalid - Not Specific", I3311="Invalid - Not Informed", I3311="Invalid - Ambiguous"), "Gap - Invalid Consent", "Compliant")))))</f>
        <v/>
      </c>
      <c r="O3311" s="7" t="n"/>
    </row>
    <row r="3312">
      <c r="A3312" s="7" t="n"/>
      <c r="B3312" s="7" t="n"/>
      <c r="C3312" s="7" t="n"/>
      <c r="D3312" s="7" t="n"/>
      <c r="E3312" s="7" t="n"/>
      <c r="F3312" s="7" t="n"/>
      <c r="G3312" s="7" t="n"/>
      <c r="H3312" s="7" t="n"/>
      <c r="I3312" s="7" t="n"/>
      <c r="J3312" s="7" t="n"/>
      <c r="K3312">
        <f>IF(D3312="Legitimate Interest (GDPR Art. 6(1)(f))", "Yes / Required (Sheet 3)", "")</f>
        <v/>
      </c>
      <c r="L3312" s="7" t="n"/>
      <c r="M3312" s="7" t="n"/>
      <c r="N3312">
        <f>IF(D3312="", "Gap - No Legal Basis", IF(AND(D3312="Consent (GDPR Art. 6(1)(a))", I3312="Not Captured"), "Gap - Invalid Consent", IF(AND(D3312="Legitimate Interest (GDPR Art. 6(1)(f))", L3312=""), "Gap - Missing LIA", IF(AND(G3312="Yes", H3312=""), "Gap - Missing Art. 9 Basis", IF(OR(I3312="Invalid - Not Freely Given", I3312="Invalid - Not Specific", I3312="Invalid - Not Informed", I3312="Invalid - Ambiguous"), "Gap - Invalid Consent", "Compliant")))))</f>
        <v/>
      </c>
      <c r="O3312" s="7" t="n"/>
    </row>
    <row r="3313">
      <c r="A3313" s="7" t="n"/>
      <c r="B3313" s="7" t="n"/>
      <c r="C3313" s="7" t="n"/>
      <c r="D3313" s="7" t="n"/>
      <c r="E3313" s="7" t="n"/>
      <c r="F3313" s="7" t="n"/>
      <c r="G3313" s="7" t="n"/>
      <c r="H3313" s="7" t="n"/>
      <c r="I3313" s="7" t="n"/>
      <c r="J3313" s="7" t="n"/>
      <c r="K3313">
        <f>IF(D3313="Legitimate Interest (GDPR Art. 6(1)(f))", "Yes / Required (Sheet 3)", "")</f>
        <v/>
      </c>
      <c r="L3313" s="7" t="n"/>
      <c r="M3313" s="7" t="n"/>
      <c r="N3313">
        <f>IF(D3313="", "Gap - No Legal Basis", IF(AND(D3313="Consent (GDPR Art. 6(1)(a))", I3313="Not Captured"), "Gap - Invalid Consent", IF(AND(D3313="Legitimate Interest (GDPR Art. 6(1)(f))", L3313=""), "Gap - Missing LIA", IF(AND(G3313="Yes", H3313=""), "Gap - Missing Art. 9 Basis", IF(OR(I3313="Invalid - Not Freely Given", I3313="Invalid - Not Specific", I3313="Invalid - Not Informed", I3313="Invalid - Ambiguous"), "Gap - Invalid Consent", "Compliant")))))</f>
        <v/>
      </c>
      <c r="O3313" s="7" t="n"/>
    </row>
    <row r="3314">
      <c r="A3314" s="7" t="n"/>
      <c r="B3314" s="7" t="n"/>
      <c r="C3314" s="7" t="n"/>
      <c r="D3314" s="7" t="n"/>
      <c r="E3314" s="7" t="n"/>
      <c r="F3314" s="7" t="n"/>
      <c r="G3314" s="7" t="n"/>
      <c r="H3314" s="7" t="n"/>
      <c r="I3314" s="7" t="n"/>
      <c r="J3314" s="7" t="n"/>
      <c r="K3314">
        <f>IF(D3314="Legitimate Interest (GDPR Art. 6(1)(f))", "Yes / Required (Sheet 3)", "")</f>
        <v/>
      </c>
      <c r="L3314" s="7" t="n"/>
      <c r="M3314" s="7" t="n"/>
      <c r="N3314">
        <f>IF(D3314="", "Gap - No Legal Basis", IF(AND(D3314="Consent (GDPR Art. 6(1)(a))", I3314="Not Captured"), "Gap - Invalid Consent", IF(AND(D3314="Legitimate Interest (GDPR Art. 6(1)(f))", L3314=""), "Gap - Missing LIA", IF(AND(G3314="Yes", H3314=""), "Gap - Missing Art. 9 Basis", IF(OR(I3314="Invalid - Not Freely Given", I3314="Invalid - Not Specific", I3314="Invalid - Not Informed", I3314="Invalid - Ambiguous"), "Gap - Invalid Consent", "Compliant")))))</f>
        <v/>
      </c>
      <c r="O3314" s="7" t="n"/>
    </row>
    <row r="3315">
      <c r="A3315" s="7" t="n"/>
      <c r="B3315" s="7" t="n"/>
      <c r="C3315" s="7" t="n"/>
      <c r="D3315" s="7" t="n"/>
      <c r="E3315" s="7" t="n"/>
      <c r="F3315" s="7" t="n"/>
      <c r="G3315" s="7" t="n"/>
      <c r="H3315" s="7" t="n"/>
      <c r="I3315" s="7" t="n"/>
      <c r="J3315" s="7" t="n"/>
      <c r="K3315">
        <f>IF(D3315="Legitimate Interest (GDPR Art. 6(1)(f))", "Yes / Required (Sheet 3)", "")</f>
        <v/>
      </c>
      <c r="L3315" s="7" t="n"/>
      <c r="M3315" s="7" t="n"/>
      <c r="N3315">
        <f>IF(D3315="", "Gap - No Legal Basis", IF(AND(D3315="Consent (GDPR Art. 6(1)(a))", I3315="Not Captured"), "Gap - Invalid Consent", IF(AND(D3315="Legitimate Interest (GDPR Art. 6(1)(f))", L3315=""), "Gap - Missing LIA", IF(AND(G3315="Yes", H3315=""), "Gap - Missing Art. 9 Basis", IF(OR(I3315="Invalid - Not Freely Given", I3315="Invalid - Not Specific", I3315="Invalid - Not Informed", I3315="Invalid - Ambiguous"), "Gap - Invalid Consent", "Compliant")))))</f>
        <v/>
      </c>
      <c r="O3315" s="7" t="n"/>
    </row>
    <row r="3316">
      <c r="A3316" s="7" t="n"/>
      <c r="B3316" s="7" t="n"/>
      <c r="C3316" s="7" t="n"/>
      <c r="D3316" s="7" t="n"/>
      <c r="E3316" s="7" t="n"/>
      <c r="F3316" s="7" t="n"/>
      <c r="G3316" s="7" t="n"/>
      <c r="H3316" s="7" t="n"/>
      <c r="I3316" s="7" t="n"/>
      <c r="J3316" s="7" t="n"/>
      <c r="K3316">
        <f>IF(D3316="Legitimate Interest (GDPR Art. 6(1)(f))", "Yes / Required (Sheet 3)", "")</f>
        <v/>
      </c>
      <c r="L3316" s="7" t="n"/>
      <c r="M3316" s="7" t="n"/>
      <c r="N3316">
        <f>IF(D3316="", "Gap - No Legal Basis", IF(AND(D3316="Consent (GDPR Art. 6(1)(a))", I3316="Not Captured"), "Gap - Invalid Consent", IF(AND(D3316="Legitimate Interest (GDPR Art. 6(1)(f))", L3316=""), "Gap - Missing LIA", IF(AND(G3316="Yes", H3316=""), "Gap - Missing Art. 9 Basis", IF(OR(I3316="Invalid - Not Freely Given", I3316="Invalid - Not Specific", I3316="Invalid - Not Informed", I3316="Invalid - Ambiguous"), "Gap - Invalid Consent", "Compliant")))))</f>
        <v/>
      </c>
      <c r="O3316" s="7" t="n"/>
    </row>
    <row r="3317">
      <c r="A3317" s="7" t="n"/>
      <c r="B3317" s="7" t="n"/>
      <c r="C3317" s="7" t="n"/>
      <c r="D3317" s="7" t="n"/>
      <c r="E3317" s="7" t="n"/>
      <c r="F3317" s="7" t="n"/>
      <c r="G3317" s="7" t="n"/>
      <c r="H3317" s="7" t="n"/>
      <c r="I3317" s="7" t="n"/>
      <c r="J3317" s="7" t="n"/>
      <c r="K3317">
        <f>IF(D3317="Legitimate Interest (GDPR Art. 6(1)(f))", "Yes / Required (Sheet 3)", "")</f>
        <v/>
      </c>
      <c r="L3317" s="7" t="n"/>
      <c r="M3317" s="7" t="n"/>
      <c r="N3317">
        <f>IF(D3317="", "Gap - No Legal Basis", IF(AND(D3317="Consent (GDPR Art. 6(1)(a))", I3317="Not Captured"), "Gap - Invalid Consent", IF(AND(D3317="Legitimate Interest (GDPR Art. 6(1)(f))", L3317=""), "Gap - Missing LIA", IF(AND(G3317="Yes", H3317=""), "Gap - Missing Art. 9 Basis", IF(OR(I3317="Invalid - Not Freely Given", I3317="Invalid - Not Specific", I3317="Invalid - Not Informed", I3317="Invalid - Ambiguous"), "Gap - Invalid Consent", "Compliant")))))</f>
        <v/>
      </c>
      <c r="O3317" s="7" t="n"/>
    </row>
    <row r="3318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7" t="n"/>
      <c r="J3318" s="7" t="n"/>
      <c r="K3318">
        <f>IF(D3318="Legitimate Interest (GDPR Art. 6(1)(f))", "Yes / Required (Sheet 3)", "")</f>
        <v/>
      </c>
      <c r="L3318" s="7" t="n"/>
      <c r="M3318" s="7" t="n"/>
      <c r="N3318">
        <f>IF(D3318="", "Gap - No Legal Basis", IF(AND(D3318="Consent (GDPR Art. 6(1)(a))", I3318="Not Captured"), "Gap - Invalid Consent", IF(AND(D3318="Legitimate Interest (GDPR Art. 6(1)(f))", L3318=""), "Gap - Missing LIA", IF(AND(G3318="Yes", H3318=""), "Gap - Missing Art. 9 Basis", IF(OR(I3318="Invalid - Not Freely Given", I3318="Invalid - Not Specific", I3318="Invalid - Not Informed", I3318="Invalid - Ambiguous"), "Gap - Invalid Consent", "Compliant")))))</f>
        <v/>
      </c>
      <c r="O3318" s="7" t="n"/>
    </row>
    <row r="3319">
      <c r="A3319" s="7" t="n"/>
      <c r="B3319" s="7" t="n"/>
      <c r="C3319" s="7" t="n"/>
      <c r="D3319" s="7" t="n"/>
      <c r="E3319" s="7" t="n"/>
      <c r="F3319" s="7" t="n"/>
      <c r="G3319" s="7" t="n"/>
      <c r="H3319" s="7" t="n"/>
      <c r="I3319" s="7" t="n"/>
      <c r="J3319" s="7" t="n"/>
      <c r="K3319">
        <f>IF(D3319="Legitimate Interest (GDPR Art. 6(1)(f))", "Yes / Required (Sheet 3)", "")</f>
        <v/>
      </c>
      <c r="L3319" s="7" t="n"/>
      <c r="M3319" s="7" t="n"/>
      <c r="N3319">
        <f>IF(D3319="", "Gap - No Legal Basis", IF(AND(D3319="Consent (GDPR Art. 6(1)(a))", I3319="Not Captured"), "Gap - Invalid Consent", IF(AND(D3319="Legitimate Interest (GDPR Art. 6(1)(f))", L3319=""), "Gap - Missing LIA", IF(AND(G3319="Yes", H3319=""), "Gap - Missing Art. 9 Basis", IF(OR(I3319="Invalid - Not Freely Given", I3319="Invalid - Not Specific", I3319="Invalid - Not Informed", I3319="Invalid - Ambiguous"), "Gap - Invalid Consent", "Compliant")))))</f>
        <v/>
      </c>
      <c r="O3319" s="7" t="n"/>
    </row>
    <row r="3320">
      <c r="A3320" s="7" t="n"/>
      <c r="B3320" s="7" t="n"/>
      <c r="C3320" s="7" t="n"/>
      <c r="D3320" s="7" t="n"/>
      <c r="E3320" s="7" t="n"/>
      <c r="F3320" s="7" t="n"/>
      <c r="G3320" s="7" t="n"/>
      <c r="H3320" s="7" t="n"/>
      <c r="I3320" s="7" t="n"/>
      <c r="J3320" s="7" t="n"/>
      <c r="K3320">
        <f>IF(D3320="Legitimate Interest (GDPR Art. 6(1)(f))", "Yes / Required (Sheet 3)", "")</f>
        <v/>
      </c>
      <c r="L3320" s="7" t="n"/>
      <c r="M3320" s="7" t="n"/>
      <c r="N3320">
        <f>IF(D3320="", "Gap - No Legal Basis", IF(AND(D3320="Consent (GDPR Art. 6(1)(a))", I3320="Not Captured"), "Gap - Invalid Consent", IF(AND(D3320="Legitimate Interest (GDPR Art. 6(1)(f))", L3320=""), "Gap - Missing LIA", IF(AND(G3320="Yes", H3320=""), "Gap - Missing Art. 9 Basis", IF(OR(I3320="Invalid - Not Freely Given", I3320="Invalid - Not Specific", I3320="Invalid - Not Informed", I3320="Invalid - Ambiguous"), "Gap - Invalid Consent", "Compliant")))))</f>
        <v/>
      </c>
      <c r="O3320" s="7" t="n"/>
    </row>
    <row r="3321">
      <c r="A3321" s="7" t="n"/>
      <c r="B3321" s="7" t="n"/>
      <c r="C3321" s="7" t="n"/>
      <c r="D3321" s="7" t="n"/>
      <c r="E3321" s="7" t="n"/>
      <c r="F3321" s="7" t="n"/>
      <c r="G3321" s="7" t="n"/>
      <c r="H3321" s="7" t="n"/>
      <c r="I3321" s="7" t="n"/>
      <c r="J3321" s="7" t="n"/>
      <c r="K3321">
        <f>IF(D3321="Legitimate Interest (GDPR Art. 6(1)(f))", "Yes / Required (Sheet 3)", "")</f>
        <v/>
      </c>
      <c r="L3321" s="7" t="n"/>
      <c r="M3321" s="7" t="n"/>
      <c r="N3321">
        <f>IF(D3321="", "Gap - No Legal Basis", IF(AND(D3321="Consent (GDPR Art. 6(1)(a))", I3321="Not Captured"), "Gap - Invalid Consent", IF(AND(D3321="Legitimate Interest (GDPR Art. 6(1)(f))", L3321=""), "Gap - Missing LIA", IF(AND(G3321="Yes", H3321=""), "Gap - Missing Art. 9 Basis", IF(OR(I3321="Invalid - Not Freely Given", I3321="Invalid - Not Specific", I3321="Invalid - Not Informed", I3321="Invalid - Ambiguous"), "Gap - Invalid Consent", "Compliant")))))</f>
        <v/>
      </c>
      <c r="O3321" s="7" t="n"/>
    </row>
    <row r="3322">
      <c r="A3322" s="7" t="n"/>
      <c r="B3322" s="7" t="n"/>
      <c r="C3322" s="7" t="n"/>
      <c r="D3322" s="7" t="n"/>
      <c r="E3322" s="7" t="n"/>
      <c r="F3322" s="7" t="n"/>
      <c r="G3322" s="7" t="n"/>
      <c r="H3322" s="7" t="n"/>
      <c r="I3322" s="7" t="n"/>
      <c r="J3322" s="7" t="n"/>
      <c r="K3322">
        <f>IF(D3322="Legitimate Interest (GDPR Art. 6(1)(f))", "Yes / Required (Sheet 3)", "")</f>
        <v/>
      </c>
      <c r="L3322" s="7" t="n"/>
      <c r="M3322" s="7" t="n"/>
      <c r="N3322">
        <f>IF(D3322="", "Gap - No Legal Basis", IF(AND(D3322="Consent (GDPR Art. 6(1)(a))", I3322="Not Captured"), "Gap - Invalid Consent", IF(AND(D3322="Legitimate Interest (GDPR Art. 6(1)(f))", L3322=""), "Gap - Missing LIA", IF(AND(G3322="Yes", H3322=""), "Gap - Missing Art. 9 Basis", IF(OR(I3322="Invalid - Not Freely Given", I3322="Invalid - Not Specific", I3322="Invalid - Not Informed", I3322="Invalid - Ambiguous"), "Gap - Invalid Consent", "Compliant")))))</f>
        <v/>
      </c>
      <c r="O3322" s="7" t="n"/>
    </row>
    <row r="3323">
      <c r="A3323" s="7" t="n"/>
      <c r="B3323" s="7" t="n"/>
      <c r="C3323" s="7" t="n"/>
      <c r="D3323" s="7" t="n"/>
      <c r="E3323" s="7" t="n"/>
      <c r="F3323" s="7" t="n"/>
      <c r="G3323" s="7" t="n"/>
      <c r="H3323" s="7" t="n"/>
      <c r="I3323" s="7" t="n"/>
      <c r="J3323" s="7" t="n"/>
      <c r="K3323">
        <f>IF(D3323="Legitimate Interest (GDPR Art. 6(1)(f))", "Yes / Required (Sheet 3)", "")</f>
        <v/>
      </c>
      <c r="L3323" s="7" t="n"/>
      <c r="M3323" s="7" t="n"/>
      <c r="N3323">
        <f>IF(D3323="", "Gap - No Legal Basis", IF(AND(D3323="Consent (GDPR Art. 6(1)(a))", I3323="Not Captured"), "Gap - Invalid Consent", IF(AND(D3323="Legitimate Interest (GDPR Art. 6(1)(f))", L3323=""), "Gap - Missing LIA", IF(AND(G3323="Yes", H3323=""), "Gap - Missing Art. 9 Basis", IF(OR(I3323="Invalid - Not Freely Given", I3323="Invalid - Not Specific", I3323="Invalid - Not Informed", I3323="Invalid - Ambiguous"), "Gap - Invalid Consent", "Compliant")))))</f>
        <v/>
      </c>
      <c r="O3323" s="7" t="n"/>
    </row>
    <row r="3324">
      <c r="A3324" s="7" t="n"/>
      <c r="B3324" s="7" t="n"/>
      <c r="C3324" s="7" t="n"/>
      <c r="D3324" s="7" t="n"/>
      <c r="E3324" s="7" t="n"/>
      <c r="F3324" s="7" t="n"/>
      <c r="G3324" s="7" t="n"/>
      <c r="H3324" s="7" t="n"/>
      <c r="I3324" s="7" t="n"/>
      <c r="J3324" s="7" t="n"/>
      <c r="K3324">
        <f>IF(D3324="Legitimate Interest (GDPR Art. 6(1)(f))", "Yes / Required (Sheet 3)", "")</f>
        <v/>
      </c>
      <c r="L3324" s="7" t="n"/>
      <c r="M3324" s="7" t="n"/>
      <c r="N3324">
        <f>IF(D3324="", "Gap - No Legal Basis", IF(AND(D3324="Consent (GDPR Art. 6(1)(a))", I3324="Not Captured"), "Gap - Invalid Consent", IF(AND(D3324="Legitimate Interest (GDPR Art. 6(1)(f))", L3324=""), "Gap - Missing LIA", IF(AND(G3324="Yes", H3324=""), "Gap - Missing Art. 9 Basis", IF(OR(I3324="Invalid - Not Freely Given", I3324="Invalid - Not Specific", I3324="Invalid - Not Informed", I3324="Invalid - Ambiguous"), "Gap - Invalid Consent", "Compliant")))))</f>
        <v/>
      </c>
      <c r="O3324" s="7" t="n"/>
    </row>
    <row r="3325">
      <c r="A3325" s="7" t="n"/>
      <c r="B3325" s="7" t="n"/>
      <c r="C3325" s="7" t="n"/>
      <c r="D3325" s="7" t="n"/>
      <c r="E3325" s="7" t="n"/>
      <c r="F3325" s="7" t="n"/>
      <c r="G3325" s="7" t="n"/>
      <c r="H3325" s="7" t="n"/>
      <c r="I3325" s="7" t="n"/>
      <c r="J3325" s="7" t="n"/>
      <c r="K3325">
        <f>IF(D3325="Legitimate Interest (GDPR Art. 6(1)(f))", "Yes / Required (Sheet 3)", "")</f>
        <v/>
      </c>
      <c r="L3325" s="7" t="n"/>
      <c r="M3325" s="7" t="n"/>
      <c r="N3325">
        <f>IF(D3325="", "Gap - No Legal Basis", IF(AND(D3325="Consent (GDPR Art. 6(1)(a))", I3325="Not Captured"), "Gap - Invalid Consent", IF(AND(D3325="Legitimate Interest (GDPR Art. 6(1)(f))", L3325=""), "Gap - Missing LIA", IF(AND(G3325="Yes", H3325=""), "Gap - Missing Art. 9 Basis", IF(OR(I3325="Invalid - Not Freely Given", I3325="Invalid - Not Specific", I3325="Invalid - Not Informed", I3325="Invalid - Ambiguous"), "Gap - Invalid Consent", "Compliant")))))</f>
        <v/>
      </c>
      <c r="O3325" s="7" t="n"/>
    </row>
    <row r="3326">
      <c r="A3326" s="7" t="n"/>
      <c r="B3326" s="7" t="n"/>
      <c r="C3326" s="7" t="n"/>
      <c r="D3326" s="7" t="n"/>
      <c r="E3326" s="7" t="n"/>
      <c r="F3326" s="7" t="n"/>
      <c r="G3326" s="7" t="n"/>
      <c r="H3326" s="7" t="n"/>
      <c r="I3326" s="7" t="n"/>
      <c r="J3326" s="7" t="n"/>
      <c r="K3326">
        <f>IF(D3326="Legitimate Interest (GDPR Art. 6(1)(f))", "Yes / Required (Sheet 3)", "")</f>
        <v/>
      </c>
      <c r="L3326" s="7" t="n"/>
      <c r="M3326" s="7" t="n"/>
      <c r="N3326">
        <f>IF(D3326="", "Gap - No Legal Basis", IF(AND(D3326="Consent (GDPR Art. 6(1)(a))", I3326="Not Captured"), "Gap - Invalid Consent", IF(AND(D3326="Legitimate Interest (GDPR Art. 6(1)(f))", L3326=""), "Gap - Missing LIA", IF(AND(G3326="Yes", H3326=""), "Gap - Missing Art. 9 Basis", IF(OR(I3326="Invalid - Not Freely Given", I3326="Invalid - Not Specific", I3326="Invalid - Not Informed", I3326="Invalid - Ambiguous"), "Gap - Invalid Consent", "Compliant")))))</f>
        <v/>
      </c>
      <c r="O3326" s="7" t="n"/>
    </row>
    <row r="3327">
      <c r="A3327" s="7" t="n"/>
      <c r="B3327" s="7" t="n"/>
      <c r="C3327" s="7" t="n"/>
      <c r="D3327" s="7" t="n"/>
      <c r="E3327" s="7" t="n"/>
      <c r="F3327" s="7" t="n"/>
      <c r="G3327" s="7" t="n"/>
      <c r="H3327" s="7" t="n"/>
      <c r="I3327" s="7" t="n"/>
      <c r="J3327" s="7" t="n"/>
      <c r="K3327">
        <f>IF(D3327="Legitimate Interest (GDPR Art. 6(1)(f))", "Yes / Required (Sheet 3)", "")</f>
        <v/>
      </c>
      <c r="L3327" s="7" t="n"/>
      <c r="M3327" s="7" t="n"/>
      <c r="N3327">
        <f>IF(D3327="", "Gap - No Legal Basis", IF(AND(D3327="Consent (GDPR Art. 6(1)(a))", I3327="Not Captured"), "Gap - Invalid Consent", IF(AND(D3327="Legitimate Interest (GDPR Art. 6(1)(f))", L3327=""), "Gap - Missing LIA", IF(AND(G3327="Yes", H3327=""), "Gap - Missing Art. 9 Basis", IF(OR(I3327="Invalid - Not Freely Given", I3327="Invalid - Not Specific", I3327="Invalid - Not Informed", I3327="Invalid - Ambiguous"), "Gap - Invalid Consent", "Compliant")))))</f>
        <v/>
      </c>
      <c r="O3327" s="7" t="n"/>
    </row>
    <row r="3328">
      <c r="A3328" s="7" t="n"/>
      <c r="B3328" s="7" t="n"/>
      <c r="C3328" s="7" t="n"/>
      <c r="D3328" s="7" t="n"/>
      <c r="E3328" s="7" t="n"/>
      <c r="F3328" s="7" t="n"/>
      <c r="G3328" s="7" t="n"/>
      <c r="H3328" s="7" t="n"/>
      <c r="I3328" s="7" t="n"/>
      <c r="J3328" s="7" t="n"/>
      <c r="K3328">
        <f>IF(D3328="Legitimate Interest (GDPR Art. 6(1)(f))", "Yes / Required (Sheet 3)", "")</f>
        <v/>
      </c>
      <c r="L3328" s="7" t="n"/>
      <c r="M3328" s="7" t="n"/>
      <c r="N3328">
        <f>IF(D3328="", "Gap - No Legal Basis", IF(AND(D3328="Consent (GDPR Art. 6(1)(a))", I3328="Not Captured"), "Gap - Invalid Consent", IF(AND(D3328="Legitimate Interest (GDPR Art. 6(1)(f))", L3328=""), "Gap - Missing LIA", IF(AND(G3328="Yes", H3328=""), "Gap - Missing Art. 9 Basis", IF(OR(I3328="Invalid - Not Freely Given", I3328="Invalid - Not Specific", I3328="Invalid - Not Informed", I3328="Invalid - Ambiguous"), "Gap - Invalid Consent", "Compliant")))))</f>
        <v/>
      </c>
      <c r="O3328" s="7" t="n"/>
    </row>
    <row r="3329">
      <c r="A3329" s="7" t="n"/>
      <c r="B3329" s="7" t="n"/>
      <c r="C3329" s="7" t="n"/>
      <c r="D3329" s="7" t="n"/>
      <c r="E3329" s="7" t="n"/>
      <c r="F3329" s="7" t="n"/>
      <c r="G3329" s="7" t="n"/>
      <c r="H3329" s="7" t="n"/>
      <c r="I3329" s="7" t="n"/>
      <c r="J3329" s="7" t="n"/>
      <c r="K3329">
        <f>IF(D3329="Legitimate Interest (GDPR Art. 6(1)(f))", "Yes / Required (Sheet 3)", "")</f>
        <v/>
      </c>
      <c r="L3329" s="7" t="n"/>
      <c r="M3329" s="7" t="n"/>
      <c r="N3329">
        <f>IF(D3329="", "Gap - No Legal Basis", IF(AND(D3329="Consent (GDPR Art. 6(1)(a))", I3329="Not Captured"), "Gap - Invalid Consent", IF(AND(D3329="Legitimate Interest (GDPR Art. 6(1)(f))", L3329=""), "Gap - Missing LIA", IF(AND(G3329="Yes", H3329=""), "Gap - Missing Art. 9 Basis", IF(OR(I3329="Invalid - Not Freely Given", I3329="Invalid - Not Specific", I3329="Invalid - Not Informed", I3329="Invalid - Ambiguous"), "Gap - Invalid Consent", "Compliant")))))</f>
        <v/>
      </c>
      <c r="O3329" s="7" t="n"/>
    </row>
    <row r="3330">
      <c r="A3330" s="7" t="n"/>
      <c r="B3330" s="7" t="n"/>
      <c r="C3330" s="7" t="n"/>
      <c r="D3330" s="7" t="n"/>
      <c r="E3330" s="7" t="n"/>
      <c r="F3330" s="7" t="n"/>
      <c r="G3330" s="7" t="n"/>
      <c r="H3330" s="7" t="n"/>
      <c r="I3330" s="7" t="n"/>
      <c r="J3330" s="7" t="n"/>
      <c r="K3330">
        <f>IF(D3330="Legitimate Interest (GDPR Art. 6(1)(f))", "Yes / Required (Sheet 3)", "")</f>
        <v/>
      </c>
      <c r="L3330" s="7" t="n"/>
      <c r="M3330" s="7" t="n"/>
      <c r="N3330">
        <f>IF(D3330="", "Gap - No Legal Basis", IF(AND(D3330="Consent (GDPR Art. 6(1)(a))", I3330="Not Captured"), "Gap - Invalid Consent", IF(AND(D3330="Legitimate Interest (GDPR Art. 6(1)(f))", L3330=""), "Gap - Missing LIA", IF(AND(G3330="Yes", H3330=""), "Gap - Missing Art. 9 Basis", IF(OR(I3330="Invalid - Not Freely Given", I3330="Invalid - Not Specific", I3330="Invalid - Not Informed", I3330="Invalid - Ambiguous"), "Gap - Invalid Consent", "Compliant")))))</f>
        <v/>
      </c>
      <c r="O3330" s="7" t="n"/>
    </row>
    <row r="3331">
      <c r="A3331" s="7" t="n"/>
      <c r="B3331" s="7" t="n"/>
      <c r="C3331" s="7" t="n"/>
      <c r="D3331" s="7" t="n"/>
      <c r="E3331" s="7" t="n"/>
      <c r="F3331" s="7" t="n"/>
      <c r="G3331" s="7" t="n"/>
      <c r="H3331" s="7" t="n"/>
      <c r="I3331" s="7" t="n"/>
      <c r="J3331" s="7" t="n"/>
      <c r="K3331">
        <f>IF(D3331="Legitimate Interest (GDPR Art. 6(1)(f))", "Yes / Required (Sheet 3)", "")</f>
        <v/>
      </c>
      <c r="L3331" s="7" t="n"/>
      <c r="M3331" s="7" t="n"/>
      <c r="N3331">
        <f>IF(D3331="", "Gap - No Legal Basis", IF(AND(D3331="Consent (GDPR Art. 6(1)(a))", I3331="Not Captured"), "Gap - Invalid Consent", IF(AND(D3331="Legitimate Interest (GDPR Art. 6(1)(f))", L3331=""), "Gap - Missing LIA", IF(AND(G3331="Yes", H3331=""), "Gap - Missing Art. 9 Basis", IF(OR(I3331="Invalid - Not Freely Given", I3331="Invalid - Not Specific", I3331="Invalid - Not Informed", I3331="Invalid - Ambiguous"), "Gap - Invalid Consent", "Compliant")))))</f>
        <v/>
      </c>
      <c r="O3331" s="7" t="n"/>
    </row>
    <row r="3332">
      <c r="A3332" s="7" t="n"/>
      <c r="B3332" s="7" t="n"/>
      <c r="C3332" s="7" t="n"/>
      <c r="D3332" s="7" t="n"/>
      <c r="E3332" s="7" t="n"/>
      <c r="F3332" s="7" t="n"/>
      <c r="G3332" s="7" t="n"/>
      <c r="H3332" s="7" t="n"/>
      <c r="I3332" s="7" t="n"/>
      <c r="J3332" s="7" t="n"/>
      <c r="K3332">
        <f>IF(D3332="Legitimate Interest (GDPR Art. 6(1)(f))", "Yes / Required (Sheet 3)", "")</f>
        <v/>
      </c>
      <c r="L3332" s="7" t="n"/>
      <c r="M3332" s="7" t="n"/>
      <c r="N3332">
        <f>IF(D3332="", "Gap - No Legal Basis", IF(AND(D3332="Consent (GDPR Art. 6(1)(a))", I3332="Not Captured"), "Gap - Invalid Consent", IF(AND(D3332="Legitimate Interest (GDPR Art. 6(1)(f))", L3332=""), "Gap - Missing LIA", IF(AND(G3332="Yes", H3332=""), "Gap - Missing Art. 9 Basis", IF(OR(I3332="Invalid - Not Freely Given", I3332="Invalid - Not Specific", I3332="Invalid - Not Informed", I3332="Invalid - Ambiguous"), "Gap - Invalid Consent", "Compliant")))))</f>
        <v/>
      </c>
      <c r="O3332" s="7" t="n"/>
    </row>
    <row r="3333">
      <c r="A3333" s="7" t="n"/>
      <c r="B3333" s="7" t="n"/>
      <c r="C3333" s="7" t="n"/>
      <c r="D3333" s="7" t="n"/>
      <c r="E3333" s="7" t="n"/>
      <c r="F3333" s="7" t="n"/>
      <c r="G3333" s="7" t="n"/>
      <c r="H3333" s="7" t="n"/>
      <c r="I3333" s="7" t="n"/>
      <c r="J3333" s="7" t="n"/>
      <c r="K3333">
        <f>IF(D3333="Legitimate Interest (GDPR Art. 6(1)(f))", "Yes / Required (Sheet 3)", "")</f>
        <v/>
      </c>
      <c r="L3333" s="7" t="n"/>
      <c r="M3333" s="7" t="n"/>
      <c r="N3333">
        <f>IF(D3333="", "Gap - No Legal Basis", IF(AND(D3333="Consent (GDPR Art. 6(1)(a))", I3333="Not Captured"), "Gap - Invalid Consent", IF(AND(D3333="Legitimate Interest (GDPR Art. 6(1)(f))", L3333=""), "Gap - Missing LIA", IF(AND(G3333="Yes", H3333=""), "Gap - Missing Art. 9 Basis", IF(OR(I3333="Invalid - Not Freely Given", I3333="Invalid - Not Specific", I3333="Invalid - Not Informed", I3333="Invalid - Ambiguous"), "Gap - Invalid Consent", "Compliant")))))</f>
        <v/>
      </c>
      <c r="O3333" s="7" t="n"/>
    </row>
    <row r="3334">
      <c r="A3334" s="7" t="n"/>
      <c r="B3334" s="7" t="n"/>
      <c r="C3334" s="7" t="n"/>
      <c r="D3334" s="7" t="n"/>
      <c r="E3334" s="7" t="n"/>
      <c r="F3334" s="7" t="n"/>
      <c r="G3334" s="7" t="n"/>
      <c r="H3334" s="7" t="n"/>
      <c r="I3334" s="7" t="n"/>
      <c r="J3334" s="7" t="n"/>
      <c r="K3334">
        <f>IF(D3334="Legitimate Interest (GDPR Art. 6(1)(f))", "Yes / Required (Sheet 3)", "")</f>
        <v/>
      </c>
      <c r="L3334" s="7" t="n"/>
      <c r="M3334" s="7" t="n"/>
      <c r="N3334">
        <f>IF(D3334="", "Gap - No Legal Basis", IF(AND(D3334="Consent (GDPR Art. 6(1)(a))", I3334="Not Captured"), "Gap - Invalid Consent", IF(AND(D3334="Legitimate Interest (GDPR Art. 6(1)(f))", L3334=""), "Gap - Missing LIA", IF(AND(G3334="Yes", H3334=""), "Gap - Missing Art. 9 Basis", IF(OR(I3334="Invalid - Not Freely Given", I3334="Invalid - Not Specific", I3334="Invalid - Not Informed", I3334="Invalid - Ambiguous"), "Gap - Invalid Consent", "Compliant")))))</f>
        <v/>
      </c>
      <c r="O3334" s="7" t="n"/>
    </row>
    <row r="3335">
      <c r="A3335" s="7" t="n"/>
      <c r="B3335" s="7" t="n"/>
      <c r="C3335" s="7" t="n"/>
      <c r="D3335" s="7" t="n"/>
      <c r="E3335" s="7" t="n"/>
      <c r="F3335" s="7" t="n"/>
      <c r="G3335" s="7" t="n"/>
      <c r="H3335" s="7" t="n"/>
      <c r="I3335" s="7" t="n"/>
      <c r="J3335" s="7" t="n"/>
      <c r="K3335">
        <f>IF(D3335="Legitimate Interest (GDPR Art. 6(1)(f))", "Yes / Required (Sheet 3)", "")</f>
        <v/>
      </c>
      <c r="L3335" s="7" t="n"/>
      <c r="M3335" s="7" t="n"/>
      <c r="N3335">
        <f>IF(D3335="", "Gap - No Legal Basis", IF(AND(D3335="Consent (GDPR Art. 6(1)(a))", I3335="Not Captured"), "Gap - Invalid Consent", IF(AND(D3335="Legitimate Interest (GDPR Art. 6(1)(f))", L3335=""), "Gap - Missing LIA", IF(AND(G3335="Yes", H3335=""), "Gap - Missing Art. 9 Basis", IF(OR(I3335="Invalid - Not Freely Given", I3335="Invalid - Not Specific", I3335="Invalid - Not Informed", I3335="Invalid - Ambiguous"), "Gap - Invalid Consent", "Compliant")))))</f>
        <v/>
      </c>
      <c r="O3335" s="7" t="n"/>
    </row>
    <row r="3336">
      <c r="A3336" s="7" t="n"/>
      <c r="B3336" s="7" t="n"/>
      <c r="C3336" s="7" t="n"/>
      <c r="D3336" s="7" t="n"/>
      <c r="E3336" s="7" t="n"/>
      <c r="F3336" s="7" t="n"/>
      <c r="G3336" s="7" t="n"/>
      <c r="H3336" s="7" t="n"/>
      <c r="I3336" s="7" t="n"/>
      <c r="J3336" s="7" t="n"/>
      <c r="K3336">
        <f>IF(D3336="Legitimate Interest (GDPR Art. 6(1)(f))", "Yes / Required (Sheet 3)", "")</f>
        <v/>
      </c>
      <c r="L3336" s="7" t="n"/>
      <c r="M3336" s="7" t="n"/>
      <c r="N3336">
        <f>IF(D3336="", "Gap - No Legal Basis", IF(AND(D3336="Consent (GDPR Art. 6(1)(a))", I3336="Not Captured"), "Gap - Invalid Consent", IF(AND(D3336="Legitimate Interest (GDPR Art. 6(1)(f))", L3336=""), "Gap - Missing LIA", IF(AND(G3336="Yes", H3336=""), "Gap - Missing Art. 9 Basis", IF(OR(I3336="Invalid - Not Freely Given", I3336="Invalid - Not Specific", I3336="Invalid - Not Informed", I3336="Invalid - Ambiguous"), "Gap - Invalid Consent", "Compliant")))))</f>
        <v/>
      </c>
      <c r="O3336" s="7" t="n"/>
    </row>
    <row r="3337">
      <c r="A3337" s="7" t="n"/>
      <c r="B3337" s="7" t="n"/>
      <c r="C3337" s="7" t="n"/>
      <c r="D3337" s="7" t="n"/>
      <c r="E3337" s="7" t="n"/>
      <c r="F3337" s="7" t="n"/>
      <c r="G3337" s="7" t="n"/>
      <c r="H3337" s="7" t="n"/>
      <c r="I3337" s="7" t="n"/>
      <c r="J3337" s="7" t="n"/>
      <c r="K3337">
        <f>IF(D3337="Legitimate Interest (GDPR Art. 6(1)(f))", "Yes / Required (Sheet 3)", "")</f>
        <v/>
      </c>
      <c r="L3337" s="7" t="n"/>
      <c r="M3337" s="7" t="n"/>
      <c r="N3337">
        <f>IF(D3337="", "Gap - No Legal Basis", IF(AND(D3337="Consent (GDPR Art. 6(1)(a))", I3337="Not Captured"), "Gap - Invalid Consent", IF(AND(D3337="Legitimate Interest (GDPR Art. 6(1)(f))", L3337=""), "Gap - Missing LIA", IF(AND(G3337="Yes", H3337=""), "Gap - Missing Art. 9 Basis", IF(OR(I3337="Invalid - Not Freely Given", I3337="Invalid - Not Specific", I3337="Invalid - Not Informed", I3337="Invalid - Ambiguous"), "Gap - Invalid Consent", "Compliant")))))</f>
        <v/>
      </c>
      <c r="O3337" s="7" t="n"/>
    </row>
    <row r="3338">
      <c r="A3338" s="7" t="n"/>
      <c r="B3338" s="7" t="n"/>
      <c r="C3338" s="7" t="n"/>
      <c r="D3338" s="7" t="n"/>
      <c r="E3338" s="7" t="n"/>
      <c r="F3338" s="7" t="n"/>
      <c r="G3338" s="7" t="n"/>
      <c r="H3338" s="7" t="n"/>
      <c r="I3338" s="7" t="n"/>
      <c r="J3338" s="7" t="n"/>
      <c r="K3338">
        <f>IF(D3338="Legitimate Interest (GDPR Art. 6(1)(f))", "Yes / Required (Sheet 3)", "")</f>
        <v/>
      </c>
      <c r="L3338" s="7" t="n"/>
      <c r="M3338" s="7" t="n"/>
      <c r="N3338">
        <f>IF(D3338="", "Gap - No Legal Basis", IF(AND(D3338="Consent (GDPR Art. 6(1)(a))", I3338="Not Captured"), "Gap - Invalid Consent", IF(AND(D3338="Legitimate Interest (GDPR Art. 6(1)(f))", L3338=""), "Gap - Missing LIA", IF(AND(G3338="Yes", H3338=""), "Gap - Missing Art. 9 Basis", IF(OR(I3338="Invalid - Not Freely Given", I3338="Invalid - Not Specific", I3338="Invalid - Not Informed", I3338="Invalid - Ambiguous"), "Gap - Invalid Consent", "Compliant")))))</f>
        <v/>
      </c>
      <c r="O3338" s="7" t="n"/>
    </row>
    <row r="3339">
      <c r="A3339" s="7" t="n"/>
      <c r="B3339" s="7" t="n"/>
      <c r="C3339" s="7" t="n"/>
      <c r="D3339" s="7" t="n"/>
      <c r="E3339" s="7" t="n"/>
      <c r="F3339" s="7" t="n"/>
      <c r="G3339" s="7" t="n"/>
      <c r="H3339" s="7" t="n"/>
      <c r="I3339" s="7" t="n"/>
      <c r="J3339" s="7" t="n"/>
      <c r="K3339">
        <f>IF(D3339="Legitimate Interest (GDPR Art. 6(1)(f))", "Yes / Required (Sheet 3)", "")</f>
        <v/>
      </c>
      <c r="L3339" s="7" t="n"/>
      <c r="M3339" s="7" t="n"/>
      <c r="N3339">
        <f>IF(D3339="", "Gap - No Legal Basis", IF(AND(D3339="Consent (GDPR Art. 6(1)(a))", I3339="Not Captured"), "Gap - Invalid Consent", IF(AND(D3339="Legitimate Interest (GDPR Art. 6(1)(f))", L3339=""), "Gap - Missing LIA", IF(AND(G3339="Yes", H3339=""), "Gap - Missing Art. 9 Basis", IF(OR(I3339="Invalid - Not Freely Given", I3339="Invalid - Not Specific", I3339="Invalid - Not Informed", I3339="Invalid - Ambiguous"), "Gap - Invalid Consent", "Compliant")))))</f>
        <v/>
      </c>
      <c r="O3339" s="7" t="n"/>
    </row>
    <row r="3340">
      <c r="A3340" s="7" t="n"/>
      <c r="B3340" s="7" t="n"/>
      <c r="C3340" s="7" t="n"/>
      <c r="D3340" s="7" t="n"/>
      <c r="E3340" s="7" t="n"/>
      <c r="F3340" s="7" t="n"/>
      <c r="G3340" s="7" t="n"/>
      <c r="H3340" s="7" t="n"/>
      <c r="I3340" s="7" t="n"/>
      <c r="J3340" s="7" t="n"/>
      <c r="K3340">
        <f>IF(D3340="Legitimate Interest (GDPR Art. 6(1)(f))", "Yes / Required (Sheet 3)", "")</f>
        <v/>
      </c>
      <c r="L3340" s="7" t="n"/>
      <c r="M3340" s="7" t="n"/>
      <c r="N3340">
        <f>IF(D3340="", "Gap - No Legal Basis", IF(AND(D3340="Consent (GDPR Art. 6(1)(a))", I3340="Not Captured"), "Gap - Invalid Consent", IF(AND(D3340="Legitimate Interest (GDPR Art. 6(1)(f))", L3340=""), "Gap - Missing LIA", IF(AND(G3340="Yes", H3340=""), "Gap - Missing Art. 9 Basis", IF(OR(I3340="Invalid - Not Freely Given", I3340="Invalid - Not Specific", I3340="Invalid - Not Informed", I3340="Invalid - Ambiguous"), "Gap - Invalid Consent", "Compliant")))))</f>
        <v/>
      </c>
      <c r="O3340" s="7" t="n"/>
    </row>
    <row r="3341">
      <c r="A3341" s="7" t="n"/>
      <c r="B3341" s="7" t="n"/>
      <c r="C3341" s="7" t="n"/>
      <c r="D3341" s="7" t="n"/>
      <c r="E3341" s="7" t="n"/>
      <c r="F3341" s="7" t="n"/>
      <c r="G3341" s="7" t="n"/>
      <c r="H3341" s="7" t="n"/>
      <c r="I3341" s="7" t="n"/>
      <c r="J3341" s="7" t="n"/>
      <c r="K3341">
        <f>IF(D3341="Legitimate Interest (GDPR Art. 6(1)(f))", "Yes / Required (Sheet 3)", "")</f>
        <v/>
      </c>
      <c r="L3341" s="7" t="n"/>
      <c r="M3341" s="7" t="n"/>
      <c r="N3341">
        <f>IF(D3341="", "Gap - No Legal Basis", IF(AND(D3341="Consent (GDPR Art. 6(1)(a))", I3341="Not Captured"), "Gap - Invalid Consent", IF(AND(D3341="Legitimate Interest (GDPR Art. 6(1)(f))", L3341=""), "Gap - Missing LIA", IF(AND(G3341="Yes", H3341=""), "Gap - Missing Art. 9 Basis", IF(OR(I3341="Invalid - Not Freely Given", I3341="Invalid - Not Specific", I3341="Invalid - Not Informed", I3341="Invalid - Ambiguous"), "Gap - Invalid Consent", "Compliant")))))</f>
        <v/>
      </c>
      <c r="O3341" s="7" t="n"/>
    </row>
    <row r="3342">
      <c r="A3342" s="7" t="n"/>
      <c r="B3342" s="7" t="n"/>
      <c r="C3342" s="7" t="n"/>
      <c r="D3342" s="7" t="n"/>
      <c r="E3342" s="7" t="n"/>
      <c r="F3342" s="7" t="n"/>
      <c r="G3342" s="7" t="n"/>
      <c r="H3342" s="7" t="n"/>
      <c r="I3342" s="7" t="n"/>
      <c r="J3342" s="7" t="n"/>
      <c r="K3342">
        <f>IF(D3342="Legitimate Interest (GDPR Art. 6(1)(f))", "Yes / Required (Sheet 3)", "")</f>
        <v/>
      </c>
      <c r="L3342" s="7" t="n"/>
      <c r="M3342" s="7" t="n"/>
      <c r="N3342">
        <f>IF(D3342="", "Gap - No Legal Basis", IF(AND(D3342="Consent (GDPR Art. 6(1)(a))", I3342="Not Captured"), "Gap - Invalid Consent", IF(AND(D3342="Legitimate Interest (GDPR Art. 6(1)(f))", L3342=""), "Gap - Missing LIA", IF(AND(G3342="Yes", H3342=""), "Gap - Missing Art. 9 Basis", IF(OR(I3342="Invalid - Not Freely Given", I3342="Invalid - Not Specific", I3342="Invalid - Not Informed", I3342="Invalid - Ambiguous"), "Gap - Invalid Consent", "Compliant")))))</f>
        <v/>
      </c>
      <c r="O3342" s="7" t="n"/>
    </row>
    <row r="3343">
      <c r="A3343" s="7" t="n"/>
      <c r="B3343" s="7" t="n"/>
      <c r="C3343" s="7" t="n"/>
      <c r="D3343" s="7" t="n"/>
      <c r="E3343" s="7" t="n"/>
      <c r="F3343" s="7" t="n"/>
      <c r="G3343" s="7" t="n"/>
      <c r="H3343" s="7" t="n"/>
      <c r="I3343" s="7" t="n"/>
      <c r="J3343" s="7" t="n"/>
      <c r="K3343">
        <f>IF(D3343="Legitimate Interest (GDPR Art. 6(1)(f))", "Yes / Required (Sheet 3)", "")</f>
        <v/>
      </c>
      <c r="L3343" s="7" t="n"/>
      <c r="M3343" s="7" t="n"/>
      <c r="N3343">
        <f>IF(D3343="", "Gap - No Legal Basis", IF(AND(D3343="Consent (GDPR Art. 6(1)(a))", I3343="Not Captured"), "Gap - Invalid Consent", IF(AND(D3343="Legitimate Interest (GDPR Art. 6(1)(f))", L3343=""), "Gap - Missing LIA", IF(AND(G3343="Yes", H3343=""), "Gap - Missing Art. 9 Basis", IF(OR(I3343="Invalid - Not Freely Given", I3343="Invalid - Not Specific", I3343="Invalid - Not Informed", I3343="Invalid - Ambiguous"), "Gap - Invalid Consent", "Compliant")))))</f>
        <v/>
      </c>
      <c r="O3343" s="7" t="n"/>
    </row>
    <row r="3344">
      <c r="A3344" s="7" t="n"/>
      <c r="B3344" s="7" t="n"/>
      <c r="C3344" s="7" t="n"/>
      <c r="D3344" s="7" t="n"/>
      <c r="E3344" s="7" t="n"/>
      <c r="F3344" s="7" t="n"/>
      <c r="G3344" s="7" t="n"/>
      <c r="H3344" s="7" t="n"/>
      <c r="I3344" s="7" t="n"/>
      <c r="J3344" s="7" t="n"/>
      <c r="K3344">
        <f>IF(D3344="Legitimate Interest (GDPR Art. 6(1)(f))", "Yes / Required (Sheet 3)", "")</f>
        <v/>
      </c>
      <c r="L3344" s="7" t="n"/>
      <c r="M3344" s="7" t="n"/>
      <c r="N3344">
        <f>IF(D3344="", "Gap - No Legal Basis", IF(AND(D3344="Consent (GDPR Art. 6(1)(a))", I3344="Not Captured"), "Gap - Invalid Consent", IF(AND(D3344="Legitimate Interest (GDPR Art. 6(1)(f))", L3344=""), "Gap - Missing LIA", IF(AND(G3344="Yes", H3344=""), "Gap - Missing Art. 9 Basis", IF(OR(I3344="Invalid - Not Freely Given", I3344="Invalid - Not Specific", I3344="Invalid - Not Informed", I3344="Invalid - Ambiguous"), "Gap - Invalid Consent", "Compliant")))))</f>
        <v/>
      </c>
      <c r="O3344" s="7" t="n"/>
    </row>
    <row r="3345">
      <c r="A3345" s="7" t="n"/>
      <c r="B3345" s="7" t="n"/>
      <c r="C3345" s="7" t="n"/>
      <c r="D3345" s="7" t="n"/>
      <c r="E3345" s="7" t="n"/>
      <c r="F3345" s="7" t="n"/>
      <c r="G3345" s="7" t="n"/>
      <c r="H3345" s="7" t="n"/>
      <c r="I3345" s="7" t="n"/>
      <c r="J3345" s="7" t="n"/>
      <c r="K3345">
        <f>IF(D3345="Legitimate Interest (GDPR Art. 6(1)(f))", "Yes / Required (Sheet 3)", "")</f>
        <v/>
      </c>
      <c r="L3345" s="7" t="n"/>
      <c r="M3345" s="7" t="n"/>
      <c r="N3345">
        <f>IF(D3345="", "Gap - No Legal Basis", IF(AND(D3345="Consent (GDPR Art. 6(1)(a))", I3345="Not Captured"), "Gap - Invalid Consent", IF(AND(D3345="Legitimate Interest (GDPR Art. 6(1)(f))", L3345=""), "Gap - Missing LIA", IF(AND(G3345="Yes", H3345=""), "Gap - Missing Art. 9 Basis", IF(OR(I3345="Invalid - Not Freely Given", I3345="Invalid - Not Specific", I3345="Invalid - Not Informed", I3345="Invalid - Ambiguous"), "Gap - Invalid Consent", "Compliant")))))</f>
        <v/>
      </c>
      <c r="O3345" s="7" t="n"/>
    </row>
    <row r="3346">
      <c r="A3346" s="7" t="n"/>
      <c r="B3346" s="7" t="n"/>
      <c r="C3346" s="7" t="n"/>
      <c r="D3346" s="7" t="n"/>
      <c r="E3346" s="7" t="n"/>
      <c r="F3346" s="7" t="n"/>
      <c r="G3346" s="7" t="n"/>
      <c r="H3346" s="7" t="n"/>
      <c r="I3346" s="7" t="n"/>
      <c r="J3346" s="7" t="n"/>
      <c r="K3346">
        <f>IF(D3346="Legitimate Interest (GDPR Art. 6(1)(f))", "Yes / Required (Sheet 3)", "")</f>
        <v/>
      </c>
      <c r="L3346" s="7" t="n"/>
      <c r="M3346" s="7" t="n"/>
      <c r="N3346">
        <f>IF(D3346="", "Gap - No Legal Basis", IF(AND(D3346="Consent (GDPR Art. 6(1)(a))", I3346="Not Captured"), "Gap - Invalid Consent", IF(AND(D3346="Legitimate Interest (GDPR Art. 6(1)(f))", L3346=""), "Gap - Missing LIA", IF(AND(G3346="Yes", H3346=""), "Gap - Missing Art. 9 Basis", IF(OR(I3346="Invalid - Not Freely Given", I3346="Invalid - Not Specific", I3346="Invalid - Not Informed", I3346="Invalid - Ambiguous"), "Gap - Invalid Consent", "Compliant")))))</f>
        <v/>
      </c>
      <c r="O3346" s="7" t="n"/>
    </row>
    <row r="3347">
      <c r="A3347" s="7" t="n"/>
      <c r="B3347" s="7" t="n"/>
      <c r="C3347" s="7" t="n"/>
      <c r="D3347" s="7" t="n"/>
      <c r="E3347" s="7" t="n"/>
      <c r="F3347" s="7" t="n"/>
      <c r="G3347" s="7" t="n"/>
      <c r="H3347" s="7" t="n"/>
      <c r="I3347" s="7" t="n"/>
      <c r="J3347" s="7" t="n"/>
      <c r="K3347">
        <f>IF(D3347="Legitimate Interest (GDPR Art. 6(1)(f))", "Yes / Required (Sheet 3)", "")</f>
        <v/>
      </c>
      <c r="L3347" s="7" t="n"/>
      <c r="M3347" s="7" t="n"/>
      <c r="N3347">
        <f>IF(D3347="", "Gap - No Legal Basis", IF(AND(D3347="Consent (GDPR Art. 6(1)(a))", I3347="Not Captured"), "Gap - Invalid Consent", IF(AND(D3347="Legitimate Interest (GDPR Art. 6(1)(f))", L3347=""), "Gap - Missing LIA", IF(AND(G3347="Yes", H3347=""), "Gap - Missing Art. 9 Basis", IF(OR(I3347="Invalid - Not Freely Given", I3347="Invalid - Not Specific", I3347="Invalid - Not Informed", I3347="Invalid - Ambiguous"), "Gap - Invalid Consent", "Compliant")))))</f>
        <v/>
      </c>
      <c r="O3347" s="7" t="n"/>
    </row>
    <row r="3348">
      <c r="A3348" s="7" t="n"/>
      <c r="B3348" s="7" t="n"/>
      <c r="C3348" s="7" t="n"/>
      <c r="D3348" s="7" t="n"/>
      <c r="E3348" s="7" t="n"/>
      <c r="F3348" s="7" t="n"/>
      <c r="G3348" s="7" t="n"/>
      <c r="H3348" s="7" t="n"/>
      <c r="I3348" s="7" t="n"/>
      <c r="J3348" s="7" t="n"/>
      <c r="K3348">
        <f>IF(D3348="Legitimate Interest (GDPR Art. 6(1)(f))", "Yes / Required (Sheet 3)", "")</f>
        <v/>
      </c>
      <c r="L3348" s="7" t="n"/>
      <c r="M3348" s="7" t="n"/>
      <c r="N3348">
        <f>IF(D3348="", "Gap - No Legal Basis", IF(AND(D3348="Consent (GDPR Art. 6(1)(a))", I3348="Not Captured"), "Gap - Invalid Consent", IF(AND(D3348="Legitimate Interest (GDPR Art. 6(1)(f))", L3348=""), "Gap - Missing LIA", IF(AND(G3348="Yes", H3348=""), "Gap - Missing Art. 9 Basis", IF(OR(I3348="Invalid - Not Freely Given", I3348="Invalid - Not Specific", I3348="Invalid - Not Informed", I3348="Invalid - Ambiguous"), "Gap - Invalid Consent", "Compliant")))))</f>
        <v/>
      </c>
      <c r="O3348" s="7" t="n"/>
    </row>
    <row r="3349">
      <c r="A3349" s="7" t="n"/>
      <c r="B3349" s="7" t="n"/>
      <c r="C3349" s="7" t="n"/>
      <c r="D3349" s="7" t="n"/>
      <c r="E3349" s="7" t="n"/>
      <c r="F3349" s="7" t="n"/>
      <c r="G3349" s="7" t="n"/>
      <c r="H3349" s="7" t="n"/>
      <c r="I3349" s="7" t="n"/>
      <c r="J3349" s="7" t="n"/>
      <c r="K3349">
        <f>IF(D3349="Legitimate Interest (GDPR Art. 6(1)(f))", "Yes / Required (Sheet 3)", "")</f>
        <v/>
      </c>
      <c r="L3349" s="7" t="n"/>
      <c r="M3349" s="7" t="n"/>
      <c r="N3349">
        <f>IF(D3349="", "Gap - No Legal Basis", IF(AND(D3349="Consent (GDPR Art. 6(1)(a))", I3349="Not Captured"), "Gap - Invalid Consent", IF(AND(D3349="Legitimate Interest (GDPR Art. 6(1)(f))", L3349=""), "Gap - Missing LIA", IF(AND(G3349="Yes", H3349=""), "Gap - Missing Art. 9 Basis", IF(OR(I3349="Invalid - Not Freely Given", I3349="Invalid - Not Specific", I3349="Invalid - Not Informed", I3349="Invalid - Ambiguous"), "Gap - Invalid Consent", "Compliant")))))</f>
        <v/>
      </c>
      <c r="O3349" s="7" t="n"/>
    </row>
    <row r="3350">
      <c r="A3350" s="7" t="n"/>
      <c r="B3350" s="7" t="n"/>
      <c r="C3350" s="7" t="n"/>
      <c r="D3350" s="7" t="n"/>
      <c r="E3350" s="7" t="n"/>
      <c r="F3350" s="7" t="n"/>
      <c r="G3350" s="7" t="n"/>
      <c r="H3350" s="7" t="n"/>
      <c r="I3350" s="7" t="n"/>
      <c r="J3350" s="7" t="n"/>
      <c r="K3350">
        <f>IF(D3350="Legitimate Interest (GDPR Art. 6(1)(f))", "Yes / Required (Sheet 3)", "")</f>
        <v/>
      </c>
      <c r="L3350" s="7" t="n"/>
      <c r="M3350" s="7" t="n"/>
      <c r="N3350">
        <f>IF(D3350="", "Gap - No Legal Basis", IF(AND(D3350="Consent (GDPR Art. 6(1)(a))", I3350="Not Captured"), "Gap - Invalid Consent", IF(AND(D3350="Legitimate Interest (GDPR Art. 6(1)(f))", L3350=""), "Gap - Missing LIA", IF(AND(G3350="Yes", H3350=""), "Gap - Missing Art. 9 Basis", IF(OR(I3350="Invalid - Not Freely Given", I3350="Invalid - Not Specific", I3350="Invalid - Not Informed", I3350="Invalid - Ambiguous"), "Gap - Invalid Consent", "Compliant")))))</f>
        <v/>
      </c>
      <c r="O3350" s="7" t="n"/>
    </row>
    <row r="3351">
      <c r="A3351" s="7" t="n"/>
      <c r="B3351" s="7" t="n"/>
      <c r="C3351" s="7" t="n"/>
      <c r="D3351" s="7" t="n"/>
      <c r="E3351" s="7" t="n"/>
      <c r="F3351" s="7" t="n"/>
      <c r="G3351" s="7" t="n"/>
      <c r="H3351" s="7" t="n"/>
      <c r="I3351" s="7" t="n"/>
      <c r="J3351" s="7" t="n"/>
      <c r="K3351">
        <f>IF(D3351="Legitimate Interest (GDPR Art. 6(1)(f))", "Yes / Required (Sheet 3)", "")</f>
        <v/>
      </c>
      <c r="L3351" s="7" t="n"/>
      <c r="M3351" s="7" t="n"/>
      <c r="N3351">
        <f>IF(D3351="", "Gap - No Legal Basis", IF(AND(D3351="Consent (GDPR Art. 6(1)(a))", I3351="Not Captured"), "Gap - Invalid Consent", IF(AND(D3351="Legitimate Interest (GDPR Art. 6(1)(f))", L3351=""), "Gap - Missing LIA", IF(AND(G3351="Yes", H3351=""), "Gap - Missing Art. 9 Basis", IF(OR(I3351="Invalid - Not Freely Given", I3351="Invalid - Not Specific", I3351="Invalid - Not Informed", I3351="Invalid - Ambiguous"), "Gap - Invalid Consent", "Compliant")))))</f>
        <v/>
      </c>
      <c r="O3351" s="7" t="n"/>
    </row>
    <row r="3352">
      <c r="A3352" s="7" t="n"/>
      <c r="B3352" s="7" t="n"/>
      <c r="C3352" s="7" t="n"/>
      <c r="D3352" s="7" t="n"/>
      <c r="E3352" s="7" t="n"/>
      <c r="F3352" s="7" t="n"/>
      <c r="G3352" s="7" t="n"/>
      <c r="H3352" s="7" t="n"/>
      <c r="I3352" s="7" t="n"/>
      <c r="J3352" s="7" t="n"/>
      <c r="K3352">
        <f>IF(D3352="Legitimate Interest (GDPR Art. 6(1)(f))", "Yes / Required (Sheet 3)", "")</f>
        <v/>
      </c>
      <c r="L3352" s="7" t="n"/>
      <c r="M3352" s="7" t="n"/>
      <c r="N3352">
        <f>IF(D3352="", "Gap - No Legal Basis", IF(AND(D3352="Consent (GDPR Art. 6(1)(a))", I3352="Not Captured"), "Gap - Invalid Consent", IF(AND(D3352="Legitimate Interest (GDPR Art. 6(1)(f))", L3352=""), "Gap - Missing LIA", IF(AND(G3352="Yes", H3352=""), "Gap - Missing Art. 9 Basis", IF(OR(I3352="Invalid - Not Freely Given", I3352="Invalid - Not Specific", I3352="Invalid - Not Informed", I3352="Invalid - Ambiguous"), "Gap - Invalid Consent", "Compliant")))))</f>
        <v/>
      </c>
      <c r="O3352" s="7" t="n"/>
    </row>
    <row r="3353">
      <c r="A3353" s="7" t="n"/>
      <c r="B3353" s="7" t="n"/>
      <c r="C3353" s="7" t="n"/>
      <c r="D3353" s="7" t="n"/>
      <c r="E3353" s="7" t="n"/>
      <c r="F3353" s="7" t="n"/>
      <c r="G3353" s="7" t="n"/>
      <c r="H3353" s="7" t="n"/>
      <c r="I3353" s="7" t="n"/>
      <c r="J3353" s="7" t="n"/>
      <c r="K3353">
        <f>IF(D3353="Legitimate Interest (GDPR Art. 6(1)(f))", "Yes / Required (Sheet 3)", "")</f>
        <v/>
      </c>
      <c r="L3353" s="7" t="n"/>
      <c r="M3353" s="7" t="n"/>
      <c r="N3353">
        <f>IF(D3353="", "Gap - No Legal Basis", IF(AND(D3353="Consent (GDPR Art. 6(1)(a))", I3353="Not Captured"), "Gap - Invalid Consent", IF(AND(D3353="Legitimate Interest (GDPR Art. 6(1)(f))", L3353=""), "Gap - Missing LIA", IF(AND(G3353="Yes", H3353=""), "Gap - Missing Art. 9 Basis", IF(OR(I3353="Invalid - Not Freely Given", I3353="Invalid - Not Specific", I3353="Invalid - Not Informed", I3353="Invalid - Ambiguous"), "Gap - Invalid Consent", "Compliant")))))</f>
        <v/>
      </c>
      <c r="O3353" s="7" t="n"/>
    </row>
    <row r="3354">
      <c r="A3354" s="7" t="n"/>
      <c r="B3354" s="7" t="n"/>
      <c r="C3354" s="7" t="n"/>
      <c r="D3354" s="7" t="n"/>
      <c r="E3354" s="7" t="n"/>
      <c r="F3354" s="7" t="n"/>
      <c r="G3354" s="7" t="n"/>
      <c r="H3354" s="7" t="n"/>
      <c r="I3354" s="7" t="n"/>
      <c r="J3354" s="7" t="n"/>
      <c r="K3354">
        <f>IF(D3354="Legitimate Interest (GDPR Art. 6(1)(f))", "Yes / Required (Sheet 3)", "")</f>
        <v/>
      </c>
      <c r="L3354" s="7" t="n"/>
      <c r="M3354" s="7" t="n"/>
      <c r="N3354">
        <f>IF(D3354="", "Gap - No Legal Basis", IF(AND(D3354="Consent (GDPR Art. 6(1)(a))", I3354="Not Captured"), "Gap - Invalid Consent", IF(AND(D3354="Legitimate Interest (GDPR Art. 6(1)(f))", L3354=""), "Gap - Missing LIA", IF(AND(G3354="Yes", H3354=""), "Gap - Missing Art. 9 Basis", IF(OR(I3354="Invalid - Not Freely Given", I3354="Invalid - Not Specific", I3354="Invalid - Not Informed", I3354="Invalid - Ambiguous"), "Gap - Invalid Consent", "Compliant")))))</f>
        <v/>
      </c>
      <c r="O3354" s="7" t="n"/>
    </row>
    <row r="3355">
      <c r="A3355" s="7" t="n"/>
      <c r="B3355" s="7" t="n"/>
      <c r="C3355" s="7" t="n"/>
      <c r="D3355" s="7" t="n"/>
      <c r="E3355" s="7" t="n"/>
      <c r="F3355" s="7" t="n"/>
      <c r="G3355" s="7" t="n"/>
      <c r="H3355" s="7" t="n"/>
      <c r="I3355" s="7" t="n"/>
      <c r="J3355" s="7" t="n"/>
      <c r="K3355">
        <f>IF(D3355="Legitimate Interest (GDPR Art. 6(1)(f))", "Yes / Required (Sheet 3)", "")</f>
        <v/>
      </c>
      <c r="L3355" s="7" t="n"/>
      <c r="M3355" s="7" t="n"/>
      <c r="N3355">
        <f>IF(D3355="", "Gap - No Legal Basis", IF(AND(D3355="Consent (GDPR Art. 6(1)(a))", I3355="Not Captured"), "Gap - Invalid Consent", IF(AND(D3355="Legitimate Interest (GDPR Art. 6(1)(f))", L3355=""), "Gap - Missing LIA", IF(AND(G3355="Yes", H3355=""), "Gap - Missing Art. 9 Basis", IF(OR(I3355="Invalid - Not Freely Given", I3355="Invalid - Not Specific", I3355="Invalid - Not Informed", I3355="Invalid - Ambiguous"), "Gap - Invalid Consent", "Compliant")))))</f>
        <v/>
      </c>
      <c r="O3355" s="7" t="n"/>
    </row>
    <row r="3356">
      <c r="A3356" s="7" t="n"/>
      <c r="B3356" s="7" t="n"/>
      <c r="C3356" s="7" t="n"/>
      <c r="D3356" s="7" t="n"/>
      <c r="E3356" s="7" t="n"/>
      <c r="F3356" s="7" t="n"/>
      <c r="G3356" s="7" t="n"/>
      <c r="H3356" s="7" t="n"/>
      <c r="I3356" s="7" t="n"/>
      <c r="J3356" s="7" t="n"/>
      <c r="K3356">
        <f>IF(D3356="Legitimate Interest (GDPR Art. 6(1)(f))", "Yes / Required (Sheet 3)", "")</f>
        <v/>
      </c>
      <c r="L3356" s="7" t="n"/>
      <c r="M3356" s="7" t="n"/>
      <c r="N3356">
        <f>IF(D3356="", "Gap - No Legal Basis", IF(AND(D3356="Consent (GDPR Art. 6(1)(a))", I3356="Not Captured"), "Gap - Invalid Consent", IF(AND(D3356="Legitimate Interest (GDPR Art. 6(1)(f))", L3356=""), "Gap - Missing LIA", IF(AND(G3356="Yes", H3356=""), "Gap - Missing Art. 9 Basis", IF(OR(I3356="Invalid - Not Freely Given", I3356="Invalid - Not Specific", I3356="Invalid - Not Informed", I3356="Invalid - Ambiguous"), "Gap - Invalid Consent", "Compliant")))))</f>
        <v/>
      </c>
      <c r="O3356" s="7" t="n"/>
    </row>
    <row r="3357">
      <c r="A3357" s="7" t="n"/>
      <c r="B3357" s="7" t="n"/>
      <c r="C3357" s="7" t="n"/>
      <c r="D3357" s="7" t="n"/>
      <c r="E3357" s="7" t="n"/>
      <c r="F3357" s="7" t="n"/>
      <c r="G3357" s="7" t="n"/>
      <c r="H3357" s="7" t="n"/>
      <c r="I3357" s="7" t="n"/>
      <c r="J3357" s="7" t="n"/>
      <c r="K3357">
        <f>IF(D3357="Legitimate Interest (GDPR Art. 6(1)(f))", "Yes / Required (Sheet 3)", "")</f>
        <v/>
      </c>
      <c r="L3357" s="7" t="n"/>
      <c r="M3357" s="7" t="n"/>
      <c r="N3357">
        <f>IF(D3357="", "Gap - No Legal Basis", IF(AND(D3357="Consent (GDPR Art. 6(1)(a))", I3357="Not Captured"), "Gap - Invalid Consent", IF(AND(D3357="Legitimate Interest (GDPR Art. 6(1)(f))", L3357=""), "Gap - Missing LIA", IF(AND(G3357="Yes", H3357=""), "Gap - Missing Art. 9 Basis", IF(OR(I3357="Invalid - Not Freely Given", I3357="Invalid - Not Specific", I3357="Invalid - Not Informed", I3357="Invalid - Ambiguous"), "Gap - Invalid Consent", "Compliant")))))</f>
        <v/>
      </c>
      <c r="O3357" s="7" t="n"/>
    </row>
    <row r="3358">
      <c r="A3358" s="7" t="n"/>
      <c r="B3358" s="7" t="n"/>
      <c r="C3358" s="7" t="n"/>
      <c r="D3358" s="7" t="n"/>
      <c r="E3358" s="7" t="n"/>
      <c r="F3358" s="7" t="n"/>
      <c r="G3358" s="7" t="n"/>
      <c r="H3358" s="7" t="n"/>
      <c r="I3358" s="7" t="n"/>
      <c r="J3358" s="7" t="n"/>
      <c r="K3358">
        <f>IF(D3358="Legitimate Interest (GDPR Art. 6(1)(f))", "Yes / Required (Sheet 3)", "")</f>
        <v/>
      </c>
      <c r="L3358" s="7" t="n"/>
      <c r="M3358" s="7" t="n"/>
      <c r="N3358">
        <f>IF(D3358="", "Gap - No Legal Basis", IF(AND(D3358="Consent (GDPR Art. 6(1)(a))", I3358="Not Captured"), "Gap - Invalid Consent", IF(AND(D3358="Legitimate Interest (GDPR Art. 6(1)(f))", L3358=""), "Gap - Missing LIA", IF(AND(G3358="Yes", H3358=""), "Gap - Missing Art. 9 Basis", IF(OR(I3358="Invalid - Not Freely Given", I3358="Invalid - Not Specific", I3358="Invalid - Not Informed", I3358="Invalid - Ambiguous"), "Gap - Invalid Consent", "Compliant")))))</f>
        <v/>
      </c>
      <c r="O3358" s="7" t="n"/>
    </row>
    <row r="3359">
      <c r="A3359" s="7" t="n"/>
      <c r="B3359" s="7" t="n"/>
      <c r="C3359" s="7" t="n"/>
      <c r="D3359" s="7" t="n"/>
      <c r="E3359" s="7" t="n"/>
      <c r="F3359" s="7" t="n"/>
      <c r="G3359" s="7" t="n"/>
      <c r="H3359" s="7" t="n"/>
      <c r="I3359" s="7" t="n"/>
      <c r="J3359" s="7" t="n"/>
      <c r="K3359">
        <f>IF(D3359="Legitimate Interest (GDPR Art. 6(1)(f))", "Yes / Required (Sheet 3)", "")</f>
        <v/>
      </c>
      <c r="L3359" s="7" t="n"/>
      <c r="M3359" s="7" t="n"/>
      <c r="N3359">
        <f>IF(D3359="", "Gap - No Legal Basis", IF(AND(D3359="Consent (GDPR Art. 6(1)(a))", I3359="Not Captured"), "Gap - Invalid Consent", IF(AND(D3359="Legitimate Interest (GDPR Art. 6(1)(f))", L3359=""), "Gap - Missing LIA", IF(AND(G3359="Yes", H3359=""), "Gap - Missing Art. 9 Basis", IF(OR(I3359="Invalid - Not Freely Given", I3359="Invalid - Not Specific", I3359="Invalid - Not Informed", I3359="Invalid - Ambiguous"), "Gap - Invalid Consent", "Compliant")))))</f>
        <v/>
      </c>
      <c r="O3359" s="7" t="n"/>
    </row>
    <row r="3360">
      <c r="A3360" s="7" t="n"/>
      <c r="B3360" s="7" t="n"/>
      <c r="C3360" s="7" t="n"/>
      <c r="D3360" s="7" t="n"/>
      <c r="E3360" s="7" t="n"/>
      <c r="F3360" s="7" t="n"/>
      <c r="G3360" s="7" t="n"/>
      <c r="H3360" s="7" t="n"/>
      <c r="I3360" s="7" t="n"/>
      <c r="J3360" s="7" t="n"/>
      <c r="K3360">
        <f>IF(D3360="Legitimate Interest (GDPR Art. 6(1)(f))", "Yes / Required (Sheet 3)", "")</f>
        <v/>
      </c>
      <c r="L3360" s="7" t="n"/>
      <c r="M3360" s="7" t="n"/>
      <c r="N3360">
        <f>IF(D3360="", "Gap - No Legal Basis", IF(AND(D3360="Consent (GDPR Art. 6(1)(a))", I3360="Not Captured"), "Gap - Invalid Consent", IF(AND(D3360="Legitimate Interest (GDPR Art. 6(1)(f))", L3360=""), "Gap - Missing LIA", IF(AND(G3360="Yes", H3360=""), "Gap - Missing Art. 9 Basis", IF(OR(I3360="Invalid - Not Freely Given", I3360="Invalid - Not Specific", I3360="Invalid - Not Informed", I3360="Invalid - Ambiguous"), "Gap - Invalid Consent", "Compliant")))))</f>
        <v/>
      </c>
      <c r="O3360" s="7" t="n"/>
    </row>
    <row r="3361">
      <c r="A3361" s="7" t="n"/>
      <c r="B3361" s="7" t="n"/>
      <c r="C3361" s="7" t="n"/>
      <c r="D3361" s="7" t="n"/>
      <c r="E3361" s="7" t="n"/>
      <c r="F3361" s="7" t="n"/>
      <c r="G3361" s="7" t="n"/>
      <c r="H3361" s="7" t="n"/>
      <c r="I3361" s="7" t="n"/>
      <c r="J3361" s="7" t="n"/>
      <c r="K3361">
        <f>IF(D3361="Legitimate Interest (GDPR Art. 6(1)(f))", "Yes / Required (Sheet 3)", "")</f>
        <v/>
      </c>
      <c r="L3361" s="7" t="n"/>
      <c r="M3361" s="7" t="n"/>
      <c r="N3361">
        <f>IF(D3361="", "Gap - No Legal Basis", IF(AND(D3361="Consent (GDPR Art. 6(1)(a))", I3361="Not Captured"), "Gap - Invalid Consent", IF(AND(D3361="Legitimate Interest (GDPR Art. 6(1)(f))", L3361=""), "Gap - Missing LIA", IF(AND(G3361="Yes", H3361=""), "Gap - Missing Art. 9 Basis", IF(OR(I3361="Invalid - Not Freely Given", I3361="Invalid - Not Specific", I3361="Invalid - Not Informed", I3361="Invalid - Ambiguous"), "Gap - Invalid Consent", "Compliant")))))</f>
        <v/>
      </c>
      <c r="O3361" s="7" t="n"/>
    </row>
    <row r="3362">
      <c r="A3362" s="7" t="n"/>
      <c r="B3362" s="7" t="n"/>
      <c r="C3362" s="7" t="n"/>
      <c r="D3362" s="7" t="n"/>
      <c r="E3362" s="7" t="n"/>
      <c r="F3362" s="7" t="n"/>
      <c r="G3362" s="7" t="n"/>
      <c r="H3362" s="7" t="n"/>
      <c r="I3362" s="7" t="n"/>
      <c r="J3362" s="7" t="n"/>
      <c r="K3362">
        <f>IF(D3362="Legitimate Interest (GDPR Art. 6(1)(f))", "Yes / Required (Sheet 3)", "")</f>
        <v/>
      </c>
      <c r="L3362" s="7" t="n"/>
      <c r="M3362" s="7" t="n"/>
      <c r="N3362">
        <f>IF(D3362="", "Gap - No Legal Basis", IF(AND(D3362="Consent (GDPR Art. 6(1)(a))", I3362="Not Captured"), "Gap - Invalid Consent", IF(AND(D3362="Legitimate Interest (GDPR Art. 6(1)(f))", L3362=""), "Gap - Missing LIA", IF(AND(G3362="Yes", H3362=""), "Gap - Missing Art. 9 Basis", IF(OR(I3362="Invalid - Not Freely Given", I3362="Invalid - Not Specific", I3362="Invalid - Not Informed", I3362="Invalid - Ambiguous"), "Gap - Invalid Consent", "Compliant")))))</f>
        <v/>
      </c>
      <c r="O3362" s="7" t="n"/>
    </row>
    <row r="3363">
      <c r="A3363" s="7" t="n"/>
      <c r="B3363" s="7" t="n"/>
      <c r="C3363" s="7" t="n"/>
      <c r="D3363" s="7" t="n"/>
      <c r="E3363" s="7" t="n"/>
      <c r="F3363" s="7" t="n"/>
      <c r="G3363" s="7" t="n"/>
      <c r="H3363" s="7" t="n"/>
      <c r="I3363" s="7" t="n"/>
      <c r="J3363" s="7" t="n"/>
      <c r="K3363">
        <f>IF(D3363="Legitimate Interest (GDPR Art. 6(1)(f))", "Yes / Required (Sheet 3)", "")</f>
        <v/>
      </c>
      <c r="L3363" s="7" t="n"/>
      <c r="M3363" s="7" t="n"/>
      <c r="N3363">
        <f>IF(D3363="", "Gap - No Legal Basis", IF(AND(D3363="Consent (GDPR Art. 6(1)(a))", I3363="Not Captured"), "Gap - Invalid Consent", IF(AND(D3363="Legitimate Interest (GDPR Art. 6(1)(f))", L3363=""), "Gap - Missing LIA", IF(AND(G3363="Yes", H3363=""), "Gap - Missing Art. 9 Basis", IF(OR(I3363="Invalid - Not Freely Given", I3363="Invalid - Not Specific", I3363="Invalid - Not Informed", I3363="Invalid - Ambiguous"), "Gap - Invalid Consent", "Compliant")))))</f>
        <v/>
      </c>
      <c r="O3363" s="7" t="n"/>
    </row>
    <row r="3364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7" t="n"/>
      <c r="J3364" s="7" t="n"/>
      <c r="K3364">
        <f>IF(D3364="Legitimate Interest (GDPR Art. 6(1)(f))", "Yes / Required (Sheet 3)", "")</f>
        <v/>
      </c>
      <c r="L3364" s="7" t="n"/>
      <c r="M3364" s="7" t="n"/>
      <c r="N3364">
        <f>IF(D3364="", "Gap - No Legal Basis", IF(AND(D3364="Consent (GDPR Art. 6(1)(a))", I3364="Not Captured"), "Gap - Invalid Consent", IF(AND(D3364="Legitimate Interest (GDPR Art. 6(1)(f))", L3364=""), "Gap - Missing LIA", IF(AND(G3364="Yes", H3364=""), "Gap - Missing Art. 9 Basis", IF(OR(I3364="Invalid - Not Freely Given", I3364="Invalid - Not Specific", I3364="Invalid - Not Informed", I3364="Invalid - Ambiguous"), "Gap - Invalid Consent", "Compliant")))))</f>
        <v/>
      </c>
      <c r="O3364" s="7" t="n"/>
    </row>
    <row r="3365">
      <c r="A3365" s="7" t="n"/>
      <c r="B3365" s="7" t="n"/>
      <c r="C3365" s="7" t="n"/>
      <c r="D3365" s="7" t="n"/>
      <c r="E3365" s="7" t="n"/>
      <c r="F3365" s="7" t="n"/>
      <c r="G3365" s="7" t="n"/>
      <c r="H3365" s="7" t="n"/>
      <c r="I3365" s="7" t="n"/>
      <c r="J3365" s="7" t="n"/>
      <c r="K3365">
        <f>IF(D3365="Legitimate Interest (GDPR Art. 6(1)(f))", "Yes / Required (Sheet 3)", "")</f>
        <v/>
      </c>
      <c r="L3365" s="7" t="n"/>
      <c r="M3365" s="7" t="n"/>
      <c r="N3365">
        <f>IF(D3365="", "Gap - No Legal Basis", IF(AND(D3365="Consent (GDPR Art. 6(1)(a))", I3365="Not Captured"), "Gap - Invalid Consent", IF(AND(D3365="Legitimate Interest (GDPR Art. 6(1)(f))", L3365=""), "Gap - Missing LIA", IF(AND(G3365="Yes", H3365=""), "Gap - Missing Art. 9 Basis", IF(OR(I3365="Invalid - Not Freely Given", I3365="Invalid - Not Specific", I3365="Invalid - Not Informed", I3365="Invalid - Ambiguous"), "Gap - Invalid Consent", "Compliant")))))</f>
        <v/>
      </c>
      <c r="O3365" s="7" t="n"/>
    </row>
    <row r="3366">
      <c r="A3366" s="7" t="n"/>
      <c r="B3366" s="7" t="n"/>
      <c r="C3366" s="7" t="n"/>
      <c r="D3366" s="7" t="n"/>
      <c r="E3366" s="7" t="n"/>
      <c r="F3366" s="7" t="n"/>
      <c r="G3366" s="7" t="n"/>
      <c r="H3366" s="7" t="n"/>
      <c r="I3366" s="7" t="n"/>
      <c r="J3366" s="7" t="n"/>
      <c r="K3366">
        <f>IF(D3366="Legitimate Interest (GDPR Art. 6(1)(f))", "Yes / Required (Sheet 3)", "")</f>
        <v/>
      </c>
      <c r="L3366" s="7" t="n"/>
      <c r="M3366" s="7" t="n"/>
      <c r="N3366">
        <f>IF(D3366="", "Gap - No Legal Basis", IF(AND(D3366="Consent (GDPR Art. 6(1)(a))", I3366="Not Captured"), "Gap - Invalid Consent", IF(AND(D3366="Legitimate Interest (GDPR Art. 6(1)(f))", L3366=""), "Gap - Missing LIA", IF(AND(G3366="Yes", H3366=""), "Gap - Missing Art. 9 Basis", IF(OR(I3366="Invalid - Not Freely Given", I3366="Invalid - Not Specific", I3366="Invalid - Not Informed", I3366="Invalid - Ambiguous"), "Gap - Invalid Consent", "Compliant")))))</f>
        <v/>
      </c>
      <c r="O3366" s="7" t="n"/>
    </row>
    <row r="3367">
      <c r="A3367" s="7" t="n"/>
      <c r="B3367" s="7" t="n"/>
      <c r="C3367" s="7" t="n"/>
      <c r="D3367" s="7" t="n"/>
      <c r="E3367" s="7" t="n"/>
      <c r="F3367" s="7" t="n"/>
      <c r="G3367" s="7" t="n"/>
      <c r="H3367" s="7" t="n"/>
      <c r="I3367" s="7" t="n"/>
      <c r="J3367" s="7" t="n"/>
      <c r="K3367">
        <f>IF(D3367="Legitimate Interest (GDPR Art. 6(1)(f))", "Yes / Required (Sheet 3)", "")</f>
        <v/>
      </c>
      <c r="L3367" s="7" t="n"/>
      <c r="M3367" s="7" t="n"/>
      <c r="N3367">
        <f>IF(D3367="", "Gap - No Legal Basis", IF(AND(D3367="Consent (GDPR Art. 6(1)(a))", I3367="Not Captured"), "Gap - Invalid Consent", IF(AND(D3367="Legitimate Interest (GDPR Art. 6(1)(f))", L3367=""), "Gap - Missing LIA", IF(AND(G3367="Yes", H3367=""), "Gap - Missing Art. 9 Basis", IF(OR(I3367="Invalid - Not Freely Given", I3367="Invalid - Not Specific", I3367="Invalid - Not Informed", I3367="Invalid - Ambiguous"), "Gap - Invalid Consent", "Compliant")))))</f>
        <v/>
      </c>
      <c r="O3367" s="7" t="n"/>
    </row>
    <row r="3368">
      <c r="A3368" s="7" t="n"/>
      <c r="B3368" s="7" t="n"/>
      <c r="C3368" s="7" t="n"/>
      <c r="D3368" s="7" t="n"/>
      <c r="E3368" s="7" t="n"/>
      <c r="F3368" s="7" t="n"/>
      <c r="G3368" s="7" t="n"/>
      <c r="H3368" s="7" t="n"/>
      <c r="I3368" s="7" t="n"/>
      <c r="J3368" s="7" t="n"/>
      <c r="K3368">
        <f>IF(D3368="Legitimate Interest (GDPR Art. 6(1)(f))", "Yes / Required (Sheet 3)", "")</f>
        <v/>
      </c>
      <c r="L3368" s="7" t="n"/>
      <c r="M3368" s="7" t="n"/>
      <c r="N3368">
        <f>IF(D3368="", "Gap - No Legal Basis", IF(AND(D3368="Consent (GDPR Art. 6(1)(a))", I3368="Not Captured"), "Gap - Invalid Consent", IF(AND(D3368="Legitimate Interest (GDPR Art. 6(1)(f))", L3368=""), "Gap - Missing LIA", IF(AND(G3368="Yes", H3368=""), "Gap - Missing Art. 9 Basis", IF(OR(I3368="Invalid - Not Freely Given", I3368="Invalid - Not Specific", I3368="Invalid - Not Informed", I3368="Invalid - Ambiguous"), "Gap - Invalid Consent", "Compliant")))))</f>
        <v/>
      </c>
      <c r="O3368" s="7" t="n"/>
    </row>
    <row r="3369">
      <c r="A3369" s="7" t="n"/>
      <c r="B3369" s="7" t="n"/>
      <c r="C3369" s="7" t="n"/>
      <c r="D3369" s="7" t="n"/>
      <c r="E3369" s="7" t="n"/>
      <c r="F3369" s="7" t="n"/>
      <c r="G3369" s="7" t="n"/>
      <c r="H3369" s="7" t="n"/>
      <c r="I3369" s="7" t="n"/>
      <c r="J3369" s="7" t="n"/>
      <c r="K3369">
        <f>IF(D3369="Legitimate Interest (GDPR Art. 6(1)(f))", "Yes / Required (Sheet 3)", "")</f>
        <v/>
      </c>
      <c r="L3369" s="7" t="n"/>
      <c r="M3369" s="7" t="n"/>
      <c r="N3369">
        <f>IF(D3369="", "Gap - No Legal Basis", IF(AND(D3369="Consent (GDPR Art. 6(1)(a))", I3369="Not Captured"), "Gap - Invalid Consent", IF(AND(D3369="Legitimate Interest (GDPR Art. 6(1)(f))", L3369=""), "Gap - Missing LIA", IF(AND(G3369="Yes", H3369=""), "Gap - Missing Art. 9 Basis", IF(OR(I3369="Invalid - Not Freely Given", I3369="Invalid - Not Specific", I3369="Invalid - Not Informed", I3369="Invalid - Ambiguous"), "Gap - Invalid Consent", "Compliant")))))</f>
        <v/>
      </c>
      <c r="O3369" s="7" t="n"/>
    </row>
    <row r="3370">
      <c r="A3370" s="7" t="n"/>
      <c r="B3370" s="7" t="n"/>
      <c r="C3370" s="7" t="n"/>
      <c r="D3370" s="7" t="n"/>
      <c r="E3370" s="7" t="n"/>
      <c r="F3370" s="7" t="n"/>
      <c r="G3370" s="7" t="n"/>
      <c r="H3370" s="7" t="n"/>
      <c r="I3370" s="7" t="n"/>
      <c r="J3370" s="7" t="n"/>
      <c r="K3370">
        <f>IF(D3370="Legitimate Interest (GDPR Art. 6(1)(f))", "Yes / Required (Sheet 3)", "")</f>
        <v/>
      </c>
      <c r="L3370" s="7" t="n"/>
      <c r="M3370" s="7" t="n"/>
      <c r="N3370">
        <f>IF(D3370="", "Gap - No Legal Basis", IF(AND(D3370="Consent (GDPR Art. 6(1)(a))", I3370="Not Captured"), "Gap - Invalid Consent", IF(AND(D3370="Legitimate Interest (GDPR Art. 6(1)(f))", L3370=""), "Gap - Missing LIA", IF(AND(G3370="Yes", H3370=""), "Gap - Missing Art. 9 Basis", IF(OR(I3370="Invalid - Not Freely Given", I3370="Invalid - Not Specific", I3370="Invalid - Not Informed", I3370="Invalid - Ambiguous"), "Gap - Invalid Consent", "Compliant")))))</f>
        <v/>
      </c>
      <c r="O3370" s="7" t="n"/>
    </row>
    <row r="3371">
      <c r="A3371" s="7" t="n"/>
      <c r="B3371" s="7" t="n"/>
      <c r="C3371" s="7" t="n"/>
      <c r="D3371" s="7" t="n"/>
      <c r="E3371" s="7" t="n"/>
      <c r="F3371" s="7" t="n"/>
      <c r="G3371" s="7" t="n"/>
      <c r="H3371" s="7" t="n"/>
      <c r="I3371" s="7" t="n"/>
      <c r="J3371" s="7" t="n"/>
      <c r="K3371">
        <f>IF(D3371="Legitimate Interest (GDPR Art. 6(1)(f))", "Yes / Required (Sheet 3)", "")</f>
        <v/>
      </c>
      <c r="L3371" s="7" t="n"/>
      <c r="M3371" s="7" t="n"/>
      <c r="N3371">
        <f>IF(D3371="", "Gap - No Legal Basis", IF(AND(D3371="Consent (GDPR Art. 6(1)(a))", I3371="Not Captured"), "Gap - Invalid Consent", IF(AND(D3371="Legitimate Interest (GDPR Art. 6(1)(f))", L3371=""), "Gap - Missing LIA", IF(AND(G3371="Yes", H3371=""), "Gap - Missing Art. 9 Basis", IF(OR(I3371="Invalid - Not Freely Given", I3371="Invalid - Not Specific", I3371="Invalid - Not Informed", I3371="Invalid - Ambiguous"), "Gap - Invalid Consent", "Compliant")))))</f>
        <v/>
      </c>
      <c r="O3371" s="7" t="n"/>
    </row>
    <row r="3372">
      <c r="A3372" s="7" t="n"/>
      <c r="B3372" s="7" t="n"/>
      <c r="C3372" s="7" t="n"/>
      <c r="D3372" s="7" t="n"/>
      <c r="E3372" s="7" t="n"/>
      <c r="F3372" s="7" t="n"/>
      <c r="G3372" s="7" t="n"/>
      <c r="H3372" s="7" t="n"/>
      <c r="I3372" s="7" t="n"/>
      <c r="J3372" s="7" t="n"/>
      <c r="K3372">
        <f>IF(D3372="Legitimate Interest (GDPR Art. 6(1)(f))", "Yes / Required (Sheet 3)", "")</f>
        <v/>
      </c>
      <c r="L3372" s="7" t="n"/>
      <c r="M3372" s="7" t="n"/>
      <c r="N3372">
        <f>IF(D3372="", "Gap - No Legal Basis", IF(AND(D3372="Consent (GDPR Art. 6(1)(a))", I3372="Not Captured"), "Gap - Invalid Consent", IF(AND(D3372="Legitimate Interest (GDPR Art. 6(1)(f))", L3372=""), "Gap - Missing LIA", IF(AND(G3372="Yes", H3372=""), "Gap - Missing Art. 9 Basis", IF(OR(I3372="Invalid - Not Freely Given", I3372="Invalid - Not Specific", I3372="Invalid - Not Informed", I3372="Invalid - Ambiguous"), "Gap - Invalid Consent", "Compliant")))))</f>
        <v/>
      </c>
      <c r="O3372" s="7" t="n"/>
    </row>
    <row r="3373">
      <c r="A3373" s="7" t="n"/>
      <c r="B3373" s="7" t="n"/>
      <c r="C3373" s="7" t="n"/>
      <c r="D3373" s="7" t="n"/>
      <c r="E3373" s="7" t="n"/>
      <c r="F3373" s="7" t="n"/>
      <c r="G3373" s="7" t="n"/>
      <c r="H3373" s="7" t="n"/>
      <c r="I3373" s="7" t="n"/>
      <c r="J3373" s="7" t="n"/>
      <c r="K3373">
        <f>IF(D3373="Legitimate Interest (GDPR Art. 6(1)(f))", "Yes / Required (Sheet 3)", "")</f>
        <v/>
      </c>
      <c r="L3373" s="7" t="n"/>
      <c r="M3373" s="7" t="n"/>
      <c r="N3373">
        <f>IF(D3373="", "Gap - No Legal Basis", IF(AND(D3373="Consent (GDPR Art. 6(1)(a))", I3373="Not Captured"), "Gap - Invalid Consent", IF(AND(D3373="Legitimate Interest (GDPR Art. 6(1)(f))", L3373=""), "Gap - Missing LIA", IF(AND(G3373="Yes", H3373=""), "Gap - Missing Art. 9 Basis", IF(OR(I3373="Invalid - Not Freely Given", I3373="Invalid - Not Specific", I3373="Invalid - Not Informed", I3373="Invalid - Ambiguous"), "Gap - Invalid Consent", "Compliant")))))</f>
        <v/>
      </c>
      <c r="O3373" s="7" t="n"/>
    </row>
    <row r="3374">
      <c r="A3374" s="7" t="n"/>
      <c r="B3374" s="7" t="n"/>
      <c r="C3374" s="7" t="n"/>
      <c r="D3374" s="7" t="n"/>
      <c r="E3374" s="7" t="n"/>
      <c r="F3374" s="7" t="n"/>
      <c r="G3374" s="7" t="n"/>
      <c r="H3374" s="7" t="n"/>
      <c r="I3374" s="7" t="n"/>
      <c r="J3374" s="7" t="n"/>
      <c r="K3374">
        <f>IF(D3374="Legitimate Interest (GDPR Art. 6(1)(f))", "Yes / Required (Sheet 3)", "")</f>
        <v/>
      </c>
      <c r="L3374" s="7" t="n"/>
      <c r="M3374" s="7" t="n"/>
      <c r="N3374">
        <f>IF(D3374="", "Gap - No Legal Basis", IF(AND(D3374="Consent (GDPR Art. 6(1)(a))", I3374="Not Captured"), "Gap - Invalid Consent", IF(AND(D3374="Legitimate Interest (GDPR Art. 6(1)(f))", L3374=""), "Gap - Missing LIA", IF(AND(G3374="Yes", H3374=""), "Gap - Missing Art. 9 Basis", IF(OR(I3374="Invalid - Not Freely Given", I3374="Invalid - Not Specific", I3374="Invalid - Not Informed", I3374="Invalid - Ambiguous"), "Gap - Invalid Consent", "Compliant")))))</f>
        <v/>
      </c>
      <c r="O3374" s="7" t="n"/>
    </row>
    <row r="3375">
      <c r="A3375" s="7" t="n"/>
      <c r="B3375" s="7" t="n"/>
      <c r="C3375" s="7" t="n"/>
      <c r="D3375" s="7" t="n"/>
      <c r="E3375" s="7" t="n"/>
      <c r="F3375" s="7" t="n"/>
      <c r="G3375" s="7" t="n"/>
      <c r="H3375" s="7" t="n"/>
      <c r="I3375" s="7" t="n"/>
      <c r="J3375" s="7" t="n"/>
      <c r="K3375">
        <f>IF(D3375="Legitimate Interest (GDPR Art. 6(1)(f))", "Yes / Required (Sheet 3)", "")</f>
        <v/>
      </c>
      <c r="L3375" s="7" t="n"/>
      <c r="M3375" s="7" t="n"/>
      <c r="N3375">
        <f>IF(D3375="", "Gap - No Legal Basis", IF(AND(D3375="Consent (GDPR Art. 6(1)(a))", I3375="Not Captured"), "Gap - Invalid Consent", IF(AND(D3375="Legitimate Interest (GDPR Art. 6(1)(f))", L3375=""), "Gap - Missing LIA", IF(AND(G3375="Yes", H3375=""), "Gap - Missing Art. 9 Basis", IF(OR(I3375="Invalid - Not Freely Given", I3375="Invalid - Not Specific", I3375="Invalid - Not Informed", I3375="Invalid - Ambiguous"), "Gap - Invalid Consent", "Compliant")))))</f>
        <v/>
      </c>
      <c r="O3375" s="7" t="n"/>
    </row>
    <row r="3376">
      <c r="A3376" s="7" t="n"/>
      <c r="B3376" s="7" t="n"/>
      <c r="C3376" s="7" t="n"/>
      <c r="D3376" s="7" t="n"/>
      <c r="E3376" s="7" t="n"/>
      <c r="F3376" s="7" t="n"/>
      <c r="G3376" s="7" t="n"/>
      <c r="H3376" s="7" t="n"/>
      <c r="I3376" s="7" t="n"/>
      <c r="J3376" s="7" t="n"/>
      <c r="K3376">
        <f>IF(D3376="Legitimate Interest (GDPR Art. 6(1)(f))", "Yes / Required (Sheet 3)", "")</f>
        <v/>
      </c>
      <c r="L3376" s="7" t="n"/>
      <c r="M3376" s="7" t="n"/>
      <c r="N3376">
        <f>IF(D3376="", "Gap - No Legal Basis", IF(AND(D3376="Consent (GDPR Art. 6(1)(a))", I3376="Not Captured"), "Gap - Invalid Consent", IF(AND(D3376="Legitimate Interest (GDPR Art. 6(1)(f))", L3376=""), "Gap - Missing LIA", IF(AND(G3376="Yes", H3376=""), "Gap - Missing Art. 9 Basis", IF(OR(I3376="Invalid - Not Freely Given", I3376="Invalid - Not Specific", I3376="Invalid - Not Informed", I3376="Invalid - Ambiguous"), "Gap - Invalid Consent", "Compliant")))))</f>
        <v/>
      </c>
      <c r="O3376" s="7" t="n"/>
    </row>
    <row r="3377">
      <c r="A3377" s="7" t="n"/>
      <c r="B3377" s="7" t="n"/>
      <c r="C3377" s="7" t="n"/>
      <c r="D3377" s="7" t="n"/>
      <c r="E3377" s="7" t="n"/>
      <c r="F3377" s="7" t="n"/>
      <c r="G3377" s="7" t="n"/>
      <c r="H3377" s="7" t="n"/>
      <c r="I3377" s="7" t="n"/>
      <c r="J3377" s="7" t="n"/>
      <c r="K3377">
        <f>IF(D3377="Legitimate Interest (GDPR Art. 6(1)(f))", "Yes / Required (Sheet 3)", "")</f>
        <v/>
      </c>
      <c r="L3377" s="7" t="n"/>
      <c r="M3377" s="7" t="n"/>
      <c r="N3377">
        <f>IF(D3377="", "Gap - No Legal Basis", IF(AND(D3377="Consent (GDPR Art. 6(1)(a))", I3377="Not Captured"), "Gap - Invalid Consent", IF(AND(D3377="Legitimate Interest (GDPR Art. 6(1)(f))", L3377=""), "Gap - Missing LIA", IF(AND(G3377="Yes", H3377=""), "Gap - Missing Art. 9 Basis", IF(OR(I3377="Invalid - Not Freely Given", I3377="Invalid - Not Specific", I3377="Invalid - Not Informed", I3377="Invalid - Ambiguous"), "Gap - Invalid Consent", "Compliant")))))</f>
        <v/>
      </c>
      <c r="O3377" s="7" t="n"/>
    </row>
    <row r="3378">
      <c r="A3378" s="7" t="n"/>
      <c r="B3378" s="7" t="n"/>
      <c r="C3378" s="7" t="n"/>
      <c r="D3378" s="7" t="n"/>
      <c r="E3378" s="7" t="n"/>
      <c r="F3378" s="7" t="n"/>
      <c r="G3378" s="7" t="n"/>
      <c r="H3378" s="7" t="n"/>
      <c r="I3378" s="7" t="n"/>
      <c r="J3378" s="7" t="n"/>
      <c r="K3378">
        <f>IF(D3378="Legitimate Interest (GDPR Art. 6(1)(f))", "Yes / Required (Sheet 3)", "")</f>
        <v/>
      </c>
      <c r="L3378" s="7" t="n"/>
      <c r="M3378" s="7" t="n"/>
      <c r="N3378">
        <f>IF(D3378="", "Gap - No Legal Basis", IF(AND(D3378="Consent (GDPR Art. 6(1)(a))", I3378="Not Captured"), "Gap - Invalid Consent", IF(AND(D3378="Legitimate Interest (GDPR Art. 6(1)(f))", L3378=""), "Gap - Missing LIA", IF(AND(G3378="Yes", H3378=""), "Gap - Missing Art. 9 Basis", IF(OR(I3378="Invalid - Not Freely Given", I3378="Invalid - Not Specific", I3378="Invalid - Not Informed", I3378="Invalid - Ambiguous"), "Gap - Invalid Consent", "Compliant")))))</f>
        <v/>
      </c>
      <c r="O3378" s="7" t="n"/>
    </row>
    <row r="3379">
      <c r="A3379" s="7" t="n"/>
      <c r="B3379" s="7" t="n"/>
      <c r="C3379" s="7" t="n"/>
      <c r="D3379" s="7" t="n"/>
      <c r="E3379" s="7" t="n"/>
      <c r="F3379" s="7" t="n"/>
      <c r="G3379" s="7" t="n"/>
      <c r="H3379" s="7" t="n"/>
      <c r="I3379" s="7" t="n"/>
      <c r="J3379" s="7" t="n"/>
      <c r="K3379">
        <f>IF(D3379="Legitimate Interest (GDPR Art. 6(1)(f))", "Yes / Required (Sheet 3)", "")</f>
        <v/>
      </c>
      <c r="L3379" s="7" t="n"/>
      <c r="M3379" s="7" t="n"/>
      <c r="N3379">
        <f>IF(D3379="", "Gap - No Legal Basis", IF(AND(D3379="Consent (GDPR Art. 6(1)(a))", I3379="Not Captured"), "Gap - Invalid Consent", IF(AND(D3379="Legitimate Interest (GDPR Art. 6(1)(f))", L3379=""), "Gap - Missing LIA", IF(AND(G3379="Yes", H3379=""), "Gap - Missing Art. 9 Basis", IF(OR(I3379="Invalid - Not Freely Given", I3379="Invalid - Not Specific", I3379="Invalid - Not Informed", I3379="Invalid - Ambiguous"), "Gap - Invalid Consent", "Compliant")))))</f>
        <v/>
      </c>
      <c r="O3379" s="7" t="n"/>
    </row>
    <row r="3380">
      <c r="A3380" s="7" t="n"/>
      <c r="B3380" s="7" t="n"/>
      <c r="C3380" s="7" t="n"/>
      <c r="D3380" s="7" t="n"/>
      <c r="E3380" s="7" t="n"/>
      <c r="F3380" s="7" t="n"/>
      <c r="G3380" s="7" t="n"/>
      <c r="H3380" s="7" t="n"/>
      <c r="I3380" s="7" t="n"/>
      <c r="J3380" s="7" t="n"/>
      <c r="K3380">
        <f>IF(D3380="Legitimate Interest (GDPR Art. 6(1)(f))", "Yes / Required (Sheet 3)", "")</f>
        <v/>
      </c>
      <c r="L3380" s="7" t="n"/>
      <c r="M3380" s="7" t="n"/>
      <c r="N3380">
        <f>IF(D3380="", "Gap - No Legal Basis", IF(AND(D3380="Consent (GDPR Art. 6(1)(a))", I3380="Not Captured"), "Gap - Invalid Consent", IF(AND(D3380="Legitimate Interest (GDPR Art. 6(1)(f))", L3380=""), "Gap - Missing LIA", IF(AND(G3380="Yes", H3380=""), "Gap - Missing Art. 9 Basis", IF(OR(I3380="Invalid - Not Freely Given", I3380="Invalid - Not Specific", I3380="Invalid - Not Informed", I3380="Invalid - Ambiguous"), "Gap - Invalid Consent", "Compliant")))))</f>
        <v/>
      </c>
      <c r="O3380" s="7" t="n"/>
    </row>
    <row r="3381">
      <c r="A3381" s="7" t="n"/>
      <c r="B3381" s="7" t="n"/>
      <c r="C3381" s="7" t="n"/>
      <c r="D3381" s="7" t="n"/>
      <c r="E3381" s="7" t="n"/>
      <c r="F3381" s="7" t="n"/>
      <c r="G3381" s="7" t="n"/>
      <c r="H3381" s="7" t="n"/>
      <c r="I3381" s="7" t="n"/>
      <c r="J3381" s="7" t="n"/>
      <c r="K3381">
        <f>IF(D3381="Legitimate Interest (GDPR Art. 6(1)(f))", "Yes / Required (Sheet 3)", "")</f>
        <v/>
      </c>
      <c r="L3381" s="7" t="n"/>
      <c r="M3381" s="7" t="n"/>
      <c r="N3381">
        <f>IF(D3381="", "Gap - No Legal Basis", IF(AND(D3381="Consent (GDPR Art. 6(1)(a))", I3381="Not Captured"), "Gap - Invalid Consent", IF(AND(D3381="Legitimate Interest (GDPR Art. 6(1)(f))", L3381=""), "Gap - Missing LIA", IF(AND(G3381="Yes", H3381=""), "Gap - Missing Art. 9 Basis", IF(OR(I3381="Invalid - Not Freely Given", I3381="Invalid - Not Specific", I3381="Invalid - Not Informed", I3381="Invalid - Ambiguous"), "Gap - Invalid Consent", "Compliant")))))</f>
        <v/>
      </c>
      <c r="O3381" s="7" t="n"/>
    </row>
    <row r="3382">
      <c r="A3382" s="7" t="n"/>
      <c r="B3382" s="7" t="n"/>
      <c r="C3382" s="7" t="n"/>
      <c r="D3382" s="7" t="n"/>
      <c r="E3382" s="7" t="n"/>
      <c r="F3382" s="7" t="n"/>
      <c r="G3382" s="7" t="n"/>
      <c r="H3382" s="7" t="n"/>
      <c r="I3382" s="7" t="n"/>
      <c r="J3382" s="7" t="n"/>
      <c r="K3382">
        <f>IF(D3382="Legitimate Interest (GDPR Art. 6(1)(f))", "Yes / Required (Sheet 3)", "")</f>
        <v/>
      </c>
      <c r="L3382" s="7" t="n"/>
      <c r="M3382" s="7" t="n"/>
      <c r="N3382">
        <f>IF(D3382="", "Gap - No Legal Basis", IF(AND(D3382="Consent (GDPR Art. 6(1)(a))", I3382="Not Captured"), "Gap - Invalid Consent", IF(AND(D3382="Legitimate Interest (GDPR Art. 6(1)(f))", L3382=""), "Gap - Missing LIA", IF(AND(G3382="Yes", H3382=""), "Gap - Missing Art. 9 Basis", IF(OR(I3382="Invalid - Not Freely Given", I3382="Invalid - Not Specific", I3382="Invalid - Not Informed", I3382="Invalid - Ambiguous"), "Gap - Invalid Consent", "Compliant")))))</f>
        <v/>
      </c>
      <c r="O3382" s="7" t="n"/>
    </row>
    <row r="3383">
      <c r="A3383" s="7" t="n"/>
      <c r="B3383" s="7" t="n"/>
      <c r="C3383" s="7" t="n"/>
      <c r="D3383" s="7" t="n"/>
      <c r="E3383" s="7" t="n"/>
      <c r="F3383" s="7" t="n"/>
      <c r="G3383" s="7" t="n"/>
      <c r="H3383" s="7" t="n"/>
      <c r="I3383" s="7" t="n"/>
      <c r="J3383" s="7" t="n"/>
      <c r="K3383">
        <f>IF(D3383="Legitimate Interest (GDPR Art. 6(1)(f))", "Yes / Required (Sheet 3)", "")</f>
        <v/>
      </c>
      <c r="L3383" s="7" t="n"/>
      <c r="M3383" s="7" t="n"/>
      <c r="N3383">
        <f>IF(D3383="", "Gap - No Legal Basis", IF(AND(D3383="Consent (GDPR Art. 6(1)(a))", I3383="Not Captured"), "Gap - Invalid Consent", IF(AND(D3383="Legitimate Interest (GDPR Art. 6(1)(f))", L3383=""), "Gap - Missing LIA", IF(AND(G3383="Yes", H3383=""), "Gap - Missing Art. 9 Basis", IF(OR(I3383="Invalid - Not Freely Given", I3383="Invalid - Not Specific", I3383="Invalid - Not Informed", I3383="Invalid - Ambiguous"), "Gap - Invalid Consent", "Compliant")))))</f>
        <v/>
      </c>
      <c r="O3383" s="7" t="n"/>
    </row>
    <row r="3384">
      <c r="A3384" s="7" t="n"/>
      <c r="B3384" s="7" t="n"/>
      <c r="C3384" s="7" t="n"/>
      <c r="D3384" s="7" t="n"/>
      <c r="E3384" s="7" t="n"/>
      <c r="F3384" s="7" t="n"/>
      <c r="G3384" s="7" t="n"/>
      <c r="H3384" s="7" t="n"/>
      <c r="I3384" s="7" t="n"/>
      <c r="J3384" s="7" t="n"/>
      <c r="K3384">
        <f>IF(D3384="Legitimate Interest (GDPR Art. 6(1)(f))", "Yes / Required (Sheet 3)", "")</f>
        <v/>
      </c>
      <c r="L3384" s="7" t="n"/>
      <c r="M3384" s="7" t="n"/>
      <c r="N3384">
        <f>IF(D3384="", "Gap - No Legal Basis", IF(AND(D3384="Consent (GDPR Art. 6(1)(a))", I3384="Not Captured"), "Gap - Invalid Consent", IF(AND(D3384="Legitimate Interest (GDPR Art. 6(1)(f))", L3384=""), "Gap - Missing LIA", IF(AND(G3384="Yes", H3384=""), "Gap - Missing Art. 9 Basis", IF(OR(I3384="Invalid - Not Freely Given", I3384="Invalid - Not Specific", I3384="Invalid - Not Informed", I3384="Invalid - Ambiguous"), "Gap - Invalid Consent", "Compliant")))))</f>
        <v/>
      </c>
      <c r="O3384" s="7" t="n"/>
    </row>
    <row r="3385">
      <c r="A3385" s="7" t="n"/>
      <c r="B3385" s="7" t="n"/>
      <c r="C3385" s="7" t="n"/>
      <c r="D3385" s="7" t="n"/>
      <c r="E3385" s="7" t="n"/>
      <c r="F3385" s="7" t="n"/>
      <c r="G3385" s="7" t="n"/>
      <c r="H3385" s="7" t="n"/>
      <c r="I3385" s="7" t="n"/>
      <c r="J3385" s="7" t="n"/>
      <c r="K3385">
        <f>IF(D3385="Legitimate Interest (GDPR Art. 6(1)(f))", "Yes / Required (Sheet 3)", "")</f>
        <v/>
      </c>
      <c r="L3385" s="7" t="n"/>
      <c r="M3385" s="7" t="n"/>
      <c r="N3385">
        <f>IF(D3385="", "Gap - No Legal Basis", IF(AND(D3385="Consent (GDPR Art. 6(1)(a))", I3385="Not Captured"), "Gap - Invalid Consent", IF(AND(D3385="Legitimate Interest (GDPR Art. 6(1)(f))", L3385=""), "Gap - Missing LIA", IF(AND(G3385="Yes", H3385=""), "Gap - Missing Art. 9 Basis", IF(OR(I3385="Invalid - Not Freely Given", I3385="Invalid - Not Specific", I3385="Invalid - Not Informed", I3385="Invalid - Ambiguous"), "Gap - Invalid Consent", "Compliant")))))</f>
        <v/>
      </c>
      <c r="O3385" s="7" t="n"/>
    </row>
    <row r="3386">
      <c r="A3386" s="7" t="n"/>
      <c r="B3386" s="7" t="n"/>
      <c r="C3386" s="7" t="n"/>
      <c r="D3386" s="7" t="n"/>
      <c r="E3386" s="7" t="n"/>
      <c r="F3386" s="7" t="n"/>
      <c r="G3386" s="7" t="n"/>
      <c r="H3386" s="7" t="n"/>
      <c r="I3386" s="7" t="n"/>
      <c r="J3386" s="7" t="n"/>
      <c r="K3386">
        <f>IF(D3386="Legitimate Interest (GDPR Art. 6(1)(f))", "Yes / Required (Sheet 3)", "")</f>
        <v/>
      </c>
      <c r="L3386" s="7" t="n"/>
      <c r="M3386" s="7" t="n"/>
      <c r="N3386">
        <f>IF(D3386="", "Gap - No Legal Basis", IF(AND(D3386="Consent (GDPR Art. 6(1)(a))", I3386="Not Captured"), "Gap - Invalid Consent", IF(AND(D3386="Legitimate Interest (GDPR Art. 6(1)(f))", L3386=""), "Gap - Missing LIA", IF(AND(G3386="Yes", H3386=""), "Gap - Missing Art. 9 Basis", IF(OR(I3386="Invalid - Not Freely Given", I3386="Invalid - Not Specific", I3386="Invalid - Not Informed", I3386="Invalid - Ambiguous"), "Gap - Invalid Consent", "Compliant")))))</f>
        <v/>
      </c>
      <c r="O3386" s="7" t="n"/>
    </row>
    <row r="3387">
      <c r="A3387" s="7" t="n"/>
      <c r="B3387" s="7" t="n"/>
      <c r="C3387" s="7" t="n"/>
      <c r="D3387" s="7" t="n"/>
      <c r="E3387" s="7" t="n"/>
      <c r="F3387" s="7" t="n"/>
      <c r="G3387" s="7" t="n"/>
      <c r="H3387" s="7" t="n"/>
      <c r="I3387" s="7" t="n"/>
      <c r="J3387" s="7" t="n"/>
      <c r="K3387">
        <f>IF(D3387="Legitimate Interest (GDPR Art. 6(1)(f))", "Yes / Required (Sheet 3)", "")</f>
        <v/>
      </c>
      <c r="L3387" s="7" t="n"/>
      <c r="M3387" s="7" t="n"/>
      <c r="N3387">
        <f>IF(D3387="", "Gap - No Legal Basis", IF(AND(D3387="Consent (GDPR Art. 6(1)(a))", I3387="Not Captured"), "Gap - Invalid Consent", IF(AND(D3387="Legitimate Interest (GDPR Art. 6(1)(f))", L3387=""), "Gap - Missing LIA", IF(AND(G3387="Yes", H3387=""), "Gap - Missing Art. 9 Basis", IF(OR(I3387="Invalid - Not Freely Given", I3387="Invalid - Not Specific", I3387="Invalid - Not Informed", I3387="Invalid - Ambiguous"), "Gap - Invalid Consent", "Compliant")))))</f>
        <v/>
      </c>
      <c r="O3387" s="7" t="n"/>
    </row>
    <row r="3388">
      <c r="A3388" s="7" t="n"/>
      <c r="B3388" s="7" t="n"/>
      <c r="C3388" s="7" t="n"/>
      <c r="D3388" s="7" t="n"/>
      <c r="E3388" s="7" t="n"/>
      <c r="F3388" s="7" t="n"/>
      <c r="G3388" s="7" t="n"/>
      <c r="H3388" s="7" t="n"/>
      <c r="I3388" s="7" t="n"/>
      <c r="J3388" s="7" t="n"/>
      <c r="K3388">
        <f>IF(D3388="Legitimate Interest (GDPR Art. 6(1)(f))", "Yes / Required (Sheet 3)", "")</f>
        <v/>
      </c>
      <c r="L3388" s="7" t="n"/>
      <c r="M3388" s="7" t="n"/>
      <c r="N3388">
        <f>IF(D3388="", "Gap - No Legal Basis", IF(AND(D3388="Consent (GDPR Art. 6(1)(a))", I3388="Not Captured"), "Gap - Invalid Consent", IF(AND(D3388="Legitimate Interest (GDPR Art. 6(1)(f))", L3388=""), "Gap - Missing LIA", IF(AND(G3388="Yes", H3388=""), "Gap - Missing Art. 9 Basis", IF(OR(I3388="Invalid - Not Freely Given", I3388="Invalid - Not Specific", I3388="Invalid - Not Informed", I3388="Invalid - Ambiguous"), "Gap - Invalid Consent", "Compliant")))))</f>
        <v/>
      </c>
      <c r="O3388" s="7" t="n"/>
    </row>
    <row r="3389">
      <c r="A3389" s="7" t="n"/>
      <c r="B3389" s="7" t="n"/>
      <c r="C3389" s="7" t="n"/>
      <c r="D3389" s="7" t="n"/>
      <c r="E3389" s="7" t="n"/>
      <c r="F3389" s="7" t="n"/>
      <c r="G3389" s="7" t="n"/>
      <c r="H3389" s="7" t="n"/>
      <c r="I3389" s="7" t="n"/>
      <c r="J3389" s="7" t="n"/>
      <c r="K3389">
        <f>IF(D3389="Legitimate Interest (GDPR Art. 6(1)(f))", "Yes / Required (Sheet 3)", "")</f>
        <v/>
      </c>
      <c r="L3389" s="7" t="n"/>
      <c r="M3389" s="7" t="n"/>
      <c r="N3389">
        <f>IF(D3389="", "Gap - No Legal Basis", IF(AND(D3389="Consent (GDPR Art. 6(1)(a))", I3389="Not Captured"), "Gap - Invalid Consent", IF(AND(D3389="Legitimate Interest (GDPR Art. 6(1)(f))", L3389=""), "Gap - Missing LIA", IF(AND(G3389="Yes", H3389=""), "Gap - Missing Art. 9 Basis", IF(OR(I3389="Invalid - Not Freely Given", I3389="Invalid - Not Specific", I3389="Invalid - Not Informed", I3389="Invalid - Ambiguous"), "Gap - Invalid Consent", "Compliant")))))</f>
        <v/>
      </c>
      <c r="O3389" s="7" t="n"/>
    </row>
    <row r="3390">
      <c r="A3390" s="7" t="n"/>
      <c r="B3390" s="7" t="n"/>
      <c r="C3390" s="7" t="n"/>
      <c r="D3390" s="7" t="n"/>
      <c r="E3390" s="7" t="n"/>
      <c r="F3390" s="7" t="n"/>
      <c r="G3390" s="7" t="n"/>
      <c r="H3390" s="7" t="n"/>
      <c r="I3390" s="7" t="n"/>
      <c r="J3390" s="7" t="n"/>
      <c r="K3390">
        <f>IF(D3390="Legitimate Interest (GDPR Art. 6(1)(f))", "Yes / Required (Sheet 3)", "")</f>
        <v/>
      </c>
      <c r="L3390" s="7" t="n"/>
      <c r="M3390" s="7" t="n"/>
      <c r="N3390">
        <f>IF(D3390="", "Gap - No Legal Basis", IF(AND(D3390="Consent (GDPR Art. 6(1)(a))", I3390="Not Captured"), "Gap - Invalid Consent", IF(AND(D3390="Legitimate Interest (GDPR Art. 6(1)(f))", L3390=""), "Gap - Missing LIA", IF(AND(G3390="Yes", H3390=""), "Gap - Missing Art. 9 Basis", IF(OR(I3390="Invalid - Not Freely Given", I3390="Invalid - Not Specific", I3390="Invalid - Not Informed", I3390="Invalid - Ambiguous"), "Gap - Invalid Consent", "Compliant")))))</f>
        <v/>
      </c>
      <c r="O3390" s="7" t="n"/>
    </row>
    <row r="3391">
      <c r="A3391" s="7" t="n"/>
      <c r="B3391" s="7" t="n"/>
      <c r="C3391" s="7" t="n"/>
      <c r="D3391" s="7" t="n"/>
      <c r="E3391" s="7" t="n"/>
      <c r="F3391" s="7" t="n"/>
      <c r="G3391" s="7" t="n"/>
      <c r="H3391" s="7" t="n"/>
      <c r="I3391" s="7" t="n"/>
      <c r="J3391" s="7" t="n"/>
      <c r="K3391">
        <f>IF(D3391="Legitimate Interest (GDPR Art. 6(1)(f))", "Yes / Required (Sheet 3)", "")</f>
        <v/>
      </c>
      <c r="L3391" s="7" t="n"/>
      <c r="M3391" s="7" t="n"/>
      <c r="N3391">
        <f>IF(D3391="", "Gap - No Legal Basis", IF(AND(D3391="Consent (GDPR Art. 6(1)(a))", I3391="Not Captured"), "Gap - Invalid Consent", IF(AND(D3391="Legitimate Interest (GDPR Art. 6(1)(f))", L3391=""), "Gap - Missing LIA", IF(AND(G3391="Yes", H3391=""), "Gap - Missing Art. 9 Basis", IF(OR(I3391="Invalid - Not Freely Given", I3391="Invalid - Not Specific", I3391="Invalid - Not Informed", I3391="Invalid - Ambiguous"), "Gap - Invalid Consent", "Compliant")))))</f>
        <v/>
      </c>
      <c r="O3391" s="7" t="n"/>
    </row>
    <row r="3392">
      <c r="A3392" s="7" t="n"/>
      <c r="B3392" s="7" t="n"/>
      <c r="C3392" s="7" t="n"/>
      <c r="D3392" s="7" t="n"/>
      <c r="E3392" s="7" t="n"/>
      <c r="F3392" s="7" t="n"/>
      <c r="G3392" s="7" t="n"/>
      <c r="H3392" s="7" t="n"/>
      <c r="I3392" s="7" t="n"/>
      <c r="J3392" s="7" t="n"/>
      <c r="K3392">
        <f>IF(D3392="Legitimate Interest (GDPR Art. 6(1)(f))", "Yes / Required (Sheet 3)", "")</f>
        <v/>
      </c>
      <c r="L3392" s="7" t="n"/>
      <c r="M3392" s="7" t="n"/>
      <c r="N3392">
        <f>IF(D3392="", "Gap - No Legal Basis", IF(AND(D3392="Consent (GDPR Art. 6(1)(a))", I3392="Not Captured"), "Gap - Invalid Consent", IF(AND(D3392="Legitimate Interest (GDPR Art. 6(1)(f))", L3392=""), "Gap - Missing LIA", IF(AND(G3392="Yes", H3392=""), "Gap - Missing Art. 9 Basis", IF(OR(I3392="Invalid - Not Freely Given", I3392="Invalid - Not Specific", I3392="Invalid - Not Informed", I3392="Invalid - Ambiguous"), "Gap - Invalid Consent", "Compliant")))))</f>
        <v/>
      </c>
      <c r="O3392" s="7" t="n"/>
    </row>
    <row r="3393">
      <c r="A3393" s="7" t="n"/>
      <c r="B3393" s="7" t="n"/>
      <c r="C3393" s="7" t="n"/>
      <c r="D3393" s="7" t="n"/>
      <c r="E3393" s="7" t="n"/>
      <c r="F3393" s="7" t="n"/>
      <c r="G3393" s="7" t="n"/>
      <c r="H3393" s="7" t="n"/>
      <c r="I3393" s="7" t="n"/>
      <c r="J3393" s="7" t="n"/>
      <c r="K3393">
        <f>IF(D3393="Legitimate Interest (GDPR Art. 6(1)(f))", "Yes / Required (Sheet 3)", "")</f>
        <v/>
      </c>
      <c r="L3393" s="7" t="n"/>
      <c r="M3393" s="7" t="n"/>
      <c r="N3393">
        <f>IF(D3393="", "Gap - No Legal Basis", IF(AND(D3393="Consent (GDPR Art. 6(1)(a))", I3393="Not Captured"), "Gap - Invalid Consent", IF(AND(D3393="Legitimate Interest (GDPR Art. 6(1)(f))", L3393=""), "Gap - Missing LIA", IF(AND(G3393="Yes", H3393=""), "Gap - Missing Art. 9 Basis", IF(OR(I3393="Invalid - Not Freely Given", I3393="Invalid - Not Specific", I3393="Invalid - Not Informed", I3393="Invalid - Ambiguous"), "Gap - Invalid Consent", "Compliant")))))</f>
        <v/>
      </c>
      <c r="O3393" s="7" t="n"/>
    </row>
    <row r="3394">
      <c r="A3394" s="7" t="n"/>
      <c r="B3394" s="7" t="n"/>
      <c r="C3394" s="7" t="n"/>
      <c r="D3394" s="7" t="n"/>
      <c r="E3394" s="7" t="n"/>
      <c r="F3394" s="7" t="n"/>
      <c r="G3394" s="7" t="n"/>
      <c r="H3394" s="7" t="n"/>
      <c r="I3394" s="7" t="n"/>
      <c r="J3394" s="7" t="n"/>
      <c r="K3394">
        <f>IF(D3394="Legitimate Interest (GDPR Art. 6(1)(f))", "Yes / Required (Sheet 3)", "")</f>
        <v/>
      </c>
      <c r="L3394" s="7" t="n"/>
      <c r="M3394" s="7" t="n"/>
      <c r="N3394">
        <f>IF(D3394="", "Gap - No Legal Basis", IF(AND(D3394="Consent (GDPR Art. 6(1)(a))", I3394="Not Captured"), "Gap - Invalid Consent", IF(AND(D3394="Legitimate Interest (GDPR Art. 6(1)(f))", L3394=""), "Gap - Missing LIA", IF(AND(G3394="Yes", H3394=""), "Gap - Missing Art. 9 Basis", IF(OR(I3394="Invalid - Not Freely Given", I3394="Invalid - Not Specific", I3394="Invalid - Not Informed", I3394="Invalid - Ambiguous"), "Gap - Invalid Consent", "Compliant")))))</f>
        <v/>
      </c>
      <c r="O3394" s="7" t="n"/>
    </row>
    <row r="3395">
      <c r="A3395" s="7" t="n"/>
      <c r="B3395" s="7" t="n"/>
      <c r="C3395" s="7" t="n"/>
      <c r="D3395" s="7" t="n"/>
      <c r="E3395" s="7" t="n"/>
      <c r="F3395" s="7" t="n"/>
      <c r="G3395" s="7" t="n"/>
      <c r="H3395" s="7" t="n"/>
      <c r="I3395" s="7" t="n"/>
      <c r="J3395" s="7" t="n"/>
      <c r="K3395">
        <f>IF(D3395="Legitimate Interest (GDPR Art. 6(1)(f))", "Yes / Required (Sheet 3)", "")</f>
        <v/>
      </c>
      <c r="L3395" s="7" t="n"/>
      <c r="M3395" s="7" t="n"/>
      <c r="N3395">
        <f>IF(D3395="", "Gap - No Legal Basis", IF(AND(D3395="Consent (GDPR Art. 6(1)(a))", I3395="Not Captured"), "Gap - Invalid Consent", IF(AND(D3395="Legitimate Interest (GDPR Art. 6(1)(f))", L3395=""), "Gap - Missing LIA", IF(AND(G3395="Yes", H3395=""), "Gap - Missing Art. 9 Basis", IF(OR(I3395="Invalid - Not Freely Given", I3395="Invalid - Not Specific", I3395="Invalid - Not Informed", I3395="Invalid - Ambiguous"), "Gap - Invalid Consent", "Compliant")))))</f>
        <v/>
      </c>
      <c r="O3395" s="7" t="n"/>
    </row>
    <row r="3396">
      <c r="A3396" s="7" t="n"/>
      <c r="B3396" s="7" t="n"/>
      <c r="C3396" s="7" t="n"/>
      <c r="D3396" s="7" t="n"/>
      <c r="E3396" s="7" t="n"/>
      <c r="F3396" s="7" t="n"/>
      <c r="G3396" s="7" t="n"/>
      <c r="H3396" s="7" t="n"/>
      <c r="I3396" s="7" t="n"/>
      <c r="J3396" s="7" t="n"/>
      <c r="K3396">
        <f>IF(D3396="Legitimate Interest (GDPR Art. 6(1)(f))", "Yes / Required (Sheet 3)", "")</f>
        <v/>
      </c>
      <c r="L3396" s="7" t="n"/>
      <c r="M3396" s="7" t="n"/>
      <c r="N3396">
        <f>IF(D3396="", "Gap - No Legal Basis", IF(AND(D3396="Consent (GDPR Art. 6(1)(a))", I3396="Not Captured"), "Gap - Invalid Consent", IF(AND(D3396="Legitimate Interest (GDPR Art. 6(1)(f))", L3396=""), "Gap - Missing LIA", IF(AND(G3396="Yes", H3396=""), "Gap - Missing Art. 9 Basis", IF(OR(I3396="Invalid - Not Freely Given", I3396="Invalid - Not Specific", I3396="Invalid - Not Informed", I3396="Invalid - Ambiguous"), "Gap - Invalid Consent", "Compliant")))))</f>
        <v/>
      </c>
      <c r="O3396" s="7" t="n"/>
    </row>
    <row r="3397">
      <c r="A3397" s="7" t="n"/>
      <c r="B3397" s="7" t="n"/>
      <c r="C3397" s="7" t="n"/>
      <c r="D3397" s="7" t="n"/>
      <c r="E3397" s="7" t="n"/>
      <c r="F3397" s="7" t="n"/>
      <c r="G3397" s="7" t="n"/>
      <c r="H3397" s="7" t="n"/>
      <c r="I3397" s="7" t="n"/>
      <c r="J3397" s="7" t="n"/>
      <c r="K3397">
        <f>IF(D3397="Legitimate Interest (GDPR Art. 6(1)(f))", "Yes / Required (Sheet 3)", "")</f>
        <v/>
      </c>
      <c r="L3397" s="7" t="n"/>
      <c r="M3397" s="7" t="n"/>
      <c r="N3397">
        <f>IF(D3397="", "Gap - No Legal Basis", IF(AND(D3397="Consent (GDPR Art. 6(1)(a))", I3397="Not Captured"), "Gap - Invalid Consent", IF(AND(D3397="Legitimate Interest (GDPR Art. 6(1)(f))", L3397=""), "Gap - Missing LIA", IF(AND(G3397="Yes", H3397=""), "Gap - Missing Art. 9 Basis", IF(OR(I3397="Invalid - Not Freely Given", I3397="Invalid - Not Specific", I3397="Invalid - Not Informed", I3397="Invalid - Ambiguous"), "Gap - Invalid Consent", "Compliant")))))</f>
        <v/>
      </c>
      <c r="O3397" s="7" t="n"/>
    </row>
    <row r="3398">
      <c r="A3398" s="7" t="n"/>
      <c r="B3398" s="7" t="n"/>
      <c r="C3398" s="7" t="n"/>
      <c r="D3398" s="7" t="n"/>
      <c r="E3398" s="7" t="n"/>
      <c r="F3398" s="7" t="n"/>
      <c r="G3398" s="7" t="n"/>
      <c r="H3398" s="7" t="n"/>
      <c r="I3398" s="7" t="n"/>
      <c r="J3398" s="7" t="n"/>
      <c r="K3398">
        <f>IF(D3398="Legitimate Interest (GDPR Art. 6(1)(f))", "Yes / Required (Sheet 3)", "")</f>
        <v/>
      </c>
      <c r="L3398" s="7" t="n"/>
      <c r="M3398" s="7" t="n"/>
      <c r="N3398">
        <f>IF(D3398="", "Gap - No Legal Basis", IF(AND(D3398="Consent (GDPR Art. 6(1)(a))", I3398="Not Captured"), "Gap - Invalid Consent", IF(AND(D3398="Legitimate Interest (GDPR Art. 6(1)(f))", L3398=""), "Gap - Missing LIA", IF(AND(G3398="Yes", H3398=""), "Gap - Missing Art. 9 Basis", IF(OR(I3398="Invalid - Not Freely Given", I3398="Invalid - Not Specific", I3398="Invalid - Not Informed", I3398="Invalid - Ambiguous"), "Gap - Invalid Consent", "Compliant")))))</f>
        <v/>
      </c>
      <c r="O3398" s="7" t="n"/>
    </row>
    <row r="3399">
      <c r="A3399" s="7" t="n"/>
      <c r="B3399" s="7" t="n"/>
      <c r="C3399" s="7" t="n"/>
      <c r="D3399" s="7" t="n"/>
      <c r="E3399" s="7" t="n"/>
      <c r="F3399" s="7" t="n"/>
      <c r="G3399" s="7" t="n"/>
      <c r="H3399" s="7" t="n"/>
      <c r="I3399" s="7" t="n"/>
      <c r="J3399" s="7" t="n"/>
      <c r="K3399">
        <f>IF(D3399="Legitimate Interest (GDPR Art. 6(1)(f))", "Yes / Required (Sheet 3)", "")</f>
        <v/>
      </c>
      <c r="L3399" s="7" t="n"/>
      <c r="M3399" s="7" t="n"/>
      <c r="N3399">
        <f>IF(D3399="", "Gap - No Legal Basis", IF(AND(D3399="Consent (GDPR Art. 6(1)(a))", I3399="Not Captured"), "Gap - Invalid Consent", IF(AND(D3399="Legitimate Interest (GDPR Art. 6(1)(f))", L3399=""), "Gap - Missing LIA", IF(AND(G3399="Yes", H3399=""), "Gap - Missing Art. 9 Basis", IF(OR(I3399="Invalid - Not Freely Given", I3399="Invalid - Not Specific", I3399="Invalid - Not Informed", I3399="Invalid - Ambiguous"), "Gap - Invalid Consent", "Compliant")))))</f>
        <v/>
      </c>
      <c r="O3399" s="7" t="n"/>
    </row>
    <row r="3400">
      <c r="A3400" s="7" t="n"/>
      <c r="B3400" s="7" t="n"/>
      <c r="C3400" s="7" t="n"/>
      <c r="D3400" s="7" t="n"/>
      <c r="E3400" s="7" t="n"/>
      <c r="F3400" s="7" t="n"/>
      <c r="G3400" s="7" t="n"/>
      <c r="H3400" s="7" t="n"/>
      <c r="I3400" s="7" t="n"/>
      <c r="J3400" s="7" t="n"/>
      <c r="K3400">
        <f>IF(D3400="Legitimate Interest (GDPR Art. 6(1)(f))", "Yes / Required (Sheet 3)", "")</f>
        <v/>
      </c>
      <c r="L3400" s="7" t="n"/>
      <c r="M3400" s="7" t="n"/>
      <c r="N3400">
        <f>IF(D3400="", "Gap - No Legal Basis", IF(AND(D3400="Consent (GDPR Art. 6(1)(a))", I3400="Not Captured"), "Gap - Invalid Consent", IF(AND(D3400="Legitimate Interest (GDPR Art. 6(1)(f))", L3400=""), "Gap - Missing LIA", IF(AND(G3400="Yes", H3400=""), "Gap - Missing Art. 9 Basis", IF(OR(I3400="Invalid - Not Freely Given", I3400="Invalid - Not Specific", I3400="Invalid - Not Informed", I3400="Invalid - Ambiguous"), "Gap - Invalid Consent", "Compliant")))))</f>
        <v/>
      </c>
      <c r="O3400" s="7" t="n"/>
    </row>
    <row r="3401">
      <c r="A3401" s="7" t="n"/>
      <c r="B3401" s="7" t="n"/>
      <c r="C3401" s="7" t="n"/>
      <c r="D3401" s="7" t="n"/>
      <c r="E3401" s="7" t="n"/>
      <c r="F3401" s="7" t="n"/>
      <c r="G3401" s="7" t="n"/>
      <c r="H3401" s="7" t="n"/>
      <c r="I3401" s="7" t="n"/>
      <c r="J3401" s="7" t="n"/>
      <c r="K3401">
        <f>IF(D3401="Legitimate Interest (GDPR Art. 6(1)(f))", "Yes / Required (Sheet 3)", "")</f>
        <v/>
      </c>
      <c r="L3401" s="7" t="n"/>
      <c r="M3401" s="7" t="n"/>
      <c r="N3401">
        <f>IF(D3401="", "Gap - No Legal Basis", IF(AND(D3401="Consent (GDPR Art. 6(1)(a))", I3401="Not Captured"), "Gap - Invalid Consent", IF(AND(D3401="Legitimate Interest (GDPR Art. 6(1)(f))", L3401=""), "Gap - Missing LIA", IF(AND(G3401="Yes", H3401=""), "Gap - Missing Art. 9 Basis", IF(OR(I3401="Invalid - Not Freely Given", I3401="Invalid - Not Specific", I3401="Invalid - Not Informed", I3401="Invalid - Ambiguous"), "Gap - Invalid Consent", "Compliant")))))</f>
        <v/>
      </c>
      <c r="O3401" s="7" t="n"/>
    </row>
    <row r="3402">
      <c r="A3402" s="7" t="n"/>
      <c r="B3402" s="7" t="n"/>
      <c r="C3402" s="7" t="n"/>
      <c r="D3402" s="7" t="n"/>
      <c r="E3402" s="7" t="n"/>
      <c r="F3402" s="7" t="n"/>
      <c r="G3402" s="7" t="n"/>
      <c r="H3402" s="7" t="n"/>
      <c r="I3402" s="7" t="n"/>
      <c r="J3402" s="7" t="n"/>
      <c r="K3402">
        <f>IF(D3402="Legitimate Interest (GDPR Art. 6(1)(f))", "Yes / Required (Sheet 3)", "")</f>
        <v/>
      </c>
      <c r="L3402" s="7" t="n"/>
      <c r="M3402" s="7" t="n"/>
      <c r="N3402">
        <f>IF(D3402="", "Gap - No Legal Basis", IF(AND(D3402="Consent (GDPR Art. 6(1)(a))", I3402="Not Captured"), "Gap - Invalid Consent", IF(AND(D3402="Legitimate Interest (GDPR Art. 6(1)(f))", L3402=""), "Gap - Missing LIA", IF(AND(G3402="Yes", H3402=""), "Gap - Missing Art. 9 Basis", IF(OR(I3402="Invalid - Not Freely Given", I3402="Invalid - Not Specific", I3402="Invalid - Not Informed", I3402="Invalid - Ambiguous"), "Gap - Invalid Consent", "Compliant")))))</f>
        <v/>
      </c>
      <c r="O3402" s="7" t="n"/>
    </row>
    <row r="3403">
      <c r="A3403" s="7" t="n"/>
      <c r="B3403" s="7" t="n"/>
      <c r="C3403" s="7" t="n"/>
      <c r="D3403" s="7" t="n"/>
      <c r="E3403" s="7" t="n"/>
      <c r="F3403" s="7" t="n"/>
      <c r="G3403" s="7" t="n"/>
      <c r="H3403" s="7" t="n"/>
      <c r="I3403" s="7" t="n"/>
      <c r="J3403" s="7" t="n"/>
      <c r="K3403">
        <f>IF(D3403="Legitimate Interest (GDPR Art. 6(1)(f))", "Yes / Required (Sheet 3)", "")</f>
        <v/>
      </c>
      <c r="L3403" s="7" t="n"/>
      <c r="M3403" s="7" t="n"/>
      <c r="N3403">
        <f>IF(D3403="", "Gap - No Legal Basis", IF(AND(D3403="Consent (GDPR Art. 6(1)(a))", I3403="Not Captured"), "Gap - Invalid Consent", IF(AND(D3403="Legitimate Interest (GDPR Art. 6(1)(f))", L3403=""), "Gap - Missing LIA", IF(AND(G3403="Yes", H3403=""), "Gap - Missing Art. 9 Basis", IF(OR(I3403="Invalid - Not Freely Given", I3403="Invalid - Not Specific", I3403="Invalid - Not Informed", I3403="Invalid - Ambiguous"), "Gap - Invalid Consent", "Compliant")))))</f>
        <v/>
      </c>
      <c r="O3403" s="7" t="n"/>
    </row>
    <row r="3404">
      <c r="A3404" s="7" t="n"/>
      <c r="B3404" s="7" t="n"/>
      <c r="C3404" s="7" t="n"/>
      <c r="D3404" s="7" t="n"/>
      <c r="E3404" s="7" t="n"/>
      <c r="F3404" s="7" t="n"/>
      <c r="G3404" s="7" t="n"/>
      <c r="H3404" s="7" t="n"/>
      <c r="I3404" s="7" t="n"/>
      <c r="J3404" s="7" t="n"/>
      <c r="K3404">
        <f>IF(D3404="Legitimate Interest (GDPR Art. 6(1)(f))", "Yes / Required (Sheet 3)", "")</f>
        <v/>
      </c>
      <c r="L3404" s="7" t="n"/>
      <c r="M3404" s="7" t="n"/>
      <c r="N3404">
        <f>IF(D3404="", "Gap - No Legal Basis", IF(AND(D3404="Consent (GDPR Art. 6(1)(a))", I3404="Not Captured"), "Gap - Invalid Consent", IF(AND(D3404="Legitimate Interest (GDPR Art. 6(1)(f))", L3404=""), "Gap - Missing LIA", IF(AND(G3404="Yes", H3404=""), "Gap - Missing Art. 9 Basis", IF(OR(I3404="Invalid - Not Freely Given", I3404="Invalid - Not Specific", I3404="Invalid - Not Informed", I3404="Invalid - Ambiguous"), "Gap - Invalid Consent", "Compliant")))))</f>
        <v/>
      </c>
      <c r="O3404" s="7" t="n"/>
    </row>
    <row r="3405">
      <c r="A3405" s="7" t="n"/>
      <c r="B3405" s="7" t="n"/>
      <c r="C3405" s="7" t="n"/>
      <c r="D3405" s="7" t="n"/>
      <c r="E3405" s="7" t="n"/>
      <c r="F3405" s="7" t="n"/>
      <c r="G3405" s="7" t="n"/>
      <c r="H3405" s="7" t="n"/>
      <c r="I3405" s="7" t="n"/>
      <c r="J3405" s="7" t="n"/>
      <c r="K3405">
        <f>IF(D3405="Legitimate Interest (GDPR Art. 6(1)(f))", "Yes / Required (Sheet 3)", "")</f>
        <v/>
      </c>
      <c r="L3405" s="7" t="n"/>
      <c r="M3405" s="7" t="n"/>
      <c r="N3405">
        <f>IF(D3405="", "Gap - No Legal Basis", IF(AND(D3405="Consent (GDPR Art. 6(1)(a))", I3405="Not Captured"), "Gap - Invalid Consent", IF(AND(D3405="Legitimate Interest (GDPR Art. 6(1)(f))", L3405=""), "Gap - Missing LIA", IF(AND(G3405="Yes", H3405=""), "Gap - Missing Art. 9 Basis", IF(OR(I3405="Invalid - Not Freely Given", I3405="Invalid - Not Specific", I3405="Invalid - Not Informed", I3405="Invalid - Ambiguous"), "Gap - Invalid Consent", "Compliant")))))</f>
        <v/>
      </c>
      <c r="O3405" s="7" t="n"/>
    </row>
    <row r="3406">
      <c r="A3406" s="7" t="n"/>
      <c r="B3406" s="7" t="n"/>
      <c r="C3406" s="7" t="n"/>
      <c r="D3406" s="7" t="n"/>
      <c r="E3406" s="7" t="n"/>
      <c r="F3406" s="7" t="n"/>
      <c r="G3406" s="7" t="n"/>
      <c r="H3406" s="7" t="n"/>
      <c r="I3406" s="7" t="n"/>
      <c r="J3406" s="7" t="n"/>
      <c r="K3406">
        <f>IF(D3406="Legitimate Interest (GDPR Art. 6(1)(f))", "Yes / Required (Sheet 3)", "")</f>
        <v/>
      </c>
      <c r="L3406" s="7" t="n"/>
      <c r="M3406" s="7" t="n"/>
      <c r="N3406">
        <f>IF(D3406="", "Gap - No Legal Basis", IF(AND(D3406="Consent (GDPR Art. 6(1)(a))", I3406="Not Captured"), "Gap - Invalid Consent", IF(AND(D3406="Legitimate Interest (GDPR Art. 6(1)(f))", L3406=""), "Gap - Missing LIA", IF(AND(G3406="Yes", H3406=""), "Gap - Missing Art. 9 Basis", IF(OR(I3406="Invalid - Not Freely Given", I3406="Invalid - Not Specific", I3406="Invalid - Not Informed", I3406="Invalid - Ambiguous"), "Gap - Invalid Consent", "Compliant")))))</f>
        <v/>
      </c>
      <c r="O3406" s="7" t="n"/>
    </row>
    <row r="3407">
      <c r="A3407" s="7" t="n"/>
      <c r="B3407" s="7" t="n"/>
      <c r="C3407" s="7" t="n"/>
      <c r="D3407" s="7" t="n"/>
      <c r="E3407" s="7" t="n"/>
      <c r="F3407" s="7" t="n"/>
      <c r="G3407" s="7" t="n"/>
      <c r="H3407" s="7" t="n"/>
      <c r="I3407" s="7" t="n"/>
      <c r="J3407" s="7" t="n"/>
      <c r="K3407">
        <f>IF(D3407="Legitimate Interest (GDPR Art. 6(1)(f))", "Yes / Required (Sheet 3)", "")</f>
        <v/>
      </c>
      <c r="L3407" s="7" t="n"/>
      <c r="M3407" s="7" t="n"/>
      <c r="N3407">
        <f>IF(D3407="", "Gap - No Legal Basis", IF(AND(D3407="Consent (GDPR Art. 6(1)(a))", I3407="Not Captured"), "Gap - Invalid Consent", IF(AND(D3407="Legitimate Interest (GDPR Art. 6(1)(f))", L3407=""), "Gap - Missing LIA", IF(AND(G3407="Yes", H3407=""), "Gap - Missing Art. 9 Basis", IF(OR(I3407="Invalid - Not Freely Given", I3407="Invalid - Not Specific", I3407="Invalid - Not Informed", I3407="Invalid - Ambiguous"), "Gap - Invalid Consent", "Compliant")))))</f>
        <v/>
      </c>
      <c r="O3407" s="7" t="n"/>
    </row>
    <row r="3408">
      <c r="A3408" s="7" t="n"/>
      <c r="B3408" s="7" t="n"/>
      <c r="C3408" s="7" t="n"/>
      <c r="D3408" s="7" t="n"/>
      <c r="E3408" s="7" t="n"/>
      <c r="F3408" s="7" t="n"/>
      <c r="G3408" s="7" t="n"/>
      <c r="H3408" s="7" t="n"/>
      <c r="I3408" s="7" t="n"/>
      <c r="J3408" s="7" t="n"/>
      <c r="K3408">
        <f>IF(D3408="Legitimate Interest (GDPR Art. 6(1)(f))", "Yes / Required (Sheet 3)", "")</f>
        <v/>
      </c>
      <c r="L3408" s="7" t="n"/>
      <c r="M3408" s="7" t="n"/>
      <c r="N3408">
        <f>IF(D3408="", "Gap - No Legal Basis", IF(AND(D3408="Consent (GDPR Art. 6(1)(a))", I3408="Not Captured"), "Gap - Invalid Consent", IF(AND(D3408="Legitimate Interest (GDPR Art. 6(1)(f))", L3408=""), "Gap - Missing LIA", IF(AND(G3408="Yes", H3408=""), "Gap - Missing Art. 9 Basis", IF(OR(I3408="Invalid - Not Freely Given", I3408="Invalid - Not Specific", I3408="Invalid - Not Informed", I3408="Invalid - Ambiguous"), "Gap - Invalid Consent", "Compliant")))))</f>
        <v/>
      </c>
      <c r="O3408" s="7" t="n"/>
    </row>
    <row r="3409">
      <c r="A3409" s="7" t="n"/>
      <c r="B3409" s="7" t="n"/>
      <c r="C3409" s="7" t="n"/>
      <c r="D3409" s="7" t="n"/>
      <c r="E3409" s="7" t="n"/>
      <c r="F3409" s="7" t="n"/>
      <c r="G3409" s="7" t="n"/>
      <c r="H3409" s="7" t="n"/>
      <c r="I3409" s="7" t="n"/>
      <c r="J3409" s="7" t="n"/>
      <c r="K3409">
        <f>IF(D3409="Legitimate Interest (GDPR Art. 6(1)(f))", "Yes / Required (Sheet 3)", "")</f>
        <v/>
      </c>
      <c r="L3409" s="7" t="n"/>
      <c r="M3409" s="7" t="n"/>
      <c r="N3409">
        <f>IF(D3409="", "Gap - No Legal Basis", IF(AND(D3409="Consent (GDPR Art. 6(1)(a))", I3409="Not Captured"), "Gap - Invalid Consent", IF(AND(D3409="Legitimate Interest (GDPR Art. 6(1)(f))", L3409=""), "Gap - Missing LIA", IF(AND(G3409="Yes", H3409=""), "Gap - Missing Art. 9 Basis", IF(OR(I3409="Invalid - Not Freely Given", I3409="Invalid - Not Specific", I3409="Invalid - Not Informed", I3409="Invalid - Ambiguous"), "Gap - Invalid Consent", "Compliant")))))</f>
        <v/>
      </c>
      <c r="O3409" s="7" t="n"/>
    </row>
    <row r="3410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7" t="n"/>
      <c r="J3410" s="7" t="n"/>
      <c r="K3410">
        <f>IF(D3410="Legitimate Interest (GDPR Art. 6(1)(f))", "Yes / Required (Sheet 3)", "")</f>
        <v/>
      </c>
      <c r="L3410" s="7" t="n"/>
      <c r="M3410" s="7" t="n"/>
      <c r="N3410">
        <f>IF(D3410="", "Gap - No Legal Basis", IF(AND(D3410="Consent (GDPR Art. 6(1)(a))", I3410="Not Captured"), "Gap - Invalid Consent", IF(AND(D3410="Legitimate Interest (GDPR Art. 6(1)(f))", L3410=""), "Gap - Missing LIA", IF(AND(G3410="Yes", H3410=""), "Gap - Missing Art. 9 Basis", IF(OR(I3410="Invalid - Not Freely Given", I3410="Invalid - Not Specific", I3410="Invalid - Not Informed", I3410="Invalid - Ambiguous"), "Gap - Invalid Consent", "Compliant")))))</f>
        <v/>
      </c>
      <c r="O3410" s="7" t="n"/>
    </row>
    <row r="3411">
      <c r="A3411" s="7" t="n"/>
      <c r="B3411" s="7" t="n"/>
      <c r="C3411" s="7" t="n"/>
      <c r="D3411" s="7" t="n"/>
      <c r="E3411" s="7" t="n"/>
      <c r="F3411" s="7" t="n"/>
      <c r="G3411" s="7" t="n"/>
      <c r="H3411" s="7" t="n"/>
      <c r="I3411" s="7" t="n"/>
      <c r="J3411" s="7" t="n"/>
      <c r="K3411">
        <f>IF(D3411="Legitimate Interest (GDPR Art. 6(1)(f))", "Yes / Required (Sheet 3)", "")</f>
        <v/>
      </c>
      <c r="L3411" s="7" t="n"/>
      <c r="M3411" s="7" t="n"/>
      <c r="N3411">
        <f>IF(D3411="", "Gap - No Legal Basis", IF(AND(D3411="Consent (GDPR Art. 6(1)(a))", I3411="Not Captured"), "Gap - Invalid Consent", IF(AND(D3411="Legitimate Interest (GDPR Art. 6(1)(f))", L3411=""), "Gap - Missing LIA", IF(AND(G3411="Yes", H3411=""), "Gap - Missing Art. 9 Basis", IF(OR(I3411="Invalid - Not Freely Given", I3411="Invalid - Not Specific", I3411="Invalid - Not Informed", I3411="Invalid - Ambiguous"), "Gap - Invalid Consent", "Compliant")))))</f>
        <v/>
      </c>
      <c r="O3411" s="7" t="n"/>
    </row>
    <row r="3412">
      <c r="A3412" s="7" t="n"/>
      <c r="B3412" s="7" t="n"/>
      <c r="C3412" s="7" t="n"/>
      <c r="D3412" s="7" t="n"/>
      <c r="E3412" s="7" t="n"/>
      <c r="F3412" s="7" t="n"/>
      <c r="G3412" s="7" t="n"/>
      <c r="H3412" s="7" t="n"/>
      <c r="I3412" s="7" t="n"/>
      <c r="J3412" s="7" t="n"/>
      <c r="K3412">
        <f>IF(D3412="Legitimate Interest (GDPR Art. 6(1)(f))", "Yes / Required (Sheet 3)", "")</f>
        <v/>
      </c>
      <c r="L3412" s="7" t="n"/>
      <c r="M3412" s="7" t="n"/>
      <c r="N3412">
        <f>IF(D3412="", "Gap - No Legal Basis", IF(AND(D3412="Consent (GDPR Art. 6(1)(a))", I3412="Not Captured"), "Gap - Invalid Consent", IF(AND(D3412="Legitimate Interest (GDPR Art. 6(1)(f))", L3412=""), "Gap - Missing LIA", IF(AND(G3412="Yes", H3412=""), "Gap - Missing Art. 9 Basis", IF(OR(I3412="Invalid - Not Freely Given", I3412="Invalid - Not Specific", I3412="Invalid - Not Informed", I3412="Invalid - Ambiguous"), "Gap - Invalid Consent", "Compliant")))))</f>
        <v/>
      </c>
      <c r="O3412" s="7" t="n"/>
    </row>
    <row r="3413">
      <c r="A3413" s="7" t="n"/>
      <c r="B3413" s="7" t="n"/>
      <c r="C3413" s="7" t="n"/>
      <c r="D3413" s="7" t="n"/>
      <c r="E3413" s="7" t="n"/>
      <c r="F3413" s="7" t="n"/>
      <c r="G3413" s="7" t="n"/>
      <c r="H3413" s="7" t="n"/>
      <c r="I3413" s="7" t="n"/>
      <c r="J3413" s="7" t="n"/>
      <c r="K3413">
        <f>IF(D3413="Legitimate Interest (GDPR Art. 6(1)(f))", "Yes / Required (Sheet 3)", "")</f>
        <v/>
      </c>
      <c r="L3413" s="7" t="n"/>
      <c r="M3413" s="7" t="n"/>
      <c r="N3413">
        <f>IF(D3413="", "Gap - No Legal Basis", IF(AND(D3413="Consent (GDPR Art. 6(1)(a))", I3413="Not Captured"), "Gap - Invalid Consent", IF(AND(D3413="Legitimate Interest (GDPR Art. 6(1)(f))", L3413=""), "Gap - Missing LIA", IF(AND(G3413="Yes", H3413=""), "Gap - Missing Art. 9 Basis", IF(OR(I3413="Invalid - Not Freely Given", I3413="Invalid - Not Specific", I3413="Invalid - Not Informed", I3413="Invalid - Ambiguous"), "Gap - Invalid Consent", "Compliant")))))</f>
        <v/>
      </c>
      <c r="O3413" s="7" t="n"/>
    </row>
    <row r="3414">
      <c r="A3414" s="7" t="n"/>
      <c r="B3414" s="7" t="n"/>
      <c r="C3414" s="7" t="n"/>
      <c r="D3414" s="7" t="n"/>
      <c r="E3414" s="7" t="n"/>
      <c r="F3414" s="7" t="n"/>
      <c r="G3414" s="7" t="n"/>
      <c r="H3414" s="7" t="n"/>
      <c r="I3414" s="7" t="n"/>
      <c r="J3414" s="7" t="n"/>
      <c r="K3414">
        <f>IF(D3414="Legitimate Interest (GDPR Art. 6(1)(f))", "Yes / Required (Sheet 3)", "")</f>
        <v/>
      </c>
      <c r="L3414" s="7" t="n"/>
      <c r="M3414" s="7" t="n"/>
      <c r="N3414">
        <f>IF(D3414="", "Gap - No Legal Basis", IF(AND(D3414="Consent (GDPR Art. 6(1)(a))", I3414="Not Captured"), "Gap - Invalid Consent", IF(AND(D3414="Legitimate Interest (GDPR Art. 6(1)(f))", L3414=""), "Gap - Missing LIA", IF(AND(G3414="Yes", H3414=""), "Gap - Missing Art. 9 Basis", IF(OR(I3414="Invalid - Not Freely Given", I3414="Invalid - Not Specific", I3414="Invalid - Not Informed", I3414="Invalid - Ambiguous"), "Gap - Invalid Consent", "Compliant")))))</f>
        <v/>
      </c>
      <c r="O3414" s="7" t="n"/>
    </row>
    <row r="3415">
      <c r="A3415" s="7" t="n"/>
      <c r="B3415" s="7" t="n"/>
      <c r="C3415" s="7" t="n"/>
      <c r="D3415" s="7" t="n"/>
      <c r="E3415" s="7" t="n"/>
      <c r="F3415" s="7" t="n"/>
      <c r="G3415" s="7" t="n"/>
      <c r="H3415" s="7" t="n"/>
      <c r="I3415" s="7" t="n"/>
      <c r="J3415" s="7" t="n"/>
      <c r="K3415">
        <f>IF(D3415="Legitimate Interest (GDPR Art. 6(1)(f))", "Yes / Required (Sheet 3)", "")</f>
        <v/>
      </c>
      <c r="L3415" s="7" t="n"/>
      <c r="M3415" s="7" t="n"/>
      <c r="N3415">
        <f>IF(D3415="", "Gap - No Legal Basis", IF(AND(D3415="Consent (GDPR Art. 6(1)(a))", I3415="Not Captured"), "Gap - Invalid Consent", IF(AND(D3415="Legitimate Interest (GDPR Art. 6(1)(f))", L3415=""), "Gap - Missing LIA", IF(AND(G3415="Yes", H3415=""), "Gap - Missing Art. 9 Basis", IF(OR(I3415="Invalid - Not Freely Given", I3415="Invalid - Not Specific", I3415="Invalid - Not Informed", I3415="Invalid - Ambiguous"), "Gap - Invalid Consent", "Compliant")))))</f>
        <v/>
      </c>
      <c r="O3415" s="7" t="n"/>
    </row>
    <row r="3416">
      <c r="A3416" s="7" t="n"/>
      <c r="B3416" s="7" t="n"/>
      <c r="C3416" s="7" t="n"/>
      <c r="D3416" s="7" t="n"/>
      <c r="E3416" s="7" t="n"/>
      <c r="F3416" s="7" t="n"/>
      <c r="G3416" s="7" t="n"/>
      <c r="H3416" s="7" t="n"/>
      <c r="I3416" s="7" t="n"/>
      <c r="J3416" s="7" t="n"/>
      <c r="K3416">
        <f>IF(D3416="Legitimate Interest (GDPR Art. 6(1)(f))", "Yes / Required (Sheet 3)", "")</f>
        <v/>
      </c>
      <c r="L3416" s="7" t="n"/>
      <c r="M3416" s="7" t="n"/>
      <c r="N3416">
        <f>IF(D3416="", "Gap - No Legal Basis", IF(AND(D3416="Consent (GDPR Art. 6(1)(a))", I3416="Not Captured"), "Gap - Invalid Consent", IF(AND(D3416="Legitimate Interest (GDPR Art. 6(1)(f))", L3416=""), "Gap - Missing LIA", IF(AND(G3416="Yes", H3416=""), "Gap - Missing Art. 9 Basis", IF(OR(I3416="Invalid - Not Freely Given", I3416="Invalid - Not Specific", I3416="Invalid - Not Informed", I3416="Invalid - Ambiguous"), "Gap - Invalid Consent", "Compliant")))))</f>
        <v/>
      </c>
      <c r="O3416" s="7" t="n"/>
    </row>
    <row r="3417">
      <c r="A3417" s="7" t="n"/>
      <c r="B3417" s="7" t="n"/>
      <c r="C3417" s="7" t="n"/>
      <c r="D3417" s="7" t="n"/>
      <c r="E3417" s="7" t="n"/>
      <c r="F3417" s="7" t="n"/>
      <c r="G3417" s="7" t="n"/>
      <c r="H3417" s="7" t="n"/>
      <c r="I3417" s="7" t="n"/>
      <c r="J3417" s="7" t="n"/>
      <c r="K3417">
        <f>IF(D3417="Legitimate Interest (GDPR Art. 6(1)(f))", "Yes / Required (Sheet 3)", "")</f>
        <v/>
      </c>
      <c r="L3417" s="7" t="n"/>
      <c r="M3417" s="7" t="n"/>
      <c r="N3417">
        <f>IF(D3417="", "Gap - No Legal Basis", IF(AND(D3417="Consent (GDPR Art. 6(1)(a))", I3417="Not Captured"), "Gap - Invalid Consent", IF(AND(D3417="Legitimate Interest (GDPR Art. 6(1)(f))", L3417=""), "Gap - Missing LIA", IF(AND(G3417="Yes", H3417=""), "Gap - Missing Art. 9 Basis", IF(OR(I3417="Invalid - Not Freely Given", I3417="Invalid - Not Specific", I3417="Invalid - Not Informed", I3417="Invalid - Ambiguous"), "Gap - Invalid Consent", "Compliant")))))</f>
        <v/>
      </c>
      <c r="O3417" s="7" t="n"/>
    </row>
    <row r="3418">
      <c r="A3418" s="7" t="n"/>
      <c r="B3418" s="7" t="n"/>
      <c r="C3418" s="7" t="n"/>
      <c r="D3418" s="7" t="n"/>
      <c r="E3418" s="7" t="n"/>
      <c r="F3418" s="7" t="n"/>
      <c r="G3418" s="7" t="n"/>
      <c r="H3418" s="7" t="n"/>
      <c r="I3418" s="7" t="n"/>
      <c r="J3418" s="7" t="n"/>
      <c r="K3418">
        <f>IF(D3418="Legitimate Interest (GDPR Art. 6(1)(f))", "Yes / Required (Sheet 3)", "")</f>
        <v/>
      </c>
      <c r="L3418" s="7" t="n"/>
      <c r="M3418" s="7" t="n"/>
      <c r="N3418">
        <f>IF(D3418="", "Gap - No Legal Basis", IF(AND(D3418="Consent (GDPR Art. 6(1)(a))", I3418="Not Captured"), "Gap - Invalid Consent", IF(AND(D3418="Legitimate Interest (GDPR Art. 6(1)(f))", L3418=""), "Gap - Missing LIA", IF(AND(G3418="Yes", H3418=""), "Gap - Missing Art. 9 Basis", IF(OR(I3418="Invalid - Not Freely Given", I3418="Invalid - Not Specific", I3418="Invalid - Not Informed", I3418="Invalid - Ambiguous"), "Gap - Invalid Consent", "Compliant")))))</f>
        <v/>
      </c>
      <c r="O3418" s="7" t="n"/>
    </row>
    <row r="3419">
      <c r="A3419" s="7" t="n"/>
      <c r="B3419" s="7" t="n"/>
      <c r="C3419" s="7" t="n"/>
      <c r="D3419" s="7" t="n"/>
      <c r="E3419" s="7" t="n"/>
      <c r="F3419" s="7" t="n"/>
      <c r="G3419" s="7" t="n"/>
      <c r="H3419" s="7" t="n"/>
      <c r="I3419" s="7" t="n"/>
      <c r="J3419" s="7" t="n"/>
      <c r="K3419">
        <f>IF(D3419="Legitimate Interest (GDPR Art. 6(1)(f))", "Yes / Required (Sheet 3)", "")</f>
        <v/>
      </c>
      <c r="L3419" s="7" t="n"/>
      <c r="M3419" s="7" t="n"/>
      <c r="N3419">
        <f>IF(D3419="", "Gap - No Legal Basis", IF(AND(D3419="Consent (GDPR Art. 6(1)(a))", I3419="Not Captured"), "Gap - Invalid Consent", IF(AND(D3419="Legitimate Interest (GDPR Art. 6(1)(f))", L3419=""), "Gap - Missing LIA", IF(AND(G3419="Yes", H3419=""), "Gap - Missing Art. 9 Basis", IF(OR(I3419="Invalid - Not Freely Given", I3419="Invalid - Not Specific", I3419="Invalid - Not Informed", I3419="Invalid - Ambiguous"), "Gap - Invalid Consent", "Compliant")))))</f>
        <v/>
      </c>
      <c r="O3419" s="7" t="n"/>
    </row>
    <row r="3420">
      <c r="A3420" s="7" t="n"/>
      <c r="B3420" s="7" t="n"/>
      <c r="C3420" s="7" t="n"/>
      <c r="D3420" s="7" t="n"/>
      <c r="E3420" s="7" t="n"/>
      <c r="F3420" s="7" t="n"/>
      <c r="G3420" s="7" t="n"/>
      <c r="H3420" s="7" t="n"/>
      <c r="I3420" s="7" t="n"/>
      <c r="J3420" s="7" t="n"/>
      <c r="K3420">
        <f>IF(D3420="Legitimate Interest (GDPR Art. 6(1)(f))", "Yes / Required (Sheet 3)", "")</f>
        <v/>
      </c>
      <c r="L3420" s="7" t="n"/>
      <c r="M3420" s="7" t="n"/>
      <c r="N3420">
        <f>IF(D3420="", "Gap - No Legal Basis", IF(AND(D3420="Consent (GDPR Art. 6(1)(a))", I3420="Not Captured"), "Gap - Invalid Consent", IF(AND(D3420="Legitimate Interest (GDPR Art. 6(1)(f))", L3420=""), "Gap - Missing LIA", IF(AND(G3420="Yes", H3420=""), "Gap - Missing Art. 9 Basis", IF(OR(I3420="Invalid - Not Freely Given", I3420="Invalid - Not Specific", I3420="Invalid - Not Informed", I3420="Invalid - Ambiguous"), "Gap - Invalid Consent", "Compliant")))))</f>
        <v/>
      </c>
      <c r="O3420" s="7" t="n"/>
    </row>
    <row r="3421">
      <c r="A3421" s="7" t="n"/>
      <c r="B3421" s="7" t="n"/>
      <c r="C3421" s="7" t="n"/>
      <c r="D3421" s="7" t="n"/>
      <c r="E3421" s="7" t="n"/>
      <c r="F3421" s="7" t="n"/>
      <c r="G3421" s="7" t="n"/>
      <c r="H3421" s="7" t="n"/>
      <c r="I3421" s="7" t="n"/>
      <c r="J3421" s="7" t="n"/>
      <c r="K3421">
        <f>IF(D3421="Legitimate Interest (GDPR Art. 6(1)(f))", "Yes / Required (Sheet 3)", "")</f>
        <v/>
      </c>
      <c r="L3421" s="7" t="n"/>
      <c r="M3421" s="7" t="n"/>
      <c r="N3421">
        <f>IF(D3421="", "Gap - No Legal Basis", IF(AND(D3421="Consent (GDPR Art. 6(1)(a))", I3421="Not Captured"), "Gap - Invalid Consent", IF(AND(D3421="Legitimate Interest (GDPR Art. 6(1)(f))", L3421=""), "Gap - Missing LIA", IF(AND(G3421="Yes", H3421=""), "Gap - Missing Art. 9 Basis", IF(OR(I3421="Invalid - Not Freely Given", I3421="Invalid - Not Specific", I3421="Invalid - Not Informed", I3421="Invalid - Ambiguous"), "Gap - Invalid Consent", "Compliant")))))</f>
        <v/>
      </c>
      <c r="O3421" s="7" t="n"/>
    </row>
    <row r="3422">
      <c r="A3422" s="7" t="n"/>
      <c r="B3422" s="7" t="n"/>
      <c r="C3422" s="7" t="n"/>
      <c r="D3422" s="7" t="n"/>
      <c r="E3422" s="7" t="n"/>
      <c r="F3422" s="7" t="n"/>
      <c r="G3422" s="7" t="n"/>
      <c r="H3422" s="7" t="n"/>
      <c r="I3422" s="7" t="n"/>
      <c r="J3422" s="7" t="n"/>
      <c r="K3422">
        <f>IF(D3422="Legitimate Interest (GDPR Art. 6(1)(f))", "Yes / Required (Sheet 3)", "")</f>
        <v/>
      </c>
      <c r="L3422" s="7" t="n"/>
      <c r="M3422" s="7" t="n"/>
      <c r="N3422">
        <f>IF(D3422="", "Gap - No Legal Basis", IF(AND(D3422="Consent (GDPR Art. 6(1)(a))", I3422="Not Captured"), "Gap - Invalid Consent", IF(AND(D3422="Legitimate Interest (GDPR Art. 6(1)(f))", L3422=""), "Gap - Missing LIA", IF(AND(G3422="Yes", H3422=""), "Gap - Missing Art. 9 Basis", IF(OR(I3422="Invalid - Not Freely Given", I3422="Invalid - Not Specific", I3422="Invalid - Not Informed", I3422="Invalid - Ambiguous"), "Gap - Invalid Consent", "Compliant")))))</f>
        <v/>
      </c>
      <c r="O3422" s="7" t="n"/>
    </row>
    <row r="3423">
      <c r="A3423" s="7" t="n"/>
      <c r="B3423" s="7" t="n"/>
      <c r="C3423" s="7" t="n"/>
      <c r="D3423" s="7" t="n"/>
      <c r="E3423" s="7" t="n"/>
      <c r="F3423" s="7" t="n"/>
      <c r="G3423" s="7" t="n"/>
      <c r="H3423" s="7" t="n"/>
      <c r="I3423" s="7" t="n"/>
      <c r="J3423" s="7" t="n"/>
      <c r="K3423">
        <f>IF(D3423="Legitimate Interest (GDPR Art. 6(1)(f))", "Yes / Required (Sheet 3)", "")</f>
        <v/>
      </c>
      <c r="L3423" s="7" t="n"/>
      <c r="M3423" s="7" t="n"/>
      <c r="N3423">
        <f>IF(D3423="", "Gap - No Legal Basis", IF(AND(D3423="Consent (GDPR Art. 6(1)(a))", I3423="Not Captured"), "Gap - Invalid Consent", IF(AND(D3423="Legitimate Interest (GDPR Art. 6(1)(f))", L3423=""), "Gap - Missing LIA", IF(AND(G3423="Yes", H3423=""), "Gap - Missing Art. 9 Basis", IF(OR(I3423="Invalid - Not Freely Given", I3423="Invalid - Not Specific", I3423="Invalid - Not Informed", I3423="Invalid - Ambiguous"), "Gap - Invalid Consent", "Compliant")))))</f>
        <v/>
      </c>
      <c r="O3423" s="7" t="n"/>
    </row>
    <row r="3424">
      <c r="A3424" s="7" t="n"/>
      <c r="B3424" s="7" t="n"/>
      <c r="C3424" s="7" t="n"/>
      <c r="D3424" s="7" t="n"/>
      <c r="E3424" s="7" t="n"/>
      <c r="F3424" s="7" t="n"/>
      <c r="G3424" s="7" t="n"/>
      <c r="H3424" s="7" t="n"/>
      <c r="I3424" s="7" t="n"/>
      <c r="J3424" s="7" t="n"/>
      <c r="K3424">
        <f>IF(D3424="Legitimate Interest (GDPR Art. 6(1)(f))", "Yes / Required (Sheet 3)", "")</f>
        <v/>
      </c>
      <c r="L3424" s="7" t="n"/>
      <c r="M3424" s="7" t="n"/>
      <c r="N3424">
        <f>IF(D3424="", "Gap - No Legal Basis", IF(AND(D3424="Consent (GDPR Art. 6(1)(a))", I3424="Not Captured"), "Gap - Invalid Consent", IF(AND(D3424="Legitimate Interest (GDPR Art. 6(1)(f))", L3424=""), "Gap - Missing LIA", IF(AND(G3424="Yes", H3424=""), "Gap - Missing Art. 9 Basis", IF(OR(I3424="Invalid - Not Freely Given", I3424="Invalid - Not Specific", I3424="Invalid - Not Informed", I3424="Invalid - Ambiguous"), "Gap - Invalid Consent", "Compliant")))))</f>
        <v/>
      </c>
      <c r="O3424" s="7" t="n"/>
    </row>
    <row r="3425">
      <c r="A3425" s="7" t="n"/>
      <c r="B3425" s="7" t="n"/>
      <c r="C3425" s="7" t="n"/>
      <c r="D3425" s="7" t="n"/>
      <c r="E3425" s="7" t="n"/>
      <c r="F3425" s="7" t="n"/>
      <c r="G3425" s="7" t="n"/>
      <c r="H3425" s="7" t="n"/>
      <c r="I3425" s="7" t="n"/>
      <c r="J3425" s="7" t="n"/>
      <c r="K3425">
        <f>IF(D3425="Legitimate Interest (GDPR Art. 6(1)(f))", "Yes / Required (Sheet 3)", "")</f>
        <v/>
      </c>
      <c r="L3425" s="7" t="n"/>
      <c r="M3425" s="7" t="n"/>
      <c r="N3425">
        <f>IF(D3425="", "Gap - No Legal Basis", IF(AND(D3425="Consent (GDPR Art. 6(1)(a))", I3425="Not Captured"), "Gap - Invalid Consent", IF(AND(D3425="Legitimate Interest (GDPR Art. 6(1)(f))", L3425=""), "Gap - Missing LIA", IF(AND(G3425="Yes", H3425=""), "Gap - Missing Art. 9 Basis", IF(OR(I3425="Invalid - Not Freely Given", I3425="Invalid - Not Specific", I3425="Invalid - Not Informed", I3425="Invalid - Ambiguous"), "Gap - Invalid Consent", "Compliant")))))</f>
        <v/>
      </c>
      <c r="O3425" s="7" t="n"/>
    </row>
    <row r="3426">
      <c r="A3426" s="7" t="n"/>
      <c r="B3426" s="7" t="n"/>
      <c r="C3426" s="7" t="n"/>
      <c r="D3426" s="7" t="n"/>
      <c r="E3426" s="7" t="n"/>
      <c r="F3426" s="7" t="n"/>
      <c r="G3426" s="7" t="n"/>
      <c r="H3426" s="7" t="n"/>
      <c r="I3426" s="7" t="n"/>
      <c r="J3426" s="7" t="n"/>
      <c r="K3426">
        <f>IF(D3426="Legitimate Interest (GDPR Art. 6(1)(f))", "Yes / Required (Sheet 3)", "")</f>
        <v/>
      </c>
      <c r="L3426" s="7" t="n"/>
      <c r="M3426" s="7" t="n"/>
      <c r="N3426">
        <f>IF(D3426="", "Gap - No Legal Basis", IF(AND(D3426="Consent (GDPR Art. 6(1)(a))", I3426="Not Captured"), "Gap - Invalid Consent", IF(AND(D3426="Legitimate Interest (GDPR Art. 6(1)(f))", L3426=""), "Gap - Missing LIA", IF(AND(G3426="Yes", H3426=""), "Gap - Missing Art. 9 Basis", IF(OR(I3426="Invalid - Not Freely Given", I3426="Invalid - Not Specific", I3426="Invalid - Not Informed", I3426="Invalid - Ambiguous"), "Gap - Invalid Consent", "Compliant")))))</f>
        <v/>
      </c>
      <c r="O3426" s="7" t="n"/>
    </row>
    <row r="3427">
      <c r="A3427" s="7" t="n"/>
      <c r="B3427" s="7" t="n"/>
      <c r="C3427" s="7" t="n"/>
      <c r="D3427" s="7" t="n"/>
      <c r="E3427" s="7" t="n"/>
      <c r="F3427" s="7" t="n"/>
      <c r="G3427" s="7" t="n"/>
      <c r="H3427" s="7" t="n"/>
      <c r="I3427" s="7" t="n"/>
      <c r="J3427" s="7" t="n"/>
      <c r="K3427">
        <f>IF(D3427="Legitimate Interest (GDPR Art. 6(1)(f))", "Yes / Required (Sheet 3)", "")</f>
        <v/>
      </c>
      <c r="L3427" s="7" t="n"/>
      <c r="M3427" s="7" t="n"/>
      <c r="N3427">
        <f>IF(D3427="", "Gap - No Legal Basis", IF(AND(D3427="Consent (GDPR Art. 6(1)(a))", I3427="Not Captured"), "Gap - Invalid Consent", IF(AND(D3427="Legitimate Interest (GDPR Art. 6(1)(f))", L3427=""), "Gap - Missing LIA", IF(AND(G3427="Yes", H3427=""), "Gap - Missing Art. 9 Basis", IF(OR(I3427="Invalid - Not Freely Given", I3427="Invalid - Not Specific", I3427="Invalid - Not Informed", I3427="Invalid - Ambiguous"), "Gap - Invalid Consent", "Compliant")))))</f>
        <v/>
      </c>
      <c r="O3427" s="7" t="n"/>
    </row>
    <row r="3428">
      <c r="A3428" s="7" t="n"/>
      <c r="B3428" s="7" t="n"/>
      <c r="C3428" s="7" t="n"/>
      <c r="D3428" s="7" t="n"/>
      <c r="E3428" s="7" t="n"/>
      <c r="F3428" s="7" t="n"/>
      <c r="G3428" s="7" t="n"/>
      <c r="H3428" s="7" t="n"/>
      <c r="I3428" s="7" t="n"/>
      <c r="J3428" s="7" t="n"/>
      <c r="K3428">
        <f>IF(D3428="Legitimate Interest (GDPR Art. 6(1)(f))", "Yes / Required (Sheet 3)", "")</f>
        <v/>
      </c>
      <c r="L3428" s="7" t="n"/>
      <c r="M3428" s="7" t="n"/>
      <c r="N3428">
        <f>IF(D3428="", "Gap - No Legal Basis", IF(AND(D3428="Consent (GDPR Art. 6(1)(a))", I3428="Not Captured"), "Gap - Invalid Consent", IF(AND(D3428="Legitimate Interest (GDPR Art. 6(1)(f))", L3428=""), "Gap - Missing LIA", IF(AND(G3428="Yes", H3428=""), "Gap - Missing Art. 9 Basis", IF(OR(I3428="Invalid - Not Freely Given", I3428="Invalid - Not Specific", I3428="Invalid - Not Informed", I3428="Invalid - Ambiguous"), "Gap - Invalid Consent", "Compliant")))))</f>
        <v/>
      </c>
      <c r="O3428" s="7" t="n"/>
    </row>
    <row r="3429">
      <c r="A3429" s="7" t="n"/>
      <c r="B3429" s="7" t="n"/>
      <c r="C3429" s="7" t="n"/>
      <c r="D3429" s="7" t="n"/>
      <c r="E3429" s="7" t="n"/>
      <c r="F3429" s="7" t="n"/>
      <c r="G3429" s="7" t="n"/>
      <c r="H3429" s="7" t="n"/>
      <c r="I3429" s="7" t="n"/>
      <c r="J3429" s="7" t="n"/>
      <c r="K3429">
        <f>IF(D3429="Legitimate Interest (GDPR Art. 6(1)(f))", "Yes / Required (Sheet 3)", "")</f>
        <v/>
      </c>
      <c r="L3429" s="7" t="n"/>
      <c r="M3429" s="7" t="n"/>
      <c r="N3429">
        <f>IF(D3429="", "Gap - No Legal Basis", IF(AND(D3429="Consent (GDPR Art. 6(1)(a))", I3429="Not Captured"), "Gap - Invalid Consent", IF(AND(D3429="Legitimate Interest (GDPR Art. 6(1)(f))", L3429=""), "Gap - Missing LIA", IF(AND(G3429="Yes", H3429=""), "Gap - Missing Art. 9 Basis", IF(OR(I3429="Invalid - Not Freely Given", I3429="Invalid - Not Specific", I3429="Invalid - Not Informed", I3429="Invalid - Ambiguous"), "Gap - Invalid Consent", "Compliant")))))</f>
        <v/>
      </c>
      <c r="O3429" s="7" t="n"/>
    </row>
    <row r="3430">
      <c r="A3430" s="7" t="n"/>
      <c r="B3430" s="7" t="n"/>
      <c r="C3430" s="7" t="n"/>
      <c r="D3430" s="7" t="n"/>
      <c r="E3430" s="7" t="n"/>
      <c r="F3430" s="7" t="n"/>
      <c r="G3430" s="7" t="n"/>
      <c r="H3430" s="7" t="n"/>
      <c r="I3430" s="7" t="n"/>
      <c r="J3430" s="7" t="n"/>
      <c r="K3430">
        <f>IF(D3430="Legitimate Interest (GDPR Art. 6(1)(f))", "Yes / Required (Sheet 3)", "")</f>
        <v/>
      </c>
      <c r="L3430" s="7" t="n"/>
      <c r="M3430" s="7" t="n"/>
      <c r="N3430">
        <f>IF(D3430="", "Gap - No Legal Basis", IF(AND(D3430="Consent (GDPR Art. 6(1)(a))", I3430="Not Captured"), "Gap - Invalid Consent", IF(AND(D3430="Legitimate Interest (GDPR Art. 6(1)(f))", L3430=""), "Gap - Missing LIA", IF(AND(G3430="Yes", H3430=""), "Gap - Missing Art. 9 Basis", IF(OR(I3430="Invalid - Not Freely Given", I3430="Invalid - Not Specific", I3430="Invalid - Not Informed", I3430="Invalid - Ambiguous"), "Gap - Invalid Consent", "Compliant")))))</f>
        <v/>
      </c>
      <c r="O3430" s="7" t="n"/>
    </row>
    <row r="3431">
      <c r="A3431" s="7" t="n"/>
      <c r="B3431" s="7" t="n"/>
      <c r="C3431" s="7" t="n"/>
      <c r="D3431" s="7" t="n"/>
      <c r="E3431" s="7" t="n"/>
      <c r="F3431" s="7" t="n"/>
      <c r="G3431" s="7" t="n"/>
      <c r="H3431" s="7" t="n"/>
      <c r="I3431" s="7" t="n"/>
      <c r="J3431" s="7" t="n"/>
      <c r="K3431">
        <f>IF(D3431="Legitimate Interest (GDPR Art. 6(1)(f))", "Yes / Required (Sheet 3)", "")</f>
        <v/>
      </c>
      <c r="L3431" s="7" t="n"/>
      <c r="M3431" s="7" t="n"/>
      <c r="N3431">
        <f>IF(D3431="", "Gap - No Legal Basis", IF(AND(D3431="Consent (GDPR Art. 6(1)(a))", I3431="Not Captured"), "Gap - Invalid Consent", IF(AND(D3431="Legitimate Interest (GDPR Art. 6(1)(f))", L3431=""), "Gap - Missing LIA", IF(AND(G3431="Yes", H3431=""), "Gap - Missing Art. 9 Basis", IF(OR(I3431="Invalid - Not Freely Given", I3431="Invalid - Not Specific", I3431="Invalid - Not Informed", I3431="Invalid - Ambiguous"), "Gap - Invalid Consent", "Compliant")))))</f>
        <v/>
      </c>
      <c r="O3431" s="7" t="n"/>
    </row>
    <row r="3432">
      <c r="A3432" s="7" t="n"/>
      <c r="B3432" s="7" t="n"/>
      <c r="C3432" s="7" t="n"/>
      <c r="D3432" s="7" t="n"/>
      <c r="E3432" s="7" t="n"/>
      <c r="F3432" s="7" t="n"/>
      <c r="G3432" s="7" t="n"/>
      <c r="H3432" s="7" t="n"/>
      <c r="I3432" s="7" t="n"/>
      <c r="J3432" s="7" t="n"/>
      <c r="K3432">
        <f>IF(D3432="Legitimate Interest (GDPR Art. 6(1)(f))", "Yes / Required (Sheet 3)", "")</f>
        <v/>
      </c>
      <c r="L3432" s="7" t="n"/>
      <c r="M3432" s="7" t="n"/>
      <c r="N3432">
        <f>IF(D3432="", "Gap - No Legal Basis", IF(AND(D3432="Consent (GDPR Art. 6(1)(a))", I3432="Not Captured"), "Gap - Invalid Consent", IF(AND(D3432="Legitimate Interest (GDPR Art. 6(1)(f))", L3432=""), "Gap - Missing LIA", IF(AND(G3432="Yes", H3432=""), "Gap - Missing Art. 9 Basis", IF(OR(I3432="Invalid - Not Freely Given", I3432="Invalid - Not Specific", I3432="Invalid - Not Informed", I3432="Invalid - Ambiguous"), "Gap - Invalid Consent", "Compliant")))))</f>
        <v/>
      </c>
      <c r="O3432" s="7" t="n"/>
    </row>
    <row r="3433">
      <c r="A3433" s="7" t="n"/>
      <c r="B3433" s="7" t="n"/>
      <c r="C3433" s="7" t="n"/>
      <c r="D3433" s="7" t="n"/>
      <c r="E3433" s="7" t="n"/>
      <c r="F3433" s="7" t="n"/>
      <c r="G3433" s="7" t="n"/>
      <c r="H3433" s="7" t="n"/>
      <c r="I3433" s="7" t="n"/>
      <c r="J3433" s="7" t="n"/>
      <c r="K3433">
        <f>IF(D3433="Legitimate Interest (GDPR Art. 6(1)(f))", "Yes / Required (Sheet 3)", "")</f>
        <v/>
      </c>
      <c r="L3433" s="7" t="n"/>
      <c r="M3433" s="7" t="n"/>
      <c r="N3433">
        <f>IF(D3433="", "Gap - No Legal Basis", IF(AND(D3433="Consent (GDPR Art. 6(1)(a))", I3433="Not Captured"), "Gap - Invalid Consent", IF(AND(D3433="Legitimate Interest (GDPR Art. 6(1)(f))", L3433=""), "Gap - Missing LIA", IF(AND(G3433="Yes", H3433=""), "Gap - Missing Art. 9 Basis", IF(OR(I3433="Invalid - Not Freely Given", I3433="Invalid - Not Specific", I3433="Invalid - Not Informed", I3433="Invalid - Ambiguous"), "Gap - Invalid Consent", "Compliant")))))</f>
        <v/>
      </c>
      <c r="O3433" s="7" t="n"/>
    </row>
    <row r="3434">
      <c r="A3434" s="7" t="n"/>
      <c r="B3434" s="7" t="n"/>
      <c r="C3434" s="7" t="n"/>
      <c r="D3434" s="7" t="n"/>
      <c r="E3434" s="7" t="n"/>
      <c r="F3434" s="7" t="n"/>
      <c r="G3434" s="7" t="n"/>
      <c r="H3434" s="7" t="n"/>
      <c r="I3434" s="7" t="n"/>
      <c r="J3434" s="7" t="n"/>
      <c r="K3434">
        <f>IF(D3434="Legitimate Interest (GDPR Art. 6(1)(f))", "Yes / Required (Sheet 3)", "")</f>
        <v/>
      </c>
      <c r="L3434" s="7" t="n"/>
      <c r="M3434" s="7" t="n"/>
      <c r="N3434">
        <f>IF(D3434="", "Gap - No Legal Basis", IF(AND(D3434="Consent (GDPR Art. 6(1)(a))", I3434="Not Captured"), "Gap - Invalid Consent", IF(AND(D3434="Legitimate Interest (GDPR Art. 6(1)(f))", L3434=""), "Gap - Missing LIA", IF(AND(G3434="Yes", H3434=""), "Gap - Missing Art. 9 Basis", IF(OR(I3434="Invalid - Not Freely Given", I3434="Invalid - Not Specific", I3434="Invalid - Not Informed", I3434="Invalid - Ambiguous"), "Gap - Invalid Consent", "Compliant")))))</f>
        <v/>
      </c>
      <c r="O3434" s="7" t="n"/>
    </row>
    <row r="3435">
      <c r="A3435" s="7" t="n"/>
      <c r="B3435" s="7" t="n"/>
      <c r="C3435" s="7" t="n"/>
      <c r="D3435" s="7" t="n"/>
      <c r="E3435" s="7" t="n"/>
      <c r="F3435" s="7" t="n"/>
      <c r="G3435" s="7" t="n"/>
      <c r="H3435" s="7" t="n"/>
      <c r="I3435" s="7" t="n"/>
      <c r="J3435" s="7" t="n"/>
      <c r="K3435">
        <f>IF(D3435="Legitimate Interest (GDPR Art. 6(1)(f))", "Yes / Required (Sheet 3)", "")</f>
        <v/>
      </c>
      <c r="L3435" s="7" t="n"/>
      <c r="M3435" s="7" t="n"/>
      <c r="N3435">
        <f>IF(D3435="", "Gap - No Legal Basis", IF(AND(D3435="Consent (GDPR Art. 6(1)(a))", I3435="Not Captured"), "Gap - Invalid Consent", IF(AND(D3435="Legitimate Interest (GDPR Art. 6(1)(f))", L3435=""), "Gap - Missing LIA", IF(AND(G3435="Yes", H3435=""), "Gap - Missing Art. 9 Basis", IF(OR(I3435="Invalid - Not Freely Given", I3435="Invalid - Not Specific", I3435="Invalid - Not Informed", I3435="Invalid - Ambiguous"), "Gap - Invalid Consent", "Compliant")))))</f>
        <v/>
      </c>
      <c r="O3435" s="7" t="n"/>
    </row>
    <row r="3436">
      <c r="A3436" s="7" t="n"/>
      <c r="B3436" s="7" t="n"/>
      <c r="C3436" s="7" t="n"/>
      <c r="D3436" s="7" t="n"/>
      <c r="E3436" s="7" t="n"/>
      <c r="F3436" s="7" t="n"/>
      <c r="G3436" s="7" t="n"/>
      <c r="H3436" s="7" t="n"/>
      <c r="I3436" s="7" t="n"/>
      <c r="J3436" s="7" t="n"/>
      <c r="K3436">
        <f>IF(D3436="Legitimate Interest (GDPR Art. 6(1)(f))", "Yes / Required (Sheet 3)", "")</f>
        <v/>
      </c>
      <c r="L3436" s="7" t="n"/>
      <c r="M3436" s="7" t="n"/>
      <c r="N3436">
        <f>IF(D3436="", "Gap - No Legal Basis", IF(AND(D3436="Consent (GDPR Art. 6(1)(a))", I3436="Not Captured"), "Gap - Invalid Consent", IF(AND(D3436="Legitimate Interest (GDPR Art. 6(1)(f))", L3436=""), "Gap - Missing LIA", IF(AND(G3436="Yes", H3436=""), "Gap - Missing Art. 9 Basis", IF(OR(I3436="Invalid - Not Freely Given", I3436="Invalid - Not Specific", I3436="Invalid - Not Informed", I3436="Invalid - Ambiguous"), "Gap - Invalid Consent", "Compliant")))))</f>
        <v/>
      </c>
      <c r="O3436" s="7" t="n"/>
    </row>
    <row r="3437">
      <c r="A3437" s="7" t="n"/>
      <c r="B3437" s="7" t="n"/>
      <c r="C3437" s="7" t="n"/>
      <c r="D3437" s="7" t="n"/>
      <c r="E3437" s="7" t="n"/>
      <c r="F3437" s="7" t="n"/>
      <c r="G3437" s="7" t="n"/>
      <c r="H3437" s="7" t="n"/>
      <c r="I3437" s="7" t="n"/>
      <c r="J3437" s="7" t="n"/>
      <c r="K3437">
        <f>IF(D3437="Legitimate Interest (GDPR Art. 6(1)(f))", "Yes / Required (Sheet 3)", "")</f>
        <v/>
      </c>
      <c r="L3437" s="7" t="n"/>
      <c r="M3437" s="7" t="n"/>
      <c r="N3437">
        <f>IF(D3437="", "Gap - No Legal Basis", IF(AND(D3437="Consent (GDPR Art. 6(1)(a))", I3437="Not Captured"), "Gap - Invalid Consent", IF(AND(D3437="Legitimate Interest (GDPR Art. 6(1)(f))", L3437=""), "Gap - Missing LIA", IF(AND(G3437="Yes", H3437=""), "Gap - Missing Art. 9 Basis", IF(OR(I3437="Invalid - Not Freely Given", I3437="Invalid - Not Specific", I3437="Invalid - Not Informed", I3437="Invalid - Ambiguous"), "Gap - Invalid Consent", "Compliant")))))</f>
        <v/>
      </c>
      <c r="O3437" s="7" t="n"/>
    </row>
    <row r="3438">
      <c r="A3438" s="7" t="n"/>
      <c r="B3438" s="7" t="n"/>
      <c r="C3438" s="7" t="n"/>
      <c r="D3438" s="7" t="n"/>
      <c r="E3438" s="7" t="n"/>
      <c r="F3438" s="7" t="n"/>
      <c r="G3438" s="7" t="n"/>
      <c r="H3438" s="7" t="n"/>
      <c r="I3438" s="7" t="n"/>
      <c r="J3438" s="7" t="n"/>
      <c r="K3438">
        <f>IF(D3438="Legitimate Interest (GDPR Art. 6(1)(f))", "Yes / Required (Sheet 3)", "")</f>
        <v/>
      </c>
      <c r="L3438" s="7" t="n"/>
      <c r="M3438" s="7" t="n"/>
      <c r="N3438">
        <f>IF(D3438="", "Gap - No Legal Basis", IF(AND(D3438="Consent (GDPR Art. 6(1)(a))", I3438="Not Captured"), "Gap - Invalid Consent", IF(AND(D3438="Legitimate Interest (GDPR Art. 6(1)(f))", L3438=""), "Gap - Missing LIA", IF(AND(G3438="Yes", H3438=""), "Gap - Missing Art. 9 Basis", IF(OR(I3438="Invalid - Not Freely Given", I3438="Invalid - Not Specific", I3438="Invalid - Not Informed", I3438="Invalid - Ambiguous"), "Gap - Invalid Consent", "Compliant")))))</f>
        <v/>
      </c>
      <c r="O3438" s="7" t="n"/>
    </row>
    <row r="3439">
      <c r="A3439" s="7" t="n"/>
      <c r="B3439" s="7" t="n"/>
      <c r="C3439" s="7" t="n"/>
      <c r="D3439" s="7" t="n"/>
      <c r="E3439" s="7" t="n"/>
      <c r="F3439" s="7" t="n"/>
      <c r="G3439" s="7" t="n"/>
      <c r="H3439" s="7" t="n"/>
      <c r="I3439" s="7" t="n"/>
      <c r="J3439" s="7" t="n"/>
      <c r="K3439">
        <f>IF(D3439="Legitimate Interest (GDPR Art. 6(1)(f))", "Yes / Required (Sheet 3)", "")</f>
        <v/>
      </c>
      <c r="L3439" s="7" t="n"/>
      <c r="M3439" s="7" t="n"/>
      <c r="N3439">
        <f>IF(D3439="", "Gap - No Legal Basis", IF(AND(D3439="Consent (GDPR Art. 6(1)(a))", I3439="Not Captured"), "Gap - Invalid Consent", IF(AND(D3439="Legitimate Interest (GDPR Art. 6(1)(f))", L3439=""), "Gap - Missing LIA", IF(AND(G3439="Yes", H3439=""), "Gap - Missing Art. 9 Basis", IF(OR(I3439="Invalid - Not Freely Given", I3439="Invalid - Not Specific", I3439="Invalid - Not Informed", I3439="Invalid - Ambiguous"), "Gap - Invalid Consent", "Compliant")))))</f>
        <v/>
      </c>
      <c r="O3439" s="7" t="n"/>
    </row>
    <row r="3440">
      <c r="A3440" s="7" t="n"/>
      <c r="B3440" s="7" t="n"/>
      <c r="C3440" s="7" t="n"/>
      <c r="D3440" s="7" t="n"/>
      <c r="E3440" s="7" t="n"/>
      <c r="F3440" s="7" t="n"/>
      <c r="G3440" s="7" t="n"/>
      <c r="H3440" s="7" t="n"/>
      <c r="I3440" s="7" t="n"/>
      <c r="J3440" s="7" t="n"/>
      <c r="K3440">
        <f>IF(D3440="Legitimate Interest (GDPR Art. 6(1)(f))", "Yes / Required (Sheet 3)", "")</f>
        <v/>
      </c>
      <c r="L3440" s="7" t="n"/>
      <c r="M3440" s="7" t="n"/>
      <c r="N3440">
        <f>IF(D3440="", "Gap - No Legal Basis", IF(AND(D3440="Consent (GDPR Art. 6(1)(a))", I3440="Not Captured"), "Gap - Invalid Consent", IF(AND(D3440="Legitimate Interest (GDPR Art. 6(1)(f))", L3440=""), "Gap - Missing LIA", IF(AND(G3440="Yes", H3440=""), "Gap - Missing Art. 9 Basis", IF(OR(I3440="Invalid - Not Freely Given", I3440="Invalid - Not Specific", I3440="Invalid - Not Informed", I3440="Invalid - Ambiguous"), "Gap - Invalid Consent", "Compliant")))))</f>
        <v/>
      </c>
      <c r="O3440" s="7" t="n"/>
    </row>
    <row r="3441">
      <c r="A3441" s="7" t="n"/>
      <c r="B3441" s="7" t="n"/>
      <c r="C3441" s="7" t="n"/>
      <c r="D3441" s="7" t="n"/>
      <c r="E3441" s="7" t="n"/>
      <c r="F3441" s="7" t="n"/>
      <c r="G3441" s="7" t="n"/>
      <c r="H3441" s="7" t="n"/>
      <c r="I3441" s="7" t="n"/>
      <c r="J3441" s="7" t="n"/>
      <c r="K3441">
        <f>IF(D3441="Legitimate Interest (GDPR Art. 6(1)(f))", "Yes / Required (Sheet 3)", "")</f>
        <v/>
      </c>
      <c r="L3441" s="7" t="n"/>
      <c r="M3441" s="7" t="n"/>
      <c r="N3441">
        <f>IF(D3441="", "Gap - No Legal Basis", IF(AND(D3441="Consent (GDPR Art. 6(1)(a))", I3441="Not Captured"), "Gap - Invalid Consent", IF(AND(D3441="Legitimate Interest (GDPR Art. 6(1)(f))", L3441=""), "Gap - Missing LIA", IF(AND(G3441="Yes", H3441=""), "Gap - Missing Art. 9 Basis", IF(OR(I3441="Invalid - Not Freely Given", I3441="Invalid - Not Specific", I3441="Invalid - Not Informed", I3441="Invalid - Ambiguous"), "Gap - Invalid Consent", "Compliant")))))</f>
        <v/>
      </c>
      <c r="O3441" s="7" t="n"/>
    </row>
    <row r="3442">
      <c r="A3442" s="7" t="n"/>
      <c r="B3442" s="7" t="n"/>
      <c r="C3442" s="7" t="n"/>
      <c r="D3442" s="7" t="n"/>
      <c r="E3442" s="7" t="n"/>
      <c r="F3442" s="7" t="n"/>
      <c r="G3442" s="7" t="n"/>
      <c r="H3442" s="7" t="n"/>
      <c r="I3442" s="7" t="n"/>
      <c r="J3442" s="7" t="n"/>
      <c r="K3442">
        <f>IF(D3442="Legitimate Interest (GDPR Art. 6(1)(f))", "Yes / Required (Sheet 3)", "")</f>
        <v/>
      </c>
      <c r="L3442" s="7" t="n"/>
      <c r="M3442" s="7" t="n"/>
      <c r="N3442">
        <f>IF(D3442="", "Gap - No Legal Basis", IF(AND(D3442="Consent (GDPR Art. 6(1)(a))", I3442="Not Captured"), "Gap - Invalid Consent", IF(AND(D3442="Legitimate Interest (GDPR Art. 6(1)(f))", L3442=""), "Gap - Missing LIA", IF(AND(G3442="Yes", H3442=""), "Gap - Missing Art. 9 Basis", IF(OR(I3442="Invalid - Not Freely Given", I3442="Invalid - Not Specific", I3442="Invalid - Not Informed", I3442="Invalid - Ambiguous"), "Gap - Invalid Consent", "Compliant")))))</f>
        <v/>
      </c>
      <c r="O3442" s="7" t="n"/>
    </row>
    <row r="3443">
      <c r="A3443" s="7" t="n"/>
      <c r="B3443" s="7" t="n"/>
      <c r="C3443" s="7" t="n"/>
      <c r="D3443" s="7" t="n"/>
      <c r="E3443" s="7" t="n"/>
      <c r="F3443" s="7" t="n"/>
      <c r="G3443" s="7" t="n"/>
      <c r="H3443" s="7" t="n"/>
      <c r="I3443" s="7" t="n"/>
      <c r="J3443" s="7" t="n"/>
      <c r="K3443">
        <f>IF(D3443="Legitimate Interest (GDPR Art. 6(1)(f))", "Yes / Required (Sheet 3)", "")</f>
        <v/>
      </c>
      <c r="L3443" s="7" t="n"/>
      <c r="M3443" s="7" t="n"/>
      <c r="N3443">
        <f>IF(D3443="", "Gap - No Legal Basis", IF(AND(D3443="Consent (GDPR Art. 6(1)(a))", I3443="Not Captured"), "Gap - Invalid Consent", IF(AND(D3443="Legitimate Interest (GDPR Art. 6(1)(f))", L3443=""), "Gap - Missing LIA", IF(AND(G3443="Yes", H3443=""), "Gap - Missing Art. 9 Basis", IF(OR(I3443="Invalid - Not Freely Given", I3443="Invalid - Not Specific", I3443="Invalid - Not Informed", I3443="Invalid - Ambiguous"), "Gap - Invalid Consent", "Compliant")))))</f>
        <v/>
      </c>
      <c r="O3443" s="7" t="n"/>
    </row>
    <row r="3444">
      <c r="A3444" s="7" t="n"/>
      <c r="B3444" s="7" t="n"/>
      <c r="C3444" s="7" t="n"/>
      <c r="D3444" s="7" t="n"/>
      <c r="E3444" s="7" t="n"/>
      <c r="F3444" s="7" t="n"/>
      <c r="G3444" s="7" t="n"/>
      <c r="H3444" s="7" t="n"/>
      <c r="I3444" s="7" t="n"/>
      <c r="J3444" s="7" t="n"/>
      <c r="K3444">
        <f>IF(D3444="Legitimate Interest (GDPR Art. 6(1)(f))", "Yes / Required (Sheet 3)", "")</f>
        <v/>
      </c>
      <c r="L3444" s="7" t="n"/>
      <c r="M3444" s="7" t="n"/>
      <c r="N3444">
        <f>IF(D3444="", "Gap - No Legal Basis", IF(AND(D3444="Consent (GDPR Art. 6(1)(a))", I3444="Not Captured"), "Gap - Invalid Consent", IF(AND(D3444="Legitimate Interest (GDPR Art. 6(1)(f))", L3444=""), "Gap - Missing LIA", IF(AND(G3444="Yes", H3444=""), "Gap - Missing Art. 9 Basis", IF(OR(I3444="Invalid - Not Freely Given", I3444="Invalid - Not Specific", I3444="Invalid - Not Informed", I3444="Invalid - Ambiguous"), "Gap - Invalid Consent", "Compliant")))))</f>
        <v/>
      </c>
      <c r="O3444" s="7" t="n"/>
    </row>
    <row r="3445">
      <c r="A3445" s="7" t="n"/>
      <c r="B3445" s="7" t="n"/>
      <c r="C3445" s="7" t="n"/>
      <c r="D3445" s="7" t="n"/>
      <c r="E3445" s="7" t="n"/>
      <c r="F3445" s="7" t="n"/>
      <c r="G3445" s="7" t="n"/>
      <c r="H3445" s="7" t="n"/>
      <c r="I3445" s="7" t="n"/>
      <c r="J3445" s="7" t="n"/>
      <c r="K3445">
        <f>IF(D3445="Legitimate Interest (GDPR Art. 6(1)(f))", "Yes / Required (Sheet 3)", "")</f>
        <v/>
      </c>
      <c r="L3445" s="7" t="n"/>
      <c r="M3445" s="7" t="n"/>
      <c r="N3445">
        <f>IF(D3445="", "Gap - No Legal Basis", IF(AND(D3445="Consent (GDPR Art. 6(1)(a))", I3445="Not Captured"), "Gap - Invalid Consent", IF(AND(D3445="Legitimate Interest (GDPR Art. 6(1)(f))", L3445=""), "Gap - Missing LIA", IF(AND(G3445="Yes", H3445=""), "Gap - Missing Art. 9 Basis", IF(OR(I3445="Invalid - Not Freely Given", I3445="Invalid - Not Specific", I3445="Invalid - Not Informed", I3445="Invalid - Ambiguous"), "Gap - Invalid Consent", "Compliant")))))</f>
        <v/>
      </c>
      <c r="O3445" s="7" t="n"/>
    </row>
    <row r="3446">
      <c r="A3446" s="7" t="n"/>
      <c r="B3446" s="7" t="n"/>
      <c r="C3446" s="7" t="n"/>
      <c r="D3446" s="7" t="n"/>
      <c r="E3446" s="7" t="n"/>
      <c r="F3446" s="7" t="n"/>
      <c r="G3446" s="7" t="n"/>
      <c r="H3446" s="7" t="n"/>
      <c r="I3446" s="7" t="n"/>
      <c r="J3446" s="7" t="n"/>
      <c r="K3446">
        <f>IF(D3446="Legitimate Interest (GDPR Art. 6(1)(f))", "Yes / Required (Sheet 3)", "")</f>
        <v/>
      </c>
      <c r="L3446" s="7" t="n"/>
      <c r="M3446" s="7" t="n"/>
      <c r="N3446">
        <f>IF(D3446="", "Gap - No Legal Basis", IF(AND(D3446="Consent (GDPR Art. 6(1)(a))", I3446="Not Captured"), "Gap - Invalid Consent", IF(AND(D3446="Legitimate Interest (GDPR Art. 6(1)(f))", L3446=""), "Gap - Missing LIA", IF(AND(G3446="Yes", H3446=""), "Gap - Missing Art. 9 Basis", IF(OR(I3446="Invalid - Not Freely Given", I3446="Invalid - Not Specific", I3446="Invalid - Not Informed", I3446="Invalid - Ambiguous"), "Gap - Invalid Consent", "Compliant")))))</f>
        <v/>
      </c>
      <c r="O3446" s="7" t="n"/>
    </row>
    <row r="3447">
      <c r="A3447" s="7" t="n"/>
      <c r="B3447" s="7" t="n"/>
      <c r="C3447" s="7" t="n"/>
      <c r="D3447" s="7" t="n"/>
      <c r="E3447" s="7" t="n"/>
      <c r="F3447" s="7" t="n"/>
      <c r="G3447" s="7" t="n"/>
      <c r="H3447" s="7" t="n"/>
      <c r="I3447" s="7" t="n"/>
      <c r="J3447" s="7" t="n"/>
      <c r="K3447">
        <f>IF(D3447="Legitimate Interest (GDPR Art. 6(1)(f))", "Yes / Required (Sheet 3)", "")</f>
        <v/>
      </c>
      <c r="L3447" s="7" t="n"/>
      <c r="M3447" s="7" t="n"/>
      <c r="N3447">
        <f>IF(D3447="", "Gap - No Legal Basis", IF(AND(D3447="Consent (GDPR Art. 6(1)(a))", I3447="Not Captured"), "Gap - Invalid Consent", IF(AND(D3447="Legitimate Interest (GDPR Art. 6(1)(f))", L3447=""), "Gap - Missing LIA", IF(AND(G3447="Yes", H3447=""), "Gap - Missing Art. 9 Basis", IF(OR(I3447="Invalid - Not Freely Given", I3447="Invalid - Not Specific", I3447="Invalid - Not Informed", I3447="Invalid - Ambiguous"), "Gap - Invalid Consent", "Compliant")))))</f>
        <v/>
      </c>
      <c r="O3447" s="7" t="n"/>
    </row>
    <row r="3448">
      <c r="A3448" s="7" t="n"/>
      <c r="B3448" s="7" t="n"/>
      <c r="C3448" s="7" t="n"/>
      <c r="D3448" s="7" t="n"/>
      <c r="E3448" s="7" t="n"/>
      <c r="F3448" s="7" t="n"/>
      <c r="G3448" s="7" t="n"/>
      <c r="H3448" s="7" t="n"/>
      <c r="I3448" s="7" t="n"/>
      <c r="J3448" s="7" t="n"/>
      <c r="K3448">
        <f>IF(D3448="Legitimate Interest (GDPR Art. 6(1)(f))", "Yes / Required (Sheet 3)", "")</f>
        <v/>
      </c>
      <c r="L3448" s="7" t="n"/>
      <c r="M3448" s="7" t="n"/>
      <c r="N3448">
        <f>IF(D3448="", "Gap - No Legal Basis", IF(AND(D3448="Consent (GDPR Art. 6(1)(a))", I3448="Not Captured"), "Gap - Invalid Consent", IF(AND(D3448="Legitimate Interest (GDPR Art. 6(1)(f))", L3448=""), "Gap - Missing LIA", IF(AND(G3448="Yes", H3448=""), "Gap - Missing Art. 9 Basis", IF(OR(I3448="Invalid - Not Freely Given", I3448="Invalid - Not Specific", I3448="Invalid - Not Informed", I3448="Invalid - Ambiguous"), "Gap - Invalid Consent", "Compliant")))))</f>
        <v/>
      </c>
      <c r="O3448" s="7" t="n"/>
    </row>
    <row r="3449">
      <c r="A3449" s="7" t="n"/>
      <c r="B3449" s="7" t="n"/>
      <c r="C3449" s="7" t="n"/>
      <c r="D3449" s="7" t="n"/>
      <c r="E3449" s="7" t="n"/>
      <c r="F3449" s="7" t="n"/>
      <c r="G3449" s="7" t="n"/>
      <c r="H3449" s="7" t="n"/>
      <c r="I3449" s="7" t="n"/>
      <c r="J3449" s="7" t="n"/>
      <c r="K3449">
        <f>IF(D3449="Legitimate Interest (GDPR Art. 6(1)(f))", "Yes / Required (Sheet 3)", "")</f>
        <v/>
      </c>
      <c r="L3449" s="7" t="n"/>
      <c r="M3449" s="7" t="n"/>
      <c r="N3449">
        <f>IF(D3449="", "Gap - No Legal Basis", IF(AND(D3449="Consent (GDPR Art. 6(1)(a))", I3449="Not Captured"), "Gap - Invalid Consent", IF(AND(D3449="Legitimate Interest (GDPR Art. 6(1)(f))", L3449=""), "Gap - Missing LIA", IF(AND(G3449="Yes", H3449=""), "Gap - Missing Art. 9 Basis", IF(OR(I3449="Invalid - Not Freely Given", I3449="Invalid - Not Specific", I3449="Invalid - Not Informed", I3449="Invalid - Ambiguous"), "Gap - Invalid Consent", "Compliant")))))</f>
        <v/>
      </c>
      <c r="O3449" s="7" t="n"/>
    </row>
    <row r="3450">
      <c r="A3450" s="7" t="n"/>
      <c r="B3450" s="7" t="n"/>
      <c r="C3450" s="7" t="n"/>
      <c r="D3450" s="7" t="n"/>
      <c r="E3450" s="7" t="n"/>
      <c r="F3450" s="7" t="n"/>
      <c r="G3450" s="7" t="n"/>
      <c r="H3450" s="7" t="n"/>
      <c r="I3450" s="7" t="n"/>
      <c r="J3450" s="7" t="n"/>
      <c r="K3450">
        <f>IF(D3450="Legitimate Interest (GDPR Art. 6(1)(f))", "Yes / Required (Sheet 3)", "")</f>
        <v/>
      </c>
      <c r="L3450" s="7" t="n"/>
      <c r="M3450" s="7" t="n"/>
      <c r="N3450">
        <f>IF(D3450="", "Gap - No Legal Basis", IF(AND(D3450="Consent (GDPR Art. 6(1)(a))", I3450="Not Captured"), "Gap - Invalid Consent", IF(AND(D3450="Legitimate Interest (GDPR Art. 6(1)(f))", L3450=""), "Gap - Missing LIA", IF(AND(G3450="Yes", H3450=""), "Gap - Missing Art. 9 Basis", IF(OR(I3450="Invalid - Not Freely Given", I3450="Invalid - Not Specific", I3450="Invalid - Not Informed", I3450="Invalid - Ambiguous"), "Gap - Invalid Consent", "Compliant")))))</f>
        <v/>
      </c>
      <c r="O3450" s="7" t="n"/>
    </row>
    <row r="3451">
      <c r="A3451" s="7" t="n"/>
      <c r="B3451" s="7" t="n"/>
      <c r="C3451" s="7" t="n"/>
      <c r="D3451" s="7" t="n"/>
      <c r="E3451" s="7" t="n"/>
      <c r="F3451" s="7" t="n"/>
      <c r="G3451" s="7" t="n"/>
      <c r="H3451" s="7" t="n"/>
      <c r="I3451" s="7" t="n"/>
      <c r="J3451" s="7" t="n"/>
      <c r="K3451">
        <f>IF(D3451="Legitimate Interest (GDPR Art. 6(1)(f))", "Yes / Required (Sheet 3)", "")</f>
        <v/>
      </c>
      <c r="L3451" s="7" t="n"/>
      <c r="M3451" s="7" t="n"/>
      <c r="N3451">
        <f>IF(D3451="", "Gap - No Legal Basis", IF(AND(D3451="Consent (GDPR Art. 6(1)(a))", I3451="Not Captured"), "Gap - Invalid Consent", IF(AND(D3451="Legitimate Interest (GDPR Art. 6(1)(f))", L3451=""), "Gap - Missing LIA", IF(AND(G3451="Yes", H3451=""), "Gap - Missing Art. 9 Basis", IF(OR(I3451="Invalid - Not Freely Given", I3451="Invalid - Not Specific", I3451="Invalid - Not Informed", I3451="Invalid - Ambiguous"), "Gap - Invalid Consent", "Compliant")))))</f>
        <v/>
      </c>
      <c r="O3451" s="7" t="n"/>
    </row>
    <row r="3452">
      <c r="A3452" s="7" t="n"/>
      <c r="B3452" s="7" t="n"/>
      <c r="C3452" s="7" t="n"/>
      <c r="D3452" s="7" t="n"/>
      <c r="E3452" s="7" t="n"/>
      <c r="F3452" s="7" t="n"/>
      <c r="G3452" s="7" t="n"/>
      <c r="H3452" s="7" t="n"/>
      <c r="I3452" s="7" t="n"/>
      <c r="J3452" s="7" t="n"/>
      <c r="K3452">
        <f>IF(D3452="Legitimate Interest (GDPR Art. 6(1)(f))", "Yes / Required (Sheet 3)", "")</f>
        <v/>
      </c>
      <c r="L3452" s="7" t="n"/>
      <c r="M3452" s="7" t="n"/>
      <c r="N3452">
        <f>IF(D3452="", "Gap - No Legal Basis", IF(AND(D3452="Consent (GDPR Art. 6(1)(a))", I3452="Not Captured"), "Gap - Invalid Consent", IF(AND(D3452="Legitimate Interest (GDPR Art. 6(1)(f))", L3452=""), "Gap - Missing LIA", IF(AND(G3452="Yes", H3452=""), "Gap - Missing Art. 9 Basis", IF(OR(I3452="Invalid - Not Freely Given", I3452="Invalid - Not Specific", I3452="Invalid - Not Informed", I3452="Invalid - Ambiguous"), "Gap - Invalid Consent", "Compliant")))))</f>
        <v/>
      </c>
      <c r="O3452" s="7" t="n"/>
    </row>
    <row r="3453">
      <c r="A3453" s="7" t="n"/>
      <c r="B3453" s="7" t="n"/>
      <c r="C3453" s="7" t="n"/>
      <c r="D3453" s="7" t="n"/>
      <c r="E3453" s="7" t="n"/>
      <c r="F3453" s="7" t="n"/>
      <c r="G3453" s="7" t="n"/>
      <c r="H3453" s="7" t="n"/>
      <c r="I3453" s="7" t="n"/>
      <c r="J3453" s="7" t="n"/>
      <c r="K3453">
        <f>IF(D3453="Legitimate Interest (GDPR Art. 6(1)(f))", "Yes / Required (Sheet 3)", "")</f>
        <v/>
      </c>
      <c r="L3453" s="7" t="n"/>
      <c r="M3453" s="7" t="n"/>
      <c r="N3453">
        <f>IF(D3453="", "Gap - No Legal Basis", IF(AND(D3453="Consent (GDPR Art. 6(1)(a))", I3453="Not Captured"), "Gap - Invalid Consent", IF(AND(D3453="Legitimate Interest (GDPR Art. 6(1)(f))", L3453=""), "Gap - Missing LIA", IF(AND(G3453="Yes", H3453=""), "Gap - Missing Art. 9 Basis", IF(OR(I3453="Invalid - Not Freely Given", I3453="Invalid - Not Specific", I3453="Invalid - Not Informed", I3453="Invalid - Ambiguous"), "Gap - Invalid Consent", "Compliant")))))</f>
        <v/>
      </c>
      <c r="O3453" s="7" t="n"/>
    </row>
    <row r="3454">
      <c r="A3454" s="7" t="n"/>
      <c r="B3454" s="7" t="n"/>
      <c r="C3454" s="7" t="n"/>
      <c r="D3454" s="7" t="n"/>
      <c r="E3454" s="7" t="n"/>
      <c r="F3454" s="7" t="n"/>
      <c r="G3454" s="7" t="n"/>
      <c r="H3454" s="7" t="n"/>
      <c r="I3454" s="7" t="n"/>
      <c r="J3454" s="7" t="n"/>
      <c r="K3454">
        <f>IF(D3454="Legitimate Interest (GDPR Art. 6(1)(f))", "Yes / Required (Sheet 3)", "")</f>
        <v/>
      </c>
      <c r="L3454" s="7" t="n"/>
      <c r="M3454" s="7" t="n"/>
      <c r="N3454">
        <f>IF(D3454="", "Gap - No Legal Basis", IF(AND(D3454="Consent (GDPR Art. 6(1)(a))", I3454="Not Captured"), "Gap - Invalid Consent", IF(AND(D3454="Legitimate Interest (GDPR Art. 6(1)(f))", L3454=""), "Gap - Missing LIA", IF(AND(G3454="Yes", H3454=""), "Gap - Missing Art. 9 Basis", IF(OR(I3454="Invalid - Not Freely Given", I3454="Invalid - Not Specific", I3454="Invalid - Not Informed", I3454="Invalid - Ambiguous"), "Gap - Invalid Consent", "Compliant")))))</f>
        <v/>
      </c>
      <c r="O3454" s="7" t="n"/>
    </row>
    <row r="3455">
      <c r="A3455" s="7" t="n"/>
      <c r="B3455" s="7" t="n"/>
      <c r="C3455" s="7" t="n"/>
      <c r="D3455" s="7" t="n"/>
      <c r="E3455" s="7" t="n"/>
      <c r="F3455" s="7" t="n"/>
      <c r="G3455" s="7" t="n"/>
      <c r="H3455" s="7" t="n"/>
      <c r="I3455" s="7" t="n"/>
      <c r="J3455" s="7" t="n"/>
      <c r="K3455">
        <f>IF(D3455="Legitimate Interest (GDPR Art. 6(1)(f))", "Yes / Required (Sheet 3)", "")</f>
        <v/>
      </c>
      <c r="L3455" s="7" t="n"/>
      <c r="M3455" s="7" t="n"/>
      <c r="N3455">
        <f>IF(D3455="", "Gap - No Legal Basis", IF(AND(D3455="Consent (GDPR Art. 6(1)(a))", I3455="Not Captured"), "Gap - Invalid Consent", IF(AND(D3455="Legitimate Interest (GDPR Art. 6(1)(f))", L3455=""), "Gap - Missing LIA", IF(AND(G3455="Yes", H3455=""), "Gap - Missing Art. 9 Basis", IF(OR(I3455="Invalid - Not Freely Given", I3455="Invalid - Not Specific", I3455="Invalid - Not Informed", I3455="Invalid - Ambiguous"), "Gap - Invalid Consent", "Compliant")))))</f>
        <v/>
      </c>
      <c r="O3455" s="7" t="n"/>
    </row>
    <row r="3456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7" t="n"/>
      <c r="J3456" s="7" t="n"/>
      <c r="K3456">
        <f>IF(D3456="Legitimate Interest (GDPR Art. 6(1)(f))", "Yes / Required (Sheet 3)", "")</f>
        <v/>
      </c>
      <c r="L3456" s="7" t="n"/>
      <c r="M3456" s="7" t="n"/>
      <c r="N3456">
        <f>IF(D3456="", "Gap - No Legal Basis", IF(AND(D3456="Consent (GDPR Art. 6(1)(a))", I3456="Not Captured"), "Gap - Invalid Consent", IF(AND(D3456="Legitimate Interest (GDPR Art. 6(1)(f))", L3456=""), "Gap - Missing LIA", IF(AND(G3456="Yes", H3456=""), "Gap - Missing Art. 9 Basis", IF(OR(I3456="Invalid - Not Freely Given", I3456="Invalid - Not Specific", I3456="Invalid - Not Informed", I3456="Invalid - Ambiguous"), "Gap - Invalid Consent", "Compliant")))))</f>
        <v/>
      </c>
      <c r="O3456" s="7" t="n"/>
    </row>
    <row r="3457">
      <c r="A3457" s="7" t="n"/>
      <c r="B3457" s="7" t="n"/>
      <c r="C3457" s="7" t="n"/>
      <c r="D3457" s="7" t="n"/>
      <c r="E3457" s="7" t="n"/>
      <c r="F3457" s="7" t="n"/>
      <c r="G3457" s="7" t="n"/>
      <c r="H3457" s="7" t="n"/>
      <c r="I3457" s="7" t="n"/>
      <c r="J3457" s="7" t="n"/>
      <c r="K3457">
        <f>IF(D3457="Legitimate Interest (GDPR Art. 6(1)(f))", "Yes / Required (Sheet 3)", "")</f>
        <v/>
      </c>
      <c r="L3457" s="7" t="n"/>
      <c r="M3457" s="7" t="n"/>
      <c r="N3457">
        <f>IF(D3457="", "Gap - No Legal Basis", IF(AND(D3457="Consent (GDPR Art. 6(1)(a))", I3457="Not Captured"), "Gap - Invalid Consent", IF(AND(D3457="Legitimate Interest (GDPR Art. 6(1)(f))", L3457=""), "Gap - Missing LIA", IF(AND(G3457="Yes", H3457=""), "Gap - Missing Art. 9 Basis", IF(OR(I3457="Invalid - Not Freely Given", I3457="Invalid - Not Specific", I3457="Invalid - Not Informed", I3457="Invalid - Ambiguous"), "Gap - Invalid Consent", "Compliant")))))</f>
        <v/>
      </c>
      <c r="O3457" s="7" t="n"/>
    </row>
    <row r="3458">
      <c r="A3458" s="7" t="n"/>
      <c r="B3458" s="7" t="n"/>
      <c r="C3458" s="7" t="n"/>
      <c r="D3458" s="7" t="n"/>
      <c r="E3458" s="7" t="n"/>
      <c r="F3458" s="7" t="n"/>
      <c r="G3458" s="7" t="n"/>
      <c r="H3458" s="7" t="n"/>
      <c r="I3458" s="7" t="n"/>
      <c r="J3458" s="7" t="n"/>
      <c r="K3458">
        <f>IF(D3458="Legitimate Interest (GDPR Art. 6(1)(f))", "Yes / Required (Sheet 3)", "")</f>
        <v/>
      </c>
      <c r="L3458" s="7" t="n"/>
      <c r="M3458" s="7" t="n"/>
      <c r="N3458">
        <f>IF(D3458="", "Gap - No Legal Basis", IF(AND(D3458="Consent (GDPR Art. 6(1)(a))", I3458="Not Captured"), "Gap - Invalid Consent", IF(AND(D3458="Legitimate Interest (GDPR Art. 6(1)(f))", L3458=""), "Gap - Missing LIA", IF(AND(G3458="Yes", H3458=""), "Gap - Missing Art. 9 Basis", IF(OR(I3458="Invalid - Not Freely Given", I3458="Invalid - Not Specific", I3458="Invalid - Not Informed", I3458="Invalid - Ambiguous"), "Gap - Invalid Consent", "Compliant")))))</f>
        <v/>
      </c>
      <c r="O3458" s="7" t="n"/>
    </row>
    <row r="3459">
      <c r="A3459" s="7" t="n"/>
      <c r="B3459" s="7" t="n"/>
      <c r="C3459" s="7" t="n"/>
      <c r="D3459" s="7" t="n"/>
      <c r="E3459" s="7" t="n"/>
      <c r="F3459" s="7" t="n"/>
      <c r="G3459" s="7" t="n"/>
      <c r="H3459" s="7" t="n"/>
      <c r="I3459" s="7" t="n"/>
      <c r="J3459" s="7" t="n"/>
      <c r="K3459">
        <f>IF(D3459="Legitimate Interest (GDPR Art. 6(1)(f))", "Yes / Required (Sheet 3)", "")</f>
        <v/>
      </c>
      <c r="L3459" s="7" t="n"/>
      <c r="M3459" s="7" t="n"/>
      <c r="N3459">
        <f>IF(D3459="", "Gap - No Legal Basis", IF(AND(D3459="Consent (GDPR Art. 6(1)(a))", I3459="Not Captured"), "Gap - Invalid Consent", IF(AND(D3459="Legitimate Interest (GDPR Art. 6(1)(f))", L3459=""), "Gap - Missing LIA", IF(AND(G3459="Yes", H3459=""), "Gap - Missing Art. 9 Basis", IF(OR(I3459="Invalid - Not Freely Given", I3459="Invalid - Not Specific", I3459="Invalid - Not Informed", I3459="Invalid - Ambiguous"), "Gap - Invalid Consent", "Compliant")))))</f>
        <v/>
      </c>
      <c r="O3459" s="7" t="n"/>
    </row>
    <row r="3460">
      <c r="A3460" s="7" t="n"/>
      <c r="B3460" s="7" t="n"/>
      <c r="C3460" s="7" t="n"/>
      <c r="D3460" s="7" t="n"/>
      <c r="E3460" s="7" t="n"/>
      <c r="F3460" s="7" t="n"/>
      <c r="G3460" s="7" t="n"/>
      <c r="H3460" s="7" t="n"/>
      <c r="I3460" s="7" t="n"/>
      <c r="J3460" s="7" t="n"/>
      <c r="K3460">
        <f>IF(D3460="Legitimate Interest (GDPR Art. 6(1)(f))", "Yes / Required (Sheet 3)", "")</f>
        <v/>
      </c>
      <c r="L3460" s="7" t="n"/>
      <c r="M3460" s="7" t="n"/>
      <c r="N3460">
        <f>IF(D3460="", "Gap - No Legal Basis", IF(AND(D3460="Consent (GDPR Art. 6(1)(a))", I3460="Not Captured"), "Gap - Invalid Consent", IF(AND(D3460="Legitimate Interest (GDPR Art. 6(1)(f))", L3460=""), "Gap - Missing LIA", IF(AND(G3460="Yes", H3460=""), "Gap - Missing Art. 9 Basis", IF(OR(I3460="Invalid - Not Freely Given", I3460="Invalid - Not Specific", I3460="Invalid - Not Informed", I3460="Invalid - Ambiguous"), "Gap - Invalid Consent", "Compliant")))))</f>
        <v/>
      </c>
      <c r="O3460" s="7" t="n"/>
    </row>
    <row r="3461">
      <c r="A3461" s="7" t="n"/>
      <c r="B3461" s="7" t="n"/>
      <c r="C3461" s="7" t="n"/>
      <c r="D3461" s="7" t="n"/>
      <c r="E3461" s="7" t="n"/>
      <c r="F3461" s="7" t="n"/>
      <c r="G3461" s="7" t="n"/>
      <c r="H3461" s="7" t="n"/>
      <c r="I3461" s="7" t="n"/>
      <c r="J3461" s="7" t="n"/>
      <c r="K3461">
        <f>IF(D3461="Legitimate Interest (GDPR Art. 6(1)(f))", "Yes / Required (Sheet 3)", "")</f>
        <v/>
      </c>
      <c r="L3461" s="7" t="n"/>
      <c r="M3461" s="7" t="n"/>
      <c r="N3461">
        <f>IF(D3461="", "Gap - No Legal Basis", IF(AND(D3461="Consent (GDPR Art. 6(1)(a))", I3461="Not Captured"), "Gap - Invalid Consent", IF(AND(D3461="Legitimate Interest (GDPR Art. 6(1)(f))", L3461=""), "Gap - Missing LIA", IF(AND(G3461="Yes", H3461=""), "Gap - Missing Art. 9 Basis", IF(OR(I3461="Invalid - Not Freely Given", I3461="Invalid - Not Specific", I3461="Invalid - Not Informed", I3461="Invalid - Ambiguous"), "Gap - Invalid Consent", "Compliant")))))</f>
        <v/>
      </c>
      <c r="O3461" s="7" t="n"/>
    </row>
    <row r="3462">
      <c r="A3462" s="7" t="n"/>
      <c r="B3462" s="7" t="n"/>
      <c r="C3462" s="7" t="n"/>
      <c r="D3462" s="7" t="n"/>
      <c r="E3462" s="7" t="n"/>
      <c r="F3462" s="7" t="n"/>
      <c r="G3462" s="7" t="n"/>
      <c r="H3462" s="7" t="n"/>
      <c r="I3462" s="7" t="n"/>
      <c r="J3462" s="7" t="n"/>
      <c r="K3462">
        <f>IF(D3462="Legitimate Interest (GDPR Art. 6(1)(f))", "Yes / Required (Sheet 3)", "")</f>
        <v/>
      </c>
      <c r="L3462" s="7" t="n"/>
      <c r="M3462" s="7" t="n"/>
      <c r="N3462">
        <f>IF(D3462="", "Gap - No Legal Basis", IF(AND(D3462="Consent (GDPR Art. 6(1)(a))", I3462="Not Captured"), "Gap - Invalid Consent", IF(AND(D3462="Legitimate Interest (GDPR Art. 6(1)(f))", L3462=""), "Gap - Missing LIA", IF(AND(G3462="Yes", H3462=""), "Gap - Missing Art. 9 Basis", IF(OR(I3462="Invalid - Not Freely Given", I3462="Invalid - Not Specific", I3462="Invalid - Not Informed", I3462="Invalid - Ambiguous"), "Gap - Invalid Consent", "Compliant")))))</f>
        <v/>
      </c>
      <c r="O3462" s="7" t="n"/>
    </row>
    <row r="3463">
      <c r="A3463" s="7" t="n"/>
      <c r="B3463" s="7" t="n"/>
      <c r="C3463" s="7" t="n"/>
      <c r="D3463" s="7" t="n"/>
      <c r="E3463" s="7" t="n"/>
      <c r="F3463" s="7" t="n"/>
      <c r="G3463" s="7" t="n"/>
      <c r="H3463" s="7" t="n"/>
      <c r="I3463" s="7" t="n"/>
      <c r="J3463" s="7" t="n"/>
      <c r="K3463">
        <f>IF(D3463="Legitimate Interest (GDPR Art. 6(1)(f))", "Yes / Required (Sheet 3)", "")</f>
        <v/>
      </c>
      <c r="L3463" s="7" t="n"/>
      <c r="M3463" s="7" t="n"/>
      <c r="N3463">
        <f>IF(D3463="", "Gap - No Legal Basis", IF(AND(D3463="Consent (GDPR Art. 6(1)(a))", I3463="Not Captured"), "Gap - Invalid Consent", IF(AND(D3463="Legitimate Interest (GDPR Art. 6(1)(f))", L3463=""), "Gap - Missing LIA", IF(AND(G3463="Yes", H3463=""), "Gap - Missing Art. 9 Basis", IF(OR(I3463="Invalid - Not Freely Given", I3463="Invalid - Not Specific", I3463="Invalid - Not Informed", I3463="Invalid - Ambiguous"), "Gap - Invalid Consent", "Compliant")))))</f>
        <v/>
      </c>
      <c r="O3463" s="7" t="n"/>
    </row>
    <row r="3464">
      <c r="A3464" s="7" t="n"/>
      <c r="B3464" s="7" t="n"/>
      <c r="C3464" s="7" t="n"/>
      <c r="D3464" s="7" t="n"/>
      <c r="E3464" s="7" t="n"/>
      <c r="F3464" s="7" t="n"/>
      <c r="G3464" s="7" t="n"/>
      <c r="H3464" s="7" t="n"/>
      <c r="I3464" s="7" t="n"/>
      <c r="J3464" s="7" t="n"/>
      <c r="K3464">
        <f>IF(D3464="Legitimate Interest (GDPR Art. 6(1)(f))", "Yes / Required (Sheet 3)", "")</f>
        <v/>
      </c>
      <c r="L3464" s="7" t="n"/>
      <c r="M3464" s="7" t="n"/>
      <c r="N3464">
        <f>IF(D3464="", "Gap - No Legal Basis", IF(AND(D3464="Consent (GDPR Art. 6(1)(a))", I3464="Not Captured"), "Gap - Invalid Consent", IF(AND(D3464="Legitimate Interest (GDPR Art. 6(1)(f))", L3464=""), "Gap - Missing LIA", IF(AND(G3464="Yes", H3464=""), "Gap - Missing Art. 9 Basis", IF(OR(I3464="Invalid - Not Freely Given", I3464="Invalid - Not Specific", I3464="Invalid - Not Informed", I3464="Invalid - Ambiguous"), "Gap - Invalid Consent", "Compliant")))))</f>
        <v/>
      </c>
      <c r="O3464" s="7" t="n"/>
    </row>
    <row r="3465">
      <c r="A3465" s="7" t="n"/>
      <c r="B3465" s="7" t="n"/>
      <c r="C3465" s="7" t="n"/>
      <c r="D3465" s="7" t="n"/>
      <c r="E3465" s="7" t="n"/>
      <c r="F3465" s="7" t="n"/>
      <c r="G3465" s="7" t="n"/>
      <c r="H3465" s="7" t="n"/>
      <c r="I3465" s="7" t="n"/>
      <c r="J3465" s="7" t="n"/>
      <c r="K3465">
        <f>IF(D3465="Legitimate Interest (GDPR Art. 6(1)(f))", "Yes / Required (Sheet 3)", "")</f>
        <v/>
      </c>
      <c r="L3465" s="7" t="n"/>
      <c r="M3465" s="7" t="n"/>
      <c r="N3465">
        <f>IF(D3465="", "Gap - No Legal Basis", IF(AND(D3465="Consent (GDPR Art. 6(1)(a))", I3465="Not Captured"), "Gap - Invalid Consent", IF(AND(D3465="Legitimate Interest (GDPR Art. 6(1)(f))", L3465=""), "Gap - Missing LIA", IF(AND(G3465="Yes", H3465=""), "Gap - Missing Art. 9 Basis", IF(OR(I3465="Invalid - Not Freely Given", I3465="Invalid - Not Specific", I3465="Invalid - Not Informed", I3465="Invalid - Ambiguous"), "Gap - Invalid Consent", "Compliant")))))</f>
        <v/>
      </c>
      <c r="O3465" s="7" t="n"/>
    </row>
    <row r="3466">
      <c r="A3466" s="7" t="n"/>
      <c r="B3466" s="7" t="n"/>
      <c r="C3466" s="7" t="n"/>
      <c r="D3466" s="7" t="n"/>
      <c r="E3466" s="7" t="n"/>
      <c r="F3466" s="7" t="n"/>
      <c r="G3466" s="7" t="n"/>
      <c r="H3466" s="7" t="n"/>
      <c r="I3466" s="7" t="n"/>
      <c r="J3466" s="7" t="n"/>
      <c r="K3466">
        <f>IF(D3466="Legitimate Interest (GDPR Art. 6(1)(f))", "Yes / Required (Sheet 3)", "")</f>
        <v/>
      </c>
      <c r="L3466" s="7" t="n"/>
      <c r="M3466" s="7" t="n"/>
      <c r="N3466">
        <f>IF(D3466="", "Gap - No Legal Basis", IF(AND(D3466="Consent (GDPR Art. 6(1)(a))", I3466="Not Captured"), "Gap - Invalid Consent", IF(AND(D3466="Legitimate Interest (GDPR Art. 6(1)(f))", L3466=""), "Gap - Missing LIA", IF(AND(G3466="Yes", H3466=""), "Gap - Missing Art. 9 Basis", IF(OR(I3466="Invalid - Not Freely Given", I3466="Invalid - Not Specific", I3466="Invalid - Not Informed", I3466="Invalid - Ambiguous"), "Gap - Invalid Consent", "Compliant")))))</f>
        <v/>
      </c>
      <c r="O3466" s="7" t="n"/>
    </row>
    <row r="3467">
      <c r="A3467" s="7" t="n"/>
      <c r="B3467" s="7" t="n"/>
      <c r="C3467" s="7" t="n"/>
      <c r="D3467" s="7" t="n"/>
      <c r="E3467" s="7" t="n"/>
      <c r="F3467" s="7" t="n"/>
      <c r="G3467" s="7" t="n"/>
      <c r="H3467" s="7" t="n"/>
      <c r="I3467" s="7" t="n"/>
      <c r="J3467" s="7" t="n"/>
      <c r="K3467">
        <f>IF(D3467="Legitimate Interest (GDPR Art. 6(1)(f))", "Yes / Required (Sheet 3)", "")</f>
        <v/>
      </c>
      <c r="L3467" s="7" t="n"/>
      <c r="M3467" s="7" t="n"/>
      <c r="N3467">
        <f>IF(D3467="", "Gap - No Legal Basis", IF(AND(D3467="Consent (GDPR Art. 6(1)(a))", I3467="Not Captured"), "Gap - Invalid Consent", IF(AND(D3467="Legitimate Interest (GDPR Art. 6(1)(f))", L3467=""), "Gap - Missing LIA", IF(AND(G3467="Yes", H3467=""), "Gap - Missing Art. 9 Basis", IF(OR(I3467="Invalid - Not Freely Given", I3467="Invalid - Not Specific", I3467="Invalid - Not Informed", I3467="Invalid - Ambiguous"), "Gap - Invalid Consent", "Compliant")))))</f>
        <v/>
      </c>
      <c r="O3467" s="7" t="n"/>
    </row>
    <row r="3468">
      <c r="A3468" s="7" t="n"/>
      <c r="B3468" s="7" t="n"/>
      <c r="C3468" s="7" t="n"/>
      <c r="D3468" s="7" t="n"/>
      <c r="E3468" s="7" t="n"/>
      <c r="F3468" s="7" t="n"/>
      <c r="G3468" s="7" t="n"/>
      <c r="H3468" s="7" t="n"/>
      <c r="I3468" s="7" t="n"/>
      <c r="J3468" s="7" t="n"/>
      <c r="K3468">
        <f>IF(D3468="Legitimate Interest (GDPR Art. 6(1)(f))", "Yes / Required (Sheet 3)", "")</f>
        <v/>
      </c>
      <c r="L3468" s="7" t="n"/>
      <c r="M3468" s="7" t="n"/>
      <c r="N3468">
        <f>IF(D3468="", "Gap - No Legal Basis", IF(AND(D3468="Consent (GDPR Art. 6(1)(a))", I3468="Not Captured"), "Gap - Invalid Consent", IF(AND(D3468="Legitimate Interest (GDPR Art. 6(1)(f))", L3468=""), "Gap - Missing LIA", IF(AND(G3468="Yes", H3468=""), "Gap - Missing Art. 9 Basis", IF(OR(I3468="Invalid - Not Freely Given", I3468="Invalid - Not Specific", I3468="Invalid - Not Informed", I3468="Invalid - Ambiguous"), "Gap - Invalid Consent", "Compliant")))))</f>
        <v/>
      </c>
      <c r="O3468" s="7" t="n"/>
    </row>
    <row r="3469">
      <c r="A3469" s="7" t="n"/>
      <c r="B3469" s="7" t="n"/>
      <c r="C3469" s="7" t="n"/>
      <c r="D3469" s="7" t="n"/>
      <c r="E3469" s="7" t="n"/>
      <c r="F3469" s="7" t="n"/>
      <c r="G3469" s="7" t="n"/>
      <c r="H3469" s="7" t="n"/>
      <c r="I3469" s="7" t="n"/>
      <c r="J3469" s="7" t="n"/>
      <c r="K3469">
        <f>IF(D3469="Legitimate Interest (GDPR Art. 6(1)(f))", "Yes / Required (Sheet 3)", "")</f>
        <v/>
      </c>
      <c r="L3469" s="7" t="n"/>
      <c r="M3469" s="7" t="n"/>
      <c r="N3469">
        <f>IF(D3469="", "Gap - No Legal Basis", IF(AND(D3469="Consent (GDPR Art. 6(1)(a))", I3469="Not Captured"), "Gap - Invalid Consent", IF(AND(D3469="Legitimate Interest (GDPR Art. 6(1)(f))", L3469=""), "Gap - Missing LIA", IF(AND(G3469="Yes", H3469=""), "Gap - Missing Art. 9 Basis", IF(OR(I3469="Invalid - Not Freely Given", I3469="Invalid - Not Specific", I3469="Invalid - Not Informed", I3469="Invalid - Ambiguous"), "Gap - Invalid Consent", "Compliant")))))</f>
        <v/>
      </c>
      <c r="O3469" s="7" t="n"/>
    </row>
    <row r="3470">
      <c r="A3470" s="7" t="n"/>
      <c r="B3470" s="7" t="n"/>
      <c r="C3470" s="7" t="n"/>
      <c r="D3470" s="7" t="n"/>
      <c r="E3470" s="7" t="n"/>
      <c r="F3470" s="7" t="n"/>
      <c r="G3470" s="7" t="n"/>
      <c r="H3470" s="7" t="n"/>
      <c r="I3470" s="7" t="n"/>
      <c r="J3470" s="7" t="n"/>
      <c r="K3470">
        <f>IF(D3470="Legitimate Interest (GDPR Art. 6(1)(f))", "Yes / Required (Sheet 3)", "")</f>
        <v/>
      </c>
      <c r="L3470" s="7" t="n"/>
      <c r="M3470" s="7" t="n"/>
      <c r="N3470">
        <f>IF(D3470="", "Gap - No Legal Basis", IF(AND(D3470="Consent (GDPR Art. 6(1)(a))", I3470="Not Captured"), "Gap - Invalid Consent", IF(AND(D3470="Legitimate Interest (GDPR Art. 6(1)(f))", L3470=""), "Gap - Missing LIA", IF(AND(G3470="Yes", H3470=""), "Gap - Missing Art. 9 Basis", IF(OR(I3470="Invalid - Not Freely Given", I3470="Invalid - Not Specific", I3470="Invalid - Not Informed", I3470="Invalid - Ambiguous"), "Gap - Invalid Consent", "Compliant")))))</f>
        <v/>
      </c>
      <c r="O3470" s="7" t="n"/>
    </row>
    <row r="3471">
      <c r="A3471" s="7" t="n"/>
      <c r="B3471" s="7" t="n"/>
      <c r="C3471" s="7" t="n"/>
      <c r="D3471" s="7" t="n"/>
      <c r="E3471" s="7" t="n"/>
      <c r="F3471" s="7" t="n"/>
      <c r="G3471" s="7" t="n"/>
      <c r="H3471" s="7" t="n"/>
      <c r="I3471" s="7" t="n"/>
      <c r="J3471" s="7" t="n"/>
      <c r="K3471">
        <f>IF(D3471="Legitimate Interest (GDPR Art. 6(1)(f))", "Yes / Required (Sheet 3)", "")</f>
        <v/>
      </c>
      <c r="L3471" s="7" t="n"/>
      <c r="M3471" s="7" t="n"/>
      <c r="N3471">
        <f>IF(D3471="", "Gap - No Legal Basis", IF(AND(D3471="Consent (GDPR Art. 6(1)(a))", I3471="Not Captured"), "Gap - Invalid Consent", IF(AND(D3471="Legitimate Interest (GDPR Art. 6(1)(f))", L3471=""), "Gap - Missing LIA", IF(AND(G3471="Yes", H3471=""), "Gap - Missing Art. 9 Basis", IF(OR(I3471="Invalid - Not Freely Given", I3471="Invalid - Not Specific", I3471="Invalid - Not Informed", I3471="Invalid - Ambiguous"), "Gap - Invalid Consent", "Compliant")))))</f>
        <v/>
      </c>
      <c r="O3471" s="7" t="n"/>
    </row>
    <row r="3472">
      <c r="A3472" s="7" t="n"/>
      <c r="B3472" s="7" t="n"/>
      <c r="C3472" s="7" t="n"/>
      <c r="D3472" s="7" t="n"/>
      <c r="E3472" s="7" t="n"/>
      <c r="F3472" s="7" t="n"/>
      <c r="G3472" s="7" t="n"/>
      <c r="H3472" s="7" t="n"/>
      <c r="I3472" s="7" t="n"/>
      <c r="J3472" s="7" t="n"/>
      <c r="K3472">
        <f>IF(D3472="Legitimate Interest (GDPR Art. 6(1)(f))", "Yes / Required (Sheet 3)", "")</f>
        <v/>
      </c>
      <c r="L3472" s="7" t="n"/>
      <c r="M3472" s="7" t="n"/>
      <c r="N3472">
        <f>IF(D3472="", "Gap - No Legal Basis", IF(AND(D3472="Consent (GDPR Art. 6(1)(a))", I3472="Not Captured"), "Gap - Invalid Consent", IF(AND(D3472="Legitimate Interest (GDPR Art. 6(1)(f))", L3472=""), "Gap - Missing LIA", IF(AND(G3472="Yes", H3472=""), "Gap - Missing Art. 9 Basis", IF(OR(I3472="Invalid - Not Freely Given", I3472="Invalid - Not Specific", I3472="Invalid - Not Informed", I3472="Invalid - Ambiguous"), "Gap - Invalid Consent", "Compliant")))))</f>
        <v/>
      </c>
      <c r="O3472" s="7" t="n"/>
    </row>
    <row r="3473">
      <c r="A3473" s="7" t="n"/>
      <c r="B3473" s="7" t="n"/>
      <c r="C3473" s="7" t="n"/>
      <c r="D3473" s="7" t="n"/>
      <c r="E3473" s="7" t="n"/>
      <c r="F3473" s="7" t="n"/>
      <c r="G3473" s="7" t="n"/>
      <c r="H3473" s="7" t="n"/>
      <c r="I3473" s="7" t="n"/>
      <c r="J3473" s="7" t="n"/>
      <c r="K3473">
        <f>IF(D3473="Legitimate Interest (GDPR Art. 6(1)(f))", "Yes / Required (Sheet 3)", "")</f>
        <v/>
      </c>
      <c r="L3473" s="7" t="n"/>
      <c r="M3473" s="7" t="n"/>
      <c r="N3473">
        <f>IF(D3473="", "Gap - No Legal Basis", IF(AND(D3473="Consent (GDPR Art. 6(1)(a))", I3473="Not Captured"), "Gap - Invalid Consent", IF(AND(D3473="Legitimate Interest (GDPR Art. 6(1)(f))", L3473=""), "Gap - Missing LIA", IF(AND(G3473="Yes", H3473=""), "Gap - Missing Art. 9 Basis", IF(OR(I3473="Invalid - Not Freely Given", I3473="Invalid - Not Specific", I3473="Invalid - Not Informed", I3473="Invalid - Ambiguous"), "Gap - Invalid Consent", "Compliant")))))</f>
        <v/>
      </c>
      <c r="O3473" s="7" t="n"/>
    </row>
    <row r="3474">
      <c r="A3474" s="7" t="n"/>
      <c r="B3474" s="7" t="n"/>
      <c r="C3474" s="7" t="n"/>
      <c r="D3474" s="7" t="n"/>
      <c r="E3474" s="7" t="n"/>
      <c r="F3474" s="7" t="n"/>
      <c r="G3474" s="7" t="n"/>
      <c r="H3474" s="7" t="n"/>
      <c r="I3474" s="7" t="n"/>
      <c r="J3474" s="7" t="n"/>
      <c r="K3474">
        <f>IF(D3474="Legitimate Interest (GDPR Art. 6(1)(f))", "Yes / Required (Sheet 3)", "")</f>
        <v/>
      </c>
      <c r="L3474" s="7" t="n"/>
      <c r="M3474" s="7" t="n"/>
      <c r="N3474">
        <f>IF(D3474="", "Gap - No Legal Basis", IF(AND(D3474="Consent (GDPR Art. 6(1)(a))", I3474="Not Captured"), "Gap - Invalid Consent", IF(AND(D3474="Legitimate Interest (GDPR Art. 6(1)(f))", L3474=""), "Gap - Missing LIA", IF(AND(G3474="Yes", H3474=""), "Gap - Missing Art. 9 Basis", IF(OR(I3474="Invalid - Not Freely Given", I3474="Invalid - Not Specific", I3474="Invalid - Not Informed", I3474="Invalid - Ambiguous"), "Gap - Invalid Consent", "Compliant")))))</f>
        <v/>
      </c>
      <c r="O3474" s="7" t="n"/>
    </row>
    <row r="3475">
      <c r="A3475" s="7" t="n"/>
      <c r="B3475" s="7" t="n"/>
      <c r="C3475" s="7" t="n"/>
      <c r="D3475" s="7" t="n"/>
      <c r="E3475" s="7" t="n"/>
      <c r="F3475" s="7" t="n"/>
      <c r="G3475" s="7" t="n"/>
      <c r="H3475" s="7" t="n"/>
      <c r="I3475" s="7" t="n"/>
      <c r="J3475" s="7" t="n"/>
      <c r="K3475">
        <f>IF(D3475="Legitimate Interest (GDPR Art. 6(1)(f))", "Yes / Required (Sheet 3)", "")</f>
        <v/>
      </c>
      <c r="L3475" s="7" t="n"/>
      <c r="M3475" s="7" t="n"/>
      <c r="N3475">
        <f>IF(D3475="", "Gap - No Legal Basis", IF(AND(D3475="Consent (GDPR Art. 6(1)(a))", I3475="Not Captured"), "Gap - Invalid Consent", IF(AND(D3475="Legitimate Interest (GDPR Art. 6(1)(f))", L3475=""), "Gap - Missing LIA", IF(AND(G3475="Yes", H3475=""), "Gap - Missing Art. 9 Basis", IF(OR(I3475="Invalid - Not Freely Given", I3475="Invalid - Not Specific", I3475="Invalid - Not Informed", I3475="Invalid - Ambiguous"), "Gap - Invalid Consent", "Compliant")))))</f>
        <v/>
      </c>
      <c r="O3475" s="7" t="n"/>
    </row>
    <row r="3476">
      <c r="A3476" s="7" t="n"/>
      <c r="B3476" s="7" t="n"/>
      <c r="C3476" s="7" t="n"/>
      <c r="D3476" s="7" t="n"/>
      <c r="E3476" s="7" t="n"/>
      <c r="F3476" s="7" t="n"/>
      <c r="G3476" s="7" t="n"/>
      <c r="H3476" s="7" t="n"/>
      <c r="I3476" s="7" t="n"/>
      <c r="J3476" s="7" t="n"/>
      <c r="K3476">
        <f>IF(D3476="Legitimate Interest (GDPR Art. 6(1)(f))", "Yes / Required (Sheet 3)", "")</f>
        <v/>
      </c>
      <c r="L3476" s="7" t="n"/>
      <c r="M3476" s="7" t="n"/>
      <c r="N3476">
        <f>IF(D3476="", "Gap - No Legal Basis", IF(AND(D3476="Consent (GDPR Art. 6(1)(a))", I3476="Not Captured"), "Gap - Invalid Consent", IF(AND(D3476="Legitimate Interest (GDPR Art. 6(1)(f))", L3476=""), "Gap - Missing LIA", IF(AND(G3476="Yes", H3476=""), "Gap - Missing Art. 9 Basis", IF(OR(I3476="Invalid - Not Freely Given", I3476="Invalid - Not Specific", I3476="Invalid - Not Informed", I3476="Invalid - Ambiguous"), "Gap - Invalid Consent", "Compliant")))))</f>
        <v/>
      </c>
      <c r="O3476" s="7" t="n"/>
    </row>
    <row r="3477">
      <c r="A3477" s="7" t="n"/>
      <c r="B3477" s="7" t="n"/>
      <c r="C3477" s="7" t="n"/>
      <c r="D3477" s="7" t="n"/>
      <c r="E3477" s="7" t="n"/>
      <c r="F3477" s="7" t="n"/>
      <c r="G3477" s="7" t="n"/>
      <c r="H3477" s="7" t="n"/>
      <c r="I3477" s="7" t="n"/>
      <c r="J3477" s="7" t="n"/>
      <c r="K3477">
        <f>IF(D3477="Legitimate Interest (GDPR Art. 6(1)(f))", "Yes / Required (Sheet 3)", "")</f>
        <v/>
      </c>
      <c r="L3477" s="7" t="n"/>
      <c r="M3477" s="7" t="n"/>
      <c r="N3477">
        <f>IF(D3477="", "Gap - No Legal Basis", IF(AND(D3477="Consent (GDPR Art. 6(1)(a))", I3477="Not Captured"), "Gap - Invalid Consent", IF(AND(D3477="Legitimate Interest (GDPR Art. 6(1)(f))", L3477=""), "Gap - Missing LIA", IF(AND(G3477="Yes", H3477=""), "Gap - Missing Art. 9 Basis", IF(OR(I3477="Invalid - Not Freely Given", I3477="Invalid - Not Specific", I3477="Invalid - Not Informed", I3477="Invalid - Ambiguous"), "Gap - Invalid Consent", "Compliant")))))</f>
        <v/>
      </c>
      <c r="O3477" s="7" t="n"/>
    </row>
    <row r="3478">
      <c r="A3478" s="7" t="n"/>
      <c r="B3478" s="7" t="n"/>
      <c r="C3478" s="7" t="n"/>
      <c r="D3478" s="7" t="n"/>
      <c r="E3478" s="7" t="n"/>
      <c r="F3478" s="7" t="n"/>
      <c r="G3478" s="7" t="n"/>
      <c r="H3478" s="7" t="n"/>
      <c r="I3478" s="7" t="n"/>
      <c r="J3478" s="7" t="n"/>
      <c r="K3478">
        <f>IF(D3478="Legitimate Interest (GDPR Art. 6(1)(f))", "Yes / Required (Sheet 3)", "")</f>
        <v/>
      </c>
      <c r="L3478" s="7" t="n"/>
      <c r="M3478" s="7" t="n"/>
      <c r="N3478">
        <f>IF(D3478="", "Gap - No Legal Basis", IF(AND(D3478="Consent (GDPR Art. 6(1)(a))", I3478="Not Captured"), "Gap - Invalid Consent", IF(AND(D3478="Legitimate Interest (GDPR Art. 6(1)(f))", L3478=""), "Gap - Missing LIA", IF(AND(G3478="Yes", H3478=""), "Gap - Missing Art. 9 Basis", IF(OR(I3478="Invalid - Not Freely Given", I3478="Invalid - Not Specific", I3478="Invalid - Not Informed", I3478="Invalid - Ambiguous"), "Gap - Invalid Consent", "Compliant")))))</f>
        <v/>
      </c>
      <c r="O3478" s="7" t="n"/>
    </row>
    <row r="3479">
      <c r="A3479" s="7" t="n"/>
      <c r="B3479" s="7" t="n"/>
      <c r="C3479" s="7" t="n"/>
      <c r="D3479" s="7" t="n"/>
      <c r="E3479" s="7" t="n"/>
      <c r="F3479" s="7" t="n"/>
      <c r="G3479" s="7" t="n"/>
      <c r="H3479" s="7" t="n"/>
      <c r="I3479" s="7" t="n"/>
      <c r="J3479" s="7" t="n"/>
      <c r="K3479">
        <f>IF(D3479="Legitimate Interest (GDPR Art. 6(1)(f))", "Yes / Required (Sheet 3)", "")</f>
        <v/>
      </c>
      <c r="L3479" s="7" t="n"/>
      <c r="M3479" s="7" t="n"/>
      <c r="N3479">
        <f>IF(D3479="", "Gap - No Legal Basis", IF(AND(D3479="Consent (GDPR Art. 6(1)(a))", I3479="Not Captured"), "Gap - Invalid Consent", IF(AND(D3479="Legitimate Interest (GDPR Art. 6(1)(f))", L3479=""), "Gap - Missing LIA", IF(AND(G3479="Yes", H3479=""), "Gap - Missing Art. 9 Basis", IF(OR(I3479="Invalid - Not Freely Given", I3479="Invalid - Not Specific", I3479="Invalid - Not Informed", I3479="Invalid - Ambiguous"), "Gap - Invalid Consent", "Compliant")))))</f>
        <v/>
      </c>
      <c r="O3479" s="7" t="n"/>
    </row>
    <row r="3480">
      <c r="A3480" s="7" t="n"/>
      <c r="B3480" s="7" t="n"/>
      <c r="C3480" s="7" t="n"/>
      <c r="D3480" s="7" t="n"/>
      <c r="E3480" s="7" t="n"/>
      <c r="F3480" s="7" t="n"/>
      <c r="G3480" s="7" t="n"/>
      <c r="H3480" s="7" t="n"/>
      <c r="I3480" s="7" t="n"/>
      <c r="J3480" s="7" t="n"/>
      <c r="K3480">
        <f>IF(D3480="Legitimate Interest (GDPR Art. 6(1)(f))", "Yes / Required (Sheet 3)", "")</f>
        <v/>
      </c>
      <c r="L3480" s="7" t="n"/>
      <c r="M3480" s="7" t="n"/>
      <c r="N3480">
        <f>IF(D3480="", "Gap - No Legal Basis", IF(AND(D3480="Consent (GDPR Art. 6(1)(a))", I3480="Not Captured"), "Gap - Invalid Consent", IF(AND(D3480="Legitimate Interest (GDPR Art. 6(1)(f))", L3480=""), "Gap - Missing LIA", IF(AND(G3480="Yes", H3480=""), "Gap - Missing Art. 9 Basis", IF(OR(I3480="Invalid - Not Freely Given", I3480="Invalid - Not Specific", I3480="Invalid - Not Informed", I3480="Invalid - Ambiguous"), "Gap - Invalid Consent", "Compliant")))))</f>
        <v/>
      </c>
      <c r="O3480" s="7" t="n"/>
    </row>
    <row r="3481">
      <c r="A3481" s="7" t="n"/>
      <c r="B3481" s="7" t="n"/>
      <c r="C3481" s="7" t="n"/>
      <c r="D3481" s="7" t="n"/>
      <c r="E3481" s="7" t="n"/>
      <c r="F3481" s="7" t="n"/>
      <c r="G3481" s="7" t="n"/>
      <c r="H3481" s="7" t="n"/>
      <c r="I3481" s="7" t="n"/>
      <c r="J3481" s="7" t="n"/>
      <c r="K3481">
        <f>IF(D3481="Legitimate Interest (GDPR Art. 6(1)(f))", "Yes / Required (Sheet 3)", "")</f>
        <v/>
      </c>
      <c r="L3481" s="7" t="n"/>
      <c r="M3481" s="7" t="n"/>
      <c r="N3481">
        <f>IF(D3481="", "Gap - No Legal Basis", IF(AND(D3481="Consent (GDPR Art. 6(1)(a))", I3481="Not Captured"), "Gap - Invalid Consent", IF(AND(D3481="Legitimate Interest (GDPR Art. 6(1)(f))", L3481=""), "Gap - Missing LIA", IF(AND(G3481="Yes", H3481=""), "Gap - Missing Art. 9 Basis", IF(OR(I3481="Invalid - Not Freely Given", I3481="Invalid - Not Specific", I3481="Invalid - Not Informed", I3481="Invalid - Ambiguous"), "Gap - Invalid Consent", "Compliant")))))</f>
        <v/>
      </c>
      <c r="O3481" s="7" t="n"/>
    </row>
    <row r="3482">
      <c r="A3482" s="7" t="n"/>
      <c r="B3482" s="7" t="n"/>
      <c r="C3482" s="7" t="n"/>
      <c r="D3482" s="7" t="n"/>
      <c r="E3482" s="7" t="n"/>
      <c r="F3482" s="7" t="n"/>
      <c r="G3482" s="7" t="n"/>
      <c r="H3482" s="7" t="n"/>
      <c r="I3482" s="7" t="n"/>
      <c r="J3482" s="7" t="n"/>
      <c r="K3482">
        <f>IF(D3482="Legitimate Interest (GDPR Art. 6(1)(f))", "Yes / Required (Sheet 3)", "")</f>
        <v/>
      </c>
      <c r="L3482" s="7" t="n"/>
      <c r="M3482" s="7" t="n"/>
      <c r="N3482">
        <f>IF(D3482="", "Gap - No Legal Basis", IF(AND(D3482="Consent (GDPR Art. 6(1)(a))", I3482="Not Captured"), "Gap - Invalid Consent", IF(AND(D3482="Legitimate Interest (GDPR Art. 6(1)(f))", L3482=""), "Gap - Missing LIA", IF(AND(G3482="Yes", H3482=""), "Gap - Missing Art. 9 Basis", IF(OR(I3482="Invalid - Not Freely Given", I3482="Invalid - Not Specific", I3482="Invalid - Not Informed", I3482="Invalid - Ambiguous"), "Gap - Invalid Consent", "Compliant")))))</f>
        <v/>
      </c>
      <c r="O3482" s="7" t="n"/>
    </row>
    <row r="3483">
      <c r="A3483" s="7" t="n"/>
      <c r="B3483" s="7" t="n"/>
      <c r="C3483" s="7" t="n"/>
      <c r="D3483" s="7" t="n"/>
      <c r="E3483" s="7" t="n"/>
      <c r="F3483" s="7" t="n"/>
      <c r="G3483" s="7" t="n"/>
      <c r="H3483" s="7" t="n"/>
      <c r="I3483" s="7" t="n"/>
      <c r="J3483" s="7" t="n"/>
      <c r="K3483">
        <f>IF(D3483="Legitimate Interest (GDPR Art. 6(1)(f))", "Yes / Required (Sheet 3)", "")</f>
        <v/>
      </c>
      <c r="L3483" s="7" t="n"/>
      <c r="M3483" s="7" t="n"/>
      <c r="N3483">
        <f>IF(D3483="", "Gap - No Legal Basis", IF(AND(D3483="Consent (GDPR Art. 6(1)(a))", I3483="Not Captured"), "Gap - Invalid Consent", IF(AND(D3483="Legitimate Interest (GDPR Art. 6(1)(f))", L3483=""), "Gap - Missing LIA", IF(AND(G3483="Yes", H3483=""), "Gap - Missing Art. 9 Basis", IF(OR(I3483="Invalid - Not Freely Given", I3483="Invalid - Not Specific", I3483="Invalid - Not Informed", I3483="Invalid - Ambiguous"), "Gap - Invalid Consent", "Compliant")))))</f>
        <v/>
      </c>
      <c r="O3483" s="7" t="n"/>
    </row>
    <row r="3484">
      <c r="A3484" s="7" t="n"/>
      <c r="B3484" s="7" t="n"/>
      <c r="C3484" s="7" t="n"/>
      <c r="D3484" s="7" t="n"/>
      <c r="E3484" s="7" t="n"/>
      <c r="F3484" s="7" t="n"/>
      <c r="G3484" s="7" t="n"/>
      <c r="H3484" s="7" t="n"/>
      <c r="I3484" s="7" t="n"/>
      <c r="J3484" s="7" t="n"/>
      <c r="K3484">
        <f>IF(D3484="Legitimate Interest (GDPR Art. 6(1)(f))", "Yes / Required (Sheet 3)", "")</f>
        <v/>
      </c>
      <c r="L3484" s="7" t="n"/>
      <c r="M3484" s="7" t="n"/>
      <c r="N3484">
        <f>IF(D3484="", "Gap - No Legal Basis", IF(AND(D3484="Consent (GDPR Art. 6(1)(a))", I3484="Not Captured"), "Gap - Invalid Consent", IF(AND(D3484="Legitimate Interest (GDPR Art. 6(1)(f))", L3484=""), "Gap - Missing LIA", IF(AND(G3484="Yes", H3484=""), "Gap - Missing Art. 9 Basis", IF(OR(I3484="Invalid - Not Freely Given", I3484="Invalid - Not Specific", I3484="Invalid - Not Informed", I3484="Invalid - Ambiguous"), "Gap - Invalid Consent", "Compliant")))))</f>
        <v/>
      </c>
      <c r="O3484" s="7" t="n"/>
    </row>
    <row r="3485">
      <c r="A3485" s="7" t="n"/>
      <c r="B3485" s="7" t="n"/>
      <c r="C3485" s="7" t="n"/>
      <c r="D3485" s="7" t="n"/>
      <c r="E3485" s="7" t="n"/>
      <c r="F3485" s="7" t="n"/>
      <c r="G3485" s="7" t="n"/>
      <c r="H3485" s="7" t="n"/>
      <c r="I3485" s="7" t="n"/>
      <c r="J3485" s="7" t="n"/>
      <c r="K3485">
        <f>IF(D3485="Legitimate Interest (GDPR Art. 6(1)(f))", "Yes / Required (Sheet 3)", "")</f>
        <v/>
      </c>
      <c r="L3485" s="7" t="n"/>
      <c r="M3485" s="7" t="n"/>
      <c r="N3485">
        <f>IF(D3485="", "Gap - No Legal Basis", IF(AND(D3485="Consent (GDPR Art. 6(1)(a))", I3485="Not Captured"), "Gap - Invalid Consent", IF(AND(D3485="Legitimate Interest (GDPR Art. 6(1)(f))", L3485=""), "Gap - Missing LIA", IF(AND(G3485="Yes", H3485=""), "Gap - Missing Art. 9 Basis", IF(OR(I3485="Invalid - Not Freely Given", I3485="Invalid - Not Specific", I3485="Invalid - Not Informed", I3485="Invalid - Ambiguous"), "Gap - Invalid Consent", "Compliant")))))</f>
        <v/>
      </c>
      <c r="O3485" s="7" t="n"/>
    </row>
    <row r="3486">
      <c r="A3486" s="7" t="n"/>
      <c r="B3486" s="7" t="n"/>
      <c r="C3486" s="7" t="n"/>
      <c r="D3486" s="7" t="n"/>
      <c r="E3486" s="7" t="n"/>
      <c r="F3486" s="7" t="n"/>
      <c r="G3486" s="7" t="n"/>
      <c r="H3486" s="7" t="n"/>
      <c r="I3486" s="7" t="n"/>
      <c r="J3486" s="7" t="n"/>
      <c r="K3486">
        <f>IF(D3486="Legitimate Interest (GDPR Art. 6(1)(f))", "Yes / Required (Sheet 3)", "")</f>
        <v/>
      </c>
      <c r="L3486" s="7" t="n"/>
      <c r="M3486" s="7" t="n"/>
      <c r="N3486">
        <f>IF(D3486="", "Gap - No Legal Basis", IF(AND(D3486="Consent (GDPR Art. 6(1)(a))", I3486="Not Captured"), "Gap - Invalid Consent", IF(AND(D3486="Legitimate Interest (GDPR Art. 6(1)(f))", L3486=""), "Gap - Missing LIA", IF(AND(G3486="Yes", H3486=""), "Gap - Missing Art. 9 Basis", IF(OR(I3486="Invalid - Not Freely Given", I3486="Invalid - Not Specific", I3486="Invalid - Not Informed", I3486="Invalid - Ambiguous"), "Gap - Invalid Consent", "Compliant")))))</f>
        <v/>
      </c>
      <c r="O3486" s="7" t="n"/>
    </row>
    <row r="3487">
      <c r="A3487" s="7" t="n"/>
      <c r="B3487" s="7" t="n"/>
      <c r="C3487" s="7" t="n"/>
      <c r="D3487" s="7" t="n"/>
      <c r="E3487" s="7" t="n"/>
      <c r="F3487" s="7" t="n"/>
      <c r="G3487" s="7" t="n"/>
      <c r="H3487" s="7" t="n"/>
      <c r="I3487" s="7" t="n"/>
      <c r="J3487" s="7" t="n"/>
      <c r="K3487">
        <f>IF(D3487="Legitimate Interest (GDPR Art. 6(1)(f))", "Yes / Required (Sheet 3)", "")</f>
        <v/>
      </c>
      <c r="L3487" s="7" t="n"/>
      <c r="M3487" s="7" t="n"/>
      <c r="N3487">
        <f>IF(D3487="", "Gap - No Legal Basis", IF(AND(D3487="Consent (GDPR Art. 6(1)(a))", I3487="Not Captured"), "Gap - Invalid Consent", IF(AND(D3487="Legitimate Interest (GDPR Art. 6(1)(f))", L3487=""), "Gap - Missing LIA", IF(AND(G3487="Yes", H3487=""), "Gap - Missing Art. 9 Basis", IF(OR(I3487="Invalid - Not Freely Given", I3487="Invalid - Not Specific", I3487="Invalid - Not Informed", I3487="Invalid - Ambiguous"), "Gap - Invalid Consent", "Compliant")))))</f>
        <v/>
      </c>
      <c r="O3487" s="7" t="n"/>
    </row>
    <row r="3488">
      <c r="A3488" s="7" t="n"/>
      <c r="B3488" s="7" t="n"/>
      <c r="C3488" s="7" t="n"/>
      <c r="D3488" s="7" t="n"/>
      <c r="E3488" s="7" t="n"/>
      <c r="F3488" s="7" t="n"/>
      <c r="G3488" s="7" t="n"/>
      <c r="H3488" s="7" t="n"/>
      <c r="I3488" s="7" t="n"/>
      <c r="J3488" s="7" t="n"/>
      <c r="K3488">
        <f>IF(D3488="Legitimate Interest (GDPR Art. 6(1)(f))", "Yes / Required (Sheet 3)", "")</f>
        <v/>
      </c>
      <c r="L3488" s="7" t="n"/>
      <c r="M3488" s="7" t="n"/>
      <c r="N3488">
        <f>IF(D3488="", "Gap - No Legal Basis", IF(AND(D3488="Consent (GDPR Art. 6(1)(a))", I3488="Not Captured"), "Gap - Invalid Consent", IF(AND(D3488="Legitimate Interest (GDPR Art. 6(1)(f))", L3488=""), "Gap - Missing LIA", IF(AND(G3488="Yes", H3488=""), "Gap - Missing Art. 9 Basis", IF(OR(I3488="Invalid - Not Freely Given", I3488="Invalid - Not Specific", I3488="Invalid - Not Informed", I3488="Invalid - Ambiguous"), "Gap - Invalid Consent", "Compliant")))))</f>
        <v/>
      </c>
      <c r="O3488" s="7" t="n"/>
    </row>
    <row r="3489">
      <c r="A3489" s="7" t="n"/>
      <c r="B3489" s="7" t="n"/>
      <c r="C3489" s="7" t="n"/>
      <c r="D3489" s="7" t="n"/>
      <c r="E3489" s="7" t="n"/>
      <c r="F3489" s="7" t="n"/>
      <c r="G3489" s="7" t="n"/>
      <c r="H3489" s="7" t="n"/>
      <c r="I3489" s="7" t="n"/>
      <c r="J3489" s="7" t="n"/>
      <c r="K3489">
        <f>IF(D3489="Legitimate Interest (GDPR Art. 6(1)(f))", "Yes / Required (Sheet 3)", "")</f>
        <v/>
      </c>
      <c r="L3489" s="7" t="n"/>
      <c r="M3489" s="7" t="n"/>
      <c r="N3489">
        <f>IF(D3489="", "Gap - No Legal Basis", IF(AND(D3489="Consent (GDPR Art. 6(1)(a))", I3489="Not Captured"), "Gap - Invalid Consent", IF(AND(D3489="Legitimate Interest (GDPR Art. 6(1)(f))", L3489=""), "Gap - Missing LIA", IF(AND(G3489="Yes", H3489=""), "Gap - Missing Art. 9 Basis", IF(OR(I3489="Invalid - Not Freely Given", I3489="Invalid - Not Specific", I3489="Invalid - Not Informed", I3489="Invalid - Ambiguous"), "Gap - Invalid Consent", "Compliant")))))</f>
        <v/>
      </c>
      <c r="O3489" s="7" t="n"/>
    </row>
    <row r="3490">
      <c r="A3490" s="7" t="n"/>
      <c r="B3490" s="7" t="n"/>
      <c r="C3490" s="7" t="n"/>
      <c r="D3490" s="7" t="n"/>
      <c r="E3490" s="7" t="n"/>
      <c r="F3490" s="7" t="n"/>
      <c r="G3490" s="7" t="n"/>
      <c r="H3490" s="7" t="n"/>
      <c r="I3490" s="7" t="n"/>
      <c r="J3490" s="7" t="n"/>
      <c r="K3490">
        <f>IF(D3490="Legitimate Interest (GDPR Art. 6(1)(f))", "Yes / Required (Sheet 3)", "")</f>
        <v/>
      </c>
      <c r="L3490" s="7" t="n"/>
      <c r="M3490" s="7" t="n"/>
      <c r="N3490">
        <f>IF(D3490="", "Gap - No Legal Basis", IF(AND(D3490="Consent (GDPR Art. 6(1)(a))", I3490="Not Captured"), "Gap - Invalid Consent", IF(AND(D3490="Legitimate Interest (GDPR Art. 6(1)(f))", L3490=""), "Gap - Missing LIA", IF(AND(G3490="Yes", H3490=""), "Gap - Missing Art. 9 Basis", IF(OR(I3490="Invalid - Not Freely Given", I3490="Invalid - Not Specific", I3490="Invalid - Not Informed", I3490="Invalid - Ambiguous"), "Gap - Invalid Consent", "Compliant")))))</f>
        <v/>
      </c>
      <c r="O3490" s="7" t="n"/>
    </row>
    <row r="3491">
      <c r="A3491" s="7" t="n"/>
      <c r="B3491" s="7" t="n"/>
      <c r="C3491" s="7" t="n"/>
      <c r="D3491" s="7" t="n"/>
      <c r="E3491" s="7" t="n"/>
      <c r="F3491" s="7" t="n"/>
      <c r="G3491" s="7" t="n"/>
      <c r="H3491" s="7" t="n"/>
      <c r="I3491" s="7" t="n"/>
      <c r="J3491" s="7" t="n"/>
      <c r="K3491">
        <f>IF(D3491="Legitimate Interest (GDPR Art. 6(1)(f))", "Yes / Required (Sheet 3)", "")</f>
        <v/>
      </c>
      <c r="L3491" s="7" t="n"/>
      <c r="M3491" s="7" t="n"/>
      <c r="N3491">
        <f>IF(D3491="", "Gap - No Legal Basis", IF(AND(D3491="Consent (GDPR Art. 6(1)(a))", I3491="Not Captured"), "Gap - Invalid Consent", IF(AND(D3491="Legitimate Interest (GDPR Art. 6(1)(f))", L3491=""), "Gap - Missing LIA", IF(AND(G3491="Yes", H3491=""), "Gap - Missing Art. 9 Basis", IF(OR(I3491="Invalid - Not Freely Given", I3491="Invalid - Not Specific", I3491="Invalid - Not Informed", I3491="Invalid - Ambiguous"), "Gap - Invalid Consent", "Compliant")))))</f>
        <v/>
      </c>
      <c r="O3491" s="7" t="n"/>
    </row>
    <row r="3492">
      <c r="A3492" s="7" t="n"/>
      <c r="B3492" s="7" t="n"/>
      <c r="C3492" s="7" t="n"/>
      <c r="D3492" s="7" t="n"/>
      <c r="E3492" s="7" t="n"/>
      <c r="F3492" s="7" t="n"/>
      <c r="G3492" s="7" t="n"/>
      <c r="H3492" s="7" t="n"/>
      <c r="I3492" s="7" t="n"/>
      <c r="J3492" s="7" t="n"/>
      <c r="K3492">
        <f>IF(D3492="Legitimate Interest (GDPR Art. 6(1)(f))", "Yes / Required (Sheet 3)", "")</f>
        <v/>
      </c>
      <c r="L3492" s="7" t="n"/>
      <c r="M3492" s="7" t="n"/>
      <c r="N3492">
        <f>IF(D3492="", "Gap - No Legal Basis", IF(AND(D3492="Consent (GDPR Art. 6(1)(a))", I3492="Not Captured"), "Gap - Invalid Consent", IF(AND(D3492="Legitimate Interest (GDPR Art. 6(1)(f))", L3492=""), "Gap - Missing LIA", IF(AND(G3492="Yes", H3492=""), "Gap - Missing Art. 9 Basis", IF(OR(I3492="Invalid - Not Freely Given", I3492="Invalid - Not Specific", I3492="Invalid - Not Informed", I3492="Invalid - Ambiguous"), "Gap - Invalid Consent", "Compliant")))))</f>
        <v/>
      </c>
      <c r="O3492" s="7" t="n"/>
    </row>
    <row r="3493">
      <c r="A3493" s="7" t="n"/>
      <c r="B3493" s="7" t="n"/>
      <c r="C3493" s="7" t="n"/>
      <c r="D3493" s="7" t="n"/>
      <c r="E3493" s="7" t="n"/>
      <c r="F3493" s="7" t="n"/>
      <c r="G3493" s="7" t="n"/>
      <c r="H3493" s="7" t="n"/>
      <c r="I3493" s="7" t="n"/>
      <c r="J3493" s="7" t="n"/>
      <c r="K3493">
        <f>IF(D3493="Legitimate Interest (GDPR Art. 6(1)(f))", "Yes / Required (Sheet 3)", "")</f>
        <v/>
      </c>
      <c r="L3493" s="7" t="n"/>
      <c r="M3493" s="7" t="n"/>
      <c r="N3493">
        <f>IF(D3493="", "Gap - No Legal Basis", IF(AND(D3493="Consent (GDPR Art. 6(1)(a))", I3493="Not Captured"), "Gap - Invalid Consent", IF(AND(D3493="Legitimate Interest (GDPR Art. 6(1)(f))", L3493=""), "Gap - Missing LIA", IF(AND(G3493="Yes", H3493=""), "Gap - Missing Art. 9 Basis", IF(OR(I3493="Invalid - Not Freely Given", I3493="Invalid - Not Specific", I3493="Invalid - Not Informed", I3493="Invalid - Ambiguous"), "Gap - Invalid Consent", "Compliant")))))</f>
        <v/>
      </c>
      <c r="O3493" s="7" t="n"/>
    </row>
    <row r="3494">
      <c r="A3494" s="7" t="n"/>
      <c r="B3494" s="7" t="n"/>
      <c r="C3494" s="7" t="n"/>
      <c r="D3494" s="7" t="n"/>
      <c r="E3494" s="7" t="n"/>
      <c r="F3494" s="7" t="n"/>
      <c r="G3494" s="7" t="n"/>
      <c r="H3494" s="7" t="n"/>
      <c r="I3494" s="7" t="n"/>
      <c r="J3494" s="7" t="n"/>
      <c r="K3494">
        <f>IF(D3494="Legitimate Interest (GDPR Art. 6(1)(f))", "Yes / Required (Sheet 3)", "")</f>
        <v/>
      </c>
      <c r="L3494" s="7" t="n"/>
      <c r="M3494" s="7" t="n"/>
      <c r="N3494">
        <f>IF(D3494="", "Gap - No Legal Basis", IF(AND(D3494="Consent (GDPR Art. 6(1)(a))", I3494="Not Captured"), "Gap - Invalid Consent", IF(AND(D3494="Legitimate Interest (GDPR Art. 6(1)(f))", L3494=""), "Gap - Missing LIA", IF(AND(G3494="Yes", H3494=""), "Gap - Missing Art. 9 Basis", IF(OR(I3494="Invalid - Not Freely Given", I3494="Invalid - Not Specific", I3494="Invalid - Not Informed", I3494="Invalid - Ambiguous"), "Gap - Invalid Consent", "Compliant")))))</f>
        <v/>
      </c>
      <c r="O3494" s="7" t="n"/>
    </row>
    <row r="3495">
      <c r="A3495" s="7" t="n"/>
      <c r="B3495" s="7" t="n"/>
      <c r="C3495" s="7" t="n"/>
      <c r="D3495" s="7" t="n"/>
      <c r="E3495" s="7" t="n"/>
      <c r="F3495" s="7" t="n"/>
      <c r="G3495" s="7" t="n"/>
      <c r="H3495" s="7" t="n"/>
      <c r="I3495" s="7" t="n"/>
      <c r="J3495" s="7" t="n"/>
      <c r="K3495">
        <f>IF(D3495="Legitimate Interest (GDPR Art. 6(1)(f))", "Yes / Required (Sheet 3)", "")</f>
        <v/>
      </c>
      <c r="L3495" s="7" t="n"/>
      <c r="M3495" s="7" t="n"/>
      <c r="N3495">
        <f>IF(D3495="", "Gap - No Legal Basis", IF(AND(D3495="Consent (GDPR Art. 6(1)(a))", I3495="Not Captured"), "Gap - Invalid Consent", IF(AND(D3495="Legitimate Interest (GDPR Art. 6(1)(f))", L3495=""), "Gap - Missing LIA", IF(AND(G3495="Yes", H3495=""), "Gap - Missing Art. 9 Basis", IF(OR(I3495="Invalid - Not Freely Given", I3495="Invalid - Not Specific", I3495="Invalid - Not Informed", I3495="Invalid - Ambiguous"), "Gap - Invalid Consent", "Compliant")))))</f>
        <v/>
      </c>
      <c r="O3495" s="7" t="n"/>
    </row>
    <row r="3496">
      <c r="A3496" s="7" t="n"/>
      <c r="B3496" s="7" t="n"/>
      <c r="C3496" s="7" t="n"/>
      <c r="D3496" s="7" t="n"/>
      <c r="E3496" s="7" t="n"/>
      <c r="F3496" s="7" t="n"/>
      <c r="G3496" s="7" t="n"/>
      <c r="H3496" s="7" t="n"/>
      <c r="I3496" s="7" t="n"/>
      <c r="J3496" s="7" t="n"/>
      <c r="K3496">
        <f>IF(D3496="Legitimate Interest (GDPR Art. 6(1)(f))", "Yes / Required (Sheet 3)", "")</f>
        <v/>
      </c>
      <c r="L3496" s="7" t="n"/>
      <c r="M3496" s="7" t="n"/>
      <c r="N3496">
        <f>IF(D3496="", "Gap - No Legal Basis", IF(AND(D3496="Consent (GDPR Art. 6(1)(a))", I3496="Not Captured"), "Gap - Invalid Consent", IF(AND(D3496="Legitimate Interest (GDPR Art. 6(1)(f))", L3496=""), "Gap - Missing LIA", IF(AND(G3496="Yes", H3496=""), "Gap - Missing Art. 9 Basis", IF(OR(I3496="Invalid - Not Freely Given", I3496="Invalid - Not Specific", I3496="Invalid - Not Informed", I3496="Invalid - Ambiguous"), "Gap - Invalid Consent", "Compliant")))))</f>
        <v/>
      </c>
      <c r="O3496" s="7" t="n"/>
    </row>
    <row r="3497">
      <c r="A3497" s="7" t="n"/>
      <c r="B3497" s="7" t="n"/>
      <c r="C3497" s="7" t="n"/>
      <c r="D3497" s="7" t="n"/>
      <c r="E3497" s="7" t="n"/>
      <c r="F3497" s="7" t="n"/>
      <c r="G3497" s="7" t="n"/>
      <c r="H3497" s="7" t="n"/>
      <c r="I3497" s="7" t="n"/>
      <c r="J3497" s="7" t="n"/>
      <c r="K3497">
        <f>IF(D3497="Legitimate Interest (GDPR Art. 6(1)(f))", "Yes / Required (Sheet 3)", "")</f>
        <v/>
      </c>
      <c r="L3497" s="7" t="n"/>
      <c r="M3497" s="7" t="n"/>
      <c r="N3497">
        <f>IF(D3497="", "Gap - No Legal Basis", IF(AND(D3497="Consent (GDPR Art. 6(1)(a))", I3497="Not Captured"), "Gap - Invalid Consent", IF(AND(D3497="Legitimate Interest (GDPR Art. 6(1)(f))", L3497=""), "Gap - Missing LIA", IF(AND(G3497="Yes", H3497=""), "Gap - Missing Art. 9 Basis", IF(OR(I3497="Invalid - Not Freely Given", I3497="Invalid - Not Specific", I3497="Invalid - Not Informed", I3497="Invalid - Ambiguous"), "Gap - Invalid Consent", "Compliant")))))</f>
        <v/>
      </c>
      <c r="O3497" s="7" t="n"/>
    </row>
    <row r="3498">
      <c r="A3498" s="7" t="n"/>
      <c r="B3498" s="7" t="n"/>
      <c r="C3498" s="7" t="n"/>
      <c r="D3498" s="7" t="n"/>
      <c r="E3498" s="7" t="n"/>
      <c r="F3498" s="7" t="n"/>
      <c r="G3498" s="7" t="n"/>
      <c r="H3498" s="7" t="n"/>
      <c r="I3498" s="7" t="n"/>
      <c r="J3498" s="7" t="n"/>
      <c r="K3498">
        <f>IF(D3498="Legitimate Interest (GDPR Art. 6(1)(f))", "Yes / Required (Sheet 3)", "")</f>
        <v/>
      </c>
      <c r="L3498" s="7" t="n"/>
      <c r="M3498" s="7" t="n"/>
      <c r="N3498">
        <f>IF(D3498="", "Gap - No Legal Basis", IF(AND(D3498="Consent (GDPR Art. 6(1)(a))", I3498="Not Captured"), "Gap - Invalid Consent", IF(AND(D3498="Legitimate Interest (GDPR Art. 6(1)(f))", L3498=""), "Gap - Missing LIA", IF(AND(G3498="Yes", H3498=""), "Gap - Missing Art. 9 Basis", IF(OR(I3498="Invalid - Not Freely Given", I3498="Invalid - Not Specific", I3498="Invalid - Not Informed", I3498="Invalid - Ambiguous"), "Gap - Invalid Consent", "Compliant")))))</f>
        <v/>
      </c>
      <c r="O3498" s="7" t="n"/>
    </row>
    <row r="3499">
      <c r="A3499" s="7" t="n"/>
      <c r="B3499" s="7" t="n"/>
      <c r="C3499" s="7" t="n"/>
      <c r="D3499" s="7" t="n"/>
      <c r="E3499" s="7" t="n"/>
      <c r="F3499" s="7" t="n"/>
      <c r="G3499" s="7" t="n"/>
      <c r="H3499" s="7" t="n"/>
      <c r="I3499" s="7" t="n"/>
      <c r="J3499" s="7" t="n"/>
      <c r="K3499">
        <f>IF(D3499="Legitimate Interest (GDPR Art. 6(1)(f))", "Yes / Required (Sheet 3)", "")</f>
        <v/>
      </c>
      <c r="L3499" s="7" t="n"/>
      <c r="M3499" s="7" t="n"/>
      <c r="N3499">
        <f>IF(D3499="", "Gap - No Legal Basis", IF(AND(D3499="Consent (GDPR Art. 6(1)(a))", I3499="Not Captured"), "Gap - Invalid Consent", IF(AND(D3499="Legitimate Interest (GDPR Art. 6(1)(f))", L3499=""), "Gap - Missing LIA", IF(AND(G3499="Yes", H3499=""), "Gap - Missing Art. 9 Basis", IF(OR(I3499="Invalid - Not Freely Given", I3499="Invalid - Not Specific", I3499="Invalid - Not Informed", I3499="Invalid - Ambiguous"), "Gap - Invalid Consent", "Compliant")))))</f>
        <v/>
      </c>
      <c r="O3499" s="7" t="n"/>
    </row>
    <row r="3500">
      <c r="A3500" s="7" t="n"/>
      <c r="B3500" s="7" t="n"/>
      <c r="C3500" s="7" t="n"/>
      <c r="D3500" s="7" t="n"/>
      <c r="E3500" s="7" t="n"/>
      <c r="F3500" s="7" t="n"/>
      <c r="G3500" s="7" t="n"/>
      <c r="H3500" s="7" t="n"/>
      <c r="I3500" s="7" t="n"/>
      <c r="J3500" s="7" t="n"/>
      <c r="K3500">
        <f>IF(D3500="Legitimate Interest (GDPR Art. 6(1)(f))", "Yes / Required (Sheet 3)", "")</f>
        <v/>
      </c>
      <c r="L3500" s="7" t="n"/>
      <c r="M3500" s="7" t="n"/>
      <c r="N3500">
        <f>IF(D3500="", "Gap - No Legal Basis", IF(AND(D3500="Consent (GDPR Art. 6(1)(a))", I3500="Not Captured"), "Gap - Invalid Consent", IF(AND(D3500="Legitimate Interest (GDPR Art. 6(1)(f))", L3500=""), "Gap - Missing LIA", IF(AND(G3500="Yes", H3500=""), "Gap - Missing Art. 9 Basis", IF(OR(I3500="Invalid - Not Freely Given", I3500="Invalid - Not Specific", I3500="Invalid - Not Informed", I3500="Invalid - Ambiguous"), "Gap - Invalid Consent", "Compliant")))))</f>
        <v/>
      </c>
      <c r="O3500" s="7" t="n"/>
    </row>
    <row r="3501">
      <c r="A3501" s="7" t="n"/>
      <c r="B3501" s="7" t="n"/>
      <c r="C3501" s="7" t="n"/>
      <c r="D3501" s="7" t="n"/>
      <c r="E3501" s="7" t="n"/>
      <c r="F3501" s="7" t="n"/>
      <c r="G3501" s="7" t="n"/>
      <c r="H3501" s="7" t="n"/>
      <c r="I3501" s="7" t="n"/>
      <c r="J3501" s="7" t="n"/>
      <c r="K3501">
        <f>IF(D3501="Legitimate Interest (GDPR Art. 6(1)(f))", "Yes / Required (Sheet 3)", "")</f>
        <v/>
      </c>
      <c r="L3501" s="7" t="n"/>
      <c r="M3501" s="7" t="n"/>
      <c r="N3501">
        <f>IF(D3501="", "Gap - No Legal Basis", IF(AND(D3501="Consent (GDPR Art. 6(1)(a))", I3501="Not Captured"), "Gap - Invalid Consent", IF(AND(D3501="Legitimate Interest (GDPR Art. 6(1)(f))", L3501=""), "Gap - Missing LIA", IF(AND(G3501="Yes", H3501=""), "Gap - Missing Art. 9 Basis", IF(OR(I3501="Invalid - Not Freely Given", I3501="Invalid - Not Specific", I3501="Invalid - Not Informed", I3501="Invalid - Ambiguous"), "Gap - Invalid Consent", "Compliant")))))</f>
        <v/>
      </c>
      <c r="O3501" s="7" t="n"/>
    </row>
    <row r="3502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7" t="n"/>
      <c r="J3502" s="7" t="n"/>
      <c r="K3502">
        <f>IF(D3502="Legitimate Interest (GDPR Art. 6(1)(f))", "Yes / Required (Sheet 3)", "")</f>
        <v/>
      </c>
      <c r="L3502" s="7" t="n"/>
      <c r="M3502" s="7" t="n"/>
      <c r="N3502">
        <f>IF(D3502="", "Gap - No Legal Basis", IF(AND(D3502="Consent (GDPR Art. 6(1)(a))", I3502="Not Captured"), "Gap - Invalid Consent", IF(AND(D3502="Legitimate Interest (GDPR Art. 6(1)(f))", L3502=""), "Gap - Missing LIA", IF(AND(G3502="Yes", H3502=""), "Gap - Missing Art. 9 Basis", IF(OR(I3502="Invalid - Not Freely Given", I3502="Invalid - Not Specific", I3502="Invalid - Not Informed", I3502="Invalid - Ambiguous"), "Gap - Invalid Consent", "Compliant")))))</f>
        <v/>
      </c>
      <c r="O3502" s="7" t="n"/>
    </row>
    <row r="3503">
      <c r="A3503" s="7" t="n"/>
      <c r="B3503" s="7" t="n"/>
      <c r="C3503" s="7" t="n"/>
      <c r="D3503" s="7" t="n"/>
      <c r="E3503" s="7" t="n"/>
      <c r="F3503" s="7" t="n"/>
      <c r="G3503" s="7" t="n"/>
      <c r="H3503" s="7" t="n"/>
      <c r="I3503" s="7" t="n"/>
      <c r="J3503" s="7" t="n"/>
      <c r="K3503">
        <f>IF(D3503="Legitimate Interest (GDPR Art. 6(1)(f))", "Yes / Required (Sheet 3)", "")</f>
        <v/>
      </c>
      <c r="L3503" s="7" t="n"/>
      <c r="M3503" s="7" t="n"/>
      <c r="N3503">
        <f>IF(D3503="", "Gap - No Legal Basis", IF(AND(D3503="Consent (GDPR Art. 6(1)(a))", I3503="Not Captured"), "Gap - Invalid Consent", IF(AND(D3503="Legitimate Interest (GDPR Art. 6(1)(f))", L3503=""), "Gap - Missing LIA", IF(AND(G3503="Yes", H3503=""), "Gap - Missing Art. 9 Basis", IF(OR(I3503="Invalid - Not Freely Given", I3503="Invalid - Not Specific", I3503="Invalid - Not Informed", I3503="Invalid - Ambiguous"), "Gap - Invalid Consent", "Compliant")))))</f>
        <v/>
      </c>
      <c r="O3503" s="7" t="n"/>
    </row>
    <row r="3504">
      <c r="A3504" s="7" t="n"/>
      <c r="B3504" s="7" t="n"/>
      <c r="C3504" s="7" t="n"/>
      <c r="D3504" s="7" t="n"/>
      <c r="E3504" s="7" t="n"/>
      <c r="F3504" s="7" t="n"/>
      <c r="G3504" s="7" t="n"/>
      <c r="H3504" s="7" t="n"/>
      <c r="I3504" s="7" t="n"/>
      <c r="J3504" s="7" t="n"/>
      <c r="K3504">
        <f>IF(D3504="Legitimate Interest (GDPR Art. 6(1)(f))", "Yes / Required (Sheet 3)", "")</f>
        <v/>
      </c>
      <c r="L3504" s="7" t="n"/>
      <c r="M3504" s="7" t="n"/>
      <c r="N3504">
        <f>IF(D3504="", "Gap - No Legal Basis", IF(AND(D3504="Consent (GDPR Art. 6(1)(a))", I3504="Not Captured"), "Gap - Invalid Consent", IF(AND(D3504="Legitimate Interest (GDPR Art. 6(1)(f))", L3504=""), "Gap - Missing LIA", IF(AND(G3504="Yes", H3504=""), "Gap - Missing Art. 9 Basis", IF(OR(I3504="Invalid - Not Freely Given", I3504="Invalid - Not Specific", I3504="Invalid - Not Informed", I3504="Invalid - Ambiguous"), "Gap - Invalid Consent", "Compliant")))))</f>
        <v/>
      </c>
      <c r="O3504" s="7" t="n"/>
    </row>
    <row r="3505">
      <c r="A3505" s="7" t="n"/>
      <c r="B3505" s="7" t="n"/>
      <c r="C3505" s="7" t="n"/>
      <c r="D3505" s="7" t="n"/>
      <c r="E3505" s="7" t="n"/>
      <c r="F3505" s="7" t="n"/>
      <c r="G3505" s="7" t="n"/>
      <c r="H3505" s="7" t="n"/>
      <c r="I3505" s="7" t="n"/>
      <c r="J3505" s="7" t="n"/>
      <c r="K3505">
        <f>IF(D3505="Legitimate Interest (GDPR Art. 6(1)(f))", "Yes / Required (Sheet 3)", "")</f>
        <v/>
      </c>
      <c r="L3505" s="7" t="n"/>
      <c r="M3505" s="7" t="n"/>
      <c r="N3505">
        <f>IF(D3505="", "Gap - No Legal Basis", IF(AND(D3505="Consent (GDPR Art. 6(1)(a))", I3505="Not Captured"), "Gap - Invalid Consent", IF(AND(D3505="Legitimate Interest (GDPR Art. 6(1)(f))", L3505=""), "Gap - Missing LIA", IF(AND(G3505="Yes", H3505=""), "Gap - Missing Art. 9 Basis", IF(OR(I3505="Invalid - Not Freely Given", I3505="Invalid - Not Specific", I3505="Invalid - Not Informed", I3505="Invalid - Ambiguous"), "Gap - Invalid Consent", "Compliant")))))</f>
        <v/>
      </c>
      <c r="O3505" s="7" t="n"/>
    </row>
    <row r="3506">
      <c r="A3506" s="7" t="n"/>
      <c r="B3506" s="7" t="n"/>
      <c r="C3506" s="7" t="n"/>
      <c r="D3506" s="7" t="n"/>
      <c r="E3506" s="7" t="n"/>
      <c r="F3506" s="7" t="n"/>
      <c r="G3506" s="7" t="n"/>
      <c r="H3506" s="7" t="n"/>
      <c r="I3506" s="7" t="n"/>
      <c r="J3506" s="7" t="n"/>
      <c r="K3506">
        <f>IF(D3506="Legitimate Interest (GDPR Art. 6(1)(f))", "Yes / Required (Sheet 3)", "")</f>
        <v/>
      </c>
      <c r="L3506" s="7" t="n"/>
      <c r="M3506" s="7" t="n"/>
      <c r="N3506">
        <f>IF(D3506="", "Gap - No Legal Basis", IF(AND(D3506="Consent (GDPR Art. 6(1)(a))", I3506="Not Captured"), "Gap - Invalid Consent", IF(AND(D3506="Legitimate Interest (GDPR Art. 6(1)(f))", L3506=""), "Gap - Missing LIA", IF(AND(G3506="Yes", H3506=""), "Gap - Missing Art. 9 Basis", IF(OR(I3506="Invalid - Not Freely Given", I3506="Invalid - Not Specific", I3506="Invalid - Not Informed", I3506="Invalid - Ambiguous"), "Gap - Invalid Consent", "Compliant")))))</f>
        <v/>
      </c>
      <c r="O3506" s="7" t="n"/>
    </row>
    <row r="3507">
      <c r="A3507" s="7" t="n"/>
      <c r="B3507" s="7" t="n"/>
      <c r="C3507" s="7" t="n"/>
      <c r="D3507" s="7" t="n"/>
      <c r="E3507" s="7" t="n"/>
      <c r="F3507" s="7" t="n"/>
      <c r="G3507" s="7" t="n"/>
      <c r="H3507" s="7" t="n"/>
      <c r="I3507" s="7" t="n"/>
      <c r="J3507" s="7" t="n"/>
      <c r="K3507">
        <f>IF(D3507="Legitimate Interest (GDPR Art. 6(1)(f))", "Yes / Required (Sheet 3)", "")</f>
        <v/>
      </c>
      <c r="L3507" s="7" t="n"/>
      <c r="M3507" s="7" t="n"/>
      <c r="N3507">
        <f>IF(D3507="", "Gap - No Legal Basis", IF(AND(D3507="Consent (GDPR Art. 6(1)(a))", I3507="Not Captured"), "Gap - Invalid Consent", IF(AND(D3507="Legitimate Interest (GDPR Art. 6(1)(f))", L3507=""), "Gap - Missing LIA", IF(AND(G3507="Yes", H3507=""), "Gap - Missing Art. 9 Basis", IF(OR(I3507="Invalid - Not Freely Given", I3507="Invalid - Not Specific", I3507="Invalid - Not Informed", I3507="Invalid - Ambiguous"), "Gap - Invalid Consent", "Compliant")))))</f>
        <v/>
      </c>
      <c r="O3507" s="7" t="n"/>
    </row>
    <row r="3508">
      <c r="A3508" s="7" t="n"/>
      <c r="B3508" s="7" t="n"/>
      <c r="C3508" s="7" t="n"/>
      <c r="D3508" s="7" t="n"/>
      <c r="E3508" s="7" t="n"/>
      <c r="F3508" s="7" t="n"/>
      <c r="G3508" s="7" t="n"/>
      <c r="H3508" s="7" t="n"/>
      <c r="I3508" s="7" t="n"/>
      <c r="J3508" s="7" t="n"/>
      <c r="K3508">
        <f>IF(D3508="Legitimate Interest (GDPR Art. 6(1)(f))", "Yes / Required (Sheet 3)", "")</f>
        <v/>
      </c>
      <c r="L3508" s="7" t="n"/>
      <c r="M3508" s="7" t="n"/>
      <c r="N3508">
        <f>IF(D3508="", "Gap - No Legal Basis", IF(AND(D3508="Consent (GDPR Art. 6(1)(a))", I3508="Not Captured"), "Gap - Invalid Consent", IF(AND(D3508="Legitimate Interest (GDPR Art. 6(1)(f))", L3508=""), "Gap - Missing LIA", IF(AND(G3508="Yes", H3508=""), "Gap - Missing Art. 9 Basis", IF(OR(I3508="Invalid - Not Freely Given", I3508="Invalid - Not Specific", I3508="Invalid - Not Informed", I3508="Invalid - Ambiguous"), "Gap - Invalid Consent", "Compliant")))))</f>
        <v/>
      </c>
      <c r="O3508" s="7" t="n"/>
    </row>
    <row r="3509">
      <c r="A3509" s="7" t="n"/>
      <c r="B3509" s="7" t="n"/>
      <c r="C3509" s="7" t="n"/>
      <c r="D3509" s="7" t="n"/>
      <c r="E3509" s="7" t="n"/>
      <c r="F3509" s="7" t="n"/>
      <c r="G3509" s="7" t="n"/>
      <c r="H3509" s="7" t="n"/>
      <c r="I3509" s="7" t="n"/>
      <c r="J3509" s="7" t="n"/>
      <c r="K3509">
        <f>IF(D3509="Legitimate Interest (GDPR Art. 6(1)(f))", "Yes / Required (Sheet 3)", "")</f>
        <v/>
      </c>
      <c r="L3509" s="7" t="n"/>
      <c r="M3509" s="7" t="n"/>
      <c r="N3509">
        <f>IF(D3509="", "Gap - No Legal Basis", IF(AND(D3509="Consent (GDPR Art. 6(1)(a))", I3509="Not Captured"), "Gap - Invalid Consent", IF(AND(D3509="Legitimate Interest (GDPR Art. 6(1)(f))", L3509=""), "Gap - Missing LIA", IF(AND(G3509="Yes", H3509=""), "Gap - Missing Art. 9 Basis", IF(OR(I3509="Invalid - Not Freely Given", I3509="Invalid - Not Specific", I3509="Invalid - Not Informed", I3509="Invalid - Ambiguous"), "Gap - Invalid Consent", "Compliant")))))</f>
        <v/>
      </c>
      <c r="O3509" s="7" t="n"/>
    </row>
    <row r="3510">
      <c r="A3510" s="7" t="n"/>
      <c r="B3510" s="7" t="n"/>
      <c r="C3510" s="7" t="n"/>
      <c r="D3510" s="7" t="n"/>
      <c r="E3510" s="7" t="n"/>
      <c r="F3510" s="7" t="n"/>
      <c r="G3510" s="7" t="n"/>
      <c r="H3510" s="7" t="n"/>
      <c r="I3510" s="7" t="n"/>
      <c r="J3510" s="7" t="n"/>
      <c r="K3510">
        <f>IF(D3510="Legitimate Interest (GDPR Art. 6(1)(f))", "Yes / Required (Sheet 3)", "")</f>
        <v/>
      </c>
      <c r="L3510" s="7" t="n"/>
      <c r="M3510" s="7" t="n"/>
      <c r="N3510">
        <f>IF(D3510="", "Gap - No Legal Basis", IF(AND(D3510="Consent (GDPR Art. 6(1)(a))", I3510="Not Captured"), "Gap - Invalid Consent", IF(AND(D3510="Legitimate Interest (GDPR Art. 6(1)(f))", L3510=""), "Gap - Missing LIA", IF(AND(G3510="Yes", H3510=""), "Gap - Missing Art. 9 Basis", IF(OR(I3510="Invalid - Not Freely Given", I3510="Invalid - Not Specific", I3510="Invalid - Not Informed", I3510="Invalid - Ambiguous"), "Gap - Invalid Consent", "Compliant")))))</f>
        <v/>
      </c>
      <c r="O3510" s="7" t="n"/>
    </row>
    <row r="3511">
      <c r="A3511" s="7" t="n"/>
      <c r="B3511" s="7" t="n"/>
      <c r="C3511" s="7" t="n"/>
      <c r="D3511" s="7" t="n"/>
      <c r="E3511" s="7" t="n"/>
      <c r="F3511" s="7" t="n"/>
      <c r="G3511" s="7" t="n"/>
      <c r="H3511" s="7" t="n"/>
      <c r="I3511" s="7" t="n"/>
      <c r="J3511" s="7" t="n"/>
      <c r="K3511">
        <f>IF(D3511="Legitimate Interest (GDPR Art. 6(1)(f))", "Yes / Required (Sheet 3)", "")</f>
        <v/>
      </c>
      <c r="L3511" s="7" t="n"/>
      <c r="M3511" s="7" t="n"/>
      <c r="N3511">
        <f>IF(D3511="", "Gap - No Legal Basis", IF(AND(D3511="Consent (GDPR Art. 6(1)(a))", I3511="Not Captured"), "Gap - Invalid Consent", IF(AND(D3511="Legitimate Interest (GDPR Art. 6(1)(f))", L3511=""), "Gap - Missing LIA", IF(AND(G3511="Yes", H3511=""), "Gap - Missing Art. 9 Basis", IF(OR(I3511="Invalid - Not Freely Given", I3511="Invalid - Not Specific", I3511="Invalid - Not Informed", I3511="Invalid - Ambiguous"), "Gap - Invalid Consent", "Compliant")))))</f>
        <v/>
      </c>
      <c r="O3511" s="7" t="n"/>
    </row>
    <row r="3512">
      <c r="A3512" s="7" t="n"/>
      <c r="B3512" s="7" t="n"/>
      <c r="C3512" s="7" t="n"/>
      <c r="D3512" s="7" t="n"/>
      <c r="E3512" s="7" t="n"/>
      <c r="F3512" s="7" t="n"/>
      <c r="G3512" s="7" t="n"/>
      <c r="H3512" s="7" t="n"/>
      <c r="I3512" s="7" t="n"/>
      <c r="J3512" s="7" t="n"/>
      <c r="K3512">
        <f>IF(D3512="Legitimate Interest (GDPR Art. 6(1)(f))", "Yes / Required (Sheet 3)", "")</f>
        <v/>
      </c>
      <c r="L3512" s="7" t="n"/>
      <c r="M3512" s="7" t="n"/>
      <c r="N3512">
        <f>IF(D3512="", "Gap - No Legal Basis", IF(AND(D3512="Consent (GDPR Art. 6(1)(a))", I3512="Not Captured"), "Gap - Invalid Consent", IF(AND(D3512="Legitimate Interest (GDPR Art. 6(1)(f))", L3512=""), "Gap - Missing LIA", IF(AND(G3512="Yes", H3512=""), "Gap - Missing Art. 9 Basis", IF(OR(I3512="Invalid - Not Freely Given", I3512="Invalid - Not Specific", I3512="Invalid - Not Informed", I3512="Invalid - Ambiguous"), "Gap - Invalid Consent", "Compliant")))))</f>
        <v/>
      </c>
      <c r="O3512" s="7" t="n"/>
    </row>
    <row r="3513">
      <c r="A3513" s="7" t="n"/>
      <c r="B3513" s="7" t="n"/>
      <c r="C3513" s="7" t="n"/>
      <c r="D3513" s="7" t="n"/>
      <c r="E3513" s="7" t="n"/>
      <c r="F3513" s="7" t="n"/>
      <c r="G3513" s="7" t="n"/>
      <c r="H3513" s="7" t="n"/>
      <c r="I3513" s="7" t="n"/>
      <c r="J3513" s="7" t="n"/>
      <c r="K3513">
        <f>IF(D3513="Legitimate Interest (GDPR Art. 6(1)(f))", "Yes / Required (Sheet 3)", "")</f>
        <v/>
      </c>
      <c r="L3513" s="7" t="n"/>
      <c r="M3513" s="7" t="n"/>
      <c r="N3513">
        <f>IF(D3513="", "Gap - No Legal Basis", IF(AND(D3513="Consent (GDPR Art. 6(1)(a))", I3513="Not Captured"), "Gap - Invalid Consent", IF(AND(D3513="Legitimate Interest (GDPR Art. 6(1)(f))", L3513=""), "Gap - Missing LIA", IF(AND(G3513="Yes", H3513=""), "Gap - Missing Art. 9 Basis", IF(OR(I3513="Invalid - Not Freely Given", I3513="Invalid - Not Specific", I3513="Invalid - Not Informed", I3513="Invalid - Ambiguous"), "Gap - Invalid Consent", "Compliant")))))</f>
        <v/>
      </c>
      <c r="O3513" s="7" t="n"/>
    </row>
    <row r="3514">
      <c r="A3514" s="7" t="n"/>
      <c r="B3514" s="7" t="n"/>
      <c r="C3514" s="7" t="n"/>
      <c r="D3514" s="7" t="n"/>
      <c r="E3514" s="7" t="n"/>
      <c r="F3514" s="7" t="n"/>
      <c r="G3514" s="7" t="n"/>
      <c r="H3514" s="7" t="n"/>
      <c r="I3514" s="7" t="n"/>
      <c r="J3514" s="7" t="n"/>
      <c r="K3514">
        <f>IF(D3514="Legitimate Interest (GDPR Art. 6(1)(f))", "Yes / Required (Sheet 3)", "")</f>
        <v/>
      </c>
      <c r="L3514" s="7" t="n"/>
      <c r="M3514" s="7" t="n"/>
      <c r="N3514">
        <f>IF(D3514="", "Gap - No Legal Basis", IF(AND(D3514="Consent (GDPR Art. 6(1)(a))", I3514="Not Captured"), "Gap - Invalid Consent", IF(AND(D3514="Legitimate Interest (GDPR Art. 6(1)(f))", L3514=""), "Gap - Missing LIA", IF(AND(G3514="Yes", H3514=""), "Gap - Missing Art. 9 Basis", IF(OR(I3514="Invalid - Not Freely Given", I3514="Invalid - Not Specific", I3514="Invalid - Not Informed", I3514="Invalid - Ambiguous"), "Gap - Invalid Consent", "Compliant")))))</f>
        <v/>
      </c>
      <c r="O3514" s="7" t="n"/>
    </row>
    <row r="3515">
      <c r="A3515" s="7" t="n"/>
      <c r="B3515" s="7" t="n"/>
      <c r="C3515" s="7" t="n"/>
      <c r="D3515" s="7" t="n"/>
      <c r="E3515" s="7" t="n"/>
      <c r="F3515" s="7" t="n"/>
      <c r="G3515" s="7" t="n"/>
      <c r="H3515" s="7" t="n"/>
      <c r="I3515" s="7" t="n"/>
      <c r="J3515" s="7" t="n"/>
      <c r="K3515">
        <f>IF(D3515="Legitimate Interest (GDPR Art. 6(1)(f))", "Yes / Required (Sheet 3)", "")</f>
        <v/>
      </c>
      <c r="L3515" s="7" t="n"/>
      <c r="M3515" s="7" t="n"/>
      <c r="N3515">
        <f>IF(D3515="", "Gap - No Legal Basis", IF(AND(D3515="Consent (GDPR Art. 6(1)(a))", I3515="Not Captured"), "Gap - Invalid Consent", IF(AND(D3515="Legitimate Interest (GDPR Art. 6(1)(f))", L3515=""), "Gap - Missing LIA", IF(AND(G3515="Yes", H3515=""), "Gap - Missing Art. 9 Basis", IF(OR(I3515="Invalid - Not Freely Given", I3515="Invalid - Not Specific", I3515="Invalid - Not Informed", I3515="Invalid - Ambiguous"), "Gap - Invalid Consent", "Compliant")))))</f>
        <v/>
      </c>
      <c r="O3515" s="7" t="n"/>
    </row>
    <row r="3516">
      <c r="A3516" s="7" t="n"/>
      <c r="B3516" s="7" t="n"/>
      <c r="C3516" s="7" t="n"/>
      <c r="D3516" s="7" t="n"/>
      <c r="E3516" s="7" t="n"/>
      <c r="F3516" s="7" t="n"/>
      <c r="G3516" s="7" t="n"/>
      <c r="H3516" s="7" t="n"/>
      <c r="I3516" s="7" t="n"/>
      <c r="J3516" s="7" t="n"/>
      <c r="K3516">
        <f>IF(D3516="Legitimate Interest (GDPR Art. 6(1)(f))", "Yes / Required (Sheet 3)", "")</f>
        <v/>
      </c>
      <c r="L3516" s="7" t="n"/>
      <c r="M3516" s="7" t="n"/>
      <c r="N3516">
        <f>IF(D3516="", "Gap - No Legal Basis", IF(AND(D3516="Consent (GDPR Art. 6(1)(a))", I3516="Not Captured"), "Gap - Invalid Consent", IF(AND(D3516="Legitimate Interest (GDPR Art. 6(1)(f))", L3516=""), "Gap - Missing LIA", IF(AND(G3516="Yes", H3516=""), "Gap - Missing Art. 9 Basis", IF(OR(I3516="Invalid - Not Freely Given", I3516="Invalid - Not Specific", I3516="Invalid - Not Informed", I3516="Invalid - Ambiguous"), "Gap - Invalid Consent", "Compliant")))))</f>
        <v/>
      </c>
      <c r="O3516" s="7" t="n"/>
    </row>
    <row r="3517">
      <c r="A3517" s="7" t="n"/>
      <c r="B3517" s="7" t="n"/>
      <c r="C3517" s="7" t="n"/>
      <c r="D3517" s="7" t="n"/>
      <c r="E3517" s="7" t="n"/>
      <c r="F3517" s="7" t="n"/>
      <c r="G3517" s="7" t="n"/>
      <c r="H3517" s="7" t="n"/>
      <c r="I3517" s="7" t="n"/>
      <c r="J3517" s="7" t="n"/>
      <c r="K3517">
        <f>IF(D3517="Legitimate Interest (GDPR Art. 6(1)(f))", "Yes / Required (Sheet 3)", "")</f>
        <v/>
      </c>
      <c r="L3517" s="7" t="n"/>
      <c r="M3517" s="7" t="n"/>
      <c r="N3517">
        <f>IF(D3517="", "Gap - No Legal Basis", IF(AND(D3517="Consent (GDPR Art. 6(1)(a))", I3517="Not Captured"), "Gap - Invalid Consent", IF(AND(D3517="Legitimate Interest (GDPR Art. 6(1)(f))", L3517=""), "Gap - Missing LIA", IF(AND(G3517="Yes", H3517=""), "Gap - Missing Art. 9 Basis", IF(OR(I3517="Invalid - Not Freely Given", I3517="Invalid - Not Specific", I3517="Invalid - Not Informed", I3517="Invalid - Ambiguous"), "Gap - Invalid Consent", "Compliant")))))</f>
        <v/>
      </c>
      <c r="O3517" s="7" t="n"/>
    </row>
    <row r="3518">
      <c r="A3518" s="7" t="n"/>
      <c r="B3518" s="7" t="n"/>
      <c r="C3518" s="7" t="n"/>
      <c r="D3518" s="7" t="n"/>
      <c r="E3518" s="7" t="n"/>
      <c r="F3518" s="7" t="n"/>
      <c r="G3518" s="7" t="n"/>
      <c r="H3518" s="7" t="n"/>
      <c r="I3518" s="7" t="n"/>
      <c r="J3518" s="7" t="n"/>
      <c r="K3518">
        <f>IF(D3518="Legitimate Interest (GDPR Art. 6(1)(f))", "Yes / Required (Sheet 3)", "")</f>
        <v/>
      </c>
      <c r="L3518" s="7" t="n"/>
      <c r="M3518" s="7" t="n"/>
      <c r="N3518">
        <f>IF(D3518="", "Gap - No Legal Basis", IF(AND(D3518="Consent (GDPR Art. 6(1)(a))", I3518="Not Captured"), "Gap - Invalid Consent", IF(AND(D3518="Legitimate Interest (GDPR Art. 6(1)(f))", L3518=""), "Gap - Missing LIA", IF(AND(G3518="Yes", H3518=""), "Gap - Missing Art. 9 Basis", IF(OR(I3518="Invalid - Not Freely Given", I3518="Invalid - Not Specific", I3518="Invalid - Not Informed", I3518="Invalid - Ambiguous"), "Gap - Invalid Consent", "Compliant")))))</f>
        <v/>
      </c>
      <c r="O3518" s="7" t="n"/>
    </row>
    <row r="3519">
      <c r="A3519" s="7" t="n"/>
      <c r="B3519" s="7" t="n"/>
      <c r="C3519" s="7" t="n"/>
      <c r="D3519" s="7" t="n"/>
      <c r="E3519" s="7" t="n"/>
      <c r="F3519" s="7" t="n"/>
      <c r="G3519" s="7" t="n"/>
      <c r="H3519" s="7" t="n"/>
      <c r="I3519" s="7" t="n"/>
      <c r="J3519" s="7" t="n"/>
      <c r="K3519">
        <f>IF(D3519="Legitimate Interest (GDPR Art. 6(1)(f))", "Yes / Required (Sheet 3)", "")</f>
        <v/>
      </c>
      <c r="L3519" s="7" t="n"/>
      <c r="M3519" s="7" t="n"/>
      <c r="N3519">
        <f>IF(D3519="", "Gap - No Legal Basis", IF(AND(D3519="Consent (GDPR Art. 6(1)(a))", I3519="Not Captured"), "Gap - Invalid Consent", IF(AND(D3519="Legitimate Interest (GDPR Art. 6(1)(f))", L3519=""), "Gap - Missing LIA", IF(AND(G3519="Yes", H3519=""), "Gap - Missing Art. 9 Basis", IF(OR(I3519="Invalid - Not Freely Given", I3519="Invalid - Not Specific", I3519="Invalid - Not Informed", I3519="Invalid - Ambiguous"), "Gap - Invalid Consent", "Compliant")))))</f>
        <v/>
      </c>
      <c r="O3519" s="7" t="n"/>
    </row>
    <row r="3520">
      <c r="A3520" s="7" t="n"/>
      <c r="B3520" s="7" t="n"/>
      <c r="C3520" s="7" t="n"/>
      <c r="D3520" s="7" t="n"/>
      <c r="E3520" s="7" t="n"/>
      <c r="F3520" s="7" t="n"/>
      <c r="G3520" s="7" t="n"/>
      <c r="H3520" s="7" t="n"/>
      <c r="I3520" s="7" t="n"/>
      <c r="J3520" s="7" t="n"/>
      <c r="K3520">
        <f>IF(D3520="Legitimate Interest (GDPR Art. 6(1)(f))", "Yes / Required (Sheet 3)", "")</f>
        <v/>
      </c>
      <c r="L3520" s="7" t="n"/>
      <c r="M3520" s="7" t="n"/>
      <c r="N3520">
        <f>IF(D3520="", "Gap - No Legal Basis", IF(AND(D3520="Consent (GDPR Art. 6(1)(a))", I3520="Not Captured"), "Gap - Invalid Consent", IF(AND(D3520="Legitimate Interest (GDPR Art. 6(1)(f))", L3520=""), "Gap - Missing LIA", IF(AND(G3520="Yes", H3520=""), "Gap - Missing Art. 9 Basis", IF(OR(I3520="Invalid - Not Freely Given", I3520="Invalid - Not Specific", I3520="Invalid - Not Informed", I3520="Invalid - Ambiguous"), "Gap - Invalid Consent", "Compliant")))))</f>
        <v/>
      </c>
      <c r="O3520" s="7" t="n"/>
    </row>
    <row r="3521">
      <c r="A3521" s="7" t="n"/>
      <c r="B3521" s="7" t="n"/>
      <c r="C3521" s="7" t="n"/>
      <c r="D3521" s="7" t="n"/>
      <c r="E3521" s="7" t="n"/>
      <c r="F3521" s="7" t="n"/>
      <c r="G3521" s="7" t="n"/>
      <c r="H3521" s="7" t="n"/>
      <c r="I3521" s="7" t="n"/>
      <c r="J3521" s="7" t="n"/>
      <c r="K3521">
        <f>IF(D3521="Legitimate Interest (GDPR Art. 6(1)(f))", "Yes / Required (Sheet 3)", "")</f>
        <v/>
      </c>
      <c r="L3521" s="7" t="n"/>
      <c r="M3521" s="7" t="n"/>
      <c r="N3521">
        <f>IF(D3521="", "Gap - No Legal Basis", IF(AND(D3521="Consent (GDPR Art. 6(1)(a))", I3521="Not Captured"), "Gap - Invalid Consent", IF(AND(D3521="Legitimate Interest (GDPR Art. 6(1)(f))", L3521=""), "Gap - Missing LIA", IF(AND(G3521="Yes", H3521=""), "Gap - Missing Art. 9 Basis", IF(OR(I3521="Invalid - Not Freely Given", I3521="Invalid - Not Specific", I3521="Invalid - Not Informed", I3521="Invalid - Ambiguous"), "Gap - Invalid Consent", "Compliant")))))</f>
        <v/>
      </c>
      <c r="O3521" s="7" t="n"/>
    </row>
    <row r="3522">
      <c r="A3522" s="7" t="n"/>
      <c r="B3522" s="7" t="n"/>
      <c r="C3522" s="7" t="n"/>
      <c r="D3522" s="7" t="n"/>
      <c r="E3522" s="7" t="n"/>
      <c r="F3522" s="7" t="n"/>
      <c r="G3522" s="7" t="n"/>
      <c r="H3522" s="7" t="n"/>
      <c r="I3522" s="7" t="n"/>
      <c r="J3522" s="7" t="n"/>
      <c r="K3522">
        <f>IF(D3522="Legitimate Interest (GDPR Art. 6(1)(f))", "Yes / Required (Sheet 3)", "")</f>
        <v/>
      </c>
      <c r="L3522" s="7" t="n"/>
      <c r="M3522" s="7" t="n"/>
      <c r="N3522">
        <f>IF(D3522="", "Gap - No Legal Basis", IF(AND(D3522="Consent (GDPR Art. 6(1)(a))", I3522="Not Captured"), "Gap - Invalid Consent", IF(AND(D3522="Legitimate Interest (GDPR Art. 6(1)(f))", L3522=""), "Gap - Missing LIA", IF(AND(G3522="Yes", H3522=""), "Gap - Missing Art. 9 Basis", IF(OR(I3522="Invalid - Not Freely Given", I3522="Invalid - Not Specific", I3522="Invalid - Not Informed", I3522="Invalid - Ambiguous"), "Gap - Invalid Consent", "Compliant")))))</f>
        <v/>
      </c>
      <c r="O3522" s="7" t="n"/>
    </row>
    <row r="3523">
      <c r="A3523" s="7" t="n"/>
      <c r="B3523" s="7" t="n"/>
      <c r="C3523" s="7" t="n"/>
      <c r="D3523" s="7" t="n"/>
      <c r="E3523" s="7" t="n"/>
      <c r="F3523" s="7" t="n"/>
      <c r="G3523" s="7" t="n"/>
      <c r="H3523" s="7" t="n"/>
      <c r="I3523" s="7" t="n"/>
      <c r="J3523" s="7" t="n"/>
      <c r="K3523">
        <f>IF(D3523="Legitimate Interest (GDPR Art. 6(1)(f))", "Yes / Required (Sheet 3)", "")</f>
        <v/>
      </c>
      <c r="L3523" s="7" t="n"/>
      <c r="M3523" s="7" t="n"/>
      <c r="N3523">
        <f>IF(D3523="", "Gap - No Legal Basis", IF(AND(D3523="Consent (GDPR Art. 6(1)(a))", I3523="Not Captured"), "Gap - Invalid Consent", IF(AND(D3523="Legitimate Interest (GDPR Art. 6(1)(f))", L3523=""), "Gap - Missing LIA", IF(AND(G3523="Yes", H3523=""), "Gap - Missing Art. 9 Basis", IF(OR(I3523="Invalid - Not Freely Given", I3523="Invalid - Not Specific", I3523="Invalid - Not Informed", I3523="Invalid - Ambiguous"), "Gap - Invalid Consent", "Compliant")))))</f>
        <v/>
      </c>
      <c r="O3523" s="7" t="n"/>
    </row>
    <row r="3524">
      <c r="A3524" s="7" t="n"/>
      <c r="B3524" s="7" t="n"/>
      <c r="C3524" s="7" t="n"/>
      <c r="D3524" s="7" t="n"/>
      <c r="E3524" s="7" t="n"/>
      <c r="F3524" s="7" t="n"/>
      <c r="G3524" s="7" t="n"/>
      <c r="H3524" s="7" t="n"/>
      <c r="I3524" s="7" t="n"/>
      <c r="J3524" s="7" t="n"/>
      <c r="K3524">
        <f>IF(D3524="Legitimate Interest (GDPR Art. 6(1)(f))", "Yes / Required (Sheet 3)", "")</f>
        <v/>
      </c>
      <c r="L3524" s="7" t="n"/>
      <c r="M3524" s="7" t="n"/>
      <c r="N3524">
        <f>IF(D3524="", "Gap - No Legal Basis", IF(AND(D3524="Consent (GDPR Art. 6(1)(a))", I3524="Not Captured"), "Gap - Invalid Consent", IF(AND(D3524="Legitimate Interest (GDPR Art. 6(1)(f))", L3524=""), "Gap - Missing LIA", IF(AND(G3524="Yes", H3524=""), "Gap - Missing Art. 9 Basis", IF(OR(I3524="Invalid - Not Freely Given", I3524="Invalid - Not Specific", I3524="Invalid - Not Informed", I3524="Invalid - Ambiguous"), "Gap - Invalid Consent", "Compliant")))))</f>
        <v/>
      </c>
      <c r="O3524" s="7" t="n"/>
    </row>
    <row r="3525">
      <c r="A3525" s="7" t="n"/>
      <c r="B3525" s="7" t="n"/>
      <c r="C3525" s="7" t="n"/>
      <c r="D3525" s="7" t="n"/>
      <c r="E3525" s="7" t="n"/>
      <c r="F3525" s="7" t="n"/>
      <c r="G3525" s="7" t="n"/>
      <c r="H3525" s="7" t="n"/>
      <c r="I3525" s="7" t="n"/>
      <c r="J3525" s="7" t="n"/>
      <c r="K3525">
        <f>IF(D3525="Legitimate Interest (GDPR Art. 6(1)(f))", "Yes / Required (Sheet 3)", "")</f>
        <v/>
      </c>
      <c r="L3525" s="7" t="n"/>
      <c r="M3525" s="7" t="n"/>
      <c r="N3525">
        <f>IF(D3525="", "Gap - No Legal Basis", IF(AND(D3525="Consent (GDPR Art. 6(1)(a))", I3525="Not Captured"), "Gap - Invalid Consent", IF(AND(D3525="Legitimate Interest (GDPR Art. 6(1)(f))", L3525=""), "Gap - Missing LIA", IF(AND(G3525="Yes", H3525=""), "Gap - Missing Art. 9 Basis", IF(OR(I3525="Invalid - Not Freely Given", I3525="Invalid - Not Specific", I3525="Invalid - Not Informed", I3525="Invalid - Ambiguous"), "Gap - Invalid Consent", "Compliant")))))</f>
        <v/>
      </c>
      <c r="O3525" s="7" t="n"/>
    </row>
    <row r="3526">
      <c r="A3526" s="7" t="n"/>
      <c r="B3526" s="7" t="n"/>
      <c r="C3526" s="7" t="n"/>
      <c r="D3526" s="7" t="n"/>
      <c r="E3526" s="7" t="n"/>
      <c r="F3526" s="7" t="n"/>
      <c r="G3526" s="7" t="n"/>
      <c r="H3526" s="7" t="n"/>
      <c r="I3526" s="7" t="n"/>
      <c r="J3526" s="7" t="n"/>
      <c r="K3526">
        <f>IF(D3526="Legitimate Interest (GDPR Art. 6(1)(f))", "Yes / Required (Sheet 3)", "")</f>
        <v/>
      </c>
      <c r="L3526" s="7" t="n"/>
      <c r="M3526" s="7" t="n"/>
      <c r="N3526">
        <f>IF(D3526="", "Gap - No Legal Basis", IF(AND(D3526="Consent (GDPR Art. 6(1)(a))", I3526="Not Captured"), "Gap - Invalid Consent", IF(AND(D3526="Legitimate Interest (GDPR Art. 6(1)(f))", L3526=""), "Gap - Missing LIA", IF(AND(G3526="Yes", H3526=""), "Gap - Missing Art. 9 Basis", IF(OR(I3526="Invalid - Not Freely Given", I3526="Invalid - Not Specific", I3526="Invalid - Not Informed", I3526="Invalid - Ambiguous"), "Gap - Invalid Consent", "Compliant")))))</f>
        <v/>
      </c>
      <c r="O3526" s="7" t="n"/>
    </row>
    <row r="3527">
      <c r="A3527" s="7" t="n"/>
      <c r="B3527" s="7" t="n"/>
      <c r="C3527" s="7" t="n"/>
      <c r="D3527" s="7" t="n"/>
      <c r="E3527" s="7" t="n"/>
      <c r="F3527" s="7" t="n"/>
      <c r="G3527" s="7" t="n"/>
      <c r="H3527" s="7" t="n"/>
      <c r="I3527" s="7" t="n"/>
      <c r="J3527" s="7" t="n"/>
      <c r="K3527">
        <f>IF(D3527="Legitimate Interest (GDPR Art. 6(1)(f))", "Yes / Required (Sheet 3)", "")</f>
        <v/>
      </c>
      <c r="L3527" s="7" t="n"/>
      <c r="M3527" s="7" t="n"/>
      <c r="N3527">
        <f>IF(D3527="", "Gap - No Legal Basis", IF(AND(D3527="Consent (GDPR Art. 6(1)(a))", I3527="Not Captured"), "Gap - Invalid Consent", IF(AND(D3527="Legitimate Interest (GDPR Art. 6(1)(f))", L3527=""), "Gap - Missing LIA", IF(AND(G3527="Yes", H3527=""), "Gap - Missing Art. 9 Basis", IF(OR(I3527="Invalid - Not Freely Given", I3527="Invalid - Not Specific", I3527="Invalid - Not Informed", I3527="Invalid - Ambiguous"), "Gap - Invalid Consent", "Compliant")))))</f>
        <v/>
      </c>
      <c r="O3527" s="7" t="n"/>
    </row>
    <row r="3528">
      <c r="A3528" s="7" t="n"/>
      <c r="B3528" s="7" t="n"/>
      <c r="C3528" s="7" t="n"/>
      <c r="D3528" s="7" t="n"/>
      <c r="E3528" s="7" t="n"/>
      <c r="F3528" s="7" t="n"/>
      <c r="G3528" s="7" t="n"/>
      <c r="H3528" s="7" t="n"/>
      <c r="I3528" s="7" t="n"/>
      <c r="J3528" s="7" t="n"/>
      <c r="K3528">
        <f>IF(D3528="Legitimate Interest (GDPR Art. 6(1)(f))", "Yes / Required (Sheet 3)", "")</f>
        <v/>
      </c>
      <c r="L3528" s="7" t="n"/>
      <c r="M3528" s="7" t="n"/>
      <c r="N3528">
        <f>IF(D3528="", "Gap - No Legal Basis", IF(AND(D3528="Consent (GDPR Art. 6(1)(a))", I3528="Not Captured"), "Gap - Invalid Consent", IF(AND(D3528="Legitimate Interest (GDPR Art. 6(1)(f))", L3528=""), "Gap - Missing LIA", IF(AND(G3528="Yes", H3528=""), "Gap - Missing Art. 9 Basis", IF(OR(I3528="Invalid - Not Freely Given", I3528="Invalid - Not Specific", I3528="Invalid - Not Informed", I3528="Invalid - Ambiguous"), "Gap - Invalid Consent", "Compliant")))))</f>
        <v/>
      </c>
      <c r="O3528" s="7" t="n"/>
    </row>
    <row r="3529">
      <c r="A3529" s="7" t="n"/>
      <c r="B3529" s="7" t="n"/>
      <c r="C3529" s="7" t="n"/>
      <c r="D3529" s="7" t="n"/>
      <c r="E3529" s="7" t="n"/>
      <c r="F3529" s="7" t="n"/>
      <c r="G3529" s="7" t="n"/>
      <c r="H3529" s="7" t="n"/>
      <c r="I3529" s="7" t="n"/>
      <c r="J3529" s="7" t="n"/>
      <c r="K3529">
        <f>IF(D3529="Legitimate Interest (GDPR Art. 6(1)(f))", "Yes / Required (Sheet 3)", "")</f>
        <v/>
      </c>
      <c r="L3529" s="7" t="n"/>
      <c r="M3529" s="7" t="n"/>
      <c r="N3529">
        <f>IF(D3529="", "Gap - No Legal Basis", IF(AND(D3529="Consent (GDPR Art. 6(1)(a))", I3529="Not Captured"), "Gap - Invalid Consent", IF(AND(D3529="Legitimate Interest (GDPR Art. 6(1)(f))", L3529=""), "Gap - Missing LIA", IF(AND(G3529="Yes", H3529=""), "Gap - Missing Art. 9 Basis", IF(OR(I3529="Invalid - Not Freely Given", I3529="Invalid - Not Specific", I3529="Invalid - Not Informed", I3529="Invalid - Ambiguous"), "Gap - Invalid Consent", "Compliant")))))</f>
        <v/>
      </c>
      <c r="O3529" s="7" t="n"/>
    </row>
    <row r="3530">
      <c r="A3530" s="7" t="n"/>
      <c r="B3530" s="7" t="n"/>
      <c r="C3530" s="7" t="n"/>
      <c r="D3530" s="7" t="n"/>
      <c r="E3530" s="7" t="n"/>
      <c r="F3530" s="7" t="n"/>
      <c r="G3530" s="7" t="n"/>
      <c r="H3530" s="7" t="n"/>
      <c r="I3530" s="7" t="n"/>
      <c r="J3530" s="7" t="n"/>
      <c r="K3530">
        <f>IF(D3530="Legitimate Interest (GDPR Art. 6(1)(f))", "Yes / Required (Sheet 3)", "")</f>
        <v/>
      </c>
      <c r="L3530" s="7" t="n"/>
      <c r="M3530" s="7" t="n"/>
      <c r="N3530">
        <f>IF(D3530="", "Gap - No Legal Basis", IF(AND(D3530="Consent (GDPR Art. 6(1)(a))", I3530="Not Captured"), "Gap - Invalid Consent", IF(AND(D3530="Legitimate Interest (GDPR Art. 6(1)(f))", L3530=""), "Gap - Missing LIA", IF(AND(G3530="Yes", H3530=""), "Gap - Missing Art. 9 Basis", IF(OR(I3530="Invalid - Not Freely Given", I3530="Invalid - Not Specific", I3530="Invalid - Not Informed", I3530="Invalid - Ambiguous"), "Gap - Invalid Consent", "Compliant")))))</f>
        <v/>
      </c>
      <c r="O3530" s="7" t="n"/>
    </row>
    <row r="3531">
      <c r="A3531" s="7" t="n"/>
      <c r="B3531" s="7" t="n"/>
      <c r="C3531" s="7" t="n"/>
      <c r="D3531" s="7" t="n"/>
      <c r="E3531" s="7" t="n"/>
      <c r="F3531" s="7" t="n"/>
      <c r="G3531" s="7" t="n"/>
      <c r="H3531" s="7" t="n"/>
      <c r="I3531" s="7" t="n"/>
      <c r="J3531" s="7" t="n"/>
      <c r="K3531">
        <f>IF(D3531="Legitimate Interest (GDPR Art. 6(1)(f))", "Yes / Required (Sheet 3)", "")</f>
        <v/>
      </c>
      <c r="L3531" s="7" t="n"/>
      <c r="M3531" s="7" t="n"/>
      <c r="N3531">
        <f>IF(D3531="", "Gap - No Legal Basis", IF(AND(D3531="Consent (GDPR Art. 6(1)(a))", I3531="Not Captured"), "Gap - Invalid Consent", IF(AND(D3531="Legitimate Interest (GDPR Art. 6(1)(f))", L3531=""), "Gap - Missing LIA", IF(AND(G3531="Yes", H3531=""), "Gap - Missing Art. 9 Basis", IF(OR(I3531="Invalid - Not Freely Given", I3531="Invalid - Not Specific", I3531="Invalid - Not Informed", I3531="Invalid - Ambiguous"), "Gap - Invalid Consent", "Compliant")))))</f>
        <v/>
      </c>
      <c r="O3531" s="7" t="n"/>
    </row>
    <row r="3532">
      <c r="A3532" s="7" t="n"/>
      <c r="B3532" s="7" t="n"/>
      <c r="C3532" s="7" t="n"/>
      <c r="D3532" s="7" t="n"/>
      <c r="E3532" s="7" t="n"/>
      <c r="F3532" s="7" t="n"/>
      <c r="G3532" s="7" t="n"/>
      <c r="H3532" s="7" t="n"/>
      <c r="I3532" s="7" t="n"/>
      <c r="J3532" s="7" t="n"/>
      <c r="K3532">
        <f>IF(D3532="Legitimate Interest (GDPR Art. 6(1)(f))", "Yes / Required (Sheet 3)", "")</f>
        <v/>
      </c>
      <c r="L3532" s="7" t="n"/>
      <c r="M3532" s="7" t="n"/>
      <c r="N3532">
        <f>IF(D3532="", "Gap - No Legal Basis", IF(AND(D3532="Consent (GDPR Art. 6(1)(a))", I3532="Not Captured"), "Gap - Invalid Consent", IF(AND(D3532="Legitimate Interest (GDPR Art. 6(1)(f))", L3532=""), "Gap - Missing LIA", IF(AND(G3532="Yes", H3532=""), "Gap - Missing Art. 9 Basis", IF(OR(I3532="Invalid - Not Freely Given", I3532="Invalid - Not Specific", I3532="Invalid - Not Informed", I3532="Invalid - Ambiguous"), "Gap - Invalid Consent", "Compliant")))))</f>
        <v/>
      </c>
      <c r="O3532" s="7" t="n"/>
    </row>
    <row r="3533">
      <c r="A3533" s="7" t="n"/>
      <c r="B3533" s="7" t="n"/>
      <c r="C3533" s="7" t="n"/>
      <c r="D3533" s="7" t="n"/>
      <c r="E3533" s="7" t="n"/>
      <c r="F3533" s="7" t="n"/>
      <c r="G3533" s="7" t="n"/>
      <c r="H3533" s="7" t="n"/>
      <c r="I3533" s="7" t="n"/>
      <c r="J3533" s="7" t="n"/>
      <c r="K3533">
        <f>IF(D3533="Legitimate Interest (GDPR Art. 6(1)(f))", "Yes / Required (Sheet 3)", "")</f>
        <v/>
      </c>
      <c r="L3533" s="7" t="n"/>
      <c r="M3533" s="7" t="n"/>
      <c r="N3533">
        <f>IF(D3533="", "Gap - No Legal Basis", IF(AND(D3533="Consent (GDPR Art. 6(1)(a))", I3533="Not Captured"), "Gap - Invalid Consent", IF(AND(D3533="Legitimate Interest (GDPR Art. 6(1)(f))", L3533=""), "Gap - Missing LIA", IF(AND(G3533="Yes", H3533=""), "Gap - Missing Art. 9 Basis", IF(OR(I3533="Invalid - Not Freely Given", I3533="Invalid - Not Specific", I3533="Invalid - Not Informed", I3533="Invalid - Ambiguous"), "Gap - Invalid Consent", "Compliant")))))</f>
        <v/>
      </c>
      <c r="O3533" s="7" t="n"/>
    </row>
    <row r="3534">
      <c r="A3534" s="7" t="n"/>
      <c r="B3534" s="7" t="n"/>
      <c r="C3534" s="7" t="n"/>
      <c r="D3534" s="7" t="n"/>
      <c r="E3534" s="7" t="n"/>
      <c r="F3534" s="7" t="n"/>
      <c r="G3534" s="7" t="n"/>
      <c r="H3534" s="7" t="n"/>
      <c r="I3534" s="7" t="n"/>
      <c r="J3534" s="7" t="n"/>
      <c r="K3534">
        <f>IF(D3534="Legitimate Interest (GDPR Art. 6(1)(f))", "Yes / Required (Sheet 3)", "")</f>
        <v/>
      </c>
      <c r="L3534" s="7" t="n"/>
      <c r="M3534" s="7" t="n"/>
      <c r="N3534">
        <f>IF(D3534="", "Gap - No Legal Basis", IF(AND(D3534="Consent (GDPR Art. 6(1)(a))", I3534="Not Captured"), "Gap - Invalid Consent", IF(AND(D3534="Legitimate Interest (GDPR Art. 6(1)(f))", L3534=""), "Gap - Missing LIA", IF(AND(G3534="Yes", H3534=""), "Gap - Missing Art. 9 Basis", IF(OR(I3534="Invalid - Not Freely Given", I3534="Invalid - Not Specific", I3534="Invalid - Not Informed", I3534="Invalid - Ambiguous"), "Gap - Invalid Consent", "Compliant")))))</f>
        <v/>
      </c>
      <c r="O3534" s="7" t="n"/>
    </row>
    <row r="3535">
      <c r="A3535" s="7" t="n"/>
      <c r="B3535" s="7" t="n"/>
      <c r="C3535" s="7" t="n"/>
      <c r="D3535" s="7" t="n"/>
      <c r="E3535" s="7" t="n"/>
      <c r="F3535" s="7" t="n"/>
      <c r="G3535" s="7" t="n"/>
      <c r="H3535" s="7" t="n"/>
      <c r="I3535" s="7" t="n"/>
      <c r="J3535" s="7" t="n"/>
      <c r="K3535">
        <f>IF(D3535="Legitimate Interest (GDPR Art. 6(1)(f))", "Yes / Required (Sheet 3)", "")</f>
        <v/>
      </c>
      <c r="L3535" s="7" t="n"/>
      <c r="M3535" s="7" t="n"/>
      <c r="N3535">
        <f>IF(D3535="", "Gap - No Legal Basis", IF(AND(D3535="Consent (GDPR Art. 6(1)(a))", I3535="Not Captured"), "Gap - Invalid Consent", IF(AND(D3535="Legitimate Interest (GDPR Art. 6(1)(f))", L3535=""), "Gap - Missing LIA", IF(AND(G3535="Yes", H3535=""), "Gap - Missing Art. 9 Basis", IF(OR(I3535="Invalid - Not Freely Given", I3535="Invalid - Not Specific", I3535="Invalid - Not Informed", I3535="Invalid - Ambiguous"), "Gap - Invalid Consent", "Compliant")))))</f>
        <v/>
      </c>
      <c r="O3535" s="7" t="n"/>
    </row>
    <row r="3536">
      <c r="A3536" s="7" t="n"/>
      <c r="B3536" s="7" t="n"/>
      <c r="C3536" s="7" t="n"/>
      <c r="D3536" s="7" t="n"/>
      <c r="E3536" s="7" t="n"/>
      <c r="F3536" s="7" t="n"/>
      <c r="G3536" s="7" t="n"/>
      <c r="H3536" s="7" t="n"/>
      <c r="I3536" s="7" t="n"/>
      <c r="J3536" s="7" t="n"/>
      <c r="K3536">
        <f>IF(D3536="Legitimate Interest (GDPR Art. 6(1)(f))", "Yes / Required (Sheet 3)", "")</f>
        <v/>
      </c>
      <c r="L3536" s="7" t="n"/>
      <c r="M3536" s="7" t="n"/>
      <c r="N3536">
        <f>IF(D3536="", "Gap - No Legal Basis", IF(AND(D3536="Consent (GDPR Art. 6(1)(a))", I3536="Not Captured"), "Gap - Invalid Consent", IF(AND(D3536="Legitimate Interest (GDPR Art. 6(1)(f))", L3536=""), "Gap - Missing LIA", IF(AND(G3536="Yes", H3536=""), "Gap - Missing Art. 9 Basis", IF(OR(I3536="Invalid - Not Freely Given", I3536="Invalid - Not Specific", I3536="Invalid - Not Informed", I3536="Invalid - Ambiguous"), "Gap - Invalid Consent", "Compliant")))))</f>
        <v/>
      </c>
      <c r="O3536" s="7" t="n"/>
    </row>
    <row r="3537">
      <c r="A3537" s="7" t="n"/>
      <c r="B3537" s="7" t="n"/>
      <c r="C3537" s="7" t="n"/>
      <c r="D3537" s="7" t="n"/>
      <c r="E3537" s="7" t="n"/>
      <c r="F3537" s="7" t="n"/>
      <c r="G3537" s="7" t="n"/>
      <c r="H3537" s="7" t="n"/>
      <c r="I3537" s="7" t="n"/>
      <c r="J3537" s="7" t="n"/>
      <c r="K3537">
        <f>IF(D3537="Legitimate Interest (GDPR Art. 6(1)(f))", "Yes / Required (Sheet 3)", "")</f>
        <v/>
      </c>
      <c r="L3537" s="7" t="n"/>
      <c r="M3537" s="7" t="n"/>
      <c r="N3537">
        <f>IF(D3537="", "Gap - No Legal Basis", IF(AND(D3537="Consent (GDPR Art. 6(1)(a))", I3537="Not Captured"), "Gap - Invalid Consent", IF(AND(D3537="Legitimate Interest (GDPR Art. 6(1)(f))", L3537=""), "Gap - Missing LIA", IF(AND(G3537="Yes", H3537=""), "Gap - Missing Art. 9 Basis", IF(OR(I3537="Invalid - Not Freely Given", I3537="Invalid - Not Specific", I3537="Invalid - Not Informed", I3537="Invalid - Ambiguous"), "Gap - Invalid Consent", "Compliant")))))</f>
        <v/>
      </c>
      <c r="O3537" s="7" t="n"/>
    </row>
    <row r="3538">
      <c r="A3538" s="7" t="n"/>
      <c r="B3538" s="7" t="n"/>
      <c r="C3538" s="7" t="n"/>
      <c r="D3538" s="7" t="n"/>
      <c r="E3538" s="7" t="n"/>
      <c r="F3538" s="7" t="n"/>
      <c r="G3538" s="7" t="n"/>
      <c r="H3538" s="7" t="n"/>
      <c r="I3538" s="7" t="n"/>
      <c r="J3538" s="7" t="n"/>
      <c r="K3538">
        <f>IF(D3538="Legitimate Interest (GDPR Art. 6(1)(f))", "Yes / Required (Sheet 3)", "")</f>
        <v/>
      </c>
      <c r="L3538" s="7" t="n"/>
      <c r="M3538" s="7" t="n"/>
      <c r="N3538">
        <f>IF(D3538="", "Gap - No Legal Basis", IF(AND(D3538="Consent (GDPR Art. 6(1)(a))", I3538="Not Captured"), "Gap - Invalid Consent", IF(AND(D3538="Legitimate Interest (GDPR Art. 6(1)(f))", L3538=""), "Gap - Missing LIA", IF(AND(G3538="Yes", H3538=""), "Gap - Missing Art. 9 Basis", IF(OR(I3538="Invalid - Not Freely Given", I3538="Invalid - Not Specific", I3538="Invalid - Not Informed", I3538="Invalid - Ambiguous"), "Gap - Invalid Consent", "Compliant")))))</f>
        <v/>
      </c>
      <c r="O3538" s="7" t="n"/>
    </row>
    <row r="3539">
      <c r="A3539" s="7" t="n"/>
      <c r="B3539" s="7" t="n"/>
      <c r="C3539" s="7" t="n"/>
      <c r="D3539" s="7" t="n"/>
      <c r="E3539" s="7" t="n"/>
      <c r="F3539" s="7" t="n"/>
      <c r="G3539" s="7" t="n"/>
      <c r="H3539" s="7" t="n"/>
      <c r="I3539" s="7" t="n"/>
      <c r="J3539" s="7" t="n"/>
      <c r="K3539">
        <f>IF(D3539="Legitimate Interest (GDPR Art. 6(1)(f))", "Yes / Required (Sheet 3)", "")</f>
        <v/>
      </c>
      <c r="L3539" s="7" t="n"/>
      <c r="M3539" s="7" t="n"/>
      <c r="N3539">
        <f>IF(D3539="", "Gap - No Legal Basis", IF(AND(D3539="Consent (GDPR Art. 6(1)(a))", I3539="Not Captured"), "Gap - Invalid Consent", IF(AND(D3539="Legitimate Interest (GDPR Art. 6(1)(f))", L3539=""), "Gap - Missing LIA", IF(AND(G3539="Yes", H3539=""), "Gap - Missing Art. 9 Basis", IF(OR(I3539="Invalid - Not Freely Given", I3539="Invalid - Not Specific", I3539="Invalid - Not Informed", I3539="Invalid - Ambiguous"), "Gap - Invalid Consent", "Compliant")))))</f>
        <v/>
      </c>
      <c r="O3539" s="7" t="n"/>
    </row>
    <row r="3540">
      <c r="A3540" s="7" t="n"/>
      <c r="B3540" s="7" t="n"/>
      <c r="C3540" s="7" t="n"/>
      <c r="D3540" s="7" t="n"/>
      <c r="E3540" s="7" t="n"/>
      <c r="F3540" s="7" t="n"/>
      <c r="G3540" s="7" t="n"/>
      <c r="H3540" s="7" t="n"/>
      <c r="I3540" s="7" t="n"/>
      <c r="J3540" s="7" t="n"/>
      <c r="K3540">
        <f>IF(D3540="Legitimate Interest (GDPR Art. 6(1)(f))", "Yes / Required (Sheet 3)", "")</f>
        <v/>
      </c>
      <c r="L3540" s="7" t="n"/>
      <c r="M3540" s="7" t="n"/>
      <c r="N3540">
        <f>IF(D3540="", "Gap - No Legal Basis", IF(AND(D3540="Consent (GDPR Art. 6(1)(a))", I3540="Not Captured"), "Gap - Invalid Consent", IF(AND(D3540="Legitimate Interest (GDPR Art. 6(1)(f))", L3540=""), "Gap - Missing LIA", IF(AND(G3540="Yes", H3540=""), "Gap - Missing Art. 9 Basis", IF(OR(I3540="Invalid - Not Freely Given", I3540="Invalid - Not Specific", I3540="Invalid - Not Informed", I3540="Invalid - Ambiguous"), "Gap - Invalid Consent", "Compliant")))))</f>
        <v/>
      </c>
      <c r="O3540" s="7" t="n"/>
    </row>
    <row r="3541">
      <c r="A3541" s="7" t="n"/>
      <c r="B3541" s="7" t="n"/>
      <c r="C3541" s="7" t="n"/>
      <c r="D3541" s="7" t="n"/>
      <c r="E3541" s="7" t="n"/>
      <c r="F3541" s="7" t="n"/>
      <c r="G3541" s="7" t="n"/>
      <c r="H3541" s="7" t="n"/>
      <c r="I3541" s="7" t="n"/>
      <c r="J3541" s="7" t="n"/>
      <c r="K3541">
        <f>IF(D3541="Legitimate Interest (GDPR Art. 6(1)(f))", "Yes / Required (Sheet 3)", "")</f>
        <v/>
      </c>
      <c r="L3541" s="7" t="n"/>
      <c r="M3541" s="7" t="n"/>
      <c r="N3541">
        <f>IF(D3541="", "Gap - No Legal Basis", IF(AND(D3541="Consent (GDPR Art. 6(1)(a))", I3541="Not Captured"), "Gap - Invalid Consent", IF(AND(D3541="Legitimate Interest (GDPR Art. 6(1)(f))", L3541=""), "Gap - Missing LIA", IF(AND(G3541="Yes", H3541=""), "Gap - Missing Art. 9 Basis", IF(OR(I3541="Invalid - Not Freely Given", I3541="Invalid - Not Specific", I3541="Invalid - Not Informed", I3541="Invalid - Ambiguous"), "Gap - Invalid Consent", "Compliant")))))</f>
        <v/>
      </c>
      <c r="O3541" s="7" t="n"/>
    </row>
    <row r="3542">
      <c r="A3542" s="7" t="n"/>
      <c r="B3542" s="7" t="n"/>
      <c r="C3542" s="7" t="n"/>
      <c r="D3542" s="7" t="n"/>
      <c r="E3542" s="7" t="n"/>
      <c r="F3542" s="7" t="n"/>
      <c r="G3542" s="7" t="n"/>
      <c r="H3542" s="7" t="n"/>
      <c r="I3542" s="7" t="n"/>
      <c r="J3542" s="7" t="n"/>
      <c r="K3542">
        <f>IF(D3542="Legitimate Interest (GDPR Art. 6(1)(f))", "Yes / Required (Sheet 3)", "")</f>
        <v/>
      </c>
      <c r="L3542" s="7" t="n"/>
      <c r="M3542" s="7" t="n"/>
      <c r="N3542">
        <f>IF(D3542="", "Gap - No Legal Basis", IF(AND(D3542="Consent (GDPR Art. 6(1)(a))", I3542="Not Captured"), "Gap - Invalid Consent", IF(AND(D3542="Legitimate Interest (GDPR Art. 6(1)(f))", L3542=""), "Gap - Missing LIA", IF(AND(G3542="Yes", H3542=""), "Gap - Missing Art. 9 Basis", IF(OR(I3542="Invalid - Not Freely Given", I3542="Invalid - Not Specific", I3542="Invalid - Not Informed", I3542="Invalid - Ambiguous"), "Gap - Invalid Consent", "Compliant")))))</f>
        <v/>
      </c>
      <c r="O3542" s="7" t="n"/>
    </row>
    <row r="3543">
      <c r="A3543" s="7" t="n"/>
      <c r="B3543" s="7" t="n"/>
      <c r="C3543" s="7" t="n"/>
      <c r="D3543" s="7" t="n"/>
      <c r="E3543" s="7" t="n"/>
      <c r="F3543" s="7" t="n"/>
      <c r="G3543" s="7" t="n"/>
      <c r="H3543" s="7" t="n"/>
      <c r="I3543" s="7" t="n"/>
      <c r="J3543" s="7" t="n"/>
      <c r="K3543">
        <f>IF(D3543="Legitimate Interest (GDPR Art. 6(1)(f))", "Yes / Required (Sheet 3)", "")</f>
        <v/>
      </c>
      <c r="L3543" s="7" t="n"/>
      <c r="M3543" s="7" t="n"/>
      <c r="N3543">
        <f>IF(D3543="", "Gap - No Legal Basis", IF(AND(D3543="Consent (GDPR Art. 6(1)(a))", I3543="Not Captured"), "Gap - Invalid Consent", IF(AND(D3543="Legitimate Interest (GDPR Art. 6(1)(f))", L3543=""), "Gap - Missing LIA", IF(AND(G3543="Yes", H3543=""), "Gap - Missing Art. 9 Basis", IF(OR(I3543="Invalid - Not Freely Given", I3543="Invalid - Not Specific", I3543="Invalid - Not Informed", I3543="Invalid - Ambiguous"), "Gap - Invalid Consent", "Compliant")))))</f>
        <v/>
      </c>
      <c r="O3543" s="7" t="n"/>
    </row>
    <row r="3544">
      <c r="A3544" s="7" t="n"/>
      <c r="B3544" s="7" t="n"/>
      <c r="C3544" s="7" t="n"/>
      <c r="D3544" s="7" t="n"/>
      <c r="E3544" s="7" t="n"/>
      <c r="F3544" s="7" t="n"/>
      <c r="G3544" s="7" t="n"/>
      <c r="H3544" s="7" t="n"/>
      <c r="I3544" s="7" t="n"/>
      <c r="J3544" s="7" t="n"/>
      <c r="K3544">
        <f>IF(D3544="Legitimate Interest (GDPR Art. 6(1)(f))", "Yes / Required (Sheet 3)", "")</f>
        <v/>
      </c>
      <c r="L3544" s="7" t="n"/>
      <c r="M3544" s="7" t="n"/>
      <c r="N3544">
        <f>IF(D3544="", "Gap - No Legal Basis", IF(AND(D3544="Consent (GDPR Art. 6(1)(a))", I3544="Not Captured"), "Gap - Invalid Consent", IF(AND(D3544="Legitimate Interest (GDPR Art. 6(1)(f))", L3544=""), "Gap - Missing LIA", IF(AND(G3544="Yes", H3544=""), "Gap - Missing Art. 9 Basis", IF(OR(I3544="Invalid - Not Freely Given", I3544="Invalid - Not Specific", I3544="Invalid - Not Informed", I3544="Invalid - Ambiguous"), "Gap - Invalid Consent", "Compliant")))))</f>
        <v/>
      </c>
      <c r="O3544" s="7" t="n"/>
    </row>
    <row r="3545">
      <c r="A3545" s="7" t="n"/>
      <c r="B3545" s="7" t="n"/>
      <c r="C3545" s="7" t="n"/>
      <c r="D3545" s="7" t="n"/>
      <c r="E3545" s="7" t="n"/>
      <c r="F3545" s="7" t="n"/>
      <c r="G3545" s="7" t="n"/>
      <c r="H3545" s="7" t="n"/>
      <c r="I3545" s="7" t="n"/>
      <c r="J3545" s="7" t="n"/>
      <c r="K3545">
        <f>IF(D3545="Legitimate Interest (GDPR Art. 6(1)(f))", "Yes / Required (Sheet 3)", "")</f>
        <v/>
      </c>
      <c r="L3545" s="7" t="n"/>
      <c r="M3545" s="7" t="n"/>
      <c r="N3545">
        <f>IF(D3545="", "Gap - No Legal Basis", IF(AND(D3545="Consent (GDPR Art. 6(1)(a))", I3545="Not Captured"), "Gap - Invalid Consent", IF(AND(D3545="Legitimate Interest (GDPR Art. 6(1)(f))", L3545=""), "Gap - Missing LIA", IF(AND(G3545="Yes", H3545=""), "Gap - Missing Art. 9 Basis", IF(OR(I3545="Invalid - Not Freely Given", I3545="Invalid - Not Specific", I3545="Invalid - Not Informed", I3545="Invalid - Ambiguous"), "Gap - Invalid Consent", "Compliant")))))</f>
        <v/>
      </c>
      <c r="O3545" s="7" t="n"/>
    </row>
    <row r="3546">
      <c r="A3546" s="7" t="n"/>
      <c r="B3546" s="7" t="n"/>
      <c r="C3546" s="7" t="n"/>
      <c r="D3546" s="7" t="n"/>
      <c r="E3546" s="7" t="n"/>
      <c r="F3546" s="7" t="n"/>
      <c r="G3546" s="7" t="n"/>
      <c r="H3546" s="7" t="n"/>
      <c r="I3546" s="7" t="n"/>
      <c r="J3546" s="7" t="n"/>
      <c r="K3546">
        <f>IF(D3546="Legitimate Interest (GDPR Art. 6(1)(f))", "Yes / Required (Sheet 3)", "")</f>
        <v/>
      </c>
      <c r="L3546" s="7" t="n"/>
      <c r="M3546" s="7" t="n"/>
      <c r="N3546">
        <f>IF(D3546="", "Gap - No Legal Basis", IF(AND(D3546="Consent (GDPR Art. 6(1)(a))", I3546="Not Captured"), "Gap - Invalid Consent", IF(AND(D3546="Legitimate Interest (GDPR Art. 6(1)(f))", L3546=""), "Gap - Missing LIA", IF(AND(G3546="Yes", H3546=""), "Gap - Missing Art. 9 Basis", IF(OR(I3546="Invalid - Not Freely Given", I3546="Invalid - Not Specific", I3546="Invalid - Not Informed", I3546="Invalid - Ambiguous"), "Gap - Invalid Consent", "Compliant")))))</f>
        <v/>
      </c>
      <c r="O3546" s="7" t="n"/>
    </row>
    <row r="3547">
      <c r="A3547" s="7" t="n"/>
      <c r="B3547" s="7" t="n"/>
      <c r="C3547" s="7" t="n"/>
      <c r="D3547" s="7" t="n"/>
      <c r="E3547" s="7" t="n"/>
      <c r="F3547" s="7" t="n"/>
      <c r="G3547" s="7" t="n"/>
      <c r="H3547" s="7" t="n"/>
      <c r="I3547" s="7" t="n"/>
      <c r="J3547" s="7" t="n"/>
      <c r="K3547">
        <f>IF(D3547="Legitimate Interest (GDPR Art. 6(1)(f))", "Yes / Required (Sheet 3)", "")</f>
        <v/>
      </c>
      <c r="L3547" s="7" t="n"/>
      <c r="M3547" s="7" t="n"/>
      <c r="N3547">
        <f>IF(D3547="", "Gap - No Legal Basis", IF(AND(D3547="Consent (GDPR Art. 6(1)(a))", I3547="Not Captured"), "Gap - Invalid Consent", IF(AND(D3547="Legitimate Interest (GDPR Art. 6(1)(f))", L3547=""), "Gap - Missing LIA", IF(AND(G3547="Yes", H3547=""), "Gap - Missing Art. 9 Basis", IF(OR(I3547="Invalid - Not Freely Given", I3547="Invalid - Not Specific", I3547="Invalid - Not Informed", I3547="Invalid - Ambiguous"), "Gap - Invalid Consent", "Compliant")))))</f>
        <v/>
      </c>
      <c r="O3547" s="7" t="n"/>
    </row>
    <row r="3548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7" t="n"/>
      <c r="J3548" s="7" t="n"/>
      <c r="K3548">
        <f>IF(D3548="Legitimate Interest (GDPR Art. 6(1)(f))", "Yes / Required (Sheet 3)", "")</f>
        <v/>
      </c>
      <c r="L3548" s="7" t="n"/>
      <c r="M3548" s="7" t="n"/>
      <c r="N3548">
        <f>IF(D3548="", "Gap - No Legal Basis", IF(AND(D3548="Consent (GDPR Art. 6(1)(a))", I3548="Not Captured"), "Gap - Invalid Consent", IF(AND(D3548="Legitimate Interest (GDPR Art. 6(1)(f))", L3548=""), "Gap - Missing LIA", IF(AND(G3548="Yes", H3548=""), "Gap - Missing Art. 9 Basis", IF(OR(I3548="Invalid - Not Freely Given", I3548="Invalid - Not Specific", I3548="Invalid - Not Informed", I3548="Invalid - Ambiguous"), "Gap - Invalid Consent", "Compliant")))))</f>
        <v/>
      </c>
      <c r="O3548" s="7" t="n"/>
    </row>
    <row r="3549">
      <c r="A3549" s="7" t="n"/>
      <c r="B3549" s="7" t="n"/>
      <c r="C3549" s="7" t="n"/>
      <c r="D3549" s="7" t="n"/>
      <c r="E3549" s="7" t="n"/>
      <c r="F3549" s="7" t="n"/>
      <c r="G3549" s="7" t="n"/>
      <c r="H3549" s="7" t="n"/>
      <c r="I3549" s="7" t="n"/>
      <c r="J3549" s="7" t="n"/>
      <c r="K3549">
        <f>IF(D3549="Legitimate Interest (GDPR Art. 6(1)(f))", "Yes / Required (Sheet 3)", "")</f>
        <v/>
      </c>
      <c r="L3549" s="7" t="n"/>
      <c r="M3549" s="7" t="n"/>
      <c r="N3549">
        <f>IF(D3549="", "Gap - No Legal Basis", IF(AND(D3549="Consent (GDPR Art. 6(1)(a))", I3549="Not Captured"), "Gap - Invalid Consent", IF(AND(D3549="Legitimate Interest (GDPR Art. 6(1)(f))", L3549=""), "Gap - Missing LIA", IF(AND(G3549="Yes", H3549=""), "Gap - Missing Art. 9 Basis", IF(OR(I3549="Invalid - Not Freely Given", I3549="Invalid - Not Specific", I3549="Invalid - Not Informed", I3549="Invalid - Ambiguous"), "Gap - Invalid Consent", "Compliant")))))</f>
        <v/>
      </c>
      <c r="O3549" s="7" t="n"/>
    </row>
    <row r="3550">
      <c r="A3550" s="7" t="n"/>
      <c r="B3550" s="7" t="n"/>
      <c r="C3550" s="7" t="n"/>
      <c r="D3550" s="7" t="n"/>
      <c r="E3550" s="7" t="n"/>
      <c r="F3550" s="7" t="n"/>
      <c r="G3550" s="7" t="n"/>
      <c r="H3550" s="7" t="n"/>
      <c r="I3550" s="7" t="n"/>
      <c r="J3550" s="7" t="n"/>
      <c r="K3550">
        <f>IF(D3550="Legitimate Interest (GDPR Art. 6(1)(f))", "Yes / Required (Sheet 3)", "")</f>
        <v/>
      </c>
      <c r="L3550" s="7" t="n"/>
      <c r="M3550" s="7" t="n"/>
      <c r="N3550">
        <f>IF(D3550="", "Gap - No Legal Basis", IF(AND(D3550="Consent (GDPR Art. 6(1)(a))", I3550="Not Captured"), "Gap - Invalid Consent", IF(AND(D3550="Legitimate Interest (GDPR Art. 6(1)(f))", L3550=""), "Gap - Missing LIA", IF(AND(G3550="Yes", H3550=""), "Gap - Missing Art. 9 Basis", IF(OR(I3550="Invalid - Not Freely Given", I3550="Invalid - Not Specific", I3550="Invalid - Not Informed", I3550="Invalid - Ambiguous"), "Gap - Invalid Consent", "Compliant")))))</f>
        <v/>
      </c>
      <c r="O3550" s="7" t="n"/>
    </row>
    <row r="3551">
      <c r="A3551" s="7" t="n"/>
      <c r="B3551" s="7" t="n"/>
      <c r="C3551" s="7" t="n"/>
      <c r="D3551" s="7" t="n"/>
      <c r="E3551" s="7" t="n"/>
      <c r="F3551" s="7" t="n"/>
      <c r="G3551" s="7" t="n"/>
      <c r="H3551" s="7" t="n"/>
      <c r="I3551" s="7" t="n"/>
      <c r="J3551" s="7" t="n"/>
      <c r="K3551">
        <f>IF(D3551="Legitimate Interest (GDPR Art. 6(1)(f))", "Yes / Required (Sheet 3)", "")</f>
        <v/>
      </c>
      <c r="L3551" s="7" t="n"/>
      <c r="M3551" s="7" t="n"/>
      <c r="N3551">
        <f>IF(D3551="", "Gap - No Legal Basis", IF(AND(D3551="Consent (GDPR Art. 6(1)(a))", I3551="Not Captured"), "Gap - Invalid Consent", IF(AND(D3551="Legitimate Interest (GDPR Art. 6(1)(f))", L3551=""), "Gap - Missing LIA", IF(AND(G3551="Yes", H3551=""), "Gap - Missing Art. 9 Basis", IF(OR(I3551="Invalid - Not Freely Given", I3551="Invalid - Not Specific", I3551="Invalid - Not Informed", I3551="Invalid - Ambiguous"), "Gap - Invalid Consent", "Compliant")))))</f>
        <v/>
      </c>
      <c r="O3551" s="7" t="n"/>
    </row>
    <row r="3552">
      <c r="A3552" s="7" t="n"/>
      <c r="B3552" s="7" t="n"/>
      <c r="C3552" s="7" t="n"/>
      <c r="D3552" s="7" t="n"/>
      <c r="E3552" s="7" t="n"/>
      <c r="F3552" s="7" t="n"/>
      <c r="G3552" s="7" t="n"/>
      <c r="H3552" s="7" t="n"/>
      <c r="I3552" s="7" t="n"/>
      <c r="J3552" s="7" t="n"/>
      <c r="K3552">
        <f>IF(D3552="Legitimate Interest (GDPR Art. 6(1)(f))", "Yes / Required (Sheet 3)", "")</f>
        <v/>
      </c>
      <c r="L3552" s="7" t="n"/>
      <c r="M3552" s="7" t="n"/>
      <c r="N3552">
        <f>IF(D3552="", "Gap - No Legal Basis", IF(AND(D3552="Consent (GDPR Art. 6(1)(a))", I3552="Not Captured"), "Gap - Invalid Consent", IF(AND(D3552="Legitimate Interest (GDPR Art. 6(1)(f))", L3552=""), "Gap - Missing LIA", IF(AND(G3552="Yes", H3552=""), "Gap - Missing Art. 9 Basis", IF(OR(I3552="Invalid - Not Freely Given", I3552="Invalid - Not Specific", I3552="Invalid - Not Informed", I3552="Invalid - Ambiguous"), "Gap - Invalid Consent", "Compliant")))))</f>
        <v/>
      </c>
      <c r="O3552" s="7" t="n"/>
    </row>
    <row r="3553">
      <c r="A3553" s="7" t="n"/>
      <c r="B3553" s="7" t="n"/>
      <c r="C3553" s="7" t="n"/>
      <c r="D3553" s="7" t="n"/>
      <c r="E3553" s="7" t="n"/>
      <c r="F3553" s="7" t="n"/>
      <c r="G3553" s="7" t="n"/>
      <c r="H3553" s="7" t="n"/>
      <c r="I3553" s="7" t="n"/>
      <c r="J3553" s="7" t="n"/>
      <c r="K3553">
        <f>IF(D3553="Legitimate Interest (GDPR Art. 6(1)(f))", "Yes / Required (Sheet 3)", "")</f>
        <v/>
      </c>
      <c r="L3553" s="7" t="n"/>
      <c r="M3553" s="7" t="n"/>
      <c r="N3553">
        <f>IF(D3553="", "Gap - No Legal Basis", IF(AND(D3553="Consent (GDPR Art. 6(1)(a))", I3553="Not Captured"), "Gap - Invalid Consent", IF(AND(D3553="Legitimate Interest (GDPR Art. 6(1)(f))", L3553=""), "Gap - Missing LIA", IF(AND(G3553="Yes", H3553=""), "Gap - Missing Art. 9 Basis", IF(OR(I3553="Invalid - Not Freely Given", I3553="Invalid - Not Specific", I3553="Invalid - Not Informed", I3553="Invalid - Ambiguous"), "Gap - Invalid Consent", "Compliant")))))</f>
        <v/>
      </c>
      <c r="O3553" s="7" t="n"/>
    </row>
    <row r="3554">
      <c r="A3554" s="7" t="n"/>
      <c r="B3554" s="7" t="n"/>
      <c r="C3554" s="7" t="n"/>
      <c r="D3554" s="7" t="n"/>
      <c r="E3554" s="7" t="n"/>
      <c r="F3554" s="7" t="n"/>
      <c r="G3554" s="7" t="n"/>
      <c r="H3554" s="7" t="n"/>
      <c r="I3554" s="7" t="n"/>
      <c r="J3554" s="7" t="n"/>
      <c r="K3554">
        <f>IF(D3554="Legitimate Interest (GDPR Art. 6(1)(f))", "Yes / Required (Sheet 3)", "")</f>
        <v/>
      </c>
      <c r="L3554" s="7" t="n"/>
      <c r="M3554" s="7" t="n"/>
      <c r="N3554">
        <f>IF(D3554="", "Gap - No Legal Basis", IF(AND(D3554="Consent (GDPR Art. 6(1)(a))", I3554="Not Captured"), "Gap - Invalid Consent", IF(AND(D3554="Legitimate Interest (GDPR Art. 6(1)(f))", L3554=""), "Gap - Missing LIA", IF(AND(G3554="Yes", H3554=""), "Gap - Missing Art. 9 Basis", IF(OR(I3554="Invalid - Not Freely Given", I3554="Invalid - Not Specific", I3554="Invalid - Not Informed", I3554="Invalid - Ambiguous"), "Gap - Invalid Consent", "Compliant")))))</f>
        <v/>
      </c>
      <c r="O3554" s="7" t="n"/>
    </row>
    <row r="3555">
      <c r="A3555" s="7" t="n"/>
      <c r="B3555" s="7" t="n"/>
      <c r="C3555" s="7" t="n"/>
      <c r="D3555" s="7" t="n"/>
      <c r="E3555" s="7" t="n"/>
      <c r="F3555" s="7" t="n"/>
      <c r="G3555" s="7" t="n"/>
      <c r="H3555" s="7" t="n"/>
      <c r="I3555" s="7" t="n"/>
      <c r="J3555" s="7" t="n"/>
      <c r="K3555">
        <f>IF(D3555="Legitimate Interest (GDPR Art. 6(1)(f))", "Yes / Required (Sheet 3)", "")</f>
        <v/>
      </c>
      <c r="L3555" s="7" t="n"/>
      <c r="M3555" s="7" t="n"/>
      <c r="N3555">
        <f>IF(D3555="", "Gap - No Legal Basis", IF(AND(D3555="Consent (GDPR Art. 6(1)(a))", I3555="Not Captured"), "Gap - Invalid Consent", IF(AND(D3555="Legitimate Interest (GDPR Art. 6(1)(f))", L3555=""), "Gap - Missing LIA", IF(AND(G3555="Yes", H3555=""), "Gap - Missing Art. 9 Basis", IF(OR(I3555="Invalid - Not Freely Given", I3555="Invalid - Not Specific", I3555="Invalid - Not Informed", I3555="Invalid - Ambiguous"), "Gap - Invalid Consent", "Compliant")))))</f>
        <v/>
      </c>
      <c r="O3555" s="7" t="n"/>
    </row>
    <row r="3556">
      <c r="A3556" s="7" t="n"/>
      <c r="B3556" s="7" t="n"/>
      <c r="C3556" s="7" t="n"/>
      <c r="D3556" s="7" t="n"/>
      <c r="E3556" s="7" t="n"/>
      <c r="F3556" s="7" t="n"/>
      <c r="G3556" s="7" t="n"/>
      <c r="H3556" s="7" t="n"/>
      <c r="I3556" s="7" t="n"/>
      <c r="J3556" s="7" t="n"/>
      <c r="K3556">
        <f>IF(D3556="Legitimate Interest (GDPR Art. 6(1)(f))", "Yes / Required (Sheet 3)", "")</f>
        <v/>
      </c>
      <c r="L3556" s="7" t="n"/>
      <c r="M3556" s="7" t="n"/>
      <c r="N3556">
        <f>IF(D3556="", "Gap - No Legal Basis", IF(AND(D3556="Consent (GDPR Art. 6(1)(a))", I3556="Not Captured"), "Gap - Invalid Consent", IF(AND(D3556="Legitimate Interest (GDPR Art. 6(1)(f))", L3556=""), "Gap - Missing LIA", IF(AND(G3556="Yes", H3556=""), "Gap - Missing Art. 9 Basis", IF(OR(I3556="Invalid - Not Freely Given", I3556="Invalid - Not Specific", I3556="Invalid - Not Informed", I3556="Invalid - Ambiguous"), "Gap - Invalid Consent", "Compliant")))))</f>
        <v/>
      </c>
      <c r="O3556" s="7" t="n"/>
    </row>
    <row r="3557">
      <c r="A3557" s="7" t="n"/>
      <c r="B3557" s="7" t="n"/>
      <c r="C3557" s="7" t="n"/>
      <c r="D3557" s="7" t="n"/>
      <c r="E3557" s="7" t="n"/>
      <c r="F3557" s="7" t="n"/>
      <c r="G3557" s="7" t="n"/>
      <c r="H3557" s="7" t="n"/>
      <c r="I3557" s="7" t="n"/>
      <c r="J3557" s="7" t="n"/>
      <c r="K3557">
        <f>IF(D3557="Legitimate Interest (GDPR Art. 6(1)(f))", "Yes / Required (Sheet 3)", "")</f>
        <v/>
      </c>
      <c r="L3557" s="7" t="n"/>
      <c r="M3557" s="7" t="n"/>
      <c r="N3557">
        <f>IF(D3557="", "Gap - No Legal Basis", IF(AND(D3557="Consent (GDPR Art. 6(1)(a))", I3557="Not Captured"), "Gap - Invalid Consent", IF(AND(D3557="Legitimate Interest (GDPR Art. 6(1)(f))", L3557=""), "Gap - Missing LIA", IF(AND(G3557="Yes", H3557=""), "Gap - Missing Art. 9 Basis", IF(OR(I3557="Invalid - Not Freely Given", I3557="Invalid - Not Specific", I3557="Invalid - Not Informed", I3557="Invalid - Ambiguous"), "Gap - Invalid Consent", "Compliant")))))</f>
        <v/>
      </c>
      <c r="O3557" s="7" t="n"/>
    </row>
    <row r="3558">
      <c r="A3558" s="7" t="n"/>
      <c r="B3558" s="7" t="n"/>
      <c r="C3558" s="7" t="n"/>
      <c r="D3558" s="7" t="n"/>
      <c r="E3558" s="7" t="n"/>
      <c r="F3558" s="7" t="n"/>
      <c r="G3558" s="7" t="n"/>
      <c r="H3558" s="7" t="n"/>
      <c r="I3558" s="7" t="n"/>
      <c r="J3558" s="7" t="n"/>
      <c r="K3558">
        <f>IF(D3558="Legitimate Interest (GDPR Art. 6(1)(f))", "Yes / Required (Sheet 3)", "")</f>
        <v/>
      </c>
      <c r="L3558" s="7" t="n"/>
      <c r="M3558" s="7" t="n"/>
      <c r="N3558">
        <f>IF(D3558="", "Gap - No Legal Basis", IF(AND(D3558="Consent (GDPR Art. 6(1)(a))", I3558="Not Captured"), "Gap - Invalid Consent", IF(AND(D3558="Legitimate Interest (GDPR Art. 6(1)(f))", L3558=""), "Gap - Missing LIA", IF(AND(G3558="Yes", H3558=""), "Gap - Missing Art. 9 Basis", IF(OR(I3558="Invalid - Not Freely Given", I3558="Invalid - Not Specific", I3558="Invalid - Not Informed", I3558="Invalid - Ambiguous"), "Gap - Invalid Consent", "Compliant")))))</f>
        <v/>
      </c>
      <c r="O3558" s="7" t="n"/>
    </row>
    <row r="3559">
      <c r="A3559" s="7" t="n"/>
      <c r="B3559" s="7" t="n"/>
      <c r="C3559" s="7" t="n"/>
      <c r="D3559" s="7" t="n"/>
      <c r="E3559" s="7" t="n"/>
      <c r="F3559" s="7" t="n"/>
      <c r="G3559" s="7" t="n"/>
      <c r="H3559" s="7" t="n"/>
      <c r="I3559" s="7" t="n"/>
      <c r="J3559" s="7" t="n"/>
      <c r="K3559">
        <f>IF(D3559="Legitimate Interest (GDPR Art. 6(1)(f))", "Yes / Required (Sheet 3)", "")</f>
        <v/>
      </c>
      <c r="L3559" s="7" t="n"/>
      <c r="M3559" s="7" t="n"/>
      <c r="N3559">
        <f>IF(D3559="", "Gap - No Legal Basis", IF(AND(D3559="Consent (GDPR Art. 6(1)(a))", I3559="Not Captured"), "Gap - Invalid Consent", IF(AND(D3559="Legitimate Interest (GDPR Art. 6(1)(f))", L3559=""), "Gap - Missing LIA", IF(AND(G3559="Yes", H3559=""), "Gap - Missing Art. 9 Basis", IF(OR(I3559="Invalid - Not Freely Given", I3559="Invalid - Not Specific", I3559="Invalid - Not Informed", I3559="Invalid - Ambiguous"), "Gap - Invalid Consent", "Compliant")))))</f>
        <v/>
      </c>
      <c r="O3559" s="7" t="n"/>
    </row>
    <row r="3560">
      <c r="A3560" s="7" t="n"/>
      <c r="B3560" s="7" t="n"/>
      <c r="C3560" s="7" t="n"/>
      <c r="D3560" s="7" t="n"/>
      <c r="E3560" s="7" t="n"/>
      <c r="F3560" s="7" t="n"/>
      <c r="G3560" s="7" t="n"/>
      <c r="H3560" s="7" t="n"/>
      <c r="I3560" s="7" t="n"/>
      <c r="J3560" s="7" t="n"/>
      <c r="K3560">
        <f>IF(D3560="Legitimate Interest (GDPR Art. 6(1)(f))", "Yes / Required (Sheet 3)", "")</f>
        <v/>
      </c>
      <c r="L3560" s="7" t="n"/>
      <c r="M3560" s="7" t="n"/>
      <c r="N3560">
        <f>IF(D3560="", "Gap - No Legal Basis", IF(AND(D3560="Consent (GDPR Art. 6(1)(a))", I3560="Not Captured"), "Gap - Invalid Consent", IF(AND(D3560="Legitimate Interest (GDPR Art. 6(1)(f))", L3560=""), "Gap - Missing LIA", IF(AND(G3560="Yes", H3560=""), "Gap - Missing Art. 9 Basis", IF(OR(I3560="Invalid - Not Freely Given", I3560="Invalid - Not Specific", I3560="Invalid - Not Informed", I3560="Invalid - Ambiguous"), "Gap - Invalid Consent", "Compliant")))))</f>
        <v/>
      </c>
      <c r="O3560" s="7" t="n"/>
    </row>
    <row r="3561">
      <c r="A3561" s="7" t="n"/>
      <c r="B3561" s="7" t="n"/>
      <c r="C3561" s="7" t="n"/>
      <c r="D3561" s="7" t="n"/>
      <c r="E3561" s="7" t="n"/>
      <c r="F3561" s="7" t="n"/>
      <c r="G3561" s="7" t="n"/>
      <c r="H3561" s="7" t="n"/>
      <c r="I3561" s="7" t="n"/>
      <c r="J3561" s="7" t="n"/>
      <c r="K3561">
        <f>IF(D3561="Legitimate Interest (GDPR Art. 6(1)(f))", "Yes / Required (Sheet 3)", "")</f>
        <v/>
      </c>
      <c r="L3561" s="7" t="n"/>
      <c r="M3561" s="7" t="n"/>
      <c r="N3561">
        <f>IF(D3561="", "Gap - No Legal Basis", IF(AND(D3561="Consent (GDPR Art. 6(1)(a))", I3561="Not Captured"), "Gap - Invalid Consent", IF(AND(D3561="Legitimate Interest (GDPR Art. 6(1)(f))", L3561=""), "Gap - Missing LIA", IF(AND(G3561="Yes", H3561=""), "Gap - Missing Art. 9 Basis", IF(OR(I3561="Invalid - Not Freely Given", I3561="Invalid - Not Specific", I3561="Invalid - Not Informed", I3561="Invalid - Ambiguous"), "Gap - Invalid Consent", "Compliant")))))</f>
        <v/>
      </c>
      <c r="O3561" s="7" t="n"/>
    </row>
    <row r="3562">
      <c r="A3562" s="7" t="n"/>
      <c r="B3562" s="7" t="n"/>
      <c r="C3562" s="7" t="n"/>
      <c r="D3562" s="7" t="n"/>
      <c r="E3562" s="7" t="n"/>
      <c r="F3562" s="7" t="n"/>
      <c r="G3562" s="7" t="n"/>
      <c r="H3562" s="7" t="n"/>
      <c r="I3562" s="7" t="n"/>
      <c r="J3562" s="7" t="n"/>
      <c r="K3562">
        <f>IF(D3562="Legitimate Interest (GDPR Art. 6(1)(f))", "Yes / Required (Sheet 3)", "")</f>
        <v/>
      </c>
      <c r="L3562" s="7" t="n"/>
      <c r="M3562" s="7" t="n"/>
      <c r="N3562">
        <f>IF(D3562="", "Gap - No Legal Basis", IF(AND(D3562="Consent (GDPR Art. 6(1)(a))", I3562="Not Captured"), "Gap - Invalid Consent", IF(AND(D3562="Legitimate Interest (GDPR Art. 6(1)(f))", L3562=""), "Gap - Missing LIA", IF(AND(G3562="Yes", H3562=""), "Gap - Missing Art. 9 Basis", IF(OR(I3562="Invalid - Not Freely Given", I3562="Invalid - Not Specific", I3562="Invalid - Not Informed", I3562="Invalid - Ambiguous"), "Gap - Invalid Consent", "Compliant")))))</f>
        <v/>
      </c>
      <c r="O3562" s="7" t="n"/>
    </row>
    <row r="3563">
      <c r="A3563" s="7" t="n"/>
      <c r="B3563" s="7" t="n"/>
      <c r="C3563" s="7" t="n"/>
      <c r="D3563" s="7" t="n"/>
      <c r="E3563" s="7" t="n"/>
      <c r="F3563" s="7" t="n"/>
      <c r="G3563" s="7" t="n"/>
      <c r="H3563" s="7" t="n"/>
      <c r="I3563" s="7" t="n"/>
      <c r="J3563" s="7" t="n"/>
      <c r="K3563">
        <f>IF(D3563="Legitimate Interest (GDPR Art. 6(1)(f))", "Yes / Required (Sheet 3)", "")</f>
        <v/>
      </c>
      <c r="L3563" s="7" t="n"/>
      <c r="M3563" s="7" t="n"/>
      <c r="N3563">
        <f>IF(D3563="", "Gap - No Legal Basis", IF(AND(D3563="Consent (GDPR Art. 6(1)(a))", I3563="Not Captured"), "Gap - Invalid Consent", IF(AND(D3563="Legitimate Interest (GDPR Art. 6(1)(f))", L3563=""), "Gap - Missing LIA", IF(AND(G3563="Yes", H3563=""), "Gap - Missing Art. 9 Basis", IF(OR(I3563="Invalid - Not Freely Given", I3563="Invalid - Not Specific", I3563="Invalid - Not Informed", I3563="Invalid - Ambiguous"), "Gap - Invalid Consent", "Compliant")))))</f>
        <v/>
      </c>
      <c r="O3563" s="7" t="n"/>
    </row>
    <row r="3564">
      <c r="A3564" s="7" t="n"/>
      <c r="B3564" s="7" t="n"/>
      <c r="C3564" s="7" t="n"/>
      <c r="D3564" s="7" t="n"/>
      <c r="E3564" s="7" t="n"/>
      <c r="F3564" s="7" t="n"/>
      <c r="G3564" s="7" t="n"/>
      <c r="H3564" s="7" t="n"/>
      <c r="I3564" s="7" t="n"/>
      <c r="J3564" s="7" t="n"/>
      <c r="K3564">
        <f>IF(D3564="Legitimate Interest (GDPR Art. 6(1)(f))", "Yes / Required (Sheet 3)", "")</f>
        <v/>
      </c>
      <c r="L3564" s="7" t="n"/>
      <c r="M3564" s="7" t="n"/>
      <c r="N3564">
        <f>IF(D3564="", "Gap - No Legal Basis", IF(AND(D3564="Consent (GDPR Art. 6(1)(a))", I3564="Not Captured"), "Gap - Invalid Consent", IF(AND(D3564="Legitimate Interest (GDPR Art. 6(1)(f))", L3564=""), "Gap - Missing LIA", IF(AND(G3564="Yes", H3564=""), "Gap - Missing Art. 9 Basis", IF(OR(I3564="Invalid - Not Freely Given", I3564="Invalid - Not Specific", I3564="Invalid - Not Informed", I3564="Invalid - Ambiguous"), "Gap - Invalid Consent", "Compliant")))))</f>
        <v/>
      </c>
      <c r="O3564" s="7" t="n"/>
    </row>
    <row r="3565">
      <c r="A3565" s="7" t="n"/>
      <c r="B3565" s="7" t="n"/>
      <c r="C3565" s="7" t="n"/>
      <c r="D3565" s="7" t="n"/>
      <c r="E3565" s="7" t="n"/>
      <c r="F3565" s="7" t="n"/>
      <c r="G3565" s="7" t="n"/>
      <c r="H3565" s="7" t="n"/>
      <c r="I3565" s="7" t="n"/>
      <c r="J3565" s="7" t="n"/>
      <c r="K3565">
        <f>IF(D3565="Legitimate Interest (GDPR Art. 6(1)(f))", "Yes / Required (Sheet 3)", "")</f>
        <v/>
      </c>
      <c r="L3565" s="7" t="n"/>
      <c r="M3565" s="7" t="n"/>
      <c r="N3565">
        <f>IF(D3565="", "Gap - No Legal Basis", IF(AND(D3565="Consent (GDPR Art. 6(1)(a))", I3565="Not Captured"), "Gap - Invalid Consent", IF(AND(D3565="Legitimate Interest (GDPR Art. 6(1)(f))", L3565=""), "Gap - Missing LIA", IF(AND(G3565="Yes", H3565=""), "Gap - Missing Art. 9 Basis", IF(OR(I3565="Invalid - Not Freely Given", I3565="Invalid - Not Specific", I3565="Invalid - Not Informed", I3565="Invalid - Ambiguous"), "Gap - Invalid Consent", "Compliant")))))</f>
        <v/>
      </c>
      <c r="O3565" s="7" t="n"/>
    </row>
    <row r="3566">
      <c r="A3566" s="7" t="n"/>
      <c r="B3566" s="7" t="n"/>
      <c r="C3566" s="7" t="n"/>
      <c r="D3566" s="7" t="n"/>
      <c r="E3566" s="7" t="n"/>
      <c r="F3566" s="7" t="n"/>
      <c r="G3566" s="7" t="n"/>
      <c r="H3566" s="7" t="n"/>
      <c r="I3566" s="7" t="n"/>
      <c r="J3566" s="7" t="n"/>
      <c r="K3566">
        <f>IF(D3566="Legitimate Interest (GDPR Art. 6(1)(f))", "Yes / Required (Sheet 3)", "")</f>
        <v/>
      </c>
      <c r="L3566" s="7" t="n"/>
      <c r="M3566" s="7" t="n"/>
      <c r="N3566">
        <f>IF(D3566="", "Gap - No Legal Basis", IF(AND(D3566="Consent (GDPR Art. 6(1)(a))", I3566="Not Captured"), "Gap - Invalid Consent", IF(AND(D3566="Legitimate Interest (GDPR Art. 6(1)(f))", L3566=""), "Gap - Missing LIA", IF(AND(G3566="Yes", H3566=""), "Gap - Missing Art. 9 Basis", IF(OR(I3566="Invalid - Not Freely Given", I3566="Invalid - Not Specific", I3566="Invalid - Not Informed", I3566="Invalid - Ambiguous"), "Gap - Invalid Consent", "Compliant")))))</f>
        <v/>
      </c>
      <c r="O3566" s="7" t="n"/>
    </row>
    <row r="3567">
      <c r="A3567" s="7" t="n"/>
      <c r="B3567" s="7" t="n"/>
      <c r="C3567" s="7" t="n"/>
      <c r="D3567" s="7" t="n"/>
      <c r="E3567" s="7" t="n"/>
      <c r="F3567" s="7" t="n"/>
      <c r="G3567" s="7" t="n"/>
      <c r="H3567" s="7" t="n"/>
      <c r="I3567" s="7" t="n"/>
      <c r="J3567" s="7" t="n"/>
      <c r="K3567">
        <f>IF(D3567="Legitimate Interest (GDPR Art. 6(1)(f))", "Yes / Required (Sheet 3)", "")</f>
        <v/>
      </c>
      <c r="L3567" s="7" t="n"/>
      <c r="M3567" s="7" t="n"/>
      <c r="N3567">
        <f>IF(D3567="", "Gap - No Legal Basis", IF(AND(D3567="Consent (GDPR Art. 6(1)(a))", I3567="Not Captured"), "Gap - Invalid Consent", IF(AND(D3567="Legitimate Interest (GDPR Art. 6(1)(f))", L3567=""), "Gap - Missing LIA", IF(AND(G3567="Yes", H3567=""), "Gap - Missing Art. 9 Basis", IF(OR(I3567="Invalid - Not Freely Given", I3567="Invalid - Not Specific", I3567="Invalid - Not Informed", I3567="Invalid - Ambiguous"), "Gap - Invalid Consent", "Compliant")))))</f>
        <v/>
      </c>
      <c r="O3567" s="7" t="n"/>
    </row>
    <row r="3568">
      <c r="A3568" s="7" t="n"/>
      <c r="B3568" s="7" t="n"/>
      <c r="C3568" s="7" t="n"/>
      <c r="D3568" s="7" t="n"/>
      <c r="E3568" s="7" t="n"/>
      <c r="F3568" s="7" t="n"/>
      <c r="G3568" s="7" t="n"/>
      <c r="H3568" s="7" t="n"/>
      <c r="I3568" s="7" t="n"/>
      <c r="J3568" s="7" t="n"/>
      <c r="K3568">
        <f>IF(D3568="Legitimate Interest (GDPR Art. 6(1)(f))", "Yes / Required (Sheet 3)", "")</f>
        <v/>
      </c>
      <c r="L3568" s="7" t="n"/>
      <c r="M3568" s="7" t="n"/>
      <c r="N3568">
        <f>IF(D3568="", "Gap - No Legal Basis", IF(AND(D3568="Consent (GDPR Art. 6(1)(a))", I3568="Not Captured"), "Gap - Invalid Consent", IF(AND(D3568="Legitimate Interest (GDPR Art. 6(1)(f))", L3568=""), "Gap - Missing LIA", IF(AND(G3568="Yes", H3568=""), "Gap - Missing Art. 9 Basis", IF(OR(I3568="Invalid - Not Freely Given", I3568="Invalid - Not Specific", I3568="Invalid - Not Informed", I3568="Invalid - Ambiguous"), "Gap - Invalid Consent", "Compliant")))))</f>
        <v/>
      </c>
      <c r="O3568" s="7" t="n"/>
    </row>
    <row r="3569">
      <c r="A3569" s="7" t="n"/>
      <c r="B3569" s="7" t="n"/>
      <c r="C3569" s="7" t="n"/>
      <c r="D3569" s="7" t="n"/>
      <c r="E3569" s="7" t="n"/>
      <c r="F3569" s="7" t="n"/>
      <c r="G3569" s="7" t="n"/>
      <c r="H3569" s="7" t="n"/>
      <c r="I3569" s="7" t="n"/>
      <c r="J3569" s="7" t="n"/>
      <c r="K3569">
        <f>IF(D3569="Legitimate Interest (GDPR Art. 6(1)(f))", "Yes / Required (Sheet 3)", "")</f>
        <v/>
      </c>
      <c r="L3569" s="7" t="n"/>
      <c r="M3569" s="7" t="n"/>
      <c r="N3569">
        <f>IF(D3569="", "Gap - No Legal Basis", IF(AND(D3569="Consent (GDPR Art. 6(1)(a))", I3569="Not Captured"), "Gap - Invalid Consent", IF(AND(D3569="Legitimate Interest (GDPR Art. 6(1)(f))", L3569=""), "Gap - Missing LIA", IF(AND(G3569="Yes", H3569=""), "Gap - Missing Art. 9 Basis", IF(OR(I3569="Invalid - Not Freely Given", I3569="Invalid - Not Specific", I3569="Invalid - Not Informed", I3569="Invalid - Ambiguous"), "Gap - Invalid Consent", "Compliant")))))</f>
        <v/>
      </c>
      <c r="O3569" s="7" t="n"/>
    </row>
    <row r="3570">
      <c r="A3570" s="7" t="n"/>
      <c r="B3570" s="7" t="n"/>
      <c r="C3570" s="7" t="n"/>
      <c r="D3570" s="7" t="n"/>
      <c r="E3570" s="7" t="n"/>
      <c r="F3570" s="7" t="n"/>
      <c r="G3570" s="7" t="n"/>
      <c r="H3570" s="7" t="n"/>
      <c r="I3570" s="7" t="n"/>
      <c r="J3570" s="7" t="n"/>
      <c r="K3570">
        <f>IF(D3570="Legitimate Interest (GDPR Art. 6(1)(f))", "Yes / Required (Sheet 3)", "")</f>
        <v/>
      </c>
      <c r="L3570" s="7" t="n"/>
      <c r="M3570" s="7" t="n"/>
      <c r="N3570">
        <f>IF(D3570="", "Gap - No Legal Basis", IF(AND(D3570="Consent (GDPR Art. 6(1)(a))", I3570="Not Captured"), "Gap - Invalid Consent", IF(AND(D3570="Legitimate Interest (GDPR Art. 6(1)(f))", L3570=""), "Gap - Missing LIA", IF(AND(G3570="Yes", H3570=""), "Gap - Missing Art. 9 Basis", IF(OR(I3570="Invalid - Not Freely Given", I3570="Invalid - Not Specific", I3570="Invalid - Not Informed", I3570="Invalid - Ambiguous"), "Gap - Invalid Consent", "Compliant")))))</f>
        <v/>
      </c>
      <c r="O3570" s="7" t="n"/>
    </row>
    <row r="3571">
      <c r="A3571" s="7" t="n"/>
      <c r="B3571" s="7" t="n"/>
      <c r="C3571" s="7" t="n"/>
      <c r="D3571" s="7" t="n"/>
      <c r="E3571" s="7" t="n"/>
      <c r="F3571" s="7" t="n"/>
      <c r="G3571" s="7" t="n"/>
      <c r="H3571" s="7" t="n"/>
      <c r="I3571" s="7" t="n"/>
      <c r="J3571" s="7" t="n"/>
      <c r="K3571">
        <f>IF(D3571="Legitimate Interest (GDPR Art. 6(1)(f))", "Yes / Required (Sheet 3)", "")</f>
        <v/>
      </c>
      <c r="L3571" s="7" t="n"/>
      <c r="M3571" s="7" t="n"/>
      <c r="N3571">
        <f>IF(D3571="", "Gap - No Legal Basis", IF(AND(D3571="Consent (GDPR Art. 6(1)(a))", I3571="Not Captured"), "Gap - Invalid Consent", IF(AND(D3571="Legitimate Interest (GDPR Art. 6(1)(f))", L3571=""), "Gap - Missing LIA", IF(AND(G3571="Yes", H3571=""), "Gap - Missing Art. 9 Basis", IF(OR(I3571="Invalid - Not Freely Given", I3571="Invalid - Not Specific", I3571="Invalid - Not Informed", I3571="Invalid - Ambiguous"), "Gap - Invalid Consent", "Compliant")))))</f>
        <v/>
      </c>
      <c r="O3571" s="7" t="n"/>
    </row>
    <row r="3572">
      <c r="A3572" s="7" t="n"/>
      <c r="B3572" s="7" t="n"/>
      <c r="C3572" s="7" t="n"/>
      <c r="D3572" s="7" t="n"/>
      <c r="E3572" s="7" t="n"/>
      <c r="F3572" s="7" t="n"/>
      <c r="G3572" s="7" t="n"/>
      <c r="H3572" s="7" t="n"/>
      <c r="I3572" s="7" t="n"/>
      <c r="J3572" s="7" t="n"/>
      <c r="K3572">
        <f>IF(D3572="Legitimate Interest (GDPR Art. 6(1)(f))", "Yes / Required (Sheet 3)", "")</f>
        <v/>
      </c>
      <c r="L3572" s="7" t="n"/>
      <c r="M3572" s="7" t="n"/>
      <c r="N3572">
        <f>IF(D3572="", "Gap - No Legal Basis", IF(AND(D3572="Consent (GDPR Art. 6(1)(a))", I3572="Not Captured"), "Gap - Invalid Consent", IF(AND(D3572="Legitimate Interest (GDPR Art. 6(1)(f))", L3572=""), "Gap - Missing LIA", IF(AND(G3572="Yes", H3572=""), "Gap - Missing Art. 9 Basis", IF(OR(I3572="Invalid - Not Freely Given", I3572="Invalid - Not Specific", I3572="Invalid - Not Informed", I3572="Invalid - Ambiguous"), "Gap - Invalid Consent", "Compliant")))))</f>
        <v/>
      </c>
      <c r="O3572" s="7" t="n"/>
    </row>
    <row r="3573">
      <c r="A3573" s="7" t="n"/>
      <c r="B3573" s="7" t="n"/>
      <c r="C3573" s="7" t="n"/>
      <c r="D3573" s="7" t="n"/>
      <c r="E3573" s="7" t="n"/>
      <c r="F3573" s="7" t="n"/>
      <c r="G3573" s="7" t="n"/>
      <c r="H3573" s="7" t="n"/>
      <c r="I3573" s="7" t="n"/>
      <c r="J3573" s="7" t="n"/>
      <c r="K3573">
        <f>IF(D3573="Legitimate Interest (GDPR Art. 6(1)(f))", "Yes / Required (Sheet 3)", "")</f>
        <v/>
      </c>
      <c r="L3573" s="7" t="n"/>
      <c r="M3573" s="7" t="n"/>
      <c r="N3573">
        <f>IF(D3573="", "Gap - No Legal Basis", IF(AND(D3573="Consent (GDPR Art. 6(1)(a))", I3573="Not Captured"), "Gap - Invalid Consent", IF(AND(D3573="Legitimate Interest (GDPR Art. 6(1)(f))", L3573=""), "Gap - Missing LIA", IF(AND(G3573="Yes", H3573=""), "Gap - Missing Art. 9 Basis", IF(OR(I3573="Invalid - Not Freely Given", I3573="Invalid - Not Specific", I3573="Invalid - Not Informed", I3573="Invalid - Ambiguous"), "Gap - Invalid Consent", "Compliant")))))</f>
        <v/>
      </c>
      <c r="O3573" s="7" t="n"/>
    </row>
    <row r="3574">
      <c r="A3574" s="7" t="n"/>
      <c r="B3574" s="7" t="n"/>
      <c r="C3574" s="7" t="n"/>
      <c r="D3574" s="7" t="n"/>
      <c r="E3574" s="7" t="n"/>
      <c r="F3574" s="7" t="n"/>
      <c r="G3574" s="7" t="n"/>
      <c r="H3574" s="7" t="n"/>
      <c r="I3574" s="7" t="n"/>
      <c r="J3574" s="7" t="n"/>
      <c r="K3574">
        <f>IF(D3574="Legitimate Interest (GDPR Art. 6(1)(f))", "Yes / Required (Sheet 3)", "")</f>
        <v/>
      </c>
      <c r="L3574" s="7" t="n"/>
      <c r="M3574" s="7" t="n"/>
      <c r="N3574">
        <f>IF(D3574="", "Gap - No Legal Basis", IF(AND(D3574="Consent (GDPR Art. 6(1)(a))", I3574="Not Captured"), "Gap - Invalid Consent", IF(AND(D3574="Legitimate Interest (GDPR Art. 6(1)(f))", L3574=""), "Gap - Missing LIA", IF(AND(G3574="Yes", H3574=""), "Gap - Missing Art. 9 Basis", IF(OR(I3574="Invalid - Not Freely Given", I3574="Invalid - Not Specific", I3574="Invalid - Not Informed", I3574="Invalid - Ambiguous"), "Gap - Invalid Consent", "Compliant")))))</f>
        <v/>
      </c>
      <c r="O3574" s="7" t="n"/>
    </row>
    <row r="3575">
      <c r="A3575" s="7" t="n"/>
      <c r="B3575" s="7" t="n"/>
      <c r="C3575" s="7" t="n"/>
      <c r="D3575" s="7" t="n"/>
      <c r="E3575" s="7" t="n"/>
      <c r="F3575" s="7" t="n"/>
      <c r="G3575" s="7" t="n"/>
      <c r="H3575" s="7" t="n"/>
      <c r="I3575" s="7" t="n"/>
      <c r="J3575" s="7" t="n"/>
      <c r="K3575">
        <f>IF(D3575="Legitimate Interest (GDPR Art. 6(1)(f))", "Yes / Required (Sheet 3)", "")</f>
        <v/>
      </c>
      <c r="L3575" s="7" t="n"/>
      <c r="M3575" s="7" t="n"/>
      <c r="N3575">
        <f>IF(D3575="", "Gap - No Legal Basis", IF(AND(D3575="Consent (GDPR Art. 6(1)(a))", I3575="Not Captured"), "Gap - Invalid Consent", IF(AND(D3575="Legitimate Interest (GDPR Art. 6(1)(f))", L3575=""), "Gap - Missing LIA", IF(AND(G3575="Yes", H3575=""), "Gap - Missing Art. 9 Basis", IF(OR(I3575="Invalid - Not Freely Given", I3575="Invalid - Not Specific", I3575="Invalid - Not Informed", I3575="Invalid - Ambiguous"), "Gap - Invalid Consent", "Compliant")))))</f>
        <v/>
      </c>
      <c r="O3575" s="7" t="n"/>
    </row>
    <row r="3576">
      <c r="A3576" s="7" t="n"/>
      <c r="B3576" s="7" t="n"/>
      <c r="C3576" s="7" t="n"/>
      <c r="D3576" s="7" t="n"/>
      <c r="E3576" s="7" t="n"/>
      <c r="F3576" s="7" t="n"/>
      <c r="G3576" s="7" t="n"/>
      <c r="H3576" s="7" t="n"/>
      <c r="I3576" s="7" t="n"/>
      <c r="J3576" s="7" t="n"/>
      <c r="K3576">
        <f>IF(D3576="Legitimate Interest (GDPR Art. 6(1)(f))", "Yes / Required (Sheet 3)", "")</f>
        <v/>
      </c>
      <c r="L3576" s="7" t="n"/>
      <c r="M3576" s="7" t="n"/>
      <c r="N3576">
        <f>IF(D3576="", "Gap - No Legal Basis", IF(AND(D3576="Consent (GDPR Art. 6(1)(a))", I3576="Not Captured"), "Gap - Invalid Consent", IF(AND(D3576="Legitimate Interest (GDPR Art. 6(1)(f))", L3576=""), "Gap - Missing LIA", IF(AND(G3576="Yes", H3576=""), "Gap - Missing Art. 9 Basis", IF(OR(I3576="Invalid - Not Freely Given", I3576="Invalid - Not Specific", I3576="Invalid - Not Informed", I3576="Invalid - Ambiguous"), "Gap - Invalid Consent", "Compliant")))))</f>
        <v/>
      </c>
      <c r="O3576" s="7" t="n"/>
    </row>
    <row r="3577">
      <c r="A3577" s="7" t="n"/>
      <c r="B3577" s="7" t="n"/>
      <c r="C3577" s="7" t="n"/>
      <c r="D3577" s="7" t="n"/>
      <c r="E3577" s="7" t="n"/>
      <c r="F3577" s="7" t="n"/>
      <c r="G3577" s="7" t="n"/>
      <c r="H3577" s="7" t="n"/>
      <c r="I3577" s="7" t="n"/>
      <c r="J3577" s="7" t="n"/>
      <c r="K3577">
        <f>IF(D3577="Legitimate Interest (GDPR Art. 6(1)(f))", "Yes / Required (Sheet 3)", "")</f>
        <v/>
      </c>
      <c r="L3577" s="7" t="n"/>
      <c r="M3577" s="7" t="n"/>
      <c r="N3577">
        <f>IF(D3577="", "Gap - No Legal Basis", IF(AND(D3577="Consent (GDPR Art. 6(1)(a))", I3577="Not Captured"), "Gap - Invalid Consent", IF(AND(D3577="Legitimate Interest (GDPR Art. 6(1)(f))", L3577=""), "Gap - Missing LIA", IF(AND(G3577="Yes", H3577=""), "Gap - Missing Art. 9 Basis", IF(OR(I3577="Invalid - Not Freely Given", I3577="Invalid - Not Specific", I3577="Invalid - Not Informed", I3577="Invalid - Ambiguous"), "Gap - Invalid Consent", "Compliant")))))</f>
        <v/>
      </c>
      <c r="O3577" s="7" t="n"/>
    </row>
    <row r="3578">
      <c r="A3578" s="7" t="n"/>
      <c r="B3578" s="7" t="n"/>
      <c r="C3578" s="7" t="n"/>
      <c r="D3578" s="7" t="n"/>
      <c r="E3578" s="7" t="n"/>
      <c r="F3578" s="7" t="n"/>
      <c r="G3578" s="7" t="n"/>
      <c r="H3578" s="7" t="n"/>
      <c r="I3578" s="7" t="n"/>
      <c r="J3578" s="7" t="n"/>
      <c r="K3578">
        <f>IF(D3578="Legitimate Interest (GDPR Art. 6(1)(f))", "Yes / Required (Sheet 3)", "")</f>
        <v/>
      </c>
      <c r="L3578" s="7" t="n"/>
      <c r="M3578" s="7" t="n"/>
      <c r="N3578">
        <f>IF(D3578="", "Gap - No Legal Basis", IF(AND(D3578="Consent (GDPR Art. 6(1)(a))", I3578="Not Captured"), "Gap - Invalid Consent", IF(AND(D3578="Legitimate Interest (GDPR Art. 6(1)(f))", L3578=""), "Gap - Missing LIA", IF(AND(G3578="Yes", H3578=""), "Gap - Missing Art. 9 Basis", IF(OR(I3578="Invalid - Not Freely Given", I3578="Invalid - Not Specific", I3578="Invalid - Not Informed", I3578="Invalid - Ambiguous"), "Gap - Invalid Consent", "Compliant")))))</f>
        <v/>
      </c>
      <c r="O3578" s="7" t="n"/>
    </row>
    <row r="3579">
      <c r="A3579" s="7" t="n"/>
      <c r="B3579" s="7" t="n"/>
      <c r="C3579" s="7" t="n"/>
      <c r="D3579" s="7" t="n"/>
      <c r="E3579" s="7" t="n"/>
      <c r="F3579" s="7" t="n"/>
      <c r="G3579" s="7" t="n"/>
      <c r="H3579" s="7" t="n"/>
      <c r="I3579" s="7" t="n"/>
      <c r="J3579" s="7" t="n"/>
      <c r="K3579">
        <f>IF(D3579="Legitimate Interest (GDPR Art. 6(1)(f))", "Yes / Required (Sheet 3)", "")</f>
        <v/>
      </c>
      <c r="L3579" s="7" t="n"/>
      <c r="M3579" s="7" t="n"/>
      <c r="N3579">
        <f>IF(D3579="", "Gap - No Legal Basis", IF(AND(D3579="Consent (GDPR Art. 6(1)(a))", I3579="Not Captured"), "Gap - Invalid Consent", IF(AND(D3579="Legitimate Interest (GDPR Art. 6(1)(f))", L3579=""), "Gap - Missing LIA", IF(AND(G3579="Yes", H3579=""), "Gap - Missing Art. 9 Basis", IF(OR(I3579="Invalid - Not Freely Given", I3579="Invalid - Not Specific", I3579="Invalid - Not Informed", I3579="Invalid - Ambiguous"), "Gap - Invalid Consent", "Compliant")))))</f>
        <v/>
      </c>
      <c r="O3579" s="7" t="n"/>
    </row>
    <row r="3580">
      <c r="A3580" s="7" t="n"/>
      <c r="B3580" s="7" t="n"/>
      <c r="C3580" s="7" t="n"/>
      <c r="D3580" s="7" t="n"/>
      <c r="E3580" s="7" t="n"/>
      <c r="F3580" s="7" t="n"/>
      <c r="G3580" s="7" t="n"/>
      <c r="H3580" s="7" t="n"/>
      <c r="I3580" s="7" t="n"/>
      <c r="J3580" s="7" t="n"/>
      <c r="K3580">
        <f>IF(D3580="Legitimate Interest (GDPR Art. 6(1)(f))", "Yes / Required (Sheet 3)", "")</f>
        <v/>
      </c>
      <c r="L3580" s="7" t="n"/>
      <c r="M3580" s="7" t="n"/>
      <c r="N3580">
        <f>IF(D3580="", "Gap - No Legal Basis", IF(AND(D3580="Consent (GDPR Art. 6(1)(a))", I3580="Not Captured"), "Gap - Invalid Consent", IF(AND(D3580="Legitimate Interest (GDPR Art. 6(1)(f))", L3580=""), "Gap - Missing LIA", IF(AND(G3580="Yes", H3580=""), "Gap - Missing Art. 9 Basis", IF(OR(I3580="Invalid - Not Freely Given", I3580="Invalid - Not Specific", I3580="Invalid - Not Informed", I3580="Invalid - Ambiguous"), "Gap - Invalid Consent", "Compliant")))))</f>
        <v/>
      </c>
      <c r="O3580" s="7" t="n"/>
    </row>
    <row r="3581">
      <c r="A3581" s="7" t="n"/>
      <c r="B3581" s="7" t="n"/>
      <c r="C3581" s="7" t="n"/>
      <c r="D3581" s="7" t="n"/>
      <c r="E3581" s="7" t="n"/>
      <c r="F3581" s="7" t="n"/>
      <c r="G3581" s="7" t="n"/>
      <c r="H3581" s="7" t="n"/>
      <c r="I3581" s="7" t="n"/>
      <c r="J3581" s="7" t="n"/>
      <c r="K3581">
        <f>IF(D3581="Legitimate Interest (GDPR Art. 6(1)(f))", "Yes / Required (Sheet 3)", "")</f>
        <v/>
      </c>
      <c r="L3581" s="7" t="n"/>
      <c r="M3581" s="7" t="n"/>
      <c r="N3581">
        <f>IF(D3581="", "Gap - No Legal Basis", IF(AND(D3581="Consent (GDPR Art. 6(1)(a))", I3581="Not Captured"), "Gap - Invalid Consent", IF(AND(D3581="Legitimate Interest (GDPR Art. 6(1)(f))", L3581=""), "Gap - Missing LIA", IF(AND(G3581="Yes", H3581=""), "Gap - Missing Art. 9 Basis", IF(OR(I3581="Invalid - Not Freely Given", I3581="Invalid - Not Specific", I3581="Invalid - Not Informed", I3581="Invalid - Ambiguous"), "Gap - Invalid Consent", "Compliant")))))</f>
        <v/>
      </c>
      <c r="O3581" s="7" t="n"/>
    </row>
    <row r="3582">
      <c r="A3582" s="7" t="n"/>
      <c r="B3582" s="7" t="n"/>
      <c r="C3582" s="7" t="n"/>
      <c r="D3582" s="7" t="n"/>
      <c r="E3582" s="7" t="n"/>
      <c r="F3582" s="7" t="n"/>
      <c r="G3582" s="7" t="n"/>
      <c r="H3582" s="7" t="n"/>
      <c r="I3582" s="7" t="n"/>
      <c r="J3582" s="7" t="n"/>
      <c r="K3582">
        <f>IF(D3582="Legitimate Interest (GDPR Art. 6(1)(f))", "Yes / Required (Sheet 3)", "")</f>
        <v/>
      </c>
      <c r="L3582" s="7" t="n"/>
      <c r="M3582" s="7" t="n"/>
      <c r="N3582">
        <f>IF(D3582="", "Gap - No Legal Basis", IF(AND(D3582="Consent (GDPR Art. 6(1)(a))", I3582="Not Captured"), "Gap - Invalid Consent", IF(AND(D3582="Legitimate Interest (GDPR Art. 6(1)(f))", L3582=""), "Gap - Missing LIA", IF(AND(G3582="Yes", H3582=""), "Gap - Missing Art. 9 Basis", IF(OR(I3582="Invalid - Not Freely Given", I3582="Invalid - Not Specific", I3582="Invalid - Not Informed", I3582="Invalid - Ambiguous"), "Gap - Invalid Consent", "Compliant")))))</f>
        <v/>
      </c>
      <c r="O3582" s="7" t="n"/>
    </row>
    <row r="3583">
      <c r="A3583" s="7" t="n"/>
      <c r="B3583" s="7" t="n"/>
      <c r="C3583" s="7" t="n"/>
      <c r="D3583" s="7" t="n"/>
      <c r="E3583" s="7" t="n"/>
      <c r="F3583" s="7" t="n"/>
      <c r="G3583" s="7" t="n"/>
      <c r="H3583" s="7" t="n"/>
      <c r="I3583" s="7" t="n"/>
      <c r="J3583" s="7" t="n"/>
      <c r="K3583">
        <f>IF(D3583="Legitimate Interest (GDPR Art. 6(1)(f))", "Yes / Required (Sheet 3)", "")</f>
        <v/>
      </c>
      <c r="L3583" s="7" t="n"/>
      <c r="M3583" s="7" t="n"/>
      <c r="N3583">
        <f>IF(D3583="", "Gap - No Legal Basis", IF(AND(D3583="Consent (GDPR Art. 6(1)(a))", I3583="Not Captured"), "Gap - Invalid Consent", IF(AND(D3583="Legitimate Interest (GDPR Art. 6(1)(f))", L3583=""), "Gap - Missing LIA", IF(AND(G3583="Yes", H3583=""), "Gap - Missing Art. 9 Basis", IF(OR(I3583="Invalid - Not Freely Given", I3583="Invalid - Not Specific", I3583="Invalid - Not Informed", I3583="Invalid - Ambiguous"), "Gap - Invalid Consent", "Compliant")))))</f>
        <v/>
      </c>
      <c r="O3583" s="7" t="n"/>
    </row>
    <row r="3584">
      <c r="A3584" s="7" t="n"/>
      <c r="B3584" s="7" t="n"/>
      <c r="C3584" s="7" t="n"/>
      <c r="D3584" s="7" t="n"/>
      <c r="E3584" s="7" t="n"/>
      <c r="F3584" s="7" t="n"/>
      <c r="G3584" s="7" t="n"/>
      <c r="H3584" s="7" t="n"/>
      <c r="I3584" s="7" t="n"/>
      <c r="J3584" s="7" t="n"/>
      <c r="K3584">
        <f>IF(D3584="Legitimate Interest (GDPR Art. 6(1)(f))", "Yes / Required (Sheet 3)", "")</f>
        <v/>
      </c>
      <c r="L3584" s="7" t="n"/>
      <c r="M3584" s="7" t="n"/>
      <c r="N3584">
        <f>IF(D3584="", "Gap - No Legal Basis", IF(AND(D3584="Consent (GDPR Art. 6(1)(a))", I3584="Not Captured"), "Gap - Invalid Consent", IF(AND(D3584="Legitimate Interest (GDPR Art. 6(1)(f))", L3584=""), "Gap - Missing LIA", IF(AND(G3584="Yes", H3584=""), "Gap - Missing Art. 9 Basis", IF(OR(I3584="Invalid - Not Freely Given", I3584="Invalid - Not Specific", I3584="Invalid - Not Informed", I3584="Invalid - Ambiguous"), "Gap - Invalid Consent", "Compliant")))))</f>
        <v/>
      </c>
      <c r="O3584" s="7" t="n"/>
    </row>
    <row r="3585">
      <c r="A3585" s="7" t="n"/>
      <c r="B3585" s="7" t="n"/>
      <c r="C3585" s="7" t="n"/>
      <c r="D3585" s="7" t="n"/>
      <c r="E3585" s="7" t="n"/>
      <c r="F3585" s="7" t="n"/>
      <c r="G3585" s="7" t="n"/>
      <c r="H3585" s="7" t="n"/>
      <c r="I3585" s="7" t="n"/>
      <c r="J3585" s="7" t="n"/>
      <c r="K3585">
        <f>IF(D3585="Legitimate Interest (GDPR Art. 6(1)(f))", "Yes / Required (Sheet 3)", "")</f>
        <v/>
      </c>
      <c r="L3585" s="7" t="n"/>
      <c r="M3585" s="7" t="n"/>
      <c r="N3585">
        <f>IF(D3585="", "Gap - No Legal Basis", IF(AND(D3585="Consent (GDPR Art. 6(1)(a))", I3585="Not Captured"), "Gap - Invalid Consent", IF(AND(D3585="Legitimate Interest (GDPR Art. 6(1)(f))", L3585=""), "Gap - Missing LIA", IF(AND(G3585="Yes", H3585=""), "Gap - Missing Art. 9 Basis", IF(OR(I3585="Invalid - Not Freely Given", I3585="Invalid - Not Specific", I3585="Invalid - Not Informed", I3585="Invalid - Ambiguous"), "Gap - Invalid Consent", "Compliant")))))</f>
        <v/>
      </c>
      <c r="O3585" s="7" t="n"/>
    </row>
    <row r="3586">
      <c r="A3586" s="7" t="n"/>
      <c r="B3586" s="7" t="n"/>
      <c r="C3586" s="7" t="n"/>
      <c r="D3586" s="7" t="n"/>
      <c r="E3586" s="7" t="n"/>
      <c r="F3586" s="7" t="n"/>
      <c r="G3586" s="7" t="n"/>
      <c r="H3586" s="7" t="n"/>
      <c r="I3586" s="7" t="n"/>
      <c r="J3586" s="7" t="n"/>
      <c r="K3586">
        <f>IF(D3586="Legitimate Interest (GDPR Art. 6(1)(f))", "Yes / Required (Sheet 3)", "")</f>
        <v/>
      </c>
      <c r="L3586" s="7" t="n"/>
      <c r="M3586" s="7" t="n"/>
      <c r="N3586">
        <f>IF(D3586="", "Gap - No Legal Basis", IF(AND(D3586="Consent (GDPR Art. 6(1)(a))", I3586="Not Captured"), "Gap - Invalid Consent", IF(AND(D3586="Legitimate Interest (GDPR Art. 6(1)(f))", L3586=""), "Gap - Missing LIA", IF(AND(G3586="Yes", H3586=""), "Gap - Missing Art. 9 Basis", IF(OR(I3586="Invalid - Not Freely Given", I3586="Invalid - Not Specific", I3586="Invalid - Not Informed", I3586="Invalid - Ambiguous"), "Gap - Invalid Consent", "Compliant")))))</f>
        <v/>
      </c>
      <c r="O3586" s="7" t="n"/>
    </row>
    <row r="3587">
      <c r="A3587" s="7" t="n"/>
      <c r="B3587" s="7" t="n"/>
      <c r="C3587" s="7" t="n"/>
      <c r="D3587" s="7" t="n"/>
      <c r="E3587" s="7" t="n"/>
      <c r="F3587" s="7" t="n"/>
      <c r="G3587" s="7" t="n"/>
      <c r="H3587" s="7" t="n"/>
      <c r="I3587" s="7" t="n"/>
      <c r="J3587" s="7" t="n"/>
      <c r="K3587">
        <f>IF(D3587="Legitimate Interest (GDPR Art. 6(1)(f))", "Yes / Required (Sheet 3)", "")</f>
        <v/>
      </c>
      <c r="L3587" s="7" t="n"/>
      <c r="M3587" s="7" t="n"/>
      <c r="N3587">
        <f>IF(D3587="", "Gap - No Legal Basis", IF(AND(D3587="Consent (GDPR Art. 6(1)(a))", I3587="Not Captured"), "Gap - Invalid Consent", IF(AND(D3587="Legitimate Interest (GDPR Art. 6(1)(f))", L3587=""), "Gap - Missing LIA", IF(AND(G3587="Yes", H3587=""), "Gap - Missing Art. 9 Basis", IF(OR(I3587="Invalid - Not Freely Given", I3587="Invalid - Not Specific", I3587="Invalid - Not Informed", I3587="Invalid - Ambiguous"), "Gap - Invalid Consent", "Compliant")))))</f>
        <v/>
      </c>
      <c r="O3587" s="7" t="n"/>
    </row>
    <row r="3588">
      <c r="A3588" s="7" t="n"/>
      <c r="B3588" s="7" t="n"/>
      <c r="C3588" s="7" t="n"/>
      <c r="D3588" s="7" t="n"/>
      <c r="E3588" s="7" t="n"/>
      <c r="F3588" s="7" t="n"/>
      <c r="G3588" s="7" t="n"/>
      <c r="H3588" s="7" t="n"/>
      <c r="I3588" s="7" t="n"/>
      <c r="J3588" s="7" t="n"/>
      <c r="K3588">
        <f>IF(D3588="Legitimate Interest (GDPR Art. 6(1)(f))", "Yes / Required (Sheet 3)", "")</f>
        <v/>
      </c>
      <c r="L3588" s="7" t="n"/>
      <c r="M3588" s="7" t="n"/>
      <c r="N3588">
        <f>IF(D3588="", "Gap - No Legal Basis", IF(AND(D3588="Consent (GDPR Art. 6(1)(a))", I3588="Not Captured"), "Gap - Invalid Consent", IF(AND(D3588="Legitimate Interest (GDPR Art. 6(1)(f))", L3588=""), "Gap - Missing LIA", IF(AND(G3588="Yes", H3588=""), "Gap - Missing Art. 9 Basis", IF(OR(I3588="Invalid - Not Freely Given", I3588="Invalid - Not Specific", I3588="Invalid - Not Informed", I3588="Invalid - Ambiguous"), "Gap - Invalid Consent", "Compliant")))))</f>
        <v/>
      </c>
      <c r="O3588" s="7" t="n"/>
    </row>
    <row r="3589">
      <c r="A3589" s="7" t="n"/>
      <c r="B3589" s="7" t="n"/>
      <c r="C3589" s="7" t="n"/>
      <c r="D3589" s="7" t="n"/>
      <c r="E3589" s="7" t="n"/>
      <c r="F3589" s="7" t="n"/>
      <c r="G3589" s="7" t="n"/>
      <c r="H3589" s="7" t="n"/>
      <c r="I3589" s="7" t="n"/>
      <c r="J3589" s="7" t="n"/>
      <c r="K3589">
        <f>IF(D3589="Legitimate Interest (GDPR Art. 6(1)(f))", "Yes / Required (Sheet 3)", "")</f>
        <v/>
      </c>
      <c r="L3589" s="7" t="n"/>
      <c r="M3589" s="7" t="n"/>
      <c r="N3589">
        <f>IF(D3589="", "Gap - No Legal Basis", IF(AND(D3589="Consent (GDPR Art. 6(1)(a))", I3589="Not Captured"), "Gap - Invalid Consent", IF(AND(D3589="Legitimate Interest (GDPR Art. 6(1)(f))", L3589=""), "Gap - Missing LIA", IF(AND(G3589="Yes", H3589=""), "Gap - Missing Art. 9 Basis", IF(OR(I3589="Invalid - Not Freely Given", I3589="Invalid - Not Specific", I3589="Invalid - Not Informed", I3589="Invalid - Ambiguous"), "Gap - Invalid Consent", "Compliant")))))</f>
        <v/>
      </c>
      <c r="O3589" s="7" t="n"/>
    </row>
    <row r="3590">
      <c r="A3590" s="7" t="n"/>
      <c r="B3590" s="7" t="n"/>
      <c r="C3590" s="7" t="n"/>
      <c r="D3590" s="7" t="n"/>
      <c r="E3590" s="7" t="n"/>
      <c r="F3590" s="7" t="n"/>
      <c r="G3590" s="7" t="n"/>
      <c r="H3590" s="7" t="n"/>
      <c r="I3590" s="7" t="n"/>
      <c r="J3590" s="7" t="n"/>
      <c r="K3590">
        <f>IF(D3590="Legitimate Interest (GDPR Art. 6(1)(f))", "Yes / Required (Sheet 3)", "")</f>
        <v/>
      </c>
      <c r="L3590" s="7" t="n"/>
      <c r="M3590" s="7" t="n"/>
      <c r="N3590">
        <f>IF(D3590="", "Gap - No Legal Basis", IF(AND(D3590="Consent (GDPR Art. 6(1)(a))", I3590="Not Captured"), "Gap - Invalid Consent", IF(AND(D3590="Legitimate Interest (GDPR Art. 6(1)(f))", L3590=""), "Gap - Missing LIA", IF(AND(G3590="Yes", H3590=""), "Gap - Missing Art. 9 Basis", IF(OR(I3590="Invalid - Not Freely Given", I3590="Invalid - Not Specific", I3590="Invalid - Not Informed", I3590="Invalid - Ambiguous"), "Gap - Invalid Consent", "Compliant")))))</f>
        <v/>
      </c>
      <c r="O3590" s="7" t="n"/>
    </row>
    <row r="3591">
      <c r="A3591" s="7" t="n"/>
      <c r="B3591" s="7" t="n"/>
      <c r="C3591" s="7" t="n"/>
      <c r="D3591" s="7" t="n"/>
      <c r="E3591" s="7" t="n"/>
      <c r="F3591" s="7" t="n"/>
      <c r="G3591" s="7" t="n"/>
      <c r="H3591" s="7" t="n"/>
      <c r="I3591" s="7" t="n"/>
      <c r="J3591" s="7" t="n"/>
      <c r="K3591">
        <f>IF(D3591="Legitimate Interest (GDPR Art. 6(1)(f))", "Yes / Required (Sheet 3)", "")</f>
        <v/>
      </c>
      <c r="L3591" s="7" t="n"/>
      <c r="M3591" s="7" t="n"/>
      <c r="N3591">
        <f>IF(D3591="", "Gap - No Legal Basis", IF(AND(D3591="Consent (GDPR Art. 6(1)(a))", I3591="Not Captured"), "Gap - Invalid Consent", IF(AND(D3591="Legitimate Interest (GDPR Art. 6(1)(f))", L3591=""), "Gap - Missing LIA", IF(AND(G3591="Yes", H3591=""), "Gap - Missing Art. 9 Basis", IF(OR(I3591="Invalid - Not Freely Given", I3591="Invalid - Not Specific", I3591="Invalid - Not Informed", I3591="Invalid - Ambiguous"), "Gap - Invalid Consent", "Compliant")))))</f>
        <v/>
      </c>
      <c r="O3591" s="7" t="n"/>
    </row>
    <row r="3592">
      <c r="A3592" s="7" t="n"/>
      <c r="B3592" s="7" t="n"/>
      <c r="C3592" s="7" t="n"/>
      <c r="D3592" s="7" t="n"/>
      <c r="E3592" s="7" t="n"/>
      <c r="F3592" s="7" t="n"/>
      <c r="G3592" s="7" t="n"/>
      <c r="H3592" s="7" t="n"/>
      <c r="I3592" s="7" t="n"/>
      <c r="J3592" s="7" t="n"/>
      <c r="K3592">
        <f>IF(D3592="Legitimate Interest (GDPR Art. 6(1)(f))", "Yes / Required (Sheet 3)", "")</f>
        <v/>
      </c>
      <c r="L3592" s="7" t="n"/>
      <c r="M3592" s="7" t="n"/>
      <c r="N3592">
        <f>IF(D3592="", "Gap - No Legal Basis", IF(AND(D3592="Consent (GDPR Art. 6(1)(a))", I3592="Not Captured"), "Gap - Invalid Consent", IF(AND(D3592="Legitimate Interest (GDPR Art. 6(1)(f))", L3592=""), "Gap - Missing LIA", IF(AND(G3592="Yes", H3592=""), "Gap - Missing Art. 9 Basis", IF(OR(I3592="Invalid - Not Freely Given", I3592="Invalid - Not Specific", I3592="Invalid - Not Informed", I3592="Invalid - Ambiguous"), "Gap - Invalid Consent", "Compliant")))))</f>
        <v/>
      </c>
      <c r="O3592" s="7" t="n"/>
    </row>
    <row r="3593">
      <c r="A3593" s="7" t="n"/>
      <c r="B3593" s="7" t="n"/>
      <c r="C3593" s="7" t="n"/>
      <c r="D3593" s="7" t="n"/>
      <c r="E3593" s="7" t="n"/>
      <c r="F3593" s="7" t="n"/>
      <c r="G3593" s="7" t="n"/>
      <c r="H3593" s="7" t="n"/>
      <c r="I3593" s="7" t="n"/>
      <c r="J3593" s="7" t="n"/>
      <c r="K3593">
        <f>IF(D3593="Legitimate Interest (GDPR Art. 6(1)(f))", "Yes / Required (Sheet 3)", "")</f>
        <v/>
      </c>
      <c r="L3593" s="7" t="n"/>
      <c r="M3593" s="7" t="n"/>
      <c r="N3593">
        <f>IF(D3593="", "Gap - No Legal Basis", IF(AND(D3593="Consent (GDPR Art. 6(1)(a))", I3593="Not Captured"), "Gap - Invalid Consent", IF(AND(D3593="Legitimate Interest (GDPR Art. 6(1)(f))", L3593=""), "Gap - Missing LIA", IF(AND(G3593="Yes", H3593=""), "Gap - Missing Art. 9 Basis", IF(OR(I3593="Invalid - Not Freely Given", I3593="Invalid - Not Specific", I3593="Invalid - Not Informed", I3593="Invalid - Ambiguous"), "Gap - Invalid Consent", "Compliant")))))</f>
        <v/>
      </c>
      <c r="O3593" s="7" t="n"/>
    </row>
    <row r="3594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7" t="n"/>
      <c r="J3594" s="7" t="n"/>
      <c r="K3594">
        <f>IF(D3594="Legitimate Interest (GDPR Art. 6(1)(f))", "Yes / Required (Sheet 3)", "")</f>
        <v/>
      </c>
      <c r="L3594" s="7" t="n"/>
      <c r="M3594" s="7" t="n"/>
      <c r="N3594">
        <f>IF(D3594="", "Gap - No Legal Basis", IF(AND(D3594="Consent (GDPR Art. 6(1)(a))", I3594="Not Captured"), "Gap - Invalid Consent", IF(AND(D3594="Legitimate Interest (GDPR Art. 6(1)(f))", L3594=""), "Gap - Missing LIA", IF(AND(G3594="Yes", H3594=""), "Gap - Missing Art. 9 Basis", IF(OR(I3594="Invalid - Not Freely Given", I3594="Invalid - Not Specific", I3594="Invalid - Not Informed", I3594="Invalid - Ambiguous"), "Gap - Invalid Consent", "Compliant")))))</f>
        <v/>
      </c>
      <c r="O3594" s="7" t="n"/>
    </row>
    <row r="3595">
      <c r="A3595" s="7" t="n"/>
      <c r="B3595" s="7" t="n"/>
      <c r="C3595" s="7" t="n"/>
      <c r="D3595" s="7" t="n"/>
      <c r="E3595" s="7" t="n"/>
      <c r="F3595" s="7" t="n"/>
      <c r="G3595" s="7" t="n"/>
      <c r="H3595" s="7" t="n"/>
      <c r="I3595" s="7" t="n"/>
      <c r="J3595" s="7" t="n"/>
      <c r="K3595">
        <f>IF(D3595="Legitimate Interest (GDPR Art. 6(1)(f))", "Yes / Required (Sheet 3)", "")</f>
        <v/>
      </c>
      <c r="L3595" s="7" t="n"/>
      <c r="M3595" s="7" t="n"/>
      <c r="N3595">
        <f>IF(D3595="", "Gap - No Legal Basis", IF(AND(D3595="Consent (GDPR Art. 6(1)(a))", I3595="Not Captured"), "Gap - Invalid Consent", IF(AND(D3595="Legitimate Interest (GDPR Art. 6(1)(f))", L3595=""), "Gap - Missing LIA", IF(AND(G3595="Yes", H3595=""), "Gap - Missing Art. 9 Basis", IF(OR(I3595="Invalid - Not Freely Given", I3595="Invalid - Not Specific", I3595="Invalid - Not Informed", I3595="Invalid - Ambiguous"), "Gap - Invalid Consent", "Compliant")))))</f>
        <v/>
      </c>
      <c r="O3595" s="7" t="n"/>
    </row>
    <row r="3596">
      <c r="A3596" s="7" t="n"/>
      <c r="B3596" s="7" t="n"/>
      <c r="C3596" s="7" t="n"/>
      <c r="D3596" s="7" t="n"/>
      <c r="E3596" s="7" t="n"/>
      <c r="F3596" s="7" t="n"/>
      <c r="G3596" s="7" t="n"/>
      <c r="H3596" s="7" t="n"/>
      <c r="I3596" s="7" t="n"/>
      <c r="J3596" s="7" t="n"/>
      <c r="K3596">
        <f>IF(D3596="Legitimate Interest (GDPR Art. 6(1)(f))", "Yes / Required (Sheet 3)", "")</f>
        <v/>
      </c>
      <c r="L3596" s="7" t="n"/>
      <c r="M3596" s="7" t="n"/>
      <c r="N3596">
        <f>IF(D3596="", "Gap - No Legal Basis", IF(AND(D3596="Consent (GDPR Art. 6(1)(a))", I3596="Not Captured"), "Gap - Invalid Consent", IF(AND(D3596="Legitimate Interest (GDPR Art. 6(1)(f))", L3596=""), "Gap - Missing LIA", IF(AND(G3596="Yes", H3596=""), "Gap - Missing Art. 9 Basis", IF(OR(I3596="Invalid - Not Freely Given", I3596="Invalid - Not Specific", I3596="Invalid - Not Informed", I3596="Invalid - Ambiguous"), "Gap - Invalid Consent", "Compliant")))))</f>
        <v/>
      </c>
      <c r="O3596" s="7" t="n"/>
    </row>
    <row r="3597">
      <c r="A3597" s="7" t="n"/>
      <c r="B3597" s="7" t="n"/>
      <c r="C3597" s="7" t="n"/>
      <c r="D3597" s="7" t="n"/>
      <c r="E3597" s="7" t="n"/>
      <c r="F3597" s="7" t="n"/>
      <c r="G3597" s="7" t="n"/>
      <c r="H3597" s="7" t="n"/>
      <c r="I3597" s="7" t="n"/>
      <c r="J3597" s="7" t="n"/>
      <c r="K3597">
        <f>IF(D3597="Legitimate Interest (GDPR Art. 6(1)(f))", "Yes / Required (Sheet 3)", "")</f>
        <v/>
      </c>
      <c r="L3597" s="7" t="n"/>
      <c r="M3597" s="7" t="n"/>
      <c r="N3597">
        <f>IF(D3597="", "Gap - No Legal Basis", IF(AND(D3597="Consent (GDPR Art. 6(1)(a))", I3597="Not Captured"), "Gap - Invalid Consent", IF(AND(D3597="Legitimate Interest (GDPR Art. 6(1)(f))", L3597=""), "Gap - Missing LIA", IF(AND(G3597="Yes", H3597=""), "Gap - Missing Art. 9 Basis", IF(OR(I3597="Invalid - Not Freely Given", I3597="Invalid - Not Specific", I3597="Invalid - Not Informed", I3597="Invalid - Ambiguous"), "Gap - Invalid Consent", "Compliant")))))</f>
        <v/>
      </c>
      <c r="O3597" s="7" t="n"/>
    </row>
    <row r="3598">
      <c r="A3598" s="7" t="n"/>
      <c r="B3598" s="7" t="n"/>
      <c r="C3598" s="7" t="n"/>
      <c r="D3598" s="7" t="n"/>
      <c r="E3598" s="7" t="n"/>
      <c r="F3598" s="7" t="n"/>
      <c r="G3598" s="7" t="n"/>
      <c r="H3598" s="7" t="n"/>
      <c r="I3598" s="7" t="n"/>
      <c r="J3598" s="7" t="n"/>
      <c r="K3598">
        <f>IF(D3598="Legitimate Interest (GDPR Art. 6(1)(f))", "Yes / Required (Sheet 3)", "")</f>
        <v/>
      </c>
      <c r="L3598" s="7" t="n"/>
      <c r="M3598" s="7" t="n"/>
      <c r="N3598">
        <f>IF(D3598="", "Gap - No Legal Basis", IF(AND(D3598="Consent (GDPR Art. 6(1)(a))", I3598="Not Captured"), "Gap - Invalid Consent", IF(AND(D3598="Legitimate Interest (GDPR Art. 6(1)(f))", L3598=""), "Gap - Missing LIA", IF(AND(G3598="Yes", H3598=""), "Gap - Missing Art. 9 Basis", IF(OR(I3598="Invalid - Not Freely Given", I3598="Invalid - Not Specific", I3598="Invalid - Not Informed", I3598="Invalid - Ambiguous"), "Gap - Invalid Consent", "Compliant")))))</f>
        <v/>
      </c>
      <c r="O3598" s="7" t="n"/>
    </row>
    <row r="3599">
      <c r="A3599" s="7" t="n"/>
      <c r="B3599" s="7" t="n"/>
      <c r="C3599" s="7" t="n"/>
      <c r="D3599" s="7" t="n"/>
      <c r="E3599" s="7" t="n"/>
      <c r="F3599" s="7" t="n"/>
      <c r="G3599" s="7" t="n"/>
      <c r="H3599" s="7" t="n"/>
      <c r="I3599" s="7" t="n"/>
      <c r="J3599" s="7" t="n"/>
      <c r="K3599">
        <f>IF(D3599="Legitimate Interest (GDPR Art. 6(1)(f))", "Yes / Required (Sheet 3)", "")</f>
        <v/>
      </c>
      <c r="L3599" s="7" t="n"/>
      <c r="M3599" s="7" t="n"/>
      <c r="N3599">
        <f>IF(D3599="", "Gap - No Legal Basis", IF(AND(D3599="Consent (GDPR Art. 6(1)(a))", I3599="Not Captured"), "Gap - Invalid Consent", IF(AND(D3599="Legitimate Interest (GDPR Art. 6(1)(f))", L3599=""), "Gap - Missing LIA", IF(AND(G3599="Yes", H3599=""), "Gap - Missing Art. 9 Basis", IF(OR(I3599="Invalid - Not Freely Given", I3599="Invalid - Not Specific", I3599="Invalid - Not Informed", I3599="Invalid - Ambiguous"), "Gap - Invalid Consent", "Compliant")))))</f>
        <v/>
      </c>
      <c r="O3599" s="7" t="n"/>
    </row>
    <row r="3600">
      <c r="A3600" s="7" t="n"/>
      <c r="B3600" s="7" t="n"/>
      <c r="C3600" s="7" t="n"/>
      <c r="D3600" s="7" t="n"/>
      <c r="E3600" s="7" t="n"/>
      <c r="F3600" s="7" t="n"/>
      <c r="G3600" s="7" t="n"/>
      <c r="H3600" s="7" t="n"/>
      <c r="I3600" s="7" t="n"/>
      <c r="J3600" s="7" t="n"/>
      <c r="K3600">
        <f>IF(D3600="Legitimate Interest (GDPR Art. 6(1)(f))", "Yes / Required (Sheet 3)", "")</f>
        <v/>
      </c>
      <c r="L3600" s="7" t="n"/>
      <c r="M3600" s="7" t="n"/>
      <c r="N3600">
        <f>IF(D3600="", "Gap - No Legal Basis", IF(AND(D3600="Consent (GDPR Art. 6(1)(a))", I3600="Not Captured"), "Gap - Invalid Consent", IF(AND(D3600="Legitimate Interest (GDPR Art. 6(1)(f))", L3600=""), "Gap - Missing LIA", IF(AND(G3600="Yes", H3600=""), "Gap - Missing Art. 9 Basis", IF(OR(I3600="Invalid - Not Freely Given", I3600="Invalid - Not Specific", I3600="Invalid - Not Informed", I3600="Invalid - Ambiguous"), "Gap - Invalid Consent", "Compliant")))))</f>
        <v/>
      </c>
      <c r="O3600" s="7" t="n"/>
    </row>
    <row r="3601">
      <c r="A3601" s="7" t="n"/>
      <c r="B3601" s="7" t="n"/>
      <c r="C3601" s="7" t="n"/>
      <c r="D3601" s="7" t="n"/>
      <c r="E3601" s="7" t="n"/>
      <c r="F3601" s="7" t="n"/>
      <c r="G3601" s="7" t="n"/>
      <c r="H3601" s="7" t="n"/>
      <c r="I3601" s="7" t="n"/>
      <c r="J3601" s="7" t="n"/>
      <c r="K3601">
        <f>IF(D3601="Legitimate Interest (GDPR Art. 6(1)(f))", "Yes / Required (Sheet 3)", "")</f>
        <v/>
      </c>
      <c r="L3601" s="7" t="n"/>
      <c r="M3601" s="7" t="n"/>
      <c r="N3601">
        <f>IF(D3601="", "Gap - No Legal Basis", IF(AND(D3601="Consent (GDPR Art. 6(1)(a))", I3601="Not Captured"), "Gap - Invalid Consent", IF(AND(D3601="Legitimate Interest (GDPR Art. 6(1)(f))", L3601=""), "Gap - Missing LIA", IF(AND(G3601="Yes", H3601=""), "Gap - Missing Art. 9 Basis", IF(OR(I3601="Invalid - Not Freely Given", I3601="Invalid - Not Specific", I3601="Invalid - Not Informed", I3601="Invalid - Ambiguous"), "Gap - Invalid Consent", "Compliant")))))</f>
        <v/>
      </c>
      <c r="O3601" s="7" t="n"/>
    </row>
    <row r="3602">
      <c r="A3602" s="7" t="n"/>
      <c r="B3602" s="7" t="n"/>
      <c r="C3602" s="7" t="n"/>
      <c r="D3602" s="7" t="n"/>
      <c r="E3602" s="7" t="n"/>
      <c r="F3602" s="7" t="n"/>
      <c r="G3602" s="7" t="n"/>
      <c r="H3602" s="7" t="n"/>
      <c r="I3602" s="7" t="n"/>
      <c r="J3602" s="7" t="n"/>
      <c r="K3602">
        <f>IF(D3602="Legitimate Interest (GDPR Art. 6(1)(f))", "Yes / Required (Sheet 3)", "")</f>
        <v/>
      </c>
      <c r="L3602" s="7" t="n"/>
      <c r="M3602" s="7" t="n"/>
      <c r="N3602">
        <f>IF(D3602="", "Gap - No Legal Basis", IF(AND(D3602="Consent (GDPR Art. 6(1)(a))", I3602="Not Captured"), "Gap - Invalid Consent", IF(AND(D3602="Legitimate Interest (GDPR Art. 6(1)(f))", L3602=""), "Gap - Missing LIA", IF(AND(G3602="Yes", H3602=""), "Gap - Missing Art. 9 Basis", IF(OR(I3602="Invalid - Not Freely Given", I3602="Invalid - Not Specific", I3602="Invalid - Not Informed", I3602="Invalid - Ambiguous"), "Gap - Invalid Consent", "Compliant")))))</f>
        <v/>
      </c>
      <c r="O3602" s="7" t="n"/>
    </row>
    <row r="3603">
      <c r="A3603" s="7" t="n"/>
      <c r="B3603" s="7" t="n"/>
      <c r="C3603" s="7" t="n"/>
      <c r="D3603" s="7" t="n"/>
      <c r="E3603" s="7" t="n"/>
      <c r="F3603" s="7" t="n"/>
      <c r="G3603" s="7" t="n"/>
      <c r="H3603" s="7" t="n"/>
      <c r="I3603" s="7" t="n"/>
      <c r="J3603" s="7" t="n"/>
      <c r="K3603">
        <f>IF(D3603="Legitimate Interest (GDPR Art. 6(1)(f))", "Yes / Required (Sheet 3)", "")</f>
        <v/>
      </c>
      <c r="L3603" s="7" t="n"/>
      <c r="M3603" s="7" t="n"/>
      <c r="N3603">
        <f>IF(D3603="", "Gap - No Legal Basis", IF(AND(D3603="Consent (GDPR Art. 6(1)(a))", I3603="Not Captured"), "Gap - Invalid Consent", IF(AND(D3603="Legitimate Interest (GDPR Art. 6(1)(f))", L3603=""), "Gap - Missing LIA", IF(AND(G3603="Yes", H3603=""), "Gap - Missing Art. 9 Basis", IF(OR(I3603="Invalid - Not Freely Given", I3603="Invalid - Not Specific", I3603="Invalid - Not Informed", I3603="Invalid - Ambiguous"), "Gap - Invalid Consent", "Compliant")))))</f>
        <v/>
      </c>
      <c r="O3603" s="7" t="n"/>
    </row>
    <row r="3604">
      <c r="A3604" s="7" t="n"/>
      <c r="B3604" s="7" t="n"/>
      <c r="C3604" s="7" t="n"/>
      <c r="D3604" s="7" t="n"/>
      <c r="E3604" s="7" t="n"/>
      <c r="F3604" s="7" t="n"/>
      <c r="G3604" s="7" t="n"/>
      <c r="H3604" s="7" t="n"/>
      <c r="I3604" s="7" t="n"/>
      <c r="J3604" s="7" t="n"/>
      <c r="K3604">
        <f>IF(D3604="Legitimate Interest (GDPR Art. 6(1)(f))", "Yes / Required (Sheet 3)", "")</f>
        <v/>
      </c>
      <c r="L3604" s="7" t="n"/>
      <c r="M3604" s="7" t="n"/>
      <c r="N3604">
        <f>IF(D3604="", "Gap - No Legal Basis", IF(AND(D3604="Consent (GDPR Art. 6(1)(a))", I3604="Not Captured"), "Gap - Invalid Consent", IF(AND(D3604="Legitimate Interest (GDPR Art. 6(1)(f))", L3604=""), "Gap - Missing LIA", IF(AND(G3604="Yes", H3604=""), "Gap - Missing Art. 9 Basis", IF(OR(I3604="Invalid - Not Freely Given", I3604="Invalid - Not Specific", I3604="Invalid - Not Informed", I3604="Invalid - Ambiguous"), "Gap - Invalid Consent", "Compliant")))))</f>
        <v/>
      </c>
      <c r="O3604" s="7" t="n"/>
    </row>
    <row r="3605">
      <c r="A3605" s="7" t="n"/>
      <c r="B3605" s="7" t="n"/>
      <c r="C3605" s="7" t="n"/>
      <c r="D3605" s="7" t="n"/>
      <c r="E3605" s="7" t="n"/>
      <c r="F3605" s="7" t="n"/>
      <c r="G3605" s="7" t="n"/>
      <c r="H3605" s="7" t="n"/>
      <c r="I3605" s="7" t="n"/>
      <c r="J3605" s="7" t="n"/>
      <c r="K3605">
        <f>IF(D3605="Legitimate Interest (GDPR Art. 6(1)(f))", "Yes / Required (Sheet 3)", "")</f>
        <v/>
      </c>
      <c r="L3605" s="7" t="n"/>
      <c r="M3605" s="7" t="n"/>
      <c r="N3605">
        <f>IF(D3605="", "Gap - No Legal Basis", IF(AND(D3605="Consent (GDPR Art. 6(1)(a))", I3605="Not Captured"), "Gap - Invalid Consent", IF(AND(D3605="Legitimate Interest (GDPR Art. 6(1)(f))", L3605=""), "Gap - Missing LIA", IF(AND(G3605="Yes", H3605=""), "Gap - Missing Art. 9 Basis", IF(OR(I3605="Invalid - Not Freely Given", I3605="Invalid - Not Specific", I3605="Invalid - Not Informed", I3605="Invalid - Ambiguous"), "Gap - Invalid Consent", "Compliant")))))</f>
        <v/>
      </c>
      <c r="O3605" s="7" t="n"/>
    </row>
    <row r="3606">
      <c r="A3606" s="7" t="n"/>
      <c r="B3606" s="7" t="n"/>
      <c r="C3606" s="7" t="n"/>
      <c r="D3606" s="7" t="n"/>
      <c r="E3606" s="7" t="n"/>
      <c r="F3606" s="7" t="n"/>
      <c r="G3606" s="7" t="n"/>
      <c r="H3606" s="7" t="n"/>
      <c r="I3606" s="7" t="n"/>
      <c r="J3606" s="7" t="n"/>
      <c r="K3606">
        <f>IF(D3606="Legitimate Interest (GDPR Art. 6(1)(f))", "Yes / Required (Sheet 3)", "")</f>
        <v/>
      </c>
      <c r="L3606" s="7" t="n"/>
      <c r="M3606" s="7" t="n"/>
      <c r="N3606">
        <f>IF(D3606="", "Gap - No Legal Basis", IF(AND(D3606="Consent (GDPR Art. 6(1)(a))", I3606="Not Captured"), "Gap - Invalid Consent", IF(AND(D3606="Legitimate Interest (GDPR Art. 6(1)(f))", L3606=""), "Gap - Missing LIA", IF(AND(G3606="Yes", H3606=""), "Gap - Missing Art. 9 Basis", IF(OR(I3606="Invalid - Not Freely Given", I3606="Invalid - Not Specific", I3606="Invalid - Not Informed", I3606="Invalid - Ambiguous"), "Gap - Invalid Consent", "Compliant")))))</f>
        <v/>
      </c>
      <c r="O3606" s="7" t="n"/>
    </row>
    <row r="3607">
      <c r="A3607" s="7" t="n"/>
      <c r="B3607" s="7" t="n"/>
      <c r="C3607" s="7" t="n"/>
      <c r="D3607" s="7" t="n"/>
      <c r="E3607" s="7" t="n"/>
      <c r="F3607" s="7" t="n"/>
      <c r="G3607" s="7" t="n"/>
      <c r="H3607" s="7" t="n"/>
      <c r="I3607" s="7" t="n"/>
      <c r="J3607" s="7" t="n"/>
      <c r="K3607">
        <f>IF(D3607="Legitimate Interest (GDPR Art. 6(1)(f))", "Yes / Required (Sheet 3)", "")</f>
        <v/>
      </c>
      <c r="L3607" s="7" t="n"/>
      <c r="M3607" s="7" t="n"/>
      <c r="N3607">
        <f>IF(D3607="", "Gap - No Legal Basis", IF(AND(D3607="Consent (GDPR Art. 6(1)(a))", I3607="Not Captured"), "Gap - Invalid Consent", IF(AND(D3607="Legitimate Interest (GDPR Art. 6(1)(f))", L3607=""), "Gap - Missing LIA", IF(AND(G3607="Yes", H3607=""), "Gap - Missing Art. 9 Basis", IF(OR(I3607="Invalid - Not Freely Given", I3607="Invalid - Not Specific", I3607="Invalid - Not Informed", I3607="Invalid - Ambiguous"), "Gap - Invalid Consent", "Compliant")))))</f>
        <v/>
      </c>
      <c r="O3607" s="7" t="n"/>
    </row>
    <row r="3608">
      <c r="A3608" s="7" t="n"/>
      <c r="B3608" s="7" t="n"/>
      <c r="C3608" s="7" t="n"/>
      <c r="D3608" s="7" t="n"/>
      <c r="E3608" s="7" t="n"/>
      <c r="F3608" s="7" t="n"/>
      <c r="G3608" s="7" t="n"/>
      <c r="H3608" s="7" t="n"/>
      <c r="I3608" s="7" t="n"/>
      <c r="J3608" s="7" t="n"/>
      <c r="K3608">
        <f>IF(D3608="Legitimate Interest (GDPR Art. 6(1)(f))", "Yes / Required (Sheet 3)", "")</f>
        <v/>
      </c>
      <c r="L3608" s="7" t="n"/>
      <c r="M3608" s="7" t="n"/>
      <c r="N3608">
        <f>IF(D3608="", "Gap - No Legal Basis", IF(AND(D3608="Consent (GDPR Art. 6(1)(a))", I3608="Not Captured"), "Gap - Invalid Consent", IF(AND(D3608="Legitimate Interest (GDPR Art. 6(1)(f))", L3608=""), "Gap - Missing LIA", IF(AND(G3608="Yes", H3608=""), "Gap - Missing Art. 9 Basis", IF(OR(I3608="Invalid - Not Freely Given", I3608="Invalid - Not Specific", I3608="Invalid - Not Informed", I3608="Invalid - Ambiguous"), "Gap - Invalid Consent", "Compliant")))))</f>
        <v/>
      </c>
      <c r="O3608" s="7" t="n"/>
    </row>
    <row r="3609">
      <c r="A3609" s="7" t="n"/>
      <c r="B3609" s="7" t="n"/>
      <c r="C3609" s="7" t="n"/>
      <c r="D3609" s="7" t="n"/>
      <c r="E3609" s="7" t="n"/>
      <c r="F3609" s="7" t="n"/>
      <c r="G3609" s="7" t="n"/>
      <c r="H3609" s="7" t="n"/>
      <c r="I3609" s="7" t="n"/>
      <c r="J3609" s="7" t="n"/>
      <c r="K3609">
        <f>IF(D3609="Legitimate Interest (GDPR Art. 6(1)(f))", "Yes / Required (Sheet 3)", "")</f>
        <v/>
      </c>
      <c r="L3609" s="7" t="n"/>
      <c r="M3609" s="7" t="n"/>
      <c r="N3609">
        <f>IF(D3609="", "Gap - No Legal Basis", IF(AND(D3609="Consent (GDPR Art. 6(1)(a))", I3609="Not Captured"), "Gap - Invalid Consent", IF(AND(D3609="Legitimate Interest (GDPR Art. 6(1)(f))", L3609=""), "Gap - Missing LIA", IF(AND(G3609="Yes", H3609=""), "Gap - Missing Art. 9 Basis", IF(OR(I3609="Invalid - Not Freely Given", I3609="Invalid - Not Specific", I3609="Invalid - Not Informed", I3609="Invalid - Ambiguous"), "Gap - Invalid Consent", "Compliant")))))</f>
        <v/>
      </c>
      <c r="O3609" s="7" t="n"/>
    </row>
    <row r="3610">
      <c r="A3610" s="7" t="n"/>
      <c r="B3610" s="7" t="n"/>
      <c r="C3610" s="7" t="n"/>
      <c r="D3610" s="7" t="n"/>
      <c r="E3610" s="7" t="n"/>
      <c r="F3610" s="7" t="n"/>
      <c r="G3610" s="7" t="n"/>
      <c r="H3610" s="7" t="n"/>
      <c r="I3610" s="7" t="n"/>
      <c r="J3610" s="7" t="n"/>
      <c r="K3610">
        <f>IF(D3610="Legitimate Interest (GDPR Art. 6(1)(f))", "Yes / Required (Sheet 3)", "")</f>
        <v/>
      </c>
      <c r="L3610" s="7" t="n"/>
      <c r="M3610" s="7" t="n"/>
      <c r="N3610">
        <f>IF(D3610="", "Gap - No Legal Basis", IF(AND(D3610="Consent (GDPR Art. 6(1)(a))", I3610="Not Captured"), "Gap - Invalid Consent", IF(AND(D3610="Legitimate Interest (GDPR Art. 6(1)(f))", L3610=""), "Gap - Missing LIA", IF(AND(G3610="Yes", H3610=""), "Gap - Missing Art. 9 Basis", IF(OR(I3610="Invalid - Not Freely Given", I3610="Invalid - Not Specific", I3610="Invalid - Not Informed", I3610="Invalid - Ambiguous"), "Gap - Invalid Consent", "Compliant")))))</f>
        <v/>
      </c>
      <c r="O3610" s="7" t="n"/>
    </row>
    <row r="3611">
      <c r="A3611" s="7" t="n"/>
      <c r="B3611" s="7" t="n"/>
      <c r="C3611" s="7" t="n"/>
      <c r="D3611" s="7" t="n"/>
      <c r="E3611" s="7" t="n"/>
      <c r="F3611" s="7" t="n"/>
      <c r="G3611" s="7" t="n"/>
      <c r="H3611" s="7" t="n"/>
      <c r="I3611" s="7" t="n"/>
      <c r="J3611" s="7" t="n"/>
      <c r="K3611">
        <f>IF(D3611="Legitimate Interest (GDPR Art. 6(1)(f))", "Yes / Required (Sheet 3)", "")</f>
        <v/>
      </c>
      <c r="L3611" s="7" t="n"/>
      <c r="M3611" s="7" t="n"/>
      <c r="N3611">
        <f>IF(D3611="", "Gap - No Legal Basis", IF(AND(D3611="Consent (GDPR Art. 6(1)(a))", I3611="Not Captured"), "Gap - Invalid Consent", IF(AND(D3611="Legitimate Interest (GDPR Art. 6(1)(f))", L3611=""), "Gap - Missing LIA", IF(AND(G3611="Yes", H3611=""), "Gap - Missing Art. 9 Basis", IF(OR(I3611="Invalid - Not Freely Given", I3611="Invalid - Not Specific", I3611="Invalid - Not Informed", I3611="Invalid - Ambiguous"), "Gap - Invalid Consent", "Compliant")))))</f>
        <v/>
      </c>
      <c r="O3611" s="7" t="n"/>
    </row>
    <row r="3612">
      <c r="A3612" s="7" t="n"/>
      <c r="B3612" s="7" t="n"/>
      <c r="C3612" s="7" t="n"/>
      <c r="D3612" s="7" t="n"/>
      <c r="E3612" s="7" t="n"/>
      <c r="F3612" s="7" t="n"/>
      <c r="G3612" s="7" t="n"/>
      <c r="H3612" s="7" t="n"/>
      <c r="I3612" s="7" t="n"/>
      <c r="J3612" s="7" t="n"/>
      <c r="K3612">
        <f>IF(D3612="Legitimate Interest (GDPR Art. 6(1)(f))", "Yes / Required (Sheet 3)", "")</f>
        <v/>
      </c>
      <c r="L3612" s="7" t="n"/>
      <c r="M3612" s="7" t="n"/>
      <c r="N3612">
        <f>IF(D3612="", "Gap - No Legal Basis", IF(AND(D3612="Consent (GDPR Art. 6(1)(a))", I3612="Not Captured"), "Gap - Invalid Consent", IF(AND(D3612="Legitimate Interest (GDPR Art. 6(1)(f))", L3612=""), "Gap - Missing LIA", IF(AND(G3612="Yes", H3612=""), "Gap - Missing Art. 9 Basis", IF(OR(I3612="Invalid - Not Freely Given", I3612="Invalid - Not Specific", I3612="Invalid - Not Informed", I3612="Invalid - Ambiguous"), "Gap - Invalid Consent", "Compliant")))))</f>
        <v/>
      </c>
      <c r="O3612" s="7" t="n"/>
    </row>
    <row r="3613">
      <c r="A3613" s="7" t="n"/>
      <c r="B3613" s="7" t="n"/>
      <c r="C3613" s="7" t="n"/>
      <c r="D3613" s="7" t="n"/>
      <c r="E3613" s="7" t="n"/>
      <c r="F3613" s="7" t="n"/>
      <c r="G3613" s="7" t="n"/>
      <c r="H3613" s="7" t="n"/>
      <c r="I3613" s="7" t="n"/>
      <c r="J3613" s="7" t="n"/>
      <c r="K3613">
        <f>IF(D3613="Legitimate Interest (GDPR Art. 6(1)(f))", "Yes / Required (Sheet 3)", "")</f>
        <v/>
      </c>
      <c r="L3613" s="7" t="n"/>
      <c r="M3613" s="7" t="n"/>
      <c r="N3613">
        <f>IF(D3613="", "Gap - No Legal Basis", IF(AND(D3613="Consent (GDPR Art. 6(1)(a))", I3613="Not Captured"), "Gap - Invalid Consent", IF(AND(D3613="Legitimate Interest (GDPR Art. 6(1)(f))", L3613=""), "Gap - Missing LIA", IF(AND(G3613="Yes", H3613=""), "Gap - Missing Art. 9 Basis", IF(OR(I3613="Invalid - Not Freely Given", I3613="Invalid - Not Specific", I3613="Invalid - Not Informed", I3613="Invalid - Ambiguous"), "Gap - Invalid Consent", "Compliant")))))</f>
        <v/>
      </c>
      <c r="O3613" s="7" t="n"/>
    </row>
    <row r="3614">
      <c r="A3614" s="7" t="n"/>
      <c r="B3614" s="7" t="n"/>
      <c r="C3614" s="7" t="n"/>
      <c r="D3614" s="7" t="n"/>
      <c r="E3614" s="7" t="n"/>
      <c r="F3614" s="7" t="n"/>
      <c r="G3614" s="7" t="n"/>
      <c r="H3614" s="7" t="n"/>
      <c r="I3614" s="7" t="n"/>
      <c r="J3614" s="7" t="n"/>
      <c r="K3614">
        <f>IF(D3614="Legitimate Interest (GDPR Art. 6(1)(f))", "Yes / Required (Sheet 3)", "")</f>
        <v/>
      </c>
      <c r="L3614" s="7" t="n"/>
      <c r="M3614" s="7" t="n"/>
      <c r="N3614">
        <f>IF(D3614="", "Gap - No Legal Basis", IF(AND(D3614="Consent (GDPR Art. 6(1)(a))", I3614="Not Captured"), "Gap - Invalid Consent", IF(AND(D3614="Legitimate Interest (GDPR Art. 6(1)(f))", L3614=""), "Gap - Missing LIA", IF(AND(G3614="Yes", H3614=""), "Gap - Missing Art. 9 Basis", IF(OR(I3614="Invalid - Not Freely Given", I3614="Invalid - Not Specific", I3614="Invalid - Not Informed", I3614="Invalid - Ambiguous"), "Gap - Invalid Consent", "Compliant")))))</f>
        <v/>
      </c>
      <c r="O3614" s="7" t="n"/>
    </row>
    <row r="3615">
      <c r="A3615" s="7" t="n"/>
      <c r="B3615" s="7" t="n"/>
      <c r="C3615" s="7" t="n"/>
      <c r="D3615" s="7" t="n"/>
      <c r="E3615" s="7" t="n"/>
      <c r="F3615" s="7" t="n"/>
      <c r="G3615" s="7" t="n"/>
      <c r="H3615" s="7" t="n"/>
      <c r="I3615" s="7" t="n"/>
      <c r="J3615" s="7" t="n"/>
      <c r="K3615">
        <f>IF(D3615="Legitimate Interest (GDPR Art. 6(1)(f))", "Yes / Required (Sheet 3)", "")</f>
        <v/>
      </c>
      <c r="L3615" s="7" t="n"/>
      <c r="M3615" s="7" t="n"/>
      <c r="N3615">
        <f>IF(D3615="", "Gap - No Legal Basis", IF(AND(D3615="Consent (GDPR Art. 6(1)(a))", I3615="Not Captured"), "Gap - Invalid Consent", IF(AND(D3615="Legitimate Interest (GDPR Art. 6(1)(f))", L3615=""), "Gap - Missing LIA", IF(AND(G3615="Yes", H3615=""), "Gap - Missing Art. 9 Basis", IF(OR(I3615="Invalid - Not Freely Given", I3615="Invalid - Not Specific", I3615="Invalid - Not Informed", I3615="Invalid - Ambiguous"), "Gap - Invalid Consent", "Compliant")))))</f>
        <v/>
      </c>
      <c r="O3615" s="7" t="n"/>
    </row>
    <row r="3616">
      <c r="A3616" s="7" t="n"/>
      <c r="B3616" s="7" t="n"/>
      <c r="C3616" s="7" t="n"/>
      <c r="D3616" s="7" t="n"/>
      <c r="E3616" s="7" t="n"/>
      <c r="F3616" s="7" t="n"/>
      <c r="G3616" s="7" t="n"/>
      <c r="H3616" s="7" t="n"/>
      <c r="I3616" s="7" t="n"/>
      <c r="J3616" s="7" t="n"/>
      <c r="K3616">
        <f>IF(D3616="Legitimate Interest (GDPR Art. 6(1)(f))", "Yes / Required (Sheet 3)", "")</f>
        <v/>
      </c>
      <c r="L3616" s="7" t="n"/>
      <c r="M3616" s="7" t="n"/>
      <c r="N3616">
        <f>IF(D3616="", "Gap - No Legal Basis", IF(AND(D3616="Consent (GDPR Art. 6(1)(a))", I3616="Not Captured"), "Gap - Invalid Consent", IF(AND(D3616="Legitimate Interest (GDPR Art. 6(1)(f))", L3616=""), "Gap - Missing LIA", IF(AND(G3616="Yes", H3616=""), "Gap - Missing Art. 9 Basis", IF(OR(I3616="Invalid - Not Freely Given", I3616="Invalid - Not Specific", I3616="Invalid - Not Informed", I3616="Invalid - Ambiguous"), "Gap - Invalid Consent", "Compliant")))))</f>
        <v/>
      </c>
      <c r="O3616" s="7" t="n"/>
    </row>
    <row r="3617">
      <c r="A3617" s="7" t="n"/>
      <c r="B3617" s="7" t="n"/>
      <c r="C3617" s="7" t="n"/>
      <c r="D3617" s="7" t="n"/>
      <c r="E3617" s="7" t="n"/>
      <c r="F3617" s="7" t="n"/>
      <c r="G3617" s="7" t="n"/>
      <c r="H3617" s="7" t="n"/>
      <c r="I3617" s="7" t="n"/>
      <c r="J3617" s="7" t="n"/>
      <c r="K3617">
        <f>IF(D3617="Legitimate Interest (GDPR Art. 6(1)(f))", "Yes / Required (Sheet 3)", "")</f>
        <v/>
      </c>
      <c r="L3617" s="7" t="n"/>
      <c r="M3617" s="7" t="n"/>
      <c r="N3617">
        <f>IF(D3617="", "Gap - No Legal Basis", IF(AND(D3617="Consent (GDPR Art. 6(1)(a))", I3617="Not Captured"), "Gap - Invalid Consent", IF(AND(D3617="Legitimate Interest (GDPR Art. 6(1)(f))", L3617=""), "Gap - Missing LIA", IF(AND(G3617="Yes", H3617=""), "Gap - Missing Art. 9 Basis", IF(OR(I3617="Invalid - Not Freely Given", I3617="Invalid - Not Specific", I3617="Invalid - Not Informed", I3617="Invalid - Ambiguous"), "Gap - Invalid Consent", "Compliant")))))</f>
        <v/>
      </c>
      <c r="O3617" s="7" t="n"/>
    </row>
    <row r="3618">
      <c r="A3618" s="7" t="n"/>
      <c r="B3618" s="7" t="n"/>
      <c r="C3618" s="7" t="n"/>
      <c r="D3618" s="7" t="n"/>
      <c r="E3618" s="7" t="n"/>
      <c r="F3618" s="7" t="n"/>
      <c r="G3618" s="7" t="n"/>
      <c r="H3618" s="7" t="n"/>
      <c r="I3618" s="7" t="n"/>
      <c r="J3618" s="7" t="n"/>
      <c r="K3618">
        <f>IF(D3618="Legitimate Interest (GDPR Art. 6(1)(f))", "Yes / Required (Sheet 3)", "")</f>
        <v/>
      </c>
      <c r="L3618" s="7" t="n"/>
      <c r="M3618" s="7" t="n"/>
      <c r="N3618">
        <f>IF(D3618="", "Gap - No Legal Basis", IF(AND(D3618="Consent (GDPR Art. 6(1)(a))", I3618="Not Captured"), "Gap - Invalid Consent", IF(AND(D3618="Legitimate Interest (GDPR Art. 6(1)(f))", L3618=""), "Gap - Missing LIA", IF(AND(G3618="Yes", H3618=""), "Gap - Missing Art. 9 Basis", IF(OR(I3618="Invalid - Not Freely Given", I3618="Invalid - Not Specific", I3618="Invalid - Not Informed", I3618="Invalid - Ambiguous"), "Gap - Invalid Consent", "Compliant")))))</f>
        <v/>
      </c>
      <c r="O3618" s="7" t="n"/>
    </row>
    <row r="3619">
      <c r="A3619" s="7" t="n"/>
      <c r="B3619" s="7" t="n"/>
      <c r="C3619" s="7" t="n"/>
      <c r="D3619" s="7" t="n"/>
      <c r="E3619" s="7" t="n"/>
      <c r="F3619" s="7" t="n"/>
      <c r="G3619" s="7" t="n"/>
      <c r="H3619" s="7" t="n"/>
      <c r="I3619" s="7" t="n"/>
      <c r="J3619" s="7" t="n"/>
      <c r="K3619">
        <f>IF(D3619="Legitimate Interest (GDPR Art. 6(1)(f))", "Yes / Required (Sheet 3)", "")</f>
        <v/>
      </c>
      <c r="L3619" s="7" t="n"/>
      <c r="M3619" s="7" t="n"/>
      <c r="N3619">
        <f>IF(D3619="", "Gap - No Legal Basis", IF(AND(D3619="Consent (GDPR Art. 6(1)(a))", I3619="Not Captured"), "Gap - Invalid Consent", IF(AND(D3619="Legitimate Interest (GDPR Art. 6(1)(f))", L3619=""), "Gap - Missing LIA", IF(AND(G3619="Yes", H3619=""), "Gap - Missing Art. 9 Basis", IF(OR(I3619="Invalid - Not Freely Given", I3619="Invalid - Not Specific", I3619="Invalid - Not Informed", I3619="Invalid - Ambiguous"), "Gap - Invalid Consent", "Compliant")))))</f>
        <v/>
      </c>
      <c r="O3619" s="7" t="n"/>
    </row>
    <row r="3620">
      <c r="A3620" s="7" t="n"/>
      <c r="B3620" s="7" t="n"/>
      <c r="C3620" s="7" t="n"/>
      <c r="D3620" s="7" t="n"/>
      <c r="E3620" s="7" t="n"/>
      <c r="F3620" s="7" t="n"/>
      <c r="G3620" s="7" t="n"/>
      <c r="H3620" s="7" t="n"/>
      <c r="I3620" s="7" t="n"/>
      <c r="J3620" s="7" t="n"/>
      <c r="K3620">
        <f>IF(D3620="Legitimate Interest (GDPR Art. 6(1)(f))", "Yes / Required (Sheet 3)", "")</f>
        <v/>
      </c>
      <c r="L3620" s="7" t="n"/>
      <c r="M3620" s="7" t="n"/>
      <c r="N3620">
        <f>IF(D3620="", "Gap - No Legal Basis", IF(AND(D3620="Consent (GDPR Art. 6(1)(a))", I3620="Not Captured"), "Gap - Invalid Consent", IF(AND(D3620="Legitimate Interest (GDPR Art. 6(1)(f))", L3620=""), "Gap - Missing LIA", IF(AND(G3620="Yes", H3620=""), "Gap - Missing Art. 9 Basis", IF(OR(I3620="Invalid - Not Freely Given", I3620="Invalid - Not Specific", I3620="Invalid - Not Informed", I3620="Invalid - Ambiguous"), "Gap - Invalid Consent", "Compliant")))))</f>
        <v/>
      </c>
      <c r="O3620" s="7" t="n"/>
    </row>
    <row r="3621">
      <c r="A3621" s="7" t="n"/>
      <c r="B3621" s="7" t="n"/>
      <c r="C3621" s="7" t="n"/>
      <c r="D3621" s="7" t="n"/>
      <c r="E3621" s="7" t="n"/>
      <c r="F3621" s="7" t="n"/>
      <c r="G3621" s="7" t="n"/>
      <c r="H3621" s="7" t="n"/>
      <c r="I3621" s="7" t="n"/>
      <c r="J3621" s="7" t="n"/>
      <c r="K3621">
        <f>IF(D3621="Legitimate Interest (GDPR Art. 6(1)(f))", "Yes / Required (Sheet 3)", "")</f>
        <v/>
      </c>
      <c r="L3621" s="7" t="n"/>
      <c r="M3621" s="7" t="n"/>
      <c r="N3621">
        <f>IF(D3621="", "Gap - No Legal Basis", IF(AND(D3621="Consent (GDPR Art. 6(1)(a))", I3621="Not Captured"), "Gap - Invalid Consent", IF(AND(D3621="Legitimate Interest (GDPR Art. 6(1)(f))", L3621=""), "Gap - Missing LIA", IF(AND(G3621="Yes", H3621=""), "Gap - Missing Art. 9 Basis", IF(OR(I3621="Invalid - Not Freely Given", I3621="Invalid - Not Specific", I3621="Invalid - Not Informed", I3621="Invalid - Ambiguous"), "Gap - Invalid Consent", "Compliant")))))</f>
        <v/>
      </c>
      <c r="O3621" s="7" t="n"/>
    </row>
    <row r="3622">
      <c r="A3622" s="7" t="n"/>
      <c r="B3622" s="7" t="n"/>
      <c r="C3622" s="7" t="n"/>
      <c r="D3622" s="7" t="n"/>
      <c r="E3622" s="7" t="n"/>
      <c r="F3622" s="7" t="n"/>
      <c r="G3622" s="7" t="n"/>
      <c r="H3622" s="7" t="n"/>
      <c r="I3622" s="7" t="n"/>
      <c r="J3622" s="7" t="n"/>
      <c r="K3622">
        <f>IF(D3622="Legitimate Interest (GDPR Art. 6(1)(f))", "Yes / Required (Sheet 3)", "")</f>
        <v/>
      </c>
      <c r="L3622" s="7" t="n"/>
      <c r="M3622" s="7" t="n"/>
      <c r="N3622">
        <f>IF(D3622="", "Gap - No Legal Basis", IF(AND(D3622="Consent (GDPR Art. 6(1)(a))", I3622="Not Captured"), "Gap - Invalid Consent", IF(AND(D3622="Legitimate Interest (GDPR Art. 6(1)(f))", L3622=""), "Gap - Missing LIA", IF(AND(G3622="Yes", H3622=""), "Gap - Missing Art. 9 Basis", IF(OR(I3622="Invalid - Not Freely Given", I3622="Invalid - Not Specific", I3622="Invalid - Not Informed", I3622="Invalid - Ambiguous"), "Gap - Invalid Consent", "Compliant")))))</f>
        <v/>
      </c>
      <c r="O3622" s="7" t="n"/>
    </row>
    <row r="3623">
      <c r="A3623" s="7" t="n"/>
      <c r="B3623" s="7" t="n"/>
      <c r="C3623" s="7" t="n"/>
      <c r="D3623" s="7" t="n"/>
      <c r="E3623" s="7" t="n"/>
      <c r="F3623" s="7" t="n"/>
      <c r="G3623" s="7" t="n"/>
      <c r="H3623" s="7" t="n"/>
      <c r="I3623" s="7" t="n"/>
      <c r="J3623" s="7" t="n"/>
      <c r="K3623">
        <f>IF(D3623="Legitimate Interest (GDPR Art. 6(1)(f))", "Yes / Required (Sheet 3)", "")</f>
        <v/>
      </c>
      <c r="L3623" s="7" t="n"/>
      <c r="M3623" s="7" t="n"/>
      <c r="N3623">
        <f>IF(D3623="", "Gap - No Legal Basis", IF(AND(D3623="Consent (GDPR Art. 6(1)(a))", I3623="Not Captured"), "Gap - Invalid Consent", IF(AND(D3623="Legitimate Interest (GDPR Art. 6(1)(f))", L3623=""), "Gap - Missing LIA", IF(AND(G3623="Yes", H3623=""), "Gap - Missing Art. 9 Basis", IF(OR(I3623="Invalid - Not Freely Given", I3623="Invalid - Not Specific", I3623="Invalid - Not Informed", I3623="Invalid - Ambiguous"), "Gap - Invalid Consent", "Compliant")))))</f>
        <v/>
      </c>
      <c r="O3623" s="7" t="n"/>
    </row>
    <row r="3624">
      <c r="A3624" s="7" t="n"/>
      <c r="B3624" s="7" t="n"/>
      <c r="C3624" s="7" t="n"/>
      <c r="D3624" s="7" t="n"/>
      <c r="E3624" s="7" t="n"/>
      <c r="F3624" s="7" t="n"/>
      <c r="G3624" s="7" t="n"/>
      <c r="H3624" s="7" t="n"/>
      <c r="I3624" s="7" t="n"/>
      <c r="J3624" s="7" t="n"/>
      <c r="K3624">
        <f>IF(D3624="Legitimate Interest (GDPR Art. 6(1)(f))", "Yes / Required (Sheet 3)", "")</f>
        <v/>
      </c>
      <c r="L3624" s="7" t="n"/>
      <c r="M3624" s="7" t="n"/>
      <c r="N3624">
        <f>IF(D3624="", "Gap - No Legal Basis", IF(AND(D3624="Consent (GDPR Art. 6(1)(a))", I3624="Not Captured"), "Gap - Invalid Consent", IF(AND(D3624="Legitimate Interest (GDPR Art. 6(1)(f))", L3624=""), "Gap - Missing LIA", IF(AND(G3624="Yes", H3624=""), "Gap - Missing Art. 9 Basis", IF(OR(I3624="Invalid - Not Freely Given", I3624="Invalid - Not Specific", I3624="Invalid - Not Informed", I3624="Invalid - Ambiguous"), "Gap - Invalid Consent", "Compliant")))))</f>
        <v/>
      </c>
      <c r="O3624" s="7" t="n"/>
    </row>
    <row r="3625">
      <c r="A3625" s="7" t="n"/>
      <c r="B3625" s="7" t="n"/>
      <c r="C3625" s="7" t="n"/>
      <c r="D3625" s="7" t="n"/>
      <c r="E3625" s="7" t="n"/>
      <c r="F3625" s="7" t="n"/>
      <c r="G3625" s="7" t="n"/>
      <c r="H3625" s="7" t="n"/>
      <c r="I3625" s="7" t="n"/>
      <c r="J3625" s="7" t="n"/>
      <c r="K3625">
        <f>IF(D3625="Legitimate Interest (GDPR Art. 6(1)(f))", "Yes / Required (Sheet 3)", "")</f>
        <v/>
      </c>
      <c r="L3625" s="7" t="n"/>
      <c r="M3625" s="7" t="n"/>
      <c r="N3625">
        <f>IF(D3625="", "Gap - No Legal Basis", IF(AND(D3625="Consent (GDPR Art. 6(1)(a))", I3625="Not Captured"), "Gap - Invalid Consent", IF(AND(D3625="Legitimate Interest (GDPR Art. 6(1)(f))", L3625=""), "Gap - Missing LIA", IF(AND(G3625="Yes", H3625=""), "Gap - Missing Art. 9 Basis", IF(OR(I3625="Invalid - Not Freely Given", I3625="Invalid - Not Specific", I3625="Invalid - Not Informed", I3625="Invalid - Ambiguous"), "Gap - Invalid Consent", "Compliant")))))</f>
        <v/>
      </c>
      <c r="O3625" s="7" t="n"/>
    </row>
    <row r="3626">
      <c r="A3626" s="7" t="n"/>
      <c r="B3626" s="7" t="n"/>
      <c r="C3626" s="7" t="n"/>
      <c r="D3626" s="7" t="n"/>
      <c r="E3626" s="7" t="n"/>
      <c r="F3626" s="7" t="n"/>
      <c r="G3626" s="7" t="n"/>
      <c r="H3626" s="7" t="n"/>
      <c r="I3626" s="7" t="n"/>
      <c r="J3626" s="7" t="n"/>
      <c r="K3626">
        <f>IF(D3626="Legitimate Interest (GDPR Art. 6(1)(f))", "Yes / Required (Sheet 3)", "")</f>
        <v/>
      </c>
      <c r="L3626" s="7" t="n"/>
      <c r="M3626" s="7" t="n"/>
      <c r="N3626">
        <f>IF(D3626="", "Gap - No Legal Basis", IF(AND(D3626="Consent (GDPR Art. 6(1)(a))", I3626="Not Captured"), "Gap - Invalid Consent", IF(AND(D3626="Legitimate Interest (GDPR Art. 6(1)(f))", L3626=""), "Gap - Missing LIA", IF(AND(G3626="Yes", H3626=""), "Gap - Missing Art. 9 Basis", IF(OR(I3626="Invalid - Not Freely Given", I3626="Invalid - Not Specific", I3626="Invalid - Not Informed", I3626="Invalid - Ambiguous"), "Gap - Invalid Consent", "Compliant")))))</f>
        <v/>
      </c>
      <c r="O3626" s="7" t="n"/>
    </row>
    <row r="3627">
      <c r="A3627" s="7" t="n"/>
      <c r="B3627" s="7" t="n"/>
      <c r="C3627" s="7" t="n"/>
      <c r="D3627" s="7" t="n"/>
      <c r="E3627" s="7" t="n"/>
      <c r="F3627" s="7" t="n"/>
      <c r="G3627" s="7" t="n"/>
      <c r="H3627" s="7" t="n"/>
      <c r="I3627" s="7" t="n"/>
      <c r="J3627" s="7" t="n"/>
      <c r="K3627">
        <f>IF(D3627="Legitimate Interest (GDPR Art. 6(1)(f))", "Yes / Required (Sheet 3)", "")</f>
        <v/>
      </c>
      <c r="L3627" s="7" t="n"/>
      <c r="M3627" s="7" t="n"/>
      <c r="N3627">
        <f>IF(D3627="", "Gap - No Legal Basis", IF(AND(D3627="Consent (GDPR Art. 6(1)(a))", I3627="Not Captured"), "Gap - Invalid Consent", IF(AND(D3627="Legitimate Interest (GDPR Art. 6(1)(f))", L3627=""), "Gap - Missing LIA", IF(AND(G3627="Yes", H3627=""), "Gap - Missing Art. 9 Basis", IF(OR(I3627="Invalid - Not Freely Given", I3627="Invalid - Not Specific", I3627="Invalid - Not Informed", I3627="Invalid - Ambiguous"), "Gap - Invalid Consent", "Compliant")))))</f>
        <v/>
      </c>
      <c r="O3627" s="7" t="n"/>
    </row>
    <row r="3628">
      <c r="A3628" s="7" t="n"/>
      <c r="B3628" s="7" t="n"/>
      <c r="C3628" s="7" t="n"/>
      <c r="D3628" s="7" t="n"/>
      <c r="E3628" s="7" t="n"/>
      <c r="F3628" s="7" t="n"/>
      <c r="G3628" s="7" t="n"/>
      <c r="H3628" s="7" t="n"/>
      <c r="I3628" s="7" t="n"/>
      <c r="J3628" s="7" t="n"/>
      <c r="K3628">
        <f>IF(D3628="Legitimate Interest (GDPR Art. 6(1)(f))", "Yes / Required (Sheet 3)", "")</f>
        <v/>
      </c>
      <c r="L3628" s="7" t="n"/>
      <c r="M3628" s="7" t="n"/>
      <c r="N3628">
        <f>IF(D3628="", "Gap - No Legal Basis", IF(AND(D3628="Consent (GDPR Art. 6(1)(a))", I3628="Not Captured"), "Gap - Invalid Consent", IF(AND(D3628="Legitimate Interest (GDPR Art. 6(1)(f))", L3628=""), "Gap - Missing LIA", IF(AND(G3628="Yes", H3628=""), "Gap - Missing Art. 9 Basis", IF(OR(I3628="Invalid - Not Freely Given", I3628="Invalid - Not Specific", I3628="Invalid - Not Informed", I3628="Invalid - Ambiguous"), "Gap - Invalid Consent", "Compliant")))))</f>
        <v/>
      </c>
      <c r="O3628" s="7" t="n"/>
    </row>
    <row r="3629">
      <c r="A3629" s="7" t="n"/>
      <c r="B3629" s="7" t="n"/>
      <c r="C3629" s="7" t="n"/>
      <c r="D3629" s="7" t="n"/>
      <c r="E3629" s="7" t="n"/>
      <c r="F3629" s="7" t="n"/>
      <c r="G3629" s="7" t="n"/>
      <c r="H3629" s="7" t="n"/>
      <c r="I3629" s="7" t="n"/>
      <c r="J3629" s="7" t="n"/>
      <c r="K3629">
        <f>IF(D3629="Legitimate Interest (GDPR Art. 6(1)(f))", "Yes / Required (Sheet 3)", "")</f>
        <v/>
      </c>
      <c r="L3629" s="7" t="n"/>
      <c r="M3629" s="7" t="n"/>
      <c r="N3629">
        <f>IF(D3629="", "Gap - No Legal Basis", IF(AND(D3629="Consent (GDPR Art. 6(1)(a))", I3629="Not Captured"), "Gap - Invalid Consent", IF(AND(D3629="Legitimate Interest (GDPR Art. 6(1)(f))", L3629=""), "Gap - Missing LIA", IF(AND(G3629="Yes", H3629=""), "Gap - Missing Art. 9 Basis", IF(OR(I3629="Invalid - Not Freely Given", I3629="Invalid - Not Specific", I3629="Invalid - Not Informed", I3629="Invalid - Ambiguous"), "Gap - Invalid Consent", "Compliant")))))</f>
        <v/>
      </c>
      <c r="O3629" s="7" t="n"/>
    </row>
    <row r="3630">
      <c r="A3630" s="7" t="n"/>
      <c r="B3630" s="7" t="n"/>
      <c r="C3630" s="7" t="n"/>
      <c r="D3630" s="7" t="n"/>
      <c r="E3630" s="7" t="n"/>
      <c r="F3630" s="7" t="n"/>
      <c r="G3630" s="7" t="n"/>
      <c r="H3630" s="7" t="n"/>
      <c r="I3630" s="7" t="n"/>
      <c r="J3630" s="7" t="n"/>
      <c r="K3630">
        <f>IF(D3630="Legitimate Interest (GDPR Art. 6(1)(f))", "Yes / Required (Sheet 3)", "")</f>
        <v/>
      </c>
      <c r="L3630" s="7" t="n"/>
      <c r="M3630" s="7" t="n"/>
      <c r="N3630">
        <f>IF(D3630="", "Gap - No Legal Basis", IF(AND(D3630="Consent (GDPR Art. 6(1)(a))", I3630="Not Captured"), "Gap - Invalid Consent", IF(AND(D3630="Legitimate Interest (GDPR Art. 6(1)(f))", L3630=""), "Gap - Missing LIA", IF(AND(G3630="Yes", H3630=""), "Gap - Missing Art. 9 Basis", IF(OR(I3630="Invalid - Not Freely Given", I3630="Invalid - Not Specific", I3630="Invalid - Not Informed", I3630="Invalid - Ambiguous"), "Gap - Invalid Consent", "Compliant")))))</f>
        <v/>
      </c>
      <c r="O3630" s="7" t="n"/>
    </row>
    <row r="3631">
      <c r="A3631" s="7" t="n"/>
      <c r="B3631" s="7" t="n"/>
      <c r="C3631" s="7" t="n"/>
      <c r="D3631" s="7" t="n"/>
      <c r="E3631" s="7" t="n"/>
      <c r="F3631" s="7" t="n"/>
      <c r="G3631" s="7" t="n"/>
      <c r="H3631" s="7" t="n"/>
      <c r="I3631" s="7" t="n"/>
      <c r="J3631" s="7" t="n"/>
      <c r="K3631">
        <f>IF(D3631="Legitimate Interest (GDPR Art. 6(1)(f))", "Yes / Required (Sheet 3)", "")</f>
        <v/>
      </c>
      <c r="L3631" s="7" t="n"/>
      <c r="M3631" s="7" t="n"/>
      <c r="N3631">
        <f>IF(D3631="", "Gap - No Legal Basis", IF(AND(D3631="Consent (GDPR Art. 6(1)(a))", I3631="Not Captured"), "Gap - Invalid Consent", IF(AND(D3631="Legitimate Interest (GDPR Art. 6(1)(f))", L3631=""), "Gap - Missing LIA", IF(AND(G3631="Yes", H3631=""), "Gap - Missing Art. 9 Basis", IF(OR(I3631="Invalid - Not Freely Given", I3631="Invalid - Not Specific", I3631="Invalid - Not Informed", I3631="Invalid - Ambiguous"), "Gap - Invalid Consent", "Compliant")))))</f>
        <v/>
      </c>
      <c r="O3631" s="7" t="n"/>
    </row>
    <row r="3632">
      <c r="A3632" s="7" t="n"/>
      <c r="B3632" s="7" t="n"/>
      <c r="C3632" s="7" t="n"/>
      <c r="D3632" s="7" t="n"/>
      <c r="E3632" s="7" t="n"/>
      <c r="F3632" s="7" t="n"/>
      <c r="G3632" s="7" t="n"/>
      <c r="H3632" s="7" t="n"/>
      <c r="I3632" s="7" t="n"/>
      <c r="J3632" s="7" t="n"/>
      <c r="K3632">
        <f>IF(D3632="Legitimate Interest (GDPR Art. 6(1)(f))", "Yes / Required (Sheet 3)", "")</f>
        <v/>
      </c>
      <c r="L3632" s="7" t="n"/>
      <c r="M3632" s="7" t="n"/>
      <c r="N3632">
        <f>IF(D3632="", "Gap - No Legal Basis", IF(AND(D3632="Consent (GDPR Art. 6(1)(a))", I3632="Not Captured"), "Gap - Invalid Consent", IF(AND(D3632="Legitimate Interest (GDPR Art. 6(1)(f))", L3632=""), "Gap - Missing LIA", IF(AND(G3632="Yes", H3632=""), "Gap - Missing Art. 9 Basis", IF(OR(I3632="Invalid - Not Freely Given", I3632="Invalid - Not Specific", I3632="Invalid - Not Informed", I3632="Invalid - Ambiguous"), "Gap - Invalid Consent", "Compliant")))))</f>
        <v/>
      </c>
      <c r="O3632" s="7" t="n"/>
    </row>
    <row r="3633">
      <c r="A3633" s="7" t="n"/>
      <c r="B3633" s="7" t="n"/>
      <c r="C3633" s="7" t="n"/>
      <c r="D3633" s="7" t="n"/>
      <c r="E3633" s="7" t="n"/>
      <c r="F3633" s="7" t="n"/>
      <c r="G3633" s="7" t="n"/>
      <c r="H3633" s="7" t="n"/>
      <c r="I3633" s="7" t="n"/>
      <c r="J3633" s="7" t="n"/>
      <c r="K3633">
        <f>IF(D3633="Legitimate Interest (GDPR Art. 6(1)(f))", "Yes / Required (Sheet 3)", "")</f>
        <v/>
      </c>
      <c r="L3633" s="7" t="n"/>
      <c r="M3633" s="7" t="n"/>
      <c r="N3633">
        <f>IF(D3633="", "Gap - No Legal Basis", IF(AND(D3633="Consent (GDPR Art. 6(1)(a))", I3633="Not Captured"), "Gap - Invalid Consent", IF(AND(D3633="Legitimate Interest (GDPR Art. 6(1)(f))", L3633=""), "Gap - Missing LIA", IF(AND(G3633="Yes", H3633=""), "Gap - Missing Art. 9 Basis", IF(OR(I3633="Invalid - Not Freely Given", I3633="Invalid - Not Specific", I3633="Invalid - Not Informed", I3633="Invalid - Ambiguous"), "Gap - Invalid Consent", "Compliant")))))</f>
        <v/>
      </c>
      <c r="O3633" s="7" t="n"/>
    </row>
    <row r="3634">
      <c r="A3634" s="7" t="n"/>
      <c r="B3634" s="7" t="n"/>
      <c r="C3634" s="7" t="n"/>
      <c r="D3634" s="7" t="n"/>
      <c r="E3634" s="7" t="n"/>
      <c r="F3634" s="7" t="n"/>
      <c r="G3634" s="7" t="n"/>
      <c r="H3634" s="7" t="n"/>
      <c r="I3634" s="7" t="n"/>
      <c r="J3634" s="7" t="n"/>
      <c r="K3634">
        <f>IF(D3634="Legitimate Interest (GDPR Art. 6(1)(f))", "Yes / Required (Sheet 3)", "")</f>
        <v/>
      </c>
      <c r="L3634" s="7" t="n"/>
      <c r="M3634" s="7" t="n"/>
      <c r="N3634">
        <f>IF(D3634="", "Gap - No Legal Basis", IF(AND(D3634="Consent (GDPR Art. 6(1)(a))", I3634="Not Captured"), "Gap - Invalid Consent", IF(AND(D3634="Legitimate Interest (GDPR Art. 6(1)(f))", L3634=""), "Gap - Missing LIA", IF(AND(G3634="Yes", H3634=""), "Gap - Missing Art. 9 Basis", IF(OR(I3634="Invalid - Not Freely Given", I3634="Invalid - Not Specific", I3634="Invalid - Not Informed", I3634="Invalid - Ambiguous"), "Gap - Invalid Consent", "Compliant")))))</f>
        <v/>
      </c>
      <c r="O3634" s="7" t="n"/>
    </row>
    <row r="3635">
      <c r="A3635" s="7" t="n"/>
      <c r="B3635" s="7" t="n"/>
      <c r="C3635" s="7" t="n"/>
      <c r="D3635" s="7" t="n"/>
      <c r="E3635" s="7" t="n"/>
      <c r="F3635" s="7" t="n"/>
      <c r="G3635" s="7" t="n"/>
      <c r="H3635" s="7" t="n"/>
      <c r="I3635" s="7" t="n"/>
      <c r="J3635" s="7" t="n"/>
      <c r="K3635">
        <f>IF(D3635="Legitimate Interest (GDPR Art. 6(1)(f))", "Yes / Required (Sheet 3)", "")</f>
        <v/>
      </c>
      <c r="L3635" s="7" t="n"/>
      <c r="M3635" s="7" t="n"/>
      <c r="N3635">
        <f>IF(D3635="", "Gap - No Legal Basis", IF(AND(D3635="Consent (GDPR Art. 6(1)(a))", I3635="Not Captured"), "Gap - Invalid Consent", IF(AND(D3635="Legitimate Interest (GDPR Art. 6(1)(f))", L3635=""), "Gap - Missing LIA", IF(AND(G3635="Yes", H3635=""), "Gap - Missing Art. 9 Basis", IF(OR(I3635="Invalid - Not Freely Given", I3635="Invalid - Not Specific", I3635="Invalid - Not Informed", I3635="Invalid - Ambiguous"), "Gap - Invalid Consent", "Compliant")))))</f>
        <v/>
      </c>
      <c r="O3635" s="7" t="n"/>
    </row>
    <row r="3636">
      <c r="A3636" s="7" t="n"/>
      <c r="B3636" s="7" t="n"/>
      <c r="C3636" s="7" t="n"/>
      <c r="D3636" s="7" t="n"/>
      <c r="E3636" s="7" t="n"/>
      <c r="F3636" s="7" t="n"/>
      <c r="G3636" s="7" t="n"/>
      <c r="H3636" s="7" t="n"/>
      <c r="I3636" s="7" t="n"/>
      <c r="J3636" s="7" t="n"/>
      <c r="K3636">
        <f>IF(D3636="Legitimate Interest (GDPR Art. 6(1)(f))", "Yes / Required (Sheet 3)", "")</f>
        <v/>
      </c>
      <c r="L3636" s="7" t="n"/>
      <c r="M3636" s="7" t="n"/>
      <c r="N3636">
        <f>IF(D3636="", "Gap - No Legal Basis", IF(AND(D3636="Consent (GDPR Art. 6(1)(a))", I3636="Not Captured"), "Gap - Invalid Consent", IF(AND(D3636="Legitimate Interest (GDPR Art. 6(1)(f))", L3636=""), "Gap - Missing LIA", IF(AND(G3636="Yes", H3636=""), "Gap - Missing Art. 9 Basis", IF(OR(I3636="Invalid - Not Freely Given", I3636="Invalid - Not Specific", I3636="Invalid - Not Informed", I3636="Invalid - Ambiguous"), "Gap - Invalid Consent", "Compliant")))))</f>
        <v/>
      </c>
      <c r="O3636" s="7" t="n"/>
    </row>
    <row r="3637">
      <c r="A3637" s="7" t="n"/>
      <c r="B3637" s="7" t="n"/>
      <c r="C3637" s="7" t="n"/>
      <c r="D3637" s="7" t="n"/>
      <c r="E3637" s="7" t="n"/>
      <c r="F3637" s="7" t="n"/>
      <c r="G3637" s="7" t="n"/>
      <c r="H3637" s="7" t="n"/>
      <c r="I3637" s="7" t="n"/>
      <c r="J3637" s="7" t="n"/>
      <c r="K3637">
        <f>IF(D3637="Legitimate Interest (GDPR Art. 6(1)(f))", "Yes / Required (Sheet 3)", "")</f>
        <v/>
      </c>
      <c r="L3637" s="7" t="n"/>
      <c r="M3637" s="7" t="n"/>
      <c r="N3637">
        <f>IF(D3637="", "Gap - No Legal Basis", IF(AND(D3637="Consent (GDPR Art. 6(1)(a))", I3637="Not Captured"), "Gap - Invalid Consent", IF(AND(D3637="Legitimate Interest (GDPR Art. 6(1)(f))", L3637=""), "Gap - Missing LIA", IF(AND(G3637="Yes", H3637=""), "Gap - Missing Art. 9 Basis", IF(OR(I3637="Invalid - Not Freely Given", I3637="Invalid - Not Specific", I3637="Invalid - Not Informed", I3637="Invalid - Ambiguous"), "Gap - Invalid Consent", "Compliant")))))</f>
        <v/>
      </c>
      <c r="O3637" s="7" t="n"/>
    </row>
    <row r="3638">
      <c r="A3638" s="7" t="n"/>
      <c r="B3638" s="7" t="n"/>
      <c r="C3638" s="7" t="n"/>
      <c r="D3638" s="7" t="n"/>
      <c r="E3638" s="7" t="n"/>
      <c r="F3638" s="7" t="n"/>
      <c r="G3638" s="7" t="n"/>
      <c r="H3638" s="7" t="n"/>
      <c r="I3638" s="7" t="n"/>
      <c r="J3638" s="7" t="n"/>
      <c r="K3638">
        <f>IF(D3638="Legitimate Interest (GDPR Art. 6(1)(f))", "Yes / Required (Sheet 3)", "")</f>
        <v/>
      </c>
      <c r="L3638" s="7" t="n"/>
      <c r="M3638" s="7" t="n"/>
      <c r="N3638">
        <f>IF(D3638="", "Gap - No Legal Basis", IF(AND(D3638="Consent (GDPR Art. 6(1)(a))", I3638="Not Captured"), "Gap - Invalid Consent", IF(AND(D3638="Legitimate Interest (GDPR Art. 6(1)(f))", L3638=""), "Gap - Missing LIA", IF(AND(G3638="Yes", H3638=""), "Gap - Missing Art. 9 Basis", IF(OR(I3638="Invalid - Not Freely Given", I3638="Invalid - Not Specific", I3638="Invalid - Not Informed", I3638="Invalid - Ambiguous"), "Gap - Invalid Consent", "Compliant")))))</f>
        <v/>
      </c>
      <c r="O3638" s="7" t="n"/>
    </row>
    <row r="3639">
      <c r="A3639" s="7" t="n"/>
      <c r="B3639" s="7" t="n"/>
      <c r="C3639" s="7" t="n"/>
      <c r="D3639" s="7" t="n"/>
      <c r="E3639" s="7" t="n"/>
      <c r="F3639" s="7" t="n"/>
      <c r="G3639" s="7" t="n"/>
      <c r="H3639" s="7" t="n"/>
      <c r="I3639" s="7" t="n"/>
      <c r="J3639" s="7" t="n"/>
      <c r="K3639">
        <f>IF(D3639="Legitimate Interest (GDPR Art. 6(1)(f))", "Yes / Required (Sheet 3)", "")</f>
        <v/>
      </c>
      <c r="L3639" s="7" t="n"/>
      <c r="M3639" s="7" t="n"/>
      <c r="N3639">
        <f>IF(D3639="", "Gap - No Legal Basis", IF(AND(D3639="Consent (GDPR Art. 6(1)(a))", I3639="Not Captured"), "Gap - Invalid Consent", IF(AND(D3639="Legitimate Interest (GDPR Art. 6(1)(f))", L3639=""), "Gap - Missing LIA", IF(AND(G3639="Yes", H3639=""), "Gap - Missing Art. 9 Basis", IF(OR(I3639="Invalid - Not Freely Given", I3639="Invalid - Not Specific", I3639="Invalid - Not Informed", I3639="Invalid - Ambiguous"), "Gap - Invalid Consent", "Compliant")))))</f>
        <v/>
      </c>
      <c r="O3639" s="7" t="n"/>
    </row>
    <row r="3640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7" t="n"/>
      <c r="J3640" s="7" t="n"/>
      <c r="K3640">
        <f>IF(D3640="Legitimate Interest (GDPR Art. 6(1)(f))", "Yes / Required (Sheet 3)", "")</f>
        <v/>
      </c>
      <c r="L3640" s="7" t="n"/>
      <c r="M3640" s="7" t="n"/>
      <c r="N3640">
        <f>IF(D3640="", "Gap - No Legal Basis", IF(AND(D3640="Consent (GDPR Art. 6(1)(a))", I3640="Not Captured"), "Gap - Invalid Consent", IF(AND(D3640="Legitimate Interest (GDPR Art. 6(1)(f))", L3640=""), "Gap - Missing LIA", IF(AND(G3640="Yes", H3640=""), "Gap - Missing Art. 9 Basis", IF(OR(I3640="Invalid - Not Freely Given", I3640="Invalid - Not Specific", I3640="Invalid - Not Informed", I3640="Invalid - Ambiguous"), "Gap - Invalid Consent", "Compliant")))))</f>
        <v/>
      </c>
      <c r="O3640" s="7" t="n"/>
    </row>
    <row r="3641">
      <c r="A3641" s="7" t="n"/>
      <c r="B3641" s="7" t="n"/>
      <c r="C3641" s="7" t="n"/>
      <c r="D3641" s="7" t="n"/>
      <c r="E3641" s="7" t="n"/>
      <c r="F3641" s="7" t="n"/>
      <c r="G3641" s="7" t="n"/>
      <c r="H3641" s="7" t="n"/>
      <c r="I3641" s="7" t="n"/>
      <c r="J3641" s="7" t="n"/>
      <c r="K3641">
        <f>IF(D3641="Legitimate Interest (GDPR Art. 6(1)(f))", "Yes / Required (Sheet 3)", "")</f>
        <v/>
      </c>
      <c r="L3641" s="7" t="n"/>
      <c r="M3641" s="7" t="n"/>
      <c r="N3641">
        <f>IF(D3641="", "Gap - No Legal Basis", IF(AND(D3641="Consent (GDPR Art. 6(1)(a))", I3641="Not Captured"), "Gap - Invalid Consent", IF(AND(D3641="Legitimate Interest (GDPR Art. 6(1)(f))", L3641=""), "Gap - Missing LIA", IF(AND(G3641="Yes", H3641=""), "Gap - Missing Art. 9 Basis", IF(OR(I3641="Invalid - Not Freely Given", I3641="Invalid - Not Specific", I3641="Invalid - Not Informed", I3641="Invalid - Ambiguous"), "Gap - Invalid Consent", "Compliant")))))</f>
        <v/>
      </c>
      <c r="O3641" s="7" t="n"/>
    </row>
    <row r="3642">
      <c r="A3642" s="7" t="n"/>
      <c r="B3642" s="7" t="n"/>
      <c r="C3642" s="7" t="n"/>
      <c r="D3642" s="7" t="n"/>
      <c r="E3642" s="7" t="n"/>
      <c r="F3642" s="7" t="n"/>
      <c r="G3642" s="7" t="n"/>
      <c r="H3642" s="7" t="n"/>
      <c r="I3642" s="7" t="n"/>
      <c r="J3642" s="7" t="n"/>
      <c r="K3642">
        <f>IF(D3642="Legitimate Interest (GDPR Art. 6(1)(f))", "Yes / Required (Sheet 3)", "")</f>
        <v/>
      </c>
      <c r="L3642" s="7" t="n"/>
      <c r="M3642" s="7" t="n"/>
      <c r="N3642">
        <f>IF(D3642="", "Gap - No Legal Basis", IF(AND(D3642="Consent (GDPR Art. 6(1)(a))", I3642="Not Captured"), "Gap - Invalid Consent", IF(AND(D3642="Legitimate Interest (GDPR Art. 6(1)(f))", L3642=""), "Gap - Missing LIA", IF(AND(G3642="Yes", H3642=""), "Gap - Missing Art. 9 Basis", IF(OR(I3642="Invalid - Not Freely Given", I3642="Invalid - Not Specific", I3642="Invalid - Not Informed", I3642="Invalid - Ambiguous"), "Gap - Invalid Consent", "Compliant")))))</f>
        <v/>
      </c>
      <c r="O3642" s="7" t="n"/>
    </row>
    <row r="3643">
      <c r="A3643" s="7" t="n"/>
      <c r="B3643" s="7" t="n"/>
      <c r="C3643" s="7" t="n"/>
      <c r="D3643" s="7" t="n"/>
      <c r="E3643" s="7" t="n"/>
      <c r="F3643" s="7" t="n"/>
      <c r="G3643" s="7" t="n"/>
      <c r="H3643" s="7" t="n"/>
      <c r="I3643" s="7" t="n"/>
      <c r="J3643" s="7" t="n"/>
      <c r="K3643">
        <f>IF(D3643="Legitimate Interest (GDPR Art. 6(1)(f))", "Yes / Required (Sheet 3)", "")</f>
        <v/>
      </c>
      <c r="L3643" s="7" t="n"/>
      <c r="M3643" s="7" t="n"/>
      <c r="N3643">
        <f>IF(D3643="", "Gap - No Legal Basis", IF(AND(D3643="Consent (GDPR Art. 6(1)(a))", I3643="Not Captured"), "Gap - Invalid Consent", IF(AND(D3643="Legitimate Interest (GDPR Art. 6(1)(f))", L3643=""), "Gap - Missing LIA", IF(AND(G3643="Yes", H3643=""), "Gap - Missing Art. 9 Basis", IF(OR(I3643="Invalid - Not Freely Given", I3643="Invalid - Not Specific", I3643="Invalid - Not Informed", I3643="Invalid - Ambiguous"), "Gap - Invalid Consent", "Compliant")))))</f>
        <v/>
      </c>
      <c r="O3643" s="7" t="n"/>
    </row>
    <row r="3644">
      <c r="A3644" s="7" t="n"/>
      <c r="B3644" s="7" t="n"/>
      <c r="C3644" s="7" t="n"/>
      <c r="D3644" s="7" t="n"/>
      <c r="E3644" s="7" t="n"/>
      <c r="F3644" s="7" t="n"/>
      <c r="G3644" s="7" t="n"/>
      <c r="H3644" s="7" t="n"/>
      <c r="I3644" s="7" t="n"/>
      <c r="J3644" s="7" t="n"/>
      <c r="K3644">
        <f>IF(D3644="Legitimate Interest (GDPR Art. 6(1)(f))", "Yes / Required (Sheet 3)", "")</f>
        <v/>
      </c>
      <c r="L3644" s="7" t="n"/>
      <c r="M3644" s="7" t="n"/>
      <c r="N3644">
        <f>IF(D3644="", "Gap - No Legal Basis", IF(AND(D3644="Consent (GDPR Art. 6(1)(a))", I3644="Not Captured"), "Gap - Invalid Consent", IF(AND(D3644="Legitimate Interest (GDPR Art. 6(1)(f))", L3644=""), "Gap - Missing LIA", IF(AND(G3644="Yes", H3644=""), "Gap - Missing Art. 9 Basis", IF(OR(I3644="Invalid - Not Freely Given", I3644="Invalid - Not Specific", I3644="Invalid - Not Informed", I3644="Invalid - Ambiguous"), "Gap - Invalid Consent", "Compliant")))))</f>
        <v/>
      </c>
      <c r="O3644" s="7" t="n"/>
    </row>
    <row r="3645">
      <c r="A3645" s="7" t="n"/>
      <c r="B3645" s="7" t="n"/>
      <c r="C3645" s="7" t="n"/>
      <c r="D3645" s="7" t="n"/>
      <c r="E3645" s="7" t="n"/>
      <c r="F3645" s="7" t="n"/>
      <c r="G3645" s="7" t="n"/>
      <c r="H3645" s="7" t="n"/>
      <c r="I3645" s="7" t="n"/>
      <c r="J3645" s="7" t="n"/>
      <c r="K3645">
        <f>IF(D3645="Legitimate Interest (GDPR Art. 6(1)(f))", "Yes / Required (Sheet 3)", "")</f>
        <v/>
      </c>
      <c r="L3645" s="7" t="n"/>
      <c r="M3645" s="7" t="n"/>
      <c r="N3645">
        <f>IF(D3645="", "Gap - No Legal Basis", IF(AND(D3645="Consent (GDPR Art. 6(1)(a))", I3645="Not Captured"), "Gap - Invalid Consent", IF(AND(D3645="Legitimate Interest (GDPR Art. 6(1)(f))", L3645=""), "Gap - Missing LIA", IF(AND(G3645="Yes", H3645=""), "Gap - Missing Art. 9 Basis", IF(OR(I3645="Invalid - Not Freely Given", I3645="Invalid - Not Specific", I3645="Invalid - Not Informed", I3645="Invalid - Ambiguous"), "Gap - Invalid Consent", "Compliant")))))</f>
        <v/>
      </c>
      <c r="O3645" s="7" t="n"/>
    </row>
    <row r="3646">
      <c r="A3646" s="7" t="n"/>
      <c r="B3646" s="7" t="n"/>
      <c r="C3646" s="7" t="n"/>
      <c r="D3646" s="7" t="n"/>
      <c r="E3646" s="7" t="n"/>
      <c r="F3646" s="7" t="n"/>
      <c r="G3646" s="7" t="n"/>
      <c r="H3646" s="7" t="n"/>
      <c r="I3646" s="7" t="n"/>
      <c r="J3646" s="7" t="n"/>
      <c r="K3646">
        <f>IF(D3646="Legitimate Interest (GDPR Art. 6(1)(f))", "Yes / Required (Sheet 3)", "")</f>
        <v/>
      </c>
      <c r="L3646" s="7" t="n"/>
      <c r="M3646" s="7" t="n"/>
      <c r="N3646">
        <f>IF(D3646="", "Gap - No Legal Basis", IF(AND(D3646="Consent (GDPR Art. 6(1)(a))", I3646="Not Captured"), "Gap - Invalid Consent", IF(AND(D3646="Legitimate Interest (GDPR Art. 6(1)(f))", L3646=""), "Gap - Missing LIA", IF(AND(G3646="Yes", H3646=""), "Gap - Missing Art. 9 Basis", IF(OR(I3646="Invalid - Not Freely Given", I3646="Invalid - Not Specific", I3646="Invalid - Not Informed", I3646="Invalid - Ambiguous"), "Gap - Invalid Consent", "Compliant")))))</f>
        <v/>
      </c>
      <c r="O3646" s="7" t="n"/>
    </row>
    <row r="3647">
      <c r="A3647" s="7" t="n"/>
      <c r="B3647" s="7" t="n"/>
      <c r="C3647" s="7" t="n"/>
      <c r="D3647" s="7" t="n"/>
      <c r="E3647" s="7" t="n"/>
      <c r="F3647" s="7" t="n"/>
      <c r="G3647" s="7" t="n"/>
      <c r="H3647" s="7" t="n"/>
      <c r="I3647" s="7" t="n"/>
      <c r="J3647" s="7" t="n"/>
      <c r="K3647">
        <f>IF(D3647="Legitimate Interest (GDPR Art. 6(1)(f))", "Yes / Required (Sheet 3)", "")</f>
        <v/>
      </c>
      <c r="L3647" s="7" t="n"/>
      <c r="M3647" s="7" t="n"/>
      <c r="N3647">
        <f>IF(D3647="", "Gap - No Legal Basis", IF(AND(D3647="Consent (GDPR Art. 6(1)(a))", I3647="Not Captured"), "Gap - Invalid Consent", IF(AND(D3647="Legitimate Interest (GDPR Art. 6(1)(f))", L3647=""), "Gap - Missing LIA", IF(AND(G3647="Yes", H3647=""), "Gap - Missing Art. 9 Basis", IF(OR(I3647="Invalid - Not Freely Given", I3647="Invalid - Not Specific", I3647="Invalid - Not Informed", I3647="Invalid - Ambiguous"), "Gap - Invalid Consent", "Compliant")))))</f>
        <v/>
      </c>
      <c r="O3647" s="7" t="n"/>
    </row>
    <row r="3648">
      <c r="A3648" s="7" t="n"/>
      <c r="B3648" s="7" t="n"/>
      <c r="C3648" s="7" t="n"/>
      <c r="D3648" s="7" t="n"/>
      <c r="E3648" s="7" t="n"/>
      <c r="F3648" s="7" t="n"/>
      <c r="G3648" s="7" t="n"/>
      <c r="H3648" s="7" t="n"/>
      <c r="I3648" s="7" t="n"/>
      <c r="J3648" s="7" t="n"/>
      <c r="K3648">
        <f>IF(D3648="Legitimate Interest (GDPR Art. 6(1)(f))", "Yes / Required (Sheet 3)", "")</f>
        <v/>
      </c>
      <c r="L3648" s="7" t="n"/>
      <c r="M3648" s="7" t="n"/>
      <c r="N3648">
        <f>IF(D3648="", "Gap - No Legal Basis", IF(AND(D3648="Consent (GDPR Art. 6(1)(a))", I3648="Not Captured"), "Gap - Invalid Consent", IF(AND(D3648="Legitimate Interest (GDPR Art. 6(1)(f))", L3648=""), "Gap - Missing LIA", IF(AND(G3648="Yes", H3648=""), "Gap - Missing Art. 9 Basis", IF(OR(I3648="Invalid - Not Freely Given", I3648="Invalid - Not Specific", I3648="Invalid - Not Informed", I3648="Invalid - Ambiguous"), "Gap - Invalid Consent", "Compliant")))))</f>
        <v/>
      </c>
      <c r="O3648" s="7" t="n"/>
    </row>
    <row r="3649">
      <c r="A3649" s="7" t="n"/>
      <c r="B3649" s="7" t="n"/>
      <c r="C3649" s="7" t="n"/>
      <c r="D3649" s="7" t="n"/>
      <c r="E3649" s="7" t="n"/>
      <c r="F3649" s="7" t="n"/>
      <c r="G3649" s="7" t="n"/>
      <c r="H3649" s="7" t="n"/>
      <c r="I3649" s="7" t="n"/>
      <c r="J3649" s="7" t="n"/>
      <c r="K3649">
        <f>IF(D3649="Legitimate Interest (GDPR Art. 6(1)(f))", "Yes / Required (Sheet 3)", "")</f>
        <v/>
      </c>
      <c r="L3649" s="7" t="n"/>
      <c r="M3649" s="7" t="n"/>
      <c r="N3649">
        <f>IF(D3649="", "Gap - No Legal Basis", IF(AND(D3649="Consent (GDPR Art. 6(1)(a))", I3649="Not Captured"), "Gap - Invalid Consent", IF(AND(D3649="Legitimate Interest (GDPR Art. 6(1)(f))", L3649=""), "Gap - Missing LIA", IF(AND(G3649="Yes", H3649=""), "Gap - Missing Art. 9 Basis", IF(OR(I3649="Invalid - Not Freely Given", I3649="Invalid - Not Specific", I3649="Invalid - Not Informed", I3649="Invalid - Ambiguous"), "Gap - Invalid Consent", "Compliant")))))</f>
        <v/>
      </c>
      <c r="O3649" s="7" t="n"/>
    </row>
    <row r="3650">
      <c r="A3650" s="7" t="n"/>
      <c r="B3650" s="7" t="n"/>
      <c r="C3650" s="7" t="n"/>
      <c r="D3650" s="7" t="n"/>
      <c r="E3650" s="7" t="n"/>
      <c r="F3650" s="7" t="n"/>
      <c r="G3650" s="7" t="n"/>
      <c r="H3650" s="7" t="n"/>
      <c r="I3650" s="7" t="n"/>
      <c r="J3650" s="7" t="n"/>
      <c r="K3650">
        <f>IF(D3650="Legitimate Interest (GDPR Art. 6(1)(f))", "Yes / Required (Sheet 3)", "")</f>
        <v/>
      </c>
      <c r="L3650" s="7" t="n"/>
      <c r="M3650" s="7" t="n"/>
      <c r="N3650">
        <f>IF(D3650="", "Gap - No Legal Basis", IF(AND(D3650="Consent (GDPR Art. 6(1)(a))", I3650="Not Captured"), "Gap - Invalid Consent", IF(AND(D3650="Legitimate Interest (GDPR Art. 6(1)(f))", L3650=""), "Gap - Missing LIA", IF(AND(G3650="Yes", H3650=""), "Gap - Missing Art. 9 Basis", IF(OR(I3650="Invalid - Not Freely Given", I3650="Invalid - Not Specific", I3650="Invalid - Not Informed", I3650="Invalid - Ambiguous"), "Gap - Invalid Consent", "Compliant")))))</f>
        <v/>
      </c>
      <c r="O3650" s="7" t="n"/>
    </row>
    <row r="3651">
      <c r="A3651" s="7" t="n"/>
      <c r="B3651" s="7" t="n"/>
      <c r="C3651" s="7" t="n"/>
      <c r="D3651" s="7" t="n"/>
      <c r="E3651" s="7" t="n"/>
      <c r="F3651" s="7" t="n"/>
      <c r="G3651" s="7" t="n"/>
      <c r="H3651" s="7" t="n"/>
      <c r="I3651" s="7" t="n"/>
      <c r="J3651" s="7" t="n"/>
      <c r="K3651">
        <f>IF(D3651="Legitimate Interest (GDPR Art. 6(1)(f))", "Yes / Required (Sheet 3)", "")</f>
        <v/>
      </c>
      <c r="L3651" s="7" t="n"/>
      <c r="M3651" s="7" t="n"/>
      <c r="N3651">
        <f>IF(D3651="", "Gap - No Legal Basis", IF(AND(D3651="Consent (GDPR Art. 6(1)(a))", I3651="Not Captured"), "Gap - Invalid Consent", IF(AND(D3651="Legitimate Interest (GDPR Art. 6(1)(f))", L3651=""), "Gap - Missing LIA", IF(AND(G3651="Yes", H3651=""), "Gap - Missing Art. 9 Basis", IF(OR(I3651="Invalid - Not Freely Given", I3651="Invalid - Not Specific", I3651="Invalid - Not Informed", I3651="Invalid - Ambiguous"), "Gap - Invalid Consent", "Compliant")))))</f>
        <v/>
      </c>
      <c r="O3651" s="7" t="n"/>
    </row>
    <row r="3652">
      <c r="A3652" s="7" t="n"/>
      <c r="B3652" s="7" t="n"/>
      <c r="C3652" s="7" t="n"/>
      <c r="D3652" s="7" t="n"/>
      <c r="E3652" s="7" t="n"/>
      <c r="F3652" s="7" t="n"/>
      <c r="G3652" s="7" t="n"/>
      <c r="H3652" s="7" t="n"/>
      <c r="I3652" s="7" t="n"/>
      <c r="J3652" s="7" t="n"/>
      <c r="K3652">
        <f>IF(D3652="Legitimate Interest (GDPR Art. 6(1)(f))", "Yes / Required (Sheet 3)", "")</f>
        <v/>
      </c>
      <c r="L3652" s="7" t="n"/>
      <c r="M3652" s="7" t="n"/>
      <c r="N3652">
        <f>IF(D3652="", "Gap - No Legal Basis", IF(AND(D3652="Consent (GDPR Art. 6(1)(a))", I3652="Not Captured"), "Gap - Invalid Consent", IF(AND(D3652="Legitimate Interest (GDPR Art. 6(1)(f))", L3652=""), "Gap - Missing LIA", IF(AND(G3652="Yes", H3652=""), "Gap - Missing Art. 9 Basis", IF(OR(I3652="Invalid - Not Freely Given", I3652="Invalid - Not Specific", I3652="Invalid - Not Informed", I3652="Invalid - Ambiguous"), "Gap - Invalid Consent", "Compliant")))))</f>
        <v/>
      </c>
      <c r="O3652" s="7" t="n"/>
    </row>
    <row r="3653">
      <c r="A3653" s="7" t="n"/>
      <c r="B3653" s="7" t="n"/>
      <c r="C3653" s="7" t="n"/>
      <c r="D3653" s="7" t="n"/>
      <c r="E3653" s="7" t="n"/>
      <c r="F3653" s="7" t="n"/>
      <c r="G3653" s="7" t="n"/>
      <c r="H3653" s="7" t="n"/>
      <c r="I3653" s="7" t="n"/>
      <c r="J3653" s="7" t="n"/>
      <c r="K3653">
        <f>IF(D3653="Legitimate Interest (GDPR Art. 6(1)(f))", "Yes / Required (Sheet 3)", "")</f>
        <v/>
      </c>
      <c r="L3653" s="7" t="n"/>
      <c r="M3653" s="7" t="n"/>
      <c r="N3653">
        <f>IF(D3653="", "Gap - No Legal Basis", IF(AND(D3653="Consent (GDPR Art. 6(1)(a))", I3653="Not Captured"), "Gap - Invalid Consent", IF(AND(D3653="Legitimate Interest (GDPR Art. 6(1)(f))", L3653=""), "Gap - Missing LIA", IF(AND(G3653="Yes", H3653=""), "Gap - Missing Art. 9 Basis", IF(OR(I3653="Invalid - Not Freely Given", I3653="Invalid - Not Specific", I3653="Invalid - Not Informed", I3653="Invalid - Ambiguous"), "Gap - Invalid Consent", "Compliant")))))</f>
        <v/>
      </c>
      <c r="O3653" s="7" t="n"/>
    </row>
    <row r="3654">
      <c r="A3654" s="7" t="n"/>
      <c r="B3654" s="7" t="n"/>
      <c r="C3654" s="7" t="n"/>
      <c r="D3654" s="7" t="n"/>
      <c r="E3654" s="7" t="n"/>
      <c r="F3654" s="7" t="n"/>
      <c r="G3654" s="7" t="n"/>
      <c r="H3654" s="7" t="n"/>
      <c r="I3654" s="7" t="n"/>
      <c r="J3654" s="7" t="n"/>
      <c r="K3654">
        <f>IF(D3654="Legitimate Interest (GDPR Art. 6(1)(f))", "Yes / Required (Sheet 3)", "")</f>
        <v/>
      </c>
      <c r="L3654" s="7" t="n"/>
      <c r="M3654" s="7" t="n"/>
      <c r="N3654">
        <f>IF(D3654="", "Gap - No Legal Basis", IF(AND(D3654="Consent (GDPR Art. 6(1)(a))", I3654="Not Captured"), "Gap - Invalid Consent", IF(AND(D3654="Legitimate Interest (GDPR Art. 6(1)(f))", L3654=""), "Gap - Missing LIA", IF(AND(G3654="Yes", H3654=""), "Gap - Missing Art. 9 Basis", IF(OR(I3654="Invalid - Not Freely Given", I3654="Invalid - Not Specific", I3654="Invalid - Not Informed", I3654="Invalid - Ambiguous"), "Gap - Invalid Consent", "Compliant")))))</f>
        <v/>
      </c>
      <c r="O3654" s="7" t="n"/>
    </row>
    <row r="3655">
      <c r="A3655" s="7" t="n"/>
      <c r="B3655" s="7" t="n"/>
      <c r="C3655" s="7" t="n"/>
      <c r="D3655" s="7" t="n"/>
      <c r="E3655" s="7" t="n"/>
      <c r="F3655" s="7" t="n"/>
      <c r="G3655" s="7" t="n"/>
      <c r="H3655" s="7" t="n"/>
      <c r="I3655" s="7" t="n"/>
      <c r="J3655" s="7" t="n"/>
      <c r="K3655">
        <f>IF(D3655="Legitimate Interest (GDPR Art. 6(1)(f))", "Yes / Required (Sheet 3)", "")</f>
        <v/>
      </c>
      <c r="L3655" s="7" t="n"/>
      <c r="M3655" s="7" t="n"/>
      <c r="N3655">
        <f>IF(D3655="", "Gap - No Legal Basis", IF(AND(D3655="Consent (GDPR Art. 6(1)(a))", I3655="Not Captured"), "Gap - Invalid Consent", IF(AND(D3655="Legitimate Interest (GDPR Art. 6(1)(f))", L3655=""), "Gap - Missing LIA", IF(AND(G3655="Yes", H3655=""), "Gap - Missing Art. 9 Basis", IF(OR(I3655="Invalid - Not Freely Given", I3655="Invalid - Not Specific", I3655="Invalid - Not Informed", I3655="Invalid - Ambiguous"), "Gap - Invalid Consent", "Compliant")))))</f>
        <v/>
      </c>
      <c r="O3655" s="7" t="n"/>
    </row>
    <row r="3656">
      <c r="A3656" s="7" t="n"/>
      <c r="B3656" s="7" t="n"/>
      <c r="C3656" s="7" t="n"/>
      <c r="D3656" s="7" t="n"/>
      <c r="E3656" s="7" t="n"/>
      <c r="F3656" s="7" t="n"/>
      <c r="G3656" s="7" t="n"/>
      <c r="H3656" s="7" t="n"/>
      <c r="I3656" s="7" t="n"/>
      <c r="J3656" s="7" t="n"/>
      <c r="K3656">
        <f>IF(D3656="Legitimate Interest (GDPR Art. 6(1)(f))", "Yes / Required (Sheet 3)", "")</f>
        <v/>
      </c>
      <c r="L3656" s="7" t="n"/>
      <c r="M3656" s="7" t="n"/>
      <c r="N3656">
        <f>IF(D3656="", "Gap - No Legal Basis", IF(AND(D3656="Consent (GDPR Art. 6(1)(a))", I3656="Not Captured"), "Gap - Invalid Consent", IF(AND(D3656="Legitimate Interest (GDPR Art. 6(1)(f))", L3656=""), "Gap - Missing LIA", IF(AND(G3656="Yes", H3656=""), "Gap - Missing Art. 9 Basis", IF(OR(I3656="Invalid - Not Freely Given", I3656="Invalid - Not Specific", I3656="Invalid - Not Informed", I3656="Invalid - Ambiguous"), "Gap - Invalid Consent", "Compliant")))))</f>
        <v/>
      </c>
      <c r="O3656" s="7" t="n"/>
    </row>
    <row r="3657">
      <c r="A3657" s="7" t="n"/>
      <c r="B3657" s="7" t="n"/>
      <c r="C3657" s="7" t="n"/>
      <c r="D3657" s="7" t="n"/>
      <c r="E3657" s="7" t="n"/>
      <c r="F3657" s="7" t="n"/>
      <c r="G3657" s="7" t="n"/>
      <c r="H3657" s="7" t="n"/>
      <c r="I3657" s="7" t="n"/>
      <c r="J3657" s="7" t="n"/>
      <c r="K3657">
        <f>IF(D3657="Legitimate Interest (GDPR Art. 6(1)(f))", "Yes / Required (Sheet 3)", "")</f>
        <v/>
      </c>
      <c r="L3657" s="7" t="n"/>
      <c r="M3657" s="7" t="n"/>
      <c r="N3657">
        <f>IF(D3657="", "Gap - No Legal Basis", IF(AND(D3657="Consent (GDPR Art. 6(1)(a))", I3657="Not Captured"), "Gap - Invalid Consent", IF(AND(D3657="Legitimate Interest (GDPR Art. 6(1)(f))", L3657=""), "Gap - Missing LIA", IF(AND(G3657="Yes", H3657=""), "Gap - Missing Art. 9 Basis", IF(OR(I3657="Invalid - Not Freely Given", I3657="Invalid - Not Specific", I3657="Invalid - Not Informed", I3657="Invalid - Ambiguous"), "Gap - Invalid Consent", "Compliant")))))</f>
        <v/>
      </c>
      <c r="O3657" s="7" t="n"/>
    </row>
    <row r="3658">
      <c r="A3658" s="7" t="n"/>
      <c r="B3658" s="7" t="n"/>
      <c r="C3658" s="7" t="n"/>
      <c r="D3658" s="7" t="n"/>
      <c r="E3658" s="7" t="n"/>
      <c r="F3658" s="7" t="n"/>
      <c r="G3658" s="7" t="n"/>
      <c r="H3658" s="7" t="n"/>
      <c r="I3658" s="7" t="n"/>
      <c r="J3658" s="7" t="n"/>
      <c r="K3658">
        <f>IF(D3658="Legitimate Interest (GDPR Art. 6(1)(f))", "Yes / Required (Sheet 3)", "")</f>
        <v/>
      </c>
      <c r="L3658" s="7" t="n"/>
      <c r="M3658" s="7" t="n"/>
      <c r="N3658">
        <f>IF(D3658="", "Gap - No Legal Basis", IF(AND(D3658="Consent (GDPR Art. 6(1)(a))", I3658="Not Captured"), "Gap - Invalid Consent", IF(AND(D3658="Legitimate Interest (GDPR Art. 6(1)(f))", L3658=""), "Gap - Missing LIA", IF(AND(G3658="Yes", H3658=""), "Gap - Missing Art. 9 Basis", IF(OR(I3658="Invalid - Not Freely Given", I3658="Invalid - Not Specific", I3658="Invalid - Not Informed", I3658="Invalid - Ambiguous"), "Gap - Invalid Consent", "Compliant")))))</f>
        <v/>
      </c>
      <c r="O3658" s="7" t="n"/>
    </row>
    <row r="3659">
      <c r="A3659" s="7" t="n"/>
      <c r="B3659" s="7" t="n"/>
      <c r="C3659" s="7" t="n"/>
      <c r="D3659" s="7" t="n"/>
      <c r="E3659" s="7" t="n"/>
      <c r="F3659" s="7" t="n"/>
      <c r="G3659" s="7" t="n"/>
      <c r="H3659" s="7" t="n"/>
      <c r="I3659" s="7" t="n"/>
      <c r="J3659" s="7" t="n"/>
      <c r="K3659">
        <f>IF(D3659="Legitimate Interest (GDPR Art. 6(1)(f))", "Yes / Required (Sheet 3)", "")</f>
        <v/>
      </c>
      <c r="L3659" s="7" t="n"/>
      <c r="M3659" s="7" t="n"/>
      <c r="N3659">
        <f>IF(D3659="", "Gap - No Legal Basis", IF(AND(D3659="Consent (GDPR Art. 6(1)(a))", I3659="Not Captured"), "Gap - Invalid Consent", IF(AND(D3659="Legitimate Interest (GDPR Art. 6(1)(f))", L3659=""), "Gap - Missing LIA", IF(AND(G3659="Yes", H3659=""), "Gap - Missing Art. 9 Basis", IF(OR(I3659="Invalid - Not Freely Given", I3659="Invalid - Not Specific", I3659="Invalid - Not Informed", I3659="Invalid - Ambiguous"), "Gap - Invalid Consent", "Compliant")))))</f>
        <v/>
      </c>
      <c r="O3659" s="7" t="n"/>
    </row>
    <row r="3660">
      <c r="A3660" s="7" t="n"/>
      <c r="B3660" s="7" t="n"/>
      <c r="C3660" s="7" t="n"/>
      <c r="D3660" s="7" t="n"/>
      <c r="E3660" s="7" t="n"/>
      <c r="F3660" s="7" t="n"/>
      <c r="G3660" s="7" t="n"/>
      <c r="H3660" s="7" t="n"/>
      <c r="I3660" s="7" t="n"/>
      <c r="J3660" s="7" t="n"/>
      <c r="K3660">
        <f>IF(D3660="Legitimate Interest (GDPR Art. 6(1)(f))", "Yes / Required (Sheet 3)", "")</f>
        <v/>
      </c>
      <c r="L3660" s="7" t="n"/>
      <c r="M3660" s="7" t="n"/>
      <c r="N3660">
        <f>IF(D3660="", "Gap - No Legal Basis", IF(AND(D3660="Consent (GDPR Art. 6(1)(a))", I3660="Not Captured"), "Gap - Invalid Consent", IF(AND(D3660="Legitimate Interest (GDPR Art. 6(1)(f))", L3660=""), "Gap - Missing LIA", IF(AND(G3660="Yes", H3660=""), "Gap - Missing Art. 9 Basis", IF(OR(I3660="Invalid - Not Freely Given", I3660="Invalid - Not Specific", I3660="Invalid - Not Informed", I3660="Invalid - Ambiguous"), "Gap - Invalid Consent", "Compliant")))))</f>
        <v/>
      </c>
      <c r="O3660" s="7" t="n"/>
    </row>
    <row r="3661">
      <c r="A3661" s="7" t="n"/>
      <c r="B3661" s="7" t="n"/>
      <c r="C3661" s="7" t="n"/>
      <c r="D3661" s="7" t="n"/>
      <c r="E3661" s="7" t="n"/>
      <c r="F3661" s="7" t="n"/>
      <c r="G3661" s="7" t="n"/>
      <c r="H3661" s="7" t="n"/>
      <c r="I3661" s="7" t="n"/>
      <c r="J3661" s="7" t="n"/>
      <c r="K3661">
        <f>IF(D3661="Legitimate Interest (GDPR Art. 6(1)(f))", "Yes / Required (Sheet 3)", "")</f>
        <v/>
      </c>
      <c r="L3661" s="7" t="n"/>
      <c r="M3661" s="7" t="n"/>
      <c r="N3661">
        <f>IF(D3661="", "Gap - No Legal Basis", IF(AND(D3661="Consent (GDPR Art. 6(1)(a))", I3661="Not Captured"), "Gap - Invalid Consent", IF(AND(D3661="Legitimate Interest (GDPR Art. 6(1)(f))", L3661=""), "Gap - Missing LIA", IF(AND(G3661="Yes", H3661=""), "Gap - Missing Art. 9 Basis", IF(OR(I3661="Invalid - Not Freely Given", I3661="Invalid - Not Specific", I3661="Invalid - Not Informed", I3661="Invalid - Ambiguous"), "Gap - Invalid Consent", "Compliant")))))</f>
        <v/>
      </c>
      <c r="O3661" s="7" t="n"/>
    </row>
    <row r="3662">
      <c r="A3662" s="7" t="n"/>
      <c r="B3662" s="7" t="n"/>
      <c r="C3662" s="7" t="n"/>
      <c r="D3662" s="7" t="n"/>
      <c r="E3662" s="7" t="n"/>
      <c r="F3662" s="7" t="n"/>
      <c r="G3662" s="7" t="n"/>
      <c r="H3662" s="7" t="n"/>
      <c r="I3662" s="7" t="n"/>
      <c r="J3662" s="7" t="n"/>
      <c r="K3662">
        <f>IF(D3662="Legitimate Interest (GDPR Art. 6(1)(f))", "Yes / Required (Sheet 3)", "")</f>
        <v/>
      </c>
      <c r="L3662" s="7" t="n"/>
      <c r="M3662" s="7" t="n"/>
      <c r="N3662">
        <f>IF(D3662="", "Gap - No Legal Basis", IF(AND(D3662="Consent (GDPR Art. 6(1)(a))", I3662="Not Captured"), "Gap - Invalid Consent", IF(AND(D3662="Legitimate Interest (GDPR Art. 6(1)(f))", L3662=""), "Gap - Missing LIA", IF(AND(G3662="Yes", H3662=""), "Gap - Missing Art. 9 Basis", IF(OR(I3662="Invalid - Not Freely Given", I3662="Invalid - Not Specific", I3662="Invalid - Not Informed", I3662="Invalid - Ambiguous"), "Gap - Invalid Consent", "Compliant")))))</f>
        <v/>
      </c>
      <c r="O3662" s="7" t="n"/>
    </row>
    <row r="3663">
      <c r="A3663" s="7" t="n"/>
      <c r="B3663" s="7" t="n"/>
      <c r="C3663" s="7" t="n"/>
      <c r="D3663" s="7" t="n"/>
      <c r="E3663" s="7" t="n"/>
      <c r="F3663" s="7" t="n"/>
      <c r="G3663" s="7" t="n"/>
      <c r="H3663" s="7" t="n"/>
      <c r="I3663" s="7" t="n"/>
      <c r="J3663" s="7" t="n"/>
      <c r="K3663">
        <f>IF(D3663="Legitimate Interest (GDPR Art. 6(1)(f))", "Yes / Required (Sheet 3)", "")</f>
        <v/>
      </c>
      <c r="L3663" s="7" t="n"/>
      <c r="M3663" s="7" t="n"/>
      <c r="N3663">
        <f>IF(D3663="", "Gap - No Legal Basis", IF(AND(D3663="Consent (GDPR Art. 6(1)(a))", I3663="Not Captured"), "Gap - Invalid Consent", IF(AND(D3663="Legitimate Interest (GDPR Art. 6(1)(f))", L3663=""), "Gap - Missing LIA", IF(AND(G3663="Yes", H3663=""), "Gap - Missing Art. 9 Basis", IF(OR(I3663="Invalid - Not Freely Given", I3663="Invalid - Not Specific", I3663="Invalid - Not Informed", I3663="Invalid - Ambiguous"), "Gap - Invalid Consent", "Compliant")))))</f>
        <v/>
      </c>
      <c r="O3663" s="7" t="n"/>
    </row>
    <row r="3664">
      <c r="A3664" s="7" t="n"/>
      <c r="B3664" s="7" t="n"/>
      <c r="C3664" s="7" t="n"/>
      <c r="D3664" s="7" t="n"/>
      <c r="E3664" s="7" t="n"/>
      <c r="F3664" s="7" t="n"/>
      <c r="G3664" s="7" t="n"/>
      <c r="H3664" s="7" t="n"/>
      <c r="I3664" s="7" t="n"/>
      <c r="J3664" s="7" t="n"/>
      <c r="K3664">
        <f>IF(D3664="Legitimate Interest (GDPR Art. 6(1)(f))", "Yes / Required (Sheet 3)", "")</f>
        <v/>
      </c>
      <c r="L3664" s="7" t="n"/>
      <c r="M3664" s="7" t="n"/>
      <c r="N3664">
        <f>IF(D3664="", "Gap - No Legal Basis", IF(AND(D3664="Consent (GDPR Art. 6(1)(a))", I3664="Not Captured"), "Gap - Invalid Consent", IF(AND(D3664="Legitimate Interest (GDPR Art. 6(1)(f))", L3664=""), "Gap - Missing LIA", IF(AND(G3664="Yes", H3664=""), "Gap - Missing Art. 9 Basis", IF(OR(I3664="Invalid - Not Freely Given", I3664="Invalid - Not Specific", I3664="Invalid - Not Informed", I3664="Invalid - Ambiguous"), "Gap - Invalid Consent", "Compliant")))))</f>
        <v/>
      </c>
      <c r="O3664" s="7" t="n"/>
    </row>
    <row r="3665">
      <c r="A3665" s="7" t="n"/>
      <c r="B3665" s="7" t="n"/>
      <c r="C3665" s="7" t="n"/>
      <c r="D3665" s="7" t="n"/>
      <c r="E3665" s="7" t="n"/>
      <c r="F3665" s="7" t="n"/>
      <c r="G3665" s="7" t="n"/>
      <c r="H3665" s="7" t="n"/>
      <c r="I3665" s="7" t="n"/>
      <c r="J3665" s="7" t="n"/>
      <c r="K3665">
        <f>IF(D3665="Legitimate Interest (GDPR Art. 6(1)(f))", "Yes / Required (Sheet 3)", "")</f>
        <v/>
      </c>
      <c r="L3665" s="7" t="n"/>
      <c r="M3665" s="7" t="n"/>
      <c r="N3665">
        <f>IF(D3665="", "Gap - No Legal Basis", IF(AND(D3665="Consent (GDPR Art. 6(1)(a))", I3665="Not Captured"), "Gap - Invalid Consent", IF(AND(D3665="Legitimate Interest (GDPR Art. 6(1)(f))", L3665=""), "Gap - Missing LIA", IF(AND(G3665="Yes", H3665=""), "Gap - Missing Art. 9 Basis", IF(OR(I3665="Invalid - Not Freely Given", I3665="Invalid - Not Specific", I3665="Invalid - Not Informed", I3665="Invalid - Ambiguous"), "Gap - Invalid Consent", "Compliant")))))</f>
        <v/>
      </c>
      <c r="O3665" s="7" t="n"/>
    </row>
    <row r="3666">
      <c r="A3666" s="7" t="n"/>
      <c r="B3666" s="7" t="n"/>
      <c r="C3666" s="7" t="n"/>
      <c r="D3666" s="7" t="n"/>
      <c r="E3666" s="7" t="n"/>
      <c r="F3666" s="7" t="n"/>
      <c r="G3666" s="7" t="n"/>
      <c r="H3666" s="7" t="n"/>
      <c r="I3666" s="7" t="n"/>
      <c r="J3666" s="7" t="n"/>
      <c r="K3666">
        <f>IF(D3666="Legitimate Interest (GDPR Art. 6(1)(f))", "Yes / Required (Sheet 3)", "")</f>
        <v/>
      </c>
      <c r="L3666" s="7" t="n"/>
      <c r="M3666" s="7" t="n"/>
      <c r="N3666">
        <f>IF(D3666="", "Gap - No Legal Basis", IF(AND(D3666="Consent (GDPR Art. 6(1)(a))", I3666="Not Captured"), "Gap - Invalid Consent", IF(AND(D3666="Legitimate Interest (GDPR Art. 6(1)(f))", L3666=""), "Gap - Missing LIA", IF(AND(G3666="Yes", H3666=""), "Gap - Missing Art. 9 Basis", IF(OR(I3666="Invalid - Not Freely Given", I3666="Invalid - Not Specific", I3666="Invalid - Not Informed", I3666="Invalid - Ambiguous"), "Gap - Invalid Consent", "Compliant")))))</f>
        <v/>
      </c>
      <c r="O3666" s="7" t="n"/>
    </row>
    <row r="3667">
      <c r="A3667" s="7" t="n"/>
      <c r="B3667" s="7" t="n"/>
      <c r="C3667" s="7" t="n"/>
      <c r="D3667" s="7" t="n"/>
      <c r="E3667" s="7" t="n"/>
      <c r="F3667" s="7" t="n"/>
      <c r="G3667" s="7" t="n"/>
      <c r="H3667" s="7" t="n"/>
      <c r="I3667" s="7" t="n"/>
      <c r="J3667" s="7" t="n"/>
      <c r="K3667">
        <f>IF(D3667="Legitimate Interest (GDPR Art. 6(1)(f))", "Yes / Required (Sheet 3)", "")</f>
        <v/>
      </c>
      <c r="L3667" s="7" t="n"/>
      <c r="M3667" s="7" t="n"/>
      <c r="N3667">
        <f>IF(D3667="", "Gap - No Legal Basis", IF(AND(D3667="Consent (GDPR Art. 6(1)(a))", I3667="Not Captured"), "Gap - Invalid Consent", IF(AND(D3667="Legitimate Interest (GDPR Art. 6(1)(f))", L3667=""), "Gap - Missing LIA", IF(AND(G3667="Yes", H3667=""), "Gap - Missing Art. 9 Basis", IF(OR(I3667="Invalid - Not Freely Given", I3667="Invalid - Not Specific", I3667="Invalid - Not Informed", I3667="Invalid - Ambiguous"), "Gap - Invalid Consent", "Compliant")))))</f>
        <v/>
      </c>
      <c r="O3667" s="7" t="n"/>
    </row>
    <row r="3668">
      <c r="A3668" s="7" t="n"/>
      <c r="B3668" s="7" t="n"/>
      <c r="C3668" s="7" t="n"/>
      <c r="D3668" s="7" t="n"/>
      <c r="E3668" s="7" t="n"/>
      <c r="F3668" s="7" t="n"/>
      <c r="G3668" s="7" t="n"/>
      <c r="H3668" s="7" t="n"/>
      <c r="I3668" s="7" t="n"/>
      <c r="J3668" s="7" t="n"/>
      <c r="K3668">
        <f>IF(D3668="Legitimate Interest (GDPR Art. 6(1)(f))", "Yes / Required (Sheet 3)", "")</f>
        <v/>
      </c>
      <c r="L3668" s="7" t="n"/>
      <c r="M3668" s="7" t="n"/>
      <c r="N3668">
        <f>IF(D3668="", "Gap - No Legal Basis", IF(AND(D3668="Consent (GDPR Art. 6(1)(a))", I3668="Not Captured"), "Gap - Invalid Consent", IF(AND(D3668="Legitimate Interest (GDPR Art. 6(1)(f))", L3668=""), "Gap - Missing LIA", IF(AND(G3668="Yes", H3668=""), "Gap - Missing Art. 9 Basis", IF(OR(I3668="Invalid - Not Freely Given", I3668="Invalid - Not Specific", I3668="Invalid - Not Informed", I3668="Invalid - Ambiguous"), "Gap - Invalid Consent", "Compliant")))))</f>
        <v/>
      </c>
      <c r="O3668" s="7" t="n"/>
    </row>
    <row r="3669">
      <c r="A3669" s="7" t="n"/>
      <c r="B3669" s="7" t="n"/>
      <c r="C3669" s="7" t="n"/>
      <c r="D3669" s="7" t="n"/>
      <c r="E3669" s="7" t="n"/>
      <c r="F3669" s="7" t="n"/>
      <c r="G3669" s="7" t="n"/>
      <c r="H3669" s="7" t="n"/>
      <c r="I3669" s="7" t="n"/>
      <c r="J3669" s="7" t="n"/>
      <c r="K3669">
        <f>IF(D3669="Legitimate Interest (GDPR Art. 6(1)(f))", "Yes / Required (Sheet 3)", "")</f>
        <v/>
      </c>
      <c r="L3669" s="7" t="n"/>
      <c r="M3669" s="7" t="n"/>
      <c r="N3669">
        <f>IF(D3669="", "Gap - No Legal Basis", IF(AND(D3669="Consent (GDPR Art. 6(1)(a))", I3669="Not Captured"), "Gap - Invalid Consent", IF(AND(D3669="Legitimate Interest (GDPR Art. 6(1)(f))", L3669=""), "Gap - Missing LIA", IF(AND(G3669="Yes", H3669=""), "Gap - Missing Art. 9 Basis", IF(OR(I3669="Invalid - Not Freely Given", I3669="Invalid - Not Specific", I3669="Invalid - Not Informed", I3669="Invalid - Ambiguous"), "Gap - Invalid Consent", "Compliant")))))</f>
        <v/>
      </c>
      <c r="O3669" s="7" t="n"/>
    </row>
    <row r="3670">
      <c r="A3670" s="7" t="n"/>
      <c r="B3670" s="7" t="n"/>
      <c r="C3670" s="7" t="n"/>
      <c r="D3670" s="7" t="n"/>
      <c r="E3670" s="7" t="n"/>
      <c r="F3670" s="7" t="n"/>
      <c r="G3670" s="7" t="n"/>
      <c r="H3670" s="7" t="n"/>
      <c r="I3670" s="7" t="n"/>
      <c r="J3670" s="7" t="n"/>
      <c r="K3670">
        <f>IF(D3670="Legitimate Interest (GDPR Art. 6(1)(f))", "Yes / Required (Sheet 3)", "")</f>
        <v/>
      </c>
      <c r="L3670" s="7" t="n"/>
      <c r="M3670" s="7" t="n"/>
      <c r="N3670">
        <f>IF(D3670="", "Gap - No Legal Basis", IF(AND(D3670="Consent (GDPR Art. 6(1)(a))", I3670="Not Captured"), "Gap - Invalid Consent", IF(AND(D3670="Legitimate Interest (GDPR Art. 6(1)(f))", L3670=""), "Gap - Missing LIA", IF(AND(G3670="Yes", H3670=""), "Gap - Missing Art. 9 Basis", IF(OR(I3670="Invalid - Not Freely Given", I3670="Invalid - Not Specific", I3670="Invalid - Not Informed", I3670="Invalid - Ambiguous"), "Gap - Invalid Consent", "Compliant")))))</f>
        <v/>
      </c>
      <c r="O3670" s="7" t="n"/>
    </row>
    <row r="3671">
      <c r="A3671" s="7" t="n"/>
      <c r="B3671" s="7" t="n"/>
      <c r="C3671" s="7" t="n"/>
      <c r="D3671" s="7" t="n"/>
      <c r="E3671" s="7" t="n"/>
      <c r="F3671" s="7" t="n"/>
      <c r="G3671" s="7" t="n"/>
      <c r="H3671" s="7" t="n"/>
      <c r="I3671" s="7" t="n"/>
      <c r="J3671" s="7" t="n"/>
      <c r="K3671">
        <f>IF(D3671="Legitimate Interest (GDPR Art. 6(1)(f))", "Yes / Required (Sheet 3)", "")</f>
        <v/>
      </c>
      <c r="L3671" s="7" t="n"/>
      <c r="M3671" s="7" t="n"/>
      <c r="N3671">
        <f>IF(D3671="", "Gap - No Legal Basis", IF(AND(D3671="Consent (GDPR Art. 6(1)(a))", I3671="Not Captured"), "Gap - Invalid Consent", IF(AND(D3671="Legitimate Interest (GDPR Art. 6(1)(f))", L3671=""), "Gap - Missing LIA", IF(AND(G3671="Yes", H3671=""), "Gap - Missing Art. 9 Basis", IF(OR(I3671="Invalid - Not Freely Given", I3671="Invalid - Not Specific", I3671="Invalid - Not Informed", I3671="Invalid - Ambiguous"), "Gap - Invalid Consent", "Compliant")))))</f>
        <v/>
      </c>
      <c r="O3671" s="7" t="n"/>
    </row>
    <row r="3672">
      <c r="A3672" s="7" t="n"/>
      <c r="B3672" s="7" t="n"/>
      <c r="C3672" s="7" t="n"/>
      <c r="D3672" s="7" t="n"/>
      <c r="E3672" s="7" t="n"/>
      <c r="F3672" s="7" t="n"/>
      <c r="G3672" s="7" t="n"/>
      <c r="H3672" s="7" t="n"/>
      <c r="I3672" s="7" t="n"/>
      <c r="J3672" s="7" t="n"/>
      <c r="K3672">
        <f>IF(D3672="Legitimate Interest (GDPR Art. 6(1)(f))", "Yes / Required (Sheet 3)", "")</f>
        <v/>
      </c>
      <c r="L3672" s="7" t="n"/>
      <c r="M3672" s="7" t="n"/>
      <c r="N3672">
        <f>IF(D3672="", "Gap - No Legal Basis", IF(AND(D3672="Consent (GDPR Art. 6(1)(a))", I3672="Not Captured"), "Gap - Invalid Consent", IF(AND(D3672="Legitimate Interest (GDPR Art. 6(1)(f))", L3672=""), "Gap - Missing LIA", IF(AND(G3672="Yes", H3672=""), "Gap - Missing Art. 9 Basis", IF(OR(I3672="Invalid - Not Freely Given", I3672="Invalid - Not Specific", I3672="Invalid - Not Informed", I3672="Invalid - Ambiguous"), "Gap - Invalid Consent", "Compliant")))))</f>
        <v/>
      </c>
      <c r="O3672" s="7" t="n"/>
    </row>
    <row r="3673">
      <c r="A3673" s="7" t="n"/>
      <c r="B3673" s="7" t="n"/>
      <c r="C3673" s="7" t="n"/>
      <c r="D3673" s="7" t="n"/>
      <c r="E3673" s="7" t="n"/>
      <c r="F3673" s="7" t="n"/>
      <c r="G3673" s="7" t="n"/>
      <c r="H3673" s="7" t="n"/>
      <c r="I3673" s="7" t="n"/>
      <c r="J3673" s="7" t="n"/>
      <c r="K3673">
        <f>IF(D3673="Legitimate Interest (GDPR Art. 6(1)(f))", "Yes / Required (Sheet 3)", "")</f>
        <v/>
      </c>
      <c r="L3673" s="7" t="n"/>
      <c r="M3673" s="7" t="n"/>
      <c r="N3673">
        <f>IF(D3673="", "Gap - No Legal Basis", IF(AND(D3673="Consent (GDPR Art. 6(1)(a))", I3673="Not Captured"), "Gap - Invalid Consent", IF(AND(D3673="Legitimate Interest (GDPR Art. 6(1)(f))", L3673=""), "Gap - Missing LIA", IF(AND(G3673="Yes", H3673=""), "Gap - Missing Art. 9 Basis", IF(OR(I3673="Invalid - Not Freely Given", I3673="Invalid - Not Specific", I3673="Invalid - Not Informed", I3673="Invalid - Ambiguous"), "Gap - Invalid Consent", "Compliant")))))</f>
        <v/>
      </c>
      <c r="O3673" s="7" t="n"/>
    </row>
    <row r="3674">
      <c r="A3674" s="7" t="n"/>
      <c r="B3674" s="7" t="n"/>
      <c r="C3674" s="7" t="n"/>
      <c r="D3674" s="7" t="n"/>
      <c r="E3674" s="7" t="n"/>
      <c r="F3674" s="7" t="n"/>
      <c r="G3674" s="7" t="n"/>
      <c r="H3674" s="7" t="n"/>
      <c r="I3674" s="7" t="n"/>
      <c r="J3674" s="7" t="n"/>
      <c r="K3674">
        <f>IF(D3674="Legitimate Interest (GDPR Art. 6(1)(f))", "Yes / Required (Sheet 3)", "")</f>
        <v/>
      </c>
      <c r="L3674" s="7" t="n"/>
      <c r="M3674" s="7" t="n"/>
      <c r="N3674">
        <f>IF(D3674="", "Gap - No Legal Basis", IF(AND(D3674="Consent (GDPR Art. 6(1)(a))", I3674="Not Captured"), "Gap - Invalid Consent", IF(AND(D3674="Legitimate Interest (GDPR Art. 6(1)(f))", L3674=""), "Gap - Missing LIA", IF(AND(G3674="Yes", H3674=""), "Gap - Missing Art. 9 Basis", IF(OR(I3674="Invalid - Not Freely Given", I3674="Invalid - Not Specific", I3674="Invalid - Not Informed", I3674="Invalid - Ambiguous"), "Gap - Invalid Consent", "Compliant")))))</f>
        <v/>
      </c>
      <c r="O3674" s="7" t="n"/>
    </row>
    <row r="3675">
      <c r="A3675" s="7" t="n"/>
      <c r="B3675" s="7" t="n"/>
      <c r="C3675" s="7" t="n"/>
      <c r="D3675" s="7" t="n"/>
      <c r="E3675" s="7" t="n"/>
      <c r="F3675" s="7" t="n"/>
      <c r="G3675" s="7" t="n"/>
      <c r="H3675" s="7" t="n"/>
      <c r="I3675" s="7" t="n"/>
      <c r="J3675" s="7" t="n"/>
      <c r="K3675">
        <f>IF(D3675="Legitimate Interest (GDPR Art. 6(1)(f))", "Yes / Required (Sheet 3)", "")</f>
        <v/>
      </c>
      <c r="L3675" s="7" t="n"/>
      <c r="M3675" s="7" t="n"/>
      <c r="N3675">
        <f>IF(D3675="", "Gap - No Legal Basis", IF(AND(D3675="Consent (GDPR Art. 6(1)(a))", I3675="Not Captured"), "Gap - Invalid Consent", IF(AND(D3675="Legitimate Interest (GDPR Art. 6(1)(f))", L3675=""), "Gap - Missing LIA", IF(AND(G3675="Yes", H3675=""), "Gap - Missing Art. 9 Basis", IF(OR(I3675="Invalid - Not Freely Given", I3675="Invalid - Not Specific", I3675="Invalid - Not Informed", I3675="Invalid - Ambiguous"), "Gap - Invalid Consent", "Compliant")))))</f>
        <v/>
      </c>
      <c r="O3675" s="7" t="n"/>
    </row>
    <row r="3676">
      <c r="A3676" s="7" t="n"/>
      <c r="B3676" s="7" t="n"/>
      <c r="C3676" s="7" t="n"/>
      <c r="D3676" s="7" t="n"/>
      <c r="E3676" s="7" t="n"/>
      <c r="F3676" s="7" t="n"/>
      <c r="G3676" s="7" t="n"/>
      <c r="H3676" s="7" t="n"/>
      <c r="I3676" s="7" t="n"/>
      <c r="J3676" s="7" t="n"/>
      <c r="K3676">
        <f>IF(D3676="Legitimate Interest (GDPR Art. 6(1)(f))", "Yes / Required (Sheet 3)", "")</f>
        <v/>
      </c>
      <c r="L3676" s="7" t="n"/>
      <c r="M3676" s="7" t="n"/>
      <c r="N3676">
        <f>IF(D3676="", "Gap - No Legal Basis", IF(AND(D3676="Consent (GDPR Art. 6(1)(a))", I3676="Not Captured"), "Gap - Invalid Consent", IF(AND(D3676="Legitimate Interest (GDPR Art. 6(1)(f))", L3676=""), "Gap - Missing LIA", IF(AND(G3676="Yes", H3676=""), "Gap - Missing Art. 9 Basis", IF(OR(I3676="Invalid - Not Freely Given", I3676="Invalid - Not Specific", I3676="Invalid - Not Informed", I3676="Invalid - Ambiguous"), "Gap - Invalid Consent", "Compliant")))))</f>
        <v/>
      </c>
      <c r="O3676" s="7" t="n"/>
    </row>
    <row r="3677">
      <c r="A3677" s="7" t="n"/>
      <c r="B3677" s="7" t="n"/>
      <c r="C3677" s="7" t="n"/>
      <c r="D3677" s="7" t="n"/>
      <c r="E3677" s="7" t="n"/>
      <c r="F3677" s="7" t="n"/>
      <c r="G3677" s="7" t="n"/>
      <c r="H3677" s="7" t="n"/>
      <c r="I3677" s="7" t="n"/>
      <c r="J3677" s="7" t="n"/>
      <c r="K3677">
        <f>IF(D3677="Legitimate Interest (GDPR Art. 6(1)(f))", "Yes / Required (Sheet 3)", "")</f>
        <v/>
      </c>
      <c r="L3677" s="7" t="n"/>
      <c r="M3677" s="7" t="n"/>
      <c r="N3677">
        <f>IF(D3677="", "Gap - No Legal Basis", IF(AND(D3677="Consent (GDPR Art. 6(1)(a))", I3677="Not Captured"), "Gap - Invalid Consent", IF(AND(D3677="Legitimate Interest (GDPR Art. 6(1)(f))", L3677=""), "Gap - Missing LIA", IF(AND(G3677="Yes", H3677=""), "Gap - Missing Art. 9 Basis", IF(OR(I3677="Invalid - Not Freely Given", I3677="Invalid - Not Specific", I3677="Invalid - Not Informed", I3677="Invalid - Ambiguous"), "Gap - Invalid Consent", "Compliant")))))</f>
        <v/>
      </c>
      <c r="O3677" s="7" t="n"/>
    </row>
    <row r="3678">
      <c r="A3678" s="7" t="n"/>
      <c r="B3678" s="7" t="n"/>
      <c r="C3678" s="7" t="n"/>
      <c r="D3678" s="7" t="n"/>
      <c r="E3678" s="7" t="n"/>
      <c r="F3678" s="7" t="n"/>
      <c r="G3678" s="7" t="n"/>
      <c r="H3678" s="7" t="n"/>
      <c r="I3678" s="7" t="n"/>
      <c r="J3678" s="7" t="n"/>
      <c r="K3678">
        <f>IF(D3678="Legitimate Interest (GDPR Art. 6(1)(f))", "Yes / Required (Sheet 3)", "")</f>
        <v/>
      </c>
      <c r="L3678" s="7" t="n"/>
      <c r="M3678" s="7" t="n"/>
      <c r="N3678">
        <f>IF(D3678="", "Gap - No Legal Basis", IF(AND(D3678="Consent (GDPR Art. 6(1)(a))", I3678="Not Captured"), "Gap - Invalid Consent", IF(AND(D3678="Legitimate Interest (GDPR Art. 6(1)(f))", L3678=""), "Gap - Missing LIA", IF(AND(G3678="Yes", H3678=""), "Gap - Missing Art. 9 Basis", IF(OR(I3678="Invalid - Not Freely Given", I3678="Invalid - Not Specific", I3678="Invalid - Not Informed", I3678="Invalid - Ambiguous"), "Gap - Invalid Consent", "Compliant")))))</f>
        <v/>
      </c>
      <c r="O3678" s="7" t="n"/>
    </row>
    <row r="3679">
      <c r="A3679" s="7" t="n"/>
      <c r="B3679" s="7" t="n"/>
      <c r="C3679" s="7" t="n"/>
      <c r="D3679" s="7" t="n"/>
      <c r="E3679" s="7" t="n"/>
      <c r="F3679" s="7" t="n"/>
      <c r="G3679" s="7" t="n"/>
      <c r="H3679" s="7" t="n"/>
      <c r="I3679" s="7" t="n"/>
      <c r="J3679" s="7" t="n"/>
      <c r="K3679">
        <f>IF(D3679="Legitimate Interest (GDPR Art. 6(1)(f))", "Yes / Required (Sheet 3)", "")</f>
        <v/>
      </c>
      <c r="L3679" s="7" t="n"/>
      <c r="M3679" s="7" t="n"/>
      <c r="N3679">
        <f>IF(D3679="", "Gap - No Legal Basis", IF(AND(D3679="Consent (GDPR Art. 6(1)(a))", I3679="Not Captured"), "Gap - Invalid Consent", IF(AND(D3679="Legitimate Interest (GDPR Art. 6(1)(f))", L3679=""), "Gap - Missing LIA", IF(AND(G3679="Yes", H3679=""), "Gap - Missing Art. 9 Basis", IF(OR(I3679="Invalid - Not Freely Given", I3679="Invalid - Not Specific", I3679="Invalid - Not Informed", I3679="Invalid - Ambiguous"), "Gap - Invalid Consent", "Compliant")))))</f>
        <v/>
      </c>
      <c r="O3679" s="7" t="n"/>
    </row>
    <row r="3680">
      <c r="A3680" s="7" t="n"/>
      <c r="B3680" s="7" t="n"/>
      <c r="C3680" s="7" t="n"/>
      <c r="D3680" s="7" t="n"/>
      <c r="E3680" s="7" t="n"/>
      <c r="F3680" s="7" t="n"/>
      <c r="G3680" s="7" t="n"/>
      <c r="H3680" s="7" t="n"/>
      <c r="I3680" s="7" t="n"/>
      <c r="J3680" s="7" t="n"/>
      <c r="K3680">
        <f>IF(D3680="Legitimate Interest (GDPR Art. 6(1)(f))", "Yes / Required (Sheet 3)", "")</f>
        <v/>
      </c>
      <c r="L3680" s="7" t="n"/>
      <c r="M3680" s="7" t="n"/>
      <c r="N3680">
        <f>IF(D3680="", "Gap - No Legal Basis", IF(AND(D3680="Consent (GDPR Art. 6(1)(a))", I3680="Not Captured"), "Gap - Invalid Consent", IF(AND(D3680="Legitimate Interest (GDPR Art. 6(1)(f))", L3680=""), "Gap - Missing LIA", IF(AND(G3680="Yes", H3680=""), "Gap - Missing Art. 9 Basis", IF(OR(I3680="Invalid - Not Freely Given", I3680="Invalid - Not Specific", I3680="Invalid - Not Informed", I3680="Invalid - Ambiguous"), "Gap - Invalid Consent", "Compliant")))))</f>
        <v/>
      </c>
      <c r="O3680" s="7" t="n"/>
    </row>
    <row r="3681">
      <c r="A3681" s="7" t="n"/>
      <c r="B3681" s="7" t="n"/>
      <c r="C3681" s="7" t="n"/>
      <c r="D3681" s="7" t="n"/>
      <c r="E3681" s="7" t="n"/>
      <c r="F3681" s="7" t="n"/>
      <c r="G3681" s="7" t="n"/>
      <c r="H3681" s="7" t="n"/>
      <c r="I3681" s="7" t="n"/>
      <c r="J3681" s="7" t="n"/>
      <c r="K3681">
        <f>IF(D3681="Legitimate Interest (GDPR Art. 6(1)(f))", "Yes / Required (Sheet 3)", "")</f>
        <v/>
      </c>
      <c r="L3681" s="7" t="n"/>
      <c r="M3681" s="7" t="n"/>
      <c r="N3681">
        <f>IF(D3681="", "Gap - No Legal Basis", IF(AND(D3681="Consent (GDPR Art. 6(1)(a))", I3681="Not Captured"), "Gap - Invalid Consent", IF(AND(D3681="Legitimate Interest (GDPR Art. 6(1)(f))", L3681=""), "Gap - Missing LIA", IF(AND(G3681="Yes", H3681=""), "Gap - Missing Art. 9 Basis", IF(OR(I3681="Invalid - Not Freely Given", I3681="Invalid - Not Specific", I3681="Invalid - Not Informed", I3681="Invalid - Ambiguous"), "Gap - Invalid Consent", "Compliant")))))</f>
        <v/>
      </c>
      <c r="O3681" s="7" t="n"/>
    </row>
    <row r="3682">
      <c r="A3682" s="7" t="n"/>
      <c r="B3682" s="7" t="n"/>
      <c r="C3682" s="7" t="n"/>
      <c r="D3682" s="7" t="n"/>
      <c r="E3682" s="7" t="n"/>
      <c r="F3682" s="7" t="n"/>
      <c r="G3682" s="7" t="n"/>
      <c r="H3682" s="7" t="n"/>
      <c r="I3682" s="7" t="n"/>
      <c r="J3682" s="7" t="n"/>
      <c r="K3682">
        <f>IF(D3682="Legitimate Interest (GDPR Art. 6(1)(f))", "Yes / Required (Sheet 3)", "")</f>
        <v/>
      </c>
      <c r="L3682" s="7" t="n"/>
      <c r="M3682" s="7" t="n"/>
      <c r="N3682">
        <f>IF(D3682="", "Gap - No Legal Basis", IF(AND(D3682="Consent (GDPR Art. 6(1)(a))", I3682="Not Captured"), "Gap - Invalid Consent", IF(AND(D3682="Legitimate Interest (GDPR Art. 6(1)(f))", L3682=""), "Gap - Missing LIA", IF(AND(G3682="Yes", H3682=""), "Gap - Missing Art. 9 Basis", IF(OR(I3682="Invalid - Not Freely Given", I3682="Invalid - Not Specific", I3682="Invalid - Not Informed", I3682="Invalid - Ambiguous"), "Gap - Invalid Consent", "Compliant")))))</f>
        <v/>
      </c>
      <c r="O3682" s="7" t="n"/>
    </row>
    <row r="3683">
      <c r="A3683" s="7" t="n"/>
      <c r="B3683" s="7" t="n"/>
      <c r="C3683" s="7" t="n"/>
      <c r="D3683" s="7" t="n"/>
      <c r="E3683" s="7" t="n"/>
      <c r="F3683" s="7" t="n"/>
      <c r="G3683" s="7" t="n"/>
      <c r="H3683" s="7" t="n"/>
      <c r="I3683" s="7" t="n"/>
      <c r="J3683" s="7" t="n"/>
      <c r="K3683">
        <f>IF(D3683="Legitimate Interest (GDPR Art. 6(1)(f))", "Yes / Required (Sheet 3)", "")</f>
        <v/>
      </c>
      <c r="L3683" s="7" t="n"/>
      <c r="M3683" s="7" t="n"/>
      <c r="N3683">
        <f>IF(D3683="", "Gap - No Legal Basis", IF(AND(D3683="Consent (GDPR Art. 6(1)(a))", I3683="Not Captured"), "Gap - Invalid Consent", IF(AND(D3683="Legitimate Interest (GDPR Art. 6(1)(f))", L3683=""), "Gap - Missing LIA", IF(AND(G3683="Yes", H3683=""), "Gap - Missing Art. 9 Basis", IF(OR(I3683="Invalid - Not Freely Given", I3683="Invalid - Not Specific", I3683="Invalid - Not Informed", I3683="Invalid - Ambiguous"), "Gap - Invalid Consent", "Compliant")))))</f>
        <v/>
      </c>
      <c r="O3683" s="7" t="n"/>
    </row>
    <row r="3684">
      <c r="A3684" s="7" t="n"/>
      <c r="B3684" s="7" t="n"/>
      <c r="C3684" s="7" t="n"/>
      <c r="D3684" s="7" t="n"/>
      <c r="E3684" s="7" t="n"/>
      <c r="F3684" s="7" t="n"/>
      <c r="G3684" s="7" t="n"/>
      <c r="H3684" s="7" t="n"/>
      <c r="I3684" s="7" t="n"/>
      <c r="J3684" s="7" t="n"/>
      <c r="K3684">
        <f>IF(D3684="Legitimate Interest (GDPR Art. 6(1)(f))", "Yes / Required (Sheet 3)", "")</f>
        <v/>
      </c>
      <c r="L3684" s="7" t="n"/>
      <c r="M3684" s="7" t="n"/>
      <c r="N3684">
        <f>IF(D3684="", "Gap - No Legal Basis", IF(AND(D3684="Consent (GDPR Art. 6(1)(a))", I3684="Not Captured"), "Gap - Invalid Consent", IF(AND(D3684="Legitimate Interest (GDPR Art. 6(1)(f))", L3684=""), "Gap - Missing LIA", IF(AND(G3684="Yes", H3684=""), "Gap - Missing Art. 9 Basis", IF(OR(I3684="Invalid - Not Freely Given", I3684="Invalid - Not Specific", I3684="Invalid - Not Informed", I3684="Invalid - Ambiguous"), "Gap - Invalid Consent", "Compliant")))))</f>
        <v/>
      </c>
      <c r="O3684" s="7" t="n"/>
    </row>
    <row r="3685">
      <c r="A3685" s="7" t="n"/>
      <c r="B3685" s="7" t="n"/>
      <c r="C3685" s="7" t="n"/>
      <c r="D3685" s="7" t="n"/>
      <c r="E3685" s="7" t="n"/>
      <c r="F3685" s="7" t="n"/>
      <c r="G3685" s="7" t="n"/>
      <c r="H3685" s="7" t="n"/>
      <c r="I3685" s="7" t="n"/>
      <c r="J3685" s="7" t="n"/>
      <c r="K3685">
        <f>IF(D3685="Legitimate Interest (GDPR Art. 6(1)(f))", "Yes / Required (Sheet 3)", "")</f>
        <v/>
      </c>
      <c r="L3685" s="7" t="n"/>
      <c r="M3685" s="7" t="n"/>
      <c r="N3685">
        <f>IF(D3685="", "Gap - No Legal Basis", IF(AND(D3685="Consent (GDPR Art. 6(1)(a))", I3685="Not Captured"), "Gap - Invalid Consent", IF(AND(D3685="Legitimate Interest (GDPR Art. 6(1)(f))", L3685=""), "Gap - Missing LIA", IF(AND(G3685="Yes", H3685=""), "Gap - Missing Art. 9 Basis", IF(OR(I3685="Invalid - Not Freely Given", I3685="Invalid - Not Specific", I3685="Invalid - Not Informed", I3685="Invalid - Ambiguous"), "Gap - Invalid Consent", "Compliant")))))</f>
        <v/>
      </c>
      <c r="O3685" s="7" t="n"/>
    </row>
    <row r="3686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7" t="n"/>
      <c r="J3686" s="7" t="n"/>
      <c r="K3686">
        <f>IF(D3686="Legitimate Interest (GDPR Art. 6(1)(f))", "Yes / Required (Sheet 3)", "")</f>
        <v/>
      </c>
      <c r="L3686" s="7" t="n"/>
      <c r="M3686" s="7" t="n"/>
      <c r="N3686">
        <f>IF(D3686="", "Gap - No Legal Basis", IF(AND(D3686="Consent (GDPR Art. 6(1)(a))", I3686="Not Captured"), "Gap - Invalid Consent", IF(AND(D3686="Legitimate Interest (GDPR Art. 6(1)(f))", L3686=""), "Gap - Missing LIA", IF(AND(G3686="Yes", H3686=""), "Gap - Missing Art. 9 Basis", IF(OR(I3686="Invalid - Not Freely Given", I3686="Invalid - Not Specific", I3686="Invalid - Not Informed", I3686="Invalid - Ambiguous"), "Gap - Invalid Consent", "Compliant")))))</f>
        <v/>
      </c>
      <c r="O3686" s="7" t="n"/>
    </row>
    <row r="3687">
      <c r="A3687" s="7" t="n"/>
      <c r="B3687" s="7" t="n"/>
      <c r="C3687" s="7" t="n"/>
      <c r="D3687" s="7" t="n"/>
      <c r="E3687" s="7" t="n"/>
      <c r="F3687" s="7" t="n"/>
      <c r="G3687" s="7" t="n"/>
      <c r="H3687" s="7" t="n"/>
      <c r="I3687" s="7" t="n"/>
      <c r="J3687" s="7" t="n"/>
      <c r="K3687">
        <f>IF(D3687="Legitimate Interest (GDPR Art. 6(1)(f))", "Yes / Required (Sheet 3)", "")</f>
        <v/>
      </c>
      <c r="L3687" s="7" t="n"/>
      <c r="M3687" s="7" t="n"/>
      <c r="N3687">
        <f>IF(D3687="", "Gap - No Legal Basis", IF(AND(D3687="Consent (GDPR Art. 6(1)(a))", I3687="Not Captured"), "Gap - Invalid Consent", IF(AND(D3687="Legitimate Interest (GDPR Art. 6(1)(f))", L3687=""), "Gap - Missing LIA", IF(AND(G3687="Yes", H3687=""), "Gap - Missing Art. 9 Basis", IF(OR(I3687="Invalid - Not Freely Given", I3687="Invalid - Not Specific", I3687="Invalid - Not Informed", I3687="Invalid - Ambiguous"), "Gap - Invalid Consent", "Compliant")))))</f>
        <v/>
      </c>
      <c r="O3687" s="7" t="n"/>
    </row>
    <row r="3688">
      <c r="A3688" s="7" t="n"/>
      <c r="B3688" s="7" t="n"/>
      <c r="C3688" s="7" t="n"/>
      <c r="D3688" s="7" t="n"/>
      <c r="E3688" s="7" t="n"/>
      <c r="F3688" s="7" t="n"/>
      <c r="G3688" s="7" t="n"/>
      <c r="H3688" s="7" t="n"/>
      <c r="I3688" s="7" t="n"/>
      <c r="J3688" s="7" t="n"/>
      <c r="K3688">
        <f>IF(D3688="Legitimate Interest (GDPR Art. 6(1)(f))", "Yes / Required (Sheet 3)", "")</f>
        <v/>
      </c>
      <c r="L3688" s="7" t="n"/>
      <c r="M3688" s="7" t="n"/>
      <c r="N3688">
        <f>IF(D3688="", "Gap - No Legal Basis", IF(AND(D3688="Consent (GDPR Art. 6(1)(a))", I3688="Not Captured"), "Gap - Invalid Consent", IF(AND(D3688="Legitimate Interest (GDPR Art. 6(1)(f))", L3688=""), "Gap - Missing LIA", IF(AND(G3688="Yes", H3688=""), "Gap - Missing Art. 9 Basis", IF(OR(I3688="Invalid - Not Freely Given", I3688="Invalid - Not Specific", I3688="Invalid - Not Informed", I3688="Invalid - Ambiguous"), "Gap - Invalid Consent", "Compliant")))))</f>
        <v/>
      </c>
      <c r="O3688" s="7" t="n"/>
    </row>
    <row r="3689">
      <c r="A3689" s="7" t="n"/>
      <c r="B3689" s="7" t="n"/>
      <c r="C3689" s="7" t="n"/>
      <c r="D3689" s="7" t="n"/>
      <c r="E3689" s="7" t="n"/>
      <c r="F3689" s="7" t="n"/>
      <c r="G3689" s="7" t="n"/>
      <c r="H3689" s="7" t="n"/>
      <c r="I3689" s="7" t="n"/>
      <c r="J3689" s="7" t="n"/>
      <c r="K3689">
        <f>IF(D3689="Legitimate Interest (GDPR Art. 6(1)(f))", "Yes / Required (Sheet 3)", "")</f>
        <v/>
      </c>
      <c r="L3689" s="7" t="n"/>
      <c r="M3689" s="7" t="n"/>
      <c r="N3689">
        <f>IF(D3689="", "Gap - No Legal Basis", IF(AND(D3689="Consent (GDPR Art. 6(1)(a))", I3689="Not Captured"), "Gap - Invalid Consent", IF(AND(D3689="Legitimate Interest (GDPR Art. 6(1)(f))", L3689=""), "Gap - Missing LIA", IF(AND(G3689="Yes", H3689=""), "Gap - Missing Art. 9 Basis", IF(OR(I3689="Invalid - Not Freely Given", I3689="Invalid - Not Specific", I3689="Invalid - Not Informed", I3689="Invalid - Ambiguous"), "Gap - Invalid Consent", "Compliant")))))</f>
        <v/>
      </c>
      <c r="O3689" s="7" t="n"/>
    </row>
    <row r="3690">
      <c r="A3690" s="7" t="n"/>
      <c r="B3690" s="7" t="n"/>
      <c r="C3690" s="7" t="n"/>
      <c r="D3690" s="7" t="n"/>
      <c r="E3690" s="7" t="n"/>
      <c r="F3690" s="7" t="n"/>
      <c r="G3690" s="7" t="n"/>
      <c r="H3690" s="7" t="n"/>
      <c r="I3690" s="7" t="n"/>
      <c r="J3690" s="7" t="n"/>
      <c r="K3690">
        <f>IF(D3690="Legitimate Interest (GDPR Art. 6(1)(f))", "Yes / Required (Sheet 3)", "")</f>
        <v/>
      </c>
      <c r="L3690" s="7" t="n"/>
      <c r="M3690" s="7" t="n"/>
      <c r="N3690">
        <f>IF(D3690="", "Gap - No Legal Basis", IF(AND(D3690="Consent (GDPR Art. 6(1)(a))", I3690="Not Captured"), "Gap - Invalid Consent", IF(AND(D3690="Legitimate Interest (GDPR Art. 6(1)(f))", L3690=""), "Gap - Missing LIA", IF(AND(G3690="Yes", H3690=""), "Gap - Missing Art. 9 Basis", IF(OR(I3690="Invalid - Not Freely Given", I3690="Invalid - Not Specific", I3690="Invalid - Not Informed", I3690="Invalid - Ambiguous"), "Gap - Invalid Consent", "Compliant")))))</f>
        <v/>
      </c>
      <c r="O3690" s="7" t="n"/>
    </row>
    <row r="3691">
      <c r="A3691" s="7" t="n"/>
      <c r="B3691" s="7" t="n"/>
      <c r="C3691" s="7" t="n"/>
      <c r="D3691" s="7" t="n"/>
      <c r="E3691" s="7" t="n"/>
      <c r="F3691" s="7" t="n"/>
      <c r="G3691" s="7" t="n"/>
      <c r="H3691" s="7" t="n"/>
      <c r="I3691" s="7" t="n"/>
      <c r="J3691" s="7" t="n"/>
      <c r="K3691">
        <f>IF(D3691="Legitimate Interest (GDPR Art. 6(1)(f))", "Yes / Required (Sheet 3)", "")</f>
        <v/>
      </c>
      <c r="L3691" s="7" t="n"/>
      <c r="M3691" s="7" t="n"/>
      <c r="N3691">
        <f>IF(D3691="", "Gap - No Legal Basis", IF(AND(D3691="Consent (GDPR Art. 6(1)(a))", I3691="Not Captured"), "Gap - Invalid Consent", IF(AND(D3691="Legitimate Interest (GDPR Art. 6(1)(f))", L3691=""), "Gap - Missing LIA", IF(AND(G3691="Yes", H3691=""), "Gap - Missing Art. 9 Basis", IF(OR(I3691="Invalid - Not Freely Given", I3691="Invalid - Not Specific", I3691="Invalid - Not Informed", I3691="Invalid - Ambiguous"), "Gap - Invalid Consent", "Compliant")))))</f>
        <v/>
      </c>
      <c r="O3691" s="7" t="n"/>
    </row>
    <row r="3692">
      <c r="A3692" s="7" t="n"/>
      <c r="B3692" s="7" t="n"/>
      <c r="C3692" s="7" t="n"/>
      <c r="D3692" s="7" t="n"/>
      <c r="E3692" s="7" t="n"/>
      <c r="F3692" s="7" t="n"/>
      <c r="G3692" s="7" t="n"/>
      <c r="H3692" s="7" t="n"/>
      <c r="I3692" s="7" t="n"/>
      <c r="J3692" s="7" t="n"/>
      <c r="K3692">
        <f>IF(D3692="Legitimate Interest (GDPR Art. 6(1)(f))", "Yes / Required (Sheet 3)", "")</f>
        <v/>
      </c>
      <c r="L3692" s="7" t="n"/>
      <c r="M3692" s="7" t="n"/>
      <c r="N3692">
        <f>IF(D3692="", "Gap - No Legal Basis", IF(AND(D3692="Consent (GDPR Art. 6(1)(a))", I3692="Not Captured"), "Gap - Invalid Consent", IF(AND(D3692="Legitimate Interest (GDPR Art. 6(1)(f))", L3692=""), "Gap - Missing LIA", IF(AND(G3692="Yes", H3692=""), "Gap - Missing Art. 9 Basis", IF(OR(I3692="Invalid - Not Freely Given", I3692="Invalid - Not Specific", I3692="Invalid - Not Informed", I3692="Invalid - Ambiguous"), "Gap - Invalid Consent", "Compliant")))))</f>
        <v/>
      </c>
      <c r="O3692" s="7" t="n"/>
    </row>
    <row r="3693">
      <c r="A3693" s="7" t="n"/>
      <c r="B3693" s="7" t="n"/>
      <c r="C3693" s="7" t="n"/>
      <c r="D3693" s="7" t="n"/>
      <c r="E3693" s="7" t="n"/>
      <c r="F3693" s="7" t="n"/>
      <c r="G3693" s="7" t="n"/>
      <c r="H3693" s="7" t="n"/>
      <c r="I3693" s="7" t="n"/>
      <c r="J3693" s="7" t="n"/>
      <c r="K3693">
        <f>IF(D3693="Legitimate Interest (GDPR Art. 6(1)(f))", "Yes / Required (Sheet 3)", "")</f>
        <v/>
      </c>
      <c r="L3693" s="7" t="n"/>
      <c r="M3693" s="7" t="n"/>
      <c r="N3693">
        <f>IF(D3693="", "Gap - No Legal Basis", IF(AND(D3693="Consent (GDPR Art. 6(1)(a))", I3693="Not Captured"), "Gap - Invalid Consent", IF(AND(D3693="Legitimate Interest (GDPR Art. 6(1)(f))", L3693=""), "Gap - Missing LIA", IF(AND(G3693="Yes", H3693=""), "Gap - Missing Art. 9 Basis", IF(OR(I3693="Invalid - Not Freely Given", I3693="Invalid - Not Specific", I3693="Invalid - Not Informed", I3693="Invalid - Ambiguous"), "Gap - Invalid Consent", "Compliant")))))</f>
        <v/>
      </c>
      <c r="O3693" s="7" t="n"/>
    </row>
    <row r="3694">
      <c r="A3694" s="7" t="n"/>
      <c r="B3694" s="7" t="n"/>
      <c r="C3694" s="7" t="n"/>
      <c r="D3694" s="7" t="n"/>
      <c r="E3694" s="7" t="n"/>
      <c r="F3694" s="7" t="n"/>
      <c r="G3694" s="7" t="n"/>
      <c r="H3694" s="7" t="n"/>
      <c r="I3694" s="7" t="n"/>
      <c r="J3694" s="7" t="n"/>
      <c r="K3694">
        <f>IF(D3694="Legitimate Interest (GDPR Art. 6(1)(f))", "Yes / Required (Sheet 3)", "")</f>
        <v/>
      </c>
      <c r="L3694" s="7" t="n"/>
      <c r="M3694" s="7" t="n"/>
      <c r="N3694">
        <f>IF(D3694="", "Gap - No Legal Basis", IF(AND(D3694="Consent (GDPR Art. 6(1)(a))", I3694="Not Captured"), "Gap - Invalid Consent", IF(AND(D3694="Legitimate Interest (GDPR Art. 6(1)(f))", L3694=""), "Gap - Missing LIA", IF(AND(G3694="Yes", H3694=""), "Gap - Missing Art. 9 Basis", IF(OR(I3694="Invalid - Not Freely Given", I3694="Invalid - Not Specific", I3694="Invalid - Not Informed", I3694="Invalid - Ambiguous"), "Gap - Invalid Consent", "Compliant")))))</f>
        <v/>
      </c>
      <c r="O3694" s="7" t="n"/>
    </row>
    <row r="3695">
      <c r="A3695" s="7" t="n"/>
      <c r="B3695" s="7" t="n"/>
      <c r="C3695" s="7" t="n"/>
      <c r="D3695" s="7" t="n"/>
      <c r="E3695" s="7" t="n"/>
      <c r="F3695" s="7" t="n"/>
      <c r="G3695" s="7" t="n"/>
      <c r="H3695" s="7" t="n"/>
      <c r="I3695" s="7" t="n"/>
      <c r="J3695" s="7" t="n"/>
      <c r="K3695">
        <f>IF(D3695="Legitimate Interest (GDPR Art. 6(1)(f))", "Yes / Required (Sheet 3)", "")</f>
        <v/>
      </c>
      <c r="L3695" s="7" t="n"/>
      <c r="M3695" s="7" t="n"/>
      <c r="N3695">
        <f>IF(D3695="", "Gap - No Legal Basis", IF(AND(D3695="Consent (GDPR Art. 6(1)(a))", I3695="Not Captured"), "Gap - Invalid Consent", IF(AND(D3695="Legitimate Interest (GDPR Art. 6(1)(f))", L3695=""), "Gap - Missing LIA", IF(AND(G3695="Yes", H3695=""), "Gap - Missing Art. 9 Basis", IF(OR(I3695="Invalid - Not Freely Given", I3695="Invalid - Not Specific", I3695="Invalid - Not Informed", I3695="Invalid - Ambiguous"), "Gap - Invalid Consent", "Compliant")))))</f>
        <v/>
      </c>
      <c r="O3695" s="7" t="n"/>
    </row>
    <row r="3696">
      <c r="A3696" s="7" t="n"/>
      <c r="B3696" s="7" t="n"/>
      <c r="C3696" s="7" t="n"/>
      <c r="D3696" s="7" t="n"/>
      <c r="E3696" s="7" t="n"/>
      <c r="F3696" s="7" t="n"/>
      <c r="G3696" s="7" t="n"/>
      <c r="H3696" s="7" t="n"/>
      <c r="I3696" s="7" t="n"/>
      <c r="J3696" s="7" t="n"/>
      <c r="K3696">
        <f>IF(D3696="Legitimate Interest (GDPR Art. 6(1)(f))", "Yes / Required (Sheet 3)", "")</f>
        <v/>
      </c>
      <c r="L3696" s="7" t="n"/>
      <c r="M3696" s="7" t="n"/>
      <c r="N3696">
        <f>IF(D3696="", "Gap - No Legal Basis", IF(AND(D3696="Consent (GDPR Art. 6(1)(a))", I3696="Not Captured"), "Gap - Invalid Consent", IF(AND(D3696="Legitimate Interest (GDPR Art. 6(1)(f))", L3696=""), "Gap - Missing LIA", IF(AND(G3696="Yes", H3696=""), "Gap - Missing Art. 9 Basis", IF(OR(I3696="Invalid - Not Freely Given", I3696="Invalid - Not Specific", I3696="Invalid - Not Informed", I3696="Invalid - Ambiguous"), "Gap - Invalid Consent", "Compliant")))))</f>
        <v/>
      </c>
      <c r="O3696" s="7" t="n"/>
    </row>
    <row r="3697">
      <c r="A3697" s="7" t="n"/>
      <c r="B3697" s="7" t="n"/>
      <c r="C3697" s="7" t="n"/>
      <c r="D3697" s="7" t="n"/>
      <c r="E3697" s="7" t="n"/>
      <c r="F3697" s="7" t="n"/>
      <c r="G3697" s="7" t="n"/>
      <c r="H3697" s="7" t="n"/>
      <c r="I3697" s="7" t="n"/>
      <c r="J3697" s="7" t="n"/>
      <c r="K3697">
        <f>IF(D3697="Legitimate Interest (GDPR Art. 6(1)(f))", "Yes / Required (Sheet 3)", "")</f>
        <v/>
      </c>
      <c r="L3697" s="7" t="n"/>
      <c r="M3697" s="7" t="n"/>
      <c r="N3697">
        <f>IF(D3697="", "Gap - No Legal Basis", IF(AND(D3697="Consent (GDPR Art. 6(1)(a))", I3697="Not Captured"), "Gap - Invalid Consent", IF(AND(D3697="Legitimate Interest (GDPR Art. 6(1)(f))", L3697=""), "Gap - Missing LIA", IF(AND(G3697="Yes", H3697=""), "Gap - Missing Art. 9 Basis", IF(OR(I3697="Invalid - Not Freely Given", I3697="Invalid - Not Specific", I3697="Invalid - Not Informed", I3697="Invalid - Ambiguous"), "Gap - Invalid Consent", "Compliant")))))</f>
        <v/>
      </c>
      <c r="O3697" s="7" t="n"/>
    </row>
    <row r="3698">
      <c r="A3698" s="7" t="n"/>
      <c r="B3698" s="7" t="n"/>
      <c r="C3698" s="7" t="n"/>
      <c r="D3698" s="7" t="n"/>
      <c r="E3698" s="7" t="n"/>
      <c r="F3698" s="7" t="n"/>
      <c r="G3698" s="7" t="n"/>
      <c r="H3698" s="7" t="n"/>
      <c r="I3698" s="7" t="n"/>
      <c r="J3698" s="7" t="n"/>
      <c r="K3698">
        <f>IF(D3698="Legitimate Interest (GDPR Art. 6(1)(f))", "Yes / Required (Sheet 3)", "")</f>
        <v/>
      </c>
      <c r="L3698" s="7" t="n"/>
      <c r="M3698" s="7" t="n"/>
      <c r="N3698">
        <f>IF(D3698="", "Gap - No Legal Basis", IF(AND(D3698="Consent (GDPR Art. 6(1)(a))", I3698="Not Captured"), "Gap - Invalid Consent", IF(AND(D3698="Legitimate Interest (GDPR Art. 6(1)(f))", L3698=""), "Gap - Missing LIA", IF(AND(G3698="Yes", H3698=""), "Gap - Missing Art. 9 Basis", IF(OR(I3698="Invalid - Not Freely Given", I3698="Invalid - Not Specific", I3698="Invalid - Not Informed", I3698="Invalid - Ambiguous"), "Gap - Invalid Consent", "Compliant")))))</f>
        <v/>
      </c>
      <c r="O3698" s="7" t="n"/>
    </row>
    <row r="3699">
      <c r="A3699" s="7" t="n"/>
      <c r="B3699" s="7" t="n"/>
      <c r="C3699" s="7" t="n"/>
      <c r="D3699" s="7" t="n"/>
      <c r="E3699" s="7" t="n"/>
      <c r="F3699" s="7" t="n"/>
      <c r="G3699" s="7" t="n"/>
      <c r="H3699" s="7" t="n"/>
      <c r="I3699" s="7" t="n"/>
      <c r="J3699" s="7" t="n"/>
      <c r="K3699">
        <f>IF(D3699="Legitimate Interest (GDPR Art. 6(1)(f))", "Yes / Required (Sheet 3)", "")</f>
        <v/>
      </c>
      <c r="L3699" s="7" t="n"/>
      <c r="M3699" s="7" t="n"/>
      <c r="N3699">
        <f>IF(D3699="", "Gap - No Legal Basis", IF(AND(D3699="Consent (GDPR Art. 6(1)(a))", I3699="Not Captured"), "Gap - Invalid Consent", IF(AND(D3699="Legitimate Interest (GDPR Art. 6(1)(f))", L3699=""), "Gap - Missing LIA", IF(AND(G3699="Yes", H3699=""), "Gap - Missing Art. 9 Basis", IF(OR(I3699="Invalid - Not Freely Given", I3699="Invalid - Not Specific", I3699="Invalid - Not Informed", I3699="Invalid - Ambiguous"), "Gap - Invalid Consent", "Compliant")))))</f>
        <v/>
      </c>
      <c r="O3699" s="7" t="n"/>
    </row>
    <row r="3700">
      <c r="A3700" s="7" t="n"/>
      <c r="B3700" s="7" t="n"/>
      <c r="C3700" s="7" t="n"/>
      <c r="D3700" s="7" t="n"/>
      <c r="E3700" s="7" t="n"/>
      <c r="F3700" s="7" t="n"/>
      <c r="G3700" s="7" t="n"/>
      <c r="H3700" s="7" t="n"/>
      <c r="I3700" s="7" t="n"/>
      <c r="J3700" s="7" t="n"/>
      <c r="K3700">
        <f>IF(D3700="Legitimate Interest (GDPR Art. 6(1)(f))", "Yes / Required (Sheet 3)", "")</f>
        <v/>
      </c>
      <c r="L3700" s="7" t="n"/>
      <c r="M3700" s="7" t="n"/>
      <c r="N3700">
        <f>IF(D3700="", "Gap - No Legal Basis", IF(AND(D3700="Consent (GDPR Art. 6(1)(a))", I3700="Not Captured"), "Gap - Invalid Consent", IF(AND(D3700="Legitimate Interest (GDPR Art. 6(1)(f))", L3700=""), "Gap - Missing LIA", IF(AND(G3700="Yes", H3700=""), "Gap - Missing Art. 9 Basis", IF(OR(I3700="Invalid - Not Freely Given", I3700="Invalid - Not Specific", I3700="Invalid - Not Informed", I3700="Invalid - Ambiguous"), "Gap - Invalid Consent", "Compliant")))))</f>
        <v/>
      </c>
      <c r="O3700" s="7" t="n"/>
    </row>
    <row r="3701">
      <c r="A3701" s="7" t="n"/>
      <c r="B3701" s="7" t="n"/>
      <c r="C3701" s="7" t="n"/>
      <c r="D3701" s="7" t="n"/>
      <c r="E3701" s="7" t="n"/>
      <c r="F3701" s="7" t="n"/>
      <c r="G3701" s="7" t="n"/>
      <c r="H3701" s="7" t="n"/>
      <c r="I3701" s="7" t="n"/>
      <c r="J3701" s="7" t="n"/>
      <c r="K3701">
        <f>IF(D3701="Legitimate Interest (GDPR Art. 6(1)(f))", "Yes / Required (Sheet 3)", "")</f>
        <v/>
      </c>
      <c r="L3701" s="7" t="n"/>
      <c r="M3701" s="7" t="n"/>
      <c r="N3701">
        <f>IF(D3701="", "Gap - No Legal Basis", IF(AND(D3701="Consent (GDPR Art. 6(1)(a))", I3701="Not Captured"), "Gap - Invalid Consent", IF(AND(D3701="Legitimate Interest (GDPR Art. 6(1)(f))", L3701=""), "Gap - Missing LIA", IF(AND(G3701="Yes", H3701=""), "Gap - Missing Art. 9 Basis", IF(OR(I3701="Invalid - Not Freely Given", I3701="Invalid - Not Specific", I3701="Invalid - Not Informed", I3701="Invalid - Ambiguous"), "Gap - Invalid Consent", "Compliant")))))</f>
        <v/>
      </c>
      <c r="O3701" s="7" t="n"/>
    </row>
    <row r="3702">
      <c r="A3702" s="7" t="n"/>
      <c r="B3702" s="7" t="n"/>
      <c r="C3702" s="7" t="n"/>
      <c r="D3702" s="7" t="n"/>
      <c r="E3702" s="7" t="n"/>
      <c r="F3702" s="7" t="n"/>
      <c r="G3702" s="7" t="n"/>
      <c r="H3702" s="7" t="n"/>
      <c r="I3702" s="7" t="n"/>
      <c r="J3702" s="7" t="n"/>
      <c r="K3702">
        <f>IF(D3702="Legitimate Interest (GDPR Art. 6(1)(f))", "Yes / Required (Sheet 3)", "")</f>
        <v/>
      </c>
      <c r="L3702" s="7" t="n"/>
      <c r="M3702" s="7" t="n"/>
      <c r="N3702">
        <f>IF(D3702="", "Gap - No Legal Basis", IF(AND(D3702="Consent (GDPR Art. 6(1)(a))", I3702="Not Captured"), "Gap - Invalid Consent", IF(AND(D3702="Legitimate Interest (GDPR Art. 6(1)(f))", L3702=""), "Gap - Missing LIA", IF(AND(G3702="Yes", H3702=""), "Gap - Missing Art. 9 Basis", IF(OR(I3702="Invalid - Not Freely Given", I3702="Invalid - Not Specific", I3702="Invalid - Not Informed", I3702="Invalid - Ambiguous"), "Gap - Invalid Consent", "Compliant")))))</f>
        <v/>
      </c>
      <c r="O3702" s="7" t="n"/>
    </row>
    <row r="3703">
      <c r="A3703" s="7" t="n"/>
      <c r="B3703" s="7" t="n"/>
      <c r="C3703" s="7" t="n"/>
      <c r="D3703" s="7" t="n"/>
      <c r="E3703" s="7" t="n"/>
      <c r="F3703" s="7" t="n"/>
      <c r="G3703" s="7" t="n"/>
      <c r="H3703" s="7" t="n"/>
      <c r="I3703" s="7" t="n"/>
      <c r="J3703" s="7" t="n"/>
      <c r="K3703">
        <f>IF(D3703="Legitimate Interest (GDPR Art. 6(1)(f))", "Yes / Required (Sheet 3)", "")</f>
        <v/>
      </c>
      <c r="L3703" s="7" t="n"/>
      <c r="M3703" s="7" t="n"/>
      <c r="N3703">
        <f>IF(D3703="", "Gap - No Legal Basis", IF(AND(D3703="Consent (GDPR Art. 6(1)(a))", I3703="Not Captured"), "Gap - Invalid Consent", IF(AND(D3703="Legitimate Interest (GDPR Art. 6(1)(f))", L3703=""), "Gap - Missing LIA", IF(AND(G3703="Yes", H3703=""), "Gap - Missing Art. 9 Basis", IF(OR(I3703="Invalid - Not Freely Given", I3703="Invalid - Not Specific", I3703="Invalid - Not Informed", I3703="Invalid - Ambiguous"), "Gap - Invalid Consent", "Compliant")))))</f>
        <v/>
      </c>
      <c r="O3703" s="7" t="n"/>
    </row>
    <row r="3704">
      <c r="A3704" s="7" t="n"/>
      <c r="B3704" s="7" t="n"/>
      <c r="C3704" s="7" t="n"/>
      <c r="D3704" s="7" t="n"/>
      <c r="E3704" s="7" t="n"/>
      <c r="F3704" s="7" t="n"/>
      <c r="G3704" s="7" t="n"/>
      <c r="H3704" s="7" t="n"/>
      <c r="I3704" s="7" t="n"/>
      <c r="J3704" s="7" t="n"/>
      <c r="K3704">
        <f>IF(D3704="Legitimate Interest (GDPR Art. 6(1)(f))", "Yes / Required (Sheet 3)", "")</f>
        <v/>
      </c>
      <c r="L3704" s="7" t="n"/>
      <c r="M3704" s="7" t="n"/>
      <c r="N3704">
        <f>IF(D3704="", "Gap - No Legal Basis", IF(AND(D3704="Consent (GDPR Art. 6(1)(a))", I3704="Not Captured"), "Gap - Invalid Consent", IF(AND(D3704="Legitimate Interest (GDPR Art. 6(1)(f))", L3704=""), "Gap - Missing LIA", IF(AND(G3704="Yes", H3704=""), "Gap - Missing Art. 9 Basis", IF(OR(I3704="Invalid - Not Freely Given", I3704="Invalid - Not Specific", I3704="Invalid - Not Informed", I3704="Invalid - Ambiguous"), "Gap - Invalid Consent", "Compliant")))))</f>
        <v/>
      </c>
      <c r="O3704" s="7" t="n"/>
    </row>
    <row r="3705">
      <c r="A3705" s="7" t="n"/>
      <c r="B3705" s="7" t="n"/>
      <c r="C3705" s="7" t="n"/>
      <c r="D3705" s="7" t="n"/>
      <c r="E3705" s="7" t="n"/>
      <c r="F3705" s="7" t="n"/>
      <c r="G3705" s="7" t="n"/>
      <c r="H3705" s="7" t="n"/>
      <c r="I3705" s="7" t="n"/>
      <c r="J3705" s="7" t="n"/>
      <c r="K3705">
        <f>IF(D3705="Legitimate Interest (GDPR Art. 6(1)(f))", "Yes / Required (Sheet 3)", "")</f>
        <v/>
      </c>
      <c r="L3705" s="7" t="n"/>
      <c r="M3705" s="7" t="n"/>
      <c r="N3705">
        <f>IF(D3705="", "Gap - No Legal Basis", IF(AND(D3705="Consent (GDPR Art. 6(1)(a))", I3705="Not Captured"), "Gap - Invalid Consent", IF(AND(D3705="Legitimate Interest (GDPR Art. 6(1)(f))", L3705=""), "Gap - Missing LIA", IF(AND(G3705="Yes", H3705=""), "Gap - Missing Art. 9 Basis", IF(OR(I3705="Invalid - Not Freely Given", I3705="Invalid - Not Specific", I3705="Invalid - Not Informed", I3705="Invalid - Ambiguous"), "Gap - Invalid Consent", "Compliant")))))</f>
        <v/>
      </c>
      <c r="O3705" s="7" t="n"/>
    </row>
    <row r="3706">
      <c r="A3706" s="7" t="n"/>
      <c r="B3706" s="7" t="n"/>
      <c r="C3706" s="7" t="n"/>
      <c r="D3706" s="7" t="n"/>
      <c r="E3706" s="7" t="n"/>
      <c r="F3706" s="7" t="n"/>
      <c r="G3706" s="7" t="n"/>
      <c r="H3706" s="7" t="n"/>
      <c r="I3706" s="7" t="n"/>
      <c r="J3706" s="7" t="n"/>
      <c r="K3706">
        <f>IF(D3706="Legitimate Interest (GDPR Art. 6(1)(f))", "Yes / Required (Sheet 3)", "")</f>
        <v/>
      </c>
      <c r="L3706" s="7" t="n"/>
      <c r="M3706" s="7" t="n"/>
      <c r="N3706">
        <f>IF(D3706="", "Gap - No Legal Basis", IF(AND(D3706="Consent (GDPR Art. 6(1)(a))", I3706="Not Captured"), "Gap - Invalid Consent", IF(AND(D3706="Legitimate Interest (GDPR Art. 6(1)(f))", L3706=""), "Gap - Missing LIA", IF(AND(G3706="Yes", H3706=""), "Gap - Missing Art. 9 Basis", IF(OR(I3706="Invalid - Not Freely Given", I3706="Invalid - Not Specific", I3706="Invalid - Not Informed", I3706="Invalid - Ambiguous"), "Gap - Invalid Consent", "Compliant")))))</f>
        <v/>
      </c>
      <c r="O3706" s="7" t="n"/>
    </row>
    <row r="3707">
      <c r="A3707" s="7" t="n"/>
      <c r="B3707" s="7" t="n"/>
      <c r="C3707" s="7" t="n"/>
      <c r="D3707" s="7" t="n"/>
      <c r="E3707" s="7" t="n"/>
      <c r="F3707" s="7" t="n"/>
      <c r="G3707" s="7" t="n"/>
      <c r="H3707" s="7" t="n"/>
      <c r="I3707" s="7" t="n"/>
      <c r="J3707" s="7" t="n"/>
      <c r="K3707">
        <f>IF(D3707="Legitimate Interest (GDPR Art. 6(1)(f))", "Yes / Required (Sheet 3)", "")</f>
        <v/>
      </c>
      <c r="L3707" s="7" t="n"/>
      <c r="M3707" s="7" t="n"/>
      <c r="N3707">
        <f>IF(D3707="", "Gap - No Legal Basis", IF(AND(D3707="Consent (GDPR Art. 6(1)(a))", I3707="Not Captured"), "Gap - Invalid Consent", IF(AND(D3707="Legitimate Interest (GDPR Art. 6(1)(f))", L3707=""), "Gap - Missing LIA", IF(AND(G3707="Yes", H3707=""), "Gap - Missing Art. 9 Basis", IF(OR(I3707="Invalid - Not Freely Given", I3707="Invalid - Not Specific", I3707="Invalid - Not Informed", I3707="Invalid - Ambiguous"), "Gap - Invalid Consent", "Compliant")))))</f>
        <v/>
      </c>
      <c r="O3707" s="7" t="n"/>
    </row>
    <row r="3708">
      <c r="A3708" s="7" t="n"/>
      <c r="B3708" s="7" t="n"/>
      <c r="C3708" s="7" t="n"/>
      <c r="D3708" s="7" t="n"/>
      <c r="E3708" s="7" t="n"/>
      <c r="F3708" s="7" t="n"/>
      <c r="G3708" s="7" t="n"/>
      <c r="H3708" s="7" t="n"/>
      <c r="I3708" s="7" t="n"/>
      <c r="J3708" s="7" t="n"/>
      <c r="K3708">
        <f>IF(D3708="Legitimate Interest (GDPR Art. 6(1)(f))", "Yes / Required (Sheet 3)", "")</f>
        <v/>
      </c>
      <c r="L3708" s="7" t="n"/>
      <c r="M3708" s="7" t="n"/>
      <c r="N3708">
        <f>IF(D3708="", "Gap - No Legal Basis", IF(AND(D3708="Consent (GDPR Art. 6(1)(a))", I3708="Not Captured"), "Gap - Invalid Consent", IF(AND(D3708="Legitimate Interest (GDPR Art. 6(1)(f))", L3708=""), "Gap - Missing LIA", IF(AND(G3708="Yes", H3708=""), "Gap - Missing Art. 9 Basis", IF(OR(I3708="Invalid - Not Freely Given", I3708="Invalid - Not Specific", I3708="Invalid - Not Informed", I3708="Invalid - Ambiguous"), "Gap - Invalid Consent", "Compliant")))))</f>
        <v/>
      </c>
      <c r="O3708" s="7" t="n"/>
    </row>
    <row r="3709">
      <c r="A3709" s="7" t="n"/>
      <c r="B3709" s="7" t="n"/>
      <c r="C3709" s="7" t="n"/>
      <c r="D3709" s="7" t="n"/>
      <c r="E3709" s="7" t="n"/>
      <c r="F3709" s="7" t="n"/>
      <c r="G3709" s="7" t="n"/>
      <c r="H3709" s="7" t="n"/>
      <c r="I3709" s="7" t="n"/>
      <c r="J3709" s="7" t="n"/>
      <c r="K3709">
        <f>IF(D3709="Legitimate Interest (GDPR Art. 6(1)(f))", "Yes / Required (Sheet 3)", "")</f>
        <v/>
      </c>
      <c r="L3709" s="7" t="n"/>
      <c r="M3709" s="7" t="n"/>
      <c r="N3709">
        <f>IF(D3709="", "Gap - No Legal Basis", IF(AND(D3709="Consent (GDPR Art. 6(1)(a))", I3709="Not Captured"), "Gap - Invalid Consent", IF(AND(D3709="Legitimate Interest (GDPR Art. 6(1)(f))", L3709=""), "Gap - Missing LIA", IF(AND(G3709="Yes", H3709=""), "Gap - Missing Art. 9 Basis", IF(OR(I3709="Invalid - Not Freely Given", I3709="Invalid - Not Specific", I3709="Invalid - Not Informed", I3709="Invalid - Ambiguous"), "Gap - Invalid Consent", "Compliant")))))</f>
        <v/>
      </c>
      <c r="O3709" s="7" t="n"/>
    </row>
    <row r="3710">
      <c r="A3710" s="7" t="n"/>
      <c r="B3710" s="7" t="n"/>
      <c r="C3710" s="7" t="n"/>
      <c r="D3710" s="7" t="n"/>
      <c r="E3710" s="7" t="n"/>
      <c r="F3710" s="7" t="n"/>
      <c r="G3710" s="7" t="n"/>
      <c r="H3710" s="7" t="n"/>
      <c r="I3710" s="7" t="n"/>
      <c r="J3710" s="7" t="n"/>
      <c r="K3710">
        <f>IF(D3710="Legitimate Interest (GDPR Art. 6(1)(f))", "Yes / Required (Sheet 3)", "")</f>
        <v/>
      </c>
      <c r="L3710" s="7" t="n"/>
      <c r="M3710" s="7" t="n"/>
      <c r="N3710">
        <f>IF(D3710="", "Gap - No Legal Basis", IF(AND(D3710="Consent (GDPR Art. 6(1)(a))", I3710="Not Captured"), "Gap - Invalid Consent", IF(AND(D3710="Legitimate Interest (GDPR Art. 6(1)(f))", L3710=""), "Gap - Missing LIA", IF(AND(G3710="Yes", H3710=""), "Gap - Missing Art. 9 Basis", IF(OR(I3710="Invalid - Not Freely Given", I3710="Invalid - Not Specific", I3710="Invalid - Not Informed", I3710="Invalid - Ambiguous"), "Gap - Invalid Consent", "Compliant")))))</f>
        <v/>
      </c>
      <c r="O3710" s="7" t="n"/>
    </row>
    <row r="3711">
      <c r="A3711" s="7" t="n"/>
      <c r="B3711" s="7" t="n"/>
      <c r="C3711" s="7" t="n"/>
      <c r="D3711" s="7" t="n"/>
      <c r="E3711" s="7" t="n"/>
      <c r="F3711" s="7" t="n"/>
      <c r="G3711" s="7" t="n"/>
      <c r="H3711" s="7" t="n"/>
      <c r="I3711" s="7" t="n"/>
      <c r="J3711" s="7" t="n"/>
      <c r="K3711">
        <f>IF(D3711="Legitimate Interest (GDPR Art. 6(1)(f))", "Yes / Required (Sheet 3)", "")</f>
        <v/>
      </c>
      <c r="L3711" s="7" t="n"/>
      <c r="M3711" s="7" t="n"/>
      <c r="N3711">
        <f>IF(D3711="", "Gap - No Legal Basis", IF(AND(D3711="Consent (GDPR Art. 6(1)(a))", I3711="Not Captured"), "Gap - Invalid Consent", IF(AND(D3711="Legitimate Interest (GDPR Art. 6(1)(f))", L3711=""), "Gap - Missing LIA", IF(AND(G3711="Yes", H3711=""), "Gap - Missing Art. 9 Basis", IF(OR(I3711="Invalid - Not Freely Given", I3711="Invalid - Not Specific", I3711="Invalid - Not Informed", I3711="Invalid - Ambiguous"), "Gap - Invalid Consent", "Compliant")))))</f>
        <v/>
      </c>
      <c r="O3711" s="7" t="n"/>
    </row>
    <row r="3712">
      <c r="A3712" s="7" t="n"/>
      <c r="B3712" s="7" t="n"/>
      <c r="C3712" s="7" t="n"/>
      <c r="D3712" s="7" t="n"/>
      <c r="E3712" s="7" t="n"/>
      <c r="F3712" s="7" t="n"/>
      <c r="G3712" s="7" t="n"/>
      <c r="H3712" s="7" t="n"/>
      <c r="I3712" s="7" t="n"/>
      <c r="J3712" s="7" t="n"/>
      <c r="K3712">
        <f>IF(D3712="Legitimate Interest (GDPR Art. 6(1)(f))", "Yes / Required (Sheet 3)", "")</f>
        <v/>
      </c>
      <c r="L3712" s="7" t="n"/>
      <c r="M3712" s="7" t="n"/>
      <c r="N3712">
        <f>IF(D3712="", "Gap - No Legal Basis", IF(AND(D3712="Consent (GDPR Art. 6(1)(a))", I3712="Not Captured"), "Gap - Invalid Consent", IF(AND(D3712="Legitimate Interest (GDPR Art. 6(1)(f))", L3712=""), "Gap - Missing LIA", IF(AND(G3712="Yes", H3712=""), "Gap - Missing Art. 9 Basis", IF(OR(I3712="Invalid - Not Freely Given", I3712="Invalid - Not Specific", I3712="Invalid - Not Informed", I3712="Invalid - Ambiguous"), "Gap - Invalid Consent", "Compliant")))))</f>
        <v/>
      </c>
      <c r="O3712" s="7" t="n"/>
    </row>
    <row r="3713">
      <c r="A3713" s="7" t="n"/>
      <c r="B3713" s="7" t="n"/>
      <c r="C3713" s="7" t="n"/>
      <c r="D3713" s="7" t="n"/>
      <c r="E3713" s="7" t="n"/>
      <c r="F3713" s="7" t="n"/>
      <c r="G3713" s="7" t="n"/>
      <c r="H3713" s="7" t="n"/>
      <c r="I3713" s="7" t="n"/>
      <c r="J3713" s="7" t="n"/>
      <c r="K3713">
        <f>IF(D3713="Legitimate Interest (GDPR Art. 6(1)(f))", "Yes / Required (Sheet 3)", "")</f>
        <v/>
      </c>
      <c r="L3713" s="7" t="n"/>
      <c r="M3713" s="7" t="n"/>
      <c r="N3713">
        <f>IF(D3713="", "Gap - No Legal Basis", IF(AND(D3713="Consent (GDPR Art. 6(1)(a))", I3713="Not Captured"), "Gap - Invalid Consent", IF(AND(D3713="Legitimate Interest (GDPR Art. 6(1)(f))", L3713=""), "Gap - Missing LIA", IF(AND(G3713="Yes", H3713=""), "Gap - Missing Art. 9 Basis", IF(OR(I3713="Invalid - Not Freely Given", I3713="Invalid - Not Specific", I3713="Invalid - Not Informed", I3713="Invalid - Ambiguous"), "Gap - Invalid Consent", "Compliant")))))</f>
        <v/>
      </c>
      <c r="O3713" s="7" t="n"/>
    </row>
    <row r="3714">
      <c r="A3714" s="7" t="n"/>
      <c r="B3714" s="7" t="n"/>
      <c r="C3714" s="7" t="n"/>
      <c r="D3714" s="7" t="n"/>
      <c r="E3714" s="7" t="n"/>
      <c r="F3714" s="7" t="n"/>
      <c r="G3714" s="7" t="n"/>
      <c r="H3714" s="7" t="n"/>
      <c r="I3714" s="7" t="n"/>
      <c r="J3714" s="7" t="n"/>
      <c r="K3714">
        <f>IF(D3714="Legitimate Interest (GDPR Art. 6(1)(f))", "Yes / Required (Sheet 3)", "")</f>
        <v/>
      </c>
      <c r="L3714" s="7" t="n"/>
      <c r="M3714" s="7" t="n"/>
      <c r="N3714">
        <f>IF(D3714="", "Gap - No Legal Basis", IF(AND(D3714="Consent (GDPR Art. 6(1)(a))", I3714="Not Captured"), "Gap - Invalid Consent", IF(AND(D3714="Legitimate Interest (GDPR Art. 6(1)(f))", L3714=""), "Gap - Missing LIA", IF(AND(G3714="Yes", H3714=""), "Gap - Missing Art. 9 Basis", IF(OR(I3714="Invalid - Not Freely Given", I3714="Invalid - Not Specific", I3714="Invalid - Not Informed", I3714="Invalid - Ambiguous"), "Gap - Invalid Consent", "Compliant")))))</f>
        <v/>
      </c>
      <c r="O3714" s="7" t="n"/>
    </row>
    <row r="3715">
      <c r="A3715" s="7" t="n"/>
      <c r="B3715" s="7" t="n"/>
      <c r="C3715" s="7" t="n"/>
      <c r="D3715" s="7" t="n"/>
      <c r="E3715" s="7" t="n"/>
      <c r="F3715" s="7" t="n"/>
      <c r="G3715" s="7" t="n"/>
      <c r="H3715" s="7" t="n"/>
      <c r="I3715" s="7" t="n"/>
      <c r="J3715" s="7" t="n"/>
      <c r="K3715">
        <f>IF(D3715="Legitimate Interest (GDPR Art. 6(1)(f))", "Yes / Required (Sheet 3)", "")</f>
        <v/>
      </c>
      <c r="L3715" s="7" t="n"/>
      <c r="M3715" s="7" t="n"/>
      <c r="N3715">
        <f>IF(D3715="", "Gap - No Legal Basis", IF(AND(D3715="Consent (GDPR Art. 6(1)(a))", I3715="Not Captured"), "Gap - Invalid Consent", IF(AND(D3715="Legitimate Interest (GDPR Art. 6(1)(f))", L3715=""), "Gap - Missing LIA", IF(AND(G3715="Yes", H3715=""), "Gap - Missing Art. 9 Basis", IF(OR(I3715="Invalid - Not Freely Given", I3715="Invalid - Not Specific", I3715="Invalid - Not Informed", I3715="Invalid - Ambiguous"), "Gap - Invalid Consent", "Compliant")))))</f>
        <v/>
      </c>
      <c r="O3715" s="7" t="n"/>
    </row>
    <row r="3716">
      <c r="A3716" s="7" t="n"/>
      <c r="B3716" s="7" t="n"/>
      <c r="C3716" s="7" t="n"/>
      <c r="D3716" s="7" t="n"/>
      <c r="E3716" s="7" t="n"/>
      <c r="F3716" s="7" t="n"/>
      <c r="G3716" s="7" t="n"/>
      <c r="H3716" s="7" t="n"/>
      <c r="I3716" s="7" t="n"/>
      <c r="J3716" s="7" t="n"/>
      <c r="K3716">
        <f>IF(D3716="Legitimate Interest (GDPR Art. 6(1)(f))", "Yes / Required (Sheet 3)", "")</f>
        <v/>
      </c>
      <c r="L3716" s="7" t="n"/>
      <c r="M3716" s="7" t="n"/>
      <c r="N3716">
        <f>IF(D3716="", "Gap - No Legal Basis", IF(AND(D3716="Consent (GDPR Art. 6(1)(a))", I3716="Not Captured"), "Gap - Invalid Consent", IF(AND(D3716="Legitimate Interest (GDPR Art. 6(1)(f))", L3716=""), "Gap - Missing LIA", IF(AND(G3716="Yes", H3716=""), "Gap - Missing Art. 9 Basis", IF(OR(I3716="Invalid - Not Freely Given", I3716="Invalid - Not Specific", I3716="Invalid - Not Informed", I3716="Invalid - Ambiguous"), "Gap - Invalid Consent", "Compliant")))))</f>
        <v/>
      </c>
      <c r="O3716" s="7" t="n"/>
    </row>
    <row r="3717">
      <c r="A3717" s="7" t="n"/>
      <c r="B3717" s="7" t="n"/>
      <c r="C3717" s="7" t="n"/>
      <c r="D3717" s="7" t="n"/>
      <c r="E3717" s="7" t="n"/>
      <c r="F3717" s="7" t="n"/>
      <c r="G3717" s="7" t="n"/>
      <c r="H3717" s="7" t="n"/>
      <c r="I3717" s="7" t="n"/>
      <c r="J3717" s="7" t="n"/>
      <c r="K3717">
        <f>IF(D3717="Legitimate Interest (GDPR Art. 6(1)(f))", "Yes / Required (Sheet 3)", "")</f>
        <v/>
      </c>
      <c r="L3717" s="7" t="n"/>
      <c r="M3717" s="7" t="n"/>
      <c r="N3717">
        <f>IF(D3717="", "Gap - No Legal Basis", IF(AND(D3717="Consent (GDPR Art. 6(1)(a))", I3717="Not Captured"), "Gap - Invalid Consent", IF(AND(D3717="Legitimate Interest (GDPR Art. 6(1)(f))", L3717=""), "Gap - Missing LIA", IF(AND(G3717="Yes", H3717=""), "Gap - Missing Art. 9 Basis", IF(OR(I3717="Invalid - Not Freely Given", I3717="Invalid - Not Specific", I3717="Invalid - Not Informed", I3717="Invalid - Ambiguous"), "Gap - Invalid Consent", "Compliant")))))</f>
        <v/>
      </c>
      <c r="O3717" s="7" t="n"/>
    </row>
    <row r="3718">
      <c r="A3718" s="7" t="n"/>
      <c r="B3718" s="7" t="n"/>
      <c r="C3718" s="7" t="n"/>
      <c r="D3718" s="7" t="n"/>
      <c r="E3718" s="7" t="n"/>
      <c r="F3718" s="7" t="n"/>
      <c r="G3718" s="7" t="n"/>
      <c r="H3718" s="7" t="n"/>
      <c r="I3718" s="7" t="n"/>
      <c r="J3718" s="7" t="n"/>
      <c r="K3718">
        <f>IF(D3718="Legitimate Interest (GDPR Art. 6(1)(f))", "Yes / Required (Sheet 3)", "")</f>
        <v/>
      </c>
      <c r="L3718" s="7" t="n"/>
      <c r="M3718" s="7" t="n"/>
      <c r="N3718">
        <f>IF(D3718="", "Gap - No Legal Basis", IF(AND(D3718="Consent (GDPR Art. 6(1)(a))", I3718="Not Captured"), "Gap - Invalid Consent", IF(AND(D3718="Legitimate Interest (GDPR Art. 6(1)(f))", L3718=""), "Gap - Missing LIA", IF(AND(G3718="Yes", H3718=""), "Gap - Missing Art. 9 Basis", IF(OR(I3718="Invalid - Not Freely Given", I3718="Invalid - Not Specific", I3718="Invalid - Not Informed", I3718="Invalid - Ambiguous"), "Gap - Invalid Consent", "Compliant")))))</f>
        <v/>
      </c>
      <c r="O3718" s="7" t="n"/>
    </row>
    <row r="3719">
      <c r="A3719" s="7" t="n"/>
      <c r="B3719" s="7" t="n"/>
      <c r="C3719" s="7" t="n"/>
      <c r="D3719" s="7" t="n"/>
      <c r="E3719" s="7" t="n"/>
      <c r="F3719" s="7" t="n"/>
      <c r="G3719" s="7" t="n"/>
      <c r="H3719" s="7" t="n"/>
      <c r="I3719" s="7" t="n"/>
      <c r="J3719" s="7" t="n"/>
      <c r="K3719">
        <f>IF(D3719="Legitimate Interest (GDPR Art. 6(1)(f))", "Yes / Required (Sheet 3)", "")</f>
        <v/>
      </c>
      <c r="L3719" s="7" t="n"/>
      <c r="M3719" s="7" t="n"/>
      <c r="N3719">
        <f>IF(D3719="", "Gap - No Legal Basis", IF(AND(D3719="Consent (GDPR Art. 6(1)(a))", I3719="Not Captured"), "Gap - Invalid Consent", IF(AND(D3719="Legitimate Interest (GDPR Art. 6(1)(f))", L3719=""), "Gap - Missing LIA", IF(AND(G3719="Yes", H3719=""), "Gap - Missing Art. 9 Basis", IF(OR(I3719="Invalid - Not Freely Given", I3719="Invalid - Not Specific", I3719="Invalid - Not Informed", I3719="Invalid - Ambiguous"), "Gap - Invalid Consent", "Compliant")))))</f>
        <v/>
      </c>
      <c r="O3719" s="7" t="n"/>
    </row>
    <row r="3720">
      <c r="A3720" s="7" t="n"/>
      <c r="B3720" s="7" t="n"/>
      <c r="C3720" s="7" t="n"/>
      <c r="D3720" s="7" t="n"/>
      <c r="E3720" s="7" t="n"/>
      <c r="F3720" s="7" t="n"/>
      <c r="G3720" s="7" t="n"/>
      <c r="H3720" s="7" t="n"/>
      <c r="I3720" s="7" t="n"/>
      <c r="J3720" s="7" t="n"/>
      <c r="K3720">
        <f>IF(D3720="Legitimate Interest (GDPR Art. 6(1)(f))", "Yes / Required (Sheet 3)", "")</f>
        <v/>
      </c>
      <c r="L3720" s="7" t="n"/>
      <c r="M3720" s="7" t="n"/>
      <c r="N3720">
        <f>IF(D3720="", "Gap - No Legal Basis", IF(AND(D3720="Consent (GDPR Art. 6(1)(a))", I3720="Not Captured"), "Gap - Invalid Consent", IF(AND(D3720="Legitimate Interest (GDPR Art. 6(1)(f))", L3720=""), "Gap - Missing LIA", IF(AND(G3720="Yes", H3720=""), "Gap - Missing Art. 9 Basis", IF(OR(I3720="Invalid - Not Freely Given", I3720="Invalid - Not Specific", I3720="Invalid - Not Informed", I3720="Invalid - Ambiguous"), "Gap - Invalid Consent", "Compliant")))))</f>
        <v/>
      </c>
      <c r="O3720" s="7" t="n"/>
    </row>
    <row r="3721">
      <c r="A3721" s="7" t="n"/>
      <c r="B3721" s="7" t="n"/>
      <c r="C3721" s="7" t="n"/>
      <c r="D3721" s="7" t="n"/>
      <c r="E3721" s="7" t="n"/>
      <c r="F3721" s="7" t="n"/>
      <c r="G3721" s="7" t="n"/>
      <c r="H3721" s="7" t="n"/>
      <c r="I3721" s="7" t="n"/>
      <c r="J3721" s="7" t="n"/>
      <c r="K3721">
        <f>IF(D3721="Legitimate Interest (GDPR Art. 6(1)(f))", "Yes / Required (Sheet 3)", "")</f>
        <v/>
      </c>
      <c r="L3721" s="7" t="n"/>
      <c r="M3721" s="7" t="n"/>
      <c r="N3721">
        <f>IF(D3721="", "Gap - No Legal Basis", IF(AND(D3721="Consent (GDPR Art. 6(1)(a))", I3721="Not Captured"), "Gap - Invalid Consent", IF(AND(D3721="Legitimate Interest (GDPR Art. 6(1)(f))", L3721=""), "Gap - Missing LIA", IF(AND(G3721="Yes", H3721=""), "Gap - Missing Art. 9 Basis", IF(OR(I3721="Invalid - Not Freely Given", I3721="Invalid - Not Specific", I3721="Invalid - Not Informed", I3721="Invalid - Ambiguous"), "Gap - Invalid Consent", "Compliant")))))</f>
        <v/>
      </c>
      <c r="O3721" s="7" t="n"/>
    </row>
    <row r="3722">
      <c r="A3722" s="7" t="n"/>
      <c r="B3722" s="7" t="n"/>
      <c r="C3722" s="7" t="n"/>
      <c r="D3722" s="7" t="n"/>
      <c r="E3722" s="7" t="n"/>
      <c r="F3722" s="7" t="n"/>
      <c r="G3722" s="7" t="n"/>
      <c r="H3722" s="7" t="n"/>
      <c r="I3722" s="7" t="n"/>
      <c r="J3722" s="7" t="n"/>
      <c r="K3722">
        <f>IF(D3722="Legitimate Interest (GDPR Art. 6(1)(f))", "Yes / Required (Sheet 3)", "")</f>
        <v/>
      </c>
      <c r="L3722" s="7" t="n"/>
      <c r="M3722" s="7" t="n"/>
      <c r="N3722">
        <f>IF(D3722="", "Gap - No Legal Basis", IF(AND(D3722="Consent (GDPR Art. 6(1)(a))", I3722="Not Captured"), "Gap - Invalid Consent", IF(AND(D3722="Legitimate Interest (GDPR Art. 6(1)(f))", L3722=""), "Gap - Missing LIA", IF(AND(G3722="Yes", H3722=""), "Gap - Missing Art. 9 Basis", IF(OR(I3722="Invalid - Not Freely Given", I3722="Invalid - Not Specific", I3722="Invalid - Not Informed", I3722="Invalid - Ambiguous"), "Gap - Invalid Consent", "Compliant")))))</f>
        <v/>
      </c>
      <c r="O3722" s="7" t="n"/>
    </row>
    <row r="3723">
      <c r="A3723" s="7" t="n"/>
      <c r="B3723" s="7" t="n"/>
      <c r="C3723" s="7" t="n"/>
      <c r="D3723" s="7" t="n"/>
      <c r="E3723" s="7" t="n"/>
      <c r="F3723" s="7" t="n"/>
      <c r="G3723" s="7" t="n"/>
      <c r="H3723" s="7" t="n"/>
      <c r="I3723" s="7" t="n"/>
      <c r="J3723" s="7" t="n"/>
      <c r="K3723">
        <f>IF(D3723="Legitimate Interest (GDPR Art. 6(1)(f))", "Yes / Required (Sheet 3)", "")</f>
        <v/>
      </c>
      <c r="L3723" s="7" t="n"/>
      <c r="M3723" s="7" t="n"/>
      <c r="N3723">
        <f>IF(D3723="", "Gap - No Legal Basis", IF(AND(D3723="Consent (GDPR Art. 6(1)(a))", I3723="Not Captured"), "Gap - Invalid Consent", IF(AND(D3723="Legitimate Interest (GDPR Art. 6(1)(f))", L3723=""), "Gap - Missing LIA", IF(AND(G3723="Yes", H3723=""), "Gap - Missing Art. 9 Basis", IF(OR(I3723="Invalid - Not Freely Given", I3723="Invalid - Not Specific", I3723="Invalid - Not Informed", I3723="Invalid - Ambiguous"), "Gap - Invalid Consent", "Compliant")))))</f>
        <v/>
      </c>
      <c r="O3723" s="7" t="n"/>
    </row>
    <row r="3724">
      <c r="A3724" s="7" t="n"/>
      <c r="B3724" s="7" t="n"/>
      <c r="C3724" s="7" t="n"/>
      <c r="D3724" s="7" t="n"/>
      <c r="E3724" s="7" t="n"/>
      <c r="F3724" s="7" t="n"/>
      <c r="G3724" s="7" t="n"/>
      <c r="H3724" s="7" t="n"/>
      <c r="I3724" s="7" t="n"/>
      <c r="J3724" s="7" t="n"/>
      <c r="K3724">
        <f>IF(D3724="Legitimate Interest (GDPR Art. 6(1)(f))", "Yes / Required (Sheet 3)", "")</f>
        <v/>
      </c>
      <c r="L3724" s="7" t="n"/>
      <c r="M3724" s="7" t="n"/>
      <c r="N3724">
        <f>IF(D3724="", "Gap - No Legal Basis", IF(AND(D3724="Consent (GDPR Art. 6(1)(a))", I3724="Not Captured"), "Gap - Invalid Consent", IF(AND(D3724="Legitimate Interest (GDPR Art. 6(1)(f))", L3724=""), "Gap - Missing LIA", IF(AND(G3724="Yes", H3724=""), "Gap - Missing Art. 9 Basis", IF(OR(I3724="Invalid - Not Freely Given", I3724="Invalid - Not Specific", I3724="Invalid - Not Informed", I3724="Invalid - Ambiguous"), "Gap - Invalid Consent", "Compliant")))))</f>
        <v/>
      </c>
      <c r="O3724" s="7" t="n"/>
    </row>
    <row r="3725">
      <c r="A3725" s="7" t="n"/>
      <c r="B3725" s="7" t="n"/>
      <c r="C3725" s="7" t="n"/>
      <c r="D3725" s="7" t="n"/>
      <c r="E3725" s="7" t="n"/>
      <c r="F3725" s="7" t="n"/>
      <c r="G3725" s="7" t="n"/>
      <c r="H3725" s="7" t="n"/>
      <c r="I3725" s="7" t="n"/>
      <c r="J3725" s="7" t="n"/>
      <c r="K3725">
        <f>IF(D3725="Legitimate Interest (GDPR Art. 6(1)(f))", "Yes / Required (Sheet 3)", "")</f>
        <v/>
      </c>
      <c r="L3725" s="7" t="n"/>
      <c r="M3725" s="7" t="n"/>
      <c r="N3725">
        <f>IF(D3725="", "Gap - No Legal Basis", IF(AND(D3725="Consent (GDPR Art. 6(1)(a))", I3725="Not Captured"), "Gap - Invalid Consent", IF(AND(D3725="Legitimate Interest (GDPR Art. 6(1)(f))", L3725=""), "Gap - Missing LIA", IF(AND(G3725="Yes", H3725=""), "Gap - Missing Art. 9 Basis", IF(OR(I3725="Invalid - Not Freely Given", I3725="Invalid - Not Specific", I3725="Invalid - Not Informed", I3725="Invalid - Ambiguous"), "Gap - Invalid Consent", "Compliant")))))</f>
        <v/>
      </c>
      <c r="O3725" s="7" t="n"/>
    </row>
    <row r="3726">
      <c r="A3726" s="7" t="n"/>
      <c r="B3726" s="7" t="n"/>
      <c r="C3726" s="7" t="n"/>
      <c r="D3726" s="7" t="n"/>
      <c r="E3726" s="7" t="n"/>
      <c r="F3726" s="7" t="n"/>
      <c r="G3726" s="7" t="n"/>
      <c r="H3726" s="7" t="n"/>
      <c r="I3726" s="7" t="n"/>
      <c r="J3726" s="7" t="n"/>
      <c r="K3726">
        <f>IF(D3726="Legitimate Interest (GDPR Art. 6(1)(f))", "Yes / Required (Sheet 3)", "")</f>
        <v/>
      </c>
      <c r="L3726" s="7" t="n"/>
      <c r="M3726" s="7" t="n"/>
      <c r="N3726">
        <f>IF(D3726="", "Gap - No Legal Basis", IF(AND(D3726="Consent (GDPR Art. 6(1)(a))", I3726="Not Captured"), "Gap - Invalid Consent", IF(AND(D3726="Legitimate Interest (GDPR Art. 6(1)(f))", L3726=""), "Gap - Missing LIA", IF(AND(G3726="Yes", H3726=""), "Gap - Missing Art. 9 Basis", IF(OR(I3726="Invalid - Not Freely Given", I3726="Invalid - Not Specific", I3726="Invalid - Not Informed", I3726="Invalid - Ambiguous"), "Gap - Invalid Consent", "Compliant")))))</f>
        <v/>
      </c>
      <c r="O3726" s="7" t="n"/>
    </row>
    <row r="3727">
      <c r="A3727" s="7" t="n"/>
      <c r="B3727" s="7" t="n"/>
      <c r="C3727" s="7" t="n"/>
      <c r="D3727" s="7" t="n"/>
      <c r="E3727" s="7" t="n"/>
      <c r="F3727" s="7" t="n"/>
      <c r="G3727" s="7" t="n"/>
      <c r="H3727" s="7" t="n"/>
      <c r="I3727" s="7" t="n"/>
      <c r="J3727" s="7" t="n"/>
      <c r="K3727">
        <f>IF(D3727="Legitimate Interest (GDPR Art. 6(1)(f))", "Yes / Required (Sheet 3)", "")</f>
        <v/>
      </c>
      <c r="L3727" s="7" t="n"/>
      <c r="M3727" s="7" t="n"/>
      <c r="N3727">
        <f>IF(D3727="", "Gap - No Legal Basis", IF(AND(D3727="Consent (GDPR Art. 6(1)(a))", I3727="Not Captured"), "Gap - Invalid Consent", IF(AND(D3727="Legitimate Interest (GDPR Art. 6(1)(f))", L3727=""), "Gap - Missing LIA", IF(AND(G3727="Yes", H3727=""), "Gap - Missing Art. 9 Basis", IF(OR(I3727="Invalid - Not Freely Given", I3727="Invalid - Not Specific", I3727="Invalid - Not Informed", I3727="Invalid - Ambiguous"), "Gap - Invalid Consent", "Compliant")))))</f>
        <v/>
      </c>
      <c r="O3727" s="7" t="n"/>
    </row>
    <row r="3728">
      <c r="A3728" s="7" t="n"/>
      <c r="B3728" s="7" t="n"/>
      <c r="C3728" s="7" t="n"/>
      <c r="D3728" s="7" t="n"/>
      <c r="E3728" s="7" t="n"/>
      <c r="F3728" s="7" t="n"/>
      <c r="G3728" s="7" t="n"/>
      <c r="H3728" s="7" t="n"/>
      <c r="I3728" s="7" t="n"/>
      <c r="J3728" s="7" t="n"/>
      <c r="K3728">
        <f>IF(D3728="Legitimate Interest (GDPR Art. 6(1)(f))", "Yes / Required (Sheet 3)", "")</f>
        <v/>
      </c>
      <c r="L3728" s="7" t="n"/>
      <c r="M3728" s="7" t="n"/>
      <c r="N3728">
        <f>IF(D3728="", "Gap - No Legal Basis", IF(AND(D3728="Consent (GDPR Art. 6(1)(a))", I3728="Not Captured"), "Gap - Invalid Consent", IF(AND(D3728="Legitimate Interest (GDPR Art. 6(1)(f))", L3728=""), "Gap - Missing LIA", IF(AND(G3728="Yes", H3728=""), "Gap - Missing Art. 9 Basis", IF(OR(I3728="Invalid - Not Freely Given", I3728="Invalid - Not Specific", I3728="Invalid - Not Informed", I3728="Invalid - Ambiguous"), "Gap - Invalid Consent", "Compliant")))))</f>
        <v/>
      </c>
      <c r="O3728" s="7" t="n"/>
    </row>
    <row r="3729">
      <c r="A3729" s="7" t="n"/>
      <c r="B3729" s="7" t="n"/>
      <c r="C3729" s="7" t="n"/>
      <c r="D3729" s="7" t="n"/>
      <c r="E3729" s="7" t="n"/>
      <c r="F3729" s="7" t="n"/>
      <c r="G3729" s="7" t="n"/>
      <c r="H3729" s="7" t="n"/>
      <c r="I3729" s="7" t="n"/>
      <c r="J3729" s="7" t="n"/>
      <c r="K3729">
        <f>IF(D3729="Legitimate Interest (GDPR Art. 6(1)(f))", "Yes / Required (Sheet 3)", "")</f>
        <v/>
      </c>
      <c r="L3729" s="7" t="n"/>
      <c r="M3729" s="7" t="n"/>
      <c r="N3729">
        <f>IF(D3729="", "Gap - No Legal Basis", IF(AND(D3729="Consent (GDPR Art. 6(1)(a))", I3729="Not Captured"), "Gap - Invalid Consent", IF(AND(D3729="Legitimate Interest (GDPR Art. 6(1)(f))", L3729=""), "Gap - Missing LIA", IF(AND(G3729="Yes", H3729=""), "Gap - Missing Art. 9 Basis", IF(OR(I3729="Invalid - Not Freely Given", I3729="Invalid - Not Specific", I3729="Invalid - Not Informed", I3729="Invalid - Ambiguous"), "Gap - Invalid Consent", "Compliant")))))</f>
        <v/>
      </c>
      <c r="O3729" s="7" t="n"/>
    </row>
    <row r="3730">
      <c r="A3730" s="7" t="n"/>
      <c r="B3730" s="7" t="n"/>
      <c r="C3730" s="7" t="n"/>
      <c r="D3730" s="7" t="n"/>
      <c r="E3730" s="7" t="n"/>
      <c r="F3730" s="7" t="n"/>
      <c r="G3730" s="7" t="n"/>
      <c r="H3730" s="7" t="n"/>
      <c r="I3730" s="7" t="n"/>
      <c r="J3730" s="7" t="n"/>
      <c r="K3730">
        <f>IF(D3730="Legitimate Interest (GDPR Art. 6(1)(f))", "Yes / Required (Sheet 3)", "")</f>
        <v/>
      </c>
      <c r="L3730" s="7" t="n"/>
      <c r="M3730" s="7" t="n"/>
      <c r="N3730">
        <f>IF(D3730="", "Gap - No Legal Basis", IF(AND(D3730="Consent (GDPR Art. 6(1)(a))", I3730="Not Captured"), "Gap - Invalid Consent", IF(AND(D3730="Legitimate Interest (GDPR Art. 6(1)(f))", L3730=""), "Gap - Missing LIA", IF(AND(G3730="Yes", H3730=""), "Gap - Missing Art. 9 Basis", IF(OR(I3730="Invalid - Not Freely Given", I3730="Invalid - Not Specific", I3730="Invalid - Not Informed", I3730="Invalid - Ambiguous"), "Gap - Invalid Consent", "Compliant")))))</f>
        <v/>
      </c>
      <c r="O3730" s="7" t="n"/>
    </row>
    <row r="3731">
      <c r="A3731" s="7" t="n"/>
      <c r="B3731" s="7" t="n"/>
      <c r="C3731" s="7" t="n"/>
      <c r="D3731" s="7" t="n"/>
      <c r="E3731" s="7" t="n"/>
      <c r="F3731" s="7" t="n"/>
      <c r="G3731" s="7" t="n"/>
      <c r="H3731" s="7" t="n"/>
      <c r="I3731" s="7" t="n"/>
      <c r="J3731" s="7" t="n"/>
      <c r="K3731">
        <f>IF(D3731="Legitimate Interest (GDPR Art. 6(1)(f))", "Yes / Required (Sheet 3)", "")</f>
        <v/>
      </c>
      <c r="L3731" s="7" t="n"/>
      <c r="M3731" s="7" t="n"/>
      <c r="N3731">
        <f>IF(D3731="", "Gap - No Legal Basis", IF(AND(D3731="Consent (GDPR Art. 6(1)(a))", I3731="Not Captured"), "Gap - Invalid Consent", IF(AND(D3731="Legitimate Interest (GDPR Art. 6(1)(f))", L3731=""), "Gap - Missing LIA", IF(AND(G3731="Yes", H3731=""), "Gap - Missing Art. 9 Basis", IF(OR(I3731="Invalid - Not Freely Given", I3731="Invalid - Not Specific", I3731="Invalid - Not Informed", I3731="Invalid - Ambiguous"), "Gap - Invalid Consent", "Compliant")))))</f>
        <v/>
      </c>
      <c r="O3731" s="7" t="n"/>
    </row>
    <row r="3732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7" t="n"/>
      <c r="J3732" s="7" t="n"/>
      <c r="K3732">
        <f>IF(D3732="Legitimate Interest (GDPR Art. 6(1)(f))", "Yes / Required (Sheet 3)", "")</f>
        <v/>
      </c>
      <c r="L3732" s="7" t="n"/>
      <c r="M3732" s="7" t="n"/>
      <c r="N3732">
        <f>IF(D3732="", "Gap - No Legal Basis", IF(AND(D3732="Consent (GDPR Art. 6(1)(a))", I3732="Not Captured"), "Gap - Invalid Consent", IF(AND(D3732="Legitimate Interest (GDPR Art. 6(1)(f))", L3732=""), "Gap - Missing LIA", IF(AND(G3732="Yes", H3732=""), "Gap - Missing Art. 9 Basis", IF(OR(I3732="Invalid - Not Freely Given", I3732="Invalid - Not Specific", I3732="Invalid - Not Informed", I3732="Invalid - Ambiguous"), "Gap - Invalid Consent", "Compliant")))))</f>
        <v/>
      </c>
      <c r="O3732" s="7" t="n"/>
    </row>
    <row r="3733">
      <c r="A3733" s="7" t="n"/>
      <c r="B3733" s="7" t="n"/>
      <c r="C3733" s="7" t="n"/>
      <c r="D3733" s="7" t="n"/>
      <c r="E3733" s="7" t="n"/>
      <c r="F3733" s="7" t="n"/>
      <c r="G3733" s="7" t="n"/>
      <c r="H3733" s="7" t="n"/>
      <c r="I3733" s="7" t="n"/>
      <c r="J3733" s="7" t="n"/>
      <c r="K3733">
        <f>IF(D3733="Legitimate Interest (GDPR Art. 6(1)(f))", "Yes / Required (Sheet 3)", "")</f>
        <v/>
      </c>
      <c r="L3733" s="7" t="n"/>
      <c r="M3733" s="7" t="n"/>
      <c r="N3733">
        <f>IF(D3733="", "Gap - No Legal Basis", IF(AND(D3733="Consent (GDPR Art. 6(1)(a))", I3733="Not Captured"), "Gap - Invalid Consent", IF(AND(D3733="Legitimate Interest (GDPR Art. 6(1)(f))", L3733=""), "Gap - Missing LIA", IF(AND(G3733="Yes", H3733=""), "Gap - Missing Art. 9 Basis", IF(OR(I3733="Invalid - Not Freely Given", I3733="Invalid - Not Specific", I3733="Invalid - Not Informed", I3733="Invalid - Ambiguous"), "Gap - Invalid Consent", "Compliant")))))</f>
        <v/>
      </c>
      <c r="O3733" s="7" t="n"/>
    </row>
    <row r="3734">
      <c r="A3734" s="7" t="n"/>
      <c r="B3734" s="7" t="n"/>
      <c r="C3734" s="7" t="n"/>
      <c r="D3734" s="7" t="n"/>
      <c r="E3734" s="7" t="n"/>
      <c r="F3734" s="7" t="n"/>
      <c r="G3734" s="7" t="n"/>
      <c r="H3734" s="7" t="n"/>
      <c r="I3734" s="7" t="n"/>
      <c r="J3734" s="7" t="n"/>
      <c r="K3734">
        <f>IF(D3734="Legitimate Interest (GDPR Art. 6(1)(f))", "Yes / Required (Sheet 3)", "")</f>
        <v/>
      </c>
      <c r="L3734" s="7" t="n"/>
      <c r="M3734" s="7" t="n"/>
      <c r="N3734">
        <f>IF(D3734="", "Gap - No Legal Basis", IF(AND(D3734="Consent (GDPR Art. 6(1)(a))", I3734="Not Captured"), "Gap - Invalid Consent", IF(AND(D3734="Legitimate Interest (GDPR Art. 6(1)(f))", L3734=""), "Gap - Missing LIA", IF(AND(G3734="Yes", H3734=""), "Gap - Missing Art. 9 Basis", IF(OR(I3734="Invalid - Not Freely Given", I3734="Invalid - Not Specific", I3734="Invalid - Not Informed", I3734="Invalid - Ambiguous"), "Gap - Invalid Consent", "Compliant")))))</f>
        <v/>
      </c>
      <c r="O3734" s="7" t="n"/>
    </row>
    <row r="3735">
      <c r="A3735" s="7" t="n"/>
      <c r="B3735" s="7" t="n"/>
      <c r="C3735" s="7" t="n"/>
      <c r="D3735" s="7" t="n"/>
      <c r="E3735" s="7" t="n"/>
      <c r="F3735" s="7" t="n"/>
      <c r="G3735" s="7" t="n"/>
      <c r="H3735" s="7" t="n"/>
      <c r="I3735" s="7" t="n"/>
      <c r="J3735" s="7" t="n"/>
      <c r="K3735">
        <f>IF(D3735="Legitimate Interest (GDPR Art. 6(1)(f))", "Yes / Required (Sheet 3)", "")</f>
        <v/>
      </c>
      <c r="L3735" s="7" t="n"/>
      <c r="M3735" s="7" t="n"/>
      <c r="N3735">
        <f>IF(D3735="", "Gap - No Legal Basis", IF(AND(D3735="Consent (GDPR Art. 6(1)(a))", I3735="Not Captured"), "Gap - Invalid Consent", IF(AND(D3735="Legitimate Interest (GDPR Art. 6(1)(f))", L3735=""), "Gap - Missing LIA", IF(AND(G3735="Yes", H3735=""), "Gap - Missing Art. 9 Basis", IF(OR(I3735="Invalid - Not Freely Given", I3735="Invalid - Not Specific", I3735="Invalid - Not Informed", I3735="Invalid - Ambiguous"), "Gap - Invalid Consent", "Compliant")))))</f>
        <v/>
      </c>
      <c r="O3735" s="7" t="n"/>
    </row>
    <row r="3736">
      <c r="A3736" s="7" t="n"/>
      <c r="B3736" s="7" t="n"/>
      <c r="C3736" s="7" t="n"/>
      <c r="D3736" s="7" t="n"/>
      <c r="E3736" s="7" t="n"/>
      <c r="F3736" s="7" t="n"/>
      <c r="G3736" s="7" t="n"/>
      <c r="H3736" s="7" t="n"/>
      <c r="I3736" s="7" t="n"/>
      <c r="J3736" s="7" t="n"/>
      <c r="K3736">
        <f>IF(D3736="Legitimate Interest (GDPR Art. 6(1)(f))", "Yes / Required (Sheet 3)", "")</f>
        <v/>
      </c>
      <c r="L3736" s="7" t="n"/>
      <c r="M3736" s="7" t="n"/>
      <c r="N3736">
        <f>IF(D3736="", "Gap - No Legal Basis", IF(AND(D3736="Consent (GDPR Art. 6(1)(a))", I3736="Not Captured"), "Gap - Invalid Consent", IF(AND(D3736="Legitimate Interest (GDPR Art. 6(1)(f))", L3736=""), "Gap - Missing LIA", IF(AND(G3736="Yes", H3736=""), "Gap - Missing Art. 9 Basis", IF(OR(I3736="Invalid - Not Freely Given", I3736="Invalid - Not Specific", I3736="Invalid - Not Informed", I3736="Invalid - Ambiguous"), "Gap - Invalid Consent", "Compliant")))))</f>
        <v/>
      </c>
      <c r="O3736" s="7" t="n"/>
    </row>
    <row r="3737">
      <c r="A3737" s="7" t="n"/>
      <c r="B3737" s="7" t="n"/>
      <c r="C3737" s="7" t="n"/>
      <c r="D3737" s="7" t="n"/>
      <c r="E3737" s="7" t="n"/>
      <c r="F3737" s="7" t="n"/>
      <c r="G3737" s="7" t="n"/>
      <c r="H3737" s="7" t="n"/>
      <c r="I3737" s="7" t="n"/>
      <c r="J3737" s="7" t="n"/>
      <c r="K3737">
        <f>IF(D3737="Legitimate Interest (GDPR Art. 6(1)(f))", "Yes / Required (Sheet 3)", "")</f>
        <v/>
      </c>
      <c r="L3737" s="7" t="n"/>
      <c r="M3737" s="7" t="n"/>
      <c r="N3737">
        <f>IF(D3737="", "Gap - No Legal Basis", IF(AND(D3737="Consent (GDPR Art. 6(1)(a))", I3737="Not Captured"), "Gap - Invalid Consent", IF(AND(D3737="Legitimate Interest (GDPR Art. 6(1)(f))", L3737=""), "Gap - Missing LIA", IF(AND(G3737="Yes", H3737=""), "Gap - Missing Art. 9 Basis", IF(OR(I3737="Invalid - Not Freely Given", I3737="Invalid - Not Specific", I3737="Invalid - Not Informed", I3737="Invalid - Ambiguous"), "Gap - Invalid Consent", "Compliant")))))</f>
        <v/>
      </c>
      <c r="O3737" s="7" t="n"/>
    </row>
    <row r="3738">
      <c r="A3738" s="7" t="n"/>
      <c r="B3738" s="7" t="n"/>
      <c r="C3738" s="7" t="n"/>
      <c r="D3738" s="7" t="n"/>
      <c r="E3738" s="7" t="n"/>
      <c r="F3738" s="7" t="n"/>
      <c r="G3738" s="7" t="n"/>
      <c r="H3738" s="7" t="n"/>
      <c r="I3738" s="7" t="n"/>
      <c r="J3738" s="7" t="n"/>
      <c r="K3738">
        <f>IF(D3738="Legitimate Interest (GDPR Art. 6(1)(f))", "Yes / Required (Sheet 3)", "")</f>
        <v/>
      </c>
      <c r="L3738" s="7" t="n"/>
      <c r="M3738" s="7" t="n"/>
      <c r="N3738">
        <f>IF(D3738="", "Gap - No Legal Basis", IF(AND(D3738="Consent (GDPR Art. 6(1)(a))", I3738="Not Captured"), "Gap - Invalid Consent", IF(AND(D3738="Legitimate Interest (GDPR Art. 6(1)(f))", L3738=""), "Gap - Missing LIA", IF(AND(G3738="Yes", H3738=""), "Gap - Missing Art. 9 Basis", IF(OR(I3738="Invalid - Not Freely Given", I3738="Invalid - Not Specific", I3738="Invalid - Not Informed", I3738="Invalid - Ambiguous"), "Gap - Invalid Consent", "Compliant")))))</f>
        <v/>
      </c>
      <c r="O3738" s="7" t="n"/>
    </row>
    <row r="3739">
      <c r="A3739" s="7" t="n"/>
      <c r="B3739" s="7" t="n"/>
      <c r="C3739" s="7" t="n"/>
      <c r="D3739" s="7" t="n"/>
      <c r="E3739" s="7" t="n"/>
      <c r="F3739" s="7" t="n"/>
      <c r="G3739" s="7" t="n"/>
      <c r="H3739" s="7" t="n"/>
      <c r="I3739" s="7" t="n"/>
      <c r="J3739" s="7" t="n"/>
      <c r="K3739">
        <f>IF(D3739="Legitimate Interest (GDPR Art. 6(1)(f))", "Yes / Required (Sheet 3)", "")</f>
        <v/>
      </c>
      <c r="L3739" s="7" t="n"/>
      <c r="M3739" s="7" t="n"/>
      <c r="N3739">
        <f>IF(D3739="", "Gap - No Legal Basis", IF(AND(D3739="Consent (GDPR Art. 6(1)(a))", I3739="Not Captured"), "Gap - Invalid Consent", IF(AND(D3739="Legitimate Interest (GDPR Art. 6(1)(f))", L3739=""), "Gap - Missing LIA", IF(AND(G3739="Yes", H3739=""), "Gap - Missing Art. 9 Basis", IF(OR(I3739="Invalid - Not Freely Given", I3739="Invalid - Not Specific", I3739="Invalid - Not Informed", I3739="Invalid - Ambiguous"), "Gap - Invalid Consent", "Compliant")))))</f>
        <v/>
      </c>
      <c r="O3739" s="7" t="n"/>
    </row>
    <row r="3740">
      <c r="A3740" s="7" t="n"/>
      <c r="B3740" s="7" t="n"/>
      <c r="C3740" s="7" t="n"/>
      <c r="D3740" s="7" t="n"/>
      <c r="E3740" s="7" t="n"/>
      <c r="F3740" s="7" t="n"/>
      <c r="G3740" s="7" t="n"/>
      <c r="H3740" s="7" t="n"/>
      <c r="I3740" s="7" t="n"/>
      <c r="J3740" s="7" t="n"/>
      <c r="K3740">
        <f>IF(D3740="Legitimate Interest (GDPR Art. 6(1)(f))", "Yes / Required (Sheet 3)", "")</f>
        <v/>
      </c>
      <c r="L3740" s="7" t="n"/>
      <c r="M3740" s="7" t="n"/>
      <c r="N3740">
        <f>IF(D3740="", "Gap - No Legal Basis", IF(AND(D3740="Consent (GDPR Art. 6(1)(a))", I3740="Not Captured"), "Gap - Invalid Consent", IF(AND(D3740="Legitimate Interest (GDPR Art. 6(1)(f))", L3740=""), "Gap - Missing LIA", IF(AND(G3740="Yes", H3740=""), "Gap - Missing Art. 9 Basis", IF(OR(I3740="Invalid - Not Freely Given", I3740="Invalid - Not Specific", I3740="Invalid - Not Informed", I3740="Invalid - Ambiguous"), "Gap - Invalid Consent", "Compliant")))))</f>
        <v/>
      </c>
      <c r="O3740" s="7" t="n"/>
    </row>
    <row r="3741">
      <c r="A3741" s="7" t="n"/>
      <c r="B3741" s="7" t="n"/>
      <c r="C3741" s="7" t="n"/>
      <c r="D3741" s="7" t="n"/>
      <c r="E3741" s="7" t="n"/>
      <c r="F3741" s="7" t="n"/>
      <c r="G3741" s="7" t="n"/>
      <c r="H3741" s="7" t="n"/>
      <c r="I3741" s="7" t="n"/>
      <c r="J3741" s="7" t="n"/>
      <c r="K3741">
        <f>IF(D3741="Legitimate Interest (GDPR Art. 6(1)(f))", "Yes / Required (Sheet 3)", "")</f>
        <v/>
      </c>
      <c r="L3741" s="7" t="n"/>
      <c r="M3741" s="7" t="n"/>
      <c r="N3741">
        <f>IF(D3741="", "Gap - No Legal Basis", IF(AND(D3741="Consent (GDPR Art. 6(1)(a))", I3741="Not Captured"), "Gap - Invalid Consent", IF(AND(D3741="Legitimate Interest (GDPR Art. 6(1)(f))", L3741=""), "Gap - Missing LIA", IF(AND(G3741="Yes", H3741=""), "Gap - Missing Art. 9 Basis", IF(OR(I3741="Invalid - Not Freely Given", I3741="Invalid - Not Specific", I3741="Invalid - Not Informed", I3741="Invalid - Ambiguous"), "Gap - Invalid Consent", "Compliant")))))</f>
        <v/>
      </c>
      <c r="O3741" s="7" t="n"/>
    </row>
    <row r="3742">
      <c r="A3742" s="7" t="n"/>
      <c r="B3742" s="7" t="n"/>
      <c r="C3742" s="7" t="n"/>
      <c r="D3742" s="7" t="n"/>
      <c r="E3742" s="7" t="n"/>
      <c r="F3742" s="7" t="n"/>
      <c r="G3742" s="7" t="n"/>
      <c r="H3742" s="7" t="n"/>
      <c r="I3742" s="7" t="n"/>
      <c r="J3742" s="7" t="n"/>
      <c r="K3742">
        <f>IF(D3742="Legitimate Interest (GDPR Art. 6(1)(f))", "Yes / Required (Sheet 3)", "")</f>
        <v/>
      </c>
      <c r="L3742" s="7" t="n"/>
      <c r="M3742" s="7" t="n"/>
      <c r="N3742">
        <f>IF(D3742="", "Gap - No Legal Basis", IF(AND(D3742="Consent (GDPR Art. 6(1)(a))", I3742="Not Captured"), "Gap - Invalid Consent", IF(AND(D3742="Legitimate Interest (GDPR Art. 6(1)(f))", L3742=""), "Gap - Missing LIA", IF(AND(G3742="Yes", H3742=""), "Gap - Missing Art. 9 Basis", IF(OR(I3742="Invalid - Not Freely Given", I3742="Invalid - Not Specific", I3742="Invalid - Not Informed", I3742="Invalid - Ambiguous"), "Gap - Invalid Consent", "Compliant")))))</f>
        <v/>
      </c>
      <c r="O3742" s="7" t="n"/>
    </row>
    <row r="3743">
      <c r="A3743" s="7" t="n"/>
      <c r="B3743" s="7" t="n"/>
      <c r="C3743" s="7" t="n"/>
      <c r="D3743" s="7" t="n"/>
      <c r="E3743" s="7" t="n"/>
      <c r="F3743" s="7" t="n"/>
      <c r="G3743" s="7" t="n"/>
      <c r="H3743" s="7" t="n"/>
      <c r="I3743" s="7" t="n"/>
      <c r="J3743" s="7" t="n"/>
      <c r="K3743">
        <f>IF(D3743="Legitimate Interest (GDPR Art. 6(1)(f))", "Yes / Required (Sheet 3)", "")</f>
        <v/>
      </c>
      <c r="L3743" s="7" t="n"/>
      <c r="M3743" s="7" t="n"/>
      <c r="N3743">
        <f>IF(D3743="", "Gap - No Legal Basis", IF(AND(D3743="Consent (GDPR Art. 6(1)(a))", I3743="Not Captured"), "Gap - Invalid Consent", IF(AND(D3743="Legitimate Interest (GDPR Art. 6(1)(f))", L3743=""), "Gap - Missing LIA", IF(AND(G3743="Yes", H3743=""), "Gap - Missing Art. 9 Basis", IF(OR(I3743="Invalid - Not Freely Given", I3743="Invalid - Not Specific", I3743="Invalid - Not Informed", I3743="Invalid - Ambiguous"), "Gap - Invalid Consent", "Compliant")))))</f>
        <v/>
      </c>
      <c r="O3743" s="7" t="n"/>
    </row>
    <row r="3744">
      <c r="A3744" s="7" t="n"/>
      <c r="B3744" s="7" t="n"/>
      <c r="C3744" s="7" t="n"/>
      <c r="D3744" s="7" t="n"/>
      <c r="E3744" s="7" t="n"/>
      <c r="F3744" s="7" t="n"/>
      <c r="G3744" s="7" t="n"/>
      <c r="H3744" s="7" t="n"/>
      <c r="I3744" s="7" t="n"/>
      <c r="J3744" s="7" t="n"/>
      <c r="K3744">
        <f>IF(D3744="Legitimate Interest (GDPR Art. 6(1)(f))", "Yes / Required (Sheet 3)", "")</f>
        <v/>
      </c>
      <c r="L3744" s="7" t="n"/>
      <c r="M3744" s="7" t="n"/>
      <c r="N3744">
        <f>IF(D3744="", "Gap - No Legal Basis", IF(AND(D3744="Consent (GDPR Art. 6(1)(a))", I3744="Not Captured"), "Gap - Invalid Consent", IF(AND(D3744="Legitimate Interest (GDPR Art. 6(1)(f))", L3744=""), "Gap - Missing LIA", IF(AND(G3744="Yes", H3744=""), "Gap - Missing Art. 9 Basis", IF(OR(I3744="Invalid - Not Freely Given", I3744="Invalid - Not Specific", I3744="Invalid - Not Informed", I3744="Invalid - Ambiguous"), "Gap - Invalid Consent", "Compliant")))))</f>
        <v/>
      </c>
      <c r="O3744" s="7" t="n"/>
    </row>
    <row r="3745">
      <c r="A3745" s="7" t="n"/>
      <c r="B3745" s="7" t="n"/>
      <c r="C3745" s="7" t="n"/>
      <c r="D3745" s="7" t="n"/>
      <c r="E3745" s="7" t="n"/>
      <c r="F3745" s="7" t="n"/>
      <c r="G3745" s="7" t="n"/>
      <c r="H3745" s="7" t="n"/>
      <c r="I3745" s="7" t="n"/>
      <c r="J3745" s="7" t="n"/>
      <c r="K3745">
        <f>IF(D3745="Legitimate Interest (GDPR Art. 6(1)(f))", "Yes / Required (Sheet 3)", "")</f>
        <v/>
      </c>
      <c r="L3745" s="7" t="n"/>
      <c r="M3745" s="7" t="n"/>
      <c r="N3745">
        <f>IF(D3745="", "Gap - No Legal Basis", IF(AND(D3745="Consent (GDPR Art. 6(1)(a))", I3745="Not Captured"), "Gap - Invalid Consent", IF(AND(D3745="Legitimate Interest (GDPR Art. 6(1)(f))", L3745=""), "Gap - Missing LIA", IF(AND(G3745="Yes", H3745=""), "Gap - Missing Art. 9 Basis", IF(OR(I3745="Invalid - Not Freely Given", I3745="Invalid - Not Specific", I3745="Invalid - Not Informed", I3745="Invalid - Ambiguous"), "Gap - Invalid Consent", "Compliant")))))</f>
        <v/>
      </c>
      <c r="O3745" s="7" t="n"/>
    </row>
    <row r="3746">
      <c r="A3746" s="7" t="n"/>
      <c r="B3746" s="7" t="n"/>
      <c r="C3746" s="7" t="n"/>
      <c r="D3746" s="7" t="n"/>
      <c r="E3746" s="7" t="n"/>
      <c r="F3746" s="7" t="n"/>
      <c r="G3746" s="7" t="n"/>
      <c r="H3746" s="7" t="n"/>
      <c r="I3746" s="7" t="n"/>
      <c r="J3746" s="7" t="n"/>
      <c r="K3746">
        <f>IF(D3746="Legitimate Interest (GDPR Art. 6(1)(f))", "Yes / Required (Sheet 3)", "")</f>
        <v/>
      </c>
      <c r="L3746" s="7" t="n"/>
      <c r="M3746" s="7" t="n"/>
      <c r="N3746">
        <f>IF(D3746="", "Gap - No Legal Basis", IF(AND(D3746="Consent (GDPR Art. 6(1)(a))", I3746="Not Captured"), "Gap - Invalid Consent", IF(AND(D3746="Legitimate Interest (GDPR Art. 6(1)(f))", L3746=""), "Gap - Missing LIA", IF(AND(G3746="Yes", H3746=""), "Gap - Missing Art. 9 Basis", IF(OR(I3746="Invalid - Not Freely Given", I3746="Invalid - Not Specific", I3746="Invalid - Not Informed", I3746="Invalid - Ambiguous"), "Gap - Invalid Consent", "Compliant")))))</f>
        <v/>
      </c>
      <c r="O3746" s="7" t="n"/>
    </row>
    <row r="3747">
      <c r="A3747" s="7" t="n"/>
      <c r="B3747" s="7" t="n"/>
      <c r="C3747" s="7" t="n"/>
      <c r="D3747" s="7" t="n"/>
      <c r="E3747" s="7" t="n"/>
      <c r="F3747" s="7" t="n"/>
      <c r="G3747" s="7" t="n"/>
      <c r="H3747" s="7" t="n"/>
      <c r="I3747" s="7" t="n"/>
      <c r="J3747" s="7" t="n"/>
      <c r="K3747">
        <f>IF(D3747="Legitimate Interest (GDPR Art. 6(1)(f))", "Yes / Required (Sheet 3)", "")</f>
        <v/>
      </c>
      <c r="L3747" s="7" t="n"/>
      <c r="M3747" s="7" t="n"/>
      <c r="N3747">
        <f>IF(D3747="", "Gap - No Legal Basis", IF(AND(D3747="Consent (GDPR Art. 6(1)(a))", I3747="Not Captured"), "Gap - Invalid Consent", IF(AND(D3747="Legitimate Interest (GDPR Art. 6(1)(f))", L3747=""), "Gap - Missing LIA", IF(AND(G3747="Yes", H3747=""), "Gap - Missing Art. 9 Basis", IF(OR(I3747="Invalid - Not Freely Given", I3747="Invalid - Not Specific", I3747="Invalid - Not Informed", I3747="Invalid - Ambiguous"), "Gap - Invalid Consent", "Compliant")))))</f>
        <v/>
      </c>
      <c r="O3747" s="7" t="n"/>
    </row>
    <row r="3748">
      <c r="A3748" s="7" t="n"/>
      <c r="B3748" s="7" t="n"/>
      <c r="C3748" s="7" t="n"/>
      <c r="D3748" s="7" t="n"/>
      <c r="E3748" s="7" t="n"/>
      <c r="F3748" s="7" t="n"/>
      <c r="G3748" s="7" t="n"/>
      <c r="H3748" s="7" t="n"/>
      <c r="I3748" s="7" t="n"/>
      <c r="J3748" s="7" t="n"/>
      <c r="K3748">
        <f>IF(D3748="Legitimate Interest (GDPR Art. 6(1)(f))", "Yes / Required (Sheet 3)", "")</f>
        <v/>
      </c>
      <c r="L3748" s="7" t="n"/>
      <c r="M3748" s="7" t="n"/>
      <c r="N3748">
        <f>IF(D3748="", "Gap - No Legal Basis", IF(AND(D3748="Consent (GDPR Art. 6(1)(a))", I3748="Not Captured"), "Gap - Invalid Consent", IF(AND(D3748="Legitimate Interest (GDPR Art. 6(1)(f))", L3748=""), "Gap - Missing LIA", IF(AND(G3748="Yes", H3748=""), "Gap - Missing Art. 9 Basis", IF(OR(I3748="Invalid - Not Freely Given", I3748="Invalid - Not Specific", I3748="Invalid - Not Informed", I3748="Invalid - Ambiguous"), "Gap - Invalid Consent", "Compliant")))))</f>
        <v/>
      </c>
      <c r="O3748" s="7" t="n"/>
    </row>
    <row r="3749">
      <c r="A3749" s="7" t="n"/>
      <c r="B3749" s="7" t="n"/>
      <c r="C3749" s="7" t="n"/>
      <c r="D3749" s="7" t="n"/>
      <c r="E3749" s="7" t="n"/>
      <c r="F3749" s="7" t="n"/>
      <c r="G3749" s="7" t="n"/>
      <c r="H3749" s="7" t="n"/>
      <c r="I3749" s="7" t="n"/>
      <c r="J3749" s="7" t="n"/>
      <c r="K3749">
        <f>IF(D3749="Legitimate Interest (GDPR Art. 6(1)(f))", "Yes / Required (Sheet 3)", "")</f>
        <v/>
      </c>
      <c r="L3749" s="7" t="n"/>
      <c r="M3749" s="7" t="n"/>
      <c r="N3749">
        <f>IF(D3749="", "Gap - No Legal Basis", IF(AND(D3749="Consent (GDPR Art. 6(1)(a))", I3749="Not Captured"), "Gap - Invalid Consent", IF(AND(D3749="Legitimate Interest (GDPR Art. 6(1)(f))", L3749=""), "Gap - Missing LIA", IF(AND(G3749="Yes", H3749=""), "Gap - Missing Art. 9 Basis", IF(OR(I3749="Invalid - Not Freely Given", I3749="Invalid - Not Specific", I3749="Invalid - Not Informed", I3749="Invalid - Ambiguous"), "Gap - Invalid Consent", "Compliant")))))</f>
        <v/>
      </c>
      <c r="O3749" s="7" t="n"/>
    </row>
    <row r="3750">
      <c r="A3750" s="7" t="n"/>
      <c r="B3750" s="7" t="n"/>
      <c r="C3750" s="7" t="n"/>
      <c r="D3750" s="7" t="n"/>
      <c r="E3750" s="7" t="n"/>
      <c r="F3750" s="7" t="n"/>
      <c r="G3750" s="7" t="n"/>
      <c r="H3750" s="7" t="n"/>
      <c r="I3750" s="7" t="n"/>
      <c r="J3750" s="7" t="n"/>
      <c r="K3750">
        <f>IF(D3750="Legitimate Interest (GDPR Art. 6(1)(f))", "Yes / Required (Sheet 3)", "")</f>
        <v/>
      </c>
      <c r="L3750" s="7" t="n"/>
      <c r="M3750" s="7" t="n"/>
      <c r="N3750">
        <f>IF(D3750="", "Gap - No Legal Basis", IF(AND(D3750="Consent (GDPR Art. 6(1)(a))", I3750="Not Captured"), "Gap - Invalid Consent", IF(AND(D3750="Legitimate Interest (GDPR Art. 6(1)(f))", L3750=""), "Gap - Missing LIA", IF(AND(G3750="Yes", H3750=""), "Gap - Missing Art. 9 Basis", IF(OR(I3750="Invalid - Not Freely Given", I3750="Invalid - Not Specific", I3750="Invalid - Not Informed", I3750="Invalid - Ambiguous"), "Gap - Invalid Consent", "Compliant")))))</f>
        <v/>
      </c>
      <c r="O3750" s="7" t="n"/>
    </row>
    <row r="3751">
      <c r="A3751" s="7" t="n"/>
      <c r="B3751" s="7" t="n"/>
      <c r="C3751" s="7" t="n"/>
      <c r="D3751" s="7" t="n"/>
      <c r="E3751" s="7" t="n"/>
      <c r="F3751" s="7" t="n"/>
      <c r="G3751" s="7" t="n"/>
      <c r="H3751" s="7" t="n"/>
      <c r="I3751" s="7" t="n"/>
      <c r="J3751" s="7" t="n"/>
      <c r="K3751">
        <f>IF(D3751="Legitimate Interest (GDPR Art. 6(1)(f))", "Yes / Required (Sheet 3)", "")</f>
        <v/>
      </c>
      <c r="L3751" s="7" t="n"/>
      <c r="M3751" s="7" t="n"/>
      <c r="N3751">
        <f>IF(D3751="", "Gap - No Legal Basis", IF(AND(D3751="Consent (GDPR Art. 6(1)(a))", I3751="Not Captured"), "Gap - Invalid Consent", IF(AND(D3751="Legitimate Interest (GDPR Art. 6(1)(f))", L3751=""), "Gap - Missing LIA", IF(AND(G3751="Yes", H3751=""), "Gap - Missing Art. 9 Basis", IF(OR(I3751="Invalid - Not Freely Given", I3751="Invalid - Not Specific", I3751="Invalid - Not Informed", I3751="Invalid - Ambiguous"), "Gap - Invalid Consent", "Compliant")))))</f>
        <v/>
      </c>
      <c r="O3751" s="7" t="n"/>
    </row>
    <row r="3752">
      <c r="A3752" s="7" t="n"/>
      <c r="B3752" s="7" t="n"/>
      <c r="C3752" s="7" t="n"/>
      <c r="D3752" s="7" t="n"/>
      <c r="E3752" s="7" t="n"/>
      <c r="F3752" s="7" t="n"/>
      <c r="G3752" s="7" t="n"/>
      <c r="H3752" s="7" t="n"/>
      <c r="I3752" s="7" t="n"/>
      <c r="J3752" s="7" t="n"/>
      <c r="K3752">
        <f>IF(D3752="Legitimate Interest (GDPR Art. 6(1)(f))", "Yes / Required (Sheet 3)", "")</f>
        <v/>
      </c>
      <c r="L3752" s="7" t="n"/>
      <c r="M3752" s="7" t="n"/>
      <c r="N3752">
        <f>IF(D3752="", "Gap - No Legal Basis", IF(AND(D3752="Consent (GDPR Art. 6(1)(a))", I3752="Not Captured"), "Gap - Invalid Consent", IF(AND(D3752="Legitimate Interest (GDPR Art. 6(1)(f))", L3752=""), "Gap - Missing LIA", IF(AND(G3752="Yes", H3752=""), "Gap - Missing Art. 9 Basis", IF(OR(I3752="Invalid - Not Freely Given", I3752="Invalid - Not Specific", I3752="Invalid - Not Informed", I3752="Invalid - Ambiguous"), "Gap - Invalid Consent", "Compliant")))))</f>
        <v/>
      </c>
      <c r="O3752" s="7" t="n"/>
    </row>
    <row r="3753">
      <c r="A3753" s="7" t="n"/>
      <c r="B3753" s="7" t="n"/>
      <c r="C3753" s="7" t="n"/>
      <c r="D3753" s="7" t="n"/>
      <c r="E3753" s="7" t="n"/>
      <c r="F3753" s="7" t="n"/>
      <c r="G3753" s="7" t="n"/>
      <c r="H3753" s="7" t="n"/>
      <c r="I3753" s="7" t="n"/>
      <c r="J3753" s="7" t="n"/>
      <c r="K3753">
        <f>IF(D3753="Legitimate Interest (GDPR Art. 6(1)(f))", "Yes / Required (Sheet 3)", "")</f>
        <v/>
      </c>
      <c r="L3753" s="7" t="n"/>
      <c r="M3753" s="7" t="n"/>
      <c r="N3753">
        <f>IF(D3753="", "Gap - No Legal Basis", IF(AND(D3753="Consent (GDPR Art. 6(1)(a))", I3753="Not Captured"), "Gap - Invalid Consent", IF(AND(D3753="Legitimate Interest (GDPR Art. 6(1)(f))", L3753=""), "Gap - Missing LIA", IF(AND(G3753="Yes", H3753=""), "Gap - Missing Art. 9 Basis", IF(OR(I3753="Invalid - Not Freely Given", I3753="Invalid - Not Specific", I3753="Invalid - Not Informed", I3753="Invalid - Ambiguous"), "Gap - Invalid Consent", "Compliant")))))</f>
        <v/>
      </c>
      <c r="O3753" s="7" t="n"/>
    </row>
    <row r="3754">
      <c r="A3754" s="7" t="n"/>
      <c r="B3754" s="7" t="n"/>
      <c r="C3754" s="7" t="n"/>
      <c r="D3754" s="7" t="n"/>
      <c r="E3754" s="7" t="n"/>
      <c r="F3754" s="7" t="n"/>
      <c r="G3754" s="7" t="n"/>
      <c r="H3754" s="7" t="n"/>
      <c r="I3754" s="7" t="n"/>
      <c r="J3754" s="7" t="n"/>
      <c r="K3754">
        <f>IF(D3754="Legitimate Interest (GDPR Art. 6(1)(f))", "Yes / Required (Sheet 3)", "")</f>
        <v/>
      </c>
      <c r="L3754" s="7" t="n"/>
      <c r="M3754" s="7" t="n"/>
      <c r="N3754">
        <f>IF(D3754="", "Gap - No Legal Basis", IF(AND(D3754="Consent (GDPR Art. 6(1)(a))", I3754="Not Captured"), "Gap - Invalid Consent", IF(AND(D3754="Legitimate Interest (GDPR Art. 6(1)(f))", L3754=""), "Gap - Missing LIA", IF(AND(G3754="Yes", H3754=""), "Gap - Missing Art. 9 Basis", IF(OR(I3754="Invalid - Not Freely Given", I3754="Invalid - Not Specific", I3754="Invalid - Not Informed", I3754="Invalid - Ambiguous"), "Gap - Invalid Consent", "Compliant")))))</f>
        <v/>
      </c>
      <c r="O3754" s="7" t="n"/>
    </row>
    <row r="3755">
      <c r="A3755" s="7" t="n"/>
      <c r="B3755" s="7" t="n"/>
      <c r="C3755" s="7" t="n"/>
      <c r="D3755" s="7" t="n"/>
      <c r="E3755" s="7" t="n"/>
      <c r="F3755" s="7" t="n"/>
      <c r="G3755" s="7" t="n"/>
      <c r="H3755" s="7" t="n"/>
      <c r="I3755" s="7" t="n"/>
      <c r="J3755" s="7" t="n"/>
      <c r="K3755">
        <f>IF(D3755="Legitimate Interest (GDPR Art. 6(1)(f))", "Yes / Required (Sheet 3)", "")</f>
        <v/>
      </c>
      <c r="L3755" s="7" t="n"/>
      <c r="M3755" s="7" t="n"/>
      <c r="N3755">
        <f>IF(D3755="", "Gap - No Legal Basis", IF(AND(D3755="Consent (GDPR Art. 6(1)(a))", I3755="Not Captured"), "Gap - Invalid Consent", IF(AND(D3755="Legitimate Interest (GDPR Art. 6(1)(f))", L3755=""), "Gap - Missing LIA", IF(AND(G3755="Yes", H3755=""), "Gap - Missing Art. 9 Basis", IF(OR(I3755="Invalid - Not Freely Given", I3755="Invalid - Not Specific", I3755="Invalid - Not Informed", I3755="Invalid - Ambiguous"), "Gap - Invalid Consent", "Compliant")))))</f>
        <v/>
      </c>
      <c r="O3755" s="7" t="n"/>
    </row>
    <row r="3756">
      <c r="A3756" s="7" t="n"/>
      <c r="B3756" s="7" t="n"/>
      <c r="C3756" s="7" t="n"/>
      <c r="D3756" s="7" t="n"/>
      <c r="E3756" s="7" t="n"/>
      <c r="F3756" s="7" t="n"/>
      <c r="G3756" s="7" t="n"/>
      <c r="H3756" s="7" t="n"/>
      <c r="I3756" s="7" t="n"/>
      <c r="J3756" s="7" t="n"/>
      <c r="K3756">
        <f>IF(D3756="Legitimate Interest (GDPR Art. 6(1)(f))", "Yes / Required (Sheet 3)", "")</f>
        <v/>
      </c>
      <c r="L3756" s="7" t="n"/>
      <c r="M3756" s="7" t="n"/>
      <c r="N3756">
        <f>IF(D3756="", "Gap - No Legal Basis", IF(AND(D3756="Consent (GDPR Art. 6(1)(a))", I3756="Not Captured"), "Gap - Invalid Consent", IF(AND(D3756="Legitimate Interest (GDPR Art. 6(1)(f))", L3756=""), "Gap - Missing LIA", IF(AND(G3756="Yes", H3756=""), "Gap - Missing Art. 9 Basis", IF(OR(I3756="Invalid - Not Freely Given", I3756="Invalid - Not Specific", I3756="Invalid - Not Informed", I3756="Invalid - Ambiguous"), "Gap - Invalid Consent", "Compliant")))))</f>
        <v/>
      </c>
      <c r="O3756" s="7" t="n"/>
    </row>
    <row r="3757">
      <c r="A3757" s="7" t="n"/>
      <c r="B3757" s="7" t="n"/>
      <c r="C3757" s="7" t="n"/>
      <c r="D3757" s="7" t="n"/>
      <c r="E3757" s="7" t="n"/>
      <c r="F3757" s="7" t="n"/>
      <c r="G3757" s="7" t="n"/>
      <c r="H3757" s="7" t="n"/>
      <c r="I3757" s="7" t="n"/>
      <c r="J3757" s="7" t="n"/>
      <c r="K3757">
        <f>IF(D3757="Legitimate Interest (GDPR Art. 6(1)(f))", "Yes / Required (Sheet 3)", "")</f>
        <v/>
      </c>
      <c r="L3757" s="7" t="n"/>
      <c r="M3757" s="7" t="n"/>
      <c r="N3757">
        <f>IF(D3757="", "Gap - No Legal Basis", IF(AND(D3757="Consent (GDPR Art. 6(1)(a))", I3757="Not Captured"), "Gap - Invalid Consent", IF(AND(D3757="Legitimate Interest (GDPR Art. 6(1)(f))", L3757=""), "Gap - Missing LIA", IF(AND(G3757="Yes", H3757=""), "Gap - Missing Art. 9 Basis", IF(OR(I3757="Invalid - Not Freely Given", I3757="Invalid - Not Specific", I3757="Invalid - Not Informed", I3757="Invalid - Ambiguous"), "Gap - Invalid Consent", "Compliant")))))</f>
        <v/>
      </c>
      <c r="O3757" s="7" t="n"/>
    </row>
    <row r="3758">
      <c r="A3758" s="7" t="n"/>
      <c r="B3758" s="7" t="n"/>
      <c r="C3758" s="7" t="n"/>
      <c r="D3758" s="7" t="n"/>
      <c r="E3758" s="7" t="n"/>
      <c r="F3758" s="7" t="n"/>
      <c r="G3758" s="7" t="n"/>
      <c r="H3758" s="7" t="n"/>
      <c r="I3758" s="7" t="n"/>
      <c r="J3758" s="7" t="n"/>
      <c r="K3758">
        <f>IF(D3758="Legitimate Interest (GDPR Art. 6(1)(f))", "Yes / Required (Sheet 3)", "")</f>
        <v/>
      </c>
      <c r="L3758" s="7" t="n"/>
      <c r="M3758" s="7" t="n"/>
      <c r="N3758">
        <f>IF(D3758="", "Gap - No Legal Basis", IF(AND(D3758="Consent (GDPR Art. 6(1)(a))", I3758="Not Captured"), "Gap - Invalid Consent", IF(AND(D3758="Legitimate Interest (GDPR Art. 6(1)(f))", L3758=""), "Gap - Missing LIA", IF(AND(G3758="Yes", H3758=""), "Gap - Missing Art. 9 Basis", IF(OR(I3758="Invalid - Not Freely Given", I3758="Invalid - Not Specific", I3758="Invalid - Not Informed", I3758="Invalid - Ambiguous"), "Gap - Invalid Consent", "Compliant")))))</f>
        <v/>
      </c>
      <c r="O3758" s="7" t="n"/>
    </row>
    <row r="3759">
      <c r="A3759" s="7" t="n"/>
      <c r="B3759" s="7" t="n"/>
      <c r="C3759" s="7" t="n"/>
      <c r="D3759" s="7" t="n"/>
      <c r="E3759" s="7" t="n"/>
      <c r="F3759" s="7" t="n"/>
      <c r="G3759" s="7" t="n"/>
      <c r="H3759" s="7" t="n"/>
      <c r="I3759" s="7" t="n"/>
      <c r="J3759" s="7" t="n"/>
      <c r="K3759">
        <f>IF(D3759="Legitimate Interest (GDPR Art. 6(1)(f))", "Yes / Required (Sheet 3)", "")</f>
        <v/>
      </c>
      <c r="L3759" s="7" t="n"/>
      <c r="M3759" s="7" t="n"/>
      <c r="N3759">
        <f>IF(D3759="", "Gap - No Legal Basis", IF(AND(D3759="Consent (GDPR Art. 6(1)(a))", I3759="Not Captured"), "Gap - Invalid Consent", IF(AND(D3759="Legitimate Interest (GDPR Art. 6(1)(f))", L3759=""), "Gap - Missing LIA", IF(AND(G3759="Yes", H3759=""), "Gap - Missing Art. 9 Basis", IF(OR(I3759="Invalid - Not Freely Given", I3759="Invalid - Not Specific", I3759="Invalid - Not Informed", I3759="Invalid - Ambiguous"), "Gap - Invalid Consent", "Compliant")))))</f>
        <v/>
      </c>
      <c r="O3759" s="7" t="n"/>
    </row>
    <row r="3760">
      <c r="A3760" s="7" t="n"/>
      <c r="B3760" s="7" t="n"/>
      <c r="C3760" s="7" t="n"/>
      <c r="D3760" s="7" t="n"/>
      <c r="E3760" s="7" t="n"/>
      <c r="F3760" s="7" t="n"/>
      <c r="G3760" s="7" t="n"/>
      <c r="H3760" s="7" t="n"/>
      <c r="I3760" s="7" t="n"/>
      <c r="J3760" s="7" t="n"/>
      <c r="K3760">
        <f>IF(D3760="Legitimate Interest (GDPR Art. 6(1)(f))", "Yes / Required (Sheet 3)", "")</f>
        <v/>
      </c>
      <c r="L3760" s="7" t="n"/>
      <c r="M3760" s="7" t="n"/>
      <c r="N3760">
        <f>IF(D3760="", "Gap - No Legal Basis", IF(AND(D3760="Consent (GDPR Art. 6(1)(a))", I3760="Not Captured"), "Gap - Invalid Consent", IF(AND(D3760="Legitimate Interest (GDPR Art. 6(1)(f))", L3760=""), "Gap - Missing LIA", IF(AND(G3760="Yes", H3760=""), "Gap - Missing Art. 9 Basis", IF(OR(I3760="Invalid - Not Freely Given", I3760="Invalid - Not Specific", I3760="Invalid - Not Informed", I3760="Invalid - Ambiguous"), "Gap - Invalid Consent", "Compliant")))))</f>
        <v/>
      </c>
      <c r="O3760" s="7" t="n"/>
    </row>
    <row r="3761">
      <c r="A3761" s="7" t="n"/>
      <c r="B3761" s="7" t="n"/>
      <c r="C3761" s="7" t="n"/>
      <c r="D3761" s="7" t="n"/>
      <c r="E3761" s="7" t="n"/>
      <c r="F3761" s="7" t="n"/>
      <c r="G3761" s="7" t="n"/>
      <c r="H3761" s="7" t="n"/>
      <c r="I3761" s="7" t="n"/>
      <c r="J3761" s="7" t="n"/>
      <c r="K3761">
        <f>IF(D3761="Legitimate Interest (GDPR Art. 6(1)(f))", "Yes / Required (Sheet 3)", "")</f>
        <v/>
      </c>
      <c r="L3761" s="7" t="n"/>
      <c r="M3761" s="7" t="n"/>
      <c r="N3761">
        <f>IF(D3761="", "Gap - No Legal Basis", IF(AND(D3761="Consent (GDPR Art. 6(1)(a))", I3761="Not Captured"), "Gap - Invalid Consent", IF(AND(D3761="Legitimate Interest (GDPR Art. 6(1)(f))", L3761=""), "Gap - Missing LIA", IF(AND(G3761="Yes", H3761=""), "Gap - Missing Art. 9 Basis", IF(OR(I3761="Invalid - Not Freely Given", I3761="Invalid - Not Specific", I3761="Invalid - Not Informed", I3761="Invalid - Ambiguous"), "Gap - Invalid Consent", "Compliant")))))</f>
        <v/>
      </c>
      <c r="O3761" s="7" t="n"/>
    </row>
    <row r="3762">
      <c r="A3762" s="7" t="n"/>
      <c r="B3762" s="7" t="n"/>
      <c r="C3762" s="7" t="n"/>
      <c r="D3762" s="7" t="n"/>
      <c r="E3762" s="7" t="n"/>
      <c r="F3762" s="7" t="n"/>
      <c r="G3762" s="7" t="n"/>
      <c r="H3762" s="7" t="n"/>
      <c r="I3762" s="7" t="n"/>
      <c r="J3762" s="7" t="n"/>
      <c r="K3762">
        <f>IF(D3762="Legitimate Interest (GDPR Art. 6(1)(f))", "Yes / Required (Sheet 3)", "")</f>
        <v/>
      </c>
      <c r="L3762" s="7" t="n"/>
      <c r="M3762" s="7" t="n"/>
      <c r="N3762">
        <f>IF(D3762="", "Gap - No Legal Basis", IF(AND(D3762="Consent (GDPR Art. 6(1)(a))", I3762="Not Captured"), "Gap - Invalid Consent", IF(AND(D3762="Legitimate Interest (GDPR Art. 6(1)(f))", L3762=""), "Gap - Missing LIA", IF(AND(G3762="Yes", H3762=""), "Gap - Missing Art. 9 Basis", IF(OR(I3762="Invalid - Not Freely Given", I3762="Invalid - Not Specific", I3762="Invalid - Not Informed", I3762="Invalid - Ambiguous"), "Gap - Invalid Consent", "Compliant")))))</f>
        <v/>
      </c>
      <c r="O3762" s="7" t="n"/>
    </row>
    <row r="3763">
      <c r="A3763" s="7" t="n"/>
      <c r="B3763" s="7" t="n"/>
      <c r="C3763" s="7" t="n"/>
      <c r="D3763" s="7" t="n"/>
      <c r="E3763" s="7" t="n"/>
      <c r="F3763" s="7" t="n"/>
      <c r="G3763" s="7" t="n"/>
      <c r="H3763" s="7" t="n"/>
      <c r="I3763" s="7" t="n"/>
      <c r="J3763" s="7" t="n"/>
      <c r="K3763">
        <f>IF(D3763="Legitimate Interest (GDPR Art. 6(1)(f))", "Yes / Required (Sheet 3)", "")</f>
        <v/>
      </c>
      <c r="L3763" s="7" t="n"/>
      <c r="M3763" s="7" t="n"/>
      <c r="N3763">
        <f>IF(D3763="", "Gap - No Legal Basis", IF(AND(D3763="Consent (GDPR Art. 6(1)(a))", I3763="Not Captured"), "Gap - Invalid Consent", IF(AND(D3763="Legitimate Interest (GDPR Art. 6(1)(f))", L3763=""), "Gap - Missing LIA", IF(AND(G3763="Yes", H3763=""), "Gap - Missing Art. 9 Basis", IF(OR(I3763="Invalid - Not Freely Given", I3763="Invalid - Not Specific", I3763="Invalid - Not Informed", I3763="Invalid - Ambiguous"), "Gap - Invalid Consent", "Compliant")))))</f>
        <v/>
      </c>
      <c r="O3763" s="7" t="n"/>
    </row>
    <row r="3764">
      <c r="A3764" s="7" t="n"/>
      <c r="B3764" s="7" t="n"/>
      <c r="C3764" s="7" t="n"/>
      <c r="D3764" s="7" t="n"/>
      <c r="E3764" s="7" t="n"/>
      <c r="F3764" s="7" t="n"/>
      <c r="G3764" s="7" t="n"/>
      <c r="H3764" s="7" t="n"/>
      <c r="I3764" s="7" t="n"/>
      <c r="J3764" s="7" t="n"/>
      <c r="K3764">
        <f>IF(D3764="Legitimate Interest (GDPR Art. 6(1)(f))", "Yes / Required (Sheet 3)", "")</f>
        <v/>
      </c>
      <c r="L3764" s="7" t="n"/>
      <c r="M3764" s="7" t="n"/>
      <c r="N3764">
        <f>IF(D3764="", "Gap - No Legal Basis", IF(AND(D3764="Consent (GDPR Art. 6(1)(a))", I3764="Not Captured"), "Gap - Invalid Consent", IF(AND(D3764="Legitimate Interest (GDPR Art. 6(1)(f))", L3764=""), "Gap - Missing LIA", IF(AND(G3764="Yes", H3764=""), "Gap - Missing Art. 9 Basis", IF(OR(I3764="Invalid - Not Freely Given", I3764="Invalid - Not Specific", I3764="Invalid - Not Informed", I3764="Invalid - Ambiguous"), "Gap - Invalid Consent", "Compliant")))))</f>
        <v/>
      </c>
      <c r="O3764" s="7" t="n"/>
    </row>
    <row r="3765">
      <c r="A3765" s="7" t="n"/>
      <c r="B3765" s="7" t="n"/>
      <c r="C3765" s="7" t="n"/>
      <c r="D3765" s="7" t="n"/>
      <c r="E3765" s="7" t="n"/>
      <c r="F3765" s="7" t="n"/>
      <c r="G3765" s="7" t="n"/>
      <c r="H3765" s="7" t="n"/>
      <c r="I3765" s="7" t="n"/>
      <c r="J3765" s="7" t="n"/>
      <c r="K3765">
        <f>IF(D3765="Legitimate Interest (GDPR Art. 6(1)(f))", "Yes / Required (Sheet 3)", "")</f>
        <v/>
      </c>
      <c r="L3765" s="7" t="n"/>
      <c r="M3765" s="7" t="n"/>
      <c r="N3765">
        <f>IF(D3765="", "Gap - No Legal Basis", IF(AND(D3765="Consent (GDPR Art. 6(1)(a))", I3765="Not Captured"), "Gap - Invalid Consent", IF(AND(D3765="Legitimate Interest (GDPR Art. 6(1)(f))", L3765=""), "Gap - Missing LIA", IF(AND(G3765="Yes", H3765=""), "Gap - Missing Art. 9 Basis", IF(OR(I3765="Invalid - Not Freely Given", I3765="Invalid - Not Specific", I3765="Invalid - Not Informed", I3765="Invalid - Ambiguous"), "Gap - Invalid Consent", "Compliant")))))</f>
        <v/>
      </c>
      <c r="O3765" s="7" t="n"/>
    </row>
    <row r="3766">
      <c r="A3766" s="7" t="n"/>
      <c r="B3766" s="7" t="n"/>
      <c r="C3766" s="7" t="n"/>
      <c r="D3766" s="7" t="n"/>
      <c r="E3766" s="7" t="n"/>
      <c r="F3766" s="7" t="n"/>
      <c r="G3766" s="7" t="n"/>
      <c r="H3766" s="7" t="n"/>
      <c r="I3766" s="7" t="n"/>
      <c r="J3766" s="7" t="n"/>
      <c r="K3766">
        <f>IF(D3766="Legitimate Interest (GDPR Art. 6(1)(f))", "Yes / Required (Sheet 3)", "")</f>
        <v/>
      </c>
      <c r="L3766" s="7" t="n"/>
      <c r="M3766" s="7" t="n"/>
      <c r="N3766">
        <f>IF(D3766="", "Gap - No Legal Basis", IF(AND(D3766="Consent (GDPR Art. 6(1)(a))", I3766="Not Captured"), "Gap - Invalid Consent", IF(AND(D3766="Legitimate Interest (GDPR Art. 6(1)(f))", L3766=""), "Gap - Missing LIA", IF(AND(G3766="Yes", H3766=""), "Gap - Missing Art. 9 Basis", IF(OR(I3766="Invalid - Not Freely Given", I3766="Invalid - Not Specific", I3766="Invalid - Not Informed", I3766="Invalid - Ambiguous"), "Gap - Invalid Consent", "Compliant")))))</f>
        <v/>
      </c>
      <c r="O3766" s="7" t="n"/>
    </row>
    <row r="3767">
      <c r="A3767" s="7" t="n"/>
      <c r="B3767" s="7" t="n"/>
      <c r="C3767" s="7" t="n"/>
      <c r="D3767" s="7" t="n"/>
      <c r="E3767" s="7" t="n"/>
      <c r="F3767" s="7" t="n"/>
      <c r="G3767" s="7" t="n"/>
      <c r="H3767" s="7" t="n"/>
      <c r="I3767" s="7" t="n"/>
      <c r="J3767" s="7" t="n"/>
      <c r="K3767">
        <f>IF(D3767="Legitimate Interest (GDPR Art. 6(1)(f))", "Yes / Required (Sheet 3)", "")</f>
        <v/>
      </c>
      <c r="L3767" s="7" t="n"/>
      <c r="M3767" s="7" t="n"/>
      <c r="N3767">
        <f>IF(D3767="", "Gap - No Legal Basis", IF(AND(D3767="Consent (GDPR Art. 6(1)(a))", I3767="Not Captured"), "Gap - Invalid Consent", IF(AND(D3767="Legitimate Interest (GDPR Art. 6(1)(f))", L3767=""), "Gap - Missing LIA", IF(AND(G3767="Yes", H3767=""), "Gap - Missing Art. 9 Basis", IF(OR(I3767="Invalid - Not Freely Given", I3767="Invalid - Not Specific", I3767="Invalid - Not Informed", I3767="Invalid - Ambiguous"), "Gap - Invalid Consent", "Compliant")))))</f>
        <v/>
      </c>
      <c r="O3767" s="7" t="n"/>
    </row>
    <row r="3768">
      <c r="A3768" s="7" t="n"/>
      <c r="B3768" s="7" t="n"/>
      <c r="C3768" s="7" t="n"/>
      <c r="D3768" s="7" t="n"/>
      <c r="E3768" s="7" t="n"/>
      <c r="F3768" s="7" t="n"/>
      <c r="G3768" s="7" t="n"/>
      <c r="H3768" s="7" t="n"/>
      <c r="I3768" s="7" t="n"/>
      <c r="J3768" s="7" t="n"/>
      <c r="K3768">
        <f>IF(D3768="Legitimate Interest (GDPR Art. 6(1)(f))", "Yes / Required (Sheet 3)", "")</f>
        <v/>
      </c>
      <c r="L3768" s="7" t="n"/>
      <c r="M3768" s="7" t="n"/>
      <c r="N3768">
        <f>IF(D3768="", "Gap - No Legal Basis", IF(AND(D3768="Consent (GDPR Art. 6(1)(a))", I3768="Not Captured"), "Gap - Invalid Consent", IF(AND(D3768="Legitimate Interest (GDPR Art. 6(1)(f))", L3768=""), "Gap - Missing LIA", IF(AND(G3768="Yes", H3768=""), "Gap - Missing Art. 9 Basis", IF(OR(I3768="Invalid - Not Freely Given", I3768="Invalid - Not Specific", I3768="Invalid - Not Informed", I3768="Invalid - Ambiguous"), "Gap - Invalid Consent", "Compliant")))))</f>
        <v/>
      </c>
      <c r="O3768" s="7" t="n"/>
    </row>
    <row r="3769">
      <c r="A3769" s="7" t="n"/>
      <c r="B3769" s="7" t="n"/>
      <c r="C3769" s="7" t="n"/>
      <c r="D3769" s="7" t="n"/>
      <c r="E3769" s="7" t="n"/>
      <c r="F3769" s="7" t="n"/>
      <c r="G3769" s="7" t="n"/>
      <c r="H3769" s="7" t="n"/>
      <c r="I3769" s="7" t="n"/>
      <c r="J3769" s="7" t="n"/>
      <c r="K3769">
        <f>IF(D3769="Legitimate Interest (GDPR Art. 6(1)(f))", "Yes / Required (Sheet 3)", "")</f>
        <v/>
      </c>
      <c r="L3769" s="7" t="n"/>
      <c r="M3769" s="7" t="n"/>
      <c r="N3769">
        <f>IF(D3769="", "Gap - No Legal Basis", IF(AND(D3769="Consent (GDPR Art. 6(1)(a))", I3769="Not Captured"), "Gap - Invalid Consent", IF(AND(D3769="Legitimate Interest (GDPR Art. 6(1)(f))", L3769=""), "Gap - Missing LIA", IF(AND(G3769="Yes", H3769=""), "Gap - Missing Art. 9 Basis", IF(OR(I3769="Invalid - Not Freely Given", I3769="Invalid - Not Specific", I3769="Invalid - Not Informed", I3769="Invalid - Ambiguous"), "Gap - Invalid Consent", "Compliant")))))</f>
        <v/>
      </c>
      <c r="O3769" s="7" t="n"/>
    </row>
    <row r="3770">
      <c r="A3770" s="7" t="n"/>
      <c r="B3770" s="7" t="n"/>
      <c r="C3770" s="7" t="n"/>
      <c r="D3770" s="7" t="n"/>
      <c r="E3770" s="7" t="n"/>
      <c r="F3770" s="7" t="n"/>
      <c r="G3770" s="7" t="n"/>
      <c r="H3770" s="7" t="n"/>
      <c r="I3770" s="7" t="n"/>
      <c r="J3770" s="7" t="n"/>
      <c r="K3770">
        <f>IF(D3770="Legitimate Interest (GDPR Art. 6(1)(f))", "Yes / Required (Sheet 3)", "")</f>
        <v/>
      </c>
      <c r="L3770" s="7" t="n"/>
      <c r="M3770" s="7" t="n"/>
      <c r="N3770">
        <f>IF(D3770="", "Gap - No Legal Basis", IF(AND(D3770="Consent (GDPR Art. 6(1)(a))", I3770="Not Captured"), "Gap - Invalid Consent", IF(AND(D3770="Legitimate Interest (GDPR Art. 6(1)(f))", L3770=""), "Gap - Missing LIA", IF(AND(G3770="Yes", H3770=""), "Gap - Missing Art. 9 Basis", IF(OR(I3770="Invalid - Not Freely Given", I3770="Invalid - Not Specific", I3770="Invalid - Not Informed", I3770="Invalid - Ambiguous"), "Gap - Invalid Consent", "Compliant")))))</f>
        <v/>
      </c>
      <c r="O3770" s="7" t="n"/>
    </row>
    <row r="3771">
      <c r="A3771" s="7" t="n"/>
      <c r="B3771" s="7" t="n"/>
      <c r="C3771" s="7" t="n"/>
      <c r="D3771" s="7" t="n"/>
      <c r="E3771" s="7" t="n"/>
      <c r="F3771" s="7" t="n"/>
      <c r="G3771" s="7" t="n"/>
      <c r="H3771" s="7" t="n"/>
      <c r="I3771" s="7" t="n"/>
      <c r="J3771" s="7" t="n"/>
      <c r="K3771">
        <f>IF(D3771="Legitimate Interest (GDPR Art. 6(1)(f))", "Yes / Required (Sheet 3)", "")</f>
        <v/>
      </c>
      <c r="L3771" s="7" t="n"/>
      <c r="M3771" s="7" t="n"/>
      <c r="N3771">
        <f>IF(D3771="", "Gap - No Legal Basis", IF(AND(D3771="Consent (GDPR Art. 6(1)(a))", I3771="Not Captured"), "Gap - Invalid Consent", IF(AND(D3771="Legitimate Interest (GDPR Art. 6(1)(f))", L3771=""), "Gap - Missing LIA", IF(AND(G3771="Yes", H3771=""), "Gap - Missing Art. 9 Basis", IF(OR(I3771="Invalid - Not Freely Given", I3771="Invalid - Not Specific", I3771="Invalid - Not Informed", I3771="Invalid - Ambiguous"), "Gap - Invalid Consent", "Compliant")))))</f>
        <v/>
      </c>
      <c r="O3771" s="7" t="n"/>
    </row>
    <row r="3772">
      <c r="A3772" s="7" t="n"/>
      <c r="B3772" s="7" t="n"/>
      <c r="C3772" s="7" t="n"/>
      <c r="D3772" s="7" t="n"/>
      <c r="E3772" s="7" t="n"/>
      <c r="F3772" s="7" t="n"/>
      <c r="G3772" s="7" t="n"/>
      <c r="H3772" s="7" t="n"/>
      <c r="I3772" s="7" t="n"/>
      <c r="J3772" s="7" t="n"/>
      <c r="K3772">
        <f>IF(D3772="Legitimate Interest (GDPR Art. 6(1)(f))", "Yes / Required (Sheet 3)", "")</f>
        <v/>
      </c>
      <c r="L3772" s="7" t="n"/>
      <c r="M3772" s="7" t="n"/>
      <c r="N3772">
        <f>IF(D3772="", "Gap - No Legal Basis", IF(AND(D3772="Consent (GDPR Art. 6(1)(a))", I3772="Not Captured"), "Gap - Invalid Consent", IF(AND(D3772="Legitimate Interest (GDPR Art. 6(1)(f))", L3772=""), "Gap - Missing LIA", IF(AND(G3772="Yes", H3772=""), "Gap - Missing Art. 9 Basis", IF(OR(I3772="Invalid - Not Freely Given", I3772="Invalid - Not Specific", I3772="Invalid - Not Informed", I3772="Invalid - Ambiguous"), "Gap - Invalid Consent", "Compliant")))))</f>
        <v/>
      </c>
      <c r="O3772" s="7" t="n"/>
    </row>
    <row r="3773">
      <c r="A3773" s="7" t="n"/>
      <c r="B3773" s="7" t="n"/>
      <c r="C3773" s="7" t="n"/>
      <c r="D3773" s="7" t="n"/>
      <c r="E3773" s="7" t="n"/>
      <c r="F3773" s="7" t="n"/>
      <c r="G3773" s="7" t="n"/>
      <c r="H3773" s="7" t="n"/>
      <c r="I3773" s="7" t="n"/>
      <c r="J3773" s="7" t="n"/>
      <c r="K3773">
        <f>IF(D3773="Legitimate Interest (GDPR Art. 6(1)(f))", "Yes / Required (Sheet 3)", "")</f>
        <v/>
      </c>
      <c r="L3773" s="7" t="n"/>
      <c r="M3773" s="7" t="n"/>
      <c r="N3773">
        <f>IF(D3773="", "Gap - No Legal Basis", IF(AND(D3773="Consent (GDPR Art. 6(1)(a))", I3773="Not Captured"), "Gap - Invalid Consent", IF(AND(D3773="Legitimate Interest (GDPR Art. 6(1)(f))", L3773=""), "Gap - Missing LIA", IF(AND(G3773="Yes", H3773=""), "Gap - Missing Art. 9 Basis", IF(OR(I3773="Invalid - Not Freely Given", I3773="Invalid - Not Specific", I3773="Invalid - Not Informed", I3773="Invalid - Ambiguous"), "Gap - Invalid Consent", "Compliant")))))</f>
        <v/>
      </c>
      <c r="O3773" s="7" t="n"/>
    </row>
    <row r="3774">
      <c r="A3774" s="7" t="n"/>
      <c r="B3774" s="7" t="n"/>
      <c r="C3774" s="7" t="n"/>
      <c r="D3774" s="7" t="n"/>
      <c r="E3774" s="7" t="n"/>
      <c r="F3774" s="7" t="n"/>
      <c r="G3774" s="7" t="n"/>
      <c r="H3774" s="7" t="n"/>
      <c r="I3774" s="7" t="n"/>
      <c r="J3774" s="7" t="n"/>
      <c r="K3774">
        <f>IF(D3774="Legitimate Interest (GDPR Art. 6(1)(f))", "Yes / Required (Sheet 3)", "")</f>
        <v/>
      </c>
      <c r="L3774" s="7" t="n"/>
      <c r="M3774" s="7" t="n"/>
      <c r="N3774">
        <f>IF(D3774="", "Gap - No Legal Basis", IF(AND(D3774="Consent (GDPR Art. 6(1)(a))", I3774="Not Captured"), "Gap - Invalid Consent", IF(AND(D3774="Legitimate Interest (GDPR Art. 6(1)(f))", L3774=""), "Gap - Missing LIA", IF(AND(G3774="Yes", H3774=""), "Gap - Missing Art. 9 Basis", IF(OR(I3774="Invalid - Not Freely Given", I3774="Invalid - Not Specific", I3774="Invalid - Not Informed", I3774="Invalid - Ambiguous"), "Gap - Invalid Consent", "Compliant")))))</f>
        <v/>
      </c>
      <c r="O3774" s="7" t="n"/>
    </row>
    <row r="3775">
      <c r="A3775" s="7" t="n"/>
      <c r="B3775" s="7" t="n"/>
      <c r="C3775" s="7" t="n"/>
      <c r="D3775" s="7" t="n"/>
      <c r="E3775" s="7" t="n"/>
      <c r="F3775" s="7" t="n"/>
      <c r="G3775" s="7" t="n"/>
      <c r="H3775" s="7" t="n"/>
      <c r="I3775" s="7" t="n"/>
      <c r="J3775" s="7" t="n"/>
      <c r="K3775">
        <f>IF(D3775="Legitimate Interest (GDPR Art. 6(1)(f))", "Yes / Required (Sheet 3)", "")</f>
        <v/>
      </c>
      <c r="L3775" s="7" t="n"/>
      <c r="M3775" s="7" t="n"/>
      <c r="N3775">
        <f>IF(D3775="", "Gap - No Legal Basis", IF(AND(D3775="Consent (GDPR Art. 6(1)(a))", I3775="Not Captured"), "Gap - Invalid Consent", IF(AND(D3775="Legitimate Interest (GDPR Art. 6(1)(f))", L3775=""), "Gap - Missing LIA", IF(AND(G3775="Yes", H3775=""), "Gap - Missing Art. 9 Basis", IF(OR(I3775="Invalid - Not Freely Given", I3775="Invalid - Not Specific", I3775="Invalid - Not Informed", I3775="Invalid - Ambiguous"), "Gap - Invalid Consent", "Compliant")))))</f>
        <v/>
      </c>
      <c r="O3775" s="7" t="n"/>
    </row>
    <row r="3776">
      <c r="A3776" s="7" t="n"/>
      <c r="B3776" s="7" t="n"/>
      <c r="C3776" s="7" t="n"/>
      <c r="D3776" s="7" t="n"/>
      <c r="E3776" s="7" t="n"/>
      <c r="F3776" s="7" t="n"/>
      <c r="G3776" s="7" t="n"/>
      <c r="H3776" s="7" t="n"/>
      <c r="I3776" s="7" t="n"/>
      <c r="J3776" s="7" t="n"/>
      <c r="K3776">
        <f>IF(D3776="Legitimate Interest (GDPR Art. 6(1)(f))", "Yes / Required (Sheet 3)", "")</f>
        <v/>
      </c>
      <c r="L3776" s="7" t="n"/>
      <c r="M3776" s="7" t="n"/>
      <c r="N3776">
        <f>IF(D3776="", "Gap - No Legal Basis", IF(AND(D3776="Consent (GDPR Art. 6(1)(a))", I3776="Not Captured"), "Gap - Invalid Consent", IF(AND(D3776="Legitimate Interest (GDPR Art. 6(1)(f))", L3776=""), "Gap - Missing LIA", IF(AND(G3776="Yes", H3776=""), "Gap - Missing Art. 9 Basis", IF(OR(I3776="Invalid - Not Freely Given", I3776="Invalid - Not Specific", I3776="Invalid - Not Informed", I3776="Invalid - Ambiguous"), "Gap - Invalid Consent", "Compliant")))))</f>
        <v/>
      </c>
      <c r="O3776" s="7" t="n"/>
    </row>
    <row r="3777">
      <c r="A3777" s="7" t="n"/>
      <c r="B3777" s="7" t="n"/>
      <c r="C3777" s="7" t="n"/>
      <c r="D3777" s="7" t="n"/>
      <c r="E3777" s="7" t="n"/>
      <c r="F3777" s="7" t="n"/>
      <c r="G3777" s="7" t="n"/>
      <c r="H3777" s="7" t="n"/>
      <c r="I3777" s="7" t="n"/>
      <c r="J3777" s="7" t="n"/>
      <c r="K3777">
        <f>IF(D3777="Legitimate Interest (GDPR Art. 6(1)(f))", "Yes / Required (Sheet 3)", "")</f>
        <v/>
      </c>
      <c r="L3777" s="7" t="n"/>
      <c r="M3777" s="7" t="n"/>
      <c r="N3777">
        <f>IF(D3777="", "Gap - No Legal Basis", IF(AND(D3777="Consent (GDPR Art. 6(1)(a))", I3777="Not Captured"), "Gap - Invalid Consent", IF(AND(D3777="Legitimate Interest (GDPR Art. 6(1)(f))", L3777=""), "Gap - Missing LIA", IF(AND(G3777="Yes", H3777=""), "Gap - Missing Art. 9 Basis", IF(OR(I3777="Invalid - Not Freely Given", I3777="Invalid - Not Specific", I3777="Invalid - Not Informed", I3777="Invalid - Ambiguous"), "Gap - Invalid Consent", "Compliant")))))</f>
        <v/>
      </c>
      <c r="O3777" s="7" t="n"/>
    </row>
    <row r="3778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7" t="n"/>
      <c r="J3778" s="7" t="n"/>
      <c r="K3778">
        <f>IF(D3778="Legitimate Interest (GDPR Art. 6(1)(f))", "Yes / Required (Sheet 3)", "")</f>
        <v/>
      </c>
      <c r="L3778" s="7" t="n"/>
      <c r="M3778" s="7" t="n"/>
      <c r="N3778">
        <f>IF(D3778="", "Gap - No Legal Basis", IF(AND(D3778="Consent (GDPR Art. 6(1)(a))", I3778="Not Captured"), "Gap - Invalid Consent", IF(AND(D3778="Legitimate Interest (GDPR Art. 6(1)(f))", L3778=""), "Gap - Missing LIA", IF(AND(G3778="Yes", H3778=""), "Gap - Missing Art. 9 Basis", IF(OR(I3778="Invalid - Not Freely Given", I3778="Invalid - Not Specific", I3778="Invalid - Not Informed", I3778="Invalid - Ambiguous"), "Gap - Invalid Consent", "Compliant")))))</f>
        <v/>
      </c>
      <c r="O3778" s="7" t="n"/>
    </row>
    <row r="3779">
      <c r="A3779" s="7" t="n"/>
      <c r="B3779" s="7" t="n"/>
      <c r="C3779" s="7" t="n"/>
      <c r="D3779" s="7" t="n"/>
      <c r="E3779" s="7" t="n"/>
      <c r="F3779" s="7" t="n"/>
      <c r="G3779" s="7" t="n"/>
      <c r="H3779" s="7" t="n"/>
      <c r="I3779" s="7" t="n"/>
      <c r="J3779" s="7" t="n"/>
      <c r="K3779">
        <f>IF(D3779="Legitimate Interest (GDPR Art. 6(1)(f))", "Yes / Required (Sheet 3)", "")</f>
        <v/>
      </c>
      <c r="L3779" s="7" t="n"/>
      <c r="M3779" s="7" t="n"/>
      <c r="N3779">
        <f>IF(D3779="", "Gap - No Legal Basis", IF(AND(D3779="Consent (GDPR Art. 6(1)(a))", I3779="Not Captured"), "Gap - Invalid Consent", IF(AND(D3779="Legitimate Interest (GDPR Art. 6(1)(f))", L3779=""), "Gap - Missing LIA", IF(AND(G3779="Yes", H3779=""), "Gap - Missing Art. 9 Basis", IF(OR(I3779="Invalid - Not Freely Given", I3779="Invalid - Not Specific", I3779="Invalid - Not Informed", I3779="Invalid - Ambiguous"), "Gap - Invalid Consent", "Compliant")))))</f>
        <v/>
      </c>
      <c r="O3779" s="7" t="n"/>
    </row>
    <row r="3780">
      <c r="A3780" s="7" t="n"/>
      <c r="B3780" s="7" t="n"/>
      <c r="C3780" s="7" t="n"/>
      <c r="D3780" s="7" t="n"/>
      <c r="E3780" s="7" t="n"/>
      <c r="F3780" s="7" t="n"/>
      <c r="G3780" s="7" t="n"/>
      <c r="H3780" s="7" t="n"/>
      <c r="I3780" s="7" t="n"/>
      <c r="J3780" s="7" t="n"/>
      <c r="K3780">
        <f>IF(D3780="Legitimate Interest (GDPR Art. 6(1)(f))", "Yes / Required (Sheet 3)", "")</f>
        <v/>
      </c>
      <c r="L3780" s="7" t="n"/>
      <c r="M3780" s="7" t="n"/>
      <c r="N3780">
        <f>IF(D3780="", "Gap - No Legal Basis", IF(AND(D3780="Consent (GDPR Art. 6(1)(a))", I3780="Not Captured"), "Gap - Invalid Consent", IF(AND(D3780="Legitimate Interest (GDPR Art. 6(1)(f))", L3780=""), "Gap - Missing LIA", IF(AND(G3780="Yes", H3780=""), "Gap - Missing Art. 9 Basis", IF(OR(I3780="Invalid - Not Freely Given", I3780="Invalid - Not Specific", I3780="Invalid - Not Informed", I3780="Invalid - Ambiguous"), "Gap - Invalid Consent", "Compliant")))))</f>
        <v/>
      </c>
      <c r="O3780" s="7" t="n"/>
    </row>
    <row r="3781">
      <c r="A3781" s="7" t="n"/>
      <c r="B3781" s="7" t="n"/>
      <c r="C3781" s="7" t="n"/>
      <c r="D3781" s="7" t="n"/>
      <c r="E3781" s="7" t="n"/>
      <c r="F3781" s="7" t="n"/>
      <c r="G3781" s="7" t="n"/>
      <c r="H3781" s="7" t="n"/>
      <c r="I3781" s="7" t="n"/>
      <c r="J3781" s="7" t="n"/>
      <c r="K3781">
        <f>IF(D3781="Legitimate Interest (GDPR Art. 6(1)(f))", "Yes / Required (Sheet 3)", "")</f>
        <v/>
      </c>
      <c r="L3781" s="7" t="n"/>
      <c r="M3781" s="7" t="n"/>
      <c r="N3781">
        <f>IF(D3781="", "Gap - No Legal Basis", IF(AND(D3781="Consent (GDPR Art. 6(1)(a))", I3781="Not Captured"), "Gap - Invalid Consent", IF(AND(D3781="Legitimate Interest (GDPR Art. 6(1)(f))", L3781=""), "Gap - Missing LIA", IF(AND(G3781="Yes", H3781=""), "Gap - Missing Art. 9 Basis", IF(OR(I3781="Invalid - Not Freely Given", I3781="Invalid - Not Specific", I3781="Invalid - Not Informed", I3781="Invalid - Ambiguous"), "Gap - Invalid Consent", "Compliant")))))</f>
        <v/>
      </c>
      <c r="O3781" s="7" t="n"/>
    </row>
    <row r="3782">
      <c r="A3782" s="7" t="n"/>
      <c r="B3782" s="7" t="n"/>
      <c r="C3782" s="7" t="n"/>
      <c r="D3782" s="7" t="n"/>
      <c r="E3782" s="7" t="n"/>
      <c r="F3782" s="7" t="n"/>
      <c r="G3782" s="7" t="n"/>
      <c r="H3782" s="7" t="n"/>
      <c r="I3782" s="7" t="n"/>
      <c r="J3782" s="7" t="n"/>
      <c r="K3782">
        <f>IF(D3782="Legitimate Interest (GDPR Art. 6(1)(f))", "Yes / Required (Sheet 3)", "")</f>
        <v/>
      </c>
      <c r="L3782" s="7" t="n"/>
      <c r="M3782" s="7" t="n"/>
      <c r="N3782">
        <f>IF(D3782="", "Gap - No Legal Basis", IF(AND(D3782="Consent (GDPR Art. 6(1)(a))", I3782="Not Captured"), "Gap - Invalid Consent", IF(AND(D3782="Legitimate Interest (GDPR Art. 6(1)(f))", L3782=""), "Gap - Missing LIA", IF(AND(G3782="Yes", H3782=""), "Gap - Missing Art. 9 Basis", IF(OR(I3782="Invalid - Not Freely Given", I3782="Invalid - Not Specific", I3782="Invalid - Not Informed", I3782="Invalid - Ambiguous"), "Gap - Invalid Consent", "Compliant")))))</f>
        <v/>
      </c>
      <c r="O3782" s="7" t="n"/>
    </row>
    <row r="3783">
      <c r="A3783" s="7" t="n"/>
      <c r="B3783" s="7" t="n"/>
      <c r="C3783" s="7" t="n"/>
      <c r="D3783" s="7" t="n"/>
      <c r="E3783" s="7" t="n"/>
      <c r="F3783" s="7" t="n"/>
      <c r="G3783" s="7" t="n"/>
      <c r="H3783" s="7" t="n"/>
      <c r="I3783" s="7" t="n"/>
      <c r="J3783" s="7" t="n"/>
      <c r="K3783">
        <f>IF(D3783="Legitimate Interest (GDPR Art. 6(1)(f))", "Yes / Required (Sheet 3)", "")</f>
        <v/>
      </c>
      <c r="L3783" s="7" t="n"/>
      <c r="M3783" s="7" t="n"/>
      <c r="N3783">
        <f>IF(D3783="", "Gap - No Legal Basis", IF(AND(D3783="Consent (GDPR Art. 6(1)(a))", I3783="Not Captured"), "Gap - Invalid Consent", IF(AND(D3783="Legitimate Interest (GDPR Art. 6(1)(f))", L3783=""), "Gap - Missing LIA", IF(AND(G3783="Yes", H3783=""), "Gap - Missing Art. 9 Basis", IF(OR(I3783="Invalid - Not Freely Given", I3783="Invalid - Not Specific", I3783="Invalid - Not Informed", I3783="Invalid - Ambiguous"), "Gap - Invalid Consent", "Compliant")))))</f>
        <v/>
      </c>
      <c r="O3783" s="7" t="n"/>
    </row>
    <row r="3784">
      <c r="A3784" s="7" t="n"/>
      <c r="B3784" s="7" t="n"/>
      <c r="C3784" s="7" t="n"/>
      <c r="D3784" s="7" t="n"/>
      <c r="E3784" s="7" t="n"/>
      <c r="F3784" s="7" t="n"/>
      <c r="G3784" s="7" t="n"/>
      <c r="H3784" s="7" t="n"/>
      <c r="I3784" s="7" t="n"/>
      <c r="J3784" s="7" t="n"/>
      <c r="K3784">
        <f>IF(D3784="Legitimate Interest (GDPR Art. 6(1)(f))", "Yes / Required (Sheet 3)", "")</f>
        <v/>
      </c>
      <c r="L3784" s="7" t="n"/>
      <c r="M3784" s="7" t="n"/>
      <c r="N3784">
        <f>IF(D3784="", "Gap - No Legal Basis", IF(AND(D3784="Consent (GDPR Art. 6(1)(a))", I3784="Not Captured"), "Gap - Invalid Consent", IF(AND(D3784="Legitimate Interest (GDPR Art. 6(1)(f))", L3784=""), "Gap - Missing LIA", IF(AND(G3784="Yes", H3784=""), "Gap - Missing Art. 9 Basis", IF(OR(I3784="Invalid - Not Freely Given", I3784="Invalid - Not Specific", I3784="Invalid - Not Informed", I3784="Invalid - Ambiguous"), "Gap - Invalid Consent", "Compliant")))))</f>
        <v/>
      </c>
      <c r="O3784" s="7" t="n"/>
    </row>
    <row r="3785">
      <c r="A3785" s="7" t="n"/>
      <c r="B3785" s="7" t="n"/>
      <c r="C3785" s="7" t="n"/>
      <c r="D3785" s="7" t="n"/>
      <c r="E3785" s="7" t="n"/>
      <c r="F3785" s="7" t="n"/>
      <c r="G3785" s="7" t="n"/>
      <c r="H3785" s="7" t="n"/>
      <c r="I3785" s="7" t="n"/>
      <c r="J3785" s="7" t="n"/>
      <c r="K3785">
        <f>IF(D3785="Legitimate Interest (GDPR Art. 6(1)(f))", "Yes / Required (Sheet 3)", "")</f>
        <v/>
      </c>
      <c r="L3785" s="7" t="n"/>
      <c r="M3785" s="7" t="n"/>
      <c r="N3785">
        <f>IF(D3785="", "Gap - No Legal Basis", IF(AND(D3785="Consent (GDPR Art. 6(1)(a))", I3785="Not Captured"), "Gap - Invalid Consent", IF(AND(D3785="Legitimate Interest (GDPR Art. 6(1)(f))", L3785=""), "Gap - Missing LIA", IF(AND(G3785="Yes", H3785=""), "Gap - Missing Art. 9 Basis", IF(OR(I3785="Invalid - Not Freely Given", I3785="Invalid - Not Specific", I3785="Invalid - Not Informed", I3785="Invalid - Ambiguous"), "Gap - Invalid Consent", "Compliant")))))</f>
        <v/>
      </c>
      <c r="O3785" s="7" t="n"/>
    </row>
    <row r="3786">
      <c r="A3786" s="7" t="n"/>
      <c r="B3786" s="7" t="n"/>
      <c r="C3786" s="7" t="n"/>
      <c r="D3786" s="7" t="n"/>
      <c r="E3786" s="7" t="n"/>
      <c r="F3786" s="7" t="n"/>
      <c r="G3786" s="7" t="n"/>
      <c r="H3786" s="7" t="n"/>
      <c r="I3786" s="7" t="n"/>
      <c r="J3786" s="7" t="n"/>
      <c r="K3786">
        <f>IF(D3786="Legitimate Interest (GDPR Art. 6(1)(f))", "Yes / Required (Sheet 3)", "")</f>
        <v/>
      </c>
      <c r="L3786" s="7" t="n"/>
      <c r="M3786" s="7" t="n"/>
      <c r="N3786">
        <f>IF(D3786="", "Gap - No Legal Basis", IF(AND(D3786="Consent (GDPR Art. 6(1)(a))", I3786="Not Captured"), "Gap - Invalid Consent", IF(AND(D3786="Legitimate Interest (GDPR Art. 6(1)(f))", L3786=""), "Gap - Missing LIA", IF(AND(G3786="Yes", H3786=""), "Gap - Missing Art. 9 Basis", IF(OR(I3786="Invalid - Not Freely Given", I3786="Invalid - Not Specific", I3786="Invalid - Not Informed", I3786="Invalid - Ambiguous"), "Gap - Invalid Consent", "Compliant")))))</f>
        <v/>
      </c>
      <c r="O3786" s="7" t="n"/>
    </row>
    <row r="3787">
      <c r="A3787" s="7" t="n"/>
      <c r="B3787" s="7" t="n"/>
      <c r="C3787" s="7" t="n"/>
      <c r="D3787" s="7" t="n"/>
      <c r="E3787" s="7" t="n"/>
      <c r="F3787" s="7" t="n"/>
      <c r="G3787" s="7" t="n"/>
      <c r="H3787" s="7" t="n"/>
      <c r="I3787" s="7" t="n"/>
      <c r="J3787" s="7" t="n"/>
      <c r="K3787">
        <f>IF(D3787="Legitimate Interest (GDPR Art. 6(1)(f))", "Yes / Required (Sheet 3)", "")</f>
        <v/>
      </c>
      <c r="L3787" s="7" t="n"/>
      <c r="M3787" s="7" t="n"/>
      <c r="N3787">
        <f>IF(D3787="", "Gap - No Legal Basis", IF(AND(D3787="Consent (GDPR Art. 6(1)(a))", I3787="Not Captured"), "Gap - Invalid Consent", IF(AND(D3787="Legitimate Interest (GDPR Art. 6(1)(f))", L3787=""), "Gap - Missing LIA", IF(AND(G3787="Yes", H3787=""), "Gap - Missing Art. 9 Basis", IF(OR(I3787="Invalid - Not Freely Given", I3787="Invalid - Not Specific", I3787="Invalid - Not Informed", I3787="Invalid - Ambiguous"), "Gap - Invalid Consent", "Compliant")))))</f>
        <v/>
      </c>
      <c r="O3787" s="7" t="n"/>
    </row>
    <row r="3788">
      <c r="A3788" s="7" t="n"/>
      <c r="B3788" s="7" t="n"/>
      <c r="C3788" s="7" t="n"/>
      <c r="D3788" s="7" t="n"/>
      <c r="E3788" s="7" t="n"/>
      <c r="F3788" s="7" t="n"/>
      <c r="G3788" s="7" t="n"/>
      <c r="H3788" s="7" t="n"/>
      <c r="I3788" s="7" t="n"/>
      <c r="J3788" s="7" t="n"/>
      <c r="K3788">
        <f>IF(D3788="Legitimate Interest (GDPR Art. 6(1)(f))", "Yes / Required (Sheet 3)", "")</f>
        <v/>
      </c>
      <c r="L3788" s="7" t="n"/>
      <c r="M3788" s="7" t="n"/>
      <c r="N3788">
        <f>IF(D3788="", "Gap - No Legal Basis", IF(AND(D3788="Consent (GDPR Art. 6(1)(a))", I3788="Not Captured"), "Gap - Invalid Consent", IF(AND(D3788="Legitimate Interest (GDPR Art. 6(1)(f))", L3788=""), "Gap - Missing LIA", IF(AND(G3788="Yes", H3788=""), "Gap - Missing Art. 9 Basis", IF(OR(I3788="Invalid - Not Freely Given", I3788="Invalid - Not Specific", I3788="Invalid - Not Informed", I3788="Invalid - Ambiguous"), "Gap - Invalid Consent", "Compliant")))))</f>
        <v/>
      </c>
      <c r="O3788" s="7" t="n"/>
    </row>
    <row r="3789">
      <c r="A3789" s="7" t="n"/>
      <c r="B3789" s="7" t="n"/>
      <c r="C3789" s="7" t="n"/>
      <c r="D3789" s="7" t="n"/>
      <c r="E3789" s="7" t="n"/>
      <c r="F3789" s="7" t="n"/>
      <c r="G3789" s="7" t="n"/>
      <c r="H3789" s="7" t="n"/>
      <c r="I3789" s="7" t="n"/>
      <c r="J3789" s="7" t="n"/>
      <c r="K3789">
        <f>IF(D3789="Legitimate Interest (GDPR Art. 6(1)(f))", "Yes / Required (Sheet 3)", "")</f>
        <v/>
      </c>
      <c r="L3789" s="7" t="n"/>
      <c r="M3789" s="7" t="n"/>
      <c r="N3789">
        <f>IF(D3789="", "Gap - No Legal Basis", IF(AND(D3789="Consent (GDPR Art. 6(1)(a))", I3789="Not Captured"), "Gap - Invalid Consent", IF(AND(D3789="Legitimate Interest (GDPR Art. 6(1)(f))", L3789=""), "Gap - Missing LIA", IF(AND(G3789="Yes", H3789=""), "Gap - Missing Art. 9 Basis", IF(OR(I3789="Invalid - Not Freely Given", I3789="Invalid - Not Specific", I3789="Invalid - Not Informed", I3789="Invalid - Ambiguous"), "Gap - Invalid Consent", "Compliant")))))</f>
        <v/>
      </c>
      <c r="O3789" s="7" t="n"/>
    </row>
    <row r="3790">
      <c r="A3790" s="7" t="n"/>
      <c r="B3790" s="7" t="n"/>
      <c r="C3790" s="7" t="n"/>
      <c r="D3790" s="7" t="n"/>
      <c r="E3790" s="7" t="n"/>
      <c r="F3790" s="7" t="n"/>
      <c r="G3790" s="7" t="n"/>
      <c r="H3790" s="7" t="n"/>
      <c r="I3790" s="7" t="n"/>
      <c r="J3790" s="7" t="n"/>
      <c r="K3790">
        <f>IF(D3790="Legitimate Interest (GDPR Art. 6(1)(f))", "Yes / Required (Sheet 3)", "")</f>
        <v/>
      </c>
      <c r="L3790" s="7" t="n"/>
      <c r="M3790" s="7" t="n"/>
      <c r="N3790">
        <f>IF(D3790="", "Gap - No Legal Basis", IF(AND(D3790="Consent (GDPR Art. 6(1)(a))", I3790="Not Captured"), "Gap - Invalid Consent", IF(AND(D3790="Legitimate Interest (GDPR Art. 6(1)(f))", L3790=""), "Gap - Missing LIA", IF(AND(G3790="Yes", H3790=""), "Gap - Missing Art. 9 Basis", IF(OR(I3790="Invalid - Not Freely Given", I3790="Invalid - Not Specific", I3790="Invalid - Not Informed", I3790="Invalid - Ambiguous"), "Gap - Invalid Consent", "Compliant")))))</f>
        <v/>
      </c>
      <c r="O3790" s="7" t="n"/>
    </row>
    <row r="3791">
      <c r="A3791" s="7" t="n"/>
      <c r="B3791" s="7" t="n"/>
      <c r="C3791" s="7" t="n"/>
      <c r="D3791" s="7" t="n"/>
      <c r="E3791" s="7" t="n"/>
      <c r="F3791" s="7" t="n"/>
      <c r="G3791" s="7" t="n"/>
      <c r="H3791" s="7" t="n"/>
      <c r="I3791" s="7" t="n"/>
      <c r="J3791" s="7" t="n"/>
      <c r="K3791">
        <f>IF(D3791="Legitimate Interest (GDPR Art. 6(1)(f))", "Yes / Required (Sheet 3)", "")</f>
        <v/>
      </c>
      <c r="L3791" s="7" t="n"/>
      <c r="M3791" s="7" t="n"/>
      <c r="N3791">
        <f>IF(D3791="", "Gap - No Legal Basis", IF(AND(D3791="Consent (GDPR Art. 6(1)(a))", I3791="Not Captured"), "Gap - Invalid Consent", IF(AND(D3791="Legitimate Interest (GDPR Art. 6(1)(f))", L3791=""), "Gap - Missing LIA", IF(AND(G3791="Yes", H3791=""), "Gap - Missing Art. 9 Basis", IF(OR(I3791="Invalid - Not Freely Given", I3791="Invalid - Not Specific", I3791="Invalid - Not Informed", I3791="Invalid - Ambiguous"), "Gap - Invalid Consent", "Compliant")))))</f>
        <v/>
      </c>
      <c r="O3791" s="7" t="n"/>
    </row>
    <row r="3792">
      <c r="A3792" s="7" t="n"/>
      <c r="B3792" s="7" t="n"/>
      <c r="C3792" s="7" t="n"/>
      <c r="D3792" s="7" t="n"/>
      <c r="E3792" s="7" t="n"/>
      <c r="F3792" s="7" t="n"/>
      <c r="G3792" s="7" t="n"/>
      <c r="H3792" s="7" t="n"/>
      <c r="I3792" s="7" t="n"/>
      <c r="J3792" s="7" t="n"/>
      <c r="K3792">
        <f>IF(D3792="Legitimate Interest (GDPR Art. 6(1)(f))", "Yes / Required (Sheet 3)", "")</f>
        <v/>
      </c>
      <c r="L3792" s="7" t="n"/>
      <c r="M3792" s="7" t="n"/>
      <c r="N3792">
        <f>IF(D3792="", "Gap - No Legal Basis", IF(AND(D3792="Consent (GDPR Art. 6(1)(a))", I3792="Not Captured"), "Gap - Invalid Consent", IF(AND(D3792="Legitimate Interest (GDPR Art. 6(1)(f))", L3792=""), "Gap - Missing LIA", IF(AND(G3792="Yes", H3792=""), "Gap - Missing Art. 9 Basis", IF(OR(I3792="Invalid - Not Freely Given", I3792="Invalid - Not Specific", I3792="Invalid - Not Informed", I3792="Invalid - Ambiguous"), "Gap - Invalid Consent", "Compliant")))))</f>
        <v/>
      </c>
      <c r="O3792" s="7" t="n"/>
    </row>
    <row r="3793">
      <c r="A3793" s="7" t="n"/>
      <c r="B3793" s="7" t="n"/>
      <c r="C3793" s="7" t="n"/>
      <c r="D3793" s="7" t="n"/>
      <c r="E3793" s="7" t="n"/>
      <c r="F3793" s="7" t="n"/>
      <c r="G3793" s="7" t="n"/>
      <c r="H3793" s="7" t="n"/>
      <c r="I3793" s="7" t="n"/>
      <c r="J3793" s="7" t="n"/>
      <c r="K3793">
        <f>IF(D3793="Legitimate Interest (GDPR Art. 6(1)(f))", "Yes / Required (Sheet 3)", "")</f>
        <v/>
      </c>
      <c r="L3793" s="7" t="n"/>
      <c r="M3793" s="7" t="n"/>
      <c r="N3793">
        <f>IF(D3793="", "Gap - No Legal Basis", IF(AND(D3793="Consent (GDPR Art. 6(1)(a))", I3793="Not Captured"), "Gap - Invalid Consent", IF(AND(D3793="Legitimate Interest (GDPR Art. 6(1)(f))", L3793=""), "Gap - Missing LIA", IF(AND(G3793="Yes", H3793=""), "Gap - Missing Art. 9 Basis", IF(OR(I3793="Invalid - Not Freely Given", I3793="Invalid - Not Specific", I3793="Invalid - Not Informed", I3793="Invalid - Ambiguous"), "Gap - Invalid Consent", "Compliant")))))</f>
        <v/>
      </c>
      <c r="O3793" s="7" t="n"/>
    </row>
    <row r="3794">
      <c r="A3794" s="7" t="n"/>
      <c r="B3794" s="7" t="n"/>
      <c r="C3794" s="7" t="n"/>
      <c r="D3794" s="7" t="n"/>
      <c r="E3794" s="7" t="n"/>
      <c r="F3794" s="7" t="n"/>
      <c r="G3794" s="7" t="n"/>
      <c r="H3794" s="7" t="n"/>
      <c r="I3794" s="7" t="n"/>
      <c r="J3794" s="7" t="n"/>
      <c r="K3794">
        <f>IF(D3794="Legitimate Interest (GDPR Art. 6(1)(f))", "Yes / Required (Sheet 3)", "")</f>
        <v/>
      </c>
      <c r="L3794" s="7" t="n"/>
      <c r="M3794" s="7" t="n"/>
      <c r="N3794">
        <f>IF(D3794="", "Gap - No Legal Basis", IF(AND(D3794="Consent (GDPR Art. 6(1)(a))", I3794="Not Captured"), "Gap - Invalid Consent", IF(AND(D3794="Legitimate Interest (GDPR Art. 6(1)(f))", L3794=""), "Gap - Missing LIA", IF(AND(G3794="Yes", H3794=""), "Gap - Missing Art. 9 Basis", IF(OR(I3794="Invalid - Not Freely Given", I3794="Invalid - Not Specific", I3794="Invalid - Not Informed", I3794="Invalid - Ambiguous"), "Gap - Invalid Consent", "Compliant")))))</f>
        <v/>
      </c>
      <c r="O3794" s="7" t="n"/>
    </row>
    <row r="3795">
      <c r="A3795" s="7" t="n"/>
      <c r="B3795" s="7" t="n"/>
      <c r="C3795" s="7" t="n"/>
      <c r="D3795" s="7" t="n"/>
      <c r="E3795" s="7" t="n"/>
      <c r="F3795" s="7" t="n"/>
      <c r="G3795" s="7" t="n"/>
      <c r="H3795" s="7" t="n"/>
      <c r="I3795" s="7" t="n"/>
      <c r="J3795" s="7" t="n"/>
      <c r="K3795">
        <f>IF(D3795="Legitimate Interest (GDPR Art. 6(1)(f))", "Yes / Required (Sheet 3)", "")</f>
        <v/>
      </c>
      <c r="L3795" s="7" t="n"/>
      <c r="M3795" s="7" t="n"/>
      <c r="N3795">
        <f>IF(D3795="", "Gap - No Legal Basis", IF(AND(D3795="Consent (GDPR Art. 6(1)(a))", I3795="Not Captured"), "Gap - Invalid Consent", IF(AND(D3795="Legitimate Interest (GDPR Art. 6(1)(f))", L3795=""), "Gap - Missing LIA", IF(AND(G3795="Yes", H3795=""), "Gap - Missing Art. 9 Basis", IF(OR(I3795="Invalid - Not Freely Given", I3795="Invalid - Not Specific", I3795="Invalid - Not Informed", I3795="Invalid - Ambiguous"), "Gap - Invalid Consent", "Compliant")))))</f>
        <v/>
      </c>
      <c r="O3795" s="7" t="n"/>
    </row>
    <row r="3796">
      <c r="A3796" s="7" t="n"/>
      <c r="B3796" s="7" t="n"/>
      <c r="C3796" s="7" t="n"/>
      <c r="D3796" s="7" t="n"/>
      <c r="E3796" s="7" t="n"/>
      <c r="F3796" s="7" t="n"/>
      <c r="G3796" s="7" t="n"/>
      <c r="H3796" s="7" t="n"/>
      <c r="I3796" s="7" t="n"/>
      <c r="J3796" s="7" t="n"/>
      <c r="K3796">
        <f>IF(D3796="Legitimate Interest (GDPR Art. 6(1)(f))", "Yes / Required (Sheet 3)", "")</f>
        <v/>
      </c>
      <c r="L3796" s="7" t="n"/>
      <c r="M3796" s="7" t="n"/>
      <c r="N3796">
        <f>IF(D3796="", "Gap - No Legal Basis", IF(AND(D3796="Consent (GDPR Art. 6(1)(a))", I3796="Not Captured"), "Gap - Invalid Consent", IF(AND(D3796="Legitimate Interest (GDPR Art. 6(1)(f))", L3796=""), "Gap - Missing LIA", IF(AND(G3796="Yes", H3796=""), "Gap - Missing Art. 9 Basis", IF(OR(I3796="Invalid - Not Freely Given", I3796="Invalid - Not Specific", I3796="Invalid - Not Informed", I3796="Invalid - Ambiguous"), "Gap - Invalid Consent", "Compliant")))))</f>
        <v/>
      </c>
      <c r="O3796" s="7" t="n"/>
    </row>
    <row r="3797">
      <c r="A3797" s="7" t="n"/>
      <c r="B3797" s="7" t="n"/>
      <c r="C3797" s="7" t="n"/>
      <c r="D3797" s="7" t="n"/>
      <c r="E3797" s="7" t="n"/>
      <c r="F3797" s="7" t="n"/>
      <c r="G3797" s="7" t="n"/>
      <c r="H3797" s="7" t="n"/>
      <c r="I3797" s="7" t="n"/>
      <c r="J3797" s="7" t="n"/>
      <c r="K3797">
        <f>IF(D3797="Legitimate Interest (GDPR Art. 6(1)(f))", "Yes / Required (Sheet 3)", "")</f>
        <v/>
      </c>
      <c r="L3797" s="7" t="n"/>
      <c r="M3797" s="7" t="n"/>
      <c r="N3797">
        <f>IF(D3797="", "Gap - No Legal Basis", IF(AND(D3797="Consent (GDPR Art. 6(1)(a))", I3797="Not Captured"), "Gap - Invalid Consent", IF(AND(D3797="Legitimate Interest (GDPR Art. 6(1)(f))", L3797=""), "Gap - Missing LIA", IF(AND(G3797="Yes", H3797=""), "Gap - Missing Art. 9 Basis", IF(OR(I3797="Invalid - Not Freely Given", I3797="Invalid - Not Specific", I3797="Invalid - Not Informed", I3797="Invalid - Ambiguous"), "Gap - Invalid Consent", "Compliant")))))</f>
        <v/>
      </c>
      <c r="O3797" s="7" t="n"/>
    </row>
    <row r="3798">
      <c r="A3798" s="7" t="n"/>
      <c r="B3798" s="7" t="n"/>
      <c r="C3798" s="7" t="n"/>
      <c r="D3798" s="7" t="n"/>
      <c r="E3798" s="7" t="n"/>
      <c r="F3798" s="7" t="n"/>
      <c r="G3798" s="7" t="n"/>
      <c r="H3798" s="7" t="n"/>
      <c r="I3798" s="7" t="n"/>
      <c r="J3798" s="7" t="n"/>
      <c r="K3798">
        <f>IF(D3798="Legitimate Interest (GDPR Art. 6(1)(f))", "Yes / Required (Sheet 3)", "")</f>
        <v/>
      </c>
      <c r="L3798" s="7" t="n"/>
      <c r="M3798" s="7" t="n"/>
      <c r="N3798">
        <f>IF(D3798="", "Gap - No Legal Basis", IF(AND(D3798="Consent (GDPR Art. 6(1)(a))", I3798="Not Captured"), "Gap - Invalid Consent", IF(AND(D3798="Legitimate Interest (GDPR Art. 6(1)(f))", L3798=""), "Gap - Missing LIA", IF(AND(G3798="Yes", H3798=""), "Gap - Missing Art. 9 Basis", IF(OR(I3798="Invalid - Not Freely Given", I3798="Invalid - Not Specific", I3798="Invalid - Not Informed", I3798="Invalid - Ambiguous"), "Gap - Invalid Consent", "Compliant")))))</f>
        <v/>
      </c>
      <c r="O3798" s="7" t="n"/>
    </row>
    <row r="3799">
      <c r="A3799" s="7" t="n"/>
      <c r="B3799" s="7" t="n"/>
      <c r="C3799" s="7" t="n"/>
      <c r="D3799" s="7" t="n"/>
      <c r="E3799" s="7" t="n"/>
      <c r="F3799" s="7" t="n"/>
      <c r="G3799" s="7" t="n"/>
      <c r="H3799" s="7" t="n"/>
      <c r="I3799" s="7" t="n"/>
      <c r="J3799" s="7" t="n"/>
      <c r="K3799">
        <f>IF(D3799="Legitimate Interest (GDPR Art. 6(1)(f))", "Yes / Required (Sheet 3)", "")</f>
        <v/>
      </c>
      <c r="L3799" s="7" t="n"/>
      <c r="M3799" s="7" t="n"/>
      <c r="N3799">
        <f>IF(D3799="", "Gap - No Legal Basis", IF(AND(D3799="Consent (GDPR Art. 6(1)(a))", I3799="Not Captured"), "Gap - Invalid Consent", IF(AND(D3799="Legitimate Interest (GDPR Art. 6(1)(f))", L3799=""), "Gap - Missing LIA", IF(AND(G3799="Yes", H3799=""), "Gap - Missing Art. 9 Basis", IF(OR(I3799="Invalid - Not Freely Given", I3799="Invalid - Not Specific", I3799="Invalid - Not Informed", I3799="Invalid - Ambiguous"), "Gap - Invalid Consent", "Compliant")))))</f>
        <v/>
      </c>
      <c r="O3799" s="7" t="n"/>
    </row>
    <row r="3800">
      <c r="A3800" s="7" t="n"/>
      <c r="B3800" s="7" t="n"/>
      <c r="C3800" s="7" t="n"/>
      <c r="D3800" s="7" t="n"/>
      <c r="E3800" s="7" t="n"/>
      <c r="F3800" s="7" t="n"/>
      <c r="G3800" s="7" t="n"/>
      <c r="H3800" s="7" t="n"/>
      <c r="I3800" s="7" t="n"/>
      <c r="J3800" s="7" t="n"/>
      <c r="K3800">
        <f>IF(D3800="Legitimate Interest (GDPR Art. 6(1)(f))", "Yes / Required (Sheet 3)", "")</f>
        <v/>
      </c>
      <c r="L3800" s="7" t="n"/>
      <c r="M3800" s="7" t="n"/>
      <c r="N3800">
        <f>IF(D3800="", "Gap - No Legal Basis", IF(AND(D3800="Consent (GDPR Art. 6(1)(a))", I3800="Not Captured"), "Gap - Invalid Consent", IF(AND(D3800="Legitimate Interest (GDPR Art. 6(1)(f))", L3800=""), "Gap - Missing LIA", IF(AND(G3800="Yes", H3800=""), "Gap - Missing Art. 9 Basis", IF(OR(I3800="Invalid - Not Freely Given", I3800="Invalid - Not Specific", I3800="Invalid - Not Informed", I3800="Invalid - Ambiguous"), "Gap - Invalid Consent", "Compliant")))))</f>
        <v/>
      </c>
      <c r="O3800" s="7" t="n"/>
    </row>
    <row r="3801">
      <c r="A3801" s="7" t="n"/>
      <c r="B3801" s="7" t="n"/>
      <c r="C3801" s="7" t="n"/>
      <c r="D3801" s="7" t="n"/>
      <c r="E3801" s="7" t="n"/>
      <c r="F3801" s="7" t="n"/>
      <c r="G3801" s="7" t="n"/>
      <c r="H3801" s="7" t="n"/>
      <c r="I3801" s="7" t="n"/>
      <c r="J3801" s="7" t="n"/>
      <c r="K3801">
        <f>IF(D3801="Legitimate Interest (GDPR Art. 6(1)(f))", "Yes / Required (Sheet 3)", "")</f>
        <v/>
      </c>
      <c r="L3801" s="7" t="n"/>
      <c r="M3801" s="7" t="n"/>
      <c r="N3801">
        <f>IF(D3801="", "Gap - No Legal Basis", IF(AND(D3801="Consent (GDPR Art. 6(1)(a))", I3801="Not Captured"), "Gap - Invalid Consent", IF(AND(D3801="Legitimate Interest (GDPR Art. 6(1)(f))", L3801=""), "Gap - Missing LIA", IF(AND(G3801="Yes", H3801=""), "Gap - Missing Art. 9 Basis", IF(OR(I3801="Invalid - Not Freely Given", I3801="Invalid - Not Specific", I3801="Invalid - Not Informed", I3801="Invalid - Ambiguous"), "Gap - Invalid Consent", "Compliant")))))</f>
        <v/>
      </c>
      <c r="O3801" s="7" t="n"/>
    </row>
    <row r="3802">
      <c r="A3802" s="7" t="n"/>
      <c r="B3802" s="7" t="n"/>
      <c r="C3802" s="7" t="n"/>
      <c r="D3802" s="7" t="n"/>
      <c r="E3802" s="7" t="n"/>
      <c r="F3802" s="7" t="n"/>
      <c r="G3802" s="7" t="n"/>
      <c r="H3802" s="7" t="n"/>
      <c r="I3802" s="7" t="n"/>
      <c r="J3802" s="7" t="n"/>
      <c r="K3802">
        <f>IF(D3802="Legitimate Interest (GDPR Art. 6(1)(f))", "Yes / Required (Sheet 3)", "")</f>
        <v/>
      </c>
      <c r="L3802" s="7" t="n"/>
      <c r="M3802" s="7" t="n"/>
      <c r="N3802">
        <f>IF(D3802="", "Gap - No Legal Basis", IF(AND(D3802="Consent (GDPR Art. 6(1)(a))", I3802="Not Captured"), "Gap - Invalid Consent", IF(AND(D3802="Legitimate Interest (GDPR Art. 6(1)(f))", L3802=""), "Gap - Missing LIA", IF(AND(G3802="Yes", H3802=""), "Gap - Missing Art. 9 Basis", IF(OR(I3802="Invalid - Not Freely Given", I3802="Invalid - Not Specific", I3802="Invalid - Not Informed", I3802="Invalid - Ambiguous"), "Gap - Invalid Consent", "Compliant")))))</f>
        <v/>
      </c>
      <c r="O3802" s="7" t="n"/>
    </row>
    <row r="3803">
      <c r="A3803" s="7" t="n"/>
      <c r="B3803" s="7" t="n"/>
      <c r="C3803" s="7" t="n"/>
      <c r="D3803" s="7" t="n"/>
      <c r="E3803" s="7" t="n"/>
      <c r="F3803" s="7" t="n"/>
      <c r="G3803" s="7" t="n"/>
      <c r="H3803" s="7" t="n"/>
      <c r="I3803" s="7" t="n"/>
      <c r="J3803" s="7" t="n"/>
      <c r="K3803">
        <f>IF(D3803="Legitimate Interest (GDPR Art. 6(1)(f))", "Yes / Required (Sheet 3)", "")</f>
        <v/>
      </c>
      <c r="L3803" s="7" t="n"/>
      <c r="M3803" s="7" t="n"/>
      <c r="N3803">
        <f>IF(D3803="", "Gap - No Legal Basis", IF(AND(D3803="Consent (GDPR Art. 6(1)(a))", I3803="Not Captured"), "Gap - Invalid Consent", IF(AND(D3803="Legitimate Interest (GDPR Art. 6(1)(f))", L3803=""), "Gap - Missing LIA", IF(AND(G3803="Yes", H3803=""), "Gap - Missing Art. 9 Basis", IF(OR(I3803="Invalid - Not Freely Given", I3803="Invalid - Not Specific", I3803="Invalid - Not Informed", I3803="Invalid - Ambiguous"), "Gap - Invalid Consent", "Compliant")))))</f>
        <v/>
      </c>
      <c r="O3803" s="7" t="n"/>
    </row>
    <row r="3804">
      <c r="A3804" s="7" t="n"/>
      <c r="B3804" s="7" t="n"/>
      <c r="C3804" s="7" t="n"/>
      <c r="D3804" s="7" t="n"/>
      <c r="E3804" s="7" t="n"/>
      <c r="F3804" s="7" t="n"/>
      <c r="G3804" s="7" t="n"/>
      <c r="H3804" s="7" t="n"/>
      <c r="I3804" s="7" t="n"/>
      <c r="J3804" s="7" t="n"/>
      <c r="K3804">
        <f>IF(D3804="Legitimate Interest (GDPR Art. 6(1)(f))", "Yes / Required (Sheet 3)", "")</f>
        <v/>
      </c>
      <c r="L3804" s="7" t="n"/>
      <c r="M3804" s="7" t="n"/>
      <c r="N3804">
        <f>IF(D3804="", "Gap - No Legal Basis", IF(AND(D3804="Consent (GDPR Art. 6(1)(a))", I3804="Not Captured"), "Gap - Invalid Consent", IF(AND(D3804="Legitimate Interest (GDPR Art. 6(1)(f))", L3804=""), "Gap - Missing LIA", IF(AND(G3804="Yes", H3804=""), "Gap - Missing Art. 9 Basis", IF(OR(I3804="Invalid - Not Freely Given", I3804="Invalid - Not Specific", I3804="Invalid - Not Informed", I3804="Invalid - Ambiguous"), "Gap - Invalid Consent", "Compliant")))))</f>
        <v/>
      </c>
      <c r="O3804" s="7" t="n"/>
    </row>
    <row r="3805">
      <c r="A3805" s="7" t="n"/>
      <c r="B3805" s="7" t="n"/>
      <c r="C3805" s="7" t="n"/>
      <c r="D3805" s="7" t="n"/>
      <c r="E3805" s="7" t="n"/>
      <c r="F3805" s="7" t="n"/>
      <c r="G3805" s="7" t="n"/>
      <c r="H3805" s="7" t="n"/>
      <c r="I3805" s="7" t="n"/>
      <c r="J3805" s="7" t="n"/>
      <c r="K3805">
        <f>IF(D3805="Legitimate Interest (GDPR Art. 6(1)(f))", "Yes / Required (Sheet 3)", "")</f>
        <v/>
      </c>
      <c r="L3805" s="7" t="n"/>
      <c r="M3805" s="7" t="n"/>
      <c r="N3805">
        <f>IF(D3805="", "Gap - No Legal Basis", IF(AND(D3805="Consent (GDPR Art. 6(1)(a))", I3805="Not Captured"), "Gap - Invalid Consent", IF(AND(D3805="Legitimate Interest (GDPR Art. 6(1)(f))", L3805=""), "Gap - Missing LIA", IF(AND(G3805="Yes", H3805=""), "Gap - Missing Art. 9 Basis", IF(OR(I3805="Invalid - Not Freely Given", I3805="Invalid - Not Specific", I3805="Invalid - Not Informed", I3805="Invalid - Ambiguous"), "Gap - Invalid Consent", "Compliant")))))</f>
        <v/>
      </c>
      <c r="O3805" s="7" t="n"/>
    </row>
    <row r="3806">
      <c r="A3806" s="7" t="n"/>
      <c r="B3806" s="7" t="n"/>
      <c r="C3806" s="7" t="n"/>
      <c r="D3806" s="7" t="n"/>
      <c r="E3806" s="7" t="n"/>
      <c r="F3806" s="7" t="n"/>
      <c r="G3806" s="7" t="n"/>
      <c r="H3806" s="7" t="n"/>
      <c r="I3806" s="7" t="n"/>
      <c r="J3806" s="7" t="n"/>
      <c r="K3806">
        <f>IF(D3806="Legitimate Interest (GDPR Art. 6(1)(f))", "Yes / Required (Sheet 3)", "")</f>
        <v/>
      </c>
      <c r="L3806" s="7" t="n"/>
      <c r="M3806" s="7" t="n"/>
      <c r="N3806">
        <f>IF(D3806="", "Gap - No Legal Basis", IF(AND(D3806="Consent (GDPR Art. 6(1)(a))", I3806="Not Captured"), "Gap - Invalid Consent", IF(AND(D3806="Legitimate Interest (GDPR Art. 6(1)(f))", L3806=""), "Gap - Missing LIA", IF(AND(G3806="Yes", H3806=""), "Gap - Missing Art. 9 Basis", IF(OR(I3806="Invalid - Not Freely Given", I3806="Invalid - Not Specific", I3806="Invalid - Not Informed", I3806="Invalid - Ambiguous"), "Gap - Invalid Consent", "Compliant")))))</f>
        <v/>
      </c>
      <c r="O3806" s="7" t="n"/>
    </row>
    <row r="3807">
      <c r="A3807" s="7" t="n"/>
      <c r="B3807" s="7" t="n"/>
      <c r="C3807" s="7" t="n"/>
      <c r="D3807" s="7" t="n"/>
      <c r="E3807" s="7" t="n"/>
      <c r="F3807" s="7" t="n"/>
      <c r="G3807" s="7" t="n"/>
      <c r="H3807" s="7" t="n"/>
      <c r="I3807" s="7" t="n"/>
      <c r="J3807" s="7" t="n"/>
      <c r="K3807">
        <f>IF(D3807="Legitimate Interest (GDPR Art. 6(1)(f))", "Yes / Required (Sheet 3)", "")</f>
        <v/>
      </c>
      <c r="L3807" s="7" t="n"/>
      <c r="M3807" s="7" t="n"/>
      <c r="N3807">
        <f>IF(D3807="", "Gap - No Legal Basis", IF(AND(D3807="Consent (GDPR Art. 6(1)(a))", I3807="Not Captured"), "Gap - Invalid Consent", IF(AND(D3807="Legitimate Interest (GDPR Art. 6(1)(f))", L3807=""), "Gap - Missing LIA", IF(AND(G3807="Yes", H3807=""), "Gap - Missing Art. 9 Basis", IF(OR(I3807="Invalid - Not Freely Given", I3807="Invalid - Not Specific", I3807="Invalid - Not Informed", I3807="Invalid - Ambiguous"), "Gap - Invalid Consent", "Compliant")))))</f>
        <v/>
      </c>
      <c r="O3807" s="7" t="n"/>
    </row>
    <row r="3808">
      <c r="A3808" s="7" t="n"/>
      <c r="B3808" s="7" t="n"/>
      <c r="C3808" s="7" t="n"/>
      <c r="D3808" s="7" t="n"/>
      <c r="E3808" s="7" t="n"/>
      <c r="F3808" s="7" t="n"/>
      <c r="G3808" s="7" t="n"/>
      <c r="H3808" s="7" t="n"/>
      <c r="I3808" s="7" t="n"/>
      <c r="J3808" s="7" t="n"/>
      <c r="K3808">
        <f>IF(D3808="Legitimate Interest (GDPR Art. 6(1)(f))", "Yes / Required (Sheet 3)", "")</f>
        <v/>
      </c>
      <c r="L3808" s="7" t="n"/>
      <c r="M3808" s="7" t="n"/>
      <c r="N3808">
        <f>IF(D3808="", "Gap - No Legal Basis", IF(AND(D3808="Consent (GDPR Art. 6(1)(a))", I3808="Not Captured"), "Gap - Invalid Consent", IF(AND(D3808="Legitimate Interest (GDPR Art. 6(1)(f))", L3808=""), "Gap - Missing LIA", IF(AND(G3808="Yes", H3808=""), "Gap - Missing Art. 9 Basis", IF(OR(I3808="Invalid - Not Freely Given", I3808="Invalid - Not Specific", I3808="Invalid - Not Informed", I3808="Invalid - Ambiguous"), "Gap - Invalid Consent", "Compliant")))))</f>
        <v/>
      </c>
      <c r="O3808" s="7" t="n"/>
    </row>
    <row r="3809">
      <c r="A3809" s="7" t="n"/>
      <c r="B3809" s="7" t="n"/>
      <c r="C3809" s="7" t="n"/>
      <c r="D3809" s="7" t="n"/>
      <c r="E3809" s="7" t="n"/>
      <c r="F3809" s="7" t="n"/>
      <c r="G3809" s="7" t="n"/>
      <c r="H3809" s="7" t="n"/>
      <c r="I3809" s="7" t="n"/>
      <c r="J3809" s="7" t="n"/>
      <c r="K3809">
        <f>IF(D3809="Legitimate Interest (GDPR Art. 6(1)(f))", "Yes / Required (Sheet 3)", "")</f>
        <v/>
      </c>
      <c r="L3809" s="7" t="n"/>
      <c r="M3809" s="7" t="n"/>
      <c r="N3809">
        <f>IF(D3809="", "Gap - No Legal Basis", IF(AND(D3809="Consent (GDPR Art. 6(1)(a))", I3809="Not Captured"), "Gap - Invalid Consent", IF(AND(D3809="Legitimate Interest (GDPR Art. 6(1)(f))", L3809=""), "Gap - Missing LIA", IF(AND(G3809="Yes", H3809=""), "Gap - Missing Art. 9 Basis", IF(OR(I3809="Invalid - Not Freely Given", I3809="Invalid - Not Specific", I3809="Invalid - Not Informed", I3809="Invalid - Ambiguous"), "Gap - Invalid Consent", "Compliant")))))</f>
        <v/>
      </c>
      <c r="O3809" s="7" t="n"/>
    </row>
    <row r="3810">
      <c r="A3810" s="7" t="n"/>
      <c r="B3810" s="7" t="n"/>
      <c r="C3810" s="7" t="n"/>
      <c r="D3810" s="7" t="n"/>
      <c r="E3810" s="7" t="n"/>
      <c r="F3810" s="7" t="n"/>
      <c r="G3810" s="7" t="n"/>
      <c r="H3810" s="7" t="n"/>
      <c r="I3810" s="7" t="n"/>
      <c r="J3810" s="7" t="n"/>
      <c r="K3810">
        <f>IF(D3810="Legitimate Interest (GDPR Art. 6(1)(f))", "Yes / Required (Sheet 3)", "")</f>
        <v/>
      </c>
      <c r="L3810" s="7" t="n"/>
      <c r="M3810" s="7" t="n"/>
      <c r="N3810">
        <f>IF(D3810="", "Gap - No Legal Basis", IF(AND(D3810="Consent (GDPR Art. 6(1)(a))", I3810="Not Captured"), "Gap - Invalid Consent", IF(AND(D3810="Legitimate Interest (GDPR Art. 6(1)(f))", L3810=""), "Gap - Missing LIA", IF(AND(G3810="Yes", H3810=""), "Gap - Missing Art. 9 Basis", IF(OR(I3810="Invalid - Not Freely Given", I3810="Invalid - Not Specific", I3810="Invalid - Not Informed", I3810="Invalid - Ambiguous"), "Gap - Invalid Consent", "Compliant")))))</f>
        <v/>
      </c>
      <c r="O3810" s="7" t="n"/>
    </row>
    <row r="3811">
      <c r="A3811" s="7" t="n"/>
      <c r="B3811" s="7" t="n"/>
      <c r="C3811" s="7" t="n"/>
      <c r="D3811" s="7" t="n"/>
      <c r="E3811" s="7" t="n"/>
      <c r="F3811" s="7" t="n"/>
      <c r="G3811" s="7" t="n"/>
      <c r="H3811" s="7" t="n"/>
      <c r="I3811" s="7" t="n"/>
      <c r="J3811" s="7" t="n"/>
      <c r="K3811">
        <f>IF(D3811="Legitimate Interest (GDPR Art. 6(1)(f))", "Yes / Required (Sheet 3)", "")</f>
        <v/>
      </c>
      <c r="L3811" s="7" t="n"/>
      <c r="M3811" s="7" t="n"/>
      <c r="N3811">
        <f>IF(D3811="", "Gap - No Legal Basis", IF(AND(D3811="Consent (GDPR Art. 6(1)(a))", I3811="Not Captured"), "Gap - Invalid Consent", IF(AND(D3811="Legitimate Interest (GDPR Art. 6(1)(f))", L3811=""), "Gap - Missing LIA", IF(AND(G3811="Yes", H3811=""), "Gap - Missing Art. 9 Basis", IF(OR(I3811="Invalid - Not Freely Given", I3811="Invalid - Not Specific", I3811="Invalid - Not Informed", I3811="Invalid - Ambiguous"), "Gap - Invalid Consent", "Compliant")))))</f>
        <v/>
      </c>
      <c r="O3811" s="7" t="n"/>
    </row>
    <row r="3812">
      <c r="A3812" s="7" t="n"/>
      <c r="B3812" s="7" t="n"/>
      <c r="C3812" s="7" t="n"/>
      <c r="D3812" s="7" t="n"/>
      <c r="E3812" s="7" t="n"/>
      <c r="F3812" s="7" t="n"/>
      <c r="G3812" s="7" t="n"/>
      <c r="H3812" s="7" t="n"/>
      <c r="I3812" s="7" t="n"/>
      <c r="J3812" s="7" t="n"/>
      <c r="K3812">
        <f>IF(D3812="Legitimate Interest (GDPR Art. 6(1)(f))", "Yes / Required (Sheet 3)", "")</f>
        <v/>
      </c>
      <c r="L3812" s="7" t="n"/>
      <c r="M3812" s="7" t="n"/>
      <c r="N3812">
        <f>IF(D3812="", "Gap - No Legal Basis", IF(AND(D3812="Consent (GDPR Art. 6(1)(a))", I3812="Not Captured"), "Gap - Invalid Consent", IF(AND(D3812="Legitimate Interest (GDPR Art. 6(1)(f))", L3812=""), "Gap - Missing LIA", IF(AND(G3812="Yes", H3812=""), "Gap - Missing Art. 9 Basis", IF(OR(I3812="Invalid - Not Freely Given", I3812="Invalid - Not Specific", I3812="Invalid - Not Informed", I3812="Invalid - Ambiguous"), "Gap - Invalid Consent", "Compliant")))))</f>
        <v/>
      </c>
      <c r="O3812" s="7" t="n"/>
    </row>
    <row r="3813">
      <c r="A3813" s="7" t="n"/>
      <c r="B3813" s="7" t="n"/>
      <c r="C3813" s="7" t="n"/>
      <c r="D3813" s="7" t="n"/>
      <c r="E3813" s="7" t="n"/>
      <c r="F3813" s="7" t="n"/>
      <c r="G3813" s="7" t="n"/>
      <c r="H3813" s="7" t="n"/>
      <c r="I3813" s="7" t="n"/>
      <c r="J3813" s="7" t="n"/>
      <c r="K3813">
        <f>IF(D3813="Legitimate Interest (GDPR Art. 6(1)(f))", "Yes / Required (Sheet 3)", "")</f>
        <v/>
      </c>
      <c r="L3813" s="7" t="n"/>
      <c r="M3813" s="7" t="n"/>
      <c r="N3813">
        <f>IF(D3813="", "Gap - No Legal Basis", IF(AND(D3813="Consent (GDPR Art. 6(1)(a))", I3813="Not Captured"), "Gap - Invalid Consent", IF(AND(D3813="Legitimate Interest (GDPR Art. 6(1)(f))", L3813=""), "Gap - Missing LIA", IF(AND(G3813="Yes", H3813=""), "Gap - Missing Art. 9 Basis", IF(OR(I3813="Invalid - Not Freely Given", I3813="Invalid - Not Specific", I3813="Invalid - Not Informed", I3813="Invalid - Ambiguous"), "Gap - Invalid Consent", "Compliant")))))</f>
        <v/>
      </c>
      <c r="O3813" s="7" t="n"/>
    </row>
    <row r="3814">
      <c r="A3814" s="7" t="n"/>
      <c r="B3814" s="7" t="n"/>
      <c r="C3814" s="7" t="n"/>
      <c r="D3814" s="7" t="n"/>
      <c r="E3814" s="7" t="n"/>
      <c r="F3814" s="7" t="n"/>
      <c r="G3814" s="7" t="n"/>
      <c r="H3814" s="7" t="n"/>
      <c r="I3814" s="7" t="n"/>
      <c r="J3814" s="7" t="n"/>
      <c r="K3814">
        <f>IF(D3814="Legitimate Interest (GDPR Art. 6(1)(f))", "Yes / Required (Sheet 3)", "")</f>
        <v/>
      </c>
      <c r="L3814" s="7" t="n"/>
      <c r="M3814" s="7" t="n"/>
      <c r="N3814">
        <f>IF(D3814="", "Gap - No Legal Basis", IF(AND(D3814="Consent (GDPR Art. 6(1)(a))", I3814="Not Captured"), "Gap - Invalid Consent", IF(AND(D3814="Legitimate Interest (GDPR Art. 6(1)(f))", L3814=""), "Gap - Missing LIA", IF(AND(G3814="Yes", H3814=""), "Gap - Missing Art. 9 Basis", IF(OR(I3814="Invalid - Not Freely Given", I3814="Invalid - Not Specific", I3814="Invalid - Not Informed", I3814="Invalid - Ambiguous"), "Gap - Invalid Consent", "Compliant")))))</f>
        <v/>
      </c>
      <c r="O3814" s="7" t="n"/>
    </row>
    <row r="3815">
      <c r="A3815" s="7" t="n"/>
      <c r="B3815" s="7" t="n"/>
      <c r="C3815" s="7" t="n"/>
      <c r="D3815" s="7" t="n"/>
      <c r="E3815" s="7" t="n"/>
      <c r="F3815" s="7" t="n"/>
      <c r="G3815" s="7" t="n"/>
      <c r="H3815" s="7" t="n"/>
      <c r="I3815" s="7" t="n"/>
      <c r="J3815" s="7" t="n"/>
      <c r="K3815">
        <f>IF(D3815="Legitimate Interest (GDPR Art. 6(1)(f))", "Yes / Required (Sheet 3)", "")</f>
        <v/>
      </c>
      <c r="L3815" s="7" t="n"/>
      <c r="M3815" s="7" t="n"/>
      <c r="N3815">
        <f>IF(D3815="", "Gap - No Legal Basis", IF(AND(D3815="Consent (GDPR Art. 6(1)(a))", I3815="Not Captured"), "Gap - Invalid Consent", IF(AND(D3815="Legitimate Interest (GDPR Art. 6(1)(f))", L3815=""), "Gap - Missing LIA", IF(AND(G3815="Yes", H3815=""), "Gap - Missing Art. 9 Basis", IF(OR(I3815="Invalid - Not Freely Given", I3815="Invalid - Not Specific", I3815="Invalid - Not Informed", I3815="Invalid - Ambiguous"), "Gap - Invalid Consent", "Compliant")))))</f>
        <v/>
      </c>
      <c r="O3815" s="7" t="n"/>
    </row>
    <row r="3816">
      <c r="A3816" s="7" t="n"/>
      <c r="B3816" s="7" t="n"/>
      <c r="C3816" s="7" t="n"/>
      <c r="D3816" s="7" t="n"/>
      <c r="E3816" s="7" t="n"/>
      <c r="F3816" s="7" t="n"/>
      <c r="G3816" s="7" t="n"/>
      <c r="H3816" s="7" t="n"/>
      <c r="I3816" s="7" t="n"/>
      <c r="J3816" s="7" t="n"/>
      <c r="K3816">
        <f>IF(D3816="Legitimate Interest (GDPR Art. 6(1)(f))", "Yes / Required (Sheet 3)", "")</f>
        <v/>
      </c>
      <c r="L3816" s="7" t="n"/>
      <c r="M3816" s="7" t="n"/>
      <c r="N3816">
        <f>IF(D3816="", "Gap - No Legal Basis", IF(AND(D3816="Consent (GDPR Art. 6(1)(a))", I3816="Not Captured"), "Gap - Invalid Consent", IF(AND(D3816="Legitimate Interest (GDPR Art. 6(1)(f))", L3816=""), "Gap - Missing LIA", IF(AND(G3816="Yes", H3816=""), "Gap - Missing Art. 9 Basis", IF(OR(I3816="Invalid - Not Freely Given", I3816="Invalid - Not Specific", I3816="Invalid - Not Informed", I3816="Invalid - Ambiguous"), "Gap - Invalid Consent", "Compliant")))))</f>
        <v/>
      </c>
      <c r="O3816" s="7" t="n"/>
    </row>
    <row r="3817">
      <c r="A3817" s="7" t="n"/>
      <c r="B3817" s="7" t="n"/>
      <c r="C3817" s="7" t="n"/>
      <c r="D3817" s="7" t="n"/>
      <c r="E3817" s="7" t="n"/>
      <c r="F3817" s="7" t="n"/>
      <c r="G3817" s="7" t="n"/>
      <c r="H3817" s="7" t="n"/>
      <c r="I3817" s="7" t="n"/>
      <c r="J3817" s="7" t="n"/>
      <c r="K3817">
        <f>IF(D3817="Legitimate Interest (GDPR Art. 6(1)(f))", "Yes / Required (Sheet 3)", "")</f>
        <v/>
      </c>
      <c r="L3817" s="7" t="n"/>
      <c r="M3817" s="7" t="n"/>
      <c r="N3817">
        <f>IF(D3817="", "Gap - No Legal Basis", IF(AND(D3817="Consent (GDPR Art. 6(1)(a))", I3817="Not Captured"), "Gap - Invalid Consent", IF(AND(D3817="Legitimate Interest (GDPR Art. 6(1)(f))", L3817=""), "Gap - Missing LIA", IF(AND(G3817="Yes", H3817=""), "Gap - Missing Art. 9 Basis", IF(OR(I3817="Invalid - Not Freely Given", I3817="Invalid - Not Specific", I3817="Invalid - Not Informed", I3817="Invalid - Ambiguous"), "Gap - Invalid Consent", "Compliant")))))</f>
        <v/>
      </c>
      <c r="O3817" s="7" t="n"/>
    </row>
    <row r="3818">
      <c r="A3818" s="7" t="n"/>
      <c r="B3818" s="7" t="n"/>
      <c r="C3818" s="7" t="n"/>
      <c r="D3818" s="7" t="n"/>
      <c r="E3818" s="7" t="n"/>
      <c r="F3818" s="7" t="n"/>
      <c r="G3818" s="7" t="n"/>
      <c r="H3818" s="7" t="n"/>
      <c r="I3818" s="7" t="n"/>
      <c r="J3818" s="7" t="n"/>
      <c r="K3818">
        <f>IF(D3818="Legitimate Interest (GDPR Art. 6(1)(f))", "Yes / Required (Sheet 3)", "")</f>
        <v/>
      </c>
      <c r="L3818" s="7" t="n"/>
      <c r="M3818" s="7" t="n"/>
      <c r="N3818">
        <f>IF(D3818="", "Gap - No Legal Basis", IF(AND(D3818="Consent (GDPR Art. 6(1)(a))", I3818="Not Captured"), "Gap - Invalid Consent", IF(AND(D3818="Legitimate Interest (GDPR Art. 6(1)(f))", L3818=""), "Gap - Missing LIA", IF(AND(G3818="Yes", H3818=""), "Gap - Missing Art. 9 Basis", IF(OR(I3818="Invalid - Not Freely Given", I3818="Invalid - Not Specific", I3818="Invalid - Not Informed", I3818="Invalid - Ambiguous"), "Gap - Invalid Consent", "Compliant")))))</f>
        <v/>
      </c>
      <c r="O3818" s="7" t="n"/>
    </row>
    <row r="3819">
      <c r="A3819" s="7" t="n"/>
      <c r="B3819" s="7" t="n"/>
      <c r="C3819" s="7" t="n"/>
      <c r="D3819" s="7" t="n"/>
      <c r="E3819" s="7" t="n"/>
      <c r="F3819" s="7" t="n"/>
      <c r="G3819" s="7" t="n"/>
      <c r="H3819" s="7" t="n"/>
      <c r="I3819" s="7" t="n"/>
      <c r="J3819" s="7" t="n"/>
      <c r="K3819">
        <f>IF(D3819="Legitimate Interest (GDPR Art. 6(1)(f))", "Yes / Required (Sheet 3)", "")</f>
        <v/>
      </c>
      <c r="L3819" s="7" t="n"/>
      <c r="M3819" s="7" t="n"/>
      <c r="N3819">
        <f>IF(D3819="", "Gap - No Legal Basis", IF(AND(D3819="Consent (GDPR Art. 6(1)(a))", I3819="Not Captured"), "Gap - Invalid Consent", IF(AND(D3819="Legitimate Interest (GDPR Art. 6(1)(f))", L3819=""), "Gap - Missing LIA", IF(AND(G3819="Yes", H3819=""), "Gap - Missing Art. 9 Basis", IF(OR(I3819="Invalid - Not Freely Given", I3819="Invalid - Not Specific", I3819="Invalid - Not Informed", I3819="Invalid - Ambiguous"), "Gap - Invalid Consent", "Compliant")))))</f>
        <v/>
      </c>
      <c r="O3819" s="7" t="n"/>
    </row>
    <row r="3820">
      <c r="A3820" s="7" t="n"/>
      <c r="B3820" s="7" t="n"/>
      <c r="C3820" s="7" t="n"/>
      <c r="D3820" s="7" t="n"/>
      <c r="E3820" s="7" t="n"/>
      <c r="F3820" s="7" t="n"/>
      <c r="G3820" s="7" t="n"/>
      <c r="H3820" s="7" t="n"/>
      <c r="I3820" s="7" t="n"/>
      <c r="J3820" s="7" t="n"/>
      <c r="K3820">
        <f>IF(D3820="Legitimate Interest (GDPR Art. 6(1)(f))", "Yes / Required (Sheet 3)", "")</f>
        <v/>
      </c>
      <c r="L3820" s="7" t="n"/>
      <c r="M3820" s="7" t="n"/>
      <c r="N3820">
        <f>IF(D3820="", "Gap - No Legal Basis", IF(AND(D3820="Consent (GDPR Art. 6(1)(a))", I3820="Not Captured"), "Gap - Invalid Consent", IF(AND(D3820="Legitimate Interest (GDPR Art. 6(1)(f))", L3820=""), "Gap - Missing LIA", IF(AND(G3820="Yes", H3820=""), "Gap - Missing Art. 9 Basis", IF(OR(I3820="Invalid - Not Freely Given", I3820="Invalid - Not Specific", I3820="Invalid - Not Informed", I3820="Invalid - Ambiguous"), "Gap - Invalid Consent", "Compliant")))))</f>
        <v/>
      </c>
      <c r="O3820" s="7" t="n"/>
    </row>
    <row r="3821">
      <c r="A3821" s="7" t="n"/>
      <c r="B3821" s="7" t="n"/>
      <c r="C3821" s="7" t="n"/>
      <c r="D3821" s="7" t="n"/>
      <c r="E3821" s="7" t="n"/>
      <c r="F3821" s="7" t="n"/>
      <c r="G3821" s="7" t="n"/>
      <c r="H3821" s="7" t="n"/>
      <c r="I3821" s="7" t="n"/>
      <c r="J3821" s="7" t="n"/>
      <c r="K3821">
        <f>IF(D3821="Legitimate Interest (GDPR Art. 6(1)(f))", "Yes / Required (Sheet 3)", "")</f>
        <v/>
      </c>
      <c r="L3821" s="7" t="n"/>
      <c r="M3821" s="7" t="n"/>
      <c r="N3821">
        <f>IF(D3821="", "Gap - No Legal Basis", IF(AND(D3821="Consent (GDPR Art. 6(1)(a))", I3821="Not Captured"), "Gap - Invalid Consent", IF(AND(D3821="Legitimate Interest (GDPR Art. 6(1)(f))", L3821=""), "Gap - Missing LIA", IF(AND(G3821="Yes", H3821=""), "Gap - Missing Art. 9 Basis", IF(OR(I3821="Invalid - Not Freely Given", I3821="Invalid - Not Specific", I3821="Invalid - Not Informed", I3821="Invalid - Ambiguous"), "Gap - Invalid Consent", "Compliant")))))</f>
        <v/>
      </c>
      <c r="O3821" s="7" t="n"/>
    </row>
    <row r="3822">
      <c r="A3822" s="7" t="n"/>
      <c r="B3822" s="7" t="n"/>
      <c r="C3822" s="7" t="n"/>
      <c r="D3822" s="7" t="n"/>
      <c r="E3822" s="7" t="n"/>
      <c r="F3822" s="7" t="n"/>
      <c r="G3822" s="7" t="n"/>
      <c r="H3822" s="7" t="n"/>
      <c r="I3822" s="7" t="n"/>
      <c r="J3822" s="7" t="n"/>
      <c r="K3822">
        <f>IF(D3822="Legitimate Interest (GDPR Art. 6(1)(f))", "Yes / Required (Sheet 3)", "")</f>
        <v/>
      </c>
      <c r="L3822" s="7" t="n"/>
      <c r="M3822" s="7" t="n"/>
      <c r="N3822">
        <f>IF(D3822="", "Gap - No Legal Basis", IF(AND(D3822="Consent (GDPR Art. 6(1)(a))", I3822="Not Captured"), "Gap - Invalid Consent", IF(AND(D3822="Legitimate Interest (GDPR Art. 6(1)(f))", L3822=""), "Gap - Missing LIA", IF(AND(G3822="Yes", H3822=""), "Gap - Missing Art. 9 Basis", IF(OR(I3822="Invalid - Not Freely Given", I3822="Invalid - Not Specific", I3822="Invalid - Not Informed", I3822="Invalid - Ambiguous"), "Gap - Invalid Consent", "Compliant")))))</f>
        <v/>
      </c>
      <c r="O3822" s="7" t="n"/>
    </row>
    <row r="3823">
      <c r="A3823" s="7" t="n"/>
      <c r="B3823" s="7" t="n"/>
      <c r="C3823" s="7" t="n"/>
      <c r="D3823" s="7" t="n"/>
      <c r="E3823" s="7" t="n"/>
      <c r="F3823" s="7" t="n"/>
      <c r="G3823" s="7" t="n"/>
      <c r="H3823" s="7" t="n"/>
      <c r="I3823" s="7" t="n"/>
      <c r="J3823" s="7" t="n"/>
      <c r="K3823">
        <f>IF(D3823="Legitimate Interest (GDPR Art. 6(1)(f))", "Yes / Required (Sheet 3)", "")</f>
        <v/>
      </c>
      <c r="L3823" s="7" t="n"/>
      <c r="M3823" s="7" t="n"/>
      <c r="N3823">
        <f>IF(D3823="", "Gap - No Legal Basis", IF(AND(D3823="Consent (GDPR Art. 6(1)(a))", I3823="Not Captured"), "Gap - Invalid Consent", IF(AND(D3823="Legitimate Interest (GDPR Art. 6(1)(f))", L3823=""), "Gap - Missing LIA", IF(AND(G3823="Yes", H3823=""), "Gap - Missing Art. 9 Basis", IF(OR(I3823="Invalid - Not Freely Given", I3823="Invalid - Not Specific", I3823="Invalid - Not Informed", I3823="Invalid - Ambiguous"), "Gap - Invalid Consent", "Compliant")))))</f>
        <v/>
      </c>
      <c r="O3823" s="7" t="n"/>
    </row>
    <row r="3824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7" t="n"/>
      <c r="J3824" s="7" t="n"/>
      <c r="K3824">
        <f>IF(D3824="Legitimate Interest (GDPR Art. 6(1)(f))", "Yes / Required (Sheet 3)", "")</f>
        <v/>
      </c>
      <c r="L3824" s="7" t="n"/>
      <c r="M3824" s="7" t="n"/>
      <c r="N3824">
        <f>IF(D3824="", "Gap - No Legal Basis", IF(AND(D3824="Consent (GDPR Art. 6(1)(a))", I3824="Not Captured"), "Gap - Invalid Consent", IF(AND(D3824="Legitimate Interest (GDPR Art. 6(1)(f))", L3824=""), "Gap - Missing LIA", IF(AND(G3824="Yes", H3824=""), "Gap - Missing Art. 9 Basis", IF(OR(I3824="Invalid - Not Freely Given", I3824="Invalid - Not Specific", I3824="Invalid - Not Informed", I3824="Invalid - Ambiguous"), "Gap - Invalid Consent", "Compliant")))))</f>
        <v/>
      </c>
      <c r="O3824" s="7" t="n"/>
    </row>
    <row r="3825">
      <c r="A3825" s="7" t="n"/>
      <c r="B3825" s="7" t="n"/>
      <c r="C3825" s="7" t="n"/>
      <c r="D3825" s="7" t="n"/>
      <c r="E3825" s="7" t="n"/>
      <c r="F3825" s="7" t="n"/>
      <c r="G3825" s="7" t="n"/>
      <c r="H3825" s="7" t="n"/>
      <c r="I3825" s="7" t="n"/>
      <c r="J3825" s="7" t="n"/>
      <c r="K3825">
        <f>IF(D3825="Legitimate Interest (GDPR Art. 6(1)(f))", "Yes / Required (Sheet 3)", "")</f>
        <v/>
      </c>
      <c r="L3825" s="7" t="n"/>
      <c r="M3825" s="7" t="n"/>
      <c r="N3825">
        <f>IF(D3825="", "Gap - No Legal Basis", IF(AND(D3825="Consent (GDPR Art. 6(1)(a))", I3825="Not Captured"), "Gap - Invalid Consent", IF(AND(D3825="Legitimate Interest (GDPR Art. 6(1)(f))", L3825=""), "Gap - Missing LIA", IF(AND(G3825="Yes", H3825=""), "Gap - Missing Art. 9 Basis", IF(OR(I3825="Invalid - Not Freely Given", I3825="Invalid - Not Specific", I3825="Invalid - Not Informed", I3825="Invalid - Ambiguous"), "Gap - Invalid Consent", "Compliant")))))</f>
        <v/>
      </c>
      <c r="O3825" s="7" t="n"/>
    </row>
    <row r="3826">
      <c r="A3826" s="7" t="n"/>
      <c r="B3826" s="7" t="n"/>
      <c r="C3826" s="7" t="n"/>
      <c r="D3826" s="7" t="n"/>
      <c r="E3826" s="7" t="n"/>
      <c r="F3826" s="7" t="n"/>
      <c r="G3826" s="7" t="n"/>
      <c r="H3826" s="7" t="n"/>
      <c r="I3826" s="7" t="n"/>
      <c r="J3826" s="7" t="n"/>
      <c r="K3826">
        <f>IF(D3826="Legitimate Interest (GDPR Art. 6(1)(f))", "Yes / Required (Sheet 3)", "")</f>
        <v/>
      </c>
      <c r="L3826" s="7" t="n"/>
      <c r="M3826" s="7" t="n"/>
      <c r="N3826">
        <f>IF(D3826="", "Gap - No Legal Basis", IF(AND(D3826="Consent (GDPR Art. 6(1)(a))", I3826="Not Captured"), "Gap - Invalid Consent", IF(AND(D3826="Legitimate Interest (GDPR Art. 6(1)(f))", L3826=""), "Gap - Missing LIA", IF(AND(G3826="Yes", H3826=""), "Gap - Missing Art. 9 Basis", IF(OR(I3826="Invalid - Not Freely Given", I3826="Invalid - Not Specific", I3826="Invalid - Not Informed", I3826="Invalid - Ambiguous"), "Gap - Invalid Consent", "Compliant")))))</f>
        <v/>
      </c>
      <c r="O3826" s="7" t="n"/>
    </row>
    <row r="3827">
      <c r="A3827" s="7" t="n"/>
      <c r="B3827" s="7" t="n"/>
      <c r="C3827" s="7" t="n"/>
      <c r="D3827" s="7" t="n"/>
      <c r="E3827" s="7" t="n"/>
      <c r="F3827" s="7" t="n"/>
      <c r="G3827" s="7" t="n"/>
      <c r="H3827" s="7" t="n"/>
      <c r="I3827" s="7" t="n"/>
      <c r="J3827" s="7" t="n"/>
      <c r="K3827">
        <f>IF(D3827="Legitimate Interest (GDPR Art. 6(1)(f))", "Yes / Required (Sheet 3)", "")</f>
        <v/>
      </c>
      <c r="L3827" s="7" t="n"/>
      <c r="M3827" s="7" t="n"/>
      <c r="N3827">
        <f>IF(D3827="", "Gap - No Legal Basis", IF(AND(D3827="Consent (GDPR Art. 6(1)(a))", I3827="Not Captured"), "Gap - Invalid Consent", IF(AND(D3827="Legitimate Interest (GDPR Art. 6(1)(f))", L3827=""), "Gap - Missing LIA", IF(AND(G3827="Yes", H3827=""), "Gap - Missing Art. 9 Basis", IF(OR(I3827="Invalid - Not Freely Given", I3827="Invalid - Not Specific", I3827="Invalid - Not Informed", I3827="Invalid - Ambiguous"), "Gap - Invalid Consent", "Compliant")))))</f>
        <v/>
      </c>
      <c r="O3827" s="7" t="n"/>
    </row>
    <row r="3828">
      <c r="A3828" s="7" t="n"/>
      <c r="B3828" s="7" t="n"/>
      <c r="C3828" s="7" t="n"/>
      <c r="D3828" s="7" t="n"/>
      <c r="E3828" s="7" t="n"/>
      <c r="F3828" s="7" t="n"/>
      <c r="G3828" s="7" t="n"/>
      <c r="H3828" s="7" t="n"/>
      <c r="I3828" s="7" t="n"/>
      <c r="J3828" s="7" t="n"/>
      <c r="K3828">
        <f>IF(D3828="Legitimate Interest (GDPR Art. 6(1)(f))", "Yes / Required (Sheet 3)", "")</f>
        <v/>
      </c>
      <c r="L3828" s="7" t="n"/>
      <c r="M3828" s="7" t="n"/>
      <c r="N3828">
        <f>IF(D3828="", "Gap - No Legal Basis", IF(AND(D3828="Consent (GDPR Art. 6(1)(a))", I3828="Not Captured"), "Gap - Invalid Consent", IF(AND(D3828="Legitimate Interest (GDPR Art. 6(1)(f))", L3828=""), "Gap - Missing LIA", IF(AND(G3828="Yes", H3828=""), "Gap - Missing Art. 9 Basis", IF(OR(I3828="Invalid - Not Freely Given", I3828="Invalid - Not Specific", I3828="Invalid - Not Informed", I3828="Invalid - Ambiguous"), "Gap - Invalid Consent", "Compliant")))))</f>
        <v/>
      </c>
      <c r="O3828" s="7" t="n"/>
    </row>
    <row r="3829">
      <c r="A3829" s="7" t="n"/>
      <c r="B3829" s="7" t="n"/>
      <c r="C3829" s="7" t="n"/>
      <c r="D3829" s="7" t="n"/>
      <c r="E3829" s="7" t="n"/>
      <c r="F3829" s="7" t="n"/>
      <c r="G3829" s="7" t="n"/>
      <c r="H3829" s="7" t="n"/>
      <c r="I3829" s="7" t="n"/>
      <c r="J3829" s="7" t="n"/>
      <c r="K3829">
        <f>IF(D3829="Legitimate Interest (GDPR Art. 6(1)(f))", "Yes / Required (Sheet 3)", "")</f>
        <v/>
      </c>
      <c r="L3829" s="7" t="n"/>
      <c r="M3829" s="7" t="n"/>
      <c r="N3829">
        <f>IF(D3829="", "Gap - No Legal Basis", IF(AND(D3829="Consent (GDPR Art. 6(1)(a))", I3829="Not Captured"), "Gap - Invalid Consent", IF(AND(D3829="Legitimate Interest (GDPR Art. 6(1)(f))", L3829=""), "Gap - Missing LIA", IF(AND(G3829="Yes", H3829=""), "Gap - Missing Art. 9 Basis", IF(OR(I3829="Invalid - Not Freely Given", I3829="Invalid - Not Specific", I3829="Invalid - Not Informed", I3829="Invalid - Ambiguous"), "Gap - Invalid Consent", "Compliant")))))</f>
        <v/>
      </c>
      <c r="O3829" s="7" t="n"/>
    </row>
    <row r="3830">
      <c r="A3830" s="7" t="n"/>
      <c r="B3830" s="7" t="n"/>
      <c r="C3830" s="7" t="n"/>
      <c r="D3830" s="7" t="n"/>
      <c r="E3830" s="7" t="n"/>
      <c r="F3830" s="7" t="n"/>
      <c r="G3830" s="7" t="n"/>
      <c r="H3830" s="7" t="n"/>
      <c r="I3830" s="7" t="n"/>
      <c r="J3830" s="7" t="n"/>
      <c r="K3830">
        <f>IF(D3830="Legitimate Interest (GDPR Art. 6(1)(f))", "Yes / Required (Sheet 3)", "")</f>
        <v/>
      </c>
      <c r="L3830" s="7" t="n"/>
      <c r="M3830" s="7" t="n"/>
      <c r="N3830">
        <f>IF(D3830="", "Gap - No Legal Basis", IF(AND(D3830="Consent (GDPR Art. 6(1)(a))", I3830="Not Captured"), "Gap - Invalid Consent", IF(AND(D3830="Legitimate Interest (GDPR Art. 6(1)(f))", L3830=""), "Gap - Missing LIA", IF(AND(G3830="Yes", H3830=""), "Gap - Missing Art. 9 Basis", IF(OR(I3830="Invalid - Not Freely Given", I3830="Invalid - Not Specific", I3830="Invalid - Not Informed", I3830="Invalid - Ambiguous"), "Gap - Invalid Consent", "Compliant")))))</f>
        <v/>
      </c>
      <c r="O3830" s="7" t="n"/>
    </row>
    <row r="3831">
      <c r="A3831" s="7" t="n"/>
      <c r="B3831" s="7" t="n"/>
      <c r="C3831" s="7" t="n"/>
      <c r="D3831" s="7" t="n"/>
      <c r="E3831" s="7" t="n"/>
      <c r="F3831" s="7" t="n"/>
      <c r="G3831" s="7" t="n"/>
      <c r="H3831" s="7" t="n"/>
      <c r="I3831" s="7" t="n"/>
      <c r="J3831" s="7" t="n"/>
      <c r="K3831">
        <f>IF(D3831="Legitimate Interest (GDPR Art. 6(1)(f))", "Yes / Required (Sheet 3)", "")</f>
        <v/>
      </c>
      <c r="L3831" s="7" t="n"/>
      <c r="M3831" s="7" t="n"/>
      <c r="N3831">
        <f>IF(D3831="", "Gap - No Legal Basis", IF(AND(D3831="Consent (GDPR Art. 6(1)(a))", I3831="Not Captured"), "Gap - Invalid Consent", IF(AND(D3831="Legitimate Interest (GDPR Art. 6(1)(f))", L3831=""), "Gap - Missing LIA", IF(AND(G3831="Yes", H3831=""), "Gap - Missing Art. 9 Basis", IF(OR(I3831="Invalid - Not Freely Given", I3831="Invalid - Not Specific", I3831="Invalid - Not Informed", I3831="Invalid - Ambiguous"), "Gap - Invalid Consent", "Compliant")))))</f>
        <v/>
      </c>
      <c r="O3831" s="7" t="n"/>
    </row>
    <row r="3832">
      <c r="A3832" s="7" t="n"/>
      <c r="B3832" s="7" t="n"/>
      <c r="C3832" s="7" t="n"/>
      <c r="D3832" s="7" t="n"/>
      <c r="E3832" s="7" t="n"/>
      <c r="F3832" s="7" t="n"/>
      <c r="G3832" s="7" t="n"/>
      <c r="H3832" s="7" t="n"/>
      <c r="I3832" s="7" t="n"/>
      <c r="J3832" s="7" t="n"/>
      <c r="K3832">
        <f>IF(D3832="Legitimate Interest (GDPR Art. 6(1)(f))", "Yes / Required (Sheet 3)", "")</f>
        <v/>
      </c>
      <c r="L3832" s="7" t="n"/>
      <c r="M3832" s="7" t="n"/>
      <c r="N3832">
        <f>IF(D3832="", "Gap - No Legal Basis", IF(AND(D3832="Consent (GDPR Art. 6(1)(a))", I3832="Not Captured"), "Gap - Invalid Consent", IF(AND(D3832="Legitimate Interest (GDPR Art. 6(1)(f))", L3832=""), "Gap - Missing LIA", IF(AND(G3832="Yes", H3832=""), "Gap - Missing Art. 9 Basis", IF(OR(I3832="Invalid - Not Freely Given", I3832="Invalid - Not Specific", I3832="Invalid - Not Informed", I3832="Invalid - Ambiguous"), "Gap - Invalid Consent", "Compliant")))))</f>
        <v/>
      </c>
      <c r="O3832" s="7" t="n"/>
    </row>
    <row r="3833">
      <c r="A3833" s="7" t="n"/>
      <c r="B3833" s="7" t="n"/>
      <c r="C3833" s="7" t="n"/>
      <c r="D3833" s="7" t="n"/>
      <c r="E3833" s="7" t="n"/>
      <c r="F3833" s="7" t="n"/>
      <c r="G3833" s="7" t="n"/>
      <c r="H3833" s="7" t="n"/>
      <c r="I3833" s="7" t="n"/>
      <c r="J3833" s="7" t="n"/>
      <c r="K3833">
        <f>IF(D3833="Legitimate Interest (GDPR Art. 6(1)(f))", "Yes / Required (Sheet 3)", "")</f>
        <v/>
      </c>
      <c r="L3833" s="7" t="n"/>
      <c r="M3833" s="7" t="n"/>
      <c r="N3833">
        <f>IF(D3833="", "Gap - No Legal Basis", IF(AND(D3833="Consent (GDPR Art. 6(1)(a))", I3833="Not Captured"), "Gap - Invalid Consent", IF(AND(D3833="Legitimate Interest (GDPR Art. 6(1)(f))", L3833=""), "Gap - Missing LIA", IF(AND(G3833="Yes", H3833=""), "Gap - Missing Art. 9 Basis", IF(OR(I3833="Invalid - Not Freely Given", I3833="Invalid - Not Specific", I3833="Invalid - Not Informed", I3833="Invalid - Ambiguous"), "Gap - Invalid Consent", "Compliant")))))</f>
        <v/>
      </c>
      <c r="O3833" s="7" t="n"/>
    </row>
    <row r="3834">
      <c r="A3834" s="7" t="n"/>
      <c r="B3834" s="7" t="n"/>
      <c r="C3834" s="7" t="n"/>
      <c r="D3834" s="7" t="n"/>
      <c r="E3834" s="7" t="n"/>
      <c r="F3834" s="7" t="n"/>
      <c r="G3834" s="7" t="n"/>
      <c r="H3834" s="7" t="n"/>
      <c r="I3834" s="7" t="n"/>
      <c r="J3834" s="7" t="n"/>
      <c r="K3834">
        <f>IF(D3834="Legitimate Interest (GDPR Art. 6(1)(f))", "Yes / Required (Sheet 3)", "")</f>
        <v/>
      </c>
      <c r="L3834" s="7" t="n"/>
      <c r="M3834" s="7" t="n"/>
      <c r="N3834">
        <f>IF(D3834="", "Gap - No Legal Basis", IF(AND(D3834="Consent (GDPR Art. 6(1)(a))", I3834="Not Captured"), "Gap - Invalid Consent", IF(AND(D3834="Legitimate Interest (GDPR Art. 6(1)(f))", L3834=""), "Gap - Missing LIA", IF(AND(G3834="Yes", H3834=""), "Gap - Missing Art. 9 Basis", IF(OR(I3834="Invalid - Not Freely Given", I3834="Invalid - Not Specific", I3834="Invalid - Not Informed", I3834="Invalid - Ambiguous"), "Gap - Invalid Consent", "Compliant")))))</f>
        <v/>
      </c>
      <c r="O3834" s="7" t="n"/>
    </row>
    <row r="3835">
      <c r="A3835" s="7" t="n"/>
      <c r="B3835" s="7" t="n"/>
      <c r="C3835" s="7" t="n"/>
      <c r="D3835" s="7" t="n"/>
      <c r="E3835" s="7" t="n"/>
      <c r="F3835" s="7" t="n"/>
      <c r="G3835" s="7" t="n"/>
      <c r="H3835" s="7" t="n"/>
      <c r="I3835" s="7" t="n"/>
      <c r="J3835" s="7" t="n"/>
      <c r="K3835">
        <f>IF(D3835="Legitimate Interest (GDPR Art. 6(1)(f))", "Yes / Required (Sheet 3)", "")</f>
        <v/>
      </c>
      <c r="L3835" s="7" t="n"/>
      <c r="M3835" s="7" t="n"/>
      <c r="N3835">
        <f>IF(D3835="", "Gap - No Legal Basis", IF(AND(D3835="Consent (GDPR Art. 6(1)(a))", I3835="Not Captured"), "Gap - Invalid Consent", IF(AND(D3835="Legitimate Interest (GDPR Art. 6(1)(f))", L3835=""), "Gap - Missing LIA", IF(AND(G3835="Yes", H3835=""), "Gap - Missing Art. 9 Basis", IF(OR(I3835="Invalid - Not Freely Given", I3835="Invalid - Not Specific", I3835="Invalid - Not Informed", I3835="Invalid - Ambiguous"), "Gap - Invalid Consent", "Compliant")))))</f>
        <v/>
      </c>
      <c r="O3835" s="7" t="n"/>
    </row>
    <row r="3836">
      <c r="A3836" s="7" t="n"/>
      <c r="B3836" s="7" t="n"/>
      <c r="C3836" s="7" t="n"/>
      <c r="D3836" s="7" t="n"/>
      <c r="E3836" s="7" t="n"/>
      <c r="F3836" s="7" t="n"/>
      <c r="G3836" s="7" t="n"/>
      <c r="H3836" s="7" t="n"/>
      <c r="I3836" s="7" t="n"/>
      <c r="J3836" s="7" t="n"/>
      <c r="K3836">
        <f>IF(D3836="Legitimate Interest (GDPR Art. 6(1)(f))", "Yes / Required (Sheet 3)", "")</f>
        <v/>
      </c>
      <c r="L3836" s="7" t="n"/>
      <c r="M3836" s="7" t="n"/>
      <c r="N3836">
        <f>IF(D3836="", "Gap - No Legal Basis", IF(AND(D3836="Consent (GDPR Art. 6(1)(a))", I3836="Not Captured"), "Gap - Invalid Consent", IF(AND(D3836="Legitimate Interest (GDPR Art. 6(1)(f))", L3836=""), "Gap - Missing LIA", IF(AND(G3836="Yes", H3836=""), "Gap - Missing Art. 9 Basis", IF(OR(I3836="Invalid - Not Freely Given", I3836="Invalid - Not Specific", I3836="Invalid - Not Informed", I3836="Invalid - Ambiguous"), "Gap - Invalid Consent", "Compliant")))))</f>
        <v/>
      </c>
      <c r="O3836" s="7" t="n"/>
    </row>
    <row r="3837">
      <c r="A3837" s="7" t="n"/>
      <c r="B3837" s="7" t="n"/>
      <c r="C3837" s="7" t="n"/>
      <c r="D3837" s="7" t="n"/>
      <c r="E3837" s="7" t="n"/>
      <c r="F3837" s="7" t="n"/>
      <c r="G3837" s="7" t="n"/>
      <c r="H3837" s="7" t="n"/>
      <c r="I3837" s="7" t="n"/>
      <c r="J3837" s="7" t="n"/>
      <c r="K3837">
        <f>IF(D3837="Legitimate Interest (GDPR Art. 6(1)(f))", "Yes / Required (Sheet 3)", "")</f>
        <v/>
      </c>
      <c r="L3837" s="7" t="n"/>
      <c r="M3837" s="7" t="n"/>
      <c r="N3837">
        <f>IF(D3837="", "Gap - No Legal Basis", IF(AND(D3837="Consent (GDPR Art. 6(1)(a))", I3837="Not Captured"), "Gap - Invalid Consent", IF(AND(D3837="Legitimate Interest (GDPR Art. 6(1)(f))", L3837=""), "Gap - Missing LIA", IF(AND(G3837="Yes", H3837=""), "Gap - Missing Art. 9 Basis", IF(OR(I3837="Invalid - Not Freely Given", I3837="Invalid - Not Specific", I3837="Invalid - Not Informed", I3837="Invalid - Ambiguous"), "Gap - Invalid Consent", "Compliant")))))</f>
        <v/>
      </c>
      <c r="O3837" s="7" t="n"/>
    </row>
    <row r="3838">
      <c r="A3838" s="7" t="n"/>
      <c r="B3838" s="7" t="n"/>
      <c r="C3838" s="7" t="n"/>
      <c r="D3838" s="7" t="n"/>
      <c r="E3838" s="7" t="n"/>
      <c r="F3838" s="7" t="n"/>
      <c r="G3838" s="7" t="n"/>
      <c r="H3838" s="7" t="n"/>
      <c r="I3838" s="7" t="n"/>
      <c r="J3838" s="7" t="n"/>
      <c r="K3838">
        <f>IF(D3838="Legitimate Interest (GDPR Art. 6(1)(f))", "Yes / Required (Sheet 3)", "")</f>
        <v/>
      </c>
      <c r="L3838" s="7" t="n"/>
      <c r="M3838" s="7" t="n"/>
      <c r="N3838">
        <f>IF(D3838="", "Gap - No Legal Basis", IF(AND(D3838="Consent (GDPR Art. 6(1)(a))", I3838="Not Captured"), "Gap - Invalid Consent", IF(AND(D3838="Legitimate Interest (GDPR Art. 6(1)(f))", L3838=""), "Gap - Missing LIA", IF(AND(G3838="Yes", H3838=""), "Gap - Missing Art. 9 Basis", IF(OR(I3838="Invalid - Not Freely Given", I3838="Invalid - Not Specific", I3838="Invalid - Not Informed", I3838="Invalid - Ambiguous"), "Gap - Invalid Consent", "Compliant")))))</f>
        <v/>
      </c>
      <c r="O3838" s="7" t="n"/>
    </row>
    <row r="3839">
      <c r="A3839" s="7" t="n"/>
      <c r="B3839" s="7" t="n"/>
      <c r="C3839" s="7" t="n"/>
      <c r="D3839" s="7" t="n"/>
      <c r="E3839" s="7" t="n"/>
      <c r="F3839" s="7" t="n"/>
      <c r="G3839" s="7" t="n"/>
      <c r="H3839" s="7" t="n"/>
      <c r="I3839" s="7" t="n"/>
      <c r="J3839" s="7" t="n"/>
      <c r="K3839">
        <f>IF(D3839="Legitimate Interest (GDPR Art. 6(1)(f))", "Yes / Required (Sheet 3)", "")</f>
        <v/>
      </c>
      <c r="L3839" s="7" t="n"/>
      <c r="M3839" s="7" t="n"/>
      <c r="N3839">
        <f>IF(D3839="", "Gap - No Legal Basis", IF(AND(D3839="Consent (GDPR Art. 6(1)(a))", I3839="Not Captured"), "Gap - Invalid Consent", IF(AND(D3839="Legitimate Interest (GDPR Art. 6(1)(f))", L3839=""), "Gap - Missing LIA", IF(AND(G3839="Yes", H3839=""), "Gap - Missing Art. 9 Basis", IF(OR(I3839="Invalid - Not Freely Given", I3839="Invalid - Not Specific", I3839="Invalid - Not Informed", I3839="Invalid - Ambiguous"), "Gap - Invalid Consent", "Compliant")))))</f>
        <v/>
      </c>
      <c r="O3839" s="7" t="n"/>
    </row>
    <row r="3840">
      <c r="A3840" s="7" t="n"/>
      <c r="B3840" s="7" t="n"/>
      <c r="C3840" s="7" t="n"/>
      <c r="D3840" s="7" t="n"/>
      <c r="E3840" s="7" t="n"/>
      <c r="F3840" s="7" t="n"/>
      <c r="G3840" s="7" t="n"/>
      <c r="H3840" s="7" t="n"/>
      <c r="I3840" s="7" t="n"/>
      <c r="J3840" s="7" t="n"/>
      <c r="K3840">
        <f>IF(D3840="Legitimate Interest (GDPR Art. 6(1)(f))", "Yes / Required (Sheet 3)", "")</f>
        <v/>
      </c>
      <c r="L3840" s="7" t="n"/>
      <c r="M3840" s="7" t="n"/>
      <c r="N3840">
        <f>IF(D3840="", "Gap - No Legal Basis", IF(AND(D3840="Consent (GDPR Art. 6(1)(a))", I3840="Not Captured"), "Gap - Invalid Consent", IF(AND(D3840="Legitimate Interest (GDPR Art. 6(1)(f))", L3840=""), "Gap - Missing LIA", IF(AND(G3840="Yes", H3840=""), "Gap - Missing Art. 9 Basis", IF(OR(I3840="Invalid - Not Freely Given", I3840="Invalid - Not Specific", I3840="Invalid - Not Informed", I3840="Invalid - Ambiguous"), "Gap - Invalid Consent", "Compliant")))))</f>
        <v/>
      </c>
      <c r="O3840" s="7" t="n"/>
    </row>
    <row r="3841">
      <c r="A3841" s="7" t="n"/>
      <c r="B3841" s="7" t="n"/>
      <c r="C3841" s="7" t="n"/>
      <c r="D3841" s="7" t="n"/>
      <c r="E3841" s="7" t="n"/>
      <c r="F3841" s="7" t="n"/>
      <c r="G3841" s="7" t="n"/>
      <c r="H3841" s="7" t="n"/>
      <c r="I3841" s="7" t="n"/>
      <c r="J3841" s="7" t="n"/>
      <c r="K3841">
        <f>IF(D3841="Legitimate Interest (GDPR Art. 6(1)(f))", "Yes / Required (Sheet 3)", "")</f>
        <v/>
      </c>
      <c r="L3841" s="7" t="n"/>
      <c r="M3841" s="7" t="n"/>
      <c r="N3841">
        <f>IF(D3841="", "Gap - No Legal Basis", IF(AND(D3841="Consent (GDPR Art. 6(1)(a))", I3841="Not Captured"), "Gap - Invalid Consent", IF(AND(D3841="Legitimate Interest (GDPR Art. 6(1)(f))", L3841=""), "Gap - Missing LIA", IF(AND(G3841="Yes", H3841=""), "Gap - Missing Art. 9 Basis", IF(OR(I3841="Invalid - Not Freely Given", I3841="Invalid - Not Specific", I3841="Invalid - Not Informed", I3841="Invalid - Ambiguous"), "Gap - Invalid Consent", "Compliant")))))</f>
        <v/>
      </c>
      <c r="O3841" s="7" t="n"/>
    </row>
    <row r="3842">
      <c r="A3842" s="7" t="n"/>
      <c r="B3842" s="7" t="n"/>
      <c r="C3842" s="7" t="n"/>
      <c r="D3842" s="7" t="n"/>
      <c r="E3842" s="7" t="n"/>
      <c r="F3842" s="7" t="n"/>
      <c r="G3842" s="7" t="n"/>
      <c r="H3842" s="7" t="n"/>
      <c r="I3842" s="7" t="n"/>
      <c r="J3842" s="7" t="n"/>
      <c r="K3842">
        <f>IF(D3842="Legitimate Interest (GDPR Art. 6(1)(f))", "Yes / Required (Sheet 3)", "")</f>
        <v/>
      </c>
      <c r="L3842" s="7" t="n"/>
      <c r="M3842" s="7" t="n"/>
      <c r="N3842">
        <f>IF(D3842="", "Gap - No Legal Basis", IF(AND(D3842="Consent (GDPR Art. 6(1)(a))", I3842="Not Captured"), "Gap - Invalid Consent", IF(AND(D3842="Legitimate Interest (GDPR Art. 6(1)(f))", L3842=""), "Gap - Missing LIA", IF(AND(G3842="Yes", H3842=""), "Gap - Missing Art. 9 Basis", IF(OR(I3842="Invalid - Not Freely Given", I3842="Invalid - Not Specific", I3842="Invalid - Not Informed", I3842="Invalid - Ambiguous"), "Gap - Invalid Consent", "Compliant")))))</f>
        <v/>
      </c>
      <c r="O3842" s="7" t="n"/>
    </row>
    <row r="3843">
      <c r="A3843" s="7" t="n"/>
      <c r="B3843" s="7" t="n"/>
      <c r="C3843" s="7" t="n"/>
      <c r="D3843" s="7" t="n"/>
      <c r="E3843" s="7" t="n"/>
      <c r="F3843" s="7" t="n"/>
      <c r="G3843" s="7" t="n"/>
      <c r="H3843" s="7" t="n"/>
      <c r="I3843" s="7" t="n"/>
      <c r="J3843" s="7" t="n"/>
      <c r="K3843">
        <f>IF(D3843="Legitimate Interest (GDPR Art. 6(1)(f))", "Yes / Required (Sheet 3)", "")</f>
        <v/>
      </c>
      <c r="L3843" s="7" t="n"/>
      <c r="M3843" s="7" t="n"/>
      <c r="N3843">
        <f>IF(D3843="", "Gap - No Legal Basis", IF(AND(D3843="Consent (GDPR Art. 6(1)(a))", I3843="Not Captured"), "Gap - Invalid Consent", IF(AND(D3843="Legitimate Interest (GDPR Art. 6(1)(f))", L3843=""), "Gap - Missing LIA", IF(AND(G3843="Yes", H3843=""), "Gap - Missing Art. 9 Basis", IF(OR(I3843="Invalid - Not Freely Given", I3843="Invalid - Not Specific", I3843="Invalid - Not Informed", I3843="Invalid - Ambiguous"), "Gap - Invalid Consent", "Compliant")))))</f>
        <v/>
      </c>
      <c r="O3843" s="7" t="n"/>
    </row>
    <row r="3844">
      <c r="A3844" s="7" t="n"/>
      <c r="B3844" s="7" t="n"/>
      <c r="C3844" s="7" t="n"/>
      <c r="D3844" s="7" t="n"/>
      <c r="E3844" s="7" t="n"/>
      <c r="F3844" s="7" t="n"/>
      <c r="G3844" s="7" t="n"/>
      <c r="H3844" s="7" t="n"/>
      <c r="I3844" s="7" t="n"/>
      <c r="J3844" s="7" t="n"/>
      <c r="K3844">
        <f>IF(D3844="Legitimate Interest (GDPR Art. 6(1)(f))", "Yes / Required (Sheet 3)", "")</f>
        <v/>
      </c>
      <c r="L3844" s="7" t="n"/>
      <c r="M3844" s="7" t="n"/>
      <c r="N3844">
        <f>IF(D3844="", "Gap - No Legal Basis", IF(AND(D3844="Consent (GDPR Art. 6(1)(a))", I3844="Not Captured"), "Gap - Invalid Consent", IF(AND(D3844="Legitimate Interest (GDPR Art. 6(1)(f))", L3844=""), "Gap - Missing LIA", IF(AND(G3844="Yes", H3844=""), "Gap - Missing Art. 9 Basis", IF(OR(I3844="Invalid - Not Freely Given", I3844="Invalid - Not Specific", I3844="Invalid - Not Informed", I3844="Invalid - Ambiguous"), "Gap - Invalid Consent", "Compliant")))))</f>
        <v/>
      </c>
      <c r="O3844" s="7" t="n"/>
    </row>
    <row r="3845">
      <c r="A3845" s="7" t="n"/>
      <c r="B3845" s="7" t="n"/>
      <c r="C3845" s="7" t="n"/>
      <c r="D3845" s="7" t="n"/>
      <c r="E3845" s="7" t="n"/>
      <c r="F3845" s="7" t="n"/>
      <c r="G3845" s="7" t="n"/>
      <c r="H3845" s="7" t="n"/>
      <c r="I3845" s="7" t="n"/>
      <c r="J3845" s="7" t="n"/>
      <c r="K3845">
        <f>IF(D3845="Legitimate Interest (GDPR Art. 6(1)(f))", "Yes / Required (Sheet 3)", "")</f>
        <v/>
      </c>
      <c r="L3845" s="7" t="n"/>
      <c r="M3845" s="7" t="n"/>
      <c r="N3845">
        <f>IF(D3845="", "Gap - No Legal Basis", IF(AND(D3845="Consent (GDPR Art. 6(1)(a))", I3845="Not Captured"), "Gap - Invalid Consent", IF(AND(D3845="Legitimate Interest (GDPR Art. 6(1)(f))", L3845=""), "Gap - Missing LIA", IF(AND(G3845="Yes", H3845=""), "Gap - Missing Art. 9 Basis", IF(OR(I3845="Invalid - Not Freely Given", I3845="Invalid - Not Specific", I3845="Invalid - Not Informed", I3845="Invalid - Ambiguous"), "Gap - Invalid Consent", "Compliant")))))</f>
        <v/>
      </c>
      <c r="O3845" s="7" t="n"/>
    </row>
    <row r="3846">
      <c r="A3846" s="7" t="n"/>
      <c r="B3846" s="7" t="n"/>
      <c r="C3846" s="7" t="n"/>
      <c r="D3846" s="7" t="n"/>
      <c r="E3846" s="7" t="n"/>
      <c r="F3846" s="7" t="n"/>
      <c r="G3846" s="7" t="n"/>
      <c r="H3846" s="7" t="n"/>
      <c r="I3846" s="7" t="n"/>
      <c r="J3846" s="7" t="n"/>
      <c r="K3846">
        <f>IF(D3846="Legitimate Interest (GDPR Art. 6(1)(f))", "Yes / Required (Sheet 3)", "")</f>
        <v/>
      </c>
      <c r="L3846" s="7" t="n"/>
      <c r="M3846" s="7" t="n"/>
      <c r="N3846">
        <f>IF(D3846="", "Gap - No Legal Basis", IF(AND(D3846="Consent (GDPR Art. 6(1)(a))", I3846="Not Captured"), "Gap - Invalid Consent", IF(AND(D3846="Legitimate Interest (GDPR Art. 6(1)(f))", L3846=""), "Gap - Missing LIA", IF(AND(G3846="Yes", H3846=""), "Gap - Missing Art. 9 Basis", IF(OR(I3846="Invalid - Not Freely Given", I3846="Invalid - Not Specific", I3846="Invalid - Not Informed", I3846="Invalid - Ambiguous"), "Gap - Invalid Consent", "Compliant")))))</f>
        <v/>
      </c>
      <c r="O3846" s="7" t="n"/>
    </row>
    <row r="3847">
      <c r="A3847" s="7" t="n"/>
      <c r="B3847" s="7" t="n"/>
      <c r="C3847" s="7" t="n"/>
      <c r="D3847" s="7" t="n"/>
      <c r="E3847" s="7" t="n"/>
      <c r="F3847" s="7" t="n"/>
      <c r="G3847" s="7" t="n"/>
      <c r="H3847" s="7" t="n"/>
      <c r="I3847" s="7" t="n"/>
      <c r="J3847" s="7" t="n"/>
      <c r="K3847">
        <f>IF(D3847="Legitimate Interest (GDPR Art. 6(1)(f))", "Yes / Required (Sheet 3)", "")</f>
        <v/>
      </c>
      <c r="L3847" s="7" t="n"/>
      <c r="M3847" s="7" t="n"/>
      <c r="N3847">
        <f>IF(D3847="", "Gap - No Legal Basis", IF(AND(D3847="Consent (GDPR Art. 6(1)(a))", I3847="Not Captured"), "Gap - Invalid Consent", IF(AND(D3847="Legitimate Interest (GDPR Art. 6(1)(f))", L3847=""), "Gap - Missing LIA", IF(AND(G3847="Yes", H3847=""), "Gap - Missing Art. 9 Basis", IF(OR(I3847="Invalid - Not Freely Given", I3847="Invalid - Not Specific", I3847="Invalid - Not Informed", I3847="Invalid - Ambiguous"), "Gap - Invalid Consent", "Compliant")))))</f>
        <v/>
      </c>
      <c r="O3847" s="7" t="n"/>
    </row>
    <row r="3848">
      <c r="A3848" s="7" t="n"/>
      <c r="B3848" s="7" t="n"/>
      <c r="C3848" s="7" t="n"/>
      <c r="D3848" s="7" t="n"/>
      <c r="E3848" s="7" t="n"/>
      <c r="F3848" s="7" t="n"/>
      <c r="G3848" s="7" t="n"/>
      <c r="H3848" s="7" t="n"/>
      <c r="I3848" s="7" t="n"/>
      <c r="J3848" s="7" t="n"/>
      <c r="K3848">
        <f>IF(D3848="Legitimate Interest (GDPR Art. 6(1)(f))", "Yes / Required (Sheet 3)", "")</f>
        <v/>
      </c>
      <c r="L3848" s="7" t="n"/>
      <c r="M3848" s="7" t="n"/>
      <c r="N3848">
        <f>IF(D3848="", "Gap - No Legal Basis", IF(AND(D3848="Consent (GDPR Art. 6(1)(a))", I3848="Not Captured"), "Gap - Invalid Consent", IF(AND(D3848="Legitimate Interest (GDPR Art. 6(1)(f))", L3848=""), "Gap - Missing LIA", IF(AND(G3848="Yes", H3848=""), "Gap - Missing Art. 9 Basis", IF(OR(I3848="Invalid - Not Freely Given", I3848="Invalid - Not Specific", I3848="Invalid - Not Informed", I3848="Invalid - Ambiguous"), "Gap - Invalid Consent", "Compliant")))))</f>
        <v/>
      </c>
      <c r="O3848" s="7" t="n"/>
    </row>
    <row r="3849">
      <c r="A3849" s="7" t="n"/>
      <c r="B3849" s="7" t="n"/>
      <c r="C3849" s="7" t="n"/>
      <c r="D3849" s="7" t="n"/>
      <c r="E3849" s="7" t="n"/>
      <c r="F3849" s="7" t="n"/>
      <c r="G3849" s="7" t="n"/>
      <c r="H3849" s="7" t="n"/>
      <c r="I3849" s="7" t="n"/>
      <c r="J3849" s="7" t="n"/>
      <c r="K3849">
        <f>IF(D3849="Legitimate Interest (GDPR Art. 6(1)(f))", "Yes / Required (Sheet 3)", "")</f>
        <v/>
      </c>
      <c r="L3849" s="7" t="n"/>
      <c r="M3849" s="7" t="n"/>
      <c r="N3849">
        <f>IF(D3849="", "Gap - No Legal Basis", IF(AND(D3849="Consent (GDPR Art. 6(1)(a))", I3849="Not Captured"), "Gap - Invalid Consent", IF(AND(D3849="Legitimate Interest (GDPR Art. 6(1)(f))", L3849=""), "Gap - Missing LIA", IF(AND(G3849="Yes", H3849=""), "Gap - Missing Art. 9 Basis", IF(OR(I3849="Invalid - Not Freely Given", I3849="Invalid - Not Specific", I3849="Invalid - Not Informed", I3849="Invalid - Ambiguous"), "Gap - Invalid Consent", "Compliant")))))</f>
        <v/>
      </c>
      <c r="O3849" s="7" t="n"/>
    </row>
    <row r="3850">
      <c r="A3850" s="7" t="n"/>
      <c r="B3850" s="7" t="n"/>
      <c r="C3850" s="7" t="n"/>
      <c r="D3850" s="7" t="n"/>
      <c r="E3850" s="7" t="n"/>
      <c r="F3850" s="7" t="n"/>
      <c r="G3850" s="7" t="n"/>
      <c r="H3850" s="7" t="n"/>
      <c r="I3850" s="7" t="n"/>
      <c r="J3850" s="7" t="n"/>
      <c r="K3850">
        <f>IF(D3850="Legitimate Interest (GDPR Art. 6(1)(f))", "Yes / Required (Sheet 3)", "")</f>
        <v/>
      </c>
      <c r="L3850" s="7" t="n"/>
      <c r="M3850" s="7" t="n"/>
      <c r="N3850">
        <f>IF(D3850="", "Gap - No Legal Basis", IF(AND(D3850="Consent (GDPR Art. 6(1)(a))", I3850="Not Captured"), "Gap - Invalid Consent", IF(AND(D3850="Legitimate Interest (GDPR Art. 6(1)(f))", L3850=""), "Gap - Missing LIA", IF(AND(G3850="Yes", H3850=""), "Gap - Missing Art. 9 Basis", IF(OR(I3850="Invalid - Not Freely Given", I3850="Invalid - Not Specific", I3850="Invalid - Not Informed", I3850="Invalid - Ambiguous"), "Gap - Invalid Consent", "Compliant")))))</f>
        <v/>
      </c>
      <c r="O3850" s="7" t="n"/>
    </row>
    <row r="3851">
      <c r="A3851" s="7" t="n"/>
      <c r="B3851" s="7" t="n"/>
      <c r="C3851" s="7" t="n"/>
      <c r="D3851" s="7" t="n"/>
      <c r="E3851" s="7" t="n"/>
      <c r="F3851" s="7" t="n"/>
      <c r="G3851" s="7" t="n"/>
      <c r="H3851" s="7" t="n"/>
      <c r="I3851" s="7" t="n"/>
      <c r="J3851" s="7" t="n"/>
      <c r="K3851">
        <f>IF(D3851="Legitimate Interest (GDPR Art. 6(1)(f))", "Yes / Required (Sheet 3)", "")</f>
        <v/>
      </c>
      <c r="L3851" s="7" t="n"/>
      <c r="M3851" s="7" t="n"/>
      <c r="N3851">
        <f>IF(D3851="", "Gap - No Legal Basis", IF(AND(D3851="Consent (GDPR Art. 6(1)(a))", I3851="Not Captured"), "Gap - Invalid Consent", IF(AND(D3851="Legitimate Interest (GDPR Art. 6(1)(f))", L3851=""), "Gap - Missing LIA", IF(AND(G3851="Yes", H3851=""), "Gap - Missing Art. 9 Basis", IF(OR(I3851="Invalid - Not Freely Given", I3851="Invalid - Not Specific", I3851="Invalid - Not Informed", I3851="Invalid - Ambiguous"), "Gap - Invalid Consent", "Compliant")))))</f>
        <v/>
      </c>
      <c r="O3851" s="7" t="n"/>
    </row>
    <row r="3852">
      <c r="A3852" s="7" t="n"/>
      <c r="B3852" s="7" t="n"/>
      <c r="C3852" s="7" t="n"/>
      <c r="D3852" s="7" t="n"/>
      <c r="E3852" s="7" t="n"/>
      <c r="F3852" s="7" t="n"/>
      <c r="G3852" s="7" t="n"/>
      <c r="H3852" s="7" t="n"/>
      <c r="I3852" s="7" t="n"/>
      <c r="J3852" s="7" t="n"/>
      <c r="K3852">
        <f>IF(D3852="Legitimate Interest (GDPR Art. 6(1)(f))", "Yes / Required (Sheet 3)", "")</f>
        <v/>
      </c>
      <c r="L3852" s="7" t="n"/>
      <c r="M3852" s="7" t="n"/>
      <c r="N3852">
        <f>IF(D3852="", "Gap - No Legal Basis", IF(AND(D3852="Consent (GDPR Art. 6(1)(a))", I3852="Not Captured"), "Gap - Invalid Consent", IF(AND(D3852="Legitimate Interest (GDPR Art. 6(1)(f))", L3852=""), "Gap - Missing LIA", IF(AND(G3852="Yes", H3852=""), "Gap - Missing Art. 9 Basis", IF(OR(I3852="Invalid - Not Freely Given", I3852="Invalid - Not Specific", I3852="Invalid - Not Informed", I3852="Invalid - Ambiguous"), "Gap - Invalid Consent", "Compliant")))))</f>
        <v/>
      </c>
      <c r="O3852" s="7" t="n"/>
    </row>
    <row r="3853">
      <c r="A3853" s="7" t="n"/>
      <c r="B3853" s="7" t="n"/>
      <c r="C3853" s="7" t="n"/>
      <c r="D3853" s="7" t="n"/>
      <c r="E3853" s="7" t="n"/>
      <c r="F3853" s="7" t="n"/>
      <c r="G3853" s="7" t="n"/>
      <c r="H3853" s="7" t="n"/>
      <c r="I3853" s="7" t="n"/>
      <c r="J3853" s="7" t="n"/>
      <c r="K3853">
        <f>IF(D3853="Legitimate Interest (GDPR Art. 6(1)(f))", "Yes / Required (Sheet 3)", "")</f>
        <v/>
      </c>
      <c r="L3853" s="7" t="n"/>
      <c r="M3853" s="7" t="n"/>
      <c r="N3853">
        <f>IF(D3853="", "Gap - No Legal Basis", IF(AND(D3853="Consent (GDPR Art. 6(1)(a))", I3853="Not Captured"), "Gap - Invalid Consent", IF(AND(D3853="Legitimate Interest (GDPR Art. 6(1)(f))", L3853=""), "Gap - Missing LIA", IF(AND(G3853="Yes", H3853=""), "Gap - Missing Art. 9 Basis", IF(OR(I3853="Invalid - Not Freely Given", I3853="Invalid - Not Specific", I3853="Invalid - Not Informed", I3853="Invalid - Ambiguous"), "Gap - Invalid Consent", "Compliant")))))</f>
        <v/>
      </c>
      <c r="O3853" s="7" t="n"/>
    </row>
    <row r="3854">
      <c r="A3854" s="7" t="n"/>
      <c r="B3854" s="7" t="n"/>
      <c r="C3854" s="7" t="n"/>
      <c r="D3854" s="7" t="n"/>
      <c r="E3854" s="7" t="n"/>
      <c r="F3854" s="7" t="n"/>
      <c r="G3854" s="7" t="n"/>
      <c r="H3854" s="7" t="n"/>
      <c r="I3854" s="7" t="n"/>
      <c r="J3854" s="7" t="n"/>
      <c r="K3854">
        <f>IF(D3854="Legitimate Interest (GDPR Art. 6(1)(f))", "Yes / Required (Sheet 3)", "")</f>
        <v/>
      </c>
      <c r="L3854" s="7" t="n"/>
      <c r="M3854" s="7" t="n"/>
      <c r="N3854">
        <f>IF(D3854="", "Gap - No Legal Basis", IF(AND(D3854="Consent (GDPR Art. 6(1)(a))", I3854="Not Captured"), "Gap - Invalid Consent", IF(AND(D3854="Legitimate Interest (GDPR Art. 6(1)(f))", L3854=""), "Gap - Missing LIA", IF(AND(G3854="Yes", H3854=""), "Gap - Missing Art. 9 Basis", IF(OR(I3854="Invalid - Not Freely Given", I3854="Invalid - Not Specific", I3854="Invalid - Not Informed", I3854="Invalid - Ambiguous"), "Gap - Invalid Consent", "Compliant")))))</f>
        <v/>
      </c>
      <c r="O3854" s="7" t="n"/>
    </row>
    <row r="3855">
      <c r="A3855" s="7" t="n"/>
      <c r="B3855" s="7" t="n"/>
      <c r="C3855" s="7" t="n"/>
      <c r="D3855" s="7" t="n"/>
      <c r="E3855" s="7" t="n"/>
      <c r="F3855" s="7" t="n"/>
      <c r="G3855" s="7" t="n"/>
      <c r="H3855" s="7" t="n"/>
      <c r="I3855" s="7" t="n"/>
      <c r="J3855" s="7" t="n"/>
      <c r="K3855">
        <f>IF(D3855="Legitimate Interest (GDPR Art. 6(1)(f))", "Yes / Required (Sheet 3)", "")</f>
        <v/>
      </c>
      <c r="L3855" s="7" t="n"/>
      <c r="M3855" s="7" t="n"/>
      <c r="N3855">
        <f>IF(D3855="", "Gap - No Legal Basis", IF(AND(D3855="Consent (GDPR Art. 6(1)(a))", I3855="Not Captured"), "Gap - Invalid Consent", IF(AND(D3855="Legitimate Interest (GDPR Art. 6(1)(f))", L3855=""), "Gap - Missing LIA", IF(AND(G3855="Yes", H3855=""), "Gap - Missing Art. 9 Basis", IF(OR(I3855="Invalid - Not Freely Given", I3855="Invalid - Not Specific", I3855="Invalid - Not Informed", I3855="Invalid - Ambiguous"), "Gap - Invalid Consent", "Compliant")))))</f>
        <v/>
      </c>
      <c r="O3855" s="7" t="n"/>
    </row>
    <row r="3856">
      <c r="A3856" s="7" t="n"/>
      <c r="B3856" s="7" t="n"/>
      <c r="C3856" s="7" t="n"/>
      <c r="D3856" s="7" t="n"/>
      <c r="E3856" s="7" t="n"/>
      <c r="F3856" s="7" t="n"/>
      <c r="G3856" s="7" t="n"/>
      <c r="H3856" s="7" t="n"/>
      <c r="I3856" s="7" t="n"/>
      <c r="J3856" s="7" t="n"/>
      <c r="K3856">
        <f>IF(D3856="Legitimate Interest (GDPR Art. 6(1)(f))", "Yes / Required (Sheet 3)", "")</f>
        <v/>
      </c>
      <c r="L3856" s="7" t="n"/>
      <c r="M3856" s="7" t="n"/>
      <c r="N3856">
        <f>IF(D3856="", "Gap - No Legal Basis", IF(AND(D3856="Consent (GDPR Art. 6(1)(a))", I3856="Not Captured"), "Gap - Invalid Consent", IF(AND(D3856="Legitimate Interest (GDPR Art. 6(1)(f))", L3856=""), "Gap - Missing LIA", IF(AND(G3856="Yes", H3856=""), "Gap - Missing Art. 9 Basis", IF(OR(I3856="Invalid - Not Freely Given", I3856="Invalid - Not Specific", I3856="Invalid - Not Informed", I3856="Invalid - Ambiguous"), "Gap - Invalid Consent", "Compliant")))))</f>
        <v/>
      </c>
      <c r="O3856" s="7" t="n"/>
    </row>
    <row r="3857">
      <c r="A3857" s="7" t="n"/>
      <c r="B3857" s="7" t="n"/>
      <c r="C3857" s="7" t="n"/>
      <c r="D3857" s="7" t="n"/>
      <c r="E3857" s="7" t="n"/>
      <c r="F3857" s="7" t="n"/>
      <c r="G3857" s="7" t="n"/>
      <c r="H3857" s="7" t="n"/>
      <c r="I3857" s="7" t="n"/>
      <c r="J3857" s="7" t="n"/>
      <c r="K3857">
        <f>IF(D3857="Legitimate Interest (GDPR Art. 6(1)(f))", "Yes / Required (Sheet 3)", "")</f>
        <v/>
      </c>
      <c r="L3857" s="7" t="n"/>
      <c r="M3857" s="7" t="n"/>
      <c r="N3857">
        <f>IF(D3857="", "Gap - No Legal Basis", IF(AND(D3857="Consent (GDPR Art. 6(1)(a))", I3857="Not Captured"), "Gap - Invalid Consent", IF(AND(D3857="Legitimate Interest (GDPR Art. 6(1)(f))", L3857=""), "Gap - Missing LIA", IF(AND(G3857="Yes", H3857=""), "Gap - Missing Art. 9 Basis", IF(OR(I3857="Invalid - Not Freely Given", I3857="Invalid - Not Specific", I3857="Invalid - Not Informed", I3857="Invalid - Ambiguous"), "Gap - Invalid Consent", "Compliant")))))</f>
        <v/>
      </c>
      <c r="O3857" s="7" t="n"/>
    </row>
    <row r="3858">
      <c r="A3858" s="7" t="n"/>
      <c r="B3858" s="7" t="n"/>
      <c r="C3858" s="7" t="n"/>
      <c r="D3858" s="7" t="n"/>
      <c r="E3858" s="7" t="n"/>
      <c r="F3858" s="7" t="n"/>
      <c r="G3858" s="7" t="n"/>
      <c r="H3858" s="7" t="n"/>
      <c r="I3858" s="7" t="n"/>
      <c r="J3858" s="7" t="n"/>
      <c r="K3858">
        <f>IF(D3858="Legitimate Interest (GDPR Art. 6(1)(f))", "Yes / Required (Sheet 3)", "")</f>
        <v/>
      </c>
      <c r="L3858" s="7" t="n"/>
      <c r="M3858" s="7" t="n"/>
      <c r="N3858">
        <f>IF(D3858="", "Gap - No Legal Basis", IF(AND(D3858="Consent (GDPR Art. 6(1)(a))", I3858="Not Captured"), "Gap - Invalid Consent", IF(AND(D3858="Legitimate Interest (GDPR Art. 6(1)(f))", L3858=""), "Gap - Missing LIA", IF(AND(G3858="Yes", H3858=""), "Gap - Missing Art. 9 Basis", IF(OR(I3858="Invalid - Not Freely Given", I3858="Invalid - Not Specific", I3858="Invalid - Not Informed", I3858="Invalid - Ambiguous"), "Gap - Invalid Consent", "Compliant")))))</f>
        <v/>
      </c>
      <c r="O3858" s="7" t="n"/>
    </row>
    <row r="3859">
      <c r="A3859" s="7" t="n"/>
      <c r="B3859" s="7" t="n"/>
      <c r="C3859" s="7" t="n"/>
      <c r="D3859" s="7" t="n"/>
      <c r="E3859" s="7" t="n"/>
      <c r="F3859" s="7" t="n"/>
      <c r="G3859" s="7" t="n"/>
      <c r="H3859" s="7" t="n"/>
      <c r="I3859" s="7" t="n"/>
      <c r="J3859" s="7" t="n"/>
      <c r="K3859">
        <f>IF(D3859="Legitimate Interest (GDPR Art. 6(1)(f))", "Yes / Required (Sheet 3)", "")</f>
        <v/>
      </c>
      <c r="L3859" s="7" t="n"/>
      <c r="M3859" s="7" t="n"/>
      <c r="N3859">
        <f>IF(D3859="", "Gap - No Legal Basis", IF(AND(D3859="Consent (GDPR Art. 6(1)(a))", I3859="Not Captured"), "Gap - Invalid Consent", IF(AND(D3859="Legitimate Interest (GDPR Art. 6(1)(f))", L3859=""), "Gap - Missing LIA", IF(AND(G3859="Yes", H3859=""), "Gap - Missing Art. 9 Basis", IF(OR(I3859="Invalid - Not Freely Given", I3859="Invalid - Not Specific", I3859="Invalid - Not Informed", I3859="Invalid - Ambiguous"), "Gap - Invalid Consent", "Compliant")))))</f>
        <v/>
      </c>
      <c r="O3859" s="7" t="n"/>
    </row>
    <row r="3860">
      <c r="A3860" s="7" t="n"/>
      <c r="B3860" s="7" t="n"/>
      <c r="C3860" s="7" t="n"/>
      <c r="D3860" s="7" t="n"/>
      <c r="E3860" s="7" t="n"/>
      <c r="F3860" s="7" t="n"/>
      <c r="G3860" s="7" t="n"/>
      <c r="H3860" s="7" t="n"/>
      <c r="I3860" s="7" t="n"/>
      <c r="J3860" s="7" t="n"/>
      <c r="K3860">
        <f>IF(D3860="Legitimate Interest (GDPR Art. 6(1)(f))", "Yes / Required (Sheet 3)", "")</f>
        <v/>
      </c>
      <c r="L3860" s="7" t="n"/>
      <c r="M3860" s="7" t="n"/>
      <c r="N3860">
        <f>IF(D3860="", "Gap - No Legal Basis", IF(AND(D3860="Consent (GDPR Art. 6(1)(a))", I3860="Not Captured"), "Gap - Invalid Consent", IF(AND(D3860="Legitimate Interest (GDPR Art. 6(1)(f))", L3860=""), "Gap - Missing LIA", IF(AND(G3860="Yes", H3860=""), "Gap - Missing Art. 9 Basis", IF(OR(I3860="Invalid - Not Freely Given", I3860="Invalid - Not Specific", I3860="Invalid - Not Informed", I3860="Invalid - Ambiguous"), "Gap - Invalid Consent", "Compliant")))))</f>
        <v/>
      </c>
      <c r="O3860" s="7" t="n"/>
    </row>
    <row r="3861">
      <c r="A3861" s="7" t="n"/>
      <c r="B3861" s="7" t="n"/>
      <c r="C3861" s="7" t="n"/>
      <c r="D3861" s="7" t="n"/>
      <c r="E3861" s="7" t="n"/>
      <c r="F3861" s="7" t="n"/>
      <c r="G3861" s="7" t="n"/>
      <c r="H3861" s="7" t="n"/>
      <c r="I3861" s="7" t="n"/>
      <c r="J3861" s="7" t="n"/>
      <c r="K3861">
        <f>IF(D3861="Legitimate Interest (GDPR Art. 6(1)(f))", "Yes / Required (Sheet 3)", "")</f>
        <v/>
      </c>
      <c r="L3861" s="7" t="n"/>
      <c r="M3861" s="7" t="n"/>
      <c r="N3861">
        <f>IF(D3861="", "Gap - No Legal Basis", IF(AND(D3861="Consent (GDPR Art. 6(1)(a))", I3861="Not Captured"), "Gap - Invalid Consent", IF(AND(D3861="Legitimate Interest (GDPR Art. 6(1)(f))", L3861=""), "Gap - Missing LIA", IF(AND(G3861="Yes", H3861=""), "Gap - Missing Art. 9 Basis", IF(OR(I3861="Invalid - Not Freely Given", I3861="Invalid - Not Specific", I3861="Invalid - Not Informed", I3861="Invalid - Ambiguous"), "Gap - Invalid Consent", "Compliant")))))</f>
        <v/>
      </c>
      <c r="O3861" s="7" t="n"/>
    </row>
    <row r="3862">
      <c r="A3862" s="7" t="n"/>
      <c r="B3862" s="7" t="n"/>
      <c r="C3862" s="7" t="n"/>
      <c r="D3862" s="7" t="n"/>
      <c r="E3862" s="7" t="n"/>
      <c r="F3862" s="7" t="n"/>
      <c r="G3862" s="7" t="n"/>
      <c r="H3862" s="7" t="n"/>
      <c r="I3862" s="7" t="n"/>
      <c r="J3862" s="7" t="n"/>
      <c r="K3862">
        <f>IF(D3862="Legitimate Interest (GDPR Art. 6(1)(f))", "Yes / Required (Sheet 3)", "")</f>
        <v/>
      </c>
      <c r="L3862" s="7" t="n"/>
      <c r="M3862" s="7" t="n"/>
      <c r="N3862">
        <f>IF(D3862="", "Gap - No Legal Basis", IF(AND(D3862="Consent (GDPR Art. 6(1)(a))", I3862="Not Captured"), "Gap - Invalid Consent", IF(AND(D3862="Legitimate Interest (GDPR Art. 6(1)(f))", L3862=""), "Gap - Missing LIA", IF(AND(G3862="Yes", H3862=""), "Gap - Missing Art. 9 Basis", IF(OR(I3862="Invalid - Not Freely Given", I3862="Invalid - Not Specific", I3862="Invalid - Not Informed", I3862="Invalid - Ambiguous"), "Gap - Invalid Consent", "Compliant")))))</f>
        <v/>
      </c>
      <c r="O3862" s="7" t="n"/>
    </row>
    <row r="3863">
      <c r="A3863" s="7" t="n"/>
      <c r="B3863" s="7" t="n"/>
      <c r="C3863" s="7" t="n"/>
      <c r="D3863" s="7" t="n"/>
      <c r="E3863" s="7" t="n"/>
      <c r="F3863" s="7" t="n"/>
      <c r="G3863" s="7" t="n"/>
      <c r="H3863" s="7" t="n"/>
      <c r="I3863" s="7" t="n"/>
      <c r="J3863" s="7" t="n"/>
      <c r="K3863">
        <f>IF(D3863="Legitimate Interest (GDPR Art. 6(1)(f))", "Yes / Required (Sheet 3)", "")</f>
        <v/>
      </c>
      <c r="L3863" s="7" t="n"/>
      <c r="M3863" s="7" t="n"/>
      <c r="N3863">
        <f>IF(D3863="", "Gap - No Legal Basis", IF(AND(D3863="Consent (GDPR Art. 6(1)(a))", I3863="Not Captured"), "Gap - Invalid Consent", IF(AND(D3863="Legitimate Interest (GDPR Art. 6(1)(f))", L3863=""), "Gap - Missing LIA", IF(AND(G3863="Yes", H3863=""), "Gap - Missing Art. 9 Basis", IF(OR(I3863="Invalid - Not Freely Given", I3863="Invalid - Not Specific", I3863="Invalid - Not Informed", I3863="Invalid - Ambiguous"), "Gap - Invalid Consent", "Compliant")))))</f>
        <v/>
      </c>
      <c r="O3863" s="7" t="n"/>
    </row>
    <row r="3864">
      <c r="A3864" s="7" t="n"/>
      <c r="B3864" s="7" t="n"/>
      <c r="C3864" s="7" t="n"/>
      <c r="D3864" s="7" t="n"/>
      <c r="E3864" s="7" t="n"/>
      <c r="F3864" s="7" t="n"/>
      <c r="G3864" s="7" t="n"/>
      <c r="H3864" s="7" t="n"/>
      <c r="I3864" s="7" t="n"/>
      <c r="J3864" s="7" t="n"/>
      <c r="K3864">
        <f>IF(D3864="Legitimate Interest (GDPR Art. 6(1)(f))", "Yes / Required (Sheet 3)", "")</f>
        <v/>
      </c>
      <c r="L3864" s="7" t="n"/>
      <c r="M3864" s="7" t="n"/>
      <c r="N3864">
        <f>IF(D3864="", "Gap - No Legal Basis", IF(AND(D3864="Consent (GDPR Art. 6(1)(a))", I3864="Not Captured"), "Gap - Invalid Consent", IF(AND(D3864="Legitimate Interest (GDPR Art. 6(1)(f))", L3864=""), "Gap - Missing LIA", IF(AND(G3864="Yes", H3864=""), "Gap - Missing Art. 9 Basis", IF(OR(I3864="Invalid - Not Freely Given", I3864="Invalid - Not Specific", I3864="Invalid - Not Informed", I3864="Invalid - Ambiguous"), "Gap - Invalid Consent", "Compliant")))))</f>
        <v/>
      </c>
      <c r="O3864" s="7" t="n"/>
    </row>
    <row r="3865">
      <c r="A3865" s="7" t="n"/>
      <c r="B3865" s="7" t="n"/>
      <c r="C3865" s="7" t="n"/>
      <c r="D3865" s="7" t="n"/>
      <c r="E3865" s="7" t="n"/>
      <c r="F3865" s="7" t="n"/>
      <c r="G3865" s="7" t="n"/>
      <c r="H3865" s="7" t="n"/>
      <c r="I3865" s="7" t="n"/>
      <c r="J3865" s="7" t="n"/>
      <c r="K3865">
        <f>IF(D3865="Legitimate Interest (GDPR Art. 6(1)(f))", "Yes / Required (Sheet 3)", "")</f>
        <v/>
      </c>
      <c r="L3865" s="7" t="n"/>
      <c r="M3865" s="7" t="n"/>
      <c r="N3865">
        <f>IF(D3865="", "Gap - No Legal Basis", IF(AND(D3865="Consent (GDPR Art. 6(1)(a))", I3865="Not Captured"), "Gap - Invalid Consent", IF(AND(D3865="Legitimate Interest (GDPR Art. 6(1)(f))", L3865=""), "Gap - Missing LIA", IF(AND(G3865="Yes", H3865=""), "Gap - Missing Art. 9 Basis", IF(OR(I3865="Invalid - Not Freely Given", I3865="Invalid - Not Specific", I3865="Invalid - Not Informed", I3865="Invalid - Ambiguous"), "Gap - Invalid Consent", "Compliant")))))</f>
        <v/>
      </c>
      <c r="O3865" s="7" t="n"/>
    </row>
    <row r="3866">
      <c r="A3866" s="7" t="n"/>
      <c r="B3866" s="7" t="n"/>
      <c r="C3866" s="7" t="n"/>
      <c r="D3866" s="7" t="n"/>
      <c r="E3866" s="7" t="n"/>
      <c r="F3866" s="7" t="n"/>
      <c r="G3866" s="7" t="n"/>
      <c r="H3866" s="7" t="n"/>
      <c r="I3866" s="7" t="n"/>
      <c r="J3866" s="7" t="n"/>
      <c r="K3866">
        <f>IF(D3866="Legitimate Interest (GDPR Art. 6(1)(f))", "Yes / Required (Sheet 3)", "")</f>
        <v/>
      </c>
      <c r="L3866" s="7" t="n"/>
      <c r="M3866" s="7" t="n"/>
      <c r="N3866">
        <f>IF(D3866="", "Gap - No Legal Basis", IF(AND(D3866="Consent (GDPR Art. 6(1)(a))", I3866="Not Captured"), "Gap - Invalid Consent", IF(AND(D3866="Legitimate Interest (GDPR Art. 6(1)(f))", L3866=""), "Gap - Missing LIA", IF(AND(G3866="Yes", H3866=""), "Gap - Missing Art. 9 Basis", IF(OR(I3866="Invalid - Not Freely Given", I3866="Invalid - Not Specific", I3866="Invalid - Not Informed", I3866="Invalid - Ambiguous"), "Gap - Invalid Consent", "Compliant")))))</f>
        <v/>
      </c>
      <c r="O3866" s="7" t="n"/>
    </row>
    <row r="3867">
      <c r="A3867" s="7" t="n"/>
      <c r="B3867" s="7" t="n"/>
      <c r="C3867" s="7" t="n"/>
      <c r="D3867" s="7" t="n"/>
      <c r="E3867" s="7" t="n"/>
      <c r="F3867" s="7" t="n"/>
      <c r="G3867" s="7" t="n"/>
      <c r="H3867" s="7" t="n"/>
      <c r="I3867" s="7" t="n"/>
      <c r="J3867" s="7" t="n"/>
      <c r="K3867">
        <f>IF(D3867="Legitimate Interest (GDPR Art. 6(1)(f))", "Yes / Required (Sheet 3)", "")</f>
        <v/>
      </c>
      <c r="L3867" s="7" t="n"/>
      <c r="M3867" s="7" t="n"/>
      <c r="N3867">
        <f>IF(D3867="", "Gap - No Legal Basis", IF(AND(D3867="Consent (GDPR Art. 6(1)(a))", I3867="Not Captured"), "Gap - Invalid Consent", IF(AND(D3867="Legitimate Interest (GDPR Art. 6(1)(f))", L3867=""), "Gap - Missing LIA", IF(AND(G3867="Yes", H3867=""), "Gap - Missing Art. 9 Basis", IF(OR(I3867="Invalid - Not Freely Given", I3867="Invalid - Not Specific", I3867="Invalid - Not Informed", I3867="Invalid - Ambiguous"), "Gap - Invalid Consent", "Compliant")))))</f>
        <v/>
      </c>
      <c r="O3867" s="7" t="n"/>
    </row>
    <row r="3868">
      <c r="A3868" s="7" t="n"/>
      <c r="B3868" s="7" t="n"/>
      <c r="C3868" s="7" t="n"/>
      <c r="D3868" s="7" t="n"/>
      <c r="E3868" s="7" t="n"/>
      <c r="F3868" s="7" t="n"/>
      <c r="G3868" s="7" t="n"/>
      <c r="H3868" s="7" t="n"/>
      <c r="I3868" s="7" t="n"/>
      <c r="J3868" s="7" t="n"/>
      <c r="K3868">
        <f>IF(D3868="Legitimate Interest (GDPR Art. 6(1)(f))", "Yes / Required (Sheet 3)", "")</f>
        <v/>
      </c>
      <c r="L3868" s="7" t="n"/>
      <c r="M3868" s="7" t="n"/>
      <c r="N3868">
        <f>IF(D3868="", "Gap - No Legal Basis", IF(AND(D3868="Consent (GDPR Art. 6(1)(a))", I3868="Not Captured"), "Gap - Invalid Consent", IF(AND(D3868="Legitimate Interest (GDPR Art. 6(1)(f))", L3868=""), "Gap - Missing LIA", IF(AND(G3868="Yes", H3868=""), "Gap - Missing Art. 9 Basis", IF(OR(I3868="Invalid - Not Freely Given", I3868="Invalid - Not Specific", I3868="Invalid - Not Informed", I3868="Invalid - Ambiguous"), "Gap - Invalid Consent", "Compliant")))))</f>
        <v/>
      </c>
      <c r="O3868" s="7" t="n"/>
    </row>
    <row r="3869">
      <c r="A3869" s="7" t="n"/>
      <c r="B3869" s="7" t="n"/>
      <c r="C3869" s="7" t="n"/>
      <c r="D3869" s="7" t="n"/>
      <c r="E3869" s="7" t="n"/>
      <c r="F3869" s="7" t="n"/>
      <c r="G3869" s="7" t="n"/>
      <c r="H3869" s="7" t="n"/>
      <c r="I3869" s="7" t="n"/>
      <c r="J3869" s="7" t="n"/>
      <c r="K3869">
        <f>IF(D3869="Legitimate Interest (GDPR Art. 6(1)(f))", "Yes / Required (Sheet 3)", "")</f>
        <v/>
      </c>
      <c r="L3869" s="7" t="n"/>
      <c r="M3869" s="7" t="n"/>
      <c r="N3869">
        <f>IF(D3869="", "Gap - No Legal Basis", IF(AND(D3869="Consent (GDPR Art. 6(1)(a))", I3869="Not Captured"), "Gap - Invalid Consent", IF(AND(D3869="Legitimate Interest (GDPR Art. 6(1)(f))", L3869=""), "Gap - Missing LIA", IF(AND(G3869="Yes", H3869=""), "Gap - Missing Art. 9 Basis", IF(OR(I3869="Invalid - Not Freely Given", I3869="Invalid - Not Specific", I3869="Invalid - Not Informed", I3869="Invalid - Ambiguous"), "Gap - Invalid Consent", "Compliant")))))</f>
        <v/>
      </c>
      <c r="O3869" s="7" t="n"/>
    </row>
    <row r="3870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7" t="n"/>
      <c r="J3870" s="7" t="n"/>
      <c r="K3870">
        <f>IF(D3870="Legitimate Interest (GDPR Art. 6(1)(f))", "Yes / Required (Sheet 3)", "")</f>
        <v/>
      </c>
      <c r="L3870" s="7" t="n"/>
      <c r="M3870" s="7" t="n"/>
      <c r="N3870">
        <f>IF(D3870="", "Gap - No Legal Basis", IF(AND(D3870="Consent (GDPR Art. 6(1)(a))", I3870="Not Captured"), "Gap - Invalid Consent", IF(AND(D3870="Legitimate Interest (GDPR Art. 6(1)(f))", L3870=""), "Gap - Missing LIA", IF(AND(G3870="Yes", H3870=""), "Gap - Missing Art. 9 Basis", IF(OR(I3870="Invalid - Not Freely Given", I3870="Invalid - Not Specific", I3870="Invalid - Not Informed", I3870="Invalid - Ambiguous"), "Gap - Invalid Consent", "Compliant")))))</f>
        <v/>
      </c>
      <c r="O3870" s="7" t="n"/>
    </row>
    <row r="3871">
      <c r="A3871" s="7" t="n"/>
      <c r="B3871" s="7" t="n"/>
      <c r="C3871" s="7" t="n"/>
      <c r="D3871" s="7" t="n"/>
      <c r="E3871" s="7" t="n"/>
      <c r="F3871" s="7" t="n"/>
      <c r="G3871" s="7" t="n"/>
      <c r="H3871" s="7" t="n"/>
      <c r="I3871" s="7" t="n"/>
      <c r="J3871" s="7" t="n"/>
      <c r="K3871">
        <f>IF(D3871="Legitimate Interest (GDPR Art. 6(1)(f))", "Yes / Required (Sheet 3)", "")</f>
        <v/>
      </c>
      <c r="L3871" s="7" t="n"/>
      <c r="M3871" s="7" t="n"/>
      <c r="N3871">
        <f>IF(D3871="", "Gap - No Legal Basis", IF(AND(D3871="Consent (GDPR Art. 6(1)(a))", I3871="Not Captured"), "Gap - Invalid Consent", IF(AND(D3871="Legitimate Interest (GDPR Art. 6(1)(f))", L3871=""), "Gap - Missing LIA", IF(AND(G3871="Yes", H3871=""), "Gap - Missing Art. 9 Basis", IF(OR(I3871="Invalid - Not Freely Given", I3871="Invalid - Not Specific", I3871="Invalid - Not Informed", I3871="Invalid - Ambiguous"), "Gap - Invalid Consent", "Compliant")))))</f>
        <v/>
      </c>
      <c r="O3871" s="7" t="n"/>
    </row>
    <row r="3872">
      <c r="A3872" s="7" t="n"/>
      <c r="B3872" s="7" t="n"/>
      <c r="C3872" s="7" t="n"/>
      <c r="D3872" s="7" t="n"/>
      <c r="E3872" s="7" t="n"/>
      <c r="F3872" s="7" t="n"/>
      <c r="G3872" s="7" t="n"/>
      <c r="H3872" s="7" t="n"/>
      <c r="I3872" s="7" t="n"/>
      <c r="J3872" s="7" t="n"/>
      <c r="K3872">
        <f>IF(D3872="Legitimate Interest (GDPR Art. 6(1)(f))", "Yes / Required (Sheet 3)", "")</f>
        <v/>
      </c>
      <c r="L3872" s="7" t="n"/>
      <c r="M3872" s="7" t="n"/>
      <c r="N3872">
        <f>IF(D3872="", "Gap - No Legal Basis", IF(AND(D3872="Consent (GDPR Art. 6(1)(a))", I3872="Not Captured"), "Gap - Invalid Consent", IF(AND(D3872="Legitimate Interest (GDPR Art. 6(1)(f))", L3872=""), "Gap - Missing LIA", IF(AND(G3872="Yes", H3872=""), "Gap - Missing Art. 9 Basis", IF(OR(I3872="Invalid - Not Freely Given", I3872="Invalid - Not Specific", I3872="Invalid - Not Informed", I3872="Invalid - Ambiguous"), "Gap - Invalid Consent", "Compliant")))))</f>
        <v/>
      </c>
      <c r="O3872" s="7" t="n"/>
    </row>
    <row r="3873">
      <c r="A3873" s="7" t="n"/>
      <c r="B3873" s="7" t="n"/>
      <c r="C3873" s="7" t="n"/>
      <c r="D3873" s="7" t="n"/>
      <c r="E3873" s="7" t="n"/>
      <c r="F3873" s="7" t="n"/>
      <c r="G3873" s="7" t="n"/>
      <c r="H3873" s="7" t="n"/>
      <c r="I3873" s="7" t="n"/>
      <c r="J3873" s="7" t="n"/>
      <c r="K3873">
        <f>IF(D3873="Legitimate Interest (GDPR Art. 6(1)(f))", "Yes / Required (Sheet 3)", "")</f>
        <v/>
      </c>
      <c r="L3873" s="7" t="n"/>
      <c r="M3873" s="7" t="n"/>
      <c r="N3873">
        <f>IF(D3873="", "Gap - No Legal Basis", IF(AND(D3873="Consent (GDPR Art. 6(1)(a))", I3873="Not Captured"), "Gap - Invalid Consent", IF(AND(D3873="Legitimate Interest (GDPR Art. 6(1)(f))", L3873=""), "Gap - Missing LIA", IF(AND(G3873="Yes", H3873=""), "Gap - Missing Art. 9 Basis", IF(OR(I3873="Invalid - Not Freely Given", I3873="Invalid - Not Specific", I3873="Invalid - Not Informed", I3873="Invalid - Ambiguous"), "Gap - Invalid Consent", "Compliant")))))</f>
        <v/>
      </c>
      <c r="O3873" s="7" t="n"/>
    </row>
    <row r="3874">
      <c r="A3874" s="7" t="n"/>
      <c r="B3874" s="7" t="n"/>
      <c r="C3874" s="7" t="n"/>
      <c r="D3874" s="7" t="n"/>
      <c r="E3874" s="7" t="n"/>
      <c r="F3874" s="7" t="n"/>
      <c r="G3874" s="7" t="n"/>
      <c r="H3874" s="7" t="n"/>
      <c r="I3874" s="7" t="n"/>
      <c r="J3874" s="7" t="n"/>
      <c r="K3874">
        <f>IF(D3874="Legitimate Interest (GDPR Art. 6(1)(f))", "Yes / Required (Sheet 3)", "")</f>
        <v/>
      </c>
      <c r="L3874" s="7" t="n"/>
      <c r="M3874" s="7" t="n"/>
      <c r="N3874">
        <f>IF(D3874="", "Gap - No Legal Basis", IF(AND(D3874="Consent (GDPR Art. 6(1)(a))", I3874="Not Captured"), "Gap - Invalid Consent", IF(AND(D3874="Legitimate Interest (GDPR Art. 6(1)(f))", L3874=""), "Gap - Missing LIA", IF(AND(G3874="Yes", H3874=""), "Gap - Missing Art. 9 Basis", IF(OR(I3874="Invalid - Not Freely Given", I3874="Invalid - Not Specific", I3874="Invalid - Not Informed", I3874="Invalid - Ambiguous"), "Gap - Invalid Consent", "Compliant")))))</f>
        <v/>
      </c>
      <c r="O3874" s="7" t="n"/>
    </row>
    <row r="3875">
      <c r="A3875" s="7" t="n"/>
      <c r="B3875" s="7" t="n"/>
      <c r="C3875" s="7" t="n"/>
      <c r="D3875" s="7" t="n"/>
      <c r="E3875" s="7" t="n"/>
      <c r="F3875" s="7" t="n"/>
      <c r="G3875" s="7" t="n"/>
      <c r="H3875" s="7" t="n"/>
      <c r="I3875" s="7" t="n"/>
      <c r="J3875" s="7" t="n"/>
      <c r="K3875">
        <f>IF(D3875="Legitimate Interest (GDPR Art. 6(1)(f))", "Yes / Required (Sheet 3)", "")</f>
        <v/>
      </c>
      <c r="L3875" s="7" t="n"/>
      <c r="M3875" s="7" t="n"/>
      <c r="N3875">
        <f>IF(D3875="", "Gap - No Legal Basis", IF(AND(D3875="Consent (GDPR Art. 6(1)(a))", I3875="Not Captured"), "Gap - Invalid Consent", IF(AND(D3875="Legitimate Interest (GDPR Art. 6(1)(f))", L3875=""), "Gap - Missing LIA", IF(AND(G3875="Yes", H3875=""), "Gap - Missing Art. 9 Basis", IF(OR(I3875="Invalid - Not Freely Given", I3875="Invalid - Not Specific", I3875="Invalid - Not Informed", I3875="Invalid - Ambiguous"), "Gap - Invalid Consent", "Compliant")))))</f>
        <v/>
      </c>
      <c r="O3875" s="7" t="n"/>
    </row>
    <row r="3876">
      <c r="A3876" s="7" t="n"/>
      <c r="B3876" s="7" t="n"/>
      <c r="C3876" s="7" t="n"/>
      <c r="D3876" s="7" t="n"/>
      <c r="E3876" s="7" t="n"/>
      <c r="F3876" s="7" t="n"/>
      <c r="G3876" s="7" t="n"/>
      <c r="H3876" s="7" t="n"/>
      <c r="I3876" s="7" t="n"/>
      <c r="J3876" s="7" t="n"/>
      <c r="K3876">
        <f>IF(D3876="Legitimate Interest (GDPR Art. 6(1)(f))", "Yes / Required (Sheet 3)", "")</f>
        <v/>
      </c>
      <c r="L3876" s="7" t="n"/>
      <c r="M3876" s="7" t="n"/>
      <c r="N3876">
        <f>IF(D3876="", "Gap - No Legal Basis", IF(AND(D3876="Consent (GDPR Art. 6(1)(a))", I3876="Not Captured"), "Gap - Invalid Consent", IF(AND(D3876="Legitimate Interest (GDPR Art. 6(1)(f))", L3876=""), "Gap - Missing LIA", IF(AND(G3876="Yes", H3876=""), "Gap - Missing Art. 9 Basis", IF(OR(I3876="Invalid - Not Freely Given", I3876="Invalid - Not Specific", I3876="Invalid - Not Informed", I3876="Invalid - Ambiguous"), "Gap - Invalid Consent", "Compliant")))))</f>
        <v/>
      </c>
      <c r="O3876" s="7" t="n"/>
    </row>
    <row r="3877">
      <c r="A3877" s="7" t="n"/>
      <c r="B3877" s="7" t="n"/>
      <c r="C3877" s="7" t="n"/>
      <c r="D3877" s="7" t="n"/>
      <c r="E3877" s="7" t="n"/>
      <c r="F3877" s="7" t="n"/>
      <c r="G3877" s="7" t="n"/>
      <c r="H3877" s="7" t="n"/>
      <c r="I3877" s="7" t="n"/>
      <c r="J3877" s="7" t="n"/>
      <c r="K3877">
        <f>IF(D3877="Legitimate Interest (GDPR Art. 6(1)(f))", "Yes / Required (Sheet 3)", "")</f>
        <v/>
      </c>
      <c r="L3877" s="7" t="n"/>
      <c r="M3877" s="7" t="n"/>
      <c r="N3877">
        <f>IF(D3877="", "Gap - No Legal Basis", IF(AND(D3877="Consent (GDPR Art. 6(1)(a))", I3877="Not Captured"), "Gap - Invalid Consent", IF(AND(D3877="Legitimate Interest (GDPR Art. 6(1)(f))", L3877=""), "Gap - Missing LIA", IF(AND(G3877="Yes", H3877=""), "Gap - Missing Art. 9 Basis", IF(OR(I3877="Invalid - Not Freely Given", I3877="Invalid - Not Specific", I3877="Invalid - Not Informed", I3877="Invalid - Ambiguous"), "Gap - Invalid Consent", "Compliant")))))</f>
        <v/>
      </c>
      <c r="O3877" s="7" t="n"/>
    </row>
    <row r="3878">
      <c r="A3878" s="7" t="n"/>
      <c r="B3878" s="7" t="n"/>
      <c r="C3878" s="7" t="n"/>
      <c r="D3878" s="7" t="n"/>
      <c r="E3878" s="7" t="n"/>
      <c r="F3878" s="7" t="n"/>
      <c r="G3878" s="7" t="n"/>
      <c r="H3878" s="7" t="n"/>
      <c r="I3878" s="7" t="n"/>
      <c r="J3878" s="7" t="n"/>
      <c r="K3878">
        <f>IF(D3878="Legitimate Interest (GDPR Art. 6(1)(f))", "Yes / Required (Sheet 3)", "")</f>
        <v/>
      </c>
      <c r="L3878" s="7" t="n"/>
      <c r="M3878" s="7" t="n"/>
      <c r="N3878">
        <f>IF(D3878="", "Gap - No Legal Basis", IF(AND(D3878="Consent (GDPR Art. 6(1)(a))", I3878="Not Captured"), "Gap - Invalid Consent", IF(AND(D3878="Legitimate Interest (GDPR Art. 6(1)(f))", L3878=""), "Gap - Missing LIA", IF(AND(G3878="Yes", H3878=""), "Gap - Missing Art. 9 Basis", IF(OR(I3878="Invalid - Not Freely Given", I3878="Invalid - Not Specific", I3878="Invalid - Not Informed", I3878="Invalid - Ambiguous"), "Gap - Invalid Consent", "Compliant")))))</f>
        <v/>
      </c>
      <c r="O3878" s="7" t="n"/>
    </row>
    <row r="3879">
      <c r="A3879" s="7" t="n"/>
      <c r="B3879" s="7" t="n"/>
      <c r="C3879" s="7" t="n"/>
      <c r="D3879" s="7" t="n"/>
      <c r="E3879" s="7" t="n"/>
      <c r="F3879" s="7" t="n"/>
      <c r="G3879" s="7" t="n"/>
      <c r="H3879" s="7" t="n"/>
      <c r="I3879" s="7" t="n"/>
      <c r="J3879" s="7" t="n"/>
      <c r="K3879">
        <f>IF(D3879="Legitimate Interest (GDPR Art. 6(1)(f))", "Yes / Required (Sheet 3)", "")</f>
        <v/>
      </c>
      <c r="L3879" s="7" t="n"/>
      <c r="M3879" s="7" t="n"/>
      <c r="N3879">
        <f>IF(D3879="", "Gap - No Legal Basis", IF(AND(D3879="Consent (GDPR Art. 6(1)(a))", I3879="Not Captured"), "Gap - Invalid Consent", IF(AND(D3879="Legitimate Interest (GDPR Art. 6(1)(f))", L3879=""), "Gap - Missing LIA", IF(AND(G3879="Yes", H3879=""), "Gap - Missing Art. 9 Basis", IF(OR(I3879="Invalid - Not Freely Given", I3879="Invalid - Not Specific", I3879="Invalid - Not Informed", I3879="Invalid - Ambiguous"), "Gap - Invalid Consent", "Compliant")))))</f>
        <v/>
      </c>
      <c r="O3879" s="7" t="n"/>
    </row>
    <row r="3880">
      <c r="A3880" s="7" t="n"/>
      <c r="B3880" s="7" t="n"/>
      <c r="C3880" s="7" t="n"/>
      <c r="D3880" s="7" t="n"/>
      <c r="E3880" s="7" t="n"/>
      <c r="F3880" s="7" t="n"/>
      <c r="G3880" s="7" t="n"/>
      <c r="H3880" s="7" t="n"/>
      <c r="I3880" s="7" t="n"/>
      <c r="J3880" s="7" t="n"/>
      <c r="K3880">
        <f>IF(D3880="Legitimate Interest (GDPR Art. 6(1)(f))", "Yes / Required (Sheet 3)", "")</f>
        <v/>
      </c>
      <c r="L3880" s="7" t="n"/>
      <c r="M3880" s="7" t="n"/>
      <c r="N3880">
        <f>IF(D3880="", "Gap - No Legal Basis", IF(AND(D3880="Consent (GDPR Art. 6(1)(a))", I3880="Not Captured"), "Gap - Invalid Consent", IF(AND(D3880="Legitimate Interest (GDPR Art. 6(1)(f))", L3880=""), "Gap - Missing LIA", IF(AND(G3880="Yes", H3880=""), "Gap - Missing Art. 9 Basis", IF(OR(I3880="Invalid - Not Freely Given", I3880="Invalid - Not Specific", I3880="Invalid - Not Informed", I3880="Invalid - Ambiguous"), "Gap - Invalid Consent", "Compliant")))))</f>
        <v/>
      </c>
      <c r="O3880" s="7" t="n"/>
    </row>
    <row r="3881">
      <c r="A3881" s="7" t="n"/>
      <c r="B3881" s="7" t="n"/>
      <c r="C3881" s="7" t="n"/>
      <c r="D3881" s="7" t="n"/>
      <c r="E3881" s="7" t="n"/>
      <c r="F3881" s="7" t="n"/>
      <c r="G3881" s="7" t="n"/>
      <c r="H3881" s="7" t="n"/>
      <c r="I3881" s="7" t="n"/>
      <c r="J3881" s="7" t="n"/>
      <c r="K3881">
        <f>IF(D3881="Legitimate Interest (GDPR Art. 6(1)(f))", "Yes / Required (Sheet 3)", "")</f>
        <v/>
      </c>
      <c r="L3881" s="7" t="n"/>
      <c r="M3881" s="7" t="n"/>
      <c r="N3881">
        <f>IF(D3881="", "Gap - No Legal Basis", IF(AND(D3881="Consent (GDPR Art. 6(1)(a))", I3881="Not Captured"), "Gap - Invalid Consent", IF(AND(D3881="Legitimate Interest (GDPR Art. 6(1)(f))", L3881=""), "Gap - Missing LIA", IF(AND(G3881="Yes", H3881=""), "Gap - Missing Art. 9 Basis", IF(OR(I3881="Invalid - Not Freely Given", I3881="Invalid - Not Specific", I3881="Invalid - Not Informed", I3881="Invalid - Ambiguous"), "Gap - Invalid Consent", "Compliant")))))</f>
        <v/>
      </c>
      <c r="O3881" s="7" t="n"/>
    </row>
    <row r="3882">
      <c r="A3882" s="7" t="n"/>
      <c r="B3882" s="7" t="n"/>
      <c r="C3882" s="7" t="n"/>
      <c r="D3882" s="7" t="n"/>
      <c r="E3882" s="7" t="n"/>
      <c r="F3882" s="7" t="n"/>
      <c r="G3882" s="7" t="n"/>
      <c r="H3882" s="7" t="n"/>
      <c r="I3882" s="7" t="n"/>
      <c r="J3882" s="7" t="n"/>
      <c r="K3882">
        <f>IF(D3882="Legitimate Interest (GDPR Art. 6(1)(f))", "Yes / Required (Sheet 3)", "")</f>
        <v/>
      </c>
      <c r="L3882" s="7" t="n"/>
      <c r="M3882" s="7" t="n"/>
      <c r="N3882">
        <f>IF(D3882="", "Gap - No Legal Basis", IF(AND(D3882="Consent (GDPR Art. 6(1)(a))", I3882="Not Captured"), "Gap - Invalid Consent", IF(AND(D3882="Legitimate Interest (GDPR Art. 6(1)(f))", L3882=""), "Gap - Missing LIA", IF(AND(G3882="Yes", H3882=""), "Gap - Missing Art. 9 Basis", IF(OR(I3882="Invalid - Not Freely Given", I3882="Invalid - Not Specific", I3882="Invalid - Not Informed", I3882="Invalid - Ambiguous"), "Gap - Invalid Consent", "Compliant")))))</f>
        <v/>
      </c>
      <c r="O3882" s="7" t="n"/>
    </row>
    <row r="3883">
      <c r="A3883" s="7" t="n"/>
      <c r="B3883" s="7" t="n"/>
      <c r="C3883" s="7" t="n"/>
      <c r="D3883" s="7" t="n"/>
      <c r="E3883" s="7" t="n"/>
      <c r="F3883" s="7" t="n"/>
      <c r="G3883" s="7" t="n"/>
      <c r="H3883" s="7" t="n"/>
      <c r="I3883" s="7" t="n"/>
      <c r="J3883" s="7" t="n"/>
      <c r="K3883">
        <f>IF(D3883="Legitimate Interest (GDPR Art. 6(1)(f))", "Yes / Required (Sheet 3)", "")</f>
        <v/>
      </c>
      <c r="L3883" s="7" t="n"/>
      <c r="M3883" s="7" t="n"/>
      <c r="N3883">
        <f>IF(D3883="", "Gap - No Legal Basis", IF(AND(D3883="Consent (GDPR Art. 6(1)(a))", I3883="Not Captured"), "Gap - Invalid Consent", IF(AND(D3883="Legitimate Interest (GDPR Art. 6(1)(f))", L3883=""), "Gap - Missing LIA", IF(AND(G3883="Yes", H3883=""), "Gap - Missing Art. 9 Basis", IF(OR(I3883="Invalid - Not Freely Given", I3883="Invalid - Not Specific", I3883="Invalid - Not Informed", I3883="Invalid - Ambiguous"), "Gap - Invalid Consent", "Compliant")))))</f>
        <v/>
      </c>
      <c r="O3883" s="7" t="n"/>
    </row>
    <row r="3884">
      <c r="A3884" s="7" t="n"/>
      <c r="B3884" s="7" t="n"/>
      <c r="C3884" s="7" t="n"/>
      <c r="D3884" s="7" t="n"/>
      <c r="E3884" s="7" t="n"/>
      <c r="F3884" s="7" t="n"/>
      <c r="G3884" s="7" t="n"/>
      <c r="H3884" s="7" t="n"/>
      <c r="I3884" s="7" t="n"/>
      <c r="J3884" s="7" t="n"/>
      <c r="K3884">
        <f>IF(D3884="Legitimate Interest (GDPR Art. 6(1)(f))", "Yes / Required (Sheet 3)", "")</f>
        <v/>
      </c>
      <c r="L3884" s="7" t="n"/>
      <c r="M3884" s="7" t="n"/>
      <c r="N3884">
        <f>IF(D3884="", "Gap - No Legal Basis", IF(AND(D3884="Consent (GDPR Art. 6(1)(a))", I3884="Not Captured"), "Gap - Invalid Consent", IF(AND(D3884="Legitimate Interest (GDPR Art. 6(1)(f))", L3884=""), "Gap - Missing LIA", IF(AND(G3884="Yes", H3884=""), "Gap - Missing Art. 9 Basis", IF(OR(I3884="Invalid - Not Freely Given", I3884="Invalid - Not Specific", I3884="Invalid - Not Informed", I3884="Invalid - Ambiguous"), "Gap - Invalid Consent", "Compliant")))))</f>
        <v/>
      </c>
      <c r="O3884" s="7" t="n"/>
    </row>
    <row r="3885">
      <c r="A3885" s="7" t="n"/>
      <c r="B3885" s="7" t="n"/>
      <c r="C3885" s="7" t="n"/>
      <c r="D3885" s="7" t="n"/>
      <c r="E3885" s="7" t="n"/>
      <c r="F3885" s="7" t="n"/>
      <c r="G3885" s="7" t="n"/>
      <c r="H3885" s="7" t="n"/>
      <c r="I3885" s="7" t="n"/>
      <c r="J3885" s="7" t="n"/>
      <c r="K3885">
        <f>IF(D3885="Legitimate Interest (GDPR Art. 6(1)(f))", "Yes / Required (Sheet 3)", "")</f>
        <v/>
      </c>
      <c r="L3885" s="7" t="n"/>
      <c r="M3885" s="7" t="n"/>
      <c r="N3885">
        <f>IF(D3885="", "Gap - No Legal Basis", IF(AND(D3885="Consent (GDPR Art. 6(1)(a))", I3885="Not Captured"), "Gap - Invalid Consent", IF(AND(D3885="Legitimate Interest (GDPR Art. 6(1)(f))", L3885=""), "Gap - Missing LIA", IF(AND(G3885="Yes", H3885=""), "Gap - Missing Art. 9 Basis", IF(OR(I3885="Invalid - Not Freely Given", I3885="Invalid - Not Specific", I3885="Invalid - Not Informed", I3885="Invalid - Ambiguous"), "Gap - Invalid Consent", "Compliant")))))</f>
        <v/>
      </c>
      <c r="O3885" s="7" t="n"/>
    </row>
    <row r="3886">
      <c r="A3886" s="7" t="n"/>
      <c r="B3886" s="7" t="n"/>
      <c r="C3886" s="7" t="n"/>
      <c r="D3886" s="7" t="n"/>
      <c r="E3886" s="7" t="n"/>
      <c r="F3886" s="7" t="n"/>
      <c r="G3886" s="7" t="n"/>
      <c r="H3886" s="7" t="n"/>
      <c r="I3886" s="7" t="n"/>
      <c r="J3886" s="7" t="n"/>
      <c r="K3886">
        <f>IF(D3886="Legitimate Interest (GDPR Art. 6(1)(f))", "Yes / Required (Sheet 3)", "")</f>
        <v/>
      </c>
      <c r="L3886" s="7" t="n"/>
      <c r="M3886" s="7" t="n"/>
      <c r="N3886">
        <f>IF(D3886="", "Gap - No Legal Basis", IF(AND(D3886="Consent (GDPR Art. 6(1)(a))", I3886="Not Captured"), "Gap - Invalid Consent", IF(AND(D3886="Legitimate Interest (GDPR Art. 6(1)(f))", L3886=""), "Gap - Missing LIA", IF(AND(G3886="Yes", H3886=""), "Gap - Missing Art. 9 Basis", IF(OR(I3886="Invalid - Not Freely Given", I3886="Invalid - Not Specific", I3886="Invalid - Not Informed", I3886="Invalid - Ambiguous"), "Gap - Invalid Consent", "Compliant")))))</f>
        <v/>
      </c>
      <c r="O3886" s="7" t="n"/>
    </row>
    <row r="3887">
      <c r="A3887" s="7" t="n"/>
      <c r="B3887" s="7" t="n"/>
      <c r="C3887" s="7" t="n"/>
      <c r="D3887" s="7" t="n"/>
      <c r="E3887" s="7" t="n"/>
      <c r="F3887" s="7" t="n"/>
      <c r="G3887" s="7" t="n"/>
      <c r="H3887" s="7" t="n"/>
      <c r="I3887" s="7" t="n"/>
      <c r="J3887" s="7" t="n"/>
      <c r="K3887">
        <f>IF(D3887="Legitimate Interest (GDPR Art. 6(1)(f))", "Yes / Required (Sheet 3)", "")</f>
        <v/>
      </c>
      <c r="L3887" s="7" t="n"/>
      <c r="M3887" s="7" t="n"/>
      <c r="N3887">
        <f>IF(D3887="", "Gap - No Legal Basis", IF(AND(D3887="Consent (GDPR Art. 6(1)(a))", I3887="Not Captured"), "Gap - Invalid Consent", IF(AND(D3887="Legitimate Interest (GDPR Art. 6(1)(f))", L3887=""), "Gap - Missing LIA", IF(AND(G3887="Yes", H3887=""), "Gap - Missing Art. 9 Basis", IF(OR(I3887="Invalid - Not Freely Given", I3887="Invalid - Not Specific", I3887="Invalid - Not Informed", I3887="Invalid - Ambiguous"), "Gap - Invalid Consent", "Compliant")))))</f>
        <v/>
      </c>
      <c r="O3887" s="7" t="n"/>
    </row>
    <row r="3888">
      <c r="A3888" s="7" t="n"/>
      <c r="B3888" s="7" t="n"/>
      <c r="C3888" s="7" t="n"/>
      <c r="D3888" s="7" t="n"/>
      <c r="E3888" s="7" t="n"/>
      <c r="F3888" s="7" t="n"/>
      <c r="G3888" s="7" t="n"/>
      <c r="H3888" s="7" t="n"/>
      <c r="I3888" s="7" t="n"/>
      <c r="J3888" s="7" t="n"/>
      <c r="K3888">
        <f>IF(D3888="Legitimate Interest (GDPR Art. 6(1)(f))", "Yes / Required (Sheet 3)", "")</f>
        <v/>
      </c>
      <c r="L3888" s="7" t="n"/>
      <c r="M3888" s="7" t="n"/>
      <c r="N3888">
        <f>IF(D3888="", "Gap - No Legal Basis", IF(AND(D3888="Consent (GDPR Art. 6(1)(a))", I3888="Not Captured"), "Gap - Invalid Consent", IF(AND(D3888="Legitimate Interest (GDPR Art. 6(1)(f))", L3888=""), "Gap - Missing LIA", IF(AND(G3888="Yes", H3888=""), "Gap - Missing Art. 9 Basis", IF(OR(I3888="Invalid - Not Freely Given", I3888="Invalid - Not Specific", I3888="Invalid - Not Informed", I3888="Invalid - Ambiguous"), "Gap - Invalid Consent", "Compliant")))))</f>
        <v/>
      </c>
      <c r="O3888" s="7" t="n"/>
    </row>
    <row r="3889">
      <c r="A3889" s="7" t="n"/>
      <c r="B3889" s="7" t="n"/>
      <c r="C3889" s="7" t="n"/>
      <c r="D3889" s="7" t="n"/>
      <c r="E3889" s="7" t="n"/>
      <c r="F3889" s="7" t="n"/>
      <c r="G3889" s="7" t="n"/>
      <c r="H3889" s="7" t="n"/>
      <c r="I3889" s="7" t="n"/>
      <c r="J3889" s="7" t="n"/>
      <c r="K3889">
        <f>IF(D3889="Legitimate Interest (GDPR Art. 6(1)(f))", "Yes / Required (Sheet 3)", "")</f>
        <v/>
      </c>
      <c r="L3889" s="7" t="n"/>
      <c r="M3889" s="7" t="n"/>
      <c r="N3889">
        <f>IF(D3889="", "Gap - No Legal Basis", IF(AND(D3889="Consent (GDPR Art. 6(1)(a))", I3889="Not Captured"), "Gap - Invalid Consent", IF(AND(D3889="Legitimate Interest (GDPR Art. 6(1)(f))", L3889=""), "Gap - Missing LIA", IF(AND(G3889="Yes", H3889=""), "Gap - Missing Art. 9 Basis", IF(OR(I3889="Invalid - Not Freely Given", I3889="Invalid - Not Specific", I3889="Invalid - Not Informed", I3889="Invalid - Ambiguous"), "Gap - Invalid Consent", "Compliant")))))</f>
        <v/>
      </c>
      <c r="O3889" s="7" t="n"/>
    </row>
    <row r="3890">
      <c r="A3890" s="7" t="n"/>
      <c r="B3890" s="7" t="n"/>
      <c r="C3890" s="7" t="n"/>
      <c r="D3890" s="7" t="n"/>
      <c r="E3890" s="7" t="n"/>
      <c r="F3890" s="7" t="n"/>
      <c r="G3890" s="7" t="n"/>
      <c r="H3890" s="7" t="n"/>
      <c r="I3890" s="7" t="n"/>
      <c r="J3890" s="7" t="n"/>
      <c r="K3890">
        <f>IF(D3890="Legitimate Interest (GDPR Art. 6(1)(f))", "Yes / Required (Sheet 3)", "")</f>
        <v/>
      </c>
      <c r="L3890" s="7" t="n"/>
      <c r="M3890" s="7" t="n"/>
      <c r="N3890">
        <f>IF(D3890="", "Gap - No Legal Basis", IF(AND(D3890="Consent (GDPR Art. 6(1)(a))", I3890="Not Captured"), "Gap - Invalid Consent", IF(AND(D3890="Legitimate Interest (GDPR Art. 6(1)(f))", L3890=""), "Gap - Missing LIA", IF(AND(G3890="Yes", H3890=""), "Gap - Missing Art. 9 Basis", IF(OR(I3890="Invalid - Not Freely Given", I3890="Invalid - Not Specific", I3890="Invalid - Not Informed", I3890="Invalid - Ambiguous"), "Gap - Invalid Consent", "Compliant")))))</f>
        <v/>
      </c>
      <c r="O3890" s="7" t="n"/>
    </row>
    <row r="3891">
      <c r="A3891" s="7" t="n"/>
      <c r="B3891" s="7" t="n"/>
      <c r="C3891" s="7" t="n"/>
      <c r="D3891" s="7" t="n"/>
      <c r="E3891" s="7" t="n"/>
      <c r="F3891" s="7" t="n"/>
      <c r="G3891" s="7" t="n"/>
      <c r="H3891" s="7" t="n"/>
      <c r="I3891" s="7" t="n"/>
      <c r="J3891" s="7" t="n"/>
      <c r="K3891">
        <f>IF(D3891="Legitimate Interest (GDPR Art. 6(1)(f))", "Yes / Required (Sheet 3)", "")</f>
        <v/>
      </c>
      <c r="L3891" s="7" t="n"/>
      <c r="M3891" s="7" t="n"/>
      <c r="N3891">
        <f>IF(D3891="", "Gap - No Legal Basis", IF(AND(D3891="Consent (GDPR Art. 6(1)(a))", I3891="Not Captured"), "Gap - Invalid Consent", IF(AND(D3891="Legitimate Interest (GDPR Art. 6(1)(f))", L3891=""), "Gap - Missing LIA", IF(AND(G3891="Yes", H3891=""), "Gap - Missing Art. 9 Basis", IF(OR(I3891="Invalid - Not Freely Given", I3891="Invalid - Not Specific", I3891="Invalid - Not Informed", I3891="Invalid - Ambiguous"), "Gap - Invalid Consent", "Compliant")))))</f>
        <v/>
      </c>
      <c r="O3891" s="7" t="n"/>
    </row>
    <row r="3892">
      <c r="A3892" s="7" t="n"/>
      <c r="B3892" s="7" t="n"/>
      <c r="C3892" s="7" t="n"/>
      <c r="D3892" s="7" t="n"/>
      <c r="E3892" s="7" t="n"/>
      <c r="F3892" s="7" t="n"/>
      <c r="G3892" s="7" t="n"/>
      <c r="H3892" s="7" t="n"/>
      <c r="I3892" s="7" t="n"/>
      <c r="J3892" s="7" t="n"/>
      <c r="K3892">
        <f>IF(D3892="Legitimate Interest (GDPR Art. 6(1)(f))", "Yes / Required (Sheet 3)", "")</f>
        <v/>
      </c>
      <c r="L3892" s="7" t="n"/>
      <c r="M3892" s="7" t="n"/>
      <c r="N3892">
        <f>IF(D3892="", "Gap - No Legal Basis", IF(AND(D3892="Consent (GDPR Art. 6(1)(a))", I3892="Not Captured"), "Gap - Invalid Consent", IF(AND(D3892="Legitimate Interest (GDPR Art. 6(1)(f))", L3892=""), "Gap - Missing LIA", IF(AND(G3892="Yes", H3892=""), "Gap - Missing Art. 9 Basis", IF(OR(I3892="Invalid - Not Freely Given", I3892="Invalid - Not Specific", I3892="Invalid - Not Informed", I3892="Invalid - Ambiguous"), "Gap - Invalid Consent", "Compliant")))))</f>
        <v/>
      </c>
      <c r="O3892" s="7" t="n"/>
    </row>
    <row r="3893">
      <c r="A3893" s="7" t="n"/>
      <c r="B3893" s="7" t="n"/>
      <c r="C3893" s="7" t="n"/>
      <c r="D3893" s="7" t="n"/>
      <c r="E3893" s="7" t="n"/>
      <c r="F3893" s="7" t="n"/>
      <c r="G3893" s="7" t="n"/>
      <c r="H3893" s="7" t="n"/>
      <c r="I3893" s="7" t="n"/>
      <c r="J3893" s="7" t="n"/>
      <c r="K3893">
        <f>IF(D3893="Legitimate Interest (GDPR Art. 6(1)(f))", "Yes / Required (Sheet 3)", "")</f>
        <v/>
      </c>
      <c r="L3893" s="7" t="n"/>
      <c r="M3893" s="7" t="n"/>
      <c r="N3893">
        <f>IF(D3893="", "Gap - No Legal Basis", IF(AND(D3893="Consent (GDPR Art. 6(1)(a))", I3893="Not Captured"), "Gap - Invalid Consent", IF(AND(D3893="Legitimate Interest (GDPR Art. 6(1)(f))", L3893=""), "Gap - Missing LIA", IF(AND(G3893="Yes", H3893=""), "Gap - Missing Art. 9 Basis", IF(OR(I3893="Invalid - Not Freely Given", I3893="Invalid - Not Specific", I3893="Invalid - Not Informed", I3893="Invalid - Ambiguous"), "Gap - Invalid Consent", "Compliant")))))</f>
        <v/>
      </c>
      <c r="O3893" s="7" t="n"/>
    </row>
    <row r="3894">
      <c r="A3894" s="7" t="n"/>
      <c r="B3894" s="7" t="n"/>
      <c r="C3894" s="7" t="n"/>
      <c r="D3894" s="7" t="n"/>
      <c r="E3894" s="7" t="n"/>
      <c r="F3894" s="7" t="n"/>
      <c r="G3894" s="7" t="n"/>
      <c r="H3894" s="7" t="n"/>
      <c r="I3894" s="7" t="n"/>
      <c r="J3894" s="7" t="n"/>
      <c r="K3894">
        <f>IF(D3894="Legitimate Interest (GDPR Art. 6(1)(f))", "Yes / Required (Sheet 3)", "")</f>
        <v/>
      </c>
      <c r="L3894" s="7" t="n"/>
      <c r="M3894" s="7" t="n"/>
      <c r="N3894">
        <f>IF(D3894="", "Gap - No Legal Basis", IF(AND(D3894="Consent (GDPR Art. 6(1)(a))", I3894="Not Captured"), "Gap - Invalid Consent", IF(AND(D3894="Legitimate Interest (GDPR Art. 6(1)(f))", L3894=""), "Gap - Missing LIA", IF(AND(G3894="Yes", H3894=""), "Gap - Missing Art. 9 Basis", IF(OR(I3894="Invalid - Not Freely Given", I3894="Invalid - Not Specific", I3894="Invalid - Not Informed", I3894="Invalid - Ambiguous"), "Gap - Invalid Consent", "Compliant")))))</f>
        <v/>
      </c>
      <c r="O3894" s="7" t="n"/>
    </row>
    <row r="3895">
      <c r="A3895" s="7" t="n"/>
      <c r="B3895" s="7" t="n"/>
      <c r="C3895" s="7" t="n"/>
      <c r="D3895" s="7" t="n"/>
      <c r="E3895" s="7" t="n"/>
      <c r="F3895" s="7" t="n"/>
      <c r="G3895" s="7" t="n"/>
      <c r="H3895" s="7" t="n"/>
      <c r="I3895" s="7" t="n"/>
      <c r="J3895" s="7" t="n"/>
      <c r="K3895">
        <f>IF(D3895="Legitimate Interest (GDPR Art. 6(1)(f))", "Yes / Required (Sheet 3)", "")</f>
        <v/>
      </c>
      <c r="L3895" s="7" t="n"/>
      <c r="M3895" s="7" t="n"/>
      <c r="N3895">
        <f>IF(D3895="", "Gap - No Legal Basis", IF(AND(D3895="Consent (GDPR Art. 6(1)(a))", I3895="Not Captured"), "Gap - Invalid Consent", IF(AND(D3895="Legitimate Interest (GDPR Art. 6(1)(f))", L3895=""), "Gap - Missing LIA", IF(AND(G3895="Yes", H3895=""), "Gap - Missing Art. 9 Basis", IF(OR(I3895="Invalid - Not Freely Given", I3895="Invalid - Not Specific", I3895="Invalid - Not Informed", I3895="Invalid - Ambiguous"), "Gap - Invalid Consent", "Compliant")))))</f>
        <v/>
      </c>
      <c r="O3895" s="7" t="n"/>
    </row>
    <row r="3896">
      <c r="A3896" s="7" t="n"/>
      <c r="B3896" s="7" t="n"/>
      <c r="C3896" s="7" t="n"/>
      <c r="D3896" s="7" t="n"/>
      <c r="E3896" s="7" t="n"/>
      <c r="F3896" s="7" t="n"/>
      <c r="G3896" s="7" t="n"/>
      <c r="H3896" s="7" t="n"/>
      <c r="I3896" s="7" t="n"/>
      <c r="J3896" s="7" t="n"/>
      <c r="K3896">
        <f>IF(D3896="Legitimate Interest (GDPR Art. 6(1)(f))", "Yes / Required (Sheet 3)", "")</f>
        <v/>
      </c>
      <c r="L3896" s="7" t="n"/>
      <c r="M3896" s="7" t="n"/>
      <c r="N3896">
        <f>IF(D3896="", "Gap - No Legal Basis", IF(AND(D3896="Consent (GDPR Art. 6(1)(a))", I3896="Not Captured"), "Gap - Invalid Consent", IF(AND(D3896="Legitimate Interest (GDPR Art. 6(1)(f))", L3896=""), "Gap - Missing LIA", IF(AND(G3896="Yes", H3896=""), "Gap - Missing Art. 9 Basis", IF(OR(I3896="Invalid - Not Freely Given", I3896="Invalid - Not Specific", I3896="Invalid - Not Informed", I3896="Invalid - Ambiguous"), "Gap - Invalid Consent", "Compliant")))))</f>
        <v/>
      </c>
      <c r="O3896" s="7" t="n"/>
    </row>
    <row r="3897">
      <c r="A3897" s="7" t="n"/>
      <c r="B3897" s="7" t="n"/>
      <c r="C3897" s="7" t="n"/>
      <c r="D3897" s="7" t="n"/>
      <c r="E3897" s="7" t="n"/>
      <c r="F3897" s="7" t="n"/>
      <c r="G3897" s="7" t="n"/>
      <c r="H3897" s="7" t="n"/>
      <c r="I3897" s="7" t="n"/>
      <c r="J3897" s="7" t="n"/>
      <c r="K3897">
        <f>IF(D3897="Legitimate Interest (GDPR Art. 6(1)(f))", "Yes / Required (Sheet 3)", "")</f>
        <v/>
      </c>
      <c r="L3897" s="7" t="n"/>
      <c r="M3897" s="7" t="n"/>
      <c r="N3897">
        <f>IF(D3897="", "Gap - No Legal Basis", IF(AND(D3897="Consent (GDPR Art. 6(1)(a))", I3897="Not Captured"), "Gap - Invalid Consent", IF(AND(D3897="Legitimate Interest (GDPR Art. 6(1)(f))", L3897=""), "Gap - Missing LIA", IF(AND(G3897="Yes", H3897=""), "Gap - Missing Art. 9 Basis", IF(OR(I3897="Invalid - Not Freely Given", I3897="Invalid - Not Specific", I3897="Invalid - Not Informed", I3897="Invalid - Ambiguous"), "Gap - Invalid Consent", "Compliant")))))</f>
        <v/>
      </c>
      <c r="O3897" s="7" t="n"/>
    </row>
    <row r="3898">
      <c r="A3898" s="7" t="n"/>
      <c r="B3898" s="7" t="n"/>
      <c r="C3898" s="7" t="n"/>
      <c r="D3898" s="7" t="n"/>
      <c r="E3898" s="7" t="n"/>
      <c r="F3898" s="7" t="n"/>
      <c r="G3898" s="7" t="n"/>
      <c r="H3898" s="7" t="n"/>
      <c r="I3898" s="7" t="n"/>
      <c r="J3898" s="7" t="n"/>
      <c r="K3898">
        <f>IF(D3898="Legitimate Interest (GDPR Art. 6(1)(f))", "Yes / Required (Sheet 3)", "")</f>
        <v/>
      </c>
      <c r="L3898" s="7" t="n"/>
      <c r="M3898" s="7" t="n"/>
      <c r="N3898">
        <f>IF(D3898="", "Gap - No Legal Basis", IF(AND(D3898="Consent (GDPR Art. 6(1)(a))", I3898="Not Captured"), "Gap - Invalid Consent", IF(AND(D3898="Legitimate Interest (GDPR Art. 6(1)(f))", L3898=""), "Gap - Missing LIA", IF(AND(G3898="Yes", H3898=""), "Gap - Missing Art. 9 Basis", IF(OR(I3898="Invalid - Not Freely Given", I3898="Invalid - Not Specific", I3898="Invalid - Not Informed", I3898="Invalid - Ambiguous"), "Gap - Invalid Consent", "Compliant")))))</f>
        <v/>
      </c>
      <c r="O3898" s="7" t="n"/>
    </row>
    <row r="3899">
      <c r="A3899" s="7" t="n"/>
      <c r="B3899" s="7" t="n"/>
      <c r="C3899" s="7" t="n"/>
      <c r="D3899" s="7" t="n"/>
      <c r="E3899" s="7" t="n"/>
      <c r="F3899" s="7" t="n"/>
      <c r="G3899" s="7" t="n"/>
      <c r="H3899" s="7" t="n"/>
      <c r="I3899" s="7" t="n"/>
      <c r="J3899" s="7" t="n"/>
      <c r="K3899">
        <f>IF(D3899="Legitimate Interest (GDPR Art. 6(1)(f))", "Yes / Required (Sheet 3)", "")</f>
        <v/>
      </c>
      <c r="L3899" s="7" t="n"/>
      <c r="M3899" s="7" t="n"/>
      <c r="N3899">
        <f>IF(D3899="", "Gap - No Legal Basis", IF(AND(D3899="Consent (GDPR Art. 6(1)(a))", I3899="Not Captured"), "Gap - Invalid Consent", IF(AND(D3899="Legitimate Interest (GDPR Art. 6(1)(f))", L3899=""), "Gap - Missing LIA", IF(AND(G3899="Yes", H3899=""), "Gap - Missing Art. 9 Basis", IF(OR(I3899="Invalid - Not Freely Given", I3899="Invalid - Not Specific", I3899="Invalid - Not Informed", I3899="Invalid - Ambiguous"), "Gap - Invalid Consent", "Compliant")))))</f>
        <v/>
      </c>
      <c r="O3899" s="7" t="n"/>
    </row>
    <row r="3900">
      <c r="A3900" s="7" t="n"/>
      <c r="B3900" s="7" t="n"/>
      <c r="C3900" s="7" t="n"/>
      <c r="D3900" s="7" t="n"/>
      <c r="E3900" s="7" t="n"/>
      <c r="F3900" s="7" t="n"/>
      <c r="G3900" s="7" t="n"/>
      <c r="H3900" s="7" t="n"/>
      <c r="I3900" s="7" t="n"/>
      <c r="J3900" s="7" t="n"/>
      <c r="K3900">
        <f>IF(D3900="Legitimate Interest (GDPR Art. 6(1)(f))", "Yes / Required (Sheet 3)", "")</f>
        <v/>
      </c>
      <c r="L3900" s="7" t="n"/>
      <c r="M3900" s="7" t="n"/>
      <c r="N3900">
        <f>IF(D3900="", "Gap - No Legal Basis", IF(AND(D3900="Consent (GDPR Art. 6(1)(a))", I3900="Not Captured"), "Gap - Invalid Consent", IF(AND(D3900="Legitimate Interest (GDPR Art. 6(1)(f))", L3900=""), "Gap - Missing LIA", IF(AND(G3900="Yes", H3900=""), "Gap - Missing Art. 9 Basis", IF(OR(I3900="Invalid - Not Freely Given", I3900="Invalid - Not Specific", I3900="Invalid - Not Informed", I3900="Invalid - Ambiguous"), "Gap - Invalid Consent", "Compliant")))))</f>
        <v/>
      </c>
      <c r="O3900" s="7" t="n"/>
    </row>
    <row r="3901">
      <c r="A3901" s="7" t="n"/>
      <c r="B3901" s="7" t="n"/>
      <c r="C3901" s="7" t="n"/>
      <c r="D3901" s="7" t="n"/>
      <c r="E3901" s="7" t="n"/>
      <c r="F3901" s="7" t="n"/>
      <c r="G3901" s="7" t="n"/>
      <c r="H3901" s="7" t="n"/>
      <c r="I3901" s="7" t="n"/>
      <c r="J3901" s="7" t="n"/>
      <c r="K3901">
        <f>IF(D3901="Legitimate Interest (GDPR Art. 6(1)(f))", "Yes / Required (Sheet 3)", "")</f>
        <v/>
      </c>
      <c r="L3901" s="7" t="n"/>
      <c r="M3901" s="7" t="n"/>
      <c r="N3901">
        <f>IF(D3901="", "Gap - No Legal Basis", IF(AND(D3901="Consent (GDPR Art. 6(1)(a))", I3901="Not Captured"), "Gap - Invalid Consent", IF(AND(D3901="Legitimate Interest (GDPR Art. 6(1)(f))", L3901=""), "Gap - Missing LIA", IF(AND(G3901="Yes", H3901=""), "Gap - Missing Art. 9 Basis", IF(OR(I3901="Invalid - Not Freely Given", I3901="Invalid - Not Specific", I3901="Invalid - Not Informed", I3901="Invalid - Ambiguous"), "Gap - Invalid Consent", "Compliant")))))</f>
        <v/>
      </c>
      <c r="O3901" s="7" t="n"/>
    </row>
    <row r="3902">
      <c r="A3902" s="7" t="n"/>
      <c r="B3902" s="7" t="n"/>
      <c r="C3902" s="7" t="n"/>
      <c r="D3902" s="7" t="n"/>
      <c r="E3902" s="7" t="n"/>
      <c r="F3902" s="7" t="n"/>
      <c r="G3902" s="7" t="n"/>
      <c r="H3902" s="7" t="n"/>
      <c r="I3902" s="7" t="n"/>
      <c r="J3902" s="7" t="n"/>
      <c r="K3902">
        <f>IF(D3902="Legitimate Interest (GDPR Art. 6(1)(f))", "Yes / Required (Sheet 3)", "")</f>
        <v/>
      </c>
      <c r="L3902" s="7" t="n"/>
      <c r="M3902" s="7" t="n"/>
      <c r="N3902">
        <f>IF(D3902="", "Gap - No Legal Basis", IF(AND(D3902="Consent (GDPR Art. 6(1)(a))", I3902="Not Captured"), "Gap - Invalid Consent", IF(AND(D3902="Legitimate Interest (GDPR Art. 6(1)(f))", L3902=""), "Gap - Missing LIA", IF(AND(G3902="Yes", H3902=""), "Gap - Missing Art. 9 Basis", IF(OR(I3902="Invalid - Not Freely Given", I3902="Invalid - Not Specific", I3902="Invalid - Not Informed", I3902="Invalid - Ambiguous"), "Gap - Invalid Consent", "Compliant")))))</f>
        <v/>
      </c>
      <c r="O3902" s="7" t="n"/>
    </row>
    <row r="3903">
      <c r="A3903" s="7" t="n"/>
      <c r="B3903" s="7" t="n"/>
      <c r="C3903" s="7" t="n"/>
      <c r="D3903" s="7" t="n"/>
      <c r="E3903" s="7" t="n"/>
      <c r="F3903" s="7" t="n"/>
      <c r="G3903" s="7" t="n"/>
      <c r="H3903" s="7" t="n"/>
      <c r="I3903" s="7" t="n"/>
      <c r="J3903" s="7" t="n"/>
      <c r="K3903">
        <f>IF(D3903="Legitimate Interest (GDPR Art. 6(1)(f))", "Yes / Required (Sheet 3)", "")</f>
        <v/>
      </c>
      <c r="L3903" s="7" t="n"/>
      <c r="M3903" s="7" t="n"/>
      <c r="N3903">
        <f>IF(D3903="", "Gap - No Legal Basis", IF(AND(D3903="Consent (GDPR Art. 6(1)(a))", I3903="Not Captured"), "Gap - Invalid Consent", IF(AND(D3903="Legitimate Interest (GDPR Art. 6(1)(f))", L3903=""), "Gap - Missing LIA", IF(AND(G3903="Yes", H3903=""), "Gap - Missing Art. 9 Basis", IF(OR(I3903="Invalid - Not Freely Given", I3903="Invalid - Not Specific", I3903="Invalid - Not Informed", I3903="Invalid - Ambiguous"), "Gap - Invalid Consent", "Compliant")))))</f>
        <v/>
      </c>
      <c r="O3903" s="7" t="n"/>
    </row>
    <row r="3904">
      <c r="A3904" s="7" t="n"/>
      <c r="B3904" s="7" t="n"/>
      <c r="C3904" s="7" t="n"/>
      <c r="D3904" s="7" t="n"/>
      <c r="E3904" s="7" t="n"/>
      <c r="F3904" s="7" t="n"/>
      <c r="G3904" s="7" t="n"/>
      <c r="H3904" s="7" t="n"/>
      <c r="I3904" s="7" t="n"/>
      <c r="J3904" s="7" t="n"/>
      <c r="K3904">
        <f>IF(D3904="Legitimate Interest (GDPR Art. 6(1)(f))", "Yes / Required (Sheet 3)", "")</f>
        <v/>
      </c>
      <c r="L3904" s="7" t="n"/>
      <c r="M3904" s="7" t="n"/>
      <c r="N3904">
        <f>IF(D3904="", "Gap - No Legal Basis", IF(AND(D3904="Consent (GDPR Art. 6(1)(a))", I3904="Not Captured"), "Gap - Invalid Consent", IF(AND(D3904="Legitimate Interest (GDPR Art. 6(1)(f))", L3904=""), "Gap - Missing LIA", IF(AND(G3904="Yes", H3904=""), "Gap - Missing Art. 9 Basis", IF(OR(I3904="Invalid - Not Freely Given", I3904="Invalid - Not Specific", I3904="Invalid - Not Informed", I3904="Invalid - Ambiguous"), "Gap - Invalid Consent", "Compliant")))))</f>
        <v/>
      </c>
      <c r="O3904" s="7" t="n"/>
    </row>
    <row r="3905">
      <c r="A3905" s="7" t="n"/>
      <c r="B3905" s="7" t="n"/>
      <c r="C3905" s="7" t="n"/>
      <c r="D3905" s="7" t="n"/>
      <c r="E3905" s="7" t="n"/>
      <c r="F3905" s="7" t="n"/>
      <c r="G3905" s="7" t="n"/>
      <c r="H3905" s="7" t="n"/>
      <c r="I3905" s="7" t="n"/>
      <c r="J3905" s="7" t="n"/>
      <c r="K3905">
        <f>IF(D3905="Legitimate Interest (GDPR Art. 6(1)(f))", "Yes / Required (Sheet 3)", "")</f>
        <v/>
      </c>
      <c r="L3905" s="7" t="n"/>
      <c r="M3905" s="7" t="n"/>
      <c r="N3905">
        <f>IF(D3905="", "Gap - No Legal Basis", IF(AND(D3905="Consent (GDPR Art. 6(1)(a))", I3905="Not Captured"), "Gap - Invalid Consent", IF(AND(D3905="Legitimate Interest (GDPR Art. 6(1)(f))", L3905=""), "Gap - Missing LIA", IF(AND(G3905="Yes", H3905=""), "Gap - Missing Art. 9 Basis", IF(OR(I3905="Invalid - Not Freely Given", I3905="Invalid - Not Specific", I3905="Invalid - Not Informed", I3905="Invalid - Ambiguous"), "Gap - Invalid Consent", "Compliant")))))</f>
        <v/>
      </c>
      <c r="O3905" s="7" t="n"/>
    </row>
    <row r="3906">
      <c r="A3906" s="7" t="n"/>
      <c r="B3906" s="7" t="n"/>
      <c r="C3906" s="7" t="n"/>
      <c r="D3906" s="7" t="n"/>
      <c r="E3906" s="7" t="n"/>
      <c r="F3906" s="7" t="n"/>
      <c r="G3906" s="7" t="n"/>
      <c r="H3906" s="7" t="n"/>
      <c r="I3906" s="7" t="n"/>
      <c r="J3906" s="7" t="n"/>
      <c r="K3906">
        <f>IF(D3906="Legitimate Interest (GDPR Art. 6(1)(f))", "Yes / Required (Sheet 3)", "")</f>
        <v/>
      </c>
      <c r="L3906" s="7" t="n"/>
      <c r="M3906" s="7" t="n"/>
      <c r="N3906">
        <f>IF(D3906="", "Gap - No Legal Basis", IF(AND(D3906="Consent (GDPR Art. 6(1)(a))", I3906="Not Captured"), "Gap - Invalid Consent", IF(AND(D3906="Legitimate Interest (GDPR Art. 6(1)(f))", L3906=""), "Gap - Missing LIA", IF(AND(G3906="Yes", H3906=""), "Gap - Missing Art. 9 Basis", IF(OR(I3906="Invalid - Not Freely Given", I3906="Invalid - Not Specific", I3906="Invalid - Not Informed", I3906="Invalid - Ambiguous"), "Gap - Invalid Consent", "Compliant")))))</f>
        <v/>
      </c>
      <c r="O3906" s="7" t="n"/>
    </row>
    <row r="3907">
      <c r="A3907" s="7" t="n"/>
      <c r="B3907" s="7" t="n"/>
      <c r="C3907" s="7" t="n"/>
      <c r="D3907" s="7" t="n"/>
      <c r="E3907" s="7" t="n"/>
      <c r="F3907" s="7" t="n"/>
      <c r="G3907" s="7" t="n"/>
      <c r="H3907" s="7" t="n"/>
      <c r="I3907" s="7" t="n"/>
      <c r="J3907" s="7" t="n"/>
      <c r="K3907">
        <f>IF(D3907="Legitimate Interest (GDPR Art. 6(1)(f))", "Yes / Required (Sheet 3)", "")</f>
        <v/>
      </c>
      <c r="L3907" s="7" t="n"/>
      <c r="M3907" s="7" t="n"/>
      <c r="N3907">
        <f>IF(D3907="", "Gap - No Legal Basis", IF(AND(D3907="Consent (GDPR Art. 6(1)(a))", I3907="Not Captured"), "Gap - Invalid Consent", IF(AND(D3907="Legitimate Interest (GDPR Art. 6(1)(f))", L3907=""), "Gap - Missing LIA", IF(AND(G3907="Yes", H3907=""), "Gap - Missing Art. 9 Basis", IF(OR(I3907="Invalid - Not Freely Given", I3907="Invalid - Not Specific", I3907="Invalid - Not Informed", I3907="Invalid - Ambiguous"), "Gap - Invalid Consent", "Compliant")))))</f>
        <v/>
      </c>
      <c r="O3907" s="7" t="n"/>
    </row>
    <row r="3908">
      <c r="A3908" s="7" t="n"/>
      <c r="B3908" s="7" t="n"/>
      <c r="C3908" s="7" t="n"/>
      <c r="D3908" s="7" t="n"/>
      <c r="E3908" s="7" t="n"/>
      <c r="F3908" s="7" t="n"/>
      <c r="G3908" s="7" t="n"/>
      <c r="H3908" s="7" t="n"/>
      <c r="I3908" s="7" t="n"/>
      <c r="J3908" s="7" t="n"/>
      <c r="K3908">
        <f>IF(D3908="Legitimate Interest (GDPR Art. 6(1)(f))", "Yes / Required (Sheet 3)", "")</f>
        <v/>
      </c>
      <c r="L3908" s="7" t="n"/>
      <c r="M3908" s="7" t="n"/>
      <c r="N3908">
        <f>IF(D3908="", "Gap - No Legal Basis", IF(AND(D3908="Consent (GDPR Art. 6(1)(a))", I3908="Not Captured"), "Gap - Invalid Consent", IF(AND(D3908="Legitimate Interest (GDPR Art. 6(1)(f))", L3908=""), "Gap - Missing LIA", IF(AND(G3908="Yes", H3908=""), "Gap - Missing Art. 9 Basis", IF(OR(I3908="Invalid - Not Freely Given", I3908="Invalid - Not Specific", I3908="Invalid - Not Informed", I3908="Invalid - Ambiguous"), "Gap - Invalid Consent", "Compliant")))))</f>
        <v/>
      </c>
      <c r="O3908" s="7" t="n"/>
    </row>
    <row r="3909">
      <c r="A3909" s="7" t="n"/>
      <c r="B3909" s="7" t="n"/>
      <c r="C3909" s="7" t="n"/>
      <c r="D3909" s="7" t="n"/>
      <c r="E3909" s="7" t="n"/>
      <c r="F3909" s="7" t="n"/>
      <c r="G3909" s="7" t="n"/>
      <c r="H3909" s="7" t="n"/>
      <c r="I3909" s="7" t="n"/>
      <c r="J3909" s="7" t="n"/>
      <c r="K3909">
        <f>IF(D3909="Legitimate Interest (GDPR Art. 6(1)(f))", "Yes / Required (Sheet 3)", "")</f>
        <v/>
      </c>
      <c r="L3909" s="7" t="n"/>
      <c r="M3909" s="7" t="n"/>
      <c r="N3909">
        <f>IF(D3909="", "Gap - No Legal Basis", IF(AND(D3909="Consent (GDPR Art. 6(1)(a))", I3909="Not Captured"), "Gap - Invalid Consent", IF(AND(D3909="Legitimate Interest (GDPR Art. 6(1)(f))", L3909=""), "Gap - Missing LIA", IF(AND(G3909="Yes", H3909=""), "Gap - Missing Art. 9 Basis", IF(OR(I3909="Invalid - Not Freely Given", I3909="Invalid - Not Specific", I3909="Invalid - Not Informed", I3909="Invalid - Ambiguous"), "Gap - Invalid Consent", "Compliant")))))</f>
        <v/>
      </c>
      <c r="O3909" s="7" t="n"/>
    </row>
    <row r="3910">
      <c r="A3910" s="7" t="n"/>
      <c r="B3910" s="7" t="n"/>
      <c r="C3910" s="7" t="n"/>
      <c r="D3910" s="7" t="n"/>
      <c r="E3910" s="7" t="n"/>
      <c r="F3910" s="7" t="n"/>
      <c r="G3910" s="7" t="n"/>
      <c r="H3910" s="7" t="n"/>
      <c r="I3910" s="7" t="n"/>
      <c r="J3910" s="7" t="n"/>
      <c r="K3910">
        <f>IF(D3910="Legitimate Interest (GDPR Art. 6(1)(f))", "Yes / Required (Sheet 3)", "")</f>
        <v/>
      </c>
      <c r="L3910" s="7" t="n"/>
      <c r="M3910" s="7" t="n"/>
      <c r="N3910">
        <f>IF(D3910="", "Gap - No Legal Basis", IF(AND(D3910="Consent (GDPR Art. 6(1)(a))", I3910="Not Captured"), "Gap - Invalid Consent", IF(AND(D3910="Legitimate Interest (GDPR Art. 6(1)(f))", L3910=""), "Gap - Missing LIA", IF(AND(G3910="Yes", H3910=""), "Gap - Missing Art. 9 Basis", IF(OR(I3910="Invalid - Not Freely Given", I3910="Invalid - Not Specific", I3910="Invalid - Not Informed", I3910="Invalid - Ambiguous"), "Gap - Invalid Consent", "Compliant")))))</f>
        <v/>
      </c>
      <c r="O3910" s="7" t="n"/>
    </row>
    <row r="3911">
      <c r="A3911" s="7" t="n"/>
      <c r="B3911" s="7" t="n"/>
      <c r="C3911" s="7" t="n"/>
      <c r="D3911" s="7" t="n"/>
      <c r="E3911" s="7" t="n"/>
      <c r="F3911" s="7" t="n"/>
      <c r="G3911" s="7" t="n"/>
      <c r="H3911" s="7" t="n"/>
      <c r="I3911" s="7" t="n"/>
      <c r="J3911" s="7" t="n"/>
      <c r="K3911">
        <f>IF(D3911="Legitimate Interest (GDPR Art. 6(1)(f))", "Yes / Required (Sheet 3)", "")</f>
        <v/>
      </c>
      <c r="L3911" s="7" t="n"/>
      <c r="M3911" s="7" t="n"/>
      <c r="N3911">
        <f>IF(D3911="", "Gap - No Legal Basis", IF(AND(D3911="Consent (GDPR Art. 6(1)(a))", I3911="Not Captured"), "Gap - Invalid Consent", IF(AND(D3911="Legitimate Interest (GDPR Art. 6(1)(f))", L3911=""), "Gap - Missing LIA", IF(AND(G3911="Yes", H3911=""), "Gap - Missing Art. 9 Basis", IF(OR(I3911="Invalid - Not Freely Given", I3911="Invalid - Not Specific", I3911="Invalid - Not Informed", I3911="Invalid - Ambiguous"), "Gap - Invalid Consent", "Compliant")))))</f>
        <v/>
      </c>
      <c r="O3911" s="7" t="n"/>
    </row>
    <row r="3912">
      <c r="A3912" s="7" t="n"/>
      <c r="B3912" s="7" t="n"/>
      <c r="C3912" s="7" t="n"/>
      <c r="D3912" s="7" t="n"/>
      <c r="E3912" s="7" t="n"/>
      <c r="F3912" s="7" t="n"/>
      <c r="G3912" s="7" t="n"/>
      <c r="H3912" s="7" t="n"/>
      <c r="I3912" s="7" t="n"/>
      <c r="J3912" s="7" t="n"/>
      <c r="K3912">
        <f>IF(D3912="Legitimate Interest (GDPR Art. 6(1)(f))", "Yes / Required (Sheet 3)", "")</f>
        <v/>
      </c>
      <c r="L3912" s="7" t="n"/>
      <c r="M3912" s="7" t="n"/>
      <c r="N3912">
        <f>IF(D3912="", "Gap - No Legal Basis", IF(AND(D3912="Consent (GDPR Art. 6(1)(a))", I3912="Not Captured"), "Gap - Invalid Consent", IF(AND(D3912="Legitimate Interest (GDPR Art. 6(1)(f))", L3912=""), "Gap - Missing LIA", IF(AND(G3912="Yes", H3912=""), "Gap - Missing Art. 9 Basis", IF(OR(I3912="Invalid - Not Freely Given", I3912="Invalid - Not Specific", I3912="Invalid - Not Informed", I3912="Invalid - Ambiguous"), "Gap - Invalid Consent", "Compliant")))))</f>
        <v/>
      </c>
      <c r="O3912" s="7" t="n"/>
    </row>
    <row r="3913">
      <c r="A3913" s="7" t="n"/>
      <c r="B3913" s="7" t="n"/>
      <c r="C3913" s="7" t="n"/>
      <c r="D3913" s="7" t="n"/>
      <c r="E3913" s="7" t="n"/>
      <c r="F3913" s="7" t="n"/>
      <c r="G3913" s="7" t="n"/>
      <c r="H3913" s="7" t="n"/>
      <c r="I3913" s="7" t="n"/>
      <c r="J3913" s="7" t="n"/>
      <c r="K3913">
        <f>IF(D3913="Legitimate Interest (GDPR Art. 6(1)(f))", "Yes / Required (Sheet 3)", "")</f>
        <v/>
      </c>
      <c r="L3913" s="7" t="n"/>
      <c r="M3913" s="7" t="n"/>
      <c r="N3913">
        <f>IF(D3913="", "Gap - No Legal Basis", IF(AND(D3913="Consent (GDPR Art. 6(1)(a))", I3913="Not Captured"), "Gap - Invalid Consent", IF(AND(D3913="Legitimate Interest (GDPR Art. 6(1)(f))", L3913=""), "Gap - Missing LIA", IF(AND(G3913="Yes", H3913=""), "Gap - Missing Art. 9 Basis", IF(OR(I3913="Invalid - Not Freely Given", I3913="Invalid - Not Specific", I3913="Invalid - Not Informed", I3913="Invalid - Ambiguous"), "Gap - Invalid Consent", "Compliant")))))</f>
        <v/>
      </c>
      <c r="O3913" s="7" t="n"/>
    </row>
    <row r="3914">
      <c r="A3914" s="7" t="n"/>
      <c r="B3914" s="7" t="n"/>
      <c r="C3914" s="7" t="n"/>
      <c r="D3914" s="7" t="n"/>
      <c r="E3914" s="7" t="n"/>
      <c r="F3914" s="7" t="n"/>
      <c r="G3914" s="7" t="n"/>
      <c r="H3914" s="7" t="n"/>
      <c r="I3914" s="7" t="n"/>
      <c r="J3914" s="7" t="n"/>
      <c r="K3914">
        <f>IF(D3914="Legitimate Interest (GDPR Art. 6(1)(f))", "Yes / Required (Sheet 3)", "")</f>
        <v/>
      </c>
      <c r="L3914" s="7" t="n"/>
      <c r="M3914" s="7" t="n"/>
      <c r="N3914">
        <f>IF(D3914="", "Gap - No Legal Basis", IF(AND(D3914="Consent (GDPR Art. 6(1)(a))", I3914="Not Captured"), "Gap - Invalid Consent", IF(AND(D3914="Legitimate Interest (GDPR Art. 6(1)(f))", L3914=""), "Gap - Missing LIA", IF(AND(G3914="Yes", H3914=""), "Gap - Missing Art. 9 Basis", IF(OR(I3914="Invalid - Not Freely Given", I3914="Invalid - Not Specific", I3914="Invalid - Not Informed", I3914="Invalid - Ambiguous"), "Gap - Invalid Consent", "Compliant")))))</f>
        <v/>
      </c>
      <c r="O3914" s="7" t="n"/>
    </row>
    <row r="3915">
      <c r="A3915" s="7" t="n"/>
      <c r="B3915" s="7" t="n"/>
      <c r="C3915" s="7" t="n"/>
      <c r="D3915" s="7" t="n"/>
      <c r="E3915" s="7" t="n"/>
      <c r="F3915" s="7" t="n"/>
      <c r="G3915" s="7" t="n"/>
      <c r="H3915" s="7" t="n"/>
      <c r="I3915" s="7" t="n"/>
      <c r="J3915" s="7" t="n"/>
      <c r="K3915">
        <f>IF(D3915="Legitimate Interest (GDPR Art. 6(1)(f))", "Yes / Required (Sheet 3)", "")</f>
        <v/>
      </c>
      <c r="L3915" s="7" t="n"/>
      <c r="M3915" s="7" t="n"/>
      <c r="N3915">
        <f>IF(D3915="", "Gap - No Legal Basis", IF(AND(D3915="Consent (GDPR Art. 6(1)(a))", I3915="Not Captured"), "Gap - Invalid Consent", IF(AND(D3915="Legitimate Interest (GDPR Art. 6(1)(f))", L3915=""), "Gap - Missing LIA", IF(AND(G3915="Yes", H3915=""), "Gap - Missing Art. 9 Basis", IF(OR(I3915="Invalid - Not Freely Given", I3915="Invalid - Not Specific", I3915="Invalid - Not Informed", I3915="Invalid - Ambiguous"), "Gap - Invalid Consent", "Compliant")))))</f>
        <v/>
      </c>
      <c r="O3915" s="7" t="n"/>
    </row>
    <row r="3916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7" t="n"/>
      <c r="J3916" s="7" t="n"/>
      <c r="K3916">
        <f>IF(D3916="Legitimate Interest (GDPR Art. 6(1)(f))", "Yes / Required (Sheet 3)", "")</f>
        <v/>
      </c>
      <c r="L3916" s="7" t="n"/>
      <c r="M3916" s="7" t="n"/>
      <c r="N3916">
        <f>IF(D3916="", "Gap - No Legal Basis", IF(AND(D3916="Consent (GDPR Art. 6(1)(a))", I3916="Not Captured"), "Gap - Invalid Consent", IF(AND(D3916="Legitimate Interest (GDPR Art. 6(1)(f))", L3916=""), "Gap - Missing LIA", IF(AND(G3916="Yes", H3916=""), "Gap - Missing Art. 9 Basis", IF(OR(I3916="Invalid - Not Freely Given", I3916="Invalid - Not Specific", I3916="Invalid - Not Informed", I3916="Invalid - Ambiguous"), "Gap - Invalid Consent", "Compliant")))))</f>
        <v/>
      </c>
      <c r="O3916" s="7" t="n"/>
    </row>
    <row r="3917">
      <c r="A3917" s="7" t="n"/>
      <c r="B3917" s="7" t="n"/>
      <c r="C3917" s="7" t="n"/>
      <c r="D3917" s="7" t="n"/>
      <c r="E3917" s="7" t="n"/>
      <c r="F3917" s="7" t="n"/>
      <c r="G3917" s="7" t="n"/>
      <c r="H3917" s="7" t="n"/>
      <c r="I3917" s="7" t="n"/>
      <c r="J3917" s="7" t="n"/>
      <c r="K3917">
        <f>IF(D3917="Legitimate Interest (GDPR Art. 6(1)(f))", "Yes / Required (Sheet 3)", "")</f>
        <v/>
      </c>
      <c r="L3917" s="7" t="n"/>
      <c r="M3917" s="7" t="n"/>
      <c r="N3917">
        <f>IF(D3917="", "Gap - No Legal Basis", IF(AND(D3917="Consent (GDPR Art. 6(1)(a))", I3917="Not Captured"), "Gap - Invalid Consent", IF(AND(D3917="Legitimate Interest (GDPR Art. 6(1)(f))", L3917=""), "Gap - Missing LIA", IF(AND(G3917="Yes", H3917=""), "Gap - Missing Art. 9 Basis", IF(OR(I3917="Invalid - Not Freely Given", I3917="Invalid - Not Specific", I3917="Invalid - Not Informed", I3917="Invalid - Ambiguous"), "Gap - Invalid Consent", "Compliant")))))</f>
        <v/>
      </c>
      <c r="O3917" s="7" t="n"/>
    </row>
    <row r="3918">
      <c r="A3918" s="7" t="n"/>
      <c r="B3918" s="7" t="n"/>
      <c r="C3918" s="7" t="n"/>
      <c r="D3918" s="7" t="n"/>
      <c r="E3918" s="7" t="n"/>
      <c r="F3918" s="7" t="n"/>
      <c r="G3918" s="7" t="n"/>
      <c r="H3918" s="7" t="n"/>
      <c r="I3918" s="7" t="n"/>
      <c r="J3918" s="7" t="n"/>
      <c r="K3918">
        <f>IF(D3918="Legitimate Interest (GDPR Art. 6(1)(f))", "Yes / Required (Sheet 3)", "")</f>
        <v/>
      </c>
      <c r="L3918" s="7" t="n"/>
      <c r="M3918" s="7" t="n"/>
      <c r="N3918">
        <f>IF(D3918="", "Gap - No Legal Basis", IF(AND(D3918="Consent (GDPR Art. 6(1)(a))", I3918="Not Captured"), "Gap - Invalid Consent", IF(AND(D3918="Legitimate Interest (GDPR Art. 6(1)(f))", L3918=""), "Gap - Missing LIA", IF(AND(G3918="Yes", H3918=""), "Gap - Missing Art. 9 Basis", IF(OR(I3918="Invalid - Not Freely Given", I3918="Invalid - Not Specific", I3918="Invalid - Not Informed", I3918="Invalid - Ambiguous"), "Gap - Invalid Consent", "Compliant")))))</f>
        <v/>
      </c>
      <c r="O3918" s="7" t="n"/>
    </row>
    <row r="3919">
      <c r="A3919" s="7" t="n"/>
      <c r="B3919" s="7" t="n"/>
      <c r="C3919" s="7" t="n"/>
      <c r="D3919" s="7" t="n"/>
      <c r="E3919" s="7" t="n"/>
      <c r="F3919" s="7" t="n"/>
      <c r="G3919" s="7" t="n"/>
      <c r="H3919" s="7" t="n"/>
      <c r="I3919" s="7" t="n"/>
      <c r="J3919" s="7" t="n"/>
      <c r="K3919">
        <f>IF(D3919="Legitimate Interest (GDPR Art. 6(1)(f))", "Yes / Required (Sheet 3)", "")</f>
        <v/>
      </c>
      <c r="L3919" s="7" t="n"/>
      <c r="M3919" s="7" t="n"/>
      <c r="N3919">
        <f>IF(D3919="", "Gap - No Legal Basis", IF(AND(D3919="Consent (GDPR Art. 6(1)(a))", I3919="Not Captured"), "Gap - Invalid Consent", IF(AND(D3919="Legitimate Interest (GDPR Art. 6(1)(f))", L3919=""), "Gap - Missing LIA", IF(AND(G3919="Yes", H3919=""), "Gap - Missing Art. 9 Basis", IF(OR(I3919="Invalid - Not Freely Given", I3919="Invalid - Not Specific", I3919="Invalid - Not Informed", I3919="Invalid - Ambiguous"), "Gap - Invalid Consent", "Compliant")))))</f>
        <v/>
      </c>
      <c r="O3919" s="7" t="n"/>
    </row>
    <row r="3920">
      <c r="A3920" s="7" t="n"/>
      <c r="B3920" s="7" t="n"/>
      <c r="C3920" s="7" t="n"/>
      <c r="D3920" s="7" t="n"/>
      <c r="E3920" s="7" t="n"/>
      <c r="F3920" s="7" t="n"/>
      <c r="G3920" s="7" t="n"/>
      <c r="H3920" s="7" t="n"/>
      <c r="I3920" s="7" t="n"/>
      <c r="J3920" s="7" t="n"/>
      <c r="K3920">
        <f>IF(D3920="Legitimate Interest (GDPR Art. 6(1)(f))", "Yes / Required (Sheet 3)", "")</f>
        <v/>
      </c>
      <c r="L3920" s="7" t="n"/>
      <c r="M3920" s="7" t="n"/>
      <c r="N3920">
        <f>IF(D3920="", "Gap - No Legal Basis", IF(AND(D3920="Consent (GDPR Art. 6(1)(a))", I3920="Not Captured"), "Gap - Invalid Consent", IF(AND(D3920="Legitimate Interest (GDPR Art. 6(1)(f))", L3920=""), "Gap - Missing LIA", IF(AND(G3920="Yes", H3920=""), "Gap - Missing Art. 9 Basis", IF(OR(I3920="Invalid - Not Freely Given", I3920="Invalid - Not Specific", I3920="Invalid - Not Informed", I3920="Invalid - Ambiguous"), "Gap - Invalid Consent", "Compliant")))))</f>
        <v/>
      </c>
      <c r="O3920" s="7" t="n"/>
    </row>
    <row r="3921">
      <c r="A3921" s="7" t="n"/>
      <c r="B3921" s="7" t="n"/>
      <c r="C3921" s="7" t="n"/>
      <c r="D3921" s="7" t="n"/>
      <c r="E3921" s="7" t="n"/>
      <c r="F3921" s="7" t="n"/>
      <c r="G3921" s="7" t="n"/>
      <c r="H3921" s="7" t="n"/>
      <c r="I3921" s="7" t="n"/>
      <c r="J3921" s="7" t="n"/>
      <c r="K3921">
        <f>IF(D3921="Legitimate Interest (GDPR Art. 6(1)(f))", "Yes / Required (Sheet 3)", "")</f>
        <v/>
      </c>
      <c r="L3921" s="7" t="n"/>
      <c r="M3921" s="7" t="n"/>
      <c r="N3921">
        <f>IF(D3921="", "Gap - No Legal Basis", IF(AND(D3921="Consent (GDPR Art. 6(1)(a))", I3921="Not Captured"), "Gap - Invalid Consent", IF(AND(D3921="Legitimate Interest (GDPR Art. 6(1)(f))", L3921=""), "Gap - Missing LIA", IF(AND(G3921="Yes", H3921=""), "Gap - Missing Art. 9 Basis", IF(OR(I3921="Invalid - Not Freely Given", I3921="Invalid - Not Specific", I3921="Invalid - Not Informed", I3921="Invalid - Ambiguous"), "Gap - Invalid Consent", "Compliant")))))</f>
        <v/>
      </c>
      <c r="O3921" s="7" t="n"/>
    </row>
    <row r="3922">
      <c r="A3922" s="7" t="n"/>
      <c r="B3922" s="7" t="n"/>
      <c r="C3922" s="7" t="n"/>
      <c r="D3922" s="7" t="n"/>
      <c r="E3922" s="7" t="n"/>
      <c r="F3922" s="7" t="n"/>
      <c r="G3922" s="7" t="n"/>
      <c r="H3922" s="7" t="n"/>
      <c r="I3922" s="7" t="n"/>
      <c r="J3922" s="7" t="n"/>
      <c r="K3922">
        <f>IF(D3922="Legitimate Interest (GDPR Art. 6(1)(f))", "Yes / Required (Sheet 3)", "")</f>
        <v/>
      </c>
      <c r="L3922" s="7" t="n"/>
      <c r="M3922" s="7" t="n"/>
      <c r="N3922">
        <f>IF(D3922="", "Gap - No Legal Basis", IF(AND(D3922="Consent (GDPR Art. 6(1)(a))", I3922="Not Captured"), "Gap - Invalid Consent", IF(AND(D3922="Legitimate Interest (GDPR Art. 6(1)(f))", L3922=""), "Gap - Missing LIA", IF(AND(G3922="Yes", H3922=""), "Gap - Missing Art. 9 Basis", IF(OR(I3922="Invalid - Not Freely Given", I3922="Invalid - Not Specific", I3922="Invalid - Not Informed", I3922="Invalid - Ambiguous"), "Gap - Invalid Consent", "Compliant")))))</f>
        <v/>
      </c>
      <c r="O3922" s="7" t="n"/>
    </row>
    <row r="3923">
      <c r="A3923" s="7" t="n"/>
      <c r="B3923" s="7" t="n"/>
      <c r="C3923" s="7" t="n"/>
      <c r="D3923" s="7" t="n"/>
      <c r="E3923" s="7" t="n"/>
      <c r="F3923" s="7" t="n"/>
      <c r="G3923" s="7" t="n"/>
      <c r="H3923" s="7" t="n"/>
      <c r="I3923" s="7" t="n"/>
      <c r="J3923" s="7" t="n"/>
      <c r="K3923">
        <f>IF(D3923="Legitimate Interest (GDPR Art. 6(1)(f))", "Yes / Required (Sheet 3)", "")</f>
        <v/>
      </c>
      <c r="L3923" s="7" t="n"/>
      <c r="M3923" s="7" t="n"/>
      <c r="N3923">
        <f>IF(D3923="", "Gap - No Legal Basis", IF(AND(D3923="Consent (GDPR Art. 6(1)(a))", I3923="Not Captured"), "Gap - Invalid Consent", IF(AND(D3923="Legitimate Interest (GDPR Art. 6(1)(f))", L3923=""), "Gap - Missing LIA", IF(AND(G3923="Yes", H3923=""), "Gap - Missing Art. 9 Basis", IF(OR(I3923="Invalid - Not Freely Given", I3923="Invalid - Not Specific", I3923="Invalid - Not Informed", I3923="Invalid - Ambiguous"), "Gap - Invalid Consent", "Compliant")))))</f>
        <v/>
      </c>
      <c r="O3923" s="7" t="n"/>
    </row>
    <row r="3924">
      <c r="A3924" s="7" t="n"/>
      <c r="B3924" s="7" t="n"/>
      <c r="C3924" s="7" t="n"/>
      <c r="D3924" s="7" t="n"/>
      <c r="E3924" s="7" t="n"/>
      <c r="F3924" s="7" t="n"/>
      <c r="G3924" s="7" t="n"/>
      <c r="H3924" s="7" t="n"/>
      <c r="I3924" s="7" t="n"/>
      <c r="J3924" s="7" t="n"/>
      <c r="K3924">
        <f>IF(D3924="Legitimate Interest (GDPR Art. 6(1)(f))", "Yes / Required (Sheet 3)", "")</f>
        <v/>
      </c>
      <c r="L3924" s="7" t="n"/>
      <c r="M3924" s="7" t="n"/>
      <c r="N3924">
        <f>IF(D3924="", "Gap - No Legal Basis", IF(AND(D3924="Consent (GDPR Art. 6(1)(a))", I3924="Not Captured"), "Gap - Invalid Consent", IF(AND(D3924="Legitimate Interest (GDPR Art. 6(1)(f))", L3924=""), "Gap - Missing LIA", IF(AND(G3924="Yes", H3924=""), "Gap - Missing Art. 9 Basis", IF(OR(I3924="Invalid - Not Freely Given", I3924="Invalid - Not Specific", I3924="Invalid - Not Informed", I3924="Invalid - Ambiguous"), "Gap - Invalid Consent", "Compliant")))))</f>
        <v/>
      </c>
      <c r="O3924" s="7" t="n"/>
    </row>
    <row r="3925">
      <c r="A3925" s="7" t="n"/>
      <c r="B3925" s="7" t="n"/>
      <c r="C3925" s="7" t="n"/>
      <c r="D3925" s="7" t="n"/>
      <c r="E3925" s="7" t="n"/>
      <c r="F3925" s="7" t="n"/>
      <c r="G3925" s="7" t="n"/>
      <c r="H3925" s="7" t="n"/>
      <c r="I3925" s="7" t="n"/>
      <c r="J3925" s="7" t="n"/>
      <c r="K3925">
        <f>IF(D3925="Legitimate Interest (GDPR Art. 6(1)(f))", "Yes / Required (Sheet 3)", "")</f>
        <v/>
      </c>
      <c r="L3925" s="7" t="n"/>
      <c r="M3925" s="7" t="n"/>
      <c r="N3925">
        <f>IF(D3925="", "Gap - No Legal Basis", IF(AND(D3925="Consent (GDPR Art. 6(1)(a))", I3925="Not Captured"), "Gap - Invalid Consent", IF(AND(D3925="Legitimate Interest (GDPR Art. 6(1)(f))", L3925=""), "Gap - Missing LIA", IF(AND(G3925="Yes", H3925=""), "Gap - Missing Art. 9 Basis", IF(OR(I3925="Invalid - Not Freely Given", I3925="Invalid - Not Specific", I3925="Invalid - Not Informed", I3925="Invalid - Ambiguous"), "Gap - Invalid Consent", "Compliant")))))</f>
        <v/>
      </c>
      <c r="O3925" s="7" t="n"/>
    </row>
    <row r="3926">
      <c r="A3926" s="7" t="n"/>
      <c r="B3926" s="7" t="n"/>
      <c r="C3926" s="7" t="n"/>
      <c r="D3926" s="7" t="n"/>
      <c r="E3926" s="7" t="n"/>
      <c r="F3926" s="7" t="n"/>
      <c r="G3926" s="7" t="n"/>
      <c r="H3926" s="7" t="n"/>
      <c r="I3926" s="7" t="n"/>
      <c r="J3926" s="7" t="n"/>
      <c r="K3926">
        <f>IF(D3926="Legitimate Interest (GDPR Art. 6(1)(f))", "Yes / Required (Sheet 3)", "")</f>
        <v/>
      </c>
      <c r="L3926" s="7" t="n"/>
      <c r="M3926" s="7" t="n"/>
      <c r="N3926">
        <f>IF(D3926="", "Gap - No Legal Basis", IF(AND(D3926="Consent (GDPR Art. 6(1)(a))", I3926="Not Captured"), "Gap - Invalid Consent", IF(AND(D3926="Legitimate Interest (GDPR Art. 6(1)(f))", L3926=""), "Gap - Missing LIA", IF(AND(G3926="Yes", H3926=""), "Gap - Missing Art. 9 Basis", IF(OR(I3926="Invalid - Not Freely Given", I3926="Invalid - Not Specific", I3926="Invalid - Not Informed", I3926="Invalid - Ambiguous"), "Gap - Invalid Consent", "Compliant")))))</f>
        <v/>
      </c>
      <c r="O3926" s="7" t="n"/>
    </row>
    <row r="3927">
      <c r="A3927" s="7" t="n"/>
      <c r="B3927" s="7" t="n"/>
      <c r="C3927" s="7" t="n"/>
      <c r="D3927" s="7" t="n"/>
      <c r="E3927" s="7" t="n"/>
      <c r="F3927" s="7" t="n"/>
      <c r="G3927" s="7" t="n"/>
      <c r="H3927" s="7" t="n"/>
      <c r="I3927" s="7" t="n"/>
      <c r="J3927" s="7" t="n"/>
      <c r="K3927">
        <f>IF(D3927="Legitimate Interest (GDPR Art. 6(1)(f))", "Yes / Required (Sheet 3)", "")</f>
        <v/>
      </c>
      <c r="L3927" s="7" t="n"/>
      <c r="M3927" s="7" t="n"/>
      <c r="N3927">
        <f>IF(D3927="", "Gap - No Legal Basis", IF(AND(D3927="Consent (GDPR Art. 6(1)(a))", I3927="Not Captured"), "Gap - Invalid Consent", IF(AND(D3927="Legitimate Interest (GDPR Art. 6(1)(f))", L3927=""), "Gap - Missing LIA", IF(AND(G3927="Yes", H3927=""), "Gap - Missing Art. 9 Basis", IF(OR(I3927="Invalid - Not Freely Given", I3927="Invalid - Not Specific", I3927="Invalid - Not Informed", I3927="Invalid - Ambiguous"), "Gap - Invalid Consent", "Compliant")))))</f>
        <v/>
      </c>
      <c r="O3927" s="7" t="n"/>
    </row>
    <row r="3928">
      <c r="A3928" s="7" t="n"/>
      <c r="B3928" s="7" t="n"/>
      <c r="C3928" s="7" t="n"/>
      <c r="D3928" s="7" t="n"/>
      <c r="E3928" s="7" t="n"/>
      <c r="F3928" s="7" t="n"/>
      <c r="G3928" s="7" t="n"/>
      <c r="H3928" s="7" t="n"/>
      <c r="I3928" s="7" t="n"/>
      <c r="J3928" s="7" t="n"/>
      <c r="K3928">
        <f>IF(D3928="Legitimate Interest (GDPR Art. 6(1)(f))", "Yes / Required (Sheet 3)", "")</f>
        <v/>
      </c>
      <c r="L3928" s="7" t="n"/>
      <c r="M3928" s="7" t="n"/>
      <c r="N3928">
        <f>IF(D3928="", "Gap - No Legal Basis", IF(AND(D3928="Consent (GDPR Art. 6(1)(a))", I3928="Not Captured"), "Gap - Invalid Consent", IF(AND(D3928="Legitimate Interest (GDPR Art. 6(1)(f))", L3928=""), "Gap - Missing LIA", IF(AND(G3928="Yes", H3928=""), "Gap - Missing Art. 9 Basis", IF(OR(I3928="Invalid - Not Freely Given", I3928="Invalid - Not Specific", I3928="Invalid - Not Informed", I3928="Invalid - Ambiguous"), "Gap - Invalid Consent", "Compliant")))))</f>
        <v/>
      </c>
      <c r="O3928" s="7" t="n"/>
    </row>
    <row r="3929">
      <c r="A3929" s="7" t="n"/>
      <c r="B3929" s="7" t="n"/>
      <c r="C3929" s="7" t="n"/>
      <c r="D3929" s="7" t="n"/>
      <c r="E3929" s="7" t="n"/>
      <c r="F3929" s="7" t="n"/>
      <c r="G3929" s="7" t="n"/>
      <c r="H3929" s="7" t="n"/>
      <c r="I3929" s="7" t="n"/>
      <c r="J3929" s="7" t="n"/>
      <c r="K3929">
        <f>IF(D3929="Legitimate Interest (GDPR Art. 6(1)(f))", "Yes / Required (Sheet 3)", "")</f>
        <v/>
      </c>
      <c r="L3929" s="7" t="n"/>
      <c r="M3929" s="7" t="n"/>
      <c r="N3929">
        <f>IF(D3929="", "Gap - No Legal Basis", IF(AND(D3929="Consent (GDPR Art. 6(1)(a))", I3929="Not Captured"), "Gap - Invalid Consent", IF(AND(D3929="Legitimate Interest (GDPR Art. 6(1)(f))", L3929=""), "Gap - Missing LIA", IF(AND(G3929="Yes", H3929=""), "Gap - Missing Art. 9 Basis", IF(OR(I3929="Invalid - Not Freely Given", I3929="Invalid - Not Specific", I3929="Invalid - Not Informed", I3929="Invalid - Ambiguous"), "Gap - Invalid Consent", "Compliant")))))</f>
        <v/>
      </c>
      <c r="O3929" s="7" t="n"/>
    </row>
    <row r="3930">
      <c r="A3930" s="7" t="n"/>
      <c r="B3930" s="7" t="n"/>
      <c r="C3930" s="7" t="n"/>
      <c r="D3930" s="7" t="n"/>
      <c r="E3930" s="7" t="n"/>
      <c r="F3930" s="7" t="n"/>
      <c r="G3930" s="7" t="n"/>
      <c r="H3930" s="7" t="n"/>
      <c r="I3930" s="7" t="n"/>
      <c r="J3930" s="7" t="n"/>
      <c r="K3930">
        <f>IF(D3930="Legitimate Interest (GDPR Art. 6(1)(f))", "Yes / Required (Sheet 3)", "")</f>
        <v/>
      </c>
      <c r="L3930" s="7" t="n"/>
      <c r="M3930" s="7" t="n"/>
      <c r="N3930">
        <f>IF(D3930="", "Gap - No Legal Basis", IF(AND(D3930="Consent (GDPR Art. 6(1)(a))", I3930="Not Captured"), "Gap - Invalid Consent", IF(AND(D3930="Legitimate Interest (GDPR Art. 6(1)(f))", L3930=""), "Gap - Missing LIA", IF(AND(G3930="Yes", H3930=""), "Gap - Missing Art. 9 Basis", IF(OR(I3930="Invalid - Not Freely Given", I3930="Invalid - Not Specific", I3930="Invalid - Not Informed", I3930="Invalid - Ambiguous"), "Gap - Invalid Consent", "Compliant")))))</f>
        <v/>
      </c>
      <c r="O3930" s="7" t="n"/>
    </row>
    <row r="3931">
      <c r="A3931" s="7" t="n"/>
      <c r="B3931" s="7" t="n"/>
      <c r="C3931" s="7" t="n"/>
      <c r="D3931" s="7" t="n"/>
      <c r="E3931" s="7" t="n"/>
      <c r="F3931" s="7" t="n"/>
      <c r="G3931" s="7" t="n"/>
      <c r="H3931" s="7" t="n"/>
      <c r="I3931" s="7" t="n"/>
      <c r="J3931" s="7" t="n"/>
      <c r="K3931">
        <f>IF(D3931="Legitimate Interest (GDPR Art. 6(1)(f))", "Yes / Required (Sheet 3)", "")</f>
        <v/>
      </c>
      <c r="L3931" s="7" t="n"/>
      <c r="M3931" s="7" t="n"/>
      <c r="N3931">
        <f>IF(D3931="", "Gap - No Legal Basis", IF(AND(D3931="Consent (GDPR Art. 6(1)(a))", I3931="Not Captured"), "Gap - Invalid Consent", IF(AND(D3931="Legitimate Interest (GDPR Art. 6(1)(f))", L3931=""), "Gap - Missing LIA", IF(AND(G3931="Yes", H3931=""), "Gap - Missing Art. 9 Basis", IF(OR(I3931="Invalid - Not Freely Given", I3931="Invalid - Not Specific", I3931="Invalid - Not Informed", I3931="Invalid - Ambiguous"), "Gap - Invalid Consent", "Compliant")))))</f>
        <v/>
      </c>
      <c r="O3931" s="7" t="n"/>
    </row>
    <row r="3932">
      <c r="A3932" s="7" t="n"/>
      <c r="B3932" s="7" t="n"/>
      <c r="C3932" s="7" t="n"/>
      <c r="D3932" s="7" t="n"/>
      <c r="E3932" s="7" t="n"/>
      <c r="F3932" s="7" t="n"/>
      <c r="G3932" s="7" t="n"/>
      <c r="H3932" s="7" t="n"/>
      <c r="I3932" s="7" t="n"/>
      <c r="J3932" s="7" t="n"/>
      <c r="K3932">
        <f>IF(D3932="Legitimate Interest (GDPR Art. 6(1)(f))", "Yes / Required (Sheet 3)", "")</f>
        <v/>
      </c>
      <c r="L3932" s="7" t="n"/>
      <c r="M3932" s="7" t="n"/>
      <c r="N3932">
        <f>IF(D3932="", "Gap - No Legal Basis", IF(AND(D3932="Consent (GDPR Art. 6(1)(a))", I3932="Not Captured"), "Gap - Invalid Consent", IF(AND(D3932="Legitimate Interest (GDPR Art. 6(1)(f))", L3932=""), "Gap - Missing LIA", IF(AND(G3932="Yes", H3932=""), "Gap - Missing Art. 9 Basis", IF(OR(I3932="Invalid - Not Freely Given", I3932="Invalid - Not Specific", I3932="Invalid - Not Informed", I3932="Invalid - Ambiguous"), "Gap - Invalid Consent", "Compliant")))))</f>
        <v/>
      </c>
      <c r="O3932" s="7" t="n"/>
    </row>
    <row r="3933">
      <c r="A3933" s="7" t="n"/>
      <c r="B3933" s="7" t="n"/>
      <c r="C3933" s="7" t="n"/>
      <c r="D3933" s="7" t="n"/>
      <c r="E3933" s="7" t="n"/>
      <c r="F3933" s="7" t="n"/>
      <c r="G3933" s="7" t="n"/>
      <c r="H3933" s="7" t="n"/>
      <c r="I3933" s="7" t="n"/>
      <c r="J3933" s="7" t="n"/>
      <c r="K3933">
        <f>IF(D3933="Legitimate Interest (GDPR Art. 6(1)(f))", "Yes / Required (Sheet 3)", "")</f>
        <v/>
      </c>
      <c r="L3933" s="7" t="n"/>
      <c r="M3933" s="7" t="n"/>
      <c r="N3933">
        <f>IF(D3933="", "Gap - No Legal Basis", IF(AND(D3933="Consent (GDPR Art. 6(1)(a))", I3933="Not Captured"), "Gap - Invalid Consent", IF(AND(D3933="Legitimate Interest (GDPR Art. 6(1)(f))", L3933=""), "Gap - Missing LIA", IF(AND(G3933="Yes", H3933=""), "Gap - Missing Art. 9 Basis", IF(OR(I3933="Invalid - Not Freely Given", I3933="Invalid - Not Specific", I3933="Invalid - Not Informed", I3933="Invalid - Ambiguous"), "Gap - Invalid Consent", "Compliant")))))</f>
        <v/>
      </c>
      <c r="O3933" s="7" t="n"/>
    </row>
    <row r="3934">
      <c r="A3934" s="7" t="n"/>
      <c r="B3934" s="7" t="n"/>
      <c r="C3934" s="7" t="n"/>
      <c r="D3934" s="7" t="n"/>
      <c r="E3934" s="7" t="n"/>
      <c r="F3934" s="7" t="n"/>
      <c r="G3934" s="7" t="n"/>
      <c r="H3934" s="7" t="n"/>
      <c r="I3934" s="7" t="n"/>
      <c r="J3934" s="7" t="n"/>
      <c r="K3934">
        <f>IF(D3934="Legitimate Interest (GDPR Art. 6(1)(f))", "Yes / Required (Sheet 3)", "")</f>
        <v/>
      </c>
      <c r="L3934" s="7" t="n"/>
      <c r="M3934" s="7" t="n"/>
      <c r="N3934">
        <f>IF(D3934="", "Gap - No Legal Basis", IF(AND(D3934="Consent (GDPR Art. 6(1)(a))", I3934="Not Captured"), "Gap - Invalid Consent", IF(AND(D3934="Legitimate Interest (GDPR Art. 6(1)(f))", L3934=""), "Gap - Missing LIA", IF(AND(G3934="Yes", H3934=""), "Gap - Missing Art. 9 Basis", IF(OR(I3934="Invalid - Not Freely Given", I3934="Invalid - Not Specific", I3934="Invalid - Not Informed", I3934="Invalid - Ambiguous"), "Gap - Invalid Consent", "Compliant")))))</f>
        <v/>
      </c>
      <c r="O3934" s="7" t="n"/>
    </row>
    <row r="3935">
      <c r="A3935" s="7" t="n"/>
      <c r="B3935" s="7" t="n"/>
      <c r="C3935" s="7" t="n"/>
      <c r="D3935" s="7" t="n"/>
      <c r="E3935" s="7" t="n"/>
      <c r="F3935" s="7" t="n"/>
      <c r="G3935" s="7" t="n"/>
      <c r="H3935" s="7" t="n"/>
      <c r="I3935" s="7" t="n"/>
      <c r="J3935" s="7" t="n"/>
      <c r="K3935">
        <f>IF(D3935="Legitimate Interest (GDPR Art. 6(1)(f))", "Yes / Required (Sheet 3)", "")</f>
        <v/>
      </c>
      <c r="L3935" s="7" t="n"/>
      <c r="M3935" s="7" t="n"/>
      <c r="N3935">
        <f>IF(D3935="", "Gap - No Legal Basis", IF(AND(D3935="Consent (GDPR Art. 6(1)(a))", I3935="Not Captured"), "Gap - Invalid Consent", IF(AND(D3935="Legitimate Interest (GDPR Art. 6(1)(f))", L3935=""), "Gap - Missing LIA", IF(AND(G3935="Yes", H3935=""), "Gap - Missing Art. 9 Basis", IF(OR(I3935="Invalid - Not Freely Given", I3935="Invalid - Not Specific", I3935="Invalid - Not Informed", I3935="Invalid - Ambiguous"), "Gap - Invalid Consent", "Compliant")))))</f>
        <v/>
      </c>
      <c r="O3935" s="7" t="n"/>
    </row>
    <row r="3936">
      <c r="A3936" s="7" t="n"/>
      <c r="B3936" s="7" t="n"/>
      <c r="C3936" s="7" t="n"/>
      <c r="D3936" s="7" t="n"/>
      <c r="E3936" s="7" t="n"/>
      <c r="F3936" s="7" t="n"/>
      <c r="G3936" s="7" t="n"/>
      <c r="H3936" s="7" t="n"/>
      <c r="I3936" s="7" t="n"/>
      <c r="J3936" s="7" t="n"/>
      <c r="K3936">
        <f>IF(D3936="Legitimate Interest (GDPR Art. 6(1)(f))", "Yes / Required (Sheet 3)", "")</f>
        <v/>
      </c>
      <c r="L3936" s="7" t="n"/>
      <c r="M3936" s="7" t="n"/>
      <c r="N3936">
        <f>IF(D3936="", "Gap - No Legal Basis", IF(AND(D3936="Consent (GDPR Art. 6(1)(a))", I3936="Not Captured"), "Gap - Invalid Consent", IF(AND(D3936="Legitimate Interest (GDPR Art. 6(1)(f))", L3936=""), "Gap - Missing LIA", IF(AND(G3936="Yes", H3936=""), "Gap - Missing Art. 9 Basis", IF(OR(I3936="Invalid - Not Freely Given", I3936="Invalid - Not Specific", I3936="Invalid - Not Informed", I3936="Invalid - Ambiguous"), "Gap - Invalid Consent", "Compliant")))))</f>
        <v/>
      </c>
      <c r="O3936" s="7" t="n"/>
    </row>
    <row r="3937">
      <c r="A3937" s="7" t="n"/>
      <c r="B3937" s="7" t="n"/>
      <c r="C3937" s="7" t="n"/>
      <c r="D3937" s="7" t="n"/>
      <c r="E3937" s="7" t="n"/>
      <c r="F3937" s="7" t="n"/>
      <c r="G3937" s="7" t="n"/>
      <c r="H3937" s="7" t="n"/>
      <c r="I3937" s="7" t="n"/>
      <c r="J3937" s="7" t="n"/>
      <c r="K3937">
        <f>IF(D3937="Legitimate Interest (GDPR Art. 6(1)(f))", "Yes / Required (Sheet 3)", "")</f>
        <v/>
      </c>
      <c r="L3937" s="7" t="n"/>
      <c r="M3937" s="7" t="n"/>
      <c r="N3937">
        <f>IF(D3937="", "Gap - No Legal Basis", IF(AND(D3937="Consent (GDPR Art. 6(1)(a))", I3937="Not Captured"), "Gap - Invalid Consent", IF(AND(D3937="Legitimate Interest (GDPR Art. 6(1)(f))", L3937=""), "Gap - Missing LIA", IF(AND(G3937="Yes", H3937=""), "Gap - Missing Art. 9 Basis", IF(OR(I3937="Invalid - Not Freely Given", I3937="Invalid - Not Specific", I3937="Invalid - Not Informed", I3937="Invalid - Ambiguous"), "Gap - Invalid Consent", "Compliant")))))</f>
        <v/>
      </c>
      <c r="O3937" s="7" t="n"/>
    </row>
    <row r="3938">
      <c r="A3938" s="7" t="n"/>
      <c r="B3938" s="7" t="n"/>
      <c r="C3938" s="7" t="n"/>
      <c r="D3938" s="7" t="n"/>
      <c r="E3938" s="7" t="n"/>
      <c r="F3938" s="7" t="n"/>
      <c r="G3938" s="7" t="n"/>
      <c r="H3938" s="7" t="n"/>
      <c r="I3938" s="7" t="n"/>
      <c r="J3938" s="7" t="n"/>
      <c r="K3938">
        <f>IF(D3938="Legitimate Interest (GDPR Art. 6(1)(f))", "Yes / Required (Sheet 3)", "")</f>
        <v/>
      </c>
      <c r="L3938" s="7" t="n"/>
      <c r="M3938" s="7" t="n"/>
      <c r="N3938">
        <f>IF(D3938="", "Gap - No Legal Basis", IF(AND(D3938="Consent (GDPR Art. 6(1)(a))", I3938="Not Captured"), "Gap - Invalid Consent", IF(AND(D3938="Legitimate Interest (GDPR Art. 6(1)(f))", L3938=""), "Gap - Missing LIA", IF(AND(G3938="Yes", H3938=""), "Gap - Missing Art. 9 Basis", IF(OR(I3938="Invalid - Not Freely Given", I3938="Invalid - Not Specific", I3938="Invalid - Not Informed", I3938="Invalid - Ambiguous"), "Gap - Invalid Consent", "Compliant")))))</f>
        <v/>
      </c>
      <c r="O3938" s="7" t="n"/>
    </row>
    <row r="3939">
      <c r="A3939" s="7" t="n"/>
      <c r="B3939" s="7" t="n"/>
      <c r="C3939" s="7" t="n"/>
      <c r="D3939" s="7" t="n"/>
      <c r="E3939" s="7" t="n"/>
      <c r="F3939" s="7" t="n"/>
      <c r="G3939" s="7" t="n"/>
      <c r="H3939" s="7" t="n"/>
      <c r="I3939" s="7" t="n"/>
      <c r="J3939" s="7" t="n"/>
      <c r="K3939">
        <f>IF(D3939="Legitimate Interest (GDPR Art. 6(1)(f))", "Yes / Required (Sheet 3)", "")</f>
        <v/>
      </c>
      <c r="L3939" s="7" t="n"/>
      <c r="M3939" s="7" t="n"/>
      <c r="N3939">
        <f>IF(D3939="", "Gap - No Legal Basis", IF(AND(D3939="Consent (GDPR Art. 6(1)(a))", I3939="Not Captured"), "Gap - Invalid Consent", IF(AND(D3939="Legitimate Interest (GDPR Art. 6(1)(f))", L3939=""), "Gap - Missing LIA", IF(AND(G3939="Yes", H3939=""), "Gap - Missing Art. 9 Basis", IF(OR(I3939="Invalid - Not Freely Given", I3939="Invalid - Not Specific", I3939="Invalid - Not Informed", I3939="Invalid - Ambiguous"), "Gap - Invalid Consent", "Compliant")))))</f>
        <v/>
      </c>
      <c r="O3939" s="7" t="n"/>
    </row>
    <row r="3940">
      <c r="A3940" s="7" t="n"/>
      <c r="B3940" s="7" t="n"/>
      <c r="C3940" s="7" t="n"/>
      <c r="D3940" s="7" t="n"/>
      <c r="E3940" s="7" t="n"/>
      <c r="F3940" s="7" t="n"/>
      <c r="G3940" s="7" t="n"/>
      <c r="H3940" s="7" t="n"/>
      <c r="I3940" s="7" t="n"/>
      <c r="J3940" s="7" t="n"/>
      <c r="K3940">
        <f>IF(D3940="Legitimate Interest (GDPR Art. 6(1)(f))", "Yes / Required (Sheet 3)", "")</f>
        <v/>
      </c>
      <c r="L3940" s="7" t="n"/>
      <c r="M3940" s="7" t="n"/>
      <c r="N3940">
        <f>IF(D3940="", "Gap - No Legal Basis", IF(AND(D3940="Consent (GDPR Art. 6(1)(a))", I3940="Not Captured"), "Gap - Invalid Consent", IF(AND(D3940="Legitimate Interest (GDPR Art. 6(1)(f))", L3940=""), "Gap - Missing LIA", IF(AND(G3940="Yes", H3940=""), "Gap - Missing Art. 9 Basis", IF(OR(I3940="Invalid - Not Freely Given", I3940="Invalid - Not Specific", I3940="Invalid - Not Informed", I3940="Invalid - Ambiguous"), "Gap - Invalid Consent", "Compliant")))))</f>
        <v/>
      </c>
      <c r="O3940" s="7" t="n"/>
    </row>
    <row r="3941">
      <c r="A3941" s="7" t="n"/>
      <c r="B3941" s="7" t="n"/>
      <c r="C3941" s="7" t="n"/>
      <c r="D3941" s="7" t="n"/>
      <c r="E3941" s="7" t="n"/>
      <c r="F3941" s="7" t="n"/>
      <c r="G3941" s="7" t="n"/>
      <c r="H3941" s="7" t="n"/>
      <c r="I3941" s="7" t="n"/>
      <c r="J3941" s="7" t="n"/>
      <c r="K3941">
        <f>IF(D3941="Legitimate Interest (GDPR Art. 6(1)(f))", "Yes / Required (Sheet 3)", "")</f>
        <v/>
      </c>
      <c r="L3941" s="7" t="n"/>
      <c r="M3941" s="7" t="n"/>
      <c r="N3941">
        <f>IF(D3941="", "Gap - No Legal Basis", IF(AND(D3941="Consent (GDPR Art. 6(1)(a))", I3941="Not Captured"), "Gap - Invalid Consent", IF(AND(D3941="Legitimate Interest (GDPR Art. 6(1)(f))", L3941=""), "Gap - Missing LIA", IF(AND(G3941="Yes", H3941=""), "Gap - Missing Art. 9 Basis", IF(OR(I3941="Invalid - Not Freely Given", I3941="Invalid - Not Specific", I3941="Invalid - Not Informed", I3941="Invalid - Ambiguous"), "Gap - Invalid Consent", "Compliant")))))</f>
        <v/>
      </c>
      <c r="O3941" s="7" t="n"/>
    </row>
    <row r="3942">
      <c r="A3942" s="7" t="n"/>
      <c r="B3942" s="7" t="n"/>
      <c r="C3942" s="7" t="n"/>
      <c r="D3942" s="7" t="n"/>
      <c r="E3942" s="7" t="n"/>
      <c r="F3942" s="7" t="n"/>
      <c r="G3942" s="7" t="n"/>
      <c r="H3942" s="7" t="n"/>
      <c r="I3942" s="7" t="n"/>
      <c r="J3942" s="7" t="n"/>
      <c r="K3942">
        <f>IF(D3942="Legitimate Interest (GDPR Art. 6(1)(f))", "Yes / Required (Sheet 3)", "")</f>
        <v/>
      </c>
      <c r="L3942" s="7" t="n"/>
      <c r="M3942" s="7" t="n"/>
      <c r="N3942">
        <f>IF(D3942="", "Gap - No Legal Basis", IF(AND(D3942="Consent (GDPR Art. 6(1)(a))", I3942="Not Captured"), "Gap - Invalid Consent", IF(AND(D3942="Legitimate Interest (GDPR Art. 6(1)(f))", L3942=""), "Gap - Missing LIA", IF(AND(G3942="Yes", H3942=""), "Gap - Missing Art. 9 Basis", IF(OR(I3942="Invalid - Not Freely Given", I3942="Invalid - Not Specific", I3942="Invalid - Not Informed", I3942="Invalid - Ambiguous"), "Gap - Invalid Consent", "Compliant")))))</f>
        <v/>
      </c>
      <c r="O3942" s="7" t="n"/>
    </row>
    <row r="3943">
      <c r="A3943" s="7" t="n"/>
      <c r="B3943" s="7" t="n"/>
      <c r="C3943" s="7" t="n"/>
      <c r="D3943" s="7" t="n"/>
      <c r="E3943" s="7" t="n"/>
      <c r="F3943" s="7" t="n"/>
      <c r="G3943" s="7" t="n"/>
      <c r="H3943" s="7" t="n"/>
      <c r="I3943" s="7" t="n"/>
      <c r="J3943" s="7" t="n"/>
      <c r="K3943">
        <f>IF(D3943="Legitimate Interest (GDPR Art. 6(1)(f))", "Yes / Required (Sheet 3)", "")</f>
        <v/>
      </c>
      <c r="L3943" s="7" t="n"/>
      <c r="M3943" s="7" t="n"/>
      <c r="N3943">
        <f>IF(D3943="", "Gap - No Legal Basis", IF(AND(D3943="Consent (GDPR Art. 6(1)(a))", I3943="Not Captured"), "Gap - Invalid Consent", IF(AND(D3943="Legitimate Interest (GDPR Art. 6(1)(f))", L3943=""), "Gap - Missing LIA", IF(AND(G3943="Yes", H3943=""), "Gap - Missing Art. 9 Basis", IF(OR(I3943="Invalid - Not Freely Given", I3943="Invalid - Not Specific", I3943="Invalid - Not Informed", I3943="Invalid - Ambiguous"), "Gap - Invalid Consent", "Compliant")))))</f>
        <v/>
      </c>
      <c r="O3943" s="7" t="n"/>
    </row>
    <row r="3944">
      <c r="A3944" s="7" t="n"/>
      <c r="B3944" s="7" t="n"/>
      <c r="C3944" s="7" t="n"/>
      <c r="D3944" s="7" t="n"/>
      <c r="E3944" s="7" t="n"/>
      <c r="F3944" s="7" t="n"/>
      <c r="G3944" s="7" t="n"/>
      <c r="H3944" s="7" t="n"/>
      <c r="I3944" s="7" t="n"/>
      <c r="J3944" s="7" t="n"/>
      <c r="K3944">
        <f>IF(D3944="Legitimate Interest (GDPR Art. 6(1)(f))", "Yes / Required (Sheet 3)", "")</f>
        <v/>
      </c>
      <c r="L3944" s="7" t="n"/>
      <c r="M3944" s="7" t="n"/>
      <c r="N3944">
        <f>IF(D3944="", "Gap - No Legal Basis", IF(AND(D3944="Consent (GDPR Art. 6(1)(a))", I3944="Not Captured"), "Gap - Invalid Consent", IF(AND(D3944="Legitimate Interest (GDPR Art. 6(1)(f))", L3944=""), "Gap - Missing LIA", IF(AND(G3944="Yes", H3944=""), "Gap - Missing Art. 9 Basis", IF(OR(I3944="Invalid - Not Freely Given", I3944="Invalid - Not Specific", I3944="Invalid - Not Informed", I3944="Invalid - Ambiguous"), "Gap - Invalid Consent", "Compliant")))))</f>
        <v/>
      </c>
      <c r="O3944" s="7" t="n"/>
    </row>
    <row r="3945">
      <c r="A3945" s="7" t="n"/>
      <c r="B3945" s="7" t="n"/>
      <c r="C3945" s="7" t="n"/>
      <c r="D3945" s="7" t="n"/>
      <c r="E3945" s="7" t="n"/>
      <c r="F3945" s="7" t="n"/>
      <c r="G3945" s="7" t="n"/>
      <c r="H3945" s="7" t="n"/>
      <c r="I3945" s="7" t="n"/>
      <c r="J3945" s="7" t="n"/>
      <c r="K3945">
        <f>IF(D3945="Legitimate Interest (GDPR Art. 6(1)(f))", "Yes / Required (Sheet 3)", "")</f>
        <v/>
      </c>
      <c r="L3945" s="7" t="n"/>
      <c r="M3945" s="7" t="n"/>
      <c r="N3945">
        <f>IF(D3945="", "Gap - No Legal Basis", IF(AND(D3945="Consent (GDPR Art. 6(1)(a))", I3945="Not Captured"), "Gap - Invalid Consent", IF(AND(D3945="Legitimate Interest (GDPR Art. 6(1)(f))", L3945=""), "Gap - Missing LIA", IF(AND(G3945="Yes", H3945=""), "Gap - Missing Art. 9 Basis", IF(OR(I3945="Invalid - Not Freely Given", I3945="Invalid - Not Specific", I3945="Invalid - Not Informed", I3945="Invalid - Ambiguous"), "Gap - Invalid Consent", "Compliant")))))</f>
        <v/>
      </c>
      <c r="O3945" s="7" t="n"/>
    </row>
    <row r="3946">
      <c r="A3946" s="7" t="n"/>
      <c r="B3946" s="7" t="n"/>
      <c r="C3946" s="7" t="n"/>
      <c r="D3946" s="7" t="n"/>
      <c r="E3946" s="7" t="n"/>
      <c r="F3946" s="7" t="n"/>
      <c r="G3946" s="7" t="n"/>
      <c r="H3946" s="7" t="n"/>
      <c r="I3946" s="7" t="n"/>
      <c r="J3946" s="7" t="n"/>
      <c r="K3946">
        <f>IF(D3946="Legitimate Interest (GDPR Art. 6(1)(f))", "Yes / Required (Sheet 3)", "")</f>
        <v/>
      </c>
      <c r="L3946" s="7" t="n"/>
      <c r="M3946" s="7" t="n"/>
      <c r="N3946">
        <f>IF(D3946="", "Gap - No Legal Basis", IF(AND(D3946="Consent (GDPR Art. 6(1)(a))", I3946="Not Captured"), "Gap - Invalid Consent", IF(AND(D3946="Legitimate Interest (GDPR Art. 6(1)(f))", L3946=""), "Gap - Missing LIA", IF(AND(G3946="Yes", H3946=""), "Gap - Missing Art. 9 Basis", IF(OR(I3946="Invalid - Not Freely Given", I3946="Invalid - Not Specific", I3946="Invalid - Not Informed", I3946="Invalid - Ambiguous"), "Gap - Invalid Consent", "Compliant")))))</f>
        <v/>
      </c>
      <c r="O3946" s="7" t="n"/>
    </row>
    <row r="3947">
      <c r="A3947" s="7" t="n"/>
      <c r="B3947" s="7" t="n"/>
      <c r="C3947" s="7" t="n"/>
      <c r="D3947" s="7" t="n"/>
      <c r="E3947" s="7" t="n"/>
      <c r="F3947" s="7" t="n"/>
      <c r="G3947" s="7" t="n"/>
      <c r="H3947" s="7" t="n"/>
      <c r="I3947" s="7" t="n"/>
      <c r="J3947" s="7" t="n"/>
      <c r="K3947">
        <f>IF(D3947="Legitimate Interest (GDPR Art. 6(1)(f))", "Yes / Required (Sheet 3)", "")</f>
        <v/>
      </c>
      <c r="L3947" s="7" t="n"/>
      <c r="M3947" s="7" t="n"/>
      <c r="N3947">
        <f>IF(D3947="", "Gap - No Legal Basis", IF(AND(D3947="Consent (GDPR Art. 6(1)(a))", I3947="Not Captured"), "Gap - Invalid Consent", IF(AND(D3947="Legitimate Interest (GDPR Art. 6(1)(f))", L3947=""), "Gap - Missing LIA", IF(AND(G3947="Yes", H3947=""), "Gap - Missing Art. 9 Basis", IF(OR(I3947="Invalid - Not Freely Given", I3947="Invalid - Not Specific", I3947="Invalid - Not Informed", I3947="Invalid - Ambiguous"), "Gap - Invalid Consent", "Compliant")))))</f>
        <v/>
      </c>
      <c r="O3947" s="7" t="n"/>
    </row>
    <row r="3948">
      <c r="A3948" s="7" t="n"/>
      <c r="B3948" s="7" t="n"/>
      <c r="C3948" s="7" t="n"/>
      <c r="D3948" s="7" t="n"/>
      <c r="E3948" s="7" t="n"/>
      <c r="F3948" s="7" t="n"/>
      <c r="G3948" s="7" t="n"/>
      <c r="H3948" s="7" t="n"/>
      <c r="I3948" s="7" t="n"/>
      <c r="J3948" s="7" t="n"/>
      <c r="K3948">
        <f>IF(D3948="Legitimate Interest (GDPR Art. 6(1)(f))", "Yes / Required (Sheet 3)", "")</f>
        <v/>
      </c>
      <c r="L3948" s="7" t="n"/>
      <c r="M3948" s="7" t="n"/>
      <c r="N3948">
        <f>IF(D3948="", "Gap - No Legal Basis", IF(AND(D3948="Consent (GDPR Art. 6(1)(a))", I3948="Not Captured"), "Gap - Invalid Consent", IF(AND(D3948="Legitimate Interest (GDPR Art. 6(1)(f))", L3948=""), "Gap - Missing LIA", IF(AND(G3948="Yes", H3948=""), "Gap - Missing Art. 9 Basis", IF(OR(I3948="Invalid - Not Freely Given", I3948="Invalid - Not Specific", I3948="Invalid - Not Informed", I3948="Invalid - Ambiguous"), "Gap - Invalid Consent", "Compliant")))))</f>
        <v/>
      </c>
      <c r="O3948" s="7" t="n"/>
    </row>
    <row r="3949">
      <c r="A3949" s="7" t="n"/>
      <c r="B3949" s="7" t="n"/>
      <c r="C3949" s="7" t="n"/>
      <c r="D3949" s="7" t="n"/>
      <c r="E3949" s="7" t="n"/>
      <c r="F3949" s="7" t="n"/>
      <c r="G3949" s="7" t="n"/>
      <c r="H3949" s="7" t="n"/>
      <c r="I3949" s="7" t="n"/>
      <c r="J3949" s="7" t="n"/>
      <c r="K3949">
        <f>IF(D3949="Legitimate Interest (GDPR Art. 6(1)(f))", "Yes / Required (Sheet 3)", "")</f>
        <v/>
      </c>
      <c r="L3949" s="7" t="n"/>
      <c r="M3949" s="7" t="n"/>
      <c r="N3949">
        <f>IF(D3949="", "Gap - No Legal Basis", IF(AND(D3949="Consent (GDPR Art. 6(1)(a))", I3949="Not Captured"), "Gap - Invalid Consent", IF(AND(D3949="Legitimate Interest (GDPR Art. 6(1)(f))", L3949=""), "Gap - Missing LIA", IF(AND(G3949="Yes", H3949=""), "Gap - Missing Art. 9 Basis", IF(OR(I3949="Invalid - Not Freely Given", I3949="Invalid - Not Specific", I3949="Invalid - Not Informed", I3949="Invalid - Ambiguous"), "Gap - Invalid Consent", "Compliant")))))</f>
        <v/>
      </c>
      <c r="O3949" s="7" t="n"/>
    </row>
    <row r="3950">
      <c r="A3950" s="7" t="n"/>
      <c r="B3950" s="7" t="n"/>
      <c r="C3950" s="7" t="n"/>
      <c r="D3950" s="7" t="n"/>
      <c r="E3950" s="7" t="n"/>
      <c r="F3950" s="7" t="n"/>
      <c r="G3950" s="7" t="n"/>
      <c r="H3950" s="7" t="n"/>
      <c r="I3950" s="7" t="n"/>
      <c r="J3950" s="7" t="n"/>
      <c r="K3950">
        <f>IF(D3950="Legitimate Interest (GDPR Art. 6(1)(f))", "Yes / Required (Sheet 3)", "")</f>
        <v/>
      </c>
      <c r="L3950" s="7" t="n"/>
      <c r="M3950" s="7" t="n"/>
      <c r="N3950">
        <f>IF(D3950="", "Gap - No Legal Basis", IF(AND(D3950="Consent (GDPR Art. 6(1)(a))", I3950="Not Captured"), "Gap - Invalid Consent", IF(AND(D3950="Legitimate Interest (GDPR Art. 6(1)(f))", L3950=""), "Gap - Missing LIA", IF(AND(G3950="Yes", H3950=""), "Gap - Missing Art. 9 Basis", IF(OR(I3950="Invalid - Not Freely Given", I3950="Invalid - Not Specific", I3950="Invalid - Not Informed", I3950="Invalid - Ambiguous"), "Gap - Invalid Consent", "Compliant")))))</f>
        <v/>
      </c>
      <c r="O3950" s="7" t="n"/>
    </row>
    <row r="3951">
      <c r="A3951" s="7" t="n"/>
      <c r="B3951" s="7" t="n"/>
      <c r="C3951" s="7" t="n"/>
      <c r="D3951" s="7" t="n"/>
      <c r="E3951" s="7" t="n"/>
      <c r="F3951" s="7" t="n"/>
      <c r="G3951" s="7" t="n"/>
      <c r="H3951" s="7" t="n"/>
      <c r="I3951" s="7" t="n"/>
      <c r="J3951" s="7" t="n"/>
      <c r="K3951">
        <f>IF(D3951="Legitimate Interest (GDPR Art. 6(1)(f))", "Yes / Required (Sheet 3)", "")</f>
        <v/>
      </c>
      <c r="L3951" s="7" t="n"/>
      <c r="M3951" s="7" t="n"/>
      <c r="N3951">
        <f>IF(D3951="", "Gap - No Legal Basis", IF(AND(D3951="Consent (GDPR Art. 6(1)(a))", I3951="Not Captured"), "Gap - Invalid Consent", IF(AND(D3951="Legitimate Interest (GDPR Art. 6(1)(f))", L3951=""), "Gap - Missing LIA", IF(AND(G3951="Yes", H3951=""), "Gap - Missing Art. 9 Basis", IF(OR(I3951="Invalid - Not Freely Given", I3951="Invalid - Not Specific", I3951="Invalid - Not Informed", I3951="Invalid - Ambiguous"), "Gap - Invalid Consent", "Compliant")))))</f>
        <v/>
      </c>
      <c r="O3951" s="7" t="n"/>
    </row>
    <row r="3952">
      <c r="A3952" s="7" t="n"/>
      <c r="B3952" s="7" t="n"/>
      <c r="C3952" s="7" t="n"/>
      <c r="D3952" s="7" t="n"/>
      <c r="E3952" s="7" t="n"/>
      <c r="F3952" s="7" t="n"/>
      <c r="G3952" s="7" t="n"/>
      <c r="H3952" s="7" t="n"/>
      <c r="I3952" s="7" t="n"/>
      <c r="J3952" s="7" t="n"/>
      <c r="K3952">
        <f>IF(D3952="Legitimate Interest (GDPR Art. 6(1)(f))", "Yes / Required (Sheet 3)", "")</f>
        <v/>
      </c>
      <c r="L3952" s="7" t="n"/>
      <c r="M3952" s="7" t="n"/>
      <c r="N3952">
        <f>IF(D3952="", "Gap - No Legal Basis", IF(AND(D3952="Consent (GDPR Art. 6(1)(a))", I3952="Not Captured"), "Gap - Invalid Consent", IF(AND(D3952="Legitimate Interest (GDPR Art. 6(1)(f))", L3952=""), "Gap - Missing LIA", IF(AND(G3952="Yes", H3952=""), "Gap - Missing Art. 9 Basis", IF(OR(I3952="Invalid - Not Freely Given", I3952="Invalid - Not Specific", I3952="Invalid - Not Informed", I3952="Invalid - Ambiguous"), "Gap - Invalid Consent", "Compliant")))))</f>
        <v/>
      </c>
      <c r="O3952" s="7" t="n"/>
    </row>
    <row r="3953">
      <c r="A3953" s="7" t="n"/>
      <c r="B3953" s="7" t="n"/>
      <c r="C3953" s="7" t="n"/>
      <c r="D3953" s="7" t="n"/>
      <c r="E3953" s="7" t="n"/>
      <c r="F3953" s="7" t="n"/>
      <c r="G3953" s="7" t="n"/>
      <c r="H3953" s="7" t="n"/>
      <c r="I3953" s="7" t="n"/>
      <c r="J3953" s="7" t="n"/>
      <c r="K3953">
        <f>IF(D3953="Legitimate Interest (GDPR Art. 6(1)(f))", "Yes / Required (Sheet 3)", "")</f>
        <v/>
      </c>
      <c r="L3953" s="7" t="n"/>
      <c r="M3953" s="7" t="n"/>
      <c r="N3953">
        <f>IF(D3953="", "Gap - No Legal Basis", IF(AND(D3953="Consent (GDPR Art. 6(1)(a))", I3953="Not Captured"), "Gap - Invalid Consent", IF(AND(D3953="Legitimate Interest (GDPR Art. 6(1)(f))", L3953=""), "Gap - Missing LIA", IF(AND(G3953="Yes", H3953=""), "Gap - Missing Art. 9 Basis", IF(OR(I3953="Invalid - Not Freely Given", I3953="Invalid - Not Specific", I3953="Invalid - Not Informed", I3953="Invalid - Ambiguous"), "Gap - Invalid Consent", "Compliant")))))</f>
        <v/>
      </c>
      <c r="O3953" s="7" t="n"/>
    </row>
    <row r="3954">
      <c r="A3954" s="7" t="n"/>
      <c r="B3954" s="7" t="n"/>
      <c r="C3954" s="7" t="n"/>
      <c r="D3954" s="7" t="n"/>
      <c r="E3954" s="7" t="n"/>
      <c r="F3954" s="7" t="n"/>
      <c r="G3954" s="7" t="n"/>
      <c r="H3954" s="7" t="n"/>
      <c r="I3954" s="7" t="n"/>
      <c r="J3954" s="7" t="n"/>
      <c r="K3954">
        <f>IF(D3954="Legitimate Interest (GDPR Art. 6(1)(f))", "Yes / Required (Sheet 3)", "")</f>
        <v/>
      </c>
      <c r="L3954" s="7" t="n"/>
      <c r="M3954" s="7" t="n"/>
      <c r="N3954">
        <f>IF(D3954="", "Gap - No Legal Basis", IF(AND(D3954="Consent (GDPR Art. 6(1)(a))", I3954="Not Captured"), "Gap - Invalid Consent", IF(AND(D3954="Legitimate Interest (GDPR Art. 6(1)(f))", L3954=""), "Gap - Missing LIA", IF(AND(G3954="Yes", H3954=""), "Gap - Missing Art. 9 Basis", IF(OR(I3954="Invalid - Not Freely Given", I3954="Invalid - Not Specific", I3954="Invalid - Not Informed", I3954="Invalid - Ambiguous"), "Gap - Invalid Consent", "Compliant")))))</f>
        <v/>
      </c>
      <c r="O3954" s="7" t="n"/>
    </row>
    <row r="3955">
      <c r="A3955" s="7" t="n"/>
      <c r="B3955" s="7" t="n"/>
      <c r="C3955" s="7" t="n"/>
      <c r="D3955" s="7" t="n"/>
      <c r="E3955" s="7" t="n"/>
      <c r="F3955" s="7" t="n"/>
      <c r="G3955" s="7" t="n"/>
      <c r="H3955" s="7" t="n"/>
      <c r="I3955" s="7" t="n"/>
      <c r="J3955" s="7" t="n"/>
      <c r="K3955">
        <f>IF(D3955="Legitimate Interest (GDPR Art. 6(1)(f))", "Yes / Required (Sheet 3)", "")</f>
        <v/>
      </c>
      <c r="L3955" s="7" t="n"/>
      <c r="M3955" s="7" t="n"/>
      <c r="N3955">
        <f>IF(D3955="", "Gap - No Legal Basis", IF(AND(D3955="Consent (GDPR Art. 6(1)(a))", I3955="Not Captured"), "Gap - Invalid Consent", IF(AND(D3955="Legitimate Interest (GDPR Art. 6(1)(f))", L3955=""), "Gap - Missing LIA", IF(AND(G3955="Yes", H3955=""), "Gap - Missing Art. 9 Basis", IF(OR(I3955="Invalid - Not Freely Given", I3955="Invalid - Not Specific", I3955="Invalid - Not Informed", I3955="Invalid - Ambiguous"), "Gap - Invalid Consent", "Compliant")))))</f>
        <v/>
      </c>
      <c r="O3955" s="7" t="n"/>
    </row>
    <row r="3956">
      <c r="A3956" s="7" t="n"/>
      <c r="B3956" s="7" t="n"/>
      <c r="C3956" s="7" t="n"/>
      <c r="D3956" s="7" t="n"/>
      <c r="E3956" s="7" t="n"/>
      <c r="F3956" s="7" t="n"/>
      <c r="G3956" s="7" t="n"/>
      <c r="H3956" s="7" t="n"/>
      <c r="I3956" s="7" t="n"/>
      <c r="J3956" s="7" t="n"/>
      <c r="K3956">
        <f>IF(D3956="Legitimate Interest (GDPR Art. 6(1)(f))", "Yes / Required (Sheet 3)", "")</f>
        <v/>
      </c>
      <c r="L3956" s="7" t="n"/>
      <c r="M3956" s="7" t="n"/>
      <c r="N3956">
        <f>IF(D3956="", "Gap - No Legal Basis", IF(AND(D3956="Consent (GDPR Art. 6(1)(a))", I3956="Not Captured"), "Gap - Invalid Consent", IF(AND(D3956="Legitimate Interest (GDPR Art. 6(1)(f))", L3956=""), "Gap - Missing LIA", IF(AND(G3956="Yes", H3956=""), "Gap - Missing Art. 9 Basis", IF(OR(I3956="Invalid - Not Freely Given", I3956="Invalid - Not Specific", I3956="Invalid - Not Informed", I3956="Invalid - Ambiguous"), "Gap - Invalid Consent", "Compliant")))))</f>
        <v/>
      </c>
      <c r="O3956" s="7" t="n"/>
    </row>
    <row r="3957">
      <c r="A3957" s="7" t="n"/>
      <c r="B3957" s="7" t="n"/>
      <c r="C3957" s="7" t="n"/>
      <c r="D3957" s="7" t="n"/>
      <c r="E3957" s="7" t="n"/>
      <c r="F3957" s="7" t="n"/>
      <c r="G3957" s="7" t="n"/>
      <c r="H3957" s="7" t="n"/>
      <c r="I3957" s="7" t="n"/>
      <c r="J3957" s="7" t="n"/>
      <c r="K3957">
        <f>IF(D3957="Legitimate Interest (GDPR Art. 6(1)(f))", "Yes / Required (Sheet 3)", "")</f>
        <v/>
      </c>
      <c r="L3957" s="7" t="n"/>
      <c r="M3957" s="7" t="n"/>
      <c r="N3957">
        <f>IF(D3957="", "Gap - No Legal Basis", IF(AND(D3957="Consent (GDPR Art. 6(1)(a))", I3957="Not Captured"), "Gap - Invalid Consent", IF(AND(D3957="Legitimate Interest (GDPR Art. 6(1)(f))", L3957=""), "Gap - Missing LIA", IF(AND(G3957="Yes", H3957=""), "Gap - Missing Art. 9 Basis", IF(OR(I3957="Invalid - Not Freely Given", I3957="Invalid - Not Specific", I3957="Invalid - Not Informed", I3957="Invalid - Ambiguous"), "Gap - Invalid Consent", "Compliant")))))</f>
        <v/>
      </c>
      <c r="O3957" s="7" t="n"/>
    </row>
    <row r="3958">
      <c r="A3958" s="7" t="n"/>
      <c r="B3958" s="7" t="n"/>
      <c r="C3958" s="7" t="n"/>
      <c r="D3958" s="7" t="n"/>
      <c r="E3958" s="7" t="n"/>
      <c r="F3958" s="7" t="n"/>
      <c r="G3958" s="7" t="n"/>
      <c r="H3958" s="7" t="n"/>
      <c r="I3958" s="7" t="n"/>
      <c r="J3958" s="7" t="n"/>
      <c r="K3958">
        <f>IF(D3958="Legitimate Interest (GDPR Art. 6(1)(f))", "Yes / Required (Sheet 3)", "")</f>
        <v/>
      </c>
      <c r="L3958" s="7" t="n"/>
      <c r="M3958" s="7" t="n"/>
      <c r="N3958">
        <f>IF(D3958="", "Gap - No Legal Basis", IF(AND(D3958="Consent (GDPR Art. 6(1)(a))", I3958="Not Captured"), "Gap - Invalid Consent", IF(AND(D3958="Legitimate Interest (GDPR Art. 6(1)(f))", L3958=""), "Gap - Missing LIA", IF(AND(G3958="Yes", H3958=""), "Gap - Missing Art. 9 Basis", IF(OR(I3958="Invalid - Not Freely Given", I3958="Invalid - Not Specific", I3958="Invalid - Not Informed", I3958="Invalid - Ambiguous"), "Gap - Invalid Consent", "Compliant")))))</f>
        <v/>
      </c>
      <c r="O3958" s="7" t="n"/>
    </row>
    <row r="3959">
      <c r="A3959" s="7" t="n"/>
      <c r="B3959" s="7" t="n"/>
      <c r="C3959" s="7" t="n"/>
      <c r="D3959" s="7" t="n"/>
      <c r="E3959" s="7" t="n"/>
      <c r="F3959" s="7" t="n"/>
      <c r="G3959" s="7" t="n"/>
      <c r="H3959" s="7" t="n"/>
      <c r="I3959" s="7" t="n"/>
      <c r="J3959" s="7" t="n"/>
      <c r="K3959">
        <f>IF(D3959="Legitimate Interest (GDPR Art. 6(1)(f))", "Yes / Required (Sheet 3)", "")</f>
        <v/>
      </c>
      <c r="L3959" s="7" t="n"/>
      <c r="M3959" s="7" t="n"/>
      <c r="N3959">
        <f>IF(D3959="", "Gap - No Legal Basis", IF(AND(D3959="Consent (GDPR Art. 6(1)(a))", I3959="Not Captured"), "Gap - Invalid Consent", IF(AND(D3959="Legitimate Interest (GDPR Art. 6(1)(f))", L3959=""), "Gap - Missing LIA", IF(AND(G3959="Yes", H3959=""), "Gap - Missing Art. 9 Basis", IF(OR(I3959="Invalid - Not Freely Given", I3959="Invalid - Not Specific", I3959="Invalid - Not Informed", I3959="Invalid - Ambiguous"), "Gap - Invalid Consent", "Compliant")))))</f>
        <v/>
      </c>
      <c r="O3959" s="7" t="n"/>
    </row>
    <row r="3960">
      <c r="A3960" s="7" t="n"/>
      <c r="B3960" s="7" t="n"/>
      <c r="C3960" s="7" t="n"/>
      <c r="D3960" s="7" t="n"/>
      <c r="E3960" s="7" t="n"/>
      <c r="F3960" s="7" t="n"/>
      <c r="G3960" s="7" t="n"/>
      <c r="H3960" s="7" t="n"/>
      <c r="I3960" s="7" t="n"/>
      <c r="J3960" s="7" t="n"/>
      <c r="K3960">
        <f>IF(D3960="Legitimate Interest (GDPR Art. 6(1)(f))", "Yes / Required (Sheet 3)", "")</f>
        <v/>
      </c>
      <c r="L3960" s="7" t="n"/>
      <c r="M3960" s="7" t="n"/>
      <c r="N3960">
        <f>IF(D3960="", "Gap - No Legal Basis", IF(AND(D3960="Consent (GDPR Art. 6(1)(a))", I3960="Not Captured"), "Gap - Invalid Consent", IF(AND(D3960="Legitimate Interest (GDPR Art. 6(1)(f))", L3960=""), "Gap - Missing LIA", IF(AND(G3960="Yes", H3960=""), "Gap - Missing Art. 9 Basis", IF(OR(I3960="Invalid - Not Freely Given", I3960="Invalid - Not Specific", I3960="Invalid - Not Informed", I3960="Invalid - Ambiguous"), "Gap - Invalid Consent", "Compliant")))))</f>
        <v/>
      </c>
      <c r="O3960" s="7" t="n"/>
    </row>
    <row r="3961">
      <c r="A3961" s="7" t="n"/>
      <c r="B3961" s="7" t="n"/>
      <c r="C3961" s="7" t="n"/>
      <c r="D3961" s="7" t="n"/>
      <c r="E3961" s="7" t="n"/>
      <c r="F3961" s="7" t="n"/>
      <c r="G3961" s="7" t="n"/>
      <c r="H3961" s="7" t="n"/>
      <c r="I3961" s="7" t="n"/>
      <c r="J3961" s="7" t="n"/>
      <c r="K3961">
        <f>IF(D3961="Legitimate Interest (GDPR Art. 6(1)(f))", "Yes / Required (Sheet 3)", "")</f>
        <v/>
      </c>
      <c r="L3961" s="7" t="n"/>
      <c r="M3961" s="7" t="n"/>
      <c r="N3961">
        <f>IF(D3961="", "Gap - No Legal Basis", IF(AND(D3961="Consent (GDPR Art. 6(1)(a))", I3961="Not Captured"), "Gap - Invalid Consent", IF(AND(D3961="Legitimate Interest (GDPR Art. 6(1)(f))", L3961=""), "Gap - Missing LIA", IF(AND(G3961="Yes", H3961=""), "Gap - Missing Art. 9 Basis", IF(OR(I3961="Invalid - Not Freely Given", I3961="Invalid - Not Specific", I3961="Invalid - Not Informed", I3961="Invalid - Ambiguous"), "Gap - Invalid Consent", "Compliant")))))</f>
        <v/>
      </c>
      <c r="O3961" s="7" t="n"/>
    </row>
    <row r="3962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7" t="n"/>
      <c r="J3962" s="7" t="n"/>
      <c r="K3962">
        <f>IF(D3962="Legitimate Interest (GDPR Art. 6(1)(f))", "Yes / Required (Sheet 3)", "")</f>
        <v/>
      </c>
      <c r="L3962" s="7" t="n"/>
      <c r="M3962" s="7" t="n"/>
      <c r="N3962">
        <f>IF(D3962="", "Gap - No Legal Basis", IF(AND(D3962="Consent (GDPR Art. 6(1)(a))", I3962="Not Captured"), "Gap - Invalid Consent", IF(AND(D3962="Legitimate Interest (GDPR Art. 6(1)(f))", L3962=""), "Gap - Missing LIA", IF(AND(G3962="Yes", H3962=""), "Gap - Missing Art. 9 Basis", IF(OR(I3962="Invalid - Not Freely Given", I3962="Invalid - Not Specific", I3962="Invalid - Not Informed", I3962="Invalid - Ambiguous"), "Gap - Invalid Consent", "Compliant")))))</f>
        <v/>
      </c>
      <c r="O3962" s="7" t="n"/>
    </row>
    <row r="3963">
      <c r="A3963" s="7" t="n"/>
      <c r="B3963" s="7" t="n"/>
      <c r="C3963" s="7" t="n"/>
      <c r="D3963" s="7" t="n"/>
      <c r="E3963" s="7" t="n"/>
      <c r="F3963" s="7" t="n"/>
      <c r="G3963" s="7" t="n"/>
      <c r="H3963" s="7" t="n"/>
      <c r="I3963" s="7" t="n"/>
      <c r="J3963" s="7" t="n"/>
      <c r="K3963">
        <f>IF(D3963="Legitimate Interest (GDPR Art. 6(1)(f))", "Yes / Required (Sheet 3)", "")</f>
        <v/>
      </c>
      <c r="L3963" s="7" t="n"/>
      <c r="M3963" s="7" t="n"/>
      <c r="N3963">
        <f>IF(D3963="", "Gap - No Legal Basis", IF(AND(D3963="Consent (GDPR Art. 6(1)(a))", I3963="Not Captured"), "Gap - Invalid Consent", IF(AND(D3963="Legitimate Interest (GDPR Art. 6(1)(f))", L3963=""), "Gap - Missing LIA", IF(AND(G3963="Yes", H3963=""), "Gap - Missing Art. 9 Basis", IF(OR(I3963="Invalid - Not Freely Given", I3963="Invalid - Not Specific", I3963="Invalid - Not Informed", I3963="Invalid - Ambiguous"), "Gap - Invalid Consent", "Compliant")))))</f>
        <v/>
      </c>
      <c r="O3963" s="7" t="n"/>
    </row>
    <row r="3964">
      <c r="A3964" s="7" t="n"/>
      <c r="B3964" s="7" t="n"/>
      <c r="C3964" s="7" t="n"/>
      <c r="D3964" s="7" t="n"/>
      <c r="E3964" s="7" t="n"/>
      <c r="F3964" s="7" t="n"/>
      <c r="G3964" s="7" t="n"/>
      <c r="H3964" s="7" t="n"/>
      <c r="I3964" s="7" t="n"/>
      <c r="J3964" s="7" t="n"/>
      <c r="K3964">
        <f>IF(D3964="Legitimate Interest (GDPR Art. 6(1)(f))", "Yes / Required (Sheet 3)", "")</f>
        <v/>
      </c>
      <c r="L3964" s="7" t="n"/>
      <c r="M3964" s="7" t="n"/>
      <c r="N3964">
        <f>IF(D3964="", "Gap - No Legal Basis", IF(AND(D3964="Consent (GDPR Art. 6(1)(a))", I3964="Not Captured"), "Gap - Invalid Consent", IF(AND(D3964="Legitimate Interest (GDPR Art. 6(1)(f))", L3964=""), "Gap - Missing LIA", IF(AND(G3964="Yes", H3964=""), "Gap - Missing Art. 9 Basis", IF(OR(I3964="Invalid - Not Freely Given", I3964="Invalid - Not Specific", I3964="Invalid - Not Informed", I3964="Invalid - Ambiguous"), "Gap - Invalid Consent", "Compliant")))))</f>
        <v/>
      </c>
      <c r="O3964" s="7" t="n"/>
    </row>
    <row r="3965">
      <c r="A3965" s="7" t="n"/>
      <c r="B3965" s="7" t="n"/>
      <c r="C3965" s="7" t="n"/>
      <c r="D3965" s="7" t="n"/>
      <c r="E3965" s="7" t="n"/>
      <c r="F3965" s="7" t="n"/>
      <c r="G3965" s="7" t="n"/>
      <c r="H3965" s="7" t="n"/>
      <c r="I3965" s="7" t="n"/>
      <c r="J3965" s="7" t="n"/>
      <c r="K3965">
        <f>IF(D3965="Legitimate Interest (GDPR Art. 6(1)(f))", "Yes / Required (Sheet 3)", "")</f>
        <v/>
      </c>
      <c r="L3965" s="7" t="n"/>
      <c r="M3965" s="7" t="n"/>
      <c r="N3965">
        <f>IF(D3965="", "Gap - No Legal Basis", IF(AND(D3965="Consent (GDPR Art. 6(1)(a))", I3965="Not Captured"), "Gap - Invalid Consent", IF(AND(D3965="Legitimate Interest (GDPR Art. 6(1)(f))", L3965=""), "Gap - Missing LIA", IF(AND(G3965="Yes", H3965=""), "Gap - Missing Art. 9 Basis", IF(OR(I3965="Invalid - Not Freely Given", I3965="Invalid - Not Specific", I3965="Invalid - Not Informed", I3965="Invalid - Ambiguous"), "Gap - Invalid Consent", "Compliant")))))</f>
        <v/>
      </c>
      <c r="O3965" s="7" t="n"/>
    </row>
    <row r="3966">
      <c r="A3966" s="7" t="n"/>
      <c r="B3966" s="7" t="n"/>
      <c r="C3966" s="7" t="n"/>
      <c r="D3966" s="7" t="n"/>
      <c r="E3966" s="7" t="n"/>
      <c r="F3966" s="7" t="n"/>
      <c r="G3966" s="7" t="n"/>
      <c r="H3966" s="7" t="n"/>
      <c r="I3966" s="7" t="n"/>
      <c r="J3966" s="7" t="n"/>
      <c r="K3966">
        <f>IF(D3966="Legitimate Interest (GDPR Art. 6(1)(f))", "Yes / Required (Sheet 3)", "")</f>
        <v/>
      </c>
      <c r="L3966" s="7" t="n"/>
      <c r="M3966" s="7" t="n"/>
      <c r="N3966">
        <f>IF(D3966="", "Gap - No Legal Basis", IF(AND(D3966="Consent (GDPR Art. 6(1)(a))", I3966="Not Captured"), "Gap - Invalid Consent", IF(AND(D3966="Legitimate Interest (GDPR Art. 6(1)(f))", L3966=""), "Gap - Missing LIA", IF(AND(G3966="Yes", H3966=""), "Gap - Missing Art. 9 Basis", IF(OR(I3966="Invalid - Not Freely Given", I3966="Invalid - Not Specific", I3966="Invalid - Not Informed", I3966="Invalid - Ambiguous"), "Gap - Invalid Consent", "Compliant")))))</f>
        <v/>
      </c>
      <c r="O3966" s="7" t="n"/>
    </row>
    <row r="3967">
      <c r="A3967" s="7" t="n"/>
      <c r="B3967" s="7" t="n"/>
      <c r="C3967" s="7" t="n"/>
      <c r="D3967" s="7" t="n"/>
      <c r="E3967" s="7" t="n"/>
      <c r="F3967" s="7" t="n"/>
      <c r="G3967" s="7" t="n"/>
      <c r="H3967" s="7" t="n"/>
      <c r="I3967" s="7" t="n"/>
      <c r="J3967" s="7" t="n"/>
      <c r="K3967">
        <f>IF(D3967="Legitimate Interest (GDPR Art. 6(1)(f))", "Yes / Required (Sheet 3)", "")</f>
        <v/>
      </c>
      <c r="L3967" s="7" t="n"/>
      <c r="M3967" s="7" t="n"/>
      <c r="N3967">
        <f>IF(D3967="", "Gap - No Legal Basis", IF(AND(D3967="Consent (GDPR Art. 6(1)(a))", I3967="Not Captured"), "Gap - Invalid Consent", IF(AND(D3967="Legitimate Interest (GDPR Art. 6(1)(f))", L3967=""), "Gap - Missing LIA", IF(AND(G3967="Yes", H3967=""), "Gap - Missing Art. 9 Basis", IF(OR(I3967="Invalid - Not Freely Given", I3967="Invalid - Not Specific", I3967="Invalid - Not Informed", I3967="Invalid - Ambiguous"), "Gap - Invalid Consent", "Compliant")))))</f>
        <v/>
      </c>
      <c r="O3967" s="7" t="n"/>
    </row>
    <row r="3968">
      <c r="A3968" s="7" t="n"/>
      <c r="B3968" s="7" t="n"/>
      <c r="C3968" s="7" t="n"/>
      <c r="D3968" s="7" t="n"/>
      <c r="E3968" s="7" t="n"/>
      <c r="F3968" s="7" t="n"/>
      <c r="G3968" s="7" t="n"/>
      <c r="H3968" s="7" t="n"/>
      <c r="I3968" s="7" t="n"/>
      <c r="J3968" s="7" t="n"/>
      <c r="K3968">
        <f>IF(D3968="Legitimate Interest (GDPR Art. 6(1)(f))", "Yes / Required (Sheet 3)", "")</f>
        <v/>
      </c>
      <c r="L3968" s="7" t="n"/>
      <c r="M3968" s="7" t="n"/>
      <c r="N3968">
        <f>IF(D3968="", "Gap - No Legal Basis", IF(AND(D3968="Consent (GDPR Art. 6(1)(a))", I3968="Not Captured"), "Gap - Invalid Consent", IF(AND(D3968="Legitimate Interest (GDPR Art. 6(1)(f))", L3968=""), "Gap - Missing LIA", IF(AND(G3968="Yes", H3968=""), "Gap - Missing Art. 9 Basis", IF(OR(I3968="Invalid - Not Freely Given", I3968="Invalid - Not Specific", I3968="Invalid - Not Informed", I3968="Invalid - Ambiguous"), "Gap - Invalid Consent", "Compliant")))))</f>
        <v/>
      </c>
      <c r="O3968" s="7" t="n"/>
    </row>
    <row r="3969">
      <c r="A3969" s="7" t="n"/>
      <c r="B3969" s="7" t="n"/>
      <c r="C3969" s="7" t="n"/>
      <c r="D3969" s="7" t="n"/>
      <c r="E3969" s="7" t="n"/>
      <c r="F3969" s="7" t="n"/>
      <c r="G3969" s="7" t="n"/>
      <c r="H3969" s="7" t="n"/>
      <c r="I3969" s="7" t="n"/>
      <c r="J3969" s="7" t="n"/>
      <c r="K3969">
        <f>IF(D3969="Legitimate Interest (GDPR Art. 6(1)(f))", "Yes / Required (Sheet 3)", "")</f>
        <v/>
      </c>
      <c r="L3969" s="7" t="n"/>
      <c r="M3969" s="7" t="n"/>
      <c r="N3969">
        <f>IF(D3969="", "Gap - No Legal Basis", IF(AND(D3969="Consent (GDPR Art. 6(1)(a))", I3969="Not Captured"), "Gap - Invalid Consent", IF(AND(D3969="Legitimate Interest (GDPR Art. 6(1)(f))", L3969=""), "Gap - Missing LIA", IF(AND(G3969="Yes", H3969=""), "Gap - Missing Art. 9 Basis", IF(OR(I3969="Invalid - Not Freely Given", I3969="Invalid - Not Specific", I3969="Invalid - Not Informed", I3969="Invalid - Ambiguous"), "Gap - Invalid Consent", "Compliant")))))</f>
        <v/>
      </c>
      <c r="O3969" s="7" t="n"/>
    </row>
    <row r="3970">
      <c r="A3970" s="7" t="n"/>
      <c r="B3970" s="7" t="n"/>
      <c r="C3970" s="7" t="n"/>
      <c r="D3970" s="7" t="n"/>
      <c r="E3970" s="7" t="n"/>
      <c r="F3970" s="7" t="n"/>
      <c r="G3970" s="7" t="n"/>
      <c r="H3970" s="7" t="n"/>
      <c r="I3970" s="7" t="n"/>
      <c r="J3970" s="7" t="n"/>
      <c r="K3970">
        <f>IF(D3970="Legitimate Interest (GDPR Art. 6(1)(f))", "Yes / Required (Sheet 3)", "")</f>
        <v/>
      </c>
      <c r="L3970" s="7" t="n"/>
      <c r="M3970" s="7" t="n"/>
      <c r="N3970">
        <f>IF(D3970="", "Gap - No Legal Basis", IF(AND(D3970="Consent (GDPR Art. 6(1)(a))", I3970="Not Captured"), "Gap - Invalid Consent", IF(AND(D3970="Legitimate Interest (GDPR Art. 6(1)(f))", L3970=""), "Gap - Missing LIA", IF(AND(G3970="Yes", H3970=""), "Gap - Missing Art. 9 Basis", IF(OR(I3970="Invalid - Not Freely Given", I3970="Invalid - Not Specific", I3970="Invalid - Not Informed", I3970="Invalid - Ambiguous"), "Gap - Invalid Consent", "Compliant")))))</f>
        <v/>
      </c>
      <c r="O3970" s="7" t="n"/>
    </row>
    <row r="3971">
      <c r="A3971" s="7" t="n"/>
      <c r="B3971" s="7" t="n"/>
      <c r="C3971" s="7" t="n"/>
      <c r="D3971" s="7" t="n"/>
      <c r="E3971" s="7" t="n"/>
      <c r="F3971" s="7" t="n"/>
      <c r="G3971" s="7" t="n"/>
      <c r="H3971" s="7" t="n"/>
      <c r="I3971" s="7" t="n"/>
      <c r="J3971" s="7" t="n"/>
      <c r="K3971">
        <f>IF(D3971="Legitimate Interest (GDPR Art. 6(1)(f))", "Yes / Required (Sheet 3)", "")</f>
        <v/>
      </c>
      <c r="L3971" s="7" t="n"/>
      <c r="M3971" s="7" t="n"/>
      <c r="N3971">
        <f>IF(D3971="", "Gap - No Legal Basis", IF(AND(D3971="Consent (GDPR Art. 6(1)(a))", I3971="Not Captured"), "Gap - Invalid Consent", IF(AND(D3971="Legitimate Interest (GDPR Art. 6(1)(f))", L3971=""), "Gap - Missing LIA", IF(AND(G3971="Yes", H3971=""), "Gap - Missing Art. 9 Basis", IF(OR(I3971="Invalid - Not Freely Given", I3971="Invalid - Not Specific", I3971="Invalid - Not Informed", I3971="Invalid - Ambiguous"), "Gap - Invalid Consent", "Compliant")))))</f>
        <v/>
      </c>
      <c r="O3971" s="7" t="n"/>
    </row>
    <row r="3972">
      <c r="A3972" s="7" t="n"/>
      <c r="B3972" s="7" t="n"/>
      <c r="C3972" s="7" t="n"/>
      <c r="D3972" s="7" t="n"/>
      <c r="E3972" s="7" t="n"/>
      <c r="F3972" s="7" t="n"/>
      <c r="G3972" s="7" t="n"/>
      <c r="H3972" s="7" t="n"/>
      <c r="I3972" s="7" t="n"/>
      <c r="J3972" s="7" t="n"/>
      <c r="K3972">
        <f>IF(D3972="Legitimate Interest (GDPR Art. 6(1)(f))", "Yes / Required (Sheet 3)", "")</f>
        <v/>
      </c>
      <c r="L3972" s="7" t="n"/>
      <c r="M3972" s="7" t="n"/>
      <c r="N3972">
        <f>IF(D3972="", "Gap - No Legal Basis", IF(AND(D3972="Consent (GDPR Art. 6(1)(a))", I3972="Not Captured"), "Gap - Invalid Consent", IF(AND(D3972="Legitimate Interest (GDPR Art. 6(1)(f))", L3972=""), "Gap - Missing LIA", IF(AND(G3972="Yes", H3972=""), "Gap - Missing Art. 9 Basis", IF(OR(I3972="Invalid - Not Freely Given", I3972="Invalid - Not Specific", I3972="Invalid - Not Informed", I3972="Invalid - Ambiguous"), "Gap - Invalid Consent", "Compliant")))))</f>
        <v/>
      </c>
      <c r="O3972" s="7" t="n"/>
    </row>
    <row r="3973">
      <c r="A3973" s="7" t="n"/>
      <c r="B3973" s="7" t="n"/>
      <c r="C3973" s="7" t="n"/>
      <c r="D3973" s="7" t="n"/>
      <c r="E3973" s="7" t="n"/>
      <c r="F3973" s="7" t="n"/>
      <c r="G3973" s="7" t="n"/>
      <c r="H3973" s="7" t="n"/>
      <c r="I3973" s="7" t="n"/>
      <c r="J3973" s="7" t="n"/>
      <c r="K3973">
        <f>IF(D3973="Legitimate Interest (GDPR Art. 6(1)(f))", "Yes / Required (Sheet 3)", "")</f>
        <v/>
      </c>
      <c r="L3973" s="7" t="n"/>
      <c r="M3973" s="7" t="n"/>
      <c r="N3973">
        <f>IF(D3973="", "Gap - No Legal Basis", IF(AND(D3973="Consent (GDPR Art. 6(1)(a))", I3973="Not Captured"), "Gap - Invalid Consent", IF(AND(D3973="Legitimate Interest (GDPR Art. 6(1)(f))", L3973=""), "Gap - Missing LIA", IF(AND(G3973="Yes", H3973=""), "Gap - Missing Art. 9 Basis", IF(OR(I3973="Invalid - Not Freely Given", I3973="Invalid - Not Specific", I3973="Invalid - Not Informed", I3973="Invalid - Ambiguous"), "Gap - Invalid Consent", "Compliant")))))</f>
        <v/>
      </c>
      <c r="O3973" s="7" t="n"/>
    </row>
    <row r="3974">
      <c r="A3974" s="7" t="n"/>
      <c r="B3974" s="7" t="n"/>
      <c r="C3974" s="7" t="n"/>
      <c r="D3974" s="7" t="n"/>
      <c r="E3974" s="7" t="n"/>
      <c r="F3974" s="7" t="n"/>
      <c r="G3974" s="7" t="n"/>
      <c r="H3974" s="7" t="n"/>
      <c r="I3974" s="7" t="n"/>
      <c r="J3974" s="7" t="n"/>
      <c r="K3974">
        <f>IF(D3974="Legitimate Interest (GDPR Art. 6(1)(f))", "Yes / Required (Sheet 3)", "")</f>
        <v/>
      </c>
      <c r="L3974" s="7" t="n"/>
      <c r="M3974" s="7" t="n"/>
      <c r="N3974">
        <f>IF(D3974="", "Gap - No Legal Basis", IF(AND(D3974="Consent (GDPR Art. 6(1)(a))", I3974="Not Captured"), "Gap - Invalid Consent", IF(AND(D3974="Legitimate Interest (GDPR Art. 6(1)(f))", L3974=""), "Gap - Missing LIA", IF(AND(G3974="Yes", H3974=""), "Gap - Missing Art. 9 Basis", IF(OR(I3974="Invalid - Not Freely Given", I3974="Invalid - Not Specific", I3974="Invalid - Not Informed", I3974="Invalid - Ambiguous"), "Gap - Invalid Consent", "Compliant")))))</f>
        <v/>
      </c>
      <c r="O3974" s="7" t="n"/>
    </row>
    <row r="3975">
      <c r="A3975" s="7" t="n"/>
      <c r="B3975" s="7" t="n"/>
      <c r="C3975" s="7" t="n"/>
      <c r="D3975" s="7" t="n"/>
      <c r="E3975" s="7" t="n"/>
      <c r="F3975" s="7" t="n"/>
      <c r="G3975" s="7" t="n"/>
      <c r="H3975" s="7" t="n"/>
      <c r="I3975" s="7" t="n"/>
      <c r="J3975" s="7" t="n"/>
      <c r="K3975">
        <f>IF(D3975="Legitimate Interest (GDPR Art. 6(1)(f))", "Yes / Required (Sheet 3)", "")</f>
        <v/>
      </c>
      <c r="L3975" s="7" t="n"/>
      <c r="M3975" s="7" t="n"/>
      <c r="N3975">
        <f>IF(D3975="", "Gap - No Legal Basis", IF(AND(D3975="Consent (GDPR Art. 6(1)(a))", I3975="Not Captured"), "Gap - Invalid Consent", IF(AND(D3975="Legitimate Interest (GDPR Art. 6(1)(f))", L3975=""), "Gap - Missing LIA", IF(AND(G3975="Yes", H3975=""), "Gap - Missing Art. 9 Basis", IF(OR(I3975="Invalid - Not Freely Given", I3975="Invalid - Not Specific", I3975="Invalid - Not Informed", I3975="Invalid - Ambiguous"), "Gap - Invalid Consent", "Compliant")))))</f>
        <v/>
      </c>
      <c r="O3975" s="7" t="n"/>
    </row>
    <row r="3976">
      <c r="A3976" s="7" t="n"/>
      <c r="B3976" s="7" t="n"/>
      <c r="C3976" s="7" t="n"/>
      <c r="D3976" s="7" t="n"/>
      <c r="E3976" s="7" t="n"/>
      <c r="F3976" s="7" t="n"/>
      <c r="G3976" s="7" t="n"/>
      <c r="H3976" s="7" t="n"/>
      <c r="I3976" s="7" t="n"/>
      <c r="J3976" s="7" t="n"/>
      <c r="K3976">
        <f>IF(D3976="Legitimate Interest (GDPR Art. 6(1)(f))", "Yes / Required (Sheet 3)", "")</f>
        <v/>
      </c>
      <c r="L3976" s="7" t="n"/>
      <c r="M3976" s="7" t="n"/>
      <c r="N3976">
        <f>IF(D3976="", "Gap - No Legal Basis", IF(AND(D3976="Consent (GDPR Art. 6(1)(a))", I3976="Not Captured"), "Gap - Invalid Consent", IF(AND(D3976="Legitimate Interest (GDPR Art. 6(1)(f))", L3976=""), "Gap - Missing LIA", IF(AND(G3976="Yes", H3976=""), "Gap - Missing Art. 9 Basis", IF(OR(I3976="Invalid - Not Freely Given", I3976="Invalid - Not Specific", I3976="Invalid - Not Informed", I3976="Invalid - Ambiguous"), "Gap - Invalid Consent", "Compliant")))))</f>
        <v/>
      </c>
      <c r="O3976" s="7" t="n"/>
    </row>
    <row r="3977">
      <c r="A3977" s="7" t="n"/>
      <c r="B3977" s="7" t="n"/>
      <c r="C3977" s="7" t="n"/>
      <c r="D3977" s="7" t="n"/>
      <c r="E3977" s="7" t="n"/>
      <c r="F3977" s="7" t="n"/>
      <c r="G3977" s="7" t="n"/>
      <c r="H3977" s="7" t="n"/>
      <c r="I3977" s="7" t="n"/>
      <c r="J3977" s="7" t="n"/>
      <c r="K3977">
        <f>IF(D3977="Legitimate Interest (GDPR Art. 6(1)(f))", "Yes / Required (Sheet 3)", "")</f>
        <v/>
      </c>
      <c r="L3977" s="7" t="n"/>
      <c r="M3977" s="7" t="n"/>
      <c r="N3977">
        <f>IF(D3977="", "Gap - No Legal Basis", IF(AND(D3977="Consent (GDPR Art. 6(1)(a))", I3977="Not Captured"), "Gap - Invalid Consent", IF(AND(D3977="Legitimate Interest (GDPR Art. 6(1)(f))", L3977=""), "Gap - Missing LIA", IF(AND(G3977="Yes", H3977=""), "Gap - Missing Art. 9 Basis", IF(OR(I3977="Invalid - Not Freely Given", I3977="Invalid - Not Specific", I3977="Invalid - Not Informed", I3977="Invalid - Ambiguous"), "Gap - Invalid Consent", "Compliant")))))</f>
        <v/>
      </c>
      <c r="O3977" s="7" t="n"/>
    </row>
    <row r="3978">
      <c r="A3978" s="7" t="n"/>
      <c r="B3978" s="7" t="n"/>
      <c r="C3978" s="7" t="n"/>
      <c r="D3978" s="7" t="n"/>
      <c r="E3978" s="7" t="n"/>
      <c r="F3978" s="7" t="n"/>
      <c r="G3978" s="7" t="n"/>
      <c r="H3978" s="7" t="n"/>
      <c r="I3978" s="7" t="n"/>
      <c r="J3978" s="7" t="n"/>
      <c r="K3978">
        <f>IF(D3978="Legitimate Interest (GDPR Art. 6(1)(f))", "Yes / Required (Sheet 3)", "")</f>
        <v/>
      </c>
      <c r="L3978" s="7" t="n"/>
      <c r="M3978" s="7" t="n"/>
      <c r="N3978">
        <f>IF(D3978="", "Gap - No Legal Basis", IF(AND(D3978="Consent (GDPR Art. 6(1)(a))", I3978="Not Captured"), "Gap - Invalid Consent", IF(AND(D3978="Legitimate Interest (GDPR Art. 6(1)(f))", L3978=""), "Gap - Missing LIA", IF(AND(G3978="Yes", H3978=""), "Gap - Missing Art. 9 Basis", IF(OR(I3978="Invalid - Not Freely Given", I3978="Invalid - Not Specific", I3978="Invalid - Not Informed", I3978="Invalid - Ambiguous"), "Gap - Invalid Consent", "Compliant")))))</f>
        <v/>
      </c>
      <c r="O3978" s="7" t="n"/>
    </row>
    <row r="3979">
      <c r="A3979" s="7" t="n"/>
      <c r="B3979" s="7" t="n"/>
      <c r="C3979" s="7" t="n"/>
      <c r="D3979" s="7" t="n"/>
      <c r="E3979" s="7" t="n"/>
      <c r="F3979" s="7" t="n"/>
      <c r="G3979" s="7" t="n"/>
      <c r="H3979" s="7" t="n"/>
      <c r="I3979" s="7" t="n"/>
      <c r="J3979" s="7" t="n"/>
      <c r="K3979">
        <f>IF(D3979="Legitimate Interest (GDPR Art. 6(1)(f))", "Yes / Required (Sheet 3)", "")</f>
        <v/>
      </c>
      <c r="L3979" s="7" t="n"/>
      <c r="M3979" s="7" t="n"/>
      <c r="N3979">
        <f>IF(D3979="", "Gap - No Legal Basis", IF(AND(D3979="Consent (GDPR Art. 6(1)(a))", I3979="Not Captured"), "Gap - Invalid Consent", IF(AND(D3979="Legitimate Interest (GDPR Art. 6(1)(f))", L3979=""), "Gap - Missing LIA", IF(AND(G3979="Yes", H3979=""), "Gap - Missing Art. 9 Basis", IF(OR(I3979="Invalid - Not Freely Given", I3979="Invalid - Not Specific", I3979="Invalid - Not Informed", I3979="Invalid - Ambiguous"), "Gap - Invalid Consent", "Compliant")))))</f>
        <v/>
      </c>
      <c r="O3979" s="7" t="n"/>
    </row>
    <row r="3980">
      <c r="A3980" s="7" t="n"/>
      <c r="B3980" s="7" t="n"/>
      <c r="C3980" s="7" t="n"/>
      <c r="D3980" s="7" t="n"/>
      <c r="E3980" s="7" t="n"/>
      <c r="F3980" s="7" t="n"/>
      <c r="G3980" s="7" t="n"/>
      <c r="H3980" s="7" t="n"/>
      <c r="I3980" s="7" t="n"/>
      <c r="J3980" s="7" t="n"/>
      <c r="K3980">
        <f>IF(D3980="Legitimate Interest (GDPR Art. 6(1)(f))", "Yes / Required (Sheet 3)", "")</f>
        <v/>
      </c>
      <c r="L3980" s="7" t="n"/>
      <c r="M3980" s="7" t="n"/>
      <c r="N3980">
        <f>IF(D3980="", "Gap - No Legal Basis", IF(AND(D3980="Consent (GDPR Art. 6(1)(a))", I3980="Not Captured"), "Gap - Invalid Consent", IF(AND(D3980="Legitimate Interest (GDPR Art. 6(1)(f))", L3980=""), "Gap - Missing LIA", IF(AND(G3980="Yes", H3980=""), "Gap - Missing Art. 9 Basis", IF(OR(I3980="Invalid - Not Freely Given", I3980="Invalid - Not Specific", I3980="Invalid - Not Informed", I3980="Invalid - Ambiguous"), "Gap - Invalid Consent", "Compliant")))))</f>
        <v/>
      </c>
      <c r="O3980" s="7" t="n"/>
    </row>
    <row r="3981">
      <c r="A3981" s="7" t="n"/>
      <c r="B3981" s="7" t="n"/>
      <c r="C3981" s="7" t="n"/>
      <c r="D3981" s="7" t="n"/>
      <c r="E3981" s="7" t="n"/>
      <c r="F3981" s="7" t="n"/>
      <c r="G3981" s="7" t="n"/>
      <c r="H3981" s="7" t="n"/>
      <c r="I3981" s="7" t="n"/>
      <c r="J3981" s="7" t="n"/>
      <c r="K3981">
        <f>IF(D3981="Legitimate Interest (GDPR Art. 6(1)(f))", "Yes / Required (Sheet 3)", "")</f>
        <v/>
      </c>
      <c r="L3981" s="7" t="n"/>
      <c r="M3981" s="7" t="n"/>
      <c r="N3981">
        <f>IF(D3981="", "Gap - No Legal Basis", IF(AND(D3981="Consent (GDPR Art. 6(1)(a))", I3981="Not Captured"), "Gap - Invalid Consent", IF(AND(D3981="Legitimate Interest (GDPR Art. 6(1)(f))", L3981=""), "Gap - Missing LIA", IF(AND(G3981="Yes", H3981=""), "Gap - Missing Art. 9 Basis", IF(OR(I3981="Invalid - Not Freely Given", I3981="Invalid - Not Specific", I3981="Invalid - Not Informed", I3981="Invalid - Ambiguous"), "Gap - Invalid Consent", "Compliant")))))</f>
        <v/>
      </c>
      <c r="O3981" s="7" t="n"/>
    </row>
    <row r="3982">
      <c r="A3982" s="7" t="n"/>
      <c r="B3982" s="7" t="n"/>
      <c r="C3982" s="7" t="n"/>
      <c r="D3982" s="7" t="n"/>
      <c r="E3982" s="7" t="n"/>
      <c r="F3982" s="7" t="n"/>
      <c r="G3982" s="7" t="n"/>
      <c r="H3982" s="7" t="n"/>
      <c r="I3982" s="7" t="n"/>
      <c r="J3982" s="7" t="n"/>
      <c r="K3982">
        <f>IF(D3982="Legitimate Interest (GDPR Art. 6(1)(f))", "Yes / Required (Sheet 3)", "")</f>
        <v/>
      </c>
      <c r="L3982" s="7" t="n"/>
      <c r="M3982" s="7" t="n"/>
      <c r="N3982">
        <f>IF(D3982="", "Gap - No Legal Basis", IF(AND(D3982="Consent (GDPR Art. 6(1)(a))", I3982="Not Captured"), "Gap - Invalid Consent", IF(AND(D3982="Legitimate Interest (GDPR Art. 6(1)(f))", L3982=""), "Gap - Missing LIA", IF(AND(G3982="Yes", H3982=""), "Gap - Missing Art. 9 Basis", IF(OR(I3982="Invalid - Not Freely Given", I3982="Invalid - Not Specific", I3982="Invalid - Not Informed", I3982="Invalid - Ambiguous"), "Gap - Invalid Consent", "Compliant")))))</f>
        <v/>
      </c>
      <c r="O3982" s="7" t="n"/>
    </row>
    <row r="3983">
      <c r="A3983" s="7" t="n"/>
      <c r="B3983" s="7" t="n"/>
      <c r="C3983" s="7" t="n"/>
      <c r="D3983" s="7" t="n"/>
      <c r="E3983" s="7" t="n"/>
      <c r="F3983" s="7" t="n"/>
      <c r="G3983" s="7" t="n"/>
      <c r="H3983" s="7" t="n"/>
      <c r="I3983" s="7" t="n"/>
      <c r="J3983" s="7" t="n"/>
      <c r="K3983">
        <f>IF(D3983="Legitimate Interest (GDPR Art. 6(1)(f))", "Yes / Required (Sheet 3)", "")</f>
        <v/>
      </c>
      <c r="L3983" s="7" t="n"/>
      <c r="M3983" s="7" t="n"/>
      <c r="N3983">
        <f>IF(D3983="", "Gap - No Legal Basis", IF(AND(D3983="Consent (GDPR Art. 6(1)(a))", I3983="Not Captured"), "Gap - Invalid Consent", IF(AND(D3983="Legitimate Interest (GDPR Art. 6(1)(f))", L3983=""), "Gap - Missing LIA", IF(AND(G3983="Yes", H3983=""), "Gap - Missing Art. 9 Basis", IF(OR(I3983="Invalid - Not Freely Given", I3983="Invalid - Not Specific", I3983="Invalid - Not Informed", I3983="Invalid - Ambiguous"), "Gap - Invalid Consent", "Compliant")))))</f>
        <v/>
      </c>
      <c r="O3983" s="7" t="n"/>
    </row>
    <row r="3984">
      <c r="A3984" s="7" t="n"/>
      <c r="B3984" s="7" t="n"/>
      <c r="C3984" s="7" t="n"/>
      <c r="D3984" s="7" t="n"/>
      <c r="E3984" s="7" t="n"/>
      <c r="F3984" s="7" t="n"/>
      <c r="G3984" s="7" t="n"/>
      <c r="H3984" s="7" t="n"/>
      <c r="I3984" s="7" t="n"/>
      <c r="J3984" s="7" t="n"/>
      <c r="K3984">
        <f>IF(D3984="Legitimate Interest (GDPR Art. 6(1)(f))", "Yes / Required (Sheet 3)", "")</f>
        <v/>
      </c>
      <c r="L3984" s="7" t="n"/>
      <c r="M3984" s="7" t="n"/>
      <c r="N3984">
        <f>IF(D3984="", "Gap - No Legal Basis", IF(AND(D3984="Consent (GDPR Art. 6(1)(a))", I3984="Not Captured"), "Gap - Invalid Consent", IF(AND(D3984="Legitimate Interest (GDPR Art. 6(1)(f))", L3984=""), "Gap - Missing LIA", IF(AND(G3984="Yes", H3984=""), "Gap - Missing Art. 9 Basis", IF(OR(I3984="Invalid - Not Freely Given", I3984="Invalid - Not Specific", I3984="Invalid - Not Informed", I3984="Invalid - Ambiguous"), "Gap - Invalid Consent", "Compliant")))))</f>
        <v/>
      </c>
      <c r="O3984" s="7" t="n"/>
    </row>
    <row r="3985">
      <c r="A3985" s="7" t="n"/>
      <c r="B3985" s="7" t="n"/>
      <c r="C3985" s="7" t="n"/>
      <c r="D3985" s="7" t="n"/>
      <c r="E3985" s="7" t="n"/>
      <c r="F3985" s="7" t="n"/>
      <c r="G3985" s="7" t="n"/>
      <c r="H3985" s="7" t="n"/>
      <c r="I3985" s="7" t="n"/>
      <c r="J3985" s="7" t="n"/>
      <c r="K3985">
        <f>IF(D3985="Legitimate Interest (GDPR Art. 6(1)(f))", "Yes / Required (Sheet 3)", "")</f>
        <v/>
      </c>
      <c r="L3985" s="7" t="n"/>
      <c r="M3985" s="7" t="n"/>
      <c r="N3985">
        <f>IF(D3985="", "Gap - No Legal Basis", IF(AND(D3985="Consent (GDPR Art. 6(1)(a))", I3985="Not Captured"), "Gap - Invalid Consent", IF(AND(D3985="Legitimate Interest (GDPR Art. 6(1)(f))", L3985=""), "Gap - Missing LIA", IF(AND(G3985="Yes", H3985=""), "Gap - Missing Art. 9 Basis", IF(OR(I3985="Invalid - Not Freely Given", I3985="Invalid - Not Specific", I3985="Invalid - Not Informed", I3985="Invalid - Ambiguous"), "Gap - Invalid Consent", "Compliant")))))</f>
        <v/>
      </c>
      <c r="O3985" s="7" t="n"/>
    </row>
    <row r="3986">
      <c r="A3986" s="7" t="n"/>
      <c r="B3986" s="7" t="n"/>
      <c r="C3986" s="7" t="n"/>
      <c r="D3986" s="7" t="n"/>
      <c r="E3986" s="7" t="n"/>
      <c r="F3986" s="7" t="n"/>
      <c r="G3986" s="7" t="n"/>
      <c r="H3986" s="7" t="n"/>
      <c r="I3986" s="7" t="n"/>
      <c r="J3986" s="7" t="n"/>
      <c r="K3986">
        <f>IF(D3986="Legitimate Interest (GDPR Art. 6(1)(f))", "Yes / Required (Sheet 3)", "")</f>
        <v/>
      </c>
      <c r="L3986" s="7" t="n"/>
      <c r="M3986" s="7" t="n"/>
      <c r="N3986">
        <f>IF(D3986="", "Gap - No Legal Basis", IF(AND(D3986="Consent (GDPR Art. 6(1)(a))", I3986="Not Captured"), "Gap - Invalid Consent", IF(AND(D3986="Legitimate Interest (GDPR Art. 6(1)(f))", L3986=""), "Gap - Missing LIA", IF(AND(G3986="Yes", H3986=""), "Gap - Missing Art. 9 Basis", IF(OR(I3986="Invalid - Not Freely Given", I3986="Invalid - Not Specific", I3986="Invalid - Not Informed", I3986="Invalid - Ambiguous"), "Gap - Invalid Consent", "Compliant")))))</f>
        <v/>
      </c>
      <c r="O3986" s="7" t="n"/>
    </row>
    <row r="3987">
      <c r="A3987" s="7" t="n"/>
      <c r="B3987" s="7" t="n"/>
      <c r="C3987" s="7" t="n"/>
      <c r="D3987" s="7" t="n"/>
      <c r="E3987" s="7" t="n"/>
      <c r="F3987" s="7" t="n"/>
      <c r="G3987" s="7" t="n"/>
      <c r="H3987" s="7" t="n"/>
      <c r="I3987" s="7" t="n"/>
      <c r="J3987" s="7" t="n"/>
      <c r="K3987">
        <f>IF(D3987="Legitimate Interest (GDPR Art. 6(1)(f))", "Yes / Required (Sheet 3)", "")</f>
        <v/>
      </c>
      <c r="L3987" s="7" t="n"/>
      <c r="M3987" s="7" t="n"/>
      <c r="N3987">
        <f>IF(D3987="", "Gap - No Legal Basis", IF(AND(D3987="Consent (GDPR Art. 6(1)(a))", I3987="Not Captured"), "Gap - Invalid Consent", IF(AND(D3987="Legitimate Interest (GDPR Art. 6(1)(f))", L3987=""), "Gap - Missing LIA", IF(AND(G3987="Yes", H3987=""), "Gap - Missing Art. 9 Basis", IF(OR(I3987="Invalid - Not Freely Given", I3987="Invalid - Not Specific", I3987="Invalid - Not Informed", I3987="Invalid - Ambiguous"), "Gap - Invalid Consent", "Compliant")))))</f>
        <v/>
      </c>
      <c r="O3987" s="7" t="n"/>
    </row>
    <row r="3988">
      <c r="A3988" s="7" t="n"/>
      <c r="B3988" s="7" t="n"/>
      <c r="C3988" s="7" t="n"/>
      <c r="D3988" s="7" t="n"/>
      <c r="E3988" s="7" t="n"/>
      <c r="F3988" s="7" t="n"/>
      <c r="G3988" s="7" t="n"/>
      <c r="H3988" s="7" t="n"/>
      <c r="I3988" s="7" t="n"/>
      <c r="J3988" s="7" t="n"/>
      <c r="K3988">
        <f>IF(D3988="Legitimate Interest (GDPR Art. 6(1)(f))", "Yes / Required (Sheet 3)", "")</f>
        <v/>
      </c>
      <c r="L3988" s="7" t="n"/>
      <c r="M3988" s="7" t="n"/>
      <c r="N3988">
        <f>IF(D3988="", "Gap - No Legal Basis", IF(AND(D3988="Consent (GDPR Art. 6(1)(a))", I3988="Not Captured"), "Gap - Invalid Consent", IF(AND(D3988="Legitimate Interest (GDPR Art. 6(1)(f))", L3988=""), "Gap - Missing LIA", IF(AND(G3988="Yes", H3988=""), "Gap - Missing Art. 9 Basis", IF(OR(I3988="Invalid - Not Freely Given", I3988="Invalid - Not Specific", I3988="Invalid - Not Informed", I3988="Invalid - Ambiguous"), "Gap - Invalid Consent", "Compliant")))))</f>
        <v/>
      </c>
      <c r="O3988" s="7" t="n"/>
    </row>
    <row r="3989">
      <c r="A3989" s="7" t="n"/>
      <c r="B3989" s="7" t="n"/>
      <c r="C3989" s="7" t="n"/>
      <c r="D3989" s="7" t="n"/>
      <c r="E3989" s="7" t="n"/>
      <c r="F3989" s="7" t="n"/>
      <c r="G3989" s="7" t="n"/>
      <c r="H3989" s="7" t="n"/>
      <c r="I3989" s="7" t="n"/>
      <c r="J3989" s="7" t="n"/>
      <c r="K3989">
        <f>IF(D3989="Legitimate Interest (GDPR Art. 6(1)(f))", "Yes / Required (Sheet 3)", "")</f>
        <v/>
      </c>
      <c r="L3989" s="7" t="n"/>
      <c r="M3989" s="7" t="n"/>
      <c r="N3989">
        <f>IF(D3989="", "Gap - No Legal Basis", IF(AND(D3989="Consent (GDPR Art. 6(1)(a))", I3989="Not Captured"), "Gap - Invalid Consent", IF(AND(D3989="Legitimate Interest (GDPR Art. 6(1)(f))", L3989=""), "Gap - Missing LIA", IF(AND(G3989="Yes", H3989=""), "Gap - Missing Art. 9 Basis", IF(OR(I3989="Invalid - Not Freely Given", I3989="Invalid - Not Specific", I3989="Invalid - Not Informed", I3989="Invalid - Ambiguous"), "Gap - Invalid Consent", "Compliant")))))</f>
        <v/>
      </c>
      <c r="O3989" s="7" t="n"/>
    </row>
    <row r="3990">
      <c r="A3990" s="7" t="n"/>
      <c r="B3990" s="7" t="n"/>
      <c r="C3990" s="7" t="n"/>
      <c r="D3990" s="7" t="n"/>
      <c r="E3990" s="7" t="n"/>
      <c r="F3990" s="7" t="n"/>
      <c r="G3990" s="7" t="n"/>
      <c r="H3990" s="7" t="n"/>
      <c r="I3990" s="7" t="n"/>
      <c r="J3990" s="7" t="n"/>
      <c r="K3990">
        <f>IF(D3990="Legitimate Interest (GDPR Art. 6(1)(f))", "Yes / Required (Sheet 3)", "")</f>
        <v/>
      </c>
      <c r="L3990" s="7" t="n"/>
      <c r="M3990" s="7" t="n"/>
      <c r="N3990">
        <f>IF(D3990="", "Gap - No Legal Basis", IF(AND(D3990="Consent (GDPR Art. 6(1)(a))", I3990="Not Captured"), "Gap - Invalid Consent", IF(AND(D3990="Legitimate Interest (GDPR Art. 6(1)(f))", L3990=""), "Gap - Missing LIA", IF(AND(G3990="Yes", H3990=""), "Gap - Missing Art. 9 Basis", IF(OR(I3990="Invalid - Not Freely Given", I3990="Invalid - Not Specific", I3990="Invalid - Not Informed", I3990="Invalid - Ambiguous"), "Gap - Invalid Consent", "Compliant")))))</f>
        <v/>
      </c>
      <c r="O3990" s="7" t="n"/>
    </row>
    <row r="3991">
      <c r="A3991" s="7" t="n"/>
      <c r="B3991" s="7" t="n"/>
      <c r="C3991" s="7" t="n"/>
      <c r="D3991" s="7" t="n"/>
      <c r="E3991" s="7" t="n"/>
      <c r="F3991" s="7" t="n"/>
      <c r="G3991" s="7" t="n"/>
      <c r="H3991" s="7" t="n"/>
      <c r="I3991" s="7" t="n"/>
      <c r="J3991" s="7" t="n"/>
      <c r="K3991">
        <f>IF(D3991="Legitimate Interest (GDPR Art. 6(1)(f))", "Yes / Required (Sheet 3)", "")</f>
        <v/>
      </c>
      <c r="L3991" s="7" t="n"/>
      <c r="M3991" s="7" t="n"/>
      <c r="N3991">
        <f>IF(D3991="", "Gap - No Legal Basis", IF(AND(D3991="Consent (GDPR Art. 6(1)(a))", I3991="Not Captured"), "Gap - Invalid Consent", IF(AND(D3991="Legitimate Interest (GDPR Art. 6(1)(f))", L3991=""), "Gap - Missing LIA", IF(AND(G3991="Yes", H3991=""), "Gap - Missing Art. 9 Basis", IF(OR(I3991="Invalid - Not Freely Given", I3991="Invalid - Not Specific", I3991="Invalid - Not Informed", I3991="Invalid - Ambiguous"), "Gap - Invalid Consent", "Compliant")))))</f>
        <v/>
      </c>
      <c r="O3991" s="7" t="n"/>
    </row>
    <row r="3992">
      <c r="A3992" s="7" t="n"/>
      <c r="B3992" s="7" t="n"/>
      <c r="C3992" s="7" t="n"/>
      <c r="D3992" s="7" t="n"/>
      <c r="E3992" s="7" t="n"/>
      <c r="F3992" s="7" t="n"/>
      <c r="G3992" s="7" t="n"/>
      <c r="H3992" s="7" t="n"/>
      <c r="I3992" s="7" t="n"/>
      <c r="J3992" s="7" t="n"/>
      <c r="K3992">
        <f>IF(D3992="Legitimate Interest (GDPR Art. 6(1)(f))", "Yes / Required (Sheet 3)", "")</f>
        <v/>
      </c>
      <c r="L3992" s="7" t="n"/>
      <c r="M3992" s="7" t="n"/>
      <c r="N3992">
        <f>IF(D3992="", "Gap - No Legal Basis", IF(AND(D3992="Consent (GDPR Art. 6(1)(a))", I3992="Not Captured"), "Gap - Invalid Consent", IF(AND(D3992="Legitimate Interest (GDPR Art. 6(1)(f))", L3992=""), "Gap - Missing LIA", IF(AND(G3992="Yes", H3992=""), "Gap - Missing Art. 9 Basis", IF(OR(I3992="Invalid - Not Freely Given", I3992="Invalid - Not Specific", I3992="Invalid - Not Informed", I3992="Invalid - Ambiguous"), "Gap - Invalid Consent", "Compliant")))))</f>
        <v/>
      </c>
      <c r="O3992" s="7" t="n"/>
    </row>
    <row r="3993">
      <c r="A3993" s="7" t="n"/>
      <c r="B3993" s="7" t="n"/>
      <c r="C3993" s="7" t="n"/>
      <c r="D3993" s="7" t="n"/>
      <c r="E3993" s="7" t="n"/>
      <c r="F3993" s="7" t="n"/>
      <c r="G3993" s="7" t="n"/>
      <c r="H3993" s="7" t="n"/>
      <c r="I3993" s="7" t="n"/>
      <c r="J3993" s="7" t="n"/>
      <c r="K3993">
        <f>IF(D3993="Legitimate Interest (GDPR Art. 6(1)(f))", "Yes / Required (Sheet 3)", "")</f>
        <v/>
      </c>
      <c r="L3993" s="7" t="n"/>
      <c r="M3993" s="7" t="n"/>
      <c r="N3993">
        <f>IF(D3993="", "Gap - No Legal Basis", IF(AND(D3993="Consent (GDPR Art. 6(1)(a))", I3993="Not Captured"), "Gap - Invalid Consent", IF(AND(D3993="Legitimate Interest (GDPR Art. 6(1)(f))", L3993=""), "Gap - Missing LIA", IF(AND(G3993="Yes", H3993=""), "Gap - Missing Art. 9 Basis", IF(OR(I3993="Invalid - Not Freely Given", I3993="Invalid - Not Specific", I3993="Invalid - Not Informed", I3993="Invalid - Ambiguous"), "Gap - Invalid Consent", "Compliant")))))</f>
        <v/>
      </c>
      <c r="O3993" s="7" t="n"/>
    </row>
    <row r="3994">
      <c r="A3994" s="7" t="n"/>
      <c r="B3994" s="7" t="n"/>
      <c r="C3994" s="7" t="n"/>
      <c r="D3994" s="7" t="n"/>
      <c r="E3994" s="7" t="n"/>
      <c r="F3994" s="7" t="n"/>
      <c r="G3994" s="7" t="n"/>
      <c r="H3994" s="7" t="n"/>
      <c r="I3994" s="7" t="n"/>
      <c r="J3994" s="7" t="n"/>
      <c r="K3994">
        <f>IF(D3994="Legitimate Interest (GDPR Art. 6(1)(f))", "Yes / Required (Sheet 3)", "")</f>
        <v/>
      </c>
      <c r="L3994" s="7" t="n"/>
      <c r="M3994" s="7" t="n"/>
      <c r="N3994">
        <f>IF(D3994="", "Gap - No Legal Basis", IF(AND(D3994="Consent (GDPR Art. 6(1)(a))", I3994="Not Captured"), "Gap - Invalid Consent", IF(AND(D3994="Legitimate Interest (GDPR Art. 6(1)(f))", L3994=""), "Gap - Missing LIA", IF(AND(G3994="Yes", H3994=""), "Gap - Missing Art. 9 Basis", IF(OR(I3994="Invalid - Not Freely Given", I3994="Invalid - Not Specific", I3994="Invalid - Not Informed", I3994="Invalid - Ambiguous"), "Gap - Invalid Consent", "Compliant")))))</f>
        <v/>
      </c>
      <c r="O3994" s="7" t="n"/>
    </row>
    <row r="3995">
      <c r="A3995" s="7" t="n"/>
      <c r="B3995" s="7" t="n"/>
      <c r="C3995" s="7" t="n"/>
      <c r="D3995" s="7" t="n"/>
      <c r="E3995" s="7" t="n"/>
      <c r="F3995" s="7" t="n"/>
      <c r="G3995" s="7" t="n"/>
      <c r="H3995" s="7" t="n"/>
      <c r="I3995" s="7" t="n"/>
      <c r="J3995" s="7" t="n"/>
      <c r="K3995">
        <f>IF(D3995="Legitimate Interest (GDPR Art. 6(1)(f))", "Yes / Required (Sheet 3)", "")</f>
        <v/>
      </c>
      <c r="L3995" s="7" t="n"/>
      <c r="M3995" s="7" t="n"/>
      <c r="N3995">
        <f>IF(D3995="", "Gap - No Legal Basis", IF(AND(D3995="Consent (GDPR Art. 6(1)(a))", I3995="Not Captured"), "Gap - Invalid Consent", IF(AND(D3995="Legitimate Interest (GDPR Art. 6(1)(f))", L3995=""), "Gap - Missing LIA", IF(AND(G3995="Yes", H3995=""), "Gap - Missing Art. 9 Basis", IF(OR(I3995="Invalid - Not Freely Given", I3995="Invalid - Not Specific", I3995="Invalid - Not Informed", I3995="Invalid - Ambiguous"), "Gap - Invalid Consent", "Compliant")))))</f>
        <v/>
      </c>
      <c r="O3995" s="7" t="n"/>
    </row>
    <row r="3996">
      <c r="A3996" s="7" t="n"/>
      <c r="B3996" s="7" t="n"/>
      <c r="C3996" s="7" t="n"/>
      <c r="D3996" s="7" t="n"/>
      <c r="E3996" s="7" t="n"/>
      <c r="F3996" s="7" t="n"/>
      <c r="G3996" s="7" t="n"/>
      <c r="H3996" s="7" t="n"/>
      <c r="I3996" s="7" t="n"/>
      <c r="J3996" s="7" t="n"/>
      <c r="K3996">
        <f>IF(D3996="Legitimate Interest (GDPR Art. 6(1)(f))", "Yes / Required (Sheet 3)", "")</f>
        <v/>
      </c>
      <c r="L3996" s="7" t="n"/>
      <c r="M3996" s="7" t="n"/>
      <c r="N3996">
        <f>IF(D3996="", "Gap - No Legal Basis", IF(AND(D3996="Consent (GDPR Art. 6(1)(a))", I3996="Not Captured"), "Gap - Invalid Consent", IF(AND(D3996="Legitimate Interest (GDPR Art. 6(1)(f))", L3996=""), "Gap - Missing LIA", IF(AND(G3996="Yes", H3996=""), "Gap - Missing Art. 9 Basis", IF(OR(I3996="Invalid - Not Freely Given", I3996="Invalid - Not Specific", I3996="Invalid - Not Informed", I3996="Invalid - Ambiguous"), "Gap - Invalid Consent", "Compliant")))))</f>
        <v/>
      </c>
      <c r="O3996" s="7" t="n"/>
    </row>
    <row r="3997">
      <c r="A3997" s="7" t="n"/>
      <c r="B3997" s="7" t="n"/>
      <c r="C3997" s="7" t="n"/>
      <c r="D3997" s="7" t="n"/>
      <c r="E3997" s="7" t="n"/>
      <c r="F3997" s="7" t="n"/>
      <c r="G3997" s="7" t="n"/>
      <c r="H3997" s="7" t="n"/>
      <c r="I3997" s="7" t="n"/>
      <c r="J3997" s="7" t="n"/>
      <c r="K3997">
        <f>IF(D3997="Legitimate Interest (GDPR Art. 6(1)(f))", "Yes / Required (Sheet 3)", "")</f>
        <v/>
      </c>
      <c r="L3997" s="7" t="n"/>
      <c r="M3997" s="7" t="n"/>
      <c r="N3997">
        <f>IF(D3997="", "Gap - No Legal Basis", IF(AND(D3997="Consent (GDPR Art. 6(1)(a))", I3997="Not Captured"), "Gap - Invalid Consent", IF(AND(D3997="Legitimate Interest (GDPR Art. 6(1)(f))", L3997=""), "Gap - Missing LIA", IF(AND(G3997="Yes", H3997=""), "Gap - Missing Art. 9 Basis", IF(OR(I3997="Invalid - Not Freely Given", I3997="Invalid - Not Specific", I3997="Invalid - Not Informed", I3997="Invalid - Ambiguous"), "Gap - Invalid Consent", "Compliant")))))</f>
        <v/>
      </c>
      <c r="O3997" s="7" t="n"/>
    </row>
    <row r="3998">
      <c r="A3998" s="7" t="n"/>
      <c r="B3998" s="7" t="n"/>
      <c r="C3998" s="7" t="n"/>
      <c r="D3998" s="7" t="n"/>
      <c r="E3998" s="7" t="n"/>
      <c r="F3998" s="7" t="n"/>
      <c r="G3998" s="7" t="n"/>
      <c r="H3998" s="7" t="n"/>
      <c r="I3998" s="7" t="n"/>
      <c r="J3998" s="7" t="n"/>
      <c r="K3998">
        <f>IF(D3998="Legitimate Interest (GDPR Art. 6(1)(f))", "Yes / Required (Sheet 3)", "")</f>
        <v/>
      </c>
      <c r="L3998" s="7" t="n"/>
      <c r="M3998" s="7" t="n"/>
      <c r="N3998">
        <f>IF(D3998="", "Gap - No Legal Basis", IF(AND(D3998="Consent (GDPR Art. 6(1)(a))", I3998="Not Captured"), "Gap - Invalid Consent", IF(AND(D3998="Legitimate Interest (GDPR Art. 6(1)(f))", L3998=""), "Gap - Missing LIA", IF(AND(G3998="Yes", H3998=""), "Gap - Missing Art. 9 Basis", IF(OR(I3998="Invalid - Not Freely Given", I3998="Invalid - Not Specific", I3998="Invalid - Not Informed", I3998="Invalid - Ambiguous"), "Gap - Invalid Consent", "Compliant")))))</f>
        <v/>
      </c>
      <c r="O3998" s="7" t="n"/>
    </row>
    <row r="3999">
      <c r="A3999" s="7" t="n"/>
      <c r="B3999" s="7" t="n"/>
      <c r="C3999" s="7" t="n"/>
      <c r="D3999" s="7" t="n"/>
      <c r="E3999" s="7" t="n"/>
      <c r="F3999" s="7" t="n"/>
      <c r="G3999" s="7" t="n"/>
      <c r="H3999" s="7" t="n"/>
      <c r="I3999" s="7" t="n"/>
      <c r="J3999" s="7" t="n"/>
      <c r="K3999">
        <f>IF(D3999="Legitimate Interest (GDPR Art. 6(1)(f))", "Yes / Required (Sheet 3)", "")</f>
        <v/>
      </c>
      <c r="L3999" s="7" t="n"/>
      <c r="M3999" s="7" t="n"/>
      <c r="N3999">
        <f>IF(D3999="", "Gap - No Legal Basis", IF(AND(D3999="Consent (GDPR Art. 6(1)(a))", I3999="Not Captured"), "Gap - Invalid Consent", IF(AND(D3999="Legitimate Interest (GDPR Art. 6(1)(f))", L3999=""), "Gap - Missing LIA", IF(AND(G3999="Yes", H3999=""), "Gap - Missing Art. 9 Basis", IF(OR(I3999="Invalid - Not Freely Given", I3999="Invalid - Not Specific", I3999="Invalid - Not Informed", I3999="Invalid - Ambiguous"), "Gap - Invalid Consent", "Compliant")))))</f>
        <v/>
      </c>
      <c r="O3999" s="7" t="n"/>
    </row>
    <row r="4000">
      <c r="A4000" s="7" t="n"/>
      <c r="B4000" s="7" t="n"/>
      <c r="C4000" s="7" t="n"/>
      <c r="D4000" s="7" t="n"/>
      <c r="E4000" s="7" t="n"/>
      <c r="F4000" s="7" t="n"/>
      <c r="G4000" s="7" t="n"/>
      <c r="H4000" s="7" t="n"/>
      <c r="I4000" s="7" t="n"/>
      <c r="J4000" s="7" t="n"/>
      <c r="K4000">
        <f>IF(D4000="Legitimate Interest (GDPR Art. 6(1)(f))", "Yes / Required (Sheet 3)", "")</f>
        <v/>
      </c>
      <c r="L4000" s="7" t="n"/>
      <c r="M4000" s="7" t="n"/>
      <c r="N4000">
        <f>IF(D4000="", "Gap - No Legal Basis", IF(AND(D4000="Consent (GDPR Art. 6(1)(a))", I4000="Not Captured"), "Gap - Invalid Consent", IF(AND(D4000="Legitimate Interest (GDPR Art. 6(1)(f))", L4000=""), "Gap - Missing LIA", IF(AND(G4000="Yes", H4000=""), "Gap - Missing Art. 9 Basis", IF(OR(I4000="Invalid - Not Freely Given", I4000="Invalid - Not Specific", I4000="Invalid - Not Informed", I4000="Invalid - Ambiguous"), "Gap - Invalid Consent", "Compliant")))))</f>
        <v/>
      </c>
      <c r="O4000" s="7" t="n"/>
    </row>
    <row r="4001">
      <c r="A4001" s="7" t="n"/>
      <c r="B4001" s="7" t="n"/>
      <c r="C4001" s="7" t="n"/>
      <c r="D4001" s="7" t="n"/>
      <c r="E4001" s="7" t="n"/>
      <c r="F4001" s="7" t="n"/>
      <c r="G4001" s="7" t="n"/>
      <c r="H4001" s="7" t="n"/>
      <c r="I4001" s="7" t="n"/>
      <c r="J4001" s="7" t="n"/>
      <c r="K4001">
        <f>IF(D4001="Legitimate Interest (GDPR Art. 6(1)(f))", "Yes / Required (Sheet 3)", "")</f>
        <v/>
      </c>
      <c r="L4001" s="7" t="n"/>
      <c r="M4001" s="7" t="n"/>
      <c r="N4001">
        <f>IF(D4001="", "Gap - No Legal Basis", IF(AND(D4001="Consent (GDPR Art. 6(1)(a))", I4001="Not Captured"), "Gap - Invalid Consent", IF(AND(D4001="Legitimate Interest (GDPR Art. 6(1)(f))", L4001=""), "Gap - Missing LIA", IF(AND(G4001="Yes", H4001=""), "Gap - Missing Art. 9 Basis", IF(OR(I4001="Invalid - Not Freely Given", I4001="Invalid - Not Specific", I4001="Invalid - Not Informed", I4001="Invalid - Ambiguous"), "Gap - Invalid Consent", "Compliant")))))</f>
        <v/>
      </c>
      <c r="O4001" s="7" t="n"/>
    </row>
    <row r="4002">
      <c r="A4002" s="7" t="n"/>
      <c r="B4002" s="7" t="n"/>
      <c r="C4002" s="7" t="n"/>
      <c r="D4002" s="7" t="n"/>
      <c r="E4002" s="7" t="n"/>
      <c r="F4002" s="7" t="n"/>
      <c r="G4002" s="7" t="n"/>
      <c r="H4002" s="7" t="n"/>
      <c r="I4002" s="7" t="n"/>
      <c r="J4002" s="7" t="n"/>
      <c r="K4002">
        <f>IF(D4002="Legitimate Interest (GDPR Art. 6(1)(f))", "Yes / Required (Sheet 3)", "")</f>
        <v/>
      </c>
      <c r="L4002" s="7" t="n"/>
      <c r="M4002" s="7" t="n"/>
      <c r="N4002">
        <f>IF(D4002="", "Gap - No Legal Basis", IF(AND(D4002="Consent (GDPR Art. 6(1)(a))", I4002="Not Captured"), "Gap - Invalid Consent", IF(AND(D4002="Legitimate Interest (GDPR Art. 6(1)(f))", L4002=""), "Gap - Missing LIA", IF(AND(G4002="Yes", H4002=""), "Gap - Missing Art. 9 Basis", IF(OR(I4002="Invalid - Not Freely Given", I4002="Invalid - Not Specific", I4002="Invalid - Not Informed", I4002="Invalid - Ambiguous"), "Gap - Invalid Consent", "Compliant")))))</f>
        <v/>
      </c>
      <c r="O4002" s="7" t="n"/>
    </row>
    <row r="4003">
      <c r="A4003" s="7" t="n"/>
      <c r="B4003" s="7" t="n"/>
      <c r="C4003" s="7" t="n"/>
      <c r="D4003" s="7" t="n"/>
      <c r="E4003" s="7" t="n"/>
      <c r="F4003" s="7" t="n"/>
      <c r="G4003" s="7" t="n"/>
      <c r="H4003" s="7" t="n"/>
      <c r="I4003" s="7" t="n"/>
      <c r="J4003" s="7" t="n"/>
      <c r="K4003">
        <f>IF(D4003="Legitimate Interest (GDPR Art. 6(1)(f))", "Yes / Required (Sheet 3)", "")</f>
        <v/>
      </c>
      <c r="L4003" s="7" t="n"/>
      <c r="M4003" s="7" t="n"/>
      <c r="N4003">
        <f>IF(D4003="", "Gap - No Legal Basis", IF(AND(D4003="Consent (GDPR Art. 6(1)(a))", I4003="Not Captured"), "Gap - Invalid Consent", IF(AND(D4003="Legitimate Interest (GDPR Art. 6(1)(f))", L4003=""), "Gap - Missing LIA", IF(AND(G4003="Yes", H4003=""), "Gap - Missing Art. 9 Basis", IF(OR(I4003="Invalid - Not Freely Given", I4003="Invalid - Not Specific", I4003="Invalid - Not Informed", I4003="Invalid - Ambiguous"), "Gap - Invalid Consent", "Compliant")))))</f>
        <v/>
      </c>
      <c r="O4003" s="7" t="n"/>
    </row>
    <row r="4004">
      <c r="A4004" s="7" t="n"/>
      <c r="B4004" s="7" t="n"/>
      <c r="C4004" s="7" t="n"/>
      <c r="D4004" s="7" t="n"/>
      <c r="E4004" s="7" t="n"/>
      <c r="F4004" s="7" t="n"/>
      <c r="G4004" s="7" t="n"/>
      <c r="H4004" s="7" t="n"/>
      <c r="I4004" s="7" t="n"/>
      <c r="J4004" s="7" t="n"/>
      <c r="K4004">
        <f>IF(D4004="Legitimate Interest (GDPR Art. 6(1)(f))", "Yes / Required (Sheet 3)", "")</f>
        <v/>
      </c>
      <c r="L4004" s="7" t="n"/>
      <c r="M4004" s="7" t="n"/>
      <c r="N4004">
        <f>IF(D4004="", "Gap - No Legal Basis", IF(AND(D4004="Consent (GDPR Art. 6(1)(a))", I4004="Not Captured"), "Gap - Invalid Consent", IF(AND(D4004="Legitimate Interest (GDPR Art. 6(1)(f))", L4004=""), "Gap - Missing LIA", IF(AND(G4004="Yes", H4004=""), "Gap - Missing Art. 9 Basis", IF(OR(I4004="Invalid - Not Freely Given", I4004="Invalid - Not Specific", I4004="Invalid - Not Informed", I4004="Invalid - Ambiguous"), "Gap - Invalid Consent", "Compliant")))))</f>
        <v/>
      </c>
      <c r="O4004" s="7" t="n"/>
    </row>
    <row r="4005">
      <c r="A4005" s="7" t="n"/>
      <c r="B4005" s="7" t="n"/>
      <c r="C4005" s="7" t="n"/>
      <c r="D4005" s="7" t="n"/>
      <c r="E4005" s="7" t="n"/>
      <c r="F4005" s="7" t="n"/>
      <c r="G4005" s="7" t="n"/>
      <c r="H4005" s="7" t="n"/>
      <c r="I4005" s="7" t="n"/>
      <c r="J4005" s="7" t="n"/>
      <c r="K4005">
        <f>IF(D4005="Legitimate Interest (GDPR Art. 6(1)(f))", "Yes / Required (Sheet 3)", "")</f>
        <v/>
      </c>
      <c r="L4005" s="7" t="n"/>
      <c r="M4005" s="7" t="n"/>
      <c r="N4005">
        <f>IF(D4005="", "Gap - No Legal Basis", IF(AND(D4005="Consent (GDPR Art. 6(1)(a))", I4005="Not Captured"), "Gap - Invalid Consent", IF(AND(D4005="Legitimate Interest (GDPR Art. 6(1)(f))", L4005=""), "Gap - Missing LIA", IF(AND(G4005="Yes", H4005=""), "Gap - Missing Art. 9 Basis", IF(OR(I4005="Invalid - Not Freely Given", I4005="Invalid - Not Specific", I4005="Invalid - Not Informed", I4005="Invalid - Ambiguous"), "Gap - Invalid Consent", "Compliant")))))</f>
        <v/>
      </c>
      <c r="O4005" s="7" t="n"/>
    </row>
    <row r="4006">
      <c r="A4006" s="7" t="n"/>
      <c r="B4006" s="7" t="n"/>
      <c r="C4006" s="7" t="n"/>
      <c r="D4006" s="7" t="n"/>
      <c r="E4006" s="7" t="n"/>
      <c r="F4006" s="7" t="n"/>
      <c r="G4006" s="7" t="n"/>
      <c r="H4006" s="7" t="n"/>
      <c r="I4006" s="7" t="n"/>
      <c r="J4006" s="7" t="n"/>
      <c r="K4006">
        <f>IF(D4006="Legitimate Interest (GDPR Art. 6(1)(f))", "Yes / Required (Sheet 3)", "")</f>
        <v/>
      </c>
      <c r="L4006" s="7" t="n"/>
      <c r="M4006" s="7" t="n"/>
      <c r="N4006">
        <f>IF(D4006="", "Gap - No Legal Basis", IF(AND(D4006="Consent (GDPR Art. 6(1)(a))", I4006="Not Captured"), "Gap - Invalid Consent", IF(AND(D4006="Legitimate Interest (GDPR Art. 6(1)(f))", L4006=""), "Gap - Missing LIA", IF(AND(G4006="Yes", H4006=""), "Gap - Missing Art. 9 Basis", IF(OR(I4006="Invalid - Not Freely Given", I4006="Invalid - Not Specific", I4006="Invalid - Not Informed", I4006="Invalid - Ambiguous"), "Gap - Invalid Consent", "Compliant")))))</f>
        <v/>
      </c>
      <c r="O4006" s="7" t="n"/>
    </row>
    <row r="4007">
      <c r="A4007" s="7" t="n"/>
      <c r="B4007" s="7" t="n"/>
      <c r="C4007" s="7" t="n"/>
      <c r="D4007" s="7" t="n"/>
      <c r="E4007" s="7" t="n"/>
      <c r="F4007" s="7" t="n"/>
      <c r="G4007" s="7" t="n"/>
      <c r="H4007" s="7" t="n"/>
      <c r="I4007" s="7" t="n"/>
      <c r="J4007" s="7" t="n"/>
      <c r="K4007">
        <f>IF(D4007="Legitimate Interest (GDPR Art. 6(1)(f))", "Yes / Required (Sheet 3)", "")</f>
        <v/>
      </c>
      <c r="L4007" s="7" t="n"/>
      <c r="M4007" s="7" t="n"/>
      <c r="N4007">
        <f>IF(D4007="", "Gap - No Legal Basis", IF(AND(D4007="Consent (GDPR Art. 6(1)(a))", I4007="Not Captured"), "Gap - Invalid Consent", IF(AND(D4007="Legitimate Interest (GDPR Art. 6(1)(f))", L4007=""), "Gap - Missing LIA", IF(AND(G4007="Yes", H4007=""), "Gap - Missing Art. 9 Basis", IF(OR(I4007="Invalid - Not Freely Given", I4007="Invalid - Not Specific", I4007="Invalid - Not Informed", I4007="Invalid - Ambiguous"), "Gap - Invalid Consent", "Compliant")))))</f>
        <v/>
      </c>
      <c r="O4007" s="7" t="n"/>
    </row>
    <row r="4008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7" t="n"/>
      <c r="J4008" s="7" t="n"/>
      <c r="K4008">
        <f>IF(D4008="Legitimate Interest (GDPR Art. 6(1)(f))", "Yes / Required (Sheet 3)", "")</f>
        <v/>
      </c>
      <c r="L4008" s="7" t="n"/>
      <c r="M4008" s="7" t="n"/>
      <c r="N4008">
        <f>IF(D4008="", "Gap - No Legal Basis", IF(AND(D4008="Consent (GDPR Art. 6(1)(a))", I4008="Not Captured"), "Gap - Invalid Consent", IF(AND(D4008="Legitimate Interest (GDPR Art. 6(1)(f))", L4008=""), "Gap - Missing LIA", IF(AND(G4008="Yes", H4008=""), "Gap - Missing Art. 9 Basis", IF(OR(I4008="Invalid - Not Freely Given", I4008="Invalid - Not Specific", I4008="Invalid - Not Informed", I4008="Invalid - Ambiguous"), "Gap - Invalid Consent", "Compliant")))))</f>
        <v/>
      </c>
      <c r="O4008" s="7" t="n"/>
    </row>
    <row r="4009">
      <c r="A4009" s="7" t="n"/>
      <c r="B4009" s="7" t="n"/>
      <c r="C4009" s="7" t="n"/>
      <c r="D4009" s="7" t="n"/>
      <c r="E4009" s="7" t="n"/>
      <c r="F4009" s="7" t="n"/>
      <c r="G4009" s="7" t="n"/>
      <c r="H4009" s="7" t="n"/>
      <c r="I4009" s="7" t="n"/>
      <c r="J4009" s="7" t="n"/>
      <c r="K4009">
        <f>IF(D4009="Legitimate Interest (GDPR Art. 6(1)(f))", "Yes / Required (Sheet 3)", "")</f>
        <v/>
      </c>
      <c r="L4009" s="7" t="n"/>
      <c r="M4009" s="7" t="n"/>
      <c r="N4009">
        <f>IF(D4009="", "Gap - No Legal Basis", IF(AND(D4009="Consent (GDPR Art. 6(1)(a))", I4009="Not Captured"), "Gap - Invalid Consent", IF(AND(D4009="Legitimate Interest (GDPR Art. 6(1)(f))", L4009=""), "Gap - Missing LIA", IF(AND(G4009="Yes", H4009=""), "Gap - Missing Art. 9 Basis", IF(OR(I4009="Invalid - Not Freely Given", I4009="Invalid - Not Specific", I4009="Invalid - Not Informed", I4009="Invalid - Ambiguous"), "Gap - Invalid Consent", "Compliant")))))</f>
        <v/>
      </c>
      <c r="O4009" s="7" t="n"/>
    </row>
    <row r="4010">
      <c r="A4010" s="7" t="n"/>
      <c r="B4010" s="7" t="n"/>
      <c r="C4010" s="7" t="n"/>
      <c r="D4010" s="7" t="n"/>
      <c r="E4010" s="7" t="n"/>
      <c r="F4010" s="7" t="n"/>
      <c r="G4010" s="7" t="n"/>
      <c r="H4010" s="7" t="n"/>
      <c r="I4010" s="7" t="n"/>
      <c r="J4010" s="7" t="n"/>
      <c r="K4010">
        <f>IF(D4010="Legitimate Interest (GDPR Art. 6(1)(f))", "Yes / Required (Sheet 3)", "")</f>
        <v/>
      </c>
      <c r="L4010" s="7" t="n"/>
      <c r="M4010" s="7" t="n"/>
      <c r="N4010">
        <f>IF(D4010="", "Gap - No Legal Basis", IF(AND(D4010="Consent (GDPR Art. 6(1)(a))", I4010="Not Captured"), "Gap - Invalid Consent", IF(AND(D4010="Legitimate Interest (GDPR Art. 6(1)(f))", L4010=""), "Gap - Missing LIA", IF(AND(G4010="Yes", H4010=""), "Gap - Missing Art. 9 Basis", IF(OR(I4010="Invalid - Not Freely Given", I4010="Invalid - Not Specific", I4010="Invalid - Not Informed", I4010="Invalid - Ambiguous"), "Gap - Invalid Consent", "Compliant")))))</f>
        <v/>
      </c>
      <c r="O4010" s="7" t="n"/>
    </row>
    <row r="4011">
      <c r="A4011" s="7" t="n"/>
      <c r="B4011" s="7" t="n"/>
      <c r="C4011" s="7" t="n"/>
      <c r="D4011" s="7" t="n"/>
      <c r="E4011" s="7" t="n"/>
      <c r="F4011" s="7" t="n"/>
      <c r="G4011" s="7" t="n"/>
      <c r="H4011" s="7" t="n"/>
      <c r="I4011" s="7" t="n"/>
      <c r="J4011" s="7" t="n"/>
      <c r="K4011">
        <f>IF(D4011="Legitimate Interest (GDPR Art. 6(1)(f))", "Yes / Required (Sheet 3)", "")</f>
        <v/>
      </c>
      <c r="L4011" s="7" t="n"/>
      <c r="M4011" s="7" t="n"/>
      <c r="N4011">
        <f>IF(D4011="", "Gap - No Legal Basis", IF(AND(D4011="Consent (GDPR Art. 6(1)(a))", I4011="Not Captured"), "Gap - Invalid Consent", IF(AND(D4011="Legitimate Interest (GDPR Art. 6(1)(f))", L4011=""), "Gap - Missing LIA", IF(AND(G4011="Yes", H4011=""), "Gap - Missing Art. 9 Basis", IF(OR(I4011="Invalid - Not Freely Given", I4011="Invalid - Not Specific", I4011="Invalid - Not Informed", I4011="Invalid - Ambiguous"), "Gap - Invalid Consent", "Compliant")))))</f>
        <v/>
      </c>
      <c r="O4011" s="7" t="n"/>
    </row>
    <row r="4012">
      <c r="A4012" s="7" t="n"/>
      <c r="B4012" s="7" t="n"/>
      <c r="C4012" s="7" t="n"/>
      <c r="D4012" s="7" t="n"/>
      <c r="E4012" s="7" t="n"/>
      <c r="F4012" s="7" t="n"/>
      <c r="G4012" s="7" t="n"/>
      <c r="H4012" s="7" t="n"/>
      <c r="I4012" s="7" t="n"/>
      <c r="J4012" s="7" t="n"/>
      <c r="K4012">
        <f>IF(D4012="Legitimate Interest (GDPR Art. 6(1)(f))", "Yes / Required (Sheet 3)", "")</f>
        <v/>
      </c>
      <c r="L4012" s="7" t="n"/>
      <c r="M4012" s="7" t="n"/>
      <c r="N4012">
        <f>IF(D4012="", "Gap - No Legal Basis", IF(AND(D4012="Consent (GDPR Art. 6(1)(a))", I4012="Not Captured"), "Gap - Invalid Consent", IF(AND(D4012="Legitimate Interest (GDPR Art. 6(1)(f))", L4012=""), "Gap - Missing LIA", IF(AND(G4012="Yes", H4012=""), "Gap - Missing Art. 9 Basis", IF(OR(I4012="Invalid - Not Freely Given", I4012="Invalid - Not Specific", I4012="Invalid - Not Informed", I4012="Invalid - Ambiguous"), "Gap - Invalid Consent", "Compliant")))))</f>
        <v/>
      </c>
      <c r="O4012" s="7" t="n"/>
    </row>
    <row r="4013">
      <c r="A4013" s="7" t="n"/>
      <c r="B4013" s="7" t="n"/>
      <c r="C4013" s="7" t="n"/>
      <c r="D4013" s="7" t="n"/>
      <c r="E4013" s="7" t="n"/>
      <c r="F4013" s="7" t="n"/>
      <c r="G4013" s="7" t="n"/>
      <c r="H4013" s="7" t="n"/>
      <c r="I4013" s="7" t="n"/>
      <c r="J4013" s="7" t="n"/>
      <c r="K4013">
        <f>IF(D4013="Legitimate Interest (GDPR Art. 6(1)(f))", "Yes / Required (Sheet 3)", "")</f>
        <v/>
      </c>
      <c r="L4013" s="7" t="n"/>
      <c r="M4013" s="7" t="n"/>
      <c r="N4013">
        <f>IF(D4013="", "Gap - No Legal Basis", IF(AND(D4013="Consent (GDPR Art. 6(1)(a))", I4013="Not Captured"), "Gap - Invalid Consent", IF(AND(D4013="Legitimate Interest (GDPR Art. 6(1)(f))", L4013=""), "Gap - Missing LIA", IF(AND(G4013="Yes", H4013=""), "Gap - Missing Art. 9 Basis", IF(OR(I4013="Invalid - Not Freely Given", I4013="Invalid - Not Specific", I4013="Invalid - Not Informed", I4013="Invalid - Ambiguous"), "Gap - Invalid Consent", "Compliant")))))</f>
        <v/>
      </c>
      <c r="O4013" s="7" t="n"/>
    </row>
    <row r="4014">
      <c r="A4014" s="7" t="n"/>
      <c r="B4014" s="7" t="n"/>
      <c r="C4014" s="7" t="n"/>
      <c r="D4014" s="7" t="n"/>
      <c r="E4014" s="7" t="n"/>
      <c r="F4014" s="7" t="n"/>
      <c r="G4014" s="7" t="n"/>
      <c r="H4014" s="7" t="n"/>
      <c r="I4014" s="7" t="n"/>
      <c r="J4014" s="7" t="n"/>
      <c r="K4014">
        <f>IF(D4014="Legitimate Interest (GDPR Art. 6(1)(f))", "Yes / Required (Sheet 3)", "")</f>
        <v/>
      </c>
      <c r="L4014" s="7" t="n"/>
      <c r="M4014" s="7" t="n"/>
      <c r="N4014">
        <f>IF(D4014="", "Gap - No Legal Basis", IF(AND(D4014="Consent (GDPR Art. 6(1)(a))", I4014="Not Captured"), "Gap - Invalid Consent", IF(AND(D4014="Legitimate Interest (GDPR Art. 6(1)(f))", L4014=""), "Gap - Missing LIA", IF(AND(G4014="Yes", H4014=""), "Gap - Missing Art. 9 Basis", IF(OR(I4014="Invalid - Not Freely Given", I4014="Invalid - Not Specific", I4014="Invalid - Not Informed", I4014="Invalid - Ambiguous"), "Gap - Invalid Consent", "Compliant")))))</f>
        <v/>
      </c>
      <c r="O4014" s="7" t="n"/>
    </row>
    <row r="4015">
      <c r="A4015" s="7" t="n"/>
      <c r="B4015" s="7" t="n"/>
      <c r="C4015" s="7" t="n"/>
      <c r="D4015" s="7" t="n"/>
      <c r="E4015" s="7" t="n"/>
      <c r="F4015" s="7" t="n"/>
      <c r="G4015" s="7" t="n"/>
      <c r="H4015" s="7" t="n"/>
      <c r="I4015" s="7" t="n"/>
      <c r="J4015" s="7" t="n"/>
      <c r="K4015">
        <f>IF(D4015="Legitimate Interest (GDPR Art. 6(1)(f))", "Yes / Required (Sheet 3)", "")</f>
        <v/>
      </c>
      <c r="L4015" s="7" t="n"/>
      <c r="M4015" s="7" t="n"/>
      <c r="N4015">
        <f>IF(D4015="", "Gap - No Legal Basis", IF(AND(D4015="Consent (GDPR Art. 6(1)(a))", I4015="Not Captured"), "Gap - Invalid Consent", IF(AND(D4015="Legitimate Interest (GDPR Art. 6(1)(f))", L4015=""), "Gap - Missing LIA", IF(AND(G4015="Yes", H4015=""), "Gap - Missing Art. 9 Basis", IF(OR(I4015="Invalid - Not Freely Given", I4015="Invalid - Not Specific", I4015="Invalid - Not Informed", I4015="Invalid - Ambiguous"), "Gap - Invalid Consent", "Compliant")))))</f>
        <v/>
      </c>
      <c r="O4015" s="7" t="n"/>
    </row>
    <row r="4016">
      <c r="A4016" s="7" t="n"/>
      <c r="B4016" s="7" t="n"/>
      <c r="C4016" s="7" t="n"/>
      <c r="D4016" s="7" t="n"/>
      <c r="E4016" s="7" t="n"/>
      <c r="F4016" s="7" t="n"/>
      <c r="G4016" s="7" t="n"/>
      <c r="H4016" s="7" t="n"/>
      <c r="I4016" s="7" t="n"/>
      <c r="J4016" s="7" t="n"/>
      <c r="K4016">
        <f>IF(D4016="Legitimate Interest (GDPR Art. 6(1)(f))", "Yes / Required (Sheet 3)", "")</f>
        <v/>
      </c>
      <c r="L4016" s="7" t="n"/>
      <c r="M4016" s="7" t="n"/>
      <c r="N4016">
        <f>IF(D4016="", "Gap - No Legal Basis", IF(AND(D4016="Consent (GDPR Art. 6(1)(a))", I4016="Not Captured"), "Gap - Invalid Consent", IF(AND(D4016="Legitimate Interest (GDPR Art. 6(1)(f))", L4016=""), "Gap - Missing LIA", IF(AND(G4016="Yes", H4016=""), "Gap - Missing Art. 9 Basis", IF(OR(I4016="Invalid - Not Freely Given", I4016="Invalid - Not Specific", I4016="Invalid - Not Informed", I4016="Invalid - Ambiguous"), "Gap - Invalid Consent", "Compliant")))))</f>
        <v/>
      </c>
      <c r="O4016" s="7" t="n"/>
    </row>
    <row r="4017">
      <c r="A4017" s="7" t="n"/>
      <c r="B4017" s="7" t="n"/>
      <c r="C4017" s="7" t="n"/>
      <c r="D4017" s="7" t="n"/>
      <c r="E4017" s="7" t="n"/>
      <c r="F4017" s="7" t="n"/>
      <c r="G4017" s="7" t="n"/>
      <c r="H4017" s="7" t="n"/>
      <c r="I4017" s="7" t="n"/>
      <c r="J4017" s="7" t="n"/>
      <c r="K4017">
        <f>IF(D4017="Legitimate Interest (GDPR Art. 6(1)(f))", "Yes / Required (Sheet 3)", "")</f>
        <v/>
      </c>
      <c r="L4017" s="7" t="n"/>
      <c r="M4017" s="7" t="n"/>
      <c r="N4017">
        <f>IF(D4017="", "Gap - No Legal Basis", IF(AND(D4017="Consent (GDPR Art. 6(1)(a))", I4017="Not Captured"), "Gap - Invalid Consent", IF(AND(D4017="Legitimate Interest (GDPR Art. 6(1)(f))", L4017=""), "Gap - Missing LIA", IF(AND(G4017="Yes", H4017=""), "Gap - Missing Art. 9 Basis", IF(OR(I4017="Invalid - Not Freely Given", I4017="Invalid - Not Specific", I4017="Invalid - Not Informed", I4017="Invalid - Ambiguous"), "Gap - Invalid Consent", "Compliant")))))</f>
        <v/>
      </c>
      <c r="O4017" s="7" t="n"/>
    </row>
    <row r="4018">
      <c r="A4018" s="7" t="n"/>
      <c r="B4018" s="7" t="n"/>
      <c r="C4018" s="7" t="n"/>
      <c r="D4018" s="7" t="n"/>
      <c r="E4018" s="7" t="n"/>
      <c r="F4018" s="7" t="n"/>
      <c r="G4018" s="7" t="n"/>
      <c r="H4018" s="7" t="n"/>
      <c r="I4018" s="7" t="n"/>
      <c r="J4018" s="7" t="n"/>
      <c r="K4018">
        <f>IF(D4018="Legitimate Interest (GDPR Art. 6(1)(f))", "Yes / Required (Sheet 3)", "")</f>
        <v/>
      </c>
      <c r="L4018" s="7" t="n"/>
      <c r="M4018" s="7" t="n"/>
      <c r="N4018">
        <f>IF(D4018="", "Gap - No Legal Basis", IF(AND(D4018="Consent (GDPR Art. 6(1)(a))", I4018="Not Captured"), "Gap - Invalid Consent", IF(AND(D4018="Legitimate Interest (GDPR Art. 6(1)(f))", L4018=""), "Gap - Missing LIA", IF(AND(G4018="Yes", H4018=""), "Gap - Missing Art. 9 Basis", IF(OR(I4018="Invalid - Not Freely Given", I4018="Invalid - Not Specific", I4018="Invalid - Not Informed", I4018="Invalid - Ambiguous"), "Gap - Invalid Consent", "Compliant")))))</f>
        <v/>
      </c>
      <c r="O4018" s="7" t="n"/>
    </row>
    <row r="4019">
      <c r="A4019" s="7" t="n"/>
      <c r="B4019" s="7" t="n"/>
      <c r="C4019" s="7" t="n"/>
      <c r="D4019" s="7" t="n"/>
      <c r="E4019" s="7" t="n"/>
      <c r="F4019" s="7" t="n"/>
      <c r="G4019" s="7" t="n"/>
      <c r="H4019" s="7" t="n"/>
      <c r="I4019" s="7" t="n"/>
      <c r="J4019" s="7" t="n"/>
      <c r="K4019">
        <f>IF(D4019="Legitimate Interest (GDPR Art. 6(1)(f))", "Yes / Required (Sheet 3)", "")</f>
        <v/>
      </c>
      <c r="L4019" s="7" t="n"/>
      <c r="M4019" s="7" t="n"/>
      <c r="N4019">
        <f>IF(D4019="", "Gap - No Legal Basis", IF(AND(D4019="Consent (GDPR Art. 6(1)(a))", I4019="Not Captured"), "Gap - Invalid Consent", IF(AND(D4019="Legitimate Interest (GDPR Art. 6(1)(f))", L4019=""), "Gap - Missing LIA", IF(AND(G4019="Yes", H4019=""), "Gap - Missing Art. 9 Basis", IF(OR(I4019="Invalid - Not Freely Given", I4019="Invalid - Not Specific", I4019="Invalid - Not Informed", I4019="Invalid - Ambiguous"), "Gap - Invalid Consent", "Compliant")))))</f>
        <v/>
      </c>
      <c r="O4019" s="7" t="n"/>
    </row>
    <row r="4020">
      <c r="A4020" s="7" t="n"/>
      <c r="B4020" s="7" t="n"/>
      <c r="C4020" s="7" t="n"/>
      <c r="D4020" s="7" t="n"/>
      <c r="E4020" s="7" t="n"/>
      <c r="F4020" s="7" t="n"/>
      <c r="G4020" s="7" t="n"/>
      <c r="H4020" s="7" t="n"/>
      <c r="I4020" s="7" t="n"/>
      <c r="J4020" s="7" t="n"/>
      <c r="K4020">
        <f>IF(D4020="Legitimate Interest (GDPR Art. 6(1)(f))", "Yes / Required (Sheet 3)", "")</f>
        <v/>
      </c>
      <c r="L4020" s="7" t="n"/>
      <c r="M4020" s="7" t="n"/>
      <c r="N4020">
        <f>IF(D4020="", "Gap - No Legal Basis", IF(AND(D4020="Consent (GDPR Art. 6(1)(a))", I4020="Not Captured"), "Gap - Invalid Consent", IF(AND(D4020="Legitimate Interest (GDPR Art. 6(1)(f))", L4020=""), "Gap - Missing LIA", IF(AND(G4020="Yes", H4020=""), "Gap - Missing Art. 9 Basis", IF(OR(I4020="Invalid - Not Freely Given", I4020="Invalid - Not Specific", I4020="Invalid - Not Informed", I4020="Invalid - Ambiguous"), "Gap - Invalid Consent", "Compliant")))))</f>
        <v/>
      </c>
      <c r="O4020" s="7" t="n"/>
    </row>
    <row r="4021">
      <c r="A4021" s="7" t="n"/>
      <c r="B4021" s="7" t="n"/>
      <c r="C4021" s="7" t="n"/>
      <c r="D4021" s="7" t="n"/>
      <c r="E4021" s="7" t="n"/>
      <c r="F4021" s="7" t="n"/>
      <c r="G4021" s="7" t="n"/>
      <c r="H4021" s="7" t="n"/>
      <c r="I4021" s="7" t="n"/>
      <c r="J4021" s="7" t="n"/>
      <c r="K4021">
        <f>IF(D4021="Legitimate Interest (GDPR Art. 6(1)(f))", "Yes / Required (Sheet 3)", "")</f>
        <v/>
      </c>
      <c r="L4021" s="7" t="n"/>
      <c r="M4021" s="7" t="n"/>
      <c r="N4021">
        <f>IF(D4021="", "Gap - No Legal Basis", IF(AND(D4021="Consent (GDPR Art. 6(1)(a))", I4021="Not Captured"), "Gap - Invalid Consent", IF(AND(D4021="Legitimate Interest (GDPR Art. 6(1)(f))", L4021=""), "Gap - Missing LIA", IF(AND(G4021="Yes", H4021=""), "Gap - Missing Art. 9 Basis", IF(OR(I4021="Invalid - Not Freely Given", I4021="Invalid - Not Specific", I4021="Invalid - Not Informed", I4021="Invalid - Ambiguous"), "Gap - Invalid Consent", "Compliant")))))</f>
        <v/>
      </c>
      <c r="O4021" s="7" t="n"/>
    </row>
    <row r="4022">
      <c r="A4022" s="7" t="n"/>
      <c r="B4022" s="7" t="n"/>
      <c r="C4022" s="7" t="n"/>
      <c r="D4022" s="7" t="n"/>
      <c r="E4022" s="7" t="n"/>
      <c r="F4022" s="7" t="n"/>
      <c r="G4022" s="7" t="n"/>
      <c r="H4022" s="7" t="n"/>
      <c r="I4022" s="7" t="n"/>
      <c r="J4022" s="7" t="n"/>
      <c r="K4022">
        <f>IF(D4022="Legitimate Interest (GDPR Art. 6(1)(f))", "Yes / Required (Sheet 3)", "")</f>
        <v/>
      </c>
      <c r="L4022" s="7" t="n"/>
      <c r="M4022" s="7" t="n"/>
      <c r="N4022">
        <f>IF(D4022="", "Gap - No Legal Basis", IF(AND(D4022="Consent (GDPR Art. 6(1)(a))", I4022="Not Captured"), "Gap - Invalid Consent", IF(AND(D4022="Legitimate Interest (GDPR Art. 6(1)(f))", L4022=""), "Gap - Missing LIA", IF(AND(G4022="Yes", H4022=""), "Gap - Missing Art. 9 Basis", IF(OR(I4022="Invalid - Not Freely Given", I4022="Invalid - Not Specific", I4022="Invalid - Not Informed", I4022="Invalid - Ambiguous"), "Gap - Invalid Consent", "Compliant")))))</f>
        <v/>
      </c>
      <c r="O4022" s="7" t="n"/>
    </row>
    <row r="4023">
      <c r="A4023" s="7" t="n"/>
      <c r="B4023" s="7" t="n"/>
      <c r="C4023" s="7" t="n"/>
      <c r="D4023" s="7" t="n"/>
      <c r="E4023" s="7" t="n"/>
      <c r="F4023" s="7" t="n"/>
      <c r="G4023" s="7" t="n"/>
      <c r="H4023" s="7" t="n"/>
      <c r="I4023" s="7" t="n"/>
      <c r="J4023" s="7" t="n"/>
      <c r="K4023">
        <f>IF(D4023="Legitimate Interest (GDPR Art. 6(1)(f))", "Yes / Required (Sheet 3)", "")</f>
        <v/>
      </c>
      <c r="L4023" s="7" t="n"/>
      <c r="M4023" s="7" t="n"/>
      <c r="N4023">
        <f>IF(D4023="", "Gap - No Legal Basis", IF(AND(D4023="Consent (GDPR Art. 6(1)(a))", I4023="Not Captured"), "Gap - Invalid Consent", IF(AND(D4023="Legitimate Interest (GDPR Art. 6(1)(f))", L4023=""), "Gap - Missing LIA", IF(AND(G4023="Yes", H4023=""), "Gap - Missing Art. 9 Basis", IF(OR(I4023="Invalid - Not Freely Given", I4023="Invalid - Not Specific", I4023="Invalid - Not Informed", I4023="Invalid - Ambiguous"), "Gap - Invalid Consent", "Compliant")))))</f>
        <v/>
      </c>
      <c r="O4023" s="7" t="n"/>
    </row>
    <row r="4024">
      <c r="A4024" s="7" t="n"/>
      <c r="B4024" s="7" t="n"/>
      <c r="C4024" s="7" t="n"/>
      <c r="D4024" s="7" t="n"/>
      <c r="E4024" s="7" t="n"/>
      <c r="F4024" s="7" t="n"/>
      <c r="G4024" s="7" t="n"/>
      <c r="H4024" s="7" t="n"/>
      <c r="I4024" s="7" t="n"/>
      <c r="J4024" s="7" t="n"/>
      <c r="K4024">
        <f>IF(D4024="Legitimate Interest (GDPR Art. 6(1)(f))", "Yes / Required (Sheet 3)", "")</f>
        <v/>
      </c>
      <c r="L4024" s="7" t="n"/>
      <c r="M4024" s="7" t="n"/>
      <c r="N4024">
        <f>IF(D4024="", "Gap - No Legal Basis", IF(AND(D4024="Consent (GDPR Art. 6(1)(a))", I4024="Not Captured"), "Gap - Invalid Consent", IF(AND(D4024="Legitimate Interest (GDPR Art. 6(1)(f))", L4024=""), "Gap - Missing LIA", IF(AND(G4024="Yes", H4024=""), "Gap - Missing Art. 9 Basis", IF(OR(I4024="Invalid - Not Freely Given", I4024="Invalid - Not Specific", I4024="Invalid - Not Informed", I4024="Invalid - Ambiguous"), "Gap - Invalid Consent", "Compliant")))))</f>
        <v/>
      </c>
      <c r="O4024" s="7" t="n"/>
    </row>
    <row r="4025">
      <c r="A4025" s="7" t="n"/>
      <c r="B4025" s="7" t="n"/>
      <c r="C4025" s="7" t="n"/>
      <c r="D4025" s="7" t="n"/>
      <c r="E4025" s="7" t="n"/>
      <c r="F4025" s="7" t="n"/>
      <c r="G4025" s="7" t="n"/>
      <c r="H4025" s="7" t="n"/>
      <c r="I4025" s="7" t="n"/>
      <c r="J4025" s="7" t="n"/>
      <c r="K4025">
        <f>IF(D4025="Legitimate Interest (GDPR Art. 6(1)(f))", "Yes / Required (Sheet 3)", "")</f>
        <v/>
      </c>
      <c r="L4025" s="7" t="n"/>
      <c r="M4025" s="7" t="n"/>
      <c r="N4025">
        <f>IF(D4025="", "Gap - No Legal Basis", IF(AND(D4025="Consent (GDPR Art. 6(1)(a))", I4025="Not Captured"), "Gap - Invalid Consent", IF(AND(D4025="Legitimate Interest (GDPR Art. 6(1)(f))", L4025=""), "Gap - Missing LIA", IF(AND(G4025="Yes", H4025=""), "Gap - Missing Art. 9 Basis", IF(OR(I4025="Invalid - Not Freely Given", I4025="Invalid - Not Specific", I4025="Invalid - Not Informed", I4025="Invalid - Ambiguous"), "Gap - Invalid Consent", "Compliant")))))</f>
        <v/>
      </c>
      <c r="O4025" s="7" t="n"/>
    </row>
    <row r="4026">
      <c r="A4026" s="7" t="n"/>
      <c r="B4026" s="7" t="n"/>
      <c r="C4026" s="7" t="n"/>
      <c r="D4026" s="7" t="n"/>
      <c r="E4026" s="7" t="n"/>
      <c r="F4026" s="7" t="n"/>
      <c r="G4026" s="7" t="n"/>
      <c r="H4026" s="7" t="n"/>
      <c r="I4026" s="7" t="n"/>
      <c r="J4026" s="7" t="n"/>
      <c r="K4026">
        <f>IF(D4026="Legitimate Interest (GDPR Art. 6(1)(f))", "Yes / Required (Sheet 3)", "")</f>
        <v/>
      </c>
      <c r="L4026" s="7" t="n"/>
      <c r="M4026" s="7" t="n"/>
      <c r="N4026">
        <f>IF(D4026="", "Gap - No Legal Basis", IF(AND(D4026="Consent (GDPR Art. 6(1)(a))", I4026="Not Captured"), "Gap - Invalid Consent", IF(AND(D4026="Legitimate Interest (GDPR Art. 6(1)(f))", L4026=""), "Gap - Missing LIA", IF(AND(G4026="Yes", H4026=""), "Gap - Missing Art. 9 Basis", IF(OR(I4026="Invalid - Not Freely Given", I4026="Invalid - Not Specific", I4026="Invalid - Not Informed", I4026="Invalid - Ambiguous"), "Gap - Invalid Consent", "Compliant")))))</f>
        <v/>
      </c>
      <c r="O4026" s="7" t="n"/>
    </row>
    <row r="4027">
      <c r="A4027" s="7" t="n"/>
      <c r="B4027" s="7" t="n"/>
      <c r="C4027" s="7" t="n"/>
      <c r="D4027" s="7" t="n"/>
      <c r="E4027" s="7" t="n"/>
      <c r="F4027" s="7" t="n"/>
      <c r="G4027" s="7" t="n"/>
      <c r="H4027" s="7" t="n"/>
      <c r="I4027" s="7" t="n"/>
      <c r="J4027" s="7" t="n"/>
      <c r="K4027">
        <f>IF(D4027="Legitimate Interest (GDPR Art. 6(1)(f))", "Yes / Required (Sheet 3)", "")</f>
        <v/>
      </c>
      <c r="L4027" s="7" t="n"/>
      <c r="M4027" s="7" t="n"/>
      <c r="N4027">
        <f>IF(D4027="", "Gap - No Legal Basis", IF(AND(D4027="Consent (GDPR Art. 6(1)(a))", I4027="Not Captured"), "Gap - Invalid Consent", IF(AND(D4027="Legitimate Interest (GDPR Art. 6(1)(f))", L4027=""), "Gap - Missing LIA", IF(AND(G4027="Yes", H4027=""), "Gap - Missing Art. 9 Basis", IF(OR(I4027="Invalid - Not Freely Given", I4027="Invalid - Not Specific", I4027="Invalid - Not Informed", I4027="Invalid - Ambiguous"), "Gap - Invalid Consent", "Compliant")))))</f>
        <v/>
      </c>
      <c r="O4027" s="7" t="n"/>
    </row>
    <row r="4028">
      <c r="A4028" s="7" t="n"/>
      <c r="B4028" s="7" t="n"/>
      <c r="C4028" s="7" t="n"/>
      <c r="D4028" s="7" t="n"/>
      <c r="E4028" s="7" t="n"/>
      <c r="F4028" s="7" t="n"/>
      <c r="G4028" s="7" t="n"/>
      <c r="H4028" s="7" t="n"/>
      <c r="I4028" s="7" t="n"/>
      <c r="J4028" s="7" t="n"/>
      <c r="K4028">
        <f>IF(D4028="Legitimate Interest (GDPR Art. 6(1)(f))", "Yes / Required (Sheet 3)", "")</f>
        <v/>
      </c>
      <c r="L4028" s="7" t="n"/>
      <c r="M4028" s="7" t="n"/>
      <c r="N4028">
        <f>IF(D4028="", "Gap - No Legal Basis", IF(AND(D4028="Consent (GDPR Art. 6(1)(a))", I4028="Not Captured"), "Gap - Invalid Consent", IF(AND(D4028="Legitimate Interest (GDPR Art. 6(1)(f))", L4028=""), "Gap - Missing LIA", IF(AND(G4028="Yes", H4028=""), "Gap - Missing Art. 9 Basis", IF(OR(I4028="Invalid - Not Freely Given", I4028="Invalid - Not Specific", I4028="Invalid - Not Informed", I4028="Invalid - Ambiguous"), "Gap - Invalid Consent", "Compliant")))))</f>
        <v/>
      </c>
      <c r="O4028" s="7" t="n"/>
    </row>
    <row r="4029">
      <c r="A4029" s="7" t="n"/>
      <c r="B4029" s="7" t="n"/>
      <c r="C4029" s="7" t="n"/>
      <c r="D4029" s="7" t="n"/>
      <c r="E4029" s="7" t="n"/>
      <c r="F4029" s="7" t="n"/>
      <c r="G4029" s="7" t="n"/>
      <c r="H4029" s="7" t="n"/>
      <c r="I4029" s="7" t="n"/>
      <c r="J4029" s="7" t="n"/>
      <c r="K4029">
        <f>IF(D4029="Legitimate Interest (GDPR Art. 6(1)(f))", "Yes / Required (Sheet 3)", "")</f>
        <v/>
      </c>
      <c r="L4029" s="7" t="n"/>
      <c r="M4029" s="7" t="n"/>
      <c r="N4029">
        <f>IF(D4029="", "Gap - No Legal Basis", IF(AND(D4029="Consent (GDPR Art. 6(1)(a))", I4029="Not Captured"), "Gap - Invalid Consent", IF(AND(D4029="Legitimate Interest (GDPR Art. 6(1)(f))", L4029=""), "Gap - Missing LIA", IF(AND(G4029="Yes", H4029=""), "Gap - Missing Art. 9 Basis", IF(OR(I4029="Invalid - Not Freely Given", I4029="Invalid - Not Specific", I4029="Invalid - Not Informed", I4029="Invalid - Ambiguous"), "Gap - Invalid Consent", "Compliant")))))</f>
        <v/>
      </c>
      <c r="O4029" s="7" t="n"/>
    </row>
    <row r="4030">
      <c r="A4030" s="7" t="n"/>
      <c r="B4030" s="7" t="n"/>
      <c r="C4030" s="7" t="n"/>
      <c r="D4030" s="7" t="n"/>
      <c r="E4030" s="7" t="n"/>
      <c r="F4030" s="7" t="n"/>
      <c r="G4030" s="7" t="n"/>
      <c r="H4030" s="7" t="n"/>
      <c r="I4030" s="7" t="n"/>
      <c r="J4030" s="7" t="n"/>
      <c r="K4030">
        <f>IF(D4030="Legitimate Interest (GDPR Art. 6(1)(f))", "Yes / Required (Sheet 3)", "")</f>
        <v/>
      </c>
      <c r="L4030" s="7" t="n"/>
      <c r="M4030" s="7" t="n"/>
      <c r="N4030">
        <f>IF(D4030="", "Gap - No Legal Basis", IF(AND(D4030="Consent (GDPR Art. 6(1)(a))", I4030="Not Captured"), "Gap - Invalid Consent", IF(AND(D4030="Legitimate Interest (GDPR Art. 6(1)(f))", L4030=""), "Gap - Missing LIA", IF(AND(G4030="Yes", H4030=""), "Gap - Missing Art. 9 Basis", IF(OR(I4030="Invalid - Not Freely Given", I4030="Invalid - Not Specific", I4030="Invalid - Not Informed", I4030="Invalid - Ambiguous"), "Gap - Invalid Consent", "Compliant")))))</f>
        <v/>
      </c>
      <c r="O4030" s="7" t="n"/>
    </row>
    <row r="4031">
      <c r="A4031" s="7" t="n"/>
      <c r="B4031" s="7" t="n"/>
      <c r="C4031" s="7" t="n"/>
      <c r="D4031" s="7" t="n"/>
      <c r="E4031" s="7" t="n"/>
      <c r="F4031" s="7" t="n"/>
      <c r="G4031" s="7" t="n"/>
      <c r="H4031" s="7" t="n"/>
      <c r="I4031" s="7" t="n"/>
      <c r="J4031" s="7" t="n"/>
      <c r="K4031">
        <f>IF(D4031="Legitimate Interest (GDPR Art. 6(1)(f))", "Yes / Required (Sheet 3)", "")</f>
        <v/>
      </c>
      <c r="L4031" s="7" t="n"/>
      <c r="M4031" s="7" t="n"/>
      <c r="N4031">
        <f>IF(D4031="", "Gap - No Legal Basis", IF(AND(D4031="Consent (GDPR Art. 6(1)(a))", I4031="Not Captured"), "Gap - Invalid Consent", IF(AND(D4031="Legitimate Interest (GDPR Art. 6(1)(f))", L4031=""), "Gap - Missing LIA", IF(AND(G4031="Yes", H4031=""), "Gap - Missing Art. 9 Basis", IF(OR(I4031="Invalid - Not Freely Given", I4031="Invalid - Not Specific", I4031="Invalid - Not Informed", I4031="Invalid - Ambiguous"), "Gap - Invalid Consent", "Compliant")))))</f>
        <v/>
      </c>
      <c r="O4031" s="7" t="n"/>
    </row>
    <row r="4032">
      <c r="A4032" s="7" t="n"/>
      <c r="B4032" s="7" t="n"/>
      <c r="C4032" s="7" t="n"/>
      <c r="D4032" s="7" t="n"/>
      <c r="E4032" s="7" t="n"/>
      <c r="F4032" s="7" t="n"/>
      <c r="G4032" s="7" t="n"/>
      <c r="H4032" s="7" t="n"/>
      <c r="I4032" s="7" t="n"/>
      <c r="J4032" s="7" t="n"/>
      <c r="K4032">
        <f>IF(D4032="Legitimate Interest (GDPR Art. 6(1)(f))", "Yes / Required (Sheet 3)", "")</f>
        <v/>
      </c>
      <c r="L4032" s="7" t="n"/>
      <c r="M4032" s="7" t="n"/>
      <c r="N4032">
        <f>IF(D4032="", "Gap - No Legal Basis", IF(AND(D4032="Consent (GDPR Art. 6(1)(a))", I4032="Not Captured"), "Gap - Invalid Consent", IF(AND(D4032="Legitimate Interest (GDPR Art. 6(1)(f))", L4032=""), "Gap - Missing LIA", IF(AND(G4032="Yes", H4032=""), "Gap - Missing Art. 9 Basis", IF(OR(I4032="Invalid - Not Freely Given", I4032="Invalid - Not Specific", I4032="Invalid - Not Informed", I4032="Invalid - Ambiguous"), "Gap - Invalid Consent", "Compliant")))))</f>
        <v/>
      </c>
      <c r="O4032" s="7" t="n"/>
    </row>
    <row r="4033">
      <c r="A4033" s="7" t="n"/>
      <c r="B4033" s="7" t="n"/>
      <c r="C4033" s="7" t="n"/>
      <c r="D4033" s="7" t="n"/>
      <c r="E4033" s="7" t="n"/>
      <c r="F4033" s="7" t="n"/>
      <c r="G4033" s="7" t="n"/>
      <c r="H4033" s="7" t="n"/>
      <c r="I4033" s="7" t="n"/>
      <c r="J4033" s="7" t="n"/>
      <c r="K4033">
        <f>IF(D4033="Legitimate Interest (GDPR Art. 6(1)(f))", "Yes / Required (Sheet 3)", "")</f>
        <v/>
      </c>
      <c r="L4033" s="7" t="n"/>
      <c r="M4033" s="7" t="n"/>
      <c r="N4033">
        <f>IF(D4033="", "Gap - No Legal Basis", IF(AND(D4033="Consent (GDPR Art. 6(1)(a))", I4033="Not Captured"), "Gap - Invalid Consent", IF(AND(D4033="Legitimate Interest (GDPR Art. 6(1)(f))", L4033=""), "Gap - Missing LIA", IF(AND(G4033="Yes", H4033=""), "Gap - Missing Art. 9 Basis", IF(OR(I4033="Invalid - Not Freely Given", I4033="Invalid - Not Specific", I4033="Invalid - Not Informed", I4033="Invalid - Ambiguous"), "Gap - Invalid Consent", "Compliant")))))</f>
        <v/>
      </c>
      <c r="O4033" s="7" t="n"/>
    </row>
    <row r="4034">
      <c r="A4034" s="7" t="n"/>
      <c r="B4034" s="7" t="n"/>
      <c r="C4034" s="7" t="n"/>
      <c r="D4034" s="7" t="n"/>
      <c r="E4034" s="7" t="n"/>
      <c r="F4034" s="7" t="n"/>
      <c r="G4034" s="7" t="n"/>
      <c r="H4034" s="7" t="n"/>
      <c r="I4034" s="7" t="n"/>
      <c r="J4034" s="7" t="n"/>
      <c r="K4034">
        <f>IF(D4034="Legitimate Interest (GDPR Art. 6(1)(f))", "Yes / Required (Sheet 3)", "")</f>
        <v/>
      </c>
      <c r="L4034" s="7" t="n"/>
      <c r="M4034" s="7" t="n"/>
      <c r="N4034">
        <f>IF(D4034="", "Gap - No Legal Basis", IF(AND(D4034="Consent (GDPR Art. 6(1)(a))", I4034="Not Captured"), "Gap - Invalid Consent", IF(AND(D4034="Legitimate Interest (GDPR Art. 6(1)(f))", L4034=""), "Gap - Missing LIA", IF(AND(G4034="Yes", H4034=""), "Gap - Missing Art. 9 Basis", IF(OR(I4034="Invalid - Not Freely Given", I4034="Invalid - Not Specific", I4034="Invalid - Not Informed", I4034="Invalid - Ambiguous"), "Gap - Invalid Consent", "Compliant")))))</f>
        <v/>
      </c>
      <c r="O4034" s="7" t="n"/>
    </row>
    <row r="4035">
      <c r="A4035" s="7" t="n"/>
      <c r="B4035" s="7" t="n"/>
      <c r="C4035" s="7" t="n"/>
      <c r="D4035" s="7" t="n"/>
      <c r="E4035" s="7" t="n"/>
      <c r="F4035" s="7" t="n"/>
      <c r="G4035" s="7" t="n"/>
      <c r="H4035" s="7" t="n"/>
      <c r="I4035" s="7" t="n"/>
      <c r="J4035" s="7" t="n"/>
      <c r="K4035">
        <f>IF(D4035="Legitimate Interest (GDPR Art. 6(1)(f))", "Yes / Required (Sheet 3)", "")</f>
        <v/>
      </c>
      <c r="L4035" s="7" t="n"/>
      <c r="M4035" s="7" t="n"/>
      <c r="N4035">
        <f>IF(D4035="", "Gap - No Legal Basis", IF(AND(D4035="Consent (GDPR Art. 6(1)(a))", I4035="Not Captured"), "Gap - Invalid Consent", IF(AND(D4035="Legitimate Interest (GDPR Art. 6(1)(f))", L4035=""), "Gap - Missing LIA", IF(AND(G4035="Yes", H4035=""), "Gap - Missing Art. 9 Basis", IF(OR(I4035="Invalid - Not Freely Given", I4035="Invalid - Not Specific", I4035="Invalid - Not Informed", I4035="Invalid - Ambiguous"), "Gap - Invalid Consent", "Compliant")))))</f>
        <v/>
      </c>
      <c r="O4035" s="7" t="n"/>
    </row>
    <row r="4036">
      <c r="A4036" s="7" t="n"/>
      <c r="B4036" s="7" t="n"/>
      <c r="C4036" s="7" t="n"/>
      <c r="D4036" s="7" t="n"/>
      <c r="E4036" s="7" t="n"/>
      <c r="F4036" s="7" t="n"/>
      <c r="G4036" s="7" t="n"/>
      <c r="H4036" s="7" t="n"/>
      <c r="I4036" s="7" t="n"/>
      <c r="J4036" s="7" t="n"/>
      <c r="K4036">
        <f>IF(D4036="Legitimate Interest (GDPR Art. 6(1)(f))", "Yes / Required (Sheet 3)", "")</f>
        <v/>
      </c>
      <c r="L4036" s="7" t="n"/>
      <c r="M4036" s="7" t="n"/>
      <c r="N4036">
        <f>IF(D4036="", "Gap - No Legal Basis", IF(AND(D4036="Consent (GDPR Art. 6(1)(a))", I4036="Not Captured"), "Gap - Invalid Consent", IF(AND(D4036="Legitimate Interest (GDPR Art. 6(1)(f))", L4036=""), "Gap - Missing LIA", IF(AND(G4036="Yes", H4036=""), "Gap - Missing Art. 9 Basis", IF(OR(I4036="Invalid - Not Freely Given", I4036="Invalid - Not Specific", I4036="Invalid - Not Informed", I4036="Invalid - Ambiguous"), "Gap - Invalid Consent", "Compliant")))))</f>
        <v/>
      </c>
      <c r="O4036" s="7" t="n"/>
    </row>
    <row r="4037">
      <c r="A4037" s="7" t="n"/>
      <c r="B4037" s="7" t="n"/>
      <c r="C4037" s="7" t="n"/>
      <c r="D4037" s="7" t="n"/>
      <c r="E4037" s="7" t="n"/>
      <c r="F4037" s="7" t="n"/>
      <c r="G4037" s="7" t="n"/>
      <c r="H4037" s="7" t="n"/>
      <c r="I4037" s="7" t="n"/>
      <c r="J4037" s="7" t="n"/>
      <c r="K4037">
        <f>IF(D4037="Legitimate Interest (GDPR Art. 6(1)(f))", "Yes / Required (Sheet 3)", "")</f>
        <v/>
      </c>
      <c r="L4037" s="7" t="n"/>
      <c r="M4037" s="7" t="n"/>
      <c r="N4037">
        <f>IF(D4037="", "Gap - No Legal Basis", IF(AND(D4037="Consent (GDPR Art. 6(1)(a))", I4037="Not Captured"), "Gap - Invalid Consent", IF(AND(D4037="Legitimate Interest (GDPR Art. 6(1)(f))", L4037=""), "Gap - Missing LIA", IF(AND(G4037="Yes", H4037=""), "Gap - Missing Art. 9 Basis", IF(OR(I4037="Invalid - Not Freely Given", I4037="Invalid - Not Specific", I4037="Invalid - Not Informed", I4037="Invalid - Ambiguous"), "Gap - Invalid Consent", "Compliant")))))</f>
        <v/>
      </c>
      <c r="O4037" s="7" t="n"/>
    </row>
    <row r="4038">
      <c r="A4038" s="7" t="n"/>
      <c r="B4038" s="7" t="n"/>
      <c r="C4038" s="7" t="n"/>
      <c r="D4038" s="7" t="n"/>
      <c r="E4038" s="7" t="n"/>
      <c r="F4038" s="7" t="n"/>
      <c r="G4038" s="7" t="n"/>
      <c r="H4038" s="7" t="n"/>
      <c r="I4038" s="7" t="n"/>
      <c r="J4038" s="7" t="n"/>
      <c r="K4038">
        <f>IF(D4038="Legitimate Interest (GDPR Art. 6(1)(f))", "Yes / Required (Sheet 3)", "")</f>
        <v/>
      </c>
      <c r="L4038" s="7" t="n"/>
      <c r="M4038" s="7" t="n"/>
      <c r="N4038">
        <f>IF(D4038="", "Gap - No Legal Basis", IF(AND(D4038="Consent (GDPR Art. 6(1)(a))", I4038="Not Captured"), "Gap - Invalid Consent", IF(AND(D4038="Legitimate Interest (GDPR Art. 6(1)(f))", L4038=""), "Gap - Missing LIA", IF(AND(G4038="Yes", H4038=""), "Gap - Missing Art. 9 Basis", IF(OR(I4038="Invalid - Not Freely Given", I4038="Invalid - Not Specific", I4038="Invalid - Not Informed", I4038="Invalid - Ambiguous"), "Gap - Invalid Consent", "Compliant")))))</f>
        <v/>
      </c>
      <c r="O4038" s="7" t="n"/>
    </row>
    <row r="4039">
      <c r="A4039" s="7" t="n"/>
      <c r="B4039" s="7" t="n"/>
      <c r="C4039" s="7" t="n"/>
      <c r="D4039" s="7" t="n"/>
      <c r="E4039" s="7" t="n"/>
      <c r="F4039" s="7" t="n"/>
      <c r="G4039" s="7" t="n"/>
      <c r="H4039" s="7" t="n"/>
      <c r="I4039" s="7" t="n"/>
      <c r="J4039" s="7" t="n"/>
      <c r="K4039">
        <f>IF(D4039="Legitimate Interest (GDPR Art. 6(1)(f))", "Yes / Required (Sheet 3)", "")</f>
        <v/>
      </c>
      <c r="L4039" s="7" t="n"/>
      <c r="M4039" s="7" t="n"/>
      <c r="N4039">
        <f>IF(D4039="", "Gap - No Legal Basis", IF(AND(D4039="Consent (GDPR Art. 6(1)(a))", I4039="Not Captured"), "Gap - Invalid Consent", IF(AND(D4039="Legitimate Interest (GDPR Art. 6(1)(f))", L4039=""), "Gap - Missing LIA", IF(AND(G4039="Yes", H4039=""), "Gap - Missing Art. 9 Basis", IF(OR(I4039="Invalid - Not Freely Given", I4039="Invalid - Not Specific", I4039="Invalid - Not Informed", I4039="Invalid - Ambiguous"), "Gap - Invalid Consent", "Compliant")))))</f>
        <v/>
      </c>
      <c r="O4039" s="7" t="n"/>
    </row>
    <row r="4040">
      <c r="A4040" s="7" t="n"/>
      <c r="B4040" s="7" t="n"/>
      <c r="C4040" s="7" t="n"/>
      <c r="D4040" s="7" t="n"/>
      <c r="E4040" s="7" t="n"/>
      <c r="F4040" s="7" t="n"/>
      <c r="G4040" s="7" t="n"/>
      <c r="H4040" s="7" t="n"/>
      <c r="I4040" s="7" t="n"/>
      <c r="J4040" s="7" t="n"/>
      <c r="K4040">
        <f>IF(D4040="Legitimate Interest (GDPR Art. 6(1)(f))", "Yes / Required (Sheet 3)", "")</f>
        <v/>
      </c>
      <c r="L4040" s="7" t="n"/>
      <c r="M4040" s="7" t="n"/>
      <c r="N4040">
        <f>IF(D4040="", "Gap - No Legal Basis", IF(AND(D4040="Consent (GDPR Art. 6(1)(a))", I4040="Not Captured"), "Gap - Invalid Consent", IF(AND(D4040="Legitimate Interest (GDPR Art. 6(1)(f))", L4040=""), "Gap - Missing LIA", IF(AND(G4040="Yes", H4040=""), "Gap - Missing Art. 9 Basis", IF(OR(I4040="Invalid - Not Freely Given", I4040="Invalid - Not Specific", I4040="Invalid - Not Informed", I4040="Invalid - Ambiguous"), "Gap - Invalid Consent", "Compliant")))))</f>
        <v/>
      </c>
      <c r="O4040" s="7" t="n"/>
    </row>
    <row r="4041">
      <c r="A4041" s="7" t="n"/>
      <c r="B4041" s="7" t="n"/>
      <c r="C4041" s="7" t="n"/>
      <c r="D4041" s="7" t="n"/>
      <c r="E4041" s="7" t="n"/>
      <c r="F4041" s="7" t="n"/>
      <c r="G4041" s="7" t="n"/>
      <c r="H4041" s="7" t="n"/>
      <c r="I4041" s="7" t="n"/>
      <c r="J4041" s="7" t="n"/>
      <c r="K4041">
        <f>IF(D4041="Legitimate Interest (GDPR Art. 6(1)(f))", "Yes / Required (Sheet 3)", "")</f>
        <v/>
      </c>
      <c r="L4041" s="7" t="n"/>
      <c r="M4041" s="7" t="n"/>
      <c r="N4041">
        <f>IF(D4041="", "Gap - No Legal Basis", IF(AND(D4041="Consent (GDPR Art. 6(1)(a))", I4041="Not Captured"), "Gap - Invalid Consent", IF(AND(D4041="Legitimate Interest (GDPR Art. 6(1)(f))", L4041=""), "Gap - Missing LIA", IF(AND(G4041="Yes", H4041=""), "Gap - Missing Art. 9 Basis", IF(OR(I4041="Invalid - Not Freely Given", I4041="Invalid - Not Specific", I4041="Invalid - Not Informed", I4041="Invalid - Ambiguous"), "Gap - Invalid Consent", "Compliant")))))</f>
        <v/>
      </c>
      <c r="O4041" s="7" t="n"/>
    </row>
    <row r="4042">
      <c r="A4042" s="7" t="n"/>
      <c r="B4042" s="7" t="n"/>
      <c r="C4042" s="7" t="n"/>
      <c r="D4042" s="7" t="n"/>
      <c r="E4042" s="7" t="n"/>
      <c r="F4042" s="7" t="n"/>
      <c r="G4042" s="7" t="n"/>
      <c r="H4042" s="7" t="n"/>
      <c r="I4042" s="7" t="n"/>
      <c r="J4042" s="7" t="n"/>
      <c r="K4042">
        <f>IF(D4042="Legitimate Interest (GDPR Art. 6(1)(f))", "Yes / Required (Sheet 3)", "")</f>
        <v/>
      </c>
      <c r="L4042" s="7" t="n"/>
      <c r="M4042" s="7" t="n"/>
      <c r="N4042">
        <f>IF(D4042="", "Gap - No Legal Basis", IF(AND(D4042="Consent (GDPR Art. 6(1)(a))", I4042="Not Captured"), "Gap - Invalid Consent", IF(AND(D4042="Legitimate Interest (GDPR Art. 6(1)(f))", L4042=""), "Gap - Missing LIA", IF(AND(G4042="Yes", H4042=""), "Gap - Missing Art. 9 Basis", IF(OR(I4042="Invalid - Not Freely Given", I4042="Invalid - Not Specific", I4042="Invalid - Not Informed", I4042="Invalid - Ambiguous"), "Gap - Invalid Consent", "Compliant")))))</f>
        <v/>
      </c>
      <c r="O4042" s="7" t="n"/>
    </row>
    <row r="4043">
      <c r="A4043" s="7" t="n"/>
      <c r="B4043" s="7" t="n"/>
      <c r="C4043" s="7" t="n"/>
      <c r="D4043" s="7" t="n"/>
      <c r="E4043" s="7" t="n"/>
      <c r="F4043" s="7" t="n"/>
      <c r="G4043" s="7" t="n"/>
      <c r="H4043" s="7" t="n"/>
      <c r="I4043" s="7" t="n"/>
      <c r="J4043" s="7" t="n"/>
      <c r="K4043">
        <f>IF(D4043="Legitimate Interest (GDPR Art. 6(1)(f))", "Yes / Required (Sheet 3)", "")</f>
        <v/>
      </c>
      <c r="L4043" s="7" t="n"/>
      <c r="M4043" s="7" t="n"/>
      <c r="N4043">
        <f>IF(D4043="", "Gap - No Legal Basis", IF(AND(D4043="Consent (GDPR Art. 6(1)(a))", I4043="Not Captured"), "Gap - Invalid Consent", IF(AND(D4043="Legitimate Interest (GDPR Art. 6(1)(f))", L4043=""), "Gap - Missing LIA", IF(AND(G4043="Yes", H4043=""), "Gap - Missing Art. 9 Basis", IF(OR(I4043="Invalid - Not Freely Given", I4043="Invalid - Not Specific", I4043="Invalid - Not Informed", I4043="Invalid - Ambiguous"), "Gap - Invalid Consent", "Compliant")))))</f>
        <v/>
      </c>
      <c r="O4043" s="7" t="n"/>
    </row>
    <row r="4044">
      <c r="A4044" s="7" t="n"/>
      <c r="B4044" s="7" t="n"/>
      <c r="C4044" s="7" t="n"/>
      <c r="D4044" s="7" t="n"/>
      <c r="E4044" s="7" t="n"/>
      <c r="F4044" s="7" t="n"/>
      <c r="G4044" s="7" t="n"/>
      <c r="H4044" s="7" t="n"/>
      <c r="I4044" s="7" t="n"/>
      <c r="J4044" s="7" t="n"/>
      <c r="K4044">
        <f>IF(D4044="Legitimate Interest (GDPR Art. 6(1)(f))", "Yes / Required (Sheet 3)", "")</f>
        <v/>
      </c>
      <c r="L4044" s="7" t="n"/>
      <c r="M4044" s="7" t="n"/>
      <c r="N4044">
        <f>IF(D4044="", "Gap - No Legal Basis", IF(AND(D4044="Consent (GDPR Art. 6(1)(a))", I4044="Not Captured"), "Gap - Invalid Consent", IF(AND(D4044="Legitimate Interest (GDPR Art. 6(1)(f))", L4044=""), "Gap - Missing LIA", IF(AND(G4044="Yes", H4044=""), "Gap - Missing Art. 9 Basis", IF(OR(I4044="Invalid - Not Freely Given", I4044="Invalid - Not Specific", I4044="Invalid - Not Informed", I4044="Invalid - Ambiguous"), "Gap - Invalid Consent", "Compliant")))))</f>
        <v/>
      </c>
      <c r="O4044" s="7" t="n"/>
    </row>
    <row r="4045">
      <c r="A4045" s="7" t="n"/>
      <c r="B4045" s="7" t="n"/>
      <c r="C4045" s="7" t="n"/>
      <c r="D4045" s="7" t="n"/>
      <c r="E4045" s="7" t="n"/>
      <c r="F4045" s="7" t="n"/>
      <c r="G4045" s="7" t="n"/>
      <c r="H4045" s="7" t="n"/>
      <c r="I4045" s="7" t="n"/>
      <c r="J4045" s="7" t="n"/>
      <c r="K4045">
        <f>IF(D4045="Legitimate Interest (GDPR Art. 6(1)(f))", "Yes / Required (Sheet 3)", "")</f>
        <v/>
      </c>
      <c r="L4045" s="7" t="n"/>
      <c r="M4045" s="7" t="n"/>
      <c r="N4045">
        <f>IF(D4045="", "Gap - No Legal Basis", IF(AND(D4045="Consent (GDPR Art. 6(1)(a))", I4045="Not Captured"), "Gap - Invalid Consent", IF(AND(D4045="Legitimate Interest (GDPR Art. 6(1)(f))", L4045=""), "Gap - Missing LIA", IF(AND(G4045="Yes", H4045=""), "Gap - Missing Art. 9 Basis", IF(OR(I4045="Invalid - Not Freely Given", I4045="Invalid - Not Specific", I4045="Invalid - Not Informed", I4045="Invalid - Ambiguous"), "Gap - Invalid Consent", "Compliant")))))</f>
        <v/>
      </c>
      <c r="O4045" s="7" t="n"/>
    </row>
    <row r="4046">
      <c r="A4046" s="7" t="n"/>
      <c r="B4046" s="7" t="n"/>
      <c r="C4046" s="7" t="n"/>
      <c r="D4046" s="7" t="n"/>
      <c r="E4046" s="7" t="n"/>
      <c r="F4046" s="7" t="n"/>
      <c r="G4046" s="7" t="n"/>
      <c r="H4046" s="7" t="n"/>
      <c r="I4046" s="7" t="n"/>
      <c r="J4046" s="7" t="n"/>
      <c r="K4046">
        <f>IF(D4046="Legitimate Interest (GDPR Art. 6(1)(f))", "Yes / Required (Sheet 3)", "")</f>
        <v/>
      </c>
      <c r="L4046" s="7" t="n"/>
      <c r="M4046" s="7" t="n"/>
      <c r="N4046">
        <f>IF(D4046="", "Gap - No Legal Basis", IF(AND(D4046="Consent (GDPR Art. 6(1)(a))", I4046="Not Captured"), "Gap - Invalid Consent", IF(AND(D4046="Legitimate Interest (GDPR Art. 6(1)(f))", L4046=""), "Gap - Missing LIA", IF(AND(G4046="Yes", H4046=""), "Gap - Missing Art. 9 Basis", IF(OR(I4046="Invalid - Not Freely Given", I4046="Invalid - Not Specific", I4046="Invalid - Not Informed", I4046="Invalid - Ambiguous"), "Gap - Invalid Consent", "Compliant")))))</f>
        <v/>
      </c>
      <c r="O4046" s="7" t="n"/>
    </row>
    <row r="4047">
      <c r="A4047" s="7" t="n"/>
      <c r="B4047" s="7" t="n"/>
      <c r="C4047" s="7" t="n"/>
      <c r="D4047" s="7" t="n"/>
      <c r="E4047" s="7" t="n"/>
      <c r="F4047" s="7" t="n"/>
      <c r="G4047" s="7" t="n"/>
      <c r="H4047" s="7" t="n"/>
      <c r="I4047" s="7" t="n"/>
      <c r="J4047" s="7" t="n"/>
      <c r="K4047">
        <f>IF(D4047="Legitimate Interest (GDPR Art. 6(1)(f))", "Yes / Required (Sheet 3)", "")</f>
        <v/>
      </c>
      <c r="L4047" s="7" t="n"/>
      <c r="M4047" s="7" t="n"/>
      <c r="N4047">
        <f>IF(D4047="", "Gap - No Legal Basis", IF(AND(D4047="Consent (GDPR Art. 6(1)(a))", I4047="Not Captured"), "Gap - Invalid Consent", IF(AND(D4047="Legitimate Interest (GDPR Art. 6(1)(f))", L4047=""), "Gap - Missing LIA", IF(AND(G4047="Yes", H4047=""), "Gap - Missing Art. 9 Basis", IF(OR(I4047="Invalid - Not Freely Given", I4047="Invalid - Not Specific", I4047="Invalid - Not Informed", I4047="Invalid - Ambiguous"), "Gap - Invalid Consent", "Compliant")))))</f>
        <v/>
      </c>
      <c r="O4047" s="7" t="n"/>
    </row>
    <row r="4048">
      <c r="A4048" s="7" t="n"/>
      <c r="B4048" s="7" t="n"/>
      <c r="C4048" s="7" t="n"/>
      <c r="D4048" s="7" t="n"/>
      <c r="E4048" s="7" t="n"/>
      <c r="F4048" s="7" t="n"/>
      <c r="G4048" s="7" t="n"/>
      <c r="H4048" s="7" t="n"/>
      <c r="I4048" s="7" t="n"/>
      <c r="J4048" s="7" t="n"/>
      <c r="K4048">
        <f>IF(D4048="Legitimate Interest (GDPR Art. 6(1)(f))", "Yes / Required (Sheet 3)", "")</f>
        <v/>
      </c>
      <c r="L4048" s="7" t="n"/>
      <c r="M4048" s="7" t="n"/>
      <c r="N4048">
        <f>IF(D4048="", "Gap - No Legal Basis", IF(AND(D4048="Consent (GDPR Art. 6(1)(a))", I4048="Not Captured"), "Gap - Invalid Consent", IF(AND(D4048="Legitimate Interest (GDPR Art. 6(1)(f))", L4048=""), "Gap - Missing LIA", IF(AND(G4048="Yes", H4048=""), "Gap - Missing Art. 9 Basis", IF(OR(I4048="Invalid - Not Freely Given", I4048="Invalid - Not Specific", I4048="Invalid - Not Informed", I4048="Invalid - Ambiguous"), "Gap - Invalid Consent", "Compliant")))))</f>
        <v/>
      </c>
      <c r="O4048" s="7" t="n"/>
    </row>
    <row r="4049">
      <c r="A4049" s="7" t="n"/>
      <c r="B4049" s="7" t="n"/>
      <c r="C4049" s="7" t="n"/>
      <c r="D4049" s="7" t="n"/>
      <c r="E4049" s="7" t="n"/>
      <c r="F4049" s="7" t="n"/>
      <c r="G4049" s="7" t="n"/>
      <c r="H4049" s="7" t="n"/>
      <c r="I4049" s="7" t="n"/>
      <c r="J4049" s="7" t="n"/>
      <c r="K4049">
        <f>IF(D4049="Legitimate Interest (GDPR Art. 6(1)(f))", "Yes / Required (Sheet 3)", "")</f>
        <v/>
      </c>
      <c r="L4049" s="7" t="n"/>
      <c r="M4049" s="7" t="n"/>
      <c r="N4049">
        <f>IF(D4049="", "Gap - No Legal Basis", IF(AND(D4049="Consent (GDPR Art. 6(1)(a))", I4049="Not Captured"), "Gap - Invalid Consent", IF(AND(D4049="Legitimate Interest (GDPR Art. 6(1)(f))", L4049=""), "Gap - Missing LIA", IF(AND(G4049="Yes", H4049=""), "Gap - Missing Art. 9 Basis", IF(OR(I4049="Invalid - Not Freely Given", I4049="Invalid - Not Specific", I4049="Invalid - Not Informed", I4049="Invalid - Ambiguous"), "Gap - Invalid Consent", "Compliant")))))</f>
        <v/>
      </c>
      <c r="O4049" s="7" t="n"/>
    </row>
    <row r="4050">
      <c r="A4050" s="7" t="n"/>
      <c r="B4050" s="7" t="n"/>
      <c r="C4050" s="7" t="n"/>
      <c r="D4050" s="7" t="n"/>
      <c r="E4050" s="7" t="n"/>
      <c r="F4050" s="7" t="n"/>
      <c r="G4050" s="7" t="n"/>
      <c r="H4050" s="7" t="n"/>
      <c r="I4050" s="7" t="n"/>
      <c r="J4050" s="7" t="n"/>
      <c r="K4050">
        <f>IF(D4050="Legitimate Interest (GDPR Art. 6(1)(f))", "Yes / Required (Sheet 3)", "")</f>
        <v/>
      </c>
      <c r="L4050" s="7" t="n"/>
      <c r="M4050" s="7" t="n"/>
      <c r="N4050">
        <f>IF(D4050="", "Gap - No Legal Basis", IF(AND(D4050="Consent (GDPR Art. 6(1)(a))", I4050="Not Captured"), "Gap - Invalid Consent", IF(AND(D4050="Legitimate Interest (GDPR Art. 6(1)(f))", L4050=""), "Gap - Missing LIA", IF(AND(G4050="Yes", H4050=""), "Gap - Missing Art. 9 Basis", IF(OR(I4050="Invalid - Not Freely Given", I4050="Invalid - Not Specific", I4050="Invalid - Not Informed", I4050="Invalid - Ambiguous"), "Gap - Invalid Consent", "Compliant")))))</f>
        <v/>
      </c>
      <c r="O4050" s="7" t="n"/>
    </row>
    <row r="4051">
      <c r="A4051" s="7" t="n"/>
      <c r="B4051" s="7" t="n"/>
      <c r="C4051" s="7" t="n"/>
      <c r="D4051" s="7" t="n"/>
      <c r="E4051" s="7" t="n"/>
      <c r="F4051" s="7" t="n"/>
      <c r="G4051" s="7" t="n"/>
      <c r="H4051" s="7" t="n"/>
      <c r="I4051" s="7" t="n"/>
      <c r="J4051" s="7" t="n"/>
      <c r="K4051">
        <f>IF(D4051="Legitimate Interest (GDPR Art. 6(1)(f))", "Yes / Required (Sheet 3)", "")</f>
        <v/>
      </c>
      <c r="L4051" s="7" t="n"/>
      <c r="M4051" s="7" t="n"/>
      <c r="N4051">
        <f>IF(D4051="", "Gap - No Legal Basis", IF(AND(D4051="Consent (GDPR Art. 6(1)(a))", I4051="Not Captured"), "Gap - Invalid Consent", IF(AND(D4051="Legitimate Interest (GDPR Art. 6(1)(f))", L4051=""), "Gap - Missing LIA", IF(AND(G4051="Yes", H4051=""), "Gap - Missing Art. 9 Basis", IF(OR(I4051="Invalid - Not Freely Given", I4051="Invalid - Not Specific", I4051="Invalid - Not Informed", I4051="Invalid - Ambiguous"), "Gap - Invalid Consent", "Compliant")))))</f>
        <v/>
      </c>
      <c r="O4051" s="7" t="n"/>
    </row>
    <row r="4052">
      <c r="A4052" s="7" t="n"/>
      <c r="B4052" s="7" t="n"/>
      <c r="C4052" s="7" t="n"/>
      <c r="D4052" s="7" t="n"/>
      <c r="E4052" s="7" t="n"/>
      <c r="F4052" s="7" t="n"/>
      <c r="G4052" s="7" t="n"/>
      <c r="H4052" s="7" t="n"/>
      <c r="I4052" s="7" t="n"/>
      <c r="J4052" s="7" t="n"/>
      <c r="K4052">
        <f>IF(D4052="Legitimate Interest (GDPR Art. 6(1)(f))", "Yes / Required (Sheet 3)", "")</f>
        <v/>
      </c>
      <c r="L4052" s="7" t="n"/>
      <c r="M4052" s="7" t="n"/>
      <c r="N4052">
        <f>IF(D4052="", "Gap - No Legal Basis", IF(AND(D4052="Consent (GDPR Art. 6(1)(a))", I4052="Not Captured"), "Gap - Invalid Consent", IF(AND(D4052="Legitimate Interest (GDPR Art. 6(1)(f))", L4052=""), "Gap - Missing LIA", IF(AND(G4052="Yes", H4052=""), "Gap - Missing Art. 9 Basis", IF(OR(I4052="Invalid - Not Freely Given", I4052="Invalid - Not Specific", I4052="Invalid - Not Informed", I4052="Invalid - Ambiguous"), "Gap - Invalid Consent", "Compliant")))))</f>
        <v/>
      </c>
      <c r="O4052" s="7" t="n"/>
    </row>
    <row r="4053">
      <c r="A4053" s="7" t="n"/>
      <c r="B4053" s="7" t="n"/>
      <c r="C4053" s="7" t="n"/>
      <c r="D4053" s="7" t="n"/>
      <c r="E4053" s="7" t="n"/>
      <c r="F4053" s="7" t="n"/>
      <c r="G4053" s="7" t="n"/>
      <c r="H4053" s="7" t="n"/>
      <c r="I4053" s="7" t="n"/>
      <c r="J4053" s="7" t="n"/>
      <c r="K4053">
        <f>IF(D4053="Legitimate Interest (GDPR Art. 6(1)(f))", "Yes / Required (Sheet 3)", "")</f>
        <v/>
      </c>
      <c r="L4053" s="7" t="n"/>
      <c r="M4053" s="7" t="n"/>
      <c r="N4053">
        <f>IF(D4053="", "Gap - No Legal Basis", IF(AND(D4053="Consent (GDPR Art. 6(1)(a))", I4053="Not Captured"), "Gap - Invalid Consent", IF(AND(D4053="Legitimate Interest (GDPR Art. 6(1)(f))", L4053=""), "Gap - Missing LIA", IF(AND(G4053="Yes", H4053=""), "Gap - Missing Art. 9 Basis", IF(OR(I4053="Invalid - Not Freely Given", I4053="Invalid - Not Specific", I4053="Invalid - Not Informed", I4053="Invalid - Ambiguous"), "Gap - Invalid Consent", "Compliant")))))</f>
        <v/>
      </c>
      <c r="O4053" s="7" t="n"/>
    </row>
    <row r="4054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7" t="n"/>
      <c r="J4054" s="7" t="n"/>
      <c r="K4054">
        <f>IF(D4054="Legitimate Interest (GDPR Art. 6(1)(f))", "Yes / Required (Sheet 3)", "")</f>
        <v/>
      </c>
      <c r="L4054" s="7" t="n"/>
      <c r="M4054" s="7" t="n"/>
      <c r="N4054">
        <f>IF(D4054="", "Gap - No Legal Basis", IF(AND(D4054="Consent (GDPR Art. 6(1)(a))", I4054="Not Captured"), "Gap - Invalid Consent", IF(AND(D4054="Legitimate Interest (GDPR Art. 6(1)(f))", L4054=""), "Gap - Missing LIA", IF(AND(G4054="Yes", H4054=""), "Gap - Missing Art. 9 Basis", IF(OR(I4054="Invalid - Not Freely Given", I4054="Invalid - Not Specific", I4054="Invalid - Not Informed", I4054="Invalid - Ambiguous"), "Gap - Invalid Consent", "Compliant")))))</f>
        <v/>
      </c>
      <c r="O4054" s="7" t="n"/>
    </row>
    <row r="4055">
      <c r="A4055" s="7" t="n"/>
      <c r="B4055" s="7" t="n"/>
      <c r="C4055" s="7" t="n"/>
      <c r="D4055" s="7" t="n"/>
      <c r="E4055" s="7" t="n"/>
      <c r="F4055" s="7" t="n"/>
      <c r="G4055" s="7" t="n"/>
      <c r="H4055" s="7" t="n"/>
      <c r="I4055" s="7" t="n"/>
      <c r="J4055" s="7" t="n"/>
      <c r="K4055">
        <f>IF(D4055="Legitimate Interest (GDPR Art. 6(1)(f))", "Yes / Required (Sheet 3)", "")</f>
        <v/>
      </c>
      <c r="L4055" s="7" t="n"/>
      <c r="M4055" s="7" t="n"/>
      <c r="N4055">
        <f>IF(D4055="", "Gap - No Legal Basis", IF(AND(D4055="Consent (GDPR Art. 6(1)(a))", I4055="Not Captured"), "Gap - Invalid Consent", IF(AND(D4055="Legitimate Interest (GDPR Art. 6(1)(f))", L4055=""), "Gap - Missing LIA", IF(AND(G4055="Yes", H4055=""), "Gap - Missing Art. 9 Basis", IF(OR(I4055="Invalid - Not Freely Given", I4055="Invalid - Not Specific", I4055="Invalid - Not Informed", I4055="Invalid - Ambiguous"), "Gap - Invalid Consent", "Compliant")))))</f>
        <v/>
      </c>
      <c r="O4055" s="7" t="n"/>
    </row>
    <row r="4056">
      <c r="A4056" s="7" t="n"/>
      <c r="B4056" s="7" t="n"/>
      <c r="C4056" s="7" t="n"/>
      <c r="D4056" s="7" t="n"/>
      <c r="E4056" s="7" t="n"/>
      <c r="F4056" s="7" t="n"/>
      <c r="G4056" s="7" t="n"/>
      <c r="H4056" s="7" t="n"/>
      <c r="I4056" s="7" t="n"/>
      <c r="J4056" s="7" t="n"/>
      <c r="K4056">
        <f>IF(D4056="Legitimate Interest (GDPR Art. 6(1)(f))", "Yes / Required (Sheet 3)", "")</f>
        <v/>
      </c>
      <c r="L4056" s="7" t="n"/>
      <c r="M4056" s="7" t="n"/>
      <c r="N4056">
        <f>IF(D4056="", "Gap - No Legal Basis", IF(AND(D4056="Consent (GDPR Art. 6(1)(a))", I4056="Not Captured"), "Gap - Invalid Consent", IF(AND(D4056="Legitimate Interest (GDPR Art. 6(1)(f))", L4056=""), "Gap - Missing LIA", IF(AND(G4056="Yes", H4056=""), "Gap - Missing Art. 9 Basis", IF(OR(I4056="Invalid - Not Freely Given", I4056="Invalid - Not Specific", I4056="Invalid - Not Informed", I4056="Invalid - Ambiguous"), "Gap - Invalid Consent", "Compliant")))))</f>
        <v/>
      </c>
      <c r="O4056" s="7" t="n"/>
    </row>
    <row r="4057">
      <c r="A4057" s="7" t="n"/>
      <c r="B4057" s="7" t="n"/>
      <c r="C4057" s="7" t="n"/>
      <c r="D4057" s="7" t="n"/>
      <c r="E4057" s="7" t="n"/>
      <c r="F4057" s="7" t="n"/>
      <c r="G4057" s="7" t="n"/>
      <c r="H4057" s="7" t="n"/>
      <c r="I4057" s="7" t="n"/>
      <c r="J4057" s="7" t="n"/>
      <c r="K4057">
        <f>IF(D4057="Legitimate Interest (GDPR Art. 6(1)(f))", "Yes / Required (Sheet 3)", "")</f>
        <v/>
      </c>
      <c r="L4057" s="7" t="n"/>
      <c r="M4057" s="7" t="n"/>
      <c r="N4057">
        <f>IF(D4057="", "Gap - No Legal Basis", IF(AND(D4057="Consent (GDPR Art. 6(1)(a))", I4057="Not Captured"), "Gap - Invalid Consent", IF(AND(D4057="Legitimate Interest (GDPR Art. 6(1)(f))", L4057=""), "Gap - Missing LIA", IF(AND(G4057="Yes", H4057=""), "Gap - Missing Art. 9 Basis", IF(OR(I4057="Invalid - Not Freely Given", I4057="Invalid - Not Specific", I4057="Invalid - Not Informed", I4057="Invalid - Ambiguous"), "Gap - Invalid Consent", "Compliant")))))</f>
        <v/>
      </c>
      <c r="O4057" s="7" t="n"/>
    </row>
    <row r="4058">
      <c r="A4058" s="7" t="n"/>
      <c r="B4058" s="7" t="n"/>
      <c r="C4058" s="7" t="n"/>
      <c r="D4058" s="7" t="n"/>
      <c r="E4058" s="7" t="n"/>
      <c r="F4058" s="7" t="n"/>
      <c r="G4058" s="7" t="n"/>
      <c r="H4058" s="7" t="n"/>
      <c r="I4058" s="7" t="n"/>
      <c r="J4058" s="7" t="n"/>
      <c r="K4058">
        <f>IF(D4058="Legitimate Interest (GDPR Art. 6(1)(f))", "Yes / Required (Sheet 3)", "")</f>
        <v/>
      </c>
      <c r="L4058" s="7" t="n"/>
      <c r="M4058" s="7" t="n"/>
      <c r="N4058">
        <f>IF(D4058="", "Gap - No Legal Basis", IF(AND(D4058="Consent (GDPR Art. 6(1)(a))", I4058="Not Captured"), "Gap - Invalid Consent", IF(AND(D4058="Legitimate Interest (GDPR Art. 6(1)(f))", L4058=""), "Gap - Missing LIA", IF(AND(G4058="Yes", H4058=""), "Gap - Missing Art. 9 Basis", IF(OR(I4058="Invalid - Not Freely Given", I4058="Invalid - Not Specific", I4058="Invalid - Not Informed", I4058="Invalid - Ambiguous"), "Gap - Invalid Consent", "Compliant")))))</f>
        <v/>
      </c>
      <c r="O4058" s="7" t="n"/>
    </row>
    <row r="4059">
      <c r="A4059" s="7" t="n"/>
      <c r="B4059" s="7" t="n"/>
      <c r="C4059" s="7" t="n"/>
      <c r="D4059" s="7" t="n"/>
      <c r="E4059" s="7" t="n"/>
      <c r="F4059" s="7" t="n"/>
      <c r="G4059" s="7" t="n"/>
      <c r="H4059" s="7" t="n"/>
      <c r="I4059" s="7" t="n"/>
      <c r="J4059" s="7" t="n"/>
      <c r="K4059">
        <f>IF(D4059="Legitimate Interest (GDPR Art. 6(1)(f))", "Yes / Required (Sheet 3)", "")</f>
        <v/>
      </c>
      <c r="L4059" s="7" t="n"/>
      <c r="M4059" s="7" t="n"/>
      <c r="N4059">
        <f>IF(D4059="", "Gap - No Legal Basis", IF(AND(D4059="Consent (GDPR Art. 6(1)(a))", I4059="Not Captured"), "Gap - Invalid Consent", IF(AND(D4059="Legitimate Interest (GDPR Art. 6(1)(f))", L4059=""), "Gap - Missing LIA", IF(AND(G4059="Yes", H4059=""), "Gap - Missing Art. 9 Basis", IF(OR(I4059="Invalid - Not Freely Given", I4059="Invalid - Not Specific", I4059="Invalid - Not Informed", I4059="Invalid - Ambiguous"), "Gap - Invalid Consent", "Compliant")))))</f>
        <v/>
      </c>
      <c r="O4059" s="7" t="n"/>
    </row>
    <row r="4060">
      <c r="A4060" s="7" t="n"/>
      <c r="B4060" s="7" t="n"/>
      <c r="C4060" s="7" t="n"/>
      <c r="D4060" s="7" t="n"/>
      <c r="E4060" s="7" t="n"/>
      <c r="F4060" s="7" t="n"/>
      <c r="G4060" s="7" t="n"/>
      <c r="H4060" s="7" t="n"/>
      <c r="I4060" s="7" t="n"/>
      <c r="J4060" s="7" t="n"/>
      <c r="K4060">
        <f>IF(D4060="Legitimate Interest (GDPR Art. 6(1)(f))", "Yes / Required (Sheet 3)", "")</f>
        <v/>
      </c>
      <c r="L4060" s="7" t="n"/>
      <c r="M4060" s="7" t="n"/>
      <c r="N4060">
        <f>IF(D4060="", "Gap - No Legal Basis", IF(AND(D4060="Consent (GDPR Art. 6(1)(a))", I4060="Not Captured"), "Gap - Invalid Consent", IF(AND(D4060="Legitimate Interest (GDPR Art. 6(1)(f))", L4060=""), "Gap - Missing LIA", IF(AND(G4060="Yes", H4060=""), "Gap - Missing Art. 9 Basis", IF(OR(I4060="Invalid - Not Freely Given", I4060="Invalid - Not Specific", I4060="Invalid - Not Informed", I4060="Invalid - Ambiguous"), "Gap - Invalid Consent", "Compliant")))))</f>
        <v/>
      </c>
      <c r="O4060" s="7" t="n"/>
    </row>
    <row r="4061">
      <c r="A4061" s="7" t="n"/>
      <c r="B4061" s="7" t="n"/>
      <c r="C4061" s="7" t="n"/>
      <c r="D4061" s="7" t="n"/>
      <c r="E4061" s="7" t="n"/>
      <c r="F4061" s="7" t="n"/>
      <c r="G4061" s="7" t="n"/>
      <c r="H4061" s="7" t="n"/>
      <c r="I4061" s="7" t="n"/>
      <c r="J4061" s="7" t="n"/>
      <c r="K4061">
        <f>IF(D4061="Legitimate Interest (GDPR Art. 6(1)(f))", "Yes / Required (Sheet 3)", "")</f>
        <v/>
      </c>
      <c r="L4061" s="7" t="n"/>
      <c r="M4061" s="7" t="n"/>
      <c r="N4061">
        <f>IF(D4061="", "Gap - No Legal Basis", IF(AND(D4061="Consent (GDPR Art. 6(1)(a))", I4061="Not Captured"), "Gap - Invalid Consent", IF(AND(D4061="Legitimate Interest (GDPR Art. 6(1)(f))", L4061=""), "Gap - Missing LIA", IF(AND(G4061="Yes", H4061=""), "Gap - Missing Art. 9 Basis", IF(OR(I4061="Invalid - Not Freely Given", I4061="Invalid - Not Specific", I4061="Invalid - Not Informed", I4061="Invalid - Ambiguous"), "Gap - Invalid Consent", "Compliant")))))</f>
        <v/>
      </c>
      <c r="O4061" s="7" t="n"/>
    </row>
    <row r="4062">
      <c r="A4062" s="7" t="n"/>
      <c r="B4062" s="7" t="n"/>
      <c r="C4062" s="7" t="n"/>
      <c r="D4062" s="7" t="n"/>
      <c r="E4062" s="7" t="n"/>
      <c r="F4062" s="7" t="n"/>
      <c r="G4062" s="7" t="n"/>
      <c r="H4062" s="7" t="n"/>
      <c r="I4062" s="7" t="n"/>
      <c r="J4062" s="7" t="n"/>
      <c r="K4062">
        <f>IF(D4062="Legitimate Interest (GDPR Art. 6(1)(f))", "Yes / Required (Sheet 3)", "")</f>
        <v/>
      </c>
      <c r="L4062" s="7" t="n"/>
      <c r="M4062" s="7" t="n"/>
      <c r="N4062">
        <f>IF(D4062="", "Gap - No Legal Basis", IF(AND(D4062="Consent (GDPR Art. 6(1)(a))", I4062="Not Captured"), "Gap - Invalid Consent", IF(AND(D4062="Legitimate Interest (GDPR Art. 6(1)(f))", L4062=""), "Gap - Missing LIA", IF(AND(G4062="Yes", H4062=""), "Gap - Missing Art. 9 Basis", IF(OR(I4062="Invalid - Not Freely Given", I4062="Invalid - Not Specific", I4062="Invalid - Not Informed", I4062="Invalid - Ambiguous"), "Gap - Invalid Consent", "Compliant")))))</f>
        <v/>
      </c>
      <c r="O4062" s="7" t="n"/>
    </row>
    <row r="4063">
      <c r="A4063" s="7" t="n"/>
      <c r="B4063" s="7" t="n"/>
      <c r="C4063" s="7" t="n"/>
      <c r="D4063" s="7" t="n"/>
      <c r="E4063" s="7" t="n"/>
      <c r="F4063" s="7" t="n"/>
      <c r="G4063" s="7" t="n"/>
      <c r="H4063" s="7" t="n"/>
      <c r="I4063" s="7" t="n"/>
      <c r="J4063" s="7" t="n"/>
      <c r="K4063">
        <f>IF(D4063="Legitimate Interest (GDPR Art. 6(1)(f))", "Yes / Required (Sheet 3)", "")</f>
        <v/>
      </c>
      <c r="L4063" s="7" t="n"/>
      <c r="M4063" s="7" t="n"/>
      <c r="N4063">
        <f>IF(D4063="", "Gap - No Legal Basis", IF(AND(D4063="Consent (GDPR Art. 6(1)(a))", I4063="Not Captured"), "Gap - Invalid Consent", IF(AND(D4063="Legitimate Interest (GDPR Art. 6(1)(f))", L4063=""), "Gap - Missing LIA", IF(AND(G4063="Yes", H4063=""), "Gap - Missing Art. 9 Basis", IF(OR(I4063="Invalid - Not Freely Given", I4063="Invalid - Not Specific", I4063="Invalid - Not Informed", I4063="Invalid - Ambiguous"), "Gap - Invalid Consent", "Compliant")))))</f>
        <v/>
      </c>
      <c r="O4063" s="7" t="n"/>
    </row>
    <row r="4064">
      <c r="A4064" s="7" t="n"/>
      <c r="B4064" s="7" t="n"/>
      <c r="C4064" s="7" t="n"/>
      <c r="D4064" s="7" t="n"/>
      <c r="E4064" s="7" t="n"/>
      <c r="F4064" s="7" t="n"/>
      <c r="G4064" s="7" t="n"/>
      <c r="H4064" s="7" t="n"/>
      <c r="I4064" s="7" t="n"/>
      <c r="J4064" s="7" t="n"/>
      <c r="K4064">
        <f>IF(D4064="Legitimate Interest (GDPR Art. 6(1)(f))", "Yes / Required (Sheet 3)", "")</f>
        <v/>
      </c>
      <c r="L4064" s="7" t="n"/>
      <c r="M4064" s="7" t="n"/>
      <c r="N4064">
        <f>IF(D4064="", "Gap - No Legal Basis", IF(AND(D4064="Consent (GDPR Art. 6(1)(a))", I4064="Not Captured"), "Gap - Invalid Consent", IF(AND(D4064="Legitimate Interest (GDPR Art. 6(1)(f))", L4064=""), "Gap - Missing LIA", IF(AND(G4064="Yes", H4064=""), "Gap - Missing Art. 9 Basis", IF(OR(I4064="Invalid - Not Freely Given", I4064="Invalid - Not Specific", I4064="Invalid - Not Informed", I4064="Invalid - Ambiguous"), "Gap - Invalid Consent", "Compliant")))))</f>
        <v/>
      </c>
      <c r="O4064" s="7" t="n"/>
    </row>
    <row r="4065">
      <c r="A4065" s="7" t="n"/>
      <c r="B4065" s="7" t="n"/>
      <c r="C4065" s="7" t="n"/>
      <c r="D4065" s="7" t="n"/>
      <c r="E4065" s="7" t="n"/>
      <c r="F4065" s="7" t="n"/>
      <c r="G4065" s="7" t="n"/>
      <c r="H4065" s="7" t="n"/>
      <c r="I4065" s="7" t="n"/>
      <c r="J4065" s="7" t="n"/>
      <c r="K4065">
        <f>IF(D4065="Legitimate Interest (GDPR Art. 6(1)(f))", "Yes / Required (Sheet 3)", "")</f>
        <v/>
      </c>
      <c r="L4065" s="7" t="n"/>
      <c r="M4065" s="7" t="n"/>
      <c r="N4065">
        <f>IF(D4065="", "Gap - No Legal Basis", IF(AND(D4065="Consent (GDPR Art. 6(1)(a))", I4065="Not Captured"), "Gap - Invalid Consent", IF(AND(D4065="Legitimate Interest (GDPR Art. 6(1)(f))", L4065=""), "Gap - Missing LIA", IF(AND(G4065="Yes", H4065=""), "Gap - Missing Art. 9 Basis", IF(OR(I4065="Invalid - Not Freely Given", I4065="Invalid - Not Specific", I4065="Invalid - Not Informed", I4065="Invalid - Ambiguous"), "Gap - Invalid Consent", "Compliant")))))</f>
        <v/>
      </c>
      <c r="O4065" s="7" t="n"/>
    </row>
    <row r="4066">
      <c r="A4066" s="7" t="n"/>
      <c r="B4066" s="7" t="n"/>
      <c r="C4066" s="7" t="n"/>
      <c r="D4066" s="7" t="n"/>
      <c r="E4066" s="7" t="n"/>
      <c r="F4066" s="7" t="n"/>
      <c r="G4066" s="7" t="n"/>
      <c r="H4066" s="7" t="n"/>
      <c r="I4066" s="7" t="n"/>
      <c r="J4066" s="7" t="n"/>
      <c r="K4066">
        <f>IF(D4066="Legitimate Interest (GDPR Art. 6(1)(f))", "Yes / Required (Sheet 3)", "")</f>
        <v/>
      </c>
      <c r="L4066" s="7" t="n"/>
      <c r="M4066" s="7" t="n"/>
      <c r="N4066">
        <f>IF(D4066="", "Gap - No Legal Basis", IF(AND(D4066="Consent (GDPR Art. 6(1)(a))", I4066="Not Captured"), "Gap - Invalid Consent", IF(AND(D4066="Legitimate Interest (GDPR Art. 6(1)(f))", L4066=""), "Gap - Missing LIA", IF(AND(G4066="Yes", H4066=""), "Gap - Missing Art. 9 Basis", IF(OR(I4066="Invalid - Not Freely Given", I4066="Invalid - Not Specific", I4066="Invalid - Not Informed", I4066="Invalid - Ambiguous"), "Gap - Invalid Consent", "Compliant")))))</f>
        <v/>
      </c>
      <c r="O4066" s="7" t="n"/>
    </row>
    <row r="4067">
      <c r="A4067" s="7" t="n"/>
      <c r="B4067" s="7" t="n"/>
      <c r="C4067" s="7" t="n"/>
      <c r="D4067" s="7" t="n"/>
      <c r="E4067" s="7" t="n"/>
      <c r="F4067" s="7" t="n"/>
      <c r="G4067" s="7" t="n"/>
      <c r="H4067" s="7" t="n"/>
      <c r="I4067" s="7" t="n"/>
      <c r="J4067" s="7" t="n"/>
      <c r="K4067">
        <f>IF(D4067="Legitimate Interest (GDPR Art. 6(1)(f))", "Yes / Required (Sheet 3)", "")</f>
        <v/>
      </c>
      <c r="L4067" s="7" t="n"/>
      <c r="M4067" s="7" t="n"/>
      <c r="N4067">
        <f>IF(D4067="", "Gap - No Legal Basis", IF(AND(D4067="Consent (GDPR Art. 6(1)(a))", I4067="Not Captured"), "Gap - Invalid Consent", IF(AND(D4067="Legitimate Interest (GDPR Art. 6(1)(f))", L4067=""), "Gap - Missing LIA", IF(AND(G4067="Yes", H4067=""), "Gap - Missing Art. 9 Basis", IF(OR(I4067="Invalid - Not Freely Given", I4067="Invalid - Not Specific", I4067="Invalid - Not Informed", I4067="Invalid - Ambiguous"), "Gap - Invalid Consent", "Compliant")))))</f>
        <v/>
      </c>
      <c r="O4067" s="7" t="n"/>
    </row>
    <row r="4068">
      <c r="A4068" s="7" t="n"/>
      <c r="B4068" s="7" t="n"/>
      <c r="C4068" s="7" t="n"/>
      <c r="D4068" s="7" t="n"/>
      <c r="E4068" s="7" t="n"/>
      <c r="F4068" s="7" t="n"/>
      <c r="G4068" s="7" t="n"/>
      <c r="H4068" s="7" t="n"/>
      <c r="I4068" s="7" t="n"/>
      <c r="J4068" s="7" t="n"/>
      <c r="K4068">
        <f>IF(D4068="Legitimate Interest (GDPR Art. 6(1)(f))", "Yes / Required (Sheet 3)", "")</f>
        <v/>
      </c>
      <c r="L4068" s="7" t="n"/>
      <c r="M4068" s="7" t="n"/>
      <c r="N4068">
        <f>IF(D4068="", "Gap - No Legal Basis", IF(AND(D4068="Consent (GDPR Art. 6(1)(a))", I4068="Not Captured"), "Gap - Invalid Consent", IF(AND(D4068="Legitimate Interest (GDPR Art. 6(1)(f))", L4068=""), "Gap - Missing LIA", IF(AND(G4068="Yes", H4068=""), "Gap - Missing Art. 9 Basis", IF(OR(I4068="Invalid - Not Freely Given", I4068="Invalid - Not Specific", I4068="Invalid - Not Informed", I4068="Invalid - Ambiguous"), "Gap - Invalid Consent", "Compliant")))))</f>
        <v/>
      </c>
      <c r="O4068" s="7" t="n"/>
    </row>
    <row r="4069">
      <c r="A4069" s="7" t="n"/>
      <c r="B4069" s="7" t="n"/>
      <c r="C4069" s="7" t="n"/>
      <c r="D4069" s="7" t="n"/>
      <c r="E4069" s="7" t="n"/>
      <c r="F4069" s="7" t="n"/>
      <c r="G4069" s="7" t="n"/>
      <c r="H4069" s="7" t="n"/>
      <c r="I4069" s="7" t="n"/>
      <c r="J4069" s="7" t="n"/>
      <c r="K4069">
        <f>IF(D4069="Legitimate Interest (GDPR Art. 6(1)(f))", "Yes / Required (Sheet 3)", "")</f>
        <v/>
      </c>
      <c r="L4069" s="7" t="n"/>
      <c r="M4069" s="7" t="n"/>
      <c r="N4069">
        <f>IF(D4069="", "Gap - No Legal Basis", IF(AND(D4069="Consent (GDPR Art. 6(1)(a))", I4069="Not Captured"), "Gap - Invalid Consent", IF(AND(D4069="Legitimate Interest (GDPR Art. 6(1)(f))", L4069=""), "Gap - Missing LIA", IF(AND(G4069="Yes", H4069=""), "Gap - Missing Art. 9 Basis", IF(OR(I4069="Invalid - Not Freely Given", I4069="Invalid - Not Specific", I4069="Invalid - Not Informed", I4069="Invalid - Ambiguous"), "Gap - Invalid Consent", "Compliant")))))</f>
        <v/>
      </c>
      <c r="O4069" s="7" t="n"/>
    </row>
    <row r="4070">
      <c r="A4070" s="7" t="n"/>
      <c r="B4070" s="7" t="n"/>
      <c r="C4070" s="7" t="n"/>
      <c r="D4070" s="7" t="n"/>
      <c r="E4070" s="7" t="n"/>
      <c r="F4070" s="7" t="n"/>
      <c r="G4070" s="7" t="n"/>
      <c r="H4070" s="7" t="n"/>
      <c r="I4070" s="7" t="n"/>
      <c r="J4070" s="7" t="n"/>
      <c r="K4070">
        <f>IF(D4070="Legitimate Interest (GDPR Art. 6(1)(f))", "Yes / Required (Sheet 3)", "")</f>
        <v/>
      </c>
      <c r="L4070" s="7" t="n"/>
      <c r="M4070" s="7" t="n"/>
      <c r="N4070">
        <f>IF(D4070="", "Gap - No Legal Basis", IF(AND(D4070="Consent (GDPR Art. 6(1)(a))", I4070="Not Captured"), "Gap - Invalid Consent", IF(AND(D4070="Legitimate Interest (GDPR Art. 6(1)(f))", L4070=""), "Gap - Missing LIA", IF(AND(G4070="Yes", H4070=""), "Gap - Missing Art. 9 Basis", IF(OR(I4070="Invalid - Not Freely Given", I4070="Invalid - Not Specific", I4070="Invalid - Not Informed", I4070="Invalid - Ambiguous"), "Gap - Invalid Consent", "Compliant")))))</f>
        <v/>
      </c>
      <c r="O4070" s="7" t="n"/>
    </row>
    <row r="4071">
      <c r="A4071" s="7" t="n"/>
      <c r="B4071" s="7" t="n"/>
      <c r="C4071" s="7" t="n"/>
      <c r="D4071" s="7" t="n"/>
      <c r="E4071" s="7" t="n"/>
      <c r="F4071" s="7" t="n"/>
      <c r="G4071" s="7" t="n"/>
      <c r="H4071" s="7" t="n"/>
      <c r="I4071" s="7" t="n"/>
      <c r="J4071" s="7" t="n"/>
      <c r="K4071">
        <f>IF(D4071="Legitimate Interest (GDPR Art. 6(1)(f))", "Yes / Required (Sheet 3)", "")</f>
        <v/>
      </c>
      <c r="L4071" s="7" t="n"/>
      <c r="M4071" s="7" t="n"/>
      <c r="N4071">
        <f>IF(D4071="", "Gap - No Legal Basis", IF(AND(D4071="Consent (GDPR Art. 6(1)(a))", I4071="Not Captured"), "Gap - Invalid Consent", IF(AND(D4071="Legitimate Interest (GDPR Art. 6(1)(f))", L4071=""), "Gap - Missing LIA", IF(AND(G4071="Yes", H4071=""), "Gap - Missing Art. 9 Basis", IF(OR(I4071="Invalid - Not Freely Given", I4071="Invalid - Not Specific", I4071="Invalid - Not Informed", I4071="Invalid - Ambiguous"), "Gap - Invalid Consent", "Compliant")))))</f>
        <v/>
      </c>
      <c r="O4071" s="7" t="n"/>
    </row>
    <row r="4072">
      <c r="A4072" s="7" t="n"/>
      <c r="B4072" s="7" t="n"/>
      <c r="C4072" s="7" t="n"/>
      <c r="D4072" s="7" t="n"/>
      <c r="E4072" s="7" t="n"/>
      <c r="F4072" s="7" t="n"/>
      <c r="G4072" s="7" t="n"/>
      <c r="H4072" s="7" t="n"/>
      <c r="I4072" s="7" t="n"/>
      <c r="J4072" s="7" t="n"/>
      <c r="K4072">
        <f>IF(D4072="Legitimate Interest (GDPR Art. 6(1)(f))", "Yes / Required (Sheet 3)", "")</f>
        <v/>
      </c>
      <c r="L4072" s="7" t="n"/>
      <c r="M4072" s="7" t="n"/>
      <c r="N4072">
        <f>IF(D4072="", "Gap - No Legal Basis", IF(AND(D4072="Consent (GDPR Art. 6(1)(a))", I4072="Not Captured"), "Gap - Invalid Consent", IF(AND(D4072="Legitimate Interest (GDPR Art. 6(1)(f))", L4072=""), "Gap - Missing LIA", IF(AND(G4072="Yes", H4072=""), "Gap - Missing Art. 9 Basis", IF(OR(I4072="Invalid - Not Freely Given", I4072="Invalid - Not Specific", I4072="Invalid - Not Informed", I4072="Invalid - Ambiguous"), "Gap - Invalid Consent", "Compliant")))))</f>
        <v/>
      </c>
      <c r="O4072" s="7" t="n"/>
    </row>
    <row r="4073">
      <c r="A4073" s="7" t="n"/>
      <c r="B4073" s="7" t="n"/>
      <c r="C4073" s="7" t="n"/>
      <c r="D4073" s="7" t="n"/>
      <c r="E4073" s="7" t="n"/>
      <c r="F4073" s="7" t="n"/>
      <c r="G4073" s="7" t="n"/>
      <c r="H4073" s="7" t="n"/>
      <c r="I4073" s="7" t="n"/>
      <c r="J4073" s="7" t="n"/>
      <c r="K4073">
        <f>IF(D4073="Legitimate Interest (GDPR Art. 6(1)(f))", "Yes / Required (Sheet 3)", "")</f>
        <v/>
      </c>
      <c r="L4073" s="7" t="n"/>
      <c r="M4073" s="7" t="n"/>
      <c r="N4073">
        <f>IF(D4073="", "Gap - No Legal Basis", IF(AND(D4073="Consent (GDPR Art. 6(1)(a))", I4073="Not Captured"), "Gap - Invalid Consent", IF(AND(D4073="Legitimate Interest (GDPR Art. 6(1)(f))", L4073=""), "Gap - Missing LIA", IF(AND(G4073="Yes", H4073=""), "Gap - Missing Art. 9 Basis", IF(OR(I4073="Invalid - Not Freely Given", I4073="Invalid - Not Specific", I4073="Invalid - Not Informed", I4073="Invalid - Ambiguous"), "Gap - Invalid Consent", "Compliant")))))</f>
        <v/>
      </c>
      <c r="O4073" s="7" t="n"/>
    </row>
    <row r="4074">
      <c r="A4074" s="7" t="n"/>
      <c r="B4074" s="7" t="n"/>
      <c r="C4074" s="7" t="n"/>
      <c r="D4074" s="7" t="n"/>
      <c r="E4074" s="7" t="n"/>
      <c r="F4074" s="7" t="n"/>
      <c r="G4074" s="7" t="n"/>
      <c r="H4074" s="7" t="n"/>
      <c r="I4074" s="7" t="n"/>
      <c r="J4074" s="7" t="n"/>
      <c r="K4074">
        <f>IF(D4074="Legitimate Interest (GDPR Art. 6(1)(f))", "Yes / Required (Sheet 3)", "")</f>
        <v/>
      </c>
      <c r="L4074" s="7" t="n"/>
      <c r="M4074" s="7" t="n"/>
      <c r="N4074">
        <f>IF(D4074="", "Gap - No Legal Basis", IF(AND(D4074="Consent (GDPR Art. 6(1)(a))", I4074="Not Captured"), "Gap - Invalid Consent", IF(AND(D4074="Legitimate Interest (GDPR Art. 6(1)(f))", L4074=""), "Gap - Missing LIA", IF(AND(G4074="Yes", H4074=""), "Gap - Missing Art. 9 Basis", IF(OR(I4074="Invalid - Not Freely Given", I4074="Invalid - Not Specific", I4074="Invalid - Not Informed", I4074="Invalid - Ambiguous"), "Gap - Invalid Consent", "Compliant")))))</f>
        <v/>
      </c>
      <c r="O4074" s="7" t="n"/>
    </row>
    <row r="4075">
      <c r="A4075" s="7" t="n"/>
      <c r="B4075" s="7" t="n"/>
      <c r="C4075" s="7" t="n"/>
      <c r="D4075" s="7" t="n"/>
      <c r="E4075" s="7" t="n"/>
      <c r="F4075" s="7" t="n"/>
      <c r="G4075" s="7" t="n"/>
      <c r="H4075" s="7" t="n"/>
      <c r="I4075" s="7" t="n"/>
      <c r="J4075" s="7" t="n"/>
      <c r="K4075">
        <f>IF(D4075="Legitimate Interest (GDPR Art. 6(1)(f))", "Yes / Required (Sheet 3)", "")</f>
        <v/>
      </c>
      <c r="L4075" s="7" t="n"/>
      <c r="M4075" s="7" t="n"/>
      <c r="N4075">
        <f>IF(D4075="", "Gap - No Legal Basis", IF(AND(D4075="Consent (GDPR Art. 6(1)(a))", I4075="Not Captured"), "Gap - Invalid Consent", IF(AND(D4075="Legitimate Interest (GDPR Art. 6(1)(f))", L4075=""), "Gap - Missing LIA", IF(AND(G4075="Yes", H4075=""), "Gap - Missing Art. 9 Basis", IF(OR(I4075="Invalid - Not Freely Given", I4075="Invalid - Not Specific", I4075="Invalid - Not Informed", I4075="Invalid - Ambiguous"), "Gap - Invalid Consent", "Compliant")))))</f>
        <v/>
      </c>
      <c r="O4075" s="7" t="n"/>
    </row>
    <row r="4076">
      <c r="A4076" s="7" t="n"/>
      <c r="B4076" s="7" t="n"/>
      <c r="C4076" s="7" t="n"/>
      <c r="D4076" s="7" t="n"/>
      <c r="E4076" s="7" t="n"/>
      <c r="F4076" s="7" t="n"/>
      <c r="G4076" s="7" t="n"/>
      <c r="H4076" s="7" t="n"/>
      <c r="I4076" s="7" t="n"/>
      <c r="J4076" s="7" t="n"/>
      <c r="K4076">
        <f>IF(D4076="Legitimate Interest (GDPR Art. 6(1)(f))", "Yes / Required (Sheet 3)", "")</f>
        <v/>
      </c>
      <c r="L4076" s="7" t="n"/>
      <c r="M4076" s="7" t="n"/>
      <c r="N4076">
        <f>IF(D4076="", "Gap - No Legal Basis", IF(AND(D4076="Consent (GDPR Art. 6(1)(a))", I4076="Not Captured"), "Gap - Invalid Consent", IF(AND(D4076="Legitimate Interest (GDPR Art. 6(1)(f))", L4076=""), "Gap - Missing LIA", IF(AND(G4076="Yes", H4076=""), "Gap - Missing Art. 9 Basis", IF(OR(I4076="Invalid - Not Freely Given", I4076="Invalid - Not Specific", I4076="Invalid - Not Informed", I4076="Invalid - Ambiguous"), "Gap - Invalid Consent", "Compliant")))))</f>
        <v/>
      </c>
      <c r="O4076" s="7" t="n"/>
    </row>
    <row r="4077">
      <c r="A4077" s="7" t="n"/>
      <c r="B4077" s="7" t="n"/>
      <c r="C4077" s="7" t="n"/>
      <c r="D4077" s="7" t="n"/>
      <c r="E4077" s="7" t="n"/>
      <c r="F4077" s="7" t="n"/>
      <c r="G4077" s="7" t="n"/>
      <c r="H4077" s="7" t="n"/>
      <c r="I4077" s="7" t="n"/>
      <c r="J4077" s="7" t="n"/>
      <c r="K4077">
        <f>IF(D4077="Legitimate Interest (GDPR Art. 6(1)(f))", "Yes / Required (Sheet 3)", "")</f>
        <v/>
      </c>
      <c r="L4077" s="7" t="n"/>
      <c r="M4077" s="7" t="n"/>
      <c r="N4077">
        <f>IF(D4077="", "Gap - No Legal Basis", IF(AND(D4077="Consent (GDPR Art. 6(1)(a))", I4077="Not Captured"), "Gap - Invalid Consent", IF(AND(D4077="Legitimate Interest (GDPR Art. 6(1)(f))", L4077=""), "Gap - Missing LIA", IF(AND(G4077="Yes", H4077=""), "Gap - Missing Art. 9 Basis", IF(OR(I4077="Invalid - Not Freely Given", I4077="Invalid - Not Specific", I4077="Invalid - Not Informed", I4077="Invalid - Ambiguous"), "Gap - Invalid Consent", "Compliant")))))</f>
        <v/>
      </c>
      <c r="O4077" s="7" t="n"/>
    </row>
    <row r="4078">
      <c r="A4078" s="7" t="n"/>
      <c r="B4078" s="7" t="n"/>
      <c r="C4078" s="7" t="n"/>
      <c r="D4078" s="7" t="n"/>
      <c r="E4078" s="7" t="n"/>
      <c r="F4078" s="7" t="n"/>
      <c r="G4078" s="7" t="n"/>
      <c r="H4078" s="7" t="n"/>
      <c r="I4078" s="7" t="n"/>
      <c r="J4078" s="7" t="n"/>
      <c r="K4078">
        <f>IF(D4078="Legitimate Interest (GDPR Art. 6(1)(f))", "Yes / Required (Sheet 3)", "")</f>
        <v/>
      </c>
      <c r="L4078" s="7" t="n"/>
      <c r="M4078" s="7" t="n"/>
      <c r="N4078">
        <f>IF(D4078="", "Gap - No Legal Basis", IF(AND(D4078="Consent (GDPR Art. 6(1)(a))", I4078="Not Captured"), "Gap - Invalid Consent", IF(AND(D4078="Legitimate Interest (GDPR Art. 6(1)(f))", L4078=""), "Gap - Missing LIA", IF(AND(G4078="Yes", H4078=""), "Gap - Missing Art. 9 Basis", IF(OR(I4078="Invalid - Not Freely Given", I4078="Invalid - Not Specific", I4078="Invalid - Not Informed", I4078="Invalid - Ambiguous"), "Gap - Invalid Consent", "Compliant")))))</f>
        <v/>
      </c>
      <c r="O4078" s="7" t="n"/>
    </row>
    <row r="4079">
      <c r="A4079" s="7" t="n"/>
      <c r="B4079" s="7" t="n"/>
      <c r="C4079" s="7" t="n"/>
      <c r="D4079" s="7" t="n"/>
      <c r="E4079" s="7" t="n"/>
      <c r="F4079" s="7" t="n"/>
      <c r="G4079" s="7" t="n"/>
      <c r="H4079" s="7" t="n"/>
      <c r="I4079" s="7" t="n"/>
      <c r="J4079" s="7" t="n"/>
      <c r="K4079">
        <f>IF(D4079="Legitimate Interest (GDPR Art. 6(1)(f))", "Yes / Required (Sheet 3)", "")</f>
        <v/>
      </c>
      <c r="L4079" s="7" t="n"/>
      <c r="M4079" s="7" t="n"/>
      <c r="N4079">
        <f>IF(D4079="", "Gap - No Legal Basis", IF(AND(D4079="Consent (GDPR Art. 6(1)(a))", I4079="Not Captured"), "Gap - Invalid Consent", IF(AND(D4079="Legitimate Interest (GDPR Art. 6(1)(f))", L4079=""), "Gap - Missing LIA", IF(AND(G4079="Yes", H4079=""), "Gap - Missing Art. 9 Basis", IF(OR(I4079="Invalid - Not Freely Given", I4079="Invalid - Not Specific", I4079="Invalid - Not Informed", I4079="Invalid - Ambiguous"), "Gap - Invalid Consent", "Compliant")))))</f>
        <v/>
      </c>
      <c r="O4079" s="7" t="n"/>
    </row>
    <row r="4080">
      <c r="A4080" s="7" t="n"/>
      <c r="B4080" s="7" t="n"/>
      <c r="C4080" s="7" t="n"/>
      <c r="D4080" s="7" t="n"/>
      <c r="E4080" s="7" t="n"/>
      <c r="F4080" s="7" t="n"/>
      <c r="G4080" s="7" t="n"/>
      <c r="H4080" s="7" t="n"/>
      <c r="I4080" s="7" t="n"/>
      <c r="J4080" s="7" t="n"/>
      <c r="K4080">
        <f>IF(D4080="Legitimate Interest (GDPR Art. 6(1)(f))", "Yes / Required (Sheet 3)", "")</f>
        <v/>
      </c>
      <c r="L4080" s="7" t="n"/>
      <c r="M4080" s="7" t="n"/>
      <c r="N4080">
        <f>IF(D4080="", "Gap - No Legal Basis", IF(AND(D4080="Consent (GDPR Art. 6(1)(a))", I4080="Not Captured"), "Gap - Invalid Consent", IF(AND(D4080="Legitimate Interest (GDPR Art. 6(1)(f))", L4080=""), "Gap - Missing LIA", IF(AND(G4080="Yes", H4080=""), "Gap - Missing Art. 9 Basis", IF(OR(I4080="Invalid - Not Freely Given", I4080="Invalid - Not Specific", I4080="Invalid - Not Informed", I4080="Invalid - Ambiguous"), "Gap - Invalid Consent", "Compliant")))))</f>
        <v/>
      </c>
      <c r="O4080" s="7" t="n"/>
    </row>
    <row r="4081">
      <c r="A4081" s="7" t="n"/>
      <c r="B4081" s="7" t="n"/>
      <c r="C4081" s="7" t="n"/>
      <c r="D4081" s="7" t="n"/>
      <c r="E4081" s="7" t="n"/>
      <c r="F4081" s="7" t="n"/>
      <c r="G4081" s="7" t="n"/>
      <c r="H4081" s="7" t="n"/>
      <c r="I4081" s="7" t="n"/>
      <c r="J4081" s="7" t="n"/>
      <c r="K4081">
        <f>IF(D4081="Legitimate Interest (GDPR Art. 6(1)(f))", "Yes / Required (Sheet 3)", "")</f>
        <v/>
      </c>
      <c r="L4081" s="7" t="n"/>
      <c r="M4081" s="7" t="n"/>
      <c r="N4081">
        <f>IF(D4081="", "Gap - No Legal Basis", IF(AND(D4081="Consent (GDPR Art. 6(1)(a))", I4081="Not Captured"), "Gap - Invalid Consent", IF(AND(D4081="Legitimate Interest (GDPR Art. 6(1)(f))", L4081=""), "Gap - Missing LIA", IF(AND(G4081="Yes", H4081=""), "Gap - Missing Art. 9 Basis", IF(OR(I4081="Invalid - Not Freely Given", I4081="Invalid - Not Specific", I4081="Invalid - Not Informed", I4081="Invalid - Ambiguous"), "Gap - Invalid Consent", "Compliant")))))</f>
        <v/>
      </c>
      <c r="O4081" s="7" t="n"/>
    </row>
    <row r="4082">
      <c r="A4082" s="7" t="n"/>
      <c r="B4082" s="7" t="n"/>
      <c r="C4082" s="7" t="n"/>
      <c r="D4082" s="7" t="n"/>
      <c r="E4082" s="7" t="n"/>
      <c r="F4082" s="7" t="n"/>
      <c r="G4082" s="7" t="n"/>
      <c r="H4082" s="7" t="n"/>
      <c r="I4082" s="7" t="n"/>
      <c r="J4082" s="7" t="n"/>
      <c r="K4082">
        <f>IF(D4082="Legitimate Interest (GDPR Art. 6(1)(f))", "Yes / Required (Sheet 3)", "")</f>
        <v/>
      </c>
      <c r="L4082" s="7" t="n"/>
      <c r="M4082" s="7" t="n"/>
      <c r="N4082">
        <f>IF(D4082="", "Gap - No Legal Basis", IF(AND(D4082="Consent (GDPR Art. 6(1)(a))", I4082="Not Captured"), "Gap - Invalid Consent", IF(AND(D4082="Legitimate Interest (GDPR Art. 6(1)(f))", L4082=""), "Gap - Missing LIA", IF(AND(G4082="Yes", H4082=""), "Gap - Missing Art. 9 Basis", IF(OR(I4082="Invalid - Not Freely Given", I4082="Invalid - Not Specific", I4082="Invalid - Not Informed", I4082="Invalid - Ambiguous"), "Gap - Invalid Consent", "Compliant")))))</f>
        <v/>
      </c>
      <c r="O4082" s="7" t="n"/>
    </row>
    <row r="4083">
      <c r="A4083" s="7" t="n"/>
      <c r="B4083" s="7" t="n"/>
      <c r="C4083" s="7" t="n"/>
      <c r="D4083" s="7" t="n"/>
      <c r="E4083" s="7" t="n"/>
      <c r="F4083" s="7" t="n"/>
      <c r="G4083" s="7" t="n"/>
      <c r="H4083" s="7" t="n"/>
      <c r="I4083" s="7" t="n"/>
      <c r="J4083" s="7" t="n"/>
      <c r="K4083">
        <f>IF(D4083="Legitimate Interest (GDPR Art. 6(1)(f))", "Yes / Required (Sheet 3)", "")</f>
        <v/>
      </c>
      <c r="L4083" s="7" t="n"/>
      <c r="M4083" s="7" t="n"/>
      <c r="N4083">
        <f>IF(D4083="", "Gap - No Legal Basis", IF(AND(D4083="Consent (GDPR Art. 6(1)(a))", I4083="Not Captured"), "Gap - Invalid Consent", IF(AND(D4083="Legitimate Interest (GDPR Art. 6(1)(f))", L4083=""), "Gap - Missing LIA", IF(AND(G4083="Yes", H4083=""), "Gap - Missing Art. 9 Basis", IF(OR(I4083="Invalid - Not Freely Given", I4083="Invalid - Not Specific", I4083="Invalid - Not Informed", I4083="Invalid - Ambiguous"), "Gap - Invalid Consent", "Compliant")))))</f>
        <v/>
      </c>
      <c r="O4083" s="7" t="n"/>
    </row>
    <row r="4084">
      <c r="A4084" s="7" t="n"/>
      <c r="B4084" s="7" t="n"/>
      <c r="C4084" s="7" t="n"/>
      <c r="D4084" s="7" t="n"/>
      <c r="E4084" s="7" t="n"/>
      <c r="F4084" s="7" t="n"/>
      <c r="G4084" s="7" t="n"/>
      <c r="H4084" s="7" t="n"/>
      <c r="I4084" s="7" t="n"/>
      <c r="J4084" s="7" t="n"/>
      <c r="K4084">
        <f>IF(D4084="Legitimate Interest (GDPR Art. 6(1)(f))", "Yes / Required (Sheet 3)", "")</f>
        <v/>
      </c>
      <c r="L4084" s="7" t="n"/>
      <c r="M4084" s="7" t="n"/>
      <c r="N4084">
        <f>IF(D4084="", "Gap - No Legal Basis", IF(AND(D4084="Consent (GDPR Art. 6(1)(a))", I4084="Not Captured"), "Gap - Invalid Consent", IF(AND(D4084="Legitimate Interest (GDPR Art. 6(1)(f))", L4084=""), "Gap - Missing LIA", IF(AND(G4084="Yes", H4084=""), "Gap - Missing Art. 9 Basis", IF(OR(I4084="Invalid - Not Freely Given", I4084="Invalid - Not Specific", I4084="Invalid - Not Informed", I4084="Invalid - Ambiguous"), "Gap - Invalid Consent", "Compliant")))))</f>
        <v/>
      </c>
      <c r="O4084" s="7" t="n"/>
    </row>
    <row r="4085">
      <c r="A4085" s="7" t="n"/>
      <c r="B4085" s="7" t="n"/>
      <c r="C4085" s="7" t="n"/>
      <c r="D4085" s="7" t="n"/>
      <c r="E4085" s="7" t="n"/>
      <c r="F4085" s="7" t="n"/>
      <c r="G4085" s="7" t="n"/>
      <c r="H4085" s="7" t="n"/>
      <c r="I4085" s="7" t="n"/>
      <c r="J4085" s="7" t="n"/>
      <c r="K4085">
        <f>IF(D4085="Legitimate Interest (GDPR Art. 6(1)(f))", "Yes / Required (Sheet 3)", "")</f>
        <v/>
      </c>
      <c r="L4085" s="7" t="n"/>
      <c r="M4085" s="7" t="n"/>
      <c r="N4085">
        <f>IF(D4085="", "Gap - No Legal Basis", IF(AND(D4085="Consent (GDPR Art. 6(1)(a))", I4085="Not Captured"), "Gap - Invalid Consent", IF(AND(D4085="Legitimate Interest (GDPR Art. 6(1)(f))", L4085=""), "Gap - Missing LIA", IF(AND(G4085="Yes", H4085=""), "Gap - Missing Art. 9 Basis", IF(OR(I4085="Invalid - Not Freely Given", I4085="Invalid - Not Specific", I4085="Invalid - Not Informed", I4085="Invalid - Ambiguous"), "Gap - Invalid Consent", "Compliant")))))</f>
        <v/>
      </c>
      <c r="O4085" s="7" t="n"/>
    </row>
    <row r="4086">
      <c r="A4086" s="7" t="n"/>
      <c r="B4086" s="7" t="n"/>
      <c r="C4086" s="7" t="n"/>
      <c r="D4086" s="7" t="n"/>
      <c r="E4086" s="7" t="n"/>
      <c r="F4086" s="7" t="n"/>
      <c r="G4086" s="7" t="n"/>
      <c r="H4086" s="7" t="n"/>
      <c r="I4086" s="7" t="n"/>
      <c r="J4086" s="7" t="n"/>
      <c r="K4086">
        <f>IF(D4086="Legitimate Interest (GDPR Art. 6(1)(f))", "Yes / Required (Sheet 3)", "")</f>
        <v/>
      </c>
      <c r="L4086" s="7" t="n"/>
      <c r="M4086" s="7" t="n"/>
      <c r="N4086">
        <f>IF(D4086="", "Gap - No Legal Basis", IF(AND(D4086="Consent (GDPR Art. 6(1)(a))", I4086="Not Captured"), "Gap - Invalid Consent", IF(AND(D4086="Legitimate Interest (GDPR Art. 6(1)(f))", L4086=""), "Gap - Missing LIA", IF(AND(G4086="Yes", H4086=""), "Gap - Missing Art. 9 Basis", IF(OR(I4086="Invalid - Not Freely Given", I4086="Invalid - Not Specific", I4086="Invalid - Not Informed", I4086="Invalid - Ambiguous"), "Gap - Invalid Consent", "Compliant")))))</f>
        <v/>
      </c>
      <c r="O4086" s="7" t="n"/>
    </row>
    <row r="4087">
      <c r="A4087" s="7" t="n"/>
      <c r="B4087" s="7" t="n"/>
      <c r="C4087" s="7" t="n"/>
      <c r="D4087" s="7" t="n"/>
      <c r="E4087" s="7" t="n"/>
      <c r="F4087" s="7" t="n"/>
      <c r="G4087" s="7" t="n"/>
      <c r="H4087" s="7" t="n"/>
      <c r="I4087" s="7" t="n"/>
      <c r="J4087" s="7" t="n"/>
      <c r="K4087">
        <f>IF(D4087="Legitimate Interest (GDPR Art. 6(1)(f))", "Yes / Required (Sheet 3)", "")</f>
        <v/>
      </c>
      <c r="L4087" s="7" t="n"/>
      <c r="M4087" s="7" t="n"/>
      <c r="N4087">
        <f>IF(D4087="", "Gap - No Legal Basis", IF(AND(D4087="Consent (GDPR Art. 6(1)(a))", I4087="Not Captured"), "Gap - Invalid Consent", IF(AND(D4087="Legitimate Interest (GDPR Art. 6(1)(f))", L4087=""), "Gap - Missing LIA", IF(AND(G4087="Yes", H4087=""), "Gap - Missing Art. 9 Basis", IF(OR(I4087="Invalid - Not Freely Given", I4087="Invalid - Not Specific", I4087="Invalid - Not Informed", I4087="Invalid - Ambiguous"), "Gap - Invalid Consent", "Compliant")))))</f>
        <v/>
      </c>
      <c r="O4087" s="7" t="n"/>
    </row>
    <row r="4088">
      <c r="A4088" s="7" t="n"/>
      <c r="B4088" s="7" t="n"/>
      <c r="C4088" s="7" t="n"/>
      <c r="D4088" s="7" t="n"/>
      <c r="E4088" s="7" t="n"/>
      <c r="F4088" s="7" t="n"/>
      <c r="G4088" s="7" t="n"/>
      <c r="H4088" s="7" t="n"/>
      <c r="I4088" s="7" t="n"/>
      <c r="J4088" s="7" t="n"/>
      <c r="K4088">
        <f>IF(D4088="Legitimate Interest (GDPR Art. 6(1)(f))", "Yes / Required (Sheet 3)", "")</f>
        <v/>
      </c>
      <c r="L4088" s="7" t="n"/>
      <c r="M4088" s="7" t="n"/>
      <c r="N4088">
        <f>IF(D4088="", "Gap - No Legal Basis", IF(AND(D4088="Consent (GDPR Art. 6(1)(a))", I4088="Not Captured"), "Gap - Invalid Consent", IF(AND(D4088="Legitimate Interest (GDPR Art. 6(1)(f))", L4088=""), "Gap - Missing LIA", IF(AND(G4088="Yes", H4088=""), "Gap - Missing Art. 9 Basis", IF(OR(I4088="Invalid - Not Freely Given", I4088="Invalid - Not Specific", I4088="Invalid - Not Informed", I4088="Invalid - Ambiguous"), "Gap - Invalid Consent", "Compliant")))))</f>
        <v/>
      </c>
      <c r="O4088" s="7" t="n"/>
    </row>
    <row r="4089">
      <c r="A4089" s="7" t="n"/>
      <c r="B4089" s="7" t="n"/>
      <c r="C4089" s="7" t="n"/>
      <c r="D4089" s="7" t="n"/>
      <c r="E4089" s="7" t="n"/>
      <c r="F4089" s="7" t="n"/>
      <c r="G4089" s="7" t="n"/>
      <c r="H4089" s="7" t="n"/>
      <c r="I4089" s="7" t="n"/>
      <c r="J4089" s="7" t="n"/>
      <c r="K4089">
        <f>IF(D4089="Legitimate Interest (GDPR Art. 6(1)(f))", "Yes / Required (Sheet 3)", "")</f>
        <v/>
      </c>
      <c r="L4089" s="7" t="n"/>
      <c r="M4089" s="7" t="n"/>
      <c r="N4089">
        <f>IF(D4089="", "Gap - No Legal Basis", IF(AND(D4089="Consent (GDPR Art. 6(1)(a))", I4089="Not Captured"), "Gap - Invalid Consent", IF(AND(D4089="Legitimate Interest (GDPR Art. 6(1)(f))", L4089=""), "Gap - Missing LIA", IF(AND(G4089="Yes", H4089=""), "Gap - Missing Art. 9 Basis", IF(OR(I4089="Invalid - Not Freely Given", I4089="Invalid - Not Specific", I4089="Invalid - Not Informed", I4089="Invalid - Ambiguous"), "Gap - Invalid Consent", "Compliant")))))</f>
        <v/>
      </c>
      <c r="O4089" s="7" t="n"/>
    </row>
    <row r="4090">
      <c r="A4090" s="7" t="n"/>
      <c r="B4090" s="7" t="n"/>
      <c r="C4090" s="7" t="n"/>
      <c r="D4090" s="7" t="n"/>
      <c r="E4090" s="7" t="n"/>
      <c r="F4090" s="7" t="n"/>
      <c r="G4090" s="7" t="n"/>
      <c r="H4090" s="7" t="n"/>
      <c r="I4090" s="7" t="n"/>
      <c r="J4090" s="7" t="n"/>
      <c r="K4090">
        <f>IF(D4090="Legitimate Interest (GDPR Art. 6(1)(f))", "Yes / Required (Sheet 3)", "")</f>
        <v/>
      </c>
      <c r="L4090" s="7" t="n"/>
      <c r="M4090" s="7" t="n"/>
      <c r="N4090">
        <f>IF(D4090="", "Gap - No Legal Basis", IF(AND(D4090="Consent (GDPR Art. 6(1)(a))", I4090="Not Captured"), "Gap - Invalid Consent", IF(AND(D4090="Legitimate Interest (GDPR Art. 6(1)(f))", L4090=""), "Gap - Missing LIA", IF(AND(G4090="Yes", H4090=""), "Gap - Missing Art. 9 Basis", IF(OR(I4090="Invalid - Not Freely Given", I4090="Invalid - Not Specific", I4090="Invalid - Not Informed", I4090="Invalid - Ambiguous"), "Gap - Invalid Consent", "Compliant")))))</f>
        <v/>
      </c>
      <c r="O4090" s="7" t="n"/>
    </row>
    <row r="4091">
      <c r="A4091" s="7" t="n"/>
      <c r="B4091" s="7" t="n"/>
      <c r="C4091" s="7" t="n"/>
      <c r="D4091" s="7" t="n"/>
      <c r="E4091" s="7" t="n"/>
      <c r="F4091" s="7" t="n"/>
      <c r="G4091" s="7" t="n"/>
      <c r="H4091" s="7" t="n"/>
      <c r="I4091" s="7" t="n"/>
      <c r="J4091" s="7" t="n"/>
      <c r="K4091">
        <f>IF(D4091="Legitimate Interest (GDPR Art. 6(1)(f))", "Yes / Required (Sheet 3)", "")</f>
        <v/>
      </c>
      <c r="L4091" s="7" t="n"/>
      <c r="M4091" s="7" t="n"/>
      <c r="N4091">
        <f>IF(D4091="", "Gap - No Legal Basis", IF(AND(D4091="Consent (GDPR Art. 6(1)(a))", I4091="Not Captured"), "Gap - Invalid Consent", IF(AND(D4091="Legitimate Interest (GDPR Art. 6(1)(f))", L4091=""), "Gap - Missing LIA", IF(AND(G4091="Yes", H4091=""), "Gap - Missing Art. 9 Basis", IF(OR(I4091="Invalid - Not Freely Given", I4091="Invalid - Not Specific", I4091="Invalid - Not Informed", I4091="Invalid - Ambiguous"), "Gap - Invalid Consent", "Compliant")))))</f>
        <v/>
      </c>
      <c r="O4091" s="7" t="n"/>
    </row>
    <row r="4092">
      <c r="A4092" s="7" t="n"/>
      <c r="B4092" s="7" t="n"/>
      <c r="C4092" s="7" t="n"/>
      <c r="D4092" s="7" t="n"/>
      <c r="E4092" s="7" t="n"/>
      <c r="F4092" s="7" t="n"/>
      <c r="G4092" s="7" t="n"/>
      <c r="H4092" s="7" t="n"/>
      <c r="I4092" s="7" t="n"/>
      <c r="J4092" s="7" t="n"/>
      <c r="K4092">
        <f>IF(D4092="Legitimate Interest (GDPR Art. 6(1)(f))", "Yes / Required (Sheet 3)", "")</f>
        <v/>
      </c>
      <c r="L4092" s="7" t="n"/>
      <c r="M4092" s="7" t="n"/>
      <c r="N4092">
        <f>IF(D4092="", "Gap - No Legal Basis", IF(AND(D4092="Consent (GDPR Art. 6(1)(a))", I4092="Not Captured"), "Gap - Invalid Consent", IF(AND(D4092="Legitimate Interest (GDPR Art. 6(1)(f))", L4092=""), "Gap - Missing LIA", IF(AND(G4092="Yes", H4092=""), "Gap - Missing Art. 9 Basis", IF(OR(I4092="Invalid - Not Freely Given", I4092="Invalid - Not Specific", I4092="Invalid - Not Informed", I4092="Invalid - Ambiguous"), "Gap - Invalid Consent", "Compliant")))))</f>
        <v/>
      </c>
      <c r="O4092" s="7" t="n"/>
    </row>
    <row r="4093">
      <c r="A4093" s="7" t="n"/>
      <c r="B4093" s="7" t="n"/>
      <c r="C4093" s="7" t="n"/>
      <c r="D4093" s="7" t="n"/>
      <c r="E4093" s="7" t="n"/>
      <c r="F4093" s="7" t="n"/>
      <c r="G4093" s="7" t="n"/>
      <c r="H4093" s="7" t="n"/>
      <c r="I4093" s="7" t="n"/>
      <c r="J4093" s="7" t="n"/>
      <c r="K4093">
        <f>IF(D4093="Legitimate Interest (GDPR Art. 6(1)(f))", "Yes / Required (Sheet 3)", "")</f>
        <v/>
      </c>
      <c r="L4093" s="7" t="n"/>
      <c r="M4093" s="7" t="n"/>
      <c r="N4093">
        <f>IF(D4093="", "Gap - No Legal Basis", IF(AND(D4093="Consent (GDPR Art. 6(1)(a))", I4093="Not Captured"), "Gap - Invalid Consent", IF(AND(D4093="Legitimate Interest (GDPR Art. 6(1)(f))", L4093=""), "Gap - Missing LIA", IF(AND(G4093="Yes", H4093=""), "Gap - Missing Art. 9 Basis", IF(OR(I4093="Invalid - Not Freely Given", I4093="Invalid - Not Specific", I4093="Invalid - Not Informed", I4093="Invalid - Ambiguous"), "Gap - Invalid Consent", "Compliant")))))</f>
        <v/>
      </c>
      <c r="O4093" s="7" t="n"/>
    </row>
    <row r="4094">
      <c r="A4094" s="7" t="n"/>
      <c r="B4094" s="7" t="n"/>
      <c r="C4094" s="7" t="n"/>
      <c r="D4094" s="7" t="n"/>
      <c r="E4094" s="7" t="n"/>
      <c r="F4094" s="7" t="n"/>
      <c r="G4094" s="7" t="n"/>
      <c r="H4094" s="7" t="n"/>
      <c r="I4094" s="7" t="n"/>
      <c r="J4094" s="7" t="n"/>
      <c r="K4094">
        <f>IF(D4094="Legitimate Interest (GDPR Art. 6(1)(f))", "Yes / Required (Sheet 3)", "")</f>
        <v/>
      </c>
      <c r="L4094" s="7" t="n"/>
      <c r="M4094" s="7" t="n"/>
      <c r="N4094">
        <f>IF(D4094="", "Gap - No Legal Basis", IF(AND(D4094="Consent (GDPR Art. 6(1)(a))", I4094="Not Captured"), "Gap - Invalid Consent", IF(AND(D4094="Legitimate Interest (GDPR Art. 6(1)(f))", L4094=""), "Gap - Missing LIA", IF(AND(G4094="Yes", H4094=""), "Gap - Missing Art. 9 Basis", IF(OR(I4094="Invalid - Not Freely Given", I4094="Invalid - Not Specific", I4094="Invalid - Not Informed", I4094="Invalid - Ambiguous"), "Gap - Invalid Consent", "Compliant")))))</f>
        <v/>
      </c>
      <c r="O4094" s="7" t="n"/>
    </row>
    <row r="4095">
      <c r="A4095" s="7" t="n"/>
      <c r="B4095" s="7" t="n"/>
      <c r="C4095" s="7" t="n"/>
      <c r="D4095" s="7" t="n"/>
      <c r="E4095" s="7" t="n"/>
      <c r="F4095" s="7" t="n"/>
      <c r="G4095" s="7" t="n"/>
      <c r="H4095" s="7" t="n"/>
      <c r="I4095" s="7" t="n"/>
      <c r="J4095" s="7" t="n"/>
      <c r="K4095">
        <f>IF(D4095="Legitimate Interest (GDPR Art. 6(1)(f))", "Yes / Required (Sheet 3)", "")</f>
        <v/>
      </c>
      <c r="L4095" s="7" t="n"/>
      <c r="M4095" s="7" t="n"/>
      <c r="N4095">
        <f>IF(D4095="", "Gap - No Legal Basis", IF(AND(D4095="Consent (GDPR Art. 6(1)(a))", I4095="Not Captured"), "Gap - Invalid Consent", IF(AND(D4095="Legitimate Interest (GDPR Art. 6(1)(f))", L4095=""), "Gap - Missing LIA", IF(AND(G4095="Yes", H4095=""), "Gap - Missing Art. 9 Basis", IF(OR(I4095="Invalid - Not Freely Given", I4095="Invalid - Not Specific", I4095="Invalid - Not Informed", I4095="Invalid - Ambiguous"), "Gap - Invalid Consent", "Compliant")))))</f>
        <v/>
      </c>
      <c r="O4095" s="7" t="n"/>
    </row>
    <row r="4096">
      <c r="A4096" s="7" t="n"/>
      <c r="B4096" s="7" t="n"/>
      <c r="C4096" s="7" t="n"/>
      <c r="D4096" s="7" t="n"/>
      <c r="E4096" s="7" t="n"/>
      <c r="F4096" s="7" t="n"/>
      <c r="G4096" s="7" t="n"/>
      <c r="H4096" s="7" t="n"/>
      <c r="I4096" s="7" t="n"/>
      <c r="J4096" s="7" t="n"/>
      <c r="K4096">
        <f>IF(D4096="Legitimate Interest (GDPR Art. 6(1)(f))", "Yes / Required (Sheet 3)", "")</f>
        <v/>
      </c>
      <c r="L4096" s="7" t="n"/>
      <c r="M4096" s="7" t="n"/>
      <c r="N4096">
        <f>IF(D4096="", "Gap - No Legal Basis", IF(AND(D4096="Consent (GDPR Art. 6(1)(a))", I4096="Not Captured"), "Gap - Invalid Consent", IF(AND(D4096="Legitimate Interest (GDPR Art. 6(1)(f))", L4096=""), "Gap - Missing LIA", IF(AND(G4096="Yes", H4096=""), "Gap - Missing Art. 9 Basis", IF(OR(I4096="Invalid - Not Freely Given", I4096="Invalid - Not Specific", I4096="Invalid - Not Informed", I4096="Invalid - Ambiguous"), "Gap - Invalid Consent", "Compliant")))))</f>
        <v/>
      </c>
      <c r="O4096" s="7" t="n"/>
    </row>
    <row r="4097">
      <c r="A4097" s="7" t="n"/>
      <c r="B4097" s="7" t="n"/>
      <c r="C4097" s="7" t="n"/>
      <c r="D4097" s="7" t="n"/>
      <c r="E4097" s="7" t="n"/>
      <c r="F4097" s="7" t="n"/>
      <c r="G4097" s="7" t="n"/>
      <c r="H4097" s="7" t="n"/>
      <c r="I4097" s="7" t="n"/>
      <c r="J4097" s="7" t="n"/>
      <c r="K4097">
        <f>IF(D4097="Legitimate Interest (GDPR Art. 6(1)(f))", "Yes / Required (Sheet 3)", "")</f>
        <v/>
      </c>
      <c r="L4097" s="7" t="n"/>
      <c r="M4097" s="7" t="n"/>
      <c r="N4097">
        <f>IF(D4097="", "Gap - No Legal Basis", IF(AND(D4097="Consent (GDPR Art. 6(1)(a))", I4097="Not Captured"), "Gap - Invalid Consent", IF(AND(D4097="Legitimate Interest (GDPR Art. 6(1)(f))", L4097=""), "Gap - Missing LIA", IF(AND(G4097="Yes", H4097=""), "Gap - Missing Art. 9 Basis", IF(OR(I4097="Invalid - Not Freely Given", I4097="Invalid - Not Specific", I4097="Invalid - Not Informed", I4097="Invalid - Ambiguous"), "Gap - Invalid Consent", "Compliant")))))</f>
        <v/>
      </c>
      <c r="O4097" s="7" t="n"/>
    </row>
    <row r="4098">
      <c r="A4098" s="7" t="n"/>
      <c r="B4098" s="7" t="n"/>
      <c r="C4098" s="7" t="n"/>
      <c r="D4098" s="7" t="n"/>
      <c r="E4098" s="7" t="n"/>
      <c r="F4098" s="7" t="n"/>
      <c r="G4098" s="7" t="n"/>
      <c r="H4098" s="7" t="n"/>
      <c r="I4098" s="7" t="n"/>
      <c r="J4098" s="7" t="n"/>
      <c r="K4098">
        <f>IF(D4098="Legitimate Interest (GDPR Art. 6(1)(f))", "Yes / Required (Sheet 3)", "")</f>
        <v/>
      </c>
      <c r="L4098" s="7" t="n"/>
      <c r="M4098" s="7" t="n"/>
      <c r="N4098">
        <f>IF(D4098="", "Gap - No Legal Basis", IF(AND(D4098="Consent (GDPR Art. 6(1)(a))", I4098="Not Captured"), "Gap - Invalid Consent", IF(AND(D4098="Legitimate Interest (GDPR Art. 6(1)(f))", L4098=""), "Gap - Missing LIA", IF(AND(G4098="Yes", H4098=""), "Gap - Missing Art. 9 Basis", IF(OR(I4098="Invalid - Not Freely Given", I4098="Invalid - Not Specific", I4098="Invalid - Not Informed", I4098="Invalid - Ambiguous"), "Gap - Invalid Consent", "Compliant")))))</f>
        <v/>
      </c>
      <c r="O4098" s="7" t="n"/>
    </row>
    <row r="4099">
      <c r="A4099" s="7" t="n"/>
      <c r="B4099" s="7" t="n"/>
      <c r="C4099" s="7" t="n"/>
      <c r="D4099" s="7" t="n"/>
      <c r="E4099" s="7" t="n"/>
      <c r="F4099" s="7" t="n"/>
      <c r="G4099" s="7" t="n"/>
      <c r="H4099" s="7" t="n"/>
      <c r="I4099" s="7" t="n"/>
      <c r="J4099" s="7" t="n"/>
      <c r="K4099">
        <f>IF(D4099="Legitimate Interest (GDPR Art. 6(1)(f))", "Yes / Required (Sheet 3)", "")</f>
        <v/>
      </c>
      <c r="L4099" s="7" t="n"/>
      <c r="M4099" s="7" t="n"/>
      <c r="N4099">
        <f>IF(D4099="", "Gap - No Legal Basis", IF(AND(D4099="Consent (GDPR Art. 6(1)(a))", I4099="Not Captured"), "Gap - Invalid Consent", IF(AND(D4099="Legitimate Interest (GDPR Art. 6(1)(f))", L4099=""), "Gap - Missing LIA", IF(AND(G4099="Yes", H4099=""), "Gap - Missing Art. 9 Basis", IF(OR(I4099="Invalid - Not Freely Given", I4099="Invalid - Not Specific", I4099="Invalid - Not Informed", I4099="Invalid - Ambiguous"), "Gap - Invalid Consent", "Compliant")))))</f>
        <v/>
      </c>
      <c r="O4099" s="7" t="n"/>
    </row>
    <row r="4100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7" t="n"/>
      <c r="J4100" s="7" t="n"/>
      <c r="K4100">
        <f>IF(D4100="Legitimate Interest (GDPR Art. 6(1)(f))", "Yes / Required (Sheet 3)", "")</f>
        <v/>
      </c>
      <c r="L4100" s="7" t="n"/>
      <c r="M4100" s="7" t="n"/>
      <c r="N4100">
        <f>IF(D4100="", "Gap - No Legal Basis", IF(AND(D4100="Consent (GDPR Art. 6(1)(a))", I4100="Not Captured"), "Gap - Invalid Consent", IF(AND(D4100="Legitimate Interest (GDPR Art. 6(1)(f))", L4100=""), "Gap - Missing LIA", IF(AND(G4100="Yes", H4100=""), "Gap - Missing Art. 9 Basis", IF(OR(I4100="Invalid - Not Freely Given", I4100="Invalid - Not Specific", I4100="Invalid - Not Informed", I4100="Invalid - Ambiguous"), "Gap - Invalid Consent", "Compliant")))))</f>
        <v/>
      </c>
      <c r="O4100" s="7" t="n"/>
    </row>
    <row r="4101">
      <c r="A4101" s="7" t="n"/>
      <c r="B4101" s="7" t="n"/>
      <c r="C4101" s="7" t="n"/>
      <c r="D4101" s="7" t="n"/>
      <c r="E4101" s="7" t="n"/>
      <c r="F4101" s="7" t="n"/>
      <c r="G4101" s="7" t="n"/>
      <c r="H4101" s="7" t="n"/>
      <c r="I4101" s="7" t="n"/>
      <c r="J4101" s="7" t="n"/>
      <c r="K4101">
        <f>IF(D4101="Legitimate Interest (GDPR Art. 6(1)(f))", "Yes / Required (Sheet 3)", "")</f>
        <v/>
      </c>
      <c r="L4101" s="7" t="n"/>
      <c r="M4101" s="7" t="n"/>
      <c r="N4101">
        <f>IF(D4101="", "Gap - No Legal Basis", IF(AND(D4101="Consent (GDPR Art. 6(1)(a))", I4101="Not Captured"), "Gap - Invalid Consent", IF(AND(D4101="Legitimate Interest (GDPR Art. 6(1)(f))", L4101=""), "Gap - Missing LIA", IF(AND(G4101="Yes", H4101=""), "Gap - Missing Art. 9 Basis", IF(OR(I4101="Invalid - Not Freely Given", I4101="Invalid - Not Specific", I4101="Invalid - Not Informed", I4101="Invalid - Ambiguous"), "Gap - Invalid Consent", "Compliant")))))</f>
        <v/>
      </c>
      <c r="O4101" s="7" t="n"/>
    </row>
    <row r="4102">
      <c r="A4102" s="7" t="n"/>
      <c r="B4102" s="7" t="n"/>
      <c r="C4102" s="7" t="n"/>
      <c r="D4102" s="7" t="n"/>
      <c r="E4102" s="7" t="n"/>
      <c r="F4102" s="7" t="n"/>
      <c r="G4102" s="7" t="n"/>
      <c r="H4102" s="7" t="n"/>
      <c r="I4102" s="7" t="n"/>
      <c r="J4102" s="7" t="n"/>
      <c r="K4102">
        <f>IF(D4102="Legitimate Interest (GDPR Art. 6(1)(f))", "Yes / Required (Sheet 3)", "")</f>
        <v/>
      </c>
      <c r="L4102" s="7" t="n"/>
      <c r="M4102" s="7" t="n"/>
      <c r="N4102">
        <f>IF(D4102="", "Gap - No Legal Basis", IF(AND(D4102="Consent (GDPR Art. 6(1)(a))", I4102="Not Captured"), "Gap - Invalid Consent", IF(AND(D4102="Legitimate Interest (GDPR Art. 6(1)(f))", L4102=""), "Gap - Missing LIA", IF(AND(G4102="Yes", H4102=""), "Gap - Missing Art. 9 Basis", IF(OR(I4102="Invalid - Not Freely Given", I4102="Invalid - Not Specific", I4102="Invalid - Not Informed", I4102="Invalid - Ambiguous"), "Gap - Invalid Consent", "Compliant")))))</f>
        <v/>
      </c>
      <c r="O4102" s="7" t="n"/>
    </row>
    <row r="4103">
      <c r="A4103" s="7" t="n"/>
      <c r="B4103" s="7" t="n"/>
      <c r="C4103" s="7" t="n"/>
      <c r="D4103" s="7" t="n"/>
      <c r="E4103" s="7" t="n"/>
      <c r="F4103" s="7" t="n"/>
      <c r="G4103" s="7" t="n"/>
      <c r="H4103" s="7" t="n"/>
      <c r="I4103" s="7" t="n"/>
      <c r="J4103" s="7" t="n"/>
      <c r="K4103">
        <f>IF(D4103="Legitimate Interest (GDPR Art. 6(1)(f))", "Yes / Required (Sheet 3)", "")</f>
        <v/>
      </c>
      <c r="L4103" s="7" t="n"/>
      <c r="M4103" s="7" t="n"/>
      <c r="N4103">
        <f>IF(D4103="", "Gap - No Legal Basis", IF(AND(D4103="Consent (GDPR Art. 6(1)(a))", I4103="Not Captured"), "Gap - Invalid Consent", IF(AND(D4103="Legitimate Interest (GDPR Art. 6(1)(f))", L4103=""), "Gap - Missing LIA", IF(AND(G4103="Yes", H4103=""), "Gap - Missing Art. 9 Basis", IF(OR(I4103="Invalid - Not Freely Given", I4103="Invalid - Not Specific", I4103="Invalid - Not Informed", I4103="Invalid - Ambiguous"), "Gap - Invalid Consent", "Compliant")))))</f>
        <v/>
      </c>
      <c r="O4103" s="7" t="n"/>
    </row>
    <row r="4104">
      <c r="A4104" s="7" t="n"/>
      <c r="B4104" s="7" t="n"/>
      <c r="C4104" s="7" t="n"/>
      <c r="D4104" s="7" t="n"/>
      <c r="E4104" s="7" t="n"/>
      <c r="F4104" s="7" t="n"/>
      <c r="G4104" s="7" t="n"/>
      <c r="H4104" s="7" t="n"/>
      <c r="I4104" s="7" t="n"/>
      <c r="J4104" s="7" t="n"/>
      <c r="K4104">
        <f>IF(D4104="Legitimate Interest (GDPR Art. 6(1)(f))", "Yes / Required (Sheet 3)", "")</f>
        <v/>
      </c>
      <c r="L4104" s="7" t="n"/>
      <c r="M4104" s="7" t="n"/>
      <c r="N4104">
        <f>IF(D4104="", "Gap - No Legal Basis", IF(AND(D4104="Consent (GDPR Art. 6(1)(a))", I4104="Not Captured"), "Gap - Invalid Consent", IF(AND(D4104="Legitimate Interest (GDPR Art. 6(1)(f))", L4104=""), "Gap - Missing LIA", IF(AND(G4104="Yes", H4104=""), "Gap - Missing Art. 9 Basis", IF(OR(I4104="Invalid - Not Freely Given", I4104="Invalid - Not Specific", I4104="Invalid - Not Informed", I4104="Invalid - Ambiguous"), "Gap - Invalid Consent", "Compliant")))))</f>
        <v/>
      </c>
      <c r="O4104" s="7" t="n"/>
    </row>
    <row r="4105">
      <c r="A4105" s="7" t="n"/>
      <c r="B4105" s="7" t="n"/>
      <c r="C4105" s="7" t="n"/>
      <c r="D4105" s="7" t="n"/>
      <c r="E4105" s="7" t="n"/>
      <c r="F4105" s="7" t="n"/>
      <c r="G4105" s="7" t="n"/>
      <c r="H4105" s="7" t="n"/>
      <c r="I4105" s="7" t="n"/>
      <c r="J4105" s="7" t="n"/>
      <c r="K4105">
        <f>IF(D4105="Legitimate Interest (GDPR Art. 6(1)(f))", "Yes / Required (Sheet 3)", "")</f>
        <v/>
      </c>
      <c r="L4105" s="7" t="n"/>
      <c r="M4105" s="7" t="n"/>
      <c r="N4105">
        <f>IF(D4105="", "Gap - No Legal Basis", IF(AND(D4105="Consent (GDPR Art. 6(1)(a))", I4105="Not Captured"), "Gap - Invalid Consent", IF(AND(D4105="Legitimate Interest (GDPR Art. 6(1)(f))", L4105=""), "Gap - Missing LIA", IF(AND(G4105="Yes", H4105=""), "Gap - Missing Art. 9 Basis", IF(OR(I4105="Invalid - Not Freely Given", I4105="Invalid - Not Specific", I4105="Invalid - Not Informed", I4105="Invalid - Ambiguous"), "Gap - Invalid Consent", "Compliant")))))</f>
        <v/>
      </c>
      <c r="O4105" s="7" t="n"/>
    </row>
    <row r="4106">
      <c r="A4106" s="7" t="n"/>
      <c r="B4106" s="7" t="n"/>
      <c r="C4106" s="7" t="n"/>
      <c r="D4106" s="7" t="n"/>
      <c r="E4106" s="7" t="n"/>
      <c r="F4106" s="7" t="n"/>
      <c r="G4106" s="7" t="n"/>
      <c r="H4106" s="7" t="n"/>
      <c r="I4106" s="7" t="n"/>
      <c r="J4106" s="7" t="n"/>
      <c r="K4106">
        <f>IF(D4106="Legitimate Interest (GDPR Art. 6(1)(f))", "Yes / Required (Sheet 3)", "")</f>
        <v/>
      </c>
      <c r="L4106" s="7" t="n"/>
      <c r="M4106" s="7" t="n"/>
      <c r="N4106">
        <f>IF(D4106="", "Gap - No Legal Basis", IF(AND(D4106="Consent (GDPR Art. 6(1)(a))", I4106="Not Captured"), "Gap - Invalid Consent", IF(AND(D4106="Legitimate Interest (GDPR Art. 6(1)(f))", L4106=""), "Gap - Missing LIA", IF(AND(G4106="Yes", H4106=""), "Gap - Missing Art. 9 Basis", IF(OR(I4106="Invalid - Not Freely Given", I4106="Invalid - Not Specific", I4106="Invalid - Not Informed", I4106="Invalid - Ambiguous"), "Gap - Invalid Consent", "Compliant")))))</f>
        <v/>
      </c>
      <c r="O4106" s="7" t="n"/>
    </row>
    <row r="4107">
      <c r="A4107" s="7" t="n"/>
      <c r="B4107" s="7" t="n"/>
      <c r="C4107" s="7" t="n"/>
      <c r="D4107" s="7" t="n"/>
      <c r="E4107" s="7" t="n"/>
      <c r="F4107" s="7" t="n"/>
      <c r="G4107" s="7" t="n"/>
      <c r="H4107" s="7" t="n"/>
      <c r="I4107" s="7" t="n"/>
      <c r="J4107" s="7" t="n"/>
      <c r="K4107">
        <f>IF(D4107="Legitimate Interest (GDPR Art. 6(1)(f))", "Yes / Required (Sheet 3)", "")</f>
        <v/>
      </c>
      <c r="L4107" s="7" t="n"/>
      <c r="M4107" s="7" t="n"/>
      <c r="N4107">
        <f>IF(D4107="", "Gap - No Legal Basis", IF(AND(D4107="Consent (GDPR Art. 6(1)(a))", I4107="Not Captured"), "Gap - Invalid Consent", IF(AND(D4107="Legitimate Interest (GDPR Art. 6(1)(f))", L4107=""), "Gap - Missing LIA", IF(AND(G4107="Yes", H4107=""), "Gap - Missing Art. 9 Basis", IF(OR(I4107="Invalid - Not Freely Given", I4107="Invalid - Not Specific", I4107="Invalid - Not Informed", I4107="Invalid - Ambiguous"), "Gap - Invalid Consent", "Compliant")))))</f>
        <v/>
      </c>
      <c r="O4107" s="7" t="n"/>
    </row>
    <row r="4108">
      <c r="A4108" s="7" t="n"/>
      <c r="B4108" s="7" t="n"/>
      <c r="C4108" s="7" t="n"/>
      <c r="D4108" s="7" t="n"/>
      <c r="E4108" s="7" t="n"/>
      <c r="F4108" s="7" t="n"/>
      <c r="G4108" s="7" t="n"/>
      <c r="H4108" s="7" t="n"/>
      <c r="I4108" s="7" t="n"/>
      <c r="J4108" s="7" t="n"/>
      <c r="K4108">
        <f>IF(D4108="Legitimate Interest (GDPR Art. 6(1)(f))", "Yes / Required (Sheet 3)", "")</f>
        <v/>
      </c>
      <c r="L4108" s="7" t="n"/>
      <c r="M4108" s="7" t="n"/>
      <c r="N4108">
        <f>IF(D4108="", "Gap - No Legal Basis", IF(AND(D4108="Consent (GDPR Art. 6(1)(a))", I4108="Not Captured"), "Gap - Invalid Consent", IF(AND(D4108="Legitimate Interest (GDPR Art. 6(1)(f))", L4108=""), "Gap - Missing LIA", IF(AND(G4108="Yes", H4108=""), "Gap - Missing Art. 9 Basis", IF(OR(I4108="Invalid - Not Freely Given", I4108="Invalid - Not Specific", I4108="Invalid - Not Informed", I4108="Invalid - Ambiguous"), "Gap - Invalid Consent", "Compliant")))))</f>
        <v/>
      </c>
      <c r="O4108" s="7" t="n"/>
    </row>
    <row r="4109">
      <c r="A4109" s="7" t="n"/>
      <c r="B4109" s="7" t="n"/>
      <c r="C4109" s="7" t="n"/>
      <c r="D4109" s="7" t="n"/>
      <c r="E4109" s="7" t="n"/>
      <c r="F4109" s="7" t="n"/>
      <c r="G4109" s="7" t="n"/>
      <c r="H4109" s="7" t="n"/>
      <c r="I4109" s="7" t="n"/>
      <c r="J4109" s="7" t="n"/>
      <c r="K4109">
        <f>IF(D4109="Legitimate Interest (GDPR Art. 6(1)(f))", "Yes / Required (Sheet 3)", "")</f>
        <v/>
      </c>
      <c r="L4109" s="7" t="n"/>
      <c r="M4109" s="7" t="n"/>
      <c r="N4109">
        <f>IF(D4109="", "Gap - No Legal Basis", IF(AND(D4109="Consent (GDPR Art. 6(1)(a))", I4109="Not Captured"), "Gap - Invalid Consent", IF(AND(D4109="Legitimate Interest (GDPR Art. 6(1)(f))", L4109=""), "Gap - Missing LIA", IF(AND(G4109="Yes", H4109=""), "Gap - Missing Art. 9 Basis", IF(OR(I4109="Invalid - Not Freely Given", I4109="Invalid - Not Specific", I4109="Invalid - Not Informed", I4109="Invalid - Ambiguous"), "Gap - Invalid Consent", "Compliant")))))</f>
        <v/>
      </c>
      <c r="O4109" s="7" t="n"/>
    </row>
    <row r="4110">
      <c r="A4110" s="7" t="n"/>
      <c r="B4110" s="7" t="n"/>
      <c r="C4110" s="7" t="n"/>
      <c r="D4110" s="7" t="n"/>
      <c r="E4110" s="7" t="n"/>
      <c r="F4110" s="7" t="n"/>
      <c r="G4110" s="7" t="n"/>
      <c r="H4110" s="7" t="n"/>
      <c r="I4110" s="7" t="n"/>
      <c r="J4110" s="7" t="n"/>
      <c r="K4110">
        <f>IF(D4110="Legitimate Interest (GDPR Art. 6(1)(f))", "Yes / Required (Sheet 3)", "")</f>
        <v/>
      </c>
      <c r="L4110" s="7" t="n"/>
      <c r="M4110" s="7" t="n"/>
      <c r="N4110">
        <f>IF(D4110="", "Gap - No Legal Basis", IF(AND(D4110="Consent (GDPR Art. 6(1)(a))", I4110="Not Captured"), "Gap - Invalid Consent", IF(AND(D4110="Legitimate Interest (GDPR Art. 6(1)(f))", L4110=""), "Gap - Missing LIA", IF(AND(G4110="Yes", H4110=""), "Gap - Missing Art. 9 Basis", IF(OR(I4110="Invalid - Not Freely Given", I4110="Invalid - Not Specific", I4110="Invalid - Not Informed", I4110="Invalid - Ambiguous"), "Gap - Invalid Consent", "Compliant")))))</f>
        <v/>
      </c>
      <c r="O4110" s="7" t="n"/>
    </row>
    <row r="4111">
      <c r="A4111" s="7" t="n"/>
      <c r="B4111" s="7" t="n"/>
      <c r="C4111" s="7" t="n"/>
      <c r="D4111" s="7" t="n"/>
      <c r="E4111" s="7" t="n"/>
      <c r="F4111" s="7" t="n"/>
      <c r="G4111" s="7" t="n"/>
      <c r="H4111" s="7" t="n"/>
      <c r="I4111" s="7" t="n"/>
      <c r="J4111" s="7" t="n"/>
      <c r="K4111">
        <f>IF(D4111="Legitimate Interest (GDPR Art. 6(1)(f))", "Yes / Required (Sheet 3)", "")</f>
        <v/>
      </c>
      <c r="L4111" s="7" t="n"/>
      <c r="M4111" s="7" t="n"/>
      <c r="N4111">
        <f>IF(D4111="", "Gap - No Legal Basis", IF(AND(D4111="Consent (GDPR Art. 6(1)(a))", I4111="Not Captured"), "Gap - Invalid Consent", IF(AND(D4111="Legitimate Interest (GDPR Art. 6(1)(f))", L4111=""), "Gap - Missing LIA", IF(AND(G4111="Yes", H4111=""), "Gap - Missing Art. 9 Basis", IF(OR(I4111="Invalid - Not Freely Given", I4111="Invalid - Not Specific", I4111="Invalid - Not Informed", I4111="Invalid - Ambiguous"), "Gap - Invalid Consent", "Compliant")))))</f>
        <v/>
      </c>
      <c r="O4111" s="7" t="n"/>
    </row>
    <row r="4112">
      <c r="A4112" s="7" t="n"/>
      <c r="B4112" s="7" t="n"/>
      <c r="C4112" s="7" t="n"/>
      <c r="D4112" s="7" t="n"/>
      <c r="E4112" s="7" t="n"/>
      <c r="F4112" s="7" t="n"/>
      <c r="G4112" s="7" t="n"/>
      <c r="H4112" s="7" t="n"/>
      <c r="I4112" s="7" t="n"/>
      <c r="J4112" s="7" t="n"/>
      <c r="K4112">
        <f>IF(D4112="Legitimate Interest (GDPR Art. 6(1)(f))", "Yes / Required (Sheet 3)", "")</f>
        <v/>
      </c>
      <c r="L4112" s="7" t="n"/>
      <c r="M4112" s="7" t="n"/>
      <c r="N4112">
        <f>IF(D4112="", "Gap - No Legal Basis", IF(AND(D4112="Consent (GDPR Art. 6(1)(a))", I4112="Not Captured"), "Gap - Invalid Consent", IF(AND(D4112="Legitimate Interest (GDPR Art. 6(1)(f))", L4112=""), "Gap - Missing LIA", IF(AND(G4112="Yes", H4112=""), "Gap - Missing Art. 9 Basis", IF(OR(I4112="Invalid - Not Freely Given", I4112="Invalid - Not Specific", I4112="Invalid - Not Informed", I4112="Invalid - Ambiguous"), "Gap - Invalid Consent", "Compliant")))))</f>
        <v/>
      </c>
      <c r="O4112" s="7" t="n"/>
    </row>
    <row r="4113">
      <c r="A4113" s="7" t="n"/>
      <c r="B4113" s="7" t="n"/>
      <c r="C4113" s="7" t="n"/>
      <c r="D4113" s="7" t="n"/>
      <c r="E4113" s="7" t="n"/>
      <c r="F4113" s="7" t="n"/>
      <c r="G4113" s="7" t="n"/>
      <c r="H4113" s="7" t="n"/>
      <c r="I4113" s="7" t="n"/>
      <c r="J4113" s="7" t="n"/>
      <c r="K4113">
        <f>IF(D4113="Legitimate Interest (GDPR Art. 6(1)(f))", "Yes / Required (Sheet 3)", "")</f>
        <v/>
      </c>
      <c r="L4113" s="7" t="n"/>
      <c r="M4113" s="7" t="n"/>
      <c r="N4113">
        <f>IF(D4113="", "Gap - No Legal Basis", IF(AND(D4113="Consent (GDPR Art. 6(1)(a))", I4113="Not Captured"), "Gap - Invalid Consent", IF(AND(D4113="Legitimate Interest (GDPR Art. 6(1)(f))", L4113=""), "Gap - Missing LIA", IF(AND(G4113="Yes", H4113=""), "Gap - Missing Art. 9 Basis", IF(OR(I4113="Invalid - Not Freely Given", I4113="Invalid - Not Specific", I4113="Invalid - Not Informed", I4113="Invalid - Ambiguous"), "Gap - Invalid Consent", "Compliant")))))</f>
        <v/>
      </c>
      <c r="O4113" s="7" t="n"/>
    </row>
    <row r="4114">
      <c r="A4114" s="7" t="n"/>
      <c r="B4114" s="7" t="n"/>
      <c r="C4114" s="7" t="n"/>
      <c r="D4114" s="7" t="n"/>
      <c r="E4114" s="7" t="n"/>
      <c r="F4114" s="7" t="n"/>
      <c r="G4114" s="7" t="n"/>
      <c r="H4114" s="7" t="n"/>
      <c r="I4114" s="7" t="n"/>
      <c r="J4114" s="7" t="n"/>
      <c r="K4114">
        <f>IF(D4114="Legitimate Interest (GDPR Art. 6(1)(f))", "Yes / Required (Sheet 3)", "")</f>
        <v/>
      </c>
      <c r="L4114" s="7" t="n"/>
      <c r="M4114" s="7" t="n"/>
      <c r="N4114">
        <f>IF(D4114="", "Gap - No Legal Basis", IF(AND(D4114="Consent (GDPR Art. 6(1)(a))", I4114="Not Captured"), "Gap - Invalid Consent", IF(AND(D4114="Legitimate Interest (GDPR Art. 6(1)(f))", L4114=""), "Gap - Missing LIA", IF(AND(G4114="Yes", H4114=""), "Gap - Missing Art. 9 Basis", IF(OR(I4114="Invalid - Not Freely Given", I4114="Invalid - Not Specific", I4114="Invalid - Not Informed", I4114="Invalid - Ambiguous"), "Gap - Invalid Consent", "Compliant")))))</f>
        <v/>
      </c>
      <c r="O4114" s="7" t="n"/>
    </row>
    <row r="4115">
      <c r="A4115" s="7" t="n"/>
      <c r="B4115" s="7" t="n"/>
      <c r="C4115" s="7" t="n"/>
      <c r="D4115" s="7" t="n"/>
      <c r="E4115" s="7" t="n"/>
      <c r="F4115" s="7" t="n"/>
      <c r="G4115" s="7" t="n"/>
      <c r="H4115" s="7" t="n"/>
      <c r="I4115" s="7" t="n"/>
      <c r="J4115" s="7" t="n"/>
      <c r="K4115">
        <f>IF(D4115="Legitimate Interest (GDPR Art. 6(1)(f))", "Yes / Required (Sheet 3)", "")</f>
        <v/>
      </c>
      <c r="L4115" s="7" t="n"/>
      <c r="M4115" s="7" t="n"/>
      <c r="N4115">
        <f>IF(D4115="", "Gap - No Legal Basis", IF(AND(D4115="Consent (GDPR Art. 6(1)(a))", I4115="Not Captured"), "Gap - Invalid Consent", IF(AND(D4115="Legitimate Interest (GDPR Art. 6(1)(f))", L4115=""), "Gap - Missing LIA", IF(AND(G4115="Yes", H4115=""), "Gap - Missing Art. 9 Basis", IF(OR(I4115="Invalid - Not Freely Given", I4115="Invalid - Not Specific", I4115="Invalid - Not Informed", I4115="Invalid - Ambiguous"), "Gap - Invalid Consent", "Compliant")))))</f>
        <v/>
      </c>
      <c r="O4115" s="7" t="n"/>
    </row>
    <row r="4116">
      <c r="A4116" s="7" t="n"/>
      <c r="B4116" s="7" t="n"/>
      <c r="C4116" s="7" t="n"/>
      <c r="D4116" s="7" t="n"/>
      <c r="E4116" s="7" t="n"/>
      <c r="F4116" s="7" t="n"/>
      <c r="G4116" s="7" t="n"/>
      <c r="H4116" s="7" t="n"/>
      <c r="I4116" s="7" t="n"/>
      <c r="J4116" s="7" t="n"/>
      <c r="K4116">
        <f>IF(D4116="Legitimate Interest (GDPR Art. 6(1)(f))", "Yes / Required (Sheet 3)", "")</f>
        <v/>
      </c>
      <c r="L4116" s="7" t="n"/>
      <c r="M4116" s="7" t="n"/>
      <c r="N4116">
        <f>IF(D4116="", "Gap - No Legal Basis", IF(AND(D4116="Consent (GDPR Art. 6(1)(a))", I4116="Not Captured"), "Gap - Invalid Consent", IF(AND(D4116="Legitimate Interest (GDPR Art. 6(1)(f))", L4116=""), "Gap - Missing LIA", IF(AND(G4116="Yes", H4116=""), "Gap - Missing Art. 9 Basis", IF(OR(I4116="Invalid - Not Freely Given", I4116="Invalid - Not Specific", I4116="Invalid - Not Informed", I4116="Invalid - Ambiguous"), "Gap - Invalid Consent", "Compliant")))))</f>
        <v/>
      </c>
      <c r="O4116" s="7" t="n"/>
    </row>
    <row r="4117">
      <c r="A4117" s="7" t="n"/>
      <c r="B4117" s="7" t="n"/>
      <c r="C4117" s="7" t="n"/>
      <c r="D4117" s="7" t="n"/>
      <c r="E4117" s="7" t="n"/>
      <c r="F4117" s="7" t="n"/>
      <c r="G4117" s="7" t="n"/>
      <c r="H4117" s="7" t="n"/>
      <c r="I4117" s="7" t="n"/>
      <c r="J4117" s="7" t="n"/>
      <c r="K4117">
        <f>IF(D4117="Legitimate Interest (GDPR Art. 6(1)(f))", "Yes / Required (Sheet 3)", "")</f>
        <v/>
      </c>
      <c r="L4117" s="7" t="n"/>
      <c r="M4117" s="7" t="n"/>
      <c r="N4117">
        <f>IF(D4117="", "Gap - No Legal Basis", IF(AND(D4117="Consent (GDPR Art. 6(1)(a))", I4117="Not Captured"), "Gap - Invalid Consent", IF(AND(D4117="Legitimate Interest (GDPR Art. 6(1)(f))", L4117=""), "Gap - Missing LIA", IF(AND(G4117="Yes", H4117=""), "Gap - Missing Art. 9 Basis", IF(OR(I4117="Invalid - Not Freely Given", I4117="Invalid - Not Specific", I4117="Invalid - Not Informed", I4117="Invalid - Ambiguous"), "Gap - Invalid Consent", "Compliant")))))</f>
        <v/>
      </c>
      <c r="O4117" s="7" t="n"/>
    </row>
    <row r="4118">
      <c r="A4118" s="7" t="n"/>
      <c r="B4118" s="7" t="n"/>
      <c r="C4118" s="7" t="n"/>
      <c r="D4118" s="7" t="n"/>
      <c r="E4118" s="7" t="n"/>
      <c r="F4118" s="7" t="n"/>
      <c r="G4118" s="7" t="n"/>
      <c r="H4118" s="7" t="n"/>
      <c r="I4118" s="7" t="n"/>
      <c r="J4118" s="7" t="n"/>
      <c r="K4118">
        <f>IF(D4118="Legitimate Interest (GDPR Art. 6(1)(f))", "Yes / Required (Sheet 3)", "")</f>
        <v/>
      </c>
      <c r="L4118" s="7" t="n"/>
      <c r="M4118" s="7" t="n"/>
      <c r="N4118">
        <f>IF(D4118="", "Gap - No Legal Basis", IF(AND(D4118="Consent (GDPR Art. 6(1)(a))", I4118="Not Captured"), "Gap - Invalid Consent", IF(AND(D4118="Legitimate Interest (GDPR Art. 6(1)(f))", L4118=""), "Gap - Missing LIA", IF(AND(G4118="Yes", H4118=""), "Gap - Missing Art. 9 Basis", IF(OR(I4118="Invalid - Not Freely Given", I4118="Invalid - Not Specific", I4118="Invalid - Not Informed", I4118="Invalid - Ambiguous"), "Gap - Invalid Consent", "Compliant")))))</f>
        <v/>
      </c>
      <c r="O4118" s="7" t="n"/>
    </row>
    <row r="4119">
      <c r="A4119" s="7" t="n"/>
      <c r="B4119" s="7" t="n"/>
      <c r="C4119" s="7" t="n"/>
      <c r="D4119" s="7" t="n"/>
      <c r="E4119" s="7" t="n"/>
      <c r="F4119" s="7" t="n"/>
      <c r="G4119" s="7" t="n"/>
      <c r="H4119" s="7" t="n"/>
      <c r="I4119" s="7" t="n"/>
      <c r="J4119" s="7" t="n"/>
      <c r="K4119">
        <f>IF(D4119="Legitimate Interest (GDPR Art. 6(1)(f))", "Yes / Required (Sheet 3)", "")</f>
        <v/>
      </c>
      <c r="L4119" s="7" t="n"/>
      <c r="M4119" s="7" t="n"/>
      <c r="N4119">
        <f>IF(D4119="", "Gap - No Legal Basis", IF(AND(D4119="Consent (GDPR Art. 6(1)(a))", I4119="Not Captured"), "Gap - Invalid Consent", IF(AND(D4119="Legitimate Interest (GDPR Art. 6(1)(f))", L4119=""), "Gap - Missing LIA", IF(AND(G4119="Yes", H4119=""), "Gap - Missing Art. 9 Basis", IF(OR(I4119="Invalid - Not Freely Given", I4119="Invalid - Not Specific", I4119="Invalid - Not Informed", I4119="Invalid - Ambiguous"), "Gap - Invalid Consent", "Compliant")))))</f>
        <v/>
      </c>
      <c r="O4119" s="7" t="n"/>
    </row>
    <row r="4120">
      <c r="A4120" s="7" t="n"/>
      <c r="B4120" s="7" t="n"/>
      <c r="C4120" s="7" t="n"/>
      <c r="D4120" s="7" t="n"/>
      <c r="E4120" s="7" t="n"/>
      <c r="F4120" s="7" t="n"/>
      <c r="G4120" s="7" t="n"/>
      <c r="H4120" s="7" t="n"/>
      <c r="I4120" s="7" t="n"/>
      <c r="J4120" s="7" t="n"/>
      <c r="K4120">
        <f>IF(D4120="Legitimate Interest (GDPR Art. 6(1)(f))", "Yes / Required (Sheet 3)", "")</f>
        <v/>
      </c>
      <c r="L4120" s="7" t="n"/>
      <c r="M4120" s="7" t="n"/>
      <c r="N4120">
        <f>IF(D4120="", "Gap - No Legal Basis", IF(AND(D4120="Consent (GDPR Art. 6(1)(a))", I4120="Not Captured"), "Gap - Invalid Consent", IF(AND(D4120="Legitimate Interest (GDPR Art. 6(1)(f))", L4120=""), "Gap - Missing LIA", IF(AND(G4120="Yes", H4120=""), "Gap - Missing Art. 9 Basis", IF(OR(I4120="Invalid - Not Freely Given", I4120="Invalid - Not Specific", I4120="Invalid - Not Informed", I4120="Invalid - Ambiguous"), "Gap - Invalid Consent", "Compliant")))))</f>
        <v/>
      </c>
      <c r="O4120" s="7" t="n"/>
    </row>
    <row r="4121">
      <c r="A4121" s="7" t="n"/>
      <c r="B4121" s="7" t="n"/>
      <c r="C4121" s="7" t="n"/>
      <c r="D4121" s="7" t="n"/>
      <c r="E4121" s="7" t="n"/>
      <c r="F4121" s="7" t="n"/>
      <c r="G4121" s="7" t="n"/>
      <c r="H4121" s="7" t="n"/>
      <c r="I4121" s="7" t="n"/>
      <c r="J4121" s="7" t="n"/>
      <c r="K4121">
        <f>IF(D4121="Legitimate Interest (GDPR Art. 6(1)(f))", "Yes / Required (Sheet 3)", "")</f>
        <v/>
      </c>
      <c r="L4121" s="7" t="n"/>
      <c r="M4121" s="7" t="n"/>
      <c r="N4121">
        <f>IF(D4121="", "Gap - No Legal Basis", IF(AND(D4121="Consent (GDPR Art. 6(1)(a))", I4121="Not Captured"), "Gap - Invalid Consent", IF(AND(D4121="Legitimate Interest (GDPR Art. 6(1)(f))", L4121=""), "Gap - Missing LIA", IF(AND(G4121="Yes", H4121=""), "Gap - Missing Art. 9 Basis", IF(OR(I4121="Invalid - Not Freely Given", I4121="Invalid - Not Specific", I4121="Invalid - Not Informed", I4121="Invalid - Ambiguous"), "Gap - Invalid Consent", "Compliant")))))</f>
        <v/>
      </c>
      <c r="O4121" s="7" t="n"/>
    </row>
    <row r="4122">
      <c r="A4122" s="7" t="n"/>
      <c r="B4122" s="7" t="n"/>
      <c r="C4122" s="7" t="n"/>
      <c r="D4122" s="7" t="n"/>
      <c r="E4122" s="7" t="n"/>
      <c r="F4122" s="7" t="n"/>
      <c r="G4122" s="7" t="n"/>
      <c r="H4122" s="7" t="n"/>
      <c r="I4122" s="7" t="n"/>
      <c r="J4122" s="7" t="n"/>
      <c r="K4122">
        <f>IF(D4122="Legitimate Interest (GDPR Art. 6(1)(f))", "Yes / Required (Sheet 3)", "")</f>
        <v/>
      </c>
      <c r="L4122" s="7" t="n"/>
      <c r="M4122" s="7" t="n"/>
      <c r="N4122">
        <f>IF(D4122="", "Gap - No Legal Basis", IF(AND(D4122="Consent (GDPR Art. 6(1)(a))", I4122="Not Captured"), "Gap - Invalid Consent", IF(AND(D4122="Legitimate Interest (GDPR Art. 6(1)(f))", L4122=""), "Gap - Missing LIA", IF(AND(G4122="Yes", H4122=""), "Gap - Missing Art. 9 Basis", IF(OR(I4122="Invalid - Not Freely Given", I4122="Invalid - Not Specific", I4122="Invalid - Not Informed", I4122="Invalid - Ambiguous"), "Gap - Invalid Consent", "Compliant")))))</f>
        <v/>
      </c>
      <c r="O4122" s="7" t="n"/>
    </row>
    <row r="4123">
      <c r="A4123" s="7" t="n"/>
      <c r="B4123" s="7" t="n"/>
      <c r="C4123" s="7" t="n"/>
      <c r="D4123" s="7" t="n"/>
      <c r="E4123" s="7" t="n"/>
      <c r="F4123" s="7" t="n"/>
      <c r="G4123" s="7" t="n"/>
      <c r="H4123" s="7" t="n"/>
      <c r="I4123" s="7" t="n"/>
      <c r="J4123" s="7" t="n"/>
      <c r="K4123">
        <f>IF(D4123="Legitimate Interest (GDPR Art. 6(1)(f))", "Yes / Required (Sheet 3)", "")</f>
        <v/>
      </c>
      <c r="L4123" s="7" t="n"/>
      <c r="M4123" s="7" t="n"/>
      <c r="N4123">
        <f>IF(D4123="", "Gap - No Legal Basis", IF(AND(D4123="Consent (GDPR Art. 6(1)(a))", I4123="Not Captured"), "Gap - Invalid Consent", IF(AND(D4123="Legitimate Interest (GDPR Art. 6(1)(f))", L4123=""), "Gap - Missing LIA", IF(AND(G4123="Yes", H4123=""), "Gap - Missing Art. 9 Basis", IF(OR(I4123="Invalid - Not Freely Given", I4123="Invalid - Not Specific", I4123="Invalid - Not Informed", I4123="Invalid - Ambiguous"), "Gap - Invalid Consent", "Compliant")))))</f>
        <v/>
      </c>
      <c r="O4123" s="7" t="n"/>
    </row>
    <row r="4124">
      <c r="A4124" s="7" t="n"/>
      <c r="B4124" s="7" t="n"/>
      <c r="C4124" s="7" t="n"/>
      <c r="D4124" s="7" t="n"/>
      <c r="E4124" s="7" t="n"/>
      <c r="F4124" s="7" t="n"/>
      <c r="G4124" s="7" t="n"/>
      <c r="H4124" s="7" t="n"/>
      <c r="I4124" s="7" t="n"/>
      <c r="J4124" s="7" t="n"/>
      <c r="K4124">
        <f>IF(D4124="Legitimate Interest (GDPR Art. 6(1)(f))", "Yes / Required (Sheet 3)", "")</f>
        <v/>
      </c>
      <c r="L4124" s="7" t="n"/>
      <c r="M4124" s="7" t="n"/>
      <c r="N4124">
        <f>IF(D4124="", "Gap - No Legal Basis", IF(AND(D4124="Consent (GDPR Art. 6(1)(a))", I4124="Not Captured"), "Gap - Invalid Consent", IF(AND(D4124="Legitimate Interest (GDPR Art. 6(1)(f))", L4124=""), "Gap - Missing LIA", IF(AND(G4124="Yes", H4124=""), "Gap - Missing Art. 9 Basis", IF(OR(I4124="Invalid - Not Freely Given", I4124="Invalid - Not Specific", I4124="Invalid - Not Informed", I4124="Invalid - Ambiguous"), "Gap - Invalid Consent", "Compliant")))))</f>
        <v/>
      </c>
      <c r="O4124" s="7" t="n"/>
    </row>
    <row r="4125">
      <c r="A4125" s="7" t="n"/>
      <c r="B4125" s="7" t="n"/>
      <c r="C4125" s="7" t="n"/>
      <c r="D4125" s="7" t="n"/>
      <c r="E4125" s="7" t="n"/>
      <c r="F4125" s="7" t="n"/>
      <c r="G4125" s="7" t="n"/>
      <c r="H4125" s="7" t="n"/>
      <c r="I4125" s="7" t="n"/>
      <c r="J4125" s="7" t="n"/>
      <c r="K4125">
        <f>IF(D4125="Legitimate Interest (GDPR Art. 6(1)(f))", "Yes / Required (Sheet 3)", "")</f>
        <v/>
      </c>
      <c r="L4125" s="7" t="n"/>
      <c r="M4125" s="7" t="n"/>
      <c r="N4125">
        <f>IF(D4125="", "Gap - No Legal Basis", IF(AND(D4125="Consent (GDPR Art. 6(1)(a))", I4125="Not Captured"), "Gap - Invalid Consent", IF(AND(D4125="Legitimate Interest (GDPR Art. 6(1)(f))", L4125=""), "Gap - Missing LIA", IF(AND(G4125="Yes", H4125=""), "Gap - Missing Art. 9 Basis", IF(OR(I4125="Invalid - Not Freely Given", I4125="Invalid - Not Specific", I4125="Invalid - Not Informed", I4125="Invalid - Ambiguous"), "Gap - Invalid Consent", "Compliant")))))</f>
        <v/>
      </c>
      <c r="O4125" s="7" t="n"/>
    </row>
    <row r="4126">
      <c r="A4126" s="7" t="n"/>
      <c r="B4126" s="7" t="n"/>
      <c r="C4126" s="7" t="n"/>
      <c r="D4126" s="7" t="n"/>
      <c r="E4126" s="7" t="n"/>
      <c r="F4126" s="7" t="n"/>
      <c r="G4126" s="7" t="n"/>
      <c r="H4126" s="7" t="n"/>
      <c r="I4126" s="7" t="n"/>
      <c r="J4126" s="7" t="n"/>
      <c r="K4126">
        <f>IF(D4126="Legitimate Interest (GDPR Art. 6(1)(f))", "Yes / Required (Sheet 3)", "")</f>
        <v/>
      </c>
      <c r="L4126" s="7" t="n"/>
      <c r="M4126" s="7" t="n"/>
      <c r="N4126">
        <f>IF(D4126="", "Gap - No Legal Basis", IF(AND(D4126="Consent (GDPR Art. 6(1)(a))", I4126="Not Captured"), "Gap - Invalid Consent", IF(AND(D4126="Legitimate Interest (GDPR Art. 6(1)(f))", L4126=""), "Gap - Missing LIA", IF(AND(G4126="Yes", H4126=""), "Gap - Missing Art. 9 Basis", IF(OR(I4126="Invalid - Not Freely Given", I4126="Invalid - Not Specific", I4126="Invalid - Not Informed", I4126="Invalid - Ambiguous"), "Gap - Invalid Consent", "Compliant")))))</f>
        <v/>
      </c>
      <c r="O4126" s="7" t="n"/>
    </row>
    <row r="4127">
      <c r="A4127" s="7" t="n"/>
      <c r="B4127" s="7" t="n"/>
      <c r="C4127" s="7" t="n"/>
      <c r="D4127" s="7" t="n"/>
      <c r="E4127" s="7" t="n"/>
      <c r="F4127" s="7" t="n"/>
      <c r="G4127" s="7" t="n"/>
      <c r="H4127" s="7" t="n"/>
      <c r="I4127" s="7" t="n"/>
      <c r="J4127" s="7" t="n"/>
      <c r="K4127">
        <f>IF(D4127="Legitimate Interest (GDPR Art. 6(1)(f))", "Yes / Required (Sheet 3)", "")</f>
        <v/>
      </c>
      <c r="L4127" s="7" t="n"/>
      <c r="M4127" s="7" t="n"/>
      <c r="N4127">
        <f>IF(D4127="", "Gap - No Legal Basis", IF(AND(D4127="Consent (GDPR Art. 6(1)(a))", I4127="Not Captured"), "Gap - Invalid Consent", IF(AND(D4127="Legitimate Interest (GDPR Art. 6(1)(f))", L4127=""), "Gap - Missing LIA", IF(AND(G4127="Yes", H4127=""), "Gap - Missing Art. 9 Basis", IF(OR(I4127="Invalid - Not Freely Given", I4127="Invalid - Not Specific", I4127="Invalid - Not Informed", I4127="Invalid - Ambiguous"), "Gap - Invalid Consent", "Compliant")))))</f>
        <v/>
      </c>
      <c r="O4127" s="7" t="n"/>
    </row>
    <row r="4128">
      <c r="A4128" s="7" t="n"/>
      <c r="B4128" s="7" t="n"/>
      <c r="C4128" s="7" t="n"/>
      <c r="D4128" s="7" t="n"/>
      <c r="E4128" s="7" t="n"/>
      <c r="F4128" s="7" t="n"/>
      <c r="G4128" s="7" t="n"/>
      <c r="H4128" s="7" t="n"/>
      <c r="I4128" s="7" t="n"/>
      <c r="J4128" s="7" t="n"/>
      <c r="K4128">
        <f>IF(D4128="Legitimate Interest (GDPR Art. 6(1)(f))", "Yes / Required (Sheet 3)", "")</f>
        <v/>
      </c>
      <c r="L4128" s="7" t="n"/>
      <c r="M4128" s="7" t="n"/>
      <c r="N4128">
        <f>IF(D4128="", "Gap - No Legal Basis", IF(AND(D4128="Consent (GDPR Art. 6(1)(a))", I4128="Not Captured"), "Gap - Invalid Consent", IF(AND(D4128="Legitimate Interest (GDPR Art. 6(1)(f))", L4128=""), "Gap - Missing LIA", IF(AND(G4128="Yes", H4128=""), "Gap - Missing Art. 9 Basis", IF(OR(I4128="Invalid - Not Freely Given", I4128="Invalid - Not Specific", I4128="Invalid - Not Informed", I4128="Invalid - Ambiguous"), "Gap - Invalid Consent", "Compliant")))))</f>
        <v/>
      </c>
      <c r="O4128" s="7" t="n"/>
    </row>
    <row r="4129">
      <c r="A4129" s="7" t="n"/>
      <c r="B4129" s="7" t="n"/>
      <c r="C4129" s="7" t="n"/>
      <c r="D4129" s="7" t="n"/>
      <c r="E4129" s="7" t="n"/>
      <c r="F4129" s="7" t="n"/>
      <c r="G4129" s="7" t="n"/>
      <c r="H4129" s="7" t="n"/>
      <c r="I4129" s="7" t="n"/>
      <c r="J4129" s="7" t="n"/>
      <c r="K4129">
        <f>IF(D4129="Legitimate Interest (GDPR Art. 6(1)(f))", "Yes / Required (Sheet 3)", "")</f>
        <v/>
      </c>
      <c r="L4129" s="7" t="n"/>
      <c r="M4129" s="7" t="n"/>
      <c r="N4129">
        <f>IF(D4129="", "Gap - No Legal Basis", IF(AND(D4129="Consent (GDPR Art. 6(1)(a))", I4129="Not Captured"), "Gap - Invalid Consent", IF(AND(D4129="Legitimate Interest (GDPR Art. 6(1)(f))", L4129=""), "Gap - Missing LIA", IF(AND(G4129="Yes", H4129=""), "Gap - Missing Art. 9 Basis", IF(OR(I4129="Invalid - Not Freely Given", I4129="Invalid - Not Specific", I4129="Invalid - Not Informed", I4129="Invalid - Ambiguous"), "Gap - Invalid Consent", "Compliant")))))</f>
        <v/>
      </c>
      <c r="O4129" s="7" t="n"/>
    </row>
    <row r="4130">
      <c r="A4130" s="7" t="n"/>
      <c r="B4130" s="7" t="n"/>
      <c r="C4130" s="7" t="n"/>
      <c r="D4130" s="7" t="n"/>
      <c r="E4130" s="7" t="n"/>
      <c r="F4130" s="7" t="n"/>
      <c r="G4130" s="7" t="n"/>
      <c r="H4130" s="7" t="n"/>
      <c r="I4130" s="7" t="n"/>
      <c r="J4130" s="7" t="n"/>
      <c r="K4130">
        <f>IF(D4130="Legitimate Interest (GDPR Art. 6(1)(f))", "Yes / Required (Sheet 3)", "")</f>
        <v/>
      </c>
      <c r="L4130" s="7" t="n"/>
      <c r="M4130" s="7" t="n"/>
      <c r="N4130">
        <f>IF(D4130="", "Gap - No Legal Basis", IF(AND(D4130="Consent (GDPR Art. 6(1)(a))", I4130="Not Captured"), "Gap - Invalid Consent", IF(AND(D4130="Legitimate Interest (GDPR Art. 6(1)(f))", L4130=""), "Gap - Missing LIA", IF(AND(G4130="Yes", H4130=""), "Gap - Missing Art. 9 Basis", IF(OR(I4130="Invalid - Not Freely Given", I4130="Invalid - Not Specific", I4130="Invalid - Not Informed", I4130="Invalid - Ambiguous"), "Gap - Invalid Consent", "Compliant")))))</f>
        <v/>
      </c>
      <c r="O4130" s="7" t="n"/>
    </row>
    <row r="4131">
      <c r="A4131" s="7" t="n"/>
      <c r="B4131" s="7" t="n"/>
      <c r="C4131" s="7" t="n"/>
      <c r="D4131" s="7" t="n"/>
      <c r="E4131" s="7" t="n"/>
      <c r="F4131" s="7" t="n"/>
      <c r="G4131" s="7" t="n"/>
      <c r="H4131" s="7" t="n"/>
      <c r="I4131" s="7" t="n"/>
      <c r="J4131" s="7" t="n"/>
      <c r="K4131">
        <f>IF(D4131="Legitimate Interest (GDPR Art. 6(1)(f))", "Yes / Required (Sheet 3)", "")</f>
        <v/>
      </c>
      <c r="L4131" s="7" t="n"/>
      <c r="M4131" s="7" t="n"/>
      <c r="N4131">
        <f>IF(D4131="", "Gap - No Legal Basis", IF(AND(D4131="Consent (GDPR Art. 6(1)(a))", I4131="Not Captured"), "Gap - Invalid Consent", IF(AND(D4131="Legitimate Interest (GDPR Art. 6(1)(f))", L4131=""), "Gap - Missing LIA", IF(AND(G4131="Yes", H4131=""), "Gap - Missing Art. 9 Basis", IF(OR(I4131="Invalid - Not Freely Given", I4131="Invalid - Not Specific", I4131="Invalid - Not Informed", I4131="Invalid - Ambiguous"), "Gap - Invalid Consent", "Compliant")))))</f>
        <v/>
      </c>
      <c r="O4131" s="7" t="n"/>
    </row>
    <row r="4132">
      <c r="A4132" s="7" t="n"/>
      <c r="B4132" s="7" t="n"/>
      <c r="C4132" s="7" t="n"/>
      <c r="D4132" s="7" t="n"/>
      <c r="E4132" s="7" t="n"/>
      <c r="F4132" s="7" t="n"/>
      <c r="G4132" s="7" t="n"/>
      <c r="H4132" s="7" t="n"/>
      <c r="I4132" s="7" t="n"/>
      <c r="J4132" s="7" t="n"/>
      <c r="K4132">
        <f>IF(D4132="Legitimate Interest (GDPR Art. 6(1)(f))", "Yes / Required (Sheet 3)", "")</f>
        <v/>
      </c>
      <c r="L4132" s="7" t="n"/>
      <c r="M4132" s="7" t="n"/>
      <c r="N4132">
        <f>IF(D4132="", "Gap - No Legal Basis", IF(AND(D4132="Consent (GDPR Art. 6(1)(a))", I4132="Not Captured"), "Gap - Invalid Consent", IF(AND(D4132="Legitimate Interest (GDPR Art. 6(1)(f))", L4132=""), "Gap - Missing LIA", IF(AND(G4132="Yes", H4132=""), "Gap - Missing Art. 9 Basis", IF(OR(I4132="Invalid - Not Freely Given", I4132="Invalid - Not Specific", I4132="Invalid - Not Informed", I4132="Invalid - Ambiguous"), "Gap - Invalid Consent", "Compliant")))))</f>
        <v/>
      </c>
      <c r="O4132" s="7" t="n"/>
    </row>
    <row r="4133">
      <c r="A4133" s="7" t="n"/>
      <c r="B4133" s="7" t="n"/>
      <c r="C4133" s="7" t="n"/>
      <c r="D4133" s="7" t="n"/>
      <c r="E4133" s="7" t="n"/>
      <c r="F4133" s="7" t="n"/>
      <c r="G4133" s="7" t="n"/>
      <c r="H4133" s="7" t="n"/>
      <c r="I4133" s="7" t="n"/>
      <c r="J4133" s="7" t="n"/>
      <c r="K4133">
        <f>IF(D4133="Legitimate Interest (GDPR Art. 6(1)(f))", "Yes / Required (Sheet 3)", "")</f>
        <v/>
      </c>
      <c r="L4133" s="7" t="n"/>
      <c r="M4133" s="7" t="n"/>
      <c r="N4133">
        <f>IF(D4133="", "Gap - No Legal Basis", IF(AND(D4133="Consent (GDPR Art. 6(1)(a))", I4133="Not Captured"), "Gap - Invalid Consent", IF(AND(D4133="Legitimate Interest (GDPR Art. 6(1)(f))", L4133=""), "Gap - Missing LIA", IF(AND(G4133="Yes", H4133=""), "Gap - Missing Art. 9 Basis", IF(OR(I4133="Invalid - Not Freely Given", I4133="Invalid - Not Specific", I4133="Invalid - Not Informed", I4133="Invalid - Ambiguous"), "Gap - Invalid Consent", "Compliant")))))</f>
        <v/>
      </c>
      <c r="O4133" s="7" t="n"/>
    </row>
    <row r="4134">
      <c r="A4134" s="7" t="n"/>
      <c r="B4134" s="7" t="n"/>
      <c r="C4134" s="7" t="n"/>
      <c r="D4134" s="7" t="n"/>
      <c r="E4134" s="7" t="n"/>
      <c r="F4134" s="7" t="n"/>
      <c r="G4134" s="7" t="n"/>
      <c r="H4134" s="7" t="n"/>
      <c r="I4134" s="7" t="n"/>
      <c r="J4134" s="7" t="n"/>
      <c r="K4134">
        <f>IF(D4134="Legitimate Interest (GDPR Art. 6(1)(f))", "Yes / Required (Sheet 3)", "")</f>
        <v/>
      </c>
      <c r="L4134" s="7" t="n"/>
      <c r="M4134" s="7" t="n"/>
      <c r="N4134">
        <f>IF(D4134="", "Gap - No Legal Basis", IF(AND(D4134="Consent (GDPR Art. 6(1)(a))", I4134="Not Captured"), "Gap - Invalid Consent", IF(AND(D4134="Legitimate Interest (GDPR Art. 6(1)(f))", L4134=""), "Gap - Missing LIA", IF(AND(G4134="Yes", H4134=""), "Gap - Missing Art. 9 Basis", IF(OR(I4134="Invalid - Not Freely Given", I4134="Invalid - Not Specific", I4134="Invalid - Not Informed", I4134="Invalid - Ambiguous"), "Gap - Invalid Consent", "Compliant")))))</f>
        <v/>
      </c>
      <c r="O4134" s="7" t="n"/>
    </row>
    <row r="4135">
      <c r="A4135" s="7" t="n"/>
      <c r="B4135" s="7" t="n"/>
      <c r="C4135" s="7" t="n"/>
      <c r="D4135" s="7" t="n"/>
      <c r="E4135" s="7" t="n"/>
      <c r="F4135" s="7" t="n"/>
      <c r="G4135" s="7" t="n"/>
      <c r="H4135" s="7" t="n"/>
      <c r="I4135" s="7" t="n"/>
      <c r="J4135" s="7" t="n"/>
      <c r="K4135">
        <f>IF(D4135="Legitimate Interest (GDPR Art. 6(1)(f))", "Yes / Required (Sheet 3)", "")</f>
        <v/>
      </c>
      <c r="L4135" s="7" t="n"/>
      <c r="M4135" s="7" t="n"/>
      <c r="N4135">
        <f>IF(D4135="", "Gap - No Legal Basis", IF(AND(D4135="Consent (GDPR Art. 6(1)(a))", I4135="Not Captured"), "Gap - Invalid Consent", IF(AND(D4135="Legitimate Interest (GDPR Art. 6(1)(f))", L4135=""), "Gap - Missing LIA", IF(AND(G4135="Yes", H4135=""), "Gap - Missing Art. 9 Basis", IF(OR(I4135="Invalid - Not Freely Given", I4135="Invalid - Not Specific", I4135="Invalid - Not Informed", I4135="Invalid - Ambiguous"), "Gap - Invalid Consent", "Compliant")))))</f>
        <v/>
      </c>
      <c r="O4135" s="7" t="n"/>
    </row>
    <row r="4136">
      <c r="A4136" s="7" t="n"/>
      <c r="B4136" s="7" t="n"/>
      <c r="C4136" s="7" t="n"/>
      <c r="D4136" s="7" t="n"/>
      <c r="E4136" s="7" t="n"/>
      <c r="F4136" s="7" t="n"/>
      <c r="G4136" s="7" t="n"/>
      <c r="H4136" s="7" t="n"/>
      <c r="I4136" s="7" t="n"/>
      <c r="J4136" s="7" t="n"/>
      <c r="K4136">
        <f>IF(D4136="Legitimate Interest (GDPR Art. 6(1)(f))", "Yes / Required (Sheet 3)", "")</f>
        <v/>
      </c>
      <c r="L4136" s="7" t="n"/>
      <c r="M4136" s="7" t="n"/>
      <c r="N4136">
        <f>IF(D4136="", "Gap - No Legal Basis", IF(AND(D4136="Consent (GDPR Art. 6(1)(a))", I4136="Not Captured"), "Gap - Invalid Consent", IF(AND(D4136="Legitimate Interest (GDPR Art. 6(1)(f))", L4136=""), "Gap - Missing LIA", IF(AND(G4136="Yes", H4136=""), "Gap - Missing Art. 9 Basis", IF(OR(I4136="Invalid - Not Freely Given", I4136="Invalid - Not Specific", I4136="Invalid - Not Informed", I4136="Invalid - Ambiguous"), "Gap - Invalid Consent", "Compliant")))))</f>
        <v/>
      </c>
      <c r="O4136" s="7" t="n"/>
    </row>
    <row r="4137">
      <c r="A4137" s="7" t="n"/>
      <c r="B4137" s="7" t="n"/>
      <c r="C4137" s="7" t="n"/>
      <c r="D4137" s="7" t="n"/>
      <c r="E4137" s="7" t="n"/>
      <c r="F4137" s="7" t="n"/>
      <c r="G4137" s="7" t="n"/>
      <c r="H4137" s="7" t="n"/>
      <c r="I4137" s="7" t="n"/>
      <c r="J4137" s="7" t="n"/>
      <c r="K4137">
        <f>IF(D4137="Legitimate Interest (GDPR Art. 6(1)(f))", "Yes / Required (Sheet 3)", "")</f>
        <v/>
      </c>
      <c r="L4137" s="7" t="n"/>
      <c r="M4137" s="7" t="n"/>
      <c r="N4137">
        <f>IF(D4137="", "Gap - No Legal Basis", IF(AND(D4137="Consent (GDPR Art. 6(1)(a))", I4137="Not Captured"), "Gap - Invalid Consent", IF(AND(D4137="Legitimate Interest (GDPR Art. 6(1)(f))", L4137=""), "Gap - Missing LIA", IF(AND(G4137="Yes", H4137=""), "Gap - Missing Art. 9 Basis", IF(OR(I4137="Invalid - Not Freely Given", I4137="Invalid - Not Specific", I4137="Invalid - Not Informed", I4137="Invalid - Ambiguous"), "Gap - Invalid Consent", "Compliant")))))</f>
        <v/>
      </c>
      <c r="O4137" s="7" t="n"/>
    </row>
    <row r="4138">
      <c r="A4138" s="7" t="n"/>
      <c r="B4138" s="7" t="n"/>
      <c r="C4138" s="7" t="n"/>
      <c r="D4138" s="7" t="n"/>
      <c r="E4138" s="7" t="n"/>
      <c r="F4138" s="7" t="n"/>
      <c r="G4138" s="7" t="n"/>
      <c r="H4138" s="7" t="n"/>
      <c r="I4138" s="7" t="n"/>
      <c r="J4138" s="7" t="n"/>
      <c r="K4138">
        <f>IF(D4138="Legitimate Interest (GDPR Art. 6(1)(f))", "Yes / Required (Sheet 3)", "")</f>
        <v/>
      </c>
      <c r="L4138" s="7" t="n"/>
      <c r="M4138" s="7" t="n"/>
      <c r="N4138">
        <f>IF(D4138="", "Gap - No Legal Basis", IF(AND(D4138="Consent (GDPR Art. 6(1)(a))", I4138="Not Captured"), "Gap - Invalid Consent", IF(AND(D4138="Legitimate Interest (GDPR Art. 6(1)(f))", L4138=""), "Gap - Missing LIA", IF(AND(G4138="Yes", H4138=""), "Gap - Missing Art. 9 Basis", IF(OR(I4138="Invalid - Not Freely Given", I4138="Invalid - Not Specific", I4138="Invalid - Not Informed", I4138="Invalid - Ambiguous"), "Gap - Invalid Consent", "Compliant")))))</f>
        <v/>
      </c>
      <c r="O4138" s="7" t="n"/>
    </row>
    <row r="4139">
      <c r="A4139" s="7" t="n"/>
      <c r="B4139" s="7" t="n"/>
      <c r="C4139" s="7" t="n"/>
      <c r="D4139" s="7" t="n"/>
      <c r="E4139" s="7" t="n"/>
      <c r="F4139" s="7" t="n"/>
      <c r="G4139" s="7" t="n"/>
      <c r="H4139" s="7" t="n"/>
      <c r="I4139" s="7" t="n"/>
      <c r="J4139" s="7" t="n"/>
      <c r="K4139">
        <f>IF(D4139="Legitimate Interest (GDPR Art. 6(1)(f))", "Yes / Required (Sheet 3)", "")</f>
        <v/>
      </c>
      <c r="L4139" s="7" t="n"/>
      <c r="M4139" s="7" t="n"/>
      <c r="N4139">
        <f>IF(D4139="", "Gap - No Legal Basis", IF(AND(D4139="Consent (GDPR Art. 6(1)(a))", I4139="Not Captured"), "Gap - Invalid Consent", IF(AND(D4139="Legitimate Interest (GDPR Art. 6(1)(f))", L4139=""), "Gap - Missing LIA", IF(AND(G4139="Yes", H4139=""), "Gap - Missing Art. 9 Basis", IF(OR(I4139="Invalid - Not Freely Given", I4139="Invalid - Not Specific", I4139="Invalid - Not Informed", I4139="Invalid - Ambiguous"), "Gap - Invalid Consent", "Compliant")))))</f>
        <v/>
      </c>
      <c r="O4139" s="7" t="n"/>
    </row>
    <row r="4140">
      <c r="A4140" s="7" t="n"/>
      <c r="B4140" s="7" t="n"/>
      <c r="C4140" s="7" t="n"/>
      <c r="D4140" s="7" t="n"/>
      <c r="E4140" s="7" t="n"/>
      <c r="F4140" s="7" t="n"/>
      <c r="G4140" s="7" t="n"/>
      <c r="H4140" s="7" t="n"/>
      <c r="I4140" s="7" t="n"/>
      <c r="J4140" s="7" t="n"/>
      <c r="K4140">
        <f>IF(D4140="Legitimate Interest (GDPR Art. 6(1)(f))", "Yes / Required (Sheet 3)", "")</f>
        <v/>
      </c>
      <c r="L4140" s="7" t="n"/>
      <c r="M4140" s="7" t="n"/>
      <c r="N4140">
        <f>IF(D4140="", "Gap - No Legal Basis", IF(AND(D4140="Consent (GDPR Art. 6(1)(a))", I4140="Not Captured"), "Gap - Invalid Consent", IF(AND(D4140="Legitimate Interest (GDPR Art. 6(1)(f))", L4140=""), "Gap - Missing LIA", IF(AND(G4140="Yes", H4140=""), "Gap - Missing Art. 9 Basis", IF(OR(I4140="Invalid - Not Freely Given", I4140="Invalid - Not Specific", I4140="Invalid - Not Informed", I4140="Invalid - Ambiguous"), "Gap - Invalid Consent", "Compliant")))))</f>
        <v/>
      </c>
      <c r="O4140" s="7" t="n"/>
    </row>
    <row r="4141">
      <c r="A4141" s="7" t="n"/>
      <c r="B4141" s="7" t="n"/>
      <c r="C4141" s="7" t="n"/>
      <c r="D4141" s="7" t="n"/>
      <c r="E4141" s="7" t="n"/>
      <c r="F4141" s="7" t="n"/>
      <c r="G4141" s="7" t="n"/>
      <c r="H4141" s="7" t="n"/>
      <c r="I4141" s="7" t="n"/>
      <c r="J4141" s="7" t="n"/>
      <c r="K4141">
        <f>IF(D4141="Legitimate Interest (GDPR Art. 6(1)(f))", "Yes / Required (Sheet 3)", "")</f>
        <v/>
      </c>
      <c r="L4141" s="7" t="n"/>
      <c r="M4141" s="7" t="n"/>
      <c r="N4141">
        <f>IF(D4141="", "Gap - No Legal Basis", IF(AND(D4141="Consent (GDPR Art. 6(1)(a))", I4141="Not Captured"), "Gap - Invalid Consent", IF(AND(D4141="Legitimate Interest (GDPR Art. 6(1)(f))", L4141=""), "Gap - Missing LIA", IF(AND(G4141="Yes", H4141=""), "Gap - Missing Art. 9 Basis", IF(OR(I4141="Invalid - Not Freely Given", I4141="Invalid - Not Specific", I4141="Invalid - Not Informed", I4141="Invalid - Ambiguous"), "Gap - Invalid Consent", "Compliant")))))</f>
        <v/>
      </c>
      <c r="O4141" s="7" t="n"/>
    </row>
    <row r="4142">
      <c r="A4142" s="7" t="n"/>
      <c r="B4142" s="7" t="n"/>
      <c r="C4142" s="7" t="n"/>
      <c r="D4142" s="7" t="n"/>
      <c r="E4142" s="7" t="n"/>
      <c r="F4142" s="7" t="n"/>
      <c r="G4142" s="7" t="n"/>
      <c r="H4142" s="7" t="n"/>
      <c r="I4142" s="7" t="n"/>
      <c r="J4142" s="7" t="n"/>
      <c r="K4142">
        <f>IF(D4142="Legitimate Interest (GDPR Art. 6(1)(f))", "Yes / Required (Sheet 3)", "")</f>
        <v/>
      </c>
      <c r="L4142" s="7" t="n"/>
      <c r="M4142" s="7" t="n"/>
      <c r="N4142">
        <f>IF(D4142="", "Gap - No Legal Basis", IF(AND(D4142="Consent (GDPR Art. 6(1)(a))", I4142="Not Captured"), "Gap - Invalid Consent", IF(AND(D4142="Legitimate Interest (GDPR Art. 6(1)(f))", L4142=""), "Gap - Missing LIA", IF(AND(G4142="Yes", H4142=""), "Gap - Missing Art. 9 Basis", IF(OR(I4142="Invalid - Not Freely Given", I4142="Invalid - Not Specific", I4142="Invalid - Not Informed", I4142="Invalid - Ambiguous"), "Gap - Invalid Consent", "Compliant")))))</f>
        <v/>
      </c>
      <c r="O4142" s="7" t="n"/>
    </row>
    <row r="4143">
      <c r="A4143" s="7" t="n"/>
      <c r="B4143" s="7" t="n"/>
      <c r="C4143" s="7" t="n"/>
      <c r="D4143" s="7" t="n"/>
      <c r="E4143" s="7" t="n"/>
      <c r="F4143" s="7" t="n"/>
      <c r="G4143" s="7" t="n"/>
      <c r="H4143" s="7" t="n"/>
      <c r="I4143" s="7" t="n"/>
      <c r="J4143" s="7" t="n"/>
      <c r="K4143">
        <f>IF(D4143="Legitimate Interest (GDPR Art. 6(1)(f))", "Yes / Required (Sheet 3)", "")</f>
        <v/>
      </c>
      <c r="L4143" s="7" t="n"/>
      <c r="M4143" s="7" t="n"/>
      <c r="N4143">
        <f>IF(D4143="", "Gap - No Legal Basis", IF(AND(D4143="Consent (GDPR Art. 6(1)(a))", I4143="Not Captured"), "Gap - Invalid Consent", IF(AND(D4143="Legitimate Interest (GDPR Art. 6(1)(f))", L4143=""), "Gap - Missing LIA", IF(AND(G4143="Yes", H4143=""), "Gap - Missing Art. 9 Basis", IF(OR(I4143="Invalid - Not Freely Given", I4143="Invalid - Not Specific", I4143="Invalid - Not Informed", I4143="Invalid - Ambiguous"), "Gap - Invalid Consent", "Compliant")))))</f>
        <v/>
      </c>
      <c r="O4143" s="7" t="n"/>
    </row>
    <row r="4144">
      <c r="A4144" s="7" t="n"/>
      <c r="B4144" s="7" t="n"/>
      <c r="C4144" s="7" t="n"/>
      <c r="D4144" s="7" t="n"/>
      <c r="E4144" s="7" t="n"/>
      <c r="F4144" s="7" t="n"/>
      <c r="G4144" s="7" t="n"/>
      <c r="H4144" s="7" t="n"/>
      <c r="I4144" s="7" t="n"/>
      <c r="J4144" s="7" t="n"/>
      <c r="K4144">
        <f>IF(D4144="Legitimate Interest (GDPR Art. 6(1)(f))", "Yes / Required (Sheet 3)", "")</f>
        <v/>
      </c>
      <c r="L4144" s="7" t="n"/>
      <c r="M4144" s="7" t="n"/>
      <c r="N4144">
        <f>IF(D4144="", "Gap - No Legal Basis", IF(AND(D4144="Consent (GDPR Art. 6(1)(a))", I4144="Not Captured"), "Gap - Invalid Consent", IF(AND(D4144="Legitimate Interest (GDPR Art. 6(1)(f))", L4144=""), "Gap - Missing LIA", IF(AND(G4144="Yes", H4144=""), "Gap - Missing Art. 9 Basis", IF(OR(I4144="Invalid - Not Freely Given", I4144="Invalid - Not Specific", I4144="Invalid - Not Informed", I4144="Invalid - Ambiguous"), "Gap - Invalid Consent", "Compliant")))))</f>
        <v/>
      </c>
      <c r="O4144" s="7" t="n"/>
    </row>
    <row r="4145">
      <c r="A4145" s="7" t="n"/>
      <c r="B4145" s="7" t="n"/>
      <c r="C4145" s="7" t="n"/>
      <c r="D4145" s="7" t="n"/>
      <c r="E4145" s="7" t="n"/>
      <c r="F4145" s="7" t="n"/>
      <c r="G4145" s="7" t="n"/>
      <c r="H4145" s="7" t="n"/>
      <c r="I4145" s="7" t="n"/>
      <c r="J4145" s="7" t="n"/>
      <c r="K4145">
        <f>IF(D4145="Legitimate Interest (GDPR Art. 6(1)(f))", "Yes / Required (Sheet 3)", "")</f>
        <v/>
      </c>
      <c r="L4145" s="7" t="n"/>
      <c r="M4145" s="7" t="n"/>
      <c r="N4145">
        <f>IF(D4145="", "Gap - No Legal Basis", IF(AND(D4145="Consent (GDPR Art. 6(1)(a))", I4145="Not Captured"), "Gap - Invalid Consent", IF(AND(D4145="Legitimate Interest (GDPR Art. 6(1)(f))", L4145=""), "Gap - Missing LIA", IF(AND(G4145="Yes", H4145=""), "Gap - Missing Art. 9 Basis", IF(OR(I4145="Invalid - Not Freely Given", I4145="Invalid - Not Specific", I4145="Invalid - Not Informed", I4145="Invalid - Ambiguous"), "Gap - Invalid Consent", "Compliant")))))</f>
        <v/>
      </c>
      <c r="O4145" s="7" t="n"/>
    </row>
    <row r="4146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7" t="n"/>
      <c r="J4146" s="7" t="n"/>
      <c r="K4146">
        <f>IF(D4146="Legitimate Interest (GDPR Art. 6(1)(f))", "Yes / Required (Sheet 3)", "")</f>
        <v/>
      </c>
      <c r="L4146" s="7" t="n"/>
      <c r="M4146" s="7" t="n"/>
      <c r="N4146">
        <f>IF(D4146="", "Gap - No Legal Basis", IF(AND(D4146="Consent (GDPR Art. 6(1)(a))", I4146="Not Captured"), "Gap - Invalid Consent", IF(AND(D4146="Legitimate Interest (GDPR Art. 6(1)(f))", L4146=""), "Gap - Missing LIA", IF(AND(G4146="Yes", H4146=""), "Gap - Missing Art. 9 Basis", IF(OR(I4146="Invalid - Not Freely Given", I4146="Invalid - Not Specific", I4146="Invalid - Not Informed", I4146="Invalid - Ambiguous"), "Gap - Invalid Consent", "Compliant")))))</f>
        <v/>
      </c>
      <c r="O4146" s="7" t="n"/>
    </row>
    <row r="4147">
      <c r="A4147" s="7" t="n"/>
      <c r="B4147" s="7" t="n"/>
      <c r="C4147" s="7" t="n"/>
      <c r="D4147" s="7" t="n"/>
      <c r="E4147" s="7" t="n"/>
      <c r="F4147" s="7" t="n"/>
      <c r="G4147" s="7" t="n"/>
      <c r="H4147" s="7" t="n"/>
      <c r="I4147" s="7" t="n"/>
      <c r="J4147" s="7" t="n"/>
      <c r="K4147">
        <f>IF(D4147="Legitimate Interest (GDPR Art. 6(1)(f))", "Yes / Required (Sheet 3)", "")</f>
        <v/>
      </c>
      <c r="L4147" s="7" t="n"/>
      <c r="M4147" s="7" t="n"/>
      <c r="N4147">
        <f>IF(D4147="", "Gap - No Legal Basis", IF(AND(D4147="Consent (GDPR Art. 6(1)(a))", I4147="Not Captured"), "Gap - Invalid Consent", IF(AND(D4147="Legitimate Interest (GDPR Art. 6(1)(f))", L4147=""), "Gap - Missing LIA", IF(AND(G4147="Yes", H4147=""), "Gap - Missing Art. 9 Basis", IF(OR(I4147="Invalid - Not Freely Given", I4147="Invalid - Not Specific", I4147="Invalid - Not Informed", I4147="Invalid - Ambiguous"), "Gap - Invalid Consent", "Compliant")))))</f>
        <v/>
      </c>
      <c r="O4147" s="7" t="n"/>
    </row>
    <row r="4148">
      <c r="A4148" s="7" t="n"/>
      <c r="B4148" s="7" t="n"/>
      <c r="C4148" s="7" t="n"/>
      <c r="D4148" s="7" t="n"/>
      <c r="E4148" s="7" t="n"/>
      <c r="F4148" s="7" t="n"/>
      <c r="G4148" s="7" t="n"/>
      <c r="H4148" s="7" t="n"/>
      <c r="I4148" s="7" t="n"/>
      <c r="J4148" s="7" t="n"/>
      <c r="K4148">
        <f>IF(D4148="Legitimate Interest (GDPR Art. 6(1)(f))", "Yes / Required (Sheet 3)", "")</f>
        <v/>
      </c>
      <c r="L4148" s="7" t="n"/>
      <c r="M4148" s="7" t="n"/>
      <c r="N4148">
        <f>IF(D4148="", "Gap - No Legal Basis", IF(AND(D4148="Consent (GDPR Art. 6(1)(a))", I4148="Not Captured"), "Gap - Invalid Consent", IF(AND(D4148="Legitimate Interest (GDPR Art. 6(1)(f))", L4148=""), "Gap - Missing LIA", IF(AND(G4148="Yes", H4148=""), "Gap - Missing Art. 9 Basis", IF(OR(I4148="Invalid - Not Freely Given", I4148="Invalid - Not Specific", I4148="Invalid - Not Informed", I4148="Invalid - Ambiguous"), "Gap - Invalid Consent", "Compliant")))))</f>
        <v/>
      </c>
      <c r="O4148" s="7" t="n"/>
    </row>
    <row r="4149">
      <c r="A4149" s="7" t="n"/>
      <c r="B4149" s="7" t="n"/>
      <c r="C4149" s="7" t="n"/>
      <c r="D4149" s="7" t="n"/>
      <c r="E4149" s="7" t="n"/>
      <c r="F4149" s="7" t="n"/>
      <c r="G4149" s="7" t="n"/>
      <c r="H4149" s="7" t="n"/>
      <c r="I4149" s="7" t="n"/>
      <c r="J4149" s="7" t="n"/>
      <c r="K4149">
        <f>IF(D4149="Legitimate Interest (GDPR Art. 6(1)(f))", "Yes / Required (Sheet 3)", "")</f>
        <v/>
      </c>
      <c r="L4149" s="7" t="n"/>
      <c r="M4149" s="7" t="n"/>
      <c r="N4149">
        <f>IF(D4149="", "Gap - No Legal Basis", IF(AND(D4149="Consent (GDPR Art. 6(1)(a))", I4149="Not Captured"), "Gap - Invalid Consent", IF(AND(D4149="Legitimate Interest (GDPR Art. 6(1)(f))", L4149=""), "Gap - Missing LIA", IF(AND(G4149="Yes", H4149=""), "Gap - Missing Art. 9 Basis", IF(OR(I4149="Invalid - Not Freely Given", I4149="Invalid - Not Specific", I4149="Invalid - Not Informed", I4149="Invalid - Ambiguous"), "Gap - Invalid Consent", "Compliant")))))</f>
        <v/>
      </c>
      <c r="O4149" s="7" t="n"/>
    </row>
    <row r="4150">
      <c r="A4150" s="7" t="n"/>
      <c r="B4150" s="7" t="n"/>
      <c r="C4150" s="7" t="n"/>
      <c r="D4150" s="7" t="n"/>
      <c r="E4150" s="7" t="n"/>
      <c r="F4150" s="7" t="n"/>
      <c r="G4150" s="7" t="n"/>
      <c r="H4150" s="7" t="n"/>
      <c r="I4150" s="7" t="n"/>
      <c r="J4150" s="7" t="n"/>
      <c r="K4150">
        <f>IF(D4150="Legitimate Interest (GDPR Art. 6(1)(f))", "Yes / Required (Sheet 3)", "")</f>
        <v/>
      </c>
      <c r="L4150" s="7" t="n"/>
      <c r="M4150" s="7" t="n"/>
      <c r="N4150">
        <f>IF(D4150="", "Gap - No Legal Basis", IF(AND(D4150="Consent (GDPR Art. 6(1)(a))", I4150="Not Captured"), "Gap - Invalid Consent", IF(AND(D4150="Legitimate Interest (GDPR Art. 6(1)(f))", L4150=""), "Gap - Missing LIA", IF(AND(G4150="Yes", H4150=""), "Gap - Missing Art. 9 Basis", IF(OR(I4150="Invalid - Not Freely Given", I4150="Invalid - Not Specific", I4150="Invalid - Not Informed", I4150="Invalid - Ambiguous"), "Gap - Invalid Consent", "Compliant")))))</f>
        <v/>
      </c>
      <c r="O4150" s="7" t="n"/>
    </row>
    <row r="4151">
      <c r="A4151" s="7" t="n"/>
      <c r="B4151" s="7" t="n"/>
      <c r="C4151" s="7" t="n"/>
      <c r="D4151" s="7" t="n"/>
      <c r="E4151" s="7" t="n"/>
      <c r="F4151" s="7" t="n"/>
      <c r="G4151" s="7" t="n"/>
      <c r="H4151" s="7" t="n"/>
      <c r="I4151" s="7" t="n"/>
      <c r="J4151" s="7" t="n"/>
      <c r="K4151">
        <f>IF(D4151="Legitimate Interest (GDPR Art. 6(1)(f))", "Yes / Required (Sheet 3)", "")</f>
        <v/>
      </c>
      <c r="L4151" s="7" t="n"/>
      <c r="M4151" s="7" t="n"/>
      <c r="N4151">
        <f>IF(D4151="", "Gap - No Legal Basis", IF(AND(D4151="Consent (GDPR Art. 6(1)(a))", I4151="Not Captured"), "Gap - Invalid Consent", IF(AND(D4151="Legitimate Interest (GDPR Art. 6(1)(f))", L4151=""), "Gap - Missing LIA", IF(AND(G4151="Yes", H4151=""), "Gap - Missing Art. 9 Basis", IF(OR(I4151="Invalid - Not Freely Given", I4151="Invalid - Not Specific", I4151="Invalid - Not Informed", I4151="Invalid - Ambiguous"), "Gap - Invalid Consent", "Compliant")))))</f>
        <v/>
      </c>
      <c r="O4151" s="7" t="n"/>
    </row>
    <row r="4152">
      <c r="A4152" s="7" t="n"/>
      <c r="B4152" s="7" t="n"/>
      <c r="C4152" s="7" t="n"/>
      <c r="D4152" s="7" t="n"/>
      <c r="E4152" s="7" t="n"/>
      <c r="F4152" s="7" t="n"/>
      <c r="G4152" s="7" t="n"/>
      <c r="H4152" s="7" t="n"/>
      <c r="I4152" s="7" t="n"/>
      <c r="J4152" s="7" t="n"/>
      <c r="K4152">
        <f>IF(D4152="Legitimate Interest (GDPR Art. 6(1)(f))", "Yes / Required (Sheet 3)", "")</f>
        <v/>
      </c>
      <c r="L4152" s="7" t="n"/>
      <c r="M4152" s="7" t="n"/>
      <c r="N4152">
        <f>IF(D4152="", "Gap - No Legal Basis", IF(AND(D4152="Consent (GDPR Art. 6(1)(a))", I4152="Not Captured"), "Gap - Invalid Consent", IF(AND(D4152="Legitimate Interest (GDPR Art. 6(1)(f))", L4152=""), "Gap - Missing LIA", IF(AND(G4152="Yes", H4152=""), "Gap - Missing Art. 9 Basis", IF(OR(I4152="Invalid - Not Freely Given", I4152="Invalid - Not Specific", I4152="Invalid - Not Informed", I4152="Invalid - Ambiguous"), "Gap - Invalid Consent", "Compliant")))))</f>
        <v/>
      </c>
      <c r="O4152" s="7" t="n"/>
    </row>
    <row r="4153">
      <c r="A4153" s="7" t="n"/>
      <c r="B4153" s="7" t="n"/>
      <c r="C4153" s="7" t="n"/>
      <c r="D4153" s="7" t="n"/>
      <c r="E4153" s="7" t="n"/>
      <c r="F4153" s="7" t="n"/>
      <c r="G4153" s="7" t="n"/>
      <c r="H4153" s="7" t="n"/>
      <c r="I4153" s="7" t="n"/>
      <c r="J4153" s="7" t="n"/>
      <c r="K4153">
        <f>IF(D4153="Legitimate Interest (GDPR Art. 6(1)(f))", "Yes / Required (Sheet 3)", "")</f>
        <v/>
      </c>
      <c r="L4153" s="7" t="n"/>
      <c r="M4153" s="7" t="n"/>
      <c r="N4153">
        <f>IF(D4153="", "Gap - No Legal Basis", IF(AND(D4153="Consent (GDPR Art. 6(1)(a))", I4153="Not Captured"), "Gap - Invalid Consent", IF(AND(D4153="Legitimate Interest (GDPR Art. 6(1)(f))", L4153=""), "Gap - Missing LIA", IF(AND(G4153="Yes", H4153=""), "Gap - Missing Art. 9 Basis", IF(OR(I4153="Invalid - Not Freely Given", I4153="Invalid - Not Specific", I4153="Invalid - Not Informed", I4153="Invalid - Ambiguous"), "Gap - Invalid Consent", "Compliant")))))</f>
        <v/>
      </c>
      <c r="O4153" s="7" t="n"/>
    </row>
    <row r="4154">
      <c r="A4154" s="7" t="n"/>
      <c r="B4154" s="7" t="n"/>
      <c r="C4154" s="7" t="n"/>
      <c r="D4154" s="7" t="n"/>
      <c r="E4154" s="7" t="n"/>
      <c r="F4154" s="7" t="n"/>
      <c r="G4154" s="7" t="n"/>
      <c r="H4154" s="7" t="n"/>
      <c r="I4154" s="7" t="n"/>
      <c r="J4154" s="7" t="n"/>
      <c r="K4154">
        <f>IF(D4154="Legitimate Interest (GDPR Art. 6(1)(f))", "Yes / Required (Sheet 3)", "")</f>
        <v/>
      </c>
      <c r="L4154" s="7" t="n"/>
      <c r="M4154" s="7" t="n"/>
      <c r="N4154">
        <f>IF(D4154="", "Gap - No Legal Basis", IF(AND(D4154="Consent (GDPR Art. 6(1)(a))", I4154="Not Captured"), "Gap - Invalid Consent", IF(AND(D4154="Legitimate Interest (GDPR Art. 6(1)(f))", L4154=""), "Gap - Missing LIA", IF(AND(G4154="Yes", H4154=""), "Gap - Missing Art. 9 Basis", IF(OR(I4154="Invalid - Not Freely Given", I4154="Invalid - Not Specific", I4154="Invalid - Not Informed", I4154="Invalid - Ambiguous"), "Gap - Invalid Consent", "Compliant")))))</f>
        <v/>
      </c>
      <c r="O4154" s="7" t="n"/>
    </row>
    <row r="4155">
      <c r="A4155" s="7" t="n"/>
      <c r="B4155" s="7" t="n"/>
      <c r="C4155" s="7" t="n"/>
      <c r="D4155" s="7" t="n"/>
      <c r="E4155" s="7" t="n"/>
      <c r="F4155" s="7" t="n"/>
      <c r="G4155" s="7" t="n"/>
      <c r="H4155" s="7" t="n"/>
      <c r="I4155" s="7" t="n"/>
      <c r="J4155" s="7" t="n"/>
      <c r="K4155">
        <f>IF(D4155="Legitimate Interest (GDPR Art. 6(1)(f))", "Yes / Required (Sheet 3)", "")</f>
        <v/>
      </c>
      <c r="L4155" s="7" t="n"/>
      <c r="M4155" s="7" t="n"/>
      <c r="N4155">
        <f>IF(D4155="", "Gap - No Legal Basis", IF(AND(D4155="Consent (GDPR Art. 6(1)(a))", I4155="Not Captured"), "Gap - Invalid Consent", IF(AND(D4155="Legitimate Interest (GDPR Art. 6(1)(f))", L4155=""), "Gap - Missing LIA", IF(AND(G4155="Yes", H4155=""), "Gap - Missing Art. 9 Basis", IF(OR(I4155="Invalid - Not Freely Given", I4155="Invalid - Not Specific", I4155="Invalid - Not Informed", I4155="Invalid - Ambiguous"), "Gap - Invalid Consent", "Compliant")))))</f>
        <v/>
      </c>
      <c r="O4155" s="7" t="n"/>
    </row>
    <row r="4156">
      <c r="A4156" s="7" t="n"/>
      <c r="B4156" s="7" t="n"/>
      <c r="C4156" s="7" t="n"/>
      <c r="D4156" s="7" t="n"/>
      <c r="E4156" s="7" t="n"/>
      <c r="F4156" s="7" t="n"/>
      <c r="G4156" s="7" t="n"/>
      <c r="H4156" s="7" t="n"/>
      <c r="I4156" s="7" t="n"/>
      <c r="J4156" s="7" t="n"/>
      <c r="K4156">
        <f>IF(D4156="Legitimate Interest (GDPR Art. 6(1)(f))", "Yes / Required (Sheet 3)", "")</f>
        <v/>
      </c>
      <c r="L4156" s="7" t="n"/>
      <c r="M4156" s="7" t="n"/>
      <c r="N4156">
        <f>IF(D4156="", "Gap - No Legal Basis", IF(AND(D4156="Consent (GDPR Art. 6(1)(a))", I4156="Not Captured"), "Gap - Invalid Consent", IF(AND(D4156="Legitimate Interest (GDPR Art. 6(1)(f))", L4156=""), "Gap - Missing LIA", IF(AND(G4156="Yes", H4156=""), "Gap - Missing Art. 9 Basis", IF(OR(I4156="Invalid - Not Freely Given", I4156="Invalid - Not Specific", I4156="Invalid - Not Informed", I4156="Invalid - Ambiguous"), "Gap - Invalid Consent", "Compliant")))))</f>
        <v/>
      </c>
      <c r="O4156" s="7" t="n"/>
    </row>
    <row r="4157">
      <c r="A4157" s="7" t="n"/>
      <c r="B4157" s="7" t="n"/>
      <c r="C4157" s="7" t="n"/>
      <c r="D4157" s="7" t="n"/>
      <c r="E4157" s="7" t="n"/>
      <c r="F4157" s="7" t="n"/>
      <c r="G4157" s="7" t="n"/>
      <c r="H4157" s="7" t="n"/>
      <c r="I4157" s="7" t="n"/>
      <c r="J4157" s="7" t="n"/>
      <c r="K4157">
        <f>IF(D4157="Legitimate Interest (GDPR Art. 6(1)(f))", "Yes / Required (Sheet 3)", "")</f>
        <v/>
      </c>
      <c r="L4157" s="7" t="n"/>
      <c r="M4157" s="7" t="n"/>
      <c r="N4157">
        <f>IF(D4157="", "Gap - No Legal Basis", IF(AND(D4157="Consent (GDPR Art. 6(1)(a))", I4157="Not Captured"), "Gap - Invalid Consent", IF(AND(D4157="Legitimate Interest (GDPR Art. 6(1)(f))", L4157=""), "Gap - Missing LIA", IF(AND(G4157="Yes", H4157=""), "Gap - Missing Art. 9 Basis", IF(OR(I4157="Invalid - Not Freely Given", I4157="Invalid - Not Specific", I4157="Invalid - Not Informed", I4157="Invalid - Ambiguous"), "Gap - Invalid Consent", "Compliant")))))</f>
        <v/>
      </c>
      <c r="O4157" s="7" t="n"/>
    </row>
    <row r="4158">
      <c r="A4158" s="7" t="n"/>
      <c r="B4158" s="7" t="n"/>
      <c r="C4158" s="7" t="n"/>
      <c r="D4158" s="7" t="n"/>
      <c r="E4158" s="7" t="n"/>
      <c r="F4158" s="7" t="n"/>
      <c r="G4158" s="7" t="n"/>
      <c r="H4158" s="7" t="n"/>
      <c r="I4158" s="7" t="n"/>
      <c r="J4158" s="7" t="n"/>
      <c r="K4158">
        <f>IF(D4158="Legitimate Interest (GDPR Art. 6(1)(f))", "Yes / Required (Sheet 3)", "")</f>
        <v/>
      </c>
      <c r="L4158" s="7" t="n"/>
      <c r="M4158" s="7" t="n"/>
      <c r="N4158">
        <f>IF(D4158="", "Gap - No Legal Basis", IF(AND(D4158="Consent (GDPR Art. 6(1)(a))", I4158="Not Captured"), "Gap - Invalid Consent", IF(AND(D4158="Legitimate Interest (GDPR Art. 6(1)(f))", L4158=""), "Gap - Missing LIA", IF(AND(G4158="Yes", H4158=""), "Gap - Missing Art. 9 Basis", IF(OR(I4158="Invalid - Not Freely Given", I4158="Invalid - Not Specific", I4158="Invalid - Not Informed", I4158="Invalid - Ambiguous"), "Gap - Invalid Consent", "Compliant")))))</f>
        <v/>
      </c>
      <c r="O4158" s="7" t="n"/>
    </row>
    <row r="4159">
      <c r="A4159" s="7" t="n"/>
      <c r="B4159" s="7" t="n"/>
      <c r="C4159" s="7" t="n"/>
      <c r="D4159" s="7" t="n"/>
      <c r="E4159" s="7" t="n"/>
      <c r="F4159" s="7" t="n"/>
      <c r="G4159" s="7" t="n"/>
      <c r="H4159" s="7" t="n"/>
      <c r="I4159" s="7" t="n"/>
      <c r="J4159" s="7" t="n"/>
      <c r="K4159">
        <f>IF(D4159="Legitimate Interest (GDPR Art. 6(1)(f))", "Yes / Required (Sheet 3)", "")</f>
        <v/>
      </c>
      <c r="L4159" s="7" t="n"/>
      <c r="M4159" s="7" t="n"/>
      <c r="N4159">
        <f>IF(D4159="", "Gap - No Legal Basis", IF(AND(D4159="Consent (GDPR Art. 6(1)(a))", I4159="Not Captured"), "Gap - Invalid Consent", IF(AND(D4159="Legitimate Interest (GDPR Art. 6(1)(f))", L4159=""), "Gap - Missing LIA", IF(AND(G4159="Yes", H4159=""), "Gap - Missing Art. 9 Basis", IF(OR(I4159="Invalid - Not Freely Given", I4159="Invalid - Not Specific", I4159="Invalid - Not Informed", I4159="Invalid - Ambiguous"), "Gap - Invalid Consent", "Compliant")))))</f>
        <v/>
      </c>
      <c r="O4159" s="7" t="n"/>
    </row>
    <row r="4160">
      <c r="A4160" s="7" t="n"/>
      <c r="B4160" s="7" t="n"/>
      <c r="C4160" s="7" t="n"/>
      <c r="D4160" s="7" t="n"/>
      <c r="E4160" s="7" t="n"/>
      <c r="F4160" s="7" t="n"/>
      <c r="G4160" s="7" t="n"/>
      <c r="H4160" s="7" t="n"/>
      <c r="I4160" s="7" t="n"/>
      <c r="J4160" s="7" t="n"/>
      <c r="K4160">
        <f>IF(D4160="Legitimate Interest (GDPR Art. 6(1)(f))", "Yes / Required (Sheet 3)", "")</f>
        <v/>
      </c>
      <c r="L4160" s="7" t="n"/>
      <c r="M4160" s="7" t="n"/>
      <c r="N4160">
        <f>IF(D4160="", "Gap - No Legal Basis", IF(AND(D4160="Consent (GDPR Art. 6(1)(a))", I4160="Not Captured"), "Gap - Invalid Consent", IF(AND(D4160="Legitimate Interest (GDPR Art. 6(1)(f))", L4160=""), "Gap - Missing LIA", IF(AND(G4160="Yes", H4160=""), "Gap - Missing Art. 9 Basis", IF(OR(I4160="Invalid - Not Freely Given", I4160="Invalid - Not Specific", I4160="Invalid - Not Informed", I4160="Invalid - Ambiguous"), "Gap - Invalid Consent", "Compliant")))))</f>
        <v/>
      </c>
      <c r="O4160" s="7" t="n"/>
    </row>
    <row r="4161">
      <c r="A4161" s="7" t="n"/>
      <c r="B4161" s="7" t="n"/>
      <c r="C4161" s="7" t="n"/>
      <c r="D4161" s="7" t="n"/>
      <c r="E4161" s="7" t="n"/>
      <c r="F4161" s="7" t="n"/>
      <c r="G4161" s="7" t="n"/>
      <c r="H4161" s="7" t="n"/>
      <c r="I4161" s="7" t="n"/>
      <c r="J4161" s="7" t="n"/>
      <c r="K4161">
        <f>IF(D4161="Legitimate Interest (GDPR Art. 6(1)(f))", "Yes / Required (Sheet 3)", "")</f>
        <v/>
      </c>
      <c r="L4161" s="7" t="n"/>
      <c r="M4161" s="7" t="n"/>
      <c r="N4161">
        <f>IF(D4161="", "Gap - No Legal Basis", IF(AND(D4161="Consent (GDPR Art. 6(1)(a))", I4161="Not Captured"), "Gap - Invalid Consent", IF(AND(D4161="Legitimate Interest (GDPR Art. 6(1)(f))", L4161=""), "Gap - Missing LIA", IF(AND(G4161="Yes", H4161=""), "Gap - Missing Art. 9 Basis", IF(OR(I4161="Invalid - Not Freely Given", I4161="Invalid - Not Specific", I4161="Invalid - Not Informed", I4161="Invalid - Ambiguous"), "Gap - Invalid Consent", "Compliant")))))</f>
        <v/>
      </c>
      <c r="O4161" s="7" t="n"/>
    </row>
    <row r="4162">
      <c r="A4162" s="7" t="n"/>
      <c r="B4162" s="7" t="n"/>
      <c r="C4162" s="7" t="n"/>
      <c r="D4162" s="7" t="n"/>
      <c r="E4162" s="7" t="n"/>
      <c r="F4162" s="7" t="n"/>
      <c r="G4162" s="7" t="n"/>
      <c r="H4162" s="7" t="n"/>
      <c r="I4162" s="7" t="n"/>
      <c r="J4162" s="7" t="n"/>
      <c r="K4162">
        <f>IF(D4162="Legitimate Interest (GDPR Art. 6(1)(f))", "Yes / Required (Sheet 3)", "")</f>
        <v/>
      </c>
      <c r="L4162" s="7" t="n"/>
      <c r="M4162" s="7" t="n"/>
      <c r="N4162">
        <f>IF(D4162="", "Gap - No Legal Basis", IF(AND(D4162="Consent (GDPR Art. 6(1)(a))", I4162="Not Captured"), "Gap - Invalid Consent", IF(AND(D4162="Legitimate Interest (GDPR Art. 6(1)(f))", L4162=""), "Gap - Missing LIA", IF(AND(G4162="Yes", H4162=""), "Gap - Missing Art. 9 Basis", IF(OR(I4162="Invalid - Not Freely Given", I4162="Invalid - Not Specific", I4162="Invalid - Not Informed", I4162="Invalid - Ambiguous"), "Gap - Invalid Consent", "Compliant")))))</f>
        <v/>
      </c>
      <c r="O4162" s="7" t="n"/>
    </row>
    <row r="4163">
      <c r="A4163" s="7" t="n"/>
      <c r="B4163" s="7" t="n"/>
      <c r="C4163" s="7" t="n"/>
      <c r="D4163" s="7" t="n"/>
      <c r="E4163" s="7" t="n"/>
      <c r="F4163" s="7" t="n"/>
      <c r="G4163" s="7" t="n"/>
      <c r="H4163" s="7" t="n"/>
      <c r="I4163" s="7" t="n"/>
      <c r="J4163" s="7" t="n"/>
      <c r="K4163">
        <f>IF(D4163="Legitimate Interest (GDPR Art. 6(1)(f))", "Yes / Required (Sheet 3)", "")</f>
        <v/>
      </c>
      <c r="L4163" s="7" t="n"/>
      <c r="M4163" s="7" t="n"/>
      <c r="N4163">
        <f>IF(D4163="", "Gap - No Legal Basis", IF(AND(D4163="Consent (GDPR Art. 6(1)(a))", I4163="Not Captured"), "Gap - Invalid Consent", IF(AND(D4163="Legitimate Interest (GDPR Art. 6(1)(f))", L4163=""), "Gap - Missing LIA", IF(AND(G4163="Yes", H4163=""), "Gap - Missing Art. 9 Basis", IF(OR(I4163="Invalid - Not Freely Given", I4163="Invalid - Not Specific", I4163="Invalid - Not Informed", I4163="Invalid - Ambiguous"), "Gap - Invalid Consent", "Compliant")))))</f>
        <v/>
      </c>
      <c r="O4163" s="7" t="n"/>
    </row>
    <row r="4164">
      <c r="A4164" s="7" t="n"/>
      <c r="B4164" s="7" t="n"/>
      <c r="C4164" s="7" t="n"/>
      <c r="D4164" s="7" t="n"/>
      <c r="E4164" s="7" t="n"/>
      <c r="F4164" s="7" t="n"/>
      <c r="G4164" s="7" t="n"/>
      <c r="H4164" s="7" t="n"/>
      <c r="I4164" s="7" t="n"/>
      <c r="J4164" s="7" t="n"/>
      <c r="K4164">
        <f>IF(D4164="Legitimate Interest (GDPR Art. 6(1)(f))", "Yes / Required (Sheet 3)", "")</f>
        <v/>
      </c>
      <c r="L4164" s="7" t="n"/>
      <c r="M4164" s="7" t="n"/>
      <c r="N4164">
        <f>IF(D4164="", "Gap - No Legal Basis", IF(AND(D4164="Consent (GDPR Art. 6(1)(a))", I4164="Not Captured"), "Gap - Invalid Consent", IF(AND(D4164="Legitimate Interest (GDPR Art. 6(1)(f))", L4164=""), "Gap - Missing LIA", IF(AND(G4164="Yes", H4164=""), "Gap - Missing Art. 9 Basis", IF(OR(I4164="Invalid - Not Freely Given", I4164="Invalid - Not Specific", I4164="Invalid - Not Informed", I4164="Invalid - Ambiguous"), "Gap - Invalid Consent", "Compliant")))))</f>
        <v/>
      </c>
      <c r="O4164" s="7" t="n"/>
    </row>
    <row r="4165">
      <c r="A4165" s="7" t="n"/>
      <c r="B4165" s="7" t="n"/>
      <c r="C4165" s="7" t="n"/>
      <c r="D4165" s="7" t="n"/>
      <c r="E4165" s="7" t="n"/>
      <c r="F4165" s="7" t="n"/>
      <c r="G4165" s="7" t="n"/>
      <c r="H4165" s="7" t="n"/>
      <c r="I4165" s="7" t="n"/>
      <c r="J4165" s="7" t="n"/>
      <c r="K4165">
        <f>IF(D4165="Legitimate Interest (GDPR Art. 6(1)(f))", "Yes / Required (Sheet 3)", "")</f>
        <v/>
      </c>
      <c r="L4165" s="7" t="n"/>
      <c r="M4165" s="7" t="n"/>
      <c r="N4165">
        <f>IF(D4165="", "Gap - No Legal Basis", IF(AND(D4165="Consent (GDPR Art. 6(1)(a))", I4165="Not Captured"), "Gap - Invalid Consent", IF(AND(D4165="Legitimate Interest (GDPR Art. 6(1)(f))", L4165=""), "Gap - Missing LIA", IF(AND(G4165="Yes", H4165=""), "Gap - Missing Art. 9 Basis", IF(OR(I4165="Invalid - Not Freely Given", I4165="Invalid - Not Specific", I4165="Invalid - Not Informed", I4165="Invalid - Ambiguous"), "Gap - Invalid Consent", "Compliant")))))</f>
        <v/>
      </c>
      <c r="O4165" s="7" t="n"/>
    </row>
    <row r="4166">
      <c r="A4166" s="7" t="n"/>
      <c r="B4166" s="7" t="n"/>
      <c r="C4166" s="7" t="n"/>
      <c r="D4166" s="7" t="n"/>
      <c r="E4166" s="7" t="n"/>
      <c r="F4166" s="7" t="n"/>
      <c r="G4166" s="7" t="n"/>
      <c r="H4166" s="7" t="n"/>
      <c r="I4166" s="7" t="n"/>
      <c r="J4166" s="7" t="n"/>
      <c r="K4166">
        <f>IF(D4166="Legitimate Interest (GDPR Art. 6(1)(f))", "Yes / Required (Sheet 3)", "")</f>
        <v/>
      </c>
      <c r="L4166" s="7" t="n"/>
      <c r="M4166" s="7" t="n"/>
      <c r="N4166">
        <f>IF(D4166="", "Gap - No Legal Basis", IF(AND(D4166="Consent (GDPR Art. 6(1)(a))", I4166="Not Captured"), "Gap - Invalid Consent", IF(AND(D4166="Legitimate Interest (GDPR Art. 6(1)(f))", L4166=""), "Gap - Missing LIA", IF(AND(G4166="Yes", H4166=""), "Gap - Missing Art. 9 Basis", IF(OR(I4166="Invalid - Not Freely Given", I4166="Invalid - Not Specific", I4166="Invalid - Not Informed", I4166="Invalid - Ambiguous"), "Gap - Invalid Consent", "Compliant")))))</f>
        <v/>
      </c>
      <c r="O4166" s="7" t="n"/>
    </row>
    <row r="4167">
      <c r="A4167" s="7" t="n"/>
      <c r="B4167" s="7" t="n"/>
      <c r="C4167" s="7" t="n"/>
      <c r="D4167" s="7" t="n"/>
      <c r="E4167" s="7" t="n"/>
      <c r="F4167" s="7" t="n"/>
      <c r="G4167" s="7" t="n"/>
      <c r="H4167" s="7" t="n"/>
      <c r="I4167" s="7" t="n"/>
      <c r="J4167" s="7" t="n"/>
      <c r="K4167">
        <f>IF(D4167="Legitimate Interest (GDPR Art. 6(1)(f))", "Yes / Required (Sheet 3)", "")</f>
        <v/>
      </c>
      <c r="L4167" s="7" t="n"/>
      <c r="M4167" s="7" t="n"/>
      <c r="N4167">
        <f>IF(D4167="", "Gap - No Legal Basis", IF(AND(D4167="Consent (GDPR Art. 6(1)(a))", I4167="Not Captured"), "Gap - Invalid Consent", IF(AND(D4167="Legitimate Interest (GDPR Art. 6(1)(f))", L4167=""), "Gap - Missing LIA", IF(AND(G4167="Yes", H4167=""), "Gap - Missing Art. 9 Basis", IF(OR(I4167="Invalid - Not Freely Given", I4167="Invalid - Not Specific", I4167="Invalid - Not Informed", I4167="Invalid - Ambiguous"), "Gap - Invalid Consent", "Compliant")))))</f>
        <v/>
      </c>
      <c r="O4167" s="7" t="n"/>
    </row>
    <row r="4168">
      <c r="A4168" s="7" t="n"/>
      <c r="B4168" s="7" t="n"/>
      <c r="C4168" s="7" t="n"/>
      <c r="D4168" s="7" t="n"/>
      <c r="E4168" s="7" t="n"/>
      <c r="F4168" s="7" t="n"/>
      <c r="G4168" s="7" t="n"/>
      <c r="H4168" s="7" t="n"/>
      <c r="I4168" s="7" t="n"/>
      <c r="J4168" s="7" t="n"/>
      <c r="K4168">
        <f>IF(D4168="Legitimate Interest (GDPR Art. 6(1)(f))", "Yes / Required (Sheet 3)", "")</f>
        <v/>
      </c>
      <c r="L4168" s="7" t="n"/>
      <c r="M4168" s="7" t="n"/>
      <c r="N4168">
        <f>IF(D4168="", "Gap - No Legal Basis", IF(AND(D4168="Consent (GDPR Art. 6(1)(a))", I4168="Not Captured"), "Gap - Invalid Consent", IF(AND(D4168="Legitimate Interest (GDPR Art. 6(1)(f))", L4168=""), "Gap - Missing LIA", IF(AND(G4168="Yes", H4168=""), "Gap - Missing Art. 9 Basis", IF(OR(I4168="Invalid - Not Freely Given", I4168="Invalid - Not Specific", I4168="Invalid - Not Informed", I4168="Invalid - Ambiguous"), "Gap - Invalid Consent", "Compliant")))))</f>
        <v/>
      </c>
      <c r="O4168" s="7" t="n"/>
    </row>
    <row r="4169">
      <c r="A4169" s="7" t="n"/>
      <c r="B4169" s="7" t="n"/>
      <c r="C4169" s="7" t="n"/>
      <c r="D4169" s="7" t="n"/>
      <c r="E4169" s="7" t="n"/>
      <c r="F4169" s="7" t="n"/>
      <c r="G4169" s="7" t="n"/>
      <c r="H4169" s="7" t="n"/>
      <c r="I4169" s="7" t="n"/>
      <c r="J4169" s="7" t="n"/>
      <c r="K4169">
        <f>IF(D4169="Legitimate Interest (GDPR Art. 6(1)(f))", "Yes / Required (Sheet 3)", "")</f>
        <v/>
      </c>
      <c r="L4169" s="7" t="n"/>
      <c r="M4169" s="7" t="n"/>
      <c r="N4169">
        <f>IF(D4169="", "Gap - No Legal Basis", IF(AND(D4169="Consent (GDPR Art. 6(1)(a))", I4169="Not Captured"), "Gap - Invalid Consent", IF(AND(D4169="Legitimate Interest (GDPR Art. 6(1)(f))", L4169=""), "Gap - Missing LIA", IF(AND(G4169="Yes", H4169=""), "Gap - Missing Art. 9 Basis", IF(OR(I4169="Invalid - Not Freely Given", I4169="Invalid - Not Specific", I4169="Invalid - Not Informed", I4169="Invalid - Ambiguous"), "Gap - Invalid Consent", "Compliant")))))</f>
        <v/>
      </c>
      <c r="O4169" s="7" t="n"/>
    </row>
    <row r="4170">
      <c r="A4170" s="7" t="n"/>
      <c r="B4170" s="7" t="n"/>
      <c r="C4170" s="7" t="n"/>
      <c r="D4170" s="7" t="n"/>
      <c r="E4170" s="7" t="n"/>
      <c r="F4170" s="7" t="n"/>
      <c r="G4170" s="7" t="n"/>
      <c r="H4170" s="7" t="n"/>
      <c r="I4170" s="7" t="n"/>
      <c r="J4170" s="7" t="n"/>
      <c r="K4170">
        <f>IF(D4170="Legitimate Interest (GDPR Art. 6(1)(f))", "Yes / Required (Sheet 3)", "")</f>
        <v/>
      </c>
      <c r="L4170" s="7" t="n"/>
      <c r="M4170" s="7" t="n"/>
      <c r="N4170">
        <f>IF(D4170="", "Gap - No Legal Basis", IF(AND(D4170="Consent (GDPR Art. 6(1)(a))", I4170="Not Captured"), "Gap - Invalid Consent", IF(AND(D4170="Legitimate Interest (GDPR Art. 6(1)(f))", L4170=""), "Gap - Missing LIA", IF(AND(G4170="Yes", H4170=""), "Gap - Missing Art. 9 Basis", IF(OR(I4170="Invalid - Not Freely Given", I4170="Invalid - Not Specific", I4170="Invalid - Not Informed", I4170="Invalid - Ambiguous"), "Gap - Invalid Consent", "Compliant")))))</f>
        <v/>
      </c>
      <c r="O4170" s="7" t="n"/>
    </row>
    <row r="4171">
      <c r="A4171" s="7" t="n"/>
      <c r="B4171" s="7" t="n"/>
      <c r="C4171" s="7" t="n"/>
      <c r="D4171" s="7" t="n"/>
      <c r="E4171" s="7" t="n"/>
      <c r="F4171" s="7" t="n"/>
      <c r="G4171" s="7" t="n"/>
      <c r="H4171" s="7" t="n"/>
      <c r="I4171" s="7" t="n"/>
      <c r="J4171" s="7" t="n"/>
      <c r="K4171">
        <f>IF(D4171="Legitimate Interest (GDPR Art. 6(1)(f))", "Yes / Required (Sheet 3)", "")</f>
        <v/>
      </c>
      <c r="L4171" s="7" t="n"/>
      <c r="M4171" s="7" t="n"/>
      <c r="N4171">
        <f>IF(D4171="", "Gap - No Legal Basis", IF(AND(D4171="Consent (GDPR Art. 6(1)(a))", I4171="Not Captured"), "Gap - Invalid Consent", IF(AND(D4171="Legitimate Interest (GDPR Art. 6(1)(f))", L4171=""), "Gap - Missing LIA", IF(AND(G4171="Yes", H4171=""), "Gap - Missing Art. 9 Basis", IF(OR(I4171="Invalid - Not Freely Given", I4171="Invalid - Not Specific", I4171="Invalid - Not Informed", I4171="Invalid - Ambiguous"), "Gap - Invalid Consent", "Compliant")))))</f>
        <v/>
      </c>
      <c r="O4171" s="7" t="n"/>
    </row>
    <row r="4172">
      <c r="A4172" s="7" t="n"/>
      <c r="B4172" s="7" t="n"/>
      <c r="C4172" s="7" t="n"/>
      <c r="D4172" s="7" t="n"/>
      <c r="E4172" s="7" t="n"/>
      <c r="F4172" s="7" t="n"/>
      <c r="G4172" s="7" t="n"/>
      <c r="H4172" s="7" t="n"/>
      <c r="I4172" s="7" t="n"/>
      <c r="J4172" s="7" t="n"/>
      <c r="K4172">
        <f>IF(D4172="Legitimate Interest (GDPR Art. 6(1)(f))", "Yes / Required (Sheet 3)", "")</f>
        <v/>
      </c>
      <c r="L4172" s="7" t="n"/>
      <c r="M4172" s="7" t="n"/>
      <c r="N4172">
        <f>IF(D4172="", "Gap - No Legal Basis", IF(AND(D4172="Consent (GDPR Art. 6(1)(a))", I4172="Not Captured"), "Gap - Invalid Consent", IF(AND(D4172="Legitimate Interest (GDPR Art. 6(1)(f))", L4172=""), "Gap - Missing LIA", IF(AND(G4172="Yes", H4172=""), "Gap - Missing Art. 9 Basis", IF(OR(I4172="Invalid - Not Freely Given", I4172="Invalid - Not Specific", I4172="Invalid - Not Informed", I4172="Invalid - Ambiguous"), "Gap - Invalid Consent", "Compliant")))))</f>
        <v/>
      </c>
      <c r="O4172" s="7" t="n"/>
    </row>
    <row r="4173">
      <c r="A4173" s="7" t="n"/>
      <c r="B4173" s="7" t="n"/>
      <c r="C4173" s="7" t="n"/>
      <c r="D4173" s="7" t="n"/>
      <c r="E4173" s="7" t="n"/>
      <c r="F4173" s="7" t="n"/>
      <c r="G4173" s="7" t="n"/>
      <c r="H4173" s="7" t="n"/>
      <c r="I4173" s="7" t="n"/>
      <c r="J4173" s="7" t="n"/>
      <c r="K4173">
        <f>IF(D4173="Legitimate Interest (GDPR Art. 6(1)(f))", "Yes / Required (Sheet 3)", "")</f>
        <v/>
      </c>
      <c r="L4173" s="7" t="n"/>
      <c r="M4173" s="7" t="n"/>
      <c r="N4173">
        <f>IF(D4173="", "Gap - No Legal Basis", IF(AND(D4173="Consent (GDPR Art. 6(1)(a))", I4173="Not Captured"), "Gap - Invalid Consent", IF(AND(D4173="Legitimate Interest (GDPR Art. 6(1)(f))", L4173=""), "Gap - Missing LIA", IF(AND(G4173="Yes", H4173=""), "Gap - Missing Art. 9 Basis", IF(OR(I4173="Invalid - Not Freely Given", I4173="Invalid - Not Specific", I4173="Invalid - Not Informed", I4173="Invalid - Ambiguous"), "Gap - Invalid Consent", "Compliant")))))</f>
        <v/>
      </c>
      <c r="O4173" s="7" t="n"/>
    </row>
    <row r="4174">
      <c r="A4174" s="7" t="n"/>
      <c r="B4174" s="7" t="n"/>
      <c r="C4174" s="7" t="n"/>
      <c r="D4174" s="7" t="n"/>
      <c r="E4174" s="7" t="n"/>
      <c r="F4174" s="7" t="n"/>
      <c r="G4174" s="7" t="n"/>
      <c r="H4174" s="7" t="n"/>
      <c r="I4174" s="7" t="n"/>
      <c r="J4174" s="7" t="n"/>
      <c r="K4174">
        <f>IF(D4174="Legitimate Interest (GDPR Art. 6(1)(f))", "Yes / Required (Sheet 3)", "")</f>
        <v/>
      </c>
      <c r="L4174" s="7" t="n"/>
      <c r="M4174" s="7" t="n"/>
      <c r="N4174">
        <f>IF(D4174="", "Gap - No Legal Basis", IF(AND(D4174="Consent (GDPR Art. 6(1)(a))", I4174="Not Captured"), "Gap - Invalid Consent", IF(AND(D4174="Legitimate Interest (GDPR Art. 6(1)(f))", L4174=""), "Gap - Missing LIA", IF(AND(G4174="Yes", H4174=""), "Gap - Missing Art. 9 Basis", IF(OR(I4174="Invalid - Not Freely Given", I4174="Invalid - Not Specific", I4174="Invalid - Not Informed", I4174="Invalid - Ambiguous"), "Gap - Invalid Consent", "Compliant")))))</f>
        <v/>
      </c>
      <c r="O4174" s="7" t="n"/>
    </row>
    <row r="4175">
      <c r="A4175" s="7" t="n"/>
      <c r="B4175" s="7" t="n"/>
      <c r="C4175" s="7" t="n"/>
      <c r="D4175" s="7" t="n"/>
      <c r="E4175" s="7" t="n"/>
      <c r="F4175" s="7" t="n"/>
      <c r="G4175" s="7" t="n"/>
      <c r="H4175" s="7" t="n"/>
      <c r="I4175" s="7" t="n"/>
      <c r="J4175" s="7" t="n"/>
      <c r="K4175">
        <f>IF(D4175="Legitimate Interest (GDPR Art. 6(1)(f))", "Yes / Required (Sheet 3)", "")</f>
        <v/>
      </c>
      <c r="L4175" s="7" t="n"/>
      <c r="M4175" s="7" t="n"/>
      <c r="N4175">
        <f>IF(D4175="", "Gap - No Legal Basis", IF(AND(D4175="Consent (GDPR Art. 6(1)(a))", I4175="Not Captured"), "Gap - Invalid Consent", IF(AND(D4175="Legitimate Interest (GDPR Art. 6(1)(f))", L4175=""), "Gap - Missing LIA", IF(AND(G4175="Yes", H4175=""), "Gap - Missing Art. 9 Basis", IF(OR(I4175="Invalid - Not Freely Given", I4175="Invalid - Not Specific", I4175="Invalid - Not Informed", I4175="Invalid - Ambiguous"), "Gap - Invalid Consent", "Compliant")))))</f>
        <v/>
      </c>
      <c r="O4175" s="7" t="n"/>
    </row>
    <row r="4176">
      <c r="A4176" s="7" t="n"/>
      <c r="B4176" s="7" t="n"/>
      <c r="C4176" s="7" t="n"/>
      <c r="D4176" s="7" t="n"/>
      <c r="E4176" s="7" t="n"/>
      <c r="F4176" s="7" t="n"/>
      <c r="G4176" s="7" t="n"/>
      <c r="H4176" s="7" t="n"/>
      <c r="I4176" s="7" t="n"/>
      <c r="J4176" s="7" t="n"/>
      <c r="K4176">
        <f>IF(D4176="Legitimate Interest (GDPR Art. 6(1)(f))", "Yes / Required (Sheet 3)", "")</f>
        <v/>
      </c>
      <c r="L4176" s="7" t="n"/>
      <c r="M4176" s="7" t="n"/>
      <c r="N4176">
        <f>IF(D4176="", "Gap - No Legal Basis", IF(AND(D4176="Consent (GDPR Art. 6(1)(a))", I4176="Not Captured"), "Gap - Invalid Consent", IF(AND(D4176="Legitimate Interest (GDPR Art. 6(1)(f))", L4176=""), "Gap - Missing LIA", IF(AND(G4176="Yes", H4176=""), "Gap - Missing Art. 9 Basis", IF(OR(I4176="Invalid - Not Freely Given", I4176="Invalid - Not Specific", I4176="Invalid - Not Informed", I4176="Invalid - Ambiguous"), "Gap - Invalid Consent", "Compliant")))))</f>
        <v/>
      </c>
      <c r="O4176" s="7" t="n"/>
    </row>
    <row r="4177">
      <c r="A4177" s="7" t="n"/>
      <c r="B4177" s="7" t="n"/>
      <c r="C4177" s="7" t="n"/>
      <c r="D4177" s="7" t="n"/>
      <c r="E4177" s="7" t="n"/>
      <c r="F4177" s="7" t="n"/>
      <c r="G4177" s="7" t="n"/>
      <c r="H4177" s="7" t="n"/>
      <c r="I4177" s="7" t="n"/>
      <c r="J4177" s="7" t="n"/>
      <c r="K4177">
        <f>IF(D4177="Legitimate Interest (GDPR Art. 6(1)(f))", "Yes / Required (Sheet 3)", "")</f>
        <v/>
      </c>
      <c r="L4177" s="7" t="n"/>
      <c r="M4177" s="7" t="n"/>
      <c r="N4177">
        <f>IF(D4177="", "Gap - No Legal Basis", IF(AND(D4177="Consent (GDPR Art. 6(1)(a))", I4177="Not Captured"), "Gap - Invalid Consent", IF(AND(D4177="Legitimate Interest (GDPR Art. 6(1)(f))", L4177=""), "Gap - Missing LIA", IF(AND(G4177="Yes", H4177=""), "Gap - Missing Art. 9 Basis", IF(OR(I4177="Invalid - Not Freely Given", I4177="Invalid - Not Specific", I4177="Invalid - Not Informed", I4177="Invalid - Ambiguous"), "Gap - Invalid Consent", "Compliant")))))</f>
        <v/>
      </c>
      <c r="O4177" s="7" t="n"/>
    </row>
    <row r="4178">
      <c r="A4178" s="7" t="n"/>
      <c r="B4178" s="7" t="n"/>
      <c r="C4178" s="7" t="n"/>
      <c r="D4178" s="7" t="n"/>
      <c r="E4178" s="7" t="n"/>
      <c r="F4178" s="7" t="n"/>
      <c r="G4178" s="7" t="n"/>
      <c r="H4178" s="7" t="n"/>
      <c r="I4178" s="7" t="n"/>
      <c r="J4178" s="7" t="n"/>
      <c r="K4178">
        <f>IF(D4178="Legitimate Interest (GDPR Art. 6(1)(f))", "Yes / Required (Sheet 3)", "")</f>
        <v/>
      </c>
      <c r="L4178" s="7" t="n"/>
      <c r="M4178" s="7" t="n"/>
      <c r="N4178">
        <f>IF(D4178="", "Gap - No Legal Basis", IF(AND(D4178="Consent (GDPR Art. 6(1)(a))", I4178="Not Captured"), "Gap - Invalid Consent", IF(AND(D4178="Legitimate Interest (GDPR Art. 6(1)(f))", L4178=""), "Gap - Missing LIA", IF(AND(G4178="Yes", H4178=""), "Gap - Missing Art. 9 Basis", IF(OR(I4178="Invalid - Not Freely Given", I4178="Invalid - Not Specific", I4178="Invalid - Not Informed", I4178="Invalid - Ambiguous"), "Gap - Invalid Consent", "Compliant")))))</f>
        <v/>
      </c>
      <c r="O4178" s="7" t="n"/>
    </row>
    <row r="4179">
      <c r="A4179" s="7" t="n"/>
      <c r="B4179" s="7" t="n"/>
      <c r="C4179" s="7" t="n"/>
      <c r="D4179" s="7" t="n"/>
      <c r="E4179" s="7" t="n"/>
      <c r="F4179" s="7" t="n"/>
      <c r="G4179" s="7" t="n"/>
      <c r="H4179" s="7" t="n"/>
      <c r="I4179" s="7" t="n"/>
      <c r="J4179" s="7" t="n"/>
      <c r="K4179">
        <f>IF(D4179="Legitimate Interest (GDPR Art. 6(1)(f))", "Yes / Required (Sheet 3)", "")</f>
        <v/>
      </c>
      <c r="L4179" s="7" t="n"/>
      <c r="M4179" s="7" t="n"/>
      <c r="N4179">
        <f>IF(D4179="", "Gap - No Legal Basis", IF(AND(D4179="Consent (GDPR Art. 6(1)(a))", I4179="Not Captured"), "Gap - Invalid Consent", IF(AND(D4179="Legitimate Interest (GDPR Art. 6(1)(f))", L4179=""), "Gap - Missing LIA", IF(AND(G4179="Yes", H4179=""), "Gap - Missing Art. 9 Basis", IF(OR(I4179="Invalid - Not Freely Given", I4179="Invalid - Not Specific", I4179="Invalid - Not Informed", I4179="Invalid - Ambiguous"), "Gap - Invalid Consent", "Compliant")))))</f>
        <v/>
      </c>
      <c r="O4179" s="7" t="n"/>
    </row>
    <row r="4180">
      <c r="A4180" s="7" t="n"/>
      <c r="B4180" s="7" t="n"/>
      <c r="C4180" s="7" t="n"/>
      <c r="D4180" s="7" t="n"/>
      <c r="E4180" s="7" t="n"/>
      <c r="F4180" s="7" t="n"/>
      <c r="G4180" s="7" t="n"/>
      <c r="H4180" s="7" t="n"/>
      <c r="I4180" s="7" t="n"/>
      <c r="J4180" s="7" t="n"/>
      <c r="K4180">
        <f>IF(D4180="Legitimate Interest (GDPR Art. 6(1)(f))", "Yes / Required (Sheet 3)", "")</f>
        <v/>
      </c>
      <c r="L4180" s="7" t="n"/>
      <c r="M4180" s="7" t="n"/>
      <c r="N4180">
        <f>IF(D4180="", "Gap - No Legal Basis", IF(AND(D4180="Consent (GDPR Art. 6(1)(a))", I4180="Not Captured"), "Gap - Invalid Consent", IF(AND(D4180="Legitimate Interest (GDPR Art. 6(1)(f))", L4180=""), "Gap - Missing LIA", IF(AND(G4180="Yes", H4180=""), "Gap - Missing Art. 9 Basis", IF(OR(I4180="Invalid - Not Freely Given", I4180="Invalid - Not Specific", I4180="Invalid - Not Informed", I4180="Invalid - Ambiguous"), "Gap - Invalid Consent", "Compliant")))))</f>
        <v/>
      </c>
      <c r="O4180" s="7" t="n"/>
    </row>
    <row r="4181">
      <c r="A4181" s="7" t="n"/>
      <c r="B4181" s="7" t="n"/>
      <c r="C4181" s="7" t="n"/>
      <c r="D4181" s="7" t="n"/>
      <c r="E4181" s="7" t="n"/>
      <c r="F4181" s="7" t="n"/>
      <c r="G4181" s="7" t="n"/>
      <c r="H4181" s="7" t="n"/>
      <c r="I4181" s="7" t="n"/>
      <c r="J4181" s="7" t="n"/>
      <c r="K4181">
        <f>IF(D4181="Legitimate Interest (GDPR Art. 6(1)(f))", "Yes / Required (Sheet 3)", "")</f>
        <v/>
      </c>
      <c r="L4181" s="7" t="n"/>
      <c r="M4181" s="7" t="n"/>
      <c r="N4181">
        <f>IF(D4181="", "Gap - No Legal Basis", IF(AND(D4181="Consent (GDPR Art. 6(1)(a))", I4181="Not Captured"), "Gap - Invalid Consent", IF(AND(D4181="Legitimate Interest (GDPR Art. 6(1)(f))", L4181=""), "Gap - Missing LIA", IF(AND(G4181="Yes", H4181=""), "Gap - Missing Art. 9 Basis", IF(OR(I4181="Invalid - Not Freely Given", I4181="Invalid - Not Specific", I4181="Invalid - Not Informed", I4181="Invalid - Ambiguous"), "Gap - Invalid Consent", "Compliant")))))</f>
        <v/>
      </c>
      <c r="O4181" s="7" t="n"/>
    </row>
    <row r="4182">
      <c r="A4182" s="7" t="n"/>
      <c r="B4182" s="7" t="n"/>
      <c r="C4182" s="7" t="n"/>
      <c r="D4182" s="7" t="n"/>
      <c r="E4182" s="7" t="n"/>
      <c r="F4182" s="7" t="n"/>
      <c r="G4182" s="7" t="n"/>
      <c r="H4182" s="7" t="n"/>
      <c r="I4182" s="7" t="n"/>
      <c r="J4182" s="7" t="n"/>
      <c r="K4182">
        <f>IF(D4182="Legitimate Interest (GDPR Art. 6(1)(f))", "Yes / Required (Sheet 3)", "")</f>
        <v/>
      </c>
      <c r="L4182" s="7" t="n"/>
      <c r="M4182" s="7" t="n"/>
      <c r="N4182">
        <f>IF(D4182="", "Gap - No Legal Basis", IF(AND(D4182="Consent (GDPR Art. 6(1)(a))", I4182="Not Captured"), "Gap - Invalid Consent", IF(AND(D4182="Legitimate Interest (GDPR Art. 6(1)(f))", L4182=""), "Gap - Missing LIA", IF(AND(G4182="Yes", H4182=""), "Gap - Missing Art. 9 Basis", IF(OR(I4182="Invalid - Not Freely Given", I4182="Invalid - Not Specific", I4182="Invalid - Not Informed", I4182="Invalid - Ambiguous"), "Gap - Invalid Consent", "Compliant")))))</f>
        <v/>
      </c>
      <c r="O4182" s="7" t="n"/>
    </row>
    <row r="4183">
      <c r="A4183" s="7" t="n"/>
      <c r="B4183" s="7" t="n"/>
      <c r="C4183" s="7" t="n"/>
      <c r="D4183" s="7" t="n"/>
      <c r="E4183" s="7" t="n"/>
      <c r="F4183" s="7" t="n"/>
      <c r="G4183" s="7" t="n"/>
      <c r="H4183" s="7" t="n"/>
      <c r="I4183" s="7" t="n"/>
      <c r="J4183" s="7" t="n"/>
      <c r="K4183">
        <f>IF(D4183="Legitimate Interest (GDPR Art. 6(1)(f))", "Yes / Required (Sheet 3)", "")</f>
        <v/>
      </c>
      <c r="L4183" s="7" t="n"/>
      <c r="M4183" s="7" t="n"/>
      <c r="N4183">
        <f>IF(D4183="", "Gap - No Legal Basis", IF(AND(D4183="Consent (GDPR Art. 6(1)(a))", I4183="Not Captured"), "Gap - Invalid Consent", IF(AND(D4183="Legitimate Interest (GDPR Art. 6(1)(f))", L4183=""), "Gap - Missing LIA", IF(AND(G4183="Yes", H4183=""), "Gap - Missing Art. 9 Basis", IF(OR(I4183="Invalid - Not Freely Given", I4183="Invalid - Not Specific", I4183="Invalid - Not Informed", I4183="Invalid - Ambiguous"), "Gap - Invalid Consent", "Compliant")))))</f>
        <v/>
      </c>
      <c r="O4183" s="7" t="n"/>
    </row>
    <row r="4184">
      <c r="A4184" s="7" t="n"/>
      <c r="B4184" s="7" t="n"/>
      <c r="C4184" s="7" t="n"/>
      <c r="D4184" s="7" t="n"/>
      <c r="E4184" s="7" t="n"/>
      <c r="F4184" s="7" t="n"/>
      <c r="G4184" s="7" t="n"/>
      <c r="H4184" s="7" t="n"/>
      <c r="I4184" s="7" t="n"/>
      <c r="J4184" s="7" t="n"/>
      <c r="K4184">
        <f>IF(D4184="Legitimate Interest (GDPR Art. 6(1)(f))", "Yes / Required (Sheet 3)", "")</f>
        <v/>
      </c>
      <c r="L4184" s="7" t="n"/>
      <c r="M4184" s="7" t="n"/>
      <c r="N4184">
        <f>IF(D4184="", "Gap - No Legal Basis", IF(AND(D4184="Consent (GDPR Art. 6(1)(a))", I4184="Not Captured"), "Gap - Invalid Consent", IF(AND(D4184="Legitimate Interest (GDPR Art. 6(1)(f))", L4184=""), "Gap - Missing LIA", IF(AND(G4184="Yes", H4184=""), "Gap - Missing Art. 9 Basis", IF(OR(I4184="Invalid - Not Freely Given", I4184="Invalid - Not Specific", I4184="Invalid - Not Informed", I4184="Invalid - Ambiguous"), "Gap - Invalid Consent", "Compliant")))))</f>
        <v/>
      </c>
      <c r="O4184" s="7" t="n"/>
    </row>
    <row r="4185">
      <c r="A4185" s="7" t="n"/>
      <c r="B4185" s="7" t="n"/>
      <c r="C4185" s="7" t="n"/>
      <c r="D4185" s="7" t="n"/>
      <c r="E4185" s="7" t="n"/>
      <c r="F4185" s="7" t="n"/>
      <c r="G4185" s="7" t="n"/>
      <c r="H4185" s="7" t="n"/>
      <c r="I4185" s="7" t="n"/>
      <c r="J4185" s="7" t="n"/>
      <c r="K4185">
        <f>IF(D4185="Legitimate Interest (GDPR Art. 6(1)(f))", "Yes / Required (Sheet 3)", "")</f>
        <v/>
      </c>
      <c r="L4185" s="7" t="n"/>
      <c r="M4185" s="7" t="n"/>
      <c r="N4185">
        <f>IF(D4185="", "Gap - No Legal Basis", IF(AND(D4185="Consent (GDPR Art. 6(1)(a))", I4185="Not Captured"), "Gap - Invalid Consent", IF(AND(D4185="Legitimate Interest (GDPR Art. 6(1)(f))", L4185=""), "Gap - Missing LIA", IF(AND(G4185="Yes", H4185=""), "Gap - Missing Art. 9 Basis", IF(OR(I4185="Invalid - Not Freely Given", I4185="Invalid - Not Specific", I4185="Invalid - Not Informed", I4185="Invalid - Ambiguous"), "Gap - Invalid Consent", "Compliant")))))</f>
        <v/>
      </c>
      <c r="O4185" s="7" t="n"/>
    </row>
    <row r="4186">
      <c r="A4186" s="7" t="n"/>
      <c r="B4186" s="7" t="n"/>
      <c r="C4186" s="7" t="n"/>
      <c r="D4186" s="7" t="n"/>
      <c r="E4186" s="7" t="n"/>
      <c r="F4186" s="7" t="n"/>
      <c r="G4186" s="7" t="n"/>
      <c r="H4186" s="7" t="n"/>
      <c r="I4186" s="7" t="n"/>
      <c r="J4186" s="7" t="n"/>
      <c r="K4186">
        <f>IF(D4186="Legitimate Interest (GDPR Art. 6(1)(f))", "Yes / Required (Sheet 3)", "")</f>
        <v/>
      </c>
      <c r="L4186" s="7" t="n"/>
      <c r="M4186" s="7" t="n"/>
      <c r="N4186">
        <f>IF(D4186="", "Gap - No Legal Basis", IF(AND(D4186="Consent (GDPR Art. 6(1)(a))", I4186="Not Captured"), "Gap - Invalid Consent", IF(AND(D4186="Legitimate Interest (GDPR Art. 6(1)(f))", L4186=""), "Gap - Missing LIA", IF(AND(G4186="Yes", H4186=""), "Gap - Missing Art. 9 Basis", IF(OR(I4186="Invalid - Not Freely Given", I4186="Invalid - Not Specific", I4186="Invalid - Not Informed", I4186="Invalid - Ambiguous"), "Gap - Invalid Consent", "Compliant")))))</f>
        <v/>
      </c>
      <c r="O4186" s="7" t="n"/>
    </row>
    <row r="4187">
      <c r="A4187" s="7" t="n"/>
      <c r="B4187" s="7" t="n"/>
      <c r="C4187" s="7" t="n"/>
      <c r="D4187" s="7" t="n"/>
      <c r="E4187" s="7" t="n"/>
      <c r="F4187" s="7" t="n"/>
      <c r="G4187" s="7" t="n"/>
      <c r="H4187" s="7" t="n"/>
      <c r="I4187" s="7" t="n"/>
      <c r="J4187" s="7" t="n"/>
      <c r="K4187">
        <f>IF(D4187="Legitimate Interest (GDPR Art. 6(1)(f))", "Yes / Required (Sheet 3)", "")</f>
        <v/>
      </c>
      <c r="L4187" s="7" t="n"/>
      <c r="M4187" s="7" t="n"/>
      <c r="N4187">
        <f>IF(D4187="", "Gap - No Legal Basis", IF(AND(D4187="Consent (GDPR Art. 6(1)(a))", I4187="Not Captured"), "Gap - Invalid Consent", IF(AND(D4187="Legitimate Interest (GDPR Art. 6(1)(f))", L4187=""), "Gap - Missing LIA", IF(AND(G4187="Yes", H4187=""), "Gap - Missing Art. 9 Basis", IF(OR(I4187="Invalid - Not Freely Given", I4187="Invalid - Not Specific", I4187="Invalid - Not Informed", I4187="Invalid - Ambiguous"), "Gap - Invalid Consent", "Compliant")))))</f>
        <v/>
      </c>
      <c r="O4187" s="7" t="n"/>
    </row>
    <row r="4188">
      <c r="A4188" s="7" t="n"/>
      <c r="B4188" s="7" t="n"/>
      <c r="C4188" s="7" t="n"/>
      <c r="D4188" s="7" t="n"/>
      <c r="E4188" s="7" t="n"/>
      <c r="F4188" s="7" t="n"/>
      <c r="G4188" s="7" t="n"/>
      <c r="H4188" s="7" t="n"/>
      <c r="I4188" s="7" t="n"/>
      <c r="J4188" s="7" t="n"/>
      <c r="K4188">
        <f>IF(D4188="Legitimate Interest (GDPR Art. 6(1)(f))", "Yes / Required (Sheet 3)", "")</f>
        <v/>
      </c>
      <c r="L4188" s="7" t="n"/>
      <c r="M4188" s="7" t="n"/>
      <c r="N4188">
        <f>IF(D4188="", "Gap - No Legal Basis", IF(AND(D4188="Consent (GDPR Art. 6(1)(a))", I4188="Not Captured"), "Gap - Invalid Consent", IF(AND(D4188="Legitimate Interest (GDPR Art. 6(1)(f))", L4188=""), "Gap - Missing LIA", IF(AND(G4188="Yes", H4188=""), "Gap - Missing Art. 9 Basis", IF(OR(I4188="Invalid - Not Freely Given", I4188="Invalid - Not Specific", I4188="Invalid - Not Informed", I4188="Invalid - Ambiguous"), "Gap - Invalid Consent", "Compliant")))))</f>
        <v/>
      </c>
      <c r="O4188" s="7" t="n"/>
    </row>
    <row r="4189">
      <c r="A4189" s="7" t="n"/>
      <c r="B4189" s="7" t="n"/>
      <c r="C4189" s="7" t="n"/>
      <c r="D4189" s="7" t="n"/>
      <c r="E4189" s="7" t="n"/>
      <c r="F4189" s="7" t="n"/>
      <c r="G4189" s="7" t="n"/>
      <c r="H4189" s="7" t="n"/>
      <c r="I4189" s="7" t="n"/>
      <c r="J4189" s="7" t="n"/>
      <c r="K4189">
        <f>IF(D4189="Legitimate Interest (GDPR Art. 6(1)(f))", "Yes / Required (Sheet 3)", "")</f>
        <v/>
      </c>
      <c r="L4189" s="7" t="n"/>
      <c r="M4189" s="7" t="n"/>
      <c r="N4189">
        <f>IF(D4189="", "Gap - No Legal Basis", IF(AND(D4189="Consent (GDPR Art. 6(1)(a))", I4189="Not Captured"), "Gap - Invalid Consent", IF(AND(D4189="Legitimate Interest (GDPR Art. 6(1)(f))", L4189=""), "Gap - Missing LIA", IF(AND(G4189="Yes", H4189=""), "Gap - Missing Art. 9 Basis", IF(OR(I4189="Invalid - Not Freely Given", I4189="Invalid - Not Specific", I4189="Invalid - Not Informed", I4189="Invalid - Ambiguous"), "Gap - Invalid Consent", "Compliant")))))</f>
        <v/>
      </c>
      <c r="O4189" s="7" t="n"/>
    </row>
    <row r="4190">
      <c r="A4190" s="7" t="n"/>
      <c r="B4190" s="7" t="n"/>
      <c r="C4190" s="7" t="n"/>
      <c r="D4190" s="7" t="n"/>
      <c r="E4190" s="7" t="n"/>
      <c r="F4190" s="7" t="n"/>
      <c r="G4190" s="7" t="n"/>
      <c r="H4190" s="7" t="n"/>
      <c r="I4190" s="7" t="n"/>
      <c r="J4190" s="7" t="n"/>
      <c r="K4190">
        <f>IF(D4190="Legitimate Interest (GDPR Art. 6(1)(f))", "Yes / Required (Sheet 3)", "")</f>
        <v/>
      </c>
      <c r="L4190" s="7" t="n"/>
      <c r="M4190" s="7" t="n"/>
      <c r="N4190">
        <f>IF(D4190="", "Gap - No Legal Basis", IF(AND(D4190="Consent (GDPR Art. 6(1)(a))", I4190="Not Captured"), "Gap - Invalid Consent", IF(AND(D4190="Legitimate Interest (GDPR Art. 6(1)(f))", L4190=""), "Gap - Missing LIA", IF(AND(G4190="Yes", H4190=""), "Gap - Missing Art. 9 Basis", IF(OR(I4190="Invalid - Not Freely Given", I4190="Invalid - Not Specific", I4190="Invalid - Not Informed", I4190="Invalid - Ambiguous"), "Gap - Invalid Consent", "Compliant")))))</f>
        <v/>
      </c>
      <c r="O4190" s="7" t="n"/>
    </row>
    <row r="4191">
      <c r="A4191" s="7" t="n"/>
      <c r="B4191" s="7" t="n"/>
      <c r="C4191" s="7" t="n"/>
      <c r="D4191" s="7" t="n"/>
      <c r="E4191" s="7" t="n"/>
      <c r="F4191" s="7" t="n"/>
      <c r="G4191" s="7" t="n"/>
      <c r="H4191" s="7" t="n"/>
      <c r="I4191" s="7" t="n"/>
      <c r="J4191" s="7" t="n"/>
      <c r="K4191">
        <f>IF(D4191="Legitimate Interest (GDPR Art. 6(1)(f))", "Yes / Required (Sheet 3)", "")</f>
        <v/>
      </c>
      <c r="L4191" s="7" t="n"/>
      <c r="M4191" s="7" t="n"/>
      <c r="N4191">
        <f>IF(D4191="", "Gap - No Legal Basis", IF(AND(D4191="Consent (GDPR Art. 6(1)(a))", I4191="Not Captured"), "Gap - Invalid Consent", IF(AND(D4191="Legitimate Interest (GDPR Art. 6(1)(f))", L4191=""), "Gap - Missing LIA", IF(AND(G4191="Yes", H4191=""), "Gap - Missing Art. 9 Basis", IF(OR(I4191="Invalid - Not Freely Given", I4191="Invalid - Not Specific", I4191="Invalid - Not Informed", I4191="Invalid - Ambiguous"), "Gap - Invalid Consent", "Compliant")))))</f>
        <v/>
      </c>
      <c r="O4191" s="7" t="n"/>
    </row>
    <row r="4192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7" t="n"/>
      <c r="J4192" s="7" t="n"/>
      <c r="K4192">
        <f>IF(D4192="Legitimate Interest (GDPR Art. 6(1)(f))", "Yes / Required (Sheet 3)", "")</f>
        <v/>
      </c>
      <c r="L4192" s="7" t="n"/>
      <c r="M4192" s="7" t="n"/>
      <c r="N4192">
        <f>IF(D4192="", "Gap - No Legal Basis", IF(AND(D4192="Consent (GDPR Art. 6(1)(a))", I4192="Not Captured"), "Gap - Invalid Consent", IF(AND(D4192="Legitimate Interest (GDPR Art. 6(1)(f))", L4192=""), "Gap - Missing LIA", IF(AND(G4192="Yes", H4192=""), "Gap - Missing Art. 9 Basis", IF(OR(I4192="Invalid - Not Freely Given", I4192="Invalid - Not Specific", I4192="Invalid - Not Informed", I4192="Invalid - Ambiguous"), "Gap - Invalid Consent", "Compliant")))))</f>
        <v/>
      </c>
      <c r="O4192" s="7" t="n"/>
    </row>
    <row r="4193">
      <c r="A4193" s="7" t="n"/>
      <c r="B4193" s="7" t="n"/>
      <c r="C4193" s="7" t="n"/>
      <c r="D4193" s="7" t="n"/>
      <c r="E4193" s="7" t="n"/>
      <c r="F4193" s="7" t="n"/>
      <c r="G4193" s="7" t="n"/>
      <c r="H4193" s="7" t="n"/>
      <c r="I4193" s="7" t="n"/>
      <c r="J4193" s="7" t="n"/>
      <c r="K4193">
        <f>IF(D4193="Legitimate Interest (GDPR Art. 6(1)(f))", "Yes / Required (Sheet 3)", "")</f>
        <v/>
      </c>
      <c r="L4193" s="7" t="n"/>
      <c r="M4193" s="7" t="n"/>
      <c r="N4193">
        <f>IF(D4193="", "Gap - No Legal Basis", IF(AND(D4193="Consent (GDPR Art. 6(1)(a))", I4193="Not Captured"), "Gap - Invalid Consent", IF(AND(D4193="Legitimate Interest (GDPR Art. 6(1)(f))", L4193=""), "Gap - Missing LIA", IF(AND(G4193="Yes", H4193=""), "Gap - Missing Art. 9 Basis", IF(OR(I4193="Invalid - Not Freely Given", I4193="Invalid - Not Specific", I4193="Invalid - Not Informed", I4193="Invalid - Ambiguous"), "Gap - Invalid Consent", "Compliant")))))</f>
        <v/>
      </c>
      <c r="O4193" s="7" t="n"/>
    </row>
    <row r="4194">
      <c r="A4194" s="7" t="n"/>
      <c r="B4194" s="7" t="n"/>
      <c r="C4194" s="7" t="n"/>
      <c r="D4194" s="7" t="n"/>
      <c r="E4194" s="7" t="n"/>
      <c r="F4194" s="7" t="n"/>
      <c r="G4194" s="7" t="n"/>
      <c r="H4194" s="7" t="n"/>
      <c r="I4194" s="7" t="n"/>
      <c r="J4194" s="7" t="n"/>
      <c r="K4194">
        <f>IF(D4194="Legitimate Interest (GDPR Art. 6(1)(f))", "Yes / Required (Sheet 3)", "")</f>
        <v/>
      </c>
      <c r="L4194" s="7" t="n"/>
      <c r="M4194" s="7" t="n"/>
      <c r="N4194">
        <f>IF(D4194="", "Gap - No Legal Basis", IF(AND(D4194="Consent (GDPR Art. 6(1)(a))", I4194="Not Captured"), "Gap - Invalid Consent", IF(AND(D4194="Legitimate Interest (GDPR Art. 6(1)(f))", L4194=""), "Gap - Missing LIA", IF(AND(G4194="Yes", H4194=""), "Gap - Missing Art. 9 Basis", IF(OR(I4194="Invalid - Not Freely Given", I4194="Invalid - Not Specific", I4194="Invalid - Not Informed", I4194="Invalid - Ambiguous"), "Gap - Invalid Consent", "Compliant")))))</f>
        <v/>
      </c>
      <c r="O4194" s="7" t="n"/>
    </row>
    <row r="4195">
      <c r="A4195" s="7" t="n"/>
      <c r="B4195" s="7" t="n"/>
      <c r="C4195" s="7" t="n"/>
      <c r="D4195" s="7" t="n"/>
      <c r="E4195" s="7" t="n"/>
      <c r="F4195" s="7" t="n"/>
      <c r="G4195" s="7" t="n"/>
      <c r="H4195" s="7" t="n"/>
      <c r="I4195" s="7" t="n"/>
      <c r="J4195" s="7" t="n"/>
      <c r="K4195">
        <f>IF(D4195="Legitimate Interest (GDPR Art. 6(1)(f))", "Yes / Required (Sheet 3)", "")</f>
        <v/>
      </c>
      <c r="L4195" s="7" t="n"/>
      <c r="M4195" s="7" t="n"/>
      <c r="N4195">
        <f>IF(D4195="", "Gap - No Legal Basis", IF(AND(D4195="Consent (GDPR Art. 6(1)(a))", I4195="Not Captured"), "Gap - Invalid Consent", IF(AND(D4195="Legitimate Interest (GDPR Art. 6(1)(f))", L4195=""), "Gap - Missing LIA", IF(AND(G4195="Yes", H4195=""), "Gap - Missing Art. 9 Basis", IF(OR(I4195="Invalid - Not Freely Given", I4195="Invalid - Not Specific", I4195="Invalid - Not Informed", I4195="Invalid - Ambiguous"), "Gap - Invalid Consent", "Compliant")))))</f>
        <v/>
      </c>
      <c r="O4195" s="7" t="n"/>
    </row>
    <row r="4196">
      <c r="A4196" s="7" t="n"/>
      <c r="B4196" s="7" t="n"/>
      <c r="C4196" s="7" t="n"/>
      <c r="D4196" s="7" t="n"/>
      <c r="E4196" s="7" t="n"/>
      <c r="F4196" s="7" t="n"/>
      <c r="G4196" s="7" t="n"/>
      <c r="H4196" s="7" t="n"/>
      <c r="I4196" s="7" t="n"/>
      <c r="J4196" s="7" t="n"/>
      <c r="K4196">
        <f>IF(D4196="Legitimate Interest (GDPR Art. 6(1)(f))", "Yes / Required (Sheet 3)", "")</f>
        <v/>
      </c>
      <c r="L4196" s="7" t="n"/>
      <c r="M4196" s="7" t="n"/>
      <c r="N4196">
        <f>IF(D4196="", "Gap - No Legal Basis", IF(AND(D4196="Consent (GDPR Art. 6(1)(a))", I4196="Not Captured"), "Gap - Invalid Consent", IF(AND(D4196="Legitimate Interest (GDPR Art. 6(1)(f))", L4196=""), "Gap - Missing LIA", IF(AND(G4196="Yes", H4196=""), "Gap - Missing Art. 9 Basis", IF(OR(I4196="Invalid - Not Freely Given", I4196="Invalid - Not Specific", I4196="Invalid - Not Informed", I4196="Invalid - Ambiguous"), "Gap - Invalid Consent", "Compliant")))))</f>
        <v/>
      </c>
      <c r="O4196" s="7" t="n"/>
    </row>
    <row r="4197">
      <c r="A4197" s="7" t="n"/>
      <c r="B4197" s="7" t="n"/>
      <c r="C4197" s="7" t="n"/>
      <c r="D4197" s="7" t="n"/>
      <c r="E4197" s="7" t="n"/>
      <c r="F4197" s="7" t="n"/>
      <c r="G4197" s="7" t="n"/>
      <c r="H4197" s="7" t="n"/>
      <c r="I4197" s="7" t="n"/>
      <c r="J4197" s="7" t="n"/>
      <c r="K4197">
        <f>IF(D4197="Legitimate Interest (GDPR Art. 6(1)(f))", "Yes / Required (Sheet 3)", "")</f>
        <v/>
      </c>
      <c r="L4197" s="7" t="n"/>
      <c r="M4197" s="7" t="n"/>
      <c r="N4197">
        <f>IF(D4197="", "Gap - No Legal Basis", IF(AND(D4197="Consent (GDPR Art. 6(1)(a))", I4197="Not Captured"), "Gap - Invalid Consent", IF(AND(D4197="Legitimate Interest (GDPR Art. 6(1)(f))", L4197=""), "Gap - Missing LIA", IF(AND(G4197="Yes", H4197=""), "Gap - Missing Art. 9 Basis", IF(OR(I4197="Invalid - Not Freely Given", I4197="Invalid - Not Specific", I4197="Invalid - Not Informed", I4197="Invalid - Ambiguous"), "Gap - Invalid Consent", "Compliant")))))</f>
        <v/>
      </c>
      <c r="O4197" s="7" t="n"/>
    </row>
    <row r="4198">
      <c r="A4198" s="7" t="n"/>
      <c r="B4198" s="7" t="n"/>
      <c r="C4198" s="7" t="n"/>
      <c r="D4198" s="7" t="n"/>
      <c r="E4198" s="7" t="n"/>
      <c r="F4198" s="7" t="n"/>
      <c r="G4198" s="7" t="n"/>
      <c r="H4198" s="7" t="n"/>
      <c r="I4198" s="7" t="n"/>
      <c r="J4198" s="7" t="n"/>
      <c r="K4198">
        <f>IF(D4198="Legitimate Interest (GDPR Art. 6(1)(f))", "Yes / Required (Sheet 3)", "")</f>
        <v/>
      </c>
      <c r="L4198" s="7" t="n"/>
      <c r="M4198" s="7" t="n"/>
      <c r="N4198">
        <f>IF(D4198="", "Gap - No Legal Basis", IF(AND(D4198="Consent (GDPR Art. 6(1)(a))", I4198="Not Captured"), "Gap - Invalid Consent", IF(AND(D4198="Legitimate Interest (GDPR Art. 6(1)(f))", L4198=""), "Gap - Missing LIA", IF(AND(G4198="Yes", H4198=""), "Gap - Missing Art. 9 Basis", IF(OR(I4198="Invalid - Not Freely Given", I4198="Invalid - Not Specific", I4198="Invalid - Not Informed", I4198="Invalid - Ambiguous"), "Gap - Invalid Consent", "Compliant")))))</f>
        <v/>
      </c>
      <c r="O4198" s="7" t="n"/>
    </row>
    <row r="4199">
      <c r="A4199" s="7" t="n"/>
      <c r="B4199" s="7" t="n"/>
      <c r="C4199" s="7" t="n"/>
      <c r="D4199" s="7" t="n"/>
      <c r="E4199" s="7" t="n"/>
      <c r="F4199" s="7" t="n"/>
      <c r="G4199" s="7" t="n"/>
      <c r="H4199" s="7" t="n"/>
      <c r="I4199" s="7" t="n"/>
      <c r="J4199" s="7" t="n"/>
      <c r="K4199">
        <f>IF(D4199="Legitimate Interest (GDPR Art. 6(1)(f))", "Yes / Required (Sheet 3)", "")</f>
        <v/>
      </c>
      <c r="L4199" s="7" t="n"/>
      <c r="M4199" s="7" t="n"/>
      <c r="N4199">
        <f>IF(D4199="", "Gap - No Legal Basis", IF(AND(D4199="Consent (GDPR Art. 6(1)(a))", I4199="Not Captured"), "Gap - Invalid Consent", IF(AND(D4199="Legitimate Interest (GDPR Art. 6(1)(f))", L4199=""), "Gap - Missing LIA", IF(AND(G4199="Yes", H4199=""), "Gap - Missing Art. 9 Basis", IF(OR(I4199="Invalid - Not Freely Given", I4199="Invalid - Not Specific", I4199="Invalid - Not Informed", I4199="Invalid - Ambiguous"), "Gap - Invalid Consent", "Compliant")))))</f>
        <v/>
      </c>
      <c r="O4199" s="7" t="n"/>
    </row>
    <row r="4200">
      <c r="A4200" s="7" t="n"/>
      <c r="B4200" s="7" t="n"/>
      <c r="C4200" s="7" t="n"/>
      <c r="D4200" s="7" t="n"/>
      <c r="E4200" s="7" t="n"/>
      <c r="F4200" s="7" t="n"/>
      <c r="G4200" s="7" t="n"/>
      <c r="H4200" s="7" t="n"/>
      <c r="I4200" s="7" t="n"/>
      <c r="J4200" s="7" t="n"/>
      <c r="K4200">
        <f>IF(D4200="Legitimate Interest (GDPR Art. 6(1)(f))", "Yes / Required (Sheet 3)", "")</f>
        <v/>
      </c>
      <c r="L4200" s="7" t="n"/>
      <c r="M4200" s="7" t="n"/>
      <c r="N4200">
        <f>IF(D4200="", "Gap - No Legal Basis", IF(AND(D4200="Consent (GDPR Art. 6(1)(a))", I4200="Not Captured"), "Gap - Invalid Consent", IF(AND(D4200="Legitimate Interest (GDPR Art. 6(1)(f))", L4200=""), "Gap - Missing LIA", IF(AND(G4200="Yes", H4200=""), "Gap - Missing Art. 9 Basis", IF(OR(I4200="Invalid - Not Freely Given", I4200="Invalid - Not Specific", I4200="Invalid - Not Informed", I4200="Invalid - Ambiguous"), "Gap - Invalid Consent", "Compliant")))))</f>
        <v/>
      </c>
      <c r="O4200" s="7" t="n"/>
    </row>
    <row r="4201">
      <c r="A4201" s="7" t="n"/>
      <c r="B4201" s="7" t="n"/>
      <c r="C4201" s="7" t="n"/>
      <c r="D4201" s="7" t="n"/>
      <c r="E4201" s="7" t="n"/>
      <c r="F4201" s="7" t="n"/>
      <c r="G4201" s="7" t="n"/>
      <c r="H4201" s="7" t="n"/>
      <c r="I4201" s="7" t="n"/>
      <c r="J4201" s="7" t="n"/>
      <c r="K4201">
        <f>IF(D4201="Legitimate Interest (GDPR Art. 6(1)(f))", "Yes / Required (Sheet 3)", "")</f>
        <v/>
      </c>
      <c r="L4201" s="7" t="n"/>
      <c r="M4201" s="7" t="n"/>
      <c r="N4201">
        <f>IF(D4201="", "Gap - No Legal Basis", IF(AND(D4201="Consent (GDPR Art. 6(1)(a))", I4201="Not Captured"), "Gap - Invalid Consent", IF(AND(D4201="Legitimate Interest (GDPR Art. 6(1)(f))", L4201=""), "Gap - Missing LIA", IF(AND(G4201="Yes", H4201=""), "Gap - Missing Art. 9 Basis", IF(OR(I4201="Invalid - Not Freely Given", I4201="Invalid - Not Specific", I4201="Invalid - Not Informed", I4201="Invalid - Ambiguous"), "Gap - Invalid Consent", "Compliant")))))</f>
        <v/>
      </c>
      <c r="O4201" s="7" t="n"/>
    </row>
    <row r="4202">
      <c r="A4202" s="7" t="n"/>
      <c r="B4202" s="7" t="n"/>
      <c r="C4202" s="7" t="n"/>
      <c r="D4202" s="7" t="n"/>
      <c r="E4202" s="7" t="n"/>
      <c r="F4202" s="7" t="n"/>
      <c r="G4202" s="7" t="n"/>
      <c r="H4202" s="7" t="n"/>
      <c r="I4202" s="7" t="n"/>
      <c r="J4202" s="7" t="n"/>
      <c r="K4202">
        <f>IF(D4202="Legitimate Interest (GDPR Art. 6(1)(f))", "Yes / Required (Sheet 3)", "")</f>
        <v/>
      </c>
      <c r="L4202" s="7" t="n"/>
      <c r="M4202" s="7" t="n"/>
      <c r="N4202">
        <f>IF(D4202="", "Gap - No Legal Basis", IF(AND(D4202="Consent (GDPR Art. 6(1)(a))", I4202="Not Captured"), "Gap - Invalid Consent", IF(AND(D4202="Legitimate Interest (GDPR Art. 6(1)(f))", L4202=""), "Gap - Missing LIA", IF(AND(G4202="Yes", H4202=""), "Gap - Missing Art. 9 Basis", IF(OR(I4202="Invalid - Not Freely Given", I4202="Invalid - Not Specific", I4202="Invalid - Not Informed", I4202="Invalid - Ambiguous"), "Gap - Invalid Consent", "Compliant")))))</f>
        <v/>
      </c>
      <c r="O4202" s="7" t="n"/>
    </row>
    <row r="4203">
      <c r="A4203" s="7" t="n"/>
      <c r="B4203" s="7" t="n"/>
      <c r="C4203" s="7" t="n"/>
      <c r="D4203" s="7" t="n"/>
      <c r="E4203" s="7" t="n"/>
      <c r="F4203" s="7" t="n"/>
      <c r="G4203" s="7" t="n"/>
      <c r="H4203" s="7" t="n"/>
      <c r="I4203" s="7" t="n"/>
      <c r="J4203" s="7" t="n"/>
      <c r="K4203">
        <f>IF(D4203="Legitimate Interest (GDPR Art. 6(1)(f))", "Yes / Required (Sheet 3)", "")</f>
        <v/>
      </c>
      <c r="L4203" s="7" t="n"/>
      <c r="M4203" s="7" t="n"/>
      <c r="N4203">
        <f>IF(D4203="", "Gap - No Legal Basis", IF(AND(D4203="Consent (GDPR Art. 6(1)(a))", I4203="Not Captured"), "Gap - Invalid Consent", IF(AND(D4203="Legitimate Interest (GDPR Art. 6(1)(f))", L4203=""), "Gap - Missing LIA", IF(AND(G4203="Yes", H4203=""), "Gap - Missing Art. 9 Basis", IF(OR(I4203="Invalid - Not Freely Given", I4203="Invalid - Not Specific", I4203="Invalid - Not Informed", I4203="Invalid - Ambiguous"), "Gap - Invalid Consent", "Compliant")))))</f>
        <v/>
      </c>
      <c r="O4203" s="7" t="n"/>
    </row>
    <row r="4204">
      <c r="A4204" s="7" t="n"/>
      <c r="B4204" s="7" t="n"/>
      <c r="C4204" s="7" t="n"/>
      <c r="D4204" s="7" t="n"/>
      <c r="E4204" s="7" t="n"/>
      <c r="F4204" s="7" t="n"/>
      <c r="G4204" s="7" t="n"/>
      <c r="H4204" s="7" t="n"/>
      <c r="I4204" s="7" t="n"/>
      <c r="J4204" s="7" t="n"/>
      <c r="K4204">
        <f>IF(D4204="Legitimate Interest (GDPR Art. 6(1)(f))", "Yes / Required (Sheet 3)", "")</f>
        <v/>
      </c>
      <c r="L4204" s="7" t="n"/>
      <c r="M4204" s="7" t="n"/>
      <c r="N4204">
        <f>IF(D4204="", "Gap - No Legal Basis", IF(AND(D4204="Consent (GDPR Art. 6(1)(a))", I4204="Not Captured"), "Gap - Invalid Consent", IF(AND(D4204="Legitimate Interest (GDPR Art. 6(1)(f))", L4204=""), "Gap - Missing LIA", IF(AND(G4204="Yes", H4204=""), "Gap - Missing Art. 9 Basis", IF(OR(I4204="Invalid - Not Freely Given", I4204="Invalid - Not Specific", I4204="Invalid - Not Informed", I4204="Invalid - Ambiguous"), "Gap - Invalid Consent", "Compliant")))))</f>
        <v/>
      </c>
      <c r="O4204" s="7" t="n"/>
    </row>
    <row r="4205">
      <c r="A4205" s="7" t="n"/>
      <c r="B4205" s="7" t="n"/>
      <c r="C4205" s="7" t="n"/>
      <c r="D4205" s="7" t="n"/>
      <c r="E4205" s="7" t="n"/>
      <c r="F4205" s="7" t="n"/>
      <c r="G4205" s="7" t="n"/>
      <c r="H4205" s="7" t="n"/>
      <c r="I4205" s="7" t="n"/>
      <c r="J4205" s="7" t="n"/>
      <c r="K4205">
        <f>IF(D4205="Legitimate Interest (GDPR Art. 6(1)(f))", "Yes / Required (Sheet 3)", "")</f>
        <v/>
      </c>
      <c r="L4205" s="7" t="n"/>
      <c r="M4205" s="7" t="n"/>
      <c r="N4205">
        <f>IF(D4205="", "Gap - No Legal Basis", IF(AND(D4205="Consent (GDPR Art. 6(1)(a))", I4205="Not Captured"), "Gap - Invalid Consent", IF(AND(D4205="Legitimate Interest (GDPR Art. 6(1)(f))", L4205=""), "Gap - Missing LIA", IF(AND(G4205="Yes", H4205=""), "Gap - Missing Art. 9 Basis", IF(OR(I4205="Invalid - Not Freely Given", I4205="Invalid - Not Specific", I4205="Invalid - Not Informed", I4205="Invalid - Ambiguous"), "Gap - Invalid Consent", "Compliant")))))</f>
        <v/>
      </c>
      <c r="O4205" s="7" t="n"/>
    </row>
    <row r="4206">
      <c r="A4206" s="7" t="n"/>
      <c r="B4206" s="7" t="n"/>
      <c r="C4206" s="7" t="n"/>
      <c r="D4206" s="7" t="n"/>
      <c r="E4206" s="7" t="n"/>
      <c r="F4206" s="7" t="n"/>
      <c r="G4206" s="7" t="n"/>
      <c r="H4206" s="7" t="n"/>
      <c r="I4206" s="7" t="n"/>
      <c r="J4206" s="7" t="n"/>
      <c r="K4206">
        <f>IF(D4206="Legitimate Interest (GDPR Art. 6(1)(f))", "Yes / Required (Sheet 3)", "")</f>
        <v/>
      </c>
      <c r="L4206" s="7" t="n"/>
      <c r="M4206" s="7" t="n"/>
      <c r="N4206">
        <f>IF(D4206="", "Gap - No Legal Basis", IF(AND(D4206="Consent (GDPR Art. 6(1)(a))", I4206="Not Captured"), "Gap - Invalid Consent", IF(AND(D4206="Legitimate Interest (GDPR Art. 6(1)(f))", L4206=""), "Gap - Missing LIA", IF(AND(G4206="Yes", H4206=""), "Gap - Missing Art. 9 Basis", IF(OR(I4206="Invalid - Not Freely Given", I4206="Invalid - Not Specific", I4206="Invalid - Not Informed", I4206="Invalid - Ambiguous"), "Gap - Invalid Consent", "Compliant")))))</f>
        <v/>
      </c>
      <c r="O4206" s="7" t="n"/>
    </row>
    <row r="4207">
      <c r="A4207" s="7" t="n"/>
      <c r="B4207" s="7" t="n"/>
      <c r="C4207" s="7" t="n"/>
      <c r="D4207" s="7" t="n"/>
      <c r="E4207" s="7" t="n"/>
      <c r="F4207" s="7" t="n"/>
      <c r="G4207" s="7" t="n"/>
      <c r="H4207" s="7" t="n"/>
      <c r="I4207" s="7" t="n"/>
      <c r="J4207" s="7" t="n"/>
      <c r="K4207">
        <f>IF(D4207="Legitimate Interest (GDPR Art. 6(1)(f))", "Yes / Required (Sheet 3)", "")</f>
        <v/>
      </c>
      <c r="L4207" s="7" t="n"/>
      <c r="M4207" s="7" t="n"/>
      <c r="N4207">
        <f>IF(D4207="", "Gap - No Legal Basis", IF(AND(D4207="Consent (GDPR Art. 6(1)(a))", I4207="Not Captured"), "Gap - Invalid Consent", IF(AND(D4207="Legitimate Interest (GDPR Art. 6(1)(f))", L4207=""), "Gap - Missing LIA", IF(AND(G4207="Yes", H4207=""), "Gap - Missing Art. 9 Basis", IF(OR(I4207="Invalid - Not Freely Given", I4207="Invalid - Not Specific", I4207="Invalid - Not Informed", I4207="Invalid - Ambiguous"), "Gap - Invalid Consent", "Compliant")))))</f>
        <v/>
      </c>
      <c r="O4207" s="7" t="n"/>
    </row>
    <row r="4208">
      <c r="A4208" s="7" t="n"/>
      <c r="B4208" s="7" t="n"/>
      <c r="C4208" s="7" t="n"/>
      <c r="D4208" s="7" t="n"/>
      <c r="E4208" s="7" t="n"/>
      <c r="F4208" s="7" t="n"/>
      <c r="G4208" s="7" t="n"/>
      <c r="H4208" s="7" t="n"/>
      <c r="I4208" s="7" t="n"/>
      <c r="J4208" s="7" t="n"/>
      <c r="K4208">
        <f>IF(D4208="Legitimate Interest (GDPR Art. 6(1)(f))", "Yes / Required (Sheet 3)", "")</f>
        <v/>
      </c>
      <c r="L4208" s="7" t="n"/>
      <c r="M4208" s="7" t="n"/>
      <c r="N4208">
        <f>IF(D4208="", "Gap - No Legal Basis", IF(AND(D4208="Consent (GDPR Art. 6(1)(a))", I4208="Not Captured"), "Gap - Invalid Consent", IF(AND(D4208="Legitimate Interest (GDPR Art. 6(1)(f))", L4208=""), "Gap - Missing LIA", IF(AND(G4208="Yes", H4208=""), "Gap - Missing Art. 9 Basis", IF(OR(I4208="Invalid - Not Freely Given", I4208="Invalid - Not Specific", I4208="Invalid - Not Informed", I4208="Invalid - Ambiguous"), "Gap - Invalid Consent", "Compliant")))))</f>
        <v/>
      </c>
      <c r="O4208" s="7" t="n"/>
    </row>
    <row r="4209">
      <c r="A4209" s="7" t="n"/>
      <c r="B4209" s="7" t="n"/>
      <c r="C4209" s="7" t="n"/>
      <c r="D4209" s="7" t="n"/>
      <c r="E4209" s="7" t="n"/>
      <c r="F4209" s="7" t="n"/>
      <c r="G4209" s="7" t="n"/>
      <c r="H4209" s="7" t="n"/>
      <c r="I4209" s="7" t="n"/>
      <c r="J4209" s="7" t="n"/>
      <c r="K4209">
        <f>IF(D4209="Legitimate Interest (GDPR Art. 6(1)(f))", "Yes / Required (Sheet 3)", "")</f>
        <v/>
      </c>
      <c r="L4209" s="7" t="n"/>
      <c r="M4209" s="7" t="n"/>
      <c r="N4209">
        <f>IF(D4209="", "Gap - No Legal Basis", IF(AND(D4209="Consent (GDPR Art. 6(1)(a))", I4209="Not Captured"), "Gap - Invalid Consent", IF(AND(D4209="Legitimate Interest (GDPR Art. 6(1)(f))", L4209=""), "Gap - Missing LIA", IF(AND(G4209="Yes", H4209=""), "Gap - Missing Art. 9 Basis", IF(OR(I4209="Invalid - Not Freely Given", I4209="Invalid - Not Specific", I4209="Invalid - Not Informed", I4209="Invalid - Ambiguous"), "Gap - Invalid Consent", "Compliant")))))</f>
        <v/>
      </c>
      <c r="O4209" s="7" t="n"/>
    </row>
    <row r="4210">
      <c r="A4210" s="7" t="n"/>
      <c r="B4210" s="7" t="n"/>
      <c r="C4210" s="7" t="n"/>
      <c r="D4210" s="7" t="n"/>
      <c r="E4210" s="7" t="n"/>
      <c r="F4210" s="7" t="n"/>
      <c r="G4210" s="7" t="n"/>
      <c r="H4210" s="7" t="n"/>
      <c r="I4210" s="7" t="n"/>
      <c r="J4210" s="7" t="n"/>
      <c r="K4210">
        <f>IF(D4210="Legitimate Interest (GDPR Art. 6(1)(f))", "Yes / Required (Sheet 3)", "")</f>
        <v/>
      </c>
      <c r="L4210" s="7" t="n"/>
      <c r="M4210" s="7" t="n"/>
      <c r="N4210">
        <f>IF(D4210="", "Gap - No Legal Basis", IF(AND(D4210="Consent (GDPR Art. 6(1)(a))", I4210="Not Captured"), "Gap - Invalid Consent", IF(AND(D4210="Legitimate Interest (GDPR Art. 6(1)(f))", L4210=""), "Gap - Missing LIA", IF(AND(G4210="Yes", H4210=""), "Gap - Missing Art. 9 Basis", IF(OR(I4210="Invalid - Not Freely Given", I4210="Invalid - Not Specific", I4210="Invalid - Not Informed", I4210="Invalid - Ambiguous"), "Gap - Invalid Consent", "Compliant")))))</f>
        <v/>
      </c>
      <c r="O4210" s="7" t="n"/>
    </row>
    <row r="4211">
      <c r="A4211" s="7" t="n"/>
      <c r="B4211" s="7" t="n"/>
      <c r="C4211" s="7" t="n"/>
      <c r="D4211" s="7" t="n"/>
      <c r="E4211" s="7" t="n"/>
      <c r="F4211" s="7" t="n"/>
      <c r="G4211" s="7" t="n"/>
      <c r="H4211" s="7" t="n"/>
      <c r="I4211" s="7" t="n"/>
      <c r="J4211" s="7" t="n"/>
      <c r="K4211">
        <f>IF(D4211="Legitimate Interest (GDPR Art. 6(1)(f))", "Yes / Required (Sheet 3)", "")</f>
        <v/>
      </c>
      <c r="L4211" s="7" t="n"/>
      <c r="M4211" s="7" t="n"/>
      <c r="N4211">
        <f>IF(D4211="", "Gap - No Legal Basis", IF(AND(D4211="Consent (GDPR Art. 6(1)(a))", I4211="Not Captured"), "Gap - Invalid Consent", IF(AND(D4211="Legitimate Interest (GDPR Art. 6(1)(f))", L4211=""), "Gap - Missing LIA", IF(AND(G4211="Yes", H4211=""), "Gap - Missing Art. 9 Basis", IF(OR(I4211="Invalid - Not Freely Given", I4211="Invalid - Not Specific", I4211="Invalid - Not Informed", I4211="Invalid - Ambiguous"), "Gap - Invalid Consent", "Compliant")))))</f>
        <v/>
      </c>
      <c r="O4211" s="7" t="n"/>
    </row>
    <row r="4212">
      <c r="A4212" s="7" t="n"/>
      <c r="B4212" s="7" t="n"/>
      <c r="C4212" s="7" t="n"/>
      <c r="D4212" s="7" t="n"/>
      <c r="E4212" s="7" t="n"/>
      <c r="F4212" s="7" t="n"/>
      <c r="G4212" s="7" t="n"/>
      <c r="H4212" s="7" t="n"/>
      <c r="I4212" s="7" t="n"/>
      <c r="J4212" s="7" t="n"/>
      <c r="K4212">
        <f>IF(D4212="Legitimate Interest (GDPR Art. 6(1)(f))", "Yes / Required (Sheet 3)", "")</f>
        <v/>
      </c>
      <c r="L4212" s="7" t="n"/>
      <c r="M4212" s="7" t="n"/>
      <c r="N4212">
        <f>IF(D4212="", "Gap - No Legal Basis", IF(AND(D4212="Consent (GDPR Art. 6(1)(a))", I4212="Not Captured"), "Gap - Invalid Consent", IF(AND(D4212="Legitimate Interest (GDPR Art. 6(1)(f))", L4212=""), "Gap - Missing LIA", IF(AND(G4212="Yes", H4212=""), "Gap - Missing Art. 9 Basis", IF(OR(I4212="Invalid - Not Freely Given", I4212="Invalid - Not Specific", I4212="Invalid - Not Informed", I4212="Invalid - Ambiguous"), "Gap - Invalid Consent", "Compliant")))))</f>
        <v/>
      </c>
      <c r="O4212" s="7" t="n"/>
    </row>
    <row r="4213">
      <c r="A4213" s="7" t="n"/>
      <c r="B4213" s="7" t="n"/>
      <c r="C4213" s="7" t="n"/>
      <c r="D4213" s="7" t="n"/>
      <c r="E4213" s="7" t="n"/>
      <c r="F4213" s="7" t="n"/>
      <c r="G4213" s="7" t="n"/>
      <c r="H4213" s="7" t="n"/>
      <c r="I4213" s="7" t="n"/>
      <c r="J4213" s="7" t="n"/>
      <c r="K4213">
        <f>IF(D4213="Legitimate Interest (GDPR Art. 6(1)(f))", "Yes / Required (Sheet 3)", "")</f>
        <v/>
      </c>
      <c r="L4213" s="7" t="n"/>
      <c r="M4213" s="7" t="n"/>
      <c r="N4213">
        <f>IF(D4213="", "Gap - No Legal Basis", IF(AND(D4213="Consent (GDPR Art. 6(1)(a))", I4213="Not Captured"), "Gap - Invalid Consent", IF(AND(D4213="Legitimate Interest (GDPR Art. 6(1)(f))", L4213=""), "Gap - Missing LIA", IF(AND(G4213="Yes", H4213=""), "Gap - Missing Art. 9 Basis", IF(OR(I4213="Invalid - Not Freely Given", I4213="Invalid - Not Specific", I4213="Invalid - Not Informed", I4213="Invalid - Ambiguous"), "Gap - Invalid Consent", "Compliant")))))</f>
        <v/>
      </c>
      <c r="O4213" s="7" t="n"/>
    </row>
    <row r="4214">
      <c r="A4214" s="7" t="n"/>
      <c r="B4214" s="7" t="n"/>
      <c r="C4214" s="7" t="n"/>
      <c r="D4214" s="7" t="n"/>
      <c r="E4214" s="7" t="n"/>
      <c r="F4214" s="7" t="n"/>
      <c r="G4214" s="7" t="n"/>
      <c r="H4214" s="7" t="n"/>
      <c r="I4214" s="7" t="n"/>
      <c r="J4214" s="7" t="n"/>
      <c r="K4214">
        <f>IF(D4214="Legitimate Interest (GDPR Art. 6(1)(f))", "Yes / Required (Sheet 3)", "")</f>
        <v/>
      </c>
      <c r="L4214" s="7" t="n"/>
      <c r="M4214" s="7" t="n"/>
      <c r="N4214">
        <f>IF(D4214="", "Gap - No Legal Basis", IF(AND(D4214="Consent (GDPR Art. 6(1)(a))", I4214="Not Captured"), "Gap - Invalid Consent", IF(AND(D4214="Legitimate Interest (GDPR Art. 6(1)(f))", L4214=""), "Gap - Missing LIA", IF(AND(G4214="Yes", H4214=""), "Gap - Missing Art. 9 Basis", IF(OR(I4214="Invalid - Not Freely Given", I4214="Invalid - Not Specific", I4214="Invalid - Not Informed", I4214="Invalid - Ambiguous"), "Gap - Invalid Consent", "Compliant")))))</f>
        <v/>
      </c>
      <c r="O4214" s="7" t="n"/>
    </row>
    <row r="4215">
      <c r="A4215" s="7" t="n"/>
      <c r="B4215" s="7" t="n"/>
      <c r="C4215" s="7" t="n"/>
      <c r="D4215" s="7" t="n"/>
      <c r="E4215" s="7" t="n"/>
      <c r="F4215" s="7" t="n"/>
      <c r="G4215" s="7" t="n"/>
      <c r="H4215" s="7" t="n"/>
      <c r="I4215" s="7" t="n"/>
      <c r="J4215" s="7" t="n"/>
      <c r="K4215">
        <f>IF(D4215="Legitimate Interest (GDPR Art. 6(1)(f))", "Yes / Required (Sheet 3)", "")</f>
        <v/>
      </c>
      <c r="L4215" s="7" t="n"/>
      <c r="M4215" s="7" t="n"/>
      <c r="N4215">
        <f>IF(D4215="", "Gap - No Legal Basis", IF(AND(D4215="Consent (GDPR Art. 6(1)(a))", I4215="Not Captured"), "Gap - Invalid Consent", IF(AND(D4215="Legitimate Interest (GDPR Art. 6(1)(f))", L4215=""), "Gap - Missing LIA", IF(AND(G4215="Yes", H4215=""), "Gap - Missing Art. 9 Basis", IF(OR(I4215="Invalid - Not Freely Given", I4215="Invalid - Not Specific", I4215="Invalid - Not Informed", I4215="Invalid - Ambiguous"), "Gap - Invalid Consent", "Compliant")))))</f>
        <v/>
      </c>
      <c r="O4215" s="7" t="n"/>
    </row>
    <row r="4216">
      <c r="A4216" s="7" t="n"/>
      <c r="B4216" s="7" t="n"/>
      <c r="C4216" s="7" t="n"/>
      <c r="D4216" s="7" t="n"/>
      <c r="E4216" s="7" t="n"/>
      <c r="F4216" s="7" t="n"/>
      <c r="G4216" s="7" t="n"/>
      <c r="H4216" s="7" t="n"/>
      <c r="I4216" s="7" t="n"/>
      <c r="J4216" s="7" t="n"/>
      <c r="K4216">
        <f>IF(D4216="Legitimate Interest (GDPR Art. 6(1)(f))", "Yes / Required (Sheet 3)", "")</f>
        <v/>
      </c>
      <c r="L4216" s="7" t="n"/>
      <c r="M4216" s="7" t="n"/>
      <c r="N4216">
        <f>IF(D4216="", "Gap - No Legal Basis", IF(AND(D4216="Consent (GDPR Art. 6(1)(a))", I4216="Not Captured"), "Gap - Invalid Consent", IF(AND(D4216="Legitimate Interest (GDPR Art. 6(1)(f))", L4216=""), "Gap - Missing LIA", IF(AND(G4216="Yes", H4216=""), "Gap - Missing Art. 9 Basis", IF(OR(I4216="Invalid - Not Freely Given", I4216="Invalid - Not Specific", I4216="Invalid - Not Informed", I4216="Invalid - Ambiguous"), "Gap - Invalid Consent", "Compliant")))))</f>
        <v/>
      </c>
      <c r="O4216" s="7" t="n"/>
    </row>
    <row r="4217">
      <c r="A4217" s="7" t="n"/>
      <c r="B4217" s="7" t="n"/>
      <c r="C4217" s="7" t="n"/>
      <c r="D4217" s="7" t="n"/>
      <c r="E4217" s="7" t="n"/>
      <c r="F4217" s="7" t="n"/>
      <c r="G4217" s="7" t="n"/>
      <c r="H4217" s="7" t="n"/>
      <c r="I4217" s="7" t="n"/>
      <c r="J4217" s="7" t="n"/>
      <c r="K4217">
        <f>IF(D4217="Legitimate Interest (GDPR Art. 6(1)(f))", "Yes / Required (Sheet 3)", "")</f>
        <v/>
      </c>
      <c r="L4217" s="7" t="n"/>
      <c r="M4217" s="7" t="n"/>
      <c r="N4217">
        <f>IF(D4217="", "Gap - No Legal Basis", IF(AND(D4217="Consent (GDPR Art. 6(1)(a))", I4217="Not Captured"), "Gap - Invalid Consent", IF(AND(D4217="Legitimate Interest (GDPR Art. 6(1)(f))", L4217=""), "Gap - Missing LIA", IF(AND(G4217="Yes", H4217=""), "Gap - Missing Art. 9 Basis", IF(OR(I4217="Invalid - Not Freely Given", I4217="Invalid - Not Specific", I4217="Invalid - Not Informed", I4217="Invalid - Ambiguous"), "Gap - Invalid Consent", "Compliant")))))</f>
        <v/>
      </c>
      <c r="O4217" s="7" t="n"/>
    </row>
    <row r="4218">
      <c r="A4218" s="7" t="n"/>
      <c r="B4218" s="7" t="n"/>
      <c r="C4218" s="7" t="n"/>
      <c r="D4218" s="7" t="n"/>
      <c r="E4218" s="7" t="n"/>
      <c r="F4218" s="7" t="n"/>
      <c r="G4218" s="7" t="n"/>
      <c r="H4218" s="7" t="n"/>
      <c r="I4218" s="7" t="n"/>
      <c r="J4218" s="7" t="n"/>
      <c r="K4218">
        <f>IF(D4218="Legitimate Interest (GDPR Art. 6(1)(f))", "Yes / Required (Sheet 3)", "")</f>
        <v/>
      </c>
      <c r="L4218" s="7" t="n"/>
      <c r="M4218" s="7" t="n"/>
      <c r="N4218">
        <f>IF(D4218="", "Gap - No Legal Basis", IF(AND(D4218="Consent (GDPR Art. 6(1)(a))", I4218="Not Captured"), "Gap - Invalid Consent", IF(AND(D4218="Legitimate Interest (GDPR Art. 6(1)(f))", L4218=""), "Gap - Missing LIA", IF(AND(G4218="Yes", H4218=""), "Gap - Missing Art. 9 Basis", IF(OR(I4218="Invalid - Not Freely Given", I4218="Invalid - Not Specific", I4218="Invalid - Not Informed", I4218="Invalid - Ambiguous"), "Gap - Invalid Consent", "Compliant")))))</f>
        <v/>
      </c>
      <c r="O4218" s="7" t="n"/>
    </row>
    <row r="4219">
      <c r="A4219" s="7" t="n"/>
      <c r="B4219" s="7" t="n"/>
      <c r="C4219" s="7" t="n"/>
      <c r="D4219" s="7" t="n"/>
      <c r="E4219" s="7" t="n"/>
      <c r="F4219" s="7" t="n"/>
      <c r="G4219" s="7" t="n"/>
      <c r="H4219" s="7" t="n"/>
      <c r="I4219" s="7" t="n"/>
      <c r="J4219" s="7" t="n"/>
      <c r="K4219">
        <f>IF(D4219="Legitimate Interest (GDPR Art. 6(1)(f))", "Yes / Required (Sheet 3)", "")</f>
        <v/>
      </c>
      <c r="L4219" s="7" t="n"/>
      <c r="M4219" s="7" t="n"/>
      <c r="N4219">
        <f>IF(D4219="", "Gap - No Legal Basis", IF(AND(D4219="Consent (GDPR Art. 6(1)(a))", I4219="Not Captured"), "Gap - Invalid Consent", IF(AND(D4219="Legitimate Interest (GDPR Art. 6(1)(f))", L4219=""), "Gap - Missing LIA", IF(AND(G4219="Yes", H4219=""), "Gap - Missing Art. 9 Basis", IF(OR(I4219="Invalid - Not Freely Given", I4219="Invalid - Not Specific", I4219="Invalid - Not Informed", I4219="Invalid - Ambiguous"), "Gap - Invalid Consent", "Compliant")))))</f>
        <v/>
      </c>
      <c r="O4219" s="7" t="n"/>
    </row>
    <row r="4220">
      <c r="A4220" s="7" t="n"/>
      <c r="B4220" s="7" t="n"/>
      <c r="C4220" s="7" t="n"/>
      <c r="D4220" s="7" t="n"/>
      <c r="E4220" s="7" t="n"/>
      <c r="F4220" s="7" t="n"/>
      <c r="G4220" s="7" t="n"/>
      <c r="H4220" s="7" t="n"/>
      <c r="I4220" s="7" t="n"/>
      <c r="J4220" s="7" t="n"/>
      <c r="K4220">
        <f>IF(D4220="Legitimate Interest (GDPR Art. 6(1)(f))", "Yes / Required (Sheet 3)", "")</f>
        <v/>
      </c>
      <c r="L4220" s="7" t="n"/>
      <c r="M4220" s="7" t="n"/>
      <c r="N4220">
        <f>IF(D4220="", "Gap - No Legal Basis", IF(AND(D4220="Consent (GDPR Art. 6(1)(a))", I4220="Not Captured"), "Gap - Invalid Consent", IF(AND(D4220="Legitimate Interest (GDPR Art. 6(1)(f))", L4220=""), "Gap - Missing LIA", IF(AND(G4220="Yes", H4220=""), "Gap - Missing Art. 9 Basis", IF(OR(I4220="Invalid - Not Freely Given", I4220="Invalid - Not Specific", I4220="Invalid - Not Informed", I4220="Invalid - Ambiguous"), "Gap - Invalid Consent", "Compliant")))))</f>
        <v/>
      </c>
      <c r="O4220" s="7" t="n"/>
    </row>
    <row r="4221">
      <c r="A4221" s="7" t="n"/>
      <c r="B4221" s="7" t="n"/>
      <c r="C4221" s="7" t="n"/>
      <c r="D4221" s="7" t="n"/>
      <c r="E4221" s="7" t="n"/>
      <c r="F4221" s="7" t="n"/>
      <c r="G4221" s="7" t="n"/>
      <c r="H4221" s="7" t="n"/>
      <c r="I4221" s="7" t="n"/>
      <c r="J4221" s="7" t="n"/>
      <c r="K4221">
        <f>IF(D4221="Legitimate Interest (GDPR Art. 6(1)(f))", "Yes / Required (Sheet 3)", "")</f>
        <v/>
      </c>
      <c r="L4221" s="7" t="n"/>
      <c r="M4221" s="7" t="n"/>
      <c r="N4221">
        <f>IF(D4221="", "Gap - No Legal Basis", IF(AND(D4221="Consent (GDPR Art. 6(1)(a))", I4221="Not Captured"), "Gap - Invalid Consent", IF(AND(D4221="Legitimate Interest (GDPR Art. 6(1)(f))", L4221=""), "Gap - Missing LIA", IF(AND(G4221="Yes", H4221=""), "Gap - Missing Art. 9 Basis", IF(OR(I4221="Invalid - Not Freely Given", I4221="Invalid - Not Specific", I4221="Invalid - Not Informed", I4221="Invalid - Ambiguous"), "Gap - Invalid Consent", "Compliant")))))</f>
        <v/>
      </c>
      <c r="O4221" s="7" t="n"/>
    </row>
    <row r="4222">
      <c r="A4222" s="7" t="n"/>
      <c r="B4222" s="7" t="n"/>
      <c r="C4222" s="7" t="n"/>
      <c r="D4222" s="7" t="n"/>
      <c r="E4222" s="7" t="n"/>
      <c r="F4222" s="7" t="n"/>
      <c r="G4222" s="7" t="n"/>
      <c r="H4222" s="7" t="n"/>
      <c r="I4222" s="7" t="n"/>
      <c r="J4222" s="7" t="n"/>
      <c r="K4222">
        <f>IF(D4222="Legitimate Interest (GDPR Art. 6(1)(f))", "Yes / Required (Sheet 3)", "")</f>
        <v/>
      </c>
      <c r="L4222" s="7" t="n"/>
      <c r="M4222" s="7" t="n"/>
      <c r="N4222">
        <f>IF(D4222="", "Gap - No Legal Basis", IF(AND(D4222="Consent (GDPR Art. 6(1)(a))", I4222="Not Captured"), "Gap - Invalid Consent", IF(AND(D4222="Legitimate Interest (GDPR Art. 6(1)(f))", L4222=""), "Gap - Missing LIA", IF(AND(G4222="Yes", H4222=""), "Gap - Missing Art. 9 Basis", IF(OR(I4222="Invalid - Not Freely Given", I4222="Invalid - Not Specific", I4222="Invalid - Not Informed", I4222="Invalid - Ambiguous"), "Gap - Invalid Consent", "Compliant")))))</f>
        <v/>
      </c>
      <c r="O4222" s="7" t="n"/>
    </row>
    <row r="4223">
      <c r="A4223" s="7" t="n"/>
      <c r="B4223" s="7" t="n"/>
      <c r="C4223" s="7" t="n"/>
      <c r="D4223" s="7" t="n"/>
      <c r="E4223" s="7" t="n"/>
      <c r="F4223" s="7" t="n"/>
      <c r="G4223" s="7" t="n"/>
      <c r="H4223" s="7" t="n"/>
      <c r="I4223" s="7" t="n"/>
      <c r="J4223" s="7" t="n"/>
      <c r="K4223">
        <f>IF(D4223="Legitimate Interest (GDPR Art. 6(1)(f))", "Yes / Required (Sheet 3)", "")</f>
        <v/>
      </c>
      <c r="L4223" s="7" t="n"/>
      <c r="M4223" s="7" t="n"/>
      <c r="N4223">
        <f>IF(D4223="", "Gap - No Legal Basis", IF(AND(D4223="Consent (GDPR Art. 6(1)(a))", I4223="Not Captured"), "Gap - Invalid Consent", IF(AND(D4223="Legitimate Interest (GDPR Art. 6(1)(f))", L4223=""), "Gap - Missing LIA", IF(AND(G4223="Yes", H4223=""), "Gap - Missing Art. 9 Basis", IF(OR(I4223="Invalid - Not Freely Given", I4223="Invalid - Not Specific", I4223="Invalid - Not Informed", I4223="Invalid - Ambiguous"), "Gap - Invalid Consent", "Compliant")))))</f>
        <v/>
      </c>
      <c r="O4223" s="7" t="n"/>
    </row>
    <row r="4224">
      <c r="A4224" s="7" t="n"/>
      <c r="B4224" s="7" t="n"/>
      <c r="C4224" s="7" t="n"/>
      <c r="D4224" s="7" t="n"/>
      <c r="E4224" s="7" t="n"/>
      <c r="F4224" s="7" t="n"/>
      <c r="G4224" s="7" t="n"/>
      <c r="H4224" s="7" t="n"/>
      <c r="I4224" s="7" t="n"/>
      <c r="J4224" s="7" t="n"/>
      <c r="K4224">
        <f>IF(D4224="Legitimate Interest (GDPR Art. 6(1)(f))", "Yes / Required (Sheet 3)", "")</f>
        <v/>
      </c>
      <c r="L4224" s="7" t="n"/>
      <c r="M4224" s="7" t="n"/>
      <c r="N4224">
        <f>IF(D4224="", "Gap - No Legal Basis", IF(AND(D4224="Consent (GDPR Art. 6(1)(a))", I4224="Not Captured"), "Gap - Invalid Consent", IF(AND(D4224="Legitimate Interest (GDPR Art. 6(1)(f))", L4224=""), "Gap - Missing LIA", IF(AND(G4224="Yes", H4224=""), "Gap - Missing Art. 9 Basis", IF(OR(I4224="Invalid - Not Freely Given", I4224="Invalid - Not Specific", I4224="Invalid - Not Informed", I4224="Invalid - Ambiguous"), "Gap - Invalid Consent", "Compliant")))))</f>
        <v/>
      </c>
      <c r="O4224" s="7" t="n"/>
    </row>
    <row r="4225">
      <c r="A4225" s="7" t="n"/>
      <c r="B4225" s="7" t="n"/>
      <c r="C4225" s="7" t="n"/>
      <c r="D4225" s="7" t="n"/>
      <c r="E4225" s="7" t="n"/>
      <c r="F4225" s="7" t="n"/>
      <c r="G4225" s="7" t="n"/>
      <c r="H4225" s="7" t="n"/>
      <c r="I4225" s="7" t="n"/>
      <c r="J4225" s="7" t="n"/>
      <c r="K4225">
        <f>IF(D4225="Legitimate Interest (GDPR Art. 6(1)(f))", "Yes / Required (Sheet 3)", "")</f>
        <v/>
      </c>
      <c r="L4225" s="7" t="n"/>
      <c r="M4225" s="7" t="n"/>
      <c r="N4225">
        <f>IF(D4225="", "Gap - No Legal Basis", IF(AND(D4225="Consent (GDPR Art. 6(1)(a))", I4225="Not Captured"), "Gap - Invalid Consent", IF(AND(D4225="Legitimate Interest (GDPR Art. 6(1)(f))", L4225=""), "Gap - Missing LIA", IF(AND(G4225="Yes", H4225=""), "Gap - Missing Art. 9 Basis", IF(OR(I4225="Invalid - Not Freely Given", I4225="Invalid - Not Specific", I4225="Invalid - Not Informed", I4225="Invalid - Ambiguous"), "Gap - Invalid Consent", "Compliant")))))</f>
        <v/>
      </c>
      <c r="O4225" s="7" t="n"/>
    </row>
    <row r="4226">
      <c r="A4226" s="7" t="n"/>
      <c r="B4226" s="7" t="n"/>
      <c r="C4226" s="7" t="n"/>
      <c r="D4226" s="7" t="n"/>
      <c r="E4226" s="7" t="n"/>
      <c r="F4226" s="7" t="n"/>
      <c r="G4226" s="7" t="n"/>
      <c r="H4226" s="7" t="n"/>
      <c r="I4226" s="7" t="n"/>
      <c r="J4226" s="7" t="n"/>
      <c r="K4226">
        <f>IF(D4226="Legitimate Interest (GDPR Art. 6(1)(f))", "Yes / Required (Sheet 3)", "")</f>
        <v/>
      </c>
      <c r="L4226" s="7" t="n"/>
      <c r="M4226" s="7" t="n"/>
      <c r="N4226">
        <f>IF(D4226="", "Gap - No Legal Basis", IF(AND(D4226="Consent (GDPR Art. 6(1)(a))", I4226="Not Captured"), "Gap - Invalid Consent", IF(AND(D4226="Legitimate Interest (GDPR Art. 6(1)(f))", L4226=""), "Gap - Missing LIA", IF(AND(G4226="Yes", H4226=""), "Gap - Missing Art. 9 Basis", IF(OR(I4226="Invalid - Not Freely Given", I4226="Invalid - Not Specific", I4226="Invalid - Not Informed", I4226="Invalid - Ambiguous"), "Gap - Invalid Consent", "Compliant")))))</f>
        <v/>
      </c>
      <c r="O4226" s="7" t="n"/>
    </row>
    <row r="4227">
      <c r="A4227" s="7" t="n"/>
      <c r="B4227" s="7" t="n"/>
      <c r="C4227" s="7" t="n"/>
      <c r="D4227" s="7" t="n"/>
      <c r="E4227" s="7" t="n"/>
      <c r="F4227" s="7" t="n"/>
      <c r="G4227" s="7" t="n"/>
      <c r="H4227" s="7" t="n"/>
      <c r="I4227" s="7" t="n"/>
      <c r="J4227" s="7" t="n"/>
      <c r="K4227">
        <f>IF(D4227="Legitimate Interest (GDPR Art. 6(1)(f))", "Yes / Required (Sheet 3)", "")</f>
        <v/>
      </c>
      <c r="L4227" s="7" t="n"/>
      <c r="M4227" s="7" t="n"/>
      <c r="N4227">
        <f>IF(D4227="", "Gap - No Legal Basis", IF(AND(D4227="Consent (GDPR Art. 6(1)(a))", I4227="Not Captured"), "Gap - Invalid Consent", IF(AND(D4227="Legitimate Interest (GDPR Art. 6(1)(f))", L4227=""), "Gap - Missing LIA", IF(AND(G4227="Yes", H4227=""), "Gap - Missing Art. 9 Basis", IF(OR(I4227="Invalid - Not Freely Given", I4227="Invalid - Not Specific", I4227="Invalid - Not Informed", I4227="Invalid - Ambiguous"), "Gap - Invalid Consent", "Compliant")))))</f>
        <v/>
      </c>
      <c r="O4227" s="7" t="n"/>
    </row>
    <row r="4228">
      <c r="A4228" s="7" t="n"/>
      <c r="B4228" s="7" t="n"/>
      <c r="C4228" s="7" t="n"/>
      <c r="D4228" s="7" t="n"/>
      <c r="E4228" s="7" t="n"/>
      <c r="F4228" s="7" t="n"/>
      <c r="G4228" s="7" t="n"/>
      <c r="H4228" s="7" t="n"/>
      <c r="I4228" s="7" t="n"/>
      <c r="J4228" s="7" t="n"/>
      <c r="K4228">
        <f>IF(D4228="Legitimate Interest (GDPR Art. 6(1)(f))", "Yes / Required (Sheet 3)", "")</f>
        <v/>
      </c>
      <c r="L4228" s="7" t="n"/>
      <c r="M4228" s="7" t="n"/>
      <c r="N4228">
        <f>IF(D4228="", "Gap - No Legal Basis", IF(AND(D4228="Consent (GDPR Art. 6(1)(a))", I4228="Not Captured"), "Gap - Invalid Consent", IF(AND(D4228="Legitimate Interest (GDPR Art. 6(1)(f))", L4228=""), "Gap - Missing LIA", IF(AND(G4228="Yes", H4228=""), "Gap - Missing Art. 9 Basis", IF(OR(I4228="Invalid - Not Freely Given", I4228="Invalid - Not Specific", I4228="Invalid - Not Informed", I4228="Invalid - Ambiguous"), "Gap - Invalid Consent", "Compliant")))))</f>
        <v/>
      </c>
      <c r="O4228" s="7" t="n"/>
    </row>
    <row r="4229">
      <c r="A4229" s="7" t="n"/>
      <c r="B4229" s="7" t="n"/>
      <c r="C4229" s="7" t="n"/>
      <c r="D4229" s="7" t="n"/>
      <c r="E4229" s="7" t="n"/>
      <c r="F4229" s="7" t="n"/>
      <c r="G4229" s="7" t="n"/>
      <c r="H4229" s="7" t="n"/>
      <c r="I4229" s="7" t="n"/>
      <c r="J4229" s="7" t="n"/>
      <c r="K4229">
        <f>IF(D4229="Legitimate Interest (GDPR Art. 6(1)(f))", "Yes / Required (Sheet 3)", "")</f>
        <v/>
      </c>
      <c r="L4229" s="7" t="n"/>
      <c r="M4229" s="7" t="n"/>
      <c r="N4229">
        <f>IF(D4229="", "Gap - No Legal Basis", IF(AND(D4229="Consent (GDPR Art. 6(1)(a))", I4229="Not Captured"), "Gap - Invalid Consent", IF(AND(D4229="Legitimate Interest (GDPR Art. 6(1)(f))", L4229=""), "Gap - Missing LIA", IF(AND(G4229="Yes", H4229=""), "Gap - Missing Art. 9 Basis", IF(OR(I4229="Invalid - Not Freely Given", I4229="Invalid - Not Specific", I4229="Invalid - Not Informed", I4229="Invalid - Ambiguous"), "Gap - Invalid Consent", "Compliant")))))</f>
        <v/>
      </c>
      <c r="O4229" s="7" t="n"/>
    </row>
    <row r="4230">
      <c r="A4230" s="7" t="n"/>
      <c r="B4230" s="7" t="n"/>
      <c r="C4230" s="7" t="n"/>
      <c r="D4230" s="7" t="n"/>
      <c r="E4230" s="7" t="n"/>
      <c r="F4230" s="7" t="n"/>
      <c r="G4230" s="7" t="n"/>
      <c r="H4230" s="7" t="n"/>
      <c r="I4230" s="7" t="n"/>
      <c r="J4230" s="7" t="n"/>
      <c r="K4230">
        <f>IF(D4230="Legitimate Interest (GDPR Art. 6(1)(f))", "Yes / Required (Sheet 3)", "")</f>
        <v/>
      </c>
      <c r="L4230" s="7" t="n"/>
      <c r="M4230" s="7" t="n"/>
      <c r="N4230">
        <f>IF(D4230="", "Gap - No Legal Basis", IF(AND(D4230="Consent (GDPR Art. 6(1)(a))", I4230="Not Captured"), "Gap - Invalid Consent", IF(AND(D4230="Legitimate Interest (GDPR Art. 6(1)(f))", L4230=""), "Gap - Missing LIA", IF(AND(G4230="Yes", H4230=""), "Gap - Missing Art. 9 Basis", IF(OR(I4230="Invalid - Not Freely Given", I4230="Invalid - Not Specific", I4230="Invalid - Not Informed", I4230="Invalid - Ambiguous"), "Gap - Invalid Consent", "Compliant")))))</f>
        <v/>
      </c>
      <c r="O4230" s="7" t="n"/>
    </row>
    <row r="4231">
      <c r="A4231" s="7" t="n"/>
      <c r="B4231" s="7" t="n"/>
      <c r="C4231" s="7" t="n"/>
      <c r="D4231" s="7" t="n"/>
      <c r="E4231" s="7" t="n"/>
      <c r="F4231" s="7" t="n"/>
      <c r="G4231" s="7" t="n"/>
      <c r="H4231" s="7" t="n"/>
      <c r="I4231" s="7" t="n"/>
      <c r="J4231" s="7" t="n"/>
      <c r="K4231">
        <f>IF(D4231="Legitimate Interest (GDPR Art. 6(1)(f))", "Yes / Required (Sheet 3)", "")</f>
        <v/>
      </c>
      <c r="L4231" s="7" t="n"/>
      <c r="M4231" s="7" t="n"/>
      <c r="N4231">
        <f>IF(D4231="", "Gap - No Legal Basis", IF(AND(D4231="Consent (GDPR Art. 6(1)(a))", I4231="Not Captured"), "Gap - Invalid Consent", IF(AND(D4231="Legitimate Interest (GDPR Art. 6(1)(f))", L4231=""), "Gap - Missing LIA", IF(AND(G4231="Yes", H4231=""), "Gap - Missing Art. 9 Basis", IF(OR(I4231="Invalid - Not Freely Given", I4231="Invalid - Not Specific", I4231="Invalid - Not Informed", I4231="Invalid - Ambiguous"), "Gap - Invalid Consent", "Compliant")))))</f>
        <v/>
      </c>
      <c r="O4231" s="7" t="n"/>
    </row>
    <row r="4232">
      <c r="A4232" s="7" t="n"/>
      <c r="B4232" s="7" t="n"/>
      <c r="C4232" s="7" t="n"/>
      <c r="D4232" s="7" t="n"/>
      <c r="E4232" s="7" t="n"/>
      <c r="F4232" s="7" t="n"/>
      <c r="G4232" s="7" t="n"/>
      <c r="H4232" s="7" t="n"/>
      <c r="I4232" s="7" t="n"/>
      <c r="J4232" s="7" t="n"/>
      <c r="K4232">
        <f>IF(D4232="Legitimate Interest (GDPR Art. 6(1)(f))", "Yes / Required (Sheet 3)", "")</f>
        <v/>
      </c>
      <c r="L4232" s="7" t="n"/>
      <c r="M4232" s="7" t="n"/>
      <c r="N4232">
        <f>IF(D4232="", "Gap - No Legal Basis", IF(AND(D4232="Consent (GDPR Art. 6(1)(a))", I4232="Not Captured"), "Gap - Invalid Consent", IF(AND(D4232="Legitimate Interest (GDPR Art. 6(1)(f))", L4232=""), "Gap - Missing LIA", IF(AND(G4232="Yes", H4232=""), "Gap - Missing Art. 9 Basis", IF(OR(I4232="Invalid - Not Freely Given", I4232="Invalid - Not Specific", I4232="Invalid - Not Informed", I4232="Invalid - Ambiguous"), "Gap - Invalid Consent", "Compliant")))))</f>
        <v/>
      </c>
      <c r="O4232" s="7" t="n"/>
    </row>
    <row r="4233">
      <c r="A4233" s="7" t="n"/>
      <c r="B4233" s="7" t="n"/>
      <c r="C4233" s="7" t="n"/>
      <c r="D4233" s="7" t="n"/>
      <c r="E4233" s="7" t="n"/>
      <c r="F4233" s="7" t="n"/>
      <c r="G4233" s="7" t="n"/>
      <c r="H4233" s="7" t="n"/>
      <c r="I4233" s="7" t="n"/>
      <c r="J4233" s="7" t="n"/>
      <c r="K4233">
        <f>IF(D4233="Legitimate Interest (GDPR Art. 6(1)(f))", "Yes / Required (Sheet 3)", "")</f>
        <v/>
      </c>
      <c r="L4233" s="7" t="n"/>
      <c r="M4233" s="7" t="n"/>
      <c r="N4233">
        <f>IF(D4233="", "Gap - No Legal Basis", IF(AND(D4233="Consent (GDPR Art. 6(1)(a))", I4233="Not Captured"), "Gap - Invalid Consent", IF(AND(D4233="Legitimate Interest (GDPR Art. 6(1)(f))", L4233=""), "Gap - Missing LIA", IF(AND(G4233="Yes", H4233=""), "Gap - Missing Art. 9 Basis", IF(OR(I4233="Invalid - Not Freely Given", I4233="Invalid - Not Specific", I4233="Invalid - Not Informed", I4233="Invalid - Ambiguous"), "Gap - Invalid Consent", "Compliant")))))</f>
        <v/>
      </c>
      <c r="O4233" s="7" t="n"/>
    </row>
    <row r="4234">
      <c r="A4234" s="7" t="n"/>
      <c r="B4234" s="7" t="n"/>
      <c r="C4234" s="7" t="n"/>
      <c r="D4234" s="7" t="n"/>
      <c r="E4234" s="7" t="n"/>
      <c r="F4234" s="7" t="n"/>
      <c r="G4234" s="7" t="n"/>
      <c r="H4234" s="7" t="n"/>
      <c r="I4234" s="7" t="n"/>
      <c r="J4234" s="7" t="n"/>
      <c r="K4234">
        <f>IF(D4234="Legitimate Interest (GDPR Art. 6(1)(f))", "Yes / Required (Sheet 3)", "")</f>
        <v/>
      </c>
      <c r="L4234" s="7" t="n"/>
      <c r="M4234" s="7" t="n"/>
      <c r="N4234">
        <f>IF(D4234="", "Gap - No Legal Basis", IF(AND(D4234="Consent (GDPR Art. 6(1)(a))", I4234="Not Captured"), "Gap - Invalid Consent", IF(AND(D4234="Legitimate Interest (GDPR Art. 6(1)(f))", L4234=""), "Gap - Missing LIA", IF(AND(G4234="Yes", H4234=""), "Gap - Missing Art. 9 Basis", IF(OR(I4234="Invalid - Not Freely Given", I4234="Invalid - Not Specific", I4234="Invalid - Not Informed", I4234="Invalid - Ambiguous"), "Gap - Invalid Consent", "Compliant")))))</f>
        <v/>
      </c>
      <c r="O4234" s="7" t="n"/>
    </row>
    <row r="4235">
      <c r="A4235" s="7" t="n"/>
      <c r="B4235" s="7" t="n"/>
      <c r="C4235" s="7" t="n"/>
      <c r="D4235" s="7" t="n"/>
      <c r="E4235" s="7" t="n"/>
      <c r="F4235" s="7" t="n"/>
      <c r="G4235" s="7" t="n"/>
      <c r="H4235" s="7" t="n"/>
      <c r="I4235" s="7" t="n"/>
      <c r="J4235" s="7" t="n"/>
      <c r="K4235">
        <f>IF(D4235="Legitimate Interest (GDPR Art. 6(1)(f))", "Yes / Required (Sheet 3)", "")</f>
        <v/>
      </c>
      <c r="L4235" s="7" t="n"/>
      <c r="M4235" s="7" t="n"/>
      <c r="N4235">
        <f>IF(D4235="", "Gap - No Legal Basis", IF(AND(D4235="Consent (GDPR Art. 6(1)(a))", I4235="Not Captured"), "Gap - Invalid Consent", IF(AND(D4235="Legitimate Interest (GDPR Art. 6(1)(f))", L4235=""), "Gap - Missing LIA", IF(AND(G4235="Yes", H4235=""), "Gap - Missing Art. 9 Basis", IF(OR(I4235="Invalid - Not Freely Given", I4235="Invalid - Not Specific", I4235="Invalid - Not Informed", I4235="Invalid - Ambiguous"), "Gap - Invalid Consent", "Compliant")))))</f>
        <v/>
      </c>
      <c r="O4235" s="7" t="n"/>
    </row>
    <row r="4236">
      <c r="A4236" s="7" t="n"/>
      <c r="B4236" s="7" t="n"/>
      <c r="C4236" s="7" t="n"/>
      <c r="D4236" s="7" t="n"/>
      <c r="E4236" s="7" t="n"/>
      <c r="F4236" s="7" t="n"/>
      <c r="G4236" s="7" t="n"/>
      <c r="H4236" s="7" t="n"/>
      <c r="I4236" s="7" t="n"/>
      <c r="J4236" s="7" t="n"/>
      <c r="K4236">
        <f>IF(D4236="Legitimate Interest (GDPR Art. 6(1)(f))", "Yes / Required (Sheet 3)", "")</f>
        <v/>
      </c>
      <c r="L4236" s="7" t="n"/>
      <c r="M4236" s="7" t="n"/>
      <c r="N4236">
        <f>IF(D4236="", "Gap - No Legal Basis", IF(AND(D4236="Consent (GDPR Art. 6(1)(a))", I4236="Not Captured"), "Gap - Invalid Consent", IF(AND(D4236="Legitimate Interest (GDPR Art. 6(1)(f))", L4236=""), "Gap - Missing LIA", IF(AND(G4236="Yes", H4236=""), "Gap - Missing Art. 9 Basis", IF(OR(I4236="Invalid - Not Freely Given", I4236="Invalid - Not Specific", I4236="Invalid - Not Informed", I4236="Invalid - Ambiguous"), "Gap - Invalid Consent", "Compliant")))))</f>
        <v/>
      </c>
      <c r="O4236" s="7" t="n"/>
    </row>
    <row r="4237">
      <c r="A4237" s="7" t="n"/>
      <c r="B4237" s="7" t="n"/>
      <c r="C4237" s="7" t="n"/>
      <c r="D4237" s="7" t="n"/>
      <c r="E4237" s="7" t="n"/>
      <c r="F4237" s="7" t="n"/>
      <c r="G4237" s="7" t="n"/>
      <c r="H4237" s="7" t="n"/>
      <c r="I4237" s="7" t="n"/>
      <c r="J4237" s="7" t="n"/>
      <c r="K4237">
        <f>IF(D4237="Legitimate Interest (GDPR Art. 6(1)(f))", "Yes / Required (Sheet 3)", "")</f>
        <v/>
      </c>
      <c r="L4237" s="7" t="n"/>
      <c r="M4237" s="7" t="n"/>
      <c r="N4237">
        <f>IF(D4237="", "Gap - No Legal Basis", IF(AND(D4237="Consent (GDPR Art. 6(1)(a))", I4237="Not Captured"), "Gap - Invalid Consent", IF(AND(D4237="Legitimate Interest (GDPR Art. 6(1)(f))", L4237=""), "Gap - Missing LIA", IF(AND(G4237="Yes", H4237=""), "Gap - Missing Art. 9 Basis", IF(OR(I4237="Invalid - Not Freely Given", I4237="Invalid - Not Specific", I4237="Invalid - Not Informed", I4237="Invalid - Ambiguous"), "Gap - Invalid Consent", "Compliant")))))</f>
        <v/>
      </c>
      <c r="O4237" s="7" t="n"/>
    </row>
    <row r="4238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7" t="n"/>
      <c r="J4238" s="7" t="n"/>
      <c r="K4238">
        <f>IF(D4238="Legitimate Interest (GDPR Art. 6(1)(f))", "Yes / Required (Sheet 3)", "")</f>
        <v/>
      </c>
      <c r="L4238" s="7" t="n"/>
      <c r="M4238" s="7" t="n"/>
      <c r="N4238">
        <f>IF(D4238="", "Gap - No Legal Basis", IF(AND(D4238="Consent (GDPR Art. 6(1)(a))", I4238="Not Captured"), "Gap - Invalid Consent", IF(AND(D4238="Legitimate Interest (GDPR Art. 6(1)(f))", L4238=""), "Gap - Missing LIA", IF(AND(G4238="Yes", H4238=""), "Gap - Missing Art. 9 Basis", IF(OR(I4238="Invalid - Not Freely Given", I4238="Invalid - Not Specific", I4238="Invalid - Not Informed", I4238="Invalid - Ambiguous"), "Gap - Invalid Consent", "Compliant")))))</f>
        <v/>
      </c>
      <c r="O4238" s="7" t="n"/>
    </row>
    <row r="4239">
      <c r="A4239" s="7" t="n"/>
      <c r="B4239" s="7" t="n"/>
      <c r="C4239" s="7" t="n"/>
      <c r="D4239" s="7" t="n"/>
      <c r="E4239" s="7" t="n"/>
      <c r="F4239" s="7" t="n"/>
      <c r="G4239" s="7" t="n"/>
      <c r="H4239" s="7" t="n"/>
      <c r="I4239" s="7" t="n"/>
      <c r="J4239" s="7" t="n"/>
      <c r="K4239">
        <f>IF(D4239="Legitimate Interest (GDPR Art. 6(1)(f))", "Yes / Required (Sheet 3)", "")</f>
        <v/>
      </c>
      <c r="L4239" s="7" t="n"/>
      <c r="M4239" s="7" t="n"/>
      <c r="N4239">
        <f>IF(D4239="", "Gap - No Legal Basis", IF(AND(D4239="Consent (GDPR Art. 6(1)(a))", I4239="Not Captured"), "Gap - Invalid Consent", IF(AND(D4239="Legitimate Interest (GDPR Art. 6(1)(f))", L4239=""), "Gap - Missing LIA", IF(AND(G4239="Yes", H4239=""), "Gap - Missing Art. 9 Basis", IF(OR(I4239="Invalid - Not Freely Given", I4239="Invalid - Not Specific", I4239="Invalid - Not Informed", I4239="Invalid - Ambiguous"), "Gap - Invalid Consent", "Compliant")))))</f>
        <v/>
      </c>
      <c r="O4239" s="7" t="n"/>
    </row>
    <row r="4240">
      <c r="A4240" s="7" t="n"/>
      <c r="B4240" s="7" t="n"/>
      <c r="C4240" s="7" t="n"/>
      <c r="D4240" s="7" t="n"/>
      <c r="E4240" s="7" t="n"/>
      <c r="F4240" s="7" t="n"/>
      <c r="G4240" s="7" t="n"/>
      <c r="H4240" s="7" t="n"/>
      <c r="I4240" s="7" t="n"/>
      <c r="J4240" s="7" t="n"/>
      <c r="K4240">
        <f>IF(D4240="Legitimate Interest (GDPR Art. 6(1)(f))", "Yes / Required (Sheet 3)", "")</f>
        <v/>
      </c>
      <c r="L4240" s="7" t="n"/>
      <c r="M4240" s="7" t="n"/>
      <c r="N4240">
        <f>IF(D4240="", "Gap - No Legal Basis", IF(AND(D4240="Consent (GDPR Art. 6(1)(a))", I4240="Not Captured"), "Gap - Invalid Consent", IF(AND(D4240="Legitimate Interest (GDPR Art. 6(1)(f))", L4240=""), "Gap - Missing LIA", IF(AND(G4240="Yes", H4240=""), "Gap - Missing Art. 9 Basis", IF(OR(I4240="Invalid - Not Freely Given", I4240="Invalid - Not Specific", I4240="Invalid - Not Informed", I4240="Invalid - Ambiguous"), "Gap - Invalid Consent", "Compliant")))))</f>
        <v/>
      </c>
      <c r="O4240" s="7" t="n"/>
    </row>
    <row r="4241">
      <c r="A4241" s="7" t="n"/>
      <c r="B4241" s="7" t="n"/>
      <c r="C4241" s="7" t="n"/>
      <c r="D4241" s="7" t="n"/>
      <c r="E4241" s="7" t="n"/>
      <c r="F4241" s="7" t="n"/>
      <c r="G4241" s="7" t="n"/>
      <c r="H4241" s="7" t="n"/>
      <c r="I4241" s="7" t="n"/>
      <c r="J4241" s="7" t="n"/>
      <c r="K4241">
        <f>IF(D4241="Legitimate Interest (GDPR Art. 6(1)(f))", "Yes / Required (Sheet 3)", "")</f>
        <v/>
      </c>
      <c r="L4241" s="7" t="n"/>
      <c r="M4241" s="7" t="n"/>
      <c r="N4241">
        <f>IF(D4241="", "Gap - No Legal Basis", IF(AND(D4241="Consent (GDPR Art. 6(1)(a))", I4241="Not Captured"), "Gap - Invalid Consent", IF(AND(D4241="Legitimate Interest (GDPR Art. 6(1)(f))", L4241=""), "Gap - Missing LIA", IF(AND(G4241="Yes", H4241=""), "Gap - Missing Art. 9 Basis", IF(OR(I4241="Invalid - Not Freely Given", I4241="Invalid - Not Specific", I4241="Invalid - Not Informed", I4241="Invalid - Ambiguous"), "Gap - Invalid Consent", "Compliant")))))</f>
        <v/>
      </c>
      <c r="O4241" s="7" t="n"/>
    </row>
    <row r="4242">
      <c r="A4242" s="7" t="n"/>
      <c r="B4242" s="7" t="n"/>
      <c r="C4242" s="7" t="n"/>
      <c r="D4242" s="7" t="n"/>
      <c r="E4242" s="7" t="n"/>
      <c r="F4242" s="7" t="n"/>
      <c r="G4242" s="7" t="n"/>
      <c r="H4242" s="7" t="n"/>
      <c r="I4242" s="7" t="n"/>
      <c r="J4242" s="7" t="n"/>
      <c r="K4242">
        <f>IF(D4242="Legitimate Interest (GDPR Art. 6(1)(f))", "Yes / Required (Sheet 3)", "")</f>
        <v/>
      </c>
      <c r="L4242" s="7" t="n"/>
      <c r="M4242" s="7" t="n"/>
      <c r="N4242">
        <f>IF(D4242="", "Gap - No Legal Basis", IF(AND(D4242="Consent (GDPR Art. 6(1)(a))", I4242="Not Captured"), "Gap - Invalid Consent", IF(AND(D4242="Legitimate Interest (GDPR Art. 6(1)(f))", L4242=""), "Gap - Missing LIA", IF(AND(G4242="Yes", H4242=""), "Gap - Missing Art. 9 Basis", IF(OR(I4242="Invalid - Not Freely Given", I4242="Invalid - Not Specific", I4242="Invalid - Not Informed", I4242="Invalid - Ambiguous"), "Gap - Invalid Consent", "Compliant")))))</f>
        <v/>
      </c>
      <c r="O4242" s="7" t="n"/>
    </row>
    <row r="4243">
      <c r="A4243" s="7" t="n"/>
      <c r="B4243" s="7" t="n"/>
      <c r="C4243" s="7" t="n"/>
      <c r="D4243" s="7" t="n"/>
      <c r="E4243" s="7" t="n"/>
      <c r="F4243" s="7" t="n"/>
      <c r="G4243" s="7" t="n"/>
      <c r="H4243" s="7" t="n"/>
      <c r="I4243" s="7" t="n"/>
      <c r="J4243" s="7" t="n"/>
      <c r="K4243">
        <f>IF(D4243="Legitimate Interest (GDPR Art. 6(1)(f))", "Yes / Required (Sheet 3)", "")</f>
        <v/>
      </c>
      <c r="L4243" s="7" t="n"/>
      <c r="M4243" s="7" t="n"/>
      <c r="N4243">
        <f>IF(D4243="", "Gap - No Legal Basis", IF(AND(D4243="Consent (GDPR Art. 6(1)(a))", I4243="Not Captured"), "Gap - Invalid Consent", IF(AND(D4243="Legitimate Interest (GDPR Art. 6(1)(f))", L4243=""), "Gap - Missing LIA", IF(AND(G4243="Yes", H4243=""), "Gap - Missing Art. 9 Basis", IF(OR(I4243="Invalid - Not Freely Given", I4243="Invalid - Not Specific", I4243="Invalid - Not Informed", I4243="Invalid - Ambiguous"), "Gap - Invalid Consent", "Compliant")))))</f>
        <v/>
      </c>
      <c r="O4243" s="7" t="n"/>
    </row>
    <row r="4244">
      <c r="A4244" s="7" t="n"/>
      <c r="B4244" s="7" t="n"/>
      <c r="C4244" s="7" t="n"/>
      <c r="D4244" s="7" t="n"/>
      <c r="E4244" s="7" t="n"/>
      <c r="F4244" s="7" t="n"/>
      <c r="G4244" s="7" t="n"/>
      <c r="H4244" s="7" t="n"/>
      <c r="I4244" s="7" t="n"/>
      <c r="J4244" s="7" t="n"/>
      <c r="K4244">
        <f>IF(D4244="Legitimate Interest (GDPR Art. 6(1)(f))", "Yes / Required (Sheet 3)", "")</f>
        <v/>
      </c>
      <c r="L4244" s="7" t="n"/>
      <c r="M4244" s="7" t="n"/>
      <c r="N4244">
        <f>IF(D4244="", "Gap - No Legal Basis", IF(AND(D4244="Consent (GDPR Art. 6(1)(a))", I4244="Not Captured"), "Gap - Invalid Consent", IF(AND(D4244="Legitimate Interest (GDPR Art. 6(1)(f))", L4244=""), "Gap - Missing LIA", IF(AND(G4244="Yes", H4244=""), "Gap - Missing Art. 9 Basis", IF(OR(I4244="Invalid - Not Freely Given", I4244="Invalid - Not Specific", I4244="Invalid - Not Informed", I4244="Invalid - Ambiguous"), "Gap - Invalid Consent", "Compliant")))))</f>
        <v/>
      </c>
      <c r="O4244" s="7" t="n"/>
    </row>
    <row r="4245">
      <c r="A4245" s="7" t="n"/>
      <c r="B4245" s="7" t="n"/>
      <c r="C4245" s="7" t="n"/>
      <c r="D4245" s="7" t="n"/>
      <c r="E4245" s="7" t="n"/>
      <c r="F4245" s="7" t="n"/>
      <c r="G4245" s="7" t="n"/>
      <c r="H4245" s="7" t="n"/>
      <c r="I4245" s="7" t="n"/>
      <c r="J4245" s="7" t="n"/>
      <c r="K4245">
        <f>IF(D4245="Legitimate Interest (GDPR Art. 6(1)(f))", "Yes / Required (Sheet 3)", "")</f>
        <v/>
      </c>
      <c r="L4245" s="7" t="n"/>
      <c r="M4245" s="7" t="n"/>
      <c r="N4245">
        <f>IF(D4245="", "Gap - No Legal Basis", IF(AND(D4245="Consent (GDPR Art. 6(1)(a))", I4245="Not Captured"), "Gap - Invalid Consent", IF(AND(D4245="Legitimate Interest (GDPR Art. 6(1)(f))", L4245=""), "Gap - Missing LIA", IF(AND(G4245="Yes", H4245=""), "Gap - Missing Art. 9 Basis", IF(OR(I4245="Invalid - Not Freely Given", I4245="Invalid - Not Specific", I4245="Invalid - Not Informed", I4245="Invalid - Ambiguous"), "Gap - Invalid Consent", "Compliant")))))</f>
        <v/>
      </c>
      <c r="O4245" s="7" t="n"/>
    </row>
    <row r="4246">
      <c r="A4246" s="7" t="n"/>
      <c r="B4246" s="7" t="n"/>
      <c r="C4246" s="7" t="n"/>
      <c r="D4246" s="7" t="n"/>
      <c r="E4246" s="7" t="n"/>
      <c r="F4246" s="7" t="n"/>
      <c r="G4246" s="7" t="n"/>
      <c r="H4246" s="7" t="n"/>
      <c r="I4246" s="7" t="n"/>
      <c r="J4246" s="7" t="n"/>
      <c r="K4246">
        <f>IF(D4246="Legitimate Interest (GDPR Art. 6(1)(f))", "Yes / Required (Sheet 3)", "")</f>
        <v/>
      </c>
      <c r="L4246" s="7" t="n"/>
      <c r="M4246" s="7" t="n"/>
      <c r="N4246">
        <f>IF(D4246="", "Gap - No Legal Basis", IF(AND(D4246="Consent (GDPR Art. 6(1)(a))", I4246="Not Captured"), "Gap - Invalid Consent", IF(AND(D4246="Legitimate Interest (GDPR Art. 6(1)(f))", L4246=""), "Gap - Missing LIA", IF(AND(G4246="Yes", H4246=""), "Gap - Missing Art. 9 Basis", IF(OR(I4246="Invalid - Not Freely Given", I4246="Invalid - Not Specific", I4246="Invalid - Not Informed", I4246="Invalid - Ambiguous"), "Gap - Invalid Consent", "Compliant")))))</f>
        <v/>
      </c>
      <c r="O4246" s="7" t="n"/>
    </row>
    <row r="4247">
      <c r="A4247" s="7" t="n"/>
      <c r="B4247" s="7" t="n"/>
      <c r="C4247" s="7" t="n"/>
      <c r="D4247" s="7" t="n"/>
      <c r="E4247" s="7" t="n"/>
      <c r="F4247" s="7" t="n"/>
      <c r="G4247" s="7" t="n"/>
      <c r="H4247" s="7" t="n"/>
      <c r="I4247" s="7" t="n"/>
      <c r="J4247" s="7" t="n"/>
      <c r="K4247">
        <f>IF(D4247="Legitimate Interest (GDPR Art. 6(1)(f))", "Yes / Required (Sheet 3)", "")</f>
        <v/>
      </c>
      <c r="L4247" s="7" t="n"/>
      <c r="M4247" s="7" t="n"/>
      <c r="N4247">
        <f>IF(D4247="", "Gap - No Legal Basis", IF(AND(D4247="Consent (GDPR Art. 6(1)(a))", I4247="Not Captured"), "Gap - Invalid Consent", IF(AND(D4247="Legitimate Interest (GDPR Art. 6(1)(f))", L4247=""), "Gap - Missing LIA", IF(AND(G4247="Yes", H4247=""), "Gap - Missing Art. 9 Basis", IF(OR(I4247="Invalid - Not Freely Given", I4247="Invalid - Not Specific", I4247="Invalid - Not Informed", I4247="Invalid - Ambiguous"), "Gap - Invalid Consent", "Compliant")))))</f>
        <v/>
      </c>
      <c r="O4247" s="7" t="n"/>
    </row>
    <row r="4248">
      <c r="A4248" s="7" t="n"/>
      <c r="B4248" s="7" t="n"/>
      <c r="C4248" s="7" t="n"/>
      <c r="D4248" s="7" t="n"/>
      <c r="E4248" s="7" t="n"/>
      <c r="F4248" s="7" t="n"/>
      <c r="G4248" s="7" t="n"/>
      <c r="H4248" s="7" t="n"/>
      <c r="I4248" s="7" t="n"/>
      <c r="J4248" s="7" t="n"/>
      <c r="K4248">
        <f>IF(D4248="Legitimate Interest (GDPR Art. 6(1)(f))", "Yes / Required (Sheet 3)", "")</f>
        <v/>
      </c>
      <c r="L4248" s="7" t="n"/>
      <c r="M4248" s="7" t="n"/>
      <c r="N4248">
        <f>IF(D4248="", "Gap - No Legal Basis", IF(AND(D4248="Consent (GDPR Art. 6(1)(a))", I4248="Not Captured"), "Gap - Invalid Consent", IF(AND(D4248="Legitimate Interest (GDPR Art. 6(1)(f))", L4248=""), "Gap - Missing LIA", IF(AND(G4248="Yes", H4248=""), "Gap - Missing Art. 9 Basis", IF(OR(I4248="Invalid - Not Freely Given", I4248="Invalid - Not Specific", I4248="Invalid - Not Informed", I4248="Invalid - Ambiguous"), "Gap - Invalid Consent", "Compliant")))))</f>
        <v/>
      </c>
      <c r="O4248" s="7" t="n"/>
    </row>
    <row r="4249">
      <c r="A4249" s="7" t="n"/>
      <c r="B4249" s="7" t="n"/>
      <c r="C4249" s="7" t="n"/>
      <c r="D4249" s="7" t="n"/>
      <c r="E4249" s="7" t="n"/>
      <c r="F4249" s="7" t="n"/>
      <c r="G4249" s="7" t="n"/>
      <c r="H4249" s="7" t="n"/>
      <c r="I4249" s="7" t="n"/>
      <c r="J4249" s="7" t="n"/>
      <c r="K4249">
        <f>IF(D4249="Legitimate Interest (GDPR Art. 6(1)(f))", "Yes / Required (Sheet 3)", "")</f>
        <v/>
      </c>
      <c r="L4249" s="7" t="n"/>
      <c r="M4249" s="7" t="n"/>
      <c r="N4249">
        <f>IF(D4249="", "Gap - No Legal Basis", IF(AND(D4249="Consent (GDPR Art. 6(1)(a))", I4249="Not Captured"), "Gap - Invalid Consent", IF(AND(D4249="Legitimate Interest (GDPR Art. 6(1)(f))", L4249=""), "Gap - Missing LIA", IF(AND(G4249="Yes", H4249=""), "Gap - Missing Art. 9 Basis", IF(OR(I4249="Invalid - Not Freely Given", I4249="Invalid - Not Specific", I4249="Invalid - Not Informed", I4249="Invalid - Ambiguous"), "Gap - Invalid Consent", "Compliant")))))</f>
        <v/>
      </c>
      <c r="O4249" s="7" t="n"/>
    </row>
    <row r="4250">
      <c r="A4250" s="7" t="n"/>
      <c r="B4250" s="7" t="n"/>
      <c r="C4250" s="7" t="n"/>
      <c r="D4250" s="7" t="n"/>
      <c r="E4250" s="7" t="n"/>
      <c r="F4250" s="7" t="n"/>
      <c r="G4250" s="7" t="n"/>
      <c r="H4250" s="7" t="n"/>
      <c r="I4250" s="7" t="n"/>
      <c r="J4250" s="7" t="n"/>
      <c r="K4250">
        <f>IF(D4250="Legitimate Interest (GDPR Art. 6(1)(f))", "Yes / Required (Sheet 3)", "")</f>
        <v/>
      </c>
      <c r="L4250" s="7" t="n"/>
      <c r="M4250" s="7" t="n"/>
      <c r="N4250">
        <f>IF(D4250="", "Gap - No Legal Basis", IF(AND(D4250="Consent (GDPR Art. 6(1)(a))", I4250="Not Captured"), "Gap - Invalid Consent", IF(AND(D4250="Legitimate Interest (GDPR Art. 6(1)(f))", L4250=""), "Gap - Missing LIA", IF(AND(G4250="Yes", H4250=""), "Gap - Missing Art. 9 Basis", IF(OR(I4250="Invalid - Not Freely Given", I4250="Invalid - Not Specific", I4250="Invalid - Not Informed", I4250="Invalid - Ambiguous"), "Gap - Invalid Consent", "Compliant")))))</f>
        <v/>
      </c>
      <c r="O4250" s="7" t="n"/>
    </row>
    <row r="4251">
      <c r="A4251" s="7" t="n"/>
      <c r="B4251" s="7" t="n"/>
      <c r="C4251" s="7" t="n"/>
      <c r="D4251" s="7" t="n"/>
      <c r="E4251" s="7" t="n"/>
      <c r="F4251" s="7" t="n"/>
      <c r="G4251" s="7" t="n"/>
      <c r="H4251" s="7" t="n"/>
      <c r="I4251" s="7" t="n"/>
      <c r="J4251" s="7" t="n"/>
      <c r="K4251">
        <f>IF(D4251="Legitimate Interest (GDPR Art. 6(1)(f))", "Yes / Required (Sheet 3)", "")</f>
        <v/>
      </c>
      <c r="L4251" s="7" t="n"/>
      <c r="M4251" s="7" t="n"/>
      <c r="N4251">
        <f>IF(D4251="", "Gap - No Legal Basis", IF(AND(D4251="Consent (GDPR Art. 6(1)(a))", I4251="Not Captured"), "Gap - Invalid Consent", IF(AND(D4251="Legitimate Interest (GDPR Art. 6(1)(f))", L4251=""), "Gap - Missing LIA", IF(AND(G4251="Yes", H4251=""), "Gap - Missing Art. 9 Basis", IF(OR(I4251="Invalid - Not Freely Given", I4251="Invalid - Not Specific", I4251="Invalid - Not Informed", I4251="Invalid - Ambiguous"), "Gap - Invalid Consent", "Compliant")))))</f>
        <v/>
      </c>
      <c r="O4251" s="7" t="n"/>
    </row>
    <row r="4252">
      <c r="A4252" s="7" t="n"/>
      <c r="B4252" s="7" t="n"/>
      <c r="C4252" s="7" t="n"/>
      <c r="D4252" s="7" t="n"/>
      <c r="E4252" s="7" t="n"/>
      <c r="F4252" s="7" t="n"/>
      <c r="G4252" s="7" t="n"/>
      <c r="H4252" s="7" t="n"/>
      <c r="I4252" s="7" t="n"/>
      <c r="J4252" s="7" t="n"/>
      <c r="K4252">
        <f>IF(D4252="Legitimate Interest (GDPR Art. 6(1)(f))", "Yes / Required (Sheet 3)", "")</f>
        <v/>
      </c>
      <c r="L4252" s="7" t="n"/>
      <c r="M4252" s="7" t="n"/>
      <c r="N4252">
        <f>IF(D4252="", "Gap - No Legal Basis", IF(AND(D4252="Consent (GDPR Art. 6(1)(a))", I4252="Not Captured"), "Gap - Invalid Consent", IF(AND(D4252="Legitimate Interest (GDPR Art. 6(1)(f))", L4252=""), "Gap - Missing LIA", IF(AND(G4252="Yes", H4252=""), "Gap - Missing Art. 9 Basis", IF(OR(I4252="Invalid - Not Freely Given", I4252="Invalid - Not Specific", I4252="Invalid - Not Informed", I4252="Invalid - Ambiguous"), "Gap - Invalid Consent", "Compliant")))))</f>
        <v/>
      </c>
      <c r="O4252" s="7" t="n"/>
    </row>
    <row r="4253">
      <c r="A4253" s="7" t="n"/>
      <c r="B4253" s="7" t="n"/>
      <c r="C4253" s="7" t="n"/>
      <c r="D4253" s="7" t="n"/>
      <c r="E4253" s="7" t="n"/>
      <c r="F4253" s="7" t="n"/>
      <c r="G4253" s="7" t="n"/>
      <c r="H4253" s="7" t="n"/>
      <c r="I4253" s="7" t="n"/>
      <c r="J4253" s="7" t="n"/>
      <c r="K4253">
        <f>IF(D4253="Legitimate Interest (GDPR Art. 6(1)(f))", "Yes / Required (Sheet 3)", "")</f>
        <v/>
      </c>
      <c r="L4253" s="7" t="n"/>
      <c r="M4253" s="7" t="n"/>
      <c r="N4253">
        <f>IF(D4253="", "Gap - No Legal Basis", IF(AND(D4253="Consent (GDPR Art. 6(1)(a))", I4253="Not Captured"), "Gap - Invalid Consent", IF(AND(D4253="Legitimate Interest (GDPR Art. 6(1)(f))", L4253=""), "Gap - Missing LIA", IF(AND(G4253="Yes", H4253=""), "Gap - Missing Art. 9 Basis", IF(OR(I4253="Invalid - Not Freely Given", I4253="Invalid - Not Specific", I4253="Invalid - Not Informed", I4253="Invalid - Ambiguous"), "Gap - Invalid Consent", "Compliant")))))</f>
        <v/>
      </c>
      <c r="O4253" s="7" t="n"/>
    </row>
    <row r="4254">
      <c r="A4254" s="7" t="n"/>
      <c r="B4254" s="7" t="n"/>
      <c r="C4254" s="7" t="n"/>
      <c r="D4254" s="7" t="n"/>
      <c r="E4254" s="7" t="n"/>
      <c r="F4254" s="7" t="n"/>
      <c r="G4254" s="7" t="n"/>
      <c r="H4254" s="7" t="n"/>
      <c r="I4254" s="7" t="n"/>
      <c r="J4254" s="7" t="n"/>
      <c r="K4254">
        <f>IF(D4254="Legitimate Interest (GDPR Art. 6(1)(f))", "Yes / Required (Sheet 3)", "")</f>
        <v/>
      </c>
      <c r="L4254" s="7" t="n"/>
      <c r="M4254" s="7" t="n"/>
      <c r="N4254">
        <f>IF(D4254="", "Gap - No Legal Basis", IF(AND(D4254="Consent (GDPR Art. 6(1)(a))", I4254="Not Captured"), "Gap - Invalid Consent", IF(AND(D4254="Legitimate Interest (GDPR Art. 6(1)(f))", L4254=""), "Gap - Missing LIA", IF(AND(G4254="Yes", H4254=""), "Gap - Missing Art. 9 Basis", IF(OR(I4254="Invalid - Not Freely Given", I4254="Invalid - Not Specific", I4254="Invalid - Not Informed", I4254="Invalid - Ambiguous"), "Gap - Invalid Consent", "Compliant")))))</f>
        <v/>
      </c>
      <c r="O4254" s="7" t="n"/>
    </row>
    <row r="4255">
      <c r="A4255" s="7" t="n"/>
      <c r="B4255" s="7" t="n"/>
      <c r="C4255" s="7" t="n"/>
      <c r="D4255" s="7" t="n"/>
      <c r="E4255" s="7" t="n"/>
      <c r="F4255" s="7" t="n"/>
      <c r="G4255" s="7" t="n"/>
      <c r="H4255" s="7" t="n"/>
      <c r="I4255" s="7" t="n"/>
      <c r="J4255" s="7" t="n"/>
      <c r="K4255">
        <f>IF(D4255="Legitimate Interest (GDPR Art. 6(1)(f))", "Yes / Required (Sheet 3)", "")</f>
        <v/>
      </c>
      <c r="L4255" s="7" t="n"/>
      <c r="M4255" s="7" t="n"/>
      <c r="N4255">
        <f>IF(D4255="", "Gap - No Legal Basis", IF(AND(D4255="Consent (GDPR Art. 6(1)(a))", I4255="Not Captured"), "Gap - Invalid Consent", IF(AND(D4255="Legitimate Interest (GDPR Art. 6(1)(f))", L4255=""), "Gap - Missing LIA", IF(AND(G4255="Yes", H4255=""), "Gap - Missing Art. 9 Basis", IF(OR(I4255="Invalid - Not Freely Given", I4255="Invalid - Not Specific", I4255="Invalid - Not Informed", I4255="Invalid - Ambiguous"), "Gap - Invalid Consent", "Compliant")))))</f>
        <v/>
      </c>
      <c r="O4255" s="7" t="n"/>
    </row>
    <row r="4256">
      <c r="A4256" s="7" t="n"/>
      <c r="B4256" s="7" t="n"/>
      <c r="C4256" s="7" t="n"/>
      <c r="D4256" s="7" t="n"/>
      <c r="E4256" s="7" t="n"/>
      <c r="F4256" s="7" t="n"/>
      <c r="G4256" s="7" t="n"/>
      <c r="H4256" s="7" t="n"/>
      <c r="I4256" s="7" t="n"/>
      <c r="J4256" s="7" t="n"/>
      <c r="K4256">
        <f>IF(D4256="Legitimate Interest (GDPR Art. 6(1)(f))", "Yes / Required (Sheet 3)", "")</f>
        <v/>
      </c>
      <c r="L4256" s="7" t="n"/>
      <c r="M4256" s="7" t="n"/>
      <c r="N4256">
        <f>IF(D4256="", "Gap - No Legal Basis", IF(AND(D4256="Consent (GDPR Art. 6(1)(a))", I4256="Not Captured"), "Gap - Invalid Consent", IF(AND(D4256="Legitimate Interest (GDPR Art. 6(1)(f))", L4256=""), "Gap - Missing LIA", IF(AND(G4256="Yes", H4256=""), "Gap - Missing Art. 9 Basis", IF(OR(I4256="Invalid - Not Freely Given", I4256="Invalid - Not Specific", I4256="Invalid - Not Informed", I4256="Invalid - Ambiguous"), "Gap - Invalid Consent", "Compliant")))))</f>
        <v/>
      </c>
      <c r="O4256" s="7" t="n"/>
    </row>
    <row r="4257">
      <c r="A4257" s="7" t="n"/>
      <c r="B4257" s="7" t="n"/>
      <c r="C4257" s="7" t="n"/>
      <c r="D4257" s="7" t="n"/>
      <c r="E4257" s="7" t="n"/>
      <c r="F4257" s="7" t="n"/>
      <c r="G4257" s="7" t="n"/>
      <c r="H4257" s="7" t="n"/>
      <c r="I4257" s="7" t="n"/>
      <c r="J4257" s="7" t="n"/>
      <c r="K4257">
        <f>IF(D4257="Legitimate Interest (GDPR Art. 6(1)(f))", "Yes / Required (Sheet 3)", "")</f>
        <v/>
      </c>
      <c r="L4257" s="7" t="n"/>
      <c r="M4257" s="7" t="n"/>
      <c r="N4257">
        <f>IF(D4257="", "Gap - No Legal Basis", IF(AND(D4257="Consent (GDPR Art. 6(1)(a))", I4257="Not Captured"), "Gap - Invalid Consent", IF(AND(D4257="Legitimate Interest (GDPR Art. 6(1)(f))", L4257=""), "Gap - Missing LIA", IF(AND(G4257="Yes", H4257=""), "Gap - Missing Art. 9 Basis", IF(OR(I4257="Invalid - Not Freely Given", I4257="Invalid - Not Specific", I4257="Invalid - Not Informed", I4257="Invalid - Ambiguous"), "Gap - Invalid Consent", "Compliant")))))</f>
        <v/>
      </c>
      <c r="O4257" s="7" t="n"/>
    </row>
    <row r="4258">
      <c r="A4258" s="7" t="n"/>
      <c r="B4258" s="7" t="n"/>
      <c r="C4258" s="7" t="n"/>
      <c r="D4258" s="7" t="n"/>
      <c r="E4258" s="7" t="n"/>
      <c r="F4258" s="7" t="n"/>
      <c r="G4258" s="7" t="n"/>
      <c r="H4258" s="7" t="n"/>
      <c r="I4258" s="7" t="n"/>
      <c r="J4258" s="7" t="n"/>
      <c r="K4258">
        <f>IF(D4258="Legitimate Interest (GDPR Art. 6(1)(f))", "Yes / Required (Sheet 3)", "")</f>
        <v/>
      </c>
      <c r="L4258" s="7" t="n"/>
      <c r="M4258" s="7" t="n"/>
      <c r="N4258">
        <f>IF(D4258="", "Gap - No Legal Basis", IF(AND(D4258="Consent (GDPR Art. 6(1)(a))", I4258="Not Captured"), "Gap - Invalid Consent", IF(AND(D4258="Legitimate Interest (GDPR Art. 6(1)(f))", L4258=""), "Gap - Missing LIA", IF(AND(G4258="Yes", H4258=""), "Gap - Missing Art. 9 Basis", IF(OR(I4258="Invalid - Not Freely Given", I4258="Invalid - Not Specific", I4258="Invalid - Not Informed", I4258="Invalid - Ambiguous"), "Gap - Invalid Consent", "Compliant")))))</f>
        <v/>
      </c>
      <c r="O4258" s="7" t="n"/>
    </row>
    <row r="4259">
      <c r="A4259" s="7" t="n"/>
      <c r="B4259" s="7" t="n"/>
      <c r="C4259" s="7" t="n"/>
      <c r="D4259" s="7" t="n"/>
      <c r="E4259" s="7" t="n"/>
      <c r="F4259" s="7" t="n"/>
      <c r="G4259" s="7" t="n"/>
      <c r="H4259" s="7" t="n"/>
      <c r="I4259" s="7" t="n"/>
      <c r="J4259" s="7" t="n"/>
      <c r="K4259">
        <f>IF(D4259="Legitimate Interest (GDPR Art. 6(1)(f))", "Yes / Required (Sheet 3)", "")</f>
        <v/>
      </c>
      <c r="L4259" s="7" t="n"/>
      <c r="M4259" s="7" t="n"/>
      <c r="N4259">
        <f>IF(D4259="", "Gap - No Legal Basis", IF(AND(D4259="Consent (GDPR Art. 6(1)(a))", I4259="Not Captured"), "Gap - Invalid Consent", IF(AND(D4259="Legitimate Interest (GDPR Art. 6(1)(f))", L4259=""), "Gap - Missing LIA", IF(AND(G4259="Yes", H4259=""), "Gap - Missing Art. 9 Basis", IF(OR(I4259="Invalid - Not Freely Given", I4259="Invalid - Not Specific", I4259="Invalid - Not Informed", I4259="Invalid - Ambiguous"), "Gap - Invalid Consent", "Compliant")))))</f>
        <v/>
      </c>
      <c r="O4259" s="7" t="n"/>
    </row>
    <row r="4260">
      <c r="A4260" s="7" t="n"/>
      <c r="B4260" s="7" t="n"/>
      <c r="C4260" s="7" t="n"/>
      <c r="D4260" s="7" t="n"/>
      <c r="E4260" s="7" t="n"/>
      <c r="F4260" s="7" t="n"/>
      <c r="G4260" s="7" t="n"/>
      <c r="H4260" s="7" t="n"/>
      <c r="I4260" s="7" t="n"/>
      <c r="J4260" s="7" t="n"/>
      <c r="K4260">
        <f>IF(D4260="Legitimate Interest (GDPR Art. 6(1)(f))", "Yes / Required (Sheet 3)", "")</f>
        <v/>
      </c>
      <c r="L4260" s="7" t="n"/>
      <c r="M4260" s="7" t="n"/>
      <c r="N4260">
        <f>IF(D4260="", "Gap - No Legal Basis", IF(AND(D4260="Consent (GDPR Art. 6(1)(a))", I4260="Not Captured"), "Gap - Invalid Consent", IF(AND(D4260="Legitimate Interest (GDPR Art. 6(1)(f))", L4260=""), "Gap - Missing LIA", IF(AND(G4260="Yes", H4260=""), "Gap - Missing Art. 9 Basis", IF(OR(I4260="Invalid - Not Freely Given", I4260="Invalid - Not Specific", I4260="Invalid - Not Informed", I4260="Invalid - Ambiguous"), "Gap - Invalid Consent", "Compliant")))))</f>
        <v/>
      </c>
      <c r="O4260" s="7" t="n"/>
    </row>
    <row r="4261">
      <c r="A4261" s="7" t="n"/>
      <c r="B4261" s="7" t="n"/>
      <c r="C4261" s="7" t="n"/>
      <c r="D4261" s="7" t="n"/>
      <c r="E4261" s="7" t="n"/>
      <c r="F4261" s="7" t="n"/>
      <c r="G4261" s="7" t="n"/>
      <c r="H4261" s="7" t="n"/>
      <c r="I4261" s="7" t="n"/>
      <c r="J4261" s="7" t="n"/>
      <c r="K4261">
        <f>IF(D4261="Legitimate Interest (GDPR Art. 6(1)(f))", "Yes / Required (Sheet 3)", "")</f>
        <v/>
      </c>
      <c r="L4261" s="7" t="n"/>
      <c r="M4261" s="7" t="n"/>
      <c r="N4261">
        <f>IF(D4261="", "Gap - No Legal Basis", IF(AND(D4261="Consent (GDPR Art. 6(1)(a))", I4261="Not Captured"), "Gap - Invalid Consent", IF(AND(D4261="Legitimate Interest (GDPR Art. 6(1)(f))", L4261=""), "Gap - Missing LIA", IF(AND(G4261="Yes", H4261=""), "Gap - Missing Art. 9 Basis", IF(OR(I4261="Invalid - Not Freely Given", I4261="Invalid - Not Specific", I4261="Invalid - Not Informed", I4261="Invalid - Ambiguous"), "Gap - Invalid Consent", "Compliant")))))</f>
        <v/>
      </c>
      <c r="O4261" s="7" t="n"/>
    </row>
    <row r="4262">
      <c r="A4262" s="7" t="n"/>
      <c r="B4262" s="7" t="n"/>
      <c r="C4262" s="7" t="n"/>
      <c r="D4262" s="7" t="n"/>
      <c r="E4262" s="7" t="n"/>
      <c r="F4262" s="7" t="n"/>
      <c r="G4262" s="7" t="n"/>
      <c r="H4262" s="7" t="n"/>
      <c r="I4262" s="7" t="n"/>
      <c r="J4262" s="7" t="n"/>
      <c r="K4262">
        <f>IF(D4262="Legitimate Interest (GDPR Art. 6(1)(f))", "Yes / Required (Sheet 3)", "")</f>
        <v/>
      </c>
      <c r="L4262" s="7" t="n"/>
      <c r="M4262" s="7" t="n"/>
      <c r="N4262">
        <f>IF(D4262="", "Gap - No Legal Basis", IF(AND(D4262="Consent (GDPR Art. 6(1)(a))", I4262="Not Captured"), "Gap - Invalid Consent", IF(AND(D4262="Legitimate Interest (GDPR Art. 6(1)(f))", L4262=""), "Gap - Missing LIA", IF(AND(G4262="Yes", H4262=""), "Gap - Missing Art. 9 Basis", IF(OR(I4262="Invalid - Not Freely Given", I4262="Invalid - Not Specific", I4262="Invalid - Not Informed", I4262="Invalid - Ambiguous"), "Gap - Invalid Consent", "Compliant")))))</f>
        <v/>
      </c>
      <c r="O4262" s="7" t="n"/>
    </row>
    <row r="4263">
      <c r="A4263" s="7" t="n"/>
      <c r="B4263" s="7" t="n"/>
      <c r="C4263" s="7" t="n"/>
      <c r="D4263" s="7" t="n"/>
      <c r="E4263" s="7" t="n"/>
      <c r="F4263" s="7" t="n"/>
      <c r="G4263" s="7" t="n"/>
      <c r="H4263" s="7" t="n"/>
      <c r="I4263" s="7" t="n"/>
      <c r="J4263" s="7" t="n"/>
      <c r="K4263">
        <f>IF(D4263="Legitimate Interest (GDPR Art. 6(1)(f))", "Yes / Required (Sheet 3)", "")</f>
        <v/>
      </c>
      <c r="L4263" s="7" t="n"/>
      <c r="M4263" s="7" t="n"/>
      <c r="N4263">
        <f>IF(D4263="", "Gap - No Legal Basis", IF(AND(D4263="Consent (GDPR Art. 6(1)(a))", I4263="Not Captured"), "Gap - Invalid Consent", IF(AND(D4263="Legitimate Interest (GDPR Art. 6(1)(f))", L4263=""), "Gap - Missing LIA", IF(AND(G4263="Yes", H4263=""), "Gap - Missing Art. 9 Basis", IF(OR(I4263="Invalid - Not Freely Given", I4263="Invalid - Not Specific", I4263="Invalid - Not Informed", I4263="Invalid - Ambiguous"), "Gap - Invalid Consent", "Compliant")))))</f>
        <v/>
      </c>
      <c r="O4263" s="7" t="n"/>
    </row>
    <row r="4264">
      <c r="A4264" s="7" t="n"/>
      <c r="B4264" s="7" t="n"/>
      <c r="C4264" s="7" t="n"/>
      <c r="D4264" s="7" t="n"/>
      <c r="E4264" s="7" t="n"/>
      <c r="F4264" s="7" t="n"/>
      <c r="G4264" s="7" t="n"/>
      <c r="H4264" s="7" t="n"/>
      <c r="I4264" s="7" t="n"/>
      <c r="J4264" s="7" t="n"/>
      <c r="K4264">
        <f>IF(D4264="Legitimate Interest (GDPR Art. 6(1)(f))", "Yes / Required (Sheet 3)", "")</f>
        <v/>
      </c>
      <c r="L4264" s="7" t="n"/>
      <c r="M4264" s="7" t="n"/>
      <c r="N4264">
        <f>IF(D4264="", "Gap - No Legal Basis", IF(AND(D4264="Consent (GDPR Art. 6(1)(a))", I4264="Not Captured"), "Gap - Invalid Consent", IF(AND(D4264="Legitimate Interest (GDPR Art. 6(1)(f))", L4264=""), "Gap - Missing LIA", IF(AND(G4264="Yes", H4264=""), "Gap - Missing Art. 9 Basis", IF(OR(I4264="Invalid - Not Freely Given", I4264="Invalid - Not Specific", I4264="Invalid - Not Informed", I4264="Invalid - Ambiguous"), "Gap - Invalid Consent", "Compliant")))))</f>
        <v/>
      </c>
      <c r="O4264" s="7" t="n"/>
    </row>
    <row r="4265">
      <c r="A4265" s="7" t="n"/>
      <c r="B4265" s="7" t="n"/>
      <c r="C4265" s="7" t="n"/>
      <c r="D4265" s="7" t="n"/>
      <c r="E4265" s="7" t="n"/>
      <c r="F4265" s="7" t="n"/>
      <c r="G4265" s="7" t="n"/>
      <c r="H4265" s="7" t="n"/>
      <c r="I4265" s="7" t="n"/>
      <c r="J4265" s="7" t="n"/>
      <c r="K4265">
        <f>IF(D4265="Legitimate Interest (GDPR Art. 6(1)(f))", "Yes / Required (Sheet 3)", "")</f>
        <v/>
      </c>
      <c r="L4265" s="7" t="n"/>
      <c r="M4265" s="7" t="n"/>
      <c r="N4265">
        <f>IF(D4265="", "Gap - No Legal Basis", IF(AND(D4265="Consent (GDPR Art. 6(1)(a))", I4265="Not Captured"), "Gap - Invalid Consent", IF(AND(D4265="Legitimate Interest (GDPR Art. 6(1)(f))", L4265=""), "Gap - Missing LIA", IF(AND(G4265="Yes", H4265=""), "Gap - Missing Art. 9 Basis", IF(OR(I4265="Invalid - Not Freely Given", I4265="Invalid - Not Specific", I4265="Invalid - Not Informed", I4265="Invalid - Ambiguous"), "Gap - Invalid Consent", "Compliant")))))</f>
        <v/>
      </c>
      <c r="O4265" s="7" t="n"/>
    </row>
    <row r="4266">
      <c r="A4266" s="7" t="n"/>
      <c r="B4266" s="7" t="n"/>
      <c r="C4266" s="7" t="n"/>
      <c r="D4266" s="7" t="n"/>
      <c r="E4266" s="7" t="n"/>
      <c r="F4266" s="7" t="n"/>
      <c r="G4266" s="7" t="n"/>
      <c r="H4266" s="7" t="n"/>
      <c r="I4266" s="7" t="n"/>
      <c r="J4266" s="7" t="n"/>
      <c r="K4266">
        <f>IF(D4266="Legitimate Interest (GDPR Art. 6(1)(f))", "Yes / Required (Sheet 3)", "")</f>
        <v/>
      </c>
      <c r="L4266" s="7" t="n"/>
      <c r="M4266" s="7" t="n"/>
      <c r="N4266">
        <f>IF(D4266="", "Gap - No Legal Basis", IF(AND(D4266="Consent (GDPR Art. 6(1)(a))", I4266="Not Captured"), "Gap - Invalid Consent", IF(AND(D4266="Legitimate Interest (GDPR Art. 6(1)(f))", L4266=""), "Gap - Missing LIA", IF(AND(G4266="Yes", H4266=""), "Gap - Missing Art. 9 Basis", IF(OR(I4266="Invalid - Not Freely Given", I4266="Invalid - Not Specific", I4266="Invalid - Not Informed", I4266="Invalid - Ambiguous"), "Gap - Invalid Consent", "Compliant")))))</f>
        <v/>
      </c>
      <c r="O4266" s="7" t="n"/>
    </row>
    <row r="4267">
      <c r="A4267" s="7" t="n"/>
      <c r="B4267" s="7" t="n"/>
      <c r="C4267" s="7" t="n"/>
      <c r="D4267" s="7" t="n"/>
      <c r="E4267" s="7" t="n"/>
      <c r="F4267" s="7" t="n"/>
      <c r="G4267" s="7" t="n"/>
      <c r="H4267" s="7" t="n"/>
      <c r="I4267" s="7" t="n"/>
      <c r="J4267" s="7" t="n"/>
      <c r="K4267">
        <f>IF(D4267="Legitimate Interest (GDPR Art. 6(1)(f))", "Yes / Required (Sheet 3)", "")</f>
        <v/>
      </c>
      <c r="L4267" s="7" t="n"/>
      <c r="M4267" s="7" t="n"/>
      <c r="N4267">
        <f>IF(D4267="", "Gap - No Legal Basis", IF(AND(D4267="Consent (GDPR Art. 6(1)(a))", I4267="Not Captured"), "Gap - Invalid Consent", IF(AND(D4267="Legitimate Interest (GDPR Art. 6(1)(f))", L4267=""), "Gap - Missing LIA", IF(AND(G4267="Yes", H4267=""), "Gap - Missing Art. 9 Basis", IF(OR(I4267="Invalid - Not Freely Given", I4267="Invalid - Not Specific", I4267="Invalid - Not Informed", I4267="Invalid - Ambiguous"), "Gap - Invalid Consent", "Compliant")))))</f>
        <v/>
      </c>
      <c r="O4267" s="7" t="n"/>
    </row>
    <row r="4268">
      <c r="A4268" s="7" t="n"/>
      <c r="B4268" s="7" t="n"/>
      <c r="C4268" s="7" t="n"/>
      <c r="D4268" s="7" t="n"/>
      <c r="E4268" s="7" t="n"/>
      <c r="F4268" s="7" t="n"/>
      <c r="G4268" s="7" t="n"/>
      <c r="H4268" s="7" t="n"/>
      <c r="I4268" s="7" t="n"/>
      <c r="J4268" s="7" t="n"/>
      <c r="K4268">
        <f>IF(D4268="Legitimate Interest (GDPR Art. 6(1)(f))", "Yes / Required (Sheet 3)", "")</f>
        <v/>
      </c>
      <c r="L4268" s="7" t="n"/>
      <c r="M4268" s="7" t="n"/>
      <c r="N4268">
        <f>IF(D4268="", "Gap - No Legal Basis", IF(AND(D4268="Consent (GDPR Art. 6(1)(a))", I4268="Not Captured"), "Gap - Invalid Consent", IF(AND(D4268="Legitimate Interest (GDPR Art. 6(1)(f))", L4268=""), "Gap - Missing LIA", IF(AND(G4268="Yes", H4268=""), "Gap - Missing Art. 9 Basis", IF(OR(I4268="Invalid - Not Freely Given", I4268="Invalid - Not Specific", I4268="Invalid - Not Informed", I4268="Invalid - Ambiguous"), "Gap - Invalid Consent", "Compliant")))))</f>
        <v/>
      </c>
      <c r="O4268" s="7" t="n"/>
    </row>
    <row r="4269">
      <c r="A4269" s="7" t="n"/>
      <c r="B4269" s="7" t="n"/>
      <c r="C4269" s="7" t="n"/>
      <c r="D4269" s="7" t="n"/>
      <c r="E4269" s="7" t="n"/>
      <c r="F4269" s="7" t="n"/>
      <c r="G4269" s="7" t="n"/>
      <c r="H4269" s="7" t="n"/>
      <c r="I4269" s="7" t="n"/>
      <c r="J4269" s="7" t="n"/>
      <c r="K4269">
        <f>IF(D4269="Legitimate Interest (GDPR Art. 6(1)(f))", "Yes / Required (Sheet 3)", "")</f>
        <v/>
      </c>
      <c r="L4269" s="7" t="n"/>
      <c r="M4269" s="7" t="n"/>
      <c r="N4269">
        <f>IF(D4269="", "Gap - No Legal Basis", IF(AND(D4269="Consent (GDPR Art. 6(1)(a))", I4269="Not Captured"), "Gap - Invalid Consent", IF(AND(D4269="Legitimate Interest (GDPR Art. 6(1)(f))", L4269=""), "Gap - Missing LIA", IF(AND(G4269="Yes", H4269=""), "Gap - Missing Art. 9 Basis", IF(OR(I4269="Invalid - Not Freely Given", I4269="Invalid - Not Specific", I4269="Invalid - Not Informed", I4269="Invalid - Ambiguous"), "Gap - Invalid Consent", "Compliant")))))</f>
        <v/>
      </c>
      <c r="O4269" s="7" t="n"/>
    </row>
    <row r="4270">
      <c r="A4270" s="7" t="n"/>
      <c r="B4270" s="7" t="n"/>
      <c r="C4270" s="7" t="n"/>
      <c r="D4270" s="7" t="n"/>
      <c r="E4270" s="7" t="n"/>
      <c r="F4270" s="7" t="n"/>
      <c r="G4270" s="7" t="n"/>
      <c r="H4270" s="7" t="n"/>
      <c r="I4270" s="7" t="n"/>
      <c r="J4270" s="7" t="n"/>
      <c r="K4270">
        <f>IF(D4270="Legitimate Interest (GDPR Art. 6(1)(f))", "Yes / Required (Sheet 3)", "")</f>
        <v/>
      </c>
      <c r="L4270" s="7" t="n"/>
      <c r="M4270" s="7" t="n"/>
      <c r="N4270">
        <f>IF(D4270="", "Gap - No Legal Basis", IF(AND(D4270="Consent (GDPR Art. 6(1)(a))", I4270="Not Captured"), "Gap - Invalid Consent", IF(AND(D4270="Legitimate Interest (GDPR Art. 6(1)(f))", L4270=""), "Gap - Missing LIA", IF(AND(G4270="Yes", H4270=""), "Gap - Missing Art. 9 Basis", IF(OR(I4270="Invalid - Not Freely Given", I4270="Invalid - Not Specific", I4270="Invalid - Not Informed", I4270="Invalid - Ambiguous"), "Gap - Invalid Consent", "Compliant")))))</f>
        <v/>
      </c>
      <c r="O4270" s="7" t="n"/>
    </row>
    <row r="4271">
      <c r="A4271" s="7" t="n"/>
      <c r="B4271" s="7" t="n"/>
      <c r="C4271" s="7" t="n"/>
      <c r="D4271" s="7" t="n"/>
      <c r="E4271" s="7" t="n"/>
      <c r="F4271" s="7" t="n"/>
      <c r="G4271" s="7" t="n"/>
      <c r="H4271" s="7" t="n"/>
      <c r="I4271" s="7" t="n"/>
      <c r="J4271" s="7" t="n"/>
      <c r="K4271">
        <f>IF(D4271="Legitimate Interest (GDPR Art. 6(1)(f))", "Yes / Required (Sheet 3)", "")</f>
        <v/>
      </c>
      <c r="L4271" s="7" t="n"/>
      <c r="M4271" s="7" t="n"/>
      <c r="N4271">
        <f>IF(D4271="", "Gap - No Legal Basis", IF(AND(D4271="Consent (GDPR Art. 6(1)(a))", I4271="Not Captured"), "Gap - Invalid Consent", IF(AND(D4271="Legitimate Interest (GDPR Art. 6(1)(f))", L4271=""), "Gap - Missing LIA", IF(AND(G4271="Yes", H4271=""), "Gap - Missing Art. 9 Basis", IF(OR(I4271="Invalid - Not Freely Given", I4271="Invalid - Not Specific", I4271="Invalid - Not Informed", I4271="Invalid - Ambiguous"), "Gap - Invalid Consent", "Compliant")))))</f>
        <v/>
      </c>
      <c r="O4271" s="7" t="n"/>
    </row>
    <row r="4272">
      <c r="A4272" s="7" t="n"/>
      <c r="B4272" s="7" t="n"/>
      <c r="C4272" s="7" t="n"/>
      <c r="D4272" s="7" t="n"/>
      <c r="E4272" s="7" t="n"/>
      <c r="F4272" s="7" t="n"/>
      <c r="G4272" s="7" t="n"/>
      <c r="H4272" s="7" t="n"/>
      <c r="I4272" s="7" t="n"/>
      <c r="J4272" s="7" t="n"/>
      <c r="K4272">
        <f>IF(D4272="Legitimate Interest (GDPR Art. 6(1)(f))", "Yes / Required (Sheet 3)", "")</f>
        <v/>
      </c>
      <c r="L4272" s="7" t="n"/>
      <c r="M4272" s="7" t="n"/>
      <c r="N4272">
        <f>IF(D4272="", "Gap - No Legal Basis", IF(AND(D4272="Consent (GDPR Art. 6(1)(a))", I4272="Not Captured"), "Gap - Invalid Consent", IF(AND(D4272="Legitimate Interest (GDPR Art. 6(1)(f))", L4272=""), "Gap - Missing LIA", IF(AND(G4272="Yes", H4272=""), "Gap - Missing Art. 9 Basis", IF(OR(I4272="Invalid - Not Freely Given", I4272="Invalid - Not Specific", I4272="Invalid - Not Informed", I4272="Invalid - Ambiguous"), "Gap - Invalid Consent", "Compliant")))))</f>
        <v/>
      </c>
      <c r="O4272" s="7" t="n"/>
    </row>
    <row r="4273">
      <c r="A4273" s="7" t="n"/>
      <c r="B4273" s="7" t="n"/>
      <c r="C4273" s="7" t="n"/>
      <c r="D4273" s="7" t="n"/>
      <c r="E4273" s="7" t="n"/>
      <c r="F4273" s="7" t="n"/>
      <c r="G4273" s="7" t="n"/>
      <c r="H4273" s="7" t="n"/>
      <c r="I4273" s="7" t="n"/>
      <c r="J4273" s="7" t="n"/>
      <c r="K4273">
        <f>IF(D4273="Legitimate Interest (GDPR Art. 6(1)(f))", "Yes / Required (Sheet 3)", "")</f>
        <v/>
      </c>
      <c r="L4273" s="7" t="n"/>
      <c r="M4273" s="7" t="n"/>
      <c r="N4273">
        <f>IF(D4273="", "Gap - No Legal Basis", IF(AND(D4273="Consent (GDPR Art. 6(1)(a))", I4273="Not Captured"), "Gap - Invalid Consent", IF(AND(D4273="Legitimate Interest (GDPR Art. 6(1)(f))", L4273=""), "Gap - Missing LIA", IF(AND(G4273="Yes", H4273=""), "Gap - Missing Art. 9 Basis", IF(OR(I4273="Invalid - Not Freely Given", I4273="Invalid - Not Specific", I4273="Invalid - Not Informed", I4273="Invalid - Ambiguous"), "Gap - Invalid Consent", "Compliant")))))</f>
        <v/>
      </c>
      <c r="O4273" s="7" t="n"/>
    </row>
    <row r="4274">
      <c r="A4274" s="7" t="n"/>
      <c r="B4274" s="7" t="n"/>
      <c r="C4274" s="7" t="n"/>
      <c r="D4274" s="7" t="n"/>
      <c r="E4274" s="7" t="n"/>
      <c r="F4274" s="7" t="n"/>
      <c r="G4274" s="7" t="n"/>
      <c r="H4274" s="7" t="n"/>
      <c r="I4274" s="7" t="n"/>
      <c r="J4274" s="7" t="n"/>
      <c r="K4274">
        <f>IF(D4274="Legitimate Interest (GDPR Art. 6(1)(f))", "Yes / Required (Sheet 3)", "")</f>
        <v/>
      </c>
      <c r="L4274" s="7" t="n"/>
      <c r="M4274" s="7" t="n"/>
      <c r="N4274">
        <f>IF(D4274="", "Gap - No Legal Basis", IF(AND(D4274="Consent (GDPR Art. 6(1)(a))", I4274="Not Captured"), "Gap - Invalid Consent", IF(AND(D4274="Legitimate Interest (GDPR Art. 6(1)(f))", L4274=""), "Gap - Missing LIA", IF(AND(G4274="Yes", H4274=""), "Gap - Missing Art. 9 Basis", IF(OR(I4274="Invalid - Not Freely Given", I4274="Invalid - Not Specific", I4274="Invalid - Not Informed", I4274="Invalid - Ambiguous"), "Gap - Invalid Consent", "Compliant")))))</f>
        <v/>
      </c>
      <c r="O4274" s="7" t="n"/>
    </row>
    <row r="4275">
      <c r="A4275" s="7" t="n"/>
      <c r="B4275" s="7" t="n"/>
      <c r="C4275" s="7" t="n"/>
      <c r="D4275" s="7" t="n"/>
      <c r="E4275" s="7" t="n"/>
      <c r="F4275" s="7" t="n"/>
      <c r="G4275" s="7" t="n"/>
      <c r="H4275" s="7" t="n"/>
      <c r="I4275" s="7" t="n"/>
      <c r="J4275" s="7" t="n"/>
      <c r="K4275">
        <f>IF(D4275="Legitimate Interest (GDPR Art. 6(1)(f))", "Yes / Required (Sheet 3)", "")</f>
        <v/>
      </c>
      <c r="L4275" s="7" t="n"/>
      <c r="M4275" s="7" t="n"/>
      <c r="N4275">
        <f>IF(D4275="", "Gap - No Legal Basis", IF(AND(D4275="Consent (GDPR Art. 6(1)(a))", I4275="Not Captured"), "Gap - Invalid Consent", IF(AND(D4275="Legitimate Interest (GDPR Art. 6(1)(f))", L4275=""), "Gap - Missing LIA", IF(AND(G4275="Yes", H4275=""), "Gap - Missing Art. 9 Basis", IF(OR(I4275="Invalid - Not Freely Given", I4275="Invalid - Not Specific", I4275="Invalid - Not Informed", I4275="Invalid - Ambiguous"), "Gap - Invalid Consent", "Compliant")))))</f>
        <v/>
      </c>
      <c r="O4275" s="7" t="n"/>
    </row>
    <row r="4276">
      <c r="A4276" s="7" t="n"/>
      <c r="B4276" s="7" t="n"/>
      <c r="C4276" s="7" t="n"/>
      <c r="D4276" s="7" t="n"/>
      <c r="E4276" s="7" t="n"/>
      <c r="F4276" s="7" t="n"/>
      <c r="G4276" s="7" t="n"/>
      <c r="H4276" s="7" t="n"/>
      <c r="I4276" s="7" t="n"/>
      <c r="J4276" s="7" t="n"/>
      <c r="K4276">
        <f>IF(D4276="Legitimate Interest (GDPR Art. 6(1)(f))", "Yes / Required (Sheet 3)", "")</f>
        <v/>
      </c>
      <c r="L4276" s="7" t="n"/>
      <c r="M4276" s="7" t="n"/>
      <c r="N4276">
        <f>IF(D4276="", "Gap - No Legal Basis", IF(AND(D4276="Consent (GDPR Art. 6(1)(a))", I4276="Not Captured"), "Gap - Invalid Consent", IF(AND(D4276="Legitimate Interest (GDPR Art. 6(1)(f))", L4276=""), "Gap - Missing LIA", IF(AND(G4276="Yes", H4276=""), "Gap - Missing Art. 9 Basis", IF(OR(I4276="Invalid - Not Freely Given", I4276="Invalid - Not Specific", I4276="Invalid - Not Informed", I4276="Invalid - Ambiguous"), "Gap - Invalid Consent", "Compliant")))))</f>
        <v/>
      </c>
      <c r="O4276" s="7" t="n"/>
    </row>
    <row r="4277">
      <c r="A4277" s="7" t="n"/>
      <c r="B4277" s="7" t="n"/>
      <c r="C4277" s="7" t="n"/>
      <c r="D4277" s="7" t="n"/>
      <c r="E4277" s="7" t="n"/>
      <c r="F4277" s="7" t="n"/>
      <c r="G4277" s="7" t="n"/>
      <c r="H4277" s="7" t="n"/>
      <c r="I4277" s="7" t="n"/>
      <c r="J4277" s="7" t="n"/>
      <c r="K4277">
        <f>IF(D4277="Legitimate Interest (GDPR Art. 6(1)(f))", "Yes / Required (Sheet 3)", "")</f>
        <v/>
      </c>
      <c r="L4277" s="7" t="n"/>
      <c r="M4277" s="7" t="n"/>
      <c r="N4277">
        <f>IF(D4277="", "Gap - No Legal Basis", IF(AND(D4277="Consent (GDPR Art. 6(1)(a))", I4277="Not Captured"), "Gap - Invalid Consent", IF(AND(D4277="Legitimate Interest (GDPR Art. 6(1)(f))", L4277=""), "Gap - Missing LIA", IF(AND(G4277="Yes", H4277=""), "Gap - Missing Art. 9 Basis", IF(OR(I4277="Invalid - Not Freely Given", I4277="Invalid - Not Specific", I4277="Invalid - Not Informed", I4277="Invalid - Ambiguous"), "Gap - Invalid Consent", "Compliant")))))</f>
        <v/>
      </c>
      <c r="O4277" s="7" t="n"/>
    </row>
    <row r="4278">
      <c r="A4278" s="7" t="n"/>
      <c r="B4278" s="7" t="n"/>
      <c r="C4278" s="7" t="n"/>
      <c r="D4278" s="7" t="n"/>
      <c r="E4278" s="7" t="n"/>
      <c r="F4278" s="7" t="n"/>
      <c r="G4278" s="7" t="n"/>
      <c r="H4278" s="7" t="n"/>
      <c r="I4278" s="7" t="n"/>
      <c r="J4278" s="7" t="n"/>
      <c r="K4278">
        <f>IF(D4278="Legitimate Interest (GDPR Art. 6(1)(f))", "Yes / Required (Sheet 3)", "")</f>
        <v/>
      </c>
      <c r="L4278" s="7" t="n"/>
      <c r="M4278" s="7" t="n"/>
      <c r="N4278">
        <f>IF(D4278="", "Gap - No Legal Basis", IF(AND(D4278="Consent (GDPR Art. 6(1)(a))", I4278="Not Captured"), "Gap - Invalid Consent", IF(AND(D4278="Legitimate Interest (GDPR Art. 6(1)(f))", L4278=""), "Gap - Missing LIA", IF(AND(G4278="Yes", H4278=""), "Gap - Missing Art. 9 Basis", IF(OR(I4278="Invalid - Not Freely Given", I4278="Invalid - Not Specific", I4278="Invalid - Not Informed", I4278="Invalid - Ambiguous"), "Gap - Invalid Consent", "Compliant")))))</f>
        <v/>
      </c>
      <c r="O4278" s="7" t="n"/>
    </row>
    <row r="4279">
      <c r="A4279" s="7" t="n"/>
      <c r="B4279" s="7" t="n"/>
      <c r="C4279" s="7" t="n"/>
      <c r="D4279" s="7" t="n"/>
      <c r="E4279" s="7" t="n"/>
      <c r="F4279" s="7" t="n"/>
      <c r="G4279" s="7" t="n"/>
      <c r="H4279" s="7" t="n"/>
      <c r="I4279" s="7" t="n"/>
      <c r="J4279" s="7" t="n"/>
      <c r="K4279">
        <f>IF(D4279="Legitimate Interest (GDPR Art. 6(1)(f))", "Yes / Required (Sheet 3)", "")</f>
        <v/>
      </c>
      <c r="L4279" s="7" t="n"/>
      <c r="M4279" s="7" t="n"/>
      <c r="N4279">
        <f>IF(D4279="", "Gap - No Legal Basis", IF(AND(D4279="Consent (GDPR Art. 6(1)(a))", I4279="Not Captured"), "Gap - Invalid Consent", IF(AND(D4279="Legitimate Interest (GDPR Art. 6(1)(f))", L4279=""), "Gap - Missing LIA", IF(AND(G4279="Yes", H4279=""), "Gap - Missing Art. 9 Basis", IF(OR(I4279="Invalid - Not Freely Given", I4279="Invalid - Not Specific", I4279="Invalid - Not Informed", I4279="Invalid - Ambiguous"), "Gap - Invalid Consent", "Compliant")))))</f>
        <v/>
      </c>
      <c r="O4279" s="7" t="n"/>
    </row>
    <row r="4280">
      <c r="A4280" s="7" t="n"/>
      <c r="B4280" s="7" t="n"/>
      <c r="C4280" s="7" t="n"/>
      <c r="D4280" s="7" t="n"/>
      <c r="E4280" s="7" t="n"/>
      <c r="F4280" s="7" t="n"/>
      <c r="G4280" s="7" t="n"/>
      <c r="H4280" s="7" t="n"/>
      <c r="I4280" s="7" t="n"/>
      <c r="J4280" s="7" t="n"/>
      <c r="K4280">
        <f>IF(D4280="Legitimate Interest (GDPR Art. 6(1)(f))", "Yes / Required (Sheet 3)", "")</f>
        <v/>
      </c>
      <c r="L4280" s="7" t="n"/>
      <c r="M4280" s="7" t="n"/>
      <c r="N4280">
        <f>IF(D4280="", "Gap - No Legal Basis", IF(AND(D4280="Consent (GDPR Art. 6(1)(a))", I4280="Not Captured"), "Gap - Invalid Consent", IF(AND(D4280="Legitimate Interest (GDPR Art. 6(1)(f))", L4280=""), "Gap - Missing LIA", IF(AND(G4280="Yes", H4280=""), "Gap - Missing Art. 9 Basis", IF(OR(I4280="Invalid - Not Freely Given", I4280="Invalid - Not Specific", I4280="Invalid - Not Informed", I4280="Invalid - Ambiguous"), "Gap - Invalid Consent", "Compliant")))))</f>
        <v/>
      </c>
      <c r="O4280" s="7" t="n"/>
    </row>
    <row r="4281">
      <c r="A4281" s="7" t="n"/>
      <c r="B4281" s="7" t="n"/>
      <c r="C4281" s="7" t="n"/>
      <c r="D4281" s="7" t="n"/>
      <c r="E4281" s="7" t="n"/>
      <c r="F4281" s="7" t="n"/>
      <c r="G4281" s="7" t="n"/>
      <c r="H4281" s="7" t="n"/>
      <c r="I4281" s="7" t="n"/>
      <c r="J4281" s="7" t="n"/>
      <c r="K4281">
        <f>IF(D4281="Legitimate Interest (GDPR Art. 6(1)(f))", "Yes / Required (Sheet 3)", "")</f>
        <v/>
      </c>
      <c r="L4281" s="7" t="n"/>
      <c r="M4281" s="7" t="n"/>
      <c r="N4281">
        <f>IF(D4281="", "Gap - No Legal Basis", IF(AND(D4281="Consent (GDPR Art. 6(1)(a))", I4281="Not Captured"), "Gap - Invalid Consent", IF(AND(D4281="Legitimate Interest (GDPR Art. 6(1)(f))", L4281=""), "Gap - Missing LIA", IF(AND(G4281="Yes", H4281=""), "Gap - Missing Art. 9 Basis", IF(OR(I4281="Invalid - Not Freely Given", I4281="Invalid - Not Specific", I4281="Invalid - Not Informed", I4281="Invalid - Ambiguous"), "Gap - Invalid Consent", "Compliant")))))</f>
        <v/>
      </c>
      <c r="O4281" s="7" t="n"/>
    </row>
    <row r="4282">
      <c r="A4282" s="7" t="n"/>
      <c r="B4282" s="7" t="n"/>
      <c r="C4282" s="7" t="n"/>
      <c r="D4282" s="7" t="n"/>
      <c r="E4282" s="7" t="n"/>
      <c r="F4282" s="7" t="n"/>
      <c r="G4282" s="7" t="n"/>
      <c r="H4282" s="7" t="n"/>
      <c r="I4282" s="7" t="n"/>
      <c r="J4282" s="7" t="n"/>
      <c r="K4282">
        <f>IF(D4282="Legitimate Interest (GDPR Art. 6(1)(f))", "Yes / Required (Sheet 3)", "")</f>
        <v/>
      </c>
      <c r="L4282" s="7" t="n"/>
      <c r="M4282" s="7" t="n"/>
      <c r="N4282">
        <f>IF(D4282="", "Gap - No Legal Basis", IF(AND(D4282="Consent (GDPR Art. 6(1)(a))", I4282="Not Captured"), "Gap - Invalid Consent", IF(AND(D4282="Legitimate Interest (GDPR Art. 6(1)(f))", L4282=""), "Gap - Missing LIA", IF(AND(G4282="Yes", H4282=""), "Gap - Missing Art. 9 Basis", IF(OR(I4282="Invalid - Not Freely Given", I4282="Invalid - Not Specific", I4282="Invalid - Not Informed", I4282="Invalid - Ambiguous"), "Gap - Invalid Consent", "Compliant")))))</f>
        <v/>
      </c>
      <c r="O4282" s="7" t="n"/>
    </row>
    <row r="4283">
      <c r="A4283" s="7" t="n"/>
      <c r="B4283" s="7" t="n"/>
      <c r="C4283" s="7" t="n"/>
      <c r="D4283" s="7" t="n"/>
      <c r="E4283" s="7" t="n"/>
      <c r="F4283" s="7" t="n"/>
      <c r="G4283" s="7" t="n"/>
      <c r="H4283" s="7" t="n"/>
      <c r="I4283" s="7" t="n"/>
      <c r="J4283" s="7" t="n"/>
      <c r="K4283">
        <f>IF(D4283="Legitimate Interest (GDPR Art. 6(1)(f))", "Yes / Required (Sheet 3)", "")</f>
        <v/>
      </c>
      <c r="L4283" s="7" t="n"/>
      <c r="M4283" s="7" t="n"/>
      <c r="N4283">
        <f>IF(D4283="", "Gap - No Legal Basis", IF(AND(D4283="Consent (GDPR Art. 6(1)(a))", I4283="Not Captured"), "Gap - Invalid Consent", IF(AND(D4283="Legitimate Interest (GDPR Art. 6(1)(f))", L4283=""), "Gap - Missing LIA", IF(AND(G4283="Yes", H4283=""), "Gap - Missing Art. 9 Basis", IF(OR(I4283="Invalid - Not Freely Given", I4283="Invalid - Not Specific", I4283="Invalid - Not Informed", I4283="Invalid - Ambiguous"), "Gap - Invalid Consent", "Compliant")))))</f>
        <v/>
      </c>
      <c r="O4283" s="7" t="n"/>
    </row>
    <row r="4284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7" t="n"/>
      <c r="J4284" s="7" t="n"/>
      <c r="K4284">
        <f>IF(D4284="Legitimate Interest (GDPR Art. 6(1)(f))", "Yes / Required (Sheet 3)", "")</f>
        <v/>
      </c>
      <c r="L4284" s="7" t="n"/>
      <c r="M4284" s="7" t="n"/>
      <c r="N4284">
        <f>IF(D4284="", "Gap - No Legal Basis", IF(AND(D4284="Consent (GDPR Art. 6(1)(a))", I4284="Not Captured"), "Gap - Invalid Consent", IF(AND(D4284="Legitimate Interest (GDPR Art. 6(1)(f))", L4284=""), "Gap - Missing LIA", IF(AND(G4284="Yes", H4284=""), "Gap - Missing Art. 9 Basis", IF(OR(I4284="Invalid - Not Freely Given", I4284="Invalid - Not Specific", I4284="Invalid - Not Informed", I4284="Invalid - Ambiguous"), "Gap - Invalid Consent", "Compliant")))))</f>
        <v/>
      </c>
      <c r="O4284" s="7" t="n"/>
    </row>
    <row r="4285">
      <c r="A4285" s="7" t="n"/>
      <c r="B4285" s="7" t="n"/>
      <c r="C4285" s="7" t="n"/>
      <c r="D4285" s="7" t="n"/>
      <c r="E4285" s="7" t="n"/>
      <c r="F4285" s="7" t="n"/>
      <c r="G4285" s="7" t="n"/>
      <c r="H4285" s="7" t="n"/>
      <c r="I4285" s="7" t="n"/>
      <c r="J4285" s="7" t="n"/>
      <c r="K4285">
        <f>IF(D4285="Legitimate Interest (GDPR Art. 6(1)(f))", "Yes / Required (Sheet 3)", "")</f>
        <v/>
      </c>
      <c r="L4285" s="7" t="n"/>
      <c r="M4285" s="7" t="n"/>
      <c r="N4285">
        <f>IF(D4285="", "Gap - No Legal Basis", IF(AND(D4285="Consent (GDPR Art. 6(1)(a))", I4285="Not Captured"), "Gap - Invalid Consent", IF(AND(D4285="Legitimate Interest (GDPR Art. 6(1)(f))", L4285=""), "Gap - Missing LIA", IF(AND(G4285="Yes", H4285=""), "Gap - Missing Art. 9 Basis", IF(OR(I4285="Invalid - Not Freely Given", I4285="Invalid - Not Specific", I4285="Invalid - Not Informed", I4285="Invalid - Ambiguous"), "Gap - Invalid Consent", "Compliant")))))</f>
        <v/>
      </c>
      <c r="O4285" s="7" t="n"/>
    </row>
    <row r="4286">
      <c r="A4286" s="7" t="n"/>
      <c r="B4286" s="7" t="n"/>
      <c r="C4286" s="7" t="n"/>
      <c r="D4286" s="7" t="n"/>
      <c r="E4286" s="7" t="n"/>
      <c r="F4286" s="7" t="n"/>
      <c r="G4286" s="7" t="n"/>
      <c r="H4286" s="7" t="n"/>
      <c r="I4286" s="7" t="n"/>
      <c r="J4286" s="7" t="n"/>
      <c r="K4286">
        <f>IF(D4286="Legitimate Interest (GDPR Art. 6(1)(f))", "Yes / Required (Sheet 3)", "")</f>
        <v/>
      </c>
      <c r="L4286" s="7" t="n"/>
      <c r="M4286" s="7" t="n"/>
      <c r="N4286">
        <f>IF(D4286="", "Gap - No Legal Basis", IF(AND(D4286="Consent (GDPR Art. 6(1)(a))", I4286="Not Captured"), "Gap - Invalid Consent", IF(AND(D4286="Legitimate Interest (GDPR Art. 6(1)(f))", L4286=""), "Gap - Missing LIA", IF(AND(G4286="Yes", H4286=""), "Gap - Missing Art. 9 Basis", IF(OR(I4286="Invalid - Not Freely Given", I4286="Invalid - Not Specific", I4286="Invalid - Not Informed", I4286="Invalid - Ambiguous"), "Gap - Invalid Consent", "Compliant")))))</f>
        <v/>
      </c>
      <c r="O4286" s="7" t="n"/>
    </row>
    <row r="4287">
      <c r="A4287" s="7" t="n"/>
      <c r="B4287" s="7" t="n"/>
      <c r="C4287" s="7" t="n"/>
      <c r="D4287" s="7" t="n"/>
      <c r="E4287" s="7" t="n"/>
      <c r="F4287" s="7" t="n"/>
      <c r="G4287" s="7" t="n"/>
      <c r="H4287" s="7" t="n"/>
      <c r="I4287" s="7" t="n"/>
      <c r="J4287" s="7" t="n"/>
      <c r="K4287">
        <f>IF(D4287="Legitimate Interest (GDPR Art. 6(1)(f))", "Yes / Required (Sheet 3)", "")</f>
        <v/>
      </c>
      <c r="L4287" s="7" t="n"/>
      <c r="M4287" s="7" t="n"/>
      <c r="N4287">
        <f>IF(D4287="", "Gap - No Legal Basis", IF(AND(D4287="Consent (GDPR Art. 6(1)(a))", I4287="Not Captured"), "Gap - Invalid Consent", IF(AND(D4287="Legitimate Interest (GDPR Art. 6(1)(f))", L4287=""), "Gap - Missing LIA", IF(AND(G4287="Yes", H4287=""), "Gap - Missing Art. 9 Basis", IF(OR(I4287="Invalid - Not Freely Given", I4287="Invalid - Not Specific", I4287="Invalid - Not Informed", I4287="Invalid - Ambiguous"), "Gap - Invalid Consent", "Compliant")))))</f>
        <v/>
      </c>
      <c r="O4287" s="7" t="n"/>
    </row>
    <row r="4288">
      <c r="A4288" s="7" t="n"/>
      <c r="B4288" s="7" t="n"/>
      <c r="C4288" s="7" t="n"/>
      <c r="D4288" s="7" t="n"/>
      <c r="E4288" s="7" t="n"/>
      <c r="F4288" s="7" t="n"/>
      <c r="G4288" s="7" t="n"/>
      <c r="H4288" s="7" t="n"/>
      <c r="I4288" s="7" t="n"/>
      <c r="J4288" s="7" t="n"/>
      <c r="K4288">
        <f>IF(D4288="Legitimate Interest (GDPR Art. 6(1)(f))", "Yes / Required (Sheet 3)", "")</f>
        <v/>
      </c>
      <c r="L4288" s="7" t="n"/>
      <c r="M4288" s="7" t="n"/>
      <c r="N4288">
        <f>IF(D4288="", "Gap - No Legal Basis", IF(AND(D4288="Consent (GDPR Art. 6(1)(a))", I4288="Not Captured"), "Gap - Invalid Consent", IF(AND(D4288="Legitimate Interest (GDPR Art. 6(1)(f))", L4288=""), "Gap - Missing LIA", IF(AND(G4288="Yes", H4288=""), "Gap - Missing Art. 9 Basis", IF(OR(I4288="Invalid - Not Freely Given", I4288="Invalid - Not Specific", I4288="Invalid - Not Informed", I4288="Invalid - Ambiguous"), "Gap - Invalid Consent", "Compliant")))))</f>
        <v/>
      </c>
      <c r="O4288" s="7" t="n"/>
    </row>
    <row r="4289">
      <c r="A4289" s="7" t="n"/>
      <c r="B4289" s="7" t="n"/>
      <c r="C4289" s="7" t="n"/>
      <c r="D4289" s="7" t="n"/>
      <c r="E4289" s="7" t="n"/>
      <c r="F4289" s="7" t="n"/>
      <c r="G4289" s="7" t="n"/>
      <c r="H4289" s="7" t="n"/>
      <c r="I4289" s="7" t="n"/>
      <c r="J4289" s="7" t="n"/>
      <c r="K4289">
        <f>IF(D4289="Legitimate Interest (GDPR Art. 6(1)(f))", "Yes / Required (Sheet 3)", "")</f>
        <v/>
      </c>
      <c r="L4289" s="7" t="n"/>
      <c r="M4289" s="7" t="n"/>
      <c r="N4289">
        <f>IF(D4289="", "Gap - No Legal Basis", IF(AND(D4289="Consent (GDPR Art. 6(1)(a))", I4289="Not Captured"), "Gap - Invalid Consent", IF(AND(D4289="Legitimate Interest (GDPR Art. 6(1)(f))", L4289=""), "Gap - Missing LIA", IF(AND(G4289="Yes", H4289=""), "Gap - Missing Art. 9 Basis", IF(OR(I4289="Invalid - Not Freely Given", I4289="Invalid - Not Specific", I4289="Invalid - Not Informed", I4289="Invalid - Ambiguous"), "Gap - Invalid Consent", "Compliant")))))</f>
        <v/>
      </c>
      <c r="O4289" s="7" t="n"/>
    </row>
    <row r="4290">
      <c r="A4290" s="7" t="n"/>
      <c r="B4290" s="7" t="n"/>
      <c r="C4290" s="7" t="n"/>
      <c r="D4290" s="7" t="n"/>
      <c r="E4290" s="7" t="n"/>
      <c r="F4290" s="7" t="n"/>
      <c r="G4290" s="7" t="n"/>
      <c r="H4290" s="7" t="n"/>
      <c r="I4290" s="7" t="n"/>
      <c r="J4290" s="7" t="n"/>
      <c r="K4290">
        <f>IF(D4290="Legitimate Interest (GDPR Art. 6(1)(f))", "Yes / Required (Sheet 3)", "")</f>
        <v/>
      </c>
      <c r="L4290" s="7" t="n"/>
      <c r="M4290" s="7" t="n"/>
      <c r="N4290">
        <f>IF(D4290="", "Gap - No Legal Basis", IF(AND(D4290="Consent (GDPR Art. 6(1)(a))", I4290="Not Captured"), "Gap - Invalid Consent", IF(AND(D4290="Legitimate Interest (GDPR Art. 6(1)(f))", L4290=""), "Gap - Missing LIA", IF(AND(G4290="Yes", H4290=""), "Gap - Missing Art. 9 Basis", IF(OR(I4290="Invalid - Not Freely Given", I4290="Invalid - Not Specific", I4290="Invalid - Not Informed", I4290="Invalid - Ambiguous"), "Gap - Invalid Consent", "Compliant")))))</f>
        <v/>
      </c>
      <c r="O4290" s="7" t="n"/>
    </row>
    <row r="4291">
      <c r="A4291" s="7" t="n"/>
      <c r="B4291" s="7" t="n"/>
      <c r="C4291" s="7" t="n"/>
      <c r="D4291" s="7" t="n"/>
      <c r="E4291" s="7" t="n"/>
      <c r="F4291" s="7" t="n"/>
      <c r="G4291" s="7" t="n"/>
      <c r="H4291" s="7" t="n"/>
      <c r="I4291" s="7" t="n"/>
      <c r="J4291" s="7" t="n"/>
      <c r="K4291">
        <f>IF(D4291="Legitimate Interest (GDPR Art. 6(1)(f))", "Yes / Required (Sheet 3)", "")</f>
        <v/>
      </c>
      <c r="L4291" s="7" t="n"/>
      <c r="M4291" s="7" t="n"/>
      <c r="N4291">
        <f>IF(D4291="", "Gap - No Legal Basis", IF(AND(D4291="Consent (GDPR Art. 6(1)(a))", I4291="Not Captured"), "Gap - Invalid Consent", IF(AND(D4291="Legitimate Interest (GDPR Art. 6(1)(f))", L4291=""), "Gap - Missing LIA", IF(AND(G4291="Yes", H4291=""), "Gap - Missing Art. 9 Basis", IF(OR(I4291="Invalid - Not Freely Given", I4291="Invalid - Not Specific", I4291="Invalid - Not Informed", I4291="Invalid - Ambiguous"), "Gap - Invalid Consent", "Compliant")))))</f>
        <v/>
      </c>
      <c r="O4291" s="7" t="n"/>
    </row>
    <row r="4292">
      <c r="A4292" s="7" t="n"/>
      <c r="B4292" s="7" t="n"/>
      <c r="C4292" s="7" t="n"/>
      <c r="D4292" s="7" t="n"/>
      <c r="E4292" s="7" t="n"/>
      <c r="F4292" s="7" t="n"/>
      <c r="G4292" s="7" t="n"/>
      <c r="H4292" s="7" t="n"/>
      <c r="I4292" s="7" t="n"/>
      <c r="J4292" s="7" t="n"/>
      <c r="K4292">
        <f>IF(D4292="Legitimate Interest (GDPR Art. 6(1)(f))", "Yes / Required (Sheet 3)", "")</f>
        <v/>
      </c>
      <c r="L4292" s="7" t="n"/>
      <c r="M4292" s="7" t="n"/>
      <c r="N4292">
        <f>IF(D4292="", "Gap - No Legal Basis", IF(AND(D4292="Consent (GDPR Art. 6(1)(a))", I4292="Not Captured"), "Gap - Invalid Consent", IF(AND(D4292="Legitimate Interest (GDPR Art. 6(1)(f))", L4292=""), "Gap - Missing LIA", IF(AND(G4292="Yes", H4292=""), "Gap - Missing Art. 9 Basis", IF(OR(I4292="Invalid - Not Freely Given", I4292="Invalid - Not Specific", I4292="Invalid - Not Informed", I4292="Invalid - Ambiguous"), "Gap - Invalid Consent", "Compliant")))))</f>
        <v/>
      </c>
      <c r="O4292" s="7" t="n"/>
    </row>
    <row r="4293">
      <c r="A4293" s="7" t="n"/>
      <c r="B4293" s="7" t="n"/>
      <c r="C4293" s="7" t="n"/>
      <c r="D4293" s="7" t="n"/>
      <c r="E4293" s="7" t="n"/>
      <c r="F4293" s="7" t="n"/>
      <c r="G4293" s="7" t="n"/>
      <c r="H4293" s="7" t="n"/>
      <c r="I4293" s="7" t="n"/>
      <c r="J4293" s="7" t="n"/>
      <c r="K4293">
        <f>IF(D4293="Legitimate Interest (GDPR Art. 6(1)(f))", "Yes / Required (Sheet 3)", "")</f>
        <v/>
      </c>
      <c r="L4293" s="7" t="n"/>
      <c r="M4293" s="7" t="n"/>
      <c r="N4293">
        <f>IF(D4293="", "Gap - No Legal Basis", IF(AND(D4293="Consent (GDPR Art. 6(1)(a))", I4293="Not Captured"), "Gap - Invalid Consent", IF(AND(D4293="Legitimate Interest (GDPR Art. 6(1)(f))", L4293=""), "Gap - Missing LIA", IF(AND(G4293="Yes", H4293=""), "Gap - Missing Art. 9 Basis", IF(OR(I4293="Invalid - Not Freely Given", I4293="Invalid - Not Specific", I4293="Invalid - Not Informed", I4293="Invalid - Ambiguous"), "Gap - Invalid Consent", "Compliant")))))</f>
        <v/>
      </c>
      <c r="O4293" s="7" t="n"/>
    </row>
    <row r="4294">
      <c r="A4294" s="7" t="n"/>
      <c r="B4294" s="7" t="n"/>
      <c r="C4294" s="7" t="n"/>
      <c r="D4294" s="7" t="n"/>
      <c r="E4294" s="7" t="n"/>
      <c r="F4294" s="7" t="n"/>
      <c r="G4294" s="7" t="n"/>
      <c r="H4294" s="7" t="n"/>
      <c r="I4294" s="7" t="n"/>
      <c r="J4294" s="7" t="n"/>
      <c r="K4294">
        <f>IF(D4294="Legitimate Interest (GDPR Art. 6(1)(f))", "Yes / Required (Sheet 3)", "")</f>
        <v/>
      </c>
      <c r="L4294" s="7" t="n"/>
      <c r="M4294" s="7" t="n"/>
      <c r="N4294">
        <f>IF(D4294="", "Gap - No Legal Basis", IF(AND(D4294="Consent (GDPR Art. 6(1)(a))", I4294="Not Captured"), "Gap - Invalid Consent", IF(AND(D4294="Legitimate Interest (GDPR Art. 6(1)(f))", L4294=""), "Gap - Missing LIA", IF(AND(G4294="Yes", H4294=""), "Gap - Missing Art. 9 Basis", IF(OR(I4294="Invalid - Not Freely Given", I4294="Invalid - Not Specific", I4294="Invalid - Not Informed", I4294="Invalid - Ambiguous"), "Gap - Invalid Consent", "Compliant")))))</f>
        <v/>
      </c>
      <c r="O4294" s="7" t="n"/>
    </row>
    <row r="4295">
      <c r="A4295" s="7" t="n"/>
      <c r="B4295" s="7" t="n"/>
      <c r="C4295" s="7" t="n"/>
      <c r="D4295" s="7" t="n"/>
      <c r="E4295" s="7" t="n"/>
      <c r="F4295" s="7" t="n"/>
      <c r="G4295" s="7" t="n"/>
      <c r="H4295" s="7" t="n"/>
      <c r="I4295" s="7" t="n"/>
      <c r="J4295" s="7" t="n"/>
      <c r="K4295">
        <f>IF(D4295="Legitimate Interest (GDPR Art. 6(1)(f))", "Yes / Required (Sheet 3)", "")</f>
        <v/>
      </c>
      <c r="L4295" s="7" t="n"/>
      <c r="M4295" s="7" t="n"/>
      <c r="N4295">
        <f>IF(D4295="", "Gap - No Legal Basis", IF(AND(D4295="Consent (GDPR Art. 6(1)(a))", I4295="Not Captured"), "Gap - Invalid Consent", IF(AND(D4295="Legitimate Interest (GDPR Art. 6(1)(f))", L4295=""), "Gap - Missing LIA", IF(AND(G4295="Yes", H4295=""), "Gap - Missing Art. 9 Basis", IF(OR(I4295="Invalid - Not Freely Given", I4295="Invalid - Not Specific", I4295="Invalid - Not Informed", I4295="Invalid - Ambiguous"), "Gap - Invalid Consent", "Compliant")))))</f>
        <v/>
      </c>
      <c r="O4295" s="7" t="n"/>
    </row>
    <row r="4296">
      <c r="A4296" s="7" t="n"/>
      <c r="B4296" s="7" t="n"/>
      <c r="C4296" s="7" t="n"/>
      <c r="D4296" s="7" t="n"/>
      <c r="E4296" s="7" t="n"/>
      <c r="F4296" s="7" t="n"/>
      <c r="G4296" s="7" t="n"/>
      <c r="H4296" s="7" t="n"/>
      <c r="I4296" s="7" t="n"/>
      <c r="J4296" s="7" t="n"/>
      <c r="K4296">
        <f>IF(D4296="Legitimate Interest (GDPR Art. 6(1)(f))", "Yes / Required (Sheet 3)", "")</f>
        <v/>
      </c>
      <c r="L4296" s="7" t="n"/>
      <c r="M4296" s="7" t="n"/>
      <c r="N4296">
        <f>IF(D4296="", "Gap - No Legal Basis", IF(AND(D4296="Consent (GDPR Art. 6(1)(a))", I4296="Not Captured"), "Gap - Invalid Consent", IF(AND(D4296="Legitimate Interest (GDPR Art. 6(1)(f))", L4296=""), "Gap - Missing LIA", IF(AND(G4296="Yes", H4296=""), "Gap - Missing Art. 9 Basis", IF(OR(I4296="Invalid - Not Freely Given", I4296="Invalid - Not Specific", I4296="Invalid - Not Informed", I4296="Invalid - Ambiguous"), "Gap - Invalid Consent", "Compliant")))))</f>
        <v/>
      </c>
      <c r="O4296" s="7" t="n"/>
    </row>
    <row r="4297">
      <c r="A4297" s="7" t="n"/>
      <c r="B4297" s="7" t="n"/>
      <c r="C4297" s="7" t="n"/>
      <c r="D4297" s="7" t="n"/>
      <c r="E4297" s="7" t="n"/>
      <c r="F4297" s="7" t="n"/>
      <c r="G4297" s="7" t="n"/>
      <c r="H4297" s="7" t="n"/>
      <c r="I4297" s="7" t="n"/>
      <c r="J4297" s="7" t="n"/>
      <c r="K4297">
        <f>IF(D4297="Legitimate Interest (GDPR Art. 6(1)(f))", "Yes / Required (Sheet 3)", "")</f>
        <v/>
      </c>
      <c r="L4297" s="7" t="n"/>
      <c r="M4297" s="7" t="n"/>
      <c r="N4297">
        <f>IF(D4297="", "Gap - No Legal Basis", IF(AND(D4297="Consent (GDPR Art. 6(1)(a))", I4297="Not Captured"), "Gap - Invalid Consent", IF(AND(D4297="Legitimate Interest (GDPR Art. 6(1)(f))", L4297=""), "Gap - Missing LIA", IF(AND(G4297="Yes", H4297=""), "Gap - Missing Art. 9 Basis", IF(OR(I4297="Invalid - Not Freely Given", I4297="Invalid - Not Specific", I4297="Invalid - Not Informed", I4297="Invalid - Ambiguous"), "Gap - Invalid Consent", "Compliant")))))</f>
        <v/>
      </c>
      <c r="O4297" s="7" t="n"/>
    </row>
    <row r="4298">
      <c r="A4298" s="7" t="n"/>
      <c r="B4298" s="7" t="n"/>
      <c r="C4298" s="7" t="n"/>
      <c r="D4298" s="7" t="n"/>
      <c r="E4298" s="7" t="n"/>
      <c r="F4298" s="7" t="n"/>
      <c r="G4298" s="7" t="n"/>
      <c r="H4298" s="7" t="n"/>
      <c r="I4298" s="7" t="n"/>
      <c r="J4298" s="7" t="n"/>
      <c r="K4298">
        <f>IF(D4298="Legitimate Interest (GDPR Art. 6(1)(f))", "Yes / Required (Sheet 3)", "")</f>
        <v/>
      </c>
      <c r="L4298" s="7" t="n"/>
      <c r="M4298" s="7" t="n"/>
      <c r="N4298">
        <f>IF(D4298="", "Gap - No Legal Basis", IF(AND(D4298="Consent (GDPR Art. 6(1)(a))", I4298="Not Captured"), "Gap - Invalid Consent", IF(AND(D4298="Legitimate Interest (GDPR Art. 6(1)(f))", L4298=""), "Gap - Missing LIA", IF(AND(G4298="Yes", H4298=""), "Gap - Missing Art. 9 Basis", IF(OR(I4298="Invalid - Not Freely Given", I4298="Invalid - Not Specific", I4298="Invalid - Not Informed", I4298="Invalid - Ambiguous"), "Gap - Invalid Consent", "Compliant")))))</f>
        <v/>
      </c>
      <c r="O4298" s="7" t="n"/>
    </row>
    <row r="4299">
      <c r="A4299" s="7" t="n"/>
      <c r="B4299" s="7" t="n"/>
      <c r="C4299" s="7" t="n"/>
      <c r="D4299" s="7" t="n"/>
      <c r="E4299" s="7" t="n"/>
      <c r="F4299" s="7" t="n"/>
      <c r="G4299" s="7" t="n"/>
      <c r="H4299" s="7" t="n"/>
      <c r="I4299" s="7" t="n"/>
      <c r="J4299" s="7" t="n"/>
      <c r="K4299">
        <f>IF(D4299="Legitimate Interest (GDPR Art. 6(1)(f))", "Yes / Required (Sheet 3)", "")</f>
        <v/>
      </c>
      <c r="L4299" s="7" t="n"/>
      <c r="M4299" s="7" t="n"/>
      <c r="N4299">
        <f>IF(D4299="", "Gap - No Legal Basis", IF(AND(D4299="Consent (GDPR Art. 6(1)(a))", I4299="Not Captured"), "Gap - Invalid Consent", IF(AND(D4299="Legitimate Interest (GDPR Art. 6(1)(f))", L4299=""), "Gap - Missing LIA", IF(AND(G4299="Yes", H4299=""), "Gap - Missing Art. 9 Basis", IF(OR(I4299="Invalid - Not Freely Given", I4299="Invalid - Not Specific", I4299="Invalid - Not Informed", I4299="Invalid - Ambiguous"), "Gap - Invalid Consent", "Compliant")))))</f>
        <v/>
      </c>
      <c r="O4299" s="7" t="n"/>
    </row>
    <row r="4300">
      <c r="A4300" s="7" t="n"/>
      <c r="B4300" s="7" t="n"/>
      <c r="C4300" s="7" t="n"/>
      <c r="D4300" s="7" t="n"/>
      <c r="E4300" s="7" t="n"/>
      <c r="F4300" s="7" t="n"/>
      <c r="G4300" s="7" t="n"/>
      <c r="H4300" s="7" t="n"/>
      <c r="I4300" s="7" t="n"/>
      <c r="J4300" s="7" t="n"/>
      <c r="K4300">
        <f>IF(D4300="Legitimate Interest (GDPR Art. 6(1)(f))", "Yes / Required (Sheet 3)", "")</f>
        <v/>
      </c>
      <c r="L4300" s="7" t="n"/>
      <c r="M4300" s="7" t="n"/>
      <c r="N4300">
        <f>IF(D4300="", "Gap - No Legal Basis", IF(AND(D4300="Consent (GDPR Art. 6(1)(a))", I4300="Not Captured"), "Gap - Invalid Consent", IF(AND(D4300="Legitimate Interest (GDPR Art. 6(1)(f))", L4300=""), "Gap - Missing LIA", IF(AND(G4300="Yes", H4300=""), "Gap - Missing Art. 9 Basis", IF(OR(I4300="Invalid - Not Freely Given", I4300="Invalid - Not Specific", I4300="Invalid - Not Informed", I4300="Invalid - Ambiguous"), "Gap - Invalid Consent", "Compliant")))))</f>
        <v/>
      </c>
      <c r="O4300" s="7" t="n"/>
    </row>
    <row r="4301">
      <c r="A4301" s="7" t="n"/>
      <c r="B4301" s="7" t="n"/>
      <c r="C4301" s="7" t="n"/>
      <c r="D4301" s="7" t="n"/>
      <c r="E4301" s="7" t="n"/>
      <c r="F4301" s="7" t="n"/>
      <c r="G4301" s="7" t="n"/>
      <c r="H4301" s="7" t="n"/>
      <c r="I4301" s="7" t="n"/>
      <c r="J4301" s="7" t="n"/>
      <c r="K4301">
        <f>IF(D4301="Legitimate Interest (GDPR Art. 6(1)(f))", "Yes / Required (Sheet 3)", "")</f>
        <v/>
      </c>
      <c r="L4301" s="7" t="n"/>
      <c r="M4301" s="7" t="n"/>
      <c r="N4301">
        <f>IF(D4301="", "Gap - No Legal Basis", IF(AND(D4301="Consent (GDPR Art. 6(1)(a))", I4301="Not Captured"), "Gap - Invalid Consent", IF(AND(D4301="Legitimate Interest (GDPR Art. 6(1)(f))", L4301=""), "Gap - Missing LIA", IF(AND(G4301="Yes", H4301=""), "Gap - Missing Art. 9 Basis", IF(OR(I4301="Invalid - Not Freely Given", I4301="Invalid - Not Specific", I4301="Invalid - Not Informed", I4301="Invalid - Ambiguous"), "Gap - Invalid Consent", "Compliant")))))</f>
        <v/>
      </c>
      <c r="O4301" s="7" t="n"/>
    </row>
    <row r="4302">
      <c r="A4302" s="7" t="n"/>
      <c r="B4302" s="7" t="n"/>
      <c r="C4302" s="7" t="n"/>
      <c r="D4302" s="7" t="n"/>
      <c r="E4302" s="7" t="n"/>
      <c r="F4302" s="7" t="n"/>
      <c r="G4302" s="7" t="n"/>
      <c r="H4302" s="7" t="n"/>
      <c r="I4302" s="7" t="n"/>
      <c r="J4302" s="7" t="n"/>
      <c r="K4302">
        <f>IF(D4302="Legitimate Interest (GDPR Art. 6(1)(f))", "Yes / Required (Sheet 3)", "")</f>
        <v/>
      </c>
      <c r="L4302" s="7" t="n"/>
      <c r="M4302" s="7" t="n"/>
      <c r="N4302">
        <f>IF(D4302="", "Gap - No Legal Basis", IF(AND(D4302="Consent (GDPR Art. 6(1)(a))", I4302="Not Captured"), "Gap - Invalid Consent", IF(AND(D4302="Legitimate Interest (GDPR Art. 6(1)(f))", L4302=""), "Gap - Missing LIA", IF(AND(G4302="Yes", H4302=""), "Gap - Missing Art. 9 Basis", IF(OR(I4302="Invalid - Not Freely Given", I4302="Invalid - Not Specific", I4302="Invalid - Not Informed", I4302="Invalid - Ambiguous"), "Gap - Invalid Consent", "Compliant")))))</f>
        <v/>
      </c>
      <c r="O4302" s="7" t="n"/>
    </row>
    <row r="4303">
      <c r="A4303" s="7" t="n"/>
      <c r="B4303" s="7" t="n"/>
      <c r="C4303" s="7" t="n"/>
      <c r="D4303" s="7" t="n"/>
      <c r="E4303" s="7" t="n"/>
      <c r="F4303" s="7" t="n"/>
      <c r="G4303" s="7" t="n"/>
      <c r="H4303" s="7" t="n"/>
      <c r="I4303" s="7" t="n"/>
      <c r="J4303" s="7" t="n"/>
      <c r="K4303">
        <f>IF(D4303="Legitimate Interest (GDPR Art. 6(1)(f))", "Yes / Required (Sheet 3)", "")</f>
        <v/>
      </c>
      <c r="L4303" s="7" t="n"/>
      <c r="M4303" s="7" t="n"/>
      <c r="N4303">
        <f>IF(D4303="", "Gap - No Legal Basis", IF(AND(D4303="Consent (GDPR Art. 6(1)(a))", I4303="Not Captured"), "Gap - Invalid Consent", IF(AND(D4303="Legitimate Interest (GDPR Art. 6(1)(f))", L4303=""), "Gap - Missing LIA", IF(AND(G4303="Yes", H4303=""), "Gap - Missing Art. 9 Basis", IF(OR(I4303="Invalid - Not Freely Given", I4303="Invalid - Not Specific", I4303="Invalid - Not Informed", I4303="Invalid - Ambiguous"), "Gap - Invalid Consent", "Compliant")))))</f>
        <v/>
      </c>
      <c r="O4303" s="7" t="n"/>
    </row>
    <row r="4304">
      <c r="A4304" s="7" t="n"/>
      <c r="B4304" s="7" t="n"/>
      <c r="C4304" s="7" t="n"/>
      <c r="D4304" s="7" t="n"/>
      <c r="E4304" s="7" t="n"/>
      <c r="F4304" s="7" t="n"/>
      <c r="G4304" s="7" t="n"/>
      <c r="H4304" s="7" t="n"/>
      <c r="I4304" s="7" t="n"/>
      <c r="J4304" s="7" t="n"/>
      <c r="K4304">
        <f>IF(D4304="Legitimate Interest (GDPR Art. 6(1)(f))", "Yes / Required (Sheet 3)", "")</f>
        <v/>
      </c>
      <c r="L4304" s="7" t="n"/>
      <c r="M4304" s="7" t="n"/>
      <c r="N4304">
        <f>IF(D4304="", "Gap - No Legal Basis", IF(AND(D4304="Consent (GDPR Art. 6(1)(a))", I4304="Not Captured"), "Gap - Invalid Consent", IF(AND(D4304="Legitimate Interest (GDPR Art. 6(1)(f))", L4304=""), "Gap - Missing LIA", IF(AND(G4304="Yes", H4304=""), "Gap - Missing Art. 9 Basis", IF(OR(I4304="Invalid - Not Freely Given", I4304="Invalid - Not Specific", I4304="Invalid - Not Informed", I4304="Invalid - Ambiguous"), "Gap - Invalid Consent", "Compliant")))))</f>
        <v/>
      </c>
      <c r="O4304" s="7" t="n"/>
    </row>
    <row r="4305">
      <c r="A4305" s="7" t="n"/>
      <c r="B4305" s="7" t="n"/>
      <c r="C4305" s="7" t="n"/>
      <c r="D4305" s="7" t="n"/>
      <c r="E4305" s="7" t="n"/>
      <c r="F4305" s="7" t="n"/>
      <c r="G4305" s="7" t="n"/>
      <c r="H4305" s="7" t="n"/>
      <c r="I4305" s="7" t="n"/>
      <c r="J4305" s="7" t="n"/>
      <c r="K4305">
        <f>IF(D4305="Legitimate Interest (GDPR Art. 6(1)(f))", "Yes / Required (Sheet 3)", "")</f>
        <v/>
      </c>
      <c r="L4305" s="7" t="n"/>
      <c r="M4305" s="7" t="n"/>
      <c r="N4305">
        <f>IF(D4305="", "Gap - No Legal Basis", IF(AND(D4305="Consent (GDPR Art. 6(1)(a))", I4305="Not Captured"), "Gap - Invalid Consent", IF(AND(D4305="Legitimate Interest (GDPR Art. 6(1)(f))", L4305=""), "Gap - Missing LIA", IF(AND(G4305="Yes", H4305=""), "Gap - Missing Art. 9 Basis", IF(OR(I4305="Invalid - Not Freely Given", I4305="Invalid - Not Specific", I4305="Invalid - Not Informed", I4305="Invalid - Ambiguous"), "Gap - Invalid Consent", "Compliant")))))</f>
        <v/>
      </c>
      <c r="O4305" s="7" t="n"/>
    </row>
    <row r="4306">
      <c r="A4306" s="7" t="n"/>
      <c r="B4306" s="7" t="n"/>
      <c r="C4306" s="7" t="n"/>
      <c r="D4306" s="7" t="n"/>
      <c r="E4306" s="7" t="n"/>
      <c r="F4306" s="7" t="n"/>
      <c r="G4306" s="7" t="n"/>
      <c r="H4306" s="7" t="n"/>
      <c r="I4306" s="7" t="n"/>
      <c r="J4306" s="7" t="n"/>
      <c r="K4306">
        <f>IF(D4306="Legitimate Interest (GDPR Art. 6(1)(f))", "Yes / Required (Sheet 3)", "")</f>
        <v/>
      </c>
      <c r="L4306" s="7" t="n"/>
      <c r="M4306" s="7" t="n"/>
      <c r="N4306">
        <f>IF(D4306="", "Gap - No Legal Basis", IF(AND(D4306="Consent (GDPR Art. 6(1)(a))", I4306="Not Captured"), "Gap - Invalid Consent", IF(AND(D4306="Legitimate Interest (GDPR Art. 6(1)(f))", L4306=""), "Gap - Missing LIA", IF(AND(G4306="Yes", H4306=""), "Gap - Missing Art. 9 Basis", IF(OR(I4306="Invalid - Not Freely Given", I4306="Invalid - Not Specific", I4306="Invalid - Not Informed", I4306="Invalid - Ambiguous"), "Gap - Invalid Consent", "Compliant")))))</f>
        <v/>
      </c>
      <c r="O4306" s="7" t="n"/>
    </row>
    <row r="4307">
      <c r="A4307" s="7" t="n"/>
      <c r="B4307" s="7" t="n"/>
      <c r="C4307" s="7" t="n"/>
      <c r="D4307" s="7" t="n"/>
      <c r="E4307" s="7" t="n"/>
      <c r="F4307" s="7" t="n"/>
      <c r="G4307" s="7" t="n"/>
      <c r="H4307" s="7" t="n"/>
      <c r="I4307" s="7" t="n"/>
      <c r="J4307" s="7" t="n"/>
      <c r="K4307">
        <f>IF(D4307="Legitimate Interest (GDPR Art. 6(1)(f))", "Yes / Required (Sheet 3)", "")</f>
        <v/>
      </c>
      <c r="L4307" s="7" t="n"/>
      <c r="M4307" s="7" t="n"/>
      <c r="N4307">
        <f>IF(D4307="", "Gap - No Legal Basis", IF(AND(D4307="Consent (GDPR Art. 6(1)(a))", I4307="Not Captured"), "Gap - Invalid Consent", IF(AND(D4307="Legitimate Interest (GDPR Art. 6(1)(f))", L4307=""), "Gap - Missing LIA", IF(AND(G4307="Yes", H4307=""), "Gap - Missing Art. 9 Basis", IF(OR(I4307="Invalid - Not Freely Given", I4307="Invalid - Not Specific", I4307="Invalid - Not Informed", I4307="Invalid - Ambiguous"), "Gap - Invalid Consent", "Compliant")))))</f>
        <v/>
      </c>
      <c r="O4307" s="7" t="n"/>
    </row>
    <row r="4308">
      <c r="A4308" s="7" t="n"/>
      <c r="B4308" s="7" t="n"/>
      <c r="C4308" s="7" t="n"/>
      <c r="D4308" s="7" t="n"/>
      <c r="E4308" s="7" t="n"/>
      <c r="F4308" s="7" t="n"/>
      <c r="G4308" s="7" t="n"/>
      <c r="H4308" s="7" t="n"/>
      <c r="I4308" s="7" t="n"/>
      <c r="J4308" s="7" t="n"/>
      <c r="K4308">
        <f>IF(D4308="Legitimate Interest (GDPR Art. 6(1)(f))", "Yes / Required (Sheet 3)", "")</f>
        <v/>
      </c>
      <c r="L4308" s="7" t="n"/>
      <c r="M4308" s="7" t="n"/>
      <c r="N4308">
        <f>IF(D4308="", "Gap - No Legal Basis", IF(AND(D4308="Consent (GDPR Art. 6(1)(a))", I4308="Not Captured"), "Gap - Invalid Consent", IF(AND(D4308="Legitimate Interest (GDPR Art. 6(1)(f))", L4308=""), "Gap - Missing LIA", IF(AND(G4308="Yes", H4308=""), "Gap - Missing Art. 9 Basis", IF(OR(I4308="Invalid - Not Freely Given", I4308="Invalid - Not Specific", I4308="Invalid - Not Informed", I4308="Invalid - Ambiguous"), "Gap - Invalid Consent", "Compliant")))))</f>
        <v/>
      </c>
      <c r="O4308" s="7" t="n"/>
    </row>
    <row r="4309">
      <c r="A4309" s="7" t="n"/>
      <c r="B4309" s="7" t="n"/>
      <c r="C4309" s="7" t="n"/>
      <c r="D4309" s="7" t="n"/>
      <c r="E4309" s="7" t="n"/>
      <c r="F4309" s="7" t="n"/>
      <c r="G4309" s="7" t="n"/>
      <c r="H4309" s="7" t="n"/>
      <c r="I4309" s="7" t="n"/>
      <c r="J4309" s="7" t="n"/>
      <c r="K4309">
        <f>IF(D4309="Legitimate Interest (GDPR Art. 6(1)(f))", "Yes / Required (Sheet 3)", "")</f>
        <v/>
      </c>
      <c r="L4309" s="7" t="n"/>
      <c r="M4309" s="7" t="n"/>
      <c r="N4309">
        <f>IF(D4309="", "Gap - No Legal Basis", IF(AND(D4309="Consent (GDPR Art. 6(1)(a))", I4309="Not Captured"), "Gap - Invalid Consent", IF(AND(D4309="Legitimate Interest (GDPR Art. 6(1)(f))", L4309=""), "Gap - Missing LIA", IF(AND(G4309="Yes", H4309=""), "Gap - Missing Art. 9 Basis", IF(OR(I4309="Invalid - Not Freely Given", I4309="Invalid - Not Specific", I4309="Invalid - Not Informed", I4309="Invalid - Ambiguous"), "Gap - Invalid Consent", "Compliant")))))</f>
        <v/>
      </c>
      <c r="O4309" s="7" t="n"/>
    </row>
    <row r="4310">
      <c r="A4310" s="7" t="n"/>
      <c r="B4310" s="7" t="n"/>
      <c r="C4310" s="7" t="n"/>
      <c r="D4310" s="7" t="n"/>
      <c r="E4310" s="7" t="n"/>
      <c r="F4310" s="7" t="n"/>
      <c r="G4310" s="7" t="n"/>
      <c r="H4310" s="7" t="n"/>
      <c r="I4310" s="7" t="n"/>
      <c r="J4310" s="7" t="n"/>
      <c r="K4310">
        <f>IF(D4310="Legitimate Interest (GDPR Art. 6(1)(f))", "Yes / Required (Sheet 3)", "")</f>
        <v/>
      </c>
      <c r="L4310" s="7" t="n"/>
      <c r="M4310" s="7" t="n"/>
      <c r="N4310">
        <f>IF(D4310="", "Gap - No Legal Basis", IF(AND(D4310="Consent (GDPR Art. 6(1)(a))", I4310="Not Captured"), "Gap - Invalid Consent", IF(AND(D4310="Legitimate Interest (GDPR Art. 6(1)(f))", L4310=""), "Gap - Missing LIA", IF(AND(G4310="Yes", H4310=""), "Gap - Missing Art. 9 Basis", IF(OR(I4310="Invalid - Not Freely Given", I4310="Invalid - Not Specific", I4310="Invalid - Not Informed", I4310="Invalid - Ambiguous"), "Gap - Invalid Consent", "Compliant")))))</f>
        <v/>
      </c>
      <c r="O4310" s="7" t="n"/>
    </row>
    <row r="4311">
      <c r="A4311" s="7" t="n"/>
      <c r="B4311" s="7" t="n"/>
      <c r="C4311" s="7" t="n"/>
      <c r="D4311" s="7" t="n"/>
      <c r="E4311" s="7" t="n"/>
      <c r="F4311" s="7" t="n"/>
      <c r="G4311" s="7" t="n"/>
      <c r="H4311" s="7" t="n"/>
      <c r="I4311" s="7" t="n"/>
      <c r="J4311" s="7" t="n"/>
      <c r="K4311">
        <f>IF(D4311="Legitimate Interest (GDPR Art. 6(1)(f))", "Yes / Required (Sheet 3)", "")</f>
        <v/>
      </c>
      <c r="L4311" s="7" t="n"/>
      <c r="M4311" s="7" t="n"/>
      <c r="N4311">
        <f>IF(D4311="", "Gap - No Legal Basis", IF(AND(D4311="Consent (GDPR Art. 6(1)(a))", I4311="Not Captured"), "Gap - Invalid Consent", IF(AND(D4311="Legitimate Interest (GDPR Art. 6(1)(f))", L4311=""), "Gap - Missing LIA", IF(AND(G4311="Yes", H4311=""), "Gap - Missing Art. 9 Basis", IF(OR(I4311="Invalid - Not Freely Given", I4311="Invalid - Not Specific", I4311="Invalid - Not Informed", I4311="Invalid - Ambiguous"), "Gap - Invalid Consent", "Compliant")))))</f>
        <v/>
      </c>
      <c r="O4311" s="7" t="n"/>
    </row>
    <row r="4312">
      <c r="A4312" s="7" t="n"/>
      <c r="B4312" s="7" t="n"/>
      <c r="C4312" s="7" t="n"/>
      <c r="D4312" s="7" t="n"/>
      <c r="E4312" s="7" t="n"/>
      <c r="F4312" s="7" t="n"/>
      <c r="G4312" s="7" t="n"/>
      <c r="H4312" s="7" t="n"/>
      <c r="I4312" s="7" t="n"/>
      <c r="J4312" s="7" t="n"/>
      <c r="K4312">
        <f>IF(D4312="Legitimate Interest (GDPR Art. 6(1)(f))", "Yes / Required (Sheet 3)", "")</f>
        <v/>
      </c>
      <c r="L4312" s="7" t="n"/>
      <c r="M4312" s="7" t="n"/>
      <c r="N4312">
        <f>IF(D4312="", "Gap - No Legal Basis", IF(AND(D4312="Consent (GDPR Art. 6(1)(a))", I4312="Not Captured"), "Gap - Invalid Consent", IF(AND(D4312="Legitimate Interest (GDPR Art. 6(1)(f))", L4312=""), "Gap - Missing LIA", IF(AND(G4312="Yes", H4312=""), "Gap - Missing Art. 9 Basis", IF(OR(I4312="Invalid - Not Freely Given", I4312="Invalid - Not Specific", I4312="Invalid - Not Informed", I4312="Invalid - Ambiguous"), "Gap - Invalid Consent", "Compliant")))))</f>
        <v/>
      </c>
      <c r="O4312" s="7" t="n"/>
    </row>
    <row r="4313">
      <c r="A4313" s="7" t="n"/>
      <c r="B4313" s="7" t="n"/>
      <c r="C4313" s="7" t="n"/>
      <c r="D4313" s="7" t="n"/>
      <c r="E4313" s="7" t="n"/>
      <c r="F4313" s="7" t="n"/>
      <c r="G4313" s="7" t="n"/>
      <c r="H4313" s="7" t="n"/>
      <c r="I4313" s="7" t="n"/>
      <c r="J4313" s="7" t="n"/>
      <c r="K4313">
        <f>IF(D4313="Legitimate Interest (GDPR Art. 6(1)(f))", "Yes / Required (Sheet 3)", "")</f>
        <v/>
      </c>
      <c r="L4313" s="7" t="n"/>
      <c r="M4313" s="7" t="n"/>
      <c r="N4313">
        <f>IF(D4313="", "Gap - No Legal Basis", IF(AND(D4313="Consent (GDPR Art. 6(1)(a))", I4313="Not Captured"), "Gap - Invalid Consent", IF(AND(D4313="Legitimate Interest (GDPR Art. 6(1)(f))", L4313=""), "Gap - Missing LIA", IF(AND(G4313="Yes", H4313=""), "Gap - Missing Art. 9 Basis", IF(OR(I4313="Invalid - Not Freely Given", I4313="Invalid - Not Specific", I4313="Invalid - Not Informed", I4313="Invalid - Ambiguous"), "Gap - Invalid Consent", "Compliant")))))</f>
        <v/>
      </c>
      <c r="O4313" s="7" t="n"/>
    </row>
    <row r="4314">
      <c r="A4314" s="7" t="n"/>
      <c r="B4314" s="7" t="n"/>
      <c r="C4314" s="7" t="n"/>
      <c r="D4314" s="7" t="n"/>
      <c r="E4314" s="7" t="n"/>
      <c r="F4314" s="7" t="n"/>
      <c r="G4314" s="7" t="n"/>
      <c r="H4314" s="7" t="n"/>
      <c r="I4314" s="7" t="n"/>
      <c r="J4314" s="7" t="n"/>
      <c r="K4314">
        <f>IF(D4314="Legitimate Interest (GDPR Art. 6(1)(f))", "Yes / Required (Sheet 3)", "")</f>
        <v/>
      </c>
      <c r="L4314" s="7" t="n"/>
      <c r="M4314" s="7" t="n"/>
      <c r="N4314">
        <f>IF(D4314="", "Gap - No Legal Basis", IF(AND(D4314="Consent (GDPR Art. 6(1)(a))", I4314="Not Captured"), "Gap - Invalid Consent", IF(AND(D4314="Legitimate Interest (GDPR Art. 6(1)(f))", L4314=""), "Gap - Missing LIA", IF(AND(G4314="Yes", H4314=""), "Gap - Missing Art. 9 Basis", IF(OR(I4314="Invalid - Not Freely Given", I4314="Invalid - Not Specific", I4314="Invalid - Not Informed", I4314="Invalid - Ambiguous"), "Gap - Invalid Consent", "Compliant")))))</f>
        <v/>
      </c>
      <c r="O4314" s="7" t="n"/>
    </row>
    <row r="4315">
      <c r="A4315" s="7" t="n"/>
      <c r="B4315" s="7" t="n"/>
      <c r="C4315" s="7" t="n"/>
      <c r="D4315" s="7" t="n"/>
      <c r="E4315" s="7" t="n"/>
      <c r="F4315" s="7" t="n"/>
      <c r="G4315" s="7" t="n"/>
      <c r="H4315" s="7" t="n"/>
      <c r="I4315" s="7" t="n"/>
      <c r="J4315" s="7" t="n"/>
      <c r="K4315">
        <f>IF(D4315="Legitimate Interest (GDPR Art. 6(1)(f))", "Yes / Required (Sheet 3)", "")</f>
        <v/>
      </c>
      <c r="L4315" s="7" t="n"/>
      <c r="M4315" s="7" t="n"/>
      <c r="N4315">
        <f>IF(D4315="", "Gap - No Legal Basis", IF(AND(D4315="Consent (GDPR Art. 6(1)(a))", I4315="Not Captured"), "Gap - Invalid Consent", IF(AND(D4315="Legitimate Interest (GDPR Art. 6(1)(f))", L4315=""), "Gap - Missing LIA", IF(AND(G4315="Yes", H4315=""), "Gap - Missing Art. 9 Basis", IF(OR(I4315="Invalid - Not Freely Given", I4315="Invalid - Not Specific", I4315="Invalid - Not Informed", I4315="Invalid - Ambiguous"), "Gap - Invalid Consent", "Compliant")))))</f>
        <v/>
      </c>
      <c r="O4315" s="7" t="n"/>
    </row>
    <row r="4316">
      <c r="A4316" s="7" t="n"/>
      <c r="B4316" s="7" t="n"/>
      <c r="C4316" s="7" t="n"/>
      <c r="D4316" s="7" t="n"/>
      <c r="E4316" s="7" t="n"/>
      <c r="F4316" s="7" t="n"/>
      <c r="G4316" s="7" t="n"/>
      <c r="H4316" s="7" t="n"/>
      <c r="I4316" s="7" t="n"/>
      <c r="J4316" s="7" t="n"/>
      <c r="K4316">
        <f>IF(D4316="Legitimate Interest (GDPR Art. 6(1)(f))", "Yes / Required (Sheet 3)", "")</f>
        <v/>
      </c>
      <c r="L4316" s="7" t="n"/>
      <c r="M4316" s="7" t="n"/>
      <c r="N4316">
        <f>IF(D4316="", "Gap - No Legal Basis", IF(AND(D4316="Consent (GDPR Art. 6(1)(a))", I4316="Not Captured"), "Gap - Invalid Consent", IF(AND(D4316="Legitimate Interest (GDPR Art. 6(1)(f))", L4316=""), "Gap - Missing LIA", IF(AND(G4316="Yes", H4316=""), "Gap - Missing Art. 9 Basis", IF(OR(I4316="Invalid - Not Freely Given", I4316="Invalid - Not Specific", I4316="Invalid - Not Informed", I4316="Invalid - Ambiguous"), "Gap - Invalid Consent", "Compliant")))))</f>
        <v/>
      </c>
      <c r="O4316" s="7" t="n"/>
    </row>
    <row r="4317">
      <c r="A4317" s="7" t="n"/>
      <c r="B4317" s="7" t="n"/>
      <c r="C4317" s="7" t="n"/>
      <c r="D4317" s="7" t="n"/>
      <c r="E4317" s="7" t="n"/>
      <c r="F4317" s="7" t="n"/>
      <c r="G4317" s="7" t="n"/>
      <c r="H4317" s="7" t="n"/>
      <c r="I4317" s="7" t="n"/>
      <c r="J4317" s="7" t="n"/>
      <c r="K4317">
        <f>IF(D4317="Legitimate Interest (GDPR Art. 6(1)(f))", "Yes / Required (Sheet 3)", "")</f>
        <v/>
      </c>
      <c r="L4317" s="7" t="n"/>
      <c r="M4317" s="7" t="n"/>
      <c r="N4317">
        <f>IF(D4317="", "Gap - No Legal Basis", IF(AND(D4317="Consent (GDPR Art. 6(1)(a))", I4317="Not Captured"), "Gap - Invalid Consent", IF(AND(D4317="Legitimate Interest (GDPR Art. 6(1)(f))", L4317=""), "Gap - Missing LIA", IF(AND(G4317="Yes", H4317=""), "Gap - Missing Art. 9 Basis", IF(OR(I4317="Invalid - Not Freely Given", I4317="Invalid - Not Specific", I4317="Invalid - Not Informed", I4317="Invalid - Ambiguous"), "Gap - Invalid Consent", "Compliant")))))</f>
        <v/>
      </c>
      <c r="O4317" s="7" t="n"/>
    </row>
    <row r="4318">
      <c r="A4318" s="7" t="n"/>
      <c r="B4318" s="7" t="n"/>
      <c r="C4318" s="7" t="n"/>
      <c r="D4318" s="7" t="n"/>
      <c r="E4318" s="7" t="n"/>
      <c r="F4318" s="7" t="n"/>
      <c r="G4318" s="7" t="n"/>
      <c r="H4318" s="7" t="n"/>
      <c r="I4318" s="7" t="n"/>
      <c r="J4318" s="7" t="n"/>
      <c r="K4318">
        <f>IF(D4318="Legitimate Interest (GDPR Art. 6(1)(f))", "Yes / Required (Sheet 3)", "")</f>
        <v/>
      </c>
      <c r="L4318" s="7" t="n"/>
      <c r="M4318" s="7" t="n"/>
      <c r="N4318">
        <f>IF(D4318="", "Gap - No Legal Basis", IF(AND(D4318="Consent (GDPR Art. 6(1)(a))", I4318="Not Captured"), "Gap - Invalid Consent", IF(AND(D4318="Legitimate Interest (GDPR Art. 6(1)(f))", L4318=""), "Gap - Missing LIA", IF(AND(G4318="Yes", H4318=""), "Gap - Missing Art. 9 Basis", IF(OR(I4318="Invalid - Not Freely Given", I4318="Invalid - Not Specific", I4318="Invalid - Not Informed", I4318="Invalid - Ambiguous"), "Gap - Invalid Consent", "Compliant")))))</f>
        <v/>
      </c>
      <c r="O4318" s="7" t="n"/>
    </row>
    <row r="4319">
      <c r="A4319" s="7" t="n"/>
      <c r="B4319" s="7" t="n"/>
      <c r="C4319" s="7" t="n"/>
      <c r="D4319" s="7" t="n"/>
      <c r="E4319" s="7" t="n"/>
      <c r="F4319" s="7" t="n"/>
      <c r="G4319" s="7" t="n"/>
      <c r="H4319" s="7" t="n"/>
      <c r="I4319" s="7" t="n"/>
      <c r="J4319" s="7" t="n"/>
      <c r="K4319">
        <f>IF(D4319="Legitimate Interest (GDPR Art. 6(1)(f))", "Yes / Required (Sheet 3)", "")</f>
        <v/>
      </c>
      <c r="L4319" s="7" t="n"/>
      <c r="M4319" s="7" t="n"/>
      <c r="N4319">
        <f>IF(D4319="", "Gap - No Legal Basis", IF(AND(D4319="Consent (GDPR Art. 6(1)(a))", I4319="Not Captured"), "Gap - Invalid Consent", IF(AND(D4319="Legitimate Interest (GDPR Art. 6(1)(f))", L4319=""), "Gap - Missing LIA", IF(AND(G4319="Yes", H4319=""), "Gap - Missing Art. 9 Basis", IF(OR(I4319="Invalid - Not Freely Given", I4319="Invalid - Not Specific", I4319="Invalid - Not Informed", I4319="Invalid - Ambiguous"), "Gap - Invalid Consent", "Compliant")))))</f>
        <v/>
      </c>
      <c r="O4319" s="7" t="n"/>
    </row>
    <row r="4320">
      <c r="A4320" s="7" t="n"/>
      <c r="B4320" s="7" t="n"/>
      <c r="C4320" s="7" t="n"/>
      <c r="D4320" s="7" t="n"/>
      <c r="E4320" s="7" t="n"/>
      <c r="F4320" s="7" t="n"/>
      <c r="G4320" s="7" t="n"/>
      <c r="H4320" s="7" t="n"/>
      <c r="I4320" s="7" t="n"/>
      <c r="J4320" s="7" t="n"/>
      <c r="K4320">
        <f>IF(D4320="Legitimate Interest (GDPR Art. 6(1)(f))", "Yes / Required (Sheet 3)", "")</f>
        <v/>
      </c>
      <c r="L4320" s="7" t="n"/>
      <c r="M4320" s="7" t="n"/>
      <c r="N4320">
        <f>IF(D4320="", "Gap - No Legal Basis", IF(AND(D4320="Consent (GDPR Art. 6(1)(a))", I4320="Not Captured"), "Gap - Invalid Consent", IF(AND(D4320="Legitimate Interest (GDPR Art. 6(1)(f))", L4320=""), "Gap - Missing LIA", IF(AND(G4320="Yes", H4320=""), "Gap - Missing Art. 9 Basis", IF(OR(I4320="Invalid - Not Freely Given", I4320="Invalid - Not Specific", I4320="Invalid - Not Informed", I4320="Invalid - Ambiguous"), "Gap - Invalid Consent", "Compliant")))))</f>
        <v/>
      </c>
      <c r="O4320" s="7" t="n"/>
    </row>
    <row r="4321">
      <c r="A4321" s="7" t="n"/>
      <c r="B4321" s="7" t="n"/>
      <c r="C4321" s="7" t="n"/>
      <c r="D4321" s="7" t="n"/>
      <c r="E4321" s="7" t="n"/>
      <c r="F4321" s="7" t="n"/>
      <c r="G4321" s="7" t="n"/>
      <c r="H4321" s="7" t="n"/>
      <c r="I4321" s="7" t="n"/>
      <c r="J4321" s="7" t="n"/>
      <c r="K4321">
        <f>IF(D4321="Legitimate Interest (GDPR Art. 6(1)(f))", "Yes / Required (Sheet 3)", "")</f>
        <v/>
      </c>
      <c r="L4321" s="7" t="n"/>
      <c r="M4321" s="7" t="n"/>
      <c r="N4321">
        <f>IF(D4321="", "Gap - No Legal Basis", IF(AND(D4321="Consent (GDPR Art. 6(1)(a))", I4321="Not Captured"), "Gap - Invalid Consent", IF(AND(D4321="Legitimate Interest (GDPR Art. 6(1)(f))", L4321=""), "Gap - Missing LIA", IF(AND(G4321="Yes", H4321=""), "Gap - Missing Art. 9 Basis", IF(OR(I4321="Invalid - Not Freely Given", I4321="Invalid - Not Specific", I4321="Invalid - Not Informed", I4321="Invalid - Ambiguous"), "Gap - Invalid Consent", "Compliant")))))</f>
        <v/>
      </c>
      <c r="O4321" s="7" t="n"/>
    </row>
    <row r="4322">
      <c r="A4322" s="7" t="n"/>
      <c r="B4322" s="7" t="n"/>
      <c r="C4322" s="7" t="n"/>
      <c r="D4322" s="7" t="n"/>
      <c r="E4322" s="7" t="n"/>
      <c r="F4322" s="7" t="n"/>
      <c r="G4322" s="7" t="n"/>
      <c r="H4322" s="7" t="n"/>
      <c r="I4322" s="7" t="n"/>
      <c r="J4322" s="7" t="n"/>
      <c r="K4322">
        <f>IF(D4322="Legitimate Interest (GDPR Art. 6(1)(f))", "Yes / Required (Sheet 3)", "")</f>
        <v/>
      </c>
      <c r="L4322" s="7" t="n"/>
      <c r="M4322" s="7" t="n"/>
      <c r="N4322">
        <f>IF(D4322="", "Gap - No Legal Basis", IF(AND(D4322="Consent (GDPR Art. 6(1)(a))", I4322="Not Captured"), "Gap - Invalid Consent", IF(AND(D4322="Legitimate Interest (GDPR Art. 6(1)(f))", L4322=""), "Gap - Missing LIA", IF(AND(G4322="Yes", H4322=""), "Gap - Missing Art. 9 Basis", IF(OR(I4322="Invalid - Not Freely Given", I4322="Invalid - Not Specific", I4322="Invalid - Not Informed", I4322="Invalid - Ambiguous"), "Gap - Invalid Consent", "Compliant")))))</f>
        <v/>
      </c>
      <c r="O4322" s="7" t="n"/>
    </row>
    <row r="4323">
      <c r="A4323" s="7" t="n"/>
      <c r="B4323" s="7" t="n"/>
      <c r="C4323" s="7" t="n"/>
      <c r="D4323" s="7" t="n"/>
      <c r="E4323" s="7" t="n"/>
      <c r="F4323" s="7" t="n"/>
      <c r="G4323" s="7" t="n"/>
      <c r="H4323" s="7" t="n"/>
      <c r="I4323" s="7" t="n"/>
      <c r="J4323" s="7" t="n"/>
      <c r="K4323">
        <f>IF(D4323="Legitimate Interest (GDPR Art. 6(1)(f))", "Yes / Required (Sheet 3)", "")</f>
        <v/>
      </c>
      <c r="L4323" s="7" t="n"/>
      <c r="M4323" s="7" t="n"/>
      <c r="N4323">
        <f>IF(D4323="", "Gap - No Legal Basis", IF(AND(D4323="Consent (GDPR Art. 6(1)(a))", I4323="Not Captured"), "Gap - Invalid Consent", IF(AND(D4323="Legitimate Interest (GDPR Art. 6(1)(f))", L4323=""), "Gap - Missing LIA", IF(AND(G4323="Yes", H4323=""), "Gap - Missing Art. 9 Basis", IF(OR(I4323="Invalid - Not Freely Given", I4323="Invalid - Not Specific", I4323="Invalid - Not Informed", I4323="Invalid - Ambiguous"), "Gap - Invalid Consent", "Compliant")))))</f>
        <v/>
      </c>
      <c r="O4323" s="7" t="n"/>
    </row>
    <row r="4324">
      <c r="A4324" s="7" t="n"/>
      <c r="B4324" s="7" t="n"/>
      <c r="C4324" s="7" t="n"/>
      <c r="D4324" s="7" t="n"/>
      <c r="E4324" s="7" t="n"/>
      <c r="F4324" s="7" t="n"/>
      <c r="G4324" s="7" t="n"/>
      <c r="H4324" s="7" t="n"/>
      <c r="I4324" s="7" t="n"/>
      <c r="J4324" s="7" t="n"/>
      <c r="K4324">
        <f>IF(D4324="Legitimate Interest (GDPR Art. 6(1)(f))", "Yes / Required (Sheet 3)", "")</f>
        <v/>
      </c>
      <c r="L4324" s="7" t="n"/>
      <c r="M4324" s="7" t="n"/>
      <c r="N4324">
        <f>IF(D4324="", "Gap - No Legal Basis", IF(AND(D4324="Consent (GDPR Art. 6(1)(a))", I4324="Not Captured"), "Gap - Invalid Consent", IF(AND(D4324="Legitimate Interest (GDPR Art. 6(1)(f))", L4324=""), "Gap - Missing LIA", IF(AND(G4324="Yes", H4324=""), "Gap - Missing Art. 9 Basis", IF(OR(I4324="Invalid - Not Freely Given", I4324="Invalid - Not Specific", I4324="Invalid - Not Informed", I4324="Invalid - Ambiguous"), "Gap - Invalid Consent", "Compliant")))))</f>
        <v/>
      </c>
      <c r="O4324" s="7" t="n"/>
    </row>
    <row r="4325">
      <c r="A4325" s="7" t="n"/>
      <c r="B4325" s="7" t="n"/>
      <c r="C4325" s="7" t="n"/>
      <c r="D4325" s="7" t="n"/>
      <c r="E4325" s="7" t="n"/>
      <c r="F4325" s="7" t="n"/>
      <c r="G4325" s="7" t="n"/>
      <c r="H4325" s="7" t="n"/>
      <c r="I4325" s="7" t="n"/>
      <c r="J4325" s="7" t="n"/>
      <c r="K4325">
        <f>IF(D4325="Legitimate Interest (GDPR Art. 6(1)(f))", "Yes / Required (Sheet 3)", "")</f>
        <v/>
      </c>
      <c r="L4325" s="7" t="n"/>
      <c r="M4325" s="7" t="n"/>
      <c r="N4325">
        <f>IF(D4325="", "Gap - No Legal Basis", IF(AND(D4325="Consent (GDPR Art. 6(1)(a))", I4325="Not Captured"), "Gap - Invalid Consent", IF(AND(D4325="Legitimate Interest (GDPR Art. 6(1)(f))", L4325=""), "Gap - Missing LIA", IF(AND(G4325="Yes", H4325=""), "Gap - Missing Art. 9 Basis", IF(OR(I4325="Invalid - Not Freely Given", I4325="Invalid - Not Specific", I4325="Invalid - Not Informed", I4325="Invalid - Ambiguous"), "Gap - Invalid Consent", "Compliant")))))</f>
        <v/>
      </c>
      <c r="O4325" s="7" t="n"/>
    </row>
    <row r="4326">
      <c r="A4326" s="7" t="n"/>
      <c r="B4326" s="7" t="n"/>
      <c r="C4326" s="7" t="n"/>
      <c r="D4326" s="7" t="n"/>
      <c r="E4326" s="7" t="n"/>
      <c r="F4326" s="7" t="n"/>
      <c r="G4326" s="7" t="n"/>
      <c r="H4326" s="7" t="n"/>
      <c r="I4326" s="7" t="n"/>
      <c r="J4326" s="7" t="n"/>
      <c r="K4326">
        <f>IF(D4326="Legitimate Interest (GDPR Art. 6(1)(f))", "Yes / Required (Sheet 3)", "")</f>
        <v/>
      </c>
      <c r="L4326" s="7" t="n"/>
      <c r="M4326" s="7" t="n"/>
      <c r="N4326">
        <f>IF(D4326="", "Gap - No Legal Basis", IF(AND(D4326="Consent (GDPR Art. 6(1)(a))", I4326="Not Captured"), "Gap - Invalid Consent", IF(AND(D4326="Legitimate Interest (GDPR Art. 6(1)(f))", L4326=""), "Gap - Missing LIA", IF(AND(G4326="Yes", H4326=""), "Gap - Missing Art. 9 Basis", IF(OR(I4326="Invalid - Not Freely Given", I4326="Invalid - Not Specific", I4326="Invalid - Not Informed", I4326="Invalid - Ambiguous"), "Gap - Invalid Consent", "Compliant")))))</f>
        <v/>
      </c>
      <c r="O4326" s="7" t="n"/>
    </row>
    <row r="4327">
      <c r="A4327" s="7" t="n"/>
      <c r="B4327" s="7" t="n"/>
      <c r="C4327" s="7" t="n"/>
      <c r="D4327" s="7" t="n"/>
      <c r="E4327" s="7" t="n"/>
      <c r="F4327" s="7" t="n"/>
      <c r="G4327" s="7" t="n"/>
      <c r="H4327" s="7" t="n"/>
      <c r="I4327" s="7" t="n"/>
      <c r="J4327" s="7" t="n"/>
      <c r="K4327">
        <f>IF(D4327="Legitimate Interest (GDPR Art. 6(1)(f))", "Yes / Required (Sheet 3)", "")</f>
        <v/>
      </c>
      <c r="L4327" s="7" t="n"/>
      <c r="M4327" s="7" t="n"/>
      <c r="N4327">
        <f>IF(D4327="", "Gap - No Legal Basis", IF(AND(D4327="Consent (GDPR Art. 6(1)(a))", I4327="Not Captured"), "Gap - Invalid Consent", IF(AND(D4327="Legitimate Interest (GDPR Art. 6(1)(f))", L4327=""), "Gap - Missing LIA", IF(AND(G4327="Yes", H4327=""), "Gap - Missing Art. 9 Basis", IF(OR(I4327="Invalid - Not Freely Given", I4327="Invalid - Not Specific", I4327="Invalid - Not Informed", I4327="Invalid - Ambiguous"), "Gap - Invalid Consent", "Compliant")))))</f>
        <v/>
      </c>
      <c r="O4327" s="7" t="n"/>
    </row>
    <row r="4328">
      <c r="A4328" s="7" t="n"/>
      <c r="B4328" s="7" t="n"/>
      <c r="C4328" s="7" t="n"/>
      <c r="D4328" s="7" t="n"/>
      <c r="E4328" s="7" t="n"/>
      <c r="F4328" s="7" t="n"/>
      <c r="G4328" s="7" t="n"/>
      <c r="H4328" s="7" t="n"/>
      <c r="I4328" s="7" t="n"/>
      <c r="J4328" s="7" t="n"/>
      <c r="K4328">
        <f>IF(D4328="Legitimate Interest (GDPR Art. 6(1)(f))", "Yes / Required (Sheet 3)", "")</f>
        <v/>
      </c>
      <c r="L4328" s="7" t="n"/>
      <c r="M4328" s="7" t="n"/>
      <c r="N4328">
        <f>IF(D4328="", "Gap - No Legal Basis", IF(AND(D4328="Consent (GDPR Art. 6(1)(a))", I4328="Not Captured"), "Gap - Invalid Consent", IF(AND(D4328="Legitimate Interest (GDPR Art. 6(1)(f))", L4328=""), "Gap - Missing LIA", IF(AND(G4328="Yes", H4328=""), "Gap - Missing Art. 9 Basis", IF(OR(I4328="Invalid - Not Freely Given", I4328="Invalid - Not Specific", I4328="Invalid - Not Informed", I4328="Invalid - Ambiguous"), "Gap - Invalid Consent", "Compliant")))))</f>
        <v/>
      </c>
      <c r="O4328" s="7" t="n"/>
    </row>
    <row r="4329">
      <c r="A4329" s="7" t="n"/>
      <c r="B4329" s="7" t="n"/>
      <c r="C4329" s="7" t="n"/>
      <c r="D4329" s="7" t="n"/>
      <c r="E4329" s="7" t="n"/>
      <c r="F4329" s="7" t="n"/>
      <c r="G4329" s="7" t="n"/>
      <c r="H4329" s="7" t="n"/>
      <c r="I4329" s="7" t="n"/>
      <c r="J4329" s="7" t="n"/>
      <c r="K4329">
        <f>IF(D4329="Legitimate Interest (GDPR Art. 6(1)(f))", "Yes / Required (Sheet 3)", "")</f>
        <v/>
      </c>
      <c r="L4329" s="7" t="n"/>
      <c r="M4329" s="7" t="n"/>
      <c r="N4329">
        <f>IF(D4329="", "Gap - No Legal Basis", IF(AND(D4329="Consent (GDPR Art. 6(1)(a))", I4329="Not Captured"), "Gap - Invalid Consent", IF(AND(D4329="Legitimate Interest (GDPR Art. 6(1)(f))", L4329=""), "Gap - Missing LIA", IF(AND(G4329="Yes", H4329=""), "Gap - Missing Art. 9 Basis", IF(OR(I4329="Invalid - Not Freely Given", I4329="Invalid - Not Specific", I4329="Invalid - Not Informed", I4329="Invalid - Ambiguous"), "Gap - Invalid Consent", "Compliant")))))</f>
        <v/>
      </c>
      <c r="O4329" s="7" t="n"/>
    </row>
    <row r="4330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7" t="n"/>
      <c r="J4330" s="7" t="n"/>
      <c r="K4330">
        <f>IF(D4330="Legitimate Interest (GDPR Art. 6(1)(f))", "Yes / Required (Sheet 3)", "")</f>
        <v/>
      </c>
      <c r="L4330" s="7" t="n"/>
      <c r="M4330" s="7" t="n"/>
      <c r="N4330">
        <f>IF(D4330="", "Gap - No Legal Basis", IF(AND(D4330="Consent (GDPR Art. 6(1)(a))", I4330="Not Captured"), "Gap - Invalid Consent", IF(AND(D4330="Legitimate Interest (GDPR Art. 6(1)(f))", L4330=""), "Gap - Missing LIA", IF(AND(G4330="Yes", H4330=""), "Gap - Missing Art. 9 Basis", IF(OR(I4330="Invalid - Not Freely Given", I4330="Invalid - Not Specific", I4330="Invalid - Not Informed", I4330="Invalid - Ambiguous"), "Gap - Invalid Consent", "Compliant")))))</f>
        <v/>
      </c>
      <c r="O4330" s="7" t="n"/>
    </row>
    <row r="4331">
      <c r="A4331" s="7" t="n"/>
      <c r="B4331" s="7" t="n"/>
      <c r="C4331" s="7" t="n"/>
      <c r="D4331" s="7" t="n"/>
      <c r="E4331" s="7" t="n"/>
      <c r="F4331" s="7" t="n"/>
      <c r="G4331" s="7" t="n"/>
      <c r="H4331" s="7" t="n"/>
      <c r="I4331" s="7" t="n"/>
      <c r="J4331" s="7" t="n"/>
      <c r="K4331">
        <f>IF(D4331="Legitimate Interest (GDPR Art. 6(1)(f))", "Yes / Required (Sheet 3)", "")</f>
        <v/>
      </c>
      <c r="L4331" s="7" t="n"/>
      <c r="M4331" s="7" t="n"/>
      <c r="N4331">
        <f>IF(D4331="", "Gap - No Legal Basis", IF(AND(D4331="Consent (GDPR Art. 6(1)(a))", I4331="Not Captured"), "Gap - Invalid Consent", IF(AND(D4331="Legitimate Interest (GDPR Art. 6(1)(f))", L4331=""), "Gap - Missing LIA", IF(AND(G4331="Yes", H4331=""), "Gap - Missing Art. 9 Basis", IF(OR(I4331="Invalid - Not Freely Given", I4331="Invalid - Not Specific", I4331="Invalid - Not Informed", I4331="Invalid - Ambiguous"), "Gap - Invalid Consent", "Compliant")))))</f>
        <v/>
      </c>
      <c r="O4331" s="7" t="n"/>
    </row>
    <row r="4332">
      <c r="A4332" s="7" t="n"/>
      <c r="B4332" s="7" t="n"/>
      <c r="C4332" s="7" t="n"/>
      <c r="D4332" s="7" t="n"/>
      <c r="E4332" s="7" t="n"/>
      <c r="F4332" s="7" t="n"/>
      <c r="G4332" s="7" t="n"/>
      <c r="H4332" s="7" t="n"/>
      <c r="I4332" s="7" t="n"/>
      <c r="J4332" s="7" t="n"/>
      <c r="K4332">
        <f>IF(D4332="Legitimate Interest (GDPR Art. 6(1)(f))", "Yes / Required (Sheet 3)", "")</f>
        <v/>
      </c>
      <c r="L4332" s="7" t="n"/>
      <c r="M4332" s="7" t="n"/>
      <c r="N4332">
        <f>IF(D4332="", "Gap - No Legal Basis", IF(AND(D4332="Consent (GDPR Art. 6(1)(a))", I4332="Not Captured"), "Gap - Invalid Consent", IF(AND(D4332="Legitimate Interest (GDPR Art. 6(1)(f))", L4332=""), "Gap - Missing LIA", IF(AND(G4332="Yes", H4332=""), "Gap - Missing Art. 9 Basis", IF(OR(I4332="Invalid - Not Freely Given", I4332="Invalid - Not Specific", I4332="Invalid - Not Informed", I4332="Invalid - Ambiguous"), "Gap - Invalid Consent", "Compliant")))))</f>
        <v/>
      </c>
      <c r="O4332" s="7" t="n"/>
    </row>
    <row r="4333">
      <c r="A4333" s="7" t="n"/>
      <c r="B4333" s="7" t="n"/>
      <c r="C4333" s="7" t="n"/>
      <c r="D4333" s="7" t="n"/>
      <c r="E4333" s="7" t="n"/>
      <c r="F4333" s="7" t="n"/>
      <c r="G4333" s="7" t="n"/>
      <c r="H4333" s="7" t="n"/>
      <c r="I4333" s="7" t="n"/>
      <c r="J4333" s="7" t="n"/>
      <c r="K4333">
        <f>IF(D4333="Legitimate Interest (GDPR Art. 6(1)(f))", "Yes / Required (Sheet 3)", "")</f>
        <v/>
      </c>
      <c r="L4333" s="7" t="n"/>
      <c r="M4333" s="7" t="n"/>
      <c r="N4333">
        <f>IF(D4333="", "Gap - No Legal Basis", IF(AND(D4333="Consent (GDPR Art. 6(1)(a))", I4333="Not Captured"), "Gap - Invalid Consent", IF(AND(D4333="Legitimate Interest (GDPR Art. 6(1)(f))", L4333=""), "Gap - Missing LIA", IF(AND(G4333="Yes", H4333=""), "Gap - Missing Art. 9 Basis", IF(OR(I4333="Invalid - Not Freely Given", I4333="Invalid - Not Specific", I4333="Invalid - Not Informed", I4333="Invalid - Ambiguous"), "Gap - Invalid Consent", "Compliant")))))</f>
        <v/>
      </c>
      <c r="O4333" s="7" t="n"/>
    </row>
    <row r="4334">
      <c r="A4334" s="7" t="n"/>
      <c r="B4334" s="7" t="n"/>
      <c r="C4334" s="7" t="n"/>
      <c r="D4334" s="7" t="n"/>
      <c r="E4334" s="7" t="n"/>
      <c r="F4334" s="7" t="n"/>
      <c r="G4334" s="7" t="n"/>
      <c r="H4334" s="7" t="n"/>
      <c r="I4334" s="7" t="n"/>
      <c r="J4334" s="7" t="n"/>
      <c r="K4334">
        <f>IF(D4334="Legitimate Interest (GDPR Art. 6(1)(f))", "Yes / Required (Sheet 3)", "")</f>
        <v/>
      </c>
      <c r="L4334" s="7" t="n"/>
      <c r="M4334" s="7" t="n"/>
      <c r="N4334">
        <f>IF(D4334="", "Gap - No Legal Basis", IF(AND(D4334="Consent (GDPR Art. 6(1)(a))", I4334="Not Captured"), "Gap - Invalid Consent", IF(AND(D4334="Legitimate Interest (GDPR Art. 6(1)(f))", L4334=""), "Gap - Missing LIA", IF(AND(G4334="Yes", H4334=""), "Gap - Missing Art. 9 Basis", IF(OR(I4334="Invalid - Not Freely Given", I4334="Invalid - Not Specific", I4334="Invalid - Not Informed", I4334="Invalid - Ambiguous"), "Gap - Invalid Consent", "Compliant")))))</f>
        <v/>
      </c>
      <c r="O4334" s="7" t="n"/>
    </row>
    <row r="4335">
      <c r="A4335" s="7" t="n"/>
      <c r="B4335" s="7" t="n"/>
      <c r="C4335" s="7" t="n"/>
      <c r="D4335" s="7" t="n"/>
      <c r="E4335" s="7" t="n"/>
      <c r="F4335" s="7" t="n"/>
      <c r="G4335" s="7" t="n"/>
      <c r="H4335" s="7" t="n"/>
      <c r="I4335" s="7" t="n"/>
      <c r="J4335" s="7" t="n"/>
      <c r="K4335">
        <f>IF(D4335="Legitimate Interest (GDPR Art. 6(1)(f))", "Yes / Required (Sheet 3)", "")</f>
        <v/>
      </c>
      <c r="L4335" s="7" t="n"/>
      <c r="M4335" s="7" t="n"/>
      <c r="N4335">
        <f>IF(D4335="", "Gap - No Legal Basis", IF(AND(D4335="Consent (GDPR Art. 6(1)(a))", I4335="Not Captured"), "Gap - Invalid Consent", IF(AND(D4335="Legitimate Interest (GDPR Art. 6(1)(f))", L4335=""), "Gap - Missing LIA", IF(AND(G4335="Yes", H4335=""), "Gap - Missing Art. 9 Basis", IF(OR(I4335="Invalid - Not Freely Given", I4335="Invalid - Not Specific", I4335="Invalid - Not Informed", I4335="Invalid - Ambiguous"), "Gap - Invalid Consent", "Compliant")))))</f>
        <v/>
      </c>
      <c r="O4335" s="7" t="n"/>
    </row>
    <row r="4336">
      <c r="A4336" s="7" t="n"/>
      <c r="B4336" s="7" t="n"/>
      <c r="C4336" s="7" t="n"/>
      <c r="D4336" s="7" t="n"/>
      <c r="E4336" s="7" t="n"/>
      <c r="F4336" s="7" t="n"/>
      <c r="G4336" s="7" t="n"/>
      <c r="H4336" s="7" t="n"/>
      <c r="I4336" s="7" t="n"/>
      <c r="J4336" s="7" t="n"/>
      <c r="K4336">
        <f>IF(D4336="Legitimate Interest (GDPR Art. 6(1)(f))", "Yes / Required (Sheet 3)", "")</f>
        <v/>
      </c>
      <c r="L4336" s="7" t="n"/>
      <c r="M4336" s="7" t="n"/>
      <c r="N4336">
        <f>IF(D4336="", "Gap - No Legal Basis", IF(AND(D4336="Consent (GDPR Art. 6(1)(a))", I4336="Not Captured"), "Gap - Invalid Consent", IF(AND(D4336="Legitimate Interest (GDPR Art. 6(1)(f))", L4336=""), "Gap - Missing LIA", IF(AND(G4336="Yes", H4336=""), "Gap - Missing Art. 9 Basis", IF(OR(I4336="Invalid - Not Freely Given", I4336="Invalid - Not Specific", I4336="Invalid - Not Informed", I4336="Invalid - Ambiguous"), "Gap - Invalid Consent", "Compliant")))))</f>
        <v/>
      </c>
      <c r="O4336" s="7" t="n"/>
    </row>
    <row r="4337">
      <c r="A4337" s="7" t="n"/>
      <c r="B4337" s="7" t="n"/>
      <c r="C4337" s="7" t="n"/>
      <c r="D4337" s="7" t="n"/>
      <c r="E4337" s="7" t="n"/>
      <c r="F4337" s="7" t="n"/>
      <c r="G4337" s="7" t="n"/>
      <c r="H4337" s="7" t="n"/>
      <c r="I4337" s="7" t="n"/>
      <c r="J4337" s="7" t="n"/>
      <c r="K4337">
        <f>IF(D4337="Legitimate Interest (GDPR Art. 6(1)(f))", "Yes / Required (Sheet 3)", "")</f>
        <v/>
      </c>
      <c r="L4337" s="7" t="n"/>
      <c r="M4337" s="7" t="n"/>
      <c r="N4337">
        <f>IF(D4337="", "Gap - No Legal Basis", IF(AND(D4337="Consent (GDPR Art. 6(1)(a))", I4337="Not Captured"), "Gap - Invalid Consent", IF(AND(D4337="Legitimate Interest (GDPR Art. 6(1)(f))", L4337=""), "Gap - Missing LIA", IF(AND(G4337="Yes", H4337=""), "Gap - Missing Art. 9 Basis", IF(OR(I4337="Invalid - Not Freely Given", I4337="Invalid - Not Specific", I4337="Invalid - Not Informed", I4337="Invalid - Ambiguous"), "Gap - Invalid Consent", "Compliant")))))</f>
        <v/>
      </c>
      <c r="O4337" s="7" t="n"/>
    </row>
    <row r="4338">
      <c r="A4338" s="7" t="n"/>
      <c r="B4338" s="7" t="n"/>
      <c r="C4338" s="7" t="n"/>
      <c r="D4338" s="7" t="n"/>
      <c r="E4338" s="7" t="n"/>
      <c r="F4338" s="7" t="n"/>
      <c r="G4338" s="7" t="n"/>
      <c r="H4338" s="7" t="n"/>
      <c r="I4338" s="7" t="n"/>
      <c r="J4338" s="7" t="n"/>
      <c r="K4338">
        <f>IF(D4338="Legitimate Interest (GDPR Art. 6(1)(f))", "Yes / Required (Sheet 3)", "")</f>
        <v/>
      </c>
      <c r="L4338" s="7" t="n"/>
      <c r="M4338" s="7" t="n"/>
      <c r="N4338">
        <f>IF(D4338="", "Gap - No Legal Basis", IF(AND(D4338="Consent (GDPR Art. 6(1)(a))", I4338="Not Captured"), "Gap - Invalid Consent", IF(AND(D4338="Legitimate Interest (GDPR Art. 6(1)(f))", L4338=""), "Gap - Missing LIA", IF(AND(G4338="Yes", H4338=""), "Gap - Missing Art. 9 Basis", IF(OR(I4338="Invalid - Not Freely Given", I4338="Invalid - Not Specific", I4338="Invalid - Not Informed", I4338="Invalid - Ambiguous"), "Gap - Invalid Consent", "Compliant")))))</f>
        <v/>
      </c>
      <c r="O4338" s="7" t="n"/>
    </row>
    <row r="4339">
      <c r="A4339" s="7" t="n"/>
      <c r="B4339" s="7" t="n"/>
      <c r="C4339" s="7" t="n"/>
      <c r="D4339" s="7" t="n"/>
      <c r="E4339" s="7" t="n"/>
      <c r="F4339" s="7" t="n"/>
      <c r="G4339" s="7" t="n"/>
      <c r="H4339" s="7" t="n"/>
      <c r="I4339" s="7" t="n"/>
      <c r="J4339" s="7" t="n"/>
      <c r="K4339">
        <f>IF(D4339="Legitimate Interest (GDPR Art. 6(1)(f))", "Yes / Required (Sheet 3)", "")</f>
        <v/>
      </c>
      <c r="L4339" s="7" t="n"/>
      <c r="M4339" s="7" t="n"/>
      <c r="N4339">
        <f>IF(D4339="", "Gap - No Legal Basis", IF(AND(D4339="Consent (GDPR Art. 6(1)(a))", I4339="Not Captured"), "Gap - Invalid Consent", IF(AND(D4339="Legitimate Interest (GDPR Art. 6(1)(f))", L4339=""), "Gap - Missing LIA", IF(AND(G4339="Yes", H4339=""), "Gap - Missing Art. 9 Basis", IF(OR(I4339="Invalid - Not Freely Given", I4339="Invalid - Not Specific", I4339="Invalid - Not Informed", I4339="Invalid - Ambiguous"), "Gap - Invalid Consent", "Compliant")))))</f>
        <v/>
      </c>
      <c r="O4339" s="7" t="n"/>
    </row>
    <row r="4340">
      <c r="A4340" s="7" t="n"/>
      <c r="B4340" s="7" t="n"/>
      <c r="C4340" s="7" t="n"/>
      <c r="D4340" s="7" t="n"/>
      <c r="E4340" s="7" t="n"/>
      <c r="F4340" s="7" t="n"/>
      <c r="G4340" s="7" t="n"/>
      <c r="H4340" s="7" t="n"/>
      <c r="I4340" s="7" t="n"/>
      <c r="J4340" s="7" t="n"/>
      <c r="K4340">
        <f>IF(D4340="Legitimate Interest (GDPR Art. 6(1)(f))", "Yes / Required (Sheet 3)", "")</f>
        <v/>
      </c>
      <c r="L4340" s="7" t="n"/>
      <c r="M4340" s="7" t="n"/>
      <c r="N4340">
        <f>IF(D4340="", "Gap - No Legal Basis", IF(AND(D4340="Consent (GDPR Art. 6(1)(a))", I4340="Not Captured"), "Gap - Invalid Consent", IF(AND(D4340="Legitimate Interest (GDPR Art. 6(1)(f))", L4340=""), "Gap - Missing LIA", IF(AND(G4340="Yes", H4340=""), "Gap - Missing Art. 9 Basis", IF(OR(I4340="Invalid - Not Freely Given", I4340="Invalid - Not Specific", I4340="Invalid - Not Informed", I4340="Invalid - Ambiguous"), "Gap - Invalid Consent", "Compliant")))))</f>
        <v/>
      </c>
      <c r="O4340" s="7" t="n"/>
    </row>
    <row r="4341">
      <c r="A4341" s="7" t="n"/>
      <c r="B4341" s="7" t="n"/>
      <c r="C4341" s="7" t="n"/>
      <c r="D4341" s="7" t="n"/>
      <c r="E4341" s="7" t="n"/>
      <c r="F4341" s="7" t="n"/>
      <c r="G4341" s="7" t="n"/>
      <c r="H4341" s="7" t="n"/>
      <c r="I4341" s="7" t="n"/>
      <c r="J4341" s="7" t="n"/>
      <c r="K4341">
        <f>IF(D4341="Legitimate Interest (GDPR Art. 6(1)(f))", "Yes / Required (Sheet 3)", "")</f>
        <v/>
      </c>
      <c r="L4341" s="7" t="n"/>
      <c r="M4341" s="7" t="n"/>
      <c r="N4341">
        <f>IF(D4341="", "Gap - No Legal Basis", IF(AND(D4341="Consent (GDPR Art. 6(1)(a))", I4341="Not Captured"), "Gap - Invalid Consent", IF(AND(D4341="Legitimate Interest (GDPR Art. 6(1)(f))", L4341=""), "Gap - Missing LIA", IF(AND(G4341="Yes", H4341=""), "Gap - Missing Art. 9 Basis", IF(OR(I4341="Invalid - Not Freely Given", I4341="Invalid - Not Specific", I4341="Invalid - Not Informed", I4341="Invalid - Ambiguous"), "Gap - Invalid Consent", "Compliant")))))</f>
        <v/>
      </c>
      <c r="O4341" s="7" t="n"/>
    </row>
    <row r="4342">
      <c r="A4342" s="7" t="n"/>
      <c r="B4342" s="7" t="n"/>
      <c r="C4342" s="7" t="n"/>
      <c r="D4342" s="7" t="n"/>
      <c r="E4342" s="7" t="n"/>
      <c r="F4342" s="7" t="n"/>
      <c r="G4342" s="7" t="n"/>
      <c r="H4342" s="7" t="n"/>
      <c r="I4342" s="7" t="n"/>
      <c r="J4342" s="7" t="n"/>
      <c r="K4342">
        <f>IF(D4342="Legitimate Interest (GDPR Art. 6(1)(f))", "Yes / Required (Sheet 3)", "")</f>
        <v/>
      </c>
      <c r="L4342" s="7" t="n"/>
      <c r="M4342" s="7" t="n"/>
      <c r="N4342">
        <f>IF(D4342="", "Gap - No Legal Basis", IF(AND(D4342="Consent (GDPR Art. 6(1)(a))", I4342="Not Captured"), "Gap - Invalid Consent", IF(AND(D4342="Legitimate Interest (GDPR Art. 6(1)(f))", L4342=""), "Gap - Missing LIA", IF(AND(G4342="Yes", H4342=""), "Gap - Missing Art. 9 Basis", IF(OR(I4342="Invalid - Not Freely Given", I4342="Invalid - Not Specific", I4342="Invalid - Not Informed", I4342="Invalid - Ambiguous"), "Gap - Invalid Consent", "Compliant")))))</f>
        <v/>
      </c>
      <c r="O4342" s="7" t="n"/>
    </row>
    <row r="4343">
      <c r="A4343" s="7" t="n"/>
      <c r="B4343" s="7" t="n"/>
      <c r="C4343" s="7" t="n"/>
      <c r="D4343" s="7" t="n"/>
      <c r="E4343" s="7" t="n"/>
      <c r="F4343" s="7" t="n"/>
      <c r="G4343" s="7" t="n"/>
      <c r="H4343" s="7" t="n"/>
      <c r="I4343" s="7" t="n"/>
      <c r="J4343" s="7" t="n"/>
      <c r="K4343">
        <f>IF(D4343="Legitimate Interest (GDPR Art. 6(1)(f))", "Yes / Required (Sheet 3)", "")</f>
        <v/>
      </c>
      <c r="L4343" s="7" t="n"/>
      <c r="M4343" s="7" t="n"/>
      <c r="N4343">
        <f>IF(D4343="", "Gap - No Legal Basis", IF(AND(D4343="Consent (GDPR Art. 6(1)(a))", I4343="Not Captured"), "Gap - Invalid Consent", IF(AND(D4343="Legitimate Interest (GDPR Art. 6(1)(f))", L4343=""), "Gap - Missing LIA", IF(AND(G4343="Yes", H4343=""), "Gap - Missing Art. 9 Basis", IF(OR(I4343="Invalid - Not Freely Given", I4343="Invalid - Not Specific", I4343="Invalid - Not Informed", I4343="Invalid - Ambiguous"), "Gap - Invalid Consent", "Compliant")))))</f>
        <v/>
      </c>
      <c r="O4343" s="7" t="n"/>
    </row>
    <row r="4344">
      <c r="A4344" s="7" t="n"/>
      <c r="B4344" s="7" t="n"/>
      <c r="C4344" s="7" t="n"/>
      <c r="D4344" s="7" t="n"/>
      <c r="E4344" s="7" t="n"/>
      <c r="F4344" s="7" t="n"/>
      <c r="G4344" s="7" t="n"/>
      <c r="H4344" s="7" t="n"/>
      <c r="I4344" s="7" t="n"/>
      <c r="J4344" s="7" t="n"/>
      <c r="K4344">
        <f>IF(D4344="Legitimate Interest (GDPR Art. 6(1)(f))", "Yes / Required (Sheet 3)", "")</f>
        <v/>
      </c>
      <c r="L4344" s="7" t="n"/>
      <c r="M4344" s="7" t="n"/>
      <c r="N4344">
        <f>IF(D4344="", "Gap - No Legal Basis", IF(AND(D4344="Consent (GDPR Art. 6(1)(a))", I4344="Not Captured"), "Gap - Invalid Consent", IF(AND(D4344="Legitimate Interest (GDPR Art. 6(1)(f))", L4344=""), "Gap - Missing LIA", IF(AND(G4344="Yes", H4344=""), "Gap - Missing Art. 9 Basis", IF(OR(I4344="Invalid - Not Freely Given", I4344="Invalid - Not Specific", I4344="Invalid - Not Informed", I4344="Invalid - Ambiguous"), "Gap - Invalid Consent", "Compliant")))))</f>
        <v/>
      </c>
      <c r="O4344" s="7" t="n"/>
    </row>
    <row r="4345">
      <c r="A4345" s="7" t="n"/>
      <c r="B4345" s="7" t="n"/>
      <c r="C4345" s="7" t="n"/>
      <c r="D4345" s="7" t="n"/>
      <c r="E4345" s="7" t="n"/>
      <c r="F4345" s="7" t="n"/>
      <c r="G4345" s="7" t="n"/>
      <c r="H4345" s="7" t="n"/>
      <c r="I4345" s="7" t="n"/>
      <c r="J4345" s="7" t="n"/>
      <c r="K4345">
        <f>IF(D4345="Legitimate Interest (GDPR Art. 6(1)(f))", "Yes / Required (Sheet 3)", "")</f>
        <v/>
      </c>
      <c r="L4345" s="7" t="n"/>
      <c r="M4345" s="7" t="n"/>
      <c r="N4345">
        <f>IF(D4345="", "Gap - No Legal Basis", IF(AND(D4345="Consent (GDPR Art. 6(1)(a))", I4345="Not Captured"), "Gap - Invalid Consent", IF(AND(D4345="Legitimate Interest (GDPR Art. 6(1)(f))", L4345=""), "Gap - Missing LIA", IF(AND(G4345="Yes", H4345=""), "Gap - Missing Art. 9 Basis", IF(OR(I4345="Invalid - Not Freely Given", I4345="Invalid - Not Specific", I4345="Invalid - Not Informed", I4345="Invalid - Ambiguous"), "Gap - Invalid Consent", "Compliant")))))</f>
        <v/>
      </c>
      <c r="O4345" s="7" t="n"/>
    </row>
    <row r="4346">
      <c r="A4346" s="7" t="n"/>
      <c r="B4346" s="7" t="n"/>
      <c r="C4346" s="7" t="n"/>
      <c r="D4346" s="7" t="n"/>
      <c r="E4346" s="7" t="n"/>
      <c r="F4346" s="7" t="n"/>
      <c r="G4346" s="7" t="n"/>
      <c r="H4346" s="7" t="n"/>
      <c r="I4346" s="7" t="n"/>
      <c r="J4346" s="7" t="n"/>
      <c r="K4346">
        <f>IF(D4346="Legitimate Interest (GDPR Art. 6(1)(f))", "Yes / Required (Sheet 3)", "")</f>
        <v/>
      </c>
      <c r="L4346" s="7" t="n"/>
      <c r="M4346" s="7" t="n"/>
      <c r="N4346">
        <f>IF(D4346="", "Gap - No Legal Basis", IF(AND(D4346="Consent (GDPR Art. 6(1)(a))", I4346="Not Captured"), "Gap - Invalid Consent", IF(AND(D4346="Legitimate Interest (GDPR Art. 6(1)(f))", L4346=""), "Gap - Missing LIA", IF(AND(G4346="Yes", H4346=""), "Gap - Missing Art. 9 Basis", IF(OR(I4346="Invalid - Not Freely Given", I4346="Invalid - Not Specific", I4346="Invalid - Not Informed", I4346="Invalid - Ambiguous"), "Gap - Invalid Consent", "Compliant")))))</f>
        <v/>
      </c>
      <c r="O4346" s="7" t="n"/>
    </row>
    <row r="4347">
      <c r="A4347" s="7" t="n"/>
      <c r="B4347" s="7" t="n"/>
      <c r="C4347" s="7" t="n"/>
      <c r="D4347" s="7" t="n"/>
      <c r="E4347" s="7" t="n"/>
      <c r="F4347" s="7" t="n"/>
      <c r="G4347" s="7" t="n"/>
      <c r="H4347" s="7" t="n"/>
      <c r="I4347" s="7" t="n"/>
      <c r="J4347" s="7" t="n"/>
      <c r="K4347">
        <f>IF(D4347="Legitimate Interest (GDPR Art. 6(1)(f))", "Yes / Required (Sheet 3)", "")</f>
        <v/>
      </c>
      <c r="L4347" s="7" t="n"/>
      <c r="M4347" s="7" t="n"/>
      <c r="N4347">
        <f>IF(D4347="", "Gap - No Legal Basis", IF(AND(D4347="Consent (GDPR Art. 6(1)(a))", I4347="Not Captured"), "Gap - Invalid Consent", IF(AND(D4347="Legitimate Interest (GDPR Art. 6(1)(f))", L4347=""), "Gap - Missing LIA", IF(AND(G4347="Yes", H4347=""), "Gap - Missing Art. 9 Basis", IF(OR(I4347="Invalid - Not Freely Given", I4347="Invalid - Not Specific", I4347="Invalid - Not Informed", I4347="Invalid - Ambiguous"), "Gap - Invalid Consent", "Compliant")))))</f>
        <v/>
      </c>
      <c r="O4347" s="7" t="n"/>
    </row>
    <row r="4348">
      <c r="A4348" s="7" t="n"/>
      <c r="B4348" s="7" t="n"/>
      <c r="C4348" s="7" t="n"/>
      <c r="D4348" s="7" t="n"/>
      <c r="E4348" s="7" t="n"/>
      <c r="F4348" s="7" t="n"/>
      <c r="G4348" s="7" t="n"/>
      <c r="H4348" s="7" t="n"/>
      <c r="I4348" s="7" t="n"/>
      <c r="J4348" s="7" t="n"/>
      <c r="K4348">
        <f>IF(D4348="Legitimate Interest (GDPR Art. 6(1)(f))", "Yes / Required (Sheet 3)", "")</f>
        <v/>
      </c>
      <c r="L4348" s="7" t="n"/>
      <c r="M4348" s="7" t="n"/>
      <c r="N4348">
        <f>IF(D4348="", "Gap - No Legal Basis", IF(AND(D4348="Consent (GDPR Art. 6(1)(a))", I4348="Not Captured"), "Gap - Invalid Consent", IF(AND(D4348="Legitimate Interest (GDPR Art. 6(1)(f))", L4348=""), "Gap - Missing LIA", IF(AND(G4348="Yes", H4348=""), "Gap - Missing Art. 9 Basis", IF(OR(I4348="Invalid - Not Freely Given", I4348="Invalid - Not Specific", I4348="Invalid - Not Informed", I4348="Invalid - Ambiguous"), "Gap - Invalid Consent", "Compliant")))))</f>
        <v/>
      </c>
      <c r="O4348" s="7" t="n"/>
    </row>
    <row r="4349">
      <c r="A4349" s="7" t="n"/>
      <c r="B4349" s="7" t="n"/>
      <c r="C4349" s="7" t="n"/>
      <c r="D4349" s="7" t="n"/>
      <c r="E4349" s="7" t="n"/>
      <c r="F4349" s="7" t="n"/>
      <c r="G4349" s="7" t="n"/>
      <c r="H4349" s="7" t="n"/>
      <c r="I4349" s="7" t="n"/>
      <c r="J4349" s="7" t="n"/>
      <c r="K4349">
        <f>IF(D4349="Legitimate Interest (GDPR Art. 6(1)(f))", "Yes / Required (Sheet 3)", "")</f>
        <v/>
      </c>
      <c r="L4349" s="7" t="n"/>
      <c r="M4349" s="7" t="n"/>
      <c r="N4349">
        <f>IF(D4349="", "Gap - No Legal Basis", IF(AND(D4349="Consent (GDPR Art. 6(1)(a))", I4349="Not Captured"), "Gap - Invalid Consent", IF(AND(D4349="Legitimate Interest (GDPR Art. 6(1)(f))", L4349=""), "Gap - Missing LIA", IF(AND(G4349="Yes", H4349=""), "Gap - Missing Art. 9 Basis", IF(OR(I4349="Invalid - Not Freely Given", I4349="Invalid - Not Specific", I4349="Invalid - Not Informed", I4349="Invalid - Ambiguous"), "Gap - Invalid Consent", "Compliant")))))</f>
        <v/>
      </c>
      <c r="O4349" s="7" t="n"/>
    </row>
    <row r="4350">
      <c r="A4350" s="7" t="n"/>
      <c r="B4350" s="7" t="n"/>
      <c r="C4350" s="7" t="n"/>
      <c r="D4350" s="7" t="n"/>
      <c r="E4350" s="7" t="n"/>
      <c r="F4350" s="7" t="n"/>
      <c r="G4350" s="7" t="n"/>
      <c r="H4350" s="7" t="n"/>
      <c r="I4350" s="7" t="n"/>
      <c r="J4350" s="7" t="n"/>
      <c r="K4350">
        <f>IF(D4350="Legitimate Interest (GDPR Art. 6(1)(f))", "Yes / Required (Sheet 3)", "")</f>
        <v/>
      </c>
      <c r="L4350" s="7" t="n"/>
      <c r="M4350" s="7" t="n"/>
      <c r="N4350">
        <f>IF(D4350="", "Gap - No Legal Basis", IF(AND(D4350="Consent (GDPR Art. 6(1)(a))", I4350="Not Captured"), "Gap - Invalid Consent", IF(AND(D4350="Legitimate Interest (GDPR Art. 6(1)(f))", L4350=""), "Gap - Missing LIA", IF(AND(G4350="Yes", H4350=""), "Gap - Missing Art. 9 Basis", IF(OR(I4350="Invalid - Not Freely Given", I4350="Invalid - Not Specific", I4350="Invalid - Not Informed", I4350="Invalid - Ambiguous"), "Gap - Invalid Consent", "Compliant")))))</f>
        <v/>
      </c>
      <c r="O4350" s="7" t="n"/>
    </row>
    <row r="4351">
      <c r="A4351" s="7" t="n"/>
      <c r="B4351" s="7" t="n"/>
      <c r="C4351" s="7" t="n"/>
      <c r="D4351" s="7" t="n"/>
      <c r="E4351" s="7" t="n"/>
      <c r="F4351" s="7" t="n"/>
      <c r="G4351" s="7" t="n"/>
      <c r="H4351" s="7" t="n"/>
      <c r="I4351" s="7" t="n"/>
      <c r="J4351" s="7" t="n"/>
      <c r="K4351">
        <f>IF(D4351="Legitimate Interest (GDPR Art. 6(1)(f))", "Yes / Required (Sheet 3)", "")</f>
        <v/>
      </c>
      <c r="L4351" s="7" t="n"/>
      <c r="M4351" s="7" t="n"/>
      <c r="N4351">
        <f>IF(D4351="", "Gap - No Legal Basis", IF(AND(D4351="Consent (GDPR Art. 6(1)(a))", I4351="Not Captured"), "Gap - Invalid Consent", IF(AND(D4351="Legitimate Interest (GDPR Art. 6(1)(f))", L4351=""), "Gap - Missing LIA", IF(AND(G4351="Yes", H4351=""), "Gap - Missing Art. 9 Basis", IF(OR(I4351="Invalid - Not Freely Given", I4351="Invalid - Not Specific", I4351="Invalid - Not Informed", I4351="Invalid - Ambiguous"), "Gap - Invalid Consent", "Compliant")))))</f>
        <v/>
      </c>
      <c r="O4351" s="7" t="n"/>
    </row>
    <row r="4352">
      <c r="A4352" s="7" t="n"/>
      <c r="B4352" s="7" t="n"/>
      <c r="C4352" s="7" t="n"/>
      <c r="D4352" s="7" t="n"/>
      <c r="E4352" s="7" t="n"/>
      <c r="F4352" s="7" t="n"/>
      <c r="G4352" s="7" t="n"/>
      <c r="H4352" s="7" t="n"/>
      <c r="I4352" s="7" t="n"/>
      <c r="J4352" s="7" t="n"/>
      <c r="K4352">
        <f>IF(D4352="Legitimate Interest (GDPR Art. 6(1)(f))", "Yes / Required (Sheet 3)", "")</f>
        <v/>
      </c>
      <c r="L4352" s="7" t="n"/>
      <c r="M4352" s="7" t="n"/>
      <c r="N4352">
        <f>IF(D4352="", "Gap - No Legal Basis", IF(AND(D4352="Consent (GDPR Art. 6(1)(a))", I4352="Not Captured"), "Gap - Invalid Consent", IF(AND(D4352="Legitimate Interest (GDPR Art. 6(1)(f))", L4352=""), "Gap - Missing LIA", IF(AND(G4352="Yes", H4352=""), "Gap - Missing Art. 9 Basis", IF(OR(I4352="Invalid - Not Freely Given", I4352="Invalid - Not Specific", I4352="Invalid - Not Informed", I4352="Invalid - Ambiguous"), "Gap - Invalid Consent", "Compliant")))))</f>
        <v/>
      </c>
      <c r="O4352" s="7" t="n"/>
    </row>
    <row r="4353">
      <c r="A4353" s="7" t="n"/>
      <c r="B4353" s="7" t="n"/>
      <c r="C4353" s="7" t="n"/>
      <c r="D4353" s="7" t="n"/>
      <c r="E4353" s="7" t="n"/>
      <c r="F4353" s="7" t="n"/>
      <c r="G4353" s="7" t="n"/>
      <c r="H4353" s="7" t="n"/>
      <c r="I4353" s="7" t="n"/>
      <c r="J4353" s="7" t="n"/>
      <c r="K4353">
        <f>IF(D4353="Legitimate Interest (GDPR Art. 6(1)(f))", "Yes / Required (Sheet 3)", "")</f>
        <v/>
      </c>
      <c r="L4353" s="7" t="n"/>
      <c r="M4353" s="7" t="n"/>
      <c r="N4353">
        <f>IF(D4353="", "Gap - No Legal Basis", IF(AND(D4353="Consent (GDPR Art. 6(1)(a))", I4353="Not Captured"), "Gap - Invalid Consent", IF(AND(D4353="Legitimate Interest (GDPR Art. 6(1)(f))", L4353=""), "Gap - Missing LIA", IF(AND(G4353="Yes", H4353=""), "Gap - Missing Art. 9 Basis", IF(OR(I4353="Invalid - Not Freely Given", I4353="Invalid - Not Specific", I4353="Invalid - Not Informed", I4353="Invalid - Ambiguous"), "Gap - Invalid Consent", "Compliant")))))</f>
        <v/>
      </c>
      <c r="O4353" s="7" t="n"/>
    </row>
    <row r="4354">
      <c r="A4354" s="7" t="n"/>
      <c r="B4354" s="7" t="n"/>
      <c r="C4354" s="7" t="n"/>
      <c r="D4354" s="7" t="n"/>
      <c r="E4354" s="7" t="n"/>
      <c r="F4354" s="7" t="n"/>
      <c r="G4354" s="7" t="n"/>
      <c r="H4354" s="7" t="n"/>
      <c r="I4354" s="7" t="n"/>
      <c r="J4354" s="7" t="n"/>
      <c r="K4354">
        <f>IF(D4354="Legitimate Interest (GDPR Art. 6(1)(f))", "Yes / Required (Sheet 3)", "")</f>
        <v/>
      </c>
      <c r="L4354" s="7" t="n"/>
      <c r="M4354" s="7" t="n"/>
      <c r="N4354">
        <f>IF(D4354="", "Gap - No Legal Basis", IF(AND(D4354="Consent (GDPR Art. 6(1)(a))", I4354="Not Captured"), "Gap - Invalid Consent", IF(AND(D4354="Legitimate Interest (GDPR Art. 6(1)(f))", L4354=""), "Gap - Missing LIA", IF(AND(G4354="Yes", H4354=""), "Gap - Missing Art. 9 Basis", IF(OR(I4354="Invalid - Not Freely Given", I4354="Invalid - Not Specific", I4354="Invalid - Not Informed", I4354="Invalid - Ambiguous"), "Gap - Invalid Consent", "Compliant")))))</f>
        <v/>
      </c>
      <c r="O4354" s="7" t="n"/>
    </row>
    <row r="4355">
      <c r="A4355" s="7" t="n"/>
      <c r="B4355" s="7" t="n"/>
      <c r="C4355" s="7" t="n"/>
      <c r="D4355" s="7" t="n"/>
      <c r="E4355" s="7" t="n"/>
      <c r="F4355" s="7" t="n"/>
      <c r="G4355" s="7" t="n"/>
      <c r="H4355" s="7" t="n"/>
      <c r="I4355" s="7" t="n"/>
      <c r="J4355" s="7" t="n"/>
      <c r="K4355">
        <f>IF(D4355="Legitimate Interest (GDPR Art. 6(1)(f))", "Yes / Required (Sheet 3)", "")</f>
        <v/>
      </c>
      <c r="L4355" s="7" t="n"/>
      <c r="M4355" s="7" t="n"/>
      <c r="N4355">
        <f>IF(D4355="", "Gap - No Legal Basis", IF(AND(D4355="Consent (GDPR Art. 6(1)(a))", I4355="Not Captured"), "Gap - Invalid Consent", IF(AND(D4355="Legitimate Interest (GDPR Art. 6(1)(f))", L4355=""), "Gap - Missing LIA", IF(AND(G4355="Yes", H4355=""), "Gap - Missing Art. 9 Basis", IF(OR(I4355="Invalid - Not Freely Given", I4355="Invalid - Not Specific", I4355="Invalid - Not Informed", I4355="Invalid - Ambiguous"), "Gap - Invalid Consent", "Compliant")))))</f>
        <v/>
      </c>
      <c r="O4355" s="7" t="n"/>
    </row>
    <row r="4356">
      <c r="A4356" s="7" t="n"/>
      <c r="B4356" s="7" t="n"/>
      <c r="C4356" s="7" t="n"/>
      <c r="D4356" s="7" t="n"/>
      <c r="E4356" s="7" t="n"/>
      <c r="F4356" s="7" t="n"/>
      <c r="G4356" s="7" t="n"/>
      <c r="H4356" s="7" t="n"/>
      <c r="I4356" s="7" t="n"/>
      <c r="J4356" s="7" t="n"/>
      <c r="K4356">
        <f>IF(D4356="Legitimate Interest (GDPR Art. 6(1)(f))", "Yes / Required (Sheet 3)", "")</f>
        <v/>
      </c>
      <c r="L4356" s="7" t="n"/>
      <c r="M4356" s="7" t="n"/>
      <c r="N4356">
        <f>IF(D4356="", "Gap - No Legal Basis", IF(AND(D4356="Consent (GDPR Art. 6(1)(a))", I4356="Not Captured"), "Gap - Invalid Consent", IF(AND(D4356="Legitimate Interest (GDPR Art. 6(1)(f))", L4356=""), "Gap - Missing LIA", IF(AND(G4356="Yes", H4356=""), "Gap - Missing Art. 9 Basis", IF(OR(I4356="Invalid - Not Freely Given", I4356="Invalid - Not Specific", I4356="Invalid - Not Informed", I4356="Invalid - Ambiguous"), "Gap - Invalid Consent", "Compliant")))))</f>
        <v/>
      </c>
      <c r="O4356" s="7" t="n"/>
    </row>
    <row r="4357">
      <c r="A4357" s="7" t="n"/>
      <c r="B4357" s="7" t="n"/>
      <c r="C4357" s="7" t="n"/>
      <c r="D4357" s="7" t="n"/>
      <c r="E4357" s="7" t="n"/>
      <c r="F4357" s="7" t="n"/>
      <c r="G4357" s="7" t="n"/>
      <c r="H4357" s="7" t="n"/>
      <c r="I4357" s="7" t="n"/>
      <c r="J4357" s="7" t="n"/>
      <c r="K4357">
        <f>IF(D4357="Legitimate Interest (GDPR Art. 6(1)(f))", "Yes / Required (Sheet 3)", "")</f>
        <v/>
      </c>
      <c r="L4357" s="7" t="n"/>
      <c r="M4357" s="7" t="n"/>
      <c r="N4357">
        <f>IF(D4357="", "Gap - No Legal Basis", IF(AND(D4357="Consent (GDPR Art. 6(1)(a))", I4357="Not Captured"), "Gap - Invalid Consent", IF(AND(D4357="Legitimate Interest (GDPR Art. 6(1)(f))", L4357=""), "Gap - Missing LIA", IF(AND(G4357="Yes", H4357=""), "Gap - Missing Art. 9 Basis", IF(OR(I4357="Invalid - Not Freely Given", I4357="Invalid - Not Specific", I4357="Invalid - Not Informed", I4357="Invalid - Ambiguous"), "Gap - Invalid Consent", "Compliant")))))</f>
        <v/>
      </c>
      <c r="O4357" s="7" t="n"/>
    </row>
    <row r="4358">
      <c r="A4358" s="7" t="n"/>
      <c r="B4358" s="7" t="n"/>
      <c r="C4358" s="7" t="n"/>
      <c r="D4358" s="7" t="n"/>
      <c r="E4358" s="7" t="n"/>
      <c r="F4358" s="7" t="n"/>
      <c r="G4358" s="7" t="n"/>
      <c r="H4358" s="7" t="n"/>
      <c r="I4358" s="7" t="n"/>
      <c r="J4358" s="7" t="n"/>
      <c r="K4358">
        <f>IF(D4358="Legitimate Interest (GDPR Art. 6(1)(f))", "Yes / Required (Sheet 3)", "")</f>
        <v/>
      </c>
      <c r="L4358" s="7" t="n"/>
      <c r="M4358" s="7" t="n"/>
      <c r="N4358">
        <f>IF(D4358="", "Gap - No Legal Basis", IF(AND(D4358="Consent (GDPR Art. 6(1)(a))", I4358="Not Captured"), "Gap - Invalid Consent", IF(AND(D4358="Legitimate Interest (GDPR Art. 6(1)(f))", L4358=""), "Gap - Missing LIA", IF(AND(G4358="Yes", H4358=""), "Gap - Missing Art. 9 Basis", IF(OR(I4358="Invalid - Not Freely Given", I4358="Invalid - Not Specific", I4358="Invalid - Not Informed", I4358="Invalid - Ambiguous"), "Gap - Invalid Consent", "Compliant")))))</f>
        <v/>
      </c>
      <c r="O4358" s="7" t="n"/>
    </row>
    <row r="4359">
      <c r="A4359" s="7" t="n"/>
      <c r="B4359" s="7" t="n"/>
      <c r="C4359" s="7" t="n"/>
      <c r="D4359" s="7" t="n"/>
      <c r="E4359" s="7" t="n"/>
      <c r="F4359" s="7" t="n"/>
      <c r="G4359" s="7" t="n"/>
      <c r="H4359" s="7" t="n"/>
      <c r="I4359" s="7" t="n"/>
      <c r="J4359" s="7" t="n"/>
      <c r="K4359">
        <f>IF(D4359="Legitimate Interest (GDPR Art. 6(1)(f))", "Yes / Required (Sheet 3)", "")</f>
        <v/>
      </c>
      <c r="L4359" s="7" t="n"/>
      <c r="M4359" s="7" t="n"/>
      <c r="N4359">
        <f>IF(D4359="", "Gap - No Legal Basis", IF(AND(D4359="Consent (GDPR Art. 6(1)(a))", I4359="Not Captured"), "Gap - Invalid Consent", IF(AND(D4359="Legitimate Interest (GDPR Art. 6(1)(f))", L4359=""), "Gap - Missing LIA", IF(AND(G4359="Yes", H4359=""), "Gap - Missing Art. 9 Basis", IF(OR(I4359="Invalid - Not Freely Given", I4359="Invalid - Not Specific", I4359="Invalid - Not Informed", I4359="Invalid - Ambiguous"), "Gap - Invalid Consent", "Compliant")))))</f>
        <v/>
      </c>
      <c r="O4359" s="7" t="n"/>
    </row>
    <row r="4360">
      <c r="A4360" s="7" t="n"/>
      <c r="B4360" s="7" t="n"/>
      <c r="C4360" s="7" t="n"/>
      <c r="D4360" s="7" t="n"/>
      <c r="E4360" s="7" t="n"/>
      <c r="F4360" s="7" t="n"/>
      <c r="G4360" s="7" t="n"/>
      <c r="H4360" s="7" t="n"/>
      <c r="I4360" s="7" t="n"/>
      <c r="J4360" s="7" t="n"/>
      <c r="K4360">
        <f>IF(D4360="Legitimate Interest (GDPR Art. 6(1)(f))", "Yes / Required (Sheet 3)", "")</f>
        <v/>
      </c>
      <c r="L4360" s="7" t="n"/>
      <c r="M4360" s="7" t="n"/>
      <c r="N4360">
        <f>IF(D4360="", "Gap - No Legal Basis", IF(AND(D4360="Consent (GDPR Art. 6(1)(a))", I4360="Not Captured"), "Gap - Invalid Consent", IF(AND(D4360="Legitimate Interest (GDPR Art. 6(1)(f))", L4360=""), "Gap - Missing LIA", IF(AND(G4360="Yes", H4360=""), "Gap - Missing Art. 9 Basis", IF(OR(I4360="Invalid - Not Freely Given", I4360="Invalid - Not Specific", I4360="Invalid - Not Informed", I4360="Invalid - Ambiguous"), "Gap - Invalid Consent", "Compliant")))))</f>
        <v/>
      </c>
      <c r="O4360" s="7" t="n"/>
    </row>
    <row r="4361">
      <c r="A4361" s="7" t="n"/>
      <c r="B4361" s="7" t="n"/>
      <c r="C4361" s="7" t="n"/>
      <c r="D4361" s="7" t="n"/>
      <c r="E4361" s="7" t="n"/>
      <c r="F4361" s="7" t="n"/>
      <c r="G4361" s="7" t="n"/>
      <c r="H4361" s="7" t="n"/>
      <c r="I4361" s="7" t="n"/>
      <c r="J4361" s="7" t="n"/>
      <c r="K4361">
        <f>IF(D4361="Legitimate Interest (GDPR Art. 6(1)(f))", "Yes / Required (Sheet 3)", "")</f>
        <v/>
      </c>
      <c r="L4361" s="7" t="n"/>
      <c r="M4361" s="7" t="n"/>
      <c r="N4361">
        <f>IF(D4361="", "Gap - No Legal Basis", IF(AND(D4361="Consent (GDPR Art. 6(1)(a))", I4361="Not Captured"), "Gap - Invalid Consent", IF(AND(D4361="Legitimate Interest (GDPR Art. 6(1)(f))", L4361=""), "Gap - Missing LIA", IF(AND(G4361="Yes", H4361=""), "Gap - Missing Art. 9 Basis", IF(OR(I4361="Invalid - Not Freely Given", I4361="Invalid - Not Specific", I4361="Invalid - Not Informed", I4361="Invalid - Ambiguous"), "Gap - Invalid Consent", "Compliant")))))</f>
        <v/>
      </c>
      <c r="O4361" s="7" t="n"/>
    </row>
    <row r="4362">
      <c r="A4362" s="7" t="n"/>
      <c r="B4362" s="7" t="n"/>
      <c r="C4362" s="7" t="n"/>
      <c r="D4362" s="7" t="n"/>
      <c r="E4362" s="7" t="n"/>
      <c r="F4362" s="7" t="n"/>
      <c r="G4362" s="7" t="n"/>
      <c r="H4362" s="7" t="n"/>
      <c r="I4362" s="7" t="n"/>
      <c r="J4362" s="7" t="n"/>
      <c r="K4362">
        <f>IF(D4362="Legitimate Interest (GDPR Art. 6(1)(f))", "Yes / Required (Sheet 3)", "")</f>
        <v/>
      </c>
      <c r="L4362" s="7" t="n"/>
      <c r="M4362" s="7" t="n"/>
      <c r="N4362">
        <f>IF(D4362="", "Gap - No Legal Basis", IF(AND(D4362="Consent (GDPR Art. 6(1)(a))", I4362="Not Captured"), "Gap - Invalid Consent", IF(AND(D4362="Legitimate Interest (GDPR Art. 6(1)(f))", L4362=""), "Gap - Missing LIA", IF(AND(G4362="Yes", H4362=""), "Gap - Missing Art. 9 Basis", IF(OR(I4362="Invalid - Not Freely Given", I4362="Invalid - Not Specific", I4362="Invalid - Not Informed", I4362="Invalid - Ambiguous"), "Gap - Invalid Consent", "Compliant")))))</f>
        <v/>
      </c>
      <c r="O4362" s="7" t="n"/>
    </row>
    <row r="4363">
      <c r="A4363" s="7" t="n"/>
      <c r="B4363" s="7" t="n"/>
      <c r="C4363" s="7" t="n"/>
      <c r="D4363" s="7" t="n"/>
      <c r="E4363" s="7" t="n"/>
      <c r="F4363" s="7" t="n"/>
      <c r="G4363" s="7" t="n"/>
      <c r="H4363" s="7" t="n"/>
      <c r="I4363" s="7" t="n"/>
      <c r="J4363" s="7" t="n"/>
      <c r="K4363">
        <f>IF(D4363="Legitimate Interest (GDPR Art. 6(1)(f))", "Yes / Required (Sheet 3)", "")</f>
        <v/>
      </c>
      <c r="L4363" s="7" t="n"/>
      <c r="M4363" s="7" t="n"/>
      <c r="N4363">
        <f>IF(D4363="", "Gap - No Legal Basis", IF(AND(D4363="Consent (GDPR Art. 6(1)(a))", I4363="Not Captured"), "Gap - Invalid Consent", IF(AND(D4363="Legitimate Interest (GDPR Art. 6(1)(f))", L4363=""), "Gap - Missing LIA", IF(AND(G4363="Yes", H4363=""), "Gap - Missing Art. 9 Basis", IF(OR(I4363="Invalid - Not Freely Given", I4363="Invalid - Not Specific", I4363="Invalid - Not Informed", I4363="Invalid - Ambiguous"), "Gap - Invalid Consent", "Compliant")))))</f>
        <v/>
      </c>
      <c r="O4363" s="7" t="n"/>
    </row>
    <row r="4364">
      <c r="A4364" s="7" t="n"/>
      <c r="B4364" s="7" t="n"/>
      <c r="C4364" s="7" t="n"/>
      <c r="D4364" s="7" t="n"/>
      <c r="E4364" s="7" t="n"/>
      <c r="F4364" s="7" t="n"/>
      <c r="G4364" s="7" t="n"/>
      <c r="H4364" s="7" t="n"/>
      <c r="I4364" s="7" t="n"/>
      <c r="J4364" s="7" t="n"/>
      <c r="K4364">
        <f>IF(D4364="Legitimate Interest (GDPR Art. 6(1)(f))", "Yes / Required (Sheet 3)", "")</f>
        <v/>
      </c>
      <c r="L4364" s="7" t="n"/>
      <c r="M4364" s="7" t="n"/>
      <c r="N4364">
        <f>IF(D4364="", "Gap - No Legal Basis", IF(AND(D4364="Consent (GDPR Art. 6(1)(a))", I4364="Not Captured"), "Gap - Invalid Consent", IF(AND(D4364="Legitimate Interest (GDPR Art. 6(1)(f))", L4364=""), "Gap - Missing LIA", IF(AND(G4364="Yes", H4364=""), "Gap - Missing Art. 9 Basis", IF(OR(I4364="Invalid - Not Freely Given", I4364="Invalid - Not Specific", I4364="Invalid - Not Informed", I4364="Invalid - Ambiguous"), "Gap - Invalid Consent", "Compliant")))))</f>
        <v/>
      </c>
      <c r="O4364" s="7" t="n"/>
    </row>
    <row r="4365">
      <c r="A4365" s="7" t="n"/>
      <c r="B4365" s="7" t="n"/>
      <c r="C4365" s="7" t="n"/>
      <c r="D4365" s="7" t="n"/>
      <c r="E4365" s="7" t="n"/>
      <c r="F4365" s="7" t="n"/>
      <c r="G4365" s="7" t="n"/>
      <c r="H4365" s="7" t="n"/>
      <c r="I4365" s="7" t="n"/>
      <c r="J4365" s="7" t="n"/>
      <c r="K4365">
        <f>IF(D4365="Legitimate Interest (GDPR Art. 6(1)(f))", "Yes / Required (Sheet 3)", "")</f>
        <v/>
      </c>
      <c r="L4365" s="7" t="n"/>
      <c r="M4365" s="7" t="n"/>
      <c r="N4365">
        <f>IF(D4365="", "Gap - No Legal Basis", IF(AND(D4365="Consent (GDPR Art. 6(1)(a))", I4365="Not Captured"), "Gap - Invalid Consent", IF(AND(D4365="Legitimate Interest (GDPR Art. 6(1)(f))", L4365=""), "Gap - Missing LIA", IF(AND(G4365="Yes", H4365=""), "Gap - Missing Art. 9 Basis", IF(OR(I4365="Invalid - Not Freely Given", I4365="Invalid - Not Specific", I4365="Invalid - Not Informed", I4365="Invalid - Ambiguous"), "Gap - Invalid Consent", "Compliant")))))</f>
        <v/>
      </c>
      <c r="O4365" s="7" t="n"/>
    </row>
    <row r="4366">
      <c r="A4366" s="7" t="n"/>
      <c r="B4366" s="7" t="n"/>
      <c r="C4366" s="7" t="n"/>
      <c r="D4366" s="7" t="n"/>
      <c r="E4366" s="7" t="n"/>
      <c r="F4366" s="7" t="n"/>
      <c r="G4366" s="7" t="n"/>
      <c r="H4366" s="7" t="n"/>
      <c r="I4366" s="7" t="n"/>
      <c r="J4366" s="7" t="n"/>
      <c r="K4366">
        <f>IF(D4366="Legitimate Interest (GDPR Art. 6(1)(f))", "Yes / Required (Sheet 3)", "")</f>
        <v/>
      </c>
      <c r="L4366" s="7" t="n"/>
      <c r="M4366" s="7" t="n"/>
      <c r="N4366">
        <f>IF(D4366="", "Gap - No Legal Basis", IF(AND(D4366="Consent (GDPR Art. 6(1)(a))", I4366="Not Captured"), "Gap - Invalid Consent", IF(AND(D4366="Legitimate Interest (GDPR Art. 6(1)(f))", L4366=""), "Gap - Missing LIA", IF(AND(G4366="Yes", H4366=""), "Gap - Missing Art. 9 Basis", IF(OR(I4366="Invalid - Not Freely Given", I4366="Invalid - Not Specific", I4366="Invalid - Not Informed", I4366="Invalid - Ambiguous"), "Gap - Invalid Consent", "Compliant")))))</f>
        <v/>
      </c>
      <c r="O4366" s="7" t="n"/>
    </row>
    <row r="4367">
      <c r="A4367" s="7" t="n"/>
      <c r="B4367" s="7" t="n"/>
      <c r="C4367" s="7" t="n"/>
      <c r="D4367" s="7" t="n"/>
      <c r="E4367" s="7" t="n"/>
      <c r="F4367" s="7" t="n"/>
      <c r="G4367" s="7" t="n"/>
      <c r="H4367" s="7" t="n"/>
      <c r="I4367" s="7" t="n"/>
      <c r="J4367" s="7" t="n"/>
      <c r="K4367">
        <f>IF(D4367="Legitimate Interest (GDPR Art. 6(1)(f))", "Yes / Required (Sheet 3)", "")</f>
        <v/>
      </c>
      <c r="L4367" s="7" t="n"/>
      <c r="M4367" s="7" t="n"/>
      <c r="N4367">
        <f>IF(D4367="", "Gap - No Legal Basis", IF(AND(D4367="Consent (GDPR Art. 6(1)(a))", I4367="Not Captured"), "Gap - Invalid Consent", IF(AND(D4367="Legitimate Interest (GDPR Art. 6(1)(f))", L4367=""), "Gap - Missing LIA", IF(AND(G4367="Yes", H4367=""), "Gap - Missing Art. 9 Basis", IF(OR(I4367="Invalid - Not Freely Given", I4367="Invalid - Not Specific", I4367="Invalid - Not Informed", I4367="Invalid - Ambiguous"), "Gap - Invalid Consent", "Compliant")))))</f>
        <v/>
      </c>
      <c r="O4367" s="7" t="n"/>
    </row>
    <row r="4368">
      <c r="A4368" s="7" t="n"/>
      <c r="B4368" s="7" t="n"/>
      <c r="C4368" s="7" t="n"/>
      <c r="D4368" s="7" t="n"/>
      <c r="E4368" s="7" t="n"/>
      <c r="F4368" s="7" t="n"/>
      <c r="G4368" s="7" t="n"/>
      <c r="H4368" s="7" t="n"/>
      <c r="I4368" s="7" t="n"/>
      <c r="J4368" s="7" t="n"/>
      <c r="K4368">
        <f>IF(D4368="Legitimate Interest (GDPR Art. 6(1)(f))", "Yes / Required (Sheet 3)", "")</f>
        <v/>
      </c>
      <c r="L4368" s="7" t="n"/>
      <c r="M4368" s="7" t="n"/>
      <c r="N4368">
        <f>IF(D4368="", "Gap - No Legal Basis", IF(AND(D4368="Consent (GDPR Art. 6(1)(a))", I4368="Not Captured"), "Gap - Invalid Consent", IF(AND(D4368="Legitimate Interest (GDPR Art. 6(1)(f))", L4368=""), "Gap - Missing LIA", IF(AND(G4368="Yes", H4368=""), "Gap - Missing Art. 9 Basis", IF(OR(I4368="Invalid - Not Freely Given", I4368="Invalid - Not Specific", I4368="Invalid - Not Informed", I4368="Invalid - Ambiguous"), "Gap - Invalid Consent", "Compliant")))))</f>
        <v/>
      </c>
      <c r="O4368" s="7" t="n"/>
    </row>
    <row r="4369">
      <c r="A4369" s="7" t="n"/>
      <c r="B4369" s="7" t="n"/>
      <c r="C4369" s="7" t="n"/>
      <c r="D4369" s="7" t="n"/>
      <c r="E4369" s="7" t="n"/>
      <c r="F4369" s="7" t="n"/>
      <c r="G4369" s="7" t="n"/>
      <c r="H4369" s="7" t="n"/>
      <c r="I4369" s="7" t="n"/>
      <c r="J4369" s="7" t="n"/>
      <c r="K4369">
        <f>IF(D4369="Legitimate Interest (GDPR Art. 6(1)(f))", "Yes / Required (Sheet 3)", "")</f>
        <v/>
      </c>
      <c r="L4369" s="7" t="n"/>
      <c r="M4369" s="7" t="n"/>
      <c r="N4369">
        <f>IF(D4369="", "Gap - No Legal Basis", IF(AND(D4369="Consent (GDPR Art. 6(1)(a))", I4369="Not Captured"), "Gap - Invalid Consent", IF(AND(D4369="Legitimate Interest (GDPR Art. 6(1)(f))", L4369=""), "Gap - Missing LIA", IF(AND(G4369="Yes", H4369=""), "Gap - Missing Art. 9 Basis", IF(OR(I4369="Invalid - Not Freely Given", I4369="Invalid - Not Specific", I4369="Invalid - Not Informed", I4369="Invalid - Ambiguous"), "Gap - Invalid Consent", "Compliant")))))</f>
        <v/>
      </c>
      <c r="O4369" s="7" t="n"/>
    </row>
    <row r="4370">
      <c r="A4370" s="7" t="n"/>
      <c r="B4370" s="7" t="n"/>
      <c r="C4370" s="7" t="n"/>
      <c r="D4370" s="7" t="n"/>
      <c r="E4370" s="7" t="n"/>
      <c r="F4370" s="7" t="n"/>
      <c r="G4370" s="7" t="n"/>
      <c r="H4370" s="7" t="n"/>
      <c r="I4370" s="7" t="n"/>
      <c r="J4370" s="7" t="n"/>
      <c r="K4370">
        <f>IF(D4370="Legitimate Interest (GDPR Art. 6(1)(f))", "Yes / Required (Sheet 3)", "")</f>
        <v/>
      </c>
      <c r="L4370" s="7" t="n"/>
      <c r="M4370" s="7" t="n"/>
      <c r="N4370">
        <f>IF(D4370="", "Gap - No Legal Basis", IF(AND(D4370="Consent (GDPR Art. 6(1)(a))", I4370="Not Captured"), "Gap - Invalid Consent", IF(AND(D4370="Legitimate Interest (GDPR Art. 6(1)(f))", L4370=""), "Gap - Missing LIA", IF(AND(G4370="Yes", H4370=""), "Gap - Missing Art. 9 Basis", IF(OR(I4370="Invalid - Not Freely Given", I4370="Invalid - Not Specific", I4370="Invalid - Not Informed", I4370="Invalid - Ambiguous"), "Gap - Invalid Consent", "Compliant")))))</f>
        <v/>
      </c>
      <c r="O4370" s="7" t="n"/>
    </row>
    <row r="4371">
      <c r="A4371" s="7" t="n"/>
      <c r="B4371" s="7" t="n"/>
      <c r="C4371" s="7" t="n"/>
      <c r="D4371" s="7" t="n"/>
      <c r="E4371" s="7" t="n"/>
      <c r="F4371" s="7" t="n"/>
      <c r="G4371" s="7" t="n"/>
      <c r="H4371" s="7" t="n"/>
      <c r="I4371" s="7" t="n"/>
      <c r="J4371" s="7" t="n"/>
      <c r="K4371">
        <f>IF(D4371="Legitimate Interest (GDPR Art. 6(1)(f))", "Yes / Required (Sheet 3)", "")</f>
        <v/>
      </c>
      <c r="L4371" s="7" t="n"/>
      <c r="M4371" s="7" t="n"/>
      <c r="N4371">
        <f>IF(D4371="", "Gap - No Legal Basis", IF(AND(D4371="Consent (GDPR Art. 6(1)(a))", I4371="Not Captured"), "Gap - Invalid Consent", IF(AND(D4371="Legitimate Interest (GDPR Art. 6(1)(f))", L4371=""), "Gap - Missing LIA", IF(AND(G4371="Yes", H4371=""), "Gap - Missing Art. 9 Basis", IF(OR(I4371="Invalid - Not Freely Given", I4371="Invalid - Not Specific", I4371="Invalid - Not Informed", I4371="Invalid - Ambiguous"), "Gap - Invalid Consent", "Compliant")))))</f>
        <v/>
      </c>
      <c r="O4371" s="7" t="n"/>
    </row>
    <row r="4372">
      <c r="A4372" s="7" t="n"/>
      <c r="B4372" s="7" t="n"/>
      <c r="C4372" s="7" t="n"/>
      <c r="D4372" s="7" t="n"/>
      <c r="E4372" s="7" t="n"/>
      <c r="F4372" s="7" t="n"/>
      <c r="G4372" s="7" t="n"/>
      <c r="H4372" s="7" t="n"/>
      <c r="I4372" s="7" t="n"/>
      <c r="J4372" s="7" t="n"/>
      <c r="K4372">
        <f>IF(D4372="Legitimate Interest (GDPR Art. 6(1)(f))", "Yes / Required (Sheet 3)", "")</f>
        <v/>
      </c>
      <c r="L4372" s="7" t="n"/>
      <c r="M4372" s="7" t="n"/>
      <c r="N4372">
        <f>IF(D4372="", "Gap - No Legal Basis", IF(AND(D4372="Consent (GDPR Art. 6(1)(a))", I4372="Not Captured"), "Gap - Invalid Consent", IF(AND(D4372="Legitimate Interest (GDPR Art. 6(1)(f))", L4372=""), "Gap - Missing LIA", IF(AND(G4372="Yes", H4372=""), "Gap - Missing Art. 9 Basis", IF(OR(I4372="Invalid - Not Freely Given", I4372="Invalid - Not Specific", I4372="Invalid - Not Informed", I4372="Invalid - Ambiguous"), "Gap - Invalid Consent", "Compliant")))))</f>
        <v/>
      </c>
      <c r="O4372" s="7" t="n"/>
    </row>
    <row r="4373">
      <c r="A4373" s="7" t="n"/>
      <c r="B4373" s="7" t="n"/>
      <c r="C4373" s="7" t="n"/>
      <c r="D4373" s="7" t="n"/>
      <c r="E4373" s="7" t="n"/>
      <c r="F4373" s="7" t="n"/>
      <c r="G4373" s="7" t="n"/>
      <c r="H4373" s="7" t="n"/>
      <c r="I4373" s="7" t="n"/>
      <c r="J4373" s="7" t="n"/>
      <c r="K4373">
        <f>IF(D4373="Legitimate Interest (GDPR Art. 6(1)(f))", "Yes / Required (Sheet 3)", "")</f>
        <v/>
      </c>
      <c r="L4373" s="7" t="n"/>
      <c r="M4373" s="7" t="n"/>
      <c r="N4373">
        <f>IF(D4373="", "Gap - No Legal Basis", IF(AND(D4373="Consent (GDPR Art. 6(1)(a))", I4373="Not Captured"), "Gap - Invalid Consent", IF(AND(D4373="Legitimate Interest (GDPR Art. 6(1)(f))", L4373=""), "Gap - Missing LIA", IF(AND(G4373="Yes", H4373=""), "Gap - Missing Art. 9 Basis", IF(OR(I4373="Invalid - Not Freely Given", I4373="Invalid - Not Specific", I4373="Invalid - Not Informed", I4373="Invalid - Ambiguous"), "Gap - Invalid Consent", "Compliant")))))</f>
        <v/>
      </c>
      <c r="O4373" s="7" t="n"/>
    </row>
    <row r="4374">
      <c r="A4374" s="7" t="n"/>
      <c r="B4374" s="7" t="n"/>
      <c r="C4374" s="7" t="n"/>
      <c r="D4374" s="7" t="n"/>
      <c r="E4374" s="7" t="n"/>
      <c r="F4374" s="7" t="n"/>
      <c r="G4374" s="7" t="n"/>
      <c r="H4374" s="7" t="n"/>
      <c r="I4374" s="7" t="n"/>
      <c r="J4374" s="7" t="n"/>
      <c r="K4374">
        <f>IF(D4374="Legitimate Interest (GDPR Art. 6(1)(f))", "Yes / Required (Sheet 3)", "")</f>
        <v/>
      </c>
      <c r="L4374" s="7" t="n"/>
      <c r="M4374" s="7" t="n"/>
      <c r="N4374">
        <f>IF(D4374="", "Gap - No Legal Basis", IF(AND(D4374="Consent (GDPR Art. 6(1)(a))", I4374="Not Captured"), "Gap - Invalid Consent", IF(AND(D4374="Legitimate Interest (GDPR Art. 6(1)(f))", L4374=""), "Gap - Missing LIA", IF(AND(G4374="Yes", H4374=""), "Gap - Missing Art. 9 Basis", IF(OR(I4374="Invalid - Not Freely Given", I4374="Invalid - Not Specific", I4374="Invalid - Not Informed", I4374="Invalid - Ambiguous"), "Gap - Invalid Consent", "Compliant")))))</f>
        <v/>
      </c>
      <c r="O4374" s="7" t="n"/>
    </row>
    <row r="4375">
      <c r="A4375" s="7" t="n"/>
      <c r="B4375" s="7" t="n"/>
      <c r="C4375" s="7" t="n"/>
      <c r="D4375" s="7" t="n"/>
      <c r="E4375" s="7" t="n"/>
      <c r="F4375" s="7" t="n"/>
      <c r="G4375" s="7" t="n"/>
      <c r="H4375" s="7" t="n"/>
      <c r="I4375" s="7" t="n"/>
      <c r="J4375" s="7" t="n"/>
      <c r="K4375">
        <f>IF(D4375="Legitimate Interest (GDPR Art. 6(1)(f))", "Yes / Required (Sheet 3)", "")</f>
        <v/>
      </c>
      <c r="L4375" s="7" t="n"/>
      <c r="M4375" s="7" t="n"/>
      <c r="N4375">
        <f>IF(D4375="", "Gap - No Legal Basis", IF(AND(D4375="Consent (GDPR Art. 6(1)(a))", I4375="Not Captured"), "Gap - Invalid Consent", IF(AND(D4375="Legitimate Interest (GDPR Art. 6(1)(f))", L4375=""), "Gap - Missing LIA", IF(AND(G4375="Yes", H4375=""), "Gap - Missing Art. 9 Basis", IF(OR(I4375="Invalid - Not Freely Given", I4375="Invalid - Not Specific", I4375="Invalid - Not Informed", I4375="Invalid - Ambiguous"), "Gap - Invalid Consent", "Compliant")))))</f>
        <v/>
      </c>
      <c r="O4375" s="7" t="n"/>
    </row>
    <row r="4376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7" t="n"/>
      <c r="J4376" s="7" t="n"/>
      <c r="K4376">
        <f>IF(D4376="Legitimate Interest (GDPR Art. 6(1)(f))", "Yes / Required (Sheet 3)", "")</f>
        <v/>
      </c>
      <c r="L4376" s="7" t="n"/>
      <c r="M4376" s="7" t="n"/>
      <c r="N4376">
        <f>IF(D4376="", "Gap - No Legal Basis", IF(AND(D4376="Consent (GDPR Art. 6(1)(a))", I4376="Not Captured"), "Gap - Invalid Consent", IF(AND(D4376="Legitimate Interest (GDPR Art. 6(1)(f))", L4376=""), "Gap - Missing LIA", IF(AND(G4376="Yes", H4376=""), "Gap - Missing Art. 9 Basis", IF(OR(I4376="Invalid - Not Freely Given", I4376="Invalid - Not Specific", I4376="Invalid - Not Informed", I4376="Invalid - Ambiguous"), "Gap - Invalid Consent", "Compliant")))))</f>
        <v/>
      </c>
      <c r="O4376" s="7" t="n"/>
    </row>
    <row r="4377">
      <c r="A4377" s="7" t="n"/>
      <c r="B4377" s="7" t="n"/>
      <c r="C4377" s="7" t="n"/>
      <c r="D4377" s="7" t="n"/>
      <c r="E4377" s="7" t="n"/>
      <c r="F4377" s="7" t="n"/>
      <c r="G4377" s="7" t="n"/>
      <c r="H4377" s="7" t="n"/>
      <c r="I4377" s="7" t="n"/>
      <c r="J4377" s="7" t="n"/>
      <c r="K4377">
        <f>IF(D4377="Legitimate Interest (GDPR Art. 6(1)(f))", "Yes / Required (Sheet 3)", "")</f>
        <v/>
      </c>
      <c r="L4377" s="7" t="n"/>
      <c r="M4377" s="7" t="n"/>
      <c r="N4377">
        <f>IF(D4377="", "Gap - No Legal Basis", IF(AND(D4377="Consent (GDPR Art. 6(1)(a))", I4377="Not Captured"), "Gap - Invalid Consent", IF(AND(D4377="Legitimate Interest (GDPR Art. 6(1)(f))", L4377=""), "Gap - Missing LIA", IF(AND(G4377="Yes", H4377=""), "Gap - Missing Art. 9 Basis", IF(OR(I4377="Invalid - Not Freely Given", I4377="Invalid - Not Specific", I4377="Invalid - Not Informed", I4377="Invalid - Ambiguous"), "Gap - Invalid Consent", "Compliant")))))</f>
        <v/>
      </c>
      <c r="O4377" s="7" t="n"/>
    </row>
    <row r="4378">
      <c r="A4378" s="7" t="n"/>
      <c r="B4378" s="7" t="n"/>
      <c r="C4378" s="7" t="n"/>
      <c r="D4378" s="7" t="n"/>
      <c r="E4378" s="7" t="n"/>
      <c r="F4378" s="7" t="n"/>
      <c r="G4378" s="7" t="n"/>
      <c r="H4378" s="7" t="n"/>
      <c r="I4378" s="7" t="n"/>
      <c r="J4378" s="7" t="n"/>
      <c r="K4378">
        <f>IF(D4378="Legitimate Interest (GDPR Art. 6(1)(f))", "Yes / Required (Sheet 3)", "")</f>
        <v/>
      </c>
      <c r="L4378" s="7" t="n"/>
      <c r="M4378" s="7" t="n"/>
      <c r="N4378">
        <f>IF(D4378="", "Gap - No Legal Basis", IF(AND(D4378="Consent (GDPR Art. 6(1)(a))", I4378="Not Captured"), "Gap - Invalid Consent", IF(AND(D4378="Legitimate Interest (GDPR Art. 6(1)(f))", L4378=""), "Gap - Missing LIA", IF(AND(G4378="Yes", H4378=""), "Gap - Missing Art. 9 Basis", IF(OR(I4378="Invalid - Not Freely Given", I4378="Invalid - Not Specific", I4378="Invalid - Not Informed", I4378="Invalid - Ambiguous"), "Gap - Invalid Consent", "Compliant")))))</f>
        <v/>
      </c>
      <c r="O4378" s="7" t="n"/>
    </row>
    <row r="4379">
      <c r="A4379" s="7" t="n"/>
      <c r="B4379" s="7" t="n"/>
      <c r="C4379" s="7" t="n"/>
      <c r="D4379" s="7" t="n"/>
      <c r="E4379" s="7" t="n"/>
      <c r="F4379" s="7" t="n"/>
      <c r="G4379" s="7" t="n"/>
      <c r="H4379" s="7" t="n"/>
      <c r="I4379" s="7" t="n"/>
      <c r="J4379" s="7" t="n"/>
      <c r="K4379">
        <f>IF(D4379="Legitimate Interest (GDPR Art. 6(1)(f))", "Yes / Required (Sheet 3)", "")</f>
        <v/>
      </c>
      <c r="L4379" s="7" t="n"/>
      <c r="M4379" s="7" t="n"/>
      <c r="N4379">
        <f>IF(D4379="", "Gap - No Legal Basis", IF(AND(D4379="Consent (GDPR Art. 6(1)(a))", I4379="Not Captured"), "Gap - Invalid Consent", IF(AND(D4379="Legitimate Interest (GDPR Art. 6(1)(f))", L4379=""), "Gap - Missing LIA", IF(AND(G4379="Yes", H4379=""), "Gap - Missing Art. 9 Basis", IF(OR(I4379="Invalid - Not Freely Given", I4379="Invalid - Not Specific", I4379="Invalid - Not Informed", I4379="Invalid - Ambiguous"), "Gap - Invalid Consent", "Compliant")))))</f>
        <v/>
      </c>
      <c r="O4379" s="7" t="n"/>
    </row>
    <row r="4380">
      <c r="A4380" s="7" t="n"/>
      <c r="B4380" s="7" t="n"/>
      <c r="C4380" s="7" t="n"/>
      <c r="D4380" s="7" t="n"/>
      <c r="E4380" s="7" t="n"/>
      <c r="F4380" s="7" t="n"/>
      <c r="G4380" s="7" t="n"/>
      <c r="H4380" s="7" t="n"/>
      <c r="I4380" s="7" t="n"/>
      <c r="J4380" s="7" t="n"/>
      <c r="K4380">
        <f>IF(D4380="Legitimate Interest (GDPR Art. 6(1)(f))", "Yes / Required (Sheet 3)", "")</f>
        <v/>
      </c>
      <c r="L4380" s="7" t="n"/>
      <c r="M4380" s="7" t="n"/>
      <c r="N4380">
        <f>IF(D4380="", "Gap - No Legal Basis", IF(AND(D4380="Consent (GDPR Art. 6(1)(a))", I4380="Not Captured"), "Gap - Invalid Consent", IF(AND(D4380="Legitimate Interest (GDPR Art. 6(1)(f))", L4380=""), "Gap - Missing LIA", IF(AND(G4380="Yes", H4380=""), "Gap - Missing Art. 9 Basis", IF(OR(I4380="Invalid - Not Freely Given", I4380="Invalid - Not Specific", I4380="Invalid - Not Informed", I4380="Invalid - Ambiguous"), "Gap - Invalid Consent", "Compliant")))))</f>
        <v/>
      </c>
      <c r="O4380" s="7" t="n"/>
    </row>
    <row r="4381">
      <c r="A4381" s="7" t="n"/>
      <c r="B4381" s="7" t="n"/>
      <c r="C4381" s="7" t="n"/>
      <c r="D4381" s="7" t="n"/>
      <c r="E4381" s="7" t="n"/>
      <c r="F4381" s="7" t="n"/>
      <c r="G4381" s="7" t="n"/>
      <c r="H4381" s="7" t="n"/>
      <c r="I4381" s="7" t="n"/>
      <c r="J4381" s="7" t="n"/>
      <c r="K4381">
        <f>IF(D4381="Legitimate Interest (GDPR Art. 6(1)(f))", "Yes / Required (Sheet 3)", "")</f>
        <v/>
      </c>
      <c r="L4381" s="7" t="n"/>
      <c r="M4381" s="7" t="n"/>
      <c r="N4381">
        <f>IF(D4381="", "Gap - No Legal Basis", IF(AND(D4381="Consent (GDPR Art. 6(1)(a))", I4381="Not Captured"), "Gap - Invalid Consent", IF(AND(D4381="Legitimate Interest (GDPR Art. 6(1)(f))", L4381=""), "Gap - Missing LIA", IF(AND(G4381="Yes", H4381=""), "Gap - Missing Art. 9 Basis", IF(OR(I4381="Invalid - Not Freely Given", I4381="Invalid - Not Specific", I4381="Invalid - Not Informed", I4381="Invalid - Ambiguous"), "Gap - Invalid Consent", "Compliant")))))</f>
        <v/>
      </c>
      <c r="O4381" s="7" t="n"/>
    </row>
    <row r="4382">
      <c r="A4382" s="7" t="n"/>
      <c r="B4382" s="7" t="n"/>
      <c r="C4382" s="7" t="n"/>
      <c r="D4382" s="7" t="n"/>
      <c r="E4382" s="7" t="n"/>
      <c r="F4382" s="7" t="n"/>
      <c r="G4382" s="7" t="n"/>
      <c r="H4382" s="7" t="n"/>
      <c r="I4382" s="7" t="n"/>
      <c r="J4382" s="7" t="n"/>
      <c r="K4382">
        <f>IF(D4382="Legitimate Interest (GDPR Art. 6(1)(f))", "Yes / Required (Sheet 3)", "")</f>
        <v/>
      </c>
      <c r="L4382" s="7" t="n"/>
      <c r="M4382" s="7" t="n"/>
      <c r="N4382">
        <f>IF(D4382="", "Gap - No Legal Basis", IF(AND(D4382="Consent (GDPR Art. 6(1)(a))", I4382="Not Captured"), "Gap - Invalid Consent", IF(AND(D4382="Legitimate Interest (GDPR Art. 6(1)(f))", L4382=""), "Gap - Missing LIA", IF(AND(G4382="Yes", H4382=""), "Gap - Missing Art. 9 Basis", IF(OR(I4382="Invalid - Not Freely Given", I4382="Invalid - Not Specific", I4382="Invalid - Not Informed", I4382="Invalid - Ambiguous"), "Gap - Invalid Consent", "Compliant")))))</f>
        <v/>
      </c>
      <c r="O4382" s="7" t="n"/>
    </row>
    <row r="4383">
      <c r="A4383" s="7" t="n"/>
      <c r="B4383" s="7" t="n"/>
      <c r="C4383" s="7" t="n"/>
      <c r="D4383" s="7" t="n"/>
      <c r="E4383" s="7" t="n"/>
      <c r="F4383" s="7" t="n"/>
      <c r="G4383" s="7" t="n"/>
      <c r="H4383" s="7" t="n"/>
      <c r="I4383" s="7" t="n"/>
      <c r="J4383" s="7" t="n"/>
      <c r="K4383">
        <f>IF(D4383="Legitimate Interest (GDPR Art. 6(1)(f))", "Yes / Required (Sheet 3)", "")</f>
        <v/>
      </c>
      <c r="L4383" s="7" t="n"/>
      <c r="M4383" s="7" t="n"/>
      <c r="N4383">
        <f>IF(D4383="", "Gap - No Legal Basis", IF(AND(D4383="Consent (GDPR Art. 6(1)(a))", I4383="Not Captured"), "Gap - Invalid Consent", IF(AND(D4383="Legitimate Interest (GDPR Art. 6(1)(f))", L4383=""), "Gap - Missing LIA", IF(AND(G4383="Yes", H4383=""), "Gap - Missing Art. 9 Basis", IF(OR(I4383="Invalid - Not Freely Given", I4383="Invalid - Not Specific", I4383="Invalid - Not Informed", I4383="Invalid - Ambiguous"), "Gap - Invalid Consent", "Compliant")))))</f>
        <v/>
      </c>
      <c r="O4383" s="7" t="n"/>
    </row>
    <row r="4384">
      <c r="A4384" s="7" t="n"/>
      <c r="B4384" s="7" t="n"/>
      <c r="C4384" s="7" t="n"/>
      <c r="D4384" s="7" t="n"/>
      <c r="E4384" s="7" t="n"/>
      <c r="F4384" s="7" t="n"/>
      <c r="G4384" s="7" t="n"/>
      <c r="H4384" s="7" t="n"/>
      <c r="I4384" s="7" t="n"/>
      <c r="J4384" s="7" t="n"/>
      <c r="K4384">
        <f>IF(D4384="Legitimate Interest (GDPR Art. 6(1)(f))", "Yes / Required (Sheet 3)", "")</f>
        <v/>
      </c>
      <c r="L4384" s="7" t="n"/>
      <c r="M4384" s="7" t="n"/>
      <c r="N4384">
        <f>IF(D4384="", "Gap - No Legal Basis", IF(AND(D4384="Consent (GDPR Art. 6(1)(a))", I4384="Not Captured"), "Gap - Invalid Consent", IF(AND(D4384="Legitimate Interest (GDPR Art. 6(1)(f))", L4384=""), "Gap - Missing LIA", IF(AND(G4384="Yes", H4384=""), "Gap - Missing Art. 9 Basis", IF(OR(I4384="Invalid - Not Freely Given", I4384="Invalid - Not Specific", I4384="Invalid - Not Informed", I4384="Invalid - Ambiguous"), "Gap - Invalid Consent", "Compliant")))))</f>
        <v/>
      </c>
      <c r="O4384" s="7" t="n"/>
    </row>
    <row r="4385">
      <c r="A4385" s="7" t="n"/>
      <c r="B4385" s="7" t="n"/>
      <c r="C4385" s="7" t="n"/>
      <c r="D4385" s="7" t="n"/>
      <c r="E4385" s="7" t="n"/>
      <c r="F4385" s="7" t="n"/>
      <c r="G4385" s="7" t="n"/>
      <c r="H4385" s="7" t="n"/>
      <c r="I4385" s="7" t="n"/>
      <c r="J4385" s="7" t="n"/>
      <c r="K4385">
        <f>IF(D4385="Legitimate Interest (GDPR Art. 6(1)(f))", "Yes / Required (Sheet 3)", "")</f>
        <v/>
      </c>
      <c r="L4385" s="7" t="n"/>
      <c r="M4385" s="7" t="n"/>
      <c r="N4385">
        <f>IF(D4385="", "Gap - No Legal Basis", IF(AND(D4385="Consent (GDPR Art. 6(1)(a))", I4385="Not Captured"), "Gap - Invalid Consent", IF(AND(D4385="Legitimate Interest (GDPR Art. 6(1)(f))", L4385=""), "Gap - Missing LIA", IF(AND(G4385="Yes", H4385=""), "Gap - Missing Art. 9 Basis", IF(OR(I4385="Invalid - Not Freely Given", I4385="Invalid - Not Specific", I4385="Invalid - Not Informed", I4385="Invalid - Ambiguous"), "Gap - Invalid Consent", "Compliant")))))</f>
        <v/>
      </c>
      <c r="O4385" s="7" t="n"/>
    </row>
    <row r="4386">
      <c r="A4386" s="7" t="n"/>
      <c r="B4386" s="7" t="n"/>
      <c r="C4386" s="7" t="n"/>
      <c r="D4386" s="7" t="n"/>
      <c r="E4386" s="7" t="n"/>
      <c r="F4386" s="7" t="n"/>
      <c r="G4386" s="7" t="n"/>
      <c r="H4386" s="7" t="n"/>
      <c r="I4386" s="7" t="n"/>
      <c r="J4386" s="7" t="n"/>
      <c r="K4386">
        <f>IF(D4386="Legitimate Interest (GDPR Art. 6(1)(f))", "Yes / Required (Sheet 3)", "")</f>
        <v/>
      </c>
      <c r="L4386" s="7" t="n"/>
      <c r="M4386" s="7" t="n"/>
      <c r="N4386">
        <f>IF(D4386="", "Gap - No Legal Basis", IF(AND(D4386="Consent (GDPR Art. 6(1)(a))", I4386="Not Captured"), "Gap - Invalid Consent", IF(AND(D4386="Legitimate Interest (GDPR Art. 6(1)(f))", L4386=""), "Gap - Missing LIA", IF(AND(G4386="Yes", H4386=""), "Gap - Missing Art. 9 Basis", IF(OR(I4386="Invalid - Not Freely Given", I4386="Invalid - Not Specific", I4386="Invalid - Not Informed", I4386="Invalid - Ambiguous"), "Gap - Invalid Consent", "Compliant")))))</f>
        <v/>
      </c>
      <c r="O4386" s="7" t="n"/>
    </row>
    <row r="4387">
      <c r="A4387" s="7" t="n"/>
      <c r="B4387" s="7" t="n"/>
      <c r="C4387" s="7" t="n"/>
      <c r="D4387" s="7" t="n"/>
      <c r="E4387" s="7" t="n"/>
      <c r="F4387" s="7" t="n"/>
      <c r="G4387" s="7" t="n"/>
      <c r="H4387" s="7" t="n"/>
      <c r="I4387" s="7" t="n"/>
      <c r="J4387" s="7" t="n"/>
      <c r="K4387">
        <f>IF(D4387="Legitimate Interest (GDPR Art. 6(1)(f))", "Yes / Required (Sheet 3)", "")</f>
        <v/>
      </c>
      <c r="L4387" s="7" t="n"/>
      <c r="M4387" s="7" t="n"/>
      <c r="N4387">
        <f>IF(D4387="", "Gap - No Legal Basis", IF(AND(D4387="Consent (GDPR Art. 6(1)(a))", I4387="Not Captured"), "Gap - Invalid Consent", IF(AND(D4387="Legitimate Interest (GDPR Art. 6(1)(f))", L4387=""), "Gap - Missing LIA", IF(AND(G4387="Yes", H4387=""), "Gap - Missing Art. 9 Basis", IF(OR(I4387="Invalid - Not Freely Given", I4387="Invalid - Not Specific", I4387="Invalid - Not Informed", I4387="Invalid - Ambiguous"), "Gap - Invalid Consent", "Compliant")))))</f>
        <v/>
      </c>
      <c r="O4387" s="7" t="n"/>
    </row>
    <row r="4388">
      <c r="A4388" s="7" t="n"/>
      <c r="B4388" s="7" t="n"/>
      <c r="C4388" s="7" t="n"/>
      <c r="D4388" s="7" t="n"/>
      <c r="E4388" s="7" t="n"/>
      <c r="F4388" s="7" t="n"/>
      <c r="G4388" s="7" t="n"/>
      <c r="H4388" s="7" t="n"/>
      <c r="I4388" s="7" t="n"/>
      <c r="J4388" s="7" t="n"/>
      <c r="K4388">
        <f>IF(D4388="Legitimate Interest (GDPR Art. 6(1)(f))", "Yes / Required (Sheet 3)", "")</f>
        <v/>
      </c>
      <c r="L4388" s="7" t="n"/>
      <c r="M4388" s="7" t="n"/>
      <c r="N4388">
        <f>IF(D4388="", "Gap - No Legal Basis", IF(AND(D4388="Consent (GDPR Art. 6(1)(a))", I4388="Not Captured"), "Gap - Invalid Consent", IF(AND(D4388="Legitimate Interest (GDPR Art. 6(1)(f))", L4388=""), "Gap - Missing LIA", IF(AND(G4388="Yes", H4388=""), "Gap - Missing Art. 9 Basis", IF(OR(I4388="Invalid - Not Freely Given", I4388="Invalid - Not Specific", I4388="Invalid - Not Informed", I4388="Invalid - Ambiguous"), "Gap - Invalid Consent", "Compliant")))))</f>
        <v/>
      </c>
      <c r="O4388" s="7" t="n"/>
    </row>
    <row r="4389">
      <c r="A4389" s="7" t="n"/>
      <c r="B4389" s="7" t="n"/>
      <c r="C4389" s="7" t="n"/>
      <c r="D4389" s="7" t="n"/>
      <c r="E4389" s="7" t="n"/>
      <c r="F4389" s="7" t="n"/>
      <c r="G4389" s="7" t="n"/>
      <c r="H4389" s="7" t="n"/>
      <c r="I4389" s="7" t="n"/>
      <c r="J4389" s="7" t="n"/>
      <c r="K4389">
        <f>IF(D4389="Legitimate Interest (GDPR Art. 6(1)(f))", "Yes / Required (Sheet 3)", "")</f>
        <v/>
      </c>
      <c r="L4389" s="7" t="n"/>
      <c r="M4389" s="7" t="n"/>
      <c r="N4389">
        <f>IF(D4389="", "Gap - No Legal Basis", IF(AND(D4389="Consent (GDPR Art. 6(1)(a))", I4389="Not Captured"), "Gap - Invalid Consent", IF(AND(D4389="Legitimate Interest (GDPR Art. 6(1)(f))", L4389=""), "Gap - Missing LIA", IF(AND(G4389="Yes", H4389=""), "Gap - Missing Art. 9 Basis", IF(OR(I4389="Invalid - Not Freely Given", I4389="Invalid - Not Specific", I4389="Invalid - Not Informed", I4389="Invalid - Ambiguous"), "Gap - Invalid Consent", "Compliant")))))</f>
        <v/>
      </c>
      <c r="O4389" s="7" t="n"/>
    </row>
    <row r="4390">
      <c r="A4390" s="7" t="n"/>
      <c r="B4390" s="7" t="n"/>
      <c r="C4390" s="7" t="n"/>
      <c r="D4390" s="7" t="n"/>
      <c r="E4390" s="7" t="n"/>
      <c r="F4390" s="7" t="n"/>
      <c r="G4390" s="7" t="n"/>
      <c r="H4390" s="7" t="n"/>
      <c r="I4390" s="7" t="n"/>
      <c r="J4390" s="7" t="n"/>
      <c r="K4390">
        <f>IF(D4390="Legitimate Interest (GDPR Art. 6(1)(f))", "Yes / Required (Sheet 3)", "")</f>
        <v/>
      </c>
      <c r="L4390" s="7" t="n"/>
      <c r="M4390" s="7" t="n"/>
      <c r="N4390">
        <f>IF(D4390="", "Gap - No Legal Basis", IF(AND(D4390="Consent (GDPR Art. 6(1)(a))", I4390="Not Captured"), "Gap - Invalid Consent", IF(AND(D4390="Legitimate Interest (GDPR Art. 6(1)(f))", L4390=""), "Gap - Missing LIA", IF(AND(G4390="Yes", H4390=""), "Gap - Missing Art. 9 Basis", IF(OR(I4390="Invalid - Not Freely Given", I4390="Invalid - Not Specific", I4390="Invalid - Not Informed", I4390="Invalid - Ambiguous"), "Gap - Invalid Consent", "Compliant")))))</f>
        <v/>
      </c>
      <c r="O4390" s="7" t="n"/>
    </row>
    <row r="4391">
      <c r="A4391" s="7" t="n"/>
      <c r="B4391" s="7" t="n"/>
      <c r="C4391" s="7" t="n"/>
      <c r="D4391" s="7" t="n"/>
      <c r="E4391" s="7" t="n"/>
      <c r="F4391" s="7" t="n"/>
      <c r="G4391" s="7" t="n"/>
      <c r="H4391" s="7" t="n"/>
      <c r="I4391" s="7" t="n"/>
      <c r="J4391" s="7" t="n"/>
      <c r="K4391">
        <f>IF(D4391="Legitimate Interest (GDPR Art. 6(1)(f))", "Yes / Required (Sheet 3)", "")</f>
        <v/>
      </c>
      <c r="L4391" s="7" t="n"/>
      <c r="M4391" s="7" t="n"/>
      <c r="N4391">
        <f>IF(D4391="", "Gap - No Legal Basis", IF(AND(D4391="Consent (GDPR Art. 6(1)(a))", I4391="Not Captured"), "Gap - Invalid Consent", IF(AND(D4391="Legitimate Interest (GDPR Art. 6(1)(f))", L4391=""), "Gap - Missing LIA", IF(AND(G4391="Yes", H4391=""), "Gap - Missing Art. 9 Basis", IF(OR(I4391="Invalid - Not Freely Given", I4391="Invalid - Not Specific", I4391="Invalid - Not Informed", I4391="Invalid - Ambiguous"), "Gap - Invalid Consent", "Compliant")))))</f>
        <v/>
      </c>
      <c r="O4391" s="7" t="n"/>
    </row>
    <row r="4392">
      <c r="A4392" s="7" t="n"/>
      <c r="B4392" s="7" t="n"/>
      <c r="C4392" s="7" t="n"/>
      <c r="D4392" s="7" t="n"/>
      <c r="E4392" s="7" t="n"/>
      <c r="F4392" s="7" t="n"/>
      <c r="G4392" s="7" t="n"/>
      <c r="H4392" s="7" t="n"/>
      <c r="I4392" s="7" t="n"/>
      <c r="J4392" s="7" t="n"/>
      <c r="K4392">
        <f>IF(D4392="Legitimate Interest (GDPR Art. 6(1)(f))", "Yes / Required (Sheet 3)", "")</f>
        <v/>
      </c>
      <c r="L4392" s="7" t="n"/>
      <c r="M4392" s="7" t="n"/>
      <c r="N4392">
        <f>IF(D4392="", "Gap - No Legal Basis", IF(AND(D4392="Consent (GDPR Art. 6(1)(a))", I4392="Not Captured"), "Gap - Invalid Consent", IF(AND(D4392="Legitimate Interest (GDPR Art. 6(1)(f))", L4392=""), "Gap - Missing LIA", IF(AND(G4392="Yes", H4392=""), "Gap - Missing Art. 9 Basis", IF(OR(I4392="Invalid - Not Freely Given", I4392="Invalid - Not Specific", I4392="Invalid - Not Informed", I4392="Invalid - Ambiguous"), "Gap - Invalid Consent", "Compliant")))))</f>
        <v/>
      </c>
      <c r="O4392" s="7" t="n"/>
    </row>
    <row r="4393">
      <c r="A4393" s="7" t="n"/>
      <c r="B4393" s="7" t="n"/>
      <c r="C4393" s="7" t="n"/>
      <c r="D4393" s="7" t="n"/>
      <c r="E4393" s="7" t="n"/>
      <c r="F4393" s="7" t="n"/>
      <c r="G4393" s="7" t="n"/>
      <c r="H4393" s="7" t="n"/>
      <c r="I4393" s="7" t="n"/>
      <c r="J4393" s="7" t="n"/>
      <c r="K4393">
        <f>IF(D4393="Legitimate Interest (GDPR Art. 6(1)(f))", "Yes / Required (Sheet 3)", "")</f>
        <v/>
      </c>
      <c r="L4393" s="7" t="n"/>
      <c r="M4393" s="7" t="n"/>
      <c r="N4393">
        <f>IF(D4393="", "Gap - No Legal Basis", IF(AND(D4393="Consent (GDPR Art. 6(1)(a))", I4393="Not Captured"), "Gap - Invalid Consent", IF(AND(D4393="Legitimate Interest (GDPR Art. 6(1)(f))", L4393=""), "Gap - Missing LIA", IF(AND(G4393="Yes", H4393=""), "Gap - Missing Art. 9 Basis", IF(OR(I4393="Invalid - Not Freely Given", I4393="Invalid - Not Specific", I4393="Invalid - Not Informed", I4393="Invalid - Ambiguous"), "Gap - Invalid Consent", "Compliant")))))</f>
        <v/>
      </c>
      <c r="O4393" s="7" t="n"/>
    </row>
    <row r="4394">
      <c r="A4394" s="7" t="n"/>
      <c r="B4394" s="7" t="n"/>
      <c r="C4394" s="7" t="n"/>
      <c r="D4394" s="7" t="n"/>
      <c r="E4394" s="7" t="n"/>
      <c r="F4394" s="7" t="n"/>
      <c r="G4394" s="7" t="n"/>
      <c r="H4394" s="7" t="n"/>
      <c r="I4394" s="7" t="n"/>
      <c r="J4394" s="7" t="n"/>
      <c r="K4394">
        <f>IF(D4394="Legitimate Interest (GDPR Art. 6(1)(f))", "Yes / Required (Sheet 3)", "")</f>
        <v/>
      </c>
      <c r="L4394" s="7" t="n"/>
      <c r="M4394" s="7" t="n"/>
      <c r="N4394">
        <f>IF(D4394="", "Gap - No Legal Basis", IF(AND(D4394="Consent (GDPR Art. 6(1)(a))", I4394="Not Captured"), "Gap - Invalid Consent", IF(AND(D4394="Legitimate Interest (GDPR Art. 6(1)(f))", L4394=""), "Gap - Missing LIA", IF(AND(G4394="Yes", H4394=""), "Gap - Missing Art. 9 Basis", IF(OR(I4394="Invalid - Not Freely Given", I4394="Invalid - Not Specific", I4394="Invalid - Not Informed", I4394="Invalid - Ambiguous"), "Gap - Invalid Consent", "Compliant")))))</f>
        <v/>
      </c>
      <c r="O4394" s="7" t="n"/>
    </row>
    <row r="4395">
      <c r="A4395" s="7" t="n"/>
      <c r="B4395" s="7" t="n"/>
      <c r="C4395" s="7" t="n"/>
      <c r="D4395" s="7" t="n"/>
      <c r="E4395" s="7" t="n"/>
      <c r="F4395" s="7" t="n"/>
      <c r="G4395" s="7" t="n"/>
      <c r="H4395" s="7" t="n"/>
      <c r="I4395" s="7" t="n"/>
      <c r="J4395" s="7" t="n"/>
      <c r="K4395">
        <f>IF(D4395="Legitimate Interest (GDPR Art. 6(1)(f))", "Yes / Required (Sheet 3)", "")</f>
        <v/>
      </c>
      <c r="L4395" s="7" t="n"/>
      <c r="M4395" s="7" t="n"/>
      <c r="N4395">
        <f>IF(D4395="", "Gap - No Legal Basis", IF(AND(D4395="Consent (GDPR Art. 6(1)(a))", I4395="Not Captured"), "Gap - Invalid Consent", IF(AND(D4395="Legitimate Interest (GDPR Art. 6(1)(f))", L4395=""), "Gap - Missing LIA", IF(AND(G4395="Yes", H4395=""), "Gap - Missing Art. 9 Basis", IF(OR(I4395="Invalid - Not Freely Given", I4395="Invalid - Not Specific", I4395="Invalid - Not Informed", I4395="Invalid - Ambiguous"), "Gap - Invalid Consent", "Compliant")))))</f>
        <v/>
      </c>
      <c r="O4395" s="7" t="n"/>
    </row>
    <row r="4396">
      <c r="A4396" s="7" t="n"/>
      <c r="B4396" s="7" t="n"/>
      <c r="C4396" s="7" t="n"/>
      <c r="D4396" s="7" t="n"/>
      <c r="E4396" s="7" t="n"/>
      <c r="F4396" s="7" t="n"/>
      <c r="G4396" s="7" t="n"/>
      <c r="H4396" s="7" t="n"/>
      <c r="I4396" s="7" t="n"/>
      <c r="J4396" s="7" t="n"/>
      <c r="K4396">
        <f>IF(D4396="Legitimate Interest (GDPR Art. 6(1)(f))", "Yes / Required (Sheet 3)", "")</f>
        <v/>
      </c>
      <c r="L4396" s="7" t="n"/>
      <c r="M4396" s="7" t="n"/>
      <c r="N4396">
        <f>IF(D4396="", "Gap - No Legal Basis", IF(AND(D4396="Consent (GDPR Art. 6(1)(a))", I4396="Not Captured"), "Gap - Invalid Consent", IF(AND(D4396="Legitimate Interest (GDPR Art. 6(1)(f))", L4396=""), "Gap - Missing LIA", IF(AND(G4396="Yes", H4396=""), "Gap - Missing Art. 9 Basis", IF(OR(I4396="Invalid - Not Freely Given", I4396="Invalid - Not Specific", I4396="Invalid - Not Informed", I4396="Invalid - Ambiguous"), "Gap - Invalid Consent", "Compliant")))))</f>
        <v/>
      </c>
      <c r="O4396" s="7" t="n"/>
    </row>
    <row r="4397">
      <c r="A4397" s="7" t="n"/>
      <c r="B4397" s="7" t="n"/>
      <c r="C4397" s="7" t="n"/>
      <c r="D4397" s="7" t="n"/>
      <c r="E4397" s="7" t="n"/>
      <c r="F4397" s="7" t="n"/>
      <c r="G4397" s="7" t="n"/>
      <c r="H4397" s="7" t="n"/>
      <c r="I4397" s="7" t="n"/>
      <c r="J4397" s="7" t="n"/>
      <c r="K4397">
        <f>IF(D4397="Legitimate Interest (GDPR Art. 6(1)(f))", "Yes / Required (Sheet 3)", "")</f>
        <v/>
      </c>
      <c r="L4397" s="7" t="n"/>
      <c r="M4397" s="7" t="n"/>
      <c r="N4397">
        <f>IF(D4397="", "Gap - No Legal Basis", IF(AND(D4397="Consent (GDPR Art. 6(1)(a))", I4397="Not Captured"), "Gap - Invalid Consent", IF(AND(D4397="Legitimate Interest (GDPR Art. 6(1)(f))", L4397=""), "Gap - Missing LIA", IF(AND(G4397="Yes", H4397=""), "Gap - Missing Art. 9 Basis", IF(OR(I4397="Invalid - Not Freely Given", I4397="Invalid - Not Specific", I4397="Invalid - Not Informed", I4397="Invalid - Ambiguous"), "Gap - Invalid Consent", "Compliant")))))</f>
        <v/>
      </c>
      <c r="O4397" s="7" t="n"/>
    </row>
    <row r="4398">
      <c r="A4398" s="7" t="n"/>
      <c r="B4398" s="7" t="n"/>
      <c r="C4398" s="7" t="n"/>
      <c r="D4398" s="7" t="n"/>
      <c r="E4398" s="7" t="n"/>
      <c r="F4398" s="7" t="n"/>
      <c r="G4398" s="7" t="n"/>
      <c r="H4398" s="7" t="n"/>
      <c r="I4398" s="7" t="n"/>
      <c r="J4398" s="7" t="n"/>
      <c r="K4398">
        <f>IF(D4398="Legitimate Interest (GDPR Art. 6(1)(f))", "Yes / Required (Sheet 3)", "")</f>
        <v/>
      </c>
      <c r="L4398" s="7" t="n"/>
      <c r="M4398" s="7" t="n"/>
      <c r="N4398">
        <f>IF(D4398="", "Gap - No Legal Basis", IF(AND(D4398="Consent (GDPR Art. 6(1)(a))", I4398="Not Captured"), "Gap - Invalid Consent", IF(AND(D4398="Legitimate Interest (GDPR Art. 6(1)(f))", L4398=""), "Gap - Missing LIA", IF(AND(G4398="Yes", H4398=""), "Gap - Missing Art. 9 Basis", IF(OR(I4398="Invalid - Not Freely Given", I4398="Invalid - Not Specific", I4398="Invalid - Not Informed", I4398="Invalid - Ambiguous"), "Gap - Invalid Consent", "Compliant")))))</f>
        <v/>
      </c>
      <c r="O4398" s="7" t="n"/>
    </row>
    <row r="4399">
      <c r="A4399" s="7" t="n"/>
      <c r="B4399" s="7" t="n"/>
      <c r="C4399" s="7" t="n"/>
      <c r="D4399" s="7" t="n"/>
      <c r="E4399" s="7" t="n"/>
      <c r="F4399" s="7" t="n"/>
      <c r="G4399" s="7" t="n"/>
      <c r="H4399" s="7" t="n"/>
      <c r="I4399" s="7" t="n"/>
      <c r="J4399" s="7" t="n"/>
      <c r="K4399">
        <f>IF(D4399="Legitimate Interest (GDPR Art. 6(1)(f))", "Yes / Required (Sheet 3)", "")</f>
        <v/>
      </c>
      <c r="L4399" s="7" t="n"/>
      <c r="M4399" s="7" t="n"/>
      <c r="N4399">
        <f>IF(D4399="", "Gap - No Legal Basis", IF(AND(D4399="Consent (GDPR Art. 6(1)(a))", I4399="Not Captured"), "Gap - Invalid Consent", IF(AND(D4399="Legitimate Interest (GDPR Art. 6(1)(f))", L4399=""), "Gap - Missing LIA", IF(AND(G4399="Yes", H4399=""), "Gap - Missing Art. 9 Basis", IF(OR(I4399="Invalid - Not Freely Given", I4399="Invalid - Not Specific", I4399="Invalid - Not Informed", I4399="Invalid - Ambiguous"), "Gap - Invalid Consent", "Compliant")))))</f>
        <v/>
      </c>
      <c r="O4399" s="7" t="n"/>
    </row>
    <row r="4400">
      <c r="A4400" s="7" t="n"/>
      <c r="B4400" s="7" t="n"/>
      <c r="C4400" s="7" t="n"/>
      <c r="D4400" s="7" t="n"/>
      <c r="E4400" s="7" t="n"/>
      <c r="F4400" s="7" t="n"/>
      <c r="G4400" s="7" t="n"/>
      <c r="H4400" s="7" t="n"/>
      <c r="I4400" s="7" t="n"/>
      <c r="J4400" s="7" t="n"/>
      <c r="K4400">
        <f>IF(D4400="Legitimate Interest (GDPR Art. 6(1)(f))", "Yes / Required (Sheet 3)", "")</f>
        <v/>
      </c>
      <c r="L4400" s="7" t="n"/>
      <c r="M4400" s="7" t="n"/>
      <c r="N4400">
        <f>IF(D4400="", "Gap - No Legal Basis", IF(AND(D4400="Consent (GDPR Art. 6(1)(a))", I4400="Not Captured"), "Gap - Invalid Consent", IF(AND(D4400="Legitimate Interest (GDPR Art. 6(1)(f))", L4400=""), "Gap - Missing LIA", IF(AND(G4400="Yes", H4400=""), "Gap - Missing Art. 9 Basis", IF(OR(I4400="Invalid - Not Freely Given", I4400="Invalid - Not Specific", I4400="Invalid - Not Informed", I4400="Invalid - Ambiguous"), "Gap - Invalid Consent", "Compliant")))))</f>
        <v/>
      </c>
      <c r="O4400" s="7" t="n"/>
    </row>
    <row r="4401">
      <c r="A4401" s="7" t="n"/>
      <c r="B4401" s="7" t="n"/>
      <c r="C4401" s="7" t="n"/>
      <c r="D4401" s="7" t="n"/>
      <c r="E4401" s="7" t="n"/>
      <c r="F4401" s="7" t="n"/>
      <c r="G4401" s="7" t="n"/>
      <c r="H4401" s="7" t="n"/>
      <c r="I4401" s="7" t="n"/>
      <c r="J4401" s="7" t="n"/>
      <c r="K4401">
        <f>IF(D4401="Legitimate Interest (GDPR Art. 6(1)(f))", "Yes / Required (Sheet 3)", "")</f>
        <v/>
      </c>
      <c r="L4401" s="7" t="n"/>
      <c r="M4401" s="7" t="n"/>
      <c r="N4401">
        <f>IF(D4401="", "Gap - No Legal Basis", IF(AND(D4401="Consent (GDPR Art. 6(1)(a))", I4401="Not Captured"), "Gap - Invalid Consent", IF(AND(D4401="Legitimate Interest (GDPR Art. 6(1)(f))", L4401=""), "Gap - Missing LIA", IF(AND(G4401="Yes", H4401=""), "Gap - Missing Art. 9 Basis", IF(OR(I4401="Invalid - Not Freely Given", I4401="Invalid - Not Specific", I4401="Invalid - Not Informed", I4401="Invalid - Ambiguous"), "Gap - Invalid Consent", "Compliant")))))</f>
        <v/>
      </c>
      <c r="O4401" s="7" t="n"/>
    </row>
    <row r="4402">
      <c r="A4402" s="7" t="n"/>
      <c r="B4402" s="7" t="n"/>
      <c r="C4402" s="7" t="n"/>
      <c r="D4402" s="7" t="n"/>
      <c r="E4402" s="7" t="n"/>
      <c r="F4402" s="7" t="n"/>
      <c r="G4402" s="7" t="n"/>
      <c r="H4402" s="7" t="n"/>
      <c r="I4402" s="7" t="n"/>
      <c r="J4402" s="7" t="n"/>
      <c r="K4402">
        <f>IF(D4402="Legitimate Interest (GDPR Art. 6(1)(f))", "Yes / Required (Sheet 3)", "")</f>
        <v/>
      </c>
      <c r="L4402" s="7" t="n"/>
      <c r="M4402" s="7" t="n"/>
      <c r="N4402">
        <f>IF(D4402="", "Gap - No Legal Basis", IF(AND(D4402="Consent (GDPR Art. 6(1)(a))", I4402="Not Captured"), "Gap - Invalid Consent", IF(AND(D4402="Legitimate Interest (GDPR Art. 6(1)(f))", L4402=""), "Gap - Missing LIA", IF(AND(G4402="Yes", H4402=""), "Gap - Missing Art. 9 Basis", IF(OR(I4402="Invalid - Not Freely Given", I4402="Invalid - Not Specific", I4402="Invalid - Not Informed", I4402="Invalid - Ambiguous"), "Gap - Invalid Consent", "Compliant")))))</f>
        <v/>
      </c>
      <c r="O4402" s="7" t="n"/>
    </row>
    <row r="4403">
      <c r="A4403" s="7" t="n"/>
      <c r="B4403" s="7" t="n"/>
      <c r="C4403" s="7" t="n"/>
      <c r="D4403" s="7" t="n"/>
      <c r="E4403" s="7" t="n"/>
      <c r="F4403" s="7" t="n"/>
      <c r="G4403" s="7" t="n"/>
      <c r="H4403" s="7" t="n"/>
      <c r="I4403" s="7" t="n"/>
      <c r="J4403" s="7" t="n"/>
      <c r="K4403">
        <f>IF(D4403="Legitimate Interest (GDPR Art. 6(1)(f))", "Yes / Required (Sheet 3)", "")</f>
        <v/>
      </c>
      <c r="L4403" s="7" t="n"/>
      <c r="M4403" s="7" t="n"/>
      <c r="N4403">
        <f>IF(D4403="", "Gap - No Legal Basis", IF(AND(D4403="Consent (GDPR Art. 6(1)(a))", I4403="Not Captured"), "Gap - Invalid Consent", IF(AND(D4403="Legitimate Interest (GDPR Art. 6(1)(f))", L4403=""), "Gap - Missing LIA", IF(AND(G4403="Yes", H4403=""), "Gap - Missing Art. 9 Basis", IF(OR(I4403="Invalid - Not Freely Given", I4403="Invalid - Not Specific", I4403="Invalid - Not Informed", I4403="Invalid - Ambiguous"), "Gap - Invalid Consent", "Compliant")))))</f>
        <v/>
      </c>
      <c r="O4403" s="7" t="n"/>
    </row>
    <row r="4404">
      <c r="A4404" s="7" t="n"/>
      <c r="B4404" s="7" t="n"/>
      <c r="C4404" s="7" t="n"/>
      <c r="D4404" s="7" t="n"/>
      <c r="E4404" s="7" t="n"/>
      <c r="F4404" s="7" t="n"/>
      <c r="G4404" s="7" t="n"/>
      <c r="H4404" s="7" t="n"/>
      <c r="I4404" s="7" t="n"/>
      <c r="J4404" s="7" t="n"/>
      <c r="K4404">
        <f>IF(D4404="Legitimate Interest (GDPR Art. 6(1)(f))", "Yes / Required (Sheet 3)", "")</f>
        <v/>
      </c>
      <c r="L4404" s="7" t="n"/>
      <c r="M4404" s="7" t="n"/>
      <c r="N4404">
        <f>IF(D4404="", "Gap - No Legal Basis", IF(AND(D4404="Consent (GDPR Art. 6(1)(a))", I4404="Not Captured"), "Gap - Invalid Consent", IF(AND(D4404="Legitimate Interest (GDPR Art. 6(1)(f))", L4404=""), "Gap - Missing LIA", IF(AND(G4404="Yes", H4404=""), "Gap - Missing Art. 9 Basis", IF(OR(I4404="Invalid - Not Freely Given", I4404="Invalid - Not Specific", I4404="Invalid - Not Informed", I4404="Invalid - Ambiguous"), "Gap - Invalid Consent", "Compliant")))))</f>
        <v/>
      </c>
      <c r="O4404" s="7" t="n"/>
    </row>
    <row r="4405">
      <c r="A4405" s="7" t="n"/>
      <c r="B4405" s="7" t="n"/>
      <c r="C4405" s="7" t="n"/>
      <c r="D4405" s="7" t="n"/>
      <c r="E4405" s="7" t="n"/>
      <c r="F4405" s="7" t="n"/>
      <c r="G4405" s="7" t="n"/>
      <c r="H4405" s="7" t="n"/>
      <c r="I4405" s="7" t="n"/>
      <c r="J4405" s="7" t="n"/>
      <c r="K4405">
        <f>IF(D4405="Legitimate Interest (GDPR Art. 6(1)(f))", "Yes / Required (Sheet 3)", "")</f>
        <v/>
      </c>
      <c r="L4405" s="7" t="n"/>
      <c r="M4405" s="7" t="n"/>
      <c r="N4405">
        <f>IF(D4405="", "Gap - No Legal Basis", IF(AND(D4405="Consent (GDPR Art. 6(1)(a))", I4405="Not Captured"), "Gap - Invalid Consent", IF(AND(D4405="Legitimate Interest (GDPR Art. 6(1)(f))", L4405=""), "Gap - Missing LIA", IF(AND(G4405="Yes", H4405=""), "Gap - Missing Art. 9 Basis", IF(OR(I4405="Invalid - Not Freely Given", I4405="Invalid - Not Specific", I4405="Invalid - Not Informed", I4405="Invalid - Ambiguous"), "Gap - Invalid Consent", "Compliant")))))</f>
        <v/>
      </c>
      <c r="O4405" s="7" t="n"/>
    </row>
    <row r="4406">
      <c r="A4406" s="7" t="n"/>
      <c r="B4406" s="7" t="n"/>
      <c r="C4406" s="7" t="n"/>
      <c r="D4406" s="7" t="n"/>
      <c r="E4406" s="7" t="n"/>
      <c r="F4406" s="7" t="n"/>
      <c r="G4406" s="7" t="n"/>
      <c r="H4406" s="7" t="n"/>
      <c r="I4406" s="7" t="n"/>
      <c r="J4406" s="7" t="n"/>
      <c r="K4406">
        <f>IF(D4406="Legitimate Interest (GDPR Art. 6(1)(f))", "Yes / Required (Sheet 3)", "")</f>
        <v/>
      </c>
      <c r="L4406" s="7" t="n"/>
      <c r="M4406" s="7" t="n"/>
      <c r="N4406">
        <f>IF(D4406="", "Gap - No Legal Basis", IF(AND(D4406="Consent (GDPR Art. 6(1)(a))", I4406="Not Captured"), "Gap - Invalid Consent", IF(AND(D4406="Legitimate Interest (GDPR Art. 6(1)(f))", L4406=""), "Gap - Missing LIA", IF(AND(G4406="Yes", H4406=""), "Gap - Missing Art. 9 Basis", IF(OR(I4406="Invalid - Not Freely Given", I4406="Invalid - Not Specific", I4406="Invalid - Not Informed", I4406="Invalid - Ambiguous"), "Gap - Invalid Consent", "Compliant")))))</f>
        <v/>
      </c>
      <c r="O4406" s="7" t="n"/>
    </row>
    <row r="4407">
      <c r="A4407" s="7" t="n"/>
      <c r="B4407" s="7" t="n"/>
      <c r="C4407" s="7" t="n"/>
      <c r="D4407" s="7" t="n"/>
      <c r="E4407" s="7" t="n"/>
      <c r="F4407" s="7" t="n"/>
      <c r="G4407" s="7" t="n"/>
      <c r="H4407" s="7" t="n"/>
      <c r="I4407" s="7" t="n"/>
      <c r="J4407" s="7" t="n"/>
      <c r="K4407">
        <f>IF(D4407="Legitimate Interest (GDPR Art. 6(1)(f))", "Yes / Required (Sheet 3)", "")</f>
        <v/>
      </c>
      <c r="L4407" s="7" t="n"/>
      <c r="M4407" s="7" t="n"/>
      <c r="N4407">
        <f>IF(D4407="", "Gap - No Legal Basis", IF(AND(D4407="Consent (GDPR Art. 6(1)(a))", I4407="Not Captured"), "Gap - Invalid Consent", IF(AND(D4407="Legitimate Interest (GDPR Art. 6(1)(f))", L4407=""), "Gap - Missing LIA", IF(AND(G4407="Yes", H4407=""), "Gap - Missing Art. 9 Basis", IF(OR(I4407="Invalid - Not Freely Given", I4407="Invalid - Not Specific", I4407="Invalid - Not Informed", I4407="Invalid - Ambiguous"), "Gap - Invalid Consent", "Compliant")))))</f>
        <v/>
      </c>
      <c r="O4407" s="7" t="n"/>
    </row>
    <row r="4408">
      <c r="A4408" s="7" t="n"/>
      <c r="B4408" s="7" t="n"/>
      <c r="C4408" s="7" t="n"/>
      <c r="D4408" s="7" t="n"/>
      <c r="E4408" s="7" t="n"/>
      <c r="F4408" s="7" t="n"/>
      <c r="G4408" s="7" t="n"/>
      <c r="H4408" s="7" t="n"/>
      <c r="I4408" s="7" t="n"/>
      <c r="J4408" s="7" t="n"/>
      <c r="K4408">
        <f>IF(D4408="Legitimate Interest (GDPR Art. 6(1)(f))", "Yes / Required (Sheet 3)", "")</f>
        <v/>
      </c>
      <c r="L4408" s="7" t="n"/>
      <c r="M4408" s="7" t="n"/>
      <c r="N4408">
        <f>IF(D4408="", "Gap - No Legal Basis", IF(AND(D4408="Consent (GDPR Art. 6(1)(a))", I4408="Not Captured"), "Gap - Invalid Consent", IF(AND(D4408="Legitimate Interest (GDPR Art. 6(1)(f))", L4408=""), "Gap - Missing LIA", IF(AND(G4408="Yes", H4408=""), "Gap - Missing Art. 9 Basis", IF(OR(I4408="Invalid - Not Freely Given", I4408="Invalid - Not Specific", I4408="Invalid - Not Informed", I4408="Invalid - Ambiguous"), "Gap - Invalid Consent", "Compliant")))))</f>
        <v/>
      </c>
      <c r="O4408" s="7" t="n"/>
    </row>
    <row r="4409">
      <c r="A4409" s="7" t="n"/>
      <c r="B4409" s="7" t="n"/>
      <c r="C4409" s="7" t="n"/>
      <c r="D4409" s="7" t="n"/>
      <c r="E4409" s="7" t="n"/>
      <c r="F4409" s="7" t="n"/>
      <c r="G4409" s="7" t="n"/>
      <c r="H4409" s="7" t="n"/>
      <c r="I4409" s="7" t="n"/>
      <c r="J4409" s="7" t="n"/>
      <c r="K4409">
        <f>IF(D4409="Legitimate Interest (GDPR Art. 6(1)(f))", "Yes / Required (Sheet 3)", "")</f>
        <v/>
      </c>
      <c r="L4409" s="7" t="n"/>
      <c r="M4409" s="7" t="n"/>
      <c r="N4409">
        <f>IF(D4409="", "Gap - No Legal Basis", IF(AND(D4409="Consent (GDPR Art. 6(1)(a))", I4409="Not Captured"), "Gap - Invalid Consent", IF(AND(D4409="Legitimate Interest (GDPR Art. 6(1)(f))", L4409=""), "Gap - Missing LIA", IF(AND(G4409="Yes", H4409=""), "Gap - Missing Art. 9 Basis", IF(OR(I4409="Invalid - Not Freely Given", I4409="Invalid - Not Specific", I4409="Invalid - Not Informed", I4409="Invalid - Ambiguous"), "Gap - Invalid Consent", "Compliant")))))</f>
        <v/>
      </c>
      <c r="O4409" s="7" t="n"/>
    </row>
    <row r="4410">
      <c r="A4410" s="7" t="n"/>
      <c r="B4410" s="7" t="n"/>
      <c r="C4410" s="7" t="n"/>
      <c r="D4410" s="7" t="n"/>
      <c r="E4410" s="7" t="n"/>
      <c r="F4410" s="7" t="n"/>
      <c r="G4410" s="7" t="n"/>
      <c r="H4410" s="7" t="n"/>
      <c r="I4410" s="7" t="n"/>
      <c r="J4410" s="7" t="n"/>
      <c r="K4410">
        <f>IF(D4410="Legitimate Interest (GDPR Art. 6(1)(f))", "Yes / Required (Sheet 3)", "")</f>
        <v/>
      </c>
      <c r="L4410" s="7" t="n"/>
      <c r="M4410" s="7" t="n"/>
      <c r="N4410">
        <f>IF(D4410="", "Gap - No Legal Basis", IF(AND(D4410="Consent (GDPR Art. 6(1)(a))", I4410="Not Captured"), "Gap - Invalid Consent", IF(AND(D4410="Legitimate Interest (GDPR Art. 6(1)(f))", L4410=""), "Gap - Missing LIA", IF(AND(G4410="Yes", H4410=""), "Gap - Missing Art. 9 Basis", IF(OR(I4410="Invalid - Not Freely Given", I4410="Invalid - Not Specific", I4410="Invalid - Not Informed", I4410="Invalid - Ambiguous"), "Gap - Invalid Consent", "Compliant")))))</f>
        <v/>
      </c>
      <c r="O4410" s="7" t="n"/>
    </row>
    <row r="4411">
      <c r="A4411" s="7" t="n"/>
      <c r="B4411" s="7" t="n"/>
      <c r="C4411" s="7" t="n"/>
      <c r="D4411" s="7" t="n"/>
      <c r="E4411" s="7" t="n"/>
      <c r="F4411" s="7" t="n"/>
      <c r="G4411" s="7" t="n"/>
      <c r="H4411" s="7" t="n"/>
      <c r="I4411" s="7" t="n"/>
      <c r="J4411" s="7" t="n"/>
      <c r="K4411">
        <f>IF(D4411="Legitimate Interest (GDPR Art. 6(1)(f))", "Yes / Required (Sheet 3)", "")</f>
        <v/>
      </c>
      <c r="L4411" s="7" t="n"/>
      <c r="M4411" s="7" t="n"/>
      <c r="N4411">
        <f>IF(D4411="", "Gap - No Legal Basis", IF(AND(D4411="Consent (GDPR Art. 6(1)(a))", I4411="Not Captured"), "Gap - Invalid Consent", IF(AND(D4411="Legitimate Interest (GDPR Art. 6(1)(f))", L4411=""), "Gap - Missing LIA", IF(AND(G4411="Yes", H4411=""), "Gap - Missing Art. 9 Basis", IF(OR(I4411="Invalid - Not Freely Given", I4411="Invalid - Not Specific", I4411="Invalid - Not Informed", I4411="Invalid - Ambiguous"), "Gap - Invalid Consent", "Compliant")))))</f>
        <v/>
      </c>
      <c r="O4411" s="7" t="n"/>
    </row>
    <row r="4412">
      <c r="A4412" s="7" t="n"/>
      <c r="B4412" s="7" t="n"/>
      <c r="C4412" s="7" t="n"/>
      <c r="D4412" s="7" t="n"/>
      <c r="E4412" s="7" t="n"/>
      <c r="F4412" s="7" t="n"/>
      <c r="G4412" s="7" t="n"/>
      <c r="H4412" s="7" t="n"/>
      <c r="I4412" s="7" t="n"/>
      <c r="J4412" s="7" t="n"/>
      <c r="K4412">
        <f>IF(D4412="Legitimate Interest (GDPR Art. 6(1)(f))", "Yes / Required (Sheet 3)", "")</f>
        <v/>
      </c>
      <c r="L4412" s="7" t="n"/>
      <c r="M4412" s="7" t="n"/>
      <c r="N4412">
        <f>IF(D4412="", "Gap - No Legal Basis", IF(AND(D4412="Consent (GDPR Art. 6(1)(a))", I4412="Not Captured"), "Gap - Invalid Consent", IF(AND(D4412="Legitimate Interest (GDPR Art. 6(1)(f))", L4412=""), "Gap - Missing LIA", IF(AND(G4412="Yes", H4412=""), "Gap - Missing Art. 9 Basis", IF(OR(I4412="Invalid - Not Freely Given", I4412="Invalid - Not Specific", I4412="Invalid - Not Informed", I4412="Invalid - Ambiguous"), "Gap - Invalid Consent", "Compliant")))))</f>
        <v/>
      </c>
      <c r="O4412" s="7" t="n"/>
    </row>
    <row r="4413">
      <c r="A4413" s="7" t="n"/>
      <c r="B4413" s="7" t="n"/>
      <c r="C4413" s="7" t="n"/>
      <c r="D4413" s="7" t="n"/>
      <c r="E4413" s="7" t="n"/>
      <c r="F4413" s="7" t="n"/>
      <c r="G4413" s="7" t="n"/>
      <c r="H4413" s="7" t="n"/>
      <c r="I4413" s="7" t="n"/>
      <c r="J4413" s="7" t="n"/>
      <c r="K4413">
        <f>IF(D4413="Legitimate Interest (GDPR Art. 6(1)(f))", "Yes / Required (Sheet 3)", "")</f>
        <v/>
      </c>
      <c r="L4413" s="7" t="n"/>
      <c r="M4413" s="7" t="n"/>
      <c r="N4413">
        <f>IF(D4413="", "Gap - No Legal Basis", IF(AND(D4413="Consent (GDPR Art. 6(1)(a))", I4413="Not Captured"), "Gap - Invalid Consent", IF(AND(D4413="Legitimate Interest (GDPR Art. 6(1)(f))", L4413=""), "Gap - Missing LIA", IF(AND(G4413="Yes", H4413=""), "Gap - Missing Art. 9 Basis", IF(OR(I4413="Invalid - Not Freely Given", I4413="Invalid - Not Specific", I4413="Invalid - Not Informed", I4413="Invalid - Ambiguous"), "Gap - Invalid Consent", "Compliant")))))</f>
        <v/>
      </c>
      <c r="O4413" s="7" t="n"/>
    </row>
    <row r="4414">
      <c r="A4414" s="7" t="n"/>
      <c r="B4414" s="7" t="n"/>
      <c r="C4414" s="7" t="n"/>
      <c r="D4414" s="7" t="n"/>
      <c r="E4414" s="7" t="n"/>
      <c r="F4414" s="7" t="n"/>
      <c r="G4414" s="7" t="n"/>
      <c r="H4414" s="7" t="n"/>
      <c r="I4414" s="7" t="n"/>
      <c r="J4414" s="7" t="n"/>
      <c r="K4414">
        <f>IF(D4414="Legitimate Interest (GDPR Art. 6(1)(f))", "Yes / Required (Sheet 3)", "")</f>
        <v/>
      </c>
      <c r="L4414" s="7" t="n"/>
      <c r="M4414" s="7" t="n"/>
      <c r="N4414">
        <f>IF(D4414="", "Gap - No Legal Basis", IF(AND(D4414="Consent (GDPR Art. 6(1)(a))", I4414="Not Captured"), "Gap - Invalid Consent", IF(AND(D4414="Legitimate Interest (GDPR Art. 6(1)(f))", L4414=""), "Gap - Missing LIA", IF(AND(G4414="Yes", H4414=""), "Gap - Missing Art. 9 Basis", IF(OR(I4414="Invalid - Not Freely Given", I4414="Invalid - Not Specific", I4414="Invalid - Not Informed", I4414="Invalid - Ambiguous"), "Gap - Invalid Consent", "Compliant")))))</f>
        <v/>
      </c>
      <c r="O4414" s="7" t="n"/>
    </row>
    <row r="4415">
      <c r="A4415" s="7" t="n"/>
      <c r="B4415" s="7" t="n"/>
      <c r="C4415" s="7" t="n"/>
      <c r="D4415" s="7" t="n"/>
      <c r="E4415" s="7" t="n"/>
      <c r="F4415" s="7" t="n"/>
      <c r="G4415" s="7" t="n"/>
      <c r="H4415" s="7" t="n"/>
      <c r="I4415" s="7" t="n"/>
      <c r="J4415" s="7" t="n"/>
      <c r="K4415">
        <f>IF(D4415="Legitimate Interest (GDPR Art. 6(1)(f))", "Yes / Required (Sheet 3)", "")</f>
        <v/>
      </c>
      <c r="L4415" s="7" t="n"/>
      <c r="M4415" s="7" t="n"/>
      <c r="N4415">
        <f>IF(D4415="", "Gap - No Legal Basis", IF(AND(D4415="Consent (GDPR Art. 6(1)(a))", I4415="Not Captured"), "Gap - Invalid Consent", IF(AND(D4415="Legitimate Interest (GDPR Art. 6(1)(f))", L4415=""), "Gap - Missing LIA", IF(AND(G4415="Yes", H4415=""), "Gap - Missing Art. 9 Basis", IF(OR(I4415="Invalid - Not Freely Given", I4415="Invalid - Not Specific", I4415="Invalid - Not Informed", I4415="Invalid - Ambiguous"), "Gap - Invalid Consent", "Compliant")))))</f>
        <v/>
      </c>
      <c r="O4415" s="7" t="n"/>
    </row>
    <row r="4416">
      <c r="A4416" s="7" t="n"/>
      <c r="B4416" s="7" t="n"/>
      <c r="C4416" s="7" t="n"/>
      <c r="D4416" s="7" t="n"/>
      <c r="E4416" s="7" t="n"/>
      <c r="F4416" s="7" t="n"/>
      <c r="G4416" s="7" t="n"/>
      <c r="H4416" s="7" t="n"/>
      <c r="I4416" s="7" t="n"/>
      <c r="J4416" s="7" t="n"/>
      <c r="K4416">
        <f>IF(D4416="Legitimate Interest (GDPR Art. 6(1)(f))", "Yes / Required (Sheet 3)", "")</f>
        <v/>
      </c>
      <c r="L4416" s="7" t="n"/>
      <c r="M4416" s="7" t="n"/>
      <c r="N4416">
        <f>IF(D4416="", "Gap - No Legal Basis", IF(AND(D4416="Consent (GDPR Art. 6(1)(a))", I4416="Not Captured"), "Gap - Invalid Consent", IF(AND(D4416="Legitimate Interest (GDPR Art. 6(1)(f))", L4416=""), "Gap - Missing LIA", IF(AND(G4416="Yes", H4416=""), "Gap - Missing Art. 9 Basis", IF(OR(I4416="Invalid - Not Freely Given", I4416="Invalid - Not Specific", I4416="Invalid - Not Informed", I4416="Invalid - Ambiguous"), "Gap - Invalid Consent", "Compliant")))))</f>
        <v/>
      </c>
      <c r="O4416" s="7" t="n"/>
    </row>
    <row r="4417">
      <c r="A4417" s="7" t="n"/>
      <c r="B4417" s="7" t="n"/>
      <c r="C4417" s="7" t="n"/>
      <c r="D4417" s="7" t="n"/>
      <c r="E4417" s="7" t="n"/>
      <c r="F4417" s="7" t="n"/>
      <c r="G4417" s="7" t="n"/>
      <c r="H4417" s="7" t="n"/>
      <c r="I4417" s="7" t="n"/>
      <c r="J4417" s="7" t="n"/>
      <c r="K4417">
        <f>IF(D4417="Legitimate Interest (GDPR Art. 6(1)(f))", "Yes / Required (Sheet 3)", "")</f>
        <v/>
      </c>
      <c r="L4417" s="7" t="n"/>
      <c r="M4417" s="7" t="n"/>
      <c r="N4417">
        <f>IF(D4417="", "Gap - No Legal Basis", IF(AND(D4417="Consent (GDPR Art. 6(1)(a))", I4417="Not Captured"), "Gap - Invalid Consent", IF(AND(D4417="Legitimate Interest (GDPR Art. 6(1)(f))", L4417=""), "Gap - Missing LIA", IF(AND(G4417="Yes", H4417=""), "Gap - Missing Art. 9 Basis", IF(OR(I4417="Invalid - Not Freely Given", I4417="Invalid - Not Specific", I4417="Invalid - Not Informed", I4417="Invalid - Ambiguous"), "Gap - Invalid Consent", "Compliant")))))</f>
        <v/>
      </c>
      <c r="O4417" s="7" t="n"/>
    </row>
    <row r="4418">
      <c r="A4418" s="7" t="n"/>
      <c r="B4418" s="7" t="n"/>
      <c r="C4418" s="7" t="n"/>
      <c r="D4418" s="7" t="n"/>
      <c r="E4418" s="7" t="n"/>
      <c r="F4418" s="7" t="n"/>
      <c r="G4418" s="7" t="n"/>
      <c r="H4418" s="7" t="n"/>
      <c r="I4418" s="7" t="n"/>
      <c r="J4418" s="7" t="n"/>
      <c r="K4418">
        <f>IF(D4418="Legitimate Interest (GDPR Art. 6(1)(f))", "Yes / Required (Sheet 3)", "")</f>
        <v/>
      </c>
      <c r="L4418" s="7" t="n"/>
      <c r="M4418" s="7" t="n"/>
      <c r="N4418">
        <f>IF(D4418="", "Gap - No Legal Basis", IF(AND(D4418="Consent (GDPR Art. 6(1)(a))", I4418="Not Captured"), "Gap - Invalid Consent", IF(AND(D4418="Legitimate Interest (GDPR Art. 6(1)(f))", L4418=""), "Gap - Missing LIA", IF(AND(G4418="Yes", H4418=""), "Gap - Missing Art. 9 Basis", IF(OR(I4418="Invalid - Not Freely Given", I4418="Invalid - Not Specific", I4418="Invalid - Not Informed", I4418="Invalid - Ambiguous"), "Gap - Invalid Consent", "Compliant")))))</f>
        <v/>
      </c>
      <c r="O4418" s="7" t="n"/>
    </row>
    <row r="4419">
      <c r="A4419" s="7" t="n"/>
      <c r="B4419" s="7" t="n"/>
      <c r="C4419" s="7" t="n"/>
      <c r="D4419" s="7" t="n"/>
      <c r="E4419" s="7" t="n"/>
      <c r="F4419" s="7" t="n"/>
      <c r="G4419" s="7" t="n"/>
      <c r="H4419" s="7" t="n"/>
      <c r="I4419" s="7" t="n"/>
      <c r="J4419" s="7" t="n"/>
      <c r="K4419">
        <f>IF(D4419="Legitimate Interest (GDPR Art. 6(1)(f))", "Yes / Required (Sheet 3)", "")</f>
        <v/>
      </c>
      <c r="L4419" s="7" t="n"/>
      <c r="M4419" s="7" t="n"/>
      <c r="N4419">
        <f>IF(D4419="", "Gap - No Legal Basis", IF(AND(D4419="Consent (GDPR Art. 6(1)(a))", I4419="Not Captured"), "Gap - Invalid Consent", IF(AND(D4419="Legitimate Interest (GDPR Art. 6(1)(f))", L4419=""), "Gap - Missing LIA", IF(AND(G4419="Yes", H4419=""), "Gap - Missing Art. 9 Basis", IF(OR(I4419="Invalid - Not Freely Given", I4419="Invalid - Not Specific", I4419="Invalid - Not Informed", I4419="Invalid - Ambiguous"), "Gap - Invalid Consent", "Compliant")))))</f>
        <v/>
      </c>
      <c r="O4419" s="7" t="n"/>
    </row>
    <row r="4420">
      <c r="A4420" s="7" t="n"/>
      <c r="B4420" s="7" t="n"/>
      <c r="C4420" s="7" t="n"/>
      <c r="D4420" s="7" t="n"/>
      <c r="E4420" s="7" t="n"/>
      <c r="F4420" s="7" t="n"/>
      <c r="G4420" s="7" t="n"/>
      <c r="H4420" s="7" t="n"/>
      <c r="I4420" s="7" t="n"/>
      <c r="J4420" s="7" t="n"/>
      <c r="K4420">
        <f>IF(D4420="Legitimate Interest (GDPR Art. 6(1)(f))", "Yes / Required (Sheet 3)", "")</f>
        <v/>
      </c>
      <c r="L4420" s="7" t="n"/>
      <c r="M4420" s="7" t="n"/>
      <c r="N4420">
        <f>IF(D4420="", "Gap - No Legal Basis", IF(AND(D4420="Consent (GDPR Art. 6(1)(a))", I4420="Not Captured"), "Gap - Invalid Consent", IF(AND(D4420="Legitimate Interest (GDPR Art. 6(1)(f))", L4420=""), "Gap - Missing LIA", IF(AND(G4420="Yes", H4420=""), "Gap - Missing Art. 9 Basis", IF(OR(I4420="Invalid - Not Freely Given", I4420="Invalid - Not Specific", I4420="Invalid - Not Informed", I4420="Invalid - Ambiguous"), "Gap - Invalid Consent", "Compliant")))))</f>
        <v/>
      </c>
      <c r="O4420" s="7" t="n"/>
    </row>
    <row r="4421">
      <c r="A4421" s="7" t="n"/>
      <c r="B4421" s="7" t="n"/>
      <c r="C4421" s="7" t="n"/>
      <c r="D4421" s="7" t="n"/>
      <c r="E4421" s="7" t="n"/>
      <c r="F4421" s="7" t="n"/>
      <c r="G4421" s="7" t="n"/>
      <c r="H4421" s="7" t="n"/>
      <c r="I4421" s="7" t="n"/>
      <c r="J4421" s="7" t="n"/>
      <c r="K4421">
        <f>IF(D4421="Legitimate Interest (GDPR Art. 6(1)(f))", "Yes / Required (Sheet 3)", "")</f>
        <v/>
      </c>
      <c r="L4421" s="7" t="n"/>
      <c r="M4421" s="7" t="n"/>
      <c r="N4421">
        <f>IF(D4421="", "Gap - No Legal Basis", IF(AND(D4421="Consent (GDPR Art. 6(1)(a))", I4421="Not Captured"), "Gap - Invalid Consent", IF(AND(D4421="Legitimate Interest (GDPR Art. 6(1)(f))", L4421=""), "Gap - Missing LIA", IF(AND(G4421="Yes", H4421=""), "Gap - Missing Art. 9 Basis", IF(OR(I4421="Invalid - Not Freely Given", I4421="Invalid - Not Specific", I4421="Invalid - Not Informed", I4421="Invalid - Ambiguous"), "Gap - Invalid Consent", "Compliant")))))</f>
        <v/>
      </c>
      <c r="O4421" s="7" t="n"/>
    </row>
    <row r="4422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7" t="n"/>
      <c r="J4422" s="7" t="n"/>
      <c r="K4422">
        <f>IF(D4422="Legitimate Interest (GDPR Art. 6(1)(f))", "Yes / Required (Sheet 3)", "")</f>
        <v/>
      </c>
      <c r="L4422" s="7" t="n"/>
      <c r="M4422" s="7" t="n"/>
      <c r="N4422">
        <f>IF(D4422="", "Gap - No Legal Basis", IF(AND(D4422="Consent (GDPR Art. 6(1)(a))", I4422="Not Captured"), "Gap - Invalid Consent", IF(AND(D4422="Legitimate Interest (GDPR Art. 6(1)(f))", L4422=""), "Gap - Missing LIA", IF(AND(G4422="Yes", H4422=""), "Gap - Missing Art. 9 Basis", IF(OR(I4422="Invalid - Not Freely Given", I4422="Invalid - Not Specific", I4422="Invalid - Not Informed", I4422="Invalid - Ambiguous"), "Gap - Invalid Consent", "Compliant")))))</f>
        <v/>
      </c>
      <c r="O4422" s="7" t="n"/>
    </row>
    <row r="4423">
      <c r="A4423" s="7" t="n"/>
      <c r="B4423" s="7" t="n"/>
      <c r="C4423" s="7" t="n"/>
      <c r="D4423" s="7" t="n"/>
      <c r="E4423" s="7" t="n"/>
      <c r="F4423" s="7" t="n"/>
      <c r="G4423" s="7" t="n"/>
      <c r="H4423" s="7" t="n"/>
      <c r="I4423" s="7" t="n"/>
      <c r="J4423" s="7" t="n"/>
      <c r="K4423">
        <f>IF(D4423="Legitimate Interest (GDPR Art. 6(1)(f))", "Yes / Required (Sheet 3)", "")</f>
        <v/>
      </c>
      <c r="L4423" s="7" t="n"/>
      <c r="M4423" s="7" t="n"/>
      <c r="N4423">
        <f>IF(D4423="", "Gap - No Legal Basis", IF(AND(D4423="Consent (GDPR Art. 6(1)(a))", I4423="Not Captured"), "Gap - Invalid Consent", IF(AND(D4423="Legitimate Interest (GDPR Art. 6(1)(f))", L4423=""), "Gap - Missing LIA", IF(AND(G4423="Yes", H4423=""), "Gap - Missing Art. 9 Basis", IF(OR(I4423="Invalid - Not Freely Given", I4423="Invalid - Not Specific", I4423="Invalid - Not Informed", I4423="Invalid - Ambiguous"), "Gap - Invalid Consent", "Compliant")))))</f>
        <v/>
      </c>
      <c r="O4423" s="7" t="n"/>
    </row>
    <row r="4424">
      <c r="A4424" s="7" t="n"/>
      <c r="B4424" s="7" t="n"/>
      <c r="C4424" s="7" t="n"/>
      <c r="D4424" s="7" t="n"/>
      <c r="E4424" s="7" t="n"/>
      <c r="F4424" s="7" t="n"/>
      <c r="G4424" s="7" t="n"/>
      <c r="H4424" s="7" t="n"/>
      <c r="I4424" s="7" t="n"/>
      <c r="J4424" s="7" t="n"/>
      <c r="K4424">
        <f>IF(D4424="Legitimate Interest (GDPR Art. 6(1)(f))", "Yes / Required (Sheet 3)", "")</f>
        <v/>
      </c>
      <c r="L4424" s="7" t="n"/>
      <c r="M4424" s="7" t="n"/>
      <c r="N4424">
        <f>IF(D4424="", "Gap - No Legal Basis", IF(AND(D4424="Consent (GDPR Art. 6(1)(a))", I4424="Not Captured"), "Gap - Invalid Consent", IF(AND(D4424="Legitimate Interest (GDPR Art. 6(1)(f))", L4424=""), "Gap - Missing LIA", IF(AND(G4424="Yes", H4424=""), "Gap - Missing Art. 9 Basis", IF(OR(I4424="Invalid - Not Freely Given", I4424="Invalid - Not Specific", I4424="Invalid - Not Informed", I4424="Invalid - Ambiguous"), "Gap - Invalid Consent", "Compliant")))))</f>
        <v/>
      </c>
      <c r="O4424" s="7" t="n"/>
    </row>
    <row r="4425">
      <c r="A4425" s="7" t="n"/>
      <c r="B4425" s="7" t="n"/>
      <c r="C4425" s="7" t="n"/>
      <c r="D4425" s="7" t="n"/>
      <c r="E4425" s="7" t="n"/>
      <c r="F4425" s="7" t="n"/>
      <c r="G4425" s="7" t="n"/>
      <c r="H4425" s="7" t="n"/>
      <c r="I4425" s="7" t="n"/>
      <c r="J4425" s="7" t="n"/>
      <c r="K4425">
        <f>IF(D4425="Legitimate Interest (GDPR Art. 6(1)(f))", "Yes / Required (Sheet 3)", "")</f>
        <v/>
      </c>
      <c r="L4425" s="7" t="n"/>
      <c r="M4425" s="7" t="n"/>
      <c r="N4425">
        <f>IF(D4425="", "Gap - No Legal Basis", IF(AND(D4425="Consent (GDPR Art. 6(1)(a))", I4425="Not Captured"), "Gap - Invalid Consent", IF(AND(D4425="Legitimate Interest (GDPR Art. 6(1)(f))", L4425=""), "Gap - Missing LIA", IF(AND(G4425="Yes", H4425=""), "Gap - Missing Art. 9 Basis", IF(OR(I4425="Invalid - Not Freely Given", I4425="Invalid - Not Specific", I4425="Invalid - Not Informed", I4425="Invalid - Ambiguous"), "Gap - Invalid Consent", "Compliant")))))</f>
        <v/>
      </c>
      <c r="O4425" s="7" t="n"/>
    </row>
    <row r="4426">
      <c r="A4426" s="7" t="n"/>
      <c r="B4426" s="7" t="n"/>
      <c r="C4426" s="7" t="n"/>
      <c r="D4426" s="7" t="n"/>
      <c r="E4426" s="7" t="n"/>
      <c r="F4426" s="7" t="n"/>
      <c r="G4426" s="7" t="n"/>
      <c r="H4426" s="7" t="n"/>
      <c r="I4426" s="7" t="n"/>
      <c r="J4426" s="7" t="n"/>
      <c r="K4426">
        <f>IF(D4426="Legitimate Interest (GDPR Art. 6(1)(f))", "Yes / Required (Sheet 3)", "")</f>
        <v/>
      </c>
      <c r="L4426" s="7" t="n"/>
      <c r="M4426" s="7" t="n"/>
      <c r="N4426">
        <f>IF(D4426="", "Gap - No Legal Basis", IF(AND(D4426="Consent (GDPR Art. 6(1)(a))", I4426="Not Captured"), "Gap - Invalid Consent", IF(AND(D4426="Legitimate Interest (GDPR Art. 6(1)(f))", L4426=""), "Gap - Missing LIA", IF(AND(G4426="Yes", H4426=""), "Gap - Missing Art. 9 Basis", IF(OR(I4426="Invalid - Not Freely Given", I4426="Invalid - Not Specific", I4426="Invalid - Not Informed", I4426="Invalid - Ambiguous"), "Gap - Invalid Consent", "Compliant")))))</f>
        <v/>
      </c>
      <c r="O4426" s="7" t="n"/>
    </row>
    <row r="4427">
      <c r="A4427" s="7" t="n"/>
      <c r="B4427" s="7" t="n"/>
      <c r="C4427" s="7" t="n"/>
      <c r="D4427" s="7" t="n"/>
      <c r="E4427" s="7" t="n"/>
      <c r="F4427" s="7" t="n"/>
      <c r="G4427" s="7" t="n"/>
      <c r="H4427" s="7" t="n"/>
      <c r="I4427" s="7" t="n"/>
      <c r="J4427" s="7" t="n"/>
      <c r="K4427">
        <f>IF(D4427="Legitimate Interest (GDPR Art. 6(1)(f))", "Yes / Required (Sheet 3)", "")</f>
        <v/>
      </c>
      <c r="L4427" s="7" t="n"/>
      <c r="M4427" s="7" t="n"/>
      <c r="N4427">
        <f>IF(D4427="", "Gap - No Legal Basis", IF(AND(D4427="Consent (GDPR Art. 6(1)(a))", I4427="Not Captured"), "Gap - Invalid Consent", IF(AND(D4427="Legitimate Interest (GDPR Art. 6(1)(f))", L4427=""), "Gap - Missing LIA", IF(AND(G4427="Yes", H4427=""), "Gap - Missing Art. 9 Basis", IF(OR(I4427="Invalid - Not Freely Given", I4427="Invalid - Not Specific", I4427="Invalid - Not Informed", I4427="Invalid - Ambiguous"), "Gap - Invalid Consent", "Compliant")))))</f>
        <v/>
      </c>
      <c r="O4427" s="7" t="n"/>
    </row>
    <row r="4428">
      <c r="A4428" s="7" t="n"/>
      <c r="B4428" s="7" t="n"/>
      <c r="C4428" s="7" t="n"/>
      <c r="D4428" s="7" t="n"/>
      <c r="E4428" s="7" t="n"/>
      <c r="F4428" s="7" t="n"/>
      <c r="G4428" s="7" t="n"/>
      <c r="H4428" s="7" t="n"/>
      <c r="I4428" s="7" t="n"/>
      <c r="J4428" s="7" t="n"/>
      <c r="K4428">
        <f>IF(D4428="Legitimate Interest (GDPR Art. 6(1)(f))", "Yes / Required (Sheet 3)", "")</f>
        <v/>
      </c>
      <c r="L4428" s="7" t="n"/>
      <c r="M4428" s="7" t="n"/>
      <c r="N4428">
        <f>IF(D4428="", "Gap - No Legal Basis", IF(AND(D4428="Consent (GDPR Art. 6(1)(a))", I4428="Not Captured"), "Gap - Invalid Consent", IF(AND(D4428="Legitimate Interest (GDPR Art. 6(1)(f))", L4428=""), "Gap - Missing LIA", IF(AND(G4428="Yes", H4428=""), "Gap - Missing Art. 9 Basis", IF(OR(I4428="Invalid - Not Freely Given", I4428="Invalid - Not Specific", I4428="Invalid - Not Informed", I4428="Invalid - Ambiguous"), "Gap - Invalid Consent", "Compliant")))))</f>
        <v/>
      </c>
      <c r="O4428" s="7" t="n"/>
    </row>
    <row r="4429">
      <c r="A4429" s="7" t="n"/>
      <c r="B4429" s="7" t="n"/>
      <c r="C4429" s="7" t="n"/>
      <c r="D4429" s="7" t="n"/>
      <c r="E4429" s="7" t="n"/>
      <c r="F4429" s="7" t="n"/>
      <c r="G4429" s="7" t="n"/>
      <c r="H4429" s="7" t="n"/>
      <c r="I4429" s="7" t="n"/>
      <c r="J4429" s="7" t="n"/>
      <c r="K4429">
        <f>IF(D4429="Legitimate Interest (GDPR Art. 6(1)(f))", "Yes / Required (Sheet 3)", "")</f>
        <v/>
      </c>
      <c r="L4429" s="7" t="n"/>
      <c r="M4429" s="7" t="n"/>
      <c r="N4429">
        <f>IF(D4429="", "Gap - No Legal Basis", IF(AND(D4429="Consent (GDPR Art. 6(1)(a))", I4429="Not Captured"), "Gap - Invalid Consent", IF(AND(D4429="Legitimate Interest (GDPR Art. 6(1)(f))", L4429=""), "Gap - Missing LIA", IF(AND(G4429="Yes", H4429=""), "Gap - Missing Art. 9 Basis", IF(OR(I4429="Invalid - Not Freely Given", I4429="Invalid - Not Specific", I4429="Invalid - Not Informed", I4429="Invalid - Ambiguous"), "Gap - Invalid Consent", "Compliant")))))</f>
        <v/>
      </c>
      <c r="O4429" s="7" t="n"/>
    </row>
    <row r="4430">
      <c r="A4430" s="7" t="n"/>
      <c r="B4430" s="7" t="n"/>
      <c r="C4430" s="7" t="n"/>
      <c r="D4430" s="7" t="n"/>
      <c r="E4430" s="7" t="n"/>
      <c r="F4430" s="7" t="n"/>
      <c r="G4430" s="7" t="n"/>
      <c r="H4430" s="7" t="n"/>
      <c r="I4430" s="7" t="n"/>
      <c r="J4430" s="7" t="n"/>
      <c r="K4430">
        <f>IF(D4430="Legitimate Interest (GDPR Art. 6(1)(f))", "Yes / Required (Sheet 3)", "")</f>
        <v/>
      </c>
      <c r="L4430" s="7" t="n"/>
      <c r="M4430" s="7" t="n"/>
      <c r="N4430">
        <f>IF(D4430="", "Gap - No Legal Basis", IF(AND(D4430="Consent (GDPR Art. 6(1)(a))", I4430="Not Captured"), "Gap - Invalid Consent", IF(AND(D4430="Legitimate Interest (GDPR Art. 6(1)(f))", L4430=""), "Gap - Missing LIA", IF(AND(G4430="Yes", H4430=""), "Gap - Missing Art. 9 Basis", IF(OR(I4430="Invalid - Not Freely Given", I4430="Invalid - Not Specific", I4430="Invalid - Not Informed", I4430="Invalid - Ambiguous"), "Gap - Invalid Consent", "Compliant")))))</f>
        <v/>
      </c>
      <c r="O4430" s="7" t="n"/>
    </row>
    <row r="4431">
      <c r="A4431" s="7" t="n"/>
      <c r="B4431" s="7" t="n"/>
      <c r="C4431" s="7" t="n"/>
      <c r="D4431" s="7" t="n"/>
      <c r="E4431" s="7" t="n"/>
      <c r="F4431" s="7" t="n"/>
      <c r="G4431" s="7" t="n"/>
      <c r="H4431" s="7" t="n"/>
      <c r="I4431" s="7" t="n"/>
      <c r="J4431" s="7" t="n"/>
      <c r="K4431">
        <f>IF(D4431="Legitimate Interest (GDPR Art. 6(1)(f))", "Yes / Required (Sheet 3)", "")</f>
        <v/>
      </c>
      <c r="L4431" s="7" t="n"/>
      <c r="M4431" s="7" t="n"/>
      <c r="N4431">
        <f>IF(D4431="", "Gap - No Legal Basis", IF(AND(D4431="Consent (GDPR Art. 6(1)(a))", I4431="Not Captured"), "Gap - Invalid Consent", IF(AND(D4431="Legitimate Interest (GDPR Art. 6(1)(f))", L4431=""), "Gap - Missing LIA", IF(AND(G4431="Yes", H4431=""), "Gap - Missing Art. 9 Basis", IF(OR(I4431="Invalid - Not Freely Given", I4431="Invalid - Not Specific", I4431="Invalid - Not Informed", I4431="Invalid - Ambiguous"), "Gap - Invalid Consent", "Compliant")))))</f>
        <v/>
      </c>
      <c r="O4431" s="7" t="n"/>
    </row>
    <row r="4432">
      <c r="A4432" s="7" t="n"/>
      <c r="B4432" s="7" t="n"/>
      <c r="C4432" s="7" t="n"/>
      <c r="D4432" s="7" t="n"/>
      <c r="E4432" s="7" t="n"/>
      <c r="F4432" s="7" t="n"/>
      <c r="G4432" s="7" t="n"/>
      <c r="H4432" s="7" t="n"/>
      <c r="I4432" s="7" t="n"/>
      <c r="J4432" s="7" t="n"/>
      <c r="K4432">
        <f>IF(D4432="Legitimate Interest (GDPR Art. 6(1)(f))", "Yes / Required (Sheet 3)", "")</f>
        <v/>
      </c>
      <c r="L4432" s="7" t="n"/>
      <c r="M4432" s="7" t="n"/>
      <c r="N4432">
        <f>IF(D4432="", "Gap - No Legal Basis", IF(AND(D4432="Consent (GDPR Art. 6(1)(a))", I4432="Not Captured"), "Gap - Invalid Consent", IF(AND(D4432="Legitimate Interest (GDPR Art. 6(1)(f))", L4432=""), "Gap - Missing LIA", IF(AND(G4432="Yes", H4432=""), "Gap - Missing Art. 9 Basis", IF(OR(I4432="Invalid - Not Freely Given", I4432="Invalid - Not Specific", I4432="Invalid - Not Informed", I4432="Invalid - Ambiguous"), "Gap - Invalid Consent", "Compliant")))))</f>
        <v/>
      </c>
      <c r="O4432" s="7" t="n"/>
    </row>
    <row r="4433">
      <c r="A4433" s="7" t="n"/>
      <c r="B4433" s="7" t="n"/>
      <c r="C4433" s="7" t="n"/>
      <c r="D4433" s="7" t="n"/>
      <c r="E4433" s="7" t="n"/>
      <c r="F4433" s="7" t="n"/>
      <c r="G4433" s="7" t="n"/>
      <c r="H4433" s="7" t="n"/>
      <c r="I4433" s="7" t="n"/>
      <c r="J4433" s="7" t="n"/>
      <c r="K4433">
        <f>IF(D4433="Legitimate Interest (GDPR Art. 6(1)(f))", "Yes / Required (Sheet 3)", "")</f>
        <v/>
      </c>
      <c r="L4433" s="7" t="n"/>
      <c r="M4433" s="7" t="n"/>
      <c r="N4433">
        <f>IF(D4433="", "Gap - No Legal Basis", IF(AND(D4433="Consent (GDPR Art. 6(1)(a))", I4433="Not Captured"), "Gap - Invalid Consent", IF(AND(D4433="Legitimate Interest (GDPR Art. 6(1)(f))", L4433=""), "Gap - Missing LIA", IF(AND(G4433="Yes", H4433=""), "Gap - Missing Art. 9 Basis", IF(OR(I4433="Invalid - Not Freely Given", I4433="Invalid - Not Specific", I4433="Invalid - Not Informed", I4433="Invalid - Ambiguous"), "Gap - Invalid Consent", "Compliant")))))</f>
        <v/>
      </c>
      <c r="O4433" s="7" t="n"/>
    </row>
    <row r="4434">
      <c r="A4434" s="7" t="n"/>
      <c r="B4434" s="7" t="n"/>
      <c r="C4434" s="7" t="n"/>
      <c r="D4434" s="7" t="n"/>
      <c r="E4434" s="7" t="n"/>
      <c r="F4434" s="7" t="n"/>
      <c r="G4434" s="7" t="n"/>
      <c r="H4434" s="7" t="n"/>
      <c r="I4434" s="7" t="n"/>
      <c r="J4434" s="7" t="n"/>
      <c r="K4434">
        <f>IF(D4434="Legitimate Interest (GDPR Art. 6(1)(f))", "Yes / Required (Sheet 3)", "")</f>
        <v/>
      </c>
      <c r="L4434" s="7" t="n"/>
      <c r="M4434" s="7" t="n"/>
      <c r="N4434">
        <f>IF(D4434="", "Gap - No Legal Basis", IF(AND(D4434="Consent (GDPR Art. 6(1)(a))", I4434="Not Captured"), "Gap - Invalid Consent", IF(AND(D4434="Legitimate Interest (GDPR Art. 6(1)(f))", L4434=""), "Gap - Missing LIA", IF(AND(G4434="Yes", H4434=""), "Gap - Missing Art. 9 Basis", IF(OR(I4434="Invalid - Not Freely Given", I4434="Invalid - Not Specific", I4434="Invalid - Not Informed", I4434="Invalid - Ambiguous"), "Gap - Invalid Consent", "Compliant")))))</f>
        <v/>
      </c>
      <c r="O4434" s="7" t="n"/>
    </row>
    <row r="4435">
      <c r="A4435" s="7" t="n"/>
      <c r="B4435" s="7" t="n"/>
      <c r="C4435" s="7" t="n"/>
      <c r="D4435" s="7" t="n"/>
      <c r="E4435" s="7" t="n"/>
      <c r="F4435" s="7" t="n"/>
      <c r="G4435" s="7" t="n"/>
      <c r="H4435" s="7" t="n"/>
      <c r="I4435" s="7" t="n"/>
      <c r="J4435" s="7" t="n"/>
      <c r="K4435">
        <f>IF(D4435="Legitimate Interest (GDPR Art. 6(1)(f))", "Yes / Required (Sheet 3)", "")</f>
        <v/>
      </c>
      <c r="L4435" s="7" t="n"/>
      <c r="M4435" s="7" t="n"/>
      <c r="N4435">
        <f>IF(D4435="", "Gap - No Legal Basis", IF(AND(D4435="Consent (GDPR Art. 6(1)(a))", I4435="Not Captured"), "Gap - Invalid Consent", IF(AND(D4435="Legitimate Interest (GDPR Art. 6(1)(f))", L4435=""), "Gap - Missing LIA", IF(AND(G4435="Yes", H4435=""), "Gap - Missing Art. 9 Basis", IF(OR(I4435="Invalid - Not Freely Given", I4435="Invalid - Not Specific", I4435="Invalid - Not Informed", I4435="Invalid - Ambiguous"), "Gap - Invalid Consent", "Compliant")))))</f>
        <v/>
      </c>
      <c r="O4435" s="7" t="n"/>
    </row>
    <row r="4436">
      <c r="A4436" s="7" t="n"/>
      <c r="B4436" s="7" t="n"/>
      <c r="C4436" s="7" t="n"/>
      <c r="D4436" s="7" t="n"/>
      <c r="E4436" s="7" t="n"/>
      <c r="F4436" s="7" t="n"/>
      <c r="G4436" s="7" t="n"/>
      <c r="H4436" s="7" t="n"/>
      <c r="I4436" s="7" t="n"/>
      <c r="J4436" s="7" t="n"/>
      <c r="K4436">
        <f>IF(D4436="Legitimate Interest (GDPR Art. 6(1)(f))", "Yes / Required (Sheet 3)", "")</f>
        <v/>
      </c>
      <c r="L4436" s="7" t="n"/>
      <c r="M4436" s="7" t="n"/>
      <c r="N4436">
        <f>IF(D4436="", "Gap - No Legal Basis", IF(AND(D4436="Consent (GDPR Art. 6(1)(a))", I4436="Not Captured"), "Gap - Invalid Consent", IF(AND(D4436="Legitimate Interest (GDPR Art. 6(1)(f))", L4436=""), "Gap - Missing LIA", IF(AND(G4436="Yes", H4436=""), "Gap - Missing Art. 9 Basis", IF(OR(I4436="Invalid - Not Freely Given", I4436="Invalid - Not Specific", I4436="Invalid - Not Informed", I4436="Invalid - Ambiguous"), "Gap - Invalid Consent", "Compliant")))))</f>
        <v/>
      </c>
      <c r="O4436" s="7" t="n"/>
    </row>
    <row r="4437">
      <c r="A4437" s="7" t="n"/>
      <c r="B4437" s="7" t="n"/>
      <c r="C4437" s="7" t="n"/>
      <c r="D4437" s="7" t="n"/>
      <c r="E4437" s="7" t="n"/>
      <c r="F4437" s="7" t="n"/>
      <c r="G4437" s="7" t="n"/>
      <c r="H4437" s="7" t="n"/>
      <c r="I4437" s="7" t="n"/>
      <c r="J4437" s="7" t="n"/>
      <c r="K4437">
        <f>IF(D4437="Legitimate Interest (GDPR Art. 6(1)(f))", "Yes / Required (Sheet 3)", "")</f>
        <v/>
      </c>
      <c r="L4437" s="7" t="n"/>
      <c r="M4437" s="7" t="n"/>
      <c r="N4437">
        <f>IF(D4437="", "Gap - No Legal Basis", IF(AND(D4437="Consent (GDPR Art. 6(1)(a))", I4437="Not Captured"), "Gap - Invalid Consent", IF(AND(D4437="Legitimate Interest (GDPR Art. 6(1)(f))", L4437=""), "Gap - Missing LIA", IF(AND(G4437="Yes", H4437=""), "Gap - Missing Art. 9 Basis", IF(OR(I4437="Invalid - Not Freely Given", I4437="Invalid - Not Specific", I4437="Invalid - Not Informed", I4437="Invalid - Ambiguous"), "Gap - Invalid Consent", "Compliant")))))</f>
        <v/>
      </c>
      <c r="O4437" s="7" t="n"/>
    </row>
    <row r="4438">
      <c r="A4438" s="7" t="n"/>
      <c r="B4438" s="7" t="n"/>
      <c r="C4438" s="7" t="n"/>
      <c r="D4438" s="7" t="n"/>
      <c r="E4438" s="7" t="n"/>
      <c r="F4438" s="7" t="n"/>
      <c r="G4438" s="7" t="n"/>
      <c r="H4438" s="7" t="n"/>
      <c r="I4438" s="7" t="n"/>
      <c r="J4438" s="7" t="n"/>
      <c r="K4438">
        <f>IF(D4438="Legitimate Interest (GDPR Art. 6(1)(f))", "Yes / Required (Sheet 3)", "")</f>
        <v/>
      </c>
      <c r="L4438" s="7" t="n"/>
      <c r="M4438" s="7" t="n"/>
      <c r="N4438">
        <f>IF(D4438="", "Gap - No Legal Basis", IF(AND(D4438="Consent (GDPR Art. 6(1)(a))", I4438="Not Captured"), "Gap - Invalid Consent", IF(AND(D4438="Legitimate Interest (GDPR Art. 6(1)(f))", L4438=""), "Gap - Missing LIA", IF(AND(G4438="Yes", H4438=""), "Gap - Missing Art. 9 Basis", IF(OR(I4438="Invalid - Not Freely Given", I4438="Invalid - Not Specific", I4438="Invalid - Not Informed", I4438="Invalid - Ambiguous"), "Gap - Invalid Consent", "Compliant")))))</f>
        <v/>
      </c>
      <c r="O4438" s="7" t="n"/>
    </row>
    <row r="4439">
      <c r="A4439" s="7" t="n"/>
      <c r="B4439" s="7" t="n"/>
      <c r="C4439" s="7" t="n"/>
      <c r="D4439" s="7" t="n"/>
      <c r="E4439" s="7" t="n"/>
      <c r="F4439" s="7" t="n"/>
      <c r="G4439" s="7" t="n"/>
      <c r="H4439" s="7" t="n"/>
      <c r="I4439" s="7" t="n"/>
      <c r="J4439" s="7" t="n"/>
      <c r="K4439">
        <f>IF(D4439="Legitimate Interest (GDPR Art. 6(1)(f))", "Yes / Required (Sheet 3)", "")</f>
        <v/>
      </c>
      <c r="L4439" s="7" t="n"/>
      <c r="M4439" s="7" t="n"/>
      <c r="N4439">
        <f>IF(D4439="", "Gap - No Legal Basis", IF(AND(D4439="Consent (GDPR Art. 6(1)(a))", I4439="Not Captured"), "Gap - Invalid Consent", IF(AND(D4439="Legitimate Interest (GDPR Art. 6(1)(f))", L4439=""), "Gap - Missing LIA", IF(AND(G4439="Yes", H4439=""), "Gap - Missing Art. 9 Basis", IF(OR(I4439="Invalid - Not Freely Given", I4439="Invalid - Not Specific", I4439="Invalid - Not Informed", I4439="Invalid - Ambiguous"), "Gap - Invalid Consent", "Compliant")))))</f>
        <v/>
      </c>
      <c r="O4439" s="7" t="n"/>
    </row>
    <row r="4440">
      <c r="A4440" s="7" t="n"/>
      <c r="B4440" s="7" t="n"/>
      <c r="C4440" s="7" t="n"/>
      <c r="D4440" s="7" t="n"/>
      <c r="E4440" s="7" t="n"/>
      <c r="F4440" s="7" t="n"/>
      <c r="G4440" s="7" t="n"/>
      <c r="H4440" s="7" t="n"/>
      <c r="I4440" s="7" t="n"/>
      <c r="J4440" s="7" t="n"/>
      <c r="K4440">
        <f>IF(D4440="Legitimate Interest (GDPR Art. 6(1)(f))", "Yes / Required (Sheet 3)", "")</f>
        <v/>
      </c>
      <c r="L4440" s="7" t="n"/>
      <c r="M4440" s="7" t="n"/>
      <c r="N4440">
        <f>IF(D4440="", "Gap - No Legal Basis", IF(AND(D4440="Consent (GDPR Art. 6(1)(a))", I4440="Not Captured"), "Gap - Invalid Consent", IF(AND(D4440="Legitimate Interest (GDPR Art. 6(1)(f))", L4440=""), "Gap - Missing LIA", IF(AND(G4440="Yes", H4440=""), "Gap - Missing Art. 9 Basis", IF(OR(I4440="Invalid - Not Freely Given", I4440="Invalid - Not Specific", I4440="Invalid - Not Informed", I4440="Invalid - Ambiguous"), "Gap - Invalid Consent", "Compliant")))))</f>
        <v/>
      </c>
      <c r="O4440" s="7" t="n"/>
    </row>
    <row r="4441">
      <c r="A4441" s="7" t="n"/>
      <c r="B4441" s="7" t="n"/>
      <c r="C4441" s="7" t="n"/>
      <c r="D4441" s="7" t="n"/>
      <c r="E4441" s="7" t="n"/>
      <c r="F4441" s="7" t="n"/>
      <c r="G4441" s="7" t="n"/>
      <c r="H4441" s="7" t="n"/>
      <c r="I4441" s="7" t="n"/>
      <c r="J4441" s="7" t="n"/>
      <c r="K4441">
        <f>IF(D4441="Legitimate Interest (GDPR Art. 6(1)(f))", "Yes / Required (Sheet 3)", "")</f>
        <v/>
      </c>
      <c r="L4441" s="7" t="n"/>
      <c r="M4441" s="7" t="n"/>
      <c r="N4441">
        <f>IF(D4441="", "Gap - No Legal Basis", IF(AND(D4441="Consent (GDPR Art. 6(1)(a))", I4441="Not Captured"), "Gap - Invalid Consent", IF(AND(D4441="Legitimate Interest (GDPR Art. 6(1)(f))", L4441=""), "Gap - Missing LIA", IF(AND(G4441="Yes", H4441=""), "Gap - Missing Art. 9 Basis", IF(OR(I4441="Invalid - Not Freely Given", I4441="Invalid - Not Specific", I4441="Invalid - Not Informed", I4441="Invalid - Ambiguous"), "Gap - Invalid Consent", "Compliant")))))</f>
        <v/>
      </c>
      <c r="O4441" s="7" t="n"/>
    </row>
    <row r="4442">
      <c r="A4442" s="7" t="n"/>
      <c r="B4442" s="7" t="n"/>
      <c r="C4442" s="7" t="n"/>
      <c r="D4442" s="7" t="n"/>
      <c r="E4442" s="7" t="n"/>
      <c r="F4442" s="7" t="n"/>
      <c r="G4442" s="7" t="n"/>
      <c r="H4442" s="7" t="n"/>
      <c r="I4442" s="7" t="n"/>
      <c r="J4442" s="7" t="n"/>
      <c r="K4442">
        <f>IF(D4442="Legitimate Interest (GDPR Art. 6(1)(f))", "Yes / Required (Sheet 3)", "")</f>
        <v/>
      </c>
      <c r="L4442" s="7" t="n"/>
      <c r="M4442" s="7" t="n"/>
      <c r="N4442">
        <f>IF(D4442="", "Gap - No Legal Basis", IF(AND(D4442="Consent (GDPR Art. 6(1)(a))", I4442="Not Captured"), "Gap - Invalid Consent", IF(AND(D4442="Legitimate Interest (GDPR Art. 6(1)(f))", L4442=""), "Gap - Missing LIA", IF(AND(G4442="Yes", H4442=""), "Gap - Missing Art. 9 Basis", IF(OR(I4442="Invalid - Not Freely Given", I4442="Invalid - Not Specific", I4442="Invalid - Not Informed", I4442="Invalid - Ambiguous"), "Gap - Invalid Consent", "Compliant")))))</f>
        <v/>
      </c>
      <c r="O4442" s="7" t="n"/>
    </row>
    <row r="4443">
      <c r="A4443" s="7" t="n"/>
      <c r="B4443" s="7" t="n"/>
      <c r="C4443" s="7" t="n"/>
      <c r="D4443" s="7" t="n"/>
      <c r="E4443" s="7" t="n"/>
      <c r="F4443" s="7" t="n"/>
      <c r="G4443" s="7" t="n"/>
      <c r="H4443" s="7" t="n"/>
      <c r="I4443" s="7" t="n"/>
      <c r="J4443" s="7" t="n"/>
      <c r="K4443">
        <f>IF(D4443="Legitimate Interest (GDPR Art. 6(1)(f))", "Yes / Required (Sheet 3)", "")</f>
        <v/>
      </c>
      <c r="L4443" s="7" t="n"/>
      <c r="M4443" s="7" t="n"/>
      <c r="N4443">
        <f>IF(D4443="", "Gap - No Legal Basis", IF(AND(D4443="Consent (GDPR Art. 6(1)(a))", I4443="Not Captured"), "Gap - Invalid Consent", IF(AND(D4443="Legitimate Interest (GDPR Art. 6(1)(f))", L4443=""), "Gap - Missing LIA", IF(AND(G4443="Yes", H4443=""), "Gap - Missing Art. 9 Basis", IF(OR(I4443="Invalid - Not Freely Given", I4443="Invalid - Not Specific", I4443="Invalid - Not Informed", I4443="Invalid - Ambiguous"), "Gap - Invalid Consent", "Compliant")))))</f>
        <v/>
      </c>
      <c r="O4443" s="7" t="n"/>
    </row>
    <row r="4444">
      <c r="A4444" s="7" t="n"/>
      <c r="B4444" s="7" t="n"/>
      <c r="C4444" s="7" t="n"/>
      <c r="D4444" s="7" t="n"/>
      <c r="E4444" s="7" t="n"/>
      <c r="F4444" s="7" t="n"/>
      <c r="G4444" s="7" t="n"/>
      <c r="H4444" s="7" t="n"/>
      <c r="I4444" s="7" t="n"/>
      <c r="J4444" s="7" t="n"/>
      <c r="K4444">
        <f>IF(D4444="Legitimate Interest (GDPR Art. 6(1)(f))", "Yes / Required (Sheet 3)", "")</f>
        <v/>
      </c>
      <c r="L4444" s="7" t="n"/>
      <c r="M4444" s="7" t="n"/>
      <c r="N4444">
        <f>IF(D4444="", "Gap - No Legal Basis", IF(AND(D4444="Consent (GDPR Art. 6(1)(a))", I4444="Not Captured"), "Gap - Invalid Consent", IF(AND(D4444="Legitimate Interest (GDPR Art. 6(1)(f))", L4444=""), "Gap - Missing LIA", IF(AND(G4444="Yes", H4444=""), "Gap - Missing Art. 9 Basis", IF(OR(I4444="Invalid - Not Freely Given", I4444="Invalid - Not Specific", I4444="Invalid - Not Informed", I4444="Invalid - Ambiguous"), "Gap - Invalid Consent", "Compliant")))))</f>
        <v/>
      </c>
      <c r="O4444" s="7" t="n"/>
    </row>
    <row r="4445">
      <c r="A4445" s="7" t="n"/>
      <c r="B4445" s="7" t="n"/>
      <c r="C4445" s="7" t="n"/>
      <c r="D4445" s="7" t="n"/>
      <c r="E4445" s="7" t="n"/>
      <c r="F4445" s="7" t="n"/>
      <c r="G4445" s="7" t="n"/>
      <c r="H4445" s="7" t="n"/>
      <c r="I4445" s="7" t="n"/>
      <c r="J4445" s="7" t="n"/>
      <c r="K4445">
        <f>IF(D4445="Legitimate Interest (GDPR Art. 6(1)(f))", "Yes / Required (Sheet 3)", "")</f>
        <v/>
      </c>
      <c r="L4445" s="7" t="n"/>
      <c r="M4445" s="7" t="n"/>
      <c r="N4445">
        <f>IF(D4445="", "Gap - No Legal Basis", IF(AND(D4445="Consent (GDPR Art. 6(1)(a))", I4445="Not Captured"), "Gap - Invalid Consent", IF(AND(D4445="Legitimate Interest (GDPR Art. 6(1)(f))", L4445=""), "Gap - Missing LIA", IF(AND(G4445="Yes", H4445=""), "Gap - Missing Art. 9 Basis", IF(OR(I4445="Invalid - Not Freely Given", I4445="Invalid - Not Specific", I4445="Invalid - Not Informed", I4445="Invalid - Ambiguous"), "Gap - Invalid Consent", "Compliant")))))</f>
        <v/>
      </c>
      <c r="O4445" s="7" t="n"/>
    </row>
    <row r="4446">
      <c r="A4446" s="7" t="n"/>
      <c r="B4446" s="7" t="n"/>
      <c r="C4446" s="7" t="n"/>
      <c r="D4446" s="7" t="n"/>
      <c r="E4446" s="7" t="n"/>
      <c r="F4446" s="7" t="n"/>
      <c r="G4446" s="7" t="n"/>
      <c r="H4446" s="7" t="n"/>
      <c r="I4446" s="7" t="n"/>
      <c r="J4446" s="7" t="n"/>
      <c r="K4446">
        <f>IF(D4446="Legitimate Interest (GDPR Art. 6(1)(f))", "Yes / Required (Sheet 3)", "")</f>
        <v/>
      </c>
      <c r="L4446" s="7" t="n"/>
      <c r="M4446" s="7" t="n"/>
      <c r="N4446">
        <f>IF(D4446="", "Gap - No Legal Basis", IF(AND(D4446="Consent (GDPR Art. 6(1)(a))", I4446="Not Captured"), "Gap - Invalid Consent", IF(AND(D4446="Legitimate Interest (GDPR Art. 6(1)(f))", L4446=""), "Gap - Missing LIA", IF(AND(G4446="Yes", H4446=""), "Gap - Missing Art. 9 Basis", IF(OR(I4446="Invalid - Not Freely Given", I4446="Invalid - Not Specific", I4446="Invalid - Not Informed", I4446="Invalid - Ambiguous"), "Gap - Invalid Consent", "Compliant")))))</f>
        <v/>
      </c>
      <c r="O4446" s="7" t="n"/>
    </row>
    <row r="4447">
      <c r="A4447" s="7" t="n"/>
      <c r="B4447" s="7" t="n"/>
      <c r="C4447" s="7" t="n"/>
      <c r="D4447" s="7" t="n"/>
      <c r="E4447" s="7" t="n"/>
      <c r="F4447" s="7" t="n"/>
      <c r="G4447" s="7" t="n"/>
      <c r="H4447" s="7" t="n"/>
      <c r="I4447" s="7" t="n"/>
      <c r="J4447" s="7" t="n"/>
      <c r="K4447">
        <f>IF(D4447="Legitimate Interest (GDPR Art. 6(1)(f))", "Yes / Required (Sheet 3)", "")</f>
        <v/>
      </c>
      <c r="L4447" s="7" t="n"/>
      <c r="M4447" s="7" t="n"/>
      <c r="N4447">
        <f>IF(D4447="", "Gap - No Legal Basis", IF(AND(D4447="Consent (GDPR Art. 6(1)(a))", I4447="Not Captured"), "Gap - Invalid Consent", IF(AND(D4447="Legitimate Interest (GDPR Art. 6(1)(f))", L4447=""), "Gap - Missing LIA", IF(AND(G4447="Yes", H4447=""), "Gap - Missing Art. 9 Basis", IF(OR(I4447="Invalid - Not Freely Given", I4447="Invalid - Not Specific", I4447="Invalid - Not Informed", I4447="Invalid - Ambiguous"), "Gap - Invalid Consent", "Compliant")))))</f>
        <v/>
      </c>
      <c r="O4447" s="7" t="n"/>
    </row>
    <row r="4448">
      <c r="A4448" s="7" t="n"/>
      <c r="B4448" s="7" t="n"/>
      <c r="C4448" s="7" t="n"/>
      <c r="D4448" s="7" t="n"/>
      <c r="E4448" s="7" t="n"/>
      <c r="F4448" s="7" t="n"/>
      <c r="G4448" s="7" t="n"/>
      <c r="H4448" s="7" t="n"/>
      <c r="I4448" s="7" t="n"/>
      <c r="J4448" s="7" t="n"/>
      <c r="K4448">
        <f>IF(D4448="Legitimate Interest (GDPR Art. 6(1)(f))", "Yes / Required (Sheet 3)", "")</f>
        <v/>
      </c>
      <c r="L4448" s="7" t="n"/>
      <c r="M4448" s="7" t="n"/>
      <c r="N4448">
        <f>IF(D4448="", "Gap - No Legal Basis", IF(AND(D4448="Consent (GDPR Art. 6(1)(a))", I4448="Not Captured"), "Gap - Invalid Consent", IF(AND(D4448="Legitimate Interest (GDPR Art. 6(1)(f))", L4448=""), "Gap - Missing LIA", IF(AND(G4448="Yes", H4448=""), "Gap - Missing Art. 9 Basis", IF(OR(I4448="Invalid - Not Freely Given", I4448="Invalid - Not Specific", I4448="Invalid - Not Informed", I4448="Invalid - Ambiguous"), "Gap - Invalid Consent", "Compliant")))))</f>
        <v/>
      </c>
      <c r="O4448" s="7" t="n"/>
    </row>
    <row r="4449">
      <c r="A4449" s="7" t="n"/>
      <c r="B4449" s="7" t="n"/>
      <c r="C4449" s="7" t="n"/>
      <c r="D4449" s="7" t="n"/>
      <c r="E4449" s="7" t="n"/>
      <c r="F4449" s="7" t="n"/>
      <c r="G4449" s="7" t="n"/>
      <c r="H4449" s="7" t="n"/>
      <c r="I4449" s="7" t="n"/>
      <c r="J4449" s="7" t="n"/>
      <c r="K4449">
        <f>IF(D4449="Legitimate Interest (GDPR Art. 6(1)(f))", "Yes / Required (Sheet 3)", "")</f>
        <v/>
      </c>
      <c r="L4449" s="7" t="n"/>
      <c r="M4449" s="7" t="n"/>
      <c r="N4449">
        <f>IF(D4449="", "Gap - No Legal Basis", IF(AND(D4449="Consent (GDPR Art. 6(1)(a))", I4449="Not Captured"), "Gap - Invalid Consent", IF(AND(D4449="Legitimate Interest (GDPR Art. 6(1)(f))", L4449=""), "Gap - Missing LIA", IF(AND(G4449="Yes", H4449=""), "Gap - Missing Art. 9 Basis", IF(OR(I4449="Invalid - Not Freely Given", I4449="Invalid - Not Specific", I4449="Invalid - Not Informed", I4449="Invalid - Ambiguous"), "Gap - Invalid Consent", "Compliant")))))</f>
        <v/>
      </c>
      <c r="O4449" s="7" t="n"/>
    </row>
    <row r="4450">
      <c r="A4450" s="7" t="n"/>
      <c r="B4450" s="7" t="n"/>
      <c r="C4450" s="7" t="n"/>
      <c r="D4450" s="7" t="n"/>
      <c r="E4450" s="7" t="n"/>
      <c r="F4450" s="7" t="n"/>
      <c r="G4450" s="7" t="n"/>
      <c r="H4450" s="7" t="n"/>
      <c r="I4450" s="7" t="n"/>
      <c r="J4450" s="7" t="n"/>
      <c r="K4450">
        <f>IF(D4450="Legitimate Interest (GDPR Art. 6(1)(f))", "Yes / Required (Sheet 3)", "")</f>
        <v/>
      </c>
      <c r="L4450" s="7" t="n"/>
      <c r="M4450" s="7" t="n"/>
      <c r="N4450">
        <f>IF(D4450="", "Gap - No Legal Basis", IF(AND(D4450="Consent (GDPR Art. 6(1)(a))", I4450="Not Captured"), "Gap - Invalid Consent", IF(AND(D4450="Legitimate Interest (GDPR Art. 6(1)(f))", L4450=""), "Gap - Missing LIA", IF(AND(G4450="Yes", H4450=""), "Gap - Missing Art. 9 Basis", IF(OR(I4450="Invalid - Not Freely Given", I4450="Invalid - Not Specific", I4450="Invalid - Not Informed", I4450="Invalid - Ambiguous"), "Gap - Invalid Consent", "Compliant")))))</f>
        <v/>
      </c>
      <c r="O4450" s="7" t="n"/>
    </row>
    <row r="4451">
      <c r="A4451" s="7" t="n"/>
      <c r="B4451" s="7" t="n"/>
      <c r="C4451" s="7" t="n"/>
      <c r="D4451" s="7" t="n"/>
      <c r="E4451" s="7" t="n"/>
      <c r="F4451" s="7" t="n"/>
      <c r="G4451" s="7" t="n"/>
      <c r="H4451" s="7" t="n"/>
      <c r="I4451" s="7" t="n"/>
      <c r="J4451" s="7" t="n"/>
      <c r="K4451">
        <f>IF(D4451="Legitimate Interest (GDPR Art. 6(1)(f))", "Yes / Required (Sheet 3)", "")</f>
        <v/>
      </c>
      <c r="L4451" s="7" t="n"/>
      <c r="M4451" s="7" t="n"/>
      <c r="N4451">
        <f>IF(D4451="", "Gap - No Legal Basis", IF(AND(D4451="Consent (GDPR Art. 6(1)(a))", I4451="Not Captured"), "Gap - Invalid Consent", IF(AND(D4451="Legitimate Interest (GDPR Art. 6(1)(f))", L4451=""), "Gap - Missing LIA", IF(AND(G4451="Yes", H4451=""), "Gap - Missing Art. 9 Basis", IF(OR(I4451="Invalid - Not Freely Given", I4451="Invalid - Not Specific", I4451="Invalid - Not Informed", I4451="Invalid - Ambiguous"), "Gap - Invalid Consent", "Compliant")))))</f>
        <v/>
      </c>
      <c r="O4451" s="7" t="n"/>
    </row>
    <row r="4452">
      <c r="A4452" s="7" t="n"/>
      <c r="B4452" s="7" t="n"/>
      <c r="C4452" s="7" t="n"/>
      <c r="D4452" s="7" t="n"/>
      <c r="E4452" s="7" t="n"/>
      <c r="F4452" s="7" t="n"/>
      <c r="G4452" s="7" t="n"/>
      <c r="H4452" s="7" t="n"/>
      <c r="I4452" s="7" t="n"/>
      <c r="J4452" s="7" t="n"/>
      <c r="K4452">
        <f>IF(D4452="Legitimate Interest (GDPR Art. 6(1)(f))", "Yes / Required (Sheet 3)", "")</f>
        <v/>
      </c>
      <c r="L4452" s="7" t="n"/>
      <c r="M4452" s="7" t="n"/>
      <c r="N4452">
        <f>IF(D4452="", "Gap - No Legal Basis", IF(AND(D4452="Consent (GDPR Art. 6(1)(a))", I4452="Not Captured"), "Gap - Invalid Consent", IF(AND(D4452="Legitimate Interest (GDPR Art. 6(1)(f))", L4452=""), "Gap - Missing LIA", IF(AND(G4452="Yes", H4452=""), "Gap - Missing Art. 9 Basis", IF(OR(I4452="Invalid - Not Freely Given", I4452="Invalid - Not Specific", I4452="Invalid - Not Informed", I4452="Invalid - Ambiguous"), "Gap - Invalid Consent", "Compliant")))))</f>
        <v/>
      </c>
      <c r="O4452" s="7" t="n"/>
    </row>
    <row r="4453">
      <c r="A4453" s="7" t="n"/>
      <c r="B4453" s="7" t="n"/>
      <c r="C4453" s="7" t="n"/>
      <c r="D4453" s="7" t="n"/>
      <c r="E4453" s="7" t="n"/>
      <c r="F4453" s="7" t="n"/>
      <c r="G4453" s="7" t="n"/>
      <c r="H4453" s="7" t="n"/>
      <c r="I4453" s="7" t="n"/>
      <c r="J4453" s="7" t="n"/>
      <c r="K4453">
        <f>IF(D4453="Legitimate Interest (GDPR Art. 6(1)(f))", "Yes / Required (Sheet 3)", "")</f>
        <v/>
      </c>
      <c r="L4453" s="7" t="n"/>
      <c r="M4453" s="7" t="n"/>
      <c r="N4453">
        <f>IF(D4453="", "Gap - No Legal Basis", IF(AND(D4453="Consent (GDPR Art. 6(1)(a))", I4453="Not Captured"), "Gap - Invalid Consent", IF(AND(D4453="Legitimate Interest (GDPR Art. 6(1)(f))", L4453=""), "Gap - Missing LIA", IF(AND(G4453="Yes", H4453=""), "Gap - Missing Art. 9 Basis", IF(OR(I4453="Invalid - Not Freely Given", I4453="Invalid - Not Specific", I4453="Invalid - Not Informed", I4453="Invalid - Ambiguous"), "Gap - Invalid Consent", "Compliant")))))</f>
        <v/>
      </c>
      <c r="O4453" s="7" t="n"/>
    </row>
    <row r="4454">
      <c r="A4454" s="7" t="n"/>
      <c r="B4454" s="7" t="n"/>
      <c r="C4454" s="7" t="n"/>
      <c r="D4454" s="7" t="n"/>
      <c r="E4454" s="7" t="n"/>
      <c r="F4454" s="7" t="n"/>
      <c r="G4454" s="7" t="n"/>
      <c r="H4454" s="7" t="n"/>
      <c r="I4454" s="7" t="n"/>
      <c r="J4454" s="7" t="n"/>
      <c r="K4454">
        <f>IF(D4454="Legitimate Interest (GDPR Art. 6(1)(f))", "Yes / Required (Sheet 3)", "")</f>
        <v/>
      </c>
      <c r="L4454" s="7" t="n"/>
      <c r="M4454" s="7" t="n"/>
      <c r="N4454">
        <f>IF(D4454="", "Gap - No Legal Basis", IF(AND(D4454="Consent (GDPR Art. 6(1)(a))", I4454="Not Captured"), "Gap - Invalid Consent", IF(AND(D4454="Legitimate Interest (GDPR Art. 6(1)(f))", L4454=""), "Gap - Missing LIA", IF(AND(G4454="Yes", H4454=""), "Gap - Missing Art. 9 Basis", IF(OR(I4454="Invalid - Not Freely Given", I4454="Invalid - Not Specific", I4454="Invalid - Not Informed", I4454="Invalid - Ambiguous"), "Gap - Invalid Consent", "Compliant")))))</f>
        <v/>
      </c>
      <c r="O4454" s="7" t="n"/>
    </row>
    <row r="4455">
      <c r="A4455" s="7" t="n"/>
      <c r="B4455" s="7" t="n"/>
      <c r="C4455" s="7" t="n"/>
      <c r="D4455" s="7" t="n"/>
      <c r="E4455" s="7" t="n"/>
      <c r="F4455" s="7" t="n"/>
      <c r="G4455" s="7" t="n"/>
      <c r="H4455" s="7" t="n"/>
      <c r="I4455" s="7" t="n"/>
      <c r="J4455" s="7" t="n"/>
      <c r="K4455">
        <f>IF(D4455="Legitimate Interest (GDPR Art. 6(1)(f))", "Yes / Required (Sheet 3)", "")</f>
        <v/>
      </c>
      <c r="L4455" s="7" t="n"/>
      <c r="M4455" s="7" t="n"/>
      <c r="N4455">
        <f>IF(D4455="", "Gap - No Legal Basis", IF(AND(D4455="Consent (GDPR Art. 6(1)(a))", I4455="Not Captured"), "Gap - Invalid Consent", IF(AND(D4455="Legitimate Interest (GDPR Art. 6(1)(f))", L4455=""), "Gap - Missing LIA", IF(AND(G4455="Yes", H4455=""), "Gap - Missing Art. 9 Basis", IF(OR(I4455="Invalid - Not Freely Given", I4455="Invalid - Not Specific", I4455="Invalid - Not Informed", I4455="Invalid - Ambiguous"), "Gap - Invalid Consent", "Compliant")))))</f>
        <v/>
      </c>
      <c r="O4455" s="7" t="n"/>
    </row>
    <row r="4456">
      <c r="A4456" s="7" t="n"/>
      <c r="B4456" s="7" t="n"/>
      <c r="C4456" s="7" t="n"/>
      <c r="D4456" s="7" t="n"/>
      <c r="E4456" s="7" t="n"/>
      <c r="F4456" s="7" t="n"/>
      <c r="G4456" s="7" t="n"/>
      <c r="H4456" s="7" t="n"/>
      <c r="I4456" s="7" t="n"/>
      <c r="J4456" s="7" t="n"/>
      <c r="K4456">
        <f>IF(D4456="Legitimate Interest (GDPR Art. 6(1)(f))", "Yes / Required (Sheet 3)", "")</f>
        <v/>
      </c>
      <c r="L4456" s="7" t="n"/>
      <c r="M4456" s="7" t="n"/>
      <c r="N4456">
        <f>IF(D4456="", "Gap - No Legal Basis", IF(AND(D4456="Consent (GDPR Art. 6(1)(a))", I4456="Not Captured"), "Gap - Invalid Consent", IF(AND(D4456="Legitimate Interest (GDPR Art. 6(1)(f))", L4456=""), "Gap - Missing LIA", IF(AND(G4456="Yes", H4456=""), "Gap - Missing Art. 9 Basis", IF(OR(I4456="Invalid - Not Freely Given", I4456="Invalid - Not Specific", I4456="Invalid - Not Informed", I4456="Invalid - Ambiguous"), "Gap - Invalid Consent", "Compliant")))))</f>
        <v/>
      </c>
      <c r="O4456" s="7" t="n"/>
    </row>
    <row r="4457">
      <c r="A4457" s="7" t="n"/>
      <c r="B4457" s="7" t="n"/>
      <c r="C4457" s="7" t="n"/>
      <c r="D4457" s="7" t="n"/>
      <c r="E4457" s="7" t="n"/>
      <c r="F4457" s="7" t="n"/>
      <c r="G4457" s="7" t="n"/>
      <c r="H4457" s="7" t="n"/>
      <c r="I4457" s="7" t="n"/>
      <c r="J4457" s="7" t="n"/>
      <c r="K4457">
        <f>IF(D4457="Legitimate Interest (GDPR Art. 6(1)(f))", "Yes / Required (Sheet 3)", "")</f>
        <v/>
      </c>
      <c r="L4457" s="7" t="n"/>
      <c r="M4457" s="7" t="n"/>
      <c r="N4457">
        <f>IF(D4457="", "Gap - No Legal Basis", IF(AND(D4457="Consent (GDPR Art. 6(1)(a))", I4457="Not Captured"), "Gap - Invalid Consent", IF(AND(D4457="Legitimate Interest (GDPR Art. 6(1)(f))", L4457=""), "Gap - Missing LIA", IF(AND(G4457="Yes", H4457=""), "Gap - Missing Art. 9 Basis", IF(OR(I4457="Invalid - Not Freely Given", I4457="Invalid - Not Specific", I4457="Invalid - Not Informed", I4457="Invalid - Ambiguous"), "Gap - Invalid Consent", "Compliant")))))</f>
        <v/>
      </c>
      <c r="O4457" s="7" t="n"/>
    </row>
    <row r="4458">
      <c r="A4458" s="7" t="n"/>
      <c r="B4458" s="7" t="n"/>
      <c r="C4458" s="7" t="n"/>
      <c r="D4458" s="7" t="n"/>
      <c r="E4458" s="7" t="n"/>
      <c r="F4458" s="7" t="n"/>
      <c r="G4458" s="7" t="n"/>
      <c r="H4458" s="7" t="n"/>
      <c r="I4458" s="7" t="n"/>
      <c r="J4458" s="7" t="n"/>
      <c r="K4458">
        <f>IF(D4458="Legitimate Interest (GDPR Art. 6(1)(f))", "Yes / Required (Sheet 3)", "")</f>
        <v/>
      </c>
      <c r="L4458" s="7" t="n"/>
      <c r="M4458" s="7" t="n"/>
      <c r="N4458">
        <f>IF(D4458="", "Gap - No Legal Basis", IF(AND(D4458="Consent (GDPR Art. 6(1)(a))", I4458="Not Captured"), "Gap - Invalid Consent", IF(AND(D4458="Legitimate Interest (GDPR Art. 6(1)(f))", L4458=""), "Gap - Missing LIA", IF(AND(G4458="Yes", H4458=""), "Gap - Missing Art. 9 Basis", IF(OR(I4458="Invalid - Not Freely Given", I4458="Invalid - Not Specific", I4458="Invalid - Not Informed", I4458="Invalid - Ambiguous"), "Gap - Invalid Consent", "Compliant")))))</f>
        <v/>
      </c>
      <c r="O4458" s="7" t="n"/>
    </row>
    <row r="4459">
      <c r="A4459" s="7" t="n"/>
      <c r="B4459" s="7" t="n"/>
      <c r="C4459" s="7" t="n"/>
      <c r="D4459" s="7" t="n"/>
      <c r="E4459" s="7" t="n"/>
      <c r="F4459" s="7" t="n"/>
      <c r="G4459" s="7" t="n"/>
      <c r="H4459" s="7" t="n"/>
      <c r="I4459" s="7" t="n"/>
      <c r="J4459" s="7" t="n"/>
      <c r="K4459">
        <f>IF(D4459="Legitimate Interest (GDPR Art. 6(1)(f))", "Yes / Required (Sheet 3)", "")</f>
        <v/>
      </c>
      <c r="L4459" s="7" t="n"/>
      <c r="M4459" s="7" t="n"/>
      <c r="N4459">
        <f>IF(D4459="", "Gap - No Legal Basis", IF(AND(D4459="Consent (GDPR Art. 6(1)(a))", I4459="Not Captured"), "Gap - Invalid Consent", IF(AND(D4459="Legitimate Interest (GDPR Art. 6(1)(f))", L4459=""), "Gap - Missing LIA", IF(AND(G4459="Yes", H4459=""), "Gap - Missing Art. 9 Basis", IF(OR(I4459="Invalid - Not Freely Given", I4459="Invalid - Not Specific", I4459="Invalid - Not Informed", I4459="Invalid - Ambiguous"), "Gap - Invalid Consent", "Compliant")))))</f>
        <v/>
      </c>
      <c r="O4459" s="7" t="n"/>
    </row>
    <row r="4460">
      <c r="A4460" s="7" t="n"/>
      <c r="B4460" s="7" t="n"/>
      <c r="C4460" s="7" t="n"/>
      <c r="D4460" s="7" t="n"/>
      <c r="E4460" s="7" t="n"/>
      <c r="F4460" s="7" t="n"/>
      <c r="G4460" s="7" t="n"/>
      <c r="H4460" s="7" t="n"/>
      <c r="I4460" s="7" t="n"/>
      <c r="J4460" s="7" t="n"/>
      <c r="K4460">
        <f>IF(D4460="Legitimate Interest (GDPR Art. 6(1)(f))", "Yes / Required (Sheet 3)", "")</f>
        <v/>
      </c>
      <c r="L4460" s="7" t="n"/>
      <c r="M4460" s="7" t="n"/>
      <c r="N4460">
        <f>IF(D4460="", "Gap - No Legal Basis", IF(AND(D4460="Consent (GDPR Art. 6(1)(a))", I4460="Not Captured"), "Gap - Invalid Consent", IF(AND(D4460="Legitimate Interest (GDPR Art. 6(1)(f))", L4460=""), "Gap - Missing LIA", IF(AND(G4460="Yes", H4460=""), "Gap - Missing Art. 9 Basis", IF(OR(I4460="Invalid - Not Freely Given", I4460="Invalid - Not Specific", I4460="Invalid - Not Informed", I4460="Invalid - Ambiguous"), "Gap - Invalid Consent", "Compliant")))))</f>
        <v/>
      </c>
      <c r="O4460" s="7" t="n"/>
    </row>
    <row r="4461">
      <c r="A4461" s="7" t="n"/>
      <c r="B4461" s="7" t="n"/>
      <c r="C4461" s="7" t="n"/>
      <c r="D4461" s="7" t="n"/>
      <c r="E4461" s="7" t="n"/>
      <c r="F4461" s="7" t="n"/>
      <c r="G4461" s="7" t="n"/>
      <c r="H4461" s="7" t="n"/>
      <c r="I4461" s="7" t="n"/>
      <c r="J4461" s="7" t="n"/>
      <c r="K4461">
        <f>IF(D4461="Legitimate Interest (GDPR Art. 6(1)(f))", "Yes / Required (Sheet 3)", "")</f>
        <v/>
      </c>
      <c r="L4461" s="7" t="n"/>
      <c r="M4461" s="7" t="n"/>
      <c r="N4461">
        <f>IF(D4461="", "Gap - No Legal Basis", IF(AND(D4461="Consent (GDPR Art. 6(1)(a))", I4461="Not Captured"), "Gap - Invalid Consent", IF(AND(D4461="Legitimate Interest (GDPR Art. 6(1)(f))", L4461=""), "Gap - Missing LIA", IF(AND(G4461="Yes", H4461=""), "Gap - Missing Art. 9 Basis", IF(OR(I4461="Invalid - Not Freely Given", I4461="Invalid - Not Specific", I4461="Invalid - Not Informed", I4461="Invalid - Ambiguous"), "Gap - Invalid Consent", "Compliant")))))</f>
        <v/>
      </c>
      <c r="O4461" s="7" t="n"/>
    </row>
    <row r="4462">
      <c r="A4462" s="7" t="n"/>
      <c r="B4462" s="7" t="n"/>
      <c r="C4462" s="7" t="n"/>
      <c r="D4462" s="7" t="n"/>
      <c r="E4462" s="7" t="n"/>
      <c r="F4462" s="7" t="n"/>
      <c r="G4462" s="7" t="n"/>
      <c r="H4462" s="7" t="n"/>
      <c r="I4462" s="7" t="n"/>
      <c r="J4462" s="7" t="n"/>
      <c r="K4462">
        <f>IF(D4462="Legitimate Interest (GDPR Art. 6(1)(f))", "Yes / Required (Sheet 3)", "")</f>
        <v/>
      </c>
      <c r="L4462" s="7" t="n"/>
      <c r="M4462" s="7" t="n"/>
      <c r="N4462">
        <f>IF(D4462="", "Gap - No Legal Basis", IF(AND(D4462="Consent (GDPR Art. 6(1)(a))", I4462="Not Captured"), "Gap - Invalid Consent", IF(AND(D4462="Legitimate Interest (GDPR Art. 6(1)(f))", L4462=""), "Gap - Missing LIA", IF(AND(G4462="Yes", H4462=""), "Gap - Missing Art. 9 Basis", IF(OR(I4462="Invalid - Not Freely Given", I4462="Invalid - Not Specific", I4462="Invalid - Not Informed", I4462="Invalid - Ambiguous"), "Gap - Invalid Consent", "Compliant")))))</f>
        <v/>
      </c>
      <c r="O4462" s="7" t="n"/>
    </row>
    <row r="4463">
      <c r="A4463" s="7" t="n"/>
      <c r="B4463" s="7" t="n"/>
      <c r="C4463" s="7" t="n"/>
      <c r="D4463" s="7" t="n"/>
      <c r="E4463" s="7" t="n"/>
      <c r="F4463" s="7" t="n"/>
      <c r="G4463" s="7" t="n"/>
      <c r="H4463" s="7" t="n"/>
      <c r="I4463" s="7" t="n"/>
      <c r="J4463" s="7" t="n"/>
      <c r="K4463">
        <f>IF(D4463="Legitimate Interest (GDPR Art. 6(1)(f))", "Yes / Required (Sheet 3)", "")</f>
        <v/>
      </c>
      <c r="L4463" s="7" t="n"/>
      <c r="M4463" s="7" t="n"/>
      <c r="N4463">
        <f>IF(D4463="", "Gap - No Legal Basis", IF(AND(D4463="Consent (GDPR Art. 6(1)(a))", I4463="Not Captured"), "Gap - Invalid Consent", IF(AND(D4463="Legitimate Interest (GDPR Art. 6(1)(f))", L4463=""), "Gap - Missing LIA", IF(AND(G4463="Yes", H4463=""), "Gap - Missing Art. 9 Basis", IF(OR(I4463="Invalid - Not Freely Given", I4463="Invalid - Not Specific", I4463="Invalid - Not Informed", I4463="Invalid - Ambiguous"), "Gap - Invalid Consent", "Compliant")))))</f>
        <v/>
      </c>
      <c r="O4463" s="7" t="n"/>
    </row>
    <row r="4464">
      <c r="A4464" s="7" t="n"/>
      <c r="B4464" s="7" t="n"/>
      <c r="C4464" s="7" t="n"/>
      <c r="D4464" s="7" t="n"/>
      <c r="E4464" s="7" t="n"/>
      <c r="F4464" s="7" t="n"/>
      <c r="G4464" s="7" t="n"/>
      <c r="H4464" s="7" t="n"/>
      <c r="I4464" s="7" t="n"/>
      <c r="J4464" s="7" t="n"/>
      <c r="K4464">
        <f>IF(D4464="Legitimate Interest (GDPR Art. 6(1)(f))", "Yes / Required (Sheet 3)", "")</f>
        <v/>
      </c>
      <c r="L4464" s="7" t="n"/>
      <c r="M4464" s="7" t="n"/>
      <c r="N4464">
        <f>IF(D4464="", "Gap - No Legal Basis", IF(AND(D4464="Consent (GDPR Art. 6(1)(a))", I4464="Not Captured"), "Gap - Invalid Consent", IF(AND(D4464="Legitimate Interest (GDPR Art. 6(1)(f))", L4464=""), "Gap - Missing LIA", IF(AND(G4464="Yes", H4464=""), "Gap - Missing Art. 9 Basis", IF(OR(I4464="Invalid - Not Freely Given", I4464="Invalid - Not Specific", I4464="Invalid - Not Informed", I4464="Invalid - Ambiguous"), "Gap - Invalid Consent", "Compliant")))))</f>
        <v/>
      </c>
      <c r="O4464" s="7" t="n"/>
    </row>
    <row r="4465">
      <c r="A4465" s="7" t="n"/>
      <c r="B4465" s="7" t="n"/>
      <c r="C4465" s="7" t="n"/>
      <c r="D4465" s="7" t="n"/>
      <c r="E4465" s="7" t="n"/>
      <c r="F4465" s="7" t="n"/>
      <c r="G4465" s="7" t="n"/>
      <c r="H4465" s="7" t="n"/>
      <c r="I4465" s="7" t="n"/>
      <c r="J4465" s="7" t="n"/>
      <c r="K4465">
        <f>IF(D4465="Legitimate Interest (GDPR Art. 6(1)(f))", "Yes / Required (Sheet 3)", "")</f>
        <v/>
      </c>
      <c r="L4465" s="7" t="n"/>
      <c r="M4465" s="7" t="n"/>
      <c r="N4465">
        <f>IF(D4465="", "Gap - No Legal Basis", IF(AND(D4465="Consent (GDPR Art. 6(1)(a))", I4465="Not Captured"), "Gap - Invalid Consent", IF(AND(D4465="Legitimate Interest (GDPR Art. 6(1)(f))", L4465=""), "Gap - Missing LIA", IF(AND(G4465="Yes", H4465=""), "Gap - Missing Art. 9 Basis", IF(OR(I4465="Invalid - Not Freely Given", I4465="Invalid - Not Specific", I4465="Invalid - Not Informed", I4465="Invalid - Ambiguous"), "Gap - Invalid Consent", "Compliant")))))</f>
        <v/>
      </c>
      <c r="O4465" s="7" t="n"/>
    </row>
    <row r="4466">
      <c r="A4466" s="7" t="n"/>
      <c r="B4466" s="7" t="n"/>
      <c r="C4466" s="7" t="n"/>
      <c r="D4466" s="7" t="n"/>
      <c r="E4466" s="7" t="n"/>
      <c r="F4466" s="7" t="n"/>
      <c r="G4466" s="7" t="n"/>
      <c r="H4466" s="7" t="n"/>
      <c r="I4466" s="7" t="n"/>
      <c r="J4466" s="7" t="n"/>
      <c r="K4466">
        <f>IF(D4466="Legitimate Interest (GDPR Art. 6(1)(f))", "Yes / Required (Sheet 3)", "")</f>
        <v/>
      </c>
      <c r="L4466" s="7" t="n"/>
      <c r="M4466" s="7" t="n"/>
      <c r="N4466">
        <f>IF(D4466="", "Gap - No Legal Basis", IF(AND(D4466="Consent (GDPR Art. 6(1)(a))", I4466="Not Captured"), "Gap - Invalid Consent", IF(AND(D4466="Legitimate Interest (GDPR Art. 6(1)(f))", L4466=""), "Gap - Missing LIA", IF(AND(G4466="Yes", H4466=""), "Gap - Missing Art. 9 Basis", IF(OR(I4466="Invalid - Not Freely Given", I4466="Invalid - Not Specific", I4466="Invalid - Not Informed", I4466="Invalid - Ambiguous"), "Gap - Invalid Consent", "Compliant")))))</f>
        <v/>
      </c>
      <c r="O4466" s="7" t="n"/>
    </row>
    <row r="4467">
      <c r="A4467" s="7" t="n"/>
      <c r="B4467" s="7" t="n"/>
      <c r="C4467" s="7" t="n"/>
      <c r="D4467" s="7" t="n"/>
      <c r="E4467" s="7" t="n"/>
      <c r="F4467" s="7" t="n"/>
      <c r="G4467" s="7" t="n"/>
      <c r="H4467" s="7" t="n"/>
      <c r="I4467" s="7" t="n"/>
      <c r="J4467" s="7" t="n"/>
      <c r="K4467">
        <f>IF(D4467="Legitimate Interest (GDPR Art. 6(1)(f))", "Yes / Required (Sheet 3)", "")</f>
        <v/>
      </c>
      <c r="L4467" s="7" t="n"/>
      <c r="M4467" s="7" t="n"/>
      <c r="N4467">
        <f>IF(D4467="", "Gap - No Legal Basis", IF(AND(D4467="Consent (GDPR Art. 6(1)(a))", I4467="Not Captured"), "Gap - Invalid Consent", IF(AND(D4467="Legitimate Interest (GDPR Art. 6(1)(f))", L4467=""), "Gap - Missing LIA", IF(AND(G4467="Yes", H4467=""), "Gap - Missing Art. 9 Basis", IF(OR(I4467="Invalid - Not Freely Given", I4467="Invalid - Not Specific", I4467="Invalid - Not Informed", I4467="Invalid - Ambiguous"), "Gap - Invalid Consent", "Compliant")))))</f>
        <v/>
      </c>
      <c r="O4467" s="7" t="n"/>
    </row>
    <row r="4468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7" t="n"/>
      <c r="J4468" s="7" t="n"/>
      <c r="K4468">
        <f>IF(D4468="Legitimate Interest (GDPR Art. 6(1)(f))", "Yes / Required (Sheet 3)", "")</f>
        <v/>
      </c>
      <c r="L4468" s="7" t="n"/>
      <c r="M4468" s="7" t="n"/>
      <c r="N4468">
        <f>IF(D4468="", "Gap - No Legal Basis", IF(AND(D4468="Consent (GDPR Art. 6(1)(a))", I4468="Not Captured"), "Gap - Invalid Consent", IF(AND(D4468="Legitimate Interest (GDPR Art. 6(1)(f))", L4468=""), "Gap - Missing LIA", IF(AND(G4468="Yes", H4468=""), "Gap - Missing Art. 9 Basis", IF(OR(I4468="Invalid - Not Freely Given", I4468="Invalid - Not Specific", I4468="Invalid - Not Informed", I4468="Invalid - Ambiguous"), "Gap - Invalid Consent", "Compliant")))))</f>
        <v/>
      </c>
      <c r="O4468" s="7" t="n"/>
    </row>
    <row r="4469">
      <c r="A4469" s="7" t="n"/>
      <c r="B4469" s="7" t="n"/>
      <c r="C4469" s="7" t="n"/>
      <c r="D4469" s="7" t="n"/>
      <c r="E4469" s="7" t="n"/>
      <c r="F4469" s="7" t="n"/>
      <c r="G4469" s="7" t="n"/>
      <c r="H4469" s="7" t="n"/>
      <c r="I4469" s="7" t="n"/>
      <c r="J4469" s="7" t="n"/>
      <c r="K4469">
        <f>IF(D4469="Legitimate Interest (GDPR Art. 6(1)(f))", "Yes / Required (Sheet 3)", "")</f>
        <v/>
      </c>
      <c r="L4469" s="7" t="n"/>
      <c r="M4469" s="7" t="n"/>
      <c r="N4469">
        <f>IF(D4469="", "Gap - No Legal Basis", IF(AND(D4469="Consent (GDPR Art. 6(1)(a))", I4469="Not Captured"), "Gap - Invalid Consent", IF(AND(D4469="Legitimate Interest (GDPR Art. 6(1)(f))", L4469=""), "Gap - Missing LIA", IF(AND(G4469="Yes", H4469=""), "Gap - Missing Art. 9 Basis", IF(OR(I4469="Invalid - Not Freely Given", I4469="Invalid - Not Specific", I4469="Invalid - Not Informed", I4469="Invalid - Ambiguous"), "Gap - Invalid Consent", "Compliant")))))</f>
        <v/>
      </c>
      <c r="O4469" s="7" t="n"/>
    </row>
    <row r="4470">
      <c r="A4470" s="7" t="n"/>
      <c r="B4470" s="7" t="n"/>
      <c r="C4470" s="7" t="n"/>
      <c r="D4470" s="7" t="n"/>
      <c r="E4470" s="7" t="n"/>
      <c r="F4470" s="7" t="n"/>
      <c r="G4470" s="7" t="n"/>
      <c r="H4470" s="7" t="n"/>
      <c r="I4470" s="7" t="n"/>
      <c r="J4470" s="7" t="n"/>
      <c r="K4470">
        <f>IF(D4470="Legitimate Interest (GDPR Art. 6(1)(f))", "Yes / Required (Sheet 3)", "")</f>
        <v/>
      </c>
      <c r="L4470" s="7" t="n"/>
      <c r="M4470" s="7" t="n"/>
      <c r="N4470">
        <f>IF(D4470="", "Gap - No Legal Basis", IF(AND(D4470="Consent (GDPR Art. 6(1)(a))", I4470="Not Captured"), "Gap - Invalid Consent", IF(AND(D4470="Legitimate Interest (GDPR Art. 6(1)(f))", L4470=""), "Gap - Missing LIA", IF(AND(G4470="Yes", H4470=""), "Gap - Missing Art. 9 Basis", IF(OR(I4470="Invalid - Not Freely Given", I4470="Invalid - Not Specific", I4470="Invalid - Not Informed", I4470="Invalid - Ambiguous"), "Gap - Invalid Consent", "Compliant")))))</f>
        <v/>
      </c>
      <c r="O4470" s="7" t="n"/>
    </row>
    <row r="4471">
      <c r="A4471" s="7" t="n"/>
      <c r="B4471" s="7" t="n"/>
      <c r="C4471" s="7" t="n"/>
      <c r="D4471" s="7" t="n"/>
      <c r="E4471" s="7" t="n"/>
      <c r="F4471" s="7" t="n"/>
      <c r="G4471" s="7" t="n"/>
      <c r="H4471" s="7" t="n"/>
      <c r="I4471" s="7" t="n"/>
      <c r="J4471" s="7" t="n"/>
      <c r="K4471">
        <f>IF(D4471="Legitimate Interest (GDPR Art. 6(1)(f))", "Yes / Required (Sheet 3)", "")</f>
        <v/>
      </c>
      <c r="L4471" s="7" t="n"/>
      <c r="M4471" s="7" t="n"/>
      <c r="N4471">
        <f>IF(D4471="", "Gap - No Legal Basis", IF(AND(D4471="Consent (GDPR Art. 6(1)(a))", I4471="Not Captured"), "Gap - Invalid Consent", IF(AND(D4471="Legitimate Interest (GDPR Art. 6(1)(f))", L4471=""), "Gap - Missing LIA", IF(AND(G4471="Yes", H4471=""), "Gap - Missing Art. 9 Basis", IF(OR(I4471="Invalid - Not Freely Given", I4471="Invalid - Not Specific", I4471="Invalid - Not Informed", I4471="Invalid - Ambiguous"), "Gap - Invalid Consent", "Compliant")))))</f>
        <v/>
      </c>
      <c r="O4471" s="7" t="n"/>
    </row>
    <row r="4472">
      <c r="A4472" s="7" t="n"/>
      <c r="B4472" s="7" t="n"/>
      <c r="C4472" s="7" t="n"/>
      <c r="D4472" s="7" t="n"/>
      <c r="E4472" s="7" t="n"/>
      <c r="F4472" s="7" t="n"/>
      <c r="G4472" s="7" t="n"/>
      <c r="H4472" s="7" t="n"/>
      <c r="I4472" s="7" t="n"/>
      <c r="J4472" s="7" t="n"/>
      <c r="K4472">
        <f>IF(D4472="Legitimate Interest (GDPR Art. 6(1)(f))", "Yes / Required (Sheet 3)", "")</f>
        <v/>
      </c>
      <c r="L4472" s="7" t="n"/>
      <c r="M4472" s="7" t="n"/>
      <c r="N4472">
        <f>IF(D4472="", "Gap - No Legal Basis", IF(AND(D4472="Consent (GDPR Art. 6(1)(a))", I4472="Not Captured"), "Gap - Invalid Consent", IF(AND(D4472="Legitimate Interest (GDPR Art. 6(1)(f))", L4472=""), "Gap - Missing LIA", IF(AND(G4472="Yes", H4472=""), "Gap - Missing Art. 9 Basis", IF(OR(I4472="Invalid - Not Freely Given", I4472="Invalid - Not Specific", I4472="Invalid - Not Informed", I4472="Invalid - Ambiguous"), "Gap - Invalid Consent", "Compliant")))))</f>
        <v/>
      </c>
      <c r="O4472" s="7" t="n"/>
    </row>
    <row r="4473">
      <c r="A4473" s="7" t="n"/>
      <c r="B4473" s="7" t="n"/>
      <c r="C4473" s="7" t="n"/>
      <c r="D4473" s="7" t="n"/>
      <c r="E4473" s="7" t="n"/>
      <c r="F4473" s="7" t="n"/>
      <c r="G4473" s="7" t="n"/>
      <c r="H4473" s="7" t="n"/>
      <c r="I4473" s="7" t="n"/>
      <c r="J4473" s="7" t="n"/>
      <c r="K4473">
        <f>IF(D4473="Legitimate Interest (GDPR Art. 6(1)(f))", "Yes / Required (Sheet 3)", "")</f>
        <v/>
      </c>
      <c r="L4473" s="7" t="n"/>
      <c r="M4473" s="7" t="n"/>
      <c r="N4473">
        <f>IF(D4473="", "Gap - No Legal Basis", IF(AND(D4473="Consent (GDPR Art. 6(1)(a))", I4473="Not Captured"), "Gap - Invalid Consent", IF(AND(D4473="Legitimate Interest (GDPR Art. 6(1)(f))", L4473=""), "Gap - Missing LIA", IF(AND(G4473="Yes", H4473=""), "Gap - Missing Art. 9 Basis", IF(OR(I4473="Invalid - Not Freely Given", I4473="Invalid - Not Specific", I4473="Invalid - Not Informed", I4473="Invalid - Ambiguous"), "Gap - Invalid Consent", "Compliant")))))</f>
        <v/>
      </c>
      <c r="O4473" s="7" t="n"/>
    </row>
    <row r="4474">
      <c r="A4474" s="7" t="n"/>
      <c r="B4474" s="7" t="n"/>
      <c r="C4474" s="7" t="n"/>
      <c r="D4474" s="7" t="n"/>
      <c r="E4474" s="7" t="n"/>
      <c r="F4474" s="7" t="n"/>
      <c r="G4474" s="7" t="n"/>
      <c r="H4474" s="7" t="n"/>
      <c r="I4474" s="7" t="n"/>
      <c r="J4474" s="7" t="n"/>
      <c r="K4474">
        <f>IF(D4474="Legitimate Interest (GDPR Art. 6(1)(f))", "Yes / Required (Sheet 3)", "")</f>
        <v/>
      </c>
      <c r="L4474" s="7" t="n"/>
      <c r="M4474" s="7" t="n"/>
      <c r="N4474">
        <f>IF(D4474="", "Gap - No Legal Basis", IF(AND(D4474="Consent (GDPR Art. 6(1)(a))", I4474="Not Captured"), "Gap - Invalid Consent", IF(AND(D4474="Legitimate Interest (GDPR Art. 6(1)(f))", L4474=""), "Gap - Missing LIA", IF(AND(G4474="Yes", H4474=""), "Gap - Missing Art. 9 Basis", IF(OR(I4474="Invalid - Not Freely Given", I4474="Invalid - Not Specific", I4474="Invalid - Not Informed", I4474="Invalid - Ambiguous"), "Gap - Invalid Consent", "Compliant")))))</f>
        <v/>
      </c>
      <c r="O4474" s="7" t="n"/>
    </row>
    <row r="4475">
      <c r="A4475" s="7" t="n"/>
      <c r="B4475" s="7" t="n"/>
      <c r="C4475" s="7" t="n"/>
      <c r="D4475" s="7" t="n"/>
      <c r="E4475" s="7" t="n"/>
      <c r="F4475" s="7" t="n"/>
      <c r="G4475" s="7" t="n"/>
      <c r="H4475" s="7" t="n"/>
      <c r="I4475" s="7" t="n"/>
      <c r="J4475" s="7" t="n"/>
      <c r="K4475">
        <f>IF(D4475="Legitimate Interest (GDPR Art. 6(1)(f))", "Yes / Required (Sheet 3)", "")</f>
        <v/>
      </c>
      <c r="L4475" s="7" t="n"/>
      <c r="M4475" s="7" t="n"/>
      <c r="N4475">
        <f>IF(D4475="", "Gap - No Legal Basis", IF(AND(D4475="Consent (GDPR Art. 6(1)(a))", I4475="Not Captured"), "Gap - Invalid Consent", IF(AND(D4475="Legitimate Interest (GDPR Art. 6(1)(f))", L4475=""), "Gap - Missing LIA", IF(AND(G4475="Yes", H4475=""), "Gap - Missing Art. 9 Basis", IF(OR(I4475="Invalid - Not Freely Given", I4475="Invalid - Not Specific", I4475="Invalid - Not Informed", I4475="Invalid - Ambiguous"), "Gap - Invalid Consent", "Compliant")))))</f>
        <v/>
      </c>
      <c r="O4475" s="7" t="n"/>
    </row>
    <row r="4476">
      <c r="A4476" s="7" t="n"/>
      <c r="B4476" s="7" t="n"/>
      <c r="C4476" s="7" t="n"/>
      <c r="D4476" s="7" t="n"/>
      <c r="E4476" s="7" t="n"/>
      <c r="F4476" s="7" t="n"/>
      <c r="G4476" s="7" t="n"/>
      <c r="H4476" s="7" t="n"/>
      <c r="I4476" s="7" t="n"/>
      <c r="J4476" s="7" t="n"/>
      <c r="K4476">
        <f>IF(D4476="Legitimate Interest (GDPR Art. 6(1)(f))", "Yes / Required (Sheet 3)", "")</f>
        <v/>
      </c>
      <c r="L4476" s="7" t="n"/>
      <c r="M4476" s="7" t="n"/>
      <c r="N4476">
        <f>IF(D4476="", "Gap - No Legal Basis", IF(AND(D4476="Consent (GDPR Art. 6(1)(a))", I4476="Not Captured"), "Gap - Invalid Consent", IF(AND(D4476="Legitimate Interest (GDPR Art. 6(1)(f))", L4476=""), "Gap - Missing LIA", IF(AND(G4476="Yes", H4476=""), "Gap - Missing Art. 9 Basis", IF(OR(I4476="Invalid - Not Freely Given", I4476="Invalid - Not Specific", I4476="Invalid - Not Informed", I4476="Invalid - Ambiguous"), "Gap - Invalid Consent", "Compliant")))))</f>
        <v/>
      </c>
      <c r="O4476" s="7" t="n"/>
    </row>
    <row r="4477">
      <c r="A4477" s="7" t="n"/>
      <c r="B4477" s="7" t="n"/>
      <c r="C4477" s="7" t="n"/>
      <c r="D4477" s="7" t="n"/>
      <c r="E4477" s="7" t="n"/>
      <c r="F4477" s="7" t="n"/>
      <c r="G4477" s="7" t="n"/>
      <c r="H4477" s="7" t="n"/>
      <c r="I4477" s="7" t="n"/>
      <c r="J4477" s="7" t="n"/>
      <c r="K4477">
        <f>IF(D4477="Legitimate Interest (GDPR Art. 6(1)(f))", "Yes / Required (Sheet 3)", "")</f>
        <v/>
      </c>
      <c r="L4477" s="7" t="n"/>
      <c r="M4477" s="7" t="n"/>
      <c r="N4477">
        <f>IF(D4477="", "Gap - No Legal Basis", IF(AND(D4477="Consent (GDPR Art. 6(1)(a))", I4477="Not Captured"), "Gap - Invalid Consent", IF(AND(D4477="Legitimate Interest (GDPR Art. 6(1)(f))", L4477=""), "Gap - Missing LIA", IF(AND(G4477="Yes", H4477=""), "Gap - Missing Art. 9 Basis", IF(OR(I4477="Invalid - Not Freely Given", I4477="Invalid - Not Specific", I4477="Invalid - Not Informed", I4477="Invalid - Ambiguous"), "Gap - Invalid Consent", "Compliant")))))</f>
        <v/>
      </c>
      <c r="O4477" s="7" t="n"/>
    </row>
    <row r="4478">
      <c r="A4478" s="7" t="n"/>
      <c r="B4478" s="7" t="n"/>
      <c r="C4478" s="7" t="n"/>
      <c r="D4478" s="7" t="n"/>
      <c r="E4478" s="7" t="n"/>
      <c r="F4478" s="7" t="n"/>
      <c r="G4478" s="7" t="n"/>
      <c r="H4478" s="7" t="n"/>
      <c r="I4478" s="7" t="n"/>
      <c r="J4478" s="7" t="n"/>
      <c r="K4478">
        <f>IF(D4478="Legitimate Interest (GDPR Art. 6(1)(f))", "Yes / Required (Sheet 3)", "")</f>
        <v/>
      </c>
      <c r="L4478" s="7" t="n"/>
      <c r="M4478" s="7" t="n"/>
      <c r="N4478">
        <f>IF(D4478="", "Gap - No Legal Basis", IF(AND(D4478="Consent (GDPR Art. 6(1)(a))", I4478="Not Captured"), "Gap - Invalid Consent", IF(AND(D4478="Legitimate Interest (GDPR Art. 6(1)(f))", L4478=""), "Gap - Missing LIA", IF(AND(G4478="Yes", H4478=""), "Gap - Missing Art. 9 Basis", IF(OR(I4478="Invalid - Not Freely Given", I4478="Invalid - Not Specific", I4478="Invalid - Not Informed", I4478="Invalid - Ambiguous"), "Gap - Invalid Consent", "Compliant")))))</f>
        <v/>
      </c>
      <c r="O4478" s="7" t="n"/>
    </row>
    <row r="4479">
      <c r="A4479" s="7" t="n"/>
      <c r="B4479" s="7" t="n"/>
      <c r="C4479" s="7" t="n"/>
      <c r="D4479" s="7" t="n"/>
      <c r="E4479" s="7" t="n"/>
      <c r="F4479" s="7" t="n"/>
      <c r="G4479" s="7" t="n"/>
      <c r="H4479" s="7" t="n"/>
      <c r="I4479" s="7" t="n"/>
      <c r="J4479" s="7" t="n"/>
      <c r="K4479">
        <f>IF(D4479="Legitimate Interest (GDPR Art. 6(1)(f))", "Yes / Required (Sheet 3)", "")</f>
        <v/>
      </c>
      <c r="L4479" s="7" t="n"/>
      <c r="M4479" s="7" t="n"/>
      <c r="N4479">
        <f>IF(D4479="", "Gap - No Legal Basis", IF(AND(D4479="Consent (GDPR Art. 6(1)(a))", I4479="Not Captured"), "Gap - Invalid Consent", IF(AND(D4479="Legitimate Interest (GDPR Art. 6(1)(f))", L4479=""), "Gap - Missing LIA", IF(AND(G4479="Yes", H4479=""), "Gap - Missing Art. 9 Basis", IF(OR(I4479="Invalid - Not Freely Given", I4479="Invalid - Not Specific", I4479="Invalid - Not Informed", I4479="Invalid - Ambiguous"), "Gap - Invalid Consent", "Compliant")))))</f>
        <v/>
      </c>
      <c r="O4479" s="7" t="n"/>
    </row>
    <row r="4480">
      <c r="A4480" s="7" t="n"/>
      <c r="B4480" s="7" t="n"/>
      <c r="C4480" s="7" t="n"/>
      <c r="D4480" s="7" t="n"/>
      <c r="E4480" s="7" t="n"/>
      <c r="F4480" s="7" t="n"/>
      <c r="G4480" s="7" t="n"/>
      <c r="H4480" s="7" t="n"/>
      <c r="I4480" s="7" t="n"/>
      <c r="J4480" s="7" t="n"/>
      <c r="K4480">
        <f>IF(D4480="Legitimate Interest (GDPR Art. 6(1)(f))", "Yes / Required (Sheet 3)", "")</f>
        <v/>
      </c>
      <c r="L4480" s="7" t="n"/>
      <c r="M4480" s="7" t="n"/>
      <c r="N4480">
        <f>IF(D4480="", "Gap - No Legal Basis", IF(AND(D4480="Consent (GDPR Art. 6(1)(a))", I4480="Not Captured"), "Gap - Invalid Consent", IF(AND(D4480="Legitimate Interest (GDPR Art. 6(1)(f))", L4480=""), "Gap - Missing LIA", IF(AND(G4480="Yes", H4480=""), "Gap - Missing Art. 9 Basis", IF(OR(I4480="Invalid - Not Freely Given", I4480="Invalid - Not Specific", I4480="Invalid - Not Informed", I4480="Invalid - Ambiguous"), "Gap - Invalid Consent", "Compliant")))))</f>
        <v/>
      </c>
      <c r="O4480" s="7" t="n"/>
    </row>
    <row r="4481">
      <c r="A4481" s="7" t="n"/>
      <c r="B4481" s="7" t="n"/>
      <c r="C4481" s="7" t="n"/>
      <c r="D4481" s="7" t="n"/>
      <c r="E4481" s="7" t="n"/>
      <c r="F4481" s="7" t="n"/>
      <c r="G4481" s="7" t="n"/>
      <c r="H4481" s="7" t="n"/>
      <c r="I4481" s="7" t="n"/>
      <c r="J4481" s="7" t="n"/>
      <c r="K4481">
        <f>IF(D4481="Legitimate Interest (GDPR Art. 6(1)(f))", "Yes / Required (Sheet 3)", "")</f>
        <v/>
      </c>
      <c r="L4481" s="7" t="n"/>
      <c r="M4481" s="7" t="n"/>
      <c r="N4481">
        <f>IF(D4481="", "Gap - No Legal Basis", IF(AND(D4481="Consent (GDPR Art. 6(1)(a))", I4481="Not Captured"), "Gap - Invalid Consent", IF(AND(D4481="Legitimate Interest (GDPR Art. 6(1)(f))", L4481=""), "Gap - Missing LIA", IF(AND(G4481="Yes", H4481=""), "Gap - Missing Art. 9 Basis", IF(OR(I4481="Invalid - Not Freely Given", I4481="Invalid - Not Specific", I4481="Invalid - Not Informed", I4481="Invalid - Ambiguous"), "Gap - Invalid Consent", "Compliant")))))</f>
        <v/>
      </c>
      <c r="O4481" s="7" t="n"/>
    </row>
    <row r="4482">
      <c r="A4482" s="7" t="n"/>
      <c r="B4482" s="7" t="n"/>
      <c r="C4482" s="7" t="n"/>
      <c r="D4482" s="7" t="n"/>
      <c r="E4482" s="7" t="n"/>
      <c r="F4482" s="7" t="n"/>
      <c r="G4482" s="7" t="n"/>
      <c r="H4482" s="7" t="n"/>
      <c r="I4482" s="7" t="n"/>
      <c r="J4482" s="7" t="n"/>
      <c r="K4482">
        <f>IF(D4482="Legitimate Interest (GDPR Art. 6(1)(f))", "Yes / Required (Sheet 3)", "")</f>
        <v/>
      </c>
      <c r="L4482" s="7" t="n"/>
      <c r="M4482" s="7" t="n"/>
      <c r="N4482">
        <f>IF(D4482="", "Gap - No Legal Basis", IF(AND(D4482="Consent (GDPR Art. 6(1)(a))", I4482="Not Captured"), "Gap - Invalid Consent", IF(AND(D4482="Legitimate Interest (GDPR Art. 6(1)(f))", L4482=""), "Gap - Missing LIA", IF(AND(G4482="Yes", H4482=""), "Gap - Missing Art. 9 Basis", IF(OR(I4482="Invalid - Not Freely Given", I4482="Invalid - Not Specific", I4482="Invalid - Not Informed", I4482="Invalid - Ambiguous"), "Gap - Invalid Consent", "Compliant")))))</f>
        <v/>
      </c>
      <c r="O4482" s="7" t="n"/>
    </row>
    <row r="4483">
      <c r="A4483" s="7" t="n"/>
      <c r="B4483" s="7" t="n"/>
      <c r="C4483" s="7" t="n"/>
      <c r="D4483" s="7" t="n"/>
      <c r="E4483" s="7" t="n"/>
      <c r="F4483" s="7" t="n"/>
      <c r="G4483" s="7" t="n"/>
      <c r="H4483" s="7" t="n"/>
      <c r="I4483" s="7" t="n"/>
      <c r="J4483" s="7" t="n"/>
      <c r="K4483">
        <f>IF(D4483="Legitimate Interest (GDPR Art. 6(1)(f))", "Yes / Required (Sheet 3)", "")</f>
        <v/>
      </c>
      <c r="L4483" s="7" t="n"/>
      <c r="M4483" s="7" t="n"/>
      <c r="N4483">
        <f>IF(D4483="", "Gap - No Legal Basis", IF(AND(D4483="Consent (GDPR Art. 6(1)(a))", I4483="Not Captured"), "Gap - Invalid Consent", IF(AND(D4483="Legitimate Interest (GDPR Art. 6(1)(f))", L4483=""), "Gap - Missing LIA", IF(AND(G4483="Yes", H4483=""), "Gap - Missing Art. 9 Basis", IF(OR(I4483="Invalid - Not Freely Given", I4483="Invalid - Not Specific", I4483="Invalid - Not Informed", I4483="Invalid - Ambiguous"), "Gap - Invalid Consent", "Compliant")))))</f>
        <v/>
      </c>
      <c r="O4483" s="7" t="n"/>
    </row>
    <row r="4484">
      <c r="A4484" s="7" t="n"/>
      <c r="B4484" s="7" t="n"/>
      <c r="C4484" s="7" t="n"/>
      <c r="D4484" s="7" t="n"/>
      <c r="E4484" s="7" t="n"/>
      <c r="F4484" s="7" t="n"/>
      <c r="G4484" s="7" t="n"/>
      <c r="H4484" s="7" t="n"/>
      <c r="I4484" s="7" t="n"/>
      <c r="J4484" s="7" t="n"/>
      <c r="K4484">
        <f>IF(D4484="Legitimate Interest (GDPR Art. 6(1)(f))", "Yes / Required (Sheet 3)", "")</f>
        <v/>
      </c>
      <c r="L4484" s="7" t="n"/>
      <c r="M4484" s="7" t="n"/>
      <c r="N4484">
        <f>IF(D4484="", "Gap - No Legal Basis", IF(AND(D4484="Consent (GDPR Art. 6(1)(a))", I4484="Not Captured"), "Gap - Invalid Consent", IF(AND(D4484="Legitimate Interest (GDPR Art. 6(1)(f))", L4484=""), "Gap - Missing LIA", IF(AND(G4484="Yes", H4484=""), "Gap - Missing Art. 9 Basis", IF(OR(I4484="Invalid - Not Freely Given", I4484="Invalid - Not Specific", I4484="Invalid - Not Informed", I4484="Invalid - Ambiguous"), "Gap - Invalid Consent", "Compliant")))))</f>
        <v/>
      </c>
      <c r="O4484" s="7" t="n"/>
    </row>
    <row r="4485">
      <c r="A4485" s="7" t="n"/>
      <c r="B4485" s="7" t="n"/>
      <c r="C4485" s="7" t="n"/>
      <c r="D4485" s="7" t="n"/>
      <c r="E4485" s="7" t="n"/>
      <c r="F4485" s="7" t="n"/>
      <c r="G4485" s="7" t="n"/>
      <c r="H4485" s="7" t="n"/>
      <c r="I4485" s="7" t="n"/>
      <c r="J4485" s="7" t="n"/>
      <c r="K4485">
        <f>IF(D4485="Legitimate Interest (GDPR Art. 6(1)(f))", "Yes / Required (Sheet 3)", "")</f>
        <v/>
      </c>
      <c r="L4485" s="7" t="n"/>
      <c r="M4485" s="7" t="n"/>
      <c r="N4485">
        <f>IF(D4485="", "Gap - No Legal Basis", IF(AND(D4485="Consent (GDPR Art. 6(1)(a))", I4485="Not Captured"), "Gap - Invalid Consent", IF(AND(D4485="Legitimate Interest (GDPR Art. 6(1)(f))", L4485=""), "Gap - Missing LIA", IF(AND(G4485="Yes", H4485=""), "Gap - Missing Art. 9 Basis", IF(OR(I4485="Invalid - Not Freely Given", I4485="Invalid - Not Specific", I4485="Invalid - Not Informed", I4485="Invalid - Ambiguous"), "Gap - Invalid Consent", "Compliant")))))</f>
        <v/>
      </c>
      <c r="O4485" s="7" t="n"/>
    </row>
    <row r="4486">
      <c r="A4486" s="7" t="n"/>
      <c r="B4486" s="7" t="n"/>
      <c r="C4486" s="7" t="n"/>
      <c r="D4486" s="7" t="n"/>
      <c r="E4486" s="7" t="n"/>
      <c r="F4486" s="7" t="n"/>
      <c r="G4486" s="7" t="n"/>
      <c r="H4486" s="7" t="n"/>
      <c r="I4486" s="7" t="n"/>
      <c r="J4486" s="7" t="n"/>
      <c r="K4486">
        <f>IF(D4486="Legitimate Interest (GDPR Art. 6(1)(f))", "Yes / Required (Sheet 3)", "")</f>
        <v/>
      </c>
      <c r="L4486" s="7" t="n"/>
      <c r="M4486" s="7" t="n"/>
      <c r="N4486">
        <f>IF(D4486="", "Gap - No Legal Basis", IF(AND(D4486="Consent (GDPR Art. 6(1)(a))", I4486="Not Captured"), "Gap - Invalid Consent", IF(AND(D4486="Legitimate Interest (GDPR Art. 6(1)(f))", L4486=""), "Gap - Missing LIA", IF(AND(G4486="Yes", H4486=""), "Gap - Missing Art. 9 Basis", IF(OR(I4486="Invalid - Not Freely Given", I4486="Invalid - Not Specific", I4486="Invalid - Not Informed", I4486="Invalid - Ambiguous"), "Gap - Invalid Consent", "Compliant")))))</f>
        <v/>
      </c>
      <c r="O4486" s="7" t="n"/>
    </row>
    <row r="4487">
      <c r="A4487" s="7" t="n"/>
      <c r="B4487" s="7" t="n"/>
      <c r="C4487" s="7" t="n"/>
      <c r="D4487" s="7" t="n"/>
      <c r="E4487" s="7" t="n"/>
      <c r="F4487" s="7" t="n"/>
      <c r="G4487" s="7" t="n"/>
      <c r="H4487" s="7" t="n"/>
      <c r="I4487" s="7" t="n"/>
      <c r="J4487" s="7" t="n"/>
      <c r="K4487">
        <f>IF(D4487="Legitimate Interest (GDPR Art. 6(1)(f))", "Yes / Required (Sheet 3)", "")</f>
        <v/>
      </c>
      <c r="L4487" s="7" t="n"/>
      <c r="M4487" s="7" t="n"/>
      <c r="N4487">
        <f>IF(D4487="", "Gap - No Legal Basis", IF(AND(D4487="Consent (GDPR Art. 6(1)(a))", I4487="Not Captured"), "Gap - Invalid Consent", IF(AND(D4487="Legitimate Interest (GDPR Art. 6(1)(f))", L4487=""), "Gap - Missing LIA", IF(AND(G4487="Yes", H4487=""), "Gap - Missing Art. 9 Basis", IF(OR(I4487="Invalid - Not Freely Given", I4487="Invalid - Not Specific", I4487="Invalid - Not Informed", I4487="Invalid - Ambiguous"), "Gap - Invalid Consent", "Compliant")))))</f>
        <v/>
      </c>
      <c r="O4487" s="7" t="n"/>
    </row>
    <row r="4488">
      <c r="A4488" s="7" t="n"/>
      <c r="B4488" s="7" t="n"/>
      <c r="C4488" s="7" t="n"/>
      <c r="D4488" s="7" t="n"/>
      <c r="E4488" s="7" t="n"/>
      <c r="F4488" s="7" t="n"/>
      <c r="G4488" s="7" t="n"/>
      <c r="H4488" s="7" t="n"/>
      <c r="I4488" s="7" t="n"/>
      <c r="J4488" s="7" t="n"/>
      <c r="K4488">
        <f>IF(D4488="Legitimate Interest (GDPR Art. 6(1)(f))", "Yes / Required (Sheet 3)", "")</f>
        <v/>
      </c>
      <c r="L4488" s="7" t="n"/>
      <c r="M4488" s="7" t="n"/>
      <c r="N4488">
        <f>IF(D4488="", "Gap - No Legal Basis", IF(AND(D4488="Consent (GDPR Art. 6(1)(a))", I4488="Not Captured"), "Gap - Invalid Consent", IF(AND(D4488="Legitimate Interest (GDPR Art. 6(1)(f))", L4488=""), "Gap - Missing LIA", IF(AND(G4488="Yes", H4488=""), "Gap - Missing Art. 9 Basis", IF(OR(I4488="Invalid - Not Freely Given", I4488="Invalid - Not Specific", I4488="Invalid - Not Informed", I4488="Invalid - Ambiguous"), "Gap - Invalid Consent", "Compliant")))))</f>
        <v/>
      </c>
      <c r="O4488" s="7" t="n"/>
    </row>
    <row r="4489">
      <c r="A4489" s="7" t="n"/>
      <c r="B4489" s="7" t="n"/>
      <c r="C4489" s="7" t="n"/>
      <c r="D4489" s="7" t="n"/>
      <c r="E4489" s="7" t="n"/>
      <c r="F4489" s="7" t="n"/>
      <c r="G4489" s="7" t="n"/>
      <c r="H4489" s="7" t="n"/>
      <c r="I4489" s="7" t="n"/>
      <c r="J4489" s="7" t="n"/>
      <c r="K4489">
        <f>IF(D4489="Legitimate Interest (GDPR Art. 6(1)(f))", "Yes / Required (Sheet 3)", "")</f>
        <v/>
      </c>
      <c r="L4489" s="7" t="n"/>
      <c r="M4489" s="7" t="n"/>
      <c r="N4489">
        <f>IF(D4489="", "Gap - No Legal Basis", IF(AND(D4489="Consent (GDPR Art. 6(1)(a))", I4489="Not Captured"), "Gap - Invalid Consent", IF(AND(D4489="Legitimate Interest (GDPR Art. 6(1)(f))", L4489=""), "Gap - Missing LIA", IF(AND(G4489="Yes", H4489=""), "Gap - Missing Art. 9 Basis", IF(OR(I4489="Invalid - Not Freely Given", I4489="Invalid - Not Specific", I4489="Invalid - Not Informed", I4489="Invalid - Ambiguous"), "Gap - Invalid Consent", "Compliant")))))</f>
        <v/>
      </c>
      <c r="O4489" s="7" t="n"/>
    </row>
    <row r="4490">
      <c r="A4490" s="7" t="n"/>
      <c r="B4490" s="7" t="n"/>
      <c r="C4490" s="7" t="n"/>
      <c r="D4490" s="7" t="n"/>
      <c r="E4490" s="7" t="n"/>
      <c r="F4490" s="7" t="n"/>
      <c r="G4490" s="7" t="n"/>
      <c r="H4490" s="7" t="n"/>
      <c r="I4490" s="7" t="n"/>
      <c r="J4490" s="7" t="n"/>
      <c r="K4490">
        <f>IF(D4490="Legitimate Interest (GDPR Art. 6(1)(f))", "Yes / Required (Sheet 3)", "")</f>
        <v/>
      </c>
      <c r="L4490" s="7" t="n"/>
      <c r="M4490" s="7" t="n"/>
      <c r="N4490">
        <f>IF(D4490="", "Gap - No Legal Basis", IF(AND(D4490="Consent (GDPR Art. 6(1)(a))", I4490="Not Captured"), "Gap - Invalid Consent", IF(AND(D4490="Legitimate Interest (GDPR Art. 6(1)(f))", L4490=""), "Gap - Missing LIA", IF(AND(G4490="Yes", H4490=""), "Gap - Missing Art. 9 Basis", IF(OR(I4490="Invalid - Not Freely Given", I4490="Invalid - Not Specific", I4490="Invalid - Not Informed", I4490="Invalid - Ambiguous"), "Gap - Invalid Consent", "Compliant")))))</f>
        <v/>
      </c>
      <c r="O4490" s="7" t="n"/>
    </row>
    <row r="4491">
      <c r="A4491" s="7" t="n"/>
      <c r="B4491" s="7" t="n"/>
      <c r="C4491" s="7" t="n"/>
      <c r="D4491" s="7" t="n"/>
      <c r="E4491" s="7" t="n"/>
      <c r="F4491" s="7" t="n"/>
      <c r="G4491" s="7" t="n"/>
      <c r="H4491" s="7" t="n"/>
      <c r="I4491" s="7" t="n"/>
      <c r="J4491" s="7" t="n"/>
      <c r="K4491">
        <f>IF(D4491="Legitimate Interest (GDPR Art. 6(1)(f))", "Yes / Required (Sheet 3)", "")</f>
        <v/>
      </c>
      <c r="L4491" s="7" t="n"/>
      <c r="M4491" s="7" t="n"/>
      <c r="N4491">
        <f>IF(D4491="", "Gap - No Legal Basis", IF(AND(D4491="Consent (GDPR Art. 6(1)(a))", I4491="Not Captured"), "Gap - Invalid Consent", IF(AND(D4491="Legitimate Interest (GDPR Art. 6(1)(f))", L4491=""), "Gap - Missing LIA", IF(AND(G4491="Yes", H4491=""), "Gap - Missing Art. 9 Basis", IF(OR(I4491="Invalid - Not Freely Given", I4491="Invalid - Not Specific", I4491="Invalid - Not Informed", I4491="Invalid - Ambiguous"), "Gap - Invalid Consent", "Compliant")))))</f>
        <v/>
      </c>
      <c r="O4491" s="7" t="n"/>
    </row>
    <row r="4492">
      <c r="A4492" s="7" t="n"/>
      <c r="B4492" s="7" t="n"/>
      <c r="C4492" s="7" t="n"/>
      <c r="D4492" s="7" t="n"/>
      <c r="E4492" s="7" t="n"/>
      <c r="F4492" s="7" t="n"/>
      <c r="G4492" s="7" t="n"/>
      <c r="H4492" s="7" t="n"/>
      <c r="I4492" s="7" t="n"/>
      <c r="J4492" s="7" t="n"/>
      <c r="K4492">
        <f>IF(D4492="Legitimate Interest (GDPR Art. 6(1)(f))", "Yes / Required (Sheet 3)", "")</f>
        <v/>
      </c>
      <c r="L4492" s="7" t="n"/>
      <c r="M4492" s="7" t="n"/>
      <c r="N4492">
        <f>IF(D4492="", "Gap - No Legal Basis", IF(AND(D4492="Consent (GDPR Art. 6(1)(a))", I4492="Not Captured"), "Gap - Invalid Consent", IF(AND(D4492="Legitimate Interest (GDPR Art. 6(1)(f))", L4492=""), "Gap - Missing LIA", IF(AND(G4492="Yes", H4492=""), "Gap - Missing Art. 9 Basis", IF(OR(I4492="Invalid - Not Freely Given", I4492="Invalid - Not Specific", I4492="Invalid - Not Informed", I4492="Invalid - Ambiguous"), "Gap - Invalid Consent", "Compliant")))))</f>
        <v/>
      </c>
      <c r="O4492" s="7" t="n"/>
    </row>
    <row r="4493">
      <c r="A4493" s="7" t="n"/>
      <c r="B4493" s="7" t="n"/>
      <c r="C4493" s="7" t="n"/>
      <c r="D4493" s="7" t="n"/>
      <c r="E4493" s="7" t="n"/>
      <c r="F4493" s="7" t="n"/>
      <c r="G4493" s="7" t="n"/>
      <c r="H4493" s="7" t="n"/>
      <c r="I4493" s="7" t="n"/>
      <c r="J4493" s="7" t="n"/>
      <c r="K4493">
        <f>IF(D4493="Legitimate Interest (GDPR Art. 6(1)(f))", "Yes / Required (Sheet 3)", "")</f>
        <v/>
      </c>
      <c r="L4493" s="7" t="n"/>
      <c r="M4493" s="7" t="n"/>
      <c r="N4493">
        <f>IF(D4493="", "Gap - No Legal Basis", IF(AND(D4493="Consent (GDPR Art. 6(1)(a))", I4493="Not Captured"), "Gap - Invalid Consent", IF(AND(D4493="Legitimate Interest (GDPR Art. 6(1)(f))", L4493=""), "Gap - Missing LIA", IF(AND(G4493="Yes", H4493=""), "Gap - Missing Art. 9 Basis", IF(OR(I4493="Invalid - Not Freely Given", I4493="Invalid - Not Specific", I4493="Invalid - Not Informed", I4493="Invalid - Ambiguous"), "Gap - Invalid Consent", "Compliant")))))</f>
        <v/>
      </c>
      <c r="O4493" s="7" t="n"/>
    </row>
    <row r="4494">
      <c r="A4494" s="7" t="n"/>
      <c r="B4494" s="7" t="n"/>
      <c r="C4494" s="7" t="n"/>
      <c r="D4494" s="7" t="n"/>
      <c r="E4494" s="7" t="n"/>
      <c r="F4494" s="7" t="n"/>
      <c r="G4494" s="7" t="n"/>
      <c r="H4494" s="7" t="n"/>
      <c r="I4494" s="7" t="n"/>
      <c r="J4494" s="7" t="n"/>
      <c r="K4494">
        <f>IF(D4494="Legitimate Interest (GDPR Art. 6(1)(f))", "Yes / Required (Sheet 3)", "")</f>
        <v/>
      </c>
      <c r="L4494" s="7" t="n"/>
      <c r="M4494" s="7" t="n"/>
      <c r="N4494">
        <f>IF(D4494="", "Gap - No Legal Basis", IF(AND(D4494="Consent (GDPR Art. 6(1)(a))", I4494="Not Captured"), "Gap - Invalid Consent", IF(AND(D4494="Legitimate Interest (GDPR Art. 6(1)(f))", L4494=""), "Gap - Missing LIA", IF(AND(G4494="Yes", H4494=""), "Gap - Missing Art. 9 Basis", IF(OR(I4494="Invalid - Not Freely Given", I4494="Invalid - Not Specific", I4494="Invalid - Not Informed", I4494="Invalid - Ambiguous"), "Gap - Invalid Consent", "Compliant")))))</f>
        <v/>
      </c>
      <c r="O4494" s="7" t="n"/>
    </row>
    <row r="4495">
      <c r="A4495" s="7" t="n"/>
      <c r="B4495" s="7" t="n"/>
      <c r="C4495" s="7" t="n"/>
      <c r="D4495" s="7" t="n"/>
      <c r="E4495" s="7" t="n"/>
      <c r="F4495" s="7" t="n"/>
      <c r="G4495" s="7" t="n"/>
      <c r="H4495" s="7" t="n"/>
      <c r="I4495" s="7" t="n"/>
      <c r="J4495" s="7" t="n"/>
      <c r="K4495">
        <f>IF(D4495="Legitimate Interest (GDPR Art. 6(1)(f))", "Yes / Required (Sheet 3)", "")</f>
        <v/>
      </c>
      <c r="L4495" s="7" t="n"/>
      <c r="M4495" s="7" t="n"/>
      <c r="N4495">
        <f>IF(D4495="", "Gap - No Legal Basis", IF(AND(D4495="Consent (GDPR Art. 6(1)(a))", I4495="Not Captured"), "Gap - Invalid Consent", IF(AND(D4495="Legitimate Interest (GDPR Art. 6(1)(f))", L4495=""), "Gap - Missing LIA", IF(AND(G4495="Yes", H4495=""), "Gap - Missing Art. 9 Basis", IF(OR(I4495="Invalid - Not Freely Given", I4495="Invalid - Not Specific", I4495="Invalid - Not Informed", I4495="Invalid - Ambiguous"), "Gap - Invalid Consent", "Compliant")))))</f>
        <v/>
      </c>
      <c r="O4495" s="7" t="n"/>
    </row>
    <row r="4496">
      <c r="A4496" s="7" t="n"/>
      <c r="B4496" s="7" t="n"/>
      <c r="C4496" s="7" t="n"/>
      <c r="D4496" s="7" t="n"/>
      <c r="E4496" s="7" t="n"/>
      <c r="F4496" s="7" t="n"/>
      <c r="G4496" s="7" t="n"/>
      <c r="H4496" s="7" t="n"/>
      <c r="I4496" s="7" t="n"/>
      <c r="J4496" s="7" t="n"/>
      <c r="K4496">
        <f>IF(D4496="Legitimate Interest (GDPR Art. 6(1)(f))", "Yes / Required (Sheet 3)", "")</f>
        <v/>
      </c>
      <c r="L4496" s="7" t="n"/>
      <c r="M4496" s="7" t="n"/>
      <c r="N4496">
        <f>IF(D4496="", "Gap - No Legal Basis", IF(AND(D4496="Consent (GDPR Art. 6(1)(a))", I4496="Not Captured"), "Gap - Invalid Consent", IF(AND(D4496="Legitimate Interest (GDPR Art. 6(1)(f))", L4496=""), "Gap - Missing LIA", IF(AND(G4496="Yes", H4496=""), "Gap - Missing Art. 9 Basis", IF(OR(I4496="Invalid - Not Freely Given", I4496="Invalid - Not Specific", I4496="Invalid - Not Informed", I4496="Invalid - Ambiguous"), "Gap - Invalid Consent", "Compliant")))))</f>
        <v/>
      </c>
      <c r="O4496" s="7" t="n"/>
    </row>
    <row r="4497">
      <c r="A4497" s="7" t="n"/>
      <c r="B4497" s="7" t="n"/>
      <c r="C4497" s="7" t="n"/>
      <c r="D4497" s="7" t="n"/>
      <c r="E4497" s="7" t="n"/>
      <c r="F4497" s="7" t="n"/>
      <c r="G4497" s="7" t="n"/>
      <c r="H4497" s="7" t="n"/>
      <c r="I4497" s="7" t="n"/>
      <c r="J4497" s="7" t="n"/>
      <c r="K4497">
        <f>IF(D4497="Legitimate Interest (GDPR Art. 6(1)(f))", "Yes / Required (Sheet 3)", "")</f>
        <v/>
      </c>
      <c r="L4497" s="7" t="n"/>
      <c r="M4497" s="7" t="n"/>
      <c r="N4497">
        <f>IF(D4497="", "Gap - No Legal Basis", IF(AND(D4497="Consent (GDPR Art. 6(1)(a))", I4497="Not Captured"), "Gap - Invalid Consent", IF(AND(D4497="Legitimate Interest (GDPR Art. 6(1)(f))", L4497=""), "Gap - Missing LIA", IF(AND(G4497="Yes", H4497=""), "Gap - Missing Art. 9 Basis", IF(OR(I4497="Invalid - Not Freely Given", I4497="Invalid - Not Specific", I4497="Invalid - Not Informed", I4497="Invalid - Ambiguous"), "Gap - Invalid Consent", "Compliant")))))</f>
        <v/>
      </c>
      <c r="O4497" s="7" t="n"/>
    </row>
    <row r="4498">
      <c r="A4498" s="7" t="n"/>
      <c r="B4498" s="7" t="n"/>
      <c r="C4498" s="7" t="n"/>
      <c r="D4498" s="7" t="n"/>
      <c r="E4498" s="7" t="n"/>
      <c r="F4498" s="7" t="n"/>
      <c r="G4498" s="7" t="n"/>
      <c r="H4498" s="7" t="n"/>
      <c r="I4498" s="7" t="n"/>
      <c r="J4498" s="7" t="n"/>
      <c r="K4498">
        <f>IF(D4498="Legitimate Interest (GDPR Art. 6(1)(f))", "Yes / Required (Sheet 3)", "")</f>
        <v/>
      </c>
      <c r="L4498" s="7" t="n"/>
      <c r="M4498" s="7" t="n"/>
      <c r="N4498">
        <f>IF(D4498="", "Gap - No Legal Basis", IF(AND(D4498="Consent (GDPR Art. 6(1)(a))", I4498="Not Captured"), "Gap - Invalid Consent", IF(AND(D4498="Legitimate Interest (GDPR Art. 6(1)(f))", L4498=""), "Gap - Missing LIA", IF(AND(G4498="Yes", H4498=""), "Gap - Missing Art. 9 Basis", IF(OR(I4498="Invalid - Not Freely Given", I4498="Invalid - Not Specific", I4498="Invalid - Not Informed", I4498="Invalid - Ambiguous"), "Gap - Invalid Consent", "Compliant")))))</f>
        <v/>
      </c>
      <c r="O4498" s="7" t="n"/>
    </row>
    <row r="4499">
      <c r="A4499" s="7" t="n"/>
      <c r="B4499" s="7" t="n"/>
      <c r="C4499" s="7" t="n"/>
      <c r="D4499" s="7" t="n"/>
      <c r="E4499" s="7" t="n"/>
      <c r="F4499" s="7" t="n"/>
      <c r="G4499" s="7" t="n"/>
      <c r="H4499" s="7" t="n"/>
      <c r="I4499" s="7" t="n"/>
      <c r="J4499" s="7" t="n"/>
      <c r="K4499">
        <f>IF(D4499="Legitimate Interest (GDPR Art. 6(1)(f))", "Yes / Required (Sheet 3)", "")</f>
        <v/>
      </c>
      <c r="L4499" s="7" t="n"/>
      <c r="M4499" s="7" t="n"/>
      <c r="N4499">
        <f>IF(D4499="", "Gap - No Legal Basis", IF(AND(D4499="Consent (GDPR Art. 6(1)(a))", I4499="Not Captured"), "Gap - Invalid Consent", IF(AND(D4499="Legitimate Interest (GDPR Art. 6(1)(f))", L4499=""), "Gap - Missing LIA", IF(AND(G4499="Yes", H4499=""), "Gap - Missing Art. 9 Basis", IF(OR(I4499="Invalid - Not Freely Given", I4499="Invalid - Not Specific", I4499="Invalid - Not Informed", I4499="Invalid - Ambiguous"), "Gap - Invalid Consent", "Compliant")))))</f>
        <v/>
      </c>
      <c r="O4499" s="7" t="n"/>
    </row>
    <row r="4500">
      <c r="A4500" s="7" t="n"/>
      <c r="B4500" s="7" t="n"/>
      <c r="C4500" s="7" t="n"/>
      <c r="D4500" s="7" t="n"/>
      <c r="E4500" s="7" t="n"/>
      <c r="F4500" s="7" t="n"/>
      <c r="G4500" s="7" t="n"/>
      <c r="H4500" s="7" t="n"/>
      <c r="I4500" s="7" t="n"/>
      <c r="J4500" s="7" t="n"/>
      <c r="K4500">
        <f>IF(D4500="Legitimate Interest (GDPR Art. 6(1)(f))", "Yes / Required (Sheet 3)", "")</f>
        <v/>
      </c>
      <c r="L4500" s="7" t="n"/>
      <c r="M4500" s="7" t="n"/>
      <c r="N4500">
        <f>IF(D4500="", "Gap - No Legal Basis", IF(AND(D4500="Consent (GDPR Art. 6(1)(a))", I4500="Not Captured"), "Gap - Invalid Consent", IF(AND(D4500="Legitimate Interest (GDPR Art. 6(1)(f))", L4500=""), "Gap - Missing LIA", IF(AND(G4500="Yes", H4500=""), "Gap - Missing Art. 9 Basis", IF(OR(I4500="Invalid - Not Freely Given", I4500="Invalid - Not Specific", I4500="Invalid - Not Informed", I4500="Invalid - Ambiguous"), "Gap - Invalid Consent", "Compliant")))))</f>
        <v/>
      </c>
      <c r="O4500" s="7" t="n"/>
    </row>
    <row r="4501">
      <c r="A4501" s="7" t="n"/>
      <c r="B4501" s="7" t="n"/>
      <c r="C4501" s="7" t="n"/>
      <c r="D4501" s="7" t="n"/>
      <c r="E4501" s="7" t="n"/>
      <c r="F4501" s="7" t="n"/>
      <c r="G4501" s="7" t="n"/>
      <c r="H4501" s="7" t="n"/>
      <c r="I4501" s="7" t="n"/>
      <c r="J4501" s="7" t="n"/>
      <c r="K4501">
        <f>IF(D4501="Legitimate Interest (GDPR Art. 6(1)(f))", "Yes / Required (Sheet 3)", "")</f>
        <v/>
      </c>
      <c r="L4501" s="7" t="n"/>
      <c r="M4501" s="7" t="n"/>
      <c r="N4501">
        <f>IF(D4501="", "Gap - No Legal Basis", IF(AND(D4501="Consent (GDPR Art. 6(1)(a))", I4501="Not Captured"), "Gap - Invalid Consent", IF(AND(D4501="Legitimate Interest (GDPR Art. 6(1)(f))", L4501=""), "Gap - Missing LIA", IF(AND(G4501="Yes", H4501=""), "Gap - Missing Art. 9 Basis", IF(OR(I4501="Invalid - Not Freely Given", I4501="Invalid - Not Specific", I4501="Invalid - Not Informed", I4501="Invalid - Ambiguous"), "Gap - Invalid Consent", "Compliant")))))</f>
        <v/>
      </c>
      <c r="O4501" s="7" t="n"/>
    </row>
    <row r="4502">
      <c r="A4502" s="7" t="n"/>
      <c r="B4502" s="7" t="n"/>
      <c r="C4502" s="7" t="n"/>
      <c r="D4502" s="7" t="n"/>
      <c r="E4502" s="7" t="n"/>
      <c r="F4502" s="7" t="n"/>
      <c r="G4502" s="7" t="n"/>
      <c r="H4502" s="7" t="n"/>
      <c r="I4502" s="7" t="n"/>
      <c r="J4502" s="7" t="n"/>
      <c r="K4502">
        <f>IF(D4502="Legitimate Interest (GDPR Art. 6(1)(f))", "Yes / Required (Sheet 3)", "")</f>
        <v/>
      </c>
      <c r="L4502" s="7" t="n"/>
      <c r="M4502" s="7" t="n"/>
      <c r="N4502">
        <f>IF(D4502="", "Gap - No Legal Basis", IF(AND(D4502="Consent (GDPR Art. 6(1)(a))", I4502="Not Captured"), "Gap - Invalid Consent", IF(AND(D4502="Legitimate Interest (GDPR Art. 6(1)(f))", L4502=""), "Gap - Missing LIA", IF(AND(G4502="Yes", H4502=""), "Gap - Missing Art. 9 Basis", IF(OR(I4502="Invalid - Not Freely Given", I4502="Invalid - Not Specific", I4502="Invalid - Not Informed", I4502="Invalid - Ambiguous"), "Gap - Invalid Consent", "Compliant")))))</f>
        <v/>
      </c>
      <c r="O4502" s="7" t="n"/>
    </row>
    <row r="4503">
      <c r="A4503" s="7" t="n"/>
      <c r="B4503" s="7" t="n"/>
      <c r="C4503" s="7" t="n"/>
      <c r="D4503" s="7" t="n"/>
      <c r="E4503" s="7" t="n"/>
      <c r="F4503" s="7" t="n"/>
      <c r="G4503" s="7" t="n"/>
      <c r="H4503" s="7" t="n"/>
      <c r="I4503" s="7" t="n"/>
      <c r="J4503" s="7" t="n"/>
      <c r="K4503">
        <f>IF(D4503="Legitimate Interest (GDPR Art. 6(1)(f))", "Yes / Required (Sheet 3)", "")</f>
        <v/>
      </c>
      <c r="L4503" s="7" t="n"/>
      <c r="M4503" s="7" t="n"/>
      <c r="N4503">
        <f>IF(D4503="", "Gap - No Legal Basis", IF(AND(D4503="Consent (GDPR Art. 6(1)(a))", I4503="Not Captured"), "Gap - Invalid Consent", IF(AND(D4503="Legitimate Interest (GDPR Art. 6(1)(f))", L4503=""), "Gap - Missing LIA", IF(AND(G4503="Yes", H4503=""), "Gap - Missing Art. 9 Basis", IF(OR(I4503="Invalid - Not Freely Given", I4503="Invalid - Not Specific", I4503="Invalid - Not Informed", I4503="Invalid - Ambiguous"), "Gap - Invalid Consent", "Compliant")))))</f>
        <v/>
      </c>
      <c r="O4503" s="7" t="n"/>
    </row>
    <row r="4504">
      <c r="A4504" s="7" t="n"/>
      <c r="B4504" s="7" t="n"/>
      <c r="C4504" s="7" t="n"/>
      <c r="D4504" s="7" t="n"/>
      <c r="E4504" s="7" t="n"/>
      <c r="F4504" s="7" t="n"/>
      <c r="G4504" s="7" t="n"/>
      <c r="H4504" s="7" t="n"/>
      <c r="I4504" s="7" t="n"/>
      <c r="J4504" s="7" t="n"/>
      <c r="K4504">
        <f>IF(D4504="Legitimate Interest (GDPR Art. 6(1)(f))", "Yes / Required (Sheet 3)", "")</f>
        <v/>
      </c>
      <c r="L4504" s="7" t="n"/>
      <c r="M4504" s="7" t="n"/>
      <c r="N4504">
        <f>IF(D4504="", "Gap - No Legal Basis", IF(AND(D4504="Consent (GDPR Art. 6(1)(a))", I4504="Not Captured"), "Gap - Invalid Consent", IF(AND(D4504="Legitimate Interest (GDPR Art. 6(1)(f))", L4504=""), "Gap - Missing LIA", IF(AND(G4504="Yes", H4504=""), "Gap - Missing Art. 9 Basis", IF(OR(I4504="Invalid - Not Freely Given", I4504="Invalid - Not Specific", I4504="Invalid - Not Informed", I4504="Invalid - Ambiguous"), "Gap - Invalid Consent", "Compliant")))))</f>
        <v/>
      </c>
      <c r="O4504" s="7" t="n"/>
    </row>
    <row r="4505">
      <c r="A4505" s="7" t="n"/>
      <c r="B4505" s="7" t="n"/>
      <c r="C4505" s="7" t="n"/>
      <c r="D4505" s="7" t="n"/>
      <c r="E4505" s="7" t="n"/>
      <c r="F4505" s="7" t="n"/>
      <c r="G4505" s="7" t="n"/>
      <c r="H4505" s="7" t="n"/>
      <c r="I4505" s="7" t="n"/>
      <c r="J4505" s="7" t="n"/>
      <c r="K4505">
        <f>IF(D4505="Legitimate Interest (GDPR Art. 6(1)(f))", "Yes / Required (Sheet 3)", "")</f>
        <v/>
      </c>
      <c r="L4505" s="7" t="n"/>
      <c r="M4505" s="7" t="n"/>
      <c r="N4505">
        <f>IF(D4505="", "Gap - No Legal Basis", IF(AND(D4505="Consent (GDPR Art. 6(1)(a))", I4505="Not Captured"), "Gap - Invalid Consent", IF(AND(D4505="Legitimate Interest (GDPR Art. 6(1)(f))", L4505=""), "Gap - Missing LIA", IF(AND(G4505="Yes", H4505=""), "Gap - Missing Art. 9 Basis", IF(OR(I4505="Invalid - Not Freely Given", I4505="Invalid - Not Specific", I4505="Invalid - Not Informed", I4505="Invalid - Ambiguous"), "Gap - Invalid Consent", "Compliant")))))</f>
        <v/>
      </c>
      <c r="O4505" s="7" t="n"/>
    </row>
    <row r="4506">
      <c r="A4506" s="7" t="n"/>
      <c r="B4506" s="7" t="n"/>
      <c r="C4506" s="7" t="n"/>
      <c r="D4506" s="7" t="n"/>
      <c r="E4506" s="7" t="n"/>
      <c r="F4506" s="7" t="n"/>
      <c r="G4506" s="7" t="n"/>
      <c r="H4506" s="7" t="n"/>
      <c r="I4506" s="7" t="n"/>
      <c r="J4506" s="7" t="n"/>
      <c r="K4506">
        <f>IF(D4506="Legitimate Interest (GDPR Art. 6(1)(f))", "Yes / Required (Sheet 3)", "")</f>
        <v/>
      </c>
      <c r="L4506" s="7" t="n"/>
      <c r="M4506" s="7" t="n"/>
      <c r="N4506">
        <f>IF(D4506="", "Gap - No Legal Basis", IF(AND(D4506="Consent (GDPR Art. 6(1)(a))", I4506="Not Captured"), "Gap - Invalid Consent", IF(AND(D4506="Legitimate Interest (GDPR Art. 6(1)(f))", L4506=""), "Gap - Missing LIA", IF(AND(G4506="Yes", H4506=""), "Gap - Missing Art. 9 Basis", IF(OR(I4506="Invalid - Not Freely Given", I4506="Invalid - Not Specific", I4506="Invalid - Not Informed", I4506="Invalid - Ambiguous"), "Gap - Invalid Consent", "Compliant")))))</f>
        <v/>
      </c>
      <c r="O4506" s="7" t="n"/>
    </row>
    <row r="4507">
      <c r="A4507" s="7" t="n"/>
      <c r="B4507" s="7" t="n"/>
      <c r="C4507" s="7" t="n"/>
      <c r="D4507" s="7" t="n"/>
      <c r="E4507" s="7" t="n"/>
      <c r="F4507" s="7" t="n"/>
      <c r="G4507" s="7" t="n"/>
      <c r="H4507" s="7" t="n"/>
      <c r="I4507" s="7" t="n"/>
      <c r="J4507" s="7" t="n"/>
      <c r="K4507">
        <f>IF(D4507="Legitimate Interest (GDPR Art. 6(1)(f))", "Yes / Required (Sheet 3)", "")</f>
        <v/>
      </c>
      <c r="L4507" s="7" t="n"/>
      <c r="M4507" s="7" t="n"/>
      <c r="N4507">
        <f>IF(D4507="", "Gap - No Legal Basis", IF(AND(D4507="Consent (GDPR Art. 6(1)(a))", I4507="Not Captured"), "Gap - Invalid Consent", IF(AND(D4507="Legitimate Interest (GDPR Art. 6(1)(f))", L4507=""), "Gap - Missing LIA", IF(AND(G4507="Yes", H4507=""), "Gap - Missing Art. 9 Basis", IF(OR(I4507="Invalid - Not Freely Given", I4507="Invalid - Not Specific", I4507="Invalid - Not Informed", I4507="Invalid - Ambiguous"), "Gap - Invalid Consent", "Compliant")))))</f>
        <v/>
      </c>
      <c r="O4507" s="7" t="n"/>
    </row>
    <row r="4508">
      <c r="A4508" s="7" t="n"/>
      <c r="B4508" s="7" t="n"/>
      <c r="C4508" s="7" t="n"/>
      <c r="D4508" s="7" t="n"/>
      <c r="E4508" s="7" t="n"/>
      <c r="F4508" s="7" t="n"/>
      <c r="G4508" s="7" t="n"/>
      <c r="H4508" s="7" t="n"/>
      <c r="I4508" s="7" t="n"/>
      <c r="J4508" s="7" t="n"/>
      <c r="K4508">
        <f>IF(D4508="Legitimate Interest (GDPR Art. 6(1)(f))", "Yes / Required (Sheet 3)", "")</f>
        <v/>
      </c>
      <c r="L4508" s="7" t="n"/>
      <c r="M4508" s="7" t="n"/>
      <c r="N4508">
        <f>IF(D4508="", "Gap - No Legal Basis", IF(AND(D4508="Consent (GDPR Art. 6(1)(a))", I4508="Not Captured"), "Gap - Invalid Consent", IF(AND(D4508="Legitimate Interest (GDPR Art. 6(1)(f))", L4508=""), "Gap - Missing LIA", IF(AND(G4508="Yes", H4508=""), "Gap - Missing Art. 9 Basis", IF(OR(I4508="Invalid - Not Freely Given", I4508="Invalid - Not Specific", I4508="Invalid - Not Informed", I4508="Invalid - Ambiguous"), "Gap - Invalid Consent", "Compliant")))))</f>
        <v/>
      </c>
      <c r="O4508" s="7" t="n"/>
    </row>
    <row r="4509">
      <c r="A4509" s="7" t="n"/>
      <c r="B4509" s="7" t="n"/>
      <c r="C4509" s="7" t="n"/>
      <c r="D4509" s="7" t="n"/>
      <c r="E4509" s="7" t="n"/>
      <c r="F4509" s="7" t="n"/>
      <c r="G4509" s="7" t="n"/>
      <c r="H4509" s="7" t="n"/>
      <c r="I4509" s="7" t="n"/>
      <c r="J4509" s="7" t="n"/>
      <c r="K4509">
        <f>IF(D4509="Legitimate Interest (GDPR Art. 6(1)(f))", "Yes / Required (Sheet 3)", "")</f>
        <v/>
      </c>
      <c r="L4509" s="7" t="n"/>
      <c r="M4509" s="7" t="n"/>
      <c r="N4509">
        <f>IF(D4509="", "Gap - No Legal Basis", IF(AND(D4509="Consent (GDPR Art. 6(1)(a))", I4509="Not Captured"), "Gap - Invalid Consent", IF(AND(D4509="Legitimate Interest (GDPR Art. 6(1)(f))", L4509=""), "Gap - Missing LIA", IF(AND(G4509="Yes", H4509=""), "Gap - Missing Art. 9 Basis", IF(OR(I4509="Invalid - Not Freely Given", I4509="Invalid - Not Specific", I4509="Invalid - Not Informed", I4509="Invalid - Ambiguous"), "Gap - Invalid Consent", "Compliant")))))</f>
        <v/>
      </c>
      <c r="O4509" s="7" t="n"/>
    </row>
    <row r="4510">
      <c r="A4510" s="7" t="n"/>
      <c r="B4510" s="7" t="n"/>
      <c r="C4510" s="7" t="n"/>
      <c r="D4510" s="7" t="n"/>
      <c r="E4510" s="7" t="n"/>
      <c r="F4510" s="7" t="n"/>
      <c r="G4510" s="7" t="n"/>
      <c r="H4510" s="7" t="n"/>
      <c r="I4510" s="7" t="n"/>
      <c r="J4510" s="7" t="n"/>
      <c r="K4510">
        <f>IF(D4510="Legitimate Interest (GDPR Art. 6(1)(f))", "Yes / Required (Sheet 3)", "")</f>
        <v/>
      </c>
      <c r="L4510" s="7" t="n"/>
      <c r="M4510" s="7" t="n"/>
      <c r="N4510">
        <f>IF(D4510="", "Gap - No Legal Basis", IF(AND(D4510="Consent (GDPR Art. 6(1)(a))", I4510="Not Captured"), "Gap - Invalid Consent", IF(AND(D4510="Legitimate Interest (GDPR Art. 6(1)(f))", L4510=""), "Gap - Missing LIA", IF(AND(G4510="Yes", H4510=""), "Gap - Missing Art. 9 Basis", IF(OR(I4510="Invalid - Not Freely Given", I4510="Invalid - Not Specific", I4510="Invalid - Not Informed", I4510="Invalid - Ambiguous"), "Gap - Invalid Consent", "Compliant")))))</f>
        <v/>
      </c>
      <c r="O4510" s="7" t="n"/>
    </row>
    <row r="4511">
      <c r="A4511" s="7" t="n"/>
      <c r="B4511" s="7" t="n"/>
      <c r="C4511" s="7" t="n"/>
      <c r="D4511" s="7" t="n"/>
      <c r="E4511" s="7" t="n"/>
      <c r="F4511" s="7" t="n"/>
      <c r="G4511" s="7" t="n"/>
      <c r="H4511" s="7" t="n"/>
      <c r="I4511" s="7" t="n"/>
      <c r="J4511" s="7" t="n"/>
      <c r="K4511">
        <f>IF(D4511="Legitimate Interest (GDPR Art. 6(1)(f))", "Yes / Required (Sheet 3)", "")</f>
        <v/>
      </c>
      <c r="L4511" s="7" t="n"/>
      <c r="M4511" s="7" t="n"/>
      <c r="N4511">
        <f>IF(D4511="", "Gap - No Legal Basis", IF(AND(D4511="Consent (GDPR Art. 6(1)(a))", I4511="Not Captured"), "Gap - Invalid Consent", IF(AND(D4511="Legitimate Interest (GDPR Art. 6(1)(f))", L4511=""), "Gap - Missing LIA", IF(AND(G4511="Yes", H4511=""), "Gap - Missing Art. 9 Basis", IF(OR(I4511="Invalid - Not Freely Given", I4511="Invalid - Not Specific", I4511="Invalid - Not Informed", I4511="Invalid - Ambiguous"), "Gap - Invalid Consent", "Compliant")))))</f>
        <v/>
      </c>
      <c r="O4511" s="7" t="n"/>
    </row>
    <row r="4512">
      <c r="A4512" s="7" t="n"/>
      <c r="B4512" s="7" t="n"/>
      <c r="C4512" s="7" t="n"/>
      <c r="D4512" s="7" t="n"/>
      <c r="E4512" s="7" t="n"/>
      <c r="F4512" s="7" t="n"/>
      <c r="G4512" s="7" t="n"/>
      <c r="H4512" s="7" t="n"/>
      <c r="I4512" s="7" t="n"/>
      <c r="J4512" s="7" t="n"/>
      <c r="K4512">
        <f>IF(D4512="Legitimate Interest (GDPR Art. 6(1)(f))", "Yes / Required (Sheet 3)", "")</f>
        <v/>
      </c>
      <c r="L4512" s="7" t="n"/>
      <c r="M4512" s="7" t="n"/>
      <c r="N4512">
        <f>IF(D4512="", "Gap - No Legal Basis", IF(AND(D4512="Consent (GDPR Art. 6(1)(a))", I4512="Not Captured"), "Gap - Invalid Consent", IF(AND(D4512="Legitimate Interest (GDPR Art. 6(1)(f))", L4512=""), "Gap - Missing LIA", IF(AND(G4512="Yes", H4512=""), "Gap - Missing Art. 9 Basis", IF(OR(I4512="Invalid - Not Freely Given", I4512="Invalid - Not Specific", I4512="Invalid - Not Informed", I4512="Invalid - Ambiguous"), "Gap - Invalid Consent", "Compliant")))))</f>
        <v/>
      </c>
      <c r="O4512" s="7" t="n"/>
    </row>
    <row r="4513">
      <c r="A4513" s="7" t="n"/>
      <c r="B4513" s="7" t="n"/>
      <c r="C4513" s="7" t="n"/>
      <c r="D4513" s="7" t="n"/>
      <c r="E4513" s="7" t="n"/>
      <c r="F4513" s="7" t="n"/>
      <c r="G4513" s="7" t="n"/>
      <c r="H4513" s="7" t="n"/>
      <c r="I4513" s="7" t="n"/>
      <c r="J4513" s="7" t="n"/>
      <c r="K4513">
        <f>IF(D4513="Legitimate Interest (GDPR Art. 6(1)(f))", "Yes / Required (Sheet 3)", "")</f>
        <v/>
      </c>
      <c r="L4513" s="7" t="n"/>
      <c r="M4513" s="7" t="n"/>
      <c r="N4513">
        <f>IF(D4513="", "Gap - No Legal Basis", IF(AND(D4513="Consent (GDPR Art. 6(1)(a))", I4513="Not Captured"), "Gap - Invalid Consent", IF(AND(D4513="Legitimate Interest (GDPR Art. 6(1)(f))", L4513=""), "Gap - Missing LIA", IF(AND(G4513="Yes", H4513=""), "Gap - Missing Art. 9 Basis", IF(OR(I4513="Invalid - Not Freely Given", I4513="Invalid - Not Specific", I4513="Invalid - Not Informed", I4513="Invalid - Ambiguous"), "Gap - Invalid Consent", "Compliant")))))</f>
        <v/>
      </c>
      <c r="O4513" s="7" t="n"/>
    </row>
    <row r="4514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7" t="n"/>
      <c r="J4514" s="7" t="n"/>
      <c r="K4514">
        <f>IF(D4514="Legitimate Interest (GDPR Art. 6(1)(f))", "Yes / Required (Sheet 3)", "")</f>
        <v/>
      </c>
      <c r="L4514" s="7" t="n"/>
      <c r="M4514" s="7" t="n"/>
      <c r="N4514">
        <f>IF(D4514="", "Gap - No Legal Basis", IF(AND(D4514="Consent (GDPR Art. 6(1)(a))", I4514="Not Captured"), "Gap - Invalid Consent", IF(AND(D4514="Legitimate Interest (GDPR Art. 6(1)(f))", L4514=""), "Gap - Missing LIA", IF(AND(G4514="Yes", H4514=""), "Gap - Missing Art. 9 Basis", IF(OR(I4514="Invalid - Not Freely Given", I4514="Invalid - Not Specific", I4514="Invalid - Not Informed", I4514="Invalid - Ambiguous"), "Gap - Invalid Consent", "Compliant")))))</f>
        <v/>
      </c>
      <c r="O4514" s="7" t="n"/>
    </row>
    <row r="4515">
      <c r="A4515" s="7" t="n"/>
      <c r="B4515" s="7" t="n"/>
      <c r="C4515" s="7" t="n"/>
      <c r="D4515" s="7" t="n"/>
      <c r="E4515" s="7" t="n"/>
      <c r="F4515" s="7" t="n"/>
      <c r="G4515" s="7" t="n"/>
      <c r="H4515" s="7" t="n"/>
      <c r="I4515" s="7" t="n"/>
      <c r="J4515" s="7" t="n"/>
      <c r="K4515">
        <f>IF(D4515="Legitimate Interest (GDPR Art. 6(1)(f))", "Yes / Required (Sheet 3)", "")</f>
        <v/>
      </c>
      <c r="L4515" s="7" t="n"/>
      <c r="M4515" s="7" t="n"/>
      <c r="N4515">
        <f>IF(D4515="", "Gap - No Legal Basis", IF(AND(D4515="Consent (GDPR Art. 6(1)(a))", I4515="Not Captured"), "Gap - Invalid Consent", IF(AND(D4515="Legitimate Interest (GDPR Art. 6(1)(f))", L4515=""), "Gap - Missing LIA", IF(AND(G4515="Yes", H4515=""), "Gap - Missing Art. 9 Basis", IF(OR(I4515="Invalid - Not Freely Given", I4515="Invalid - Not Specific", I4515="Invalid - Not Informed", I4515="Invalid - Ambiguous"), "Gap - Invalid Consent", "Compliant")))))</f>
        <v/>
      </c>
      <c r="O4515" s="7" t="n"/>
    </row>
    <row r="4516">
      <c r="A4516" s="7" t="n"/>
      <c r="B4516" s="7" t="n"/>
      <c r="C4516" s="7" t="n"/>
      <c r="D4516" s="7" t="n"/>
      <c r="E4516" s="7" t="n"/>
      <c r="F4516" s="7" t="n"/>
      <c r="G4516" s="7" t="n"/>
      <c r="H4516" s="7" t="n"/>
      <c r="I4516" s="7" t="n"/>
      <c r="J4516" s="7" t="n"/>
      <c r="K4516">
        <f>IF(D4516="Legitimate Interest (GDPR Art. 6(1)(f))", "Yes / Required (Sheet 3)", "")</f>
        <v/>
      </c>
      <c r="L4516" s="7" t="n"/>
      <c r="M4516" s="7" t="n"/>
      <c r="N4516">
        <f>IF(D4516="", "Gap - No Legal Basis", IF(AND(D4516="Consent (GDPR Art. 6(1)(a))", I4516="Not Captured"), "Gap - Invalid Consent", IF(AND(D4516="Legitimate Interest (GDPR Art. 6(1)(f))", L4516=""), "Gap - Missing LIA", IF(AND(G4516="Yes", H4516=""), "Gap - Missing Art. 9 Basis", IF(OR(I4516="Invalid - Not Freely Given", I4516="Invalid - Not Specific", I4516="Invalid - Not Informed", I4516="Invalid - Ambiguous"), "Gap - Invalid Consent", "Compliant")))))</f>
        <v/>
      </c>
      <c r="O4516" s="7" t="n"/>
    </row>
    <row r="4517">
      <c r="A4517" s="7" t="n"/>
      <c r="B4517" s="7" t="n"/>
      <c r="C4517" s="7" t="n"/>
      <c r="D4517" s="7" t="n"/>
      <c r="E4517" s="7" t="n"/>
      <c r="F4517" s="7" t="n"/>
      <c r="G4517" s="7" t="n"/>
      <c r="H4517" s="7" t="n"/>
      <c r="I4517" s="7" t="n"/>
      <c r="J4517" s="7" t="n"/>
      <c r="K4517">
        <f>IF(D4517="Legitimate Interest (GDPR Art. 6(1)(f))", "Yes / Required (Sheet 3)", "")</f>
        <v/>
      </c>
      <c r="L4517" s="7" t="n"/>
      <c r="M4517" s="7" t="n"/>
      <c r="N4517">
        <f>IF(D4517="", "Gap - No Legal Basis", IF(AND(D4517="Consent (GDPR Art. 6(1)(a))", I4517="Not Captured"), "Gap - Invalid Consent", IF(AND(D4517="Legitimate Interest (GDPR Art. 6(1)(f))", L4517=""), "Gap - Missing LIA", IF(AND(G4517="Yes", H4517=""), "Gap - Missing Art. 9 Basis", IF(OR(I4517="Invalid - Not Freely Given", I4517="Invalid - Not Specific", I4517="Invalid - Not Informed", I4517="Invalid - Ambiguous"), "Gap - Invalid Consent", "Compliant")))))</f>
        <v/>
      </c>
      <c r="O4517" s="7" t="n"/>
    </row>
    <row r="4518">
      <c r="A4518" s="7" t="n"/>
      <c r="B4518" s="7" t="n"/>
      <c r="C4518" s="7" t="n"/>
      <c r="D4518" s="7" t="n"/>
      <c r="E4518" s="7" t="n"/>
      <c r="F4518" s="7" t="n"/>
      <c r="G4518" s="7" t="n"/>
      <c r="H4518" s="7" t="n"/>
      <c r="I4518" s="7" t="n"/>
      <c r="J4518" s="7" t="n"/>
      <c r="K4518">
        <f>IF(D4518="Legitimate Interest (GDPR Art. 6(1)(f))", "Yes / Required (Sheet 3)", "")</f>
        <v/>
      </c>
      <c r="L4518" s="7" t="n"/>
      <c r="M4518" s="7" t="n"/>
      <c r="N4518">
        <f>IF(D4518="", "Gap - No Legal Basis", IF(AND(D4518="Consent (GDPR Art. 6(1)(a))", I4518="Not Captured"), "Gap - Invalid Consent", IF(AND(D4518="Legitimate Interest (GDPR Art. 6(1)(f))", L4518=""), "Gap - Missing LIA", IF(AND(G4518="Yes", H4518=""), "Gap - Missing Art. 9 Basis", IF(OR(I4518="Invalid - Not Freely Given", I4518="Invalid - Not Specific", I4518="Invalid - Not Informed", I4518="Invalid - Ambiguous"), "Gap - Invalid Consent", "Compliant")))))</f>
        <v/>
      </c>
      <c r="O4518" s="7" t="n"/>
    </row>
    <row r="4519">
      <c r="A4519" s="7" t="n"/>
      <c r="B4519" s="7" t="n"/>
      <c r="C4519" s="7" t="n"/>
      <c r="D4519" s="7" t="n"/>
      <c r="E4519" s="7" t="n"/>
      <c r="F4519" s="7" t="n"/>
      <c r="G4519" s="7" t="n"/>
      <c r="H4519" s="7" t="n"/>
      <c r="I4519" s="7" t="n"/>
      <c r="J4519" s="7" t="n"/>
      <c r="K4519">
        <f>IF(D4519="Legitimate Interest (GDPR Art. 6(1)(f))", "Yes / Required (Sheet 3)", "")</f>
        <v/>
      </c>
      <c r="L4519" s="7" t="n"/>
      <c r="M4519" s="7" t="n"/>
      <c r="N4519">
        <f>IF(D4519="", "Gap - No Legal Basis", IF(AND(D4519="Consent (GDPR Art. 6(1)(a))", I4519="Not Captured"), "Gap - Invalid Consent", IF(AND(D4519="Legitimate Interest (GDPR Art. 6(1)(f))", L4519=""), "Gap - Missing LIA", IF(AND(G4519="Yes", H4519=""), "Gap - Missing Art. 9 Basis", IF(OR(I4519="Invalid - Not Freely Given", I4519="Invalid - Not Specific", I4519="Invalid - Not Informed", I4519="Invalid - Ambiguous"), "Gap - Invalid Consent", "Compliant")))))</f>
        <v/>
      </c>
      <c r="O4519" s="7" t="n"/>
    </row>
    <row r="4520">
      <c r="A4520" s="7" t="n"/>
      <c r="B4520" s="7" t="n"/>
      <c r="C4520" s="7" t="n"/>
      <c r="D4520" s="7" t="n"/>
      <c r="E4520" s="7" t="n"/>
      <c r="F4520" s="7" t="n"/>
      <c r="G4520" s="7" t="n"/>
      <c r="H4520" s="7" t="n"/>
      <c r="I4520" s="7" t="n"/>
      <c r="J4520" s="7" t="n"/>
      <c r="K4520">
        <f>IF(D4520="Legitimate Interest (GDPR Art. 6(1)(f))", "Yes / Required (Sheet 3)", "")</f>
        <v/>
      </c>
      <c r="L4520" s="7" t="n"/>
      <c r="M4520" s="7" t="n"/>
      <c r="N4520">
        <f>IF(D4520="", "Gap - No Legal Basis", IF(AND(D4520="Consent (GDPR Art. 6(1)(a))", I4520="Not Captured"), "Gap - Invalid Consent", IF(AND(D4520="Legitimate Interest (GDPR Art. 6(1)(f))", L4520=""), "Gap - Missing LIA", IF(AND(G4520="Yes", H4520=""), "Gap - Missing Art. 9 Basis", IF(OR(I4520="Invalid - Not Freely Given", I4520="Invalid - Not Specific", I4520="Invalid - Not Informed", I4520="Invalid - Ambiguous"), "Gap - Invalid Consent", "Compliant")))))</f>
        <v/>
      </c>
      <c r="O4520" s="7" t="n"/>
    </row>
    <row r="4521">
      <c r="A4521" s="7" t="n"/>
      <c r="B4521" s="7" t="n"/>
      <c r="C4521" s="7" t="n"/>
      <c r="D4521" s="7" t="n"/>
      <c r="E4521" s="7" t="n"/>
      <c r="F4521" s="7" t="n"/>
      <c r="G4521" s="7" t="n"/>
      <c r="H4521" s="7" t="n"/>
      <c r="I4521" s="7" t="n"/>
      <c r="J4521" s="7" t="n"/>
      <c r="K4521">
        <f>IF(D4521="Legitimate Interest (GDPR Art. 6(1)(f))", "Yes / Required (Sheet 3)", "")</f>
        <v/>
      </c>
      <c r="L4521" s="7" t="n"/>
      <c r="M4521" s="7" t="n"/>
      <c r="N4521">
        <f>IF(D4521="", "Gap - No Legal Basis", IF(AND(D4521="Consent (GDPR Art. 6(1)(a))", I4521="Not Captured"), "Gap - Invalid Consent", IF(AND(D4521="Legitimate Interest (GDPR Art. 6(1)(f))", L4521=""), "Gap - Missing LIA", IF(AND(G4521="Yes", H4521=""), "Gap - Missing Art. 9 Basis", IF(OR(I4521="Invalid - Not Freely Given", I4521="Invalid - Not Specific", I4521="Invalid - Not Informed", I4521="Invalid - Ambiguous"), "Gap - Invalid Consent", "Compliant")))))</f>
        <v/>
      </c>
      <c r="O4521" s="7" t="n"/>
    </row>
    <row r="4522">
      <c r="A4522" s="7" t="n"/>
      <c r="B4522" s="7" t="n"/>
      <c r="C4522" s="7" t="n"/>
      <c r="D4522" s="7" t="n"/>
      <c r="E4522" s="7" t="n"/>
      <c r="F4522" s="7" t="n"/>
      <c r="G4522" s="7" t="n"/>
      <c r="H4522" s="7" t="n"/>
      <c r="I4522" s="7" t="n"/>
      <c r="J4522" s="7" t="n"/>
      <c r="K4522">
        <f>IF(D4522="Legitimate Interest (GDPR Art. 6(1)(f))", "Yes / Required (Sheet 3)", "")</f>
        <v/>
      </c>
      <c r="L4522" s="7" t="n"/>
      <c r="M4522" s="7" t="n"/>
      <c r="N4522">
        <f>IF(D4522="", "Gap - No Legal Basis", IF(AND(D4522="Consent (GDPR Art. 6(1)(a))", I4522="Not Captured"), "Gap - Invalid Consent", IF(AND(D4522="Legitimate Interest (GDPR Art. 6(1)(f))", L4522=""), "Gap - Missing LIA", IF(AND(G4522="Yes", H4522=""), "Gap - Missing Art. 9 Basis", IF(OR(I4522="Invalid - Not Freely Given", I4522="Invalid - Not Specific", I4522="Invalid - Not Informed", I4522="Invalid - Ambiguous"), "Gap - Invalid Consent", "Compliant")))))</f>
        <v/>
      </c>
      <c r="O4522" s="7" t="n"/>
    </row>
    <row r="4523">
      <c r="A4523" s="7" t="n"/>
      <c r="B4523" s="7" t="n"/>
      <c r="C4523" s="7" t="n"/>
      <c r="D4523" s="7" t="n"/>
      <c r="E4523" s="7" t="n"/>
      <c r="F4523" s="7" t="n"/>
      <c r="G4523" s="7" t="n"/>
      <c r="H4523" s="7" t="n"/>
      <c r="I4523" s="7" t="n"/>
      <c r="J4523" s="7" t="n"/>
      <c r="K4523">
        <f>IF(D4523="Legitimate Interest (GDPR Art. 6(1)(f))", "Yes / Required (Sheet 3)", "")</f>
        <v/>
      </c>
      <c r="L4523" s="7" t="n"/>
      <c r="M4523" s="7" t="n"/>
      <c r="N4523">
        <f>IF(D4523="", "Gap - No Legal Basis", IF(AND(D4523="Consent (GDPR Art. 6(1)(a))", I4523="Not Captured"), "Gap - Invalid Consent", IF(AND(D4523="Legitimate Interest (GDPR Art. 6(1)(f))", L4523=""), "Gap - Missing LIA", IF(AND(G4523="Yes", H4523=""), "Gap - Missing Art. 9 Basis", IF(OR(I4523="Invalid - Not Freely Given", I4523="Invalid - Not Specific", I4523="Invalid - Not Informed", I4523="Invalid - Ambiguous"), "Gap - Invalid Consent", "Compliant")))))</f>
        <v/>
      </c>
      <c r="O4523" s="7" t="n"/>
    </row>
    <row r="4524">
      <c r="A4524" s="7" t="n"/>
      <c r="B4524" s="7" t="n"/>
      <c r="C4524" s="7" t="n"/>
      <c r="D4524" s="7" t="n"/>
      <c r="E4524" s="7" t="n"/>
      <c r="F4524" s="7" t="n"/>
      <c r="G4524" s="7" t="n"/>
      <c r="H4524" s="7" t="n"/>
      <c r="I4524" s="7" t="n"/>
      <c r="J4524" s="7" t="n"/>
      <c r="K4524">
        <f>IF(D4524="Legitimate Interest (GDPR Art. 6(1)(f))", "Yes / Required (Sheet 3)", "")</f>
        <v/>
      </c>
      <c r="L4524" s="7" t="n"/>
      <c r="M4524" s="7" t="n"/>
      <c r="N4524">
        <f>IF(D4524="", "Gap - No Legal Basis", IF(AND(D4524="Consent (GDPR Art. 6(1)(a))", I4524="Not Captured"), "Gap - Invalid Consent", IF(AND(D4524="Legitimate Interest (GDPR Art. 6(1)(f))", L4524=""), "Gap - Missing LIA", IF(AND(G4524="Yes", H4524=""), "Gap - Missing Art. 9 Basis", IF(OR(I4524="Invalid - Not Freely Given", I4524="Invalid - Not Specific", I4524="Invalid - Not Informed", I4524="Invalid - Ambiguous"), "Gap - Invalid Consent", "Compliant")))))</f>
        <v/>
      </c>
      <c r="O4524" s="7" t="n"/>
    </row>
    <row r="4525">
      <c r="A4525" s="7" t="n"/>
      <c r="B4525" s="7" t="n"/>
      <c r="C4525" s="7" t="n"/>
      <c r="D4525" s="7" t="n"/>
      <c r="E4525" s="7" t="n"/>
      <c r="F4525" s="7" t="n"/>
      <c r="G4525" s="7" t="n"/>
      <c r="H4525" s="7" t="n"/>
      <c r="I4525" s="7" t="n"/>
      <c r="J4525" s="7" t="n"/>
      <c r="K4525">
        <f>IF(D4525="Legitimate Interest (GDPR Art. 6(1)(f))", "Yes / Required (Sheet 3)", "")</f>
        <v/>
      </c>
      <c r="L4525" s="7" t="n"/>
      <c r="M4525" s="7" t="n"/>
      <c r="N4525">
        <f>IF(D4525="", "Gap - No Legal Basis", IF(AND(D4525="Consent (GDPR Art. 6(1)(a))", I4525="Not Captured"), "Gap - Invalid Consent", IF(AND(D4525="Legitimate Interest (GDPR Art. 6(1)(f))", L4525=""), "Gap - Missing LIA", IF(AND(G4525="Yes", H4525=""), "Gap - Missing Art. 9 Basis", IF(OR(I4525="Invalid - Not Freely Given", I4525="Invalid - Not Specific", I4525="Invalid - Not Informed", I4525="Invalid - Ambiguous"), "Gap - Invalid Consent", "Compliant")))))</f>
        <v/>
      </c>
      <c r="O4525" s="7" t="n"/>
    </row>
    <row r="4526">
      <c r="A4526" s="7" t="n"/>
      <c r="B4526" s="7" t="n"/>
      <c r="C4526" s="7" t="n"/>
      <c r="D4526" s="7" t="n"/>
      <c r="E4526" s="7" t="n"/>
      <c r="F4526" s="7" t="n"/>
      <c r="G4526" s="7" t="n"/>
      <c r="H4526" s="7" t="n"/>
      <c r="I4526" s="7" t="n"/>
      <c r="J4526" s="7" t="n"/>
      <c r="K4526">
        <f>IF(D4526="Legitimate Interest (GDPR Art. 6(1)(f))", "Yes / Required (Sheet 3)", "")</f>
        <v/>
      </c>
      <c r="L4526" s="7" t="n"/>
      <c r="M4526" s="7" t="n"/>
      <c r="N4526">
        <f>IF(D4526="", "Gap - No Legal Basis", IF(AND(D4526="Consent (GDPR Art. 6(1)(a))", I4526="Not Captured"), "Gap - Invalid Consent", IF(AND(D4526="Legitimate Interest (GDPR Art. 6(1)(f))", L4526=""), "Gap - Missing LIA", IF(AND(G4526="Yes", H4526=""), "Gap - Missing Art. 9 Basis", IF(OR(I4526="Invalid - Not Freely Given", I4526="Invalid - Not Specific", I4526="Invalid - Not Informed", I4526="Invalid - Ambiguous"), "Gap - Invalid Consent", "Compliant")))))</f>
        <v/>
      </c>
      <c r="O4526" s="7" t="n"/>
    </row>
    <row r="4527">
      <c r="A4527" s="7" t="n"/>
      <c r="B4527" s="7" t="n"/>
      <c r="C4527" s="7" t="n"/>
      <c r="D4527" s="7" t="n"/>
      <c r="E4527" s="7" t="n"/>
      <c r="F4527" s="7" t="n"/>
      <c r="G4527" s="7" t="n"/>
      <c r="H4527" s="7" t="n"/>
      <c r="I4527" s="7" t="n"/>
      <c r="J4527" s="7" t="n"/>
      <c r="K4527">
        <f>IF(D4527="Legitimate Interest (GDPR Art. 6(1)(f))", "Yes / Required (Sheet 3)", "")</f>
        <v/>
      </c>
      <c r="L4527" s="7" t="n"/>
      <c r="M4527" s="7" t="n"/>
      <c r="N4527">
        <f>IF(D4527="", "Gap - No Legal Basis", IF(AND(D4527="Consent (GDPR Art. 6(1)(a))", I4527="Not Captured"), "Gap - Invalid Consent", IF(AND(D4527="Legitimate Interest (GDPR Art. 6(1)(f))", L4527=""), "Gap - Missing LIA", IF(AND(G4527="Yes", H4527=""), "Gap - Missing Art. 9 Basis", IF(OR(I4527="Invalid - Not Freely Given", I4527="Invalid - Not Specific", I4527="Invalid - Not Informed", I4527="Invalid - Ambiguous"), "Gap - Invalid Consent", "Compliant")))))</f>
        <v/>
      </c>
      <c r="O4527" s="7" t="n"/>
    </row>
    <row r="4528">
      <c r="A4528" s="7" t="n"/>
      <c r="B4528" s="7" t="n"/>
      <c r="C4528" s="7" t="n"/>
      <c r="D4528" s="7" t="n"/>
      <c r="E4528" s="7" t="n"/>
      <c r="F4528" s="7" t="n"/>
      <c r="G4528" s="7" t="n"/>
      <c r="H4528" s="7" t="n"/>
      <c r="I4528" s="7" t="n"/>
      <c r="J4528" s="7" t="n"/>
      <c r="K4528">
        <f>IF(D4528="Legitimate Interest (GDPR Art. 6(1)(f))", "Yes / Required (Sheet 3)", "")</f>
        <v/>
      </c>
      <c r="L4528" s="7" t="n"/>
      <c r="M4528" s="7" t="n"/>
      <c r="N4528">
        <f>IF(D4528="", "Gap - No Legal Basis", IF(AND(D4528="Consent (GDPR Art. 6(1)(a))", I4528="Not Captured"), "Gap - Invalid Consent", IF(AND(D4528="Legitimate Interest (GDPR Art. 6(1)(f))", L4528=""), "Gap - Missing LIA", IF(AND(G4528="Yes", H4528=""), "Gap - Missing Art. 9 Basis", IF(OR(I4528="Invalid - Not Freely Given", I4528="Invalid - Not Specific", I4528="Invalid - Not Informed", I4528="Invalid - Ambiguous"), "Gap - Invalid Consent", "Compliant")))))</f>
        <v/>
      </c>
      <c r="O4528" s="7" t="n"/>
    </row>
    <row r="4529">
      <c r="A4529" s="7" t="n"/>
      <c r="B4529" s="7" t="n"/>
      <c r="C4529" s="7" t="n"/>
      <c r="D4529" s="7" t="n"/>
      <c r="E4529" s="7" t="n"/>
      <c r="F4529" s="7" t="n"/>
      <c r="G4529" s="7" t="n"/>
      <c r="H4529" s="7" t="n"/>
      <c r="I4529" s="7" t="n"/>
      <c r="J4529" s="7" t="n"/>
      <c r="K4529">
        <f>IF(D4529="Legitimate Interest (GDPR Art. 6(1)(f))", "Yes / Required (Sheet 3)", "")</f>
        <v/>
      </c>
      <c r="L4529" s="7" t="n"/>
      <c r="M4529" s="7" t="n"/>
      <c r="N4529">
        <f>IF(D4529="", "Gap - No Legal Basis", IF(AND(D4529="Consent (GDPR Art. 6(1)(a))", I4529="Not Captured"), "Gap - Invalid Consent", IF(AND(D4529="Legitimate Interest (GDPR Art. 6(1)(f))", L4529=""), "Gap - Missing LIA", IF(AND(G4529="Yes", H4529=""), "Gap - Missing Art. 9 Basis", IF(OR(I4529="Invalid - Not Freely Given", I4529="Invalid - Not Specific", I4529="Invalid - Not Informed", I4529="Invalid - Ambiguous"), "Gap - Invalid Consent", "Compliant")))))</f>
        <v/>
      </c>
      <c r="O4529" s="7" t="n"/>
    </row>
    <row r="4530">
      <c r="A4530" s="7" t="n"/>
      <c r="B4530" s="7" t="n"/>
      <c r="C4530" s="7" t="n"/>
      <c r="D4530" s="7" t="n"/>
      <c r="E4530" s="7" t="n"/>
      <c r="F4530" s="7" t="n"/>
      <c r="G4530" s="7" t="n"/>
      <c r="H4530" s="7" t="n"/>
      <c r="I4530" s="7" t="n"/>
      <c r="J4530" s="7" t="n"/>
      <c r="K4530">
        <f>IF(D4530="Legitimate Interest (GDPR Art. 6(1)(f))", "Yes / Required (Sheet 3)", "")</f>
        <v/>
      </c>
      <c r="L4530" s="7" t="n"/>
      <c r="M4530" s="7" t="n"/>
      <c r="N4530">
        <f>IF(D4530="", "Gap - No Legal Basis", IF(AND(D4530="Consent (GDPR Art. 6(1)(a))", I4530="Not Captured"), "Gap - Invalid Consent", IF(AND(D4530="Legitimate Interest (GDPR Art. 6(1)(f))", L4530=""), "Gap - Missing LIA", IF(AND(G4530="Yes", H4530=""), "Gap - Missing Art. 9 Basis", IF(OR(I4530="Invalid - Not Freely Given", I4530="Invalid - Not Specific", I4530="Invalid - Not Informed", I4530="Invalid - Ambiguous"), "Gap - Invalid Consent", "Compliant")))))</f>
        <v/>
      </c>
      <c r="O4530" s="7" t="n"/>
    </row>
    <row r="4531">
      <c r="A4531" s="7" t="n"/>
      <c r="B4531" s="7" t="n"/>
      <c r="C4531" s="7" t="n"/>
      <c r="D4531" s="7" t="n"/>
      <c r="E4531" s="7" t="n"/>
      <c r="F4531" s="7" t="n"/>
      <c r="G4531" s="7" t="n"/>
      <c r="H4531" s="7" t="n"/>
      <c r="I4531" s="7" t="n"/>
      <c r="J4531" s="7" t="n"/>
      <c r="K4531">
        <f>IF(D4531="Legitimate Interest (GDPR Art. 6(1)(f))", "Yes / Required (Sheet 3)", "")</f>
        <v/>
      </c>
      <c r="L4531" s="7" t="n"/>
      <c r="M4531" s="7" t="n"/>
      <c r="N4531">
        <f>IF(D4531="", "Gap - No Legal Basis", IF(AND(D4531="Consent (GDPR Art. 6(1)(a))", I4531="Not Captured"), "Gap - Invalid Consent", IF(AND(D4531="Legitimate Interest (GDPR Art. 6(1)(f))", L4531=""), "Gap - Missing LIA", IF(AND(G4531="Yes", H4531=""), "Gap - Missing Art. 9 Basis", IF(OR(I4531="Invalid - Not Freely Given", I4531="Invalid - Not Specific", I4531="Invalid - Not Informed", I4531="Invalid - Ambiguous"), "Gap - Invalid Consent", "Compliant")))))</f>
        <v/>
      </c>
      <c r="O4531" s="7" t="n"/>
    </row>
    <row r="4532">
      <c r="A4532" s="7" t="n"/>
      <c r="B4532" s="7" t="n"/>
      <c r="C4532" s="7" t="n"/>
      <c r="D4532" s="7" t="n"/>
      <c r="E4532" s="7" t="n"/>
      <c r="F4532" s="7" t="n"/>
      <c r="G4532" s="7" t="n"/>
      <c r="H4532" s="7" t="n"/>
      <c r="I4532" s="7" t="n"/>
      <c r="J4532" s="7" t="n"/>
      <c r="K4532">
        <f>IF(D4532="Legitimate Interest (GDPR Art. 6(1)(f))", "Yes / Required (Sheet 3)", "")</f>
        <v/>
      </c>
      <c r="L4532" s="7" t="n"/>
      <c r="M4532" s="7" t="n"/>
      <c r="N4532">
        <f>IF(D4532="", "Gap - No Legal Basis", IF(AND(D4532="Consent (GDPR Art. 6(1)(a))", I4532="Not Captured"), "Gap - Invalid Consent", IF(AND(D4532="Legitimate Interest (GDPR Art. 6(1)(f))", L4532=""), "Gap - Missing LIA", IF(AND(G4532="Yes", H4532=""), "Gap - Missing Art. 9 Basis", IF(OR(I4532="Invalid - Not Freely Given", I4532="Invalid - Not Specific", I4532="Invalid - Not Informed", I4532="Invalid - Ambiguous"), "Gap - Invalid Consent", "Compliant")))))</f>
        <v/>
      </c>
      <c r="O4532" s="7" t="n"/>
    </row>
    <row r="4533">
      <c r="A4533" s="7" t="n"/>
      <c r="B4533" s="7" t="n"/>
      <c r="C4533" s="7" t="n"/>
      <c r="D4533" s="7" t="n"/>
      <c r="E4533" s="7" t="n"/>
      <c r="F4533" s="7" t="n"/>
      <c r="G4533" s="7" t="n"/>
      <c r="H4533" s="7" t="n"/>
      <c r="I4533" s="7" t="n"/>
      <c r="J4533" s="7" t="n"/>
      <c r="K4533">
        <f>IF(D4533="Legitimate Interest (GDPR Art. 6(1)(f))", "Yes / Required (Sheet 3)", "")</f>
        <v/>
      </c>
      <c r="L4533" s="7" t="n"/>
      <c r="M4533" s="7" t="n"/>
      <c r="N4533">
        <f>IF(D4533="", "Gap - No Legal Basis", IF(AND(D4533="Consent (GDPR Art. 6(1)(a))", I4533="Not Captured"), "Gap - Invalid Consent", IF(AND(D4533="Legitimate Interest (GDPR Art. 6(1)(f))", L4533=""), "Gap - Missing LIA", IF(AND(G4533="Yes", H4533=""), "Gap - Missing Art. 9 Basis", IF(OR(I4533="Invalid - Not Freely Given", I4533="Invalid - Not Specific", I4533="Invalid - Not Informed", I4533="Invalid - Ambiguous"), "Gap - Invalid Consent", "Compliant")))))</f>
        <v/>
      </c>
      <c r="O4533" s="7" t="n"/>
    </row>
    <row r="4534">
      <c r="A4534" s="7" t="n"/>
      <c r="B4534" s="7" t="n"/>
      <c r="C4534" s="7" t="n"/>
      <c r="D4534" s="7" t="n"/>
      <c r="E4534" s="7" t="n"/>
      <c r="F4534" s="7" t="n"/>
      <c r="G4534" s="7" t="n"/>
      <c r="H4534" s="7" t="n"/>
      <c r="I4534" s="7" t="n"/>
      <c r="J4534" s="7" t="n"/>
      <c r="K4534">
        <f>IF(D4534="Legitimate Interest (GDPR Art. 6(1)(f))", "Yes / Required (Sheet 3)", "")</f>
        <v/>
      </c>
      <c r="L4534" s="7" t="n"/>
      <c r="M4534" s="7" t="n"/>
      <c r="N4534">
        <f>IF(D4534="", "Gap - No Legal Basis", IF(AND(D4534="Consent (GDPR Art. 6(1)(a))", I4534="Not Captured"), "Gap - Invalid Consent", IF(AND(D4534="Legitimate Interest (GDPR Art. 6(1)(f))", L4534=""), "Gap - Missing LIA", IF(AND(G4534="Yes", H4534=""), "Gap - Missing Art. 9 Basis", IF(OR(I4534="Invalid - Not Freely Given", I4534="Invalid - Not Specific", I4534="Invalid - Not Informed", I4534="Invalid - Ambiguous"), "Gap - Invalid Consent", "Compliant")))))</f>
        <v/>
      </c>
      <c r="O4534" s="7" t="n"/>
    </row>
    <row r="4535">
      <c r="A4535" s="7" t="n"/>
      <c r="B4535" s="7" t="n"/>
      <c r="C4535" s="7" t="n"/>
      <c r="D4535" s="7" t="n"/>
      <c r="E4535" s="7" t="n"/>
      <c r="F4535" s="7" t="n"/>
      <c r="G4535" s="7" t="n"/>
      <c r="H4535" s="7" t="n"/>
      <c r="I4535" s="7" t="n"/>
      <c r="J4535" s="7" t="n"/>
      <c r="K4535">
        <f>IF(D4535="Legitimate Interest (GDPR Art. 6(1)(f))", "Yes / Required (Sheet 3)", "")</f>
        <v/>
      </c>
      <c r="L4535" s="7" t="n"/>
      <c r="M4535" s="7" t="n"/>
      <c r="N4535">
        <f>IF(D4535="", "Gap - No Legal Basis", IF(AND(D4535="Consent (GDPR Art. 6(1)(a))", I4535="Not Captured"), "Gap - Invalid Consent", IF(AND(D4535="Legitimate Interest (GDPR Art. 6(1)(f))", L4535=""), "Gap - Missing LIA", IF(AND(G4535="Yes", H4535=""), "Gap - Missing Art. 9 Basis", IF(OR(I4535="Invalid - Not Freely Given", I4535="Invalid - Not Specific", I4535="Invalid - Not Informed", I4535="Invalid - Ambiguous"), "Gap - Invalid Consent", "Compliant")))))</f>
        <v/>
      </c>
      <c r="O4535" s="7" t="n"/>
    </row>
    <row r="4536">
      <c r="A4536" s="7" t="n"/>
      <c r="B4536" s="7" t="n"/>
      <c r="C4536" s="7" t="n"/>
      <c r="D4536" s="7" t="n"/>
      <c r="E4536" s="7" t="n"/>
      <c r="F4536" s="7" t="n"/>
      <c r="G4536" s="7" t="n"/>
      <c r="H4536" s="7" t="n"/>
      <c r="I4536" s="7" t="n"/>
      <c r="J4536" s="7" t="n"/>
      <c r="K4536">
        <f>IF(D4536="Legitimate Interest (GDPR Art. 6(1)(f))", "Yes / Required (Sheet 3)", "")</f>
        <v/>
      </c>
      <c r="L4536" s="7" t="n"/>
      <c r="M4536" s="7" t="n"/>
      <c r="N4536">
        <f>IF(D4536="", "Gap - No Legal Basis", IF(AND(D4536="Consent (GDPR Art. 6(1)(a))", I4536="Not Captured"), "Gap - Invalid Consent", IF(AND(D4536="Legitimate Interest (GDPR Art. 6(1)(f))", L4536=""), "Gap - Missing LIA", IF(AND(G4536="Yes", H4536=""), "Gap - Missing Art. 9 Basis", IF(OR(I4536="Invalid - Not Freely Given", I4536="Invalid - Not Specific", I4536="Invalid - Not Informed", I4536="Invalid - Ambiguous"), "Gap - Invalid Consent", "Compliant")))))</f>
        <v/>
      </c>
      <c r="O4536" s="7" t="n"/>
    </row>
    <row r="4537">
      <c r="A4537" s="7" t="n"/>
      <c r="B4537" s="7" t="n"/>
      <c r="C4537" s="7" t="n"/>
      <c r="D4537" s="7" t="n"/>
      <c r="E4537" s="7" t="n"/>
      <c r="F4537" s="7" t="n"/>
      <c r="G4537" s="7" t="n"/>
      <c r="H4537" s="7" t="n"/>
      <c r="I4537" s="7" t="n"/>
      <c r="J4537" s="7" t="n"/>
      <c r="K4537">
        <f>IF(D4537="Legitimate Interest (GDPR Art. 6(1)(f))", "Yes / Required (Sheet 3)", "")</f>
        <v/>
      </c>
      <c r="L4537" s="7" t="n"/>
      <c r="M4537" s="7" t="n"/>
      <c r="N4537">
        <f>IF(D4537="", "Gap - No Legal Basis", IF(AND(D4537="Consent (GDPR Art. 6(1)(a))", I4537="Not Captured"), "Gap - Invalid Consent", IF(AND(D4537="Legitimate Interest (GDPR Art. 6(1)(f))", L4537=""), "Gap - Missing LIA", IF(AND(G4537="Yes", H4537=""), "Gap - Missing Art. 9 Basis", IF(OR(I4537="Invalid - Not Freely Given", I4537="Invalid - Not Specific", I4537="Invalid - Not Informed", I4537="Invalid - Ambiguous"), "Gap - Invalid Consent", "Compliant")))))</f>
        <v/>
      </c>
      <c r="O4537" s="7" t="n"/>
    </row>
    <row r="4538">
      <c r="A4538" s="7" t="n"/>
      <c r="B4538" s="7" t="n"/>
      <c r="C4538" s="7" t="n"/>
      <c r="D4538" s="7" t="n"/>
      <c r="E4538" s="7" t="n"/>
      <c r="F4538" s="7" t="n"/>
      <c r="G4538" s="7" t="n"/>
      <c r="H4538" s="7" t="n"/>
      <c r="I4538" s="7" t="n"/>
      <c r="J4538" s="7" t="n"/>
      <c r="K4538">
        <f>IF(D4538="Legitimate Interest (GDPR Art. 6(1)(f))", "Yes / Required (Sheet 3)", "")</f>
        <v/>
      </c>
      <c r="L4538" s="7" t="n"/>
      <c r="M4538" s="7" t="n"/>
      <c r="N4538">
        <f>IF(D4538="", "Gap - No Legal Basis", IF(AND(D4538="Consent (GDPR Art. 6(1)(a))", I4538="Not Captured"), "Gap - Invalid Consent", IF(AND(D4538="Legitimate Interest (GDPR Art. 6(1)(f))", L4538=""), "Gap - Missing LIA", IF(AND(G4538="Yes", H4538=""), "Gap - Missing Art. 9 Basis", IF(OR(I4538="Invalid - Not Freely Given", I4538="Invalid - Not Specific", I4538="Invalid - Not Informed", I4538="Invalid - Ambiguous"), "Gap - Invalid Consent", "Compliant")))))</f>
        <v/>
      </c>
      <c r="O4538" s="7" t="n"/>
    </row>
    <row r="4539">
      <c r="A4539" s="7" t="n"/>
      <c r="B4539" s="7" t="n"/>
      <c r="C4539" s="7" t="n"/>
      <c r="D4539" s="7" t="n"/>
      <c r="E4539" s="7" t="n"/>
      <c r="F4539" s="7" t="n"/>
      <c r="G4539" s="7" t="n"/>
      <c r="H4539" s="7" t="n"/>
      <c r="I4539" s="7" t="n"/>
      <c r="J4539" s="7" t="n"/>
      <c r="K4539">
        <f>IF(D4539="Legitimate Interest (GDPR Art. 6(1)(f))", "Yes / Required (Sheet 3)", "")</f>
        <v/>
      </c>
      <c r="L4539" s="7" t="n"/>
      <c r="M4539" s="7" t="n"/>
      <c r="N4539">
        <f>IF(D4539="", "Gap - No Legal Basis", IF(AND(D4539="Consent (GDPR Art. 6(1)(a))", I4539="Not Captured"), "Gap - Invalid Consent", IF(AND(D4539="Legitimate Interest (GDPR Art. 6(1)(f))", L4539=""), "Gap - Missing LIA", IF(AND(G4539="Yes", H4539=""), "Gap - Missing Art. 9 Basis", IF(OR(I4539="Invalid - Not Freely Given", I4539="Invalid - Not Specific", I4539="Invalid - Not Informed", I4539="Invalid - Ambiguous"), "Gap - Invalid Consent", "Compliant")))))</f>
        <v/>
      </c>
      <c r="O4539" s="7" t="n"/>
    </row>
    <row r="4540">
      <c r="A4540" s="7" t="n"/>
      <c r="B4540" s="7" t="n"/>
      <c r="C4540" s="7" t="n"/>
      <c r="D4540" s="7" t="n"/>
      <c r="E4540" s="7" t="n"/>
      <c r="F4540" s="7" t="n"/>
      <c r="G4540" s="7" t="n"/>
      <c r="H4540" s="7" t="n"/>
      <c r="I4540" s="7" t="n"/>
      <c r="J4540" s="7" t="n"/>
      <c r="K4540">
        <f>IF(D4540="Legitimate Interest (GDPR Art. 6(1)(f))", "Yes / Required (Sheet 3)", "")</f>
        <v/>
      </c>
      <c r="L4540" s="7" t="n"/>
      <c r="M4540" s="7" t="n"/>
      <c r="N4540">
        <f>IF(D4540="", "Gap - No Legal Basis", IF(AND(D4540="Consent (GDPR Art. 6(1)(a))", I4540="Not Captured"), "Gap - Invalid Consent", IF(AND(D4540="Legitimate Interest (GDPR Art. 6(1)(f))", L4540=""), "Gap - Missing LIA", IF(AND(G4540="Yes", H4540=""), "Gap - Missing Art. 9 Basis", IF(OR(I4540="Invalid - Not Freely Given", I4540="Invalid - Not Specific", I4540="Invalid - Not Informed", I4540="Invalid - Ambiguous"), "Gap - Invalid Consent", "Compliant")))))</f>
        <v/>
      </c>
      <c r="O4540" s="7" t="n"/>
    </row>
    <row r="4541">
      <c r="A4541" s="7" t="n"/>
      <c r="B4541" s="7" t="n"/>
      <c r="C4541" s="7" t="n"/>
      <c r="D4541" s="7" t="n"/>
      <c r="E4541" s="7" t="n"/>
      <c r="F4541" s="7" t="n"/>
      <c r="G4541" s="7" t="n"/>
      <c r="H4541" s="7" t="n"/>
      <c r="I4541" s="7" t="n"/>
      <c r="J4541" s="7" t="n"/>
      <c r="K4541">
        <f>IF(D4541="Legitimate Interest (GDPR Art. 6(1)(f))", "Yes / Required (Sheet 3)", "")</f>
        <v/>
      </c>
      <c r="L4541" s="7" t="n"/>
      <c r="M4541" s="7" t="n"/>
      <c r="N4541">
        <f>IF(D4541="", "Gap - No Legal Basis", IF(AND(D4541="Consent (GDPR Art. 6(1)(a))", I4541="Not Captured"), "Gap - Invalid Consent", IF(AND(D4541="Legitimate Interest (GDPR Art. 6(1)(f))", L4541=""), "Gap - Missing LIA", IF(AND(G4541="Yes", H4541=""), "Gap - Missing Art. 9 Basis", IF(OR(I4541="Invalid - Not Freely Given", I4541="Invalid - Not Specific", I4541="Invalid - Not Informed", I4541="Invalid - Ambiguous"), "Gap - Invalid Consent", "Compliant")))))</f>
        <v/>
      </c>
      <c r="O4541" s="7" t="n"/>
    </row>
    <row r="4542">
      <c r="A4542" s="7" t="n"/>
      <c r="B4542" s="7" t="n"/>
      <c r="C4542" s="7" t="n"/>
      <c r="D4542" s="7" t="n"/>
      <c r="E4542" s="7" t="n"/>
      <c r="F4542" s="7" t="n"/>
      <c r="G4542" s="7" t="n"/>
      <c r="H4542" s="7" t="n"/>
      <c r="I4542" s="7" t="n"/>
      <c r="J4542" s="7" t="n"/>
      <c r="K4542">
        <f>IF(D4542="Legitimate Interest (GDPR Art. 6(1)(f))", "Yes / Required (Sheet 3)", "")</f>
        <v/>
      </c>
      <c r="L4542" s="7" t="n"/>
      <c r="M4542" s="7" t="n"/>
      <c r="N4542">
        <f>IF(D4542="", "Gap - No Legal Basis", IF(AND(D4542="Consent (GDPR Art. 6(1)(a))", I4542="Not Captured"), "Gap - Invalid Consent", IF(AND(D4542="Legitimate Interest (GDPR Art. 6(1)(f))", L4542=""), "Gap - Missing LIA", IF(AND(G4542="Yes", H4542=""), "Gap - Missing Art. 9 Basis", IF(OR(I4542="Invalid - Not Freely Given", I4542="Invalid - Not Specific", I4542="Invalid - Not Informed", I4542="Invalid - Ambiguous"), "Gap - Invalid Consent", "Compliant")))))</f>
        <v/>
      </c>
      <c r="O4542" s="7" t="n"/>
    </row>
    <row r="4543">
      <c r="A4543" s="7" t="n"/>
      <c r="B4543" s="7" t="n"/>
      <c r="C4543" s="7" t="n"/>
      <c r="D4543" s="7" t="n"/>
      <c r="E4543" s="7" t="n"/>
      <c r="F4543" s="7" t="n"/>
      <c r="G4543" s="7" t="n"/>
      <c r="H4543" s="7" t="n"/>
      <c r="I4543" s="7" t="n"/>
      <c r="J4543" s="7" t="n"/>
      <c r="K4543">
        <f>IF(D4543="Legitimate Interest (GDPR Art. 6(1)(f))", "Yes / Required (Sheet 3)", "")</f>
        <v/>
      </c>
      <c r="L4543" s="7" t="n"/>
      <c r="M4543" s="7" t="n"/>
      <c r="N4543">
        <f>IF(D4543="", "Gap - No Legal Basis", IF(AND(D4543="Consent (GDPR Art. 6(1)(a))", I4543="Not Captured"), "Gap - Invalid Consent", IF(AND(D4543="Legitimate Interest (GDPR Art. 6(1)(f))", L4543=""), "Gap - Missing LIA", IF(AND(G4543="Yes", H4543=""), "Gap - Missing Art. 9 Basis", IF(OR(I4543="Invalid - Not Freely Given", I4543="Invalid - Not Specific", I4543="Invalid - Not Informed", I4543="Invalid - Ambiguous"), "Gap - Invalid Consent", "Compliant")))))</f>
        <v/>
      </c>
      <c r="O4543" s="7" t="n"/>
    </row>
    <row r="4544">
      <c r="A4544" s="7" t="n"/>
      <c r="B4544" s="7" t="n"/>
      <c r="C4544" s="7" t="n"/>
      <c r="D4544" s="7" t="n"/>
      <c r="E4544" s="7" t="n"/>
      <c r="F4544" s="7" t="n"/>
      <c r="G4544" s="7" t="n"/>
      <c r="H4544" s="7" t="n"/>
      <c r="I4544" s="7" t="n"/>
      <c r="J4544" s="7" t="n"/>
      <c r="K4544">
        <f>IF(D4544="Legitimate Interest (GDPR Art. 6(1)(f))", "Yes / Required (Sheet 3)", "")</f>
        <v/>
      </c>
      <c r="L4544" s="7" t="n"/>
      <c r="M4544" s="7" t="n"/>
      <c r="N4544">
        <f>IF(D4544="", "Gap - No Legal Basis", IF(AND(D4544="Consent (GDPR Art. 6(1)(a))", I4544="Not Captured"), "Gap - Invalid Consent", IF(AND(D4544="Legitimate Interest (GDPR Art. 6(1)(f))", L4544=""), "Gap - Missing LIA", IF(AND(G4544="Yes", H4544=""), "Gap - Missing Art. 9 Basis", IF(OR(I4544="Invalid - Not Freely Given", I4544="Invalid - Not Specific", I4544="Invalid - Not Informed", I4544="Invalid - Ambiguous"), "Gap - Invalid Consent", "Compliant")))))</f>
        <v/>
      </c>
      <c r="O4544" s="7" t="n"/>
    </row>
    <row r="4545">
      <c r="A4545" s="7" t="n"/>
      <c r="B4545" s="7" t="n"/>
      <c r="C4545" s="7" t="n"/>
      <c r="D4545" s="7" t="n"/>
      <c r="E4545" s="7" t="n"/>
      <c r="F4545" s="7" t="n"/>
      <c r="G4545" s="7" t="n"/>
      <c r="H4545" s="7" t="n"/>
      <c r="I4545" s="7" t="n"/>
      <c r="J4545" s="7" t="n"/>
      <c r="K4545">
        <f>IF(D4545="Legitimate Interest (GDPR Art. 6(1)(f))", "Yes / Required (Sheet 3)", "")</f>
        <v/>
      </c>
      <c r="L4545" s="7" t="n"/>
      <c r="M4545" s="7" t="n"/>
      <c r="N4545">
        <f>IF(D4545="", "Gap - No Legal Basis", IF(AND(D4545="Consent (GDPR Art. 6(1)(a))", I4545="Not Captured"), "Gap - Invalid Consent", IF(AND(D4545="Legitimate Interest (GDPR Art. 6(1)(f))", L4545=""), "Gap - Missing LIA", IF(AND(G4545="Yes", H4545=""), "Gap - Missing Art. 9 Basis", IF(OR(I4545="Invalid - Not Freely Given", I4545="Invalid - Not Specific", I4545="Invalid - Not Informed", I4545="Invalid - Ambiguous"), "Gap - Invalid Consent", "Compliant")))))</f>
        <v/>
      </c>
      <c r="O4545" s="7" t="n"/>
    </row>
    <row r="4546">
      <c r="A4546" s="7" t="n"/>
      <c r="B4546" s="7" t="n"/>
      <c r="C4546" s="7" t="n"/>
      <c r="D4546" s="7" t="n"/>
      <c r="E4546" s="7" t="n"/>
      <c r="F4546" s="7" t="n"/>
      <c r="G4546" s="7" t="n"/>
      <c r="H4546" s="7" t="n"/>
      <c r="I4546" s="7" t="n"/>
      <c r="J4546" s="7" t="n"/>
      <c r="K4546">
        <f>IF(D4546="Legitimate Interest (GDPR Art. 6(1)(f))", "Yes / Required (Sheet 3)", "")</f>
        <v/>
      </c>
      <c r="L4546" s="7" t="n"/>
      <c r="M4546" s="7" t="n"/>
      <c r="N4546">
        <f>IF(D4546="", "Gap - No Legal Basis", IF(AND(D4546="Consent (GDPR Art. 6(1)(a))", I4546="Not Captured"), "Gap - Invalid Consent", IF(AND(D4546="Legitimate Interest (GDPR Art. 6(1)(f))", L4546=""), "Gap - Missing LIA", IF(AND(G4546="Yes", H4546=""), "Gap - Missing Art. 9 Basis", IF(OR(I4546="Invalid - Not Freely Given", I4546="Invalid - Not Specific", I4546="Invalid - Not Informed", I4546="Invalid - Ambiguous"), "Gap - Invalid Consent", "Compliant")))))</f>
        <v/>
      </c>
      <c r="O4546" s="7" t="n"/>
    </row>
    <row r="4547">
      <c r="A4547" s="7" t="n"/>
      <c r="B4547" s="7" t="n"/>
      <c r="C4547" s="7" t="n"/>
      <c r="D4547" s="7" t="n"/>
      <c r="E4547" s="7" t="n"/>
      <c r="F4547" s="7" t="n"/>
      <c r="G4547" s="7" t="n"/>
      <c r="H4547" s="7" t="n"/>
      <c r="I4547" s="7" t="n"/>
      <c r="J4547" s="7" t="n"/>
      <c r="K4547">
        <f>IF(D4547="Legitimate Interest (GDPR Art. 6(1)(f))", "Yes / Required (Sheet 3)", "")</f>
        <v/>
      </c>
      <c r="L4547" s="7" t="n"/>
      <c r="M4547" s="7" t="n"/>
      <c r="N4547">
        <f>IF(D4547="", "Gap - No Legal Basis", IF(AND(D4547="Consent (GDPR Art. 6(1)(a))", I4547="Not Captured"), "Gap - Invalid Consent", IF(AND(D4547="Legitimate Interest (GDPR Art. 6(1)(f))", L4547=""), "Gap - Missing LIA", IF(AND(G4547="Yes", H4547=""), "Gap - Missing Art. 9 Basis", IF(OR(I4547="Invalid - Not Freely Given", I4547="Invalid - Not Specific", I4547="Invalid - Not Informed", I4547="Invalid - Ambiguous"), "Gap - Invalid Consent", "Compliant")))))</f>
        <v/>
      </c>
      <c r="O4547" s="7" t="n"/>
    </row>
    <row r="4548">
      <c r="A4548" s="7" t="n"/>
      <c r="B4548" s="7" t="n"/>
      <c r="C4548" s="7" t="n"/>
      <c r="D4548" s="7" t="n"/>
      <c r="E4548" s="7" t="n"/>
      <c r="F4548" s="7" t="n"/>
      <c r="G4548" s="7" t="n"/>
      <c r="H4548" s="7" t="n"/>
      <c r="I4548" s="7" t="n"/>
      <c r="J4548" s="7" t="n"/>
      <c r="K4548">
        <f>IF(D4548="Legitimate Interest (GDPR Art. 6(1)(f))", "Yes / Required (Sheet 3)", "")</f>
        <v/>
      </c>
      <c r="L4548" s="7" t="n"/>
      <c r="M4548" s="7" t="n"/>
      <c r="N4548">
        <f>IF(D4548="", "Gap - No Legal Basis", IF(AND(D4548="Consent (GDPR Art. 6(1)(a))", I4548="Not Captured"), "Gap - Invalid Consent", IF(AND(D4548="Legitimate Interest (GDPR Art. 6(1)(f))", L4548=""), "Gap - Missing LIA", IF(AND(G4548="Yes", H4548=""), "Gap - Missing Art. 9 Basis", IF(OR(I4548="Invalid - Not Freely Given", I4548="Invalid - Not Specific", I4548="Invalid - Not Informed", I4548="Invalid - Ambiguous"), "Gap - Invalid Consent", "Compliant")))))</f>
        <v/>
      </c>
      <c r="O4548" s="7" t="n"/>
    </row>
    <row r="4549">
      <c r="A4549" s="7" t="n"/>
      <c r="B4549" s="7" t="n"/>
      <c r="C4549" s="7" t="n"/>
      <c r="D4549" s="7" t="n"/>
      <c r="E4549" s="7" t="n"/>
      <c r="F4549" s="7" t="n"/>
      <c r="G4549" s="7" t="n"/>
      <c r="H4549" s="7" t="n"/>
      <c r="I4549" s="7" t="n"/>
      <c r="J4549" s="7" t="n"/>
      <c r="K4549">
        <f>IF(D4549="Legitimate Interest (GDPR Art. 6(1)(f))", "Yes / Required (Sheet 3)", "")</f>
        <v/>
      </c>
      <c r="L4549" s="7" t="n"/>
      <c r="M4549" s="7" t="n"/>
      <c r="N4549">
        <f>IF(D4549="", "Gap - No Legal Basis", IF(AND(D4549="Consent (GDPR Art. 6(1)(a))", I4549="Not Captured"), "Gap - Invalid Consent", IF(AND(D4549="Legitimate Interest (GDPR Art. 6(1)(f))", L4549=""), "Gap - Missing LIA", IF(AND(G4549="Yes", H4549=""), "Gap - Missing Art. 9 Basis", IF(OR(I4549="Invalid - Not Freely Given", I4549="Invalid - Not Specific", I4549="Invalid - Not Informed", I4549="Invalid - Ambiguous"), "Gap - Invalid Consent", "Compliant")))))</f>
        <v/>
      </c>
      <c r="O4549" s="7" t="n"/>
    </row>
    <row r="4550">
      <c r="A4550" s="7" t="n"/>
      <c r="B4550" s="7" t="n"/>
      <c r="C4550" s="7" t="n"/>
      <c r="D4550" s="7" t="n"/>
      <c r="E4550" s="7" t="n"/>
      <c r="F4550" s="7" t="n"/>
      <c r="G4550" s="7" t="n"/>
      <c r="H4550" s="7" t="n"/>
      <c r="I4550" s="7" t="n"/>
      <c r="J4550" s="7" t="n"/>
      <c r="K4550">
        <f>IF(D4550="Legitimate Interest (GDPR Art. 6(1)(f))", "Yes / Required (Sheet 3)", "")</f>
        <v/>
      </c>
      <c r="L4550" s="7" t="n"/>
      <c r="M4550" s="7" t="n"/>
      <c r="N4550">
        <f>IF(D4550="", "Gap - No Legal Basis", IF(AND(D4550="Consent (GDPR Art. 6(1)(a))", I4550="Not Captured"), "Gap - Invalid Consent", IF(AND(D4550="Legitimate Interest (GDPR Art. 6(1)(f))", L4550=""), "Gap - Missing LIA", IF(AND(G4550="Yes", H4550=""), "Gap - Missing Art. 9 Basis", IF(OR(I4550="Invalid - Not Freely Given", I4550="Invalid - Not Specific", I4550="Invalid - Not Informed", I4550="Invalid - Ambiguous"), "Gap - Invalid Consent", "Compliant")))))</f>
        <v/>
      </c>
      <c r="O4550" s="7" t="n"/>
    </row>
    <row r="4551">
      <c r="A4551" s="7" t="n"/>
      <c r="B4551" s="7" t="n"/>
      <c r="C4551" s="7" t="n"/>
      <c r="D4551" s="7" t="n"/>
      <c r="E4551" s="7" t="n"/>
      <c r="F4551" s="7" t="n"/>
      <c r="G4551" s="7" t="n"/>
      <c r="H4551" s="7" t="n"/>
      <c r="I4551" s="7" t="n"/>
      <c r="J4551" s="7" t="n"/>
      <c r="K4551">
        <f>IF(D4551="Legitimate Interest (GDPR Art. 6(1)(f))", "Yes / Required (Sheet 3)", "")</f>
        <v/>
      </c>
      <c r="L4551" s="7" t="n"/>
      <c r="M4551" s="7" t="n"/>
      <c r="N4551">
        <f>IF(D4551="", "Gap - No Legal Basis", IF(AND(D4551="Consent (GDPR Art. 6(1)(a))", I4551="Not Captured"), "Gap - Invalid Consent", IF(AND(D4551="Legitimate Interest (GDPR Art. 6(1)(f))", L4551=""), "Gap - Missing LIA", IF(AND(G4551="Yes", H4551=""), "Gap - Missing Art. 9 Basis", IF(OR(I4551="Invalid - Not Freely Given", I4551="Invalid - Not Specific", I4551="Invalid - Not Informed", I4551="Invalid - Ambiguous"), "Gap - Invalid Consent", "Compliant")))))</f>
        <v/>
      </c>
      <c r="O4551" s="7" t="n"/>
    </row>
    <row r="4552">
      <c r="A4552" s="7" t="n"/>
      <c r="B4552" s="7" t="n"/>
      <c r="C4552" s="7" t="n"/>
      <c r="D4552" s="7" t="n"/>
      <c r="E4552" s="7" t="n"/>
      <c r="F4552" s="7" t="n"/>
      <c r="G4552" s="7" t="n"/>
      <c r="H4552" s="7" t="n"/>
      <c r="I4552" s="7" t="n"/>
      <c r="J4552" s="7" t="n"/>
      <c r="K4552">
        <f>IF(D4552="Legitimate Interest (GDPR Art. 6(1)(f))", "Yes / Required (Sheet 3)", "")</f>
        <v/>
      </c>
      <c r="L4552" s="7" t="n"/>
      <c r="M4552" s="7" t="n"/>
      <c r="N4552">
        <f>IF(D4552="", "Gap - No Legal Basis", IF(AND(D4552="Consent (GDPR Art. 6(1)(a))", I4552="Not Captured"), "Gap - Invalid Consent", IF(AND(D4552="Legitimate Interest (GDPR Art. 6(1)(f))", L4552=""), "Gap - Missing LIA", IF(AND(G4552="Yes", H4552=""), "Gap - Missing Art. 9 Basis", IF(OR(I4552="Invalid - Not Freely Given", I4552="Invalid - Not Specific", I4552="Invalid - Not Informed", I4552="Invalid - Ambiguous"), "Gap - Invalid Consent", "Compliant")))))</f>
        <v/>
      </c>
      <c r="O4552" s="7" t="n"/>
    </row>
    <row r="4553">
      <c r="A4553" s="7" t="n"/>
      <c r="B4553" s="7" t="n"/>
      <c r="C4553" s="7" t="n"/>
      <c r="D4553" s="7" t="n"/>
      <c r="E4553" s="7" t="n"/>
      <c r="F4553" s="7" t="n"/>
      <c r="G4553" s="7" t="n"/>
      <c r="H4553" s="7" t="n"/>
      <c r="I4553" s="7" t="n"/>
      <c r="J4553" s="7" t="n"/>
      <c r="K4553">
        <f>IF(D4553="Legitimate Interest (GDPR Art. 6(1)(f))", "Yes / Required (Sheet 3)", "")</f>
        <v/>
      </c>
      <c r="L4553" s="7" t="n"/>
      <c r="M4553" s="7" t="n"/>
      <c r="N4553">
        <f>IF(D4553="", "Gap - No Legal Basis", IF(AND(D4553="Consent (GDPR Art. 6(1)(a))", I4553="Not Captured"), "Gap - Invalid Consent", IF(AND(D4553="Legitimate Interest (GDPR Art. 6(1)(f))", L4553=""), "Gap - Missing LIA", IF(AND(G4553="Yes", H4553=""), "Gap - Missing Art. 9 Basis", IF(OR(I4553="Invalid - Not Freely Given", I4553="Invalid - Not Specific", I4553="Invalid - Not Informed", I4553="Invalid - Ambiguous"), "Gap - Invalid Consent", "Compliant")))))</f>
        <v/>
      </c>
      <c r="O4553" s="7" t="n"/>
    </row>
    <row r="4554">
      <c r="A4554" s="7" t="n"/>
      <c r="B4554" s="7" t="n"/>
      <c r="C4554" s="7" t="n"/>
      <c r="D4554" s="7" t="n"/>
      <c r="E4554" s="7" t="n"/>
      <c r="F4554" s="7" t="n"/>
      <c r="G4554" s="7" t="n"/>
      <c r="H4554" s="7" t="n"/>
      <c r="I4554" s="7" t="n"/>
      <c r="J4554" s="7" t="n"/>
      <c r="K4554">
        <f>IF(D4554="Legitimate Interest (GDPR Art. 6(1)(f))", "Yes / Required (Sheet 3)", "")</f>
        <v/>
      </c>
      <c r="L4554" s="7" t="n"/>
      <c r="M4554" s="7" t="n"/>
      <c r="N4554">
        <f>IF(D4554="", "Gap - No Legal Basis", IF(AND(D4554="Consent (GDPR Art. 6(1)(a))", I4554="Not Captured"), "Gap - Invalid Consent", IF(AND(D4554="Legitimate Interest (GDPR Art. 6(1)(f))", L4554=""), "Gap - Missing LIA", IF(AND(G4554="Yes", H4554=""), "Gap - Missing Art. 9 Basis", IF(OR(I4554="Invalid - Not Freely Given", I4554="Invalid - Not Specific", I4554="Invalid - Not Informed", I4554="Invalid - Ambiguous"), "Gap - Invalid Consent", "Compliant")))))</f>
        <v/>
      </c>
      <c r="O4554" s="7" t="n"/>
    </row>
    <row r="4555">
      <c r="A4555" s="7" t="n"/>
      <c r="B4555" s="7" t="n"/>
      <c r="C4555" s="7" t="n"/>
      <c r="D4555" s="7" t="n"/>
      <c r="E4555" s="7" t="n"/>
      <c r="F4555" s="7" t="n"/>
      <c r="G4555" s="7" t="n"/>
      <c r="H4555" s="7" t="n"/>
      <c r="I4555" s="7" t="n"/>
      <c r="J4555" s="7" t="n"/>
      <c r="K4555">
        <f>IF(D4555="Legitimate Interest (GDPR Art. 6(1)(f))", "Yes / Required (Sheet 3)", "")</f>
        <v/>
      </c>
      <c r="L4555" s="7" t="n"/>
      <c r="M4555" s="7" t="n"/>
      <c r="N4555">
        <f>IF(D4555="", "Gap - No Legal Basis", IF(AND(D4555="Consent (GDPR Art. 6(1)(a))", I4555="Not Captured"), "Gap - Invalid Consent", IF(AND(D4555="Legitimate Interest (GDPR Art. 6(1)(f))", L4555=""), "Gap - Missing LIA", IF(AND(G4555="Yes", H4555=""), "Gap - Missing Art. 9 Basis", IF(OR(I4555="Invalid - Not Freely Given", I4555="Invalid - Not Specific", I4555="Invalid - Not Informed", I4555="Invalid - Ambiguous"), "Gap - Invalid Consent", "Compliant")))))</f>
        <v/>
      </c>
      <c r="O4555" s="7" t="n"/>
    </row>
    <row r="4556">
      <c r="A4556" s="7" t="n"/>
      <c r="B4556" s="7" t="n"/>
      <c r="C4556" s="7" t="n"/>
      <c r="D4556" s="7" t="n"/>
      <c r="E4556" s="7" t="n"/>
      <c r="F4556" s="7" t="n"/>
      <c r="G4556" s="7" t="n"/>
      <c r="H4556" s="7" t="n"/>
      <c r="I4556" s="7" t="n"/>
      <c r="J4556" s="7" t="n"/>
      <c r="K4556">
        <f>IF(D4556="Legitimate Interest (GDPR Art. 6(1)(f))", "Yes / Required (Sheet 3)", "")</f>
        <v/>
      </c>
      <c r="L4556" s="7" t="n"/>
      <c r="M4556" s="7" t="n"/>
      <c r="N4556">
        <f>IF(D4556="", "Gap - No Legal Basis", IF(AND(D4556="Consent (GDPR Art. 6(1)(a))", I4556="Not Captured"), "Gap - Invalid Consent", IF(AND(D4556="Legitimate Interest (GDPR Art. 6(1)(f))", L4556=""), "Gap - Missing LIA", IF(AND(G4556="Yes", H4556=""), "Gap - Missing Art. 9 Basis", IF(OR(I4556="Invalid - Not Freely Given", I4556="Invalid - Not Specific", I4556="Invalid - Not Informed", I4556="Invalid - Ambiguous"), "Gap - Invalid Consent", "Compliant")))))</f>
        <v/>
      </c>
      <c r="O4556" s="7" t="n"/>
    </row>
    <row r="4557">
      <c r="A4557" s="7" t="n"/>
      <c r="B4557" s="7" t="n"/>
      <c r="C4557" s="7" t="n"/>
      <c r="D4557" s="7" t="n"/>
      <c r="E4557" s="7" t="n"/>
      <c r="F4557" s="7" t="n"/>
      <c r="G4557" s="7" t="n"/>
      <c r="H4557" s="7" t="n"/>
      <c r="I4557" s="7" t="n"/>
      <c r="J4557" s="7" t="n"/>
      <c r="K4557">
        <f>IF(D4557="Legitimate Interest (GDPR Art. 6(1)(f))", "Yes / Required (Sheet 3)", "")</f>
        <v/>
      </c>
      <c r="L4557" s="7" t="n"/>
      <c r="M4557" s="7" t="n"/>
      <c r="N4557">
        <f>IF(D4557="", "Gap - No Legal Basis", IF(AND(D4557="Consent (GDPR Art. 6(1)(a))", I4557="Not Captured"), "Gap - Invalid Consent", IF(AND(D4557="Legitimate Interest (GDPR Art. 6(1)(f))", L4557=""), "Gap - Missing LIA", IF(AND(G4557="Yes", H4557=""), "Gap - Missing Art. 9 Basis", IF(OR(I4557="Invalid - Not Freely Given", I4557="Invalid - Not Specific", I4557="Invalid - Not Informed", I4557="Invalid - Ambiguous"), "Gap - Invalid Consent", "Compliant")))))</f>
        <v/>
      </c>
      <c r="O4557" s="7" t="n"/>
    </row>
    <row r="4558">
      <c r="A4558" s="7" t="n"/>
      <c r="B4558" s="7" t="n"/>
      <c r="C4558" s="7" t="n"/>
      <c r="D4558" s="7" t="n"/>
      <c r="E4558" s="7" t="n"/>
      <c r="F4558" s="7" t="n"/>
      <c r="G4558" s="7" t="n"/>
      <c r="H4558" s="7" t="n"/>
      <c r="I4558" s="7" t="n"/>
      <c r="J4558" s="7" t="n"/>
      <c r="K4558">
        <f>IF(D4558="Legitimate Interest (GDPR Art. 6(1)(f))", "Yes / Required (Sheet 3)", "")</f>
        <v/>
      </c>
      <c r="L4558" s="7" t="n"/>
      <c r="M4558" s="7" t="n"/>
      <c r="N4558">
        <f>IF(D4558="", "Gap - No Legal Basis", IF(AND(D4558="Consent (GDPR Art. 6(1)(a))", I4558="Not Captured"), "Gap - Invalid Consent", IF(AND(D4558="Legitimate Interest (GDPR Art. 6(1)(f))", L4558=""), "Gap - Missing LIA", IF(AND(G4558="Yes", H4558=""), "Gap - Missing Art. 9 Basis", IF(OR(I4558="Invalid - Not Freely Given", I4558="Invalid - Not Specific", I4558="Invalid - Not Informed", I4558="Invalid - Ambiguous"), "Gap - Invalid Consent", "Compliant")))))</f>
        <v/>
      </c>
      <c r="O4558" s="7" t="n"/>
    </row>
    <row r="4559">
      <c r="A4559" s="7" t="n"/>
      <c r="B4559" s="7" t="n"/>
      <c r="C4559" s="7" t="n"/>
      <c r="D4559" s="7" t="n"/>
      <c r="E4559" s="7" t="n"/>
      <c r="F4559" s="7" t="n"/>
      <c r="G4559" s="7" t="n"/>
      <c r="H4559" s="7" t="n"/>
      <c r="I4559" s="7" t="n"/>
      <c r="J4559" s="7" t="n"/>
      <c r="K4559">
        <f>IF(D4559="Legitimate Interest (GDPR Art. 6(1)(f))", "Yes / Required (Sheet 3)", "")</f>
        <v/>
      </c>
      <c r="L4559" s="7" t="n"/>
      <c r="M4559" s="7" t="n"/>
      <c r="N4559">
        <f>IF(D4559="", "Gap - No Legal Basis", IF(AND(D4559="Consent (GDPR Art. 6(1)(a))", I4559="Not Captured"), "Gap - Invalid Consent", IF(AND(D4559="Legitimate Interest (GDPR Art. 6(1)(f))", L4559=""), "Gap - Missing LIA", IF(AND(G4559="Yes", H4559=""), "Gap - Missing Art. 9 Basis", IF(OR(I4559="Invalid - Not Freely Given", I4559="Invalid - Not Specific", I4559="Invalid - Not Informed", I4559="Invalid - Ambiguous"), "Gap - Invalid Consent", "Compliant")))))</f>
        <v/>
      </c>
      <c r="O4559" s="7" t="n"/>
    </row>
    <row r="4560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7" t="n"/>
      <c r="J4560" s="7" t="n"/>
      <c r="K4560">
        <f>IF(D4560="Legitimate Interest (GDPR Art. 6(1)(f))", "Yes / Required (Sheet 3)", "")</f>
        <v/>
      </c>
      <c r="L4560" s="7" t="n"/>
      <c r="M4560" s="7" t="n"/>
      <c r="N4560">
        <f>IF(D4560="", "Gap - No Legal Basis", IF(AND(D4560="Consent (GDPR Art. 6(1)(a))", I4560="Not Captured"), "Gap - Invalid Consent", IF(AND(D4560="Legitimate Interest (GDPR Art. 6(1)(f))", L4560=""), "Gap - Missing LIA", IF(AND(G4560="Yes", H4560=""), "Gap - Missing Art. 9 Basis", IF(OR(I4560="Invalid - Not Freely Given", I4560="Invalid - Not Specific", I4560="Invalid - Not Informed", I4560="Invalid - Ambiguous"), "Gap - Invalid Consent", "Compliant")))))</f>
        <v/>
      </c>
      <c r="O4560" s="7" t="n"/>
    </row>
    <row r="4561">
      <c r="A4561" s="7" t="n"/>
      <c r="B4561" s="7" t="n"/>
      <c r="C4561" s="7" t="n"/>
      <c r="D4561" s="7" t="n"/>
      <c r="E4561" s="7" t="n"/>
      <c r="F4561" s="7" t="n"/>
      <c r="G4561" s="7" t="n"/>
      <c r="H4561" s="7" t="n"/>
      <c r="I4561" s="7" t="n"/>
      <c r="J4561" s="7" t="n"/>
      <c r="K4561">
        <f>IF(D4561="Legitimate Interest (GDPR Art. 6(1)(f))", "Yes / Required (Sheet 3)", "")</f>
        <v/>
      </c>
      <c r="L4561" s="7" t="n"/>
      <c r="M4561" s="7" t="n"/>
      <c r="N4561">
        <f>IF(D4561="", "Gap - No Legal Basis", IF(AND(D4561="Consent (GDPR Art. 6(1)(a))", I4561="Not Captured"), "Gap - Invalid Consent", IF(AND(D4561="Legitimate Interest (GDPR Art. 6(1)(f))", L4561=""), "Gap - Missing LIA", IF(AND(G4561="Yes", H4561=""), "Gap - Missing Art. 9 Basis", IF(OR(I4561="Invalid - Not Freely Given", I4561="Invalid - Not Specific", I4561="Invalid - Not Informed", I4561="Invalid - Ambiguous"), "Gap - Invalid Consent", "Compliant")))))</f>
        <v/>
      </c>
      <c r="O4561" s="7" t="n"/>
    </row>
    <row r="4562">
      <c r="A4562" s="7" t="n"/>
      <c r="B4562" s="7" t="n"/>
      <c r="C4562" s="7" t="n"/>
      <c r="D4562" s="7" t="n"/>
      <c r="E4562" s="7" t="n"/>
      <c r="F4562" s="7" t="n"/>
      <c r="G4562" s="7" t="n"/>
      <c r="H4562" s="7" t="n"/>
      <c r="I4562" s="7" t="n"/>
      <c r="J4562" s="7" t="n"/>
      <c r="K4562">
        <f>IF(D4562="Legitimate Interest (GDPR Art. 6(1)(f))", "Yes / Required (Sheet 3)", "")</f>
        <v/>
      </c>
      <c r="L4562" s="7" t="n"/>
      <c r="M4562" s="7" t="n"/>
      <c r="N4562">
        <f>IF(D4562="", "Gap - No Legal Basis", IF(AND(D4562="Consent (GDPR Art. 6(1)(a))", I4562="Not Captured"), "Gap - Invalid Consent", IF(AND(D4562="Legitimate Interest (GDPR Art. 6(1)(f))", L4562=""), "Gap - Missing LIA", IF(AND(G4562="Yes", H4562=""), "Gap - Missing Art. 9 Basis", IF(OR(I4562="Invalid - Not Freely Given", I4562="Invalid - Not Specific", I4562="Invalid - Not Informed", I4562="Invalid - Ambiguous"), "Gap - Invalid Consent", "Compliant")))))</f>
        <v/>
      </c>
      <c r="O4562" s="7" t="n"/>
    </row>
    <row r="4563">
      <c r="A4563" s="7" t="n"/>
      <c r="B4563" s="7" t="n"/>
      <c r="C4563" s="7" t="n"/>
      <c r="D4563" s="7" t="n"/>
      <c r="E4563" s="7" t="n"/>
      <c r="F4563" s="7" t="n"/>
      <c r="G4563" s="7" t="n"/>
      <c r="H4563" s="7" t="n"/>
      <c r="I4563" s="7" t="n"/>
      <c r="J4563" s="7" t="n"/>
      <c r="K4563">
        <f>IF(D4563="Legitimate Interest (GDPR Art. 6(1)(f))", "Yes / Required (Sheet 3)", "")</f>
        <v/>
      </c>
      <c r="L4563" s="7" t="n"/>
      <c r="M4563" s="7" t="n"/>
      <c r="N4563">
        <f>IF(D4563="", "Gap - No Legal Basis", IF(AND(D4563="Consent (GDPR Art. 6(1)(a))", I4563="Not Captured"), "Gap - Invalid Consent", IF(AND(D4563="Legitimate Interest (GDPR Art. 6(1)(f))", L4563=""), "Gap - Missing LIA", IF(AND(G4563="Yes", H4563=""), "Gap - Missing Art. 9 Basis", IF(OR(I4563="Invalid - Not Freely Given", I4563="Invalid - Not Specific", I4563="Invalid - Not Informed", I4563="Invalid - Ambiguous"), "Gap - Invalid Consent", "Compliant")))))</f>
        <v/>
      </c>
      <c r="O4563" s="7" t="n"/>
    </row>
    <row r="4564">
      <c r="A4564" s="7" t="n"/>
      <c r="B4564" s="7" t="n"/>
      <c r="C4564" s="7" t="n"/>
      <c r="D4564" s="7" t="n"/>
      <c r="E4564" s="7" t="n"/>
      <c r="F4564" s="7" t="n"/>
      <c r="G4564" s="7" t="n"/>
      <c r="H4564" s="7" t="n"/>
      <c r="I4564" s="7" t="n"/>
      <c r="J4564" s="7" t="n"/>
      <c r="K4564">
        <f>IF(D4564="Legitimate Interest (GDPR Art. 6(1)(f))", "Yes / Required (Sheet 3)", "")</f>
        <v/>
      </c>
      <c r="L4564" s="7" t="n"/>
      <c r="M4564" s="7" t="n"/>
      <c r="N4564">
        <f>IF(D4564="", "Gap - No Legal Basis", IF(AND(D4564="Consent (GDPR Art. 6(1)(a))", I4564="Not Captured"), "Gap - Invalid Consent", IF(AND(D4564="Legitimate Interest (GDPR Art. 6(1)(f))", L4564=""), "Gap - Missing LIA", IF(AND(G4564="Yes", H4564=""), "Gap - Missing Art. 9 Basis", IF(OR(I4564="Invalid - Not Freely Given", I4564="Invalid - Not Specific", I4564="Invalid - Not Informed", I4564="Invalid - Ambiguous"), "Gap - Invalid Consent", "Compliant")))))</f>
        <v/>
      </c>
      <c r="O4564" s="7" t="n"/>
    </row>
    <row r="4565">
      <c r="A4565" s="7" t="n"/>
      <c r="B4565" s="7" t="n"/>
      <c r="C4565" s="7" t="n"/>
      <c r="D4565" s="7" t="n"/>
      <c r="E4565" s="7" t="n"/>
      <c r="F4565" s="7" t="n"/>
      <c r="G4565" s="7" t="n"/>
      <c r="H4565" s="7" t="n"/>
      <c r="I4565" s="7" t="n"/>
      <c r="J4565" s="7" t="n"/>
      <c r="K4565">
        <f>IF(D4565="Legitimate Interest (GDPR Art. 6(1)(f))", "Yes / Required (Sheet 3)", "")</f>
        <v/>
      </c>
      <c r="L4565" s="7" t="n"/>
      <c r="M4565" s="7" t="n"/>
      <c r="N4565">
        <f>IF(D4565="", "Gap - No Legal Basis", IF(AND(D4565="Consent (GDPR Art. 6(1)(a))", I4565="Not Captured"), "Gap - Invalid Consent", IF(AND(D4565="Legitimate Interest (GDPR Art. 6(1)(f))", L4565=""), "Gap - Missing LIA", IF(AND(G4565="Yes", H4565=""), "Gap - Missing Art. 9 Basis", IF(OR(I4565="Invalid - Not Freely Given", I4565="Invalid - Not Specific", I4565="Invalid - Not Informed", I4565="Invalid - Ambiguous"), "Gap - Invalid Consent", "Compliant")))))</f>
        <v/>
      </c>
      <c r="O4565" s="7" t="n"/>
    </row>
    <row r="4566">
      <c r="A4566" s="7" t="n"/>
      <c r="B4566" s="7" t="n"/>
      <c r="C4566" s="7" t="n"/>
      <c r="D4566" s="7" t="n"/>
      <c r="E4566" s="7" t="n"/>
      <c r="F4566" s="7" t="n"/>
      <c r="G4566" s="7" t="n"/>
      <c r="H4566" s="7" t="n"/>
      <c r="I4566" s="7" t="n"/>
      <c r="J4566" s="7" t="n"/>
      <c r="K4566">
        <f>IF(D4566="Legitimate Interest (GDPR Art. 6(1)(f))", "Yes / Required (Sheet 3)", "")</f>
        <v/>
      </c>
      <c r="L4566" s="7" t="n"/>
      <c r="M4566" s="7" t="n"/>
      <c r="N4566">
        <f>IF(D4566="", "Gap - No Legal Basis", IF(AND(D4566="Consent (GDPR Art. 6(1)(a))", I4566="Not Captured"), "Gap - Invalid Consent", IF(AND(D4566="Legitimate Interest (GDPR Art. 6(1)(f))", L4566=""), "Gap - Missing LIA", IF(AND(G4566="Yes", H4566=""), "Gap - Missing Art. 9 Basis", IF(OR(I4566="Invalid - Not Freely Given", I4566="Invalid - Not Specific", I4566="Invalid - Not Informed", I4566="Invalid - Ambiguous"), "Gap - Invalid Consent", "Compliant")))))</f>
        <v/>
      </c>
      <c r="O4566" s="7" t="n"/>
    </row>
    <row r="4567">
      <c r="A4567" s="7" t="n"/>
      <c r="B4567" s="7" t="n"/>
      <c r="C4567" s="7" t="n"/>
      <c r="D4567" s="7" t="n"/>
      <c r="E4567" s="7" t="n"/>
      <c r="F4567" s="7" t="n"/>
      <c r="G4567" s="7" t="n"/>
      <c r="H4567" s="7" t="n"/>
      <c r="I4567" s="7" t="n"/>
      <c r="J4567" s="7" t="n"/>
      <c r="K4567">
        <f>IF(D4567="Legitimate Interest (GDPR Art. 6(1)(f))", "Yes / Required (Sheet 3)", "")</f>
        <v/>
      </c>
      <c r="L4567" s="7" t="n"/>
      <c r="M4567" s="7" t="n"/>
      <c r="N4567">
        <f>IF(D4567="", "Gap - No Legal Basis", IF(AND(D4567="Consent (GDPR Art. 6(1)(a))", I4567="Not Captured"), "Gap - Invalid Consent", IF(AND(D4567="Legitimate Interest (GDPR Art. 6(1)(f))", L4567=""), "Gap - Missing LIA", IF(AND(G4567="Yes", H4567=""), "Gap - Missing Art. 9 Basis", IF(OR(I4567="Invalid - Not Freely Given", I4567="Invalid - Not Specific", I4567="Invalid - Not Informed", I4567="Invalid - Ambiguous"), "Gap - Invalid Consent", "Compliant")))))</f>
        <v/>
      </c>
      <c r="O4567" s="7" t="n"/>
    </row>
    <row r="4568">
      <c r="A4568" s="7" t="n"/>
      <c r="B4568" s="7" t="n"/>
      <c r="C4568" s="7" t="n"/>
      <c r="D4568" s="7" t="n"/>
      <c r="E4568" s="7" t="n"/>
      <c r="F4568" s="7" t="n"/>
      <c r="G4568" s="7" t="n"/>
      <c r="H4568" s="7" t="n"/>
      <c r="I4568" s="7" t="n"/>
      <c r="J4568" s="7" t="n"/>
      <c r="K4568">
        <f>IF(D4568="Legitimate Interest (GDPR Art. 6(1)(f))", "Yes / Required (Sheet 3)", "")</f>
        <v/>
      </c>
      <c r="L4568" s="7" t="n"/>
      <c r="M4568" s="7" t="n"/>
      <c r="N4568">
        <f>IF(D4568="", "Gap - No Legal Basis", IF(AND(D4568="Consent (GDPR Art. 6(1)(a))", I4568="Not Captured"), "Gap - Invalid Consent", IF(AND(D4568="Legitimate Interest (GDPR Art. 6(1)(f))", L4568=""), "Gap - Missing LIA", IF(AND(G4568="Yes", H4568=""), "Gap - Missing Art. 9 Basis", IF(OR(I4568="Invalid - Not Freely Given", I4568="Invalid - Not Specific", I4568="Invalid - Not Informed", I4568="Invalid - Ambiguous"), "Gap - Invalid Consent", "Compliant")))))</f>
        <v/>
      </c>
      <c r="O4568" s="7" t="n"/>
    </row>
    <row r="4569">
      <c r="A4569" s="7" t="n"/>
      <c r="B4569" s="7" t="n"/>
      <c r="C4569" s="7" t="n"/>
      <c r="D4569" s="7" t="n"/>
      <c r="E4569" s="7" t="n"/>
      <c r="F4569" s="7" t="n"/>
      <c r="G4569" s="7" t="n"/>
      <c r="H4569" s="7" t="n"/>
      <c r="I4569" s="7" t="n"/>
      <c r="J4569" s="7" t="n"/>
      <c r="K4569">
        <f>IF(D4569="Legitimate Interest (GDPR Art. 6(1)(f))", "Yes / Required (Sheet 3)", "")</f>
        <v/>
      </c>
      <c r="L4569" s="7" t="n"/>
      <c r="M4569" s="7" t="n"/>
      <c r="N4569">
        <f>IF(D4569="", "Gap - No Legal Basis", IF(AND(D4569="Consent (GDPR Art. 6(1)(a))", I4569="Not Captured"), "Gap - Invalid Consent", IF(AND(D4569="Legitimate Interest (GDPR Art. 6(1)(f))", L4569=""), "Gap - Missing LIA", IF(AND(G4569="Yes", H4569=""), "Gap - Missing Art. 9 Basis", IF(OR(I4569="Invalid - Not Freely Given", I4569="Invalid - Not Specific", I4569="Invalid - Not Informed", I4569="Invalid - Ambiguous"), "Gap - Invalid Consent", "Compliant")))))</f>
        <v/>
      </c>
      <c r="O4569" s="7" t="n"/>
    </row>
    <row r="4570">
      <c r="A4570" s="7" t="n"/>
      <c r="B4570" s="7" t="n"/>
      <c r="C4570" s="7" t="n"/>
      <c r="D4570" s="7" t="n"/>
      <c r="E4570" s="7" t="n"/>
      <c r="F4570" s="7" t="n"/>
      <c r="G4570" s="7" t="n"/>
      <c r="H4570" s="7" t="n"/>
      <c r="I4570" s="7" t="n"/>
      <c r="J4570" s="7" t="n"/>
      <c r="K4570">
        <f>IF(D4570="Legitimate Interest (GDPR Art. 6(1)(f))", "Yes / Required (Sheet 3)", "")</f>
        <v/>
      </c>
      <c r="L4570" s="7" t="n"/>
      <c r="M4570" s="7" t="n"/>
      <c r="N4570">
        <f>IF(D4570="", "Gap - No Legal Basis", IF(AND(D4570="Consent (GDPR Art. 6(1)(a))", I4570="Not Captured"), "Gap - Invalid Consent", IF(AND(D4570="Legitimate Interest (GDPR Art. 6(1)(f))", L4570=""), "Gap - Missing LIA", IF(AND(G4570="Yes", H4570=""), "Gap - Missing Art. 9 Basis", IF(OR(I4570="Invalid - Not Freely Given", I4570="Invalid - Not Specific", I4570="Invalid - Not Informed", I4570="Invalid - Ambiguous"), "Gap - Invalid Consent", "Compliant")))))</f>
        <v/>
      </c>
      <c r="O4570" s="7" t="n"/>
    </row>
    <row r="4571">
      <c r="A4571" s="7" t="n"/>
      <c r="B4571" s="7" t="n"/>
      <c r="C4571" s="7" t="n"/>
      <c r="D4571" s="7" t="n"/>
      <c r="E4571" s="7" t="n"/>
      <c r="F4571" s="7" t="n"/>
      <c r="G4571" s="7" t="n"/>
      <c r="H4571" s="7" t="n"/>
      <c r="I4571" s="7" t="n"/>
      <c r="J4571" s="7" t="n"/>
      <c r="K4571">
        <f>IF(D4571="Legitimate Interest (GDPR Art. 6(1)(f))", "Yes / Required (Sheet 3)", "")</f>
        <v/>
      </c>
      <c r="L4571" s="7" t="n"/>
      <c r="M4571" s="7" t="n"/>
      <c r="N4571">
        <f>IF(D4571="", "Gap - No Legal Basis", IF(AND(D4571="Consent (GDPR Art. 6(1)(a))", I4571="Not Captured"), "Gap - Invalid Consent", IF(AND(D4571="Legitimate Interest (GDPR Art. 6(1)(f))", L4571=""), "Gap - Missing LIA", IF(AND(G4571="Yes", H4571=""), "Gap - Missing Art. 9 Basis", IF(OR(I4571="Invalid - Not Freely Given", I4571="Invalid - Not Specific", I4571="Invalid - Not Informed", I4571="Invalid - Ambiguous"), "Gap - Invalid Consent", "Compliant")))))</f>
        <v/>
      </c>
      <c r="O4571" s="7" t="n"/>
    </row>
    <row r="4572">
      <c r="A4572" s="7" t="n"/>
      <c r="B4572" s="7" t="n"/>
      <c r="C4572" s="7" t="n"/>
      <c r="D4572" s="7" t="n"/>
      <c r="E4572" s="7" t="n"/>
      <c r="F4572" s="7" t="n"/>
      <c r="G4572" s="7" t="n"/>
      <c r="H4572" s="7" t="n"/>
      <c r="I4572" s="7" t="n"/>
      <c r="J4572" s="7" t="n"/>
      <c r="K4572">
        <f>IF(D4572="Legitimate Interest (GDPR Art. 6(1)(f))", "Yes / Required (Sheet 3)", "")</f>
        <v/>
      </c>
      <c r="L4572" s="7" t="n"/>
      <c r="M4572" s="7" t="n"/>
      <c r="N4572">
        <f>IF(D4572="", "Gap - No Legal Basis", IF(AND(D4572="Consent (GDPR Art. 6(1)(a))", I4572="Not Captured"), "Gap - Invalid Consent", IF(AND(D4572="Legitimate Interest (GDPR Art. 6(1)(f))", L4572=""), "Gap - Missing LIA", IF(AND(G4572="Yes", H4572=""), "Gap - Missing Art. 9 Basis", IF(OR(I4572="Invalid - Not Freely Given", I4572="Invalid - Not Specific", I4572="Invalid - Not Informed", I4572="Invalid - Ambiguous"), "Gap - Invalid Consent", "Compliant")))))</f>
        <v/>
      </c>
      <c r="O4572" s="7" t="n"/>
    </row>
    <row r="4573">
      <c r="A4573" s="7" t="n"/>
      <c r="B4573" s="7" t="n"/>
      <c r="C4573" s="7" t="n"/>
      <c r="D4573" s="7" t="n"/>
      <c r="E4573" s="7" t="n"/>
      <c r="F4573" s="7" t="n"/>
      <c r="G4573" s="7" t="n"/>
      <c r="H4573" s="7" t="n"/>
      <c r="I4573" s="7" t="n"/>
      <c r="J4573" s="7" t="n"/>
      <c r="K4573">
        <f>IF(D4573="Legitimate Interest (GDPR Art. 6(1)(f))", "Yes / Required (Sheet 3)", "")</f>
        <v/>
      </c>
      <c r="L4573" s="7" t="n"/>
      <c r="M4573" s="7" t="n"/>
      <c r="N4573">
        <f>IF(D4573="", "Gap - No Legal Basis", IF(AND(D4573="Consent (GDPR Art. 6(1)(a))", I4573="Not Captured"), "Gap - Invalid Consent", IF(AND(D4573="Legitimate Interest (GDPR Art. 6(1)(f))", L4573=""), "Gap - Missing LIA", IF(AND(G4573="Yes", H4573=""), "Gap - Missing Art. 9 Basis", IF(OR(I4573="Invalid - Not Freely Given", I4573="Invalid - Not Specific", I4573="Invalid - Not Informed", I4573="Invalid - Ambiguous"), "Gap - Invalid Consent", "Compliant")))))</f>
        <v/>
      </c>
      <c r="O4573" s="7" t="n"/>
    </row>
    <row r="4574">
      <c r="A4574" s="7" t="n"/>
      <c r="B4574" s="7" t="n"/>
      <c r="C4574" s="7" t="n"/>
      <c r="D4574" s="7" t="n"/>
      <c r="E4574" s="7" t="n"/>
      <c r="F4574" s="7" t="n"/>
      <c r="G4574" s="7" t="n"/>
      <c r="H4574" s="7" t="n"/>
      <c r="I4574" s="7" t="n"/>
      <c r="J4574" s="7" t="n"/>
      <c r="K4574">
        <f>IF(D4574="Legitimate Interest (GDPR Art. 6(1)(f))", "Yes / Required (Sheet 3)", "")</f>
        <v/>
      </c>
      <c r="L4574" s="7" t="n"/>
      <c r="M4574" s="7" t="n"/>
      <c r="N4574">
        <f>IF(D4574="", "Gap - No Legal Basis", IF(AND(D4574="Consent (GDPR Art. 6(1)(a))", I4574="Not Captured"), "Gap - Invalid Consent", IF(AND(D4574="Legitimate Interest (GDPR Art. 6(1)(f))", L4574=""), "Gap - Missing LIA", IF(AND(G4574="Yes", H4574=""), "Gap - Missing Art. 9 Basis", IF(OR(I4574="Invalid - Not Freely Given", I4574="Invalid - Not Specific", I4574="Invalid - Not Informed", I4574="Invalid - Ambiguous"), "Gap - Invalid Consent", "Compliant")))))</f>
        <v/>
      </c>
      <c r="O4574" s="7" t="n"/>
    </row>
    <row r="4575">
      <c r="A4575" s="7" t="n"/>
      <c r="B4575" s="7" t="n"/>
      <c r="C4575" s="7" t="n"/>
      <c r="D4575" s="7" t="n"/>
      <c r="E4575" s="7" t="n"/>
      <c r="F4575" s="7" t="n"/>
      <c r="G4575" s="7" t="n"/>
      <c r="H4575" s="7" t="n"/>
      <c r="I4575" s="7" t="n"/>
      <c r="J4575" s="7" t="n"/>
      <c r="K4575">
        <f>IF(D4575="Legitimate Interest (GDPR Art. 6(1)(f))", "Yes / Required (Sheet 3)", "")</f>
        <v/>
      </c>
      <c r="L4575" s="7" t="n"/>
      <c r="M4575" s="7" t="n"/>
      <c r="N4575">
        <f>IF(D4575="", "Gap - No Legal Basis", IF(AND(D4575="Consent (GDPR Art. 6(1)(a))", I4575="Not Captured"), "Gap - Invalid Consent", IF(AND(D4575="Legitimate Interest (GDPR Art. 6(1)(f))", L4575=""), "Gap - Missing LIA", IF(AND(G4575="Yes", H4575=""), "Gap - Missing Art. 9 Basis", IF(OR(I4575="Invalid - Not Freely Given", I4575="Invalid - Not Specific", I4575="Invalid - Not Informed", I4575="Invalid - Ambiguous"), "Gap - Invalid Consent", "Compliant")))))</f>
        <v/>
      </c>
      <c r="O4575" s="7" t="n"/>
    </row>
    <row r="4576">
      <c r="A4576" s="7" t="n"/>
      <c r="B4576" s="7" t="n"/>
      <c r="C4576" s="7" t="n"/>
      <c r="D4576" s="7" t="n"/>
      <c r="E4576" s="7" t="n"/>
      <c r="F4576" s="7" t="n"/>
      <c r="G4576" s="7" t="n"/>
      <c r="H4576" s="7" t="n"/>
      <c r="I4576" s="7" t="n"/>
      <c r="J4576" s="7" t="n"/>
      <c r="K4576">
        <f>IF(D4576="Legitimate Interest (GDPR Art. 6(1)(f))", "Yes / Required (Sheet 3)", "")</f>
        <v/>
      </c>
      <c r="L4576" s="7" t="n"/>
      <c r="M4576" s="7" t="n"/>
      <c r="N4576">
        <f>IF(D4576="", "Gap - No Legal Basis", IF(AND(D4576="Consent (GDPR Art. 6(1)(a))", I4576="Not Captured"), "Gap - Invalid Consent", IF(AND(D4576="Legitimate Interest (GDPR Art. 6(1)(f))", L4576=""), "Gap - Missing LIA", IF(AND(G4576="Yes", H4576=""), "Gap - Missing Art. 9 Basis", IF(OR(I4576="Invalid - Not Freely Given", I4576="Invalid - Not Specific", I4576="Invalid - Not Informed", I4576="Invalid - Ambiguous"), "Gap - Invalid Consent", "Compliant")))))</f>
        <v/>
      </c>
      <c r="O4576" s="7" t="n"/>
    </row>
    <row r="4577">
      <c r="A4577" s="7" t="n"/>
      <c r="B4577" s="7" t="n"/>
      <c r="C4577" s="7" t="n"/>
      <c r="D4577" s="7" t="n"/>
      <c r="E4577" s="7" t="n"/>
      <c r="F4577" s="7" t="n"/>
      <c r="G4577" s="7" t="n"/>
      <c r="H4577" s="7" t="n"/>
      <c r="I4577" s="7" t="n"/>
      <c r="J4577" s="7" t="n"/>
      <c r="K4577">
        <f>IF(D4577="Legitimate Interest (GDPR Art. 6(1)(f))", "Yes / Required (Sheet 3)", "")</f>
        <v/>
      </c>
      <c r="L4577" s="7" t="n"/>
      <c r="M4577" s="7" t="n"/>
      <c r="N4577">
        <f>IF(D4577="", "Gap - No Legal Basis", IF(AND(D4577="Consent (GDPR Art. 6(1)(a))", I4577="Not Captured"), "Gap - Invalid Consent", IF(AND(D4577="Legitimate Interest (GDPR Art. 6(1)(f))", L4577=""), "Gap - Missing LIA", IF(AND(G4577="Yes", H4577=""), "Gap - Missing Art. 9 Basis", IF(OR(I4577="Invalid - Not Freely Given", I4577="Invalid - Not Specific", I4577="Invalid - Not Informed", I4577="Invalid - Ambiguous"), "Gap - Invalid Consent", "Compliant")))))</f>
        <v/>
      </c>
      <c r="O4577" s="7" t="n"/>
    </row>
    <row r="4578">
      <c r="A4578" s="7" t="n"/>
      <c r="B4578" s="7" t="n"/>
      <c r="C4578" s="7" t="n"/>
      <c r="D4578" s="7" t="n"/>
      <c r="E4578" s="7" t="n"/>
      <c r="F4578" s="7" t="n"/>
      <c r="G4578" s="7" t="n"/>
      <c r="H4578" s="7" t="n"/>
      <c r="I4578" s="7" t="n"/>
      <c r="J4578" s="7" t="n"/>
      <c r="K4578">
        <f>IF(D4578="Legitimate Interest (GDPR Art. 6(1)(f))", "Yes / Required (Sheet 3)", "")</f>
        <v/>
      </c>
      <c r="L4578" s="7" t="n"/>
      <c r="M4578" s="7" t="n"/>
      <c r="N4578">
        <f>IF(D4578="", "Gap - No Legal Basis", IF(AND(D4578="Consent (GDPR Art. 6(1)(a))", I4578="Not Captured"), "Gap - Invalid Consent", IF(AND(D4578="Legitimate Interest (GDPR Art. 6(1)(f))", L4578=""), "Gap - Missing LIA", IF(AND(G4578="Yes", H4578=""), "Gap - Missing Art. 9 Basis", IF(OR(I4578="Invalid - Not Freely Given", I4578="Invalid - Not Specific", I4578="Invalid - Not Informed", I4578="Invalid - Ambiguous"), "Gap - Invalid Consent", "Compliant")))))</f>
        <v/>
      </c>
      <c r="O4578" s="7" t="n"/>
    </row>
    <row r="4579">
      <c r="A4579" s="7" t="n"/>
      <c r="B4579" s="7" t="n"/>
      <c r="C4579" s="7" t="n"/>
      <c r="D4579" s="7" t="n"/>
      <c r="E4579" s="7" t="n"/>
      <c r="F4579" s="7" t="n"/>
      <c r="G4579" s="7" t="n"/>
      <c r="H4579" s="7" t="n"/>
      <c r="I4579" s="7" t="n"/>
      <c r="J4579" s="7" t="n"/>
      <c r="K4579">
        <f>IF(D4579="Legitimate Interest (GDPR Art. 6(1)(f))", "Yes / Required (Sheet 3)", "")</f>
        <v/>
      </c>
      <c r="L4579" s="7" t="n"/>
      <c r="M4579" s="7" t="n"/>
      <c r="N4579">
        <f>IF(D4579="", "Gap - No Legal Basis", IF(AND(D4579="Consent (GDPR Art. 6(1)(a))", I4579="Not Captured"), "Gap - Invalid Consent", IF(AND(D4579="Legitimate Interest (GDPR Art. 6(1)(f))", L4579=""), "Gap - Missing LIA", IF(AND(G4579="Yes", H4579=""), "Gap - Missing Art. 9 Basis", IF(OR(I4579="Invalid - Not Freely Given", I4579="Invalid - Not Specific", I4579="Invalid - Not Informed", I4579="Invalid - Ambiguous"), "Gap - Invalid Consent", "Compliant")))))</f>
        <v/>
      </c>
      <c r="O4579" s="7" t="n"/>
    </row>
    <row r="4580">
      <c r="A4580" s="7" t="n"/>
      <c r="B4580" s="7" t="n"/>
      <c r="C4580" s="7" t="n"/>
      <c r="D4580" s="7" t="n"/>
      <c r="E4580" s="7" t="n"/>
      <c r="F4580" s="7" t="n"/>
      <c r="G4580" s="7" t="n"/>
      <c r="H4580" s="7" t="n"/>
      <c r="I4580" s="7" t="n"/>
      <c r="J4580" s="7" t="n"/>
      <c r="K4580">
        <f>IF(D4580="Legitimate Interest (GDPR Art. 6(1)(f))", "Yes / Required (Sheet 3)", "")</f>
        <v/>
      </c>
      <c r="L4580" s="7" t="n"/>
      <c r="M4580" s="7" t="n"/>
      <c r="N4580">
        <f>IF(D4580="", "Gap - No Legal Basis", IF(AND(D4580="Consent (GDPR Art. 6(1)(a))", I4580="Not Captured"), "Gap - Invalid Consent", IF(AND(D4580="Legitimate Interest (GDPR Art. 6(1)(f))", L4580=""), "Gap - Missing LIA", IF(AND(G4580="Yes", H4580=""), "Gap - Missing Art. 9 Basis", IF(OR(I4580="Invalid - Not Freely Given", I4580="Invalid - Not Specific", I4580="Invalid - Not Informed", I4580="Invalid - Ambiguous"), "Gap - Invalid Consent", "Compliant")))))</f>
        <v/>
      </c>
      <c r="O4580" s="7" t="n"/>
    </row>
    <row r="4581">
      <c r="A4581" s="7" t="n"/>
      <c r="B4581" s="7" t="n"/>
      <c r="C4581" s="7" t="n"/>
      <c r="D4581" s="7" t="n"/>
      <c r="E4581" s="7" t="n"/>
      <c r="F4581" s="7" t="n"/>
      <c r="G4581" s="7" t="n"/>
      <c r="H4581" s="7" t="n"/>
      <c r="I4581" s="7" t="n"/>
      <c r="J4581" s="7" t="n"/>
      <c r="K4581">
        <f>IF(D4581="Legitimate Interest (GDPR Art. 6(1)(f))", "Yes / Required (Sheet 3)", "")</f>
        <v/>
      </c>
      <c r="L4581" s="7" t="n"/>
      <c r="M4581" s="7" t="n"/>
      <c r="N4581">
        <f>IF(D4581="", "Gap - No Legal Basis", IF(AND(D4581="Consent (GDPR Art. 6(1)(a))", I4581="Not Captured"), "Gap - Invalid Consent", IF(AND(D4581="Legitimate Interest (GDPR Art. 6(1)(f))", L4581=""), "Gap - Missing LIA", IF(AND(G4581="Yes", H4581=""), "Gap - Missing Art. 9 Basis", IF(OR(I4581="Invalid - Not Freely Given", I4581="Invalid - Not Specific", I4581="Invalid - Not Informed", I4581="Invalid - Ambiguous"), "Gap - Invalid Consent", "Compliant")))))</f>
        <v/>
      </c>
      <c r="O4581" s="7" t="n"/>
    </row>
    <row r="4582">
      <c r="A4582" s="7" t="n"/>
      <c r="B4582" s="7" t="n"/>
      <c r="C4582" s="7" t="n"/>
      <c r="D4582" s="7" t="n"/>
      <c r="E4582" s="7" t="n"/>
      <c r="F4582" s="7" t="n"/>
      <c r="G4582" s="7" t="n"/>
      <c r="H4582" s="7" t="n"/>
      <c r="I4582" s="7" t="n"/>
      <c r="J4582" s="7" t="n"/>
      <c r="K4582">
        <f>IF(D4582="Legitimate Interest (GDPR Art. 6(1)(f))", "Yes / Required (Sheet 3)", "")</f>
        <v/>
      </c>
      <c r="L4582" s="7" t="n"/>
      <c r="M4582" s="7" t="n"/>
      <c r="N4582">
        <f>IF(D4582="", "Gap - No Legal Basis", IF(AND(D4582="Consent (GDPR Art. 6(1)(a))", I4582="Not Captured"), "Gap - Invalid Consent", IF(AND(D4582="Legitimate Interest (GDPR Art. 6(1)(f))", L4582=""), "Gap - Missing LIA", IF(AND(G4582="Yes", H4582=""), "Gap - Missing Art. 9 Basis", IF(OR(I4582="Invalid - Not Freely Given", I4582="Invalid - Not Specific", I4582="Invalid - Not Informed", I4582="Invalid - Ambiguous"), "Gap - Invalid Consent", "Compliant")))))</f>
        <v/>
      </c>
      <c r="O4582" s="7" t="n"/>
    </row>
    <row r="4583">
      <c r="A4583" s="7" t="n"/>
      <c r="B4583" s="7" t="n"/>
      <c r="C4583" s="7" t="n"/>
      <c r="D4583" s="7" t="n"/>
      <c r="E4583" s="7" t="n"/>
      <c r="F4583" s="7" t="n"/>
      <c r="G4583" s="7" t="n"/>
      <c r="H4583" s="7" t="n"/>
      <c r="I4583" s="7" t="n"/>
      <c r="J4583" s="7" t="n"/>
      <c r="K4583">
        <f>IF(D4583="Legitimate Interest (GDPR Art. 6(1)(f))", "Yes / Required (Sheet 3)", "")</f>
        <v/>
      </c>
      <c r="L4583" s="7" t="n"/>
      <c r="M4583" s="7" t="n"/>
      <c r="N4583">
        <f>IF(D4583="", "Gap - No Legal Basis", IF(AND(D4583="Consent (GDPR Art. 6(1)(a))", I4583="Not Captured"), "Gap - Invalid Consent", IF(AND(D4583="Legitimate Interest (GDPR Art. 6(1)(f))", L4583=""), "Gap - Missing LIA", IF(AND(G4583="Yes", H4583=""), "Gap - Missing Art. 9 Basis", IF(OR(I4583="Invalid - Not Freely Given", I4583="Invalid - Not Specific", I4583="Invalid - Not Informed", I4583="Invalid - Ambiguous"), "Gap - Invalid Consent", "Compliant")))))</f>
        <v/>
      </c>
      <c r="O4583" s="7" t="n"/>
    </row>
    <row r="4584">
      <c r="A4584" s="7" t="n"/>
      <c r="B4584" s="7" t="n"/>
      <c r="C4584" s="7" t="n"/>
      <c r="D4584" s="7" t="n"/>
      <c r="E4584" s="7" t="n"/>
      <c r="F4584" s="7" t="n"/>
      <c r="G4584" s="7" t="n"/>
      <c r="H4584" s="7" t="n"/>
      <c r="I4584" s="7" t="n"/>
      <c r="J4584" s="7" t="n"/>
      <c r="K4584">
        <f>IF(D4584="Legitimate Interest (GDPR Art. 6(1)(f))", "Yes / Required (Sheet 3)", "")</f>
        <v/>
      </c>
      <c r="L4584" s="7" t="n"/>
      <c r="M4584" s="7" t="n"/>
      <c r="N4584">
        <f>IF(D4584="", "Gap - No Legal Basis", IF(AND(D4584="Consent (GDPR Art. 6(1)(a))", I4584="Not Captured"), "Gap - Invalid Consent", IF(AND(D4584="Legitimate Interest (GDPR Art. 6(1)(f))", L4584=""), "Gap - Missing LIA", IF(AND(G4584="Yes", H4584=""), "Gap - Missing Art. 9 Basis", IF(OR(I4584="Invalid - Not Freely Given", I4584="Invalid - Not Specific", I4584="Invalid - Not Informed", I4584="Invalid - Ambiguous"), "Gap - Invalid Consent", "Compliant")))))</f>
        <v/>
      </c>
      <c r="O4584" s="7" t="n"/>
    </row>
    <row r="4585">
      <c r="A4585" s="7" t="n"/>
      <c r="B4585" s="7" t="n"/>
      <c r="C4585" s="7" t="n"/>
      <c r="D4585" s="7" t="n"/>
      <c r="E4585" s="7" t="n"/>
      <c r="F4585" s="7" t="n"/>
      <c r="G4585" s="7" t="n"/>
      <c r="H4585" s="7" t="n"/>
      <c r="I4585" s="7" t="n"/>
      <c r="J4585" s="7" t="n"/>
      <c r="K4585">
        <f>IF(D4585="Legitimate Interest (GDPR Art. 6(1)(f))", "Yes / Required (Sheet 3)", "")</f>
        <v/>
      </c>
      <c r="L4585" s="7" t="n"/>
      <c r="M4585" s="7" t="n"/>
      <c r="N4585">
        <f>IF(D4585="", "Gap - No Legal Basis", IF(AND(D4585="Consent (GDPR Art. 6(1)(a))", I4585="Not Captured"), "Gap - Invalid Consent", IF(AND(D4585="Legitimate Interest (GDPR Art. 6(1)(f))", L4585=""), "Gap - Missing LIA", IF(AND(G4585="Yes", H4585=""), "Gap - Missing Art. 9 Basis", IF(OR(I4585="Invalid - Not Freely Given", I4585="Invalid - Not Specific", I4585="Invalid - Not Informed", I4585="Invalid - Ambiguous"), "Gap - Invalid Consent", "Compliant")))))</f>
        <v/>
      </c>
      <c r="O4585" s="7" t="n"/>
    </row>
    <row r="4586">
      <c r="A4586" s="7" t="n"/>
      <c r="B4586" s="7" t="n"/>
      <c r="C4586" s="7" t="n"/>
      <c r="D4586" s="7" t="n"/>
      <c r="E4586" s="7" t="n"/>
      <c r="F4586" s="7" t="n"/>
      <c r="G4586" s="7" t="n"/>
      <c r="H4586" s="7" t="n"/>
      <c r="I4586" s="7" t="n"/>
      <c r="J4586" s="7" t="n"/>
      <c r="K4586">
        <f>IF(D4586="Legitimate Interest (GDPR Art. 6(1)(f))", "Yes / Required (Sheet 3)", "")</f>
        <v/>
      </c>
      <c r="L4586" s="7" t="n"/>
      <c r="M4586" s="7" t="n"/>
      <c r="N4586">
        <f>IF(D4586="", "Gap - No Legal Basis", IF(AND(D4586="Consent (GDPR Art. 6(1)(a))", I4586="Not Captured"), "Gap - Invalid Consent", IF(AND(D4586="Legitimate Interest (GDPR Art. 6(1)(f))", L4586=""), "Gap - Missing LIA", IF(AND(G4586="Yes", H4586=""), "Gap - Missing Art. 9 Basis", IF(OR(I4586="Invalid - Not Freely Given", I4586="Invalid - Not Specific", I4586="Invalid - Not Informed", I4586="Invalid - Ambiguous"), "Gap - Invalid Consent", "Compliant")))))</f>
        <v/>
      </c>
      <c r="O4586" s="7" t="n"/>
    </row>
    <row r="4587">
      <c r="A4587" s="7" t="n"/>
      <c r="B4587" s="7" t="n"/>
      <c r="C4587" s="7" t="n"/>
      <c r="D4587" s="7" t="n"/>
      <c r="E4587" s="7" t="n"/>
      <c r="F4587" s="7" t="n"/>
      <c r="G4587" s="7" t="n"/>
      <c r="H4587" s="7" t="n"/>
      <c r="I4587" s="7" t="n"/>
      <c r="J4587" s="7" t="n"/>
      <c r="K4587">
        <f>IF(D4587="Legitimate Interest (GDPR Art. 6(1)(f))", "Yes / Required (Sheet 3)", "")</f>
        <v/>
      </c>
      <c r="L4587" s="7" t="n"/>
      <c r="M4587" s="7" t="n"/>
      <c r="N4587">
        <f>IF(D4587="", "Gap - No Legal Basis", IF(AND(D4587="Consent (GDPR Art. 6(1)(a))", I4587="Not Captured"), "Gap - Invalid Consent", IF(AND(D4587="Legitimate Interest (GDPR Art. 6(1)(f))", L4587=""), "Gap - Missing LIA", IF(AND(G4587="Yes", H4587=""), "Gap - Missing Art. 9 Basis", IF(OR(I4587="Invalid - Not Freely Given", I4587="Invalid - Not Specific", I4587="Invalid - Not Informed", I4587="Invalid - Ambiguous"), "Gap - Invalid Consent", "Compliant")))))</f>
        <v/>
      </c>
      <c r="O4587" s="7" t="n"/>
    </row>
    <row r="4588">
      <c r="A4588" s="7" t="n"/>
      <c r="B4588" s="7" t="n"/>
      <c r="C4588" s="7" t="n"/>
      <c r="D4588" s="7" t="n"/>
      <c r="E4588" s="7" t="n"/>
      <c r="F4588" s="7" t="n"/>
      <c r="G4588" s="7" t="n"/>
      <c r="H4588" s="7" t="n"/>
      <c r="I4588" s="7" t="n"/>
      <c r="J4588" s="7" t="n"/>
      <c r="K4588">
        <f>IF(D4588="Legitimate Interest (GDPR Art. 6(1)(f))", "Yes / Required (Sheet 3)", "")</f>
        <v/>
      </c>
      <c r="L4588" s="7" t="n"/>
      <c r="M4588" s="7" t="n"/>
      <c r="N4588">
        <f>IF(D4588="", "Gap - No Legal Basis", IF(AND(D4588="Consent (GDPR Art. 6(1)(a))", I4588="Not Captured"), "Gap - Invalid Consent", IF(AND(D4588="Legitimate Interest (GDPR Art. 6(1)(f))", L4588=""), "Gap - Missing LIA", IF(AND(G4588="Yes", H4588=""), "Gap - Missing Art. 9 Basis", IF(OR(I4588="Invalid - Not Freely Given", I4588="Invalid - Not Specific", I4588="Invalid - Not Informed", I4588="Invalid - Ambiguous"), "Gap - Invalid Consent", "Compliant")))))</f>
        <v/>
      </c>
      <c r="O4588" s="7" t="n"/>
    </row>
    <row r="4589">
      <c r="A4589" s="7" t="n"/>
      <c r="B4589" s="7" t="n"/>
      <c r="C4589" s="7" t="n"/>
      <c r="D4589" s="7" t="n"/>
      <c r="E4589" s="7" t="n"/>
      <c r="F4589" s="7" t="n"/>
      <c r="G4589" s="7" t="n"/>
      <c r="H4589" s="7" t="n"/>
      <c r="I4589" s="7" t="n"/>
      <c r="J4589" s="7" t="n"/>
      <c r="K4589">
        <f>IF(D4589="Legitimate Interest (GDPR Art. 6(1)(f))", "Yes / Required (Sheet 3)", "")</f>
        <v/>
      </c>
      <c r="L4589" s="7" t="n"/>
      <c r="M4589" s="7" t="n"/>
      <c r="N4589">
        <f>IF(D4589="", "Gap - No Legal Basis", IF(AND(D4589="Consent (GDPR Art. 6(1)(a))", I4589="Not Captured"), "Gap - Invalid Consent", IF(AND(D4589="Legitimate Interest (GDPR Art. 6(1)(f))", L4589=""), "Gap - Missing LIA", IF(AND(G4589="Yes", H4589=""), "Gap - Missing Art. 9 Basis", IF(OR(I4589="Invalid - Not Freely Given", I4589="Invalid - Not Specific", I4589="Invalid - Not Informed", I4589="Invalid - Ambiguous"), "Gap - Invalid Consent", "Compliant")))))</f>
        <v/>
      </c>
      <c r="O4589" s="7" t="n"/>
    </row>
    <row r="4590">
      <c r="A4590" s="7" t="n"/>
      <c r="B4590" s="7" t="n"/>
      <c r="C4590" s="7" t="n"/>
      <c r="D4590" s="7" t="n"/>
      <c r="E4590" s="7" t="n"/>
      <c r="F4590" s="7" t="n"/>
      <c r="G4590" s="7" t="n"/>
      <c r="H4590" s="7" t="n"/>
      <c r="I4590" s="7" t="n"/>
      <c r="J4590" s="7" t="n"/>
      <c r="K4590">
        <f>IF(D4590="Legitimate Interest (GDPR Art. 6(1)(f))", "Yes / Required (Sheet 3)", "")</f>
        <v/>
      </c>
      <c r="L4590" s="7" t="n"/>
      <c r="M4590" s="7" t="n"/>
      <c r="N4590">
        <f>IF(D4590="", "Gap - No Legal Basis", IF(AND(D4590="Consent (GDPR Art. 6(1)(a))", I4590="Not Captured"), "Gap - Invalid Consent", IF(AND(D4590="Legitimate Interest (GDPR Art. 6(1)(f))", L4590=""), "Gap - Missing LIA", IF(AND(G4590="Yes", H4590=""), "Gap - Missing Art. 9 Basis", IF(OR(I4590="Invalid - Not Freely Given", I4590="Invalid - Not Specific", I4590="Invalid - Not Informed", I4590="Invalid - Ambiguous"), "Gap - Invalid Consent", "Compliant")))))</f>
        <v/>
      </c>
      <c r="O4590" s="7" t="n"/>
    </row>
    <row r="4591">
      <c r="A4591" s="7" t="n"/>
      <c r="B4591" s="7" t="n"/>
      <c r="C4591" s="7" t="n"/>
      <c r="D4591" s="7" t="n"/>
      <c r="E4591" s="7" t="n"/>
      <c r="F4591" s="7" t="n"/>
      <c r="G4591" s="7" t="n"/>
      <c r="H4591" s="7" t="n"/>
      <c r="I4591" s="7" t="n"/>
      <c r="J4591" s="7" t="n"/>
      <c r="K4591">
        <f>IF(D4591="Legitimate Interest (GDPR Art. 6(1)(f))", "Yes / Required (Sheet 3)", "")</f>
        <v/>
      </c>
      <c r="L4591" s="7" t="n"/>
      <c r="M4591" s="7" t="n"/>
      <c r="N4591">
        <f>IF(D4591="", "Gap - No Legal Basis", IF(AND(D4591="Consent (GDPR Art. 6(1)(a))", I4591="Not Captured"), "Gap - Invalid Consent", IF(AND(D4591="Legitimate Interest (GDPR Art. 6(1)(f))", L4591=""), "Gap - Missing LIA", IF(AND(G4591="Yes", H4591=""), "Gap - Missing Art. 9 Basis", IF(OR(I4591="Invalid - Not Freely Given", I4591="Invalid - Not Specific", I4591="Invalid - Not Informed", I4591="Invalid - Ambiguous"), "Gap - Invalid Consent", "Compliant")))))</f>
        <v/>
      </c>
      <c r="O4591" s="7" t="n"/>
    </row>
    <row r="4592">
      <c r="A4592" s="7" t="n"/>
      <c r="B4592" s="7" t="n"/>
      <c r="C4592" s="7" t="n"/>
      <c r="D4592" s="7" t="n"/>
      <c r="E4592" s="7" t="n"/>
      <c r="F4592" s="7" t="n"/>
      <c r="G4592" s="7" t="n"/>
      <c r="H4592" s="7" t="n"/>
      <c r="I4592" s="7" t="n"/>
      <c r="J4592" s="7" t="n"/>
      <c r="K4592">
        <f>IF(D4592="Legitimate Interest (GDPR Art. 6(1)(f))", "Yes / Required (Sheet 3)", "")</f>
        <v/>
      </c>
      <c r="L4592" s="7" t="n"/>
      <c r="M4592" s="7" t="n"/>
      <c r="N4592">
        <f>IF(D4592="", "Gap - No Legal Basis", IF(AND(D4592="Consent (GDPR Art. 6(1)(a))", I4592="Not Captured"), "Gap - Invalid Consent", IF(AND(D4592="Legitimate Interest (GDPR Art. 6(1)(f))", L4592=""), "Gap - Missing LIA", IF(AND(G4592="Yes", H4592=""), "Gap - Missing Art. 9 Basis", IF(OR(I4592="Invalid - Not Freely Given", I4592="Invalid - Not Specific", I4592="Invalid - Not Informed", I4592="Invalid - Ambiguous"), "Gap - Invalid Consent", "Compliant")))))</f>
        <v/>
      </c>
      <c r="O4592" s="7" t="n"/>
    </row>
    <row r="4593">
      <c r="A4593" s="7" t="n"/>
      <c r="B4593" s="7" t="n"/>
      <c r="C4593" s="7" t="n"/>
      <c r="D4593" s="7" t="n"/>
      <c r="E4593" s="7" t="n"/>
      <c r="F4593" s="7" t="n"/>
      <c r="G4593" s="7" t="n"/>
      <c r="H4593" s="7" t="n"/>
      <c r="I4593" s="7" t="n"/>
      <c r="J4593" s="7" t="n"/>
      <c r="K4593">
        <f>IF(D4593="Legitimate Interest (GDPR Art. 6(1)(f))", "Yes / Required (Sheet 3)", "")</f>
        <v/>
      </c>
      <c r="L4593" s="7" t="n"/>
      <c r="M4593" s="7" t="n"/>
      <c r="N4593">
        <f>IF(D4593="", "Gap - No Legal Basis", IF(AND(D4593="Consent (GDPR Art. 6(1)(a))", I4593="Not Captured"), "Gap - Invalid Consent", IF(AND(D4593="Legitimate Interest (GDPR Art. 6(1)(f))", L4593=""), "Gap - Missing LIA", IF(AND(G4593="Yes", H4593=""), "Gap - Missing Art. 9 Basis", IF(OR(I4593="Invalid - Not Freely Given", I4593="Invalid - Not Specific", I4593="Invalid - Not Informed", I4593="Invalid - Ambiguous"), "Gap - Invalid Consent", "Compliant")))))</f>
        <v/>
      </c>
      <c r="O4593" s="7" t="n"/>
    </row>
    <row r="4594">
      <c r="A4594" s="7" t="n"/>
      <c r="B4594" s="7" t="n"/>
      <c r="C4594" s="7" t="n"/>
      <c r="D4594" s="7" t="n"/>
      <c r="E4594" s="7" t="n"/>
      <c r="F4594" s="7" t="n"/>
      <c r="G4594" s="7" t="n"/>
      <c r="H4594" s="7" t="n"/>
      <c r="I4594" s="7" t="n"/>
      <c r="J4594" s="7" t="n"/>
      <c r="K4594">
        <f>IF(D4594="Legitimate Interest (GDPR Art. 6(1)(f))", "Yes / Required (Sheet 3)", "")</f>
        <v/>
      </c>
      <c r="L4594" s="7" t="n"/>
      <c r="M4594" s="7" t="n"/>
      <c r="N4594">
        <f>IF(D4594="", "Gap - No Legal Basis", IF(AND(D4594="Consent (GDPR Art. 6(1)(a))", I4594="Not Captured"), "Gap - Invalid Consent", IF(AND(D4594="Legitimate Interest (GDPR Art. 6(1)(f))", L4594=""), "Gap - Missing LIA", IF(AND(G4594="Yes", H4594=""), "Gap - Missing Art. 9 Basis", IF(OR(I4594="Invalid - Not Freely Given", I4594="Invalid - Not Specific", I4594="Invalid - Not Informed", I4594="Invalid - Ambiguous"), "Gap - Invalid Consent", "Compliant")))))</f>
        <v/>
      </c>
      <c r="O4594" s="7" t="n"/>
    </row>
    <row r="4595">
      <c r="A4595" s="7" t="n"/>
      <c r="B4595" s="7" t="n"/>
      <c r="C4595" s="7" t="n"/>
      <c r="D4595" s="7" t="n"/>
      <c r="E4595" s="7" t="n"/>
      <c r="F4595" s="7" t="n"/>
      <c r="G4595" s="7" t="n"/>
      <c r="H4595" s="7" t="n"/>
      <c r="I4595" s="7" t="n"/>
      <c r="J4595" s="7" t="n"/>
      <c r="K4595">
        <f>IF(D4595="Legitimate Interest (GDPR Art. 6(1)(f))", "Yes / Required (Sheet 3)", "")</f>
        <v/>
      </c>
      <c r="L4595" s="7" t="n"/>
      <c r="M4595" s="7" t="n"/>
      <c r="N4595">
        <f>IF(D4595="", "Gap - No Legal Basis", IF(AND(D4595="Consent (GDPR Art. 6(1)(a))", I4595="Not Captured"), "Gap - Invalid Consent", IF(AND(D4595="Legitimate Interest (GDPR Art. 6(1)(f))", L4595=""), "Gap - Missing LIA", IF(AND(G4595="Yes", H4595=""), "Gap - Missing Art. 9 Basis", IF(OR(I4595="Invalid - Not Freely Given", I4595="Invalid - Not Specific", I4595="Invalid - Not Informed", I4595="Invalid - Ambiguous"), "Gap - Invalid Consent", "Compliant")))))</f>
        <v/>
      </c>
      <c r="O4595" s="7" t="n"/>
    </row>
    <row r="4596">
      <c r="A4596" s="7" t="n"/>
      <c r="B4596" s="7" t="n"/>
      <c r="C4596" s="7" t="n"/>
      <c r="D4596" s="7" t="n"/>
      <c r="E4596" s="7" t="n"/>
      <c r="F4596" s="7" t="n"/>
      <c r="G4596" s="7" t="n"/>
      <c r="H4596" s="7" t="n"/>
      <c r="I4596" s="7" t="n"/>
      <c r="J4596" s="7" t="n"/>
      <c r="K4596">
        <f>IF(D4596="Legitimate Interest (GDPR Art. 6(1)(f))", "Yes / Required (Sheet 3)", "")</f>
        <v/>
      </c>
      <c r="L4596" s="7" t="n"/>
      <c r="M4596" s="7" t="n"/>
      <c r="N4596">
        <f>IF(D4596="", "Gap - No Legal Basis", IF(AND(D4596="Consent (GDPR Art. 6(1)(a))", I4596="Not Captured"), "Gap - Invalid Consent", IF(AND(D4596="Legitimate Interest (GDPR Art. 6(1)(f))", L4596=""), "Gap - Missing LIA", IF(AND(G4596="Yes", H4596=""), "Gap - Missing Art. 9 Basis", IF(OR(I4596="Invalid - Not Freely Given", I4596="Invalid - Not Specific", I4596="Invalid - Not Informed", I4596="Invalid - Ambiguous"), "Gap - Invalid Consent", "Compliant")))))</f>
        <v/>
      </c>
      <c r="O4596" s="7" t="n"/>
    </row>
    <row r="4597">
      <c r="A4597" s="7" t="n"/>
      <c r="B4597" s="7" t="n"/>
      <c r="C4597" s="7" t="n"/>
      <c r="D4597" s="7" t="n"/>
      <c r="E4597" s="7" t="n"/>
      <c r="F4597" s="7" t="n"/>
      <c r="G4597" s="7" t="n"/>
      <c r="H4597" s="7" t="n"/>
      <c r="I4597" s="7" t="n"/>
      <c r="J4597" s="7" t="n"/>
      <c r="K4597">
        <f>IF(D4597="Legitimate Interest (GDPR Art. 6(1)(f))", "Yes / Required (Sheet 3)", "")</f>
        <v/>
      </c>
      <c r="L4597" s="7" t="n"/>
      <c r="M4597" s="7" t="n"/>
      <c r="N4597">
        <f>IF(D4597="", "Gap - No Legal Basis", IF(AND(D4597="Consent (GDPR Art. 6(1)(a))", I4597="Not Captured"), "Gap - Invalid Consent", IF(AND(D4597="Legitimate Interest (GDPR Art. 6(1)(f))", L4597=""), "Gap - Missing LIA", IF(AND(G4597="Yes", H4597=""), "Gap - Missing Art. 9 Basis", IF(OR(I4597="Invalid - Not Freely Given", I4597="Invalid - Not Specific", I4597="Invalid - Not Informed", I4597="Invalid - Ambiguous"), "Gap - Invalid Consent", "Compliant")))))</f>
        <v/>
      </c>
      <c r="O4597" s="7" t="n"/>
    </row>
    <row r="4598">
      <c r="A4598" s="7" t="n"/>
      <c r="B4598" s="7" t="n"/>
      <c r="C4598" s="7" t="n"/>
      <c r="D4598" s="7" t="n"/>
      <c r="E4598" s="7" t="n"/>
      <c r="F4598" s="7" t="n"/>
      <c r="G4598" s="7" t="n"/>
      <c r="H4598" s="7" t="n"/>
      <c r="I4598" s="7" t="n"/>
      <c r="J4598" s="7" t="n"/>
      <c r="K4598">
        <f>IF(D4598="Legitimate Interest (GDPR Art. 6(1)(f))", "Yes / Required (Sheet 3)", "")</f>
        <v/>
      </c>
      <c r="L4598" s="7" t="n"/>
      <c r="M4598" s="7" t="n"/>
      <c r="N4598">
        <f>IF(D4598="", "Gap - No Legal Basis", IF(AND(D4598="Consent (GDPR Art. 6(1)(a))", I4598="Not Captured"), "Gap - Invalid Consent", IF(AND(D4598="Legitimate Interest (GDPR Art. 6(1)(f))", L4598=""), "Gap - Missing LIA", IF(AND(G4598="Yes", H4598=""), "Gap - Missing Art. 9 Basis", IF(OR(I4598="Invalid - Not Freely Given", I4598="Invalid - Not Specific", I4598="Invalid - Not Informed", I4598="Invalid - Ambiguous"), "Gap - Invalid Consent", "Compliant")))))</f>
        <v/>
      </c>
      <c r="O4598" s="7" t="n"/>
    </row>
    <row r="4599">
      <c r="A4599" s="7" t="n"/>
      <c r="B4599" s="7" t="n"/>
      <c r="C4599" s="7" t="n"/>
      <c r="D4599" s="7" t="n"/>
      <c r="E4599" s="7" t="n"/>
      <c r="F4599" s="7" t="n"/>
      <c r="G4599" s="7" t="n"/>
      <c r="H4599" s="7" t="n"/>
      <c r="I4599" s="7" t="n"/>
      <c r="J4599" s="7" t="n"/>
      <c r="K4599">
        <f>IF(D4599="Legitimate Interest (GDPR Art. 6(1)(f))", "Yes / Required (Sheet 3)", "")</f>
        <v/>
      </c>
      <c r="L4599" s="7" t="n"/>
      <c r="M4599" s="7" t="n"/>
      <c r="N4599">
        <f>IF(D4599="", "Gap - No Legal Basis", IF(AND(D4599="Consent (GDPR Art. 6(1)(a))", I4599="Not Captured"), "Gap - Invalid Consent", IF(AND(D4599="Legitimate Interest (GDPR Art. 6(1)(f))", L4599=""), "Gap - Missing LIA", IF(AND(G4599="Yes", H4599=""), "Gap - Missing Art. 9 Basis", IF(OR(I4599="Invalid - Not Freely Given", I4599="Invalid - Not Specific", I4599="Invalid - Not Informed", I4599="Invalid - Ambiguous"), "Gap - Invalid Consent", "Compliant")))))</f>
        <v/>
      </c>
      <c r="O4599" s="7" t="n"/>
    </row>
    <row r="4600">
      <c r="A4600" s="7" t="n"/>
      <c r="B4600" s="7" t="n"/>
      <c r="C4600" s="7" t="n"/>
      <c r="D4600" s="7" t="n"/>
      <c r="E4600" s="7" t="n"/>
      <c r="F4600" s="7" t="n"/>
      <c r="G4600" s="7" t="n"/>
      <c r="H4600" s="7" t="n"/>
      <c r="I4600" s="7" t="n"/>
      <c r="J4600" s="7" t="n"/>
      <c r="K4600">
        <f>IF(D4600="Legitimate Interest (GDPR Art. 6(1)(f))", "Yes / Required (Sheet 3)", "")</f>
        <v/>
      </c>
      <c r="L4600" s="7" t="n"/>
      <c r="M4600" s="7" t="n"/>
      <c r="N4600">
        <f>IF(D4600="", "Gap - No Legal Basis", IF(AND(D4600="Consent (GDPR Art. 6(1)(a))", I4600="Not Captured"), "Gap - Invalid Consent", IF(AND(D4600="Legitimate Interest (GDPR Art. 6(1)(f))", L4600=""), "Gap - Missing LIA", IF(AND(G4600="Yes", H4600=""), "Gap - Missing Art. 9 Basis", IF(OR(I4600="Invalid - Not Freely Given", I4600="Invalid - Not Specific", I4600="Invalid - Not Informed", I4600="Invalid - Ambiguous"), "Gap - Invalid Consent", "Compliant")))))</f>
        <v/>
      </c>
      <c r="O4600" s="7" t="n"/>
    </row>
    <row r="4601">
      <c r="A4601" s="7" t="n"/>
      <c r="B4601" s="7" t="n"/>
      <c r="C4601" s="7" t="n"/>
      <c r="D4601" s="7" t="n"/>
      <c r="E4601" s="7" t="n"/>
      <c r="F4601" s="7" t="n"/>
      <c r="G4601" s="7" t="n"/>
      <c r="H4601" s="7" t="n"/>
      <c r="I4601" s="7" t="n"/>
      <c r="J4601" s="7" t="n"/>
      <c r="K4601">
        <f>IF(D4601="Legitimate Interest (GDPR Art. 6(1)(f))", "Yes / Required (Sheet 3)", "")</f>
        <v/>
      </c>
      <c r="L4601" s="7" t="n"/>
      <c r="M4601" s="7" t="n"/>
      <c r="N4601">
        <f>IF(D4601="", "Gap - No Legal Basis", IF(AND(D4601="Consent (GDPR Art. 6(1)(a))", I4601="Not Captured"), "Gap - Invalid Consent", IF(AND(D4601="Legitimate Interest (GDPR Art. 6(1)(f))", L4601=""), "Gap - Missing LIA", IF(AND(G4601="Yes", H4601=""), "Gap - Missing Art. 9 Basis", IF(OR(I4601="Invalid - Not Freely Given", I4601="Invalid - Not Specific", I4601="Invalid - Not Informed", I4601="Invalid - Ambiguous"), "Gap - Invalid Consent", "Compliant")))))</f>
        <v/>
      </c>
      <c r="O4601" s="7" t="n"/>
    </row>
    <row r="4602">
      <c r="A4602" s="7" t="n"/>
      <c r="B4602" s="7" t="n"/>
      <c r="C4602" s="7" t="n"/>
      <c r="D4602" s="7" t="n"/>
      <c r="E4602" s="7" t="n"/>
      <c r="F4602" s="7" t="n"/>
      <c r="G4602" s="7" t="n"/>
      <c r="H4602" s="7" t="n"/>
      <c r="I4602" s="7" t="n"/>
      <c r="J4602" s="7" t="n"/>
      <c r="K4602">
        <f>IF(D4602="Legitimate Interest (GDPR Art. 6(1)(f))", "Yes / Required (Sheet 3)", "")</f>
        <v/>
      </c>
      <c r="L4602" s="7" t="n"/>
      <c r="M4602" s="7" t="n"/>
      <c r="N4602">
        <f>IF(D4602="", "Gap - No Legal Basis", IF(AND(D4602="Consent (GDPR Art. 6(1)(a))", I4602="Not Captured"), "Gap - Invalid Consent", IF(AND(D4602="Legitimate Interest (GDPR Art. 6(1)(f))", L4602=""), "Gap - Missing LIA", IF(AND(G4602="Yes", H4602=""), "Gap - Missing Art. 9 Basis", IF(OR(I4602="Invalid - Not Freely Given", I4602="Invalid - Not Specific", I4602="Invalid - Not Informed", I4602="Invalid - Ambiguous"), "Gap - Invalid Consent", "Compliant")))))</f>
        <v/>
      </c>
      <c r="O4602" s="7" t="n"/>
    </row>
    <row r="4603">
      <c r="A4603" s="7" t="n"/>
      <c r="B4603" s="7" t="n"/>
      <c r="C4603" s="7" t="n"/>
      <c r="D4603" s="7" t="n"/>
      <c r="E4603" s="7" t="n"/>
      <c r="F4603" s="7" t="n"/>
      <c r="G4603" s="7" t="n"/>
      <c r="H4603" s="7" t="n"/>
      <c r="I4603" s="7" t="n"/>
      <c r="J4603" s="7" t="n"/>
      <c r="K4603">
        <f>IF(D4603="Legitimate Interest (GDPR Art. 6(1)(f))", "Yes / Required (Sheet 3)", "")</f>
        <v/>
      </c>
      <c r="L4603" s="7" t="n"/>
      <c r="M4603" s="7" t="n"/>
      <c r="N4603">
        <f>IF(D4603="", "Gap - No Legal Basis", IF(AND(D4603="Consent (GDPR Art. 6(1)(a))", I4603="Not Captured"), "Gap - Invalid Consent", IF(AND(D4603="Legitimate Interest (GDPR Art. 6(1)(f))", L4603=""), "Gap - Missing LIA", IF(AND(G4603="Yes", H4603=""), "Gap - Missing Art. 9 Basis", IF(OR(I4603="Invalid - Not Freely Given", I4603="Invalid - Not Specific", I4603="Invalid - Not Informed", I4603="Invalid - Ambiguous"), "Gap - Invalid Consent", "Compliant")))))</f>
        <v/>
      </c>
      <c r="O4603" s="7" t="n"/>
    </row>
    <row r="4604">
      <c r="A4604" s="7" t="n"/>
      <c r="B4604" s="7" t="n"/>
      <c r="C4604" s="7" t="n"/>
      <c r="D4604" s="7" t="n"/>
      <c r="E4604" s="7" t="n"/>
      <c r="F4604" s="7" t="n"/>
      <c r="G4604" s="7" t="n"/>
      <c r="H4604" s="7" t="n"/>
      <c r="I4604" s="7" t="n"/>
      <c r="J4604" s="7" t="n"/>
      <c r="K4604">
        <f>IF(D4604="Legitimate Interest (GDPR Art. 6(1)(f))", "Yes / Required (Sheet 3)", "")</f>
        <v/>
      </c>
      <c r="L4604" s="7" t="n"/>
      <c r="M4604" s="7" t="n"/>
      <c r="N4604">
        <f>IF(D4604="", "Gap - No Legal Basis", IF(AND(D4604="Consent (GDPR Art. 6(1)(a))", I4604="Not Captured"), "Gap - Invalid Consent", IF(AND(D4604="Legitimate Interest (GDPR Art. 6(1)(f))", L4604=""), "Gap - Missing LIA", IF(AND(G4604="Yes", H4604=""), "Gap - Missing Art. 9 Basis", IF(OR(I4604="Invalid - Not Freely Given", I4604="Invalid - Not Specific", I4604="Invalid - Not Informed", I4604="Invalid - Ambiguous"), "Gap - Invalid Consent", "Compliant")))))</f>
        <v/>
      </c>
      <c r="O4604" s="7" t="n"/>
    </row>
    <row r="4605">
      <c r="A4605" s="7" t="n"/>
      <c r="B4605" s="7" t="n"/>
      <c r="C4605" s="7" t="n"/>
      <c r="D4605" s="7" t="n"/>
      <c r="E4605" s="7" t="n"/>
      <c r="F4605" s="7" t="n"/>
      <c r="G4605" s="7" t="n"/>
      <c r="H4605" s="7" t="n"/>
      <c r="I4605" s="7" t="n"/>
      <c r="J4605" s="7" t="n"/>
      <c r="K4605">
        <f>IF(D4605="Legitimate Interest (GDPR Art. 6(1)(f))", "Yes / Required (Sheet 3)", "")</f>
        <v/>
      </c>
      <c r="L4605" s="7" t="n"/>
      <c r="M4605" s="7" t="n"/>
      <c r="N4605">
        <f>IF(D4605="", "Gap - No Legal Basis", IF(AND(D4605="Consent (GDPR Art. 6(1)(a))", I4605="Not Captured"), "Gap - Invalid Consent", IF(AND(D4605="Legitimate Interest (GDPR Art. 6(1)(f))", L4605=""), "Gap - Missing LIA", IF(AND(G4605="Yes", H4605=""), "Gap - Missing Art. 9 Basis", IF(OR(I4605="Invalid - Not Freely Given", I4605="Invalid - Not Specific", I4605="Invalid - Not Informed", I4605="Invalid - Ambiguous"), "Gap - Invalid Consent", "Compliant")))))</f>
        <v/>
      </c>
      <c r="O4605" s="7" t="n"/>
    </row>
    <row r="4606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7" t="n"/>
      <c r="J4606" s="7" t="n"/>
      <c r="K4606">
        <f>IF(D4606="Legitimate Interest (GDPR Art. 6(1)(f))", "Yes / Required (Sheet 3)", "")</f>
        <v/>
      </c>
      <c r="L4606" s="7" t="n"/>
      <c r="M4606" s="7" t="n"/>
      <c r="N4606">
        <f>IF(D4606="", "Gap - No Legal Basis", IF(AND(D4606="Consent (GDPR Art. 6(1)(a))", I4606="Not Captured"), "Gap - Invalid Consent", IF(AND(D4606="Legitimate Interest (GDPR Art. 6(1)(f))", L4606=""), "Gap - Missing LIA", IF(AND(G4606="Yes", H4606=""), "Gap - Missing Art. 9 Basis", IF(OR(I4606="Invalid - Not Freely Given", I4606="Invalid - Not Specific", I4606="Invalid - Not Informed", I4606="Invalid - Ambiguous"), "Gap - Invalid Consent", "Compliant")))))</f>
        <v/>
      </c>
      <c r="O4606" s="7" t="n"/>
    </row>
    <row r="4607">
      <c r="A4607" s="7" t="n"/>
      <c r="B4607" s="7" t="n"/>
      <c r="C4607" s="7" t="n"/>
      <c r="D4607" s="7" t="n"/>
      <c r="E4607" s="7" t="n"/>
      <c r="F4607" s="7" t="n"/>
      <c r="G4607" s="7" t="n"/>
      <c r="H4607" s="7" t="n"/>
      <c r="I4607" s="7" t="n"/>
      <c r="J4607" s="7" t="n"/>
      <c r="K4607">
        <f>IF(D4607="Legitimate Interest (GDPR Art. 6(1)(f))", "Yes / Required (Sheet 3)", "")</f>
        <v/>
      </c>
      <c r="L4607" s="7" t="n"/>
      <c r="M4607" s="7" t="n"/>
      <c r="N4607">
        <f>IF(D4607="", "Gap - No Legal Basis", IF(AND(D4607="Consent (GDPR Art. 6(1)(a))", I4607="Not Captured"), "Gap - Invalid Consent", IF(AND(D4607="Legitimate Interest (GDPR Art. 6(1)(f))", L4607=""), "Gap - Missing LIA", IF(AND(G4607="Yes", H4607=""), "Gap - Missing Art. 9 Basis", IF(OR(I4607="Invalid - Not Freely Given", I4607="Invalid - Not Specific", I4607="Invalid - Not Informed", I4607="Invalid - Ambiguous"), "Gap - Invalid Consent", "Compliant")))))</f>
        <v/>
      </c>
      <c r="O4607" s="7" t="n"/>
    </row>
    <row r="4608">
      <c r="A4608" s="7" t="n"/>
      <c r="B4608" s="7" t="n"/>
      <c r="C4608" s="7" t="n"/>
      <c r="D4608" s="7" t="n"/>
      <c r="E4608" s="7" t="n"/>
      <c r="F4608" s="7" t="n"/>
      <c r="G4608" s="7" t="n"/>
      <c r="H4608" s="7" t="n"/>
      <c r="I4608" s="7" t="n"/>
      <c r="J4608" s="7" t="n"/>
      <c r="K4608">
        <f>IF(D4608="Legitimate Interest (GDPR Art. 6(1)(f))", "Yes / Required (Sheet 3)", "")</f>
        <v/>
      </c>
      <c r="L4608" s="7" t="n"/>
      <c r="M4608" s="7" t="n"/>
      <c r="N4608">
        <f>IF(D4608="", "Gap - No Legal Basis", IF(AND(D4608="Consent (GDPR Art. 6(1)(a))", I4608="Not Captured"), "Gap - Invalid Consent", IF(AND(D4608="Legitimate Interest (GDPR Art. 6(1)(f))", L4608=""), "Gap - Missing LIA", IF(AND(G4608="Yes", H4608=""), "Gap - Missing Art. 9 Basis", IF(OR(I4608="Invalid - Not Freely Given", I4608="Invalid - Not Specific", I4608="Invalid - Not Informed", I4608="Invalid - Ambiguous"), "Gap - Invalid Consent", "Compliant")))))</f>
        <v/>
      </c>
      <c r="O4608" s="7" t="n"/>
    </row>
    <row r="4609">
      <c r="A4609" s="7" t="n"/>
      <c r="B4609" s="7" t="n"/>
      <c r="C4609" s="7" t="n"/>
      <c r="D4609" s="7" t="n"/>
      <c r="E4609" s="7" t="n"/>
      <c r="F4609" s="7" t="n"/>
      <c r="G4609" s="7" t="n"/>
      <c r="H4609" s="7" t="n"/>
      <c r="I4609" s="7" t="n"/>
      <c r="J4609" s="7" t="n"/>
      <c r="K4609">
        <f>IF(D4609="Legitimate Interest (GDPR Art. 6(1)(f))", "Yes / Required (Sheet 3)", "")</f>
        <v/>
      </c>
      <c r="L4609" s="7" t="n"/>
      <c r="M4609" s="7" t="n"/>
      <c r="N4609">
        <f>IF(D4609="", "Gap - No Legal Basis", IF(AND(D4609="Consent (GDPR Art. 6(1)(a))", I4609="Not Captured"), "Gap - Invalid Consent", IF(AND(D4609="Legitimate Interest (GDPR Art. 6(1)(f))", L4609=""), "Gap - Missing LIA", IF(AND(G4609="Yes", H4609=""), "Gap - Missing Art. 9 Basis", IF(OR(I4609="Invalid - Not Freely Given", I4609="Invalid - Not Specific", I4609="Invalid - Not Informed", I4609="Invalid - Ambiguous"), "Gap - Invalid Consent", "Compliant")))))</f>
        <v/>
      </c>
      <c r="O4609" s="7" t="n"/>
    </row>
    <row r="4610">
      <c r="A4610" s="7" t="n"/>
      <c r="B4610" s="7" t="n"/>
      <c r="C4610" s="7" t="n"/>
      <c r="D4610" s="7" t="n"/>
      <c r="E4610" s="7" t="n"/>
      <c r="F4610" s="7" t="n"/>
      <c r="G4610" s="7" t="n"/>
      <c r="H4610" s="7" t="n"/>
      <c r="I4610" s="7" t="n"/>
      <c r="J4610" s="7" t="n"/>
      <c r="K4610">
        <f>IF(D4610="Legitimate Interest (GDPR Art. 6(1)(f))", "Yes / Required (Sheet 3)", "")</f>
        <v/>
      </c>
      <c r="L4610" s="7" t="n"/>
      <c r="M4610" s="7" t="n"/>
      <c r="N4610">
        <f>IF(D4610="", "Gap - No Legal Basis", IF(AND(D4610="Consent (GDPR Art. 6(1)(a))", I4610="Not Captured"), "Gap - Invalid Consent", IF(AND(D4610="Legitimate Interest (GDPR Art. 6(1)(f))", L4610=""), "Gap - Missing LIA", IF(AND(G4610="Yes", H4610=""), "Gap - Missing Art. 9 Basis", IF(OR(I4610="Invalid - Not Freely Given", I4610="Invalid - Not Specific", I4610="Invalid - Not Informed", I4610="Invalid - Ambiguous"), "Gap - Invalid Consent", "Compliant")))))</f>
        <v/>
      </c>
      <c r="O4610" s="7" t="n"/>
    </row>
    <row r="4611">
      <c r="A4611" s="7" t="n"/>
      <c r="B4611" s="7" t="n"/>
      <c r="C4611" s="7" t="n"/>
      <c r="D4611" s="7" t="n"/>
      <c r="E4611" s="7" t="n"/>
      <c r="F4611" s="7" t="n"/>
      <c r="G4611" s="7" t="n"/>
      <c r="H4611" s="7" t="n"/>
      <c r="I4611" s="7" t="n"/>
      <c r="J4611" s="7" t="n"/>
      <c r="K4611">
        <f>IF(D4611="Legitimate Interest (GDPR Art. 6(1)(f))", "Yes / Required (Sheet 3)", "")</f>
        <v/>
      </c>
      <c r="L4611" s="7" t="n"/>
      <c r="M4611" s="7" t="n"/>
      <c r="N4611">
        <f>IF(D4611="", "Gap - No Legal Basis", IF(AND(D4611="Consent (GDPR Art. 6(1)(a))", I4611="Not Captured"), "Gap - Invalid Consent", IF(AND(D4611="Legitimate Interest (GDPR Art. 6(1)(f))", L4611=""), "Gap - Missing LIA", IF(AND(G4611="Yes", H4611=""), "Gap - Missing Art. 9 Basis", IF(OR(I4611="Invalid - Not Freely Given", I4611="Invalid - Not Specific", I4611="Invalid - Not Informed", I4611="Invalid - Ambiguous"), "Gap - Invalid Consent", "Compliant")))))</f>
        <v/>
      </c>
      <c r="O4611" s="7" t="n"/>
    </row>
    <row r="4612">
      <c r="A4612" s="7" t="n"/>
      <c r="B4612" s="7" t="n"/>
      <c r="C4612" s="7" t="n"/>
      <c r="D4612" s="7" t="n"/>
      <c r="E4612" s="7" t="n"/>
      <c r="F4612" s="7" t="n"/>
      <c r="G4612" s="7" t="n"/>
      <c r="H4612" s="7" t="n"/>
      <c r="I4612" s="7" t="n"/>
      <c r="J4612" s="7" t="n"/>
      <c r="K4612">
        <f>IF(D4612="Legitimate Interest (GDPR Art. 6(1)(f))", "Yes / Required (Sheet 3)", "")</f>
        <v/>
      </c>
      <c r="L4612" s="7" t="n"/>
      <c r="M4612" s="7" t="n"/>
      <c r="N4612">
        <f>IF(D4612="", "Gap - No Legal Basis", IF(AND(D4612="Consent (GDPR Art. 6(1)(a))", I4612="Not Captured"), "Gap - Invalid Consent", IF(AND(D4612="Legitimate Interest (GDPR Art. 6(1)(f))", L4612=""), "Gap - Missing LIA", IF(AND(G4612="Yes", H4612=""), "Gap - Missing Art. 9 Basis", IF(OR(I4612="Invalid - Not Freely Given", I4612="Invalid - Not Specific", I4612="Invalid - Not Informed", I4612="Invalid - Ambiguous"), "Gap - Invalid Consent", "Compliant")))))</f>
        <v/>
      </c>
      <c r="O4612" s="7" t="n"/>
    </row>
    <row r="4613">
      <c r="A4613" s="7" t="n"/>
      <c r="B4613" s="7" t="n"/>
      <c r="C4613" s="7" t="n"/>
      <c r="D4613" s="7" t="n"/>
      <c r="E4613" s="7" t="n"/>
      <c r="F4613" s="7" t="n"/>
      <c r="G4613" s="7" t="n"/>
      <c r="H4613" s="7" t="n"/>
      <c r="I4613" s="7" t="n"/>
      <c r="J4613" s="7" t="n"/>
      <c r="K4613">
        <f>IF(D4613="Legitimate Interest (GDPR Art. 6(1)(f))", "Yes / Required (Sheet 3)", "")</f>
        <v/>
      </c>
      <c r="L4613" s="7" t="n"/>
      <c r="M4613" s="7" t="n"/>
      <c r="N4613">
        <f>IF(D4613="", "Gap - No Legal Basis", IF(AND(D4613="Consent (GDPR Art. 6(1)(a))", I4613="Not Captured"), "Gap - Invalid Consent", IF(AND(D4613="Legitimate Interest (GDPR Art. 6(1)(f))", L4613=""), "Gap - Missing LIA", IF(AND(G4613="Yes", H4613=""), "Gap - Missing Art. 9 Basis", IF(OR(I4613="Invalid - Not Freely Given", I4613="Invalid - Not Specific", I4613="Invalid - Not Informed", I4613="Invalid - Ambiguous"), "Gap - Invalid Consent", "Compliant")))))</f>
        <v/>
      </c>
      <c r="O4613" s="7" t="n"/>
    </row>
    <row r="4614">
      <c r="A4614" s="7" t="n"/>
      <c r="B4614" s="7" t="n"/>
      <c r="C4614" s="7" t="n"/>
      <c r="D4614" s="7" t="n"/>
      <c r="E4614" s="7" t="n"/>
      <c r="F4614" s="7" t="n"/>
      <c r="G4614" s="7" t="n"/>
      <c r="H4614" s="7" t="n"/>
      <c r="I4614" s="7" t="n"/>
      <c r="J4614" s="7" t="n"/>
      <c r="K4614">
        <f>IF(D4614="Legitimate Interest (GDPR Art. 6(1)(f))", "Yes / Required (Sheet 3)", "")</f>
        <v/>
      </c>
      <c r="L4614" s="7" t="n"/>
      <c r="M4614" s="7" t="n"/>
      <c r="N4614">
        <f>IF(D4614="", "Gap - No Legal Basis", IF(AND(D4614="Consent (GDPR Art. 6(1)(a))", I4614="Not Captured"), "Gap - Invalid Consent", IF(AND(D4614="Legitimate Interest (GDPR Art. 6(1)(f))", L4614=""), "Gap - Missing LIA", IF(AND(G4614="Yes", H4614=""), "Gap - Missing Art. 9 Basis", IF(OR(I4614="Invalid - Not Freely Given", I4614="Invalid - Not Specific", I4614="Invalid - Not Informed", I4614="Invalid - Ambiguous"), "Gap - Invalid Consent", "Compliant")))))</f>
        <v/>
      </c>
      <c r="O4614" s="7" t="n"/>
    </row>
    <row r="4615">
      <c r="A4615" s="7" t="n"/>
      <c r="B4615" s="7" t="n"/>
      <c r="C4615" s="7" t="n"/>
      <c r="D4615" s="7" t="n"/>
      <c r="E4615" s="7" t="n"/>
      <c r="F4615" s="7" t="n"/>
      <c r="G4615" s="7" t="n"/>
      <c r="H4615" s="7" t="n"/>
      <c r="I4615" s="7" t="n"/>
      <c r="J4615" s="7" t="n"/>
      <c r="K4615">
        <f>IF(D4615="Legitimate Interest (GDPR Art. 6(1)(f))", "Yes / Required (Sheet 3)", "")</f>
        <v/>
      </c>
      <c r="L4615" s="7" t="n"/>
      <c r="M4615" s="7" t="n"/>
      <c r="N4615">
        <f>IF(D4615="", "Gap - No Legal Basis", IF(AND(D4615="Consent (GDPR Art. 6(1)(a))", I4615="Not Captured"), "Gap - Invalid Consent", IF(AND(D4615="Legitimate Interest (GDPR Art. 6(1)(f))", L4615=""), "Gap - Missing LIA", IF(AND(G4615="Yes", H4615=""), "Gap - Missing Art. 9 Basis", IF(OR(I4615="Invalid - Not Freely Given", I4615="Invalid - Not Specific", I4615="Invalid - Not Informed", I4615="Invalid - Ambiguous"), "Gap - Invalid Consent", "Compliant")))))</f>
        <v/>
      </c>
      <c r="O4615" s="7" t="n"/>
    </row>
    <row r="4616">
      <c r="A4616" s="7" t="n"/>
      <c r="B4616" s="7" t="n"/>
      <c r="C4616" s="7" t="n"/>
      <c r="D4616" s="7" t="n"/>
      <c r="E4616" s="7" t="n"/>
      <c r="F4616" s="7" t="n"/>
      <c r="G4616" s="7" t="n"/>
      <c r="H4616" s="7" t="n"/>
      <c r="I4616" s="7" t="n"/>
      <c r="J4616" s="7" t="n"/>
      <c r="K4616">
        <f>IF(D4616="Legitimate Interest (GDPR Art. 6(1)(f))", "Yes / Required (Sheet 3)", "")</f>
        <v/>
      </c>
      <c r="L4616" s="7" t="n"/>
      <c r="M4616" s="7" t="n"/>
      <c r="N4616">
        <f>IF(D4616="", "Gap - No Legal Basis", IF(AND(D4616="Consent (GDPR Art. 6(1)(a))", I4616="Not Captured"), "Gap - Invalid Consent", IF(AND(D4616="Legitimate Interest (GDPR Art. 6(1)(f))", L4616=""), "Gap - Missing LIA", IF(AND(G4616="Yes", H4616=""), "Gap - Missing Art. 9 Basis", IF(OR(I4616="Invalid - Not Freely Given", I4616="Invalid - Not Specific", I4616="Invalid - Not Informed", I4616="Invalid - Ambiguous"), "Gap - Invalid Consent", "Compliant")))))</f>
        <v/>
      </c>
      <c r="O4616" s="7" t="n"/>
    </row>
    <row r="4617">
      <c r="A4617" s="7" t="n"/>
      <c r="B4617" s="7" t="n"/>
      <c r="C4617" s="7" t="n"/>
      <c r="D4617" s="7" t="n"/>
      <c r="E4617" s="7" t="n"/>
      <c r="F4617" s="7" t="n"/>
      <c r="G4617" s="7" t="n"/>
      <c r="H4617" s="7" t="n"/>
      <c r="I4617" s="7" t="n"/>
      <c r="J4617" s="7" t="n"/>
      <c r="K4617">
        <f>IF(D4617="Legitimate Interest (GDPR Art. 6(1)(f))", "Yes / Required (Sheet 3)", "")</f>
        <v/>
      </c>
      <c r="L4617" s="7" t="n"/>
      <c r="M4617" s="7" t="n"/>
      <c r="N4617">
        <f>IF(D4617="", "Gap - No Legal Basis", IF(AND(D4617="Consent (GDPR Art. 6(1)(a))", I4617="Not Captured"), "Gap - Invalid Consent", IF(AND(D4617="Legitimate Interest (GDPR Art. 6(1)(f))", L4617=""), "Gap - Missing LIA", IF(AND(G4617="Yes", H4617=""), "Gap - Missing Art. 9 Basis", IF(OR(I4617="Invalid - Not Freely Given", I4617="Invalid - Not Specific", I4617="Invalid - Not Informed", I4617="Invalid - Ambiguous"), "Gap - Invalid Consent", "Compliant")))))</f>
        <v/>
      </c>
      <c r="O4617" s="7" t="n"/>
    </row>
    <row r="4618">
      <c r="A4618" s="7" t="n"/>
      <c r="B4618" s="7" t="n"/>
      <c r="C4618" s="7" t="n"/>
      <c r="D4618" s="7" t="n"/>
      <c r="E4618" s="7" t="n"/>
      <c r="F4618" s="7" t="n"/>
      <c r="G4618" s="7" t="n"/>
      <c r="H4618" s="7" t="n"/>
      <c r="I4618" s="7" t="n"/>
      <c r="J4618" s="7" t="n"/>
      <c r="K4618">
        <f>IF(D4618="Legitimate Interest (GDPR Art. 6(1)(f))", "Yes / Required (Sheet 3)", "")</f>
        <v/>
      </c>
      <c r="L4618" s="7" t="n"/>
      <c r="M4618" s="7" t="n"/>
      <c r="N4618">
        <f>IF(D4618="", "Gap - No Legal Basis", IF(AND(D4618="Consent (GDPR Art. 6(1)(a))", I4618="Not Captured"), "Gap - Invalid Consent", IF(AND(D4618="Legitimate Interest (GDPR Art. 6(1)(f))", L4618=""), "Gap - Missing LIA", IF(AND(G4618="Yes", H4618=""), "Gap - Missing Art. 9 Basis", IF(OR(I4618="Invalid - Not Freely Given", I4618="Invalid - Not Specific", I4618="Invalid - Not Informed", I4618="Invalid - Ambiguous"), "Gap - Invalid Consent", "Compliant")))))</f>
        <v/>
      </c>
      <c r="O4618" s="7" t="n"/>
    </row>
    <row r="4619">
      <c r="A4619" s="7" t="n"/>
      <c r="B4619" s="7" t="n"/>
      <c r="C4619" s="7" t="n"/>
      <c r="D4619" s="7" t="n"/>
      <c r="E4619" s="7" t="n"/>
      <c r="F4619" s="7" t="n"/>
      <c r="G4619" s="7" t="n"/>
      <c r="H4619" s="7" t="n"/>
      <c r="I4619" s="7" t="n"/>
      <c r="J4619" s="7" t="n"/>
      <c r="K4619">
        <f>IF(D4619="Legitimate Interest (GDPR Art. 6(1)(f))", "Yes / Required (Sheet 3)", "")</f>
        <v/>
      </c>
      <c r="L4619" s="7" t="n"/>
      <c r="M4619" s="7" t="n"/>
      <c r="N4619">
        <f>IF(D4619="", "Gap - No Legal Basis", IF(AND(D4619="Consent (GDPR Art. 6(1)(a))", I4619="Not Captured"), "Gap - Invalid Consent", IF(AND(D4619="Legitimate Interest (GDPR Art. 6(1)(f))", L4619=""), "Gap - Missing LIA", IF(AND(G4619="Yes", H4619=""), "Gap - Missing Art. 9 Basis", IF(OR(I4619="Invalid - Not Freely Given", I4619="Invalid - Not Specific", I4619="Invalid - Not Informed", I4619="Invalid - Ambiguous"), "Gap - Invalid Consent", "Compliant")))))</f>
        <v/>
      </c>
      <c r="O4619" s="7" t="n"/>
    </row>
    <row r="4620">
      <c r="A4620" s="7" t="n"/>
      <c r="B4620" s="7" t="n"/>
      <c r="C4620" s="7" t="n"/>
      <c r="D4620" s="7" t="n"/>
      <c r="E4620" s="7" t="n"/>
      <c r="F4620" s="7" t="n"/>
      <c r="G4620" s="7" t="n"/>
      <c r="H4620" s="7" t="n"/>
      <c r="I4620" s="7" t="n"/>
      <c r="J4620" s="7" t="n"/>
      <c r="K4620">
        <f>IF(D4620="Legitimate Interest (GDPR Art. 6(1)(f))", "Yes / Required (Sheet 3)", "")</f>
        <v/>
      </c>
      <c r="L4620" s="7" t="n"/>
      <c r="M4620" s="7" t="n"/>
      <c r="N4620">
        <f>IF(D4620="", "Gap - No Legal Basis", IF(AND(D4620="Consent (GDPR Art. 6(1)(a))", I4620="Not Captured"), "Gap - Invalid Consent", IF(AND(D4620="Legitimate Interest (GDPR Art. 6(1)(f))", L4620=""), "Gap - Missing LIA", IF(AND(G4620="Yes", H4620=""), "Gap - Missing Art. 9 Basis", IF(OR(I4620="Invalid - Not Freely Given", I4620="Invalid - Not Specific", I4620="Invalid - Not Informed", I4620="Invalid - Ambiguous"), "Gap - Invalid Consent", "Compliant")))))</f>
        <v/>
      </c>
      <c r="O4620" s="7" t="n"/>
    </row>
    <row r="4621">
      <c r="A4621" s="7" t="n"/>
      <c r="B4621" s="7" t="n"/>
      <c r="C4621" s="7" t="n"/>
      <c r="D4621" s="7" t="n"/>
      <c r="E4621" s="7" t="n"/>
      <c r="F4621" s="7" t="n"/>
      <c r="G4621" s="7" t="n"/>
      <c r="H4621" s="7" t="n"/>
      <c r="I4621" s="7" t="n"/>
      <c r="J4621" s="7" t="n"/>
      <c r="K4621">
        <f>IF(D4621="Legitimate Interest (GDPR Art. 6(1)(f))", "Yes / Required (Sheet 3)", "")</f>
        <v/>
      </c>
      <c r="L4621" s="7" t="n"/>
      <c r="M4621" s="7" t="n"/>
      <c r="N4621">
        <f>IF(D4621="", "Gap - No Legal Basis", IF(AND(D4621="Consent (GDPR Art. 6(1)(a))", I4621="Not Captured"), "Gap - Invalid Consent", IF(AND(D4621="Legitimate Interest (GDPR Art. 6(1)(f))", L4621=""), "Gap - Missing LIA", IF(AND(G4621="Yes", H4621=""), "Gap - Missing Art. 9 Basis", IF(OR(I4621="Invalid - Not Freely Given", I4621="Invalid - Not Specific", I4621="Invalid - Not Informed", I4621="Invalid - Ambiguous"), "Gap - Invalid Consent", "Compliant")))))</f>
        <v/>
      </c>
      <c r="O4621" s="7" t="n"/>
    </row>
    <row r="4622">
      <c r="A4622" s="7" t="n"/>
      <c r="B4622" s="7" t="n"/>
      <c r="C4622" s="7" t="n"/>
      <c r="D4622" s="7" t="n"/>
      <c r="E4622" s="7" t="n"/>
      <c r="F4622" s="7" t="n"/>
      <c r="G4622" s="7" t="n"/>
      <c r="H4622" s="7" t="n"/>
      <c r="I4622" s="7" t="n"/>
      <c r="J4622" s="7" t="n"/>
      <c r="K4622">
        <f>IF(D4622="Legitimate Interest (GDPR Art. 6(1)(f))", "Yes / Required (Sheet 3)", "")</f>
        <v/>
      </c>
      <c r="L4622" s="7" t="n"/>
      <c r="M4622" s="7" t="n"/>
      <c r="N4622">
        <f>IF(D4622="", "Gap - No Legal Basis", IF(AND(D4622="Consent (GDPR Art. 6(1)(a))", I4622="Not Captured"), "Gap - Invalid Consent", IF(AND(D4622="Legitimate Interest (GDPR Art. 6(1)(f))", L4622=""), "Gap - Missing LIA", IF(AND(G4622="Yes", H4622=""), "Gap - Missing Art. 9 Basis", IF(OR(I4622="Invalid - Not Freely Given", I4622="Invalid - Not Specific", I4622="Invalid - Not Informed", I4622="Invalid - Ambiguous"), "Gap - Invalid Consent", "Compliant")))))</f>
        <v/>
      </c>
      <c r="O4622" s="7" t="n"/>
    </row>
    <row r="4623">
      <c r="A4623" s="7" t="n"/>
      <c r="B4623" s="7" t="n"/>
      <c r="C4623" s="7" t="n"/>
      <c r="D4623" s="7" t="n"/>
      <c r="E4623" s="7" t="n"/>
      <c r="F4623" s="7" t="n"/>
      <c r="G4623" s="7" t="n"/>
      <c r="H4623" s="7" t="n"/>
      <c r="I4623" s="7" t="n"/>
      <c r="J4623" s="7" t="n"/>
      <c r="K4623">
        <f>IF(D4623="Legitimate Interest (GDPR Art. 6(1)(f))", "Yes / Required (Sheet 3)", "")</f>
        <v/>
      </c>
      <c r="L4623" s="7" t="n"/>
      <c r="M4623" s="7" t="n"/>
      <c r="N4623">
        <f>IF(D4623="", "Gap - No Legal Basis", IF(AND(D4623="Consent (GDPR Art. 6(1)(a))", I4623="Not Captured"), "Gap - Invalid Consent", IF(AND(D4623="Legitimate Interest (GDPR Art. 6(1)(f))", L4623=""), "Gap - Missing LIA", IF(AND(G4623="Yes", H4623=""), "Gap - Missing Art. 9 Basis", IF(OR(I4623="Invalid - Not Freely Given", I4623="Invalid - Not Specific", I4623="Invalid - Not Informed", I4623="Invalid - Ambiguous"), "Gap - Invalid Consent", "Compliant")))))</f>
        <v/>
      </c>
      <c r="O4623" s="7" t="n"/>
    </row>
    <row r="4624">
      <c r="A4624" s="7" t="n"/>
      <c r="B4624" s="7" t="n"/>
      <c r="C4624" s="7" t="n"/>
      <c r="D4624" s="7" t="n"/>
      <c r="E4624" s="7" t="n"/>
      <c r="F4624" s="7" t="n"/>
      <c r="G4624" s="7" t="n"/>
      <c r="H4624" s="7" t="n"/>
      <c r="I4624" s="7" t="n"/>
      <c r="J4624" s="7" t="n"/>
      <c r="K4624">
        <f>IF(D4624="Legitimate Interest (GDPR Art. 6(1)(f))", "Yes / Required (Sheet 3)", "")</f>
        <v/>
      </c>
      <c r="L4624" s="7" t="n"/>
      <c r="M4624" s="7" t="n"/>
      <c r="N4624">
        <f>IF(D4624="", "Gap - No Legal Basis", IF(AND(D4624="Consent (GDPR Art. 6(1)(a))", I4624="Not Captured"), "Gap - Invalid Consent", IF(AND(D4624="Legitimate Interest (GDPR Art. 6(1)(f))", L4624=""), "Gap - Missing LIA", IF(AND(G4624="Yes", H4624=""), "Gap - Missing Art. 9 Basis", IF(OR(I4624="Invalid - Not Freely Given", I4624="Invalid - Not Specific", I4624="Invalid - Not Informed", I4624="Invalid - Ambiguous"), "Gap - Invalid Consent", "Compliant")))))</f>
        <v/>
      </c>
      <c r="O4624" s="7" t="n"/>
    </row>
    <row r="4625">
      <c r="A4625" s="7" t="n"/>
      <c r="B4625" s="7" t="n"/>
      <c r="C4625" s="7" t="n"/>
      <c r="D4625" s="7" t="n"/>
      <c r="E4625" s="7" t="n"/>
      <c r="F4625" s="7" t="n"/>
      <c r="G4625" s="7" t="n"/>
      <c r="H4625" s="7" t="n"/>
      <c r="I4625" s="7" t="n"/>
      <c r="J4625" s="7" t="n"/>
      <c r="K4625">
        <f>IF(D4625="Legitimate Interest (GDPR Art. 6(1)(f))", "Yes / Required (Sheet 3)", "")</f>
        <v/>
      </c>
      <c r="L4625" s="7" t="n"/>
      <c r="M4625" s="7" t="n"/>
      <c r="N4625">
        <f>IF(D4625="", "Gap - No Legal Basis", IF(AND(D4625="Consent (GDPR Art. 6(1)(a))", I4625="Not Captured"), "Gap - Invalid Consent", IF(AND(D4625="Legitimate Interest (GDPR Art. 6(1)(f))", L4625=""), "Gap - Missing LIA", IF(AND(G4625="Yes", H4625=""), "Gap - Missing Art. 9 Basis", IF(OR(I4625="Invalid - Not Freely Given", I4625="Invalid - Not Specific", I4625="Invalid - Not Informed", I4625="Invalid - Ambiguous"), "Gap - Invalid Consent", "Compliant")))))</f>
        <v/>
      </c>
      <c r="O4625" s="7" t="n"/>
    </row>
    <row r="4626">
      <c r="A4626" s="7" t="n"/>
      <c r="B4626" s="7" t="n"/>
      <c r="C4626" s="7" t="n"/>
      <c r="D4626" s="7" t="n"/>
      <c r="E4626" s="7" t="n"/>
      <c r="F4626" s="7" t="n"/>
      <c r="G4626" s="7" t="n"/>
      <c r="H4626" s="7" t="n"/>
      <c r="I4626" s="7" t="n"/>
      <c r="J4626" s="7" t="n"/>
      <c r="K4626">
        <f>IF(D4626="Legitimate Interest (GDPR Art. 6(1)(f))", "Yes / Required (Sheet 3)", "")</f>
        <v/>
      </c>
      <c r="L4626" s="7" t="n"/>
      <c r="M4626" s="7" t="n"/>
      <c r="N4626">
        <f>IF(D4626="", "Gap - No Legal Basis", IF(AND(D4626="Consent (GDPR Art. 6(1)(a))", I4626="Not Captured"), "Gap - Invalid Consent", IF(AND(D4626="Legitimate Interest (GDPR Art. 6(1)(f))", L4626=""), "Gap - Missing LIA", IF(AND(G4626="Yes", H4626=""), "Gap - Missing Art. 9 Basis", IF(OR(I4626="Invalid - Not Freely Given", I4626="Invalid - Not Specific", I4626="Invalid - Not Informed", I4626="Invalid - Ambiguous"), "Gap - Invalid Consent", "Compliant")))))</f>
        <v/>
      </c>
      <c r="O4626" s="7" t="n"/>
    </row>
    <row r="4627">
      <c r="A4627" s="7" t="n"/>
      <c r="B4627" s="7" t="n"/>
      <c r="C4627" s="7" t="n"/>
      <c r="D4627" s="7" t="n"/>
      <c r="E4627" s="7" t="n"/>
      <c r="F4627" s="7" t="n"/>
      <c r="G4627" s="7" t="n"/>
      <c r="H4627" s="7" t="n"/>
      <c r="I4627" s="7" t="n"/>
      <c r="J4627" s="7" t="n"/>
      <c r="K4627">
        <f>IF(D4627="Legitimate Interest (GDPR Art. 6(1)(f))", "Yes / Required (Sheet 3)", "")</f>
        <v/>
      </c>
      <c r="L4627" s="7" t="n"/>
      <c r="M4627" s="7" t="n"/>
      <c r="N4627">
        <f>IF(D4627="", "Gap - No Legal Basis", IF(AND(D4627="Consent (GDPR Art. 6(1)(a))", I4627="Not Captured"), "Gap - Invalid Consent", IF(AND(D4627="Legitimate Interest (GDPR Art. 6(1)(f))", L4627=""), "Gap - Missing LIA", IF(AND(G4627="Yes", H4627=""), "Gap - Missing Art. 9 Basis", IF(OR(I4627="Invalid - Not Freely Given", I4627="Invalid - Not Specific", I4627="Invalid - Not Informed", I4627="Invalid - Ambiguous"), "Gap - Invalid Consent", "Compliant")))))</f>
        <v/>
      </c>
      <c r="O4627" s="7" t="n"/>
    </row>
    <row r="4628">
      <c r="A4628" s="7" t="n"/>
      <c r="B4628" s="7" t="n"/>
      <c r="C4628" s="7" t="n"/>
      <c r="D4628" s="7" t="n"/>
      <c r="E4628" s="7" t="n"/>
      <c r="F4628" s="7" t="n"/>
      <c r="G4628" s="7" t="n"/>
      <c r="H4628" s="7" t="n"/>
      <c r="I4628" s="7" t="n"/>
      <c r="J4628" s="7" t="n"/>
      <c r="K4628">
        <f>IF(D4628="Legitimate Interest (GDPR Art. 6(1)(f))", "Yes / Required (Sheet 3)", "")</f>
        <v/>
      </c>
      <c r="L4628" s="7" t="n"/>
      <c r="M4628" s="7" t="n"/>
      <c r="N4628">
        <f>IF(D4628="", "Gap - No Legal Basis", IF(AND(D4628="Consent (GDPR Art. 6(1)(a))", I4628="Not Captured"), "Gap - Invalid Consent", IF(AND(D4628="Legitimate Interest (GDPR Art. 6(1)(f))", L4628=""), "Gap - Missing LIA", IF(AND(G4628="Yes", H4628=""), "Gap - Missing Art. 9 Basis", IF(OR(I4628="Invalid - Not Freely Given", I4628="Invalid - Not Specific", I4628="Invalid - Not Informed", I4628="Invalid - Ambiguous"), "Gap - Invalid Consent", "Compliant")))))</f>
        <v/>
      </c>
      <c r="O4628" s="7" t="n"/>
    </row>
    <row r="4629">
      <c r="A4629" s="7" t="n"/>
      <c r="B4629" s="7" t="n"/>
      <c r="C4629" s="7" t="n"/>
      <c r="D4629" s="7" t="n"/>
      <c r="E4629" s="7" t="n"/>
      <c r="F4629" s="7" t="n"/>
      <c r="G4629" s="7" t="n"/>
      <c r="H4629" s="7" t="n"/>
      <c r="I4629" s="7" t="n"/>
      <c r="J4629" s="7" t="n"/>
      <c r="K4629">
        <f>IF(D4629="Legitimate Interest (GDPR Art. 6(1)(f))", "Yes / Required (Sheet 3)", "")</f>
        <v/>
      </c>
      <c r="L4629" s="7" t="n"/>
      <c r="M4629" s="7" t="n"/>
      <c r="N4629">
        <f>IF(D4629="", "Gap - No Legal Basis", IF(AND(D4629="Consent (GDPR Art. 6(1)(a))", I4629="Not Captured"), "Gap - Invalid Consent", IF(AND(D4629="Legitimate Interest (GDPR Art. 6(1)(f))", L4629=""), "Gap - Missing LIA", IF(AND(G4629="Yes", H4629=""), "Gap - Missing Art. 9 Basis", IF(OR(I4629="Invalid - Not Freely Given", I4629="Invalid - Not Specific", I4629="Invalid - Not Informed", I4629="Invalid - Ambiguous"), "Gap - Invalid Consent", "Compliant")))))</f>
        <v/>
      </c>
      <c r="O4629" s="7" t="n"/>
    </row>
    <row r="4630">
      <c r="A4630" s="7" t="n"/>
      <c r="B4630" s="7" t="n"/>
      <c r="C4630" s="7" t="n"/>
      <c r="D4630" s="7" t="n"/>
      <c r="E4630" s="7" t="n"/>
      <c r="F4630" s="7" t="n"/>
      <c r="G4630" s="7" t="n"/>
      <c r="H4630" s="7" t="n"/>
      <c r="I4630" s="7" t="n"/>
      <c r="J4630" s="7" t="n"/>
      <c r="K4630">
        <f>IF(D4630="Legitimate Interest (GDPR Art. 6(1)(f))", "Yes / Required (Sheet 3)", "")</f>
        <v/>
      </c>
      <c r="L4630" s="7" t="n"/>
      <c r="M4630" s="7" t="n"/>
      <c r="N4630">
        <f>IF(D4630="", "Gap - No Legal Basis", IF(AND(D4630="Consent (GDPR Art. 6(1)(a))", I4630="Not Captured"), "Gap - Invalid Consent", IF(AND(D4630="Legitimate Interest (GDPR Art. 6(1)(f))", L4630=""), "Gap - Missing LIA", IF(AND(G4630="Yes", H4630=""), "Gap - Missing Art. 9 Basis", IF(OR(I4630="Invalid - Not Freely Given", I4630="Invalid - Not Specific", I4630="Invalid - Not Informed", I4630="Invalid - Ambiguous"), "Gap - Invalid Consent", "Compliant")))))</f>
        <v/>
      </c>
      <c r="O4630" s="7" t="n"/>
    </row>
    <row r="4631">
      <c r="A4631" s="7" t="n"/>
      <c r="B4631" s="7" t="n"/>
      <c r="C4631" s="7" t="n"/>
      <c r="D4631" s="7" t="n"/>
      <c r="E4631" s="7" t="n"/>
      <c r="F4631" s="7" t="n"/>
      <c r="G4631" s="7" t="n"/>
      <c r="H4631" s="7" t="n"/>
      <c r="I4631" s="7" t="n"/>
      <c r="J4631" s="7" t="n"/>
      <c r="K4631">
        <f>IF(D4631="Legitimate Interest (GDPR Art. 6(1)(f))", "Yes / Required (Sheet 3)", "")</f>
        <v/>
      </c>
      <c r="L4631" s="7" t="n"/>
      <c r="M4631" s="7" t="n"/>
      <c r="N4631">
        <f>IF(D4631="", "Gap - No Legal Basis", IF(AND(D4631="Consent (GDPR Art. 6(1)(a))", I4631="Not Captured"), "Gap - Invalid Consent", IF(AND(D4631="Legitimate Interest (GDPR Art. 6(1)(f))", L4631=""), "Gap - Missing LIA", IF(AND(G4631="Yes", H4631=""), "Gap - Missing Art. 9 Basis", IF(OR(I4631="Invalid - Not Freely Given", I4631="Invalid - Not Specific", I4631="Invalid - Not Informed", I4631="Invalid - Ambiguous"), "Gap - Invalid Consent", "Compliant")))))</f>
        <v/>
      </c>
      <c r="O4631" s="7" t="n"/>
    </row>
    <row r="4632">
      <c r="A4632" s="7" t="n"/>
      <c r="B4632" s="7" t="n"/>
      <c r="C4632" s="7" t="n"/>
      <c r="D4632" s="7" t="n"/>
      <c r="E4632" s="7" t="n"/>
      <c r="F4632" s="7" t="n"/>
      <c r="G4632" s="7" t="n"/>
      <c r="H4632" s="7" t="n"/>
      <c r="I4632" s="7" t="n"/>
      <c r="J4632" s="7" t="n"/>
      <c r="K4632">
        <f>IF(D4632="Legitimate Interest (GDPR Art. 6(1)(f))", "Yes / Required (Sheet 3)", "")</f>
        <v/>
      </c>
      <c r="L4632" s="7" t="n"/>
      <c r="M4632" s="7" t="n"/>
      <c r="N4632">
        <f>IF(D4632="", "Gap - No Legal Basis", IF(AND(D4632="Consent (GDPR Art. 6(1)(a))", I4632="Not Captured"), "Gap - Invalid Consent", IF(AND(D4632="Legitimate Interest (GDPR Art. 6(1)(f))", L4632=""), "Gap - Missing LIA", IF(AND(G4632="Yes", H4632=""), "Gap - Missing Art. 9 Basis", IF(OR(I4632="Invalid - Not Freely Given", I4632="Invalid - Not Specific", I4632="Invalid - Not Informed", I4632="Invalid - Ambiguous"), "Gap - Invalid Consent", "Compliant")))))</f>
        <v/>
      </c>
      <c r="O4632" s="7" t="n"/>
    </row>
    <row r="4633">
      <c r="A4633" s="7" t="n"/>
      <c r="B4633" s="7" t="n"/>
      <c r="C4633" s="7" t="n"/>
      <c r="D4633" s="7" t="n"/>
      <c r="E4633" s="7" t="n"/>
      <c r="F4633" s="7" t="n"/>
      <c r="G4633" s="7" t="n"/>
      <c r="H4633" s="7" t="n"/>
      <c r="I4633" s="7" t="n"/>
      <c r="J4633" s="7" t="n"/>
      <c r="K4633">
        <f>IF(D4633="Legitimate Interest (GDPR Art. 6(1)(f))", "Yes / Required (Sheet 3)", "")</f>
        <v/>
      </c>
      <c r="L4633" s="7" t="n"/>
      <c r="M4633" s="7" t="n"/>
      <c r="N4633">
        <f>IF(D4633="", "Gap - No Legal Basis", IF(AND(D4633="Consent (GDPR Art. 6(1)(a))", I4633="Not Captured"), "Gap - Invalid Consent", IF(AND(D4633="Legitimate Interest (GDPR Art. 6(1)(f))", L4633=""), "Gap - Missing LIA", IF(AND(G4633="Yes", H4633=""), "Gap - Missing Art. 9 Basis", IF(OR(I4633="Invalid - Not Freely Given", I4633="Invalid - Not Specific", I4633="Invalid - Not Informed", I4633="Invalid - Ambiguous"), "Gap - Invalid Consent", "Compliant")))))</f>
        <v/>
      </c>
      <c r="O4633" s="7" t="n"/>
    </row>
    <row r="4634">
      <c r="A4634" s="7" t="n"/>
      <c r="B4634" s="7" t="n"/>
      <c r="C4634" s="7" t="n"/>
      <c r="D4634" s="7" t="n"/>
      <c r="E4634" s="7" t="n"/>
      <c r="F4634" s="7" t="n"/>
      <c r="G4634" s="7" t="n"/>
      <c r="H4634" s="7" t="n"/>
      <c r="I4634" s="7" t="n"/>
      <c r="J4634" s="7" t="n"/>
      <c r="K4634">
        <f>IF(D4634="Legitimate Interest (GDPR Art. 6(1)(f))", "Yes / Required (Sheet 3)", "")</f>
        <v/>
      </c>
      <c r="L4634" s="7" t="n"/>
      <c r="M4634" s="7" t="n"/>
      <c r="N4634">
        <f>IF(D4634="", "Gap - No Legal Basis", IF(AND(D4634="Consent (GDPR Art. 6(1)(a))", I4634="Not Captured"), "Gap - Invalid Consent", IF(AND(D4634="Legitimate Interest (GDPR Art. 6(1)(f))", L4634=""), "Gap - Missing LIA", IF(AND(G4634="Yes", H4634=""), "Gap - Missing Art. 9 Basis", IF(OR(I4634="Invalid - Not Freely Given", I4634="Invalid - Not Specific", I4634="Invalid - Not Informed", I4634="Invalid - Ambiguous"), "Gap - Invalid Consent", "Compliant")))))</f>
        <v/>
      </c>
      <c r="O4634" s="7" t="n"/>
    </row>
    <row r="4635">
      <c r="A4635" s="7" t="n"/>
      <c r="B4635" s="7" t="n"/>
      <c r="C4635" s="7" t="n"/>
      <c r="D4635" s="7" t="n"/>
      <c r="E4635" s="7" t="n"/>
      <c r="F4635" s="7" t="n"/>
      <c r="G4635" s="7" t="n"/>
      <c r="H4635" s="7" t="n"/>
      <c r="I4635" s="7" t="n"/>
      <c r="J4635" s="7" t="n"/>
      <c r="K4635">
        <f>IF(D4635="Legitimate Interest (GDPR Art. 6(1)(f))", "Yes / Required (Sheet 3)", "")</f>
        <v/>
      </c>
      <c r="L4635" s="7" t="n"/>
      <c r="M4635" s="7" t="n"/>
      <c r="N4635">
        <f>IF(D4635="", "Gap - No Legal Basis", IF(AND(D4635="Consent (GDPR Art. 6(1)(a))", I4635="Not Captured"), "Gap - Invalid Consent", IF(AND(D4635="Legitimate Interest (GDPR Art. 6(1)(f))", L4635=""), "Gap - Missing LIA", IF(AND(G4635="Yes", H4635=""), "Gap - Missing Art. 9 Basis", IF(OR(I4635="Invalid - Not Freely Given", I4635="Invalid - Not Specific", I4635="Invalid - Not Informed", I4635="Invalid - Ambiguous"), "Gap - Invalid Consent", "Compliant")))))</f>
        <v/>
      </c>
      <c r="O4635" s="7" t="n"/>
    </row>
    <row r="4636">
      <c r="A4636" s="7" t="n"/>
      <c r="B4636" s="7" t="n"/>
      <c r="C4636" s="7" t="n"/>
      <c r="D4636" s="7" t="n"/>
      <c r="E4636" s="7" t="n"/>
      <c r="F4636" s="7" t="n"/>
      <c r="G4636" s="7" t="n"/>
      <c r="H4636" s="7" t="n"/>
      <c r="I4636" s="7" t="n"/>
      <c r="J4636" s="7" t="n"/>
      <c r="K4636">
        <f>IF(D4636="Legitimate Interest (GDPR Art. 6(1)(f))", "Yes / Required (Sheet 3)", "")</f>
        <v/>
      </c>
      <c r="L4636" s="7" t="n"/>
      <c r="M4636" s="7" t="n"/>
      <c r="N4636">
        <f>IF(D4636="", "Gap - No Legal Basis", IF(AND(D4636="Consent (GDPR Art. 6(1)(a))", I4636="Not Captured"), "Gap - Invalid Consent", IF(AND(D4636="Legitimate Interest (GDPR Art. 6(1)(f))", L4636=""), "Gap - Missing LIA", IF(AND(G4636="Yes", H4636=""), "Gap - Missing Art. 9 Basis", IF(OR(I4636="Invalid - Not Freely Given", I4636="Invalid - Not Specific", I4636="Invalid - Not Informed", I4636="Invalid - Ambiguous"), "Gap - Invalid Consent", "Compliant")))))</f>
        <v/>
      </c>
      <c r="O4636" s="7" t="n"/>
    </row>
    <row r="4637">
      <c r="A4637" s="7" t="n"/>
      <c r="B4637" s="7" t="n"/>
      <c r="C4637" s="7" t="n"/>
      <c r="D4637" s="7" t="n"/>
      <c r="E4637" s="7" t="n"/>
      <c r="F4637" s="7" t="n"/>
      <c r="G4637" s="7" t="n"/>
      <c r="H4637" s="7" t="n"/>
      <c r="I4637" s="7" t="n"/>
      <c r="J4637" s="7" t="n"/>
      <c r="K4637">
        <f>IF(D4637="Legitimate Interest (GDPR Art. 6(1)(f))", "Yes / Required (Sheet 3)", "")</f>
        <v/>
      </c>
      <c r="L4637" s="7" t="n"/>
      <c r="M4637" s="7" t="n"/>
      <c r="N4637">
        <f>IF(D4637="", "Gap - No Legal Basis", IF(AND(D4637="Consent (GDPR Art. 6(1)(a))", I4637="Not Captured"), "Gap - Invalid Consent", IF(AND(D4637="Legitimate Interest (GDPR Art. 6(1)(f))", L4637=""), "Gap - Missing LIA", IF(AND(G4637="Yes", H4637=""), "Gap - Missing Art. 9 Basis", IF(OR(I4637="Invalid - Not Freely Given", I4637="Invalid - Not Specific", I4637="Invalid - Not Informed", I4637="Invalid - Ambiguous"), "Gap - Invalid Consent", "Compliant")))))</f>
        <v/>
      </c>
      <c r="O4637" s="7" t="n"/>
    </row>
    <row r="4638">
      <c r="A4638" s="7" t="n"/>
      <c r="B4638" s="7" t="n"/>
      <c r="C4638" s="7" t="n"/>
      <c r="D4638" s="7" t="n"/>
      <c r="E4638" s="7" t="n"/>
      <c r="F4638" s="7" t="n"/>
      <c r="G4638" s="7" t="n"/>
      <c r="H4638" s="7" t="n"/>
      <c r="I4638" s="7" t="n"/>
      <c r="J4638" s="7" t="n"/>
      <c r="K4638">
        <f>IF(D4638="Legitimate Interest (GDPR Art. 6(1)(f))", "Yes / Required (Sheet 3)", "")</f>
        <v/>
      </c>
      <c r="L4638" s="7" t="n"/>
      <c r="M4638" s="7" t="n"/>
      <c r="N4638">
        <f>IF(D4638="", "Gap - No Legal Basis", IF(AND(D4638="Consent (GDPR Art. 6(1)(a))", I4638="Not Captured"), "Gap - Invalid Consent", IF(AND(D4638="Legitimate Interest (GDPR Art. 6(1)(f))", L4638=""), "Gap - Missing LIA", IF(AND(G4638="Yes", H4638=""), "Gap - Missing Art. 9 Basis", IF(OR(I4638="Invalid - Not Freely Given", I4638="Invalid - Not Specific", I4638="Invalid - Not Informed", I4638="Invalid - Ambiguous"), "Gap - Invalid Consent", "Compliant")))))</f>
        <v/>
      </c>
      <c r="O4638" s="7" t="n"/>
    </row>
    <row r="4639">
      <c r="A4639" s="7" t="n"/>
      <c r="B4639" s="7" t="n"/>
      <c r="C4639" s="7" t="n"/>
      <c r="D4639" s="7" t="n"/>
      <c r="E4639" s="7" t="n"/>
      <c r="F4639" s="7" t="n"/>
      <c r="G4639" s="7" t="n"/>
      <c r="H4639" s="7" t="n"/>
      <c r="I4639" s="7" t="n"/>
      <c r="J4639" s="7" t="n"/>
      <c r="K4639">
        <f>IF(D4639="Legitimate Interest (GDPR Art. 6(1)(f))", "Yes / Required (Sheet 3)", "")</f>
        <v/>
      </c>
      <c r="L4639" s="7" t="n"/>
      <c r="M4639" s="7" t="n"/>
      <c r="N4639">
        <f>IF(D4639="", "Gap - No Legal Basis", IF(AND(D4639="Consent (GDPR Art. 6(1)(a))", I4639="Not Captured"), "Gap - Invalid Consent", IF(AND(D4639="Legitimate Interest (GDPR Art. 6(1)(f))", L4639=""), "Gap - Missing LIA", IF(AND(G4639="Yes", H4639=""), "Gap - Missing Art. 9 Basis", IF(OR(I4639="Invalid - Not Freely Given", I4639="Invalid - Not Specific", I4639="Invalid - Not Informed", I4639="Invalid - Ambiguous"), "Gap - Invalid Consent", "Compliant")))))</f>
        <v/>
      </c>
      <c r="O4639" s="7" t="n"/>
    </row>
    <row r="4640">
      <c r="A4640" s="7" t="n"/>
      <c r="B4640" s="7" t="n"/>
      <c r="C4640" s="7" t="n"/>
      <c r="D4640" s="7" t="n"/>
      <c r="E4640" s="7" t="n"/>
      <c r="F4640" s="7" t="n"/>
      <c r="G4640" s="7" t="n"/>
      <c r="H4640" s="7" t="n"/>
      <c r="I4640" s="7" t="n"/>
      <c r="J4640" s="7" t="n"/>
      <c r="K4640">
        <f>IF(D4640="Legitimate Interest (GDPR Art. 6(1)(f))", "Yes / Required (Sheet 3)", "")</f>
        <v/>
      </c>
      <c r="L4640" s="7" t="n"/>
      <c r="M4640" s="7" t="n"/>
      <c r="N4640">
        <f>IF(D4640="", "Gap - No Legal Basis", IF(AND(D4640="Consent (GDPR Art. 6(1)(a))", I4640="Not Captured"), "Gap - Invalid Consent", IF(AND(D4640="Legitimate Interest (GDPR Art. 6(1)(f))", L4640=""), "Gap - Missing LIA", IF(AND(G4640="Yes", H4640=""), "Gap - Missing Art. 9 Basis", IF(OR(I4640="Invalid - Not Freely Given", I4640="Invalid - Not Specific", I4640="Invalid - Not Informed", I4640="Invalid - Ambiguous"), "Gap - Invalid Consent", "Compliant")))))</f>
        <v/>
      </c>
      <c r="O4640" s="7" t="n"/>
    </row>
    <row r="4641">
      <c r="A4641" s="7" t="n"/>
      <c r="B4641" s="7" t="n"/>
      <c r="C4641" s="7" t="n"/>
      <c r="D4641" s="7" t="n"/>
      <c r="E4641" s="7" t="n"/>
      <c r="F4641" s="7" t="n"/>
      <c r="G4641" s="7" t="n"/>
      <c r="H4641" s="7" t="n"/>
      <c r="I4641" s="7" t="n"/>
      <c r="J4641" s="7" t="n"/>
      <c r="K4641">
        <f>IF(D4641="Legitimate Interest (GDPR Art. 6(1)(f))", "Yes / Required (Sheet 3)", "")</f>
        <v/>
      </c>
      <c r="L4641" s="7" t="n"/>
      <c r="M4641" s="7" t="n"/>
      <c r="N4641">
        <f>IF(D4641="", "Gap - No Legal Basis", IF(AND(D4641="Consent (GDPR Art. 6(1)(a))", I4641="Not Captured"), "Gap - Invalid Consent", IF(AND(D4641="Legitimate Interest (GDPR Art. 6(1)(f))", L4641=""), "Gap - Missing LIA", IF(AND(G4641="Yes", H4641=""), "Gap - Missing Art. 9 Basis", IF(OR(I4641="Invalid - Not Freely Given", I4641="Invalid - Not Specific", I4641="Invalid - Not Informed", I4641="Invalid - Ambiguous"), "Gap - Invalid Consent", "Compliant")))))</f>
        <v/>
      </c>
      <c r="O4641" s="7" t="n"/>
    </row>
    <row r="4642">
      <c r="A4642" s="7" t="n"/>
      <c r="B4642" s="7" t="n"/>
      <c r="C4642" s="7" t="n"/>
      <c r="D4642" s="7" t="n"/>
      <c r="E4642" s="7" t="n"/>
      <c r="F4642" s="7" t="n"/>
      <c r="G4642" s="7" t="n"/>
      <c r="H4642" s="7" t="n"/>
      <c r="I4642" s="7" t="n"/>
      <c r="J4642" s="7" t="n"/>
      <c r="K4642">
        <f>IF(D4642="Legitimate Interest (GDPR Art. 6(1)(f))", "Yes / Required (Sheet 3)", "")</f>
        <v/>
      </c>
      <c r="L4642" s="7" t="n"/>
      <c r="M4642" s="7" t="n"/>
      <c r="N4642">
        <f>IF(D4642="", "Gap - No Legal Basis", IF(AND(D4642="Consent (GDPR Art. 6(1)(a))", I4642="Not Captured"), "Gap - Invalid Consent", IF(AND(D4642="Legitimate Interest (GDPR Art. 6(1)(f))", L4642=""), "Gap - Missing LIA", IF(AND(G4642="Yes", H4642=""), "Gap - Missing Art. 9 Basis", IF(OR(I4642="Invalid - Not Freely Given", I4642="Invalid - Not Specific", I4642="Invalid - Not Informed", I4642="Invalid - Ambiguous"), "Gap - Invalid Consent", "Compliant")))))</f>
        <v/>
      </c>
      <c r="O4642" s="7" t="n"/>
    </row>
    <row r="4643">
      <c r="A4643" s="7" t="n"/>
      <c r="B4643" s="7" t="n"/>
      <c r="C4643" s="7" t="n"/>
      <c r="D4643" s="7" t="n"/>
      <c r="E4643" s="7" t="n"/>
      <c r="F4643" s="7" t="n"/>
      <c r="G4643" s="7" t="n"/>
      <c r="H4643" s="7" t="n"/>
      <c r="I4643" s="7" t="n"/>
      <c r="J4643" s="7" t="n"/>
      <c r="K4643">
        <f>IF(D4643="Legitimate Interest (GDPR Art. 6(1)(f))", "Yes / Required (Sheet 3)", "")</f>
        <v/>
      </c>
      <c r="L4643" s="7" t="n"/>
      <c r="M4643" s="7" t="n"/>
      <c r="N4643">
        <f>IF(D4643="", "Gap - No Legal Basis", IF(AND(D4643="Consent (GDPR Art. 6(1)(a))", I4643="Not Captured"), "Gap - Invalid Consent", IF(AND(D4643="Legitimate Interest (GDPR Art. 6(1)(f))", L4643=""), "Gap - Missing LIA", IF(AND(G4643="Yes", H4643=""), "Gap - Missing Art. 9 Basis", IF(OR(I4643="Invalid - Not Freely Given", I4643="Invalid - Not Specific", I4643="Invalid - Not Informed", I4643="Invalid - Ambiguous"), "Gap - Invalid Consent", "Compliant")))))</f>
        <v/>
      </c>
      <c r="O4643" s="7" t="n"/>
    </row>
    <row r="4644">
      <c r="A4644" s="7" t="n"/>
      <c r="B4644" s="7" t="n"/>
      <c r="C4644" s="7" t="n"/>
      <c r="D4644" s="7" t="n"/>
      <c r="E4644" s="7" t="n"/>
      <c r="F4644" s="7" t="n"/>
      <c r="G4644" s="7" t="n"/>
      <c r="H4644" s="7" t="n"/>
      <c r="I4644" s="7" t="n"/>
      <c r="J4644" s="7" t="n"/>
      <c r="K4644">
        <f>IF(D4644="Legitimate Interest (GDPR Art. 6(1)(f))", "Yes / Required (Sheet 3)", "")</f>
        <v/>
      </c>
      <c r="L4644" s="7" t="n"/>
      <c r="M4644" s="7" t="n"/>
      <c r="N4644">
        <f>IF(D4644="", "Gap - No Legal Basis", IF(AND(D4644="Consent (GDPR Art. 6(1)(a))", I4644="Not Captured"), "Gap - Invalid Consent", IF(AND(D4644="Legitimate Interest (GDPR Art. 6(1)(f))", L4644=""), "Gap - Missing LIA", IF(AND(G4644="Yes", H4644=""), "Gap - Missing Art. 9 Basis", IF(OR(I4644="Invalid - Not Freely Given", I4644="Invalid - Not Specific", I4644="Invalid - Not Informed", I4644="Invalid - Ambiguous"), "Gap - Invalid Consent", "Compliant")))))</f>
        <v/>
      </c>
      <c r="O4644" s="7" t="n"/>
    </row>
    <row r="4645">
      <c r="A4645" s="7" t="n"/>
      <c r="B4645" s="7" t="n"/>
      <c r="C4645" s="7" t="n"/>
      <c r="D4645" s="7" t="n"/>
      <c r="E4645" s="7" t="n"/>
      <c r="F4645" s="7" t="n"/>
      <c r="G4645" s="7" t="n"/>
      <c r="H4645" s="7" t="n"/>
      <c r="I4645" s="7" t="n"/>
      <c r="J4645" s="7" t="n"/>
      <c r="K4645">
        <f>IF(D4645="Legitimate Interest (GDPR Art. 6(1)(f))", "Yes / Required (Sheet 3)", "")</f>
        <v/>
      </c>
      <c r="L4645" s="7" t="n"/>
      <c r="M4645" s="7" t="n"/>
      <c r="N4645">
        <f>IF(D4645="", "Gap - No Legal Basis", IF(AND(D4645="Consent (GDPR Art. 6(1)(a))", I4645="Not Captured"), "Gap - Invalid Consent", IF(AND(D4645="Legitimate Interest (GDPR Art. 6(1)(f))", L4645=""), "Gap - Missing LIA", IF(AND(G4645="Yes", H4645=""), "Gap - Missing Art. 9 Basis", IF(OR(I4645="Invalid - Not Freely Given", I4645="Invalid - Not Specific", I4645="Invalid - Not Informed", I4645="Invalid - Ambiguous"), "Gap - Invalid Consent", "Compliant")))))</f>
        <v/>
      </c>
      <c r="O4645" s="7" t="n"/>
    </row>
    <row r="4646">
      <c r="A4646" s="7" t="n"/>
      <c r="B4646" s="7" t="n"/>
      <c r="C4646" s="7" t="n"/>
      <c r="D4646" s="7" t="n"/>
      <c r="E4646" s="7" t="n"/>
      <c r="F4646" s="7" t="n"/>
      <c r="G4646" s="7" t="n"/>
      <c r="H4646" s="7" t="n"/>
      <c r="I4646" s="7" t="n"/>
      <c r="J4646" s="7" t="n"/>
      <c r="K4646">
        <f>IF(D4646="Legitimate Interest (GDPR Art. 6(1)(f))", "Yes / Required (Sheet 3)", "")</f>
        <v/>
      </c>
      <c r="L4646" s="7" t="n"/>
      <c r="M4646" s="7" t="n"/>
      <c r="N4646">
        <f>IF(D4646="", "Gap - No Legal Basis", IF(AND(D4646="Consent (GDPR Art. 6(1)(a))", I4646="Not Captured"), "Gap - Invalid Consent", IF(AND(D4646="Legitimate Interest (GDPR Art. 6(1)(f))", L4646=""), "Gap - Missing LIA", IF(AND(G4646="Yes", H4646=""), "Gap - Missing Art. 9 Basis", IF(OR(I4646="Invalid - Not Freely Given", I4646="Invalid - Not Specific", I4646="Invalid - Not Informed", I4646="Invalid - Ambiguous"), "Gap - Invalid Consent", "Compliant")))))</f>
        <v/>
      </c>
      <c r="O4646" s="7" t="n"/>
    </row>
    <row r="4647">
      <c r="A4647" s="7" t="n"/>
      <c r="B4647" s="7" t="n"/>
      <c r="C4647" s="7" t="n"/>
      <c r="D4647" s="7" t="n"/>
      <c r="E4647" s="7" t="n"/>
      <c r="F4647" s="7" t="n"/>
      <c r="G4647" s="7" t="n"/>
      <c r="H4647" s="7" t="n"/>
      <c r="I4647" s="7" t="n"/>
      <c r="J4647" s="7" t="n"/>
      <c r="K4647">
        <f>IF(D4647="Legitimate Interest (GDPR Art. 6(1)(f))", "Yes / Required (Sheet 3)", "")</f>
        <v/>
      </c>
      <c r="L4647" s="7" t="n"/>
      <c r="M4647" s="7" t="n"/>
      <c r="N4647">
        <f>IF(D4647="", "Gap - No Legal Basis", IF(AND(D4647="Consent (GDPR Art. 6(1)(a))", I4647="Not Captured"), "Gap - Invalid Consent", IF(AND(D4647="Legitimate Interest (GDPR Art. 6(1)(f))", L4647=""), "Gap - Missing LIA", IF(AND(G4647="Yes", H4647=""), "Gap - Missing Art. 9 Basis", IF(OR(I4647="Invalid - Not Freely Given", I4647="Invalid - Not Specific", I4647="Invalid - Not Informed", I4647="Invalid - Ambiguous"), "Gap - Invalid Consent", "Compliant")))))</f>
        <v/>
      </c>
      <c r="O4647" s="7" t="n"/>
    </row>
    <row r="4648">
      <c r="A4648" s="7" t="n"/>
      <c r="B4648" s="7" t="n"/>
      <c r="C4648" s="7" t="n"/>
      <c r="D4648" s="7" t="n"/>
      <c r="E4648" s="7" t="n"/>
      <c r="F4648" s="7" t="n"/>
      <c r="G4648" s="7" t="n"/>
      <c r="H4648" s="7" t="n"/>
      <c r="I4648" s="7" t="n"/>
      <c r="J4648" s="7" t="n"/>
      <c r="K4648">
        <f>IF(D4648="Legitimate Interest (GDPR Art. 6(1)(f))", "Yes / Required (Sheet 3)", "")</f>
        <v/>
      </c>
      <c r="L4648" s="7" t="n"/>
      <c r="M4648" s="7" t="n"/>
      <c r="N4648">
        <f>IF(D4648="", "Gap - No Legal Basis", IF(AND(D4648="Consent (GDPR Art. 6(1)(a))", I4648="Not Captured"), "Gap - Invalid Consent", IF(AND(D4648="Legitimate Interest (GDPR Art. 6(1)(f))", L4648=""), "Gap - Missing LIA", IF(AND(G4648="Yes", H4648=""), "Gap - Missing Art. 9 Basis", IF(OR(I4648="Invalid - Not Freely Given", I4648="Invalid - Not Specific", I4648="Invalid - Not Informed", I4648="Invalid - Ambiguous"), "Gap - Invalid Consent", "Compliant")))))</f>
        <v/>
      </c>
      <c r="O4648" s="7" t="n"/>
    </row>
    <row r="4649">
      <c r="A4649" s="7" t="n"/>
      <c r="B4649" s="7" t="n"/>
      <c r="C4649" s="7" t="n"/>
      <c r="D4649" s="7" t="n"/>
      <c r="E4649" s="7" t="n"/>
      <c r="F4649" s="7" t="n"/>
      <c r="G4649" s="7" t="n"/>
      <c r="H4649" s="7" t="n"/>
      <c r="I4649" s="7" t="n"/>
      <c r="J4649" s="7" t="n"/>
      <c r="K4649">
        <f>IF(D4649="Legitimate Interest (GDPR Art. 6(1)(f))", "Yes / Required (Sheet 3)", "")</f>
        <v/>
      </c>
      <c r="L4649" s="7" t="n"/>
      <c r="M4649" s="7" t="n"/>
      <c r="N4649">
        <f>IF(D4649="", "Gap - No Legal Basis", IF(AND(D4649="Consent (GDPR Art. 6(1)(a))", I4649="Not Captured"), "Gap - Invalid Consent", IF(AND(D4649="Legitimate Interest (GDPR Art. 6(1)(f))", L4649=""), "Gap - Missing LIA", IF(AND(G4649="Yes", H4649=""), "Gap - Missing Art. 9 Basis", IF(OR(I4649="Invalid - Not Freely Given", I4649="Invalid - Not Specific", I4649="Invalid - Not Informed", I4649="Invalid - Ambiguous"), "Gap - Invalid Consent", "Compliant")))))</f>
        <v/>
      </c>
      <c r="O4649" s="7" t="n"/>
    </row>
    <row r="4650">
      <c r="A4650" s="7" t="n"/>
      <c r="B4650" s="7" t="n"/>
      <c r="C4650" s="7" t="n"/>
      <c r="D4650" s="7" t="n"/>
      <c r="E4650" s="7" t="n"/>
      <c r="F4650" s="7" t="n"/>
      <c r="G4650" s="7" t="n"/>
      <c r="H4650" s="7" t="n"/>
      <c r="I4650" s="7" t="n"/>
      <c r="J4650" s="7" t="n"/>
      <c r="K4650">
        <f>IF(D4650="Legitimate Interest (GDPR Art. 6(1)(f))", "Yes / Required (Sheet 3)", "")</f>
        <v/>
      </c>
      <c r="L4650" s="7" t="n"/>
      <c r="M4650" s="7" t="n"/>
      <c r="N4650">
        <f>IF(D4650="", "Gap - No Legal Basis", IF(AND(D4650="Consent (GDPR Art. 6(1)(a))", I4650="Not Captured"), "Gap - Invalid Consent", IF(AND(D4650="Legitimate Interest (GDPR Art. 6(1)(f))", L4650=""), "Gap - Missing LIA", IF(AND(G4650="Yes", H4650=""), "Gap - Missing Art. 9 Basis", IF(OR(I4650="Invalid - Not Freely Given", I4650="Invalid - Not Specific", I4650="Invalid - Not Informed", I4650="Invalid - Ambiguous"), "Gap - Invalid Consent", "Compliant")))))</f>
        <v/>
      </c>
      <c r="O4650" s="7" t="n"/>
    </row>
    <row r="4651">
      <c r="A4651" s="7" t="n"/>
      <c r="B4651" s="7" t="n"/>
      <c r="C4651" s="7" t="n"/>
      <c r="D4651" s="7" t="n"/>
      <c r="E4651" s="7" t="n"/>
      <c r="F4651" s="7" t="n"/>
      <c r="G4651" s="7" t="n"/>
      <c r="H4651" s="7" t="n"/>
      <c r="I4651" s="7" t="n"/>
      <c r="J4651" s="7" t="n"/>
      <c r="K4651">
        <f>IF(D4651="Legitimate Interest (GDPR Art. 6(1)(f))", "Yes / Required (Sheet 3)", "")</f>
        <v/>
      </c>
      <c r="L4651" s="7" t="n"/>
      <c r="M4651" s="7" t="n"/>
      <c r="N4651">
        <f>IF(D4651="", "Gap - No Legal Basis", IF(AND(D4651="Consent (GDPR Art. 6(1)(a))", I4651="Not Captured"), "Gap - Invalid Consent", IF(AND(D4651="Legitimate Interest (GDPR Art. 6(1)(f))", L4651=""), "Gap - Missing LIA", IF(AND(G4651="Yes", H4651=""), "Gap - Missing Art. 9 Basis", IF(OR(I4651="Invalid - Not Freely Given", I4651="Invalid - Not Specific", I4651="Invalid - Not Informed", I4651="Invalid - Ambiguous"), "Gap - Invalid Consent", "Compliant")))))</f>
        <v/>
      </c>
      <c r="O4651" s="7" t="n"/>
    </row>
    <row r="4652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7" t="n"/>
      <c r="J4652" s="7" t="n"/>
      <c r="K4652">
        <f>IF(D4652="Legitimate Interest (GDPR Art. 6(1)(f))", "Yes / Required (Sheet 3)", "")</f>
        <v/>
      </c>
      <c r="L4652" s="7" t="n"/>
      <c r="M4652" s="7" t="n"/>
      <c r="N4652">
        <f>IF(D4652="", "Gap - No Legal Basis", IF(AND(D4652="Consent (GDPR Art. 6(1)(a))", I4652="Not Captured"), "Gap - Invalid Consent", IF(AND(D4652="Legitimate Interest (GDPR Art. 6(1)(f))", L4652=""), "Gap - Missing LIA", IF(AND(G4652="Yes", H4652=""), "Gap - Missing Art. 9 Basis", IF(OR(I4652="Invalid - Not Freely Given", I4652="Invalid - Not Specific", I4652="Invalid - Not Informed", I4652="Invalid - Ambiguous"), "Gap - Invalid Consent", "Compliant")))))</f>
        <v/>
      </c>
      <c r="O4652" s="7" t="n"/>
    </row>
    <row r="4653">
      <c r="A4653" s="7" t="n"/>
      <c r="B4653" s="7" t="n"/>
      <c r="C4653" s="7" t="n"/>
      <c r="D4653" s="7" t="n"/>
      <c r="E4653" s="7" t="n"/>
      <c r="F4653" s="7" t="n"/>
      <c r="G4653" s="7" t="n"/>
      <c r="H4653" s="7" t="n"/>
      <c r="I4653" s="7" t="n"/>
      <c r="J4653" s="7" t="n"/>
      <c r="K4653">
        <f>IF(D4653="Legitimate Interest (GDPR Art. 6(1)(f))", "Yes / Required (Sheet 3)", "")</f>
        <v/>
      </c>
      <c r="L4653" s="7" t="n"/>
      <c r="M4653" s="7" t="n"/>
      <c r="N4653">
        <f>IF(D4653="", "Gap - No Legal Basis", IF(AND(D4653="Consent (GDPR Art. 6(1)(a))", I4653="Not Captured"), "Gap - Invalid Consent", IF(AND(D4653="Legitimate Interest (GDPR Art. 6(1)(f))", L4653=""), "Gap - Missing LIA", IF(AND(G4653="Yes", H4653=""), "Gap - Missing Art. 9 Basis", IF(OR(I4653="Invalid - Not Freely Given", I4653="Invalid - Not Specific", I4653="Invalid - Not Informed", I4653="Invalid - Ambiguous"), "Gap - Invalid Consent", "Compliant")))))</f>
        <v/>
      </c>
      <c r="O4653" s="7" t="n"/>
    </row>
    <row r="4654">
      <c r="A4654" s="7" t="n"/>
      <c r="B4654" s="7" t="n"/>
      <c r="C4654" s="7" t="n"/>
      <c r="D4654" s="7" t="n"/>
      <c r="E4654" s="7" t="n"/>
      <c r="F4654" s="7" t="n"/>
      <c r="G4654" s="7" t="n"/>
      <c r="H4654" s="7" t="n"/>
      <c r="I4654" s="7" t="n"/>
      <c r="J4654" s="7" t="n"/>
      <c r="K4654">
        <f>IF(D4654="Legitimate Interest (GDPR Art. 6(1)(f))", "Yes / Required (Sheet 3)", "")</f>
        <v/>
      </c>
      <c r="L4654" s="7" t="n"/>
      <c r="M4654" s="7" t="n"/>
      <c r="N4654">
        <f>IF(D4654="", "Gap - No Legal Basis", IF(AND(D4654="Consent (GDPR Art. 6(1)(a))", I4654="Not Captured"), "Gap - Invalid Consent", IF(AND(D4654="Legitimate Interest (GDPR Art. 6(1)(f))", L4654=""), "Gap - Missing LIA", IF(AND(G4654="Yes", H4654=""), "Gap - Missing Art. 9 Basis", IF(OR(I4654="Invalid - Not Freely Given", I4654="Invalid - Not Specific", I4654="Invalid - Not Informed", I4654="Invalid - Ambiguous"), "Gap - Invalid Consent", "Compliant")))))</f>
        <v/>
      </c>
      <c r="O4654" s="7" t="n"/>
    </row>
    <row r="4655">
      <c r="A4655" s="7" t="n"/>
      <c r="B4655" s="7" t="n"/>
      <c r="C4655" s="7" t="n"/>
      <c r="D4655" s="7" t="n"/>
      <c r="E4655" s="7" t="n"/>
      <c r="F4655" s="7" t="n"/>
      <c r="G4655" s="7" t="n"/>
      <c r="H4655" s="7" t="n"/>
      <c r="I4655" s="7" t="n"/>
      <c r="J4655" s="7" t="n"/>
      <c r="K4655">
        <f>IF(D4655="Legitimate Interest (GDPR Art. 6(1)(f))", "Yes / Required (Sheet 3)", "")</f>
        <v/>
      </c>
      <c r="L4655" s="7" t="n"/>
      <c r="M4655" s="7" t="n"/>
      <c r="N4655">
        <f>IF(D4655="", "Gap - No Legal Basis", IF(AND(D4655="Consent (GDPR Art. 6(1)(a))", I4655="Not Captured"), "Gap - Invalid Consent", IF(AND(D4655="Legitimate Interest (GDPR Art. 6(1)(f))", L4655=""), "Gap - Missing LIA", IF(AND(G4655="Yes", H4655=""), "Gap - Missing Art. 9 Basis", IF(OR(I4655="Invalid - Not Freely Given", I4655="Invalid - Not Specific", I4655="Invalid - Not Informed", I4655="Invalid - Ambiguous"), "Gap - Invalid Consent", "Compliant")))))</f>
        <v/>
      </c>
      <c r="O4655" s="7" t="n"/>
    </row>
    <row r="4656">
      <c r="A4656" s="7" t="n"/>
      <c r="B4656" s="7" t="n"/>
      <c r="C4656" s="7" t="n"/>
      <c r="D4656" s="7" t="n"/>
      <c r="E4656" s="7" t="n"/>
      <c r="F4656" s="7" t="n"/>
      <c r="G4656" s="7" t="n"/>
      <c r="H4656" s="7" t="n"/>
      <c r="I4656" s="7" t="n"/>
      <c r="J4656" s="7" t="n"/>
      <c r="K4656">
        <f>IF(D4656="Legitimate Interest (GDPR Art. 6(1)(f))", "Yes / Required (Sheet 3)", "")</f>
        <v/>
      </c>
      <c r="L4656" s="7" t="n"/>
      <c r="M4656" s="7" t="n"/>
      <c r="N4656">
        <f>IF(D4656="", "Gap - No Legal Basis", IF(AND(D4656="Consent (GDPR Art. 6(1)(a))", I4656="Not Captured"), "Gap - Invalid Consent", IF(AND(D4656="Legitimate Interest (GDPR Art. 6(1)(f))", L4656=""), "Gap - Missing LIA", IF(AND(G4656="Yes", H4656=""), "Gap - Missing Art. 9 Basis", IF(OR(I4656="Invalid - Not Freely Given", I4656="Invalid - Not Specific", I4656="Invalid - Not Informed", I4656="Invalid - Ambiguous"), "Gap - Invalid Consent", "Compliant")))))</f>
        <v/>
      </c>
      <c r="O4656" s="7" t="n"/>
    </row>
    <row r="4657">
      <c r="A4657" s="7" t="n"/>
      <c r="B4657" s="7" t="n"/>
      <c r="C4657" s="7" t="n"/>
      <c r="D4657" s="7" t="n"/>
      <c r="E4657" s="7" t="n"/>
      <c r="F4657" s="7" t="n"/>
      <c r="G4657" s="7" t="n"/>
      <c r="H4657" s="7" t="n"/>
      <c r="I4657" s="7" t="n"/>
      <c r="J4657" s="7" t="n"/>
      <c r="K4657">
        <f>IF(D4657="Legitimate Interest (GDPR Art. 6(1)(f))", "Yes / Required (Sheet 3)", "")</f>
        <v/>
      </c>
      <c r="L4657" s="7" t="n"/>
      <c r="M4657" s="7" t="n"/>
      <c r="N4657">
        <f>IF(D4657="", "Gap - No Legal Basis", IF(AND(D4657="Consent (GDPR Art. 6(1)(a))", I4657="Not Captured"), "Gap - Invalid Consent", IF(AND(D4657="Legitimate Interest (GDPR Art. 6(1)(f))", L4657=""), "Gap - Missing LIA", IF(AND(G4657="Yes", H4657=""), "Gap - Missing Art. 9 Basis", IF(OR(I4657="Invalid - Not Freely Given", I4657="Invalid - Not Specific", I4657="Invalid - Not Informed", I4657="Invalid - Ambiguous"), "Gap - Invalid Consent", "Compliant")))))</f>
        <v/>
      </c>
      <c r="O4657" s="7" t="n"/>
    </row>
    <row r="4658">
      <c r="A4658" s="7" t="n"/>
      <c r="B4658" s="7" t="n"/>
      <c r="C4658" s="7" t="n"/>
      <c r="D4658" s="7" t="n"/>
      <c r="E4658" s="7" t="n"/>
      <c r="F4658" s="7" t="n"/>
      <c r="G4658" s="7" t="n"/>
      <c r="H4658" s="7" t="n"/>
      <c r="I4658" s="7" t="n"/>
      <c r="J4658" s="7" t="n"/>
      <c r="K4658">
        <f>IF(D4658="Legitimate Interest (GDPR Art. 6(1)(f))", "Yes / Required (Sheet 3)", "")</f>
        <v/>
      </c>
      <c r="L4658" s="7" t="n"/>
      <c r="M4658" s="7" t="n"/>
      <c r="N4658">
        <f>IF(D4658="", "Gap - No Legal Basis", IF(AND(D4658="Consent (GDPR Art. 6(1)(a))", I4658="Not Captured"), "Gap - Invalid Consent", IF(AND(D4658="Legitimate Interest (GDPR Art. 6(1)(f))", L4658=""), "Gap - Missing LIA", IF(AND(G4658="Yes", H4658=""), "Gap - Missing Art. 9 Basis", IF(OR(I4658="Invalid - Not Freely Given", I4658="Invalid - Not Specific", I4658="Invalid - Not Informed", I4658="Invalid - Ambiguous"), "Gap - Invalid Consent", "Compliant")))))</f>
        <v/>
      </c>
      <c r="O4658" s="7" t="n"/>
    </row>
    <row r="4659">
      <c r="A4659" s="7" t="n"/>
      <c r="B4659" s="7" t="n"/>
      <c r="C4659" s="7" t="n"/>
      <c r="D4659" s="7" t="n"/>
      <c r="E4659" s="7" t="n"/>
      <c r="F4659" s="7" t="n"/>
      <c r="G4659" s="7" t="n"/>
      <c r="H4659" s="7" t="n"/>
      <c r="I4659" s="7" t="n"/>
      <c r="J4659" s="7" t="n"/>
      <c r="K4659">
        <f>IF(D4659="Legitimate Interest (GDPR Art. 6(1)(f))", "Yes / Required (Sheet 3)", "")</f>
        <v/>
      </c>
      <c r="L4659" s="7" t="n"/>
      <c r="M4659" s="7" t="n"/>
      <c r="N4659">
        <f>IF(D4659="", "Gap - No Legal Basis", IF(AND(D4659="Consent (GDPR Art. 6(1)(a))", I4659="Not Captured"), "Gap - Invalid Consent", IF(AND(D4659="Legitimate Interest (GDPR Art. 6(1)(f))", L4659=""), "Gap - Missing LIA", IF(AND(G4659="Yes", H4659=""), "Gap - Missing Art. 9 Basis", IF(OR(I4659="Invalid - Not Freely Given", I4659="Invalid - Not Specific", I4659="Invalid - Not Informed", I4659="Invalid - Ambiguous"), "Gap - Invalid Consent", "Compliant")))))</f>
        <v/>
      </c>
      <c r="O4659" s="7" t="n"/>
    </row>
    <row r="4660">
      <c r="A4660" s="7" t="n"/>
      <c r="B4660" s="7" t="n"/>
      <c r="C4660" s="7" t="n"/>
      <c r="D4660" s="7" t="n"/>
      <c r="E4660" s="7" t="n"/>
      <c r="F4660" s="7" t="n"/>
      <c r="G4660" s="7" t="n"/>
      <c r="H4660" s="7" t="n"/>
      <c r="I4660" s="7" t="n"/>
      <c r="J4660" s="7" t="n"/>
      <c r="K4660">
        <f>IF(D4660="Legitimate Interest (GDPR Art. 6(1)(f))", "Yes / Required (Sheet 3)", "")</f>
        <v/>
      </c>
      <c r="L4660" s="7" t="n"/>
      <c r="M4660" s="7" t="n"/>
      <c r="N4660">
        <f>IF(D4660="", "Gap - No Legal Basis", IF(AND(D4660="Consent (GDPR Art. 6(1)(a))", I4660="Not Captured"), "Gap - Invalid Consent", IF(AND(D4660="Legitimate Interest (GDPR Art. 6(1)(f))", L4660=""), "Gap - Missing LIA", IF(AND(G4660="Yes", H4660=""), "Gap - Missing Art. 9 Basis", IF(OR(I4660="Invalid - Not Freely Given", I4660="Invalid - Not Specific", I4660="Invalid - Not Informed", I4660="Invalid - Ambiguous"), "Gap - Invalid Consent", "Compliant")))))</f>
        <v/>
      </c>
      <c r="O4660" s="7" t="n"/>
    </row>
    <row r="4661">
      <c r="A4661" s="7" t="n"/>
      <c r="B4661" s="7" t="n"/>
      <c r="C4661" s="7" t="n"/>
      <c r="D4661" s="7" t="n"/>
      <c r="E4661" s="7" t="n"/>
      <c r="F4661" s="7" t="n"/>
      <c r="G4661" s="7" t="n"/>
      <c r="H4661" s="7" t="n"/>
      <c r="I4661" s="7" t="n"/>
      <c r="J4661" s="7" t="n"/>
      <c r="K4661">
        <f>IF(D4661="Legitimate Interest (GDPR Art. 6(1)(f))", "Yes / Required (Sheet 3)", "")</f>
        <v/>
      </c>
      <c r="L4661" s="7" t="n"/>
      <c r="M4661" s="7" t="n"/>
      <c r="N4661">
        <f>IF(D4661="", "Gap - No Legal Basis", IF(AND(D4661="Consent (GDPR Art. 6(1)(a))", I4661="Not Captured"), "Gap - Invalid Consent", IF(AND(D4661="Legitimate Interest (GDPR Art. 6(1)(f))", L4661=""), "Gap - Missing LIA", IF(AND(G4661="Yes", H4661=""), "Gap - Missing Art. 9 Basis", IF(OR(I4661="Invalid - Not Freely Given", I4661="Invalid - Not Specific", I4661="Invalid - Not Informed", I4661="Invalid - Ambiguous"), "Gap - Invalid Consent", "Compliant")))))</f>
        <v/>
      </c>
      <c r="O4661" s="7" t="n"/>
    </row>
    <row r="4662">
      <c r="A4662" s="7" t="n"/>
      <c r="B4662" s="7" t="n"/>
      <c r="C4662" s="7" t="n"/>
      <c r="D4662" s="7" t="n"/>
      <c r="E4662" s="7" t="n"/>
      <c r="F4662" s="7" t="n"/>
      <c r="G4662" s="7" t="n"/>
      <c r="H4662" s="7" t="n"/>
      <c r="I4662" s="7" t="n"/>
      <c r="J4662" s="7" t="n"/>
      <c r="K4662">
        <f>IF(D4662="Legitimate Interest (GDPR Art. 6(1)(f))", "Yes / Required (Sheet 3)", "")</f>
        <v/>
      </c>
      <c r="L4662" s="7" t="n"/>
      <c r="M4662" s="7" t="n"/>
      <c r="N4662">
        <f>IF(D4662="", "Gap - No Legal Basis", IF(AND(D4662="Consent (GDPR Art. 6(1)(a))", I4662="Not Captured"), "Gap - Invalid Consent", IF(AND(D4662="Legitimate Interest (GDPR Art. 6(1)(f))", L4662=""), "Gap - Missing LIA", IF(AND(G4662="Yes", H4662=""), "Gap - Missing Art. 9 Basis", IF(OR(I4662="Invalid - Not Freely Given", I4662="Invalid - Not Specific", I4662="Invalid - Not Informed", I4662="Invalid - Ambiguous"), "Gap - Invalid Consent", "Compliant")))))</f>
        <v/>
      </c>
      <c r="O4662" s="7" t="n"/>
    </row>
    <row r="4663">
      <c r="A4663" s="7" t="n"/>
      <c r="B4663" s="7" t="n"/>
      <c r="C4663" s="7" t="n"/>
      <c r="D4663" s="7" t="n"/>
      <c r="E4663" s="7" t="n"/>
      <c r="F4663" s="7" t="n"/>
      <c r="G4663" s="7" t="n"/>
      <c r="H4663" s="7" t="n"/>
      <c r="I4663" s="7" t="n"/>
      <c r="J4663" s="7" t="n"/>
      <c r="K4663">
        <f>IF(D4663="Legitimate Interest (GDPR Art. 6(1)(f))", "Yes / Required (Sheet 3)", "")</f>
        <v/>
      </c>
      <c r="L4663" s="7" t="n"/>
      <c r="M4663" s="7" t="n"/>
      <c r="N4663">
        <f>IF(D4663="", "Gap - No Legal Basis", IF(AND(D4663="Consent (GDPR Art. 6(1)(a))", I4663="Not Captured"), "Gap - Invalid Consent", IF(AND(D4663="Legitimate Interest (GDPR Art. 6(1)(f))", L4663=""), "Gap - Missing LIA", IF(AND(G4663="Yes", H4663=""), "Gap - Missing Art. 9 Basis", IF(OR(I4663="Invalid - Not Freely Given", I4663="Invalid - Not Specific", I4663="Invalid - Not Informed", I4663="Invalid - Ambiguous"), "Gap - Invalid Consent", "Compliant")))))</f>
        <v/>
      </c>
      <c r="O4663" s="7" t="n"/>
    </row>
    <row r="4664">
      <c r="A4664" s="7" t="n"/>
      <c r="B4664" s="7" t="n"/>
      <c r="C4664" s="7" t="n"/>
      <c r="D4664" s="7" t="n"/>
      <c r="E4664" s="7" t="n"/>
      <c r="F4664" s="7" t="n"/>
      <c r="G4664" s="7" t="n"/>
      <c r="H4664" s="7" t="n"/>
      <c r="I4664" s="7" t="n"/>
      <c r="J4664" s="7" t="n"/>
      <c r="K4664">
        <f>IF(D4664="Legitimate Interest (GDPR Art. 6(1)(f))", "Yes / Required (Sheet 3)", "")</f>
        <v/>
      </c>
      <c r="L4664" s="7" t="n"/>
      <c r="M4664" s="7" t="n"/>
      <c r="N4664">
        <f>IF(D4664="", "Gap - No Legal Basis", IF(AND(D4664="Consent (GDPR Art. 6(1)(a))", I4664="Not Captured"), "Gap - Invalid Consent", IF(AND(D4664="Legitimate Interest (GDPR Art. 6(1)(f))", L4664=""), "Gap - Missing LIA", IF(AND(G4664="Yes", H4664=""), "Gap - Missing Art. 9 Basis", IF(OR(I4664="Invalid - Not Freely Given", I4664="Invalid - Not Specific", I4664="Invalid - Not Informed", I4664="Invalid - Ambiguous"), "Gap - Invalid Consent", "Compliant")))))</f>
        <v/>
      </c>
      <c r="O4664" s="7" t="n"/>
    </row>
    <row r="4665">
      <c r="A4665" s="7" t="n"/>
      <c r="B4665" s="7" t="n"/>
      <c r="C4665" s="7" t="n"/>
      <c r="D4665" s="7" t="n"/>
      <c r="E4665" s="7" t="n"/>
      <c r="F4665" s="7" t="n"/>
      <c r="G4665" s="7" t="n"/>
      <c r="H4665" s="7" t="n"/>
      <c r="I4665" s="7" t="n"/>
      <c r="J4665" s="7" t="n"/>
      <c r="K4665">
        <f>IF(D4665="Legitimate Interest (GDPR Art. 6(1)(f))", "Yes / Required (Sheet 3)", "")</f>
        <v/>
      </c>
      <c r="L4665" s="7" t="n"/>
      <c r="M4665" s="7" t="n"/>
      <c r="N4665">
        <f>IF(D4665="", "Gap - No Legal Basis", IF(AND(D4665="Consent (GDPR Art. 6(1)(a))", I4665="Not Captured"), "Gap - Invalid Consent", IF(AND(D4665="Legitimate Interest (GDPR Art. 6(1)(f))", L4665=""), "Gap - Missing LIA", IF(AND(G4665="Yes", H4665=""), "Gap - Missing Art. 9 Basis", IF(OR(I4665="Invalid - Not Freely Given", I4665="Invalid - Not Specific", I4665="Invalid - Not Informed", I4665="Invalid - Ambiguous"), "Gap - Invalid Consent", "Compliant")))))</f>
        <v/>
      </c>
      <c r="O4665" s="7" t="n"/>
    </row>
    <row r="4666">
      <c r="A4666" s="7" t="n"/>
      <c r="B4666" s="7" t="n"/>
      <c r="C4666" s="7" t="n"/>
      <c r="D4666" s="7" t="n"/>
      <c r="E4666" s="7" t="n"/>
      <c r="F4666" s="7" t="n"/>
      <c r="G4666" s="7" t="n"/>
      <c r="H4666" s="7" t="n"/>
      <c r="I4666" s="7" t="n"/>
      <c r="J4666" s="7" t="n"/>
      <c r="K4666">
        <f>IF(D4666="Legitimate Interest (GDPR Art. 6(1)(f))", "Yes / Required (Sheet 3)", "")</f>
        <v/>
      </c>
      <c r="L4666" s="7" t="n"/>
      <c r="M4666" s="7" t="n"/>
      <c r="N4666">
        <f>IF(D4666="", "Gap - No Legal Basis", IF(AND(D4666="Consent (GDPR Art. 6(1)(a))", I4666="Not Captured"), "Gap - Invalid Consent", IF(AND(D4666="Legitimate Interest (GDPR Art. 6(1)(f))", L4666=""), "Gap - Missing LIA", IF(AND(G4666="Yes", H4666=""), "Gap - Missing Art. 9 Basis", IF(OR(I4666="Invalid - Not Freely Given", I4666="Invalid - Not Specific", I4666="Invalid - Not Informed", I4666="Invalid - Ambiguous"), "Gap - Invalid Consent", "Compliant")))))</f>
        <v/>
      </c>
      <c r="O4666" s="7" t="n"/>
    </row>
    <row r="4667">
      <c r="A4667" s="7" t="n"/>
      <c r="B4667" s="7" t="n"/>
      <c r="C4667" s="7" t="n"/>
      <c r="D4667" s="7" t="n"/>
      <c r="E4667" s="7" t="n"/>
      <c r="F4667" s="7" t="n"/>
      <c r="G4667" s="7" t="n"/>
      <c r="H4667" s="7" t="n"/>
      <c r="I4667" s="7" t="n"/>
      <c r="J4667" s="7" t="n"/>
      <c r="K4667">
        <f>IF(D4667="Legitimate Interest (GDPR Art. 6(1)(f))", "Yes / Required (Sheet 3)", "")</f>
        <v/>
      </c>
      <c r="L4667" s="7" t="n"/>
      <c r="M4667" s="7" t="n"/>
      <c r="N4667">
        <f>IF(D4667="", "Gap - No Legal Basis", IF(AND(D4667="Consent (GDPR Art. 6(1)(a))", I4667="Not Captured"), "Gap - Invalid Consent", IF(AND(D4667="Legitimate Interest (GDPR Art. 6(1)(f))", L4667=""), "Gap - Missing LIA", IF(AND(G4667="Yes", H4667=""), "Gap - Missing Art. 9 Basis", IF(OR(I4667="Invalid - Not Freely Given", I4667="Invalid - Not Specific", I4667="Invalid - Not Informed", I4667="Invalid - Ambiguous"), "Gap - Invalid Consent", "Compliant")))))</f>
        <v/>
      </c>
      <c r="O4667" s="7" t="n"/>
    </row>
    <row r="4668">
      <c r="A4668" s="7" t="n"/>
      <c r="B4668" s="7" t="n"/>
      <c r="C4668" s="7" t="n"/>
      <c r="D4668" s="7" t="n"/>
      <c r="E4668" s="7" t="n"/>
      <c r="F4668" s="7" t="n"/>
      <c r="G4668" s="7" t="n"/>
      <c r="H4668" s="7" t="n"/>
      <c r="I4668" s="7" t="n"/>
      <c r="J4668" s="7" t="n"/>
      <c r="K4668">
        <f>IF(D4668="Legitimate Interest (GDPR Art. 6(1)(f))", "Yes / Required (Sheet 3)", "")</f>
        <v/>
      </c>
      <c r="L4668" s="7" t="n"/>
      <c r="M4668" s="7" t="n"/>
      <c r="N4668">
        <f>IF(D4668="", "Gap - No Legal Basis", IF(AND(D4668="Consent (GDPR Art. 6(1)(a))", I4668="Not Captured"), "Gap - Invalid Consent", IF(AND(D4668="Legitimate Interest (GDPR Art. 6(1)(f))", L4668=""), "Gap - Missing LIA", IF(AND(G4668="Yes", H4668=""), "Gap - Missing Art. 9 Basis", IF(OR(I4668="Invalid - Not Freely Given", I4668="Invalid - Not Specific", I4668="Invalid - Not Informed", I4668="Invalid - Ambiguous"), "Gap - Invalid Consent", "Compliant")))))</f>
        <v/>
      </c>
      <c r="O4668" s="7" t="n"/>
    </row>
    <row r="4669">
      <c r="A4669" s="7" t="n"/>
      <c r="B4669" s="7" t="n"/>
      <c r="C4669" s="7" t="n"/>
      <c r="D4669" s="7" t="n"/>
      <c r="E4669" s="7" t="n"/>
      <c r="F4669" s="7" t="n"/>
      <c r="G4669" s="7" t="n"/>
      <c r="H4669" s="7" t="n"/>
      <c r="I4669" s="7" t="n"/>
      <c r="J4669" s="7" t="n"/>
      <c r="K4669">
        <f>IF(D4669="Legitimate Interest (GDPR Art. 6(1)(f))", "Yes / Required (Sheet 3)", "")</f>
        <v/>
      </c>
      <c r="L4669" s="7" t="n"/>
      <c r="M4669" s="7" t="n"/>
      <c r="N4669">
        <f>IF(D4669="", "Gap - No Legal Basis", IF(AND(D4669="Consent (GDPR Art. 6(1)(a))", I4669="Not Captured"), "Gap - Invalid Consent", IF(AND(D4669="Legitimate Interest (GDPR Art. 6(1)(f))", L4669=""), "Gap - Missing LIA", IF(AND(G4669="Yes", H4669=""), "Gap - Missing Art. 9 Basis", IF(OR(I4669="Invalid - Not Freely Given", I4669="Invalid - Not Specific", I4669="Invalid - Not Informed", I4669="Invalid - Ambiguous"), "Gap - Invalid Consent", "Compliant")))))</f>
        <v/>
      </c>
      <c r="O4669" s="7" t="n"/>
    </row>
    <row r="4670">
      <c r="A4670" s="7" t="n"/>
      <c r="B4670" s="7" t="n"/>
      <c r="C4670" s="7" t="n"/>
      <c r="D4670" s="7" t="n"/>
      <c r="E4670" s="7" t="n"/>
      <c r="F4670" s="7" t="n"/>
      <c r="G4670" s="7" t="n"/>
      <c r="H4670" s="7" t="n"/>
      <c r="I4670" s="7" t="n"/>
      <c r="J4670" s="7" t="n"/>
      <c r="K4670">
        <f>IF(D4670="Legitimate Interest (GDPR Art. 6(1)(f))", "Yes / Required (Sheet 3)", "")</f>
        <v/>
      </c>
      <c r="L4670" s="7" t="n"/>
      <c r="M4670" s="7" t="n"/>
      <c r="N4670">
        <f>IF(D4670="", "Gap - No Legal Basis", IF(AND(D4670="Consent (GDPR Art. 6(1)(a))", I4670="Not Captured"), "Gap - Invalid Consent", IF(AND(D4670="Legitimate Interest (GDPR Art. 6(1)(f))", L4670=""), "Gap - Missing LIA", IF(AND(G4670="Yes", H4670=""), "Gap - Missing Art. 9 Basis", IF(OR(I4670="Invalid - Not Freely Given", I4670="Invalid - Not Specific", I4670="Invalid - Not Informed", I4670="Invalid - Ambiguous"), "Gap - Invalid Consent", "Compliant")))))</f>
        <v/>
      </c>
      <c r="O4670" s="7" t="n"/>
    </row>
    <row r="4671">
      <c r="A4671" s="7" t="n"/>
      <c r="B4671" s="7" t="n"/>
      <c r="C4671" s="7" t="n"/>
      <c r="D4671" s="7" t="n"/>
      <c r="E4671" s="7" t="n"/>
      <c r="F4671" s="7" t="n"/>
      <c r="G4671" s="7" t="n"/>
      <c r="H4671" s="7" t="n"/>
      <c r="I4671" s="7" t="n"/>
      <c r="J4671" s="7" t="n"/>
      <c r="K4671">
        <f>IF(D4671="Legitimate Interest (GDPR Art. 6(1)(f))", "Yes / Required (Sheet 3)", "")</f>
        <v/>
      </c>
      <c r="L4671" s="7" t="n"/>
      <c r="M4671" s="7" t="n"/>
      <c r="N4671">
        <f>IF(D4671="", "Gap - No Legal Basis", IF(AND(D4671="Consent (GDPR Art. 6(1)(a))", I4671="Not Captured"), "Gap - Invalid Consent", IF(AND(D4671="Legitimate Interest (GDPR Art. 6(1)(f))", L4671=""), "Gap - Missing LIA", IF(AND(G4671="Yes", H4671=""), "Gap - Missing Art. 9 Basis", IF(OR(I4671="Invalid - Not Freely Given", I4671="Invalid - Not Specific", I4671="Invalid - Not Informed", I4671="Invalid - Ambiguous"), "Gap - Invalid Consent", "Compliant")))))</f>
        <v/>
      </c>
      <c r="O4671" s="7" t="n"/>
    </row>
    <row r="4672">
      <c r="A4672" s="7" t="n"/>
      <c r="B4672" s="7" t="n"/>
      <c r="C4672" s="7" t="n"/>
      <c r="D4672" s="7" t="n"/>
      <c r="E4672" s="7" t="n"/>
      <c r="F4672" s="7" t="n"/>
      <c r="G4672" s="7" t="n"/>
      <c r="H4672" s="7" t="n"/>
      <c r="I4672" s="7" t="n"/>
      <c r="J4672" s="7" t="n"/>
      <c r="K4672">
        <f>IF(D4672="Legitimate Interest (GDPR Art. 6(1)(f))", "Yes / Required (Sheet 3)", "")</f>
        <v/>
      </c>
      <c r="L4672" s="7" t="n"/>
      <c r="M4672" s="7" t="n"/>
      <c r="N4672">
        <f>IF(D4672="", "Gap - No Legal Basis", IF(AND(D4672="Consent (GDPR Art. 6(1)(a))", I4672="Not Captured"), "Gap - Invalid Consent", IF(AND(D4672="Legitimate Interest (GDPR Art. 6(1)(f))", L4672=""), "Gap - Missing LIA", IF(AND(G4672="Yes", H4672=""), "Gap - Missing Art. 9 Basis", IF(OR(I4672="Invalid - Not Freely Given", I4672="Invalid - Not Specific", I4672="Invalid - Not Informed", I4672="Invalid - Ambiguous"), "Gap - Invalid Consent", "Compliant")))))</f>
        <v/>
      </c>
      <c r="O4672" s="7" t="n"/>
    </row>
    <row r="4673">
      <c r="A4673" s="7" t="n"/>
      <c r="B4673" s="7" t="n"/>
      <c r="C4673" s="7" t="n"/>
      <c r="D4673" s="7" t="n"/>
      <c r="E4673" s="7" t="n"/>
      <c r="F4673" s="7" t="n"/>
      <c r="G4673" s="7" t="n"/>
      <c r="H4673" s="7" t="n"/>
      <c r="I4673" s="7" t="n"/>
      <c r="J4673" s="7" t="n"/>
      <c r="K4673">
        <f>IF(D4673="Legitimate Interest (GDPR Art. 6(1)(f))", "Yes / Required (Sheet 3)", "")</f>
        <v/>
      </c>
      <c r="L4673" s="7" t="n"/>
      <c r="M4673" s="7" t="n"/>
      <c r="N4673">
        <f>IF(D4673="", "Gap - No Legal Basis", IF(AND(D4673="Consent (GDPR Art. 6(1)(a))", I4673="Not Captured"), "Gap - Invalid Consent", IF(AND(D4673="Legitimate Interest (GDPR Art. 6(1)(f))", L4673=""), "Gap - Missing LIA", IF(AND(G4673="Yes", H4673=""), "Gap - Missing Art. 9 Basis", IF(OR(I4673="Invalid - Not Freely Given", I4673="Invalid - Not Specific", I4673="Invalid - Not Informed", I4673="Invalid - Ambiguous"), "Gap - Invalid Consent", "Compliant")))))</f>
        <v/>
      </c>
      <c r="O4673" s="7" t="n"/>
    </row>
    <row r="4674">
      <c r="A4674" s="7" t="n"/>
      <c r="B4674" s="7" t="n"/>
      <c r="C4674" s="7" t="n"/>
      <c r="D4674" s="7" t="n"/>
      <c r="E4674" s="7" t="n"/>
      <c r="F4674" s="7" t="n"/>
      <c r="G4674" s="7" t="n"/>
      <c r="H4674" s="7" t="n"/>
      <c r="I4674" s="7" t="n"/>
      <c r="J4674" s="7" t="n"/>
      <c r="K4674">
        <f>IF(D4674="Legitimate Interest (GDPR Art. 6(1)(f))", "Yes / Required (Sheet 3)", "")</f>
        <v/>
      </c>
      <c r="L4674" s="7" t="n"/>
      <c r="M4674" s="7" t="n"/>
      <c r="N4674">
        <f>IF(D4674="", "Gap - No Legal Basis", IF(AND(D4674="Consent (GDPR Art. 6(1)(a))", I4674="Not Captured"), "Gap - Invalid Consent", IF(AND(D4674="Legitimate Interest (GDPR Art. 6(1)(f))", L4674=""), "Gap - Missing LIA", IF(AND(G4674="Yes", H4674=""), "Gap - Missing Art. 9 Basis", IF(OR(I4674="Invalid - Not Freely Given", I4674="Invalid - Not Specific", I4674="Invalid - Not Informed", I4674="Invalid - Ambiguous"), "Gap - Invalid Consent", "Compliant")))))</f>
        <v/>
      </c>
      <c r="O4674" s="7" t="n"/>
    </row>
    <row r="4675">
      <c r="A4675" s="7" t="n"/>
      <c r="B4675" s="7" t="n"/>
      <c r="C4675" s="7" t="n"/>
      <c r="D4675" s="7" t="n"/>
      <c r="E4675" s="7" t="n"/>
      <c r="F4675" s="7" t="n"/>
      <c r="G4675" s="7" t="n"/>
      <c r="H4675" s="7" t="n"/>
      <c r="I4675" s="7" t="n"/>
      <c r="J4675" s="7" t="n"/>
      <c r="K4675">
        <f>IF(D4675="Legitimate Interest (GDPR Art. 6(1)(f))", "Yes / Required (Sheet 3)", "")</f>
        <v/>
      </c>
      <c r="L4675" s="7" t="n"/>
      <c r="M4675" s="7" t="n"/>
      <c r="N4675">
        <f>IF(D4675="", "Gap - No Legal Basis", IF(AND(D4675="Consent (GDPR Art. 6(1)(a))", I4675="Not Captured"), "Gap - Invalid Consent", IF(AND(D4675="Legitimate Interest (GDPR Art. 6(1)(f))", L4675=""), "Gap - Missing LIA", IF(AND(G4675="Yes", H4675=""), "Gap - Missing Art. 9 Basis", IF(OR(I4675="Invalid - Not Freely Given", I4675="Invalid - Not Specific", I4675="Invalid - Not Informed", I4675="Invalid - Ambiguous"), "Gap - Invalid Consent", "Compliant")))))</f>
        <v/>
      </c>
      <c r="O4675" s="7" t="n"/>
    </row>
    <row r="4676">
      <c r="A4676" s="7" t="n"/>
      <c r="B4676" s="7" t="n"/>
      <c r="C4676" s="7" t="n"/>
      <c r="D4676" s="7" t="n"/>
      <c r="E4676" s="7" t="n"/>
      <c r="F4676" s="7" t="n"/>
      <c r="G4676" s="7" t="n"/>
      <c r="H4676" s="7" t="n"/>
      <c r="I4676" s="7" t="n"/>
      <c r="J4676" s="7" t="n"/>
      <c r="K4676">
        <f>IF(D4676="Legitimate Interest (GDPR Art. 6(1)(f))", "Yes / Required (Sheet 3)", "")</f>
        <v/>
      </c>
      <c r="L4676" s="7" t="n"/>
      <c r="M4676" s="7" t="n"/>
      <c r="N4676">
        <f>IF(D4676="", "Gap - No Legal Basis", IF(AND(D4676="Consent (GDPR Art. 6(1)(a))", I4676="Not Captured"), "Gap - Invalid Consent", IF(AND(D4676="Legitimate Interest (GDPR Art. 6(1)(f))", L4676=""), "Gap - Missing LIA", IF(AND(G4676="Yes", H4676=""), "Gap - Missing Art. 9 Basis", IF(OR(I4676="Invalid - Not Freely Given", I4676="Invalid - Not Specific", I4676="Invalid - Not Informed", I4676="Invalid - Ambiguous"), "Gap - Invalid Consent", "Compliant")))))</f>
        <v/>
      </c>
      <c r="O4676" s="7" t="n"/>
    </row>
    <row r="4677">
      <c r="A4677" s="7" t="n"/>
      <c r="B4677" s="7" t="n"/>
      <c r="C4677" s="7" t="n"/>
      <c r="D4677" s="7" t="n"/>
      <c r="E4677" s="7" t="n"/>
      <c r="F4677" s="7" t="n"/>
      <c r="G4677" s="7" t="n"/>
      <c r="H4677" s="7" t="n"/>
      <c r="I4677" s="7" t="n"/>
      <c r="J4677" s="7" t="n"/>
      <c r="K4677">
        <f>IF(D4677="Legitimate Interest (GDPR Art. 6(1)(f))", "Yes / Required (Sheet 3)", "")</f>
        <v/>
      </c>
      <c r="L4677" s="7" t="n"/>
      <c r="M4677" s="7" t="n"/>
      <c r="N4677">
        <f>IF(D4677="", "Gap - No Legal Basis", IF(AND(D4677="Consent (GDPR Art. 6(1)(a))", I4677="Not Captured"), "Gap - Invalid Consent", IF(AND(D4677="Legitimate Interest (GDPR Art. 6(1)(f))", L4677=""), "Gap - Missing LIA", IF(AND(G4677="Yes", H4677=""), "Gap - Missing Art. 9 Basis", IF(OR(I4677="Invalid - Not Freely Given", I4677="Invalid - Not Specific", I4677="Invalid - Not Informed", I4677="Invalid - Ambiguous"), "Gap - Invalid Consent", "Compliant")))))</f>
        <v/>
      </c>
      <c r="O4677" s="7" t="n"/>
    </row>
    <row r="4678">
      <c r="A4678" s="7" t="n"/>
      <c r="B4678" s="7" t="n"/>
      <c r="C4678" s="7" t="n"/>
      <c r="D4678" s="7" t="n"/>
      <c r="E4678" s="7" t="n"/>
      <c r="F4678" s="7" t="n"/>
      <c r="G4678" s="7" t="n"/>
      <c r="H4678" s="7" t="n"/>
      <c r="I4678" s="7" t="n"/>
      <c r="J4678" s="7" t="n"/>
      <c r="K4678">
        <f>IF(D4678="Legitimate Interest (GDPR Art. 6(1)(f))", "Yes / Required (Sheet 3)", "")</f>
        <v/>
      </c>
      <c r="L4678" s="7" t="n"/>
      <c r="M4678" s="7" t="n"/>
      <c r="N4678">
        <f>IF(D4678="", "Gap - No Legal Basis", IF(AND(D4678="Consent (GDPR Art. 6(1)(a))", I4678="Not Captured"), "Gap - Invalid Consent", IF(AND(D4678="Legitimate Interest (GDPR Art. 6(1)(f))", L4678=""), "Gap - Missing LIA", IF(AND(G4678="Yes", H4678=""), "Gap - Missing Art. 9 Basis", IF(OR(I4678="Invalid - Not Freely Given", I4678="Invalid - Not Specific", I4678="Invalid - Not Informed", I4678="Invalid - Ambiguous"), "Gap - Invalid Consent", "Compliant")))))</f>
        <v/>
      </c>
      <c r="O4678" s="7" t="n"/>
    </row>
    <row r="4679">
      <c r="A4679" s="7" t="n"/>
      <c r="B4679" s="7" t="n"/>
      <c r="C4679" s="7" t="n"/>
      <c r="D4679" s="7" t="n"/>
      <c r="E4679" s="7" t="n"/>
      <c r="F4679" s="7" t="n"/>
      <c r="G4679" s="7" t="n"/>
      <c r="H4679" s="7" t="n"/>
      <c r="I4679" s="7" t="n"/>
      <c r="J4679" s="7" t="n"/>
      <c r="K4679">
        <f>IF(D4679="Legitimate Interest (GDPR Art. 6(1)(f))", "Yes / Required (Sheet 3)", "")</f>
        <v/>
      </c>
      <c r="L4679" s="7" t="n"/>
      <c r="M4679" s="7" t="n"/>
      <c r="N4679">
        <f>IF(D4679="", "Gap - No Legal Basis", IF(AND(D4679="Consent (GDPR Art. 6(1)(a))", I4679="Not Captured"), "Gap - Invalid Consent", IF(AND(D4679="Legitimate Interest (GDPR Art. 6(1)(f))", L4679=""), "Gap - Missing LIA", IF(AND(G4679="Yes", H4679=""), "Gap - Missing Art. 9 Basis", IF(OR(I4679="Invalid - Not Freely Given", I4679="Invalid - Not Specific", I4679="Invalid - Not Informed", I4679="Invalid - Ambiguous"), "Gap - Invalid Consent", "Compliant")))))</f>
        <v/>
      </c>
      <c r="O4679" s="7" t="n"/>
    </row>
    <row r="4680">
      <c r="A4680" s="7" t="n"/>
      <c r="B4680" s="7" t="n"/>
      <c r="C4680" s="7" t="n"/>
      <c r="D4680" s="7" t="n"/>
      <c r="E4680" s="7" t="n"/>
      <c r="F4680" s="7" t="n"/>
      <c r="G4680" s="7" t="n"/>
      <c r="H4680" s="7" t="n"/>
      <c r="I4680" s="7" t="n"/>
      <c r="J4680" s="7" t="n"/>
      <c r="K4680">
        <f>IF(D4680="Legitimate Interest (GDPR Art. 6(1)(f))", "Yes / Required (Sheet 3)", "")</f>
        <v/>
      </c>
      <c r="L4680" s="7" t="n"/>
      <c r="M4680" s="7" t="n"/>
      <c r="N4680">
        <f>IF(D4680="", "Gap - No Legal Basis", IF(AND(D4680="Consent (GDPR Art. 6(1)(a))", I4680="Not Captured"), "Gap - Invalid Consent", IF(AND(D4680="Legitimate Interest (GDPR Art. 6(1)(f))", L4680=""), "Gap - Missing LIA", IF(AND(G4680="Yes", H4680=""), "Gap - Missing Art. 9 Basis", IF(OR(I4680="Invalid - Not Freely Given", I4680="Invalid - Not Specific", I4680="Invalid - Not Informed", I4680="Invalid - Ambiguous"), "Gap - Invalid Consent", "Compliant")))))</f>
        <v/>
      </c>
      <c r="O4680" s="7" t="n"/>
    </row>
    <row r="4681">
      <c r="A4681" s="7" t="n"/>
      <c r="B4681" s="7" t="n"/>
      <c r="C4681" s="7" t="n"/>
      <c r="D4681" s="7" t="n"/>
      <c r="E4681" s="7" t="n"/>
      <c r="F4681" s="7" t="n"/>
      <c r="G4681" s="7" t="n"/>
      <c r="H4681" s="7" t="n"/>
      <c r="I4681" s="7" t="n"/>
      <c r="J4681" s="7" t="n"/>
      <c r="K4681">
        <f>IF(D4681="Legitimate Interest (GDPR Art. 6(1)(f))", "Yes / Required (Sheet 3)", "")</f>
        <v/>
      </c>
      <c r="L4681" s="7" t="n"/>
      <c r="M4681" s="7" t="n"/>
      <c r="N4681">
        <f>IF(D4681="", "Gap - No Legal Basis", IF(AND(D4681="Consent (GDPR Art. 6(1)(a))", I4681="Not Captured"), "Gap - Invalid Consent", IF(AND(D4681="Legitimate Interest (GDPR Art. 6(1)(f))", L4681=""), "Gap - Missing LIA", IF(AND(G4681="Yes", H4681=""), "Gap - Missing Art. 9 Basis", IF(OR(I4681="Invalid - Not Freely Given", I4681="Invalid - Not Specific", I4681="Invalid - Not Informed", I4681="Invalid - Ambiguous"), "Gap - Invalid Consent", "Compliant")))))</f>
        <v/>
      </c>
      <c r="O4681" s="7" t="n"/>
    </row>
    <row r="4682">
      <c r="A4682" s="7" t="n"/>
      <c r="B4682" s="7" t="n"/>
      <c r="C4682" s="7" t="n"/>
      <c r="D4682" s="7" t="n"/>
      <c r="E4682" s="7" t="n"/>
      <c r="F4682" s="7" t="n"/>
      <c r="G4682" s="7" t="n"/>
      <c r="H4682" s="7" t="n"/>
      <c r="I4682" s="7" t="n"/>
      <c r="J4682" s="7" t="n"/>
      <c r="K4682">
        <f>IF(D4682="Legitimate Interest (GDPR Art. 6(1)(f))", "Yes / Required (Sheet 3)", "")</f>
        <v/>
      </c>
      <c r="L4682" s="7" t="n"/>
      <c r="M4682" s="7" t="n"/>
      <c r="N4682">
        <f>IF(D4682="", "Gap - No Legal Basis", IF(AND(D4682="Consent (GDPR Art. 6(1)(a))", I4682="Not Captured"), "Gap - Invalid Consent", IF(AND(D4682="Legitimate Interest (GDPR Art. 6(1)(f))", L4682=""), "Gap - Missing LIA", IF(AND(G4682="Yes", H4682=""), "Gap - Missing Art. 9 Basis", IF(OR(I4682="Invalid - Not Freely Given", I4682="Invalid - Not Specific", I4682="Invalid - Not Informed", I4682="Invalid - Ambiguous"), "Gap - Invalid Consent", "Compliant")))))</f>
        <v/>
      </c>
      <c r="O4682" s="7" t="n"/>
    </row>
    <row r="4683">
      <c r="A4683" s="7" t="n"/>
      <c r="B4683" s="7" t="n"/>
      <c r="C4683" s="7" t="n"/>
      <c r="D4683" s="7" t="n"/>
      <c r="E4683" s="7" t="n"/>
      <c r="F4683" s="7" t="n"/>
      <c r="G4683" s="7" t="n"/>
      <c r="H4683" s="7" t="n"/>
      <c r="I4683" s="7" t="n"/>
      <c r="J4683" s="7" t="n"/>
      <c r="K4683">
        <f>IF(D4683="Legitimate Interest (GDPR Art. 6(1)(f))", "Yes / Required (Sheet 3)", "")</f>
        <v/>
      </c>
      <c r="L4683" s="7" t="n"/>
      <c r="M4683" s="7" t="n"/>
      <c r="N4683">
        <f>IF(D4683="", "Gap - No Legal Basis", IF(AND(D4683="Consent (GDPR Art. 6(1)(a))", I4683="Not Captured"), "Gap - Invalid Consent", IF(AND(D4683="Legitimate Interest (GDPR Art. 6(1)(f))", L4683=""), "Gap - Missing LIA", IF(AND(G4683="Yes", H4683=""), "Gap - Missing Art. 9 Basis", IF(OR(I4683="Invalid - Not Freely Given", I4683="Invalid - Not Specific", I4683="Invalid - Not Informed", I4683="Invalid - Ambiguous"), "Gap - Invalid Consent", "Compliant")))))</f>
        <v/>
      </c>
      <c r="O4683" s="7" t="n"/>
    </row>
    <row r="4684">
      <c r="A4684" s="7" t="n"/>
      <c r="B4684" s="7" t="n"/>
      <c r="C4684" s="7" t="n"/>
      <c r="D4684" s="7" t="n"/>
      <c r="E4684" s="7" t="n"/>
      <c r="F4684" s="7" t="n"/>
      <c r="G4684" s="7" t="n"/>
      <c r="H4684" s="7" t="n"/>
      <c r="I4684" s="7" t="n"/>
      <c r="J4684" s="7" t="n"/>
      <c r="K4684">
        <f>IF(D4684="Legitimate Interest (GDPR Art. 6(1)(f))", "Yes / Required (Sheet 3)", "")</f>
        <v/>
      </c>
      <c r="L4684" s="7" t="n"/>
      <c r="M4684" s="7" t="n"/>
      <c r="N4684">
        <f>IF(D4684="", "Gap - No Legal Basis", IF(AND(D4684="Consent (GDPR Art. 6(1)(a))", I4684="Not Captured"), "Gap - Invalid Consent", IF(AND(D4684="Legitimate Interest (GDPR Art. 6(1)(f))", L4684=""), "Gap - Missing LIA", IF(AND(G4684="Yes", H4684=""), "Gap - Missing Art. 9 Basis", IF(OR(I4684="Invalid - Not Freely Given", I4684="Invalid - Not Specific", I4684="Invalid - Not Informed", I4684="Invalid - Ambiguous"), "Gap - Invalid Consent", "Compliant")))))</f>
        <v/>
      </c>
      <c r="O4684" s="7" t="n"/>
    </row>
    <row r="4685">
      <c r="A4685" s="7" t="n"/>
      <c r="B4685" s="7" t="n"/>
      <c r="C4685" s="7" t="n"/>
      <c r="D4685" s="7" t="n"/>
      <c r="E4685" s="7" t="n"/>
      <c r="F4685" s="7" t="n"/>
      <c r="G4685" s="7" t="n"/>
      <c r="H4685" s="7" t="n"/>
      <c r="I4685" s="7" t="n"/>
      <c r="J4685" s="7" t="n"/>
      <c r="K4685">
        <f>IF(D4685="Legitimate Interest (GDPR Art. 6(1)(f))", "Yes / Required (Sheet 3)", "")</f>
        <v/>
      </c>
      <c r="L4685" s="7" t="n"/>
      <c r="M4685" s="7" t="n"/>
      <c r="N4685">
        <f>IF(D4685="", "Gap - No Legal Basis", IF(AND(D4685="Consent (GDPR Art. 6(1)(a))", I4685="Not Captured"), "Gap - Invalid Consent", IF(AND(D4685="Legitimate Interest (GDPR Art. 6(1)(f))", L4685=""), "Gap - Missing LIA", IF(AND(G4685="Yes", H4685=""), "Gap - Missing Art. 9 Basis", IF(OR(I4685="Invalid - Not Freely Given", I4685="Invalid - Not Specific", I4685="Invalid - Not Informed", I4685="Invalid - Ambiguous"), "Gap - Invalid Consent", "Compliant")))))</f>
        <v/>
      </c>
      <c r="O4685" s="7" t="n"/>
    </row>
    <row r="4686">
      <c r="A4686" s="7" t="n"/>
      <c r="B4686" s="7" t="n"/>
      <c r="C4686" s="7" t="n"/>
      <c r="D4686" s="7" t="n"/>
      <c r="E4686" s="7" t="n"/>
      <c r="F4686" s="7" t="n"/>
      <c r="G4686" s="7" t="n"/>
      <c r="H4686" s="7" t="n"/>
      <c r="I4686" s="7" t="n"/>
      <c r="J4686" s="7" t="n"/>
      <c r="K4686">
        <f>IF(D4686="Legitimate Interest (GDPR Art. 6(1)(f))", "Yes / Required (Sheet 3)", "")</f>
        <v/>
      </c>
      <c r="L4686" s="7" t="n"/>
      <c r="M4686" s="7" t="n"/>
      <c r="N4686">
        <f>IF(D4686="", "Gap - No Legal Basis", IF(AND(D4686="Consent (GDPR Art. 6(1)(a))", I4686="Not Captured"), "Gap - Invalid Consent", IF(AND(D4686="Legitimate Interest (GDPR Art. 6(1)(f))", L4686=""), "Gap - Missing LIA", IF(AND(G4686="Yes", H4686=""), "Gap - Missing Art. 9 Basis", IF(OR(I4686="Invalid - Not Freely Given", I4686="Invalid - Not Specific", I4686="Invalid - Not Informed", I4686="Invalid - Ambiguous"), "Gap - Invalid Consent", "Compliant")))))</f>
        <v/>
      </c>
      <c r="O4686" s="7" t="n"/>
    </row>
    <row r="4687">
      <c r="A4687" s="7" t="n"/>
      <c r="B4687" s="7" t="n"/>
      <c r="C4687" s="7" t="n"/>
      <c r="D4687" s="7" t="n"/>
      <c r="E4687" s="7" t="n"/>
      <c r="F4687" s="7" t="n"/>
      <c r="G4687" s="7" t="n"/>
      <c r="H4687" s="7" t="n"/>
      <c r="I4687" s="7" t="n"/>
      <c r="J4687" s="7" t="n"/>
      <c r="K4687">
        <f>IF(D4687="Legitimate Interest (GDPR Art. 6(1)(f))", "Yes / Required (Sheet 3)", "")</f>
        <v/>
      </c>
      <c r="L4687" s="7" t="n"/>
      <c r="M4687" s="7" t="n"/>
      <c r="N4687">
        <f>IF(D4687="", "Gap - No Legal Basis", IF(AND(D4687="Consent (GDPR Art. 6(1)(a))", I4687="Not Captured"), "Gap - Invalid Consent", IF(AND(D4687="Legitimate Interest (GDPR Art. 6(1)(f))", L4687=""), "Gap - Missing LIA", IF(AND(G4687="Yes", H4687=""), "Gap - Missing Art. 9 Basis", IF(OR(I4687="Invalid - Not Freely Given", I4687="Invalid - Not Specific", I4687="Invalid - Not Informed", I4687="Invalid - Ambiguous"), "Gap - Invalid Consent", "Compliant")))))</f>
        <v/>
      </c>
      <c r="O4687" s="7" t="n"/>
    </row>
    <row r="4688">
      <c r="A4688" s="7" t="n"/>
      <c r="B4688" s="7" t="n"/>
      <c r="C4688" s="7" t="n"/>
      <c r="D4688" s="7" t="n"/>
      <c r="E4688" s="7" t="n"/>
      <c r="F4688" s="7" t="n"/>
      <c r="G4688" s="7" t="n"/>
      <c r="H4688" s="7" t="n"/>
      <c r="I4688" s="7" t="n"/>
      <c r="J4688" s="7" t="n"/>
      <c r="K4688">
        <f>IF(D4688="Legitimate Interest (GDPR Art. 6(1)(f))", "Yes / Required (Sheet 3)", "")</f>
        <v/>
      </c>
      <c r="L4688" s="7" t="n"/>
      <c r="M4688" s="7" t="n"/>
      <c r="N4688">
        <f>IF(D4688="", "Gap - No Legal Basis", IF(AND(D4688="Consent (GDPR Art. 6(1)(a))", I4688="Not Captured"), "Gap - Invalid Consent", IF(AND(D4688="Legitimate Interest (GDPR Art. 6(1)(f))", L4688=""), "Gap - Missing LIA", IF(AND(G4688="Yes", H4688=""), "Gap - Missing Art. 9 Basis", IF(OR(I4688="Invalid - Not Freely Given", I4688="Invalid - Not Specific", I4688="Invalid - Not Informed", I4688="Invalid - Ambiguous"), "Gap - Invalid Consent", "Compliant")))))</f>
        <v/>
      </c>
      <c r="O4688" s="7" t="n"/>
    </row>
    <row r="4689">
      <c r="A4689" s="7" t="n"/>
      <c r="B4689" s="7" t="n"/>
      <c r="C4689" s="7" t="n"/>
      <c r="D4689" s="7" t="n"/>
      <c r="E4689" s="7" t="n"/>
      <c r="F4689" s="7" t="n"/>
      <c r="G4689" s="7" t="n"/>
      <c r="H4689" s="7" t="n"/>
      <c r="I4689" s="7" t="n"/>
      <c r="J4689" s="7" t="n"/>
      <c r="K4689">
        <f>IF(D4689="Legitimate Interest (GDPR Art. 6(1)(f))", "Yes / Required (Sheet 3)", "")</f>
        <v/>
      </c>
      <c r="L4689" s="7" t="n"/>
      <c r="M4689" s="7" t="n"/>
      <c r="N4689">
        <f>IF(D4689="", "Gap - No Legal Basis", IF(AND(D4689="Consent (GDPR Art. 6(1)(a))", I4689="Not Captured"), "Gap - Invalid Consent", IF(AND(D4689="Legitimate Interest (GDPR Art. 6(1)(f))", L4689=""), "Gap - Missing LIA", IF(AND(G4689="Yes", H4689=""), "Gap - Missing Art. 9 Basis", IF(OR(I4689="Invalid - Not Freely Given", I4689="Invalid - Not Specific", I4689="Invalid - Not Informed", I4689="Invalid - Ambiguous"), "Gap - Invalid Consent", "Compliant")))))</f>
        <v/>
      </c>
      <c r="O4689" s="7" t="n"/>
    </row>
    <row r="4690">
      <c r="A4690" s="7" t="n"/>
      <c r="B4690" s="7" t="n"/>
      <c r="C4690" s="7" t="n"/>
      <c r="D4690" s="7" t="n"/>
      <c r="E4690" s="7" t="n"/>
      <c r="F4690" s="7" t="n"/>
      <c r="G4690" s="7" t="n"/>
      <c r="H4690" s="7" t="n"/>
      <c r="I4690" s="7" t="n"/>
      <c r="J4690" s="7" t="n"/>
      <c r="K4690">
        <f>IF(D4690="Legitimate Interest (GDPR Art. 6(1)(f))", "Yes / Required (Sheet 3)", "")</f>
        <v/>
      </c>
      <c r="L4690" s="7" t="n"/>
      <c r="M4690" s="7" t="n"/>
      <c r="N4690">
        <f>IF(D4690="", "Gap - No Legal Basis", IF(AND(D4690="Consent (GDPR Art. 6(1)(a))", I4690="Not Captured"), "Gap - Invalid Consent", IF(AND(D4690="Legitimate Interest (GDPR Art. 6(1)(f))", L4690=""), "Gap - Missing LIA", IF(AND(G4690="Yes", H4690=""), "Gap - Missing Art. 9 Basis", IF(OR(I4690="Invalid - Not Freely Given", I4690="Invalid - Not Specific", I4690="Invalid - Not Informed", I4690="Invalid - Ambiguous"), "Gap - Invalid Consent", "Compliant")))))</f>
        <v/>
      </c>
      <c r="O4690" s="7" t="n"/>
    </row>
    <row r="4691">
      <c r="A4691" s="7" t="n"/>
      <c r="B4691" s="7" t="n"/>
      <c r="C4691" s="7" t="n"/>
      <c r="D4691" s="7" t="n"/>
      <c r="E4691" s="7" t="n"/>
      <c r="F4691" s="7" t="n"/>
      <c r="G4691" s="7" t="n"/>
      <c r="H4691" s="7" t="n"/>
      <c r="I4691" s="7" t="n"/>
      <c r="J4691" s="7" t="n"/>
      <c r="K4691">
        <f>IF(D4691="Legitimate Interest (GDPR Art. 6(1)(f))", "Yes / Required (Sheet 3)", "")</f>
        <v/>
      </c>
      <c r="L4691" s="7" t="n"/>
      <c r="M4691" s="7" t="n"/>
      <c r="N4691">
        <f>IF(D4691="", "Gap - No Legal Basis", IF(AND(D4691="Consent (GDPR Art. 6(1)(a))", I4691="Not Captured"), "Gap - Invalid Consent", IF(AND(D4691="Legitimate Interest (GDPR Art. 6(1)(f))", L4691=""), "Gap - Missing LIA", IF(AND(G4691="Yes", H4691=""), "Gap - Missing Art. 9 Basis", IF(OR(I4691="Invalid - Not Freely Given", I4691="Invalid - Not Specific", I4691="Invalid - Not Informed", I4691="Invalid - Ambiguous"), "Gap - Invalid Consent", "Compliant")))))</f>
        <v/>
      </c>
      <c r="O4691" s="7" t="n"/>
    </row>
    <row r="4692">
      <c r="A4692" s="7" t="n"/>
      <c r="B4692" s="7" t="n"/>
      <c r="C4692" s="7" t="n"/>
      <c r="D4692" s="7" t="n"/>
      <c r="E4692" s="7" t="n"/>
      <c r="F4692" s="7" t="n"/>
      <c r="G4692" s="7" t="n"/>
      <c r="H4692" s="7" t="n"/>
      <c r="I4692" s="7" t="n"/>
      <c r="J4692" s="7" t="n"/>
      <c r="K4692">
        <f>IF(D4692="Legitimate Interest (GDPR Art. 6(1)(f))", "Yes / Required (Sheet 3)", "")</f>
        <v/>
      </c>
      <c r="L4692" s="7" t="n"/>
      <c r="M4692" s="7" t="n"/>
      <c r="N4692">
        <f>IF(D4692="", "Gap - No Legal Basis", IF(AND(D4692="Consent (GDPR Art. 6(1)(a))", I4692="Not Captured"), "Gap - Invalid Consent", IF(AND(D4692="Legitimate Interest (GDPR Art. 6(1)(f))", L4692=""), "Gap - Missing LIA", IF(AND(G4692="Yes", H4692=""), "Gap - Missing Art. 9 Basis", IF(OR(I4692="Invalid - Not Freely Given", I4692="Invalid - Not Specific", I4692="Invalid - Not Informed", I4692="Invalid - Ambiguous"), "Gap - Invalid Consent", "Compliant")))))</f>
        <v/>
      </c>
      <c r="O4692" s="7" t="n"/>
    </row>
    <row r="4693">
      <c r="A4693" s="7" t="n"/>
      <c r="B4693" s="7" t="n"/>
      <c r="C4693" s="7" t="n"/>
      <c r="D4693" s="7" t="n"/>
      <c r="E4693" s="7" t="n"/>
      <c r="F4693" s="7" t="n"/>
      <c r="G4693" s="7" t="n"/>
      <c r="H4693" s="7" t="n"/>
      <c r="I4693" s="7" t="n"/>
      <c r="J4693" s="7" t="n"/>
      <c r="K4693">
        <f>IF(D4693="Legitimate Interest (GDPR Art. 6(1)(f))", "Yes / Required (Sheet 3)", "")</f>
        <v/>
      </c>
      <c r="L4693" s="7" t="n"/>
      <c r="M4693" s="7" t="n"/>
      <c r="N4693">
        <f>IF(D4693="", "Gap - No Legal Basis", IF(AND(D4693="Consent (GDPR Art. 6(1)(a))", I4693="Not Captured"), "Gap - Invalid Consent", IF(AND(D4693="Legitimate Interest (GDPR Art. 6(1)(f))", L4693=""), "Gap - Missing LIA", IF(AND(G4693="Yes", H4693=""), "Gap - Missing Art. 9 Basis", IF(OR(I4693="Invalid - Not Freely Given", I4693="Invalid - Not Specific", I4693="Invalid - Not Informed", I4693="Invalid - Ambiguous"), "Gap - Invalid Consent", "Compliant")))))</f>
        <v/>
      </c>
      <c r="O4693" s="7" t="n"/>
    </row>
    <row r="4694">
      <c r="A4694" s="7" t="n"/>
      <c r="B4694" s="7" t="n"/>
      <c r="C4694" s="7" t="n"/>
      <c r="D4694" s="7" t="n"/>
      <c r="E4694" s="7" t="n"/>
      <c r="F4694" s="7" t="n"/>
      <c r="G4694" s="7" t="n"/>
      <c r="H4694" s="7" t="n"/>
      <c r="I4694" s="7" t="n"/>
      <c r="J4694" s="7" t="n"/>
      <c r="K4694">
        <f>IF(D4694="Legitimate Interest (GDPR Art. 6(1)(f))", "Yes / Required (Sheet 3)", "")</f>
        <v/>
      </c>
      <c r="L4694" s="7" t="n"/>
      <c r="M4694" s="7" t="n"/>
      <c r="N4694">
        <f>IF(D4694="", "Gap - No Legal Basis", IF(AND(D4694="Consent (GDPR Art. 6(1)(a))", I4694="Not Captured"), "Gap - Invalid Consent", IF(AND(D4694="Legitimate Interest (GDPR Art. 6(1)(f))", L4694=""), "Gap - Missing LIA", IF(AND(G4694="Yes", H4694=""), "Gap - Missing Art. 9 Basis", IF(OR(I4694="Invalid - Not Freely Given", I4694="Invalid - Not Specific", I4694="Invalid - Not Informed", I4694="Invalid - Ambiguous"), "Gap - Invalid Consent", "Compliant")))))</f>
        <v/>
      </c>
      <c r="O4694" s="7" t="n"/>
    </row>
    <row r="4695">
      <c r="A4695" s="7" t="n"/>
      <c r="B4695" s="7" t="n"/>
      <c r="C4695" s="7" t="n"/>
      <c r="D4695" s="7" t="n"/>
      <c r="E4695" s="7" t="n"/>
      <c r="F4695" s="7" t="n"/>
      <c r="G4695" s="7" t="n"/>
      <c r="H4695" s="7" t="n"/>
      <c r="I4695" s="7" t="n"/>
      <c r="J4695" s="7" t="n"/>
      <c r="K4695">
        <f>IF(D4695="Legitimate Interest (GDPR Art. 6(1)(f))", "Yes / Required (Sheet 3)", "")</f>
        <v/>
      </c>
      <c r="L4695" s="7" t="n"/>
      <c r="M4695" s="7" t="n"/>
      <c r="N4695">
        <f>IF(D4695="", "Gap - No Legal Basis", IF(AND(D4695="Consent (GDPR Art. 6(1)(a))", I4695="Not Captured"), "Gap - Invalid Consent", IF(AND(D4695="Legitimate Interest (GDPR Art. 6(1)(f))", L4695=""), "Gap - Missing LIA", IF(AND(G4695="Yes", H4695=""), "Gap - Missing Art. 9 Basis", IF(OR(I4695="Invalid - Not Freely Given", I4695="Invalid - Not Specific", I4695="Invalid - Not Informed", I4695="Invalid - Ambiguous"), "Gap - Invalid Consent", "Compliant")))))</f>
        <v/>
      </c>
      <c r="O4695" s="7" t="n"/>
    </row>
    <row r="4696">
      <c r="A4696" s="7" t="n"/>
      <c r="B4696" s="7" t="n"/>
      <c r="C4696" s="7" t="n"/>
      <c r="D4696" s="7" t="n"/>
      <c r="E4696" s="7" t="n"/>
      <c r="F4696" s="7" t="n"/>
      <c r="G4696" s="7" t="n"/>
      <c r="H4696" s="7" t="n"/>
      <c r="I4696" s="7" t="n"/>
      <c r="J4696" s="7" t="n"/>
      <c r="K4696">
        <f>IF(D4696="Legitimate Interest (GDPR Art. 6(1)(f))", "Yes / Required (Sheet 3)", "")</f>
        <v/>
      </c>
      <c r="L4696" s="7" t="n"/>
      <c r="M4696" s="7" t="n"/>
      <c r="N4696">
        <f>IF(D4696="", "Gap - No Legal Basis", IF(AND(D4696="Consent (GDPR Art. 6(1)(a))", I4696="Not Captured"), "Gap - Invalid Consent", IF(AND(D4696="Legitimate Interest (GDPR Art. 6(1)(f))", L4696=""), "Gap - Missing LIA", IF(AND(G4696="Yes", H4696=""), "Gap - Missing Art. 9 Basis", IF(OR(I4696="Invalid - Not Freely Given", I4696="Invalid - Not Specific", I4696="Invalid - Not Informed", I4696="Invalid - Ambiguous"), "Gap - Invalid Consent", "Compliant")))))</f>
        <v/>
      </c>
      <c r="O4696" s="7" t="n"/>
    </row>
    <row r="4697">
      <c r="A4697" s="7" t="n"/>
      <c r="B4697" s="7" t="n"/>
      <c r="C4697" s="7" t="n"/>
      <c r="D4697" s="7" t="n"/>
      <c r="E4697" s="7" t="n"/>
      <c r="F4697" s="7" t="n"/>
      <c r="G4697" s="7" t="n"/>
      <c r="H4697" s="7" t="n"/>
      <c r="I4697" s="7" t="n"/>
      <c r="J4697" s="7" t="n"/>
      <c r="K4697">
        <f>IF(D4697="Legitimate Interest (GDPR Art. 6(1)(f))", "Yes / Required (Sheet 3)", "")</f>
        <v/>
      </c>
      <c r="L4697" s="7" t="n"/>
      <c r="M4697" s="7" t="n"/>
      <c r="N4697">
        <f>IF(D4697="", "Gap - No Legal Basis", IF(AND(D4697="Consent (GDPR Art. 6(1)(a))", I4697="Not Captured"), "Gap - Invalid Consent", IF(AND(D4697="Legitimate Interest (GDPR Art. 6(1)(f))", L4697=""), "Gap - Missing LIA", IF(AND(G4697="Yes", H4697=""), "Gap - Missing Art. 9 Basis", IF(OR(I4697="Invalid - Not Freely Given", I4697="Invalid - Not Specific", I4697="Invalid - Not Informed", I4697="Invalid - Ambiguous"), "Gap - Invalid Consent", "Compliant")))))</f>
        <v/>
      </c>
      <c r="O4697" s="7" t="n"/>
    </row>
    <row r="4698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7" t="n"/>
      <c r="J4698" s="7" t="n"/>
      <c r="K4698">
        <f>IF(D4698="Legitimate Interest (GDPR Art. 6(1)(f))", "Yes / Required (Sheet 3)", "")</f>
        <v/>
      </c>
      <c r="L4698" s="7" t="n"/>
      <c r="M4698" s="7" t="n"/>
      <c r="N4698">
        <f>IF(D4698="", "Gap - No Legal Basis", IF(AND(D4698="Consent (GDPR Art. 6(1)(a))", I4698="Not Captured"), "Gap - Invalid Consent", IF(AND(D4698="Legitimate Interest (GDPR Art. 6(1)(f))", L4698=""), "Gap - Missing LIA", IF(AND(G4698="Yes", H4698=""), "Gap - Missing Art. 9 Basis", IF(OR(I4698="Invalid - Not Freely Given", I4698="Invalid - Not Specific", I4698="Invalid - Not Informed", I4698="Invalid - Ambiguous"), "Gap - Invalid Consent", "Compliant")))))</f>
        <v/>
      </c>
      <c r="O4698" s="7" t="n"/>
    </row>
    <row r="4699">
      <c r="A4699" s="7" t="n"/>
      <c r="B4699" s="7" t="n"/>
      <c r="C4699" s="7" t="n"/>
      <c r="D4699" s="7" t="n"/>
      <c r="E4699" s="7" t="n"/>
      <c r="F4699" s="7" t="n"/>
      <c r="G4699" s="7" t="n"/>
      <c r="H4699" s="7" t="n"/>
      <c r="I4699" s="7" t="n"/>
      <c r="J4699" s="7" t="n"/>
      <c r="K4699">
        <f>IF(D4699="Legitimate Interest (GDPR Art. 6(1)(f))", "Yes / Required (Sheet 3)", "")</f>
        <v/>
      </c>
      <c r="L4699" s="7" t="n"/>
      <c r="M4699" s="7" t="n"/>
      <c r="N4699">
        <f>IF(D4699="", "Gap - No Legal Basis", IF(AND(D4699="Consent (GDPR Art. 6(1)(a))", I4699="Not Captured"), "Gap - Invalid Consent", IF(AND(D4699="Legitimate Interest (GDPR Art. 6(1)(f))", L4699=""), "Gap - Missing LIA", IF(AND(G4699="Yes", H4699=""), "Gap - Missing Art. 9 Basis", IF(OR(I4699="Invalid - Not Freely Given", I4699="Invalid - Not Specific", I4699="Invalid - Not Informed", I4699="Invalid - Ambiguous"), "Gap - Invalid Consent", "Compliant")))))</f>
        <v/>
      </c>
      <c r="O4699" s="7" t="n"/>
    </row>
    <row r="4700">
      <c r="A4700" s="7" t="n"/>
      <c r="B4700" s="7" t="n"/>
      <c r="C4700" s="7" t="n"/>
      <c r="D4700" s="7" t="n"/>
      <c r="E4700" s="7" t="n"/>
      <c r="F4700" s="7" t="n"/>
      <c r="G4700" s="7" t="n"/>
      <c r="H4700" s="7" t="n"/>
      <c r="I4700" s="7" t="n"/>
      <c r="J4700" s="7" t="n"/>
      <c r="K4700">
        <f>IF(D4700="Legitimate Interest (GDPR Art. 6(1)(f))", "Yes / Required (Sheet 3)", "")</f>
        <v/>
      </c>
      <c r="L4700" s="7" t="n"/>
      <c r="M4700" s="7" t="n"/>
      <c r="N4700">
        <f>IF(D4700="", "Gap - No Legal Basis", IF(AND(D4700="Consent (GDPR Art. 6(1)(a))", I4700="Not Captured"), "Gap - Invalid Consent", IF(AND(D4700="Legitimate Interest (GDPR Art. 6(1)(f))", L4700=""), "Gap - Missing LIA", IF(AND(G4700="Yes", H4700=""), "Gap - Missing Art. 9 Basis", IF(OR(I4700="Invalid - Not Freely Given", I4700="Invalid - Not Specific", I4700="Invalid - Not Informed", I4700="Invalid - Ambiguous"), "Gap - Invalid Consent", "Compliant")))))</f>
        <v/>
      </c>
      <c r="O4700" s="7" t="n"/>
    </row>
    <row r="4701">
      <c r="A4701" s="7" t="n"/>
      <c r="B4701" s="7" t="n"/>
      <c r="C4701" s="7" t="n"/>
      <c r="D4701" s="7" t="n"/>
      <c r="E4701" s="7" t="n"/>
      <c r="F4701" s="7" t="n"/>
      <c r="G4701" s="7" t="n"/>
      <c r="H4701" s="7" t="n"/>
      <c r="I4701" s="7" t="n"/>
      <c r="J4701" s="7" t="n"/>
      <c r="K4701">
        <f>IF(D4701="Legitimate Interest (GDPR Art. 6(1)(f))", "Yes / Required (Sheet 3)", "")</f>
        <v/>
      </c>
      <c r="L4701" s="7" t="n"/>
      <c r="M4701" s="7" t="n"/>
      <c r="N4701">
        <f>IF(D4701="", "Gap - No Legal Basis", IF(AND(D4701="Consent (GDPR Art. 6(1)(a))", I4701="Not Captured"), "Gap - Invalid Consent", IF(AND(D4701="Legitimate Interest (GDPR Art. 6(1)(f))", L4701=""), "Gap - Missing LIA", IF(AND(G4701="Yes", H4701=""), "Gap - Missing Art. 9 Basis", IF(OR(I4701="Invalid - Not Freely Given", I4701="Invalid - Not Specific", I4701="Invalid - Not Informed", I4701="Invalid - Ambiguous"), "Gap - Invalid Consent", "Compliant")))))</f>
        <v/>
      </c>
      <c r="O4701" s="7" t="n"/>
    </row>
    <row r="4702">
      <c r="A4702" s="7" t="n"/>
      <c r="B4702" s="7" t="n"/>
      <c r="C4702" s="7" t="n"/>
      <c r="D4702" s="7" t="n"/>
      <c r="E4702" s="7" t="n"/>
      <c r="F4702" s="7" t="n"/>
      <c r="G4702" s="7" t="n"/>
      <c r="H4702" s="7" t="n"/>
      <c r="I4702" s="7" t="n"/>
      <c r="J4702" s="7" t="n"/>
      <c r="K4702">
        <f>IF(D4702="Legitimate Interest (GDPR Art. 6(1)(f))", "Yes / Required (Sheet 3)", "")</f>
        <v/>
      </c>
      <c r="L4702" s="7" t="n"/>
      <c r="M4702" s="7" t="n"/>
      <c r="N4702">
        <f>IF(D4702="", "Gap - No Legal Basis", IF(AND(D4702="Consent (GDPR Art. 6(1)(a))", I4702="Not Captured"), "Gap - Invalid Consent", IF(AND(D4702="Legitimate Interest (GDPR Art. 6(1)(f))", L4702=""), "Gap - Missing LIA", IF(AND(G4702="Yes", H4702=""), "Gap - Missing Art. 9 Basis", IF(OR(I4702="Invalid - Not Freely Given", I4702="Invalid - Not Specific", I4702="Invalid - Not Informed", I4702="Invalid - Ambiguous"), "Gap - Invalid Consent", "Compliant")))))</f>
        <v/>
      </c>
      <c r="O4702" s="7" t="n"/>
    </row>
    <row r="4703">
      <c r="A4703" s="7" t="n"/>
      <c r="B4703" s="7" t="n"/>
      <c r="C4703" s="7" t="n"/>
      <c r="D4703" s="7" t="n"/>
      <c r="E4703" s="7" t="n"/>
      <c r="F4703" s="7" t="n"/>
      <c r="G4703" s="7" t="n"/>
      <c r="H4703" s="7" t="n"/>
      <c r="I4703" s="7" t="n"/>
      <c r="J4703" s="7" t="n"/>
      <c r="K4703">
        <f>IF(D4703="Legitimate Interest (GDPR Art. 6(1)(f))", "Yes / Required (Sheet 3)", "")</f>
        <v/>
      </c>
      <c r="L4703" s="7" t="n"/>
      <c r="M4703" s="7" t="n"/>
      <c r="N4703">
        <f>IF(D4703="", "Gap - No Legal Basis", IF(AND(D4703="Consent (GDPR Art. 6(1)(a))", I4703="Not Captured"), "Gap - Invalid Consent", IF(AND(D4703="Legitimate Interest (GDPR Art. 6(1)(f))", L4703=""), "Gap - Missing LIA", IF(AND(G4703="Yes", H4703=""), "Gap - Missing Art. 9 Basis", IF(OR(I4703="Invalid - Not Freely Given", I4703="Invalid - Not Specific", I4703="Invalid - Not Informed", I4703="Invalid - Ambiguous"), "Gap - Invalid Consent", "Compliant")))))</f>
        <v/>
      </c>
      <c r="O4703" s="7" t="n"/>
    </row>
    <row r="4704">
      <c r="A4704" s="7" t="n"/>
      <c r="B4704" s="7" t="n"/>
      <c r="C4704" s="7" t="n"/>
      <c r="D4704" s="7" t="n"/>
      <c r="E4704" s="7" t="n"/>
      <c r="F4704" s="7" t="n"/>
      <c r="G4704" s="7" t="n"/>
      <c r="H4704" s="7" t="n"/>
      <c r="I4704" s="7" t="n"/>
      <c r="J4704" s="7" t="n"/>
      <c r="K4704">
        <f>IF(D4704="Legitimate Interest (GDPR Art. 6(1)(f))", "Yes / Required (Sheet 3)", "")</f>
        <v/>
      </c>
      <c r="L4704" s="7" t="n"/>
      <c r="M4704" s="7" t="n"/>
      <c r="N4704">
        <f>IF(D4704="", "Gap - No Legal Basis", IF(AND(D4704="Consent (GDPR Art. 6(1)(a))", I4704="Not Captured"), "Gap - Invalid Consent", IF(AND(D4704="Legitimate Interest (GDPR Art. 6(1)(f))", L4704=""), "Gap - Missing LIA", IF(AND(G4704="Yes", H4704=""), "Gap - Missing Art. 9 Basis", IF(OR(I4704="Invalid - Not Freely Given", I4704="Invalid - Not Specific", I4704="Invalid - Not Informed", I4704="Invalid - Ambiguous"), "Gap - Invalid Consent", "Compliant")))))</f>
        <v/>
      </c>
      <c r="O4704" s="7" t="n"/>
    </row>
    <row r="4705">
      <c r="A4705" s="7" t="n"/>
      <c r="B4705" s="7" t="n"/>
      <c r="C4705" s="7" t="n"/>
      <c r="D4705" s="7" t="n"/>
      <c r="E4705" s="7" t="n"/>
      <c r="F4705" s="7" t="n"/>
      <c r="G4705" s="7" t="n"/>
      <c r="H4705" s="7" t="n"/>
      <c r="I4705" s="7" t="n"/>
      <c r="J4705" s="7" t="n"/>
      <c r="K4705">
        <f>IF(D4705="Legitimate Interest (GDPR Art. 6(1)(f))", "Yes / Required (Sheet 3)", "")</f>
        <v/>
      </c>
      <c r="L4705" s="7" t="n"/>
      <c r="M4705" s="7" t="n"/>
      <c r="N4705">
        <f>IF(D4705="", "Gap - No Legal Basis", IF(AND(D4705="Consent (GDPR Art. 6(1)(a))", I4705="Not Captured"), "Gap - Invalid Consent", IF(AND(D4705="Legitimate Interest (GDPR Art. 6(1)(f))", L4705=""), "Gap - Missing LIA", IF(AND(G4705="Yes", H4705=""), "Gap - Missing Art. 9 Basis", IF(OR(I4705="Invalid - Not Freely Given", I4705="Invalid - Not Specific", I4705="Invalid - Not Informed", I4705="Invalid - Ambiguous"), "Gap - Invalid Consent", "Compliant")))))</f>
        <v/>
      </c>
      <c r="O4705" s="7" t="n"/>
    </row>
    <row r="4706">
      <c r="A4706" s="7" t="n"/>
      <c r="B4706" s="7" t="n"/>
      <c r="C4706" s="7" t="n"/>
      <c r="D4706" s="7" t="n"/>
      <c r="E4706" s="7" t="n"/>
      <c r="F4706" s="7" t="n"/>
      <c r="G4706" s="7" t="n"/>
      <c r="H4706" s="7" t="n"/>
      <c r="I4706" s="7" t="n"/>
      <c r="J4706" s="7" t="n"/>
      <c r="K4706">
        <f>IF(D4706="Legitimate Interest (GDPR Art. 6(1)(f))", "Yes / Required (Sheet 3)", "")</f>
        <v/>
      </c>
      <c r="L4706" s="7" t="n"/>
      <c r="M4706" s="7" t="n"/>
      <c r="N4706">
        <f>IF(D4706="", "Gap - No Legal Basis", IF(AND(D4706="Consent (GDPR Art. 6(1)(a))", I4706="Not Captured"), "Gap - Invalid Consent", IF(AND(D4706="Legitimate Interest (GDPR Art. 6(1)(f))", L4706=""), "Gap - Missing LIA", IF(AND(G4706="Yes", H4706=""), "Gap - Missing Art. 9 Basis", IF(OR(I4706="Invalid - Not Freely Given", I4706="Invalid - Not Specific", I4706="Invalid - Not Informed", I4706="Invalid - Ambiguous"), "Gap - Invalid Consent", "Compliant")))))</f>
        <v/>
      </c>
      <c r="O4706" s="7" t="n"/>
    </row>
    <row r="4707">
      <c r="A4707" s="7" t="n"/>
      <c r="B4707" s="7" t="n"/>
      <c r="C4707" s="7" t="n"/>
      <c r="D4707" s="7" t="n"/>
      <c r="E4707" s="7" t="n"/>
      <c r="F4707" s="7" t="n"/>
      <c r="G4707" s="7" t="n"/>
      <c r="H4707" s="7" t="n"/>
      <c r="I4707" s="7" t="n"/>
      <c r="J4707" s="7" t="n"/>
      <c r="K4707">
        <f>IF(D4707="Legitimate Interest (GDPR Art. 6(1)(f))", "Yes / Required (Sheet 3)", "")</f>
        <v/>
      </c>
      <c r="L4707" s="7" t="n"/>
      <c r="M4707" s="7" t="n"/>
      <c r="N4707">
        <f>IF(D4707="", "Gap - No Legal Basis", IF(AND(D4707="Consent (GDPR Art. 6(1)(a))", I4707="Not Captured"), "Gap - Invalid Consent", IF(AND(D4707="Legitimate Interest (GDPR Art. 6(1)(f))", L4707=""), "Gap - Missing LIA", IF(AND(G4707="Yes", H4707=""), "Gap - Missing Art. 9 Basis", IF(OR(I4707="Invalid - Not Freely Given", I4707="Invalid - Not Specific", I4707="Invalid - Not Informed", I4707="Invalid - Ambiguous"), "Gap - Invalid Consent", "Compliant")))))</f>
        <v/>
      </c>
      <c r="O4707" s="7" t="n"/>
    </row>
    <row r="4708">
      <c r="A4708" s="7" t="n"/>
      <c r="B4708" s="7" t="n"/>
      <c r="C4708" s="7" t="n"/>
      <c r="D4708" s="7" t="n"/>
      <c r="E4708" s="7" t="n"/>
      <c r="F4708" s="7" t="n"/>
      <c r="G4708" s="7" t="n"/>
      <c r="H4708" s="7" t="n"/>
      <c r="I4708" s="7" t="n"/>
      <c r="J4708" s="7" t="n"/>
      <c r="K4708">
        <f>IF(D4708="Legitimate Interest (GDPR Art. 6(1)(f))", "Yes / Required (Sheet 3)", "")</f>
        <v/>
      </c>
      <c r="L4708" s="7" t="n"/>
      <c r="M4708" s="7" t="n"/>
      <c r="N4708">
        <f>IF(D4708="", "Gap - No Legal Basis", IF(AND(D4708="Consent (GDPR Art. 6(1)(a))", I4708="Not Captured"), "Gap - Invalid Consent", IF(AND(D4708="Legitimate Interest (GDPR Art. 6(1)(f))", L4708=""), "Gap - Missing LIA", IF(AND(G4708="Yes", H4708=""), "Gap - Missing Art. 9 Basis", IF(OR(I4708="Invalid - Not Freely Given", I4708="Invalid - Not Specific", I4708="Invalid - Not Informed", I4708="Invalid - Ambiguous"), "Gap - Invalid Consent", "Compliant")))))</f>
        <v/>
      </c>
      <c r="O4708" s="7" t="n"/>
    </row>
    <row r="4709">
      <c r="A4709" s="7" t="n"/>
      <c r="B4709" s="7" t="n"/>
      <c r="C4709" s="7" t="n"/>
      <c r="D4709" s="7" t="n"/>
      <c r="E4709" s="7" t="n"/>
      <c r="F4709" s="7" t="n"/>
      <c r="G4709" s="7" t="n"/>
      <c r="H4709" s="7" t="n"/>
      <c r="I4709" s="7" t="n"/>
      <c r="J4709" s="7" t="n"/>
      <c r="K4709">
        <f>IF(D4709="Legitimate Interest (GDPR Art. 6(1)(f))", "Yes / Required (Sheet 3)", "")</f>
        <v/>
      </c>
      <c r="L4709" s="7" t="n"/>
      <c r="M4709" s="7" t="n"/>
      <c r="N4709">
        <f>IF(D4709="", "Gap - No Legal Basis", IF(AND(D4709="Consent (GDPR Art. 6(1)(a))", I4709="Not Captured"), "Gap - Invalid Consent", IF(AND(D4709="Legitimate Interest (GDPR Art. 6(1)(f))", L4709=""), "Gap - Missing LIA", IF(AND(G4709="Yes", H4709=""), "Gap - Missing Art. 9 Basis", IF(OR(I4709="Invalid - Not Freely Given", I4709="Invalid - Not Specific", I4709="Invalid - Not Informed", I4709="Invalid - Ambiguous"), "Gap - Invalid Consent", "Compliant")))))</f>
        <v/>
      </c>
      <c r="O4709" s="7" t="n"/>
    </row>
    <row r="4710">
      <c r="A4710" s="7" t="n"/>
      <c r="B4710" s="7" t="n"/>
      <c r="C4710" s="7" t="n"/>
      <c r="D4710" s="7" t="n"/>
      <c r="E4710" s="7" t="n"/>
      <c r="F4710" s="7" t="n"/>
      <c r="G4710" s="7" t="n"/>
      <c r="H4710" s="7" t="n"/>
      <c r="I4710" s="7" t="n"/>
      <c r="J4710" s="7" t="n"/>
      <c r="K4710">
        <f>IF(D4710="Legitimate Interest (GDPR Art. 6(1)(f))", "Yes / Required (Sheet 3)", "")</f>
        <v/>
      </c>
      <c r="L4710" s="7" t="n"/>
      <c r="M4710" s="7" t="n"/>
      <c r="N4710">
        <f>IF(D4710="", "Gap - No Legal Basis", IF(AND(D4710="Consent (GDPR Art. 6(1)(a))", I4710="Not Captured"), "Gap - Invalid Consent", IF(AND(D4710="Legitimate Interest (GDPR Art. 6(1)(f))", L4710=""), "Gap - Missing LIA", IF(AND(G4710="Yes", H4710=""), "Gap - Missing Art. 9 Basis", IF(OR(I4710="Invalid - Not Freely Given", I4710="Invalid - Not Specific", I4710="Invalid - Not Informed", I4710="Invalid - Ambiguous"), "Gap - Invalid Consent", "Compliant")))))</f>
        <v/>
      </c>
      <c r="O4710" s="7" t="n"/>
    </row>
    <row r="4711">
      <c r="A4711" s="7" t="n"/>
      <c r="B4711" s="7" t="n"/>
      <c r="C4711" s="7" t="n"/>
      <c r="D4711" s="7" t="n"/>
      <c r="E4711" s="7" t="n"/>
      <c r="F4711" s="7" t="n"/>
      <c r="G4711" s="7" t="n"/>
      <c r="H4711" s="7" t="n"/>
      <c r="I4711" s="7" t="n"/>
      <c r="J4711" s="7" t="n"/>
      <c r="K4711">
        <f>IF(D4711="Legitimate Interest (GDPR Art. 6(1)(f))", "Yes / Required (Sheet 3)", "")</f>
        <v/>
      </c>
      <c r="L4711" s="7" t="n"/>
      <c r="M4711" s="7" t="n"/>
      <c r="N4711">
        <f>IF(D4711="", "Gap - No Legal Basis", IF(AND(D4711="Consent (GDPR Art. 6(1)(a))", I4711="Not Captured"), "Gap - Invalid Consent", IF(AND(D4711="Legitimate Interest (GDPR Art. 6(1)(f))", L4711=""), "Gap - Missing LIA", IF(AND(G4711="Yes", H4711=""), "Gap - Missing Art. 9 Basis", IF(OR(I4711="Invalid - Not Freely Given", I4711="Invalid - Not Specific", I4711="Invalid - Not Informed", I4711="Invalid - Ambiguous"), "Gap - Invalid Consent", "Compliant")))))</f>
        <v/>
      </c>
      <c r="O4711" s="7" t="n"/>
    </row>
    <row r="4712">
      <c r="A4712" s="7" t="n"/>
      <c r="B4712" s="7" t="n"/>
      <c r="C4712" s="7" t="n"/>
      <c r="D4712" s="7" t="n"/>
      <c r="E4712" s="7" t="n"/>
      <c r="F4712" s="7" t="n"/>
      <c r="G4712" s="7" t="n"/>
      <c r="H4712" s="7" t="n"/>
      <c r="I4712" s="7" t="n"/>
      <c r="J4712" s="7" t="n"/>
      <c r="K4712">
        <f>IF(D4712="Legitimate Interest (GDPR Art. 6(1)(f))", "Yes / Required (Sheet 3)", "")</f>
        <v/>
      </c>
      <c r="L4712" s="7" t="n"/>
      <c r="M4712" s="7" t="n"/>
      <c r="N4712">
        <f>IF(D4712="", "Gap - No Legal Basis", IF(AND(D4712="Consent (GDPR Art. 6(1)(a))", I4712="Not Captured"), "Gap - Invalid Consent", IF(AND(D4712="Legitimate Interest (GDPR Art. 6(1)(f))", L4712=""), "Gap - Missing LIA", IF(AND(G4712="Yes", H4712=""), "Gap - Missing Art. 9 Basis", IF(OR(I4712="Invalid - Not Freely Given", I4712="Invalid - Not Specific", I4712="Invalid - Not Informed", I4712="Invalid - Ambiguous"), "Gap - Invalid Consent", "Compliant")))))</f>
        <v/>
      </c>
      <c r="O4712" s="7" t="n"/>
    </row>
    <row r="4713">
      <c r="A4713" s="7" t="n"/>
      <c r="B4713" s="7" t="n"/>
      <c r="C4713" s="7" t="n"/>
      <c r="D4713" s="7" t="n"/>
      <c r="E4713" s="7" t="n"/>
      <c r="F4713" s="7" t="n"/>
      <c r="G4713" s="7" t="n"/>
      <c r="H4713" s="7" t="n"/>
      <c r="I4713" s="7" t="n"/>
      <c r="J4713" s="7" t="n"/>
      <c r="K4713">
        <f>IF(D4713="Legitimate Interest (GDPR Art. 6(1)(f))", "Yes / Required (Sheet 3)", "")</f>
        <v/>
      </c>
      <c r="L4713" s="7" t="n"/>
      <c r="M4713" s="7" t="n"/>
      <c r="N4713">
        <f>IF(D4713="", "Gap - No Legal Basis", IF(AND(D4713="Consent (GDPR Art. 6(1)(a))", I4713="Not Captured"), "Gap - Invalid Consent", IF(AND(D4713="Legitimate Interest (GDPR Art. 6(1)(f))", L4713=""), "Gap - Missing LIA", IF(AND(G4713="Yes", H4713=""), "Gap - Missing Art. 9 Basis", IF(OR(I4713="Invalid - Not Freely Given", I4713="Invalid - Not Specific", I4713="Invalid - Not Informed", I4713="Invalid - Ambiguous"), "Gap - Invalid Consent", "Compliant")))))</f>
        <v/>
      </c>
      <c r="O4713" s="7" t="n"/>
    </row>
    <row r="4714">
      <c r="A4714" s="7" t="n"/>
      <c r="B4714" s="7" t="n"/>
      <c r="C4714" s="7" t="n"/>
      <c r="D4714" s="7" t="n"/>
      <c r="E4714" s="7" t="n"/>
      <c r="F4714" s="7" t="n"/>
      <c r="G4714" s="7" t="n"/>
      <c r="H4714" s="7" t="n"/>
      <c r="I4714" s="7" t="n"/>
      <c r="J4714" s="7" t="n"/>
      <c r="K4714">
        <f>IF(D4714="Legitimate Interest (GDPR Art. 6(1)(f))", "Yes / Required (Sheet 3)", "")</f>
        <v/>
      </c>
      <c r="L4714" s="7" t="n"/>
      <c r="M4714" s="7" t="n"/>
      <c r="N4714">
        <f>IF(D4714="", "Gap - No Legal Basis", IF(AND(D4714="Consent (GDPR Art. 6(1)(a))", I4714="Not Captured"), "Gap - Invalid Consent", IF(AND(D4714="Legitimate Interest (GDPR Art. 6(1)(f))", L4714=""), "Gap - Missing LIA", IF(AND(G4714="Yes", H4714=""), "Gap - Missing Art. 9 Basis", IF(OR(I4714="Invalid - Not Freely Given", I4714="Invalid - Not Specific", I4714="Invalid - Not Informed", I4714="Invalid - Ambiguous"), "Gap - Invalid Consent", "Compliant")))))</f>
        <v/>
      </c>
      <c r="O4714" s="7" t="n"/>
    </row>
    <row r="4715">
      <c r="A4715" s="7" t="n"/>
      <c r="B4715" s="7" t="n"/>
      <c r="C4715" s="7" t="n"/>
      <c r="D4715" s="7" t="n"/>
      <c r="E4715" s="7" t="n"/>
      <c r="F4715" s="7" t="n"/>
      <c r="G4715" s="7" t="n"/>
      <c r="H4715" s="7" t="n"/>
      <c r="I4715" s="7" t="n"/>
      <c r="J4715" s="7" t="n"/>
      <c r="K4715">
        <f>IF(D4715="Legitimate Interest (GDPR Art. 6(1)(f))", "Yes / Required (Sheet 3)", "")</f>
        <v/>
      </c>
      <c r="L4715" s="7" t="n"/>
      <c r="M4715" s="7" t="n"/>
      <c r="N4715">
        <f>IF(D4715="", "Gap - No Legal Basis", IF(AND(D4715="Consent (GDPR Art. 6(1)(a))", I4715="Not Captured"), "Gap - Invalid Consent", IF(AND(D4715="Legitimate Interest (GDPR Art. 6(1)(f))", L4715=""), "Gap - Missing LIA", IF(AND(G4715="Yes", H4715=""), "Gap - Missing Art. 9 Basis", IF(OR(I4715="Invalid - Not Freely Given", I4715="Invalid - Not Specific", I4715="Invalid - Not Informed", I4715="Invalid - Ambiguous"), "Gap - Invalid Consent", "Compliant")))))</f>
        <v/>
      </c>
      <c r="O4715" s="7" t="n"/>
    </row>
    <row r="4716">
      <c r="A4716" s="7" t="n"/>
      <c r="B4716" s="7" t="n"/>
      <c r="C4716" s="7" t="n"/>
      <c r="D4716" s="7" t="n"/>
      <c r="E4716" s="7" t="n"/>
      <c r="F4716" s="7" t="n"/>
      <c r="G4716" s="7" t="n"/>
      <c r="H4716" s="7" t="n"/>
      <c r="I4716" s="7" t="n"/>
      <c r="J4716" s="7" t="n"/>
      <c r="K4716">
        <f>IF(D4716="Legitimate Interest (GDPR Art. 6(1)(f))", "Yes / Required (Sheet 3)", "")</f>
        <v/>
      </c>
      <c r="L4716" s="7" t="n"/>
      <c r="M4716" s="7" t="n"/>
      <c r="N4716">
        <f>IF(D4716="", "Gap - No Legal Basis", IF(AND(D4716="Consent (GDPR Art. 6(1)(a))", I4716="Not Captured"), "Gap - Invalid Consent", IF(AND(D4716="Legitimate Interest (GDPR Art. 6(1)(f))", L4716=""), "Gap - Missing LIA", IF(AND(G4716="Yes", H4716=""), "Gap - Missing Art. 9 Basis", IF(OR(I4716="Invalid - Not Freely Given", I4716="Invalid - Not Specific", I4716="Invalid - Not Informed", I4716="Invalid - Ambiguous"), "Gap - Invalid Consent", "Compliant")))))</f>
        <v/>
      </c>
      <c r="O4716" s="7" t="n"/>
    </row>
    <row r="4717">
      <c r="A4717" s="7" t="n"/>
      <c r="B4717" s="7" t="n"/>
      <c r="C4717" s="7" t="n"/>
      <c r="D4717" s="7" t="n"/>
      <c r="E4717" s="7" t="n"/>
      <c r="F4717" s="7" t="n"/>
      <c r="G4717" s="7" t="n"/>
      <c r="H4717" s="7" t="n"/>
      <c r="I4717" s="7" t="n"/>
      <c r="J4717" s="7" t="n"/>
      <c r="K4717">
        <f>IF(D4717="Legitimate Interest (GDPR Art. 6(1)(f))", "Yes / Required (Sheet 3)", "")</f>
        <v/>
      </c>
      <c r="L4717" s="7" t="n"/>
      <c r="M4717" s="7" t="n"/>
      <c r="N4717">
        <f>IF(D4717="", "Gap - No Legal Basis", IF(AND(D4717="Consent (GDPR Art. 6(1)(a))", I4717="Not Captured"), "Gap - Invalid Consent", IF(AND(D4717="Legitimate Interest (GDPR Art. 6(1)(f))", L4717=""), "Gap - Missing LIA", IF(AND(G4717="Yes", H4717=""), "Gap - Missing Art. 9 Basis", IF(OR(I4717="Invalid - Not Freely Given", I4717="Invalid - Not Specific", I4717="Invalid - Not Informed", I4717="Invalid - Ambiguous"), "Gap - Invalid Consent", "Compliant")))))</f>
        <v/>
      </c>
      <c r="O4717" s="7" t="n"/>
    </row>
    <row r="4718">
      <c r="A4718" s="7" t="n"/>
      <c r="B4718" s="7" t="n"/>
      <c r="C4718" s="7" t="n"/>
      <c r="D4718" s="7" t="n"/>
      <c r="E4718" s="7" t="n"/>
      <c r="F4718" s="7" t="n"/>
      <c r="G4718" s="7" t="n"/>
      <c r="H4718" s="7" t="n"/>
      <c r="I4718" s="7" t="n"/>
      <c r="J4718" s="7" t="n"/>
      <c r="K4718">
        <f>IF(D4718="Legitimate Interest (GDPR Art. 6(1)(f))", "Yes / Required (Sheet 3)", "")</f>
        <v/>
      </c>
      <c r="L4718" s="7" t="n"/>
      <c r="M4718" s="7" t="n"/>
      <c r="N4718">
        <f>IF(D4718="", "Gap - No Legal Basis", IF(AND(D4718="Consent (GDPR Art. 6(1)(a))", I4718="Not Captured"), "Gap - Invalid Consent", IF(AND(D4718="Legitimate Interest (GDPR Art. 6(1)(f))", L4718=""), "Gap - Missing LIA", IF(AND(G4718="Yes", H4718=""), "Gap - Missing Art. 9 Basis", IF(OR(I4718="Invalid - Not Freely Given", I4718="Invalid - Not Specific", I4718="Invalid - Not Informed", I4718="Invalid - Ambiguous"), "Gap - Invalid Consent", "Compliant")))))</f>
        <v/>
      </c>
      <c r="O4718" s="7" t="n"/>
    </row>
    <row r="4719">
      <c r="A4719" s="7" t="n"/>
      <c r="B4719" s="7" t="n"/>
      <c r="C4719" s="7" t="n"/>
      <c r="D4719" s="7" t="n"/>
      <c r="E4719" s="7" t="n"/>
      <c r="F4719" s="7" t="n"/>
      <c r="G4719" s="7" t="n"/>
      <c r="H4719" s="7" t="n"/>
      <c r="I4719" s="7" t="n"/>
      <c r="J4719" s="7" t="n"/>
      <c r="K4719">
        <f>IF(D4719="Legitimate Interest (GDPR Art. 6(1)(f))", "Yes / Required (Sheet 3)", "")</f>
        <v/>
      </c>
      <c r="L4719" s="7" t="n"/>
      <c r="M4719" s="7" t="n"/>
      <c r="N4719">
        <f>IF(D4719="", "Gap - No Legal Basis", IF(AND(D4719="Consent (GDPR Art. 6(1)(a))", I4719="Not Captured"), "Gap - Invalid Consent", IF(AND(D4719="Legitimate Interest (GDPR Art. 6(1)(f))", L4719=""), "Gap - Missing LIA", IF(AND(G4719="Yes", H4719=""), "Gap - Missing Art. 9 Basis", IF(OR(I4719="Invalid - Not Freely Given", I4719="Invalid - Not Specific", I4719="Invalid - Not Informed", I4719="Invalid - Ambiguous"), "Gap - Invalid Consent", "Compliant")))))</f>
        <v/>
      </c>
      <c r="O4719" s="7" t="n"/>
    </row>
    <row r="4720">
      <c r="A4720" s="7" t="n"/>
      <c r="B4720" s="7" t="n"/>
      <c r="C4720" s="7" t="n"/>
      <c r="D4720" s="7" t="n"/>
      <c r="E4720" s="7" t="n"/>
      <c r="F4720" s="7" t="n"/>
      <c r="G4720" s="7" t="n"/>
      <c r="H4720" s="7" t="n"/>
      <c r="I4720" s="7" t="n"/>
      <c r="J4720" s="7" t="n"/>
      <c r="K4720">
        <f>IF(D4720="Legitimate Interest (GDPR Art. 6(1)(f))", "Yes / Required (Sheet 3)", "")</f>
        <v/>
      </c>
      <c r="L4720" s="7" t="n"/>
      <c r="M4720" s="7" t="n"/>
      <c r="N4720">
        <f>IF(D4720="", "Gap - No Legal Basis", IF(AND(D4720="Consent (GDPR Art. 6(1)(a))", I4720="Not Captured"), "Gap - Invalid Consent", IF(AND(D4720="Legitimate Interest (GDPR Art. 6(1)(f))", L4720=""), "Gap - Missing LIA", IF(AND(G4720="Yes", H4720=""), "Gap - Missing Art. 9 Basis", IF(OR(I4720="Invalid - Not Freely Given", I4720="Invalid - Not Specific", I4720="Invalid - Not Informed", I4720="Invalid - Ambiguous"), "Gap - Invalid Consent", "Compliant")))))</f>
        <v/>
      </c>
      <c r="O4720" s="7" t="n"/>
    </row>
    <row r="4721">
      <c r="A4721" s="7" t="n"/>
      <c r="B4721" s="7" t="n"/>
      <c r="C4721" s="7" t="n"/>
      <c r="D4721" s="7" t="n"/>
      <c r="E4721" s="7" t="n"/>
      <c r="F4721" s="7" t="n"/>
      <c r="G4721" s="7" t="n"/>
      <c r="H4721" s="7" t="n"/>
      <c r="I4721" s="7" t="n"/>
      <c r="J4721" s="7" t="n"/>
      <c r="K4721">
        <f>IF(D4721="Legitimate Interest (GDPR Art. 6(1)(f))", "Yes / Required (Sheet 3)", "")</f>
        <v/>
      </c>
      <c r="L4721" s="7" t="n"/>
      <c r="M4721" s="7" t="n"/>
      <c r="N4721">
        <f>IF(D4721="", "Gap - No Legal Basis", IF(AND(D4721="Consent (GDPR Art. 6(1)(a))", I4721="Not Captured"), "Gap - Invalid Consent", IF(AND(D4721="Legitimate Interest (GDPR Art. 6(1)(f))", L4721=""), "Gap - Missing LIA", IF(AND(G4721="Yes", H4721=""), "Gap - Missing Art. 9 Basis", IF(OR(I4721="Invalid - Not Freely Given", I4721="Invalid - Not Specific", I4721="Invalid - Not Informed", I4721="Invalid - Ambiguous"), "Gap - Invalid Consent", "Compliant")))))</f>
        <v/>
      </c>
      <c r="O4721" s="7" t="n"/>
    </row>
    <row r="4722">
      <c r="A4722" s="7" t="n"/>
      <c r="B4722" s="7" t="n"/>
      <c r="C4722" s="7" t="n"/>
      <c r="D4722" s="7" t="n"/>
      <c r="E4722" s="7" t="n"/>
      <c r="F4722" s="7" t="n"/>
      <c r="G4722" s="7" t="n"/>
      <c r="H4722" s="7" t="n"/>
      <c r="I4722" s="7" t="n"/>
      <c r="J4722" s="7" t="n"/>
      <c r="K4722">
        <f>IF(D4722="Legitimate Interest (GDPR Art. 6(1)(f))", "Yes / Required (Sheet 3)", "")</f>
        <v/>
      </c>
      <c r="L4722" s="7" t="n"/>
      <c r="M4722" s="7" t="n"/>
      <c r="N4722">
        <f>IF(D4722="", "Gap - No Legal Basis", IF(AND(D4722="Consent (GDPR Art. 6(1)(a))", I4722="Not Captured"), "Gap - Invalid Consent", IF(AND(D4722="Legitimate Interest (GDPR Art. 6(1)(f))", L4722=""), "Gap - Missing LIA", IF(AND(G4722="Yes", H4722=""), "Gap - Missing Art. 9 Basis", IF(OR(I4722="Invalid - Not Freely Given", I4722="Invalid - Not Specific", I4722="Invalid - Not Informed", I4722="Invalid - Ambiguous"), "Gap - Invalid Consent", "Compliant")))))</f>
        <v/>
      </c>
      <c r="O4722" s="7" t="n"/>
    </row>
    <row r="4723">
      <c r="A4723" s="7" t="n"/>
      <c r="B4723" s="7" t="n"/>
      <c r="C4723" s="7" t="n"/>
      <c r="D4723" s="7" t="n"/>
      <c r="E4723" s="7" t="n"/>
      <c r="F4723" s="7" t="n"/>
      <c r="G4723" s="7" t="n"/>
      <c r="H4723" s="7" t="n"/>
      <c r="I4723" s="7" t="n"/>
      <c r="J4723" s="7" t="n"/>
      <c r="K4723">
        <f>IF(D4723="Legitimate Interest (GDPR Art. 6(1)(f))", "Yes / Required (Sheet 3)", "")</f>
        <v/>
      </c>
      <c r="L4723" s="7" t="n"/>
      <c r="M4723" s="7" t="n"/>
      <c r="N4723">
        <f>IF(D4723="", "Gap - No Legal Basis", IF(AND(D4723="Consent (GDPR Art. 6(1)(a))", I4723="Not Captured"), "Gap - Invalid Consent", IF(AND(D4723="Legitimate Interest (GDPR Art. 6(1)(f))", L4723=""), "Gap - Missing LIA", IF(AND(G4723="Yes", H4723=""), "Gap - Missing Art. 9 Basis", IF(OR(I4723="Invalid - Not Freely Given", I4723="Invalid - Not Specific", I4723="Invalid - Not Informed", I4723="Invalid - Ambiguous"), "Gap - Invalid Consent", "Compliant")))))</f>
        <v/>
      </c>
      <c r="O4723" s="7" t="n"/>
    </row>
    <row r="4724">
      <c r="A4724" s="7" t="n"/>
      <c r="B4724" s="7" t="n"/>
      <c r="C4724" s="7" t="n"/>
      <c r="D4724" s="7" t="n"/>
      <c r="E4724" s="7" t="n"/>
      <c r="F4724" s="7" t="n"/>
      <c r="G4724" s="7" t="n"/>
      <c r="H4724" s="7" t="n"/>
      <c r="I4724" s="7" t="n"/>
      <c r="J4724" s="7" t="n"/>
      <c r="K4724">
        <f>IF(D4724="Legitimate Interest (GDPR Art. 6(1)(f))", "Yes / Required (Sheet 3)", "")</f>
        <v/>
      </c>
      <c r="L4724" s="7" t="n"/>
      <c r="M4724" s="7" t="n"/>
      <c r="N4724">
        <f>IF(D4724="", "Gap - No Legal Basis", IF(AND(D4724="Consent (GDPR Art. 6(1)(a))", I4724="Not Captured"), "Gap - Invalid Consent", IF(AND(D4724="Legitimate Interest (GDPR Art. 6(1)(f))", L4724=""), "Gap - Missing LIA", IF(AND(G4724="Yes", H4724=""), "Gap - Missing Art. 9 Basis", IF(OR(I4724="Invalid - Not Freely Given", I4724="Invalid - Not Specific", I4724="Invalid - Not Informed", I4724="Invalid - Ambiguous"), "Gap - Invalid Consent", "Compliant")))))</f>
        <v/>
      </c>
      <c r="O4724" s="7" t="n"/>
    </row>
    <row r="4725">
      <c r="A4725" s="7" t="n"/>
      <c r="B4725" s="7" t="n"/>
      <c r="C4725" s="7" t="n"/>
      <c r="D4725" s="7" t="n"/>
      <c r="E4725" s="7" t="n"/>
      <c r="F4725" s="7" t="n"/>
      <c r="G4725" s="7" t="n"/>
      <c r="H4725" s="7" t="n"/>
      <c r="I4725" s="7" t="n"/>
      <c r="J4725" s="7" t="n"/>
      <c r="K4725">
        <f>IF(D4725="Legitimate Interest (GDPR Art. 6(1)(f))", "Yes / Required (Sheet 3)", "")</f>
        <v/>
      </c>
      <c r="L4725" s="7" t="n"/>
      <c r="M4725" s="7" t="n"/>
      <c r="N4725">
        <f>IF(D4725="", "Gap - No Legal Basis", IF(AND(D4725="Consent (GDPR Art. 6(1)(a))", I4725="Not Captured"), "Gap - Invalid Consent", IF(AND(D4725="Legitimate Interest (GDPR Art. 6(1)(f))", L4725=""), "Gap - Missing LIA", IF(AND(G4725="Yes", H4725=""), "Gap - Missing Art. 9 Basis", IF(OR(I4725="Invalid - Not Freely Given", I4725="Invalid - Not Specific", I4725="Invalid - Not Informed", I4725="Invalid - Ambiguous"), "Gap - Invalid Consent", "Compliant")))))</f>
        <v/>
      </c>
      <c r="O4725" s="7" t="n"/>
    </row>
    <row r="4726">
      <c r="A4726" s="7" t="n"/>
      <c r="B4726" s="7" t="n"/>
      <c r="C4726" s="7" t="n"/>
      <c r="D4726" s="7" t="n"/>
      <c r="E4726" s="7" t="n"/>
      <c r="F4726" s="7" t="n"/>
      <c r="G4726" s="7" t="n"/>
      <c r="H4726" s="7" t="n"/>
      <c r="I4726" s="7" t="n"/>
      <c r="J4726" s="7" t="n"/>
      <c r="K4726">
        <f>IF(D4726="Legitimate Interest (GDPR Art. 6(1)(f))", "Yes / Required (Sheet 3)", "")</f>
        <v/>
      </c>
      <c r="L4726" s="7" t="n"/>
      <c r="M4726" s="7" t="n"/>
      <c r="N4726">
        <f>IF(D4726="", "Gap - No Legal Basis", IF(AND(D4726="Consent (GDPR Art. 6(1)(a))", I4726="Not Captured"), "Gap - Invalid Consent", IF(AND(D4726="Legitimate Interest (GDPR Art. 6(1)(f))", L4726=""), "Gap - Missing LIA", IF(AND(G4726="Yes", H4726=""), "Gap - Missing Art. 9 Basis", IF(OR(I4726="Invalid - Not Freely Given", I4726="Invalid - Not Specific", I4726="Invalid - Not Informed", I4726="Invalid - Ambiguous"), "Gap - Invalid Consent", "Compliant")))))</f>
        <v/>
      </c>
      <c r="O4726" s="7" t="n"/>
    </row>
    <row r="4727">
      <c r="A4727" s="7" t="n"/>
      <c r="B4727" s="7" t="n"/>
      <c r="C4727" s="7" t="n"/>
      <c r="D4727" s="7" t="n"/>
      <c r="E4727" s="7" t="n"/>
      <c r="F4727" s="7" t="n"/>
      <c r="G4727" s="7" t="n"/>
      <c r="H4727" s="7" t="n"/>
      <c r="I4727" s="7" t="n"/>
      <c r="J4727" s="7" t="n"/>
      <c r="K4727">
        <f>IF(D4727="Legitimate Interest (GDPR Art. 6(1)(f))", "Yes / Required (Sheet 3)", "")</f>
        <v/>
      </c>
      <c r="L4727" s="7" t="n"/>
      <c r="M4727" s="7" t="n"/>
      <c r="N4727">
        <f>IF(D4727="", "Gap - No Legal Basis", IF(AND(D4727="Consent (GDPR Art. 6(1)(a))", I4727="Not Captured"), "Gap - Invalid Consent", IF(AND(D4727="Legitimate Interest (GDPR Art. 6(1)(f))", L4727=""), "Gap - Missing LIA", IF(AND(G4727="Yes", H4727=""), "Gap - Missing Art. 9 Basis", IF(OR(I4727="Invalid - Not Freely Given", I4727="Invalid - Not Specific", I4727="Invalid - Not Informed", I4727="Invalid - Ambiguous"), "Gap - Invalid Consent", "Compliant")))))</f>
        <v/>
      </c>
      <c r="O4727" s="7" t="n"/>
    </row>
    <row r="4728">
      <c r="A4728" s="7" t="n"/>
      <c r="B4728" s="7" t="n"/>
      <c r="C4728" s="7" t="n"/>
      <c r="D4728" s="7" t="n"/>
      <c r="E4728" s="7" t="n"/>
      <c r="F4728" s="7" t="n"/>
      <c r="G4728" s="7" t="n"/>
      <c r="H4728" s="7" t="n"/>
      <c r="I4728" s="7" t="n"/>
      <c r="J4728" s="7" t="n"/>
      <c r="K4728">
        <f>IF(D4728="Legitimate Interest (GDPR Art. 6(1)(f))", "Yes / Required (Sheet 3)", "")</f>
        <v/>
      </c>
      <c r="L4728" s="7" t="n"/>
      <c r="M4728" s="7" t="n"/>
      <c r="N4728">
        <f>IF(D4728="", "Gap - No Legal Basis", IF(AND(D4728="Consent (GDPR Art. 6(1)(a))", I4728="Not Captured"), "Gap - Invalid Consent", IF(AND(D4728="Legitimate Interest (GDPR Art. 6(1)(f))", L4728=""), "Gap - Missing LIA", IF(AND(G4728="Yes", H4728=""), "Gap - Missing Art. 9 Basis", IF(OR(I4728="Invalid - Not Freely Given", I4728="Invalid - Not Specific", I4728="Invalid - Not Informed", I4728="Invalid - Ambiguous"), "Gap - Invalid Consent", "Compliant")))))</f>
        <v/>
      </c>
      <c r="O4728" s="7" t="n"/>
    </row>
    <row r="4729">
      <c r="A4729" s="7" t="n"/>
      <c r="B4729" s="7" t="n"/>
      <c r="C4729" s="7" t="n"/>
      <c r="D4729" s="7" t="n"/>
      <c r="E4729" s="7" t="n"/>
      <c r="F4729" s="7" t="n"/>
      <c r="G4729" s="7" t="n"/>
      <c r="H4729" s="7" t="n"/>
      <c r="I4729" s="7" t="n"/>
      <c r="J4729" s="7" t="n"/>
      <c r="K4729">
        <f>IF(D4729="Legitimate Interest (GDPR Art. 6(1)(f))", "Yes / Required (Sheet 3)", "")</f>
        <v/>
      </c>
      <c r="L4729" s="7" t="n"/>
      <c r="M4729" s="7" t="n"/>
      <c r="N4729">
        <f>IF(D4729="", "Gap - No Legal Basis", IF(AND(D4729="Consent (GDPR Art. 6(1)(a))", I4729="Not Captured"), "Gap - Invalid Consent", IF(AND(D4729="Legitimate Interest (GDPR Art. 6(1)(f))", L4729=""), "Gap - Missing LIA", IF(AND(G4729="Yes", H4729=""), "Gap - Missing Art. 9 Basis", IF(OR(I4729="Invalid - Not Freely Given", I4729="Invalid - Not Specific", I4729="Invalid - Not Informed", I4729="Invalid - Ambiguous"), "Gap - Invalid Consent", "Compliant")))))</f>
        <v/>
      </c>
      <c r="O4729" s="7" t="n"/>
    </row>
    <row r="4730">
      <c r="A4730" s="7" t="n"/>
      <c r="B4730" s="7" t="n"/>
      <c r="C4730" s="7" t="n"/>
      <c r="D4730" s="7" t="n"/>
      <c r="E4730" s="7" t="n"/>
      <c r="F4730" s="7" t="n"/>
      <c r="G4730" s="7" t="n"/>
      <c r="H4730" s="7" t="n"/>
      <c r="I4730" s="7" t="n"/>
      <c r="J4730" s="7" t="n"/>
      <c r="K4730">
        <f>IF(D4730="Legitimate Interest (GDPR Art. 6(1)(f))", "Yes / Required (Sheet 3)", "")</f>
        <v/>
      </c>
      <c r="L4730" s="7" t="n"/>
      <c r="M4730" s="7" t="n"/>
      <c r="N4730">
        <f>IF(D4730="", "Gap - No Legal Basis", IF(AND(D4730="Consent (GDPR Art. 6(1)(a))", I4730="Not Captured"), "Gap - Invalid Consent", IF(AND(D4730="Legitimate Interest (GDPR Art. 6(1)(f))", L4730=""), "Gap - Missing LIA", IF(AND(G4730="Yes", H4730=""), "Gap - Missing Art. 9 Basis", IF(OR(I4730="Invalid - Not Freely Given", I4730="Invalid - Not Specific", I4730="Invalid - Not Informed", I4730="Invalid - Ambiguous"), "Gap - Invalid Consent", "Compliant")))))</f>
        <v/>
      </c>
      <c r="O4730" s="7" t="n"/>
    </row>
    <row r="4731">
      <c r="A4731" s="7" t="n"/>
      <c r="B4731" s="7" t="n"/>
      <c r="C4731" s="7" t="n"/>
      <c r="D4731" s="7" t="n"/>
      <c r="E4731" s="7" t="n"/>
      <c r="F4731" s="7" t="n"/>
      <c r="G4731" s="7" t="n"/>
      <c r="H4731" s="7" t="n"/>
      <c r="I4731" s="7" t="n"/>
      <c r="J4731" s="7" t="n"/>
      <c r="K4731">
        <f>IF(D4731="Legitimate Interest (GDPR Art. 6(1)(f))", "Yes / Required (Sheet 3)", "")</f>
        <v/>
      </c>
      <c r="L4731" s="7" t="n"/>
      <c r="M4731" s="7" t="n"/>
      <c r="N4731">
        <f>IF(D4731="", "Gap - No Legal Basis", IF(AND(D4731="Consent (GDPR Art. 6(1)(a))", I4731="Not Captured"), "Gap - Invalid Consent", IF(AND(D4731="Legitimate Interest (GDPR Art. 6(1)(f))", L4731=""), "Gap - Missing LIA", IF(AND(G4731="Yes", H4731=""), "Gap - Missing Art. 9 Basis", IF(OR(I4731="Invalid - Not Freely Given", I4731="Invalid - Not Specific", I4731="Invalid - Not Informed", I4731="Invalid - Ambiguous"), "Gap - Invalid Consent", "Compliant")))))</f>
        <v/>
      </c>
      <c r="O4731" s="7" t="n"/>
    </row>
    <row r="4732">
      <c r="A4732" s="7" t="n"/>
      <c r="B4732" s="7" t="n"/>
      <c r="C4732" s="7" t="n"/>
      <c r="D4732" s="7" t="n"/>
      <c r="E4732" s="7" t="n"/>
      <c r="F4732" s="7" t="n"/>
      <c r="G4732" s="7" t="n"/>
      <c r="H4732" s="7" t="n"/>
      <c r="I4732" s="7" t="n"/>
      <c r="J4732" s="7" t="n"/>
      <c r="K4732">
        <f>IF(D4732="Legitimate Interest (GDPR Art. 6(1)(f))", "Yes / Required (Sheet 3)", "")</f>
        <v/>
      </c>
      <c r="L4732" s="7" t="n"/>
      <c r="M4732" s="7" t="n"/>
      <c r="N4732">
        <f>IF(D4732="", "Gap - No Legal Basis", IF(AND(D4732="Consent (GDPR Art. 6(1)(a))", I4732="Not Captured"), "Gap - Invalid Consent", IF(AND(D4732="Legitimate Interest (GDPR Art. 6(1)(f))", L4732=""), "Gap - Missing LIA", IF(AND(G4732="Yes", H4732=""), "Gap - Missing Art. 9 Basis", IF(OR(I4732="Invalid - Not Freely Given", I4732="Invalid - Not Specific", I4732="Invalid - Not Informed", I4732="Invalid - Ambiguous"), "Gap - Invalid Consent", "Compliant")))))</f>
        <v/>
      </c>
      <c r="O4732" s="7" t="n"/>
    </row>
    <row r="4733">
      <c r="A4733" s="7" t="n"/>
      <c r="B4733" s="7" t="n"/>
      <c r="C4733" s="7" t="n"/>
      <c r="D4733" s="7" t="n"/>
      <c r="E4733" s="7" t="n"/>
      <c r="F4733" s="7" t="n"/>
      <c r="G4733" s="7" t="n"/>
      <c r="H4733" s="7" t="n"/>
      <c r="I4733" s="7" t="n"/>
      <c r="J4733" s="7" t="n"/>
      <c r="K4733">
        <f>IF(D4733="Legitimate Interest (GDPR Art. 6(1)(f))", "Yes / Required (Sheet 3)", "")</f>
        <v/>
      </c>
      <c r="L4733" s="7" t="n"/>
      <c r="M4733" s="7" t="n"/>
      <c r="N4733">
        <f>IF(D4733="", "Gap - No Legal Basis", IF(AND(D4733="Consent (GDPR Art. 6(1)(a))", I4733="Not Captured"), "Gap - Invalid Consent", IF(AND(D4733="Legitimate Interest (GDPR Art. 6(1)(f))", L4733=""), "Gap - Missing LIA", IF(AND(G4733="Yes", H4733=""), "Gap - Missing Art. 9 Basis", IF(OR(I4733="Invalid - Not Freely Given", I4733="Invalid - Not Specific", I4733="Invalid - Not Informed", I4733="Invalid - Ambiguous"), "Gap - Invalid Consent", "Compliant")))))</f>
        <v/>
      </c>
      <c r="O4733" s="7" t="n"/>
    </row>
    <row r="4734">
      <c r="A4734" s="7" t="n"/>
      <c r="B4734" s="7" t="n"/>
      <c r="C4734" s="7" t="n"/>
      <c r="D4734" s="7" t="n"/>
      <c r="E4734" s="7" t="n"/>
      <c r="F4734" s="7" t="n"/>
      <c r="G4734" s="7" t="n"/>
      <c r="H4734" s="7" t="n"/>
      <c r="I4734" s="7" t="n"/>
      <c r="J4734" s="7" t="n"/>
      <c r="K4734">
        <f>IF(D4734="Legitimate Interest (GDPR Art. 6(1)(f))", "Yes / Required (Sheet 3)", "")</f>
        <v/>
      </c>
      <c r="L4734" s="7" t="n"/>
      <c r="M4734" s="7" t="n"/>
      <c r="N4734">
        <f>IF(D4734="", "Gap - No Legal Basis", IF(AND(D4734="Consent (GDPR Art. 6(1)(a))", I4734="Not Captured"), "Gap - Invalid Consent", IF(AND(D4734="Legitimate Interest (GDPR Art. 6(1)(f))", L4734=""), "Gap - Missing LIA", IF(AND(G4734="Yes", H4734=""), "Gap - Missing Art. 9 Basis", IF(OR(I4734="Invalid - Not Freely Given", I4734="Invalid - Not Specific", I4734="Invalid - Not Informed", I4734="Invalid - Ambiguous"), "Gap - Invalid Consent", "Compliant")))))</f>
        <v/>
      </c>
      <c r="O4734" s="7" t="n"/>
    </row>
    <row r="4735">
      <c r="A4735" s="7" t="n"/>
      <c r="B4735" s="7" t="n"/>
      <c r="C4735" s="7" t="n"/>
      <c r="D4735" s="7" t="n"/>
      <c r="E4735" s="7" t="n"/>
      <c r="F4735" s="7" t="n"/>
      <c r="G4735" s="7" t="n"/>
      <c r="H4735" s="7" t="n"/>
      <c r="I4735" s="7" t="n"/>
      <c r="J4735" s="7" t="n"/>
      <c r="K4735">
        <f>IF(D4735="Legitimate Interest (GDPR Art. 6(1)(f))", "Yes / Required (Sheet 3)", "")</f>
        <v/>
      </c>
      <c r="L4735" s="7" t="n"/>
      <c r="M4735" s="7" t="n"/>
      <c r="N4735">
        <f>IF(D4735="", "Gap - No Legal Basis", IF(AND(D4735="Consent (GDPR Art. 6(1)(a))", I4735="Not Captured"), "Gap - Invalid Consent", IF(AND(D4735="Legitimate Interest (GDPR Art. 6(1)(f))", L4735=""), "Gap - Missing LIA", IF(AND(G4735="Yes", H4735=""), "Gap - Missing Art. 9 Basis", IF(OR(I4735="Invalid - Not Freely Given", I4735="Invalid - Not Specific", I4735="Invalid - Not Informed", I4735="Invalid - Ambiguous"), "Gap - Invalid Consent", "Compliant")))))</f>
        <v/>
      </c>
      <c r="O4735" s="7" t="n"/>
    </row>
    <row r="4736">
      <c r="A4736" s="7" t="n"/>
      <c r="B4736" s="7" t="n"/>
      <c r="C4736" s="7" t="n"/>
      <c r="D4736" s="7" t="n"/>
      <c r="E4736" s="7" t="n"/>
      <c r="F4736" s="7" t="n"/>
      <c r="G4736" s="7" t="n"/>
      <c r="H4736" s="7" t="n"/>
      <c r="I4736" s="7" t="n"/>
      <c r="J4736" s="7" t="n"/>
      <c r="K4736">
        <f>IF(D4736="Legitimate Interest (GDPR Art. 6(1)(f))", "Yes / Required (Sheet 3)", "")</f>
        <v/>
      </c>
      <c r="L4736" s="7" t="n"/>
      <c r="M4736" s="7" t="n"/>
      <c r="N4736">
        <f>IF(D4736="", "Gap - No Legal Basis", IF(AND(D4736="Consent (GDPR Art. 6(1)(a))", I4736="Not Captured"), "Gap - Invalid Consent", IF(AND(D4736="Legitimate Interest (GDPR Art. 6(1)(f))", L4736=""), "Gap - Missing LIA", IF(AND(G4736="Yes", H4736=""), "Gap - Missing Art. 9 Basis", IF(OR(I4736="Invalid - Not Freely Given", I4736="Invalid - Not Specific", I4736="Invalid - Not Informed", I4736="Invalid - Ambiguous"), "Gap - Invalid Consent", "Compliant")))))</f>
        <v/>
      </c>
      <c r="O4736" s="7" t="n"/>
    </row>
    <row r="4737">
      <c r="A4737" s="7" t="n"/>
      <c r="B4737" s="7" t="n"/>
      <c r="C4737" s="7" t="n"/>
      <c r="D4737" s="7" t="n"/>
      <c r="E4737" s="7" t="n"/>
      <c r="F4737" s="7" t="n"/>
      <c r="G4737" s="7" t="n"/>
      <c r="H4737" s="7" t="n"/>
      <c r="I4737" s="7" t="n"/>
      <c r="J4737" s="7" t="n"/>
      <c r="K4737">
        <f>IF(D4737="Legitimate Interest (GDPR Art. 6(1)(f))", "Yes / Required (Sheet 3)", "")</f>
        <v/>
      </c>
      <c r="L4737" s="7" t="n"/>
      <c r="M4737" s="7" t="n"/>
      <c r="N4737">
        <f>IF(D4737="", "Gap - No Legal Basis", IF(AND(D4737="Consent (GDPR Art. 6(1)(a))", I4737="Not Captured"), "Gap - Invalid Consent", IF(AND(D4737="Legitimate Interest (GDPR Art. 6(1)(f))", L4737=""), "Gap - Missing LIA", IF(AND(G4737="Yes", H4737=""), "Gap - Missing Art. 9 Basis", IF(OR(I4737="Invalid - Not Freely Given", I4737="Invalid - Not Specific", I4737="Invalid - Not Informed", I4737="Invalid - Ambiguous"), "Gap - Invalid Consent", "Compliant")))))</f>
        <v/>
      </c>
      <c r="O4737" s="7" t="n"/>
    </row>
    <row r="4738">
      <c r="A4738" s="7" t="n"/>
      <c r="B4738" s="7" t="n"/>
      <c r="C4738" s="7" t="n"/>
      <c r="D4738" s="7" t="n"/>
      <c r="E4738" s="7" t="n"/>
      <c r="F4738" s="7" t="n"/>
      <c r="G4738" s="7" t="n"/>
      <c r="H4738" s="7" t="n"/>
      <c r="I4738" s="7" t="n"/>
      <c r="J4738" s="7" t="n"/>
      <c r="K4738">
        <f>IF(D4738="Legitimate Interest (GDPR Art. 6(1)(f))", "Yes / Required (Sheet 3)", "")</f>
        <v/>
      </c>
      <c r="L4738" s="7" t="n"/>
      <c r="M4738" s="7" t="n"/>
      <c r="N4738">
        <f>IF(D4738="", "Gap - No Legal Basis", IF(AND(D4738="Consent (GDPR Art. 6(1)(a))", I4738="Not Captured"), "Gap - Invalid Consent", IF(AND(D4738="Legitimate Interest (GDPR Art. 6(1)(f))", L4738=""), "Gap - Missing LIA", IF(AND(G4738="Yes", H4738=""), "Gap - Missing Art. 9 Basis", IF(OR(I4738="Invalid - Not Freely Given", I4738="Invalid - Not Specific", I4738="Invalid - Not Informed", I4738="Invalid - Ambiguous"), "Gap - Invalid Consent", "Compliant")))))</f>
        <v/>
      </c>
      <c r="O4738" s="7" t="n"/>
    </row>
    <row r="4739">
      <c r="A4739" s="7" t="n"/>
      <c r="B4739" s="7" t="n"/>
      <c r="C4739" s="7" t="n"/>
      <c r="D4739" s="7" t="n"/>
      <c r="E4739" s="7" t="n"/>
      <c r="F4739" s="7" t="n"/>
      <c r="G4739" s="7" t="n"/>
      <c r="H4739" s="7" t="n"/>
      <c r="I4739" s="7" t="n"/>
      <c r="J4739" s="7" t="n"/>
      <c r="K4739">
        <f>IF(D4739="Legitimate Interest (GDPR Art. 6(1)(f))", "Yes / Required (Sheet 3)", "")</f>
        <v/>
      </c>
      <c r="L4739" s="7" t="n"/>
      <c r="M4739" s="7" t="n"/>
      <c r="N4739">
        <f>IF(D4739="", "Gap - No Legal Basis", IF(AND(D4739="Consent (GDPR Art. 6(1)(a))", I4739="Not Captured"), "Gap - Invalid Consent", IF(AND(D4739="Legitimate Interest (GDPR Art. 6(1)(f))", L4739=""), "Gap - Missing LIA", IF(AND(G4739="Yes", H4739=""), "Gap - Missing Art. 9 Basis", IF(OR(I4739="Invalid - Not Freely Given", I4739="Invalid - Not Specific", I4739="Invalid - Not Informed", I4739="Invalid - Ambiguous"), "Gap - Invalid Consent", "Compliant")))))</f>
        <v/>
      </c>
      <c r="O4739" s="7" t="n"/>
    </row>
    <row r="4740">
      <c r="A4740" s="7" t="n"/>
      <c r="B4740" s="7" t="n"/>
      <c r="C4740" s="7" t="n"/>
      <c r="D4740" s="7" t="n"/>
      <c r="E4740" s="7" t="n"/>
      <c r="F4740" s="7" t="n"/>
      <c r="G4740" s="7" t="n"/>
      <c r="H4740" s="7" t="n"/>
      <c r="I4740" s="7" t="n"/>
      <c r="J4740" s="7" t="n"/>
      <c r="K4740">
        <f>IF(D4740="Legitimate Interest (GDPR Art. 6(1)(f))", "Yes / Required (Sheet 3)", "")</f>
        <v/>
      </c>
      <c r="L4740" s="7" t="n"/>
      <c r="M4740" s="7" t="n"/>
      <c r="N4740">
        <f>IF(D4740="", "Gap - No Legal Basis", IF(AND(D4740="Consent (GDPR Art. 6(1)(a))", I4740="Not Captured"), "Gap - Invalid Consent", IF(AND(D4740="Legitimate Interest (GDPR Art. 6(1)(f))", L4740=""), "Gap - Missing LIA", IF(AND(G4740="Yes", H4740=""), "Gap - Missing Art. 9 Basis", IF(OR(I4740="Invalid - Not Freely Given", I4740="Invalid - Not Specific", I4740="Invalid - Not Informed", I4740="Invalid - Ambiguous"), "Gap - Invalid Consent", "Compliant")))))</f>
        <v/>
      </c>
      <c r="O4740" s="7" t="n"/>
    </row>
    <row r="4741">
      <c r="A4741" s="7" t="n"/>
      <c r="B4741" s="7" t="n"/>
      <c r="C4741" s="7" t="n"/>
      <c r="D4741" s="7" t="n"/>
      <c r="E4741" s="7" t="n"/>
      <c r="F4741" s="7" t="n"/>
      <c r="G4741" s="7" t="n"/>
      <c r="H4741" s="7" t="n"/>
      <c r="I4741" s="7" t="n"/>
      <c r="J4741" s="7" t="n"/>
      <c r="K4741">
        <f>IF(D4741="Legitimate Interest (GDPR Art. 6(1)(f))", "Yes / Required (Sheet 3)", "")</f>
        <v/>
      </c>
      <c r="L4741" s="7" t="n"/>
      <c r="M4741" s="7" t="n"/>
      <c r="N4741">
        <f>IF(D4741="", "Gap - No Legal Basis", IF(AND(D4741="Consent (GDPR Art. 6(1)(a))", I4741="Not Captured"), "Gap - Invalid Consent", IF(AND(D4741="Legitimate Interest (GDPR Art. 6(1)(f))", L4741=""), "Gap - Missing LIA", IF(AND(G4741="Yes", H4741=""), "Gap - Missing Art. 9 Basis", IF(OR(I4741="Invalid - Not Freely Given", I4741="Invalid - Not Specific", I4741="Invalid - Not Informed", I4741="Invalid - Ambiguous"), "Gap - Invalid Consent", "Compliant")))))</f>
        <v/>
      </c>
      <c r="O4741" s="7" t="n"/>
    </row>
    <row r="4742">
      <c r="A4742" s="7" t="n"/>
      <c r="B4742" s="7" t="n"/>
      <c r="C4742" s="7" t="n"/>
      <c r="D4742" s="7" t="n"/>
      <c r="E4742" s="7" t="n"/>
      <c r="F4742" s="7" t="n"/>
      <c r="G4742" s="7" t="n"/>
      <c r="H4742" s="7" t="n"/>
      <c r="I4742" s="7" t="n"/>
      <c r="J4742" s="7" t="n"/>
      <c r="K4742">
        <f>IF(D4742="Legitimate Interest (GDPR Art. 6(1)(f))", "Yes / Required (Sheet 3)", "")</f>
        <v/>
      </c>
      <c r="L4742" s="7" t="n"/>
      <c r="M4742" s="7" t="n"/>
      <c r="N4742">
        <f>IF(D4742="", "Gap - No Legal Basis", IF(AND(D4742="Consent (GDPR Art. 6(1)(a))", I4742="Not Captured"), "Gap - Invalid Consent", IF(AND(D4742="Legitimate Interest (GDPR Art. 6(1)(f))", L4742=""), "Gap - Missing LIA", IF(AND(G4742="Yes", H4742=""), "Gap - Missing Art. 9 Basis", IF(OR(I4742="Invalid - Not Freely Given", I4742="Invalid - Not Specific", I4742="Invalid - Not Informed", I4742="Invalid - Ambiguous"), "Gap - Invalid Consent", "Compliant")))))</f>
        <v/>
      </c>
      <c r="O4742" s="7" t="n"/>
    </row>
    <row r="4743">
      <c r="A4743" s="7" t="n"/>
      <c r="B4743" s="7" t="n"/>
      <c r="C4743" s="7" t="n"/>
      <c r="D4743" s="7" t="n"/>
      <c r="E4743" s="7" t="n"/>
      <c r="F4743" s="7" t="n"/>
      <c r="G4743" s="7" t="n"/>
      <c r="H4743" s="7" t="n"/>
      <c r="I4743" s="7" t="n"/>
      <c r="J4743" s="7" t="n"/>
      <c r="K4743">
        <f>IF(D4743="Legitimate Interest (GDPR Art. 6(1)(f))", "Yes / Required (Sheet 3)", "")</f>
        <v/>
      </c>
      <c r="L4743" s="7" t="n"/>
      <c r="M4743" s="7" t="n"/>
      <c r="N4743">
        <f>IF(D4743="", "Gap - No Legal Basis", IF(AND(D4743="Consent (GDPR Art. 6(1)(a))", I4743="Not Captured"), "Gap - Invalid Consent", IF(AND(D4743="Legitimate Interest (GDPR Art. 6(1)(f))", L4743=""), "Gap - Missing LIA", IF(AND(G4743="Yes", H4743=""), "Gap - Missing Art. 9 Basis", IF(OR(I4743="Invalid - Not Freely Given", I4743="Invalid - Not Specific", I4743="Invalid - Not Informed", I4743="Invalid - Ambiguous"), "Gap - Invalid Consent", "Compliant")))))</f>
        <v/>
      </c>
      <c r="O4743" s="7" t="n"/>
    </row>
    <row r="4744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7" t="n"/>
      <c r="J4744" s="7" t="n"/>
      <c r="K4744">
        <f>IF(D4744="Legitimate Interest (GDPR Art. 6(1)(f))", "Yes / Required (Sheet 3)", "")</f>
        <v/>
      </c>
      <c r="L4744" s="7" t="n"/>
      <c r="M4744" s="7" t="n"/>
      <c r="N4744">
        <f>IF(D4744="", "Gap - No Legal Basis", IF(AND(D4744="Consent (GDPR Art. 6(1)(a))", I4744="Not Captured"), "Gap - Invalid Consent", IF(AND(D4744="Legitimate Interest (GDPR Art. 6(1)(f))", L4744=""), "Gap - Missing LIA", IF(AND(G4744="Yes", H4744=""), "Gap - Missing Art. 9 Basis", IF(OR(I4744="Invalid - Not Freely Given", I4744="Invalid - Not Specific", I4744="Invalid - Not Informed", I4744="Invalid - Ambiguous"), "Gap - Invalid Consent", "Compliant")))))</f>
        <v/>
      </c>
      <c r="O4744" s="7" t="n"/>
    </row>
    <row r="4745">
      <c r="A4745" s="7" t="n"/>
      <c r="B4745" s="7" t="n"/>
      <c r="C4745" s="7" t="n"/>
      <c r="D4745" s="7" t="n"/>
      <c r="E4745" s="7" t="n"/>
      <c r="F4745" s="7" t="n"/>
      <c r="G4745" s="7" t="n"/>
      <c r="H4745" s="7" t="n"/>
      <c r="I4745" s="7" t="n"/>
      <c r="J4745" s="7" t="n"/>
      <c r="K4745">
        <f>IF(D4745="Legitimate Interest (GDPR Art. 6(1)(f))", "Yes / Required (Sheet 3)", "")</f>
        <v/>
      </c>
      <c r="L4745" s="7" t="n"/>
      <c r="M4745" s="7" t="n"/>
      <c r="N4745">
        <f>IF(D4745="", "Gap - No Legal Basis", IF(AND(D4745="Consent (GDPR Art. 6(1)(a))", I4745="Not Captured"), "Gap - Invalid Consent", IF(AND(D4745="Legitimate Interest (GDPR Art. 6(1)(f))", L4745=""), "Gap - Missing LIA", IF(AND(G4745="Yes", H4745=""), "Gap - Missing Art. 9 Basis", IF(OR(I4745="Invalid - Not Freely Given", I4745="Invalid - Not Specific", I4745="Invalid - Not Informed", I4745="Invalid - Ambiguous"), "Gap - Invalid Consent", "Compliant")))))</f>
        <v/>
      </c>
      <c r="O4745" s="7" t="n"/>
    </row>
    <row r="4746">
      <c r="A4746" s="7" t="n"/>
      <c r="B4746" s="7" t="n"/>
      <c r="C4746" s="7" t="n"/>
      <c r="D4746" s="7" t="n"/>
      <c r="E4746" s="7" t="n"/>
      <c r="F4746" s="7" t="n"/>
      <c r="G4746" s="7" t="n"/>
      <c r="H4746" s="7" t="n"/>
      <c r="I4746" s="7" t="n"/>
      <c r="J4746" s="7" t="n"/>
      <c r="K4746">
        <f>IF(D4746="Legitimate Interest (GDPR Art. 6(1)(f))", "Yes / Required (Sheet 3)", "")</f>
        <v/>
      </c>
      <c r="L4746" s="7" t="n"/>
      <c r="M4746" s="7" t="n"/>
      <c r="N4746">
        <f>IF(D4746="", "Gap - No Legal Basis", IF(AND(D4746="Consent (GDPR Art. 6(1)(a))", I4746="Not Captured"), "Gap - Invalid Consent", IF(AND(D4746="Legitimate Interest (GDPR Art. 6(1)(f))", L4746=""), "Gap - Missing LIA", IF(AND(G4746="Yes", H4746=""), "Gap - Missing Art. 9 Basis", IF(OR(I4746="Invalid - Not Freely Given", I4746="Invalid - Not Specific", I4746="Invalid - Not Informed", I4746="Invalid - Ambiguous"), "Gap - Invalid Consent", "Compliant")))))</f>
        <v/>
      </c>
      <c r="O4746" s="7" t="n"/>
    </row>
    <row r="4747">
      <c r="A4747" s="7" t="n"/>
      <c r="B4747" s="7" t="n"/>
      <c r="C4747" s="7" t="n"/>
      <c r="D4747" s="7" t="n"/>
      <c r="E4747" s="7" t="n"/>
      <c r="F4747" s="7" t="n"/>
      <c r="G4747" s="7" t="n"/>
      <c r="H4747" s="7" t="n"/>
      <c r="I4747" s="7" t="n"/>
      <c r="J4747" s="7" t="n"/>
      <c r="K4747">
        <f>IF(D4747="Legitimate Interest (GDPR Art. 6(1)(f))", "Yes / Required (Sheet 3)", "")</f>
        <v/>
      </c>
      <c r="L4747" s="7" t="n"/>
      <c r="M4747" s="7" t="n"/>
      <c r="N4747">
        <f>IF(D4747="", "Gap - No Legal Basis", IF(AND(D4747="Consent (GDPR Art. 6(1)(a))", I4747="Not Captured"), "Gap - Invalid Consent", IF(AND(D4747="Legitimate Interest (GDPR Art. 6(1)(f))", L4747=""), "Gap - Missing LIA", IF(AND(G4747="Yes", H4747=""), "Gap - Missing Art. 9 Basis", IF(OR(I4747="Invalid - Not Freely Given", I4747="Invalid - Not Specific", I4747="Invalid - Not Informed", I4747="Invalid - Ambiguous"), "Gap - Invalid Consent", "Compliant")))))</f>
        <v/>
      </c>
      <c r="O4747" s="7" t="n"/>
    </row>
    <row r="4748">
      <c r="A4748" s="7" t="n"/>
      <c r="B4748" s="7" t="n"/>
      <c r="C4748" s="7" t="n"/>
      <c r="D4748" s="7" t="n"/>
      <c r="E4748" s="7" t="n"/>
      <c r="F4748" s="7" t="n"/>
      <c r="G4748" s="7" t="n"/>
      <c r="H4748" s="7" t="n"/>
      <c r="I4748" s="7" t="n"/>
      <c r="J4748" s="7" t="n"/>
      <c r="K4748">
        <f>IF(D4748="Legitimate Interest (GDPR Art. 6(1)(f))", "Yes / Required (Sheet 3)", "")</f>
        <v/>
      </c>
      <c r="L4748" s="7" t="n"/>
      <c r="M4748" s="7" t="n"/>
      <c r="N4748">
        <f>IF(D4748="", "Gap - No Legal Basis", IF(AND(D4748="Consent (GDPR Art. 6(1)(a))", I4748="Not Captured"), "Gap - Invalid Consent", IF(AND(D4748="Legitimate Interest (GDPR Art. 6(1)(f))", L4748=""), "Gap - Missing LIA", IF(AND(G4748="Yes", H4748=""), "Gap - Missing Art. 9 Basis", IF(OR(I4748="Invalid - Not Freely Given", I4748="Invalid - Not Specific", I4748="Invalid - Not Informed", I4748="Invalid - Ambiguous"), "Gap - Invalid Consent", "Compliant")))))</f>
        <v/>
      </c>
      <c r="O4748" s="7" t="n"/>
    </row>
    <row r="4749">
      <c r="A4749" s="7" t="n"/>
      <c r="B4749" s="7" t="n"/>
      <c r="C4749" s="7" t="n"/>
      <c r="D4749" s="7" t="n"/>
      <c r="E4749" s="7" t="n"/>
      <c r="F4749" s="7" t="n"/>
      <c r="G4749" s="7" t="n"/>
      <c r="H4749" s="7" t="n"/>
      <c r="I4749" s="7" t="n"/>
      <c r="J4749" s="7" t="n"/>
      <c r="K4749">
        <f>IF(D4749="Legitimate Interest (GDPR Art. 6(1)(f))", "Yes / Required (Sheet 3)", "")</f>
        <v/>
      </c>
      <c r="L4749" s="7" t="n"/>
      <c r="M4749" s="7" t="n"/>
      <c r="N4749">
        <f>IF(D4749="", "Gap - No Legal Basis", IF(AND(D4749="Consent (GDPR Art. 6(1)(a))", I4749="Not Captured"), "Gap - Invalid Consent", IF(AND(D4749="Legitimate Interest (GDPR Art. 6(1)(f))", L4749=""), "Gap - Missing LIA", IF(AND(G4749="Yes", H4749=""), "Gap - Missing Art. 9 Basis", IF(OR(I4749="Invalid - Not Freely Given", I4749="Invalid - Not Specific", I4749="Invalid - Not Informed", I4749="Invalid - Ambiguous"), "Gap - Invalid Consent", "Compliant")))))</f>
        <v/>
      </c>
      <c r="O4749" s="7" t="n"/>
    </row>
    <row r="4750">
      <c r="A4750" s="7" t="n"/>
      <c r="B4750" s="7" t="n"/>
      <c r="C4750" s="7" t="n"/>
      <c r="D4750" s="7" t="n"/>
      <c r="E4750" s="7" t="n"/>
      <c r="F4750" s="7" t="n"/>
      <c r="G4750" s="7" t="n"/>
      <c r="H4750" s="7" t="n"/>
      <c r="I4750" s="7" t="n"/>
      <c r="J4750" s="7" t="n"/>
      <c r="K4750">
        <f>IF(D4750="Legitimate Interest (GDPR Art. 6(1)(f))", "Yes / Required (Sheet 3)", "")</f>
        <v/>
      </c>
      <c r="L4750" s="7" t="n"/>
      <c r="M4750" s="7" t="n"/>
      <c r="N4750">
        <f>IF(D4750="", "Gap - No Legal Basis", IF(AND(D4750="Consent (GDPR Art. 6(1)(a))", I4750="Not Captured"), "Gap - Invalid Consent", IF(AND(D4750="Legitimate Interest (GDPR Art. 6(1)(f))", L4750=""), "Gap - Missing LIA", IF(AND(G4750="Yes", H4750=""), "Gap - Missing Art. 9 Basis", IF(OR(I4750="Invalid - Not Freely Given", I4750="Invalid - Not Specific", I4750="Invalid - Not Informed", I4750="Invalid - Ambiguous"), "Gap - Invalid Consent", "Compliant")))))</f>
        <v/>
      </c>
      <c r="O4750" s="7" t="n"/>
    </row>
    <row r="4751">
      <c r="A4751" s="7" t="n"/>
      <c r="B4751" s="7" t="n"/>
      <c r="C4751" s="7" t="n"/>
      <c r="D4751" s="7" t="n"/>
      <c r="E4751" s="7" t="n"/>
      <c r="F4751" s="7" t="n"/>
      <c r="G4751" s="7" t="n"/>
      <c r="H4751" s="7" t="n"/>
      <c r="I4751" s="7" t="n"/>
      <c r="J4751" s="7" t="n"/>
      <c r="K4751">
        <f>IF(D4751="Legitimate Interest (GDPR Art. 6(1)(f))", "Yes / Required (Sheet 3)", "")</f>
        <v/>
      </c>
      <c r="L4751" s="7" t="n"/>
      <c r="M4751" s="7" t="n"/>
      <c r="N4751">
        <f>IF(D4751="", "Gap - No Legal Basis", IF(AND(D4751="Consent (GDPR Art. 6(1)(a))", I4751="Not Captured"), "Gap - Invalid Consent", IF(AND(D4751="Legitimate Interest (GDPR Art. 6(1)(f))", L4751=""), "Gap - Missing LIA", IF(AND(G4751="Yes", H4751=""), "Gap - Missing Art. 9 Basis", IF(OR(I4751="Invalid - Not Freely Given", I4751="Invalid - Not Specific", I4751="Invalid - Not Informed", I4751="Invalid - Ambiguous"), "Gap - Invalid Consent", "Compliant")))))</f>
        <v/>
      </c>
      <c r="O4751" s="7" t="n"/>
    </row>
    <row r="4752">
      <c r="A4752" s="7" t="n"/>
      <c r="B4752" s="7" t="n"/>
      <c r="C4752" s="7" t="n"/>
      <c r="D4752" s="7" t="n"/>
      <c r="E4752" s="7" t="n"/>
      <c r="F4752" s="7" t="n"/>
      <c r="G4752" s="7" t="n"/>
      <c r="H4752" s="7" t="n"/>
      <c r="I4752" s="7" t="n"/>
      <c r="J4752" s="7" t="n"/>
      <c r="K4752">
        <f>IF(D4752="Legitimate Interest (GDPR Art. 6(1)(f))", "Yes / Required (Sheet 3)", "")</f>
        <v/>
      </c>
      <c r="L4752" s="7" t="n"/>
      <c r="M4752" s="7" t="n"/>
      <c r="N4752">
        <f>IF(D4752="", "Gap - No Legal Basis", IF(AND(D4752="Consent (GDPR Art. 6(1)(a))", I4752="Not Captured"), "Gap - Invalid Consent", IF(AND(D4752="Legitimate Interest (GDPR Art. 6(1)(f))", L4752=""), "Gap - Missing LIA", IF(AND(G4752="Yes", H4752=""), "Gap - Missing Art. 9 Basis", IF(OR(I4752="Invalid - Not Freely Given", I4752="Invalid - Not Specific", I4752="Invalid - Not Informed", I4752="Invalid - Ambiguous"), "Gap - Invalid Consent", "Compliant")))))</f>
        <v/>
      </c>
      <c r="O4752" s="7" t="n"/>
    </row>
    <row r="4753">
      <c r="A4753" s="7" t="n"/>
      <c r="B4753" s="7" t="n"/>
      <c r="C4753" s="7" t="n"/>
      <c r="D4753" s="7" t="n"/>
      <c r="E4753" s="7" t="n"/>
      <c r="F4753" s="7" t="n"/>
      <c r="G4753" s="7" t="n"/>
      <c r="H4753" s="7" t="n"/>
      <c r="I4753" s="7" t="n"/>
      <c r="J4753" s="7" t="n"/>
      <c r="K4753">
        <f>IF(D4753="Legitimate Interest (GDPR Art. 6(1)(f))", "Yes / Required (Sheet 3)", "")</f>
        <v/>
      </c>
      <c r="L4753" s="7" t="n"/>
      <c r="M4753" s="7" t="n"/>
      <c r="N4753">
        <f>IF(D4753="", "Gap - No Legal Basis", IF(AND(D4753="Consent (GDPR Art. 6(1)(a))", I4753="Not Captured"), "Gap - Invalid Consent", IF(AND(D4753="Legitimate Interest (GDPR Art. 6(1)(f))", L4753=""), "Gap - Missing LIA", IF(AND(G4753="Yes", H4753=""), "Gap - Missing Art. 9 Basis", IF(OR(I4753="Invalid - Not Freely Given", I4753="Invalid - Not Specific", I4753="Invalid - Not Informed", I4753="Invalid - Ambiguous"), "Gap - Invalid Consent", "Compliant")))))</f>
        <v/>
      </c>
      <c r="O4753" s="7" t="n"/>
    </row>
    <row r="4754">
      <c r="A4754" s="7" t="n"/>
      <c r="B4754" s="7" t="n"/>
      <c r="C4754" s="7" t="n"/>
      <c r="D4754" s="7" t="n"/>
      <c r="E4754" s="7" t="n"/>
      <c r="F4754" s="7" t="n"/>
      <c r="G4754" s="7" t="n"/>
      <c r="H4754" s="7" t="n"/>
      <c r="I4754" s="7" t="n"/>
      <c r="J4754" s="7" t="n"/>
      <c r="K4754">
        <f>IF(D4754="Legitimate Interest (GDPR Art. 6(1)(f))", "Yes / Required (Sheet 3)", "")</f>
        <v/>
      </c>
      <c r="L4754" s="7" t="n"/>
      <c r="M4754" s="7" t="n"/>
      <c r="N4754">
        <f>IF(D4754="", "Gap - No Legal Basis", IF(AND(D4754="Consent (GDPR Art. 6(1)(a))", I4754="Not Captured"), "Gap - Invalid Consent", IF(AND(D4754="Legitimate Interest (GDPR Art. 6(1)(f))", L4754=""), "Gap - Missing LIA", IF(AND(G4754="Yes", H4754=""), "Gap - Missing Art. 9 Basis", IF(OR(I4754="Invalid - Not Freely Given", I4754="Invalid - Not Specific", I4754="Invalid - Not Informed", I4754="Invalid - Ambiguous"), "Gap - Invalid Consent", "Compliant")))))</f>
        <v/>
      </c>
      <c r="O4754" s="7" t="n"/>
    </row>
    <row r="4755">
      <c r="A4755" s="7" t="n"/>
      <c r="B4755" s="7" t="n"/>
      <c r="C4755" s="7" t="n"/>
      <c r="D4755" s="7" t="n"/>
      <c r="E4755" s="7" t="n"/>
      <c r="F4755" s="7" t="n"/>
      <c r="G4755" s="7" t="n"/>
      <c r="H4755" s="7" t="n"/>
      <c r="I4755" s="7" t="n"/>
      <c r="J4755" s="7" t="n"/>
      <c r="K4755">
        <f>IF(D4755="Legitimate Interest (GDPR Art. 6(1)(f))", "Yes / Required (Sheet 3)", "")</f>
        <v/>
      </c>
      <c r="L4755" s="7" t="n"/>
      <c r="M4755" s="7" t="n"/>
      <c r="N4755">
        <f>IF(D4755="", "Gap - No Legal Basis", IF(AND(D4755="Consent (GDPR Art. 6(1)(a))", I4755="Not Captured"), "Gap - Invalid Consent", IF(AND(D4755="Legitimate Interest (GDPR Art. 6(1)(f))", L4755=""), "Gap - Missing LIA", IF(AND(G4755="Yes", H4755=""), "Gap - Missing Art. 9 Basis", IF(OR(I4755="Invalid - Not Freely Given", I4755="Invalid - Not Specific", I4755="Invalid - Not Informed", I4755="Invalid - Ambiguous"), "Gap - Invalid Consent", "Compliant")))))</f>
        <v/>
      </c>
      <c r="O4755" s="7" t="n"/>
    </row>
    <row r="4756">
      <c r="A4756" s="7" t="n"/>
      <c r="B4756" s="7" t="n"/>
      <c r="C4756" s="7" t="n"/>
      <c r="D4756" s="7" t="n"/>
      <c r="E4756" s="7" t="n"/>
      <c r="F4756" s="7" t="n"/>
      <c r="G4756" s="7" t="n"/>
      <c r="H4756" s="7" t="n"/>
      <c r="I4756" s="7" t="n"/>
      <c r="J4756" s="7" t="n"/>
      <c r="K4756">
        <f>IF(D4756="Legitimate Interest (GDPR Art. 6(1)(f))", "Yes / Required (Sheet 3)", "")</f>
        <v/>
      </c>
      <c r="L4756" s="7" t="n"/>
      <c r="M4756" s="7" t="n"/>
      <c r="N4756">
        <f>IF(D4756="", "Gap - No Legal Basis", IF(AND(D4756="Consent (GDPR Art. 6(1)(a))", I4756="Not Captured"), "Gap - Invalid Consent", IF(AND(D4756="Legitimate Interest (GDPR Art. 6(1)(f))", L4756=""), "Gap - Missing LIA", IF(AND(G4756="Yes", H4756=""), "Gap - Missing Art. 9 Basis", IF(OR(I4756="Invalid - Not Freely Given", I4756="Invalid - Not Specific", I4756="Invalid - Not Informed", I4756="Invalid - Ambiguous"), "Gap - Invalid Consent", "Compliant")))))</f>
        <v/>
      </c>
      <c r="O4756" s="7" t="n"/>
    </row>
    <row r="4757">
      <c r="A4757" s="7" t="n"/>
      <c r="B4757" s="7" t="n"/>
      <c r="C4757" s="7" t="n"/>
      <c r="D4757" s="7" t="n"/>
      <c r="E4757" s="7" t="n"/>
      <c r="F4757" s="7" t="n"/>
      <c r="G4757" s="7" t="n"/>
      <c r="H4757" s="7" t="n"/>
      <c r="I4757" s="7" t="n"/>
      <c r="J4757" s="7" t="n"/>
      <c r="K4757">
        <f>IF(D4757="Legitimate Interest (GDPR Art. 6(1)(f))", "Yes / Required (Sheet 3)", "")</f>
        <v/>
      </c>
      <c r="L4757" s="7" t="n"/>
      <c r="M4757" s="7" t="n"/>
      <c r="N4757">
        <f>IF(D4757="", "Gap - No Legal Basis", IF(AND(D4757="Consent (GDPR Art. 6(1)(a))", I4757="Not Captured"), "Gap - Invalid Consent", IF(AND(D4757="Legitimate Interest (GDPR Art. 6(1)(f))", L4757=""), "Gap - Missing LIA", IF(AND(G4757="Yes", H4757=""), "Gap - Missing Art. 9 Basis", IF(OR(I4757="Invalid - Not Freely Given", I4757="Invalid - Not Specific", I4757="Invalid - Not Informed", I4757="Invalid - Ambiguous"), "Gap - Invalid Consent", "Compliant")))))</f>
        <v/>
      </c>
      <c r="O4757" s="7" t="n"/>
    </row>
    <row r="4758">
      <c r="A4758" s="7" t="n"/>
      <c r="B4758" s="7" t="n"/>
      <c r="C4758" s="7" t="n"/>
      <c r="D4758" s="7" t="n"/>
      <c r="E4758" s="7" t="n"/>
      <c r="F4758" s="7" t="n"/>
      <c r="G4758" s="7" t="n"/>
      <c r="H4758" s="7" t="n"/>
      <c r="I4758" s="7" t="n"/>
      <c r="J4758" s="7" t="n"/>
      <c r="K4758">
        <f>IF(D4758="Legitimate Interest (GDPR Art. 6(1)(f))", "Yes / Required (Sheet 3)", "")</f>
        <v/>
      </c>
      <c r="L4758" s="7" t="n"/>
      <c r="M4758" s="7" t="n"/>
      <c r="N4758">
        <f>IF(D4758="", "Gap - No Legal Basis", IF(AND(D4758="Consent (GDPR Art. 6(1)(a))", I4758="Not Captured"), "Gap - Invalid Consent", IF(AND(D4758="Legitimate Interest (GDPR Art. 6(1)(f))", L4758=""), "Gap - Missing LIA", IF(AND(G4758="Yes", H4758=""), "Gap - Missing Art. 9 Basis", IF(OR(I4758="Invalid - Not Freely Given", I4758="Invalid - Not Specific", I4758="Invalid - Not Informed", I4758="Invalid - Ambiguous"), "Gap - Invalid Consent", "Compliant")))))</f>
        <v/>
      </c>
      <c r="O4758" s="7" t="n"/>
    </row>
    <row r="4759">
      <c r="A4759" s="7" t="n"/>
      <c r="B4759" s="7" t="n"/>
      <c r="C4759" s="7" t="n"/>
      <c r="D4759" s="7" t="n"/>
      <c r="E4759" s="7" t="n"/>
      <c r="F4759" s="7" t="n"/>
      <c r="G4759" s="7" t="n"/>
      <c r="H4759" s="7" t="n"/>
      <c r="I4759" s="7" t="n"/>
      <c r="J4759" s="7" t="n"/>
      <c r="K4759">
        <f>IF(D4759="Legitimate Interest (GDPR Art. 6(1)(f))", "Yes / Required (Sheet 3)", "")</f>
        <v/>
      </c>
      <c r="L4759" s="7" t="n"/>
      <c r="M4759" s="7" t="n"/>
      <c r="N4759">
        <f>IF(D4759="", "Gap - No Legal Basis", IF(AND(D4759="Consent (GDPR Art. 6(1)(a))", I4759="Not Captured"), "Gap - Invalid Consent", IF(AND(D4759="Legitimate Interest (GDPR Art. 6(1)(f))", L4759=""), "Gap - Missing LIA", IF(AND(G4759="Yes", H4759=""), "Gap - Missing Art. 9 Basis", IF(OR(I4759="Invalid - Not Freely Given", I4759="Invalid - Not Specific", I4759="Invalid - Not Informed", I4759="Invalid - Ambiguous"), "Gap - Invalid Consent", "Compliant")))))</f>
        <v/>
      </c>
      <c r="O4759" s="7" t="n"/>
    </row>
    <row r="4760">
      <c r="A4760" s="7" t="n"/>
      <c r="B4760" s="7" t="n"/>
      <c r="C4760" s="7" t="n"/>
      <c r="D4760" s="7" t="n"/>
      <c r="E4760" s="7" t="n"/>
      <c r="F4760" s="7" t="n"/>
      <c r="G4760" s="7" t="n"/>
      <c r="H4760" s="7" t="n"/>
      <c r="I4760" s="7" t="n"/>
      <c r="J4760" s="7" t="n"/>
      <c r="K4760">
        <f>IF(D4760="Legitimate Interest (GDPR Art. 6(1)(f))", "Yes / Required (Sheet 3)", "")</f>
        <v/>
      </c>
      <c r="L4760" s="7" t="n"/>
      <c r="M4760" s="7" t="n"/>
      <c r="N4760">
        <f>IF(D4760="", "Gap - No Legal Basis", IF(AND(D4760="Consent (GDPR Art. 6(1)(a))", I4760="Not Captured"), "Gap - Invalid Consent", IF(AND(D4760="Legitimate Interest (GDPR Art. 6(1)(f))", L4760=""), "Gap - Missing LIA", IF(AND(G4760="Yes", H4760=""), "Gap - Missing Art. 9 Basis", IF(OR(I4760="Invalid - Not Freely Given", I4760="Invalid - Not Specific", I4760="Invalid - Not Informed", I4760="Invalid - Ambiguous"), "Gap - Invalid Consent", "Compliant")))))</f>
        <v/>
      </c>
      <c r="O4760" s="7" t="n"/>
    </row>
    <row r="4761">
      <c r="A4761" s="7" t="n"/>
      <c r="B4761" s="7" t="n"/>
      <c r="C4761" s="7" t="n"/>
      <c r="D4761" s="7" t="n"/>
      <c r="E4761" s="7" t="n"/>
      <c r="F4761" s="7" t="n"/>
      <c r="G4761" s="7" t="n"/>
      <c r="H4761" s="7" t="n"/>
      <c r="I4761" s="7" t="n"/>
      <c r="J4761" s="7" t="n"/>
      <c r="K4761">
        <f>IF(D4761="Legitimate Interest (GDPR Art. 6(1)(f))", "Yes / Required (Sheet 3)", "")</f>
        <v/>
      </c>
      <c r="L4761" s="7" t="n"/>
      <c r="M4761" s="7" t="n"/>
      <c r="N4761">
        <f>IF(D4761="", "Gap - No Legal Basis", IF(AND(D4761="Consent (GDPR Art. 6(1)(a))", I4761="Not Captured"), "Gap - Invalid Consent", IF(AND(D4761="Legitimate Interest (GDPR Art. 6(1)(f))", L4761=""), "Gap - Missing LIA", IF(AND(G4761="Yes", H4761=""), "Gap - Missing Art. 9 Basis", IF(OR(I4761="Invalid - Not Freely Given", I4761="Invalid - Not Specific", I4761="Invalid - Not Informed", I4761="Invalid - Ambiguous"), "Gap - Invalid Consent", "Compliant")))))</f>
        <v/>
      </c>
      <c r="O4761" s="7" t="n"/>
    </row>
    <row r="4762">
      <c r="A4762" s="7" t="n"/>
      <c r="B4762" s="7" t="n"/>
      <c r="C4762" s="7" t="n"/>
      <c r="D4762" s="7" t="n"/>
      <c r="E4762" s="7" t="n"/>
      <c r="F4762" s="7" t="n"/>
      <c r="G4762" s="7" t="n"/>
      <c r="H4762" s="7" t="n"/>
      <c r="I4762" s="7" t="n"/>
      <c r="J4762" s="7" t="n"/>
      <c r="K4762">
        <f>IF(D4762="Legitimate Interest (GDPR Art. 6(1)(f))", "Yes / Required (Sheet 3)", "")</f>
        <v/>
      </c>
      <c r="L4762" s="7" t="n"/>
      <c r="M4762" s="7" t="n"/>
      <c r="N4762">
        <f>IF(D4762="", "Gap - No Legal Basis", IF(AND(D4762="Consent (GDPR Art. 6(1)(a))", I4762="Not Captured"), "Gap - Invalid Consent", IF(AND(D4762="Legitimate Interest (GDPR Art. 6(1)(f))", L4762=""), "Gap - Missing LIA", IF(AND(G4762="Yes", H4762=""), "Gap - Missing Art. 9 Basis", IF(OR(I4762="Invalid - Not Freely Given", I4762="Invalid - Not Specific", I4762="Invalid - Not Informed", I4762="Invalid - Ambiguous"), "Gap - Invalid Consent", "Compliant")))))</f>
        <v/>
      </c>
      <c r="O4762" s="7" t="n"/>
    </row>
    <row r="4763">
      <c r="A4763" s="7" t="n"/>
      <c r="B4763" s="7" t="n"/>
      <c r="C4763" s="7" t="n"/>
      <c r="D4763" s="7" t="n"/>
      <c r="E4763" s="7" t="n"/>
      <c r="F4763" s="7" t="n"/>
      <c r="G4763" s="7" t="n"/>
      <c r="H4763" s="7" t="n"/>
      <c r="I4763" s="7" t="n"/>
      <c r="J4763" s="7" t="n"/>
      <c r="K4763">
        <f>IF(D4763="Legitimate Interest (GDPR Art. 6(1)(f))", "Yes / Required (Sheet 3)", "")</f>
        <v/>
      </c>
      <c r="L4763" s="7" t="n"/>
      <c r="M4763" s="7" t="n"/>
      <c r="N4763">
        <f>IF(D4763="", "Gap - No Legal Basis", IF(AND(D4763="Consent (GDPR Art. 6(1)(a))", I4763="Not Captured"), "Gap - Invalid Consent", IF(AND(D4763="Legitimate Interest (GDPR Art. 6(1)(f))", L4763=""), "Gap - Missing LIA", IF(AND(G4763="Yes", H4763=""), "Gap - Missing Art. 9 Basis", IF(OR(I4763="Invalid - Not Freely Given", I4763="Invalid - Not Specific", I4763="Invalid - Not Informed", I4763="Invalid - Ambiguous"), "Gap - Invalid Consent", "Compliant")))))</f>
        <v/>
      </c>
      <c r="O4763" s="7" t="n"/>
    </row>
    <row r="4764">
      <c r="A4764" s="7" t="n"/>
      <c r="B4764" s="7" t="n"/>
      <c r="C4764" s="7" t="n"/>
      <c r="D4764" s="7" t="n"/>
      <c r="E4764" s="7" t="n"/>
      <c r="F4764" s="7" t="n"/>
      <c r="G4764" s="7" t="n"/>
      <c r="H4764" s="7" t="n"/>
      <c r="I4764" s="7" t="n"/>
      <c r="J4764" s="7" t="n"/>
      <c r="K4764">
        <f>IF(D4764="Legitimate Interest (GDPR Art. 6(1)(f))", "Yes / Required (Sheet 3)", "")</f>
        <v/>
      </c>
      <c r="L4764" s="7" t="n"/>
      <c r="M4764" s="7" t="n"/>
      <c r="N4764">
        <f>IF(D4764="", "Gap - No Legal Basis", IF(AND(D4764="Consent (GDPR Art. 6(1)(a))", I4764="Not Captured"), "Gap - Invalid Consent", IF(AND(D4764="Legitimate Interest (GDPR Art. 6(1)(f))", L4764=""), "Gap - Missing LIA", IF(AND(G4764="Yes", H4764=""), "Gap - Missing Art. 9 Basis", IF(OR(I4764="Invalid - Not Freely Given", I4764="Invalid - Not Specific", I4764="Invalid - Not Informed", I4764="Invalid - Ambiguous"), "Gap - Invalid Consent", "Compliant")))))</f>
        <v/>
      </c>
      <c r="O4764" s="7" t="n"/>
    </row>
    <row r="4765">
      <c r="A4765" s="7" t="n"/>
      <c r="B4765" s="7" t="n"/>
      <c r="C4765" s="7" t="n"/>
      <c r="D4765" s="7" t="n"/>
      <c r="E4765" s="7" t="n"/>
      <c r="F4765" s="7" t="n"/>
      <c r="G4765" s="7" t="n"/>
      <c r="H4765" s="7" t="n"/>
      <c r="I4765" s="7" t="n"/>
      <c r="J4765" s="7" t="n"/>
      <c r="K4765">
        <f>IF(D4765="Legitimate Interest (GDPR Art. 6(1)(f))", "Yes / Required (Sheet 3)", "")</f>
        <v/>
      </c>
      <c r="L4765" s="7" t="n"/>
      <c r="M4765" s="7" t="n"/>
      <c r="N4765">
        <f>IF(D4765="", "Gap - No Legal Basis", IF(AND(D4765="Consent (GDPR Art. 6(1)(a))", I4765="Not Captured"), "Gap - Invalid Consent", IF(AND(D4765="Legitimate Interest (GDPR Art. 6(1)(f))", L4765=""), "Gap - Missing LIA", IF(AND(G4765="Yes", H4765=""), "Gap - Missing Art. 9 Basis", IF(OR(I4765="Invalid - Not Freely Given", I4765="Invalid - Not Specific", I4765="Invalid - Not Informed", I4765="Invalid - Ambiguous"), "Gap - Invalid Consent", "Compliant")))))</f>
        <v/>
      </c>
      <c r="O4765" s="7" t="n"/>
    </row>
    <row r="4766">
      <c r="A4766" s="7" t="n"/>
      <c r="B4766" s="7" t="n"/>
      <c r="C4766" s="7" t="n"/>
      <c r="D4766" s="7" t="n"/>
      <c r="E4766" s="7" t="n"/>
      <c r="F4766" s="7" t="n"/>
      <c r="G4766" s="7" t="n"/>
      <c r="H4766" s="7" t="n"/>
      <c r="I4766" s="7" t="n"/>
      <c r="J4766" s="7" t="n"/>
      <c r="K4766">
        <f>IF(D4766="Legitimate Interest (GDPR Art. 6(1)(f))", "Yes / Required (Sheet 3)", "")</f>
        <v/>
      </c>
      <c r="L4766" s="7" t="n"/>
      <c r="M4766" s="7" t="n"/>
      <c r="N4766">
        <f>IF(D4766="", "Gap - No Legal Basis", IF(AND(D4766="Consent (GDPR Art. 6(1)(a))", I4766="Not Captured"), "Gap - Invalid Consent", IF(AND(D4766="Legitimate Interest (GDPR Art. 6(1)(f))", L4766=""), "Gap - Missing LIA", IF(AND(G4766="Yes", H4766=""), "Gap - Missing Art. 9 Basis", IF(OR(I4766="Invalid - Not Freely Given", I4766="Invalid - Not Specific", I4766="Invalid - Not Informed", I4766="Invalid - Ambiguous"), "Gap - Invalid Consent", "Compliant")))))</f>
        <v/>
      </c>
      <c r="O4766" s="7" t="n"/>
    </row>
    <row r="4767">
      <c r="A4767" s="7" t="n"/>
      <c r="B4767" s="7" t="n"/>
      <c r="C4767" s="7" t="n"/>
      <c r="D4767" s="7" t="n"/>
      <c r="E4767" s="7" t="n"/>
      <c r="F4767" s="7" t="n"/>
      <c r="G4767" s="7" t="n"/>
      <c r="H4767" s="7" t="n"/>
      <c r="I4767" s="7" t="n"/>
      <c r="J4767" s="7" t="n"/>
      <c r="K4767">
        <f>IF(D4767="Legitimate Interest (GDPR Art. 6(1)(f))", "Yes / Required (Sheet 3)", "")</f>
        <v/>
      </c>
      <c r="L4767" s="7" t="n"/>
      <c r="M4767" s="7" t="n"/>
      <c r="N4767">
        <f>IF(D4767="", "Gap - No Legal Basis", IF(AND(D4767="Consent (GDPR Art. 6(1)(a))", I4767="Not Captured"), "Gap - Invalid Consent", IF(AND(D4767="Legitimate Interest (GDPR Art. 6(1)(f))", L4767=""), "Gap - Missing LIA", IF(AND(G4767="Yes", H4767=""), "Gap - Missing Art. 9 Basis", IF(OR(I4767="Invalid - Not Freely Given", I4767="Invalid - Not Specific", I4767="Invalid - Not Informed", I4767="Invalid - Ambiguous"), "Gap - Invalid Consent", "Compliant")))))</f>
        <v/>
      </c>
      <c r="O4767" s="7" t="n"/>
    </row>
    <row r="4768">
      <c r="A4768" s="7" t="n"/>
      <c r="B4768" s="7" t="n"/>
      <c r="C4768" s="7" t="n"/>
      <c r="D4768" s="7" t="n"/>
      <c r="E4768" s="7" t="n"/>
      <c r="F4768" s="7" t="n"/>
      <c r="G4768" s="7" t="n"/>
      <c r="H4768" s="7" t="n"/>
      <c r="I4768" s="7" t="n"/>
      <c r="J4768" s="7" t="n"/>
      <c r="K4768">
        <f>IF(D4768="Legitimate Interest (GDPR Art. 6(1)(f))", "Yes / Required (Sheet 3)", "")</f>
        <v/>
      </c>
      <c r="L4768" s="7" t="n"/>
      <c r="M4768" s="7" t="n"/>
      <c r="N4768">
        <f>IF(D4768="", "Gap - No Legal Basis", IF(AND(D4768="Consent (GDPR Art. 6(1)(a))", I4768="Not Captured"), "Gap - Invalid Consent", IF(AND(D4768="Legitimate Interest (GDPR Art. 6(1)(f))", L4768=""), "Gap - Missing LIA", IF(AND(G4768="Yes", H4768=""), "Gap - Missing Art. 9 Basis", IF(OR(I4768="Invalid - Not Freely Given", I4768="Invalid - Not Specific", I4768="Invalid - Not Informed", I4768="Invalid - Ambiguous"), "Gap - Invalid Consent", "Compliant")))))</f>
        <v/>
      </c>
      <c r="O4768" s="7" t="n"/>
    </row>
    <row r="4769">
      <c r="A4769" s="7" t="n"/>
      <c r="B4769" s="7" t="n"/>
      <c r="C4769" s="7" t="n"/>
      <c r="D4769" s="7" t="n"/>
      <c r="E4769" s="7" t="n"/>
      <c r="F4769" s="7" t="n"/>
      <c r="G4769" s="7" t="n"/>
      <c r="H4769" s="7" t="n"/>
      <c r="I4769" s="7" t="n"/>
      <c r="J4769" s="7" t="n"/>
      <c r="K4769">
        <f>IF(D4769="Legitimate Interest (GDPR Art. 6(1)(f))", "Yes / Required (Sheet 3)", "")</f>
        <v/>
      </c>
      <c r="L4769" s="7" t="n"/>
      <c r="M4769" s="7" t="n"/>
      <c r="N4769">
        <f>IF(D4769="", "Gap - No Legal Basis", IF(AND(D4769="Consent (GDPR Art. 6(1)(a))", I4769="Not Captured"), "Gap - Invalid Consent", IF(AND(D4769="Legitimate Interest (GDPR Art. 6(1)(f))", L4769=""), "Gap - Missing LIA", IF(AND(G4769="Yes", H4769=""), "Gap - Missing Art. 9 Basis", IF(OR(I4769="Invalid - Not Freely Given", I4769="Invalid - Not Specific", I4769="Invalid - Not Informed", I4769="Invalid - Ambiguous"), "Gap - Invalid Consent", "Compliant")))))</f>
        <v/>
      </c>
      <c r="O4769" s="7" t="n"/>
    </row>
    <row r="4770">
      <c r="A4770" s="7" t="n"/>
      <c r="B4770" s="7" t="n"/>
      <c r="C4770" s="7" t="n"/>
      <c r="D4770" s="7" t="n"/>
      <c r="E4770" s="7" t="n"/>
      <c r="F4770" s="7" t="n"/>
      <c r="G4770" s="7" t="n"/>
      <c r="H4770" s="7" t="n"/>
      <c r="I4770" s="7" t="n"/>
      <c r="J4770" s="7" t="n"/>
      <c r="K4770">
        <f>IF(D4770="Legitimate Interest (GDPR Art. 6(1)(f))", "Yes / Required (Sheet 3)", "")</f>
        <v/>
      </c>
      <c r="L4770" s="7" t="n"/>
      <c r="M4770" s="7" t="n"/>
      <c r="N4770">
        <f>IF(D4770="", "Gap - No Legal Basis", IF(AND(D4770="Consent (GDPR Art. 6(1)(a))", I4770="Not Captured"), "Gap - Invalid Consent", IF(AND(D4770="Legitimate Interest (GDPR Art. 6(1)(f))", L4770=""), "Gap - Missing LIA", IF(AND(G4770="Yes", H4770=""), "Gap - Missing Art. 9 Basis", IF(OR(I4770="Invalid - Not Freely Given", I4770="Invalid - Not Specific", I4770="Invalid - Not Informed", I4770="Invalid - Ambiguous"), "Gap - Invalid Consent", "Compliant")))))</f>
        <v/>
      </c>
      <c r="O4770" s="7" t="n"/>
    </row>
    <row r="4771">
      <c r="A4771" s="7" t="n"/>
      <c r="B4771" s="7" t="n"/>
      <c r="C4771" s="7" t="n"/>
      <c r="D4771" s="7" t="n"/>
      <c r="E4771" s="7" t="n"/>
      <c r="F4771" s="7" t="n"/>
      <c r="G4771" s="7" t="n"/>
      <c r="H4771" s="7" t="n"/>
      <c r="I4771" s="7" t="n"/>
      <c r="J4771" s="7" t="n"/>
      <c r="K4771">
        <f>IF(D4771="Legitimate Interest (GDPR Art. 6(1)(f))", "Yes / Required (Sheet 3)", "")</f>
        <v/>
      </c>
      <c r="L4771" s="7" t="n"/>
      <c r="M4771" s="7" t="n"/>
      <c r="N4771">
        <f>IF(D4771="", "Gap - No Legal Basis", IF(AND(D4771="Consent (GDPR Art. 6(1)(a))", I4771="Not Captured"), "Gap - Invalid Consent", IF(AND(D4771="Legitimate Interest (GDPR Art. 6(1)(f))", L4771=""), "Gap - Missing LIA", IF(AND(G4771="Yes", H4771=""), "Gap - Missing Art. 9 Basis", IF(OR(I4771="Invalid - Not Freely Given", I4771="Invalid - Not Specific", I4771="Invalid - Not Informed", I4771="Invalid - Ambiguous"), "Gap - Invalid Consent", "Compliant")))))</f>
        <v/>
      </c>
      <c r="O4771" s="7" t="n"/>
    </row>
    <row r="4772">
      <c r="A4772" s="7" t="n"/>
      <c r="B4772" s="7" t="n"/>
      <c r="C4772" s="7" t="n"/>
      <c r="D4772" s="7" t="n"/>
      <c r="E4772" s="7" t="n"/>
      <c r="F4772" s="7" t="n"/>
      <c r="G4772" s="7" t="n"/>
      <c r="H4772" s="7" t="n"/>
      <c r="I4772" s="7" t="n"/>
      <c r="J4772" s="7" t="n"/>
      <c r="K4772">
        <f>IF(D4772="Legitimate Interest (GDPR Art. 6(1)(f))", "Yes / Required (Sheet 3)", "")</f>
        <v/>
      </c>
      <c r="L4772" s="7" t="n"/>
      <c r="M4772" s="7" t="n"/>
      <c r="N4772">
        <f>IF(D4772="", "Gap - No Legal Basis", IF(AND(D4772="Consent (GDPR Art. 6(1)(a))", I4772="Not Captured"), "Gap - Invalid Consent", IF(AND(D4772="Legitimate Interest (GDPR Art. 6(1)(f))", L4772=""), "Gap - Missing LIA", IF(AND(G4772="Yes", H4772=""), "Gap - Missing Art. 9 Basis", IF(OR(I4772="Invalid - Not Freely Given", I4772="Invalid - Not Specific", I4772="Invalid - Not Informed", I4772="Invalid - Ambiguous"), "Gap - Invalid Consent", "Compliant")))))</f>
        <v/>
      </c>
      <c r="O4772" s="7" t="n"/>
    </row>
    <row r="4773">
      <c r="A4773" s="7" t="n"/>
      <c r="B4773" s="7" t="n"/>
      <c r="C4773" s="7" t="n"/>
      <c r="D4773" s="7" t="n"/>
      <c r="E4773" s="7" t="n"/>
      <c r="F4773" s="7" t="n"/>
      <c r="G4773" s="7" t="n"/>
      <c r="H4773" s="7" t="n"/>
      <c r="I4773" s="7" t="n"/>
      <c r="J4773" s="7" t="n"/>
      <c r="K4773">
        <f>IF(D4773="Legitimate Interest (GDPR Art. 6(1)(f))", "Yes / Required (Sheet 3)", "")</f>
        <v/>
      </c>
      <c r="L4773" s="7" t="n"/>
      <c r="M4773" s="7" t="n"/>
      <c r="N4773">
        <f>IF(D4773="", "Gap - No Legal Basis", IF(AND(D4773="Consent (GDPR Art. 6(1)(a))", I4773="Not Captured"), "Gap - Invalid Consent", IF(AND(D4773="Legitimate Interest (GDPR Art. 6(1)(f))", L4773=""), "Gap - Missing LIA", IF(AND(G4773="Yes", H4773=""), "Gap - Missing Art. 9 Basis", IF(OR(I4773="Invalid - Not Freely Given", I4773="Invalid - Not Specific", I4773="Invalid - Not Informed", I4773="Invalid - Ambiguous"), "Gap - Invalid Consent", "Compliant")))))</f>
        <v/>
      </c>
      <c r="O4773" s="7" t="n"/>
    </row>
    <row r="4774">
      <c r="A4774" s="7" t="n"/>
      <c r="B4774" s="7" t="n"/>
      <c r="C4774" s="7" t="n"/>
      <c r="D4774" s="7" t="n"/>
      <c r="E4774" s="7" t="n"/>
      <c r="F4774" s="7" t="n"/>
      <c r="G4774" s="7" t="n"/>
      <c r="H4774" s="7" t="n"/>
      <c r="I4774" s="7" t="n"/>
      <c r="J4774" s="7" t="n"/>
      <c r="K4774">
        <f>IF(D4774="Legitimate Interest (GDPR Art. 6(1)(f))", "Yes / Required (Sheet 3)", "")</f>
        <v/>
      </c>
      <c r="L4774" s="7" t="n"/>
      <c r="M4774" s="7" t="n"/>
      <c r="N4774">
        <f>IF(D4774="", "Gap - No Legal Basis", IF(AND(D4774="Consent (GDPR Art. 6(1)(a))", I4774="Not Captured"), "Gap - Invalid Consent", IF(AND(D4774="Legitimate Interest (GDPR Art. 6(1)(f))", L4774=""), "Gap - Missing LIA", IF(AND(G4774="Yes", H4774=""), "Gap - Missing Art. 9 Basis", IF(OR(I4774="Invalid - Not Freely Given", I4774="Invalid - Not Specific", I4774="Invalid - Not Informed", I4774="Invalid - Ambiguous"), "Gap - Invalid Consent", "Compliant")))))</f>
        <v/>
      </c>
      <c r="O4774" s="7" t="n"/>
    </row>
    <row r="4775">
      <c r="A4775" s="7" t="n"/>
      <c r="B4775" s="7" t="n"/>
      <c r="C4775" s="7" t="n"/>
      <c r="D4775" s="7" t="n"/>
      <c r="E4775" s="7" t="n"/>
      <c r="F4775" s="7" t="n"/>
      <c r="G4775" s="7" t="n"/>
      <c r="H4775" s="7" t="n"/>
      <c r="I4775" s="7" t="n"/>
      <c r="J4775" s="7" t="n"/>
      <c r="K4775">
        <f>IF(D4775="Legitimate Interest (GDPR Art. 6(1)(f))", "Yes / Required (Sheet 3)", "")</f>
        <v/>
      </c>
      <c r="L4775" s="7" t="n"/>
      <c r="M4775" s="7" t="n"/>
      <c r="N4775">
        <f>IF(D4775="", "Gap - No Legal Basis", IF(AND(D4775="Consent (GDPR Art. 6(1)(a))", I4775="Not Captured"), "Gap - Invalid Consent", IF(AND(D4775="Legitimate Interest (GDPR Art. 6(1)(f))", L4775=""), "Gap - Missing LIA", IF(AND(G4775="Yes", H4775=""), "Gap - Missing Art. 9 Basis", IF(OR(I4775="Invalid - Not Freely Given", I4775="Invalid - Not Specific", I4775="Invalid - Not Informed", I4775="Invalid - Ambiguous"), "Gap - Invalid Consent", "Compliant")))))</f>
        <v/>
      </c>
      <c r="O4775" s="7" t="n"/>
    </row>
    <row r="4776">
      <c r="A4776" s="7" t="n"/>
      <c r="B4776" s="7" t="n"/>
      <c r="C4776" s="7" t="n"/>
      <c r="D4776" s="7" t="n"/>
      <c r="E4776" s="7" t="n"/>
      <c r="F4776" s="7" t="n"/>
      <c r="G4776" s="7" t="n"/>
      <c r="H4776" s="7" t="n"/>
      <c r="I4776" s="7" t="n"/>
      <c r="J4776" s="7" t="n"/>
      <c r="K4776">
        <f>IF(D4776="Legitimate Interest (GDPR Art. 6(1)(f))", "Yes / Required (Sheet 3)", "")</f>
        <v/>
      </c>
      <c r="L4776" s="7" t="n"/>
      <c r="M4776" s="7" t="n"/>
      <c r="N4776">
        <f>IF(D4776="", "Gap - No Legal Basis", IF(AND(D4776="Consent (GDPR Art. 6(1)(a))", I4776="Not Captured"), "Gap - Invalid Consent", IF(AND(D4776="Legitimate Interest (GDPR Art. 6(1)(f))", L4776=""), "Gap - Missing LIA", IF(AND(G4776="Yes", H4776=""), "Gap - Missing Art. 9 Basis", IF(OR(I4776="Invalid - Not Freely Given", I4776="Invalid - Not Specific", I4776="Invalid - Not Informed", I4776="Invalid - Ambiguous"), "Gap - Invalid Consent", "Compliant")))))</f>
        <v/>
      </c>
      <c r="O4776" s="7" t="n"/>
    </row>
    <row r="4777">
      <c r="A4777" s="7" t="n"/>
      <c r="B4777" s="7" t="n"/>
      <c r="C4777" s="7" t="n"/>
      <c r="D4777" s="7" t="n"/>
      <c r="E4777" s="7" t="n"/>
      <c r="F4777" s="7" t="n"/>
      <c r="G4777" s="7" t="n"/>
      <c r="H4777" s="7" t="n"/>
      <c r="I4777" s="7" t="n"/>
      <c r="J4777" s="7" t="n"/>
      <c r="K4777">
        <f>IF(D4777="Legitimate Interest (GDPR Art. 6(1)(f))", "Yes / Required (Sheet 3)", "")</f>
        <v/>
      </c>
      <c r="L4777" s="7" t="n"/>
      <c r="M4777" s="7" t="n"/>
      <c r="N4777">
        <f>IF(D4777="", "Gap - No Legal Basis", IF(AND(D4777="Consent (GDPR Art. 6(1)(a))", I4777="Not Captured"), "Gap - Invalid Consent", IF(AND(D4777="Legitimate Interest (GDPR Art. 6(1)(f))", L4777=""), "Gap - Missing LIA", IF(AND(G4777="Yes", H4777=""), "Gap - Missing Art. 9 Basis", IF(OR(I4777="Invalid - Not Freely Given", I4777="Invalid - Not Specific", I4777="Invalid - Not Informed", I4777="Invalid - Ambiguous"), "Gap - Invalid Consent", "Compliant")))))</f>
        <v/>
      </c>
      <c r="O4777" s="7" t="n"/>
    </row>
    <row r="4778">
      <c r="A4778" s="7" t="n"/>
      <c r="B4778" s="7" t="n"/>
      <c r="C4778" s="7" t="n"/>
      <c r="D4778" s="7" t="n"/>
      <c r="E4778" s="7" t="n"/>
      <c r="F4778" s="7" t="n"/>
      <c r="G4778" s="7" t="n"/>
      <c r="H4778" s="7" t="n"/>
      <c r="I4778" s="7" t="n"/>
      <c r="J4778" s="7" t="n"/>
      <c r="K4778">
        <f>IF(D4778="Legitimate Interest (GDPR Art. 6(1)(f))", "Yes / Required (Sheet 3)", "")</f>
        <v/>
      </c>
      <c r="L4778" s="7" t="n"/>
      <c r="M4778" s="7" t="n"/>
      <c r="N4778">
        <f>IF(D4778="", "Gap - No Legal Basis", IF(AND(D4778="Consent (GDPR Art. 6(1)(a))", I4778="Not Captured"), "Gap - Invalid Consent", IF(AND(D4778="Legitimate Interest (GDPR Art. 6(1)(f))", L4778=""), "Gap - Missing LIA", IF(AND(G4778="Yes", H4778=""), "Gap - Missing Art. 9 Basis", IF(OR(I4778="Invalid - Not Freely Given", I4778="Invalid - Not Specific", I4778="Invalid - Not Informed", I4778="Invalid - Ambiguous"), "Gap - Invalid Consent", "Compliant")))))</f>
        <v/>
      </c>
      <c r="O4778" s="7" t="n"/>
    </row>
    <row r="4779">
      <c r="A4779" s="7" t="n"/>
      <c r="B4779" s="7" t="n"/>
      <c r="C4779" s="7" t="n"/>
      <c r="D4779" s="7" t="n"/>
      <c r="E4779" s="7" t="n"/>
      <c r="F4779" s="7" t="n"/>
      <c r="G4779" s="7" t="n"/>
      <c r="H4779" s="7" t="n"/>
      <c r="I4779" s="7" t="n"/>
      <c r="J4779" s="7" t="n"/>
      <c r="K4779">
        <f>IF(D4779="Legitimate Interest (GDPR Art. 6(1)(f))", "Yes / Required (Sheet 3)", "")</f>
        <v/>
      </c>
      <c r="L4779" s="7" t="n"/>
      <c r="M4779" s="7" t="n"/>
      <c r="N4779">
        <f>IF(D4779="", "Gap - No Legal Basis", IF(AND(D4779="Consent (GDPR Art. 6(1)(a))", I4779="Not Captured"), "Gap - Invalid Consent", IF(AND(D4779="Legitimate Interest (GDPR Art. 6(1)(f))", L4779=""), "Gap - Missing LIA", IF(AND(G4779="Yes", H4779=""), "Gap - Missing Art. 9 Basis", IF(OR(I4779="Invalid - Not Freely Given", I4779="Invalid - Not Specific", I4779="Invalid - Not Informed", I4779="Invalid - Ambiguous"), "Gap - Invalid Consent", "Compliant")))))</f>
        <v/>
      </c>
      <c r="O4779" s="7" t="n"/>
    </row>
    <row r="4780">
      <c r="A4780" s="7" t="n"/>
      <c r="B4780" s="7" t="n"/>
      <c r="C4780" s="7" t="n"/>
      <c r="D4780" s="7" t="n"/>
      <c r="E4780" s="7" t="n"/>
      <c r="F4780" s="7" t="n"/>
      <c r="G4780" s="7" t="n"/>
      <c r="H4780" s="7" t="n"/>
      <c r="I4780" s="7" t="n"/>
      <c r="J4780" s="7" t="n"/>
      <c r="K4780">
        <f>IF(D4780="Legitimate Interest (GDPR Art. 6(1)(f))", "Yes / Required (Sheet 3)", "")</f>
        <v/>
      </c>
      <c r="L4780" s="7" t="n"/>
      <c r="M4780" s="7" t="n"/>
      <c r="N4780">
        <f>IF(D4780="", "Gap - No Legal Basis", IF(AND(D4780="Consent (GDPR Art. 6(1)(a))", I4780="Not Captured"), "Gap - Invalid Consent", IF(AND(D4780="Legitimate Interest (GDPR Art. 6(1)(f))", L4780=""), "Gap - Missing LIA", IF(AND(G4780="Yes", H4780=""), "Gap - Missing Art. 9 Basis", IF(OR(I4780="Invalid - Not Freely Given", I4780="Invalid - Not Specific", I4780="Invalid - Not Informed", I4780="Invalid - Ambiguous"), "Gap - Invalid Consent", "Compliant")))))</f>
        <v/>
      </c>
      <c r="O4780" s="7" t="n"/>
    </row>
    <row r="4781">
      <c r="A4781" s="7" t="n"/>
      <c r="B4781" s="7" t="n"/>
      <c r="C4781" s="7" t="n"/>
      <c r="D4781" s="7" t="n"/>
      <c r="E4781" s="7" t="n"/>
      <c r="F4781" s="7" t="n"/>
      <c r="G4781" s="7" t="n"/>
      <c r="H4781" s="7" t="n"/>
      <c r="I4781" s="7" t="n"/>
      <c r="J4781" s="7" t="n"/>
      <c r="K4781">
        <f>IF(D4781="Legitimate Interest (GDPR Art. 6(1)(f))", "Yes / Required (Sheet 3)", "")</f>
        <v/>
      </c>
      <c r="L4781" s="7" t="n"/>
      <c r="M4781" s="7" t="n"/>
      <c r="N4781">
        <f>IF(D4781="", "Gap - No Legal Basis", IF(AND(D4781="Consent (GDPR Art. 6(1)(a))", I4781="Not Captured"), "Gap - Invalid Consent", IF(AND(D4781="Legitimate Interest (GDPR Art. 6(1)(f))", L4781=""), "Gap - Missing LIA", IF(AND(G4781="Yes", H4781=""), "Gap - Missing Art. 9 Basis", IF(OR(I4781="Invalid - Not Freely Given", I4781="Invalid - Not Specific", I4781="Invalid - Not Informed", I4781="Invalid - Ambiguous"), "Gap - Invalid Consent", "Compliant")))))</f>
        <v/>
      </c>
      <c r="O4781" s="7" t="n"/>
    </row>
    <row r="4782">
      <c r="A4782" s="7" t="n"/>
      <c r="B4782" s="7" t="n"/>
      <c r="C4782" s="7" t="n"/>
      <c r="D4782" s="7" t="n"/>
      <c r="E4782" s="7" t="n"/>
      <c r="F4782" s="7" t="n"/>
      <c r="G4782" s="7" t="n"/>
      <c r="H4782" s="7" t="n"/>
      <c r="I4782" s="7" t="n"/>
      <c r="J4782" s="7" t="n"/>
      <c r="K4782">
        <f>IF(D4782="Legitimate Interest (GDPR Art. 6(1)(f))", "Yes / Required (Sheet 3)", "")</f>
        <v/>
      </c>
      <c r="L4782" s="7" t="n"/>
      <c r="M4782" s="7" t="n"/>
      <c r="N4782">
        <f>IF(D4782="", "Gap - No Legal Basis", IF(AND(D4782="Consent (GDPR Art. 6(1)(a))", I4782="Not Captured"), "Gap - Invalid Consent", IF(AND(D4782="Legitimate Interest (GDPR Art. 6(1)(f))", L4782=""), "Gap - Missing LIA", IF(AND(G4782="Yes", H4782=""), "Gap - Missing Art. 9 Basis", IF(OR(I4782="Invalid - Not Freely Given", I4782="Invalid - Not Specific", I4782="Invalid - Not Informed", I4782="Invalid - Ambiguous"), "Gap - Invalid Consent", "Compliant")))))</f>
        <v/>
      </c>
      <c r="O4782" s="7" t="n"/>
    </row>
    <row r="4783">
      <c r="A4783" s="7" t="n"/>
      <c r="B4783" s="7" t="n"/>
      <c r="C4783" s="7" t="n"/>
      <c r="D4783" s="7" t="n"/>
      <c r="E4783" s="7" t="n"/>
      <c r="F4783" s="7" t="n"/>
      <c r="G4783" s="7" t="n"/>
      <c r="H4783" s="7" t="n"/>
      <c r="I4783" s="7" t="n"/>
      <c r="J4783" s="7" t="n"/>
      <c r="K4783">
        <f>IF(D4783="Legitimate Interest (GDPR Art. 6(1)(f))", "Yes / Required (Sheet 3)", "")</f>
        <v/>
      </c>
      <c r="L4783" s="7" t="n"/>
      <c r="M4783" s="7" t="n"/>
      <c r="N4783">
        <f>IF(D4783="", "Gap - No Legal Basis", IF(AND(D4783="Consent (GDPR Art. 6(1)(a))", I4783="Not Captured"), "Gap - Invalid Consent", IF(AND(D4783="Legitimate Interest (GDPR Art. 6(1)(f))", L4783=""), "Gap - Missing LIA", IF(AND(G4783="Yes", H4783=""), "Gap - Missing Art. 9 Basis", IF(OR(I4783="Invalid - Not Freely Given", I4783="Invalid - Not Specific", I4783="Invalid - Not Informed", I4783="Invalid - Ambiguous"), "Gap - Invalid Consent", "Compliant")))))</f>
        <v/>
      </c>
      <c r="O4783" s="7" t="n"/>
    </row>
    <row r="4784">
      <c r="A4784" s="7" t="n"/>
      <c r="B4784" s="7" t="n"/>
      <c r="C4784" s="7" t="n"/>
      <c r="D4784" s="7" t="n"/>
      <c r="E4784" s="7" t="n"/>
      <c r="F4784" s="7" t="n"/>
      <c r="G4784" s="7" t="n"/>
      <c r="H4784" s="7" t="n"/>
      <c r="I4784" s="7" t="n"/>
      <c r="J4784" s="7" t="n"/>
      <c r="K4784">
        <f>IF(D4784="Legitimate Interest (GDPR Art. 6(1)(f))", "Yes / Required (Sheet 3)", "")</f>
        <v/>
      </c>
      <c r="L4784" s="7" t="n"/>
      <c r="M4784" s="7" t="n"/>
      <c r="N4784">
        <f>IF(D4784="", "Gap - No Legal Basis", IF(AND(D4784="Consent (GDPR Art. 6(1)(a))", I4784="Not Captured"), "Gap - Invalid Consent", IF(AND(D4784="Legitimate Interest (GDPR Art. 6(1)(f))", L4784=""), "Gap - Missing LIA", IF(AND(G4784="Yes", H4784=""), "Gap - Missing Art. 9 Basis", IF(OR(I4784="Invalid - Not Freely Given", I4784="Invalid - Not Specific", I4784="Invalid - Not Informed", I4784="Invalid - Ambiguous"), "Gap - Invalid Consent", "Compliant")))))</f>
        <v/>
      </c>
      <c r="O4784" s="7" t="n"/>
    </row>
    <row r="4785">
      <c r="A4785" s="7" t="n"/>
      <c r="B4785" s="7" t="n"/>
      <c r="C4785" s="7" t="n"/>
      <c r="D4785" s="7" t="n"/>
      <c r="E4785" s="7" t="n"/>
      <c r="F4785" s="7" t="n"/>
      <c r="G4785" s="7" t="n"/>
      <c r="H4785" s="7" t="n"/>
      <c r="I4785" s="7" t="n"/>
      <c r="J4785" s="7" t="n"/>
      <c r="K4785">
        <f>IF(D4785="Legitimate Interest (GDPR Art. 6(1)(f))", "Yes / Required (Sheet 3)", "")</f>
        <v/>
      </c>
      <c r="L4785" s="7" t="n"/>
      <c r="M4785" s="7" t="n"/>
      <c r="N4785">
        <f>IF(D4785="", "Gap - No Legal Basis", IF(AND(D4785="Consent (GDPR Art. 6(1)(a))", I4785="Not Captured"), "Gap - Invalid Consent", IF(AND(D4785="Legitimate Interest (GDPR Art. 6(1)(f))", L4785=""), "Gap - Missing LIA", IF(AND(G4785="Yes", H4785=""), "Gap - Missing Art. 9 Basis", IF(OR(I4785="Invalid - Not Freely Given", I4785="Invalid - Not Specific", I4785="Invalid - Not Informed", I4785="Invalid - Ambiguous"), "Gap - Invalid Consent", "Compliant")))))</f>
        <v/>
      </c>
      <c r="O4785" s="7" t="n"/>
    </row>
    <row r="4786">
      <c r="A4786" s="7" t="n"/>
      <c r="B4786" s="7" t="n"/>
      <c r="C4786" s="7" t="n"/>
      <c r="D4786" s="7" t="n"/>
      <c r="E4786" s="7" t="n"/>
      <c r="F4786" s="7" t="n"/>
      <c r="G4786" s="7" t="n"/>
      <c r="H4786" s="7" t="n"/>
      <c r="I4786" s="7" t="n"/>
      <c r="J4786" s="7" t="n"/>
      <c r="K4786">
        <f>IF(D4786="Legitimate Interest (GDPR Art. 6(1)(f))", "Yes / Required (Sheet 3)", "")</f>
        <v/>
      </c>
      <c r="L4786" s="7" t="n"/>
      <c r="M4786" s="7" t="n"/>
      <c r="N4786">
        <f>IF(D4786="", "Gap - No Legal Basis", IF(AND(D4786="Consent (GDPR Art. 6(1)(a))", I4786="Not Captured"), "Gap - Invalid Consent", IF(AND(D4786="Legitimate Interest (GDPR Art. 6(1)(f))", L4786=""), "Gap - Missing LIA", IF(AND(G4786="Yes", H4786=""), "Gap - Missing Art. 9 Basis", IF(OR(I4786="Invalid - Not Freely Given", I4786="Invalid - Not Specific", I4786="Invalid - Not Informed", I4786="Invalid - Ambiguous"), "Gap - Invalid Consent", "Compliant")))))</f>
        <v/>
      </c>
      <c r="O4786" s="7" t="n"/>
    </row>
    <row r="4787">
      <c r="A4787" s="7" t="n"/>
      <c r="B4787" s="7" t="n"/>
      <c r="C4787" s="7" t="n"/>
      <c r="D4787" s="7" t="n"/>
      <c r="E4787" s="7" t="n"/>
      <c r="F4787" s="7" t="n"/>
      <c r="G4787" s="7" t="n"/>
      <c r="H4787" s="7" t="n"/>
      <c r="I4787" s="7" t="n"/>
      <c r="J4787" s="7" t="n"/>
      <c r="K4787">
        <f>IF(D4787="Legitimate Interest (GDPR Art. 6(1)(f))", "Yes / Required (Sheet 3)", "")</f>
        <v/>
      </c>
      <c r="L4787" s="7" t="n"/>
      <c r="M4787" s="7" t="n"/>
      <c r="N4787">
        <f>IF(D4787="", "Gap - No Legal Basis", IF(AND(D4787="Consent (GDPR Art. 6(1)(a))", I4787="Not Captured"), "Gap - Invalid Consent", IF(AND(D4787="Legitimate Interest (GDPR Art. 6(1)(f))", L4787=""), "Gap - Missing LIA", IF(AND(G4787="Yes", H4787=""), "Gap - Missing Art. 9 Basis", IF(OR(I4787="Invalid - Not Freely Given", I4787="Invalid - Not Specific", I4787="Invalid - Not Informed", I4787="Invalid - Ambiguous"), "Gap - Invalid Consent", "Compliant")))))</f>
        <v/>
      </c>
      <c r="O4787" s="7" t="n"/>
    </row>
    <row r="4788">
      <c r="A4788" s="7" t="n"/>
      <c r="B4788" s="7" t="n"/>
      <c r="C4788" s="7" t="n"/>
      <c r="D4788" s="7" t="n"/>
      <c r="E4788" s="7" t="n"/>
      <c r="F4788" s="7" t="n"/>
      <c r="G4788" s="7" t="n"/>
      <c r="H4788" s="7" t="n"/>
      <c r="I4788" s="7" t="n"/>
      <c r="J4788" s="7" t="n"/>
      <c r="K4788">
        <f>IF(D4788="Legitimate Interest (GDPR Art. 6(1)(f))", "Yes / Required (Sheet 3)", "")</f>
        <v/>
      </c>
      <c r="L4788" s="7" t="n"/>
      <c r="M4788" s="7" t="n"/>
      <c r="N4788">
        <f>IF(D4788="", "Gap - No Legal Basis", IF(AND(D4788="Consent (GDPR Art. 6(1)(a))", I4788="Not Captured"), "Gap - Invalid Consent", IF(AND(D4788="Legitimate Interest (GDPR Art. 6(1)(f))", L4788=""), "Gap - Missing LIA", IF(AND(G4788="Yes", H4788=""), "Gap - Missing Art. 9 Basis", IF(OR(I4788="Invalid - Not Freely Given", I4788="Invalid - Not Specific", I4788="Invalid - Not Informed", I4788="Invalid - Ambiguous"), "Gap - Invalid Consent", "Compliant")))))</f>
        <v/>
      </c>
      <c r="O4788" s="7" t="n"/>
    </row>
    <row r="4789">
      <c r="A4789" s="7" t="n"/>
      <c r="B4789" s="7" t="n"/>
      <c r="C4789" s="7" t="n"/>
      <c r="D4789" s="7" t="n"/>
      <c r="E4789" s="7" t="n"/>
      <c r="F4789" s="7" t="n"/>
      <c r="G4789" s="7" t="n"/>
      <c r="H4789" s="7" t="n"/>
      <c r="I4789" s="7" t="n"/>
      <c r="J4789" s="7" t="n"/>
      <c r="K4789">
        <f>IF(D4789="Legitimate Interest (GDPR Art. 6(1)(f))", "Yes / Required (Sheet 3)", "")</f>
        <v/>
      </c>
      <c r="L4789" s="7" t="n"/>
      <c r="M4789" s="7" t="n"/>
      <c r="N4789">
        <f>IF(D4789="", "Gap - No Legal Basis", IF(AND(D4789="Consent (GDPR Art. 6(1)(a))", I4789="Not Captured"), "Gap - Invalid Consent", IF(AND(D4789="Legitimate Interest (GDPR Art. 6(1)(f))", L4789=""), "Gap - Missing LIA", IF(AND(G4789="Yes", H4789=""), "Gap - Missing Art. 9 Basis", IF(OR(I4789="Invalid - Not Freely Given", I4789="Invalid - Not Specific", I4789="Invalid - Not Informed", I4789="Invalid - Ambiguous"), "Gap - Invalid Consent", "Compliant")))))</f>
        <v/>
      </c>
      <c r="O4789" s="7" t="n"/>
    </row>
    <row r="4790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7" t="n"/>
      <c r="J4790" s="7" t="n"/>
      <c r="K4790">
        <f>IF(D4790="Legitimate Interest (GDPR Art. 6(1)(f))", "Yes / Required (Sheet 3)", "")</f>
        <v/>
      </c>
      <c r="L4790" s="7" t="n"/>
      <c r="M4790" s="7" t="n"/>
      <c r="N4790">
        <f>IF(D4790="", "Gap - No Legal Basis", IF(AND(D4790="Consent (GDPR Art. 6(1)(a))", I4790="Not Captured"), "Gap - Invalid Consent", IF(AND(D4790="Legitimate Interest (GDPR Art. 6(1)(f))", L4790=""), "Gap - Missing LIA", IF(AND(G4790="Yes", H4790=""), "Gap - Missing Art. 9 Basis", IF(OR(I4790="Invalid - Not Freely Given", I4790="Invalid - Not Specific", I4790="Invalid - Not Informed", I4790="Invalid - Ambiguous"), "Gap - Invalid Consent", "Compliant")))))</f>
        <v/>
      </c>
      <c r="O4790" s="7" t="n"/>
    </row>
    <row r="4791">
      <c r="A4791" s="7" t="n"/>
      <c r="B4791" s="7" t="n"/>
      <c r="C4791" s="7" t="n"/>
      <c r="D4791" s="7" t="n"/>
      <c r="E4791" s="7" t="n"/>
      <c r="F4791" s="7" t="n"/>
      <c r="G4791" s="7" t="n"/>
      <c r="H4791" s="7" t="n"/>
      <c r="I4791" s="7" t="n"/>
      <c r="J4791" s="7" t="n"/>
      <c r="K4791">
        <f>IF(D4791="Legitimate Interest (GDPR Art. 6(1)(f))", "Yes / Required (Sheet 3)", "")</f>
        <v/>
      </c>
      <c r="L4791" s="7" t="n"/>
      <c r="M4791" s="7" t="n"/>
      <c r="N4791">
        <f>IF(D4791="", "Gap - No Legal Basis", IF(AND(D4791="Consent (GDPR Art. 6(1)(a))", I4791="Not Captured"), "Gap - Invalid Consent", IF(AND(D4791="Legitimate Interest (GDPR Art. 6(1)(f))", L4791=""), "Gap - Missing LIA", IF(AND(G4791="Yes", H4791=""), "Gap - Missing Art. 9 Basis", IF(OR(I4791="Invalid - Not Freely Given", I4791="Invalid - Not Specific", I4791="Invalid - Not Informed", I4791="Invalid - Ambiguous"), "Gap - Invalid Consent", "Compliant")))))</f>
        <v/>
      </c>
      <c r="O4791" s="7" t="n"/>
    </row>
    <row r="4792">
      <c r="A4792" s="7" t="n"/>
      <c r="B4792" s="7" t="n"/>
      <c r="C4792" s="7" t="n"/>
      <c r="D4792" s="7" t="n"/>
      <c r="E4792" s="7" t="n"/>
      <c r="F4792" s="7" t="n"/>
      <c r="G4792" s="7" t="n"/>
      <c r="H4792" s="7" t="n"/>
      <c r="I4792" s="7" t="n"/>
      <c r="J4792" s="7" t="n"/>
      <c r="K4792">
        <f>IF(D4792="Legitimate Interest (GDPR Art. 6(1)(f))", "Yes / Required (Sheet 3)", "")</f>
        <v/>
      </c>
      <c r="L4792" s="7" t="n"/>
      <c r="M4792" s="7" t="n"/>
      <c r="N4792">
        <f>IF(D4792="", "Gap - No Legal Basis", IF(AND(D4792="Consent (GDPR Art. 6(1)(a))", I4792="Not Captured"), "Gap - Invalid Consent", IF(AND(D4792="Legitimate Interest (GDPR Art. 6(1)(f))", L4792=""), "Gap - Missing LIA", IF(AND(G4792="Yes", H4792=""), "Gap - Missing Art. 9 Basis", IF(OR(I4792="Invalid - Not Freely Given", I4792="Invalid - Not Specific", I4792="Invalid - Not Informed", I4792="Invalid - Ambiguous"), "Gap - Invalid Consent", "Compliant")))))</f>
        <v/>
      </c>
      <c r="O4792" s="7" t="n"/>
    </row>
    <row r="4793">
      <c r="A4793" s="7" t="n"/>
      <c r="B4793" s="7" t="n"/>
      <c r="C4793" s="7" t="n"/>
      <c r="D4793" s="7" t="n"/>
      <c r="E4793" s="7" t="n"/>
      <c r="F4793" s="7" t="n"/>
      <c r="G4793" s="7" t="n"/>
      <c r="H4793" s="7" t="n"/>
      <c r="I4793" s="7" t="n"/>
      <c r="J4793" s="7" t="n"/>
      <c r="K4793">
        <f>IF(D4793="Legitimate Interest (GDPR Art. 6(1)(f))", "Yes / Required (Sheet 3)", "")</f>
        <v/>
      </c>
      <c r="L4793" s="7" t="n"/>
      <c r="M4793" s="7" t="n"/>
      <c r="N4793">
        <f>IF(D4793="", "Gap - No Legal Basis", IF(AND(D4793="Consent (GDPR Art. 6(1)(a))", I4793="Not Captured"), "Gap - Invalid Consent", IF(AND(D4793="Legitimate Interest (GDPR Art. 6(1)(f))", L4793=""), "Gap - Missing LIA", IF(AND(G4793="Yes", H4793=""), "Gap - Missing Art. 9 Basis", IF(OR(I4793="Invalid - Not Freely Given", I4793="Invalid - Not Specific", I4793="Invalid - Not Informed", I4793="Invalid - Ambiguous"), "Gap - Invalid Consent", "Compliant")))))</f>
        <v/>
      </c>
      <c r="O4793" s="7" t="n"/>
    </row>
    <row r="4794">
      <c r="A4794" s="7" t="n"/>
      <c r="B4794" s="7" t="n"/>
      <c r="C4794" s="7" t="n"/>
      <c r="D4794" s="7" t="n"/>
      <c r="E4794" s="7" t="n"/>
      <c r="F4794" s="7" t="n"/>
      <c r="G4794" s="7" t="n"/>
      <c r="H4794" s="7" t="n"/>
      <c r="I4794" s="7" t="n"/>
      <c r="J4794" s="7" t="n"/>
      <c r="K4794">
        <f>IF(D4794="Legitimate Interest (GDPR Art. 6(1)(f))", "Yes / Required (Sheet 3)", "")</f>
        <v/>
      </c>
      <c r="L4794" s="7" t="n"/>
      <c r="M4794" s="7" t="n"/>
      <c r="N4794">
        <f>IF(D4794="", "Gap - No Legal Basis", IF(AND(D4794="Consent (GDPR Art. 6(1)(a))", I4794="Not Captured"), "Gap - Invalid Consent", IF(AND(D4794="Legitimate Interest (GDPR Art. 6(1)(f))", L4794=""), "Gap - Missing LIA", IF(AND(G4794="Yes", H4794=""), "Gap - Missing Art. 9 Basis", IF(OR(I4794="Invalid - Not Freely Given", I4794="Invalid - Not Specific", I4794="Invalid - Not Informed", I4794="Invalid - Ambiguous"), "Gap - Invalid Consent", "Compliant")))))</f>
        <v/>
      </c>
      <c r="O4794" s="7" t="n"/>
    </row>
    <row r="4795">
      <c r="A4795" s="7" t="n"/>
      <c r="B4795" s="7" t="n"/>
      <c r="C4795" s="7" t="n"/>
      <c r="D4795" s="7" t="n"/>
      <c r="E4795" s="7" t="n"/>
      <c r="F4795" s="7" t="n"/>
      <c r="G4795" s="7" t="n"/>
      <c r="H4795" s="7" t="n"/>
      <c r="I4795" s="7" t="n"/>
      <c r="J4795" s="7" t="n"/>
      <c r="K4795">
        <f>IF(D4795="Legitimate Interest (GDPR Art. 6(1)(f))", "Yes / Required (Sheet 3)", "")</f>
        <v/>
      </c>
      <c r="L4795" s="7" t="n"/>
      <c r="M4795" s="7" t="n"/>
      <c r="N4795">
        <f>IF(D4795="", "Gap - No Legal Basis", IF(AND(D4795="Consent (GDPR Art. 6(1)(a))", I4795="Not Captured"), "Gap - Invalid Consent", IF(AND(D4795="Legitimate Interest (GDPR Art. 6(1)(f))", L4795=""), "Gap - Missing LIA", IF(AND(G4795="Yes", H4795=""), "Gap - Missing Art. 9 Basis", IF(OR(I4795="Invalid - Not Freely Given", I4795="Invalid - Not Specific", I4795="Invalid - Not Informed", I4795="Invalid - Ambiguous"), "Gap - Invalid Consent", "Compliant")))))</f>
        <v/>
      </c>
      <c r="O4795" s="7" t="n"/>
    </row>
    <row r="4796">
      <c r="A4796" s="7" t="n"/>
      <c r="B4796" s="7" t="n"/>
      <c r="C4796" s="7" t="n"/>
      <c r="D4796" s="7" t="n"/>
      <c r="E4796" s="7" t="n"/>
      <c r="F4796" s="7" t="n"/>
      <c r="G4796" s="7" t="n"/>
      <c r="H4796" s="7" t="n"/>
      <c r="I4796" s="7" t="n"/>
      <c r="J4796" s="7" t="n"/>
      <c r="K4796">
        <f>IF(D4796="Legitimate Interest (GDPR Art. 6(1)(f))", "Yes / Required (Sheet 3)", "")</f>
        <v/>
      </c>
      <c r="L4796" s="7" t="n"/>
      <c r="M4796" s="7" t="n"/>
      <c r="N4796">
        <f>IF(D4796="", "Gap - No Legal Basis", IF(AND(D4796="Consent (GDPR Art. 6(1)(a))", I4796="Not Captured"), "Gap - Invalid Consent", IF(AND(D4796="Legitimate Interest (GDPR Art. 6(1)(f))", L4796=""), "Gap - Missing LIA", IF(AND(G4796="Yes", H4796=""), "Gap - Missing Art. 9 Basis", IF(OR(I4796="Invalid - Not Freely Given", I4796="Invalid - Not Specific", I4796="Invalid - Not Informed", I4796="Invalid - Ambiguous"), "Gap - Invalid Consent", "Compliant")))))</f>
        <v/>
      </c>
      <c r="O4796" s="7" t="n"/>
    </row>
    <row r="4797">
      <c r="A4797" s="7" t="n"/>
      <c r="B4797" s="7" t="n"/>
      <c r="C4797" s="7" t="n"/>
      <c r="D4797" s="7" t="n"/>
      <c r="E4797" s="7" t="n"/>
      <c r="F4797" s="7" t="n"/>
      <c r="G4797" s="7" t="n"/>
      <c r="H4797" s="7" t="n"/>
      <c r="I4797" s="7" t="n"/>
      <c r="J4797" s="7" t="n"/>
      <c r="K4797">
        <f>IF(D4797="Legitimate Interest (GDPR Art. 6(1)(f))", "Yes / Required (Sheet 3)", "")</f>
        <v/>
      </c>
      <c r="L4797" s="7" t="n"/>
      <c r="M4797" s="7" t="n"/>
      <c r="N4797">
        <f>IF(D4797="", "Gap - No Legal Basis", IF(AND(D4797="Consent (GDPR Art. 6(1)(a))", I4797="Not Captured"), "Gap - Invalid Consent", IF(AND(D4797="Legitimate Interest (GDPR Art. 6(1)(f))", L4797=""), "Gap - Missing LIA", IF(AND(G4797="Yes", H4797=""), "Gap - Missing Art. 9 Basis", IF(OR(I4797="Invalid - Not Freely Given", I4797="Invalid - Not Specific", I4797="Invalid - Not Informed", I4797="Invalid - Ambiguous"), "Gap - Invalid Consent", "Compliant")))))</f>
        <v/>
      </c>
      <c r="O4797" s="7" t="n"/>
    </row>
    <row r="4798">
      <c r="A4798" s="7" t="n"/>
      <c r="B4798" s="7" t="n"/>
      <c r="C4798" s="7" t="n"/>
      <c r="D4798" s="7" t="n"/>
      <c r="E4798" s="7" t="n"/>
      <c r="F4798" s="7" t="n"/>
      <c r="G4798" s="7" t="n"/>
      <c r="H4798" s="7" t="n"/>
      <c r="I4798" s="7" t="n"/>
      <c r="J4798" s="7" t="n"/>
      <c r="K4798">
        <f>IF(D4798="Legitimate Interest (GDPR Art. 6(1)(f))", "Yes / Required (Sheet 3)", "")</f>
        <v/>
      </c>
      <c r="L4798" s="7" t="n"/>
      <c r="M4798" s="7" t="n"/>
      <c r="N4798">
        <f>IF(D4798="", "Gap - No Legal Basis", IF(AND(D4798="Consent (GDPR Art. 6(1)(a))", I4798="Not Captured"), "Gap - Invalid Consent", IF(AND(D4798="Legitimate Interest (GDPR Art. 6(1)(f))", L4798=""), "Gap - Missing LIA", IF(AND(G4798="Yes", H4798=""), "Gap - Missing Art. 9 Basis", IF(OR(I4798="Invalid - Not Freely Given", I4798="Invalid - Not Specific", I4798="Invalid - Not Informed", I4798="Invalid - Ambiguous"), "Gap - Invalid Consent", "Compliant")))))</f>
        <v/>
      </c>
      <c r="O4798" s="7" t="n"/>
    </row>
    <row r="4799">
      <c r="A4799" s="7" t="n"/>
      <c r="B4799" s="7" t="n"/>
      <c r="C4799" s="7" t="n"/>
      <c r="D4799" s="7" t="n"/>
      <c r="E4799" s="7" t="n"/>
      <c r="F4799" s="7" t="n"/>
      <c r="G4799" s="7" t="n"/>
      <c r="H4799" s="7" t="n"/>
      <c r="I4799" s="7" t="n"/>
      <c r="J4799" s="7" t="n"/>
      <c r="K4799">
        <f>IF(D4799="Legitimate Interest (GDPR Art. 6(1)(f))", "Yes / Required (Sheet 3)", "")</f>
        <v/>
      </c>
      <c r="L4799" s="7" t="n"/>
      <c r="M4799" s="7" t="n"/>
      <c r="N4799">
        <f>IF(D4799="", "Gap - No Legal Basis", IF(AND(D4799="Consent (GDPR Art. 6(1)(a))", I4799="Not Captured"), "Gap - Invalid Consent", IF(AND(D4799="Legitimate Interest (GDPR Art. 6(1)(f))", L4799=""), "Gap - Missing LIA", IF(AND(G4799="Yes", H4799=""), "Gap - Missing Art. 9 Basis", IF(OR(I4799="Invalid - Not Freely Given", I4799="Invalid - Not Specific", I4799="Invalid - Not Informed", I4799="Invalid - Ambiguous"), "Gap - Invalid Consent", "Compliant")))))</f>
        <v/>
      </c>
      <c r="O4799" s="7" t="n"/>
    </row>
    <row r="4800">
      <c r="A4800" s="7" t="n"/>
      <c r="B4800" s="7" t="n"/>
      <c r="C4800" s="7" t="n"/>
      <c r="D4800" s="7" t="n"/>
      <c r="E4800" s="7" t="n"/>
      <c r="F4800" s="7" t="n"/>
      <c r="G4800" s="7" t="n"/>
      <c r="H4800" s="7" t="n"/>
      <c r="I4800" s="7" t="n"/>
      <c r="J4800" s="7" t="n"/>
      <c r="K4800">
        <f>IF(D4800="Legitimate Interest (GDPR Art. 6(1)(f))", "Yes / Required (Sheet 3)", "")</f>
        <v/>
      </c>
      <c r="L4800" s="7" t="n"/>
      <c r="M4800" s="7" t="n"/>
      <c r="N4800">
        <f>IF(D4800="", "Gap - No Legal Basis", IF(AND(D4800="Consent (GDPR Art. 6(1)(a))", I4800="Not Captured"), "Gap - Invalid Consent", IF(AND(D4800="Legitimate Interest (GDPR Art. 6(1)(f))", L4800=""), "Gap - Missing LIA", IF(AND(G4800="Yes", H4800=""), "Gap - Missing Art. 9 Basis", IF(OR(I4800="Invalid - Not Freely Given", I4800="Invalid - Not Specific", I4800="Invalid - Not Informed", I4800="Invalid - Ambiguous"), "Gap - Invalid Consent", "Compliant")))))</f>
        <v/>
      </c>
      <c r="O4800" s="7" t="n"/>
    </row>
    <row r="4801">
      <c r="A4801" s="7" t="n"/>
      <c r="B4801" s="7" t="n"/>
      <c r="C4801" s="7" t="n"/>
      <c r="D4801" s="7" t="n"/>
      <c r="E4801" s="7" t="n"/>
      <c r="F4801" s="7" t="n"/>
      <c r="G4801" s="7" t="n"/>
      <c r="H4801" s="7" t="n"/>
      <c r="I4801" s="7" t="n"/>
      <c r="J4801" s="7" t="n"/>
      <c r="K4801">
        <f>IF(D4801="Legitimate Interest (GDPR Art. 6(1)(f))", "Yes / Required (Sheet 3)", "")</f>
        <v/>
      </c>
      <c r="L4801" s="7" t="n"/>
      <c r="M4801" s="7" t="n"/>
      <c r="N4801">
        <f>IF(D4801="", "Gap - No Legal Basis", IF(AND(D4801="Consent (GDPR Art. 6(1)(a))", I4801="Not Captured"), "Gap - Invalid Consent", IF(AND(D4801="Legitimate Interest (GDPR Art. 6(1)(f))", L4801=""), "Gap - Missing LIA", IF(AND(G4801="Yes", H4801=""), "Gap - Missing Art. 9 Basis", IF(OR(I4801="Invalid - Not Freely Given", I4801="Invalid - Not Specific", I4801="Invalid - Not Informed", I4801="Invalid - Ambiguous"), "Gap - Invalid Consent", "Compliant")))))</f>
        <v/>
      </c>
      <c r="O4801" s="7" t="n"/>
    </row>
    <row r="4802">
      <c r="A4802" s="7" t="n"/>
      <c r="B4802" s="7" t="n"/>
      <c r="C4802" s="7" t="n"/>
      <c r="D4802" s="7" t="n"/>
      <c r="E4802" s="7" t="n"/>
      <c r="F4802" s="7" t="n"/>
      <c r="G4802" s="7" t="n"/>
      <c r="H4802" s="7" t="n"/>
      <c r="I4802" s="7" t="n"/>
      <c r="J4802" s="7" t="n"/>
      <c r="K4802">
        <f>IF(D4802="Legitimate Interest (GDPR Art. 6(1)(f))", "Yes / Required (Sheet 3)", "")</f>
        <v/>
      </c>
      <c r="L4802" s="7" t="n"/>
      <c r="M4802" s="7" t="n"/>
      <c r="N4802">
        <f>IF(D4802="", "Gap - No Legal Basis", IF(AND(D4802="Consent (GDPR Art. 6(1)(a))", I4802="Not Captured"), "Gap - Invalid Consent", IF(AND(D4802="Legitimate Interest (GDPR Art. 6(1)(f))", L4802=""), "Gap - Missing LIA", IF(AND(G4802="Yes", H4802=""), "Gap - Missing Art. 9 Basis", IF(OR(I4802="Invalid - Not Freely Given", I4802="Invalid - Not Specific", I4802="Invalid - Not Informed", I4802="Invalid - Ambiguous"), "Gap - Invalid Consent", "Compliant")))))</f>
        <v/>
      </c>
      <c r="O4802" s="7" t="n"/>
    </row>
    <row r="4803">
      <c r="A4803" s="7" t="n"/>
      <c r="B4803" s="7" t="n"/>
      <c r="C4803" s="7" t="n"/>
      <c r="D4803" s="7" t="n"/>
      <c r="E4803" s="7" t="n"/>
      <c r="F4803" s="7" t="n"/>
      <c r="G4803" s="7" t="n"/>
      <c r="H4803" s="7" t="n"/>
      <c r="I4803" s="7" t="n"/>
      <c r="J4803" s="7" t="n"/>
      <c r="K4803">
        <f>IF(D4803="Legitimate Interest (GDPR Art. 6(1)(f))", "Yes / Required (Sheet 3)", "")</f>
        <v/>
      </c>
      <c r="L4803" s="7" t="n"/>
      <c r="M4803" s="7" t="n"/>
      <c r="N4803">
        <f>IF(D4803="", "Gap - No Legal Basis", IF(AND(D4803="Consent (GDPR Art. 6(1)(a))", I4803="Not Captured"), "Gap - Invalid Consent", IF(AND(D4803="Legitimate Interest (GDPR Art. 6(1)(f))", L4803=""), "Gap - Missing LIA", IF(AND(G4803="Yes", H4803=""), "Gap - Missing Art. 9 Basis", IF(OR(I4803="Invalid - Not Freely Given", I4803="Invalid - Not Specific", I4803="Invalid - Not Informed", I4803="Invalid - Ambiguous"), "Gap - Invalid Consent", "Compliant")))))</f>
        <v/>
      </c>
      <c r="O4803" s="7" t="n"/>
    </row>
    <row r="4804">
      <c r="A4804" s="7" t="n"/>
      <c r="B4804" s="7" t="n"/>
      <c r="C4804" s="7" t="n"/>
      <c r="D4804" s="7" t="n"/>
      <c r="E4804" s="7" t="n"/>
      <c r="F4804" s="7" t="n"/>
      <c r="G4804" s="7" t="n"/>
      <c r="H4804" s="7" t="n"/>
      <c r="I4804" s="7" t="n"/>
      <c r="J4804" s="7" t="n"/>
      <c r="K4804">
        <f>IF(D4804="Legitimate Interest (GDPR Art. 6(1)(f))", "Yes / Required (Sheet 3)", "")</f>
        <v/>
      </c>
      <c r="L4804" s="7" t="n"/>
      <c r="M4804" s="7" t="n"/>
      <c r="N4804">
        <f>IF(D4804="", "Gap - No Legal Basis", IF(AND(D4804="Consent (GDPR Art. 6(1)(a))", I4804="Not Captured"), "Gap - Invalid Consent", IF(AND(D4804="Legitimate Interest (GDPR Art. 6(1)(f))", L4804=""), "Gap - Missing LIA", IF(AND(G4804="Yes", H4804=""), "Gap - Missing Art. 9 Basis", IF(OR(I4804="Invalid - Not Freely Given", I4804="Invalid - Not Specific", I4804="Invalid - Not Informed", I4804="Invalid - Ambiguous"), "Gap - Invalid Consent", "Compliant")))))</f>
        <v/>
      </c>
      <c r="O4804" s="7" t="n"/>
    </row>
    <row r="4805">
      <c r="A4805" s="7" t="n"/>
      <c r="B4805" s="7" t="n"/>
      <c r="C4805" s="7" t="n"/>
      <c r="D4805" s="7" t="n"/>
      <c r="E4805" s="7" t="n"/>
      <c r="F4805" s="7" t="n"/>
      <c r="G4805" s="7" t="n"/>
      <c r="H4805" s="7" t="n"/>
      <c r="I4805" s="7" t="n"/>
      <c r="J4805" s="7" t="n"/>
      <c r="K4805">
        <f>IF(D4805="Legitimate Interest (GDPR Art. 6(1)(f))", "Yes / Required (Sheet 3)", "")</f>
        <v/>
      </c>
      <c r="L4805" s="7" t="n"/>
      <c r="M4805" s="7" t="n"/>
      <c r="N4805">
        <f>IF(D4805="", "Gap - No Legal Basis", IF(AND(D4805="Consent (GDPR Art. 6(1)(a))", I4805="Not Captured"), "Gap - Invalid Consent", IF(AND(D4805="Legitimate Interest (GDPR Art. 6(1)(f))", L4805=""), "Gap - Missing LIA", IF(AND(G4805="Yes", H4805=""), "Gap - Missing Art. 9 Basis", IF(OR(I4805="Invalid - Not Freely Given", I4805="Invalid - Not Specific", I4805="Invalid - Not Informed", I4805="Invalid - Ambiguous"), "Gap - Invalid Consent", "Compliant")))))</f>
        <v/>
      </c>
      <c r="O4805" s="7" t="n"/>
    </row>
    <row r="4806">
      <c r="A4806" s="7" t="n"/>
      <c r="B4806" s="7" t="n"/>
      <c r="C4806" s="7" t="n"/>
      <c r="D4806" s="7" t="n"/>
      <c r="E4806" s="7" t="n"/>
      <c r="F4806" s="7" t="n"/>
      <c r="G4806" s="7" t="n"/>
      <c r="H4806" s="7" t="n"/>
      <c r="I4806" s="7" t="n"/>
      <c r="J4806" s="7" t="n"/>
      <c r="K4806">
        <f>IF(D4806="Legitimate Interest (GDPR Art. 6(1)(f))", "Yes / Required (Sheet 3)", "")</f>
        <v/>
      </c>
      <c r="L4806" s="7" t="n"/>
      <c r="M4806" s="7" t="n"/>
      <c r="N4806">
        <f>IF(D4806="", "Gap - No Legal Basis", IF(AND(D4806="Consent (GDPR Art. 6(1)(a))", I4806="Not Captured"), "Gap - Invalid Consent", IF(AND(D4806="Legitimate Interest (GDPR Art. 6(1)(f))", L4806=""), "Gap - Missing LIA", IF(AND(G4806="Yes", H4806=""), "Gap - Missing Art. 9 Basis", IF(OR(I4806="Invalid - Not Freely Given", I4806="Invalid - Not Specific", I4806="Invalid - Not Informed", I4806="Invalid - Ambiguous"), "Gap - Invalid Consent", "Compliant")))))</f>
        <v/>
      </c>
      <c r="O4806" s="7" t="n"/>
    </row>
    <row r="4807">
      <c r="A4807" s="7" t="n"/>
      <c r="B4807" s="7" t="n"/>
      <c r="C4807" s="7" t="n"/>
      <c r="D4807" s="7" t="n"/>
      <c r="E4807" s="7" t="n"/>
      <c r="F4807" s="7" t="n"/>
      <c r="G4807" s="7" t="n"/>
      <c r="H4807" s="7" t="n"/>
      <c r="I4807" s="7" t="n"/>
      <c r="J4807" s="7" t="n"/>
      <c r="K4807">
        <f>IF(D4807="Legitimate Interest (GDPR Art. 6(1)(f))", "Yes / Required (Sheet 3)", "")</f>
        <v/>
      </c>
      <c r="L4807" s="7" t="n"/>
      <c r="M4807" s="7" t="n"/>
      <c r="N4807">
        <f>IF(D4807="", "Gap - No Legal Basis", IF(AND(D4807="Consent (GDPR Art. 6(1)(a))", I4807="Not Captured"), "Gap - Invalid Consent", IF(AND(D4807="Legitimate Interest (GDPR Art. 6(1)(f))", L4807=""), "Gap - Missing LIA", IF(AND(G4807="Yes", H4807=""), "Gap - Missing Art. 9 Basis", IF(OR(I4807="Invalid - Not Freely Given", I4807="Invalid - Not Specific", I4807="Invalid - Not Informed", I4807="Invalid - Ambiguous"), "Gap - Invalid Consent", "Compliant")))))</f>
        <v/>
      </c>
      <c r="O4807" s="7" t="n"/>
    </row>
    <row r="4808">
      <c r="A4808" s="7" t="n"/>
      <c r="B4808" s="7" t="n"/>
      <c r="C4808" s="7" t="n"/>
      <c r="D4808" s="7" t="n"/>
      <c r="E4808" s="7" t="n"/>
      <c r="F4808" s="7" t="n"/>
      <c r="G4808" s="7" t="n"/>
      <c r="H4808" s="7" t="n"/>
      <c r="I4808" s="7" t="n"/>
      <c r="J4808" s="7" t="n"/>
      <c r="K4808">
        <f>IF(D4808="Legitimate Interest (GDPR Art. 6(1)(f))", "Yes / Required (Sheet 3)", "")</f>
        <v/>
      </c>
      <c r="L4808" s="7" t="n"/>
      <c r="M4808" s="7" t="n"/>
      <c r="N4808">
        <f>IF(D4808="", "Gap - No Legal Basis", IF(AND(D4808="Consent (GDPR Art. 6(1)(a))", I4808="Not Captured"), "Gap - Invalid Consent", IF(AND(D4808="Legitimate Interest (GDPR Art. 6(1)(f))", L4808=""), "Gap - Missing LIA", IF(AND(G4808="Yes", H4808=""), "Gap - Missing Art. 9 Basis", IF(OR(I4808="Invalid - Not Freely Given", I4808="Invalid - Not Specific", I4808="Invalid - Not Informed", I4808="Invalid - Ambiguous"), "Gap - Invalid Consent", "Compliant")))))</f>
        <v/>
      </c>
      <c r="O4808" s="7" t="n"/>
    </row>
    <row r="4809">
      <c r="A4809" s="7" t="n"/>
      <c r="B4809" s="7" t="n"/>
      <c r="C4809" s="7" t="n"/>
      <c r="D4809" s="7" t="n"/>
      <c r="E4809" s="7" t="n"/>
      <c r="F4809" s="7" t="n"/>
      <c r="G4809" s="7" t="n"/>
      <c r="H4809" s="7" t="n"/>
      <c r="I4809" s="7" t="n"/>
      <c r="J4809" s="7" t="n"/>
      <c r="K4809">
        <f>IF(D4809="Legitimate Interest (GDPR Art. 6(1)(f))", "Yes / Required (Sheet 3)", "")</f>
        <v/>
      </c>
      <c r="L4809" s="7" t="n"/>
      <c r="M4809" s="7" t="n"/>
      <c r="N4809">
        <f>IF(D4809="", "Gap - No Legal Basis", IF(AND(D4809="Consent (GDPR Art. 6(1)(a))", I4809="Not Captured"), "Gap - Invalid Consent", IF(AND(D4809="Legitimate Interest (GDPR Art. 6(1)(f))", L4809=""), "Gap - Missing LIA", IF(AND(G4809="Yes", H4809=""), "Gap - Missing Art. 9 Basis", IF(OR(I4809="Invalid - Not Freely Given", I4809="Invalid - Not Specific", I4809="Invalid - Not Informed", I4809="Invalid - Ambiguous"), "Gap - Invalid Consent", "Compliant")))))</f>
        <v/>
      </c>
      <c r="O4809" s="7" t="n"/>
    </row>
    <row r="4810">
      <c r="A4810" s="7" t="n"/>
      <c r="B4810" s="7" t="n"/>
      <c r="C4810" s="7" t="n"/>
      <c r="D4810" s="7" t="n"/>
      <c r="E4810" s="7" t="n"/>
      <c r="F4810" s="7" t="n"/>
      <c r="G4810" s="7" t="n"/>
      <c r="H4810" s="7" t="n"/>
      <c r="I4810" s="7" t="n"/>
      <c r="J4810" s="7" t="n"/>
      <c r="K4810">
        <f>IF(D4810="Legitimate Interest (GDPR Art. 6(1)(f))", "Yes / Required (Sheet 3)", "")</f>
        <v/>
      </c>
      <c r="L4810" s="7" t="n"/>
      <c r="M4810" s="7" t="n"/>
      <c r="N4810">
        <f>IF(D4810="", "Gap - No Legal Basis", IF(AND(D4810="Consent (GDPR Art. 6(1)(a))", I4810="Not Captured"), "Gap - Invalid Consent", IF(AND(D4810="Legitimate Interest (GDPR Art. 6(1)(f))", L4810=""), "Gap - Missing LIA", IF(AND(G4810="Yes", H4810=""), "Gap - Missing Art. 9 Basis", IF(OR(I4810="Invalid - Not Freely Given", I4810="Invalid - Not Specific", I4810="Invalid - Not Informed", I4810="Invalid - Ambiguous"), "Gap - Invalid Consent", "Compliant")))))</f>
        <v/>
      </c>
      <c r="O4810" s="7" t="n"/>
    </row>
    <row r="4811">
      <c r="A4811" s="7" t="n"/>
      <c r="B4811" s="7" t="n"/>
      <c r="C4811" s="7" t="n"/>
      <c r="D4811" s="7" t="n"/>
      <c r="E4811" s="7" t="n"/>
      <c r="F4811" s="7" t="n"/>
      <c r="G4811" s="7" t="n"/>
      <c r="H4811" s="7" t="n"/>
      <c r="I4811" s="7" t="n"/>
      <c r="J4811" s="7" t="n"/>
      <c r="K4811">
        <f>IF(D4811="Legitimate Interest (GDPR Art. 6(1)(f))", "Yes / Required (Sheet 3)", "")</f>
        <v/>
      </c>
      <c r="L4811" s="7" t="n"/>
      <c r="M4811" s="7" t="n"/>
      <c r="N4811">
        <f>IF(D4811="", "Gap - No Legal Basis", IF(AND(D4811="Consent (GDPR Art. 6(1)(a))", I4811="Not Captured"), "Gap - Invalid Consent", IF(AND(D4811="Legitimate Interest (GDPR Art. 6(1)(f))", L4811=""), "Gap - Missing LIA", IF(AND(G4811="Yes", H4811=""), "Gap - Missing Art. 9 Basis", IF(OR(I4811="Invalid - Not Freely Given", I4811="Invalid - Not Specific", I4811="Invalid - Not Informed", I4811="Invalid - Ambiguous"), "Gap - Invalid Consent", "Compliant")))))</f>
        <v/>
      </c>
      <c r="O4811" s="7" t="n"/>
    </row>
    <row r="4812">
      <c r="A4812" s="7" t="n"/>
      <c r="B4812" s="7" t="n"/>
      <c r="C4812" s="7" t="n"/>
      <c r="D4812" s="7" t="n"/>
      <c r="E4812" s="7" t="n"/>
      <c r="F4812" s="7" t="n"/>
      <c r="G4812" s="7" t="n"/>
      <c r="H4812" s="7" t="n"/>
      <c r="I4812" s="7" t="n"/>
      <c r="J4812" s="7" t="n"/>
      <c r="K4812">
        <f>IF(D4812="Legitimate Interest (GDPR Art. 6(1)(f))", "Yes / Required (Sheet 3)", "")</f>
        <v/>
      </c>
      <c r="L4812" s="7" t="n"/>
      <c r="M4812" s="7" t="n"/>
      <c r="N4812">
        <f>IF(D4812="", "Gap - No Legal Basis", IF(AND(D4812="Consent (GDPR Art. 6(1)(a))", I4812="Not Captured"), "Gap - Invalid Consent", IF(AND(D4812="Legitimate Interest (GDPR Art. 6(1)(f))", L4812=""), "Gap - Missing LIA", IF(AND(G4812="Yes", H4812=""), "Gap - Missing Art. 9 Basis", IF(OR(I4812="Invalid - Not Freely Given", I4812="Invalid - Not Specific", I4812="Invalid - Not Informed", I4812="Invalid - Ambiguous"), "Gap - Invalid Consent", "Compliant")))))</f>
        <v/>
      </c>
      <c r="O4812" s="7" t="n"/>
    </row>
    <row r="4813">
      <c r="A4813" s="7" t="n"/>
      <c r="B4813" s="7" t="n"/>
      <c r="C4813" s="7" t="n"/>
      <c r="D4813" s="7" t="n"/>
      <c r="E4813" s="7" t="n"/>
      <c r="F4813" s="7" t="n"/>
      <c r="G4813" s="7" t="n"/>
      <c r="H4813" s="7" t="n"/>
      <c r="I4813" s="7" t="n"/>
      <c r="J4813" s="7" t="n"/>
      <c r="K4813">
        <f>IF(D4813="Legitimate Interest (GDPR Art. 6(1)(f))", "Yes / Required (Sheet 3)", "")</f>
        <v/>
      </c>
      <c r="L4813" s="7" t="n"/>
      <c r="M4813" s="7" t="n"/>
      <c r="N4813">
        <f>IF(D4813="", "Gap - No Legal Basis", IF(AND(D4813="Consent (GDPR Art. 6(1)(a))", I4813="Not Captured"), "Gap - Invalid Consent", IF(AND(D4813="Legitimate Interest (GDPR Art. 6(1)(f))", L4813=""), "Gap - Missing LIA", IF(AND(G4813="Yes", H4813=""), "Gap - Missing Art. 9 Basis", IF(OR(I4813="Invalid - Not Freely Given", I4813="Invalid - Not Specific", I4813="Invalid - Not Informed", I4813="Invalid - Ambiguous"), "Gap - Invalid Consent", "Compliant")))))</f>
        <v/>
      </c>
      <c r="O4813" s="7" t="n"/>
    </row>
    <row r="4814">
      <c r="A4814" s="7" t="n"/>
      <c r="B4814" s="7" t="n"/>
      <c r="C4814" s="7" t="n"/>
      <c r="D4814" s="7" t="n"/>
      <c r="E4814" s="7" t="n"/>
      <c r="F4814" s="7" t="n"/>
      <c r="G4814" s="7" t="n"/>
      <c r="H4814" s="7" t="n"/>
      <c r="I4814" s="7" t="n"/>
      <c r="J4814" s="7" t="n"/>
      <c r="K4814">
        <f>IF(D4814="Legitimate Interest (GDPR Art. 6(1)(f))", "Yes / Required (Sheet 3)", "")</f>
        <v/>
      </c>
      <c r="L4814" s="7" t="n"/>
      <c r="M4814" s="7" t="n"/>
      <c r="N4814">
        <f>IF(D4814="", "Gap - No Legal Basis", IF(AND(D4814="Consent (GDPR Art. 6(1)(a))", I4814="Not Captured"), "Gap - Invalid Consent", IF(AND(D4814="Legitimate Interest (GDPR Art. 6(1)(f))", L4814=""), "Gap - Missing LIA", IF(AND(G4814="Yes", H4814=""), "Gap - Missing Art. 9 Basis", IF(OR(I4814="Invalid - Not Freely Given", I4814="Invalid - Not Specific", I4814="Invalid - Not Informed", I4814="Invalid - Ambiguous"), "Gap - Invalid Consent", "Compliant")))))</f>
        <v/>
      </c>
      <c r="O4814" s="7" t="n"/>
    </row>
    <row r="4815">
      <c r="A4815" s="7" t="n"/>
      <c r="B4815" s="7" t="n"/>
      <c r="C4815" s="7" t="n"/>
      <c r="D4815" s="7" t="n"/>
      <c r="E4815" s="7" t="n"/>
      <c r="F4815" s="7" t="n"/>
      <c r="G4815" s="7" t="n"/>
      <c r="H4815" s="7" t="n"/>
      <c r="I4815" s="7" t="n"/>
      <c r="J4815" s="7" t="n"/>
      <c r="K4815">
        <f>IF(D4815="Legitimate Interest (GDPR Art. 6(1)(f))", "Yes / Required (Sheet 3)", "")</f>
        <v/>
      </c>
      <c r="L4815" s="7" t="n"/>
      <c r="M4815" s="7" t="n"/>
      <c r="N4815">
        <f>IF(D4815="", "Gap - No Legal Basis", IF(AND(D4815="Consent (GDPR Art. 6(1)(a))", I4815="Not Captured"), "Gap - Invalid Consent", IF(AND(D4815="Legitimate Interest (GDPR Art. 6(1)(f))", L4815=""), "Gap - Missing LIA", IF(AND(G4815="Yes", H4815=""), "Gap - Missing Art. 9 Basis", IF(OR(I4815="Invalid - Not Freely Given", I4815="Invalid - Not Specific", I4815="Invalid - Not Informed", I4815="Invalid - Ambiguous"), "Gap - Invalid Consent", "Compliant")))))</f>
        <v/>
      </c>
      <c r="O4815" s="7" t="n"/>
    </row>
    <row r="4816">
      <c r="A4816" s="7" t="n"/>
      <c r="B4816" s="7" t="n"/>
      <c r="C4816" s="7" t="n"/>
      <c r="D4816" s="7" t="n"/>
      <c r="E4816" s="7" t="n"/>
      <c r="F4816" s="7" t="n"/>
      <c r="G4816" s="7" t="n"/>
      <c r="H4816" s="7" t="n"/>
      <c r="I4816" s="7" t="n"/>
      <c r="J4816" s="7" t="n"/>
      <c r="K4816">
        <f>IF(D4816="Legitimate Interest (GDPR Art. 6(1)(f))", "Yes / Required (Sheet 3)", "")</f>
        <v/>
      </c>
      <c r="L4816" s="7" t="n"/>
      <c r="M4816" s="7" t="n"/>
      <c r="N4816">
        <f>IF(D4816="", "Gap - No Legal Basis", IF(AND(D4816="Consent (GDPR Art. 6(1)(a))", I4816="Not Captured"), "Gap - Invalid Consent", IF(AND(D4816="Legitimate Interest (GDPR Art. 6(1)(f))", L4816=""), "Gap - Missing LIA", IF(AND(G4816="Yes", H4816=""), "Gap - Missing Art. 9 Basis", IF(OR(I4816="Invalid - Not Freely Given", I4816="Invalid - Not Specific", I4816="Invalid - Not Informed", I4816="Invalid - Ambiguous"), "Gap - Invalid Consent", "Compliant")))))</f>
        <v/>
      </c>
      <c r="O4816" s="7" t="n"/>
    </row>
    <row r="4817">
      <c r="A4817" s="7" t="n"/>
      <c r="B4817" s="7" t="n"/>
      <c r="C4817" s="7" t="n"/>
      <c r="D4817" s="7" t="n"/>
      <c r="E4817" s="7" t="n"/>
      <c r="F4817" s="7" t="n"/>
      <c r="G4817" s="7" t="n"/>
      <c r="H4817" s="7" t="n"/>
      <c r="I4817" s="7" t="n"/>
      <c r="J4817" s="7" t="n"/>
      <c r="K4817">
        <f>IF(D4817="Legitimate Interest (GDPR Art. 6(1)(f))", "Yes / Required (Sheet 3)", "")</f>
        <v/>
      </c>
      <c r="L4817" s="7" t="n"/>
      <c r="M4817" s="7" t="n"/>
      <c r="N4817">
        <f>IF(D4817="", "Gap - No Legal Basis", IF(AND(D4817="Consent (GDPR Art. 6(1)(a))", I4817="Not Captured"), "Gap - Invalid Consent", IF(AND(D4817="Legitimate Interest (GDPR Art. 6(1)(f))", L4817=""), "Gap - Missing LIA", IF(AND(G4817="Yes", H4817=""), "Gap - Missing Art. 9 Basis", IF(OR(I4817="Invalid - Not Freely Given", I4817="Invalid - Not Specific", I4817="Invalid - Not Informed", I4817="Invalid - Ambiguous"), "Gap - Invalid Consent", "Compliant")))))</f>
        <v/>
      </c>
      <c r="O4817" s="7" t="n"/>
    </row>
    <row r="4818">
      <c r="A4818" s="7" t="n"/>
      <c r="B4818" s="7" t="n"/>
      <c r="C4818" s="7" t="n"/>
      <c r="D4818" s="7" t="n"/>
      <c r="E4818" s="7" t="n"/>
      <c r="F4818" s="7" t="n"/>
      <c r="G4818" s="7" t="n"/>
      <c r="H4818" s="7" t="n"/>
      <c r="I4818" s="7" t="n"/>
      <c r="J4818" s="7" t="n"/>
      <c r="K4818">
        <f>IF(D4818="Legitimate Interest (GDPR Art. 6(1)(f))", "Yes / Required (Sheet 3)", "")</f>
        <v/>
      </c>
      <c r="L4818" s="7" t="n"/>
      <c r="M4818" s="7" t="n"/>
      <c r="N4818">
        <f>IF(D4818="", "Gap - No Legal Basis", IF(AND(D4818="Consent (GDPR Art. 6(1)(a))", I4818="Not Captured"), "Gap - Invalid Consent", IF(AND(D4818="Legitimate Interest (GDPR Art. 6(1)(f))", L4818=""), "Gap - Missing LIA", IF(AND(G4818="Yes", H4818=""), "Gap - Missing Art. 9 Basis", IF(OR(I4818="Invalid - Not Freely Given", I4818="Invalid - Not Specific", I4818="Invalid - Not Informed", I4818="Invalid - Ambiguous"), "Gap - Invalid Consent", "Compliant")))))</f>
        <v/>
      </c>
      <c r="O4818" s="7" t="n"/>
    </row>
    <row r="4819">
      <c r="A4819" s="7" t="n"/>
      <c r="B4819" s="7" t="n"/>
      <c r="C4819" s="7" t="n"/>
      <c r="D4819" s="7" t="n"/>
      <c r="E4819" s="7" t="n"/>
      <c r="F4819" s="7" t="n"/>
      <c r="G4819" s="7" t="n"/>
      <c r="H4819" s="7" t="n"/>
      <c r="I4819" s="7" t="n"/>
      <c r="J4819" s="7" t="n"/>
      <c r="K4819">
        <f>IF(D4819="Legitimate Interest (GDPR Art. 6(1)(f))", "Yes / Required (Sheet 3)", "")</f>
        <v/>
      </c>
      <c r="L4819" s="7" t="n"/>
      <c r="M4819" s="7" t="n"/>
      <c r="N4819">
        <f>IF(D4819="", "Gap - No Legal Basis", IF(AND(D4819="Consent (GDPR Art. 6(1)(a))", I4819="Not Captured"), "Gap - Invalid Consent", IF(AND(D4819="Legitimate Interest (GDPR Art. 6(1)(f))", L4819=""), "Gap - Missing LIA", IF(AND(G4819="Yes", H4819=""), "Gap - Missing Art. 9 Basis", IF(OR(I4819="Invalid - Not Freely Given", I4819="Invalid - Not Specific", I4819="Invalid - Not Informed", I4819="Invalid - Ambiguous"), "Gap - Invalid Consent", "Compliant")))))</f>
        <v/>
      </c>
      <c r="O4819" s="7" t="n"/>
    </row>
    <row r="4820">
      <c r="A4820" s="7" t="n"/>
      <c r="B4820" s="7" t="n"/>
      <c r="C4820" s="7" t="n"/>
      <c r="D4820" s="7" t="n"/>
      <c r="E4820" s="7" t="n"/>
      <c r="F4820" s="7" t="n"/>
      <c r="G4820" s="7" t="n"/>
      <c r="H4820" s="7" t="n"/>
      <c r="I4820" s="7" t="n"/>
      <c r="J4820" s="7" t="n"/>
      <c r="K4820">
        <f>IF(D4820="Legitimate Interest (GDPR Art. 6(1)(f))", "Yes / Required (Sheet 3)", "")</f>
        <v/>
      </c>
      <c r="L4820" s="7" t="n"/>
      <c r="M4820" s="7" t="n"/>
      <c r="N4820">
        <f>IF(D4820="", "Gap - No Legal Basis", IF(AND(D4820="Consent (GDPR Art. 6(1)(a))", I4820="Not Captured"), "Gap - Invalid Consent", IF(AND(D4820="Legitimate Interest (GDPR Art. 6(1)(f))", L4820=""), "Gap - Missing LIA", IF(AND(G4820="Yes", H4820=""), "Gap - Missing Art. 9 Basis", IF(OR(I4820="Invalid - Not Freely Given", I4820="Invalid - Not Specific", I4820="Invalid - Not Informed", I4820="Invalid - Ambiguous"), "Gap - Invalid Consent", "Compliant")))))</f>
        <v/>
      </c>
      <c r="O4820" s="7" t="n"/>
    </row>
    <row r="4821">
      <c r="A4821" s="7" t="n"/>
      <c r="B4821" s="7" t="n"/>
      <c r="C4821" s="7" t="n"/>
      <c r="D4821" s="7" t="n"/>
      <c r="E4821" s="7" t="n"/>
      <c r="F4821" s="7" t="n"/>
      <c r="G4821" s="7" t="n"/>
      <c r="H4821" s="7" t="n"/>
      <c r="I4821" s="7" t="n"/>
      <c r="J4821" s="7" t="n"/>
      <c r="K4821">
        <f>IF(D4821="Legitimate Interest (GDPR Art. 6(1)(f))", "Yes / Required (Sheet 3)", "")</f>
        <v/>
      </c>
      <c r="L4821" s="7" t="n"/>
      <c r="M4821" s="7" t="n"/>
      <c r="N4821">
        <f>IF(D4821="", "Gap - No Legal Basis", IF(AND(D4821="Consent (GDPR Art. 6(1)(a))", I4821="Not Captured"), "Gap - Invalid Consent", IF(AND(D4821="Legitimate Interest (GDPR Art. 6(1)(f))", L4821=""), "Gap - Missing LIA", IF(AND(G4821="Yes", H4821=""), "Gap - Missing Art. 9 Basis", IF(OR(I4821="Invalid - Not Freely Given", I4821="Invalid - Not Specific", I4821="Invalid - Not Informed", I4821="Invalid - Ambiguous"), "Gap - Invalid Consent", "Compliant")))))</f>
        <v/>
      </c>
      <c r="O4821" s="7" t="n"/>
    </row>
    <row r="4822">
      <c r="A4822" s="7" t="n"/>
      <c r="B4822" s="7" t="n"/>
      <c r="C4822" s="7" t="n"/>
      <c r="D4822" s="7" t="n"/>
      <c r="E4822" s="7" t="n"/>
      <c r="F4822" s="7" t="n"/>
      <c r="G4822" s="7" t="n"/>
      <c r="H4822" s="7" t="n"/>
      <c r="I4822" s="7" t="n"/>
      <c r="J4822" s="7" t="n"/>
      <c r="K4822">
        <f>IF(D4822="Legitimate Interest (GDPR Art. 6(1)(f))", "Yes / Required (Sheet 3)", "")</f>
        <v/>
      </c>
      <c r="L4822" s="7" t="n"/>
      <c r="M4822" s="7" t="n"/>
      <c r="N4822">
        <f>IF(D4822="", "Gap - No Legal Basis", IF(AND(D4822="Consent (GDPR Art. 6(1)(a))", I4822="Not Captured"), "Gap - Invalid Consent", IF(AND(D4822="Legitimate Interest (GDPR Art. 6(1)(f))", L4822=""), "Gap - Missing LIA", IF(AND(G4822="Yes", H4822=""), "Gap - Missing Art. 9 Basis", IF(OR(I4822="Invalid - Not Freely Given", I4822="Invalid - Not Specific", I4822="Invalid - Not Informed", I4822="Invalid - Ambiguous"), "Gap - Invalid Consent", "Compliant")))))</f>
        <v/>
      </c>
      <c r="O4822" s="7" t="n"/>
    </row>
    <row r="4823">
      <c r="A4823" s="7" t="n"/>
      <c r="B4823" s="7" t="n"/>
      <c r="C4823" s="7" t="n"/>
      <c r="D4823" s="7" t="n"/>
      <c r="E4823" s="7" t="n"/>
      <c r="F4823" s="7" t="n"/>
      <c r="G4823" s="7" t="n"/>
      <c r="H4823" s="7" t="n"/>
      <c r="I4823" s="7" t="n"/>
      <c r="J4823" s="7" t="n"/>
      <c r="K4823">
        <f>IF(D4823="Legitimate Interest (GDPR Art. 6(1)(f))", "Yes / Required (Sheet 3)", "")</f>
        <v/>
      </c>
      <c r="L4823" s="7" t="n"/>
      <c r="M4823" s="7" t="n"/>
      <c r="N4823">
        <f>IF(D4823="", "Gap - No Legal Basis", IF(AND(D4823="Consent (GDPR Art. 6(1)(a))", I4823="Not Captured"), "Gap - Invalid Consent", IF(AND(D4823="Legitimate Interest (GDPR Art. 6(1)(f))", L4823=""), "Gap - Missing LIA", IF(AND(G4823="Yes", H4823=""), "Gap - Missing Art. 9 Basis", IF(OR(I4823="Invalid - Not Freely Given", I4823="Invalid - Not Specific", I4823="Invalid - Not Informed", I4823="Invalid - Ambiguous"), "Gap - Invalid Consent", "Compliant")))))</f>
        <v/>
      </c>
      <c r="O4823" s="7" t="n"/>
    </row>
    <row r="4824">
      <c r="A4824" s="7" t="n"/>
      <c r="B4824" s="7" t="n"/>
      <c r="C4824" s="7" t="n"/>
      <c r="D4824" s="7" t="n"/>
      <c r="E4824" s="7" t="n"/>
      <c r="F4824" s="7" t="n"/>
      <c r="G4824" s="7" t="n"/>
      <c r="H4824" s="7" t="n"/>
      <c r="I4824" s="7" t="n"/>
      <c r="J4824" s="7" t="n"/>
      <c r="K4824">
        <f>IF(D4824="Legitimate Interest (GDPR Art. 6(1)(f))", "Yes / Required (Sheet 3)", "")</f>
        <v/>
      </c>
      <c r="L4824" s="7" t="n"/>
      <c r="M4824" s="7" t="n"/>
      <c r="N4824">
        <f>IF(D4824="", "Gap - No Legal Basis", IF(AND(D4824="Consent (GDPR Art. 6(1)(a))", I4824="Not Captured"), "Gap - Invalid Consent", IF(AND(D4824="Legitimate Interest (GDPR Art. 6(1)(f))", L4824=""), "Gap - Missing LIA", IF(AND(G4824="Yes", H4824=""), "Gap - Missing Art. 9 Basis", IF(OR(I4824="Invalid - Not Freely Given", I4824="Invalid - Not Specific", I4824="Invalid - Not Informed", I4824="Invalid - Ambiguous"), "Gap - Invalid Consent", "Compliant")))))</f>
        <v/>
      </c>
      <c r="O4824" s="7" t="n"/>
    </row>
    <row r="4825">
      <c r="A4825" s="7" t="n"/>
      <c r="B4825" s="7" t="n"/>
      <c r="C4825" s="7" t="n"/>
      <c r="D4825" s="7" t="n"/>
      <c r="E4825" s="7" t="n"/>
      <c r="F4825" s="7" t="n"/>
      <c r="G4825" s="7" t="n"/>
      <c r="H4825" s="7" t="n"/>
      <c r="I4825" s="7" t="n"/>
      <c r="J4825" s="7" t="n"/>
      <c r="K4825">
        <f>IF(D4825="Legitimate Interest (GDPR Art. 6(1)(f))", "Yes / Required (Sheet 3)", "")</f>
        <v/>
      </c>
      <c r="L4825" s="7" t="n"/>
      <c r="M4825" s="7" t="n"/>
      <c r="N4825">
        <f>IF(D4825="", "Gap - No Legal Basis", IF(AND(D4825="Consent (GDPR Art. 6(1)(a))", I4825="Not Captured"), "Gap - Invalid Consent", IF(AND(D4825="Legitimate Interest (GDPR Art. 6(1)(f))", L4825=""), "Gap - Missing LIA", IF(AND(G4825="Yes", H4825=""), "Gap - Missing Art. 9 Basis", IF(OR(I4825="Invalid - Not Freely Given", I4825="Invalid - Not Specific", I4825="Invalid - Not Informed", I4825="Invalid - Ambiguous"), "Gap - Invalid Consent", "Compliant")))))</f>
        <v/>
      </c>
      <c r="O4825" s="7" t="n"/>
    </row>
    <row r="4826">
      <c r="A4826" s="7" t="n"/>
      <c r="B4826" s="7" t="n"/>
      <c r="C4826" s="7" t="n"/>
      <c r="D4826" s="7" t="n"/>
      <c r="E4826" s="7" t="n"/>
      <c r="F4826" s="7" t="n"/>
      <c r="G4826" s="7" t="n"/>
      <c r="H4826" s="7" t="n"/>
      <c r="I4826" s="7" t="n"/>
      <c r="J4826" s="7" t="n"/>
      <c r="K4826">
        <f>IF(D4826="Legitimate Interest (GDPR Art. 6(1)(f))", "Yes / Required (Sheet 3)", "")</f>
        <v/>
      </c>
      <c r="L4826" s="7" t="n"/>
      <c r="M4826" s="7" t="n"/>
      <c r="N4826">
        <f>IF(D4826="", "Gap - No Legal Basis", IF(AND(D4826="Consent (GDPR Art. 6(1)(a))", I4826="Not Captured"), "Gap - Invalid Consent", IF(AND(D4826="Legitimate Interest (GDPR Art. 6(1)(f))", L4826=""), "Gap - Missing LIA", IF(AND(G4826="Yes", H4826=""), "Gap - Missing Art. 9 Basis", IF(OR(I4826="Invalid - Not Freely Given", I4826="Invalid - Not Specific", I4826="Invalid - Not Informed", I4826="Invalid - Ambiguous"), "Gap - Invalid Consent", "Compliant")))))</f>
        <v/>
      </c>
      <c r="O4826" s="7" t="n"/>
    </row>
    <row r="4827">
      <c r="A4827" s="7" t="n"/>
      <c r="B4827" s="7" t="n"/>
      <c r="C4827" s="7" t="n"/>
      <c r="D4827" s="7" t="n"/>
      <c r="E4827" s="7" t="n"/>
      <c r="F4827" s="7" t="n"/>
      <c r="G4827" s="7" t="n"/>
      <c r="H4827" s="7" t="n"/>
      <c r="I4827" s="7" t="n"/>
      <c r="J4827" s="7" t="n"/>
      <c r="K4827">
        <f>IF(D4827="Legitimate Interest (GDPR Art. 6(1)(f))", "Yes / Required (Sheet 3)", "")</f>
        <v/>
      </c>
      <c r="L4827" s="7" t="n"/>
      <c r="M4827" s="7" t="n"/>
      <c r="N4827">
        <f>IF(D4827="", "Gap - No Legal Basis", IF(AND(D4827="Consent (GDPR Art. 6(1)(a))", I4827="Not Captured"), "Gap - Invalid Consent", IF(AND(D4827="Legitimate Interest (GDPR Art. 6(1)(f))", L4827=""), "Gap - Missing LIA", IF(AND(G4827="Yes", H4827=""), "Gap - Missing Art. 9 Basis", IF(OR(I4827="Invalid - Not Freely Given", I4827="Invalid - Not Specific", I4827="Invalid - Not Informed", I4827="Invalid - Ambiguous"), "Gap - Invalid Consent", "Compliant")))))</f>
        <v/>
      </c>
      <c r="O4827" s="7" t="n"/>
    </row>
    <row r="4828">
      <c r="A4828" s="7" t="n"/>
      <c r="B4828" s="7" t="n"/>
      <c r="C4828" s="7" t="n"/>
      <c r="D4828" s="7" t="n"/>
      <c r="E4828" s="7" t="n"/>
      <c r="F4828" s="7" t="n"/>
      <c r="G4828" s="7" t="n"/>
      <c r="H4828" s="7" t="n"/>
      <c r="I4828" s="7" t="n"/>
      <c r="J4828" s="7" t="n"/>
      <c r="K4828">
        <f>IF(D4828="Legitimate Interest (GDPR Art. 6(1)(f))", "Yes / Required (Sheet 3)", "")</f>
        <v/>
      </c>
      <c r="L4828" s="7" t="n"/>
      <c r="M4828" s="7" t="n"/>
      <c r="N4828">
        <f>IF(D4828="", "Gap - No Legal Basis", IF(AND(D4828="Consent (GDPR Art. 6(1)(a))", I4828="Not Captured"), "Gap - Invalid Consent", IF(AND(D4828="Legitimate Interest (GDPR Art. 6(1)(f))", L4828=""), "Gap - Missing LIA", IF(AND(G4828="Yes", H4828=""), "Gap - Missing Art. 9 Basis", IF(OR(I4828="Invalid - Not Freely Given", I4828="Invalid - Not Specific", I4828="Invalid - Not Informed", I4828="Invalid - Ambiguous"), "Gap - Invalid Consent", "Compliant")))))</f>
        <v/>
      </c>
      <c r="O4828" s="7" t="n"/>
    </row>
    <row r="4829">
      <c r="A4829" s="7" t="n"/>
      <c r="B4829" s="7" t="n"/>
      <c r="C4829" s="7" t="n"/>
      <c r="D4829" s="7" t="n"/>
      <c r="E4829" s="7" t="n"/>
      <c r="F4829" s="7" t="n"/>
      <c r="G4829" s="7" t="n"/>
      <c r="H4829" s="7" t="n"/>
      <c r="I4829" s="7" t="n"/>
      <c r="J4829" s="7" t="n"/>
      <c r="K4829">
        <f>IF(D4829="Legitimate Interest (GDPR Art. 6(1)(f))", "Yes / Required (Sheet 3)", "")</f>
        <v/>
      </c>
      <c r="L4829" s="7" t="n"/>
      <c r="M4829" s="7" t="n"/>
      <c r="N4829">
        <f>IF(D4829="", "Gap - No Legal Basis", IF(AND(D4829="Consent (GDPR Art. 6(1)(a))", I4829="Not Captured"), "Gap - Invalid Consent", IF(AND(D4829="Legitimate Interest (GDPR Art. 6(1)(f))", L4829=""), "Gap - Missing LIA", IF(AND(G4829="Yes", H4829=""), "Gap - Missing Art. 9 Basis", IF(OR(I4829="Invalid - Not Freely Given", I4829="Invalid - Not Specific", I4829="Invalid - Not Informed", I4829="Invalid - Ambiguous"), "Gap - Invalid Consent", "Compliant")))))</f>
        <v/>
      </c>
      <c r="O4829" s="7" t="n"/>
    </row>
    <row r="4830">
      <c r="A4830" s="7" t="n"/>
      <c r="B4830" s="7" t="n"/>
      <c r="C4830" s="7" t="n"/>
      <c r="D4830" s="7" t="n"/>
      <c r="E4830" s="7" t="n"/>
      <c r="F4830" s="7" t="n"/>
      <c r="G4830" s="7" t="n"/>
      <c r="H4830" s="7" t="n"/>
      <c r="I4830" s="7" t="n"/>
      <c r="J4830" s="7" t="n"/>
      <c r="K4830">
        <f>IF(D4830="Legitimate Interest (GDPR Art. 6(1)(f))", "Yes / Required (Sheet 3)", "")</f>
        <v/>
      </c>
      <c r="L4830" s="7" t="n"/>
      <c r="M4830" s="7" t="n"/>
      <c r="N4830">
        <f>IF(D4830="", "Gap - No Legal Basis", IF(AND(D4830="Consent (GDPR Art. 6(1)(a))", I4830="Not Captured"), "Gap - Invalid Consent", IF(AND(D4830="Legitimate Interest (GDPR Art. 6(1)(f))", L4830=""), "Gap - Missing LIA", IF(AND(G4830="Yes", H4830=""), "Gap - Missing Art. 9 Basis", IF(OR(I4830="Invalid - Not Freely Given", I4830="Invalid - Not Specific", I4830="Invalid - Not Informed", I4830="Invalid - Ambiguous"), "Gap - Invalid Consent", "Compliant")))))</f>
        <v/>
      </c>
      <c r="O4830" s="7" t="n"/>
    </row>
    <row r="4831">
      <c r="A4831" s="7" t="n"/>
      <c r="B4831" s="7" t="n"/>
      <c r="C4831" s="7" t="n"/>
      <c r="D4831" s="7" t="n"/>
      <c r="E4831" s="7" t="n"/>
      <c r="F4831" s="7" t="n"/>
      <c r="G4831" s="7" t="n"/>
      <c r="H4831" s="7" t="n"/>
      <c r="I4831" s="7" t="n"/>
      <c r="J4831" s="7" t="n"/>
      <c r="K4831">
        <f>IF(D4831="Legitimate Interest (GDPR Art. 6(1)(f))", "Yes / Required (Sheet 3)", "")</f>
        <v/>
      </c>
      <c r="L4831" s="7" t="n"/>
      <c r="M4831" s="7" t="n"/>
      <c r="N4831">
        <f>IF(D4831="", "Gap - No Legal Basis", IF(AND(D4831="Consent (GDPR Art. 6(1)(a))", I4831="Not Captured"), "Gap - Invalid Consent", IF(AND(D4831="Legitimate Interest (GDPR Art. 6(1)(f))", L4831=""), "Gap - Missing LIA", IF(AND(G4831="Yes", H4831=""), "Gap - Missing Art. 9 Basis", IF(OR(I4831="Invalid - Not Freely Given", I4831="Invalid - Not Specific", I4831="Invalid - Not Informed", I4831="Invalid - Ambiguous"), "Gap - Invalid Consent", "Compliant")))))</f>
        <v/>
      </c>
      <c r="O4831" s="7" t="n"/>
    </row>
    <row r="4832">
      <c r="A4832" s="7" t="n"/>
      <c r="B4832" s="7" t="n"/>
      <c r="C4832" s="7" t="n"/>
      <c r="D4832" s="7" t="n"/>
      <c r="E4832" s="7" t="n"/>
      <c r="F4832" s="7" t="n"/>
      <c r="G4832" s="7" t="n"/>
      <c r="H4832" s="7" t="n"/>
      <c r="I4832" s="7" t="n"/>
      <c r="J4832" s="7" t="n"/>
      <c r="K4832">
        <f>IF(D4832="Legitimate Interest (GDPR Art. 6(1)(f))", "Yes / Required (Sheet 3)", "")</f>
        <v/>
      </c>
      <c r="L4832" s="7" t="n"/>
      <c r="M4832" s="7" t="n"/>
      <c r="N4832">
        <f>IF(D4832="", "Gap - No Legal Basis", IF(AND(D4832="Consent (GDPR Art. 6(1)(a))", I4832="Not Captured"), "Gap - Invalid Consent", IF(AND(D4832="Legitimate Interest (GDPR Art. 6(1)(f))", L4832=""), "Gap - Missing LIA", IF(AND(G4832="Yes", H4832=""), "Gap - Missing Art. 9 Basis", IF(OR(I4832="Invalid - Not Freely Given", I4832="Invalid - Not Specific", I4832="Invalid - Not Informed", I4832="Invalid - Ambiguous"), "Gap - Invalid Consent", "Compliant")))))</f>
        <v/>
      </c>
      <c r="O4832" s="7" t="n"/>
    </row>
    <row r="4833">
      <c r="A4833" s="7" t="n"/>
      <c r="B4833" s="7" t="n"/>
      <c r="C4833" s="7" t="n"/>
      <c r="D4833" s="7" t="n"/>
      <c r="E4833" s="7" t="n"/>
      <c r="F4833" s="7" t="n"/>
      <c r="G4833" s="7" t="n"/>
      <c r="H4833" s="7" t="n"/>
      <c r="I4833" s="7" t="n"/>
      <c r="J4833" s="7" t="n"/>
      <c r="K4833">
        <f>IF(D4833="Legitimate Interest (GDPR Art. 6(1)(f))", "Yes / Required (Sheet 3)", "")</f>
        <v/>
      </c>
      <c r="L4833" s="7" t="n"/>
      <c r="M4833" s="7" t="n"/>
      <c r="N4833">
        <f>IF(D4833="", "Gap - No Legal Basis", IF(AND(D4833="Consent (GDPR Art. 6(1)(a))", I4833="Not Captured"), "Gap - Invalid Consent", IF(AND(D4833="Legitimate Interest (GDPR Art. 6(1)(f))", L4833=""), "Gap - Missing LIA", IF(AND(G4833="Yes", H4833=""), "Gap - Missing Art. 9 Basis", IF(OR(I4833="Invalid - Not Freely Given", I4833="Invalid - Not Specific", I4833="Invalid - Not Informed", I4833="Invalid - Ambiguous"), "Gap - Invalid Consent", "Compliant")))))</f>
        <v/>
      </c>
      <c r="O4833" s="7" t="n"/>
    </row>
    <row r="4834">
      <c r="A4834" s="7" t="n"/>
      <c r="B4834" s="7" t="n"/>
      <c r="C4834" s="7" t="n"/>
      <c r="D4834" s="7" t="n"/>
      <c r="E4834" s="7" t="n"/>
      <c r="F4834" s="7" t="n"/>
      <c r="G4834" s="7" t="n"/>
      <c r="H4834" s="7" t="n"/>
      <c r="I4834" s="7" t="n"/>
      <c r="J4834" s="7" t="n"/>
      <c r="K4834">
        <f>IF(D4834="Legitimate Interest (GDPR Art. 6(1)(f))", "Yes / Required (Sheet 3)", "")</f>
        <v/>
      </c>
      <c r="L4834" s="7" t="n"/>
      <c r="M4834" s="7" t="n"/>
      <c r="N4834">
        <f>IF(D4834="", "Gap - No Legal Basis", IF(AND(D4834="Consent (GDPR Art. 6(1)(a))", I4834="Not Captured"), "Gap - Invalid Consent", IF(AND(D4834="Legitimate Interest (GDPR Art. 6(1)(f))", L4834=""), "Gap - Missing LIA", IF(AND(G4834="Yes", H4834=""), "Gap - Missing Art. 9 Basis", IF(OR(I4834="Invalid - Not Freely Given", I4834="Invalid - Not Specific", I4834="Invalid - Not Informed", I4834="Invalid - Ambiguous"), "Gap - Invalid Consent", "Compliant")))))</f>
        <v/>
      </c>
      <c r="O4834" s="7" t="n"/>
    </row>
    <row r="4835">
      <c r="A4835" s="7" t="n"/>
      <c r="B4835" s="7" t="n"/>
      <c r="C4835" s="7" t="n"/>
      <c r="D4835" s="7" t="n"/>
      <c r="E4835" s="7" t="n"/>
      <c r="F4835" s="7" t="n"/>
      <c r="G4835" s="7" t="n"/>
      <c r="H4835" s="7" t="n"/>
      <c r="I4835" s="7" t="n"/>
      <c r="J4835" s="7" t="n"/>
      <c r="K4835">
        <f>IF(D4835="Legitimate Interest (GDPR Art. 6(1)(f))", "Yes / Required (Sheet 3)", "")</f>
        <v/>
      </c>
      <c r="L4835" s="7" t="n"/>
      <c r="M4835" s="7" t="n"/>
      <c r="N4835">
        <f>IF(D4835="", "Gap - No Legal Basis", IF(AND(D4835="Consent (GDPR Art. 6(1)(a))", I4835="Not Captured"), "Gap - Invalid Consent", IF(AND(D4835="Legitimate Interest (GDPR Art. 6(1)(f))", L4835=""), "Gap - Missing LIA", IF(AND(G4835="Yes", H4835=""), "Gap - Missing Art. 9 Basis", IF(OR(I4835="Invalid - Not Freely Given", I4835="Invalid - Not Specific", I4835="Invalid - Not Informed", I4835="Invalid - Ambiguous"), "Gap - Invalid Consent", "Compliant")))))</f>
        <v/>
      </c>
      <c r="O4835" s="7" t="n"/>
    </row>
    <row r="4836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7" t="n"/>
      <c r="J4836" s="7" t="n"/>
      <c r="K4836">
        <f>IF(D4836="Legitimate Interest (GDPR Art. 6(1)(f))", "Yes / Required (Sheet 3)", "")</f>
        <v/>
      </c>
      <c r="L4836" s="7" t="n"/>
      <c r="M4836" s="7" t="n"/>
      <c r="N4836">
        <f>IF(D4836="", "Gap - No Legal Basis", IF(AND(D4836="Consent (GDPR Art. 6(1)(a))", I4836="Not Captured"), "Gap - Invalid Consent", IF(AND(D4836="Legitimate Interest (GDPR Art. 6(1)(f))", L4836=""), "Gap - Missing LIA", IF(AND(G4836="Yes", H4836=""), "Gap - Missing Art. 9 Basis", IF(OR(I4836="Invalid - Not Freely Given", I4836="Invalid - Not Specific", I4836="Invalid - Not Informed", I4836="Invalid - Ambiguous"), "Gap - Invalid Consent", "Compliant")))))</f>
        <v/>
      </c>
      <c r="O4836" s="7" t="n"/>
    </row>
    <row r="4837">
      <c r="A4837" s="7" t="n"/>
      <c r="B4837" s="7" t="n"/>
      <c r="C4837" s="7" t="n"/>
      <c r="D4837" s="7" t="n"/>
      <c r="E4837" s="7" t="n"/>
      <c r="F4837" s="7" t="n"/>
      <c r="G4837" s="7" t="n"/>
      <c r="H4837" s="7" t="n"/>
      <c r="I4837" s="7" t="n"/>
      <c r="J4837" s="7" t="n"/>
      <c r="K4837">
        <f>IF(D4837="Legitimate Interest (GDPR Art. 6(1)(f))", "Yes / Required (Sheet 3)", "")</f>
        <v/>
      </c>
      <c r="L4837" s="7" t="n"/>
      <c r="M4837" s="7" t="n"/>
      <c r="N4837">
        <f>IF(D4837="", "Gap - No Legal Basis", IF(AND(D4837="Consent (GDPR Art. 6(1)(a))", I4837="Not Captured"), "Gap - Invalid Consent", IF(AND(D4837="Legitimate Interest (GDPR Art. 6(1)(f))", L4837=""), "Gap - Missing LIA", IF(AND(G4837="Yes", H4837=""), "Gap - Missing Art. 9 Basis", IF(OR(I4837="Invalid - Not Freely Given", I4837="Invalid - Not Specific", I4837="Invalid - Not Informed", I4837="Invalid - Ambiguous"), "Gap - Invalid Consent", "Compliant")))))</f>
        <v/>
      </c>
      <c r="O4837" s="7" t="n"/>
    </row>
    <row r="4838">
      <c r="A4838" s="7" t="n"/>
      <c r="B4838" s="7" t="n"/>
      <c r="C4838" s="7" t="n"/>
      <c r="D4838" s="7" t="n"/>
      <c r="E4838" s="7" t="n"/>
      <c r="F4838" s="7" t="n"/>
      <c r="G4838" s="7" t="n"/>
      <c r="H4838" s="7" t="n"/>
      <c r="I4838" s="7" t="n"/>
      <c r="J4838" s="7" t="n"/>
      <c r="K4838">
        <f>IF(D4838="Legitimate Interest (GDPR Art. 6(1)(f))", "Yes / Required (Sheet 3)", "")</f>
        <v/>
      </c>
      <c r="L4838" s="7" t="n"/>
      <c r="M4838" s="7" t="n"/>
      <c r="N4838">
        <f>IF(D4838="", "Gap - No Legal Basis", IF(AND(D4838="Consent (GDPR Art. 6(1)(a))", I4838="Not Captured"), "Gap - Invalid Consent", IF(AND(D4838="Legitimate Interest (GDPR Art. 6(1)(f))", L4838=""), "Gap - Missing LIA", IF(AND(G4838="Yes", H4838=""), "Gap - Missing Art. 9 Basis", IF(OR(I4838="Invalid - Not Freely Given", I4838="Invalid - Not Specific", I4838="Invalid - Not Informed", I4838="Invalid - Ambiguous"), "Gap - Invalid Consent", "Compliant")))))</f>
        <v/>
      </c>
      <c r="O4838" s="7" t="n"/>
    </row>
    <row r="4839">
      <c r="A4839" s="7" t="n"/>
      <c r="B4839" s="7" t="n"/>
      <c r="C4839" s="7" t="n"/>
      <c r="D4839" s="7" t="n"/>
      <c r="E4839" s="7" t="n"/>
      <c r="F4839" s="7" t="n"/>
      <c r="G4839" s="7" t="n"/>
      <c r="H4839" s="7" t="n"/>
      <c r="I4839" s="7" t="n"/>
      <c r="J4839" s="7" t="n"/>
      <c r="K4839">
        <f>IF(D4839="Legitimate Interest (GDPR Art. 6(1)(f))", "Yes / Required (Sheet 3)", "")</f>
        <v/>
      </c>
      <c r="L4839" s="7" t="n"/>
      <c r="M4839" s="7" t="n"/>
      <c r="N4839">
        <f>IF(D4839="", "Gap - No Legal Basis", IF(AND(D4839="Consent (GDPR Art. 6(1)(a))", I4839="Not Captured"), "Gap - Invalid Consent", IF(AND(D4839="Legitimate Interest (GDPR Art. 6(1)(f))", L4839=""), "Gap - Missing LIA", IF(AND(G4839="Yes", H4839=""), "Gap - Missing Art. 9 Basis", IF(OR(I4839="Invalid - Not Freely Given", I4839="Invalid - Not Specific", I4839="Invalid - Not Informed", I4839="Invalid - Ambiguous"), "Gap - Invalid Consent", "Compliant")))))</f>
        <v/>
      </c>
      <c r="O4839" s="7" t="n"/>
    </row>
    <row r="4840">
      <c r="A4840" s="7" t="n"/>
      <c r="B4840" s="7" t="n"/>
      <c r="C4840" s="7" t="n"/>
      <c r="D4840" s="7" t="n"/>
      <c r="E4840" s="7" t="n"/>
      <c r="F4840" s="7" t="n"/>
      <c r="G4840" s="7" t="n"/>
      <c r="H4840" s="7" t="n"/>
      <c r="I4840" s="7" t="n"/>
      <c r="J4840" s="7" t="n"/>
      <c r="K4840">
        <f>IF(D4840="Legitimate Interest (GDPR Art. 6(1)(f))", "Yes / Required (Sheet 3)", "")</f>
        <v/>
      </c>
      <c r="L4840" s="7" t="n"/>
      <c r="M4840" s="7" t="n"/>
      <c r="N4840">
        <f>IF(D4840="", "Gap - No Legal Basis", IF(AND(D4840="Consent (GDPR Art. 6(1)(a))", I4840="Not Captured"), "Gap - Invalid Consent", IF(AND(D4840="Legitimate Interest (GDPR Art. 6(1)(f))", L4840=""), "Gap - Missing LIA", IF(AND(G4840="Yes", H4840=""), "Gap - Missing Art. 9 Basis", IF(OR(I4840="Invalid - Not Freely Given", I4840="Invalid - Not Specific", I4840="Invalid - Not Informed", I4840="Invalid - Ambiguous"), "Gap - Invalid Consent", "Compliant")))))</f>
        <v/>
      </c>
      <c r="O4840" s="7" t="n"/>
    </row>
    <row r="4841">
      <c r="A4841" s="7" t="n"/>
      <c r="B4841" s="7" t="n"/>
      <c r="C4841" s="7" t="n"/>
      <c r="D4841" s="7" t="n"/>
      <c r="E4841" s="7" t="n"/>
      <c r="F4841" s="7" t="n"/>
      <c r="G4841" s="7" t="n"/>
      <c r="H4841" s="7" t="n"/>
      <c r="I4841" s="7" t="n"/>
      <c r="J4841" s="7" t="n"/>
      <c r="K4841">
        <f>IF(D4841="Legitimate Interest (GDPR Art. 6(1)(f))", "Yes / Required (Sheet 3)", "")</f>
        <v/>
      </c>
      <c r="L4841" s="7" t="n"/>
      <c r="M4841" s="7" t="n"/>
      <c r="N4841">
        <f>IF(D4841="", "Gap - No Legal Basis", IF(AND(D4841="Consent (GDPR Art. 6(1)(a))", I4841="Not Captured"), "Gap - Invalid Consent", IF(AND(D4841="Legitimate Interest (GDPR Art. 6(1)(f))", L4841=""), "Gap - Missing LIA", IF(AND(G4841="Yes", H4841=""), "Gap - Missing Art. 9 Basis", IF(OR(I4841="Invalid - Not Freely Given", I4841="Invalid - Not Specific", I4841="Invalid - Not Informed", I4841="Invalid - Ambiguous"), "Gap - Invalid Consent", "Compliant")))))</f>
        <v/>
      </c>
      <c r="O4841" s="7" t="n"/>
    </row>
    <row r="4842">
      <c r="A4842" s="7" t="n"/>
      <c r="B4842" s="7" t="n"/>
      <c r="C4842" s="7" t="n"/>
      <c r="D4842" s="7" t="n"/>
      <c r="E4842" s="7" t="n"/>
      <c r="F4842" s="7" t="n"/>
      <c r="G4842" s="7" t="n"/>
      <c r="H4842" s="7" t="n"/>
      <c r="I4842" s="7" t="n"/>
      <c r="J4842" s="7" t="n"/>
      <c r="K4842">
        <f>IF(D4842="Legitimate Interest (GDPR Art. 6(1)(f))", "Yes / Required (Sheet 3)", "")</f>
        <v/>
      </c>
      <c r="L4842" s="7" t="n"/>
      <c r="M4842" s="7" t="n"/>
      <c r="N4842">
        <f>IF(D4842="", "Gap - No Legal Basis", IF(AND(D4842="Consent (GDPR Art. 6(1)(a))", I4842="Not Captured"), "Gap - Invalid Consent", IF(AND(D4842="Legitimate Interest (GDPR Art. 6(1)(f))", L4842=""), "Gap - Missing LIA", IF(AND(G4842="Yes", H4842=""), "Gap - Missing Art. 9 Basis", IF(OR(I4842="Invalid - Not Freely Given", I4842="Invalid - Not Specific", I4842="Invalid - Not Informed", I4842="Invalid - Ambiguous"), "Gap - Invalid Consent", "Compliant")))))</f>
        <v/>
      </c>
      <c r="O4842" s="7" t="n"/>
    </row>
    <row r="4843">
      <c r="A4843" s="7" t="n"/>
      <c r="B4843" s="7" t="n"/>
      <c r="C4843" s="7" t="n"/>
      <c r="D4843" s="7" t="n"/>
      <c r="E4843" s="7" t="n"/>
      <c r="F4843" s="7" t="n"/>
      <c r="G4843" s="7" t="n"/>
      <c r="H4843" s="7" t="n"/>
      <c r="I4843" s="7" t="n"/>
      <c r="J4843" s="7" t="n"/>
      <c r="K4843">
        <f>IF(D4843="Legitimate Interest (GDPR Art. 6(1)(f))", "Yes / Required (Sheet 3)", "")</f>
        <v/>
      </c>
      <c r="L4843" s="7" t="n"/>
      <c r="M4843" s="7" t="n"/>
      <c r="N4843">
        <f>IF(D4843="", "Gap - No Legal Basis", IF(AND(D4843="Consent (GDPR Art. 6(1)(a))", I4843="Not Captured"), "Gap - Invalid Consent", IF(AND(D4843="Legitimate Interest (GDPR Art. 6(1)(f))", L4843=""), "Gap - Missing LIA", IF(AND(G4843="Yes", H4843=""), "Gap - Missing Art. 9 Basis", IF(OR(I4843="Invalid - Not Freely Given", I4843="Invalid - Not Specific", I4843="Invalid - Not Informed", I4843="Invalid - Ambiguous"), "Gap - Invalid Consent", "Compliant")))))</f>
        <v/>
      </c>
      <c r="O4843" s="7" t="n"/>
    </row>
    <row r="4844">
      <c r="A4844" s="7" t="n"/>
      <c r="B4844" s="7" t="n"/>
      <c r="C4844" s="7" t="n"/>
      <c r="D4844" s="7" t="n"/>
      <c r="E4844" s="7" t="n"/>
      <c r="F4844" s="7" t="n"/>
      <c r="G4844" s="7" t="n"/>
      <c r="H4844" s="7" t="n"/>
      <c r="I4844" s="7" t="n"/>
      <c r="J4844" s="7" t="n"/>
      <c r="K4844">
        <f>IF(D4844="Legitimate Interest (GDPR Art. 6(1)(f))", "Yes / Required (Sheet 3)", "")</f>
        <v/>
      </c>
      <c r="L4844" s="7" t="n"/>
      <c r="M4844" s="7" t="n"/>
      <c r="N4844">
        <f>IF(D4844="", "Gap - No Legal Basis", IF(AND(D4844="Consent (GDPR Art. 6(1)(a))", I4844="Not Captured"), "Gap - Invalid Consent", IF(AND(D4844="Legitimate Interest (GDPR Art. 6(1)(f))", L4844=""), "Gap - Missing LIA", IF(AND(G4844="Yes", H4844=""), "Gap - Missing Art. 9 Basis", IF(OR(I4844="Invalid - Not Freely Given", I4844="Invalid - Not Specific", I4844="Invalid - Not Informed", I4844="Invalid - Ambiguous"), "Gap - Invalid Consent", "Compliant")))))</f>
        <v/>
      </c>
      <c r="O4844" s="7" t="n"/>
    </row>
    <row r="4845">
      <c r="A4845" s="7" t="n"/>
      <c r="B4845" s="7" t="n"/>
      <c r="C4845" s="7" t="n"/>
      <c r="D4845" s="7" t="n"/>
      <c r="E4845" s="7" t="n"/>
      <c r="F4845" s="7" t="n"/>
      <c r="G4845" s="7" t="n"/>
      <c r="H4845" s="7" t="n"/>
      <c r="I4845" s="7" t="n"/>
      <c r="J4845" s="7" t="n"/>
      <c r="K4845">
        <f>IF(D4845="Legitimate Interest (GDPR Art. 6(1)(f))", "Yes / Required (Sheet 3)", "")</f>
        <v/>
      </c>
      <c r="L4845" s="7" t="n"/>
      <c r="M4845" s="7" t="n"/>
      <c r="N4845">
        <f>IF(D4845="", "Gap - No Legal Basis", IF(AND(D4845="Consent (GDPR Art. 6(1)(a))", I4845="Not Captured"), "Gap - Invalid Consent", IF(AND(D4845="Legitimate Interest (GDPR Art. 6(1)(f))", L4845=""), "Gap - Missing LIA", IF(AND(G4845="Yes", H4845=""), "Gap - Missing Art. 9 Basis", IF(OR(I4845="Invalid - Not Freely Given", I4845="Invalid - Not Specific", I4845="Invalid - Not Informed", I4845="Invalid - Ambiguous"), "Gap - Invalid Consent", "Compliant")))))</f>
        <v/>
      </c>
      <c r="O4845" s="7" t="n"/>
    </row>
    <row r="4846">
      <c r="A4846" s="7" t="n"/>
      <c r="B4846" s="7" t="n"/>
      <c r="C4846" s="7" t="n"/>
      <c r="D4846" s="7" t="n"/>
      <c r="E4846" s="7" t="n"/>
      <c r="F4846" s="7" t="n"/>
      <c r="G4846" s="7" t="n"/>
      <c r="H4846" s="7" t="n"/>
      <c r="I4846" s="7" t="n"/>
      <c r="J4846" s="7" t="n"/>
      <c r="K4846">
        <f>IF(D4846="Legitimate Interest (GDPR Art. 6(1)(f))", "Yes / Required (Sheet 3)", "")</f>
        <v/>
      </c>
      <c r="L4846" s="7" t="n"/>
      <c r="M4846" s="7" t="n"/>
      <c r="N4846">
        <f>IF(D4846="", "Gap - No Legal Basis", IF(AND(D4846="Consent (GDPR Art. 6(1)(a))", I4846="Not Captured"), "Gap - Invalid Consent", IF(AND(D4846="Legitimate Interest (GDPR Art. 6(1)(f))", L4846=""), "Gap - Missing LIA", IF(AND(G4846="Yes", H4846=""), "Gap - Missing Art. 9 Basis", IF(OR(I4846="Invalid - Not Freely Given", I4846="Invalid - Not Specific", I4846="Invalid - Not Informed", I4846="Invalid - Ambiguous"), "Gap - Invalid Consent", "Compliant")))))</f>
        <v/>
      </c>
      <c r="O4846" s="7" t="n"/>
    </row>
    <row r="4847">
      <c r="A4847" s="7" t="n"/>
      <c r="B4847" s="7" t="n"/>
      <c r="C4847" s="7" t="n"/>
      <c r="D4847" s="7" t="n"/>
      <c r="E4847" s="7" t="n"/>
      <c r="F4847" s="7" t="n"/>
      <c r="G4847" s="7" t="n"/>
      <c r="H4847" s="7" t="n"/>
      <c r="I4847" s="7" t="n"/>
      <c r="J4847" s="7" t="n"/>
      <c r="K4847">
        <f>IF(D4847="Legitimate Interest (GDPR Art. 6(1)(f))", "Yes / Required (Sheet 3)", "")</f>
        <v/>
      </c>
      <c r="L4847" s="7" t="n"/>
      <c r="M4847" s="7" t="n"/>
      <c r="N4847">
        <f>IF(D4847="", "Gap - No Legal Basis", IF(AND(D4847="Consent (GDPR Art. 6(1)(a))", I4847="Not Captured"), "Gap - Invalid Consent", IF(AND(D4847="Legitimate Interest (GDPR Art. 6(1)(f))", L4847=""), "Gap - Missing LIA", IF(AND(G4847="Yes", H4847=""), "Gap - Missing Art. 9 Basis", IF(OR(I4847="Invalid - Not Freely Given", I4847="Invalid - Not Specific", I4847="Invalid - Not Informed", I4847="Invalid - Ambiguous"), "Gap - Invalid Consent", "Compliant")))))</f>
        <v/>
      </c>
      <c r="O4847" s="7" t="n"/>
    </row>
    <row r="4848">
      <c r="A4848" s="7" t="n"/>
      <c r="B4848" s="7" t="n"/>
      <c r="C4848" s="7" t="n"/>
      <c r="D4848" s="7" t="n"/>
      <c r="E4848" s="7" t="n"/>
      <c r="F4848" s="7" t="n"/>
      <c r="G4848" s="7" t="n"/>
      <c r="H4848" s="7" t="n"/>
      <c r="I4848" s="7" t="n"/>
      <c r="J4848" s="7" t="n"/>
      <c r="K4848">
        <f>IF(D4848="Legitimate Interest (GDPR Art. 6(1)(f))", "Yes / Required (Sheet 3)", "")</f>
        <v/>
      </c>
      <c r="L4848" s="7" t="n"/>
      <c r="M4848" s="7" t="n"/>
      <c r="N4848">
        <f>IF(D4848="", "Gap - No Legal Basis", IF(AND(D4848="Consent (GDPR Art. 6(1)(a))", I4848="Not Captured"), "Gap - Invalid Consent", IF(AND(D4848="Legitimate Interest (GDPR Art. 6(1)(f))", L4848=""), "Gap - Missing LIA", IF(AND(G4848="Yes", H4848=""), "Gap - Missing Art. 9 Basis", IF(OR(I4848="Invalid - Not Freely Given", I4848="Invalid - Not Specific", I4848="Invalid - Not Informed", I4848="Invalid - Ambiguous"), "Gap - Invalid Consent", "Compliant")))))</f>
        <v/>
      </c>
      <c r="O4848" s="7" t="n"/>
    </row>
    <row r="4849">
      <c r="A4849" s="7" t="n"/>
      <c r="B4849" s="7" t="n"/>
      <c r="C4849" s="7" t="n"/>
      <c r="D4849" s="7" t="n"/>
      <c r="E4849" s="7" t="n"/>
      <c r="F4849" s="7" t="n"/>
      <c r="G4849" s="7" t="n"/>
      <c r="H4849" s="7" t="n"/>
      <c r="I4849" s="7" t="n"/>
      <c r="J4849" s="7" t="n"/>
      <c r="K4849">
        <f>IF(D4849="Legitimate Interest (GDPR Art. 6(1)(f))", "Yes / Required (Sheet 3)", "")</f>
        <v/>
      </c>
      <c r="L4849" s="7" t="n"/>
      <c r="M4849" s="7" t="n"/>
      <c r="N4849">
        <f>IF(D4849="", "Gap - No Legal Basis", IF(AND(D4849="Consent (GDPR Art. 6(1)(a))", I4849="Not Captured"), "Gap - Invalid Consent", IF(AND(D4849="Legitimate Interest (GDPR Art. 6(1)(f))", L4849=""), "Gap - Missing LIA", IF(AND(G4849="Yes", H4849=""), "Gap - Missing Art. 9 Basis", IF(OR(I4849="Invalid - Not Freely Given", I4849="Invalid - Not Specific", I4849="Invalid - Not Informed", I4849="Invalid - Ambiguous"), "Gap - Invalid Consent", "Compliant")))))</f>
        <v/>
      </c>
      <c r="O4849" s="7" t="n"/>
    </row>
    <row r="4850">
      <c r="A4850" s="7" t="n"/>
      <c r="B4850" s="7" t="n"/>
      <c r="C4850" s="7" t="n"/>
      <c r="D4850" s="7" t="n"/>
      <c r="E4850" s="7" t="n"/>
      <c r="F4850" s="7" t="n"/>
      <c r="G4850" s="7" t="n"/>
      <c r="H4850" s="7" t="n"/>
      <c r="I4850" s="7" t="n"/>
      <c r="J4850" s="7" t="n"/>
      <c r="K4850">
        <f>IF(D4850="Legitimate Interest (GDPR Art. 6(1)(f))", "Yes / Required (Sheet 3)", "")</f>
        <v/>
      </c>
      <c r="L4850" s="7" t="n"/>
      <c r="M4850" s="7" t="n"/>
      <c r="N4850">
        <f>IF(D4850="", "Gap - No Legal Basis", IF(AND(D4850="Consent (GDPR Art. 6(1)(a))", I4850="Not Captured"), "Gap - Invalid Consent", IF(AND(D4850="Legitimate Interest (GDPR Art. 6(1)(f))", L4850=""), "Gap - Missing LIA", IF(AND(G4850="Yes", H4850=""), "Gap - Missing Art. 9 Basis", IF(OR(I4850="Invalid - Not Freely Given", I4850="Invalid - Not Specific", I4850="Invalid - Not Informed", I4850="Invalid - Ambiguous"), "Gap - Invalid Consent", "Compliant")))))</f>
        <v/>
      </c>
      <c r="O4850" s="7" t="n"/>
    </row>
    <row r="4851">
      <c r="A4851" s="7" t="n"/>
      <c r="B4851" s="7" t="n"/>
      <c r="C4851" s="7" t="n"/>
      <c r="D4851" s="7" t="n"/>
      <c r="E4851" s="7" t="n"/>
      <c r="F4851" s="7" t="n"/>
      <c r="G4851" s="7" t="n"/>
      <c r="H4851" s="7" t="n"/>
      <c r="I4851" s="7" t="n"/>
      <c r="J4851" s="7" t="n"/>
      <c r="K4851">
        <f>IF(D4851="Legitimate Interest (GDPR Art. 6(1)(f))", "Yes / Required (Sheet 3)", "")</f>
        <v/>
      </c>
      <c r="L4851" s="7" t="n"/>
      <c r="M4851" s="7" t="n"/>
      <c r="N4851">
        <f>IF(D4851="", "Gap - No Legal Basis", IF(AND(D4851="Consent (GDPR Art. 6(1)(a))", I4851="Not Captured"), "Gap - Invalid Consent", IF(AND(D4851="Legitimate Interest (GDPR Art. 6(1)(f))", L4851=""), "Gap - Missing LIA", IF(AND(G4851="Yes", H4851=""), "Gap - Missing Art. 9 Basis", IF(OR(I4851="Invalid - Not Freely Given", I4851="Invalid - Not Specific", I4851="Invalid - Not Informed", I4851="Invalid - Ambiguous"), "Gap - Invalid Consent", "Compliant")))))</f>
        <v/>
      </c>
      <c r="O4851" s="7" t="n"/>
    </row>
    <row r="4852">
      <c r="A4852" s="7" t="n"/>
      <c r="B4852" s="7" t="n"/>
      <c r="C4852" s="7" t="n"/>
      <c r="D4852" s="7" t="n"/>
      <c r="E4852" s="7" t="n"/>
      <c r="F4852" s="7" t="n"/>
      <c r="G4852" s="7" t="n"/>
      <c r="H4852" s="7" t="n"/>
      <c r="I4852" s="7" t="n"/>
      <c r="J4852" s="7" t="n"/>
      <c r="K4852">
        <f>IF(D4852="Legitimate Interest (GDPR Art. 6(1)(f))", "Yes / Required (Sheet 3)", "")</f>
        <v/>
      </c>
      <c r="L4852" s="7" t="n"/>
      <c r="M4852" s="7" t="n"/>
      <c r="N4852">
        <f>IF(D4852="", "Gap - No Legal Basis", IF(AND(D4852="Consent (GDPR Art. 6(1)(a))", I4852="Not Captured"), "Gap - Invalid Consent", IF(AND(D4852="Legitimate Interest (GDPR Art. 6(1)(f))", L4852=""), "Gap - Missing LIA", IF(AND(G4852="Yes", H4852=""), "Gap - Missing Art. 9 Basis", IF(OR(I4852="Invalid - Not Freely Given", I4852="Invalid - Not Specific", I4852="Invalid - Not Informed", I4852="Invalid - Ambiguous"), "Gap - Invalid Consent", "Compliant")))))</f>
        <v/>
      </c>
      <c r="O4852" s="7" t="n"/>
    </row>
    <row r="4853">
      <c r="A4853" s="7" t="n"/>
      <c r="B4853" s="7" t="n"/>
      <c r="C4853" s="7" t="n"/>
      <c r="D4853" s="7" t="n"/>
      <c r="E4853" s="7" t="n"/>
      <c r="F4853" s="7" t="n"/>
      <c r="G4853" s="7" t="n"/>
      <c r="H4853" s="7" t="n"/>
      <c r="I4853" s="7" t="n"/>
      <c r="J4853" s="7" t="n"/>
      <c r="K4853">
        <f>IF(D4853="Legitimate Interest (GDPR Art. 6(1)(f))", "Yes / Required (Sheet 3)", "")</f>
        <v/>
      </c>
      <c r="L4853" s="7" t="n"/>
      <c r="M4853" s="7" t="n"/>
      <c r="N4853">
        <f>IF(D4853="", "Gap - No Legal Basis", IF(AND(D4853="Consent (GDPR Art. 6(1)(a))", I4853="Not Captured"), "Gap - Invalid Consent", IF(AND(D4853="Legitimate Interest (GDPR Art. 6(1)(f))", L4853=""), "Gap - Missing LIA", IF(AND(G4853="Yes", H4853=""), "Gap - Missing Art. 9 Basis", IF(OR(I4853="Invalid - Not Freely Given", I4853="Invalid - Not Specific", I4853="Invalid - Not Informed", I4853="Invalid - Ambiguous"), "Gap - Invalid Consent", "Compliant")))))</f>
        <v/>
      </c>
      <c r="O4853" s="7" t="n"/>
    </row>
    <row r="4854">
      <c r="A4854" s="7" t="n"/>
      <c r="B4854" s="7" t="n"/>
      <c r="C4854" s="7" t="n"/>
      <c r="D4854" s="7" t="n"/>
      <c r="E4854" s="7" t="n"/>
      <c r="F4854" s="7" t="n"/>
      <c r="G4854" s="7" t="n"/>
      <c r="H4854" s="7" t="n"/>
      <c r="I4854" s="7" t="n"/>
      <c r="J4854" s="7" t="n"/>
      <c r="K4854">
        <f>IF(D4854="Legitimate Interest (GDPR Art. 6(1)(f))", "Yes / Required (Sheet 3)", "")</f>
        <v/>
      </c>
      <c r="L4854" s="7" t="n"/>
      <c r="M4854" s="7" t="n"/>
      <c r="N4854">
        <f>IF(D4854="", "Gap - No Legal Basis", IF(AND(D4854="Consent (GDPR Art. 6(1)(a))", I4854="Not Captured"), "Gap - Invalid Consent", IF(AND(D4854="Legitimate Interest (GDPR Art. 6(1)(f))", L4854=""), "Gap - Missing LIA", IF(AND(G4854="Yes", H4854=""), "Gap - Missing Art. 9 Basis", IF(OR(I4854="Invalid - Not Freely Given", I4854="Invalid - Not Specific", I4854="Invalid - Not Informed", I4854="Invalid - Ambiguous"), "Gap - Invalid Consent", "Compliant")))))</f>
        <v/>
      </c>
      <c r="O4854" s="7" t="n"/>
    </row>
    <row r="4855">
      <c r="A4855" s="7" t="n"/>
      <c r="B4855" s="7" t="n"/>
      <c r="C4855" s="7" t="n"/>
      <c r="D4855" s="7" t="n"/>
      <c r="E4855" s="7" t="n"/>
      <c r="F4855" s="7" t="n"/>
      <c r="G4855" s="7" t="n"/>
      <c r="H4855" s="7" t="n"/>
      <c r="I4855" s="7" t="n"/>
      <c r="J4855" s="7" t="n"/>
      <c r="K4855">
        <f>IF(D4855="Legitimate Interest (GDPR Art. 6(1)(f))", "Yes / Required (Sheet 3)", "")</f>
        <v/>
      </c>
      <c r="L4855" s="7" t="n"/>
      <c r="M4855" s="7" t="n"/>
      <c r="N4855">
        <f>IF(D4855="", "Gap - No Legal Basis", IF(AND(D4855="Consent (GDPR Art. 6(1)(a))", I4855="Not Captured"), "Gap - Invalid Consent", IF(AND(D4855="Legitimate Interest (GDPR Art. 6(1)(f))", L4855=""), "Gap - Missing LIA", IF(AND(G4855="Yes", H4855=""), "Gap - Missing Art. 9 Basis", IF(OR(I4855="Invalid - Not Freely Given", I4855="Invalid - Not Specific", I4855="Invalid - Not Informed", I4855="Invalid - Ambiguous"), "Gap - Invalid Consent", "Compliant")))))</f>
        <v/>
      </c>
      <c r="O4855" s="7" t="n"/>
    </row>
    <row r="4856">
      <c r="A4856" s="7" t="n"/>
      <c r="B4856" s="7" t="n"/>
      <c r="C4856" s="7" t="n"/>
      <c r="D4856" s="7" t="n"/>
      <c r="E4856" s="7" t="n"/>
      <c r="F4856" s="7" t="n"/>
      <c r="G4856" s="7" t="n"/>
      <c r="H4856" s="7" t="n"/>
      <c r="I4856" s="7" t="n"/>
      <c r="J4856" s="7" t="n"/>
      <c r="K4856">
        <f>IF(D4856="Legitimate Interest (GDPR Art. 6(1)(f))", "Yes / Required (Sheet 3)", "")</f>
        <v/>
      </c>
      <c r="L4856" s="7" t="n"/>
      <c r="M4856" s="7" t="n"/>
      <c r="N4856">
        <f>IF(D4856="", "Gap - No Legal Basis", IF(AND(D4856="Consent (GDPR Art. 6(1)(a))", I4856="Not Captured"), "Gap - Invalid Consent", IF(AND(D4856="Legitimate Interest (GDPR Art. 6(1)(f))", L4856=""), "Gap - Missing LIA", IF(AND(G4856="Yes", H4856=""), "Gap - Missing Art. 9 Basis", IF(OR(I4856="Invalid - Not Freely Given", I4856="Invalid - Not Specific", I4856="Invalid - Not Informed", I4856="Invalid - Ambiguous"), "Gap - Invalid Consent", "Compliant")))))</f>
        <v/>
      </c>
      <c r="O4856" s="7" t="n"/>
    </row>
    <row r="4857">
      <c r="A4857" s="7" t="n"/>
      <c r="B4857" s="7" t="n"/>
      <c r="C4857" s="7" t="n"/>
      <c r="D4857" s="7" t="n"/>
      <c r="E4857" s="7" t="n"/>
      <c r="F4857" s="7" t="n"/>
      <c r="G4857" s="7" t="n"/>
      <c r="H4857" s="7" t="n"/>
      <c r="I4857" s="7" t="n"/>
      <c r="J4857" s="7" t="n"/>
      <c r="K4857">
        <f>IF(D4857="Legitimate Interest (GDPR Art. 6(1)(f))", "Yes / Required (Sheet 3)", "")</f>
        <v/>
      </c>
      <c r="L4857" s="7" t="n"/>
      <c r="M4857" s="7" t="n"/>
      <c r="N4857">
        <f>IF(D4857="", "Gap - No Legal Basis", IF(AND(D4857="Consent (GDPR Art. 6(1)(a))", I4857="Not Captured"), "Gap - Invalid Consent", IF(AND(D4857="Legitimate Interest (GDPR Art. 6(1)(f))", L4857=""), "Gap - Missing LIA", IF(AND(G4857="Yes", H4857=""), "Gap - Missing Art. 9 Basis", IF(OR(I4857="Invalid - Not Freely Given", I4857="Invalid - Not Specific", I4857="Invalid - Not Informed", I4857="Invalid - Ambiguous"), "Gap - Invalid Consent", "Compliant")))))</f>
        <v/>
      </c>
      <c r="O4857" s="7" t="n"/>
    </row>
    <row r="4858">
      <c r="A4858" s="7" t="n"/>
      <c r="B4858" s="7" t="n"/>
      <c r="C4858" s="7" t="n"/>
      <c r="D4858" s="7" t="n"/>
      <c r="E4858" s="7" t="n"/>
      <c r="F4858" s="7" t="n"/>
      <c r="G4858" s="7" t="n"/>
      <c r="H4858" s="7" t="n"/>
      <c r="I4858" s="7" t="n"/>
      <c r="J4858" s="7" t="n"/>
      <c r="K4858">
        <f>IF(D4858="Legitimate Interest (GDPR Art. 6(1)(f))", "Yes / Required (Sheet 3)", "")</f>
        <v/>
      </c>
      <c r="L4858" s="7" t="n"/>
      <c r="M4858" s="7" t="n"/>
      <c r="N4858">
        <f>IF(D4858="", "Gap - No Legal Basis", IF(AND(D4858="Consent (GDPR Art. 6(1)(a))", I4858="Not Captured"), "Gap - Invalid Consent", IF(AND(D4858="Legitimate Interest (GDPR Art. 6(1)(f))", L4858=""), "Gap - Missing LIA", IF(AND(G4858="Yes", H4858=""), "Gap - Missing Art. 9 Basis", IF(OR(I4858="Invalid - Not Freely Given", I4858="Invalid - Not Specific", I4858="Invalid - Not Informed", I4858="Invalid - Ambiguous"), "Gap - Invalid Consent", "Compliant")))))</f>
        <v/>
      </c>
      <c r="O4858" s="7" t="n"/>
    </row>
    <row r="4859">
      <c r="A4859" s="7" t="n"/>
      <c r="B4859" s="7" t="n"/>
      <c r="C4859" s="7" t="n"/>
      <c r="D4859" s="7" t="n"/>
      <c r="E4859" s="7" t="n"/>
      <c r="F4859" s="7" t="n"/>
      <c r="G4859" s="7" t="n"/>
      <c r="H4859" s="7" t="n"/>
      <c r="I4859" s="7" t="n"/>
      <c r="J4859" s="7" t="n"/>
      <c r="K4859">
        <f>IF(D4859="Legitimate Interest (GDPR Art. 6(1)(f))", "Yes / Required (Sheet 3)", "")</f>
        <v/>
      </c>
      <c r="L4859" s="7" t="n"/>
      <c r="M4859" s="7" t="n"/>
      <c r="N4859">
        <f>IF(D4859="", "Gap - No Legal Basis", IF(AND(D4859="Consent (GDPR Art. 6(1)(a))", I4859="Not Captured"), "Gap - Invalid Consent", IF(AND(D4859="Legitimate Interest (GDPR Art. 6(1)(f))", L4859=""), "Gap - Missing LIA", IF(AND(G4859="Yes", H4859=""), "Gap - Missing Art. 9 Basis", IF(OR(I4859="Invalid - Not Freely Given", I4859="Invalid - Not Specific", I4859="Invalid - Not Informed", I4859="Invalid - Ambiguous"), "Gap - Invalid Consent", "Compliant")))))</f>
        <v/>
      </c>
      <c r="O4859" s="7" t="n"/>
    </row>
    <row r="4860">
      <c r="A4860" s="7" t="n"/>
      <c r="B4860" s="7" t="n"/>
      <c r="C4860" s="7" t="n"/>
      <c r="D4860" s="7" t="n"/>
      <c r="E4860" s="7" t="n"/>
      <c r="F4860" s="7" t="n"/>
      <c r="G4860" s="7" t="n"/>
      <c r="H4860" s="7" t="n"/>
      <c r="I4860" s="7" t="n"/>
      <c r="J4860" s="7" t="n"/>
      <c r="K4860">
        <f>IF(D4860="Legitimate Interest (GDPR Art. 6(1)(f))", "Yes / Required (Sheet 3)", "")</f>
        <v/>
      </c>
      <c r="L4860" s="7" t="n"/>
      <c r="M4860" s="7" t="n"/>
      <c r="N4860">
        <f>IF(D4860="", "Gap - No Legal Basis", IF(AND(D4860="Consent (GDPR Art. 6(1)(a))", I4860="Not Captured"), "Gap - Invalid Consent", IF(AND(D4860="Legitimate Interest (GDPR Art. 6(1)(f))", L4860=""), "Gap - Missing LIA", IF(AND(G4860="Yes", H4860=""), "Gap - Missing Art. 9 Basis", IF(OR(I4860="Invalid - Not Freely Given", I4860="Invalid - Not Specific", I4860="Invalid - Not Informed", I4860="Invalid - Ambiguous"), "Gap - Invalid Consent", "Compliant")))))</f>
        <v/>
      </c>
      <c r="O4860" s="7" t="n"/>
    </row>
    <row r="4861">
      <c r="A4861" s="7" t="n"/>
      <c r="B4861" s="7" t="n"/>
      <c r="C4861" s="7" t="n"/>
      <c r="D4861" s="7" t="n"/>
      <c r="E4861" s="7" t="n"/>
      <c r="F4861" s="7" t="n"/>
      <c r="G4861" s="7" t="n"/>
      <c r="H4861" s="7" t="n"/>
      <c r="I4861" s="7" t="n"/>
      <c r="J4861" s="7" t="n"/>
      <c r="K4861">
        <f>IF(D4861="Legitimate Interest (GDPR Art. 6(1)(f))", "Yes / Required (Sheet 3)", "")</f>
        <v/>
      </c>
      <c r="L4861" s="7" t="n"/>
      <c r="M4861" s="7" t="n"/>
      <c r="N4861">
        <f>IF(D4861="", "Gap - No Legal Basis", IF(AND(D4861="Consent (GDPR Art. 6(1)(a))", I4861="Not Captured"), "Gap - Invalid Consent", IF(AND(D4861="Legitimate Interest (GDPR Art. 6(1)(f))", L4861=""), "Gap - Missing LIA", IF(AND(G4861="Yes", H4861=""), "Gap - Missing Art. 9 Basis", IF(OR(I4861="Invalid - Not Freely Given", I4861="Invalid - Not Specific", I4861="Invalid - Not Informed", I4861="Invalid - Ambiguous"), "Gap - Invalid Consent", "Compliant")))))</f>
        <v/>
      </c>
      <c r="O4861" s="7" t="n"/>
    </row>
    <row r="4862">
      <c r="A4862" s="7" t="n"/>
      <c r="B4862" s="7" t="n"/>
      <c r="C4862" s="7" t="n"/>
      <c r="D4862" s="7" t="n"/>
      <c r="E4862" s="7" t="n"/>
      <c r="F4862" s="7" t="n"/>
      <c r="G4862" s="7" t="n"/>
      <c r="H4862" s="7" t="n"/>
      <c r="I4862" s="7" t="n"/>
      <c r="J4862" s="7" t="n"/>
      <c r="K4862">
        <f>IF(D4862="Legitimate Interest (GDPR Art. 6(1)(f))", "Yes / Required (Sheet 3)", "")</f>
        <v/>
      </c>
      <c r="L4862" s="7" t="n"/>
      <c r="M4862" s="7" t="n"/>
      <c r="N4862">
        <f>IF(D4862="", "Gap - No Legal Basis", IF(AND(D4862="Consent (GDPR Art. 6(1)(a))", I4862="Not Captured"), "Gap - Invalid Consent", IF(AND(D4862="Legitimate Interest (GDPR Art. 6(1)(f))", L4862=""), "Gap - Missing LIA", IF(AND(G4862="Yes", H4862=""), "Gap - Missing Art. 9 Basis", IF(OR(I4862="Invalid - Not Freely Given", I4862="Invalid - Not Specific", I4862="Invalid - Not Informed", I4862="Invalid - Ambiguous"), "Gap - Invalid Consent", "Compliant")))))</f>
        <v/>
      </c>
      <c r="O4862" s="7" t="n"/>
    </row>
    <row r="4863">
      <c r="A4863" s="7" t="n"/>
      <c r="B4863" s="7" t="n"/>
      <c r="C4863" s="7" t="n"/>
      <c r="D4863" s="7" t="n"/>
      <c r="E4863" s="7" t="n"/>
      <c r="F4863" s="7" t="n"/>
      <c r="G4863" s="7" t="n"/>
      <c r="H4863" s="7" t="n"/>
      <c r="I4863" s="7" t="n"/>
      <c r="J4863" s="7" t="n"/>
      <c r="K4863">
        <f>IF(D4863="Legitimate Interest (GDPR Art. 6(1)(f))", "Yes / Required (Sheet 3)", "")</f>
        <v/>
      </c>
      <c r="L4863" s="7" t="n"/>
      <c r="M4863" s="7" t="n"/>
      <c r="N4863">
        <f>IF(D4863="", "Gap - No Legal Basis", IF(AND(D4863="Consent (GDPR Art. 6(1)(a))", I4863="Not Captured"), "Gap - Invalid Consent", IF(AND(D4863="Legitimate Interest (GDPR Art. 6(1)(f))", L4863=""), "Gap - Missing LIA", IF(AND(G4863="Yes", H4863=""), "Gap - Missing Art. 9 Basis", IF(OR(I4863="Invalid - Not Freely Given", I4863="Invalid - Not Specific", I4863="Invalid - Not Informed", I4863="Invalid - Ambiguous"), "Gap - Invalid Consent", "Compliant")))))</f>
        <v/>
      </c>
      <c r="O4863" s="7" t="n"/>
    </row>
    <row r="4864">
      <c r="A4864" s="7" t="n"/>
      <c r="B4864" s="7" t="n"/>
      <c r="C4864" s="7" t="n"/>
      <c r="D4864" s="7" t="n"/>
      <c r="E4864" s="7" t="n"/>
      <c r="F4864" s="7" t="n"/>
      <c r="G4864" s="7" t="n"/>
      <c r="H4864" s="7" t="n"/>
      <c r="I4864" s="7" t="n"/>
      <c r="J4864" s="7" t="n"/>
      <c r="K4864">
        <f>IF(D4864="Legitimate Interest (GDPR Art. 6(1)(f))", "Yes / Required (Sheet 3)", "")</f>
        <v/>
      </c>
      <c r="L4864" s="7" t="n"/>
      <c r="M4864" s="7" t="n"/>
      <c r="N4864">
        <f>IF(D4864="", "Gap - No Legal Basis", IF(AND(D4864="Consent (GDPR Art. 6(1)(a))", I4864="Not Captured"), "Gap - Invalid Consent", IF(AND(D4864="Legitimate Interest (GDPR Art. 6(1)(f))", L4864=""), "Gap - Missing LIA", IF(AND(G4864="Yes", H4864=""), "Gap - Missing Art. 9 Basis", IF(OR(I4864="Invalid - Not Freely Given", I4864="Invalid - Not Specific", I4864="Invalid - Not Informed", I4864="Invalid - Ambiguous"), "Gap - Invalid Consent", "Compliant")))))</f>
        <v/>
      </c>
      <c r="O4864" s="7" t="n"/>
    </row>
    <row r="4865">
      <c r="A4865" s="7" t="n"/>
      <c r="B4865" s="7" t="n"/>
      <c r="C4865" s="7" t="n"/>
      <c r="D4865" s="7" t="n"/>
      <c r="E4865" s="7" t="n"/>
      <c r="F4865" s="7" t="n"/>
      <c r="G4865" s="7" t="n"/>
      <c r="H4865" s="7" t="n"/>
      <c r="I4865" s="7" t="n"/>
      <c r="J4865" s="7" t="n"/>
      <c r="K4865">
        <f>IF(D4865="Legitimate Interest (GDPR Art. 6(1)(f))", "Yes / Required (Sheet 3)", "")</f>
        <v/>
      </c>
      <c r="L4865" s="7" t="n"/>
      <c r="M4865" s="7" t="n"/>
      <c r="N4865">
        <f>IF(D4865="", "Gap - No Legal Basis", IF(AND(D4865="Consent (GDPR Art. 6(1)(a))", I4865="Not Captured"), "Gap - Invalid Consent", IF(AND(D4865="Legitimate Interest (GDPR Art. 6(1)(f))", L4865=""), "Gap - Missing LIA", IF(AND(G4865="Yes", H4865=""), "Gap - Missing Art. 9 Basis", IF(OR(I4865="Invalid - Not Freely Given", I4865="Invalid - Not Specific", I4865="Invalid - Not Informed", I4865="Invalid - Ambiguous"), "Gap - Invalid Consent", "Compliant")))))</f>
        <v/>
      </c>
      <c r="O4865" s="7" t="n"/>
    </row>
    <row r="4866">
      <c r="A4866" s="7" t="n"/>
      <c r="B4866" s="7" t="n"/>
      <c r="C4866" s="7" t="n"/>
      <c r="D4866" s="7" t="n"/>
      <c r="E4866" s="7" t="n"/>
      <c r="F4866" s="7" t="n"/>
      <c r="G4866" s="7" t="n"/>
      <c r="H4866" s="7" t="n"/>
      <c r="I4866" s="7" t="n"/>
      <c r="J4866" s="7" t="n"/>
      <c r="K4866">
        <f>IF(D4866="Legitimate Interest (GDPR Art. 6(1)(f))", "Yes / Required (Sheet 3)", "")</f>
        <v/>
      </c>
      <c r="L4866" s="7" t="n"/>
      <c r="M4866" s="7" t="n"/>
      <c r="N4866">
        <f>IF(D4866="", "Gap - No Legal Basis", IF(AND(D4866="Consent (GDPR Art. 6(1)(a))", I4866="Not Captured"), "Gap - Invalid Consent", IF(AND(D4866="Legitimate Interest (GDPR Art. 6(1)(f))", L4866=""), "Gap - Missing LIA", IF(AND(G4866="Yes", H4866=""), "Gap - Missing Art. 9 Basis", IF(OR(I4866="Invalid - Not Freely Given", I4866="Invalid - Not Specific", I4866="Invalid - Not Informed", I4866="Invalid - Ambiguous"), "Gap - Invalid Consent", "Compliant")))))</f>
        <v/>
      </c>
      <c r="O4866" s="7" t="n"/>
    </row>
    <row r="4867">
      <c r="A4867" s="7" t="n"/>
      <c r="B4867" s="7" t="n"/>
      <c r="C4867" s="7" t="n"/>
      <c r="D4867" s="7" t="n"/>
      <c r="E4867" s="7" t="n"/>
      <c r="F4867" s="7" t="n"/>
      <c r="G4867" s="7" t="n"/>
      <c r="H4867" s="7" t="n"/>
      <c r="I4867" s="7" t="n"/>
      <c r="J4867" s="7" t="n"/>
      <c r="K4867">
        <f>IF(D4867="Legitimate Interest (GDPR Art. 6(1)(f))", "Yes / Required (Sheet 3)", "")</f>
        <v/>
      </c>
      <c r="L4867" s="7" t="n"/>
      <c r="M4867" s="7" t="n"/>
      <c r="N4867">
        <f>IF(D4867="", "Gap - No Legal Basis", IF(AND(D4867="Consent (GDPR Art. 6(1)(a))", I4867="Not Captured"), "Gap - Invalid Consent", IF(AND(D4867="Legitimate Interest (GDPR Art. 6(1)(f))", L4867=""), "Gap - Missing LIA", IF(AND(G4867="Yes", H4867=""), "Gap - Missing Art. 9 Basis", IF(OR(I4867="Invalid - Not Freely Given", I4867="Invalid - Not Specific", I4867="Invalid - Not Informed", I4867="Invalid - Ambiguous"), "Gap - Invalid Consent", "Compliant")))))</f>
        <v/>
      </c>
      <c r="O4867" s="7" t="n"/>
    </row>
    <row r="4868">
      <c r="A4868" s="7" t="n"/>
      <c r="B4868" s="7" t="n"/>
      <c r="C4868" s="7" t="n"/>
      <c r="D4868" s="7" t="n"/>
      <c r="E4868" s="7" t="n"/>
      <c r="F4868" s="7" t="n"/>
      <c r="G4868" s="7" t="n"/>
      <c r="H4868" s="7" t="n"/>
      <c r="I4868" s="7" t="n"/>
      <c r="J4868" s="7" t="n"/>
      <c r="K4868">
        <f>IF(D4868="Legitimate Interest (GDPR Art. 6(1)(f))", "Yes / Required (Sheet 3)", "")</f>
        <v/>
      </c>
      <c r="L4868" s="7" t="n"/>
      <c r="M4868" s="7" t="n"/>
      <c r="N4868">
        <f>IF(D4868="", "Gap - No Legal Basis", IF(AND(D4868="Consent (GDPR Art. 6(1)(a))", I4868="Not Captured"), "Gap - Invalid Consent", IF(AND(D4868="Legitimate Interest (GDPR Art. 6(1)(f))", L4868=""), "Gap - Missing LIA", IF(AND(G4868="Yes", H4868=""), "Gap - Missing Art. 9 Basis", IF(OR(I4868="Invalid - Not Freely Given", I4868="Invalid - Not Specific", I4868="Invalid - Not Informed", I4868="Invalid - Ambiguous"), "Gap - Invalid Consent", "Compliant")))))</f>
        <v/>
      </c>
      <c r="O4868" s="7" t="n"/>
    </row>
    <row r="4869">
      <c r="A4869" s="7" t="n"/>
      <c r="B4869" s="7" t="n"/>
      <c r="C4869" s="7" t="n"/>
      <c r="D4869" s="7" t="n"/>
      <c r="E4869" s="7" t="n"/>
      <c r="F4869" s="7" t="n"/>
      <c r="G4869" s="7" t="n"/>
      <c r="H4869" s="7" t="n"/>
      <c r="I4869" s="7" t="n"/>
      <c r="J4869" s="7" t="n"/>
      <c r="K4869">
        <f>IF(D4869="Legitimate Interest (GDPR Art. 6(1)(f))", "Yes / Required (Sheet 3)", "")</f>
        <v/>
      </c>
      <c r="L4869" s="7" t="n"/>
      <c r="M4869" s="7" t="n"/>
      <c r="N4869">
        <f>IF(D4869="", "Gap - No Legal Basis", IF(AND(D4869="Consent (GDPR Art. 6(1)(a))", I4869="Not Captured"), "Gap - Invalid Consent", IF(AND(D4869="Legitimate Interest (GDPR Art. 6(1)(f))", L4869=""), "Gap - Missing LIA", IF(AND(G4869="Yes", H4869=""), "Gap - Missing Art. 9 Basis", IF(OR(I4869="Invalid - Not Freely Given", I4869="Invalid - Not Specific", I4869="Invalid - Not Informed", I4869="Invalid - Ambiguous"), "Gap - Invalid Consent", "Compliant")))))</f>
        <v/>
      </c>
      <c r="O4869" s="7" t="n"/>
    </row>
    <row r="4870">
      <c r="A4870" s="7" t="n"/>
      <c r="B4870" s="7" t="n"/>
      <c r="C4870" s="7" t="n"/>
      <c r="D4870" s="7" t="n"/>
      <c r="E4870" s="7" t="n"/>
      <c r="F4870" s="7" t="n"/>
      <c r="G4870" s="7" t="n"/>
      <c r="H4870" s="7" t="n"/>
      <c r="I4870" s="7" t="n"/>
      <c r="J4870" s="7" t="n"/>
      <c r="K4870">
        <f>IF(D4870="Legitimate Interest (GDPR Art. 6(1)(f))", "Yes / Required (Sheet 3)", "")</f>
        <v/>
      </c>
      <c r="L4870" s="7" t="n"/>
      <c r="M4870" s="7" t="n"/>
      <c r="N4870">
        <f>IF(D4870="", "Gap - No Legal Basis", IF(AND(D4870="Consent (GDPR Art. 6(1)(a))", I4870="Not Captured"), "Gap - Invalid Consent", IF(AND(D4870="Legitimate Interest (GDPR Art. 6(1)(f))", L4870=""), "Gap - Missing LIA", IF(AND(G4870="Yes", H4870=""), "Gap - Missing Art. 9 Basis", IF(OR(I4870="Invalid - Not Freely Given", I4870="Invalid - Not Specific", I4870="Invalid - Not Informed", I4870="Invalid - Ambiguous"), "Gap - Invalid Consent", "Compliant")))))</f>
        <v/>
      </c>
      <c r="O4870" s="7" t="n"/>
    </row>
    <row r="4871">
      <c r="A4871" s="7" t="n"/>
      <c r="B4871" s="7" t="n"/>
      <c r="C4871" s="7" t="n"/>
      <c r="D4871" s="7" t="n"/>
      <c r="E4871" s="7" t="n"/>
      <c r="F4871" s="7" t="n"/>
      <c r="G4871" s="7" t="n"/>
      <c r="H4871" s="7" t="n"/>
      <c r="I4871" s="7" t="n"/>
      <c r="J4871" s="7" t="n"/>
      <c r="K4871">
        <f>IF(D4871="Legitimate Interest (GDPR Art. 6(1)(f))", "Yes / Required (Sheet 3)", "")</f>
        <v/>
      </c>
      <c r="L4871" s="7" t="n"/>
      <c r="M4871" s="7" t="n"/>
      <c r="N4871">
        <f>IF(D4871="", "Gap - No Legal Basis", IF(AND(D4871="Consent (GDPR Art. 6(1)(a))", I4871="Not Captured"), "Gap - Invalid Consent", IF(AND(D4871="Legitimate Interest (GDPR Art. 6(1)(f))", L4871=""), "Gap - Missing LIA", IF(AND(G4871="Yes", H4871=""), "Gap - Missing Art. 9 Basis", IF(OR(I4871="Invalid - Not Freely Given", I4871="Invalid - Not Specific", I4871="Invalid - Not Informed", I4871="Invalid - Ambiguous"), "Gap - Invalid Consent", "Compliant")))))</f>
        <v/>
      </c>
      <c r="O4871" s="7" t="n"/>
    </row>
    <row r="4872">
      <c r="A4872" s="7" t="n"/>
      <c r="B4872" s="7" t="n"/>
      <c r="C4872" s="7" t="n"/>
      <c r="D4872" s="7" t="n"/>
      <c r="E4872" s="7" t="n"/>
      <c r="F4872" s="7" t="n"/>
      <c r="G4872" s="7" t="n"/>
      <c r="H4872" s="7" t="n"/>
      <c r="I4872" s="7" t="n"/>
      <c r="J4872" s="7" t="n"/>
      <c r="K4872">
        <f>IF(D4872="Legitimate Interest (GDPR Art. 6(1)(f))", "Yes / Required (Sheet 3)", "")</f>
        <v/>
      </c>
      <c r="L4872" s="7" t="n"/>
      <c r="M4872" s="7" t="n"/>
      <c r="N4872">
        <f>IF(D4872="", "Gap - No Legal Basis", IF(AND(D4872="Consent (GDPR Art. 6(1)(a))", I4872="Not Captured"), "Gap - Invalid Consent", IF(AND(D4872="Legitimate Interest (GDPR Art. 6(1)(f))", L4872=""), "Gap - Missing LIA", IF(AND(G4872="Yes", H4872=""), "Gap - Missing Art. 9 Basis", IF(OR(I4872="Invalid - Not Freely Given", I4872="Invalid - Not Specific", I4872="Invalid - Not Informed", I4872="Invalid - Ambiguous"), "Gap - Invalid Consent", "Compliant")))))</f>
        <v/>
      </c>
      <c r="O4872" s="7" t="n"/>
    </row>
    <row r="4873">
      <c r="A4873" s="7" t="n"/>
      <c r="B4873" s="7" t="n"/>
      <c r="C4873" s="7" t="n"/>
      <c r="D4873" s="7" t="n"/>
      <c r="E4873" s="7" t="n"/>
      <c r="F4873" s="7" t="n"/>
      <c r="G4873" s="7" t="n"/>
      <c r="H4873" s="7" t="n"/>
      <c r="I4873" s="7" t="n"/>
      <c r="J4873" s="7" t="n"/>
      <c r="K4873">
        <f>IF(D4873="Legitimate Interest (GDPR Art. 6(1)(f))", "Yes / Required (Sheet 3)", "")</f>
        <v/>
      </c>
      <c r="L4873" s="7" t="n"/>
      <c r="M4873" s="7" t="n"/>
      <c r="N4873">
        <f>IF(D4873="", "Gap - No Legal Basis", IF(AND(D4873="Consent (GDPR Art. 6(1)(a))", I4873="Not Captured"), "Gap - Invalid Consent", IF(AND(D4873="Legitimate Interest (GDPR Art. 6(1)(f))", L4873=""), "Gap - Missing LIA", IF(AND(G4873="Yes", H4873=""), "Gap - Missing Art. 9 Basis", IF(OR(I4873="Invalid - Not Freely Given", I4873="Invalid - Not Specific", I4873="Invalid - Not Informed", I4873="Invalid - Ambiguous"), "Gap - Invalid Consent", "Compliant")))))</f>
        <v/>
      </c>
      <c r="O4873" s="7" t="n"/>
    </row>
    <row r="4874">
      <c r="A4874" s="7" t="n"/>
      <c r="B4874" s="7" t="n"/>
      <c r="C4874" s="7" t="n"/>
      <c r="D4874" s="7" t="n"/>
      <c r="E4874" s="7" t="n"/>
      <c r="F4874" s="7" t="n"/>
      <c r="G4874" s="7" t="n"/>
      <c r="H4874" s="7" t="n"/>
      <c r="I4874" s="7" t="n"/>
      <c r="J4874" s="7" t="n"/>
      <c r="K4874">
        <f>IF(D4874="Legitimate Interest (GDPR Art. 6(1)(f))", "Yes / Required (Sheet 3)", "")</f>
        <v/>
      </c>
      <c r="L4874" s="7" t="n"/>
      <c r="M4874" s="7" t="n"/>
      <c r="N4874">
        <f>IF(D4874="", "Gap - No Legal Basis", IF(AND(D4874="Consent (GDPR Art. 6(1)(a))", I4874="Not Captured"), "Gap - Invalid Consent", IF(AND(D4874="Legitimate Interest (GDPR Art. 6(1)(f))", L4874=""), "Gap - Missing LIA", IF(AND(G4874="Yes", H4874=""), "Gap - Missing Art. 9 Basis", IF(OR(I4874="Invalid - Not Freely Given", I4874="Invalid - Not Specific", I4874="Invalid - Not Informed", I4874="Invalid - Ambiguous"), "Gap - Invalid Consent", "Compliant")))))</f>
        <v/>
      </c>
      <c r="O4874" s="7" t="n"/>
    </row>
    <row r="4875">
      <c r="A4875" s="7" t="n"/>
      <c r="B4875" s="7" t="n"/>
      <c r="C4875" s="7" t="n"/>
      <c r="D4875" s="7" t="n"/>
      <c r="E4875" s="7" t="n"/>
      <c r="F4875" s="7" t="n"/>
      <c r="G4875" s="7" t="n"/>
      <c r="H4875" s="7" t="n"/>
      <c r="I4875" s="7" t="n"/>
      <c r="J4875" s="7" t="n"/>
      <c r="K4875">
        <f>IF(D4875="Legitimate Interest (GDPR Art. 6(1)(f))", "Yes / Required (Sheet 3)", "")</f>
        <v/>
      </c>
      <c r="L4875" s="7" t="n"/>
      <c r="M4875" s="7" t="n"/>
      <c r="N4875">
        <f>IF(D4875="", "Gap - No Legal Basis", IF(AND(D4875="Consent (GDPR Art. 6(1)(a))", I4875="Not Captured"), "Gap - Invalid Consent", IF(AND(D4875="Legitimate Interest (GDPR Art. 6(1)(f))", L4875=""), "Gap - Missing LIA", IF(AND(G4875="Yes", H4875=""), "Gap - Missing Art. 9 Basis", IF(OR(I4875="Invalid - Not Freely Given", I4875="Invalid - Not Specific", I4875="Invalid - Not Informed", I4875="Invalid - Ambiguous"), "Gap - Invalid Consent", "Compliant")))))</f>
        <v/>
      </c>
      <c r="O4875" s="7" t="n"/>
    </row>
    <row r="4876">
      <c r="A4876" s="7" t="n"/>
      <c r="B4876" s="7" t="n"/>
      <c r="C4876" s="7" t="n"/>
      <c r="D4876" s="7" t="n"/>
      <c r="E4876" s="7" t="n"/>
      <c r="F4876" s="7" t="n"/>
      <c r="G4876" s="7" t="n"/>
      <c r="H4876" s="7" t="n"/>
      <c r="I4876" s="7" t="n"/>
      <c r="J4876" s="7" t="n"/>
      <c r="K4876">
        <f>IF(D4876="Legitimate Interest (GDPR Art. 6(1)(f))", "Yes / Required (Sheet 3)", "")</f>
        <v/>
      </c>
      <c r="L4876" s="7" t="n"/>
      <c r="M4876" s="7" t="n"/>
      <c r="N4876">
        <f>IF(D4876="", "Gap - No Legal Basis", IF(AND(D4876="Consent (GDPR Art. 6(1)(a))", I4876="Not Captured"), "Gap - Invalid Consent", IF(AND(D4876="Legitimate Interest (GDPR Art. 6(1)(f))", L4876=""), "Gap - Missing LIA", IF(AND(G4876="Yes", H4876=""), "Gap - Missing Art. 9 Basis", IF(OR(I4876="Invalid - Not Freely Given", I4876="Invalid - Not Specific", I4876="Invalid - Not Informed", I4876="Invalid - Ambiguous"), "Gap - Invalid Consent", "Compliant")))))</f>
        <v/>
      </c>
      <c r="O4876" s="7" t="n"/>
    </row>
    <row r="4877">
      <c r="A4877" s="7" t="n"/>
      <c r="B4877" s="7" t="n"/>
      <c r="C4877" s="7" t="n"/>
      <c r="D4877" s="7" t="n"/>
      <c r="E4877" s="7" t="n"/>
      <c r="F4877" s="7" t="n"/>
      <c r="G4877" s="7" t="n"/>
      <c r="H4877" s="7" t="n"/>
      <c r="I4877" s="7" t="n"/>
      <c r="J4877" s="7" t="n"/>
      <c r="K4877">
        <f>IF(D4877="Legitimate Interest (GDPR Art. 6(1)(f))", "Yes / Required (Sheet 3)", "")</f>
        <v/>
      </c>
      <c r="L4877" s="7" t="n"/>
      <c r="M4877" s="7" t="n"/>
      <c r="N4877">
        <f>IF(D4877="", "Gap - No Legal Basis", IF(AND(D4877="Consent (GDPR Art. 6(1)(a))", I4877="Not Captured"), "Gap - Invalid Consent", IF(AND(D4877="Legitimate Interest (GDPR Art. 6(1)(f))", L4877=""), "Gap - Missing LIA", IF(AND(G4877="Yes", H4877=""), "Gap - Missing Art. 9 Basis", IF(OR(I4877="Invalid - Not Freely Given", I4877="Invalid - Not Specific", I4877="Invalid - Not Informed", I4877="Invalid - Ambiguous"), "Gap - Invalid Consent", "Compliant")))))</f>
        <v/>
      </c>
      <c r="O4877" s="7" t="n"/>
    </row>
    <row r="4878">
      <c r="A4878" s="7" t="n"/>
      <c r="B4878" s="7" t="n"/>
      <c r="C4878" s="7" t="n"/>
      <c r="D4878" s="7" t="n"/>
      <c r="E4878" s="7" t="n"/>
      <c r="F4878" s="7" t="n"/>
      <c r="G4878" s="7" t="n"/>
      <c r="H4878" s="7" t="n"/>
      <c r="I4878" s="7" t="n"/>
      <c r="J4878" s="7" t="n"/>
      <c r="K4878">
        <f>IF(D4878="Legitimate Interest (GDPR Art. 6(1)(f))", "Yes / Required (Sheet 3)", "")</f>
        <v/>
      </c>
      <c r="L4878" s="7" t="n"/>
      <c r="M4878" s="7" t="n"/>
      <c r="N4878">
        <f>IF(D4878="", "Gap - No Legal Basis", IF(AND(D4878="Consent (GDPR Art. 6(1)(a))", I4878="Not Captured"), "Gap - Invalid Consent", IF(AND(D4878="Legitimate Interest (GDPR Art. 6(1)(f))", L4878=""), "Gap - Missing LIA", IF(AND(G4878="Yes", H4878=""), "Gap - Missing Art. 9 Basis", IF(OR(I4878="Invalid - Not Freely Given", I4878="Invalid - Not Specific", I4878="Invalid - Not Informed", I4878="Invalid - Ambiguous"), "Gap - Invalid Consent", "Compliant")))))</f>
        <v/>
      </c>
      <c r="O4878" s="7" t="n"/>
    </row>
    <row r="4879">
      <c r="A4879" s="7" t="n"/>
      <c r="B4879" s="7" t="n"/>
      <c r="C4879" s="7" t="n"/>
      <c r="D4879" s="7" t="n"/>
      <c r="E4879" s="7" t="n"/>
      <c r="F4879" s="7" t="n"/>
      <c r="G4879" s="7" t="n"/>
      <c r="H4879" s="7" t="n"/>
      <c r="I4879" s="7" t="n"/>
      <c r="J4879" s="7" t="n"/>
      <c r="K4879">
        <f>IF(D4879="Legitimate Interest (GDPR Art. 6(1)(f))", "Yes / Required (Sheet 3)", "")</f>
        <v/>
      </c>
      <c r="L4879" s="7" t="n"/>
      <c r="M4879" s="7" t="n"/>
      <c r="N4879">
        <f>IF(D4879="", "Gap - No Legal Basis", IF(AND(D4879="Consent (GDPR Art. 6(1)(a))", I4879="Not Captured"), "Gap - Invalid Consent", IF(AND(D4879="Legitimate Interest (GDPR Art. 6(1)(f))", L4879=""), "Gap - Missing LIA", IF(AND(G4879="Yes", H4879=""), "Gap - Missing Art. 9 Basis", IF(OR(I4879="Invalid - Not Freely Given", I4879="Invalid - Not Specific", I4879="Invalid - Not Informed", I4879="Invalid - Ambiguous"), "Gap - Invalid Consent", "Compliant")))))</f>
        <v/>
      </c>
      <c r="O4879" s="7" t="n"/>
    </row>
    <row r="4880">
      <c r="A4880" s="7" t="n"/>
      <c r="B4880" s="7" t="n"/>
      <c r="C4880" s="7" t="n"/>
      <c r="D4880" s="7" t="n"/>
      <c r="E4880" s="7" t="n"/>
      <c r="F4880" s="7" t="n"/>
      <c r="G4880" s="7" t="n"/>
      <c r="H4880" s="7" t="n"/>
      <c r="I4880" s="7" t="n"/>
      <c r="J4880" s="7" t="n"/>
      <c r="K4880">
        <f>IF(D4880="Legitimate Interest (GDPR Art. 6(1)(f))", "Yes / Required (Sheet 3)", "")</f>
        <v/>
      </c>
      <c r="L4880" s="7" t="n"/>
      <c r="M4880" s="7" t="n"/>
      <c r="N4880">
        <f>IF(D4880="", "Gap - No Legal Basis", IF(AND(D4880="Consent (GDPR Art. 6(1)(a))", I4880="Not Captured"), "Gap - Invalid Consent", IF(AND(D4880="Legitimate Interest (GDPR Art. 6(1)(f))", L4880=""), "Gap - Missing LIA", IF(AND(G4880="Yes", H4880=""), "Gap - Missing Art. 9 Basis", IF(OR(I4880="Invalid - Not Freely Given", I4880="Invalid - Not Specific", I4880="Invalid - Not Informed", I4880="Invalid - Ambiguous"), "Gap - Invalid Consent", "Compliant")))))</f>
        <v/>
      </c>
      <c r="O4880" s="7" t="n"/>
    </row>
    <row r="4881">
      <c r="A4881" s="7" t="n"/>
      <c r="B4881" s="7" t="n"/>
      <c r="C4881" s="7" t="n"/>
      <c r="D4881" s="7" t="n"/>
      <c r="E4881" s="7" t="n"/>
      <c r="F4881" s="7" t="n"/>
      <c r="G4881" s="7" t="n"/>
      <c r="H4881" s="7" t="n"/>
      <c r="I4881" s="7" t="n"/>
      <c r="J4881" s="7" t="n"/>
      <c r="K4881">
        <f>IF(D4881="Legitimate Interest (GDPR Art. 6(1)(f))", "Yes / Required (Sheet 3)", "")</f>
        <v/>
      </c>
      <c r="L4881" s="7" t="n"/>
      <c r="M4881" s="7" t="n"/>
      <c r="N4881">
        <f>IF(D4881="", "Gap - No Legal Basis", IF(AND(D4881="Consent (GDPR Art. 6(1)(a))", I4881="Not Captured"), "Gap - Invalid Consent", IF(AND(D4881="Legitimate Interest (GDPR Art. 6(1)(f))", L4881=""), "Gap - Missing LIA", IF(AND(G4881="Yes", H4881=""), "Gap - Missing Art. 9 Basis", IF(OR(I4881="Invalid - Not Freely Given", I4881="Invalid - Not Specific", I4881="Invalid - Not Informed", I4881="Invalid - Ambiguous"), "Gap - Invalid Consent", "Compliant")))))</f>
        <v/>
      </c>
      <c r="O4881" s="7" t="n"/>
    </row>
    <row r="4882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7" t="n"/>
      <c r="J4882" s="7" t="n"/>
      <c r="K4882">
        <f>IF(D4882="Legitimate Interest (GDPR Art. 6(1)(f))", "Yes / Required (Sheet 3)", "")</f>
        <v/>
      </c>
      <c r="L4882" s="7" t="n"/>
      <c r="M4882" s="7" t="n"/>
      <c r="N4882">
        <f>IF(D4882="", "Gap - No Legal Basis", IF(AND(D4882="Consent (GDPR Art. 6(1)(a))", I4882="Not Captured"), "Gap - Invalid Consent", IF(AND(D4882="Legitimate Interest (GDPR Art. 6(1)(f))", L4882=""), "Gap - Missing LIA", IF(AND(G4882="Yes", H4882=""), "Gap - Missing Art. 9 Basis", IF(OR(I4882="Invalid - Not Freely Given", I4882="Invalid - Not Specific", I4882="Invalid - Not Informed", I4882="Invalid - Ambiguous"), "Gap - Invalid Consent", "Compliant")))))</f>
        <v/>
      </c>
      <c r="O4882" s="7" t="n"/>
    </row>
    <row r="4883">
      <c r="A4883" s="7" t="n"/>
      <c r="B4883" s="7" t="n"/>
      <c r="C4883" s="7" t="n"/>
      <c r="D4883" s="7" t="n"/>
      <c r="E4883" s="7" t="n"/>
      <c r="F4883" s="7" t="n"/>
      <c r="G4883" s="7" t="n"/>
      <c r="H4883" s="7" t="n"/>
      <c r="I4883" s="7" t="n"/>
      <c r="J4883" s="7" t="n"/>
      <c r="K4883">
        <f>IF(D4883="Legitimate Interest (GDPR Art. 6(1)(f))", "Yes / Required (Sheet 3)", "")</f>
        <v/>
      </c>
      <c r="L4883" s="7" t="n"/>
      <c r="M4883" s="7" t="n"/>
      <c r="N4883">
        <f>IF(D4883="", "Gap - No Legal Basis", IF(AND(D4883="Consent (GDPR Art. 6(1)(a))", I4883="Not Captured"), "Gap - Invalid Consent", IF(AND(D4883="Legitimate Interest (GDPR Art. 6(1)(f))", L4883=""), "Gap - Missing LIA", IF(AND(G4883="Yes", H4883=""), "Gap - Missing Art. 9 Basis", IF(OR(I4883="Invalid - Not Freely Given", I4883="Invalid - Not Specific", I4883="Invalid - Not Informed", I4883="Invalid - Ambiguous"), "Gap - Invalid Consent", "Compliant")))))</f>
        <v/>
      </c>
      <c r="O4883" s="7" t="n"/>
    </row>
    <row r="4884">
      <c r="A4884" s="7" t="n"/>
      <c r="B4884" s="7" t="n"/>
      <c r="C4884" s="7" t="n"/>
      <c r="D4884" s="7" t="n"/>
      <c r="E4884" s="7" t="n"/>
      <c r="F4884" s="7" t="n"/>
      <c r="G4884" s="7" t="n"/>
      <c r="H4884" s="7" t="n"/>
      <c r="I4884" s="7" t="n"/>
      <c r="J4884" s="7" t="n"/>
      <c r="K4884">
        <f>IF(D4884="Legitimate Interest (GDPR Art. 6(1)(f))", "Yes / Required (Sheet 3)", "")</f>
        <v/>
      </c>
      <c r="L4884" s="7" t="n"/>
      <c r="M4884" s="7" t="n"/>
      <c r="N4884">
        <f>IF(D4884="", "Gap - No Legal Basis", IF(AND(D4884="Consent (GDPR Art. 6(1)(a))", I4884="Not Captured"), "Gap - Invalid Consent", IF(AND(D4884="Legitimate Interest (GDPR Art. 6(1)(f))", L4884=""), "Gap - Missing LIA", IF(AND(G4884="Yes", H4884=""), "Gap - Missing Art. 9 Basis", IF(OR(I4884="Invalid - Not Freely Given", I4884="Invalid - Not Specific", I4884="Invalid - Not Informed", I4884="Invalid - Ambiguous"), "Gap - Invalid Consent", "Compliant")))))</f>
        <v/>
      </c>
      <c r="O4884" s="7" t="n"/>
    </row>
    <row r="4885">
      <c r="A4885" s="7" t="n"/>
      <c r="B4885" s="7" t="n"/>
      <c r="C4885" s="7" t="n"/>
      <c r="D4885" s="7" t="n"/>
      <c r="E4885" s="7" t="n"/>
      <c r="F4885" s="7" t="n"/>
      <c r="G4885" s="7" t="n"/>
      <c r="H4885" s="7" t="n"/>
      <c r="I4885" s="7" t="n"/>
      <c r="J4885" s="7" t="n"/>
      <c r="K4885">
        <f>IF(D4885="Legitimate Interest (GDPR Art. 6(1)(f))", "Yes / Required (Sheet 3)", "")</f>
        <v/>
      </c>
      <c r="L4885" s="7" t="n"/>
      <c r="M4885" s="7" t="n"/>
      <c r="N4885">
        <f>IF(D4885="", "Gap - No Legal Basis", IF(AND(D4885="Consent (GDPR Art. 6(1)(a))", I4885="Not Captured"), "Gap - Invalid Consent", IF(AND(D4885="Legitimate Interest (GDPR Art. 6(1)(f))", L4885=""), "Gap - Missing LIA", IF(AND(G4885="Yes", H4885=""), "Gap - Missing Art. 9 Basis", IF(OR(I4885="Invalid - Not Freely Given", I4885="Invalid - Not Specific", I4885="Invalid - Not Informed", I4885="Invalid - Ambiguous"), "Gap - Invalid Consent", "Compliant")))))</f>
        <v/>
      </c>
      <c r="O4885" s="7" t="n"/>
    </row>
    <row r="4886">
      <c r="A4886" s="7" t="n"/>
      <c r="B4886" s="7" t="n"/>
      <c r="C4886" s="7" t="n"/>
      <c r="D4886" s="7" t="n"/>
      <c r="E4886" s="7" t="n"/>
      <c r="F4886" s="7" t="n"/>
      <c r="G4886" s="7" t="n"/>
      <c r="H4886" s="7" t="n"/>
      <c r="I4886" s="7" t="n"/>
      <c r="J4886" s="7" t="n"/>
      <c r="K4886">
        <f>IF(D4886="Legitimate Interest (GDPR Art. 6(1)(f))", "Yes / Required (Sheet 3)", "")</f>
        <v/>
      </c>
      <c r="L4886" s="7" t="n"/>
      <c r="M4886" s="7" t="n"/>
      <c r="N4886">
        <f>IF(D4886="", "Gap - No Legal Basis", IF(AND(D4886="Consent (GDPR Art. 6(1)(a))", I4886="Not Captured"), "Gap - Invalid Consent", IF(AND(D4886="Legitimate Interest (GDPR Art. 6(1)(f))", L4886=""), "Gap - Missing LIA", IF(AND(G4886="Yes", H4886=""), "Gap - Missing Art. 9 Basis", IF(OR(I4886="Invalid - Not Freely Given", I4886="Invalid - Not Specific", I4886="Invalid - Not Informed", I4886="Invalid - Ambiguous"), "Gap - Invalid Consent", "Compliant")))))</f>
        <v/>
      </c>
      <c r="O4886" s="7" t="n"/>
    </row>
    <row r="4887">
      <c r="A4887" s="7" t="n"/>
      <c r="B4887" s="7" t="n"/>
      <c r="C4887" s="7" t="n"/>
      <c r="D4887" s="7" t="n"/>
      <c r="E4887" s="7" t="n"/>
      <c r="F4887" s="7" t="n"/>
      <c r="G4887" s="7" t="n"/>
      <c r="H4887" s="7" t="n"/>
      <c r="I4887" s="7" t="n"/>
      <c r="J4887" s="7" t="n"/>
      <c r="K4887">
        <f>IF(D4887="Legitimate Interest (GDPR Art. 6(1)(f))", "Yes / Required (Sheet 3)", "")</f>
        <v/>
      </c>
      <c r="L4887" s="7" t="n"/>
      <c r="M4887" s="7" t="n"/>
      <c r="N4887">
        <f>IF(D4887="", "Gap - No Legal Basis", IF(AND(D4887="Consent (GDPR Art. 6(1)(a))", I4887="Not Captured"), "Gap - Invalid Consent", IF(AND(D4887="Legitimate Interest (GDPR Art. 6(1)(f))", L4887=""), "Gap - Missing LIA", IF(AND(G4887="Yes", H4887=""), "Gap - Missing Art. 9 Basis", IF(OR(I4887="Invalid - Not Freely Given", I4887="Invalid - Not Specific", I4887="Invalid - Not Informed", I4887="Invalid - Ambiguous"), "Gap - Invalid Consent", "Compliant")))))</f>
        <v/>
      </c>
      <c r="O4887" s="7" t="n"/>
    </row>
    <row r="4888">
      <c r="A4888" s="7" t="n"/>
      <c r="B4888" s="7" t="n"/>
      <c r="C4888" s="7" t="n"/>
      <c r="D4888" s="7" t="n"/>
      <c r="E4888" s="7" t="n"/>
      <c r="F4888" s="7" t="n"/>
      <c r="G4888" s="7" t="n"/>
      <c r="H4888" s="7" t="n"/>
      <c r="I4888" s="7" t="n"/>
      <c r="J4888" s="7" t="n"/>
      <c r="K4888">
        <f>IF(D4888="Legitimate Interest (GDPR Art. 6(1)(f))", "Yes / Required (Sheet 3)", "")</f>
        <v/>
      </c>
      <c r="L4888" s="7" t="n"/>
      <c r="M4888" s="7" t="n"/>
      <c r="N4888">
        <f>IF(D4888="", "Gap - No Legal Basis", IF(AND(D4888="Consent (GDPR Art. 6(1)(a))", I4888="Not Captured"), "Gap - Invalid Consent", IF(AND(D4888="Legitimate Interest (GDPR Art. 6(1)(f))", L4888=""), "Gap - Missing LIA", IF(AND(G4888="Yes", H4888=""), "Gap - Missing Art. 9 Basis", IF(OR(I4888="Invalid - Not Freely Given", I4888="Invalid - Not Specific", I4888="Invalid - Not Informed", I4888="Invalid - Ambiguous"), "Gap - Invalid Consent", "Compliant")))))</f>
        <v/>
      </c>
      <c r="O4888" s="7" t="n"/>
    </row>
    <row r="4889">
      <c r="A4889" s="7" t="n"/>
      <c r="B4889" s="7" t="n"/>
      <c r="C4889" s="7" t="n"/>
      <c r="D4889" s="7" t="n"/>
      <c r="E4889" s="7" t="n"/>
      <c r="F4889" s="7" t="n"/>
      <c r="G4889" s="7" t="n"/>
      <c r="H4889" s="7" t="n"/>
      <c r="I4889" s="7" t="n"/>
      <c r="J4889" s="7" t="n"/>
      <c r="K4889">
        <f>IF(D4889="Legitimate Interest (GDPR Art. 6(1)(f))", "Yes / Required (Sheet 3)", "")</f>
        <v/>
      </c>
      <c r="L4889" s="7" t="n"/>
      <c r="M4889" s="7" t="n"/>
      <c r="N4889">
        <f>IF(D4889="", "Gap - No Legal Basis", IF(AND(D4889="Consent (GDPR Art. 6(1)(a))", I4889="Not Captured"), "Gap - Invalid Consent", IF(AND(D4889="Legitimate Interest (GDPR Art. 6(1)(f))", L4889=""), "Gap - Missing LIA", IF(AND(G4889="Yes", H4889=""), "Gap - Missing Art. 9 Basis", IF(OR(I4889="Invalid - Not Freely Given", I4889="Invalid - Not Specific", I4889="Invalid - Not Informed", I4889="Invalid - Ambiguous"), "Gap - Invalid Consent", "Compliant")))))</f>
        <v/>
      </c>
      <c r="O4889" s="7" t="n"/>
    </row>
    <row r="4890">
      <c r="A4890" s="7" t="n"/>
      <c r="B4890" s="7" t="n"/>
      <c r="C4890" s="7" t="n"/>
      <c r="D4890" s="7" t="n"/>
      <c r="E4890" s="7" t="n"/>
      <c r="F4890" s="7" t="n"/>
      <c r="G4890" s="7" t="n"/>
      <c r="H4890" s="7" t="n"/>
      <c r="I4890" s="7" t="n"/>
      <c r="J4890" s="7" t="n"/>
      <c r="K4890">
        <f>IF(D4890="Legitimate Interest (GDPR Art. 6(1)(f))", "Yes / Required (Sheet 3)", "")</f>
        <v/>
      </c>
      <c r="L4890" s="7" t="n"/>
      <c r="M4890" s="7" t="n"/>
      <c r="N4890">
        <f>IF(D4890="", "Gap - No Legal Basis", IF(AND(D4890="Consent (GDPR Art. 6(1)(a))", I4890="Not Captured"), "Gap - Invalid Consent", IF(AND(D4890="Legitimate Interest (GDPR Art. 6(1)(f))", L4890=""), "Gap - Missing LIA", IF(AND(G4890="Yes", H4890=""), "Gap - Missing Art. 9 Basis", IF(OR(I4890="Invalid - Not Freely Given", I4890="Invalid - Not Specific", I4890="Invalid - Not Informed", I4890="Invalid - Ambiguous"), "Gap - Invalid Consent", "Compliant")))))</f>
        <v/>
      </c>
      <c r="O4890" s="7" t="n"/>
    </row>
    <row r="4891">
      <c r="A4891" s="7" t="n"/>
      <c r="B4891" s="7" t="n"/>
      <c r="C4891" s="7" t="n"/>
      <c r="D4891" s="7" t="n"/>
      <c r="E4891" s="7" t="n"/>
      <c r="F4891" s="7" t="n"/>
      <c r="G4891" s="7" t="n"/>
      <c r="H4891" s="7" t="n"/>
      <c r="I4891" s="7" t="n"/>
      <c r="J4891" s="7" t="n"/>
      <c r="K4891">
        <f>IF(D4891="Legitimate Interest (GDPR Art. 6(1)(f))", "Yes / Required (Sheet 3)", "")</f>
        <v/>
      </c>
      <c r="L4891" s="7" t="n"/>
      <c r="M4891" s="7" t="n"/>
      <c r="N4891">
        <f>IF(D4891="", "Gap - No Legal Basis", IF(AND(D4891="Consent (GDPR Art. 6(1)(a))", I4891="Not Captured"), "Gap - Invalid Consent", IF(AND(D4891="Legitimate Interest (GDPR Art. 6(1)(f))", L4891=""), "Gap - Missing LIA", IF(AND(G4891="Yes", H4891=""), "Gap - Missing Art. 9 Basis", IF(OR(I4891="Invalid - Not Freely Given", I4891="Invalid - Not Specific", I4891="Invalid - Not Informed", I4891="Invalid - Ambiguous"), "Gap - Invalid Consent", "Compliant")))))</f>
        <v/>
      </c>
      <c r="O4891" s="7" t="n"/>
    </row>
    <row r="4892">
      <c r="A4892" s="7" t="n"/>
      <c r="B4892" s="7" t="n"/>
      <c r="C4892" s="7" t="n"/>
      <c r="D4892" s="7" t="n"/>
      <c r="E4892" s="7" t="n"/>
      <c r="F4892" s="7" t="n"/>
      <c r="G4892" s="7" t="n"/>
      <c r="H4892" s="7" t="n"/>
      <c r="I4892" s="7" t="n"/>
      <c r="J4892" s="7" t="n"/>
      <c r="K4892">
        <f>IF(D4892="Legitimate Interest (GDPR Art. 6(1)(f))", "Yes / Required (Sheet 3)", "")</f>
        <v/>
      </c>
      <c r="L4892" s="7" t="n"/>
      <c r="M4892" s="7" t="n"/>
      <c r="N4892">
        <f>IF(D4892="", "Gap - No Legal Basis", IF(AND(D4892="Consent (GDPR Art. 6(1)(a))", I4892="Not Captured"), "Gap - Invalid Consent", IF(AND(D4892="Legitimate Interest (GDPR Art. 6(1)(f))", L4892=""), "Gap - Missing LIA", IF(AND(G4892="Yes", H4892=""), "Gap - Missing Art. 9 Basis", IF(OR(I4892="Invalid - Not Freely Given", I4892="Invalid - Not Specific", I4892="Invalid - Not Informed", I4892="Invalid - Ambiguous"), "Gap - Invalid Consent", "Compliant")))))</f>
        <v/>
      </c>
      <c r="O4892" s="7" t="n"/>
    </row>
    <row r="4893">
      <c r="A4893" s="7" t="n"/>
      <c r="B4893" s="7" t="n"/>
      <c r="C4893" s="7" t="n"/>
      <c r="D4893" s="7" t="n"/>
      <c r="E4893" s="7" t="n"/>
      <c r="F4893" s="7" t="n"/>
      <c r="G4893" s="7" t="n"/>
      <c r="H4893" s="7" t="n"/>
      <c r="I4893" s="7" t="n"/>
      <c r="J4893" s="7" t="n"/>
      <c r="K4893">
        <f>IF(D4893="Legitimate Interest (GDPR Art. 6(1)(f))", "Yes / Required (Sheet 3)", "")</f>
        <v/>
      </c>
      <c r="L4893" s="7" t="n"/>
      <c r="M4893" s="7" t="n"/>
      <c r="N4893">
        <f>IF(D4893="", "Gap - No Legal Basis", IF(AND(D4893="Consent (GDPR Art. 6(1)(a))", I4893="Not Captured"), "Gap - Invalid Consent", IF(AND(D4893="Legitimate Interest (GDPR Art. 6(1)(f))", L4893=""), "Gap - Missing LIA", IF(AND(G4893="Yes", H4893=""), "Gap - Missing Art. 9 Basis", IF(OR(I4893="Invalid - Not Freely Given", I4893="Invalid - Not Specific", I4893="Invalid - Not Informed", I4893="Invalid - Ambiguous"), "Gap - Invalid Consent", "Compliant")))))</f>
        <v/>
      </c>
      <c r="O4893" s="7" t="n"/>
    </row>
    <row r="4894">
      <c r="A4894" s="7" t="n"/>
      <c r="B4894" s="7" t="n"/>
      <c r="C4894" s="7" t="n"/>
      <c r="D4894" s="7" t="n"/>
      <c r="E4894" s="7" t="n"/>
      <c r="F4894" s="7" t="n"/>
      <c r="G4894" s="7" t="n"/>
      <c r="H4894" s="7" t="n"/>
      <c r="I4894" s="7" t="n"/>
      <c r="J4894" s="7" t="n"/>
      <c r="K4894">
        <f>IF(D4894="Legitimate Interest (GDPR Art. 6(1)(f))", "Yes / Required (Sheet 3)", "")</f>
        <v/>
      </c>
      <c r="L4894" s="7" t="n"/>
      <c r="M4894" s="7" t="n"/>
      <c r="N4894">
        <f>IF(D4894="", "Gap - No Legal Basis", IF(AND(D4894="Consent (GDPR Art. 6(1)(a))", I4894="Not Captured"), "Gap - Invalid Consent", IF(AND(D4894="Legitimate Interest (GDPR Art. 6(1)(f))", L4894=""), "Gap - Missing LIA", IF(AND(G4894="Yes", H4894=""), "Gap - Missing Art. 9 Basis", IF(OR(I4894="Invalid - Not Freely Given", I4894="Invalid - Not Specific", I4894="Invalid - Not Informed", I4894="Invalid - Ambiguous"), "Gap - Invalid Consent", "Compliant")))))</f>
        <v/>
      </c>
      <c r="O4894" s="7" t="n"/>
    </row>
    <row r="4895">
      <c r="A4895" s="7" t="n"/>
      <c r="B4895" s="7" t="n"/>
      <c r="C4895" s="7" t="n"/>
      <c r="D4895" s="7" t="n"/>
      <c r="E4895" s="7" t="n"/>
      <c r="F4895" s="7" t="n"/>
      <c r="G4895" s="7" t="n"/>
      <c r="H4895" s="7" t="n"/>
      <c r="I4895" s="7" t="n"/>
      <c r="J4895" s="7" t="n"/>
      <c r="K4895">
        <f>IF(D4895="Legitimate Interest (GDPR Art. 6(1)(f))", "Yes / Required (Sheet 3)", "")</f>
        <v/>
      </c>
      <c r="L4895" s="7" t="n"/>
      <c r="M4895" s="7" t="n"/>
      <c r="N4895">
        <f>IF(D4895="", "Gap - No Legal Basis", IF(AND(D4895="Consent (GDPR Art. 6(1)(a))", I4895="Not Captured"), "Gap - Invalid Consent", IF(AND(D4895="Legitimate Interest (GDPR Art. 6(1)(f))", L4895=""), "Gap - Missing LIA", IF(AND(G4895="Yes", H4895=""), "Gap - Missing Art. 9 Basis", IF(OR(I4895="Invalid - Not Freely Given", I4895="Invalid - Not Specific", I4895="Invalid - Not Informed", I4895="Invalid - Ambiguous"), "Gap - Invalid Consent", "Compliant")))))</f>
        <v/>
      </c>
      <c r="O4895" s="7" t="n"/>
    </row>
    <row r="4896">
      <c r="A4896" s="7" t="n"/>
      <c r="B4896" s="7" t="n"/>
      <c r="C4896" s="7" t="n"/>
      <c r="D4896" s="7" t="n"/>
      <c r="E4896" s="7" t="n"/>
      <c r="F4896" s="7" t="n"/>
      <c r="G4896" s="7" t="n"/>
      <c r="H4896" s="7" t="n"/>
      <c r="I4896" s="7" t="n"/>
      <c r="J4896" s="7" t="n"/>
      <c r="K4896">
        <f>IF(D4896="Legitimate Interest (GDPR Art. 6(1)(f))", "Yes / Required (Sheet 3)", "")</f>
        <v/>
      </c>
      <c r="L4896" s="7" t="n"/>
      <c r="M4896" s="7" t="n"/>
      <c r="N4896">
        <f>IF(D4896="", "Gap - No Legal Basis", IF(AND(D4896="Consent (GDPR Art. 6(1)(a))", I4896="Not Captured"), "Gap - Invalid Consent", IF(AND(D4896="Legitimate Interest (GDPR Art. 6(1)(f))", L4896=""), "Gap - Missing LIA", IF(AND(G4896="Yes", H4896=""), "Gap - Missing Art. 9 Basis", IF(OR(I4896="Invalid - Not Freely Given", I4896="Invalid - Not Specific", I4896="Invalid - Not Informed", I4896="Invalid - Ambiguous"), "Gap - Invalid Consent", "Compliant")))))</f>
        <v/>
      </c>
      <c r="O4896" s="7" t="n"/>
    </row>
    <row r="4897">
      <c r="A4897" s="7" t="n"/>
      <c r="B4897" s="7" t="n"/>
      <c r="C4897" s="7" t="n"/>
      <c r="D4897" s="7" t="n"/>
      <c r="E4897" s="7" t="n"/>
      <c r="F4897" s="7" t="n"/>
      <c r="G4897" s="7" t="n"/>
      <c r="H4897" s="7" t="n"/>
      <c r="I4897" s="7" t="n"/>
      <c r="J4897" s="7" t="n"/>
      <c r="K4897">
        <f>IF(D4897="Legitimate Interest (GDPR Art. 6(1)(f))", "Yes / Required (Sheet 3)", "")</f>
        <v/>
      </c>
      <c r="L4897" s="7" t="n"/>
      <c r="M4897" s="7" t="n"/>
      <c r="N4897">
        <f>IF(D4897="", "Gap - No Legal Basis", IF(AND(D4897="Consent (GDPR Art. 6(1)(a))", I4897="Not Captured"), "Gap - Invalid Consent", IF(AND(D4897="Legitimate Interest (GDPR Art. 6(1)(f))", L4897=""), "Gap - Missing LIA", IF(AND(G4897="Yes", H4897=""), "Gap - Missing Art. 9 Basis", IF(OR(I4897="Invalid - Not Freely Given", I4897="Invalid - Not Specific", I4897="Invalid - Not Informed", I4897="Invalid - Ambiguous"), "Gap - Invalid Consent", "Compliant")))))</f>
        <v/>
      </c>
      <c r="O4897" s="7" t="n"/>
    </row>
    <row r="4898">
      <c r="A4898" s="7" t="n"/>
      <c r="B4898" s="7" t="n"/>
      <c r="C4898" s="7" t="n"/>
      <c r="D4898" s="7" t="n"/>
      <c r="E4898" s="7" t="n"/>
      <c r="F4898" s="7" t="n"/>
      <c r="G4898" s="7" t="n"/>
      <c r="H4898" s="7" t="n"/>
      <c r="I4898" s="7" t="n"/>
      <c r="J4898" s="7" t="n"/>
      <c r="K4898">
        <f>IF(D4898="Legitimate Interest (GDPR Art. 6(1)(f))", "Yes / Required (Sheet 3)", "")</f>
        <v/>
      </c>
      <c r="L4898" s="7" t="n"/>
      <c r="M4898" s="7" t="n"/>
      <c r="N4898">
        <f>IF(D4898="", "Gap - No Legal Basis", IF(AND(D4898="Consent (GDPR Art. 6(1)(a))", I4898="Not Captured"), "Gap - Invalid Consent", IF(AND(D4898="Legitimate Interest (GDPR Art. 6(1)(f))", L4898=""), "Gap - Missing LIA", IF(AND(G4898="Yes", H4898=""), "Gap - Missing Art. 9 Basis", IF(OR(I4898="Invalid - Not Freely Given", I4898="Invalid - Not Specific", I4898="Invalid - Not Informed", I4898="Invalid - Ambiguous"), "Gap - Invalid Consent", "Compliant")))))</f>
        <v/>
      </c>
      <c r="O4898" s="7" t="n"/>
    </row>
    <row r="4899">
      <c r="A4899" s="7" t="n"/>
      <c r="B4899" s="7" t="n"/>
      <c r="C4899" s="7" t="n"/>
      <c r="D4899" s="7" t="n"/>
      <c r="E4899" s="7" t="n"/>
      <c r="F4899" s="7" t="n"/>
      <c r="G4899" s="7" t="n"/>
      <c r="H4899" s="7" t="n"/>
      <c r="I4899" s="7" t="n"/>
      <c r="J4899" s="7" t="n"/>
      <c r="K4899">
        <f>IF(D4899="Legitimate Interest (GDPR Art. 6(1)(f))", "Yes / Required (Sheet 3)", "")</f>
        <v/>
      </c>
      <c r="L4899" s="7" t="n"/>
      <c r="M4899" s="7" t="n"/>
      <c r="N4899">
        <f>IF(D4899="", "Gap - No Legal Basis", IF(AND(D4899="Consent (GDPR Art. 6(1)(a))", I4899="Not Captured"), "Gap - Invalid Consent", IF(AND(D4899="Legitimate Interest (GDPR Art. 6(1)(f))", L4899=""), "Gap - Missing LIA", IF(AND(G4899="Yes", H4899=""), "Gap - Missing Art. 9 Basis", IF(OR(I4899="Invalid - Not Freely Given", I4899="Invalid - Not Specific", I4899="Invalid - Not Informed", I4899="Invalid - Ambiguous"), "Gap - Invalid Consent", "Compliant")))))</f>
        <v/>
      </c>
      <c r="O4899" s="7" t="n"/>
    </row>
    <row r="4900">
      <c r="A4900" s="7" t="n"/>
      <c r="B4900" s="7" t="n"/>
      <c r="C4900" s="7" t="n"/>
      <c r="D4900" s="7" t="n"/>
      <c r="E4900" s="7" t="n"/>
      <c r="F4900" s="7" t="n"/>
      <c r="G4900" s="7" t="n"/>
      <c r="H4900" s="7" t="n"/>
      <c r="I4900" s="7" t="n"/>
      <c r="J4900" s="7" t="n"/>
      <c r="K4900">
        <f>IF(D4900="Legitimate Interest (GDPR Art. 6(1)(f))", "Yes / Required (Sheet 3)", "")</f>
        <v/>
      </c>
      <c r="L4900" s="7" t="n"/>
      <c r="M4900" s="7" t="n"/>
      <c r="N4900">
        <f>IF(D4900="", "Gap - No Legal Basis", IF(AND(D4900="Consent (GDPR Art. 6(1)(a))", I4900="Not Captured"), "Gap - Invalid Consent", IF(AND(D4900="Legitimate Interest (GDPR Art. 6(1)(f))", L4900=""), "Gap - Missing LIA", IF(AND(G4900="Yes", H4900=""), "Gap - Missing Art. 9 Basis", IF(OR(I4900="Invalid - Not Freely Given", I4900="Invalid - Not Specific", I4900="Invalid - Not Informed", I4900="Invalid - Ambiguous"), "Gap - Invalid Consent", "Compliant")))))</f>
        <v/>
      </c>
      <c r="O4900" s="7" t="n"/>
    </row>
    <row r="4901">
      <c r="A4901" s="7" t="n"/>
      <c r="B4901" s="7" t="n"/>
      <c r="C4901" s="7" t="n"/>
      <c r="D4901" s="7" t="n"/>
      <c r="E4901" s="7" t="n"/>
      <c r="F4901" s="7" t="n"/>
      <c r="G4901" s="7" t="n"/>
      <c r="H4901" s="7" t="n"/>
      <c r="I4901" s="7" t="n"/>
      <c r="J4901" s="7" t="n"/>
      <c r="K4901">
        <f>IF(D4901="Legitimate Interest (GDPR Art. 6(1)(f))", "Yes / Required (Sheet 3)", "")</f>
        <v/>
      </c>
      <c r="L4901" s="7" t="n"/>
      <c r="M4901" s="7" t="n"/>
      <c r="N4901">
        <f>IF(D4901="", "Gap - No Legal Basis", IF(AND(D4901="Consent (GDPR Art. 6(1)(a))", I4901="Not Captured"), "Gap - Invalid Consent", IF(AND(D4901="Legitimate Interest (GDPR Art. 6(1)(f))", L4901=""), "Gap - Missing LIA", IF(AND(G4901="Yes", H4901=""), "Gap - Missing Art. 9 Basis", IF(OR(I4901="Invalid - Not Freely Given", I4901="Invalid - Not Specific", I4901="Invalid - Not Informed", I4901="Invalid - Ambiguous"), "Gap - Invalid Consent", "Compliant")))))</f>
        <v/>
      </c>
      <c r="O4901" s="7" t="n"/>
    </row>
    <row r="4902">
      <c r="A4902" s="7" t="n"/>
      <c r="B4902" s="7" t="n"/>
      <c r="C4902" s="7" t="n"/>
      <c r="D4902" s="7" t="n"/>
      <c r="E4902" s="7" t="n"/>
      <c r="F4902" s="7" t="n"/>
      <c r="G4902" s="7" t="n"/>
      <c r="H4902" s="7" t="n"/>
      <c r="I4902" s="7" t="n"/>
      <c r="J4902" s="7" t="n"/>
      <c r="K4902">
        <f>IF(D4902="Legitimate Interest (GDPR Art. 6(1)(f))", "Yes / Required (Sheet 3)", "")</f>
        <v/>
      </c>
      <c r="L4902" s="7" t="n"/>
      <c r="M4902" s="7" t="n"/>
      <c r="N4902">
        <f>IF(D4902="", "Gap - No Legal Basis", IF(AND(D4902="Consent (GDPR Art. 6(1)(a))", I4902="Not Captured"), "Gap - Invalid Consent", IF(AND(D4902="Legitimate Interest (GDPR Art. 6(1)(f))", L4902=""), "Gap - Missing LIA", IF(AND(G4902="Yes", H4902=""), "Gap - Missing Art. 9 Basis", IF(OR(I4902="Invalid - Not Freely Given", I4902="Invalid - Not Specific", I4902="Invalid - Not Informed", I4902="Invalid - Ambiguous"), "Gap - Invalid Consent", "Compliant")))))</f>
        <v/>
      </c>
      <c r="O4902" s="7" t="n"/>
    </row>
    <row r="4903">
      <c r="A4903" s="7" t="n"/>
      <c r="B4903" s="7" t="n"/>
      <c r="C4903" s="7" t="n"/>
      <c r="D4903" s="7" t="n"/>
      <c r="E4903" s="7" t="n"/>
      <c r="F4903" s="7" t="n"/>
      <c r="G4903" s="7" t="n"/>
      <c r="H4903" s="7" t="n"/>
      <c r="I4903" s="7" t="n"/>
      <c r="J4903" s="7" t="n"/>
      <c r="K4903">
        <f>IF(D4903="Legitimate Interest (GDPR Art. 6(1)(f))", "Yes / Required (Sheet 3)", "")</f>
        <v/>
      </c>
      <c r="L4903" s="7" t="n"/>
      <c r="M4903" s="7" t="n"/>
      <c r="N4903">
        <f>IF(D4903="", "Gap - No Legal Basis", IF(AND(D4903="Consent (GDPR Art. 6(1)(a))", I4903="Not Captured"), "Gap - Invalid Consent", IF(AND(D4903="Legitimate Interest (GDPR Art. 6(1)(f))", L4903=""), "Gap - Missing LIA", IF(AND(G4903="Yes", H4903=""), "Gap - Missing Art. 9 Basis", IF(OR(I4903="Invalid - Not Freely Given", I4903="Invalid - Not Specific", I4903="Invalid - Not Informed", I4903="Invalid - Ambiguous"), "Gap - Invalid Consent", "Compliant")))))</f>
        <v/>
      </c>
      <c r="O4903" s="7" t="n"/>
    </row>
    <row r="4904">
      <c r="A4904" s="7" t="n"/>
      <c r="B4904" s="7" t="n"/>
      <c r="C4904" s="7" t="n"/>
      <c r="D4904" s="7" t="n"/>
      <c r="E4904" s="7" t="n"/>
      <c r="F4904" s="7" t="n"/>
      <c r="G4904" s="7" t="n"/>
      <c r="H4904" s="7" t="n"/>
      <c r="I4904" s="7" t="n"/>
      <c r="J4904" s="7" t="n"/>
      <c r="K4904">
        <f>IF(D4904="Legitimate Interest (GDPR Art. 6(1)(f))", "Yes / Required (Sheet 3)", "")</f>
        <v/>
      </c>
      <c r="L4904" s="7" t="n"/>
      <c r="M4904" s="7" t="n"/>
      <c r="N4904">
        <f>IF(D4904="", "Gap - No Legal Basis", IF(AND(D4904="Consent (GDPR Art. 6(1)(a))", I4904="Not Captured"), "Gap - Invalid Consent", IF(AND(D4904="Legitimate Interest (GDPR Art. 6(1)(f))", L4904=""), "Gap - Missing LIA", IF(AND(G4904="Yes", H4904=""), "Gap - Missing Art. 9 Basis", IF(OR(I4904="Invalid - Not Freely Given", I4904="Invalid - Not Specific", I4904="Invalid - Not Informed", I4904="Invalid - Ambiguous"), "Gap - Invalid Consent", "Compliant")))))</f>
        <v/>
      </c>
      <c r="O4904" s="7" t="n"/>
    </row>
    <row r="4905">
      <c r="A4905" s="7" t="n"/>
      <c r="B4905" s="7" t="n"/>
      <c r="C4905" s="7" t="n"/>
      <c r="D4905" s="7" t="n"/>
      <c r="E4905" s="7" t="n"/>
      <c r="F4905" s="7" t="n"/>
      <c r="G4905" s="7" t="n"/>
      <c r="H4905" s="7" t="n"/>
      <c r="I4905" s="7" t="n"/>
      <c r="J4905" s="7" t="n"/>
      <c r="K4905">
        <f>IF(D4905="Legitimate Interest (GDPR Art. 6(1)(f))", "Yes / Required (Sheet 3)", "")</f>
        <v/>
      </c>
      <c r="L4905" s="7" t="n"/>
      <c r="M4905" s="7" t="n"/>
      <c r="N4905">
        <f>IF(D4905="", "Gap - No Legal Basis", IF(AND(D4905="Consent (GDPR Art. 6(1)(a))", I4905="Not Captured"), "Gap - Invalid Consent", IF(AND(D4905="Legitimate Interest (GDPR Art. 6(1)(f))", L4905=""), "Gap - Missing LIA", IF(AND(G4905="Yes", H4905=""), "Gap - Missing Art. 9 Basis", IF(OR(I4905="Invalid - Not Freely Given", I4905="Invalid - Not Specific", I4905="Invalid - Not Informed", I4905="Invalid - Ambiguous"), "Gap - Invalid Consent", "Compliant")))))</f>
        <v/>
      </c>
      <c r="O4905" s="7" t="n"/>
    </row>
    <row r="4906">
      <c r="A4906" s="7" t="n"/>
      <c r="B4906" s="7" t="n"/>
      <c r="C4906" s="7" t="n"/>
      <c r="D4906" s="7" t="n"/>
      <c r="E4906" s="7" t="n"/>
      <c r="F4906" s="7" t="n"/>
      <c r="G4906" s="7" t="n"/>
      <c r="H4906" s="7" t="n"/>
      <c r="I4906" s="7" t="n"/>
      <c r="J4906" s="7" t="n"/>
      <c r="K4906">
        <f>IF(D4906="Legitimate Interest (GDPR Art. 6(1)(f))", "Yes / Required (Sheet 3)", "")</f>
        <v/>
      </c>
      <c r="L4906" s="7" t="n"/>
      <c r="M4906" s="7" t="n"/>
      <c r="N4906">
        <f>IF(D4906="", "Gap - No Legal Basis", IF(AND(D4906="Consent (GDPR Art. 6(1)(a))", I4906="Not Captured"), "Gap - Invalid Consent", IF(AND(D4906="Legitimate Interest (GDPR Art. 6(1)(f))", L4906=""), "Gap - Missing LIA", IF(AND(G4906="Yes", H4906=""), "Gap - Missing Art. 9 Basis", IF(OR(I4906="Invalid - Not Freely Given", I4906="Invalid - Not Specific", I4906="Invalid - Not Informed", I4906="Invalid - Ambiguous"), "Gap - Invalid Consent", "Compliant")))))</f>
        <v/>
      </c>
      <c r="O4906" s="7" t="n"/>
    </row>
    <row r="4907">
      <c r="A4907" s="7" t="n"/>
      <c r="B4907" s="7" t="n"/>
      <c r="C4907" s="7" t="n"/>
      <c r="D4907" s="7" t="n"/>
      <c r="E4907" s="7" t="n"/>
      <c r="F4907" s="7" t="n"/>
      <c r="G4907" s="7" t="n"/>
      <c r="H4907" s="7" t="n"/>
      <c r="I4907" s="7" t="n"/>
      <c r="J4907" s="7" t="n"/>
      <c r="K4907">
        <f>IF(D4907="Legitimate Interest (GDPR Art. 6(1)(f))", "Yes / Required (Sheet 3)", "")</f>
        <v/>
      </c>
      <c r="L4907" s="7" t="n"/>
      <c r="M4907" s="7" t="n"/>
      <c r="N4907">
        <f>IF(D4907="", "Gap - No Legal Basis", IF(AND(D4907="Consent (GDPR Art. 6(1)(a))", I4907="Not Captured"), "Gap - Invalid Consent", IF(AND(D4907="Legitimate Interest (GDPR Art. 6(1)(f))", L4907=""), "Gap - Missing LIA", IF(AND(G4907="Yes", H4907=""), "Gap - Missing Art. 9 Basis", IF(OR(I4907="Invalid - Not Freely Given", I4907="Invalid - Not Specific", I4907="Invalid - Not Informed", I4907="Invalid - Ambiguous"), "Gap - Invalid Consent", "Compliant")))))</f>
        <v/>
      </c>
      <c r="O4907" s="7" t="n"/>
    </row>
    <row r="4908">
      <c r="A4908" s="7" t="n"/>
      <c r="B4908" s="7" t="n"/>
      <c r="C4908" s="7" t="n"/>
      <c r="D4908" s="7" t="n"/>
      <c r="E4908" s="7" t="n"/>
      <c r="F4908" s="7" t="n"/>
      <c r="G4908" s="7" t="n"/>
      <c r="H4908" s="7" t="n"/>
      <c r="I4908" s="7" t="n"/>
      <c r="J4908" s="7" t="n"/>
      <c r="K4908">
        <f>IF(D4908="Legitimate Interest (GDPR Art. 6(1)(f))", "Yes / Required (Sheet 3)", "")</f>
        <v/>
      </c>
      <c r="L4908" s="7" t="n"/>
      <c r="M4908" s="7" t="n"/>
      <c r="N4908">
        <f>IF(D4908="", "Gap - No Legal Basis", IF(AND(D4908="Consent (GDPR Art. 6(1)(a))", I4908="Not Captured"), "Gap - Invalid Consent", IF(AND(D4908="Legitimate Interest (GDPR Art. 6(1)(f))", L4908=""), "Gap - Missing LIA", IF(AND(G4908="Yes", H4908=""), "Gap - Missing Art. 9 Basis", IF(OR(I4908="Invalid - Not Freely Given", I4908="Invalid - Not Specific", I4908="Invalid - Not Informed", I4908="Invalid - Ambiguous"), "Gap - Invalid Consent", "Compliant")))))</f>
        <v/>
      </c>
      <c r="O4908" s="7" t="n"/>
    </row>
    <row r="4909">
      <c r="A4909" s="7" t="n"/>
      <c r="B4909" s="7" t="n"/>
      <c r="C4909" s="7" t="n"/>
      <c r="D4909" s="7" t="n"/>
      <c r="E4909" s="7" t="n"/>
      <c r="F4909" s="7" t="n"/>
      <c r="G4909" s="7" t="n"/>
      <c r="H4909" s="7" t="n"/>
      <c r="I4909" s="7" t="n"/>
      <c r="J4909" s="7" t="n"/>
      <c r="K4909">
        <f>IF(D4909="Legitimate Interest (GDPR Art. 6(1)(f))", "Yes / Required (Sheet 3)", "")</f>
        <v/>
      </c>
      <c r="L4909" s="7" t="n"/>
      <c r="M4909" s="7" t="n"/>
      <c r="N4909">
        <f>IF(D4909="", "Gap - No Legal Basis", IF(AND(D4909="Consent (GDPR Art. 6(1)(a))", I4909="Not Captured"), "Gap - Invalid Consent", IF(AND(D4909="Legitimate Interest (GDPR Art. 6(1)(f))", L4909=""), "Gap - Missing LIA", IF(AND(G4909="Yes", H4909=""), "Gap - Missing Art. 9 Basis", IF(OR(I4909="Invalid - Not Freely Given", I4909="Invalid - Not Specific", I4909="Invalid - Not Informed", I4909="Invalid - Ambiguous"), "Gap - Invalid Consent", "Compliant")))))</f>
        <v/>
      </c>
      <c r="O4909" s="7" t="n"/>
    </row>
    <row r="4910">
      <c r="A4910" s="7" t="n"/>
      <c r="B4910" s="7" t="n"/>
      <c r="C4910" s="7" t="n"/>
      <c r="D4910" s="7" t="n"/>
      <c r="E4910" s="7" t="n"/>
      <c r="F4910" s="7" t="n"/>
      <c r="G4910" s="7" t="n"/>
      <c r="H4910" s="7" t="n"/>
      <c r="I4910" s="7" t="n"/>
      <c r="J4910" s="7" t="n"/>
      <c r="K4910">
        <f>IF(D4910="Legitimate Interest (GDPR Art. 6(1)(f))", "Yes / Required (Sheet 3)", "")</f>
        <v/>
      </c>
      <c r="L4910" s="7" t="n"/>
      <c r="M4910" s="7" t="n"/>
      <c r="N4910">
        <f>IF(D4910="", "Gap - No Legal Basis", IF(AND(D4910="Consent (GDPR Art. 6(1)(a))", I4910="Not Captured"), "Gap - Invalid Consent", IF(AND(D4910="Legitimate Interest (GDPR Art. 6(1)(f))", L4910=""), "Gap - Missing LIA", IF(AND(G4910="Yes", H4910=""), "Gap - Missing Art. 9 Basis", IF(OR(I4910="Invalid - Not Freely Given", I4910="Invalid - Not Specific", I4910="Invalid - Not Informed", I4910="Invalid - Ambiguous"), "Gap - Invalid Consent", "Compliant")))))</f>
        <v/>
      </c>
      <c r="O4910" s="7" t="n"/>
    </row>
    <row r="4911">
      <c r="A4911" s="7" t="n"/>
      <c r="B4911" s="7" t="n"/>
      <c r="C4911" s="7" t="n"/>
      <c r="D4911" s="7" t="n"/>
      <c r="E4911" s="7" t="n"/>
      <c r="F4911" s="7" t="n"/>
      <c r="G4911" s="7" t="n"/>
      <c r="H4911" s="7" t="n"/>
      <c r="I4911" s="7" t="n"/>
      <c r="J4911" s="7" t="n"/>
      <c r="K4911">
        <f>IF(D4911="Legitimate Interest (GDPR Art. 6(1)(f))", "Yes / Required (Sheet 3)", "")</f>
        <v/>
      </c>
      <c r="L4911" s="7" t="n"/>
      <c r="M4911" s="7" t="n"/>
      <c r="N4911">
        <f>IF(D4911="", "Gap - No Legal Basis", IF(AND(D4911="Consent (GDPR Art. 6(1)(a))", I4911="Not Captured"), "Gap - Invalid Consent", IF(AND(D4911="Legitimate Interest (GDPR Art. 6(1)(f))", L4911=""), "Gap - Missing LIA", IF(AND(G4911="Yes", H4911=""), "Gap - Missing Art. 9 Basis", IF(OR(I4911="Invalid - Not Freely Given", I4911="Invalid - Not Specific", I4911="Invalid - Not Informed", I4911="Invalid - Ambiguous"), "Gap - Invalid Consent", "Compliant")))))</f>
        <v/>
      </c>
      <c r="O4911" s="7" t="n"/>
    </row>
    <row r="4912">
      <c r="A4912" s="7" t="n"/>
      <c r="B4912" s="7" t="n"/>
      <c r="C4912" s="7" t="n"/>
      <c r="D4912" s="7" t="n"/>
      <c r="E4912" s="7" t="n"/>
      <c r="F4912" s="7" t="n"/>
      <c r="G4912" s="7" t="n"/>
      <c r="H4912" s="7" t="n"/>
      <c r="I4912" s="7" t="n"/>
      <c r="J4912" s="7" t="n"/>
      <c r="K4912">
        <f>IF(D4912="Legitimate Interest (GDPR Art. 6(1)(f))", "Yes / Required (Sheet 3)", "")</f>
        <v/>
      </c>
      <c r="L4912" s="7" t="n"/>
      <c r="M4912" s="7" t="n"/>
      <c r="N4912">
        <f>IF(D4912="", "Gap - No Legal Basis", IF(AND(D4912="Consent (GDPR Art. 6(1)(a))", I4912="Not Captured"), "Gap - Invalid Consent", IF(AND(D4912="Legitimate Interest (GDPR Art. 6(1)(f))", L4912=""), "Gap - Missing LIA", IF(AND(G4912="Yes", H4912=""), "Gap - Missing Art. 9 Basis", IF(OR(I4912="Invalid - Not Freely Given", I4912="Invalid - Not Specific", I4912="Invalid - Not Informed", I4912="Invalid - Ambiguous"), "Gap - Invalid Consent", "Compliant")))))</f>
        <v/>
      </c>
      <c r="O4912" s="7" t="n"/>
    </row>
    <row r="4913">
      <c r="A4913" s="7" t="n"/>
      <c r="B4913" s="7" t="n"/>
      <c r="C4913" s="7" t="n"/>
      <c r="D4913" s="7" t="n"/>
      <c r="E4913" s="7" t="n"/>
      <c r="F4913" s="7" t="n"/>
      <c r="G4913" s="7" t="n"/>
      <c r="H4913" s="7" t="n"/>
      <c r="I4913" s="7" t="n"/>
      <c r="J4913" s="7" t="n"/>
      <c r="K4913">
        <f>IF(D4913="Legitimate Interest (GDPR Art. 6(1)(f))", "Yes / Required (Sheet 3)", "")</f>
        <v/>
      </c>
      <c r="L4913" s="7" t="n"/>
      <c r="M4913" s="7" t="n"/>
      <c r="N4913">
        <f>IF(D4913="", "Gap - No Legal Basis", IF(AND(D4913="Consent (GDPR Art. 6(1)(a))", I4913="Not Captured"), "Gap - Invalid Consent", IF(AND(D4913="Legitimate Interest (GDPR Art. 6(1)(f))", L4913=""), "Gap - Missing LIA", IF(AND(G4913="Yes", H4913=""), "Gap - Missing Art. 9 Basis", IF(OR(I4913="Invalid - Not Freely Given", I4913="Invalid - Not Specific", I4913="Invalid - Not Informed", I4913="Invalid - Ambiguous"), "Gap - Invalid Consent", "Compliant")))))</f>
        <v/>
      </c>
      <c r="O4913" s="7" t="n"/>
    </row>
    <row r="4914">
      <c r="A4914" s="7" t="n"/>
      <c r="B4914" s="7" t="n"/>
      <c r="C4914" s="7" t="n"/>
      <c r="D4914" s="7" t="n"/>
      <c r="E4914" s="7" t="n"/>
      <c r="F4914" s="7" t="n"/>
      <c r="G4914" s="7" t="n"/>
      <c r="H4914" s="7" t="n"/>
      <c r="I4914" s="7" t="n"/>
      <c r="J4914" s="7" t="n"/>
      <c r="K4914">
        <f>IF(D4914="Legitimate Interest (GDPR Art. 6(1)(f))", "Yes / Required (Sheet 3)", "")</f>
        <v/>
      </c>
      <c r="L4914" s="7" t="n"/>
      <c r="M4914" s="7" t="n"/>
      <c r="N4914">
        <f>IF(D4914="", "Gap - No Legal Basis", IF(AND(D4914="Consent (GDPR Art. 6(1)(a))", I4914="Not Captured"), "Gap - Invalid Consent", IF(AND(D4914="Legitimate Interest (GDPR Art. 6(1)(f))", L4914=""), "Gap - Missing LIA", IF(AND(G4914="Yes", H4914=""), "Gap - Missing Art. 9 Basis", IF(OR(I4914="Invalid - Not Freely Given", I4914="Invalid - Not Specific", I4914="Invalid - Not Informed", I4914="Invalid - Ambiguous"), "Gap - Invalid Consent", "Compliant")))))</f>
        <v/>
      </c>
      <c r="O4914" s="7" t="n"/>
    </row>
    <row r="4915">
      <c r="A4915" s="7" t="n"/>
      <c r="B4915" s="7" t="n"/>
      <c r="C4915" s="7" t="n"/>
      <c r="D4915" s="7" t="n"/>
      <c r="E4915" s="7" t="n"/>
      <c r="F4915" s="7" t="n"/>
      <c r="G4915" s="7" t="n"/>
      <c r="H4915" s="7" t="n"/>
      <c r="I4915" s="7" t="n"/>
      <c r="J4915" s="7" t="n"/>
      <c r="K4915">
        <f>IF(D4915="Legitimate Interest (GDPR Art. 6(1)(f))", "Yes / Required (Sheet 3)", "")</f>
        <v/>
      </c>
      <c r="L4915" s="7" t="n"/>
      <c r="M4915" s="7" t="n"/>
      <c r="N4915">
        <f>IF(D4915="", "Gap - No Legal Basis", IF(AND(D4915="Consent (GDPR Art. 6(1)(a))", I4915="Not Captured"), "Gap - Invalid Consent", IF(AND(D4915="Legitimate Interest (GDPR Art. 6(1)(f))", L4915=""), "Gap - Missing LIA", IF(AND(G4915="Yes", H4915=""), "Gap - Missing Art. 9 Basis", IF(OR(I4915="Invalid - Not Freely Given", I4915="Invalid - Not Specific", I4915="Invalid - Not Informed", I4915="Invalid - Ambiguous"), "Gap - Invalid Consent", "Compliant")))))</f>
        <v/>
      </c>
      <c r="O4915" s="7" t="n"/>
    </row>
    <row r="4916">
      <c r="A4916" s="7" t="n"/>
      <c r="B4916" s="7" t="n"/>
      <c r="C4916" s="7" t="n"/>
      <c r="D4916" s="7" t="n"/>
      <c r="E4916" s="7" t="n"/>
      <c r="F4916" s="7" t="n"/>
      <c r="G4916" s="7" t="n"/>
      <c r="H4916" s="7" t="n"/>
      <c r="I4916" s="7" t="n"/>
      <c r="J4916" s="7" t="n"/>
      <c r="K4916">
        <f>IF(D4916="Legitimate Interest (GDPR Art. 6(1)(f))", "Yes / Required (Sheet 3)", "")</f>
        <v/>
      </c>
      <c r="L4916" s="7" t="n"/>
      <c r="M4916" s="7" t="n"/>
      <c r="N4916">
        <f>IF(D4916="", "Gap - No Legal Basis", IF(AND(D4916="Consent (GDPR Art. 6(1)(a))", I4916="Not Captured"), "Gap - Invalid Consent", IF(AND(D4916="Legitimate Interest (GDPR Art. 6(1)(f))", L4916=""), "Gap - Missing LIA", IF(AND(G4916="Yes", H4916=""), "Gap - Missing Art. 9 Basis", IF(OR(I4916="Invalid - Not Freely Given", I4916="Invalid - Not Specific", I4916="Invalid - Not Informed", I4916="Invalid - Ambiguous"), "Gap - Invalid Consent", "Compliant")))))</f>
        <v/>
      </c>
      <c r="O4916" s="7" t="n"/>
    </row>
    <row r="4917">
      <c r="A4917" s="7" t="n"/>
      <c r="B4917" s="7" t="n"/>
      <c r="C4917" s="7" t="n"/>
      <c r="D4917" s="7" t="n"/>
      <c r="E4917" s="7" t="n"/>
      <c r="F4917" s="7" t="n"/>
      <c r="G4917" s="7" t="n"/>
      <c r="H4917" s="7" t="n"/>
      <c r="I4917" s="7" t="n"/>
      <c r="J4917" s="7" t="n"/>
      <c r="K4917">
        <f>IF(D4917="Legitimate Interest (GDPR Art. 6(1)(f))", "Yes / Required (Sheet 3)", "")</f>
        <v/>
      </c>
      <c r="L4917" s="7" t="n"/>
      <c r="M4917" s="7" t="n"/>
      <c r="N4917">
        <f>IF(D4917="", "Gap - No Legal Basis", IF(AND(D4917="Consent (GDPR Art. 6(1)(a))", I4917="Not Captured"), "Gap - Invalid Consent", IF(AND(D4917="Legitimate Interest (GDPR Art. 6(1)(f))", L4917=""), "Gap - Missing LIA", IF(AND(G4917="Yes", H4917=""), "Gap - Missing Art. 9 Basis", IF(OR(I4917="Invalid - Not Freely Given", I4917="Invalid - Not Specific", I4917="Invalid - Not Informed", I4917="Invalid - Ambiguous"), "Gap - Invalid Consent", "Compliant")))))</f>
        <v/>
      </c>
      <c r="O4917" s="7" t="n"/>
    </row>
    <row r="4918">
      <c r="A4918" s="7" t="n"/>
      <c r="B4918" s="7" t="n"/>
      <c r="C4918" s="7" t="n"/>
      <c r="D4918" s="7" t="n"/>
      <c r="E4918" s="7" t="n"/>
      <c r="F4918" s="7" t="n"/>
      <c r="G4918" s="7" t="n"/>
      <c r="H4918" s="7" t="n"/>
      <c r="I4918" s="7" t="n"/>
      <c r="J4918" s="7" t="n"/>
      <c r="K4918">
        <f>IF(D4918="Legitimate Interest (GDPR Art. 6(1)(f))", "Yes / Required (Sheet 3)", "")</f>
        <v/>
      </c>
      <c r="L4918" s="7" t="n"/>
      <c r="M4918" s="7" t="n"/>
      <c r="N4918">
        <f>IF(D4918="", "Gap - No Legal Basis", IF(AND(D4918="Consent (GDPR Art. 6(1)(a))", I4918="Not Captured"), "Gap - Invalid Consent", IF(AND(D4918="Legitimate Interest (GDPR Art. 6(1)(f))", L4918=""), "Gap - Missing LIA", IF(AND(G4918="Yes", H4918=""), "Gap - Missing Art. 9 Basis", IF(OR(I4918="Invalid - Not Freely Given", I4918="Invalid - Not Specific", I4918="Invalid - Not Informed", I4918="Invalid - Ambiguous"), "Gap - Invalid Consent", "Compliant")))))</f>
        <v/>
      </c>
      <c r="O4918" s="7" t="n"/>
    </row>
    <row r="4919">
      <c r="A4919" s="7" t="n"/>
      <c r="B4919" s="7" t="n"/>
      <c r="C4919" s="7" t="n"/>
      <c r="D4919" s="7" t="n"/>
      <c r="E4919" s="7" t="n"/>
      <c r="F4919" s="7" t="n"/>
      <c r="G4919" s="7" t="n"/>
      <c r="H4919" s="7" t="n"/>
      <c r="I4919" s="7" t="n"/>
      <c r="J4919" s="7" t="n"/>
      <c r="K4919">
        <f>IF(D4919="Legitimate Interest (GDPR Art. 6(1)(f))", "Yes / Required (Sheet 3)", "")</f>
        <v/>
      </c>
      <c r="L4919" s="7" t="n"/>
      <c r="M4919" s="7" t="n"/>
      <c r="N4919">
        <f>IF(D4919="", "Gap - No Legal Basis", IF(AND(D4919="Consent (GDPR Art. 6(1)(a))", I4919="Not Captured"), "Gap - Invalid Consent", IF(AND(D4919="Legitimate Interest (GDPR Art. 6(1)(f))", L4919=""), "Gap - Missing LIA", IF(AND(G4919="Yes", H4919=""), "Gap - Missing Art. 9 Basis", IF(OR(I4919="Invalid - Not Freely Given", I4919="Invalid - Not Specific", I4919="Invalid - Not Informed", I4919="Invalid - Ambiguous"), "Gap - Invalid Consent", "Compliant")))))</f>
        <v/>
      </c>
      <c r="O4919" s="7" t="n"/>
    </row>
    <row r="4920">
      <c r="A4920" s="7" t="n"/>
      <c r="B4920" s="7" t="n"/>
      <c r="C4920" s="7" t="n"/>
      <c r="D4920" s="7" t="n"/>
      <c r="E4920" s="7" t="n"/>
      <c r="F4920" s="7" t="n"/>
      <c r="G4920" s="7" t="n"/>
      <c r="H4920" s="7" t="n"/>
      <c r="I4920" s="7" t="n"/>
      <c r="J4920" s="7" t="n"/>
      <c r="K4920">
        <f>IF(D4920="Legitimate Interest (GDPR Art. 6(1)(f))", "Yes / Required (Sheet 3)", "")</f>
        <v/>
      </c>
      <c r="L4920" s="7" t="n"/>
      <c r="M4920" s="7" t="n"/>
      <c r="N4920">
        <f>IF(D4920="", "Gap - No Legal Basis", IF(AND(D4920="Consent (GDPR Art. 6(1)(a))", I4920="Not Captured"), "Gap - Invalid Consent", IF(AND(D4920="Legitimate Interest (GDPR Art. 6(1)(f))", L4920=""), "Gap - Missing LIA", IF(AND(G4920="Yes", H4920=""), "Gap - Missing Art. 9 Basis", IF(OR(I4920="Invalid - Not Freely Given", I4920="Invalid - Not Specific", I4920="Invalid - Not Informed", I4920="Invalid - Ambiguous"), "Gap - Invalid Consent", "Compliant")))))</f>
        <v/>
      </c>
      <c r="O4920" s="7" t="n"/>
    </row>
    <row r="4921">
      <c r="A4921" s="7" t="n"/>
      <c r="B4921" s="7" t="n"/>
      <c r="C4921" s="7" t="n"/>
      <c r="D4921" s="7" t="n"/>
      <c r="E4921" s="7" t="n"/>
      <c r="F4921" s="7" t="n"/>
      <c r="G4921" s="7" t="n"/>
      <c r="H4921" s="7" t="n"/>
      <c r="I4921" s="7" t="n"/>
      <c r="J4921" s="7" t="n"/>
      <c r="K4921">
        <f>IF(D4921="Legitimate Interest (GDPR Art. 6(1)(f))", "Yes / Required (Sheet 3)", "")</f>
        <v/>
      </c>
      <c r="L4921" s="7" t="n"/>
      <c r="M4921" s="7" t="n"/>
      <c r="N4921">
        <f>IF(D4921="", "Gap - No Legal Basis", IF(AND(D4921="Consent (GDPR Art. 6(1)(a))", I4921="Not Captured"), "Gap - Invalid Consent", IF(AND(D4921="Legitimate Interest (GDPR Art. 6(1)(f))", L4921=""), "Gap - Missing LIA", IF(AND(G4921="Yes", H4921=""), "Gap - Missing Art. 9 Basis", IF(OR(I4921="Invalid - Not Freely Given", I4921="Invalid - Not Specific", I4921="Invalid - Not Informed", I4921="Invalid - Ambiguous"), "Gap - Invalid Consent", "Compliant")))))</f>
        <v/>
      </c>
      <c r="O4921" s="7" t="n"/>
    </row>
    <row r="4922">
      <c r="A4922" s="7" t="n"/>
      <c r="B4922" s="7" t="n"/>
      <c r="C4922" s="7" t="n"/>
      <c r="D4922" s="7" t="n"/>
      <c r="E4922" s="7" t="n"/>
      <c r="F4922" s="7" t="n"/>
      <c r="G4922" s="7" t="n"/>
      <c r="H4922" s="7" t="n"/>
      <c r="I4922" s="7" t="n"/>
      <c r="J4922" s="7" t="n"/>
      <c r="K4922">
        <f>IF(D4922="Legitimate Interest (GDPR Art. 6(1)(f))", "Yes / Required (Sheet 3)", "")</f>
        <v/>
      </c>
      <c r="L4922" s="7" t="n"/>
      <c r="M4922" s="7" t="n"/>
      <c r="N4922">
        <f>IF(D4922="", "Gap - No Legal Basis", IF(AND(D4922="Consent (GDPR Art. 6(1)(a))", I4922="Not Captured"), "Gap - Invalid Consent", IF(AND(D4922="Legitimate Interest (GDPR Art. 6(1)(f))", L4922=""), "Gap - Missing LIA", IF(AND(G4922="Yes", H4922=""), "Gap - Missing Art. 9 Basis", IF(OR(I4922="Invalid - Not Freely Given", I4922="Invalid - Not Specific", I4922="Invalid - Not Informed", I4922="Invalid - Ambiguous"), "Gap - Invalid Consent", "Compliant")))))</f>
        <v/>
      </c>
      <c r="O4922" s="7" t="n"/>
    </row>
    <row r="4923">
      <c r="A4923" s="7" t="n"/>
      <c r="B4923" s="7" t="n"/>
      <c r="C4923" s="7" t="n"/>
      <c r="D4923" s="7" t="n"/>
      <c r="E4923" s="7" t="n"/>
      <c r="F4923" s="7" t="n"/>
      <c r="G4923" s="7" t="n"/>
      <c r="H4923" s="7" t="n"/>
      <c r="I4923" s="7" t="n"/>
      <c r="J4923" s="7" t="n"/>
      <c r="K4923">
        <f>IF(D4923="Legitimate Interest (GDPR Art. 6(1)(f))", "Yes / Required (Sheet 3)", "")</f>
        <v/>
      </c>
      <c r="L4923" s="7" t="n"/>
      <c r="M4923" s="7" t="n"/>
      <c r="N4923">
        <f>IF(D4923="", "Gap - No Legal Basis", IF(AND(D4923="Consent (GDPR Art. 6(1)(a))", I4923="Not Captured"), "Gap - Invalid Consent", IF(AND(D4923="Legitimate Interest (GDPR Art. 6(1)(f))", L4923=""), "Gap - Missing LIA", IF(AND(G4923="Yes", H4923=""), "Gap - Missing Art. 9 Basis", IF(OR(I4923="Invalid - Not Freely Given", I4923="Invalid - Not Specific", I4923="Invalid - Not Informed", I4923="Invalid - Ambiguous"), "Gap - Invalid Consent", "Compliant")))))</f>
        <v/>
      </c>
      <c r="O4923" s="7" t="n"/>
    </row>
    <row r="4924">
      <c r="A4924" s="7" t="n"/>
      <c r="B4924" s="7" t="n"/>
      <c r="C4924" s="7" t="n"/>
      <c r="D4924" s="7" t="n"/>
      <c r="E4924" s="7" t="n"/>
      <c r="F4924" s="7" t="n"/>
      <c r="G4924" s="7" t="n"/>
      <c r="H4924" s="7" t="n"/>
      <c r="I4924" s="7" t="n"/>
      <c r="J4924" s="7" t="n"/>
      <c r="K4924">
        <f>IF(D4924="Legitimate Interest (GDPR Art. 6(1)(f))", "Yes / Required (Sheet 3)", "")</f>
        <v/>
      </c>
      <c r="L4924" s="7" t="n"/>
      <c r="M4924" s="7" t="n"/>
      <c r="N4924">
        <f>IF(D4924="", "Gap - No Legal Basis", IF(AND(D4924="Consent (GDPR Art. 6(1)(a))", I4924="Not Captured"), "Gap - Invalid Consent", IF(AND(D4924="Legitimate Interest (GDPR Art. 6(1)(f))", L4924=""), "Gap - Missing LIA", IF(AND(G4924="Yes", H4924=""), "Gap - Missing Art. 9 Basis", IF(OR(I4924="Invalid - Not Freely Given", I4924="Invalid - Not Specific", I4924="Invalid - Not Informed", I4924="Invalid - Ambiguous"), "Gap - Invalid Consent", "Compliant")))))</f>
        <v/>
      </c>
      <c r="O4924" s="7" t="n"/>
    </row>
    <row r="4925">
      <c r="A4925" s="7" t="n"/>
      <c r="B4925" s="7" t="n"/>
      <c r="C4925" s="7" t="n"/>
      <c r="D4925" s="7" t="n"/>
      <c r="E4925" s="7" t="n"/>
      <c r="F4925" s="7" t="n"/>
      <c r="G4925" s="7" t="n"/>
      <c r="H4925" s="7" t="n"/>
      <c r="I4925" s="7" t="n"/>
      <c r="J4925" s="7" t="n"/>
      <c r="K4925">
        <f>IF(D4925="Legitimate Interest (GDPR Art. 6(1)(f))", "Yes / Required (Sheet 3)", "")</f>
        <v/>
      </c>
      <c r="L4925" s="7" t="n"/>
      <c r="M4925" s="7" t="n"/>
      <c r="N4925">
        <f>IF(D4925="", "Gap - No Legal Basis", IF(AND(D4925="Consent (GDPR Art. 6(1)(a))", I4925="Not Captured"), "Gap - Invalid Consent", IF(AND(D4925="Legitimate Interest (GDPR Art. 6(1)(f))", L4925=""), "Gap - Missing LIA", IF(AND(G4925="Yes", H4925=""), "Gap - Missing Art. 9 Basis", IF(OR(I4925="Invalid - Not Freely Given", I4925="Invalid - Not Specific", I4925="Invalid - Not Informed", I4925="Invalid - Ambiguous"), "Gap - Invalid Consent", "Compliant")))))</f>
        <v/>
      </c>
      <c r="O4925" s="7" t="n"/>
    </row>
    <row r="4926">
      <c r="A4926" s="7" t="n"/>
      <c r="B4926" s="7" t="n"/>
      <c r="C4926" s="7" t="n"/>
      <c r="D4926" s="7" t="n"/>
      <c r="E4926" s="7" t="n"/>
      <c r="F4926" s="7" t="n"/>
      <c r="G4926" s="7" t="n"/>
      <c r="H4926" s="7" t="n"/>
      <c r="I4926" s="7" t="n"/>
      <c r="J4926" s="7" t="n"/>
      <c r="K4926">
        <f>IF(D4926="Legitimate Interest (GDPR Art. 6(1)(f))", "Yes / Required (Sheet 3)", "")</f>
        <v/>
      </c>
      <c r="L4926" s="7" t="n"/>
      <c r="M4926" s="7" t="n"/>
      <c r="N4926">
        <f>IF(D4926="", "Gap - No Legal Basis", IF(AND(D4926="Consent (GDPR Art. 6(1)(a))", I4926="Not Captured"), "Gap - Invalid Consent", IF(AND(D4926="Legitimate Interest (GDPR Art. 6(1)(f))", L4926=""), "Gap - Missing LIA", IF(AND(G4926="Yes", H4926=""), "Gap - Missing Art. 9 Basis", IF(OR(I4926="Invalid - Not Freely Given", I4926="Invalid - Not Specific", I4926="Invalid - Not Informed", I4926="Invalid - Ambiguous"), "Gap - Invalid Consent", "Compliant")))))</f>
        <v/>
      </c>
      <c r="O4926" s="7" t="n"/>
    </row>
    <row r="4927">
      <c r="A4927" s="7" t="n"/>
      <c r="B4927" s="7" t="n"/>
      <c r="C4927" s="7" t="n"/>
      <c r="D4927" s="7" t="n"/>
      <c r="E4927" s="7" t="n"/>
      <c r="F4927" s="7" t="n"/>
      <c r="G4927" s="7" t="n"/>
      <c r="H4927" s="7" t="n"/>
      <c r="I4927" s="7" t="n"/>
      <c r="J4927" s="7" t="n"/>
      <c r="K4927">
        <f>IF(D4927="Legitimate Interest (GDPR Art. 6(1)(f))", "Yes / Required (Sheet 3)", "")</f>
        <v/>
      </c>
      <c r="L4927" s="7" t="n"/>
      <c r="M4927" s="7" t="n"/>
      <c r="N4927">
        <f>IF(D4927="", "Gap - No Legal Basis", IF(AND(D4927="Consent (GDPR Art. 6(1)(a))", I4927="Not Captured"), "Gap - Invalid Consent", IF(AND(D4927="Legitimate Interest (GDPR Art. 6(1)(f))", L4927=""), "Gap - Missing LIA", IF(AND(G4927="Yes", H4927=""), "Gap - Missing Art. 9 Basis", IF(OR(I4927="Invalid - Not Freely Given", I4927="Invalid - Not Specific", I4927="Invalid - Not Informed", I4927="Invalid - Ambiguous"), "Gap - Invalid Consent", "Compliant")))))</f>
        <v/>
      </c>
      <c r="O4927" s="7" t="n"/>
    </row>
    <row r="4928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7" t="n"/>
      <c r="J4928" s="7" t="n"/>
      <c r="K4928">
        <f>IF(D4928="Legitimate Interest (GDPR Art. 6(1)(f))", "Yes / Required (Sheet 3)", "")</f>
        <v/>
      </c>
      <c r="L4928" s="7" t="n"/>
      <c r="M4928" s="7" t="n"/>
      <c r="N4928">
        <f>IF(D4928="", "Gap - No Legal Basis", IF(AND(D4928="Consent (GDPR Art. 6(1)(a))", I4928="Not Captured"), "Gap - Invalid Consent", IF(AND(D4928="Legitimate Interest (GDPR Art. 6(1)(f))", L4928=""), "Gap - Missing LIA", IF(AND(G4928="Yes", H4928=""), "Gap - Missing Art. 9 Basis", IF(OR(I4928="Invalid - Not Freely Given", I4928="Invalid - Not Specific", I4928="Invalid - Not Informed", I4928="Invalid - Ambiguous"), "Gap - Invalid Consent", "Compliant")))))</f>
        <v/>
      </c>
      <c r="O4928" s="7" t="n"/>
    </row>
    <row r="4929">
      <c r="A4929" s="7" t="n"/>
      <c r="B4929" s="7" t="n"/>
      <c r="C4929" s="7" t="n"/>
      <c r="D4929" s="7" t="n"/>
      <c r="E4929" s="7" t="n"/>
      <c r="F4929" s="7" t="n"/>
      <c r="G4929" s="7" t="n"/>
      <c r="H4929" s="7" t="n"/>
      <c r="I4929" s="7" t="n"/>
      <c r="J4929" s="7" t="n"/>
      <c r="K4929">
        <f>IF(D4929="Legitimate Interest (GDPR Art. 6(1)(f))", "Yes / Required (Sheet 3)", "")</f>
        <v/>
      </c>
      <c r="L4929" s="7" t="n"/>
      <c r="M4929" s="7" t="n"/>
      <c r="N4929">
        <f>IF(D4929="", "Gap - No Legal Basis", IF(AND(D4929="Consent (GDPR Art. 6(1)(a))", I4929="Not Captured"), "Gap - Invalid Consent", IF(AND(D4929="Legitimate Interest (GDPR Art. 6(1)(f))", L4929=""), "Gap - Missing LIA", IF(AND(G4929="Yes", H4929=""), "Gap - Missing Art. 9 Basis", IF(OR(I4929="Invalid - Not Freely Given", I4929="Invalid - Not Specific", I4929="Invalid - Not Informed", I4929="Invalid - Ambiguous"), "Gap - Invalid Consent", "Compliant")))))</f>
        <v/>
      </c>
      <c r="O4929" s="7" t="n"/>
    </row>
    <row r="4930">
      <c r="A4930" s="7" t="n"/>
      <c r="B4930" s="7" t="n"/>
      <c r="C4930" s="7" t="n"/>
      <c r="D4930" s="7" t="n"/>
      <c r="E4930" s="7" t="n"/>
      <c r="F4930" s="7" t="n"/>
      <c r="G4930" s="7" t="n"/>
      <c r="H4930" s="7" t="n"/>
      <c r="I4930" s="7" t="n"/>
      <c r="J4930" s="7" t="n"/>
      <c r="K4930">
        <f>IF(D4930="Legitimate Interest (GDPR Art. 6(1)(f))", "Yes / Required (Sheet 3)", "")</f>
        <v/>
      </c>
      <c r="L4930" s="7" t="n"/>
      <c r="M4930" s="7" t="n"/>
      <c r="N4930">
        <f>IF(D4930="", "Gap - No Legal Basis", IF(AND(D4930="Consent (GDPR Art. 6(1)(a))", I4930="Not Captured"), "Gap - Invalid Consent", IF(AND(D4930="Legitimate Interest (GDPR Art. 6(1)(f))", L4930=""), "Gap - Missing LIA", IF(AND(G4930="Yes", H4930=""), "Gap - Missing Art. 9 Basis", IF(OR(I4930="Invalid - Not Freely Given", I4930="Invalid - Not Specific", I4930="Invalid - Not Informed", I4930="Invalid - Ambiguous"), "Gap - Invalid Consent", "Compliant")))))</f>
        <v/>
      </c>
      <c r="O4930" s="7" t="n"/>
    </row>
    <row r="4931">
      <c r="A4931" s="7" t="n"/>
      <c r="B4931" s="7" t="n"/>
      <c r="C4931" s="7" t="n"/>
      <c r="D4931" s="7" t="n"/>
      <c r="E4931" s="7" t="n"/>
      <c r="F4931" s="7" t="n"/>
      <c r="G4931" s="7" t="n"/>
      <c r="H4931" s="7" t="n"/>
      <c r="I4931" s="7" t="n"/>
      <c r="J4931" s="7" t="n"/>
      <c r="K4931">
        <f>IF(D4931="Legitimate Interest (GDPR Art. 6(1)(f))", "Yes / Required (Sheet 3)", "")</f>
        <v/>
      </c>
      <c r="L4931" s="7" t="n"/>
      <c r="M4931" s="7" t="n"/>
      <c r="N4931">
        <f>IF(D4931="", "Gap - No Legal Basis", IF(AND(D4931="Consent (GDPR Art. 6(1)(a))", I4931="Not Captured"), "Gap - Invalid Consent", IF(AND(D4931="Legitimate Interest (GDPR Art. 6(1)(f))", L4931=""), "Gap - Missing LIA", IF(AND(G4931="Yes", H4931=""), "Gap - Missing Art. 9 Basis", IF(OR(I4931="Invalid - Not Freely Given", I4931="Invalid - Not Specific", I4931="Invalid - Not Informed", I4931="Invalid - Ambiguous"), "Gap - Invalid Consent", "Compliant")))))</f>
        <v/>
      </c>
      <c r="O4931" s="7" t="n"/>
    </row>
    <row r="4932">
      <c r="A4932" s="7" t="n"/>
      <c r="B4932" s="7" t="n"/>
      <c r="C4932" s="7" t="n"/>
      <c r="D4932" s="7" t="n"/>
      <c r="E4932" s="7" t="n"/>
      <c r="F4932" s="7" t="n"/>
      <c r="G4932" s="7" t="n"/>
      <c r="H4932" s="7" t="n"/>
      <c r="I4932" s="7" t="n"/>
      <c r="J4932" s="7" t="n"/>
      <c r="K4932">
        <f>IF(D4932="Legitimate Interest (GDPR Art. 6(1)(f))", "Yes / Required (Sheet 3)", "")</f>
        <v/>
      </c>
      <c r="L4932" s="7" t="n"/>
      <c r="M4932" s="7" t="n"/>
      <c r="N4932">
        <f>IF(D4932="", "Gap - No Legal Basis", IF(AND(D4932="Consent (GDPR Art. 6(1)(a))", I4932="Not Captured"), "Gap - Invalid Consent", IF(AND(D4932="Legitimate Interest (GDPR Art. 6(1)(f))", L4932=""), "Gap - Missing LIA", IF(AND(G4932="Yes", H4932=""), "Gap - Missing Art. 9 Basis", IF(OR(I4932="Invalid - Not Freely Given", I4932="Invalid - Not Specific", I4932="Invalid - Not Informed", I4932="Invalid - Ambiguous"), "Gap - Invalid Consent", "Compliant")))))</f>
        <v/>
      </c>
      <c r="O4932" s="7" t="n"/>
    </row>
    <row r="4933">
      <c r="A4933" s="7" t="n"/>
      <c r="B4933" s="7" t="n"/>
      <c r="C4933" s="7" t="n"/>
      <c r="D4933" s="7" t="n"/>
      <c r="E4933" s="7" t="n"/>
      <c r="F4933" s="7" t="n"/>
      <c r="G4933" s="7" t="n"/>
      <c r="H4933" s="7" t="n"/>
      <c r="I4933" s="7" t="n"/>
      <c r="J4933" s="7" t="n"/>
      <c r="K4933">
        <f>IF(D4933="Legitimate Interest (GDPR Art. 6(1)(f))", "Yes / Required (Sheet 3)", "")</f>
        <v/>
      </c>
      <c r="L4933" s="7" t="n"/>
      <c r="M4933" s="7" t="n"/>
      <c r="N4933">
        <f>IF(D4933="", "Gap - No Legal Basis", IF(AND(D4933="Consent (GDPR Art. 6(1)(a))", I4933="Not Captured"), "Gap - Invalid Consent", IF(AND(D4933="Legitimate Interest (GDPR Art. 6(1)(f))", L4933=""), "Gap - Missing LIA", IF(AND(G4933="Yes", H4933=""), "Gap - Missing Art. 9 Basis", IF(OR(I4933="Invalid - Not Freely Given", I4933="Invalid - Not Specific", I4933="Invalid - Not Informed", I4933="Invalid - Ambiguous"), "Gap - Invalid Consent", "Compliant")))))</f>
        <v/>
      </c>
      <c r="O4933" s="7" t="n"/>
    </row>
    <row r="4934">
      <c r="A4934" s="7" t="n"/>
      <c r="B4934" s="7" t="n"/>
      <c r="C4934" s="7" t="n"/>
      <c r="D4934" s="7" t="n"/>
      <c r="E4934" s="7" t="n"/>
      <c r="F4934" s="7" t="n"/>
      <c r="G4934" s="7" t="n"/>
      <c r="H4934" s="7" t="n"/>
      <c r="I4934" s="7" t="n"/>
      <c r="J4934" s="7" t="n"/>
      <c r="K4934">
        <f>IF(D4934="Legitimate Interest (GDPR Art. 6(1)(f))", "Yes / Required (Sheet 3)", "")</f>
        <v/>
      </c>
      <c r="L4934" s="7" t="n"/>
      <c r="M4934" s="7" t="n"/>
      <c r="N4934">
        <f>IF(D4934="", "Gap - No Legal Basis", IF(AND(D4934="Consent (GDPR Art. 6(1)(a))", I4934="Not Captured"), "Gap - Invalid Consent", IF(AND(D4934="Legitimate Interest (GDPR Art. 6(1)(f))", L4934=""), "Gap - Missing LIA", IF(AND(G4934="Yes", H4934=""), "Gap - Missing Art. 9 Basis", IF(OR(I4934="Invalid - Not Freely Given", I4934="Invalid - Not Specific", I4934="Invalid - Not Informed", I4934="Invalid - Ambiguous"), "Gap - Invalid Consent", "Compliant")))))</f>
        <v/>
      </c>
      <c r="O4934" s="7" t="n"/>
    </row>
    <row r="4935">
      <c r="A4935" s="7" t="n"/>
      <c r="B4935" s="7" t="n"/>
      <c r="C4935" s="7" t="n"/>
      <c r="D4935" s="7" t="n"/>
      <c r="E4935" s="7" t="n"/>
      <c r="F4935" s="7" t="n"/>
      <c r="G4935" s="7" t="n"/>
      <c r="H4935" s="7" t="n"/>
      <c r="I4935" s="7" t="n"/>
      <c r="J4935" s="7" t="n"/>
      <c r="K4935">
        <f>IF(D4935="Legitimate Interest (GDPR Art. 6(1)(f))", "Yes / Required (Sheet 3)", "")</f>
        <v/>
      </c>
      <c r="L4935" s="7" t="n"/>
      <c r="M4935" s="7" t="n"/>
      <c r="N4935">
        <f>IF(D4935="", "Gap - No Legal Basis", IF(AND(D4935="Consent (GDPR Art. 6(1)(a))", I4935="Not Captured"), "Gap - Invalid Consent", IF(AND(D4935="Legitimate Interest (GDPR Art. 6(1)(f))", L4935=""), "Gap - Missing LIA", IF(AND(G4935="Yes", H4935=""), "Gap - Missing Art. 9 Basis", IF(OR(I4935="Invalid - Not Freely Given", I4935="Invalid - Not Specific", I4935="Invalid - Not Informed", I4935="Invalid - Ambiguous"), "Gap - Invalid Consent", "Compliant")))))</f>
        <v/>
      </c>
      <c r="O4935" s="7" t="n"/>
    </row>
    <row r="4936">
      <c r="A4936" s="7" t="n"/>
      <c r="B4936" s="7" t="n"/>
      <c r="C4936" s="7" t="n"/>
      <c r="D4936" s="7" t="n"/>
      <c r="E4936" s="7" t="n"/>
      <c r="F4936" s="7" t="n"/>
      <c r="G4936" s="7" t="n"/>
      <c r="H4936" s="7" t="n"/>
      <c r="I4936" s="7" t="n"/>
      <c r="J4936" s="7" t="n"/>
      <c r="K4936">
        <f>IF(D4936="Legitimate Interest (GDPR Art. 6(1)(f))", "Yes / Required (Sheet 3)", "")</f>
        <v/>
      </c>
      <c r="L4936" s="7" t="n"/>
      <c r="M4936" s="7" t="n"/>
      <c r="N4936">
        <f>IF(D4936="", "Gap - No Legal Basis", IF(AND(D4936="Consent (GDPR Art. 6(1)(a))", I4936="Not Captured"), "Gap - Invalid Consent", IF(AND(D4936="Legitimate Interest (GDPR Art. 6(1)(f))", L4936=""), "Gap - Missing LIA", IF(AND(G4936="Yes", H4936=""), "Gap - Missing Art. 9 Basis", IF(OR(I4936="Invalid - Not Freely Given", I4936="Invalid - Not Specific", I4936="Invalid - Not Informed", I4936="Invalid - Ambiguous"), "Gap - Invalid Consent", "Compliant")))))</f>
        <v/>
      </c>
      <c r="O4936" s="7" t="n"/>
    </row>
    <row r="4937">
      <c r="A4937" s="7" t="n"/>
      <c r="B4937" s="7" t="n"/>
      <c r="C4937" s="7" t="n"/>
      <c r="D4937" s="7" t="n"/>
      <c r="E4937" s="7" t="n"/>
      <c r="F4937" s="7" t="n"/>
      <c r="G4937" s="7" t="n"/>
      <c r="H4937" s="7" t="n"/>
      <c r="I4937" s="7" t="n"/>
      <c r="J4937" s="7" t="n"/>
      <c r="K4937">
        <f>IF(D4937="Legitimate Interest (GDPR Art. 6(1)(f))", "Yes / Required (Sheet 3)", "")</f>
        <v/>
      </c>
      <c r="L4937" s="7" t="n"/>
      <c r="M4937" s="7" t="n"/>
      <c r="N4937">
        <f>IF(D4937="", "Gap - No Legal Basis", IF(AND(D4937="Consent (GDPR Art. 6(1)(a))", I4937="Not Captured"), "Gap - Invalid Consent", IF(AND(D4937="Legitimate Interest (GDPR Art. 6(1)(f))", L4937=""), "Gap - Missing LIA", IF(AND(G4937="Yes", H4937=""), "Gap - Missing Art. 9 Basis", IF(OR(I4937="Invalid - Not Freely Given", I4937="Invalid - Not Specific", I4937="Invalid - Not Informed", I4937="Invalid - Ambiguous"), "Gap - Invalid Consent", "Compliant")))))</f>
        <v/>
      </c>
      <c r="O4937" s="7" t="n"/>
    </row>
    <row r="4938">
      <c r="A4938" s="7" t="n"/>
      <c r="B4938" s="7" t="n"/>
      <c r="C4938" s="7" t="n"/>
      <c r="D4938" s="7" t="n"/>
      <c r="E4938" s="7" t="n"/>
      <c r="F4938" s="7" t="n"/>
      <c r="G4938" s="7" t="n"/>
      <c r="H4938" s="7" t="n"/>
      <c r="I4938" s="7" t="n"/>
      <c r="J4938" s="7" t="n"/>
      <c r="K4938">
        <f>IF(D4938="Legitimate Interest (GDPR Art. 6(1)(f))", "Yes / Required (Sheet 3)", "")</f>
        <v/>
      </c>
      <c r="L4938" s="7" t="n"/>
      <c r="M4938" s="7" t="n"/>
      <c r="N4938">
        <f>IF(D4938="", "Gap - No Legal Basis", IF(AND(D4938="Consent (GDPR Art. 6(1)(a))", I4938="Not Captured"), "Gap - Invalid Consent", IF(AND(D4938="Legitimate Interest (GDPR Art. 6(1)(f))", L4938=""), "Gap - Missing LIA", IF(AND(G4938="Yes", H4938=""), "Gap - Missing Art. 9 Basis", IF(OR(I4938="Invalid - Not Freely Given", I4938="Invalid - Not Specific", I4938="Invalid - Not Informed", I4938="Invalid - Ambiguous"), "Gap - Invalid Consent", "Compliant")))))</f>
        <v/>
      </c>
      <c r="O4938" s="7" t="n"/>
    </row>
    <row r="4939">
      <c r="A4939" s="7" t="n"/>
      <c r="B4939" s="7" t="n"/>
      <c r="C4939" s="7" t="n"/>
      <c r="D4939" s="7" t="n"/>
      <c r="E4939" s="7" t="n"/>
      <c r="F4939" s="7" t="n"/>
      <c r="G4939" s="7" t="n"/>
      <c r="H4939" s="7" t="n"/>
      <c r="I4939" s="7" t="n"/>
      <c r="J4939" s="7" t="n"/>
      <c r="K4939">
        <f>IF(D4939="Legitimate Interest (GDPR Art. 6(1)(f))", "Yes / Required (Sheet 3)", "")</f>
        <v/>
      </c>
      <c r="L4939" s="7" t="n"/>
      <c r="M4939" s="7" t="n"/>
      <c r="N4939">
        <f>IF(D4939="", "Gap - No Legal Basis", IF(AND(D4939="Consent (GDPR Art. 6(1)(a))", I4939="Not Captured"), "Gap - Invalid Consent", IF(AND(D4939="Legitimate Interest (GDPR Art. 6(1)(f))", L4939=""), "Gap - Missing LIA", IF(AND(G4939="Yes", H4939=""), "Gap - Missing Art. 9 Basis", IF(OR(I4939="Invalid - Not Freely Given", I4939="Invalid - Not Specific", I4939="Invalid - Not Informed", I4939="Invalid - Ambiguous"), "Gap - Invalid Consent", "Compliant")))))</f>
        <v/>
      </c>
      <c r="O4939" s="7" t="n"/>
    </row>
    <row r="4940">
      <c r="A4940" s="7" t="n"/>
      <c r="B4940" s="7" t="n"/>
      <c r="C4940" s="7" t="n"/>
      <c r="D4940" s="7" t="n"/>
      <c r="E4940" s="7" t="n"/>
      <c r="F4940" s="7" t="n"/>
      <c r="G4940" s="7" t="n"/>
      <c r="H4940" s="7" t="n"/>
      <c r="I4940" s="7" t="n"/>
      <c r="J4940" s="7" t="n"/>
      <c r="K4940">
        <f>IF(D4940="Legitimate Interest (GDPR Art. 6(1)(f))", "Yes / Required (Sheet 3)", "")</f>
        <v/>
      </c>
      <c r="L4940" s="7" t="n"/>
      <c r="M4940" s="7" t="n"/>
      <c r="N4940">
        <f>IF(D4940="", "Gap - No Legal Basis", IF(AND(D4940="Consent (GDPR Art. 6(1)(a))", I4940="Not Captured"), "Gap - Invalid Consent", IF(AND(D4940="Legitimate Interest (GDPR Art. 6(1)(f))", L4940=""), "Gap - Missing LIA", IF(AND(G4940="Yes", H4940=""), "Gap - Missing Art. 9 Basis", IF(OR(I4940="Invalid - Not Freely Given", I4940="Invalid - Not Specific", I4940="Invalid - Not Informed", I4940="Invalid - Ambiguous"), "Gap - Invalid Consent", "Compliant")))))</f>
        <v/>
      </c>
      <c r="O4940" s="7" t="n"/>
    </row>
    <row r="4941">
      <c r="A4941" s="7" t="n"/>
      <c r="B4941" s="7" t="n"/>
      <c r="C4941" s="7" t="n"/>
      <c r="D4941" s="7" t="n"/>
      <c r="E4941" s="7" t="n"/>
      <c r="F4941" s="7" t="n"/>
      <c r="G4941" s="7" t="n"/>
      <c r="H4941" s="7" t="n"/>
      <c r="I4941" s="7" t="n"/>
      <c r="J4941" s="7" t="n"/>
      <c r="K4941">
        <f>IF(D4941="Legitimate Interest (GDPR Art. 6(1)(f))", "Yes / Required (Sheet 3)", "")</f>
        <v/>
      </c>
      <c r="L4941" s="7" t="n"/>
      <c r="M4941" s="7" t="n"/>
      <c r="N4941">
        <f>IF(D4941="", "Gap - No Legal Basis", IF(AND(D4941="Consent (GDPR Art. 6(1)(a))", I4941="Not Captured"), "Gap - Invalid Consent", IF(AND(D4941="Legitimate Interest (GDPR Art. 6(1)(f))", L4941=""), "Gap - Missing LIA", IF(AND(G4941="Yes", H4941=""), "Gap - Missing Art. 9 Basis", IF(OR(I4941="Invalid - Not Freely Given", I4941="Invalid - Not Specific", I4941="Invalid - Not Informed", I4941="Invalid - Ambiguous"), "Gap - Invalid Consent", "Compliant")))))</f>
        <v/>
      </c>
      <c r="O4941" s="7" t="n"/>
    </row>
    <row r="4942">
      <c r="A4942" s="7" t="n"/>
      <c r="B4942" s="7" t="n"/>
      <c r="C4942" s="7" t="n"/>
      <c r="D4942" s="7" t="n"/>
      <c r="E4942" s="7" t="n"/>
      <c r="F4942" s="7" t="n"/>
      <c r="G4942" s="7" t="n"/>
      <c r="H4942" s="7" t="n"/>
      <c r="I4942" s="7" t="n"/>
      <c r="J4942" s="7" t="n"/>
      <c r="K4942">
        <f>IF(D4942="Legitimate Interest (GDPR Art. 6(1)(f))", "Yes / Required (Sheet 3)", "")</f>
        <v/>
      </c>
      <c r="L4942" s="7" t="n"/>
      <c r="M4942" s="7" t="n"/>
      <c r="N4942">
        <f>IF(D4942="", "Gap - No Legal Basis", IF(AND(D4942="Consent (GDPR Art. 6(1)(a))", I4942="Not Captured"), "Gap - Invalid Consent", IF(AND(D4942="Legitimate Interest (GDPR Art. 6(1)(f))", L4942=""), "Gap - Missing LIA", IF(AND(G4942="Yes", H4942=""), "Gap - Missing Art. 9 Basis", IF(OR(I4942="Invalid - Not Freely Given", I4942="Invalid - Not Specific", I4942="Invalid - Not Informed", I4942="Invalid - Ambiguous"), "Gap - Invalid Consent", "Compliant")))))</f>
        <v/>
      </c>
      <c r="O4942" s="7" t="n"/>
    </row>
    <row r="4943">
      <c r="A4943" s="7" t="n"/>
      <c r="B4943" s="7" t="n"/>
      <c r="C4943" s="7" t="n"/>
      <c r="D4943" s="7" t="n"/>
      <c r="E4943" s="7" t="n"/>
      <c r="F4943" s="7" t="n"/>
      <c r="G4943" s="7" t="n"/>
      <c r="H4943" s="7" t="n"/>
      <c r="I4943" s="7" t="n"/>
      <c r="J4943" s="7" t="n"/>
      <c r="K4943">
        <f>IF(D4943="Legitimate Interest (GDPR Art. 6(1)(f))", "Yes / Required (Sheet 3)", "")</f>
        <v/>
      </c>
      <c r="L4943" s="7" t="n"/>
      <c r="M4943" s="7" t="n"/>
      <c r="N4943">
        <f>IF(D4943="", "Gap - No Legal Basis", IF(AND(D4943="Consent (GDPR Art. 6(1)(a))", I4943="Not Captured"), "Gap - Invalid Consent", IF(AND(D4943="Legitimate Interest (GDPR Art. 6(1)(f))", L4943=""), "Gap - Missing LIA", IF(AND(G4943="Yes", H4943=""), "Gap - Missing Art. 9 Basis", IF(OR(I4943="Invalid - Not Freely Given", I4943="Invalid - Not Specific", I4943="Invalid - Not Informed", I4943="Invalid - Ambiguous"), "Gap - Invalid Consent", "Compliant")))))</f>
        <v/>
      </c>
      <c r="O4943" s="7" t="n"/>
    </row>
    <row r="4944">
      <c r="A4944" s="7" t="n"/>
      <c r="B4944" s="7" t="n"/>
      <c r="C4944" s="7" t="n"/>
      <c r="D4944" s="7" t="n"/>
      <c r="E4944" s="7" t="n"/>
      <c r="F4944" s="7" t="n"/>
      <c r="G4944" s="7" t="n"/>
      <c r="H4944" s="7" t="n"/>
      <c r="I4944" s="7" t="n"/>
      <c r="J4944" s="7" t="n"/>
      <c r="K4944">
        <f>IF(D4944="Legitimate Interest (GDPR Art. 6(1)(f))", "Yes / Required (Sheet 3)", "")</f>
        <v/>
      </c>
      <c r="L4944" s="7" t="n"/>
      <c r="M4944" s="7" t="n"/>
      <c r="N4944">
        <f>IF(D4944="", "Gap - No Legal Basis", IF(AND(D4944="Consent (GDPR Art. 6(1)(a))", I4944="Not Captured"), "Gap - Invalid Consent", IF(AND(D4944="Legitimate Interest (GDPR Art. 6(1)(f))", L4944=""), "Gap - Missing LIA", IF(AND(G4944="Yes", H4944=""), "Gap - Missing Art. 9 Basis", IF(OR(I4944="Invalid - Not Freely Given", I4944="Invalid - Not Specific", I4944="Invalid - Not Informed", I4944="Invalid - Ambiguous"), "Gap - Invalid Consent", "Compliant")))))</f>
        <v/>
      </c>
      <c r="O4944" s="7" t="n"/>
    </row>
    <row r="4945">
      <c r="A4945" s="7" t="n"/>
      <c r="B4945" s="7" t="n"/>
      <c r="C4945" s="7" t="n"/>
      <c r="D4945" s="7" t="n"/>
      <c r="E4945" s="7" t="n"/>
      <c r="F4945" s="7" t="n"/>
      <c r="G4945" s="7" t="n"/>
      <c r="H4945" s="7" t="n"/>
      <c r="I4945" s="7" t="n"/>
      <c r="J4945" s="7" t="n"/>
      <c r="K4945">
        <f>IF(D4945="Legitimate Interest (GDPR Art. 6(1)(f))", "Yes / Required (Sheet 3)", "")</f>
        <v/>
      </c>
      <c r="L4945" s="7" t="n"/>
      <c r="M4945" s="7" t="n"/>
      <c r="N4945">
        <f>IF(D4945="", "Gap - No Legal Basis", IF(AND(D4945="Consent (GDPR Art. 6(1)(a))", I4945="Not Captured"), "Gap - Invalid Consent", IF(AND(D4945="Legitimate Interest (GDPR Art. 6(1)(f))", L4945=""), "Gap - Missing LIA", IF(AND(G4945="Yes", H4945=""), "Gap - Missing Art. 9 Basis", IF(OR(I4945="Invalid - Not Freely Given", I4945="Invalid - Not Specific", I4945="Invalid - Not Informed", I4945="Invalid - Ambiguous"), "Gap - Invalid Consent", "Compliant")))))</f>
        <v/>
      </c>
      <c r="O4945" s="7" t="n"/>
    </row>
    <row r="4946">
      <c r="A4946" s="7" t="n"/>
      <c r="B4946" s="7" t="n"/>
      <c r="C4946" s="7" t="n"/>
      <c r="D4946" s="7" t="n"/>
      <c r="E4946" s="7" t="n"/>
      <c r="F4946" s="7" t="n"/>
      <c r="G4946" s="7" t="n"/>
      <c r="H4946" s="7" t="n"/>
      <c r="I4946" s="7" t="n"/>
      <c r="J4946" s="7" t="n"/>
      <c r="K4946">
        <f>IF(D4946="Legitimate Interest (GDPR Art. 6(1)(f))", "Yes / Required (Sheet 3)", "")</f>
        <v/>
      </c>
      <c r="L4946" s="7" t="n"/>
      <c r="M4946" s="7" t="n"/>
      <c r="N4946">
        <f>IF(D4946="", "Gap - No Legal Basis", IF(AND(D4946="Consent (GDPR Art. 6(1)(a))", I4946="Not Captured"), "Gap - Invalid Consent", IF(AND(D4946="Legitimate Interest (GDPR Art. 6(1)(f))", L4946=""), "Gap - Missing LIA", IF(AND(G4946="Yes", H4946=""), "Gap - Missing Art. 9 Basis", IF(OR(I4946="Invalid - Not Freely Given", I4946="Invalid - Not Specific", I4946="Invalid - Not Informed", I4946="Invalid - Ambiguous"), "Gap - Invalid Consent", "Compliant")))))</f>
        <v/>
      </c>
      <c r="O4946" s="7" t="n"/>
    </row>
    <row r="4947">
      <c r="A4947" s="7" t="n"/>
      <c r="B4947" s="7" t="n"/>
      <c r="C4947" s="7" t="n"/>
      <c r="D4947" s="7" t="n"/>
      <c r="E4947" s="7" t="n"/>
      <c r="F4947" s="7" t="n"/>
      <c r="G4947" s="7" t="n"/>
      <c r="H4947" s="7" t="n"/>
      <c r="I4947" s="7" t="n"/>
      <c r="J4947" s="7" t="n"/>
      <c r="K4947">
        <f>IF(D4947="Legitimate Interest (GDPR Art. 6(1)(f))", "Yes / Required (Sheet 3)", "")</f>
        <v/>
      </c>
      <c r="L4947" s="7" t="n"/>
      <c r="M4947" s="7" t="n"/>
      <c r="N4947">
        <f>IF(D4947="", "Gap - No Legal Basis", IF(AND(D4947="Consent (GDPR Art. 6(1)(a))", I4947="Not Captured"), "Gap - Invalid Consent", IF(AND(D4947="Legitimate Interest (GDPR Art. 6(1)(f))", L4947=""), "Gap - Missing LIA", IF(AND(G4947="Yes", H4947=""), "Gap - Missing Art. 9 Basis", IF(OR(I4947="Invalid - Not Freely Given", I4947="Invalid - Not Specific", I4947="Invalid - Not Informed", I4947="Invalid - Ambiguous"), "Gap - Invalid Consent", "Compliant")))))</f>
        <v/>
      </c>
      <c r="O4947" s="7" t="n"/>
    </row>
    <row r="4948">
      <c r="A4948" s="7" t="n"/>
      <c r="B4948" s="7" t="n"/>
      <c r="C4948" s="7" t="n"/>
      <c r="D4948" s="7" t="n"/>
      <c r="E4948" s="7" t="n"/>
      <c r="F4948" s="7" t="n"/>
      <c r="G4948" s="7" t="n"/>
      <c r="H4948" s="7" t="n"/>
      <c r="I4948" s="7" t="n"/>
      <c r="J4948" s="7" t="n"/>
      <c r="K4948">
        <f>IF(D4948="Legitimate Interest (GDPR Art. 6(1)(f))", "Yes / Required (Sheet 3)", "")</f>
        <v/>
      </c>
      <c r="L4948" s="7" t="n"/>
      <c r="M4948" s="7" t="n"/>
      <c r="N4948">
        <f>IF(D4948="", "Gap - No Legal Basis", IF(AND(D4948="Consent (GDPR Art. 6(1)(a))", I4948="Not Captured"), "Gap - Invalid Consent", IF(AND(D4948="Legitimate Interest (GDPR Art. 6(1)(f))", L4948=""), "Gap - Missing LIA", IF(AND(G4948="Yes", H4948=""), "Gap - Missing Art. 9 Basis", IF(OR(I4948="Invalid - Not Freely Given", I4948="Invalid - Not Specific", I4948="Invalid - Not Informed", I4948="Invalid - Ambiguous"), "Gap - Invalid Consent", "Compliant")))))</f>
        <v/>
      </c>
      <c r="O4948" s="7" t="n"/>
    </row>
    <row r="4949">
      <c r="A4949" s="7" t="n"/>
      <c r="B4949" s="7" t="n"/>
      <c r="C4949" s="7" t="n"/>
      <c r="D4949" s="7" t="n"/>
      <c r="E4949" s="7" t="n"/>
      <c r="F4949" s="7" t="n"/>
      <c r="G4949" s="7" t="n"/>
      <c r="H4949" s="7" t="n"/>
      <c r="I4949" s="7" t="n"/>
      <c r="J4949" s="7" t="n"/>
      <c r="K4949">
        <f>IF(D4949="Legitimate Interest (GDPR Art. 6(1)(f))", "Yes / Required (Sheet 3)", "")</f>
        <v/>
      </c>
      <c r="L4949" s="7" t="n"/>
      <c r="M4949" s="7" t="n"/>
      <c r="N4949">
        <f>IF(D4949="", "Gap - No Legal Basis", IF(AND(D4949="Consent (GDPR Art. 6(1)(a))", I4949="Not Captured"), "Gap - Invalid Consent", IF(AND(D4949="Legitimate Interest (GDPR Art. 6(1)(f))", L4949=""), "Gap - Missing LIA", IF(AND(G4949="Yes", H4949=""), "Gap - Missing Art. 9 Basis", IF(OR(I4949="Invalid - Not Freely Given", I4949="Invalid - Not Specific", I4949="Invalid - Not Informed", I4949="Invalid - Ambiguous"), "Gap - Invalid Consent", "Compliant")))))</f>
        <v/>
      </c>
      <c r="O4949" s="7" t="n"/>
    </row>
    <row r="4950">
      <c r="A4950" s="7" t="n"/>
      <c r="B4950" s="7" t="n"/>
      <c r="C4950" s="7" t="n"/>
      <c r="D4950" s="7" t="n"/>
      <c r="E4950" s="7" t="n"/>
      <c r="F4950" s="7" t="n"/>
      <c r="G4950" s="7" t="n"/>
      <c r="H4950" s="7" t="n"/>
      <c r="I4950" s="7" t="n"/>
      <c r="J4950" s="7" t="n"/>
      <c r="K4950">
        <f>IF(D4950="Legitimate Interest (GDPR Art. 6(1)(f))", "Yes / Required (Sheet 3)", "")</f>
        <v/>
      </c>
      <c r="L4950" s="7" t="n"/>
      <c r="M4950" s="7" t="n"/>
      <c r="N4950">
        <f>IF(D4950="", "Gap - No Legal Basis", IF(AND(D4950="Consent (GDPR Art. 6(1)(a))", I4950="Not Captured"), "Gap - Invalid Consent", IF(AND(D4950="Legitimate Interest (GDPR Art. 6(1)(f))", L4950=""), "Gap - Missing LIA", IF(AND(G4950="Yes", H4950=""), "Gap - Missing Art. 9 Basis", IF(OR(I4950="Invalid - Not Freely Given", I4950="Invalid - Not Specific", I4950="Invalid - Not Informed", I4950="Invalid - Ambiguous"), "Gap - Invalid Consent", "Compliant")))))</f>
        <v/>
      </c>
      <c r="O4950" s="7" t="n"/>
    </row>
    <row r="4951">
      <c r="A4951" s="7" t="n"/>
      <c r="B4951" s="7" t="n"/>
      <c r="C4951" s="7" t="n"/>
      <c r="D4951" s="7" t="n"/>
      <c r="E4951" s="7" t="n"/>
      <c r="F4951" s="7" t="n"/>
      <c r="G4951" s="7" t="n"/>
      <c r="H4951" s="7" t="n"/>
      <c r="I4951" s="7" t="n"/>
      <c r="J4951" s="7" t="n"/>
      <c r="K4951">
        <f>IF(D4951="Legitimate Interest (GDPR Art. 6(1)(f))", "Yes / Required (Sheet 3)", "")</f>
        <v/>
      </c>
      <c r="L4951" s="7" t="n"/>
      <c r="M4951" s="7" t="n"/>
      <c r="N4951">
        <f>IF(D4951="", "Gap - No Legal Basis", IF(AND(D4951="Consent (GDPR Art. 6(1)(a))", I4951="Not Captured"), "Gap - Invalid Consent", IF(AND(D4951="Legitimate Interest (GDPR Art. 6(1)(f))", L4951=""), "Gap - Missing LIA", IF(AND(G4951="Yes", H4951=""), "Gap - Missing Art. 9 Basis", IF(OR(I4951="Invalid - Not Freely Given", I4951="Invalid - Not Specific", I4951="Invalid - Not Informed", I4951="Invalid - Ambiguous"), "Gap - Invalid Consent", "Compliant")))))</f>
        <v/>
      </c>
      <c r="O4951" s="7" t="n"/>
    </row>
    <row r="4952">
      <c r="A4952" s="7" t="n"/>
      <c r="B4952" s="7" t="n"/>
      <c r="C4952" s="7" t="n"/>
      <c r="D4952" s="7" t="n"/>
      <c r="E4952" s="7" t="n"/>
      <c r="F4952" s="7" t="n"/>
      <c r="G4952" s="7" t="n"/>
      <c r="H4952" s="7" t="n"/>
      <c r="I4952" s="7" t="n"/>
      <c r="J4952" s="7" t="n"/>
      <c r="K4952">
        <f>IF(D4952="Legitimate Interest (GDPR Art. 6(1)(f))", "Yes / Required (Sheet 3)", "")</f>
        <v/>
      </c>
      <c r="L4952" s="7" t="n"/>
      <c r="M4952" s="7" t="n"/>
      <c r="N4952">
        <f>IF(D4952="", "Gap - No Legal Basis", IF(AND(D4952="Consent (GDPR Art. 6(1)(a))", I4952="Not Captured"), "Gap - Invalid Consent", IF(AND(D4952="Legitimate Interest (GDPR Art. 6(1)(f))", L4952=""), "Gap - Missing LIA", IF(AND(G4952="Yes", H4952=""), "Gap - Missing Art. 9 Basis", IF(OR(I4952="Invalid - Not Freely Given", I4952="Invalid - Not Specific", I4952="Invalid - Not Informed", I4952="Invalid - Ambiguous"), "Gap - Invalid Consent", "Compliant")))))</f>
        <v/>
      </c>
      <c r="O4952" s="7" t="n"/>
    </row>
    <row r="4953">
      <c r="A4953" s="7" t="n"/>
      <c r="B4953" s="7" t="n"/>
      <c r="C4953" s="7" t="n"/>
      <c r="D4953" s="7" t="n"/>
      <c r="E4953" s="7" t="n"/>
      <c r="F4953" s="7" t="n"/>
      <c r="G4953" s="7" t="n"/>
      <c r="H4953" s="7" t="n"/>
      <c r="I4953" s="7" t="n"/>
      <c r="J4953" s="7" t="n"/>
      <c r="K4953">
        <f>IF(D4953="Legitimate Interest (GDPR Art. 6(1)(f))", "Yes / Required (Sheet 3)", "")</f>
        <v/>
      </c>
      <c r="L4953" s="7" t="n"/>
      <c r="M4953" s="7" t="n"/>
      <c r="N4953">
        <f>IF(D4953="", "Gap - No Legal Basis", IF(AND(D4953="Consent (GDPR Art. 6(1)(a))", I4953="Not Captured"), "Gap - Invalid Consent", IF(AND(D4953="Legitimate Interest (GDPR Art. 6(1)(f))", L4953=""), "Gap - Missing LIA", IF(AND(G4953="Yes", H4953=""), "Gap - Missing Art. 9 Basis", IF(OR(I4953="Invalid - Not Freely Given", I4953="Invalid - Not Specific", I4953="Invalid - Not Informed", I4953="Invalid - Ambiguous"), "Gap - Invalid Consent", "Compliant")))))</f>
        <v/>
      </c>
      <c r="O4953" s="7" t="n"/>
    </row>
    <row r="4954">
      <c r="A4954" s="7" t="n"/>
      <c r="B4954" s="7" t="n"/>
      <c r="C4954" s="7" t="n"/>
      <c r="D4954" s="7" t="n"/>
      <c r="E4954" s="7" t="n"/>
      <c r="F4954" s="7" t="n"/>
      <c r="G4954" s="7" t="n"/>
      <c r="H4954" s="7" t="n"/>
      <c r="I4954" s="7" t="n"/>
      <c r="J4954" s="7" t="n"/>
      <c r="K4954">
        <f>IF(D4954="Legitimate Interest (GDPR Art. 6(1)(f))", "Yes / Required (Sheet 3)", "")</f>
        <v/>
      </c>
      <c r="L4954" s="7" t="n"/>
      <c r="M4954" s="7" t="n"/>
      <c r="N4954">
        <f>IF(D4954="", "Gap - No Legal Basis", IF(AND(D4954="Consent (GDPR Art. 6(1)(a))", I4954="Not Captured"), "Gap - Invalid Consent", IF(AND(D4954="Legitimate Interest (GDPR Art. 6(1)(f))", L4954=""), "Gap - Missing LIA", IF(AND(G4954="Yes", H4954=""), "Gap - Missing Art. 9 Basis", IF(OR(I4954="Invalid - Not Freely Given", I4954="Invalid - Not Specific", I4954="Invalid - Not Informed", I4954="Invalid - Ambiguous"), "Gap - Invalid Consent", "Compliant")))))</f>
        <v/>
      </c>
      <c r="O4954" s="7" t="n"/>
    </row>
    <row r="4955">
      <c r="A4955" s="7" t="n"/>
      <c r="B4955" s="7" t="n"/>
      <c r="C4955" s="7" t="n"/>
      <c r="D4955" s="7" t="n"/>
      <c r="E4955" s="7" t="n"/>
      <c r="F4955" s="7" t="n"/>
      <c r="G4955" s="7" t="n"/>
      <c r="H4955" s="7" t="n"/>
      <c r="I4955" s="7" t="n"/>
      <c r="J4955" s="7" t="n"/>
      <c r="K4955">
        <f>IF(D4955="Legitimate Interest (GDPR Art. 6(1)(f))", "Yes / Required (Sheet 3)", "")</f>
        <v/>
      </c>
      <c r="L4955" s="7" t="n"/>
      <c r="M4955" s="7" t="n"/>
      <c r="N4955">
        <f>IF(D4955="", "Gap - No Legal Basis", IF(AND(D4955="Consent (GDPR Art. 6(1)(a))", I4955="Not Captured"), "Gap - Invalid Consent", IF(AND(D4955="Legitimate Interest (GDPR Art. 6(1)(f))", L4955=""), "Gap - Missing LIA", IF(AND(G4955="Yes", H4955=""), "Gap - Missing Art. 9 Basis", IF(OR(I4955="Invalid - Not Freely Given", I4955="Invalid - Not Specific", I4955="Invalid - Not Informed", I4955="Invalid - Ambiguous"), "Gap - Invalid Consent", "Compliant")))))</f>
        <v/>
      </c>
      <c r="O4955" s="7" t="n"/>
    </row>
    <row r="4956">
      <c r="A4956" s="7" t="n"/>
      <c r="B4956" s="7" t="n"/>
      <c r="C4956" s="7" t="n"/>
      <c r="D4956" s="7" t="n"/>
      <c r="E4956" s="7" t="n"/>
      <c r="F4956" s="7" t="n"/>
      <c r="G4956" s="7" t="n"/>
      <c r="H4956" s="7" t="n"/>
      <c r="I4956" s="7" t="n"/>
      <c r="J4956" s="7" t="n"/>
      <c r="K4956">
        <f>IF(D4956="Legitimate Interest (GDPR Art. 6(1)(f))", "Yes / Required (Sheet 3)", "")</f>
        <v/>
      </c>
      <c r="L4956" s="7" t="n"/>
      <c r="M4956" s="7" t="n"/>
      <c r="N4956">
        <f>IF(D4956="", "Gap - No Legal Basis", IF(AND(D4956="Consent (GDPR Art. 6(1)(a))", I4956="Not Captured"), "Gap - Invalid Consent", IF(AND(D4956="Legitimate Interest (GDPR Art. 6(1)(f))", L4956=""), "Gap - Missing LIA", IF(AND(G4956="Yes", H4956=""), "Gap - Missing Art. 9 Basis", IF(OR(I4956="Invalid - Not Freely Given", I4956="Invalid - Not Specific", I4956="Invalid - Not Informed", I4956="Invalid - Ambiguous"), "Gap - Invalid Consent", "Compliant")))))</f>
        <v/>
      </c>
      <c r="O4956" s="7" t="n"/>
    </row>
    <row r="4957">
      <c r="A4957" s="7" t="n"/>
      <c r="B4957" s="7" t="n"/>
      <c r="C4957" s="7" t="n"/>
      <c r="D4957" s="7" t="n"/>
      <c r="E4957" s="7" t="n"/>
      <c r="F4957" s="7" t="n"/>
      <c r="G4957" s="7" t="n"/>
      <c r="H4957" s="7" t="n"/>
      <c r="I4957" s="7" t="n"/>
      <c r="J4957" s="7" t="n"/>
      <c r="K4957">
        <f>IF(D4957="Legitimate Interest (GDPR Art. 6(1)(f))", "Yes / Required (Sheet 3)", "")</f>
        <v/>
      </c>
      <c r="L4957" s="7" t="n"/>
      <c r="M4957" s="7" t="n"/>
      <c r="N4957">
        <f>IF(D4957="", "Gap - No Legal Basis", IF(AND(D4957="Consent (GDPR Art. 6(1)(a))", I4957="Not Captured"), "Gap - Invalid Consent", IF(AND(D4957="Legitimate Interest (GDPR Art. 6(1)(f))", L4957=""), "Gap - Missing LIA", IF(AND(G4957="Yes", H4957=""), "Gap - Missing Art. 9 Basis", IF(OR(I4957="Invalid - Not Freely Given", I4957="Invalid - Not Specific", I4957="Invalid - Not Informed", I4957="Invalid - Ambiguous"), "Gap - Invalid Consent", "Compliant")))))</f>
        <v/>
      </c>
      <c r="O4957" s="7" t="n"/>
    </row>
    <row r="4958">
      <c r="A4958" s="7" t="n"/>
      <c r="B4958" s="7" t="n"/>
      <c r="C4958" s="7" t="n"/>
      <c r="D4958" s="7" t="n"/>
      <c r="E4958" s="7" t="n"/>
      <c r="F4958" s="7" t="n"/>
      <c r="G4958" s="7" t="n"/>
      <c r="H4958" s="7" t="n"/>
      <c r="I4958" s="7" t="n"/>
      <c r="J4958" s="7" t="n"/>
      <c r="K4958">
        <f>IF(D4958="Legitimate Interest (GDPR Art. 6(1)(f))", "Yes / Required (Sheet 3)", "")</f>
        <v/>
      </c>
      <c r="L4958" s="7" t="n"/>
      <c r="M4958" s="7" t="n"/>
      <c r="N4958">
        <f>IF(D4958="", "Gap - No Legal Basis", IF(AND(D4958="Consent (GDPR Art. 6(1)(a))", I4958="Not Captured"), "Gap - Invalid Consent", IF(AND(D4958="Legitimate Interest (GDPR Art. 6(1)(f))", L4958=""), "Gap - Missing LIA", IF(AND(G4958="Yes", H4958=""), "Gap - Missing Art. 9 Basis", IF(OR(I4958="Invalid - Not Freely Given", I4958="Invalid - Not Specific", I4958="Invalid - Not Informed", I4958="Invalid - Ambiguous"), "Gap - Invalid Consent", "Compliant")))))</f>
        <v/>
      </c>
      <c r="O4958" s="7" t="n"/>
    </row>
    <row r="4959">
      <c r="A4959" s="7" t="n"/>
      <c r="B4959" s="7" t="n"/>
      <c r="C4959" s="7" t="n"/>
      <c r="D4959" s="7" t="n"/>
      <c r="E4959" s="7" t="n"/>
      <c r="F4959" s="7" t="n"/>
      <c r="G4959" s="7" t="n"/>
      <c r="H4959" s="7" t="n"/>
      <c r="I4959" s="7" t="n"/>
      <c r="J4959" s="7" t="n"/>
      <c r="K4959">
        <f>IF(D4959="Legitimate Interest (GDPR Art. 6(1)(f))", "Yes / Required (Sheet 3)", "")</f>
        <v/>
      </c>
      <c r="L4959" s="7" t="n"/>
      <c r="M4959" s="7" t="n"/>
      <c r="N4959">
        <f>IF(D4959="", "Gap - No Legal Basis", IF(AND(D4959="Consent (GDPR Art. 6(1)(a))", I4959="Not Captured"), "Gap - Invalid Consent", IF(AND(D4959="Legitimate Interest (GDPR Art. 6(1)(f))", L4959=""), "Gap - Missing LIA", IF(AND(G4959="Yes", H4959=""), "Gap - Missing Art. 9 Basis", IF(OR(I4959="Invalid - Not Freely Given", I4959="Invalid - Not Specific", I4959="Invalid - Not Informed", I4959="Invalid - Ambiguous"), "Gap - Invalid Consent", "Compliant")))))</f>
        <v/>
      </c>
      <c r="O4959" s="7" t="n"/>
    </row>
    <row r="4960">
      <c r="A4960" s="7" t="n"/>
      <c r="B4960" s="7" t="n"/>
      <c r="C4960" s="7" t="n"/>
      <c r="D4960" s="7" t="n"/>
      <c r="E4960" s="7" t="n"/>
      <c r="F4960" s="7" t="n"/>
      <c r="G4960" s="7" t="n"/>
      <c r="H4960" s="7" t="n"/>
      <c r="I4960" s="7" t="n"/>
      <c r="J4960" s="7" t="n"/>
      <c r="K4960">
        <f>IF(D4960="Legitimate Interest (GDPR Art. 6(1)(f))", "Yes / Required (Sheet 3)", "")</f>
        <v/>
      </c>
      <c r="L4960" s="7" t="n"/>
      <c r="M4960" s="7" t="n"/>
      <c r="N4960">
        <f>IF(D4960="", "Gap - No Legal Basis", IF(AND(D4960="Consent (GDPR Art. 6(1)(a))", I4960="Not Captured"), "Gap - Invalid Consent", IF(AND(D4960="Legitimate Interest (GDPR Art. 6(1)(f))", L4960=""), "Gap - Missing LIA", IF(AND(G4960="Yes", H4960=""), "Gap - Missing Art. 9 Basis", IF(OR(I4960="Invalid - Not Freely Given", I4960="Invalid - Not Specific", I4960="Invalid - Not Informed", I4960="Invalid - Ambiguous"), "Gap - Invalid Consent", "Compliant")))))</f>
        <v/>
      </c>
      <c r="O4960" s="7" t="n"/>
    </row>
    <row r="4961">
      <c r="A4961" s="7" t="n"/>
      <c r="B4961" s="7" t="n"/>
      <c r="C4961" s="7" t="n"/>
      <c r="D4961" s="7" t="n"/>
      <c r="E4961" s="7" t="n"/>
      <c r="F4961" s="7" t="n"/>
      <c r="G4961" s="7" t="n"/>
      <c r="H4961" s="7" t="n"/>
      <c r="I4961" s="7" t="n"/>
      <c r="J4961" s="7" t="n"/>
      <c r="K4961">
        <f>IF(D4961="Legitimate Interest (GDPR Art. 6(1)(f))", "Yes / Required (Sheet 3)", "")</f>
        <v/>
      </c>
      <c r="L4961" s="7" t="n"/>
      <c r="M4961" s="7" t="n"/>
      <c r="N4961">
        <f>IF(D4961="", "Gap - No Legal Basis", IF(AND(D4961="Consent (GDPR Art. 6(1)(a))", I4961="Not Captured"), "Gap - Invalid Consent", IF(AND(D4961="Legitimate Interest (GDPR Art. 6(1)(f))", L4961=""), "Gap - Missing LIA", IF(AND(G4961="Yes", H4961=""), "Gap - Missing Art. 9 Basis", IF(OR(I4961="Invalid - Not Freely Given", I4961="Invalid - Not Specific", I4961="Invalid - Not Informed", I4961="Invalid - Ambiguous"), "Gap - Invalid Consent", "Compliant")))))</f>
        <v/>
      </c>
      <c r="O4961" s="7" t="n"/>
    </row>
    <row r="4962">
      <c r="A4962" s="7" t="n"/>
      <c r="B4962" s="7" t="n"/>
      <c r="C4962" s="7" t="n"/>
      <c r="D4962" s="7" t="n"/>
      <c r="E4962" s="7" t="n"/>
      <c r="F4962" s="7" t="n"/>
      <c r="G4962" s="7" t="n"/>
      <c r="H4962" s="7" t="n"/>
      <c r="I4962" s="7" t="n"/>
      <c r="J4962" s="7" t="n"/>
      <c r="K4962">
        <f>IF(D4962="Legitimate Interest (GDPR Art. 6(1)(f))", "Yes / Required (Sheet 3)", "")</f>
        <v/>
      </c>
      <c r="L4962" s="7" t="n"/>
      <c r="M4962" s="7" t="n"/>
      <c r="N4962">
        <f>IF(D4962="", "Gap - No Legal Basis", IF(AND(D4962="Consent (GDPR Art. 6(1)(a))", I4962="Not Captured"), "Gap - Invalid Consent", IF(AND(D4962="Legitimate Interest (GDPR Art. 6(1)(f))", L4962=""), "Gap - Missing LIA", IF(AND(G4962="Yes", H4962=""), "Gap - Missing Art. 9 Basis", IF(OR(I4962="Invalid - Not Freely Given", I4962="Invalid - Not Specific", I4962="Invalid - Not Informed", I4962="Invalid - Ambiguous"), "Gap - Invalid Consent", "Compliant")))))</f>
        <v/>
      </c>
      <c r="O4962" s="7" t="n"/>
    </row>
    <row r="4963">
      <c r="A4963" s="7" t="n"/>
      <c r="B4963" s="7" t="n"/>
      <c r="C4963" s="7" t="n"/>
      <c r="D4963" s="7" t="n"/>
      <c r="E4963" s="7" t="n"/>
      <c r="F4963" s="7" t="n"/>
      <c r="G4963" s="7" t="n"/>
      <c r="H4963" s="7" t="n"/>
      <c r="I4963" s="7" t="n"/>
      <c r="J4963" s="7" t="n"/>
      <c r="K4963">
        <f>IF(D4963="Legitimate Interest (GDPR Art. 6(1)(f))", "Yes / Required (Sheet 3)", "")</f>
        <v/>
      </c>
      <c r="L4963" s="7" t="n"/>
      <c r="M4963" s="7" t="n"/>
      <c r="N4963">
        <f>IF(D4963="", "Gap - No Legal Basis", IF(AND(D4963="Consent (GDPR Art. 6(1)(a))", I4963="Not Captured"), "Gap - Invalid Consent", IF(AND(D4963="Legitimate Interest (GDPR Art. 6(1)(f))", L4963=""), "Gap - Missing LIA", IF(AND(G4963="Yes", H4963=""), "Gap - Missing Art. 9 Basis", IF(OR(I4963="Invalid - Not Freely Given", I4963="Invalid - Not Specific", I4963="Invalid - Not Informed", I4963="Invalid - Ambiguous"), "Gap - Invalid Consent", "Compliant")))))</f>
        <v/>
      </c>
      <c r="O4963" s="7" t="n"/>
    </row>
    <row r="4964">
      <c r="A4964" s="7" t="n"/>
      <c r="B4964" s="7" t="n"/>
      <c r="C4964" s="7" t="n"/>
      <c r="D4964" s="7" t="n"/>
      <c r="E4964" s="7" t="n"/>
      <c r="F4964" s="7" t="n"/>
      <c r="G4964" s="7" t="n"/>
      <c r="H4964" s="7" t="n"/>
      <c r="I4964" s="7" t="n"/>
      <c r="J4964" s="7" t="n"/>
      <c r="K4964">
        <f>IF(D4964="Legitimate Interest (GDPR Art. 6(1)(f))", "Yes / Required (Sheet 3)", "")</f>
        <v/>
      </c>
      <c r="L4964" s="7" t="n"/>
      <c r="M4964" s="7" t="n"/>
      <c r="N4964">
        <f>IF(D4964="", "Gap - No Legal Basis", IF(AND(D4964="Consent (GDPR Art. 6(1)(a))", I4964="Not Captured"), "Gap - Invalid Consent", IF(AND(D4964="Legitimate Interest (GDPR Art. 6(1)(f))", L4964=""), "Gap - Missing LIA", IF(AND(G4964="Yes", H4964=""), "Gap - Missing Art. 9 Basis", IF(OR(I4964="Invalid - Not Freely Given", I4964="Invalid - Not Specific", I4964="Invalid - Not Informed", I4964="Invalid - Ambiguous"), "Gap - Invalid Consent", "Compliant")))))</f>
        <v/>
      </c>
      <c r="O4964" s="7" t="n"/>
    </row>
    <row r="4965">
      <c r="A4965" s="7" t="n"/>
      <c r="B4965" s="7" t="n"/>
      <c r="C4965" s="7" t="n"/>
      <c r="D4965" s="7" t="n"/>
      <c r="E4965" s="7" t="n"/>
      <c r="F4965" s="7" t="n"/>
      <c r="G4965" s="7" t="n"/>
      <c r="H4965" s="7" t="n"/>
      <c r="I4965" s="7" t="n"/>
      <c r="J4965" s="7" t="n"/>
      <c r="K4965">
        <f>IF(D4965="Legitimate Interest (GDPR Art. 6(1)(f))", "Yes / Required (Sheet 3)", "")</f>
        <v/>
      </c>
      <c r="L4965" s="7" t="n"/>
      <c r="M4965" s="7" t="n"/>
      <c r="N4965">
        <f>IF(D4965="", "Gap - No Legal Basis", IF(AND(D4965="Consent (GDPR Art. 6(1)(a))", I4965="Not Captured"), "Gap - Invalid Consent", IF(AND(D4965="Legitimate Interest (GDPR Art. 6(1)(f))", L4965=""), "Gap - Missing LIA", IF(AND(G4965="Yes", H4965=""), "Gap - Missing Art. 9 Basis", IF(OR(I4965="Invalid - Not Freely Given", I4965="Invalid - Not Specific", I4965="Invalid - Not Informed", I4965="Invalid - Ambiguous"), "Gap - Invalid Consent", "Compliant")))))</f>
        <v/>
      </c>
      <c r="O4965" s="7" t="n"/>
    </row>
    <row r="4966">
      <c r="A4966" s="7" t="n"/>
      <c r="B4966" s="7" t="n"/>
      <c r="C4966" s="7" t="n"/>
      <c r="D4966" s="7" t="n"/>
      <c r="E4966" s="7" t="n"/>
      <c r="F4966" s="7" t="n"/>
      <c r="G4966" s="7" t="n"/>
      <c r="H4966" s="7" t="n"/>
      <c r="I4966" s="7" t="n"/>
      <c r="J4966" s="7" t="n"/>
      <c r="K4966">
        <f>IF(D4966="Legitimate Interest (GDPR Art. 6(1)(f))", "Yes / Required (Sheet 3)", "")</f>
        <v/>
      </c>
      <c r="L4966" s="7" t="n"/>
      <c r="M4966" s="7" t="n"/>
      <c r="N4966">
        <f>IF(D4966="", "Gap - No Legal Basis", IF(AND(D4966="Consent (GDPR Art. 6(1)(a))", I4966="Not Captured"), "Gap - Invalid Consent", IF(AND(D4966="Legitimate Interest (GDPR Art. 6(1)(f))", L4966=""), "Gap - Missing LIA", IF(AND(G4966="Yes", H4966=""), "Gap - Missing Art. 9 Basis", IF(OR(I4966="Invalid - Not Freely Given", I4966="Invalid - Not Specific", I4966="Invalid - Not Informed", I4966="Invalid - Ambiguous"), "Gap - Invalid Consent", "Compliant")))))</f>
        <v/>
      </c>
      <c r="O4966" s="7" t="n"/>
    </row>
    <row r="4967">
      <c r="A4967" s="7" t="n"/>
      <c r="B4967" s="7" t="n"/>
      <c r="C4967" s="7" t="n"/>
      <c r="D4967" s="7" t="n"/>
      <c r="E4967" s="7" t="n"/>
      <c r="F4967" s="7" t="n"/>
      <c r="G4967" s="7" t="n"/>
      <c r="H4967" s="7" t="n"/>
      <c r="I4967" s="7" t="n"/>
      <c r="J4967" s="7" t="n"/>
      <c r="K4967">
        <f>IF(D4967="Legitimate Interest (GDPR Art. 6(1)(f))", "Yes / Required (Sheet 3)", "")</f>
        <v/>
      </c>
      <c r="L4967" s="7" t="n"/>
      <c r="M4967" s="7" t="n"/>
      <c r="N4967">
        <f>IF(D4967="", "Gap - No Legal Basis", IF(AND(D4967="Consent (GDPR Art. 6(1)(a))", I4967="Not Captured"), "Gap - Invalid Consent", IF(AND(D4967="Legitimate Interest (GDPR Art. 6(1)(f))", L4967=""), "Gap - Missing LIA", IF(AND(G4967="Yes", H4967=""), "Gap - Missing Art. 9 Basis", IF(OR(I4967="Invalid - Not Freely Given", I4967="Invalid - Not Specific", I4967="Invalid - Not Informed", I4967="Invalid - Ambiguous"), "Gap - Invalid Consent", "Compliant")))))</f>
        <v/>
      </c>
      <c r="O4967" s="7" t="n"/>
    </row>
    <row r="4968">
      <c r="A4968" s="7" t="n"/>
      <c r="B4968" s="7" t="n"/>
      <c r="C4968" s="7" t="n"/>
      <c r="D4968" s="7" t="n"/>
      <c r="E4968" s="7" t="n"/>
      <c r="F4968" s="7" t="n"/>
      <c r="G4968" s="7" t="n"/>
      <c r="H4968" s="7" t="n"/>
      <c r="I4968" s="7" t="n"/>
      <c r="J4968" s="7" t="n"/>
      <c r="K4968">
        <f>IF(D4968="Legitimate Interest (GDPR Art. 6(1)(f))", "Yes / Required (Sheet 3)", "")</f>
        <v/>
      </c>
      <c r="L4968" s="7" t="n"/>
      <c r="M4968" s="7" t="n"/>
      <c r="N4968">
        <f>IF(D4968="", "Gap - No Legal Basis", IF(AND(D4968="Consent (GDPR Art. 6(1)(a))", I4968="Not Captured"), "Gap - Invalid Consent", IF(AND(D4968="Legitimate Interest (GDPR Art. 6(1)(f))", L4968=""), "Gap - Missing LIA", IF(AND(G4968="Yes", H4968=""), "Gap - Missing Art. 9 Basis", IF(OR(I4968="Invalid - Not Freely Given", I4968="Invalid - Not Specific", I4968="Invalid - Not Informed", I4968="Invalid - Ambiguous"), "Gap - Invalid Consent", "Compliant")))))</f>
        <v/>
      </c>
      <c r="O4968" s="7" t="n"/>
    </row>
    <row r="4969">
      <c r="A4969" s="7" t="n"/>
      <c r="B4969" s="7" t="n"/>
      <c r="C4969" s="7" t="n"/>
      <c r="D4969" s="7" t="n"/>
      <c r="E4969" s="7" t="n"/>
      <c r="F4969" s="7" t="n"/>
      <c r="G4969" s="7" t="n"/>
      <c r="H4969" s="7" t="n"/>
      <c r="I4969" s="7" t="n"/>
      <c r="J4969" s="7" t="n"/>
      <c r="K4969">
        <f>IF(D4969="Legitimate Interest (GDPR Art. 6(1)(f))", "Yes / Required (Sheet 3)", "")</f>
        <v/>
      </c>
      <c r="L4969" s="7" t="n"/>
      <c r="M4969" s="7" t="n"/>
      <c r="N4969">
        <f>IF(D4969="", "Gap - No Legal Basis", IF(AND(D4969="Consent (GDPR Art. 6(1)(a))", I4969="Not Captured"), "Gap - Invalid Consent", IF(AND(D4969="Legitimate Interest (GDPR Art. 6(1)(f))", L4969=""), "Gap - Missing LIA", IF(AND(G4969="Yes", H4969=""), "Gap - Missing Art. 9 Basis", IF(OR(I4969="Invalid - Not Freely Given", I4969="Invalid - Not Specific", I4969="Invalid - Not Informed", I4969="Invalid - Ambiguous"), "Gap - Invalid Consent", "Compliant")))))</f>
        <v/>
      </c>
      <c r="O4969" s="7" t="n"/>
    </row>
    <row r="4970">
      <c r="A4970" s="7" t="n"/>
      <c r="B4970" s="7" t="n"/>
      <c r="C4970" s="7" t="n"/>
      <c r="D4970" s="7" t="n"/>
      <c r="E4970" s="7" t="n"/>
      <c r="F4970" s="7" t="n"/>
      <c r="G4970" s="7" t="n"/>
      <c r="H4970" s="7" t="n"/>
      <c r="I4970" s="7" t="n"/>
      <c r="J4970" s="7" t="n"/>
      <c r="K4970">
        <f>IF(D4970="Legitimate Interest (GDPR Art. 6(1)(f))", "Yes / Required (Sheet 3)", "")</f>
        <v/>
      </c>
      <c r="L4970" s="7" t="n"/>
      <c r="M4970" s="7" t="n"/>
      <c r="N4970">
        <f>IF(D4970="", "Gap - No Legal Basis", IF(AND(D4970="Consent (GDPR Art. 6(1)(a))", I4970="Not Captured"), "Gap - Invalid Consent", IF(AND(D4970="Legitimate Interest (GDPR Art. 6(1)(f))", L4970=""), "Gap - Missing LIA", IF(AND(G4970="Yes", H4970=""), "Gap - Missing Art. 9 Basis", IF(OR(I4970="Invalid - Not Freely Given", I4970="Invalid - Not Specific", I4970="Invalid - Not Informed", I4970="Invalid - Ambiguous"), "Gap - Invalid Consent", "Compliant")))))</f>
        <v/>
      </c>
      <c r="O4970" s="7" t="n"/>
    </row>
    <row r="4971">
      <c r="A4971" s="7" t="n"/>
      <c r="B4971" s="7" t="n"/>
      <c r="C4971" s="7" t="n"/>
      <c r="D4971" s="7" t="n"/>
      <c r="E4971" s="7" t="n"/>
      <c r="F4971" s="7" t="n"/>
      <c r="G4971" s="7" t="n"/>
      <c r="H4971" s="7" t="n"/>
      <c r="I4971" s="7" t="n"/>
      <c r="J4971" s="7" t="n"/>
      <c r="K4971">
        <f>IF(D4971="Legitimate Interest (GDPR Art. 6(1)(f))", "Yes / Required (Sheet 3)", "")</f>
        <v/>
      </c>
      <c r="L4971" s="7" t="n"/>
      <c r="M4971" s="7" t="n"/>
      <c r="N4971">
        <f>IF(D4971="", "Gap - No Legal Basis", IF(AND(D4971="Consent (GDPR Art. 6(1)(a))", I4971="Not Captured"), "Gap - Invalid Consent", IF(AND(D4971="Legitimate Interest (GDPR Art. 6(1)(f))", L4971=""), "Gap - Missing LIA", IF(AND(G4971="Yes", H4971=""), "Gap - Missing Art. 9 Basis", IF(OR(I4971="Invalid - Not Freely Given", I4971="Invalid - Not Specific", I4971="Invalid - Not Informed", I4971="Invalid - Ambiguous"), "Gap - Invalid Consent", "Compliant")))))</f>
        <v/>
      </c>
      <c r="O4971" s="7" t="n"/>
    </row>
    <row r="4972">
      <c r="A4972" s="7" t="n"/>
      <c r="B4972" s="7" t="n"/>
      <c r="C4972" s="7" t="n"/>
      <c r="D4972" s="7" t="n"/>
      <c r="E4972" s="7" t="n"/>
      <c r="F4972" s="7" t="n"/>
      <c r="G4972" s="7" t="n"/>
      <c r="H4972" s="7" t="n"/>
      <c r="I4972" s="7" t="n"/>
      <c r="J4972" s="7" t="n"/>
      <c r="K4972">
        <f>IF(D4972="Legitimate Interest (GDPR Art. 6(1)(f))", "Yes / Required (Sheet 3)", "")</f>
        <v/>
      </c>
      <c r="L4972" s="7" t="n"/>
      <c r="M4972" s="7" t="n"/>
      <c r="N4972">
        <f>IF(D4972="", "Gap - No Legal Basis", IF(AND(D4972="Consent (GDPR Art. 6(1)(a))", I4972="Not Captured"), "Gap - Invalid Consent", IF(AND(D4972="Legitimate Interest (GDPR Art. 6(1)(f))", L4972=""), "Gap - Missing LIA", IF(AND(G4972="Yes", H4972=""), "Gap - Missing Art. 9 Basis", IF(OR(I4972="Invalid - Not Freely Given", I4972="Invalid - Not Specific", I4972="Invalid - Not Informed", I4972="Invalid - Ambiguous"), "Gap - Invalid Consent", "Compliant")))))</f>
        <v/>
      </c>
      <c r="O4972" s="7" t="n"/>
    </row>
    <row r="4973">
      <c r="A4973" s="7" t="n"/>
      <c r="B4973" s="7" t="n"/>
      <c r="C4973" s="7" t="n"/>
      <c r="D4973" s="7" t="n"/>
      <c r="E4973" s="7" t="n"/>
      <c r="F4973" s="7" t="n"/>
      <c r="G4973" s="7" t="n"/>
      <c r="H4973" s="7" t="n"/>
      <c r="I4973" s="7" t="n"/>
      <c r="J4973" s="7" t="n"/>
      <c r="K4973">
        <f>IF(D4973="Legitimate Interest (GDPR Art. 6(1)(f))", "Yes / Required (Sheet 3)", "")</f>
        <v/>
      </c>
      <c r="L4973" s="7" t="n"/>
      <c r="M4973" s="7" t="n"/>
      <c r="N4973">
        <f>IF(D4973="", "Gap - No Legal Basis", IF(AND(D4973="Consent (GDPR Art. 6(1)(a))", I4973="Not Captured"), "Gap - Invalid Consent", IF(AND(D4973="Legitimate Interest (GDPR Art. 6(1)(f))", L4973=""), "Gap - Missing LIA", IF(AND(G4973="Yes", H4973=""), "Gap - Missing Art. 9 Basis", IF(OR(I4973="Invalid - Not Freely Given", I4973="Invalid - Not Specific", I4973="Invalid - Not Informed", I4973="Invalid - Ambiguous"), "Gap - Invalid Consent", "Compliant")))))</f>
        <v/>
      </c>
      <c r="O4973" s="7" t="n"/>
    </row>
    <row r="4974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7" t="n"/>
      <c r="J4974" s="7" t="n"/>
      <c r="K4974">
        <f>IF(D4974="Legitimate Interest (GDPR Art. 6(1)(f))", "Yes / Required (Sheet 3)", "")</f>
        <v/>
      </c>
      <c r="L4974" s="7" t="n"/>
      <c r="M4974" s="7" t="n"/>
      <c r="N4974">
        <f>IF(D4974="", "Gap - No Legal Basis", IF(AND(D4974="Consent (GDPR Art. 6(1)(a))", I4974="Not Captured"), "Gap - Invalid Consent", IF(AND(D4974="Legitimate Interest (GDPR Art. 6(1)(f))", L4974=""), "Gap - Missing LIA", IF(AND(G4974="Yes", H4974=""), "Gap - Missing Art. 9 Basis", IF(OR(I4974="Invalid - Not Freely Given", I4974="Invalid - Not Specific", I4974="Invalid - Not Informed", I4974="Invalid - Ambiguous"), "Gap - Invalid Consent", "Compliant")))))</f>
        <v/>
      </c>
      <c r="O4974" s="7" t="n"/>
    </row>
    <row r="4975">
      <c r="A4975" s="7" t="n"/>
      <c r="B4975" s="7" t="n"/>
      <c r="C4975" s="7" t="n"/>
      <c r="D4975" s="7" t="n"/>
      <c r="E4975" s="7" t="n"/>
      <c r="F4975" s="7" t="n"/>
      <c r="G4975" s="7" t="n"/>
      <c r="H4975" s="7" t="n"/>
      <c r="I4975" s="7" t="n"/>
      <c r="J4975" s="7" t="n"/>
      <c r="K4975">
        <f>IF(D4975="Legitimate Interest (GDPR Art. 6(1)(f))", "Yes / Required (Sheet 3)", "")</f>
        <v/>
      </c>
      <c r="L4975" s="7" t="n"/>
      <c r="M4975" s="7" t="n"/>
      <c r="N4975">
        <f>IF(D4975="", "Gap - No Legal Basis", IF(AND(D4975="Consent (GDPR Art. 6(1)(a))", I4975="Not Captured"), "Gap - Invalid Consent", IF(AND(D4975="Legitimate Interest (GDPR Art. 6(1)(f))", L4975=""), "Gap - Missing LIA", IF(AND(G4975="Yes", H4975=""), "Gap - Missing Art. 9 Basis", IF(OR(I4975="Invalid - Not Freely Given", I4975="Invalid - Not Specific", I4975="Invalid - Not Informed", I4975="Invalid - Ambiguous"), "Gap - Invalid Consent", "Compliant")))))</f>
        <v/>
      </c>
      <c r="O4975" s="7" t="n"/>
    </row>
    <row r="4976">
      <c r="A4976" s="7" t="n"/>
      <c r="B4976" s="7" t="n"/>
      <c r="C4976" s="7" t="n"/>
      <c r="D4976" s="7" t="n"/>
      <c r="E4976" s="7" t="n"/>
      <c r="F4976" s="7" t="n"/>
      <c r="G4976" s="7" t="n"/>
      <c r="H4976" s="7" t="n"/>
      <c r="I4976" s="7" t="n"/>
      <c r="J4976" s="7" t="n"/>
      <c r="K4976">
        <f>IF(D4976="Legitimate Interest (GDPR Art. 6(1)(f))", "Yes / Required (Sheet 3)", "")</f>
        <v/>
      </c>
      <c r="L4976" s="7" t="n"/>
      <c r="M4976" s="7" t="n"/>
      <c r="N4976">
        <f>IF(D4976="", "Gap - No Legal Basis", IF(AND(D4976="Consent (GDPR Art. 6(1)(a))", I4976="Not Captured"), "Gap - Invalid Consent", IF(AND(D4976="Legitimate Interest (GDPR Art. 6(1)(f))", L4976=""), "Gap - Missing LIA", IF(AND(G4976="Yes", H4976=""), "Gap - Missing Art. 9 Basis", IF(OR(I4976="Invalid - Not Freely Given", I4976="Invalid - Not Specific", I4976="Invalid - Not Informed", I4976="Invalid - Ambiguous"), "Gap - Invalid Consent", "Compliant")))))</f>
        <v/>
      </c>
      <c r="O4976" s="7" t="n"/>
    </row>
    <row r="4977">
      <c r="A4977" s="7" t="n"/>
      <c r="B4977" s="7" t="n"/>
      <c r="C4977" s="7" t="n"/>
      <c r="D4977" s="7" t="n"/>
      <c r="E4977" s="7" t="n"/>
      <c r="F4977" s="7" t="n"/>
      <c r="G4977" s="7" t="n"/>
      <c r="H4977" s="7" t="n"/>
      <c r="I4977" s="7" t="n"/>
      <c r="J4977" s="7" t="n"/>
      <c r="K4977">
        <f>IF(D4977="Legitimate Interest (GDPR Art. 6(1)(f))", "Yes / Required (Sheet 3)", "")</f>
        <v/>
      </c>
      <c r="L4977" s="7" t="n"/>
      <c r="M4977" s="7" t="n"/>
      <c r="N4977">
        <f>IF(D4977="", "Gap - No Legal Basis", IF(AND(D4977="Consent (GDPR Art. 6(1)(a))", I4977="Not Captured"), "Gap - Invalid Consent", IF(AND(D4977="Legitimate Interest (GDPR Art. 6(1)(f))", L4977=""), "Gap - Missing LIA", IF(AND(G4977="Yes", H4977=""), "Gap - Missing Art. 9 Basis", IF(OR(I4977="Invalid - Not Freely Given", I4977="Invalid - Not Specific", I4977="Invalid - Not Informed", I4977="Invalid - Ambiguous"), "Gap - Invalid Consent", "Compliant")))))</f>
        <v/>
      </c>
      <c r="O4977" s="7" t="n"/>
    </row>
    <row r="4978">
      <c r="A4978" s="7" t="n"/>
      <c r="B4978" s="7" t="n"/>
      <c r="C4978" s="7" t="n"/>
      <c r="D4978" s="7" t="n"/>
      <c r="E4978" s="7" t="n"/>
      <c r="F4978" s="7" t="n"/>
      <c r="G4978" s="7" t="n"/>
      <c r="H4978" s="7" t="n"/>
      <c r="I4978" s="7" t="n"/>
      <c r="J4978" s="7" t="n"/>
      <c r="K4978">
        <f>IF(D4978="Legitimate Interest (GDPR Art. 6(1)(f))", "Yes / Required (Sheet 3)", "")</f>
        <v/>
      </c>
      <c r="L4978" s="7" t="n"/>
      <c r="M4978" s="7" t="n"/>
      <c r="N4978">
        <f>IF(D4978="", "Gap - No Legal Basis", IF(AND(D4978="Consent (GDPR Art. 6(1)(a))", I4978="Not Captured"), "Gap - Invalid Consent", IF(AND(D4978="Legitimate Interest (GDPR Art. 6(1)(f))", L4978=""), "Gap - Missing LIA", IF(AND(G4978="Yes", H4978=""), "Gap - Missing Art. 9 Basis", IF(OR(I4978="Invalid - Not Freely Given", I4978="Invalid - Not Specific", I4978="Invalid - Not Informed", I4978="Invalid - Ambiguous"), "Gap - Invalid Consent", "Compliant")))))</f>
        <v/>
      </c>
      <c r="O4978" s="7" t="n"/>
    </row>
    <row r="4979">
      <c r="A4979" s="7" t="n"/>
      <c r="B4979" s="7" t="n"/>
      <c r="C4979" s="7" t="n"/>
      <c r="D4979" s="7" t="n"/>
      <c r="E4979" s="7" t="n"/>
      <c r="F4979" s="7" t="n"/>
      <c r="G4979" s="7" t="n"/>
      <c r="H4979" s="7" t="n"/>
      <c r="I4979" s="7" t="n"/>
      <c r="J4979" s="7" t="n"/>
      <c r="K4979">
        <f>IF(D4979="Legitimate Interest (GDPR Art. 6(1)(f))", "Yes / Required (Sheet 3)", "")</f>
        <v/>
      </c>
      <c r="L4979" s="7" t="n"/>
      <c r="M4979" s="7" t="n"/>
      <c r="N4979">
        <f>IF(D4979="", "Gap - No Legal Basis", IF(AND(D4979="Consent (GDPR Art. 6(1)(a))", I4979="Not Captured"), "Gap - Invalid Consent", IF(AND(D4979="Legitimate Interest (GDPR Art. 6(1)(f))", L4979=""), "Gap - Missing LIA", IF(AND(G4979="Yes", H4979=""), "Gap - Missing Art. 9 Basis", IF(OR(I4979="Invalid - Not Freely Given", I4979="Invalid - Not Specific", I4979="Invalid - Not Informed", I4979="Invalid - Ambiguous"), "Gap - Invalid Consent", "Compliant")))))</f>
        <v/>
      </c>
      <c r="O4979" s="7" t="n"/>
    </row>
    <row r="4980">
      <c r="A4980" s="7" t="n"/>
      <c r="B4980" s="7" t="n"/>
      <c r="C4980" s="7" t="n"/>
      <c r="D4980" s="7" t="n"/>
      <c r="E4980" s="7" t="n"/>
      <c r="F4980" s="7" t="n"/>
      <c r="G4980" s="7" t="n"/>
      <c r="H4980" s="7" t="n"/>
      <c r="I4980" s="7" t="n"/>
      <c r="J4980" s="7" t="n"/>
      <c r="K4980">
        <f>IF(D4980="Legitimate Interest (GDPR Art. 6(1)(f))", "Yes / Required (Sheet 3)", "")</f>
        <v/>
      </c>
      <c r="L4980" s="7" t="n"/>
      <c r="M4980" s="7" t="n"/>
      <c r="N4980">
        <f>IF(D4980="", "Gap - No Legal Basis", IF(AND(D4980="Consent (GDPR Art. 6(1)(a))", I4980="Not Captured"), "Gap - Invalid Consent", IF(AND(D4980="Legitimate Interest (GDPR Art. 6(1)(f))", L4980=""), "Gap - Missing LIA", IF(AND(G4980="Yes", H4980=""), "Gap - Missing Art. 9 Basis", IF(OR(I4980="Invalid - Not Freely Given", I4980="Invalid - Not Specific", I4980="Invalid - Not Informed", I4980="Invalid - Ambiguous"), "Gap - Invalid Consent", "Compliant")))))</f>
        <v/>
      </c>
      <c r="O4980" s="7" t="n"/>
    </row>
    <row r="4981">
      <c r="A4981" s="7" t="n"/>
      <c r="B4981" s="7" t="n"/>
      <c r="C4981" s="7" t="n"/>
      <c r="D4981" s="7" t="n"/>
      <c r="E4981" s="7" t="n"/>
      <c r="F4981" s="7" t="n"/>
      <c r="G4981" s="7" t="n"/>
      <c r="H4981" s="7" t="n"/>
      <c r="I4981" s="7" t="n"/>
      <c r="J4981" s="7" t="n"/>
      <c r="K4981">
        <f>IF(D4981="Legitimate Interest (GDPR Art. 6(1)(f))", "Yes / Required (Sheet 3)", "")</f>
        <v/>
      </c>
      <c r="L4981" s="7" t="n"/>
      <c r="M4981" s="7" t="n"/>
      <c r="N4981">
        <f>IF(D4981="", "Gap - No Legal Basis", IF(AND(D4981="Consent (GDPR Art. 6(1)(a))", I4981="Not Captured"), "Gap - Invalid Consent", IF(AND(D4981="Legitimate Interest (GDPR Art. 6(1)(f))", L4981=""), "Gap - Missing LIA", IF(AND(G4981="Yes", H4981=""), "Gap - Missing Art. 9 Basis", IF(OR(I4981="Invalid - Not Freely Given", I4981="Invalid - Not Specific", I4981="Invalid - Not Informed", I4981="Invalid - Ambiguous"), "Gap - Invalid Consent", "Compliant")))))</f>
        <v/>
      </c>
      <c r="O4981" s="7" t="n"/>
    </row>
    <row r="4982">
      <c r="A4982" s="7" t="n"/>
      <c r="B4982" s="7" t="n"/>
      <c r="C4982" s="7" t="n"/>
      <c r="D4982" s="7" t="n"/>
      <c r="E4982" s="7" t="n"/>
      <c r="F4982" s="7" t="n"/>
      <c r="G4982" s="7" t="n"/>
      <c r="H4982" s="7" t="n"/>
      <c r="I4982" s="7" t="n"/>
      <c r="J4982" s="7" t="n"/>
      <c r="K4982">
        <f>IF(D4982="Legitimate Interest (GDPR Art. 6(1)(f))", "Yes / Required (Sheet 3)", "")</f>
        <v/>
      </c>
      <c r="L4982" s="7" t="n"/>
      <c r="M4982" s="7" t="n"/>
      <c r="N4982">
        <f>IF(D4982="", "Gap - No Legal Basis", IF(AND(D4982="Consent (GDPR Art. 6(1)(a))", I4982="Not Captured"), "Gap - Invalid Consent", IF(AND(D4982="Legitimate Interest (GDPR Art. 6(1)(f))", L4982=""), "Gap - Missing LIA", IF(AND(G4982="Yes", H4982=""), "Gap - Missing Art. 9 Basis", IF(OR(I4982="Invalid - Not Freely Given", I4982="Invalid - Not Specific", I4982="Invalid - Not Informed", I4982="Invalid - Ambiguous"), "Gap - Invalid Consent", "Compliant")))))</f>
        <v/>
      </c>
      <c r="O4982" s="7" t="n"/>
    </row>
    <row r="4983">
      <c r="A4983" s="7" t="n"/>
      <c r="B4983" s="7" t="n"/>
      <c r="C4983" s="7" t="n"/>
      <c r="D4983" s="7" t="n"/>
      <c r="E4983" s="7" t="n"/>
      <c r="F4983" s="7" t="n"/>
      <c r="G4983" s="7" t="n"/>
      <c r="H4983" s="7" t="n"/>
      <c r="I4983" s="7" t="n"/>
      <c r="J4983" s="7" t="n"/>
      <c r="K4983">
        <f>IF(D4983="Legitimate Interest (GDPR Art. 6(1)(f))", "Yes / Required (Sheet 3)", "")</f>
        <v/>
      </c>
      <c r="L4983" s="7" t="n"/>
      <c r="M4983" s="7" t="n"/>
      <c r="N4983">
        <f>IF(D4983="", "Gap - No Legal Basis", IF(AND(D4983="Consent (GDPR Art. 6(1)(a))", I4983="Not Captured"), "Gap - Invalid Consent", IF(AND(D4983="Legitimate Interest (GDPR Art. 6(1)(f))", L4983=""), "Gap - Missing LIA", IF(AND(G4983="Yes", H4983=""), "Gap - Missing Art. 9 Basis", IF(OR(I4983="Invalid - Not Freely Given", I4983="Invalid - Not Specific", I4983="Invalid - Not Informed", I4983="Invalid - Ambiguous"), "Gap - Invalid Consent", "Compliant")))))</f>
        <v/>
      </c>
      <c r="O4983" s="7" t="n"/>
    </row>
    <row r="4984">
      <c r="A4984" s="7" t="n"/>
      <c r="B4984" s="7" t="n"/>
      <c r="C4984" s="7" t="n"/>
      <c r="D4984" s="7" t="n"/>
      <c r="E4984" s="7" t="n"/>
      <c r="F4984" s="7" t="n"/>
      <c r="G4984" s="7" t="n"/>
      <c r="H4984" s="7" t="n"/>
      <c r="I4984" s="7" t="n"/>
      <c r="J4984" s="7" t="n"/>
      <c r="K4984">
        <f>IF(D4984="Legitimate Interest (GDPR Art. 6(1)(f))", "Yes / Required (Sheet 3)", "")</f>
        <v/>
      </c>
      <c r="L4984" s="7" t="n"/>
      <c r="M4984" s="7" t="n"/>
      <c r="N4984">
        <f>IF(D4984="", "Gap - No Legal Basis", IF(AND(D4984="Consent (GDPR Art. 6(1)(a))", I4984="Not Captured"), "Gap - Invalid Consent", IF(AND(D4984="Legitimate Interest (GDPR Art. 6(1)(f))", L4984=""), "Gap - Missing LIA", IF(AND(G4984="Yes", H4984=""), "Gap - Missing Art. 9 Basis", IF(OR(I4984="Invalid - Not Freely Given", I4984="Invalid - Not Specific", I4984="Invalid - Not Informed", I4984="Invalid - Ambiguous"), "Gap - Invalid Consent", "Compliant")))))</f>
        <v/>
      </c>
      <c r="O4984" s="7" t="n"/>
    </row>
    <row r="4985">
      <c r="A4985" s="7" t="n"/>
      <c r="B4985" s="7" t="n"/>
      <c r="C4985" s="7" t="n"/>
      <c r="D4985" s="7" t="n"/>
      <c r="E4985" s="7" t="n"/>
      <c r="F4985" s="7" t="n"/>
      <c r="G4985" s="7" t="n"/>
      <c r="H4985" s="7" t="n"/>
      <c r="I4985" s="7" t="n"/>
      <c r="J4985" s="7" t="n"/>
      <c r="K4985">
        <f>IF(D4985="Legitimate Interest (GDPR Art. 6(1)(f))", "Yes / Required (Sheet 3)", "")</f>
        <v/>
      </c>
      <c r="L4985" s="7" t="n"/>
      <c r="M4985" s="7" t="n"/>
      <c r="N4985">
        <f>IF(D4985="", "Gap - No Legal Basis", IF(AND(D4985="Consent (GDPR Art. 6(1)(a))", I4985="Not Captured"), "Gap - Invalid Consent", IF(AND(D4985="Legitimate Interest (GDPR Art. 6(1)(f))", L4985=""), "Gap - Missing LIA", IF(AND(G4985="Yes", H4985=""), "Gap - Missing Art. 9 Basis", IF(OR(I4985="Invalid - Not Freely Given", I4985="Invalid - Not Specific", I4985="Invalid - Not Informed", I4985="Invalid - Ambiguous"), "Gap - Invalid Consent", "Compliant")))))</f>
        <v/>
      </c>
      <c r="O4985" s="7" t="n"/>
    </row>
    <row r="4986">
      <c r="A4986" s="7" t="n"/>
      <c r="B4986" s="7" t="n"/>
      <c r="C4986" s="7" t="n"/>
      <c r="D4986" s="7" t="n"/>
      <c r="E4986" s="7" t="n"/>
      <c r="F4986" s="7" t="n"/>
      <c r="G4986" s="7" t="n"/>
      <c r="H4986" s="7" t="n"/>
      <c r="I4986" s="7" t="n"/>
      <c r="J4986" s="7" t="n"/>
      <c r="K4986">
        <f>IF(D4986="Legitimate Interest (GDPR Art. 6(1)(f))", "Yes / Required (Sheet 3)", "")</f>
        <v/>
      </c>
      <c r="L4986" s="7" t="n"/>
      <c r="M4986" s="7" t="n"/>
      <c r="N4986">
        <f>IF(D4986="", "Gap - No Legal Basis", IF(AND(D4986="Consent (GDPR Art. 6(1)(a))", I4986="Not Captured"), "Gap - Invalid Consent", IF(AND(D4986="Legitimate Interest (GDPR Art. 6(1)(f))", L4986=""), "Gap - Missing LIA", IF(AND(G4986="Yes", H4986=""), "Gap - Missing Art. 9 Basis", IF(OR(I4986="Invalid - Not Freely Given", I4986="Invalid - Not Specific", I4986="Invalid - Not Informed", I4986="Invalid - Ambiguous"), "Gap - Invalid Consent", "Compliant")))))</f>
        <v/>
      </c>
      <c r="O4986" s="7" t="n"/>
    </row>
    <row r="4987">
      <c r="A4987" s="7" t="n"/>
      <c r="B4987" s="7" t="n"/>
      <c r="C4987" s="7" t="n"/>
      <c r="D4987" s="7" t="n"/>
      <c r="E4987" s="7" t="n"/>
      <c r="F4987" s="7" t="n"/>
      <c r="G4987" s="7" t="n"/>
      <c r="H4987" s="7" t="n"/>
      <c r="I4987" s="7" t="n"/>
      <c r="J4987" s="7" t="n"/>
      <c r="K4987">
        <f>IF(D4987="Legitimate Interest (GDPR Art. 6(1)(f))", "Yes / Required (Sheet 3)", "")</f>
        <v/>
      </c>
      <c r="L4987" s="7" t="n"/>
      <c r="M4987" s="7" t="n"/>
      <c r="N4987">
        <f>IF(D4987="", "Gap - No Legal Basis", IF(AND(D4987="Consent (GDPR Art. 6(1)(a))", I4987="Not Captured"), "Gap - Invalid Consent", IF(AND(D4987="Legitimate Interest (GDPR Art. 6(1)(f))", L4987=""), "Gap - Missing LIA", IF(AND(G4987="Yes", H4987=""), "Gap - Missing Art. 9 Basis", IF(OR(I4987="Invalid - Not Freely Given", I4987="Invalid - Not Specific", I4987="Invalid - Not Informed", I4987="Invalid - Ambiguous"), "Gap - Invalid Consent", "Compliant")))))</f>
        <v/>
      </c>
      <c r="O4987" s="7" t="n"/>
    </row>
    <row r="4988">
      <c r="A4988" s="7" t="n"/>
      <c r="B4988" s="7" t="n"/>
      <c r="C4988" s="7" t="n"/>
      <c r="D4988" s="7" t="n"/>
      <c r="E4988" s="7" t="n"/>
      <c r="F4988" s="7" t="n"/>
      <c r="G4988" s="7" t="n"/>
      <c r="H4988" s="7" t="n"/>
      <c r="I4988" s="7" t="n"/>
      <c r="J4988" s="7" t="n"/>
      <c r="K4988">
        <f>IF(D4988="Legitimate Interest (GDPR Art. 6(1)(f))", "Yes / Required (Sheet 3)", "")</f>
        <v/>
      </c>
      <c r="L4988" s="7" t="n"/>
      <c r="M4988" s="7" t="n"/>
      <c r="N4988">
        <f>IF(D4988="", "Gap - No Legal Basis", IF(AND(D4988="Consent (GDPR Art. 6(1)(a))", I4988="Not Captured"), "Gap - Invalid Consent", IF(AND(D4988="Legitimate Interest (GDPR Art. 6(1)(f))", L4988=""), "Gap - Missing LIA", IF(AND(G4988="Yes", H4988=""), "Gap - Missing Art. 9 Basis", IF(OR(I4988="Invalid - Not Freely Given", I4988="Invalid - Not Specific", I4988="Invalid - Not Informed", I4988="Invalid - Ambiguous"), "Gap - Invalid Consent", "Compliant")))))</f>
        <v/>
      </c>
      <c r="O4988" s="7" t="n"/>
    </row>
    <row r="4989">
      <c r="A4989" s="7" t="n"/>
      <c r="B4989" s="7" t="n"/>
      <c r="C4989" s="7" t="n"/>
      <c r="D4989" s="7" t="n"/>
      <c r="E4989" s="7" t="n"/>
      <c r="F4989" s="7" t="n"/>
      <c r="G4989" s="7" t="n"/>
      <c r="H4989" s="7" t="n"/>
      <c r="I4989" s="7" t="n"/>
      <c r="J4989" s="7" t="n"/>
      <c r="K4989">
        <f>IF(D4989="Legitimate Interest (GDPR Art. 6(1)(f))", "Yes / Required (Sheet 3)", "")</f>
        <v/>
      </c>
      <c r="L4989" s="7" t="n"/>
      <c r="M4989" s="7" t="n"/>
      <c r="N4989">
        <f>IF(D4989="", "Gap - No Legal Basis", IF(AND(D4989="Consent (GDPR Art. 6(1)(a))", I4989="Not Captured"), "Gap - Invalid Consent", IF(AND(D4989="Legitimate Interest (GDPR Art. 6(1)(f))", L4989=""), "Gap - Missing LIA", IF(AND(G4989="Yes", H4989=""), "Gap - Missing Art. 9 Basis", IF(OR(I4989="Invalid - Not Freely Given", I4989="Invalid - Not Specific", I4989="Invalid - Not Informed", I4989="Invalid - Ambiguous"), "Gap - Invalid Consent", "Compliant")))))</f>
        <v/>
      </c>
      <c r="O4989" s="7" t="n"/>
    </row>
    <row r="4990">
      <c r="A4990" s="7" t="n"/>
      <c r="B4990" s="7" t="n"/>
      <c r="C4990" s="7" t="n"/>
      <c r="D4990" s="7" t="n"/>
      <c r="E4990" s="7" t="n"/>
      <c r="F4990" s="7" t="n"/>
      <c r="G4990" s="7" t="n"/>
      <c r="H4990" s="7" t="n"/>
      <c r="I4990" s="7" t="n"/>
      <c r="J4990" s="7" t="n"/>
      <c r="K4990">
        <f>IF(D4990="Legitimate Interest (GDPR Art. 6(1)(f))", "Yes / Required (Sheet 3)", "")</f>
        <v/>
      </c>
      <c r="L4990" s="7" t="n"/>
      <c r="M4990" s="7" t="n"/>
      <c r="N4990">
        <f>IF(D4990="", "Gap - No Legal Basis", IF(AND(D4990="Consent (GDPR Art. 6(1)(a))", I4990="Not Captured"), "Gap - Invalid Consent", IF(AND(D4990="Legitimate Interest (GDPR Art. 6(1)(f))", L4990=""), "Gap - Missing LIA", IF(AND(G4990="Yes", H4990=""), "Gap - Missing Art. 9 Basis", IF(OR(I4990="Invalid - Not Freely Given", I4990="Invalid - Not Specific", I4990="Invalid - Not Informed", I4990="Invalid - Ambiguous"), "Gap - Invalid Consent", "Compliant")))))</f>
        <v/>
      </c>
      <c r="O4990" s="7" t="n"/>
    </row>
    <row r="4991">
      <c r="A4991" s="7" t="n"/>
      <c r="B4991" s="7" t="n"/>
      <c r="C4991" s="7" t="n"/>
      <c r="D4991" s="7" t="n"/>
      <c r="E4991" s="7" t="n"/>
      <c r="F4991" s="7" t="n"/>
      <c r="G4991" s="7" t="n"/>
      <c r="H4991" s="7" t="n"/>
      <c r="I4991" s="7" t="n"/>
      <c r="J4991" s="7" t="n"/>
      <c r="K4991">
        <f>IF(D4991="Legitimate Interest (GDPR Art. 6(1)(f))", "Yes / Required (Sheet 3)", "")</f>
        <v/>
      </c>
      <c r="L4991" s="7" t="n"/>
      <c r="M4991" s="7" t="n"/>
      <c r="N4991">
        <f>IF(D4991="", "Gap - No Legal Basis", IF(AND(D4991="Consent (GDPR Art. 6(1)(a))", I4991="Not Captured"), "Gap - Invalid Consent", IF(AND(D4991="Legitimate Interest (GDPR Art. 6(1)(f))", L4991=""), "Gap - Missing LIA", IF(AND(G4991="Yes", H4991=""), "Gap - Missing Art. 9 Basis", IF(OR(I4991="Invalid - Not Freely Given", I4991="Invalid - Not Specific", I4991="Invalid - Not Informed", I4991="Invalid - Ambiguous"), "Gap - Invalid Consent", "Compliant")))))</f>
        <v/>
      </c>
      <c r="O4991" s="7" t="n"/>
    </row>
    <row r="4992">
      <c r="A4992" s="7" t="n"/>
      <c r="B4992" s="7" t="n"/>
      <c r="C4992" s="7" t="n"/>
      <c r="D4992" s="7" t="n"/>
      <c r="E4992" s="7" t="n"/>
      <c r="F4992" s="7" t="n"/>
      <c r="G4992" s="7" t="n"/>
      <c r="H4992" s="7" t="n"/>
      <c r="I4992" s="7" t="n"/>
      <c r="J4992" s="7" t="n"/>
      <c r="K4992">
        <f>IF(D4992="Legitimate Interest (GDPR Art. 6(1)(f))", "Yes / Required (Sheet 3)", "")</f>
        <v/>
      </c>
      <c r="L4992" s="7" t="n"/>
      <c r="M4992" s="7" t="n"/>
      <c r="N4992">
        <f>IF(D4992="", "Gap - No Legal Basis", IF(AND(D4992="Consent (GDPR Art. 6(1)(a))", I4992="Not Captured"), "Gap - Invalid Consent", IF(AND(D4992="Legitimate Interest (GDPR Art. 6(1)(f))", L4992=""), "Gap - Missing LIA", IF(AND(G4992="Yes", H4992=""), "Gap - Missing Art. 9 Basis", IF(OR(I4992="Invalid - Not Freely Given", I4992="Invalid - Not Specific", I4992="Invalid - Not Informed", I4992="Invalid - Ambiguous"), "Gap - Invalid Consent", "Compliant")))))</f>
        <v/>
      </c>
      <c r="O4992" s="7" t="n"/>
    </row>
    <row r="4993">
      <c r="A4993" s="7" t="n"/>
      <c r="B4993" s="7" t="n"/>
      <c r="C4993" s="7" t="n"/>
      <c r="D4993" s="7" t="n"/>
      <c r="E4993" s="7" t="n"/>
      <c r="F4993" s="7" t="n"/>
      <c r="G4993" s="7" t="n"/>
      <c r="H4993" s="7" t="n"/>
      <c r="I4993" s="7" t="n"/>
      <c r="J4993" s="7" t="n"/>
      <c r="K4993">
        <f>IF(D4993="Legitimate Interest (GDPR Art. 6(1)(f))", "Yes / Required (Sheet 3)", "")</f>
        <v/>
      </c>
      <c r="L4993" s="7" t="n"/>
      <c r="M4993" s="7" t="n"/>
      <c r="N4993">
        <f>IF(D4993="", "Gap - No Legal Basis", IF(AND(D4993="Consent (GDPR Art. 6(1)(a))", I4993="Not Captured"), "Gap - Invalid Consent", IF(AND(D4993="Legitimate Interest (GDPR Art. 6(1)(f))", L4993=""), "Gap - Missing LIA", IF(AND(G4993="Yes", H4993=""), "Gap - Missing Art. 9 Basis", IF(OR(I4993="Invalid - Not Freely Given", I4993="Invalid - Not Specific", I4993="Invalid - Not Informed", I4993="Invalid - Ambiguous"), "Gap - Invalid Consent", "Compliant")))))</f>
        <v/>
      </c>
      <c r="O4993" s="7" t="n"/>
    </row>
    <row r="4994">
      <c r="A4994" s="7" t="n"/>
      <c r="B4994" s="7" t="n"/>
      <c r="C4994" s="7" t="n"/>
      <c r="D4994" s="7" t="n"/>
      <c r="E4994" s="7" t="n"/>
      <c r="F4994" s="7" t="n"/>
      <c r="G4994" s="7" t="n"/>
      <c r="H4994" s="7" t="n"/>
      <c r="I4994" s="7" t="n"/>
      <c r="J4994" s="7" t="n"/>
      <c r="K4994">
        <f>IF(D4994="Legitimate Interest (GDPR Art. 6(1)(f))", "Yes / Required (Sheet 3)", "")</f>
        <v/>
      </c>
      <c r="L4994" s="7" t="n"/>
      <c r="M4994" s="7" t="n"/>
      <c r="N4994">
        <f>IF(D4994="", "Gap - No Legal Basis", IF(AND(D4994="Consent (GDPR Art. 6(1)(a))", I4994="Not Captured"), "Gap - Invalid Consent", IF(AND(D4994="Legitimate Interest (GDPR Art. 6(1)(f))", L4994=""), "Gap - Missing LIA", IF(AND(G4994="Yes", H4994=""), "Gap - Missing Art. 9 Basis", IF(OR(I4994="Invalid - Not Freely Given", I4994="Invalid - Not Specific", I4994="Invalid - Not Informed", I4994="Invalid - Ambiguous"), "Gap - Invalid Consent", "Compliant")))))</f>
        <v/>
      </c>
      <c r="O4994" s="7" t="n"/>
    </row>
    <row r="4995">
      <c r="A4995" s="7" t="n"/>
      <c r="B4995" s="7" t="n"/>
      <c r="C4995" s="7" t="n"/>
      <c r="D4995" s="7" t="n"/>
      <c r="E4995" s="7" t="n"/>
      <c r="F4995" s="7" t="n"/>
      <c r="G4995" s="7" t="n"/>
      <c r="H4995" s="7" t="n"/>
      <c r="I4995" s="7" t="n"/>
      <c r="J4995" s="7" t="n"/>
      <c r="K4995">
        <f>IF(D4995="Legitimate Interest (GDPR Art. 6(1)(f))", "Yes / Required (Sheet 3)", "")</f>
        <v/>
      </c>
      <c r="L4995" s="7" t="n"/>
      <c r="M4995" s="7" t="n"/>
      <c r="N4995">
        <f>IF(D4995="", "Gap - No Legal Basis", IF(AND(D4995="Consent (GDPR Art. 6(1)(a))", I4995="Not Captured"), "Gap - Invalid Consent", IF(AND(D4995="Legitimate Interest (GDPR Art. 6(1)(f))", L4995=""), "Gap - Missing LIA", IF(AND(G4995="Yes", H4995=""), "Gap - Missing Art. 9 Basis", IF(OR(I4995="Invalid - Not Freely Given", I4995="Invalid - Not Specific", I4995="Invalid - Not Informed", I4995="Invalid - Ambiguous"), "Gap - Invalid Consent", "Compliant")))))</f>
        <v/>
      </c>
      <c r="O4995" s="7" t="n"/>
    </row>
    <row r="4996">
      <c r="A4996" s="7" t="n"/>
      <c r="B4996" s="7" t="n"/>
      <c r="C4996" s="7" t="n"/>
      <c r="D4996" s="7" t="n"/>
      <c r="E4996" s="7" t="n"/>
      <c r="F4996" s="7" t="n"/>
      <c r="G4996" s="7" t="n"/>
      <c r="H4996" s="7" t="n"/>
      <c r="I4996" s="7" t="n"/>
      <c r="J4996" s="7" t="n"/>
      <c r="K4996">
        <f>IF(D4996="Legitimate Interest (GDPR Art. 6(1)(f))", "Yes / Required (Sheet 3)", "")</f>
        <v/>
      </c>
      <c r="L4996" s="7" t="n"/>
      <c r="M4996" s="7" t="n"/>
      <c r="N4996">
        <f>IF(D4996="", "Gap - No Legal Basis", IF(AND(D4996="Consent (GDPR Art. 6(1)(a))", I4996="Not Captured"), "Gap - Invalid Consent", IF(AND(D4996="Legitimate Interest (GDPR Art. 6(1)(f))", L4996=""), "Gap - Missing LIA", IF(AND(G4996="Yes", H4996=""), "Gap - Missing Art. 9 Basis", IF(OR(I4996="Invalid - Not Freely Given", I4996="Invalid - Not Specific", I4996="Invalid - Not Informed", I4996="Invalid - Ambiguous"), "Gap - Invalid Consent", "Compliant")))))</f>
        <v/>
      </c>
      <c r="O4996" s="7" t="n"/>
    </row>
    <row r="4997">
      <c r="A4997" s="7" t="n"/>
      <c r="B4997" s="7" t="n"/>
      <c r="C4997" s="7" t="n"/>
      <c r="D4997" s="7" t="n"/>
      <c r="E4997" s="7" t="n"/>
      <c r="F4997" s="7" t="n"/>
      <c r="G4997" s="7" t="n"/>
      <c r="H4997" s="7" t="n"/>
      <c r="I4997" s="7" t="n"/>
      <c r="J4997" s="7" t="n"/>
      <c r="K4997">
        <f>IF(D4997="Legitimate Interest (GDPR Art. 6(1)(f))", "Yes / Required (Sheet 3)", "")</f>
        <v/>
      </c>
      <c r="L4997" s="7" t="n"/>
      <c r="M4997" s="7" t="n"/>
      <c r="N4997">
        <f>IF(D4997="", "Gap - No Legal Basis", IF(AND(D4997="Consent (GDPR Art. 6(1)(a))", I4997="Not Captured"), "Gap - Invalid Consent", IF(AND(D4997="Legitimate Interest (GDPR Art. 6(1)(f))", L4997=""), "Gap - Missing LIA", IF(AND(G4997="Yes", H4997=""), "Gap - Missing Art. 9 Basis", IF(OR(I4997="Invalid - Not Freely Given", I4997="Invalid - Not Specific", I4997="Invalid - Not Informed", I4997="Invalid - Ambiguous"), "Gap - Invalid Consent", "Compliant")))))</f>
        <v/>
      </c>
      <c r="O4997" s="7" t="n"/>
    </row>
    <row r="4998">
      <c r="A4998" s="7" t="n"/>
      <c r="B4998" s="7" t="n"/>
      <c r="C4998" s="7" t="n"/>
      <c r="D4998" s="7" t="n"/>
      <c r="E4998" s="7" t="n"/>
      <c r="F4998" s="7" t="n"/>
      <c r="G4998" s="7" t="n"/>
      <c r="H4998" s="7" t="n"/>
      <c r="I4998" s="7" t="n"/>
      <c r="J4998" s="7" t="n"/>
      <c r="K4998">
        <f>IF(D4998="Legitimate Interest (GDPR Art. 6(1)(f))", "Yes / Required (Sheet 3)", "")</f>
        <v/>
      </c>
      <c r="L4998" s="7" t="n"/>
      <c r="M4998" s="7" t="n"/>
      <c r="N4998">
        <f>IF(D4998="", "Gap - No Legal Basis", IF(AND(D4998="Consent (GDPR Art. 6(1)(a))", I4998="Not Captured"), "Gap - Invalid Consent", IF(AND(D4998="Legitimate Interest (GDPR Art. 6(1)(f))", L4998=""), "Gap - Missing LIA", IF(AND(G4998="Yes", H4998=""), "Gap - Missing Art. 9 Basis", IF(OR(I4998="Invalid - Not Freely Given", I4998="Invalid - Not Specific", I4998="Invalid - Not Informed", I4998="Invalid - Ambiguous"), "Gap - Invalid Consent", "Compliant")))))</f>
        <v/>
      </c>
      <c r="O4998" s="7" t="n"/>
    </row>
    <row r="4999">
      <c r="A4999" s="7" t="n"/>
      <c r="B4999" s="7" t="n"/>
      <c r="C4999" s="7" t="n"/>
      <c r="D4999" s="7" t="n"/>
      <c r="E4999" s="7" t="n"/>
      <c r="F4999" s="7" t="n"/>
      <c r="G4999" s="7" t="n"/>
      <c r="H4999" s="7" t="n"/>
      <c r="I4999" s="7" t="n"/>
      <c r="J4999" s="7" t="n"/>
      <c r="K4999">
        <f>IF(D4999="Legitimate Interest (GDPR Art. 6(1)(f))", "Yes / Required (Sheet 3)", "")</f>
        <v/>
      </c>
      <c r="L4999" s="7" t="n"/>
      <c r="M4999" s="7" t="n"/>
      <c r="N4999">
        <f>IF(D4999="", "Gap - No Legal Basis", IF(AND(D4999="Consent (GDPR Art. 6(1)(a))", I4999="Not Captured"), "Gap - Invalid Consent", IF(AND(D4999="Legitimate Interest (GDPR Art. 6(1)(f))", L4999=""), "Gap - Missing LIA", IF(AND(G4999="Yes", H4999=""), "Gap - Missing Art. 9 Basis", IF(OR(I4999="Invalid - Not Freely Given", I4999="Invalid - Not Specific", I4999="Invalid - Not Informed", I4999="Invalid - Ambiguous"), "Gap - Invalid Consent", "Compliant")))))</f>
        <v/>
      </c>
      <c r="O4999" s="7" t="n"/>
    </row>
    <row r="5000">
      <c r="A5000" s="7" t="n"/>
      <c r="B5000" s="7" t="n"/>
      <c r="C5000" s="7" t="n"/>
      <c r="D5000" s="7" t="n"/>
      <c r="E5000" s="7" t="n"/>
      <c r="F5000" s="7" t="n"/>
      <c r="G5000" s="7" t="n"/>
      <c r="H5000" s="7" t="n"/>
      <c r="I5000" s="7" t="n"/>
      <c r="J5000" s="7" t="n"/>
      <c r="K5000">
        <f>IF(D5000="Legitimate Interest (GDPR Art. 6(1)(f))", "Yes / Required (Sheet 3)", "")</f>
        <v/>
      </c>
      <c r="L5000" s="7" t="n"/>
      <c r="M5000" s="7" t="n"/>
      <c r="N5000">
        <f>IF(D5000="", "Gap - No Legal Basis", IF(AND(D5000="Consent (GDPR Art. 6(1)(a))", I5000="Not Captured"), "Gap - Invalid Consent", IF(AND(D5000="Legitimate Interest (GDPR Art. 6(1)(f))", L5000=""), "Gap - Missing LIA", IF(AND(G5000="Yes", H5000=""), "Gap - Missing Art. 9 Basis", IF(OR(I5000="Invalid - Not Freely Given", I5000="Invalid - Not Specific", I5000="Invalid - Not Informed", I5000="Invalid - Ambiguous"), "Gap - Invalid Consent", "Compliant")))))</f>
        <v/>
      </c>
      <c r="O5000" s="7" t="n"/>
    </row>
    <row r="5001">
      <c r="A5001" s="7" t="n"/>
      <c r="B5001" s="7" t="n"/>
      <c r="C5001" s="7" t="n"/>
      <c r="D5001" s="7" t="n"/>
      <c r="E5001" s="7" t="n"/>
      <c r="F5001" s="7" t="n"/>
      <c r="G5001" s="7" t="n"/>
      <c r="H5001" s="7" t="n"/>
      <c r="I5001" s="7" t="n"/>
      <c r="J5001" s="7" t="n"/>
      <c r="K5001">
        <f>IF(D5001="Legitimate Interest (GDPR Art. 6(1)(f))", "Yes / Required (Sheet 3)", "")</f>
        <v/>
      </c>
      <c r="L5001" s="7" t="n"/>
      <c r="M5001" s="7" t="n"/>
      <c r="N5001">
        <f>IF(D5001="", "Gap - No Legal Basis", IF(AND(D5001="Consent (GDPR Art. 6(1)(a))", I5001="Not Captured"), "Gap - Invalid Consent", IF(AND(D5001="Legitimate Interest (GDPR Art. 6(1)(f))", L5001=""), "Gap - Missing LIA", IF(AND(G5001="Yes", H5001=""), "Gap - Missing Art. 9 Basis", IF(OR(I5001="Invalid - Not Freely Given", I5001="Invalid - Not Specific", I5001="Invalid - Not Informed", I5001="Invalid - Ambiguous"), "Gap - Invalid Consent", "Compliant")))))</f>
        <v/>
      </c>
      <c r="O5001" s="7" t="n"/>
    </row>
    <row r="5002">
      <c r="A5002" s="7" t="n"/>
      <c r="B5002" s="7" t="n"/>
      <c r="C5002" s="7" t="n"/>
      <c r="D5002" s="7" t="n"/>
      <c r="E5002" s="7" t="n"/>
      <c r="F5002" s="7" t="n"/>
      <c r="G5002" s="7" t="n"/>
      <c r="H5002" s="7" t="n"/>
      <c r="I5002" s="7" t="n"/>
      <c r="J5002" s="7" t="n"/>
      <c r="K5002">
        <f>IF(D5002="Legitimate Interest (GDPR Art. 6(1)(f))", "Yes / Required (Sheet 3)", "")</f>
        <v/>
      </c>
      <c r="L5002" s="7" t="n"/>
      <c r="M5002" s="7" t="n"/>
      <c r="N5002">
        <f>IF(D5002="", "Gap - No Legal Basis", IF(AND(D5002="Consent (GDPR Art. 6(1)(a))", I5002="Not Captured"), "Gap - Invalid Consent", IF(AND(D5002="Legitimate Interest (GDPR Art. 6(1)(f))", L5002=""), "Gap - Missing LIA", IF(AND(G5002="Yes", H5002=""), "Gap - Missing Art. 9 Basis", IF(OR(I5002="Invalid - Not Freely Given", I5002="Invalid - Not Specific", I5002="Invalid - Not Informed", I5002="Invalid - Ambiguous"), "Gap - Invalid Consent", "Compliant")))))</f>
        <v/>
      </c>
      <c r="O5002" s="7" t="n"/>
    </row>
    <row r="5003">
      <c r="A5003" s="7" t="n"/>
      <c r="B5003" s="7" t="n"/>
      <c r="C5003" s="7" t="n"/>
      <c r="D5003" s="7" t="n"/>
      <c r="E5003" s="7" t="n"/>
      <c r="F5003" s="7" t="n"/>
      <c r="G5003" s="7" t="n"/>
      <c r="H5003" s="7" t="n"/>
      <c r="I5003" s="7" t="n"/>
      <c r="J5003" s="7" t="n"/>
      <c r="K5003">
        <f>IF(D5003="Legitimate Interest (GDPR Art. 6(1)(f))", "Yes / Required (Sheet 3)", "")</f>
        <v/>
      </c>
      <c r="L5003" s="7" t="n"/>
      <c r="M5003" s="7" t="n"/>
      <c r="N5003">
        <f>IF(D5003="", "Gap - No Legal Basis", IF(AND(D5003="Consent (GDPR Art. 6(1)(a))", I5003="Not Captured"), "Gap - Invalid Consent", IF(AND(D5003="Legitimate Interest (GDPR Art. 6(1)(f))", L5003=""), "Gap - Missing LIA", IF(AND(G5003="Yes", H5003=""), "Gap - Missing Art. 9 Basis", IF(OR(I5003="Invalid - Not Freely Given", I5003="Invalid - Not Specific", I5003="Invalid - Not Informed", I5003="Invalid - Ambiguous"), "Gap - Invalid Consent", "Compliant")))))</f>
        <v/>
      </c>
      <c r="O5003" s="7" t="n"/>
    </row>
    <row r="5004">
      <c r="A5004" s="7" t="n"/>
      <c r="B5004" s="7" t="n"/>
      <c r="C5004" s="7" t="n"/>
      <c r="D5004" s="7" t="n"/>
      <c r="E5004" s="7" t="n"/>
      <c r="F5004" s="7" t="n"/>
      <c r="G5004" s="7" t="n"/>
      <c r="H5004" s="7" t="n"/>
      <c r="I5004" s="7" t="n"/>
      <c r="J5004" s="7" t="n"/>
      <c r="K5004">
        <f>IF(D5004="Legitimate Interest (GDPR Art. 6(1)(f))", "Yes / Required (Sheet 3)", "")</f>
        <v/>
      </c>
      <c r="L5004" s="7" t="n"/>
      <c r="M5004" s="7" t="n"/>
      <c r="N5004">
        <f>IF(D5004="", "Gap - No Legal Basis", IF(AND(D5004="Consent (GDPR Art. 6(1)(a))", I5004="Not Captured"), "Gap - Invalid Consent", IF(AND(D5004="Legitimate Interest (GDPR Art. 6(1)(f))", L5004=""), "Gap - Missing LIA", IF(AND(G5004="Yes", H5004=""), "Gap - Missing Art. 9 Basis", IF(OR(I5004="Invalid - Not Freely Given", I5004="Invalid - Not Specific", I5004="Invalid - Not Informed", I5004="Invalid - Ambiguous"), "Gap - Invalid Consent", "Compliant")))))</f>
        <v/>
      </c>
      <c r="O5004" s="7" t="n"/>
    </row>
    <row r="5005">
      <c r="A5005" s="7" t="n"/>
      <c r="B5005" s="7" t="n"/>
      <c r="C5005" s="7" t="n"/>
      <c r="D5005" s="7" t="n"/>
      <c r="E5005" s="7" t="n"/>
      <c r="F5005" s="7" t="n"/>
      <c r="G5005" s="7" t="n"/>
      <c r="H5005" s="7" t="n"/>
      <c r="I5005" s="7" t="n"/>
      <c r="J5005" s="7" t="n"/>
      <c r="K5005">
        <f>IF(D5005="Legitimate Interest (GDPR Art. 6(1)(f))", "Yes / Required (Sheet 3)", "")</f>
        <v/>
      </c>
      <c r="L5005" s="7" t="n"/>
      <c r="M5005" s="7" t="n"/>
      <c r="N5005">
        <f>IF(D5005="", "Gap - No Legal Basis", IF(AND(D5005="Consent (GDPR Art. 6(1)(a))", I5005="Not Captured"), "Gap - Invalid Consent", IF(AND(D5005="Legitimate Interest (GDPR Art. 6(1)(f))", L5005=""), "Gap - Missing LIA", IF(AND(G5005="Yes", H5005=""), "Gap - Missing Art. 9 Basis", IF(OR(I5005="Invalid - Not Freely Given", I5005="Invalid - Not Specific", I5005="Invalid - Not Informed", I5005="Invalid - Ambiguous"), "Gap - Invalid Consent", "Compliant")))))</f>
        <v/>
      </c>
      <c r="O5005" s="7" t="n"/>
    </row>
    <row r="5006">
      <c r="A5006" s="7" t="n"/>
      <c r="B5006" s="7" t="n"/>
      <c r="C5006" s="7" t="n"/>
      <c r="D5006" s="7" t="n"/>
      <c r="E5006" s="7" t="n"/>
      <c r="F5006" s="7" t="n"/>
      <c r="G5006" s="7" t="n"/>
      <c r="H5006" s="7" t="n"/>
      <c r="I5006" s="7" t="n"/>
      <c r="J5006" s="7" t="n"/>
      <c r="K5006">
        <f>IF(D5006="Legitimate Interest (GDPR Art. 6(1)(f))", "Yes / Required (Sheet 3)", "")</f>
        <v/>
      </c>
      <c r="L5006" s="7" t="n"/>
      <c r="M5006" s="7" t="n"/>
      <c r="N5006">
        <f>IF(D5006="", "Gap - No Legal Basis", IF(AND(D5006="Consent (GDPR Art. 6(1)(a))", I5006="Not Captured"), "Gap - Invalid Consent", IF(AND(D5006="Legitimate Interest (GDPR Art. 6(1)(f))", L5006=""), "Gap - Missing LIA", IF(AND(G5006="Yes", H5006=""), "Gap - Missing Art. 9 Basis", IF(OR(I5006="Invalid - Not Freely Given", I5006="Invalid - Not Specific", I5006="Invalid - Not Informed", I5006="Invalid - Ambiguous"), "Gap - Invalid Consent", "Compliant")))))</f>
        <v/>
      </c>
      <c r="O5006" s="7" t="n"/>
    </row>
    <row r="5007">
      <c r="A5007" s="7" t="n"/>
      <c r="B5007" s="7" t="n"/>
      <c r="C5007" s="7" t="n"/>
      <c r="D5007" s="7" t="n"/>
      <c r="E5007" s="7" t="n"/>
      <c r="F5007" s="7" t="n"/>
      <c r="G5007" s="7" t="n"/>
      <c r="H5007" s="7" t="n"/>
      <c r="I5007" s="7" t="n"/>
      <c r="J5007" s="7" t="n"/>
      <c r="K5007">
        <f>IF(D5007="Legitimate Interest (GDPR Art. 6(1)(f))", "Yes / Required (Sheet 3)", "")</f>
        <v/>
      </c>
      <c r="L5007" s="7" t="n"/>
      <c r="M5007" s="7" t="n"/>
      <c r="N5007">
        <f>IF(D5007="", "Gap - No Legal Basis", IF(AND(D5007="Consent (GDPR Art. 6(1)(a))", I5007="Not Captured"), "Gap - Invalid Consent", IF(AND(D5007="Legitimate Interest (GDPR Art. 6(1)(f))", L5007=""), "Gap - Missing LIA", IF(AND(G5007="Yes", H5007=""), "Gap - Missing Art. 9 Basis", IF(OR(I5007="Invalid - Not Freely Given", I5007="Invalid - Not Specific", I5007="Invalid - Not Informed", I5007="Invalid - Ambiguous"), "Gap - Invalid Consent", "Compliant")))))</f>
        <v/>
      </c>
      <c r="O5007" s="7" t="n"/>
    </row>
    <row r="5008">
      <c r="A5008" s="7" t="n"/>
      <c r="B5008" s="7" t="n"/>
      <c r="C5008" s="7" t="n"/>
      <c r="D5008" s="7" t="n"/>
      <c r="E5008" s="7" t="n"/>
      <c r="F5008" s="7" t="n"/>
      <c r="G5008" s="7" t="n"/>
      <c r="H5008" s="7" t="n"/>
      <c r="I5008" s="7" t="n"/>
      <c r="J5008" s="7" t="n"/>
      <c r="K5008">
        <f>IF(D5008="Legitimate Interest (GDPR Art. 6(1)(f))", "Yes / Required (Sheet 3)", "")</f>
        <v/>
      </c>
      <c r="L5008" s="7" t="n"/>
      <c r="M5008" s="7" t="n"/>
      <c r="N5008">
        <f>IF(D5008="", "Gap - No Legal Basis", IF(AND(D5008="Consent (GDPR Art. 6(1)(a))", I5008="Not Captured"), "Gap - Invalid Consent", IF(AND(D5008="Legitimate Interest (GDPR Art. 6(1)(f))", L5008=""), "Gap - Missing LIA", IF(AND(G5008="Yes", H5008=""), "Gap - Missing Art. 9 Basis", IF(OR(I5008="Invalid - Not Freely Given", I5008="Invalid - Not Specific", I5008="Invalid - Not Informed", I5008="Invalid - Ambiguous"), "Gap - Invalid Consent", "Compliant")))))</f>
        <v/>
      </c>
      <c r="O5008" s="7" t="n"/>
    </row>
    <row r="5009">
      <c r="A5009" s="7" t="n"/>
      <c r="B5009" s="7" t="n"/>
      <c r="C5009" s="7" t="n"/>
      <c r="D5009" s="7" t="n"/>
      <c r="E5009" s="7" t="n"/>
      <c r="F5009" s="7" t="n"/>
      <c r="G5009" s="7" t="n"/>
      <c r="H5009" s="7" t="n"/>
      <c r="I5009" s="7" t="n"/>
      <c r="J5009" s="7" t="n"/>
      <c r="K5009">
        <f>IF(D5009="Legitimate Interest (GDPR Art. 6(1)(f))", "Yes / Required (Sheet 3)", "")</f>
        <v/>
      </c>
      <c r="L5009" s="7" t="n"/>
      <c r="M5009" s="7" t="n"/>
      <c r="N5009">
        <f>IF(D5009="", "Gap - No Legal Basis", IF(AND(D5009="Consent (GDPR Art. 6(1)(a))", I5009="Not Captured"), "Gap - Invalid Consent", IF(AND(D5009="Legitimate Interest (GDPR Art. 6(1)(f))", L5009=""), "Gap - Missing LIA", IF(AND(G5009="Yes", H5009=""), "Gap - Missing Art. 9 Basis", IF(OR(I5009="Invalid - Not Freely Given", I5009="Invalid - Not Specific", I5009="Invalid - Not Informed", I5009="Invalid - Ambiguous"), "Gap - Invalid Consent", "Compliant")))))</f>
        <v/>
      </c>
      <c r="O5009" s="7" t="n"/>
    </row>
    <row r="5010">
      <c r="A5010" s="7" t="n"/>
      <c r="B5010" s="7" t="n"/>
      <c r="C5010" s="7" t="n"/>
      <c r="D5010" s="7" t="n"/>
      <c r="E5010" s="7" t="n"/>
      <c r="F5010" s="7" t="n"/>
      <c r="G5010" s="7" t="n"/>
      <c r="H5010" s="7" t="n"/>
      <c r="I5010" s="7" t="n"/>
      <c r="J5010" s="7" t="n"/>
      <c r="K5010">
        <f>IF(D5010="Legitimate Interest (GDPR Art. 6(1)(f))", "Yes / Required (Sheet 3)", "")</f>
        <v/>
      </c>
      <c r="L5010" s="7" t="n"/>
      <c r="M5010" s="7" t="n"/>
      <c r="N5010">
        <f>IF(D5010="", "Gap - No Legal Basis", IF(AND(D5010="Consent (GDPR Art. 6(1)(a))", I5010="Not Captured"), "Gap - Invalid Consent", IF(AND(D5010="Legitimate Interest (GDPR Art. 6(1)(f))", L5010=""), "Gap - Missing LIA", IF(AND(G5010="Yes", H5010=""), "Gap - Missing Art. 9 Basis", IF(OR(I5010="Invalid - Not Freely Given", I5010="Invalid - Not Specific", I5010="Invalid - Not Informed", I5010="Invalid - Ambiguous"), "Gap - Invalid Consent", "Compliant")))))</f>
        <v/>
      </c>
      <c r="O5010" s="7" t="n"/>
    </row>
    <row r="5011">
      <c r="A5011" s="7" t="n"/>
      <c r="B5011" s="7" t="n"/>
      <c r="C5011" s="7" t="n"/>
      <c r="D5011" s="7" t="n"/>
      <c r="E5011" s="7" t="n"/>
      <c r="F5011" s="7" t="n"/>
      <c r="G5011" s="7" t="n"/>
      <c r="H5011" s="7" t="n"/>
      <c r="I5011" s="7" t="n"/>
      <c r="J5011" s="7" t="n"/>
      <c r="K5011">
        <f>IF(D5011="Legitimate Interest (GDPR Art. 6(1)(f))", "Yes / Required (Sheet 3)", "")</f>
        <v/>
      </c>
      <c r="L5011" s="7" t="n"/>
      <c r="M5011" s="7" t="n"/>
      <c r="N5011">
        <f>IF(D5011="", "Gap - No Legal Basis", IF(AND(D5011="Consent (GDPR Art. 6(1)(a))", I5011="Not Captured"), "Gap - Invalid Consent", IF(AND(D5011="Legitimate Interest (GDPR Art. 6(1)(f))", L5011=""), "Gap - Missing LIA", IF(AND(G5011="Yes", H5011=""), "Gap - Missing Art. 9 Basis", IF(OR(I5011="Invalid - Not Freely Given", I5011="Invalid - Not Specific", I5011="Invalid - Not Informed", I5011="Invalid - Ambiguous"), "Gap - Invalid Consent", "Compliant")))))</f>
        <v/>
      </c>
      <c r="O5011" s="7" t="n"/>
    </row>
    <row r="5012">
      <c r="A5012" s="7" t="n"/>
      <c r="B5012" s="7" t="n"/>
      <c r="C5012" s="7" t="n"/>
      <c r="D5012" s="7" t="n"/>
      <c r="E5012" s="7" t="n"/>
      <c r="F5012" s="7" t="n"/>
      <c r="G5012" s="7" t="n"/>
      <c r="H5012" s="7" t="n"/>
      <c r="I5012" s="7" t="n"/>
      <c r="J5012" s="7" t="n"/>
      <c r="K5012">
        <f>IF(D5012="Legitimate Interest (GDPR Art. 6(1)(f))", "Yes / Required (Sheet 3)", "")</f>
        <v/>
      </c>
      <c r="L5012" s="7" t="n"/>
      <c r="M5012" s="7" t="n"/>
      <c r="N5012">
        <f>IF(D5012="", "Gap - No Legal Basis", IF(AND(D5012="Consent (GDPR Art. 6(1)(a))", I5012="Not Captured"), "Gap - Invalid Consent", IF(AND(D5012="Legitimate Interest (GDPR Art. 6(1)(f))", L5012=""), "Gap - Missing LIA", IF(AND(G5012="Yes", H5012=""), "Gap - Missing Art. 9 Basis", IF(OR(I5012="Invalid - Not Freely Given", I5012="Invalid - Not Specific", I5012="Invalid - Not Informed", I5012="Invalid - Ambiguous"), "Gap - Invalid Consent", "Compliant")))))</f>
        <v/>
      </c>
      <c r="O5012" s="7" t="n"/>
    </row>
    <row r="5013">
      <c r="A5013" s="7" t="n"/>
      <c r="B5013" s="7" t="n"/>
      <c r="C5013" s="7" t="n"/>
      <c r="D5013" s="7" t="n"/>
      <c r="E5013" s="7" t="n"/>
      <c r="F5013" s="7" t="n"/>
      <c r="G5013" s="7" t="n"/>
      <c r="H5013" s="7" t="n"/>
      <c r="I5013" s="7" t="n"/>
      <c r="J5013" s="7" t="n"/>
      <c r="K5013">
        <f>IF(D5013="Legitimate Interest (GDPR Art. 6(1)(f))", "Yes / Required (Sheet 3)", "")</f>
        <v/>
      </c>
      <c r="L5013" s="7" t="n"/>
      <c r="M5013" s="7" t="n"/>
      <c r="N5013">
        <f>IF(D5013="", "Gap - No Legal Basis", IF(AND(D5013="Consent (GDPR Art. 6(1)(a))", I5013="Not Captured"), "Gap - Invalid Consent", IF(AND(D5013="Legitimate Interest (GDPR Art. 6(1)(f))", L5013=""), "Gap - Missing LIA", IF(AND(G5013="Yes", H5013=""), "Gap - Missing Art. 9 Basis", IF(OR(I5013="Invalid - Not Freely Given", I5013="Invalid - Not Specific", I5013="Invalid - Not Informed", I5013="Invalid - Ambiguous"), "Gap - Invalid Consent", "Compliant")))))</f>
        <v/>
      </c>
      <c r="O5013" s="7" t="n"/>
    </row>
    <row r="5014">
      <c r="A5014" s="7" t="n"/>
      <c r="B5014" s="7" t="n"/>
      <c r="C5014" s="7" t="n"/>
      <c r="D5014" s="7" t="n"/>
      <c r="E5014" s="7" t="n"/>
      <c r="F5014" s="7" t="n"/>
      <c r="G5014" s="7" t="n"/>
      <c r="H5014" s="7" t="n"/>
      <c r="I5014" s="7" t="n"/>
      <c r="J5014" s="7" t="n"/>
      <c r="K5014">
        <f>IF(D5014="Legitimate Interest (GDPR Art. 6(1)(f))", "Yes / Required (Sheet 3)", "")</f>
        <v/>
      </c>
      <c r="L5014" s="7" t="n"/>
      <c r="M5014" s="7" t="n"/>
      <c r="N5014">
        <f>IF(D5014="", "Gap - No Legal Basis", IF(AND(D5014="Consent (GDPR Art. 6(1)(a))", I5014="Not Captured"), "Gap - Invalid Consent", IF(AND(D5014="Legitimate Interest (GDPR Art. 6(1)(f))", L5014=""), "Gap - Missing LIA", IF(AND(G5014="Yes", H5014=""), "Gap - Missing Art. 9 Basis", IF(OR(I5014="Invalid - Not Freely Given", I5014="Invalid - Not Specific", I5014="Invalid - Not Informed", I5014="Invalid - Ambiguous"), "Gap - Invalid Consent", "Compliant")))))</f>
        <v/>
      </c>
      <c r="O5014" s="7" t="n"/>
    </row>
    <row r="5015">
      <c r="A5015" s="7" t="n"/>
      <c r="B5015" s="7" t="n"/>
      <c r="C5015" s="7" t="n"/>
      <c r="D5015" s="7" t="n"/>
      <c r="E5015" s="7" t="n"/>
      <c r="F5015" s="7" t="n"/>
      <c r="G5015" s="7" t="n"/>
      <c r="H5015" s="7" t="n"/>
      <c r="I5015" s="7" t="n"/>
      <c r="J5015" s="7" t="n"/>
      <c r="K5015">
        <f>IF(D5015="Legitimate Interest (GDPR Art. 6(1)(f))", "Yes / Required (Sheet 3)", "")</f>
        <v/>
      </c>
      <c r="L5015" s="7" t="n"/>
      <c r="M5015" s="7" t="n"/>
      <c r="N5015">
        <f>IF(D5015="", "Gap - No Legal Basis", IF(AND(D5015="Consent (GDPR Art. 6(1)(a))", I5015="Not Captured"), "Gap - Invalid Consent", IF(AND(D5015="Legitimate Interest (GDPR Art. 6(1)(f))", L5015=""), "Gap - Missing LIA", IF(AND(G5015="Yes", H5015=""), "Gap - Missing Art. 9 Basis", IF(OR(I5015="Invalid - Not Freely Given", I5015="Invalid - Not Specific", I5015="Invalid - Not Informed", I5015="Invalid - Ambiguous"), "Gap - Invalid Consent", "Compliant")))))</f>
        <v/>
      </c>
      <c r="O5015" s="7" t="n"/>
    </row>
    <row r="5016">
      <c r="A5016" s="7" t="n"/>
      <c r="B5016" s="7" t="n"/>
      <c r="C5016" s="7" t="n"/>
      <c r="D5016" s="7" t="n"/>
      <c r="E5016" s="7" t="n"/>
      <c r="F5016" s="7" t="n"/>
      <c r="G5016" s="7" t="n"/>
      <c r="H5016" s="7" t="n"/>
      <c r="I5016" s="7" t="n"/>
      <c r="J5016" s="7" t="n"/>
      <c r="K5016">
        <f>IF(D5016="Legitimate Interest (GDPR Art. 6(1)(f))", "Yes / Required (Sheet 3)", "")</f>
        <v/>
      </c>
      <c r="L5016" s="7" t="n"/>
      <c r="M5016" s="7" t="n"/>
      <c r="N5016">
        <f>IF(D5016="", "Gap - No Legal Basis", IF(AND(D5016="Consent (GDPR Art. 6(1)(a))", I5016="Not Captured"), "Gap - Invalid Consent", IF(AND(D5016="Legitimate Interest (GDPR Art. 6(1)(f))", L5016=""), "Gap - Missing LIA", IF(AND(G5016="Yes", H5016=""), "Gap - Missing Art. 9 Basis", IF(OR(I5016="Invalid - Not Freely Given", I5016="Invalid - Not Specific", I5016="Invalid - Not Informed", I5016="Invalid - Ambiguous"), "Gap - Invalid Consent", "Compliant")))))</f>
        <v/>
      </c>
      <c r="O5016" s="7" t="n"/>
    </row>
    <row r="5017">
      <c r="A5017" s="7" t="n"/>
      <c r="B5017" s="7" t="n"/>
      <c r="C5017" s="7" t="n"/>
      <c r="D5017" s="7" t="n"/>
      <c r="E5017" s="7" t="n"/>
      <c r="F5017" s="7" t="n"/>
      <c r="G5017" s="7" t="n"/>
      <c r="H5017" s="7" t="n"/>
      <c r="I5017" s="7" t="n"/>
      <c r="J5017" s="7" t="n"/>
      <c r="K5017">
        <f>IF(D5017="Legitimate Interest (GDPR Art. 6(1)(f))", "Yes / Required (Sheet 3)", "")</f>
        <v/>
      </c>
      <c r="L5017" s="7" t="n"/>
      <c r="M5017" s="7" t="n"/>
      <c r="N5017">
        <f>IF(D5017="", "Gap - No Legal Basis", IF(AND(D5017="Consent (GDPR Art. 6(1)(a))", I5017="Not Captured"), "Gap - Invalid Consent", IF(AND(D5017="Legitimate Interest (GDPR Art. 6(1)(f))", L5017=""), "Gap - Missing LIA", IF(AND(G5017="Yes", H5017=""), "Gap - Missing Art. 9 Basis", IF(OR(I5017="Invalid - Not Freely Given", I5017="Invalid - Not Specific", I5017="Invalid - Not Informed", I5017="Invalid - Ambiguous"), "Gap - Invalid Consent", "Compliant")))))</f>
        <v/>
      </c>
      <c r="O5017" s="7" t="n"/>
    </row>
    <row r="5018">
      <c r="A5018" s="7" t="n"/>
      <c r="B5018" s="7" t="n"/>
      <c r="C5018" s="7" t="n"/>
      <c r="D5018" s="7" t="n"/>
      <c r="E5018" s="7" t="n"/>
      <c r="F5018" s="7" t="n"/>
      <c r="G5018" s="7" t="n"/>
      <c r="H5018" s="7" t="n"/>
      <c r="I5018" s="7" t="n"/>
      <c r="J5018" s="7" t="n"/>
      <c r="K5018">
        <f>IF(D5018="Legitimate Interest (GDPR Art. 6(1)(f))", "Yes / Required (Sheet 3)", "")</f>
        <v/>
      </c>
      <c r="L5018" s="7" t="n"/>
      <c r="M5018" s="7" t="n"/>
      <c r="N5018">
        <f>IF(D5018="", "Gap - No Legal Basis", IF(AND(D5018="Consent (GDPR Art. 6(1)(a))", I5018="Not Captured"), "Gap - Invalid Consent", IF(AND(D5018="Legitimate Interest (GDPR Art. 6(1)(f))", L5018=""), "Gap - Missing LIA", IF(AND(G5018="Yes", H5018=""), "Gap - Missing Art. 9 Basis", IF(OR(I5018="Invalid - Not Freely Given", I5018="Invalid - Not Specific", I5018="Invalid - Not Informed", I5018="Invalid - Ambiguous"), "Gap - Invalid Consent", "Compliant")))))</f>
        <v/>
      </c>
      <c r="O5018" s="7" t="n"/>
    </row>
    <row r="5019">
      <c r="A5019" s="7" t="n"/>
      <c r="B5019" s="7" t="n"/>
      <c r="C5019" s="7" t="n"/>
      <c r="D5019" s="7" t="n"/>
      <c r="E5019" s="7" t="n"/>
      <c r="F5019" s="7" t="n"/>
      <c r="G5019" s="7" t="n"/>
      <c r="H5019" s="7" t="n"/>
      <c r="I5019" s="7" t="n"/>
      <c r="J5019" s="7" t="n"/>
      <c r="K5019">
        <f>IF(D5019="Legitimate Interest (GDPR Art. 6(1)(f))", "Yes / Required (Sheet 3)", "")</f>
        <v/>
      </c>
      <c r="L5019" s="7" t="n"/>
      <c r="M5019" s="7" t="n"/>
      <c r="N5019">
        <f>IF(D5019="", "Gap - No Legal Basis", IF(AND(D5019="Consent (GDPR Art. 6(1)(a))", I5019="Not Captured"), "Gap - Invalid Consent", IF(AND(D5019="Legitimate Interest (GDPR Art. 6(1)(f))", L5019=""), "Gap - Missing LIA", IF(AND(G5019="Yes", H5019=""), "Gap - Missing Art. 9 Basis", IF(OR(I5019="Invalid - Not Freely Given", I5019="Invalid - Not Specific", I5019="Invalid - Not Informed", I5019="Invalid - Ambiguous"), "Gap - Invalid Consent", "Compliant")))))</f>
        <v/>
      </c>
      <c r="O5019" s="7" t="n"/>
    </row>
    <row r="5020">
      <c r="A5020" s="7" t="n"/>
      <c r="B5020" s="7" t="n"/>
      <c r="C5020" s="7" t="n"/>
      <c r="D5020" s="7" t="n"/>
      <c r="E5020" s="7" t="n"/>
      <c r="F5020" s="7" t="n"/>
      <c r="G5020" s="7" t="n"/>
      <c r="H5020" s="7" t="n"/>
      <c r="I5020" s="7" t="n"/>
      <c r="J5020" s="7" t="n"/>
      <c r="K5020">
        <f>IF(D5020="Legitimate Interest (GDPR Art. 6(1)(f))", "Yes / Required (Sheet 3)", "")</f>
        <v/>
      </c>
      <c r="L5020" s="7" t="n"/>
      <c r="M5020" s="7" t="n"/>
      <c r="N5020">
        <f>IF(D5020="", "Gap - No Legal Basis", IF(AND(D5020="Consent (GDPR Art. 6(1)(a))", I5020="Not Captured"), "Gap - Invalid Consent", IF(AND(D5020="Legitimate Interest (GDPR Art. 6(1)(f))", L5020=""), "Gap - Missing LIA", IF(AND(G5020="Yes", H5020=""), "Gap - Missing Art. 9 Basis", IF(OR(I5020="Invalid - Not Freely Given", I5020="Invalid - Not Specific", I5020="Invalid - Not Informed", I5020="Invalid - Ambiguous"), "Gap - Invalid Consent", "Compliant")))))</f>
        <v/>
      </c>
      <c r="O5020" s="7" t="n"/>
    </row>
    <row r="5021">
      <c r="A5021" s="7" t="n"/>
      <c r="B5021" s="7" t="n"/>
      <c r="C5021" s="7" t="n"/>
      <c r="D5021" s="7" t="n"/>
      <c r="E5021" s="7" t="n"/>
      <c r="F5021" s="7" t="n"/>
      <c r="G5021" s="7" t="n"/>
      <c r="H5021" s="7" t="n"/>
      <c r="I5021" s="7" t="n"/>
      <c r="J5021" s="7" t="n"/>
      <c r="K5021">
        <f>IF(D5021="Legitimate Interest (GDPR Art. 6(1)(f))", "Yes / Required (Sheet 3)", "")</f>
        <v/>
      </c>
      <c r="L5021" s="7" t="n"/>
      <c r="M5021" s="7" t="n"/>
      <c r="N5021">
        <f>IF(D5021="", "Gap - No Legal Basis", IF(AND(D5021="Consent (GDPR Art. 6(1)(a))", I5021="Not Captured"), "Gap - Invalid Consent", IF(AND(D5021="Legitimate Interest (GDPR Art. 6(1)(f))", L5021=""), "Gap - Missing LIA", IF(AND(G5021="Yes", H5021=""), "Gap - Missing Art. 9 Basis", IF(OR(I5021="Invalid - Not Freely Given", I5021="Invalid - Not Specific", I5021="Invalid - Not Informed", I5021="Invalid - Ambiguous"), "Gap - Invalid Consent", "Compliant")))))</f>
        <v/>
      </c>
      <c r="O5021" s="7" t="n"/>
    </row>
    <row r="5022">
      <c r="A5022" s="7" t="n"/>
      <c r="B5022" s="7" t="n"/>
      <c r="C5022" s="7" t="n"/>
      <c r="D5022" s="7" t="n"/>
      <c r="E5022" s="7" t="n"/>
      <c r="F5022" s="7" t="n"/>
      <c r="G5022" s="7" t="n"/>
      <c r="H5022" s="7" t="n"/>
      <c r="I5022" s="7" t="n"/>
      <c r="J5022" s="7" t="n"/>
      <c r="K5022">
        <f>IF(D5022="Legitimate Interest (GDPR Art. 6(1)(f))", "Yes / Required (Sheet 3)", "")</f>
        <v/>
      </c>
      <c r="L5022" s="7" t="n"/>
      <c r="M5022" s="7" t="n"/>
      <c r="N5022">
        <f>IF(D5022="", "Gap - No Legal Basis", IF(AND(D5022="Consent (GDPR Art. 6(1)(a))", I5022="Not Captured"), "Gap - Invalid Consent", IF(AND(D5022="Legitimate Interest (GDPR Art. 6(1)(f))", L5022=""), "Gap - Missing LIA", IF(AND(G5022="Yes", H5022=""), "Gap - Missing Art. 9 Basis", IF(OR(I5022="Invalid - Not Freely Given", I5022="Invalid - Not Specific", I5022="Invalid - Not Informed", I5022="Invalid - Ambiguous"), "Gap - Invalid Consent", "Compliant")))))</f>
        <v/>
      </c>
      <c r="O5022" s="7" t="n"/>
    </row>
    <row r="5023">
      <c r="A5023" s="7" t="n"/>
      <c r="B5023" s="7" t="n"/>
      <c r="C5023" s="7" t="n"/>
      <c r="D5023" s="7" t="n"/>
      <c r="E5023" s="7" t="n"/>
      <c r="F5023" s="7" t="n"/>
      <c r="G5023" s="7" t="n"/>
      <c r="H5023" s="7" t="n"/>
      <c r="I5023" s="7" t="n"/>
      <c r="J5023" s="7" t="n"/>
      <c r="K5023">
        <f>IF(D5023="Legitimate Interest (GDPR Art. 6(1)(f))", "Yes / Required (Sheet 3)", "")</f>
        <v/>
      </c>
      <c r="L5023" s="7" t="n"/>
      <c r="M5023" s="7" t="n"/>
      <c r="N5023">
        <f>IF(D5023="", "Gap - No Legal Basis", IF(AND(D5023="Consent (GDPR Art. 6(1)(a))", I5023="Not Captured"), "Gap - Invalid Consent", IF(AND(D5023="Legitimate Interest (GDPR Art. 6(1)(f))", L5023=""), "Gap - Missing LIA", IF(AND(G5023="Yes", H5023=""), "Gap - Missing Art. 9 Basis", IF(OR(I5023="Invalid - Not Freely Given", I5023="Invalid - Not Specific", I5023="Invalid - Not Informed", I5023="Invalid - Ambiguous"), "Gap - Invalid Consent", "Compliant")))))</f>
        <v/>
      </c>
      <c r="O5023" s="7" t="n"/>
    </row>
    <row r="5024">
      <c r="A5024" s="7" t="n"/>
      <c r="B5024" s="7" t="n"/>
      <c r="C5024" s="7" t="n"/>
      <c r="D5024" s="7" t="n"/>
      <c r="E5024" s="7" t="n"/>
      <c r="F5024" s="7" t="n"/>
      <c r="G5024" s="7" t="n"/>
      <c r="H5024" s="7" t="n"/>
      <c r="I5024" s="7" t="n"/>
      <c r="J5024" s="7" t="n"/>
      <c r="K5024">
        <f>IF(D5024="Legitimate Interest (GDPR Art. 6(1)(f))", "Yes / Required (Sheet 3)", "")</f>
        <v/>
      </c>
      <c r="L5024" s="7" t="n"/>
      <c r="M5024" s="7" t="n"/>
      <c r="N5024">
        <f>IF(D5024="", "Gap - No Legal Basis", IF(AND(D5024="Consent (GDPR Art. 6(1)(a))", I5024="Not Captured"), "Gap - Invalid Consent", IF(AND(D5024="Legitimate Interest (GDPR Art. 6(1)(f))", L5024=""), "Gap - Missing LIA", IF(AND(G5024="Yes", H5024=""), "Gap - Missing Art. 9 Basis", IF(OR(I5024="Invalid - Not Freely Given", I5024="Invalid - Not Specific", I5024="Invalid - Not Informed", I5024="Invalid - Ambiguous"), "Gap - Invalid Consent", "Compliant")))))</f>
        <v/>
      </c>
      <c r="O5024" s="7" t="n"/>
    </row>
    <row r="5025">
      <c r="A5025" s="7" t="n"/>
      <c r="B5025" s="7" t="n"/>
      <c r="C5025" s="7" t="n"/>
      <c r="D5025" s="7" t="n"/>
      <c r="E5025" s="7" t="n"/>
      <c r="F5025" s="7" t="n"/>
      <c r="G5025" s="7" t="n"/>
      <c r="H5025" s="7" t="n"/>
      <c r="I5025" s="7" t="n"/>
      <c r="J5025" s="7" t="n"/>
      <c r="K5025">
        <f>IF(D5025="Legitimate Interest (GDPR Art. 6(1)(f))", "Yes / Required (Sheet 3)", "")</f>
        <v/>
      </c>
      <c r="L5025" s="7" t="n"/>
      <c r="M5025" s="7" t="n"/>
      <c r="N5025">
        <f>IF(D5025="", "Gap - No Legal Basis", IF(AND(D5025="Consent (GDPR Art. 6(1)(a))", I5025="Not Captured"), "Gap - Invalid Consent", IF(AND(D5025="Legitimate Interest (GDPR Art. 6(1)(f))", L5025=""), "Gap - Missing LIA", IF(AND(G5025="Yes", H5025=""), "Gap - Missing Art. 9 Basis", IF(OR(I5025="Invalid - Not Freely Given", I5025="Invalid - Not Specific", I5025="Invalid - Not Informed", I5025="Invalid - Ambiguous"), "Gap - Invalid Consent", "Compliant")))))</f>
        <v/>
      </c>
      <c r="O5025" s="7" t="n"/>
    </row>
    <row r="5026">
      <c r="A5026" s="7" t="n"/>
      <c r="B5026" s="7" t="n"/>
      <c r="C5026" s="7" t="n"/>
      <c r="D5026" s="7" t="n"/>
      <c r="E5026" s="7" t="n"/>
      <c r="F5026" s="7" t="n"/>
      <c r="G5026" s="7" t="n"/>
      <c r="H5026" s="7" t="n"/>
      <c r="I5026" s="7" t="n"/>
      <c r="J5026" s="7" t="n"/>
      <c r="K5026">
        <f>IF(D5026="Legitimate Interest (GDPR Art. 6(1)(f))", "Yes / Required (Sheet 3)", "")</f>
        <v/>
      </c>
      <c r="L5026" s="7" t="n"/>
      <c r="M5026" s="7" t="n"/>
      <c r="N5026">
        <f>IF(D5026="", "Gap - No Legal Basis", IF(AND(D5026="Consent (GDPR Art. 6(1)(a))", I5026="Not Captured"), "Gap - Invalid Consent", IF(AND(D5026="Legitimate Interest (GDPR Art. 6(1)(f))", L5026=""), "Gap - Missing LIA", IF(AND(G5026="Yes", H5026=""), "Gap - Missing Art. 9 Basis", IF(OR(I5026="Invalid - Not Freely Given", I5026="Invalid - Not Specific", I5026="Invalid - Not Informed", I5026="Invalid - Ambiguous"), "Gap - Invalid Consent", "Compliant")))))</f>
        <v/>
      </c>
      <c r="O5026" s="7" t="n"/>
    </row>
    <row r="5027">
      <c r="A5027" s="7" t="n"/>
      <c r="B5027" s="7" t="n"/>
      <c r="C5027" s="7" t="n"/>
      <c r="D5027" s="7" t="n"/>
      <c r="E5027" s="7" t="n"/>
      <c r="F5027" s="7" t="n"/>
      <c r="G5027" s="7" t="n"/>
      <c r="H5027" s="7" t="n"/>
      <c r="I5027" s="7" t="n"/>
      <c r="J5027" s="7" t="n"/>
      <c r="K5027">
        <f>IF(D5027="Legitimate Interest (GDPR Art. 6(1)(f))", "Yes / Required (Sheet 3)", "")</f>
        <v/>
      </c>
      <c r="L5027" s="7" t="n"/>
      <c r="M5027" s="7" t="n"/>
      <c r="N5027">
        <f>IF(D5027="", "Gap - No Legal Basis", IF(AND(D5027="Consent (GDPR Art. 6(1)(a))", I5027="Not Captured"), "Gap - Invalid Consent", IF(AND(D5027="Legitimate Interest (GDPR Art. 6(1)(f))", L5027=""), "Gap - Missing LIA", IF(AND(G5027="Yes", H5027=""), "Gap - Missing Art. 9 Basis", IF(OR(I5027="Invalid - Not Freely Given", I5027="Invalid - Not Specific", I5027="Invalid - Not Informed", I5027="Invalid - Ambiguous"), "Gap - Invalid Consent", "Compliant")))))</f>
        <v/>
      </c>
      <c r="O5027" s="7" t="n"/>
    </row>
    <row r="5028">
      <c r="A5028" s="7" t="n"/>
      <c r="B5028" s="7" t="n"/>
      <c r="C5028" s="7" t="n"/>
      <c r="D5028" s="7" t="n"/>
      <c r="E5028" s="7" t="n"/>
      <c r="F5028" s="7" t="n"/>
      <c r="G5028" s="7" t="n"/>
      <c r="H5028" s="7" t="n"/>
      <c r="I5028" s="7" t="n"/>
      <c r="J5028" s="7" t="n"/>
      <c r="K5028">
        <f>IF(D5028="Legitimate Interest (GDPR Art. 6(1)(f))", "Yes / Required (Sheet 3)", "")</f>
        <v/>
      </c>
      <c r="L5028" s="7" t="n"/>
      <c r="M5028" s="7" t="n"/>
      <c r="N5028">
        <f>IF(D5028="", "Gap - No Legal Basis", IF(AND(D5028="Consent (GDPR Art. 6(1)(a))", I5028="Not Captured"), "Gap - Invalid Consent", IF(AND(D5028="Legitimate Interest (GDPR Art. 6(1)(f))", L5028=""), "Gap - Missing LIA", IF(AND(G5028="Yes", H5028=""), "Gap - Missing Art. 9 Basis", IF(OR(I5028="Invalid - Not Freely Given", I5028="Invalid - Not Specific", I5028="Invalid - Not Informed", I5028="Invalid - Ambiguous"), "Gap - Invalid Consent", "Compliant")))))</f>
        <v/>
      </c>
      <c r="O5028" s="7" t="n"/>
    </row>
    <row r="5029">
      <c r="A5029" s="7" t="n"/>
      <c r="B5029" s="7" t="n"/>
      <c r="C5029" s="7" t="n"/>
      <c r="D5029" s="7" t="n"/>
      <c r="E5029" s="7" t="n"/>
      <c r="F5029" s="7" t="n"/>
      <c r="G5029" s="7" t="n"/>
      <c r="H5029" s="7" t="n"/>
      <c r="I5029" s="7" t="n"/>
      <c r="J5029" s="7" t="n"/>
      <c r="K5029">
        <f>IF(D5029="Legitimate Interest (GDPR Art. 6(1)(f))", "Yes / Required (Sheet 3)", "")</f>
        <v/>
      </c>
      <c r="L5029" s="7" t="n"/>
      <c r="M5029" s="7" t="n"/>
      <c r="N5029">
        <f>IF(D5029="", "Gap - No Legal Basis", IF(AND(D5029="Consent (GDPR Art. 6(1)(a))", I5029="Not Captured"), "Gap - Invalid Consent", IF(AND(D5029="Legitimate Interest (GDPR Art. 6(1)(f))", L5029=""), "Gap - Missing LIA", IF(AND(G5029="Yes", H5029=""), "Gap - Missing Art. 9 Basis", IF(OR(I5029="Invalid - Not Freely Given", I5029="Invalid - Not Specific", I5029="Invalid - Not Informed", I5029="Invalid - Ambiguous"), "Gap - Invalid Consent", "Compliant")))))</f>
        <v/>
      </c>
      <c r="O5029" s="7" t="n"/>
    </row>
    <row r="5030">
      <c r="A5030" s="7" t="n"/>
      <c r="B5030" s="7" t="n"/>
      <c r="C5030" s="7" t="n"/>
      <c r="D5030" s="7" t="n"/>
      <c r="E5030" s="7" t="n"/>
      <c r="F5030" s="7" t="n"/>
      <c r="G5030" s="7" t="n"/>
      <c r="H5030" s="7" t="n"/>
      <c r="I5030" s="7" t="n"/>
      <c r="J5030" s="7" t="n"/>
      <c r="K5030">
        <f>IF(D5030="Legitimate Interest (GDPR Art. 6(1)(f))", "Yes / Required (Sheet 3)", "")</f>
        <v/>
      </c>
      <c r="L5030" s="7" t="n"/>
      <c r="M5030" s="7" t="n"/>
      <c r="N5030">
        <f>IF(D5030="", "Gap - No Legal Basis", IF(AND(D5030="Consent (GDPR Art. 6(1)(a))", I5030="Not Captured"), "Gap - Invalid Consent", IF(AND(D5030="Legitimate Interest (GDPR Art. 6(1)(f))", L5030=""), "Gap - Missing LIA", IF(AND(G5030="Yes", H5030=""), "Gap - Missing Art. 9 Basis", IF(OR(I5030="Invalid - Not Freely Given", I5030="Invalid - Not Specific", I5030="Invalid - Not Informed", I5030="Invalid - Ambiguous"), "Gap - Invalid Consent", "Compliant")))))</f>
        <v/>
      </c>
      <c r="O5030" s="7" t="n"/>
    </row>
    <row r="5031">
      <c r="A5031" s="7" t="n"/>
      <c r="B5031" s="7" t="n"/>
      <c r="C5031" s="7" t="n"/>
      <c r="D5031" s="7" t="n"/>
      <c r="E5031" s="7" t="n"/>
      <c r="F5031" s="7" t="n"/>
      <c r="G5031" s="7" t="n"/>
      <c r="H5031" s="7" t="n"/>
      <c r="I5031" s="7" t="n"/>
      <c r="J5031" s="7" t="n"/>
      <c r="K5031">
        <f>IF(D5031="Legitimate Interest (GDPR Art. 6(1)(f))", "Yes / Required (Sheet 3)", "")</f>
        <v/>
      </c>
      <c r="L5031" s="7" t="n"/>
      <c r="M5031" s="7" t="n"/>
      <c r="N5031">
        <f>IF(D5031="", "Gap - No Legal Basis", IF(AND(D5031="Consent (GDPR Art. 6(1)(a))", I5031="Not Captured"), "Gap - Invalid Consent", IF(AND(D5031="Legitimate Interest (GDPR Art. 6(1)(f))", L5031=""), "Gap - Missing LIA", IF(AND(G5031="Yes", H5031=""), "Gap - Missing Art. 9 Basis", IF(OR(I5031="Invalid - Not Freely Given", I5031="Invalid - Not Specific", I5031="Invalid - Not Informed", I5031="Invalid - Ambiguous"), "Gap - Invalid Consent", "Compliant")))))</f>
        <v/>
      </c>
      <c r="O5031" s="7" t="n"/>
    </row>
    <row r="5032">
      <c r="A5032" s="7" t="n"/>
      <c r="B5032" s="7" t="n"/>
      <c r="C5032" s="7" t="n"/>
      <c r="D5032" s="7" t="n"/>
      <c r="E5032" s="7" t="n"/>
      <c r="F5032" s="7" t="n"/>
      <c r="G5032" s="7" t="n"/>
      <c r="H5032" s="7" t="n"/>
      <c r="I5032" s="7" t="n"/>
      <c r="J5032" s="7" t="n"/>
      <c r="K5032">
        <f>IF(D5032="Legitimate Interest (GDPR Art. 6(1)(f))", "Yes / Required (Sheet 3)", "")</f>
        <v/>
      </c>
      <c r="L5032" s="7" t="n"/>
      <c r="M5032" s="7" t="n"/>
      <c r="N5032">
        <f>IF(D5032="", "Gap - No Legal Basis", IF(AND(D5032="Consent (GDPR Art. 6(1)(a))", I5032="Not Captured"), "Gap - Invalid Consent", IF(AND(D5032="Legitimate Interest (GDPR Art. 6(1)(f))", L5032=""), "Gap - Missing LIA", IF(AND(G5032="Yes", H5032=""), "Gap - Missing Art. 9 Basis", IF(OR(I5032="Invalid - Not Freely Given", I5032="Invalid - Not Specific", I5032="Invalid - Not Informed", I5032="Invalid - Ambiguous"), "Gap - Invalid Consent", "Compliant")))))</f>
        <v/>
      </c>
      <c r="O5032" s="7" t="n"/>
    </row>
    <row r="5033">
      <c r="A5033" s="7" t="n"/>
      <c r="B5033" s="7" t="n"/>
      <c r="C5033" s="7" t="n"/>
      <c r="D5033" s="7" t="n"/>
      <c r="E5033" s="7" t="n"/>
      <c r="F5033" s="7" t="n"/>
      <c r="G5033" s="7" t="n"/>
      <c r="H5033" s="7" t="n"/>
      <c r="I5033" s="7" t="n"/>
      <c r="J5033" s="7" t="n"/>
      <c r="K5033">
        <f>IF(D5033="Legitimate Interest (GDPR Art. 6(1)(f))", "Yes / Required (Sheet 3)", "")</f>
        <v/>
      </c>
      <c r="L5033" s="7" t="n"/>
      <c r="M5033" s="7" t="n"/>
      <c r="N5033">
        <f>IF(D5033="", "Gap - No Legal Basis", IF(AND(D5033="Consent (GDPR Art. 6(1)(a))", I5033="Not Captured"), "Gap - Invalid Consent", IF(AND(D5033="Legitimate Interest (GDPR Art. 6(1)(f))", L5033=""), "Gap - Missing LIA", IF(AND(G5033="Yes", H5033=""), "Gap - Missing Art. 9 Basis", IF(OR(I5033="Invalid - Not Freely Given", I5033="Invalid - Not Specific", I5033="Invalid - Not Informed", I5033="Invalid - Ambiguous"), "Gap - Invalid Consent", "Compliant")))))</f>
        <v/>
      </c>
      <c r="O5033" s="7" t="n"/>
    </row>
    <row r="5034">
      <c r="A5034" s="7" t="n"/>
      <c r="B5034" s="7" t="n"/>
      <c r="C5034" s="7" t="n"/>
      <c r="D5034" s="7" t="n"/>
      <c r="E5034" s="7" t="n"/>
      <c r="F5034" s="7" t="n"/>
      <c r="G5034" s="7" t="n"/>
      <c r="H5034" s="7" t="n"/>
      <c r="I5034" s="7" t="n"/>
      <c r="J5034" s="7" t="n"/>
      <c r="K5034">
        <f>IF(D5034="Legitimate Interest (GDPR Art. 6(1)(f))", "Yes / Required (Sheet 3)", "")</f>
        <v/>
      </c>
      <c r="L5034" s="7" t="n"/>
      <c r="M5034" s="7" t="n"/>
      <c r="N5034">
        <f>IF(D5034="", "Gap - No Legal Basis", IF(AND(D5034="Consent (GDPR Art. 6(1)(a))", I5034="Not Captured"), "Gap - Invalid Consent", IF(AND(D5034="Legitimate Interest (GDPR Art. 6(1)(f))", L5034=""), "Gap - Missing LIA", IF(AND(G5034="Yes", H5034=""), "Gap - Missing Art. 9 Basis", IF(OR(I5034="Invalid - Not Freely Given", I5034="Invalid - Not Specific", I5034="Invalid - Not Informed", I5034="Invalid - Ambiguous"), "Gap - Invalid Consent", "Compliant")))))</f>
        <v/>
      </c>
      <c r="O5034" s="7" t="n"/>
    </row>
    <row r="5035">
      <c r="A5035" s="7" t="n"/>
      <c r="B5035" s="7" t="n"/>
      <c r="C5035" s="7" t="n"/>
      <c r="D5035" s="7" t="n"/>
      <c r="E5035" s="7" t="n"/>
      <c r="F5035" s="7" t="n"/>
      <c r="G5035" s="7" t="n"/>
      <c r="H5035" s="7" t="n"/>
      <c r="I5035" s="7" t="n"/>
      <c r="J5035" s="7" t="n"/>
      <c r="K5035">
        <f>IF(D5035="Legitimate Interest (GDPR Art. 6(1)(f))", "Yes / Required (Sheet 3)", "")</f>
        <v/>
      </c>
      <c r="L5035" s="7" t="n"/>
      <c r="M5035" s="7" t="n"/>
      <c r="N5035">
        <f>IF(D5035="", "Gap - No Legal Basis", IF(AND(D5035="Consent (GDPR Art. 6(1)(a))", I5035="Not Captured"), "Gap - Invalid Consent", IF(AND(D5035="Legitimate Interest (GDPR Art. 6(1)(f))", L5035=""), "Gap - Missing LIA", IF(AND(G5035="Yes", H5035=""), "Gap - Missing Art. 9 Basis", IF(OR(I5035="Invalid - Not Freely Given", I5035="Invalid - Not Specific", I5035="Invalid - Not Informed", I5035="Invalid - Ambiguous"), "Gap - Invalid Consent", "Compliant")))))</f>
        <v/>
      </c>
      <c r="O5035" s="7" t="n"/>
    </row>
    <row r="5036">
      <c r="A5036" s="7" t="n"/>
      <c r="B5036" s="7" t="n"/>
      <c r="C5036" s="7" t="n"/>
      <c r="D5036" s="7" t="n"/>
      <c r="E5036" s="7" t="n"/>
      <c r="F5036" s="7" t="n"/>
      <c r="G5036" s="7" t="n"/>
      <c r="H5036" s="7" t="n"/>
      <c r="I5036" s="7" t="n"/>
      <c r="J5036" s="7" t="n"/>
      <c r="K5036">
        <f>IF(D5036="Legitimate Interest (GDPR Art. 6(1)(f))", "Yes / Required (Sheet 3)", "")</f>
        <v/>
      </c>
      <c r="L5036" s="7" t="n"/>
      <c r="M5036" s="7" t="n"/>
      <c r="N5036">
        <f>IF(D5036="", "Gap - No Legal Basis", IF(AND(D5036="Consent (GDPR Art. 6(1)(a))", I5036="Not Captured"), "Gap - Invalid Consent", IF(AND(D5036="Legitimate Interest (GDPR Art. 6(1)(f))", L5036=""), "Gap - Missing LIA", IF(AND(G5036="Yes", H5036=""), "Gap - Missing Art. 9 Basis", IF(OR(I5036="Invalid - Not Freely Given", I5036="Invalid - Not Specific", I5036="Invalid - Not Informed", I5036="Invalid - Ambiguous"), "Gap - Invalid Consent", "Compliant")))))</f>
        <v/>
      </c>
      <c r="O5036" s="7" t="n"/>
    </row>
    <row r="5037">
      <c r="A5037" s="7" t="n"/>
      <c r="B5037" s="7" t="n"/>
      <c r="C5037" s="7" t="n"/>
      <c r="D5037" s="7" t="n"/>
      <c r="E5037" s="7" t="n"/>
      <c r="F5037" s="7" t="n"/>
      <c r="G5037" s="7" t="n"/>
      <c r="H5037" s="7" t="n"/>
      <c r="I5037" s="7" t="n"/>
      <c r="J5037" s="7" t="n"/>
      <c r="K5037">
        <f>IF(D5037="Legitimate Interest (GDPR Art. 6(1)(f))", "Yes / Required (Sheet 3)", "")</f>
        <v/>
      </c>
      <c r="L5037" s="7" t="n"/>
      <c r="M5037" s="7" t="n"/>
      <c r="N5037">
        <f>IF(D5037="", "Gap - No Legal Basis", IF(AND(D5037="Consent (GDPR Art. 6(1)(a))", I5037="Not Captured"), "Gap - Invalid Consent", IF(AND(D5037="Legitimate Interest (GDPR Art. 6(1)(f))", L5037=""), "Gap - Missing LIA", IF(AND(G5037="Yes", H5037=""), "Gap - Missing Art. 9 Basis", IF(OR(I5037="Invalid - Not Freely Given", I5037="Invalid - Not Specific", I5037="Invalid - Not Informed", I5037="Invalid - Ambiguous"), "Gap - Invalid Consent", "Compliant")))))</f>
        <v/>
      </c>
      <c r="O5037" s="7" t="n"/>
    </row>
    <row r="5038">
      <c r="A5038" s="7" t="n"/>
      <c r="B5038" s="7" t="n"/>
      <c r="C5038" s="7" t="n"/>
      <c r="D5038" s="7" t="n"/>
      <c r="E5038" s="7" t="n"/>
      <c r="F5038" s="7" t="n"/>
      <c r="G5038" s="7" t="n"/>
      <c r="H5038" s="7" t="n"/>
      <c r="I5038" s="7" t="n"/>
      <c r="J5038" s="7" t="n"/>
      <c r="K5038">
        <f>IF(D5038="Legitimate Interest (GDPR Art. 6(1)(f))", "Yes / Required (Sheet 3)", "")</f>
        <v/>
      </c>
      <c r="L5038" s="7" t="n"/>
      <c r="M5038" s="7" t="n"/>
      <c r="N5038">
        <f>IF(D5038="", "Gap - No Legal Basis", IF(AND(D5038="Consent (GDPR Art. 6(1)(a))", I5038="Not Captured"), "Gap - Invalid Consent", IF(AND(D5038="Legitimate Interest (GDPR Art. 6(1)(f))", L5038=""), "Gap - Missing LIA", IF(AND(G5038="Yes", H5038=""), "Gap - Missing Art. 9 Basis", IF(OR(I5038="Invalid - Not Freely Given", I5038="Invalid - Not Specific", I5038="Invalid - Not Informed", I5038="Invalid - Ambiguous"), "Gap - Invalid Consent", "Compliant")))))</f>
        <v/>
      </c>
      <c r="O5038" s="7" t="n"/>
    </row>
    <row r="5039">
      <c r="A5039" s="7" t="n"/>
      <c r="B5039" s="7" t="n"/>
      <c r="C5039" s="7" t="n"/>
      <c r="D5039" s="7" t="n"/>
      <c r="E5039" s="7" t="n"/>
      <c r="F5039" s="7" t="n"/>
      <c r="G5039" s="7" t="n"/>
      <c r="H5039" s="7" t="n"/>
      <c r="I5039" s="7" t="n"/>
      <c r="J5039" s="7" t="n"/>
      <c r="K5039">
        <f>IF(D5039="Legitimate Interest (GDPR Art. 6(1)(f))", "Yes / Required (Sheet 3)", "")</f>
        <v/>
      </c>
      <c r="L5039" s="7" t="n"/>
      <c r="M5039" s="7" t="n"/>
      <c r="N5039">
        <f>IF(D5039="", "Gap - No Legal Basis", IF(AND(D5039="Consent (GDPR Art. 6(1)(a))", I5039="Not Captured"), "Gap - Invalid Consent", IF(AND(D5039="Legitimate Interest (GDPR Art. 6(1)(f))", L5039=""), "Gap - Missing LIA", IF(AND(G5039="Yes", H5039=""), "Gap - Missing Art. 9 Basis", IF(OR(I5039="Invalid - Not Freely Given", I5039="Invalid - Not Specific", I5039="Invalid - Not Informed", I5039="Invalid - Ambiguous"), "Gap - Invalid Consent", "Compliant")))))</f>
        <v/>
      </c>
      <c r="O5039" s="7" t="n"/>
    </row>
    <row r="5040">
      <c r="A5040" s="7" t="n"/>
      <c r="B5040" s="7" t="n"/>
      <c r="C5040" s="7" t="n"/>
      <c r="D5040" s="7" t="n"/>
      <c r="E5040" s="7" t="n"/>
      <c r="F5040" s="7" t="n"/>
      <c r="G5040" s="7" t="n"/>
      <c r="H5040" s="7" t="n"/>
      <c r="I5040" s="7" t="n"/>
      <c r="J5040" s="7" t="n"/>
      <c r="K5040">
        <f>IF(D5040="Legitimate Interest (GDPR Art. 6(1)(f))", "Yes / Required (Sheet 3)", "")</f>
        <v/>
      </c>
      <c r="L5040" s="7" t="n"/>
      <c r="M5040" s="7" t="n"/>
      <c r="N5040">
        <f>IF(D5040="", "Gap - No Legal Basis", IF(AND(D5040="Consent (GDPR Art. 6(1)(a))", I5040="Not Captured"), "Gap - Invalid Consent", IF(AND(D5040="Legitimate Interest (GDPR Art. 6(1)(f))", L5040=""), "Gap - Missing LIA", IF(AND(G5040="Yes", H5040=""), "Gap - Missing Art. 9 Basis", IF(OR(I5040="Invalid - Not Freely Given", I5040="Invalid - Not Specific", I5040="Invalid - Not Informed", I5040="Invalid - Ambiguous"), "Gap - Invalid Consent", "Compliant")))))</f>
        <v/>
      </c>
      <c r="O5040" s="7" t="n"/>
    </row>
    <row r="5041">
      <c r="A5041" s="7" t="n"/>
      <c r="B5041" s="7" t="n"/>
      <c r="C5041" s="7" t="n"/>
      <c r="D5041" s="7" t="n"/>
      <c r="E5041" s="7" t="n"/>
      <c r="F5041" s="7" t="n"/>
      <c r="G5041" s="7" t="n"/>
      <c r="H5041" s="7" t="n"/>
      <c r="I5041" s="7" t="n"/>
      <c r="J5041" s="7" t="n"/>
      <c r="K5041">
        <f>IF(D5041="Legitimate Interest (GDPR Art. 6(1)(f))", "Yes / Required (Sheet 3)", "")</f>
        <v/>
      </c>
      <c r="L5041" s="7" t="n"/>
      <c r="M5041" s="7" t="n"/>
      <c r="N5041">
        <f>IF(D5041="", "Gap - No Legal Basis", IF(AND(D5041="Consent (GDPR Art. 6(1)(a))", I5041="Not Captured"), "Gap - Invalid Consent", IF(AND(D5041="Legitimate Interest (GDPR Art. 6(1)(f))", L5041=""), "Gap - Missing LIA", IF(AND(G5041="Yes", H5041=""), "Gap - Missing Art. 9 Basis", IF(OR(I5041="Invalid - Not Freely Given", I5041="Invalid - Not Specific", I5041="Invalid - Not Informed", I5041="Invalid - Ambiguous"), "Gap - Invalid Consent", "Compliant")))))</f>
        <v/>
      </c>
      <c r="O5041" s="7" t="n"/>
    </row>
    <row r="5042">
      <c r="A5042" s="7" t="n"/>
      <c r="B5042" s="7" t="n"/>
      <c r="C5042" s="7" t="n"/>
      <c r="D5042" s="7" t="n"/>
      <c r="E5042" s="7" t="n"/>
      <c r="F5042" s="7" t="n"/>
      <c r="G5042" s="7" t="n"/>
      <c r="H5042" s="7" t="n"/>
      <c r="I5042" s="7" t="n"/>
      <c r="J5042" s="7" t="n"/>
      <c r="K5042">
        <f>IF(D5042="Legitimate Interest (GDPR Art. 6(1)(f))", "Yes / Required (Sheet 3)", "")</f>
        <v/>
      </c>
      <c r="L5042" s="7" t="n"/>
      <c r="M5042" s="7" t="n"/>
      <c r="N5042">
        <f>IF(D5042="", "Gap - No Legal Basis", IF(AND(D5042="Consent (GDPR Art. 6(1)(a))", I5042="Not Captured"), "Gap - Invalid Consent", IF(AND(D5042="Legitimate Interest (GDPR Art. 6(1)(f))", L5042=""), "Gap - Missing LIA", IF(AND(G5042="Yes", H5042=""), "Gap - Missing Art. 9 Basis", IF(OR(I5042="Invalid - Not Freely Given", I5042="Invalid - Not Specific", I5042="Invalid - Not Informed", I5042="Invalid - Ambiguous"), "Gap - Invalid Consent", "Compliant")))))</f>
        <v/>
      </c>
      <c r="O5042" s="7" t="n"/>
    </row>
    <row r="5043">
      <c r="A5043" s="7" t="n"/>
      <c r="B5043" s="7" t="n"/>
      <c r="C5043" s="7" t="n"/>
      <c r="D5043" s="7" t="n"/>
      <c r="E5043" s="7" t="n"/>
      <c r="F5043" s="7" t="n"/>
      <c r="G5043" s="7" t="n"/>
      <c r="H5043" s="7" t="n"/>
      <c r="I5043" s="7" t="n"/>
      <c r="J5043" s="7" t="n"/>
      <c r="K5043">
        <f>IF(D5043="Legitimate Interest (GDPR Art. 6(1)(f))", "Yes / Required (Sheet 3)", "")</f>
        <v/>
      </c>
      <c r="L5043" s="7" t="n"/>
      <c r="M5043" s="7" t="n"/>
      <c r="N5043">
        <f>IF(D5043="", "Gap - No Legal Basis", IF(AND(D5043="Consent (GDPR Art. 6(1)(a))", I5043="Not Captured"), "Gap - Invalid Consent", IF(AND(D5043="Legitimate Interest (GDPR Art. 6(1)(f))", L5043=""), "Gap - Missing LIA", IF(AND(G5043="Yes", H5043=""), "Gap - Missing Art. 9 Basis", IF(OR(I5043="Invalid - Not Freely Given", I5043="Invalid - Not Specific", I5043="Invalid - Not Informed", I5043="Invalid - Ambiguous"), "Gap - Invalid Consent", "Compliant")))))</f>
        <v/>
      </c>
      <c r="O5043" s="7" t="n"/>
    </row>
    <row r="5044">
      <c r="A5044" s="7" t="n"/>
      <c r="B5044" s="7" t="n"/>
      <c r="C5044" s="7" t="n"/>
      <c r="D5044" s="7" t="n"/>
      <c r="E5044" s="7" t="n"/>
      <c r="F5044" s="7" t="n"/>
      <c r="G5044" s="7" t="n"/>
      <c r="H5044" s="7" t="n"/>
      <c r="I5044" s="7" t="n"/>
      <c r="J5044" s="7" t="n"/>
      <c r="K5044">
        <f>IF(D5044="Legitimate Interest (GDPR Art. 6(1)(f))", "Yes / Required (Sheet 3)", "")</f>
        <v/>
      </c>
      <c r="L5044" s="7" t="n"/>
      <c r="M5044" s="7" t="n"/>
      <c r="N5044">
        <f>IF(D5044="", "Gap - No Legal Basis", IF(AND(D5044="Consent (GDPR Art. 6(1)(a))", I5044="Not Captured"), "Gap - Invalid Consent", IF(AND(D5044="Legitimate Interest (GDPR Art. 6(1)(f))", L5044=""), "Gap - Missing LIA", IF(AND(G5044="Yes", H5044=""), "Gap - Missing Art. 9 Basis", IF(OR(I5044="Invalid - Not Freely Given", I5044="Invalid - Not Specific", I5044="Invalid - Not Informed", I5044="Invalid - Ambiguous"), "Gap - Invalid Consent", "Compliant")))))</f>
        <v/>
      </c>
      <c r="O5044" s="7" t="n"/>
    </row>
    <row r="5045">
      <c r="A5045" s="7" t="n"/>
      <c r="B5045" s="7" t="n"/>
      <c r="C5045" s="7" t="n"/>
      <c r="D5045" s="7" t="n"/>
      <c r="E5045" s="7" t="n"/>
      <c r="F5045" s="7" t="n"/>
      <c r="G5045" s="7" t="n"/>
      <c r="H5045" s="7" t="n"/>
      <c r="I5045" s="7" t="n"/>
      <c r="J5045" s="7" t="n"/>
      <c r="K5045">
        <f>IF(D5045="Legitimate Interest (GDPR Art. 6(1)(f))", "Yes / Required (Sheet 3)", "")</f>
        <v/>
      </c>
      <c r="L5045" s="7" t="n"/>
      <c r="M5045" s="7" t="n"/>
      <c r="N5045">
        <f>IF(D5045="", "Gap - No Legal Basis", IF(AND(D5045="Consent (GDPR Art. 6(1)(a))", I5045="Not Captured"), "Gap - Invalid Consent", IF(AND(D5045="Legitimate Interest (GDPR Art. 6(1)(f))", L5045=""), "Gap - Missing LIA", IF(AND(G5045="Yes", H5045=""), "Gap - Missing Art. 9 Basis", IF(OR(I5045="Invalid - Not Freely Given", I5045="Invalid - Not Specific", I5045="Invalid - Not Informed", I5045="Invalid - Ambiguous"), "Gap - Invalid Consent", "Compliant")))))</f>
        <v/>
      </c>
      <c r="O5045" s="7" t="n"/>
    </row>
    <row r="5046">
      <c r="A5046" s="7" t="n"/>
      <c r="B5046" s="7" t="n"/>
      <c r="C5046" s="7" t="n"/>
      <c r="D5046" s="7" t="n"/>
      <c r="E5046" s="7" t="n"/>
      <c r="F5046" s="7" t="n"/>
      <c r="G5046" s="7" t="n"/>
      <c r="H5046" s="7" t="n"/>
      <c r="I5046" s="7" t="n"/>
      <c r="J5046" s="7" t="n"/>
      <c r="K5046">
        <f>IF(D5046="Legitimate Interest (GDPR Art. 6(1)(f))", "Yes / Required (Sheet 3)", "")</f>
        <v/>
      </c>
      <c r="L5046" s="7" t="n"/>
      <c r="M5046" s="7" t="n"/>
      <c r="N5046">
        <f>IF(D5046="", "Gap - No Legal Basis", IF(AND(D5046="Consent (GDPR Art. 6(1)(a))", I5046="Not Captured"), "Gap - Invalid Consent", IF(AND(D5046="Legitimate Interest (GDPR Art. 6(1)(f))", L5046=""), "Gap - Missing LIA", IF(AND(G5046="Yes", H5046=""), "Gap - Missing Art. 9 Basis", IF(OR(I5046="Invalid - Not Freely Given", I5046="Invalid - Not Specific", I5046="Invalid - Not Informed", I5046="Invalid - Ambiguous"), "Gap - Invalid Consent", "Compliant")))))</f>
        <v/>
      </c>
      <c r="O5046" s="7" t="n"/>
    </row>
    <row r="5047">
      <c r="A5047" s="7" t="n"/>
      <c r="B5047" s="7" t="n"/>
      <c r="C5047" s="7" t="n"/>
      <c r="D5047" s="7" t="n"/>
      <c r="E5047" s="7" t="n"/>
      <c r="F5047" s="7" t="n"/>
      <c r="G5047" s="7" t="n"/>
      <c r="H5047" s="7" t="n"/>
      <c r="I5047" s="7" t="n"/>
      <c r="J5047" s="7" t="n"/>
      <c r="K5047">
        <f>IF(D5047="Legitimate Interest (GDPR Art. 6(1)(f))", "Yes / Required (Sheet 3)", "")</f>
        <v/>
      </c>
      <c r="L5047" s="7" t="n"/>
      <c r="M5047" s="7" t="n"/>
      <c r="N5047">
        <f>IF(D5047="", "Gap - No Legal Basis", IF(AND(D5047="Consent (GDPR Art. 6(1)(a))", I5047="Not Captured"), "Gap - Invalid Consent", IF(AND(D5047="Legitimate Interest (GDPR Art. 6(1)(f))", L5047=""), "Gap - Missing LIA", IF(AND(G5047="Yes", H5047=""), "Gap - Missing Art. 9 Basis", IF(OR(I5047="Invalid - Not Freely Given", I5047="Invalid - Not Specific", I5047="Invalid - Not Informed", I5047="Invalid - Ambiguous"), "Gap - Invalid Consent", "Compliant")))))</f>
        <v/>
      </c>
      <c r="O5047" s="7" t="n"/>
    </row>
    <row r="5048">
      <c r="A5048" s="7" t="n"/>
      <c r="B5048" s="7" t="n"/>
      <c r="C5048" s="7" t="n"/>
      <c r="D5048" s="7" t="n"/>
      <c r="E5048" s="7" t="n"/>
      <c r="F5048" s="7" t="n"/>
      <c r="G5048" s="7" t="n"/>
      <c r="H5048" s="7" t="n"/>
      <c r="I5048" s="7" t="n"/>
      <c r="J5048" s="7" t="n"/>
      <c r="K5048">
        <f>IF(D5048="Legitimate Interest (GDPR Art. 6(1)(f))", "Yes / Required (Sheet 3)", "")</f>
        <v/>
      </c>
      <c r="L5048" s="7" t="n"/>
      <c r="M5048" s="7" t="n"/>
      <c r="N5048">
        <f>IF(D5048="", "Gap - No Legal Basis", IF(AND(D5048="Consent (GDPR Art. 6(1)(a))", I5048="Not Captured"), "Gap - Invalid Consent", IF(AND(D5048="Legitimate Interest (GDPR Art. 6(1)(f))", L5048=""), "Gap - Missing LIA", IF(AND(G5048="Yes", H5048=""), "Gap - Missing Art. 9 Basis", IF(OR(I5048="Invalid - Not Freely Given", I5048="Invalid - Not Specific", I5048="Invalid - Not Informed", I5048="Invalid - Ambiguous"), "Gap - Invalid Consent", "Compliant")))))</f>
        <v/>
      </c>
      <c r="O5048" s="7" t="n"/>
    </row>
    <row r="5049">
      <c r="A5049" s="7" t="n"/>
      <c r="B5049" s="7" t="n"/>
      <c r="C5049" s="7" t="n"/>
      <c r="D5049" s="7" t="n"/>
      <c r="E5049" s="7" t="n"/>
      <c r="F5049" s="7" t="n"/>
      <c r="G5049" s="7" t="n"/>
      <c r="H5049" s="7" t="n"/>
      <c r="I5049" s="7" t="n"/>
      <c r="J5049" s="7" t="n"/>
      <c r="K5049">
        <f>IF(D5049="Legitimate Interest (GDPR Art. 6(1)(f))", "Yes / Required (Sheet 3)", "")</f>
        <v/>
      </c>
      <c r="L5049" s="7" t="n"/>
      <c r="M5049" s="7" t="n"/>
      <c r="N5049">
        <f>IF(D5049="", "Gap - No Legal Basis", IF(AND(D5049="Consent (GDPR Art. 6(1)(a))", I5049="Not Captured"), "Gap - Invalid Consent", IF(AND(D5049="Legitimate Interest (GDPR Art. 6(1)(f))", L5049=""), "Gap - Missing LIA", IF(AND(G5049="Yes", H5049=""), "Gap - Missing Art. 9 Basis", IF(OR(I5049="Invalid - Not Freely Given", I5049="Invalid - Not Specific", I5049="Invalid - Not Informed", I5049="Invalid - Ambiguous"), "Gap - Invalid Consent", "Compliant")))))</f>
        <v/>
      </c>
      <c r="O5049" s="7" t="n"/>
    </row>
    <row r="5050">
      <c r="A5050" s="7" t="n"/>
      <c r="B5050" s="7" t="n"/>
      <c r="C5050" s="7" t="n"/>
      <c r="D5050" s="7" t="n"/>
      <c r="E5050" s="7" t="n"/>
      <c r="F5050" s="7" t="n"/>
      <c r="G5050" s="7" t="n"/>
      <c r="H5050" s="7" t="n"/>
      <c r="I5050" s="7" t="n"/>
      <c r="J5050" s="7" t="n"/>
      <c r="K5050">
        <f>IF(D5050="Legitimate Interest (GDPR Art. 6(1)(f))", "Yes / Required (Sheet 3)", "")</f>
        <v/>
      </c>
      <c r="L5050" s="7" t="n"/>
      <c r="M5050" s="7" t="n"/>
      <c r="N5050">
        <f>IF(D5050="", "Gap - No Legal Basis", IF(AND(D5050="Consent (GDPR Art. 6(1)(a))", I5050="Not Captured"), "Gap - Invalid Consent", IF(AND(D5050="Legitimate Interest (GDPR Art. 6(1)(f))", L5050=""), "Gap - Missing LIA", IF(AND(G5050="Yes", H5050=""), "Gap - Missing Art. 9 Basis", IF(OR(I5050="Invalid - Not Freely Given", I5050="Invalid - Not Specific", I5050="Invalid - Not Informed", I5050="Invalid - Ambiguous"), "Gap - Invalid Consent", "Compliant")))))</f>
        <v/>
      </c>
      <c r="O5050" s="7" t="n"/>
    </row>
    <row r="5051">
      <c r="A5051" s="7" t="n"/>
      <c r="B5051" s="7" t="n"/>
      <c r="C5051" s="7" t="n"/>
      <c r="D5051" s="7" t="n"/>
      <c r="E5051" s="7" t="n"/>
      <c r="F5051" s="7" t="n"/>
      <c r="G5051" s="7" t="n"/>
      <c r="H5051" s="7" t="n"/>
      <c r="I5051" s="7" t="n"/>
      <c r="J5051" s="7" t="n"/>
      <c r="K5051">
        <f>IF(D5051="Legitimate Interest (GDPR Art. 6(1)(f))", "Yes / Required (Sheet 3)", "")</f>
        <v/>
      </c>
      <c r="L5051" s="7" t="n"/>
      <c r="M5051" s="7" t="n"/>
      <c r="N5051">
        <f>IF(D5051="", "Gap - No Legal Basis", IF(AND(D5051="Consent (GDPR Art. 6(1)(a))", I5051="Not Captured"), "Gap - Invalid Consent", IF(AND(D5051="Legitimate Interest (GDPR Art. 6(1)(f))", L5051=""), "Gap - Missing LIA", IF(AND(G5051="Yes", H5051=""), "Gap - Missing Art. 9 Basis", IF(OR(I5051="Invalid - Not Freely Given", I5051="Invalid - Not Specific", I5051="Invalid - Not Informed", I5051="Invalid - Ambiguous"), "Gap - Invalid Consent", "Compliant")))))</f>
        <v/>
      </c>
      <c r="O5051" s="7" t="n"/>
    </row>
    <row r="5052">
      <c r="A5052" s="7" t="n"/>
      <c r="B5052" s="7" t="n"/>
      <c r="C5052" s="7" t="n"/>
      <c r="D5052" s="7" t="n"/>
      <c r="E5052" s="7" t="n"/>
      <c r="F5052" s="7" t="n"/>
      <c r="G5052" s="7" t="n"/>
      <c r="H5052" s="7" t="n"/>
      <c r="I5052" s="7" t="n"/>
      <c r="J5052" s="7" t="n"/>
      <c r="K5052">
        <f>IF(D5052="Legitimate Interest (GDPR Art. 6(1)(f))", "Yes / Required (Sheet 3)", "")</f>
        <v/>
      </c>
      <c r="L5052" s="7" t="n"/>
      <c r="M5052" s="7" t="n"/>
      <c r="N5052">
        <f>IF(D5052="", "Gap - No Legal Basis", IF(AND(D5052="Consent (GDPR Art. 6(1)(a))", I5052="Not Captured"), "Gap - Invalid Consent", IF(AND(D5052="Legitimate Interest (GDPR Art. 6(1)(f))", L5052=""), "Gap - Missing LIA", IF(AND(G5052="Yes", H5052=""), "Gap - Missing Art. 9 Basis", IF(OR(I5052="Invalid - Not Freely Given", I5052="Invalid - Not Specific", I5052="Invalid - Not Informed", I5052="Invalid - Ambiguous"), "Gap - Invalid Consent", "Compliant")))))</f>
        <v/>
      </c>
      <c r="O5052" s="7" t="n"/>
    </row>
    <row r="5053">
      <c r="A5053" s="7" t="n"/>
      <c r="B5053" s="7" t="n"/>
      <c r="C5053" s="7" t="n"/>
      <c r="D5053" s="7" t="n"/>
      <c r="E5053" s="7" t="n"/>
      <c r="F5053" s="7" t="n"/>
      <c r="G5053" s="7" t="n"/>
      <c r="H5053" s="7" t="n"/>
      <c r="I5053" s="7" t="n"/>
      <c r="J5053" s="7" t="n"/>
      <c r="K5053">
        <f>IF(D5053="Legitimate Interest (GDPR Art. 6(1)(f))", "Yes / Required (Sheet 3)", "")</f>
        <v/>
      </c>
      <c r="L5053" s="7" t="n"/>
      <c r="M5053" s="7" t="n"/>
      <c r="N5053">
        <f>IF(D5053="", "Gap - No Legal Basis", IF(AND(D5053="Consent (GDPR Art. 6(1)(a))", I5053="Not Captured"), "Gap - Invalid Consent", IF(AND(D5053="Legitimate Interest (GDPR Art. 6(1)(f))", L5053=""), "Gap - Missing LIA", IF(AND(G5053="Yes", H5053=""), "Gap - Missing Art. 9 Basis", IF(OR(I5053="Invalid - Not Freely Given", I5053="Invalid - Not Specific", I5053="Invalid - Not Informed", I5053="Invalid - Ambiguous"), "Gap - Invalid Consent", "Compliant")))))</f>
        <v/>
      </c>
      <c r="O5053" s="7" t="n"/>
    </row>
    <row r="5054">
      <c r="A5054" s="7" t="n"/>
      <c r="B5054" s="7" t="n"/>
      <c r="C5054" s="7" t="n"/>
      <c r="D5054" s="7" t="n"/>
      <c r="E5054" s="7" t="n"/>
      <c r="F5054" s="7" t="n"/>
      <c r="G5054" s="7" t="n"/>
      <c r="H5054" s="7" t="n"/>
      <c r="I5054" s="7" t="n"/>
      <c r="J5054" s="7" t="n"/>
      <c r="K5054">
        <f>IF(D5054="Legitimate Interest (GDPR Art. 6(1)(f))", "Yes / Required (Sheet 3)", "")</f>
        <v/>
      </c>
      <c r="L5054" s="7" t="n"/>
      <c r="M5054" s="7" t="n"/>
      <c r="N5054">
        <f>IF(D5054="", "Gap - No Legal Basis", IF(AND(D5054="Consent (GDPR Art. 6(1)(a))", I5054="Not Captured"), "Gap - Invalid Consent", IF(AND(D5054="Legitimate Interest (GDPR Art. 6(1)(f))", L5054=""), "Gap - Missing LIA", IF(AND(G5054="Yes", H5054=""), "Gap - Missing Art. 9 Basis", IF(OR(I5054="Invalid - Not Freely Given", I5054="Invalid - Not Specific", I5054="Invalid - Not Informed", I5054="Invalid - Ambiguous"), "Gap - Invalid Consent", "Compliant")))))</f>
        <v/>
      </c>
      <c r="O5054" s="7" t="n"/>
    </row>
    <row r="5055">
      <c r="A5055" s="7" t="n"/>
      <c r="B5055" s="7" t="n"/>
      <c r="C5055" s="7" t="n"/>
      <c r="D5055" s="7" t="n"/>
      <c r="E5055" s="7" t="n"/>
      <c r="F5055" s="7" t="n"/>
      <c r="G5055" s="7" t="n"/>
      <c r="H5055" s="7" t="n"/>
      <c r="I5055" s="7" t="n"/>
      <c r="J5055" s="7" t="n"/>
      <c r="K5055">
        <f>IF(D5055="Legitimate Interest (GDPR Art. 6(1)(f))", "Yes / Required (Sheet 3)", "")</f>
        <v/>
      </c>
      <c r="L5055" s="7" t="n"/>
      <c r="M5055" s="7" t="n"/>
      <c r="N5055">
        <f>IF(D5055="", "Gap - No Legal Basis", IF(AND(D5055="Consent (GDPR Art. 6(1)(a))", I5055="Not Captured"), "Gap - Invalid Consent", IF(AND(D5055="Legitimate Interest (GDPR Art. 6(1)(f))", L5055=""), "Gap - Missing LIA", IF(AND(G5055="Yes", H5055=""), "Gap - Missing Art. 9 Basis", IF(OR(I5055="Invalid - Not Freely Given", I5055="Invalid - Not Specific", I5055="Invalid - Not Informed", I5055="Invalid - Ambiguous"), "Gap - Invalid Consent", "Compliant")))))</f>
        <v/>
      </c>
      <c r="O5055" s="7" t="n"/>
    </row>
    <row r="5056">
      <c r="A5056" s="7" t="n"/>
      <c r="B5056" s="7" t="n"/>
      <c r="C5056" s="7" t="n"/>
      <c r="D5056" s="7" t="n"/>
      <c r="E5056" s="7" t="n"/>
      <c r="F5056" s="7" t="n"/>
      <c r="G5056" s="7" t="n"/>
      <c r="H5056" s="7" t="n"/>
      <c r="I5056" s="7" t="n"/>
      <c r="J5056" s="7" t="n"/>
      <c r="K5056">
        <f>IF(D5056="Legitimate Interest (GDPR Art. 6(1)(f))", "Yes / Required (Sheet 3)", "")</f>
        <v/>
      </c>
      <c r="L5056" s="7" t="n"/>
      <c r="M5056" s="7" t="n"/>
      <c r="N5056">
        <f>IF(D5056="", "Gap - No Legal Basis", IF(AND(D5056="Consent (GDPR Art. 6(1)(a))", I5056="Not Captured"), "Gap - Invalid Consent", IF(AND(D5056="Legitimate Interest (GDPR Art. 6(1)(f))", L5056=""), "Gap - Missing LIA", IF(AND(G5056="Yes", H5056=""), "Gap - Missing Art. 9 Basis", IF(OR(I5056="Invalid - Not Freely Given", I5056="Invalid - Not Specific", I5056="Invalid - Not Informed", I5056="Invalid - Ambiguous"), "Gap - Invalid Consent", "Compliant")))))</f>
        <v/>
      </c>
      <c r="O5056" s="7" t="n"/>
    </row>
    <row r="5057">
      <c r="A5057" s="7" t="n"/>
      <c r="B5057" s="7" t="n"/>
      <c r="C5057" s="7" t="n"/>
      <c r="D5057" s="7" t="n"/>
      <c r="E5057" s="7" t="n"/>
      <c r="F5057" s="7" t="n"/>
      <c r="G5057" s="7" t="n"/>
      <c r="H5057" s="7" t="n"/>
      <c r="I5057" s="7" t="n"/>
      <c r="J5057" s="7" t="n"/>
      <c r="K5057">
        <f>IF(D5057="Legitimate Interest (GDPR Art. 6(1)(f))", "Yes / Required (Sheet 3)", "")</f>
        <v/>
      </c>
      <c r="L5057" s="7" t="n"/>
      <c r="M5057" s="7" t="n"/>
      <c r="N5057">
        <f>IF(D5057="", "Gap - No Legal Basis", IF(AND(D5057="Consent (GDPR Art. 6(1)(a))", I5057="Not Captured"), "Gap - Invalid Consent", IF(AND(D5057="Legitimate Interest (GDPR Art. 6(1)(f))", L5057=""), "Gap - Missing LIA", IF(AND(G5057="Yes", H5057=""), "Gap - Missing Art. 9 Basis", IF(OR(I5057="Invalid - Not Freely Given", I5057="Invalid - Not Specific", I5057="Invalid - Not Informed", I5057="Invalid - Ambiguous"), "Gap - Invalid Consent", "Compliant")))))</f>
        <v/>
      </c>
      <c r="O5057" s="7" t="n"/>
    </row>
    <row r="5058">
      <c r="A5058" s="7" t="n"/>
      <c r="B5058" s="7" t="n"/>
      <c r="C5058" s="7" t="n"/>
      <c r="D5058" s="7" t="n"/>
      <c r="E5058" s="7" t="n"/>
      <c r="F5058" s="7" t="n"/>
      <c r="G5058" s="7" t="n"/>
      <c r="H5058" s="7" t="n"/>
      <c r="I5058" s="7" t="n"/>
      <c r="J5058" s="7" t="n"/>
      <c r="K5058">
        <f>IF(D5058="Legitimate Interest (GDPR Art. 6(1)(f))", "Yes / Required (Sheet 3)", "")</f>
        <v/>
      </c>
      <c r="L5058" s="7" t="n"/>
      <c r="M5058" s="7" t="n"/>
      <c r="N5058">
        <f>IF(D5058="", "Gap - No Legal Basis", IF(AND(D5058="Consent (GDPR Art. 6(1)(a))", I5058="Not Captured"), "Gap - Invalid Consent", IF(AND(D5058="Legitimate Interest (GDPR Art. 6(1)(f))", L5058=""), "Gap - Missing LIA", IF(AND(G5058="Yes", H5058=""), "Gap - Missing Art. 9 Basis", IF(OR(I5058="Invalid - Not Freely Given", I5058="Invalid - Not Specific", I5058="Invalid - Not Informed", I5058="Invalid - Ambiguous"), "Gap - Invalid Consent", "Compliant")))))</f>
        <v/>
      </c>
      <c r="O5058" s="7" t="n"/>
    </row>
    <row r="5059">
      <c r="A5059" s="7" t="n"/>
      <c r="B5059" s="7" t="n"/>
      <c r="C5059" s="7" t="n"/>
      <c r="D5059" s="7" t="n"/>
      <c r="E5059" s="7" t="n"/>
      <c r="F5059" s="7" t="n"/>
      <c r="G5059" s="7" t="n"/>
      <c r="H5059" s="7" t="n"/>
      <c r="I5059" s="7" t="n"/>
      <c r="J5059" s="7" t="n"/>
      <c r="K5059">
        <f>IF(D5059="Legitimate Interest (GDPR Art. 6(1)(f))", "Yes / Required (Sheet 3)", "")</f>
        <v/>
      </c>
      <c r="L5059" s="7" t="n"/>
      <c r="M5059" s="7" t="n"/>
      <c r="N5059">
        <f>IF(D5059="", "Gap - No Legal Basis", IF(AND(D5059="Consent (GDPR Art. 6(1)(a))", I5059="Not Captured"), "Gap - Invalid Consent", IF(AND(D5059="Legitimate Interest (GDPR Art. 6(1)(f))", L5059=""), "Gap - Missing LIA", IF(AND(G5059="Yes", H5059=""), "Gap - Missing Art. 9 Basis", IF(OR(I5059="Invalid - Not Freely Given", I5059="Invalid - Not Specific", I5059="Invalid - Not Informed", I5059="Invalid - Ambiguous"), "Gap - Invalid Consent", "Compliant")))))</f>
        <v/>
      </c>
      <c r="O5059" s="7" t="n"/>
    </row>
    <row r="5060">
      <c r="A5060" s="7" t="n"/>
      <c r="B5060" s="7" t="n"/>
      <c r="C5060" s="7" t="n"/>
      <c r="D5060" s="7" t="n"/>
      <c r="E5060" s="7" t="n"/>
      <c r="F5060" s="7" t="n"/>
      <c r="G5060" s="7" t="n"/>
      <c r="H5060" s="7" t="n"/>
      <c r="I5060" s="7" t="n"/>
      <c r="J5060" s="7" t="n"/>
      <c r="K5060">
        <f>IF(D5060="Legitimate Interest (GDPR Art. 6(1)(f))", "Yes / Required (Sheet 3)", "")</f>
        <v/>
      </c>
      <c r="L5060" s="7" t="n"/>
      <c r="M5060" s="7" t="n"/>
      <c r="N5060">
        <f>IF(D5060="", "Gap - No Legal Basis", IF(AND(D5060="Consent (GDPR Art. 6(1)(a))", I5060="Not Captured"), "Gap - Invalid Consent", IF(AND(D5060="Legitimate Interest (GDPR Art. 6(1)(f))", L5060=""), "Gap - Missing LIA", IF(AND(G5060="Yes", H5060=""), "Gap - Missing Art. 9 Basis", IF(OR(I5060="Invalid - Not Freely Given", I5060="Invalid - Not Specific", I5060="Invalid - Not Informed", I5060="Invalid - Ambiguous"), "Gap - Invalid Consent", "Compliant")))))</f>
        <v/>
      </c>
      <c r="O5060" s="7" t="n"/>
    </row>
    <row r="5061">
      <c r="A5061" s="7" t="n"/>
      <c r="B5061" s="7" t="n"/>
      <c r="C5061" s="7" t="n"/>
      <c r="D5061" s="7" t="n"/>
      <c r="E5061" s="7" t="n"/>
      <c r="F5061" s="7" t="n"/>
      <c r="G5061" s="7" t="n"/>
      <c r="H5061" s="7" t="n"/>
      <c r="I5061" s="7" t="n"/>
      <c r="J5061" s="7" t="n"/>
      <c r="K5061">
        <f>IF(D5061="Legitimate Interest (GDPR Art. 6(1)(f))", "Yes / Required (Sheet 3)", "")</f>
        <v/>
      </c>
      <c r="L5061" s="7" t="n"/>
      <c r="M5061" s="7" t="n"/>
      <c r="N5061">
        <f>IF(D5061="", "Gap - No Legal Basis", IF(AND(D5061="Consent (GDPR Art. 6(1)(a))", I5061="Not Captured"), "Gap - Invalid Consent", IF(AND(D5061="Legitimate Interest (GDPR Art. 6(1)(f))", L5061=""), "Gap - Missing LIA", IF(AND(G5061="Yes", H5061=""), "Gap - Missing Art. 9 Basis", IF(OR(I5061="Invalid - Not Freely Given", I5061="Invalid - Not Specific", I5061="Invalid - Not Informed", I5061="Invalid - Ambiguous"), "Gap - Invalid Consent", "Compliant")))))</f>
        <v/>
      </c>
      <c r="O5061" s="7" t="n"/>
    </row>
    <row r="5062">
      <c r="A5062" s="7" t="n"/>
      <c r="B5062" s="7" t="n"/>
      <c r="C5062" s="7" t="n"/>
      <c r="D5062" s="7" t="n"/>
      <c r="E5062" s="7" t="n"/>
      <c r="F5062" s="7" t="n"/>
      <c r="G5062" s="7" t="n"/>
      <c r="H5062" s="7" t="n"/>
      <c r="I5062" s="7" t="n"/>
      <c r="J5062" s="7" t="n"/>
      <c r="K5062">
        <f>IF(D5062="Legitimate Interest (GDPR Art. 6(1)(f))", "Yes / Required (Sheet 3)", "")</f>
        <v/>
      </c>
      <c r="L5062" s="7" t="n"/>
      <c r="M5062" s="7" t="n"/>
      <c r="N5062">
        <f>IF(D5062="", "Gap - No Legal Basis", IF(AND(D5062="Consent (GDPR Art. 6(1)(a))", I5062="Not Captured"), "Gap - Invalid Consent", IF(AND(D5062="Legitimate Interest (GDPR Art. 6(1)(f))", L5062=""), "Gap - Missing LIA", IF(AND(G5062="Yes", H5062=""), "Gap - Missing Art. 9 Basis", IF(OR(I5062="Invalid - Not Freely Given", I5062="Invalid - Not Specific", I5062="Invalid - Not Informed", I5062="Invalid - Ambiguous"), "Gap - Invalid Consent", "Compliant")))))</f>
        <v/>
      </c>
      <c r="O5062" s="7" t="n"/>
    </row>
    <row r="5063">
      <c r="A5063" s="7" t="n"/>
      <c r="B5063" s="7" t="n"/>
      <c r="C5063" s="7" t="n"/>
      <c r="D5063" s="7" t="n"/>
      <c r="E5063" s="7" t="n"/>
      <c r="F5063" s="7" t="n"/>
      <c r="G5063" s="7" t="n"/>
      <c r="H5063" s="7" t="n"/>
      <c r="I5063" s="7" t="n"/>
      <c r="J5063" s="7" t="n"/>
      <c r="K5063">
        <f>IF(D5063="Legitimate Interest (GDPR Art. 6(1)(f))", "Yes / Required (Sheet 3)", "")</f>
        <v/>
      </c>
      <c r="L5063" s="7" t="n"/>
      <c r="M5063" s="7" t="n"/>
      <c r="N5063">
        <f>IF(D5063="", "Gap - No Legal Basis", IF(AND(D5063="Consent (GDPR Art. 6(1)(a))", I5063="Not Captured"), "Gap - Invalid Consent", IF(AND(D5063="Legitimate Interest (GDPR Art. 6(1)(f))", L5063=""), "Gap - Missing LIA", IF(AND(G5063="Yes", H5063=""), "Gap - Missing Art. 9 Basis", IF(OR(I5063="Invalid - Not Freely Given", I5063="Invalid - Not Specific", I5063="Invalid - Not Informed", I5063="Invalid - Ambiguous"), "Gap - Invalid Consent", "Compliant")))))</f>
        <v/>
      </c>
      <c r="O5063" s="7" t="n"/>
    </row>
    <row r="5064">
      <c r="A5064" s="7" t="n"/>
      <c r="B5064" s="7" t="n"/>
      <c r="C5064" s="7" t="n"/>
      <c r="D5064" s="7" t="n"/>
      <c r="E5064" s="7" t="n"/>
      <c r="F5064" s="7" t="n"/>
      <c r="G5064" s="7" t="n"/>
      <c r="H5064" s="7" t="n"/>
      <c r="I5064" s="7" t="n"/>
      <c r="J5064" s="7" t="n"/>
      <c r="K5064">
        <f>IF(D5064="Legitimate Interest (GDPR Art. 6(1)(f))", "Yes / Required (Sheet 3)", "")</f>
        <v/>
      </c>
      <c r="L5064" s="7" t="n"/>
      <c r="M5064" s="7" t="n"/>
      <c r="N5064">
        <f>IF(D5064="", "Gap - No Legal Basis", IF(AND(D5064="Consent (GDPR Art. 6(1)(a))", I5064="Not Captured"), "Gap - Invalid Consent", IF(AND(D5064="Legitimate Interest (GDPR Art. 6(1)(f))", L5064=""), "Gap - Missing LIA", IF(AND(G5064="Yes", H5064=""), "Gap - Missing Art. 9 Basis", IF(OR(I5064="Invalid - Not Freely Given", I5064="Invalid - Not Specific", I5064="Invalid - Not Informed", I5064="Invalid - Ambiguous"), "Gap - Invalid Consent", "Compliant")))))</f>
        <v/>
      </c>
      <c r="O5064" s="7" t="n"/>
    </row>
    <row r="5065">
      <c r="A5065" s="7" t="n"/>
      <c r="B5065" s="7" t="n"/>
      <c r="C5065" s="7" t="n"/>
      <c r="D5065" s="7" t="n"/>
      <c r="E5065" s="7" t="n"/>
      <c r="F5065" s="7" t="n"/>
      <c r="G5065" s="7" t="n"/>
      <c r="H5065" s="7" t="n"/>
      <c r="I5065" s="7" t="n"/>
      <c r="J5065" s="7" t="n"/>
      <c r="K5065">
        <f>IF(D5065="Legitimate Interest (GDPR Art. 6(1)(f))", "Yes / Required (Sheet 3)", "")</f>
        <v/>
      </c>
      <c r="L5065" s="7" t="n"/>
      <c r="M5065" s="7" t="n"/>
      <c r="N5065">
        <f>IF(D5065="", "Gap - No Legal Basis", IF(AND(D5065="Consent (GDPR Art. 6(1)(a))", I5065="Not Captured"), "Gap - Invalid Consent", IF(AND(D5065="Legitimate Interest (GDPR Art. 6(1)(f))", L5065=""), "Gap - Missing LIA", IF(AND(G5065="Yes", H5065=""), "Gap - Missing Art. 9 Basis", IF(OR(I5065="Invalid - Not Freely Given", I5065="Invalid - Not Specific", I5065="Invalid - Not Informed", I5065="Invalid - Ambiguous"), "Gap - Invalid Consent", "Compliant")))))</f>
        <v/>
      </c>
      <c r="O5065" s="7" t="n"/>
    </row>
    <row r="5066">
      <c r="A5066" s="7" t="n"/>
      <c r="B5066" s="7" t="n"/>
      <c r="C5066" s="7" t="n"/>
      <c r="D5066" s="7" t="n"/>
      <c r="E5066" s="7" t="n"/>
      <c r="F5066" s="7" t="n"/>
      <c r="G5066" s="7" t="n"/>
      <c r="H5066" s="7" t="n"/>
      <c r="I5066" s="7" t="n"/>
      <c r="J5066" s="7" t="n"/>
      <c r="K5066">
        <f>IF(D5066="Legitimate Interest (GDPR Art. 6(1)(f))", "Yes / Required (Sheet 3)", "")</f>
        <v/>
      </c>
      <c r="L5066" s="7" t="n"/>
      <c r="M5066" s="7" t="n"/>
      <c r="N5066">
        <f>IF(D5066="", "Gap - No Legal Basis", IF(AND(D5066="Consent (GDPR Art. 6(1)(a))", I5066="Not Captured"), "Gap - Invalid Consent", IF(AND(D5066="Legitimate Interest (GDPR Art. 6(1)(f))", L5066=""), "Gap - Missing LIA", IF(AND(G5066="Yes", H5066=""), "Gap - Missing Art. 9 Basis", IF(OR(I5066="Invalid - Not Freely Given", I5066="Invalid - Not Specific", I5066="Invalid - Not Informed", I5066="Invalid - Ambiguous"), "Gap - Invalid Consent", "Compliant")))))</f>
        <v/>
      </c>
      <c r="O5066" s="7" t="n"/>
    </row>
    <row r="5067">
      <c r="A5067" s="7" t="n"/>
      <c r="B5067" s="7" t="n"/>
      <c r="C5067" s="7" t="n"/>
      <c r="D5067" s="7" t="n"/>
      <c r="E5067" s="7" t="n"/>
      <c r="F5067" s="7" t="n"/>
      <c r="G5067" s="7" t="n"/>
      <c r="H5067" s="7" t="n"/>
      <c r="I5067" s="7" t="n"/>
      <c r="J5067" s="7" t="n"/>
      <c r="K5067">
        <f>IF(D5067="Legitimate Interest (GDPR Art. 6(1)(f))", "Yes / Required (Sheet 3)", "")</f>
        <v/>
      </c>
      <c r="L5067" s="7" t="n"/>
      <c r="M5067" s="7" t="n"/>
      <c r="N5067">
        <f>IF(D5067="", "Gap - No Legal Basis", IF(AND(D5067="Consent (GDPR Art. 6(1)(a))", I5067="Not Captured"), "Gap - Invalid Consent", IF(AND(D5067="Legitimate Interest (GDPR Art. 6(1)(f))", L5067=""), "Gap - Missing LIA", IF(AND(G5067="Yes", H5067=""), "Gap - Missing Art. 9 Basis", IF(OR(I5067="Invalid - Not Freely Given", I5067="Invalid - Not Specific", I5067="Invalid - Not Informed", I5067="Invalid - Ambiguous"), "Gap - Invalid Consent", "Compliant")))))</f>
        <v/>
      </c>
      <c r="O5067" s="7" t="n"/>
    </row>
    <row r="5068">
      <c r="A5068" s="7" t="n"/>
      <c r="B5068" s="7" t="n"/>
      <c r="C5068" s="7" t="n"/>
      <c r="D5068" s="7" t="n"/>
      <c r="E5068" s="7" t="n"/>
      <c r="F5068" s="7" t="n"/>
      <c r="G5068" s="7" t="n"/>
      <c r="H5068" s="7" t="n"/>
      <c r="I5068" s="7" t="n"/>
      <c r="J5068" s="7" t="n"/>
      <c r="K5068">
        <f>IF(D5068="Legitimate Interest (GDPR Art. 6(1)(f))", "Yes / Required (Sheet 3)", "")</f>
        <v/>
      </c>
      <c r="L5068" s="7" t="n"/>
      <c r="M5068" s="7" t="n"/>
      <c r="N5068">
        <f>IF(D5068="", "Gap - No Legal Basis", IF(AND(D5068="Consent (GDPR Art. 6(1)(a))", I5068="Not Captured"), "Gap - Invalid Consent", IF(AND(D5068="Legitimate Interest (GDPR Art. 6(1)(f))", L5068=""), "Gap - Missing LIA", IF(AND(G5068="Yes", H5068=""), "Gap - Missing Art. 9 Basis", IF(OR(I5068="Invalid - Not Freely Given", I5068="Invalid - Not Specific", I5068="Invalid - Not Informed", I5068="Invalid - Ambiguous"), "Gap - Invalid Consent", "Compliant")))))</f>
        <v/>
      </c>
      <c r="O5068" s="7" t="n"/>
    </row>
    <row r="5069">
      <c r="A5069" s="7" t="n"/>
      <c r="B5069" s="7" t="n"/>
      <c r="C5069" s="7" t="n"/>
      <c r="D5069" s="7" t="n"/>
      <c r="E5069" s="7" t="n"/>
      <c r="F5069" s="7" t="n"/>
      <c r="G5069" s="7" t="n"/>
      <c r="H5069" s="7" t="n"/>
      <c r="I5069" s="7" t="n"/>
      <c r="J5069" s="7" t="n"/>
      <c r="K5069">
        <f>IF(D5069="Legitimate Interest (GDPR Art. 6(1)(f))", "Yes / Required (Sheet 3)", "")</f>
        <v/>
      </c>
      <c r="L5069" s="7" t="n"/>
      <c r="M5069" s="7" t="n"/>
      <c r="N5069">
        <f>IF(D5069="", "Gap - No Legal Basis", IF(AND(D5069="Consent (GDPR Art. 6(1)(a))", I5069="Not Captured"), "Gap - Invalid Consent", IF(AND(D5069="Legitimate Interest (GDPR Art. 6(1)(f))", L5069=""), "Gap - Missing LIA", IF(AND(G5069="Yes", H5069=""), "Gap - Missing Art. 9 Basis", IF(OR(I5069="Invalid - Not Freely Given", I5069="Invalid - Not Specific", I5069="Invalid - Not Informed", I5069="Invalid - Ambiguous"), "Gap - Invalid Consent", "Compliant")))))</f>
        <v/>
      </c>
      <c r="O5069" s="7" t="n"/>
    </row>
    <row r="5070">
      <c r="A5070" s="7" t="n"/>
      <c r="B5070" s="7" t="n"/>
      <c r="C5070" s="7" t="n"/>
      <c r="D5070" s="7" t="n"/>
      <c r="E5070" s="7" t="n"/>
      <c r="F5070" s="7" t="n"/>
      <c r="G5070" s="7" t="n"/>
      <c r="H5070" s="7" t="n"/>
      <c r="I5070" s="7" t="n"/>
      <c r="J5070" s="7" t="n"/>
      <c r="K5070">
        <f>IF(D5070="Legitimate Interest (GDPR Art. 6(1)(f))", "Yes / Required (Sheet 3)", "")</f>
        <v/>
      </c>
      <c r="L5070" s="7" t="n"/>
      <c r="M5070" s="7" t="n"/>
      <c r="N5070">
        <f>IF(D5070="", "Gap - No Legal Basis", IF(AND(D5070="Consent (GDPR Art. 6(1)(a))", I5070="Not Captured"), "Gap - Invalid Consent", IF(AND(D5070="Legitimate Interest (GDPR Art. 6(1)(f))", L5070=""), "Gap - Missing LIA", IF(AND(G5070="Yes", H5070=""), "Gap - Missing Art. 9 Basis", IF(OR(I5070="Invalid - Not Freely Given", I5070="Invalid - Not Specific", I5070="Invalid - Not Informed", I5070="Invalid - Ambiguous"), "Gap - Invalid Consent", "Compliant")))))</f>
        <v/>
      </c>
      <c r="O5070" s="7" t="n"/>
    </row>
    <row r="5071">
      <c r="A5071" s="7" t="n"/>
      <c r="B5071" s="7" t="n"/>
      <c r="C5071" s="7" t="n"/>
      <c r="D5071" s="7" t="n"/>
      <c r="E5071" s="7" t="n"/>
      <c r="F5071" s="7" t="n"/>
      <c r="G5071" s="7" t="n"/>
      <c r="H5071" s="7" t="n"/>
      <c r="I5071" s="7" t="n"/>
      <c r="J5071" s="7" t="n"/>
      <c r="K5071">
        <f>IF(D5071="Legitimate Interest (GDPR Art. 6(1)(f))", "Yes / Required (Sheet 3)", "")</f>
        <v/>
      </c>
      <c r="L5071" s="7" t="n"/>
      <c r="M5071" s="7" t="n"/>
      <c r="N5071">
        <f>IF(D5071="", "Gap - No Legal Basis", IF(AND(D5071="Consent (GDPR Art. 6(1)(a))", I5071="Not Captured"), "Gap - Invalid Consent", IF(AND(D5071="Legitimate Interest (GDPR Art. 6(1)(f))", L5071=""), "Gap - Missing LIA", IF(AND(G5071="Yes", H5071=""), "Gap - Missing Art. 9 Basis", IF(OR(I5071="Invalid - Not Freely Given", I5071="Invalid - Not Specific", I5071="Invalid - Not Informed", I5071="Invalid - Ambiguous"), "Gap - Invalid Consent", "Compliant")))))</f>
        <v/>
      </c>
      <c r="O5071" s="7" t="n"/>
    </row>
    <row r="5072">
      <c r="A5072" s="7" t="n"/>
      <c r="B5072" s="7" t="n"/>
      <c r="C5072" s="7" t="n"/>
      <c r="D5072" s="7" t="n"/>
      <c r="E5072" s="7" t="n"/>
      <c r="F5072" s="7" t="n"/>
      <c r="G5072" s="7" t="n"/>
      <c r="H5072" s="7" t="n"/>
      <c r="I5072" s="7" t="n"/>
      <c r="J5072" s="7" t="n"/>
      <c r="K5072">
        <f>IF(D5072="Legitimate Interest (GDPR Art. 6(1)(f))", "Yes / Required (Sheet 3)", "")</f>
        <v/>
      </c>
      <c r="L5072" s="7" t="n"/>
      <c r="M5072" s="7" t="n"/>
      <c r="N5072">
        <f>IF(D5072="", "Gap - No Legal Basis", IF(AND(D5072="Consent (GDPR Art. 6(1)(a))", I5072="Not Captured"), "Gap - Invalid Consent", IF(AND(D5072="Legitimate Interest (GDPR Art. 6(1)(f))", L5072=""), "Gap - Missing LIA", IF(AND(G5072="Yes", H5072=""), "Gap - Missing Art. 9 Basis", IF(OR(I5072="Invalid - Not Freely Given", I5072="Invalid - Not Specific", I5072="Invalid - Not Informed", I5072="Invalid - Ambiguous"), "Gap - Invalid Consent", "Compliant")))))</f>
        <v/>
      </c>
      <c r="O5072" s="7" t="n"/>
    </row>
    <row r="5073">
      <c r="A5073" s="7" t="n"/>
      <c r="B5073" s="7" t="n"/>
      <c r="C5073" s="7" t="n"/>
      <c r="D5073" s="7" t="n"/>
      <c r="E5073" s="7" t="n"/>
      <c r="F5073" s="7" t="n"/>
      <c r="G5073" s="7" t="n"/>
      <c r="H5073" s="7" t="n"/>
      <c r="I5073" s="7" t="n"/>
      <c r="J5073" s="7" t="n"/>
      <c r="K5073">
        <f>IF(D5073="Legitimate Interest (GDPR Art. 6(1)(f))", "Yes / Required (Sheet 3)", "")</f>
        <v/>
      </c>
      <c r="L5073" s="7" t="n"/>
      <c r="M5073" s="7" t="n"/>
      <c r="N5073">
        <f>IF(D5073="", "Gap - No Legal Basis", IF(AND(D5073="Consent (GDPR Art. 6(1)(a))", I5073="Not Captured"), "Gap - Invalid Consent", IF(AND(D5073="Legitimate Interest (GDPR Art. 6(1)(f))", L5073=""), "Gap - Missing LIA", IF(AND(G5073="Yes", H5073=""), "Gap - Missing Art. 9 Basis", IF(OR(I5073="Invalid - Not Freely Given", I5073="Invalid - Not Specific", I5073="Invalid - Not Informed", I5073="Invalid - Ambiguous"), "Gap - Invalid Consent", "Compliant")))))</f>
        <v/>
      </c>
      <c r="O5073" s="7" t="n"/>
    </row>
    <row r="5074">
      <c r="A5074" s="7" t="n"/>
      <c r="B5074" s="7" t="n"/>
      <c r="C5074" s="7" t="n"/>
      <c r="D5074" s="7" t="n"/>
      <c r="E5074" s="7" t="n"/>
      <c r="F5074" s="7" t="n"/>
      <c r="G5074" s="7" t="n"/>
      <c r="H5074" s="7" t="n"/>
      <c r="I5074" s="7" t="n"/>
      <c r="J5074" s="7" t="n"/>
      <c r="K5074">
        <f>IF(D5074="Legitimate Interest (GDPR Art. 6(1)(f))", "Yes / Required (Sheet 3)", "")</f>
        <v/>
      </c>
      <c r="L5074" s="7" t="n"/>
      <c r="M5074" s="7" t="n"/>
      <c r="N5074">
        <f>IF(D5074="", "Gap - No Legal Basis", IF(AND(D5074="Consent (GDPR Art. 6(1)(a))", I5074="Not Captured"), "Gap - Invalid Consent", IF(AND(D5074="Legitimate Interest (GDPR Art. 6(1)(f))", L5074=""), "Gap - Missing LIA", IF(AND(G5074="Yes", H5074=""), "Gap - Missing Art. 9 Basis", IF(OR(I5074="Invalid - Not Freely Given", I5074="Invalid - Not Specific", I5074="Invalid - Not Informed", I5074="Invalid - Ambiguous"), "Gap - Invalid Consent", "Compliant")))))</f>
        <v/>
      </c>
      <c r="O5074" s="7" t="n"/>
    </row>
    <row r="5075">
      <c r="A5075" s="7" t="n"/>
      <c r="B5075" s="7" t="n"/>
      <c r="C5075" s="7" t="n"/>
      <c r="D5075" s="7" t="n"/>
      <c r="E5075" s="7" t="n"/>
      <c r="F5075" s="7" t="n"/>
      <c r="G5075" s="7" t="n"/>
      <c r="H5075" s="7" t="n"/>
      <c r="I5075" s="7" t="n"/>
      <c r="J5075" s="7" t="n"/>
      <c r="K5075">
        <f>IF(D5075="Legitimate Interest (GDPR Art. 6(1)(f))", "Yes / Required (Sheet 3)", "")</f>
        <v/>
      </c>
      <c r="L5075" s="7" t="n"/>
      <c r="M5075" s="7" t="n"/>
      <c r="N5075">
        <f>IF(D5075="", "Gap - No Legal Basis", IF(AND(D5075="Consent (GDPR Art. 6(1)(a))", I5075="Not Captured"), "Gap - Invalid Consent", IF(AND(D5075="Legitimate Interest (GDPR Art. 6(1)(f))", L5075=""), "Gap - Missing LIA", IF(AND(G5075="Yes", H5075=""), "Gap - Missing Art. 9 Basis", IF(OR(I5075="Invalid - Not Freely Given", I5075="Invalid - Not Specific", I5075="Invalid - Not Informed", I5075="Invalid - Ambiguous"), "Gap - Invalid Consent", "Compliant")))))</f>
        <v/>
      </c>
      <c r="O5075" s="7" t="n"/>
    </row>
    <row r="5076">
      <c r="A5076" s="7" t="n"/>
      <c r="B5076" s="7" t="n"/>
      <c r="C5076" s="7" t="n"/>
      <c r="D5076" s="7" t="n"/>
      <c r="E5076" s="7" t="n"/>
      <c r="F5076" s="7" t="n"/>
      <c r="G5076" s="7" t="n"/>
      <c r="H5076" s="7" t="n"/>
      <c r="I5076" s="7" t="n"/>
      <c r="J5076" s="7" t="n"/>
      <c r="K5076">
        <f>IF(D5076="Legitimate Interest (GDPR Art. 6(1)(f))", "Yes / Required (Sheet 3)", "")</f>
        <v/>
      </c>
      <c r="L5076" s="7" t="n"/>
      <c r="M5076" s="7" t="n"/>
      <c r="N5076">
        <f>IF(D5076="", "Gap - No Legal Basis", IF(AND(D5076="Consent (GDPR Art. 6(1)(a))", I5076="Not Captured"), "Gap - Invalid Consent", IF(AND(D5076="Legitimate Interest (GDPR Art. 6(1)(f))", L5076=""), "Gap - Missing LIA", IF(AND(G5076="Yes", H5076=""), "Gap - Missing Art. 9 Basis", IF(OR(I5076="Invalid - Not Freely Given", I5076="Invalid - Not Specific", I5076="Invalid - Not Informed", I5076="Invalid - Ambiguous"), "Gap - Invalid Consent", "Compliant")))))</f>
        <v/>
      </c>
      <c r="O5076" s="7" t="n"/>
    </row>
    <row r="5077">
      <c r="A5077" s="7" t="n"/>
      <c r="B5077" s="7" t="n"/>
      <c r="C5077" s="7" t="n"/>
      <c r="D5077" s="7" t="n"/>
      <c r="E5077" s="7" t="n"/>
      <c r="F5077" s="7" t="n"/>
      <c r="G5077" s="7" t="n"/>
      <c r="H5077" s="7" t="n"/>
      <c r="I5077" s="7" t="n"/>
      <c r="J5077" s="7" t="n"/>
      <c r="K5077">
        <f>IF(D5077="Legitimate Interest (GDPR Art. 6(1)(f))", "Yes / Required (Sheet 3)", "")</f>
        <v/>
      </c>
      <c r="L5077" s="7" t="n"/>
      <c r="M5077" s="7" t="n"/>
      <c r="N5077">
        <f>IF(D5077="", "Gap - No Legal Basis", IF(AND(D5077="Consent (GDPR Art. 6(1)(a))", I5077="Not Captured"), "Gap - Invalid Consent", IF(AND(D5077="Legitimate Interest (GDPR Art. 6(1)(f))", L5077=""), "Gap - Missing LIA", IF(AND(G5077="Yes", H5077=""), "Gap - Missing Art. 9 Basis", IF(OR(I5077="Invalid - Not Freely Given", I5077="Invalid - Not Specific", I5077="Invalid - Not Informed", I5077="Invalid - Ambiguous"), "Gap - Invalid Consent", "Compliant")))))</f>
        <v/>
      </c>
      <c r="O5077" s="7" t="n"/>
    </row>
    <row r="5078">
      <c r="A5078" s="7" t="n"/>
      <c r="B5078" s="7" t="n"/>
      <c r="C5078" s="7" t="n"/>
      <c r="D5078" s="7" t="n"/>
      <c r="E5078" s="7" t="n"/>
      <c r="F5078" s="7" t="n"/>
      <c r="G5078" s="7" t="n"/>
      <c r="H5078" s="7" t="n"/>
      <c r="I5078" s="7" t="n"/>
      <c r="J5078" s="7" t="n"/>
      <c r="K5078">
        <f>IF(D5078="Legitimate Interest (GDPR Art. 6(1)(f))", "Yes / Required (Sheet 3)", "")</f>
        <v/>
      </c>
      <c r="L5078" s="7" t="n"/>
      <c r="M5078" s="7" t="n"/>
      <c r="N5078">
        <f>IF(D5078="", "Gap - No Legal Basis", IF(AND(D5078="Consent (GDPR Art. 6(1)(a))", I5078="Not Captured"), "Gap - Invalid Consent", IF(AND(D5078="Legitimate Interest (GDPR Art. 6(1)(f))", L5078=""), "Gap - Missing LIA", IF(AND(G5078="Yes", H5078=""), "Gap - Missing Art. 9 Basis", IF(OR(I5078="Invalid - Not Freely Given", I5078="Invalid - Not Specific", I5078="Invalid - Not Informed", I5078="Invalid - Ambiguous"), "Gap - Invalid Consent", "Compliant")))))</f>
        <v/>
      </c>
      <c r="O5078" s="7" t="n"/>
    </row>
    <row r="5079">
      <c r="A5079" s="7" t="n"/>
      <c r="B5079" s="7" t="n"/>
      <c r="C5079" s="7" t="n"/>
      <c r="D5079" s="7" t="n"/>
      <c r="E5079" s="7" t="n"/>
      <c r="F5079" s="7" t="n"/>
      <c r="G5079" s="7" t="n"/>
      <c r="H5079" s="7" t="n"/>
      <c r="I5079" s="7" t="n"/>
      <c r="J5079" s="7" t="n"/>
      <c r="K5079">
        <f>IF(D5079="Legitimate Interest (GDPR Art. 6(1)(f))", "Yes / Required (Sheet 3)", "")</f>
        <v/>
      </c>
      <c r="L5079" s="7" t="n"/>
      <c r="M5079" s="7" t="n"/>
      <c r="N5079">
        <f>IF(D5079="", "Gap - No Legal Basis", IF(AND(D5079="Consent (GDPR Art. 6(1)(a))", I5079="Not Captured"), "Gap - Invalid Consent", IF(AND(D5079="Legitimate Interest (GDPR Art. 6(1)(f))", L5079=""), "Gap - Missing LIA", IF(AND(G5079="Yes", H5079=""), "Gap - Missing Art. 9 Basis", IF(OR(I5079="Invalid - Not Freely Given", I5079="Invalid - Not Specific", I5079="Invalid - Not Informed", I5079="Invalid - Ambiguous"), "Gap - Invalid Consent", "Compliant")))))</f>
        <v/>
      </c>
      <c r="O5079" s="7" t="n"/>
    </row>
    <row r="5080">
      <c r="A5080" s="7" t="n"/>
      <c r="B5080" s="7" t="n"/>
      <c r="C5080" s="7" t="n"/>
      <c r="D5080" s="7" t="n"/>
      <c r="E5080" s="7" t="n"/>
      <c r="F5080" s="7" t="n"/>
      <c r="G5080" s="7" t="n"/>
      <c r="H5080" s="7" t="n"/>
      <c r="I5080" s="7" t="n"/>
      <c r="J5080" s="7" t="n"/>
      <c r="K5080">
        <f>IF(D5080="Legitimate Interest (GDPR Art. 6(1)(f))", "Yes / Required (Sheet 3)", "")</f>
        <v/>
      </c>
      <c r="L5080" s="7" t="n"/>
      <c r="M5080" s="7" t="n"/>
      <c r="N5080">
        <f>IF(D5080="", "Gap - No Legal Basis", IF(AND(D5080="Consent (GDPR Art. 6(1)(a))", I5080="Not Captured"), "Gap - Invalid Consent", IF(AND(D5080="Legitimate Interest (GDPR Art. 6(1)(f))", L5080=""), "Gap - Missing LIA", IF(AND(G5080="Yes", H5080=""), "Gap - Missing Art. 9 Basis", IF(OR(I5080="Invalid - Not Freely Given", I5080="Invalid - Not Specific", I5080="Invalid - Not Informed", I5080="Invalid - Ambiguous"), "Gap - Invalid Consent", "Compliant")))))</f>
        <v/>
      </c>
      <c r="O5080" s="7" t="n"/>
    </row>
    <row r="5081">
      <c r="A5081" s="7" t="n"/>
      <c r="B5081" s="7" t="n"/>
      <c r="C5081" s="7" t="n"/>
      <c r="D5081" s="7" t="n"/>
      <c r="E5081" s="7" t="n"/>
      <c r="F5081" s="7" t="n"/>
      <c r="G5081" s="7" t="n"/>
      <c r="H5081" s="7" t="n"/>
      <c r="I5081" s="7" t="n"/>
      <c r="J5081" s="7" t="n"/>
      <c r="K5081">
        <f>IF(D5081="Legitimate Interest (GDPR Art. 6(1)(f))", "Yes / Required (Sheet 3)", "")</f>
        <v/>
      </c>
      <c r="L5081" s="7" t="n"/>
      <c r="M5081" s="7" t="n"/>
      <c r="N5081">
        <f>IF(D5081="", "Gap - No Legal Basis", IF(AND(D5081="Consent (GDPR Art. 6(1)(a))", I5081="Not Captured"), "Gap - Invalid Consent", IF(AND(D5081="Legitimate Interest (GDPR Art. 6(1)(f))", L5081=""), "Gap - Missing LIA", IF(AND(G5081="Yes", H5081=""), "Gap - Missing Art. 9 Basis", IF(OR(I5081="Invalid - Not Freely Given", I5081="Invalid - Not Specific", I5081="Invalid - Not Informed", I5081="Invalid - Ambiguous"), "Gap - Invalid Consent", "Compliant")))))</f>
        <v/>
      </c>
      <c r="O5081" s="7" t="n"/>
    </row>
    <row r="5082">
      <c r="A5082" s="7" t="n"/>
      <c r="B5082" s="7" t="n"/>
      <c r="C5082" s="7" t="n"/>
      <c r="D5082" s="7" t="n"/>
      <c r="E5082" s="7" t="n"/>
      <c r="F5082" s="7" t="n"/>
      <c r="G5082" s="7" t="n"/>
      <c r="H5082" s="7" t="n"/>
      <c r="I5082" s="7" t="n"/>
      <c r="J5082" s="7" t="n"/>
      <c r="K5082">
        <f>IF(D5082="Legitimate Interest (GDPR Art. 6(1)(f))", "Yes / Required (Sheet 3)", "")</f>
        <v/>
      </c>
      <c r="L5082" s="7" t="n"/>
      <c r="M5082" s="7" t="n"/>
      <c r="N5082">
        <f>IF(D5082="", "Gap - No Legal Basis", IF(AND(D5082="Consent (GDPR Art. 6(1)(a))", I5082="Not Captured"), "Gap - Invalid Consent", IF(AND(D5082="Legitimate Interest (GDPR Art. 6(1)(f))", L5082=""), "Gap - Missing LIA", IF(AND(G5082="Yes", H5082=""), "Gap - Missing Art. 9 Basis", IF(OR(I5082="Invalid - Not Freely Given", I5082="Invalid - Not Specific", I5082="Invalid - Not Informed", I5082="Invalid - Ambiguous"), "Gap - Invalid Consent", "Compliant")))))</f>
        <v/>
      </c>
      <c r="O5082" s="7" t="n"/>
    </row>
    <row r="5083">
      <c r="A5083" s="7" t="n"/>
      <c r="B5083" s="7" t="n"/>
      <c r="C5083" s="7" t="n"/>
      <c r="D5083" s="7" t="n"/>
      <c r="E5083" s="7" t="n"/>
      <c r="F5083" s="7" t="n"/>
      <c r="G5083" s="7" t="n"/>
      <c r="H5083" s="7" t="n"/>
      <c r="I5083" s="7" t="n"/>
      <c r="J5083" s="7" t="n"/>
      <c r="K5083">
        <f>IF(D5083="Legitimate Interest (GDPR Art. 6(1)(f))", "Yes / Required (Sheet 3)", "")</f>
        <v/>
      </c>
      <c r="L5083" s="7" t="n"/>
      <c r="M5083" s="7" t="n"/>
      <c r="N5083">
        <f>IF(D5083="", "Gap - No Legal Basis", IF(AND(D5083="Consent (GDPR Art. 6(1)(a))", I5083="Not Captured"), "Gap - Invalid Consent", IF(AND(D5083="Legitimate Interest (GDPR Art. 6(1)(f))", L5083=""), "Gap - Missing LIA", IF(AND(G5083="Yes", H5083=""), "Gap - Missing Art. 9 Basis", IF(OR(I5083="Invalid - Not Freely Given", I5083="Invalid - Not Specific", I5083="Invalid - Not Informed", I5083="Invalid - Ambiguous"), "Gap - Invalid Consent", "Compliant")))))</f>
        <v/>
      </c>
      <c r="O5083" s="7" t="n"/>
    </row>
    <row r="5084">
      <c r="A5084" s="7" t="n"/>
      <c r="B5084" s="7" t="n"/>
      <c r="C5084" s="7" t="n"/>
      <c r="D5084" s="7" t="n"/>
      <c r="E5084" s="7" t="n"/>
      <c r="F5084" s="7" t="n"/>
      <c r="G5084" s="7" t="n"/>
      <c r="H5084" s="7" t="n"/>
      <c r="I5084" s="7" t="n"/>
      <c r="J5084" s="7" t="n"/>
      <c r="K5084">
        <f>IF(D5084="Legitimate Interest (GDPR Art. 6(1)(f))", "Yes / Required (Sheet 3)", "")</f>
        <v/>
      </c>
      <c r="L5084" s="7" t="n"/>
      <c r="M5084" s="7" t="n"/>
      <c r="N5084">
        <f>IF(D5084="", "Gap - No Legal Basis", IF(AND(D5084="Consent (GDPR Art. 6(1)(a))", I5084="Not Captured"), "Gap - Invalid Consent", IF(AND(D5084="Legitimate Interest (GDPR Art. 6(1)(f))", L5084=""), "Gap - Missing LIA", IF(AND(G5084="Yes", H5084=""), "Gap - Missing Art. 9 Basis", IF(OR(I5084="Invalid - Not Freely Given", I5084="Invalid - Not Specific", I5084="Invalid - Not Informed", I5084="Invalid - Ambiguous"), "Gap - Invalid Consent", "Compliant")))))</f>
        <v/>
      </c>
      <c r="O5084" s="7" t="n"/>
    </row>
    <row r="5085">
      <c r="A5085" s="7" t="n"/>
      <c r="B5085" s="7" t="n"/>
      <c r="C5085" s="7" t="n"/>
      <c r="D5085" s="7" t="n"/>
      <c r="E5085" s="7" t="n"/>
      <c r="F5085" s="7" t="n"/>
      <c r="G5085" s="7" t="n"/>
      <c r="H5085" s="7" t="n"/>
      <c r="I5085" s="7" t="n"/>
      <c r="J5085" s="7" t="n"/>
      <c r="K5085">
        <f>IF(D5085="Legitimate Interest (GDPR Art. 6(1)(f))", "Yes / Required (Sheet 3)", "")</f>
        <v/>
      </c>
      <c r="L5085" s="7" t="n"/>
      <c r="M5085" s="7" t="n"/>
      <c r="N5085">
        <f>IF(D5085="", "Gap - No Legal Basis", IF(AND(D5085="Consent (GDPR Art. 6(1)(a))", I5085="Not Captured"), "Gap - Invalid Consent", IF(AND(D5085="Legitimate Interest (GDPR Art. 6(1)(f))", L5085=""), "Gap - Missing LIA", IF(AND(G5085="Yes", H5085=""), "Gap - Missing Art. 9 Basis", IF(OR(I5085="Invalid - Not Freely Given", I5085="Invalid - Not Specific", I5085="Invalid - Not Informed", I5085="Invalid - Ambiguous"), "Gap - Invalid Consent", "Compliant")))))</f>
        <v/>
      </c>
      <c r="O5085" s="7" t="n"/>
    </row>
    <row r="5086">
      <c r="A5086" s="7" t="n"/>
      <c r="B5086" s="7" t="n"/>
      <c r="C5086" s="7" t="n"/>
      <c r="D5086" s="7" t="n"/>
      <c r="E5086" s="7" t="n"/>
      <c r="F5086" s="7" t="n"/>
      <c r="G5086" s="7" t="n"/>
      <c r="H5086" s="7" t="n"/>
      <c r="I5086" s="7" t="n"/>
      <c r="J5086" s="7" t="n"/>
      <c r="K5086">
        <f>IF(D5086="Legitimate Interest (GDPR Art. 6(1)(f))", "Yes / Required (Sheet 3)", "")</f>
        <v/>
      </c>
      <c r="L5086" s="7" t="n"/>
      <c r="M5086" s="7" t="n"/>
      <c r="N5086">
        <f>IF(D5086="", "Gap - No Legal Basis", IF(AND(D5086="Consent (GDPR Art. 6(1)(a))", I5086="Not Captured"), "Gap - Invalid Consent", IF(AND(D5086="Legitimate Interest (GDPR Art. 6(1)(f))", L5086=""), "Gap - Missing LIA", IF(AND(G5086="Yes", H5086=""), "Gap - Missing Art. 9 Basis", IF(OR(I5086="Invalid - Not Freely Given", I5086="Invalid - Not Specific", I5086="Invalid - Not Informed", I5086="Invalid - Ambiguous"), "Gap - Invalid Consent", "Compliant")))))</f>
        <v/>
      </c>
      <c r="O5086" s="7" t="n"/>
    </row>
    <row r="5087">
      <c r="A5087" s="7" t="n"/>
      <c r="B5087" s="7" t="n"/>
      <c r="C5087" s="7" t="n"/>
      <c r="D5087" s="7" t="n"/>
      <c r="E5087" s="7" t="n"/>
      <c r="F5087" s="7" t="n"/>
      <c r="G5087" s="7" t="n"/>
      <c r="H5087" s="7" t="n"/>
      <c r="I5087" s="7" t="n"/>
      <c r="J5087" s="7" t="n"/>
      <c r="K5087">
        <f>IF(D5087="Legitimate Interest (GDPR Art. 6(1)(f))", "Yes / Required (Sheet 3)", "")</f>
        <v/>
      </c>
      <c r="L5087" s="7" t="n"/>
      <c r="M5087" s="7" t="n"/>
      <c r="N5087">
        <f>IF(D5087="", "Gap - No Legal Basis", IF(AND(D5087="Consent (GDPR Art. 6(1)(a))", I5087="Not Captured"), "Gap - Invalid Consent", IF(AND(D5087="Legitimate Interest (GDPR Art. 6(1)(f))", L5087=""), "Gap - Missing LIA", IF(AND(G5087="Yes", H5087=""), "Gap - Missing Art. 9 Basis", IF(OR(I5087="Invalid - Not Freely Given", I5087="Invalid - Not Specific", I5087="Invalid - Not Informed", I5087="Invalid - Ambiguous"), "Gap - Invalid Consent", "Compliant")))))</f>
        <v/>
      </c>
      <c r="O5087" s="7" t="n"/>
    </row>
    <row r="5088">
      <c r="A5088" s="7" t="n"/>
      <c r="B5088" s="7" t="n"/>
      <c r="C5088" s="7" t="n"/>
      <c r="D5088" s="7" t="n"/>
      <c r="E5088" s="7" t="n"/>
      <c r="F5088" s="7" t="n"/>
      <c r="G5088" s="7" t="n"/>
      <c r="H5088" s="7" t="n"/>
      <c r="I5088" s="7" t="n"/>
      <c r="J5088" s="7" t="n"/>
      <c r="K5088">
        <f>IF(D5088="Legitimate Interest (GDPR Art. 6(1)(f))", "Yes / Required (Sheet 3)", "")</f>
        <v/>
      </c>
      <c r="L5088" s="7" t="n"/>
      <c r="M5088" s="7" t="n"/>
      <c r="N5088">
        <f>IF(D5088="", "Gap - No Legal Basis", IF(AND(D5088="Consent (GDPR Art. 6(1)(a))", I5088="Not Captured"), "Gap - Invalid Consent", IF(AND(D5088="Legitimate Interest (GDPR Art. 6(1)(f))", L5088=""), "Gap - Missing LIA", IF(AND(G5088="Yes", H5088=""), "Gap - Missing Art. 9 Basis", IF(OR(I5088="Invalid - Not Freely Given", I5088="Invalid - Not Specific", I5088="Invalid - Not Informed", I5088="Invalid - Ambiguous"), "Gap - Invalid Consent", "Compliant")))))</f>
        <v/>
      </c>
      <c r="O5088" s="7" t="n"/>
    </row>
    <row r="5089">
      <c r="A5089" s="7" t="n"/>
      <c r="B5089" s="7" t="n"/>
      <c r="C5089" s="7" t="n"/>
      <c r="D5089" s="7" t="n"/>
      <c r="E5089" s="7" t="n"/>
      <c r="F5089" s="7" t="n"/>
      <c r="G5089" s="7" t="n"/>
      <c r="H5089" s="7" t="n"/>
      <c r="I5089" s="7" t="n"/>
      <c r="J5089" s="7" t="n"/>
      <c r="K5089">
        <f>IF(D5089="Legitimate Interest (GDPR Art. 6(1)(f))", "Yes / Required (Sheet 3)", "")</f>
        <v/>
      </c>
      <c r="L5089" s="7" t="n"/>
      <c r="M5089" s="7" t="n"/>
      <c r="N5089">
        <f>IF(D5089="", "Gap - No Legal Basis", IF(AND(D5089="Consent (GDPR Art. 6(1)(a))", I5089="Not Captured"), "Gap - Invalid Consent", IF(AND(D5089="Legitimate Interest (GDPR Art. 6(1)(f))", L5089=""), "Gap - Missing LIA", IF(AND(G5089="Yes", H5089=""), "Gap - Missing Art. 9 Basis", IF(OR(I5089="Invalid - Not Freely Given", I5089="Invalid - Not Specific", I5089="Invalid - Not Informed", I5089="Invalid - Ambiguous"), "Gap - Invalid Consent", "Compliant")))))</f>
        <v/>
      </c>
      <c r="O5089" s="7" t="n"/>
    </row>
    <row r="5090">
      <c r="A5090" s="7" t="n"/>
      <c r="B5090" s="7" t="n"/>
      <c r="C5090" s="7" t="n"/>
      <c r="D5090" s="7" t="n"/>
      <c r="E5090" s="7" t="n"/>
      <c r="F5090" s="7" t="n"/>
      <c r="G5090" s="7" t="n"/>
      <c r="H5090" s="7" t="n"/>
      <c r="I5090" s="7" t="n"/>
      <c r="J5090" s="7" t="n"/>
      <c r="K5090">
        <f>IF(D5090="Legitimate Interest (GDPR Art. 6(1)(f))", "Yes / Required (Sheet 3)", "")</f>
        <v/>
      </c>
      <c r="L5090" s="7" t="n"/>
      <c r="M5090" s="7" t="n"/>
      <c r="N5090">
        <f>IF(D5090="", "Gap - No Legal Basis", IF(AND(D5090="Consent (GDPR Art. 6(1)(a))", I5090="Not Captured"), "Gap - Invalid Consent", IF(AND(D5090="Legitimate Interest (GDPR Art. 6(1)(f))", L5090=""), "Gap - Missing LIA", IF(AND(G5090="Yes", H5090=""), "Gap - Missing Art. 9 Basis", IF(OR(I5090="Invalid - Not Freely Given", I5090="Invalid - Not Specific", I5090="Invalid - Not Informed", I5090="Invalid - Ambiguous"), "Gap - Invalid Consent", "Compliant")))))</f>
        <v/>
      </c>
      <c r="O5090" s="7" t="n"/>
    </row>
    <row r="5091">
      <c r="A5091" s="7" t="n"/>
      <c r="B5091" s="7" t="n"/>
      <c r="C5091" s="7" t="n"/>
      <c r="D5091" s="7" t="n"/>
      <c r="E5091" s="7" t="n"/>
      <c r="F5091" s="7" t="n"/>
      <c r="G5091" s="7" t="n"/>
      <c r="H5091" s="7" t="n"/>
      <c r="I5091" s="7" t="n"/>
      <c r="J5091" s="7" t="n"/>
      <c r="K5091">
        <f>IF(D5091="Legitimate Interest (GDPR Art. 6(1)(f))", "Yes / Required (Sheet 3)", "")</f>
        <v/>
      </c>
      <c r="L5091" s="7" t="n"/>
      <c r="M5091" s="7" t="n"/>
      <c r="N5091">
        <f>IF(D5091="", "Gap - No Legal Basis", IF(AND(D5091="Consent (GDPR Art. 6(1)(a))", I5091="Not Captured"), "Gap - Invalid Consent", IF(AND(D5091="Legitimate Interest (GDPR Art. 6(1)(f))", L5091=""), "Gap - Missing LIA", IF(AND(G5091="Yes", H5091=""), "Gap - Missing Art. 9 Basis", IF(OR(I5091="Invalid - Not Freely Given", I5091="Invalid - Not Specific", I5091="Invalid - Not Informed", I5091="Invalid - Ambiguous"), "Gap - Invalid Consent", "Compliant")))))</f>
        <v/>
      </c>
      <c r="O5091" s="7" t="n"/>
    </row>
    <row r="5092">
      <c r="A5092" s="7" t="n"/>
      <c r="B5092" s="7" t="n"/>
      <c r="C5092" s="7" t="n"/>
      <c r="D5092" s="7" t="n"/>
      <c r="E5092" s="7" t="n"/>
      <c r="F5092" s="7" t="n"/>
      <c r="G5092" s="7" t="n"/>
      <c r="H5092" s="7" t="n"/>
      <c r="I5092" s="7" t="n"/>
      <c r="J5092" s="7" t="n"/>
      <c r="K5092">
        <f>IF(D5092="Legitimate Interest (GDPR Art. 6(1)(f))", "Yes / Required (Sheet 3)", "")</f>
        <v/>
      </c>
      <c r="L5092" s="7" t="n"/>
      <c r="M5092" s="7" t="n"/>
      <c r="N5092">
        <f>IF(D5092="", "Gap - No Legal Basis", IF(AND(D5092="Consent (GDPR Art. 6(1)(a))", I5092="Not Captured"), "Gap - Invalid Consent", IF(AND(D5092="Legitimate Interest (GDPR Art. 6(1)(f))", L5092=""), "Gap - Missing LIA", IF(AND(G5092="Yes", H5092=""), "Gap - Missing Art. 9 Basis", IF(OR(I5092="Invalid - Not Freely Given", I5092="Invalid - Not Specific", I5092="Invalid - Not Informed", I5092="Invalid - Ambiguous"), "Gap - Invalid Consent", "Compliant")))))</f>
        <v/>
      </c>
      <c r="O5092" s="7" t="n"/>
    </row>
    <row r="5093">
      <c r="A5093" s="7" t="n"/>
      <c r="B5093" s="7" t="n"/>
      <c r="C5093" s="7" t="n"/>
      <c r="D5093" s="7" t="n"/>
      <c r="E5093" s="7" t="n"/>
      <c r="F5093" s="7" t="n"/>
      <c r="G5093" s="7" t="n"/>
      <c r="H5093" s="7" t="n"/>
      <c r="I5093" s="7" t="n"/>
      <c r="J5093" s="7" t="n"/>
      <c r="K5093">
        <f>IF(D5093="Legitimate Interest (GDPR Art. 6(1)(f))", "Yes / Required (Sheet 3)", "")</f>
        <v/>
      </c>
      <c r="L5093" s="7" t="n"/>
      <c r="M5093" s="7" t="n"/>
      <c r="N5093">
        <f>IF(D5093="", "Gap - No Legal Basis", IF(AND(D5093="Consent (GDPR Art. 6(1)(a))", I5093="Not Captured"), "Gap - Invalid Consent", IF(AND(D5093="Legitimate Interest (GDPR Art. 6(1)(f))", L5093=""), "Gap - Missing LIA", IF(AND(G5093="Yes", H5093=""), "Gap - Missing Art. 9 Basis", IF(OR(I5093="Invalid - Not Freely Given", I5093="Invalid - Not Specific", I5093="Invalid - Not Informed", I5093="Invalid - Ambiguous"), "Gap - Invalid Consent", "Compliant")))))</f>
        <v/>
      </c>
      <c r="O5093" s="7" t="n"/>
    </row>
    <row r="5094">
      <c r="A5094" s="7" t="n"/>
      <c r="B5094" s="7" t="n"/>
      <c r="C5094" s="7" t="n"/>
      <c r="D5094" s="7" t="n"/>
      <c r="E5094" s="7" t="n"/>
      <c r="F5094" s="7" t="n"/>
      <c r="G5094" s="7" t="n"/>
      <c r="H5094" s="7" t="n"/>
      <c r="I5094" s="7" t="n"/>
      <c r="J5094" s="7" t="n"/>
      <c r="K5094">
        <f>IF(D5094="Legitimate Interest (GDPR Art. 6(1)(f))", "Yes / Required (Sheet 3)", "")</f>
        <v/>
      </c>
      <c r="L5094" s="7" t="n"/>
      <c r="M5094" s="7" t="n"/>
      <c r="N5094">
        <f>IF(D5094="", "Gap - No Legal Basis", IF(AND(D5094="Consent (GDPR Art. 6(1)(a))", I5094="Not Captured"), "Gap - Invalid Consent", IF(AND(D5094="Legitimate Interest (GDPR Art. 6(1)(f))", L5094=""), "Gap - Missing LIA", IF(AND(G5094="Yes", H5094=""), "Gap - Missing Art. 9 Basis", IF(OR(I5094="Invalid - Not Freely Given", I5094="Invalid - Not Specific", I5094="Invalid - Not Informed", I5094="Invalid - Ambiguous"), "Gap - Invalid Consent", "Compliant")))))</f>
        <v/>
      </c>
      <c r="O5094" s="7" t="n"/>
    </row>
    <row r="5095">
      <c r="A5095" s="7" t="n"/>
      <c r="B5095" s="7" t="n"/>
      <c r="C5095" s="7" t="n"/>
      <c r="D5095" s="7" t="n"/>
      <c r="E5095" s="7" t="n"/>
      <c r="F5095" s="7" t="n"/>
      <c r="G5095" s="7" t="n"/>
      <c r="H5095" s="7" t="n"/>
      <c r="I5095" s="7" t="n"/>
      <c r="J5095" s="7" t="n"/>
      <c r="K5095">
        <f>IF(D5095="Legitimate Interest (GDPR Art. 6(1)(f))", "Yes / Required (Sheet 3)", "")</f>
        <v/>
      </c>
      <c r="L5095" s="7" t="n"/>
      <c r="M5095" s="7" t="n"/>
      <c r="N5095">
        <f>IF(D5095="", "Gap - No Legal Basis", IF(AND(D5095="Consent (GDPR Art. 6(1)(a))", I5095="Not Captured"), "Gap - Invalid Consent", IF(AND(D5095="Legitimate Interest (GDPR Art. 6(1)(f))", L5095=""), "Gap - Missing LIA", IF(AND(G5095="Yes", H5095=""), "Gap - Missing Art. 9 Basis", IF(OR(I5095="Invalid - Not Freely Given", I5095="Invalid - Not Specific", I5095="Invalid - Not Informed", I5095="Invalid - Ambiguous"), "Gap - Invalid Consent", "Compliant")))))</f>
        <v/>
      </c>
      <c r="O5095" s="7" t="n"/>
    </row>
    <row r="5096">
      <c r="A5096" s="7" t="n"/>
      <c r="B5096" s="7" t="n"/>
      <c r="C5096" s="7" t="n"/>
      <c r="D5096" s="7" t="n"/>
      <c r="E5096" s="7" t="n"/>
      <c r="F5096" s="7" t="n"/>
      <c r="G5096" s="7" t="n"/>
      <c r="H5096" s="7" t="n"/>
      <c r="I5096" s="7" t="n"/>
      <c r="J5096" s="7" t="n"/>
      <c r="K5096">
        <f>IF(D5096="Legitimate Interest (GDPR Art. 6(1)(f))", "Yes / Required (Sheet 3)", "")</f>
        <v/>
      </c>
      <c r="L5096" s="7" t="n"/>
      <c r="M5096" s="7" t="n"/>
      <c r="N5096">
        <f>IF(D5096="", "Gap - No Legal Basis", IF(AND(D5096="Consent (GDPR Art. 6(1)(a))", I5096="Not Captured"), "Gap - Invalid Consent", IF(AND(D5096="Legitimate Interest (GDPR Art. 6(1)(f))", L5096=""), "Gap - Missing LIA", IF(AND(G5096="Yes", H5096=""), "Gap - Missing Art. 9 Basis", IF(OR(I5096="Invalid - Not Freely Given", I5096="Invalid - Not Specific", I5096="Invalid - Not Informed", I5096="Invalid - Ambiguous"), "Gap - Invalid Consent", "Compliant")))))</f>
        <v/>
      </c>
      <c r="O5096" s="7" t="n"/>
    </row>
    <row r="5097">
      <c r="A5097" s="7" t="n"/>
      <c r="B5097" s="7" t="n"/>
      <c r="C5097" s="7" t="n"/>
      <c r="D5097" s="7" t="n"/>
      <c r="E5097" s="7" t="n"/>
      <c r="F5097" s="7" t="n"/>
      <c r="G5097" s="7" t="n"/>
      <c r="H5097" s="7" t="n"/>
      <c r="I5097" s="7" t="n"/>
      <c r="J5097" s="7" t="n"/>
      <c r="K5097">
        <f>IF(D5097="Legitimate Interest (GDPR Art. 6(1)(f))", "Yes / Required (Sheet 3)", "")</f>
        <v/>
      </c>
      <c r="L5097" s="7" t="n"/>
      <c r="M5097" s="7" t="n"/>
      <c r="N5097">
        <f>IF(D5097="", "Gap - No Legal Basis", IF(AND(D5097="Consent (GDPR Art. 6(1)(a))", I5097="Not Captured"), "Gap - Invalid Consent", IF(AND(D5097="Legitimate Interest (GDPR Art. 6(1)(f))", L5097=""), "Gap - Missing LIA", IF(AND(G5097="Yes", H5097=""), "Gap - Missing Art. 9 Basis", IF(OR(I5097="Invalid - Not Freely Given", I5097="Invalid - Not Specific", I5097="Invalid - Not Informed", I5097="Invalid - Ambiguous"), "Gap - Invalid Consent", "Compliant")))))</f>
        <v/>
      </c>
      <c r="O5097" s="7" t="n"/>
    </row>
    <row r="5098">
      <c r="A5098" s="7" t="n"/>
      <c r="B5098" s="7" t="n"/>
      <c r="C5098" s="7" t="n"/>
      <c r="D5098" s="7" t="n"/>
      <c r="E5098" s="7" t="n"/>
      <c r="F5098" s="7" t="n"/>
      <c r="G5098" s="7" t="n"/>
      <c r="H5098" s="7" t="n"/>
      <c r="I5098" s="7" t="n"/>
      <c r="J5098" s="7" t="n"/>
      <c r="K5098">
        <f>IF(D5098="Legitimate Interest (GDPR Art. 6(1)(f))", "Yes / Required (Sheet 3)", "")</f>
        <v/>
      </c>
      <c r="L5098" s="7" t="n"/>
      <c r="M5098" s="7" t="n"/>
      <c r="N5098">
        <f>IF(D5098="", "Gap - No Legal Basis", IF(AND(D5098="Consent (GDPR Art. 6(1)(a))", I5098="Not Captured"), "Gap - Invalid Consent", IF(AND(D5098="Legitimate Interest (GDPR Art. 6(1)(f))", L5098=""), "Gap - Missing LIA", IF(AND(G5098="Yes", H5098=""), "Gap - Missing Art. 9 Basis", IF(OR(I5098="Invalid - Not Freely Given", I5098="Invalid - Not Specific", I5098="Invalid - Not Informed", I5098="Invalid - Ambiguous"), "Gap - Invalid Consent", "Compliant")))))</f>
        <v/>
      </c>
      <c r="O5098" s="7" t="n"/>
    </row>
    <row r="5099">
      <c r="A5099" s="7" t="n"/>
      <c r="B5099" s="7" t="n"/>
      <c r="C5099" s="7" t="n"/>
      <c r="D5099" s="7" t="n"/>
      <c r="E5099" s="7" t="n"/>
      <c r="F5099" s="7" t="n"/>
      <c r="G5099" s="7" t="n"/>
      <c r="H5099" s="7" t="n"/>
      <c r="I5099" s="7" t="n"/>
      <c r="J5099" s="7" t="n"/>
      <c r="K5099">
        <f>IF(D5099="Legitimate Interest (GDPR Art. 6(1)(f))", "Yes / Required (Sheet 3)", "")</f>
        <v/>
      </c>
      <c r="L5099" s="7" t="n"/>
      <c r="M5099" s="7" t="n"/>
      <c r="N5099">
        <f>IF(D5099="", "Gap - No Legal Basis", IF(AND(D5099="Consent (GDPR Art. 6(1)(a))", I5099="Not Captured"), "Gap - Invalid Consent", IF(AND(D5099="Legitimate Interest (GDPR Art. 6(1)(f))", L5099=""), "Gap - Missing LIA", IF(AND(G5099="Yes", H5099=""), "Gap - Missing Art. 9 Basis", IF(OR(I5099="Invalid - Not Freely Given", I5099="Invalid - Not Specific", I5099="Invalid - Not Informed", I5099="Invalid - Ambiguous"), "Gap - Invalid Consent", "Compliant")))))</f>
        <v/>
      </c>
      <c r="O5099" s="7" t="n"/>
    </row>
    <row r="5100">
      <c r="A5100" s="7" t="n"/>
      <c r="B5100" s="7" t="n"/>
      <c r="C5100" s="7" t="n"/>
      <c r="D5100" s="7" t="n"/>
      <c r="E5100" s="7" t="n"/>
      <c r="F5100" s="7" t="n"/>
      <c r="G5100" s="7" t="n"/>
      <c r="H5100" s="7" t="n"/>
      <c r="I5100" s="7" t="n"/>
      <c r="J5100" s="7" t="n"/>
      <c r="K5100">
        <f>IF(D5100="Legitimate Interest (GDPR Art. 6(1)(f))", "Yes / Required (Sheet 3)", "")</f>
        <v/>
      </c>
      <c r="L5100" s="7" t="n"/>
      <c r="M5100" s="7" t="n"/>
      <c r="N5100">
        <f>IF(D5100="", "Gap - No Legal Basis", IF(AND(D5100="Consent (GDPR Art. 6(1)(a))", I5100="Not Captured"), "Gap - Invalid Consent", IF(AND(D5100="Legitimate Interest (GDPR Art. 6(1)(f))", L5100=""), "Gap - Missing LIA", IF(AND(G5100="Yes", H5100=""), "Gap - Missing Art. 9 Basis", IF(OR(I5100="Invalid - Not Freely Given", I5100="Invalid - Not Specific", I5100="Invalid - Not Informed", I5100="Invalid - Ambiguous"), "Gap - Invalid Consent", "Compliant")))))</f>
        <v/>
      </c>
      <c r="O5100" s="7" t="n"/>
    </row>
    <row r="5101">
      <c r="A5101" s="7" t="n"/>
      <c r="B5101" s="7" t="n"/>
      <c r="C5101" s="7" t="n"/>
      <c r="D5101" s="7" t="n"/>
      <c r="E5101" s="7" t="n"/>
      <c r="F5101" s="7" t="n"/>
      <c r="G5101" s="7" t="n"/>
      <c r="H5101" s="7" t="n"/>
      <c r="I5101" s="7" t="n"/>
      <c r="J5101" s="7" t="n"/>
      <c r="K5101">
        <f>IF(D5101="Legitimate Interest (GDPR Art. 6(1)(f))", "Yes / Required (Sheet 3)", "")</f>
        <v/>
      </c>
      <c r="L5101" s="7" t="n"/>
      <c r="M5101" s="7" t="n"/>
      <c r="N5101">
        <f>IF(D5101="", "Gap - No Legal Basis", IF(AND(D5101="Consent (GDPR Art. 6(1)(a))", I5101="Not Captured"), "Gap - Invalid Consent", IF(AND(D5101="Legitimate Interest (GDPR Art. 6(1)(f))", L5101=""), "Gap - Missing LIA", IF(AND(G5101="Yes", H5101=""), "Gap - Missing Art. 9 Basis", IF(OR(I5101="Invalid - Not Freely Given", I5101="Invalid - Not Specific", I5101="Invalid - Not Informed", I5101="Invalid - Ambiguous"), "Gap - Invalid Consent", "Compliant")))))</f>
        <v/>
      </c>
      <c r="O5101" s="7" t="n"/>
    </row>
    <row r="5102">
      <c r="A5102" s="7" t="n"/>
      <c r="B5102" s="7" t="n"/>
      <c r="C5102" s="7" t="n"/>
      <c r="D5102" s="7" t="n"/>
      <c r="E5102" s="7" t="n"/>
      <c r="F5102" s="7" t="n"/>
      <c r="G5102" s="7" t="n"/>
      <c r="H5102" s="7" t="n"/>
      <c r="I5102" s="7" t="n"/>
      <c r="J5102" s="7" t="n"/>
      <c r="K5102">
        <f>IF(D5102="Legitimate Interest (GDPR Art. 6(1)(f))", "Yes / Required (Sheet 3)", "")</f>
        <v/>
      </c>
      <c r="L5102" s="7" t="n"/>
      <c r="M5102" s="7" t="n"/>
      <c r="N5102">
        <f>IF(D5102="", "Gap - No Legal Basis", IF(AND(D5102="Consent (GDPR Art. 6(1)(a))", I5102="Not Captured"), "Gap - Invalid Consent", IF(AND(D5102="Legitimate Interest (GDPR Art. 6(1)(f))", L5102=""), "Gap - Missing LIA", IF(AND(G5102="Yes", H5102=""), "Gap - Missing Art. 9 Basis", IF(OR(I5102="Invalid - Not Freely Given", I5102="Invalid - Not Specific", I5102="Invalid - Not Informed", I5102="Invalid - Ambiguous"), "Gap - Invalid Consent", "Compliant")))))</f>
        <v/>
      </c>
      <c r="O5102" s="7" t="n"/>
    </row>
    <row r="5103">
      <c r="A5103" s="7" t="n"/>
      <c r="B5103" s="7" t="n"/>
      <c r="C5103" s="7" t="n"/>
      <c r="D5103" s="7" t="n"/>
      <c r="E5103" s="7" t="n"/>
      <c r="F5103" s="7" t="n"/>
      <c r="G5103" s="7" t="n"/>
      <c r="H5103" s="7" t="n"/>
      <c r="I5103" s="7" t="n"/>
      <c r="J5103" s="7" t="n"/>
      <c r="K5103">
        <f>IF(D5103="Legitimate Interest (GDPR Art. 6(1)(f))", "Yes / Required (Sheet 3)", "")</f>
        <v/>
      </c>
      <c r="L5103" s="7" t="n"/>
      <c r="M5103" s="7" t="n"/>
      <c r="N5103">
        <f>IF(D5103="", "Gap - No Legal Basis", IF(AND(D5103="Consent (GDPR Art. 6(1)(a))", I5103="Not Captured"), "Gap - Invalid Consent", IF(AND(D5103="Legitimate Interest (GDPR Art. 6(1)(f))", L5103=""), "Gap - Missing LIA", IF(AND(G5103="Yes", H5103=""), "Gap - Missing Art. 9 Basis", IF(OR(I5103="Invalid - Not Freely Given", I5103="Invalid - Not Specific", I5103="Invalid - Not Informed", I5103="Invalid - Ambiguous"), "Gap - Invalid Consent", "Compliant")))))</f>
        <v/>
      </c>
      <c r="O5103" s="7" t="n"/>
    </row>
    <row r="5104">
      <c r="A5104" s="7" t="n"/>
      <c r="B5104" s="7" t="n"/>
      <c r="C5104" s="7" t="n"/>
      <c r="D5104" s="7" t="n"/>
      <c r="E5104" s="7" t="n"/>
      <c r="F5104" s="7" t="n"/>
      <c r="G5104" s="7" t="n"/>
      <c r="H5104" s="7" t="n"/>
      <c r="I5104" s="7" t="n"/>
      <c r="J5104" s="7" t="n"/>
      <c r="K5104">
        <f>IF(D5104="Legitimate Interest (GDPR Art. 6(1)(f))", "Yes / Required (Sheet 3)", "")</f>
        <v/>
      </c>
      <c r="L5104" s="7" t="n"/>
      <c r="M5104" s="7" t="n"/>
      <c r="N5104">
        <f>IF(D5104="", "Gap - No Legal Basis", IF(AND(D5104="Consent (GDPR Art. 6(1)(a))", I5104="Not Captured"), "Gap - Invalid Consent", IF(AND(D5104="Legitimate Interest (GDPR Art. 6(1)(f))", L5104=""), "Gap - Missing LIA", IF(AND(G5104="Yes", H5104=""), "Gap - Missing Art. 9 Basis", IF(OR(I5104="Invalid - Not Freely Given", I5104="Invalid - Not Specific", I5104="Invalid - Not Informed", I5104="Invalid - Ambiguous"), "Gap - Invalid Consent", "Compliant")))))</f>
        <v/>
      </c>
      <c r="O5104" s="7" t="n"/>
    </row>
    <row r="5105">
      <c r="A5105" s="7" t="n"/>
      <c r="B5105" s="7" t="n"/>
      <c r="C5105" s="7" t="n"/>
      <c r="D5105" s="7" t="n"/>
      <c r="E5105" s="7" t="n"/>
      <c r="F5105" s="7" t="n"/>
      <c r="G5105" s="7" t="n"/>
      <c r="H5105" s="7" t="n"/>
      <c r="I5105" s="7" t="n"/>
      <c r="J5105" s="7" t="n"/>
      <c r="K5105">
        <f>IF(D5105="Legitimate Interest (GDPR Art. 6(1)(f))", "Yes / Required (Sheet 3)", "")</f>
        <v/>
      </c>
      <c r="L5105" s="7" t="n"/>
      <c r="M5105" s="7" t="n"/>
      <c r="N5105">
        <f>IF(D5105="", "Gap - No Legal Basis", IF(AND(D5105="Consent (GDPR Art. 6(1)(a))", I5105="Not Captured"), "Gap - Invalid Consent", IF(AND(D5105="Legitimate Interest (GDPR Art. 6(1)(f))", L5105=""), "Gap - Missing LIA", IF(AND(G5105="Yes", H5105=""), "Gap - Missing Art. 9 Basis", IF(OR(I5105="Invalid - Not Freely Given", I5105="Invalid - Not Specific", I5105="Invalid - Not Informed", I5105="Invalid - Ambiguous"), "Gap - Invalid Consent", "Compliant")))))</f>
        <v/>
      </c>
      <c r="O5105" s="7" t="n"/>
    </row>
    <row r="5106">
      <c r="A5106" s="7" t="n"/>
      <c r="B5106" s="7" t="n"/>
      <c r="C5106" s="7" t="n"/>
      <c r="D5106" s="7" t="n"/>
      <c r="E5106" s="7" t="n"/>
      <c r="F5106" s="7" t="n"/>
      <c r="G5106" s="7" t="n"/>
      <c r="H5106" s="7" t="n"/>
      <c r="I5106" s="7" t="n"/>
      <c r="J5106" s="7" t="n"/>
      <c r="K5106">
        <f>IF(D5106="Legitimate Interest (GDPR Art. 6(1)(f))", "Yes / Required (Sheet 3)", "")</f>
        <v/>
      </c>
      <c r="L5106" s="7" t="n"/>
      <c r="M5106" s="7" t="n"/>
      <c r="N5106">
        <f>IF(D5106="", "Gap - No Legal Basis", IF(AND(D5106="Consent (GDPR Art. 6(1)(a))", I5106="Not Captured"), "Gap - Invalid Consent", IF(AND(D5106="Legitimate Interest (GDPR Art. 6(1)(f))", L5106=""), "Gap - Missing LIA", IF(AND(G5106="Yes", H5106=""), "Gap - Missing Art. 9 Basis", IF(OR(I5106="Invalid - Not Freely Given", I5106="Invalid - Not Specific", I5106="Invalid - Not Informed", I5106="Invalid - Ambiguous"), "Gap - Invalid Consent", "Compliant")))))</f>
        <v/>
      </c>
      <c r="O5106" s="7" t="n"/>
    </row>
    <row r="5107">
      <c r="A5107" s="7" t="n"/>
      <c r="B5107" s="7" t="n"/>
      <c r="C5107" s="7" t="n"/>
      <c r="D5107" s="7" t="n"/>
      <c r="E5107" s="7" t="n"/>
      <c r="F5107" s="7" t="n"/>
      <c r="G5107" s="7" t="n"/>
      <c r="H5107" s="7" t="n"/>
      <c r="I5107" s="7" t="n"/>
      <c r="J5107" s="7" t="n"/>
      <c r="K5107">
        <f>IF(D5107="Legitimate Interest (GDPR Art. 6(1)(f))", "Yes / Required (Sheet 3)", "")</f>
        <v/>
      </c>
      <c r="L5107" s="7" t="n"/>
      <c r="M5107" s="7" t="n"/>
      <c r="N5107">
        <f>IF(D5107="", "Gap - No Legal Basis", IF(AND(D5107="Consent (GDPR Art. 6(1)(a))", I5107="Not Captured"), "Gap - Invalid Consent", IF(AND(D5107="Legitimate Interest (GDPR Art. 6(1)(f))", L5107=""), "Gap - Missing LIA", IF(AND(G5107="Yes", H5107=""), "Gap - Missing Art. 9 Basis", IF(OR(I5107="Invalid - Not Freely Given", I5107="Invalid - Not Specific", I5107="Invalid - Not Informed", I5107="Invalid - Ambiguous"), "Gap - Invalid Consent", "Compliant")))))</f>
        <v/>
      </c>
      <c r="O5107" s="7" t="n"/>
    </row>
    <row r="5108">
      <c r="A5108" s="7" t="n"/>
      <c r="B5108" s="7" t="n"/>
      <c r="C5108" s="7" t="n"/>
      <c r="D5108" s="7" t="n"/>
      <c r="E5108" s="7" t="n"/>
      <c r="F5108" s="7" t="n"/>
      <c r="G5108" s="7" t="n"/>
      <c r="H5108" s="7" t="n"/>
      <c r="I5108" s="7" t="n"/>
      <c r="J5108" s="7" t="n"/>
      <c r="K5108">
        <f>IF(D5108="Legitimate Interest (GDPR Art. 6(1)(f))", "Yes / Required (Sheet 3)", "")</f>
        <v/>
      </c>
      <c r="L5108" s="7" t="n"/>
      <c r="M5108" s="7" t="n"/>
      <c r="N5108">
        <f>IF(D5108="", "Gap - No Legal Basis", IF(AND(D5108="Consent (GDPR Art. 6(1)(a))", I5108="Not Captured"), "Gap - Invalid Consent", IF(AND(D5108="Legitimate Interest (GDPR Art. 6(1)(f))", L5108=""), "Gap - Missing LIA", IF(AND(G5108="Yes", H5108=""), "Gap - Missing Art. 9 Basis", IF(OR(I5108="Invalid - Not Freely Given", I5108="Invalid - Not Specific", I5108="Invalid - Not Informed", I5108="Invalid - Ambiguous"), "Gap - Invalid Consent", "Compliant")))))</f>
        <v/>
      </c>
      <c r="O5108" s="7" t="n"/>
    </row>
    <row r="5109">
      <c r="A5109" s="7" t="n"/>
      <c r="B5109" s="7" t="n"/>
      <c r="C5109" s="7" t="n"/>
      <c r="D5109" s="7" t="n"/>
      <c r="E5109" s="7" t="n"/>
      <c r="F5109" s="7" t="n"/>
      <c r="G5109" s="7" t="n"/>
      <c r="H5109" s="7" t="n"/>
      <c r="I5109" s="7" t="n"/>
      <c r="J5109" s="7" t="n"/>
      <c r="K5109">
        <f>IF(D5109="Legitimate Interest (GDPR Art. 6(1)(f))", "Yes / Required (Sheet 3)", "")</f>
        <v/>
      </c>
      <c r="L5109" s="7" t="n"/>
      <c r="M5109" s="7" t="n"/>
      <c r="N5109">
        <f>IF(D5109="", "Gap - No Legal Basis", IF(AND(D5109="Consent (GDPR Art. 6(1)(a))", I5109="Not Captured"), "Gap - Invalid Consent", IF(AND(D5109="Legitimate Interest (GDPR Art. 6(1)(f))", L5109=""), "Gap - Missing LIA", IF(AND(G5109="Yes", H5109=""), "Gap - Missing Art. 9 Basis", IF(OR(I5109="Invalid - Not Freely Given", I5109="Invalid - Not Specific", I5109="Invalid - Not Informed", I5109="Invalid - Ambiguous"), "Gap - Invalid Consent", "Compliant")))))</f>
        <v/>
      </c>
      <c r="O5109" s="7" t="n"/>
    </row>
    <row r="5110">
      <c r="A5110" s="7" t="n"/>
      <c r="B5110" s="7" t="n"/>
      <c r="C5110" s="7" t="n"/>
      <c r="D5110" s="7" t="n"/>
      <c r="E5110" s="7" t="n"/>
      <c r="F5110" s="7" t="n"/>
      <c r="G5110" s="7" t="n"/>
      <c r="H5110" s="7" t="n"/>
      <c r="I5110" s="7" t="n"/>
      <c r="J5110" s="7" t="n"/>
      <c r="K5110">
        <f>IF(D5110="Legitimate Interest (GDPR Art. 6(1)(f))", "Yes / Required (Sheet 3)", "")</f>
        <v/>
      </c>
      <c r="L5110" s="7" t="n"/>
      <c r="M5110" s="7" t="n"/>
      <c r="N5110">
        <f>IF(D5110="", "Gap - No Legal Basis", IF(AND(D5110="Consent (GDPR Art. 6(1)(a))", I5110="Not Captured"), "Gap - Invalid Consent", IF(AND(D5110="Legitimate Interest (GDPR Art. 6(1)(f))", L5110=""), "Gap - Missing LIA", IF(AND(G5110="Yes", H5110=""), "Gap - Missing Art. 9 Basis", IF(OR(I5110="Invalid - Not Freely Given", I5110="Invalid - Not Specific", I5110="Invalid - Not Informed", I5110="Invalid - Ambiguous"), "Gap - Invalid Consent", "Compliant")))))</f>
        <v/>
      </c>
      <c r="O5110" s="7" t="n"/>
    </row>
    <row r="5111">
      <c r="A5111" s="7" t="n"/>
      <c r="B5111" s="7" t="n"/>
      <c r="C5111" s="7" t="n"/>
      <c r="D5111" s="7" t="n"/>
      <c r="E5111" s="7" t="n"/>
      <c r="F5111" s="7" t="n"/>
      <c r="G5111" s="7" t="n"/>
      <c r="H5111" s="7" t="n"/>
      <c r="I5111" s="7" t="n"/>
      <c r="J5111" s="7" t="n"/>
      <c r="K5111">
        <f>IF(D5111="Legitimate Interest (GDPR Art. 6(1)(f))", "Yes / Required (Sheet 3)", "")</f>
        <v/>
      </c>
      <c r="L5111" s="7" t="n"/>
      <c r="M5111" s="7" t="n"/>
      <c r="N5111">
        <f>IF(D5111="", "Gap - No Legal Basis", IF(AND(D5111="Consent (GDPR Art. 6(1)(a))", I5111="Not Captured"), "Gap - Invalid Consent", IF(AND(D5111="Legitimate Interest (GDPR Art. 6(1)(f))", L5111=""), "Gap - Missing LIA", IF(AND(G5111="Yes", H5111=""), "Gap - Missing Art. 9 Basis", IF(OR(I5111="Invalid - Not Freely Given", I5111="Invalid - Not Specific", I5111="Invalid - Not Informed", I5111="Invalid - Ambiguous"), "Gap - Invalid Consent", "Compliant")))))</f>
        <v/>
      </c>
      <c r="O5111" s="7" t="n"/>
    </row>
    <row r="5112">
      <c r="A5112" s="7" t="n"/>
      <c r="B5112" s="7" t="n"/>
      <c r="C5112" s="7" t="n"/>
      <c r="D5112" s="7" t="n"/>
      <c r="E5112" s="7" t="n"/>
      <c r="F5112" s="7" t="n"/>
      <c r="G5112" s="7" t="n"/>
      <c r="H5112" s="7" t="n"/>
      <c r="I5112" s="7" t="n"/>
      <c r="J5112" s="7" t="n"/>
      <c r="K5112">
        <f>IF(D5112="Legitimate Interest (GDPR Art. 6(1)(f))", "Yes / Required (Sheet 3)", "")</f>
        <v/>
      </c>
      <c r="L5112" s="7" t="n"/>
      <c r="M5112" s="7" t="n"/>
      <c r="N5112">
        <f>IF(D5112="", "Gap - No Legal Basis", IF(AND(D5112="Consent (GDPR Art. 6(1)(a))", I5112="Not Captured"), "Gap - Invalid Consent", IF(AND(D5112="Legitimate Interest (GDPR Art. 6(1)(f))", L5112=""), "Gap - Missing LIA", IF(AND(G5112="Yes", H5112=""), "Gap - Missing Art. 9 Basis", IF(OR(I5112="Invalid - Not Freely Given", I5112="Invalid - Not Specific", I5112="Invalid - Not Informed", I5112="Invalid - Ambiguous"), "Gap - Invalid Consent", "Compliant")))))</f>
        <v/>
      </c>
      <c r="O5112" s="7" t="n"/>
    </row>
    <row r="5113">
      <c r="A5113" s="7" t="n"/>
      <c r="B5113" s="7" t="n"/>
      <c r="C5113" s="7" t="n"/>
      <c r="D5113" s="7" t="n"/>
      <c r="E5113" s="7" t="n"/>
      <c r="F5113" s="7" t="n"/>
      <c r="G5113" s="7" t="n"/>
      <c r="H5113" s="7" t="n"/>
      <c r="I5113" s="7" t="n"/>
      <c r="J5113" s="7" t="n"/>
      <c r="K5113">
        <f>IF(D5113="Legitimate Interest (GDPR Art. 6(1)(f))", "Yes / Required (Sheet 3)", "")</f>
        <v/>
      </c>
      <c r="L5113" s="7" t="n"/>
      <c r="M5113" s="7" t="n"/>
      <c r="N5113">
        <f>IF(D5113="", "Gap - No Legal Basis", IF(AND(D5113="Consent (GDPR Art. 6(1)(a))", I5113="Not Captured"), "Gap - Invalid Consent", IF(AND(D5113="Legitimate Interest (GDPR Art. 6(1)(f))", L5113=""), "Gap - Missing LIA", IF(AND(G5113="Yes", H5113=""), "Gap - Missing Art. 9 Basis", IF(OR(I5113="Invalid - Not Freely Given", I5113="Invalid - Not Specific", I5113="Invalid - Not Informed", I5113="Invalid - Ambiguous"), "Gap - Invalid Consent", "Compliant")))))</f>
        <v/>
      </c>
      <c r="O5113" s="7" t="n"/>
    </row>
    <row r="5114">
      <c r="A5114" s="7" t="n"/>
      <c r="B5114" s="7" t="n"/>
      <c r="C5114" s="7" t="n"/>
      <c r="D5114" s="7" t="n"/>
      <c r="E5114" s="7" t="n"/>
      <c r="F5114" s="7" t="n"/>
      <c r="G5114" s="7" t="n"/>
      <c r="H5114" s="7" t="n"/>
      <c r="I5114" s="7" t="n"/>
      <c r="J5114" s="7" t="n"/>
      <c r="K5114">
        <f>IF(D5114="Legitimate Interest (GDPR Art. 6(1)(f))", "Yes / Required (Sheet 3)", "")</f>
        <v/>
      </c>
      <c r="L5114" s="7" t="n"/>
      <c r="M5114" s="7" t="n"/>
      <c r="N5114">
        <f>IF(D5114="", "Gap - No Legal Basis", IF(AND(D5114="Consent (GDPR Art. 6(1)(a))", I5114="Not Captured"), "Gap - Invalid Consent", IF(AND(D5114="Legitimate Interest (GDPR Art. 6(1)(f))", L5114=""), "Gap - Missing LIA", IF(AND(G5114="Yes", H5114=""), "Gap - Missing Art. 9 Basis", IF(OR(I5114="Invalid - Not Freely Given", I5114="Invalid - Not Specific", I5114="Invalid - Not Informed", I5114="Invalid - Ambiguous"), "Gap - Invalid Consent", "Compliant")))))</f>
        <v/>
      </c>
      <c r="O5114" s="7" t="n"/>
    </row>
    <row r="5115">
      <c r="A5115" s="7" t="n"/>
      <c r="B5115" s="7" t="n"/>
      <c r="C5115" s="7" t="n"/>
      <c r="D5115" s="7" t="n"/>
      <c r="E5115" s="7" t="n"/>
      <c r="F5115" s="7" t="n"/>
      <c r="G5115" s="7" t="n"/>
      <c r="H5115" s="7" t="n"/>
      <c r="I5115" s="7" t="n"/>
      <c r="J5115" s="7" t="n"/>
      <c r="K5115">
        <f>IF(D5115="Legitimate Interest (GDPR Art. 6(1)(f))", "Yes / Required (Sheet 3)", "")</f>
        <v/>
      </c>
      <c r="L5115" s="7" t="n"/>
      <c r="M5115" s="7" t="n"/>
      <c r="N5115">
        <f>IF(D5115="", "Gap - No Legal Basis", IF(AND(D5115="Consent (GDPR Art. 6(1)(a))", I5115="Not Captured"), "Gap - Invalid Consent", IF(AND(D5115="Legitimate Interest (GDPR Art. 6(1)(f))", L5115=""), "Gap - Missing LIA", IF(AND(G5115="Yes", H5115=""), "Gap - Missing Art. 9 Basis", IF(OR(I5115="Invalid - Not Freely Given", I5115="Invalid - Not Specific", I5115="Invalid - Not Informed", I5115="Invalid - Ambiguous"), "Gap - Invalid Consent", "Compliant")))))</f>
        <v/>
      </c>
      <c r="O5115" s="7" t="n"/>
    </row>
    <row r="5116">
      <c r="A5116" s="7" t="n"/>
      <c r="B5116" s="7" t="n"/>
      <c r="C5116" s="7" t="n"/>
      <c r="D5116" s="7" t="n"/>
      <c r="E5116" s="7" t="n"/>
      <c r="F5116" s="7" t="n"/>
      <c r="G5116" s="7" t="n"/>
      <c r="H5116" s="7" t="n"/>
      <c r="I5116" s="7" t="n"/>
      <c r="J5116" s="7" t="n"/>
      <c r="K5116">
        <f>IF(D5116="Legitimate Interest (GDPR Art. 6(1)(f))", "Yes / Required (Sheet 3)", "")</f>
        <v/>
      </c>
      <c r="L5116" s="7" t="n"/>
      <c r="M5116" s="7" t="n"/>
      <c r="N5116">
        <f>IF(D5116="", "Gap - No Legal Basis", IF(AND(D5116="Consent (GDPR Art. 6(1)(a))", I5116="Not Captured"), "Gap - Invalid Consent", IF(AND(D5116="Legitimate Interest (GDPR Art. 6(1)(f))", L5116=""), "Gap - Missing LIA", IF(AND(G5116="Yes", H5116=""), "Gap - Missing Art. 9 Basis", IF(OR(I5116="Invalid - Not Freely Given", I5116="Invalid - Not Specific", I5116="Invalid - Not Informed", I5116="Invalid - Ambiguous"), "Gap - Invalid Consent", "Compliant")))))</f>
        <v/>
      </c>
      <c r="O5116" s="7" t="n"/>
    </row>
    <row r="5117">
      <c r="A5117" s="7" t="n"/>
      <c r="B5117" s="7" t="n"/>
      <c r="C5117" s="7" t="n"/>
      <c r="D5117" s="7" t="n"/>
      <c r="E5117" s="7" t="n"/>
      <c r="F5117" s="7" t="n"/>
      <c r="G5117" s="7" t="n"/>
      <c r="H5117" s="7" t="n"/>
      <c r="I5117" s="7" t="n"/>
      <c r="J5117" s="7" t="n"/>
      <c r="K5117">
        <f>IF(D5117="Legitimate Interest (GDPR Art. 6(1)(f))", "Yes / Required (Sheet 3)", "")</f>
        <v/>
      </c>
      <c r="L5117" s="7" t="n"/>
      <c r="M5117" s="7" t="n"/>
      <c r="N5117">
        <f>IF(D5117="", "Gap - No Legal Basis", IF(AND(D5117="Consent (GDPR Art. 6(1)(a))", I5117="Not Captured"), "Gap - Invalid Consent", IF(AND(D5117="Legitimate Interest (GDPR Art. 6(1)(f))", L5117=""), "Gap - Missing LIA", IF(AND(G5117="Yes", H5117=""), "Gap - Missing Art. 9 Basis", IF(OR(I5117="Invalid - Not Freely Given", I5117="Invalid - Not Specific", I5117="Invalid - Not Informed", I5117="Invalid - Ambiguous"), "Gap - Invalid Consent", "Compliant")))))</f>
        <v/>
      </c>
      <c r="O5117" s="7" t="n"/>
    </row>
    <row r="5118">
      <c r="A5118" s="7" t="n"/>
      <c r="B5118" s="7" t="n"/>
      <c r="C5118" s="7" t="n"/>
      <c r="D5118" s="7" t="n"/>
      <c r="E5118" s="7" t="n"/>
      <c r="F5118" s="7" t="n"/>
      <c r="G5118" s="7" t="n"/>
      <c r="H5118" s="7" t="n"/>
      <c r="I5118" s="7" t="n"/>
      <c r="J5118" s="7" t="n"/>
      <c r="K5118">
        <f>IF(D5118="Legitimate Interest (GDPR Art. 6(1)(f))", "Yes / Required (Sheet 3)", "")</f>
        <v/>
      </c>
      <c r="L5118" s="7" t="n"/>
      <c r="M5118" s="7" t="n"/>
      <c r="N5118">
        <f>IF(D5118="", "Gap - No Legal Basis", IF(AND(D5118="Consent (GDPR Art. 6(1)(a))", I5118="Not Captured"), "Gap - Invalid Consent", IF(AND(D5118="Legitimate Interest (GDPR Art. 6(1)(f))", L5118=""), "Gap - Missing LIA", IF(AND(G5118="Yes", H5118=""), "Gap - Missing Art. 9 Basis", IF(OR(I5118="Invalid - Not Freely Given", I5118="Invalid - Not Specific", I5118="Invalid - Not Informed", I5118="Invalid - Ambiguous"), "Gap - Invalid Consent", "Compliant")))))</f>
        <v/>
      </c>
      <c r="O5118" s="7" t="n"/>
    </row>
    <row r="5119">
      <c r="A5119" s="7" t="n"/>
      <c r="B5119" s="7" t="n"/>
      <c r="C5119" s="7" t="n"/>
      <c r="D5119" s="7" t="n"/>
      <c r="E5119" s="7" t="n"/>
      <c r="F5119" s="7" t="n"/>
      <c r="G5119" s="7" t="n"/>
      <c r="H5119" s="7" t="n"/>
      <c r="I5119" s="7" t="n"/>
      <c r="J5119" s="7" t="n"/>
      <c r="K5119">
        <f>IF(D5119="Legitimate Interest (GDPR Art. 6(1)(f))", "Yes / Required (Sheet 3)", "")</f>
        <v/>
      </c>
      <c r="L5119" s="7" t="n"/>
      <c r="M5119" s="7" t="n"/>
      <c r="N5119">
        <f>IF(D5119="", "Gap - No Legal Basis", IF(AND(D5119="Consent (GDPR Art. 6(1)(a))", I5119="Not Captured"), "Gap - Invalid Consent", IF(AND(D5119="Legitimate Interest (GDPR Art. 6(1)(f))", L5119=""), "Gap - Missing LIA", IF(AND(G5119="Yes", H5119=""), "Gap - Missing Art. 9 Basis", IF(OR(I5119="Invalid - Not Freely Given", I5119="Invalid - Not Specific", I5119="Invalid - Not Informed", I5119="Invalid - Ambiguous"), "Gap - Invalid Consent", "Compliant")))))</f>
        <v/>
      </c>
      <c r="O5119" s="7" t="n"/>
    </row>
    <row r="5120">
      <c r="A5120" s="7" t="n"/>
      <c r="B5120" s="7" t="n"/>
      <c r="C5120" s="7" t="n"/>
      <c r="D5120" s="7" t="n"/>
      <c r="E5120" s="7" t="n"/>
      <c r="F5120" s="7" t="n"/>
      <c r="G5120" s="7" t="n"/>
      <c r="H5120" s="7" t="n"/>
      <c r="I5120" s="7" t="n"/>
      <c r="J5120" s="7" t="n"/>
      <c r="K5120">
        <f>IF(D5120="Legitimate Interest (GDPR Art. 6(1)(f))", "Yes / Required (Sheet 3)", "")</f>
        <v/>
      </c>
      <c r="L5120" s="7" t="n"/>
      <c r="M5120" s="7" t="n"/>
      <c r="N5120">
        <f>IF(D5120="", "Gap - No Legal Basis", IF(AND(D5120="Consent (GDPR Art. 6(1)(a))", I5120="Not Captured"), "Gap - Invalid Consent", IF(AND(D5120="Legitimate Interest (GDPR Art. 6(1)(f))", L5120=""), "Gap - Missing LIA", IF(AND(G5120="Yes", H5120=""), "Gap - Missing Art. 9 Basis", IF(OR(I5120="Invalid - Not Freely Given", I5120="Invalid - Not Specific", I5120="Invalid - Not Informed", I5120="Invalid - Ambiguous"), "Gap - Invalid Consent", "Compliant")))))</f>
        <v/>
      </c>
      <c r="O5120" s="7" t="n"/>
    </row>
    <row r="5121">
      <c r="A5121" s="7" t="n"/>
      <c r="B5121" s="7" t="n"/>
      <c r="C5121" s="7" t="n"/>
      <c r="D5121" s="7" t="n"/>
      <c r="E5121" s="7" t="n"/>
      <c r="F5121" s="7" t="n"/>
      <c r="G5121" s="7" t="n"/>
      <c r="H5121" s="7" t="n"/>
      <c r="I5121" s="7" t="n"/>
      <c r="J5121" s="7" t="n"/>
      <c r="K5121">
        <f>IF(D5121="Legitimate Interest (GDPR Art. 6(1)(f))", "Yes / Required (Sheet 3)", "")</f>
        <v/>
      </c>
      <c r="L5121" s="7" t="n"/>
      <c r="M5121" s="7" t="n"/>
      <c r="N5121">
        <f>IF(D5121="", "Gap - No Legal Basis", IF(AND(D5121="Consent (GDPR Art. 6(1)(a))", I5121="Not Captured"), "Gap - Invalid Consent", IF(AND(D5121="Legitimate Interest (GDPR Art. 6(1)(f))", L5121=""), "Gap - Missing LIA", IF(AND(G5121="Yes", H5121=""), "Gap - Missing Art. 9 Basis", IF(OR(I5121="Invalid - Not Freely Given", I5121="Invalid - Not Specific", I5121="Invalid - Not Informed", I5121="Invalid - Ambiguous"), "Gap - Invalid Consent", "Compliant")))))</f>
        <v/>
      </c>
      <c r="O5121" s="7" t="n"/>
    </row>
    <row r="5122">
      <c r="A5122" s="7" t="n"/>
      <c r="B5122" s="7" t="n"/>
      <c r="C5122" s="7" t="n"/>
      <c r="D5122" s="7" t="n"/>
      <c r="E5122" s="7" t="n"/>
      <c r="F5122" s="7" t="n"/>
      <c r="G5122" s="7" t="n"/>
      <c r="H5122" s="7" t="n"/>
      <c r="I5122" s="7" t="n"/>
      <c r="J5122" s="7" t="n"/>
      <c r="K5122">
        <f>IF(D5122="Legitimate Interest (GDPR Art. 6(1)(f))", "Yes / Required (Sheet 3)", "")</f>
        <v/>
      </c>
      <c r="L5122" s="7" t="n"/>
      <c r="M5122" s="7" t="n"/>
      <c r="N5122">
        <f>IF(D5122="", "Gap - No Legal Basis", IF(AND(D5122="Consent (GDPR Art. 6(1)(a))", I5122="Not Captured"), "Gap - Invalid Consent", IF(AND(D5122="Legitimate Interest (GDPR Art. 6(1)(f))", L5122=""), "Gap - Missing LIA", IF(AND(G5122="Yes", H5122=""), "Gap - Missing Art. 9 Basis", IF(OR(I5122="Invalid - Not Freely Given", I5122="Invalid - Not Specific", I5122="Invalid - Not Informed", I5122="Invalid - Ambiguous"), "Gap - Invalid Consent", "Compliant")))))</f>
        <v/>
      </c>
      <c r="O5122" s="7" t="n"/>
    </row>
    <row r="5123">
      <c r="A5123" s="7" t="n"/>
      <c r="B5123" s="7" t="n"/>
      <c r="C5123" s="7" t="n"/>
      <c r="D5123" s="7" t="n"/>
      <c r="E5123" s="7" t="n"/>
      <c r="F5123" s="7" t="n"/>
      <c r="G5123" s="7" t="n"/>
      <c r="H5123" s="7" t="n"/>
      <c r="I5123" s="7" t="n"/>
      <c r="J5123" s="7" t="n"/>
      <c r="K5123">
        <f>IF(D5123="Legitimate Interest (GDPR Art. 6(1)(f))", "Yes / Required (Sheet 3)", "")</f>
        <v/>
      </c>
      <c r="L5123" s="7" t="n"/>
      <c r="M5123" s="7" t="n"/>
      <c r="N5123">
        <f>IF(D5123="", "Gap - No Legal Basis", IF(AND(D5123="Consent (GDPR Art. 6(1)(a))", I5123="Not Captured"), "Gap - Invalid Consent", IF(AND(D5123="Legitimate Interest (GDPR Art. 6(1)(f))", L5123=""), "Gap - Missing LIA", IF(AND(G5123="Yes", H5123=""), "Gap - Missing Art. 9 Basis", IF(OR(I5123="Invalid - Not Freely Given", I5123="Invalid - Not Specific", I5123="Invalid - Not Informed", I5123="Invalid - Ambiguous"), "Gap - Invalid Consent", "Compliant")))))</f>
        <v/>
      </c>
      <c r="O5123" s="7" t="n"/>
    </row>
    <row r="5124">
      <c r="A5124" s="7" t="n"/>
      <c r="B5124" s="7" t="n"/>
      <c r="C5124" s="7" t="n"/>
      <c r="D5124" s="7" t="n"/>
      <c r="E5124" s="7" t="n"/>
      <c r="F5124" s="7" t="n"/>
      <c r="G5124" s="7" t="n"/>
      <c r="H5124" s="7" t="n"/>
      <c r="I5124" s="7" t="n"/>
      <c r="J5124" s="7" t="n"/>
      <c r="K5124">
        <f>IF(D5124="Legitimate Interest (GDPR Art. 6(1)(f))", "Yes / Required (Sheet 3)", "")</f>
        <v/>
      </c>
      <c r="L5124" s="7" t="n"/>
      <c r="M5124" s="7" t="n"/>
      <c r="N5124">
        <f>IF(D5124="", "Gap - No Legal Basis", IF(AND(D5124="Consent (GDPR Art. 6(1)(a))", I5124="Not Captured"), "Gap - Invalid Consent", IF(AND(D5124="Legitimate Interest (GDPR Art. 6(1)(f))", L5124=""), "Gap - Missing LIA", IF(AND(G5124="Yes", H5124=""), "Gap - Missing Art. 9 Basis", IF(OR(I5124="Invalid - Not Freely Given", I5124="Invalid - Not Specific", I5124="Invalid - Not Informed", I5124="Invalid - Ambiguous"), "Gap - Invalid Consent", "Compliant")))))</f>
        <v/>
      </c>
      <c r="O5124" s="7" t="n"/>
    </row>
    <row r="5125">
      <c r="A5125" s="7" t="n"/>
      <c r="B5125" s="7" t="n"/>
      <c r="C5125" s="7" t="n"/>
      <c r="D5125" s="7" t="n"/>
      <c r="E5125" s="7" t="n"/>
      <c r="F5125" s="7" t="n"/>
      <c r="G5125" s="7" t="n"/>
      <c r="H5125" s="7" t="n"/>
      <c r="I5125" s="7" t="n"/>
      <c r="J5125" s="7" t="n"/>
      <c r="K5125">
        <f>IF(D5125="Legitimate Interest (GDPR Art. 6(1)(f))", "Yes / Required (Sheet 3)", "")</f>
        <v/>
      </c>
      <c r="L5125" s="7" t="n"/>
      <c r="M5125" s="7" t="n"/>
      <c r="N5125">
        <f>IF(D5125="", "Gap - No Legal Basis", IF(AND(D5125="Consent (GDPR Art. 6(1)(a))", I5125="Not Captured"), "Gap - Invalid Consent", IF(AND(D5125="Legitimate Interest (GDPR Art. 6(1)(f))", L5125=""), "Gap - Missing LIA", IF(AND(G5125="Yes", H5125=""), "Gap - Missing Art. 9 Basis", IF(OR(I5125="Invalid - Not Freely Given", I5125="Invalid - Not Specific", I5125="Invalid - Not Informed", I5125="Invalid - Ambiguous"), "Gap - Invalid Consent", "Compliant")))))</f>
        <v/>
      </c>
      <c r="O5125" s="7" t="n"/>
    </row>
    <row r="5126">
      <c r="A5126" s="7" t="n"/>
      <c r="B5126" s="7" t="n"/>
      <c r="C5126" s="7" t="n"/>
      <c r="D5126" s="7" t="n"/>
      <c r="E5126" s="7" t="n"/>
      <c r="F5126" s="7" t="n"/>
      <c r="G5126" s="7" t="n"/>
      <c r="H5126" s="7" t="n"/>
      <c r="I5126" s="7" t="n"/>
      <c r="J5126" s="7" t="n"/>
      <c r="K5126">
        <f>IF(D5126="Legitimate Interest (GDPR Art. 6(1)(f))", "Yes / Required (Sheet 3)", "")</f>
        <v/>
      </c>
      <c r="L5126" s="7" t="n"/>
      <c r="M5126" s="7" t="n"/>
      <c r="N5126">
        <f>IF(D5126="", "Gap - No Legal Basis", IF(AND(D5126="Consent (GDPR Art. 6(1)(a))", I5126="Not Captured"), "Gap - Invalid Consent", IF(AND(D5126="Legitimate Interest (GDPR Art. 6(1)(f))", L5126=""), "Gap - Missing LIA", IF(AND(G5126="Yes", H5126=""), "Gap - Missing Art. 9 Basis", IF(OR(I5126="Invalid - Not Freely Given", I5126="Invalid - Not Specific", I5126="Invalid - Not Informed", I5126="Invalid - Ambiguous"), "Gap - Invalid Consent", "Compliant")))))</f>
        <v/>
      </c>
      <c r="O5126" s="7" t="n"/>
    </row>
    <row r="5127">
      <c r="A5127" s="7" t="n"/>
      <c r="B5127" s="7" t="n"/>
      <c r="C5127" s="7" t="n"/>
      <c r="D5127" s="7" t="n"/>
      <c r="E5127" s="7" t="n"/>
      <c r="F5127" s="7" t="n"/>
      <c r="G5127" s="7" t="n"/>
      <c r="H5127" s="7" t="n"/>
      <c r="I5127" s="7" t="n"/>
      <c r="J5127" s="7" t="n"/>
      <c r="K5127">
        <f>IF(D5127="Legitimate Interest (GDPR Art. 6(1)(f))", "Yes / Required (Sheet 3)", "")</f>
        <v/>
      </c>
      <c r="L5127" s="7" t="n"/>
      <c r="M5127" s="7" t="n"/>
      <c r="N5127">
        <f>IF(D5127="", "Gap - No Legal Basis", IF(AND(D5127="Consent (GDPR Art. 6(1)(a))", I5127="Not Captured"), "Gap - Invalid Consent", IF(AND(D5127="Legitimate Interest (GDPR Art. 6(1)(f))", L5127=""), "Gap - Missing LIA", IF(AND(G5127="Yes", H5127=""), "Gap - Missing Art. 9 Basis", IF(OR(I5127="Invalid - Not Freely Given", I5127="Invalid - Not Specific", I5127="Invalid - Not Informed", I5127="Invalid - Ambiguous"), "Gap - Invalid Consent", "Compliant")))))</f>
        <v/>
      </c>
      <c r="O5127" s="7" t="n"/>
    </row>
    <row r="5128">
      <c r="A5128" s="7" t="n"/>
      <c r="B5128" s="7" t="n"/>
      <c r="C5128" s="7" t="n"/>
      <c r="D5128" s="7" t="n"/>
      <c r="E5128" s="7" t="n"/>
      <c r="F5128" s="7" t="n"/>
      <c r="G5128" s="7" t="n"/>
      <c r="H5128" s="7" t="n"/>
      <c r="I5128" s="7" t="n"/>
      <c r="J5128" s="7" t="n"/>
      <c r="K5128">
        <f>IF(D5128="Legitimate Interest (GDPR Art. 6(1)(f))", "Yes / Required (Sheet 3)", "")</f>
        <v/>
      </c>
      <c r="L5128" s="7" t="n"/>
      <c r="M5128" s="7" t="n"/>
      <c r="N5128">
        <f>IF(D5128="", "Gap - No Legal Basis", IF(AND(D5128="Consent (GDPR Art. 6(1)(a))", I5128="Not Captured"), "Gap - Invalid Consent", IF(AND(D5128="Legitimate Interest (GDPR Art. 6(1)(f))", L5128=""), "Gap - Missing LIA", IF(AND(G5128="Yes", H5128=""), "Gap - Missing Art. 9 Basis", IF(OR(I5128="Invalid - Not Freely Given", I5128="Invalid - Not Specific", I5128="Invalid - Not Informed", I5128="Invalid - Ambiguous"), "Gap - Invalid Consent", "Compliant")))))</f>
        <v/>
      </c>
      <c r="O5128" s="7" t="n"/>
    </row>
    <row r="5129">
      <c r="A5129" s="7" t="n"/>
      <c r="B5129" s="7" t="n"/>
      <c r="C5129" s="7" t="n"/>
      <c r="D5129" s="7" t="n"/>
      <c r="E5129" s="7" t="n"/>
      <c r="F5129" s="7" t="n"/>
      <c r="G5129" s="7" t="n"/>
      <c r="H5129" s="7" t="n"/>
      <c r="I5129" s="7" t="n"/>
      <c r="J5129" s="7" t="n"/>
      <c r="K5129">
        <f>IF(D5129="Legitimate Interest (GDPR Art. 6(1)(f))", "Yes / Required (Sheet 3)", "")</f>
        <v/>
      </c>
      <c r="L5129" s="7" t="n"/>
      <c r="M5129" s="7" t="n"/>
      <c r="N5129">
        <f>IF(D5129="", "Gap - No Legal Basis", IF(AND(D5129="Consent (GDPR Art. 6(1)(a))", I5129="Not Captured"), "Gap - Invalid Consent", IF(AND(D5129="Legitimate Interest (GDPR Art. 6(1)(f))", L5129=""), "Gap - Missing LIA", IF(AND(G5129="Yes", H5129=""), "Gap - Missing Art. 9 Basis", IF(OR(I5129="Invalid - Not Freely Given", I5129="Invalid - Not Specific", I5129="Invalid - Not Informed", I5129="Invalid - Ambiguous"), "Gap - Invalid Consent", "Compliant")))))</f>
        <v/>
      </c>
      <c r="O5129" s="7" t="n"/>
    </row>
    <row r="5130">
      <c r="A5130" s="7" t="n"/>
      <c r="B5130" s="7" t="n"/>
      <c r="C5130" s="7" t="n"/>
      <c r="D5130" s="7" t="n"/>
      <c r="E5130" s="7" t="n"/>
      <c r="F5130" s="7" t="n"/>
      <c r="G5130" s="7" t="n"/>
      <c r="H5130" s="7" t="n"/>
      <c r="I5130" s="7" t="n"/>
      <c r="J5130" s="7" t="n"/>
      <c r="K5130">
        <f>IF(D5130="Legitimate Interest (GDPR Art. 6(1)(f))", "Yes / Required (Sheet 3)", "")</f>
        <v/>
      </c>
      <c r="L5130" s="7" t="n"/>
      <c r="M5130" s="7" t="n"/>
      <c r="N5130">
        <f>IF(D5130="", "Gap - No Legal Basis", IF(AND(D5130="Consent (GDPR Art. 6(1)(a))", I5130="Not Captured"), "Gap - Invalid Consent", IF(AND(D5130="Legitimate Interest (GDPR Art. 6(1)(f))", L5130=""), "Gap - Missing LIA", IF(AND(G5130="Yes", H5130=""), "Gap - Missing Art. 9 Basis", IF(OR(I5130="Invalid - Not Freely Given", I5130="Invalid - Not Specific", I5130="Invalid - Not Informed", I5130="Invalid - Ambiguous"), "Gap - Invalid Consent", "Compliant")))))</f>
        <v/>
      </c>
      <c r="O5130" s="7" t="n"/>
    </row>
    <row r="5131">
      <c r="A5131" s="7" t="n"/>
      <c r="B5131" s="7" t="n"/>
      <c r="C5131" s="7" t="n"/>
      <c r="D5131" s="7" t="n"/>
      <c r="E5131" s="7" t="n"/>
      <c r="F5131" s="7" t="n"/>
      <c r="G5131" s="7" t="n"/>
      <c r="H5131" s="7" t="n"/>
      <c r="I5131" s="7" t="n"/>
      <c r="J5131" s="7" t="n"/>
      <c r="K5131">
        <f>IF(D5131="Legitimate Interest (GDPR Art. 6(1)(f))", "Yes / Required (Sheet 3)", "")</f>
        <v/>
      </c>
      <c r="L5131" s="7" t="n"/>
      <c r="M5131" s="7" t="n"/>
      <c r="N5131">
        <f>IF(D5131="", "Gap - No Legal Basis", IF(AND(D5131="Consent (GDPR Art. 6(1)(a))", I5131="Not Captured"), "Gap - Invalid Consent", IF(AND(D5131="Legitimate Interest (GDPR Art. 6(1)(f))", L5131=""), "Gap - Missing LIA", IF(AND(G5131="Yes", H5131=""), "Gap - Missing Art. 9 Basis", IF(OR(I5131="Invalid - Not Freely Given", I5131="Invalid - Not Specific", I5131="Invalid - Not Informed", I5131="Invalid - Ambiguous"), "Gap - Invalid Consent", "Compliant")))))</f>
        <v/>
      </c>
      <c r="O5131" s="7" t="n"/>
    </row>
    <row r="5132">
      <c r="A5132" s="7" t="n"/>
      <c r="B5132" s="7" t="n"/>
      <c r="C5132" s="7" t="n"/>
      <c r="D5132" s="7" t="n"/>
      <c r="E5132" s="7" t="n"/>
      <c r="F5132" s="7" t="n"/>
      <c r="G5132" s="7" t="n"/>
      <c r="H5132" s="7" t="n"/>
      <c r="I5132" s="7" t="n"/>
      <c r="J5132" s="7" t="n"/>
      <c r="K5132">
        <f>IF(D5132="Legitimate Interest (GDPR Art. 6(1)(f))", "Yes / Required (Sheet 3)", "")</f>
        <v/>
      </c>
      <c r="L5132" s="7" t="n"/>
      <c r="M5132" s="7" t="n"/>
      <c r="N5132">
        <f>IF(D5132="", "Gap - No Legal Basis", IF(AND(D5132="Consent (GDPR Art. 6(1)(a))", I5132="Not Captured"), "Gap - Invalid Consent", IF(AND(D5132="Legitimate Interest (GDPR Art. 6(1)(f))", L5132=""), "Gap - Missing LIA", IF(AND(G5132="Yes", H5132=""), "Gap - Missing Art. 9 Basis", IF(OR(I5132="Invalid - Not Freely Given", I5132="Invalid - Not Specific", I5132="Invalid - Not Informed", I5132="Invalid - Ambiguous"), "Gap - Invalid Consent", "Compliant")))))</f>
        <v/>
      </c>
      <c r="O5132" s="7" t="n"/>
    </row>
    <row r="5133">
      <c r="A5133" s="7" t="n"/>
      <c r="B5133" s="7" t="n"/>
      <c r="C5133" s="7" t="n"/>
      <c r="D5133" s="7" t="n"/>
      <c r="E5133" s="7" t="n"/>
      <c r="F5133" s="7" t="n"/>
      <c r="G5133" s="7" t="n"/>
      <c r="H5133" s="7" t="n"/>
      <c r="I5133" s="7" t="n"/>
      <c r="J5133" s="7" t="n"/>
      <c r="K5133">
        <f>IF(D5133="Legitimate Interest (GDPR Art. 6(1)(f))", "Yes / Required (Sheet 3)", "")</f>
        <v/>
      </c>
      <c r="L5133" s="7" t="n"/>
      <c r="M5133" s="7" t="n"/>
      <c r="N5133">
        <f>IF(D5133="", "Gap - No Legal Basis", IF(AND(D5133="Consent (GDPR Art. 6(1)(a))", I5133="Not Captured"), "Gap - Invalid Consent", IF(AND(D5133="Legitimate Interest (GDPR Art. 6(1)(f))", L5133=""), "Gap - Missing LIA", IF(AND(G5133="Yes", H5133=""), "Gap - Missing Art. 9 Basis", IF(OR(I5133="Invalid - Not Freely Given", I5133="Invalid - Not Specific", I5133="Invalid - Not Informed", I5133="Invalid - Ambiguous"), "Gap - Invalid Consent", "Compliant")))))</f>
        <v/>
      </c>
      <c r="O5133" s="7" t="n"/>
    </row>
    <row r="5134">
      <c r="A5134" s="7" t="n"/>
      <c r="B5134" s="7" t="n"/>
      <c r="C5134" s="7" t="n"/>
      <c r="D5134" s="7" t="n"/>
      <c r="E5134" s="7" t="n"/>
      <c r="F5134" s="7" t="n"/>
      <c r="G5134" s="7" t="n"/>
      <c r="H5134" s="7" t="n"/>
      <c r="I5134" s="7" t="n"/>
      <c r="J5134" s="7" t="n"/>
      <c r="K5134">
        <f>IF(D5134="Legitimate Interest (GDPR Art. 6(1)(f))", "Yes / Required (Sheet 3)", "")</f>
        <v/>
      </c>
      <c r="L5134" s="7" t="n"/>
      <c r="M5134" s="7" t="n"/>
      <c r="N5134">
        <f>IF(D5134="", "Gap - No Legal Basis", IF(AND(D5134="Consent (GDPR Art. 6(1)(a))", I5134="Not Captured"), "Gap - Invalid Consent", IF(AND(D5134="Legitimate Interest (GDPR Art. 6(1)(f))", L5134=""), "Gap - Missing LIA", IF(AND(G5134="Yes", H5134=""), "Gap - Missing Art. 9 Basis", IF(OR(I5134="Invalid - Not Freely Given", I5134="Invalid - Not Specific", I5134="Invalid - Not Informed", I5134="Invalid - Ambiguous"), "Gap - Invalid Consent", "Compliant")))))</f>
        <v/>
      </c>
      <c r="O5134" s="7" t="n"/>
    </row>
    <row r="5135">
      <c r="A5135" s="7" t="n"/>
      <c r="B5135" s="7" t="n"/>
      <c r="C5135" s="7" t="n"/>
      <c r="D5135" s="7" t="n"/>
      <c r="E5135" s="7" t="n"/>
      <c r="F5135" s="7" t="n"/>
      <c r="G5135" s="7" t="n"/>
      <c r="H5135" s="7" t="n"/>
      <c r="I5135" s="7" t="n"/>
      <c r="J5135" s="7" t="n"/>
      <c r="K5135">
        <f>IF(D5135="Legitimate Interest (GDPR Art. 6(1)(f))", "Yes / Required (Sheet 3)", "")</f>
        <v/>
      </c>
      <c r="L5135" s="7" t="n"/>
      <c r="M5135" s="7" t="n"/>
      <c r="N5135">
        <f>IF(D5135="", "Gap - No Legal Basis", IF(AND(D5135="Consent (GDPR Art. 6(1)(a))", I5135="Not Captured"), "Gap - Invalid Consent", IF(AND(D5135="Legitimate Interest (GDPR Art. 6(1)(f))", L5135=""), "Gap - Missing LIA", IF(AND(G5135="Yes", H5135=""), "Gap - Missing Art. 9 Basis", IF(OR(I5135="Invalid - Not Freely Given", I5135="Invalid - Not Specific", I5135="Invalid - Not Informed", I5135="Invalid - Ambiguous"), "Gap - Invalid Consent", "Compliant")))))</f>
        <v/>
      </c>
      <c r="O5135" s="7" t="n"/>
    </row>
    <row r="5136">
      <c r="A5136" s="7" t="n"/>
      <c r="B5136" s="7" t="n"/>
      <c r="C5136" s="7" t="n"/>
      <c r="D5136" s="7" t="n"/>
      <c r="E5136" s="7" t="n"/>
      <c r="F5136" s="7" t="n"/>
      <c r="G5136" s="7" t="n"/>
      <c r="H5136" s="7" t="n"/>
      <c r="I5136" s="7" t="n"/>
      <c r="J5136" s="7" t="n"/>
      <c r="K5136">
        <f>IF(D5136="Legitimate Interest (GDPR Art. 6(1)(f))", "Yes / Required (Sheet 3)", "")</f>
        <v/>
      </c>
      <c r="L5136" s="7" t="n"/>
      <c r="M5136" s="7" t="n"/>
      <c r="N5136">
        <f>IF(D5136="", "Gap - No Legal Basis", IF(AND(D5136="Consent (GDPR Art. 6(1)(a))", I5136="Not Captured"), "Gap - Invalid Consent", IF(AND(D5136="Legitimate Interest (GDPR Art. 6(1)(f))", L5136=""), "Gap - Missing LIA", IF(AND(G5136="Yes", H5136=""), "Gap - Missing Art. 9 Basis", IF(OR(I5136="Invalid - Not Freely Given", I5136="Invalid - Not Specific", I5136="Invalid - Not Informed", I5136="Invalid - Ambiguous"), "Gap - Invalid Consent", "Compliant")))))</f>
        <v/>
      </c>
      <c r="O5136" s="7" t="n"/>
    </row>
    <row r="5137">
      <c r="A5137" s="7" t="n"/>
      <c r="B5137" s="7" t="n"/>
      <c r="C5137" s="7" t="n"/>
      <c r="D5137" s="7" t="n"/>
      <c r="E5137" s="7" t="n"/>
      <c r="F5137" s="7" t="n"/>
      <c r="G5137" s="7" t="n"/>
      <c r="H5137" s="7" t="n"/>
      <c r="I5137" s="7" t="n"/>
      <c r="J5137" s="7" t="n"/>
      <c r="K5137">
        <f>IF(D5137="Legitimate Interest (GDPR Art. 6(1)(f))", "Yes / Required (Sheet 3)", "")</f>
        <v/>
      </c>
      <c r="L5137" s="7" t="n"/>
      <c r="M5137" s="7" t="n"/>
      <c r="N5137">
        <f>IF(D5137="", "Gap - No Legal Basis", IF(AND(D5137="Consent (GDPR Art. 6(1)(a))", I5137="Not Captured"), "Gap - Invalid Consent", IF(AND(D5137="Legitimate Interest (GDPR Art. 6(1)(f))", L5137=""), "Gap - Missing LIA", IF(AND(G5137="Yes", H5137=""), "Gap - Missing Art. 9 Basis", IF(OR(I5137="Invalid - Not Freely Given", I5137="Invalid - Not Specific", I5137="Invalid - Not Informed", I5137="Invalid - Ambiguous"), "Gap - Invalid Consent", "Compliant")))))</f>
        <v/>
      </c>
      <c r="O5137" s="7" t="n"/>
    </row>
    <row r="5138">
      <c r="A5138" s="7" t="n"/>
      <c r="B5138" s="7" t="n"/>
      <c r="C5138" s="7" t="n"/>
      <c r="D5138" s="7" t="n"/>
      <c r="E5138" s="7" t="n"/>
      <c r="F5138" s="7" t="n"/>
      <c r="G5138" s="7" t="n"/>
      <c r="H5138" s="7" t="n"/>
      <c r="I5138" s="7" t="n"/>
      <c r="J5138" s="7" t="n"/>
      <c r="K5138">
        <f>IF(D5138="Legitimate Interest (GDPR Art. 6(1)(f))", "Yes / Required (Sheet 3)", "")</f>
        <v/>
      </c>
      <c r="L5138" s="7" t="n"/>
      <c r="M5138" s="7" t="n"/>
      <c r="N5138">
        <f>IF(D5138="", "Gap - No Legal Basis", IF(AND(D5138="Consent (GDPR Art. 6(1)(a))", I5138="Not Captured"), "Gap - Invalid Consent", IF(AND(D5138="Legitimate Interest (GDPR Art. 6(1)(f))", L5138=""), "Gap - Missing LIA", IF(AND(G5138="Yes", H5138=""), "Gap - Missing Art. 9 Basis", IF(OR(I5138="Invalid - Not Freely Given", I5138="Invalid - Not Specific", I5138="Invalid - Not Informed", I5138="Invalid - Ambiguous"), "Gap - Invalid Consent", "Compliant")))))</f>
        <v/>
      </c>
      <c r="O5138" s="7" t="n"/>
    </row>
    <row r="5139">
      <c r="A5139" s="7" t="n"/>
      <c r="B5139" s="7" t="n"/>
      <c r="C5139" s="7" t="n"/>
      <c r="D5139" s="7" t="n"/>
      <c r="E5139" s="7" t="n"/>
      <c r="F5139" s="7" t="n"/>
      <c r="G5139" s="7" t="n"/>
      <c r="H5139" s="7" t="n"/>
      <c r="I5139" s="7" t="n"/>
      <c r="J5139" s="7" t="n"/>
      <c r="K5139">
        <f>IF(D5139="Legitimate Interest (GDPR Art. 6(1)(f))", "Yes / Required (Sheet 3)", "")</f>
        <v/>
      </c>
      <c r="L5139" s="7" t="n"/>
      <c r="M5139" s="7" t="n"/>
      <c r="N5139">
        <f>IF(D5139="", "Gap - No Legal Basis", IF(AND(D5139="Consent (GDPR Art. 6(1)(a))", I5139="Not Captured"), "Gap - Invalid Consent", IF(AND(D5139="Legitimate Interest (GDPR Art. 6(1)(f))", L5139=""), "Gap - Missing LIA", IF(AND(G5139="Yes", H5139=""), "Gap - Missing Art. 9 Basis", IF(OR(I5139="Invalid - Not Freely Given", I5139="Invalid - Not Specific", I5139="Invalid - Not Informed", I5139="Invalid - Ambiguous"), "Gap - Invalid Consent", "Compliant")))))</f>
        <v/>
      </c>
      <c r="O5139" s="7" t="n"/>
    </row>
    <row r="5140">
      <c r="A5140" s="7" t="n"/>
      <c r="B5140" s="7" t="n"/>
      <c r="C5140" s="7" t="n"/>
      <c r="D5140" s="7" t="n"/>
      <c r="E5140" s="7" t="n"/>
      <c r="F5140" s="7" t="n"/>
      <c r="G5140" s="7" t="n"/>
      <c r="H5140" s="7" t="n"/>
      <c r="I5140" s="7" t="n"/>
      <c r="J5140" s="7" t="n"/>
      <c r="K5140">
        <f>IF(D5140="Legitimate Interest (GDPR Art. 6(1)(f))", "Yes / Required (Sheet 3)", "")</f>
        <v/>
      </c>
      <c r="L5140" s="7" t="n"/>
      <c r="M5140" s="7" t="n"/>
      <c r="N5140">
        <f>IF(D5140="", "Gap - No Legal Basis", IF(AND(D5140="Consent (GDPR Art. 6(1)(a))", I5140="Not Captured"), "Gap - Invalid Consent", IF(AND(D5140="Legitimate Interest (GDPR Art. 6(1)(f))", L5140=""), "Gap - Missing LIA", IF(AND(G5140="Yes", H5140=""), "Gap - Missing Art. 9 Basis", IF(OR(I5140="Invalid - Not Freely Given", I5140="Invalid - Not Specific", I5140="Invalid - Not Informed", I5140="Invalid - Ambiguous"), "Gap - Invalid Consent", "Compliant")))))</f>
        <v/>
      </c>
      <c r="O5140" s="7" t="n"/>
    </row>
    <row r="5141">
      <c r="A5141" s="7" t="n"/>
      <c r="B5141" s="7" t="n"/>
      <c r="C5141" s="7" t="n"/>
      <c r="D5141" s="7" t="n"/>
      <c r="E5141" s="7" t="n"/>
      <c r="F5141" s="7" t="n"/>
      <c r="G5141" s="7" t="n"/>
      <c r="H5141" s="7" t="n"/>
      <c r="I5141" s="7" t="n"/>
      <c r="J5141" s="7" t="n"/>
      <c r="K5141">
        <f>IF(D5141="Legitimate Interest (GDPR Art. 6(1)(f))", "Yes / Required (Sheet 3)", "")</f>
        <v/>
      </c>
      <c r="L5141" s="7" t="n"/>
      <c r="M5141" s="7" t="n"/>
      <c r="N5141">
        <f>IF(D5141="", "Gap - No Legal Basis", IF(AND(D5141="Consent (GDPR Art. 6(1)(a))", I5141="Not Captured"), "Gap - Invalid Consent", IF(AND(D5141="Legitimate Interest (GDPR Art. 6(1)(f))", L5141=""), "Gap - Missing LIA", IF(AND(G5141="Yes", H5141=""), "Gap - Missing Art. 9 Basis", IF(OR(I5141="Invalid - Not Freely Given", I5141="Invalid - Not Specific", I5141="Invalid - Not Informed", I5141="Invalid - Ambiguous"), "Gap - Invalid Consent", "Compliant")))))</f>
        <v/>
      </c>
      <c r="O5141" s="7" t="n"/>
    </row>
    <row r="5142">
      <c r="A5142" s="7" t="n"/>
      <c r="B5142" s="7" t="n"/>
      <c r="C5142" s="7" t="n"/>
      <c r="D5142" s="7" t="n"/>
      <c r="E5142" s="7" t="n"/>
      <c r="F5142" s="7" t="n"/>
      <c r="G5142" s="7" t="n"/>
      <c r="H5142" s="7" t="n"/>
      <c r="I5142" s="7" t="n"/>
      <c r="J5142" s="7" t="n"/>
      <c r="K5142">
        <f>IF(D5142="Legitimate Interest (GDPR Art. 6(1)(f))", "Yes / Required (Sheet 3)", "")</f>
        <v/>
      </c>
      <c r="L5142" s="7" t="n"/>
      <c r="M5142" s="7" t="n"/>
      <c r="N5142">
        <f>IF(D5142="", "Gap - No Legal Basis", IF(AND(D5142="Consent (GDPR Art. 6(1)(a))", I5142="Not Captured"), "Gap - Invalid Consent", IF(AND(D5142="Legitimate Interest (GDPR Art. 6(1)(f))", L5142=""), "Gap - Missing LIA", IF(AND(G5142="Yes", H5142=""), "Gap - Missing Art. 9 Basis", IF(OR(I5142="Invalid - Not Freely Given", I5142="Invalid - Not Specific", I5142="Invalid - Not Informed", I5142="Invalid - Ambiguous"), "Gap - Invalid Consent", "Compliant")))))</f>
        <v/>
      </c>
      <c r="O5142" s="7" t="n"/>
    </row>
    <row r="5143">
      <c r="A5143" s="7" t="n"/>
      <c r="B5143" s="7" t="n"/>
      <c r="C5143" s="7" t="n"/>
      <c r="D5143" s="7" t="n"/>
      <c r="E5143" s="7" t="n"/>
      <c r="F5143" s="7" t="n"/>
      <c r="G5143" s="7" t="n"/>
      <c r="H5143" s="7" t="n"/>
      <c r="I5143" s="7" t="n"/>
      <c r="J5143" s="7" t="n"/>
      <c r="K5143">
        <f>IF(D5143="Legitimate Interest (GDPR Art. 6(1)(f))", "Yes / Required (Sheet 3)", "")</f>
        <v/>
      </c>
      <c r="L5143" s="7" t="n"/>
      <c r="M5143" s="7" t="n"/>
      <c r="N5143">
        <f>IF(D5143="", "Gap - No Legal Basis", IF(AND(D5143="Consent (GDPR Art. 6(1)(a))", I5143="Not Captured"), "Gap - Invalid Consent", IF(AND(D5143="Legitimate Interest (GDPR Art. 6(1)(f))", L5143=""), "Gap - Missing LIA", IF(AND(G5143="Yes", H5143=""), "Gap - Missing Art. 9 Basis", IF(OR(I5143="Invalid - Not Freely Given", I5143="Invalid - Not Specific", I5143="Invalid - Not Informed", I5143="Invalid - Ambiguous"), "Gap - Invalid Consent", "Compliant")))))</f>
        <v/>
      </c>
      <c r="O5143" s="7" t="n"/>
    </row>
    <row r="5144">
      <c r="A5144" s="7" t="n"/>
      <c r="B5144" s="7" t="n"/>
      <c r="C5144" s="7" t="n"/>
      <c r="D5144" s="7" t="n"/>
      <c r="E5144" s="7" t="n"/>
      <c r="F5144" s="7" t="n"/>
      <c r="G5144" s="7" t="n"/>
      <c r="H5144" s="7" t="n"/>
      <c r="I5144" s="7" t="n"/>
      <c r="J5144" s="7" t="n"/>
      <c r="K5144">
        <f>IF(D5144="Legitimate Interest (GDPR Art. 6(1)(f))", "Yes / Required (Sheet 3)", "")</f>
        <v/>
      </c>
      <c r="L5144" s="7" t="n"/>
      <c r="M5144" s="7" t="n"/>
      <c r="N5144">
        <f>IF(D5144="", "Gap - No Legal Basis", IF(AND(D5144="Consent (GDPR Art. 6(1)(a))", I5144="Not Captured"), "Gap - Invalid Consent", IF(AND(D5144="Legitimate Interest (GDPR Art. 6(1)(f))", L5144=""), "Gap - Missing LIA", IF(AND(G5144="Yes", H5144=""), "Gap - Missing Art. 9 Basis", IF(OR(I5144="Invalid - Not Freely Given", I5144="Invalid - Not Specific", I5144="Invalid - Not Informed", I5144="Invalid - Ambiguous"), "Gap - Invalid Consent", "Compliant")))))</f>
        <v/>
      </c>
      <c r="O5144" s="7" t="n"/>
    </row>
    <row r="5145">
      <c r="A5145" s="7" t="n"/>
      <c r="B5145" s="7" t="n"/>
      <c r="C5145" s="7" t="n"/>
      <c r="D5145" s="7" t="n"/>
      <c r="E5145" s="7" t="n"/>
      <c r="F5145" s="7" t="n"/>
      <c r="G5145" s="7" t="n"/>
      <c r="H5145" s="7" t="n"/>
      <c r="I5145" s="7" t="n"/>
      <c r="J5145" s="7" t="n"/>
      <c r="K5145">
        <f>IF(D5145="Legitimate Interest (GDPR Art. 6(1)(f))", "Yes / Required (Sheet 3)", "")</f>
        <v/>
      </c>
      <c r="L5145" s="7" t="n"/>
      <c r="M5145" s="7" t="n"/>
      <c r="N5145">
        <f>IF(D5145="", "Gap - No Legal Basis", IF(AND(D5145="Consent (GDPR Art. 6(1)(a))", I5145="Not Captured"), "Gap - Invalid Consent", IF(AND(D5145="Legitimate Interest (GDPR Art. 6(1)(f))", L5145=""), "Gap - Missing LIA", IF(AND(G5145="Yes", H5145=""), "Gap - Missing Art. 9 Basis", IF(OR(I5145="Invalid - Not Freely Given", I5145="Invalid - Not Specific", I5145="Invalid - Not Informed", I5145="Invalid - Ambiguous"), "Gap - Invalid Consent", "Compliant")))))</f>
        <v/>
      </c>
      <c r="O5145" s="7" t="n"/>
    </row>
    <row r="5146">
      <c r="A5146" s="7" t="n"/>
      <c r="B5146" s="7" t="n"/>
      <c r="C5146" s="7" t="n"/>
      <c r="D5146" s="7" t="n"/>
      <c r="E5146" s="7" t="n"/>
      <c r="F5146" s="7" t="n"/>
      <c r="G5146" s="7" t="n"/>
      <c r="H5146" s="7" t="n"/>
      <c r="I5146" s="7" t="n"/>
      <c r="J5146" s="7" t="n"/>
      <c r="K5146">
        <f>IF(D5146="Legitimate Interest (GDPR Art. 6(1)(f))", "Yes / Required (Sheet 3)", "")</f>
        <v/>
      </c>
      <c r="L5146" s="7" t="n"/>
      <c r="M5146" s="7" t="n"/>
      <c r="N5146">
        <f>IF(D5146="", "Gap - No Legal Basis", IF(AND(D5146="Consent (GDPR Art. 6(1)(a))", I5146="Not Captured"), "Gap - Invalid Consent", IF(AND(D5146="Legitimate Interest (GDPR Art. 6(1)(f))", L5146=""), "Gap - Missing LIA", IF(AND(G5146="Yes", H5146=""), "Gap - Missing Art. 9 Basis", IF(OR(I5146="Invalid - Not Freely Given", I5146="Invalid - Not Specific", I5146="Invalid - Not Informed", I5146="Invalid - Ambiguous"), "Gap - Invalid Consent", "Compliant")))))</f>
        <v/>
      </c>
      <c r="O5146" s="7" t="n"/>
    </row>
    <row r="5147">
      <c r="A5147" s="7" t="n"/>
      <c r="B5147" s="7" t="n"/>
      <c r="C5147" s="7" t="n"/>
      <c r="D5147" s="7" t="n"/>
      <c r="E5147" s="7" t="n"/>
      <c r="F5147" s="7" t="n"/>
      <c r="G5147" s="7" t="n"/>
      <c r="H5147" s="7" t="n"/>
      <c r="I5147" s="7" t="n"/>
      <c r="J5147" s="7" t="n"/>
      <c r="K5147">
        <f>IF(D5147="Legitimate Interest (GDPR Art. 6(1)(f))", "Yes / Required (Sheet 3)", "")</f>
        <v/>
      </c>
      <c r="L5147" s="7" t="n"/>
      <c r="M5147" s="7" t="n"/>
      <c r="N5147">
        <f>IF(D5147="", "Gap - No Legal Basis", IF(AND(D5147="Consent (GDPR Art. 6(1)(a))", I5147="Not Captured"), "Gap - Invalid Consent", IF(AND(D5147="Legitimate Interest (GDPR Art. 6(1)(f))", L5147=""), "Gap - Missing LIA", IF(AND(G5147="Yes", H5147=""), "Gap - Missing Art. 9 Basis", IF(OR(I5147="Invalid - Not Freely Given", I5147="Invalid - Not Specific", I5147="Invalid - Not Informed", I5147="Invalid - Ambiguous"), "Gap - Invalid Consent", "Compliant")))))</f>
        <v/>
      </c>
      <c r="O5147" s="7" t="n"/>
    </row>
    <row r="5148">
      <c r="A5148" s="7" t="n"/>
      <c r="B5148" s="7" t="n"/>
      <c r="C5148" s="7" t="n"/>
      <c r="D5148" s="7" t="n"/>
      <c r="E5148" s="7" t="n"/>
      <c r="F5148" s="7" t="n"/>
      <c r="G5148" s="7" t="n"/>
      <c r="H5148" s="7" t="n"/>
      <c r="I5148" s="7" t="n"/>
      <c r="J5148" s="7" t="n"/>
      <c r="K5148">
        <f>IF(D5148="Legitimate Interest (GDPR Art. 6(1)(f))", "Yes / Required (Sheet 3)", "")</f>
        <v/>
      </c>
      <c r="L5148" s="7" t="n"/>
      <c r="M5148" s="7" t="n"/>
      <c r="N5148">
        <f>IF(D5148="", "Gap - No Legal Basis", IF(AND(D5148="Consent (GDPR Art. 6(1)(a))", I5148="Not Captured"), "Gap - Invalid Consent", IF(AND(D5148="Legitimate Interest (GDPR Art. 6(1)(f))", L5148=""), "Gap - Missing LIA", IF(AND(G5148="Yes", H5148=""), "Gap - Missing Art. 9 Basis", IF(OR(I5148="Invalid - Not Freely Given", I5148="Invalid - Not Specific", I5148="Invalid - Not Informed", I5148="Invalid - Ambiguous"), "Gap - Invalid Consent", "Compliant")))))</f>
        <v/>
      </c>
      <c r="O5148" s="7" t="n"/>
    </row>
    <row r="5149">
      <c r="A5149" s="7" t="n"/>
      <c r="B5149" s="7" t="n"/>
      <c r="C5149" s="7" t="n"/>
      <c r="D5149" s="7" t="n"/>
      <c r="E5149" s="7" t="n"/>
      <c r="F5149" s="7" t="n"/>
      <c r="G5149" s="7" t="n"/>
      <c r="H5149" s="7" t="n"/>
      <c r="I5149" s="7" t="n"/>
      <c r="J5149" s="7" t="n"/>
      <c r="K5149">
        <f>IF(D5149="Legitimate Interest (GDPR Art. 6(1)(f))", "Yes / Required (Sheet 3)", "")</f>
        <v/>
      </c>
      <c r="L5149" s="7" t="n"/>
      <c r="M5149" s="7" t="n"/>
      <c r="N5149">
        <f>IF(D5149="", "Gap - No Legal Basis", IF(AND(D5149="Consent (GDPR Art. 6(1)(a))", I5149="Not Captured"), "Gap - Invalid Consent", IF(AND(D5149="Legitimate Interest (GDPR Art. 6(1)(f))", L5149=""), "Gap - Missing LIA", IF(AND(G5149="Yes", H5149=""), "Gap - Missing Art. 9 Basis", IF(OR(I5149="Invalid - Not Freely Given", I5149="Invalid - Not Specific", I5149="Invalid - Not Informed", I5149="Invalid - Ambiguous"), "Gap - Invalid Consent", "Compliant")))))</f>
        <v/>
      </c>
      <c r="O5149" s="7" t="n"/>
    </row>
    <row r="5150">
      <c r="A5150" s="7" t="n"/>
      <c r="B5150" s="7" t="n"/>
      <c r="C5150" s="7" t="n"/>
      <c r="D5150" s="7" t="n"/>
      <c r="E5150" s="7" t="n"/>
      <c r="F5150" s="7" t="n"/>
      <c r="G5150" s="7" t="n"/>
      <c r="H5150" s="7" t="n"/>
      <c r="I5150" s="7" t="n"/>
      <c r="J5150" s="7" t="n"/>
      <c r="K5150">
        <f>IF(D5150="Legitimate Interest (GDPR Art. 6(1)(f))", "Yes / Required (Sheet 3)", "")</f>
        <v/>
      </c>
      <c r="L5150" s="7" t="n"/>
      <c r="M5150" s="7" t="n"/>
      <c r="N5150">
        <f>IF(D5150="", "Gap - No Legal Basis", IF(AND(D5150="Consent (GDPR Art. 6(1)(a))", I5150="Not Captured"), "Gap - Invalid Consent", IF(AND(D5150="Legitimate Interest (GDPR Art. 6(1)(f))", L5150=""), "Gap - Missing LIA", IF(AND(G5150="Yes", H5150=""), "Gap - Missing Art. 9 Basis", IF(OR(I5150="Invalid - Not Freely Given", I5150="Invalid - Not Specific", I5150="Invalid - Not Informed", I5150="Invalid - Ambiguous"), "Gap - Invalid Consent", "Compliant")))))</f>
        <v/>
      </c>
      <c r="O5150" s="7" t="n"/>
    </row>
    <row r="5151">
      <c r="A5151" s="7" t="n"/>
      <c r="B5151" s="7" t="n"/>
      <c r="C5151" s="7" t="n"/>
      <c r="D5151" s="7" t="n"/>
      <c r="E5151" s="7" t="n"/>
      <c r="F5151" s="7" t="n"/>
      <c r="G5151" s="7" t="n"/>
      <c r="H5151" s="7" t="n"/>
      <c r="I5151" s="7" t="n"/>
      <c r="J5151" s="7" t="n"/>
      <c r="K5151">
        <f>IF(D5151="Legitimate Interest (GDPR Art. 6(1)(f))", "Yes / Required (Sheet 3)", "")</f>
        <v/>
      </c>
      <c r="L5151" s="7" t="n"/>
      <c r="M5151" s="7" t="n"/>
      <c r="N5151">
        <f>IF(D5151="", "Gap - No Legal Basis", IF(AND(D5151="Consent (GDPR Art. 6(1)(a))", I5151="Not Captured"), "Gap - Invalid Consent", IF(AND(D5151="Legitimate Interest (GDPR Art. 6(1)(f))", L5151=""), "Gap - Missing LIA", IF(AND(G5151="Yes", H5151=""), "Gap - Missing Art. 9 Basis", IF(OR(I5151="Invalid - Not Freely Given", I5151="Invalid - Not Specific", I5151="Invalid - Not Informed", I5151="Invalid - Ambiguous"), "Gap - Invalid Consent", "Compliant")))))</f>
        <v/>
      </c>
      <c r="O5151" s="7" t="n"/>
    </row>
    <row r="5152">
      <c r="A5152" s="7" t="n"/>
      <c r="B5152" s="7" t="n"/>
      <c r="C5152" s="7" t="n"/>
      <c r="D5152" s="7" t="n"/>
      <c r="E5152" s="7" t="n"/>
      <c r="F5152" s="7" t="n"/>
      <c r="G5152" s="7" t="n"/>
      <c r="H5152" s="7" t="n"/>
      <c r="I5152" s="7" t="n"/>
      <c r="J5152" s="7" t="n"/>
      <c r="K5152">
        <f>IF(D5152="Legitimate Interest (GDPR Art. 6(1)(f))", "Yes / Required (Sheet 3)", "")</f>
        <v/>
      </c>
      <c r="L5152" s="7" t="n"/>
      <c r="M5152" s="7" t="n"/>
      <c r="N5152">
        <f>IF(D5152="", "Gap - No Legal Basis", IF(AND(D5152="Consent (GDPR Art. 6(1)(a))", I5152="Not Captured"), "Gap - Invalid Consent", IF(AND(D5152="Legitimate Interest (GDPR Art. 6(1)(f))", L5152=""), "Gap - Missing LIA", IF(AND(G5152="Yes", H5152=""), "Gap - Missing Art. 9 Basis", IF(OR(I5152="Invalid - Not Freely Given", I5152="Invalid - Not Specific", I5152="Invalid - Not Informed", I5152="Invalid - Ambiguous"), "Gap - Invalid Consent", "Compliant")))))</f>
        <v/>
      </c>
      <c r="O5152" s="7" t="n"/>
    </row>
    <row r="5153">
      <c r="A5153" s="7" t="n"/>
      <c r="B5153" s="7" t="n"/>
      <c r="C5153" s="7" t="n"/>
      <c r="D5153" s="7" t="n"/>
      <c r="E5153" s="7" t="n"/>
      <c r="F5153" s="7" t="n"/>
      <c r="G5153" s="7" t="n"/>
      <c r="H5153" s="7" t="n"/>
      <c r="I5153" s="7" t="n"/>
      <c r="J5153" s="7" t="n"/>
      <c r="K5153">
        <f>IF(D5153="Legitimate Interest (GDPR Art. 6(1)(f))", "Yes / Required (Sheet 3)", "")</f>
        <v/>
      </c>
      <c r="L5153" s="7" t="n"/>
      <c r="M5153" s="7" t="n"/>
      <c r="N5153">
        <f>IF(D5153="", "Gap - No Legal Basis", IF(AND(D5153="Consent (GDPR Art. 6(1)(a))", I5153="Not Captured"), "Gap - Invalid Consent", IF(AND(D5153="Legitimate Interest (GDPR Art. 6(1)(f))", L5153=""), "Gap - Missing LIA", IF(AND(G5153="Yes", H5153=""), "Gap - Missing Art. 9 Basis", IF(OR(I5153="Invalid - Not Freely Given", I5153="Invalid - Not Specific", I5153="Invalid - Not Informed", I5153="Invalid - Ambiguous"), "Gap - Invalid Consent", "Compliant")))))</f>
        <v/>
      </c>
      <c r="O5153" s="7" t="n"/>
    </row>
    <row r="5154">
      <c r="A5154" s="7" t="n"/>
      <c r="B5154" s="7" t="n"/>
      <c r="C5154" s="7" t="n"/>
      <c r="D5154" s="7" t="n"/>
      <c r="E5154" s="7" t="n"/>
      <c r="F5154" s="7" t="n"/>
      <c r="G5154" s="7" t="n"/>
      <c r="H5154" s="7" t="n"/>
      <c r="I5154" s="7" t="n"/>
      <c r="J5154" s="7" t="n"/>
      <c r="K5154">
        <f>IF(D5154="Legitimate Interest (GDPR Art. 6(1)(f))", "Yes / Required (Sheet 3)", "")</f>
        <v/>
      </c>
      <c r="L5154" s="7" t="n"/>
      <c r="M5154" s="7" t="n"/>
      <c r="N5154">
        <f>IF(D5154="", "Gap - No Legal Basis", IF(AND(D5154="Consent (GDPR Art. 6(1)(a))", I5154="Not Captured"), "Gap - Invalid Consent", IF(AND(D5154="Legitimate Interest (GDPR Art. 6(1)(f))", L5154=""), "Gap - Missing LIA", IF(AND(G5154="Yes", H5154=""), "Gap - Missing Art. 9 Basis", IF(OR(I5154="Invalid - Not Freely Given", I5154="Invalid - Not Specific", I5154="Invalid - Not Informed", I5154="Invalid - Ambiguous"), "Gap - Invalid Consent", "Compliant")))))</f>
        <v/>
      </c>
      <c r="O5154" s="7" t="n"/>
    </row>
    <row r="5155">
      <c r="A5155" s="7" t="n"/>
      <c r="B5155" s="7" t="n"/>
      <c r="C5155" s="7" t="n"/>
      <c r="D5155" s="7" t="n"/>
      <c r="E5155" s="7" t="n"/>
      <c r="F5155" s="7" t="n"/>
      <c r="G5155" s="7" t="n"/>
      <c r="H5155" s="7" t="n"/>
      <c r="I5155" s="7" t="n"/>
      <c r="J5155" s="7" t="n"/>
      <c r="K5155">
        <f>IF(D5155="Legitimate Interest (GDPR Art. 6(1)(f))", "Yes / Required (Sheet 3)", "")</f>
        <v/>
      </c>
      <c r="L5155" s="7" t="n"/>
      <c r="M5155" s="7" t="n"/>
      <c r="N5155">
        <f>IF(D5155="", "Gap - No Legal Basis", IF(AND(D5155="Consent (GDPR Art. 6(1)(a))", I5155="Not Captured"), "Gap - Invalid Consent", IF(AND(D5155="Legitimate Interest (GDPR Art. 6(1)(f))", L5155=""), "Gap - Missing LIA", IF(AND(G5155="Yes", H5155=""), "Gap - Missing Art. 9 Basis", IF(OR(I5155="Invalid - Not Freely Given", I5155="Invalid - Not Specific", I5155="Invalid - Not Informed", I5155="Invalid - Ambiguous"), "Gap - Invalid Consent", "Compliant")))))</f>
        <v/>
      </c>
      <c r="O5155" s="7" t="n"/>
    </row>
    <row r="5156">
      <c r="A5156" s="7" t="n"/>
      <c r="B5156" s="7" t="n"/>
      <c r="C5156" s="7" t="n"/>
      <c r="D5156" s="7" t="n"/>
      <c r="E5156" s="7" t="n"/>
      <c r="F5156" s="7" t="n"/>
      <c r="G5156" s="7" t="n"/>
      <c r="H5156" s="7" t="n"/>
      <c r="I5156" s="7" t="n"/>
      <c r="J5156" s="7" t="n"/>
      <c r="K5156">
        <f>IF(D5156="Legitimate Interest (GDPR Art. 6(1)(f))", "Yes / Required (Sheet 3)", "")</f>
        <v/>
      </c>
      <c r="L5156" s="7" t="n"/>
      <c r="M5156" s="7" t="n"/>
      <c r="N5156">
        <f>IF(D5156="", "Gap - No Legal Basis", IF(AND(D5156="Consent (GDPR Art. 6(1)(a))", I5156="Not Captured"), "Gap - Invalid Consent", IF(AND(D5156="Legitimate Interest (GDPR Art. 6(1)(f))", L5156=""), "Gap - Missing LIA", IF(AND(G5156="Yes", H5156=""), "Gap - Missing Art. 9 Basis", IF(OR(I5156="Invalid - Not Freely Given", I5156="Invalid - Not Specific", I5156="Invalid - Not Informed", I5156="Invalid - Ambiguous"), "Gap - Invalid Consent", "Compliant")))))</f>
        <v/>
      </c>
      <c r="O5156" s="7" t="n"/>
    </row>
    <row r="5157">
      <c r="A5157" s="7" t="n"/>
      <c r="B5157" s="7" t="n"/>
      <c r="C5157" s="7" t="n"/>
      <c r="D5157" s="7" t="n"/>
      <c r="E5157" s="7" t="n"/>
      <c r="F5157" s="7" t="n"/>
      <c r="G5157" s="7" t="n"/>
      <c r="H5157" s="7" t="n"/>
      <c r="I5157" s="7" t="n"/>
      <c r="J5157" s="7" t="n"/>
      <c r="K5157">
        <f>IF(D5157="Legitimate Interest (GDPR Art. 6(1)(f))", "Yes / Required (Sheet 3)", "")</f>
        <v/>
      </c>
      <c r="L5157" s="7" t="n"/>
      <c r="M5157" s="7" t="n"/>
      <c r="N5157">
        <f>IF(D5157="", "Gap - No Legal Basis", IF(AND(D5157="Consent (GDPR Art. 6(1)(a))", I5157="Not Captured"), "Gap - Invalid Consent", IF(AND(D5157="Legitimate Interest (GDPR Art. 6(1)(f))", L5157=""), "Gap - Missing LIA", IF(AND(G5157="Yes", H5157=""), "Gap - Missing Art. 9 Basis", IF(OR(I5157="Invalid - Not Freely Given", I5157="Invalid - Not Specific", I5157="Invalid - Not Informed", I5157="Invalid - Ambiguous"), "Gap - Invalid Consent", "Compliant")))))</f>
        <v/>
      </c>
      <c r="O5157" s="7" t="n"/>
    </row>
    <row r="5158">
      <c r="A5158" s="7" t="n"/>
      <c r="B5158" s="7" t="n"/>
      <c r="C5158" s="7" t="n"/>
      <c r="D5158" s="7" t="n"/>
      <c r="E5158" s="7" t="n"/>
      <c r="F5158" s="7" t="n"/>
      <c r="G5158" s="7" t="n"/>
      <c r="H5158" s="7" t="n"/>
      <c r="I5158" s="7" t="n"/>
      <c r="J5158" s="7" t="n"/>
      <c r="K5158">
        <f>IF(D5158="Legitimate Interest (GDPR Art. 6(1)(f))", "Yes / Required (Sheet 3)", "")</f>
        <v/>
      </c>
      <c r="L5158" s="7" t="n"/>
      <c r="M5158" s="7" t="n"/>
      <c r="N5158">
        <f>IF(D5158="", "Gap - No Legal Basis", IF(AND(D5158="Consent (GDPR Art. 6(1)(a))", I5158="Not Captured"), "Gap - Invalid Consent", IF(AND(D5158="Legitimate Interest (GDPR Art. 6(1)(f))", L5158=""), "Gap - Missing LIA", IF(AND(G5158="Yes", H5158=""), "Gap - Missing Art. 9 Basis", IF(OR(I5158="Invalid - Not Freely Given", I5158="Invalid - Not Specific", I5158="Invalid - Not Informed", I5158="Invalid - Ambiguous"), "Gap - Invalid Consent", "Compliant")))))</f>
        <v/>
      </c>
      <c r="O5158" s="7" t="n"/>
    </row>
    <row r="5159">
      <c r="A5159" s="7" t="n"/>
      <c r="B5159" s="7" t="n"/>
      <c r="C5159" s="7" t="n"/>
      <c r="D5159" s="7" t="n"/>
      <c r="E5159" s="7" t="n"/>
      <c r="F5159" s="7" t="n"/>
      <c r="G5159" s="7" t="n"/>
      <c r="H5159" s="7" t="n"/>
      <c r="I5159" s="7" t="n"/>
      <c r="J5159" s="7" t="n"/>
      <c r="K5159">
        <f>IF(D5159="Legitimate Interest (GDPR Art. 6(1)(f))", "Yes / Required (Sheet 3)", "")</f>
        <v/>
      </c>
      <c r="L5159" s="7" t="n"/>
      <c r="M5159" s="7" t="n"/>
      <c r="N5159">
        <f>IF(D5159="", "Gap - No Legal Basis", IF(AND(D5159="Consent (GDPR Art. 6(1)(a))", I5159="Not Captured"), "Gap - Invalid Consent", IF(AND(D5159="Legitimate Interest (GDPR Art. 6(1)(f))", L5159=""), "Gap - Missing LIA", IF(AND(G5159="Yes", H5159=""), "Gap - Missing Art. 9 Basis", IF(OR(I5159="Invalid - Not Freely Given", I5159="Invalid - Not Specific", I5159="Invalid - Not Informed", I5159="Invalid - Ambiguous"), "Gap - Invalid Consent", "Compliant")))))</f>
        <v/>
      </c>
      <c r="O5159" s="7" t="n"/>
    </row>
    <row r="5160">
      <c r="A5160" s="7" t="n"/>
      <c r="B5160" s="7" t="n"/>
      <c r="C5160" s="7" t="n"/>
      <c r="D5160" s="7" t="n"/>
      <c r="E5160" s="7" t="n"/>
      <c r="F5160" s="7" t="n"/>
      <c r="G5160" s="7" t="n"/>
      <c r="H5160" s="7" t="n"/>
      <c r="I5160" s="7" t="n"/>
      <c r="J5160" s="7" t="n"/>
      <c r="K5160">
        <f>IF(D5160="Legitimate Interest (GDPR Art. 6(1)(f))", "Yes / Required (Sheet 3)", "")</f>
        <v/>
      </c>
      <c r="L5160" s="7" t="n"/>
      <c r="M5160" s="7" t="n"/>
      <c r="N5160">
        <f>IF(D5160="", "Gap - No Legal Basis", IF(AND(D5160="Consent (GDPR Art. 6(1)(a))", I5160="Not Captured"), "Gap - Invalid Consent", IF(AND(D5160="Legitimate Interest (GDPR Art. 6(1)(f))", L5160=""), "Gap - Missing LIA", IF(AND(G5160="Yes", H5160=""), "Gap - Missing Art. 9 Basis", IF(OR(I5160="Invalid - Not Freely Given", I5160="Invalid - Not Specific", I5160="Invalid - Not Informed", I5160="Invalid - Ambiguous"), "Gap - Invalid Consent", "Compliant")))))</f>
        <v/>
      </c>
      <c r="O5160" s="7" t="n"/>
    </row>
    <row r="5161">
      <c r="A5161" s="7" t="n"/>
      <c r="B5161" s="7" t="n"/>
      <c r="C5161" s="7" t="n"/>
      <c r="D5161" s="7" t="n"/>
      <c r="E5161" s="7" t="n"/>
      <c r="F5161" s="7" t="n"/>
      <c r="G5161" s="7" t="n"/>
      <c r="H5161" s="7" t="n"/>
      <c r="I5161" s="7" t="n"/>
      <c r="J5161" s="7" t="n"/>
      <c r="K5161">
        <f>IF(D5161="Legitimate Interest (GDPR Art. 6(1)(f))", "Yes / Required (Sheet 3)", "")</f>
        <v/>
      </c>
      <c r="L5161" s="7" t="n"/>
      <c r="M5161" s="7" t="n"/>
      <c r="N5161">
        <f>IF(D5161="", "Gap - No Legal Basis", IF(AND(D5161="Consent (GDPR Art. 6(1)(a))", I5161="Not Captured"), "Gap - Invalid Consent", IF(AND(D5161="Legitimate Interest (GDPR Art. 6(1)(f))", L5161=""), "Gap - Missing LIA", IF(AND(G5161="Yes", H5161=""), "Gap - Missing Art. 9 Basis", IF(OR(I5161="Invalid - Not Freely Given", I5161="Invalid - Not Specific", I5161="Invalid - Not Informed", I5161="Invalid - Ambiguous"), "Gap - Invalid Consent", "Compliant")))))</f>
        <v/>
      </c>
      <c r="O5161" s="7" t="n"/>
    </row>
    <row r="5162">
      <c r="A5162" s="7" t="n"/>
      <c r="B5162" s="7" t="n"/>
      <c r="C5162" s="7" t="n"/>
      <c r="D5162" s="7" t="n"/>
      <c r="E5162" s="7" t="n"/>
      <c r="F5162" s="7" t="n"/>
      <c r="G5162" s="7" t="n"/>
      <c r="H5162" s="7" t="n"/>
      <c r="I5162" s="7" t="n"/>
      <c r="J5162" s="7" t="n"/>
      <c r="K5162">
        <f>IF(D5162="Legitimate Interest (GDPR Art. 6(1)(f))", "Yes / Required (Sheet 3)", "")</f>
        <v/>
      </c>
      <c r="L5162" s="7" t="n"/>
      <c r="M5162" s="7" t="n"/>
      <c r="N5162">
        <f>IF(D5162="", "Gap - No Legal Basis", IF(AND(D5162="Consent (GDPR Art. 6(1)(a))", I5162="Not Captured"), "Gap - Invalid Consent", IF(AND(D5162="Legitimate Interest (GDPR Art. 6(1)(f))", L5162=""), "Gap - Missing LIA", IF(AND(G5162="Yes", H5162=""), "Gap - Missing Art. 9 Basis", IF(OR(I5162="Invalid - Not Freely Given", I5162="Invalid - Not Specific", I5162="Invalid - Not Informed", I5162="Invalid - Ambiguous"), "Gap - Invalid Consent", "Compliant")))))</f>
        <v/>
      </c>
      <c r="O5162" s="7" t="n"/>
    </row>
    <row r="5163">
      <c r="A5163" s="7" t="n"/>
      <c r="B5163" s="7" t="n"/>
      <c r="C5163" s="7" t="n"/>
      <c r="D5163" s="7" t="n"/>
      <c r="E5163" s="7" t="n"/>
      <c r="F5163" s="7" t="n"/>
      <c r="G5163" s="7" t="n"/>
      <c r="H5163" s="7" t="n"/>
      <c r="I5163" s="7" t="n"/>
      <c r="J5163" s="7" t="n"/>
      <c r="K5163">
        <f>IF(D5163="Legitimate Interest (GDPR Art. 6(1)(f))", "Yes / Required (Sheet 3)", "")</f>
        <v/>
      </c>
      <c r="L5163" s="7" t="n"/>
      <c r="M5163" s="7" t="n"/>
      <c r="N5163">
        <f>IF(D5163="", "Gap - No Legal Basis", IF(AND(D5163="Consent (GDPR Art. 6(1)(a))", I5163="Not Captured"), "Gap - Invalid Consent", IF(AND(D5163="Legitimate Interest (GDPR Art. 6(1)(f))", L5163=""), "Gap - Missing LIA", IF(AND(G5163="Yes", H5163=""), "Gap - Missing Art. 9 Basis", IF(OR(I5163="Invalid - Not Freely Given", I5163="Invalid - Not Specific", I5163="Invalid - Not Informed", I5163="Invalid - Ambiguous"), "Gap - Invalid Consent", "Compliant")))))</f>
        <v/>
      </c>
      <c r="O5163" s="7" t="n"/>
    </row>
    <row r="5164">
      <c r="A5164" s="7" t="n"/>
      <c r="B5164" s="7" t="n"/>
      <c r="C5164" s="7" t="n"/>
      <c r="D5164" s="7" t="n"/>
      <c r="E5164" s="7" t="n"/>
      <c r="F5164" s="7" t="n"/>
      <c r="G5164" s="7" t="n"/>
      <c r="H5164" s="7" t="n"/>
      <c r="I5164" s="7" t="n"/>
      <c r="J5164" s="7" t="n"/>
      <c r="K5164">
        <f>IF(D5164="Legitimate Interest (GDPR Art. 6(1)(f))", "Yes / Required (Sheet 3)", "")</f>
        <v/>
      </c>
      <c r="L5164" s="7" t="n"/>
      <c r="M5164" s="7" t="n"/>
      <c r="N5164">
        <f>IF(D5164="", "Gap - No Legal Basis", IF(AND(D5164="Consent (GDPR Art. 6(1)(a))", I5164="Not Captured"), "Gap - Invalid Consent", IF(AND(D5164="Legitimate Interest (GDPR Art. 6(1)(f))", L5164=""), "Gap - Missing LIA", IF(AND(G5164="Yes", H5164=""), "Gap - Missing Art. 9 Basis", IF(OR(I5164="Invalid - Not Freely Given", I5164="Invalid - Not Specific", I5164="Invalid - Not Informed", I5164="Invalid - Ambiguous"), "Gap - Invalid Consent", "Compliant")))))</f>
        <v/>
      </c>
      <c r="O5164" s="7" t="n"/>
    </row>
    <row r="5165">
      <c r="A5165" s="7" t="n"/>
      <c r="B5165" s="7" t="n"/>
      <c r="C5165" s="7" t="n"/>
      <c r="D5165" s="7" t="n"/>
      <c r="E5165" s="7" t="n"/>
      <c r="F5165" s="7" t="n"/>
      <c r="G5165" s="7" t="n"/>
      <c r="H5165" s="7" t="n"/>
      <c r="I5165" s="7" t="n"/>
      <c r="J5165" s="7" t="n"/>
      <c r="K5165">
        <f>IF(D5165="Legitimate Interest (GDPR Art. 6(1)(f))", "Yes / Required (Sheet 3)", "")</f>
        <v/>
      </c>
      <c r="L5165" s="7" t="n"/>
      <c r="M5165" s="7" t="n"/>
      <c r="N5165">
        <f>IF(D5165="", "Gap - No Legal Basis", IF(AND(D5165="Consent (GDPR Art. 6(1)(a))", I5165="Not Captured"), "Gap - Invalid Consent", IF(AND(D5165="Legitimate Interest (GDPR Art. 6(1)(f))", L5165=""), "Gap - Missing LIA", IF(AND(G5165="Yes", H5165=""), "Gap - Missing Art. 9 Basis", IF(OR(I5165="Invalid - Not Freely Given", I5165="Invalid - Not Specific", I5165="Invalid - Not Informed", I5165="Invalid - Ambiguous"), "Gap - Invalid Consent", "Compliant")))))</f>
        <v/>
      </c>
      <c r="O5165" s="7" t="n"/>
    </row>
    <row r="5166">
      <c r="A5166" s="7" t="n"/>
      <c r="B5166" s="7" t="n"/>
      <c r="C5166" s="7" t="n"/>
      <c r="D5166" s="7" t="n"/>
      <c r="E5166" s="7" t="n"/>
      <c r="F5166" s="7" t="n"/>
      <c r="G5166" s="7" t="n"/>
      <c r="H5166" s="7" t="n"/>
      <c r="I5166" s="7" t="n"/>
      <c r="J5166" s="7" t="n"/>
      <c r="K5166">
        <f>IF(D5166="Legitimate Interest (GDPR Art. 6(1)(f))", "Yes / Required (Sheet 3)", "")</f>
        <v/>
      </c>
      <c r="L5166" s="7" t="n"/>
      <c r="M5166" s="7" t="n"/>
      <c r="N5166">
        <f>IF(D5166="", "Gap - No Legal Basis", IF(AND(D5166="Consent (GDPR Art. 6(1)(a))", I5166="Not Captured"), "Gap - Invalid Consent", IF(AND(D5166="Legitimate Interest (GDPR Art. 6(1)(f))", L5166=""), "Gap - Missing LIA", IF(AND(G5166="Yes", H5166=""), "Gap - Missing Art. 9 Basis", IF(OR(I5166="Invalid - Not Freely Given", I5166="Invalid - Not Specific", I5166="Invalid - Not Informed", I5166="Invalid - Ambiguous"), "Gap - Invalid Consent", "Compliant")))))</f>
        <v/>
      </c>
      <c r="O5166" s="7" t="n"/>
    </row>
    <row r="5167">
      <c r="A5167" s="7" t="n"/>
      <c r="B5167" s="7" t="n"/>
      <c r="C5167" s="7" t="n"/>
      <c r="D5167" s="7" t="n"/>
      <c r="E5167" s="7" t="n"/>
      <c r="F5167" s="7" t="n"/>
      <c r="G5167" s="7" t="n"/>
      <c r="H5167" s="7" t="n"/>
      <c r="I5167" s="7" t="n"/>
      <c r="J5167" s="7" t="n"/>
      <c r="K5167">
        <f>IF(D5167="Legitimate Interest (GDPR Art. 6(1)(f))", "Yes / Required (Sheet 3)", "")</f>
        <v/>
      </c>
      <c r="L5167" s="7" t="n"/>
      <c r="M5167" s="7" t="n"/>
      <c r="N5167">
        <f>IF(D5167="", "Gap - No Legal Basis", IF(AND(D5167="Consent (GDPR Art. 6(1)(a))", I5167="Not Captured"), "Gap - Invalid Consent", IF(AND(D5167="Legitimate Interest (GDPR Art. 6(1)(f))", L5167=""), "Gap - Missing LIA", IF(AND(G5167="Yes", H5167=""), "Gap - Missing Art. 9 Basis", IF(OR(I5167="Invalid - Not Freely Given", I5167="Invalid - Not Specific", I5167="Invalid - Not Informed", I5167="Invalid - Ambiguous"), "Gap - Invalid Consent", "Compliant")))))</f>
        <v/>
      </c>
      <c r="O5167" s="7" t="n"/>
    </row>
    <row r="5168">
      <c r="A5168" s="7" t="n"/>
      <c r="B5168" s="7" t="n"/>
      <c r="C5168" s="7" t="n"/>
      <c r="D5168" s="7" t="n"/>
      <c r="E5168" s="7" t="n"/>
      <c r="F5168" s="7" t="n"/>
      <c r="G5168" s="7" t="n"/>
      <c r="H5168" s="7" t="n"/>
      <c r="I5168" s="7" t="n"/>
      <c r="J5168" s="7" t="n"/>
      <c r="K5168">
        <f>IF(D5168="Legitimate Interest (GDPR Art. 6(1)(f))", "Yes / Required (Sheet 3)", "")</f>
        <v/>
      </c>
      <c r="L5168" s="7" t="n"/>
      <c r="M5168" s="7" t="n"/>
      <c r="N5168">
        <f>IF(D5168="", "Gap - No Legal Basis", IF(AND(D5168="Consent (GDPR Art. 6(1)(a))", I5168="Not Captured"), "Gap - Invalid Consent", IF(AND(D5168="Legitimate Interest (GDPR Art. 6(1)(f))", L5168=""), "Gap - Missing LIA", IF(AND(G5168="Yes", H5168=""), "Gap - Missing Art. 9 Basis", IF(OR(I5168="Invalid - Not Freely Given", I5168="Invalid - Not Specific", I5168="Invalid - Not Informed", I5168="Invalid - Ambiguous"), "Gap - Invalid Consent", "Compliant")))))</f>
        <v/>
      </c>
      <c r="O5168" s="7" t="n"/>
    </row>
    <row r="5169">
      <c r="A5169" s="7" t="n"/>
      <c r="B5169" s="7" t="n"/>
      <c r="C5169" s="7" t="n"/>
      <c r="D5169" s="7" t="n"/>
      <c r="E5169" s="7" t="n"/>
      <c r="F5169" s="7" t="n"/>
      <c r="G5169" s="7" t="n"/>
      <c r="H5169" s="7" t="n"/>
      <c r="I5169" s="7" t="n"/>
      <c r="J5169" s="7" t="n"/>
      <c r="K5169">
        <f>IF(D5169="Legitimate Interest (GDPR Art. 6(1)(f))", "Yes / Required (Sheet 3)", "")</f>
        <v/>
      </c>
      <c r="L5169" s="7" t="n"/>
      <c r="M5169" s="7" t="n"/>
      <c r="N5169">
        <f>IF(D5169="", "Gap - No Legal Basis", IF(AND(D5169="Consent (GDPR Art. 6(1)(a))", I5169="Not Captured"), "Gap - Invalid Consent", IF(AND(D5169="Legitimate Interest (GDPR Art. 6(1)(f))", L5169=""), "Gap - Missing LIA", IF(AND(G5169="Yes", H5169=""), "Gap - Missing Art. 9 Basis", IF(OR(I5169="Invalid - Not Freely Given", I5169="Invalid - Not Specific", I5169="Invalid - Not Informed", I5169="Invalid - Ambiguous"), "Gap - Invalid Consent", "Compliant")))))</f>
        <v/>
      </c>
      <c r="O5169" s="7" t="n"/>
    </row>
    <row r="5170">
      <c r="A5170" s="7" t="n"/>
      <c r="B5170" s="7" t="n"/>
      <c r="C5170" s="7" t="n"/>
      <c r="D5170" s="7" t="n"/>
      <c r="E5170" s="7" t="n"/>
      <c r="F5170" s="7" t="n"/>
      <c r="G5170" s="7" t="n"/>
      <c r="H5170" s="7" t="n"/>
      <c r="I5170" s="7" t="n"/>
      <c r="J5170" s="7" t="n"/>
      <c r="K5170">
        <f>IF(D5170="Legitimate Interest (GDPR Art. 6(1)(f))", "Yes / Required (Sheet 3)", "")</f>
        <v/>
      </c>
      <c r="L5170" s="7" t="n"/>
      <c r="M5170" s="7" t="n"/>
      <c r="N5170">
        <f>IF(D5170="", "Gap - No Legal Basis", IF(AND(D5170="Consent (GDPR Art. 6(1)(a))", I5170="Not Captured"), "Gap - Invalid Consent", IF(AND(D5170="Legitimate Interest (GDPR Art. 6(1)(f))", L5170=""), "Gap - Missing LIA", IF(AND(G5170="Yes", H5170=""), "Gap - Missing Art. 9 Basis", IF(OR(I5170="Invalid - Not Freely Given", I5170="Invalid - Not Specific", I5170="Invalid - Not Informed", I5170="Invalid - Ambiguous"), "Gap - Invalid Consent", "Compliant")))))</f>
        <v/>
      </c>
      <c r="O5170" s="7" t="n"/>
    </row>
    <row r="5171">
      <c r="A5171" s="7" t="n"/>
      <c r="B5171" s="7" t="n"/>
      <c r="C5171" s="7" t="n"/>
      <c r="D5171" s="7" t="n"/>
      <c r="E5171" s="7" t="n"/>
      <c r="F5171" s="7" t="n"/>
      <c r="G5171" s="7" t="n"/>
      <c r="H5171" s="7" t="n"/>
      <c r="I5171" s="7" t="n"/>
      <c r="J5171" s="7" t="n"/>
      <c r="K5171">
        <f>IF(D5171="Legitimate Interest (GDPR Art. 6(1)(f))", "Yes / Required (Sheet 3)", "")</f>
        <v/>
      </c>
      <c r="L5171" s="7" t="n"/>
      <c r="M5171" s="7" t="n"/>
      <c r="N5171">
        <f>IF(D5171="", "Gap - No Legal Basis", IF(AND(D5171="Consent (GDPR Art. 6(1)(a))", I5171="Not Captured"), "Gap - Invalid Consent", IF(AND(D5171="Legitimate Interest (GDPR Art. 6(1)(f))", L5171=""), "Gap - Missing LIA", IF(AND(G5171="Yes", H5171=""), "Gap - Missing Art. 9 Basis", IF(OR(I5171="Invalid - Not Freely Given", I5171="Invalid - Not Specific", I5171="Invalid - Not Informed", I5171="Invalid - Ambiguous"), "Gap - Invalid Consent", "Compliant")))))</f>
        <v/>
      </c>
      <c r="O5171" s="7" t="n"/>
    </row>
    <row r="5172">
      <c r="A5172" s="7" t="n"/>
      <c r="B5172" s="7" t="n"/>
      <c r="C5172" s="7" t="n"/>
      <c r="D5172" s="7" t="n"/>
      <c r="E5172" s="7" t="n"/>
      <c r="F5172" s="7" t="n"/>
      <c r="G5172" s="7" t="n"/>
      <c r="H5172" s="7" t="n"/>
      <c r="I5172" s="7" t="n"/>
      <c r="J5172" s="7" t="n"/>
      <c r="K5172">
        <f>IF(D5172="Legitimate Interest (GDPR Art. 6(1)(f))", "Yes / Required (Sheet 3)", "")</f>
        <v/>
      </c>
      <c r="L5172" s="7" t="n"/>
      <c r="M5172" s="7" t="n"/>
      <c r="N5172">
        <f>IF(D5172="", "Gap - No Legal Basis", IF(AND(D5172="Consent (GDPR Art. 6(1)(a))", I5172="Not Captured"), "Gap - Invalid Consent", IF(AND(D5172="Legitimate Interest (GDPR Art. 6(1)(f))", L5172=""), "Gap - Missing LIA", IF(AND(G5172="Yes", H5172=""), "Gap - Missing Art. 9 Basis", IF(OR(I5172="Invalid - Not Freely Given", I5172="Invalid - Not Specific", I5172="Invalid - Not Informed", I5172="Invalid - Ambiguous"), "Gap - Invalid Consent", "Compliant")))))</f>
        <v/>
      </c>
      <c r="O5172" s="7" t="n"/>
    </row>
    <row r="5173">
      <c r="A5173" s="7" t="n"/>
      <c r="B5173" s="7" t="n"/>
      <c r="C5173" s="7" t="n"/>
      <c r="D5173" s="7" t="n"/>
      <c r="E5173" s="7" t="n"/>
      <c r="F5173" s="7" t="n"/>
      <c r="G5173" s="7" t="n"/>
      <c r="H5173" s="7" t="n"/>
      <c r="I5173" s="7" t="n"/>
      <c r="J5173" s="7" t="n"/>
      <c r="K5173">
        <f>IF(D5173="Legitimate Interest (GDPR Art. 6(1)(f))", "Yes / Required (Sheet 3)", "")</f>
        <v/>
      </c>
      <c r="L5173" s="7" t="n"/>
      <c r="M5173" s="7" t="n"/>
      <c r="N5173">
        <f>IF(D5173="", "Gap - No Legal Basis", IF(AND(D5173="Consent (GDPR Art. 6(1)(a))", I5173="Not Captured"), "Gap - Invalid Consent", IF(AND(D5173="Legitimate Interest (GDPR Art. 6(1)(f))", L5173=""), "Gap - Missing LIA", IF(AND(G5173="Yes", H5173=""), "Gap - Missing Art. 9 Basis", IF(OR(I5173="Invalid - Not Freely Given", I5173="Invalid - Not Specific", I5173="Invalid - Not Informed", I5173="Invalid - Ambiguous"), "Gap - Invalid Consent", "Compliant")))))</f>
        <v/>
      </c>
      <c r="O5173" s="7" t="n"/>
    </row>
    <row r="5174">
      <c r="A5174" s="7" t="n"/>
      <c r="B5174" s="7" t="n"/>
      <c r="C5174" s="7" t="n"/>
      <c r="D5174" s="7" t="n"/>
      <c r="E5174" s="7" t="n"/>
      <c r="F5174" s="7" t="n"/>
      <c r="G5174" s="7" t="n"/>
      <c r="H5174" s="7" t="n"/>
      <c r="I5174" s="7" t="n"/>
      <c r="J5174" s="7" t="n"/>
      <c r="K5174">
        <f>IF(D5174="Legitimate Interest (GDPR Art. 6(1)(f))", "Yes / Required (Sheet 3)", "")</f>
        <v/>
      </c>
      <c r="L5174" s="7" t="n"/>
      <c r="M5174" s="7" t="n"/>
      <c r="N5174">
        <f>IF(D5174="", "Gap - No Legal Basis", IF(AND(D5174="Consent (GDPR Art. 6(1)(a))", I5174="Not Captured"), "Gap - Invalid Consent", IF(AND(D5174="Legitimate Interest (GDPR Art. 6(1)(f))", L5174=""), "Gap - Missing LIA", IF(AND(G5174="Yes", H5174=""), "Gap - Missing Art. 9 Basis", IF(OR(I5174="Invalid - Not Freely Given", I5174="Invalid - Not Specific", I5174="Invalid - Not Informed", I5174="Invalid - Ambiguous"), "Gap - Invalid Consent", "Compliant")))))</f>
        <v/>
      </c>
      <c r="O5174" s="7" t="n"/>
    </row>
    <row r="5175">
      <c r="A5175" s="7" t="n"/>
      <c r="B5175" s="7" t="n"/>
      <c r="C5175" s="7" t="n"/>
      <c r="D5175" s="7" t="n"/>
      <c r="E5175" s="7" t="n"/>
      <c r="F5175" s="7" t="n"/>
      <c r="G5175" s="7" t="n"/>
      <c r="H5175" s="7" t="n"/>
      <c r="I5175" s="7" t="n"/>
      <c r="J5175" s="7" t="n"/>
      <c r="K5175">
        <f>IF(D5175="Legitimate Interest (GDPR Art. 6(1)(f))", "Yes / Required (Sheet 3)", "")</f>
        <v/>
      </c>
      <c r="L5175" s="7" t="n"/>
      <c r="M5175" s="7" t="n"/>
      <c r="N5175">
        <f>IF(D5175="", "Gap - No Legal Basis", IF(AND(D5175="Consent (GDPR Art. 6(1)(a))", I5175="Not Captured"), "Gap - Invalid Consent", IF(AND(D5175="Legitimate Interest (GDPR Art. 6(1)(f))", L5175=""), "Gap - Missing LIA", IF(AND(G5175="Yes", H5175=""), "Gap - Missing Art. 9 Basis", IF(OR(I5175="Invalid - Not Freely Given", I5175="Invalid - Not Specific", I5175="Invalid - Not Informed", I5175="Invalid - Ambiguous"), "Gap - Invalid Consent", "Compliant")))))</f>
        <v/>
      </c>
      <c r="O5175" s="7" t="n"/>
    </row>
    <row r="5176">
      <c r="A5176" s="7" t="n"/>
      <c r="B5176" s="7" t="n"/>
      <c r="C5176" s="7" t="n"/>
      <c r="D5176" s="7" t="n"/>
      <c r="E5176" s="7" t="n"/>
      <c r="F5176" s="7" t="n"/>
      <c r="G5176" s="7" t="n"/>
      <c r="H5176" s="7" t="n"/>
      <c r="I5176" s="7" t="n"/>
      <c r="J5176" s="7" t="n"/>
      <c r="K5176">
        <f>IF(D5176="Legitimate Interest (GDPR Art. 6(1)(f))", "Yes / Required (Sheet 3)", "")</f>
        <v/>
      </c>
      <c r="L5176" s="7" t="n"/>
      <c r="M5176" s="7" t="n"/>
      <c r="N5176">
        <f>IF(D5176="", "Gap - No Legal Basis", IF(AND(D5176="Consent (GDPR Art. 6(1)(a))", I5176="Not Captured"), "Gap - Invalid Consent", IF(AND(D5176="Legitimate Interest (GDPR Art. 6(1)(f))", L5176=""), "Gap - Missing LIA", IF(AND(G5176="Yes", H5176=""), "Gap - Missing Art. 9 Basis", IF(OR(I5176="Invalid - Not Freely Given", I5176="Invalid - Not Specific", I5176="Invalid - Not Informed", I5176="Invalid - Ambiguous"), "Gap - Invalid Consent", "Compliant")))))</f>
        <v/>
      </c>
      <c r="O5176" s="7" t="n"/>
    </row>
    <row r="5177">
      <c r="A5177" s="7" t="n"/>
      <c r="B5177" s="7" t="n"/>
      <c r="C5177" s="7" t="n"/>
      <c r="D5177" s="7" t="n"/>
      <c r="E5177" s="7" t="n"/>
      <c r="F5177" s="7" t="n"/>
      <c r="G5177" s="7" t="n"/>
      <c r="H5177" s="7" t="n"/>
      <c r="I5177" s="7" t="n"/>
      <c r="J5177" s="7" t="n"/>
      <c r="K5177">
        <f>IF(D5177="Legitimate Interest (GDPR Art. 6(1)(f))", "Yes / Required (Sheet 3)", "")</f>
        <v/>
      </c>
      <c r="L5177" s="7" t="n"/>
      <c r="M5177" s="7" t="n"/>
      <c r="N5177">
        <f>IF(D5177="", "Gap - No Legal Basis", IF(AND(D5177="Consent (GDPR Art. 6(1)(a))", I5177="Not Captured"), "Gap - Invalid Consent", IF(AND(D5177="Legitimate Interest (GDPR Art. 6(1)(f))", L5177=""), "Gap - Missing LIA", IF(AND(G5177="Yes", H5177=""), "Gap - Missing Art. 9 Basis", IF(OR(I5177="Invalid - Not Freely Given", I5177="Invalid - Not Specific", I5177="Invalid - Not Informed", I5177="Invalid - Ambiguous"), "Gap - Invalid Consent", "Compliant")))))</f>
        <v/>
      </c>
      <c r="O5177" s="7" t="n"/>
    </row>
    <row r="5178">
      <c r="A5178" s="7" t="n"/>
      <c r="B5178" s="7" t="n"/>
      <c r="C5178" s="7" t="n"/>
      <c r="D5178" s="7" t="n"/>
      <c r="E5178" s="7" t="n"/>
      <c r="F5178" s="7" t="n"/>
      <c r="G5178" s="7" t="n"/>
      <c r="H5178" s="7" t="n"/>
      <c r="I5178" s="7" t="n"/>
      <c r="J5178" s="7" t="n"/>
      <c r="K5178">
        <f>IF(D5178="Legitimate Interest (GDPR Art. 6(1)(f))", "Yes / Required (Sheet 3)", "")</f>
        <v/>
      </c>
      <c r="L5178" s="7" t="n"/>
      <c r="M5178" s="7" t="n"/>
      <c r="N5178">
        <f>IF(D5178="", "Gap - No Legal Basis", IF(AND(D5178="Consent (GDPR Art. 6(1)(a))", I5178="Not Captured"), "Gap - Invalid Consent", IF(AND(D5178="Legitimate Interest (GDPR Art. 6(1)(f))", L5178=""), "Gap - Missing LIA", IF(AND(G5178="Yes", H5178=""), "Gap - Missing Art. 9 Basis", IF(OR(I5178="Invalid - Not Freely Given", I5178="Invalid - Not Specific", I5178="Invalid - Not Informed", I5178="Invalid - Ambiguous"), "Gap - Invalid Consent", "Compliant")))))</f>
        <v/>
      </c>
      <c r="O5178" s="7" t="n"/>
    </row>
    <row r="5179">
      <c r="A5179" s="7" t="n"/>
      <c r="B5179" s="7" t="n"/>
      <c r="C5179" s="7" t="n"/>
      <c r="D5179" s="7" t="n"/>
      <c r="E5179" s="7" t="n"/>
      <c r="F5179" s="7" t="n"/>
      <c r="G5179" s="7" t="n"/>
      <c r="H5179" s="7" t="n"/>
      <c r="I5179" s="7" t="n"/>
      <c r="J5179" s="7" t="n"/>
      <c r="K5179">
        <f>IF(D5179="Legitimate Interest (GDPR Art. 6(1)(f))", "Yes / Required (Sheet 3)", "")</f>
        <v/>
      </c>
      <c r="L5179" s="7" t="n"/>
      <c r="M5179" s="7" t="n"/>
      <c r="N5179">
        <f>IF(D5179="", "Gap - No Legal Basis", IF(AND(D5179="Consent (GDPR Art. 6(1)(a))", I5179="Not Captured"), "Gap - Invalid Consent", IF(AND(D5179="Legitimate Interest (GDPR Art. 6(1)(f))", L5179=""), "Gap - Missing LIA", IF(AND(G5179="Yes", H5179=""), "Gap - Missing Art. 9 Basis", IF(OR(I5179="Invalid - Not Freely Given", I5179="Invalid - Not Specific", I5179="Invalid - Not Informed", I5179="Invalid - Ambiguous"), "Gap - Invalid Consent", "Compliant")))))</f>
        <v/>
      </c>
      <c r="O5179" s="7" t="n"/>
    </row>
    <row r="5180">
      <c r="A5180" s="7" t="n"/>
      <c r="B5180" s="7" t="n"/>
      <c r="C5180" s="7" t="n"/>
      <c r="D5180" s="7" t="n"/>
      <c r="E5180" s="7" t="n"/>
      <c r="F5180" s="7" t="n"/>
      <c r="G5180" s="7" t="n"/>
      <c r="H5180" s="7" t="n"/>
      <c r="I5180" s="7" t="n"/>
      <c r="J5180" s="7" t="n"/>
      <c r="K5180">
        <f>IF(D5180="Legitimate Interest (GDPR Art. 6(1)(f))", "Yes / Required (Sheet 3)", "")</f>
        <v/>
      </c>
      <c r="L5180" s="7" t="n"/>
      <c r="M5180" s="7" t="n"/>
      <c r="N5180">
        <f>IF(D5180="", "Gap - No Legal Basis", IF(AND(D5180="Consent (GDPR Art. 6(1)(a))", I5180="Not Captured"), "Gap - Invalid Consent", IF(AND(D5180="Legitimate Interest (GDPR Art. 6(1)(f))", L5180=""), "Gap - Missing LIA", IF(AND(G5180="Yes", H5180=""), "Gap - Missing Art. 9 Basis", IF(OR(I5180="Invalid - Not Freely Given", I5180="Invalid - Not Specific", I5180="Invalid - Not Informed", I5180="Invalid - Ambiguous"), "Gap - Invalid Consent", "Compliant")))))</f>
        <v/>
      </c>
      <c r="O5180" s="7" t="n"/>
    </row>
    <row r="5181">
      <c r="A5181" s="7" t="n"/>
      <c r="B5181" s="7" t="n"/>
      <c r="C5181" s="7" t="n"/>
      <c r="D5181" s="7" t="n"/>
      <c r="E5181" s="7" t="n"/>
      <c r="F5181" s="7" t="n"/>
      <c r="G5181" s="7" t="n"/>
      <c r="H5181" s="7" t="n"/>
      <c r="I5181" s="7" t="n"/>
      <c r="J5181" s="7" t="n"/>
      <c r="K5181">
        <f>IF(D5181="Legitimate Interest (GDPR Art. 6(1)(f))", "Yes / Required (Sheet 3)", "")</f>
        <v/>
      </c>
      <c r="L5181" s="7" t="n"/>
      <c r="M5181" s="7" t="n"/>
      <c r="N5181">
        <f>IF(D5181="", "Gap - No Legal Basis", IF(AND(D5181="Consent (GDPR Art. 6(1)(a))", I5181="Not Captured"), "Gap - Invalid Consent", IF(AND(D5181="Legitimate Interest (GDPR Art. 6(1)(f))", L5181=""), "Gap - Missing LIA", IF(AND(G5181="Yes", H5181=""), "Gap - Missing Art. 9 Basis", IF(OR(I5181="Invalid - Not Freely Given", I5181="Invalid - Not Specific", I5181="Invalid - Not Informed", I5181="Invalid - Ambiguous"), "Gap - Invalid Consent", "Compliant")))))</f>
        <v/>
      </c>
      <c r="O5181" s="7" t="n"/>
    </row>
    <row r="5182">
      <c r="A5182" s="7" t="n"/>
      <c r="B5182" s="7" t="n"/>
      <c r="C5182" s="7" t="n"/>
      <c r="D5182" s="7" t="n"/>
      <c r="E5182" s="7" t="n"/>
      <c r="F5182" s="7" t="n"/>
      <c r="G5182" s="7" t="n"/>
      <c r="H5182" s="7" t="n"/>
      <c r="I5182" s="7" t="n"/>
      <c r="J5182" s="7" t="n"/>
      <c r="K5182">
        <f>IF(D5182="Legitimate Interest (GDPR Art. 6(1)(f))", "Yes / Required (Sheet 3)", "")</f>
        <v/>
      </c>
      <c r="L5182" s="7" t="n"/>
      <c r="M5182" s="7" t="n"/>
      <c r="N5182">
        <f>IF(D5182="", "Gap - No Legal Basis", IF(AND(D5182="Consent (GDPR Art. 6(1)(a))", I5182="Not Captured"), "Gap - Invalid Consent", IF(AND(D5182="Legitimate Interest (GDPR Art. 6(1)(f))", L5182=""), "Gap - Missing LIA", IF(AND(G5182="Yes", H5182=""), "Gap - Missing Art. 9 Basis", IF(OR(I5182="Invalid - Not Freely Given", I5182="Invalid - Not Specific", I5182="Invalid - Not Informed", I5182="Invalid - Ambiguous"), "Gap - Invalid Consent", "Compliant")))))</f>
        <v/>
      </c>
      <c r="O5182" s="7" t="n"/>
    </row>
    <row r="5183">
      <c r="A5183" s="7" t="n"/>
      <c r="B5183" s="7" t="n"/>
      <c r="C5183" s="7" t="n"/>
      <c r="D5183" s="7" t="n"/>
      <c r="E5183" s="7" t="n"/>
      <c r="F5183" s="7" t="n"/>
      <c r="G5183" s="7" t="n"/>
      <c r="H5183" s="7" t="n"/>
      <c r="I5183" s="7" t="n"/>
      <c r="J5183" s="7" t="n"/>
      <c r="K5183">
        <f>IF(D5183="Legitimate Interest (GDPR Art. 6(1)(f))", "Yes / Required (Sheet 3)", "")</f>
        <v/>
      </c>
      <c r="L5183" s="7" t="n"/>
      <c r="M5183" s="7" t="n"/>
      <c r="N5183">
        <f>IF(D5183="", "Gap - No Legal Basis", IF(AND(D5183="Consent (GDPR Art. 6(1)(a))", I5183="Not Captured"), "Gap - Invalid Consent", IF(AND(D5183="Legitimate Interest (GDPR Art. 6(1)(f))", L5183=""), "Gap - Missing LIA", IF(AND(G5183="Yes", H5183=""), "Gap - Missing Art. 9 Basis", IF(OR(I5183="Invalid - Not Freely Given", I5183="Invalid - Not Specific", I5183="Invalid - Not Informed", I5183="Invalid - Ambiguous"), "Gap - Invalid Consent", "Compliant")))))</f>
        <v/>
      </c>
      <c r="O5183" s="7" t="n"/>
    </row>
    <row r="5184">
      <c r="A5184" s="7" t="n"/>
      <c r="B5184" s="7" t="n"/>
      <c r="C5184" s="7" t="n"/>
      <c r="D5184" s="7" t="n"/>
      <c r="E5184" s="7" t="n"/>
      <c r="F5184" s="7" t="n"/>
      <c r="G5184" s="7" t="n"/>
      <c r="H5184" s="7" t="n"/>
      <c r="I5184" s="7" t="n"/>
      <c r="J5184" s="7" t="n"/>
      <c r="K5184">
        <f>IF(D5184="Legitimate Interest (GDPR Art. 6(1)(f))", "Yes / Required (Sheet 3)", "")</f>
        <v/>
      </c>
      <c r="L5184" s="7" t="n"/>
      <c r="M5184" s="7" t="n"/>
      <c r="N5184">
        <f>IF(D5184="", "Gap - No Legal Basis", IF(AND(D5184="Consent (GDPR Art. 6(1)(a))", I5184="Not Captured"), "Gap - Invalid Consent", IF(AND(D5184="Legitimate Interest (GDPR Art. 6(1)(f))", L5184=""), "Gap - Missing LIA", IF(AND(G5184="Yes", H5184=""), "Gap - Missing Art. 9 Basis", IF(OR(I5184="Invalid - Not Freely Given", I5184="Invalid - Not Specific", I5184="Invalid - Not Informed", I5184="Invalid - Ambiguous"), "Gap - Invalid Consent", "Compliant")))))</f>
        <v/>
      </c>
      <c r="O5184" s="7" t="n"/>
    </row>
    <row r="5185">
      <c r="A5185" s="7" t="n"/>
      <c r="B5185" s="7" t="n"/>
      <c r="C5185" s="7" t="n"/>
      <c r="D5185" s="7" t="n"/>
      <c r="E5185" s="7" t="n"/>
      <c r="F5185" s="7" t="n"/>
      <c r="G5185" s="7" t="n"/>
      <c r="H5185" s="7" t="n"/>
      <c r="I5185" s="7" t="n"/>
      <c r="J5185" s="7" t="n"/>
      <c r="K5185">
        <f>IF(D5185="Legitimate Interest (GDPR Art. 6(1)(f))", "Yes / Required (Sheet 3)", "")</f>
        <v/>
      </c>
      <c r="L5185" s="7" t="n"/>
      <c r="M5185" s="7" t="n"/>
      <c r="N5185">
        <f>IF(D5185="", "Gap - No Legal Basis", IF(AND(D5185="Consent (GDPR Art. 6(1)(a))", I5185="Not Captured"), "Gap - Invalid Consent", IF(AND(D5185="Legitimate Interest (GDPR Art. 6(1)(f))", L5185=""), "Gap - Missing LIA", IF(AND(G5185="Yes", H5185=""), "Gap - Missing Art. 9 Basis", IF(OR(I5185="Invalid - Not Freely Given", I5185="Invalid - Not Specific", I5185="Invalid - Not Informed", I5185="Invalid - Ambiguous"), "Gap - Invalid Consent", "Compliant")))))</f>
        <v/>
      </c>
      <c r="O5185" s="7" t="n"/>
    </row>
    <row r="5186">
      <c r="A5186" s="7" t="n"/>
      <c r="B5186" s="7" t="n"/>
      <c r="C5186" s="7" t="n"/>
      <c r="D5186" s="7" t="n"/>
      <c r="E5186" s="7" t="n"/>
      <c r="F5186" s="7" t="n"/>
      <c r="G5186" s="7" t="n"/>
      <c r="H5186" s="7" t="n"/>
      <c r="I5186" s="7" t="n"/>
      <c r="J5186" s="7" t="n"/>
      <c r="K5186">
        <f>IF(D5186="Legitimate Interest (GDPR Art. 6(1)(f))", "Yes / Required (Sheet 3)", "")</f>
        <v/>
      </c>
      <c r="L5186" s="7" t="n"/>
      <c r="M5186" s="7" t="n"/>
      <c r="N5186">
        <f>IF(D5186="", "Gap - No Legal Basis", IF(AND(D5186="Consent (GDPR Art. 6(1)(a))", I5186="Not Captured"), "Gap - Invalid Consent", IF(AND(D5186="Legitimate Interest (GDPR Art. 6(1)(f))", L5186=""), "Gap - Missing LIA", IF(AND(G5186="Yes", H5186=""), "Gap - Missing Art. 9 Basis", IF(OR(I5186="Invalid - Not Freely Given", I5186="Invalid - Not Specific", I5186="Invalid - Not Informed", I5186="Invalid - Ambiguous"), "Gap - Invalid Consent", "Compliant")))))</f>
        <v/>
      </c>
      <c r="O5186" s="7" t="n"/>
    </row>
    <row r="5187">
      <c r="A5187" s="7" t="n"/>
      <c r="B5187" s="7" t="n"/>
      <c r="C5187" s="7" t="n"/>
      <c r="D5187" s="7" t="n"/>
      <c r="E5187" s="7" t="n"/>
      <c r="F5187" s="7" t="n"/>
      <c r="G5187" s="7" t="n"/>
      <c r="H5187" s="7" t="n"/>
      <c r="I5187" s="7" t="n"/>
      <c r="J5187" s="7" t="n"/>
      <c r="K5187">
        <f>IF(D5187="Legitimate Interest (GDPR Art. 6(1)(f))", "Yes / Required (Sheet 3)", "")</f>
        <v/>
      </c>
      <c r="L5187" s="7" t="n"/>
      <c r="M5187" s="7" t="n"/>
      <c r="N5187">
        <f>IF(D5187="", "Gap - No Legal Basis", IF(AND(D5187="Consent (GDPR Art. 6(1)(a))", I5187="Not Captured"), "Gap - Invalid Consent", IF(AND(D5187="Legitimate Interest (GDPR Art. 6(1)(f))", L5187=""), "Gap - Missing LIA", IF(AND(G5187="Yes", H5187=""), "Gap - Missing Art. 9 Basis", IF(OR(I5187="Invalid - Not Freely Given", I5187="Invalid - Not Specific", I5187="Invalid - Not Informed", I5187="Invalid - Ambiguous"), "Gap - Invalid Consent", "Compliant")))))</f>
        <v/>
      </c>
      <c r="O5187" s="7" t="n"/>
    </row>
    <row r="5188">
      <c r="A5188" s="7" t="n"/>
      <c r="B5188" s="7" t="n"/>
      <c r="C5188" s="7" t="n"/>
      <c r="D5188" s="7" t="n"/>
      <c r="E5188" s="7" t="n"/>
      <c r="F5188" s="7" t="n"/>
      <c r="G5188" s="7" t="n"/>
      <c r="H5188" s="7" t="n"/>
      <c r="I5188" s="7" t="n"/>
      <c r="J5188" s="7" t="n"/>
      <c r="K5188">
        <f>IF(D5188="Legitimate Interest (GDPR Art. 6(1)(f))", "Yes / Required (Sheet 3)", "")</f>
        <v/>
      </c>
      <c r="L5188" s="7" t="n"/>
      <c r="M5188" s="7" t="n"/>
      <c r="N5188">
        <f>IF(D5188="", "Gap - No Legal Basis", IF(AND(D5188="Consent (GDPR Art. 6(1)(a))", I5188="Not Captured"), "Gap - Invalid Consent", IF(AND(D5188="Legitimate Interest (GDPR Art. 6(1)(f))", L5188=""), "Gap - Missing LIA", IF(AND(G5188="Yes", H5188=""), "Gap - Missing Art. 9 Basis", IF(OR(I5188="Invalid - Not Freely Given", I5188="Invalid - Not Specific", I5188="Invalid - Not Informed", I5188="Invalid - Ambiguous"), "Gap - Invalid Consent", "Compliant")))))</f>
        <v/>
      </c>
      <c r="O5188" s="7" t="n"/>
    </row>
    <row r="5189">
      <c r="A5189" s="7" t="n"/>
      <c r="B5189" s="7" t="n"/>
      <c r="C5189" s="7" t="n"/>
      <c r="D5189" s="7" t="n"/>
      <c r="E5189" s="7" t="n"/>
      <c r="F5189" s="7" t="n"/>
      <c r="G5189" s="7" t="n"/>
      <c r="H5189" s="7" t="n"/>
      <c r="I5189" s="7" t="n"/>
      <c r="J5189" s="7" t="n"/>
      <c r="K5189">
        <f>IF(D5189="Legitimate Interest (GDPR Art. 6(1)(f))", "Yes / Required (Sheet 3)", "")</f>
        <v/>
      </c>
      <c r="L5189" s="7" t="n"/>
      <c r="M5189" s="7" t="n"/>
      <c r="N5189">
        <f>IF(D5189="", "Gap - No Legal Basis", IF(AND(D5189="Consent (GDPR Art. 6(1)(a))", I5189="Not Captured"), "Gap - Invalid Consent", IF(AND(D5189="Legitimate Interest (GDPR Art. 6(1)(f))", L5189=""), "Gap - Missing LIA", IF(AND(G5189="Yes", H5189=""), "Gap - Missing Art. 9 Basis", IF(OR(I5189="Invalid - Not Freely Given", I5189="Invalid - Not Specific", I5189="Invalid - Not Informed", I5189="Invalid - Ambiguous"), "Gap - Invalid Consent", "Compliant")))))</f>
        <v/>
      </c>
      <c r="O5189" s="7" t="n"/>
    </row>
    <row r="5190">
      <c r="A5190" s="7" t="n"/>
      <c r="B5190" s="7" t="n"/>
      <c r="C5190" s="7" t="n"/>
      <c r="D5190" s="7" t="n"/>
      <c r="E5190" s="7" t="n"/>
      <c r="F5190" s="7" t="n"/>
      <c r="G5190" s="7" t="n"/>
      <c r="H5190" s="7" t="n"/>
      <c r="I5190" s="7" t="n"/>
      <c r="J5190" s="7" t="n"/>
      <c r="K5190">
        <f>IF(D5190="Legitimate Interest (GDPR Art. 6(1)(f))", "Yes / Required (Sheet 3)", "")</f>
        <v/>
      </c>
      <c r="L5190" s="7" t="n"/>
      <c r="M5190" s="7" t="n"/>
      <c r="N5190">
        <f>IF(D5190="", "Gap - No Legal Basis", IF(AND(D5190="Consent (GDPR Art. 6(1)(a))", I5190="Not Captured"), "Gap - Invalid Consent", IF(AND(D5190="Legitimate Interest (GDPR Art. 6(1)(f))", L5190=""), "Gap - Missing LIA", IF(AND(G5190="Yes", H5190=""), "Gap - Missing Art. 9 Basis", IF(OR(I5190="Invalid - Not Freely Given", I5190="Invalid - Not Specific", I5190="Invalid - Not Informed", I5190="Invalid - Ambiguous"), "Gap - Invalid Consent", "Compliant")))))</f>
        <v/>
      </c>
      <c r="O5190" s="7" t="n"/>
    </row>
    <row r="5191">
      <c r="A5191" s="7" t="n"/>
      <c r="B5191" s="7" t="n"/>
      <c r="C5191" s="7" t="n"/>
      <c r="D5191" s="7" t="n"/>
      <c r="E5191" s="7" t="n"/>
      <c r="F5191" s="7" t="n"/>
      <c r="G5191" s="7" t="n"/>
      <c r="H5191" s="7" t="n"/>
      <c r="I5191" s="7" t="n"/>
      <c r="J5191" s="7" t="n"/>
      <c r="K5191">
        <f>IF(D5191="Legitimate Interest (GDPR Art. 6(1)(f))", "Yes / Required (Sheet 3)", "")</f>
        <v/>
      </c>
      <c r="L5191" s="7" t="n"/>
      <c r="M5191" s="7" t="n"/>
      <c r="N5191">
        <f>IF(D5191="", "Gap - No Legal Basis", IF(AND(D5191="Consent (GDPR Art. 6(1)(a))", I5191="Not Captured"), "Gap - Invalid Consent", IF(AND(D5191="Legitimate Interest (GDPR Art. 6(1)(f))", L5191=""), "Gap - Missing LIA", IF(AND(G5191="Yes", H5191=""), "Gap - Missing Art. 9 Basis", IF(OR(I5191="Invalid - Not Freely Given", I5191="Invalid - Not Specific", I5191="Invalid - Not Informed", I5191="Invalid - Ambiguous"), "Gap - Invalid Consent", "Compliant")))))</f>
        <v/>
      </c>
      <c r="O5191" s="7" t="n"/>
    </row>
    <row r="5192">
      <c r="A5192" s="7" t="n"/>
      <c r="B5192" s="7" t="n"/>
      <c r="C5192" s="7" t="n"/>
      <c r="D5192" s="7" t="n"/>
      <c r="E5192" s="7" t="n"/>
      <c r="F5192" s="7" t="n"/>
      <c r="G5192" s="7" t="n"/>
      <c r="H5192" s="7" t="n"/>
      <c r="I5192" s="7" t="n"/>
      <c r="J5192" s="7" t="n"/>
      <c r="K5192">
        <f>IF(D5192="Legitimate Interest (GDPR Art. 6(1)(f))", "Yes / Required (Sheet 3)", "")</f>
        <v/>
      </c>
      <c r="L5192" s="7" t="n"/>
      <c r="M5192" s="7" t="n"/>
      <c r="N5192">
        <f>IF(D5192="", "Gap - No Legal Basis", IF(AND(D5192="Consent (GDPR Art. 6(1)(a))", I5192="Not Captured"), "Gap - Invalid Consent", IF(AND(D5192="Legitimate Interest (GDPR Art. 6(1)(f))", L5192=""), "Gap - Missing LIA", IF(AND(G5192="Yes", H5192=""), "Gap - Missing Art. 9 Basis", IF(OR(I5192="Invalid - Not Freely Given", I5192="Invalid - Not Specific", I5192="Invalid - Not Informed", I5192="Invalid - Ambiguous"), "Gap - Invalid Consent", "Compliant")))))</f>
        <v/>
      </c>
      <c r="O5192" s="7" t="n"/>
    </row>
    <row r="5193">
      <c r="A5193" s="7" t="n"/>
      <c r="B5193" s="7" t="n"/>
      <c r="C5193" s="7" t="n"/>
      <c r="D5193" s="7" t="n"/>
      <c r="E5193" s="7" t="n"/>
      <c r="F5193" s="7" t="n"/>
      <c r="G5193" s="7" t="n"/>
      <c r="H5193" s="7" t="n"/>
      <c r="I5193" s="7" t="n"/>
      <c r="J5193" s="7" t="n"/>
      <c r="K5193">
        <f>IF(D5193="Legitimate Interest (GDPR Art. 6(1)(f))", "Yes / Required (Sheet 3)", "")</f>
        <v/>
      </c>
      <c r="L5193" s="7" t="n"/>
      <c r="M5193" s="7" t="n"/>
      <c r="N5193">
        <f>IF(D5193="", "Gap - No Legal Basis", IF(AND(D5193="Consent (GDPR Art. 6(1)(a))", I5193="Not Captured"), "Gap - Invalid Consent", IF(AND(D5193="Legitimate Interest (GDPR Art. 6(1)(f))", L5193=""), "Gap - Missing LIA", IF(AND(G5193="Yes", H5193=""), "Gap - Missing Art. 9 Basis", IF(OR(I5193="Invalid - Not Freely Given", I5193="Invalid - Not Specific", I5193="Invalid - Not Informed", I5193="Invalid - Ambiguous"), "Gap - Invalid Consent", "Compliant")))))</f>
        <v/>
      </c>
      <c r="O5193" s="7" t="n"/>
    </row>
    <row r="5194">
      <c r="A5194" s="7" t="n"/>
      <c r="B5194" s="7" t="n"/>
      <c r="C5194" s="7" t="n"/>
      <c r="D5194" s="7" t="n"/>
      <c r="E5194" s="7" t="n"/>
      <c r="F5194" s="7" t="n"/>
      <c r="G5194" s="7" t="n"/>
      <c r="H5194" s="7" t="n"/>
      <c r="I5194" s="7" t="n"/>
      <c r="J5194" s="7" t="n"/>
      <c r="K5194">
        <f>IF(D5194="Legitimate Interest (GDPR Art. 6(1)(f))", "Yes / Required (Sheet 3)", "")</f>
        <v/>
      </c>
      <c r="L5194" s="7" t="n"/>
      <c r="M5194" s="7" t="n"/>
      <c r="N5194">
        <f>IF(D5194="", "Gap - No Legal Basis", IF(AND(D5194="Consent (GDPR Art. 6(1)(a))", I5194="Not Captured"), "Gap - Invalid Consent", IF(AND(D5194="Legitimate Interest (GDPR Art. 6(1)(f))", L5194=""), "Gap - Missing LIA", IF(AND(G5194="Yes", H5194=""), "Gap - Missing Art. 9 Basis", IF(OR(I5194="Invalid - Not Freely Given", I5194="Invalid - Not Specific", I5194="Invalid - Not Informed", I5194="Invalid - Ambiguous"), "Gap - Invalid Consent", "Compliant")))))</f>
        <v/>
      </c>
      <c r="O5194" s="7" t="n"/>
    </row>
    <row r="5195">
      <c r="A5195" s="7" t="n"/>
      <c r="B5195" s="7" t="n"/>
      <c r="C5195" s="7" t="n"/>
      <c r="D5195" s="7" t="n"/>
      <c r="E5195" s="7" t="n"/>
      <c r="F5195" s="7" t="n"/>
      <c r="G5195" s="7" t="n"/>
      <c r="H5195" s="7" t="n"/>
      <c r="I5195" s="7" t="n"/>
      <c r="J5195" s="7" t="n"/>
      <c r="K5195">
        <f>IF(D5195="Legitimate Interest (GDPR Art. 6(1)(f))", "Yes / Required (Sheet 3)", "")</f>
        <v/>
      </c>
      <c r="L5195" s="7" t="n"/>
      <c r="M5195" s="7" t="n"/>
      <c r="N5195">
        <f>IF(D5195="", "Gap - No Legal Basis", IF(AND(D5195="Consent (GDPR Art. 6(1)(a))", I5195="Not Captured"), "Gap - Invalid Consent", IF(AND(D5195="Legitimate Interest (GDPR Art. 6(1)(f))", L5195=""), "Gap - Missing LIA", IF(AND(G5195="Yes", H5195=""), "Gap - Missing Art. 9 Basis", IF(OR(I5195="Invalid - Not Freely Given", I5195="Invalid - Not Specific", I5195="Invalid - Not Informed", I5195="Invalid - Ambiguous"), "Gap - Invalid Consent", "Compliant")))))</f>
        <v/>
      </c>
      <c r="O5195" s="7" t="n"/>
    </row>
    <row r="5196">
      <c r="A5196" s="7" t="n"/>
      <c r="B5196" s="7" t="n"/>
      <c r="C5196" s="7" t="n"/>
      <c r="D5196" s="7" t="n"/>
      <c r="E5196" s="7" t="n"/>
      <c r="F5196" s="7" t="n"/>
      <c r="G5196" s="7" t="n"/>
      <c r="H5196" s="7" t="n"/>
      <c r="I5196" s="7" t="n"/>
      <c r="J5196" s="7" t="n"/>
      <c r="K5196">
        <f>IF(D5196="Legitimate Interest (GDPR Art. 6(1)(f))", "Yes / Required (Sheet 3)", "")</f>
        <v/>
      </c>
      <c r="L5196" s="7" t="n"/>
      <c r="M5196" s="7" t="n"/>
      <c r="N5196">
        <f>IF(D5196="", "Gap - No Legal Basis", IF(AND(D5196="Consent (GDPR Art. 6(1)(a))", I5196="Not Captured"), "Gap - Invalid Consent", IF(AND(D5196="Legitimate Interest (GDPR Art. 6(1)(f))", L5196=""), "Gap - Missing LIA", IF(AND(G5196="Yes", H5196=""), "Gap - Missing Art. 9 Basis", IF(OR(I5196="Invalid - Not Freely Given", I5196="Invalid - Not Specific", I5196="Invalid - Not Informed", I5196="Invalid - Ambiguous"), "Gap - Invalid Consent", "Compliant")))))</f>
        <v/>
      </c>
      <c r="O5196" s="7" t="n"/>
    </row>
    <row r="5197">
      <c r="A5197" s="7" t="n"/>
      <c r="B5197" s="7" t="n"/>
      <c r="C5197" s="7" t="n"/>
      <c r="D5197" s="7" t="n"/>
      <c r="E5197" s="7" t="n"/>
      <c r="F5197" s="7" t="n"/>
      <c r="G5197" s="7" t="n"/>
      <c r="H5197" s="7" t="n"/>
      <c r="I5197" s="7" t="n"/>
      <c r="J5197" s="7" t="n"/>
      <c r="K5197">
        <f>IF(D5197="Legitimate Interest (GDPR Art. 6(1)(f))", "Yes / Required (Sheet 3)", "")</f>
        <v/>
      </c>
      <c r="L5197" s="7" t="n"/>
      <c r="M5197" s="7" t="n"/>
      <c r="N5197">
        <f>IF(D5197="", "Gap - No Legal Basis", IF(AND(D5197="Consent (GDPR Art. 6(1)(a))", I5197="Not Captured"), "Gap - Invalid Consent", IF(AND(D5197="Legitimate Interest (GDPR Art. 6(1)(f))", L5197=""), "Gap - Missing LIA", IF(AND(G5197="Yes", H5197=""), "Gap - Missing Art. 9 Basis", IF(OR(I5197="Invalid - Not Freely Given", I5197="Invalid - Not Specific", I5197="Invalid - Not Informed", I5197="Invalid - Ambiguous"), "Gap - Invalid Consent", "Compliant")))))</f>
        <v/>
      </c>
      <c r="O5197" s="7" t="n"/>
    </row>
    <row r="5198">
      <c r="A5198" s="7" t="n"/>
      <c r="B5198" s="7" t="n"/>
      <c r="C5198" s="7" t="n"/>
      <c r="D5198" s="7" t="n"/>
      <c r="E5198" s="7" t="n"/>
      <c r="F5198" s="7" t="n"/>
      <c r="G5198" s="7" t="n"/>
      <c r="H5198" s="7" t="n"/>
      <c r="I5198" s="7" t="n"/>
      <c r="J5198" s="7" t="n"/>
      <c r="K5198">
        <f>IF(D5198="Legitimate Interest (GDPR Art. 6(1)(f))", "Yes / Required (Sheet 3)", "")</f>
        <v/>
      </c>
      <c r="L5198" s="7" t="n"/>
      <c r="M5198" s="7" t="n"/>
      <c r="N5198">
        <f>IF(D5198="", "Gap - No Legal Basis", IF(AND(D5198="Consent (GDPR Art. 6(1)(a))", I5198="Not Captured"), "Gap - Invalid Consent", IF(AND(D5198="Legitimate Interest (GDPR Art. 6(1)(f))", L5198=""), "Gap - Missing LIA", IF(AND(G5198="Yes", H5198=""), "Gap - Missing Art. 9 Basis", IF(OR(I5198="Invalid - Not Freely Given", I5198="Invalid - Not Specific", I5198="Invalid - Not Informed", I5198="Invalid - Ambiguous"), "Gap - Invalid Consent", "Compliant")))))</f>
        <v/>
      </c>
      <c r="O5198" s="7" t="n"/>
    </row>
    <row r="5199">
      <c r="A5199" s="7" t="n"/>
      <c r="B5199" s="7" t="n"/>
      <c r="C5199" s="7" t="n"/>
      <c r="D5199" s="7" t="n"/>
      <c r="E5199" s="7" t="n"/>
      <c r="F5199" s="7" t="n"/>
      <c r="G5199" s="7" t="n"/>
      <c r="H5199" s="7" t="n"/>
      <c r="I5199" s="7" t="n"/>
      <c r="J5199" s="7" t="n"/>
      <c r="K5199">
        <f>IF(D5199="Legitimate Interest (GDPR Art. 6(1)(f))", "Yes / Required (Sheet 3)", "")</f>
        <v/>
      </c>
      <c r="L5199" s="7" t="n"/>
      <c r="M5199" s="7" t="n"/>
      <c r="N5199">
        <f>IF(D5199="", "Gap - No Legal Basis", IF(AND(D5199="Consent (GDPR Art. 6(1)(a))", I5199="Not Captured"), "Gap - Invalid Consent", IF(AND(D5199="Legitimate Interest (GDPR Art. 6(1)(f))", L5199=""), "Gap - Missing LIA", IF(AND(G5199="Yes", H5199=""), "Gap - Missing Art. 9 Basis", IF(OR(I5199="Invalid - Not Freely Given", I5199="Invalid - Not Specific", I5199="Invalid - Not Informed", I5199="Invalid - Ambiguous"), "Gap - Invalid Consent", "Compliant")))))</f>
        <v/>
      </c>
      <c r="O5199" s="7" t="n"/>
    </row>
    <row r="5200">
      <c r="A5200" s="7" t="n"/>
      <c r="B5200" s="7" t="n"/>
      <c r="C5200" s="7" t="n"/>
      <c r="D5200" s="7" t="n"/>
      <c r="E5200" s="7" t="n"/>
      <c r="F5200" s="7" t="n"/>
      <c r="G5200" s="7" t="n"/>
      <c r="H5200" s="7" t="n"/>
      <c r="I5200" s="7" t="n"/>
      <c r="J5200" s="7" t="n"/>
      <c r="K5200">
        <f>IF(D5200="Legitimate Interest (GDPR Art. 6(1)(f))", "Yes / Required (Sheet 3)", "")</f>
        <v/>
      </c>
      <c r="L5200" s="7" t="n"/>
      <c r="M5200" s="7" t="n"/>
      <c r="N5200">
        <f>IF(D5200="", "Gap - No Legal Basis", IF(AND(D5200="Consent (GDPR Art. 6(1)(a))", I5200="Not Captured"), "Gap - Invalid Consent", IF(AND(D5200="Legitimate Interest (GDPR Art. 6(1)(f))", L5200=""), "Gap - Missing LIA", IF(AND(G5200="Yes", H5200=""), "Gap - Missing Art. 9 Basis", IF(OR(I5200="Invalid - Not Freely Given", I5200="Invalid - Not Specific", I5200="Invalid - Not Informed", I5200="Invalid - Ambiguous"), "Gap - Invalid Consent", "Compliant")))))</f>
        <v/>
      </c>
      <c r="O5200" s="7" t="n"/>
    </row>
    <row r="5201">
      <c r="A5201" s="7" t="n"/>
      <c r="B5201" s="7" t="n"/>
      <c r="C5201" s="7" t="n"/>
      <c r="D5201" s="7" t="n"/>
      <c r="E5201" s="7" t="n"/>
      <c r="F5201" s="7" t="n"/>
      <c r="G5201" s="7" t="n"/>
      <c r="H5201" s="7" t="n"/>
      <c r="I5201" s="7" t="n"/>
      <c r="J5201" s="7" t="n"/>
      <c r="K5201">
        <f>IF(D5201="Legitimate Interest (GDPR Art. 6(1)(f))", "Yes / Required (Sheet 3)", "")</f>
        <v/>
      </c>
      <c r="L5201" s="7" t="n"/>
      <c r="M5201" s="7" t="n"/>
      <c r="N5201">
        <f>IF(D5201="", "Gap - No Legal Basis", IF(AND(D5201="Consent (GDPR Art. 6(1)(a))", I5201="Not Captured"), "Gap - Invalid Consent", IF(AND(D5201="Legitimate Interest (GDPR Art. 6(1)(f))", L5201=""), "Gap - Missing LIA", IF(AND(G5201="Yes", H5201=""), "Gap - Missing Art. 9 Basis", IF(OR(I5201="Invalid - Not Freely Given", I5201="Invalid - Not Specific", I5201="Invalid - Not Informed", I5201="Invalid - Ambiguous"), "Gap - Invalid Consent", "Compliant")))))</f>
        <v/>
      </c>
      <c r="O5201" s="7" t="n"/>
    </row>
    <row r="5202">
      <c r="A5202" s="7" t="n"/>
      <c r="B5202" s="7" t="n"/>
      <c r="C5202" s="7" t="n"/>
      <c r="D5202" s="7" t="n"/>
      <c r="E5202" s="7" t="n"/>
      <c r="F5202" s="7" t="n"/>
      <c r="G5202" s="7" t="n"/>
      <c r="H5202" s="7" t="n"/>
      <c r="I5202" s="7" t="n"/>
      <c r="J5202" s="7" t="n"/>
      <c r="K5202">
        <f>IF(D5202="Legitimate Interest (GDPR Art. 6(1)(f))", "Yes / Required (Sheet 3)", "")</f>
        <v/>
      </c>
      <c r="L5202" s="7" t="n"/>
      <c r="M5202" s="7" t="n"/>
      <c r="N5202">
        <f>IF(D5202="", "Gap - No Legal Basis", IF(AND(D5202="Consent (GDPR Art. 6(1)(a))", I5202="Not Captured"), "Gap - Invalid Consent", IF(AND(D5202="Legitimate Interest (GDPR Art. 6(1)(f))", L5202=""), "Gap - Missing LIA", IF(AND(G5202="Yes", H5202=""), "Gap - Missing Art. 9 Basis", IF(OR(I5202="Invalid - Not Freely Given", I5202="Invalid - Not Specific", I5202="Invalid - Not Informed", I5202="Invalid - Ambiguous"), "Gap - Invalid Consent", "Compliant")))))</f>
        <v/>
      </c>
      <c r="O5202" s="7" t="n"/>
    </row>
    <row r="5203">
      <c r="A5203" s="7" t="n"/>
      <c r="B5203" s="7" t="n"/>
      <c r="C5203" s="7" t="n"/>
      <c r="D5203" s="7" t="n"/>
      <c r="E5203" s="7" t="n"/>
      <c r="F5203" s="7" t="n"/>
      <c r="G5203" s="7" t="n"/>
      <c r="H5203" s="7" t="n"/>
      <c r="I5203" s="7" t="n"/>
      <c r="J5203" s="7" t="n"/>
      <c r="K5203">
        <f>IF(D5203="Legitimate Interest (GDPR Art. 6(1)(f))", "Yes / Required (Sheet 3)", "")</f>
        <v/>
      </c>
      <c r="L5203" s="7" t="n"/>
      <c r="M5203" s="7" t="n"/>
      <c r="N5203">
        <f>IF(D5203="", "Gap - No Legal Basis", IF(AND(D5203="Consent (GDPR Art. 6(1)(a))", I5203="Not Captured"), "Gap - Invalid Consent", IF(AND(D5203="Legitimate Interest (GDPR Art. 6(1)(f))", L5203=""), "Gap - Missing LIA", IF(AND(G5203="Yes", H5203=""), "Gap - Missing Art. 9 Basis", IF(OR(I5203="Invalid - Not Freely Given", I5203="Invalid - Not Specific", I5203="Invalid - Not Informed", I5203="Invalid - Ambiguous"), "Gap - Invalid Consent", "Compliant")))))</f>
        <v/>
      </c>
      <c r="O5203" s="7" t="n"/>
    </row>
    <row r="5204">
      <c r="A5204" s="7" t="n"/>
      <c r="B5204" s="7" t="n"/>
      <c r="C5204" s="7" t="n"/>
      <c r="D5204" s="7" t="n"/>
      <c r="E5204" s="7" t="n"/>
      <c r="F5204" s="7" t="n"/>
      <c r="G5204" s="7" t="n"/>
      <c r="H5204" s="7" t="n"/>
      <c r="I5204" s="7" t="n"/>
      <c r="J5204" s="7" t="n"/>
      <c r="K5204">
        <f>IF(D5204="Legitimate Interest (GDPR Art. 6(1)(f))", "Yes / Required (Sheet 3)", "")</f>
        <v/>
      </c>
      <c r="L5204" s="7" t="n"/>
      <c r="M5204" s="7" t="n"/>
      <c r="N5204">
        <f>IF(D5204="", "Gap - No Legal Basis", IF(AND(D5204="Consent (GDPR Art. 6(1)(a))", I5204="Not Captured"), "Gap - Invalid Consent", IF(AND(D5204="Legitimate Interest (GDPR Art. 6(1)(f))", L5204=""), "Gap - Missing LIA", IF(AND(G5204="Yes", H5204=""), "Gap - Missing Art. 9 Basis", IF(OR(I5204="Invalid - Not Freely Given", I5204="Invalid - Not Specific", I5204="Invalid - Not Informed", I5204="Invalid - Ambiguous"), "Gap - Invalid Consent", "Compliant")))))</f>
        <v/>
      </c>
      <c r="O5204" s="7" t="n"/>
    </row>
    <row r="5205">
      <c r="A5205" s="7" t="n"/>
      <c r="B5205" s="7" t="n"/>
      <c r="C5205" s="7" t="n"/>
      <c r="D5205" s="7" t="n"/>
      <c r="E5205" s="7" t="n"/>
      <c r="F5205" s="7" t="n"/>
      <c r="G5205" s="7" t="n"/>
      <c r="H5205" s="7" t="n"/>
      <c r="I5205" s="7" t="n"/>
      <c r="J5205" s="7" t="n"/>
      <c r="K5205">
        <f>IF(D5205="Legitimate Interest (GDPR Art. 6(1)(f))", "Yes / Required (Sheet 3)", "")</f>
        <v/>
      </c>
      <c r="L5205" s="7" t="n"/>
      <c r="M5205" s="7" t="n"/>
      <c r="N5205">
        <f>IF(D5205="", "Gap - No Legal Basis", IF(AND(D5205="Consent (GDPR Art. 6(1)(a))", I5205="Not Captured"), "Gap - Invalid Consent", IF(AND(D5205="Legitimate Interest (GDPR Art. 6(1)(f))", L5205=""), "Gap - Missing LIA", IF(AND(G5205="Yes", H5205=""), "Gap - Missing Art. 9 Basis", IF(OR(I5205="Invalid - Not Freely Given", I5205="Invalid - Not Specific", I5205="Invalid - Not Informed", I5205="Invalid - Ambiguous"), "Gap - Invalid Consent", "Compliant")))))</f>
        <v/>
      </c>
      <c r="O5205" s="7" t="n"/>
    </row>
    <row r="5206">
      <c r="A5206" s="7" t="n"/>
      <c r="B5206" s="7" t="n"/>
      <c r="C5206" s="7" t="n"/>
      <c r="D5206" s="7" t="n"/>
      <c r="E5206" s="7" t="n"/>
      <c r="F5206" s="7" t="n"/>
      <c r="G5206" s="7" t="n"/>
      <c r="H5206" s="7" t="n"/>
      <c r="I5206" s="7" t="n"/>
      <c r="J5206" s="7" t="n"/>
      <c r="K5206">
        <f>IF(D5206="Legitimate Interest (GDPR Art. 6(1)(f))", "Yes / Required (Sheet 3)", "")</f>
        <v/>
      </c>
      <c r="L5206" s="7" t="n"/>
      <c r="M5206" s="7" t="n"/>
      <c r="N5206">
        <f>IF(D5206="", "Gap - No Legal Basis", IF(AND(D5206="Consent (GDPR Art. 6(1)(a))", I5206="Not Captured"), "Gap - Invalid Consent", IF(AND(D5206="Legitimate Interest (GDPR Art. 6(1)(f))", L5206=""), "Gap - Missing LIA", IF(AND(G5206="Yes", H5206=""), "Gap - Missing Art. 9 Basis", IF(OR(I5206="Invalid - Not Freely Given", I5206="Invalid - Not Specific", I5206="Invalid - Not Informed", I5206="Invalid - Ambiguous"), "Gap - Invalid Consent", "Compliant")))))</f>
        <v/>
      </c>
      <c r="O5206" s="7" t="n"/>
    </row>
    <row r="5207">
      <c r="A5207" s="7" t="n"/>
      <c r="B5207" s="7" t="n"/>
      <c r="C5207" s="7" t="n"/>
      <c r="D5207" s="7" t="n"/>
      <c r="E5207" s="7" t="n"/>
      <c r="F5207" s="7" t="n"/>
      <c r="G5207" s="7" t="n"/>
      <c r="H5207" s="7" t="n"/>
      <c r="I5207" s="7" t="n"/>
      <c r="J5207" s="7" t="n"/>
      <c r="K5207">
        <f>IF(D5207="Legitimate Interest (GDPR Art. 6(1)(f))", "Yes / Required (Sheet 3)", "")</f>
        <v/>
      </c>
      <c r="L5207" s="7" t="n"/>
      <c r="M5207" s="7" t="n"/>
      <c r="N5207">
        <f>IF(D5207="", "Gap - No Legal Basis", IF(AND(D5207="Consent (GDPR Art. 6(1)(a))", I5207="Not Captured"), "Gap - Invalid Consent", IF(AND(D5207="Legitimate Interest (GDPR Art. 6(1)(f))", L5207=""), "Gap - Missing LIA", IF(AND(G5207="Yes", H5207=""), "Gap - Missing Art. 9 Basis", IF(OR(I5207="Invalid - Not Freely Given", I5207="Invalid - Not Specific", I5207="Invalid - Not Informed", I5207="Invalid - Ambiguous"), "Gap - Invalid Consent", "Compliant")))))</f>
        <v/>
      </c>
      <c r="O5207" s="7" t="n"/>
    </row>
    <row r="5208">
      <c r="A5208" s="7" t="n"/>
      <c r="B5208" s="7" t="n"/>
      <c r="C5208" s="7" t="n"/>
      <c r="D5208" s="7" t="n"/>
      <c r="E5208" s="7" t="n"/>
      <c r="F5208" s="7" t="n"/>
      <c r="G5208" s="7" t="n"/>
      <c r="H5208" s="7" t="n"/>
      <c r="I5208" s="7" t="n"/>
      <c r="J5208" s="7" t="n"/>
      <c r="K5208">
        <f>IF(D5208="Legitimate Interest (GDPR Art. 6(1)(f))", "Yes / Required (Sheet 3)", "")</f>
        <v/>
      </c>
      <c r="L5208" s="7" t="n"/>
      <c r="M5208" s="7" t="n"/>
      <c r="N5208">
        <f>IF(D5208="", "Gap - No Legal Basis", IF(AND(D5208="Consent (GDPR Art. 6(1)(a))", I5208="Not Captured"), "Gap - Invalid Consent", IF(AND(D5208="Legitimate Interest (GDPR Art. 6(1)(f))", L5208=""), "Gap - Missing LIA", IF(AND(G5208="Yes", H5208=""), "Gap - Missing Art. 9 Basis", IF(OR(I5208="Invalid - Not Freely Given", I5208="Invalid - Not Specific", I5208="Invalid - Not Informed", I5208="Invalid - Ambiguous"), "Gap - Invalid Consent", "Compliant")))))</f>
        <v/>
      </c>
      <c r="O5208" s="7" t="n"/>
    </row>
    <row r="5209">
      <c r="A5209" s="7" t="n"/>
      <c r="B5209" s="7" t="n"/>
      <c r="C5209" s="7" t="n"/>
      <c r="D5209" s="7" t="n"/>
      <c r="E5209" s="7" t="n"/>
      <c r="F5209" s="7" t="n"/>
      <c r="G5209" s="7" t="n"/>
      <c r="H5209" s="7" t="n"/>
      <c r="I5209" s="7" t="n"/>
      <c r="J5209" s="7" t="n"/>
      <c r="K5209">
        <f>IF(D5209="Legitimate Interest (GDPR Art. 6(1)(f))", "Yes / Required (Sheet 3)", "")</f>
        <v/>
      </c>
      <c r="L5209" s="7" t="n"/>
      <c r="M5209" s="7" t="n"/>
      <c r="N5209">
        <f>IF(D5209="", "Gap - No Legal Basis", IF(AND(D5209="Consent (GDPR Art. 6(1)(a))", I5209="Not Captured"), "Gap - Invalid Consent", IF(AND(D5209="Legitimate Interest (GDPR Art. 6(1)(f))", L5209=""), "Gap - Missing LIA", IF(AND(G5209="Yes", H5209=""), "Gap - Missing Art. 9 Basis", IF(OR(I5209="Invalid - Not Freely Given", I5209="Invalid - Not Specific", I5209="Invalid - Not Informed", I5209="Invalid - Ambiguous"), "Gap - Invalid Consent", "Compliant")))))</f>
        <v/>
      </c>
      <c r="O5209" s="7" t="n"/>
    </row>
    <row r="5210">
      <c r="A5210" s="7" t="n"/>
      <c r="B5210" s="7" t="n"/>
      <c r="C5210" s="7" t="n"/>
      <c r="D5210" s="7" t="n"/>
      <c r="E5210" s="7" t="n"/>
      <c r="F5210" s="7" t="n"/>
      <c r="G5210" s="7" t="n"/>
      <c r="H5210" s="7" t="n"/>
      <c r="I5210" s="7" t="n"/>
      <c r="J5210" s="7" t="n"/>
      <c r="K5210">
        <f>IF(D5210="Legitimate Interest (GDPR Art. 6(1)(f))", "Yes / Required (Sheet 3)", "")</f>
        <v/>
      </c>
      <c r="L5210" s="7" t="n"/>
      <c r="M5210" s="7" t="n"/>
      <c r="N5210">
        <f>IF(D5210="", "Gap - No Legal Basis", IF(AND(D5210="Consent (GDPR Art. 6(1)(a))", I5210="Not Captured"), "Gap - Invalid Consent", IF(AND(D5210="Legitimate Interest (GDPR Art. 6(1)(f))", L5210=""), "Gap - Missing LIA", IF(AND(G5210="Yes", H5210=""), "Gap - Missing Art. 9 Basis", IF(OR(I5210="Invalid - Not Freely Given", I5210="Invalid - Not Specific", I5210="Invalid - Not Informed", I5210="Invalid - Ambiguous"), "Gap - Invalid Consent", "Compliant")))))</f>
        <v/>
      </c>
      <c r="O5210" s="7" t="n"/>
    </row>
    <row r="5211">
      <c r="A5211" s="7" t="n"/>
      <c r="B5211" s="7" t="n"/>
      <c r="C5211" s="7" t="n"/>
      <c r="D5211" s="7" t="n"/>
      <c r="E5211" s="7" t="n"/>
      <c r="F5211" s="7" t="n"/>
      <c r="G5211" s="7" t="n"/>
      <c r="H5211" s="7" t="n"/>
      <c r="I5211" s="7" t="n"/>
      <c r="J5211" s="7" t="n"/>
      <c r="K5211">
        <f>IF(D5211="Legitimate Interest (GDPR Art. 6(1)(f))", "Yes / Required (Sheet 3)", "")</f>
        <v/>
      </c>
      <c r="L5211" s="7" t="n"/>
      <c r="M5211" s="7" t="n"/>
      <c r="N5211">
        <f>IF(D5211="", "Gap - No Legal Basis", IF(AND(D5211="Consent (GDPR Art. 6(1)(a))", I5211="Not Captured"), "Gap - Invalid Consent", IF(AND(D5211="Legitimate Interest (GDPR Art. 6(1)(f))", L5211=""), "Gap - Missing LIA", IF(AND(G5211="Yes", H5211=""), "Gap - Missing Art. 9 Basis", IF(OR(I5211="Invalid - Not Freely Given", I5211="Invalid - Not Specific", I5211="Invalid - Not Informed", I5211="Invalid - Ambiguous"), "Gap - Invalid Consent", "Compliant")))))</f>
        <v/>
      </c>
      <c r="O5211" s="7" t="n"/>
    </row>
    <row r="5212">
      <c r="A5212" s="7" t="n"/>
      <c r="B5212" s="7" t="n"/>
      <c r="C5212" s="7" t="n"/>
      <c r="D5212" s="7" t="n"/>
      <c r="E5212" s="7" t="n"/>
      <c r="F5212" s="7" t="n"/>
      <c r="G5212" s="7" t="n"/>
      <c r="H5212" s="7" t="n"/>
      <c r="I5212" s="7" t="n"/>
      <c r="J5212" s="7" t="n"/>
      <c r="K5212">
        <f>IF(D5212="Legitimate Interest (GDPR Art. 6(1)(f))", "Yes / Required (Sheet 3)", "")</f>
        <v/>
      </c>
      <c r="L5212" s="7" t="n"/>
      <c r="M5212" s="7" t="n"/>
      <c r="N5212">
        <f>IF(D5212="", "Gap - No Legal Basis", IF(AND(D5212="Consent (GDPR Art. 6(1)(a))", I5212="Not Captured"), "Gap - Invalid Consent", IF(AND(D5212="Legitimate Interest (GDPR Art. 6(1)(f))", L5212=""), "Gap - Missing LIA", IF(AND(G5212="Yes", H5212=""), "Gap - Missing Art. 9 Basis", IF(OR(I5212="Invalid - Not Freely Given", I5212="Invalid - Not Specific", I5212="Invalid - Not Informed", I5212="Invalid - Ambiguous"), "Gap - Invalid Consent", "Compliant")))))</f>
        <v/>
      </c>
      <c r="O5212" s="7" t="n"/>
    </row>
    <row r="5213">
      <c r="A5213" s="7" t="n"/>
      <c r="B5213" s="7" t="n"/>
      <c r="C5213" s="7" t="n"/>
      <c r="D5213" s="7" t="n"/>
      <c r="E5213" s="7" t="n"/>
      <c r="F5213" s="7" t="n"/>
      <c r="G5213" s="7" t="n"/>
      <c r="H5213" s="7" t="n"/>
      <c r="I5213" s="7" t="n"/>
      <c r="J5213" s="7" t="n"/>
      <c r="K5213">
        <f>IF(D5213="Legitimate Interest (GDPR Art. 6(1)(f))", "Yes / Required (Sheet 3)", "")</f>
        <v/>
      </c>
      <c r="L5213" s="7" t="n"/>
      <c r="M5213" s="7" t="n"/>
      <c r="N5213">
        <f>IF(D5213="", "Gap - No Legal Basis", IF(AND(D5213="Consent (GDPR Art. 6(1)(a))", I5213="Not Captured"), "Gap - Invalid Consent", IF(AND(D5213="Legitimate Interest (GDPR Art. 6(1)(f))", L5213=""), "Gap - Missing LIA", IF(AND(G5213="Yes", H5213=""), "Gap - Missing Art. 9 Basis", IF(OR(I5213="Invalid - Not Freely Given", I5213="Invalid - Not Specific", I5213="Invalid - Not Informed", I5213="Invalid - Ambiguous"), "Gap - Invalid Consent", "Compliant")))))</f>
        <v/>
      </c>
      <c r="O5213" s="7" t="n"/>
    </row>
    <row r="5214">
      <c r="A5214" s="7" t="n"/>
      <c r="B5214" s="7" t="n"/>
      <c r="C5214" s="7" t="n"/>
      <c r="D5214" s="7" t="n"/>
      <c r="E5214" s="7" t="n"/>
      <c r="F5214" s="7" t="n"/>
      <c r="G5214" s="7" t="n"/>
      <c r="H5214" s="7" t="n"/>
      <c r="I5214" s="7" t="n"/>
      <c r="J5214" s="7" t="n"/>
      <c r="K5214">
        <f>IF(D5214="Legitimate Interest (GDPR Art. 6(1)(f))", "Yes / Required (Sheet 3)", "")</f>
        <v/>
      </c>
      <c r="L5214" s="7" t="n"/>
      <c r="M5214" s="7" t="n"/>
      <c r="N5214">
        <f>IF(D5214="", "Gap - No Legal Basis", IF(AND(D5214="Consent (GDPR Art. 6(1)(a))", I5214="Not Captured"), "Gap - Invalid Consent", IF(AND(D5214="Legitimate Interest (GDPR Art. 6(1)(f))", L5214=""), "Gap - Missing LIA", IF(AND(G5214="Yes", H5214=""), "Gap - Missing Art. 9 Basis", IF(OR(I5214="Invalid - Not Freely Given", I5214="Invalid - Not Specific", I5214="Invalid - Not Informed", I5214="Invalid - Ambiguous"), "Gap - Invalid Consent", "Compliant")))))</f>
        <v/>
      </c>
      <c r="O5214" s="7" t="n"/>
    </row>
    <row r="5215">
      <c r="A5215" s="7" t="n"/>
      <c r="B5215" s="7" t="n"/>
      <c r="C5215" s="7" t="n"/>
      <c r="D5215" s="7" t="n"/>
      <c r="E5215" s="7" t="n"/>
      <c r="F5215" s="7" t="n"/>
      <c r="G5215" s="7" t="n"/>
      <c r="H5215" s="7" t="n"/>
      <c r="I5215" s="7" t="n"/>
      <c r="J5215" s="7" t="n"/>
      <c r="K5215">
        <f>IF(D5215="Legitimate Interest (GDPR Art. 6(1)(f))", "Yes / Required (Sheet 3)", "")</f>
        <v/>
      </c>
      <c r="L5215" s="7" t="n"/>
      <c r="M5215" s="7" t="n"/>
      <c r="N5215">
        <f>IF(D5215="", "Gap - No Legal Basis", IF(AND(D5215="Consent (GDPR Art. 6(1)(a))", I5215="Not Captured"), "Gap - Invalid Consent", IF(AND(D5215="Legitimate Interest (GDPR Art. 6(1)(f))", L5215=""), "Gap - Missing LIA", IF(AND(G5215="Yes", H5215=""), "Gap - Missing Art. 9 Basis", IF(OR(I5215="Invalid - Not Freely Given", I5215="Invalid - Not Specific", I5215="Invalid - Not Informed", I5215="Invalid - Ambiguous"), "Gap - Invalid Consent", "Compliant")))))</f>
        <v/>
      </c>
      <c r="O5215" s="7" t="n"/>
    </row>
    <row r="5216">
      <c r="A5216" s="7" t="n"/>
      <c r="B5216" s="7" t="n"/>
      <c r="C5216" s="7" t="n"/>
      <c r="D5216" s="7" t="n"/>
      <c r="E5216" s="7" t="n"/>
      <c r="F5216" s="7" t="n"/>
      <c r="G5216" s="7" t="n"/>
      <c r="H5216" s="7" t="n"/>
      <c r="I5216" s="7" t="n"/>
      <c r="J5216" s="7" t="n"/>
      <c r="K5216">
        <f>IF(D5216="Legitimate Interest (GDPR Art. 6(1)(f))", "Yes / Required (Sheet 3)", "")</f>
        <v/>
      </c>
      <c r="L5216" s="7" t="n"/>
      <c r="M5216" s="7" t="n"/>
      <c r="N5216">
        <f>IF(D5216="", "Gap - No Legal Basis", IF(AND(D5216="Consent (GDPR Art. 6(1)(a))", I5216="Not Captured"), "Gap - Invalid Consent", IF(AND(D5216="Legitimate Interest (GDPR Art. 6(1)(f))", L5216=""), "Gap - Missing LIA", IF(AND(G5216="Yes", H5216=""), "Gap - Missing Art. 9 Basis", IF(OR(I5216="Invalid - Not Freely Given", I5216="Invalid - Not Specific", I5216="Invalid - Not Informed", I5216="Invalid - Ambiguous"), "Gap - Invalid Consent", "Compliant")))))</f>
        <v/>
      </c>
      <c r="O5216" s="7" t="n"/>
    </row>
    <row r="5217">
      <c r="A5217" s="7" t="n"/>
      <c r="B5217" s="7" t="n"/>
      <c r="C5217" s="7" t="n"/>
      <c r="D5217" s="7" t="n"/>
      <c r="E5217" s="7" t="n"/>
      <c r="F5217" s="7" t="n"/>
      <c r="G5217" s="7" t="n"/>
      <c r="H5217" s="7" t="n"/>
      <c r="I5217" s="7" t="n"/>
      <c r="J5217" s="7" t="n"/>
      <c r="K5217">
        <f>IF(D5217="Legitimate Interest (GDPR Art. 6(1)(f))", "Yes / Required (Sheet 3)", "")</f>
        <v/>
      </c>
      <c r="L5217" s="7" t="n"/>
      <c r="M5217" s="7" t="n"/>
      <c r="N5217">
        <f>IF(D5217="", "Gap - No Legal Basis", IF(AND(D5217="Consent (GDPR Art. 6(1)(a))", I5217="Not Captured"), "Gap - Invalid Consent", IF(AND(D5217="Legitimate Interest (GDPR Art. 6(1)(f))", L5217=""), "Gap - Missing LIA", IF(AND(G5217="Yes", H5217=""), "Gap - Missing Art. 9 Basis", IF(OR(I5217="Invalid - Not Freely Given", I5217="Invalid - Not Specific", I5217="Invalid - Not Informed", I5217="Invalid - Ambiguous"), "Gap - Invalid Consent", "Compliant")))))</f>
        <v/>
      </c>
      <c r="O5217" s="7" t="n"/>
    </row>
    <row r="5218">
      <c r="A5218" s="7" t="n"/>
      <c r="B5218" s="7" t="n"/>
      <c r="C5218" s="7" t="n"/>
      <c r="D5218" s="7" t="n"/>
      <c r="E5218" s="7" t="n"/>
      <c r="F5218" s="7" t="n"/>
      <c r="G5218" s="7" t="n"/>
      <c r="H5218" s="7" t="n"/>
      <c r="I5218" s="7" t="n"/>
      <c r="J5218" s="7" t="n"/>
      <c r="K5218">
        <f>IF(D5218="Legitimate Interest (GDPR Art. 6(1)(f))", "Yes / Required (Sheet 3)", "")</f>
        <v/>
      </c>
      <c r="L5218" s="7" t="n"/>
      <c r="M5218" s="7" t="n"/>
      <c r="N5218">
        <f>IF(D5218="", "Gap - No Legal Basis", IF(AND(D5218="Consent (GDPR Art. 6(1)(a))", I5218="Not Captured"), "Gap - Invalid Consent", IF(AND(D5218="Legitimate Interest (GDPR Art. 6(1)(f))", L5218=""), "Gap - Missing LIA", IF(AND(G5218="Yes", H5218=""), "Gap - Missing Art. 9 Basis", IF(OR(I5218="Invalid - Not Freely Given", I5218="Invalid - Not Specific", I5218="Invalid - Not Informed", I5218="Invalid - Ambiguous"), "Gap - Invalid Consent", "Compliant")))))</f>
        <v/>
      </c>
      <c r="O5218" s="7" t="n"/>
    </row>
    <row r="5219">
      <c r="A5219" s="7" t="n"/>
      <c r="B5219" s="7" t="n"/>
      <c r="C5219" s="7" t="n"/>
      <c r="D5219" s="7" t="n"/>
      <c r="E5219" s="7" t="n"/>
      <c r="F5219" s="7" t="n"/>
      <c r="G5219" s="7" t="n"/>
      <c r="H5219" s="7" t="n"/>
      <c r="I5219" s="7" t="n"/>
      <c r="J5219" s="7" t="n"/>
      <c r="K5219">
        <f>IF(D5219="Legitimate Interest (GDPR Art. 6(1)(f))", "Yes / Required (Sheet 3)", "")</f>
        <v/>
      </c>
      <c r="L5219" s="7" t="n"/>
      <c r="M5219" s="7" t="n"/>
      <c r="N5219">
        <f>IF(D5219="", "Gap - No Legal Basis", IF(AND(D5219="Consent (GDPR Art. 6(1)(a))", I5219="Not Captured"), "Gap - Invalid Consent", IF(AND(D5219="Legitimate Interest (GDPR Art. 6(1)(f))", L5219=""), "Gap - Missing LIA", IF(AND(G5219="Yes", H5219=""), "Gap - Missing Art. 9 Basis", IF(OR(I5219="Invalid - Not Freely Given", I5219="Invalid - Not Specific", I5219="Invalid - Not Informed", I5219="Invalid - Ambiguous"), "Gap - Invalid Consent", "Compliant")))))</f>
        <v/>
      </c>
      <c r="O5219" s="7" t="n"/>
    </row>
    <row r="5220">
      <c r="A5220" s="7" t="n"/>
      <c r="B5220" s="7" t="n"/>
      <c r="C5220" s="7" t="n"/>
      <c r="D5220" s="7" t="n"/>
      <c r="E5220" s="7" t="n"/>
      <c r="F5220" s="7" t="n"/>
      <c r="G5220" s="7" t="n"/>
      <c r="H5220" s="7" t="n"/>
      <c r="I5220" s="7" t="n"/>
      <c r="J5220" s="7" t="n"/>
      <c r="K5220">
        <f>IF(D5220="Legitimate Interest (GDPR Art. 6(1)(f))", "Yes / Required (Sheet 3)", "")</f>
        <v/>
      </c>
      <c r="L5220" s="7" t="n"/>
      <c r="M5220" s="7" t="n"/>
      <c r="N5220">
        <f>IF(D5220="", "Gap - No Legal Basis", IF(AND(D5220="Consent (GDPR Art. 6(1)(a))", I5220="Not Captured"), "Gap - Invalid Consent", IF(AND(D5220="Legitimate Interest (GDPR Art. 6(1)(f))", L5220=""), "Gap - Missing LIA", IF(AND(G5220="Yes", H5220=""), "Gap - Missing Art. 9 Basis", IF(OR(I5220="Invalid - Not Freely Given", I5220="Invalid - Not Specific", I5220="Invalid - Not Informed", I5220="Invalid - Ambiguous"), "Gap - Invalid Consent", "Compliant")))))</f>
        <v/>
      </c>
      <c r="O5220" s="7" t="n"/>
    </row>
    <row r="5221">
      <c r="A5221" s="7" t="n"/>
      <c r="B5221" s="7" t="n"/>
      <c r="C5221" s="7" t="n"/>
      <c r="D5221" s="7" t="n"/>
      <c r="E5221" s="7" t="n"/>
      <c r="F5221" s="7" t="n"/>
      <c r="G5221" s="7" t="n"/>
      <c r="H5221" s="7" t="n"/>
      <c r="I5221" s="7" t="n"/>
      <c r="J5221" s="7" t="n"/>
      <c r="K5221">
        <f>IF(D5221="Legitimate Interest (GDPR Art. 6(1)(f))", "Yes / Required (Sheet 3)", "")</f>
        <v/>
      </c>
      <c r="L5221" s="7" t="n"/>
      <c r="M5221" s="7" t="n"/>
      <c r="N5221">
        <f>IF(D5221="", "Gap - No Legal Basis", IF(AND(D5221="Consent (GDPR Art. 6(1)(a))", I5221="Not Captured"), "Gap - Invalid Consent", IF(AND(D5221="Legitimate Interest (GDPR Art. 6(1)(f))", L5221=""), "Gap - Missing LIA", IF(AND(G5221="Yes", H5221=""), "Gap - Missing Art. 9 Basis", IF(OR(I5221="Invalid - Not Freely Given", I5221="Invalid - Not Specific", I5221="Invalid - Not Informed", I5221="Invalid - Ambiguous"), "Gap - Invalid Consent", "Compliant")))))</f>
        <v/>
      </c>
      <c r="O5221" s="7" t="n"/>
    </row>
    <row r="5222">
      <c r="A5222" s="7" t="n"/>
      <c r="B5222" s="7" t="n"/>
      <c r="C5222" s="7" t="n"/>
      <c r="D5222" s="7" t="n"/>
      <c r="E5222" s="7" t="n"/>
      <c r="F5222" s="7" t="n"/>
      <c r="G5222" s="7" t="n"/>
      <c r="H5222" s="7" t="n"/>
      <c r="I5222" s="7" t="n"/>
      <c r="J5222" s="7" t="n"/>
      <c r="K5222">
        <f>IF(D5222="Legitimate Interest (GDPR Art. 6(1)(f))", "Yes / Required (Sheet 3)", "")</f>
        <v/>
      </c>
      <c r="L5222" s="7" t="n"/>
      <c r="M5222" s="7" t="n"/>
      <c r="N5222">
        <f>IF(D5222="", "Gap - No Legal Basis", IF(AND(D5222="Consent (GDPR Art. 6(1)(a))", I5222="Not Captured"), "Gap - Invalid Consent", IF(AND(D5222="Legitimate Interest (GDPR Art. 6(1)(f))", L5222=""), "Gap - Missing LIA", IF(AND(G5222="Yes", H5222=""), "Gap - Missing Art. 9 Basis", IF(OR(I5222="Invalid - Not Freely Given", I5222="Invalid - Not Specific", I5222="Invalid - Not Informed", I5222="Invalid - Ambiguous"), "Gap - Invalid Consent", "Compliant")))))</f>
        <v/>
      </c>
      <c r="O5222" s="7" t="n"/>
    </row>
    <row r="5223">
      <c r="A5223" s="7" t="n"/>
      <c r="B5223" s="7" t="n"/>
      <c r="C5223" s="7" t="n"/>
      <c r="D5223" s="7" t="n"/>
      <c r="E5223" s="7" t="n"/>
      <c r="F5223" s="7" t="n"/>
      <c r="G5223" s="7" t="n"/>
      <c r="H5223" s="7" t="n"/>
      <c r="I5223" s="7" t="n"/>
      <c r="J5223" s="7" t="n"/>
      <c r="K5223">
        <f>IF(D5223="Legitimate Interest (GDPR Art. 6(1)(f))", "Yes / Required (Sheet 3)", "")</f>
        <v/>
      </c>
      <c r="L5223" s="7" t="n"/>
      <c r="M5223" s="7" t="n"/>
      <c r="N5223">
        <f>IF(D5223="", "Gap - No Legal Basis", IF(AND(D5223="Consent (GDPR Art. 6(1)(a))", I5223="Not Captured"), "Gap - Invalid Consent", IF(AND(D5223="Legitimate Interest (GDPR Art. 6(1)(f))", L5223=""), "Gap - Missing LIA", IF(AND(G5223="Yes", H5223=""), "Gap - Missing Art. 9 Basis", IF(OR(I5223="Invalid - Not Freely Given", I5223="Invalid - Not Specific", I5223="Invalid - Not Informed", I5223="Invalid - Ambiguous"), "Gap - Invalid Consent", "Compliant")))))</f>
        <v/>
      </c>
      <c r="O5223" s="7" t="n"/>
    </row>
    <row r="5224">
      <c r="A5224" s="7" t="n"/>
      <c r="B5224" s="7" t="n"/>
      <c r="C5224" s="7" t="n"/>
      <c r="D5224" s="7" t="n"/>
      <c r="E5224" s="7" t="n"/>
      <c r="F5224" s="7" t="n"/>
      <c r="G5224" s="7" t="n"/>
      <c r="H5224" s="7" t="n"/>
      <c r="I5224" s="7" t="n"/>
      <c r="J5224" s="7" t="n"/>
      <c r="K5224">
        <f>IF(D5224="Legitimate Interest (GDPR Art. 6(1)(f))", "Yes / Required (Sheet 3)", "")</f>
        <v/>
      </c>
      <c r="L5224" s="7" t="n"/>
      <c r="M5224" s="7" t="n"/>
      <c r="N5224">
        <f>IF(D5224="", "Gap - No Legal Basis", IF(AND(D5224="Consent (GDPR Art. 6(1)(a))", I5224="Not Captured"), "Gap - Invalid Consent", IF(AND(D5224="Legitimate Interest (GDPR Art. 6(1)(f))", L5224=""), "Gap - Missing LIA", IF(AND(G5224="Yes", H5224=""), "Gap - Missing Art. 9 Basis", IF(OR(I5224="Invalid - Not Freely Given", I5224="Invalid - Not Specific", I5224="Invalid - Not Informed", I5224="Invalid - Ambiguous"), "Gap - Invalid Consent", "Compliant")))))</f>
        <v/>
      </c>
      <c r="O5224" s="7" t="n"/>
    </row>
    <row r="5225">
      <c r="A5225" s="7" t="n"/>
      <c r="B5225" s="7" t="n"/>
      <c r="C5225" s="7" t="n"/>
      <c r="D5225" s="7" t="n"/>
      <c r="E5225" s="7" t="n"/>
      <c r="F5225" s="7" t="n"/>
      <c r="G5225" s="7" t="n"/>
      <c r="H5225" s="7" t="n"/>
      <c r="I5225" s="7" t="n"/>
      <c r="J5225" s="7" t="n"/>
      <c r="K5225">
        <f>IF(D5225="Legitimate Interest (GDPR Art. 6(1)(f))", "Yes / Required (Sheet 3)", "")</f>
        <v/>
      </c>
      <c r="L5225" s="7" t="n"/>
      <c r="M5225" s="7" t="n"/>
      <c r="N5225">
        <f>IF(D5225="", "Gap - No Legal Basis", IF(AND(D5225="Consent (GDPR Art. 6(1)(a))", I5225="Not Captured"), "Gap - Invalid Consent", IF(AND(D5225="Legitimate Interest (GDPR Art. 6(1)(f))", L5225=""), "Gap - Missing LIA", IF(AND(G5225="Yes", H5225=""), "Gap - Missing Art. 9 Basis", IF(OR(I5225="Invalid - Not Freely Given", I5225="Invalid - Not Specific", I5225="Invalid - Not Informed", I5225="Invalid - Ambiguous"), "Gap - Invalid Consent", "Compliant")))))</f>
        <v/>
      </c>
      <c r="O5225" s="7" t="n"/>
    </row>
    <row r="5226">
      <c r="A5226" s="7" t="n"/>
      <c r="B5226" s="7" t="n"/>
      <c r="C5226" s="7" t="n"/>
      <c r="D5226" s="7" t="n"/>
      <c r="E5226" s="7" t="n"/>
      <c r="F5226" s="7" t="n"/>
      <c r="G5226" s="7" t="n"/>
      <c r="H5226" s="7" t="n"/>
      <c r="I5226" s="7" t="n"/>
      <c r="J5226" s="7" t="n"/>
      <c r="K5226">
        <f>IF(D5226="Legitimate Interest (GDPR Art. 6(1)(f))", "Yes / Required (Sheet 3)", "")</f>
        <v/>
      </c>
      <c r="L5226" s="7" t="n"/>
      <c r="M5226" s="7" t="n"/>
      <c r="N5226">
        <f>IF(D5226="", "Gap - No Legal Basis", IF(AND(D5226="Consent (GDPR Art. 6(1)(a))", I5226="Not Captured"), "Gap - Invalid Consent", IF(AND(D5226="Legitimate Interest (GDPR Art. 6(1)(f))", L5226=""), "Gap - Missing LIA", IF(AND(G5226="Yes", H5226=""), "Gap - Missing Art. 9 Basis", IF(OR(I5226="Invalid - Not Freely Given", I5226="Invalid - Not Specific", I5226="Invalid - Not Informed", I5226="Invalid - Ambiguous"), "Gap - Invalid Consent", "Compliant")))))</f>
        <v/>
      </c>
      <c r="O5226" s="7" t="n"/>
    </row>
    <row r="5227">
      <c r="A5227" s="7" t="n"/>
      <c r="B5227" s="7" t="n"/>
      <c r="C5227" s="7" t="n"/>
      <c r="D5227" s="7" t="n"/>
      <c r="E5227" s="7" t="n"/>
      <c r="F5227" s="7" t="n"/>
      <c r="G5227" s="7" t="n"/>
      <c r="H5227" s="7" t="n"/>
      <c r="I5227" s="7" t="n"/>
      <c r="J5227" s="7" t="n"/>
      <c r="K5227">
        <f>IF(D5227="Legitimate Interest (GDPR Art. 6(1)(f))", "Yes / Required (Sheet 3)", "")</f>
        <v/>
      </c>
      <c r="L5227" s="7" t="n"/>
      <c r="M5227" s="7" t="n"/>
      <c r="N5227">
        <f>IF(D5227="", "Gap - No Legal Basis", IF(AND(D5227="Consent (GDPR Art. 6(1)(a))", I5227="Not Captured"), "Gap - Invalid Consent", IF(AND(D5227="Legitimate Interest (GDPR Art. 6(1)(f))", L5227=""), "Gap - Missing LIA", IF(AND(G5227="Yes", H5227=""), "Gap - Missing Art. 9 Basis", IF(OR(I5227="Invalid - Not Freely Given", I5227="Invalid - Not Specific", I5227="Invalid - Not Informed", I5227="Invalid - Ambiguous"), "Gap - Invalid Consent", "Compliant")))))</f>
        <v/>
      </c>
      <c r="O5227" s="7" t="n"/>
    </row>
    <row r="5228">
      <c r="A5228" s="7" t="n"/>
      <c r="B5228" s="7" t="n"/>
      <c r="C5228" s="7" t="n"/>
      <c r="D5228" s="7" t="n"/>
      <c r="E5228" s="7" t="n"/>
      <c r="F5228" s="7" t="n"/>
      <c r="G5228" s="7" t="n"/>
      <c r="H5228" s="7" t="n"/>
      <c r="I5228" s="7" t="n"/>
      <c r="J5228" s="7" t="n"/>
      <c r="K5228">
        <f>IF(D5228="Legitimate Interest (GDPR Art. 6(1)(f))", "Yes / Required (Sheet 3)", "")</f>
        <v/>
      </c>
      <c r="L5228" s="7" t="n"/>
      <c r="M5228" s="7" t="n"/>
      <c r="N5228">
        <f>IF(D5228="", "Gap - No Legal Basis", IF(AND(D5228="Consent (GDPR Art. 6(1)(a))", I5228="Not Captured"), "Gap - Invalid Consent", IF(AND(D5228="Legitimate Interest (GDPR Art. 6(1)(f))", L5228=""), "Gap - Missing LIA", IF(AND(G5228="Yes", H5228=""), "Gap - Missing Art. 9 Basis", IF(OR(I5228="Invalid - Not Freely Given", I5228="Invalid - Not Specific", I5228="Invalid - Not Informed", I5228="Invalid - Ambiguous"), "Gap - Invalid Consent", "Compliant")))))</f>
        <v/>
      </c>
      <c r="O5228" s="7" t="n"/>
    </row>
    <row r="5229">
      <c r="A5229" s="7" t="n"/>
      <c r="B5229" s="7" t="n"/>
      <c r="C5229" s="7" t="n"/>
      <c r="D5229" s="7" t="n"/>
      <c r="E5229" s="7" t="n"/>
      <c r="F5229" s="7" t="n"/>
      <c r="G5229" s="7" t="n"/>
      <c r="H5229" s="7" t="n"/>
      <c r="I5229" s="7" t="n"/>
      <c r="J5229" s="7" t="n"/>
      <c r="K5229">
        <f>IF(D5229="Legitimate Interest (GDPR Art. 6(1)(f))", "Yes / Required (Sheet 3)", "")</f>
        <v/>
      </c>
      <c r="L5229" s="7" t="n"/>
      <c r="M5229" s="7" t="n"/>
      <c r="N5229">
        <f>IF(D5229="", "Gap - No Legal Basis", IF(AND(D5229="Consent (GDPR Art. 6(1)(a))", I5229="Not Captured"), "Gap - Invalid Consent", IF(AND(D5229="Legitimate Interest (GDPR Art. 6(1)(f))", L5229=""), "Gap - Missing LIA", IF(AND(G5229="Yes", H5229=""), "Gap - Missing Art. 9 Basis", IF(OR(I5229="Invalid - Not Freely Given", I5229="Invalid - Not Specific", I5229="Invalid - Not Informed", I5229="Invalid - Ambiguous"), "Gap - Invalid Consent", "Compliant")))))</f>
        <v/>
      </c>
      <c r="O5229" s="7" t="n"/>
    </row>
    <row r="5230">
      <c r="A5230" s="7" t="n"/>
      <c r="B5230" s="7" t="n"/>
      <c r="C5230" s="7" t="n"/>
      <c r="D5230" s="7" t="n"/>
      <c r="E5230" s="7" t="n"/>
      <c r="F5230" s="7" t="n"/>
      <c r="G5230" s="7" t="n"/>
      <c r="H5230" s="7" t="n"/>
      <c r="I5230" s="7" t="n"/>
      <c r="J5230" s="7" t="n"/>
      <c r="K5230">
        <f>IF(D5230="Legitimate Interest (GDPR Art. 6(1)(f))", "Yes / Required (Sheet 3)", "")</f>
        <v/>
      </c>
      <c r="L5230" s="7" t="n"/>
      <c r="M5230" s="7" t="n"/>
      <c r="N5230">
        <f>IF(D5230="", "Gap - No Legal Basis", IF(AND(D5230="Consent (GDPR Art. 6(1)(a))", I5230="Not Captured"), "Gap - Invalid Consent", IF(AND(D5230="Legitimate Interest (GDPR Art. 6(1)(f))", L5230=""), "Gap - Missing LIA", IF(AND(G5230="Yes", H5230=""), "Gap - Missing Art. 9 Basis", IF(OR(I5230="Invalid - Not Freely Given", I5230="Invalid - Not Specific", I5230="Invalid - Not Informed", I5230="Invalid - Ambiguous"), "Gap - Invalid Consent", "Compliant")))))</f>
        <v/>
      </c>
      <c r="O5230" s="7" t="n"/>
    </row>
    <row r="5231">
      <c r="A5231" s="7" t="n"/>
      <c r="B5231" s="7" t="n"/>
      <c r="C5231" s="7" t="n"/>
      <c r="D5231" s="7" t="n"/>
      <c r="E5231" s="7" t="n"/>
      <c r="F5231" s="7" t="n"/>
      <c r="G5231" s="7" t="n"/>
      <c r="H5231" s="7" t="n"/>
      <c r="I5231" s="7" t="n"/>
      <c r="J5231" s="7" t="n"/>
      <c r="K5231">
        <f>IF(D5231="Legitimate Interest (GDPR Art. 6(1)(f))", "Yes / Required (Sheet 3)", "")</f>
        <v/>
      </c>
      <c r="L5231" s="7" t="n"/>
      <c r="M5231" s="7" t="n"/>
      <c r="N5231">
        <f>IF(D5231="", "Gap - No Legal Basis", IF(AND(D5231="Consent (GDPR Art. 6(1)(a))", I5231="Not Captured"), "Gap - Invalid Consent", IF(AND(D5231="Legitimate Interest (GDPR Art. 6(1)(f))", L5231=""), "Gap - Missing LIA", IF(AND(G5231="Yes", H5231=""), "Gap - Missing Art. 9 Basis", IF(OR(I5231="Invalid - Not Freely Given", I5231="Invalid - Not Specific", I5231="Invalid - Not Informed", I5231="Invalid - Ambiguous"), "Gap - Invalid Consent", "Compliant")))))</f>
        <v/>
      </c>
      <c r="O5231" s="7" t="n"/>
    </row>
    <row r="5232">
      <c r="A5232" s="7" t="n"/>
      <c r="B5232" s="7" t="n"/>
      <c r="C5232" s="7" t="n"/>
      <c r="D5232" s="7" t="n"/>
      <c r="E5232" s="7" t="n"/>
      <c r="F5232" s="7" t="n"/>
      <c r="G5232" s="7" t="n"/>
      <c r="H5232" s="7" t="n"/>
      <c r="I5232" s="7" t="n"/>
      <c r="J5232" s="7" t="n"/>
      <c r="K5232">
        <f>IF(D5232="Legitimate Interest (GDPR Art. 6(1)(f))", "Yes / Required (Sheet 3)", "")</f>
        <v/>
      </c>
      <c r="L5232" s="7" t="n"/>
      <c r="M5232" s="7" t="n"/>
      <c r="N5232">
        <f>IF(D5232="", "Gap - No Legal Basis", IF(AND(D5232="Consent (GDPR Art. 6(1)(a))", I5232="Not Captured"), "Gap - Invalid Consent", IF(AND(D5232="Legitimate Interest (GDPR Art. 6(1)(f))", L5232=""), "Gap - Missing LIA", IF(AND(G5232="Yes", H5232=""), "Gap - Missing Art. 9 Basis", IF(OR(I5232="Invalid - Not Freely Given", I5232="Invalid - Not Specific", I5232="Invalid - Not Informed", I5232="Invalid - Ambiguous"), "Gap - Invalid Consent", "Compliant")))))</f>
        <v/>
      </c>
      <c r="O5232" s="7" t="n"/>
    </row>
    <row r="5233">
      <c r="A5233" s="7" t="n"/>
      <c r="B5233" s="7" t="n"/>
      <c r="C5233" s="7" t="n"/>
      <c r="D5233" s="7" t="n"/>
      <c r="E5233" s="7" t="n"/>
      <c r="F5233" s="7" t="n"/>
      <c r="G5233" s="7" t="n"/>
      <c r="H5233" s="7" t="n"/>
      <c r="I5233" s="7" t="n"/>
      <c r="J5233" s="7" t="n"/>
      <c r="K5233">
        <f>IF(D5233="Legitimate Interest (GDPR Art. 6(1)(f))", "Yes / Required (Sheet 3)", "")</f>
        <v/>
      </c>
      <c r="L5233" s="7" t="n"/>
      <c r="M5233" s="7" t="n"/>
      <c r="N5233">
        <f>IF(D5233="", "Gap - No Legal Basis", IF(AND(D5233="Consent (GDPR Art. 6(1)(a))", I5233="Not Captured"), "Gap - Invalid Consent", IF(AND(D5233="Legitimate Interest (GDPR Art. 6(1)(f))", L5233=""), "Gap - Missing LIA", IF(AND(G5233="Yes", H5233=""), "Gap - Missing Art. 9 Basis", IF(OR(I5233="Invalid - Not Freely Given", I5233="Invalid - Not Specific", I5233="Invalid - Not Informed", I5233="Invalid - Ambiguous"), "Gap - Invalid Consent", "Compliant")))))</f>
        <v/>
      </c>
      <c r="O5233" s="7" t="n"/>
    </row>
    <row r="5234">
      <c r="A5234" s="7" t="n"/>
      <c r="B5234" s="7" t="n"/>
      <c r="C5234" s="7" t="n"/>
      <c r="D5234" s="7" t="n"/>
      <c r="E5234" s="7" t="n"/>
      <c r="F5234" s="7" t="n"/>
      <c r="G5234" s="7" t="n"/>
      <c r="H5234" s="7" t="n"/>
      <c r="I5234" s="7" t="n"/>
      <c r="J5234" s="7" t="n"/>
      <c r="K5234">
        <f>IF(D5234="Legitimate Interest (GDPR Art. 6(1)(f))", "Yes / Required (Sheet 3)", "")</f>
        <v/>
      </c>
      <c r="L5234" s="7" t="n"/>
      <c r="M5234" s="7" t="n"/>
      <c r="N5234">
        <f>IF(D5234="", "Gap - No Legal Basis", IF(AND(D5234="Consent (GDPR Art. 6(1)(a))", I5234="Not Captured"), "Gap - Invalid Consent", IF(AND(D5234="Legitimate Interest (GDPR Art. 6(1)(f))", L5234=""), "Gap - Missing LIA", IF(AND(G5234="Yes", H5234=""), "Gap - Missing Art. 9 Basis", IF(OR(I5234="Invalid - Not Freely Given", I5234="Invalid - Not Specific", I5234="Invalid - Not Informed", I5234="Invalid - Ambiguous"), "Gap - Invalid Consent", "Compliant")))))</f>
        <v/>
      </c>
      <c r="O5234" s="7" t="n"/>
    </row>
    <row r="5235">
      <c r="A5235" s="7" t="n"/>
      <c r="B5235" s="7" t="n"/>
      <c r="C5235" s="7" t="n"/>
      <c r="D5235" s="7" t="n"/>
      <c r="E5235" s="7" t="n"/>
      <c r="F5235" s="7" t="n"/>
      <c r="G5235" s="7" t="n"/>
      <c r="H5235" s="7" t="n"/>
      <c r="I5235" s="7" t="n"/>
      <c r="J5235" s="7" t="n"/>
      <c r="K5235">
        <f>IF(D5235="Legitimate Interest (GDPR Art. 6(1)(f))", "Yes / Required (Sheet 3)", "")</f>
        <v/>
      </c>
      <c r="L5235" s="7" t="n"/>
      <c r="M5235" s="7" t="n"/>
      <c r="N5235">
        <f>IF(D5235="", "Gap - No Legal Basis", IF(AND(D5235="Consent (GDPR Art. 6(1)(a))", I5235="Not Captured"), "Gap - Invalid Consent", IF(AND(D5235="Legitimate Interest (GDPR Art. 6(1)(f))", L5235=""), "Gap - Missing LIA", IF(AND(G5235="Yes", H5235=""), "Gap - Missing Art. 9 Basis", IF(OR(I5235="Invalid - Not Freely Given", I5235="Invalid - Not Specific", I5235="Invalid - Not Informed", I5235="Invalid - Ambiguous"), "Gap - Invalid Consent", "Compliant")))))</f>
        <v/>
      </c>
      <c r="O5235" s="7" t="n"/>
    </row>
    <row r="5236">
      <c r="A5236" s="7" t="n"/>
      <c r="B5236" s="7" t="n"/>
      <c r="C5236" s="7" t="n"/>
      <c r="D5236" s="7" t="n"/>
      <c r="E5236" s="7" t="n"/>
      <c r="F5236" s="7" t="n"/>
      <c r="G5236" s="7" t="n"/>
      <c r="H5236" s="7" t="n"/>
      <c r="I5236" s="7" t="n"/>
      <c r="J5236" s="7" t="n"/>
      <c r="K5236">
        <f>IF(D5236="Legitimate Interest (GDPR Art. 6(1)(f))", "Yes / Required (Sheet 3)", "")</f>
        <v/>
      </c>
      <c r="L5236" s="7" t="n"/>
      <c r="M5236" s="7" t="n"/>
      <c r="N5236">
        <f>IF(D5236="", "Gap - No Legal Basis", IF(AND(D5236="Consent (GDPR Art. 6(1)(a))", I5236="Not Captured"), "Gap - Invalid Consent", IF(AND(D5236="Legitimate Interest (GDPR Art. 6(1)(f))", L5236=""), "Gap - Missing LIA", IF(AND(G5236="Yes", H5236=""), "Gap - Missing Art. 9 Basis", IF(OR(I5236="Invalid - Not Freely Given", I5236="Invalid - Not Specific", I5236="Invalid - Not Informed", I5236="Invalid - Ambiguous"), "Gap - Invalid Consent", "Compliant")))))</f>
        <v/>
      </c>
      <c r="O5236" s="7" t="n"/>
    </row>
    <row r="5237">
      <c r="A5237" s="7" t="n"/>
      <c r="B5237" s="7" t="n"/>
      <c r="C5237" s="7" t="n"/>
      <c r="D5237" s="7" t="n"/>
      <c r="E5237" s="7" t="n"/>
      <c r="F5237" s="7" t="n"/>
      <c r="G5237" s="7" t="n"/>
      <c r="H5237" s="7" t="n"/>
      <c r="I5237" s="7" t="n"/>
      <c r="J5237" s="7" t="n"/>
      <c r="K5237">
        <f>IF(D5237="Legitimate Interest (GDPR Art. 6(1)(f))", "Yes / Required (Sheet 3)", "")</f>
        <v/>
      </c>
      <c r="L5237" s="7" t="n"/>
      <c r="M5237" s="7" t="n"/>
      <c r="N5237">
        <f>IF(D5237="", "Gap - No Legal Basis", IF(AND(D5237="Consent (GDPR Art. 6(1)(a))", I5237="Not Captured"), "Gap - Invalid Consent", IF(AND(D5237="Legitimate Interest (GDPR Art. 6(1)(f))", L5237=""), "Gap - Missing LIA", IF(AND(G5237="Yes", H5237=""), "Gap - Missing Art. 9 Basis", IF(OR(I5237="Invalid - Not Freely Given", I5237="Invalid - Not Specific", I5237="Invalid - Not Informed", I5237="Invalid - Ambiguous"), "Gap - Invalid Consent", "Compliant")))))</f>
        <v/>
      </c>
      <c r="O5237" s="7" t="n"/>
    </row>
    <row r="5238">
      <c r="A5238" s="7" t="n"/>
      <c r="B5238" s="7" t="n"/>
      <c r="C5238" s="7" t="n"/>
      <c r="D5238" s="7" t="n"/>
      <c r="E5238" s="7" t="n"/>
      <c r="F5238" s="7" t="n"/>
      <c r="G5238" s="7" t="n"/>
      <c r="H5238" s="7" t="n"/>
      <c r="I5238" s="7" t="n"/>
      <c r="J5238" s="7" t="n"/>
      <c r="K5238">
        <f>IF(D5238="Legitimate Interest (GDPR Art. 6(1)(f))", "Yes / Required (Sheet 3)", "")</f>
        <v/>
      </c>
      <c r="L5238" s="7" t="n"/>
      <c r="M5238" s="7" t="n"/>
      <c r="N5238">
        <f>IF(D5238="", "Gap - No Legal Basis", IF(AND(D5238="Consent (GDPR Art. 6(1)(a))", I5238="Not Captured"), "Gap - Invalid Consent", IF(AND(D5238="Legitimate Interest (GDPR Art. 6(1)(f))", L5238=""), "Gap - Missing LIA", IF(AND(G5238="Yes", H5238=""), "Gap - Missing Art. 9 Basis", IF(OR(I5238="Invalid - Not Freely Given", I5238="Invalid - Not Specific", I5238="Invalid - Not Informed", I5238="Invalid - Ambiguous"), "Gap - Invalid Consent", "Compliant")))))</f>
        <v/>
      </c>
      <c r="O5238" s="7" t="n"/>
    </row>
    <row r="5239">
      <c r="A5239" s="7" t="n"/>
      <c r="B5239" s="7" t="n"/>
      <c r="C5239" s="7" t="n"/>
      <c r="D5239" s="7" t="n"/>
      <c r="E5239" s="7" t="n"/>
      <c r="F5239" s="7" t="n"/>
      <c r="G5239" s="7" t="n"/>
      <c r="H5239" s="7" t="n"/>
      <c r="I5239" s="7" t="n"/>
      <c r="J5239" s="7" t="n"/>
      <c r="K5239">
        <f>IF(D5239="Legitimate Interest (GDPR Art. 6(1)(f))", "Yes / Required (Sheet 3)", "")</f>
        <v/>
      </c>
      <c r="L5239" s="7" t="n"/>
      <c r="M5239" s="7" t="n"/>
      <c r="N5239">
        <f>IF(D5239="", "Gap - No Legal Basis", IF(AND(D5239="Consent (GDPR Art. 6(1)(a))", I5239="Not Captured"), "Gap - Invalid Consent", IF(AND(D5239="Legitimate Interest (GDPR Art. 6(1)(f))", L5239=""), "Gap - Missing LIA", IF(AND(G5239="Yes", H5239=""), "Gap - Missing Art. 9 Basis", IF(OR(I5239="Invalid - Not Freely Given", I5239="Invalid - Not Specific", I5239="Invalid - Not Informed", I5239="Invalid - Ambiguous"), "Gap - Invalid Consent", "Compliant")))))</f>
        <v/>
      </c>
      <c r="O5239" s="7" t="n"/>
    </row>
    <row r="5240">
      <c r="A5240" s="7" t="n"/>
      <c r="B5240" s="7" t="n"/>
      <c r="C5240" s="7" t="n"/>
      <c r="D5240" s="7" t="n"/>
      <c r="E5240" s="7" t="n"/>
      <c r="F5240" s="7" t="n"/>
      <c r="G5240" s="7" t="n"/>
      <c r="H5240" s="7" t="n"/>
      <c r="I5240" s="7" t="n"/>
      <c r="J5240" s="7" t="n"/>
      <c r="K5240">
        <f>IF(D5240="Legitimate Interest (GDPR Art. 6(1)(f))", "Yes / Required (Sheet 3)", "")</f>
        <v/>
      </c>
      <c r="L5240" s="7" t="n"/>
      <c r="M5240" s="7" t="n"/>
      <c r="N5240">
        <f>IF(D5240="", "Gap - No Legal Basis", IF(AND(D5240="Consent (GDPR Art. 6(1)(a))", I5240="Not Captured"), "Gap - Invalid Consent", IF(AND(D5240="Legitimate Interest (GDPR Art. 6(1)(f))", L5240=""), "Gap - Missing LIA", IF(AND(G5240="Yes", H5240=""), "Gap - Missing Art. 9 Basis", IF(OR(I5240="Invalid - Not Freely Given", I5240="Invalid - Not Specific", I5240="Invalid - Not Informed", I5240="Invalid - Ambiguous"), "Gap - Invalid Consent", "Compliant")))))</f>
        <v/>
      </c>
      <c r="O5240" s="7" t="n"/>
    </row>
    <row r="5241">
      <c r="A5241" s="7" t="n"/>
      <c r="B5241" s="7" t="n"/>
      <c r="C5241" s="7" t="n"/>
      <c r="D5241" s="7" t="n"/>
      <c r="E5241" s="7" t="n"/>
      <c r="F5241" s="7" t="n"/>
      <c r="G5241" s="7" t="n"/>
      <c r="H5241" s="7" t="n"/>
      <c r="I5241" s="7" t="n"/>
      <c r="J5241" s="7" t="n"/>
      <c r="K5241">
        <f>IF(D5241="Legitimate Interest (GDPR Art. 6(1)(f))", "Yes / Required (Sheet 3)", "")</f>
        <v/>
      </c>
      <c r="L5241" s="7" t="n"/>
      <c r="M5241" s="7" t="n"/>
      <c r="N5241">
        <f>IF(D5241="", "Gap - No Legal Basis", IF(AND(D5241="Consent (GDPR Art. 6(1)(a))", I5241="Not Captured"), "Gap - Invalid Consent", IF(AND(D5241="Legitimate Interest (GDPR Art. 6(1)(f))", L5241=""), "Gap - Missing LIA", IF(AND(G5241="Yes", H5241=""), "Gap - Missing Art. 9 Basis", IF(OR(I5241="Invalid - Not Freely Given", I5241="Invalid - Not Specific", I5241="Invalid - Not Informed", I5241="Invalid - Ambiguous"), "Gap - Invalid Consent", "Compliant")))))</f>
        <v/>
      </c>
      <c r="O5241" s="7" t="n"/>
    </row>
    <row r="5242">
      <c r="A5242" s="7" t="n"/>
      <c r="B5242" s="7" t="n"/>
      <c r="C5242" s="7" t="n"/>
      <c r="D5242" s="7" t="n"/>
      <c r="E5242" s="7" t="n"/>
      <c r="F5242" s="7" t="n"/>
      <c r="G5242" s="7" t="n"/>
      <c r="H5242" s="7" t="n"/>
      <c r="I5242" s="7" t="n"/>
      <c r="J5242" s="7" t="n"/>
      <c r="K5242">
        <f>IF(D5242="Legitimate Interest (GDPR Art. 6(1)(f))", "Yes / Required (Sheet 3)", "")</f>
        <v/>
      </c>
      <c r="L5242" s="7" t="n"/>
      <c r="M5242" s="7" t="n"/>
      <c r="N5242">
        <f>IF(D5242="", "Gap - No Legal Basis", IF(AND(D5242="Consent (GDPR Art. 6(1)(a))", I5242="Not Captured"), "Gap - Invalid Consent", IF(AND(D5242="Legitimate Interest (GDPR Art. 6(1)(f))", L5242=""), "Gap - Missing LIA", IF(AND(G5242="Yes", H5242=""), "Gap - Missing Art. 9 Basis", IF(OR(I5242="Invalid - Not Freely Given", I5242="Invalid - Not Specific", I5242="Invalid - Not Informed", I5242="Invalid - Ambiguous"), "Gap - Invalid Consent", "Compliant")))))</f>
        <v/>
      </c>
      <c r="O5242" s="7" t="n"/>
    </row>
    <row r="5243">
      <c r="A5243" s="7" t="n"/>
      <c r="B5243" s="7" t="n"/>
      <c r="C5243" s="7" t="n"/>
      <c r="D5243" s="7" t="n"/>
      <c r="E5243" s="7" t="n"/>
      <c r="F5243" s="7" t="n"/>
      <c r="G5243" s="7" t="n"/>
      <c r="H5243" s="7" t="n"/>
      <c r="I5243" s="7" t="n"/>
      <c r="J5243" s="7" t="n"/>
      <c r="K5243">
        <f>IF(D5243="Legitimate Interest (GDPR Art. 6(1)(f))", "Yes / Required (Sheet 3)", "")</f>
        <v/>
      </c>
      <c r="L5243" s="7" t="n"/>
      <c r="M5243" s="7" t="n"/>
      <c r="N5243">
        <f>IF(D5243="", "Gap - No Legal Basis", IF(AND(D5243="Consent (GDPR Art. 6(1)(a))", I5243="Not Captured"), "Gap - Invalid Consent", IF(AND(D5243="Legitimate Interest (GDPR Art. 6(1)(f))", L5243=""), "Gap - Missing LIA", IF(AND(G5243="Yes", H5243=""), "Gap - Missing Art. 9 Basis", IF(OR(I5243="Invalid - Not Freely Given", I5243="Invalid - Not Specific", I5243="Invalid - Not Informed", I5243="Invalid - Ambiguous"), "Gap - Invalid Consent", "Compliant")))))</f>
        <v/>
      </c>
      <c r="O5243" s="7" t="n"/>
    </row>
    <row r="5244">
      <c r="A5244" s="7" t="n"/>
      <c r="B5244" s="7" t="n"/>
      <c r="C5244" s="7" t="n"/>
      <c r="D5244" s="7" t="n"/>
      <c r="E5244" s="7" t="n"/>
      <c r="F5244" s="7" t="n"/>
      <c r="G5244" s="7" t="n"/>
      <c r="H5244" s="7" t="n"/>
      <c r="I5244" s="7" t="n"/>
      <c r="J5244" s="7" t="n"/>
      <c r="K5244">
        <f>IF(D5244="Legitimate Interest (GDPR Art. 6(1)(f))", "Yes / Required (Sheet 3)", "")</f>
        <v/>
      </c>
      <c r="L5244" s="7" t="n"/>
      <c r="M5244" s="7" t="n"/>
      <c r="N5244">
        <f>IF(D5244="", "Gap - No Legal Basis", IF(AND(D5244="Consent (GDPR Art. 6(1)(a))", I5244="Not Captured"), "Gap - Invalid Consent", IF(AND(D5244="Legitimate Interest (GDPR Art. 6(1)(f))", L5244=""), "Gap - Missing LIA", IF(AND(G5244="Yes", H5244=""), "Gap - Missing Art. 9 Basis", IF(OR(I5244="Invalid - Not Freely Given", I5244="Invalid - Not Specific", I5244="Invalid - Not Informed", I5244="Invalid - Ambiguous"), "Gap - Invalid Consent", "Compliant")))))</f>
        <v/>
      </c>
      <c r="O5244" s="7" t="n"/>
    </row>
    <row r="5245">
      <c r="A5245" s="7" t="n"/>
      <c r="B5245" s="7" t="n"/>
      <c r="C5245" s="7" t="n"/>
      <c r="D5245" s="7" t="n"/>
      <c r="E5245" s="7" t="n"/>
      <c r="F5245" s="7" t="n"/>
      <c r="G5245" s="7" t="n"/>
      <c r="H5245" s="7" t="n"/>
      <c r="I5245" s="7" t="n"/>
      <c r="J5245" s="7" t="n"/>
      <c r="K5245">
        <f>IF(D5245="Legitimate Interest (GDPR Art. 6(1)(f))", "Yes / Required (Sheet 3)", "")</f>
        <v/>
      </c>
      <c r="L5245" s="7" t="n"/>
      <c r="M5245" s="7" t="n"/>
      <c r="N5245">
        <f>IF(D5245="", "Gap - No Legal Basis", IF(AND(D5245="Consent (GDPR Art. 6(1)(a))", I5245="Not Captured"), "Gap - Invalid Consent", IF(AND(D5245="Legitimate Interest (GDPR Art. 6(1)(f))", L5245=""), "Gap - Missing LIA", IF(AND(G5245="Yes", H5245=""), "Gap - Missing Art. 9 Basis", IF(OR(I5245="Invalid - Not Freely Given", I5245="Invalid - Not Specific", I5245="Invalid - Not Informed", I5245="Invalid - Ambiguous"), "Gap - Invalid Consent", "Compliant")))))</f>
        <v/>
      </c>
      <c r="O5245" s="7" t="n"/>
    </row>
    <row r="5246">
      <c r="A5246" s="7" t="n"/>
      <c r="B5246" s="7" t="n"/>
      <c r="C5246" s="7" t="n"/>
      <c r="D5246" s="7" t="n"/>
      <c r="E5246" s="7" t="n"/>
      <c r="F5246" s="7" t="n"/>
      <c r="G5246" s="7" t="n"/>
      <c r="H5246" s="7" t="n"/>
      <c r="I5246" s="7" t="n"/>
      <c r="J5246" s="7" t="n"/>
      <c r="K5246">
        <f>IF(D5246="Legitimate Interest (GDPR Art. 6(1)(f))", "Yes / Required (Sheet 3)", "")</f>
        <v/>
      </c>
      <c r="L5246" s="7" t="n"/>
      <c r="M5246" s="7" t="n"/>
      <c r="N5246">
        <f>IF(D5246="", "Gap - No Legal Basis", IF(AND(D5246="Consent (GDPR Art. 6(1)(a))", I5246="Not Captured"), "Gap - Invalid Consent", IF(AND(D5246="Legitimate Interest (GDPR Art. 6(1)(f))", L5246=""), "Gap - Missing LIA", IF(AND(G5246="Yes", H5246=""), "Gap - Missing Art. 9 Basis", IF(OR(I5246="Invalid - Not Freely Given", I5246="Invalid - Not Specific", I5246="Invalid - Not Informed", I5246="Invalid - Ambiguous"), "Gap - Invalid Consent", "Compliant")))))</f>
        <v/>
      </c>
      <c r="O5246" s="7" t="n"/>
    </row>
    <row r="5247">
      <c r="A5247" s="7" t="n"/>
      <c r="B5247" s="7" t="n"/>
      <c r="C5247" s="7" t="n"/>
      <c r="D5247" s="7" t="n"/>
      <c r="E5247" s="7" t="n"/>
      <c r="F5247" s="7" t="n"/>
      <c r="G5247" s="7" t="n"/>
      <c r="H5247" s="7" t="n"/>
      <c r="I5247" s="7" t="n"/>
      <c r="J5247" s="7" t="n"/>
      <c r="K5247">
        <f>IF(D5247="Legitimate Interest (GDPR Art. 6(1)(f))", "Yes / Required (Sheet 3)", "")</f>
        <v/>
      </c>
      <c r="L5247" s="7" t="n"/>
      <c r="M5247" s="7" t="n"/>
      <c r="N5247">
        <f>IF(D5247="", "Gap - No Legal Basis", IF(AND(D5247="Consent (GDPR Art. 6(1)(a))", I5247="Not Captured"), "Gap - Invalid Consent", IF(AND(D5247="Legitimate Interest (GDPR Art. 6(1)(f))", L5247=""), "Gap - Missing LIA", IF(AND(G5247="Yes", H5247=""), "Gap - Missing Art. 9 Basis", IF(OR(I5247="Invalid - Not Freely Given", I5247="Invalid - Not Specific", I5247="Invalid - Not Informed", I5247="Invalid - Ambiguous"), "Gap - Invalid Consent", "Compliant")))))</f>
        <v/>
      </c>
      <c r="O5247" s="7" t="n"/>
    </row>
    <row r="5248">
      <c r="A5248" s="7" t="n"/>
      <c r="B5248" s="7" t="n"/>
      <c r="C5248" s="7" t="n"/>
      <c r="D5248" s="7" t="n"/>
      <c r="E5248" s="7" t="n"/>
      <c r="F5248" s="7" t="n"/>
      <c r="G5248" s="7" t="n"/>
      <c r="H5248" s="7" t="n"/>
      <c r="I5248" s="7" t="n"/>
      <c r="J5248" s="7" t="n"/>
      <c r="K5248">
        <f>IF(D5248="Legitimate Interest (GDPR Art. 6(1)(f))", "Yes / Required (Sheet 3)", "")</f>
        <v/>
      </c>
      <c r="L5248" s="7" t="n"/>
      <c r="M5248" s="7" t="n"/>
      <c r="N5248">
        <f>IF(D5248="", "Gap - No Legal Basis", IF(AND(D5248="Consent (GDPR Art. 6(1)(a))", I5248="Not Captured"), "Gap - Invalid Consent", IF(AND(D5248="Legitimate Interest (GDPR Art. 6(1)(f))", L5248=""), "Gap - Missing LIA", IF(AND(G5248="Yes", H5248=""), "Gap - Missing Art. 9 Basis", IF(OR(I5248="Invalid - Not Freely Given", I5248="Invalid - Not Specific", I5248="Invalid - Not Informed", I5248="Invalid - Ambiguous"), "Gap - Invalid Consent", "Compliant")))))</f>
        <v/>
      </c>
      <c r="O5248" s="7" t="n"/>
    </row>
    <row r="5249">
      <c r="A5249" s="7" t="n"/>
      <c r="B5249" s="7" t="n"/>
      <c r="C5249" s="7" t="n"/>
      <c r="D5249" s="7" t="n"/>
      <c r="E5249" s="7" t="n"/>
      <c r="F5249" s="7" t="n"/>
      <c r="G5249" s="7" t="n"/>
      <c r="H5249" s="7" t="n"/>
      <c r="I5249" s="7" t="n"/>
      <c r="J5249" s="7" t="n"/>
      <c r="K5249">
        <f>IF(D5249="Legitimate Interest (GDPR Art. 6(1)(f))", "Yes / Required (Sheet 3)", "")</f>
        <v/>
      </c>
      <c r="L5249" s="7" t="n"/>
      <c r="M5249" s="7" t="n"/>
      <c r="N5249">
        <f>IF(D5249="", "Gap - No Legal Basis", IF(AND(D5249="Consent (GDPR Art. 6(1)(a))", I5249="Not Captured"), "Gap - Invalid Consent", IF(AND(D5249="Legitimate Interest (GDPR Art. 6(1)(f))", L5249=""), "Gap - Missing LIA", IF(AND(G5249="Yes", H5249=""), "Gap - Missing Art. 9 Basis", IF(OR(I5249="Invalid - Not Freely Given", I5249="Invalid - Not Specific", I5249="Invalid - Not Informed", I5249="Invalid - Ambiguous"), "Gap - Invalid Consent", "Compliant")))))</f>
        <v/>
      </c>
      <c r="O5249" s="7" t="n"/>
    </row>
    <row r="5250">
      <c r="A5250" s="7" t="n"/>
      <c r="B5250" s="7" t="n"/>
      <c r="C5250" s="7" t="n"/>
      <c r="D5250" s="7" t="n"/>
      <c r="E5250" s="7" t="n"/>
      <c r="F5250" s="7" t="n"/>
      <c r="G5250" s="7" t="n"/>
      <c r="H5250" s="7" t="n"/>
      <c r="I5250" s="7" t="n"/>
      <c r="J5250" s="7" t="n"/>
      <c r="K5250">
        <f>IF(D5250="Legitimate Interest (GDPR Art. 6(1)(f))", "Yes / Required (Sheet 3)", "")</f>
        <v/>
      </c>
      <c r="L5250" s="7" t="n"/>
      <c r="M5250" s="7" t="n"/>
      <c r="N5250">
        <f>IF(D5250="", "Gap - No Legal Basis", IF(AND(D5250="Consent (GDPR Art. 6(1)(a))", I5250="Not Captured"), "Gap - Invalid Consent", IF(AND(D5250="Legitimate Interest (GDPR Art. 6(1)(f))", L5250=""), "Gap - Missing LIA", IF(AND(G5250="Yes", H5250=""), "Gap - Missing Art. 9 Basis", IF(OR(I5250="Invalid - Not Freely Given", I5250="Invalid - Not Specific", I5250="Invalid - Not Informed", I5250="Invalid - Ambiguous"), "Gap - Invalid Consent", "Compliant")))))</f>
        <v/>
      </c>
      <c r="O5250" s="7" t="n"/>
    </row>
    <row r="5251">
      <c r="A5251" s="7" t="n"/>
      <c r="B5251" s="7" t="n"/>
      <c r="C5251" s="7" t="n"/>
      <c r="D5251" s="7" t="n"/>
      <c r="E5251" s="7" t="n"/>
      <c r="F5251" s="7" t="n"/>
      <c r="G5251" s="7" t="n"/>
      <c r="H5251" s="7" t="n"/>
      <c r="I5251" s="7" t="n"/>
      <c r="J5251" s="7" t="n"/>
      <c r="K5251">
        <f>IF(D5251="Legitimate Interest (GDPR Art. 6(1)(f))", "Yes / Required (Sheet 3)", "")</f>
        <v/>
      </c>
      <c r="L5251" s="7" t="n"/>
      <c r="M5251" s="7" t="n"/>
      <c r="N5251">
        <f>IF(D5251="", "Gap - No Legal Basis", IF(AND(D5251="Consent (GDPR Art. 6(1)(a))", I5251="Not Captured"), "Gap - Invalid Consent", IF(AND(D5251="Legitimate Interest (GDPR Art. 6(1)(f))", L5251=""), "Gap - Missing LIA", IF(AND(G5251="Yes", H5251=""), "Gap - Missing Art. 9 Basis", IF(OR(I5251="Invalid - Not Freely Given", I5251="Invalid - Not Specific", I5251="Invalid - Not Informed", I5251="Invalid - Ambiguous"), "Gap - Invalid Consent", "Compliant")))))</f>
        <v/>
      </c>
      <c r="O5251" s="7" t="n"/>
    </row>
    <row r="5252">
      <c r="A5252" s="7" t="n"/>
      <c r="B5252" s="7" t="n"/>
      <c r="C5252" s="7" t="n"/>
      <c r="D5252" s="7" t="n"/>
      <c r="E5252" s="7" t="n"/>
      <c r="F5252" s="7" t="n"/>
      <c r="G5252" s="7" t="n"/>
      <c r="H5252" s="7" t="n"/>
      <c r="I5252" s="7" t="n"/>
      <c r="J5252" s="7" t="n"/>
      <c r="K5252">
        <f>IF(D5252="Legitimate Interest (GDPR Art. 6(1)(f))", "Yes / Required (Sheet 3)", "")</f>
        <v/>
      </c>
      <c r="L5252" s="7" t="n"/>
      <c r="M5252" s="7" t="n"/>
      <c r="N5252">
        <f>IF(D5252="", "Gap - No Legal Basis", IF(AND(D5252="Consent (GDPR Art. 6(1)(a))", I5252="Not Captured"), "Gap - Invalid Consent", IF(AND(D5252="Legitimate Interest (GDPR Art. 6(1)(f))", L5252=""), "Gap - Missing LIA", IF(AND(G5252="Yes", H5252=""), "Gap - Missing Art. 9 Basis", IF(OR(I5252="Invalid - Not Freely Given", I5252="Invalid - Not Specific", I5252="Invalid - Not Informed", I5252="Invalid - Ambiguous"), "Gap - Invalid Consent", "Compliant")))))</f>
        <v/>
      </c>
      <c r="O5252" s="7" t="n"/>
    </row>
    <row r="5253">
      <c r="A5253" s="7" t="n"/>
      <c r="B5253" s="7" t="n"/>
      <c r="C5253" s="7" t="n"/>
      <c r="D5253" s="7" t="n"/>
      <c r="E5253" s="7" t="n"/>
      <c r="F5253" s="7" t="n"/>
      <c r="G5253" s="7" t="n"/>
      <c r="H5253" s="7" t="n"/>
      <c r="I5253" s="7" t="n"/>
      <c r="J5253" s="7" t="n"/>
      <c r="K5253">
        <f>IF(D5253="Legitimate Interest (GDPR Art. 6(1)(f))", "Yes / Required (Sheet 3)", "")</f>
        <v/>
      </c>
      <c r="L5253" s="7" t="n"/>
      <c r="M5253" s="7" t="n"/>
      <c r="N5253">
        <f>IF(D5253="", "Gap - No Legal Basis", IF(AND(D5253="Consent (GDPR Art. 6(1)(a))", I5253="Not Captured"), "Gap - Invalid Consent", IF(AND(D5253="Legitimate Interest (GDPR Art. 6(1)(f))", L5253=""), "Gap - Missing LIA", IF(AND(G5253="Yes", H5253=""), "Gap - Missing Art. 9 Basis", IF(OR(I5253="Invalid - Not Freely Given", I5253="Invalid - Not Specific", I5253="Invalid - Not Informed", I5253="Invalid - Ambiguous"), "Gap - Invalid Consent", "Compliant")))))</f>
        <v/>
      </c>
      <c r="O5253" s="7" t="n"/>
    </row>
    <row r="5254">
      <c r="A5254" s="7" t="n"/>
      <c r="B5254" s="7" t="n"/>
      <c r="C5254" s="7" t="n"/>
      <c r="D5254" s="7" t="n"/>
      <c r="E5254" s="7" t="n"/>
      <c r="F5254" s="7" t="n"/>
      <c r="G5254" s="7" t="n"/>
      <c r="H5254" s="7" t="n"/>
      <c r="I5254" s="7" t="n"/>
      <c r="J5254" s="7" t="n"/>
      <c r="K5254">
        <f>IF(D5254="Legitimate Interest (GDPR Art. 6(1)(f))", "Yes / Required (Sheet 3)", "")</f>
        <v/>
      </c>
      <c r="L5254" s="7" t="n"/>
      <c r="M5254" s="7" t="n"/>
      <c r="N5254">
        <f>IF(D5254="", "Gap - No Legal Basis", IF(AND(D5254="Consent (GDPR Art. 6(1)(a))", I5254="Not Captured"), "Gap - Invalid Consent", IF(AND(D5254="Legitimate Interest (GDPR Art. 6(1)(f))", L5254=""), "Gap - Missing LIA", IF(AND(G5254="Yes", H5254=""), "Gap - Missing Art. 9 Basis", IF(OR(I5254="Invalid - Not Freely Given", I5254="Invalid - Not Specific", I5254="Invalid - Not Informed", I5254="Invalid - Ambiguous"), "Gap - Invalid Consent", "Compliant")))))</f>
        <v/>
      </c>
      <c r="O5254" s="7" t="n"/>
    </row>
    <row r="5255">
      <c r="A5255" s="7" t="n"/>
      <c r="B5255" s="7" t="n"/>
      <c r="C5255" s="7" t="n"/>
      <c r="D5255" s="7" t="n"/>
      <c r="E5255" s="7" t="n"/>
      <c r="F5255" s="7" t="n"/>
      <c r="G5255" s="7" t="n"/>
      <c r="H5255" s="7" t="n"/>
      <c r="I5255" s="7" t="n"/>
      <c r="J5255" s="7" t="n"/>
      <c r="K5255">
        <f>IF(D5255="Legitimate Interest (GDPR Art. 6(1)(f))", "Yes / Required (Sheet 3)", "")</f>
        <v/>
      </c>
      <c r="L5255" s="7" t="n"/>
      <c r="M5255" s="7" t="n"/>
      <c r="N5255">
        <f>IF(D5255="", "Gap - No Legal Basis", IF(AND(D5255="Consent (GDPR Art. 6(1)(a))", I5255="Not Captured"), "Gap - Invalid Consent", IF(AND(D5255="Legitimate Interest (GDPR Art. 6(1)(f))", L5255=""), "Gap - Missing LIA", IF(AND(G5255="Yes", H5255=""), "Gap - Missing Art. 9 Basis", IF(OR(I5255="Invalid - Not Freely Given", I5255="Invalid - Not Specific", I5255="Invalid - Not Informed", I5255="Invalid - Ambiguous"), "Gap - Invalid Consent", "Compliant")))))</f>
        <v/>
      </c>
      <c r="O5255" s="7" t="n"/>
    </row>
    <row r="5256">
      <c r="A5256" s="7" t="n"/>
      <c r="B5256" s="7" t="n"/>
      <c r="C5256" s="7" t="n"/>
      <c r="D5256" s="7" t="n"/>
      <c r="E5256" s="7" t="n"/>
      <c r="F5256" s="7" t="n"/>
      <c r="G5256" s="7" t="n"/>
      <c r="H5256" s="7" t="n"/>
      <c r="I5256" s="7" t="n"/>
      <c r="J5256" s="7" t="n"/>
      <c r="K5256">
        <f>IF(D5256="Legitimate Interest (GDPR Art. 6(1)(f))", "Yes / Required (Sheet 3)", "")</f>
        <v/>
      </c>
      <c r="L5256" s="7" t="n"/>
      <c r="M5256" s="7" t="n"/>
      <c r="N5256">
        <f>IF(D5256="", "Gap - No Legal Basis", IF(AND(D5256="Consent (GDPR Art. 6(1)(a))", I5256="Not Captured"), "Gap - Invalid Consent", IF(AND(D5256="Legitimate Interest (GDPR Art. 6(1)(f))", L5256=""), "Gap - Missing LIA", IF(AND(G5256="Yes", H5256=""), "Gap - Missing Art. 9 Basis", IF(OR(I5256="Invalid - Not Freely Given", I5256="Invalid - Not Specific", I5256="Invalid - Not Informed", I5256="Invalid - Ambiguous"), "Gap - Invalid Consent", "Compliant")))))</f>
        <v/>
      </c>
      <c r="O5256" s="7" t="n"/>
    </row>
    <row r="5257">
      <c r="A5257" s="7" t="n"/>
      <c r="B5257" s="7" t="n"/>
      <c r="C5257" s="7" t="n"/>
      <c r="D5257" s="7" t="n"/>
      <c r="E5257" s="7" t="n"/>
      <c r="F5257" s="7" t="n"/>
      <c r="G5257" s="7" t="n"/>
      <c r="H5257" s="7" t="n"/>
      <c r="I5257" s="7" t="n"/>
      <c r="J5257" s="7" t="n"/>
      <c r="K5257">
        <f>IF(D5257="Legitimate Interest (GDPR Art. 6(1)(f))", "Yes / Required (Sheet 3)", "")</f>
        <v/>
      </c>
      <c r="L5257" s="7" t="n"/>
      <c r="M5257" s="7" t="n"/>
      <c r="N5257">
        <f>IF(D5257="", "Gap - No Legal Basis", IF(AND(D5257="Consent (GDPR Art. 6(1)(a))", I5257="Not Captured"), "Gap - Invalid Consent", IF(AND(D5257="Legitimate Interest (GDPR Art. 6(1)(f))", L5257=""), "Gap - Missing LIA", IF(AND(G5257="Yes", H5257=""), "Gap - Missing Art. 9 Basis", IF(OR(I5257="Invalid - Not Freely Given", I5257="Invalid - Not Specific", I5257="Invalid - Not Informed", I5257="Invalid - Ambiguous"), "Gap - Invalid Consent", "Compliant")))))</f>
        <v/>
      </c>
      <c r="O5257" s="7" t="n"/>
    </row>
    <row r="5258">
      <c r="A5258" s="7" t="n"/>
      <c r="B5258" s="7" t="n"/>
      <c r="C5258" s="7" t="n"/>
      <c r="D5258" s="7" t="n"/>
      <c r="E5258" s="7" t="n"/>
      <c r="F5258" s="7" t="n"/>
      <c r="G5258" s="7" t="n"/>
      <c r="H5258" s="7" t="n"/>
      <c r="I5258" s="7" t="n"/>
      <c r="J5258" s="7" t="n"/>
      <c r="K5258">
        <f>IF(D5258="Legitimate Interest (GDPR Art. 6(1)(f))", "Yes / Required (Sheet 3)", "")</f>
        <v/>
      </c>
      <c r="L5258" s="7" t="n"/>
      <c r="M5258" s="7" t="n"/>
      <c r="N5258">
        <f>IF(D5258="", "Gap - No Legal Basis", IF(AND(D5258="Consent (GDPR Art. 6(1)(a))", I5258="Not Captured"), "Gap - Invalid Consent", IF(AND(D5258="Legitimate Interest (GDPR Art. 6(1)(f))", L5258=""), "Gap - Missing LIA", IF(AND(G5258="Yes", H5258=""), "Gap - Missing Art. 9 Basis", IF(OR(I5258="Invalid - Not Freely Given", I5258="Invalid - Not Specific", I5258="Invalid - Not Informed", I5258="Invalid - Ambiguous"), "Gap - Invalid Consent", "Compliant")))))</f>
        <v/>
      </c>
      <c r="O5258" s="7" t="n"/>
    </row>
    <row r="5259">
      <c r="A5259" s="7" t="n"/>
      <c r="B5259" s="7" t="n"/>
      <c r="C5259" s="7" t="n"/>
      <c r="D5259" s="7" t="n"/>
      <c r="E5259" s="7" t="n"/>
      <c r="F5259" s="7" t="n"/>
      <c r="G5259" s="7" t="n"/>
      <c r="H5259" s="7" t="n"/>
      <c r="I5259" s="7" t="n"/>
      <c r="J5259" s="7" t="n"/>
      <c r="K5259">
        <f>IF(D5259="Legitimate Interest (GDPR Art. 6(1)(f))", "Yes / Required (Sheet 3)", "")</f>
        <v/>
      </c>
      <c r="L5259" s="7" t="n"/>
      <c r="M5259" s="7" t="n"/>
      <c r="N5259">
        <f>IF(D5259="", "Gap - No Legal Basis", IF(AND(D5259="Consent (GDPR Art. 6(1)(a))", I5259="Not Captured"), "Gap - Invalid Consent", IF(AND(D5259="Legitimate Interest (GDPR Art. 6(1)(f))", L5259=""), "Gap - Missing LIA", IF(AND(G5259="Yes", H5259=""), "Gap - Missing Art. 9 Basis", IF(OR(I5259="Invalid - Not Freely Given", I5259="Invalid - Not Specific", I5259="Invalid - Not Informed", I5259="Invalid - Ambiguous"), "Gap - Invalid Consent", "Compliant")))))</f>
        <v/>
      </c>
      <c r="O5259" s="7" t="n"/>
    </row>
    <row r="5260">
      <c r="A5260" s="7" t="n"/>
      <c r="B5260" s="7" t="n"/>
      <c r="C5260" s="7" t="n"/>
      <c r="D5260" s="7" t="n"/>
      <c r="E5260" s="7" t="n"/>
      <c r="F5260" s="7" t="n"/>
      <c r="G5260" s="7" t="n"/>
      <c r="H5260" s="7" t="n"/>
      <c r="I5260" s="7" t="n"/>
      <c r="J5260" s="7" t="n"/>
      <c r="K5260">
        <f>IF(D5260="Legitimate Interest (GDPR Art. 6(1)(f))", "Yes / Required (Sheet 3)", "")</f>
        <v/>
      </c>
      <c r="L5260" s="7" t="n"/>
      <c r="M5260" s="7" t="n"/>
      <c r="N5260">
        <f>IF(D5260="", "Gap - No Legal Basis", IF(AND(D5260="Consent (GDPR Art. 6(1)(a))", I5260="Not Captured"), "Gap - Invalid Consent", IF(AND(D5260="Legitimate Interest (GDPR Art. 6(1)(f))", L5260=""), "Gap - Missing LIA", IF(AND(G5260="Yes", H5260=""), "Gap - Missing Art. 9 Basis", IF(OR(I5260="Invalid - Not Freely Given", I5260="Invalid - Not Specific", I5260="Invalid - Not Informed", I5260="Invalid - Ambiguous"), "Gap - Invalid Consent", "Compliant")))))</f>
        <v/>
      </c>
      <c r="O5260" s="7" t="n"/>
    </row>
    <row r="5261">
      <c r="A5261" s="7" t="n"/>
      <c r="B5261" s="7" t="n"/>
      <c r="C5261" s="7" t="n"/>
      <c r="D5261" s="7" t="n"/>
      <c r="E5261" s="7" t="n"/>
      <c r="F5261" s="7" t="n"/>
      <c r="G5261" s="7" t="n"/>
      <c r="H5261" s="7" t="n"/>
      <c r="I5261" s="7" t="n"/>
      <c r="J5261" s="7" t="n"/>
      <c r="K5261">
        <f>IF(D5261="Legitimate Interest (GDPR Art. 6(1)(f))", "Yes / Required (Sheet 3)", "")</f>
        <v/>
      </c>
      <c r="L5261" s="7" t="n"/>
      <c r="M5261" s="7" t="n"/>
      <c r="N5261">
        <f>IF(D5261="", "Gap - No Legal Basis", IF(AND(D5261="Consent (GDPR Art. 6(1)(a))", I5261="Not Captured"), "Gap - Invalid Consent", IF(AND(D5261="Legitimate Interest (GDPR Art. 6(1)(f))", L5261=""), "Gap - Missing LIA", IF(AND(G5261="Yes", H5261=""), "Gap - Missing Art. 9 Basis", IF(OR(I5261="Invalid - Not Freely Given", I5261="Invalid - Not Specific", I5261="Invalid - Not Informed", I5261="Invalid - Ambiguous"), "Gap - Invalid Consent", "Compliant")))))</f>
        <v/>
      </c>
      <c r="O5261" s="7" t="n"/>
    </row>
    <row r="5262">
      <c r="A5262" s="7" t="n"/>
      <c r="B5262" s="7" t="n"/>
      <c r="C5262" s="7" t="n"/>
      <c r="D5262" s="7" t="n"/>
      <c r="E5262" s="7" t="n"/>
      <c r="F5262" s="7" t="n"/>
      <c r="G5262" s="7" t="n"/>
      <c r="H5262" s="7" t="n"/>
      <c r="I5262" s="7" t="n"/>
      <c r="J5262" s="7" t="n"/>
      <c r="K5262">
        <f>IF(D5262="Legitimate Interest (GDPR Art. 6(1)(f))", "Yes / Required (Sheet 3)", "")</f>
        <v/>
      </c>
      <c r="L5262" s="7" t="n"/>
      <c r="M5262" s="7" t="n"/>
      <c r="N5262">
        <f>IF(D5262="", "Gap - No Legal Basis", IF(AND(D5262="Consent (GDPR Art. 6(1)(a))", I5262="Not Captured"), "Gap - Invalid Consent", IF(AND(D5262="Legitimate Interest (GDPR Art. 6(1)(f))", L5262=""), "Gap - Missing LIA", IF(AND(G5262="Yes", H5262=""), "Gap - Missing Art. 9 Basis", IF(OR(I5262="Invalid - Not Freely Given", I5262="Invalid - Not Specific", I5262="Invalid - Not Informed", I5262="Invalid - Ambiguous"), "Gap - Invalid Consent", "Compliant")))))</f>
        <v/>
      </c>
      <c r="O5262" s="7" t="n"/>
    </row>
    <row r="5263">
      <c r="A5263" s="7" t="n"/>
      <c r="B5263" s="7" t="n"/>
      <c r="C5263" s="7" t="n"/>
      <c r="D5263" s="7" t="n"/>
      <c r="E5263" s="7" t="n"/>
      <c r="F5263" s="7" t="n"/>
      <c r="G5263" s="7" t="n"/>
      <c r="H5263" s="7" t="n"/>
      <c r="I5263" s="7" t="n"/>
      <c r="J5263" s="7" t="n"/>
      <c r="K5263">
        <f>IF(D5263="Legitimate Interest (GDPR Art. 6(1)(f))", "Yes / Required (Sheet 3)", "")</f>
        <v/>
      </c>
      <c r="L5263" s="7" t="n"/>
      <c r="M5263" s="7" t="n"/>
      <c r="N5263">
        <f>IF(D5263="", "Gap - No Legal Basis", IF(AND(D5263="Consent (GDPR Art. 6(1)(a))", I5263="Not Captured"), "Gap - Invalid Consent", IF(AND(D5263="Legitimate Interest (GDPR Art. 6(1)(f))", L5263=""), "Gap - Missing LIA", IF(AND(G5263="Yes", H5263=""), "Gap - Missing Art. 9 Basis", IF(OR(I5263="Invalid - Not Freely Given", I5263="Invalid - Not Specific", I5263="Invalid - Not Informed", I5263="Invalid - Ambiguous"), "Gap - Invalid Consent", "Compliant")))))</f>
        <v/>
      </c>
      <c r="O5263" s="7" t="n"/>
    </row>
    <row r="5264">
      <c r="A5264" s="7" t="n"/>
      <c r="B5264" s="7" t="n"/>
      <c r="C5264" s="7" t="n"/>
      <c r="D5264" s="7" t="n"/>
      <c r="E5264" s="7" t="n"/>
      <c r="F5264" s="7" t="n"/>
      <c r="G5264" s="7" t="n"/>
      <c r="H5264" s="7" t="n"/>
      <c r="I5264" s="7" t="n"/>
      <c r="J5264" s="7" t="n"/>
      <c r="K5264">
        <f>IF(D5264="Legitimate Interest (GDPR Art. 6(1)(f))", "Yes / Required (Sheet 3)", "")</f>
        <v/>
      </c>
      <c r="L5264" s="7" t="n"/>
      <c r="M5264" s="7" t="n"/>
      <c r="N5264">
        <f>IF(D5264="", "Gap - No Legal Basis", IF(AND(D5264="Consent (GDPR Art. 6(1)(a))", I5264="Not Captured"), "Gap - Invalid Consent", IF(AND(D5264="Legitimate Interest (GDPR Art. 6(1)(f))", L5264=""), "Gap - Missing LIA", IF(AND(G5264="Yes", H5264=""), "Gap - Missing Art. 9 Basis", IF(OR(I5264="Invalid - Not Freely Given", I5264="Invalid - Not Specific", I5264="Invalid - Not Informed", I5264="Invalid - Ambiguous"), "Gap - Invalid Consent", "Compliant")))))</f>
        <v/>
      </c>
      <c r="O5264" s="7" t="n"/>
    </row>
    <row r="5265">
      <c r="A5265" s="7" t="n"/>
      <c r="B5265" s="7" t="n"/>
      <c r="C5265" s="7" t="n"/>
      <c r="D5265" s="7" t="n"/>
      <c r="E5265" s="7" t="n"/>
      <c r="F5265" s="7" t="n"/>
      <c r="G5265" s="7" t="n"/>
      <c r="H5265" s="7" t="n"/>
      <c r="I5265" s="7" t="n"/>
      <c r="J5265" s="7" t="n"/>
      <c r="K5265">
        <f>IF(D5265="Legitimate Interest (GDPR Art. 6(1)(f))", "Yes / Required (Sheet 3)", "")</f>
        <v/>
      </c>
      <c r="L5265" s="7" t="n"/>
      <c r="M5265" s="7" t="n"/>
      <c r="N5265">
        <f>IF(D5265="", "Gap - No Legal Basis", IF(AND(D5265="Consent (GDPR Art. 6(1)(a))", I5265="Not Captured"), "Gap - Invalid Consent", IF(AND(D5265="Legitimate Interest (GDPR Art. 6(1)(f))", L5265=""), "Gap - Missing LIA", IF(AND(G5265="Yes", H5265=""), "Gap - Missing Art. 9 Basis", IF(OR(I5265="Invalid - Not Freely Given", I5265="Invalid - Not Specific", I5265="Invalid - Not Informed", I5265="Invalid - Ambiguous"), "Gap - Invalid Consent", "Compliant")))))</f>
        <v/>
      </c>
      <c r="O5265" s="7" t="n"/>
    </row>
    <row r="5266">
      <c r="A5266" s="7" t="n"/>
      <c r="B5266" s="7" t="n"/>
      <c r="C5266" s="7" t="n"/>
      <c r="D5266" s="7" t="n"/>
      <c r="E5266" s="7" t="n"/>
      <c r="F5266" s="7" t="n"/>
      <c r="G5266" s="7" t="n"/>
      <c r="H5266" s="7" t="n"/>
      <c r="I5266" s="7" t="n"/>
      <c r="J5266" s="7" t="n"/>
      <c r="K5266">
        <f>IF(D5266="Legitimate Interest (GDPR Art. 6(1)(f))", "Yes / Required (Sheet 3)", "")</f>
        <v/>
      </c>
      <c r="L5266" s="7" t="n"/>
      <c r="M5266" s="7" t="n"/>
      <c r="N5266">
        <f>IF(D5266="", "Gap - No Legal Basis", IF(AND(D5266="Consent (GDPR Art. 6(1)(a))", I5266="Not Captured"), "Gap - Invalid Consent", IF(AND(D5266="Legitimate Interest (GDPR Art. 6(1)(f))", L5266=""), "Gap - Missing LIA", IF(AND(G5266="Yes", H5266=""), "Gap - Missing Art. 9 Basis", IF(OR(I5266="Invalid - Not Freely Given", I5266="Invalid - Not Specific", I5266="Invalid - Not Informed", I5266="Invalid - Ambiguous"), "Gap - Invalid Consent", "Compliant")))))</f>
        <v/>
      </c>
      <c r="O5266" s="7" t="n"/>
    </row>
    <row r="5267">
      <c r="A5267" s="7" t="n"/>
      <c r="B5267" s="7" t="n"/>
      <c r="C5267" s="7" t="n"/>
      <c r="D5267" s="7" t="n"/>
      <c r="E5267" s="7" t="n"/>
      <c r="F5267" s="7" t="n"/>
      <c r="G5267" s="7" t="n"/>
      <c r="H5267" s="7" t="n"/>
      <c r="I5267" s="7" t="n"/>
      <c r="J5267" s="7" t="n"/>
      <c r="K5267">
        <f>IF(D5267="Legitimate Interest (GDPR Art. 6(1)(f))", "Yes / Required (Sheet 3)", "")</f>
        <v/>
      </c>
      <c r="L5267" s="7" t="n"/>
      <c r="M5267" s="7" t="n"/>
      <c r="N5267">
        <f>IF(D5267="", "Gap - No Legal Basis", IF(AND(D5267="Consent (GDPR Art. 6(1)(a))", I5267="Not Captured"), "Gap - Invalid Consent", IF(AND(D5267="Legitimate Interest (GDPR Art. 6(1)(f))", L5267=""), "Gap - Missing LIA", IF(AND(G5267="Yes", H5267=""), "Gap - Missing Art. 9 Basis", IF(OR(I5267="Invalid - Not Freely Given", I5267="Invalid - Not Specific", I5267="Invalid - Not Informed", I5267="Invalid - Ambiguous"), "Gap - Invalid Consent", "Compliant")))))</f>
        <v/>
      </c>
      <c r="O5267" s="7" t="n"/>
    </row>
    <row r="5268">
      <c r="A5268" s="7" t="n"/>
      <c r="B5268" s="7" t="n"/>
      <c r="C5268" s="7" t="n"/>
      <c r="D5268" s="7" t="n"/>
      <c r="E5268" s="7" t="n"/>
      <c r="F5268" s="7" t="n"/>
      <c r="G5268" s="7" t="n"/>
      <c r="H5268" s="7" t="n"/>
      <c r="I5268" s="7" t="n"/>
      <c r="J5268" s="7" t="n"/>
      <c r="K5268">
        <f>IF(D5268="Legitimate Interest (GDPR Art. 6(1)(f))", "Yes / Required (Sheet 3)", "")</f>
        <v/>
      </c>
      <c r="L5268" s="7" t="n"/>
      <c r="M5268" s="7" t="n"/>
      <c r="N5268">
        <f>IF(D5268="", "Gap - No Legal Basis", IF(AND(D5268="Consent (GDPR Art. 6(1)(a))", I5268="Not Captured"), "Gap - Invalid Consent", IF(AND(D5268="Legitimate Interest (GDPR Art. 6(1)(f))", L5268=""), "Gap - Missing LIA", IF(AND(G5268="Yes", H5268=""), "Gap - Missing Art. 9 Basis", IF(OR(I5268="Invalid - Not Freely Given", I5268="Invalid - Not Specific", I5268="Invalid - Not Informed", I5268="Invalid - Ambiguous"), "Gap - Invalid Consent", "Compliant")))))</f>
        <v/>
      </c>
      <c r="O5268" s="7" t="n"/>
    </row>
    <row r="5269">
      <c r="A5269" s="7" t="n"/>
      <c r="B5269" s="7" t="n"/>
      <c r="C5269" s="7" t="n"/>
      <c r="D5269" s="7" t="n"/>
      <c r="E5269" s="7" t="n"/>
      <c r="F5269" s="7" t="n"/>
      <c r="G5269" s="7" t="n"/>
      <c r="H5269" s="7" t="n"/>
      <c r="I5269" s="7" t="n"/>
      <c r="J5269" s="7" t="n"/>
      <c r="K5269">
        <f>IF(D5269="Legitimate Interest (GDPR Art. 6(1)(f))", "Yes / Required (Sheet 3)", "")</f>
        <v/>
      </c>
      <c r="L5269" s="7" t="n"/>
      <c r="M5269" s="7" t="n"/>
      <c r="N5269">
        <f>IF(D5269="", "Gap - No Legal Basis", IF(AND(D5269="Consent (GDPR Art. 6(1)(a))", I5269="Not Captured"), "Gap - Invalid Consent", IF(AND(D5269="Legitimate Interest (GDPR Art. 6(1)(f))", L5269=""), "Gap - Missing LIA", IF(AND(G5269="Yes", H5269=""), "Gap - Missing Art. 9 Basis", IF(OR(I5269="Invalid - Not Freely Given", I5269="Invalid - Not Specific", I5269="Invalid - Not Informed", I5269="Invalid - Ambiguous"), "Gap - Invalid Consent", "Compliant")))))</f>
        <v/>
      </c>
      <c r="O5269" s="7" t="n"/>
    </row>
    <row r="5270">
      <c r="A5270" s="7" t="n"/>
      <c r="B5270" s="7" t="n"/>
      <c r="C5270" s="7" t="n"/>
      <c r="D5270" s="7" t="n"/>
      <c r="E5270" s="7" t="n"/>
      <c r="F5270" s="7" t="n"/>
      <c r="G5270" s="7" t="n"/>
      <c r="H5270" s="7" t="n"/>
      <c r="I5270" s="7" t="n"/>
      <c r="J5270" s="7" t="n"/>
      <c r="K5270">
        <f>IF(D5270="Legitimate Interest (GDPR Art. 6(1)(f))", "Yes / Required (Sheet 3)", "")</f>
        <v/>
      </c>
      <c r="L5270" s="7" t="n"/>
      <c r="M5270" s="7" t="n"/>
      <c r="N5270">
        <f>IF(D5270="", "Gap - No Legal Basis", IF(AND(D5270="Consent (GDPR Art. 6(1)(a))", I5270="Not Captured"), "Gap - Invalid Consent", IF(AND(D5270="Legitimate Interest (GDPR Art. 6(1)(f))", L5270=""), "Gap - Missing LIA", IF(AND(G5270="Yes", H5270=""), "Gap - Missing Art. 9 Basis", IF(OR(I5270="Invalid - Not Freely Given", I5270="Invalid - Not Specific", I5270="Invalid - Not Informed", I5270="Invalid - Ambiguous"), "Gap - Invalid Consent", "Compliant")))))</f>
        <v/>
      </c>
      <c r="O5270" s="7" t="n"/>
    </row>
    <row r="5271">
      <c r="A5271" s="7" t="n"/>
      <c r="B5271" s="7" t="n"/>
      <c r="C5271" s="7" t="n"/>
      <c r="D5271" s="7" t="n"/>
      <c r="E5271" s="7" t="n"/>
      <c r="F5271" s="7" t="n"/>
      <c r="G5271" s="7" t="n"/>
      <c r="H5271" s="7" t="n"/>
      <c r="I5271" s="7" t="n"/>
      <c r="J5271" s="7" t="n"/>
      <c r="K5271">
        <f>IF(D5271="Legitimate Interest (GDPR Art. 6(1)(f))", "Yes / Required (Sheet 3)", "")</f>
        <v/>
      </c>
      <c r="L5271" s="7" t="n"/>
      <c r="M5271" s="7" t="n"/>
      <c r="N5271">
        <f>IF(D5271="", "Gap - No Legal Basis", IF(AND(D5271="Consent (GDPR Art. 6(1)(a))", I5271="Not Captured"), "Gap - Invalid Consent", IF(AND(D5271="Legitimate Interest (GDPR Art. 6(1)(f))", L5271=""), "Gap - Missing LIA", IF(AND(G5271="Yes", H5271=""), "Gap - Missing Art. 9 Basis", IF(OR(I5271="Invalid - Not Freely Given", I5271="Invalid - Not Specific", I5271="Invalid - Not Informed", I5271="Invalid - Ambiguous"), "Gap - Invalid Consent", "Compliant")))))</f>
        <v/>
      </c>
      <c r="O5271" s="7" t="n"/>
    </row>
    <row r="5272">
      <c r="A5272" s="7" t="n"/>
      <c r="B5272" s="7" t="n"/>
      <c r="C5272" s="7" t="n"/>
      <c r="D5272" s="7" t="n"/>
      <c r="E5272" s="7" t="n"/>
      <c r="F5272" s="7" t="n"/>
      <c r="G5272" s="7" t="n"/>
      <c r="H5272" s="7" t="n"/>
      <c r="I5272" s="7" t="n"/>
      <c r="J5272" s="7" t="n"/>
      <c r="K5272">
        <f>IF(D5272="Legitimate Interest (GDPR Art. 6(1)(f))", "Yes / Required (Sheet 3)", "")</f>
        <v/>
      </c>
      <c r="L5272" s="7" t="n"/>
      <c r="M5272" s="7" t="n"/>
      <c r="N5272">
        <f>IF(D5272="", "Gap - No Legal Basis", IF(AND(D5272="Consent (GDPR Art. 6(1)(a))", I5272="Not Captured"), "Gap - Invalid Consent", IF(AND(D5272="Legitimate Interest (GDPR Art. 6(1)(f))", L5272=""), "Gap - Missing LIA", IF(AND(G5272="Yes", H5272=""), "Gap - Missing Art. 9 Basis", IF(OR(I5272="Invalid - Not Freely Given", I5272="Invalid - Not Specific", I5272="Invalid - Not Informed", I5272="Invalid - Ambiguous"), "Gap - Invalid Consent", "Compliant")))))</f>
        <v/>
      </c>
      <c r="O5272" s="7" t="n"/>
    </row>
    <row r="5273">
      <c r="A5273" s="7" t="n"/>
      <c r="B5273" s="7" t="n"/>
      <c r="C5273" s="7" t="n"/>
      <c r="D5273" s="7" t="n"/>
      <c r="E5273" s="7" t="n"/>
      <c r="F5273" s="7" t="n"/>
      <c r="G5273" s="7" t="n"/>
      <c r="H5273" s="7" t="n"/>
      <c r="I5273" s="7" t="n"/>
      <c r="J5273" s="7" t="n"/>
      <c r="K5273">
        <f>IF(D5273="Legitimate Interest (GDPR Art. 6(1)(f))", "Yes / Required (Sheet 3)", "")</f>
        <v/>
      </c>
      <c r="L5273" s="7" t="n"/>
      <c r="M5273" s="7" t="n"/>
      <c r="N5273">
        <f>IF(D5273="", "Gap - No Legal Basis", IF(AND(D5273="Consent (GDPR Art. 6(1)(a))", I5273="Not Captured"), "Gap - Invalid Consent", IF(AND(D5273="Legitimate Interest (GDPR Art. 6(1)(f))", L5273=""), "Gap - Missing LIA", IF(AND(G5273="Yes", H5273=""), "Gap - Missing Art. 9 Basis", IF(OR(I5273="Invalid - Not Freely Given", I5273="Invalid - Not Specific", I5273="Invalid - Not Informed", I5273="Invalid - Ambiguous"), "Gap - Invalid Consent", "Compliant")))))</f>
        <v/>
      </c>
      <c r="O5273" s="7" t="n"/>
    </row>
    <row r="5274">
      <c r="A5274" s="7" t="n"/>
      <c r="B5274" s="7" t="n"/>
      <c r="C5274" s="7" t="n"/>
      <c r="D5274" s="7" t="n"/>
      <c r="E5274" s="7" t="n"/>
      <c r="F5274" s="7" t="n"/>
      <c r="G5274" s="7" t="n"/>
      <c r="H5274" s="7" t="n"/>
      <c r="I5274" s="7" t="n"/>
      <c r="J5274" s="7" t="n"/>
      <c r="K5274">
        <f>IF(D5274="Legitimate Interest (GDPR Art. 6(1)(f))", "Yes / Required (Sheet 3)", "")</f>
        <v/>
      </c>
      <c r="L5274" s="7" t="n"/>
      <c r="M5274" s="7" t="n"/>
      <c r="N5274">
        <f>IF(D5274="", "Gap - No Legal Basis", IF(AND(D5274="Consent (GDPR Art. 6(1)(a))", I5274="Not Captured"), "Gap - Invalid Consent", IF(AND(D5274="Legitimate Interest (GDPR Art. 6(1)(f))", L5274=""), "Gap - Missing LIA", IF(AND(G5274="Yes", H5274=""), "Gap - Missing Art. 9 Basis", IF(OR(I5274="Invalid - Not Freely Given", I5274="Invalid - Not Specific", I5274="Invalid - Not Informed", I5274="Invalid - Ambiguous"), "Gap - Invalid Consent", "Compliant")))))</f>
        <v/>
      </c>
      <c r="O5274" s="7" t="n"/>
    </row>
    <row r="5275">
      <c r="A5275" s="7" t="n"/>
      <c r="B5275" s="7" t="n"/>
      <c r="C5275" s="7" t="n"/>
      <c r="D5275" s="7" t="n"/>
      <c r="E5275" s="7" t="n"/>
      <c r="F5275" s="7" t="n"/>
      <c r="G5275" s="7" t="n"/>
      <c r="H5275" s="7" t="n"/>
      <c r="I5275" s="7" t="n"/>
      <c r="J5275" s="7" t="n"/>
      <c r="K5275">
        <f>IF(D5275="Legitimate Interest (GDPR Art. 6(1)(f))", "Yes / Required (Sheet 3)", "")</f>
        <v/>
      </c>
      <c r="L5275" s="7" t="n"/>
      <c r="M5275" s="7" t="n"/>
      <c r="N5275">
        <f>IF(D5275="", "Gap - No Legal Basis", IF(AND(D5275="Consent (GDPR Art. 6(1)(a))", I5275="Not Captured"), "Gap - Invalid Consent", IF(AND(D5275="Legitimate Interest (GDPR Art. 6(1)(f))", L5275=""), "Gap - Missing LIA", IF(AND(G5275="Yes", H5275=""), "Gap - Missing Art. 9 Basis", IF(OR(I5275="Invalid - Not Freely Given", I5275="Invalid - Not Specific", I5275="Invalid - Not Informed", I5275="Invalid - Ambiguous"), "Gap - Invalid Consent", "Compliant")))))</f>
        <v/>
      </c>
      <c r="O5275" s="7" t="n"/>
    </row>
    <row r="5276">
      <c r="A5276" s="7" t="n"/>
      <c r="B5276" s="7" t="n"/>
      <c r="C5276" s="7" t="n"/>
      <c r="D5276" s="7" t="n"/>
      <c r="E5276" s="7" t="n"/>
      <c r="F5276" s="7" t="n"/>
      <c r="G5276" s="7" t="n"/>
      <c r="H5276" s="7" t="n"/>
      <c r="I5276" s="7" t="n"/>
      <c r="J5276" s="7" t="n"/>
      <c r="K5276">
        <f>IF(D5276="Legitimate Interest (GDPR Art. 6(1)(f))", "Yes / Required (Sheet 3)", "")</f>
        <v/>
      </c>
      <c r="L5276" s="7" t="n"/>
      <c r="M5276" s="7" t="n"/>
      <c r="N5276">
        <f>IF(D5276="", "Gap - No Legal Basis", IF(AND(D5276="Consent (GDPR Art. 6(1)(a))", I5276="Not Captured"), "Gap - Invalid Consent", IF(AND(D5276="Legitimate Interest (GDPR Art. 6(1)(f))", L5276=""), "Gap - Missing LIA", IF(AND(G5276="Yes", H5276=""), "Gap - Missing Art. 9 Basis", IF(OR(I5276="Invalid - Not Freely Given", I5276="Invalid - Not Specific", I5276="Invalid - Not Informed", I5276="Invalid - Ambiguous"), "Gap - Invalid Consent", "Compliant")))))</f>
        <v/>
      </c>
      <c r="O5276" s="7" t="n"/>
    </row>
    <row r="5277">
      <c r="A5277" s="7" t="n"/>
      <c r="B5277" s="7" t="n"/>
      <c r="C5277" s="7" t="n"/>
      <c r="D5277" s="7" t="n"/>
      <c r="E5277" s="7" t="n"/>
      <c r="F5277" s="7" t="n"/>
      <c r="G5277" s="7" t="n"/>
      <c r="H5277" s="7" t="n"/>
      <c r="I5277" s="7" t="n"/>
      <c r="J5277" s="7" t="n"/>
      <c r="K5277">
        <f>IF(D5277="Legitimate Interest (GDPR Art. 6(1)(f))", "Yes / Required (Sheet 3)", "")</f>
        <v/>
      </c>
      <c r="L5277" s="7" t="n"/>
      <c r="M5277" s="7" t="n"/>
      <c r="N5277">
        <f>IF(D5277="", "Gap - No Legal Basis", IF(AND(D5277="Consent (GDPR Art. 6(1)(a))", I5277="Not Captured"), "Gap - Invalid Consent", IF(AND(D5277="Legitimate Interest (GDPR Art. 6(1)(f))", L5277=""), "Gap - Missing LIA", IF(AND(G5277="Yes", H5277=""), "Gap - Missing Art. 9 Basis", IF(OR(I5277="Invalid - Not Freely Given", I5277="Invalid - Not Specific", I5277="Invalid - Not Informed", I5277="Invalid - Ambiguous"), "Gap - Invalid Consent", "Compliant")))))</f>
        <v/>
      </c>
      <c r="O5277" s="7" t="n"/>
    </row>
    <row r="5278">
      <c r="A5278" s="7" t="n"/>
      <c r="B5278" s="7" t="n"/>
      <c r="C5278" s="7" t="n"/>
      <c r="D5278" s="7" t="n"/>
      <c r="E5278" s="7" t="n"/>
      <c r="F5278" s="7" t="n"/>
      <c r="G5278" s="7" t="n"/>
      <c r="H5278" s="7" t="n"/>
      <c r="I5278" s="7" t="n"/>
      <c r="J5278" s="7" t="n"/>
      <c r="K5278">
        <f>IF(D5278="Legitimate Interest (GDPR Art. 6(1)(f))", "Yes / Required (Sheet 3)", "")</f>
        <v/>
      </c>
      <c r="L5278" s="7" t="n"/>
      <c r="M5278" s="7" t="n"/>
      <c r="N5278">
        <f>IF(D5278="", "Gap - No Legal Basis", IF(AND(D5278="Consent (GDPR Art. 6(1)(a))", I5278="Not Captured"), "Gap - Invalid Consent", IF(AND(D5278="Legitimate Interest (GDPR Art. 6(1)(f))", L5278=""), "Gap - Missing LIA", IF(AND(G5278="Yes", H5278=""), "Gap - Missing Art. 9 Basis", IF(OR(I5278="Invalid - Not Freely Given", I5278="Invalid - Not Specific", I5278="Invalid - Not Informed", I5278="Invalid - Ambiguous"), "Gap - Invalid Consent", "Compliant")))))</f>
        <v/>
      </c>
      <c r="O5278" s="7" t="n"/>
    </row>
    <row r="5279">
      <c r="A5279" s="7" t="n"/>
      <c r="B5279" s="7" t="n"/>
      <c r="C5279" s="7" t="n"/>
      <c r="D5279" s="7" t="n"/>
      <c r="E5279" s="7" t="n"/>
      <c r="F5279" s="7" t="n"/>
      <c r="G5279" s="7" t="n"/>
      <c r="H5279" s="7" t="n"/>
      <c r="I5279" s="7" t="n"/>
      <c r="J5279" s="7" t="n"/>
      <c r="K5279">
        <f>IF(D5279="Legitimate Interest (GDPR Art. 6(1)(f))", "Yes / Required (Sheet 3)", "")</f>
        <v/>
      </c>
      <c r="L5279" s="7" t="n"/>
      <c r="M5279" s="7" t="n"/>
      <c r="N5279">
        <f>IF(D5279="", "Gap - No Legal Basis", IF(AND(D5279="Consent (GDPR Art. 6(1)(a))", I5279="Not Captured"), "Gap - Invalid Consent", IF(AND(D5279="Legitimate Interest (GDPR Art. 6(1)(f))", L5279=""), "Gap - Missing LIA", IF(AND(G5279="Yes", H5279=""), "Gap - Missing Art. 9 Basis", IF(OR(I5279="Invalid - Not Freely Given", I5279="Invalid - Not Specific", I5279="Invalid - Not Informed", I5279="Invalid - Ambiguous"), "Gap - Invalid Consent", "Compliant")))))</f>
        <v/>
      </c>
      <c r="O5279" s="7" t="n"/>
    </row>
    <row r="5280">
      <c r="A5280" s="7" t="n"/>
      <c r="B5280" s="7" t="n"/>
      <c r="C5280" s="7" t="n"/>
      <c r="D5280" s="7" t="n"/>
      <c r="E5280" s="7" t="n"/>
      <c r="F5280" s="7" t="n"/>
      <c r="G5280" s="7" t="n"/>
      <c r="H5280" s="7" t="n"/>
      <c r="I5280" s="7" t="n"/>
      <c r="J5280" s="7" t="n"/>
      <c r="K5280">
        <f>IF(D5280="Legitimate Interest (GDPR Art. 6(1)(f))", "Yes / Required (Sheet 3)", "")</f>
        <v/>
      </c>
      <c r="L5280" s="7" t="n"/>
      <c r="M5280" s="7" t="n"/>
      <c r="N5280">
        <f>IF(D5280="", "Gap - No Legal Basis", IF(AND(D5280="Consent (GDPR Art. 6(1)(a))", I5280="Not Captured"), "Gap - Invalid Consent", IF(AND(D5280="Legitimate Interest (GDPR Art. 6(1)(f))", L5280=""), "Gap - Missing LIA", IF(AND(G5280="Yes", H5280=""), "Gap - Missing Art. 9 Basis", IF(OR(I5280="Invalid - Not Freely Given", I5280="Invalid - Not Specific", I5280="Invalid - Not Informed", I5280="Invalid - Ambiguous"), "Gap - Invalid Consent", "Compliant")))))</f>
        <v/>
      </c>
      <c r="O5280" s="7" t="n"/>
    </row>
    <row r="5281">
      <c r="A5281" s="7" t="n"/>
      <c r="B5281" s="7" t="n"/>
      <c r="C5281" s="7" t="n"/>
      <c r="D5281" s="7" t="n"/>
      <c r="E5281" s="7" t="n"/>
      <c r="F5281" s="7" t="n"/>
      <c r="G5281" s="7" t="n"/>
      <c r="H5281" s="7" t="n"/>
      <c r="I5281" s="7" t="n"/>
      <c r="J5281" s="7" t="n"/>
      <c r="K5281">
        <f>IF(D5281="Legitimate Interest (GDPR Art. 6(1)(f))", "Yes / Required (Sheet 3)", "")</f>
        <v/>
      </c>
      <c r="L5281" s="7" t="n"/>
      <c r="M5281" s="7" t="n"/>
      <c r="N5281">
        <f>IF(D5281="", "Gap - No Legal Basis", IF(AND(D5281="Consent (GDPR Art. 6(1)(a))", I5281="Not Captured"), "Gap - Invalid Consent", IF(AND(D5281="Legitimate Interest (GDPR Art. 6(1)(f))", L5281=""), "Gap - Missing LIA", IF(AND(G5281="Yes", H5281=""), "Gap - Missing Art. 9 Basis", IF(OR(I5281="Invalid - Not Freely Given", I5281="Invalid - Not Specific", I5281="Invalid - Not Informed", I5281="Invalid - Ambiguous"), "Gap - Invalid Consent", "Compliant")))))</f>
        <v/>
      </c>
      <c r="O5281" s="7" t="n"/>
    </row>
    <row r="5282">
      <c r="A5282" s="7" t="n"/>
      <c r="B5282" s="7" t="n"/>
      <c r="C5282" s="7" t="n"/>
      <c r="D5282" s="7" t="n"/>
      <c r="E5282" s="7" t="n"/>
      <c r="F5282" s="7" t="n"/>
      <c r="G5282" s="7" t="n"/>
      <c r="H5282" s="7" t="n"/>
      <c r="I5282" s="7" t="n"/>
      <c r="J5282" s="7" t="n"/>
      <c r="K5282">
        <f>IF(D5282="Legitimate Interest (GDPR Art. 6(1)(f))", "Yes / Required (Sheet 3)", "")</f>
        <v/>
      </c>
      <c r="L5282" s="7" t="n"/>
      <c r="M5282" s="7" t="n"/>
      <c r="N5282">
        <f>IF(D5282="", "Gap - No Legal Basis", IF(AND(D5282="Consent (GDPR Art. 6(1)(a))", I5282="Not Captured"), "Gap - Invalid Consent", IF(AND(D5282="Legitimate Interest (GDPR Art. 6(1)(f))", L5282=""), "Gap - Missing LIA", IF(AND(G5282="Yes", H5282=""), "Gap - Missing Art. 9 Basis", IF(OR(I5282="Invalid - Not Freely Given", I5282="Invalid - Not Specific", I5282="Invalid - Not Informed", I5282="Invalid - Ambiguous"), "Gap - Invalid Consent", "Compliant")))))</f>
        <v/>
      </c>
      <c r="O5282" s="7" t="n"/>
    </row>
    <row r="5283">
      <c r="A5283" s="7" t="n"/>
      <c r="B5283" s="7" t="n"/>
      <c r="C5283" s="7" t="n"/>
      <c r="D5283" s="7" t="n"/>
      <c r="E5283" s="7" t="n"/>
      <c r="F5283" s="7" t="n"/>
      <c r="G5283" s="7" t="n"/>
      <c r="H5283" s="7" t="n"/>
      <c r="I5283" s="7" t="n"/>
      <c r="J5283" s="7" t="n"/>
      <c r="K5283">
        <f>IF(D5283="Legitimate Interest (GDPR Art. 6(1)(f))", "Yes / Required (Sheet 3)", "")</f>
        <v/>
      </c>
      <c r="L5283" s="7" t="n"/>
      <c r="M5283" s="7" t="n"/>
      <c r="N5283">
        <f>IF(D5283="", "Gap - No Legal Basis", IF(AND(D5283="Consent (GDPR Art. 6(1)(a))", I5283="Not Captured"), "Gap - Invalid Consent", IF(AND(D5283="Legitimate Interest (GDPR Art. 6(1)(f))", L5283=""), "Gap - Missing LIA", IF(AND(G5283="Yes", H5283=""), "Gap - Missing Art. 9 Basis", IF(OR(I5283="Invalid - Not Freely Given", I5283="Invalid - Not Specific", I5283="Invalid - Not Informed", I5283="Invalid - Ambiguous"), "Gap - Invalid Consent", "Compliant")))))</f>
        <v/>
      </c>
      <c r="O5283" s="7" t="n"/>
    </row>
    <row r="5284">
      <c r="A5284" s="7" t="n"/>
      <c r="B5284" s="7" t="n"/>
      <c r="C5284" s="7" t="n"/>
      <c r="D5284" s="7" t="n"/>
      <c r="E5284" s="7" t="n"/>
      <c r="F5284" s="7" t="n"/>
      <c r="G5284" s="7" t="n"/>
      <c r="H5284" s="7" t="n"/>
      <c r="I5284" s="7" t="n"/>
      <c r="J5284" s="7" t="n"/>
      <c r="K5284">
        <f>IF(D5284="Legitimate Interest (GDPR Art. 6(1)(f))", "Yes / Required (Sheet 3)", "")</f>
        <v/>
      </c>
      <c r="L5284" s="7" t="n"/>
      <c r="M5284" s="7" t="n"/>
      <c r="N5284">
        <f>IF(D5284="", "Gap - No Legal Basis", IF(AND(D5284="Consent (GDPR Art. 6(1)(a))", I5284="Not Captured"), "Gap - Invalid Consent", IF(AND(D5284="Legitimate Interest (GDPR Art. 6(1)(f))", L5284=""), "Gap - Missing LIA", IF(AND(G5284="Yes", H5284=""), "Gap - Missing Art. 9 Basis", IF(OR(I5284="Invalid - Not Freely Given", I5284="Invalid - Not Specific", I5284="Invalid - Not Informed", I5284="Invalid - Ambiguous"), "Gap - Invalid Consent", "Compliant")))))</f>
        <v/>
      </c>
      <c r="O5284" s="7" t="n"/>
    </row>
    <row r="5285">
      <c r="A5285" s="7" t="n"/>
      <c r="B5285" s="7" t="n"/>
      <c r="C5285" s="7" t="n"/>
      <c r="D5285" s="7" t="n"/>
      <c r="E5285" s="7" t="n"/>
      <c r="F5285" s="7" t="n"/>
      <c r="G5285" s="7" t="n"/>
      <c r="H5285" s="7" t="n"/>
      <c r="I5285" s="7" t="n"/>
      <c r="J5285" s="7" t="n"/>
      <c r="K5285">
        <f>IF(D5285="Legitimate Interest (GDPR Art. 6(1)(f))", "Yes / Required (Sheet 3)", "")</f>
        <v/>
      </c>
      <c r="L5285" s="7" t="n"/>
      <c r="M5285" s="7" t="n"/>
      <c r="N5285">
        <f>IF(D5285="", "Gap - No Legal Basis", IF(AND(D5285="Consent (GDPR Art. 6(1)(a))", I5285="Not Captured"), "Gap - Invalid Consent", IF(AND(D5285="Legitimate Interest (GDPR Art. 6(1)(f))", L5285=""), "Gap - Missing LIA", IF(AND(G5285="Yes", H5285=""), "Gap - Missing Art. 9 Basis", IF(OR(I5285="Invalid - Not Freely Given", I5285="Invalid - Not Specific", I5285="Invalid - Not Informed", I5285="Invalid - Ambiguous"), "Gap - Invalid Consent", "Compliant")))))</f>
        <v/>
      </c>
      <c r="O5285" s="7" t="n"/>
    </row>
    <row r="5286">
      <c r="A5286" s="7" t="n"/>
      <c r="B5286" s="7" t="n"/>
      <c r="C5286" s="7" t="n"/>
      <c r="D5286" s="7" t="n"/>
      <c r="E5286" s="7" t="n"/>
      <c r="F5286" s="7" t="n"/>
      <c r="G5286" s="7" t="n"/>
      <c r="H5286" s="7" t="n"/>
      <c r="I5286" s="7" t="n"/>
      <c r="J5286" s="7" t="n"/>
      <c r="K5286">
        <f>IF(D5286="Legitimate Interest (GDPR Art. 6(1)(f))", "Yes / Required (Sheet 3)", "")</f>
        <v/>
      </c>
      <c r="L5286" s="7" t="n"/>
      <c r="M5286" s="7" t="n"/>
      <c r="N5286">
        <f>IF(D5286="", "Gap - No Legal Basis", IF(AND(D5286="Consent (GDPR Art. 6(1)(a))", I5286="Not Captured"), "Gap - Invalid Consent", IF(AND(D5286="Legitimate Interest (GDPR Art. 6(1)(f))", L5286=""), "Gap - Missing LIA", IF(AND(G5286="Yes", H5286=""), "Gap - Missing Art. 9 Basis", IF(OR(I5286="Invalid - Not Freely Given", I5286="Invalid - Not Specific", I5286="Invalid - Not Informed", I5286="Invalid - Ambiguous"), "Gap - Invalid Consent", "Compliant")))))</f>
        <v/>
      </c>
      <c r="O5286" s="7" t="n"/>
    </row>
    <row r="5287">
      <c r="A5287" s="7" t="n"/>
      <c r="B5287" s="7" t="n"/>
      <c r="C5287" s="7" t="n"/>
      <c r="D5287" s="7" t="n"/>
      <c r="E5287" s="7" t="n"/>
      <c r="F5287" s="7" t="n"/>
      <c r="G5287" s="7" t="n"/>
      <c r="H5287" s="7" t="n"/>
      <c r="I5287" s="7" t="n"/>
      <c r="J5287" s="7" t="n"/>
      <c r="K5287">
        <f>IF(D5287="Legitimate Interest (GDPR Art. 6(1)(f))", "Yes / Required (Sheet 3)", "")</f>
        <v/>
      </c>
      <c r="L5287" s="7" t="n"/>
      <c r="M5287" s="7" t="n"/>
      <c r="N5287">
        <f>IF(D5287="", "Gap - No Legal Basis", IF(AND(D5287="Consent (GDPR Art. 6(1)(a))", I5287="Not Captured"), "Gap - Invalid Consent", IF(AND(D5287="Legitimate Interest (GDPR Art. 6(1)(f))", L5287=""), "Gap - Missing LIA", IF(AND(G5287="Yes", H5287=""), "Gap - Missing Art. 9 Basis", IF(OR(I5287="Invalid - Not Freely Given", I5287="Invalid - Not Specific", I5287="Invalid - Not Informed", I5287="Invalid - Ambiguous"), "Gap - Invalid Consent", "Compliant")))))</f>
        <v/>
      </c>
      <c r="O5287" s="7" t="n"/>
    </row>
    <row r="5288">
      <c r="A5288" s="7" t="n"/>
      <c r="B5288" s="7" t="n"/>
      <c r="C5288" s="7" t="n"/>
      <c r="D5288" s="7" t="n"/>
      <c r="E5288" s="7" t="n"/>
      <c r="F5288" s="7" t="n"/>
      <c r="G5288" s="7" t="n"/>
      <c r="H5288" s="7" t="n"/>
      <c r="I5288" s="7" t="n"/>
      <c r="J5288" s="7" t="n"/>
      <c r="K5288">
        <f>IF(D5288="Legitimate Interest (GDPR Art. 6(1)(f))", "Yes / Required (Sheet 3)", "")</f>
        <v/>
      </c>
      <c r="L5288" s="7" t="n"/>
      <c r="M5288" s="7" t="n"/>
      <c r="N5288">
        <f>IF(D5288="", "Gap - No Legal Basis", IF(AND(D5288="Consent (GDPR Art. 6(1)(a))", I5288="Not Captured"), "Gap - Invalid Consent", IF(AND(D5288="Legitimate Interest (GDPR Art. 6(1)(f))", L5288=""), "Gap - Missing LIA", IF(AND(G5288="Yes", H5288=""), "Gap - Missing Art. 9 Basis", IF(OR(I5288="Invalid - Not Freely Given", I5288="Invalid - Not Specific", I5288="Invalid - Not Informed", I5288="Invalid - Ambiguous"), "Gap - Invalid Consent", "Compliant")))))</f>
        <v/>
      </c>
      <c r="O5288" s="7" t="n"/>
    </row>
    <row r="5289">
      <c r="A5289" s="7" t="n"/>
      <c r="B5289" s="7" t="n"/>
      <c r="C5289" s="7" t="n"/>
      <c r="D5289" s="7" t="n"/>
      <c r="E5289" s="7" t="n"/>
      <c r="F5289" s="7" t="n"/>
      <c r="G5289" s="7" t="n"/>
      <c r="H5289" s="7" t="n"/>
      <c r="I5289" s="7" t="n"/>
      <c r="J5289" s="7" t="n"/>
      <c r="K5289">
        <f>IF(D5289="Legitimate Interest (GDPR Art. 6(1)(f))", "Yes / Required (Sheet 3)", "")</f>
        <v/>
      </c>
      <c r="L5289" s="7" t="n"/>
      <c r="M5289" s="7" t="n"/>
      <c r="N5289">
        <f>IF(D5289="", "Gap - No Legal Basis", IF(AND(D5289="Consent (GDPR Art. 6(1)(a))", I5289="Not Captured"), "Gap - Invalid Consent", IF(AND(D5289="Legitimate Interest (GDPR Art. 6(1)(f))", L5289=""), "Gap - Missing LIA", IF(AND(G5289="Yes", H5289=""), "Gap - Missing Art. 9 Basis", IF(OR(I5289="Invalid - Not Freely Given", I5289="Invalid - Not Specific", I5289="Invalid - Not Informed", I5289="Invalid - Ambiguous"), "Gap - Invalid Consent", "Compliant")))))</f>
        <v/>
      </c>
      <c r="O5289" s="7" t="n"/>
    </row>
    <row r="5290">
      <c r="A5290" s="7" t="n"/>
      <c r="B5290" s="7" t="n"/>
      <c r="C5290" s="7" t="n"/>
      <c r="D5290" s="7" t="n"/>
      <c r="E5290" s="7" t="n"/>
      <c r="F5290" s="7" t="n"/>
      <c r="G5290" s="7" t="n"/>
      <c r="H5290" s="7" t="n"/>
      <c r="I5290" s="7" t="n"/>
      <c r="J5290" s="7" t="n"/>
      <c r="K5290">
        <f>IF(D5290="Legitimate Interest (GDPR Art. 6(1)(f))", "Yes / Required (Sheet 3)", "")</f>
        <v/>
      </c>
      <c r="L5290" s="7" t="n"/>
      <c r="M5290" s="7" t="n"/>
      <c r="N5290">
        <f>IF(D5290="", "Gap - No Legal Basis", IF(AND(D5290="Consent (GDPR Art. 6(1)(a))", I5290="Not Captured"), "Gap - Invalid Consent", IF(AND(D5290="Legitimate Interest (GDPR Art. 6(1)(f))", L5290=""), "Gap - Missing LIA", IF(AND(G5290="Yes", H5290=""), "Gap - Missing Art. 9 Basis", IF(OR(I5290="Invalid - Not Freely Given", I5290="Invalid - Not Specific", I5290="Invalid - Not Informed", I5290="Invalid - Ambiguous"), "Gap - Invalid Consent", "Compliant")))))</f>
        <v/>
      </c>
      <c r="O5290" s="7" t="n"/>
    </row>
    <row r="5291">
      <c r="A5291" s="7" t="n"/>
      <c r="B5291" s="7" t="n"/>
      <c r="C5291" s="7" t="n"/>
      <c r="D5291" s="7" t="n"/>
      <c r="E5291" s="7" t="n"/>
      <c r="F5291" s="7" t="n"/>
      <c r="G5291" s="7" t="n"/>
      <c r="H5291" s="7" t="n"/>
      <c r="I5291" s="7" t="n"/>
      <c r="J5291" s="7" t="n"/>
      <c r="K5291">
        <f>IF(D5291="Legitimate Interest (GDPR Art. 6(1)(f))", "Yes / Required (Sheet 3)", "")</f>
        <v/>
      </c>
      <c r="L5291" s="7" t="n"/>
      <c r="M5291" s="7" t="n"/>
      <c r="N5291">
        <f>IF(D5291="", "Gap - No Legal Basis", IF(AND(D5291="Consent (GDPR Art. 6(1)(a))", I5291="Not Captured"), "Gap - Invalid Consent", IF(AND(D5291="Legitimate Interest (GDPR Art. 6(1)(f))", L5291=""), "Gap - Missing LIA", IF(AND(G5291="Yes", H5291=""), "Gap - Missing Art. 9 Basis", IF(OR(I5291="Invalid - Not Freely Given", I5291="Invalid - Not Specific", I5291="Invalid - Not Informed", I5291="Invalid - Ambiguous"), "Gap - Invalid Consent", "Compliant")))))</f>
        <v/>
      </c>
      <c r="O5291" s="7" t="n"/>
    </row>
    <row r="5292">
      <c r="A5292" s="7" t="n"/>
      <c r="B5292" s="7" t="n"/>
      <c r="C5292" s="7" t="n"/>
      <c r="D5292" s="7" t="n"/>
      <c r="E5292" s="7" t="n"/>
      <c r="F5292" s="7" t="n"/>
      <c r="G5292" s="7" t="n"/>
      <c r="H5292" s="7" t="n"/>
      <c r="I5292" s="7" t="n"/>
      <c r="J5292" s="7" t="n"/>
      <c r="K5292">
        <f>IF(D5292="Legitimate Interest (GDPR Art. 6(1)(f))", "Yes / Required (Sheet 3)", "")</f>
        <v/>
      </c>
      <c r="L5292" s="7" t="n"/>
      <c r="M5292" s="7" t="n"/>
      <c r="N5292">
        <f>IF(D5292="", "Gap - No Legal Basis", IF(AND(D5292="Consent (GDPR Art. 6(1)(a))", I5292="Not Captured"), "Gap - Invalid Consent", IF(AND(D5292="Legitimate Interest (GDPR Art. 6(1)(f))", L5292=""), "Gap - Missing LIA", IF(AND(G5292="Yes", H5292=""), "Gap - Missing Art. 9 Basis", IF(OR(I5292="Invalid - Not Freely Given", I5292="Invalid - Not Specific", I5292="Invalid - Not Informed", I5292="Invalid - Ambiguous"), "Gap - Invalid Consent", "Compliant")))))</f>
        <v/>
      </c>
      <c r="O5292" s="7" t="n"/>
    </row>
    <row r="5293">
      <c r="A5293" s="7" t="n"/>
      <c r="B5293" s="7" t="n"/>
      <c r="C5293" s="7" t="n"/>
      <c r="D5293" s="7" t="n"/>
      <c r="E5293" s="7" t="n"/>
      <c r="F5293" s="7" t="n"/>
      <c r="G5293" s="7" t="n"/>
      <c r="H5293" s="7" t="n"/>
      <c r="I5293" s="7" t="n"/>
      <c r="J5293" s="7" t="n"/>
      <c r="K5293">
        <f>IF(D5293="Legitimate Interest (GDPR Art. 6(1)(f))", "Yes / Required (Sheet 3)", "")</f>
        <v/>
      </c>
      <c r="L5293" s="7" t="n"/>
      <c r="M5293" s="7" t="n"/>
      <c r="N5293">
        <f>IF(D5293="", "Gap - No Legal Basis", IF(AND(D5293="Consent (GDPR Art. 6(1)(a))", I5293="Not Captured"), "Gap - Invalid Consent", IF(AND(D5293="Legitimate Interest (GDPR Art. 6(1)(f))", L5293=""), "Gap - Missing LIA", IF(AND(G5293="Yes", H5293=""), "Gap - Missing Art. 9 Basis", IF(OR(I5293="Invalid - Not Freely Given", I5293="Invalid - Not Specific", I5293="Invalid - Not Informed", I5293="Invalid - Ambiguous"), "Gap - Invalid Consent", "Compliant")))))</f>
        <v/>
      </c>
      <c r="O5293" s="7" t="n"/>
    </row>
    <row r="5294">
      <c r="A5294" s="7" t="n"/>
      <c r="B5294" s="7" t="n"/>
      <c r="C5294" s="7" t="n"/>
      <c r="D5294" s="7" t="n"/>
      <c r="E5294" s="7" t="n"/>
      <c r="F5294" s="7" t="n"/>
      <c r="G5294" s="7" t="n"/>
      <c r="H5294" s="7" t="n"/>
      <c r="I5294" s="7" t="n"/>
      <c r="J5294" s="7" t="n"/>
      <c r="K5294">
        <f>IF(D5294="Legitimate Interest (GDPR Art. 6(1)(f))", "Yes / Required (Sheet 3)", "")</f>
        <v/>
      </c>
      <c r="L5294" s="7" t="n"/>
      <c r="M5294" s="7" t="n"/>
      <c r="N5294">
        <f>IF(D5294="", "Gap - No Legal Basis", IF(AND(D5294="Consent (GDPR Art. 6(1)(a))", I5294="Not Captured"), "Gap - Invalid Consent", IF(AND(D5294="Legitimate Interest (GDPR Art. 6(1)(f))", L5294=""), "Gap - Missing LIA", IF(AND(G5294="Yes", H5294=""), "Gap - Missing Art. 9 Basis", IF(OR(I5294="Invalid - Not Freely Given", I5294="Invalid - Not Specific", I5294="Invalid - Not Informed", I5294="Invalid - Ambiguous"), "Gap - Invalid Consent", "Compliant")))))</f>
        <v/>
      </c>
      <c r="O5294" s="7" t="n"/>
    </row>
    <row r="5295">
      <c r="A5295" s="7" t="n"/>
      <c r="B5295" s="7" t="n"/>
      <c r="C5295" s="7" t="n"/>
      <c r="D5295" s="7" t="n"/>
      <c r="E5295" s="7" t="n"/>
      <c r="F5295" s="7" t="n"/>
      <c r="G5295" s="7" t="n"/>
      <c r="H5295" s="7" t="n"/>
      <c r="I5295" s="7" t="n"/>
      <c r="J5295" s="7" t="n"/>
      <c r="K5295">
        <f>IF(D5295="Legitimate Interest (GDPR Art. 6(1)(f))", "Yes / Required (Sheet 3)", "")</f>
        <v/>
      </c>
      <c r="L5295" s="7" t="n"/>
      <c r="M5295" s="7" t="n"/>
      <c r="N5295">
        <f>IF(D5295="", "Gap - No Legal Basis", IF(AND(D5295="Consent (GDPR Art. 6(1)(a))", I5295="Not Captured"), "Gap - Invalid Consent", IF(AND(D5295="Legitimate Interest (GDPR Art. 6(1)(f))", L5295=""), "Gap - Missing LIA", IF(AND(G5295="Yes", H5295=""), "Gap - Missing Art. 9 Basis", IF(OR(I5295="Invalid - Not Freely Given", I5295="Invalid - Not Specific", I5295="Invalid - Not Informed", I5295="Invalid - Ambiguous"), "Gap - Invalid Consent", "Compliant")))))</f>
        <v/>
      </c>
      <c r="O5295" s="7" t="n"/>
    </row>
    <row r="5296">
      <c r="A5296" s="7" t="n"/>
      <c r="B5296" s="7" t="n"/>
      <c r="C5296" s="7" t="n"/>
      <c r="D5296" s="7" t="n"/>
      <c r="E5296" s="7" t="n"/>
      <c r="F5296" s="7" t="n"/>
      <c r="G5296" s="7" t="n"/>
      <c r="H5296" s="7" t="n"/>
      <c r="I5296" s="7" t="n"/>
      <c r="J5296" s="7" t="n"/>
      <c r="K5296">
        <f>IF(D5296="Legitimate Interest (GDPR Art. 6(1)(f))", "Yes / Required (Sheet 3)", "")</f>
        <v/>
      </c>
      <c r="L5296" s="7" t="n"/>
      <c r="M5296" s="7" t="n"/>
      <c r="N5296">
        <f>IF(D5296="", "Gap - No Legal Basis", IF(AND(D5296="Consent (GDPR Art. 6(1)(a))", I5296="Not Captured"), "Gap - Invalid Consent", IF(AND(D5296="Legitimate Interest (GDPR Art. 6(1)(f))", L5296=""), "Gap - Missing LIA", IF(AND(G5296="Yes", H5296=""), "Gap - Missing Art. 9 Basis", IF(OR(I5296="Invalid - Not Freely Given", I5296="Invalid - Not Specific", I5296="Invalid - Not Informed", I5296="Invalid - Ambiguous"), "Gap - Invalid Consent", "Compliant")))))</f>
        <v/>
      </c>
      <c r="O5296" s="7" t="n"/>
    </row>
    <row r="5297">
      <c r="A5297" s="7" t="n"/>
      <c r="B5297" s="7" t="n"/>
      <c r="C5297" s="7" t="n"/>
      <c r="D5297" s="7" t="n"/>
      <c r="E5297" s="7" t="n"/>
      <c r="F5297" s="7" t="n"/>
      <c r="G5297" s="7" t="n"/>
      <c r="H5297" s="7" t="n"/>
      <c r="I5297" s="7" t="n"/>
      <c r="J5297" s="7" t="n"/>
      <c r="K5297">
        <f>IF(D5297="Legitimate Interest (GDPR Art. 6(1)(f))", "Yes / Required (Sheet 3)", "")</f>
        <v/>
      </c>
      <c r="L5297" s="7" t="n"/>
      <c r="M5297" s="7" t="n"/>
      <c r="N5297">
        <f>IF(D5297="", "Gap - No Legal Basis", IF(AND(D5297="Consent (GDPR Art. 6(1)(a))", I5297="Not Captured"), "Gap - Invalid Consent", IF(AND(D5297="Legitimate Interest (GDPR Art. 6(1)(f))", L5297=""), "Gap - Missing LIA", IF(AND(G5297="Yes", H5297=""), "Gap - Missing Art. 9 Basis", IF(OR(I5297="Invalid - Not Freely Given", I5297="Invalid - Not Specific", I5297="Invalid - Not Informed", I5297="Invalid - Ambiguous"), "Gap - Invalid Consent", "Compliant")))))</f>
        <v/>
      </c>
      <c r="O5297" s="7" t="n"/>
    </row>
    <row r="5298">
      <c r="A5298" s="7" t="n"/>
      <c r="B5298" s="7" t="n"/>
      <c r="C5298" s="7" t="n"/>
      <c r="D5298" s="7" t="n"/>
      <c r="E5298" s="7" t="n"/>
      <c r="F5298" s="7" t="n"/>
      <c r="G5298" s="7" t="n"/>
      <c r="H5298" s="7" t="n"/>
      <c r="I5298" s="7" t="n"/>
      <c r="J5298" s="7" t="n"/>
      <c r="K5298">
        <f>IF(D5298="Legitimate Interest (GDPR Art. 6(1)(f))", "Yes / Required (Sheet 3)", "")</f>
        <v/>
      </c>
      <c r="L5298" s="7" t="n"/>
      <c r="M5298" s="7" t="n"/>
      <c r="N5298">
        <f>IF(D5298="", "Gap - No Legal Basis", IF(AND(D5298="Consent (GDPR Art. 6(1)(a))", I5298="Not Captured"), "Gap - Invalid Consent", IF(AND(D5298="Legitimate Interest (GDPR Art. 6(1)(f))", L5298=""), "Gap - Missing LIA", IF(AND(G5298="Yes", H5298=""), "Gap - Missing Art. 9 Basis", IF(OR(I5298="Invalid - Not Freely Given", I5298="Invalid - Not Specific", I5298="Invalid - Not Informed", I5298="Invalid - Ambiguous"), "Gap - Invalid Consent", "Compliant")))))</f>
        <v/>
      </c>
      <c r="O5298" s="7" t="n"/>
    </row>
    <row r="5299">
      <c r="A5299" s="7" t="n"/>
      <c r="B5299" s="7" t="n"/>
      <c r="C5299" s="7" t="n"/>
      <c r="D5299" s="7" t="n"/>
      <c r="E5299" s="7" t="n"/>
      <c r="F5299" s="7" t="n"/>
      <c r="G5299" s="7" t="n"/>
      <c r="H5299" s="7" t="n"/>
      <c r="I5299" s="7" t="n"/>
      <c r="J5299" s="7" t="n"/>
      <c r="K5299">
        <f>IF(D5299="Legitimate Interest (GDPR Art. 6(1)(f))", "Yes / Required (Sheet 3)", "")</f>
        <v/>
      </c>
      <c r="L5299" s="7" t="n"/>
      <c r="M5299" s="7" t="n"/>
      <c r="N5299">
        <f>IF(D5299="", "Gap - No Legal Basis", IF(AND(D5299="Consent (GDPR Art. 6(1)(a))", I5299="Not Captured"), "Gap - Invalid Consent", IF(AND(D5299="Legitimate Interest (GDPR Art. 6(1)(f))", L5299=""), "Gap - Missing LIA", IF(AND(G5299="Yes", H5299=""), "Gap - Missing Art. 9 Basis", IF(OR(I5299="Invalid - Not Freely Given", I5299="Invalid - Not Specific", I5299="Invalid - Not Informed", I5299="Invalid - Ambiguous"), "Gap - Invalid Consent", "Compliant")))))</f>
        <v/>
      </c>
      <c r="O5299" s="7" t="n"/>
    </row>
    <row r="5300">
      <c r="A5300" s="7" t="n"/>
      <c r="B5300" s="7" t="n"/>
      <c r="C5300" s="7" t="n"/>
      <c r="D5300" s="7" t="n"/>
      <c r="E5300" s="7" t="n"/>
      <c r="F5300" s="7" t="n"/>
      <c r="G5300" s="7" t="n"/>
      <c r="H5300" s="7" t="n"/>
      <c r="I5300" s="7" t="n"/>
      <c r="J5300" s="7" t="n"/>
      <c r="K5300">
        <f>IF(D5300="Legitimate Interest (GDPR Art. 6(1)(f))", "Yes / Required (Sheet 3)", "")</f>
        <v/>
      </c>
      <c r="L5300" s="7" t="n"/>
      <c r="M5300" s="7" t="n"/>
      <c r="N5300">
        <f>IF(D5300="", "Gap - No Legal Basis", IF(AND(D5300="Consent (GDPR Art. 6(1)(a))", I5300="Not Captured"), "Gap - Invalid Consent", IF(AND(D5300="Legitimate Interest (GDPR Art. 6(1)(f))", L5300=""), "Gap - Missing LIA", IF(AND(G5300="Yes", H5300=""), "Gap - Missing Art. 9 Basis", IF(OR(I5300="Invalid - Not Freely Given", I5300="Invalid - Not Specific", I5300="Invalid - Not Informed", I5300="Invalid - Ambiguous"), "Gap - Invalid Consent", "Compliant")))))</f>
        <v/>
      </c>
      <c r="O5300" s="7" t="n"/>
    </row>
    <row r="5301">
      <c r="A5301" s="7" t="n"/>
      <c r="B5301" s="7" t="n"/>
      <c r="C5301" s="7" t="n"/>
      <c r="D5301" s="7" t="n"/>
      <c r="E5301" s="7" t="n"/>
      <c r="F5301" s="7" t="n"/>
      <c r="G5301" s="7" t="n"/>
      <c r="H5301" s="7" t="n"/>
      <c r="I5301" s="7" t="n"/>
      <c r="J5301" s="7" t="n"/>
      <c r="K5301">
        <f>IF(D5301="Legitimate Interest (GDPR Art. 6(1)(f))", "Yes / Required (Sheet 3)", "")</f>
        <v/>
      </c>
      <c r="L5301" s="7" t="n"/>
      <c r="M5301" s="7" t="n"/>
      <c r="N5301">
        <f>IF(D5301="", "Gap - No Legal Basis", IF(AND(D5301="Consent (GDPR Art. 6(1)(a))", I5301="Not Captured"), "Gap - Invalid Consent", IF(AND(D5301="Legitimate Interest (GDPR Art. 6(1)(f))", L5301=""), "Gap - Missing LIA", IF(AND(G5301="Yes", H5301=""), "Gap - Missing Art. 9 Basis", IF(OR(I5301="Invalid - Not Freely Given", I5301="Invalid - Not Specific", I5301="Invalid - Not Informed", I5301="Invalid - Ambiguous"), "Gap - Invalid Consent", "Compliant")))))</f>
        <v/>
      </c>
      <c r="O5301" s="7" t="n"/>
    </row>
    <row r="5302">
      <c r="A5302" s="7" t="n"/>
      <c r="B5302" s="7" t="n"/>
      <c r="C5302" s="7" t="n"/>
      <c r="D5302" s="7" t="n"/>
      <c r="E5302" s="7" t="n"/>
      <c r="F5302" s="7" t="n"/>
      <c r="G5302" s="7" t="n"/>
      <c r="H5302" s="7" t="n"/>
      <c r="I5302" s="7" t="n"/>
      <c r="J5302" s="7" t="n"/>
      <c r="K5302">
        <f>IF(D5302="Legitimate Interest (GDPR Art. 6(1)(f))", "Yes / Required (Sheet 3)", "")</f>
        <v/>
      </c>
      <c r="L5302" s="7" t="n"/>
      <c r="M5302" s="7" t="n"/>
      <c r="N5302">
        <f>IF(D5302="", "Gap - No Legal Basis", IF(AND(D5302="Consent (GDPR Art. 6(1)(a))", I5302="Not Captured"), "Gap - Invalid Consent", IF(AND(D5302="Legitimate Interest (GDPR Art. 6(1)(f))", L5302=""), "Gap - Missing LIA", IF(AND(G5302="Yes", H5302=""), "Gap - Missing Art. 9 Basis", IF(OR(I5302="Invalid - Not Freely Given", I5302="Invalid - Not Specific", I5302="Invalid - Not Informed", I5302="Invalid - Ambiguous"), "Gap - Invalid Consent", "Compliant")))))</f>
        <v/>
      </c>
      <c r="O5302" s="7" t="n"/>
    </row>
    <row r="5303">
      <c r="A5303" s="7" t="n"/>
      <c r="B5303" s="7" t="n"/>
      <c r="C5303" s="7" t="n"/>
      <c r="D5303" s="7" t="n"/>
      <c r="E5303" s="7" t="n"/>
      <c r="F5303" s="7" t="n"/>
      <c r="G5303" s="7" t="n"/>
      <c r="H5303" s="7" t="n"/>
      <c r="I5303" s="7" t="n"/>
      <c r="J5303" s="7" t="n"/>
      <c r="K5303">
        <f>IF(D5303="Legitimate Interest (GDPR Art. 6(1)(f))", "Yes / Required (Sheet 3)", "")</f>
        <v/>
      </c>
      <c r="L5303" s="7" t="n"/>
      <c r="M5303" s="7" t="n"/>
      <c r="N5303">
        <f>IF(D5303="", "Gap - No Legal Basis", IF(AND(D5303="Consent (GDPR Art. 6(1)(a))", I5303="Not Captured"), "Gap - Invalid Consent", IF(AND(D5303="Legitimate Interest (GDPR Art. 6(1)(f))", L5303=""), "Gap - Missing LIA", IF(AND(G5303="Yes", H5303=""), "Gap - Missing Art. 9 Basis", IF(OR(I5303="Invalid - Not Freely Given", I5303="Invalid - Not Specific", I5303="Invalid - Not Informed", I5303="Invalid - Ambiguous"), "Gap - Invalid Consent", "Compliant")))))</f>
        <v/>
      </c>
      <c r="O5303" s="7" t="n"/>
    </row>
    <row r="5304">
      <c r="A5304" s="7" t="n"/>
      <c r="B5304" s="7" t="n"/>
      <c r="C5304" s="7" t="n"/>
      <c r="D5304" s="7" t="n"/>
      <c r="E5304" s="7" t="n"/>
      <c r="F5304" s="7" t="n"/>
      <c r="G5304" s="7" t="n"/>
      <c r="H5304" s="7" t="n"/>
      <c r="I5304" s="7" t="n"/>
      <c r="J5304" s="7" t="n"/>
      <c r="K5304">
        <f>IF(D5304="Legitimate Interest (GDPR Art. 6(1)(f))", "Yes / Required (Sheet 3)", "")</f>
        <v/>
      </c>
      <c r="L5304" s="7" t="n"/>
      <c r="M5304" s="7" t="n"/>
      <c r="N5304">
        <f>IF(D5304="", "Gap - No Legal Basis", IF(AND(D5304="Consent (GDPR Art. 6(1)(a))", I5304="Not Captured"), "Gap - Invalid Consent", IF(AND(D5304="Legitimate Interest (GDPR Art. 6(1)(f))", L5304=""), "Gap - Missing LIA", IF(AND(G5304="Yes", H5304=""), "Gap - Missing Art. 9 Basis", IF(OR(I5304="Invalid - Not Freely Given", I5304="Invalid - Not Specific", I5304="Invalid - Not Informed", I5304="Invalid - Ambiguous"), "Gap - Invalid Consent", "Compliant")))))</f>
        <v/>
      </c>
      <c r="O5304" s="7" t="n"/>
    </row>
    <row r="5305">
      <c r="A5305" s="7" t="n"/>
      <c r="B5305" s="7" t="n"/>
      <c r="C5305" s="7" t="n"/>
      <c r="D5305" s="7" t="n"/>
      <c r="E5305" s="7" t="n"/>
      <c r="F5305" s="7" t="n"/>
      <c r="G5305" s="7" t="n"/>
      <c r="H5305" s="7" t="n"/>
      <c r="I5305" s="7" t="n"/>
      <c r="J5305" s="7" t="n"/>
      <c r="K5305">
        <f>IF(D5305="Legitimate Interest (GDPR Art. 6(1)(f))", "Yes / Required (Sheet 3)", "")</f>
        <v/>
      </c>
      <c r="L5305" s="7" t="n"/>
      <c r="M5305" s="7" t="n"/>
      <c r="N5305">
        <f>IF(D5305="", "Gap - No Legal Basis", IF(AND(D5305="Consent (GDPR Art. 6(1)(a))", I5305="Not Captured"), "Gap - Invalid Consent", IF(AND(D5305="Legitimate Interest (GDPR Art. 6(1)(f))", L5305=""), "Gap - Missing LIA", IF(AND(G5305="Yes", H5305=""), "Gap - Missing Art. 9 Basis", IF(OR(I5305="Invalid - Not Freely Given", I5305="Invalid - Not Specific", I5305="Invalid - Not Informed", I5305="Invalid - Ambiguous"), "Gap - Invalid Consent", "Compliant")))))</f>
        <v/>
      </c>
      <c r="O5305" s="7" t="n"/>
    </row>
    <row r="5306">
      <c r="A5306" s="7" t="n"/>
      <c r="B5306" s="7" t="n"/>
      <c r="C5306" s="7" t="n"/>
      <c r="D5306" s="7" t="n"/>
      <c r="E5306" s="7" t="n"/>
      <c r="F5306" s="7" t="n"/>
      <c r="G5306" s="7" t="n"/>
      <c r="H5306" s="7" t="n"/>
      <c r="I5306" s="7" t="n"/>
      <c r="J5306" s="7" t="n"/>
      <c r="K5306">
        <f>IF(D5306="Legitimate Interest (GDPR Art. 6(1)(f))", "Yes / Required (Sheet 3)", "")</f>
        <v/>
      </c>
      <c r="L5306" s="7" t="n"/>
      <c r="M5306" s="7" t="n"/>
      <c r="N5306">
        <f>IF(D5306="", "Gap - No Legal Basis", IF(AND(D5306="Consent (GDPR Art. 6(1)(a))", I5306="Not Captured"), "Gap - Invalid Consent", IF(AND(D5306="Legitimate Interest (GDPR Art. 6(1)(f))", L5306=""), "Gap - Missing LIA", IF(AND(G5306="Yes", H5306=""), "Gap - Missing Art. 9 Basis", IF(OR(I5306="Invalid - Not Freely Given", I5306="Invalid - Not Specific", I5306="Invalid - Not Informed", I5306="Invalid - Ambiguous"), "Gap - Invalid Consent", "Compliant")))))</f>
        <v/>
      </c>
      <c r="O5306" s="7" t="n"/>
    </row>
    <row r="5307">
      <c r="A5307" s="7" t="n"/>
      <c r="B5307" s="7" t="n"/>
      <c r="C5307" s="7" t="n"/>
      <c r="D5307" s="7" t="n"/>
      <c r="E5307" s="7" t="n"/>
      <c r="F5307" s="7" t="n"/>
      <c r="G5307" s="7" t="n"/>
      <c r="H5307" s="7" t="n"/>
      <c r="I5307" s="7" t="n"/>
      <c r="J5307" s="7" t="n"/>
      <c r="K5307">
        <f>IF(D5307="Legitimate Interest (GDPR Art. 6(1)(f))", "Yes / Required (Sheet 3)", "")</f>
        <v/>
      </c>
      <c r="L5307" s="7" t="n"/>
      <c r="M5307" s="7" t="n"/>
      <c r="N5307">
        <f>IF(D5307="", "Gap - No Legal Basis", IF(AND(D5307="Consent (GDPR Art. 6(1)(a))", I5307="Not Captured"), "Gap - Invalid Consent", IF(AND(D5307="Legitimate Interest (GDPR Art. 6(1)(f))", L5307=""), "Gap - Missing LIA", IF(AND(G5307="Yes", H5307=""), "Gap - Missing Art. 9 Basis", IF(OR(I5307="Invalid - Not Freely Given", I5307="Invalid - Not Specific", I5307="Invalid - Not Informed", I5307="Invalid - Ambiguous"), "Gap - Invalid Consent", "Compliant")))))</f>
        <v/>
      </c>
      <c r="O5307" s="7" t="n"/>
    </row>
    <row r="5308">
      <c r="A5308" s="7" t="n"/>
      <c r="B5308" s="7" t="n"/>
      <c r="C5308" s="7" t="n"/>
      <c r="D5308" s="7" t="n"/>
      <c r="E5308" s="7" t="n"/>
      <c r="F5308" s="7" t="n"/>
      <c r="G5308" s="7" t="n"/>
      <c r="H5308" s="7" t="n"/>
      <c r="I5308" s="7" t="n"/>
      <c r="J5308" s="7" t="n"/>
      <c r="K5308">
        <f>IF(D5308="Legitimate Interest (GDPR Art. 6(1)(f))", "Yes / Required (Sheet 3)", "")</f>
        <v/>
      </c>
      <c r="L5308" s="7" t="n"/>
      <c r="M5308" s="7" t="n"/>
      <c r="N5308">
        <f>IF(D5308="", "Gap - No Legal Basis", IF(AND(D5308="Consent (GDPR Art. 6(1)(a))", I5308="Not Captured"), "Gap - Invalid Consent", IF(AND(D5308="Legitimate Interest (GDPR Art. 6(1)(f))", L5308=""), "Gap - Missing LIA", IF(AND(G5308="Yes", H5308=""), "Gap - Missing Art. 9 Basis", IF(OR(I5308="Invalid - Not Freely Given", I5308="Invalid - Not Specific", I5308="Invalid - Not Informed", I5308="Invalid - Ambiguous"), "Gap - Invalid Consent", "Compliant")))))</f>
        <v/>
      </c>
      <c r="O5308" s="7" t="n"/>
    </row>
    <row r="5309">
      <c r="A5309" s="7" t="n"/>
      <c r="B5309" s="7" t="n"/>
      <c r="C5309" s="7" t="n"/>
      <c r="D5309" s="7" t="n"/>
      <c r="E5309" s="7" t="n"/>
      <c r="F5309" s="7" t="n"/>
      <c r="G5309" s="7" t="n"/>
      <c r="H5309" s="7" t="n"/>
      <c r="I5309" s="7" t="n"/>
      <c r="J5309" s="7" t="n"/>
      <c r="K5309">
        <f>IF(D5309="Legitimate Interest (GDPR Art. 6(1)(f))", "Yes / Required (Sheet 3)", "")</f>
        <v/>
      </c>
      <c r="L5309" s="7" t="n"/>
      <c r="M5309" s="7" t="n"/>
      <c r="N5309">
        <f>IF(D5309="", "Gap - No Legal Basis", IF(AND(D5309="Consent (GDPR Art. 6(1)(a))", I5309="Not Captured"), "Gap - Invalid Consent", IF(AND(D5309="Legitimate Interest (GDPR Art. 6(1)(f))", L5309=""), "Gap - Missing LIA", IF(AND(G5309="Yes", H5309=""), "Gap - Missing Art. 9 Basis", IF(OR(I5309="Invalid - Not Freely Given", I5309="Invalid - Not Specific", I5309="Invalid - Not Informed", I5309="Invalid - Ambiguous"), "Gap - Invalid Consent", "Compliant")))))</f>
        <v/>
      </c>
      <c r="O5309" s="7" t="n"/>
    </row>
    <row r="5310">
      <c r="A5310" s="7" t="n"/>
      <c r="B5310" s="7" t="n"/>
      <c r="C5310" s="7" t="n"/>
      <c r="D5310" s="7" t="n"/>
      <c r="E5310" s="7" t="n"/>
      <c r="F5310" s="7" t="n"/>
      <c r="G5310" s="7" t="n"/>
      <c r="H5310" s="7" t="n"/>
      <c r="I5310" s="7" t="n"/>
      <c r="J5310" s="7" t="n"/>
      <c r="K5310">
        <f>IF(D5310="Legitimate Interest (GDPR Art. 6(1)(f))", "Yes / Required (Sheet 3)", "")</f>
        <v/>
      </c>
      <c r="L5310" s="7" t="n"/>
      <c r="M5310" s="7" t="n"/>
      <c r="N5310">
        <f>IF(D5310="", "Gap - No Legal Basis", IF(AND(D5310="Consent (GDPR Art. 6(1)(a))", I5310="Not Captured"), "Gap - Invalid Consent", IF(AND(D5310="Legitimate Interest (GDPR Art. 6(1)(f))", L5310=""), "Gap - Missing LIA", IF(AND(G5310="Yes", H5310=""), "Gap - Missing Art. 9 Basis", IF(OR(I5310="Invalid - Not Freely Given", I5310="Invalid - Not Specific", I5310="Invalid - Not Informed", I5310="Invalid - Ambiguous"), "Gap - Invalid Consent", "Compliant")))))</f>
        <v/>
      </c>
      <c r="O5310" s="7" t="n"/>
    </row>
    <row r="5311">
      <c r="A5311" s="7" t="n"/>
      <c r="B5311" s="7" t="n"/>
      <c r="C5311" s="7" t="n"/>
      <c r="D5311" s="7" t="n"/>
      <c r="E5311" s="7" t="n"/>
      <c r="F5311" s="7" t="n"/>
      <c r="G5311" s="7" t="n"/>
      <c r="H5311" s="7" t="n"/>
      <c r="I5311" s="7" t="n"/>
      <c r="J5311" s="7" t="n"/>
      <c r="K5311">
        <f>IF(D5311="Legitimate Interest (GDPR Art. 6(1)(f))", "Yes / Required (Sheet 3)", "")</f>
        <v/>
      </c>
      <c r="L5311" s="7" t="n"/>
      <c r="M5311" s="7" t="n"/>
      <c r="N5311">
        <f>IF(D5311="", "Gap - No Legal Basis", IF(AND(D5311="Consent (GDPR Art. 6(1)(a))", I5311="Not Captured"), "Gap - Invalid Consent", IF(AND(D5311="Legitimate Interest (GDPR Art. 6(1)(f))", L5311=""), "Gap - Missing LIA", IF(AND(G5311="Yes", H5311=""), "Gap - Missing Art. 9 Basis", IF(OR(I5311="Invalid - Not Freely Given", I5311="Invalid - Not Specific", I5311="Invalid - Not Informed", I5311="Invalid - Ambiguous"), "Gap - Invalid Consent", "Compliant")))))</f>
        <v/>
      </c>
      <c r="O5311" s="7" t="n"/>
    </row>
    <row r="5312">
      <c r="A5312" s="7" t="n"/>
      <c r="B5312" s="7" t="n"/>
      <c r="C5312" s="7" t="n"/>
      <c r="D5312" s="7" t="n"/>
      <c r="E5312" s="7" t="n"/>
      <c r="F5312" s="7" t="n"/>
      <c r="G5312" s="7" t="n"/>
      <c r="H5312" s="7" t="n"/>
      <c r="I5312" s="7" t="n"/>
      <c r="J5312" s="7" t="n"/>
      <c r="K5312">
        <f>IF(D5312="Legitimate Interest (GDPR Art. 6(1)(f))", "Yes / Required (Sheet 3)", "")</f>
        <v/>
      </c>
      <c r="L5312" s="7" t="n"/>
      <c r="M5312" s="7" t="n"/>
      <c r="N5312">
        <f>IF(D5312="", "Gap - No Legal Basis", IF(AND(D5312="Consent (GDPR Art. 6(1)(a))", I5312="Not Captured"), "Gap - Invalid Consent", IF(AND(D5312="Legitimate Interest (GDPR Art. 6(1)(f))", L5312=""), "Gap - Missing LIA", IF(AND(G5312="Yes", H5312=""), "Gap - Missing Art. 9 Basis", IF(OR(I5312="Invalid - Not Freely Given", I5312="Invalid - Not Specific", I5312="Invalid - Not Informed", I5312="Invalid - Ambiguous"), "Gap - Invalid Consent", "Compliant")))))</f>
        <v/>
      </c>
      <c r="O5312" s="7" t="n"/>
    </row>
    <row r="5313">
      <c r="A5313" s="7" t="n"/>
      <c r="B5313" s="7" t="n"/>
      <c r="C5313" s="7" t="n"/>
      <c r="D5313" s="7" t="n"/>
      <c r="E5313" s="7" t="n"/>
      <c r="F5313" s="7" t="n"/>
      <c r="G5313" s="7" t="n"/>
      <c r="H5313" s="7" t="n"/>
      <c r="I5313" s="7" t="n"/>
      <c r="J5313" s="7" t="n"/>
      <c r="K5313">
        <f>IF(D5313="Legitimate Interest (GDPR Art. 6(1)(f))", "Yes / Required (Sheet 3)", "")</f>
        <v/>
      </c>
      <c r="L5313" s="7" t="n"/>
      <c r="M5313" s="7" t="n"/>
      <c r="N5313">
        <f>IF(D5313="", "Gap - No Legal Basis", IF(AND(D5313="Consent (GDPR Art. 6(1)(a))", I5313="Not Captured"), "Gap - Invalid Consent", IF(AND(D5313="Legitimate Interest (GDPR Art. 6(1)(f))", L5313=""), "Gap - Missing LIA", IF(AND(G5313="Yes", H5313=""), "Gap - Missing Art. 9 Basis", IF(OR(I5313="Invalid - Not Freely Given", I5313="Invalid - Not Specific", I5313="Invalid - Not Informed", I5313="Invalid - Ambiguous"), "Gap - Invalid Consent", "Compliant")))))</f>
        <v/>
      </c>
      <c r="O5313" s="7" t="n"/>
    </row>
    <row r="5314">
      <c r="A5314" s="7" t="n"/>
      <c r="B5314" s="7" t="n"/>
      <c r="C5314" s="7" t="n"/>
      <c r="D5314" s="7" t="n"/>
      <c r="E5314" s="7" t="n"/>
      <c r="F5314" s="7" t="n"/>
      <c r="G5314" s="7" t="n"/>
      <c r="H5314" s="7" t="n"/>
      <c r="I5314" s="7" t="n"/>
      <c r="J5314" s="7" t="n"/>
      <c r="K5314">
        <f>IF(D5314="Legitimate Interest (GDPR Art. 6(1)(f))", "Yes / Required (Sheet 3)", "")</f>
        <v/>
      </c>
      <c r="L5314" s="7" t="n"/>
      <c r="M5314" s="7" t="n"/>
      <c r="N5314">
        <f>IF(D5314="", "Gap - No Legal Basis", IF(AND(D5314="Consent (GDPR Art. 6(1)(a))", I5314="Not Captured"), "Gap - Invalid Consent", IF(AND(D5314="Legitimate Interest (GDPR Art. 6(1)(f))", L5314=""), "Gap - Missing LIA", IF(AND(G5314="Yes", H5314=""), "Gap - Missing Art. 9 Basis", IF(OR(I5314="Invalid - Not Freely Given", I5314="Invalid - Not Specific", I5314="Invalid - Not Informed", I5314="Invalid - Ambiguous"), "Gap - Invalid Consent", "Compliant")))))</f>
        <v/>
      </c>
      <c r="O5314" s="7" t="n"/>
    </row>
    <row r="5315">
      <c r="A5315" s="7" t="n"/>
      <c r="B5315" s="7" t="n"/>
      <c r="C5315" s="7" t="n"/>
      <c r="D5315" s="7" t="n"/>
      <c r="E5315" s="7" t="n"/>
      <c r="F5315" s="7" t="n"/>
      <c r="G5315" s="7" t="n"/>
      <c r="H5315" s="7" t="n"/>
      <c r="I5315" s="7" t="n"/>
      <c r="J5315" s="7" t="n"/>
      <c r="K5315">
        <f>IF(D5315="Legitimate Interest (GDPR Art. 6(1)(f))", "Yes / Required (Sheet 3)", "")</f>
        <v/>
      </c>
      <c r="L5315" s="7" t="n"/>
      <c r="M5315" s="7" t="n"/>
      <c r="N5315">
        <f>IF(D5315="", "Gap - No Legal Basis", IF(AND(D5315="Consent (GDPR Art. 6(1)(a))", I5315="Not Captured"), "Gap - Invalid Consent", IF(AND(D5315="Legitimate Interest (GDPR Art. 6(1)(f))", L5315=""), "Gap - Missing LIA", IF(AND(G5315="Yes", H5315=""), "Gap - Missing Art. 9 Basis", IF(OR(I5315="Invalid - Not Freely Given", I5315="Invalid - Not Specific", I5315="Invalid - Not Informed", I5315="Invalid - Ambiguous"), "Gap - Invalid Consent", "Compliant")))))</f>
        <v/>
      </c>
      <c r="O5315" s="7" t="n"/>
    </row>
    <row r="5316">
      <c r="A5316" s="7" t="n"/>
      <c r="B5316" s="7" t="n"/>
      <c r="C5316" s="7" t="n"/>
      <c r="D5316" s="7" t="n"/>
      <c r="E5316" s="7" t="n"/>
      <c r="F5316" s="7" t="n"/>
      <c r="G5316" s="7" t="n"/>
      <c r="H5316" s="7" t="n"/>
      <c r="I5316" s="7" t="n"/>
      <c r="J5316" s="7" t="n"/>
      <c r="K5316">
        <f>IF(D5316="Legitimate Interest (GDPR Art. 6(1)(f))", "Yes / Required (Sheet 3)", "")</f>
        <v/>
      </c>
      <c r="L5316" s="7" t="n"/>
      <c r="M5316" s="7" t="n"/>
      <c r="N5316">
        <f>IF(D5316="", "Gap - No Legal Basis", IF(AND(D5316="Consent (GDPR Art. 6(1)(a))", I5316="Not Captured"), "Gap - Invalid Consent", IF(AND(D5316="Legitimate Interest (GDPR Art. 6(1)(f))", L5316=""), "Gap - Missing LIA", IF(AND(G5316="Yes", H5316=""), "Gap - Missing Art. 9 Basis", IF(OR(I5316="Invalid - Not Freely Given", I5316="Invalid - Not Specific", I5316="Invalid - Not Informed", I5316="Invalid - Ambiguous"), "Gap - Invalid Consent", "Compliant")))))</f>
        <v/>
      </c>
      <c r="O5316" s="7" t="n"/>
    </row>
    <row r="5317">
      <c r="A5317" s="7" t="n"/>
      <c r="B5317" s="7" t="n"/>
      <c r="C5317" s="7" t="n"/>
      <c r="D5317" s="7" t="n"/>
      <c r="E5317" s="7" t="n"/>
      <c r="F5317" s="7" t="n"/>
      <c r="G5317" s="7" t="n"/>
      <c r="H5317" s="7" t="n"/>
      <c r="I5317" s="7" t="n"/>
      <c r="J5317" s="7" t="n"/>
      <c r="K5317">
        <f>IF(D5317="Legitimate Interest (GDPR Art. 6(1)(f))", "Yes / Required (Sheet 3)", "")</f>
        <v/>
      </c>
      <c r="L5317" s="7" t="n"/>
      <c r="M5317" s="7" t="n"/>
      <c r="N5317">
        <f>IF(D5317="", "Gap - No Legal Basis", IF(AND(D5317="Consent (GDPR Art. 6(1)(a))", I5317="Not Captured"), "Gap - Invalid Consent", IF(AND(D5317="Legitimate Interest (GDPR Art. 6(1)(f))", L5317=""), "Gap - Missing LIA", IF(AND(G5317="Yes", H5317=""), "Gap - Missing Art. 9 Basis", IF(OR(I5317="Invalid - Not Freely Given", I5317="Invalid - Not Specific", I5317="Invalid - Not Informed", I5317="Invalid - Ambiguous"), "Gap - Invalid Consent", "Compliant")))))</f>
        <v/>
      </c>
      <c r="O5317" s="7" t="n"/>
    </row>
    <row r="5318">
      <c r="A5318" s="7" t="n"/>
      <c r="B5318" s="7" t="n"/>
      <c r="C5318" s="7" t="n"/>
      <c r="D5318" s="7" t="n"/>
      <c r="E5318" s="7" t="n"/>
      <c r="F5318" s="7" t="n"/>
      <c r="G5318" s="7" t="n"/>
      <c r="H5318" s="7" t="n"/>
      <c r="I5318" s="7" t="n"/>
      <c r="J5318" s="7" t="n"/>
      <c r="K5318">
        <f>IF(D5318="Legitimate Interest (GDPR Art. 6(1)(f))", "Yes / Required (Sheet 3)", "")</f>
        <v/>
      </c>
      <c r="L5318" s="7" t="n"/>
      <c r="M5318" s="7" t="n"/>
      <c r="N5318">
        <f>IF(D5318="", "Gap - No Legal Basis", IF(AND(D5318="Consent (GDPR Art. 6(1)(a))", I5318="Not Captured"), "Gap - Invalid Consent", IF(AND(D5318="Legitimate Interest (GDPR Art. 6(1)(f))", L5318=""), "Gap - Missing LIA", IF(AND(G5318="Yes", H5318=""), "Gap - Missing Art. 9 Basis", IF(OR(I5318="Invalid - Not Freely Given", I5318="Invalid - Not Specific", I5318="Invalid - Not Informed", I5318="Invalid - Ambiguous"), "Gap - Invalid Consent", "Compliant")))))</f>
        <v/>
      </c>
      <c r="O5318" s="7" t="n"/>
    </row>
    <row r="5319">
      <c r="A5319" s="7" t="n"/>
      <c r="B5319" s="7" t="n"/>
      <c r="C5319" s="7" t="n"/>
      <c r="D5319" s="7" t="n"/>
      <c r="E5319" s="7" t="n"/>
      <c r="F5319" s="7" t="n"/>
      <c r="G5319" s="7" t="n"/>
      <c r="H5319" s="7" t="n"/>
      <c r="I5319" s="7" t="n"/>
      <c r="J5319" s="7" t="n"/>
      <c r="K5319">
        <f>IF(D5319="Legitimate Interest (GDPR Art. 6(1)(f))", "Yes / Required (Sheet 3)", "")</f>
        <v/>
      </c>
      <c r="L5319" s="7" t="n"/>
      <c r="M5319" s="7" t="n"/>
      <c r="N5319">
        <f>IF(D5319="", "Gap - No Legal Basis", IF(AND(D5319="Consent (GDPR Art. 6(1)(a))", I5319="Not Captured"), "Gap - Invalid Consent", IF(AND(D5319="Legitimate Interest (GDPR Art. 6(1)(f))", L5319=""), "Gap - Missing LIA", IF(AND(G5319="Yes", H5319=""), "Gap - Missing Art. 9 Basis", IF(OR(I5319="Invalid - Not Freely Given", I5319="Invalid - Not Specific", I5319="Invalid - Not Informed", I5319="Invalid - Ambiguous"), "Gap - Invalid Consent", "Compliant")))))</f>
        <v/>
      </c>
      <c r="O5319" s="7" t="n"/>
    </row>
    <row r="5320">
      <c r="A5320" s="7" t="n"/>
      <c r="B5320" s="7" t="n"/>
      <c r="C5320" s="7" t="n"/>
      <c r="D5320" s="7" t="n"/>
      <c r="E5320" s="7" t="n"/>
      <c r="F5320" s="7" t="n"/>
      <c r="G5320" s="7" t="n"/>
      <c r="H5320" s="7" t="n"/>
      <c r="I5320" s="7" t="n"/>
      <c r="J5320" s="7" t="n"/>
      <c r="K5320">
        <f>IF(D5320="Legitimate Interest (GDPR Art. 6(1)(f))", "Yes / Required (Sheet 3)", "")</f>
        <v/>
      </c>
      <c r="L5320" s="7" t="n"/>
      <c r="M5320" s="7" t="n"/>
      <c r="N5320">
        <f>IF(D5320="", "Gap - No Legal Basis", IF(AND(D5320="Consent (GDPR Art. 6(1)(a))", I5320="Not Captured"), "Gap - Invalid Consent", IF(AND(D5320="Legitimate Interest (GDPR Art. 6(1)(f))", L5320=""), "Gap - Missing LIA", IF(AND(G5320="Yes", H5320=""), "Gap - Missing Art. 9 Basis", IF(OR(I5320="Invalid - Not Freely Given", I5320="Invalid - Not Specific", I5320="Invalid - Not Informed", I5320="Invalid - Ambiguous"), "Gap - Invalid Consent", "Compliant")))))</f>
        <v/>
      </c>
      <c r="O5320" s="7" t="n"/>
    </row>
    <row r="5321">
      <c r="A5321" s="7" t="n"/>
      <c r="B5321" s="7" t="n"/>
      <c r="C5321" s="7" t="n"/>
      <c r="D5321" s="7" t="n"/>
      <c r="E5321" s="7" t="n"/>
      <c r="F5321" s="7" t="n"/>
      <c r="G5321" s="7" t="n"/>
      <c r="H5321" s="7" t="n"/>
      <c r="I5321" s="7" t="n"/>
      <c r="J5321" s="7" t="n"/>
      <c r="K5321">
        <f>IF(D5321="Legitimate Interest (GDPR Art. 6(1)(f))", "Yes / Required (Sheet 3)", "")</f>
        <v/>
      </c>
      <c r="L5321" s="7" t="n"/>
      <c r="M5321" s="7" t="n"/>
      <c r="N5321">
        <f>IF(D5321="", "Gap - No Legal Basis", IF(AND(D5321="Consent (GDPR Art. 6(1)(a))", I5321="Not Captured"), "Gap - Invalid Consent", IF(AND(D5321="Legitimate Interest (GDPR Art. 6(1)(f))", L5321=""), "Gap - Missing LIA", IF(AND(G5321="Yes", H5321=""), "Gap - Missing Art. 9 Basis", IF(OR(I5321="Invalid - Not Freely Given", I5321="Invalid - Not Specific", I5321="Invalid - Not Informed", I5321="Invalid - Ambiguous"), "Gap - Invalid Consent", "Compliant")))))</f>
        <v/>
      </c>
      <c r="O5321" s="7" t="n"/>
    </row>
    <row r="5322">
      <c r="A5322" s="7" t="n"/>
      <c r="B5322" s="7" t="n"/>
      <c r="C5322" s="7" t="n"/>
      <c r="D5322" s="7" t="n"/>
      <c r="E5322" s="7" t="n"/>
      <c r="F5322" s="7" t="n"/>
      <c r="G5322" s="7" t="n"/>
      <c r="H5322" s="7" t="n"/>
      <c r="I5322" s="7" t="n"/>
      <c r="J5322" s="7" t="n"/>
      <c r="K5322">
        <f>IF(D5322="Legitimate Interest (GDPR Art. 6(1)(f))", "Yes / Required (Sheet 3)", "")</f>
        <v/>
      </c>
      <c r="L5322" s="7" t="n"/>
      <c r="M5322" s="7" t="n"/>
      <c r="N5322">
        <f>IF(D5322="", "Gap - No Legal Basis", IF(AND(D5322="Consent (GDPR Art. 6(1)(a))", I5322="Not Captured"), "Gap - Invalid Consent", IF(AND(D5322="Legitimate Interest (GDPR Art. 6(1)(f))", L5322=""), "Gap - Missing LIA", IF(AND(G5322="Yes", H5322=""), "Gap - Missing Art. 9 Basis", IF(OR(I5322="Invalid - Not Freely Given", I5322="Invalid - Not Specific", I5322="Invalid - Not Informed", I5322="Invalid - Ambiguous"), "Gap - Invalid Consent", "Compliant")))))</f>
        <v/>
      </c>
      <c r="O5322" s="7" t="n"/>
    </row>
    <row r="5323">
      <c r="A5323" s="7" t="n"/>
      <c r="B5323" s="7" t="n"/>
      <c r="C5323" s="7" t="n"/>
      <c r="D5323" s="7" t="n"/>
      <c r="E5323" s="7" t="n"/>
      <c r="F5323" s="7" t="n"/>
      <c r="G5323" s="7" t="n"/>
      <c r="H5323" s="7" t="n"/>
      <c r="I5323" s="7" t="n"/>
      <c r="J5323" s="7" t="n"/>
      <c r="K5323">
        <f>IF(D5323="Legitimate Interest (GDPR Art. 6(1)(f))", "Yes / Required (Sheet 3)", "")</f>
        <v/>
      </c>
      <c r="L5323" s="7" t="n"/>
      <c r="M5323" s="7" t="n"/>
      <c r="N5323">
        <f>IF(D5323="", "Gap - No Legal Basis", IF(AND(D5323="Consent (GDPR Art. 6(1)(a))", I5323="Not Captured"), "Gap - Invalid Consent", IF(AND(D5323="Legitimate Interest (GDPR Art. 6(1)(f))", L5323=""), "Gap - Missing LIA", IF(AND(G5323="Yes", H5323=""), "Gap - Missing Art. 9 Basis", IF(OR(I5323="Invalid - Not Freely Given", I5323="Invalid - Not Specific", I5323="Invalid - Not Informed", I5323="Invalid - Ambiguous"), "Gap - Invalid Consent", "Compliant")))))</f>
        <v/>
      </c>
      <c r="O5323" s="7" t="n"/>
    </row>
    <row r="5324">
      <c r="A5324" s="7" t="n"/>
      <c r="B5324" s="7" t="n"/>
      <c r="C5324" s="7" t="n"/>
      <c r="D5324" s="7" t="n"/>
      <c r="E5324" s="7" t="n"/>
      <c r="F5324" s="7" t="n"/>
      <c r="G5324" s="7" t="n"/>
      <c r="H5324" s="7" t="n"/>
      <c r="I5324" s="7" t="n"/>
      <c r="J5324" s="7" t="n"/>
      <c r="K5324">
        <f>IF(D5324="Legitimate Interest (GDPR Art. 6(1)(f))", "Yes / Required (Sheet 3)", "")</f>
        <v/>
      </c>
      <c r="L5324" s="7" t="n"/>
      <c r="M5324" s="7" t="n"/>
      <c r="N5324">
        <f>IF(D5324="", "Gap - No Legal Basis", IF(AND(D5324="Consent (GDPR Art. 6(1)(a))", I5324="Not Captured"), "Gap - Invalid Consent", IF(AND(D5324="Legitimate Interest (GDPR Art. 6(1)(f))", L5324=""), "Gap - Missing LIA", IF(AND(G5324="Yes", H5324=""), "Gap - Missing Art. 9 Basis", IF(OR(I5324="Invalid - Not Freely Given", I5324="Invalid - Not Specific", I5324="Invalid - Not Informed", I5324="Invalid - Ambiguous"), "Gap - Invalid Consent", "Compliant")))))</f>
        <v/>
      </c>
      <c r="O5324" s="7" t="n"/>
    </row>
    <row r="5325">
      <c r="A5325" s="7" t="n"/>
      <c r="B5325" s="7" t="n"/>
      <c r="C5325" s="7" t="n"/>
      <c r="D5325" s="7" t="n"/>
      <c r="E5325" s="7" t="n"/>
      <c r="F5325" s="7" t="n"/>
      <c r="G5325" s="7" t="n"/>
      <c r="H5325" s="7" t="n"/>
      <c r="I5325" s="7" t="n"/>
      <c r="J5325" s="7" t="n"/>
      <c r="K5325">
        <f>IF(D5325="Legitimate Interest (GDPR Art. 6(1)(f))", "Yes / Required (Sheet 3)", "")</f>
        <v/>
      </c>
      <c r="L5325" s="7" t="n"/>
      <c r="M5325" s="7" t="n"/>
      <c r="N5325">
        <f>IF(D5325="", "Gap - No Legal Basis", IF(AND(D5325="Consent (GDPR Art. 6(1)(a))", I5325="Not Captured"), "Gap - Invalid Consent", IF(AND(D5325="Legitimate Interest (GDPR Art. 6(1)(f))", L5325=""), "Gap - Missing LIA", IF(AND(G5325="Yes", H5325=""), "Gap - Missing Art. 9 Basis", IF(OR(I5325="Invalid - Not Freely Given", I5325="Invalid - Not Specific", I5325="Invalid - Not Informed", I5325="Invalid - Ambiguous"), "Gap - Invalid Consent", "Compliant")))))</f>
        <v/>
      </c>
      <c r="O5325" s="7" t="n"/>
    </row>
    <row r="5326">
      <c r="A5326" s="7" t="n"/>
      <c r="B5326" s="7" t="n"/>
      <c r="C5326" s="7" t="n"/>
      <c r="D5326" s="7" t="n"/>
      <c r="E5326" s="7" t="n"/>
      <c r="F5326" s="7" t="n"/>
      <c r="G5326" s="7" t="n"/>
      <c r="H5326" s="7" t="n"/>
      <c r="I5326" s="7" t="n"/>
      <c r="J5326" s="7" t="n"/>
      <c r="K5326">
        <f>IF(D5326="Legitimate Interest (GDPR Art. 6(1)(f))", "Yes / Required (Sheet 3)", "")</f>
        <v/>
      </c>
      <c r="L5326" s="7" t="n"/>
      <c r="M5326" s="7" t="n"/>
      <c r="N5326">
        <f>IF(D5326="", "Gap - No Legal Basis", IF(AND(D5326="Consent (GDPR Art. 6(1)(a))", I5326="Not Captured"), "Gap - Invalid Consent", IF(AND(D5326="Legitimate Interest (GDPR Art. 6(1)(f))", L5326=""), "Gap - Missing LIA", IF(AND(G5326="Yes", H5326=""), "Gap - Missing Art. 9 Basis", IF(OR(I5326="Invalid - Not Freely Given", I5326="Invalid - Not Specific", I5326="Invalid - Not Informed", I5326="Invalid - Ambiguous"), "Gap - Invalid Consent", "Compliant")))))</f>
        <v/>
      </c>
      <c r="O5326" s="7" t="n"/>
    </row>
    <row r="5327">
      <c r="A5327" s="7" t="n"/>
      <c r="B5327" s="7" t="n"/>
      <c r="C5327" s="7" t="n"/>
      <c r="D5327" s="7" t="n"/>
      <c r="E5327" s="7" t="n"/>
      <c r="F5327" s="7" t="n"/>
      <c r="G5327" s="7" t="n"/>
      <c r="H5327" s="7" t="n"/>
      <c r="I5327" s="7" t="n"/>
      <c r="J5327" s="7" t="n"/>
      <c r="K5327">
        <f>IF(D5327="Legitimate Interest (GDPR Art. 6(1)(f))", "Yes / Required (Sheet 3)", "")</f>
        <v/>
      </c>
      <c r="L5327" s="7" t="n"/>
      <c r="M5327" s="7" t="n"/>
      <c r="N5327">
        <f>IF(D5327="", "Gap - No Legal Basis", IF(AND(D5327="Consent (GDPR Art. 6(1)(a))", I5327="Not Captured"), "Gap - Invalid Consent", IF(AND(D5327="Legitimate Interest (GDPR Art. 6(1)(f))", L5327=""), "Gap - Missing LIA", IF(AND(G5327="Yes", H5327=""), "Gap - Missing Art. 9 Basis", IF(OR(I5327="Invalid - Not Freely Given", I5327="Invalid - Not Specific", I5327="Invalid - Not Informed", I5327="Invalid - Ambiguous"), "Gap - Invalid Consent", "Compliant")))))</f>
        <v/>
      </c>
      <c r="O5327" s="7" t="n"/>
    </row>
    <row r="5328">
      <c r="A5328" s="7" t="n"/>
      <c r="B5328" s="7" t="n"/>
      <c r="C5328" s="7" t="n"/>
      <c r="D5328" s="7" t="n"/>
      <c r="E5328" s="7" t="n"/>
      <c r="F5328" s="7" t="n"/>
      <c r="G5328" s="7" t="n"/>
      <c r="H5328" s="7" t="n"/>
      <c r="I5328" s="7" t="n"/>
      <c r="J5328" s="7" t="n"/>
      <c r="K5328">
        <f>IF(D5328="Legitimate Interest (GDPR Art. 6(1)(f))", "Yes / Required (Sheet 3)", "")</f>
        <v/>
      </c>
      <c r="L5328" s="7" t="n"/>
      <c r="M5328" s="7" t="n"/>
      <c r="N5328">
        <f>IF(D5328="", "Gap - No Legal Basis", IF(AND(D5328="Consent (GDPR Art. 6(1)(a))", I5328="Not Captured"), "Gap - Invalid Consent", IF(AND(D5328="Legitimate Interest (GDPR Art. 6(1)(f))", L5328=""), "Gap - Missing LIA", IF(AND(G5328="Yes", H5328=""), "Gap - Missing Art. 9 Basis", IF(OR(I5328="Invalid - Not Freely Given", I5328="Invalid - Not Specific", I5328="Invalid - Not Informed", I5328="Invalid - Ambiguous"), "Gap - Invalid Consent", "Compliant")))))</f>
        <v/>
      </c>
      <c r="O5328" s="7" t="n"/>
    </row>
    <row r="5329">
      <c r="A5329" s="7" t="n"/>
      <c r="B5329" s="7" t="n"/>
      <c r="C5329" s="7" t="n"/>
      <c r="D5329" s="7" t="n"/>
      <c r="E5329" s="7" t="n"/>
      <c r="F5329" s="7" t="n"/>
      <c r="G5329" s="7" t="n"/>
      <c r="H5329" s="7" t="n"/>
      <c r="I5329" s="7" t="n"/>
      <c r="J5329" s="7" t="n"/>
      <c r="K5329">
        <f>IF(D5329="Legitimate Interest (GDPR Art. 6(1)(f))", "Yes / Required (Sheet 3)", "")</f>
        <v/>
      </c>
      <c r="L5329" s="7" t="n"/>
      <c r="M5329" s="7" t="n"/>
      <c r="N5329">
        <f>IF(D5329="", "Gap - No Legal Basis", IF(AND(D5329="Consent (GDPR Art. 6(1)(a))", I5329="Not Captured"), "Gap - Invalid Consent", IF(AND(D5329="Legitimate Interest (GDPR Art. 6(1)(f))", L5329=""), "Gap - Missing LIA", IF(AND(G5329="Yes", H5329=""), "Gap - Missing Art. 9 Basis", IF(OR(I5329="Invalid - Not Freely Given", I5329="Invalid - Not Specific", I5329="Invalid - Not Informed", I5329="Invalid - Ambiguous"), "Gap - Invalid Consent", "Compliant")))))</f>
        <v/>
      </c>
      <c r="O5329" s="7" t="n"/>
    </row>
    <row r="5330">
      <c r="A5330" s="7" t="n"/>
      <c r="B5330" s="7" t="n"/>
      <c r="C5330" s="7" t="n"/>
      <c r="D5330" s="7" t="n"/>
      <c r="E5330" s="7" t="n"/>
      <c r="F5330" s="7" t="n"/>
      <c r="G5330" s="7" t="n"/>
      <c r="H5330" s="7" t="n"/>
      <c r="I5330" s="7" t="n"/>
      <c r="J5330" s="7" t="n"/>
      <c r="K5330">
        <f>IF(D5330="Legitimate Interest (GDPR Art. 6(1)(f))", "Yes / Required (Sheet 3)", "")</f>
        <v/>
      </c>
      <c r="L5330" s="7" t="n"/>
      <c r="M5330" s="7" t="n"/>
      <c r="N5330">
        <f>IF(D5330="", "Gap - No Legal Basis", IF(AND(D5330="Consent (GDPR Art. 6(1)(a))", I5330="Not Captured"), "Gap - Invalid Consent", IF(AND(D5330="Legitimate Interest (GDPR Art. 6(1)(f))", L5330=""), "Gap - Missing LIA", IF(AND(G5330="Yes", H5330=""), "Gap - Missing Art. 9 Basis", IF(OR(I5330="Invalid - Not Freely Given", I5330="Invalid - Not Specific", I5330="Invalid - Not Informed", I5330="Invalid - Ambiguous"), "Gap - Invalid Consent", "Compliant")))))</f>
        <v/>
      </c>
      <c r="O5330" s="7" t="n"/>
    </row>
    <row r="5331">
      <c r="A5331" s="7" t="n"/>
      <c r="B5331" s="7" t="n"/>
      <c r="C5331" s="7" t="n"/>
      <c r="D5331" s="7" t="n"/>
      <c r="E5331" s="7" t="n"/>
      <c r="F5331" s="7" t="n"/>
      <c r="G5331" s="7" t="n"/>
      <c r="H5331" s="7" t="n"/>
      <c r="I5331" s="7" t="n"/>
      <c r="J5331" s="7" t="n"/>
      <c r="K5331">
        <f>IF(D5331="Legitimate Interest (GDPR Art. 6(1)(f))", "Yes / Required (Sheet 3)", "")</f>
        <v/>
      </c>
      <c r="L5331" s="7" t="n"/>
      <c r="M5331" s="7" t="n"/>
      <c r="N5331">
        <f>IF(D5331="", "Gap - No Legal Basis", IF(AND(D5331="Consent (GDPR Art. 6(1)(a))", I5331="Not Captured"), "Gap - Invalid Consent", IF(AND(D5331="Legitimate Interest (GDPR Art. 6(1)(f))", L5331=""), "Gap - Missing LIA", IF(AND(G5331="Yes", H5331=""), "Gap - Missing Art. 9 Basis", IF(OR(I5331="Invalid - Not Freely Given", I5331="Invalid - Not Specific", I5331="Invalid - Not Informed", I5331="Invalid - Ambiguous"), "Gap - Invalid Consent", "Compliant")))))</f>
        <v/>
      </c>
      <c r="O5331" s="7" t="n"/>
    </row>
    <row r="5332">
      <c r="A5332" s="7" t="n"/>
      <c r="B5332" s="7" t="n"/>
      <c r="C5332" s="7" t="n"/>
      <c r="D5332" s="7" t="n"/>
      <c r="E5332" s="7" t="n"/>
      <c r="F5332" s="7" t="n"/>
      <c r="G5332" s="7" t="n"/>
      <c r="H5332" s="7" t="n"/>
      <c r="I5332" s="7" t="n"/>
      <c r="J5332" s="7" t="n"/>
      <c r="K5332">
        <f>IF(D5332="Legitimate Interest (GDPR Art. 6(1)(f))", "Yes / Required (Sheet 3)", "")</f>
        <v/>
      </c>
      <c r="L5332" s="7" t="n"/>
      <c r="M5332" s="7" t="n"/>
      <c r="N5332">
        <f>IF(D5332="", "Gap - No Legal Basis", IF(AND(D5332="Consent (GDPR Art. 6(1)(a))", I5332="Not Captured"), "Gap - Invalid Consent", IF(AND(D5332="Legitimate Interest (GDPR Art. 6(1)(f))", L5332=""), "Gap - Missing LIA", IF(AND(G5332="Yes", H5332=""), "Gap - Missing Art. 9 Basis", IF(OR(I5332="Invalid - Not Freely Given", I5332="Invalid - Not Specific", I5332="Invalid - Not Informed", I5332="Invalid - Ambiguous"), "Gap - Invalid Consent", "Compliant")))))</f>
        <v/>
      </c>
      <c r="O5332" s="7" t="n"/>
    </row>
    <row r="5333">
      <c r="A5333" s="7" t="n"/>
      <c r="B5333" s="7" t="n"/>
      <c r="C5333" s="7" t="n"/>
      <c r="D5333" s="7" t="n"/>
      <c r="E5333" s="7" t="n"/>
      <c r="F5333" s="7" t="n"/>
      <c r="G5333" s="7" t="n"/>
      <c r="H5333" s="7" t="n"/>
      <c r="I5333" s="7" t="n"/>
      <c r="J5333" s="7" t="n"/>
      <c r="K5333">
        <f>IF(D5333="Legitimate Interest (GDPR Art. 6(1)(f))", "Yes / Required (Sheet 3)", "")</f>
        <v/>
      </c>
      <c r="L5333" s="7" t="n"/>
      <c r="M5333" s="7" t="n"/>
      <c r="N5333">
        <f>IF(D5333="", "Gap - No Legal Basis", IF(AND(D5333="Consent (GDPR Art. 6(1)(a))", I5333="Not Captured"), "Gap - Invalid Consent", IF(AND(D5333="Legitimate Interest (GDPR Art. 6(1)(f))", L5333=""), "Gap - Missing LIA", IF(AND(G5333="Yes", H5333=""), "Gap - Missing Art. 9 Basis", IF(OR(I5333="Invalid - Not Freely Given", I5333="Invalid - Not Specific", I5333="Invalid - Not Informed", I5333="Invalid - Ambiguous"), "Gap - Invalid Consent", "Compliant")))))</f>
        <v/>
      </c>
      <c r="O5333" s="7" t="n"/>
    </row>
    <row r="5334">
      <c r="A5334" s="7" t="n"/>
      <c r="B5334" s="7" t="n"/>
      <c r="C5334" s="7" t="n"/>
      <c r="D5334" s="7" t="n"/>
      <c r="E5334" s="7" t="n"/>
      <c r="F5334" s="7" t="n"/>
      <c r="G5334" s="7" t="n"/>
      <c r="H5334" s="7" t="n"/>
      <c r="I5334" s="7" t="n"/>
      <c r="J5334" s="7" t="n"/>
      <c r="K5334">
        <f>IF(D5334="Legitimate Interest (GDPR Art. 6(1)(f))", "Yes / Required (Sheet 3)", "")</f>
        <v/>
      </c>
      <c r="L5334" s="7" t="n"/>
      <c r="M5334" s="7" t="n"/>
      <c r="N5334">
        <f>IF(D5334="", "Gap - No Legal Basis", IF(AND(D5334="Consent (GDPR Art. 6(1)(a))", I5334="Not Captured"), "Gap - Invalid Consent", IF(AND(D5334="Legitimate Interest (GDPR Art. 6(1)(f))", L5334=""), "Gap - Missing LIA", IF(AND(G5334="Yes", H5334=""), "Gap - Missing Art. 9 Basis", IF(OR(I5334="Invalid - Not Freely Given", I5334="Invalid - Not Specific", I5334="Invalid - Not Informed", I5334="Invalid - Ambiguous"), "Gap - Invalid Consent", "Compliant")))))</f>
        <v/>
      </c>
      <c r="O5334" s="7" t="n"/>
    </row>
    <row r="5335">
      <c r="A5335" s="7" t="n"/>
      <c r="B5335" s="7" t="n"/>
      <c r="C5335" s="7" t="n"/>
      <c r="D5335" s="7" t="n"/>
      <c r="E5335" s="7" t="n"/>
      <c r="F5335" s="7" t="n"/>
      <c r="G5335" s="7" t="n"/>
      <c r="H5335" s="7" t="n"/>
      <c r="I5335" s="7" t="n"/>
      <c r="J5335" s="7" t="n"/>
      <c r="K5335">
        <f>IF(D5335="Legitimate Interest (GDPR Art. 6(1)(f))", "Yes / Required (Sheet 3)", "")</f>
        <v/>
      </c>
      <c r="L5335" s="7" t="n"/>
      <c r="M5335" s="7" t="n"/>
      <c r="N5335">
        <f>IF(D5335="", "Gap - No Legal Basis", IF(AND(D5335="Consent (GDPR Art. 6(1)(a))", I5335="Not Captured"), "Gap - Invalid Consent", IF(AND(D5335="Legitimate Interest (GDPR Art. 6(1)(f))", L5335=""), "Gap - Missing LIA", IF(AND(G5335="Yes", H5335=""), "Gap - Missing Art. 9 Basis", IF(OR(I5335="Invalid - Not Freely Given", I5335="Invalid - Not Specific", I5335="Invalid - Not Informed", I5335="Invalid - Ambiguous"), "Gap - Invalid Consent", "Compliant")))))</f>
        <v/>
      </c>
      <c r="O5335" s="7" t="n"/>
    </row>
    <row r="5336">
      <c r="A5336" s="7" t="n"/>
      <c r="B5336" s="7" t="n"/>
      <c r="C5336" s="7" t="n"/>
      <c r="D5336" s="7" t="n"/>
      <c r="E5336" s="7" t="n"/>
      <c r="F5336" s="7" t="n"/>
      <c r="G5336" s="7" t="n"/>
      <c r="H5336" s="7" t="n"/>
      <c r="I5336" s="7" t="n"/>
      <c r="J5336" s="7" t="n"/>
      <c r="K5336">
        <f>IF(D5336="Legitimate Interest (GDPR Art. 6(1)(f))", "Yes / Required (Sheet 3)", "")</f>
        <v/>
      </c>
      <c r="L5336" s="7" t="n"/>
      <c r="M5336" s="7" t="n"/>
      <c r="N5336">
        <f>IF(D5336="", "Gap - No Legal Basis", IF(AND(D5336="Consent (GDPR Art. 6(1)(a))", I5336="Not Captured"), "Gap - Invalid Consent", IF(AND(D5336="Legitimate Interest (GDPR Art. 6(1)(f))", L5336=""), "Gap - Missing LIA", IF(AND(G5336="Yes", H5336=""), "Gap - Missing Art. 9 Basis", IF(OR(I5336="Invalid - Not Freely Given", I5336="Invalid - Not Specific", I5336="Invalid - Not Informed", I5336="Invalid - Ambiguous"), "Gap - Invalid Consent", "Compliant")))))</f>
        <v/>
      </c>
      <c r="O5336" s="7" t="n"/>
    </row>
    <row r="5337">
      <c r="A5337" s="7" t="n"/>
      <c r="B5337" s="7" t="n"/>
      <c r="C5337" s="7" t="n"/>
      <c r="D5337" s="7" t="n"/>
      <c r="E5337" s="7" t="n"/>
      <c r="F5337" s="7" t="n"/>
      <c r="G5337" s="7" t="n"/>
      <c r="H5337" s="7" t="n"/>
      <c r="I5337" s="7" t="n"/>
      <c r="J5337" s="7" t="n"/>
      <c r="K5337">
        <f>IF(D5337="Legitimate Interest (GDPR Art. 6(1)(f))", "Yes / Required (Sheet 3)", "")</f>
        <v/>
      </c>
      <c r="L5337" s="7" t="n"/>
      <c r="M5337" s="7" t="n"/>
      <c r="N5337">
        <f>IF(D5337="", "Gap - No Legal Basis", IF(AND(D5337="Consent (GDPR Art. 6(1)(a))", I5337="Not Captured"), "Gap - Invalid Consent", IF(AND(D5337="Legitimate Interest (GDPR Art. 6(1)(f))", L5337=""), "Gap - Missing LIA", IF(AND(G5337="Yes", H5337=""), "Gap - Missing Art. 9 Basis", IF(OR(I5337="Invalid - Not Freely Given", I5337="Invalid - Not Specific", I5337="Invalid - Not Informed", I5337="Invalid - Ambiguous"), "Gap - Invalid Consent", "Compliant")))))</f>
        <v/>
      </c>
      <c r="O5337" s="7" t="n"/>
    </row>
    <row r="5338">
      <c r="A5338" s="7" t="n"/>
      <c r="B5338" s="7" t="n"/>
      <c r="C5338" s="7" t="n"/>
      <c r="D5338" s="7" t="n"/>
      <c r="E5338" s="7" t="n"/>
      <c r="F5338" s="7" t="n"/>
      <c r="G5338" s="7" t="n"/>
      <c r="H5338" s="7" t="n"/>
      <c r="I5338" s="7" t="n"/>
      <c r="J5338" s="7" t="n"/>
      <c r="K5338">
        <f>IF(D5338="Legitimate Interest (GDPR Art. 6(1)(f))", "Yes / Required (Sheet 3)", "")</f>
        <v/>
      </c>
      <c r="L5338" s="7" t="n"/>
      <c r="M5338" s="7" t="n"/>
      <c r="N5338">
        <f>IF(D5338="", "Gap - No Legal Basis", IF(AND(D5338="Consent (GDPR Art. 6(1)(a))", I5338="Not Captured"), "Gap - Invalid Consent", IF(AND(D5338="Legitimate Interest (GDPR Art. 6(1)(f))", L5338=""), "Gap - Missing LIA", IF(AND(G5338="Yes", H5338=""), "Gap - Missing Art. 9 Basis", IF(OR(I5338="Invalid - Not Freely Given", I5338="Invalid - Not Specific", I5338="Invalid - Not Informed", I5338="Invalid - Ambiguous"), "Gap - Invalid Consent", "Compliant")))))</f>
        <v/>
      </c>
      <c r="O5338" s="7" t="n"/>
    </row>
    <row r="5339">
      <c r="A5339" s="7" t="n"/>
      <c r="B5339" s="7" t="n"/>
      <c r="C5339" s="7" t="n"/>
      <c r="D5339" s="7" t="n"/>
      <c r="E5339" s="7" t="n"/>
      <c r="F5339" s="7" t="n"/>
      <c r="G5339" s="7" t="n"/>
      <c r="H5339" s="7" t="n"/>
      <c r="I5339" s="7" t="n"/>
      <c r="J5339" s="7" t="n"/>
      <c r="K5339">
        <f>IF(D5339="Legitimate Interest (GDPR Art. 6(1)(f))", "Yes / Required (Sheet 3)", "")</f>
        <v/>
      </c>
      <c r="L5339" s="7" t="n"/>
      <c r="M5339" s="7" t="n"/>
      <c r="N5339">
        <f>IF(D5339="", "Gap - No Legal Basis", IF(AND(D5339="Consent (GDPR Art. 6(1)(a))", I5339="Not Captured"), "Gap - Invalid Consent", IF(AND(D5339="Legitimate Interest (GDPR Art. 6(1)(f))", L5339=""), "Gap - Missing LIA", IF(AND(G5339="Yes", H5339=""), "Gap - Missing Art. 9 Basis", IF(OR(I5339="Invalid - Not Freely Given", I5339="Invalid - Not Specific", I5339="Invalid - Not Informed", I5339="Invalid - Ambiguous"), "Gap - Invalid Consent", "Compliant")))))</f>
        <v/>
      </c>
      <c r="O5339" s="7" t="n"/>
    </row>
    <row r="5340">
      <c r="A5340" s="7" t="n"/>
      <c r="B5340" s="7" t="n"/>
      <c r="C5340" s="7" t="n"/>
      <c r="D5340" s="7" t="n"/>
      <c r="E5340" s="7" t="n"/>
      <c r="F5340" s="7" t="n"/>
      <c r="G5340" s="7" t="n"/>
      <c r="H5340" s="7" t="n"/>
      <c r="I5340" s="7" t="n"/>
      <c r="J5340" s="7" t="n"/>
      <c r="K5340">
        <f>IF(D5340="Legitimate Interest (GDPR Art. 6(1)(f))", "Yes / Required (Sheet 3)", "")</f>
        <v/>
      </c>
      <c r="L5340" s="7" t="n"/>
      <c r="M5340" s="7" t="n"/>
      <c r="N5340">
        <f>IF(D5340="", "Gap - No Legal Basis", IF(AND(D5340="Consent (GDPR Art. 6(1)(a))", I5340="Not Captured"), "Gap - Invalid Consent", IF(AND(D5340="Legitimate Interest (GDPR Art. 6(1)(f))", L5340=""), "Gap - Missing LIA", IF(AND(G5340="Yes", H5340=""), "Gap - Missing Art. 9 Basis", IF(OR(I5340="Invalid - Not Freely Given", I5340="Invalid - Not Specific", I5340="Invalid - Not Informed", I5340="Invalid - Ambiguous"), "Gap - Invalid Consent", "Compliant")))))</f>
        <v/>
      </c>
      <c r="O5340" s="7" t="n"/>
    </row>
    <row r="5341">
      <c r="A5341" s="7" t="n"/>
      <c r="B5341" s="7" t="n"/>
      <c r="C5341" s="7" t="n"/>
      <c r="D5341" s="7" t="n"/>
      <c r="E5341" s="7" t="n"/>
      <c r="F5341" s="7" t="n"/>
      <c r="G5341" s="7" t="n"/>
      <c r="H5341" s="7" t="n"/>
      <c r="I5341" s="7" t="n"/>
      <c r="J5341" s="7" t="n"/>
      <c r="K5341">
        <f>IF(D5341="Legitimate Interest (GDPR Art. 6(1)(f))", "Yes / Required (Sheet 3)", "")</f>
        <v/>
      </c>
      <c r="L5341" s="7" t="n"/>
      <c r="M5341" s="7" t="n"/>
      <c r="N5341">
        <f>IF(D5341="", "Gap - No Legal Basis", IF(AND(D5341="Consent (GDPR Art. 6(1)(a))", I5341="Not Captured"), "Gap - Invalid Consent", IF(AND(D5341="Legitimate Interest (GDPR Art. 6(1)(f))", L5341=""), "Gap - Missing LIA", IF(AND(G5341="Yes", H5341=""), "Gap - Missing Art. 9 Basis", IF(OR(I5341="Invalid - Not Freely Given", I5341="Invalid - Not Specific", I5341="Invalid - Not Informed", I5341="Invalid - Ambiguous"), "Gap - Invalid Consent", "Compliant")))))</f>
        <v/>
      </c>
      <c r="O5341" s="7" t="n"/>
    </row>
    <row r="5342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7" t="n"/>
      <c r="J5342" s="7" t="n"/>
      <c r="K5342">
        <f>IF(D5342="Legitimate Interest (GDPR Art. 6(1)(f))", "Yes / Required (Sheet 3)", "")</f>
        <v/>
      </c>
      <c r="L5342" s="7" t="n"/>
      <c r="M5342" s="7" t="n"/>
      <c r="N5342">
        <f>IF(D5342="", "Gap - No Legal Basis", IF(AND(D5342="Consent (GDPR Art. 6(1)(a))", I5342="Not Captured"), "Gap - Invalid Consent", IF(AND(D5342="Legitimate Interest (GDPR Art. 6(1)(f))", L5342=""), "Gap - Missing LIA", IF(AND(G5342="Yes", H5342=""), "Gap - Missing Art. 9 Basis", IF(OR(I5342="Invalid - Not Freely Given", I5342="Invalid - Not Specific", I5342="Invalid - Not Informed", I5342="Invalid - Ambiguous"), "Gap - Invalid Consent", "Compliant")))))</f>
        <v/>
      </c>
      <c r="O5342" s="7" t="n"/>
    </row>
    <row r="5343">
      <c r="A5343" s="7" t="n"/>
      <c r="B5343" s="7" t="n"/>
      <c r="C5343" s="7" t="n"/>
      <c r="D5343" s="7" t="n"/>
      <c r="E5343" s="7" t="n"/>
      <c r="F5343" s="7" t="n"/>
      <c r="G5343" s="7" t="n"/>
      <c r="H5343" s="7" t="n"/>
      <c r="I5343" s="7" t="n"/>
      <c r="J5343" s="7" t="n"/>
      <c r="K5343">
        <f>IF(D5343="Legitimate Interest (GDPR Art. 6(1)(f))", "Yes / Required (Sheet 3)", "")</f>
        <v/>
      </c>
      <c r="L5343" s="7" t="n"/>
      <c r="M5343" s="7" t="n"/>
      <c r="N5343">
        <f>IF(D5343="", "Gap - No Legal Basis", IF(AND(D5343="Consent (GDPR Art. 6(1)(a))", I5343="Not Captured"), "Gap - Invalid Consent", IF(AND(D5343="Legitimate Interest (GDPR Art. 6(1)(f))", L5343=""), "Gap - Missing LIA", IF(AND(G5343="Yes", H5343=""), "Gap - Missing Art. 9 Basis", IF(OR(I5343="Invalid - Not Freely Given", I5343="Invalid - Not Specific", I5343="Invalid - Not Informed", I5343="Invalid - Ambiguous"), "Gap - Invalid Consent", "Compliant")))))</f>
        <v/>
      </c>
      <c r="O5343" s="7" t="n"/>
    </row>
    <row r="5344">
      <c r="A5344" s="7" t="n"/>
      <c r="B5344" s="7" t="n"/>
      <c r="C5344" s="7" t="n"/>
      <c r="D5344" s="7" t="n"/>
      <c r="E5344" s="7" t="n"/>
      <c r="F5344" s="7" t="n"/>
      <c r="G5344" s="7" t="n"/>
      <c r="H5344" s="7" t="n"/>
      <c r="I5344" s="7" t="n"/>
      <c r="J5344" s="7" t="n"/>
      <c r="K5344">
        <f>IF(D5344="Legitimate Interest (GDPR Art. 6(1)(f))", "Yes / Required (Sheet 3)", "")</f>
        <v/>
      </c>
      <c r="L5344" s="7" t="n"/>
      <c r="M5344" s="7" t="n"/>
      <c r="N5344">
        <f>IF(D5344="", "Gap - No Legal Basis", IF(AND(D5344="Consent (GDPR Art. 6(1)(a))", I5344="Not Captured"), "Gap - Invalid Consent", IF(AND(D5344="Legitimate Interest (GDPR Art. 6(1)(f))", L5344=""), "Gap - Missing LIA", IF(AND(G5344="Yes", H5344=""), "Gap - Missing Art. 9 Basis", IF(OR(I5344="Invalid - Not Freely Given", I5344="Invalid - Not Specific", I5344="Invalid - Not Informed", I5344="Invalid - Ambiguous"), "Gap - Invalid Consent", "Compliant")))))</f>
        <v/>
      </c>
      <c r="O5344" s="7" t="n"/>
    </row>
    <row r="5345">
      <c r="A5345" s="7" t="n"/>
      <c r="B5345" s="7" t="n"/>
      <c r="C5345" s="7" t="n"/>
      <c r="D5345" s="7" t="n"/>
      <c r="E5345" s="7" t="n"/>
      <c r="F5345" s="7" t="n"/>
      <c r="G5345" s="7" t="n"/>
      <c r="H5345" s="7" t="n"/>
      <c r="I5345" s="7" t="n"/>
      <c r="J5345" s="7" t="n"/>
      <c r="K5345">
        <f>IF(D5345="Legitimate Interest (GDPR Art. 6(1)(f))", "Yes / Required (Sheet 3)", "")</f>
        <v/>
      </c>
      <c r="L5345" s="7" t="n"/>
      <c r="M5345" s="7" t="n"/>
      <c r="N5345">
        <f>IF(D5345="", "Gap - No Legal Basis", IF(AND(D5345="Consent (GDPR Art. 6(1)(a))", I5345="Not Captured"), "Gap - Invalid Consent", IF(AND(D5345="Legitimate Interest (GDPR Art. 6(1)(f))", L5345=""), "Gap - Missing LIA", IF(AND(G5345="Yes", H5345=""), "Gap - Missing Art. 9 Basis", IF(OR(I5345="Invalid - Not Freely Given", I5345="Invalid - Not Specific", I5345="Invalid - Not Informed", I5345="Invalid - Ambiguous"), "Gap - Invalid Consent", "Compliant")))))</f>
        <v/>
      </c>
      <c r="O5345" s="7" t="n"/>
    </row>
    <row r="5346">
      <c r="A5346" s="7" t="n"/>
      <c r="B5346" s="7" t="n"/>
      <c r="C5346" s="7" t="n"/>
      <c r="D5346" s="7" t="n"/>
      <c r="E5346" s="7" t="n"/>
      <c r="F5346" s="7" t="n"/>
      <c r="G5346" s="7" t="n"/>
      <c r="H5346" s="7" t="n"/>
      <c r="I5346" s="7" t="n"/>
      <c r="J5346" s="7" t="n"/>
      <c r="K5346">
        <f>IF(D5346="Legitimate Interest (GDPR Art. 6(1)(f))", "Yes / Required (Sheet 3)", "")</f>
        <v/>
      </c>
      <c r="L5346" s="7" t="n"/>
      <c r="M5346" s="7" t="n"/>
      <c r="N5346">
        <f>IF(D5346="", "Gap - No Legal Basis", IF(AND(D5346="Consent (GDPR Art. 6(1)(a))", I5346="Not Captured"), "Gap - Invalid Consent", IF(AND(D5346="Legitimate Interest (GDPR Art. 6(1)(f))", L5346=""), "Gap - Missing LIA", IF(AND(G5346="Yes", H5346=""), "Gap - Missing Art. 9 Basis", IF(OR(I5346="Invalid - Not Freely Given", I5346="Invalid - Not Specific", I5346="Invalid - Not Informed", I5346="Invalid - Ambiguous"), "Gap - Invalid Consent", "Compliant")))))</f>
        <v/>
      </c>
      <c r="O5346" s="7" t="n"/>
    </row>
    <row r="5347">
      <c r="A5347" s="7" t="n"/>
      <c r="B5347" s="7" t="n"/>
      <c r="C5347" s="7" t="n"/>
      <c r="D5347" s="7" t="n"/>
      <c r="E5347" s="7" t="n"/>
      <c r="F5347" s="7" t="n"/>
      <c r="G5347" s="7" t="n"/>
      <c r="H5347" s="7" t="n"/>
      <c r="I5347" s="7" t="n"/>
      <c r="J5347" s="7" t="n"/>
      <c r="K5347">
        <f>IF(D5347="Legitimate Interest (GDPR Art. 6(1)(f))", "Yes / Required (Sheet 3)", "")</f>
        <v/>
      </c>
      <c r="L5347" s="7" t="n"/>
      <c r="M5347" s="7" t="n"/>
      <c r="N5347">
        <f>IF(D5347="", "Gap - No Legal Basis", IF(AND(D5347="Consent (GDPR Art. 6(1)(a))", I5347="Not Captured"), "Gap - Invalid Consent", IF(AND(D5347="Legitimate Interest (GDPR Art. 6(1)(f))", L5347=""), "Gap - Missing LIA", IF(AND(G5347="Yes", H5347=""), "Gap - Missing Art. 9 Basis", IF(OR(I5347="Invalid - Not Freely Given", I5347="Invalid - Not Specific", I5347="Invalid - Not Informed", I5347="Invalid - Ambiguous"), "Gap - Invalid Consent", "Compliant")))))</f>
        <v/>
      </c>
      <c r="O5347" s="7" t="n"/>
    </row>
    <row r="5348">
      <c r="A5348" s="7" t="n"/>
      <c r="B5348" s="7" t="n"/>
      <c r="C5348" s="7" t="n"/>
      <c r="D5348" s="7" t="n"/>
      <c r="E5348" s="7" t="n"/>
      <c r="F5348" s="7" t="n"/>
      <c r="G5348" s="7" t="n"/>
      <c r="H5348" s="7" t="n"/>
      <c r="I5348" s="7" t="n"/>
      <c r="J5348" s="7" t="n"/>
      <c r="K5348">
        <f>IF(D5348="Legitimate Interest (GDPR Art. 6(1)(f))", "Yes / Required (Sheet 3)", "")</f>
        <v/>
      </c>
      <c r="L5348" s="7" t="n"/>
      <c r="M5348" s="7" t="n"/>
      <c r="N5348">
        <f>IF(D5348="", "Gap - No Legal Basis", IF(AND(D5348="Consent (GDPR Art. 6(1)(a))", I5348="Not Captured"), "Gap - Invalid Consent", IF(AND(D5348="Legitimate Interest (GDPR Art. 6(1)(f))", L5348=""), "Gap - Missing LIA", IF(AND(G5348="Yes", H5348=""), "Gap - Missing Art. 9 Basis", IF(OR(I5348="Invalid - Not Freely Given", I5348="Invalid - Not Specific", I5348="Invalid - Not Informed", I5348="Invalid - Ambiguous"), "Gap - Invalid Consent", "Compliant")))))</f>
        <v/>
      </c>
      <c r="O5348" s="7" t="n"/>
    </row>
    <row r="5349">
      <c r="A5349" s="7" t="n"/>
      <c r="B5349" s="7" t="n"/>
      <c r="C5349" s="7" t="n"/>
      <c r="D5349" s="7" t="n"/>
      <c r="E5349" s="7" t="n"/>
      <c r="F5349" s="7" t="n"/>
      <c r="G5349" s="7" t="n"/>
      <c r="H5349" s="7" t="n"/>
      <c r="I5349" s="7" t="n"/>
      <c r="J5349" s="7" t="n"/>
      <c r="K5349">
        <f>IF(D5349="Legitimate Interest (GDPR Art. 6(1)(f))", "Yes / Required (Sheet 3)", "")</f>
        <v/>
      </c>
      <c r="L5349" s="7" t="n"/>
      <c r="M5349" s="7" t="n"/>
      <c r="N5349">
        <f>IF(D5349="", "Gap - No Legal Basis", IF(AND(D5349="Consent (GDPR Art. 6(1)(a))", I5349="Not Captured"), "Gap - Invalid Consent", IF(AND(D5349="Legitimate Interest (GDPR Art. 6(1)(f))", L5349=""), "Gap - Missing LIA", IF(AND(G5349="Yes", H5349=""), "Gap - Missing Art. 9 Basis", IF(OR(I5349="Invalid - Not Freely Given", I5349="Invalid - Not Specific", I5349="Invalid - Not Informed", I5349="Invalid - Ambiguous"), "Gap - Invalid Consent", "Compliant")))))</f>
        <v/>
      </c>
      <c r="O5349" s="7" t="n"/>
    </row>
    <row r="5350">
      <c r="A5350" s="7" t="n"/>
      <c r="B5350" s="7" t="n"/>
      <c r="C5350" s="7" t="n"/>
      <c r="D5350" s="7" t="n"/>
      <c r="E5350" s="7" t="n"/>
      <c r="F5350" s="7" t="n"/>
      <c r="G5350" s="7" t="n"/>
      <c r="H5350" s="7" t="n"/>
      <c r="I5350" s="7" t="n"/>
      <c r="J5350" s="7" t="n"/>
      <c r="K5350">
        <f>IF(D5350="Legitimate Interest (GDPR Art. 6(1)(f))", "Yes / Required (Sheet 3)", "")</f>
        <v/>
      </c>
      <c r="L5350" s="7" t="n"/>
      <c r="M5350" s="7" t="n"/>
      <c r="N5350">
        <f>IF(D5350="", "Gap - No Legal Basis", IF(AND(D5350="Consent (GDPR Art. 6(1)(a))", I5350="Not Captured"), "Gap - Invalid Consent", IF(AND(D5350="Legitimate Interest (GDPR Art. 6(1)(f))", L5350=""), "Gap - Missing LIA", IF(AND(G5350="Yes", H5350=""), "Gap - Missing Art. 9 Basis", IF(OR(I5350="Invalid - Not Freely Given", I5350="Invalid - Not Specific", I5350="Invalid - Not Informed", I5350="Invalid - Ambiguous"), "Gap - Invalid Consent", "Compliant")))))</f>
        <v/>
      </c>
      <c r="O5350" s="7" t="n"/>
    </row>
    <row r="5351">
      <c r="A5351" s="7" t="n"/>
      <c r="B5351" s="7" t="n"/>
      <c r="C5351" s="7" t="n"/>
      <c r="D5351" s="7" t="n"/>
      <c r="E5351" s="7" t="n"/>
      <c r="F5351" s="7" t="n"/>
      <c r="G5351" s="7" t="n"/>
      <c r="H5351" s="7" t="n"/>
      <c r="I5351" s="7" t="n"/>
      <c r="J5351" s="7" t="n"/>
      <c r="K5351">
        <f>IF(D5351="Legitimate Interest (GDPR Art. 6(1)(f))", "Yes / Required (Sheet 3)", "")</f>
        <v/>
      </c>
      <c r="L5351" s="7" t="n"/>
      <c r="M5351" s="7" t="n"/>
      <c r="N5351">
        <f>IF(D5351="", "Gap - No Legal Basis", IF(AND(D5351="Consent (GDPR Art. 6(1)(a))", I5351="Not Captured"), "Gap - Invalid Consent", IF(AND(D5351="Legitimate Interest (GDPR Art. 6(1)(f))", L5351=""), "Gap - Missing LIA", IF(AND(G5351="Yes", H5351=""), "Gap - Missing Art. 9 Basis", IF(OR(I5351="Invalid - Not Freely Given", I5351="Invalid - Not Specific", I5351="Invalid - Not Informed", I5351="Invalid - Ambiguous"), "Gap - Invalid Consent", "Compliant")))))</f>
        <v/>
      </c>
      <c r="O5351" s="7" t="n"/>
    </row>
    <row r="5352">
      <c r="A5352" s="7" t="n"/>
      <c r="B5352" s="7" t="n"/>
      <c r="C5352" s="7" t="n"/>
      <c r="D5352" s="7" t="n"/>
      <c r="E5352" s="7" t="n"/>
      <c r="F5352" s="7" t="n"/>
      <c r="G5352" s="7" t="n"/>
      <c r="H5352" s="7" t="n"/>
      <c r="I5352" s="7" t="n"/>
      <c r="J5352" s="7" t="n"/>
      <c r="K5352">
        <f>IF(D5352="Legitimate Interest (GDPR Art. 6(1)(f))", "Yes / Required (Sheet 3)", "")</f>
        <v/>
      </c>
      <c r="L5352" s="7" t="n"/>
      <c r="M5352" s="7" t="n"/>
      <c r="N5352">
        <f>IF(D5352="", "Gap - No Legal Basis", IF(AND(D5352="Consent (GDPR Art. 6(1)(a))", I5352="Not Captured"), "Gap - Invalid Consent", IF(AND(D5352="Legitimate Interest (GDPR Art. 6(1)(f))", L5352=""), "Gap - Missing LIA", IF(AND(G5352="Yes", H5352=""), "Gap - Missing Art. 9 Basis", IF(OR(I5352="Invalid - Not Freely Given", I5352="Invalid - Not Specific", I5352="Invalid - Not Informed", I5352="Invalid - Ambiguous"), "Gap - Invalid Consent", "Compliant")))))</f>
        <v/>
      </c>
      <c r="O5352" s="7" t="n"/>
    </row>
    <row r="5353">
      <c r="A5353" s="7" t="n"/>
      <c r="B5353" s="7" t="n"/>
      <c r="C5353" s="7" t="n"/>
      <c r="D5353" s="7" t="n"/>
      <c r="E5353" s="7" t="n"/>
      <c r="F5353" s="7" t="n"/>
      <c r="G5353" s="7" t="n"/>
      <c r="H5353" s="7" t="n"/>
      <c r="I5353" s="7" t="n"/>
      <c r="J5353" s="7" t="n"/>
      <c r="K5353">
        <f>IF(D5353="Legitimate Interest (GDPR Art. 6(1)(f))", "Yes / Required (Sheet 3)", "")</f>
        <v/>
      </c>
      <c r="L5353" s="7" t="n"/>
      <c r="M5353" s="7" t="n"/>
      <c r="N5353">
        <f>IF(D5353="", "Gap - No Legal Basis", IF(AND(D5353="Consent (GDPR Art. 6(1)(a))", I5353="Not Captured"), "Gap - Invalid Consent", IF(AND(D5353="Legitimate Interest (GDPR Art. 6(1)(f))", L5353=""), "Gap - Missing LIA", IF(AND(G5353="Yes", H5353=""), "Gap - Missing Art. 9 Basis", IF(OR(I5353="Invalid - Not Freely Given", I5353="Invalid - Not Specific", I5353="Invalid - Not Informed", I5353="Invalid - Ambiguous"), "Gap - Invalid Consent", "Compliant")))))</f>
        <v/>
      </c>
      <c r="O5353" s="7" t="n"/>
    </row>
    <row r="5354">
      <c r="A5354" s="7" t="n"/>
      <c r="B5354" s="7" t="n"/>
      <c r="C5354" s="7" t="n"/>
      <c r="D5354" s="7" t="n"/>
      <c r="E5354" s="7" t="n"/>
      <c r="F5354" s="7" t="n"/>
      <c r="G5354" s="7" t="n"/>
      <c r="H5354" s="7" t="n"/>
      <c r="I5354" s="7" t="n"/>
      <c r="J5354" s="7" t="n"/>
      <c r="K5354">
        <f>IF(D5354="Legitimate Interest (GDPR Art. 6(1)(f))", "Yes / Required (Sheet 3)", "")</f>
        <v/>
      </c>
      <c r="L5354" s="7" t="n"/>
      <c r="M5354" s="7" t="n"/>
      <c r="N5354">
        <f>IF(D5354="", "Gap - No Legal Basis", IF(AND(D5354="Consent (GDPR Art. 6(1)(a))", I5354="Not Captured"), "Gap - Invalid Consent", IF(AND(D5354="Legitimate Interest (GDPR Art. 6(1)(f))", L5354=""), "Gap - Missing LIA", IF(AND(G5354="Yes", H5354=""), "Gap - Missing Art. 9 Basis", IF(OR(I5354="Invalid - Not Freely Given", I5354="Invalid - Not Specific", I5354="Invalid - Not Informed", I5354="Invalid - Ambiguous"), "Gap - Invalid Consent", "Compliant")))))</f>
        <v/>
      </c>
      <c r="O5354" s="7" t="n"/>
    </row>
    <row r="5355">
      <c r="A5355" s="7" t="n"/>
      <c r="B5355" s="7" t="n"/>
      <c r="C5355" s="7" t="n"/>
      <c r="D5355" s="7" t="n"/>
      <c r="E5355" s="7" t="n"/>
      <c r="F5355" s="7" t="n"/>
      <c r="G5355" s="7" t="n"/>
      <c r="H5355" s="7" t="n"/>
      <c r="I5355" s="7" t="n"/>
      <c r="J5355" s="7" t="n"/>
      <c r="K5355">
        <f>IF(D5355="Legitimate Interest (GDPR Art. 6(1)(f))", "Yes / Required (Sheet 3)", "")</f>
        <v/>
      </c>
      <c r="L5355" s="7" t="n"/>
      <c r="M5355" s="7" t="n"/>
      <c r="N5355">
        <f>IF(D5355="", "Gap - No Legal Basis", IF(AND(D5355="Consent (GDPR Art. 6(1)(a))", I5355="Not Captured"), "Gap - Invalid Consent", IF(AND(D5355="Legitimate Interest (GDPR Art. 6(1)(f))", L5355=""), "Gap - Missing LIA", IF(AND(G5355="Yes", H5355=""), "Gap - Missing Art. 9 Basis", IF(OR(I5355="Invalid - Not Freely Given", I5355="Invalid - Not Specific", I5355="Invalid - Not Informed", I5355="Invalid - Ambiguous"), "Gap - Invalid Consent", "Compliant")))))</f>
        <v/>
      </c>
      <c r="O5355" s="7" t="n"/>
    </row>
    <row r="5356">
      <c r="A5356" s="7" t="n"/>
      <c r="B5356" s="7" t="n"/>
      <c r="C5356" s="7" t="n"/>
      <c r="D5356" s="7" t="n"/>
      <c r="E5356" s="7" t="n"/>
      <c r="F5356" s="7" t="n"/>
      <c r="G5356" s="7" t="n"/>
      <c r="H5356" s="7" t="n"/>
      <c r="I5356" s="7" t="n"/>
      <c r="J5356" s="7" t="n"/>
      <c r="K5356">
        <f>IF(D5356="Legitimate Interest (GDPR Art. 6(1)(f))", "Yes / Required (Sheet 3)", "")</f>
        <v/>
      </c>
      <c r="L5356" s="7" t="n"/>
      <c r="M5356" s="7" t="n"/>
      <c r="N5356">
        <f>IF(D5356="", "Gap - No Legal Basis", IF(AND(D5356="Consent (GDPR Art. 6(1)(a))", I5356="Not Captured"), "Gap - Invalid Consent", IF(AND(D5356="Legitimate Interest (GDPR Art. 6(1)(f))", L5356=""), "Gap - Missing LIA", IF(AND(G5356="Yes", H5356=""), "Gap - Missing Art. 9 Basis", IF(OR(I5356="Invalid - Not Freely Given", I5356="Invalid - Not Specific", I5356="Invalid - Not Informed", I5356="Invalid - Ambiguous"), "Gap - Invalid Consent", "Compliant")))))</f>
        <v/>
      </c>
      <c r="O5356" s="7" t="n"/>
    </row>
    <row r="5357">
      <c r="A5357" s="7" t="n"/>
      <c r="B5357" s="7" t="n"/>
      <c r="C5357" s="7" t="n"/>
      <c r="D5357" s="7" t="n"/>
      <c r="E5357" s="7" t="n"/>
      <c r="F5357" s="7" t="n"/>
      <c r="G5357" s="7" t="n"/>
      <c r="H5357" s="7" t="n"/>
      <c r="I5357" s="7" t="n"/>
      <c r="J5357" s="7" t="n"/>
      <c r="K5357">
        <f>IF(D5357="Legitimate Interest (GDPR Art. 6(1)(f))", "Yes / Required (Sheet 3)", "")</f>
        <v/>
      </c>
      <c r="L5357" s="7" t="n"/>
      <c r="M5357" s="7" t="n"/>
      <c r="N5357">
        <f>IF(D5357="", "Gap - No Legal Basis", IF(AND(D5357="Consent (GDPR Art. 6(1)(a))", I5357="Not Captured"), "Gap - Invalid Consent", IF(AND(D5357="Legitimate Interest (GDPR Art. 6(1)(f))", L5357=""), "Gap - Missing LIA", IF(AND(G5357="Yes", H5357=""), "Gap - Missing Art. 9 Basis", IF(OR(I5357="Invalid - Not Freely Given", I5357="Invalid - Not Specific", I5357="Invalid - Not Informed", I5357="Invalid - Ambiguous"), "Gap - Invalid Consent", "Compliant")))))</f>
        <v/>
      </c>
      <c r="O5357" s="7" t="n"/>
    </row>
    <row r="5358">
      <c r="A5358" s="7" t="n"/>
      <c r="B5358" s="7" t="n"/>
      <c r="C5358" s="7" t="n"/>
      <c r="D5358" s="7" t="n"/>
      <c r="E5358" s="7" t="n"/>
      <c r="F5358" s="7" t="n"/>
      <c r="G5358" s="7" t="n"/>
      <c r="H5358" s="7" t="n"/>
      <c r="I5358" s="7" t="n"/>
      <c r="J5358" s="7" t="n"/>
      <c r="K5358">
        <f>IF(D5358="Legitimate Interest (GDPR Art. 6(1)(f))", "Yes / Required (Sheet 3)", "")</f>
        <v/>
      </c>
      <c r="L5358" s="7" t="n"/>
      <c r="M5358" s="7" t="n"/>
      <c r="N5358">
        <f>IF(D5358="", "Gap - No Legal Basis", IF(AND(D5358="Consent (GDPR Art. 6(1)(a))", I5358="Not Captured"), "Gap - Invalid Consent", IF(AND(D5358="Legitimate Interest (GDPR Art. 6(1)(f))", L5358=""), "Gap - Missing LIA", IF(AND(G5358="Yes", H5358=""), "Gap - Missing Art. 9 Basis", IF(OR(I5358="Invalid - Not Freely Given", I5358="Invalid - Not Specific", I5358="Invalid - Not Informed", I5358="Invalid - Ambiguous"), "Gap - Invalid Consent", "Compliant")))))</f>
        <v/>
      </c>
      <c r="O5358" s="7" t="n"/>
    </row>
    <row r="5359">
      <c r="A5359" s="7" t="n"/>
      <c r="B5359" s="7" t="n"/>
      <c r="C5359" s="7" t="n"/>
      <c r="D5359" s="7" t="n"/>
      <c r="E5359" s="7" t="n"/>
      <c r="F5359" s="7" t="n"/>
      <c r="G5359" s="7" t="n"/>
      <c r="H5359" s="7" t="n"/>
      <c r="I5359" s="7" t="n"/>
      <c r="J5359" s="7" t="n"/>
      <c r="K5359">
        <f>IF(D5359="Legitimate Interest (GDPR Art. 6(1)(f))", "Yes / Required (Sheet 3)", "")</f>
        <v/>
      </c>
      <c r="L5359" s="7" t="n"/>
      <c r="M5359" s="7" t="n"/>
      <c r="N5359">
        <f>IF(D5359="", "Gap - No Legal Basis", IF(AND(D5359="Consent (GDPR Art. 6(1)(a))", I5359="Not Captured"), "Gap - Invalid Consent", IF(AND(D5359="Legitimate Interest (GDPR Art. 6(1)(f))", L5359=""), "Gap - Missing LIA", IF(AND(G5359="Yes", H5359=""), "Gap - Missing Art. 9 Basis", IF(OR(I5359="Invalid - Not Freely Given", I5359="Invalid - Not Specific", I5359="Invalid - Not Informed", I5359="Invalid - Ambiguous"), "Gap - Invalid Consent", "Compliant")))))</f>
        <v/>
      </c>
      <c r="O5359" s="7" t="n"/>
    </row>
    <row r="5360">
      <c r="A5360" s="7" t="n"/>
      <c r="B5360" s="7" t="n"/>
      <c r="C5360" s="7" t="n"/>
      <c r="D5360" s="7" t="n"/>
      <c r="E5360" s="7" t="n"/>
      <c r="F5360" s="7" t="n"/>
      <c r="G5360" s="7" t="n"/>
      <c r="H5360" s="7" t="n"/>
      <c r="I5360" s="7" t="n"/>
      <c r="J5360" s="7" t="n"/>
      <c r="K5360">
        <f>IF(D5360="Legitimate Interest (GDPR Art. 6(1)(f))", "Yes / Required (Sheet 3)", "")</f>
        <v/>
      </c>
      <c r="L5360" s="7" t="n"/>
      <c r="M5360" s="7" t="n"/>
      <c r="N5360">
        <f>IF(D5360="", "Gap - No Legal Basis", IF(AND(D5360="Consent (GDPR Art. 6(1)(a))", I5360="Not Captured"), "Gap - Invalid Consent", IF(AND(D5360="Legitimate Interest (GDPR Art. 6(1)(f))", L5360=""), "Gap - Missing LIA", IF(AND(G5360="Yes", H5360=""), "Gap - Missing Art. 9 Basis", IF(OR(I5360="Invalid - Not Freely Given", I5360="Invalid - Not Specific", I5360="Invalid - Not Informed", I5360="Invalid - Ambiguous"), "Gap - Invalid Consent", "Compliant")))))</f>
        <v/>
      </c>
      <c r="O5360" s="7" t="n"/>
    </row>
    <row r="5361">
      <c r="A5361" s="7" t="n"/>
      <c r="B5361" s="7" t="n"/>
      <c r="C5361" s="7" t="n"/>
      <c r="D5361" s="7" t="n"/>
      <c r="E5361" s="7" t="n"/>
      <c r="F5361" s="7" t="n"/>
      <c r="G5361" s="7" t="n"/>
      <c r="H5361" s="7" t="n"/>
      <c r="I5361" s="7" t="n"/>
      <c r="J5361" s="7" t="n"/>
      <c r="K5361">
        <f>IF(D5361="Legitimate Interest (GDPR Art. 6(1)(f))", "Yes / Required (Sheet 3)", "")</f>
        <v/>
      </c>
      <c r="L5361" s="7" t="n"/>
      <c r="M5361" s="7" t="n"/>
      <c r="N5361">
        <f>IF(D5361="", "Gap - No Legal Basis", IF(AND(D5361="Consent (GDPR Art. 6(1)(a))", I5361="Not Captured"), "Gap - Invalid Consent", IF(AND(D5361="Legitimate Interest (GDPR Art. 6(1)(f))", L5361=""), "Gap - Missing LIA", IF(AND(G5361="Yes", H5361=""), "Gap - Missing Art. 9 Basis", IF(OR(I5361="Invalid - Not Freely Given", I5361="Invalid - Not Specific", I5361="Invalid - Not Informed", I5361="Invalid - Ambiguous"), "Gap - Invalid Consent", "Compliant")))))</f>
        <v/>
      </c>
      <c r="O5361" s="7" t="n"/>
    </row>
    <row r="5362">
      <c r="A5362" s="7" t="n"/>
      <c r="B5362" s="7" t="n"/>
      <c r="C5362" s="7" t="n"/>
      <c r="D5362" s="7" t="n"/>
      <c r="E5362" s="7" t="n"/>
      <c r="F5362" s="7" t="n"/>
      <c r="G5362" s="7" t="n"/>
      <c r="H5362" s="7" t="n"/>
      <c r="I5362" s="7" t="n"/>
      <c r="J5362" s="7" t="n"/>
      <c r="K5362">
        <f>IF(D5362="Legitimate Interest (GDPR Art. 6(1)(f))", "Yes / Required (Sheet 3)", "")</f>
        <v/>
      </c>
      <c r="L5362" s="7" t="n"/>
      <c r="M5362" s="7" t="n"/>
      <c r="N5362">
        <f>IF(D5362="", "Gap - No Legal Basis", IF(AND(D5362="Consent (GDPR Art. 6(1)(a))", I5362="Not Captured"), "Gap - Invalid Consent", IF(AND(D5362="Legitimate Interest (GDPR Art. 6(1)(f))", L5362=""), "Gap - Missing LIA", IF(AND(G5362="Yes", H5362=""), "Gap - Missing Art. 9 Basis", IF(OR(I5362="Invalid - Not Freely Given", I5362="Invalid - Not Specific", I5362="Invalid - Not Informed", I5362="Invalid - Ambiguous"), "Gap - Invalid Consent", "Compliant")))))</f>
        <v/>
      </c>
      <c r="O5362" s="7" t="n"/>
    </row>
    <row r="5363">
      <c r="A5363" s="7" t="n"/>
      <c r="B5363" s="7" t="n"/>
      <c r="C5363" s="7" t="n"/>
      <c r="D5363" s="7" t="n"/>
      <c r="E5363" s="7" t="n"/>
      <c r="F5363" s="7" t="n"/>
      <c r="G5363" s="7" t="n"/>
      <c r="H5363" s="7" t="n"/>
      <c r="I5363" s="7" t="n"/>
      <c r="J5363" s="7" t="n"/>
      <c r="K5363">
        <f>IF(D5363="Legitimate Interest (GDPR Art. 6(1)(f))", "Yes / Required (Sheet 3)", "")</f>
        <v/>
      </c>
      <c r="L5363" s="7" t="n"/>
      <c r="M5363" s="7" t="n"/>
      <c r="N5363">
        <f>IF(D5363="", "Gap - No Legal Basis", IF(AND(D5363="Consent (GDPR Art. 6(1)(a))", I5363="Not Captured"), "Gap - Invalid Consent", IF(AND(D5363="Legitimate Interest (GDPR Art. 6(1)(f))", L5363=""), "Gap - Missing LIA", IF(AND(G5363="Yes", H5363=""), "Gap - Missing Art. 9 Basis", IF(OR(I5363="Invalid - Not Freely Given", I5363="Invalid - Not Specific", I5363="Invalid - Not Informed", I5363="Invalid - Ambiguous"), "Gap - Invalid Consent", "Compliant")))))</f>
        <v/>
      </c>
      <c r="O5363" s="7" t="n"/>
    </row>
    <row r="5364">
      <c r="A5364" s="7" t="n"/>
      <c r="B5364" s="7" t="n"/>
      <c r="C5364" s="7" t="n"/>
      <c r="D5364" s="7" t="n"/>
      <c r="E5364" s="7" t="n"/>
      <c r="F5364" s="7" t="n"/>
      <c r="G5364" s="7" t="n"/>
      <c r="H5364" s="7" t="n"/>
      <c r="I5364" s="7" t="n"/>
      <c r="J5364" s="7" t="n"/>
      <c r="K5364">
        <f>IF(D5364="Legitimate Interest (GDPR Art. 6(1)(f))", "Yes / Required (Sheet 3)", "")</f>
        <v/>
      </c>
      <c r="L5364" s="7" t="n"/>
      <c r="M5364" s="7" t="n"/>
      <c r="N5364">
        <f>IF(D5364="", "Gap - No Legal Basis", IF(AND(D5364="Consent (GDPR Art. 6(1)(a))", I5364="Not Captured"), "Gap - Invalid Consent", IF(AND(D5364="Legitimate Interest (GDPR Art. 6(1)(f))", L5364=""), "Gap - Missing LIA", IF(AND(G5364="Yes", H5364=""), "Gap - Missing Art. 9 Basis", IF(OR(I5364="Invalid - Not Freely Given", I5364="Invalid - Not Specific", I5364="Invalid - Not Informed", I5364="Invalid - Ambiguous"), "Gap - Invalid Consent", "Compliant")))))</f>
        <v/>
      </c>
      <c r="O5364" s="7" t="n"/>
    </row>
    <row r="5365">
      <c r="A5365" s="7" t="n"/>
      <c r="B5365" s="7" t="n"/>
      <c r="C5365" s="7" t="n"/>
      <c r="D5365" s="7" t="n"/>
      <c r="E5365" s="7" t="n"/>
      <c r="F5365" s="7" t="n"/>
      <c r="G5365" s="7" t="n"/>
      <c r="H5365" s="7" t="n"/>
      <c r="I5365" s="7" t="n"/>
      <c r="J5365" s="7" t="n"/>
      <c r="K5365">
        <f>IF(D5365="Legitimate Interest (GDPR Art. 6(1)(f))", "Yes / Required (Sheet 3)", "")</f>
        <v/>
      </c>
      <c r="L5365" s="7" t="n"/>
      <c r="M5365" s="7" t="n"/>
      <c r="N5365">
        <f>IF(D5365="", "Gap - No Legal Basis", IF(AND(D5365="Consent (GDPR Art. 6(1)(a))", I5365="Not Captured"), "Gap - Invalid Consent", IF(AND(D5365="Legitimate Interest (GDPR Art. 6(1)(f))", L5365=""), "Gap - Missing LIA", IF(AND(G5365="Yes", H5365=""), "Gap - Missing Art. 9 Basis", IF(OR(I5365="Invalid - Not Freely Given", I5365="Invalid - Not Specific", I5365="Invalid - Not Informed", I5365="Invalid - Ambiguous"), "Gap - Invalid Consent", "Compliant")))))</f>
        <v/>
      </c>
      <c r="O5365" s="7" t="n"/>
    </row>
    <row r="5366">
      <c r="A5366" s="7" t="n"/>
      <c r="B5366" s="7" t="n"/>
      <c r="C5366" s="7" t="n"/>
      <c r="D5366" s="7" t="n"/>
      <c r="E5366" s="7" t="n"/>
      <c r="F5366" s="7" t="n"/>
      <c r="G5366" s="7" t="n"/>
      <c r="H5366" s="7" t="n"/>
      <c r="I5366" s="7" t="n"/>
      <c r="J5366" s="7" t="n"/>
      <c r="K5366">
        <f>IF(D5366="Legitimate Interest (GDPR Art. 6(1)(f))", "Yes / Required (Sheet 3)", "")</f>
        <v/>
      </c>
      <c r="L5366" s="7" t="n"/>
      <c r="M5366" s="7" t="n"/>
      <c r="N5366">
        <f>IF(D5366="", "Gap - No Legal Basis", IF(AND(D5366="Consent (GDPR Art. 6(1)(a))", I5366="Not Captured"), "Gap - Invalid Consent", IF(AND(D5366="Legitimate Interest (GDPR Art. 6(1)(f))", L5366=""), "Gap - Missing LIA", IF(AND(G5366="Yes", H5366=""), "Gap - Missing Art. 9 Basis", IF(OR(I5366="Invalid - Not Freely Given", I5366="Invalid - Not Specific", I5366="Invalid - Not Informed", I5366="Invalid - Ambiguous"), "Gap - Invalid Consent", "Compliant")))))</f>
        <v/>
      </c>
      <c r="O5366" s="7" t="n"/>
    </row>
    <row r="5367">
      <c r="A5367" s="7" t="n"/>
      <c r="B5367" s="7" t="n"/>
      <c r="C5367" s="7" t="n"/>
      <c r="D5367" s="7" t="n"/>
      <c r="E5367" s="7" t="n"/>
      <c r="F5367" s="7" t="n"/>
      <c r="G5367" s="7" t="n"/>
      <c r="H5367" s="7" t="n"/>
      <c r="I5367" s="7" t="n"/>
      <c r="J5367" s="7" t="n"/>
      <c r="K5367">
        <f>IF(D5367="Legitimate Interest (GDPR Art. 6(1)(f))", "Yes / Required (Sheet 3)", "")</f>
        <v/>
      </c>
      <c r="L5367" s="7" t="n"/>
      <c r="M5367" s="7" t="n"/>
      <c r="N5367">
        <f>IF(D5367="", "Gap - No Legal Basis", IF(AND(D5367="Consent (GDPR Art. 6(1)(a))", I5367="Not Captured"), "Gap - Invalid Consent", IF(AND(D5367="Legitimate Interest (GDPR Art. 6(1)(f))", L5367=""), "Gap - Missing LIA", IF(AND(G5367="Yes", H5367=""), "Gap - Missing Art. 9 Basis", IF(OR(I5367="Invalid - Not Freely Given", I5367="Invalid - Not Specific", I5367="Invalid - Not Informed", I5367="Invalid - Ambiguous"), "Gap - Invalid Consent", "Compliant")))))</f>
        <v/>
      </c>
      <c r="O5367" s="7" t="n"/>
    </row>
    <row r="5368">
      <c r="A5368" s="7" t="n"/>
      <c r="B5368" s="7" t="n"/>
      <c r="C5368" s="7" t="n"/>
      <c r="D5368" s="7" t="n"/>
      <c r="E5368" s="7" t="n"/>
      <c r="F5368" s="7" t="n"/>
      <c r="G5368" s="7" t="n"/>
      <c r="H5368" s="7" t="n"/>
      <c r="I5368" s="7" t="n"/>
      <c r="J5368" s="7" t="n"/>
      <c r="K5368">
        <f>IF(D5368="Legitimate Interest (GDPR Art. 6(1)(f))", "Yes / Required (Sheet 3)", "")</f>
        <v/>
      </c>
      <c r="L5368" s="7" t="n"/>
      <c r="M5368" s="7" t="n"/>
      <c r="N5368">
        <f>IF(D5368="", "Gap - No Legal Basis", IF(AND(D5368="Consent (GDPR Art. 6(1)(a))", I5368="Not Captured"), "Gap - Invalid Consent", IF(AND(D5368="Legitimate Interest (GDPR Art. 6(1)(f))", L5368=""), "Gap - Missing LIA", IF(AND(G5368="Yes", H5368=""), "Gap - Missing Art. 9 Basis", IF(OR(I5368="Invalid - Not Freely Given", I5368="Invalid - Not Specific", I5368="Invalid - Not Informed", I5368="Invalid - Ambiguous"), "Gap - Invalid Consent", "Compliant")))))</f>
        <v/>
      </c>
      <c r="O5368" s="7" t="n"/>
    </row>
    <row r="5369">
      <c r="A5369" s="7" t="n"/>
      <c r="B5369" s="7" t="n"/>
      <c r="C5369" s="7" t="n"/>
      <c r="D5369" s="7" t="n"/>
      <c r="E5369" s="7" t="n"/>
      <c r="F5369" s="7" t="n"/>
      <c r="G5369" s="7" t="n"/>
      <c r="H5369" s="7" t="n"/>
      <c r="I5369" s="7" t="n"/>
      <c r="J5369" s="7" t="n"/>
      <c r="K5369">
        <f>IF(D5369="Legitimate Interest (GDPR Art. 6(1)(f))", "Yes / Required (Sheet 3)", "")</f>
        <v/>
      </c>
      <c r="L5369" s="7" t="n"/>
      <c r="M5369" s="7" t="n"/>
      <c r="N5369">
        <f>IF(D5369="", "Gap - No Legal Basis", IF(AND(D5369="Consent (GDPR Art. 6(1)(a))", I5369="Not Captured"), "Gap - Invalid Consent", IF(AND(D5369="Legitimate Interest (GDPR Art. 6(1)(f))", L5369=""), "Gap - Missing LIA", IF(AND(G5369="Yes", H5369=""), "Gap - Missing Art. 9 Basis", IF(OR(I5369="Invalid - Not Freely Given", I5369="Invalid - Not Specific", I5369="Invalid - Not Informed", I5369="Invalid - Ambiguous"), "Gap - Invalid Consent", "Compliant")))))</f>
        <v/>
      </c>
      <c r="O5369" s="7" t="n"/>
    </row>
    <row r="5370">
      <c r="A5370" s="7" t="n"/>
      <c r="B5370" s="7" t="n"/>
      <c r="C5370" s="7" t="n"/>
      <c r="D5370" s="7" t="n"/>
      <c r="E5370" s="7" t="n"/>
      <c r="F5370" s="7" t="n"/>
      <c r="G5370" s="7" t="n"/>
      <c r="H5370" s="7" t="n"/>
      <c r="I5370" s="7" t="n"/>
      <c r="J5370" s="7" t="n"/>
      <c r="K5370">
        <f>IF(D5370="Legitimate Interest (GDPR Art. 6(1)(f))", "Yes / Required (Sheet 3)", "")</f>
        <v/>
      </c>
      <c r="L5370" s="7" t="n"/>
      <c r="M5370" s="7" t="n"/>
      <c r="N5370">
        <f>IF(D5370="", "Gap - No Legal Basis", IF(AND(D5370="Consent (GDPR Art. 6(1)(a))", I5370="Not Captured"), "Gap - Invalid Consent", IF(AND(D5370="Legitimate Interest (GDPR Art. 6(1)(f))", L5370=""), "Gap - Missing LIA", IF(AND(G5370="Yes", H5370=""), "Gap - Missing Art. 9 Basis", IF(OR(I5370="Invalid - Not Freely Given", I5370="Invalid - Not Specific", I5370="Invalid - Not Informed", I5370="Invalid - Ambiguous"), "Gap - Invalid Consent", "Compliant")))))</f>
        <v/>
      </c>
      <c r="O5370" s="7" t="n"/>
    </row>
    <row r="5371">
      <c r="A5371" s="7" t="n"/>
      <c r="B5371" s="7" t="n"/>
      <c r="C5371" s="7" t="n"/>
      <c r="D5371" s="7" t="n"/>
      <c r="E5371" s="7" t="n"/>
      <c r="F5371" s="7" t="n"/>
      <c r="G5371" s="7" t="n"/>
      <c r="H5371" s="7" t="n"/>
      <c r="I5371" s="7" t="n"/>
      <c r="J5371" s="7" t="n"/>
      <c r="K5371">
        <f>IF(D5371="Legitimate Interest (GDPR Art. 6(1)(f))", "Yes / Required (Sheet 3)", "")</f>
        <v/>
      </c>
      <c r="L5371" s="7" t="n"/>
      <c r="M5371" s="7" t="n"/>
      <c r="N5371">
        <f>IF(D5371="", "Gap - No Legal Basis", IF(AND(D5371="Consent (GDPR Art. 6(1)(a))", I5371="Not Captured"), "Gap - Invalid Consent", IF(AND(D5371="Legitimate Interest (GDPR Art. 6(1)(f))", L5371=""), "Gap - Missing LIA", IF(AND(G5371="Yes", H5371=""), "Gap - Missing Art. 9 Basis", IF(OR(I5371="Invalid - Not Freely Given", I5371="Invalid - Not Specific", I5371="Invalid - Not Informed", I5371="Invalid - Ambiguous"), "Gap - Invalid Consent", "Compliant")))))</f>
        <v/>
      </c>
      <c r="O5371" s="7" t="n"/>
    </row>
    <row r="5372">
      <c r="A5372" s="7" t="n"/>
      <c r="B5372" s="7" t="n"/>
      <c r="C5372" s="7" t="n"/>
      <c r="D5372" s="7" t="n"/>
      <c r="E5372" s="7" t="n"/>
      <c r="F5372" s="7" t="n"/>
      <c r="G5372" s="7" t="n"/>
      <c r="H5372" s="7" t="n"/>
      <c r="I5372" s="7" t="n"/>
      <c r="J5372" s="7" t="n"/>
      <c r="K5372">
        <f>IF(D5372="Legitimate Interest (GDPR Art. 6(1)(f))", "Yes / Required (Sheet 3)", "")</f>
        <v/>
      </c>
      <c r="L5372" s="7" t="n"/>
      <c r="M5372" s="7" t="n"/>
      <c r="N5372">
        <f>IF(D5372="", "Gap - No Legal Basis", IF(AND(D5372="Consent (GDPR Art. 6(1)(a))", I5372="Not Captured"), "Gap - Invalid Consent", IF(AND(D5372="Legitimate Interest (GDPR Art. 6(1)(f))", L5372=""), "Gap - Missing LIA", IF(AND(G5372="Yes", H5372=""), "Gap - Missing Art. 9 Basis", IF(OR(I5372="Invalid - Not Freely Given", I5372="Invalid - Not Specific", I5372="Invalid - Not Informed", I5372="Invalid - Ambiguous"), "Gap - Invalid Consent", "Compliant")))))</f>
        <v/>
      </c>
      <c r="O5372" s="7" t="n"/>
    </row>
    <row r="5373">
      <c r="A5373" s="7" t="n"/>
      <c r="B5373" s="7" t="n"/>
      <c r="C5373" s="7" t="n"/>
      <c r="D5373" s="7" t="n"/>
      <c r="E5373" s="7" t="n"/>
      <c r="F5373" s="7" t="n"/>
      <c r="G5373" s="7" t="n"/>
      <c r="H5373" s="7" t="n"/>
      <c r="I5373" s="7" t="n"/>
      <c r="J5373" s="7" t="n"/>
      <c r="K5373">
        <f>IF(D5373="Legitimate Interest (GDPR Art. 6(1)(f))", "Yes / Required (Sheet 3)", "")</f>
        <v/>
      </c>
      <c r="L5373" s="7" t="n"/>
      <c r="M5373" s="7" t="n"/>
      <c r="N5373">
        <f>IF(D5373="", "Gap - No Legal Basis", IF(AND(D5373="Consent (GDPR Art. 6(1)(a))", I5373="Not Captured"), "Gap - Invalid Consent", IF(AND(D5373="Legitimate Interest (GDPR Art. 6(1)(f))", L5373=""), "Gap - Missing LIA", IF(AND(G5373="Yes", H5373=""), "Gap - Missing Art. 9 Basis", IF(OR(I5373="Invalid - Not Freely Given", I5373="Invalid - Not Specific", I5373="Invalid - Not Informed", I5373="Invalid - Ambiguous"), "Gap - Invalid Consent", "Compliant")))))</f>
        <v/>
      </c>
      <c r="O5373" s="7" t="n"/>
    </row>
    <row r="5374">
      <c r="A5374" s="7" t="n"/>
      <c r="B5374" s="7" t="n"/>
      <c r="C5374" s="7" t="n"/>
      <c r="D5374" s="7" t="n"/>
      <c r="E5374" s="7" t="n"/>
      <c r="F5374" s="7" t="n"/>
      <c r="G5374" s="7" t="n"/>
      <c r="H5374" s="7" t="n"/>
      <c r="I5374" s="7" t="n"/>
      <c r="J5374" s="7" t="n"/>
      <c r="K5374">
        <f>IF(D5374="Legitimate Interest (GDPR Art. 6(1)(f))", "Yes / Required (Sheet 3)", "")</f>
        <v/>
      </c>
      <c r="L5374" s="7" t="n"/>
      <c r="M5374" s="7" t="n"/>
      <c r="N5374">
        <f>IF(D5374="", "Gap - No Legal Basis", IF(AND(D5374="Consent (GDPR Art. 6(1)(a))", I5374="Not Captured"), "Gap - Invalid Consent", IF(AND(D5374="Legitimate Interest (GDPR Art. 6(1)(f))", L5374=""), "Gap - Missing LIA", IF(AND(G5374="Yes", H5374=""), "Gap - Missing Art. 9 Basis", IF(OR(I5374="Invalid - Not Freely Given", I5374="Invalid - Not Specific", I5374="Invalid - Not Informed", I5374="Invalid - Ambiguous"), "Gap - Invalid Consent", "Compliant")))))</f>
        <v/>
      </c>
      <c r="O5374" s="7" t="n"/>
    </row>
    <row r="5375">
      <c r="A5375" s="7" t="n"/>
      <c r="B5375" s="7" t="n"/>
      <c r="C5375" s="7" t="n"/>
      <c r="D5375" s="7" t="n"/>
      <c r="E5375" s="7" t="n"/>
      <c r="F5375" s="7" t="n"/>
      <c r="G5375" s="7" t="n"/>
      <c r="H5375" s="7" t="n"/>
      <c r="I5375" s="7" t="n"/>
      <c r="J5375" s="7" t="n"/>
      <c r="K5375">
        <f>IF(D5375="Legitimate Interest (GDPR Art. 6(1)(f))", "Yes / Required (Sheet 3)", "")</f>
        <v/>
      </c>
      <c r="L5375" s="7" t="n"/>
      <c r="M5375" s="7" t="n"/>
      <c r="N5375">
        <f>IF(D5375="", "Gap - No Legal Basis", IF(AND(D5375="Consent (GDPR Art. 6(1)(a))", I5375="Not Captured"), "Gap - Invalid Consent", IF(AND(D5375="Legitimate Interest (GDPR Art. 6(1)(f))", L5375=""), "Gap - Missing LIA", IF(AND(G5375="Yes", H5375=""), "Gap - Missing Art. 9 Basis", IF(OR(I5375="Invalid - Not Freely Given", I5375="Invalid - Not Specific", I5375="Invalid - Not Informed", I5375="Invalid - Ambiguous"), "Gap - Invalid Consent", "Compliant")))))</f>
        <v/>
      </c>
      <c r="O5375" s="7" t="n"/>
    </row>
    <row r="5376">
      <c r="A5376" s="7" t="n"/>
      <c r="B5376" s="7" t="n"/>
      <c r="C5376" s="7" t="n"/>
      <c r="D5376" s="7" t="n"/>
      <c r="E5376" s="7" t="n"/>
      <c r="F5376" s="7" t="n"/>
      <c r="G5376" s="7" t="n"/>
      <c r="H5376" s="7" t="n"/>
      <c r="I5376" s="7" t="n"/>
      <c r="J5376" s="7" t="n"/>
      <c r="K5376">
        <f>IF(D5376="Legitimate Interest (GDPR Art. 6(1)(f))", "Yes / Required (Sheet 3)", "")</f>
        <v/>
      </c>
      <c r="L5376" s="7" t="n"/>
      <c r="M5376" s="7" t="n"/>
      <c r="N5376">
        <f>IF(D5376="", "Gap - No Legal Basis", IF(AND(D5376="Consent (GDPR Art. 6(1)(a))", I5376="Not Captured"), "Gap - Invalid Consent", IF(AND(D5376="Legitimate Interest (GDPR Art. 6(1)(f))", L5376=""), "Gap - Missing LIA", IF(AND(G5376="Yes", H5376=""), "Gap - Missing Art. 9 Basis", IF(OR(I5376="Invalid - Not Freely Given", I5376="Invalid - Not Specific", I5376="Invalid - Not Informed", I5376="Invalid - Ambiguous"), "Gap - Invalid Consent", "Compliant")))))</f>
        <v/>
      </c>
      <c r="O5376" s="7" t="n"/>
    </row>
    <row r="5377">
      <c r="A5377" s="7" t="n"/>
      <c r="B5377" s="7" t="n"/>
      <c r="C5377" s="7" t="n"/>
      <c r="D5377" s="7" t="n"/>
      <c r="E5377" s="7" t="n"/>
      <c r="F5377" s="7" t="n"/>
      <c r="G5377" s="7" t="n"/>
      <c r="H5377" s="7" t="n"/>
      <c r="I5377" s="7" t="n"/>
      <c r="J5377" s="7" t="n"/>
      <c r="K5377">
        <f>IF(D5377="Legitimate Interest (GDPR Art. 6(1)(f))", "Yes / Required (Sheet 3)", "")</f>
        <v/>
      </c>
      <c r="L5377" s="7" t="n"/>
      <c r="M5377" s="7" t="n"/>
      <c r="N5377">
        <f>IF(D5377="", "Gap - No Legal Basis", IF(AND(D5377="Consent (GDPR Art. 6(1)(a))", I5377="Not Captured"), "Gap - Invalid Consent", IF(AND(D5377="Legitimate Interest (GDPR Art. 6(1)(f))", L5377=""), "Gap - Missing LIA", IF(AND(G5377="Yes", H5377=""), "Gap - Missing Art. 9 Basis", IF(OR(I5377="Invalid - Not Freely Given", I5377="Invalid - Not Specific", I5377="Invalid - Not Informed", I5377="Invalid - Ambiguous"), "Gap - Invalid Consent", "Compliant")))))</f>
        <v/>
      </c>
      <c r="O5377" s="7" t="n"/>
    </row>
    <row r="5378">
      <c r="A5378" s="7" t="n"/>
      <c r="B5378" s="7" t="n"/>
      <c r="C5378" s="7" t="n"/>
      <c r="D5378" s="7" t="n"/>
      <c r="E5378" s="7" t="n"/>
      <c r="F5378" s="7" t="n"/>
      <c r="G5378" s="7" t="n"/>
      <c r="H5378" s="7" t="n"/>
      <c r="I5378" s="7" t="n"/>
      <c r="J5378" s="7" t="n"/>
      <c r="K5378">
        <f>IF(D5378="Legitimate Interest (GDPR Art. 6(1)(f))", "Yes / Required (Sheet 3)", "")</f>
        <v/>
      </c>
      <c r="L5378" s="7" t="n"/>
      <c r="M5378" s="7" t="n"/>
      <c r="N5378">
        <f>IF(D5378="", "Gap - No Legal Basis", IF(AND(D5378="Consent (GDPR Art. 6(1)(a))", I5378="Not Captured"), "Gap - Invalid Consent", IF(AND(D5378="Legitimate Interest (GDPR Art. 6(1)(f))", L5378=""), "Gap - Missing LIA", IF(AND(G5378="Yes", H5378=""), "Gap - Missing Art. 9 Basis", IF(OR(I5378="Invalid - Not Freely Given", I5378="Invalid - Not Specific", I5378="Invalid - Not Informed", I5378="Invalid - Ambiguous"), "Gap - Invalid Consent", "Compliant")))))</f>
        <v/>
      </c>
      <c r="O5378" s="7" t="n"/>
    </row>
    <row r="5379">
      <c r="A5379" s="7" t="n"/>
      <c r="B5379" s="7" t="n"/>
      <c r="C5379" s="7" t="n"/>
      <c r="D5379" s="7" t="n"/>
      <c r="E5379" s="7" t="n"/>
      <c r="F5379" s="7" t="n"/>
      <c r="G5379" s="7" t="n"/>
      <c r="H5379" s="7" t="n"/>
      <c r="I5379" s="7" t="n"/>
      <c r="J5379" s="7" t="n"/>
      <c r="K5379">
        <f>IF(D5379="Legitimate Interest (GDPR Art. 6(1)(f))", "Yes / Required (Sheet 3)", "")</f>
        <v/>
      </c>
      <c r="L5379" s="7" t="n"/>
      <c r="M5379" s="7" t="n"/>
      <c r="N5379">
        <f>IF(D5379="", "Gap - No Legal Basis", IF(AND(D5379="Consent (GDPR Art. 6(1)(a))", I5379="Not Captured"), "Gap - Invalid Consent", IF(AND(D5379="Legitimate Interest (GDPR Art. 6(1)(f))", L5379=""), "Gap - Missing LIA", IF(AND(G5379="Yes", H5379=""), "Gap - Missing Art. 9 Basis", IF(OR(I5379="Invalid - Not Freely Given", I5379="Invalid - Not Specific", I5379="Invalid - Not Informed", I5379="Invalid - Ambiguous"), "Gap - Invalid Consent", "Compliant")))))</f>
        <v/>
      </c>
      <c r="O5379" s="7" t="n"/>
    </row>
    <row r="5380">
      <c r="A5380" s="7" t="n"/>
      <c r="B5380" s="7" t="n"/>
      <c r="C5380" s="7" t="n"/>
      <c r="D5380" s="7" t="n"/>
      <c r="E5380" s="7" t="n"/>
      <c r="F5380" s="7" t="n"/>
      <c r="G5380" s="7" t="n"/>
      <c r="H5380" s="7" t="n"/>
      <c r="I5380" s="7" t="n"/>
      <c r="J5380" s="7" t="n"/>
      <c r="K5380">
        <f>IF(D5380="Legitimate Interest (GDPR Art. 6(1)(f))", "Yes / Required (Sheet 3)", "")</f>
        <v/>
      </c>
      <c r="L5380" s="7" t="n"/>
      <c r="M5380" s="7" t="n"/>
      <c r="N5380">
        <f>IF(D5380="", "Gap - No Legal Basis", IF(AND(D5380="Consent (GDPR Art. 6(1)(a))", I5380="Not Captured"), "Gap - Invalid Consent", IF(AND(D5380="Legitimate Interest (GDPR Art. 6(1)(f))", L5380=""), "Gap - Missing LIA", IF(AND(G5380="Yes", H5380=""), "Gap - Missing Art. 9 Basis", IF(OR(I5380="Invalid - Not Freely Given", I5380="Invalid - Not Specific", I5380="Invalid - Not Informed", I5380="Invalid - Ambiguous"), "Gap - Invalid Consent", "Compliant")))))</f>
        <v/>
      </c>
      <c r="O5380" s="7" t="n"/>
    </row>
    <row r="5381">
      <c r="A5381" s="7" t="n"/>
      <c r="B5381" s="7" t="n"/>
      <c r="C5381" s="7" t="n"/>
      <c r="D5381" s="7" t="n"/>
      <c r="E5381" s="7" t="n"/>
      <c r="F5381" s="7" t="n"/>
      <c r="G5381" s="7" t="n"/>
      <c r="H5381" s="7" t="n"/>
      <c r="I5381" s="7" t="n"/>
      <c r="J5381" s="7" t="n"/>
      <c r="K5381">
        <f>IF(D5381="Legitimate Interest (GDPR Art. 6(1)(f))", "Yes / Required (Sheet 3)", "")</f>
        <v/>
      </c>
      <c r="L5381" s="7" t="n"/>
      <c r="M5381" s="7" t="n"/>
      <c r="N5381">
        <f>IF(D5381="", "Gap - No Legal Basis", IF(AND(D5381="Consent (GDPR Art. 6(1)(a))", I5381="Not Captured"), "Gap - Invalid Consent", IF(AND(D5381="Legitimate Interest (GDPR Art. 6(1)(f))", L5381=""), "Gap - Missing LIA", IF(AND(G5381="Yes", H5381=""), "Gap - Missing Art. 9 Basis", IF(OR(I5381="Invalid - Not Freely Given", I5381="Invalid - Not Specific", I5381="Invalid - Not Informed", I5381="Invalid - Ambiguous"), "Gap - Invalid Consent", "Compliant")))))</f>
        <v/>
      </c>
      <c r="O5381" s="7" t="n"/>
    </row>
    <row r="5382">
      <c r="A5382" s="7" t="n"/>
      <c r="B5382" s="7" t="n"/>
      <c r="C5382" s="7" t="n"/>
      <c r="D5382" s="7" t="n"/>
      <c r="E5382" s="7" t="n"/>
      <c r="F5382" s="7" t="n"/>
      <c r="G5382" s="7" t="n"/>
      <c r="H5382" s="7" t="n"/>
      <c r="I5382" s="7" t="n"/>
      <c r="J5382" s="7" t="n"/>
      <c r="K5382">
        <f>IF(D5382="Legitimate Interest (GDPR Art. 6(1)(f))", "Yes / Required (Sheet 3)", "")</f>
        <v/>
      </c>
      <c r="L5382" s="7" t="n"/>
      <c r="M5382" s="7" t="n"/>
      <c r="N5382">
        <f>IF(D5382="", "Gap - No Legal Basis", IF(AND(D5382="Consent (GDPR Art. 6(1)(a))", I5382="Not Captured"), "Gap - Invalid Consent", IF(AND(D5382="Legitimate Interest (GDPR Art. 6(1)(f))", L5382=""), "Gap - Missing LIA", IF(AND(G5382="Yes", H5382=""), "Gap - Missing Art. 9 Basis", IF(OR(I5382="Invalid - Not Freely Given", I5382="Invalid - Not Specific", I5382="Invalid - Not Informed", I5382="Invalid - Ambiguous"), "Gap - Invalid Consent", "Compliant")))))</f>
        <v/>
      </c>
      <c r="O5382" s="7" t="n"/>
    </row>
    <row r="5383">
      <c r="A5383" s="7" t="n"/>
      <c r="B5383" s="7" t="n"/>
      <c r="C5383" s="7" t="n"/>
      <c r="D5383" s="7" t="n"/>
      <c r="E5383" s="7" t="n"/>
      <c r="F5383" s="7" t="n"/>
      <c r="G5383" s="7" t="n"/>
      <c r="H5383" s="7" t="n"/>
      <c r="I5383" s="7" t="n"/>
      <c r="J5383" s="7" t="n"/>
      <c r="K5383">
        <f>IF(D5383="Legitimate Interest (GDPR Art. 6(1)(f))", "Yes / Required (Sheet 3)", "")</f>
        <v/>
      </c>
      <c r="L5383" s="7" t="n"/>
      <c r="M5383" s="7" t="n"/>
      <c r="N5383">
        <f>IF(D5383="", "Gap - No Legal Basis", IF(AND(D5383="Consent (GDPR Art. 6(1)(a))", I5383="Not Captured"), "Gap - Invalid Consent", IF(AND(D5383="Legitimate Interest (GDPR Art. 6(1)(f))", L5383=""), "Gap - Missing LIA", IF(AND(G5383="Yes", H5383=""), "Gap - Missing Art. 9 Basis", IF(OR(I5383="Invalid - Not Freely Given", I5383="Invalid - Not Specific", I5383="Invalid - Not Informed", I5383="Invalid - Ambiguous"), "Gap - Invalid Consent", "Compliant")))))</f>
        <v/>
      </c>
      <c r="O5383" s="7" t="n"/>
    </row>
    <row r="5384">
      <c r="A5384" s="7" t="n"/>
      <c r="B5384" s="7" t="n"/>
      <c r="C5384" s="7" t="n"/>
      <c r="D5384" s="7" t="n"/>
      <c r="E5384" s="7" t="n"/>
      <c r="F5384" s="7" t="n"/>
      <c r="G5384" s="7" t="n"/>
      <c r="H5384" s="7" t="n"/>
      <c r="I5384" s="7" t="n"/>
      <c r="J5384" s="7" t="n"/>
      <c r="K5384">
        <f>IF(D5384="Legitimate Interest (GDPR Art. 6(1)(f))", "Yes / Required (Sheet 3)", "")</f>
        <v/>
      </c>
      <c r="L5384" s="7" t="n"/>
      <c r="M5384" s="7" t="n"/>
      <c r="N5384">
        <f>IF(D5384="", "Gap - No Legal Basis", IF(AND(D5384="Consent (GDPR Art. 6(1)(a))", I5384="Not Captured"), "Gap - Invalid Consent", IF(AND(D5384="Legitimate Interest (GDPR Art. 6(1)(f))", L5384=""), "Gap - Missing LIA", IF(AND(G5384="Yes", H5384=""), "Gap - Missing Art. 9 Basis", IF(OR(I5384="Invalid - Not Freely Given", I5384="Invalid - Not Specific", I5384="Invalid - Not Informed", I5384="Invalid - Ambiguous"), "Gap - Invalid Consent", "Compliant")))))</f>
        <v/>
      </c>
      <c r="O5384" s="7" t="n"/>
    </row>
    <row r="5385">
      <c r="A5385" s="7" t="n"/>
      <c r="B5385" s="7" t="n"/>
      <c r="C5385" s="7" t="n"/>
      <c r="D5385" s="7" t="n"/>
      <c r="E5385" s="7" t="n"/>
      <c r="F5385" s="7" t="n"/>
      <c r="G5385" s="7" t="n"/>
      <c r="H5385" s="7" t="n"/>
      <c r="I5385" s="7" t="n"/>
      <c r="J5385" s="7" t="n"/>
      <c r="K5385">
        <f>IF(D5385="Legitimate Interest (GDPR Art. 6(1)(f))", "Yes / Required (Sheet 3)", "")</f>
        <v/>
      </c>
      <c r="L5385" s="7" t="n"/>
      <c r="M5385" s="7" t="n"/>
      <c r="N5385">
        <f>IF(D5385="", "Gap - No Legal Basis", IF(AND(D5385="Consent (GDPR Art. 6(1)(a))", I5385="Not Captured"), "Gap - Invalid Consent", IF(AND(D5385="Legitimate Interest (GDPR Art. 6(1)(f))", L5385=""), "Gap - Missing LIA", IF(AND(G5385="Yes", H5385=""), "Gap - Missing Art. 9 Basis", IF(OR(I5385="Invalid - Not Freely Given", I5385="Invalid - Not Specific", I5385="Invalid - Not Informed", I5385="Invalid - Ambiguous"), "Gap - Invalid Consent", "Compliant")))))</f>
        <v/>
      </c>
      <c r="O5385" s="7" t="n"/>
    </row>
    <row r="5386">
      <c r="A5386" s="7" t="n"/>
      <c r="B5386" s="7" t="n"/>
      <c r="C5386" s="7" t="n"/>
      <c r="D5386" s="7" t="n"/>
      <c r="E5386" s="7" t="n"/>
      <c r="F5386" s="7" t="n"/>
      <c r="G5386" s="7" t="n"/>
      <c r="H5386" s="7" t="n"/>
      <c r="I5386" s="7" t="n"/>
      <c r="J5386" s="7" t="n"/>
      <c r="K5386">
        <f>IF(D5386="Legitimate Interest (GDPR Art. 6(1)(f))", "Yes / Required (Sheet 3)", "")</f>
        <v/>
      </c>
      <c r="L5386" s="7" t="n"/>
      <c r="M5386" s="7" t="n"/>
      <c r="N5386">
        <f>IF(D5386="", "Gap - No Legal Basis", IF(AND(D5386="Consent (GDPR Art. 6(1)(a))", I5386="Not Captured"), "Gap - Invalid Consent", IF(AND(D5386="Legitimate Interest (GDPR Art. 6(1)(f))", L5386=""), "Gap - Missing LIA", IF(AND(G5386="Yes", H5386=""), "Gap - Missing Art. 9 Basis", IF(OR(I5386="Invalid - Not Freely Given", I5386="Invalid - Not Specific", I5386="Invalid - Not Informed", I5386="Invalid - Ambiguous"), "Gap - Invalid Consent", "Compliant")))))</f>
        <v/>
      </c>
      <c r="O5386" s="7" t="n"/>
    </row>
    <row r="5387">
      <c r="A5387" s="7" t="n"/>
      <c r="B5387" s="7" t="n"/>
      <c r="C5387" s="7" t="n"/>
      <c r="D5387" s="7" t="n"/>
      <c r="E5387" s="7" t="n"/>
      <c r="F5387" s="7" t="n"/>
      <c r="G5387" s="7" t="n"/>
      <c r="H5387" s="7" t="n"/>
      <c r="I5387" s="7" t="n"/>
      <c r="J5387" s="7" t="n"/>
      <c r="K5387">
        <f>IF(D5387="Legitimate Interest (GDPR Art. 6(1)(f))", "Yes / Required (Sheet 3)", "")</f>
        <v/>
      </c>
      <c r="L5387" s="7" t="n"/>
      <c r="M5387" s="7" t="n"/>
      <c r="N5387">
        <f>IF(D5387="", "Gap - No Legal Basis", IF(AND(D5387="Consent (GDPR Art. 6(1)(a))", I5387="Not Captured"), "Gap - Invalid Consent", IF(AND(D5387="Legitimate Interest (GDPR Art. 6(1)(f))", L5387=""), "Gap - Missing LIA", IF(AND(G5387="Yes", H5387=""), "Gap - Missing Art. 9 Basis", IF(OR(I5387="Invalid - Not Freely Given", I5387="Invalid - Not Specific", I5387="Invalid - Not Informed", I5387="Invalid - Ambiguous"), "Gap - Invalid Consent", "Compliant")))))</f>
        <v/>
      </c>
      <c r="O5387" s="7" t="n"/>
    </row>
    <row r="5388">
      <c r="A5388" s="7" t="n"/>
      <c r="B5388" s="7" t="n"/>
      <c r="C5388" s="7" t="n"/>
      <c r="D5388" s="7" t="n"/>
      <c r="E5388" s="7" t="n"/>
      <c r="F5388" s="7" t="n"/>
      <c r="G5388" s="7" t="n"/>
      <c r="H5388" s="7" t="n"/>
      <c r="I5388" s="7" t="n"/>
      <c r="J5388" s="7" t="n"/>
      <c r="K5388">
        <f>IF(D5388="Legitimate Interest (GDPR Art. 6(1)(f))", "Yes / Required (Sheet 3)", "")</f>
        <v/>
      </c>
      <c r="L5388" s="7" t="n"/>
      <c r="M5388" s="7" t="n"/>
      <c r="N5388">
        <f>IF(D5388="", "Gap - No Legal Basis", IF(AND(D5388="Consent (GDPR Art. 6(1)(a))", I5388="Not Captured"), "Gap - Invalid Consent", IF(AND(D5388="Legitimate Interest (GDPR Art. 6(1)(f))", L5388=""), "Gap - Missing LIA", IF(AND(G5388="Yes", H5388=""), "Gap - Missing Art. 9 Basis", IF(OR(I5388="Invalid - Not Freely Given", I5388="Invalid - Not Specific", I5388="Invalid - Not Informed", I5388="Invalid - Ambiguous"), "Gap - Invalid Consent", "Compliant")))))</f>
        <v/>
      </c>
      <c r="O5388" s="7" t="n"/>
    </row>
    <row r="5389">
      <c r="A5389" s="7" t="n"/>
      <c r="B5389" s="7" t="n"/>
      <c r="C5389" s="7" t="n"/>
      <c r="D5389" s="7" t="n"/>
      <c r="E5389" s="7" t="n"/>
      <c r="F5389" s="7" t="n"/>
      <c r="G5389" s="7" t="n"/>
      <c r="H5389" s="7" t="n"/>
      <c r="I5389" s="7" t="n"/>
      <c r="J5389" s="7" t="n"/>
      <c r="K5389">
        <f>IF(D5389="Legitimate Interest (GDPR Art. 6(1)(f))", "Yes / Required (Sheet 3)", "")</f>
        <v/>
      </c>
      <c r="L5389" s="7" t="n"/>
      <c r="M5389" s="7" t="n"/>
      <c r="N5389">
        <f>IF(D5389="", "Gap - No Legal Basis", IF(AND(D5389="Consent (GDPR Art. 6(1)(a))", I5389="Not Captured"), "Gap - Invalid Consent", IF(AND(D5389="Legitimate Interest (GDPR Art. 6(1)(f))", L5389=""), "Gap - Missing LIA", IF(AND(G5389="Yes", H5389=""), "Gap - Missing Art. 9 Basis", IF(OR(I5389="Invalid - Not Freely Given", I5389="Invalid - Not Specific", I5389="Invalid - Not Informed", I5389="Invalid - Ambiguous"), "Gap - Invalid Consent", "Compliant")))))</f>
        <v/>
      </c>
      <c r="O5389" s="7" t="n"/>
    </row>
    <row r="5390">
      <c r="A5390" s="7" t="n"/>
      <c r="B5390" s="7" t="n"/>
      <c r="C5390" s="7" t="n"/>
      <c r="D5390" s="7" t="n"/>
      <c r="E5390" s="7" t="n"/>
      <c r="F5390" s="7" t="n"/>
      <c r="G5390" s="7" t="n"/>
      <c r="H5390" s="7" t="n"/>
      <c r="I5390" s="7" t="n"/>
      <c r="J5390" s="7" t="n"/>
      <c r="K5390">
        <f>IF(D5390="Legitimate Interest (GDPR Art. 6(1)(f))", "Yes / Required (Sheet 3)", "")</f>
        <v/>
      </c>
      <c r="L5390" s="7" t="n"/>
      <c r="M5390" s="7" t="n"/>
      <c r="N5390">
        <f>IF(D5390="", "Gap - No Legal Basis", IF(AND(D5390="Consent (GDPR Art. 6(1)(a))", I5390="Not Captured"), "Gap - Invalid Consent", IF(AND(D5390="Legitimate Interest (GDPR Art. 6(1)(f))", L5390=""), "Gap - Missing LIA", IF(AND(G5390="Yes", H5390=""), "Gap - Missing Art. 9 Basis", IF(OR(I5390="Invalid - Not Freely Given", I5390="Invalid - Not Specific", I5390="Invalid - Not Informed", I5390="Invalid - Ambiguous"), "Gap - Invalid Consent", "Compliant")))))</f>
        <v/>
      </c>
      <c r="O5390" s="7" t="n"/>
    </row>
    <row r="5391">
      <c r="A5391" s="7" t="n"/>
      <c r="B5391" s="7" t="n"/>
      <c r="C5391" s="7" t="n"/>
      <c r="D5391" s="7" t="n"/>
      <c r="E5391" s="7" t="n"/>
      <c r="F5391" s="7" t="n"/>
      <c r="G5391" s="7" t="n"/>
      <c r="H5391" s="7" t="n"/>
      <c r="I5391" s="7" t="n"/>
      <c r="J5391" s="7" t="n"/>
      <c r="K5391">
        <f>IF(D5391="Legitimate Interest (GDPR Art. 6(1)(f))", "Yes / Required (Sheet 3)", "")</f>
        <v/>
      </c>
      <c r="L5391" s="7" t="n"/>
      <c r="M5391" s="7" t="n"/>
      <c r="N5391">
        <f>IF(D5391="", "Gap - No Legal Basis", IF(AND(D5391="Consent (GDPR Art. 6(1)(a))", I5391="Not Captured"), "Gap - Invalid Consent", IF(AND(D5391="Legitimate Interest (GDPR Art. 6(1)(f))", L5391=""), "Gap - Missing LIA", IF(AND(G5391="Yes", H5391=""), "Gap - Missing Art. 9 Basis", IF(OR(I5391="Invalid - Not Freely Given", I5391="Invalid - Not Specific", I5391="Invalid - Not Informed", I5391="Invalid - Ambiguous"), "Gap - Invalid Consent", "Compliant")))))</f>
        <v/>
      </c>
      <c r="O5391" s="7" t="n"/>
    </row>
    <row r="5392">
      <c r="A5392" s="7" t="n"/>
      <c r="B5392" s="7" t="n"/>
      <c r="C5392" s="7" t="n"/>
      <c r="D5392" s="7" t="n"/>
      <c r="E5392" s="7" t="n"/>
      <c r="F5392" s="7" t="n"/>
      <c r="G5392" s="7" t="n"/>
      <c r="H5392" s="7" t="n"/>
      <c r="I5392" s="7" t="n"/>
      <c r="J5392" s="7" t="n"/>
      <c r="K5392">
        <f>IF(D5392="Legitimate Interest (GDPR Art. 6(1)(f))", "Yes / Required (Sheet 3)", "")</f>
        <v/>
      </c>
      <c r="L5392" s="7" t="n"/>
      <c r="M5392" s="7" t="n"/>
      <c r="N5392">
        <f>IF(D5392="", "Gap - No Legal Basis", IF(AND(D5392="Consent (GDPR Art. 6(1)(a))", I5392="Not Captured"), "Gap - Invalid Consent", IF(AND(D5392="Legitimate Interest (GDPR Art. 6(1)(f))", L5392=""), "Gap - Missing LIA", IF(AND(G5392="Yes", H5392=""), "Gap - Missing Art. 9 Basis", IF(OR(I5392="Invalid - Not Freely Given", I5392="Invalid - Not Specific", I5392="Invalid - Not Informed", I5392="Invalid - Ambiguous"), "Gap - Invalid Consent", "Compliant")))))</f>
        <v/>
      </c>
      <c r="O5392" s="7" t="n"/>
    </row>
    <row r="5393">
      <c r="A5393" s="7" t="n"/>
      <c r="B5393" s="7" t="n"/>
      <c r="C5393" s="7" t="n"/>
      <c r="D5393" s="7" t="n"/>
      <c r="E5393" s="7" t="n"/>
      <c r="F5393" s="7" t="n"/>
      <c r="G5393" s="7" t="n"/>
      <c r="H5393" s="7" t="n"/>
      <c r="I5393" s="7" t="n"/>
      <c r="J5393" s="7" t="n"/>
      <c r="K5393">
        <f>IF(D5393="Legitimate Interest (GDPR Art. 6(1)(f))", "Yes / Required (Sheet 3)", "")</f>
        <v/>
      </c>
      <c r="L5393" s="7" t="n"/>
      <c r="M5393" s="7" t="n"/>
      <c r="N5393">
        <f>IF(D5393="", "Gap - No Legal Basis", IF(AND(D5393="Consent (GDPR Art. 6(1)(a))", I5393="Not Captured"), "Gap - Invalid Consent", IF(AND(D5393="Legitimate Interest (GDPR Art. 6(1)(f))", L5393=""), "Gap - Missing LIA", IF(AND(G5393="Yes", H5393=""), "Gap - Missing Art. 9 Basis", IF(OR(I5393="Invalid - Not Freely Given", I5393="Invalid - Not Specific", I5393="Invalid - Not Informed", I5393="Invalid - Ambiguous"), "Gap - Invalid Consent", "Compliant")))))</f>
        <v/>
      </c>
      <c r="O5393" s="7" t="n"/>
    </row>
    <row r="5394">
      <c r="A5394" s="7" t="n"/>
      <c r="B5394" s="7" t="n"/>
      <c r="C5394" s="7" t="n"/>
      <c r="D5394" s="7" t="n"/>
      <c r="E5394" s="7" t="n"/>
      <c r="F5394" s="7" t="n"/>
      <c r="G5394" s="7" t="n"/>
      <c r="H5394" s="7" t="n"/>
      <c r="I5394" s="7" t="n"/>
      <c r="J5394" s="7" t="n"/>
      <c r="K5394">
        <f>IF(D5394="Legitimate Interest (GDPR Art. 6(1)(f))", "Yes / Required (Sheet 3)", "")</f>
        <v/>
      </c>
      <c r="L5394" s="7" t="n"/>
      <c r="M5394" s="7" t="n"/>
      <c r="N5394">
        <f>IF(D5394="", "Gap - No Legal Basis", IF(AND(D5394="Consent (GDPR Art. 6(1)(a))", I5394="Not Captured"), "Gap - Invalid Consent", IF(AND(D5394="Legitimate Interest (GDPR Art. 6(1)(f))", L5394=""), "Gap - Missing LIA", IF(AND(G5394="Yes", H5394=""), "Gap - Missing Art. 9 Basis", IF(OR(I5394="Invalid - Not Freely Given", I5394="Invalid - Not Specific", I5394="Invalid - Not Informed", I5394="Invalid - Ambiguous"), "Gap - Invalid Consent", "Compliant")))))</f>
        <v/>
      </c>
      <c r="O5394" s="7" t="n"/>
    </row>
    <row r="5395">
      <c r="A5395" s="7" t="n"/>
      <c r="B5395" s="7" t="n"/>
      <c r="C5395" s="7" t="n"/>
      <c r="D5395" s="7" t="n"/>
      <c r="E5395" s="7" t="n"/>
      <c r="F5395" s="7" t="n"/>
      <c r="G5395" s="7" t="n"/>
      <c r="H5395" s="7" t="n"/>
      <c r="I5395" s="7" t="n"/>
      <c r="J5395" s="7" t="n"/>
      <c r="K5395">
        <f>IF(D5395="Legitimate Interest (GDPR Art. 6(1)(f))", "Yes / Required (Sheet 3)", "")</f>
        <v/>
      </c>
      <c r="L5395" s="7" t="n"/>
      <c r="M5395" s="7" t="n"/>
      <c r="N5395">
        <f>IF(D5395="", "Gap - No Legal Basis", IF(AND(D5395="Consent (GDPR Art. 6(1)(a))", I5395="Not Captured"), "Gap - Invalid Consent", IF(AND(D5395="Legitimate Interest (GDPR Art. 6(1)(f))", L5395=""), "Gap - Missing LIA", IF(AND(G5395="Yes", H5395=""), "Gap - Missing Art. 9 Basis", IF(OR(I5395="Invalid - Not Freely Given", I5395="Invalid - Not Specific", I5395="Invalid - Not Informed", I5395="Invalid - Ambiguous"), "Gap - Invalid Consent", "Compliant")))))</f>
        <v/>
      </c>
      <c r="O5395" s="7" t="n"/>
    </row>
    <row r="5396">
      <c r="A5396" s="7" t="n"/>
      <c r="B5396" s="7" t="n"/>
      <c r="C5396" s="7" t="n"/>
      <c r="D5396" s="7" t="n"/>
      <c r="E5396" s="7" t="n"/>
      <c r="F5396" s="7" t="n"/>
      <c r="G5396" s="7" t="n"/>
      <c r="H5396" s="7" t="n"/>
      <c r="I5396" s="7" t="n"/>
      <c r="J5396" s="7" t="n"/>
      <c r="K5396">
        <f>IF(D5396="Legitimate Interest (GDPR Art. 6(1)(f))", "Yes / Required (Sheet 3)", "")</f>
        <v/>
      </c>
      <c r="L5396" s="7" t="n"/>
      <c r="M5396" s="7" t="n"/>
      <c r="N5396">
        <f>IF(D5396="", "Gap - No Legal Basis", IF(AND(D5396="Consent (GDPR Art. 6(1)(a))", I5396="Not Captured"), "Gap - Invalid Consent", IF(AND(D5396="Legitimate Interest (GDPR Art. 6(1)(f))", L5396=""), "Gap - Missing LIA", IF(AND(G5396="Yes", H5396=""), "Gap - Missing Art. 9 Basis", IF(OR(I5396="Invalid - Not Freely Given", I5396="Invalid - Not Specific", I5396="Invalid - Not Informed", I5396="Invalid - Ambiguous"), "Gap - Invalid Consent", "Compliant")))))</f>
        <v/>
      </c>
      <c r="O5396" s="7" t="n"/>
    </row>
    <row r="5397">
      <c r="A5397" s="7" t="n"/>
      <c r="B5397" s="7" t="n"/>
      <c r="C5397" s="7" t="n"/>
      <c r="D5397" s="7" t="n"/>
      <c r="E5397" s="7" t="n"/>
      <c r="F5397" s="7" t="n"/>
      <c r="G5397" s="7" t="n"/>
      <c r="H5397" s="7" t="n"/>
      <c r="I5397" s="7" t="n"/>
      <c r="J5397" s="7" t="n"/>
      <c r="K5397">
        <f>IF(D5397="Legitimate Interest (GDPR Art. 6(1)(f))", "Yes / Required (Sheet 3)", "")</f>
        <v/>
      </c>
      <c r="L5397" s="7" t="n"/>
      <c r="M5397" s="7" t="n"/>
      <c r="N5397">
        <f>IF(D5397="", "Gap - No Legal Basis", IF(AND(D5397="Consent (GDPR Art. 6(1)(a))", I5397="Not Captured"), "Gap - Invalid Consent", IF(AND(D5397="Legitimate Interest (GDPR Art. 6(1)(f))", L5397=""), "Gap - Missing LIA", IF(AND(G5397="Yes", H5397=""), "Gap - Missing Art. 9 Basis", IF(OR(I5397="Invalid - Not Freely Given", I5397="Invalid - Not Specific", I5397="Invalid - Not Informed", I5397="Invalid - Ambiguous"), "Gap - Invalid Consent", "Compliant")))))</f>
        <v/>
      </c>
      <c r="O5397" s="7" t="n"/>
    </row>
    <row r="5398">
      <c r="A5398" s="7" t="n"/>
      <c r="B5398" s="7" t="n"/>
      <c r="C5398" s="7" t="n"/>
      <c r="D5398" s="7" t="n"/>
      <c r="E5398" s="7" t="n"/>
      <c r="F5398" s="7" t="n"/>
      <c r="G5398" s="7" t="n"/>
      <c r="H5398" s="7" t="n"/>
      <c r="I5398" s="7" t="n"/>
      <c r="J5398" s="7" t="n"/>
      <c r="K5398">
        <f>IF(D5398="Legitimate Interest (GDPR Art. 6(1)(f))", "Yes / Required (Sheet 3)", "")</f>
        <v/>
      </c>
      <c r="L5398" s="7" t="n"/>
      <c r="M5398" s="7" t="n"/>
      <c r="N5398">
        <f>IF(D5398="", "Gap - No Legal Basis", IF(AND(D5398="Consent (GDPR Art. 6(1)(a))", I5398="Not Captured"), "Gap - Invalid Consent", IF(AND(D5398="Legitimate Interest (GDPR Art. 6(1)(f))", L5398=""), "Gap - Missing LIA", IF(AND(G5398="Yes", H5398=""), "Gap - Missing Art. 9 Basis", IF(OR(I5398="Invalid - Not Freely Given", I5398="Invalid - Not Specific", I5398="Invalid - Not Informed", I5398="Invalid - Ambiguous"), "Gap - Invalid Consent", "Compliant")))))</f>
        <v/>
      </c>
      <c r="O5398" s="7" t="n"/>
    </row>
    <row r="5399">
      <c r="A5399" s="7" t="n"/>
      <c r="B5399" s="7" t="n"/>
      <c r="C5399" s="7" t="n"/>
      <c r="D5399" s="7" t="n"/>
      <c r="E5399" s="7" t="n"/>
      <c r="F5399" s="7" t="n"/>
      <c r="G5399" s="7" t="n"/>
      <c r="H5399" s="7" t="n"/>
      <c r="I5399" s="7" t="n"/>
      <c r="J5399" s="7" t="n"/>
      <c r="K5399">
        <f>IF(D5399="Legitimate Interest (GDPR Art. 6(1)(f))", "Yes / Required (Sheet 3)", "")</f>
        <v/>
      </c>
      <c r="L5399" s="7" t="n"/>
      <c r="M5399" s="7" t="n"/>
      <c r="N5399">
        <f>IF(D5399="", "Gap - No Legal Basis", IF(AND(D5399="Consent (GDPR Art. 6(1)(a))", I5399="Not Captured"), "Gap - Invalid Consent", IF(AND(D5399="Legitimate Interest (GDPR Art. 6(1)(f))", L5399=""), "Gap - Missing LIA", IF(AND(G5399="Yes", H5399=""), "Gap - Missing Art. 9 Basis", IF(OR(I5399="Invalid - Not Freely Given", I5399="Invalid - Not Specific", I5399="Invalid - Not Informed", I5399="Invalid - Ambiguous"), "Gap - Invalid Consent", "Compliant")))))</f>
        <v/>
      </c>
      <c r="O5399" s="7" t="n"/>
    </row>
    <row r="5400">
      <c r="A5400" s="7" t="n"/>
      <c r="B5400" s="7" t="n"/>
      <c r="C5400" s="7" t="n"/>
      <c r="D5400" s="7" t="n"/>
      <c r="E5400" s="7" t="n"/>
      <c r="F5400" s="7" t="n"/>
      <c r="G5400" s="7" t="n"/>
      <c r="H5400" s="7" t="n"/>
      <c r="I5400" s="7" t="n"/>
      <c r="J5400" s="7" t="n"/>
      <c r="K5400">
        <f>IF(D5400="Legitimate Interest (GDPR Art. 6(1)(f))", "Yes / Required (Sheet 3)", "")</f>
        <v/>
      </c>
      <c r="L5400" s="7" t="n"/>
      <c r="M5400" s="7" t="n"/>
      <c r="N5400">
        <f>IF(D5400="", "Gap - No Legal Basis", IF(AND(D5400="Consent (GDPR Art. 6(1)(a))", I5400="Not Captured"), "Gap - Invalid Consent", IF(AND(D5400="Legitimate Interest (GDPR Art. 6(1)(f))", L5400=""), "Gap - Missing LIA", IF(AND(G5400="Yes", H5400=""), "Gap - Missing Art. 9 Basis", IF(OR(I5400="Invalid - Not Freely Given", I5400="Invalid - Not Specific", I5400="Invalid - Not Informed", I5400="Invalid - Ambiguous"), "Gap - Invalid Consent", "Compliant")))))</f>
        <v/>
      </c>
      <c r="O5400" s="7" t="n"/>
    </row>
    <row r="5401">
      <c r="A5401" s="7" t="n"/>
      <c r="B5401" s="7" t="n"/>
      <c r="C5401" s="7" t="n"/>
      <c r="D5401" s="7" t="n"/>
      <c r="E5401" s="7" t="n"/>
      <c r="F5401" s="7" t="n"/>
      <c r="G5401" s="7" t="n"/>
      <c r="H5401" s="7" t="n"/>
      <c r="I5401" s="7" t="n"/>
      <c r="J5401" s="7" t="n"/>
      <c r="K5401">
        <f>IF(D5401="Legitimate Interest (GDPR Art. 6(1)(f))", "Yes / Required (Sheet 3)", "")</f>
        <v/>
      </c>
      <c r="L5401" s="7" t="n"/>
      <c r="M5401" s="7" t="n"/>
      <c r="N5401">
        <f>IF(D5401="", "Gap - No Legal Basis", IF(AND(D5401="Consent (GDPR Art. 6(1)(a))", I5401="Not Captured"), "Gap - Invalid Consent", IF(AND(D5401="Legitimate Interest (GDPR Art. 6(1)(f))", L5401=""), "Gap - Missing LIA", IF(AND(G5401="Yes", H5401=""), "Gap - Missing Art. 9 Basis", IF(OR(I5401="Invalid - Not Freely Given", I5401="Invalid - Not Specific", I5401="Invalid - Not Informed", I5401="Invalid - Ambiguous"), "Gap - Invalid Consent", "Compliant")))))</f>
        <v/>
      </c>
      <c r="O5401" s="7" t="n"/>
    </row>
    <row r="5402">
      <c r="A5402" s="7" t="n"/>
      <c r="B5402" s="7" t="n"/>
      <c r="C5402" s="7" t="n"/>
      <c r="D5402" s="7" t="n"/>
      <c r="E5402" s="7" t="n"/>
      <c r="F5402" s="7" t="n"/>
      <c r="G5402" s="7" t="n"/>
      <c r="H5402" s="7" t="n"/>
      <c r="I5402" s="7" t="n"/>
      <c r="J5402" s="7" t="n"/>
      <c r="K5402">
        <f>IF(D5402="Legitimate Interest (GDPR Art. 6(1)(f))", "Yes / Required (Sheet 3)", "")</f>
        <v/>
      </c>
      <c r="L5402" s="7" t="n"/>
      <c r="M5402" s="7" t="n"/>
      <c r="N5402">
        <f>IF(D5402="", "Gap - No Legal Basis", IF(AND(D5402="Consent (GDPR Art. 6(1)(a))", I5402="Not Captured"), "Gap - Invalid Consent", IF(AND(D5402="Legitimate Interest (GDPR Art. 6(1)(f))", L5402=""), "Gap - Missing LIA", IF(AND(G5402="Yes", H5402=""), "Gap - Missing Art. 9 Basis", IF(OR(I5402="Invalid - Not Freely Given", I5402="Invalid - Not Specific", I5402="Invalid - Not Informed", I5402="Invalid - Ambiguous"), "Gap - Invalid Consent", "Compliant")))))</f>
        <v/>
      </c>
      <c r="O5402" s="7" t="n"/>
    </row>
    <row r="5403">
      <c r="A5403" s="7" t="n"/>
      <c r="B5403" s="7" t="n"/>
      <c r="C5403" s="7" t="n"/>
      <c r="D5403" s="7" t="n"/>
      <c r="E5403" s="7" t="n"/>
      <c r="F5403" s="7" t="n"/>
      <c r="G5403" s="7" t="n"/>
      <c r="H5403" s="7" t="n"/>
      <c r="I5403" s="7" t="n"/>
      <c r="J5403" s="7" t="n"/>
      <c r="K5403">
        <f>IF(D5403="Legitimate Interest (GDPR Art. 6(1)(f))", "Yes / Required (Sheet 3)", "")</f>
        <v/>
      </c>
      <c r="L5403" s="7" t="n"/>
      <c r="M5403" s="7" t="n"/>
      <c r="N5403">
        <f>IF(D5403="", "Gap - No Legal Basis", IF(AND(D5403="Consent (GDPR Art. 6(1)(a))", I5403="Not Captured"), "Gap - Invalid Consent", IF(AND(D5403="Legitimate Interest (GDPR Art. 6(1)(f))", L5403=""), "Gap - Missing LIA", IF(AND(G5403="Yes", H5403=""), "Gap - Missing Art. 9 Basis", IF(OR(I5403="Invalid - Not Freely Given", I5403="Invalid - Not Specific", I5403="Invalid - Not Informed", I5403="Invalid - Ambiguous"), "Gap - Invalid Consent", "Compliant")))))</f>
        <v/>
      </c>
      <c r="O5403" s="7" t="n"/>
    </row>
    <row r="5404">
      <c r="A5404" s="7" t="n"/>
      <c r="B5404" s="7" t="n"/>
      <c r="C5404" s="7" t="n"/>
      <c r="D5404" s="7" t="n"/>
      <c r="E5404" s="7" t="n"/>
      <c r="F5404" s="7" t="n"/>
      <c r="G5404" s="7" t="n"/>
      <c r="H5404" s="7" t="n"/>
      <c r="I5404" s="7" t="n"/>
      <c r="J5404" s="7" t="n"/>
      <c r="K5404">
        <f>IF(D5404="Legitimate Interest (GDPR Art. 6(1)(f))", "Yes / Required (Sheet 3)", "")</f>
        <v/>
      </c>
      <c r="L5404" s="7" t="n"/>
      <c r="M5404" s="7" t="n"/>
      <c r="N5404">
        <f>IF(D5404="", "Gap - No Legal Basis", IF(AND(D5404="Consent (GDPR Art. 6(1)(a))", I5404="Not Captured"), "Gap - Invalid Consent", IF(AND(D5404="Legitimate Interest (GDPR Art. 6(1)(f))", L5404=""), "Gap - Missing LIA", IF(AND(G5404="Yes", H5404=""), "Gap - Missing Art. 9 Basis", IF(OR(I5404="Invalid - Not Freely Given", I5404="Invalid - Not Specific", I5404="Invalid - Not Informed", I5404="Invalid - Ambiguous"), "Gap - Invalid Consent", "Compliant")))))</f>
        <v/>
      </c>
      <c r="O5404" s="7" t="n"/>
    </row>
    <row r="5405">
      <c r="A5405" s="7" t="n"/>
      <c r="B5405" s="7" t="n"/>
      <c r="C5405" s="7" t="n"/>
      <c r="D5405" s="7" t="n"/>
      <c r="E5405" s="7" t="n"/>
      <c r="F5405" s="7" t="n"/>
      <c r="G5405" s="7" t="n"/>
      <c r="H5405" s="7" t="n"/>
      <c r="I5405" s="7" t="n"/>
      <c r="J5405" s="7" t="n"/>
      <c r="K5405">
        <f>IF(D5405="Legitimate Interest (GDPR Art. 6(1)(f))", "Yes / Required (Sheet 3)", "")</f>
        <v/>
      </c>
      <c r="L5405" s="7" t="n"/>
      <c r="M5405" s="7" t="n"/>
      <c r="N5405">
        <f>IF(D5405="", "Gap - No Legal Basis", IF(AND(D5405="Consent (GDPR Art. 6(1)(a))", I5405="Not Captured"), "Gap - Invalid Consent", IF(AND(D5405="Legitimate Interest (GDPR Art. 6(1)(f))", L5405=""), "Gap - Missing LIA", IF(AND(G5405="Yes", H5405=""), "Gap - Missing Art. 9 Basis", IF(OR(I5405="Invalid - Not Freely Given", I5405="Invalid - Not Specific", I5405="Invalid - Not Informed", I5405="Invalid - Ambiguous"), "Gap - Invalid Consent", "Compliant")))))</f>
        <v/>
      </c>
      <c r="O5405" s="7" t="n"/>
    </row>
    <row r="5406">
      <c r="A5406" s="7" t="n"/>
      <c r="B5406" s="7" t="n"/>
      <c r="C5406" s="7" t="n"/>
      <c r="D5406" s="7" t="n"/>
      <c r="E5406" s="7" t="n"/>
      <c r="F5406" s="7" t="n"/>
      <c r="G5406" s="7" t="n"/>
      <c r="H5406" s="7" t="n"/>
      <c r="I5406" s="7" t="n"/>
      <c r="J5406" s="7" t="n"/>
      <c r="K5406">
        <f>IF(D5406="Legitimate Interest (GDPR Art. 6(1)(f))", "Yes / Required (Sheet 3)", "")</f>
        <v/>
      </c>
      <c r="L5406" s="7" t="n"/>
      <c r="M5406" s="7" t="n"/>
      <c r="N5406">
        <f>IF(D5406="", "Gap - No Legal Basis", IF(AND(D5406="Consent (GDPR Art. 6(1)(a))", I5406="Not Captured"), "Gap - Invalid Consent", IF(AND(D5406="Legitimate Interest (GDPR Art. 6(1)(f))", L5406=""), "Gap - Missing LIA", IF(AND(G5406="Yes", H5406=""), "Gap - Missing Art. 9 Basis", IF(OR(I5406="Invalid - Not Freely Given", I5406="Invalid - Not Specific", I5406="Invalid - Not Informed", I5406="Invalid - Ambiguous"), "Gap - Invalid Consent", "Compliant")))))</f>
        <v/>
      </c>
      <c r="O5406" s="7" t="n"/>
    </row>
    <row r="5407">
      <c r="A5407" s="7" t="n"/>
      <c r="B5407" s="7" t="n"/>
      <c r="C5407" s="7" t="n"/>
      <c r="D5407" s="7" t="n"/>
      <c r="E5407" s="7" t="n"/>
      <c r="F5407" s="7" t="n"/>
      <c r="G5407" s="7" t="n"/>
      <c r="H5407" s="7" t="n"/>
      <c r="I5407" s="7" t="n"/>
      <c r="J5407" s="7" t="n"/>
      <c r="K5407">
        <f>IF(D5407="Legitimate Interest (GDPR Art. 6(1)(f))", "Yes / Required (Sheet 3)", "")</f>
        <v/>
      </c>
      <c r="L5407" s="7" t="n"/>
      <c r="M5407" s="7" t="n"/>
      <c r="N5407">
        <f>IF(D5407="", "Gap - No Legal Basis", IF(AND(D5407="Consent (GDPR Art. 6(1)(a))", I5407="Not Captured"), "Gap - Invalid Consent", IF(AND(D5407="Legitimate Interest (GDPR Art. 6(1)(f))", L5407=""), "Gap - Missing LIA", IF(AND(G5407="Yes", H5407=""), "Gap - Missing Art. 9 Basis", IF(OR(I5407="Invalid - Not Freely Given", I5407="Invalid - Not Specific", I5407="Invalid - Not Informed", I5407="Invalid - Ambiguous"), "Gap - Invalid Consent", "Compliant")))))</f>
        <v/>
      </c>
      <c r="O5407" s="7" t="n"/>
    </row>
    <row r="5408">
      <c r="A5408" s="7" t="n"/>
      <c r="B5408" s="7" t="n"/>
      <c r="C5408" s="7" t="n"/>
      <c r="D5408" s="7" t="n"/>
      <c r="E5408" s="7" t="n"/>
      <c r="F5408" s="7" t="n"/>
      <c r="G5408" s="7" t="n"/>
      <c r="H5408" s="7" t="n"/>
      <c r="I5408" s="7" t="n"/>
      <c r="J5408" s="7" t="n"/>
      <c r="K5408">
        <f>IF(D5408="Legitimate Interest (GDPR Art. 6(1)(f))", "Yes / Required (Sheet 3)", "")</f>
        <v/>
      </c>
      <c r="L5408" s="7" t="n"/>
      <c r="M5408" s="7" t="n"/>
      <c r="N5408">
        <f>IF(D5408="", "Gap - No Legal Basis", IF(AND(D5408="Consent (GDPR Art. 6(1)(a))", I5408="Not Captured"), "Gap - Invalid Consent", IF(AND(D5408="Legitimate Interest (GDPR Art. 6(1)(f))", L5408=""), "Gap - Missing LIA", IF(AND(G5408="Yes", H5408=""), "Gap - Missing Art. 9 Basis", IF(OR(I5408="Invalid - Not Freely Given", I5408="Invalid - Not Specific", I5408="Invalid - Not Informed", I5408="Invalid - Ambiguous"), "Gap - Invalid Consent", "Compliant")))))</f>
        <v/>
      </c>
      <c r="O5408" s="7" t="n"/>
    </row>
    <row r="5409">
      <c r="A5409" s="7" t="n"/>
      <c r="B5409" s="7" t="n"/>
      <c r="C5409" s="7" t="n"/>
      <c r="D5409" s="7" t="n"/>
      <c r="E5409" s="7" t="n"/>
      <c r="F5409" s="7" t="n"/>
      <c r="G5409" s="7" t="n"/>
      <c r="H5409" s="7" t="n"/>
      <c r="I5409" s="7" t="n"/>
      <c r="J5409" s="7" t="n"/>
      <c r="K5409">
        <f>IF(D5409="Legitimate Interest (GDPR Art. 6(1)(f))", "Yes / Required (Sheet 3)", "")</f>
        <v/>
      </c>
      <c r="L5409" s="7" t="n"/>
      <c r="M5409" s="7" t="n"/>
      <c r="N5409">
        <f>IF(D5409="", "Gap - No Legal Basis", IF(AND(D5409="Consent (GDPR Art. 6(1)(a))", I5409="Not Captured"), "Gap - Invalid Consent", IF(AND(D5409="Legitimate Interest (GDPR Art. 6(1)(f))", L5409=""), "Gap - Missing LIA", IF(AND(G5409="Yes", H5409=""), "Gap - Missing Art. 9 Basis", IF(OR(I5409="Invalid - Not Freely Given", I5409="Invalid - Not Specific", I5409="Invalid - Not Informed", I5409="Invalid - Ambiguous"), "Gap - Invalid Consent", "Compliant")))))</f>
        <v/>
      </c>
      <c r="O5409" s="7" t="n"/>
    </row>
    <row r="5410">
      <c r="A5410" s="7" t="n"/>
      <c r="B5410" s="7" t="n"/>
      <c r="C5410" s="7" t="n"/>
      <c r="D5410" s="7" t="n"/>
      <c r="E5410" s="7" t="n"/>
      <c r="F5410" s="7" t="n"/>
      <c r="G5410" s="7" t="n"/>
      <c r="H5410" s="7" t="n"/>
      <c r="I5410" s="7" t="n"/>
      <c r="J5410" s="7" t="n"/>
      <c r="K5410">
        <f>IF(D5410="Legitimate Interest (GDPR Art. 6(1)(f))", "Yes / Required (Sheet 3)", "")</f>
        <v/>
      </c>
      <c r="L5410" s="7" t="n"/>
      <c r="M5410" s="7" t="n"/>
      <c r="N5410">
        <f>IF(D5410="", "Gap - No Legal Basis", IF(AND(D5410="Consent (GDPR Art. 6(1)(a))", I5410="Not Captured"), "Gap - Invalid Consent", IF(AND(D5410="Legitimate Interest (GDPR Art. 6(1)(f))", L5410=""), "Gap - Missing LIA", IF(AND(G5410="Yes", H5410=""), "Gap - Missing Art. 9 Basis", IF(OR(I5410="Invalid - Not Freely Given", I5410="Invalid - Not Specific", I5410="Invalid - Not Informed", I5410="Invalid - Ambiguous"), "Gap - Invalid Consent", "Compliant")))))</f>
        <v/>
      </c>
      <c r="O5410" s="7" t="n"/>
    </row>
    <row r="5411">
      <c r="A5411" s="7" t="n"/>
      <c r="B5411" s="7" t="n"/>
      <c r="C5411" s="7" t="n"/>
      <c r="D5411" s="7" t="n"/>
      <c r="E5411" s="7" t="n"/>
      <c r="F5411" s="7" t="n"/>
      <c r="G5411" s="7" t="n"/>
      <c r="H5411" s="7" t="n"/>
      <c r="I5411" s="7" t="n"/>
      <c r="J5411" s="7" t="n"/>
      <c r="K5411">
        <f>IF(D5411="Legitimate Interest (GDPR Art. 6(1)(f))", "Yes / Required (Sheet 3)", "")</f>
        <v/>
      </c>
      <c r="L5411" s="7" t="n"/>
      <c r="M5411" s="7" t="n"/>
      <c r="N5411">
        <f>IF(D5411="", "Gap - No Legal Basis", IF(AND(D5411="Consent (GDPR Art. 6(1)(a))", I5411="Not Captured"), "Gap - Invalid Consent", IF(AND(D5411="Legitimate Interest (GDPR Art. 6(1)(f))", L5411=""), "Gap - Missing LIA", IF(AND(G5411="Yes", H5411=""), "Gap - Missing Art. 9 Basis", IF(OR(I5411="Invalid - Not Freely Given", I5411="Invalid - Not Specific", I5411="Invalid - Not Informed", I5411="Invalid - Ambiguous"), "Gap - Invalid Consent", "Compliant")))))</f>
        <v/>
      </c>
      <c r="O5411" s="7" t="n"/>
    </row>
    <row r="5412">
      <c r="A5412" s="7" t="n"/>
      <c r="B5412" s="7" t="n"/>
      <c r="C5412" s="7" t="n"/>
      <c r="D5412" s="7" t="n"/>
      <c r="E5412" s="7" t="n"/>
      <c r="F5412" s="7" t="n"/>
      <c r="G5412" s="7" t="n"/>
      <c r="H5412" s="7" t="n"/>
      <c r="I5412" s="7" t="n"/>
      <c r="J5412" s="7" t="n"/>
      <c r="K5412">
        <f>IF(D5412="Legitimate Interest (GDPR Art. 6(1)(f))", "Yes / Required (Sheet 3)", "")</f>
        <v/>
      </c>
      <c r="L5412" s="7" t="n"/>
      <c r="M5412" s="7" t="n"/>
      <c r="N5412">
        <f>IF(D5412="", "Gap - No Legal Basis", IF(AND(D5412="Consent (GDPR Art. 6(1)(a))", I5412="Not Captured"), "Gap - Invalid Consent", IF(AND(D5412="Legitimate Interest (GDPR Art. 6(1)(f))", L5412=""), "Gap - Missing LIA", IF(AND(G5412="Yes", H5412=""), "Gap - Missing Art. 9 Basis", IF(OR(I5412="Invalid - Not Freely Given", I5412="Invalid - Not Specific", I5412="Invalid - Not Informed", I5412="Invalid - Ambiguous"), "Gap - Invalid Consent", "Compliant")))))</f>
        <v/>
      </c>
      <c r="O5412" s="7" t="n"/>
    </row>
    <row r="5413">
      <c r="A5413" s="7" t="n"/>
      <c r="B5413" s="7" t="n"/>
      <c r="C5413" s="7" t="n"/>
      <c r="D5413" s="7" t="n"/>
      <c r="E5413" s="7" t="n"/>
      <c r="F5413" s="7" t="n"/>
      <c r="G5413" s="7" t="n"/>
      <c r="H5413" s="7" t="n"/>
      <c r="I5413" s="7" t="n"/>
      <c r="J5413" s="7" t="n"/>
      <c r="K5413">
        <f>IF(D5413="Legitimate Interest (GDPR Art. 6(1)(f))", "Yes / Required (Sheet 3)", "")</f>
        <v/>
      </c>
      <c r="L5413" s="7" t="n"/>
      <c r="M5413" s="7" t="n"/>
      <c r="N5413">
        <f>IF(D5413="", "Gap - No Legal Basis", IF(AND(D5413="Consent (GDPR Art. 6(1)(a))", I5413="Not Captured"), "Gap - Invalid Consent", IF(AND(D5413="Legitimate Interest (GDPR Art. 6(1)(f))", L5413=""), "Gap - Missing LIA", IF(AND(G5413="Yes", H5413=""), "Gap - Missing Art. 9 Basis", IF(OR(I5413="Invalid - Not Freely Given", I5413="Invalid - Not Specific", I5413="Invalid - Not Informed", I5413="Invalid - Ambiguous"), "Gap - Invalid Consent", "Compliant")))))</f>
        <v/>
      </c>
      <c r="O5413" s="7" t="n"/>
    </row>
    <row r="5414">
      <c r="A5414" s="7" t="n"/>
      <c r="B5414" s="7" t="n"/>
      <c r="C5414" s="7" t="n"/>
      <c r="D5414" s="7" t="n"/>
      <c r="E5414" s="7" t="n"/>
      <c r="F5414" s="7" t="n"/>
      <c r="G5414" s="7" t="n"/>
      <c r="H5414" s="7" t="n"/>
      <c r="I5414" s="7" t="n"/>
      <c r="J5414" s="7" t="n"/>
      <c r="K5414">
        <f>IF(D5414="Legitimate Interest (GDPR Art. 6(1)(f))", "Yes / Required (Sheet 3)", "")</f>
        <v/>
      </c>
      <c r="L5414" s="7" t="n"/>
      <c r="M5414" s="7" t="n"/>
      <c r="N5414">
        <f>IF(D5414="", "Gap - No Legal Basis", IF(AND(D5414="Consent (GDPR Art. 6(1)(a))", I5414="Not Captured"), "Gap - Invalid Consent", IF(AND(D5414="Legitimate Interest (GDPR Art. 6(1)(f))", L5414=""), "Gap - Missing LIA", IF(AND(G5414="Yes", H5414=""), "Gap - Missing Art. 9 Basis", IF(OR(I5414="Invalid - Not Freely Given", I5414="Invalid - Not Specific", I5414="Invalid - Not Informed", I5414="Invalid - Ambiguous"), "Gap - Invalid Consent", "Compliant")))))</f>
        <v/>
      </c>
      <c r="O5414" s="7" t="n"/>
    </row>
    <row r="5415">
      <c r="A5415" s="7" t="n"/>
      <c r="B5415" s="7" t="n"/>
      <c r="C5415" s="7" t="n"/>
      <c r="D5415" s="7" t="n"/>
      <c r="E5415" s="7" t="n"/>
      <c r="F5415" s="7" t="n"/>
      <c r="G5415" s="7" t="n"/>
      <c r="H5415" s="7" t="n"/>
      <c r="I5415" s="7" t="n"/>
      <c r="J5415" s="7" t="n"/>
      <c r="K5415">
        <f>IF(D5415="Legitimate Interest (GDPR Art. 6(1)(f))", "Yes / Required (Sheet 3)", "")</f>
        <v/>
      </c>
      <c r="L5415" s="7" t="n"/>
      <c r="M5415" s="7" t="n"/>
      <c r="N5415">
        <f>IF(D5415="", "Gap - No Legal Basis", IF(AND(D5415="Consent (GDPR Art. 6(1)(a))", I5415="Not Captured"), "Gap - Invalid Consent", IF(AND(D5415="Legitimate Interest (GDPR Art. 6(1)(f))", L5415=""), "Gap - Missing LIA", IF(AND(G5415="Yes", H5415=""), "Gap - Missing Art. 9 Basis", IF(OR(I5415="Invalid - Not Freely Given", I5415="Invalid - Not Specific", I5415="Invalid - Not Informed", I5415="Invalid - Ambiguous"), "Gap - Invalid Consent", "Compliant")))))</f>
        <v/>
      </c>
      <c r="O5415" s="7" t="n"/>
    </row>
    <row r="5416">
      <c r="A5416" s="7" t="n"/>
      <c r="B5416" s="7" t="n"/>
      <c r="C5416" s="7" t="n"/>
      <c r="D5416" s="7" t="n"/>
      <c r="E5416" s="7" t="n"/>
      <c r="F5416" s="7" t="n"/>
      <c r="G5416" s="7" t="n"/>
      <c r="H5416" s="7" t="n"/>
      <c r="I5416" s="7" t="n"/>
      <c r="J5416" s="7" t="n"/>
      <c r="K5416">
        <f>IF(D5416="Legitimate Interest (GDPR Art. 6(1)(f))", "Yes / Required (Sheet 3)", "")</f>
        <v/>
      </c>
      <c r="L5416" s="7" t="n"/>
      <c r="M5416" s="7" t="n"/>
      <c r="N5416">
        <f>IF(D5416="", "Gap - No Legal Basis", IF(AND(D5416="Consent (GDPR Art. 6(1)(a))", I5416="Not Captured"), "Gap - Invalid Consent", IF(AND(D5416="Legitimate Interest (GDPR Art. 6(1)(f))", L5416=""), "Gap - Missing LIA", IF(AND(G5416="Yes", H5416=""), "Gap - Missing Art. 9 Basis", IF(OR(I5416="Invalid - Not Freely Given", I5416="Invalid - Not Specific", I5416="Invalid - Not Informed", I5416="Invalid - Ambiguous"), "Gap - Invalid Consent", "Compliant")))))</f>
        <v/>
      </c>
      <c r="O5416" s="7" t="n"/>
    </row>
    <row r="5417">
      <c r="A5417" s="7" t="n"/>
      <c r="B5417" s="7" t="n"/>
      <c r="C5417" s="7" t="n"/>
      <c r="D5417" s="7" t="n"/>
      <c r="E5417" s="7" t="n"/>
      <c r="F5417" s="7" t="n"/>
      <c r="G5417" s="7" t="n"/>
      <c r="H5417" s="7" t="n"/>
      <c r="I5417" s="7" t="n"/>
      <c r="J5417" s="7" t="n"/>
      <c r="K5417">
        <f>IF(D5417="Legitimate Interest (GDPR Art. 6(1)(f))", "Yes / Required (Sheet 3)", "")</f>
        <v/>
      </c>
      <c r="L5417" s="7" t="n"/>
      <c r="M5417" s="7" t="n"/>
      <c r="N5417">
        <f>IF(D5417="", "Gap - No Legal Basis", IF(AND(D5417="Consent (GDPR Art. 6(1)(a))", I5417="Not Captured"), "Gap - Invalid Consent", IF(AND(D5417="Legitimate Interest (GDPR Art. 6(1)(f))", L5417=""), "Gap - Missing LIA", IF(AND(G5417="Yes", H5417=""), "Gap - Missing Art. 9 Basis", IF(OR(I5417="Invalid - Not Freely Given", I5417="Invalid - Not Specific", I5417="Invalid - Not Informed", I5417="Invalid - Ambiguous"), "Gap - Invalid Consent", "Compliant")))))</f>
        <v/>
      </c>
      <c r="O5417" s="7" t="n"/>
    </row>
    <row r="5418">
      <c r="A5418" s="7" t="n"/>
      <c r="B5418" s="7" t="n"/>
      <c r="C5418" s="7" t="n"/>
      <c r="D5418" s="7" t="n"/>
      <c r="E5418" s="7" t="n"/>
      <c r="F5418" s="7" t="n"/>
      <c r="G5418" s="7" t="n"/>
      <c r="H5418" s="7" t="n"/>
      <c r="I5418" s="7" t="n"/>
      <c r="J5418" s="7" t="n"/>
      <c r="K5418">
        <f>IF(D5418="Legitimate Interest (GDPR Art. 6(1)(f))", "Yes / Required (Sheet 3)", "")</f>
        <v/>
      </c>
      <c r="L5418" s="7" t="n"/>
      <c r="M5418" s="7" t="n"/>
      <c r="N5418">
        <f>IF(D5418="", "Gap - No Legal Basis", IF(AND(D5418="Consent (GDPR Art. 6(1)(a))", I5418="Not Captured"), "Gap - Invalid Consent", IF(AND(D5418="Legitimate Interest (GDPR Art. 6(1)(f))", L5418=""), "Gap - Missing LIA", IF(AND(G5418="Yes", H5418=""), "Gap - Missing Art. 9 Basis", IF(OR(I5418="Invalid - Not Freely Given", I5418="Invalid - Not Specific", I5418="Invalid - Not Informed", I5418="Invalid - Ambiguous"), "Gap - Invalid Consent", "Compliant")))))</f>
        <v/>
      </c>
      <c r="O5418" s="7" t="n"/>
    </row>
    <row r="5419">
      <c r="A5419" s="7" t="n"/>
      <c r="B5419" s="7" t="n"/>
      <c r="C5419" s="7" t="n"/>
      <c r="D5419" s="7" t="n"/>
      <c r="E5419" s="7" t="n"/>
      <c r="F5419" s="7" t="n"/>
      <c r="G5419" s="7" t="n"/>
      <c r="H5419" s="7" t="n"/>
      <c r="I5419" s="7" t="n"/>
      <c r="J5419" s="7" t="n"/>
      <c r="K5419">
        <f>IF(D5419="Legitimate Interest (GDPR Art. 6(1)(f))", "Yes / Required (Sheet 3)", "")</f>
        <v/>
      </c>
      <c r="L5419" s="7" t="n"/>
      <c r="M5419" s="7" t="n"/>
      <c r="N5419">
        <f>IF(D5419="", "Gap - No Legal Basis", IF(AND(D5419="Consent (GDPR Art. 6(1)(a))", I5419="Not Captured"), "Gap - Invalid Consent", IF(AND(D5419="Legitimate Interest (GDPR Art. 6(1)(f))", L5419=""), "Gap - Missing LIA", IF(AND(G5419="Yes", H5419=""), "Gap - Missing Art. 9 Basis", IF(OR(I5419="Invalid - Not Freely Given", I5419="Invalid - Not Specific", I5419="Invalid - Not Informed", I5419="Invalid - Ambiguous"), "Gap - Invalid Consent", "Compliant")))))</f>
        <v/>
      </c>
      <c r="O5419" s="7" t="n"/>
    </row>
    <row r="5420">
      <c r="A5420" s="7" t="n"/>
      <c r="B5420" s="7" t="n"/>
      <c r="C5420" s="7" t="n"/>
      <c r="D5420" s="7" t="n"/>
      <c r="E5420" s="7" t="n"/>
      <c r="F5420" s="7" t="n"/>
      <c r="G5420" s="7" t="n"/>
      <c r="H5420" s="7" t="n"/>
      <c r="I5420" s="7" t="n"/>
      <c r="J5420" s="7" t="n"/>
      <c r="K5420">
        <f>IF(D5420="Legitimate Interest (GDPR Art. 6(1)(f))", "Yes / Required (Sheet 3)", "")</f>
        <v/>
      </c>
      <c r="L5420" s="7" t="n"/>
      <c r="M5420" s="7" t="n"/>
      <c r="N5420">
        <f>IF(D5420="", "Gap - No Legal Basis", IF(AND(D5420="Consent (GDPR Art. 6(1)(a))", I5420="Not Captured"), "Gap - Invalid Consent", IF(AND(D5420="Legitimate Interest (GDPR Art. 6(1)(f))", L5420=""), "Gap - Missing LIA", IF(AND(G5420="Yes", H5420=""), "Gap - Missing Art. 9 Basis", IF(OR(I5420="Invalid - Not Freely Given", I5420="Invalid - Not Specific", I5420="Invalid - Not Informed", I5420="Invalid - Ambiguous"), "Gap - Invalid Consent", "Compliant")))))</f>
        <v/>
      </c>
      <c r="O5420" s="7" t="n"/>
    </row>
    <row r="5421">
      <c r="A5421" s="7" t="n"/>
      <c r="B5421" s="7" t="n"/>
      <c r="C5421" s="7" t="n"/>
      <c r="D5421" s="7" t="n"/>
      <c r="E5421" s="7" t="n"/>
      <c r="F5421" s="7" t="n"/>
      <c r="G5421" s="7" t="n"/>
      <c r="H5421" s="7" t="n"/>
      <c r="I5421" s="7" t="n"/>
      <c r="J5421" s="7" t="n"/>
      <c r="K5421">
        <f>IF(D5421="Legitimate Interest (GDPR Art. 6(1)(f))", "Yes / Required (Sheet 3)", "")</f>
        <v/>
      </c>
      <c r="L5421" s="7" t="n"/>
      <c r="M5421" s="7" t="n"/>
      <c r="N5421">
        <f>IF(D5421="", "Gap - No Legal Basis", IF(AND(D5421="Consent (GDPR Art. 6(1)(a))", I5421="Not Captured"), "Gap - Invalid Consent", IF(AND(D5421="Legitimate Interest (GDPR Art. 6(1)(f))", L5421=""), "Gap - Missing LIA", IF(AND(G5421="Yes", H5421=""), "Gap - Missing Art. 9 Basis", IF(OR(I5421="Invalid - Not Freely Given", I5421="Invalid - Not Specific", I5421="Invalid - Not Informed", I5421="Invalid - Ambiguous"), "Gap - Invalid Consent", "Compliant")))))</f>
        <v/>
      </c>
      <c r="O5421" s="7" t="n"/>
    </row>
    <row r="5422">
      <c r="A5422" s="7" t="n"/>
      <c r="B5422" s="7" t="n"/>
      <c r="C5422" s="7" t="n"/>
      <c r="D5422" s="7" t="n"/>
      <c r="E5422" s="7" t="n"/>
      <c r="F5422" s="7" t="n"/>
      <c r="G5422" s="7" t="n"/>
      <c r="H5422" s="7" t="n"/>
      <c r="I5422" s="7" t="n"/>
      <c r="J5422" s="7" t="n"/>
      <c r="K5422">
        <f>IF(D5422="Legitimate Interest (GDPR Art. 6(1)(f))", "Yes / Required (Sheet 3)", "")</f>
        <v/>
      </c>
      <c r="L5422" s="7" t="n"/>
      <c r="M5422" s="7" t="n"/>
      <c r="N5422">
        <f>IF(D5422="", "Gap - No Legal Basis", IF(AND(D5422="Consent (GDPR Art. 6(1)(a))", I5422="Not Captured"), "Gap - Invalid Consent", IF(AND(D5422="Legitimate Interest (GDPR Art. 6(1)(f))", L5422=""), "Gap - Missing LIA", IF(AND(G5422="Yes", H5422=""), "Gap - Missing Art. 9 Basis", IF(OR(I5422="Invalid - Not Freely Given", I5422="Invalid - Not Specific", I5422="Invalid - Not Informed", I5422="Invalid - Ambiguous"), "Gap - Invalid Consent", "Compliant")))))</f>
        <v/>
      </c>
      <c r="O5422" s="7" t="n"/>
    </row>
    <row r="5423">
      <c r="A5423" s="7" t="n"/>
      <c r="B5423" s="7" t="n"/>
      <c r="C5423" s="7" t="n"/>
      <c r="D5423" s="7" t="n"/>
      <c r="E5423" s="7" t="n"/>
      <c r="F5423" s="7" t="n"/>
      <c r="G5423" s="7" t="n"/>
      <c r="H5423" s="7" t="n"/>
      <c r="I5423" s="7" t="n"/>
      <c r="J5423" s="7" t="n"/>
      <c r="K5423">
        <f>IF(D5423="Legitimate Interest (GDPR Art. 6(1)(f))", "Yes / Required (Sheet 3)", "")</f>
        <v/>
      </c>
      <c r="L5423" s="7" t="n"/>
      <c r="M5423" s="7" t="n"/>
      <c r="N5423">
        <f>IF(D5423="", "Gap - No Legal Basis", IF(AND(D5423="Consent (GDPR Art. 6(1)(a))", I5423="Not Captured"), "Gap - Invalid Consent", IF(AND(D5423="Legitimate Interest (GDPR Art. 6(1)(f))", L5423=""), "Gap - Missing LIA", IF(AND(G5423="Yes", H5423=""), "Gap - Missing Art. 9 Basis", IF(OR(I5423="Invalid - Not Freely Given", I5423="Invalid - Not Specific", I5423="Invalid - Not Informed", I5423="Invalid - Ambiguous"), "Gap - Invalid Consent", "Compliant")))))</f>
        <v/>
      </c>
      <c r="O5423" s="7" t="n"/>
    </row>
    <row r="5424">
      <c r="A5424" s="7" t="n"/>
      <c r="B5424" s="7" t="n"/>
      <c r="C5424" s="7" t="n"/>
      <c r="D5424" s="7" t="n"/>
      <c r="E5424" s="7" t="n"/>
      <c r="F5424" s="7" t="n"/>
      <c r="G5424" s="7" t="n"/>
      <c r="H5424" s="7" t="n"/>
      <c r="I5424" s="7" t="n"/>
      <c r="J5424" s="7" t="n"/>
      <c r="K5424">
        <f>IF(D5424="Legitimate Interest (GDPR Art. 6(1)(f))", "Yes / Required (Sheet 3)", "")</f>
        <v/>
      </c>
      <c r="L5424" s="7" t="n"/>
      <c r="M5424" s="7" t="n"/>
      <c r="N5424">
        <f>IF(D5424="", "Gap - No Legal Basis", IF(AND(D5424="Consent (GDPR Art. 6(1)(a))", I5424="Not Captured"), "Gap - Invalid Consent", IF(AND(D5424="Legitimate Interest (GDPR Art. 6(1)(f))", L5424=""), "Gap - Missing LIA", IF(AND(G5424="Yes", H5424=""), "Gap - Missing Art. 9 Basis", IF(OR(I5424="Invalid - Not Freely Given", I5424="Invalid - Not Specific", I5424="Invalid - Not Informed", I5424="Invalid - Ambiguous"), "Gap - Invalid Consent", "Compliant")))))</f>
        <v/>
      </c>
      <c r="O5424" s="7" t="n"/>
    </row>
    <row r="5425">
      <c r="A5425" s="7" t="n"/>
      <c r="B5425" s="7" t="n"/>
      <c r="C5425" s="7" t="n"/>
      <c r="D5425" s="7" t="n"/>
      <c r="E5425" s="7" t="n"/>
      <c r="F5425" s="7" t="n"/>
      <c r="G5425" s="7" t="n"/>
      <c r="H5425" s="7" t="n"/>
      <c r="I5425" s="7" t="n"/>
      <c r="J5425" s="7" t="n"/>
      <c r="K5425">
        <f>IF(D5425="Legitimate Interest (GDPR Art. 6(1)(f))", "Yes / Required (Sheet 3)", "")</f>
        <v/>
      </c>
      <c r="L5425" s="7" t="n"/>
      <c r="M5425" s="7" t="n"/>
      <c r="N5425">
        <f>IF(D5425="", "Gap - No Legal Basis", IF(AND(D5425="Consent (GDPR Art. 6(1)(a))", I5425="Not Captured"), "Gap - Invalid Consent", IF(AND(D5425="Legitimate Interest (GDPR Art. 6(1)(f))", L5425=""), "Gap - Missing LIA", IF(AND(G5425="Yes", H5425=""), "Gap - Missing Art. 9 Basis", IF(OR(I5425="Invalid - Not Freely Given", I5425="Invalid - Not Specific", I5425="Invalid - Not Informed", I5425="Invalid - Ambiguous"), "Gap - Invalid Consent", "Compliant")))))</f>
        <v/>
      </c>
      <c r="O5425" s="7" t="n"/>
    </row>
    <row r="5426">
      <c r="A5426" s="7" t="n"/>
      <c r="B5426" s="7" t="n"/>
      <c r="C5426" s="7" t="n"/>
      <c r="D5426" s="7" t="n"/>
      <c r="E5426" s="7" t="n"/>
      <c r="F5426" s="7" t="n"/>
      <c r="G5426" s="7" t="n"/>
      <c r="H5426" s="7" t="n"/>
      <c r="I5426" s="7" t="n"/>
      <c r="J5426" s="7" t="n"/>
      <c r="K5426">
        <f>IF(D5426="Legitimate Interest (GDPR Art. 6(1)(f))", "Yes / Required (Sheet 3)", "")</f>
        <v/>
      </c>
      <c r="L5426" s="7" t="n"/>
      <c r="M5426" s="7" t="n"/>
      <c r="N5426">
        <f>IF(D5426="", "Gap - No Legal Basis", IF(AND(D5426="Consent (GDPR Art. 6(1)(a))", I5426="Not Captured"), "Gap - Invalid Consent", IF(AND(D5426="Legitimate Interest (GDPR Art. 6(1)(f))", L5426=""), "Gap - Missing LIA", IF(AND(G5426="Yes", H5426=""), "Gap - Missing Art. 9 Basis", IF(OR(I5426="Invalid - Not Freely Given", I5426="Invalid - Not Specific", I5426="Invalid - Not Informed", I5426="Invalid - Ambiguous"), "Gap - Invalid Consent", "Compliant")))))</f>
        <v/>
      </c>
      <c r="O5426" s="7" t="n"/>
    </row>
    <row r="5427">
      <c r="A5427" s="7" t="n"/>
      <c r="B5427" s="7" t="n"/>
      <c r="C5427" s="7" t="n"/>
      <c r="D5427" s="7" t="n"/>
      <c r="E5427" s="7" t="n"/>
      <c r="F5427" s="7" t="n"/>
      <c r="G5427" s="7" t="n"/>
      <c r="H5427" s="7" t="n"/>
      <c r="I5427" s="7" t="n"/>
      <c r="J5427" s="7" t="n"/>
      <c r="K5427">
        <f>IF(D5427="Legitimate Interest (GDPR Art. 6(1)(f))", "Yes / Required (Sheet 3)", "")</f>
        <v/>
      </c>
      <c r="L5427" s="7" t="n"/>
      <c r="M5427" s="7" t="n"/>
      <c r="N5427">
        <f>IF(D5427="", "Gap - No Legal Basis", IF(AND(D5427="Consent (GDPR Art. 6(1)(a))", I5427="Not Captured"), "Gap - Invalid Consent", IF(AND(D5427="Legitimate Interest (GDPR Art. 6(1)(f))", L5427=""), "Gap - Missing LIA", IF(AND(G5427="Yes", H5427=""), "Gap - Missing Art. 9 Basis", IF(OR(I5427="Invalid - Not Freely Given", I5427="Invalid - Not Specific", I5427="Invalid - Not Informed", I5427="Invalid - Ambiguous"), "Gap - Invalid Consent", "Compliant")))))</f>
        <v/>
      </c>
      <c r="O5427" s="7" t="n"/>
    </row>
    <row r="5428">
      <c r="A5428" s="7" t="n"/>
      <c r="B5428" s="7" t="n"/>
      <c r="C5428" s="7" t="n"/>
      <c r="D5428" s="7" t="n"/>
      <c r="E5428" s="7" t="n"/>
      <c r="F5428" s="7" t="n"/>
      <c r="G5428" s="7" t="n"/>
      <c r="H5428" s="7" t="n"/>
      <c r="I5428" s="7" t="n"/>
      <c r="J5428" s="7" t="n"/>
      <c r="K5428">
        <f>IF(D5428="Legitimate Interest (GDPR Art. 6(1)(f))", "Yes / Required (Sheet 3)", "")</f>
        <v/>
      </c>
      <c r="L5428" s="7" t="n"/>
      <c r="M5428" s="7" t="n"/>
      <c r="N5428">
        <f>IF(D5428="", "Gap - No Legal Basis", IF(AND(D5428="Consent (GDPR Art. 6(1)(a))", I5428="Not Captured"), "Gap - Invalid Consent", IF(AND(D5428="Legitimate Interest (GDPR Art. 6(1)(f))", L5428=""), "Gap - Missing LIA", IF(AND(G5428="Yes", H5428=""), "Gap - Missing Art. 9 Basis", IF(OR(I5428="Invalid - Not Freely Given", I5428="Invalid - Not Specific", I5428="Invalid - Not Informed", I5428="Invalid - Ambiguous"), "Gap - Invalid Consent", "Compliant")))))</f>
        <v/>
      </c>
      <c r="O5428" s="7" t="n"/>
    </row>
    <row r="5429">
      <c r="A5429" s="7" t="n"/>
      <c r="B5429" s="7" t="n"/>
      <c r="C5429" s="7" t="n"/>
      <c r="D5429" s="7" t="n"/>
      <c r="E5429" s="7" t="n"/>
      <c r="F5429" s="7" t="n"/>
      <c r="G5429" s="7" t="n"/>
      <c r="H5429" s="7" t="n"/>
      <c r="I5429" s="7" t="n"/>
      <c r="J5429" s="7" t="n"/>
      <c r="K5429">
        <f>IF(D5429="Legitimate Interest (GDPR Art. 6(1)(f))", "Yes / Required (Sheet 3)", "")</f>
        <v/>
      </c>
      <c r="L5429" s="7" t="n"/>
      <c r="M5429" s="7" t="n"/>
      <c r="N5429">
        <f>IF(D5429="", "Gap - No Legal Basis", IF(AND(D5429="Consent (GDPR Art. 6(1)(a))", I5429="Not Captured"), "Gap - Invalid Consent", IF(AND(D5429="Legitimate Interest (GDPR Art. 6(1)(f))", L5429=""), "Gap - Missing LIA", IF(AND(G5429="Yes", H5429=""), "Gap - Missing Art. 9 Basis", IF(OR(I5429="Invalid - Not Freely Given", I5429="Invalid - Not Specific", I5429="Invalid - Not Informed", I5429="Invalid - Ambiguous"), "Gap - Invalid Consent", "Compliant")))))</f>
        <v/>
      </c>
      <c r="O5429" s="7" t="n"/>
    </row>
    <row r="5430">
      <c r="A5430" s="7" t="n"/>
      <c r="B5430" s="7" t="n"/>
      <c r="C5430" s="7" t="n"/>
      <c r="D5430" s="7" t="n"/>
      <c r="E5430" s="7" t="n"/>
      <c r="F5430" s="7" t="n"/>
      <c r="G5430" s="7" t="n"/>
      <c r="H5430" s="7" t="n"/>
      <c r="I5430" s="7" t="n"/>
      <c r="J5430" s="7" t="n"/>
      <c r="K5430">
        <f>IF(D5430="Legitimate Interest (GDPR Art. 6(1)(f))", "Yes / Required (Sheet 3)", "")</f>
        <v/>
      </c>
      <c r="L5430" s="7" t="n"/>
      <c r="M5430" s="7" t="n"/>
      <c r="N5430">
        <f>IF(D5430="", "Gap - No Legal Basis", IF(AND(D5430="Consent (GDPR Art. 6(1)(a))", I5430="Not Captured"), "Gap - Invalid Consent", IF(AND(D5430="Legitimate Interest (GDPR Art. 6(1)(f))", L5430=""), "Gap - Missing LIA", IF(AND(G5430="Yes", H5430=""), "Gap - Missing Art. 9 Basis", IF(OR(I5430="Invalid - Not Freely Given", I5430="Invalid - Not Specific", I5430="Invalid - Not Informed", I5430="Invalid - Ambiguous"), "Gap - Invalid Consent", "Compliant")))))</f>
        <v/>
      </c>
      <c r="O5430" s="7" t="n"/>
    </row>
    <row r="5431">
      <c r="A5431" s="7" t="n"/>
      <c r="B5431" s="7" t="n"/>
      <c r="C5431" s="7" t="n"/>
      <c r="D5431" s="7" t="n"/>
      <c r="E5431" s="7" t="n"/>
      <c r="F5431" s="7" t="n"/>
      <c r="G5431" s="7" t="n"/>
      <c r="H5431" s="7" t="n"/>
      <c r="I5431" s="7" t="n"/>
      <c r="J5431" s="7" t="n"/>
      <c r="K5431">
        <f>IF(D5431="Legitimate Interest (GDPR Art. 6(1)(f))", "Yes / Required (Sheet 3)", "")</f>
        <v/>
      </c>
      <c r="L5431" s="7" t="n"/>
      <c r="M5431" s="7" t="n"/>
      <c r="N5431">
        <f>IF(D5431="", "Gap - No Legal Basis", IF(AND(D5431="Consent (GDPR Art. 6(1)(a))", I5431="Not Captured"), "Gap - Invalid Consent", IF(AND(D5431="Legitimate Interest (GDPR Art. 6(1)(f))", L5431=""), "Gap - Missing LIA", IF(AND(G5431="Yes", H5431=""), "Gap - Missing Art. 9 Basis", IF(OR(I5431="Invalid - Not Freely Given", I5431="Invalid - Not Specific", I5431="Invalid - Not Informed", I5431="Invalid - Ambiguous"), "Gap - Invalid Consent", "Compliant")))))</f>
        <v/>
      </c>
      <c r="O5431" s="7" t="n"/>
    </row>
    <row r="5432">
      <c r="A5432" s="7" t="n"/>
      <c r="B5432" s="7" t="n"/>
      <c r="C5432" s="7" t="n"/>
      <c r="D5432" s="7" t="n"/>
      <c r="E5432" s="7" t="n"/>
      <c r="F5432" s="7" t="n"/>
      <c r="G5432" s="7" t="n"/>
      <c r="H5432" s="7" t="n"/>
      <c r="I5432" s="7" t="n"/>
      <c r="J5432" s="7" t="n"/>
      <c r="K5432">
        <f>IF(D5432="Legitimate Interest (GDPR Art. 6(1)(f))", "Yes / Required (Sheet 3)", "")</f>
        <v/>
      </c>
      <c r="L5432" s="7" t="n"/>
      <c r="M5432" s="7" t="n"/>
      <c r="N5432">
        <f>IF(D5432="", "Gap - No Legal Basis", IF(AND(D5432="Consent (GDPR Art. 6(1)(a))", I5432="Not Captured"), "Gap - Invalid Consent", IF(AND(D5432="Legitimate Interest (GDPR Art. 6(1)(f))", L5432=""), "Gap - Missing LIA", IF(AND(G5432="Yes", H5432=""), "Gap - Missing Art. 9 Basis", IF(OR(I5432="Invalid - Not Freely Given", I5432="Invalid - Not Specific", I5432="Invalid - Not Informed", I5432="Invalid - Ambiguous"), "Gap - Invalid Consent", "Compliant")))))</f>
        <v/>
      </c>
      <c r="O5432" s="7" t="n"/>
    </row>
    <row r="5433">
      <c r="A5433" s="7" t="n"/>
      <c r="B5433" s="7" t="n"/>
      <c r="C5433" s="7" t="n"/>
      <c r="D5433" s="7" t="n"/>
      <c r="E5433" s="7" t="n"/>
      <c r="F5433" s="7" t="n"/>
      <c r="G5433" s="7" t="n"/>
      <c r="H5433" s="7" t="n"/>
      <c r="I5433" s="7" t="n"/>
      <c r="J5433" s="7" t="n"/>
      <c r="K5433">
        <f>IF(D5433="Legitimate Interest (GDPR Art. 6(1)(f))", "Yes / Required (Sheet 3)", "")</f>
        <v/>
      </c>
      <c r="L5433" s="7" t="n"/>
      <c r="M5433" s="7" t="n"/>
      <c r="N5433">
        <f>IF(D5433="", "Gap - No Legal Basis", IF(AND(D5433="Consent (GDPR Art. 6(1)(a))", I5433="Not Captured"), "Gap - Invalid Consent", IF(AND(D5433="Legitimate Interest (GDPR Art. 6(1)(f))", L5433=""), "Gap - Missing LIA", IF(AND(G5433="Yes", H5433=""), "Gap - Missing Art. 9 Basis", IF(OR(I5433="Invalid - Not Freely Given", I5433="Invalid - Not Specific", I5433="Invalid - Not Informed", I5433="Invalid - Ambiguous"), "Gap - Invalid Consent", "Compliant")))))</f>
        <v/>
      </c>
      <c r="O5433" s="7" t="n"/>
    </row>
    <row r="5434">
      <c r="A5434" s="7" t="n"/>
      <c r="B5434" s="7" t="n"/>
      <c r="C5434" s="7" t="n"/>
      <c r="D5434" s="7" t="n"/>
      <c r="E5434" s="7" t="n"/>
      <c r="F5434" s="7" t="n"/>
      <c r="G5434" s="7" t="n"/>
      <c r="H5434" s="7" t="n"/>
      <c r="I5434" s="7" t="n"/>
      <c r="J5434" s="7" t="n"/>
      <c r="K5434">
        <f>IF(D5434="Legitimate Interest (GDPR Art. 6(1)(f))", "Yes / Required (Sheet 3)", "")</f>
        <v/>
      </c>
      <c r="L5434" s="7" t="n"/>
      <c r="M5434" s="7" t="n"/>
      <c r="N5434">
        <f>IF(D5434="", "Gap - No Legal Basis", IF(AND(D5434="Consent (GDPR Art. 6(1)(a))", I5434="Not Captured"), "Gap - Invalid Consent", IF(AND(D5434="Legitimate Interest (GDPR Art. 6(1)(f))", L5434=""), "Gap - Missing LIA", IF(AND(G5434="Yes", H5434=""), "Gap - Missing Art. 9 Basis", IF(OR(I5434="Invalid - Not Freely Given", I5434="Invalid - Not Specific", I5434="Invalid - Not Informed", I5434="Invalid - Ambiguous"), "Gap - Invalid Consent", "Compliant")))))</f>
        <v/>
      </c>
      <c r="O5434" s="7" t="n"/>
    </row>
    <row r="5435">
      <c r="A5435" s="7" t="n"/>
      <c r="B5435" s="7" t="n"/>
      <c r="C5435" s="7" t="n"/>
      <c r="D5435" s="7" t="n"/>
      <c r="E5435" s="7" t="n"/>
      <c r="F5435" s="7" t="n"/>
      <c r="G5435" s="7" t="n"/>
      <c r="H5435" s="7" t="n"/>
      <c r="I5435" s="7" t="n"/>
      <c r="J5435" s="7" t="n"/>
      <c r="K5435">
        <f>IF(D5435="Legitimate Interest (GDPR Art. 6(1)(f))", "Yes / Required (Sheet 3)", "")</f>
        <v/>
      </c>
      <c r="L5435" s="7" t="n"/>
      <c r="M5435" s="7" t="n"/>
      <c r="N5435">
        <f>IF(D5435="", "Gap - No Legal Basis", IF(AND(D5435="Consent (GDPR Art. 6(1)(a))", I5435="Not Captured"), "Gap - Invalid Consent", IF(AND(D5435="Legitimate Interest (GDPR Art. 6(1)(f))", L5435=""), "Gap - Missing LIA", IF(AND(G5435="Yes", H5435=""), "Gap - Missing Art. 9 Basis", IF(OR(I5435="Invalid - Not Freely Given", I5435="Invalid - Not Specific", I5435="Invalid - Not Informed", I5435="Invalid - Ambiguous"), "Gap - Invalid Consent", "Compliant")))))</f>
        <v/>
      </c>
      <c r="O5435" s="7" t="n"/>
    </row>
    <row r="5436">
      <c r="A5436" s="7" t="n"/>
      <c r="B5436" s="7" t="n"/>
      <c r="C5436" s="7" t="n"/>
      <c r="D5436" s="7" t="n"/>
      <c r="E5436" s="7" t="n"/>
      <c r="F5436" s="7" t="n"/>
      <c r="G5436" s="7" t="n"/>
      <c r="H5436" s="7" t="n"/>
      <c r="I5436" s="7" t="n"/>
      <c r="J5436" s="7" t="n"/>
      <c r="K5436">
        <f>IF(D5436="Legitimate Interest (GDPR Art. 6(1)(f))", "Yes / Required (Sheet 3)", "")</f>
        <v/>
      </c>
      <c r="L5436" s="7" t="n"/>
      <c r="M5436" s="7" t="n"/>
      <c r="N5436">
        <f>IF(D5436="", "Gap - No Legal Basis", IF(AND(D5436="Consent (GDPR Art. 6(1)(a))", I5436="Not Captured"), "Gap - Invalid Consent", IF(AND(D5436="Legitimate Interest (GDPR Art. 6(1)(f))", L5436=""), "Gap - Missing LIA", IF(AND(G5436="Yes", H5436=""), "Gap - Missing Art. 9 Basis", IF(OR(I5436="Invalid - Not Freely Given", I5436="Invalid - Not Specific", I5436="Invalid - Not Informed", I5436="Invalid - Ambiguous"), "Gap - Invalid Consent", "Compliant")))))</f>
        <v/>
      </c>
      <c r="O5436" s="7" t="n"/>
    </row>
    <row r="5437">
      <c r="A5437" s="7" t="n"/>
      <c r="B5437" s="7" t="n"/>
      <c r="C5437" s="7" t="n"/>
      <c r="D5437" s="7" t="n"/>
      <c r="E5437" s="7" t="n"/>
      <c r="F5437" s="7" t="n"/>
      <c r="G5437" s="7" t="n"/>
      <c r="H5437" s="7" t="n"/>
      <c r="I5437" s="7" t="n"/>
      <c r="J5437" s="7" t="n"/>
      <c r="K5437">
        <f>IF(D5437="Legitimate Interest (GDPR Art. 6(1)(f))", "Yes / Required (Sheet 3)", "")</f>
        <v/>
      </c>
      <c r="L5437" s="7" t="n"/>
      <c r="M5437" s="7" t="n"/>
      <c r="N5437">
        <f>IF(D5437="", "Gap - No Legal Basis", IF(AND(D5437="Consent (GDPR Art. 6(1)(a))", I5437="Not Captured"), "Gap - Invalid Consent", IF(AND(D5437="Legitimate Interest (GDPR Art. 6(1)(f))", L5437=""), "Gap - Missing LIA", IF(AND(G5437="Yes", H5437=""), "Gap - Missing Art. 9 Basis", IF(OR(I5437="Invalid - Not Freely Given", I5437="Invalid - Not Specific", I5437="Invalid - Not Informed", I5437="Invalid - Ambiguous"), "Gap - Invalid Consent", "Compliant")))))</f>
        <v/>
      </c>
      <c r="O5437" s="7" t="n"/>
    </row>
    <row r="5438">
      <c r="A5438" s="7" t="n"/>
      <c r="B5438" s="7" t="n"/>
      <c r="C5438" s="7" t="n"/>
      <c r="D5438" s="7" t="n"/>
      <c r="E5438" s="7" t="n"/>
      <c r="F5438" s="7" t="n"/>
      <c r="G5438" s="7" t="n"/>
      <c r="H5438" s="7" t="n"/>
      <c r="I5438" s="7" t="n"/>
      <c r="J5438" s="7" t="n"/>
      <c r="K5438">
        <f>IF(D5438="Legitimate Interest (GDPR Art. 6(1)(f))", "Yes / Required (Sheet 3)", "")</f>
        <v/>
      </c>
      <c r="L5438" s="7" t="n"/>
      <c r="M5438" s="7" t="n"/>
      <c r="N5438">
        <f>IF(D5438="", "Gap - No Legal Basis", IF(AND(D5438="Consent (GDPR Art. 6(1)(a))", I5438="Not Captured"), "Gap - Invalid Consent", IF(AND(D5438="Legitimate Interest (GDPR Art. 6(1)(f))", L5438=""), "Gap - Missing LIA", IF(AND(G5438="Yes", H5438=""), "Gap - Missing Art. 9 Basis", IF(OR(I5438="Invalid - Not Freely Given", I5438="Invalid - Not Specific", I5438="Invalid - Not Informed", I5438="Invalid - Ambiguous"), "Gap - Invalid Consent", "Compliant")))))</f>
        <v/>
      </c>
      <c r="O5438" s="7" t="n"/>
    </row>
    <row r="5439">
      <c r="A5439" s="7" t="n"/>
      <c r="B5439" s="7" t="n"/>
      <c r="C5439" s="7" t="n"/>
      <c r="D5439" s="7" t="n"/>
      <c r="E5439" s="7" t="n"/>
      <c r="F5439" s="7" t="n"/>
      <c r="G5439" s="7" t="n"/>
      <c r="H5439" s="7" t="n"/>
      <c r="I5439" s="7" t="n"/>
      <c r="J5439" s="7" t="n"/>
      <c r="K5439">
        <f>IF(D5439="Legitimate Interest (GDPR Art. 6(1)(f))", "Yes / Required (Sheet 3)", "")</f>
        <v/>
      </c>
      <c r="L5439" s="7" t="n"/>
      <c r="M5439" s="7" t="n"/>
      <c r="N5439">
        <f>IF(D5439="", "Gap - No Legal Basis", IF(AND(D5439="Consent (GDPR Art. 6(1)(a))", I5439="Not Captured"), "Gap - Invalid Consent", IF(AND(D5439="Legitimate Interest (GDPR Art. 6(1)(f))", L5439=""), "Gap - Missing LIA", IF(AND(G5439="Yes", H5439=""), "Gap - Missing Art. 9 Basis", IF(OR(I5439="Invalid - Not Freely Given", I5439="Invalid - Not Specific", I5439="Invalid - Not Informed", I5439="Invalid - Ambiguous"), "Gap - Invalid Consent", "Compliant")))))</f>
        <v/>
      </c>
      <c r="O5439" s="7" t="n"/>
    </row>
    <row r="5440">
      <c r="A5440" s="7" t="n"/>
      <c r="B5440" s="7" t="n"/>
      <c r="C5440" s="7" t="n"/>
      <c r="D5440" s="7" t="n"/>
      <c r="E5440" s="7" t="n"/>
      <c r="F5440" s="7" t="n"/>
      <c r="G5440" s="7" t="n"/>
      <c r="H5440" s="7" t="n"/>
      <c r="I5440" s="7" t="n"/>
      <c r="J5440" s="7" t="n"/>
      <c r="K5440">
        <f>IF(D5440="Legitimate Interest (GDPR Art. 6(1)(f))", "Yes / Required (Sheet 3)", "")</f>
        <v/>
      </c>
      <c r="L5440" s="7" t="n"/>
      <c r="M5440" s="7" t="n"/>
      <c r="N5440">
        <f>IF(D5440="", "Gap - No Legal Basis", IF(AND(D5440="Consent (GDPR Art. 6(1)(a))", I5440="Not Captured"), "Gap - Invalid Consent", IF(AND(D5440="Legitimate Interest (GDPR Art. 6(1)(f))", L5440=""), "Gap - Missing LIA", IF(AND(G5440="Yes", H5440=""), "Gap - Missing Art. 9 Basis", IF(OR(I5440="Invalid - Not Freely Given", I5440="Invalid - Not Specific", I5440="Invalid - Not Informed", I5440="Invalid - Ambiguous"), "Gap - Invalid Consent", "Compliant")))))</f>
        <v/>
      </c>
      <c r="O5440" s="7" t="n"/>
    </row>
    <row r="5441">
      <c r="A5441" s="7" t="n"/>
      <c r="B5441" s="7" t="n"/>
      <c r="C5441" s="7" t="n"/>
      <c r="D5441" s="7" t="n"/>
      <c r="E5441" s="7" t="n"/>
      <c r="F5441" s="7" t="n"/>
      <c r="G5441" s="7" t="n"/>
      <c r="H5441" s="7" t="n"/>
      <c r="I5441" s="7" t="n"/>
      <c r="J5441" s="7" t="n"/>
      <c r="K5441">
        <f>IF(D5441="Legitimate Interest (GDPR Art. 6(1)(f))", "Yes / Required (Sheet 3)", "")</f>
        <v/>
      </c>
      <c r="L5441" s="7" t="n"/>
      <c r="M5441" s="7" t="n"/>
      <c r="N5441">
        <f>IF(D5441="", "Gap - No Legal Basis", IF(AND(D5441="Consent (GDPR Art. 6(1)(a))", I5441="Not Captured"), "Gap - Invalid Consent", IF(AND(D5441="Legitimate Interest (GDPR Art. 6(1)(f))", L5441=""), "Gap - Missing LIA", IF(AND(G5441="Yes", H5441=""), "Gap - Missing Art. 9 Basis", IF(OR(I5441="Invalid - Not Freely Given", I5441="Invalid - Not Specific", I5441="Invalid - Not Informed", I5441="Invalid - Ambiguous"), "Gap - Invalid Consent", "Compliant")))))</f>
        <v/>
      </c>
      <c r="O5441" s="7" t="n"/>
    </row>
    <row r="5442">
      <c r="A5442" s="7" t="n"/>
      <c r="B5442" s="7" t="n"/>
      <c r="C5442" s="7" t="n"/>
      <c r="D5442" s="7" t="n"/>
      <c r="E5442" s="7" t="n"/>
      <c r="F5442" s="7" t="n"/>
      <c r="G5442" s="7" t="n"/>
      <c r="H5442" s="7" t="n"/>
      <c r="I5442" s="7" t="n"/>
      <c r="J5442" s="7" t="n"/>
      <c r="K5442">
        <f>IF(D5442="Legitimate Interest (GDPR Art. 6(1)(f))", "Yes / Required (Sheet 3)", "")</f>
        <v/>
      </c>
      <c r="L5442" s="7" t="n"/>
      <c r="M5442" s="7" t="n"/>
      <c r="N5442">
        <f>IF(D5442="", "Gap - No Legal Basis", IF(AND(D5442="Consent (GDPR Art. 6(1)(a))", I5442="Not Captured"), "Gap - Invalid Consent", IF(AND(D5442="Legitimate Interest (GDPR Art. 6(1)(f))", L5442=""), "Gap - Missing LIA", IF(AND(G5442="Yes", H5442=""), "Gap - Missing Art. 9 Basis", IF(OR(I5442="Invalid - Not Freely Given", I5442="Invalid - Not Specific", I5442="Invalid - Not Informed", I5442="Invalid - Ambiguous"), "Gap - Invalid Consent", "Compliant")))))</f>
        <v/>
      </c>
      <c r="O5442" s="7" t="n"/>
    </row>
    <row r="5443">
      <c r="A5443" s="7" t="n"/>
      <c r="B5443" s="7" t="n"/>
      <c r="C5443" s="7" t="n"/>
      <c r="D5443" s="7" t="n"/>
      <c r="E5443" s="7" t="n"/>
      <c r="F5443" s="7" t="n"/>
      <c r="G5443" s="7" t="n"/>
      <c r="H5443" s="7" t="n"/>
      <c r="I5443" s="7" t="n"/>
      <c r="J5443" s="7" t="n"/>
      <c r="K5443">
        <f>IF(D5443="Legitimate Interest (GDPR Art. 6(1)(f))", "Yes / Required (Sheet 3)", "")</f>
        <v/>
      </c>
      <c r="L5443" s="7" t="n"/>
      <c r="M5443" s="7" t="n"/>
      <c r="N5443">
        <f>IF(D5443="", "Gap - No Legal Basis", IF(AND(D5443="Consent (GDPR Art. 6(1)(a))", I5443="Not Captured"), "Gap - Invalid Consent", IF(AND(D5443="Legitimate Interest (GDPR Art. 6(1)(f))", L5443=""), "Gap - Missing LIA", IF(AND(G5443="Yes", H5443=""), "Gap - Missing Art. 9 Basis", IF(OR(I5443="Invalid - Not Freely Given", I5443="Invalid - Not Specific", I5443="Invalid - Not Informed", I5443="Invalid - Ambiguous"), "Gap - Invalid Consent", "Compliant")))))</f>
        <v/>
      </c>
      <c r="O5443" s="7" t="n"/>
    </row>
    <row r="5444">
      <c r="A5444" s="7" t="n"/>
      <c r="B5444" s="7" t="n"/>
      <c r="C5444" s="7" t="n"/>
      <c r="D5444" s="7" t="n"/>
      <c r="E5444" s="7" t="n"/>
      <c r="F5444" s="7" t="n"/>
      <c r="G5444" s="7" t="n"/>
      <c r="H5444" s="7" t="n"/>
      <c r="I5444" s="7" t="n"/>
      <c r="J5444" s="7" t="n"/>
      <c r="K5444">
        <f>IF(D5444="Legitimate Interest (GDPR Art. 6(1)(f))", "Yes / Required (Sheet 3)", "")</f>
        <v/>
      </c>
      <c r="L5444" s="7" t="n"/>
      <c r="M5444" s="7" t="n"/>
      <c r="N5444">
        <f>IF(D5444="", "Gap - No Legal Basis", IF(AND(D5444="Consent (GDPR Art. 6(1)(a))", I5444="Not Captured"), "Gap - Invalid Consent", IF(AND(D5444="Legitimate Interest (GDPR Art. 6(1)(f))", L5444=""), "Gap - Missing LIA", IF(AND(G5444="Yes", H5444=""), "Gap - Missing Art. 9 Basis", IF(OR(I5444="Invalid - Not Freely Given", I5444="Invalid - Not Specific", I5444="Invalid - Not Informed", I5444="Invalid - Ambiguous"), "Gap - Invalid Consent", "Compliant")))))</f>
        <v/>
      </c>
      <c r="O5444" s="7" t="n"/>
    </row>
    <row r="5445">
      <c r="A5445" s="7" t="n"/>
      <c r="B5445" s="7" t="n"/>
      <c r="C5445" s="7" t="n"/>
      <c r="D5445" s="7" t="n"/>
      <c r="E5445" s="7" t="n"/>
      <c r="F5445" s="7" t="n"/>
      <c r="G5445" s="7" t="n"/>
      <c r="H5445" s="7" t="n"/>
      <c r="I5445" s="7" t="n"/>
      <c r="J5445" s="7" t="n"/>
      <c r="K5445">
        <f>IF(D5445="Legitimate Interest (GDPR Art. 6(1)(f))", "Yes / Required (Sheet 3)", "")</f>
        <v/>
      </c>
      <c r="L5445" s="7" t="n"/>
      <c r="M5445" s="7" t="n"/>
      <c r="N5445">
        <f>IF(D5445="", "Gap - No Legal Basis", IF(AND(D5445="Consent (GDPR Art. 6(1)(a))", I5445="Not Captured"), "Gap - Invalid Consent", IF(AND(D5445="Legitimate Interest (GDPR Art. 6(1)(f))", L5445=""), "Gap - Missing LIA", IF(AND(G5445="Yes", H5445=""), "Gap - Missing Art. 9 Basis", IF(OR(I5445="Invalid - Not Freely Given", I5445="Invalid - Not Specific", I5445="Invalid - Not Informed", I5445="Invalid - Ambiguous"), "Gap - Invalid Consent", "Compliant")))))</f>
        <v/>
      </c>
      <c r="O5445" s="7" t="n"/>
    </row>
    <row r="5446">
      <c r="A5446" s="7" t="n"/>
      <c r="B5446" s="7" t="n"/>
      <c r="C5446" s="7" t="n"/>
      <c r="D5446" s="7" t="n"/>
      <c r="E5446" s="7" t="n"/>
      <c r="F5446" s="7" t="n"/>
      <c r="G5446" s="7" t="n"/>
      <c r="H5446" s="7" t="n"/>
      <c r="I5446" s="7" t="n"/>
      <c r="J5446" s="7" t="n"/>
      <c r="K5446">
        <f>IF(D5446="Legitimate Interest (GDPR Art. 6(1)(f))", "Yes / Required (Sheet 3)", "")</f>
        <v/>
      </c>
      <c r="L5446" s="7" t="n"/>
      <c r="M5446" s="7" t="n"/>
      <c r="N5446">
        <f>IF(D5446="", "Gap - No Legal Basis", IF(AND(D5446="Consent (GDPR Art. 6(1)(a))", I5446="Not Captured"), "Gap - Invalid Consent", IF(AND(D5446="Legitimate Interest (GDPR Art. 6(1)(f))", L5446=""), "Gap - Missing LIA", IF(AND(G5446="Yes", H5446=""), "Gap - Missing Art. 9 Basis", IF(OR(I5446="Invalid - Not Freely Given", I5446="Invalid - Not Specific", I5446="Invalid - Not Informed", I5446="Invalid - Ambiguous"), "Gap - Invalid Consent", "Compliant")))))</f>
        <v/>
      </c>
      <c r="O5446" s="7" t="n"/>
    </row>
    <row r="5447">
      <c r="A5447" s="7" t="n"/>
      <c r="B5447" s="7" t="n"/>
      <c r="C5447" s="7" t="n"/>
      <c r="D5447" s="7" t="n"/>
      <c r="E5447" s="7" t="n"/>
      <c r="F5447" s="7" t="n"/>
      <c r="G5447" s="7" t="n"/>
      <c r="H5447" s="7" t="n"/>
      <c r="I5447" s="7" t="n"/>
      <c r="J5447" s="7" t="n"/>
      <c r="K5447">
        <f>IF(D5447="Legitimate Interest (GDPR Art. 6(1)(f))", "Yes / Required (Sheet 3)", "")</f>
        <v/>
      </c>
      <c r="L5447" s="7" t="n"/>
      <c r="M5447" s="7" t="n"/>
      <c r="N5447">
        <f>IF(D5447="", "Gap - No Legal Basis", IF(AND(D5447="Consent (GDPR Art. 6(1)(a))", I5447="Not Captured"), "Gap - Invalid Consent", IF(AND(D5447="Legitimate Interest (GDPR Art. 6(1)(f))", L5447=""), "Gap - Missing LIA", IF(AND(G5447="Yes", H5447=""), "Gap - Missing Art. 9 Basis", IF(OR(I5447="Invalid - Not Freely Given", I5447="Invalid - Not Specific", I5447="Invalid - Not Informed", I5447="Invalid - Ambiguous"), "Gap - Invalid Consent", "Compliant")))))</f>
        <v/>
      </c>
      <c r="O5447" s="7" t="n"/>
    </row>
    <row r="5448">
      <c r="A5448" s="7" t="n"/>
      <c r="B5448" s="7" t="n"/>
      <c r="C5448" s="7" t="n"/>
      <c r="D5448" s="7" t="n"/>
      <c r="E5448" s="7" t="n"/>
      <c r="F5448" s="7" t="n"/>
      <c r="G5448" s="7" t="n"/>
      <c r="H5448" s="7" t="n"/>
      <c r="I5448" s="7" t="n"/>
      <c r="J5448" s="7" t="n"/>
      <c r="K5448">
        <f>IF(D5448="Legitimate Interest (GDPR Art. 6(1)(f))", "Yes / Required (Sheet 3)", "")</f>
        <v/>
      </c>
      <c r="L5448" s="7" t="n"/>
      <c r="M5448" s="7" t="n"/>
      <c r="N5448">
        <f>IF(D5448="", "Gap - No Legal Basis", IF(AND(D5448="Consent (GDPR Art. 6(1)(a))", I5448="Not Captured"), "Gap - Invalid Consent", IF(AND(D5448="Legitimate Interest (GDPR Art. 6(1)(f))", L5448=""), "Gap - Missing LIA", IF(AND(G5448="Yes", H5448=""), "Gap - Missing Art. 9 Basis", IF(OR(I5448="Invalid - Not Freely Given", I5448="Invalid - Not Specific", I5448="Invalid - Not Informed", I5448="Invalid - Ambiguous"), "Gap - Invalid Consent", "Compliant")))))</f>
        <v/>
      </c>
      <c r="O5448" s="7" t="n"/>
    </row>
    <row r="5449">
      <c r="A5449" s="7" t="n"/>
      <c r="B5449" s="7" t="n"/>
      <c r="C5449" s="7" t="n"/>
      <c r="D5449" s="7" t="n"/>
      <c r="E5449" s="7" t="n"/>
      <c r="F5449" s="7" t="n"/>
      <c r="G5449" s="7" t="n"/>
      <c r="H5449" s="7" t="n"/>
      <c r="I5449" s="7" t="n"/>
      <c r="J5449" s="7" t="n"/>
      <c r="K5449">
        <f>IF(D5449="Legitimate Interest (GDPR Art. 6(1)(f))", "Yes / Required (Sheet 3)", "")</f>
        <v/>
      </c>
      <c r="L5449" s="7" t="n"/>
      <c r="M5449" s="7" t="n"/>
      <c r="N5449">
        <f>IF(D5449="", "Gap - No Legal Basis", IF(AND(D5449="Consent (GDPR Art. 6(1)(a))", I5449="Not Captured"), "Gap - Invalid Consent", IF(AND(D5449="Legitimate Interest (GDPR Art. 6(1)(f))", L5449=""), "Gap - Missing LIA", IF(AND(G5449="Yes", H5449=""), "Gap - Missing Art. 9 Basis", IF(OR(I5449="Invalid - Not Freely Given", I5449="Invalid - Not Specific", I5449="Invalid - Not Informed", I5449="Invalid - Ambiguous"), "Gap - Invalid Consent", "Compliant")))))</f>
        <v/>
      </c>
      <c r="O5449" s="7" t="n"/>
    </row>
    <row r="5450">
      <c r="A5450" s="7" t="n"/>
      <c r="B5450" s="7" t="n"/>
      <c r="C5450" s="7" t="n"/>
      <c r="D5450" s="7" t="n"/>
      <c r="E5450" s="7" t="n"/>
      <c r="F5450" s="7" t="n"/>
      <c r="G5450" s="7" t="n"/>
      <c r="H5450" s="7" t="n"/>
      <c r="I5450" s="7" t="n"/>
      <c r="J5450" s="7" t="n"/>
      <c r="K5450">
        <f>IF(D5450="Legitimate Interest (GDPR Art. 6(1)(f))", "Yes / Required (Sheet 3)", "")</f>
        <v/>
      </c>
      <c r="L5450" s="7" t="n"/>
      <c r="M5450" s="7" t="n"/>
      <c r="N5450">
        <f>IF(D5450="", "Gap - No Legal Basis", IF(AND(D5450="Consent (GDPR Art. 6(1)(a))", I5450="Not Captured"), "Gap - Invalid Consent", IF(AND(D5450="Legitimate Interest (GDPR Art. 6(1)(f))", L5450=""), "Gap - Missing LIA", IF(AND(G5450="Yes", H5450=""), "Gap - Missing Art. 9 Basis", IF(OR(I5450="Invalid - Not Freely Given", I5450="Invalid - Not Specific", I5450="Invalid - Not Informed", I5450="Invalid - Ambiguous"), "Gap - Invalid Consent", "Compliant")))))</f>
        <v/>
      </c>
      <c r="O5450" s="7" t="n"/>
    </row>
    <row r="5451">
      <c r="A5451" s="7" t="n"/>
      <c r="B5451" s="7" t="n"/>
      <c r="C5451" s="7" t="n"/>
      <c r="D5451" s="7" t="n"/>
      <c r="E5451" s="7" t="n"/>
      <c r="F5451" s="7" t="n"/>
      <c r="G5451" s="7" t="n"/>
      <c r="H5451" s="7" t="n"/>
      <c r="I5451" s="7" t="n"/>
      <c r="J5451" s="7" t="n"/>
      <c r="K5451">
        <f>IF(D5451="Legitimate Interest (GDPR Art. 6(1)(f))", "Yes / Required (Sheet 3)", "")</f>
        <v/>
      </c>
      <c r="L5451" s="7" t="n"/>
      <c r="M5451" s="7" t="n"/>
      <c r="N5451">
        <f>IF(D5451="", "Gap - No Legal Basis", IF(AND(D5451="Consent (GDPR Art. 6(1)(a))", I5451="Not Captured"), "Gap - Invalid Consent", IF(AND(D5451="Legitimate Interest (GDPR Art. 6(1)(f))", L5451=""), "Gap - Missing LIA", IF(AND(G5451="Yes", H5451=""), "Gap - Missing Art. 9 Basis", IF(OR(I5451="Invalid - Not Freely Given", I5451="Invalid - Not Specific", I5451="Invalid - Not Informed", I5451="Invalid - Ambiguous"), "Gap - Invalid Consent", "Compliant")))))</f>
        <v/>
      </c>
      <c r="O5451" s="7" t="n"/>
    </row>
    <row r="5452">
      <c r="A5452" s="7" t="n"/>
      <c r="B5452" s="7" t="n"/>
      <c r="C5452" s="7" t="n"/>
      <c r="D5452" s="7" t="n"/>
      <c r="E5452" s="7" t="n"/>
      <c r="F5452" s="7" t="n"/>
      <c r="G5452" s="7" t="n"/>
      <c r="H5452" s="7" t="n"/>
      <c r="I5452" s="7" t="n"/>
      <c r="J5452" s="7" t="n"/>
      <c r="K5452">
        <f>IF(D5452="Legitimate Interest (GDPR Art. 6(1)(f))", "Yes / Required (Sheet 3)", "")</f>
        <v/>
      </c>
      <c r="L5452" s="7" t="n"/>
      <c r="M5452" s="7" t="n"/>
      <c r="N5452">
        <f>IF(D5452="", "Gap - No Legal Basis", IF(AND(D5452="Consent (GDPR Art. 6(1)(a))", I5452="Not Captured"), "Gap - Invalid Consent", IF(AND(D5452="Legitimate Interest (GDPR Art. 6(1)(f))", L5452=""), "Gap - Missing LIA", IF(AND(G5452="Yes", H5452=""), "Gap - Missing Art. 9 Basis", IF(OR(I5452="Invalid - Not Freely Given", I5452="Invalid - Not Specific", I5452="Invalid - Not Informed", I5452="Invalid - Ambiguous"), "Gap - Invalid Consent", "Compliant")))))</f>
        <v/>
      </c>
      <c r="O5452" s="7" t="n"/>
    </row>
    <row r="5453">
      <c r="A5453" s="7" t="n"/>
      <c r="B5453" s="7" t="n"/>
      <c r="C5453" s="7" t="n"/>
      <c r="D5453" s="7" t="n"/>
      <c r="E5453" s="7" t="n"/>
      <c r="F5453" s="7" t="n"/>
      <c r="G5453" s="7" t="n"/>
      <c r="H5453" s="7" t="n"/>
      <c r="I5453" s="7" t="n"/>
      <c r="J5453" s="7" t="n"/>
      <c r="K5453">
        <f>IF(D5453="Legitimate Interest (GDPR Art. 6(1)(f))", "Yes / Required (Sheet 3)", "")</f>
        <v/>
      </c>
      <c r="L5453" s="7" t="n"/>
      <c r="M5453" s="7" t="n"/>
      <c r="N5453">
        <f>IF(D5453="", "Gap - No Legal Basis", IF(AND(D5453="Consent (GDPR Art. 6(1)(a))", I5453="Not Captured"), "Gap - Invalid Consent", IF(AND(D5453="Legitimate Interest (GDPR Art. 6(1)(f))", L5453=""), "Gap - Missing LIA", IF(AND(G5453="Yes", H5453=""), "Gap - Missing Art. 9 Basis", IF(OR(I5453="Invalid - Not Freely Given", I5453="Invalid - Not Specific", I5453="Invalid - Not Informed", I5453="Invalid - Ambiguous"), "Gap - Invalid Consent", "Compliant")))))</f>
        <v/>
      </c>
      <c r="O5453" s="7" t="n"/>
    </row>
    <row r="5454">
      <c r="A5454" s="7" t="n"/>
      <c r="B5454" s="7" t="n"/>
      <c r="C5454" s="7" t="n"/>
      <c r="D5454" s="7" t="n"/>
      <c r="E5454" s="7" t="n"/>
      <c r="F5454" s="7" t="n"/>
      <c r="G5454" s="7" t="n"/>
      <c r="H5454" s="7" t="n"/>
      <c r="I5454" s="7" t="n"/>
      <c r="J5454" s="7" t="n"/>
      <c r="K5454">
        <f>IF(D5454="Legitimate Interest (GDPR Art. 6(1)(f))", "Yes / Required (Sheet 3)", "")</f>
        <v/>
      </c>
      <c r="L5454" s="7" t="n"/>
      <c r="M5454" s="7" t="n"/>
      <c r="N5454">
        <f>IF(D5454="", "Gap - No Legal Basis", IF(AND(D5454="Consent (GDPR Art. 6(1)(a))", I5454="Not Captured"), "Gap - Invalid Consent", IF(AND(D5454="Legitimate Interest (GDPR Art. 6(1)(f))", L5454=""), "Gap - Missing LIA", IF(AND(G5454="Yes", H5454=""), "Gap - Missing Art. 9 Basis", IF(OR(I5454="Invalid - Not Freely Given", I5454="Invalid - Not Specific", I5454="Invalid - Not Informed", I5454="Invalid - Ambiguous"), "Gap - Invalid Consent", "Compliant")))))</f>
        <v/>
      </c>
      <c r="O5454" s="7" t="n"/>
    </row>
    <row r="5455">
      <c r="A5455" s="7" t="n"/>
      <c r="B5455" s="7" t="n"/>
      <c r="C5455" s="7" t="n"/>
      <c r="D5455" s="7" t="n"/>
      <c r="E5455" s="7" t="n"/>
      <c r="F5455" s="7" t="n"/>
      <c r="G5455" s="7" t="n"/>
      <c r="H5455" s="7" t="n"/>
      <c r="I5455" s="7" t="n"/>
      <c r="J5455" s="7" t="n"/>
      <c r="K5455">
        <f>IF(D5455="Legitimate Interest (GDPR Art. 6(1)(f))", "Yes / Required (Sheet 3)", "")</f>
        <v/>
      </c>
      <c r="L5455" s="7" t="n"/>
      <c r="M5455" s="7" t="n"/>
      <c r="N5455">
        <f>IF(D5455="", "Gap - No Legal Basis", IF(AND(D5455="Consent (GDPR Art. 6(1)(a))", I5455="Not Captured"), "Gap - Invalid Consent", IF(AND(D5455="Legitimate Interest (GDPR Art. 6(1)(f))", L5455=""), "Gap - Missing LIA", IF(AND(G5455="Yes", H5455=""), "Gap - Missing Art. 9 Basis", IF(OR(I5455="Invalid - Not Freely Given", I5455="Invalid - Not Specific", I5455="Invalid - Not Informed", I5455="Invalid - Ambiguous"), "Gap - Invalid Consent", "Compliant")))))</f>
        <v/>
      </c>
      <c r="O5455" s="7" t="n"/>
    </row>
    <row r="5456">
      <c r="A5456" s="7" t="n"/>
      <c r="B5456" s="7" t="n"/>
      <c r="C5456" s="7" t="n"/>
      <c r="D5456" s="7" t="n"/>
      <c r="E5456" s="7" t="n"/>
      <c r="F5456" s="7" t="n"/>
      <c r="G5456" s="7" t="n"/>
      <c r="H5456" s="7" t="n"/>
      <c r="I5456" s="7" t="n"/>
      <c r="J5456" s="7" t="n"/>
      <c r="K5456">
        <f>IF(D5456="Legitimate Interest (GDPR Art. 6(1)(f))", "Yes / Required (Sheet 3)", "")</f>
        <v/>
      </c>
      <c r="L5456" s="7" t="n"/>
      <c r="M5456" s="7" t="n"/>
      <c r="N5456">
        <f>IF(D5456="", "Gap - No Legal Basis", IF(AND(D5456="Consent (GDPR Art. 6(1)(a))", I5456="Not Captured"), "Gap - Invalid Consent", IF(AND(D5456="Legitimate Interest (GDPR Art. 6(1)(f))", L5456=""), "Gap - Missing LIA", IF(AND(G5456="Yes", H5456=""), "Gap - Missing Art. 9 Basis", IF(OR(I5456="Invalid - Not Freely Given", I5456="Invalid - Not Specific", I5456="Invalid - Not Informed", I5456="Invalid - Ambiguous"), "Gap - Invalid Consent", "Compliant")))))</f>
        <v/>
      </c>
      <c r="O5456" s="7" t="n"/>
    </row>
    <row r="5457">
      <c r="A5457" s="7" t="n"/>
      <c r="B5457" s="7" t="n"/>
      <c r="C5457" s="7" t="n"/>
      <c r="D5457" s="7" t="n"/>
      <c r="E5457" s="7" t="n"/>
      <c r="F5457" s="7" t="n"/>
      <c r="G5457" s="7" t="n"/>
      <c r="H5457" s="7" t="n"/>
      <c r="I5457" s="7" t="n"/>
      <c r="J5457" s="7" t="n"/>
      <c r="K5457">
        <f>IF(D5457="Legitimate Interest (GDPR Art. 6(1)(f))", "Yes / Required (Sheet 3)", "")</f>
        <v/>
      </c>
      <c r="L5457" s="7" t="n"/>
      <c r="M5457" s="7" t="n"/>
      <c r="N5457">
        <f>IF(D5457="", "Gap - No Legal Basis", IF(AND(D5457="Consent (GDPR Art. 6(1)(a))", I5457="Not Captured"), "Gap - Invalid Consent", IF(AND(D5457="Legitimate Interest (GDPR Art. 6(1)(f))", L5457=""), "Gap - Missing LIA", IF(AND(G5457="Yes", H5457=""), "Gap - Missing Art. 9 Basis", IF(OR(I5457="Invalid - Not Freely Given", I5457="Invalid - Not Specific", I5457="Invalid - Not Informed", I5457="Invalid - Ambiguous"), "Gap - Invalid Consent", "Compliant")))))</f>
        <v/>
      </c>
      <c r="O5457" s="7" t="n"/>
    </row>
    <row r="5458">
      <c r="A5458" s="7" t="n"/>
      <c r="B5458" s="7" t="n"/>
      <c r="C5458" s="7" t="n"/>
      <c r="D5458" s="7" t="n"/>
      <c r="E5458" s="7" t="n"/>
      <c r="F5458" s="7" t="n"/>
      <c r="G5458" s="7" t="n"/>
      <c r="H5458" s="7" t="n"/>
      <c r="I5458" s="7" t="n"/>
      <c r="J5458" s="7" t="n"/>
      <c r="K5458">
        <f>IF(D5458="Legitimate Interest (GDPR Art. 6(1)(f))", "Yes / Required (Sheet 3)", "")</f>
        <v/>
      </c>
      <c r="L5458" s="7" t="n"/>
      <c r="M5458" s="7" t="n"/>
      <c r="N5458">
        <f>IF(D5458="", "Gap - No Legal Basis", IF(AND(D5458="Consent (GDPR Art. 6(1)(a))", I5458="Not Captured"), "Gap - Invalid Consent", IF(AND(D5458="Legitimate Interest (GDPR Art. 6(1)(f))", L5458=""), "Gap - Missing LIA", IF(AND(G5458="Yes", H5458=""), "Gap - Missing Art. 9 Basis", IF(OR(I5458="Invalid - Not Freely Given", I5458="Invalid - Not Specific", I5458="Invalid - Not Informed", I5458="Invalid - Ambiguous"), "Gap - Invalid Consent", "Compliant")))))</f>
        <v/>
      </c>
      <c r="O5458" s="7" t="n"/>
    </row>
    <row r="5459">
      <c r="A5459" s="7" t="n"/>
      <c r="B5459" s="7" t="n"/>
      <c r="C5459" s="7" t="n"/>
      <c r="D5459" s="7" t="n"/>
      <c r="E5459" s="7" t="n"/>
      <c r="F5459" s="7" t="n"/>
      <c r="G5459" s="7" t="n"/>
      <c r="H5459" s="7" t="n"/>
      <c r="I5459" s="7" t="n"/>
      <c r="J5459" s="7" t="n"/>
      <c r="K5459">
        <f>IF(D5459="Legitimate Interest (GDPR Art. 6(1)(f))", "Yes / Required (Sheet 3)", "")</f>
        <v/>
      </c>
      <c r="L5459" s="7" t="n"/>
      <c r="M5459" s="7" t="n"/>
      <c r="N5459">
        <f>IF(D5459="", "Gap - No Legal Basis", IF(AND(D5459="Consent (GDPR Art. 6(1)(a))", I5459="Not Captured"), "Gap - Invalid Consent", IF(AND(D5459="Legitimate Interest (GDPR Art. 6(1)(f))", L5459=""), "Gap - Missing LIA", IF(AND(G5459="Yes", H5459=""), "Gap - Missing Art. 9 Basis", IF(OR(I5459="Invalid - Not Freely Given", I5459="Invalid - Not Specific", I5459="Invalid - Not Informed", I5459="Invalid - Ambiguous"), "Gap - Invalid Consent", "Compliant")))))</f>
        <v/>
      </c>
      <c r="O5459" s="7" t="n"/>
    </row>
    <row r="5460">
      <c r="A5460" s="7" t="n"/>
      <c r="B5460" s="7" t="n"/>
      <c r="C5460" s="7" t="n"/>
      <c r="D5460" s="7" t="n"/>
      <c r="E5460" s="7" t="n"/>
      <c r="F5460" s="7" t="n"/>
      <c r="G5460" s="7" t="n"/>
      <c r="H5460" s="7" t="n"/>
      <c r="I5460" s="7" t="n"/>
      <c r="J5460" s="7" t="n"/>
      <c r="K5460">
        <f>IF(D5460="Legitimate Interest (GDPR Art. 6(1)(f))", "Yes / Required (Sheet 3)", "")</f>
        <v/>
      </c>
      <c r="L5460" s="7" t="n"/>
      <c r="M5460" s="7" t="n"/>
      <c r="N5460">
        <f>IF(D5460="", "Gap - No Legal Basis", IF(AND(D5460="Consent (GDPR Art. 6(1)(a))", I5460="Not Captured"), "Gap - Invalid Consent", IF(AND(D5460="Legitimate Interest (GDPR Art. 6(1)(f))", L5460=""), "Gap - Missing LIA", IF(AND(G5460="Yes", H5460=""), "Gap - Missing Art. 9 Basis", IF(OR(I5460="Invalid - Not Freely Given", I5460="Invalid - Not Specific", I5460="Invalid - Not Informed", I5460="Invalid - Ambiguous"), "Gap - Invalid Consent", "Compliant")))))</f>
        <v/>
      </c>
      <c r="O5460" s="7" t="n"/>
    </row>
    <row r="5461">
      <c r="A5461" s="7" t="n"/>
      <c r="B5461" s="7" t="n"/>
      <c r="C5461" s="7" t="n"/>
      <c r="D5461" s="7" t="n"/>
      <c r="E5461" s="7" t="n"/>
      <c r="F5461" s="7" t="n"/>
      <c r="G5461" s="7" t="n"/>
      <c r="H5461" s="7" t="n"/>
      <c r="I5461" s="7" t="n"/>
      <c r="J5461" s="7" t="n"/>
      <c r="K5461">
        <f>IF(D5461="Legitimate Interest (GDPR Art. 6(1)(f))", "Yes / Required (Sheet 3)", "")</f>
        <v/>
      </c>
      <c r="L5461" s="7" t="n"/>
      <c r="M5461" s="7" t="n"/>
      <c r="N5461">
        <f>IF(D5461="", "Gap - No Legal Basis", IF(AND(D5461="Consent (GDPR Art. 6(1)(a))", I5461="Not Captured"), "Gap - Invalid Consent", IF(AND(D5461="Legitimate Interest (GDPR Art. 6(1)(f))", L5461=""), "Gap - Missing LIA", IF(AND(G5461="Yes", H5461=""), "Gap - Missing Art. 9 Basis", IF(OR(I5461="Invalid - Not Freely Given", I5461="Invalid - Not Specific", I5461="Invalid - Not Informed", I5461="Invalid - Ambiguous"), "Gap - Invalid Consent", "Compliant")))))</f>
        <v/>
      </c>
      <c r="O5461" s="7" t="n"/>
    </row>
    <row r="5462">
      <c r="A5462" s="7" t="n"/>
      <c r="B5462" s="7" t="n"/>
      <c r="C5462" s="7" t="n"/>
      <c r="D5462" s="7" t="n"/>
      <c r="E5462" s="7" t="n"/>
      <c r="F5462" s="7" t="n"/>
      <c r="G5462" s="7" t="n"/>
      <c r="H5462" s="7" t="n"/>
      <c r="I5462" s="7" t="n"/>
      <c r="J5462" s="7" t="n"/>
      <c r="K5462">
        <f>IF(D5462="Legitimate Interest (GDPR Art. 6(1)(f))", "Yes / Required (Sheet 3)", "")</f>
        <v/>
      </c>
      <c r="L5462" s="7" t="n"/>
      <c r="M5462" s="7" t="n"/>
      <c r="N5462">
        <f>IF(D5462="", "Gap - No Legal Basis", IF(AND(D5462="Consent (GDPR Art. 6(1)(a))", I5462="Not Captured"), "Gap - Invalid Consent", IF(AND(D5462="Legitimate Interest (GDPR Art. 6(1)(f))", L5462=""), "Gap - Missing LIA", IF(AND(G5462="Yes", H5462=""), "Gap - Missing Art. 9 Basis", IF(OR(I5462="Invalid - Not Freely Given", I5462="Invalid - Not Specific", I5462="Invalid - Not Informed", I5462="Invalid - Ambiguous"), "Gap - Invalid Consent", "Compliant")))))</f>
        <v/>
      </c>
      <c r="O5462" s="7" t="n"/>
    </row>
    <row r="5463">
      <c r="A5463" s="7" t="n"/>
      <c r="B5463" s="7" t="n"/>
      <c r="C5463" s="7" t="n"/>
      <c r="D5463" s="7" t="n"/>
      <c r="E5463" s="7" t="n"/>
      <c r="F5463" s="7" t="n"/>
      <c r="G5463" s="7" t="n"/>
      <c r="H5463" s="7" t="n"/>
      <c r="I5463" s="7" t="n"/>
      <c r="J5463" s="7" t="n"/>
      <c r="K5463">
        <f>IF(D5463="Legitimate Interest (GDPR Art. 6(1)(f))", "Yes / Required (Sheet 3)", "")</f>
        <v/>
      </c>
      <c r="L5463" s="7" t="n"/>
      <c r="M5463" s="7" t="n"/>
      <c r="N5463">
        <f>IF(D5463="", "Gap - No Legal Basis", IF(AND(D5463="Consent (GDPR Art. 6(1)(a))", I5463="Not Captured"), "Gap - Invalid Consent", IF(AND(D5463="Legitimate Interest (GDPR Art. 6(1)(f))", L5463=""), "Gap - Missing LIA", IF(AND(G5463="Yes", H5463=""), "Gap - Missing Art. 9 Basis", IF(OR(I5463="Invalid - Not Freely Given", I5463="Invalid - Not Specific", I5463="Invalid - Not Informed", I5463="Invalid - Ambiguous"), "Gap - Invalid Consent", "Compliant")))))</f>
        <v/>
      </c>
      <c r="O5463" s="7" t="n"/>
    </row>
    <row r="5464">
      <c r="A5464" s="7" t="n"/>
      <c r="B5464" s="7" t="n"/>
      <c r="C5464" s="7" t="n"/>
      <c r="D5464" s="7" t="n"/>
      <c r="E5464" s="7" t="n"/>
      <c r="F5464" s="7" t="n"/>
      <c r="G5464" s="7" t="n"/>
      <c r="H5464" s="7" t="n"/>
      <c r="I5464" s="7" t="n"/>
      <c r="J5464" s="7" t="n"/>
      <c r="K5464">
        <f>IF(D5464="Legitimate Interest (GDPR Art. 6(1)(f))", "Yes / Required (Sheet 3)", "")</f>
        <v/>
      </c>
      <c r="L5464" s="7" t="n"/>
      <c r="M5464" s="7" t="n"/>
      <c r="N5464">
        <f>IF(D5464="", "Gap - No Legal Basis", IF(AND(D5464="Consent (GDPR Art. 6(1)(a))", I5464="Not Captured"), "Gap - Invalid Consent", IF(AND(D5464="Legitimate Interest (GDPR Art. 6(1)(f))", L5464=""), "Gap - Missing LIA", IF(AND(G5464="Yes", H5464=""), "Gap - Missing Art. 9 Basis", IF(OR(I5464="Invalid - Not Freely Given", I5464="Invalid - Not Specific", I5464="Invalid - Not Informed", I5464="Invalid - Ambiguous"), "Gap - Invalid Consent", "Compliant")))))</f>
        <v/>
      </c>
      <c r="O5464" s="7" t="n"/>
    </row>
    <row r="5465">
      <c r="A5465" s="7" t="n"/>
      <c r="B5465" s="7" t="n"/>
      <c r="C5465" s="7" t="n"/>
      <c r="D5465" s="7" t="n"/>
      <c r="E5465" s="7" t="n"/>
      <c r="F5465" s="7" t="n"/>
      <c r="G5465" s="7" t="n"/>
      <c r="H5465" s="7" t="n"/>
      <c r="I5465" s="7" t="n"/>
      <c r="J5465" s="7" t="n"/>
      <c r="K5465">
        <f>IF(D5465="Legitimate Interest (GDPR Art. 6(1)(f))", "Yes / Required (Sheet 3)", "")</f>
        <v/>
      </c>
      <c r="L5465" s="7" t="n"/>
      <c r="M5465" s="7" t="n"/>
      <c r="N5465">
        <f>IF(D5465="", "Gap - No Legal Basis", IF(AND(D5465="Consent (GDPR Art. 6(1)(a))", I5465="Not Captured"), "Gap - Invalid Consent", IF(AND(D5465="Legitimate Interest (GDPR Art. 6(1)(f))", L5465=""), "Gap - Missing LIA", IF(AND(G5465="Yes", H5465=""), "Gap - Missing Art. 9 Basis", IF(OR(I5465="Invalid - Not Freely Given", I5465="Invalid - Not Specific", I5465="Invalid - Not Informed", I5465="Invalid - Ambiguous"), "Gap - Invalid Consent", "Compliant")))))</f>
        <v/>
      </c>
      <c r="O5465" s="7" t="n"/>
    </row>
    <row r="5466">
      <c r="A5466" s="7" t="n"/>
      <c r="B5466" s="7" t="n"/>
      <c r="C5466" s="7" t="n"/>
      <c r="D5466" s="7" t="n"/>
      <c r="E5466" s="7" t="n"/>
      <c r="F5466" s="7" t="n"/>
      <c r="G5466" s="7" t="n"/>
      <c r="H5466" s="7" t="n"/>
      <c r="I5466" s="7" t="n"/>
      <c r="J5466" s="7" t="n"/>
      <c r="K5466">
        <f>IF(D5466="Legitimate Interest (GDPR Art. 6(1)(f))", "Yes / Required (Sheet 3)", "")</f>
        <v/>
      </c>
      <c r="L5466" s="7" t="n"/>
      <c r="M5466" s="7" t="n"/>
      <c r="N5466">
        <f>IF(D5466="", "Gap - No Legal Basis", IF(AND(D5466="Consent (GDPR Art. 6(1)(a))", I5466="Not Captured"), "Gap - Invalid Consent", IF(AND(D5466="Legitimate Interest (GDPR Art. 6(1)(f))", L5466=""), "Gap - Missing LIA", IF(AND(G5466="Yes", H5466=""), "Gap - Missing Art. 9 Basis", IF(OR(I5466="Invalid - Not Freely Given", I5466="Invalid - Not Specific", I5466="Invalid - Not Informed", I5466="Invalid - Ambiguous"), "Gap - Invalid Consent", "Compliant")))))</f>
        <v/>
      </c>
      <c r="O5466" s="7" t="n"/>
    </row>
    <row r="5467">
      <c r="A5467" s="7" t="n"/>
      <c r="B5467" s="7" t="n"/>
      <c r="C5467" s="7" t="n"/>
      <c r="D5467" s="7" t="n"/>
      <c r="E5467" s="7" t="n"/>
      <c r="F5467" s="7" t="n"/>
      <c r="G5467" s="7" t="n"/>
      <c r="H5467" s="7" t="n"/>
      <c r="I5467" s="7" t="n"/>
      <c r="J5467" s="7" t="n"/>
      <c r="K5467">
        <f>IF(D5467="Legitimate Interest (GDPR Art. 6(1)(f))", "Yes / Required (Sheet 3)", "")</f>
        <v/>
      </c>
      <c r="L5467" s="7" t="n"/>
      <c r="M5467" s="7" t="n"/>
      <c r="N5467">
        <f>IF(D5467="", "Gap - No Legal Basis", IF(AND(D5467="Consent (GDPR Art. 6(1)(a))", I5467="Not Captured"), "Gap - Invalid Consent", IF(AND(D5467="Legitimate Interest (GDPR Art. 6(1)(f))", L5467=""), "Gap - Missing LIA", IF(AND(G5467="Yes", H5467=""), "Gap - Missing Art. 9 Basis", IF(OR(I5467="Invalid - Not Freely Given", I5467="Invalid - Not Specific", I5467="Invalid - Not Informed", I5467="Invalid - Ambiguous"), "Gap - Invalid Consent", "Compliant")))))</f>
        <v/>
      </c>
      <c r="O5467" s="7" t="n"/>
    </row>
    <row r="5468">
      <c r="A5468" s="7" t="n"/>
      <c r="B5468" s="7" t="n"/>
      <c r="C5468" s="7" t="n"/>
      <c r="D5468" s="7" t="n"/>
      <c r="E5468" s="7" t="n"/>
      <c r="F5468" s="7" t="n"/>
      <c r="G5468" s="7" t="n"/>
      <c r="H5468" s="7" t="n"/>
      <c r="I5468" s="7" t="n"/>
      <c r="J5468" s="7" t="n"/>
      <c r="K5468">
        <f>IF(D5468="Legitimate Interest (GDPR Art. 6(1)(f))", "Yes / Required (Sheet 3)", "")</f>
        <v/>
      </c>
      <c r="L5468" s="7" t="n"/>
      <c r="M5468" s="7" t="n"/>
      <c r="N5468">
        <f>IF(D5468="", "Gap - No Legal Basis", IF(AND(D5468="Consent (GDPR Art. 6(1)(a))", I5468="Not Captured"), "Gap - Invalid Consent", IF(AND(D5468="Legitimate Interest (GDPR Art. 6(1)(f))", L5468=""), "Gap - Missing LIA", IF(AND(G5468="Yes", H5468=""), "Gap - Missing Art. 9 Basis", IF(OR(I5468="Invalid - Not Freely Given", I5468="Invalid - Not Specific", I5468="Invalid - Not Informed", I5468="Invalid - Ambiguous"), "Gap - Invalid Consent", "Compliant")))))</f>
        <v/>
      </c>
      <c r="O5468" s="7" t="n"/>
    </row>
    <row r="5469">
      <c r="A5469" s="7" t="n"/>
      <c r="B5469" s="7" t="n"/>
      <c r="C5469" s="7" t="n"/>
      <c r="D5469" s="7" t="n"/>
      <c r="E5469" s="7" t="n"/>
      <c r="F5469" s="7" t="n"/>
      <c r="G5469" s="7" t="n"/>
      <c r="H5469" s="7" t="n"/>
      <c r="I5469" s="7" t="n"/>
      <c r="J5469" s="7" t="n"/>
      <c r="K5469">
        <f>IF(D5469="Legitimate Interest (GDPR Art. 6(1)(f))", "Yes / Required (Sheet 3)", "")</f>
        <v/>
      </c>
      <c r="L5469" s="7" t="n"/>
      <c r="M5469" s="7" t="n"/>
      <c r="N5469">
        <f>IF(D5469="", "Gap - No Legal Basis", IF(AND(D5469="Consent (GDPR Art. 6(1)(a))", I5469="Not Captured"), "Gap - Invalid Consent", IF(AND(D5469="Legitimate Interest (GDPR Art. 6(1)(f))", L5469=""), "Gap - Missing LIA", IF(AND(G5469="Yes", H5469=""), "Gap - Missing Art. 9 Basis", IF(OR(I5469="Invalid - Not Freely Given", I5469="Invalid - Not Specific", I5469="Invalid - Not Informed", I5469="Invalid - Ambiguous"), "Gap - Invalid Consent", "Compliant")))))</f>
        <v/>
      </c>
      <c r="O5469" s="7" t="n"/>
    </row>
    <row r="5470">
      <c r="A5470" s="7" t="n"/>
      <c r="B5470" s="7" t="n"/>
      <c r="C5470" s="7" t="n"/>
      <c r="D5470" s="7" t="n"/>
      <c r="E5470" s="7" t="n"/>
      <c r="F5470" s="7" t="n"/>
      <c r="G5470" s="7" t="n"/>
      <c r="H5470" s="7" t="n"/>
      <c r="I5470" s="7" t="n"/>
      <c r="J5470" s="7" t="n"/>
      <c r="K5470">
        <f>IF(D5470="Legitimate Interest (GDPR Art. 6(1)(f))", "Yes / Required (Sheet 3)", "")</f>
        <v/>
      </c>
      <c r="L5470" s="7" t="n"/>
      <c r="M5470" s="7" t="n"/>
      <c r="N5470">
        <f>IF(D5470="", "Gap - No Legal Basis", IF(AND(D5470="Consent (GDPR Art. 6(1)(a))", I5470="Not Captured"), "Gap - Invalid Consent", IF(AND(D5470="Legitimate Interest (GDPR Art. 6(1)(f))", L5470=""), "Gap - Missing LIA", IF(AND(G5470="Yes", H5470=""), "Gap - Missing Art. 9 Basis", IF(OR(I5470="Invalid - Not Freely Given", I5470="Invalid - Not Specific", I5470="Invalid - Not Informed", I5470="Invalid - Ambiguous"), "Gap - Invalid Consent", "Compliant")))))</f>
        <v/>
      </c>
      <c r="O5470" s="7" t="n"/>
    </row>
    <row r="5471">
      <c r="A5471" s="7" t="n"/>
      <c r="B5471" s="7" t="n"/>
      <c r="C5471" s="7" t="n"/>
      <c r="D5471" s="7" t="n"/>
      <c r="E5471" s="7" t="n"/>
      <c r="F5471" s="7" t="n"/>
      <c r="G5471" s="7" t="n"/>
      <c r="H5471" s="7" t="n"/>
      <c r="I5471" s="7" t="n"/>
      <c r="J5471" s="7" t="n"/>
      <c r="K5471">
        <f>IF(D5471="Legitimate Interest (GDPR Art. 6(1)(f))", "Yes / Required (Sheet 3)", "")</f>
        <v/>
      </c>
      <c r="L5471" s="7" t="n"/>
      <c r="M5471" s="7" t="n"/>
      <c r="N5471">
        <f>IF(D5471="", "Gap - No Legal Basis", IF(AND(D5471="Consent (GDPR Art. 6(1)(a))", I5471="Not Captured"), "Gap - Invalid Consent", IF(AND(D5471="Legitimate Interest (GDPR Art. 6(1)(f))", L5471=""), "Gap - Missing LIA", IF(AND(G5471="Yes", H5471=""), "Gap - Missing Art. 9 Basis", IF(OR(I5471="Invalid - Not Freely Given", I5471="Invalid - Not Specific", I5471="Invalid - Not Informed", I5471="Invalid - Ambiguous"), "Gap - Invalid Consent", "Compliant")))))</f>
        <v/>
      </c>
      <c r="O5471" s="7" t="n"/>
    </row>
    <row r="5472">
      <c r="A5472" s="7" t="n"/>
      <c r="B5472" s="7" t="n"/>
      <c r="C5472" s="7" t="n"/>
      <c r="D5472" s="7" t="n"/>
      <c r="E5472" s="7" t="n"/>
      <c r="F5472" s="7" t="n"/>
      <c r="G5472" s="7" t="n"/>
      <c r="H5472" s="7" t="n"/>
      <c r="I5472" s="7" t="n"/>
      <c r="J5472" s="7" t="n"/>
      <c r="K5472">
        <f>IF(D5472="Legitimate Interest (GDPR Art. 6(1)(f))", "Yes / Required (Sheet 3)", "")</f>
        <v/>
      </c>
      <c r="L5472" s="7" t="n"/>
      <c r="M5472" s="7" t="n"/>
      <c r="N5472">
        <f>IF(D5472="", "Gap - No Legal Basis", IF(AND(D5472="Consent (GDPR Art. 6(1)(a))", I5472="Not Captured"), "Gap - Invalid Consent", IF(AND(D5472="Legitimate Interest (GDPR Art. 6(1)(f))", L5472=""), "Gap - Missing LIA", IF(AND(G5472="Yes", H5472=""), "Gap - Missing Art. 9 Basis", IF(OR(I5472="Invalid - Not Freely Given", I5472="Invalid - Not Specific", I5472="Invalid - Not Informed", I5472="Invalid - Ambiguous"), "Gap - Invalid Consent", "Compliant")))))</f>
        <v/>
      </c>
      <c r="O5472" s="7" t="n"/>
    </row>
    <row r="5473">
      <c r="A5473" s="7" t="n"/>
      <c r="B5473" s="7" t="n"/>
      <c r="C5473" s="7" t="n"/>
      <c r="D5473" s="7" t="n"/>
      <c r="E5473" s="7" t="n"/>
      <c r="F5473" s="7" t="n"/>
      <c r="G5473" s="7" t="n"/>
      <c r="H5473" s="7" t="n"/>
      <c r="I5473" s="7" t="n"/>
      <c r="J5473" s="7" t="n"/>
      <c r="K5473">
        <f>IF(D5473="Legitimate Interest (GDPR Art. 6(1)(f))", "Yes / Required (Sheet 3)", "")</f>
        <v/>
      </c>
      <c r="L5473" s="7" t="n"/>
      <c r="M5473" s="7" t="n"/>
      <c r="N5473">
        <f>IF(D5473="", "Gap - No Legal Basis", IF(AND(D5473="Consent (GDPR Art. 6(1)(a))", I5473="Not Captured"), "Gap - Invalid Consent", IF(AND(D5473="Legitimate Interest (GDPR Art. 6(1)(f))", L5473=""), "Gap - Missing LIA", IF(AND(G5473="Yes", H5473=""), "Gap - Missing Art. 9 Basis", IF(OR(I5473="Invalid - Not Freely Given", I5473="Invalid - Not Specific", I5473="Invalid - Not Informed", I5473="Invalid - Ambiguous"), "Gap - Invalid Consent", "Compliant")))))</f>
        <v/>
      </c>
      <c r="O5473" s="7" t="n"/>
    </row>
    <row r="5474">
      <c r="A5474" s="7" t="n"/>
      <c r="B5474" s="7" t="n"/>
      <c r="C5474" s="7" t="n"/>
      <c r="D5474" s="7" t="n"/>
      <c r="E5474" s="7" t="n"/>
      <c r="F5474" s="7" t="n"/>
      <c r="G5474" s="7" t="n"/>
      <c r="H5474" s="7" t="n"/>
      <c r="I5474" s="7" t="n"/>
      <c r="J5474" s="7" t="n"/>
      <c r="K5474">
        <f>IF(D5474="Legitimate Interest (GDPR Art. 6(1)(f))", "Yes / Required (Sheet 3)", "")</f>
        <v/>
      </c>
      <c r="L5474" s="7" t="n"/>
      <c r="M5474" s="7" t="n"/>
      <c r="N5474">
        <f>IF(D5474="", "Gap - No Legal Basis", IF(AND(D5474="Consent (GDPR Art. 6(1)(a))", I5474="Not Captured"), "Gap - Invalid Consent", IF(AND(D5474="Legitimate Interest (GDPR Art. 6(1)(f))", L5474=""), "Gap - Missing LIA", IF(AND(G5474="Yes", H5474=""), "Gap - Missing Art. 9 Basis", IF(OR(I5474="Invalid - Not Freely Given", I5474="Invalid - Not Specific", I5474="Invalid - Not Informed", I5474="Invalid - Ambiguous"), "Gap - Invalid Consent", "Compliant")))))</f>
        <v/>
      </c>
      <c r="O5474" s="7" t="n"/>
    </row>
    <row r="5475">
      <c r="A5475" s="7" t="n"/>
      <c r="B5475" s="7" t="n"/>
      <c r="C5475" s="7" t="n"/>
      <c r="D5475" s="7" t="n"/>
      <c r="E5475" s="7" t="n"/>
      <c r="F5475" s="7" t="n"/>
      <c r="G5475" s="7" t="n"/>
      <c r="H5475" s="7" t="n"/>
      <c r="I5475" s="7" t="n"/>
      <c r="J5475" s="7" t="n"/>
      <c r="K5475">
        <f>IF(D5475="Legitimate Interest (GDPR Art. 6(1)(f))", "Yes / Required (Sheet 3)", "")</f>
        <v/>
      </c>
      <c r="L5475" s="7" t="n"/>
      <c r="M5475" s="7" t="n"/>
      <c r="N5475">
        <f>IF(D5475="", "Gap - No Legal Basis", IF(AND(D5475="Consent (GDPR Art. 6(1)(a))", I5475="Not Captured"), "Gap - Invalid Consent", IF(AND(D5475="Legitimate Interest (GDPR Art. 6(1)(f))", L5475=""), "Gap - Missing LIA", IF(AND(G5475="Yes", H5475=""), "Gap - Missing Art. 9 Basis", IF(OR(I5475="Invalid - Not Freely Given", I5475="Invalid - Not Specific", I5475="Invalid - Not Informed", I5475="Invalid - Ambiguous"), "Gap - Invalid Consent", "Compliant")))))</f>
        <v/>
      </c>
      <c r="O5475" s="7" t="n"/>
    </row>
    <row r="5476">
      <c r="A5476" s="7" t="n"/>
      <c r="B5476" s="7" t="n"/>
      <c r="C5476" s="7" t="n"/>
      <c r="D5476" s="7" t="n"/>
      <c r="E5476" s="7" t="n"/>
      <c r="F5476" s="7" t="n"/>
      <c r="G5476" s="7" t="n"/>
      <c r="H5476" s="7" t="n"/>
      <c r="I5476" s="7" t="n"/>
      <c r="J5476" s="7" t="n"/>
      <c r="K5476">
        <f>IF(D5476="Legitimate Interest (GDPR Art. 6(1)(f))", "Yes / Required (Sheet 3)", "")</f>
        <v/>
      </c>
      <c r="L5476" s="7" t="n"/>
      <c r="M5476" s="7" t="n"/>
      <c r="N5476">
        <f>IF(D5476="", "Gap - No Legal Basis", IF(AND(D5476="Consent (GDPR Art. 6(1)(a))", I5476="Not Captured"), "Gap - Invalid Consent", IF(AND(D5476="Legitimate Interest (GDPR Art. 6(1)(f))", L5476=""), "Gap - Missing LIA", IF(AND(G5476="Yes", H5476=""), "Gap - Missing Art. 9 Basis", IF(OR(I5476="Invalid - Not Freely Given", I5476="Invalid - Not Specific", I5476="Invalid - Not Informed", I5476="Invalid - Ambiguous"), "Gap - Invalid Consent", "Compliant")))))</f>
        <v/>
      </c>
      <c r="O5476" s="7" t="n"/>
    </row>
    <row r="5477">
      <c r="A5477" s="7" t="n"/>
      <c r="B5477" s="7" t="n"/>
      <c r="C5477" s="7" t="n"/>
      <c r="D5477" s="7" t="n"/>
      <c r="E5477" s="7" t="n"/>
      <c r="F5477" s="7" t="n"/>
      <c r="G5477" s="7" t="n"/>
      <c r="H5477" s="7" t="n"/>
      <c r="I5477" s="7" t="n"/>
      <c r="J5477" s="7" t="n"/>
      <c r="K5477">
        <f>IF(D5477="Legitimate Interest (GDPR Art. 6(1)(f))", "Yes / Required (Sheet 3)", "")</f>
        <v/>
      </c>
      <c r="L5477" s="7" t="n"/>
      <c r="M5477" s="7" t="n"/>
      <c r="N5477">
        <f>IF(D5477="", "Gap - No Legal Basis", IF(AND(D5477="Consent (GDPR Art. 6(1)(a))", I5477="Not Captured"), "Gap - Invalid Consent", IF(AND(D5477="Legitimate Interest (GDPR Art. 6(1)(f))", L5477=""), "Gap - Missing LIA", IF(AND(G5477="Yes", H5477=""), "Gap - Missing Art. 9 Basis", IF(OR(I5477="Invalid - Not Freely Given", I5477="Invalid - Not Specific", I5477="Invalid - Not Informed", I5477="Invalid - Ambiguous"), "Gap - Invalid Consent", "Compliant")))))</f>
        <v/>
      </c>
      <c r="O5477" s="7" t="n"/>
    </row>
    <row r="5478">
      <c r="A5478" s="7" t="n"/>
      <c r="B5478" s="7" t="n"/>
      <c r="C5478" s="7" t="n"/>
      <c r="D5478" s="7" t="n"/>
      <c r="E5478" s="7" t="n"/>
      <c r="F5478" s="7" t="n"/>
      <c r="G5478" s="7" t="n"/>
      <c r="H5478" s="7" t="n"/>
      <c r="I5478" s="7" t="n"/>
      <c r="J5478" s="7" t="n"/>
      <c r="K5478">
        <f>IF(D5478="Legitimate Interest (GDPR Art. 6(1)(f))", "Yes / Required (Sheet 3)", "")</f>
        <v/>
      </c>
      <c r="L5478" s="7" t="n"/>
      <c r="M5478" s="7" t="n"/>
      <c r="N5478">
        <f>IF(D5478="", "Gap - No Legal Basis", IF(AND(D5478="Consent (GDPR Art. 6(1)(a))", I5478="Not Captured"), "Gap - Invalid Consent", IF(AND(D5478="Legitimate Interest (GDPR Art. 6(1)(f))", L5478=""), "Gap - Missing LIA", IF(AND(G5478="Yes", H5478=""), "Gap - Missing Art. 9 Basis", IF(OR(I5478="Invalid - Not Freely Given", I5478="Invalid - Not Specific", I5478="Invalid - Not Informed", I5478="Invalid - Ambiguous"), "Gap - Invalid Consent", "Compliant")))))</f>
        <v/>
      </c>
      <c r="O5478" s="7" t="n"/>
    </row>
    <row r="5479">
      <c r="A5479" s="7" t="n"/>
      <c r="B5479" s="7" t="n"/>
      <c r="C5479" s="7" t="n"/>
      <c r="D5479" s="7" t="n"/>
      <c r="E5479" s="7" t="n"/>
      <c r="F5479" s="7" t="n"/>
      <c r="G5479" s="7" t="n"/>
      <c r="H5479" s="7" t="n"/>
      <c r="I5479" s="7" t="n"/>
      <c r="J5479" s="7" t="n"/>
      <c r="K5479">
        <f>IF(D5479="Legitimate Interest (GDPR Art. 6(1)(f))", "Yes / Required (Sheet 3)", "")</f>
        <v/>
      </c>
      <c r="L5479" s="7" t="n"/>
      <c r="M5479" s="7" t="n"/>
      <c r="N5479">
        <f>IF(D5479="", "Gap - No Legal Basis", IF(AND(D5479="Consent (GDPR Art. 6(1)(a))", I5479="Not Captured"), "Gap - Invalid Consent", IF(AND(D5479="Legitimate Interest (GDPR Art. 6(1)(f))", L5479=""), "Gap - Missing LIA", IF(AND(G5479="Yes", H5479=""), "Gap - Missing Art. 9 Basis", IF(OR(I5479="Invalid - Not Freely Given", I5479="Invalid - Not Specific", I5479="Invalid - Not Informed", I5479="Invalid - Ambiguous"), "Gap - Invalid Consent", "Compliant")))))</f>
        <v/>
      </c>
      <c r="O5479" s="7" t="n"/>
    </row>
    <row r="5480">
      <c r="A5480" s="7" t="n"/>
      <c r="B5480" s="7" t="n"/>
      <c r="C5480" s="7" t="n"/>
      <c r="D5480" s="7" t="n"/>
      <c r="E5480" s="7" t="n"/>
      <c r="F5480" s="7" t="n"/>
      <c r="G5480" s="7" t="n"/>
      <c r="H5480" s="7" t="n"/>
      <c r="I5480" s="7" t="n"/>
      <c r="J5480" s="7" t="n"/>
      <c r="K5480">
        <f>IF(D5480="Legitimate Interest (GDPR Art. 6(1)(f))", "Yes / Required (Sheet 3)", "")</f>
        <v/>
      </c>
      <c r="L5480" s="7" t="n"/>
      <c r="M5480" s="7" t="n"/>
      <c r="N5480">
        <f>IF(D5480="", "Gap - No Legal Basis", IF(AND(D5480="Consent (GDPR Art. 6(1)(a))", I5480="Not Captured"), "Gap - Invalid Consent", IF(AND(D5480="Legitimate Interest (GDPR Art. 6(1)(f))", L5480=""), "Gap - Missing LIA", IF(AND(G5480="Yes", H5480=""), "Gap - Missing Art. 9 Basis", IF(OR(I5480="Invalid - Not Freely Given", I5480="Invalid - Not Specific", I5480="Invalid - Not Informed", I5480="Invalid - Ambiguous"), "Gap - Invalid Consent", "Compliant")))))</f>
        <v/>
      </c>
      <c r="O5480" s="7" t="n"/>
    </row>
    <row r="5481">
      <c r="A5481" s="7" t="n"/>
      <c r="B5481" s="7" t="n"/>
      <c r="C5481" s="7" t="n"/>
      <c r="D5481" s="7" t="n"/>
      <c r="E5481" s="7" t="n"/>
      <c r="F5481" s="7" t="n"/>
      <c r="G5481" s="7" t="n"/>
      <c r="H5481" s="7" t="n"/>
      <c r="I5481" s="7" t="n"/>
      <c r="J5481" s="7" t="n"/>
      <c r="K5481">
        <f>IF(D5481="Legitimate Interest (GDPR Art. 6(1)(f))", "Yes / Required (Sheet 3)", "")</f>
        <v/>
      </c>
      <c r="L5481" s="7" t="n"/>
      <c r="M5481" s="7" t="n"/>
      <c r="N5481">
        <f>IF(D5481="", "Gap - No Legal Basis", IF(AND(D5481="Consent (GDPR Art. 6(1)(a))", I5481="Not Captured"), "Gap - Invalid Consent", IF(AND(D5481="Legitimate Interest (GDPR Art. 6(1)(f))", L5481=""), "Gap - Missing LIA", IF(AND(G5481="Yes", H5481=""), "Gap - Missing Art. 9 Basis", IF(OR(I5481="Invalid - Not Freely Given", I5481="Invalid - Not Specific", I5481="Invalid - Not Informed", I5481="Invalid - Ambiguous"), "Gap - Invalid Consent", "Compliant")))))</f>
        <v/>
      </c>
      <c r="O5481" s="7" t="n"/>
    </row>
    <row r="5482">
      <c r="A5482" s="7" t="n"/>
      <c r="B5482" s="7" t="n"/>
      <c r="C5482" s="7" t="n"/>
      <c r="D5482" s="7" t="n"/>
      <c r="E5482" s="7" t="n"/>
      <c r="F5482" s="7" t="n"/>
      <c r="G5482" s="7" t="n"/>
      <c r="H5482" s="7" t="n"/>
      <c r="I5482" s="7" t="n"/>
      <c r="J5482" s="7" t="n"/>
      <c r="K5482">
        <f>IF(D5482="Legitimate Interest (GDPR Art. 6(1)(f))", "Yes / Required (Sheet 3)", "")</f>
        <v/>
      </c>
      <c r="L5482" s="7" t="n"/>
      <c r="M5482" s="7" t="n"/>
      <c r="N5482">
        <f>IF(D5482="", "Gap - No Legal Basis", IF(AND(D5482="Consent (GDPR Art. 6(1)(a))", I5482="Not Captured"), "Gap - Invalid Consent", IF(AND(D5482="Legitimate Interest (GDPR Art. 6(1)(f))", L5482=""), "Gap - Missing LIA", IF(AND(G5482="Yes", H5482=""), "Gap - Missing Art. 9 Basis", IF(OR(I5482="Invalid - Not Freely Given", I5482="Invalid - Not Specific", I5482="Invalid - Not Informed", I5482="Invalid - Ambiguous"), "Gap - Invalid Consent", "Compliant")))))</f>
        <v/>
      </c>
      <c r="O5482" s="7" t="n"/>
    </row>
    <row r="5483">
      <c r="A5483" s="7" t="n"/>
      <c r="B5483" s="7" t="n"/>
      <c r="C5483" s="7" t="n"/>
      <c r="D5483" s="7" t="n"/>
      <c r="E5483" s="7" t="n"/>
      <c r="F5483" s="7" t="n"/>
      <c r="G5483" s="7" t="n"/>
      <c r="H5483" s="7" t="n"/>
      <c r="I5483" s="7" t="n"/>
      <c r="J5483" s="7" t="n"/>
      <c r="K5483">
        <f>IF(D5483="Legitimate Interest (GDPR Art. 6(1)(f))", "Yes / Required (Sheet 3)", "")</f>
        <v/>
      </c>
      <c r="L5483" s="7" t="n"/>
      <c r="M5483" s="7" t="n"/>
      <c r="N5483">
        <f>IF(D5483="", "Gap - No Legal Basis", IF(AND(D5483="Consent (GDPR Art. 6(1)(a))", I5483="Not Captured"), "Gap - Invalid Consent", IF(AND(D5483="Legitimate Interest (GDPR Art. 6(1)(f))", L5483=""), "Gap - Missing LIA", IF(AND(G5483="Yes", H5483=""), "Gap - Missing Art. 9 Basis", IF(OR(I5483="Invalid - Not Freely Given", I5483="Invalid - Not Specific", I5483="Invalid - Not Informed", I5483="Invalid - Ambiguous"), "Gap - Invalid Consent", "Compliant")))))</f>
        <v/>
      </c>
      <c r="O5483" s="7" t="n"/>
    </row>
    <row r="5484">
      <c r="A5484" s="7" t="n"/>
      <c r="B5484" s="7" t="n"/>
      <c r="C5484" s="7" t="n"/>
      <c r="D5484" s="7" t="n"/>
      <c r="E5484" s="7" t="n"/>
      <c r="F5484" s="7" t="n"/>
      <c r="G5484" s="7" t="n"/>
      <c r="H5484" s="7" t="n"/>
      <c r="I5484" s="7" t="n"/>
      <c r="J5484" s="7" t="n"/>
      <c r="K5484">
        <f>IF(D5484="Legitimate Interest (GDPR Art. 6(1)(f))", "Yes / Required (Sheet 3)", "")</f>
        <v/>
      </c>
      <c r="L5484" s="7" t="n"/>
      <c r="M5484" s="7" t="n"/>
      <c r="N5484">
        <f>IF(D5484="", "Gap - No Legal Basis", IF(AND(D5484="Consent (GDPR Art. 6(1)(a))", I5484="Not Captured"), "Gap - Invalid Consent", IF(AND(D5484="Legitimate Interest (GDPR Art. 6(1)(f))", L5484=""), "Gap - Missing LIA", IF(AND(G5484="Yes", H5484=""), "Gap - Missing Art. 9 Basis", IF(OR(I5484="Invalid - Not Freely Given", I5484="Invalid - Not Specific", I5484="Invalid - Not Informed", I5484="Invalid - Ambiguous"), "Gap - Invalid Consent", "Compliant")))))</f>
        <v/>
      </c>
      <c r="O5484" s="7" t="n"/>
    </row>
    <row r="5485">
      <c r="A5485" s="7" t="n"/>
      <c r="B5485" s="7" t="n"/>
      <c r="C5485" s="7" t="n"/>
      <c r="D5485" s="7" t="n"/>
      <c r="E5485" s="7" t="n"/>
      <c r="F5485" s="7" t="n"/>
      <c r="G5485" s="7" t="n"/>
      <c r="H5485" s="7" t="n"/>
      <c r="I5485" s="7" t="n"/>
      <c r="J5485" s="7" t="n"/>
      <c r="K5485">
        <f>IF(D5485="Legitimate Interest (GDPR Art. 6(1)(f))", "Yes / Required (Sheet 3)", "")</f>
        <v/>
      </c>
      <c r="L5485" s="7" t="n"/>
      <c r="M5485" s="7" t="n"/>
      <c r="N5485">
        <f>IF(D5485="", "Gap - No Legal Basis", IF(AND(D5485="Consent (GDPR Art. 6(1)(a))", I5485="Not Captured"), "Gap - Invalid Consent", IF(AND(D5485="Legitimate Interest (GDPR Art. 6(1)(f))", L5485=""), "Gap - Missing LIA", IF(AND(G5485="Yes", H5485=""), "Gap - Missing Art. 9 Basis", IF(OR(I5485="Invalid - Not Freely Given", I5485="Invalid - Not Specific", I5485="Invalid - Not Informed", I5485="Invalid - Ambiguous"), "Gap - Invalid Consent", "Compliant")))))</f>
        <v/>
      </c>
      <c r="O5485" s="7" t="n"/>
    </row>
    <row r="5486">
      <c r="A5486" s="7" t="n"/>
      <c r="B5486" s="7" t="n"/>
      <c r="C5486" s="7" t="n"/>
      <c r="D5486" s="7" t="n"/>
      <c r="E5486" s="7" t="n"/>
      <c r="F5486" s="7" t="n"/>
      <c r="G5486" s="7" t="n"/>
      <c r="H5486" s="7" t="n"/>
      <c r="I5486" s="7" t="n"/>
      <c r="J5486" s="7" t="n"/>
      <c r="K5486">
        <f>IF(D5486="Legitimate Interest (GDPR Art. 6(1)(f))", "Yes / Required (Sheet 3)", "")</f>
        <v/>
      </c>
      <c r="L5486" s="7" t="n"/>
      <c r="M5486" s="7" t="n"/>
      <c r="N5486">
        <f>IF(D5486="", "Gap - No Legal Basis", IF(AND(D5486="Consent (GDPR Art. 6(1)(a))", I5486="Not Captured"), "Gap - Invalid Consent", IF(AND(D5486="Legitimate Interest (GDPR Art. 6(1)(f))", L5486=""), "Gap - Missing LIA", IF(AND(G5486="Yes", H5486=""), "Gap - Missing Art. 9 Basis", IF(OR(I5486="Invalid - Not Freely Given", I5486="Invalid - Not Specific", I5486="Invalid - Not Informed", I5486="Invalid - Ambiguous"), "Gap - Invalid Consent", "Compliant")))))</f>
        <v/>
      </c>
      <c r="O5486" s="7" t="n"/>
    </row>
    <row r="5487">
      <c r="A5487" s="7" t="n"/>
      <c r="B5487" s="7" t="n"/>
      <c r="C5487" s="7" t="n"/>
      <c r="D5487" s="7" t="n"/>
      <c r="E5487" s="7" t="n"/>
      <c r="F5487" s="7" t="n"/>
      <c r="G5487" s="7" t="n"/>
      <c r="H5487" s="7" t="n"/>
      <c r="I5487" s="7" t="n"/>
      <c r="J5487" s="7" t="n"/>
      <c r="K5487">
        <f>IF(D5487="Legitimate Interest (GDPR Art. 6(1)(f))", "Yes / Required (Sheet 3)", "")</f>
        <v/>
      </c>
      <c r="L5487" s="7" t="n"/>
      <c r="M5487" s="7" t="n"/>
      <c r="N5487">
        <f>IF(D5487="", "Gap - No Legal Basis", IF(AND(D5487="Consent (GDPR Art. 6(1)(a))", I5487="Not Captured"), "Gap - Invalid Consent", IF(AND(D5487="Legitimate Interest (GDPR Art. 6(1)(f))", L5487=""), "Gap - Missing LIA", IF(AND(G5487="Yes", H5487=""), "Gap - Missing Art. 9 Basis", IF(OR(I5487="Invalid - Not Freely Given", I5487="Invalid - Not Specific", I5487="Invalid - Not Informed", I5487="Invalid - Ambiguous"), "Gap - Invalid Consent", "Compliant")))))</f>
        <v/>
      </c>
      <c r="O5487" s="7" t="n"/>
    </row>
    <row r="5488">
      <c r="A5488" s="7" t="n"/>
      <c r="B5488" s="7" t="n"/>
      <c r="C5488" s="7" t="n"/>
      <c r="D5488" s="7" t="n"/>
      <c r="E5488" s="7" t="n"/>
      <c r="F5488" s="7" t="n"/>
      <c r="G5488" s="7" t="n"/>
      <c r="H5488" s="7" t="n"/>
      <c r="I5488" s="7" t="n"/>
      <c r="J5488" s="7" t="n"/>
      <c r="K5488">
        <f>IF(D5488="Legitimate Interest (GDPR Art. 6(1)(f))", "Yes / Required (Sheet 3)", "")</f>
        <v/>
      </c>
      <c r="L5488" s="7" t="n"/>
      <c r="M5488" s="7" t="n"/>
      <c r="N5488">
        <f>IF(D5488="", "Gap - No Legal Basis", IF(AND(D5488="Consent (GDPR Art. 6(1)(a))", I5488="Not Captured"), "Gap - Invalid Consent", IF(AND(D5488="Legitimate Interest (GDPR Art. 6(1)(f))", L5488=""), "Gap - Missing LIA", IF(AND(G5488="Yes", H5488=""), "Gap - Missing Art. 9 Basis", IF(OR(I5488="Invalid - Not Freely Given", I5488="Invalid - Not Specific", I5488="Invalid - Not Informed", I5488="Invalid - Ambiguous"), "Gap - Invalid Consent", "Compliant")))))</f>
        <v/>
      </c>
      <c r="O5488" s="7" t="n"/>
    </row>
    <row r="5489">
      <c r="A5489" s="7" t="n"/>
      <c r="B5489" s="7" t="n"/>
      <c r="C5489" s="7" t="n"/>
      <c r="D5489" s="7" t="n"/>
      <c r="E5489" s="7" t="n"/>
      <c r="F5489" s="7" t="n"/>
      <c r="G5489" s="7" t="n"/>
      <c r="H5489" s="7" t="n"/>
      <c r="I5489" s="7" t="n"/>
      <c r="J5489" s="7" t="n"/>
      <c r="K5489">
        <f>IF(D5489="Legitimate Interest (GDPR Art. 6(1)(f))", "Yes / Required (Sheet 3)", "")</f>
        <v/>
      </c>
      <c r="L5489" s="7" t="n"/>
      <c r="M5489" s="7" t="n"/>
      <c r="N5489">
        <f>IF(D5489="", "Gap - No Legal Basis", IF(AND(D5489="Consent (GDPR Art. 6(1)(a))", I5489="Not Captured"), "Gap - Invalid Consent", IF(AND(D5489="Legitimate Interest (GDPR Art. 6(1)(f))", L5489=""), "Gap - Missing LIA", IF(AND(G5489="Yes", H5489=""), "Gap - Missing Art. 9 Basis", IF(OR(I5489="Invalid - Not Freely Given", I5489="Invalid - Not Specific", I5489="Invalid - Not Informed", I5489="Invalid - Ambiguous"), "Gap - Invalid Consent", "Compliant")))))</f>
        <v/>
      </c>
      <c r="O5489" s="7" t="n"/>
    </row>
    <row r="5490">
      <c r="A5490" s="7" t="n"/>
      <c r="B5490" s="7" t="n"/>
      <c r="C5490" s="7" t="n"/>
      <c r="D5490" s="7" t="n"/>
      <c r="E5490" s="7" t="n"/>
      <c r="F5490" s="7" t="n"/>
      <c r="G5490" s="7" t="n"/>
      <c r="H5490" s="7" t="n"/>
      <c r="I5490" s="7" t="n"/>
      <c r="J5490" s="7" t="n"/>
      <c r="K5490">
        <f>IF(D5490="Legitimate Interest (GDPR Art. 6(1)(f))", "Yes / Required (Sheet 3)", "")</f>
        <v/>
      </c>
      <c r="L5490" s="7" t="n"/>
      <c r="M5490" s="7" t="n"/>
      <c r="N5490">
        <f>IF(D5490="", "Gap - No Legal Basis", IF(AND(D5490="Consent (GDPR Art. 6(1)(a))", I5490="Not Captured"), "Gap - Invalid Consent", IF(AND(D5490="Legitimate Interest (GDPR Art. 6(1)(f))", L5490=""), "Gap - Missing LIA", IF(AND(G5490="Yes", H5490=""), "Gap - Missing Art. 9 Basis", IF(OR(I5490="Invalid - Not Freely Given", I5490="Invalid - Not Specific", I5490="Invalid - Not Informed", I5490="Invalid - Ambiguous"), "Gap - Invalid Consent", "Compliant")))))</f>
        <v/>
      </c>
      <c r="O5490" s="7" t="n"/>
    </row>
    <row r="5491">
      <c r="A5491" s="7" t="n"/>
      <c r="B5491" s="7" t="n"/>
      <c r="C5491" s="7" t="n"/>
      <c r="D5491" s="7" t="n"/>
      <c r="E5491" s="7" t="n"/>
      <c r="F5491" s="7" t="n"/>
      <c r="G5491" s="7" t="n"/>
      <c r="H5491" s="7" t="n"/>
      <c r="I5491" s="7" t="n"/>
      <c r="J5491" s="7" t="n"/>
      <c r="K5491">
        <f>IF(D5491="Legitimate Interest (GDPR Art. 6(1)(f))", "Yes / Required (Sheet 3)", "")</f>
        <v/>
      </c>
      <c r="L5491" s="7" t="n"/>
      <c r="M5491" s="7" t="n"/>
      <c r="N5491">
        <f>IF(D5491="", "Gap - No Legal Basis", IF(AND(D5491="Consent (GDPR Art. 6(1)(a))", I5491="Not Captured"), "Gap - Invalid Consent", IF(AND(D5491="Legitimate Interest (GDPR Art. 6(1)(f))", L5491=""), "Gap - Missing LIA", IF(AND(G5491="Yes", H5491=""), "Gap - Missing Art. 9 Basis", IF(OR(I5491="Invalid - Not Freely Given", I5491="Invalid - Not Specific", I5491="Invalid - Not Informed", I5491="Invalid - Ambiguous"), "Gap - Invalid Consent", "Compliant")))))</f>
        <v/>
      </c>
      <c r="O5491" s="7" t="n"/>
    </row>
    <row r="5492">
      <c r="A5492" s="7" t="n"/>
      <c r="B5492" s="7" t="n"/>
      <c r="C5492" s="7" t="n"/>
      <c r="D5492" s="7" t="n"/>
      <c r="E5492" s="7" t="n"/>
      <c r="F5492" s="7" t="n"/>
      <c r="G5492" s="7" t="n"/>
      <c r="H5492" s="7" t="n"/>
      <c r="I5492" s="7" t="n"/>
      <c r="J5492" s="7" t="n"/>
      <c r="K5492">
        <f>IF(D5492="Legitimate Interest (GDPR Art. 6(1)(f))", "Yes / Required (Sheet 3)", "")</f>
        <v/>
      </c>
      <c r="L5492" s="7" t="n"/>
      <c r="M5492" s="7" t="n"/>
      <c r="N5492">
        <f>IF(D5492="", "Gap - No Legal Basis", IF(AND(D5492="Consent (GDPR Art. 6(1)(a))", I5492="Not Captured"), "Gap - Invalid Consent", IF(AND(D5492="Legitimate Interest (GDPR Art. 6(1)(f))", L5492=""), "Gap - Missing LIA", IF(AND(G5492="Yes", H5492=""), "Gap - Missing Art. 9 Basis", IF(OR(I5492="Invalid - Not Freely Given", I5492="Invalid - Not Specific", I5492="Invalid - Not Informed", I5492="Invalid - Ambiguous"), "Gap - Invalid Consent", "Compliant")))))</f>
        <v/>
      </c>
      <c r="O5492" s="7" t="n"/>
    </row>
    <row r="5493">
      <c r="A5493" s="7" t="n"/>
      <c r="B5493" s="7" t="n"/>
      <c r="C5493" s="7" t="n"/>
      <c r="D5493" s="7" t="n"/>
      <c r="E5493" s="7" t="n"/>
      <c r="F5493" s="7" t="n"/>
      <c r="G5493" s="7" t="n"/>
      <c r="H5493" s="7" t="n"/>
      <c r="I5493" s="7" t="n"/>
      <c r="J5493" s="7" t="n"/>
      <c r="K5493">
        <f>IF(D5493="Legitimate Interest (GDPR Art. 6(1)(f))", "Yes / Required (Sheet 3)", "")</f>
        <v/>
      </c>
      <c r="L5493" s="7" t="n"/>
      <c r="M5493" s="7" t="n"/>
      <c r="N5493">
        <f>IF(D5493="", "Gap - No Legal Basis", IF(AND(D5493="Consent (GDPR Art. 6(1)(a))", I5493="Not Captured"), "Gap - Invalid Consent", IF(AND(D5493="Legitimate Interest (GDPR Art. 6(1)(f))", L5493=""), "Gap - Missing LIA", IF(AND(G5493="Yes", H5493=""), "Gap - Missing Art. 9 Basis", IF(OR(I5493="Invalid - Not Freely Given", I5493="Invalid - Not Specific", I5493="Invalid - Not Informed", I5493="Invalid - Ambiguous"), "Gap - Invalid Consent", "Compliant")))))</f>
        <v/>
      </c>
      <c r="O5493" s="7" t="n"/>
    </row>
    <row r="5494">
      <c r="A5494" s="7" t="n"/>
      <c r="B5494" s="7" t="n"/>
      <c r="C5494" s="7" t="n"/>
      <c r="D5494" s="7" t="n"/>
      <c r="E5494" s="7" t="n"/>
      <c r="F5494" s="7" t="n"/>
      <c r="G5494" s="7" t="n"/>
      <c r="H5494" s="7" t="n"/>
      <c r="I5494" s="7" t="n"/>
      <c r="J5494" s="7" t="n"/>
      <c r="K5494">
        <f>IF(D5494="Legitimate Interest (GDPR Art. 6(1)(f))", "Yes / Required (Sheet 3)", "")</f>
        <v/>
      </c>
      <c r="L5494" s="7" t="n"/>
      <c r="M5494" s="7" t="n"/>
      <c r="N5494">
        <f>IF(D5494="", "Gap - No Legal Basis", IF(AND(D5494="Consent (GDPR Art. 6(1)(a))", I5494="Not Captured"), "Gap - Invalid Consent", IF(AND(D5494="Legitimate Interest (GDPR Art. 6(1)(f))", L5494=""), "Gap - Missing LIA", IF(AND(G5494="Yes", H5494=""), "Gap - Missing Art. 9 Basis", IF(OR(I5494="Invalid - Not Freely Given", I5494="Invalid - Not Specific", I5494="Invalid - Not Informed", I5494="Invalid - Ambiguous"), "Gap - Invalid Consent", "Compliant")))))</f>
        <v/>
      </c>
      <c r="O5494" s="7" t="n"/>
    </row>
    <row r="5495">
      <c r="A5495" s="7" t="n"/>
      <c r="B5495" s="7" t="n"/>
      <c r="C5495" s="7" t="n"/>
      <c r="D5495" s="7" t="n"/>
      <c r="E5495" s="7" t="n"/>
      <c r="F5495" s="7" t="n"/>
      <c r="G5495" s="7" t="n"/>
      <c r="H5495" s="7" t="n"/>
      <c r="I5495" s="7" t="n"/>
      <c r="J5495" s="7" t="n"/>
      <c r="K5495">
        <f>IF(D5495="Legitimate Interest (GDPR Art. 6(1)(f))", "Yes / Required (Sheet 3)", "")</f>
        <v/>
      </c>
      <c r="L5495" s="7" t="n"/>
      <c r="M5495" s="7" t="n"/>
      <c r="N5495">
        <f>IF(D5495="", "Gap - No Legal Basis", IF(AND(D5495="Consent (GDPR Art. 6(1)(a))", I5495="Not Captured"), "Gap - Invalid Consent", IF(AND(D5495="Legitimate Interest (GDPR Art. 6(1)(f))", L5495=""), "Gap - Missing LIA", IF(AND(G5495="Yes", H5495=""), "Gap - Missing Art. 9 Basis", IF(OR(I5495="Invalid - Not Freely Given", I5495="Invalid - Not Specific", I5495="Invalid - Not Informed", I5495="Invalid - Ambiguous"), "Gap - Invalid Consent", "Compliant")))))</f>
        <v/>
      </c>
      <c r="O5495" s="7" t="n"/>
    </row>
    <row r="5496">
      <c r="A5496" s="7" t="n"/>
      <c r="B5496" s="7" t="n"/>
      <c r="C5496" s="7" t="n"/>
      <c r="D5496" s="7" t="n"/>
      <c r="E5496" s="7" t="n"/>
      <c r="F5496" s="7" t="n"/>
      <c r="G5496" s="7" t="n"/>
      <c r="H5496" s="7" t="n"/>
      <c r="I5496" s="7" t="n"/>
      <c r="J5496" s="7" t="n"/>
      <c r="K5496">
        <f>IF(D5496="Legitimate Interest (GDPR Art. 6(1)(f))", "Yes / Required (Sheet 3)", "")</f>
        <v/>
      </c>
      <c r="L5496" s="7" t="n"/>
      <c r="M5496" s="7" t="n"/>
      <c r="N5496">
        <f>IF(D5496="", "Gap - No Legal Basis", IF(AND(D5496="Consent (GDPR Art. 6(1)(a))", I5496="Not Captured"), "Gap - Invalid Consent", IF(AND(D5496="Legitimate Interest (GDPR Art. 6(1)(f))", L5496=""), "Gap - Missing LIA", IF(AND(G5496="Yes", H5496=""), "Gap - Missing Art. 9 Basis", IF(OR(I5496="Invalid - Not Freely Given", I5496="Invalid - Not Specific", I5496="Invalid - Not Informed", I5496="Invalid - Ambiguous"), "Gap - Invalid Consent", "Compliant")))))</f>
        <v/>
      </c>
      <c r="O5496" s="7" t="n"/>
    </row>
    <row r="5497">
      <c r="A5497" s="7" t="n"/>
      <c r="B5497" s="7" t="n"/>
      <c r="C5497" s="7" t="n"/>
      <c r="D5497" s="7" t="n"/>
      <c r="E5497" s="7" t="n"/>
      <c r="F5497" s="7" t="n"/>
      <c r="G5497" s="7" t="n"/>
      <c r="H5497" s="7" t="n"/>
      <c r="I5497" s="7" t="n"/>
      <c r="J5497" s="7" t="n"/>
      <c r="K5497">
        <f>IF(D5497="Legitimate Interest (GDPR Art. 6(1)(f))", "Yes / Required (Sheet 3)", "")</f>
        <v/>
      </c>
      <c r="L5497" s="7" t="n"/>
      <c r="M5497" s="7" t="n"/>
      <c r="N5497">
        <f>IF(D5497="", "Gap - No Legal Basis", IF(AND(D5497="Consent (GDPR Art. 6(1)(a))", I5497="Not Captured"), "Gap - Invalid Consent", IF(AND(D5497="Legitimate Interest (GDPR Art. 6(1)(f))", L5497=""), "Gap - Missing LIA", IF(AND(G5497="Yes", H5497=""), "Gap - Missing Art. 9 Basis", IF(OR(I5497="Invalid - Not Freely Given", I5497="Invalid - Not Specific", I5497="Invalid - Not Informed", I5497="Invalid - Ambiguous"), "Gap - Invalid Consent", "Compliant")))))</f>
        <v/>
      </c>
      <c r="O5497" s="7" t="n"/>
    </row>
    <row r="5498">
      <c r="A5498" s="7" t="n"/>
      <c r="B5498" s="7" t="n"/>
      <c r="C5498" s="7" t="n"/>
      <c r="D5498" s="7" t="n"/>
      <c r="E5498" s="7" t="n"/>
      <c r="F5498" s="7" t="n"/>
      <c r="G5498" s="7" t="n"/>
      <c r="H5498" s="7" t="n"/>
      <c r="I5498" s="7" t="n"/>
      <c r="J5498" s="7" t="n"/>
      <c r="K5498">
        <f>IF(D5498="Legitimate Interest (GDPR Art. 6(1)(f))", "Yes / Required (Sheet 3)", "")</f>
        <v/>
      </c>
      <c r="L5498" s="7" t="n"/>
      <c r="M5498" s="7" t="n"/>
      <c r="N5498">
        <f>IF(D5498="", "Gap - No Legal Basis", IF(AND(D5498="Consent (GDPR Art. 6(1)(a))", I5498="Not Captured"), "Gap - Invalid Consent", IF(AND(D5498="Legitimate Interest (GDPR Art. 6(1)(f))", L5498=""), "Gap - Missing LIA", IF(AND(G5498="Yes", H5498=""), "Gap - Missing Art. 9 Basis", IF(OR(I5498="Invalid - Not Freely Given", I5498="Invalid - Not Specific", I5498="Invalid - Not Informed", I5498="Invalid - Ambiguous"), "Gap - Invalid Consent", "Compliant")))))</f>
        <v/>
      </c>
      <c r="O5498" s="7" t="n"/>
    </row>
    <row r="5499">
      <c r="A5499" s="7" t="n"/>
      <c r="B5499" s="7" t="n"/>
      <c r="C5499" s="7" t="n"/>
      <c r="D5499" s="7" t="n"/>
      <c r="E5499" s="7" t="n"/>
      <c r="F5499" s="7" t="n"/>
      <c r="G5499" s="7" t="n"/>
      <c r="H5499" s="7" t="n"/>
      <c r="I5499" s="7" t="n"/>
      <c r="J5499" s="7" t="n"/>
      <c r="K5499">
        <f>IF(D5499="Legitimate Interest (GDPR Art. 6(1)(f))", "Yes / Required (Sheet 3)", "")</f>
        <v/>
      </c>
      <c r="L5499" s="7" t="n"/>
      <c r="M5499" s="7" t="n"/>
      <c r="N5499">
        <f>IF(D5499="", "Gap - No Legal Basis", IF(AND(D5499="Consent (GDPR Art. 6(1)(a))", I5499="Not Captured"), "Gap - Invalid Consent", IF(AND(D5499="Legitimate Interest (GDPR Art. 6(1)(f))", L5499=""), "Gap - Missing LIA", IF(AND(G5499="Yes", H5499=""), "Gap - Missing Art. 9 Basis", IF(OR(I5499="Invalid - Not Freely Given", I5499="Invalid - Not Specific", I5499="Invalid - Not Informed", I5499="Invalid - Ambiguous"), "Gap - Invalid Consent", "Compliant")))))</f>
        <v/>
      </c>
      <c r="O5499" s="7" t="n"/>
    </row>
    <row r="5500">
      <c r="A5500" s="7" t="n"/>
      <c r="B5500" s="7" t="n"/>
      <c r="C5500" s="7" t="n"/>
      <c r="D5500" s="7" t="n"/>
      <c r="E5500" s="7" t="n"/>
      <c r="F5500" s="7" t="n"/>
      <c r="G5500" s="7" t="n"/>
      <c r="H5500" s="7" t="n"/>
      <c r="I5500" s="7" t="n"/>
      <c r="J5500" s="7" t="n"/>
      <c r="K5500">
        <f>IF(D5500="Legitimate Interest (GDPR Art. 6(1)(f))", "Yes / Required (Sheet 3)", "")</f>
        <v/>
      </c>
      <c r="L5500" s="7" t="n"/>
      <c r="M5500" s="7" t="n"/>
      <c r="N5500">
        <f>IF(D5500="", "Gap - No Legal Basis", IF(AND(D5500="Consent (GDPR Art. 6(1)(a))", I5500="Not Captured"), "Gap - Invalid Consent", IF(AND(D5500="Legitimate Interest (GDPR Art. 6(1)(f))", L5500=""), "Gap - Missing LIA", IF(AND(G5500="Yes", H5500=""), "Gap - Missing Art. 9 Basis", IF(OR(I5500="Invalid - Not Freely Given", I5500="Invalid - Not Specific", I5500="Invalid - Not Informed", I5500="Invalid - Ambiguous"), "Gap - Invalid Consent", "Compliant")))))</f>
        <v/>
      </c>
      <c r="O5500" s="7" t="n"/>
    </row>
    <row r="5501">
      <c r="A5501" s="7" t="n"/>
      <c r="B5501" s="7" t="n"/>
      <c r="C5501" s="7" t="n"/>
      <c r="D5501" s="7" t="n"/>
      <c r="E5501" s="7" t="n"/>
      <c r="F5501" s="7" t="n"/>
      <c r="G5501" s="7" t="n"/>
      <c r="H5501" s="7" t="n"/>
      <c r="I5501" s="7" t="n"/>
      <c r="J5501" s="7" t="n"/>
      <c r="K5501">
        <f>IF(D5501="Legitimate Interest (GDPR Art. 6(1)(f))", "Yes / Required (Sheet 3)", "")</f>
        <v/>
      </c>
      <c r="L5501" s="7" t="n"/>
      <c r="M5501" s="7" t="n"/>
      <c r="N5501">
        <f>IF(D5501="", "Gap - No Legal Basis", IF(AND(D5501="Consent (GDPR Art. 6(1)(a))", I5501="Not Captured"), "Gap - Invalid Consent", IF(AND(D5501="Legitimate Interest (GDPR Art. 6(1)(f))", L5501=""), "Gap - Missing LIA", IF(AND(G5501="Yes", H5501=""), "Gap - Missing Art. 9 Basis", IF(OR(I5501="Invalid - Not Freely Given", I5501="Invalid - Not Specific", I5501="Invalid - Not Informed", I5501="Invalid - Ambiguous"), "Gap - Invalid Consent", "Compliant")))))</f>
        <v/>
      </c>
      <c r="O5501" s="7" t="n"/>
    </row>
    <row r="5502">
      <c r="A5502" s="7" t="n"/>
      <c r="B5502" s="7" t="n"/>
      <c r="C5502" s="7" t="n"/>
      <c r="D5502" s="7" t="n"/>
      <c r="E5502" s="7" t="n"/>
      <c r="F5502" s="7" t="n"/>
      <c r="G5502" s="7" t="n"/>
      <c r="H5502" s="7" t="n"/>
      <c r="I5502" s="7" t="n"/>
      <c r="J5502" s="7" t="n"/>
      <c r="K5502">
        <f>IF(D5502="Legitimate Interest (GDPR Art. 6(1)(f))", "Yes / Required (Sheet 3)", "")</f>
        <v/>
      </c>
      <c r="L5502" s="7" t="n"/>
      <c r="M5502" s="7" t="n"/>
      <c r="N5502">
        <f>IF(D5502="", "Gap - No Legal Basis", IF(AND(D5502="Consent (GDPR Art. 6(1)(a))", I5502="Not Captured"), "Gap - Invalid Consent", IF(AND(D5502="Legitimate Interest (GDPR Art. 6(1)(f))", L5502=""), "Gap - Missing LIA", IF(AND(G5502="Yes", H5502=""), "Gap - Missing Art. 9 Basis", IF(OR(I5502="Invalid - Not Freely Given", I5502="Invalid - Not Specific", I5502="Invalid - Not Informed", I5502="Invalid - Ambiguous"), "Gap - Invalid Consent", "Compliant")))))</f>
        <v/>
      </c>
      <c r="O5502" s="7" t="n"/>
    </row>
    <row r="5503">
      <c r="A5503" s="7" t="n"/>
      <c r="B5503" s="7" t="n"/>
      <c r="C5503" s="7" t="n"/>
      <c r="D5503" s="7" t="n"/>
      <c r="E5503" s="7" t="n"/>
      <c r="F5503" s="7" t="n"/>
      <c r="G5503" s="7" t="n"/>
      <c r="H5503" s="7" t="n"/>
      <c r="I5503" s="7" t="n"/>
      <c r="J5503" s="7" t="n"/>
      <c r="K5503">
        <f>IF(D5503="Legitimate Interest (GDPR Art. 6(1)(f))", "Yes / Required (Sheet 3)", "")</f>
        <v/>
      </c>
      <c r="L5503" s="7" t="n"/>
      <c r="M5503" s="7" t="n"/>
      <c r="N5503">
        <f>IF(D5503="", "Gap - No Legal Basis", IF(AND(D5503="Consent (GDPR Art. 6(1)(a))", I5503="Not Captured"), "Gap - Invalid Consent", IF(AND(D5503="Legitimate Interest (GDPR Art. 6(1)(f))", L5503=""), "Gap - Missing LIA", IF(AND(G5503="Yes", H5503=""), "Gap - Missing Art. 9 Basis", IF(OR(I5503="Invalid - Not Freely Given", I5503="Invalid - Not Specific", I5503="Invalid - Not Informed", I5503="Invalid - Ambiguous"), "Gap - Invalid Consent", "Compliant")))))</f>
        <v/>
      </c>
      <c r="O5503" s="7" t="n"/>
    </row>
    <row r="5504">
      <c r="A5504" s="7" t="n"/>
      <c r="B5504" s="7" t="n"/>
      <c r="C5504" s="7" t="n"/>
      <c r="D5504" s="7" t="n"/>
      <c r="E5504" s="7" t="n"/>
      <c r="F5504" s="7" t="n"/>
      <c r="G5504" s="7" t="n"/>
      <c r="H5504" s="7" t="n"/>
      <c r="I5504" s="7" t="n"/>
      <c r="J5504" s="7" t="n"/>
      <c r="K5504">
        <f>IF(D5504="Legitimate Interest (GDPR Art. 6(1)(f))", "Yes / Required (Sheet 3)", "")</f>
        <v/>
      </c>
      <c r="L5504" s="7" t="n"/>
      <c r="M5504" s="7" t="n"/>
      <c r="N5504">
        <f>IF(D5504="", "Gap - No Legal Basis", IF(AND(D5504="Consent (GDPR Art. 6(1)(a))", I5504="Not Captured"), "Gap - Invalid Consent", IF(AND(D5504="Legitimate Interest (GDPR Art. 6(1)(f))", L5504=""), "Gap - Missing LIA", IF(AND(G5504="Yes", H5504=""), "Gap - Missing Art. 9 Basis", IF(OR(I5504="Invalid - Not Freely Given", I5504="Invalid - Not Specific", I5504="Invalid - Not Informed", I5504="Invalid - Ambiguous"), "Gap - Invalid Consent", "Compliant")))))</f>
        <v/>
      </c>
      <c r="O5504" s="7" t="n"/>
    </row>
    <row r="5505">
      <c r="A5505" s="7" t="n"/>
      <c r="B5505" s="7" t="n"/>
      <c r="C5505" s="7" t="n"/>
      <c r="D5505" s="7" t="n"/>
      <c r="E5505" s="7" t="n"/>
      <c r="F5505" s="7" t="n"/>
      <c r="G5505" s="7" t="n"/>
      <c r="H5505" s="7" t="n"/>
      <c r="I5505" s="7" t="n"/>
      <c r="J5505" s="7" t="n"/>
      <c r="K5505">
        <f>IF(D5505="Legitimate Interest (GDPR Art. 6(1)(f))", "Yes / Required (Sheet 3)", "")</f>
        <v/>
      </c>
      <c r="L5505" s="7" t="n"/>
      <c r="M5505" s="7" t="n"/>
      <c r="N5505">
        <f>IF(D5505="", "Gap - No Legal Basis", IF(AND(D5505="Consent (GDPR Art. 6(1)(a))", I5505="Not Captured"), "Gap - Invalid Consent", IF(AND(D5505="Legitimate Interest (GDPR Art. 6(1)(f))", L5505=""), "Gap - Missing LIA", IF(AND(G5505="Yes", H5505=""), "Gap - Missing Art. 9 Basis", IF(OR(I5505="Invalid - Not Freely Given", I5505="Invalid - Not Specific", I5505="Invalid - Not Informed", I5505="Invalid - Ambiguous"), "Gap - Invalid Consent", "Compliant")))))</f>
        <v/>
      </c>
      <c r="O5505" s="7" t="n"/>
    </row>
    <row r="5506">
      <c r="A5506" s="7" t="n"/>
      <c r="B5506" s="7" t="n"/>
      <c r="C5506" s="7" t="n"/>
      <c r="D5506" s="7" t="n"/>
      <c r="E5506" s="7" t="n"/>
      <c r="F5506" s="7" t="n"/>
      <c r="G5506" s="7" t="n"/>
      <c r="H5506" s="7" t="n"/>
      <c r="I5506" s="7" t="n"/>
      <c r="J5506" s="7" t="n"/>
      <c r="K5506">
        <f>IF(D5506="Legitimate Interest (GDPR Art. 6(1)(f))", "Yes / Required (Sheet 3)", "")</f>
        <v/>
      </c>
      <c r="L5506" s="7" t="n"/>
      <c r="M5506" s="7" t="n"/>
      <c r="N5506">
        <f>IF(D5506="", "Gap - No Legal Basis", IF(AND(D5506="Consent (GDPR Art. 6(1)(a))", I5506="Not Captured"), "Gap - Invalid Consent", IF(AND(D5506="Legitimate Interest (GDPR Art. 6(1)(f))", L5506=""), "Gap - Missing LIA", IF(AND(G5506="Yes", H5506=""), "Gap - Missing Art. 9 Basis", IF(OR(I5506="Invalid - Not Freely Given", I5506="Invalid - Not Specific", I5506="Invalid - Not Informed", I5506="Invalid - Ambiguous"), "Gap - Invalid Consent", "Compliant")))))</f>
        <v/>
      </c>
      <c r="O5506" s="7" t="n"/>
    </row>
    <row r="5507">
      <c r="A5507" s="7" t="n"/>
      <c r="B5507" s="7" t="n"/>
      <c r="C5507" s="7" t="n"/>
      <c r="D5507" s="7" t="n"/>
      <c r="E5507" s="7" t="n"/>
      <c r="F5507" s="7" t="n"/>
      <c r="G5507" s="7" t="n"/>
      <c r="H5507" s="7" t="n"/>
      <c r="I5507" s="7" t="n"/>
      <c r="J5507" s="7" t="n"/>
      <c r="K5507">
        <f>IF(D5507="Legitimate Interest (GDPR Art. 6(1)(f))", "Yes / Required (Sheet 3)", "")</f>
        <v/>
      </c>
      <c r="L5507" s="7" t="n"/>
      <c r="M5507" s="7" t="n"/>
      <c r="N5507">
        <f>IF(D5507="", "Gap - No Legal Basis", IF(AND(D5507="Consent (GDPR Art. 6(1)(a))", I5507="Not Captured"), "Gap - Invalid Consent", IF(AND(D5507="Legitimate Interest (GDPR Art. 6(1)(f))", L5507=""), "Gap - Missing LIA", IF(AND(G5507="Yes", H5507=""), "Gap - Missing Art. 9 Basis", IF(OR(I5507="Invalid - Not Freely Given", I5507="Invalid - Not Specific", I5507="Invalid - Not Informed", I5507="Invalid - Ambiguous"), "Gap - Invalid Consent", "Compliant")))))</f>
        <v/>
      </c>
      <c r="O5507" s="7" t="n"/>
    </row>
    <row r="5508">
      <c r="A5508" s="7" t="n"/>
      <c r="B5508" s="7" t="n"/>
      <c r="C5508" s="7" t="n"/>
      <c r="D5508" s="7" t="n"/>
      <c r="E5508" s="7" t="n"/>
      <c r="F5508" s="7" t="n"/>
      <c r="G5508" s="7" t="n"/>
      <c r="H5508" s="7" t="n"/>
      <c r="I5508" s="7" t="n"/>
      <c r="J5508" s="7" t="n"/>
      <c r="K5508">
        <f>IF(D5508="Legitimate Interest (GDPR Art. 6(1)(f))", "Yes / Required (Sheet 3)", "")</f>
        <v/>
      </c>
      <c r="L5508" s="7" t="n"/>
      <c r="M5508" s="7" t="n"/>
      <c r="N5508">
        <f>IF(D5508="", "Gap - No Legal Basis", IF(AND(D5508="Consent (GDPR Art. 6(1)(a))", I5508="Not Captured"), "Gap - Invalid Consent", IF(AND(D5508="Legitimate Interest (GDPR Art. 6(1)(f))", L5508=""), "Gap - Missing LIA", IF(AND(G5508="Yes", H5508=""), "Gap - Missing Art. 9 Basis", IF(OR(I5508="Invalid - Not Freely Given", I5508="Invalid - Not Specific", I5508="Invalid - Not Informed", I5508="Invalid - Ambiguous"), "Gap - Invalid Consent", "Compliant")))))</f>
        <v/>
      </c>
      <c r="O5508" s="7" t="n"/>
    </row>
    <row r="5509">
      <c r="A5509" s="7" t="n"/>
      <c r="B5509" s="7" t="n"/>
      <c r="C5509" s="7" t="n"/>
      <c r="D5509" s="7" t="n"/>
      <c r="E5509" s="7" t="n"/>
      <c r="F5509" s="7" t="n"/>
      <c r="G5509" s="7" t="n"/>
      <c r="H5509" s="7" t="n"/>
      <c r="I5509" s="7" t="n"/>
      <c r="J5509" s="7" t="n"/>
      <c r="K5509">
        <f>IF(D5509="Legitimate Interest (GDPR Art. 6(1)(f))", "Yes / Required (Sheet 3)", "")</f>
        <v/>
      </c>
      <c r="L5509" s="7" t="n"/>
      <c r="M5509" s="7" t="n"/>
      <c r="N5509">
        <f>IF(D5509="", "Gap - No Legal Basis", IF(AND(D5509="Consent (GDPR Art. 6(1)(a))", I5509="Not Captured"), "Gap - Invalid Consent", IF(AND(D5509="Legitimate Interest (GDPR Art. 6(1)(f))", L5509=""), "Gap - Missing LIA", IF(AND(G5509="Yes", H5509=""), "Gap - Missing Art. 9 Basis", IF(OR(I5509="Invalid - Not Freely Given", I5509="Invalid - Not Specific", I5509="Invalid - Not Informed", I5509="Invalid - Ambiguous"), "Gap - Invalid Consent", "Compliant")))))</f>
        <v/>
      </c>
      <c r="O5509" s="7" t="n"/>
    </row>
    <row r="5510">
      <c r="A5510" s="7" t="n"/>
      <c r="B5510" s="7" t="n"/>
      <c r="C5510" s="7" t="n"/>
      <c r="D5510" s="7" t="n"/>
      <c r="E5510" s="7" t="n"/>
      <c r="F5510" s="7" t="n"/>
      <c r="G5510" s="7" t="n"/>
      <c r="H5510" s="7" t="n"/>
      <c r="I5510" s="7" t="n"/>
      <c r="J5510" s="7" t="n"/>
      <c r="K5510">
        <f>IF(D5510="Legitimate Interest (GDPR Art. 6(1)(f))", "Yes / Required (Sheet 3)", "")</f>
        <v/>
      </c>
      <c r="L5510" s="7" t="n"/>
      <c r="M5510" s="7" t="n"/>
      <c r="N5510">
        <f>IF(D5510="", "Gap - No Legal Basis", IF(AND(D5510="Consent (GDPR Art. 6(1)(a))", I5510="Not Captured"), "Gap - Invalid Consent", IF(AND(D5510="Legitimate Interest (GDPR Art. 6(1)(f))", L5510=""), "Gap - Missing LIA", IF(AND(G5510="Yes", H5510=""), "Gap - Missing Art. 9 Basis", IF(OR(I5510="Invalid - Not Freely Given", I5510="Invalid - Not Specific", I5510="Invalid - Not Informed", I5510="Invalid - Ambiguous"), "Gap - Invalid Consent", "Compliant")))))</f>
        <v/>
      </c>
      <c r="O5510" s="7" t="n"/>
    </row>
    <row r="5511">
      <c r="A5511" s="7" t="n"/>
      <c r="B5511" s="7" t="n"/>
      <c r="C5511" s="7" t="n"/>
      <c r="D5511" s="7" t="n"/>
      <c r="E5511" s="7" t="n"/>
      <c r="F5511" s="7" t="n"/>
      <c r="G5511" s="7" t="n"/>
      <c r="H5511" s="7" t="n"/>
      <c r="I5511" s="7" t="n"/>
      <c r="J5511" s="7" t="n"/>
      <c r="K5511">
        <f>IF(D5511="Legitimate Interest (GDPR Art. 6(1)(f))", "Yes / Required (Sheet 3)", "")</f>
        <v/>
      </c>
      <c r="L5511" s="7" t="n"/>
      <c r="M5511" s="7" t="n"/>
      <c r="N5511">
        <f>IF(D5511="", "Gap - No Legal Basis", IF(AND(D5511="Consent (GDPR Art. 6(1)(a))", I5511="Not Captured"), "Gap - Invalid Consent", IF(AND(D5511="Legitimate Interest (GDPR Art. 6(1)(f))", L5511=""), "Gap - Missing LIA", IF(AND(G5511="Yes", H5511=""), "Gap - Missing Art. 9 Basis", IF(OR(I5511="Invalid - Not Freely Given", I5511="Invalid - Not Specific", I5511="Invalid - Not Informed", I5511="Invalid - Ambiguous"), "Gap - Invalid Consent", "Compliant")))))</f>
        <v/>
      </c>
      <c r="O5511" s="7" t="n"/>
    </row>
    <row r="5512">
      <c r="A5512" s="7" t="n"/>
      <c r="B5512" s="7" t="n"/>
      <c r="C5512" s="7" t="n"/>
      <c r="D5512" s="7" t="n"/>
      <c r="E5512" s="7" t="n"/>
      <c r="F5512" s="7" t="n"/>
      <c r="G5512" s="7" t="n"/>
      <c r="H5512" s="7" t="n"/>
      <c r="I5512" s="7" t="n"/>
      <c r="J5512" s="7" t="n"/>
      <c r="K5512">
        <f>IF(D5512="Legitimate Interest (GDPR Art. 6(1)(f))", "Yes / Required (Sheet 3)", "")</f>
        <v/>
      </c>
      <c r="L5512" s="7" t="n"/>
      <c r="M5512" s="7" t="n"/>
      <c r="N5512">
        <f>IF(D5512="", "Gap - No Legal Basis", IF(AND(D5512="Consent (GDPR Art. 6(1)(a))", I5512="Not Captured"), "Gap - Invalid Consent", IF(AND(D5512="Legitimate Interest (GDPR Art. 6(1)(f))", L5512=""), "Gap - Missing LIA", IF(AND(G5512="Yes", H5512=""), "Gap - Missing Art. 9 Basis", IF(OR(I5512="Invalid - Not Freely Given", I5512="Invalid - Not Specific", I5512="Invalid - Not Informed", I5512="Invalid - Ambiguous"), "Gap - Invalid Consent", "Compliant")))))</f>
        <v/>
      </c>
      <c r="O5512" s="7" t="n"/>
    </row>
    <row r="5513">
      <c r="A5513" s="7" t="n"/>
      <c r="B5513" s="7" t="n"/>
      <c r="C5513" s="7" t="n"/>
      <c r="D5513" s="7" t="n"/>
      <c r="E5513" s="7" t="n"/>
      <c r="F5513" s="7" t="n"/>
      <c r="G5513" s="7" t="n"/>
      <c r="H5513" s="7" t="n"/>
      <c r="I5513" s="7" t="n"/>
      <c r="J5513" s="7" t="n"/>
      <c r="K5513">
        <f>IF(D5513="Legitimate Interest (GDPR Art. 6(1)(f))", "Yes / Required (Sheet 3)", "")</f>
        <v/>
      </c>
      <c r="L5513" s="7" t="n"/>
      <c r="M5513" s="7" t="n"/>
      <c r="N5513">
        <f>IF(D5513="", "Gap - No Legal Basis", IF(AND(D5513="Consent (GDPR Art. 6(1)(a))", I5513="Not Captured"), "Gap - Invalid Consent", IF(AND(D5513="Legitimate Interest (GDPR Art. 6(1)(f))", L5513=""), "Gap - Missing LIA", IF(AND(G5513="Yes", H5513=""), "Gap - Missing Art. 9 Basis", IF(OR(I5513="Invalid - Not Freely Given", I5513="Invalid - Not Specific", I5513="Invalid - Not Informed", I5513="Invalid - Ambiguous"), "Gap - Invalid Consent", "Compliant")))))</f>
        <v/>
      </c>
      <c r="O5513" s="7" t="n"/>
    </row>
    <row r="5514">
      <c r="A5514" s="7" t="n"/>
      <c r="B5514" s="7" t="n"/>
      <c r="C5514" s="7" t="n"/>
      <c r="D5514" s="7" t="n"/>
      <c r="E5514" s="7" t="n"/>
      <c r="F5514" s="7" t="n"/>
      <c r="G5514" s="7" t="n"/>
      <c r="H5514" s="7" t="n"/>
      <c r="I5514" s="7" t="n"/>
      <c r="J5514" s="7" t="n"/>
      <c r="K5514">
        <f>IF(D5514="Legitimate Interest (GDPR Art. 6(1)(f))", "Yes / Required (Sheet 3)", "")</f>
        <v/>
      </c>
      <c r="L5514" s="7" t="n"/>
      <c r="M5514" s="7" t="n"/>
      <c r="N5514">
        <f>IF(D5514="", "Gap - No Legal Basis", IF(AND(D5514="Consent (GDPR Art. 6(1)(a))", I5514="Not Captured"), "Gap - Invalid Consent", IF(AND(D5514="Legitimate Interest (GDPR Art. 6(1)(f))", L5514=""), "Gap - Missing LIA", IF(AND(G5514="Yes", H5514=""), "Gap - Missing Art. 9 Basis", IF(OR(I5514="Invalid - Not Freely Given", I5514="Invalid - Not Specific", I5514="Invalid - Not Informed", I5514="Invalid - Ambiguous"), "Gap - Invalid Consent", "Compliant")))))</f>
        <v/>
      </c>
      <c r="O5514" s="7" t="n"/>
    </row>
    <row r="5515">
      <c r="A5515" s="7" t="n"/>
      <c r="B5515" s="7" t="n"/>
      <c r="C5515" s="7" t="n"/>
      <c r="D5515" s="7" t="n"/>
      <c r="E5515" s="7" t="n"/>
      <c r="F5515" s="7" t="n"/>
      <c r="G5515" s="7" t="n"/>
      <c r="H5515" s="7" t="n"/>
      <c r="I5515" s="7" t="n"/>
      <c r="J5515" s="7" t="n"/>
      <c r="K5515">
        <f>IF(D5515="Legitimate Interest (GDPR Art. 6(1)(f))", "Yes / Required (Sheet 3)", "")</f>
        <v/>
      </c>
      <c r="L5515" s="7" t="n"/>
      <c r="M5515" s="7" t="n"/>
      <c r="N5515">
        <f>IF(D5515="", "Gap - No Legal Basis", IF(AND(D5515="Consent (GDPR Art. 6(1)(a))", I5515="Not Captured"), "Gap - Invalid Consent", IF(AND(D5515="Legitimate Interest (GDPR Art. 6(1)(f))", L5515=""), "Gap - Missing LIA", IF(AND(G5515="Yes", H5515=""), "Gap - Missing Art. 9 Basis", IF(OR(I5515="Invalid - Not Freely Given", I5515="Invalid - Not Specific", I5515="Invalid - Not Informed", I5515="Invalid - Ambiguous"), "Gap - Invalid Consent", "Compliant")))))</f>
        <v/>
      </c>
      <c r="O5515" s="7" t="n"/>
    </row>
    <row r="5516">
      <c r="A5516" s="7" t="n"/>
      <c r="B5516" s="7" t="n"/>
      <c r="C5516" s="7" t="n"/>
      <c r="D5516" s="7" t="n"/>
      <c r="E5516" s="7" t="n"/>
      <c r="F5516" s="7" t="n"/>
      <c r="G5516" s="7" t="n"/>
      <c r="H5516" s="7" t="n"/>
      <c r="I5516" s="7" t="n"/>
      <c r="J5516" s="7" t="n"/>
      <c r="K5516">
        <f>IF(D5516="Legitimate Interest (GDPR Art. 6(1)(f))", "Yes / Required (Sheet 3)", "")</f>
        <v/>
      </c>
      <c r="L5516" s="7" t="n"/>
      <c r="M5516" s="7" t="n"/>
      <c r="N5516">
        <f>IF(D5516="", "Gap - No Legal Basis", IF(AND(D5516="Consent (GDPR Art. 6(1)(a))", I5516="Not Captured"), "Gap - Invalid Consent", IF(AND(D5516="Legitimate Interest (GDPR Art. 6(1)(f))", L5516=""), "Gap - Missing LIA", IF(AND(G5516="Yes", H5516=""), "Gap - Missing Art. 9 Basis", IF(OR(I5516="Invalid - Not Freely Given", I5516="Invalid - Not Specific", I5516="Invalid - Not Informed", I5516="Invalid - Ambiguous"), "Gap - Invalid Consent", "Compliant")))))</f>
        <v/>
      </c>
      <c r="O5516" s="7" t="n"/>
    </row>
    <row r="5517">
      <c r="A5517" s="7" t="n"/>
      <c r="B5517" s="7" t="n"/>
      <c r="C5517" s="7" t="n"/>
      <c r="D5517" s="7" t="n"/>
      <c r="E5517" s="7" t="n"/>
      <c r="F5517" s="7" t="n"/>
      <c r="G5517" s="7" t="n"/>
      <c r="H5517" s="7" t="n"/>
      <c r="I5517" s="7" t="n"/>
      <c r="J5517" s="7" t="n"/>
      <c r="K5517">
        <f>IF(D5517="Legitimate Interest (GDPR Art. 6(1)(f))", "Yes / Required (Sheet 3)", "")</f>
        <v/>
      </c>
      <c r="L5517" s="7" t="n"/>
      <c r="M5517" s="7" t="n"/>
      <c r="N5517">
        <f>IF(D5517="", "Gap - No Legal Basis", IF(AND(D5517="Consent (GDPR Art. 6(1)(a))", I5517="Not Captured"), "Gap - Invalid Consent", IF(AND(D5517="Legitimate Interest (GDPR Art. 6(1)(f))", L5517=""), "Gap - Missing LIA", IF(AND(G5517="Yes", H5517=""), "Gap - Missing Art. 9 Basis", IF(OR(I5517="Invalid - Not Freely Given", I5517="Invalid - Not Specific", I5517="Invalid - Not Informed", I5517="Invalid - Ambiguous"), "Gap - Invalid Consent", "Compliant")))))</f>
        <v/>
      </c>
      <c r="O5517" s="7" t="n"/>
    </row>
    <row r="5518">
      <c r="A5518" s="7" t="n"/>
      <c r="B5518" s="7" t="n"/>
      <c r="C5518" s="7" t="n"/>
      <c r="D5518" s="7" t="n"/>
      <c r="E5518" s="7" t="n"/>
      <c r="F5518" s="7" t="n"/>
      <c r="G5518" s="7" t="n"/>
      <c r="H5518" s="7" t="n"/>
      <c r="I5518" s="7" t="n"/>
      <c r="J5518" s="7" t="n"/>
      <c r="K5518">
        <f>IF(D5518="Legitimate Interest (GDPR Art. 6(1)(f))", "Yes / Required (Sheet 3)", "")</f>
        <v/>
      </c>
      <c r="L5518" s="7" t="n"/>
      <c r="M5518" s="7" t="n"/>
      <c r="N5518">
        <f>IF(D5518="", "Gap - No Legal Basis", IF(AND(D5518="Consent (GDPR Art. 6(1)(a))", I5518="Not Captured"), "Gap - Invalid Consent", IF(AND(D5518="Legitimate Interest (GDPR Art. 6(1)(f))", L5518=""), "Gap - Missing LIA", IF(AND(G5518="Yes", H5518=""), "Gap - Missing Art. 9 Basis", IF(OR(I5518="Invalid - Not Freely Given", I5518="Invalid - Not Specific", I5518="Invalid - Not Informed", I5518="Invalid - Ambiguous"), "Gap - Invalid Consent", "Compliant")))))</f>
        <v/>
      </c>
      <c r="O5518" s="7" t="n"/>
    </row>
    <row r="5519">
      <c r="A5519" s="7" t="n"/>
      <c r="B5519" s="7" t="n"/>
      <c r="C5519" s="7" t="n"/>
      <c r="D5519" s="7" t="n"/>
      <c r="E5519" s="7" t="n"/>
      <c r="F5519" s="7" t="n"/>
      <c r="G5519" s="7" t="n"/>
      <c r="H5519" s="7" t="n"/>
      <c r="I5519" s="7" t="n"/>
      <c r="J5519" s="7" t="n"/>
      <c r="K5519">
        <f>IF(D5519="Legitimate Interest (GDPR Art. 6(1)(f))", "Yes / Required (Sheet 3)", "")</f>
        <v/>
      </c>
      <c r="L5519" s="7" t="n"/>
      <c r="M5519" s="7" t="n"/>
      <c r="N5519">
        <f>IF(D5519="", "Gap - No Legal Basis", IF(AND(D5519="Consent (GDPR Art. 6(1)(a))", I5519="Not Captured"), "Gap - Invalid Consent", IF(AND(D5519="Legitimate Interest (GDPR Art. 6(1)(f))", L5519=""), "Gap - Missing LIA", IF(AND(G5519="Yes", H5519=""), "Gap - Missing Art. 9 Basis", IF(OR(I5519="Invalid - Not Freely Given", I5519="Invalid - Not Specific", I5519="Invalid - Not Informed", I5519="Invalid - Ambiguous"), "Gap - Invalid Consent", "Compliant")))))</f>
        <v/>
      </c>
      <c r="O5519" s="7" t="n"/>
    </row>
    <row r="5520">
      <c r="A5520" s="7" t="n"/>
      <c r="B5520" s="7" t="n"/>
      <c r="C5520" s="7" t="n"/>
      <c r="D5520" s="7" t="n"/>
      <c r="E5520" s="7" t="n"/>
      <c r="F5520" s="7" t="n"/>
      <c r="G5520" s="7" t="n"/>
      <c r="H5520" s="7" t="n"/>
      <c r="I5520" s="7" t="n"/>
      <c r="J5520" s="7" t="n"/>
      <c r="K5520">
        <f>IF(D5520="Legitimate Interest (GDPR Art. 6(1)(f))", "Yes / Required (Sheet 3)", "")</f>
        <v/>
      </c>
      <c r="L5520" s="7" t="n"/>
      <c r="M5520" s="7" t="n"/>
      <c r="N5520">
        <f>IF(D5520="", "Gap - No Legal Basis", IF(AND(D5520="Consent (GDPR Art. 6(1)(a))", I5520="Not Captured"), "Gap - Invalid Consent", IF(AND(D5520="Legitimate Interest (GDPR Art. 6(1)(f))", L5520=""), "Gap - Missing LIA", IF(AND(G5520="Yes", H5520=""), "Gap - Missing Art. 9 Basis", IF(OR(I5520="Invalid - Not Freely Given", I5520="Invalid - Not Specific", I5520="Invalid - Not Informed", I5520="Invalid - Ambiguous"), "Gap - Invalid Consent", "Compliant")))))</f>
        <v/>
      </c>
      <c r="O5520" s="7" t="n"/>
    </row>
    <row r="5521">
      <c r="A5521" s="7" t="n"/>
      <c r="B5521" s="7" t="n"/>
      <c r="C5521" s="7" t="n"/>
      <c r="D5521" s="7" t="n"/>
      <c r="E5521" s="7" t="n"/>
      <c r="F5521" s="7" t="n"/>
      <c r="G5521" s="7" t="n"/>
      <c r="H5521" s="7" t="n"/>
      <c r="I5521" s="7" t="n"/>
      <c r="J5521" s="7" t="n"/>
      <c r="K5521">
        <f>IF(D5521="Legitimate Interest (GDPR Art. 6(1)(f))", "Yes / Required (Sheet 3)", "")</f>
        <v/>
      </c>
      <c r="L5521" s="7" t="n"/>
      <c r="M5521" s="7" t="n"/>
      <c r="N5521">
        <f>IF(D5521="", "Gap - No Legal Basis", IF(AND(D5521="Consent (GDPR Art. 6(1)(a))", I5521="Not Captured"), "Gap - Invalid Consent", IF(AND(D5521="Legitimate Interest (GDPR Art. 6(1)(f))", L5521=""), "Gap - Missing LIA", IF(AND(G5521="Yes", H5521=""), "Gap - Missing Art. 9 Basis", IF(OR(I5521="Invalid - Not Freely Given", I5521="Invalid - Not Specific", I5521="Invalid - Not Informed", I5521="Invalid - Ambiguous"), "Gap - Invalid Consent", "Compliant")))))</f>
        <v/>
      </c>
      <c r="O5521" s="7" t="n"/>
    </row>
    <row r="5522">
      <c r="A5522" s="7" t="n"/>
      <c r="B5522" s="7" t="n"/>
      <c r="C5522" s="7" t="n"/>
      <c r="D5522" s="7" t="n"/>
      <c r="E5522" s="7" t="n"/>
      <c r="F5522" s="7" t="n"/>
      <c r="G5522" s="7" t="n"/>
      <c r="H5522" s="7" t="n"/>
      <c r="I5522" s="7" t="n"/>
      <c r="J5522" s="7" t="n"/>
      <c r="K5522">
        <f>IF(D5522="Legitimate Interest (GDPR Art. 6(1)(f))", "Yes / Required (Sheet 3)", "")</f>
        <v/>
      </c>
      <c r="L5522" s="7" t="n"/>
      <c r="M5522" s="7" t="n"/>
      <c r="N5522">
        <f>IF(D5522="", "Gap - No Legal Basis", IF(AND(D5522="Consent (GDPR Art. 6(1)(a))", I5522="Not Captured"), "Gap - Invalid Consent", IF(AND(D5522="Legitimate Interest (GDPR Art. 6(1)(f))", L5522=""), "Gap - Missing LIA", IF(AND(G5522="Yes", H5522=""), "Gap - Missing Art. 9 Basis", IF(OR(I5522="Invalid - Not Freely Given", I5522="Invalid - Not Specific", I5522="Invalid - Not Informed", I5522="Invalid - Ambiguous"), "Gap - Invalid Consent", "Compliant")))))</f>
        <v/>
      </c>
      <c r="O5522" s="7" t="n"/>
    </row>
    <row r="5523">
      <c r="A5523" s="7" t="n"/>
      <c r="B5523" s="7" t="n"/>
      <c r="C5523" s="7" t="n"/>
      <c r="D5523" s="7" t="n"/>
      <c r="E5523" s="7" t="n"/>
      <c r="F5523" s="7" t="n"/>
      <c r="G5523" s="7" t="n"/>
      <c r="H5523" s="7" t="n"/>
      <c r="I5523" s="7" t="n"/>
      <c r="J5523" s="7" t="n"/>
      <c r="K5523">
        <f>IF(D5523="Legitimate Interest (GDPR Art. 6(1)(f))", "Yes / Required (Sheet 3)", "")</f>
        <v/>
      </c>
      <c r="L5523" s="7" t="n"/>
      <c r="M5523" s="7" t="n"/>
      <c r="N5523">
        <f>IF(D5523="", "Gap - No Legal Basis", IF(AND(D5523="Consent (GDPR Art. 6(1)(a))", I5523="Not Captured"), "Gap - Invalid Consent", IF(AND(D5523="Legitimate Interest (GDPR Art. 6(1)(f))", L5523=""), "Gap - Missing LIA", IF(AND(G5523="Yes", H5523=""), "Gap - Missing Art. 9 Basis", IF(OR(I5523="Invalid - Not Freely Given", I5523="Invalid - Not Specific", I5523="Invalid - Not Informed", I5523="Invalid - Ambiguous"), "Gap - Invalid Consent", "Compliant")))))</f>
        <v/>
      </c>
      <c r="O5523" s="7" t="n"/>
    </row>
    <row r="5524">
      <c r="A5524" s="7" t="n"/>
      <c r="B5524" s="7" t="n"/>
      <c r="C5524" s="7" t="n"/>
      <c r="D5524" s="7" t="n"/>
      <c r="E5524" s="7" t="n"/>
      <c r="F5524" s="7" t="n"/>
      <c r="G5524" s="7" t="n"/>
      <c r="H5524" s="7" t="n"/>
      <c r="I5524" s="7" t="n"/>
      <c r="J5524" s="7" t="n"/>
      <c r="K5524">
        <f>IF(D5524="Legitimate Interest (GDPR Art. 6(1)(f))", "Yes / Required (Sheet 3)", "")</f>
        <v/>
      </c>
      <c r="L5524" s="7" t="n"/>
      <c r="M5524" s="7" t="n"/>
      <c r="N5524">
        <f>IF(D5524="", "Gap - No Legal Basis", IF(AND(D5524="Consent (GDPR Art. 6(1)(a))", I5524="Not Captured"), "Gap - Invalid Consent", IF(AND(D5524="Legitimate Interest (GDPR Art. 6(1)(f))", L5524=""), "Gap - Missing LIA", IF(AND(G5524="Yes", H5524=""), "Gap - Missing Art. 9 Basis", IF(OR(I5524="Invalid - Not Freely Given", I5524="Invalid - Not Specific", I5524="Invalid - Not Informed", I5524="Invalid - Ambiguous"), "Gap - Invalid Consent", "Compliant")))))</f>
        <v/>
      </c>
      <c r="O5524" s="7" t="n"/>
    </row>
    <row r="5525">
      <c r="A5525" s="7" t="n"/>
      <c r="B5525" s="7" t="n"/>
      <c r="C5525" s="7" t="n"/>
      <c r="D5525" s="7" t="n"/>
      <c r="E5525" s="7" t="n"/>
      <c r="F5525" s="7" t="n"/>
      <c r="G5525" s="7" t="n"/>
      <c r="H5525" s="7" t="n"/>
      <c r="I5525" s="7" t="n"/>
      <c r="J5525" s="7" t="n"/>
      <c r="K5525">
        <f>IF(D5525="Legitimate Interest (GDPR Art. 6(1)(f))", "Yes / Required (Sheet 3)", "")</f>
        <v/>
      </c>
      <c r="L5525" s="7" t="n"/>
      <c r="M5525" s="7" t="n"/>
      <c r="N5525">
        <f>IF(D5525="", "Gap - No Legal Basis", IF(AND(D5525="Consent (GDPR Art. 6(1)(a))", I5525="Not Captured"), "Gap - Invalid Consent", IF(AND(D5525="Legitimate Interest (GDPR Art. 6(1)(f))", L5525=""), "Gap - Missing LIA", IF(AND(G5525="Yes", H5525=""), "Gap - Missing Art. 9 Basis", IF(OR(I5525="Invalid - Not Freely Given", I5525="Invalid - Not Specific", I5525="Invalid - Not Informed", I5525="Invalid - Ambiguous"), "Gap - Invalid Consent", "Compliant")))))</f>
        <v/>
      </c>
      <c r="O5525" s="7" t="n"/>
    </row>
    <row r="5526">
      <c r="A5526" s="7" t="n"/>
      <c r="B5526" s="7" t="n"/>
      <c r="C5526" s="7" t="n"/>
      <c r="D5526" s="7" t="n"/>
      <c r="E5526" s="7" t="n"/>
      <c r="F5526" s="7" t="n"/>
      <c r="G5526" s="7" t="n"/>
      <c r="H5526" s="7" t="n"/>
      <c r="I5526" s="7" t="n"/>
      <c r="J5526" s="7" t="n"/>
      <c r="K5526">
        <f>IF(D5526="Legitimate Interest (GDPR Art. 6(1)(f))", "Yes / Required (Sheet 3)", "")</f>
        <v/>
      </c>
      <c r="L5526" s="7" t="n"/>
      <c r="M5526" s="7" t="n"/>
      <c r="N5526">
        <f>IF(D5526="", "Gap - No Legal Basis", IF(AND(D5526="Consent (GDPR Art. 6(1)(a))", I5526="Not Captured"), "Gap - Invalid Consent", IF(AND(D5526="Legitimate Interest (GDPR Art. 6(1)(f))", L5526=""), "Gap - Missing LIA", IF(AND(G5526="Yes", H5526=""), "Gap - Missing Art. 9 Basis", IF(OR(I5526="Invalid - Not Freely Given", I5526="Invalid - Not Specific", I5526="Invalid - Not Informed", I5526="Invalid - Ambiguous"), "Gap - Invalid Consent", "Compliant")))))</f>
        <v/>
      </c>
      <c r="O5526" s="7" t="n"/>
    </row>
    <row r="5527">
      <c r="A5527" s="7" t="n"/>
      <c r="B5527" s="7" t="n"/>
      <c r="C5527" s="7" t="n"/>
      <c r="D5527" s="7" t="n"/>
      <c r="E5527" s="7" t="n"/>
      <c r="F5527" s="7" t="n"/>
      <c r="G5527" s="7" t="n"/>
      <c r="H5527" s="7" t="n"/>
      <c r="I5527" s="7" t="n"/>
      <c r="J5527" s="7" t="n"/>
      <c r="K5527">
        <f>IF(D5527="Legitimate Interest (GDPR Art. 6(1)(f))", "Yes / Required (Sheet 3)", "")</f>
        <v/>
      </c>
      <c r="L5527" s="7" t="n"/>
      <c r="M5527" s="7" t="n"/>
      <c r="N5527">
        <f>IF(D5527="", "Gap - No Legal Basis", IF(AND(D5527="Consent (GDPR Art. 6(1)(a))", I5527="Not Captured"), "Gap - Invalid Consent", IF(AND(D5527="Legitimate Interest (GDPR Art. 6(1)(f))", L5527=""), "Gap - Missing LIA", IF(AND(G5527="Yes", H5527=""), "Gap - Missing Art. 9 Basis", IF(OR(I5527="Invalid - Not Freely Given", I5527="Invalid - Not Specific", I5527="Invalid - Not Informed", I5527="Invalid - Ambiguous"), "Gap - Invalid Consent", "Compliant")))))</f>
        <v/>
      </c>
      <c r="O5527" s="7" t="n"/>
    </row>
    <row r="5528">
      <c r="A5528" s="7" t="n"/>
      <c r="B5528" s="7" t="n"/>
      <c r="C5528" s="7" t="n"/>
      <c r="D5528" s="7" t="n"/>
      <c r="E5528" s="7" t="n"/>
      <c r="F5528" s="7" t="n"/>
      <c r="G5528" s="7" t="n"/>
      <c r="H5528" s="7" t="n"/>
      <c r="I5528" s="7" t="n"/>
      <c r="J5528" s="7" t="n"/>
      <c r="K5528">
        <f>IF(D5528="Legitimate Interest (GDPR Art. 6(1)(f))", "Yes / Required (Sheet 3)", "")</f>
        <v/>
      </c>
      <c r="L5528" s="7" t="n"/>
      <c r="M5528" s="7" t="n"/>
      <c r="N5528">
        <f>IF(D5528="", "Gap - No Legal Basis", IF(AND(D5528="Consent (GDPR Art. 6(1)(a))", I5528="Not Captured"), "Gap - Invalid Consent", IF(AND(D5528="Legitimate Interest (GDPR Art. 6(1)(f))", L5528=""), "Gap - Missing LIA", IF(AND(G5528="Yes", H5528=""), "Gap - Missing Art. 9 Basis", IF(OR(I5528="Invalid - Not Freely Given", I5528="Invalid - Not Specific", I5528="Invalid - Not Informed", I5528="Invalid - Ambiguous"), "Gap - Invalid Consent", "Compliant")))))</f>
        <v/>
      </c>
      <c r="O5528" s="7" t="n"/>
    </row>
    <row r="5529">
      <c r="A5529" s="7" t="n"/>
      <c r="B5529" s="7" t="n"/>
      <c r="C5529" s="7" t="n"/>
      <c r="D5529" s="7" t="n"/>
      <c r="E5529" s="7" t="n"/>
      <c r="F5529" s="7" t="n"/>
      <c r="G5529" s="7" t="n"/>
      <c r="H5529" s="7" t="n"/>
      <c r="I5529" s="7" t="n"/>
      <c r="J5529" s="7" t="n"/>
      <c r="K5529">
        <f>IF(D5529="Legitimate Interest (GDPR Art. 6(1)(f))", "Yes / Required (Sheet 3)", "")</f>
        <v/>
      </c>
      <c r="L5529" s="7" t="n"/>
      <c r="M5529" s="7" t="n"/>
      <c r="N5529">
        <f>IF(D5529="", "Gap - No Legal Basis", IF(AND(D5529="Consent (GDPR Art. 6(1)(a))", I5529="Not Captured"), "Gap - Invalid Consent", IF(AND(D5529="Legitimate Interest (GDPR Art. 6(1)(f))", L5529=""), "Gap - Missing LIA", IF(AND(G5529="Yes", H5529=""), "Gap - Missing Art. 9 Basis", IF(OR(I5529="Invalid - Not Freely Given", I5529="Invalid - Not Specific", I5529="Invalid - Not Informed", I5529="Invalid - Ambiguous"), "Gap - Invalid Consent", "Compliant")))))</f>
        <v/>
      </c>
      <c r="O5529" s="7" t="n"/>
    </row>
    <row r="5530">
      <c r="A5530" s="7" t="n"/>
      <c r="B5530" s="7" t="n"/>
      <c r="C5530" s="7" t="n"/>
      <c r="D5530" s="7" t="n"/>
      <c r="E5530" s="7" t="n"/>
      <c r="F5530" s="7" t="n"/>
      <c r="G5530" s="7" t="n"/>
      <c r="H5530" s="7" t="n"/>
      <c r="I5530" s="7" t="n"/>
      <c r="J5530" s="7" t="n"/>
      <c r="K5530">
        <f>IF(D5530="Legitimate Interest (GDPR Art. 6(1)(f))", "Yes / Required (Sheet 3)", "")</f>
        <v/>
      </c>
      <c r="L5530" s="7" t="n"/>
      <c r="M5530" s="7" t="n"/>
      <c r="N5530">
        <f>IF(D5530="", "Gap - No Legal Basis", IF(AND(D5530="Consent (GDPR Art. 6(1)(a))", I5530="Not Captured"), "Gap - Invalid Consent", IF(AND(D5530="Legitimate Interest (GDPR Art. 6(1)(f))", L5530=""), "Gap - Missing LIA", IF(AND(G5530="Yes", H5530=""), "Gap - Missing Art. 9 Basis", IF(OR(I5530="Invalid - Not Freely Given", I5530="Invalid - Not Specific", I5530="Invalid - Not Informed", I5530="Invalid - Ambiguous"), "Gap - Invalid Consent", "Compliant")))))</f>
        <v/>
      </c>
      <c r="O5530" s="7" t="n"/>
    </row>
    <row r="5531">
      <c r="A5531" s="7" t="n"/>
      <c r="B5531" s="7" t="n"/>
      <c r="C5531" s="7" t="n"/>
      <c r="D5531" s="7" t="n"/>
      <c r="E5531" s="7" t="n"/>
      <c r="F5531" s="7" t="n"/>
      <c r="G5531" s="7" t="n"/>
      <c r="H5531" s="7" t="n"/>
      <c r="I5531" s="7" t="n"/>
      <c r="J5531" s="7" t="n"/>
      <c r="K5531">
        <f>IF(D5531="Legitimate Interest (GDPR Art. 6(1)(f))", "Yes / Required (Sheet 3)", "")</f>
        <v/>
      </c>
      <c r="L5531" s="7" t="n"/>
      <c r="M5531" s="7" t="n"/>
      <c r="N5531">
        <f>IF(D5531="", "Gap - No Legal Basis", IF(AND(D5531="Consent (GDPR Art. 6(1)(a))", I5531="Not Captured"), "Gap - Invalid Consent", IF(AND(D5531="Legitimate Interest (GDPR Art. 6(1)(f))", L5531=""), "Gap - Missing LIA", IF(AND(G5531="Yes", H5531=""), "Gap - Missing Art. 9 Basis", IF(OR(I5531="Invalid - Not Freely Given", I5531="Invalid - Not Specific", I5531="Invalid - Not Informed", I5531="Invalid - Ambiguous"), "Gap - Invalid Consent", "Compliant")))))</f>
        <v/>
      </c>
      <c r="O5531" s="7" t="n"/>
    </row>
    <row r="5532">
      <c r="A5532" s="7" t="n"/>
      <c r="B5532" s="7" t="n"/>
      <c r="C5532" s="7" t="n"/>
      <c r="D5532" s="7" t="n"/>
      <c r="E5532" s="7" t="n"/>
      <c r="F5532" s="7" t="n"/>
      <c r="G5532" s="7" t="n"/>
      <c r="H5532" s="7" t="n"/>
      <c r="I5532" s="7" t="n"/>
      <c r="J5532" s="7" t="n"/>
      <c r="K5532">
        <f>IF(D5532="Legitimate Interest (GDPR Art. 6(1)(f))", "Yes / Required (Sheet 3)", "")</f>
        <v/>
      </c>
      <c r="L5532" s="7" t="n"/>
      <c r="M5532" s="7" t="n"/>
      <c r="N5532">
        <f>IF(D5532="", "Gap - No Legal Basis", IF(AND(D5532="Consent (GDPR Art. 6(1)(a))", I5532="Not Captured"), "Gap - Invalid Consent", IF(AND(D5532="Legitimate Interest (GDPR Art. 6(1)(f))", L5532=""), "Gap - Missing LIA", IF(AND(G5532="Yes", H5532=""), "Gap - Missing Art. 9 Basis", IF(OR(I5532="Invalid - Not Freely Given", I5532="Invalid - Not Specific", I5532="Invalid - Not Informed", I5532="Invalid - Ambiguous"), "Gap - Invalid Consent", "Compliant")))))</f>
        <v/>
      </c>
      <c r="O5532" s="7" t="n"/>
    </row>
    <row r="5533">
      <c r="A5533" s="7" t="n"/>
      <c r="B5533" s="7" t="n"/>
      <c r="C5533" s="7" t="n"/>
      <c r="D5533" s="7" t="n"/>
      <c r="E5533" s="7" t="n"/>
      <c r="F5533" s="7" t="n"/>
      <c r="G5533" s="7" t="n"/>
      <c r="H5533" s="7" t="n"/>
      <c r="I5533" s="7" t="n"/>
      <c r="J5533" s="7" t="n"/>
      <c r="K5533">
        <f>IF(D5533="Legitimate Interest (GDPR Art. 6(1)(f))", "Yes / Required (Sheet 3)", "")</f>
        <v/>
      </c>
      <c r="L5533" s="7" t="n"/>
      <c r="M5533" s="7" t="n"/>
      <c r="N5533">
        <f>IF(D5533="", "Gap - No Legal Basis", IF(AND(D5533="Consent (GDPR Art. 6(1)(a))", I5533="Not Captured"), "Gap - Invalid Consent", IF(AND(D5533="Legitimate Interest (GDPR Art. 6(1)(f))", L5533=""), "Gap - Missing LIA", IF(AND(G5533="Yes", H5533=""), "Gap - Missing Art. 9 Basis", IF(OR(I5533="Invalid - Not Freely Given", I5533="Invalid - Not Specific", I5533="Invalid - Not Informed", I5533="Invalid - Ambiguous"), "Gap - Invalid Consent", "Compliant")))))</f>
        <v/>
      </c>
      <c r="O5533" s="7" t="n"/>
    </row>
    <row r="5534">
      <c r="A5534" s="7" t="n"/>
      <c r="B5534" s="7" t="n"/>
      <c r="C5534" s="7" t="n"/>
      <c r="D5534" s="7" t="n"/>
      <c r="E5534" s="7" t="n"/>
      <c r="F5534" s="7" t="n"/>
      <c r="G5534" s="7" t="n"/>
      <c r="H5534" s="7" t="n"/>
      <c r="I5534" s="7" t="n"/>
      <c r="J5534" s="7" t="n"/>
      <c r="K5534">
        <f>IF(D5534="Legitimate Interest (GDPR Art. 6(1)(f))", "Yes / Required (Sheet 3)", "")</f>
        <v/>
      </c>
      <c r="L5534" s="7" t="n"/>
      <c r="M5534" s="7" t="n"/>
      <c r="N5534">
        <f>IF(D5534="", "Gap - No Legal Basis", IF(AND(D5534="Consent (GDPR Art. 6(1)(a))", I5534="Not Captured"), "Gap - Invalid Consent", IF(AND(D5534="Legitimate Interest (GDPR Art. 6(1)(f))", L5534=""), "Gap - Missing LIA", IF(AND(G5534="Yes", H5534=""), "Gap - Missing Art. 9 Basis", IF(OR(I5534="Invalid - Not Freely Given", I5534="Invalid - Not Specific", I5534="Invalid - Not Informed", I5534="Invalid - Ambiguous"), "Gap - Invalid Consent", "Compliant")))))</f>
        <v/>
      </c>
      <c r="O5534" s="7" t="n"/>
    </row>
    <row r="5535">
      <c r="A5535" s="7" t="n"/>
      <c r="B5535" s="7" t="n"/>
      <c r="C5535" s="7" t="n"/>
      <c r="D5535" s="7" t="n"/>
      <c r="E5535" s="7" t="n"/>
      <c r="F5535" s="7" t="n"/>
      <c r="G5535" s="7" t="n"/>
      <c r="H5535" s="7" t="n"/>
      <c r="I5535" s="7" t="n"/>
      <c r="J5535" s="7" t="n"/>
      <c r="K5535">
        <f>IF(D5535="Legitimate Interest (GDPR Art. 6(1)(f))", "Yes / Required (Sheet 3)", "")</f>
        <v/>
      </c>
      <c r="L5535" s="7" t="n"/>
      <c r="M5535" s="7" t="n"/>
      <c r="N5535">
        <f>IF(D5535="", "Gap - No Legal Basis", IF(AND(D5535="Consent (GDPR Art. 6(1)(a))", I5535="Not Captured"), "Gap - Invalid Consent", IF(AND(D5535="Legitimate Interest (GDPR Art. 6(1)(f))", L5535=""), "Gap - Missing LIA", IF(AND(G5535="Yes", H5535=""), "Gap - Missing Art. 9 Basis", IF(OR(I5535="Invalid - Not Freely Given", I5535="Invalid - Not Specific", I5535="Invalid - Not Informed", I5535="Invalid - Ambiguous"), "Gap - Invalid Consent", "Compliant")))))</f>
        <v/>
      </c>
      <c r="O5535" s="7" t="n"/>
    </row>
    <row r="5536">
      <c r="A5536" s="7" t="n"/>
      <c r="B5536" s="7" t="n"/>
      <c r="C5536" s="7" t="n"/>
      <c r="D5536" s="7" t="n"/>
      <c r="E5536" s="7" t="n"/>
      <c r="F5536" s="7" t="n"/>
      <c r="G5536" s="7" t="n"/>
      <c r="H5536" s="7" t="n"/>
      <c r="I5536" s="7" t="n"/>
      <c r="J5536" s="7" t="n"/>
      <c r="K5536">
        <f>IF(D5536="Legitimate Interest (GDPR Art. 6(1)(f))", "Yes / Required (Sheet 3)", "")</f>
        <v/>
      </c>
      <c r="L5536" s="7" t="n"/>
      <c r="M5536" s="7" t="n"/>
      <c r="N5536">
        <f>IF(D5536="", "Gap - No Legal Basis", IF(AND(D5536="Consent (GDPR Art. 6(1)(a))", I5536="Not Captured"), "Gap - Invalid Consent", IF(AND(D5536="Legitimate Interest (GDPR Art. 6(1)(f))", L5536=""), "Gap - Missing LIA", IF(AND(G5536="Yes", H5536=""), "Gap - Missing Art. 9 Basis", IF(OR(I5536="Invalid - Not Freely Given", I5536="Invalid - Not Specific", I5536="Invalid - Not Informed", I5536="Invalid - Ambiguous"), "Gap - Invalid Consent", "Compliant")))))</f>
        <v/>
      </c>
      <c r="O5536" s="7" t="n"/>
    </row>
    <row r="5537">
      <c r="A5537" s="7" t="n"/>
      <c r="B5537" s="7" t="n"/>
      <c r="C5537" s="7" t="n"/>
      <c r="D5537" s="7" t="n"/>
      <c r="E5537" s="7" t="n"/>
      <c r="F5537" s="7" t="n"/>
      <c r="G5537" s="7" t="n"/>
      <c r="H5537" s="7" t="n"/>
      <c r="I5537" s="7" t="n"/>
      <c r="J5537" s="7" t="n"/>
      <c r="K5537">
        <f>IF(D5537="Legitimate Interest (GDPR Art. 6(1)(f))", "Yes / Required (Sheet 3)", "")</f>
        <v/>
      </c>
      <c r="L5537" s="7" t="n"/>
      <c r="M5537" s="7" t="n"/>
      <c r="N5537">
        <f>IF(D5537="", "Gap - No Legal Basis", IF(AND(D5537="Consent (GDPR Art. 6(1)(a))", I5537="Not Captured"), "Gap - Invalid Consent", IF(AND(D5537="Legitimate Interest (GDPR Art. 6(1)(f))", L5537=""), "Gap - Missing LIA", IF(AND(G5537="Yes", H5537=""), "Gap - Missing Art. 9 Basis", IF(OR(I5537="Invalid - Not Freely Given", I5537="Invalid - Not Specific", I5537="Invalid - Not Informed", I5537="Invalid - Ambiguous"), "Gap - Invalid Consent", "Compliant")))))</f>
        <v/>
      </c>
      <c r="O5537" s="7" t="n"/>
    </row>
    <row r="5538">
      <c r="A5538" s="7" t="n"/>
      <c r="B5538" s="7" t="n"/>
      <c r="C5538" s="7" t="n"/>
      <c r="D5538" s="7" t="n"/>
      <c r="E5538" s="7" t="n"/>
      <c r="F5538" s="7" t="n"/>
      <c r="G5538" s="7" t="n"/>
      <c r="H5538" s="7" t="n"/>
      <c r="I5538" s="7" t="n"/>
      <c r="J5538" s="7" t="n"/>
      <c r="K5538">
        <f>IF(D5538="Legitimate Interest (GDPR Art. 6(1)(f))", "Yes / Required (Sheet 3)", "")</f>
        <v/>
      </c>
      <c r="L5538" s="7" t="n"/>
      <c r="M5538" s="7" t="n"/>
      <c r="N5538">
        <f>IF(D5538="", "Gap - No Legal Basis", IF(AND(D5538="Consent (GDPR Art. 6(1)(a))", I5538="Not Captured"), "Gap - Invalid Consent", IF(AND(D5538="Legitimate Interest (GDPR Art. 6(1)(f))", L5538=""), "Gap - Missing LIA", IF(AND(G5538="Yes", H5538=""), "Gap - Missing Art. 9 Basis", IF(OR(I5538="Invalid - Not Freely Given", I5538="Invalid - Not Specific", I5538="Invalid - Not Informed", I5538="Invalid - Ambiguous"), "Gap - Invalid Consent", "Compliant")))))</f>
        <v/>
      </c>
      <c r="O5538" s="7" t="n"/>
    </row>
    <row r="5539">
      <c r="A5539" s="7" t="n"/>
      <c r="B5539" s="7" t="n"/>
      <c r="C5539" s="7" t="n"/>
      <c r="D5539" s="7" t="n"/>
      <c r="E5539" s="7" t="n"/>
      <c r="F5539" s="7" t="n"/>
      <c r="G5539" s="7" t="n"/>
      <c r="H5539" s="7" t="n"/>
      <c r="I5539" s="7" t="n"/>
      <c r="J5539" s="7" t="n"/>
      <c r="K5539">
        <f>IF(D5539="Legitimate Interest (GDPR Art. 6(1)(f))", "Yes / Required (Sheet 3)", "")</f>
        <v/>
      </c>
      <c r="L5539" s="7" t="n"/>
      <c r="M5539" s="7" t="n"/>
      <c r="N5539">
        <f>IF(D5539="", "Gap - No Legal Basis", IF(AND(D5539="Consent (GDPR Art. 6(1)(a))", I5539="Not Captured"), "Gap - Invalid Consent", IF(AND(D5539="Legitimate Interest (GDPR Art. 6(1)(f))", L5539=""), "Gap - Missing LIA", IF(AND(G5539="Yes", H5539=""), "Gap - Missing Art. 9 Basis", IF(OR(I5539="Invalid - Not Freely Given", I5539="Invalid - Not Specific", I5539="Invalid - Not Informed", I5539="Invalid - Ambiguous"), "Gap - Invalid Consent", "Compliant")))))</f>
        <v/>
      </c>
      <c r="O5539" s="7" t="n"/>
    </row>
    <row r="5540">
      <c r="A5540" s="7" t="n"/>
      <c r="B5540" s="7" t="n"/>
      <c r="C5540" s="7" t="n"/>
      <c r="D5540" s="7" t="n"/>
      <c r="E5540" s="7" t="n"/>
      <c r="F5540" s="7" t="n"/>
      <c r="G5540" s="7" t="n"/>
      <c r="H5540" s="7" t="n"/>
      <c r="I5540" s="7" t="n"/>
      <c r="J5540" s="7" t="n"/>
      <c r="K5540">
        <f>IF(D5540="Legitimate Interest (GDPR Art. 6(1)(f))", "Yes / Required (Sheet 3)", "")</f>
        <v/>
      </c>
      <c r="L5540" s="7" t="n"/>
      <c r="M5540" s="7" t="n"/>
      <c r="N5540">
        <f>IF(D5540="", "Gap - No Legal Basis", IF(AND(D5540="Consent (GDPR Art. 6(1)(a))", I5540="Not Captured"), "Gap - Invalid Consent", IF(AND(D5540="Legitimate Interest (GDPR Art. 6(1)(f))", L5540=""), "Gap - Missing LIA", IF(AND(G5540="Yes", H5540=""), "Gap - Missing Art. 9 Basis", IF(OR(I5540="Invalid - Not Freely Given", I5540="Invalid - Not Specific", I5540="Invalid - Not Informed", I5540="Invalid - Ambiguous"), "Gap - Invalid Consent", "Compliant")))))</f>
        <v/>
      </c>
      <c r="O5540" s="7" t="n"/>
    </row>
    <row r="5541">
      <c r="A5541" s="7" t="n"/>
      <c r="B5541" s="7" t="n"/>
      <c r="C5541" s="7" t="n"/>
      <c r="D5541" s="7" t="n"/>
      <c r="E5541" s="7" t="n"/>
      <c r="F5541" s="7" t="n"/>
      <c r="G5541" s="7" t="n"/>
      <c r="H5541" s="7" t="n"/>
      <c r="I5541" s="7" t="n"/>
      <c r="J5541" s="7" t="n"/>
      <c r="K5541">
        <f>IF(D5541="Legitimate Interest (GDPR Art. 6(1)(f))", "Yes / Required (Sheet 3)", "")</f>
        <v/>
      </c>
      <c r="L5541" s="7" t="n"/>
      <c r="M5541" s="7" t="n"/>
      <c r="N5541">
        <f>IF(D5541="", "Gap - No Legal Basis", IF(AND(D5541="Consent (GDPR Art. 6(1)(a))", I5541="Not Captured"), "Gap - Invalid Consent", IF(AND(D5541="Legitimate Interest (GDPR Art. 6(1)(f))", L5541=""), "Gap - Missing LIA", IF(AND(G5541="Yes", H5541=""), "Gap - Missing Art. 9 Basis", IF(OR(I5541="Invalid - Not Freely Given", I5541="Invalid - Not Specific", I5541="Invalid - Not Informed", I5541="Invalid - Ambiguous"), "Gap - Invalid Consent", "Compliant")))))</f>
        <v/>
      </c>
      <c r="O5541" s="7" t="n"/>
    </row>
    <row r="5542">
      <c r="A5542" s="7" t="n"/>
      <c r="B5542" s="7" t="n"/>
      <c r="C5542" s="7" t="n"/>
      <c r="D5542" s="7" t="n"/>
      <c r="E5542" s="7" t="n"/>
      <c r="F5542" s="7" t="n"/>
      <c r="G5542" s="7" t="n"/>
      <c r="H5542" s="7" t="n"/>
      <c r="I5542" s="7" t="n"/>
      <c r="J5542" s="7" t="n"/>
      <c r="K5542">
        <f>IF(D5542="Legitimate Interest (GDPR Art. 6(1)(f))", "Yes / Required (Sheet 3)", "")</f>
        <v/>
      </c>
      <c r="L5542" s="7" t="n"/>
      <c r="M5542" s="7" t="n"/>
      <c r="N5542">
        <f>IF(D5542="", "Gap - No Legal Basis", IF(AND(D5542="Consent (GDPR Art. 6(1)(a))", I5542="Not Captured"), "Gap - Invalid Consent", IF(AND(D5542="Legitimate Interest (GDPR Art. 6(1)(f))", L5542=""), "Gap - Missing LIA", IF(AND(G5542="Yes", H5542=""), "Gap - Missing Art. 9 Basis", IF(OR(I5542="Invalid - Not Freely Given", I5542="Invalid - Not Specific", I5542="Invalid - Not Informed", I5542="Invalid - Ambiguous"), "Gap - Invalid Consent", "Compliant")))))</f>
        <v/>
      </c>
      <c r="O5542" s="7" t="n"/>
    </row>
    <row r="5543">
      <c r="A5543" s="7" t="n"/>
      <c r="B5543" s="7" t="n"/>
      <c r="C5543" s="7" t="n"/>
      <c r="D5543" s="7" t="n"/>
      <c r="E5543" s="7" t="n"/>
      <c r="F5543" s="7" t="n"/>
      <c r="G5543" s="7" t="n"/>
      <c r="H5543" s="7" t="n"/>
      <c r="I5543" s="7" t="n"/>
      <c r="J5543" s="7" t="n"/>
      <c r="K5543">
        <f>IF(D5543="Legitimate Interest (GDPR Art. 6(1)(f))", "Yes / Required (Sheet 3)", "")</f>
        <v/>
      </c>
      <c r="L5543" s="7" t="n"/>
      <c r="M5543" s="7" t="n"/>
      <c r="N5543">
        <f>IF(D5543="", "Gap - No Legal Basis", IF(AND(D5543="Consent (GDPR Art. 6(1)(a))", I5543="Not Captured"), "Gap - Invalid Consent", IF(AND(D5543="Legitimate Interest (GDPR Art. 6(1)(f))", L5543=""), "Gap - Missing LIA", IF(AND(G5543="Yes", H5543=""), "Gap - Missing Art. 9 Basis", IF(OR(I5543="Invalid - Not Freely Given", I5543="Invalid - Not Specific", I5543="Invalid - Not Informed", I5543="Invalid - Ambiguous"), "Gap - Invalid Consent", "Compliant")))))</f>
        <v/>
      </c>
      <c r="O5543" s="7" t="n"/>
    </row>
    <row r="5544">
      <c r="A5544" s="7" t="n"/>
      <c r="B5544" s="7" t="n"/>
      <c r="C5544" s="7" t="n"/>
      <c r="D5544" s="7" t="n"/>
      <c r="E5544" s="7" t="n"/>
      <c r="F5544" s="7" t="n"/>
      <c r="G5544" s="7" t="n"/>
      <c r="H5544" s="7" t="n"/>
      <c r="I5544" s="7" t="n"/>
      <c r="J5544" s="7" t="n"/>
      <c r="K5544">
        <f>IF(D5544="Legitimate Interest (GDPR Art. 6(1)(f))", "Yes / Required (Sheet 3)", "")</f>
        <v/>
      </c>
      <c r="L5544" s="7" t="n"/>
      <c r="M5544" s="7" t="n"/>
      <c r="N5544">
        <f>IF(D5544="", "Gap - No Legal Basis", IF(AND(D5544="Consent (GDPR Art. 6(1)(a))", I5544="Not Captured"), "Gap - Invalid Consent", IF(AND(D5544="Legitimate Interest (GDPR Art. 6(1)(f))", L5544=""), "Gap - Missing LIA", IF(AND(G5544="Yes", H5544=""), "Gap - Missing Art. 9 Basis", IF(OR(I5544="Invalid - Not Freely Given", I5544="Invalid - Not Specific", I5544="Invalid - Not Informed", I5544="Invalid - Ambiguous"), "Gap - Invalid Consent", "Compliant")))))</f>
        <v/>
      </c>
      <c r="O5544" s="7" t="n"/>
    </row>
    <row r="5545">
      <c r="A5545" s="7" t="n"/>
      <c r="B5545" s="7" t="n"/>
      <c r="C5545" s="7" t="n"/>
      <c r="D5545" s="7" t="n"/>
      <c r="E5545" s="7" t="n"/>
      <c r="F5545" s="7" t="n"/>
      <c r="G5545" s="7" t="n"/>
      <c r="H5545" s="7" t="n"/>
      <c r="I5545" s="7" t="n"/>
      <c r="J5545" s="7" t="n"/>
      <c r="K5545">
        <f>IF(D5545="Legitimate Interest (GDPR Art. 6(1)(f))", "Yes / Required (Sheet 3)", "")</f>
        <v/>
      </c>
      <c r="L5545" s="7" t="n"/>
      <c r="M5545" s="7" t="n"/>
      <c r="N5545">
        <f>IF(D5545="", "Gap - No Legal Basis", IF(AND(D5545="Consent (GDPR Art. 6(1)(a))", I5545="Not Captured"), "Gap - Invalid Consent", IF(AND(D5545="Legitimate Interest (GDPR Art. 6(1)(f))", L5545=""), "Gap - Missing LIA", IF(AND(G5545="Yes", H5545=""), "Gap - Missing Art. 9 Basis", IF(OR(I5545="Invalid - Not Freely Given", I5545="Invalid - Not Specific", I5545="Invalid - Not Informed", I5545="Invalid - Ambiguous"), "Gap - Invalid Consent", "Compliant")))))</f>
        <v/>
      </c>
      <c r="O5545" s="7" t="n"/>
    </row>
    <row r="5546">
      <c r="A5546" s="7" t="n"/>
      <c r="B5546" s="7" t="n"/>
      <c r="C5546" s="7" t="n"/>
      <c r="D5546" s="7" t="n"/>
      <c r="E5546" s="7" t="n"/>
      <c r="F5546" s="7" t="n"/>
      <c r="G5546" s="7" t="n"/>
      <c r="H5546" s="7" t="n"/>
      <c r="I5546" s="7" t="n"/>
      <c r="J5546" s="7" t="n"/>
      <c r="K5546">
        <f>IF(D5546="Legitimate Interest (GDPR Art. 6(1)(f))", "Yes / Required (Sheet 3)", "")</f>
        <v/>
      </c>
      <c r="L5546" s="7" t="n"/>
      <c r="M5546" s="7" t="n"/>
      <c r="N5546">
        <f>IF(D5546="", "Gap - No Legal Basis", IF(AND(D5546="Consent (GDPR Art. 6(1)(a))", I5546="Not Captured"), "Gap - Invalid Consent", IF(AND(D5546="Legitimate Interest (GDPR Art. 6(1)(f))", L5546=""), "Gap - Missing LIA", IF(AND(G5546="Yes", H5546=""), "Gap - Missing Art. 9 Basis", IF(OR(I5546="Invalid - Not Freely Given", I5546="Invalid - Not Specific", I5546="Invalid - Not Informed", I5546="Invalid - Ambiguous"), "Gap - Invalid Consent", "Compliant")))))</f>
        <v/>
      </c>
      <c r="O5546" s="7" t="n"/>
    </row>
    <row r="5547">
      <c r="A5547" s="7" t="n"/>
      <c r="B5547" s="7" t="n"/>
      <c r="C5547" s="7" t="n"/>
      <c r="D5547" s="7" t="n"/>
      <c r="E5547" s="7" t="n"/>
      <c r="F5547" s="7" t="n"/>
      <c r="G5547" s="7" t="n"/>
      <c r="H5547" s="7" t="n"/>
      <c r="I5547" s="7" t="n"/>
      <c r="J5547" s="7" t="n"/>
      <c r="K5547">
        <f>IF(D5547="Legitimate Interest (GDPR Art. 6(1)(f))", "Yes / Required (Sheet 3)", "")</f>
        <v/>
      </c>
      <c r="L5547" s="7" t="n"/>
      <c r="M5547" s="7" t="n"/>
      <c r="N5547">
        <f>IF(D5547="", "Gap - No Legal Basis", IF(AND(D5547="Consent (GDPR Art. 6(1)(a))", I5547="Not Captured"), "Gap - Invalid Consent", IF(AND(D5547="Legitimate Interest (GDPR Art. 6(1)(f))", L5547=""), "Gap - Missing LIA", IF(AND(G5547="Yes", H5547=""), "Gap - Missing Art. 9 Basis", IF(OR(I5547="Invalid - Not Freely Given", I5547="Invalid - Not Specific", I5547="Invalid - Not Informed", I5547="Invalid - Ambiguous"), "Gap - Invalid Consent", "Compliant")))))</f>
        <v/>
      </c>
      <c r="O5547" s="7" t="n"/>
    </row>
    <row r="5548">
      <c r="A5548" s="7" t="n"/>
      <c r="B5548" s="7" t="n"/>
      <c r="C5548" s="7" t="n"/>
      <c r="D5548" s="7" t="n"/>
      <c r="E5548" s="7" t="n"/>
      <c r="F5548" s="7" t="n"/>
      <c r="G5548" s="7" t="n"/>
      <c r="H5548" s="7" t="n"/>
      <c r="I5548" s="7" t="n"/>
      <c r="J5548" s="7" t="n"/>
      <c r="K5548">
        <f>IF(D5548="Legitimate Interest (GDPR Art. 6(1)(f))", "Yes / Required (Sheet 3)", "")</f>
        <v/>
      </c>
      <c r="L5548" s="7" t="n"/>
      <c r="M5548" s="7" t="n"/>
      <c r="N5548">
        <f>IF(D5548="", "Gap - No Legal Basis", IF(AND(D5548="Consent (GDPR Art. 6(1)(a))", I5548="Not Captured"), "Gap - Invalid Consent", IF(AND(D5548="Legitimate Interest (GDPR Art. 6(1)(f))", L5548=""), "Gap - Missing LIA", IF(AND(G5548="Yes", H5548=""), "Gap - Missing Art. 9 Basis", IF(OR(I5548="Invalid - Not Freely Given", I5548="Invalid - Not Specific", I5548="Invalid - Not Informed", I5548="Invalid - Ambiguous"), "Gap - Invalid Consent", "Compliant")))))</f>
        <v/>
      </c>
      <c r="O5548" s="7" t="n"/>
    </row>
    <row r="5549">
      <c r="A5549" s="7" t="n"/>
      <c r="B5549" s="7" t="n"/>
      <c r="C5549" s="7" t="n"/>
      <c r="D5549" s="7" t="n"/>
      <c r="E5549" s="7" t="n"/>
      <c r="F5549" s="7" t="n"/>
      <c r="G5549" s="7" t="n"/>
      <c r="H5549" s="7" t="n"/>
      <c r="I5549" s="7" t="n"/>
      <c r="J5549" s="7" t="n"/>
      <c r="K5549">
        <f>IF(D5549="Legitimate Interest (GDPR Art. 6(1)(f))", "Yes / Required (Sheet 3)", "")</f>
        <v/>
      </c>
      <c r="L5549" s="7" t="n"/>
      <c r="M5549" s="7" t="n"/>
      <c r="N5549">
        <f>IF(D5549="", "Gap - No Legal Basis", IF(AND(D5549="Consent (GDPR Art. 6(1)(a))", I5549="Not Captured"), "Gap - Invalid Consent", IF(AND(D5549="Legitimate Interest (GDPR Art. 6(1)(f))", L5549=""), "Gap - Missing LIA", IF(AND(G5549="Yes", H5549=""), "Gap - Missing Art. 9 Basis", IF(OR(I5549="Invalid - Not Freely Given", I5549="Invalid - Not Specific", I5549="Invalid - Not Informed", I5549="Invalid - Ambiguous"), "Gap - Invalid Consent", "Compliant")))))</f>
        <v/>
      </c>
      <c r="O5549" s="7" t="n"/>
    </row>
    <row r="5550">
      <c r="A5550" s="7" t="n"/>
      <c r="B5550" s="7" t="n"/>
      <c r="C5550" s="7" t="n"/>
      <c r="D5550" s="7" t="n"/>
      <c r="E5550" s="7" t="n"/>
      <c r="F5550" s="7" t="n"/>
      <c r="G5550" s="7" t="n"/>
      <c r="H5550" s="7" t="n"/>
      <c r="I5550" s="7" t="n"/>
      <c r="J5550" s="7" t="n"/>
      <c r="K5550">
        <f>IF(D5550="Legitimate Interest (GDPR Art. 6(1)(f))", "Yes / Required (Sheet 3)", "")</f>
        <v/>
      </c>
      <c r="L5550" s="7" t="n"/>
      <c r="M5550" s="7" t="n"/>
      <c r="N5550">
        <f>IF(D5550="", "Gap - No Legal Basis", IF(AND(D5550="Consent (GDPR Art. 6(1)(a))", I5550="Not Captured"), "Gap - Invalid Consent", IF(AND(D5550="Legitimate Interest (GDPR Art. 6(1)(f))", L5550=""), "Gap - Missing LIA", IF(AND(G5550="Yes", H5550=""), "Gap - Missing Art. 9 Basis", IF(OR(I5550="Invalid - Not Freely Given", I5550="Invalid - Not Specific", I5550="Invalid - Not Informed", I5550="Invalid - Ambiguous"), "Gap - Invalid Consent", "Compliant")))))</f>
        <v/>
      </c>
      <c r="O5550" s="7" t="n"/>
    </row>
    <row r="5551">
      <c r="A5551" s="7" t="n"/>
      <c r="B5551" s="7" t="n"/>
      <c r="C5551" s="7" t="n"/>
      <c r="D5551" s="7" t="n"/>
      <c r="E5551" s="7" t="n"/>
      <c r="F5551" s="7" t="n"/>
      <c r="G5551" s="7" t="n"/>
      <c r="H5551" s="7" t="n"/>
      <c r="I5551" s="7" t="n"/>
      <c r="J5551" s="7" t="n"/>
      <c r="K5551">
        <f>IF(D5551="Legitimate Interest (GDPR Art. 6(1)(f))", "Yes / Required (Sheet 3)", "")</f>
        <v/>
      </c>
      <c r="L5551" s="7" t="n"/>
      <c r="M5551" s="7" t="n"/>
      <c r="N5551">
        <f>IF(D5551="", "Gap - No Legal Basis", IF(AND(D5551="Consent (GDPR Art. 6(1)(a))", I5551="Not Captured"), "Gap - Invalid Consent", IF(AND(D5551="Legitimate Interest (GDPR Art. 6(1)(f))", L5551=""), "Gap - Missing LIA", IF(AND(G5551="Yes", H5551=""), "Gap - Missing Art. 9 Basis", IF(OR(I5551="Invalid - Not Freely Given", I5551="Invalid - Not Specific", I5551="Invalid - Not Informed", I5551="Invalid - Ambiguous"), "Gap - Invalid Consent", "Compliant")))))</f>
        <v/>
      </c>
      <c r="O5551" s="7" t="n"/>
    </row>
    <row r="5552">
      <c r="A5552" s="7" t="n"/>
      <c r="B5552" s="7" t="n"/>
      <c r="C5552" s="7" t="n"/>
      <c r="D5552" s="7" t="n"/>
      <c r="E5552" s="7" t="n"/>
      <c r="F5552" s="7" t="n"/>
      <c r="G5552" s="7" t="n"/>
      <c r="H5552" s="7" t="n"/>
      <c r="I5552" s="7" t="n"/>
      <c r="J5552" s="7" t="n"/>
      <c r="K5552">
        <f>IF(D5552="Legitimate Interest (GDPR Art. 6(1)(f))", "Yes / Required (Sheet 3)", "")</f>
        <v/>
      </c>
      <c r="L5552" s="7" t="n"/>
      <c r="M5552" s="7" t="n"/>
      <c r="N5552">
        <f>IF(D5552="", "Gap - No Legal Basis", IF(AND(D5552="Consent (GDPR Art. 6(1)(a))", I5552="Not Captured"), "Gap - Invalid Consent", IF(AND(D5552="Legitimate Interest (GDPR Art. 6(1)(f))", L5552=""), "Gap - Missing LIA", IF(AND(G5552="Yes", H5552=""), "Gap - Missing Art. 9 Basis", IF(OR(I5552="Invalid - Not Freely Given", I5552="Invalid - Not Specific", I5552="Invalid - Not Informed", I5552="Invalid - Ambiguous"), "Gap - Invalid Consent", "Compliant")))))</f>
        <v/>
      </c>
      <c r="O5552" s="7" t="n"/>
    </row>
    <row r="5553">
      <c r="A5553" s="7" t="n"/>
      <c r="B5553" s="7" t="n"/>
      <c r="C5553" s="7" t="n"/>
      <c r="D5553" s="7" t="n"/>
      <c r="E5553" s="7" t="n"/>
      <c r="F5553" s="7" t="n"/>
      <c r="G5553" s="7" t="n"/>
      <c r="H5553" s="7" t="n"/>
      <c r="I5553" s="7" t="n"/>
      <c r="J5553" s="7" t="n"/>
      <c r="K5553">
        <f>IF(D5553="Legitimate Interest (GDPR Art. 6(1)(f))", "Yes / Required (Sheet 3)", "")</f>
        <v/>
      </c>
      <c r="L5553" s="7" t="n"/>
      <c r="M5553" s="7" t="n"/>
      <c r="N5553">
        <f>IF(D5553="", "Gap - No Legal Basis", IF(AND(D5553="Consent (GDPR Art. 6(1)(a))", I5553="Not Captured"), "Gap - Invalid Consent", IF(AND(D5553="Legitimate Interest (GDPR Art. 6(1)(f))", L5553=""), "Gap - Missing LIA", IF(AND(G5553="Yes", H5553=""), "Gap - Missing Art. 9 Basis", IF(OR(I5553="Invalid - Not Freely Given", I5553="Invalid - Not Specific", I5553="Invalid - Not Informed", I5553="Invalid - Ambiguous"), "Gap - Invalid Consent", "Compliant")))))</f>
        <v/>
      </c>
      <c r="O5553" s="7" t="n"/>
    </row>
    <row r="5554">
      <c r="A5554" s="7" t="n"/>
      <c r="B5554" s="7" t="n"/>
      <c r="C5554" s="7" t="n"/>
      <c r="D5554" s="7" t="n"/>
      <c r="E5554" s="7" t="n"/>
      <c r="F5554" s="7" t="n"/>
      <c r="G5554" s="7" t="n"/>
      <c r="H5554" s="7" t="n"/>
      <c r="I5554" s="7" t="n"/>
      <c r="J5554" s="7" t="n"/>
      <c r="K5554">
        <f>IF(D5554="Legitimate Interest (GDPR Art. 6(1)(f))", "Yes / Required (Sheet 3)", "")</f>
        <v/>
      </c>
      <c r="L5554" s="7" t="n"/>
      <c r="M5554" s="7" t="n"/>
      <c r="N5554">
        <f>IF(D5554="", "Gap - No Legal Basis", IF(AND(D5554="Consent (GDPR Art. 6(1)(a))", I5554="Not Captured"), "Gap - Invalid Consent", IF(AND(D5554="Legitimate Interest (GDPR Art. 6(1)(f))", L5554=""), "Gap - Missing LIA", IF(AND(G5554="Yes", H5554=""), "Gap - Missing Art. 9 Basis", IF(OR(I5554="Invalid - Not Freely Given", I5554="Invalid - Not Specific", I5554="Invalid - Not Informed", I5554="Invalid - Ambiguous"), "Gap - Invalid Consent", "Compliant")))))</f>
        <v/>
      </c>
      <c r="O5554" s="7" t="n"/>
    </row>
    <row r="5555">
      <c r="A5555" s="7" t="n"/>
      <c r="B5555" s="7" t="n"/>
      <c r="C5555" s="7" t="n"/>
      <c r="D5555" s="7" t="n"/>
      <c r="E5555" s="7" t="n"/>
      <c r="F5555" s="7" t="n"/>
      <c r="G5555" s="7" t="n"/>
      <c r="H5555" s="7" t="n"/>
      <c r="I5555" s="7" t="n"/>
      <c r="J5555" s="7" t="n"/>
      <c r="K5555">
        <f>IF(D5555="Legitimate Interest (GDPR Art. 6(1)(f))", "Yes / Required (Sheet 3)", "")</f>
        <v/>
      </c>
      <c r="L5555" s="7" t="n"/>
      <c r="M5555" s="7" t="n"/>
      <c r="N5555">
        <f>IF(D5555="", "Gap - No Legal Basis", IF(AND(D5555="Consent (GDPR Art. 6(1)(a))", I5555="Not Captured"), "Gap - Invalid Consent", IF(AND(D5555="Legitimate Interest (GDPR Art. 6(1)(f))", L5555=""), "Gap - Missing LIA", IF(AND(G5555="Yes", H5555=""), "Gap - Missing Art. 9 Basis", IF(OR(I5555="Invalid - Not Freely Given", I5555="Invalid - Not Specific", I5555="Invalid - Not Informed", I5555="Invalid - Ambiguous"), "Gap - Invalid Consent", "Compliant")))))</f>
        <v/>
      </c>
      <c r="O5555" s="7" t="n"/>
    </row>
    <row r="5556">
      <c r="A5556" s="7" t="n"/>
      <c r="B5556" s="7" t="n"/>
      <c r="C5556" s="7" t="n"/>
      <c r="D5556" s="7" t="n"/>
      <c r="E5556" s="7" t="n"/>
      <c r="F5556" s="7" t="n"/>
      <c r="G5556" s="7" t="n"/>
      <c r="H5556" s="7" t="n"/>
      <c r="I5556" s="7" t="n"/>
      <c r="J5556" s="7" t="n"/>
      <c r="K5556">
        <f>IF(D5556="Legitimate Interest (GDPR Art. 6(1)(f))", "Yes / Required (Sheet 3)", "")</f>
        <v/>
      </c>
      <c r="L5556" s="7" t="n"/>
      <c r="M5556" s="7" t="n"/>
      <c r="N5556">
        <f>IF(D5556="", "Gap - No Legal Basis", IF(AND(D5556="Consent (GDPR Art. 6(1)(a))", I5556="Not Captured"), "Gap - Invalid Consent", IF(AND(D5556="Legitimate Interest (GDPR Art. 6(1)(f))", L5556=""), "Gap - Missing LIA", IF(AND(G5556="Yes", H5556=""), "Gap - Missing Art. 9 Basis", IF(OR(I5556="Invalid - Not Freely Given", I5556="Invalid - Not Specific", I5556="Invalid - Not Informed", I5556="Invalid - Ambiguous"), "Gap - Invalid Consent", "Compliant")))))</f>
        <v/>
      </c>
      <c r="O5556" s="7" t="n"/>
    </row>
    <row r="5557">
      <c r="A5557" s="7" t="n"/>
      <c r="B5557" s="7" t="n"/>
      <c r="C5557" s="7" t="n"/>
      <c r="D5557" s="7" t="n"/>
      <c r="E5557" s="7" t="n"/>
      <c r="F5557" s="7" t="n"/>
      <c r="G5557" s="7" t="n"/>
      <c r="H5557" s="7" t="n"/>
      <c r="I5557" s="7" t="n"/>
      <c r="J5557" s="7" t="n"/>
      <c r="K5557">
        <f>IF(D5557="Legitimate Interest (GDPR Art. 6(1)(f))", "Yes / Required (Sheet 3)", "")</f>
        <v/>
      </c>
      <c r="L5557" s="7" t="n"/>
      <c r="M5557" s="7" t="n"/>
      <c r="N5557">
        <f>IF(D5557="", "Gap - No Legal Basis", IF(AND(D5557="Consent (GDPR Art. 6(1)(a))", I5557="Not Captured"), "Gap - Invalid Consent", IF(AND(D5557="Legitimate Interest (GDPR Art. 6(1)(f))", L5557=""), "Gap - Missing LIA", IF(AND(G5557="Yes", H5557=""), "Gap - Missing Art. 9 Basis", IF(OR(I5557="Invalid - Not Freely Given", I5557="Invalid - Not Specific", I5557="Invalid - Not Informed", I5557="Invalid - Ambiguous"), "Gap - Invalid Consent", "Compliant")))))</f>
        <v/>
      </c>
      <c r="O5557" s="7" t="n"/>
    </row>
    <row r="5558">
      <c r="A5558" s="7" t="n"/>
      <c r="B5558" s="7" t="n"/>
      <c r="C5558" s="7" t="n"/>
      <c r="D5558" s="7" t="n"/>
      <c r="E5558" s="7" t="n"/>
      <c r="F5558" s="7" t="n"/>
      <c r="G5558" s="7" t="n"/>
      <c r="H5558" s="7" t="n"/>
      <c r="I5558" s="7" t="n"/>
      <c r="J5558" s="7" t="n"/>
      <c r="K5558">
        <f>IF(D5558="Legitimate Interest (GDPR Art. 6(1)(f))", "Yes / Required (Sheet 3)", "")</f>
        <v/>
      </c>
      <c r="L5558" s="7" t="n"/>
      <c r="M5558" s="7" t="n"/>
      <c r="N5558">
        <f>IF(D5558="", "Gap - No Legal Basis", IF(AND(D5558="Consent (GDPR Art. 6(1)(a))", I5558="Not Captured"), "Gap - Invalid Consent", IF(AND(D5558="Legitimate Interest (GDPR Art. 6(1)(f))", L5558=""), "Gap - Missing LIA", IF(AND(G5558="Yes", H5558=""), "Gap - Missing Art. 9 Basis", IF(OR(I5558="Invalid - Not Freely Given", I5558="Invalid - Not Specific", I5558="Invalid - Not Informed", I5558="Invalid - Ambiguous"), "Gap - Invalid Consent", "Compliant")))))</f>
        <v/>
      </c>
      <c r="O5558" s="7" t="n"/>
    </row>
    <row r="5559">
      <c r="A5559" s="7" t="n"/>
      <c r="B5559" s="7" t="n"/>
      <c r="C5559" s="7" t="n"/>
      <c r="D5559" s="7" t="n"/>
      <c r="E5559" s="7" t="n"/>
      <c r="F5559" s="7" t="n"/>
      <c r="G5559" s="7" t="n"/>
      <c r="H5559" s="7" t="n"/>
      <c r="I5559" s="7" t="n"/>
      <c r="J5559" s="7" t="n"/>
      <c r="K5559">
        <f>IF(D5559="Legitimate Interest (GDPR Art. 6(1)(f))", "Yes / Required (Sheet 3)", "")</f>
        <v/>
      </c>
      <c r="L5559" s="7" t="n"/>
      <c r="M5559" s="7" t="n"/>
      <c r="N5559">
        <f>IF(D5559="", "Gap - No Legal Basis", IF(AND(D5559="Consent (GDPR Art. 6(1)(a))", I5559="Not Captured"), "Gap - Invalid Consent", IF(AND(D5559="Legitimate Interest (GDPR Art. 6(1)(f))", L5559=""), "Gap - Missing LIA", IF(AND(G5559="Yes", H5559=""), "Gap - Missing Art. 9 Basis", IF(OR(I5559="Invalid - Not Freely Given", I5559="Invalid - Not Specific", I5559="Invalid - Not Informed", I5559="Invalid - Ambiguous"), "Gap - Invalid Consent", "Compliant")))))</f>
        <v/>
      </c>
      <c r="O5559" s="7" t="n"/>
    </row>
    <row r="5560">
      <c r="A5560" s="7" t="n"/>
      <c r="B5560" s="7" t="n"/>
      <c r="C5560" s="7" t="n"/>
      <c r="D5560" s="7" t="n"/>
      <c r="E5560" s="7" t="n"/>
      <c r="F5560" s="7" t="n"/>
      <c r="G5560" s="7" t="n"/>
      <c r="H5560" s="7" t="n"/>
      <c r="I5560" s="7" t="n"/>
      <c r="J5560" s="7" t="n"/>
      <c r="K5560">
        <f>IF(D5560="Legitimate Interest (GDPR Art. 6(1)(f))", "Yes / Required (Sheet 3)", "")</f>
        <v/>
      </c>
      <c r="L5560" s="7" t="n"/>
      <c r="M5560" s="7" t="n"/>
      <c r="N5560">
        <f>IF(D5560="", "Gap - No Legal Basis", IF(AND(D5560="Consent (GDPR Art. 6(1)(a))", I5560="Not Captured"), "Gap - Invalid Consent", IF(AND(D5560="Legitimate Interest (GDPR Art. 6(1)(f))", L5560=""), "Gap - Missing LIA", IF(AND(G5560="Yes", H5560=""), "Gap - Missing Art. 9 Basis", IF(OR(I5560="Invalid - Not Freely Given", I5560="Invalid - Not Specific", I5560="Invalid - Not Informed", I5560="Invalid - Ambiguous"), "Gap - Invalid Consent", "Compliant")))))</f>
        <v/>
      </c>
      <c r="O5560" s="7" t="n"/>
    </row>
    <row r="5561">
      <c r="A5561" s="7" t="n"/>
      <c r="B5561" s="7" t="n"/>
      <c r="C5561" s="7" t="n"/>
      <c r="D5561" s="7" t="n"/>
      <c r="E5561" s="7" t="n"/>
      <c r="F5561" s="7" t="n"/>
      <c r="G5561" s="7" t="n"/>
      <c r="H5561" s="7" t="n"/>
      <c r="I5561" s="7" t="n"/>
      <c r="J5561" s="7" t="n"/>
      <c r="K5561">
        <f>IF(D5561="Legitimate Interest (GDPR Art. 6(1)(f))", "Yes / Required (Sheet 3)", "")</f>
        <v/>
      </c>
      <c r="L5561" s="7" t="n"/>
      <c r="M5561" s="7" t="n"/>
      <c r="N5561">
        <f>IF(D5561="", "Gap - No Legal Basis", IF(AND(D5561="Consent (GDPR Art. 6(1)(a))", I5561="Not Captured"), "Gap - Invalid Consent", IF(AND(D5561="Legitimate Interest (GDPR Art. 6(1)(f))", L5561=""), "Gap - Missing LIA", IF(AND(G5561="Yes", H5561=""), "Gap - Missing Art. 9 Basis", IF(OR(I5561="Invalid - Not Freely Given", I5561="Invalid - Not Specific", I5561="Invalid - Not Informed", I5561="Invalid - Ambiguous"), "Gap - Invalid Consent", "Compliant")))))</f>
        <v/>
      </c>
      <c r="O5561" s="7" t="n"/>
    </row>
    <row r="5562">
      <c r="A5562" s="7" t="n"/>
      <c r="B5562" s="7" t="n"/>
      <c r="C5562" s="7" t="n"/>
      <c r="D5562" s="7" t="n"/>
      <c r="E5562" s="7" t="n"/>
      <c r="F5562" s="7" t="n"/>
      <c r="G5562" s="7" t="n"/>
      <c r="H5562" s="7" t="n"/>
      <c r="I5562" s="7" t="n"/>
      <c r="J5562" s="7" t="n"/>
      <c r="K5562">
        <f>IF(D5562="Legitimate Interest (GDPR Art. 6(1)(f))", "Yes / Required (Sheet 3)", "")</f>
        <v/>
      </c>
      <c r="L5562" s="7" t="n"/>
      <c r="M5562" s="7" t="n"/>
      <c r="N5562">
        <f>IF(D5562="", "Gap - No Legal Basis", IF(AND(D5562="Consent (GDPR Art. 6(1)(a))", I5562="Not Captured"), "Gap - Invalid Consent", IF(AND(D5562="Legitimate Interest (GDPR Art. 6(1)(f))", L5562=""), "Gap - Missing LIA", IF(AND(G5562="Yes", H5562=""), "Gap - Missing Art. 9 Basis", IF(OR(I5562="Invalid - Not Freely Given", I5562="Invalid - Not Specific", I5562="Invalid - Not Informed", I5562="Invalid - Ambiguous"), "Gap - Invalid Consent", "Compliant")))))</f>
        <v/>
      </c>
      <c r="O5562" s="7" t="n"/>
    </row>
    <row r="5563">
      <c r="A5563" s="7" t="n"/>
      <c r="B5563" s="7" t="n"/>
      <c r="C5563" s="7" t="n"/>
      <c r="D5563" s="7" t="n"/>
      <c r="E5563" s="7" t="n"/>
      <c r="F5563" s="7" t="n"/>
      <c r="G5563" s="7" t="n"/>
      <c r="H5563" s="7" t="n"/>
      <c r="I5563" s="7" t="n"/>
      <c r="J5563" s="7" t="n"/>
      <c r="K5563">
        <f>IF(D5563="Legitimate Interest (GDPR Art. 6(1)(f))", "Yes / Required (Sheet 3)", "")</f>
        <v/>
      </c>
      <c r="L5563" s="7" t="n"/>
      <c r="M5563" s="7" t="n"/>
      <c r="N5563">
        <f>IF(D5563="", "Gap - No Legal Basis", IF(AND(D5563="Consent (GDPR Art. 6(1)(a))", I5563="Not Captured"), "Gap - Invalid Consent", IF(AND(D5563="Legitimate Interest (GDPR Art. 6(1)(f))", L5563=""), "Gap - Missing LIA", IF(AND(G5563="Yes", H5563=""), "Gap - Missing Art. 9 Basis", IF(OR(I5563="Invalid - Not Freely Given", I5563="Invalid - Not Specific", I5563="Invalid - Not Informed", I5563="Invalid - Ambiguous"), "Gap - Invalid Consent", "Compliant")))))</f>
        <v/>
      </c>
      <c r="O5563" s="7" t="n"/>
    </row>
    <row r="5564">
      <c r="A5564" s="7" t="n"/>
      <c r="B5564" s="7" t="n"/>
      <c r="C5564" s="7" t="n"/>
      <c r="D5564" s="7" t="n"/>
      <c r="E5564" s="7" t="n"/>
      <c r="F5564" s="7" t="n"/>
      <c r="G5564" s="7" t="n"/>
      <c r="H5564" s="7" t="n"/>
      <c r="I5564" s="7" t="n"/>
      <c r="J5564" s="7" t="n"/>
      <c r="K5564">
        <f>IF(D5564="Legitimate Interest (GDPR Art. 6(1)(f))", "Yes / Required (Sheet 3)", "")</f>
        <v/>
      </c>
      <c r="L5564" s="7" t="n"/>
      <c r="M5564" s="7" t="n"/>
      <c r="N5564">
        <f>IF(D5564="", "Gap - No Legal Basis", IF(AND(D5564="Consent (GDPR Art. 6(1)(a))", I5564="Not Captured"), "Gap - Invalid Consent", IF(AND(D5564="Legitimate Interest (GDPR Art. 6(1)(f))", L5564=""), "Gap - Missing LIA", IF(AND(G5564="Yes", H5564=""), "Gap - Missing Art. 9 Basis", IF(OR(I5564="Invalid - Not Freely Given", I5564="Invalid - Not Specific", I5564="Invalid - Not Informed", I5564="Invalid - Ambiguous"), "Gap - Invalid Consent", "Compliant")))))</f>
        <v/>
      </c>
      <c r="O5564" s="7" t="n"/>
    </row>
    <row r="5565">
      <c r="A5565" s="7" t="n"/>
      <c r="B5565" s="7" t="n"/>
      <c r="C5565" s="7" t="n"/>
      <c r="D5565" s="7" t="n"/>
      <c r="E5565" s="7" t="n"/>
      <c r="F5565" s="7" t="n"/>
      <c r="G5565" s="7" t="n"/>
      <c r="H5565" s="7" t="n"/>
      <c r="I5565" s="7" t="n"/>
      <c r="J5565" s="7" t="n"/>
      <c r="K5565">
        <f>IF(D5565="Legitimate Interest (GDPR Art. 6(1)(f))", "Yes / Required (Sheet 3)", "")</f>
        <v/>
      </c>
      <c r="L5565" s="7" t="n"/>
      <c r="M5565" s="7" t="n"/>
      <c r="N5565">
        <f>IF(D5565="", "Gap - No Legal Basis", IF(AND(D5565="Consent (GDPR Art. 6(1)(a))", I5565="Not Captured"), "Gap - Invalid Consent", IF(AND(D5565="Legitimate Interest (GDPR Art. 6(1)(f))", L5565=""), "Gap - Missing LIA", IF(AND(G5565="Yes", H5565=""), "Gap - Missing Art. 9 Basis", IF(OR(I5565="Invalid - Not Freely Given", I5565="Invalid - Not Specific", I5565="Invalid - Not Informed", I5565="Invalid - Ambiguous"), "Gap - Invalid Consent", "Compliant")))))</f>
        <v/>
      </c>
      <c r="O5565" s="7" t="n"/>
    </row>
    <row r="5566">
      <c r="A5566" s="7" t="n"/>
      <c r="B5566" s="7" t="n"/>
      <c r="C5566" s="7" t="n"/>
      <c r="D5566" s="7" t="n"/>
      <c r="E5566" s="7" t="n"/>
      <c r="F5566" s="7" t="n"/>
      <c r="G5566" s="7" t="n"/>
      <c r="H5566" s="7" t="n"/>
      <c r="I5566" s="7" t="n"/>
      <c r="J5566" s="7" t="n"/>
      <c r="K5566">
        <f>IF(D5566="Legitimate Interest (GDPR Art. 6(1)(f))", "Yes / Required (Sheet 3)", "")</f>
        <v/>
      </c>
      <c r="L5566" s="7" t="n"/>
      <c r="M5566" s="7" t="n"/>
      <c r="N5566">
        <f>IF(D5566="", "Gap - No Legal Basis", IF(AND(D5566="Consent (GDPR Art. 6(1)(a))", I5566="Not Captured"), "Gap - Invalid Consent", IF(AND(D5566="Legitimate Interest (GDPR Art. 6(1)(f))", L5566=""), "Gap - Missing LIA", IF(AND(G5566="Yes", H5566=""), "Gap - Missing Art. 9 Basis", IF(OR(I5566="Invalid - Not Freely Given", I5566="Invalid - Not Specific", I5566="Invalid - Not Informed", I5566="Invalid - Ambiguous"), "Gap - Invalid Consent", "Compliant")))))</f>
        <v/>
      </c>
      <c r="O5566" s="7" t="n"/>
    </row>
    <row r="5567">
      <c r="A5567" s="7" t="n"/>
      <c r="B5567" s="7" t="n"/>
      <c r="C5567" s="7" t="n"/>
      <c r="D5567" s="7" t="n"/>
      <c r="E5567" s="7" t="n"/>
      <c r="F5567" s="7" t="n"/>
      <c r="G5567" s="7" t="n"/>
      <c r="H5567" s="7" t="n"/>
      <c r="I5567" s="7" t="n"/>
      <c r="J5567" s="7" t="n"/>
      <c r="K5567">
        <f>IF(D5567="Legitimate Interest (GDPR Art. 6(1)(f))", "Yes / Required (Sheet 3)", "")</f>
        <v/>
      </c>
      <c r="L5567" s="7" t="n"/>
      <c r="M5567" s="7" t="n"/>
      <c r="N5567">
        <f>IF(D5567="", "Gap - No Legal Basis", IF(AND(D5567="Consent (GDPR Art. 6(1)(a))", I5567="Not Captured"), "Gap - Invalid Consent", IF(AND(D5567="Legitimate Interest (GDPR Art. 6(1)(f))", L5567=""), "Gap - Missing LIA", IF(AND(G5567="Yes", H5567=""), "Gap - Missing Art. 9 Basis", IF(OR(I5567="Invalid - Not Freely Given", I5567="Invalid - Not Specific", I5567="Invalid - Not Informed", I5567="Invalid - Ambiguous"), "Gap - Invalid Consent", "Compliant")))))</f>
        <v/>
      </c>
      <c r="O5567" s="7" t="n"/>
    </row>
    <row r="5568">
      <c r="A5568" s="7" t="n"/>
      <c r="B5568" s="7" t="n"/>
      <c r="C5568" s="7" t="n"/>
      <c r="D5568" s="7" t="n"/>
      <c r="E5568" s="7" t="n"/>
      <c r="F5568" s="7" t="n"/>
      <c r="G5568" s="7" t="n"/>
      <c r="H5568" s="7" t="n"/>
      <c r="I5568" s="7" t="n"/>
      <c r="J5568" s="7" t="n"/>
      <c r="K5568">
        <f>IF(D5568="Legitimate Interest (GDPR Art. 6(1)(f))", "Yes / Required (Sheet 3)", "")</f>
        <v/>
      </c>
      <c r="L5568" s="7" t="n"/>
      <c r="M5568" s="7" t="n"/>
      <c r="N5568">
        <f>IF(D5568="", "Gap - No Legal Basis", IF(AND(D5568="Consent (GDPR Art. 6(1)(a))", I5568="Not Captured"), "Gap - Invalid Consent", IF(AND(D5568="Legitimate Interest (GDPR Art. 6(1)(f))", L5568=""), "Gap - Missing LIA", IF(AND(G5568="Yes", H5568=""), "Gap - Missing Art. 9 Basis", IF(OR(I5568="Invalid - Not Freely Given", I5568="Invalid - Not Specific", I5568="Invalid - Not Informed", I5568="Invalid - Ambiguous"), "Gap - Invalid Consent", "Compliant")))))</f>
        <v/>
      </c>
      <c r="O5568" s="7" t="n"/>
    </row>
    <row r="5569">
      <c r="A5569" s="7" t="n"/>
      <c r="B5569" s="7" t="n"/>
      <c r="C5569" s="7" t="n"/>
      <c r="D5569" s="7" t="n"/>
      <c r="E5569" s="7" t="n"/>
      <c r="F5569" s="7" t="n"/>
      <c r="G5569" s="7" t="n"/>
      <c r="H5569" s="7" t="n"/>
      <c r="I5569" s="7" t="n"/>
      <c r="J5569" s="7" t="n"/>
      <c r="K5569">
        <f>IF(D5569="Legitimate Interest (GDPR Art. 6(1)(f))", "Yes / Required (Sheet 3)", "")</f>
        <v/>
      </c>
      <c r="L5569" s="7" t="n"/>
      <c r="M5569" s="7" t="n"/>
      <c r="N5569">
        <f>IF(D5569="", "Gap - No Legal Basis", IF(AND(D5569="Consent (GDPR Art. 6(1)(a))", I5569="Not Captured"), "Gap - Invalid Consent", IF(AND(D5569="Legitimate Interest (GDPR Art. 6(1)(f))", L5569=""), "Gap - Missing LIA", IF(AND(G5569="Yes", H5569=""), "Gap - Missing Art. 9 Basis", IF(OR(I5569="Invalid - Not Freely Given", I5569="Invalid - Not Specific", I5569="Invalid - Not Informed", I5569="Invalid - Ambiguous"), "Gap - Invalid Consent", "Compliant")))))</f>
        <v/>
      </c>
      <c r="O5569" s="7" t="n"/>
    </row>
    <row r="5570">
      <c r="A5570" s="7" t="n"/>
      <c r="B5570" s="7" t="n"/>
      <c r="C5570" s="7" t="n"/>
      <c r="D5570" s="7" t="n"/>
      <c r="E5570" s="7" t="n"/>
      <c r="F5570" s="7" t="n"/>
      <c r="G5570" s="7" t="n"/>
      <c r="H5570" s="7" t="n"/>
      <c r="I5570" s="7" t="n"/>
      <c r="J5570" s="7" t="n"/>
      <c r="K5570">
        <f>IF(D5570="Legitimate Interest (GDPR Art. 6(1)(f))", "Yes / Required (Sheet 3)", "")</f>
        <v/>
      </c>
      <c r="L5570" s="7" t="n"/>
      <c r="M5570" s="7" t="n"/>
      <c r="N5570">
        <f>IF(D5570="", "Gap - No Legal Basis", IF(AND(D5570="Consent (GDPR Art. 6(1)(a))", I5570="Not Captured"), "Gap - Invalid Consent", IF(AND(D5570="Legitimate Interest (GDPR Art. 6(1)(f))", L5570=""), "Gap - Missing LIA", IF(AND(G5570="Yes", H5570=""), "Gap - Missing Art. 9 Basis", IF(OR(I5570="Invalid - Not Freely Given", I5570="Invalid - Not Specific", I5570="Invalid - Not Informed", I5570="Invalid - Ambiguous"), "Gap - Invalid Consent", "Compliant")))))</f>
        <v/>
      </c>
      <c r="O5570" s="7" t="n"/>
    </row>
    <row r="5571">
      <c r="A5571" s="7" t="n"/>
      <c r="B5571" s="7" t="n"/>
      <c r="C5571" s="7" t="n"/>
      <c r="D5571" s="7" t="n"/>
      <c r="E5571" s="7" t="n"/>
      <c r="F5571" s="7" t="n"/>
      <c r="G5571" s="7" t="n"/>
      <c r="H5571" s="7" t="n"/>
      <c r="I5571" s="7" t="n"/>
      <c r="J5571" s="7" t="n"/>
      <c r="K5571">
        <f>IF(D5571="Legitimate Interest (GDPR Art. 6(1)(f))", "Yes / Required (Sheet 3)", "")</f>
        <v/>
      </c>
      <c r="L5571" s="7" t="n"/>
      <c r="M5571" s="7" t="n"/>
      <c r="N5571">
        <f>IF(D5571="", "Gap - No Legal Basis", IF(AND(D5571="Consent (GDPR Art. 6(1)(a))", I5571="Not Captured"), "Gap - Invalid Consent", IF(AND(D5571="Legitimate Interest (GDPR Art. 6(1)(f))", L5571=""), "Gap - Missing LIA", IF(AND(G5571="Yes", H5571=""), "Gap - Missing Art. 9 Basis", IF(OR(I5571="Invalid - Not Freely Given", I5571="Invalid - Not Specific", I5571="Invalid - Not Informed", I5571="Invalid - Ambiguous"), "Gap - Invalid Consent", "Compliant")))))</f>
        <v/>
      </c>
      <c r="O5571" s="7" t="n"/>
    </row>
    <row r="5572">
      <c r="A5572" s="7" t="n"/>
      <c r="B5572" s="7" t="n"/>
      <c r="C5572" s="7" t="n"/>
      <c r="D5572" s="7" t="n"/>
      <c r="E5572" s="7" t="n"/>
      <c r="F5572" s="7" t="n"/>
      <c r="G5572" s="7" t="n"/>
      <c r="H5572" s="7" t="n"/>
      <c r="I5572" s="7" t="n"/>
      <c r="J5572" s="7" t="n"/>
      <c r="K5572">
        <f>IF(D5572="Legitimate Interest (GDPR Art. 6(1)(f))", "Yes / Required (Sheet 3)", "")</f>
        <v/>
      </c>
      <c r="L5572" s="7" t="n"/>
      <c r="M5572" s="7" t="n"/>
      <c r="N5572">
        <f>IF(D5572="", "Gap - No Legal Basis", IF(AND(D5572="Consent (GDPR Art. 6(1)(a))", I5572="Not Captured"), "Gap - Invalid Consent", IF(AND(D5572="Legitimate Interest (GDPR Art. 6(1)(f))", L5572=""), "Gap - Missing LIA", IF(AND(G5572="Yes", H5572=""), "Gap - Missing Art. 9 Basis", IF(OR(I5572="Invalid - Not Freely Given", I5572="Invalid - Not Specific", I5572="Invalid - Not Informed", I5572="Invalid - Ambiguous"), "Gap - Invalid Consent", "Compliant")))))</f>
        <v/>
      </c>
      <c r="O5572" s="7" t="n"/>
    </row>
    <row r="5573">
      <c r="A5573" s="7" t="n"/>
      <c r="B5573" s="7" t="n"/>
      <c r="C5573" s="7" t="n"/>
      <c r="D5573" s="7" t="n"/>
      <c r="E5573" s="7" t="n"/>
      <c r="F5573" s="7" t="n"/>
      <c r="G5573" s="7" t="n"/>
      <c r="H5573" s="7" t="n"/>
      <c r="I5573" s="7" t="n"/>
      <c r="J5573" s="7" t="n"/>
      <c r="K5573">
        <f>IF(D5573="Legitimate Interest (GDPR Art. 6(1)(f))", "Yes / Required (Sheet 3)", "")</f>
        <v/>
      </c>
      <c r="L5573" s="7" t="n"/>
      <c r="M5573" s="7" t="n"/>
      <c r="N5573">
        <f>IF(D5573="", "Gap - No Legal Basis", IF(AND(D5573="Consent (GDPR Art. 6(1)(a))", I5573="Not Captured"), "Gap - Invalid Consent", IF(AND(D5573="Legitimate Interest (GDPR Art. 6(1)(f))", L5573=""), "Gap - Missing LIA", IF(AND(G5573="Yes", H5573=""), "Gap - Missing Art. 9 Basis", IF(OR(I5573="Invalid - Not Freely Given", I5573="Invalid - Not Specific", I5573="Invalid - Not Informed", I5573="Invalid - Ambiguous"), "Gap - Invalid Consent", "Compliant")))))</f>
        <v/>
      </c>
      <c r="O5573" s="7" t="n"/>
    </row>
    <row r="5574">
      <c r="A5574" s="7" t="n"/>
      <c r="B5574" s="7" t="n"/>
      <c r="C5574" s="7" t="n"/>
      <c r="D5574" s="7" t="n"/>
      <c r="E5574" s="7" t="n"/>
      <c r="F5574" s="7" t="n"/>
      <c r="G5574" s="7" t="n"/>
      <c r="H5574" s="7" t="n"/>
      <c r="I5574" s="7" t="n"/>
      <c r="J5574" s="7" t="n"/>
      <c r="K5574">
        <f>IF(D5574="Legitimate Interest (GDPR Art. 6(1)(f))", "Yes / Required (Sheet 3)", "")</f>
        <v/>
      </c>
      <c r="L5574" s="7" t="n"/>
      <c r="M5574" s="7" t="n"/>
      <c r="N5574">
        <f>IF(D5574="", "Gap - No Legal Basis", IF(AND(D5574="Consent (GDPR Art. 6(1)(a))", I5574="Not Captured"), "Gap - Invalid Consent", IF(AND(D5574="Legitimate Interest (GDPR Art. 6(1)(f))", L5574=""), "Gap - Missing LIA", IF(AND(G5574="Yes", H5574=""), "Gap - Missing Art. 9 Basis", IF(OR(I5574="Invalid - Not Freely Given", I5574="Invalid - Not Specific", I5574="Invalid - Not Informed", I5574="Invalid - Ambiguous"), "Gap - Invalid Consent", "Compliant")))))</f>
        <v/>
      </c>
      <c r="O5574" s="7" t="n"/>
    </row>
    <row r="5575">
      <c r="A5575" s="7" t="n"/>
      <c r="B5575" s="7" t="n"/>
      <c r="C5575" s="7" t="n"/>
      <c r="D5575" s="7" t="n"/>
      <c r="E5575" s="7" t="n"/>
      <c r="F5575" s="7" t="n"/>
      <c r="G5575" s="7" t="n"/>
      <c r="H5575" s="7" t="n"/>
      <c r="I5575" s="7" t="n"/>
      <c r="J5575" s="7" t="n"/>
      <c r="K5575">
        <f>IF(D5575="Legitimate Interest (GDPR Art. 6(1)(f))", "Yes / Required (Sheet 3)", "")</f>
        <v/>
      </c>
      <c r="L5575" s="7" t="n"/>
      <c r="M5575" s="7" t="n"/>
      <c r="N5575">
        <f>IF(D5575="", "Gap - No Legal Basis", IF(AND(D5575="Consent (GDPR Art. 6(1)(a))", I5575="Not Captured"), "Gap - Invalid Consent", IF(AND(D5575="Legitimate Interest (GDPR Art. 6(1)(f))", L5575=""), "Gap - Missing LIA", IF(AND(G5575="Yes", H5575=""), "Gap - Missing Art. 9 Basis", IF(OR(I5575="Invalid - Not Freely Given", I5575="Invalid - Not Specific", I5575="Invalid - Not Informed", I5575="Invalid - Ambiguous"), "Gap - Invalid Consent", "Compliant")))))</f>
        <v/>
      </c>
      <c r="O5575" s="7" t="n"/>
    </row>
    <row r="5576">
      <c r="A5576" s="7" t="n"/>
      <c r="B5576" s="7" t="n"/>
      <c r="C5576" s="7" t="n"/>
      <c r="D5576" s="7" t="n"/>
      <c r="E5576" s="7" t="n"/>
      <c r="F5576" s="7" t="n"/>
      <c r="G5576" s="7" t="n"/>
      <c r="H5576" s="7" t="n"/>
      <c r="I5576" s="7" t="n"/>
      <c r="J5576" s="7" t="n"/>
      <c r="K5576">
        <f>IF(D5576="Legitimate Interest (GDPR Art. 6(1)(f))", "Yes / Required (Sheet 3)", "")</f>
        <v/>
      </c>
      <c r="L5576" s="7" t="n"/>
      <c r="M5576" s="7" t="n"/>
      <c r="N5576">
        <f>IF(D5576="", "Gap - No Legal Basis", IF(AND(D5576="Consent (GDPR Art. 6(1)(a))", I5576="Not Captured"), "Gap - Invalid Consent", IF(AND(D5576="Legitimate Interest (GDPR Art. 6(1)(f))", L5576=""), "Gap - Missing LIA", IF(AND(G5576="Yes", H5576=""), "Gap - Missing Art. 9 Basis", IF(OR(I5576="Invalid - Not Freely Given", I5576="Invalid - Not Specific", I5576="Invalid - Not Informed", I5576="Invalid - Ambiguous"), "Gap - Invalid Consent", "Compliant")))))</f>
        <v/>
      </c>
      <c r="O5576" s="7" t="n"/>
    </row>
    <row r="5577">
      <c r="A5577" s="7" t="n"/>
      <c r="B5577" s="7" t="n"/>
      <c r="C5577" s="7" t="n"/>
      <c r="D5577" s="7" t="n"/>
      <c r="E5577" s="7" t="n"/>
      <c r="F5577" s="7" t="n"/>
      <c r="G5577" s="7" t="n"/>
      <c r="H5577" s="7" t="n"/>
      <c r="I5577" s="7" t="n"/>
      <c r="J5577" s="7" t="n"/>
      <c r="K5577">
        <f>IF(D5577="Legitimate Interest (GDPR Art. 6(1)(f))", "Yes / Required (Sheet 3)", "")</f>
        <v/>
      </c>
      <c r="L5577" s="7" t="n"/>
      <c r="M5577" s="7" t="n"/>
      <c r="N5577">
        <f>IF(D5577="", "Gap - No Legal Basis", IF(AND(D5577="Consent (GDPR Art. 6(1)(a))", I5577="Not Captured"), "Gap - Invalid Consent", IF(AND(D5577="Legitimate Interest (GDPR Art. 6(1)(f))", L5577=""), "Gap - Missing LIA", IF(AND(G5577="Yes", H5577=""), "Gap - Missing Art. 9 Basis", IF(OR(I5577="Invalid - Not Freely Given", I5577="Invalid - Not Specific", I5577="Invalid - Not Informed", I5577="Invalid - Ambiguous"), "Gap - Invalid Consent", "Compliant")))))</f>
        <v/>
      </c>
      <c r="O5577" s="7" t="n"/>
    </row>
    <row r="5578">
      <c r="A5578" s="7" t="n"/>
      <c r="B5578" s="7" t="n"/>
      <c r="C5578" s="7" t="n"/>
      <c r="D5578" s="7" t="n"/>
      <c r="E5578" s="7" t="n"/>
      <c r="F5578" s="7" t="n"/>
      <c r="G5578" s="7" t="n"/>
      <c r="H5578" s="7" t="n"/>
      <c r="I5578" s="7" t="n"/>
      <c r="J5578" s="7" t="n"/>
      <c r="K5578">
        <f>IF(D5578="Legitimate Interest (GDPR Art. 6(1)(f))", "Yes / Required (Sheet 3)", "")</f>
        <v/>
      </c>
      <c r="L5578" s="7" t="n"/>
      <c r="M5578" s="7" t="n"/>
      <c r="N5578">
        <f>IF(D5578="", "Gap - No Legal Basis", IF(AND(D5578="Consent (GDPR Art. 6(1)(a))", I5578="Not Captured"), "Gap - Invalid Consent", IF(AND(D5578="Legitimate Interest (GDPR Art. 6(1)(f))", L5578=""), "Gap - Missing LIA", IF(AND(G5578="Yes", H5578=""), "Gap - Missing Art. 9 Basis", IF(OR(I5578="Invalid - Not Freely Given", I5578="Invalid - Not Specific", I5578="Invalid - Not Informed", I5578="Invalid - Ambiguous"), "Gap - Invalid Consent", "Compliant")))))</f>
        <v/>
      </c>
      <c r="O5578" s="7" t="n"/>
    </row>
    <row r="5579">
      <c r="A5579" s="7" t="n"/>
      <c r="B5579" s="7" t="n"/>
      <c r="C5579" s="7" t="n"/>
      <c r="D5579" s="7" t="n"/>
      <c r="E5579" s="7" t="n"/>
      <c r="F5579" s="7" t="n"/>
      <c r="G5579" s="7" t="n"/>
      <c r="H5579" s="7" t="n"/>
      <c r="I5579" s="7" t="n"/>
      <c r="J5579" s="7" t="n"/>
      <c r="K5579">
        <f>IF(D5579="Legitimate Interest (GDPR Art. 6(1)(f))", "Yes / Required (Sheet 3)", "")</f>
        <v/>
      </c>
      <c r="L5579" s="7" t="n"/>
      <c r="M5579" s="7" t="n"/>
      <c r="N5579">
        <f>IF(D5579="", "Gap - No Legal Basis", IF(AND(D5579="Consent (GDPR Art. 6(1)(a))", I5579="Not Captured"), "Gap - Invalid Consent", IF(AND(D5579="Legitimate Interest (GDPR Art. 6(1)(f))", L5579=""), "Gap - Missing LIA", IF(AND(G5579="Yes", H5579=""), "Gap - Missing Art. 9 Basis", IF(OR(I5579="Invalid - Not Freely Given", I5579="Invalid - Not Specific", I5579="Invalid - Not Informed", I5579="Invalid - Ambiguous"), "Gap - Invalid Consent", "Compliant")))))</f>
        <v/>
      </c>
      <c r="O5579" s="7" t="n"/>
    </row>
    <row r="5580">
      <c r="A5580" s="7" t="n"/>
      <c r="B5580" s="7" t="n"/>
      <c r="C5580" s="7" t="n"/>
      <c r="D5580" s="7" t="n"/>
      <c r="E5580" s="7" t="n"/>
      <c r="F5580" s="7" t="n"/>
      <c r="G5580" s="7" t="n"/>
      <c r="H5580" s="7" t="n"/>
      <c r="I5580" s="7" t="n"/>
      <c r="J5580" s="7" t="n"/>
      <c r="K5580">
        <f>IF(D5580="Legitimate Interest (GDPR Art. 6(1)(f))", "Yes / Required (Sheet 3)", "")</f>
        <v/>
      </c>
      <c r="L5580" s="7" t="n"/>
      <c r="M5580" s="7" t="n"/>
      <c r="N5580">
        <f>IF(D5580="", "Gap - No Legal Basis", IF(AND(D5580="Consent (GDPR Art. 6(1)(a))", I5580="Not Captured"), "Gap - Invalid Consent", IF(AND(D5580="Legitimate Interest (GDPR Art. 6(1)(f))", L5580=""), "Gap - Missing LIA", IF(AND(G5580="Yes", H5580=""), "Gap - Missing Art. 9 Basis", IF(OR(I5580="Invalid - Not Freely Given", I5580="Invalid - Not Specific", I5580="Invalid - Not Informed", I5580="Invalid - Ambiguous"), "Gap - Invalid Consent", "Compliant")))))</f>
        <v/>
      </c>
      <c r="O5580" s="7" t="n"/>
    </row>
    <row r="5581">
      <c r="A5581" s="7" t="n"/>
      <c r="B5581" s="7" t="n"/>
      <c r="C5581" s="7" t="n"/>
      <c r="D5581" s="7" t="n"/>
      <c r="E5581" s="7" t="n"/>
      <c r="F5581" s="7" t="n"/>
      <c r="G5581" s="7" t="n"/>
      <c r="H5581" s="7" t="n"/>
      <c r="I5581" s="7" t="n"/>
      <c r="J5581" s="7" t="n"/>
      <c r="K5581">
        <f>IF(D5581="Legitimate Interest (GDPR Art. 6(1)(f))", "Yes / Required (Sheet 3)", "")</f>
        <v/>
      </c>
      <c r="L5581" s="7" t="n"/>
      <c r="M5581" s="7" t="n"/>
      <c r="N5581">
        <f>IF(D5581="", "Gap - No Legal Basis", IF(AND(D5581="Consent (GDPR Art. 6(1)(a))", I5581="Not Captured"), "Gap - Invalid Consent", IF(AND(D5581="Legitimate Interest (GDPR Art. 6(1)(f))", L5581=""), "Gap - Missing LIA", IF(AND(G5581="Yes", H5581=""), "Gap - Missing Art. 9 Basis", IF(OR(I5581="Invalid - Not Freely Given", I5581="Invalid - Not Specific", I5581="Invalid - Not Informed", I5581="Invalid - Ambiguous"), "Gap - Invalid Consent", "Compliant")))))</f>
        <v/>
      </c>
      <c r="O5581" s="7" t="n"/>
    </row>
    <row r="5582">
      <c r="A5582" s="7" t="n"/>
      <c r="B5582" s="7" t="n"/>
      <c r="C5582" s="7" t="n"/>
      <c r="D5582" s="7" t="n"/>
      <c r="E5582" s="7" t="n"/>
      <c r="F5582" s="7" t="n"/>
      <c r="G5582" s="7" t="n"/>
      <c r="H5582" s="7" t="n"/>
      <c r="I5582" s="7" t="n"/>
      <c r="J5582" s="7" t="n"/>
      <c r="K5582">
        <f>IF(D5582="Legitimate Interest (GDPR Art. 6(1)(f))", "Yes / Required (Sheet 3)", "")</f>
        <v/>
      </c>
      <c r="L5582" s="7" t="n"/>
      <c r="M5582" s="7" t="n"/>
      <c r="N5582">
        <f>IF(D5582="", "Gap - No Legal Basis", IF(AND(D5582="Consent (GDPR Art. 6(1)(a))", I5582="Not Captured"), "Gap - Invalid Consent", IF(AND(D5582="Legitimate Interest (GDPR Art. 6(1)(f))", L5582=""), "Gap - Missing LIA", IF(AND(G5582="Yes", H5582=""), "Gap - Missing Art. 9 Basis", IF(OR(I5582="Invalid - Not Freely Given", I5582="Invalid - Not Specific", I5582="Invalid - Not Informed", I5582="Invalid - Ambiguous"), "Gap - Invalid Consent", "Compliant")))))</f>
        <v/>
      </c>
      <c r="O5582" s="7" t="n"/>
    </row>
    <row r="5583">
      <c r="A5583" s="7" t="n"/>
      <c r="B5583" s="7" t="n"/>
      <c r="C5583" s="7" t="n"/>
      <c r="D5583" s="7" t="n"/>
      <c r="E5583" s="7" t="n"/>
      <c r="F5583" s="7" t="n"/>
      <c r="G5583" s="7" t="n"/>
      <c r="H5583" s="7" t="n"/>
      <c r="I5583" s="7" t="n"/>
      <c r="J5583" s="7" t="n"/>
      <c r="K5583">
        <f>IF(D5583="Legitimate Interest (GDPR Art. 6(1)(f))", "Yes / Required (Sheet 3)", "")</f>
        <v/>
      </c>
      <c r="L5583" s="7" t="n"/>
      <c r="M5583" s="7" t="n"/>
      <c r="N5583">
        <f>IF(D5583="", "Gap - No Legal Basis", IF(AND(D5583="Consent (GDPR Art. 6(1)(a))", I5583="Not Captured"), "Gap - Invalid Consent", IF(AND(D5583="Legitimate Interest (GDPR Art. 6(1)(f))", L5583=""), "Gap - Missing LIA", IF(AND(G5583="Yes", H5583=""), "Gap - Missing Art. 9 Basis", IF(OR(I5583="Invalid - Not Freely Given", I5583="Invalid - Not Specific", I5583="Invalid - Not Informed", I5583="Invalid - Ambiguous"), "Gap - Invalid Consent", "Compliant")))))</f>
        <v/>
      </c>
      <c r="O5583" s="7" t="n"/>
    </row>
    <row r="5584">
      <c r="A5584" s="7" t="n"/>
      <c r="B5584" s="7" t="n"/>
      <c r="C5584" s="7" t="n"/>
      <c r="D5584" s="7" t="n"/>
      <c r="E5584" s="7" t="n"/>
      <c r="F5584" s="7" t="n"/>
      <c r="G5584" s="7" t="n"/>
      <c r="H5584" s="7" t="n"/>
      <c r="I5584" s="7" t="n"/>
      <c r="J5584" s="7" t="n"/>
      <c r="K5584">
        <f>IF(D5584="Legitimate Interest (GDPR Art. 6(1)(f))", "Yes / Required (Sheet 3)", "")</f>
        <v/>
      </c>
      <c r="L5584" s="7" t="n"/>
      <c r="M5584" s="7" t="n"/>
      <c r="N5584">
        <f>IF(D5584="", "Gap - No Legal Basis", IF(AND(D5584="Consent (GDPR Art. 6(1)(a))", I5584="Not Captured"), "Gap - Invalid Consent", IF(AND(D5584="Legitimate Interest (GDPR Art. 6(1)(f))", L5584=""), "Gap - Missing LIA", IF(AND(G5584="Yes", H5584=""), "Gap - Missing Art. 9 Basis", IF(OR(I5584="Invalid - Not Freely Given", I5584="Invalid - Not Specific", I5584="Invalid - Not Informed", I5584="Invalid - Ambiguous"), "Gap - Invalid Consent", "Compliant")))))</f>
        <v/>
      </c>
      <c r="O5584" s="7" t="n"/>
    </row>
    <row r="5585">
      <c r="A5585" s="7" t="n"/>
      <c r="B5585" s="7" t="n"/>
      <c r="C5585" s="7" t="n"/>
      <c r="D5585" s="7" t="n"/>
      <c r="E5585" s="7" t="n"/>
      <c r="F5585" s="7" t="n"/>
      <c r="G5585" s="7" t="n"/>
      <c r="H5585" s="7" t="n"/>
      <c r="I5585" s="7" t="n"/>
      <c r="J5585" s="7" t="n"/>
      <c r="K5585">
        <f>IF(D5585="Legitimate Interest (GDPR Art. 6(1)(f))", "Yes / Required (Sheet 3)", "")</f>
        <v/>
      </c>
      <c r="L5585" s="7" t="n"/>
      <c r="M5585" s="7" t="n"/>
      <c r="N5585">
        <f>IF(D5585="", "Gap - No Legal Basis", IF(AND(D5585="Consent (GDPR Art. 6(1)(a))", I5585="Not Captured"), "Gap - Invalid Consent", IF(AND(D5585="Legitimate Interest (GDPR Art. 6(1)(f))", L5585=""), "Gap - Missing LIA", IF(AND(G5585="Yes", H5585=""), "Gap - Missing Art. 9 Basis", IF(OR(I5585="Invalid - Not Freely Given", I5585="Invalid - Not Specific", I5585="Invalid - Not Informed", I5585="Invalid - Ambiguous"), "Gap - Invalid Consent", "Compliant")))))</f>
        <v/>
      </c>
      <c r="O5585" s="7" t="n"/>
    </row>
    <row r="5586">
      <c r="A5586" s="7" t="n"/>
      <c r="B5586" s="7" t="n"/>
      <c r="C5586" s="7" t="n"/>
      <c r="D5586" s="7" t="n"/>
      <c r="E5586" s="7" t="n"/>
      <c r="F5586" s="7" t="n"/>
      <c r="G5586" s="7" t="n"/>
      <c r="H5586" s="7" t="n"/>
      <c r="I5586" s="7" t="n"/>
      <c r="J5586" s="7" t="n"/>
      <c r="K5586">
        <f>IF(D5586="Legitimate Interest (GDPR Art. 6(1)(f))", "Yes / Required (Sheet 3)", "")</f>
        <v/>
      </c>
      <c r="L5586" s="7" t="n"/>
      <c r="M5586" s="7" t="n"/>
      <c r="N5586">
        <f>IF(D5586="", "Gap - No Legal Basis", IF(AND(D5586="Consent (GDPR Art. 6(1)(a))", I5586="Not Captured"), "Gap - Invalid Consent", IF(AND(D5586="Legitimate Interest (GDPR Art. 6(1)(f))", L5586=""), "Gap - Missing LIA", IF(AND(G5586="Yes", H5586=""), "Gap - Missing Art. 9 Basis", IF(OR(I5586="Invalid - Not Freely Given", I5586="Invalid - Not Specific", I5586="Invalid - Not Informed", I5586="Invalid - Ambiguous"), "Gap - Invalid Consent", "Compliant")))))</f>
        <v/>
      </c>
      <c r="O5586" s="7" t="n"/>
    </row>
    <row r="5587">
      <c r="A5587" s="7" t="n"/>
      <c r="B5587" s="7" t="n"/>
      <c r="C5587" s="7" t="n"/>
      <c r="D5587" s="7" t="n"/>
      <c r="E5587" s="7" t="n"/>
      <c r="F5587" s="7" t="n"/>
      <c r="G5587" s="7" t="n"/>
      <c r="H5587" s="7" t="n"/>
      <c r="I5587" s="7" t="n"/>
      <c r="J5587" s="7" t="n"/>
      <c r="K5587">
        <f>IF(D5587="Legitimate Interest (GDPR Art. 6(1)(f))", "Yes / Required (Sheet 3)", "")</f>
        <v/>
      </c>
      <c r="L5587" s="7" t="n"/>
      <c r="M5587" s="7" t="n"/>
      <c r="N5587">
        <f>IF(D5587="", "Gap - No Legal Basis", IF(AND(D5587="Consent (GDPR Art. 6(1)(a))", I5587="Not Captured"), "Gap - Invalid Consent", IF(AND(D5587="Legitimate Interest (GDPR Art. 6(1)(f))", L5587=""), "Gap - Missing LIA", IF(AND(G5587="Yes", H5587=""), "Gap - Missing Art. 9 Basis", IF(OR(I5587="Invalid - Not Freely Given", I5587="Invalid - Not Specific", I5587="Invalid - Not Informed", I5587="Invalid - Ambiguous"), "Gap - Invalid Consent", "Compliant")))))</f>
        <v/>
      </c>
      <c r="O5587" s="7" t="n"/>
    </row>
    <row r="5588">
      <c r="A5588" s="7" t="n"/>
      <c r="B5588" s="7" t="n"/>
      <c r="C5588" s="7" t="n"/>
      <c r="D5588" s="7" t="n"/>
      <c r="E5588" s="7" t="n"/>
      <c r="F5588" s="7" t="n"/>
      <c r="G5588" s="7" t="n"/>
      <c r="H5588" s="7" t="n"/>
      <c r="I5588" s="7" t="n"/>
      <c r="J5588" s="7" t="n"/>
      <c r="K5588">
        <f>IF(D5588="Legitimate Interest (GDPR Art. 6(1)(f))", "Yes / Required (Sheet 3)", "")</f>
        <v/>
      </c>
      <c r="L5588" s="7" t="n"/>
      <c r="M5588" s="7" t="n"/>
      <c r="N5588">
        <f>IF(D5588="", "Gap - No Legal Basis", IF(AND(D5588="Consent (GDPR Art. 6(1)(a))", I5588="Not Captured"), "Gap - Invalid Consent", IF(AND(D5588="Legitimate Interest (GDPR Art. 6(1)(f))", L5588=""), "Gap - Missing LIA", IF(AND(G5588="Yes", H5588=""), "Gap - Missing Art. 9 Basis", IF(OR(I5588="Invalid - Not Freely Given", I5588="Invalid - Not Specific", I5588="Invalid - Not Informed", I5588="Invalid - Ambiguous"), "Gap - Invalid Consent", "Compliant")))))</f>
        <v/>
      </c>
      <c r="O5588" s="7" t="n"/>
    </row>
    <row r="5589">
      <c r="A5589" s="7" t="n"/>
      <c r="B5589" s="7" t="n"/>
      <c r="C5589" s="7" t="n"/>
      <c r="D5589" s="7" t="n"/>
      <c r="E5589" s="7" t="n"/>
      <c r="F5589" s="7" t="n"/>
      <c r="G5589" s="7" t="n"/>
      <c r="H5589" s="7" t="n"/>
      <c r="I5589" s="7" t="n"/>
      <c r="J5589" s="7" t="n"/>
      <c r="K5589">
        <f>IF(D5589="Legitimate Interest (GDPR Art. 6(1)(f))", "Yes / Required (Sheet 3)", "")</f>
        <v/>
      </c>
      <c r="L5589" s="7" t="n"/>
      <c r="M5589" s="7" t="n"/>
      <c r="N5589">
        <f>IF(D5589="", "Gap - No Legal Basis", IF(AND(D5589="Consent (GDPR Art. 6(1)(a))", I5589="Not Captured"), "Gap - Invalid Consent", IF(AND(D5589="Legitimate Interest (GDPR Art. 6(1)(f))", L5589=""), "Gap - Missing LIA", IF(AND(G5589="Yes", H5589=""), "Gap - Missing Art. 9 Basis", IF(OR(I5589="Invalid - Not Freely Given", I5589="Invalid - Not Specific", I5589="Invalid - Not Informed", I5589="Invalid - Ambiguous"), "Gap - Invalid Consent", "Compliant")))))</f>
        <v/>
      </c>
      <c r="O5589" s="7" t="n"/>
    </row>
    <row r="5590">
      <c r="A5590" s="7" t="n"/>
      <c r="B5590" s="7" t="n"/>
      <c r="C5590" s="7" t="n"/>
      <c r="D5590" s="7" t="n"/>
      <c r="E5590" s="7" t="n"/>
      <c r="F5590" s="7" t="n"/>
      <c r="G5590" s="7" t="n"/>
      <c r="H5590" s="7" t="n"/>
      <c r="I5590" s="7" t="n"/>
      <c r="J5590" s="7" t="n"/>
      <c r="K5590">
        <f>IF(D5590="Legitimate Interest (GDPR Art. 6(1)(f))", "Yes / Required (Sheet 3)", "")</f>
        <v/>
      </c>
      <c r="L5590" s="7" t="n"/>
      <c r="M5590" s="7" t="n"/>
      <c r="N5590">
        <f>IF(D5590="", "Gap - No Legal Basis", IF(AND(D5590="Consent (GDPR Art. 6(1)(a))", I5590="Not Captured"), "Gap - Invalid Consent", IF(AND(D5590="Legitimate Interest (GDPR Art. 6(1)(f))", L5590=""), "Gap - Missing LIA", IF(AND(G5590="Yes", H5590=""), "Gap - Missing Art. 9 Basis", IF(OR(I5590="Invalid - Not Freely Given", I5590="Invalid - Not Specific", I5590="Invalid - Not Informed", I5590="Invalid - Ambiguous"), "Gap - Invalid Consent", "Compliant")))))</f>
        <v/>
      </c>
      <c r="O5590" s="7" t="n"/>
    </row>
    <row r="5591">
      <c r="A5591" s="7" t="n"/>
      <c r="B5591" s="7" t="n"/>
      <c r="C5591" s="7" t="n"/>
      <c r="D5591" s="7" t="n"/>
      <c r="E5591" s="7" t="n"/>
      <c r="F5591" s="7" t="n"/>
      <c r="G5591" s="7" t="n"/>
      <c r="H5591" s="7" t="n"/>
      <c r="I5591" s="7" t="n"/>
      <c r="J5591" s="7" t="n"/>
      <c r="K5591">
        <f>IF(D5591="Legitimate Interest (GDPR Art. 6(1)(f))", "Yes / Required (Sheet 3)", "")</f>
        <v/>
      </c>
      <c r="L5591" s="7" t="n"/>
      <c r="M5591" s="7" t="n"/>
      <c r="N5591">
        <f>IF(D5591="", "Gap - No Legal Basis", IF(AND(D5591="Consent (GDPR Art. 6(1)(a))", I5591="Not Captured"), "Gap - Invalid Consent", IF(AND(D5591="Legitimate Interest (GDPR Art. 6(1)(f))", L5591=""), "Gap - Missing LIA", IF(AND(G5591="Yes", H5591=""), "Gap - Missing Art. 9 Basis", IF(OR(I5591="Invalid - Not Freely Given", I5591="Invalid - Not Specific", I5591="Invalid - Not Informed", I5591="Invalid - Ambiguous"), "Gap - Invalid Consent", "Compliant")))))</f>
        <v/>
      </c>
      <c r="O5591" s="7" t="n"/>
    </row>
    <row r="5592">
      <c r="A5592" s="7" t="n"/>
      <c r="B5592" s="7" t="n"/>
      <c r="C5592" s="7" t="n"/>
      <c r="D5592" s="7" t="n"/>
      <c r="E5592" s="7" t="n"/>
      <c r="F5592" s="7" t="n"/>
      <c r="G5592" s="7" t="n"/>
      <c r="H5592" s="7" t="n"/>
      <c r="I5592" s="7" t="n"/>
      <c r="J5592" s="7" t="n"/>
      <c r="K5592">
        <f>IF(D5592="Legitimate Interest (GDPR Art. 6(1)(f))", "Yes / Required (Sheet 3)", "")</f>
        <v/>
      </c>
      <c r="L5592" s="7" t="n"/>
      <c r="M5592" s="7" t="n"/>
      <c r="N5592">
        <f>IF(D5592="", "Gap - No Legal Basis", IF(AND(D5592="Consent (GDPR Art. 6(1)(a))", I5592="Not Captured"), "Gap - Invalid Consent", IF(AND(D5592="Legitimate Interest (GDPR Art. 6(1)(f))", L5592=""), "Gap - Missing LIA", IF(AND(G5592="Yes", H5592=""), "Gap - Missing Art. 9 Basis", IF(OR(I5592="Invalid - Not Freely Given", I5592="Invalid - Not Specific", I5592="Invalid - Not Informed", I5592="Invalid - Ambiguous"), "Gap - Invalid Consent", "Compliant")))))</f>
        <v/>
      </c>
      <c r="O5592" s="7" t="n"/>
    </row>
    <row r="5593">
      <c r="A5593" s="7" t="n"/>
      <c r="B5593" s="7" t="n"/>
      <c r="C5593" s="7" t="n"/>
      <c r="D5593" s="7" t="n"/>
      <c r="E5593" s="7" t="n"/>
      <c r="F5593" s="7" t="n"/>
      <c r="G5593" s="7" t="n"/>
      <c r="H5593" s="7" t="n"/>
      <c r="I5593" s="7" t="n"/>
      <c r="J5593" s="7" t="n"/>
      <c r="K5593">
        <f>IF(D5593="Legitimate Interest (GDPR Art. 6(1)(f))", "Yes / Required (Sheet 3)", "")</f>
        <v/>
      </c>
      <c r="L5593" s="7" t="n"/>
      <c r="M5593" s="7" t="n"/>
      <c r="N5593">
        <f>IF(D5593="", "Gap - No Legal Basis", IF(AND(D5593="Consent (GDPR Art. 6(1)(a))", I5593="Not Captured"), "Gap - Invalid Consent", IF(AND(D5593="Legitimate Interest (GDPR Art. 6(1)(f))", L5593=""), "Gap - Missing LIA", IF(AND(G5593="Yes", H5593=""), "Gap - Missing Art. 9 Basis", IF(OR(I5593="Invalid - Not Freely Given", I5593="Invalid - Not Specific", I5593="Invalid - Not Informed", I5593="Invalid - Ambiguous"), "Gap - Invalid Consent", "Compliant")))))</f>
        <v/>
      </c>
      <c r="O5593" s="7" t="n"/>
    </row>
    <row r="5594">
      <c r="A5594" s="7" t="n"/>
      <c r="B5594" s="7" t="n"/>
      <c r="C5594" s="7" t="n"/>
      <c r="D5594" s="7" t="n"/>
      <c r="E5594" s="7" t="n"/>
      <c r="F5594" s="7" t="n"/>
      <c r="G5594" s="7" t="n"/>
      <c r="H5594" s="7" t="n"/>
      <c r="I5594" s="7" t="n"/>
      <c r="J5594" s="7" t="n"/>
      <c r="K5594">
        <f>IF(D5594="Legitimate Interest (GDPR Art. 6(1)(f))", "Yes / Required (Sheet 3)", "")</f>
        <v/>
      </c>
      <c r="L5594" s="7" t="n"/>
      <c r="M5594" s="7" t="n"/>
      <c r="N5594">
        <f>IF(D5594="", "Gap - No Legal Basis", IF(AND(D5594="Consent (GDPR Art. 6(1)(a))", I5594="Not Captured"), "Gap - Invalid Consent", IF(AND(D5594="Legitimate Interest (GDPR Art. 6(1)(f))", L5594=""), "Gap - Missing LIA", IF(AND(G5594="Yes", H5594=""), "Gap - Missing Art. 9 Basis", IF(OR(I5594="Invalid - Not Freely Given", I5594="Invalid - Not Specific", I5594="Invalid - Not Informed", I5594="Invalid - Ambiguous"), "Gap - Invalid Consent", "Compliant")))))</f>
        <v/>
      </c>
      <c r="O5594" s="7" t="n"/>
    </row>
    <row r="5595">
      <c r="A5595" s="7" t="n"/>
      <c r="B5595" s="7" t="n"/>
      <c r="C5595" s="7" t="n"/>
      <c r="D5595" s="7" t="n"/>
      <c r="E5595" s="7" t="n"/>
      <c r="F5595" s="7" t="n"/>
      <c r="G5595" s="7" t="n"/>
      <c r="H5595" s="7" t="n"/>
      <c r="I5595" s="7" t="n"/>
      <c r="J5595" s="7" t="n"/>
      <c r="K5595">
        <f>IF(D5595="Legitimate Interest (GDPR Art. 6(1)(f))", "Yes / Required (Sheet 3)", "")</f>
        <v/>
      </c>
      <c r="L5595" s="7" t="n"/>
      <c r="M5595" s="7" t="n"/>
      <c r="N5595">
        <f>IF(D5595="", "Gap - No Legal Basis", IF(AND(D5595="Consent (GDPR Art. 6(1)(a))", I5595="Not Captured"), "Gap - Invalid Consent", IF(AND(D5595="Legitimate Interest (GDPR Art. 6(1)(f))", L5595=""), "Gap - Missing LIA", IF(AND(G5595="Yes", H5595=""), "Gap - Missing Art. 9 Basis", IF(OR(I5595="Invalid - Not Freely Given", I5595="Invalid - Not Specific", I5595="Invalid - Not Informed", I5595="Invalid - Ambiguous"), "Gap - Invalid Consent", "Compliant")))))</f>
        <v/>
      </c>
      <c r="O5595" s="7" t="n"/>
    </row>
    <row r="5596">
      <c r="A5596" s="7" t="n"/>
      <c r="B5596" s="7" t="n"/>
      <c r="C5596" s="7" t="n"/>
      <c r="D5596" s="7" t="n"/>
      <c r="E5596" s="7" t="n"/>
      <c r="F5596" s="7" t="n"/>
      <c r="G5596" s="7" t="n"/>
      <c r="H5596" s="7" t="n"/>
      <c r="I5596" s="7" t="n"/>
      <c r="J5596" s="7" t="n"/>
      <c r="K5596">
        <f>IF(D5596="Legitimate Interest (GDPR Art. 6(1)(f))", "Yes / Required (Sheet 3)", "")</f>
        <v/>
      </c>
      <c r="L5596" s="7" t="n"/>
      <c r="M5596" s="7" t="n"/>
      <c r="N5596">
        <f>IF(D5596="", "Gap - No Legal Basis", IF(AND(D5596="Consent (GDPR Art. 6(1)(a))", I5596="Not Captured"), "Gap - Invalid Consent", IF(AND(D5596="Legitimate Interest (GDPR Art. 6(1)(f))", L5596=""), "Gap - Missing LIA", IF(AND(G5596="Yes", H5596=""), "Gap - Missing Art. 9 Basis", IF(OR(I5596="Invalid - Not Freely Given", I5596="Invalid - Not Specific", I5596="Invalid - Not Informed", I5596="Invalid - Ambiguous"), "Gap - Invalid Consent", "Compliant")))))</f>
        <v/>
      </c>
      <c r="O5596" s="7" t="n"/>
    </row>
    <row r="5597">
      <c r="A5597" s="7" t="n"/>
      <c r="B5597" s="7" t="n"/>
      <c r="C5597" s="7" t="n"/>
      <c r="D5597" s="7" t="n"/>
      <c r="E5597" s="7" t="n"/>
      <c r="F5597" s="7" t="n"/>
      <c r="G5597" s="7" t="n"/>
      <c r="H5597" s="7" t="n"/>
      <c r="I5597" s="7" t="n"/>
      <c r="J5597" s="7" t="n"/>
      <c r="K5597">
        <f>IF(D5597="Legitimate Interest (GDPR Art. 6(1)(f))", "Yes / Required (Sheet 3)", "")</f>
        <v/>
      </c>
      <c r="L5597" s="7" t="n"/>
      <c r="M5597" s="7" t="n"/>
      <c r="N5597">
        <f>IF(D5597="", "Gap - No Legal Basis", IF(AND(D5597="Consent (GDPR Art. 6(1)(a))", I5597="Not Captured"), "Gap - Invalid Consent", IF(AND(D5597="Legitimate Interest (GDPR Art. 6(1)(f))", L5597=""), "Gap - Missing LIA", IF(AND(G5597="Yes", H5597=""), "Gap - Missing Art. 9 Basis", IF(OR(I5597="Invalid - Not Freely Given", I5597="Invalid - Not Specific", I5597="Invalid - Not Informed", I5597="Invalid - Ambiguous"), "Gap - Invalid Consent", "Compliant")))))</f>
        <v/>
      </c>
      <c r="O5597" s="7" t="n"/>
    </row>
    <row r="5598">
      <c r="A5598" s="7" t="n"/>
      <c r="B5598" s="7" t="n"/>
      <c r="C5598" s="7" t="n"/>
      <c r="D5598" s="7" t="n"/>
      <c r="E5598" s="7" t="n"/>
      <c r="F5598" s="7" t="n"/>
      <c r="G5598" s="7" t="n"/>
      <c r="H5598" s="7" t="n"/>
      <c r="I5598" s="7" t="n"/>
      <c r="J5598" s="7" t="n"/>
      <c r="K5598">
        <f>IF(D5598="Legitimate Interest (GDPR Art. 6(1)(f))", "Yes / Required (Sheet 3)", "")</f>
        <v/>
      </c>
      <c r="L5598" s="7" t="n"/>
      <c r="M5598" s="7" t="n"/>
      <c r="N5598">
        <f>IF(D5598="", "Gap - No Legal Basis", IF(AND(D5598="Consent (GDPR Art. 6(1)(a))", I5598="Not Captured"), "Gap - Invalid Consent", IF(AND(D5598="Legitimate Interest (GDPR Art. 6(1)(f))", L5598=""), "Gap - Missing LIA", IF(AND(G5598="Yes", H5598=""), "Gap - Missing Art. 9 Basis", IF(OR(I5598="Invalid - Not Freely Given", I5598="Invalid - Not Specific", I5598="Invalid - Not Informed", I5598="Invalid - Ambiguous"), "Gap - Invalid Consent", "Compliant")))))</f>
        <v/>
      </c>
      <c r="O5598" s="7" t="n"/>
    </row>
    <row r="5599">
      <c r="A5599" s="7" t="n"/>
      <c r="B5599" s="7" t="n"/>
      <c r="C5599" s="7" t="n"/>
      <c r="D5599" s="7" t="n"/>
      <c r="E5599" s="7" t="n"/>
      <c r="F5599" s="7" t="n"/>
      <c r="G5599" s="7" t="n"/>
      <c r="H5599" s="7" t="n"/>
      <c r="I5599" s="7" t="n"/>
      <c r="J5599" s="7" t="n"/>
      <c r="K5599">
        <f>IF(D5599="Legitimate Interest (GDPR Art. 6(1)(f))", "Yes / Required (Sheet 3)", "")</f>
        <v/>
      </c>
      <c r="L5599" s="7" t="n"/>
      <c r="M5599" s="7" t="n"/>
      <c r="N5599">
        <f>IF(D5599="", "Gap - No Legal Basis", IF(AND(D5599="Consent (GDPR Art. 6(1)(a))", I5599="Not Captured"), "Gap - Invalid Consent", IF(AND(D5599="Legitimate Interest (GDPR Art. 6(1)(f))", L5599=""), "Gap - Missing LIA", IF(AND(G5599="Yes", H5599=""), "Gap - Missing Art. 9 Basis", IF(OR(I5599="Invalid - Not Freely Given", I5599="Invalid - Not Specific", I5599="Invalid - Not Informed", I5599="Invalid - Ambiguous"), "Gap - Invalid Consent", "Compliant")))))</f>
        <v/>
      </c>
      <c r="O5599" s="7" t="n"/>
    </row>
    <row r="5600">
      <c r="A5600" s="7" t="n"/>
      <c r="B5600" s="7" t="n"/>
      <c r="C5600" s="7" t="n"/>
      <c r="D5600" s="7" t="n"/>
      <c r="E5600" s="7" t="n"/>
      <c r="F5600" s="7" t="n"/>
      <c r="G5600" s="7" t="n"/>
      <c r="H5600" s="7" t="n"/>
      <c r="I5600" s="7" t="n"/>
      <c r="J5600" s="7" t="n"/>
      <c r="K5600">
        <f>IF(D5600="Legitimate Interest (GDPR Art. 6(1)(f))", "Yes / Required (Sheet 3)", "")</f>
        <v/>
      </c>
      <c r="L5600" s="7" t="n"/>
      <c r="M5600" s="7" t="n"/>
      <c r="N5600">
        <f>IF(D5600="", "Gap - No Legal Basis", IF(AND(D5600="Consent (GDPR Art. 6(1)(a))", I5600="Not Captured"), "Gap - Invalid Consent", IF(AND(D5600="Legitimate Interest (GDPR Art. 6(1)(f))", L5600=""), "Gap - Missing LIA", IF(AND(G5600="Yes", H5600=""), "Gap - Missing Art. 9 Basis", IF(OR(I5600="Invalid - Not Freely Given", I5600="Invalid - Not Specific", I5600="Invalid - Not Informed", I5600="Invalid - Ambiguous"), "Gap - Invalid Consent", "Compliant")))))</f>
        <v/>
      </c>
      <c r="O5600" s="7" t="n"/>
    </row>
    <row r="5601">
      <c r="A5601" s="7" t="n"/>
      <c r="B5601" s="7" t="n"/>
      <c r="C5601" s="7" t="n"/>
      <c r="D5601" s="7" t="n"/>
      <c r="E5601" s="7" t="n"/>
      <c r="F5601" s="7" t="n"/>
      <c r="G5601" s="7" t="n"/>
      <c r="H5601" s="7" t="n"/>
      <c r="I5601" s="7" t="n"/>
      <c r="J5601" s="7" t="n"/>
      <c r="K5601">
        <f>IF(D5601="Legitimate Interest (GDPR Art. 6(1)(f))", "Yes / Required (Sheet 3)", "")</f>
        <v/>
      </c>
      <c r="L5601" s="7" t="n"/>
      <c r="M5601" s="7" t="n"/>
      <c r="N5601">
        <f>IF(D5601="", "Gap - No Legal Basis", IF(AND(D5601="Consent (GDPR Art. 6(1)(a))", I5601="Not Captured"), "Gap - Invalid Consent", IF(AND(D5601="Legitimate Interest (GDPR Art. 6(1)(f))", L5601=""), "Gap - Missing LIA", IF(AND(G5601="Yes", H5601=""), "Gap - Missing Art. 9 Basis", IF(OR(I5601="Invalid - Not Freely Given", I5601="Invalid - Not Specific", I5601="Invalid - Not Informed", I5601="Invalid - Ambiguous"), "Gap - Invalid Consent", "Compliant")))))</f>
        <v/>
      </c>
      <c r="O5601" s="7" t="n"/>
    </row>
    <row r="5602">
      <c r="A5602" s="7" t="n"/>
      <c r="B5602" s="7" t="n"/>
      <c r="C5602" s="7" t="n"/>
      <c r="D5602" s="7" t="n"/>
      <c r="E5602" s="7" t="n"/>
      <c r="F5602" s="7" t="n"/>
      <c r="G5602" s="7" t="n"/>
      <c r="H5602" s="7" t="n"/>
      <c r="I5602" s="7" t="n"/>
      <c r="J5602" s="7" t="n"/>
      <c r="K5602">
        <f>IF(D5602="Legitimate Interest (GDPR Art. 6(1)(f))", "Yes / Required (Sheet 3)", "")</f>
        <v/>
      </c>
      <c r="L5602" s="7" t="n"/>
      <c r="M5602" s="7" t="n"/>
      <c r="N5602">
        <f>IF(D5602="", "Gap - No Legal Basis", IF(AND(D5602="Consent (GDPR Art. 6(1)(a))", I5602="Not Captured"), "Gap - Invalid Consent", IF(AND(D5602="Legitimate Interest (GDPR Art. 6(1)(f))", L5602=""), "Gap - Missing LIA", IF(AND(G5602="Yes", H5602=""), "Gap - Missing Art. 9 Basis", IF(OR(I5602="Invalid - Not Freely Given", I5602="Invalid - Not Specific", I5602="Invalid - Not Informed", I5602="Invalid - Ambiguous"), "Gap - Invalid Consent", "Compliant")))))</f>
        <v/>
      </c>
      <c r="O5602" s="7" t="n"/>
    </row>
    <row r="5603">
      <c r="A5603" s="7" t="n"/>
      <c r="B5603" s="7" t="n"/>
      <c r="C5603" s="7" t="n"/>
      <c r="D5603" s="7" t="n"/>
      <c r="E5603" s="7" t="n"/>
      <c r="F5603" s="7" t="n"/>
      <c r="G5603" s="7" t="n"/>
      <c r="H5603" s="7" t="n"/>
      <c r="I5603" s="7" t="n"/>
      <c r="J5603" s="7" t="n"/>
      <c r="K5603">
        <f>IF(D5603="Legitimate Interest (GDPR Art. 6(1)(f))", "Yes / Required (Sheet 3)", "")</f>
        <v/>
      </c>
      <c r="L5603" s="7" t="n"/>
      <c r="M5603" s="7" t="n"/>
      <c r="N5603">
        <f>IF(D5603="", "Gap - No Legal Basis", IF(AND(D5603="Consent (GDPR Art. 6(1)(a))", I5603="Not Captured"), "Gap - Invalid Consent", IF(AND(D5603="Legitimate Interest (GDPR Art. 6(1)(f))", L5603=""), "Gap - Missing LIA", IF(AND(G5603="Yes", H5603=""), "Gap - Missing Art. 9 Basis", IF(OR(I5603="Invalid - Not Freely Given", I5603="Invalid - Not Specific", I5603="Invalid - Not Informed", I5603="Invalid - Ambiguous"), "Gap - Invalid Consent", "Compliant")))))</f>
        <v/>
      </c>
      <c r="O5603" s="7" t="n"/>
    </row>
    <row r="5604">
      <c r="A5604" s="7" t="n"/>
      <c r="B5604" s="7" t="n"/>
      <c r="C5604" s="7" t="n"/>
      <c r="D5604" s="7" t="n"/>
      <c r="E5604" s="7" t="n"/>
      <c r="F5604" s="7" t="n"/>
      <c r="G5604" s="7" t="n"/>
      <c r="H5604" s="7" t="n"/>
      <c r="I5604" s="7" t="n"/>
      <c r="J5604" s="7" t="n"/>
      <c r="K5604">
        <f>IF(D5604="Legitimate Interest (GDPR Art. 6(1)(f))", "Yes / Required (Sheet 3)", "")</f>
        <v/>
      </c>
      <c r="L5604" s="7" t="n"/>
      <c r="M5604" s="7" t="n"/>
      <c r="N5604">
        <f>IF(D5604="", "Gap - No Legal Basis", IF(AND(D5604="Consent (GDPR Art. 6(1)(a))", I5604="Not Captured"), "Gap - Invalid Consent", IF(AND(D5604="Legitimate Interest (GDPR Art. 6(1)(f))", L5604=""), "Gap - Missing LIA", IF(AND(G5604="Yes", H5604=""), "Gap - Missing Art. 9 Basis", IF(OR(I5604="Invalid - Not Freely Given", I5604="Invalid - Not Specific", I5604="Invalid - Not Informed", I5604="Invalid - Ambiguous"), "Gap - Invalid Consent", "Compliant")))))</f>
        <v/>
      </c>
      <c r="O5604" s="7" t="n"/>
    </row>
    <row r="5605">
      <c r="A5605" s="7" t="n"/>
      <c r="B5605" s="7" t="n"/>
      <c r="C5605" s="7" t="n"/>
      <c r="D5605" s="7" t="n"/>
      <c r="E5605" s="7" t="n"/>
      <c r="F5605" s="7" t="n"/>
      <c r="G5605" s="7" t="n"/>
      <c r="H5605" s="7" t="n"/>
      <c r="I5605" s="7" t="n"/>
      <c r="J5605" s="7" t="n"/>
      <c r="K5605">
        <f>IF(D5605="Legitimate Interest (GDPR Art. 6(1)(f))", "Yes / Required (Sheet 3)", "")</f>
        <v/>
      </c>
      <c r="L5605" s="7" t="n"/>
      <c r="M5605" s="7" t="n"/>
      <c r="N5605">
        <f>IF(D5605="", "Gap - No Legal Basis", IF(AND(D5605="Consent (GDPR Art. 6(1)(a))", I5605="Not Captured"), "Gap - Invalid Consent", IF(AND(D5605="Legitimate Interest (GDPR Art. 6(1)(f))", L5605=""), "Gap - Missing LIA", IF(AND(G5605="Yes", H5605=""), "Gap - Missing Art. 9 Basis", IF(OR(I5605="Invalid - Not Freely Given", I5605="Invalid - Not Specific", I5605="Invalid - Not Informed", I5605="Invalid - Ambiguous"), "Gap - Invalid Consent", "Compliant")))))</f>
        <v/>
      </c>
      <c r="O5605" s="7" t="n"/>
    </row>
    <row r="5606">
      <c r="A5606" s="7" t="n"/>
      <c r="B5606" s="7" t="n"/>
      <c r="C5606" s="7" t="n"/>
      <c r="D5606" s="7" t="n"/>
      <c r="E5606" s="7" t="n"/>
      <c r="F5606" s="7" t="n"/>
      <c r="G5606" s="7" t="n"/>
      <c r="H5606" s="7" t="n"/>
      <c r="I5606" s="7" t="n"/>
      <c r="J5606" s="7" t="n"/>
      <c r="K5606">
        <f>IF(D5606="Legitimate Interest (GDPR Art. 6(1)(f))", "Yes / Required (Sheet 3)", "")</f>
        <v/>
      </c>
      <c r="L5606" s="7" t="n"/>
      <c r="M5606" s="7" t="n"/>
      <c r="N5606">
        <f>IF(D5606="", "Gap - No Legal Basis", IF(AND(D5606="Consent (GDPR Art. 6(1)(a))", I5606="Not Captured"), "Gap - Invalid Consent", IF(AND(D5606="Legitimate Interest (GDPR Art. 6(1)(f))", L5606=""), "Gap - Missing LIA", IF(AND(G5606="Yes", H5606=""), "Gap - Missing Art. 9 Basis", IF(OR(I5606="Invalid - Not Freely Given", I5606="Invalid - Not Specific", I5606="Invalid - Not Informed", I5606="Invalid - Ambiguous"), "Gap - Invalid Consent", "Compliant")))))</f>
        <v/>
      </c>
      <c r="O5606" s="7" t="n"/>
    </row>
    <row r="5607">
      <c r="A5607" s="7" t="n"/>
      <c r="B5607" s="7" t="n"/>
      <c r="C5607" s="7" t="n"/>
      <c r="D5607" s="7" t="n"/>
      <c r="E5607" s="7" t="n"/>
      <c r="F5607" s="7" t="n"/>
      <c r="G5607" s="7" t="n"/>
      <c r="H5607" s="7" t="n"/>
      <c r="I5607" s="7" t="n"/>
      <c r="J5607" s="7" t="n"/>
      <c r="K5607">
        <f>IF(D5607="Legitimate Interest (GDPR Art. 6(1)(f))", "Yes / Required (Sheet 3)", "")</f>
        <v/>
      </c>
      <c r="L5607" s="7" t="n"/>
      <c r="M5607" s="7" t="n"/>
      <c r="N5607">
        <f>IF(D5607="", "Gap - No Legal Basis", IF(AND(D5607="Consent (GDPR Art. 6(1)(a))", I5607="Not Captured"), "Gap - Invalid Consent", IF(AND(D5607="Legitimate Interest (GDPR Art. 6(1)(f))", L5607=""), "Gap - Missing LIA", IF(AND(G5607="Yes", H5607=""), "Gap - Missing Art. 9 Basis", IF(OR(I5607="Invalid - Not Freely Given", I5607="Invalid - Not Specific", I5607="Invalid - Not Informed", I5607="Invalid - Ambiguous"), "Gap - Invalid Consent", "Compliant")))))</f>
        <v/>
      </c>
      <c r="O5607" s="7" t="n"/>
    </row>
    <row r="5608">
      <c r="A5608" s="7" t="n"/>
      <c r="B5608" s="7" t="n"/>
      <c r="C5608" s="7" t="n"/>
      <c r="D5608" s="7" t="n"/>
      <c r="E5608" s="7" t="n"/>
      <c r="F5608" s="7" t="n"/>
      <c r="G5608" s="7" t="n"/>
      <c r="H5608" s="7" t="n"/>
      <c r="I5608" s="7" t="n"/>
      <c r="J5608" s="7" t="n"/>
      <c r="K5608">
        <f>IF(D5608="Legitimate Interest (GDPR Art. 6(1)(f))", "Yes / Required (Sheet 3)", "")</f>
        <v/>
      </c>
      <c r="L5608" s="7" t="n"/>
      <c r="M5608" s="7" t="n"/>
      <c r="N5608">
        <f>IF(D5608="", "Gap - No Legal Basis", IF(AND(D5608="Consent (GDPR Art. 6(1)(a))", I5608="Not Captured"), "Gap - Invalid Consent", IF(AND(D5608="Legitimate Interest (GDPR Art. 6(1)(f))", L5608=""), "Gap - Missing LIA", IF(AND(G5608="Yes", H5608=""), "Gap - Missing Art. 9 Basis", IF(OR(I5608="Invalid - Not Freely Given", I5608="Invalid - Not Specific", I5608="Invalid - Not Informed", I5608="Invalid - Ambiguous"), "Gap - Invalid Consent", "Compliant")))))</f>
        <v/>
      </c>
      <c r="O5608" s="7" t="n"/>
    </row>
    <row r="5609">
      <c r="A5609" s="7" t="n"/>
      <c r="B5609" s="7" t="n"/>
      <c r="C5609" s="7" t="n"/>
      <c r="D5609" s="7" t="n"/>
      <c r="E5609" s="7" t="n"/>
      <c r="F5609" s="7" t="n"/>
      <c r="G5609" s="7" t="n"/>
      <c r="H5609" s="7" t="n"/>
      <c r="I5609" s="7" t="n"/>
      <c r="J5609" s="7" t="n"/>
      <c r="K5609">
        <f>IF(D5609="Legitimate Interest (GDPR Art. 6(1)(f))", "Yes / Required (Sheet 3)", "")</f>
        <v/>
      </c>
      <c r="L5609" s="7" t="n"/>
      <c r="M5609" s="7" t="n"/>
      <c r="N5609">
        <f>IF(D5609="", "Gap - No Legal Basis", IF(AND(D5609="Consent (GDPR Art. 6(1)(a))", I5609="Not Captured"), "Gap - Invalid Consent", IF(AND(D5609="Legitimate Interest (GDPR Art. 6(1)(f))", L5609=""), "Gap - Missing LIA", IF(AND(G5609="Yes", H5609=""), "Gap - Missing Art. 9 Basis", IF(OR(I5609="Invalid - Not Freely Given", I5609="Invalid - Not Specific", I5609="Invalid - Not Informed", I5609="Invalid - Ambiguous"), "Gap - Invalid Consent", "Compliant")))))</f>
        <v/>
      </c>
      <c r="O5609" s="7" t="n"/>
    </row>
    <row r="5610">
      <c r="A5610" s="7" t="n"/>
      <c r="B5610" s="7" t="n"/>
      <c r="C5610" s="7" t="n"/>
      <c r="D5610" s="7" t="n"/>
      <c r="E5610" s="7" t="n"/>
      <c r="F5610" s="7" t="n"/>
      <c r="G5610" s="7" t="n"/>
      <c r="H5610" s="7" t="n"/>
      <c r="I5610" s="7" t="n"/>
      <c r="J5610" s="7" t="n"/>
      <c r="K5610">
        <f>IF(D5610="Legitimate Interest (GDPR Art. 6(1)(f))", "Yes / Required (Sheet 3)", "")</f>
        <v/>
      </c>
      <c r="L5610" s="7" t="n"/>
      <c r="M5610" s="7" t="n"/>
      <c r="N5610">
        <f>IF(D5610="", "Gap - No Legal Basis", IF(AND(D5610="Consent (GDPR Art. 6(1)(a))", I5610="Not Captured"), "Gap - Invalid Consent", IF(AND(D5610="Legitimate Interest (GDPR Art. 6(1)(f))", L5610=""), "Gap - Missing LIA", IF(AND(G5610="Yes", H5610=""), "Gap - Missing Art. 9 Basis", IF(OR(I5610="Invalid - Not Freely Given", I5610="Invalid - Not Specific", I5610="Invalid - Not Informed", I5610="Invalid - Ambiguous"), "Gap - Invalid Consent", "Compliant")))))</f>
        <v/>
      </c>
      <c r="O5610" s="7" t="n"/>
    </row>
    <row r="5611">
      <c r="A5611" s="7" t="n"/>
      <c r="B5611" s="7" t="n"/>
      <c r="C5611" s="7" t="n"/>
      <c r="D5611" s="7" t="n"/>
      <c r="E5611" s="7" t="n"/>
      <c r="F5611" s="7" t="n"/>
      <c r="G5611" s="7" t="n"/>
      <c r="H5611" s="7" t="n"/>
      <c r="I5611" s="7" t="n"/>
      <c r="J5611" s="7" t="n"/>
      <c r="K5611">
        <f>IF(D5611="Legitimate Interest (GDPR Art. 6(1)(f))", "Yes / Required (Sheet 3)", "")</f>
        <v/>
      </c>
      <c r="L5611" s="7" t="n"/>
      <c r="M5611" s="7" t="n"/>
      <c r="N5611">
        <f>IF(D5611="", "Gap - No Legal Basis", IF(AND(D5611="Consent (GDPR Art. 6(1)(a))", I5611="Not Captured"), "Gap - Invalid Consent", IF(AND(D5611="Legitimate Interest (GDPR Art. 6(1)(f))", L5611=""), "Gap - Missing LIA", IF(AND(G5611="Yes", H5611=""), "Gap - Missing Art. 9 Basis", IF(OR(I5611="Invalid - Not Freely Given", I5611="Invalid - Not Specific", I5611="Invalid - Not Informed", I5611="Invalid - Ambiguous"), "Gap - Invalid Consent", "Compliant")))))</f>
        <v/>
      </c>
      <c r="O5611" s="7" t="n"/>
    </row>
    <row r="5612">
      <c r="A5612" s="7" t="n"/>
      <c r="B5612" s="7" t="n"/>
      <c r="C5612" s="7" t="n"/>
      <c r="D5612" s="7" t="n"/>
      <c r="E5612" s="7" t="n"/>
      <c r="F5612" s="7" t="n"/>
      <c r="G5612" s="7" t="n"/>
      <c r="H5612" s="7" t="n"/>
      <c r="I5612" s="7" t="n"/>
      <c r="J5612" s="7" t="n"/>
      <c r="K5612">
        <f>IF(D5612="Legitimate Interest (GDPR Art. 6(1)(f))", "Yes / Required (Sheet 3)", "")</f>
        <v/>
      </c>
      <c r="L5612" s="7" t="n"/>
      <c r="M5612" s="7" t="n"/>
      <c r="N5612">
        <f>IF(D5612="", "Gap - No Legal Basis", IF(AND(D5612="Consent (GDPR Art. 6(1)(a))", I5612="Not Captured"), "Gap - Invalid Consent", IF(AND(D5612="Legitimate Interest (GDPR Art. 6(1)(f))", L5612=""), "Gap - Missing LIA", IF(AND(G5612="Yes", H5612=""), "Gap - Missing Art. 9 Basis", IF(OR(I5612="Invalid - Not Freely Given", I5612="Invalid - Not Specific", I5612="Invalid - Not Informed", I5612="Invalid - Ambiguous"), "Gap - Invalid Consent", "Compliant")))))</f>
        <v/>
      </c>
      <c r="O5612" s="7" t="n"/>
    </row>
    <row r="5613">
      <c r="A5613" s="7" t="n"/>
      <c r="B5613" s="7" t="n"/>
      <c r="C5613" s="7" t="n"/>
      <c r="D5613" s="7" t="n"/>
      <c r="E5613" s="7" t="n"/>
      <c r="F5613" s="7" t="n"/>
      <c r="G5613" s="7" t="n"/>
      <c r="H5613" s="7" t="n"/>
      <c r="I5613" s="7" t="n"/>
      <c r="J5613" s="7" t="n"/>
      <c r="K5613">
        <f>IF(D5613="Legitimate Interest (GDPR Art. 6(1)(f))", "Yes / Required (Sheet 3)", "")</f>
        <v/>
      </c>
      <c r="L5613" s="7" t="n"/>
      <c r="M5613" s="7" t="n"/>
      <c r="N5613">
        <f>IF(D5613="", "Gap - No Legal Basis", IF(AND(D5613="Consent (GDPR Art. 6(1)(a))", I5613="Not Captured"), "Gap - Invalid Consent", IF(AND(D5613="Legitimate Interest (GDPR Art. 6(1)(f))", L5613=""), "Gap - Missing LIA", IF(AND(G5613="Yes", H5613=""), "Gap - Missing Art. 9 Basis", IF(OR(I5613="Invalid - Not Freely Given", I5613="Invalid - Not Specific", I5613="Invalid - Not Informed", I5613="Invalid - Ambiguous"), "Gap - Invalid Consent", "Compliant")))))</f>
        <v/>
      </c>
      <c r="O5613" s="7" t="n"/>
    </row>
    <row r="5614">
      <c r="A5614" s="7" t="n"/>
      <c r="B5614" s="7" t="n"/>
      <c r="C5614" s="7" t="n"/>
      <c r="D5614" s="7" t="n"/>
      <c r="E5614" s="7" t="n"/>
      <c r="F5614" s="7" t="n"/>
      <c r="G5614" s="7" t="n"/>
      <c r="H5614" s="7" t="n"/>
      <c r="I5614" s="7" t="n"/>
      <c r="J5614" s="7" t="n"/>
      <c r="K5614">
        <f>IF(D5614="Legitimate Interest (GDPR Art. 6(1)(f))", "Yes / Required (Sheet 3)", "")</f>
        <v/>
      </c>
      <c r="L5614" s="7" t="n"/>
      <c r="M5614" s="7" t="n"/>
      <c r="N5614">
        <f>IF(D5614="", "Gap - No Legal Basis", IF(AND(D5614="Consent (GDPR Art. 6(1)(a))", I5614="Not Captured"), "Gap - Invalid Consent", IF(AND(D5614="Legitimate Interest (GDPR Art. 6(1)(f))", L5614=""), "Gap - Missing LIA", IF(AND(G5614="Yes", H5614=""), "Gap - Missing Art. 9 Basis", IF(OR(I5614="Invalid - Not Freely Given", I5614="Invalid - Not Specific", I5614="Invalid - Not Informed", I5614="Invalid - Ambiguous"), "Gap - Invalid Consent", "Compliant")))))</f>
        <v/>
      </c>
      <c r="O5614" s="7" t="n"/>
    </row>
    <row r="5615">
      <c r="A5615" s="7" t="n"/>
      <c r="B5615" s="7" t="n"/>
      <c r="C5615" s="7" t="n"/>
      <c r="D5615" s="7" t="n"/>
      <c r="E5615" s="7" t="n"/>
      <c r="F5615" s="7" t="n"/>
      <c r="G5615" s="7" t="n"/>
      <c r="H5615" s="7" t="n"/>
      <c r="I5615" s="7" t="n"/>
      <c r="J5615" s="7" t="n"/>
      <c r="K5615">
        <f>IF(D5615="Legitimate Interest (GDPR Art. 6(1)(f))", "Yes / Required (Sheet 3)", "")</f>
        <v/>
      </c>
      <c r="L5615" s="7" t="n"/>
      <c r="M5615" s="7" t="n"/>
      <c r="N5615">
        <f>IF(D5615="", "Gap - No Legal Basis", IF(AND(D5615="Consent (GDPR Art. 6(1)(a))", I5615="Not Captured"), "Gap - Invalid Consent", IF(AND(D5615="Legitimate Interest (GDPR Art. 6(1)(f))", L5615=""), "Gap - Missing LIA", IF(AND(G5615="Yes", H5615=""), "Gap - Missing Art. 9 Basis", IF(OR(I5615="Invalid - Not Freely Given", I5615="Invalid - Not Specific", I5615="Invalid - Not Informed", I5615="Invalid - Ambiguous"), "Gap - Invalid Consent", "Compliant")))))</f>
        <v/>
      </c>
      <c r="O5615" s="7" t="n"/>
    </row>
    <row r="5616">
      <c r="A5616" s="7" t="n"/>
      <c r="B5616" s="7" t="n"/>
      <c r="C5616" s="7" t="n"/>
      <c r="D5616" s="7" t="n"/>
      <c r="E5616" s="7" t="n"/>
      <c r="F5616" s="7" t="n"/>
      <c r="G5616" s="7" t="n"/>
      <c r="H5616" s="7" t="n"/>
      <c r="I5616" s="7" t="n"/>
      <c r="J5616" s="7" t="n"/>
      <c r="K5616">
        <f>IF(D5616="Legitimate Interest (GDPR Art. 6(1)(f))", "Yes / Required (Sheet 3)", "")</f>
        <v/>
      </c>
      <c r="L5616" s="7" t="n"/>
      <c r="M5616" s="7" t="n"/>
      <c r="N5616">
        <f>IF(D5616="", "Gap - No Legal Basis", IF(AND(D5616="Consent (GDPR Art. 6(1)(a))", I5616="Not Captured"), "Gap - Invalid Consent", IF(AND(D5616="Legitimate Interest (GDPR Art. 6(1)(f))", L5616=""), "Gap - Missing LIA", IF(AND(G5616="Yes", H5616=""), "Gap - Missing Art. 9 Basis", IF(OR(I5616="Invalid - Not Freely Given", I5616="Invalid - Not Specific", I5616="Invalid - Not Informed", I5616="Invalid - Ambiguous"), "Gap - Invalid Consent", "Compliant")))))</f>
        <v/>
      </c>
      <c r="O5616" s="7" t="n"/>
    </row>
    <row r="5617">
      <c r="A5617" s="7" t="n"/>
      <c r="B5617" s="7" t="n"/>
      <c r="C5617" s="7" t="n"/>
      <c r="D5617" s="7" t="n"/>
      <c r="E5617" s="7" t="n"/>
      <c r="F5617" s="7" t="n"/>
      <c r="G5617" s="7" t="n"/>
      <c r="H5617" s="7" t="n"/>
      <c r="I5617" s="7" t="n"/>
      <c r="J5617" s="7" t="n"/>
      <c r="K5617">
        <f>IF(D5617="Legitimate Interest (GDPR Art. 6(1)(f))", "Yes / Required (Sheet 3)", "")</f>
        <v/>
      </c>
      <c r="L5617" s="7" t="n"/>
      <c r="M5617" s="7" t="n"/>
      <c r="N5617">
        <f>IF(D5617="", "Gap - No Legal Basis", IF(AND(D5617="Consent (GDPR Art. 6(1)(a))", I5617="Not Captured"), "Gap - Invalid Consent", IF(AND(D5617="Legitimate Interest (GDPR Art. 6(1)(f))", L5617=""), "Gap - Missing LIA", IF(AND(G5617="Yes", H5617=""), "Gap - Missing Art. 9 Basis", IF(OR(I5617="Invalid - Not Freely Given", I5617="Invalid - Not Specific", I5617="Invalid - Not Informed", I5617="Invalid - Ambiguous"), "Gap - Invalid Consent", "Compliant")))))</f>
        <v/>
      </c>
      <c r="O5617" s="7" t="n"/>
    </row>
    <row r="5618">
      <c r="A5618" s="7" t="n"/>
      <c r="B5618" s="7" t="n"/>
      <c r="C5618" s="7" t="n"/>
      <c r="D5618" s="7" t="n"/>
      <c r="E5618" s="7" t="n"/>
      <c r="F5618" s="7" t="n"/>
      <c r="G5618" s="7" t="n"/>
      <c r="H5618" s="7" t="n"/>
      <c r="I5618" s="7" t="n"/>
      <c r="J5618" s="7" t="n"/>
      <c r="K5618">
        <f>IF(D5618="Legitimate Interest (GDPR Art. 6(1)(f))", "Yes / Required (Sheet 3)", "")</f>
        <v/>
      </c>
      <c r="L5618" s="7" t="n"/>
      <c r="M5618" s="7" t="n"/>
      <c r="N5618">
        <f>IF(D5618="", "Gap - No Legal Basis", IF(AND(D5618="Consent (GDPR Art. 6(1)(a))", I5618="Not Captured"), "Gap - Invalid Consent", IF(AND(D5618="Legitimate Interest (GDPR Art. 6(1)(f))", L5618=""), "Gap - Missing LIA", IF(AND(G5618="Yes", H5618=""), "Gap - Missing Art. 9 Basis", IF(OR(I5618="Invalid - Not Freely Given", I5618="Invalid - Not Specific", I5618="Invalid - Not Informed", I5618="Invalid - Ambiguous"), "Gap - Invalid Consent", "Compliant")))))</f>
        <v/>
      </c>
      <c r="O5618" s="7" t="n"/>
    </row>
    <row r="5619">
      <c r="A5619" s="7" t="n"/>
      <c r="B5619" s="7" t="n"/>
      <c r="C5619" s="7" t="n"/>
      <c r="D5619" s="7" t="n"/>
      <c r="E5619" s="7" t="n"/>
      <c r="F5619" s="7" t="n"/>
      <c r="G5619" s="7" t="n"/>
      <c r="H5619" s="7" t="n"/>
      <c r="I5619" s="7" t="n"/>
      <c r="J5619" s="7" t="n"/>
      <c r="K5619">
        <f>IF(D5619="Legitimate Interest (GDPR Art. 6(1)(f))", "Yes / Required (Sheet 3)", "")</f>
        <v/>
      </c>
      <c r="L5619" s="7" t="n"/>
      <c r="M5619" s="7" t="n"/>
      <c r="N5619">
        <f>IF(D5619="", "Gap - No Legal Basis", IF(AND(D5619="Consent (GDPR Art. 6(1)(a))", I5619="Not Captured"), "Gap - Invalid Consent", IF(AND(D5619="Legitimate Interest (GDPR Art. 6(1)(f))", L5619=""), "Gap - Missing LIA", IF(AND(G5619="Yes", H5619=""), "Gap - Missing Art. 9 Basis", IF(OR(I5619="Invalid - Not Freely Given", I5619="Invalid - Not Specific", I5619="Invalid - Not Informed", I5619="Invalid - Ambiguous"), "Gap - Invalid Consent", "Compliant")))))</f>
        <v/>
      </c>
      <c r="O5619" s="7" t="n"/>
    </row>
    <row r="5620">
      <c r="A5620" s="7" t="n"/>
      <c r="B5620" s="7" t="n"/>
      <c r="C5620" s="7" t="n"/>
      <c r="D5620" s="7" t="n"/>
      <c r="E5620" s="7" t="n"/>
      <c r="F5620" s="7" t="n"/>
      <c r="G5620" s="7" t="n"/>
      <c r="H5620" s="7" t="n"/>
      <c r="I5620" s="7" t="n"/>
      <c r="J5620" s="7" t="n"/>
      <c r="K5620">
        <f>IF(D5620="Legitimate Interest (GDPR Art. 6(1)(f))", "Yes / Required (Sheet 3)", "")</f>
        <v/>
      </c>
      <c r="L5620" s="7" t="n"/>
      <c r="M5620" s="7" t="n"/>
      <c r="N5620">
        <f>IF(D5620="", "Gap - No Legal Basis", IF(AND(D5620="Consent (GDPR Art. 6(1)(a))", I5620="Not Captured"), "Gap - Invalid Consent", IF(AND(D5620="Legitimate Interest (GDPR Art. 6(1)(f))", L5620=""), "Gap - Missing LIA", IF(AND(G5620="Yes", H5620=""), "Gap - Missing Art. 9 Basis", IF(OR(I5620="Invalid - Not Freely Given", I5620="Invalid - Not Specific", I5620="Invalid - Not Informed", I5620="Invalid - Ambiguous"), "Gap - Invalid Consent", "Compliant")))))</f>
        <v/>
      </c>
      <c r="O5620" s="7" t="n"/>
    </row>
    <row r="5621">
      <c r="A5621" s="7" t="n"/>
      <c r="B5621" s="7" t="n"/>
      <c r="C5621" s="7" t="n"/>
      <c r="D5621" s="7" t="n"/>
      <c r="E5621" s="7" t="n"/>
      <c r="F5621" s="7" t="n"/>
      <c r="G5621" s="7" t="n"/>
      <c r="H5621" s="7" t="n"/>
      <c r="I5621" s="7" t="n"/>
      <c r="J5621" s="7" t="n"/>
      <c r="K5621">
        <f>IF(D5621="Legitimate Interest (GDPR Art. 6(1)(f))", "Yes / Required (Sheet 3)", "")</f>
        <v/>
      </c>
      <c r="L5621" s="7" t="n"/>
      <c r="M5621" s="7" t="n"/>
      <c r="N5621">
        <f>IF(D5621="", "Gap - No Legal Basis", IF(AND(D5621="Consent (GDPR Art. 6(1)(a))", I5621="Not Captured"), "Gap - Invalid Consent", IF(AND(D5621="Legitimate Interest (GDPR Art. 6(1)(f))", L5621=""), "Gap - Missing LIA", IF(AND(G5621="Yes", H5621=""), "Gap - Missing Art. 9 Basis", IF(OR(I5621="Invalid - Not Freely Given", I5621="Invalid - Not Specific", I5621="Invalid - Not Informed", I5621="Invalid - Ambiguous"), "Gap - Invalid Consent", "Compliant")))))</f>
        <v/>
      </c>
      <c r="O5621" s="7" t="n"/>
    </row>
    <row r="5622">
      <c r="A5622" s="7" t="n"/>
      <c r="B5622" s="7" t="n"/>
      <c r="C5622" s="7" t="n"/>
      <c r="D5622" s="7" t="n"/>
      <c r="E5622" s="7" t="n"/>
      <c r="F5622" s="7" t="n"/>
      <c r="G5622" s="7" t="n"/>
      <c r="H5622" s="7" t="n"/>
      <c r="I5622" s="7" t="n"/>
      <c r="J5622" s="7" t="n"/>
      <c r="K5622">
        <f>IF(D5622="Legitimate Interest (GDPR Art. 6(1)(f))", "Yes / Required (Sheet 3)", "")</f>
        <v/>
      </c>
      <c r="L5622" s="7" t="n"/>
      <c r="M5622" s="7" t="n"/>
      <c r="N5622">
        <f>IF(D5622="", "Gap - No Legal Basis", IF(AND(D5622="Consent (GDPR Art. 6(1)(a))", I5622="Not Captured"), "Gap - Invalid Consent", IF(AND(D5622="Legitimate Interest (GDPR Art. 6(1)(f))", L5622=""), "Gap - Missing LIA", IF(AND(G5622="Yes", H5622=""), "Gap - Missing Art. 9 Basis", IF(OR(I5622="Invalid - Not Freely Given", I5622="Invalid - Not Specific", I5622="Invalid - Not Informed", I5622="Invalid - Ambiguous"), "Gap - Invalid Consent", "Compliant")))))</f>
        <v/>
      </c>
      <c r="O5622" s="7" t="n"/>
    </row>
    <row r="5623">
      <c r="A5623" s="7" t="n"/>
      <c r="B5623" s="7" t="n"/>
      <c r="C5623" s="7" t="n"/>
      <c r="D5623" s="7" t="n"/>
      <c r="E5623" s="7" t="n"/>
      <c r="F5623" s="7" t="n"/>
      <c r="G5623" s="7" t="n"/>
      <c r="H5623" s="7" t="n"/>
      <c r="I5623" s="7" t="n"/>
      <c r="J5623" s="7" t="n"/>
      <c r="K5623">
        <f>IF(D5623="Legitimate Interest (GDPR Art. 6(1)(f))", "Yes / Required (Sheet 3)", "")</f>
        <v/>
      </c>
      <c r="L5623" s="7" t="n"/>
      <c r="M5623" s="7" t="n"/>
      <c r="N5623">
        <f>IF(D5623="", "Gap - No Legal Basis", IF(AND(D5623="Consent (GDPR Art. 6(1)(a))", I5623="Not Captured"), "Gap - Invalid Consent", IF(AND(D5623="Legitimate Interest (GDPR Art. 6(1)(f))", L5623=""), "Gap - Missing LIA", IF(AND(G5623="Yes", H5623=""), "Gap - Missing Art. 9 Basis", IF(OR(I5623="Invalid - Not Freely Given", I5623="Invalid - Not Specific", I5623="Invalid - Not Informed", I5623="Invalid - Ambiguous"), "Gap - Invalid Consent", "Compliant")))))</f>
        <v/>
      </c>
      <c r="O5623" s="7" t="n"/>
    </row>
    <row r="5624">
      <c r="A5624" s="7" t="n"/>
      <c r="B5624" s="7" t="n"/>
      <c r="C5624" s="7" t="n"/>
      <c r="D5624" s="7" t="n"/>
      <c r="E5624" s="7" t="n"/>
      <c r="F5624" s="7" t="n"/>
      <c r="G5624" s="7" t="n"/>
      <c r="H5624" s="7" t="n"/>
      <c r="I5624" s="7" t="n"/>
      <c r="J5624" s="7" t="n"/>
      <c r="K5624">
        <f>IF(D5624="Legitimate Interest (GDPR Art. 6(1)(f))", "Yes / Required (Sheet 3)", "")</f>
        <v/>
      </c>
      <c r="L5624" s="7" t="n"/>
      <c r="M5624" s="7" t="n"/>
      <c r="N5624">
        <f>IF(D5624="", "Gap - No Legal Basis", IF(AND(D5624="Consent (GDPR Art. 6(1)(a))", I5624="Not Captured"), "Gap - Invalid Consent", IF(AND(D5624="Legitimate Interest (GDPR Art. 6(1)(f))", L5624=""), "Gap - Missing LIA", IF(AND(G5624="Yes", H5624=""), "Gap - Missing Art. 9 Basis", IF(OR(I5624="Invalid - Not Freely Given", I5624="Invalid - Not Specific", I5624="Invalid - Not Informed", I5624="Invalid - Ambiguous"), "Gap - Invalid Consent", "Compliant")))))</f>
        <v/>
      </c>
      <c r="O5624" s="7" t="n"/>
    </row>
    <row r="5625">
      <c r="A5625" s="7" t="n"/>
      <c r="B5625" s="7" t="n"/>
      <c r="C5625" s="7" t="n"/>
      <c r="D5625" s="7" t="n"/>
      <c r="E5625" s="7" t="n"/>
      <c r="F5625" s="7" t="n"/>
      <c r="G5625" s="7" t="n"/>
      <c r="H5625" s="7" t="n"/>
      <c r="I5625" s="7" t="n"/>
      <c r="J5625" s="7" t="n"/>
      <c r="K5625">
        <f>IF(D5625="Legitimate Interest (GDPR Art. 6(1)(f))", "Yes / Required (Sheet 3)", "")</f>
        <v/>
      </c>
      <c r="L5625" s="7" t="n"/>
      <c r="M5625" s="7" t="n"/>
      <c r="N5625">
        <f>IF(D5625="", "Gap - No Legal Basis", IF(AND(D5625="Consent (GDPR Art. 6(1)(a))", I5625="Not Captured"), "Gap - Invalid Consent", IF(AND(D5625="Legitimate Interest (GDPR Art. 6(1)(f))", L5625=""), "Gap - Missing LIA", IF(AND(G5625="Yes", H5625=""), "Gap - Missing Art. 9 Basis", IF(OR(I5625="Invalid - Not Freely Given", I5625="Invalid - Not Specific", I5625="Invalid - Not Informed", I5625="Invalid - Ambiguous"), "Gap - Invalid Consent", "Compliant")))))</f>
        <v/>
      </c>
      <c r="O5625" s="7" t="n"/>
    </row>
    <row r="5626">
      <c r="A5626" s="7" t="n"/>
      <c r="B5626" s="7" t="n"/>
      <c r="C5626" s="7" t="n"/>
      <c r="D5626" s="7" t="n"/>
      <c r="E5626" s="7" t="n"/>
      <c r="F5626" s="7" t="n"/>
      <c r="G5626" s="7" t="n"/>
      <c r="H5626" s="7" t="n"/>
      <c r="I5626" s="7" t="n"/>
      <c r="J5626" s="7" t="n"/>
      <c r="K5626">
        <f>IF(D5626="Legitimate Interest (GDPR Art. 6(1)(f))", "Yes / Required (Sheet 3)", "")</f>
        <v/>
      </c>
      <c r="L5626" s="7" t="n"/>
      <c r="M5626" s="7" t="n"/>
      <c r="N5626">
        <f>IF(D5626="", "Gap - No Legal Basis", IF(AND(D5626="Consent (GDPR Art. 6(1)(a))", I5626="Not Captured"), "Gap - Invalid Consent", IF(AND(D5626="Legitimate Interest (GDPR Art. 6(1)(f))", L5626=""), "Gap - Missing LIA", IF(AND(G5626="Yes", H5626=""), "Gap - Missing Art. 9 Basis", IF(OR(I5626="Invalid - Not Freely Given", I5626="Invalid - Not Specific", I5626="Invalid - Not Informed", I5626="Invalid - Ambiguous"), "Gap - Invalid Consent", "Compliant")))))</f>
        <v/>
      </c>
      <c r="O5626" s="7" t="n"/>
    </row>
    <row r="5627">
      <c r="A5627" s="7" t="n"/>
      <c r="B5627" s="7" t="n"/>
      <c r="C5627" s="7" t="n"/>
      <c r="D5627" s="7" t="n"/>
      <c r="E5627" s="7" t="n"/>
      <c r="F5627" s="7" t="n"/>
      <c r="G5627" s="7" t="n"/>
      <c r="H5627" s="7" t="n"/>
      <c r="I5627" s="7" t="n"/>
      <c r="J5627" s="7" t="n"/>
      <c r="K5627">
        <f>IF(D5627="Legitimate Interest (GDPR Art. 6(1)(f))", "Yes / Required (Sheet 3)", "")</f>
        <v/>
      </c>
      <c r="L5627" s="7" t="n"/>
      <c r="M5627" s="7" t="n"/>
      <c r="N5627">
        <f>IF(D5627="", "Gap - No Legal Basis", IF(AND(D5627="Consent (GDPR Art. 6(1)(a))", I5627="Not Captured"), "Gap - Invalid Consent", IF(AND(D5627="Legitimate Interest (GDPR Art. 6(1)(f))", L5627=""), "Gap - Missing LIA", IF(AND(G5627="Yes", H5627=""), "Gap - Missing Art. 9 Basis", IF(OR(I5627="Invalid - Not Freely Given", I5627="Invalid - Not Specific", I5627="Invalid - Not Informed", I5627="Invalid - Ambiguous"), "Gap - Invalid Consent", "Compliant")))))</f>
        <v/>
      </c>
      <c r="O5627" s="7" t="n"/>
    </row>
    <row r="5628">
      <c r="A5628" s="7" t="n"/>
      <c r="B5628" s="7" t="n"/>
      <c r="C5628" s="7" t="n"/>
      <c r="D5628" s="7" t="n"/>
      <c r="E5628" s="7" t="n"/>
      <c r="F5628" s="7" t="n"/>
      <c r="G5628" s="7" t="n"/>
      <c r="H5628" s="7" t="n"/>
      <c r="I5628" s="7" t="n"/>
      <c r="J5628" s="7" t="n"/>
      <c r="K5628">
        <f>IF(D5628="Legitimate Interest (GDPR Art. 6(1)(f))", "Yes / Required (Sheet 3)", "")</f>
        <v/>
      </c>
      <c r="L5628" s="7" t="n"/>
      <c r="M5628" s="7" t="n"/>
      <c r="N5628">
        <f>IF(D5628="", "Gap - No Legal Basis", IF(AND(D5628="Consent (GDPR Art. 6(1)(a))", I5628="Not Captured"), "Gap - Invalid Consent", IF(AND(D5628="Legitimate Interest (GDPR Art. 6(1)(f))", L5628=""), "Gap - Missing LIA", IF(AND(G5628="Yes", H5628=""), "Gap - Missing Art. 9 Basis", IF(OR(I5628="Invalid - Not Freely Given", I5628="Invalid - Not Specific", I5628="Invalid - Not Informed", I5628="Invalid - Ambiguous"), "Gap - Invalid Consent", "Compliant")))))</f>
        <v/>
      </c>
      <c r="O5628" s="7" t="n"/>
    </row>
    <row r="5629">
      <c r="A5629" s="7" t="n"/>
      <c r="B5629" s="7" t="n"/>
      <c r="C5629" s="7" t="n"/>
      <c r="D5629" s="7" t="n"/>
      <c r="E5629" s="7" t="n"/>
      <c r="F5629" s="7" t="n"/>
      <c r="G5629" s="7" t="n"/>
      <c r="H5629" s="7" t="n"/>
      <c r="I5629" s="7" t="n"/>
      <c r="J5629" s="7" t="n"/>
      <c r="K5629">
        <f>IF(D5629="Legitimate Interest (GDPR Art. 6(1)(f))", "Yes / Required (Sheet 3)", "")</f>
        <v/>
      </c>
      <c r="L5629" s="7" t="n"/>
      <c r="M5629" s="7" t="n"/>
      <c r="N5629">
        <f>IF(D5629="", "Gap - No Legal Basis", IF(AND(D5629="Consent (GDPR Art. 6(1)(a))", I5629="Not Captured"), "Gap - Invalid Consent", IF(AND(D5629="Legitimate Interest (GDPR Art. 6(1)(f))", L5629=""), "Gap - Missing LIA", IF(AND(G5629="Yes", H5629=""), "Gap - Missing Art. 9 Basis", IF(OR(I5629="Invalid - Not Freely Given", I5629="Invalid - Not Specific", I5629="Invalid - Not Informed", I5629="Invalid - Ambiguous"), "Gap - Invalid Consent", "Compliant")))))</f>
        <v/>
      </c>
      <c r="O5629" s="7" t="n"/>
    </row>
    <row r="5630">
      <c r="A5630" s="7" t="n"/>
      <c r="B5630" s="7" t="n"/>
      <c r="C5630" s="7" t="n"/>
      <c r="D5630" s="7" t="n"/>
      <c r="E5630" s="7" t="n"/>
      <c r="F5630" s="7" t="n"/>
      <c r="G5630" s="7" t="n"/>
      <c r="H5630" s="7" t="n"/>
      <c r="I5630" s="7" t="n"/>
      <c r="J5630" s="7" t="n"/>
      <c r="K5630">
        <f>IF(D5630="Legitimate Interest (GDPR Art. 6(1)(f))", "Yes / Required (Sheet 3)", "")</f>
        <v/>
      </c>
      <c r="L5630" s="7" t="n"/>
      <c r="M5630" s="7" t="n"/>
      <c r="N5630">
        <f>IF(D5630="", "Gap - No Legal Basis", IF(AND(D5630="Consent (GDPR Art. 6(1)(a))", I5630="Not Captured"), "Gap - Invalid Consent", IF(AND(D5630="Legitimate Interest (GDPR Art. 6(1)(f))", L5630=""), "Gap - Missing LIA", IF(AND(G5630="Yes", H5630=""), "Gap - Missing Art. 9 Basis", IF(OR(I5630="Invalid - Not Freely Given", I5630="Invalid - Not Specific", I5630="Invalid - Not Informed", I5630="Invalid - Ambiguous"), "Gap - Invalid Consent", "Compliant")))))</f>
        <v/>
      </c>
      <c r="O5630" s="7" t="n"/>
    </row>
    <row r="5631">
      <c r="A5631" s="7" t="n"/>
      <c r="B5631" s="7" t="n"/>
      <c r="C5631" s="7" t="n"/>
      <c r="D5631" s="7" t="n"/>
      <c r="E5631" s="7" t="n"/>
      <c r="F5631" s="7" t="n"/>
      <c r="G5631" s="7" t="n"/>
      <c r="H5631" s="7" t="n"/>
      <c r="I5631" s="7" t="n"/>
      <c r="J5631" s="7" t="n"/>
      <c r="K5631">
        <f>IF(D5631="Legitimate Interest (GDPR Art. 6(1)(f))", "Yes / Required (Sheet 3)", "")</f>
        <v/>
      </c>
      <c r="L5631" s="7" t="n"/>
      <c r="M5631" s="7" t="n"/>
      <c r="N5631">
        <f>IF(D5631="", "Gap - No Legal Basis", IF(AND(D5631="Consent (GDPR Art. 6(1)(a))", I5631="Not Captured"), "Gap - Invalid Consent", IF(AND(D5631="Legitimate Interest (GDPR Art. 6(1)(f))", L5631=""), "Gap - Missing LIA", IF(AND(G5631="Yes", H5631=""), "Gap - Missing Art. 9 Basis", IF(OR(I5631="Invalid - Not Freely Given", I5631="Invalid - Not Specific", I5631="Invalid - Not Informed", I5631="Invalid - Ambiguous"), "Gap - Invalid Consent", "Compliant")))))</f>
        <v/>
      </c>
      <c r="O5631" s="7" t="n"/>
    </row>
    <row r="5632">
      <c r="A5632" s="7" t="n"/>
      <c r="B5632" s="7" t="n"/>
      <c r="C5632" s="7" t="n"/>
      <c r="D5632" s="7" t="n"/>
      <c r="E5632" s="7" t="n"/>
      <c r="F5632" s="7" t="n"/>
      <c r="G5632" s="7" t="n"/>
      <c r="H5632" s="7" t="n"/>
      <c r="I5632" s="7" t="n"/>
      <c r="J5632" s="7" t="n"/>
      <c r="K5632">
        <f>IF(D5632="Legitimate Interest (GDPR Art. 6(1)(f))", "Yes / Required (Sheet 3)", "")</f>
        <v/>
      </c>
      <c r="L5632" s="7" t="n"/>
      <c r="M5632" s="7" t="n"/>
      <c r="N5632">
        <f>IF(D5632="", "Gap - No Legal Basis", IF(AND(D5632="Consent (GDPR Art. 6(1)(a))", I5632="Not Captured"), "Gap - Invalid Consent", IF(AND(D5632="Legitimate Interest (GDPR Art. 6(1)(f))", L5632=""), "Gap - Missing LIA", IF(AND(G5632="Yes", H5632=""), "Gap - Missing Art. 9 Basis", IF(OR(I5632="Invalid - Not Freely Given", I5632="Invalid - Not Specific", I5632="Invalid - Not Informed", I5632="Invalid - Ambiguous"), "Gap - Invalid Consent", "Compliant")))))</f>
        <v/>
      </c>
      <c r="O5632" s="7" t="n"/>
    </row>
    <row r="5633">
      <c r="A5633" s="7" t="n"/>
      <c r="B5633" s="7" t="n"/>
      <c r="C5633" s="7" t="n"/>
      <c r="D5633" s="7" t="n"/>
      <c r="E5633" s="7" t="n"/>
      <c r="F5633" s="7" t="n"/>
      <c r="G5633" s="7" t="n"/>
      <c r="H5633" s="7" t="n"/>
      <c r="I5633" s="7" t="n"/>
      <c r="J5633" s="7" t="n"/>
      <c r="K5633">
        <f>IF(D5633="Legitimate Interest (GDPR Art. 6(1)(f))", "Yes / Required (Sheet 3)", "")</f>
        <v/>
      </c>
      <c r="L5633" s="7" t="n"/>
      <c r="M5633" s="7" t="n"/>
      <c r="N5633">
        <f>IF(D5633="", "Gap - No Legal Basis", IF(AND(D5633="Consent (GDPR Art. 6(1)(a))", I5633="Not Captured"), "Gap - Invalid Consent", IF(AND(D5633="Legitimate Interest (GDPR Art. 6(1)(f))", L5633=""), "Gap - Missing LIA", IF(AND(G5633="Yes", H5633=""), "Gap - Missing Art. 9 Basis", IF(OR(I5633="Invalid - Not Freely Given", I5633="Invalid - Not Specific", I5633="Invalid - Not Informed", I5633="Invalid - Ambiguous"), "Gap - Invalid Consent", "Compliant")))))</f>
        <v/>
      </c>
      <c r="O5633" s="7" t="n"/>
    </row>
    <row r="5634">
      <c r="A5634" s="7" t="n"/>
      <c r="B5634" s="7" t="n"/>
      <c r="C5634" s="7" t="n"/>
      <c r="D5634" s="7" t="n"/>
      <c r="E5634" s="7" t="n"/>
      <c r="F5634" s="7" t="n"/>
      <c r="G5634" s="7" t="n"/>
      <c r="H5634" s="7" t="n"/>
      <c r="I5634" s="7" t="n"/>
      <c r="J5634" s="7" t="n"/>
      <c r="K5634">
        <f>IF(D5634="Legitimate Interest (GDPR Art. 6(1)(f))", "Yes / Required (Sheet 3)", "")</f>
        <v/>
      </c>
      <c r="L5634" s="7" t="n"/>
      <c r="M5634" s="7" t="n"/>
      <c r="N5634">
        <f>IF(D5634="", "Gap - No Legal Basis", IF(AND(D5634="Consent (GDPR Art. 6(1)(a))", I5634="Not Captured"), "Gap - Invalid Consent", IF(AND(D5634="Legitimate Interest (GDPR Art. 6(1)(f))", L5634=""), "Gap - Missing LIA", IF(AND(G5634="Yes", H5634=""), "Gap - Missing Art. 9 Basis", IF(OR(I5634="Invalid - Not Freely Given", I5634="Invalid - Not Specific", I5634="Invalid - Not Informed", I5634="Invalid - Ambiguous"), "Gap - Invalid Consent", "Compliant")))))</f>
        <v/>
      </c>
      <c r="O5634" s="7" t="n"/>
    </row>
    <row r="5635">
      <c r="A5635" s="7" t="n"/>
      <c r="B5635" s="7" t="n"/>
      <c r="C5635" s="7" t="n"/>
      <c r="D5635" s="7" t="n"/>
      <c r="E5635" s="7" t="n"/>
      <c r="F5635" s="7" t="n"/>
      <c r="G5635" s="7" t="n"/>
      <c r="H5635" s="7" t="n"/>
      <c r="I5635" s="7" t="n"/>
      <c r="J5635" s="7" t="n"/>
      <c r="K5635">
        <f>IF(D5635="Legitimate Interest (GDPR Art. 6(1)(f))", "Yes / Required (Sheet 3)", "")</f>
        <v/>
      </c>
      <c r="L5635" s="7" t="n"/>
      <c r="M5635" s="7" t="n"/>
      <c r="N5635">
        <f>IF(D5635="", "Gap - No Legal Basis", IF(AND(D5635="Consent (GDPR Art. 6(1)(a))", I5635="Not Captured"), "Gap - Invalid Consent", IF(AND(D5635="Legitimate Interest (GDPR Art. 6(1)(f))", L5635=""), "Gap - Missing LIA", IF(AND(G5635="Yes", H5635=""), "Gap - Missing Art. 9 Basis", IF(OR(I5635="Invalid - Not Freely Given", I5635="Invalid - Not Specific", I5635="Invalid - Not Informed", I5635="Invalid - Ambiguous"), "Gap - Invalid Consent", "Compliant")))))</f>
        <v/>
      </c>
      <c r="O5635" s="7" t="n"/>
    </row>
    <row r="5636">
      <c r="A5636" s="7" t="n"/>
      <c r="B5636" s="7" t="n"/>
      <c r="C5636" s="7" t="n"/>
      <c r="D5636" s="7" t="n"/>
      <c r="E5636" s="7" t="n"/>
      <c r="F5636" s="7" t="n"/>
      <c r="G5636" s="7" t="n"/>
      <c r="H5636" s="7" t="n"/>
      <c r="I5636" s="7" t="n"/>
      <c r="J5636" s="7" t="n"/>
      <c r="K5636">
        <f>IF(D5636="Legitimate Interest (GDPR Art. 6(1)(f))", "Yes / Required (Sheet 3)", "")</f>
        <v/>
      </c>
      <c r="L5636" s="7" t="n"/>
      <c r="M5636" s="7" t="n"/>
      <c r="N5636">
        <f>IF(D5636="", "Gap - No Legal Basis", IF(AND(D5636="Consent (GDPR Art. 6(1)(a))", I5636="Not Captured"), "Gap - Invalid Consent", IF(AND(D5636="Legitimate Interest (GDPR Art. 6(1)(f))", L5636=""), "Gap - Missing LIA", IF(AND(G5636="Yes", H5636=""), "Gap - Missing Art. 9 Basis", IF(OR(I5636="Invalid - Not Freely Given", I5636="Invalid - Not Specific", I5636="Invalid - Not Informed", I5636="Invalid - Ambiguous"), "Gap - Invalid Consent", "Compliant")))))</f>
        <v/>
      </c>
      <c r="O5636" s="7" t="n"/>
    </row>
    <row r="5637">
      <c r="A5637" s="7" t="n"/>
      <c r="B5637" s="7" t="n"/>
      <c r="C5637" s="7" t="n"/>
      <c r="D5637" s="7" t="n"/>
      <c r="E5637" s="7" t="n"/>
      <c r="F5637" s="7" t="n"/>
      <c r="G5637" s="7" t="n"/>
      <c r="H5637" s="7" t="n"/>
      <c r="I5637" s="7" t="n"/>
      <c r="J5637" s="7" t="n"/>
      <c r="K5637">
        <f>IF(D5637="Legitimate Interest (GDPR Art. 6(1)(f))", "Yes / Required (Sheet 3)", "")</f>
        <v/>
      </c>
      <c r="L5637" s="7" t="n"/>
      <c r="M5637" s="7" t="n"/>
      <c r="N5637">
        <f>IF(D5637="", "Gap - No Legal Basis", IF(AND(D5637="Consent (GDPR Art. 6(1)(a))", I5637="Not Captured"), "Gap - Invalid Consent", IF(AND(D5637="Legitimate Interest (GDPR Art. 6(1)(f))", L5637=""), "Gap - Missing LIA", IF(AND(G5637="Yes", H5637=""), "Gap - Missing Art. 9 Basis", IF(OR(I5637="Invalid - Not Freely Given", I5637="Invalid - Not Specific", I5637="Invalid - Not Informed", I5637="Invalid - Ambiguous"), "Gap - Invalid Consent", "Compliant")))))</f>
        <v/>
      </c>
      <c r="O5637" s="7" t="n"/>
    </row>
    <row r="5638">
      <c r="A5638" s="7" t="n"/>
      <c r="B5638" s="7" t="n"/>
      <c r="C5638" s="7" t="n"/>
      <c r="D5638" s="7" t="n"/>
      <c r="E5638" s="7" t="n"/>
      <c r="F5638" s="7" t="n"/>
      <c r="G5638" s="7" t="n"/>
      <c r="H5638" s="7" t="n"/>
      <c r="I5638" s="7" t="n"/>
      <c r="J5638" s="7" t="n"/>
      <c r="K5638">
        <f>IF(D5638="Legitimate Interest (GDPR Art. 6(1)(f))", "Yes / Required (Sheet 3)", "")</f>
        <v/>
      </c>
      <c r="L5638" s="7" t="n"/>
      <c r="M5638" s="7" t="n"/>
      <c r="N5638">
        <f>IF(D5638="", "Gap - No Legal Basis", IF(AND(D5638="Consent (GDPR Art. 6(1)(a))", I5638="Not Captured"), "Gap - Invalid Consent", IF(AND(D5638="Legitimate Interest (GDPR Art. 6(1)(f))", L5638=""), "Gap - Missing LIA", IF(AND(G5638="Yes", H5638=""), "Gap - Missing Art. 9 Basis", IF(OR(I5638="Invalid - Not Freely Given", I5638="Invalid - Not Specific", I5638="Invalid - Not Informed", I5638="Invalid - Ambiguous"), "Gap - Invalid Consent", "Compliant")))))</f>
        <v/>
      </c>
      <c r="O5638" s="7" t="n"/>
    </row>
    <row r="5639">
      <c r="A5639" s="7" t="n"/>
      <c r="B5639" s="7" t="n"/>
      <c r="C5639" s="7" t="n"/>
      <c r="D5639" s="7" t="n"/>
      <c r="E5639" s="7" t="n"/>
      <c r="F5639" s="7" t="n"/>
      <c r="G5639" s="7" t="n"/>
      <c r="H5639" s="7" t="n"/>
      <c r="I5639" s="7" t="n"/>
      <c r="J5639" s="7" t="n"/>
      <c r="K5639">
        <f>IF(D5639="Legitimate Interest (GDPR Art. 6(1)(f))", "Yes / Required (Sheet 3)", "")</f>
        <v/>
      </c>
      <c r="L5639" s="7" t="n"/>
      <c r="M5639" s="7" t="n"/>
      <c r="N5639">
        <f>IF(D5639="", "Gap - No Legal Basis", IF(AND(D5639="Consent (GDPR Art. 6(1)(a))", I5639="Not Captured"), "Gap - Invalid Consent", IF(AND(D5639="Legitimate Interest (GDPR Art. 6(1)(f))", L5639=""), "Gap - Missing LIA", IF(AND(G5639="Yes", H5639=""), "Gap - Missing Art. 9 Basis", IF(OR(I5639="Invalid - Not Freely Given", I5639="Invalid - Not Specific", I5639="Invalid - Not Informed", I5639="Invalid - Ambiguous"), "Gap - Invalid Consent", "Compliant")))))</f>
        <v/>
      </c>
      <c r="O5639" s="7" t="n"/>
    </row>
    <row r="5640">
      <c r="A5640" s="7" t="n"/>
      <c r="B5640" s="7" t="n"/>
      <c r="C5640" s="7" t="n"/>
      <c r="D5640" s="7" t="n"/>
      <c r="E5640" s="7" t="n"/>
      <c r="F5640" s="7" t="n"/>
      <c r="G5640" s="7" t="n"/>
      <c r="H5640" s="7" t="n"/>
      <c r="I5640" s="7" t="n"/>
      <c r="J5640" s="7" t="n"/>
      <c r="K5640">
        <f>IF(D5640="Legitimate Interest (GDPR Art. 6(1)(f))", "Yes / Required (Sheet 3)", "")</f>
        <v/>
      </c>
      <c r="L5640" s="7" t="n"/>
      <c r="M5640" s="7" t="n"/>
      <c r="N5640">
        <f>IF(D5640="", "Gap - No Legal Basis", IF(AND(D5640="Consent (GDPR Art. 6(1)(a))", I5640="Not Captured"), "Gap - Invalid Consent", IF(AND(D5640="Legitimate Interest (GDPR Art. 6(1)(f))", L5640=""), "Gap - Missing LIA", IF(AND(G5640="Yes", H5640=""), "Gap - Missing Art. 9 Basis", IF(OR(I5640="Invalid - Not Freely Given", I5640="Invalid - Not Specific", I5640="Invalid - Not Informed", I5640="Invalid - Ambiguous"), "Gap - Invalid Consent", "Compliant")))))</f>
        <v/>
      </c>
      <c r="O5640" s="7" t="n"/>
    </row>
    <row r="5641">
      <c r="A5641" s="7" t="n"/>
      <c r="B5641" s="7" t="n"/>
      <c r="C5641" s="7" t="n"/>
      <c r="D5641" s="7" t="n"/>
      <c r="E5641" s="7" t="n"/>
      <c r="F5641" s="7" t="n"/>
      <c r="G5641" s="7" t="n"/>
      <c r="H5641" s="7" t="n"/>
      <c r="I5641" s="7" t="n"/>
      <c r="J5641" s="7" t="n"/>
      <c r="K5641">
        <f>IF(D5641="Legitimate Interest (GDPR Art. 6(1)(f))", "Yes / Required (Sheet 3)", "")</f>
        <v/>
      </c>
      <c r="L5641" s="7" t="n"/>
      <c r="M5641" s="7" t="n"/>
      <c r="N5641">
        <f>IF(D5641="", "Gap - No Legal Basis", IF(AND(D5641="Consent (GDPR Art. 6(1)(a))", I5641="Not Captured"), "Gap - Invalid Consent", IF(AND(D5641="Legitimate Interest (GDPR Art. 6(1)(f))", L5641=""), "Gap - Missing LIA", IF(AND(G5641="Yes", H5641=""), "Gap - Missing Art. 9 Basis", IF(OR(I5641="Invalid - Not Freely Given", I5641="Invalid - Not Specific", I5641="Invalid - Not Informed", I5641="Invalid - Ambiguous"), "Gap - Invalid Consent", "Compliant")))))</f>
        <v/>
      </c>
      <c r="O5641" s="7" t="n"/>
    </row>
    <row r="5642">
      <c r="A5642" s="7" t="n"/>
      <c r="B5642" s="7" t="n"/>
      <c r="C5642" s="7" t="n"/>
      <c r="D5642" s="7" t="n"/>
      <c r="E5642" s="7" t="n"/>
      <c r="F5642" s="7" t="n"/>
      <c r="G5642" s="7" t="n"/>
      <c r="H5642" s="7" t="n"/>
      <c r="I5642" s="7" t="n"/>
      <c r="J5642" s="7" t="n"/>
      <c r="K5642">
        <f>IF(D5642="Legitimate Interest (GDPR Art. 6(1)(f))", "Yes / Required (Sheet 3)", "")</f>
        <v/>
      </c>
      <c r="L5642" s="7" t="n"/>
      <c r="M5642" s="7" t="n"/>
      <c r="N5642">
        <f>IF(D5642="", "Gap - No Legal Basis", IF(AND(D5642="Consent (GDPR Art. 6(1)(a))", I5642="Not Captured"), "Gap - Invalid Consent", IF(AND(D5642="Legitimate Interest (GDPR Art. 6(1)(f))", L5642=""), "Gap - Missing LIA", IF(AND(G5642="Yes", H5642=""), "Gap - Missing Art. 9 Basis", IF(OR(I5642="Invalid - Not Freely Given", I5642="Invalid - Not Specific", I5642="Invalid - Not Informed", I5642="Invalid - Ambiguous"), "Gap - Invalid Consent", "Compliant")))))</f>
        <v/>
      </c>
      <c r="O5642" s="7" t="n"/>
    </row>
    <row r="5643">
      <c r="A5643" s="7" t="n"/>
      <c r="B5643" s="7" t="n"/>
      <c r="C5643" s="7" t="n"/>
      <c r="D5643" s="7" t="n"/>
      <c r="E5643" s="7" t="n"/>
      <c r="F5643" s="7" t="n"/>
      <c r="G5643" s="7" t="n"/>
      <c r="H5643" s="7" t="n"/>
      <c r="I5643" s="7" t="n"/>
      <c r="J5643" s="7" t="n"/>
      <c r="K5643">
        <f>IF(D5643="Legitimate Interest (GDPR Art. 6(1)(f))", "Yes / Required (Sheet 3)", "")</f>
        <v/>
      </c>
      <c r="L5643" s="7" t="n"/>
      <c r="M5643" s="7" t="n"/>
      <c r="N5643">
        <f>IF(D5643="", "Gap - No Legal Basis", IF(AND(D5643="Consent (GDPR Art. 6(1)(a))", I5643="Not Captured"), "Gap - Invalid Consent", IF(AND(D5643="Legitimate Interest (GDPR Art. 6(1)(f))", L5643=""), "Gap - Missing LIA", IF(AND(G5643="Yes", H5643=""), "Gap - Missing Art. 9 Basis", IF(OR(I5643="Invalid - Not Freely Given", I5643="Invalid - Not Specific", I5643="Invalid - Not Informed", I5643="Invalid - Ambiguous"), "Gap - Invalid Consent", "Compliant")))))</f>
        <v/>
      </c>
      <c r="O5643" s="7" t="n"/>
    </row>
    <row r="5644">
      <c r="A5644" s="7" t="n"/>
      <c r="B5644" s="7" t="n"/>
      <c r="C5644" s="7" t="n"/>
      <c r="D5644" s="7" t="n"/>
      <c r="E5644" s="7" t="n"/>
      <c r="F5644" s="7" t="n"/>
      <c r="G5644" s="7" t="n"/>
      <c r="H5644" s="7" t="n"/>
      <c r="I5644" s="7" t="n"/>
      <c r="J5644" s="7" t="n"/>
      <c r="K5644">
        <f>IF(D5644="Legitimate Interest (GDPR Art. 6(1)(f))", "Yes / Required (Sheet 3)", "")</f>
        <v/>
      </c>
      <c r="L5644" s="7" t="n"/>
      <c r="M5644" s="7" t="n"/>
      <c r="N5644">
        <f>IF(D5644="", "Gap - No Legal Basis", IF(AND(D5644="Consent (GDPR Art. 6(1)(a))", I5644="Not Captured"), "Gap - Invalid Consent", IF(AND(D5644="Legitimate Interest (GDPR Art. 6(1)(f))", L5644=""), "Gap - Missing LIA", IF(AND(G5644="Yes", H5644=""), "Gap - Missing Art. 9 Basis", IF(OR(I5644="Invalid - Not Freely Given", I5644="Invalid - Not Specific", I5644="Invalid - Not Informed", I5644="Invalid - Ambiguous"), "Gap - Invalid Consent", "Compliant")))))</f>
        <v/>
      </c>
      <c r="O5644" s="7" t="n"/>
    </row>
    <row r="5645">
      <c r="A5645" s="7" t="n"/>
      <c r="B5645" s="7" t="n"/>
      <c r="C5645" s="7" t="n"/>
      <c r="D5645" s="7" t="n"/>
      <c r="E5645" s="7" t="n"/>
      <c r="F5645" s="7" t="n"/>
      <c r="G5645" s="7" t="n"/>
      <c r="H5645" s="7" t="n"/>
      <c r="I5645" s="7" t="n"/>
      <c r="J5645" s="7" t="n"/>
      <c r="K5645">
        <f>IF(D5645="Legitimate Interest (GDPR Art. 6(1)(f))", "Yes / Required (Sheet 3)", "")</f>
        <v/>
      </c>
      <c r="L5645" s="7" t="n"/>
      <c r="M5645" s="7" t="n"/>
      <c r="N5645">
        <f>IF(D5645="", "Gap - No Legal Basis", IF(AND(D5645="Consent (GDPR Art. 6(1)(a))", I5645="Not Captured"), "Gap - Invalid Consent", IF(AND(D5645="Legitimate Interest (GDPR Art. 6(1)(f))", L5645=""), "Gap - Missing LIA", IF(AND(G5645="Yes", H5645=""), "Gap - Missing Art. 9 Basis", IF(OR(I5645="Invalid - Not Freely Given", I5645="Invalid - Not Specific", I5645="Invalid - Not Informed", I5645="Invalid - Ambiguous"), "Gap - Invalid Consent", "Compliant")))))</f>
        <v/>
      </c>
      <c r="O5645" s="7" t="n"/>
    </row>
    <row r="5646">
      <c r="A5646" s="7" t="n"/>
      <c r="B5646" s="7" t="n"/>
      <c r="C5646" s="7" t="n"/>
      <c r="D5646" s="7" t="n"/>
      <c r="E5646" s="7" t="n"/>
      <c r="F5646" s="7" t="n"/>
      <c r="G5646" s="7" t="n"/>
      <c r="H5646" s="7" t="n"/>
      <c r="I5646" s="7" t="n"/>
      <c r="J5646" s="7" t="n"/>
      <c r="K5646">
        <f>IF(D5646="Legitimate Interest (GDPR Art. 6(1)(f))", "Yes / Required (Sheet 3)", "")</f>
        <v/>
      </c>
      <c r="L5646" s="7" t="n"/>
      <c r="M5646" s="7" t="n"/>
      <c r="N5646">
        <f>IF(D5646="", "Gap - No Legal Basis", IF(AND(D5646="Consent (GDPR Art. 6(1)(a))", I5646="Not Captured"), "Gap - Invalid Consent", IF(AND(D5646="Legitimate Interest (GDPR Art. 6(1)(f))", L5646=""), "Gap - Missing LIA", IF(AND(G5646="Yes", H5646=""), "Gap - Missing Art. 9 Basis", IF(OR(I5646="Invalid - Not Freely Given", I5646="Invalid - Not Specific", I5646="Invalid - Not Informed", I5646="Invalid - Ambiguous"), "Gap - Invalid Consent", "Compliant")))))</f>
        <v/>
      </c>
      <c r="O5646" s="7" t="n"/>
    </row>
    <row r="5647">
      <c r="A5647" s="7" t="n"/>
      <c r="B5647" s="7" t="n"/>
      <c r="C5647" s="7" t="n"/>
      <c r="D5647" s="7" t="n"/>
      <c r="E5647" s="7" t="n"/>
      <c r="F5647" s="7" t="n"/>
      <c r="G5647" s="7" t="n"/>
      <c r="H5647" s="7" t="n"/>
      <c r="I5647" s="7" t="n"/>
      <c r="J5647" s="7" t="n"/>
      <c r="K5647">
        <f>IF(D5647="Legitimate Interest (GDPR Art. 6(1)(f))", "Yes / Required (Sheet 3)", "")</f>
        <v/>
      </c>
      <c r="L5647" s="7" t="n"/>
      <c r="M5647" s="7" t="n"/>
      <c r="N5647">
        <f>IF(D5647="", "Gap - No Legal Basis", IF(AND(D5647="Consent (GDPR Art. 6(1)(a))", I5647="Not Captured"), "Gap - Invalid Consent", IF(AND(D5647="Legitimate Interest (GDPR Art. 6(1)(f))", L5647=""), "Gap - Missing LIA", IF(AND(G5647="Yes", H5647=""), "Gap - Missing Art. 9 Basis", IF(OR(I5647="Invalid - Not Freely Given", I5647="Invalid - Not Specific", I5647="Invalid - Not Informed", I5647="Invalid - Ambiguous"), "Gap - Invalid Consent", "Compliant")))))</f>
        <v/>
      </c>
      <c r="O5647" s="7" t="n"/>
    </row>
    <row r="5648">
      <c r="A5648" s="7" t="n"/>
      <c r="B5648" s="7" t="n"/>
      <c r="C5648" s="7" t="n"/>
      <c r="D5648" s="7" t="n"/>
      <c r="E5648" s="7" t="n"/>
      <c r="F5648" s="7" t="n"/>
      <c r="G5648" s="7" t="n"/>
      <c r="H5648" s="7" t="n"/>
      <c r="I5648" s="7" t="n"/>
      <c r="J5648" s="7" t="n"/>
      <c r="K5648">
        <f>IF(D5648="Legitimate Interest (GDPR Art. 6(1)(f))", "Yes / Required (Sheet 3)", "")</f>
        <v/>
      </c>
      <c r="L5648" s="7" t="n"/>
      <c r="M5648" s="7" t="n"/>
      <c r="N5648">
        <f>IF(D5648="", "Gap - No Legal Basis", IF(AND(D5648="Consent (GDPR Art. 6(1)(a))", I5648="Not Captured"), "Gap - Invalid Consent", IF(AND(D5648="Legitimate Interest (GDPR Art. 6(1)(f))", L5648=""), "Gap - Missing LIA", IF(AND(G5648="Yes", H5648=""), "Gap - Missing Art. 9 Basis", IF(OR(I5648="Invalid - Not Freely Given", I5648="Invalid - Not Specific", I5648="Invalid - Not Informed", I5648="Invalid - Ambiguous"), "Gap - Invalid Consent", "Compliant")))))</f>
        <v/>
      </c>
      <c r="O5648" s="7" t="n"/>
    </row>
    <row r="5649">
      <c r="A5649" s="7" t="n"/>
      <c r="B5649" s="7" t="n"/>
      <c r="C5649" s="7" t="n"/>
      <c r="D5649" s="7" t="n"/>
      <c r="E5649" s="7" t="n"/>
      <c r="F5649" s="7" t="n"/>
      <c r="G5649" s="7" t="n"/>
      <c r="H5649" s="7" t="n"/>
      <c r="I5649" s="7" t="n"/>
      <c r="J5649" s="7" t="n"/>
      <c r="K5649">
        <f>IF(D5649="Legitimate Interest (GDPR Art. 6(1)(f))", "Yes / Required (Sheet 3)", "")</f>
        <v/>
      </c>
      <c r="L5649" s="7" t="n"/>
      <c r="M5649" s="7" t="n"/>
      <c r="N5649">
        <f>IF(D5649="", "Gap - No Legal Basis", IF(AND(D5649="Consent (GDPR Art. 6(1)(a))", I5649="Not Captured"), "Gap - Invalid Consent", IF(AND(D5649="Legitimate Interest (GDPR Art. 6(1)(f))", L5649=""), "Gap - Missing LIA", IF(AND(G5649="Yes", H5649=""), "Gap - Missing Art. 9 Basis", IF(OR(I5649="Invalid - Not Freely Given", I5649="Invalid - Not Specific", I5649="Invalid - Not Informed", I5649="Invalid - Ambiguous"), "Gap - Invalid Consent", "Compliant")))))</f>
        <v/>
      </c>
      <c r="O5649" s="7" t="n"/>
    </row>
    <row r="5650">
      <c r="A5650" s="7" t="n"/>
      <c r="B5650" s="7" t="n"/>
      <c r="C5650" s="7" t="n"/>
      <c r="D5650" s="7" t="n"/>
      <c r="E5650" s="7" t="n"/>
      <c r="F5650" s="7" t="n"/>
      <c r="G5650" s="7" t="n"/>
      <c r="H5650" s="7" t="n"/>
      <c r="I5650" s="7" t="n"/>
      <c r="J5650" s="7" t="n"/>
      <c r="K5650">
        <f>IF(D5650="Legitimate Interest (GDPR Art. 6(1)(f))", "Yes / Required (Sheet 3)", "")</f>
        <v/>
      </c>
      <c r="L5650" s="7" t="n"/>
      <c r="M5650" s="7" t="n"/>
      <c r="N5650">
        <f>IF(D5650="", "Gap - No Legal Basis", IF(AND(D5650="Consent (GDPR Art. 6(1)(a))", I5650="Not Captured"), "Gap - Invalid Consent", IF(AND(D5650="Legitimate Interest (GDPR Art. 6(1)(f))", L5650=""), "Gap - Missing LIA", IF(AND(G5650="Yes", H5650=""), "Gap - Missing Art. 9 Basis", IF(OR(I5650="Invalid - Not Freely Given", I5650="Invalid - Not Specific", I5650="Invalid - Not Informed", I5650="Invalid - Ambiguous"), "Gap - Invalid Consent", "Compliant")))))</f>
        <v/>
      </c>
      <c r="O5650" s="7" t="n"/>
    </row>
    <row r="5651">
      <c r="A5651" s="7" t="n"/>
      <c r="B5651" s="7" t="n"/>
      <c r="C5651" s="7" t="n"/>
      <c r="D5651" s="7" t="n"/>
      <c r="E5651" s="7" t="n"/>
      <c r="F5651" s="7" t="n"/>
      <c r="G5651" s="7" t="n"/>
      <c r="H5651" s="7" t="n"/>
      <c r="I5651" s="7" t="n"/>
      <c r="J5651" s="7" t="n"/>
      <c r="K5651">
        <f>IF(D5651="Legitimate Interest (GDPR Art. 6(1)(f))", "Yes / Required (Sheet 3)", "")</f>
        <v/>
      </c>
      <c r="L5651" s="7" t="n"/>
      <c r="M5651" s="7" t="n"/>
      <c r="N5651">
        <f>IF(D5651="", "Gap - No Legal Basis", IF(AND(D5651="Consent (GDPR Art. 6(1)(a))", I5651="Not Captured"), "Gap - Invalid Consent", IF(AND(D5651="Legitimate Interest (GDPR Art. 6(1)(f))", L5651=""), "Gap - Missing LIA", IF(AND(G5651="Yes", H5651=""), "Gap - Missing Art. 9 Basis", IF(OR(I5651="Invalid - Not Freely Given", I5651="Invalid - Not Specific", I5651="Invalid - Not Informed", I5651="Invalid - Ambiguous"), "Gap - Invalid Consent", "Compliant")))))</f>
        <v/>
      </c>
      <c r="O5651" s="7" t="n"/>
    </row>
    <row r="5652">
      <c r="A5652" s="7" t="n"/>
      <c r="B5652" s="7" t="n"/>
      <c r="C5652" s="7" t="n"/>
      <c r="D5652" s="7" t="n"/>
      <c r="E5652" s="7" t="n"/>
      <c r="F5652" s="7" t="n"/>
      <c r="G5652" s="7" t="n"/>
      <c r="H5652" s="7" t="n"/>
      <c r="I5652" s="7" t="n"/>
      <c r="J5652" s="7" t="n"/>
      <c r="K5652">
        <f>IF(D5652="Legitimate Interest (GDPR Art. 6(1)(f))", "Yes / Required (Sheet 3)", "")</f>
        <v/>
      </c>
      <c r="L5652" s="7" t="n"/>
      <c r="M5652" s="7" t="n"/>
      <c r="N5652">
        <f>IF(D5652="", "Gap - No Legal Basis", IF(AND(D5652="Consent (GDPR Art. 6(1)(a))", I5652="Not Captured"), "Gap - Invalid Consent", IF(AND(D5652="Legitimate Interest (GDPR Art. 6(1)(f))", L5652=""), "Gap - Missing LIA", IF(AND(G5652="Yes", H5652=""), "Gap - Missing Art. 9 Basis", IF(OR(I5652="Invalid - Not Freely Given", I5652="Invalid - Not Specific", I5652="Invalid - Not Informed", I5652="Invalid - Ambiguous"), "Gap - Invalid Consent", "Compliant")))))</f>
        <v/>
      </c>
      <c r="O5652" s="7" t="n"/>
    </row>
    <row r="5653">
      <c r="A5653" s="7" t="n"/>
      <c r="B5653" s="7" t="n"/>
      <c r="C5653" s="7" t="n"/>
      <c r="D5653" s="7" t="n"/>
      <c r="E5653" s="7" t="n"/>
      <c r="F5653" s="7" t="n"/>
      <c r="G5653" s="7" t="n"/>
      <c r="H5653" s="7" t="n"/>
      <c r="I5653" s="7" t="n"/>
      <c r="J5653" s="7" t="n"/>
      <c r="K5653">
        <f>IF(D5653="Legitimate Interest (GDPR Art. 6(1)(f))", "Yes / Required (Sheet 3)", "")</f>
        <v/>
      </c>
      <c r="L5653" s="7" t="n"/>
      <c r="M5653" s="7" t="n"/>
      <c r="N5653">
        <f>IF(D5653="", "Gap - No Legal Basis", IF(AND(D5653="Consent (GDPR Art. 6(1)(a))", I5653="Not Captured"), "Gap - Invalid Consent", IF(AND(D5653="Legitimate Interest (GDPR Art. 6(1)(f))", L5653=""), "Gap - Missing LIA", IF(AND(G5653="Yes", H5653=""), "Gap - Missing Art. 9 Basis", IF(OR(I5653="Invalid - Not Freely Given", I5653="Invalid - Not Specific", I5653="Invalid - Not Informed", I5653="Invalid - Ambiguous"), "Gap - Invalid Consent", "Compliant")))))</f>
        <v/>
      </c>
      <c r="O5653" s="7" t="n"/>
    </row>
    <row r="5654">
      <c r="A5654" s="7" t="n"/>
      <c r="B5654" s="7" t="n"/>
      <c r="C5654" s="7" t="n"/>
      <c r="D5654" s="7" t="n"/>
      <c r="E5654" s="7" t="n"/>
      <c r="F5654" s="7" t="n"/>
      <c r="G5654" s="7" t="n"/>
      <c r="H5654" s="7" t="n"/>
      <c r="I5654" s="7" t="n"/>
      <c r="J5654" s="7" t="n"/>
      <c r="K5654">
        <f>IF(D5654="Legitimate Interest (GDPR Art. 6(1)(f))", "Yes / Required (Sheet 3)", "")</f>
        <v/>
      </c>
      <c r="L5654" s="7" t="n"/>
      <c r="M5654" s="7" t="n"/>
      <c r="N5654">
        <f>IF(D5654="", "Gap - No Legal Basis", IF(AND(D5654="Consent (GDPR Art. 6(1)(a))", I5654="Not Captured"), "Gap - Invalid Consent", IF(AND(D5654="Legitimate Interest (GDPR Art. 6(1)(f))", L5654=""), "Gap - Missing LIA", IF(AND(G5654="Yes", H5654=""), "Gap - Missing Art. 9 Basis", IF(OR(I5654="Invalid - Not Freely Given", I5654="Invalid - Not Specific", I5654="Invalid - Not Informed", I5654="Invalid - Ambiguous"), "Gap - Invalid Consent", "Compliant")))))</f>
        <v/>
      </c>
      <c r="O5654" s="7" t="n"/>
    </row>
    <row r="5655">
      <c r="A5655" s="7" t="n"/>
      <c r="B5655" s="7" t="n"/>
      <c r="C5655" s="7" t="n"/>
      <c r="D5655" s="7" t="n"/>
      <c r="E5655" s="7" t="n"/>
      <c r="F5655" s="7" t="n"/>
      <c r="G5655" s="7" t="n"/>
      <c r="H5655" s="7" t="n"/>
      <c r="I5655" s="7" t="n"/>
      <c r="J5655" s="7" t="n"/>
      <c r="K5655">
        <f>IF(D5655="Legitimate Interest (GDPR Art. 6(1)(f))", "Yes / Required (Sheet 3)", "")</f>
        <v/>
      </c>
      <c r="L5655" s="7" t="n"/>
      <c r="M5655" s="7" t="n"/>
      <c r="N5655">
        <f>IF(D5655="", "Gap - No Legal Basis", IF(AND(D5655="Consent (GDPR Art. 6(1)(a))", I5655="Not Captured"), "Gap - Invalid Consent", IF(AND(D5655="Legitimate Interest (GDPR Art. 6(1)(f))", L5655=""), "Gap - Missing LIA", IF(AND(G5655="Yes", H5655=""), "Gap - Missing Art. 9 Basis", IF(OR(I5655="Invalid - Not Freely Given", I5655="Invalid - Not Specific", I5655="Invalid - Not Informed", I5655="Invalid - Ambiguous"), "Gap - Invalid Consent", "Compliant")))))</f>
        <v/>
      </c>
      <c r="O5655" s="7" t="n"/>
    </row>
    <row r="5656">
      <c r="A5656" s="7" t="n"/>
      <c r="B5656" s="7" t="n"/>
      <c r="C5656" s="7" t="n"/>
      <c r="D5656" s="7" t="n"/>
      <c r="E5656" s="7" t="n"/>
      <c r="F5656" s="7" t="n"/>
      <c r="G5656" s="7" t="n"/>
      <c r="H5656" s="7" t="n"/>
      <c r="I5656" s="7" t="n"/>
      <c r="J5656" s="7" t="n"/>
      <c r="K5656">
        <f>IF(D5656="Legitimate Interest (GDPR Art. 6(1)(f))", "Yes / Required (Sheet 3)", "")</f>
        <v/>
      </c>
      <c r="L5656" s="7" t="n"/>
      <c r="M5656" s="7" t="n"/>
      <c r="N5656">
        <f>IF(D5656="", "Gap - No Legal Basis", IF(AND(D5656="Consent (GDPR Art. 6(1)(a))", I5656="Not Captured"), "Gap - Invalid Consent", IF(AND(D5656="Legitimate Interest (GDPR Art. 6(1)(f))", L5656=""), "Gap - Missing LIA", IF(AND(G5656="Yes", H5656=""), "Gap - Missing Art. 9 Basis", IF(OR(I5656="Invalid - Not Freely Given", I5656="Invalid - Not Specific", I5656="Invalid - Not Informed", I5656="Invalid - Ambiguous"), "Gap - Invalid Consent", "Compliant")))))</f>
        <v/>
      </c>
      <c r="O5656" s="7" t="n"/>
    </row>
    <row r="5657">
      <c r="A5657" s="7" t="n"/>
      <c r="B5657" s="7" t="n"/>
      <c r="C5657" s="7" t="n"/>
      <c r="D5657" s="7" t="n"/>
      <c r="E5657" s="7" t="n"/>
      <c r="F5657" s="7" t="n"/>
      <c r="G5657" s="7" t="n"/>
      <c r="H5657" s="7" t="n"/>
      <c r="I5657" s="7" t="n"/>
      <c r="J5657" s="7" t="n"/>
      <c r="K5657">
        <f>IF(D5657="Legitimate Interest (GDPR Art. 6(1)(f))", "Yes / Required (Sheet 3)", "")</f>
        <v/>
      </c>
      <c r="L5657" s="7" t="n"/>
      <c r="M5657" s="7" t="n"/>
      <c r="N5657">
        <f>IF(D5657="", "Gap - No Legal Basis", IF(AND(D5657="Consent (GDPR Art. 6(1)(a))", I5657="Not Captured"), "Gap - Invalid Consent", IF(AND(D5657="Legitimate Interest (GDPR Art. 6(1)(f))", L5657=""), "Gap - Missing LIA", IF(AND(G5657="Yes", H5657=""), "Gap - Missing Art. 9 Basis", IF(OR(I5657="Invalid - Not Freely Given", I5657="Invalid - Not Specific", I5657="Invalid - Not Informed", I5657="Invalid - Ambiguous"), "Gap - Invalid Consent", "Compliant")))))</f>
        <v/>
      </c>
      <c r="O5657" s="7" t="n"/>
    </row>
    <row r="5658">
      <c r="A5658" s="7" t="n"/>
      <c r="B5658" s="7" t="n"/>
      <c r="C5658" s="7" t="n"/>
      <c r="D5658" s="7" t="n"/>
      <c r="E5658" s="7" t="n"/>
      <c r="F5658" s="7" t="n"/>
      <c r="G5658" s="7" t="n"/>
      <c r="H5658" s="7" t="n"/>
      <c r="I5658" s="7" t="n"/>
      <c r="J5658" s="7" t="n"/>
      <c r="K5658">
        <f>IF(D5658="Legitimate Interest (GDPR Art. 6(1)(f))", "Yes / Required (Sheet 3)", "")</f>
        <v/>
      </c>
      <c r="L5658" s="7" t="n"/>
      <c r="M5658" s="7" t="n"/>
      <c r="N5658">
        <f>IF(D5658="", "Gap - No Legal Basis", IF(AND(D5658="Consent (GDPR Art. 6(1)(a))", I5658="Not Captured"), "Gap - Invalid Consent", IF(AND(D5658="Legitimate Interest (GDPR Art. 6(1)(f))", L5658=""), "Gap - Missing LIA", IF(AND(G5658="Yes", H5658=""), "Gap - Missing Art. 9 Basis", IF(OR(I5658="Invalid - Not Freely Given", I5658="Invalid - Not Specific", I5658="Invalid - Not Informed", I5658="Invalid - Ambiguous"), "Gap - Invalid Consent", "Compliant")))))</f>
        <v/>
      </c>
      <c r="O5658" s="7" t="n"/>
    </row>
    <row r="5659">
      <c r="A5659" s="7" t="n"/>
      <c r="B5659" s="7" t="n"/>
      <c r="C5659" s="7" t="n"/>
      <c r="D5659" s="7" t="n"/>
      <c r="E5659" s="7" t="n"/>
      <c r="F5659" s="7" t="n"/>
      <c r="G5659" s="7" t="n"/>
      <c r="H5659" s="7" t="n"/>
      <c r="I5659" s="7" t="n"/>
      <c r="J5659" s="7" t="n"/>
      <c r="K5659">
        <f>IF(D5659="Legitimate Interest (GDPR Art. 6(1)(f))", "Yes / Required (Sheet 3)", "")</f>
        <v/>
      </c>
      <c r="L5659" s="7" t="n"/>
      <c r="M5659" s="7" t="n"/>
      <c r="N5659">
        <f>IF(D5659="", "Gap - No Legal Basis", IF(AND(D5659="Consent (GDPR Art. 6(1)(a))", I5659="Not Captured"), "Gap - Invalid Consent", IF(AND(D5659="Legitimate Interest (GDPR Art. 6(1)(f))", L5659=""), "Gap - Missing LIA", IF(AND(G5659="Yes", H5659=""), "Gap - Missing Art. 9 Basis", IF(OR(I5659="Invalid - Not Freely Given", I5659="Invalid - Not Specific", I5659="Invalid - Not Informed", I5659="Invalid - Ambiguous"), "Gap - Invalid Consent", "Compliant")))))</f>
        <v/>
      </c>
      <c r="O5659" s="7" t="n"/>
    </row>
    <row r="5660">
      <c r="A5660" s="7" t="n"/>
      <c r="B5660" s="7" t="n"/>
      <c r="C5660" s="7" t="n"/>
      <c r="D5660" s="7" t="n"/>
      <c r="E5660" s="7" t="n"/>
      <c r="F5660" s="7" t="n"/>
      <c r="G5660" s="7" t="n"/>
      <c r="H5660" s="7" t="n"/>
      <c r="I5660" s="7" t="n"/>
      <c r="J5660" s="7" t="n"/>
      <c r="K5660">
        <f>IF(D5660="Legitimate Interest (GDPR Art. 6(1)(f))", "Yes / Required (Sheet 3)", "")</f>
        <v/>
      </c>
      <c r="L5660" s="7" t="n"/>
      <c r="M5660" s="7" t="n"/>
      <c r="N5660">
        <f>IF(D5660="", "Gap - No Legal Basis", IF(AND(D5660="Consent (GDPR Art. 6(1)(a))", I5660="Not Captured"), "Gap - Invalid Consent", IF(AND(D5660="Legitimate Interest (GDPR Art. 6(1)(f))", L5660=""), "Gap - Missing LIA", IF(AND(G5660="Yes", H5660=""), "Gap - Missing Art. 9 Basis", IF(OR(I5660="Invalid - Not Freely Given", I5660="Invalid - Not Specific", I5660="Invalid - Not Informed", I5660="Invalid - Ambiguous"), "Gap - Invalid Consent", "Compliant")))))</f>
        <v/>
      </c>
      <c r="O5660" s="7" t="n"/>
    </row>
    <row r="5661">
      <c r="A5661" s="7" t="n"/>
      <c r="B5661" s="7" t="n"/>
      <c r="C5661" s="7" t="n"/>
      <c r="D5661" s="7" t="n"/>
      <c r="E5661" s="7" t="n"/>
      <c r="F5661" s="7" t="n"/>
      <c r="G5661" s="7" t="n"/>
      <c r="H5661" s="7" t="n"/>
      <c r="I5661" s="7" t="n"/>
      <c r="J5661" s="7" t="n"/>
      <c r="K5661">
        <f>IF(D5661="Legitimate Interest (GDPR Art. 6(1)(f))", "Yes / Required (Sheet 3)", "")</f>
        <v/>
      </c>
      <c r="L5661" s="7" t="n"/>
      <c r="M5661" s="7" t="n"/>
      <c r="N5661">
        <f>IF(D5661="", "Gap - No Legal Basis", IF(AND(D5661="Consent (GDPR Art. 6(1)(a))", I5661="Not Captured"), "Gap - Invalid Consent", IF(AND(D5661="Legitimate Interest (GDPR Art. 6(1)(f))", L5661=""), "Gap - Missing LIA", IF(AND(G5661="Yes", H5661=""), "Gap - Missing Art. 9 Basis", IF(OR(I5661="Invalid - Not Freely Given", I5661="Invalid - Not Specific", I5661="Invalid - Not Informed", I5661="Invalid - Ambiguous"), "Gap - Invalid Consent", "Compliant")))))</f>
        <v/>
      </c>
      <c r="O5661" s="7" t="n"/>
    </row>
    <row r="5662">
      <c r="A5662" s="7" t="n"/>
      <c r="B5662" s="7" t="n"/>
      <c r="C5662" s="7" t="n"/>
      <c r="D5662" s="7" t="n"/>
      <c r="E5662" s="7" t="n"/>
      <c r="F5662" s="7" t="n"/>
      <c r="G5662" s="7" t="n"/>
      <c r="H5662" s="7" t="n"/>
      <c r="I5662" s="7" t="n"/>
      <c r="J5662" s="7" t="n"/>
      <c r="K5662">
        <f>IF(D5662="Legitimate Interest (GDPR Art. 6(1)(f))", "Yes / Required (Sheet 3)", "")</f>
        <v/>
      </c>
      <c r="L5662" s="7" t="n"/>
      <c r="M5662" s="7" t="n"/>
      <c r="N5662">
        <f>IF(D5662="", "Gap - No Legal Basis", IF(AND(D5662="Consent (GDPR Art. 6(1)(a))", I5662="Not Captured"), "Gap - Invalid Consent", IF(AND(D5662="Legitimate Interest (GDPR Art. 6(1)(f))", L5662=""), "Gap - Missing LIA", IF(AND(G5662="Yes", H5662=""), "Gap - Missing Art. 9 Basis", IF(OR(I5662="Invalid - Not Freely Given", I5662="Invalid - Not Specific", I5662="Invalid - Not Informed", I5662="Invalid - Ambiguous"), "Gap - Invalid Consent", "Compliant")))))</f>
        <v/>
      </c>
      <c r="O5662" s="7" t="n"/>
    </row>
    <row r="5663">
      <c r="A5663" s="7" t="n"/>
      <c r="B5663" s="7" t="n"/>
      <c r="C5663" s="7" t="n"/>
      <c r="D5663" s="7" t="n"/>
      <c r="E5663" s="7" t="n"/>
      <c r="F5663" s="7" t="n"/>
      <c r="G5663" s="7" t="n"/>
      <c r="H5663" s="7" t="n"/>
      <c r="I5663" s="7" t="n"/>
      <c r="J5663" s="7" t="n"/>
      <c r="K5663">
        <f>IF(D5663="Legitimate Interest (GDPR Art. 6(1)(f))", "Yes / Required (Sheet 3)", "")</f>
        <v/>
      </c>
      <c r="L5663" s="7" t="n"/>
      <c r="M5663" s="7" t="n"/>
      <c r="N5663">
        <f>IF(D5663="", "Gap - No Legal Basis", IF(AND(D5663="Consent (GDPR Art. 6(1)(a))", I5663="Not Captured"), "Gap - Invalid Consent", IF(AND(D5663="Legitimate Interest (GDPR Art. 6(1)(f))", L5663=""), "Gap - Missing LIA", IF(AND(G5663="Yes", H5663=""), "Gap - Missing Art. 9 Basis", IF(OR(I5663="Invalid - Not Freely Given", I5663="Invalid - Not Specific", I5663="Invalid - Not Informed", I5663="Invalid - Ambiguous"), "Gap - Invalid Consent", "Compliant")))))</f>
        <v/>
      </c>
      <c r="O5663" s="7" t="n"/>
    </row>
    <row r="5664">
      <c r="A5664" s="7" t="n"/>
      <c r="B5664" s="7" t="n"/>
      <c r="C5664" s="7" t="n"/>
      <c r="D5664" s="7" t="n"/>
      <c r="E5664" s="7" t="n"/>
      <c r="F5664" s="7" t="n"/>
      <c r="G5664" s="7" t="n"/>
      <c r="H5664" s="7" t="n"/>
      <c r="I5664" s="7" t="n"/>
      <c r="J5664" s="7" t="n"/>
      <c r="K5664">
        <f>IF(D5664="Legitimate Interest (GDPR Art. 6(1)(f))", "Yes / Required (Sheet 3)", "")</f>
        <v/>
      </c>
      <c r="L5664" s="7" t="n"/>
      <c r="M5664" s="7" t="n"/>
      <c r="N5664">
        <f>IF(D5664="", "Gap - No Legal Basis", IF(AND(D5664="Consent (GDPR Art. 6(1)(a))", I5664="Not Captured"), "Gap - Invalid Consent", IF(AND(D5664="Legitimate Interest (GDPR Art. 6(1)(f))", L5664=""), "Gap - Missing LIA", IF(AND(G5664="Yes", H5664=""), "Gap - Missing Art. 9 Basis", IF(OR(I5664="Invalid - Not Freely Given", I5664="Invalid - Not Specific", I5664="Invalid - Not Informed", I5664="Invalid - Ambiguous"), "Gap - Invalid Consent", "Compliant")))))</f>
        <v/>
      </c>
      <c r="O5664" s="7" t="n"/>
    </row>
    <row r="5665">
      <c r="A5665" s="7" t="n"/>
      <c r="B5665" s="7" t="n"/>
      <c r="C5665" s="7" t="n"/>
      <c r="D5665" s="7" t="n"/>
      <c r="E5665" s="7" t="n"/>
      <c r="F5665" s="7" t="n"/>
      <c r="G5665" s="7" t="n"/>
      <c r="H5665" s="7" t="n"/>
      <c r="I5665" s="7" t="n"/>
      <c r="J5665" s="7" t="n"/>
      <c r="K5665">
        <f>IF(D5665="Legitimate Interest (GDPR Art. 6(1)(f))", "Yes / Required (Sheet 3)", "")</f>
        <v/>
      </c>
      <c r="L5665" s="7" t="n"/>
      <c r="M5665" s="7" t="n"/>
      <c r="N5665">
        <f>IF(D5665="", "Gap - No Legal Basis", IF(AND(D5665="Consent (GDPR Art. 6(1)(a))", I5665="Not Captured"), "Gap - Invalid Consent", IF(AND(D5665="Legitimate Interest (GDPR Art. 6(1)(f))", L5665=""), "Gap - Missing LIA", IF(AND(G5665="Yes", H5665=""), "Gap - Missing Art. 9 Basis", IF(OR(I5665="Invalid - Not Freely Given", I5665="Invalid - Not Specific", I5665="Invalid - Not Informed", I5665="Invalid - Ambiguous"), "Gap - Invalid Consent", "Compliant")))))</f>
        <v/>
      </c>
      <c r="O5665" s="7" t="n"/>
    </row>
    <row r="5666">
      <c r="A5666" s="7" t="n"/>
      <c r="B5666" s="7" t="n"/>
      <c r="C5666" s="7" t="n"/>
      <c r="D5666" s="7" t="n"/>
      <c r="E5666" s="7" t="n"/>
      <c r="F5666" s="7" t="n"/>
      <c r="G5666" s="7" t="n"/>
      <c r="H5666" s="7" t="n"/>
      <c r="I5666" s="7" t="n"/>
      <c r="J5666" s="7" t="n"/>
      <c r="K5666">
        <f>IF(D5666="Legitimate Interest (GDPR Art. 6(1)(f))", "Yes / Required (Sheet 3)", "")</f>
        <v/>
      </c>
      <c r="L5666" s="7" t="n"/>
      <c r="M5666" s="7" t="n"/>
      <c r="N5666">
        <f>IF(D5666="", "Gap - No Legal Basis", IF(AND(D5666="Consent (GDPR Art. 6(1)(a))", I5666="Not Captured"), "Gap - Invalid Consent", IF(AND(D5666="Legitimate Interest (GDPR Art. 6(1)(f))", L5666=""), "Gap - Missing LIA", IF(AND(G5666="Yes", H5666=""), "Gap - Missing Art. 9 Basis", IF(OR(I5666="Invalid - Not Freely Given", I5666="Invalid - Not Specific", I5666="Invalid - Not Informed", I5666="Invalid - Ambiguous"), "Gap - Invalid Consent", "Compliant")))))</f>
        <v/>
      </c>
      <c r="O5666" s="7" t="n"/>
    </row>
    <row r="5667">
      <c r="A5667" s="7" t="n"/>
      <c r="B5667" s="7" t="n"/>
      <c r="C5667" s="7" t="n"/>
      <c r="D5667" s="7" t="n"/>
      <c r="E5667" s="7" t="n"/>
      <c r="F5667" s="7" t="n"/>
      <c r="G5667" s="7" t="n"/>
      <c r="H5667" s="7" t="n"/>
      <c r="I5667" s="7" t="n"/>
      <c r="J5667" s="7" t="n"/>
      <c r="K5667">
        <f>IF(D5667="Legitimate Interest (GDPR Art. 6(1)(f))", "Yes / Required (Sheet 3)", "")</f>
        <v/>
      </c>
      <c r="L5667" s="7" t="n"/>
      <c r="M5667" s="7" t="n"/>
      <c r="N5667">
        <f>IF(D5667="", "Gap - No Legal Basis", IF(AND(D5667="Consent (GDPR Art. 6(1)(a))", I5667="Not Captured"), "Gap - Invalid Consent", IF(AND(D5667="Legitimate Interest (GDPR Art. 6(1)(f))", L5667=""), "Gap - Missing LIA", IF(AND(G5667="Yes", H5667=""), "Gap - Missing Art. 9 Basis", IF(OR(I5667="Invalid - Not Freely Given", I5667="Invalid - Not Specific", I5667="Invalid - Not Informed", I5667="Invalid - Ambiguous"), "Gap - Invalid Consent", "Compliant")))))</f>
        <v/>
      </c>
      <c r="O5667" s="7" t="n"/>
    </row>
    <row r="5668">
      <c r="A5668" s="7" t="n"/>
      <c r="B5668" s="7" t="n"/>
      <c r="C5668" s="7" t="n"/>
      <c r="D5668" s="7" t="n"/>
      <c r="E5668" s="7" t="n"/>
      <c r="F5668" s="7" t="n"/>
      <c r="G5668" s="7" t="n"/>
      <c r="H5668" s="7" t="n"/>
      <c r="I5668" s="7" t="n"/>
      <c r="J5668" s="7" t="n"/>
      <c r="K5668">
        <f>IF(D5668="Legitimate Interest (GDPR Art. 6(1)(f))", "Yes / Required (Sheet 3)", "")</f>
        <v/>
      </c>
      <c r="L5668" s="7" t="n"/>
      <c r="M5668" s="7" t="n"/>
      <c r="N5668">
        <f>IF(D5668="", "Gap - No Legal Basis", IF(AND(D5668="Consent (GDPR Art. 6(1)(a))", I5668="Not Captured"), "Gap - Invalid Consent", IF(AND(D5668="Legitimate Interest (GDPR Art. 6(1)(f))", L5668=""), "Gap - Missing LIA", IF(AND(G5668="Yes", H5668=""), "Gap - Missing Art. 9 Basis", IF(OR(I5668="Invalid - Not Freely Given", I5668="Invalid - Not Specific", I5668="Invalid - Not Informed", I5668="Invalid - Ambiguous"), "Gap - Invalid Consent", "Compliant")))))</f>
        <v/>
      </c>
      <c r="O5668" s="7" t="n"/>
    </row>
    <row r="5669">
      <c r="A5669" s="7" t="n"/>
      <c r="B5669" s="7" t="n"/>
      <c r="C5669" s="7" t="n"/>
      <c r="D5669" s="7" t="n"/>
      <c r="E5669" s="7" t="n"/>
      <c r="F5669" s="7" t="n"/>
      <c r="G5669" s="7" t="n"/>
      <c r="H5669" s="7" t="n"/>
      <c r="I5669" s="7" t="n"/>
      <c r="J5669" s="7" t="n"/>
      <c r="K5669">
        <f>IF(D5669="Legitimate Interest (GDPR Art. 6(1)(f))", "Yes / Required (Sheet 3)", "")</f>
        <v/>
      </c>
      <c r="L5669" s="7" t="n"/>
      <c r="M5669" s="7" t="n"/>
      <c r="N5669">
        <f>IF(D5669="", "Gap - No Legal Basis", IF(AND(D5669="Consent (GDPR Art. 6(1)(a))", I5669="Not Captured"), "Gap - Invalid Consent", IF(AND(D5669="Legitimate Interest (GDPR Art. 6(1)(f))", L5669=""), "Gap - Missing LIA", IF(AND(G5669="Yes", H5669=""), "Gap - Missing Art. 9 Basis", IF(OR(I5669="Invalid - Not Freely Given", I5669="Invalid - Not Specific", I5669="Invalid - Not Informed", I5669="Invalid - Ambiguous"), "Gap - Invalid Consent", "Compliant")))))</f>
        <v/>
      </c>
      <c r="O5669" s="7" t="n"/>
    </row>
    <row r="5670">
      <c r="A5670" s="7" t="n"/>
      <c r="B5670" s="7" t="n"/>
      <c r="C5670" s="7" t="n"/>
      <c r="D5670" s="7" t="n"/>
      <c r="E5670" s="7" t="n"/>
      <c r="F5670" s="7" t="n"/>
      <c r="G5670" s="7" t="n"/>
      <c r="H5670" s="7" t="n"/>
      <c r="I5670" s="7" t="n"/>
      <c r="J5670" s="7" t="n"/>
      <c r="K5670">
        <f>IF(D5670="Legitimate Interest (GDPR Art. 6(1)(f))", "Yes / Required (Sheet 3)", "")</f>
        <v/>
      </c>
      <c r="L5670" s="7" t="n"/>
      <c r="M5670" s="7" t="n"/>
      <c r="N5670">
        <f>IF(D5670="", "Gap - No Legal Basis", IF(AND(D5670="Consent (GDPR Art. 6(1)(a))", I5670="Not Captured"), "Gap - Invalid Consent", IF(AND(D5670="Legitimate Interest (GDPR Art. 6(1)(f))", L5670=""), "Gap - Missing LIA", IF(AND(G5670="Yes", H5670=""), "Gap - Missing Art. 9 Basis", IF(OR(I5670="Invalid - Not Freely Given", I5670="Invalid - Not Specific", I5670="Invalid - Not Informed", I5670="Invalid - Ambiguous"), "Gap - Invalid Consent", "Compliant")))))</f>
        <v/>
      </c>
      <c r="O5670" s="7" t="n"/>
    </row>
    <row r="5671">
      <c r="A5671" s="7" t="n"/>
      <c r="B5671" s="7" t="n"/>
      <c r="C5671" s="7" t="n"/>
      <c r="D5671" s="7" t="n"/>
      <c r="E5671" s="7" t="n"/>
      <c r="F5671" s="7" t="n"/>
      <c r="G5671" s="7" t="n"/>
      <c r="H5671" s="7" t="n"/>
      <c r="I5671" s="7" t="n"/>
      <c r="J5671" s="7" t="n"/>
      <c r="K5671">
        <f>IF(D5671="Legitimate Interest (GDPR Art. 6(1)(f))", "Yes / Required (Sheet 3)", "")</f>
        <v/>
      </c>
      <c r="L5671" s="7" t="n"/>
      <c r="M5671" s="7" t="n"/>
      <c r="N5671">
        <f>IF(D5671="", "Gap - No Legal Basis", IF(AND(D5671="Consent (GDPR Art. 6(1)(a))", I5671="Not Captured"), "Gap - Invalid Consent", IF(AND(D5671="Legitimate Interest (GDPR Art. 6(1)(f))", L5671=""), "Gap - Missing LIA", IF(AND(G5671="Yes", H5671=""), "Gap - Missing Art. 9 Basis", IF(OR(I5671="Invalid - Not Freely Given", I5671="Invalid - Not Specific", I5671="Invalid - Not Informed", I5671="Invalid - Ambiguous"), "Gap - Invalid Consent", "Compliant")))))</f>
        <v/>
      </c>
      <c r="O5671" s="7" t="n"/>
    </row>
    <row r="5672">
      <c r="A5672" s="7" t="n"/>
      <c r="B5672" s="7" t="n"/>
      <c r="C5672" s="7" t="n"/>
      <c r="D5672" s="7" t="n"/>
      <c r="E5672" s="7" t="n"/>
      <c r="F5672" s="7" t="n"/>
      <c r="G5672" s="7" t="n"/>
      <c r="H5672" s="7" t="n"/>
      <c r="I5672" s="7" t="n"/>
      <c r="J5672" s="7" t="n"/>
      <c r="K5672">
        <f>IF(D5672="Legitimate Interest (GDPR Art. 6(1)(f))", "Yes / Required (Sheet 3)", "")</f>
        <v/>
      </c>
      <c r="L5672" s="7" t="n"/>
      <c r="M5672" s="7" t="n"/>
      <c r="N5672">
        <f>IF(D5672="", "Gap - No Legal Basis", IF(AND(D5672="Consent (GDPR Art. 6(1)(a))", I5672="Not Captured"), "Gap - Invalid Consent", IF(AND(D5672="Legitimate Interest (GDPR Art. 6(1)(f))", L5672=""), "Gap - Missing LIA", IF(AND(G5672="Yes", H5672=""), "Gap - Missing Art. 9 Basis", IF(OR(I5672="Invalid - Not Freely Given", I5672="Invalid - Not Specific", I5672="Invalid - Not Informed", I5672="Invalid - Ambiguous"), "Gap - Invalid Consent", "Compliant")))))</f>
        <v/>
      </c>
      <c r="O5672" s="7" t="n"/>
    </row>
    <row r="5673">
      <c r="A5673" s="7" t="n"/>
      <c r="B5673" s="7" t="n"/>
      <c r="C5673" s="7" t="n"/>
      <c r="D5673" s="7" t="n"/>
      <c r="E5673" s="7" t="n"/>
      <c r="F5673" s="7" t="n"/>
      <c r="G5673" s="7" t="n"/>
      <c r="H5673" s="7" t="n"/>
      <c r="I5673" s="7" t="n"/>
      <c r="J5673" s="7" t="n"/>
      <c r="K5673">
        <f>IF(D5673="Legitimate Interest (GDPR Art. 6(1)(f))", "Yes / Required (Sheet 3)", "")</f>
        <v/>
      </c>
      <c r="L5673" s="7" t="n"/>
      <c r="M5673" s="7" t="n"/>
      <c r="N5673">
        <f>IF(D5673="", "Gap - No Legal Basis", IF(AND(D5673="Consent (GDPR Art. 6(1)(a))", I5673="Not Captured"), "Gap - Invalid Consent", IF(AND(D5673="Legitimate Interest (GDPR Art. 6(1)(f))", L5673=""), "Gap - Missing LIA", IF(AND(G5673="Yes", H5673=""), "Gap - Missing Art. 9 Basis", IF(OR(I5673="Invalid - Not Freely Given", I5673="Invalid - Not Specific", I5673="Invalid - Not Informed", I5673="Invalid - Ambiguous"), "Gap - Invalid Consent", "Compliant")))))</f>
        <v/>
      </c>
      <c r="O5673" s="7" t="n"/>
    </row>
    <row r="5674">
      <c r="A5674" s="7" t="n"/>
      <c r="B5674" s="7" t="n"/>
      <c r="C5674" s="7" t="n"/>
      <c r="D5674" s="7" t="n"/>
      <c r="E5674" s="7" t="n"/>
      <c r="F5674" s="7" t="n"/>
      <c r="G5674" s="7" t="n"/>
      <c r="H5674" s="7" t="n"/>
      <c r="I5674" s="7" t="n"/>
      <c r="J5674" s="7" t="n"/>
      <c r="K5674">
        <f>IF(D5674="Legitimate Interest (GDPR Art. 6(1)(f))", "Yes / Required (Sheet 3)", "")</f>
        <v/>
      </c>
      <c r="L5674" s="7" t="n"/>
      <c r="M5674" s="7" t="n"/>
      <c r="N5674">
        <f>IF(D5674="", "Gap - No Legal Basis", IF(AND(D5674="Consent (GDPR Art. 6(1)(a))", I5674="Not Captured"), "Gap - Invalid Consent", IF(AND(D5674="Legitimate Interest (GDPR Art. 6(1)(f))", L5674=""), "Gap - Missing LIA", IF(AND(G5674="Yes", H5674=""), "Gap - Missing Art. 9 Basis", IF(OR(I5674="Invalid - Not Freely Given", I5674="Invalid - Not Specific", I5674="Invalid - Not Informed", I5674="Invalid - Ambiguous"), "Gap - Invalid Consent", "Compliant")))))</f>
        <v/>
      </c>
      <c r="O5674" s="7" t="n"/>
    </row>
    <row r="5675">
      <c r="A5675" s="7" t="n"/>
      <c r="B5675" s="7" t="n"/>
      <c r="C5675" s="7" t="n"/>
      <c r="D5675" s="7" t="n"/>
      <c r="E5675" s="7" t="n"/>
      <c r="F5675" s="7" t="n"/>
      <c r="G5675" s="7" t="n"/>
      <c r="H5675" s="7" t="n"/>
      <c r="I5675" s="7" t="n"/>
      <c r="J5675" s="7" t="n"/>
      <c r="K5675">
        <f>IF(D5675="Legitimate Interest (GDPR Art. 6(1)(f))", "Yes / Required (Sheet 3)", "")</f>
        <v/>
      </c>
      <c r="L5675" s="7" t="n"/>
      <c r="M5675" s="7" t="n"/>
      <c r="N5675">
        <f>IF(D5675="", "Gap - No Legal Basis", IF(AND(D5675="Consent (GDPR Art. 6(1)(a))", I5675="Not Captured"), "Gap - Invalid Consent", IF(AND(D5675="Legitimate Interest (GDPR Art. 6(1)(f))", L5675=""), "Gap - Missing LIA", IF(AND(G5675="Yes", H5675=""), "Gap - Missing Art. 9 Basis", IF(OR(I5675="Invalid - Not Freely Given", I5675="Invalid - Not Specific", I5675="Invalid - Not Informed", I5675="Invalid - Ambiguous"), "Gap - Invalid Consent", "Compliant")))))</f>
        <v/>
      </c>
      <c r="O5675" s="7" t="n"/>
    </row>
    <row r="5676">
      <c r="A5676" s="7" t="n"/>
      <c r="B5676" s="7" t="n"/>
      <c r="C5676" s="7" t="n"/>
      <c r="D5676" s="7" t="n"/>
      <c r="E5676" s="7" t="n"/>
      <c r="F5676" s="7" t="n"/>
      <c r="G5676" s="7" t="n"/>
      <c r="H5676" s="7" t="n"/>
      <c r="I5676" s="7" t="n"/>
      <c r="J5676" s="7" t="n"/>
      <c r="K5676">
        <f>IF(D5676="Legitimate Interest (GDPR Art. 6(1)(f))", "Yes / Required (Sheet 3)", "")</f>
        <v/>
      </c>
      <c r="L5676" s="7" t="n"/>
      <c r="M5676" s="7" t="n"/>
      <c r="N5676">
        <f>IF(D5676="", "Gap - No Legal Basis", IF(AND(D5676="Consent (GDPR Art. 6(1)(a))", I5676="Not Captured"), "Gap - Invalid Consent", IF(AND(D5676="Legitimate Interest (GDPR Art. 6(1)(f))", L5676=""), "Gap - Missing LIA", IF(AND(G5676="Yes", H5676=""), "Gap - Missing Art. 9 Basis", IF(OR(I5676="Invalid - Not Freely Given", I5676="Invalid - Not Specific", I5676="Invalid - Not Informed", I5676="Invalid - Ambiguous"), "Gap - Invalid Consent", "Compliant")))))</f>
        <v/>
      </c>
      <c r="O5676" s="7" t="n"/>
    </row>
    <row r="5677">
      <c r="A5677" s="7" t="n"/>
      <c r="B5677" s="7" t="n"/>
      <c r="C5677" s="7" t="n"/>
      <c r="D5677" s="7" t="n"/>
      <c r="E5677" s="7" t="n"/>
      <c r="F5677" s="7" t="n"/>
      <c r="G5677" s="7" t="n"/>
      <c r="H5677" s="7" t="n"/>
      <c r="I5677" s="7" t="n"/>
      <c r="J5677" s="7" t="n"/>
      <c r="K5677">
        <f>IF(D5677="Legitimate Interest (GDPR Art. 6(1)(f))", "Yes / Required (Sheet 3)", "")</f>
        <v/>
      </c>
      <c r="L5677" s="7" t="n"/>
      <c r="M5677" s="7" t="n"/>
      <c r="N5677">
        <f>IF(D5677="", "Gap - No Legal Basis", IF(AND(D5677="Consent (GDPR Art. 6(1)(a))", I5677="Not Captured"), "Gap - Invalid Consent", IF(AND(D5677="Legitimate Interest (GDPR Art. 6(1)(f))", L5677=""), "Gap - Missing LIA", IF(AND(G5677="Yes", H5677=""), "Gap - Missing Art. 9 Basis", IF(OR(I5677="Invalid - Not Freely Given", I5677="Invalid - Not Specific", I5677="Invalid - Not Informed", I5677="Invalid - Ambiguous"), "Gap - Invalid Consent", "Compliant")))))</f>
        <v/>
      </c>
      <c r="O5677" s="7" t="n"/>
    </row>
    <row r="5678">
      <c r="A5678" s="7" t="n"/>
      <c r="B5678" s="7" t="n"/>
      <c r="C5678" s="7" t="n"/>
      <c r="D5678" s="7" t="n"/>
      <c r="E5678" s="7" t="n"/>
      <c r="F5678" s="7" t="n"/>
      <c r="G5678" s="7" t="n"/>
      <c r="H5678" s="7" t="n"/>
      <c r="I5678" s="7" t="n"/>
      <c r="J5678" s="7" t="n"/>
      <c r="K5678">
        <f>IF(D5678="Legitimate Interest (GDPR Art. 6(1)(f))", "Yes / Required (Sheet 3)", "")</f>
        <v/>
      </c>
      <c r="L5678" s="7" t="n"/>
      <c r="M5678" s="7" t="n"/>
      <c r="N5678">
        <f>IF(D5678="", "Gap - No Legal Basis", IF(AND(D5678="Consent (GDPR Art. 6(1)(a))", I5678="Not Captured"), "Gap - Invalid Consent", IF(AND(D5678="Legitimate Interest (GDPR Art. 6(1)(f))", L5678=""), "Gap - Missing LIA", IF(AND(G5678="Yes", H5678=""), "Gap - Missing Art. 9 Basis", IF(OR(I5678="Invalid - Not Freely Given", I5678="Invalid - Not Specific", I5678="Invalid - Not Informed", I5678="Invalid - Ambiguous"), "Gap - Invalid Consent", "Compliant")))))</f>
        <v/>
      </c>
      <c r="O5678" s="7" t="n"/>
    </row>
    <row r="5679">
      <c r="A5679" s="7" t="n"/>
      <c r="B5679" s="7" t="n"/>
      <c r="C5679" s="7" t="n"/>
      <c r="D5679" s="7" t="n"/>
      <c r="E5679" s="7" t="n"/>
      <c r="F5679" s="7" t="n"/>
      <c r="G5679" s="7" t="n"/>
      <c r="H5679" s="7" t="n"/>
      <c r="I5679" s="7" t="n"/>
      <c r="J5679" s="7" t="n"/>
      <c r="K5679">
        <f>IF(D5679="Legitimate Interest (GDPR Art. 6(1)(f))", "Yes / Required (Sheet 3)", "")</f>
        <v/>
      </c>
      <c r="L5679" s="7" t="n"/>
      <c r="M5679" s="7" t="n"/>
      <c r="N5679">
        <f>IF(D5679="", "Gap - No Legal Basis", IF(AND(D5679="Consent (GDPR Art. 6(1)(a))", I5679="Not Captured"), "Gap - Invalid Consent", IF(AND(D5679="Legitimate Interest (GDPR Art. 6(1)(f))", L5679=""), "Gap - Missing LIA", IF(AND(G5679="Yes", H5679=""), "Gap - Missing Art. 9 Basis", IF(OR(I5679="Invalid - Not Freely Given", I5679="Invalid - Not Specific", I5679="Invalid - Not Informed", I5679="Invalid - Ambiguous"), "Gap - Invalid Consent", "Compliant")))))</f>
        <v/>
      </c>
      <c r="O5679" s="7" t="n"/>
    </row>
    <row r="5680">
      <c r="A5680" s="7" t="n"/>
      <c r="B5680" s="7" t="n"/>
      <c r="C5680" s="7" t="n"/>
      <c r="D5680" s="7" t="n"/>
      <c r="E5680" s="7" t="n"/>
      <c r="F5680" s="7" t="n"/>
      <c r="G5680" s="7" t="n"/>
      <c r="H5680" s="7" t="n"/>
      <c r="I5680" s="7" t="n"/>
      <c r="J5680" s="7" t="n"/>
      <c r="K5680">
        <f>IF(D5680="Legitimate Interest (GDPR Art. 6(1)(f))", "Yes / Required (Sheet 3)", "")</f>
        <v/>
      </c>
      <c r="L5680" s="7" t="n"/>
      <c r="M5680" s="7" t="n"/>
      <c r="N5680">
        <f>IF(D5680="", "Gap - No Legal Basis", IF(AND(D5680="Consent (GDPR Art. 6(1)(a))", I5680="Not Captured"), "Gap - Invalid Consent", IF(AND(D5680="Legitimate Interest (GDPR Art. 6(1)(f))", L5680=""), "Gap - Missing LIA", IF(AND(G5680="Yes", H5680=""), "Gap - Missing Art. 9 Basis", IF(OR(I5680="Invalid - Not Freely Given", I5680="Invalid - Not Specific", I5680="Invalid - Not Informed", I5680="Invalid - Ambiguous"), "Gap - Invalid Consent", "Compliant")))))</f>
        <v/>
      </c>
      <c r="O5680" s="7" t="n"/>
    </row>
    <row r="5681">
      <c r="A5681" s="7" t="n"/>
      <c r="B5681" s="7" t="n"/>
      <c r="C5681" s="7" t="n"/>
      <c r="D5681" s="7" t="n"/>
      <c r="E5681" s="7" t="n"/>
      <c r="F5681" s="7" t="n"/>
      <c r="G5681" s="7" t="n"/>
      <c r="H5681" s="7" t="n"/>
      <c r="I5681" s="7" t="n"/>
      <c r="J5681" s="7" t="n"/>
      <c r="K5681">
        <f>IF(D5681="Legitimate Interest (GDPR Art. 6(1)(f))", "Yes / Required (Sheet 3)", "")</f>
        <v/>
      </c>
      <c r="L5681" s="7" t="n"/>
      <c r="M5681" s="7" t="n"/>
      <c r="N5681">
        <f>IF(D5681="", "Gap - No Legal Basis", IF(AND(D5681="Consent (GDPR Art. 6(1)(a))", I5681="Not Captured"), "Gap - Invalid Consent", IF(AND(D5681="Legitimate Interest (GDPR Art. 6(1)(f))", L5681=""), "Gap - Missing LIA", IF(AND(G5681="Yes", H5681=""), "Gap - Missing Art. 9 Basis", IF(OR(I5681="Invalid - Not Freely Given", I5681="Invalid - Not Specific", I5681="Invalid - Not Informed", I5681="Invalid - Ambiguous"), "Gap - Invalid Consent", "Compliant")))))</f>
        <v/>
      </c>
      <c r="O5681" s="7" t="n"/>
    </row>
    <row r="5682">
      <c r="A5682" s="7" t="n"/>
      <c r="B5682" s="7" t="n"/>
      <c r="C5682" s="7" t="n"/>
      <c r="D5682" s="7" t="n"/>
      <c r="E5682" s="7" t="n"/>
      <c r="F5682" s="7" t="n"/>
      <c r="G5682" s="7" t="n"/>
      <c r="H5682" s="7" t="n"/>
      <c r="I5682" s="7" t="n"/>
      <c r="J5682" s="7" t="n"/>
      <c r="K5682">
        <f>IF(D5682="Legitimate Interest (GDPR Art. 6(1)(f))", "Yes / Required (Sheet 3)", "")</f>
        <v/>
      </c>
      <c r="L5682" s="7" t="n"/>
      <c r="M5682" s="7" t="n"/>
      <c r="N5682">
        <f>IF(D5682="", "Gap - No Legal Basis", IF(AND(D5682="Consent (GDPR Art. 6(1)(a))", I5682="Not Captured"), "Gap - Invalid Consent", IF(AND(D5682="Legitimate Interest (GDPR Art. 6(1)(f))", L5682=""), "Gap - Missing LIA", IF(AND(G5682="Yes", H5682=""), "Gap - Missing Art. 9 Basis", IF(OR(I5682="Invalid - Not Freely Given", I5682="Invalid - Not Specific", I5682="Invalid - Not Informed", I5682="Invalid - Ambiguous"), "Gap - Invalid Consent", "Compliant")))))</f>
        <v/>
      </c>
      <c r="O5682" s="7" t="n"/>
    </row>
    <row r="5683">
      <c r="A5683" s="7" t="n"/>
      <c r="B5683" s="7" t="n"/>
      <c r="C5683" s="7" t="n"/>
      <c r="D5683" s="7" t="n"/>
      <c r="E5683" s="7" t="n"/>
      <c r="F5683" s="7" t="n"/>
      <c r="G5683" s="7" t="n"/>
      <c r="H5683" s="7" t="n"/>
      <c r="I5683" s="7" t="n"/>
      <c r="J5683" s="7" t="n"/>
      <c r="K5683">
        <f>IF(D5683="Legitimate Interest (GDPR Art. 6(1)(f))", "Yes / Required (Sheet 3)", "")</f>
        <v/>
      </c>
      <c r="L5683" s="7" t="n"/>
      <c r="M5683" s="7" t="n"/>
      <c r="N5683">
        <f>IF(D5683="", "Gap - No Legal Basis", IF(AND(D5683="Consent (GDPR Art. 6(1)(a))", I5683="Not Captured"), "Gap - Invalid Consent", IF(AND(D5683="Legitimate Interest (GDPR Art. 6(1)(f))", L5683=""), "Gap - Missing LIA", IF(AND(G5683="Yes", H5683=""), "Gap - Missing Art. 9 Basis", IF(OR(I5683="Invalid - Not Freely Given", I5683="Invalid - Not Specific", I5683="Invalid - Not Informed", I5683="Invalid - Ambiguous"), "Gap - Invalid Consent", "Compliant")))))</f>
        <v/>
      </c>
      <c r="O5683" s="7" t="n"/>
    </row>
    <row r="5684">
      <c r="A5684" s="7" t="n"/>
      <c r="B5684" s="7" t="n"/>
      <c r="C5684" s="7" t="n"/>
      <c r="D5684" s="7" t="n"/>
      <c r="E5684" s="7" t="n"/>
      <c r="F5684" s="7" t="n"/>
      <c r="G5684" s="7" t="n"/>
      <c r="H5684" s="7" t="n"/>
      <c r="I5684" s="7" t="n"/>
      <c r="J5684" s="7" t="n"/>
      <c r="K5684">
        <f>IF(D5684="Legitimate Interest (GDPR Art. 6(1)(f))", "Yes / Required (Sheet 3)", "")</f>
        <v/>
      </c>
      <c r="L5684" s="7" t="n"/>
      <c r="M5684" s="7" t="n"/>
      <c r="N5684">
        <f>IF(D5684="", "Gap - No Legal Basis", IF(AND(D5684="Consent (GDPR Art. 6(1)(a))", I5684="Not Captured"), "Gap - Invalid Consent", IF(AND(D5684="Legitimate Interest (GDPR Art. 6(1)(f))", L5684=""), "Gap - Missing LIA", IF(AND(G5684="Yes", H5684=""), "Gap - Missing Art. 9 Basis", IF(OR(I5684="Invalid - Not Freely Given", I5684="Invalid - Not Specific", I5684="Invalid - Not Informed", I5684="Invalid - Ambiguous"), "Gap - Invalid Consent", "Compliant")))))</f>
        <v/>
      </c>
      <c r="O5684" s="7" t="n"/>
    </row>
    <row r="5685">
      <c r="A5685" s="7" t="n"/>
      <c r="B5685" s="7" t="n"/>
      <c r="C5685" s="7" t="n"/>
      <c r="D5685" s="7" t="n"/>
      <c r="E5685" s="7" t="n"/>
      <c r="F5685" s="7" t="n"/>
      <c r="G5685" s="7" t="n"/>
      <c r="H5685" s="7" t="n"/>
      <c r="I5685" s="7" t="n"/>
      <c r="J5685" s="7" t="n"/>
      <c r="K5685">
        <f>IF(D5685="Legitimate Interest (GDPR Art. 6(1)(f))", "Yes / Required (Sheet 3)", "")</f>
        <v/>
      </c>
      <c r="L5685" s="7" t="n"/>
      <c r="M5685" s="7" t="n"/>
      <c r="N5685">
        <f>IF(D5685="", "Gap - No Legal Basis", IF(AND(D5685="Consent (GDPR Art. 6(1)(a))", I5685="Not Captured"), "Gap - Invalid Consent", IF(AND(D5685="Legitimate Interest (GDPR Art. 6(1)(f))", L5685=""), "Gap - Missing LIA", IF(AND(G5685="Yes", H5685=""), "Gap - Missing Art. 9 Basis", IF(OR(I5685="Invalid - Not Freely Given", I5685="Invalid - Not Specific", I5685="Invalid - Not Informed", I5685="Invalid - Ambiguous"), "Gap - Invalid Consent", "Compliant")))))</f>
        <v/>
      </c>
      <c r="O5685" s="7" t="n"/>
    </row>
    <row r="5686">
      <c r="A5686" s="7" t="n"/>
      <c r="B5686" s="7" t="n"/>
      <c r="C5686" s="7" t="n"/>
      <c r="D5686" s="7" t="n"/>
      <c r="E5686" s="7" t="n"/>
      <c r="F5686" s="7" t="n"/>
      <c r="G5686" s="7" t="n"/>
      <c r="H5686" s="7" t="n"/>
      <c r="I5686" s="7" t="n"/>
      <c r="J5686" s="7" t="n"/>
      <c r="K5686">
        <f>IF(D5686="Legitimate Interest (GDPR Art. 6(1)(f))", "Yes / Required (Sheet 3)", "")</f>
        <v/>
      </c>
      <c r="L5686" s="7" t="n"/>
      <c r="M5686" s="7" t="n"/>
      <c r="N5686">
        <f>IF(D5686="", "Gap - No Legal Basis", IF(AND(D5686="Consent (GDPR Art. 6(1)(a))", I5686="Not Captured"), "Gap - Invalid Consent", IF(AND(D5686="Legitimate Interest (GDPR Art. 6(1)(f))", L5686=""), "Gap - Missing LIA", IF(AND(G5686="Yes", H5686=""), "Gap - Missing Art. 9 Basis", IF(OR(I5686="Invalid - Not Freely Given", I5686="Invalid - Not Specific", I5686="Invalid - Not Informed", I5686="Invalid - Ambiguous"), "Gap - Invalid Consent", "Compliant")))))</f>
        <v/>
      </c>
      <c r="O5686" s="7" t="n"/>
    </row>
    <row r="5687">
      <c r="A5687" s="7" t="n"/>
      <c r="B5687" s="7" t="n"/>
      <c r="C5687" s="7" t="n"/>
      <c r="D5687" s="7" t="n"/>
      <c r="E5687" s="7" t="n"/>
      <c r="F5687" s="7" t="n"/>
      <c r="G5687" s="7" t="n"/>
      <c r="H5687" s="7" t="n"/>
      <c r="I5687" s="7" t="n"/>
      <c r="J5687" s="7" t="n"/>
      <c r="K5687">
        <f>IF(D5687="Legitimate Interest (GDPR Art. 6(1)(f))", "Yes / Required (Sheet 3)", "")</f>
        <v/>
      </c>
      <c r="L5687" s="7" t="n"/>
      <c r="M5687" s="7" t="n"/>
      <c r="N5687">
        <f>IF(D5687="", "Gap - No Legal Basis", IF(AND(D5687="Consent (GDPR Art. 6(1)(a))", I5687="Not Captured"), "Gap - Invalid Consent", IF(AND(D5687="Legitimate Interest (GDPR Art. 6(1)(f))", L5687=""), "Gap - Missing LIA", IF(AND(G5687="Yes", H5687=""), "Gap - Missing Art. 9 Basis", IF(OR(I5687="Invalid - Not Freely Given", I5687="Invalid - Not Specific", I5687="Invalid - Not Informed", I5687="Invalid - Ambiguous"), "Gap - Invalid Consent", "Compliant")))))</f>
        <v/>
      </c>
      <c r="O5687" s="7" t="n"/>
    </row>
    <row r="5688">
      <c r="A5688" s="7" t="n"/>
      <c r="B5688" s="7" t="n"/>
      <c r="C5688" s="7" t="n"/>
      <c r="D5688" s="7" t="n"/>
      <c r="E5688" s="7" t="n"/>
      <c r="F5688" s="7" t="n"/>
      <c r="G5688" s="7" t="n"/>
      <c r="H5688" s="7" t="n"/>
      <c r="I5688" s="7" t="n"/>
      <c r="J5688" s="7" t="n"/>
      <c r="K5688">
        <f>IF(D5688="Legitimate Interest (GDPR Art. 6(1)(f))", "Yes / Required (Sheet 3)", "")</f>
        <v/>
      </c>
      <c r="L5688" s="7" t="n"/>
      <c r="M5688" s="7" t="n"/>
      <c r="N5688">
        <f>IF(D5688="", "Gap - No Legal Basis", IF(AND(D5688="Consent (GDPR Art. 6(1)(a))", I5688="Not Captured"), "Gap - Invalid Consent", IF(AND(D5688="Legitimate Interest (GDPR Art. 6(1)(f))", L5688=""), "Gap - Missing LIA", IF(AND(G5688="Yes", H5688=""), "Gap - Missing Art. 9 Basis", IF(OR(I5688="Invalid - Not Freely Given", I5688="Invalid - Not Specific", I5688="Invalid - Not Informed", I5688="Invalid - Ambiguous"), "Gap - Invalid Consent", "Compliant")))))</f>
        <v/>
      </c>
      <c r="O5688" s="7" t="n"/>
    </row>
    <row r="5689">
      <c r="A5689" s="7" t="n"/>
      <c r="B5689" s="7" t="n"/>
      <c r="C5689" s="7" t="n"/>
      <c r="D5689" s="7" t="n"/>
      <c r="E5689" s="7" t="n"/>
      <c r="F5689" s="7" t="n"/>
      <c r="G5689" s="7" t="n"/>
      <c r="H5689" s="7" t="n"/>
      <c r="I5689" s="7" t="n"/>
      <c r="J5689" s="7" t="n"/>
      <c r="K5689">
        <f>IF(D5689="Legitimate Interest (GDPR Art. 6(1)(f))", "Yes / Required (Sheet 3)", "")</f>
        <v/>
      </c>
      <c r="L5689" s="7" t="n"/>
      <c r="M5689" s="7" t="n"/>
      <c r="N5689">
        <f>IF(D5689="", "Gap - No Legal Basis", IF(AND(D5689="Consent (GDPR Art. 6(1)(a))", I5689="Not Captured"), "Gap - Invalid Consent", IF(AND(D5689="Legitimate Interest (GDPR Art. 6(1)(f))", L5689=""), "Gap - Missing LIA", IF(AND(G5689="Yes", H5689=""), "Gap - Missing Art. 9 Basis", IF(OR(I5689="Invalid - Not Freely Given", I5689="Invalid - Not Specific", I5689="Invalid - Not Informed", I5689="Invalid - Ambiguous"), "Gap - Invalid Consent", "Compliant")))))</f>
        <v/>
      </c>
      <c r="O5689" s="7" t="n"/>
    </row>
    <row r="5690">
      <c r="A5690" s="7" t="n"/>
      <c r="B5690" s="7" t="n"/>
      <c r="C5690" s="7" t="n"/>
      <c r="D5690" s="7" t="n"/>
      <c r="E5690" s="7" t="n"/>
      <c r="F5690" s="7" t="n"/>
      <c r="G5690" s="7" t="n"/>
      <c r="H5690" s="7" t="n"/>
      <c r="I5690" s="7" t="n"/>
      <c r="J5690" s="7" t="n"/>
      <c r="K5690">
        <f>IF(D5690="Legitimate Interest (GDPR Art. 6(1)(f))", "Yes / Required (Sheet 3)", "")</f>
        <v/>
      </c>
      <c r="L5690" s="7" t="n"/>
      <c r="M5690" s="7" t="n"/>
      <c r="N5690">
        <f>IF(D5690="", "Gap - No Legal Basis", IF(AND(D5690="Consent (GDPR Art. 6(1)(a))", I5690="Not Captured"), "Gap - Invalid Consent", IF(AND(D5690="Legitimate Interest (GDPR Art. 6(1)(f))", L5690=""), "Gap - Missing LIA", IF(AND(G5690="Yes", H5690=""), "Gap - Missing Art. 9 Basis", IF(OR(I5690="Invalid - Not Freely Given", I5690="Invalid - Not Specific", I5690="Invalid - Not Informed", I5690="Invalid - Ambiguous"), "Gap - Invalid Consent", "Compliant")))))</f>
        <v/>
      </c>
      <c r="O5690" s="7" t="n"/>
    </row>
    <row r="5691">
      <c r="A5691" s="7" t="n"/>
      <c r="B5691" s="7" t="n"/>
      <c r="C5691" s="7" t="n"/>
      <c r="D5691" s="7" t="n"/>
      <c r="E5691" s="7" t="n"/>
      <c r="F5691" s="7" t="n"/>
      <c r="G5691" s="7" t="n"/>
      <c r="H5691" s="7" t="n"/>
      <c r="I5691" s="7" t="n"/>
      <c r="J5691" s="7" t="n"/>
      <c r="K5691">
        <f>IF(D5691="Legitimate Interest (GDPR Art. 6(1)(f))", "Yes / Required (Sheet 3)", "")</f>
        <v/>
      </c>
      <c r="L5691" s="7" t="n"/>
      <c r="M5691" s="7" t="n"/>
      <c r="N5691">
        <f>IF(D5691="", "Gap - No Legal Basis", IF(AND(D5691="Consent (GDPR Art. 6(1)(a))", I5691="Not Captured"), "Gap - Invalid Consent", IF(AND(D5691="Legitimate Interest (GDPR Art. 6(1)(f))", L5691=""), "Gap - Missing LIA", IF(AND(G5691="Yes", H5691=""), "Gap - Missing Art. 9 Basis", IF(OR(I5691="Invalid - Not Freely Given", I5691="Invalid - Not Specific", I5691="Invalid - Not Informed", I5691="Invalid - Ambiguous"), "Gap - Invalid Consent", "Compliant")))))</f>
        <v/>
      </c>
      <c r="O5691" s="7" t="n"/>
    </row>
    <row r="5692">
      <c r="A5692" s="7" t="n"/>
      <c r="B5692" s="7" t="n"/>
      <c r="C5692" s="7" t="n"/>
      <c r="D5692" s="7" t="n"/>
      <c r="E5692" s="7" t="n"/>
      <c r="F5692" s="7" t="n"/>
      <c r="G5692" s="7" t="n"/>
      <c r="H5692" s="7" t="n"/>
      <c r="I5692" s="7" t="n"/>
      <c r="J5692" s="7" t="n"/>
      <c r="K5692">
        <f>IF(D5692="Legitimate Interest (GDPR Art. 6(1)(f))", "Yes / Required (Sheet 3)", "")</f>
        <v/>
      </c>
      <c r="L5692" s="7" t="n"/>
      <c r="M5692" s="7" t="n"/>
      <c r="N5692">
        <f>IF(D5692="", "Gap - No Legal Basis", IF(AND(D5692="Consent (GDPR Art. 6(1)(a))", I5692="Not Captured"), "Gap - Invalid Consent", IF(AND(D5692="Legitimate Interest (GDPR Art. 6(1)(f))", L5692=""), "Gap - Missing LIA", IF(AND(G5692="Yes", H5692=""), "Gap - Missing Art. 9 Basis", IF(OR(I5692="Invalid - Not Freely Given", I5692="Invalid - Not Specific", I5692="Invalid - Not Informed", I5692="Invalid - Ambiguous"), "Gap - Invalid Consent", "Compliant")))))</f>
        <v/>
      </c>
      <c r="O5692" s="7" t="n"/>
    </row>
    <row r="5693">
      <c r="A5693" s="7" t="n"/>
      <c r="B5693" s="7" t="n"/>
      <c r="C5693" s="7" t="n"/>
      <c r="D5693" s="7" t="n"/>
      <c r="E5693" s="7" t="n"/>
      <c r="F5693" s="7" t="n"/>
      <c r="G5693" s="7" t="n"/>
      <c r="H5693" s="7" t="n"/>
      <c r="I5693" s="7" t="n"/>
      <c r="J5693" s="7" t="n"/>
      <c r="K5693">
        <f>IF(D5693="Legitimate Interest (GDPR Art. 6(1)(f))", "Yes / Required (Sheet 3)", "")</f>
        <v/>
      </c>
      <c r="L5693" s="7" t="n"/>
      <c r="M5693" s="7" t="n"/>
      <c r="N5693">
        <f>IF(D5693="", "Gap - No Legal Basis", IF(AND(D5693="Consent (GDPR Art. 6(1)(a))", I5693="Not Captured"), "Gap - Invalid Consent", IF(AND(D5693="Legitimate Interest (GDPR Art. 6(1)(f))", L5693=""), "Gap - Missing LIA", IF(AND(G5693="Yes", H5693=""), "Gap - Missing Art. 9 Basis", IF(OR(I5693="Invalid - Not Freely Given", I5693="Invalid - Not Specific", I5693="Invalid - Not Informed", I5693="Invalid - Ambiguous"), "Gap - Invalid Consent", "Compliant")))))</f>
        <v/>
      </c>
      <c r="O5693" s="7" t="n"/>
    </row>
    <row r="5694">
      <c r="A5694" s="7" t="n"/>
      <c r="B5694" s="7" t="n"/>
      <c r="C5694" s="7" t="n"/>
      <c r="D5694" s="7" t="n"/>
      <c r="E5694" s="7" t="n"/>
      <c r="F5694" s="7" t="n"/>
      <c r="G5694" s="7" t="n"/>
      <c r="H5694" s="7" t="n"/>
      <c r="I5694" s="7" t="n"/>
      <c r="J5694" s="7" t="n"/>
      <c r="K5694">
        <f>IF(D5694="Legitimate Interest (GDPR Art. 6(1)(f))", "Yes / Required (Sheet 3)", "")</f>
        <v/>
      </c>
      <c r="L5694" s="7" t="n"/>
      <c r="M5694" s="7" t="n"/>
      <c r="N5694">
        <f>IF(D5694="", "Gap - No Legal Basis", IF(AND(D5694="Consent (GDPR Art. 6(1)(a))", I5694="Not Captured"), "Gap - Invalid Consent", IF(AND(D5694="Legitimate Interest (GDPR Art. 6(1)(f))", L5694=""), "Gap - Missing LIA", IF(AND(G5694="Yes", H5694=""), "Gap - Missing Art. 9 Basis", IF(OR(I5694="Invalid - Not Freely Given", I5694="Invalid - Not Specific", I5694="Invalid - Not Informed", I5694="Invalid - Ambiguous"), "Gap - Invalid Consent", "Compliant")))))</f>
        <v/>
      </c>
      <c r="O5694" s="7" t="n"/>
    </row>
    <row r="5695">
      <c r="A5695" s="7" t="n"/>
      <c r="B5695" s="7" t="n"/>
      <c r="C5695" s="7" t="n"/>
      <c r="D5695" s="7" t="n"/>
      <c r="E5695" s="7" t="n"/>
      <c r="F5695" s="7" t="n"/>
      <c r="G5695" s="7" t="n"/>
      <c r="H5695" s="7" t="n"/>
      <c r="I5695" s="7" t="n"/>
      <c r="J5695" s="7" t="n"/>
      <c r="K5695">
        <f>IF(D5695="Legitimate Interest (GDPR Art. 6(1)(f))", "Yes / Required (Sheet 3)", "")</f>
        <v/>
      </c>
      <c r="L5695" s="7" t="n"/>
      <c r="M5695" s="7" t="n"/>
      <c r="N5695">
        <f>IF(D5695="", "Gap - No Legal Basis", IF(AND(D5695="Consent (GDPR Art. 6(1)(a))", I5695="Not Captured"), "Gap - Invalid Consent", IF(AND(D5695="Legitimate Interest (GDPR Art. 6(1)(f))", L5695=""), "Gap - Missing LIA", IF(AND(G5695="Yes", H5695=""), "Gap - Missing Art. 9 Basis", IF(OR(I5695="Invalid - Not Freely Given", I5695="Invalid - Not Specific", I5695="Invalid - Not Informed", I5695="Invalid - Ambiguous"), "Gap - Invalid Consent", "Compliant")))))</f>
        <v/>
      </c>
      <c r="O5695" s="7" t="n"/>
    </row>
    <row r="5696">
      <c r="A5696" s="7" t="n"/>
      <c r="B5696" s="7" t="n"/>
      <c r="C5696" s="7" t="n"/>
      <c r="D5696" s="7" t="n"/>
      <c r="E5696" s="7" t="n"/>
      <c r="F5696" s="7" t="n"/>
      <c r="G5696" s="7" t="n"/>
      <c r="H5696" s="7" t="n"/>
      <c r="I5696" s="7" t="n"/>
      <c r="J5696" s="7" t="n"/>
      <c r="K5696">
        <f>IF(D5696="Legitimate Interest (GDPR Art. 6(1)(f))", "Yes / Required (Sheet 3)", "")</f>
        <v/>
      </c>
      <c r="L5696" s="7" t="n"/>
      <c r="M5696" s="7" t="n"/>
      <c r="N5696">
        <f>IF(D5696="", "Gap - No Legal Basis", IF(AND(D5696="Consent (GDPR Art. 6(1)(a))", I5696="Not Captured"), "Gap - Invalid Consent", IF(AND(D5696="Legitimate Interest (GDPR Art. 6(1)(f))", L5696=""), "Gap - Missing LIA", IF(AND(G5696="Yes", H5696=""), "Gap - Missing Art. 9 Basis", IF(OR(I5696="Invalid - Not Freely Given", I5696="Invalid - Not Specific", I5696="Invalid - Not Informed", I5696="Invalid - Ambiguous"), "Gap - Invalid Consent", "Compliant")))))</f>
        <v/>
      </c>
      <c r="O5696" s="7" t="n"/>
    </row>
    <row r="5697">
      <c r="A5697" s="7" t="n"/>
      <c r="B5697" s="7" t="n"/>
      <c r="C5697" s="7" t="n"/>
      <c r="D5697" s="7" t="n"/>
      <c r="E5697" s="7" t="n"/>
      <c r="F5697" s="7" t="n"/>
      <c r="G5697" s="7" t="n"/>
      <c r="H5697" s="7" t="n"/>
      <c r="I5697" s="7" t="n"/>
      <c r="J5697" s="7" t="n"/>
      <c r="K5697">
        <f>IF(D5697="Legitimate Interest (GDPR Art. 6(1)(f))", "Yes / Required (Sheet 3)", "")</f>
        <v/>
      </c>
      <c r="L5697" s="7" t="n"/>
      <c r="M5697" s="7" t="n"/>
      <c r="N5697">
        <f>IF(D5697="", "Gap - No Legal Basis", IF(AND(D5697="Consent (GDPR Art. 6(1)(a))", I5697="Not Captured"), "Gap - Invalid Consent", IF(AND(D5697="Legitimate Interest (GDPR Art. 6(1)(f))", L5697=""), "Gap - Missing LIA", IF(AND(G5697="Yes", H5697=""), "Gap - Missing Art. 9 Basis", IF(OR(I5697="Invalid - Not Freely Given", I5697="Invalid - Not Specific", I5697="Invalid - Not Informed", I5697="Invalid - Ambiguous"), "Gap - Invalid Consent", "Compliant")))))</f>
        <v/>
      </c>
      <c r="O5697" s="7" t="n"/>
    </row>
    <row r="5698">
      <c r="A5698" s="7" t="n"/>
      <c r="B5698" s="7" t="n"/>
      <c r="C5698" s="7" t="n"/>
      <c r="D5698" s="7" t="n"/>
      <c r="E5698" s="7" t="n"/>
      <c r="F5698" s="7" t="n"/>
      <c r="G5698" s="7" t="n"/>
      <c r="H5698" s="7" t="n"/>
      <c r="I5698" s="7" t="n"/>
      <c r="J5698" s="7" t="n"/>
      <c r="K5698">
        <f>IF(D5698="Legitimate Interest (GDPR Art. 6(1)(f))", "Yes / Required (Sheet 3)", "")</f>
        <v/>
      </c>
      <c r="L5698" s="7" t="n"/>
      <c r="M5698" s="7" t="n"/>
      <c r="N5698">
        <f>IF(D5698="", "Gap - No Legal Basis", IF(AND(D5698="Consent (GDPR Art. 6(1)(a))", I5698="Not Captured"), "Gap - Invalid Consent", IF(AND(D5698="Legitimate Interest (GDPR Art. 6(1)(f))", L5698=""), "Gap - Missing LIA", IF(AND(G5698="Yes", H5698=""), "Gap - Missing Art. 9 Basis", IF(OR(I5698="Invalid - Not Freely Given", I5698="Invalid - Not Specific", I5698="Invalid - Not Informed", I5698="Invalid - Ambiguous"), "Gap - Invalid Consent", "Compliant")))))</f>
        <v/>
      </c>
      <c r="O5698" s="7" t="n"/>
    </row>
    <row r="5699">
      <c r="A5699" s="7" t="n"/>
      <c r="B5699" s="7" t="n"/>
      <c r="C5699" s="7" t="n"/>
      <c r="D5699" s="7" t="n"/>
      <c r="E5699" s="7" t="n"/>
      <c r="F5699" s="7" t="n"/>
      <c r="G5699" s="7" t="n"/>
      <c r="H5699" s="7" t="n"/>
      <c r="I5699" s="7" t="n"/>
      <c r="J5699" s="7" t="n"/>
      <c r="K5699">
        <f>IF(D5699="Legitimate Interest (GDPR Art. 6(1)(f))", "Yes / Required (Sheet 3)", "")</f>
        <v/>
      </c>
      <c r="L5699" s="7" t="n"/>
      <c r="M5699" s="7" t="n"/>
      <c r="N5699">
        <f>IF(D5699="", "Gap - No Legal Basis", IF(AND(D5699="Consent (GDPR Art. 6(1)(a))", I5699="Not Captured"), "Gap - Invalid Consent", IF(AND(D5699="Legitimate Interest (GDPR Art. 6(1)(f))", L5699=""), "Gap - Missing LIA", IF(AND(G5699="Yes", H5699=""), "Gap - Missing Art. 9 Basis", IF(OR(I5699="Invalid - Not Freely Given", I5699="Invalid - Not Specific", I5699="Invalid - Not Informed", I5699="Invalid - Ambiguous"), "Gap - Invalid Consent", "Compliant")))))</f>
        <v/>
      </c>
      <c r="O5699" s="7" t="n"/>
    </row>
    <row r="5700">
      <c r="A5700" s="7" t="n"/>
      <c r="B5700" s="7" t="n"/>
      <c r="C5700" s="7" t="n"/>
      <c r="D5700" s="7" t="n"/>
      <c r="E5700" s="7" t="n"/>
      <c r="F5700" s="7" t="n"/>
      <c r="G5700" s="7" t="n"/>
      <c r="H5700" s="7" t="n"/>
      <c r="I5700" s="7" t="n"/>
      <c r="J5700" s="7" t="n"/>
      <c r="K5700">
        <f>IF(D5700="Legitimate Interest (GDPR Art. 6(1)(f))", "Yes / Required (Sheet 3)", "")</f>
        <v/>
      </c>
      <c r="L5700" s="7" t="n"/>
      <c r="M5700" s="7" t="n"/>
      <c r="N5700">
        <f>IF(D5700="", "Gap - No Legal Basis", IF(AND(D5700="Consent (GDPR Art. 6(1)(a))", I5700="Not Captured"), "Gap - Invalid Consent", IF(AND(D5700="Legitimate Interest (GDPR Art. 6(1)(f))", L5700=""), "Gap - Missing LIA", IF(AND(G5700="Yes", H5700=""), "Gap - Missing Art. 9 Basis", IF(OR(I5700="Invalid - Not Freely Given", I5700="Invalid - Not Specific", I5700="Invalid - Not Informed", I5700="Invalid - Ambiguous"), "Gap - Invalid Consent", "Compliant")))))</f>
        <v/>
      </c>
      <c r="O5700" s="7" t="n"/>
    </row>
    <row r="5701">
      <c r="A5701" s="7" t="n"/>
      <c r="B5701" s="7" t="n"/>
      <c r="C5701" s="7" t="n"/>
      <c r="D5701" s="7" t="n"/>
      <c r="E5701" s="7" t="n"/>
      <c r="F5701" s="7" t="n"/>
      <c r="G5701" s="7" t="n"/>
      <c r="H5701" s="7" t="n"/>
      <c r="I5701" s="7" t="n"/>
      <c r="J5701" s="7" t="n"/>
      <c r="K5701">
        <f>IF(D5701="Legitimate Interest (GDPR Art. 6(1)(f))", "Yes / Required (Sheet 3)", "")</f>
        <v/>
      </c>
      <c r="L5701" s="7" t="n"/>
      <c r="M5701" s="7" t="n"/>
      <c r="N5701">
        <f>IF(D5701="", "Gap - No Legal Basis", IF(AND(D5701="Consent (GDPR Art. 6(1)(a))", I5701="Not Captured"), "Gap - Invalid Consent", IF(AND(D5701="Legitimate Interest (GDPR Art. 6(1)(f))", L5701=""), "Gap - Missing LIA", IF(AND(G5701="Yes", H5701=""), "Gap - Missing Art. 9 Basis", IF(OR(I5701="Invalid - Not Freely Given", I5701="Invalid - Not Specific", I5701="Invalid - Not Informed", I5701="Invalid - Ambiguous"), "Gap - Invalid Consent", "Compliant")))))</f>
        <v/>
      </c>
      <c r="O5701" s="7" t="n"/>
    </row>
    <row r="5702">
      <c r="A5702" s="7" t="n"/>
      <c r="B5702" s="7" t="n"/>
      <c r="C5702" s="7" t="n"/>
      <c r="D5702" s="7" t="n"/>
      <c r="E5702" s="7" t="n"/>
      <c r="F5702" s="7" t="n"/>
      <c r="G5702" s="7" t="n"/>
      <c r="H5702" s="7" t="n"/>
      <c r="I5702" s="7" t="n"/>
      <c r="J5702" s="7" t="n"/>
      <c r="K5702">
        <f>IF(D5702="Legitimate Interest (GDPR Art. 6(1)(f))", "Yes / Required (Sheet 3)", "")</f>
        <v/>
      </c>
      <c r="L5702" s="7" t="n"/>
      <c r="M5702" s="7" t="n"/>
      <c r="N5702">
        <f>IF(D5702="", "Gap - No Legal Basis", IF(AND(D5702="Consent (GDPR Art. 6(1)(a))", I5702="Not Captured"), "Gap - Invalid Consent", IF(AND(D5702="Legitimate Interest (GDPR Art. 6(1)(f))", L5702=""), "Gap - Missing LIA", IF(AND(G5702="Yes", H5702=""), "Gap - Missing Art. 9 Basis", IF(OR(I5702="Invalid - Not Freely Given", I5702="Invalid - Not Specific", I5702="Invalid - Not Informed", I5702="Invalid - Ambiguous"), "Gap - Invalid Consent", "Compliant")))))</f>
        <v/>
      </c>
      <c r="O5702" s="7" t="n"/>
    </row>
    <row r="5703">
      <c r="A5703" s="7" t="n"/>
      <c r="B5703" s="7" t="n"/>
      <c r="C5703" s="7" t="n"/>
      <c r="D5703" s="7" t="n"/>
      <c r="E5703" s="7" t="n"/>
      <c r="F5703" s="7" t="n"/>
      <c r="G5703" s="7" t="n"/>
      <c r="H5703" s="7" t="n"/>
      <c r="I5703" s="7" t="n"/>
      <c r="J5703" s="7" t="n"/>
      <c r="K5703">
        <f>IF(D5703="Legitimate Interest (GDPR Art. 6(1)(f))", "Yes / Required (Sheet 3)", "")</f>
        <v/>
      </c>
      <c r="L5703" s="7" t="n"/>
      <c r="M5703" s="7" t="n"/>
      <c r="N5703">
        <f>IF(D5703="", "Gap - No Legal Basis", IF(AND(D5703="Consent (GDPR Art. 6(1)(a))", I5703="Not Captured"), "Gap - Invalid Consent", IF(AND(D5703="Legitimate Interest (GDPR Art. 6(1)(f))", L5703=""), "Gap - Missing LIA", IF(AND(G5703="Yes", H5703=""), "Gap - Missing Art. 9 Basis", IF(OR(I5703="Invalid - Not Freely Given", I5703="Invalid - Not Specific", I5703="Invalid - Not Informed", I5703="Invalid - Ambiguous"), "Gap - Invalid Consent", "Compliant")))))</f>
        <v/>
      </c>
      <c r="O5703" s="7" t="n"/>
    </row>
    <row r="5704">
      <c r="A5704" s="7" t="n"/>
      <c r="B5704" s="7" t="n"/>
      <c r="C5704" s="7" t="n"/>
      <c r="D5704" s="7" t="n"/>
      <c r="E5704" s="7" t="n"/>
      <c r="F5704" s="7" t="n"/>
      <c r="G5704" s="7" t="n"/>
      <c r="H5704" s="7" t="n"/>
      <c r="I5704" s="7" t="n"/>
      <c r="J5704" s="7" t="n"/>
      <c r="K5704">
        <f>IF(D5704="Legitimate Interest (GDPR Art. 6(1)(f))", "Yes / Required (Sheet 3)", "")</f>
        <v/>
      </c>
      <c r="L5704" s="7" t="n"/>
      <c r="M5704" s="7" t="n"/>
      <c r="N5704">
        <f>IF(D5704="", "Gap - No Legal Basis", IF(AND(D5704="Consent (GDPR Art. 6(1)(a))", I5704="Not Captured"), "Gap - Invalid Consent", IF(AND(D5704="Legitimate Interest (GDPR Art. 6(1)(f))", L5704=""), "Gap - Missing LIA", IF(AND(G5704="Yes", H5704=""), "Gap - Missing Art. 9 Basis", IF(OR(I5704="Invalid - Not Freely Given", I5704="Invalid - Not Specific", I5704="Invalid - Not Informed", I5704="Invalid - Ambiguous"), "Gap - Invalid Consent", "Compliant")))))</f>
        <v/>
      </c>
      <c r="O5704" s="7" t="n"/>
    </row>
    <row r="5705">
      <c r="A5705" s="7" t="n"/>
      <c r="B5705" s="7" t="n"/>
      <c r="C5705" s="7" t="n"/>
      <c r="D5705" s="7" t="n"/>
      <c r="E5705" s="7" t="n"/>
      <c r="F5705" s="7" t="n"/>
      <c r="G5705" s="7" t="n"/>
      <c r="H5705" s="7" t="n"/>
      <c r="I5705" s="7" t="n"/>
      <c r="J5705" s="7" t="n"/>
      <c r="K5705">
        <f>IF(D5705="Legitimate Interest (GDPR Art. 6(1)(f))", "Yes / Required (Sheet 3)", "")</f>
        <v/>
      </c>
      <c r="L5705" s="7" t="n"/>
      <c r="M5705" s="7" t="n"/>
      <c r="N5705">
        <f>IF(D5705="", "Gap - No Legal Basis", IF(AND(D5705="Consent (GDPR Art. 6(1)(a))", I5705="Not Captured"), "Gap - Invalid Consent", IF(AND(D5705="Legitimate Interest (GDPR Art. 6(1)(f))", L5705=""), "Gap - Missing LIA", IF(AND(G5705="Yes", H5705=""), "Gap - Missing Art. 9 Basis", IF(OR(I5705="Invalid - Not Freely Given", I5705="Invalid - Not Specific", I5705="Invalid - Not Informed", I5705="Invalid - Ambiguous"), "Gap - Invalid Consent", "Compliant")))))</f>
        <v/>
      </c>
      <c r="O5705" s="7" t="n"/>
    </row>
    <row r="5706">
      <c r="A5706" s="7" t="n"/>
      <c r="B5706" s="7" t="n"/>
      <c r="C5706" s="7" t="n"/>
      <c r="D5706" s="7" t="n"/>
      <c r="E5706" s="7" t="n"/>
      <c r="F5706" s="7" t="n"/>
      <c r="G5706" s="7" t="n"/>
      <c r="H5706" s="7" t="n"/>
      <c r="I5706" s="7" t="n"/>
      <c r="J5706" s="7" t="n"/>
      <c r="K5706">
        <f>IF(D5706="Legitimate Interest (GDPR Art. 6(1)(f))", "Yes / Required (Sheet 3)", "")</f>
        <v/>
      </c>
      <c r="L5706" s="7" t="n"/>
      <c r="M5706" s="7" t="n"/>
      <c r="N5706">
        <f>IF(D5706="", "Gap - No Legal Basis", IF(AND(D5706="Consent (GDPR Art. 6(1)(a))", I5706="Not Captured"), "Gap - Invalid Consent", IF(AND(D5706="Legitimate Interest (GDPR Art. 6(1)(f))", L5706=""), "Gap - Missing LIA", IF(AND(G5706="Yes", H5706=""), "Gap - Missing Art. 9 Basis", IF(OR(I5706="Invalid - Not Freely Given", I5706="Invalid - Not Specific", I5706="Invalid - Not Informed", I5706="Invalid - Ambiguous"), "Gap - Invalid Consent", "Compliant")))))</f>
        <v/>
      </c>
      <c r="O5706" s="7" t="n"/>
    </row>
    <row r="5707">
      <c r="A5707" s="7" t="n"/>
      <c r="B5707" s="7" t="n"/>
      <c r="C5707" s="7" t="n"/>
      <c r="D5707" s="7" t="n"/>
      <c r="E5707" s="7" t="n"/>
      <c r="F5707" s="7" t="n"/>
      <c r="G5707" s="7" t="n"/>
      <c r="H5707" s="7" t="n"/>
      <c r="I5707" s="7" t="n"/>
      <c r="J5707" s="7" t="n"/>
      <c r="K5707">
        <f>IF(D5707="Legitimate Interest (GDPR Art. 6(1)(f))", "Yes / Required (Sheet 3)", "")</f>
        <v/>
      </c>
      <c r="L5707" s="7" t="n"/>
      <c r="M5707" s="7" t="n"/>
      <c r="N5707">
        <f>IF(D5707="", "Gap - No Legal Basis", IF(AND(D5707="Consent (GDPR Art. 6(1)(a))", I5707="Not Captured"), "Gap - Invalid Consent", IF(AND(D5707="Legitimate Interest (GDPR Art. 6(1)(f))", L5707=""), "Gap - Missing LIA", IF(AND(G5707="Yes", H5707=""), "Gap - Missing Art. 9 Basis", IF(OR(I5707="Invalid - Not Freely Given", I5707="Invalid - Not Specific", I5707="Invalid - Not Informed", I5707="Invalid - Ambiguous"), "Gap - Invalid Consent", "Compliant")))))</f>
        <v/>
      </c>
      <c r="O5707" s="7" t="n"/>
    </row>
    <row r="5708">
      <c r="A5708" s="7" t="n"/>
      <c r="B5708" s="7" t="n"/>
      <c r="C5708" s="7" t="n"/>
      <c r="D5708" s="7" t="n"/>
      <c r="E5708" s="7" t="n"/>
      <c r="F5708" s="7" t="n"/>
      <c r="G5708" s="7" t="n"/>
      <c r="H5708" s="7" t="n"/>
      <c r="I5708" s="7" t="n"/>
      <c r="J5708" s="7" t="n"/>
      <c r="K5708">
        <f>IF(D5708="Legitimate Interest (GDPR Art. 6(1)(f))", "Yes / Required (Sheet 3)", "")</f>
        <v/>
      </c>
      <c r="L5708" s="7" t="n"/>
      <c r="M5708" s="7" t="n"/>
      <c r="N5708">
        <f>IF(D5708="", "Gap - No Legal Basis", IF(AND(D5708="Consent (GDPR Art. 6(1)(a))", I5708="Not Captured"), "Gap - Invalid Consent", IF(AND(D5708="Legitimate Interest (GDPR Art. 6(1)(f))", L5708=""), "Gap - Missing LIA", IF(AND(G5708="Yes", H5708=""), "Gap - Missing Art. 9 Basis", IF(OR(I5708="Invalid - Not Freely Given", I5708="Invalid - Not Specific", I5708="Invalid - Not Informed", I5708="Invalid - Ambiguous"), "Gap - Invalid Consent", "Compliant")))))</f>
        <v/>
      </c>
      <c r="O5708" s="7" t="n"/>
    </row>
    <row r="5709">
      <c r="A5709" s="7" t="n"/>
      <c r="B5709" s="7" t="n"/>
      <c r="C5709" s="7" t="n"/>
      <c r="D5709" s="7" t="n"/>
      <c r="E5709" s="7" t="n"/>
      <c r="F5709" s="7" t="n"/>
      <c r="G5709" s="7" t="n"/>
      <c r="H5709" s="7" t="n"/>
      <c r="I5709" s="7" t="n"/>
      <c r="J5709" s="7" t="n"/>
      <c r="K5709">
        <f>IF(D5709="Legitimate Interest (GDPR Art. 6(1)(f))", "Yes / Required (Sheet 3)", "")</f>
        <v/>
      </c>
      <c r="L5709" s="7" t="n"/>
      <c r="M5709" s="7" t="n"/>
      <c r="N5709">
        <f>IF(D5709="", "Gap - No Legal Basis", IF(AND(D5709="Consent (GDPR Art. 6(1)(a))", I5709="Not Captured"), "Gap - Invalid Consent", IF(AND(D5709="Legitimate Interest (GDPR Art. 6(1)(f))", L5709=""), "Gap - Missing LIA", IF(AND(G5709="Yes", H5709=""), "Gap - Missing Art. 9 Basis", IF(OR(I5709="Invalid - Not Freely Given", I5709="Invalid - Not Specific", I5709="Invalid - Not Informed", I5709="Invalid - Ambiguous"), "Gap - Invalid Consent", "Compliant")))))</f>
        <v/>
      </c>
      <c r="O5709" s="7" t="n"/>
    </row>
    <row r="5710">
      <c r="A5710" s="7" t="n"/>
      <c r="B5710" s="7" t="n"/>
      <c r="C5710" s="7" t="n"/>
      <c r="D5710" s="7" t="n"/>
      <c r="E5710" s="7" t="n"/>
      <c r="F5710" s="7" t="n"/>
      <c r="G5710" s="7" t="n"/>
      <c r="H5710" s="7" t="n"/>
      <c r="I5710" s="7" t="n"/>
      <c r="J5710" s="7" t="n"/>
      <c r="K5710">
        <f>IF(D5710="Legitimate Interest (GDPR Art. 6(1)(f))", "Yes / Required (Sheet 3)", "")</f>
        <v/>
      </c>
      <c r="L5710" s="7" t="n"/>
      <c r="M5710" s="7" t="n"/>
      <c r="N5710">
        <f>IF(D5710="", "Gap - No Legal Basis", IF(AND(D5710="Consent (GDPR Art. 6(1)(a))", I5710="Not Captured"), "Gap - Invalid Consent", IF(AND(D5710="Legitimate Interest (GDPR Art. 6(1)(f))", L5710=""), "Gap - Missing LIA", IF(AND(G5710="Yes", H5710=""), "Gap - Missing Art. 9 Basis", IF(OR(I5710="Invalid - Not Freely Given", I5710="Invalid - Not Specific", I5710="Invalid - Not Informed", I5710="Invalid - Ambiguous"), "Gap - Invalid Consent", "Compliant")))))</f>
        <v/>
      </c>
      <c r="O5710" s="7" t="n"/>
    </row>
    <row r="5711">
      <c r="A5711" s="7" t="n"/>
      <c r="B5711" s="7" t="n"/>
      <c r="C5711" s="7" t="n"/>
      <c r="D5711" s="7" t="n"/>
      <c r="E5711" s="7" t="n"/>
      <c r="F5711" s="7" t="n"/>
      <c r="G5711" s="7" t="n"/>
      <c r="H5711" s="7" t="n"/>
      <c r="I5711" s="7" t="n"/>
      <c r="J5711" s="7" t="n"/>
      <c r="K5711">
        <f>IF(D5711="Legitimate Interest (GDPR Art. 6(1)(f))", "Yes / Required (Sheet 3)", "")</f>
        <v/>
      </c>
      <c r="L5711" s="7" t="n"/>
      <c r="M5711" s="7" t="n"/>
      <c r="N5711">
        <f>IF(D5711="", "Gap - No Legal Basis", IF(AND(D5711="Consent (GDPR Art. 6(1)(a))", I5711="Not Captured"), "Gap - Invalid Consent", IF(AND(D5711="Legitimate Interest (GDPR Art. 6(1)(f))", L5711=""), "Gap - Missing LIA", IF(AND(G5711="Yes", H5711=""), "Gap - Missing Art. 9 Basis", IF(OR(I5711="Invalid - Not Freely Given", I5711="Invalid - Not Specific", I5711="Invalid - Not Informed", I5711="Invalid - Ambiguous"), "Gap - Invalid Consent", "Compliant")))))</f>
        <v/>
      </c>
      <c r="O5711" s="7" t="n"/>
    </row>
    <row r="5712">
      <c r="A5712" s="7" t="n"/>
      <c r="B5712" s="7" t="n"/>
      <c r="C5712" s="7" t="n"/>
      <c r="D5712" s="7" t="n"/>
      <c r="E5712" s="7" t="n"/>
      <c r="F5712" s="7" t="n"/>
      <c r="G5712" s="7" t="n"/>
      <c r="H5712" s="7" t="n"/>
      <c r="I5712" s="7" t="n"/>
      <c r="J5712" s="7" t="n"/>
      <c r="K5712">
        <f>IF(D5712="Legitimate Interest (GDPR Art. 6(1)(f))", "Yes / Required (Sheet 3)", "")</f>
        <v/>
      </c>
      <c r="L5712" s="7" t="n"/>
      <c r="M5712" s="7" t="n"/>
      <c r="N5712">
        <f>IF(D5712="", "Gap - No Legal Basis", IF(AND(D5712="Consent (GDPR Art. 6(1)(a))", I5712="Not Captured"), "Gap - Invalid Consent", IF(AND(D5712="Legitimate Interest (GDPR Art. 6(1)(f))", L5712=""), "Gap - Missing LIA", IF(AND(G5712="Yes", H5712=""), "Gap - Missing Art. 9 Basis", IF(OR(I5712="Invalid - Not Freely Given", I5712="Invalid - Not Specific", I5712="Invalid - Not Informed", I5712="Invalid - Ambiguous"), "Gap - Invalid Consent", "Compliant")))))</f>
        <v/>
      </c>
      <c r="O5712" s="7" t="n"/>
    </row>
    <row r="5713">
      <c r="A5713" s="7" t="n"/>
      <c r="B5713" s="7" t="n"/>
      <c r="C5713" s="7" t="n"/>
      <c r="D5713" s="7" t="n"/>
      <c r="E5713" s="7" t="n"/>
      <c r="F5713" s="7" t="n"/>
      <c r="G5713" s="7" t="n"/>
      <c r="H5713" s="7" t="n"/>
      <c r="I5713" s="7" t="n"/>
      <c r="J5713" s="7" t="n"/>
      <c r="K5713">
        <f>IF(D5713="Legitimate Interest (GDPR Art. 6(1)(f))", "Yes / Required (Sheet 3)", "")</f>
        <v/>
      </c>
      <c r="L5713" s="7" t="n"/>
      <c r="M5713" s="7" t="n"/>
      <c r="N5713">
        <f>IF(D5713="", "Gap - No Legal Basis", IF(AND(D5713="Consent (GDPR Art. 6(1)(a))", I5713="Not Captured"), "Gap - Invalid Consent", IF(AND(D5713="Legitimate Interest (GDPR Art. 6(1)(f))", L5713=""), "Gap - Missing LIA", IF(AND(G5713="Yes", H5713=""), "Gap - Missing Art. 9 Basis", IF(OR(I5713="Invalid - Not Freely Given", I5713="Invalid - Not Specific", I5713="Invalid - Not Informed", I5713="Invalid - Ambiguous"), "Gap - Invalid Consent", "Compliant")))))</f>
        <v/>
      </c>
      <c r="O5713" s="7" t="n"/>
    </row>
    <row r="5714">
      <c r="A5714" s="7" t="n"/>
      <c r="B5714" s="7" t="n"/>
      <c r="C5714" s="7" t="n"/>
      <c r="D5714" s="7" t="n"/>
      <c r="E5714" s="7" t="n"/>
      <c r="F5714" s="7" t="n"/>
      <c r="G5714" s="7" t="n"/>
      <c r="H5714" s="7" t="n"/>
      <c r="I5714" s="7" t="n"/>
      <c r="J5714" s="7" t="n"/>
      <c r="K5714">
        <f>IF(D5714="Legitimate Interest (GDPR Art. 6(1)(f))", "Yes / Required (Sheet 3)", "")</f>
        <v/>
      </c>
      <c r="L5714" s="7" t="n"/>
      <c r="M5714" s="7" t="n"/>
      <c r="N5714">
        <f>IF(D5714="", "Gap - No Legal Basis", IF(AND(D5714="Consent (GDPR Art. 6(1)(a))", I5714="Not Captured"), "Gap - Invalid Consent", IF(AND(D5714="Legitimate Interest (GDPR Art. 6(1)(f))", L5714=""), "Gap - Missing LIA", IF(AND(G5714="Yes", H5714=""), "Gap - Missing Art. 9 Basis", IF(OR(I5714="Invalid - Not Freely Given", I5714="Invalid - Not Specific", I5714="Invalid - Not Informed", I5714="Invalid - Ambiguous"), "Gap - Invalid Consent", "Compliant")))))</f>
        <v/>
      </c>
      <c r="O5714" s="7" t="n"/>
    </row>
    <row r="5715">
      <c r="A5715" s="7" t="n"/>
      <c r="B5715" s="7" t="n"/>
      <c r="C5715" s="7" t="n"/>
      <c r="D5715" s="7" t="n"/>
      <c r="E5715" s="7" t="n"/>
      <c r="F5715" s="7" t="n"/>
      <c r="G5715" s="7" t="n"/>
      <c r="H5715" s="7" t="n"/>
      <c r="I5715" s="7" t="n"/>
      <c r="J5715" s="7" t="n"/>
      <c r="K5715">
        <f>IF(D5715="Legitimate Interest (GDPR Art. 6(1)(f))", "Yes / Required (Sheet 3)", "")</f>
        <v/>
      </c>
      <c r="L5715" s="7" t="n"/>
      <c r="M5715" s="7" t="n"/>
      <c r="N5715">
        <f>IF(D5715="", "Gap - No Legal Basis", IF(AND(D5715="Consent (GDPR Art. 6(1)(a))", I5715="Not Captured"), "Gap - Invalid Consent", IF(AND(D5715="Legitimate Interest (GDPR Art. 6(1)(f))", L5715=""), "Gap - Missing LIA", IF(AND(G5715="Yes", H5715=""), "Gap - Missing Art. 9 Basis", IF(OR(I5715="Invalid - Not Freely Given", I5715="Invalid - Not Specific", I5715="Invalid - Not Informed", I5715="Invalid - Ambiguous"), "Gap - Invalid Consent", "Compliant")))))</f>
        <v/>
      </c>
      <c r="O5715" s="7" t="n"/>
    </row>
    <row r="5716">
      <c r="A5716" s="7" t="n"/>
      <c r="B5716" s="7" t="n"/>
      <c r="C5716" s="7" t="n"/>
      <c r="D5716" s="7" t="n"/>
      <c r="E5716" s="7" t="n"/>
      <c r="F5716" s="7" t="n"/>
      <c r="G5716" s="7" t="n"/>
      <c r="H5716" s="7" t="n"/>
      <c r="I5716" s="7" t="n"/>
      <c r="J5716" s="7" t="n"/>
      <c r="K5716">
        <f>IF(D5716="Legitimate Interest (GDPR Art. 6(1)(f))", "Yes / Required (Sheet 3)", "")</f>
        <v/>
      </c>
      <c r="L5716" s="7" t="n"/>
      <c r="M5716" s="7" t="n"/>
      <c r="N5716">
        <f>IF(D5716="", "Gap - No Legal Basis", IF(AND(D5716="Consent (GDPR Art. 6(1)(a))", I5716="Not Captured"), "Gap - Invalid Consent", IF(AND(D5716="Legitimate Interest (GDPR Art. 6(1)(f))", L5716=""), "Gap - Missing LIA", IF(AND(G5716="Yes", H5716=""), "Gap - Missing Art. 9 Basis", IF(OR(I5716="Invalid - Not Freely Given", I5716="Invalid - Not Specific", I5716="Invalid - Not Informed", I5716="Invalid - Ambiguous"), "Gap - Invalid Consent", "Compliant")))))</f>
        <v/>
      </c>
      <c r="O5716" s="7" t="n"/>
    </row>
    <row r="5717">
      <c r="A5717" s="7" t="n"/>
      <c r="B5717" s="7" t="n"/>
      <c r="C5717" s="7" t="n"/>
      <c r="D5717" s="7" t="n"/>
      <c r="E5717" s="7" t="n"/>
      <c r="F5717" s="7" t="n"/>
      <c r="G5717" s="7" t="n"/>
      <c r="H5717" s="7" t="n"/>
      <c r="I5717" s="7" t="n"/>
      <c r="J5717" s="7" t="n"/>
      <c r="K5717">
        <f>IF(D5717="Legitimate Interest (GDPR Art. 6(1)(f))", "Yes / Required (Sheet 3)", "")</f>
        <v/>
      </c>
      <c r="L5717" s="7" t="n"/>
      <c r="M5717" s="7" t="n"/>
      <c r="N5717">
        <f>IF(D5717="", "Gap - No Legal Basis", IF(AND(D5717="Consent (GDPR Art. 6(1)(a))", I5717="Not Captured"), "Gap - Invalid Consent", IF(AND(D5717="Legitimate Interest (GDPR Art. 6(1)(f))", L5717=""), "Gap - Missing LIA", IF(AND(G5717="Yes", H5717=""), "Gap - Missing Art. 9 Basis", IF(OR(I5717="Invalid - Not Freely Given", I5717="Invalid - Not Specific", I5717="Invalid - Not Informed", I5717="Invalid - Ambiguous"), "Gap - Invalid Consent", "Compliant")))))</f>
        <v/>
      </c>
      <c r="O5717" s="7" t="n"/>
    </row>
    <row r="5718">
      <c r="A5718" s="7" t="n"/>
      <c r="B5718" s="7" t="n"/>
      <c r="C5718" s="7" t="n"/>
      <c r="D5718" s="7" t="n"/>
      <c r="E5718" s="7" t="n"/>
      <c r="F5718" s="7" t="n"/>
      <c r="G5718" s="7" t="n"/>
      <c r="H5718" s="7" t="n"/>
      <c r="I5718" s="7" t="n"/>
      <c r="J5718" s="7" t="n"/>
      <c r="K5718">
        <f>IF(D5718="Legitimate Interest (GDPR Art. 6(1)(f))", "Yes / Required (Sheet 3)", "")</f>
        <v/>
      </c>
      <c r="L5718" s="7" t="n"/>
      <c r="M5718" s="7" t="n"/>
      <c r="N5718">
        <f>IF(D5718="", "Gap - No Legal Basis", IF(AND(D5718="Consent (GDPR Art. 6(1)(a))", I5718="Not Captured"), "Gap - Invalid Consent", IF(AND(D5718="Legitimate Interest (GDPR Art. 6(1)(f))", L5718=""), "Gap - Missing LIA", IF(AND(G5718="Yes", H5718=""), "Gap - Missing Art. 9 Basis", IF(OR(I5718="Invalid - Not Freely Given", I5718="Invalid - Not Specific", I5718="Invalid - Not Informed", I5718="Invalid - Ambiguous"), "Gap - Invalid Consent", "Compliant")))))</f>
        <v/>
      </c>
      <c r="O5718" s="7" t="n"/>
    </row>
    <row r="5719">
      <c r="A5719" s="7" t="n"/>
      <c r="B5719" s="7" t="n"/>
      <c r="C5719" s="7" t="n"/>
      <c r="D5719" s="7" t="n"/>
      <c r="E5719" s="7" t="n"/>
      <c r="F5719" s="7" t="n"/>
      <c r="G5719" s="7" t="n"/>
      <c r="H5719" s="7" t="n"/>
      <c r="I5719" s="7" t="n"/>
      <c r="J5719" s="7" t="n"/>
      <c r="K5719">
        <f>IF(D5719="Legitimate Interest (GDPR Art. 6(1)(f))", "Yes / Required (Sheet 3)", "")</f>
        <v/>
      </c>
      <c r="L5719" s="7" t="n"/>
      <c r="M5719" s="7" t="n"/>
      <c r="N5719">
        <f>IF(D5719="", "Gap - No Legal Basis", IF(AND(D5719="Consent (GDPR Art. 6(1)(a))", I5719="Not Captured"), "Gap - Invalid Consent", IF(AND(D5719="Legitimate Interest (GDPR Art. 6(1)(f))", L5719=""), "Gap - Missing LIA", IF(AND(G5719="Yes", H5719=""), "Gap - Missing Art. 9 Basis", IF(OR(I5719="Invalid - Not Freely Given", I5719="Invalid - Not Specific", I5719="Invalid - Not Informed", I5719="Invalid - Ambiguous"), "Gap - Invalid Consent", "Compliant")))))</f>
        <v/>
      </c>
      <c r="O5719" s="7" t="n"/>
    </row>
    <row r="5720">
      <c r="A5720" s="7" t="n"/>
      <c r="B5720" s="7" t="n"/>
      <c r="C5720" s="7" t="n"/>
      <c r="D5720" s="7" t="n"/>
      <c r="E5720" s="7" t="n"/>
      <c r="F5720" s="7" t="n"/>
      <c r="G5720" s="7" t="n"/>
      <c r="H5720" s="7" t="n"/>
      <c r="I5720" s="7" t="n"/>
      <c r="J5720" s="7" t="n"/>
      <c r="K5720">
        <f>IF(D5720="Legitimate Interest (GDPR Art. 6(1)(f))", "Yes / Required (Sheet 3)", "")</f>
        <v/>
      </c>
      <c r="L5720" s="7" t="n"/>
      <c r="M5720" s="7" t="n"/>
      <c r="N5720">
        <f>IF(D5720="", "Gap - No Legal Basis", IF(AND(D5720="Consent (GDPR Art. 6(1)(a))", I5720="Not Captured"), "Gap - Invalid Consent", IF(AND(D5720="Legitimate Interest (GDPR Art. 6(1)(f))", L5720=""), "Gap - Missing LIA", IF(AND(G5720="Yes", H5720=""), "Gap - Missing Art. 9 Basis", IF(OR(I5720="Invalid - Not Freely Given", I5720="Invalid - Not Specific", I5720="Invalid - Not Informed", I5720="Invalid - Ambiguous"), "Gap - Invalid Consent", "Compliant")))))</f>
        <v/>
      </c>
      <c r="O5720" s="7" t="n"/>
    </row>
    <row r="5721">
      <c r="A5721" s="7" t="n"/>
      <c r="B5721" s="7" t="n"/>
      <c r="C5721" s="7" t="n"/>
      <c r="D5721" s="7" t="n"/>
      <c r="E5721" s="7" t="n"/>
      <c r="F5721" s="7" t="n"/>
      <c r="G5721" s="7" t="n"/>
      <c r="H5721" s="7" t="n"/>
      <c r="I5721" s="7" t="n"/>
      <c r="J5721" s="7" t="n"/>
      <c r="K5721">
        <f>IF(D5721="Legitimate Interest (GDPR Art. 6(1)(f))", "Yes / Required (Sheet 3)", "")</f>
        <v/>
      </c>
      <c r="L5721" s="7" t="n"/>
      <c r="M5721" s="7" t="n"/>
      <c r="N5721">
        <f>IF(D5721="", "Gap - No Legal Basis", IF(AND(D5721="Consent (GDPR Art. 6(1)(a))", I5721="Not Captured"), "Gap - Invalid Consent", IF(AND(D5721="Legitimate Interest (GDPR Art. 6(1)(f))", L5721=""), "Gap - Missing LIA", IF(AND(G5721="Yes", H5721=""), "Gap - Missing Art. 9 Basis", IF(OR(I5721="Invalid - Not Freely Given", I5721="Invalid - Not Specific", I5721="Invalid - Not Informed", I5721="Invalid - Ambiguous"), "Gap - Invalid Consent", "Compliant")))))</f>
        <v/>
      </c>
      <c r="O5721" s="7" t="n"/>
    </row>
    <row r="5722">
      <c r="A5722" s="7" t="n"/>
      <c r="B5722" s="7" t="n"/>
      <c r="C5722" s="7" t="n"/>
      <c r="D5722" s="7" t="n"/>
      <c r="E5722" s="7" t="n"/>
      <c r="F5722" s="7" t="n"/>
      <c r="G5722" s="7" t="n"/>
      <c r="H5722" s="7" t="n"/>
      <c r="I5722" s="7" t="n"/>
      <c r="J5722" s="7" t="n"/>
      <c r="K5722">
        <f>IF(D5722="Legitimate Interest (GDPR Art. 6(1)(f))", "Yes / Required (Sheet 3)", "")</f>
        <v/>
      </c>
      <c r="L5722" s="7" t="n"/>
      <c r="M5722" s="7" t="n"/>
      <c r="N5722">
        <f>IF(D5722="", "Gap - No Legal Basis", IF(AND(D5722="Consent (GDPR Art. 6(1)(a))", I5722="Not Captured"), "Gap - Invalid Consent", IF(AND(D5722="Legitimate Interest (GDPR Art. 6(1)(f))", L5722=""), "Gap - Missing LIA", IF(AND(G5722="Yes", H5722=""), "Gap - Missing Art. 9 Basis", IF(OR(I5722="Invalid - Not Freely Given", I5722="Invalid - Not Specific", I5722="Invalid - Not Informed", I5722="Invalid - Ambiguous"), "Gap - Invalid Consent", "Compliant")))))</f>
        <v/>
      </c>
      <c r="O5722" s="7" t="n"/>
    </row>
    <row r="5723">
      <c r="A5723" s="7" t="n"/>
      <c r="B5723" s="7" t="n"/>
      <c r="C5723" s="7" t="n"/>
      <c r="D5723" s="7" t="n"/>
      <c r="E5723" s="7" t="n"/>
      <c r="F5723" s="7" t="n"/>
      <c r="G5723" s="7" t="n"/>
      <c r="H5723" s="7" t="n"/>
      <c r="I5723" s="7" t="n"/>
      <c r="J5723" s="7" t="n"/>
      <c r="K5723">
        <f>IF(D5723="Legitimate Interest (GDPR Art. 6(1)(f))", "Yes / Required (Sheet 3)", "")</f>
        <v/>
      </c>
      <c r="L5723" s="7" t="n"/>
      <c r="M5723" s="7" t="n"/>
      <c r="N5723">
        <f>IF(D5723="", "Gap - No Legal Basis", IF(AND(D5723="Consent (GDPR Art. 6(1)(a))", I5723="Not Captured"), "Gap - Invalid Consent", IF(AND(D5723="Legitimate Interest (GDPR Art. 6(1)(f))", L5723=""), "Gap - Missing LIA", IF(AND(G5723="Yes", H5723=""), "Gap - Missing Art. 9 Basis", IF(OR(I5723="Invalid - Not Freely Given", I5723="Invalid - Not Specific", I5723="Invalid - Not Informed", I5723="Invalid - Ambiguous"), "Gap - Invalid Consent", "Compliant")))))</f>
        <v/>
      </c>
      <c r="O5723" s="7" t="n"/>
    </row>
    <row r="5724">
      <c r="A5724" s="7" t="n"/>
      <c r="B5724" s="7" t="n"/>
      <c r="C5724" s="7" t="n"/>
      <c r="D5724" s="7" t="n"/>
      <c r="E5724" s="7" t="n"/>
      <c r="F5724" s="7" t="n"/>
      <c r="G5724" s="7" t="n"/>
      <c r="H5724" s="7" t="n"/>
      <c r="I5724" s="7" t="n"/>
      <c r="J5724" s="7" t="n"/>
      <c r="K5724">
        <f>IF(D5724="Legitimate Interest (GDPR Art. 6(1)(f))", "Yes / Required (Sheet 3)", "")</f>
        <v/>
      </c>
      <c r="L5724" s="7" t="n"/>
      <c r="M5724" s="7" t="n"/>
      <c r="N5724">
        <f>IF(D5724="", "Gap - No Legal Basis", IF(AND(D5724="Consent (GDPR Art. 6(1)(a))", I5724="Not Captured"), "Gap - Invalid Consent", IF(AND(D5724="Legitimate Interest (GDPR Art. 6(1)(f))", L5724=""), "Gap - Missing LIA", IF(AND(G5724="Yes", H5724=""), "Gap - Missing Art. 9 Basis", IF(OR(I5724="Invalid - Not Freely Given", I5724="Invalid - Not Specific", I5724="Invalid - Not Informed", I5724="Invalid - Ambiguous"), "Gap - Invalid Consent", "Compliant")))))</f>
        <v/>
      </c>
      <c r="O5724" s="7" t="n"/>
    </row>
    <row r="5725">
      <c r="A5725" s="7" t="n"/>
      <c r="B5725" s="7" t="n"/>
      <c r="C5725" s="7" t="n"/>
      <c r="D5725" s="7" t="n"/>
      <c r="E5725" s="7" t="n"/>
      <c r="F5725" s="7" t="n"/>
      <c r="G5725" s="7" t="n"/>
      <c r="H5725" s="7" t="n"/>
      <c r="I5725" s="7" t="n"/>
      <c r="J5725" s="7" t="n"/>
      <c r="K5725">
        <f>IF(D5725="Legitimate Interest (GDPR Art. 6(1)(f))", "Yes / Required (Sheet 3)", "")</f>
        <v/>
      </c>
      <c r="L5725" s="7" t="n"/>
      <c r="M5725" s="7" t="n"/>
      <c r="N5725">
        <f>IF(D5725="", "Gap - No Legal Basis", IF(AND(D5725="Consent (GDPR Art. 6(1)(a))", I5725="Not Captured"), "Gap - Invalid Consent", IF(AND(D5725="Legitimate Interest (GDPR Art. 6(1)(f))", L5725=""), "Gap - Missing LIA", IF(AND(G5725="Yes", H5725=""), "Gap - Missing Art. 9 Basis", IF(OR(I5725="Invalid - Not Freely Given", I5725="Invalid - Not Specific", I5725="Invalid - Not Informed", I5725="Invalid - Ambiguous"), "Gap - Invalid Consent", "Compliant")))))</f>
        <v/>
      </c>
      <c r="O5725" s="7" t="n"/>
    </row>
    <row r="5726">
      <c r="A5726" s="7" t="n"/>
      <c r="B5726" s="7" t="n"/>
      <c r="C5726" s="7" t="n"/>
      <c r="D5726" s="7" t="n"/>
      <c r="E5726" s="7" t="n"/>
      <c r="F5726" s="7" t="n"/>
      <c r="G5726" s="7" t="n"/>
      <c r="H5726" s="7" t="n"/>
      <c r="I5726" s="7" t="n"/>
      <c r="J5726" s="7" t="n"/>
      <c r="K5726">
        <f>IF(D5726="Legitimate Interest (GDPR Art. 6(1)(f))", "Yes / Required (Sheet 3)", "")</f>
        <v/>
      </c>
      <c r="L5726" s="7" t="n"/>
      <c r="M5726" s="7" t="n"/>
      <c r="N5726">
        <f>IF(D5726="", "Gap - No Legal Basis", IF(AND(D5726="Consent (GDPR Art. 6(1)(a))", I5726="Not Captured"), "Gap - Invalid Consent", IF(AND(D5726="Legitimate Interest (GDPR Art. 6(1)(f))", L5726=""), "Gap - Missing LIA", IF(AND(G5726="Yes", H5726=""), "Gap - Missing Art. 9 Basis", IF(OR(I5726="Invalid - Not Freely Given", I5726="Invalid - Not Specific", I5726="Invalid - Not Informed", I5726="Invalid - Ambiguous"), "Gap - Invalid Consent", "Compliant")))))</f>
        <v/>
      </c>
      <c r="O5726" s="7" t="n"/>
    </row>
    <row r="5727">
      <c r="A5727" s="7" t="n"/>
      <c r="B5727" s="7" t="n"/>
      <c r="C5727" s="7" t="n"/>
      <c r="D5727" s="7" t="n"/>
      <c r="E5727" s="7" t="n"/>
      <c r="F5727" s="7" t="n"/>
      <c r="G5727" s="7" t="n"/>
      <c r="H5727" s="7" t="n"/>
      <c r="I5727" s="7" t="n"/>
      <c r="J5727" s="7" t="n"/>
      <c r="K5727">
        <f>IF(D5727="Legitimate Interest (GDPR Art. 6(1)(f))", "Yes / Required (Sheet 3)", "")</f>
        <v/>
      </c>
      <c r="L5727" s="7" t="n"/>
      <c r="M5727" s="7" t="n"/>
      <c r="N5727">
        <f>IF(D5727="", "Gap - No Legal Basis", IF(AND(D5727="Consent (GDPR Art. 6(1)(a))", I5727="Not Captured"), "Gap - Invalid Consent", IF(AND(D5727="Legitimate Interest (GDPR Art. 6(1)(f))", L5727=""), "Gap - Missing LIA", IF(AND(G5727="Yes", H5727=""), "Gap - Missing Art. 9 Basis", IF(OR(I5727="Invalid - Not Freely Given", I5727="Invalid - Not Specific", I5727="Invalid - Not Informed", I5727="Invalid - Ambiguous"), "Gap - Invalid Consent", "Compliant")))))</f>
        <v/>
      </c>
      <c r="O5727" s="7" t="n"/>
    </row>
    <row r="5728">
      <c r="A5728" s="7" t="n"/>
      <c r="B5728" s="7" t="n"/>
      <c r="C5728" s="7" t="n"/>
      <c r="D5728" s="7" t="n"/>
      <c r="E5728" s="7" t="n"/>
      <c r="F5728" s="7" t="n"/>
      <c r="G5728" s="7" t="n"/>
      <c r="H5728" s="7" t="n"/>
      <c r="I5728" s="7" t="n"/>
      <c r="J5728" s="7" t="n"/>
      <c r="K5728">
        <f>IF(D5728="Legitimate Interest (GDPR Art. 6(1)(f))", "Yes / Required (Sheet 3)", "")</f>
        <v/>
      </c>
      <c r="L5728" s="7" t="n"/>
      <c r="M5728" s="7" t="n"/>
      <c r="N5728">
        <f>IF(D5728="", "Gap - No Legal Basis", IF(AND(D5728="Consent (GDPR Art. 6(1)(a))", I5728="Not Captured"), "Gap - Invalid Consent", IF(AND(D5728="Legitimate Interest (GDPR Art. 6(1)(f))", L5728=""), "Gap - Missing LIA", IF(AND(G5728="Yes", H5728=""), "Gap - Missing Art. 9 Basis", IF(OR(I5728="Invalid - Not Freely Given", I5728="Invalid - Not Specific", I5728="Invalid - Not Informed", I5728="Invalid - Ambiguous"), "Gap - Invalid Consent", "Compliant")))))</f>
        <v/>
      </c>
      <c r="O5728" s="7" t="n"/>
    </row>
    <row r="5729">
      <c r="A5729" s="7" t="n"/>
      <c r="B5729" s="7" t="n"/>
      <c r="C5729" s="7" t="n"/>
      <c r="D5729" s="7" t="n"/>
      <c r="E5729" s="7" t="n"/>
      <c r="F5729" s="7" t="n"/>
      <c r="G5729" s="7" t="n"/>
      <c r="H5729" s="7" t="n"/>
      <c r="I5729" s="7" t="n"/>
      <c r="J5729" s="7" t="n"/>
      <c r="K5729">
        <f>IF(D5729="Legitimate Interest (GDPR Art. 6(1)(f))", "Yes / Required (Sheet 3)", "")</f>
        <v/>
      </c>
      <c r="L5729" s="7" t="n"/>
      <c r="M5729" s="7" t="n"/>
      <c r="N5729">
        <f>IF(D5729="", "Gap - No Legal Basis", IF(AND(D5729="Consent (GDPR Art. 6(1)(a))", I5729="Not Captured"), "Gap - Invalid Consent", IF(AND(D5729="Legitimate Interest (GDPR Art. 6(1)(f))", L5729=""), "Gap - Missing LIA", IF(AND(G5729="Yes", H5729=""), "Gap - Missing Art. 9 Basis", IF(OR(I5729="Invalid - Not Freely Given", I5729="Invalid - Not Specific", I5729="Invalid - Not Informed", I5729="Invalid - Ambiguous"), "Gap - Invalid Consent", "Compliant")))))</f>
        <v/>
      </c>
      <c r="O5729" s="7" t="n"/>
    </row>
    <row r="5730">
      <c r="A5730" s="7" t="n"/>
      <c r="B5730" s="7" t="n"/>
      <c r="C5730" s="7" t="n"/>
      <c r="D5730" s="7" t="n"/>
      <c r="E5730" s="7" t="n"/>
      <c r="F5730" s="7" t="n"/>
      <c r="G5730" s="7" t="n"/>
      <c r="H5730" s="7" t="n"/>
      <c r="I5730" s="7" t="n"/>
      <c r="J5730" s="7" t="n"/>
      <c r="K5730">
        <f>IF(D5730="Legitimate Interest (GDPR Art. 6(1)(f))", "Yes / Required (Sheet 3)", "")</f>
        <v/>
      </c>
      <c r="L5730" s="7" t="n"/>
      <c r="M5730" s="7" t="n"/>
      <c r="N5730">
        <f>IF(D5730="", "Gap - No Legal Basis", IF(AND(D5730="Consent (GDPR Art. 6(1)(a))", I5730="Not Captured"), "Gap - Invalid Consent", IF(AND(D5730="Legitimate Interest (GDPR Art. 6(1)(f))", L5730=""), "Gap - Missing LIA", IF(AND(G5730="Yes", H5730=""), "Gap - Missing Art. 9 Basis", IF(OR(I5730="Invalid - Not Freely Given", I5730="Invalid - Not Specific", I5730="Invalid - Not Informed", I5730="Invalid - Ambiguous"), "Gap - Invalid Consent", "Compliant")))))</f>
        <v/>
      </c>
      <c r="O5730" s="7" t="n"/>
    </row>
    <row r="5731">
      <c r="A5731" s="7" t="n"/>
      <c r="B5731" s="7" t="n"/>
      <c r="C5731" s="7" t="n"/>
      <c r="D5731" s="7" t="n"/>
      <c r="E5731" s="7" t="n"/>
      <c r="F5731" s="7" t="n"/>
      <c r="G5731" s="7" t="n"/>
      <c r="H5731" s="7" t="n"/>
      <c r="I5731" s="7" t="n"/>
      <c r="J5731" s="7" t="n"/>
      <c r="K5731">
        <f>IF(D5731="Legitimate Interest (GDPR Art. 6(1)(f))", "Yes / Required (Sheet 3)", "")</f>
        <v/>
      </c>
      <c r="L5731" s="7" t="n"/>
      <c r="M5731" s="7" t="n"/>
      <c r="N5731">
        <f>IF(D5731="", "Gap - No Legal Basis", IF(AND(D5731="Consent (GDPR Art. 6(1)(a))", I5731="Not Captured"), "Gap - Invalid Consent", IF(AND(D5731="Legitimate Interest (GDPR Art. 6(1)(f))", L5731=""), "Gap - Missing LIA", IF(AND(G5731="Yes", H5731=""), "Gap - Missing Art. 9 Basis", IF(OR(I5731="Invalid - Not Freely Given", I5731="Invalid - Not Specific", I5731="Invalid - Not Informed", I5731="Invalid - Ambiguous"), "Gap - Invalid Consent", "Compliant")))))</f>
        <v/>
      </c>
      <c r="O5731" s="7" t="n"/>
    </row>
    <row r="5732">
      <c r="A5732" s="7" t="n"/>
      <c r="B5732" s="7" t="n"/>
      <c r="C5732" s="7" t="n"/>
      <c r="D5732" s="7" t="n"/>
      <c r="E5732" s="7" t="n"/>
      <c r="F5732" s="7" t="n"/>
      <c r="G5732" s="7" t="n"/>
      <c r="H5732" s="7" t="n"/>
      <c r="I5732" s="7" t="n"/>
      <c r="J5732" s="7" t="n"/>
      <c r="K5732">
        <f>IF(D5732="Legitimate Interest (GDPR Art. 6(1)(f))", "Yes / Required (Sheet 3)", "")</f>
        <v/>
      </c>
      <c r="L5732" s="7" t="n"/>
      <c r="M5732" s="7" t="n"/>
      <c r="N5732">
        <f>IF(D5732="", "Gap - No Legal Basis", IF(AND(D5732="Consent (GDPR Art. 6(1)(a))", I5732="Not Captured"), "Gap - Invalid Consent", IF(AND(D5732="Legitimate Interest (GDPR Art. 6(1)(f))", L5732=""), "Gap - Missing LIA", IF(AND(G5732="Yes", H5732=""), "Gap - Missing Art. 9 Basis", IF(OR(I5732="Invalid - Not Freely Given", I5732="Invalid - Not Specific", I5732="Invalid - Not Informed", I5732="Invalid - Ambiguous"), "Gap - Invalid Consent", "Compliant")))))</f>
        <v/>
      </c>
      <c r="O5732" s="7" t="n"/>
    </row>
    <row r="5733">
      <c r="A5733" s="7" t="n"/>
      <c r="B5733" s="7" t="n"/>
      <c r="C5733" s="7" t="n"/>
      <c r="D5733" s="7" t="n"/>
      <c r="E5733" s="7" t="n"/>
      <c r="F5733" s="7" t="n"/>
      <c r="G5733" s="7" t="n"/>
      <c r="H5733" s="7" t="n"/>
      <c r="I5733" s="7" t="n"/>
      <c r="J5733" s="7" t="n"/>
      <c r="K5733">
        <f>IF(D5733="Legitimate Interest (GDPR Art. 6(1)(f))", "Yes / Required (Sheet 3)", "")</f>
        <v/>
      </c>
      <c r="L5733" s="7" t="n"/>
      <c r="M5733" s="7" t="n"/>
      <c r="N5733">
        <f>IF(D5733="", "Gap - No Legal Basis", IF(AND(D5733="Consent (GDPR Art. 6(1)(a))", I5733="Not Captured"), "Gap - Invalid Consent", IF(AND(D5733="Legitimate Interest (GDPR Art. 6(1)(f))", L5733=""), "Gap - Missing LIA", IF(AND(G5733="Yes", H5733=""), "Gap - Missing Art. 9 Basis", IF(OR(I5733="Invalid - Not Freely Given", I5733="Invalid - Not Specific", I5733="Invalid - Not Informed", I5733="Invalid - Ambiguous"), "Gap - Invalid Consent", "Compliant")))))</f>
        <v/>
      </c>
      <c r="O5733" s="7" t="n"/>
    </row>
    <row r="5734">
      <c r="A5734" s="7" t="n"/>
      <c r="B5734" s="7" t="n"/>
      <c r="C5734" s="7" t="n"/>
      <c r="D5734" s="7" t="n"/>
      <c r="E5734" s="7" t="n"/>
      <c r="F5734" s="7" t="n"/>
      <c r="G5734" s="7" t="n"/>
      <c r="H5734" s="7" t="n"/>
      <c r="I5734" s="7" t="n"/>
      <c r="J5734" s="7" t="n"/>
      <c r="K5734">
        <f>IF(D5734="Legitimate Interest (GDPR Art. 6(1)(f))", "Yes / Required (Sheet 3)", "")</f>
        <v/>
      </c>
      <c r="L5734" s="7" t="n"/>
      <c r="M5734" s="7" t="n"/>
      <c r="N5734">
        <f>IF(D5734="", "Gap - No Legal Basis", IF(AND(D5734="Consent (GDPR Art. 6(1)(a))", I5734="Not Captured"), "Gap - Invalid Consent", IF(AND(D5734="Legitimate Interest (GDPR Art. 6(1)(f))", L5734=""), "Gap - Missing LIA", IF(AND(G5734="Yes", H5734=""), "Gap - Missing Art. 9 Basis", IF(OR(I5734="Invalid - Not Freely Given", I5734="Invalid - Not Specific", I5734="Invalid - Not Informed", I5734="Invalid - Ambiguous"), "Gap - Invalid Consent", "Compliant")))))</f>
        <v/>
      </c>
      <c r="O5734" s="7" t="n"/>
    </row>
    <row r="5735">
      <c r="A5735" s="7" t="n"/>
      <c r="B5735" s="7" t="n"/>
      <c r="C5735" s="7" t="n"/>
      <c r="D5735" s="7" t="n"/>
      <c r="E5735" s="7" t="n"/>
      <c r="F5735" s="7" t="n"/>
      <c r="G5735" s="7" t="n"/>
      <c r="H5735" s="7" t="n"/>
      <c r="I5735" s="7" t="n"/>
      <c r="J5735" s="7" t="n"/>
      <c r="K5735">
        <f>IF(D5735="Legitimate Interest (GDPR Art. 6(1)(f))", "Yes / Required (Sheet 3)", "")</f>
        <v/>
      </c>
      <c r="L5735" s="7" t="n"/>
      <c r="M5735" s="7" t="n"/>
      <c r="N5735">
        <f>IF(D5735="", "Gap - No Legal Basis", IF(AND(D5735="Consent (GDPR Art. 6(1)(a))", I5735="Not Captured"), "Gap - Invalid Consent", IF(AND(D5735="Legitimate Interest (GDPR Art. 6(1)(f))", L5735=""), "Gap - Missing LIA", IF(AND(G5735="Yes", H5735=""), "Gap - Missing Art. 9 Basis", IF(OR(I5735="Invalid - Not Freely Given", I5735="Invalid - Not Specific", I5735="Invalid - Not Informed", I5735="Invalid - Ambiguous"), "Gap - Invalid Consent", "Compliant")))))</f>
        <v/>
      </c>
      <c r="O5735" s="7" t="n"/>
    </row>
    <row r="5736">
      <c r="A5736" s="7" t="n"/>
      <c r="B5736" s="7" t="n"/>
      <c r="C5736" s="7" t="n"/>
      <c r="D5736" s="7" t="n"/>
      <c r="E5736" s="7" t="n"/>
      <c r="F5736" s="7" t="n"/>
      <c r="G5736" s="7" t="n"/>
      <c r="H5736" s="7" t="n"/>
      <c r="I5736" s="7" t="n"/>
      <c r="J5736" s="7" t="n"/>
      <c r="K5736">
        <f>IF(D5736="Legitimate Interest (GDPR Art. 6(1)(f))", "Yes / Required (Sheet 3)", "")</f>
        <v/>
      </c>
      <c r="L5736" s="7" t="n"/>
      <c r="M5736" s="7" t="n"/>
      <c r="N5736">
        <f>IF(D5736="", "Gap - No Legal Basis", IF(AND(D5736="Consent (GDPR Art. 6(1)(a))", I5736="Not Captured"), "Gap - Invalid Consent", IF(AND(D5736="Legitimate Interest (GDPR Art. 6(1)(f))", L5736=""), "Gap - Missing LIA", IF(AND(G5736="Yes", H5736=""), "Gap - Missing Art. 9 Basis", IF(OR(I5736="Invalid - Not Freely Given", I5736="Invalid - Not Specific", I5736="Invalid - Not Informed", I5736="Invalid - Ambiguous"), "Gap - Invalid Consent", "Compliant")))))</f>
        <v/>
      </c>
      <c r="O5736" s="7" t="n"/>
    </row>
    <row r="5737">
      <c r="A5737" s="7" t="n"/>
      <c r="B5737" s="7" t="n"/>
      <c r="C5737" s="7" t="n"/>
      <c r="D5737" s="7" t="n"/>
      <c r="E5737" s="7" t="n"/>
      <c r="F5737" s="7" t="n"/>
      <c r="G5737" s="7" t="n"/>
      <c r="H5737" s="7" t="n"/>
      <c r="I5737" s="7" t="n"/>
      <c r="J5737" s="7" t="n"/>
      <c r="K5737">
        <f>IF(D5737="Legitimate Interest (GDPR Art. 6(1)(f))", "Yes / Required (Sheet 3)", "")</f>
        <v/>
      </c>
      <c r="L5737" s="7" t="n"/>
      <c r="M5737" s="7" t="n"/>
      <c r="N5737">
        <f>IF(D5737="", "Gap - No Legal Basis", IF(AND(D5737="Consent (GDPR Art. 6(1)(a))", I5737="Not Captured"), "Gap - Invalid Consent", IF(AND(D5737="Legitimate Interest (GDPR Art. 6(1)(f))", L5737=""), "Gap - Missing LIA", IF(AND(G5737="Yes", H5737=""), "Gap - Missing Art. 9 Basis", IF(OR(I5737="Invalid - Not Freely Given", I5737="Invalid - Not Specific", I5737="Invalid - Not Informed", I5737="Invalid - Ambiguous"), "Gap - Invalid Consent", "Compliant")))))</f>
        <v/>
      </c>
      <c r="O5737" s="7" t="n"/>
    </row>
    <row r="5738">
      <c r="A5738" s="7" t="n"/>
      <c r="B5738" s="7" t="n"/>
      <c r="C5738" s="7" t="n"/>
      <c r="D5738" s="7" t="n"/>
      <c r="E5738" s="7" t="n"/>
      <c r="F5738" s="7" t="n"/>
      <c r="G5738" s="7" t="n"/>
      <c r="H5738" s="7" t="n"/>
      <c r="I5738" s="7" t="n"/>
      <c r="J5738" s="7" t="n"/>
      <c r="K5738">
        <f>IF(D5738="Legitimate Interest (GDPR Art. 6(1)(f))", "Yes / Required (Sheet 3)", "")</f>
        <v/>
      </c>
      <c r="L5738" s="7" t="n"/>
      <c r="M5738" s="7" t="n"/>
      <c r="N5738">
        <f>IF(D5738="", "Gap - No Legal Basis", IF(AND(D5738="Consent (GDPR Art. 6(1)(a))", I5738="Not Captured"), "Gap - Invalid Consent", IF(AND(D5738="Legitimate Interest (GDPR Art. 6(1)(f))", L5738=""), "Gap - Missing LIA", IF(AND(G5738="Yes", H5738=""), "Gap - Missing Art. 9 Basis", IF(OR(I5738="Invalid - Not Freely Given", I5738="Invalid - Not Specific", I5738="Invalid - Not Informed", I5738="Invalid - Ambiguous"), "Gap - Invalid Consent", "Compliant")))))</f>
        <v/>
      </c>
      <c r="O5738" s="7" t="n"/>
    </row>
    <row r="5739">
      <c r="A5739" s="7" t="n"/>
      <c r="B5739" s="7" t="n"/>
      <c r="C5739" s="7" t="n"/>
      <c r="D5739" s="7" t="n"/>
      <c r="E5739" s="7" t="n"/>
      <c r="F5739" s="7" t="n"/>
      <c r="G5739" s="7" t="n"/>
      <c r="H5739" s="7" t="n"/>
      <c r="I5739" s="7" t="n"/>
      <c r="J5739" s="7" t="n"/>
      <c r="K5739">
        <f>IF(D5739="Legitimate Interest (GDPR Art. 6(1)(f))", "Yes / Required (Sheet 3)", "")</f>
        <v/>
      </c>
      <c r="L5739" s="7" t="n"/>
      <c r="M5739" s="7" t="n"/>
      <c r="N5739">
        <f>IF(D5739="", "Gap - No Legal Basis", IF(AND(D5739="Consent (GDPR Art. 6(1)(a))", I5739="Not Captured"), "Gap - Invalid Consent", IF(AND(D5739="Legitimate Interest (GDPR Art. 6(1)(f))", L5739=""), "Gap - Missing LIA", IF(AND(G5739="Yes", H5739=""), "Gap - Missing Art. 9 Basis", IF(OR(I5739="Invalid - Not Freely Given", I5739="Invalid - Not Specific", I5739="Invalid - Not Informed", I5739="Invalid - Ambiguous"), "Gap - Invalid Consent", "Compliant")))))</f>
        <v/>
      </c>
      <c r="O5739" s="7" t="n"/>
    </row>
    <row r="5740">
      <c r="A5740" s="7" t="n"/>
      <c r="B5740" s="7" t="n"/>
      <c r="C5740" s="7" t="n"/>
      <c r="D5740" s="7" t="n"/>
      <c r="E5740" s="7" t="n"/>
      <c r="F5740" s="7" t="n"/>
      <c r="G5740" s="7" t="n"/>
      <c r="H5740" s="7" t="n"/>
      <c r="I5740" s="7" t="n"/>
      <c r="J5740" s="7" t="n"/>
      <c r="K5740">
        <f>IF(D5740="Legitimate Interest (GDPR Art. 6(1)(f))", "Yes / Required (Sheet 3)", "")</f>
        <v/>
      </c>
      <c r="L5740" s="7" t="n"/>
      <c r="M5740" s="7" t="n"/>
      <c r="N5740">
        <f>IF(D5740="", "Gap - No Legal Basis", IF(AND(D5740="Consent (GDPR Art. 6(1)(a))", I5740="Not Captured"), "Gap - Invalid Consent", IF(AND(D5740="Legitimate Interest (GDPR Art. 6(1)(f))", L5740=""), "Gap - Missing LIA", IF(AND(G5740="Yes", H5740=""), "Gap - Missing Art. 9 Basis", IF(OR(I5740="Invalid - Not Freely Given", I5740="Invalid - Not Specific", I5740="Invalid - Not Informed", I5740="Invalid - Ambiguous"), "Gap - Invalid Consent", "Compliant")))))</f>
        <v/>
      </c>
      <c r="O5740" s="7" t="n"/>
    </row>
    <row r="5741">
      <c r="A5741" s="7" t="n"/>
      <c r="B5741" s="7" t="n"/>
      <c r="C5741" s="7" t="n"/>
      <c r="D5741" s="7" t="n"/>
      <c r="E5741" s="7" t="n"/>
      <c r="F5741" s="7" t="n"/>
      <c r="G5741" s="7" t="n"/>
      <c r="H5741" s="7" t="n"/>
      <c r="I5741" s="7" t="n"/>
      <c r="J5741" s="7" t="n"/>
      <c r="K5741">
        <f>IF(D5741="Legitimate Interest (GDPR Art. 6(1)(f))", "Yes / Required (Sheet 3)", "")</f>
        <v/>
      </c>
      <c r="L5741" s="7" t="n"/>
      <c r="M5741" s="7" t="n"/>
      <c r="N5741">
        <f>IF(D5741="", "Gap - No Legal Basis", IF(AND(D5741="Consent (GDPR Art. 6(1)(a))", I5741="Not Captured"), "Gap - Invalid Consent", IF(AND(D5741="Legitimate Interest (GDPR Art. 6(1)(f))", L5741=""), "Gap - Missing LIA", IF(AND(G5741="Yes", H5741=""), "Gap - Missing Art. 9 Basis", IF(OR(I5741="Invalid - Not Freely Given", I5741="Invalid - Not Specific", I5741="Invalid - Not Informed", I5741="Invalid - Ambiguous"), "Gap - Invalid Consent", "Compliant")))))</f>
        <v/>
      </c>
      <c r="O5741" s="7" t="n"/>
    </row>
    <row r="5742">
      <c r="A5742" s="7" t="n"/>
      <c r="B5742" s="7" t="n"/>
      <c r="C5742" s="7" t="n"/>
      <c r="D5742" s="7" t="n"/>
      <c r="E5742" s="7" t="n"/>
      <c r="F5742" s="7" t="n"/>
      <c r="G5742" s="7" t="n"/>
      <c r="H5742" s="7" t="n"/>
      <c r="I5742" s="7" t="n"/>
      <c r="J5742" s="7" t="n"/>
      <c r="K5742">
        <f>IF(D5742="Legitimate Interest (GDPR Art. 6(1)(f))", "Yes / Required (Sheet 3)", "")</f>
        <v/>
      </c>
      <c r="L5742" s="7" t="n"/>
      <c r="M5742" s="7" t="n"/>
      <c r="N5742">
        <f>IF(D5742="", "Gap - No Legal Basis", IF(AND(D5742="Consent (GDPR Art. 6(1)(a))", I5742="Not Captured"), "Gap - Invalid Consent", IF(AND(D5742="Legitimate Interest (GDPR Art. 6(1)(f))", L5742=""), "Gap - Missing LIA", IF(AND(G5742="Yes", H5742=""), "Gap - Missing Art. 9 Basis", IF(OR(I5742="Invalid - Not Freely Given", I5742="Invalid - Not Specific", I5742="Invalid - Not Informed", I5742="Invalid - Ambiguous"), "Gap - Invalid Consent", "Compliant")))))</f>
        <v/>
      </c>
      <c r="O5742" s="7" t="n"/>
    </row>
    <row r="5743">
      <c r="A5743" s="7" t="n"/>
      <c r="B5743" s="7" t="n"/>
      <c r="C5743" s="7" t="n"/>
      <c r="D5743" s="7" t="n"/>
      <c r="E5743" s="7" t="n"/>
      <c r="F5743" s="7" t="n"/>
      <c r="G5743" s="7" t="n"/>
      <c r="H5743" s="7" t="n"/>
      <c r="I5743" s="7" t="n"/>
      <c r="J5743" s="7" t="n"/>
      <c r="K5743">
        <f>IF(D5743="Legitimate Interest (GDPR Art. 6(1)(f))", "Yes / Required (Sheet 3)", "")</f>
        <v/>
      </c>
      <c r="L5743" s="7" t="n"/>
      <c r="M5743" s="7" t="n"/>
      <c r="N5743">
        <f>IF(D5743="", "Gap - No Legal Basis", IF(AND(D5743="Consent (GDPR Art. 6(1)(a))", I5743="Not Captured"), "Gap - Invalid Consent", IF(AND(D5743="Legitimate Interest (GDPR Art. 6(1)(f))", L5743=""), "Gap - Missing LIA", IF(AND(G5743="Yes", H5743=""), "Gap - Missing Art. 9 Basis", IF(OR(I5743="Invalid - Not Freely Given", I5743="Invalid - Not Specific", I5743="Invalid - Not Informed", I5743="Invalid - Ambiguous"), "Gap - Invalid Consent", "Compliant")))))</f>
        <v/>
      </c>
      <c r="O5743" s="7" t="n"/>
    </row>
    <row r="5744">
      <c r="A5744" s="7" t="n"/>
      <c r="B5744" s="7" t="n"/>
      <c r="C5744" s="7" t="n"/>
      <c r="D5744" s="7" t="n"/>
      <c r="E5744" s="7" t="n"/>
      <c r="F5744" s="7" t="n"/>
      <c r="G5744" s="7" t="n"/>
      <c r="H5744" s="7" t="n"/>
      <c r="I5744" s="7" t="n"/>
      <c r="J5744" s="7" t="n"/>
      <c r="K5744">
        <f>IF(D5744="Legitimate Interest (GDPR Art. 6(1)(f))", "Yes / Required (Sheet 3)", "")</f>
        <v/>
      </c>
      <c r="L5744" s="7" t="n"/>
      <c r="M5744" s="7" t="n"/>
      <c r="N5744">
        <f>IF(D5744="", "Gap - No Legal Basis", IF(AND(D5744="Consent (GDPR Art. 6(1)(a))", I5744="Not Captured"), "Gap - Invalid Consent", IF(AND(D5744="Legitimate Interest (GDPR Art. 6(1)(f))", L5744=""), "Gap - Missing LIA", IF(AND(G5744="Yes", H5744=""), "Gap - Missing Art. 9 Basis", IF(OR(I5744="Invalid - Not Freely Given", I5744="Invalid - Not Specific", I5744="Invalid - Not Informed", I5744="Invalid - Ambiguous"), "Gap - Invalid Consent", "Compliant")))))</f>
        <v/>
      </c>
      <c r="O5744" s="7" t="n"/>
    </row>
    <row r="5745">
      <c r="A5745" s="7" t="n"/>
      <c r="B5745" s="7" t="n"/>
      <c r="C5745" s="7" t="n"/>
      <c r="D5745" s="7" t="n"/>
      <c r="E5745" s="7" t="n"/>
      <c r="F5745" s="7" t="n"/>
      <c r="G5745" s="7" t="n"/>
      <c r="H5745" s="7" t="n"/>
      <c r="I5745" s="7" t="n"/>
      <c r="J5745" s="7" t="n"/>
      <c r="K5745">
        <f>IF(D5745="Legitimate Interest (GDPR Art. 6(1)(f))", "Yes / Required (Sheet 3)", "")</f>
        <v/>
      </c>
      <c r="L5745" s="7" t="n"/>
      <c r="M5745" s="7" t="n"/>
      <c r="N5745">
        <f>IF(D5745="", "Gap - No Legal Basis", IF(AND(D5745="Consent (GDPR Art. 6(1)(a))", I5745="Not Captured"), "Gap - Invalid Consent", IF(AND(D5745="Legitimate Interest (GDPR Art. 6(1)(f))", L5745=""), "Gap - Missing LIA", IF(AND(G5745="Yes", H5745=""), "Gap - Missing Art. 9 Basis", IF(OR(I5745="Invalid - Not Freely Given", I5745="Invalid - Not Specific", I5745="Invalid - Not Informed", I5745="Invalid - Ambiguous"), "Gap - Invalid Consent", "Compliant")))))</f>
        <v/>
      </c>
      <c r="O5745" s="7" t="n"/>
    </row>
    <row r="5746">
      <c r="A5746" s="7" t="n"/>
      <c r="B5746" s="7" t="n"/>
      <c r="C5746" s="7" t="n"/>
      <c r="D5746" s="7" t="n"/>
      <c r="E5746" s="7" t="n"/>
      <c r="F5746" s="7" t="n"/>
      <c r="G5746" s="7" t="n"/>
      <c r="H5746" s="7" t="n"/>
      <c r="I5746" s="7" t="n"/>
      <c r="J5746" s="7" t="n"/>
      <c r="K5746">
        <f>IF(D5746="Legitimate Interest (GDPR Art. 6(1)(f))", "Yes / Required (Sheet 3)", "")</f>
        <v/>
      </c>
      <c r="L5746" s="7" t="n"/>
      <c r="M5746" s="7" t="n"/>
      <c r="N5746">
        <f>IF(D5746="", "Gap - No Legal Basis", IF(AND(D5746="Consent (GDPR Art. 6(1)(a))", I5746="Not Captured"), "Gap - Invalid Consent", IF(AND(D5746="Legitimate Interest (GDPR Art. 6(1)(f))", L5746=""), "Gap - Missing LIA", IF(AND(G5746="Yes", H5746=""), "Gap - Missing Art. 9 Basis", IF(OR(I5746="Invalid - Not Freely Given", I5746="Invalid - Not Specific", I5746="Invalid - Not Informed", I5746="Invalid - Ambiguous"), "Gap - Invalid Consent", "Compliant")))))</f>
        <v/>
      </c>
      <c r="O5746" s="7" t="n"/>
    </row>
    <row r="5747">
      <c r="A5747" s="7" t="n"/>
      <c r="B5747" s="7" t="n"/>
      <c r="C5747" s="7" t="n"/>
      <c r="D5747" s="7" t="n"/>
      <c r="E5747" s="7" t="n"/>
      <c r="F5747" s="7" t="n"/>
      <c r="G5747" s="7" t="n"/>
      <c r="H5747" s="7" t="n"/>
      <c r="I5747" s="7" t="n"/>
      <c r="J5747" s="7" t="n"/>
      <c r="K5747">
        <f>IF(D5747="Legitimate Interest (GDPR Art. 6(1)(f))", "Yes / Required (Sheet 3)", "")</f>
        <v/>
      </c>
      <c r="L5747" s="7" t="n"/>
      <c r="M5747" s="7" t="n"/>
      <c r="N5747">
        <f>IF(D5747="", "Gap - No Legal Basis", IF(AND(D5747="Consent (GDPR Art. 6(1)(a))", I5747="Not Captured"), "Gap - Invalid Consent", IF(AND(D5747="Legitimate Interest (GDPR Art. 6(1)(f))", L5747=""), "Gap - Missing LIA", IF(AND(G5747="Yes", H5747=""), "Gap - Missing Art. 9 Basis", IF(OR(I5747="Invalid - Not Freely Given", I5747="Invalid - Not Specific", I5747="Invalid - Not Informed", I5747="Invalid - Ambiguous"), "Gap - Invalid Consent", "Compliant")))))</f>
        <v/>
      </c>
      <c r="O5747" s="7" t="n"/>
    </row>
    <row r="5748">
      <c r="A5748" s="7" t="n"/>
      <c r="B5748" s="7" t="n"/>
      <c r="C5748" s="7" t="n"/>
      <c r="D5748" s="7" t="n"/>
      <c r="E5748" s="7" t="n"/>
      <c r="F5748" s="7" t="n"/>
      <c r="G5748" s="7" t="n"/>
      <c r="H5748" s="7" t="n"/>
      <c r="I5748" s="7" t="n"/>
      <c r="J5748" s="7" t="n"/>
      <c r="K5748">
        <f>IF(D5748="Legitimate Interest (GDPR Art. 6(1)(f))", "Yes / Required (Sheet 3)", "")</f>
        <v/>
      </c>
      <c r="L5748" s="7" t="n"/>
      <c r="M5748" s="7" t="n"/>
      <c r="N5748">
        <f>IF(D5748="", "Gap - No Legal Basis", IF(AND(D5748="Consent (GDPR Art. 6(1)(a))", I5748="Not Captured"), "Gap - Invalid Consent", IF(AND(D5748="Legitimate Interest (GDPR Art. 6(1)(f))", L5748=""), "Gap - Missing LIA", IF(AND(G5748="Yes", H5748=""), "Gap - Missing Art. 9 Basis", IF(OR(I5748="Invalid - Not Freely Given", I5748="Invalid - Not Specific", I5748="Invalid - Not Informed", I5748="Invalid - Ambiguous"), "Gap - Invalid Consent", "Compliant")))))</f>
        <v/>
      </c>
      <c r="O5748" s="7" t="n"/>
    </row>
    <row r="5749">
      <c r="A5749" s="7" t="n"/>
      <c r="B5749" s="7" t="n"/>
      <c r="C5749" s="7" t="n"/>
      <c r="D5749" s="7" t="n"/>
      <c r="E5749" s="7" t="n"/>
      <c r="F5749" s="7" t="n"/>
      <c r="G5749" s="7" t="n"/>
      <c r="H5749" s="7" t="n"/>
      <c r="I5749" s="7" t="n"/>
      <c r="J5749" s="7" t="n"/>
      <c r="K5749">
        <f>IF(D5749="Legitimate Interest (GDPR Art. 6(1)(f))", "Yes / Required (Sheet 3)", "")</f>
        <v/>
      </c>
      <c r="L5749" s="7" t="n"/>
      <c r="M5749" s="7" t="n"/>
      <c r="N5749">
        <f>IF(D5749="", "Gap - No Legal Basis", IF(AND(D5749="Consent (GDPR Art. 6(1)(a))", I5749="Not Captured"), "Gap - Invalid Consent", IF(AND(D5749="Legitimate Interest (GDPR Art. 6(1)(f))", L5749=""), "Gap - Missing LIA", IF(AND(G5749="Yes", H5749=""), "Gap - Missing Art. 9 Basis", IF(OR(I5749="Invalid - Not Freely Given", I5749="Invalid - Not Specific", I5749="Invalid - Not Informed", I5749="Invalid - Ambiguous"), "Gap - Invalid Consent", "Compliant")))))</f>
        <v/>
      </c>
      <c r="O5749" s="7" t="n"/>
    </row>
    <row r="5750">
      <c r="A5750" s="7" t="n"/>
      <c r="B5750" s="7" t="n"/>
      <c r="C5750" s="7" t="n"/>
      <c r="D5750" s="7" t="n"/>
      <c r="E5750" s="7" t="n"/>
      <c r="F5750" s="7" t="n"/>
      <c r="G5750" s="7" t="n"/>
      <c r="H5750" s="7" t="n"/>
      <c r="I5750" s="7" t="n"/>
      <c r="J5750" s="7" t="n"/>
      <c r="K5750">
        <f>IF(D5750="Legitimate Interest (GDPR Art. 6(1)(f))", "Yes / Required (Sheet 3)", "")</f>
        <v/>
      </c>
      <c r="L5750" s="7" t="n"/>
      <c r="M5750" s="7" t="n"/>
      <c r="N5750">
        <f>IF(D5750="", "Gap - No Legal Basis", IF(AND(D5750="Consent (GDPR Art. 6(1)(a))", I5750="Not Captured"), "Gap - Invalid Consent", IF(AND(D5750="Legitimate Interest (GDPR Art. 6(1)(f))", L5750=""), "Gap - Missing LIA", IF(AND(G5750="Yes", H5750=""), "Gap - Missing Art. 9 Basis", IF(OR(I5750="Invalid - Not Freely Given", I5750="Invalid - Not Specific", I5750="Invalid - Not Informed", I5750="Invalid - Ambiguous"), "Gap - Invalid Consent", "Compliant")))))</f>
        <v/>
      </c>
      <c r="O5750" s="7" t="n"/>
    </row>
    <row r="5751">
      <c r="A5751" s="7" t="n"/>
      <c r="B5751" s="7" t="n"/>
      <c r="C5751" s="7" t="n"/>
      <c r="D5751" s="7" t="n"/>
      <c r="E5751" s="7" t="n"/>
      <c r="F5751" s="7" t="n"/>
      <c r="G5751" s="7" t="n"/>
      <c r="H5751" s="7" t="n"/>
      <c r="I5751" s="7" t="n"/>
      <c r="J5751" s="7" t="n"/>
      <c r="K5751">
        <f>IF(D5751="Legitimate Interest (GDPR Art. 6(1)(f))", "Yes / Required (Sheet 3)", "")</f>
        <v/>
      </c>
      <c r="L5751" s="7" t="n"/>
      <c r="M5751" s="7" t="n"/>
      <c r="N5751">
        <f>IF(D5751="", "Gap - No Legal Basis", IF(AND(D5751="Consent (GDPR Art. 6(1)(a))", I5751="Not Captured"), "Gap - Invalid Consent", IF(AND(D5751="Legitimate Interest (GDPR Art. 6(1)(f))", L5751=""), "Gap - Missing LIA", IF(AND(G5751="Yes", H5751=""), "Gap - Missing Art. 9 Basis", IF(OR(I5751="Invalid - Not Freely Given", I5751="Invalid - Not Specific", I5751="Invalid - Not Informed", I5751="Invalid - Ambiguous"), "Gap - Invalid Consent", "Compliant")))))</f>
        <v/>
      </c>
      <c r="O5751" s="7" t="n"/>
    </row>
    <row r="5752">
      <c r="A5752" s="7" t="n"/>
      <c r="B5752" s="7" t="n"/>
      <c r="C5752" s="7" t="n"/>
      <c r="D5752" s="7" t="n"/>
      <c r="E5752" s="7" t="n"/>
      <c r="F5752" s="7" t="n"/>
      <c r="G5752" s="7" t="n"/>
      <c r="H5752" s="7" t="n"/>
      <c r="I5752" s="7" t="n"/>
      <c r="J5752" s="7" t="n"/>
      <c r="K5752">
        <f>IF(D5752="Legitimate Interest (GDPR Art. 6(1)(f))", "Yes / Required (Sheet 3)", "")</f>
        <v/>
      </c>
      <c r="L5752" s="7" t="n"/>
      <c r="M5752" s="7" t="n"/>
      <c r="N5752">
        <f>IF(D5752="", "Gap - No Legal Basis", IF(AND(D5752="Consent (GDPR Art. 6(1)(a))", I5752="Not Captured"), "Gap - Invalid Consent", IF(AND(D5752="Legitimate Interest (GDPR Art. 6(1)(f))", L5752=""), "Gap - Missing LIA", IF(AND(G5752="Yes", H5752=""), "Gap - Missing Art. 9 Basis", IF(OR(I5752="Invalid - Not Freely Given", I5752="Invalid - Not Specific", I5752="Invalid - Not Informed", I5752="Invalid - Ambiguous"), "Gap - Invalid Consent", "Compliant")))))</f>
        <v/>
      </c>
      <c r="O5752" s="7" t="n"/>
    </row>
    <row r="5753">
      <c r="A5753" s="7" t="n"/>
      <c r="B5753" s="7" t="n"/>
      <c r="C5753" s="7" t="n"/>
      <c r="D5753" s="7" t="n"/>
      <c r="E5753" s="7" t="n"/>
      <c r="F5753" s="7" t="n"/>
      <c r="G5753" s="7" t="n"/>
      <c r="H5753" s="7" t="n"/>
      <c r="I5753" s="7" t="n"/>
      <c r="J5753" s="7" t="n"/>
      <c r="K5753">
        <f>IF(D5753="Legitimate Interest (GDPR Art. 6(1)(f))", "Yes / Required (Sheet 3)", "")</f>
        <v/>
      </c>
      <c r="L5753" s="7" t="n"/>
      <c r="M5753" s="7" t="n"/>
      <c r="N5753">
        <f>IF(D5753="", "Gap - No Legal Basis", IF(AND(D5753="Consent (GDPR Art. 6(1)(a))", I5753="Not Captured"), "Gap - Invalid Consent", IF(AND(D5753="Legitimate Interest (GDPR Art. 6(1)(f))", L5753=""), "Gap - Missing LIA", IF(AND(G5753="Yes", H5753=""), "Gap - Missing Art. 9 Basis", IF(OR(I5753="Invalid - Not Freely Given", I5753="Invalid - Not Specific", I5753="Invalid - Not Informed", I5753="Invalid - Ambiguous"), "Gap - Invalid Consent", "Compliant")))))</f>
        <v/>
      </c>
      <c r="O5753" s="7" t="n"/>
    </row>
    <row r="5754">
      <c r="A5754" s="7" t="n"/>
      <c r="B5754" s="7" t="n"/>
      <c r="C5754" s="7" t="n"/>
      <c r="D5754" s="7" t="n"/>
      <c r="E5754" s="7" t="n"/>
      <c r="F5754" s="7" t="n"/>
      <c r="G5754" s="7" t="n"/>
      <c r="H5754" s="7" t="n"/>
      <c r="I5754" s="7" t="n"/>
      <c r="J5754" s="7" t="n"/>
      <c r="K5754">
        <f>IF(D5754="Legitimate Interest (GDPR Art. 6(1)(f))", "Yes / Required (Sheet 3)", "")</f>
        <v/>
      </c>
      <c r="L5754" s="7" t="n"/>
      <c r="M5754" s="7" t="n"/>
      <c r="N5754">
        <f>IF(D5754="", "Gap - No Legal Basis", IF(AND(D5754="Consent (GDPR Art. 6(1)(a))", I5754="Not Captured"), "Gap - Invalid Consent", IF(AND(D5754="Legitimate Interest (GDPR Art. 6(1)(f))", L5754=""), "Gap - Missing LIA", IF(AND(G5754="Yes", H5754=""), "Gap - Missing Art. 9 Basis", IF(OR(I5754="Invalid - Not Freely Given", I5754="Invalid - Not Specific", I5754="Invalid - Not Informed", I5754="Invalid - Ambiguous"), "Gap - Invalid Consent", "Compliant")))))</f>
        <v/>
      </c>
      <c r="O5754" s="7" t="n"/>
    </row>
    <row r="5755">
      <c r="A5755" s="7" t="n"/>
      <c r="B5755" s="7" t="n"/>
      <c r="C5755" s="7" t="n"/>
      <c r="D5755" s="7" t="n"/>
      <c r="E5755" s="7" t="n"/>
      <c r="F5755" s="7" t="n"/>
      <c r="G5755" s="7" t="n"/>
      <c r="H5755" s="7" t="n"/>
      <c r="I5755" s="7" t="n"/>
      <c r="J5755" s="7" t="n"/>
      <c r="K5755">
        <f>IF(D5755="Legitimate Interest (GDPR Art. 6(1)(f))", "Yes / Required (Sheet 3)", "")</f>
        <v/>
      </c>
      <c r="L5755" s="7" t="n"/>
      <c r="M5755" s="7" t="n"/>
      <c r="N5755">
        <f>IF(D5755="", "Gap - No Legal Basis", IF(AND(D5755="Consent (GDPR Art. 6(1)(a))", I5755="Not Captured"), "Gap - Invalid Consent", IF(AND(D5755="Legitimate Interest (GDPR Art. 6(1)(f))", L5755=""), "Gap - Missing LIA", IF(AND(G5755="Yes", H5755=""), "Gap - Missing Art. 9 Basis", IF(OR(I5755="Invalid - Not Freely Given", I5755="Invalid - Not Specific", I5755="Invalid - Not Informed", I5755="Invalid - Ambiguous"), "Gap - Invalid Consent", "Compliant")))))</f>
        <v/>
      </c>
      <c r="O5755" s="7" t="n"/>
    </row>
    <row r="5756">
      <c r="A5756" s="7" t="n"/>
      <c r="B5756" s="7" t="n"/>
      <c r="C5756" s="7" t="n"/>
      <c r="D5756" s="7" t="n"/>
      <c r="E5756" s="7" t="n"/>
      <c r="F5756" s="7" t="n"/>
      <c r="G5756" s="7" t="n"/>
      <c r="H5756" s="7" t="n"/>
      <c r="I5756" s="7" t="n"/>
      <c r="J5756" s="7" t="n"/>
      <c r="K5756">
        <f>IF(D5756="Legitimate Interest (GDPR Art. 6(1)(f))", "Yes / Required (Sheet 3)", "")</f>
        <v/>
      </c>
      <c r="L5756" s="7" t="n"/>
      <c r="M5756" s="7" t="n"/>
      <c r="N5756">
        <f>IF(D5756="", "Gap - No Legal Basis", IF(AND(D5756="Consent (GDPR Art. 6(1)(a))", I5756="Not Captured"), "Gap - Invalid Consent", IF(AND(D5756="Legitimate Interest (GDPR Art. 6(1)(f))", L5756=""), "Gap - Missing LIA", IF(AND(G5756="Yes", H5756=""), "Gap - Missing Art. 9 Basis", IF(OR(I5756="Invalid - Not Freely Given", I5756="Invalid - Not Specific", I5756="Invalid - Not Informed", I5756="Invalid - Ambiguous"), "Gap - Invalid Consent", "Compliant")))))</f>
        <v/>
      </c>
      <c r="O5756" s="7" t="n"/>
    </row>
    <row r="5757">
      <c r="A5757" s="7" t="n"/>
      <c r="B5757" s="7" t="n"/>
      <c r="C5757" s="7" t="n"/>
      <c r="D5757" s="7" t="n"/>
      <c r="E5757" s="7" t="n"/>
      <c r="F5757" s="7" t="n"/>
      <c r="G5757" s="7" t="n"/>
      <c r="H5757" s="7" t="n"/>
      <c r="I5757" s="7" t="n"/>
      <c r="J5757" s="7" t="n"/>
      <c r="K5757">
        <f>IF(D5757="Legitimate Interest (GDPR Art. 6(1)(f))", "Yes / Required (Sheet 3)", "")</f>
        <v/>
      </c>
      <c r="L5757" s="7" t="n"/>
      <c r="M5757" s="7" t="n"/>
      <c r="N5757">
        <f>IF(D5757="", "Gap - No Legal Basis", IF(AND(D5757="Consent (GDPR Art. 6(1)(a))", I5757="Not Captured"), "Gap - Invalid Consent", IF(AND(D5757="Legitimate Interest (GDPR Art. 6(1)(f))", L5757=""), "Gap - Missing LIA", IF(AND(G5757="Yes", H5757=""), "Gap - Missing Art. 9 Basis", IF(OR(I5757="Invalid - Not Freely Given", I5757="Invalid - Not Specific", I5757="Invalid - Not Informed", I5757="Invalid - Ambiguous"), "Gap - Invalid Consent", "Compliant")))))</f>
        <v/>
      </c>
      <c r="O5757" s="7" t="n"/>
    </row>
    <row r="5758">
      <c r="A5758" s="7" t="n"/>
      <c r="B5758" s="7" t="n"/>
      <c r="C5758" s="7" t="n"/>
      <c r="D5758" s="7" t="n"/>
      <c r="E5758" s="7" t="n"/>
      <c r="F5758" s="7" t="n"/>
      <c r="G5758" s="7" t="n"/>
      <c r="H5758" s="7" t="n"/>
      <c r="I5758" s="7" t="n"/>
      <c r="J5758" s="7" t="n"/>
      <c r="K5758">
        <f>IF(D5758="Legitimate Interest (GDPR Art. 6(1)(f))", "Yes / Required (Sheet 3)", "")</f>
        <v/>
      </c>
      <c r="L5758" s="7" t="n"/>
      <c r="M5758" s="7" t="n"/>
      <c r="N5758">
        <f>IF(D5758="", "Gap - No Legal Basis", IF(AND(D5758="Consent (GDPR Art. 6(1)(a))", I5758="Not Captured"), "Gap - Invalid Consent", IF(AND(D5758="Legitimate Interest (GDPR Art. 6(1)(f))", L5758=""), "Gap - Missing LIA", IF(AND(G5758="Yes", H5758=""), "Gap - Missing Art. 9 Basis", IF(OR(I5758="Invalid - Not Freely Given", I5758="Invalid - Not Specific", I5758="Invalid - Not Informed", I5758="Invalid - Ambiguous"), "Gap - Invalid Consent", "Compliant")))))</f>
        <v/>
      </c>
      <c r="O5758" s="7" t="n"/>
    </row>
    <row r="5759">
      <c r="A5759" s="7" t="n"/>
      <c r="B5759" s="7" t="n"/>
      <c r="C5759" s="7" t="n"/>
      <c r="D5759" s="7" t="n"/>
      <c r="E5759" s="7" t="n"/>
      <c r="F5759" s="7" t="n"/>
      <c r="G5759" s="7" t="n"/>
      <c r="H5759" s="7" t="n"/>
      <c r="I5759" s="7" t="n"/>
      <c r="J5759" s="7" t="n"/>
      <c r="K5759">
        <f>IF(D5759="Legitimate Interest (GDPR Art. 6(1)(f))", "Yes / Required (Sheet 3)", "")</f>
        <v/>
      </c>
      <c r="L5759" s="7" t="n"/>
      <c r="M5759" s="7" t="n"/>
      <c r="N5759">
        <f>IF(D5759="", "Gap - No Legal Basis", IF(AND(D5759="Consent (GDPR Art. 6(1)(a))", I5759="Not Captured"), "Gap - Invalid Consent", IF(AND(D5759="Legitimate Interest (GDPR Art. 6(1)(f))", L5759=""), "Gap - Missing LIA", IF(AND(G5759="Yes", H5759=""), "Gap - Missing Art. 9 Basis", IF(OR(I5759="Invalid - Not Freely Given", I5759="Invalid - Not Specific", I5759="Invalid - Not Informed", I5759="Invalid - Ambiguous"), "Gap - Invalid Consent", "Compliant")))))</f>
        <v/>
      </c>
      <c r="O5759" s="7" t="n"/>
    </row>
    <row r="5760">
      <c r="A5760" s="7" t="n"/>
      <c r="B5760" s="7" t="n"/>
      <c r="C5760" s="7" t="n"/>
      <c r="D5760" s="7" t="n"/>
      <c r="E5760" s="7" t="n"/>
      <c r="F5760" s="7" t="n"/>
      <c r="G5760" s="7" t="n"/>
      <c r="H5760" s="7" t="n"/>
      <c r="I5760" s="7" t="n"/>
      <c r="J5760" s="7" t="n"/>
      <c r="K5760">
        <f>IF(D5760="Legitimate Interest (GDPR Art. 6(1)(f))", "Yes / Required (Sheet 3)", "")</f>
        <v/>
      </c>
      <c r="L5760" s="7" t="n"/>
      <c r="M5760" s="7" t="n"/>
      <c r="N5760">
        <f>IF(D5760="", "Gap - No Legal Basis", IF(AND(D5760="Consent (GDPR Art. 6(1)(a))", I5760="Not Captured"), "Gap - Invalid Consent", IF(AND(D5760="Legitimate Interest (GDPR Art. 6(1)(f))", L5760=""), "Gap - Missing LIA", IF(AND(G5760="Yes", H5760=""), "Gap - Missing Art. 9 Basis", IF(OR(I5760="Invalid - Not Freely Given", I5760="Invalid - Not Specific", I5760="Invalid - Not Informed", I5760="Invalid - Ambiguous"), "Gap - Invalid Consent", "Compliant")))))</f>
        <v/>
      </c>
      <c r="O5760" s="7" t="n"/>
    </row>
    <row r="5761">
      <c r="A5761" s="7" t="n"/>
      <c r="B5761" s="7" t="n"/>
      <c r="C5761" s="7" t="n"/>
      <c r="D5761" s="7" t="n"/>
      <c r="E5761" s="7" t="n"/>
      <c r="F5761" s="7" t="n"/>
      <c r="G5761" s="7" t="n"/>
      <c r="H5761" s="7" t="n"/>
      <c r="I5761" s="7" t="n"/>
      <c r="J5761" s="7" t="n"/>
      <c r="K5761">
        <f>IF(D5761="Legitimate Interest (GDPR Art. 6(1)(f))", "Yes / Required (Sheet 3)", "")</f>
        <v/>
      </c>
      <c r="L5761" s="7" t="n"/>
      <c r="M5761" s="7" t="n"/>
      <c r="N5761">
        <f>IF(D5761="", "Gap - No Legal Basis", IF(AND(D5761="Consent (GDPR Art. 6(1)(a))", I5761="Not Captured"), "Gap - Invalid Consent", IF(AND(D5761="Legitimate Interest (GDPR Art. 6(1)(f))", L5761=""), "Gap - Missing LIA", IF(AND(G5761="Yes", H5761=""), "Gap - Missing Art. 9 Basis", IF(OR(I5761="Invalid - Not Freely Given", I5761="Invalid - Not Specific", I5761="Invalid - Not Informed", I5761="Invalid - Ambiguous"), "Gap - Invalid Consent", "Compliant")))))</f>
        <v/>
      </c>
      <c r="O5761" s="7" t="n"/>
    </row>
    <row r="5762">
      <c r="A5762" s="7" t="n"/>
      <c r="B5762" s="7" t="n"/>
      <c r="C5762" s="7" t="n"/>
      <c r="D5762" s="7" t="n"/>
      <c r="E5762" s="7" t="n"/>
      <c r="F5762" s="7" t="n"/>
      <c r="G5762" s="7" t="n"/>
      <c r="H5762" s="7" t="n"/>
      <c r="I5762" s="7" t="n"/>
      <c r="J5762" s="7" t="n"/>
      <c r="K5762">
        <f>IF(D5762="Legitimate Interest (GDPR Art. 6(1)(f))", "Yes / Required (Sheet 3)", "")</f>
        <v/>
      </c>
      <c r="L5762" s="7" t="n"/>
      <c r="M5762" s="7" t="n"/>
      <c r="N5762">
        <f>IF(D5762="", "Gap - No Legal Basis", IF(AND(D5762="Consent (GDPR Art. 6(1)(a))", I5762="Not Captured"), "Gap - Invalid Consent", IF(AND(D5762="Legitimate Interest (GDPR Art. 6(1)(f))", L5762=""), "Gap - Missing LIA", IF(AND(G5762="Yes", H5762=""), "Gap - Missing Art. 9 Basis", IF(OR(I5762="Invalid - Not Freely Given", I5762="Invalid - Not Specific", I5762="Invalid - Not Informed", I5762="Invalid - Ambiguous"), "Gap - Invalid Consent", "Compliant")))))</f>
        <v/>
      </c>
      <c r="O5762" s="7" t="n"/>
    </row>
    <row r="5763">
      <c r="A5763" s="7" t="n"/>
      <c r="B5763" s="7" t="n"/>
      <c r="C5763" s="7" t="n"/>
      <c r="D5763" s="7" t="n"/>
      <c r="E5763" s="7" t="n"/>
      <c r="F5763" s="7" t="n"/>
      <c r="G5763" s="7" t="n"/>
      <c r="H5763" s="7" t="n"/>
      <c r="I5763" s="7" t="n"/>
      <c r="J5763" s="7" t="n"/>
      <c r="K5763">
        <f>IF(D5763="Legitimate Interest (GDPR Art. 6(1)(f))", "Yes / Required (Sheet 3)", "")</f>
        <v/>
      </c>
      <c r="L5763" s="7" t="n"/>
      <c r="M5763" s="7" t="n"/>
      <c r="N5763">
        <f>IF(D5763="", "Gap - No Legal Basis", IF(AND(D5763="Consent (GDPR Art. 6(1)(a))", I5763="Not Captured"), "Gap - Invalid Consent", IF(AND(D5763="Legitimate Interest (GDPR Art. 6(1)(f))", L5763=""), "Gap - Missing LIA", IF(AND(G5763="Yes", H5763=""), "Gap - Missing Art. 9 Basis", IF(OR(I5763="Invalid - Not Freely Given", I5763="Invalid - Not Specific", I5763="Invalid - Not Informed", I5763="Invalid - Ambiguous"), "Gap - Invalid Consent", "Compliant")))))</f>
        <v/>
      </c>
      <c r="O5763" s="7" t="n"/>
    </row>
    <row r="5764">
      <c r="A5764" s="7" t="n"/>
      <c r="B5764" s="7" t="n"/>
      <c r="C5764" s="7" t="n"/>
      <c r="D5764" s="7" t="n"/>
      <c r="E5764" s="7" t="n"/>
      <c r="F5764" s="7" t="n"/>
      <c r="G5764" s="7" t="n"/>
      <c r="H5764" s="7" t="n"/>
      <c r="I5764" s="7" t="n"/>
      <c r="J5764" s="7" t="n"/>
      <c r="K5764">
        <f>IF(D5764="Legitimate Interest (GDPR Art. 6(1)(f))", "Yes / Required (Sheet 3)", "")</f>
        <v/>
      </c>
      <c r="L5764" s="7" t="n"/>
      <c r="M5764" s="7" t="n"/>
      <c r="N5764">
        <f>IF(D5764="", "Gap - No Legal Basis", IF(AND(D5764="Consent (GDPR Art. 6(1)(a))", I5764="Not Captured"), "Gap - Invalid Consent", IF(AND(D5764="Legitimate Interest (GDPR Art. 6(1)(f))", L5764=""), "Gap - Missing LIA", IF(AND(G5764="Yes", H5764=""), "Gap - Missing Art. 9 Basis", IF(OR(I5764="Invalid - Not Freely Given", I5764="Invalid - Not Specific", I5764="Invalid - Not Informed", I5764="Invalid - Ambiguous"), "Gap - Invalid Consent", "Compliant")))))</f>
        <v/>
      </c>
      <c r="O5764" s="7" t="n"/>
    </row>
    <row r="5765">
      <c r="A5765" s="7" t="n"/>
      <c r="B5765" s="7" t="n"/>
      <c r="C5765" s="7" t="n"/>
      <c r="D5765" s="7" t="n"/>
      <c r="E5765" s="7" t="n"/>
      <c r="F5765" s="7" t="n"/>
      <c r="G5765" s="7" t="n"/>
      <c r="H5765" s="7" t="n"/>
      <c r="I5765" s="7" t="n"/>
      <c r="J5765" s="7" t="n"/>
      <c r="K5765">
        <f>IF(D5765="Legitimate Interest (GDPR Art. 6(1)(f))", "Yes / Required (Sheet 3)", "")</f>
        <v/>
      </c>
      <c r="L5765" s="7" t="n"/>
      <c r="M5765" s="7" t="n"/>
      <c r="N5765">
        <f>IF(D5765="", "Gap - No Legal Basis", IF(AND(D5765="Consent (GDPR Art. 6(1)(a))", I5765="Not Captured"), "Gap - Invalid Consent", IF(AND(D5765="Legitimate Interest (GDPR Art. 6(1)(f))", L5765=""), "Gap - Missing LIA", IF(AND(G5765="Yes", H5765=""), "Gap - Missing Art. 9 Basis", IF(OR(I5765="Invalid - Not Freely Given", I5765="Invalid - Not Specific", I5765="Invalid - Not Informed", I5765="Invalid - Ambiguous"), "Gap - Invalid Consent", "Compliant")))))</f>
        <v/>
      </c>
      <c r="O5765" s="7" t="n"/>
    </row>
    <row r="5766">
      <c r="A5766" s="7" t="n"/>
      <c r="B5766" s="7" t="n"/>
      <c r="C5766" s="7" t="n"/>
      <c r="D5766" s="7" t="n"/>
      <c r="E5766" s="7" t="n"/>
      <c r="F5766" s="7" t="n"/>
      <c r="G5766" s="7" t="n"/>
      <c r="H5766" s="7" t="n"/>
      <c r="I5766" s="7" t="n"/>
      <c r="J5766" s="7" t="n"/>
      <c r="K5766">
        <f>IF(D5766="Legitimate Interest (GDPR Art. 6(1)(f))", "Yes / Required (Sheet 3)", "")</f>
        <v/>
      </c>
      <c r="L5766" s="7" t="n"/>
      <c r="M5766" s="7" t="n"/>
      <c r="N5766">
        <f>IF(D5766="", "Gap - No Legal Basis", IF(AND(D5766="Consent (GDPR Art. 6(1)(a))", I5766="Not Captured"), "Gap - Invalid Consent", IF(AND(D5766="Legitimate Interest (GDPR Art. 6(1)(f))", L5766=""), "Gap - Missing LIA", IF(AND(G5766="Yes", H5766=""), "Gap - Missing Art. 9 Basis", IF(OR(I5766="Invalid - Not Freely Given", I5766="Invalid - Not Specific", I5766="Invalid - Not Informed", I5766="Invalid - Ambiguous"), "Gap - Invalid Consent", "Compliant")))))</f>
        <v/>
      </c>
      <c r="O5766" s="7" t="n"/>
    </row>
    <row r="5767">
      <c r="A5767" s="7" t="n"/>
      <c r="B5767" s="7" t="n"/>
      <c r="C5767" s="7" t="n"/>
      <c r="D5767" s="7" t="n"/>
      <c r="E5767" s="7" t="n"/>
      <c r="F5767" s="7" t="n"/>
      <c r="G5767" s="7" t="n"/>
      <c r="H5767" s="7" t="n"/>
      <c r="I5767" s="7" t="n"/>
      <c r="J5767" s="7" t="n"/>
      <c r="K5767">
        <f>IF(D5767="Legitimate Interest (GDPR Art. 6(1)(f))", "Yes / Required (Sheet 3)", "")</f>
        <v/>
      </c>
      <c r="L5767" s="7" t="n"/>
      <c r="M5767" s="7" t="n"/>
      <c r="N5767">
        <f>IF(D5767="", "Gap - No Legal Basis", IF(AND(D5767="Consent (GDPR Art. 6(1)(a))", I5767="Not Captured"), "Gap - Invalid Consent", IF(AND(D5767="Legitimate Interest (GDPR Art. 6(1)(f))", L5767=""), "Gap - Missing LIA", IF(AND(G5767="Yes", H5767=""), "Gap - Missing Art. 9 Basis", IF(OR(I5767="Invalid - Not Freely Given", I5767="Invalid - Not Specific", I5767="Invalid - Not Informed", I5767="Invalid - Ambiguous"), "Gap - Invalid Consent", "Compliant")))))</f>
        <v/>
      </c>
      <c r="O5767" s="7" t="n"/>
    </row>
    <row r="5768">
      <c r="A5768" s="7" t="n"/>
      <c r="B5768" s="7" t="n"/>
      <c r="C5768" s="7" t="n"/>
      <c r="D5768" s="7" t="n"/>
      <c r="E5768" s="7" t="n"/>
      <c r="F5768" s="7" t="n"/>
      <c r="G5768" s="7" t="n"/>
      <c r="H5768" s="7" t="n"/>
      <c r="I5768" s="7" t="n"/>
      <c r="J5768" s="7" t="n"/>
      <c r="K5768">
        <f>IF(D5768="Legitimate Interest (GDPR Art. 6(1)(f))", "Yes / Required (Sheet 3)", "")</f>
        <v/>
      </c>
      <c r="L5768" s="7" t="n"/>
      <c r="M5768" s="7" t="n"/>
      <c r="N5768">
        <f>IF(D5768="", "Gap - No Legal Basis", IF(AND(D5768="Consent (GDPR Art. 6(1)(a))", I5768="Not Captured"), "Gap - Invalid Consent", IF(AND(D5768="Legitimate Interest (GDPR Art. 6(1)(f))", L5768=""), "Gap - Missing LIA", IF(AND(G5768="Yes", H5768=""), "Gap - Missing Art. 9 Basis", IF(OR(I5768="Invalid - Not Freely Given", I5768="Invalid - Not Specific", I5768="Invalid - Not Informed", I5768="Invalid - Ambiguous"), "Gap - Invalid Consent", "Compliant")))))</f>
        <v/>
      </c>
      <c r="O5768" s="7" t="n"/>
    </row>
    <row r="5769">
      <c r="A5769" s="7" t="n"/>
      <c r="B5769" s="7" t="n"/>
      <c r="C5769" s="7" t="n"/>
      <c r="D5769" s="7" t="n"/>
      <c r="E5769" s="7" t="n"/>
      <c r="F5769" s="7" t="n"/>
      <c r="G5769" s="7" t="n"/>
      <c r="H5769" s="7" t="n"/>
      <c r="I5769" s="7" t="n"/>
      <c r="J5769" s="7" t="n"/>
      <c r="K5769">
        <f>IF(D5769="Legitimate Interest (GDPR Art. 6(1)(f))", "Yes / Required (Sheet 3)", "")</f>
        <v/>
      </c>
      <c r="L5769" s="7" t="n"/>
      <c r="M5769" s="7" t="n"/>
      <c r="N5769">
        <f>IF(D5769="", "Gap - No Legal Basis", IF(AND(D5769="Consent (GDPR Art. 6(1)(a))", I5769="Not Captured"), "Gap - Invalid Consent", IF(AND(D5769="Legitimate Interest (GDPR Art. 6(1)(f))", L5769=""), "Gap - Missing LIA", IF(AND(G5769="Yes", H5769=""), "Gap - Missing Art. 9 Basis", IF(OR(I5769="Invalid - Not Freely Given", I5769="Invalid - Not Specific", I5769="Invalid - Not Informed", I5769="Invalid - Ambiguous"), "Gap - Invalid Consent", "Compliant")))))</f>
        <v/>
      </c>
      <c r="O5769" s="7" t="n"/>
    </row>
    <row r="5770">
      <c r="A5770" s="7" t="n"/>
      <c r="B5770" s="7" t="n"/>
      <c r="C5770" s="7" t="n"/>
      <c r="D5770" s="7" t="n"/>
      <c r="E5770" s="7" t="n"/>
      <c r="F5770" s="7" t="n"/>
      <c r="G5770" s="7" t="n"/>
      <c r="H5770" s="7" t="n"/>
      <c r="I5770" s="7" t="n"/>
      <c r="J5770" s="7" t="n"/>
      <c r="K5770">
        <f>IF(D5770="Legitimate Interest (GDPR Art. 6(1)(f))", "Yes / Required (Sheet 3)", "")</f>
        <v/>
      </c>
      <c r="L5770" s="7" t="n"/>
      <c r="M5770" s="7" t="n"/>
      <c r="N5770">
        <f>IF(D5770="", "Gap - No Legal Basis", IF(AND(D5770="Consent (GDPR Art. 6(1)(a))", I5770="Not Captured"), "Gap - Invalid Consent", IF(AND(D5770="Legitimate Interest (GDPR Art. 6(1)(f))", L5770=""), "Gap - Missing LIA", IF(AND(G5770="Yes", H5770=""), "Gap - Missing Art. 9 Basis", IF(OR(I5770="Invalid - Not Freely Given", I5770="Invalid - Not Specific", I5770="Invalid - Not Informed", I5770="Invalid - Ambiguous"), "Gap - Invalid Consent", "Compliant")))))</f>
        <v/>
      </c>
      <c r="O5770" s="7" t="n"/>
    </row>
    <row r="5771">
      <c r="A5771" s="7" t="n"/>
      <c r="B5771" s="7" t="n"/>
      <c r="C5771" s="7" t="n"/>
      <c r="D5771" s="7" t="n"/>
      <c r="E5771" s="7" t="n"/>
      <c r="F5771" s="7" t="n"/>
      <c r="G5771" s="7" t="n"/>
      <c r="H5771" s="7" t="n"/>
      <c r="I5771" s="7" t="n"/>
      <c r="J5771" s="7" t="n"/>
      <c r="K5771">
        <f>IF(D5771="Legitimate Interest (GDPR Art. 6(1)(f))", "Yes / Required (Sheet 3)", "")</f>
        <v/>
      </c>
      <c r="L5771" s="7" t="n"/>
      <c r="M5771" s="7" t="n"/>
      <c r="N5771">
        <f>IF(D5771="", "Gap - No Legal Basis", IF(AND(D5771="Consent (GDPR Art. 6(1)(a))", I5771="Not Captured"), "Gap - Invalid Consent", IF(AND(D5771="Legitimate Interest (GDPR Art. 6(1)(f))", L5771=""), "Gap - Missing LIA", IF(AND(G5771="Yes", H5771=""), "Gap - Missing Art. 9 Basis", IF(OR(I5771="Invalid - Not Freely Given", I5771="Invalid - Not Specific", I5771="Invalid - Not Informed", I5771="Invalid - Ambiguous"), "Gap - Invalid Consent", "Compliant")))))</f>
        <v/>
      </c>
      <c r="O5771" s="7" t="n"/>
    </row>
    <row r="5772">
      <c r="A5772" s="7" t="n"/>
      <c r="B5772" s="7" t="n"/>
      <c r="C5772" s="7" t="n"/>
      <c r="D5772" s="7" t="n"/>
      <c r="E5772" s="7" t="n"/>
      <c r="F5772" s="7" t="n"/>
      <c r="G5772" s="7" t="n"/>
      <c r="H5772" s="7" t="n"/>
      <c r="I5772" s="7" t="n"/>
      <c r="J5772" s="7" t="n"/>
      <c r="K5772">
        <f>IF(D5772="Legitimate Interest (GDPR Art. 6(1)(f))", "Yes / Required (Sheet 3)", "")</f>
        <v/>
      </c>
      <c r="L5772" s="7" t="n"/>
      <c r="M5772" s="7" t="n"/>
      <c r="N5772">
        <f>IF(D5772="", "Gap - No Legal Basis", IF(AND(D5772="Consent (GDPR Art. 6(1)(a))", I5772="Not Captured"), "Gap - Invalid Consent", IF(AND(D5772="Legitimate Interest (GDPR Art. 6(1)(f))", L5772=""), "Gap - Missing LIA", IF(AND(G5772="Yes", H5772=""), "Gap - Missing Art. 9 Basis", IF(OR(I5772="Invalid - Not Freely Given", I5772="Invalid - Not Specific", I5772="Invalid - Not Informed", I5772="Invalid - Ambiguous"), "Gap - Invalid Consent", "Compliant")))))</f>
        <v/>
      </c>
      <c r="O5772" s="7" t="n"/>
    </row>
    <row r="5773">
      <c r="A5773" s="7" t="n"/>
      <c r="B5773" s="7" t="n"/>
      <c r="C5773" s="7" t="n"/>
      <c r="D5773" s="7" t="n"/>
      <c r="E5773" s="7" t="n"/>
      <c r="F5773" s="7" t="n"/>
      <c r="G5773" s="7" t="n"/>
      <c r="H5773" s="7" t="n"/>
      <c r="I5773" s="7" t="n"/>
      <c r="J5773" s="7" t="n"/>
      <c r="K5773">
        <f>IF(D5773="Legitimate Interest (GDPR Art. 6(1)(f))", "Yes / Required (Sheet 3)", "")</f>
        <v/>
      </c>
      <c r="L5773" s="7" t="n"/>
      <c r="M5773" s="7" t="n"/>
      <c r="N5773">
        <f>IF(D5773="", "Gap - No Legal Basis", IF(AND(D5773="Consent (GDPR Art. 6(1)(a))", I5773="Not Captured"), "Gap - Invalid Consent", IF(AND(D5773="Legitimate Interest (GDPR Art. 6(1)(f))", L5773=""), "Gap - Missing LIA", IF(AND(G5773="Yes", H5773=""), "Gap - Missing Art. 9 Basis", IF(OR(I5773="Invalid - Not Freely Given", I5773="Invalid - Not Specific", I5773="Invalid - Not Informed", I5773="Invalid - Ambiguous"), "Gap - Invalid Consent", "Compliant")))))</f>
        <v/>
      </c>
      <c r="O5773" s="7" t="n"/>
    </row>
    <row r="5774">
      <c r="A5774" s="7" t="n"/>
      <c r="B5774" s="7" t="n"/>
      <c r="C5774" s="7" t="n"/>
      <c r="D5774" s="7" t="n"/>
      <c r="E5774" s="7" t="n"/>
      <c r="F5774" s="7" t="n"/>
      <c r="G5774" s="7" t="n"/>
      <c r="H5774" s="7" t="n"/>
      <c r="I5774" s="7" t="n"/>
      <c r="J5774" s="7" t="n"/>
      <c r="K5774">
        <f>IF(D5774="Legitimate Interest (GDPR Art. 6(1)(f))", "Yes / Required (Sheet 3)", "")</f>
        <v/>
      </c>
      <c r="L5774" s="7" t="n"/>
      <c r="M5774" s="7" t="n"/>
      <c r="N5774">
        <f>IF(D5774="", "Gap - No Legal Basis", IF(AND(D5774="Consent (GDPR Art. 6(1)(a))", I5774="Not Captured"), "Gap - Invalid Consent", IF(AND(D5774="Legitimate Interest (GDPR Art. 6(1)(f))", L5774=""), "Gap - Missing LIA", IF(AND(G5774="Yes", H5774=""), "Gap - Missing Art. 9 Basis", IF(OR(I5774="Invalid - Not Freely Given", I5774="Invalid - Not Specific", I5774="Invalid - Not Informed", I5774="Invalid - Ambiguous"), "Gap - Invalid Consent", "Compliant")))))</f>
        <v/>
      </c>
      <c r="O5774" s="7" t="n"/>
    </row>
    <row r="5775">
      <c r="A5775" s="7" t="n"/>
      <c r="B5775" s="7" t="n"/>
      <c r="C5775" s="7" t="n"/>
      <c r="D5775" s="7" t="n"/>
      <c r="E5775" s="7" t="n"/>
      <c r="F5775" s="7" t="n"/>
      <c r="G5775" s="7" t="n"/>
      <c r="H5775" s="7" t="n"/>
      <c r="I5775" s="7" t="n"/>
      <c r="J5775" s="7" t="n"/>
      <c r="K5775">
        <f>IF(D5775="Legitimate Interest (GDPR Art. 6(1)(f))", "Yes / Required (Sheet 3)", "")</f>
        <v/>
      </c>
      <c r="L5775" s="7" t="n"/>
      <c r="M5775" s="7" t="n"/>
      <c r="N5775">
        <f>IF(D5775="", "Gap - No Legal Basis", IF(AND(D5775="Consent (GDPR Art. 6(1)(a))", I5775="Not Captured"), "Gap - Invalid Consent", IF(AND(D5775="Legitimate Interest (GDPR Art. 6(1)(f))", L5775=""), "Gap - Missing LIA", IF(AND(G5775="Yes", H5775=""), "Gap - Missing Art. 9 Basis", IF(OR(I5775="Invalid - Not Freely Given", I5775="Invalid - Not Specific", I5775="Invalid - Not Informed", I5775="Invalid - Ambiguous"), "Gap - Invalid Consent", "Compliant")))))</f>
        <v/>
      </c>
      <c r="O5775" s="7" t="n"/>
    </row>
    <row r="5776">
      <c r="A5776" s="7" t="n"/>
      <c r="B5776" s="7" t="n"/>
      <c r="C5776" s="7" t="n"/>
      <c r="D5776" s="7" t="n"/>
      <c r="E5776" s="7" t="n"/>
      <c r="F5776" s="7" t="n"/>
      <c r="G5776" s="7" t="n"/>
      <c r="H5776" s="7" t="n"/>
      <c r="I5776" s="7" t="n"/>
      <c r="J5776" s="7" t="n"/>
      <c r="K5776">
        <f>IF(D5776="Legitimate Interest (GDPR Art. 6(1)(f))", "Yes / Required (Sheet 3)", "")</f>
        <v/>
      </c>
      <c r="L5776" s="7" t="n"/>
      <c r="M5776" s="7" t="n"/>
      <c r="N5776">
        <f>IF(D5776="", "Gap - No Legal Basis", IF(AND(D5776="Consent (GDPR Art. 6(1)(a))", I5776="Not Captured"), "Gap - Invalid Consent", IF(AND(D5776="Legitimate Interest (GDPR Art. 6(1)(f))", L5776=""), "Gap - Missing LIA", IF(AND(G5776="Yes", H5776=""), "Gap - Missing Art. 9 Basis", IF(OR(I5776="Invalid - Not Freely Given", I5776="Invalid - Not Specific", I5776="Invalid - Not Informed", I5776="Invalid - Ambiguous"), "Gap - Invalid Consent", "Compliant")))))</f>
        <v/>
      </c>
      <c r="O5776" s="7" t="n"/>
    </row>
    <row r="5777">
      <c r="A5777" s="7" t="n"/>
      <c r="B5777" s="7" t="n"/>
      <c r="C5777" s="7" t="n"/>
      <c r="D5777" s="7" t="n"/>
      <c r="E5777" s="7" t="n"/>
      <c r="F5777" s="7" t="n"/>
      <c r="G5777" s="7" t="n"/>
      <c r="H5777" s="7" t="n"/>
      <c r="I5777" s="7" t="n"/>
      <c r="J5777" s="7" t="n"/>
      <c r="K5777">
        <f>IF(D5777="Legitimate Interest (GDPR Art. 6(1)(f))", "Yes / Required (Sheet 3)", "")</f>
        <v/>
      </c>
      <c r="L5777" s="7" t="n"/>
      <c r="M5777" s="7" t="n"/>
      <c r="N5777">
        <f>IF(D5777="", "Gap - No Legal Basis", IF(AND(D5777="Consent (GDPR Art. 6(1)(a))", I5777="Not Captured"), "Gap - Invalid Consent", IF(AND(D5777="Legitimate Interest (GDPR Art. 6(1)(f))", L5777=""), "Gap - Missing LIA", IF(AND(G5777="Yes", H5777=""), "Gap - Missing Art. 9 Basis", IF(OR(I5777="Invalid - Not Freely Given", I5777="Invalid - Not Specific", I5777="Invalid - Not Informed", I5777="Invalid - Ambiguous"), "Gap - Invalid Consent", "Compliant")))))</f>
        <v/>
      </c>
      <c r="O5777" s="7" t="n"/>
    </row>
    <row r="5778">
      <c r="A5778" s="7" t="n"/>
      <c r="B5778" s="7" t="n"/>
      <c r="C5778" s="7" t="n"/>
      <c r="D5778" s="7" t="n"/>
      <c r="E5778" s="7" t="n"/>
      <c r="F5778" s="7" t="n"/>
      <c r="G5778" s="7" t="n"/>
      <c r="H5778" s="7" t="n"/>
      <c r="I5778" s="7" t="n"/>
      <c r="J5778" s="7" t="n"/>
      <c r="K5778">
        <f>IF(D5778="Legitimate Interest (GDPR Art. 6(1)(f))", "Yes / Required (Sheet 3)", "")</f>
        <v/>
      </c>
      <c r="L5778" s="7" t="n"/>
      <c r="M5778" s="7" t="n"/>
      <c r="N5778">
        <f>IF(D5778="", "Gap - No Legal Basis", IF(AND(D5778="Consent (GDPR Art. 6(1)(a))", I5778="Not Captured"), "Gap - Invalid Consent", IF(AND(D5778="Legitimate Interest (GDPR Art. 6(1)(f))", L5778=""), "Gap - Missing LIA", IF(AND(G5778="Yes", H5778=""), "Gap - Missing Art. 9 Basis", IF(OR(I5778="Invalid - Not Freely Given", I5778="Invalid - Not Specific", I5778="Invalid - Not Informed", I5778="Invalid - Ambiguous"), "Gap - Invalid Consent", "Compliant")))))</f>
        <v/>
      </c>
      <c r="O5778" s="7" t="n"/>
    </row>
    <row r="5779">
      <c r="A5779" s="7" t="n"/>
      <c r="B5779" s="7" t="n"/>
      <c r="C5779" s="7" t="n"/>
      <c r="D5779" s="7" t="n"/>
      <c r="E5779" s="7" t="n"/>
      <c r="F5779" s="7" t="n"/>
      <c r="G5779" s="7" t="n"/>
      <c r="H5779" s="7" t="n"/>
      <c r="I5779" s="7" t="n"/>
      <c r="J5779" s="7" t="n"/>
      <c r="K5779">
        <f>IF(D5779="Legitimate Interest (GDPR Art. 6(1)(f))", "Yes / Required (Sheet 3)", "")</f>
        <v/>
      </c>
      <c r="L5779" s="7" t="n"/>
      <c r="M5779" s="7" t="n"/>
      <c r="N5779">
        <f>IF(D5779="", "Gap - No Legal Basis", IF(AND(D5779="Consent (GDPR Art. 6(1)(a))", I5779="Not Captured"), "Gap - Invalid Consent", IF(AND(D5779="Legitimate Interest (GDPR Art. 6(1)(f))", L5779=""), "Gap - Missing LIA", IF(AND(G5779="Yes", H5779=""), "Gap - Missing Art. 9 Basis", IF(OR(I5779="Invalid - Not Freely Given", I5779="Invalid - Not Specific", I5779="Invalid - Not Informed", I5779="Invalid - Ambiguous"), "Gap - Invalid Consent", "Compliant")))))</f>
        <v/>
      </c>
      <c r="O5779" s="7" t="n"/>
    </row>
    <row r="5780">
      <c r="A5780" s="7" t="n"/>
      <c r="B5780" s="7" t="n"/>
      <c r="C5780" s="7" t="n"/>
      <c r="D5780" s="7" t="n"/>
      <c r="E5780" s="7" t="n"/>
      <c r="F5780" s="7" t="n"/>
      <c r="G5780" s="7" t="n"/>
      <c r="H5780" s="7" t="n"/>
      <c r="I5780" s="7" t="n"/>
      <c r="J5780" s="7" t="n"/>
      <c r="K5780">
        <f>IF(D5780="Legitimate Interest (GDPR Art. 6(1)(f))", "Yes / Required (Sheet 3)", "")</f>
        <v/>
      </c>
      <c r="L5780" s="7" t="n"/>
      <c r="M5780" s="7" t="n"/>
      <c r="N5780">
        <f>IF(D5780="", "Gap - No Legal Basis", IF(AND(D5780="Consent (GDPR Art. 6(1)(a))", I5780="Not Captured"), "Gap - Invalid Consent", IF(AND(D5780="Legitimate Interest (GDPR Art. 6(1)(f))", L5780=""), "Gap - Missing LIA", IF(AND(G5780="Yes", H5780=""), "Gap - Missing Art. 9 Basis", IF(OR(I5780="Invalid - Not Freely Given", I5780="Invalid - Not Specific", I5780="Invalid - Not Informed", I5780="Invalid - Ambiguous"), "Gap - Invalid Consent", "Compliant")))))</f>
        <v/>
      </c>
      <c r="O5780" s="7" t="n"/>
    </row>
    <row r="5781">
      <c r="A5781" s="7" t="n"/>
      <c r="B5781" s="7" t="n"/>
      <c r="C5781" s="7" t="n"/>
      <c r="D5781" s="7" t="n"/>
      <c r="E5781" s="7" t="n"/>
      <c r="F5781" s="7" t="n"/>
      <c r="G5781" s="7" t="n"/>
      <c r="H5781" s="7" t="n"/>
      <c r="I5781" s="7" t="n"/>
      <c r="J5781" s="7" t="n"/>
      <c r="K5781">
        <f>IF(D5781="Legitimate Interest (GDPR Art. 6(1)(f))", "Yes / Required (Sheet 3)", "")</f>
        <v/>
      </c>
      <c r="L5781" s="7" t="n"/>
      <c r="M5781" s="7" t="n"/>
      <c r="N5781">
        <f>IF(D5781="", "Gap - No Legal Basis", IF(AND(D5781="Consent (GDPR Art. 6(1)(a))", I5781="Not Captured"), "Gap - Invalid Consent", IF(AND(D5781="Legitimate Interest (GDPR Art. 6(1)(f))", L5781=""), "Gap - Missing LIA", IF(AND(G5781="Yes", H5781=""), "Gap - Missing Art. 9 Basis", IF(OR(I5781="Invalid - Not Freely Given", I5781="Invalid - Not Specific", I5781="Invalid - Not Informed", I5781="Invalid - Ambiguous"), "Gap - Invalid Consent", "Compliant")))))</f>
        <v/>
      </c>
      <c r="O5781" s="7" t="n"/>
    </row>
    <row r="5782">
      <c r="A5782" s="7" t="n"/>
      <c r="B5782" s="7" t="n"/>
      <c r="C5782" s="7" t="n"/>
      <c r="D5782" s="7" t="n"/>
      <c r="E5782" s="7" t="n"/>
      <c r="F5782" s="7" t="n"/>
      <c r="G5782" s="7" t="n"/>
      <c r="H5782" s="7" t="n"/>
      <c r="I5782" s="7" t="n"/>
      <c r="J5782" s="7" t="n"/>
      <c r="K5782">
        <f>IF(D5782="Legitimate Interest (GDPR Art. 6(1)(f))", "Yes / Required (Sheet 3)", "")</f>
        <v/>
      </c>
      <c r="L5782" s="7" t="n"/>
      <c r="M5782" s="7" t="n"/>
      <c r="N5782">
        <f>IF(D5782="", "Gap - No Legal Basis", IF(AND(D5782="Consent (GDPR Art. 6(1)(a))", I5782="Not Captured"), "Gap - Invalid Consent", IF(AND(D5782="Legitimate Interest (GDPR Art. 6(1)(f))", L5782=""), "Gap - Missing LIA", IF(AND(G5782="Yes", H5782=""), "Gap - Missing Art. 9 Basis", IF(OR(I5782="Invalid - Not Freely Given", I5782="Invalid - Not Specific", I5782="Invalid - Not Informed", I5782="Invalid - Ambiguous"), "Gap - Invalid Consent", "Compliant")))))</f>
        <v/>
      </c>
      <c r="O5782" s="7" t="n"/>
    </row>
    <row r="5783">
      <c r="A5783" s="7" t="n"/>
      <c r="B5783" s="7" t="n"/>
      <c r="C5783" s="7" t="n"/>
      <c r="D5783" s="7" t="n"/>
      <c r="E5783" s="7" t="n"/>
      <c r="F5783" s="7" t="n"/>
      <c r="G5783" s="7" t="n"/>
      <c r="H5783" s="7" t="n"/>
      <c r="I5783" s="7" t="n"/>
      <c r="J5783" s="7" t="n"/>
      <c r="K5783">
        <f>IF(D5783="Legitimate Interest (GDPR Art. 6(1)(f))", "Yes / Required (Sheet 3)", "")</f>
        <v/>
      </c>
      <c r="L5783" s="7" t="n"/>
      <c r="M5783" s="7" t="n"/>
      <c r="N5783">
        <f>IF(D5783="", "Gap - No Legal Basis", IF(AND(D5783="Consent (GDPR Art. 6(1)(a))", I5783="Not Captured"), "Gap - Invalid Consent", IF(AND(D5783="Legitimate Interest (GDPR Art. 6(1)(f))", L5783=""), "Gap - Missing LIA", IF(AND(G5783="Yes", H5783=""), "Gap - Missing Art. 9 Basis", IF(OR(I5783="Invalid - Not Freely Given", I5783="Invalid - Not Specific", I5783="Invalid - Not Informed", I5783="Invalid - Ambiguous"), "Gap - Invalid Consent", "Compliant")))))</f>
        <v/>
      </c>
      <c r="O5783" s="7" t="n"/>
    </row>
    <row r="5784">
      <c r="A5784" s="7" t="n"/>
      <c r="B5784" s="7" t="n"/>
      <c r="C5784" s="7" t="n"/>
      <c r="D5784" s="7" t="n"/>
      <c r="E5784" s="7" t="n"/>
      <c r="F5784" s="7" t="n"/>
      <c r="G5784" s="7" t="n"/>
      <c r="H5784" s="7" t="n"/>
      <c r="I5784" s="7" t="n"/>
      <c r="J5784" s="7" t="n"/>
      <c r="K5784">
        <f>IF(D5784="Legitimate Interest (GDPR Art. 6(1)(f))", "Yes / Required (Sheet 3)", "")</f>
        <v/>
      </c>
      <c r="L5784" s="7" t="n"/>
      <c r="M5784" s="7" t="n"/>
      <c r="N5784">
        <f>IF(D5784="", "Gap - No Legal Basis", IF(AND(D5784="Consent (GDPR Art. 6(1)(a))", I5784="Not Captured"), "Gap - Invalid Consent", IF(AND(D5784="Legitimate Interest (GDPR Art. 6(1)(f))", L5784=""), "Gap - Missing LIA", IF(AND(G5784="Yes", H5784=""), "Gap - Missing Art. 9 Basis", IF(OR(I5784="Invalid - Not Freely Given", I5784="Invalid - Not Specific", I5784="Invalid - Not Informed", I5784="Invalid - Ambiguous"), "Gap - Invalid Consent", "Compliant")))))</f>
        <v/>
      </c>
      <c r="O5784" s="7" t="n"/>
    </row>
    <row r="5785">
      <c r="A5785" s="7" t="n"/>
      <c r="B5785" s="7" t="n"/>
      <c r="C5785" s="7" t="n"/>
      <c r="D5785" s="7" t="n"/>
      <c r="E5785" s="7" t="n"/>
      <c r="F5785" s="7" t="n"/>
      <c r="G5785" s="7" t="n"/>
      <c r="H5785" s="7" t="n"/>
      <c r="I5785" s="7" t="n"/>
      <c r="J5785" s="7" t="n"/>
      <c r="K5785">
        <f>IF(D5785="Legitimate Interest (GDPR Art. 6(1)(f))", "Yes / Required (Sheet 3)", "")</f>
        <v/>
      </c>
      <c r="L5785" s="7" t="n"/>
      <c r="M5785" s="7" t="n"/>
      <c r="N5785">
        <f>IF(D5785="", "Gap - No Legal Basis", IF(AND(D5785="Consent (GDPR Art. 6(1)(a))", I5785="Not Captured"), "Gap - Invalid Consent", IF(AND(D5785="Legitimate Interest (GDPR Art. 6(1)(f))", L5785=""), "Gap - Missing LIA", IF(AND(G5785="Yes", H5785=""), "Gap - Missing Art. 9 Basis", IF(OR(I5785="Invalid - Not Freely Given", I5785="Invalid - Not Specific", I5785="Invalid - Not Informed", I5785="Invalid - Ambiguous"), "Gap - Invalid Consent", "Compliant")))))</f>
        <v/>
      </c>
      <c r="O5785" s="7" t="n"/>
    </row>
    <row r="5786">
      <c r="A5786" s="7" t="n"/>
      <c r="B5786" s="7" t="n"/>
      <c r="C5786" s="7" t="n"/>
      <c r="D5786" s="7" t="n"/>
      <c r="E5786" s="7" t="n"/>
      <c r="F5786" s="7" t="n"/>
      <c r="G5786" s="7" t="n"/>
      <c r="H5786" s="7" t="n"/>
      <c r="I5786" s="7" t="n"/>
      <c r="J5786" s="7" t="n"/>
      <c r="K5786">
        <f>IF(D5786="Legitimate Interest (GDPR Art. 6(1)(f))", "Yes / Required (Sheet 3)", "")</f>
        <v/>
      </c>
      <c r="L5786" s="7" t="n"/>
      <c r="M5786" s="7" t="n"/>
      <c r="N5786">
        <f>IF(D5786="", "Gap - No Legal Basis", IF(AND(D5786="Consent (GDPR Art. 6(1)(a))", I5786="Not Captured"), "Gap - Invalid Consent", IF(AND(D5786="Legitimate Interest (GDPR Art. 6(1)(f))", L5786=""), "Gap - Missing LIA", IF(AND(G5786="Yes", H5786=""), "Gap - Missing Art. 9 Basis", IF(OR(I5786="Invalid - Not Freely Given", I5786="Invalid - Not Specific", I5786="Invalid - Not Informed", I5786="Invalid - Ambiguous"), "Gap - Invalid Consent", "Compliant")))))</f>
        <v/>
      </c>
      <c r="O5786" s="7" t="n"/>
    </row>
    <row r="5787">
      <c r="A5787" s="7" t="n"/>
      <c r="B5787" s="7" t="n"/>
      <c r="C5787" s="7" t="n"/>
      <c r="D5787" s="7" t="n"/>
      <c r="E5787" s="7" t="n"/>
      <c r="F5787" s="7" t="n"/>
      <c r="G5787" s="7" t="n"/>
      <c r="H5787" s="7" t="n"/>
      <c r="I5787" s="7" t="n"/>
      <c r="J5787" s="7" t="n"/>
      <c r="K5787">
        <f>IF(D5787="Legitimate Interest (GDPR Art. 6(1)(f))", "Yes / Required (Sheet 3)", "")</f>
        <v/>
      </c>
      <c r="L5787" s="7" t="n"/>
      <c r="M5787" s="7" t="n"/>
      <c r="N5787">
        <f>IF(D5787="", "Gap - No Legal Basis", IF(AND(D5787="Consent (GDPR Art. 6(1)(a))", I5787="Not Captured"), "Gap - Invalid Consent", IF(AND(D5787="Legitimate Interest (GDPR Art. 6(1)(f))", L5787=""), "Gap - Missing LIA", IF(AND(G5787="Yes", H5787=""), "Gap - Missing Art. 9 Basis", IF(OR(I5787="Invalid - Not Freely Given", I5787="Invalid - Not Specific", I5787="Invalid - Not Informed", I5787="Invalid - Ambiguous"), "Gap - Invalid Consent", "Compliant")))))</f>
        <v/>
      </c>
      <c r="O5787" s="7" t="n"/>
    </row>
    <row r="5788">
      <c r="A5788" s="7" t="n"/>
      <c r="B5788" s="7" t="n"/>
      <c r="C5788" s="7" t="n"/>
      <c r="D5788" s="7" t="n"/>
      <c r="E5788" s="7" t="n"/>
      <c r="F5788" s="7" t="n"/>
      <c r="G5788" s="7" t="n"/>
      <c r="H5788" s="7" t="n"/>
      <c r="I5788" s="7" t="n"/>
      <c r="J5788" s="7" t="n"/>
      <c r="K5788">
        <f>IF(D5788="Legitimate Interest (GDPR Art. 6(1)(f))", "Yes / Required (Sheet 3)", "")</f>
        <v/>
      </c>
      <c r="L5788" s="7" t="n"/>
      <c r="M5788" s="7" t="n"/>
      <c r="N5788">
        <f>IF(D5788="", "Gap - No Legal Basis", IF(AND(D5788="Consent (GDPR Art. 6(1)(a))", I5788="Not Captured"), "Gap - Invalid Consent", IF(AND(D5788="Legitimate Interest (GDPR Art. 6(1)(f))", L5788=""), "Gap - Missing LIA", IF(AND(G5788="Yes", H5788=""), "Gap - Missing Art. 9 Basis", IF(OR(I5788="Invalid - Not Freely Given", I5788="Invalid - Not Specific", I5788="Invalid - Not Informed", I5788="Invalid - Ambiguous"), "Gap - Invalid Consent", "Compliant")))))</f>
        <v/>
      </c>
      <c r="O5788" s="7" t="n"/>
    </row>
    <row r="5789">
      <c r="A5789" s="7" t="n"/>
      <c r="B5789" s="7" t="n"/>
      <c r="C5789" s="7" t="n"/>
      <c r="D5789" s="7" t="n"/>
      <c r="E5789" s="7" t="n"/>
      <c r="F5789" s="7" t="n"/>
      <c r="G5789" s="7" t="n"/>
      <c r="H5789" s="7" t="n"/>
      <c r="I5789" s="7" t="n"/>
      <c r="J5789" s="7" t="n"/>
      <c r="K5789">
        <f>IF(D5789="Legitimate Interest (GDPR Art. 6(1)(f))", "Yes / Required (Sheet 3)", "")</f>
        <v/>
      </c>
      <c r="L5789" s="7" t="n"/>
      <c r="M5789" s="7" t="n"/>
      <c r="N5789">
        <f>IF(D5789="", "Gap - No Legal Basis", IF(AND(D5789="Consent (GDPR Art. 6(1)(a))", I5789="Not Captured"), "Gap - Invalid Consent", IF(AND(D5789="Legitimate Interest (GDPR Art. 6(1)(f))", L5789=""), "Gap - Missing LIA", IF(AND(G5789="Yes", H5789=""), "Gap - Missing Art. 9 Basis", IF(OR(I5789="Invalid - Not Freely Given", I5789="Invalid - Not Specific", I5789="Invalid - Not Informed", I5789="Invalid - Ambiguous"), "Gap - Invalid Consent", "Compliant")))))</f>
        <v/>
      </c>
      <c r="O5789" s="7" t="n"/>
    </row>
    <row r="5790">
      <c r="A5790" s="7" t="n"/>
      <c r="B5790" s="7" t="n"/>
      <c r="C5790" s="7" t="n"/>
      <c r="D5790" s="7" t="n"/>
      <c r="E5790" s="7" t="n"/>
      <c r="F5790" s="7" t="n"/>
      <c r="G5790" s="7" t="n"/>
      <c r="H5790" s="7" t="n"/>
      <c r="I5790" s="7" t="n"/>
      <c r="J5790" s="7" t="n"/>
      <c r="K5790">
        <f>IF(D5790="Legitimate Interest (GDPR Art. 6(1)(f))", "Yes / Required (Sheet 3)", "")</f>
        <v/>
      </c>
      <c r="L5790" s="7" t="n"/>
      <c r="M5790" s="7" t="n"/>
      <c r="N5790">
        <f>IF(D5790="", "Gap - No Legal Basis", IF(AND(D5790="Consent (GDPR Art. 6(1)(a))", I5790="Not Captured"), "Gap - Invalid Consent", IF(AND(D5790="Legitimate Interest (GDPR Art. 6(1)(f))", L5790=""), "Gap - Missing LIA", IF(AND(G5790="Yes", H5790=""), "Gap - Missing Art. 9 Basis", IF(OR(I5790="Invalid - Not Freely Given", I5790="Invalid - Not Specific", I5790="Invalid - Not Informed", I5790="Invalid - Ambiguous"), "Gap - Invalid Consent", "Compliant")))))</f>
        <v/>
      </c>
      <c r="O5790" s="7" t="n"/>
    </row>
    <row r="5791">
      <c r="A5791" s="7" t="n"/>
      <c r="B5791" s="7" t="n"/>
      <c r="C5791" s="7" t="n"/>
      <c r="D5791" s="7" t="n"/>
      <c r="E5791" s="7" t="n"/>
      <c r="F5791" s="7" t="n"/>
      <c r="G5791" s="7" t="n"/>
      <c r="H5791" s="7" t="n"/>
      <c r="I5791" s="7" t="n"/>
      <c r="J5791" s="7" t="n"/>
      <c r="K5791">
        <f>IF(D5791="Legitimate Interest (GDPR Art. 6(1)(f))", "Yes / Required (Sheet 3)", "")</f>
        <v/>
      </c>
      <c r="L5791" s="7" t="n"/>
      <c r="M5791" s="7" t="n"/>
      <c r="N5791">
        <f>IF(D5791="", "Gap - No Legal Basis", IF(AND(D5791="Consent (GDPR Art. 6(1)(a))", I5791="Not Captured"), "Gap - Invalid Consent", IF(AND(D5791="Legitimate Interest (GDPR Art. 6(1)(f))", L5791=""), "Gap - Missing LIA", IF(AND(G5791="Yes", H5791=""), "Gap - Missing Art. 9 Basis", IF(OR(I5791="Invalid - Not Freely Given", I5791="Invalid - Not Specific", I5791="Invalid - Not Informed", I5791="Invalid - Ambiguous"), "Gap - Invalid Consent", "Compliant")))))</f>
        <v/>
      </c>
      <c r="O5791" s="7" t="n"/>
    </row>
    <row r="5792">
      <c r="A5792" s="7" t="n"/>
      <c r="B5792" s="7" t="n"/>
      <c r="C5792" s="7" t="n"/>
      <c r="D5792" s="7" t="n"/>
      <c r="E5792" s="7" t="n"/>
      <c r="F5792" s="7" t="n"/>
      <c r="G5792" s="7" t="n"/>
      <c r="H5792" s="7" t="n"/>
      <c r="I5792" s="7" t="n"/>
      <c r="J5792" s="7" t="n"/>
      <c r="K5792">
        <f>IF(D5792="Legitimate Interest (GDPR Art. 6(1)(f))", "Yes / Required (Sheet 3)", "")</f>
        <v/>
      </c>
      <c r="L5792" s="7" t="n"/>
      <c r="M5792" s="7" t="n"/>
      <c r="N5792">
        <f>IF(D5792="", "Gap - No Legal Basis", IF(AND(D5792="Consent (GDPR Art. 6(1)(a))", I5792="Not Captured"), "Gap - Invalid Consent", IF(AND(D5792="Legitimate Interest (GDPR Art. 6(1)(f))", L5792=""), "Gap - Missing LIA", IF(AND(G5792="Yes", H5792=""), "Gap - Missing Art. 9 Basis", IF(OR(I5792="Invalid - Not Freely Given", I5792="Invalid - Not Specific", I5792="Invalid - Not Informed", I5792="Invalid - Ambiguous"), "Gap - Invalid Consent", "Compliant")))))</f>
        <v/>
      </c>
      <c r="O5792" s="7" t="n"/>
    </row>
    <row r="5793">
      <c r="A5793" s="7" t="n"/>
      <c r="B5793" s="7" t="n"/>
      <c r="C5793" s="7" t="n"/>
      <c r="D5793" s="7" t="n"/>
      <c r="E5793" s="7" t="n"/>
      <c r="F5793" s="7" t="n"/>
      <c r="G5793" s="7" t="n"/>
      <c r="H5793" s="7" t="n"/>
      <c r="I5793" s="7" t="n"/>
      <c r="J5793" s="7" t="n"/>
      <c r="K5793">
        <f>IF(D5793="Legitimate Interest (GDPR Art. 6(1)(f))", "Yes / Required (Sheet 3)", "")</f>
        <v/>
      </c>
      <c r="L5793" s="7" t="n"/>
      <c r="M5793" s="7" t="n"/>
      <c r="N5793">
        <f>IF(D5793="", "Gap - No Legal Basis", IF(AND(D5793="Consent (GDPR Art. 6(1)(a))", I5793="Not Captured"), "Gap - Invalid Consent", IF(AND(D5793="Legitimate Interest (GDPR Art. 6(1)(f))", L5793=""), "Gap - Missing LIA", IF(AND(G5793="Yes", H5793=""), "Gap - Missing Art. 9 Basis", IF(OR(I5793="Invalid - Not Freely Given", I5793="Invalid - Not Specific", I5793="Invalid - Not Informed", I5793="Invalid - Ambiguous"), "Gap - Invalid Consent", "Compliant")))))</f>
        <v/>
      </c>
      <c r="O5793" s="7" t="n"/>
    </row>
    <row r="5794">
      <c r="A5794" s="7" t="n"/>
      <c r="B5794" s="7" t="n"/>
      <c r="C5794" s="7" t="n"/>
      <c r="D5794" s="7" t="n"/>
      <c r="E5794" s="7" t="n"/>
      <c r="F5794" s="7" t="n"/>
      <c r="G5794" s="7" t="n"/>
      <c r="H5794" s="7" t="n"/>
      <c r="I5794" s="7" t="n"/>
      <c r="J5794" s="7" t="n"/>
      <c r="K5794">
        <f>IF(D5794="Legitimate Interest (GDPR Art. 6(1)(f))", "Yes / Required (Sheet 3)", "")</f>
        <v/>
      </c>
      <c r="L5794" s="7" t="n"/>
      <c r="M5794" s="7" t="n"/>
      <c r="N5794">
        <f>IF(D5794="", "Gap - No Legal Basis", IF(AND(D5794="Consent (GDPR Art. 6(1)(a))", I5794="Not Captured"), "Gap - Invalid Consent", IF(AND(D5794="Legitimate Interest (GDPR Art. 6(1)(f))", L5794=""), "Gap - Missing LIA", IF(AND(G5794="Yes", H5794=""), "Gap - Missing Art. 9 Basis", IF(OR(I5794="Invalid - Not Freely Given", I5794="Invalid - Not Specific", I5794="Invalid - Not Informed", I5794="Invalid - Ambiguous"), "Gap - Invalid Consent", "Compliant")))))</f>
        <v/>
      </c>
      <c r="O5794" s="7" t="n"/>
    </row>
    <row r="5795">
      <c r="A5795" s="7" t="n"/>
      <c r="B5795" s="7" t="n"/>
      <c r="C5795" s="7" t="n"/>
      <c r="D5795" s="7" t="n"/>
      <c r="E5795" s="7" t="n"/>
      <c r="F5795" s="7" t="n"/>
      <c r="G5795" s="7" t="n"/>
      <c r="H5795" s="7" t="n"/>
      <c r="I5795" s="7" t="n"/>
      <c r="J5795" s="7" t="n"/>
      <c r="K5795">
        <f>IF(D5795="Legitimate Interest (GDPR Art. 6(1)(f))", "Yes / Required (Sheet 3)", "")</f>
        <v/>
      </c>
      <c r="L5795" s="7" t="n"/>
      <c r="M5795" s="7" t="n"/>
      <c r="N5795">
        <f>IF(D5795="", "Gap - No Legal Basis", IF(AND(D5795="Consent (GDPR Art. 6(1)(a))", I5795="Not Captured"), "Gap - Invalid Consent", IF(AND(D5795="Legitimate Interest (GDPR Art. 6(1)(f))", L5795=""), "Gap - Missing LIA", IF(AND(G5795="Yes", H5795=""), "Gap - Missing Art. 9 Basis", IF(OR(I5795="Invalid - Not Freely Given", I5795="Invalid - Not Specific", I5795="Invalid - Not Informed", I5795="Invalid - Ambiguous"), "Gap - Invalid Consent", "Compliant")))))</f>
        <v/>
      </c>
      <c r="O5795" s="7" t="n"/>
    </row>
    <row r="5796">
      <c r="A5796" s="7" t="n"/>
      <c r="B5796" s="7" t="n"/>
      <c r="C5796" s="7" t="n"/>
      <c r="D5796" s="7" t="n"/>
      <c r="E5796" s="7" t="n"/>
      <c r="F5796" s="7" t="n"/>
      <c r="G5796" s="7" t="n"/>
      <c r="H5796" s="7" t="n"/>
      <c r="I5796" s="7" t="n"/>
      <c r="J5796" s="7" t="n"/>
      <c r="K5796">
        <f>IF(D5796="Legitimate Interest (GDPR Art. 6(1)(f))", "Yes / Required (Sheet 3)", "")</f>
        <v/>
      </c>
      <c r="L5796" s="7" t="n"/>
      <c r="M5796" s="7" t="n"/>
      <c r="N5796">
        <f>IF(D5796="", "Gap - No Legal Basis", IF(AND(D5796="Consent (GDPR Art. 6(1)(a))", I5796="Not Captured"), "Gap - Invalid Consent", IF(AND(D5796="Legitimate Interest (GDPR Art. 6(1)(f))", L5796=""), "Gap - Missing LIA", IF(AND(G5796="Yes", H5796=""), "Gap - Missing Art. 9 Basis", IF(OR(I5796="Invalid - Not Freely Given", I5796="Invalid - Not Specific", I5796="Invalid - Not Informed", I5796="Invalid - Ambiguous"), "Gap - Invalid Consent", "Compliant")))))</f>
        <v/>
      </c>
      <c r="O5796" s="7" t="n"/>
    </row>
    <row r="5797">
      <c r="A5797" s="7" t="n"/>
      <c r="B5797" s="7" t="n"/>
      <c r="C5797" s="7" t="n"/>
      <c r="D5797" s="7" t="n"/>
      <c r="E5797" s="7" t="n"/>
      <c r="F5797" s="7" t="n"/>
      <c r="G5797" s="7" t="n"/>
      <c r="H5797" s="7" t="n"/>
      <c r="I5797" s="7" t="n"/>
      <c r="J5797" s="7" t="n"/>
      <c r="K5797">
        <f>IF(D5797="Legitimate Interest (GDPR Art. 6(1)(f))", "Yes / Required (Sheet 3)", "")</f>
        <v/>
      </c>
      <c r="L5797" s="7" t="n"/>
      <c r="M5797" s="7" t="n"/>
      <c r="N5797">
        <f>IF(D5797="", "Gap - No Legal Basis", IF(AND(D5797="Consent (GDPR Art. 6(1)(a))", I5797="Not Captured"), "Gap - Invalid Consent", IF(AND(D5797="Legitimate Interest (GDPR Art. 6(1)(f))", L5797=""), "Gap - Missing LIA", IF(AND(G5797="Yes", H5797=""), "Gap - Missing Art. 9 Basis", IF(OR(I5797="Invalid - Not Freely Given", I5797="Invalid - Not Specific", I5797="Invalid - Not Informed", I5797="Invalid - Ambiguous"), "Gap - Invalid Consent", "Compliant")))))</f>
        <v/>
      </c>
      <c r="O5797" s="7" t="n"/>
    </row>
    <row r="5798">
      <c r="A5798" s="7" t="n"/>
      <c r="B5798" s="7" t="n"/>
      <c r="C5798" s="7" t="n"/>
      <c r="D5798" s="7" t="n"/>
      <c r="E5798" s="7" t="n"/>
      <c r="F5798" s="7" t="n"/>
      <c r="G5798" s="7" t="n"/>
      <c r="H5798" s="7" t="n"/>
      <c r="I5798" s="7" t="n"/>
      <c r="J5798" s="7" t="n"/>
      <c r="K5798">
        <f>IF(D5798="Legitimate Interest (GDPR Art. 6(1)(f))", "Yes / Required (Sheet 3)", "")</f>
        <v/>
      </c>
      <c r="L5798" s="7" t="n"/>
      <c r="M5798" s="7" t="n"/>
      <c r="N5798">
        <f>IF(D5798="", "Gap - No Legal Basis", IF(AND(D5798="Consent (GDPR Art. 6(1)(a))", I5798="Not Captured"), "Gap - Invalid Consent", IF(AND(D5798="Legitimate Interest (GDPR Art. 6(1)(f))", L5798=""), "Gap - Missing LIA", IF(AND(G5798="Yes", H5798=""), "Gap - Missing Art. 9 Basis", IF(OR(I5798="Invalid - Not Freely Given", I5798="Invalid - Not Specific", I5798="Invalid - Not Informed", I5798="Invalid - Ambiguous"), "Gap - Invalid Consent", "Compliant")))))</f>
        <v/>
      </c>
      <c r="O5798" s="7" t="n"/>
    </row>
    <row r="5799">
      <c r="A5799" s="7" t="n"/>
      <c r="B5799" s="7" t="n"/>
      <c r="C5799" s="7" t="n"/>
      <c r="D5799" s="7" t="n"/>
      <c r="E5799" s="7" t="n"/>
      <c r="F5799" s="7" t="n"/>
      <c r="G5799" s="7" t="n"/>
      <c r="H5799" s="7" t="n"/>
      <c r="I5799" s="7" t="n"/>
      <c r="J5799" s="7" t="n"/>
      <c r="K5799">
        <f>IF(D5799="Legitimate Interest (GDPR Art. 6(1)(f))", "Yes / Required (Sheet 3)", "")</f>
        <v/>
      </c>
      <c r="L5799" s="7" t="n"/>
      <c r="M5799" s="7" t="n"/>
      <c r="N5799">
        <f>IF(D5799="", "Gap - No Legal Basis", IF(AND(D5799="Consent (GDPR Art. 6(1)(a))", I5799="Not Captured"), "Gap - Invalid Consent", IF(AND(D5799="Legitimate Interest (GDPR Art. 6(1)(f))", L5799=""), "Gap - Missing LIA", IF(AND(G5799="Yes", H5799=""), "Gap - Missing Art. 9 Basis", IF(OR(I5799="Invalid - Not Freely Given", I5799="Invalid - Not Specific", I5799="Invalid - Not Informed", I5799="Invalid - Ambiguous"), "Gap - Invalid Consent", "Compliant")))))</f>
        <v/>
      </c>
      <c r="O5799" s="7" t="n"/>
    </row>
    <row r="5800">
      <c r="A5800" s="7" t="n"/>
      <c r="B5800" s="7" t="n"/>
      <c r="C5800" s="7" t="n"/>
      <c r="D5800" s="7" t="n"/>
      <c r="E5800" s="7" t="n"/>
      <c r="F5800" s="7" t="n"/>
      <c r="G5800" s="7" t="n"/>
      <c r="H5800" s="7" t="n"/>
      <c r="I5800" s="7" t="n"/>
      <c r="J5800" s="7" t="n"/>
      <c r="K5800">
        <f>IF(D5800="Legitimate Interest (GDPR Art. 6(1)(f))", "Yes / Required (Sheet 3)", "")</f>
        <v/>
      </c>
      <c r="L5800" s="7" t="n"/>
      <c r="M5800" s="7" t="n"/>
      <c r="N5800">
        <f>IF(D5800="", "Gap - No Legal Basis", IF(AND(D5800="Consent (GDPR Art. 6(1)(a))", I5800="Not Captured"), "Gap - Invalid Consent", IF(AND(D5800="Legitimate Interest (GDPR Art. 6(1)(f))", L5800=""), "Gap - Missing LIA", IF(AND(G5800="Yes", H5800=""), "Gap - Missing Art. 9 Basis", IF(OR(I5800="Invalid - Not Freely Given", I5800="Invalid - Not Specific", I5800="Invalid - Not Informed", I5800="Invalid - Ambiguous"), "Gap - Invalid Consent", "Compliant")))))</f>
        <v/>
      </c>
      <c r="O5800" s="7" t="n"/>
    </row>
    <row r="5801">
      <c r="A5801" s="7" t="n"/>
      <c r="B5801" s="7" t="n"/>
      <c r="C5801" s="7" t="n"/>
      <c r="D5801" s="7" t="n"/>
      <c r="E5801" s="7" t="n"/>
      <c r="F5801" s="7" t="n"/>
      <c r="G5801" s="7" t="n"/>
      <c r="H5801" s="7" t="n"/>
      <c r="I5801" s="7" t="n"/>
      <c r="J5801" s="7" t="n"/>
      <c r="K5801">
        <f>IF(D5801="Legitimate Interest (GDPR Art. 6(1)(f))", "Yes / Required (Sheet 3)", "")</f>
        <v/>
      </c>
      <c r="L5801" s="7" t="n"/>
      <c r="M5801" s="7" t="n"/>
      <c r="N5801">
        <f>IF(D5801="", "Gap - No Legal Basis", IF(AND(D5801="Consent (GDPR Art. 6(1)(a))", I5801="Not Captured"), "Gap - Invalid Consent", IF(AND(D5801="Legitimate Interest (GDPR Art. 6(1)(f))", L5801=""), "Gap - Missing LIA", IF(AND(G5801="Yes", H5801=""), "Gap - Missing Art. 9 Basis", IF(OR(I5801="Invalid - Not Freely Given", I5801="Invalid - Not Specific", I5801="Invalid - Not Informed", I5801="Invalid - Ambiguous"), "Gap - Invalid Consent", "Compliant")))))</f>
        <v/>
      </c>
      <c r="O5801" s="7" t="n"/>
    </row>
    <row r="5802">
      <c r="A5802" s="7" t="n"/>
      <c r="B5802" s="7" t="n"/>
      <c r="C5802" s="7" t="n"/>
      <c r="D5802" s="7" t="n"/>
      <c r="E5802" s="7" t="n"/>
      <c r="F5802" s="7" t="n"/>
      <c r="G5802" s="7" t="n"/>
      <c r="H5802" s="7" t="n"/>
      <c r="I5802" s="7" t="n"/>
      <c r="J5802" s="7" t="n"/>
      <c r="K5802">
        <f>IF(D5802="Legitimate Interest (GDPR Art. 6(1)(f))", "Yes / Required (Sheet 3)", "")</f>
        <v/>
      </c>
      <c r="L5802" s="7" t="n"/>
      <c r="M5802" s="7" t="n"/>
      <c r="N5802">
        <f>IF(D5802="", "Gap - No Legal Basis", IF(AND(D5802="Consent (GDPR Art. 6(1)(a))", I5802="Not Captured"), "Gap - Invalid Consent", IF(AND(D5802="Legitimate Interest (GDPR Art. 6(1)(f))", L5802=""), "Gap - Missing LIA", IF(AND(G5802="Yes", H5802=""), "Gap - Missing Art. 9 Basis", IF(OR(I5802="Invalid - Not Freely Given", I5802="Invalid - Not Specific", I5802="Invalid - Not Informed", I5802="Invalid - Ambiguous"), "Gap - Invalid Consent", "Compliant")))))</f>
        <v/>
      </c>
      <c r="O5802" s="7" t="n"/>
    </row>
    <row r="5803">
      <c r="A5803" s="7" t="n"/>
      <c r="B5803" s="7" t="n"/>
      <c r="C5803" s="7" t="n"/>
      <c r="D5803" s="7" t="n"/>
      <c r="E5803" s="7" t="n"/>
      <c r="F5803" s="7" t="n"/>
      <c r="G5803" s="7" t="n"/>
      <c r="H5803" s="7" t="n"/>
      <c r="I5803" s="7" t="n"/>
      <c r="J5803" s="7" t="n"/>
      <c r="K5803">
        <f>IF(D5803="Legitimate Interest (GDPR Art. 6(1)(f))", "Yes / Required (Sheet 3)", "")</f>
        <v/>
      </c>
      <c r="L5803" s="7" t="n"/>
      <c r="M5803" s="7" t="n"/>
      <c r="N5803">
        <f>IF(D5803="", "Gap - No Legal Basis", IF(AND(D5803="Consent (GDPR Art. 6(1)(a))", I5803="Not Captured"), "Gap - Invalid Consent", IF(AND(D5803="Legitimate Interest (GDPR Art. 6(1)(f))", L5803=""), "Gap - Missing LIA", IF(AND(G5803="Yes", H5803=""), "Gap - Missing Art. 9 Basis", IF(OR(I5803="Invalid - Not Freely Given", I5803="Invalid - Not Specific", I5803="Invalid - Not Informed", I5803="Invalid - Ambiguous"), "Gap - Invalid Consent", "Compliant")))))</f>
        <v/>
      </c>
      <c r="O5803" s="7" t="n"/>
    </row>
    <row r="5804">
      <c r="A5804" s="7" t="n"/>
      <c r="B5804" s="7" t="n"/>
      <c r="C5804" s="7" t="n"/>
      <c r="D5804" s="7" t="n"/>
      <c r="E5804" s="7" t="n"/>
      <c r="F5804" s="7" t="n"/>
      <c r="G5804" s="7" t="n"/>
      <c r="H5804" s="7" t="n"/>
      <c r="I5804" s="7" t="n"/>
      <c r="J5804" s="7" t="n"/>
      <c r="K5804">
        <f>IF(D5804="Legitimate Interest (GDPR Art. 6(1)(f))", "Yes / Required (Sheet 3)", "")</f>
        <v/>
      </c>
      <c r="L5804" s="7" t="n"/>
      <c r="M5804" s="7" t="n"/>
      <c r="N5804">
        <f>IF(D5804="", "Gap - No Legal Basis", IF(AND(D5804="Consent (GDPR Art. 6(1)(a))", I5804="Not Captured"), "Gap - Invalid Consent", IF(AND(D5804="Legitimate Interest (GDPR Art. 6(1)(f))", L5804=""), "Gap - Missing LIA", IF(AND(G5804="Yes", H5804=""), "Gap - Missing Art. 9 Basis", IF(OR(I5804="Invalid - Not Freely Given", I5804="Invalid - Not Specific", I5804="Invalid - Not Informed", I5804="Invalid - Ambiguous"), "Gap - Invalid Consent", "Compliant")))))</f>
        <v/>
      </c>
      <c r="O5804" s="7" t="n"/>
    </row>
    <row r="5805">
      <c r="A5805" s="7" t="n"/>
      <c r="B5805" s="7" t="n"/>
      <c r="C5805" s="7" t="n"/>
      <c r="D5805" s="7" t="n"/>
      <c r="E5805" s="7" t="n"/>
      <c r="F5805" s="7" t="n"/>
      <c r="G5805" s="7" t="n"/>
      <c r="H5805" s="7" t="n"/>
      <c r="I5805" s="7" t="n"/>
      <c r="J5805" s="7" t="n"/>
      <c r="K5805">
        <f>IF(D5805="Legitimate Interest (GDPR Art. 6(1)(f))", "Yes / Required (Sheet 3)", "")</f>
        <v/>
      </c>
      <c r="L5805" s="7" t="n"/>
      <c r="M5805" s="7" t="n"/>
      <c r="N5805">
        <f>IF(D5805="", "Gap - No Legal Basis", IF(AND(D5805="Consent (GDPR Art. 6(1)(a))", I5805="Not Captured"), "Gap - Invalid Consent", IF(AND(D5805="Legitimate Interest (GDPR Art. 6(1)(f))", L5805=""), "Gap - Missing LIA", IF(AND(G5805="Yes", H5805=""), "Gap - Missing Art. 9 Basis", IF(OR(I5805="Invalid - Not Freely Given", I5805="Invalid - Not Specific", I5805="Invalid - Not Informed", I5805="Invalid - Ambiguous"), "Gap - Invalid Consent", "Compliant")))))</f>
        <v/>
      </c>
      <c r="O5805" s="7" t="n"/>
    </row>
    <row r="5806">
      <c r="A5806" s="7" t="n"/>
      <c r="B5806" s="7" t="n"/>
      <c r="C5806" s="7" t="n"/>
      <c r="D5806" s="7" t="n"/>
      <c r="E5806" s="7" t="n"/>
      <c r="F5806" s="7" t="n"/>
      <c r="G5806" s="7" t="n"/>
      <c r="H5806" s="7" t="n"/>
      <c r="I5806" s="7" t="n"/>
      <c r="J5806" s="7" t="n"/>
      <c r="K5806">
        <f>IF(D5806="Legitimate Interest (GDPR Art. 6(1)(f))", "Yes / Required (Sheet 3)", "")</f>
        <v/>
      </c>
      <c r="L5806" s="7" t="n"/>
      <c r="M5806" s="7" t="n"/>
      <c r="N5806">
        <f>IF(D5806="", "Gap - No Legal Basis", IF(AND(D5806="Consent (GDPR Art. 6(1)(a))", I5806="Not Captured"), "Gap - Invalid Consent", IF(AND(D5806="Legitimate Interest (GDPR Art. 6(1)(f))", L5806=""), "Gap - Missing LIA", IF(AND(G5806="Yes", H5806=""), "Gap - Missing Art. 9 Basis", IF(OR(I5806="Invalid - Not Freely Given", I5806="Invalid - Not Specific", I5806="Invalid - Not Informed", I5806="Invalid - Ambiguous"), "Gap - Invalid Consent", "Compliant")))))</f>
        <v/>
      </c>
      <c r="O5806" s="7" t="n"/>
    </row>
    <row r="5807">
      <c r="A5807" s="7" t="n"/>
      <c r="B5807" s="7" t="n"/>
      <c r="C5807" s="7" t="n"/>
      <c r="D5807" s="7" t="n"/>
      <c r="E5807" s="7" t="n"/>
      <c r="F5807" s="7" t="n"/>
      <c r="G5807" s="7" t="n"/>
      <c r="H5807" s="7" t="n"/>
      <c r="I5807" s="7" t="n"/>
      <c r="J5807" s="7" t="n"/>
      <c r="K5807">
        <f>IF(D5807="Legitimate Interest (GDPR Art. 6(1)(f))", "Yes / Required (Sheet 3)", "")</f>
        <v/>
      </c>
      <c r="L5807" s="7" t="n"/>
      <c r="M5807" s="7" t="n"/>
      <c r="N5807">
        <f>IF(D5807="", "Gap - No Legal Basis", IF(AND(D5807="Consent (GDPR Art. 6(1)(a))", I5807="Not Captured"), "Gap - Invalid Consent", IF(AND(D5807="Legitimate Interest (GDPR Art. 6(1)(f))", L5807=""), "Gap - Missing LIA", IF(AND(G5807="Yes", H5807=""), "Gap - Missing Art. 9 Basis", IF(OR(I5807="Invalid - Not Freely Given", I5807="Invalid - Not Specific", I5807="Invalid - Not Informed", I5807="Invalid - Ambiguous"), "Gap - Invalid Consent", "Compliant")))))</f>
        <v/>
      </c>
      <c r="O5807" s="7" t="n"/>
    </row>
    <row r="5808">
      <c r="A5808" s="7" t="n"/>
      <c r="B5808" s="7" t="n"/>
      <c r="C5808" s="7" t="n"/>
      <c r="D5808" s="7" t="n"/>
      <c r="E5808" s="7" t="n"/>
      <c r="F5808" s="7" t="n"/>
      <c r="G5808" s="7" t="n"/>
      <c r="H5808" s="7" t="n"/>
      <c r="I5808" s="7" t="n"/>
      <c r="J5808" s="7" t="n"/>
      <c r="K5808">
        <f>IF(D5808="Legitimate Interest (GDPR Art. 6(1)(f))", "Yes / Required (Sheet 3)", "")</f>
        <v/>
      </c>
      <c r="L5808" s="7" t="n"/>
      <c r="M5808" s="7" t="n"/>
      <c r="N5808">
        <f>IF(D5808="", "Gap - No Legal Basis", IF(AND(D5808="Consent (GDPR Art. 6(1)(a))", I5808="Not Captured"), "Gap - Invalid Consent", IF(AND(D5808="Legitimate Interest (GDPR Art. 6(1)(f))", L5808=""), "Gap - Missing LIA", IF(AND(G5808="Yes", H5808=""), "Gap - Missing Art. 9 Basis", IF(OR(I5808="Invalid - Not Freely Given", I5808="Invalid - Not Specific", I5808="Invalid - Not Informed", I5808="Invalid - Ambiguous"), "Gap - Invalid Consent", "Compliant")))))</f>
        <v/>
      </c>
      <c r="O5808" s="7" t="n"/>
    </row>
    <row r="5809">
      <c r="A5809" s="7" t="n"/>
      <c r="B5809" s="7" t="n"/>
      <c r="C5809" s="7" t="n"/>
      <c r="D5809" s="7" t="n"/>
      <c r="E5809" s="7" t="n"/>
      <c r="F5809" s="7" t="n"/>
      <c r="G5809" s="7" t="n"/>
      <c r="H5809" s="7" t="n"/>
      <c r="I5809" s="7" t="n"/>
      <c r="J5809" s="7" t="n"/>
      <c r="K5809">
        <f>IF(D5809="Legitimate Interest (GDPR Art. 6(1)(f))", "Yes / Required (Sheet 3)", "")</f>
        <v/>
      </c>
      <c r="L5809" s="7" t="n"/>
      <c r="M5809" s="7" t="n"/>
      <c r="N5809">
        <f>IF(D5809="", "Gap - No Legal Basis", IF(AND(D5809="Consent (GDPR Art. 6(1)(a))", I5809="Not Captured"), "Gap - Invalid Consent", IF(AND(D5809="Legitimate Interest (GDPR Art. 6(1)(f))", L5809=""), "Gap - Missing LIA", IF(AND(G5809="Yes", H5809=""), "Gap - Missing Art. 9 Basis", IF(OR(I5809="Invalid - Not Freely Given", I5809="Invalid - Not Specific", I5809="Invalid - Not Informed", I5809="Invalid - Ambiguous"), "Gap - Invalid Consent", "Compliant")))))</f>
        <v/>
      </c>
      <c r="O5809" s="7" t="n"/>
    </row>
    <row r="5810">
      <c r="A5810" s="7" t="n"/>
      <c r="B5810" s="7" t="n"/>
      <c r="C5810" s="7" t="n"/>
      <c r="D5810" s="7" t="n"/>
      <c r="E5810" s="7" t="n"/>
      <c r="F5810" s="7" t="n"/>
      <c r="G5810" s="7" t="n"/>
      <c r="H5810" s="7" t="n"/>
      <c r="I5810" s="7" t="n"/>
      <c r="J5810" s="7" t="n"/>
      <c r="K5810">
        <f>IF(D5810="Legitimate Interest (GDPR Art. 6(1)(f))", "Yes / Required (Sheet 3)", "")</f>
        <v/>
      </c>
      <c r="L5810" s="7" t="n"/>
      <c r="M5810" s="7" t="n"/>
      <c r="N5810">
        <f>IF(D5810="", "Gap - No Legal Basis", IF(AND(D5810="Consent (GDPR Art. 6(1)(a))", I5810="Not Captured"), "Gap - Invalid Consent", IF(AND(D5810="Legitimate Interest (GDPR Art. 6(1)(f))", L5810=""), "Gap - Missing LIA", IF(AND(G5810="Yes", H5810=""), "Gap - Missing Art. 9 Basis", IF(OR(I5810="Invalid - Not Freely Given", I5810="Invalid - Not Specific", I5810="Invalid - Not Informed", I5810="Invalid - Ambiguous"), "Gap - Invalid Consent", "Compliant")))))</f>
        <v/>
      </c>
      <c r="O5810" s="7" t="n"/>
    </row>
    <row r="5811">
      <c r="A5811" s="7" t="n"/>
      <c r="B5811" s="7" t="n"/>
      <c r="C5811" s="7" t="n"/>
      <c r="D5811" s="7" t="n"/>
      <c r="E5811" s="7" t="n"/>
      <c r="F5811" s="7" t="n"/>
      <c r="G5811" s="7" t="n"/>
      <c r="H5811" s="7" t="n"/>
      <c r="I5811" s="7" t="n"/>
      <c r="J5811" s="7" t="n"/>
      <c r="K5811">
        <f>IF(D5811="Legitimate Interest (GDPR Art. 6(1)(f))", "Yes / Required (Sheet 3)", "")</f>
        <v/>
      </c>
      <c r="L5811" s="7" t="n"/>
      <c r="M5811" s="7" t="n"/>
      <c r="N5811">
        <f>IF(D5811="", "Gap - No Legal Basis", IF(AND(D5811="Consent (GDPR Art. 6(1)(a))", I5811="Not Captured"), "Gap - Invalid Consent", IF(AND(D5811="Legitimate Interest (GDPR Art. 6(1)(f))", L5811=""), "Gap - Missing LIA", IF(AND(G5811="Yes", H5811=""), "Gap - Missing Art. 9 Basis", IF(OR(I5811="Invalid - Not Freely Given", I5811="Invalid - Not Specific", I5811="Invalid - Not Informed", I5811="Invalid - Ambiguous"), "Gap - Invalid Consent", "Compliant")))))</f>
        <v/>
      </c>
      <c r="O5811" s="7" t="n"/>
    </row>
    <row r="5812">
      <c r="A5812" s="7" t="n"/>
      <c r="B5812" s="7" t="n"/>
      <c r="C5812" s="7" t="n"/>
      <c r="D5812" s="7" t="n"/>
      <c r="E5812" s="7" t="n"/>
      <c r="F5812" s="7" t="n"/>
      <c r="G5812" s="7" t="n"/>
      <c r="H5812" s="7" t="n"/>
      <c r="I5812" s="7" t="n"/>
      <c r="J5812" s="7" t="n"/>
      <c r="K5812">
        <f>IF(D5812="Legitimate Interest (GDPR Art. 6(1)(f))", "Yes / Required (Sheet 3)", "")</f>
        <v/>
      </c>
      <c r="L5812" s="7" t="n"/>
      <c r="M5812" s="7" t="n"/>
      <c r="N5812">
        <f>IF(D5812="", "Gap - No Legal Basis", IF(AND(D5812="Consent (GDPR Art. 6(1)(a))", I5812="Not Captured"), "Gap - Invalid Consent", IF(AND(D5812="Legitimate Interest (GDPR Art. 6(1)(f))", L5812=""), "Gap - Missing LIA", IF(AND(G5812="Yes", H5812=""), "Gap - Missing Art. 9 Basis", IF(OR(I5812="Invalid - Not Freely Given", I5812="Invalid - Not Specific", I5812="Invalid - Not Informed", I5812="Invalid - Ambiguous"), "Gap - Invalid Consent", "Compliant")))))</f>
        <v/>
      </c>
      <c r="O5812" s="7" t="n"/>
    </row>
    <row r="5813">
      <c r="A5813" s="7" t="n"/>
      <c r="B5813" s="7" t="n"/>
      <c r="C5813" s="7" t="n"/>
      <c r="D5813" s="7" t="n"/>
      <c r="E5813" s="7" t="n"/>
      <c r="F5813" s="7" t="n"/>
      <c r="G5813" s="7" t="n"/>
      <c r="H5813" s="7" t="n"/>
      <c r="I5813" s="7" t="n"/>
      <c r="J5813" s="7" t="n"/>
      <c r="K5813">
        <f>IF(D5813="Legitimate Interest (GDPR Art. 6(1)(f))", "Yes / Required (Sheet 3)", "")</f>
        <v/>
      </c>
      <c r="L5813" s="7" t="n"/>
      <c r="M5813" s="7" t="n"/>
      <c r="N5813">
        <f>IF(D5813="", "Gap - No Legal Basis", IF(AND(D5813="Consent (GDPR Art. 6(1)(a))", I5813="Not Captured"), "Gap - Invalid Consent", IF(AND(D5813="Legitimate Interest (GDPR Art. 6(1)(f))", L5813=""), "Gap - Missing LIA", IF(AND(G5813="Yes", H5813=""), "Gap - Missing Art. 9 Basis", IF(OR(I5813="Invalid - Not Freely Given", I5813="Invalid - Not Specific", I5813="Invalid - Not Informed", I5813="Invalid - Ambiguous"), "Gap - Invalid Consent", "Compliant")))))</f>
        <v/>
      </c>
      <c r="O5813" s="7" t="n"/>
    </row>
    <row r="5814">
      <c r="A5814" s="7" t="n"/>
      <c r="B5814" s="7" t="n"/>
      <c r="C5814" s="7" t="n"/>
      <c r="D5814" s="7" t="n"/>
      <c r="E5814" s="7" t="n"/>
      <c r="F5814" s="7" t="n"/>
      <c r="G5814" s="7" t="n"/>
      <c r="H5814" s="7" t="n"/>
      <c r="I5814" s="7" t="n"/>
      <c r="J5814" s="7" t="n"/>
      <c r="K5814">
        <f>IF(D5814="Legitimate Interest (GDPR Art. 6(1)(f))", "Yes / Required (Sheet 3)", "")</f>
        <v/>
      </c>
      <c r="L5814" s="7" t="n"/>
      <c r="M5814" s="7" t="n"/>
      <c r="N5814">
        <f>IF(D5814="", "Gap - No Legal Basis", IF(AND(D5814="Consent (GDPR Art. 6(1)(a))", I5814="Not Captured"), "Gap - Invalid Consent", IF(AND(D5814="Legitimate Interest (GDPR Art. 6(1)(f))", L5814=""), "Gap - Missing LIA", IF(AND(G5814="Yes", H5814=""), "Gap - Missing Art. 9 Basis", IF(OR(I5814="Invalid - Not Freely Given", I5814="Invalid - Not Specific", I5814="Invalid - Not Informed", I5814="Invalid - Ambiguous"), "Gap - Invalid Consent", "Compliant")))))</f>
        <v/>
      </c>
      <c r="O5814" s="7" t="n"/>
    </row>
    <row r="5815">
      <c r="A5815" s="7" t="n"/>
      <c r="B5815" s="7" t="n"/>
      <c r="C5815" s="7" t="n"/>
      <c r="D5815" s="7" t="n"/>
      <c r="E5815" s="7" t="n"/>
      <c r="F5815" s="7" t="n"/>
      <c r="G5815" s="7" t="n"/>
      <c r="H5815" s="7" t="n"/>
      <c r="I5815" s="7" t="n"/>
      <c r="J5815" s="7" t="n"/>
      <c r="K5815">
        <f>IF(D5815="Legitimate Interest (GDPR Art. 6(1)(f))", "Yes / Required (Sheet 3)", "")</f>
        <v/>
      </c>
      <c r="L5815" s="7" t="n"/>
      <c r="M5815" s="7" t="n"/>
      <c r="N5815">
        <f>IF(D5815="", "Gap - No Legal Basis", IF(AND(D5815="Consent (GDPR Art. 6(1)(a))", I5815="Not Captured"), "Gap - Invalid Consent", IF(AND(D5815="Legitimate Interest (GDPR Art. 6(1)(f))", L5815=""), "Gap - Missing LIA", IF(AND(G5815="Yes", H5815=""), "Gap - Missing Art. 9 Basis", IF(OR(I5815="Invalid - Not Freely Given", I5815="Invalid - Not Specific", I5815="Invalid - Not Informed", I5815="Invalid - Ambiguous"), "Gap - Invalid Consent", "Compliant")))))</f>
        <v/>
      </c>
      <c r="O5815" s="7" t="n"/>
    </row>
    <row r="5816">
      <c r="A5816" s="7" t="n"/>
      <c r="B5816" s="7" t="n"/>
      <c r="C5816" s="7" t="n"/>
      <c r="D5816" s="7" t="n"/>
      <c r="E5816" s="7" t="n"/>
      <c r="F5816" s="7" t="n"/>
      <c r="G5816" s="7" t="n"/>
      <c r="H5816" s="7" t="n"/>
      <c r="I5816" s="7" t="n"/>
      <c r="J5816" s="7" t="n"/>
      <c r="K5816">
        <f>IF(D5816="Legitimate Interest (GDPR Art. 6(1)(f))", "Yes / Required (Sheet 3)", "")</f>
        <v/>
      </c>
      <c r="L5816" s="7" t="n"/>
      <c r="M5816" s="7" t="n"/>
      <c r="N5816">
        <f>IF(D5816="", "Gap - No Legal Basis", IF(AND(D5816="Consent (GDPR Art. 6(1)(a))", I5816="Not Captured"), "Gap - Invalid Consent", IF(AND(D5816="Legitimate Interest (GDPR Art. 6(1)(f))", L5816=""), "Gap - Missing LIA", IF(AND(G5816="Yes", H5816=""), "Gap - Missing Art. 9 Basis", IF(OR(I5816="Invalid - Not Freely Given", I5816="Invalid - Not Specific", I5816="Invalid - Not Informed", I5816="Invalid - Ambiguous"), "Gap - Invalid Consent", "Compliant")))))</f>
        <v/>
      </c>
      <c r="O5816" s="7" t="n"/>
    </row>
    <row r="5817">
      <c r="A5817" s="7" t="n"/>
      <c r="B5817" s="7" t="n"/>
      <c r="C5817" s="7" t="n"/>
      <c r="D5817" s="7" t="n"/>
      <c r="E5817" s="7" t="n"/>
      <c r="F5817" s="7" t="n"/>
      <c r="G5817" s="7" t="n"/>
      <c r="H5817" s="7" t="n"/>
      <c r="I5817" s="7" t="n"/>
      <c r="J5817" s="7" t="n"/>
      <c r="K5817">
        <f>IF(D5817="Legitimate Interest (GDPR Art. 6(1)(f))", "Yes / Required (Sheet 3)", "")</f>
        <v/>
      </c>
      <c r="L5817" s="7" t="n"/>
      <c r="M5817" s="7" t="n"/>
      <c r="N5817">
        <f>IF(D5817="", "Gap - No Legal Basis", IF(AND(D5817="Consent (GDPR Art. 6(1)(a))", I5817="Not Captured"), "Gap - Invalid Consent", IF(AND(D5817="Legitimate Interest (GDPR Art. 6(1)(f))", L5817=""), "Gap - Missing LIA", IF(AND(G5817="Yes", H5817=""), "Gap - Missing Art. 9 Basis", IF(OR(I5817="Invalid - Not Freely Given", I5817="Invalid - Not Specific", I5817="Invalid - Not Informed", I5817="Invalid - Ambiguous"), "Gap - Invalid Consent", "Compliant")))))</f>
        <v/>
      </c>
      <c r="O5817" s="7" t="n"/>
    </row>
    <row r="5818">
      <c r="A5818" s="7" t="n"/>
      <c r="B5818" s="7" t="n"/>
      <c r="C5818" s="7" t="n"/>
      <c r="D5818" s="7" t="n"/>
      <c r="E5818" s="7" t="n"/>
      <c r="F5818" s="7" t="n"/>
      <c r="G5818" s="7" t="n"/>
      <c r="H5818" s="7" t="n"/>
      <c r="I5818" s="7" t="n"/>
      <c r="J5818" s="7" t="n"/>
      <c r="K5818">
        <f>IF(D5818="Legitimate Interest (GDPR Art. 6(1)(f))", "Yes / Required (Sheet 3)", "")</f>
        <v/>
      </c>
      <c r="L5818" s="7" t="n"/>
      <c r="M5818" s="7" t="n"/>
      <c r="N5818">
        <f>IF(D5818="", "Gap - No Legal Basis", IF(AND(D5818="Consent (GDPR Art. 6(1)(a))", I5818="Not Captured"), "Gap - Invalid Consent", IF(AND(D5818="Legitimate Interest (GDPR Art. 6(1)(f))", L5818=""), "Gap - Missing LIA", IF(AND(G5818="Yes", H5818=""), "Gap - Missing Art. 9 Basis", IF(OR(I5818="Invalid - Not Freely Given", I5818="Invalid - Not Specific", I5818="Invalid - Not Informed", I5818="Invalid - Ambiguous"), "Gap - Invalid Consent", "Compliant")))))</f>
        <v/>
      </c>
      <c r="O5818" s="7" t="n"/>
    </row>
    <row r="5819">
      <c r="A5819" s="7" t="n"/>
      <c r="B5819" s="7" t="n"/>
      <c r="C5819" s="7" t="n"/>
      <c r="D5819" s="7" t="n"/>
      <c r="E5819" s="7" t="n"/>
      <c r="F5819" s="7" t="n"/>
      <c r="G5819" s="7" t="n"/>
      <c r="H5819" s="7" t="n"/>
      <c r="I5819" s="7" t="n"/>
      <c r="J5819" s="7" t="n"/>
      <c r="K5819">
        <f>IF(D5819="Legitimate Interest (GDPR Art. 6(1)(f))", "Yes / Required (Sheet 3)", "")</f>
        <v/>
      </c>
      <c r="L5819" s="7" t="n"/>
      <c r="M5819" s="7" t="n"/>
      <c r="N5819">
        <f>IF(D5819="", "Gap - No Legal Basis", IF(AND(D5819="Consent (GDPR Art. 6(1)(a))", I5819="Not Captured"), "Gap - Invalid Consent", IF(AND(D5819="Legitimate Interest (GDPR Art. 6(1)(f))", L5819=""), "Gap - Missing LIA", IF(AND(G5819="Yes", H5819=""), "Gap - Missing Art. 9 Basis", IF(OR(I5819="Invalid - Not Freely Given", I5819="Invalid - Not Specific", I5819="Invalid - Not Informed", I5819="Invalid - Ambiguous"), "Gap - Invalid Consent", "Compliant")))))</f>
        <v/>
      </c>
      <c r="O5819" s="7" t="n"/>
    </row>
    <row r="5820">
      <c r="A5820" s="7" t="n"/>
      <c r="B5820" s="7" t="n"/>
      <c r="C5820" s="7" t="n"/>
      <c r="D5820" s="7" t="n"/>
      <c r="E5820" s="7" t="n"/>
      <c r="F5820" s="7" t="n"/>
      <c r="G5820" s="7" t="n"/>
      <c r="H5820" s="7" t="n"/>
      <c r="I5820" s="7" t="n"/>
      <c r="J5820" s="7" t="n"/>
      <c r="K5820">
        <f>IF(D5820="Legitimate Interest (GDPR Art. 6(1)(f))", "Yes / Required (Sheet 3)", "")</f>
        <v/>
      </c>
      <c r="L5820" s="7" t="n"/>
      <c r="M5820" s="7" t="n"/>
      <c r="N5820">
        <f>IF(D5820="", "Gap - No Legal Basis", IF(AND(D5820="Consent (GDPR Art. 6(1)(a))", I5820="Not Captured"), "Gap - Invalid Consent", IF(AND(D5820="Legitimate Interest (GDPR Art. 6(1)(f))", L5820=""), "Gap - Missing LIA", IF(AND(G5820="Yes", H5820=""), "Gap - Missing Art. 9 Basis", IF(OR(I5820="Invalid - Not Freely Given", I5820="Invalid - Not Specific", I5820="Invalid - Not Informed", I5820="Invalid - Ambiguous"), "Gap - Invalid Consent", "Compliant")))))</f>
        <v/>
      </c>
      <c r="O5820" s="7" t="n"/>
    </row>
    <row r="5821">
      <c r="A5821" s="7" t="n"/>
      <c r="B5821" s="7" t="n"/>
      <c r="C5821" s="7" t="n"/>
      <c r="D5821" s="7" t="n"/>
      <c r="E5821" s="7" t="n"/>
      <c r="F5821" s="7" t="n"/>
      <c r="G5821" s="7" t="n"/>
      <c r="H5821" s="7" t="n"/>
      <c r="I5821" s="7" t="n"/>
      <c r="J5821" s="7" t="n"/>
      <c r="K5821">
        <f>IF(D5821="Legitimate Interest (GDPR Art. 6(1)(f))", "Yes / Required (Sheet 3)", "")</f>
        <v/>
      </c>
      <c r="L5821" s="7" t="n"/>
      <c r="M5821" s="7" t="n"/>
      <c r="N5821">
        <f>IF(D5821="", "Gap - No Legal Basis", IF(AND(D5821="Consent (GDPR Art. 6(1)(a))", I5821="Not Captured"), "Gap - Invalid Consent", IF(AND(D5821="Legitimate Interest (GDPR Art. 6(1)(f))", L5821=""), "Gap - Missing LIA", IF(AND(G5821="Yes", H5821=""), "Gap - Missing Art. 9 Basis", IF(OR(I5821="Invalid - Not Freely Given", I5821="Invalid - Not Specific", I5821="Invalid - Not Informed", I5821="Invalid - Ambiguous"), "Gap - Invalid Consent", "Compliant")))))</f>
        <v/>
      </c>
      <c r="O5821" s="7" t="n"/>
    </row>
    <row r="5822">
      <c r="A5822" s="7" t="n"/>
      <c r="B5822" s="7" t="n"/>
      <c r="C5822" s="7" t="n"/>
      <c r="D5822" s="7" t="n"/>
      <c r="E5822" s="7" t="n"/>
      <c r="F5822" s="7" t="n"/>
      <c r="G5822" s="7" t="n"/>
      <c r="H5822" s="7" t="n"/>
      <c r="I5822" s="7" t="n"/>
      <c r="J5822" s="7" t="n"/>
      <c r="K5822">
        <f>IF(D5822="Legitimate Interest (GDPR Art. 6(1)(f))", "Yes / Required (Sheet 3)", "")</f>
        <v/>
      </c>
      <c r="L5822" s="7" t="n"/>
      <c r="M5822" s="7" t="n"/>
      <c r="N5822">
        <f>IF(D5822="", "Gap - No Legal Basis", IF(AND(D5822="Consent (GDPR Art. 6(1)(a))", I5822="Not Captured"), "Gap - Invalid Consent", IF(AND(D5822="Legitimate Interest (GDPR Art. 6(1)(f))", L5822=""), "Gap - Missing LIA", IF(AND(G5822="Yes", H5822=""), "Gap - Missing Art. 9 Basis", IF(OR(I5822="Invalid - Not Freely Given", I5822="Invalid - Not Specific", I5822="Invalid - Not Informed", I5822="Invalid - Ambiguous"), "Gap - Invalid Consent", "Compliant")))))</f>
        <v/>
      </c>
      <c r="O5822" s="7" t="n"/>
    </row>
    <row r="5823">
      <c r="A5823" s="7" t="n"/>
      <c r="B5823" s="7" t="n"/>
      <c r="C5823" s="7" t="n"/>
      <c r="D5823" s="7" t="n"/>
      <c r="E5823" s="7" t="n"/>
      <c r="F5823" s="7" t="n"/>
      <c r="G5823" s="7" t="n"/>
      <c r="H5823" s="7" t="n"/>
      <c r="I5823" s="7" t="n"/>
      <c r="J5823" s="7" t="n"/>
      <c r="K5823">
        <f>IF(D5823="Legitimate Interest (GDPR Art. 6(1)(f))", "Yes / Required (Sheet 3)", "")</f>
        <v/>
      </c>
      <c r="L5823" s="7" t="n"/>
      <c r="M5823" s="7" t="n"/>
      <c r="N5823">
        <f>IF(D5823="", "Gap - No Legal Basis", IF(AND(D5823="Consent (GDPR Art. 6(1)(a))", I5823="Not Captured"), "Gap - Invalid Consent", IF(AND(D5823="Legitimate Interest (GDPR Art. 6(1)(f))", L5823=""), "Gap - Missing LIA", IF(AND(G5823="Yes", H5823=""), "Gap - Missing Art. 9 Basis", IF(OR(I5823="Invalid - Not Freely Given", I5823="Invalid - Not Specific", I5823="Invalid - Not Informed", I5823="Invalid - Ambiguous"), "Gap - Invalid Consent", "Compliant")))))</f>
        <v/>
      </c>
      <c r="O5823" s="7" t="n"/>
    </row>
    <row r="5824">
      <c r="A5824" s="7" t="n"/>
      <c r="B5824" s="7" t="n"/>
      <c r="C5824" s="7" t="n"/>
      <c r="D5824" s="7" t="n"/>
      <c r="E5824" s="7" t="n"/>
      <c r="F5824" s="7" t="n"/>
      <c r="G5824" s="7" t="n"/>
      <c r="H5824" s="7" t="n"/>
      <c r="I5824" s="7" t="n"/>
      <c r="J5824" s="7" t="n"/>
      <c r="K5824">
        <f>IF(D5824="Legitimate Interest (GDPR Art. 6(1)(f))", "Yes / Required (Sheet 3)", "")</f>
        <v/>
      </c>
      <c r="L5824" s="7" t="n"/>
      <c r="M5824" s="7" t="n"/>
      <c r="N5824">
        <f>IF(D5824="", "Gap - No Legal Basis", IF(AND(D5824="Consent (GDPR Art. 6(1)(a))", I5824="Not Captured"), "Gap - Invalid Consent", IF(AND(D5824="Legitimate Interest (GDPR Art. 6(1)(f))", L5824=""), "Gap - Missing LIA", IF(AND(G5824="Yes", H5824=""), "Gap - Missing Art. 9 Basis", IF(OR(I5824="Invalid - Not Freely Given", I5824="Invalid - Not Specific", I5824="Invalid - Not Informed", I5824="Invalid - Ambiguous"), "Gap - Invalid Consent", "Compliant")))))</f>
        <v/>
      </c>
      <c r="O5824" s="7" t="n"/>
    </row>
    <row r="5825">
      <c r="A5825" s="7" t="n"/>
      <c r="B5825" s="7" t="n"/>
      <c r="C5825" s="7" t="n"/>
      <c r="D5825" s="7" t="n"/>
      <c r="E5825" s="7" t="n"/>
      <c r="F5825" s="7" t="n"/>
      <c r="G5825" s="7" t="n"/>
      <c r="H5825" s="7" t="n"/>
      <c r="I5825" s="7" t="n"/>
      <c r="J5825" s="7" t="n"/>
      <c r="K5825">
        <f>IF(D5825="Legitimate Interest (GDPR Art. 6(1)(f))", "Yes / Required (Sheet 3)", "")</f>
        <v/>
      </c>
      <c r="L5825" s="7" t="n"/>
      <c r="M5825" s="7" t="n"/>
      <c r="N5825">
        <f>IF(D5825="", "Gap - No Legal Basis", IF(AND(D5825="Consent (GDPR Art. 6(1)(a))", I5825="Not Captured"), "Gap - Invalid Consent", IF(AND(D5825="Legitimate Interest (GDPR Art. 6(1)(f))", L5825=""), "Gap - Missing LIA", IF(AND(G5825="Yes", H5825=""), "Gap - Missing Art. 9 Basis", IF(OR(I5825="Invalid - Not Freely Given", I5825="Invalid - Not Specific", I5825="Invalid - Not Informed", I5825="Invalid - Ambiguous"), "Gap - Invalid Consent", "Compliant")))))</f>
        <v/>
      </c>
      <c r="O5825" s="7" t="n"/>
    </row>
    <row r="5826">
      <c r="A5826" s="7" t="n"/>
      <c r="B5826" s="7" t="n"/>
      <c r="C5826" s="7" t="n"/>
      <c r="D5826" s="7" t="n"/>
      <c r="E5826" s="7" t="n"/>
      <c r="F5826" s="7" t="n"/>
      <c r="G5826" s="7" t="n"/>
      <c r="H5826" s="7" t="n"/>
      <c r="I5826" s="7" t="n"/>
      <c r="J5826" s="7" t="n"/>
      <c r="K5826">
        <f>IF(D5826="Legitimate Interest (GDPR Art. 6(1)(f))", "Yes / Required (Sheet 3)", "")</f>
        <v/>
      </c>
      <c r="L5826" s="7" t="n"/>
      <c r="M5826" s="7" t="n"/>
      <c r="N5826">
        <f>IF(D5826="", "Gap - No Legal Basis", IF(AND(D5826="Consent (GDPR Art. 6(1)(a))", I5826="Not Captured"), "Gap - Invalid Consent", IF(AND(D5826="Legitimate Interest (GDPR Art. 6(1)(f))", L5826=""), "Gap - Missing LIA", IF(AND(G5826="Yes", H5826=""), "Gap - Missing Art. 9 Basis", IF(OR(I5826="Invalid - Not Freely Given", I5826="Invalid - Not Specific", I5826="Invalid - Not Informed", I5826="Invalid - Ambiguous"), "Gap - Invalid Consent", "Compliant")))))</f>
        <v/>
      </c>
      <c r="O5826" s="7" t="n"/>
    </row>
    <row r="5827">
      <c r="A5827" s="7" t="n"/>
      <c r="B5827" s="7" t="n"/>
      <c r="C5827" s="7" t="n"/>
      <c r="D5827" s="7" t="n"/>
      <c r="E5827" s="7" t="n"/>
      <c r="F5827" s="7" t="n"/>
      <c r="G5827" s="7" t="n"/>
      <c r="H5827" s="7" t="n"/>
      <c r="I5827" s="7" t="n"/>
      <c r="J5827" s="7" t="n"/>
      <c r="K5827">
        <f>IF(D5827="Legitimate Interest (GDPR Art. 6(1)(f))", "Yes / Required (Sheet 3)", "")</f>
        <v/>
      </c>
      <c r="L5827" s="7" t="n"/>
      <c r="M5827" s="7" t="n"/>
      <c r="N5827">
        <f>IF(D5827="", "Gap - No Legal Basis", IF(AND(D5827="Consent (GDPR Art. 6(1)(a))", I5827="Not Captured"), "Gap - Invalid Consent", IF(AND(D5827="Legitimate Interest (GDPR Art. 6(1)(f))", L5827=""), "Gap - Missing LIA", IF(AND(G5827="Yes", H5827=""), "Gap - Missing Art. 9 Basis", IF(OR(I5827="Invalid - Not Freely Given", I5827="Invalid - Not Specific", I5827="Invalid - Not Informed", I5827="Invalid - Ambiguous"), "Gap - Invalid Consent", "Compliant")))))</f>
        <v/>
      </c>
      <c r="O5827" s="7" t="n"/>
    </row>
    <row r="5828">
      <c r="A5828" s="7" t="n"/>
      <c r="B5828" s="7" t="n"/>
      <c r="C5828" s="7" t="n"/>
      <c r="D5828" s="7" t="n"/>
      <c r="E5828" s="7" t="n"/>
      <c r="F5828" s="7" t="n"/>
      <c r="G5828" s="7" t="n"/>
      <c r="H5828" s="7" t="n"/>
      <c r="I5828" s="7" t="n"/>
      <c r="J5828" s="7" t="n"/>
      <c r="K5828">
        <f>IF(D5828="Legitimate Interest (GDPR Art. 6(1)(f))", "Yes / Required (Sheet 3)", "")</f>
        <v/>
      </c>
      <c r="L5828" s="7" t="n"/>
      <c r="M5828" s="7" t="n"/>
      <c r="N5828">
        <f>IF(D5828="", "Gap - No Legal Basis", IF(AND(D5828="Consent (GDPR Art. 6(1)(a))", I5828="Not Captured"), "Gap - Invalid Consent", IF(AND(D5828="Legitimate Interest (GDPR Art. 6(1)(f))", L5828=""), "Gap - Missing LIA", IF(AND(G5828="Yes", H5828=""), "Gap - Missing Art. 9 Basis", IF(OR(I5828="Invalid - Not Freely Given", I5828="Invalid - Not Specific", I5828="Invalid - Not Informed", I5828="Invalid - Ambiguous"), "Gap - Invalid Consent", "Compliant")))))</f>
        <v/>
      </c>
      <c r="O5828" s="7" t="n"/>
    </row>
    <row r="5829">
      <c r="A5829" s="7" t="n"/>
      <c r="B5829" s="7" t="n"/>
      <c r="C5829" s="7" t="n"/>
      <c r="D5829" s="7" t="n"/>
      <c r="E5829" s="7" t="n"/>
      <c r="F5829" s="7" t="n"/>
      <c r="G5829" s="7" t="n"/>
      <c r="H5829" s="7" t="n"/>
      <c r="I5829" s="7" t="n"/>
      <c r="J5829" s="7" t="n"/>
      <c r="K5829">
        <f>IF(D5829="Legitimate Interest (GDPR Art. 6(1)(f))", "Yes / Required (Sheet 3)", "")</f>
        <v/>
      </c>
      <c r="L5829" s="7" t="n"/>
      <c r="M5829" s="7" t="n"/>
      <c r="N5829">
        <f>IF(D5829="", "Gap - No Legal Basis", IF(AND(D5829="Consent (GDPR Art. 6(1)(a))", I5829="Not Captured"), "Gap - Invalid Consent", IF(AND(D5829="Legitimate Interest (GDPR Art. 6(1)(f))", L5829=""), "Gap - Missing LIA", IF(AND(G5829="Yes", H5829=""), "Gap - Missing Art. 9 Basis", IF(OR(I5829="Invalid - Not Freely Given", I5829="Invalid - Not Specific", I5829="Invalid - Not Informed", I5829="Invalid - Ambiguous"), "Gap - Invalid Consent", "Compliant")))))</f>
        <v/>
      </c>
      <c r="O5829" s="7" t="n"/>
    </row>
    <row r="5830">
      <c r="A5830" s="7" t="n"/>
      <c r="B5830" s="7" t="n"/>
      <c r="C5830" s="7" t="n"/>
      <c r="D5830" s="7" t="n"/>
      <c r="E5830" s="7" t="n"/>
      <c r="F5830" s="7" t="n"/>
      <c r="G5830" s="7" t="n"/>
      <c r="H5830" s="7" t="n"/>
      <c r="I5830" s="7" t="n"/>
      <c r="J5830" s="7" t="n"/>
      <c r="K5830">
        <f>IF(D5830="Legitimate Interest (GDPR Art. 6(1)(f))", "Yes / Required (Sheet 3)", "")</f>
        <v/>
      </c>
      <c r="L5830" s="7" t="n"/>
      <c r="M5830" s="7" t="n"/>
      <c r="N5830">
        <f>IF(D5830="", "Gap - No Legal Basis", IF(AND(D5830="Consent (GDPR Art. 6(1)(a))", I5830="Not Captured"), "Gap - Invalid Consent", IF(AND(D5830="Legitimate Interest (GDPR Art. 6(1)(f))", L5830=""), "Gap - Missing LIA", IF(AND(G5830="Yes", H5830=""), "Gap - Missing Art. 9 Basis", IF(OR(I5830="Invalid - Not Freely Given", I5830="Invalid - Not Specific", I5830="Invalid - Not Informed", I5830="Invalid - Ambiguous"), "Gap - Invalid Consent", "Compliant")))))</f>
        <v/>
      </c>
      <c r="O5830" s="7" t="n"/>
    </row>
    <row r="5831">
      <c r="A5831" s="7" t="n"/>
      <c r="B5831" s="7" t="n"/>
      <c r="C5831" s="7" t="n"/>
      <c r="D5831" s="7" t="n"/>
      <c r="E5831" s="7" t="n"/>
      <c r="F5831" s="7" t="n"/>
      <c r="G5831" s="7" t="n"/>
      <c r="H5831" s="7" t="n"/>
      <c r="I5831" s="7" t="n"/>
      <c r="J5831" s="7" t="n"/>
      <c r="K5831">
        <f>IF(D5831="Legitimate Interest (GDPR Art. 6(1)(f))", "Yes / Required (Sheet 3)", "")</f>
        <v/>
      </c>
      <c r="L5831" s="7" t="n"/>
      <c r="M5831" s="7" t="n"/>
      <c r="N5831">
        <f>IF(D5831="", "Gap - No Legal Basis", IF(AND(D5831="Consent (GDPR Art. 6(1)(a))", I5831="Not Captured"), "Gap - Invalid Consent", IF(AND(D5831="Legitimate Interest (GDPR Art. 6(1)(f))", L5831=""), "Gap - Missing LIA", IF(AND(G5831="Yes", H5831=""), "Gap - Missing Art. 9 Basis", IF(OR(I5831="Invalid - Not Freely Given", I5831="Invalid - Not Specific", I5831="Invalid - Not Informed", I5831="Invalid - Ambiguous"), "Gap - Invalid Consent", "Compliant")))))</f>
        <v/>
      </c>
      <c r="O5831" s="7" t="n"/>
    </row>
    <row r="5832">
      <c r="A5832" s="7" t="n"/>
      <c r="B5832" s="7" t="n"/>
      <c r="C5832" s="7" t="n"/>
      <c r="D5832" s="7" t="n"/>
      <c r="E5832" s="7" t="n"/>
      <c r="F5832" s="7" t="n"/>
      <c r="G5832" s="7" t="n"/>
      <c r="H5832" s="7" t="n"/>
      <c r="I5832" s="7" t="n"/>
      <c r="J5832" s="7" t="n"/>
      <c r="K5832">
        <f>IF(D5832="Legitimate Interest (GDPR Art. 6(1)(f))", "Yes / Required (Sheet 3)", "")</f>
        <v/>
      </c>
      <c r="L5832" s="7" t="n"/>
      <c r="M5832" s="7" t="n"/>
      <c r="N5832">
        <f>IF(D5832="", "Gap - No Legal Basis", IF(AND(D5832="Consent (GDPR Art. 6(1)(a))", I5832="Not Captured"), "Gap - Invalid Consent", IF(AND(D5832="Legitimate Interest (GDPR Art. 6(1)(f))", L5832=""), "Gap - Missing LIA", IF(AND(G5832="Yes", H5832=""), "Gap - Missing Art. 9 Basis", IF(OR(I5832="Invalid - Not Freely Given", I5832="Invalid - Not Specific", I5832="Invalid - Not Informed", I5832="Invalid - Ambiguous"), "Gap - Invalid Consent", "Compliant")))))</f>
        <v/>
      </c>
      <c r="O5832" s="7" t="n"/>
    </row>
    <row r="5833">
      <c r="A5833" s="7" t="n"/>
      <c r="B5833" s="7" t="n"/>
      <c r="C5833" s="7" t="n"/>
      <c r="D5833" s="7" t="n"/>
      <c r="E5833" s="7" t="n"/>
      <c r="F5833" s="7" t="n"/>
      <c r="G5833" s="7" t="n"/>
      <c r="H5833" s="7" t="n"/>
      <c r="I5833" s="7" t="n"/>
      <c r="J5833" s="7" t="n"/>
      <c r="K5833">
        <f>IF(D5833="Legitimate Interest (GDPR Art. 6(1)(f))", "Yes / Required (Sheet 3)", "")</f>
        <v/>
      </c>
      <c r="L5833" s="7" t="n"/>
      <c r="M5833" s="7" t="n"/>
      <c r="N5833">
        <f>IF(D5833="", "Gap - No Legal Basis", IF(AND(D5833="Consent (GDPR Art. 6(1)(a))", I5833="Not Captured"), "Gap - Invalid Consent", IF(AND(D5833="Legitimate Interest (GDPR Art. 6(1)(f))", L5833=""), "Gap - Missing LIA", IF(AND(G5833="Yes", H5833=""), "Gap - Missing Art. 9 Basis", IF(OR(I5833="Invalid - Not Freely Given", I5833="Invalid - Not Specific", I5833="Invalid - Not Informed", I5833="Invalid - Ambiguous"), "Gap - Invalid Consent", "Compliant")))))</f>
        <v/>
      </c>
      <c r="O5833" s="7" t="n"/>
    </row>
    <row r="5834">
      <c r="A5834" s="7" t="n"/>
      <c r="B5834" s="7" t="n"/>
      <c r="C5834" s="7" t="n"/>
      <c r="D5834" s="7" t="n"/>
      <c r="E5834" s="7" t="n"/>
      <c r="F5834" s="7" t="n"/>
      <c r="G5834" s="7" t="n"/>
      <c r="H5834" s="7" t="n"/>
      <c r="I5834" s="7" t="n"/>
      <c r="J5834" s="7" t="n"/>
      <c r="K5834">
        <f>IF(D5834="Legitimate Interest (GDPR Art. 6(1)(f))", "Yes / Required (Sheet 3)", "")</f>
        <v/>
      </c>
      <c r="L5834" s="7" t="n"/>
      <c r="M5834" s="7" t="n"/>
      <c r="N5834">
        <f>IF(D5834="", "Gap - No Legal Basis", IF(AND(D5834="Consent (GDPR Art. 6(1)(a))", I5834="Not Captured"), "Gap - Invalid Consent", IF(AND(D5834="Legitimate Interest (GDPR Art. 6(1)(f))", L5834=""), "Gap - Missing LIA", IF(AND(G5834="Yes", H5834=""), "Gap - Missing Art. 9 Basis", IF(OR(I5834="Invalid - Not Freely Given", I5834="Invalid - Not Specific", I5834="Invalid - Not Informed", I5834="Invalid - Ambiguous"), "Gap - Invalid Consent", "Compliant")))))</f>
        <v/>
      </c>
      <c r="O5834" s="7" t="n"/>
    </row>
    <row r="5835">
      <c r="A5835" s="7" t="n"/>
      <c r="B5835" s="7" t="n"/>
      <c r="C5835" s="7" t="n"/>
      <c r="D5835" s="7" t="n"/>
      <c r="E5835" s="7" t="n"/>
      <c r="F5835" s="7" t="n"/>
      <c r="G5835" s="7" t="n"/>
      <c r="H5835" s="7" t="n"/>
      <c r="I5835" s="7" t="n"/>
      <c r="J5835" s="7" t="n"/>
      <c r="K5835">
        <f>IF(D5835="Legitimate Interest (GDPR Art. 6(1)(f))", "Yes / Required (Sheet 3)", "")</f>
        <v/>
      </c>
      <c r="L5835" s="7" t="n"/>
      <c r="M5835" s="7" t="n"/>
      <c r="N5835">
        <f>IF(D5835="", "Gap - No Legal Basis", IF(AND(D5835="Consent (GDPR Art. 6(1)(a))", I5835="Not Captured"), "Gap - Invalid Consent", IF(AND(D5835="Legitimate Interest (GDPR Art. 6(1)(f))", L5835=""), "Gap - Missing LIA", IF(AND(G5835="Yes", H5835=""), "Gap - Missing Art. 9 Basis", IF(OR(I5835="Invalid - Not Freely Given", I5835="Invalid - Not Specific", I5835="Invalid - Not Informed", I5835="Invalid - Ambiguous"), "Gap - Invalid Consent", "Compliant")))))</f>
        <v/>
      </c>
      <c r="O5835" s="7" t="n"/>
    </row>
    <row r="5836">
      <c r="A5836" s="7" t="n"/>
      <c r="B5836" s="7" t="n"/>
      <c r="C5836" s="7" t="n"/>
      <c r="D5836" s="7" t="n"/>
      <c r="E5836" s="7" t="n"/>
      <c r="F5836" s="7" t="n"/>
      <c r="G5836" s="7" t="n"/>
      <c r="H5836" s="7" t="n"/>
      <c r="I5836" s="7" t="n"/>
      <c r="J5836" s="7" t="n"/>
      <c r="K5836">
        <f>IF(D5836="Legitimate Interest (GDPR Art. 6(1)(f))", "Yes / Required (Sheet 3)", "")</f>
        <v/>
      </c>
      <c r="L5836" s="7" t="n"/>
      <c r="M5836" s="7" t="n"/>
      <c r="N5836">
        <f>IF(D5836="", "Gap - No Legal Basis", IF(AND(D5836="Consent (GDPR Art. 6(1)(a))", I5836="Not Captured"), "Gap - Invalid Consent", IF(AND(D5836="Legitimate Interest (GDPR Art. 6(1)(f))", L5836=""), "Gap - Missing LIA", IF(AND(G5836="Yes", H5836=""), "Gap - Missing Art. 9 Basis", IF(OR(I5836="Invalid - Not Freely Given", I5836="Invalid - Not Specific", I5836="Invalid - Not Informed", I5836="Invalid - Ambiguous"), "Gap - Invalid Consent", "Compliant")))))</f>
        <v/>
      </c>
      <c r="O5836" s="7" t="n"/>
    </row>
    <row r="5837">
      <c r="A5837" s="7" t="n"/>
      <c r="B5837" s="7" t="n"/>
      <c r="C5837" s="7" t="n"/>
      <c r="D5837" s="7" t="n"/>
      <c r="E5837" s="7" t="n"/>
      <c r="F5837" s="7" t="n"/>
      <c r="G5837" s="7" t="n"/>
      <c r="H5837" s="7" t="n"/>
      <c r="I5837" s="7" t="n"/>
      <c r="J5837" s="7" t="n"/>
      <c r="K5837">
        <f>IF(D5837="Legitimate Interest (GDPR Art. 6(1)(f))", "Yes / Required (Sheet 3)", "")</f>
        <v/>
      </c>
      <c r="L5837" s="7" t="n"/>
      <c r="M5837" s="7" t="n"/>
      <c r="N5837">
        <f>IF(D5837="", "Gap - No Legal Basis", IF(AND(D5837="Consent (GDPR Art. 6(1)(a))", I5837="Not Captured"), "Gap - Invalid Consent", IF(AND(D5837="Legitimate Interest (GDPR Art. 6(1)(f))", L5837=""), "Gap - Missing LIA", IF(AND(G5837="Yes", H5837=""), "Gap - Missing Art. 9 Basis", IF(OR(I5837="Invalid - Not Freely Given", I5837="Invalid - Not Specific", I5837="Invalid - Not Informed", I5837="Invalid - Ambiguous"), "Gap - Invalid Consent", "Compliant")))))</f>
        <v/>
      </c>
      <c r="O5837" s="7" t="n"/>
    </row>
    <row r="5838">
      <c r="A5838" s="7" t="n"/>
      <c r="B5838" s="7" t="n"/>
      <c r="C5838" s="7" t="n"/>
      <c r="D5838" s="7" t="n"/>
      <c r="E5838" s="7" t="n"/>
      <c r="F5838" s="7" t="n"/>
      <c r="G5838" s="7" t="n"/>
      <c r="H5838" s="7" t="n"/>
      <c r="I5838" s="7" t="n"/>
      <c r="J5838" s="7" t="n"/>
      <c r="K5838">
        <f>IF(D5838="Legitimate Interest (GDPR Art. 6(1)(f))", "Yes / Required (Sheet 3)", "")</f>
        <v/>
      </c>
      <c r="L5838" s="7" t="n"/>
      <c r="M5838" s="7" t="n"/>
      <c r="N5838">
        <f>IF(D5838="", "Gap - No Legal Basis", IF(AND(D5838="Consent (GDPR Art. 6(1)(a))", I5838="Not Captured"), "Gap - Invalid Consent", IF(AND(D5838="Legitimate Interest (GDPR Art. 6(1)(f))", L5838=""), "Gap - Missing LIA", IF(AND(G5838="Yes", H5838=""), "Gap - Missing Art. 9 Basis", IF(OR(I5838="Invalid - Not Freely Given", I5838="Invalid - Not Specific", I5838="Invalid - Not Informed", I5838="Invalid - Ambiguous"), "Gap - Invalid Consent", "Compliant")))))</f>
        <v/>
      </c>
      <c r="O5838" s="7" t="n"/>
    </row>
    <row r="5839">
      <c r="A5839" s="7" t="n"/>
      <c r="B5839" s="7" t="n"/>
      <c r="C5839" s="7" t="n"/>
      <c r="D5839" s="7" t="n"/>
      <c r="E5839" s="7" t="n"/>
      <c r="F5839" s="7" t="n"/>
      <c r="G5839" s="7" t="n"/>
      <c r="H5839" s="7" t="n"/>
      <c r="I5839" s="7" t="n"/>
      <c r="J5839" s="7" t="n"/>
      <c r="K5839">
        <f>IF(D5839="Legitimate Interest (GDPR Art. 6(1)(f))", "Yes / Required (Sheet 3)", "")</f>
        <v/>
      </c>
      <c r="L5839" s="7" t="n"/>
      <c r="M5839" s="7" t="n"/>
      <c r="N5839">
        <f>IF(D5839="", "Gap - No Legal Basis", IF(AND(D5839="Consent (GDPR Art. 6(1)(a))", I5839="Not Captured"), "Gap - Invalid Consent", IF(AND(D5839="Legitimate Interest (GDPR Art. 6(1)(f))", L5839=""), "Gap - Missing LIA", IF(AND(G5839="Yes", H5839=""), "Gap - Missing Art. 9 Basis", IF(OR(I5839="Invalid - Not Freely Given", I5839="Invalid - Not Specific", I5839="Invalid - Not Informed", I5839="Invalid - Ambiguous"), "Gap - Invalid Consent", "Compliant")))))</f>
        <v/>
      </c>
      <c r="O5839" s="7" t="n"/>
    </row>
    <row r="5840">
      <c r="A5840" s="7" t="n"/>
      <c r="B5840" s="7" t="n"/>
      <c r="C5840" s="7" t="n"/>
      <c r="D5840" s="7" t="n"/>
      <c r="E5840" s="7" t="n"/>
      <c r="F5840" s="7" t="n"/>
      <c r="G5840" s="7" t="n"/>
      <c r="H5840" s="7" t="n"/>
      <c r="I5840" s="7" t="n"/>
      <c r="J5840" s="7" t="n"/>
      <c r="K5840">
        <f>IF(D5840="Legitimate Interest (GDPR Art. 6(1)(f))", "Yes / Required (Sheet 3)", "")</f>
        <v/>
      </c>
      <c r="L5840" s="7" t="n"/>
      <c r="M5840" s="7" t="n"/>
      <c r="N5840">
        <f>IF(D5840="", "Gap - No Legal Basis", IF(AND(D5840="Consent (GDPR Art. 6(1)(a))", I5840="Not Captured"), "Gap - Invalid Consent", IF(AND(D5840="Legitimate Interest (GDPR Art. 6(1)(f))", L5840=""), "Gap - Missing LIA", IF(AND(G5840="Yes", H5840=""), "Gap - Missing Art. 9 Basis", IF(OR(I5840="Invalid - Not Freely Given", I5840="Invalid - Not Specific", I5840="Invalid - Not Informed", I5840="Invalid - Ambiguous"), "Gap - Invalid Consent", "Compliant")))))</f>
        <v/>
      </c>
      <c r="O5840" s="7" t="n"/>
    </row>
    <row r="5841">
      <c r="A5841" s="7" t="n"/>
      <c r="B5841" s="7" t="n"/>
      <c r="C5841" s="7" t="n"/>
      <c r="D5841" s="7" t="n"/>
      <c r="E5841" s="7" t="n"/>
      <c r="F5841" s="7" t="n"/>
      <c r="G5841" s="7" t="n"/>
      <c r="H5841" s="7" t="n"/>
      <c r="I5841" s="7" t="n"/>
      <c r="J5841" s="7" t="n"/>
      <c r="K5841">
        <f>IF(D5841="Legitimate Interest (GDPR Art. 6(1)(f))", "Yes / Required (Sheet 3)", "")</f>
        <v/>
      </c>
      <c r="L5841" s="7" t="n"/>
      <c r="M5841" s="7" t="n"/>
      <c r="N5841">
        <f>IF(D5841="", "Gap - No Legal Basis", IF(AND(D5841="Consent (GDPR Art. 6(1)(a))", I5841="Not Captured"), "Gap - Invalid Consent", IF(AND(D5841="Legitimate Interest (GDPR Art. 6(1)(f))", L5841=""), "Gap - Missing LIA", IF(AND(G5841="Yes", H5841=""), "Gap - Missing Art. 9 Basis", IF(OR(I5841="Invalid - Not Freely Given", I5841="Invalid - Not Specific", I5841="Invalid - Not Informed", I5841="Invalid - Ambiguous"), "Gap - Invalid Consent", "Compliant")))))</f>
        <v/>
      </c>
      <c r="O5841" s="7" t="n"/>
    </row>
    <row r="5842">
      <c r="A5842" s="7" t="n"/>
      <c r="B5842" s="7" t="n"/>
      <c r="C5842" s="7" t="n"/>
      <c r="D5842" s="7" t="n"/>
      <c r="E5842" s="7" t="n"/>
      <c r="F5842" s="7" t="n"/>
      <c r="G5842" s="7" t="n"/>
      <c r="H5842" s="7" t="n"/>
      <c r="I5842" s="7" t="n"/>
      <c r="J5842" s="7" t="n"/>
      <c r="K5842">
        <f>IF(D5842="Legitimate Interest (GDPR Art. 6(1)(f))", "Yes / Required (Sheet 3)", "")</f>
        <v/>
      </c>
      <c r="L5842" s="7" t="n"/>
      <c r="M5842" s="7" t="n"/>
      <c r="N5842">
        <f>IF(D5842="", "Gap - No Legal Basis", IF(AND(D5842="Consent (GDPR Art. 6(1)(a))", I5842="Not Captured"), "Gap - Invalid Consent", IF(AND(D5842="Legitimate Interest (GDPR Art. 6(1)(f))", L5842=""), "Gap - Missing LIA", IF(AND(G5842="Yes", H5842=""), "Gap - Missing Art. 9 Basis", IF(OR(I5842="Invalid - Not Freely Given", I5842="Invalid - Not Specific", I5842="Invalid - Not Informed", I5842="Invalid - Ambiguous"), "Gap - Invalid Consent", "Compliant")))))</f>
        <v/>
      </c>
      <c r="O5842" s="7" t="n"/>
    </row>
    <row r="5843">
      <c r="A5843" s="7" t="n"/>
      <c r="B5843" s="7" t="n"/>
      <c r="C5843" s="7" t="n"/>
      <c r="D5843" s="7" t="n"/>
      <c r="E5843" s="7" t="n"/>
      <c r="F5843" s="7" t="n"/>
      <c r="G5843" s="7" t="n"/>
      <c r="H5843" s="7" t="n"/>
      <c r="I5843" s="7" t="n"/>
      <c r="J5843" s="7" t="n"/>
      <c r="K5843">
        <f>IF(D5843="Legitimate Interest (GDPR Art. 6(1)(f))", "Yes / Required (Sheet 3)", "")</f>
        <v/>
      </c>
      <c r="L5843" s="7" t="n"/>
      <c r="M5843" s="7" t="n"/>
      <c r="N5843">
        <f>IF(D5843="", "Gap - No Legal Basis", IF(AND(D5843="Consent (GDPR Art. 6(1)(a))", I5843="Not Captured"), "Gap - Invalid Consent", IF(AND(D5843="Legitimate Interest (GDPR Art. 6(1)(f))", L5843=""), "Gap - Missing LIA", IF(AND(G5843="Yes", H5843=""), "Gap - Missing Art. 9 Basis", IF(OR(I5843="Invalid - Not Freely Given", I5843="Invalid - Not Specific", I5843="Invalid - Not Informed", I5843="Invalid - Ambiguous"), "Gap - Invalid Consent", "Compliant")))))</f>
        <v/>
      </c>
      <c r="O5843" s="7" t="n"/>
    </row>
    <row r="5844">
      <c r="A5844" s="7" t="n"/>
      <c r="B5844" s="7" t="n"/>
      <c r="C5844" s="7" t="n"/>
      <c r="D5844" s="7" t="n"/>
      <c r="E5844" s="7" t="n"/>
      <c r="F5844" s="7" t="n"/>
      <c r="G5844" s="7" t="n"/>
      <c r="H5844" s="7" t="n"/>
      <c r="I5844" s="7" t="n"/>
      <c r="J5844" s="7" t="n"/>
      <c r="K5844">
        <f>IF(D5844="Legitimate Interest (GDPR Art. 6(1)(f))", "Yes / Required (Sheet 3)", "")</f>
        <v/>
      </c>
      <c r="L5844" s="7" t="n"/>
      <c r="M5844" s="7" t="n"/>
      <c r="N5844">
        <f>IF(D5844="", "Gap - No Legal Basis", IF(AND(D5844="Consent (GDPR Art. 6(1)(a))", I5844="Not Captured"), "Gap - Invalid Consent", IF(AND(D5844="Legitimate Interest (GDPR Art. 6(1)(f))", L5844=""), "Gap - Missing LIA", IF(AND(G5844="Yes", H5844=""), "Gap - Missing Art. 9 Basis", IF(OR(I5844="Invalid - Not Freely Given", I5844="Invalid - Not Specific", I5844="Invalid - Not Informed", I5844="Invalid - Ambiguous"), "Gap - Invalid Consent", "Compliant")))))</f>
        <v/>
      </c>
      <c r="O5844" s="7" t="n"/>
    </row>
    <row r="5845">
      <c r="A5845" s="7" t="n"/>
      <c r="B5845" s="7" t="n"/>
      <c r="C5845" s="7" t="n"/>
      <c r="D5845" s="7" t="n"/>
      <c r="E5845" s="7" t="n"/>
      <c r="F5845" s="7" t="n"/>
      <c r="G5845" s="7" t="n"/>
      <c r="H5845" s="7" t="n"/>
      <c r="I5845" s="7" t="n"/>
      <c r="J5845" s="7" t="n"/>
      <c r="K5845">
        <f>IF(D5845="Legitimate Interest (GDPR Art. 6(1)(f))", "Yes / Required (Sheet 3)", "")</f>
        <v/>
      </c>
      <c r="L5845" s="7" t="n"/>
      <c r="M5845" s="7" t="n"/>
      <c r="N5845">
        <f>IF(D5845="", "Gap - No Legal Basis", IF(AND(D5845="Consent (GDPR Art. 6(1)(a))", I5845="Not Captured"), "Gap - Invalid Consent", IF(AND(D5845="Legitimate Interest (GDPR Art. 6(1)(f))", L5845=""), "Gap - Missing LIA", IF(AND(G5845="Yes", H5845=""), "Gap - Missing Art. 9 Basis", IF(OR(I5845="Invalid - Not Freely Given", I5845="Invalid - Not Specific", I5845="Invalid - Not Informed", I5845="Invalid - Ambiguous"), "Gap - Invalid Consent", "Compliant")))))</f>
        <v/>
      </c>
      <c r="O5845" s="7" t="n"/>
    </row>
    <row r="5846">
      <c r="A5846" s="7" t="n"/>
      <c r="B5846" s="7" t="n"/>
      <c r="C5846" s="7" t="n"/>
      <c r="D5846" s="7" t="n"/>
      <c r="E5846" s="7" t="n"/>
      <c r="F5846" s="7" t="n"/>
      <c r="G5846" s="7" t="n"/>
      <c r="H5846" s="7" t="n"/>
      <c r="I5846" s="7" t="n"/>
      <c r="J5846" s="7" t="n"/>
      <c r="K5846">
        <f>IF(D5846="Legitimate Interest (GDPR Art. 6(1)(f))", "Yes / Required (Sheet 3)", "")</f>
        <v/>
      </c>
      <c r="L5846" s="7" t="n"/>
      <c r="M5846" s="7" t="n"/>
      <c r="N5846">
        <f>IF(D5846="", "Gap - No Legal Basis", IF(AND(D5846="Consent (GDPR Art. 6(1)(a))", I5846="Not Captured"), "Gap - Invalid Consent", IF(AND(D5846="Legitimate Interest (GDPR Art. 6(1)(f))", L5846=""), "Gap - Missing LIA", IF(AND(G5846="Yes", H5846=""), "Gap - Missing Art. 9 Basis", IF(OR(I5846="Invalid - Not Freely Given", I5846="Invalid - Not Specific", I5846="Invalid - Not Informed", I5846="Invalid - Ambiguous"), "Gap - Invalid Consent", "Compliant")))))</f>
        <v/>
      </c>
      <c r="O5846" s="7" t="n"/>
    </row>
    <row r="5847">
      <c r="A5847" s="7" t="n"/>
      <c r="B5847" s="7" t="n"/>
      <c r="C5847" s="7" t="n"/>
      <c r="D5847" s="7" t="n"/>
      <c r="E5847" s="7" t="n"/>
      <c r="F5847" s="7" t="n"/>
      <c r="G5847" s="7" t="n"/>
      <c r="H5847" s="7" t="n"/>
      <c r="I5847" s="7" t="n"/>
      <c r="J5847" s="7" t="n"/>
      <c r="K5847">
        <f>IF(D5847="Legitimate Interest (GDPR Art. 6(1)(f))", "Yes / Required (Sheet 3)", "")</f>
        <v/>
      </c>
      <c r="L5847" s="7" t="n"/>
      <c r="M5847" s="7" t="n"/>
      <c r="N5847">
        <f>IF(D5847="", "Gap - No Legal Basis", IF(AND(D5847="Consent (GDPR Art. 6(1)(a))", I5847="Not Captured"), "Gap - Invalid Consent", IF(AND(D5847="Legitimate Interest (GDPR Art. 6(1)(f))", L5847=""), "Gap - Missing LIA", IF(AND(G5847="Yes", H5847=""), "Gap - Missing Art. 9 Basis", IF(OR(I5847="Invalid - Not Freely Given", I5847="Invalid - Not Specific", I5847="Invalid - Not Informed", I5847="Invalid - Ambiguous"), "Gap - Invalid Consent", "Compliant")))))</f>
        <v/>
      </c>
      <c r="O5847" s="7" t="n"/>
    </row>
    <row r="5848">
      <c r="A5848" s="7" t="n"/>
      <c r="B5848" s="7" t="n"/>
      <c r="C5848" s="7" t="n"/>
      <c r="D5848" s="7" t="n"/>
      <c r="E5848" s="7" t="n"/>
      <c r="F5848" s="7" t="n"/>
      <c r="G5848" s="7" t="n"/>
      <c r="H5848" s="7" t="n"/>
      <c r="I5848" s="7" t="n"/>
      <c r="J5848" s="7" t="n"/>
      <c r="K5848">
        <f>IF(D5848="Legitimate Interest (GDPR Art. 6(1)(f))", "Yes / Required (Sheet 3)", "")</f>
        <v/>
      </c>
      <c r="L5848" s="7" t="n"/>
      <c r="M5848" s="7" t="n"/>
      <c r="N5848">
        <f>IF(D5848="", "Gap - No Legal Basis", IF(AND(D5848="Consent (GDPR Art. 6(1)(a))", I5848="Not Captured"), "Gap - Invalid Consent", IF(AND(D5848="Legitimate Interest (GDPR Art. 6(1)(f))", L5848=""), "Gap - Missing LIA", IF(AND(G5848="Yes", H5848=""), "Gap - Missing Art. 9 Basis", IF(OR(I5848="Invalid - Not Freely Given", I5848="Invalid - Not Specific", I5848="Invalid - Not Informed", I5848="Invalid - Ambiguous"), "Gap - Invalid Consent", "Compliant")))))</f>
        <v/>
      </c>
      <c r="O5848" s="7" t="n"/>
    </row>
    <row r="5849">
      <c r="A5849" s="7" t="n"/>
      <c r="B5849" s="7" t="n"/>
      <c r="C5849" s="7" t="n"/>
      <c r="D5849" s="7" t="n"/>
      <c r="E5849" s="7" t="n"/>
      <c r="F5849" s="7" t="n"/>
      <c r="G5849" s="7" t="n"/>
      <c r="H5849" s="7" t="n"/>
      <c r="I5849" s="7" t="n"/>
      <c r="J5849" s="7" t="n"/>
      <c r="K5849">
        <f>IF(D5849="Legitimate Interest (GDPR Art. 6(1)(f))", "Yes / Required (Sheet 3)", "")</f>
        <v/>
      </c>
      <c r="L5849" s="7" t="n"/>
      <c r="M5849" s="7" t="n"/>
      <c r="N5849">
        <f>IF(D5849="", "Gap - No Legal Basis", IF(AND(D5849="Consent (GDPR Art. 6(1)(a))", I5849="Not Captured"), "Gap - Invalid Consent", IF(AND(D5849="Legitimate Interest (GDPR Art. 6(1)(f))", L5849=""), "Gap - Missing LIA", IF(AND(G5849="Yes", H5849=""), "Gap - Missing Art. 9 Basis", IF(OR(I5849="Invalid - Not Freely Given", I5849="Invalid - Not Specific", I5849="Invalid - Not Informed", I5849="Invalid - Ambiguous"), "Gap - Invalid Consent", "Compliant")))))</f>
        <v/>
      </c>
      <c r="O5849" s="7" t="n"/>
    </row>
    <row r="5850">
      <c r="A5850" s="7" t="n"/>
      <c r="B5850" s="7" t="n"/>
      <c r="C5850" s="7" t="n"/>
      <c r="D5850" s="7" t="n"/>
      <c r="E5850" s="7" t="n"/>
      <c r="F5850" s="7" t="n"/>
      <c r="G5850" s="7" t="n"/>
      <c r="H5850" s="7" t="n"/>
      <c r="I5850" s="7" t="n"/>
      <c r="J5850" s="7" t="n"/>
      <c r="K5850">
        <f>IF(D5850="Legitimate Interest (GDPR Art. 6(1)(f))", "Yes / Required (Sheet 3)", "")</f>
        <v/>
      </c>
      <c r="L5850" s="7" t="n"/>
      <c r="M5850" s="7" t="n"/>
      <c r="N5850">
        <f>IF(D5850="", "Gap - No Legal Basis", IF(AND(D5850="Consent (GDPR Art. 6(1)(a))", I5850="Not Captured"), "Gap - Invalid Consent", IF(AND(D5850="Legitimate Interest (GDPR Art. 6(1)(f))", L5850=""), "Gap - Missing LIA", IF(AND(G5850="Yes", H5850=""), "Gap - Missing Art. 9 Basis", IF(OR(I5850="Invalid - Not Freely Given", I5850="Invalid - Not Specific", I5850="Invalid - Not Informed", I5850="Invalid - Ambiguous"), "Gap - Invalid Consent", "Compliant")))))</f>
        <v/>
      </c>
      <c r="O5850" s="7" t="n"/>
    </row>
    <row r="5851">
      <c r="A5851" s="7" t="n"/>
      <c r="B5851" s="7" t="n"/>
      <c r="C5851" s="7" t="n"/>
      <c r="D5851" s="7" t="n"/>
      <c r="E5851" s="7" t="n"/>
      <c r="F5851" s="7" t="n"/>
      <c r="G5851" s="7" t="n"/>
      <c r="H5851" s="7" t="n"/>
      <c r="I5851" s="7" t="n"/>
      <c r="J5851" s="7" t="n"/>
      <c r="K5851">
        <f>IF(D5851="Legitimate Interest (GDPR Art. 6(1)(f))", "Yes / Required (Sheet 3)", "")</f>
        <v/>
      </c>
      <c r="L5851" s="7" t="n"/>
      <c r="M5851" s="7" t="n"/>
      <c r="N5851">
        <f>IF(D5851="", "Gap - No Legal Basis", IF(AND(D5851="Consent (GDPR Art. 6(1)(a))", I5851="Not Captured"), "Gap - Invalid Consent", IF(AND(D5851="Legitimate Interest (GDPR Art. 6(1)(f))", L5851=""), "Gap - Missing LIA", IF(AND(G5851="Yes", H5851=""), "Gap - Missing Art. 9 Basis", IF(OR(I5851="Invalid - Not Freely Given", I5851="Invalid - Not Specific", I5851="Invalid - Not Informed", I5851="Invalid - Ambiguous"), "Gap - Invalid Consent", "Compliant")))))</f>
        <v/>
      </c>
      <c r="O5851" s="7" t="n"/>
    </row>
    <row r="5852">
      <c r="A5852" s="7" t="n"/>
      <c r="B5852" s="7" t="n"/>
      <c r="C5852" s="7" t="n"/>
      <c r="D5852" s="7" t="n"/>
      <c r="E5852" s="7" t="n"/>
      <c r="F5852" s="7" t="n"/>
      <c r="G5852" s="7" t="n"/>
      <c r="H5852" s="7" t="n"/>
      <c r="I5852" s="7" t="n"/>
      <c r="J5852" s="7" t="n"/>
      <c r="K5852">
        <f>IF(D5852="Legitimate Interest (GDPR Art. 6(1)(f))", "Yes / Required (Sheet 3)", "")</f>
        <v/>
      </c>
      <c r="L5852" s="7" t="n"/>
      <c r="M5852" s="7" t="n"/>
      <c r="N5852">
        <f>IF(D5852="", "Gap - No Legal Basis", IF(AND(D5852="Consent (GDPR Art. 6(1)(a))", I5852="Not Captured"), "Gap - Invalid Consent", IF(AND(D5852="Legitimate Interest (GDPR Art. 6(1)(f))", L5852=""), "Gap - Missing LIA", IF(AND(G5852="Yes", H5852=""), "Gap - Missing Art. 9 Basis", IF(OR(I5852="Invalid - Not Freely Given", I5852="Invalid - Not Specific", I5852="Invalid - Not Informed", I5852="Invalid - Ambiguous"), "Gap - Invalid Consent", "Compliant")))))</f>
        <v/>
      </c>
      <c r="O5852" s="7" t="n"/>
    </row>
    <row r="5853">
      <c r="A5853" s="7" t="n"/>
      <c r="B5853" s="7" t="n"/>
      <c r="C5853" s="7" t="n"/>
      <c r="D5853" s="7" t="n"/>
      <c r="E5853" s="7" t="n"/>
      <c r="F5853" s="7" t="n"/>
      <c r="G5853" s="7" t="n"/>
      <c r="H5853" s="7" t="n"/>
      <c r="I5853" s="7" t="n"/>
      <c r="J5853" s="7" t="n"/>
      <c r="K5853">
        <f>IF(D5853="Legitimate Interest (GDPR Art. 6(1)(f))", "Yes / Required (Sheet 3)", "")</f>
        <v/>
      </c>
      <c r="L5853" s="7" t="n"/>
      <c r="M5853" s="7" t="n"/>
      <c r="N5853">
        <f>IF(D5853="", "Gap - No Legal Basis", IF(AND(D5853="Consent (GDPR Art. 6(1)(a))", I5853="Not Captured"), "Gap - Invalid Consent", IF(AND(D5853="Legitimate Interest (GDPR Art. 6(1)(f))", L5853=""), "Gap - Missing LIA", IF(AND(G5853="Yes", H5853=""), "Gap - Missing Art. 9 Basis", IF(OR(I5853="Invalid - Not Freely Given", I5853="Invalid - Not Specific", I5853="Invalid - Not Informed", I5853="Invalid - Ambiguous"), "Gap - Invalid Consent", "Compliant")))))</f>
        <v/>
      </c>
      <c r="O5853" s="7" t="n"/>
    </row>
    <row r="5854">
      <c r="A5854" s="7" t="n"/>
      <c r="B5854" s="7" t="n"/>
      <c r="C5854" s="7" t="n"/>
      <c r="D5854" s="7" t="n"/>
      <c r="E5854" s="7" t="n"/>
      <c r="F5854" s="7" t="n"/>
      <c r="G5854" s="7" t="n"/>
      <c r="H5854" s="7" t="n"/>
      <c r="I5854" s="7" t="n"/>
      <c r="J5854" s="7" t="n"/>
      <c r="K5854">
        <f>IF(D5854="Legitimate Interest (GDPR Art. 6(1)(f))", "Yes / Required (Sheet 3)", "")</f>
        <v/>
      </c>
      <c r="L5854" s="7" t="n"/>
      <c r="M5854" s="7" t="n"/>
      <c r="N5854">
        <f>IF(D5854="", "Gap - No Legal Basis", IF(AND(D5854="Consent (GDPR Art. 6(1)(a))", I5854="Not Captured"), "Gap - Invalid Consent", IF(AND(D5854="Legitimate Interest (GDPR Art. 6(1)(f))", L5854=""), "Gap - Missing LIA", IF(AND(G5854="Yes", H5854=""), "Gap - Missing Art. 9 Basis", IF(OR(I5854="Invalid - Not Freely Given", I5854="Invalid - Not Specific", I5854="Invalid - Not Informed", I5854="Invalid - Ambiguous"), "Gap - Invalid Consent", "Compliant")))))</f>
        <v/>
      </c>
      <c r="O5854" s="7" t="n"/>
    </row>
    <row r="5855">
      <c r="A5855" s="7" t="n"/>
      <c r="B5855" s="7" t="n"/>
      <c r="C5855" s="7" t="n"/>
      <c r="D5855" s="7" t="n"/>
      <c r="E5855" s="7" t="n"/>
      <c r="F5855" s="7" t="n"/>
      <c r="G5855" s="7" t="n"/>
      <c r="H5855" s="7" t="n"/>
      <c r="I5855" s="7" t="n"/>
      <c r="J5855" s="7" t="n"/>
      <c r="K5855">
        <f>IF(D5855="Legitimate Interest (GDPR Art. 6(1)(f))", "Yes / Required (Sheet 3)", "")</f>
        <v/>
      </c>
      <c r="L5855" s="7" t="n"/>
      <c r="M5855" s="7" t="n"/>
      <c r="N5855">
        <f>IF(D5855="", "Gap - No Legal Basis", IF(AND(D5855="Consent (GDPR Art. 6(1)(a))", I5855="Not Captured"), "Gap - Invalid Consent", IF(AND(D5855="Legitimate Interest (GDPR Art. 6(1)(f))", L5855=""), "Gap - Missing LIA", IF(AND(G5855="Yes", H5855=""), "Gap - Missing Art. 9 Basis", IF(OR(I5855="Invalid - Not Freely Given", I5855="Invalid - Not Specific", I5855="Invalid - Not Informed", I5855="Invalid - Ambiguous"), "Gap - Invalid Consent", "Compliant")))))</f>
        <v/>
      </c>
      <c r="O5855" s="7" t="n"/>
    </row>
    <row r="5856">
      <c r="A5856" s="7" t="n"/>
      <c r="B5856" s="7" t="n"/>
      <c r="C5856" s="7" t="n"/>
      <c r="D5856" s="7" t="n"/>
      <c r="E5856" s="7" t="n"/>
      <c r="F5856" s="7" t="n"/>
      <c r="G5856" s="7" t="n"/>
      <c r="H5856" s="7" t="n"/>
      <c r="I5856" s="7" t="n"/>
      <c r="J5856" s="7" t="n"/>
      <c r="K5856">
        <f>IF(D5856="Legitimate Interest (GDPR Art. 6(1)(f))", "Yes / Required (Sheet 3)", "")</f>
        <v/>
      </c>
      <c r="L5856" s="7" t="n"/>
      <c r="M5856" s="7" t="n"/>
      <c r="N5856">
        <f>IF(D5856="", "Gap - No Legal Basis", IF(AND(D5856="Consent (GDPR Art. 6(1)(a))", I5856="Not Captured"), "Gap - Invalid Consent", IF(AND(D5856="Legitimate Interest (GDPR Art. 6(1)(f))", L5856=""), "Gap - Missing LIA", IF(AND(G5856="Yes", H5856=""), "Gap - Missing Art. 9 Basis", IF(OR(I5856="Invalid - Not Freely Given", I5856="Invalid - Not Specific", I5856="Invalid - Not Informed", I5856="Invalid - Ambiguous"), "Gap - Invalid Consent", "Compliant")))))</f>
        <v/>
      </c>
      <c r="O5856" s="7" t="n"/>
    </row>
    <row r="5857">
      <c r="A5857" s="7" t="n"/>
      <c r="B5857" s="7" t="n"/>
      <c r="C5857" s="7" t="n"/>
      <c r="D5857" s="7" t="n"/>
      <c r="E5857" s="7" t="n"/>
      <c r="F5857" s="7" t="n"/>
      <c r="G5857" s="7" t="n"/>
      <c r="H5857" s="7" t="n"/>
      <c r="I5857" s="7" t="n"/>
      <c r="J5857" s="7" t="n"/>
      <c r="K5857">
        <f>IF(D5857="Legitimate Interest (GDPR Art. 6(1)(f))", "Yes / Required (Sheet 3)", "")</f>
        <v/>
      </c>
      <c r="L5857" s="7" t="n"/>
      <c r="M5857" s="7" t="n"/>
      <c r="N5857">
        <f>IF(D5857="", "Gap - No Legal Basis", IF(AND(D5857="Consent (GDPR Art. 6(1)(a))", I5857="Not Captured"), "Gap - Invalid Consent", IF(AND(D5857="Legitimate Interest (GDPR Art. 6(1)(f))", L5857=""), "Gap - Missing LIA", IF(AND(G5857="Yes", H5857=""), "Gap - Missing Art. 9 Basis", IF(OR(I5857="Invalid - Not Freely Given", I5857="Invalid - Not Specific", I5857="Invalid - Not Informed", I5857="Invalid - Ambiguous"), "Gap - Invalid Consent", "Compliant")))))</f>
        <v/>
      </c>
      <c r="O5857" s="7" t="n"/>
    </row>
    <row r="5858">
      <c r="A5858" s="7" t="n"/>
      <c r="B5858" s="7" t="n"/>
      <c r="C5858" s="7" t="n"/>
      <c r="D5858" s="7" t="n"/>
      <c r="E5858" s="7" t="n"/>
      <c r="F5858" s="7" t="n"/>
      <c r="G5858" s="7" t="n"/>
      <c r="H5858" s="7" t="n"/>
      <c r="I5858" s="7" t="n"/>
      <c r="J5858" s="7" t="n"/>
      <c r="K5858">
        <f>IF(D5858="Legitimate Interest (GDPR Art. 6(1)(f))", "Yes / Required (Sheet 3)", "")</f>
        <v/>
      </c>
      <c r="L5858" s="7" t="n"/>
      <c r="M5858" s="7" t="n"/>
      <c r="N5858">
        <f>IF(D5858="", "Gap - No Legal Basis", IF(AND(D5858="Consent (GDPR Art. 6(1)(a))", I5858="Not Captured"), "Gap - Invalid Consent", IF(AND(D5858="Legitimate Interest (GDPR Art. 6(1)(f))", L5858=""), "Gap - Missing LIA", IF(AND(G5858="Yes", H5858=""), "Gap - Missing Art. 9 Basis", IF(OR(I5858="Invalid - Not Freely Given", I5858="Invalid - Not Specific", I5858="Invalid - Not Informed", I5858="Invalid - Ambiguous"), "Gap - Invalid Consent", "Compliant")))))</f>
        <v/>
      </c>
      <c r="O5858" s="7" t="n"/>
    </row>
    <row r="5859">
      <c r="A5859" s="7" t="n"/>
      <c r="B5859" s="7" t="n"/>
      <c r="C5859" s="7" t="n"/>
      <c r="D5859" s="7" t="n"/>
      <c r="E5859" s="7" t="n"/>
      <c r="F5859" s="7" t="n"/>
      <c r="G5859" s="7" t="n"/>
      <c r="H5859" s="7" t="n"/>
      <c r="I5859" s="7" t="n"/>
      <c r="J5859" s="7" t="n"/>
      <c r="K5859">
        <f>IF(D5859="Legitimate Interest (GDPR Art. 6(1)(f))", "Yes / Required (Sheet 3)", "")</f>
        <v/>
      </c>
      <c r="L5859" s="7" t="n"/>
      <c r="M5859" s="7" t="n"/>
      <c r="N5859">
        <f>IF(D5859="", "Gap - No Legal Basis", IF(AND(D5859="Consent (GDPR Art. 6(1)(a))", I5859="Not Captured"), "Gap - Invalid Consent", IF(AND(D5859="Legitimate Interest (GDPR Art. 6(1)(f))", L5859=""), "Gap - Missing LIA", IF(AND(G5859="Yes", H5859=""), "Gap - Missing Art. 9 Basis", IF(OR(I5859="Invalid - Not Freely Given", I5859="Invalid - Not Specific", I5859="Invalid - Not Informed", I5859="Invalid - Ambiguous"), "Gap - Invalid Consent", "Compliant")))))</f>
        <v/>
      </c>
      <c r="O5859" s="7" t="n"/>
    </row>
    <row r="5860">
      <c r="A5860" s="7" t="n"/>
      <c r="B5860" s="7" t="n"/>
      <c r="C5860" s="7" t="n"/>
      <c r="D5860" s="7" t="n"/>
      <c r="E5860" s="7" t="n"/>
      <c r="F5860" s="7" t="n"/>
      <c r="G5860" s="7" t="n"/>
      <c r="H5860" s="7" t="n"/>
      <c r="I5860" s="7" t="n"/>
      <c r="J5860" s="7" t="n"/>
      <c r="K5860">
        <f>IF(D5860="Legitimate Interest (GDPR Art. 6(1)(f))", "Yes / Required (Sheet 3)", "")</f>
        <v/>
      </c>
      <c r="L5860" s="7" t="n"/>
      <c r="M5860" s="7" t="n"/>
      <c r="N5860">
        <f>IF(D5860="", "Gap - No Legal Basis", IF(AND(D5860="Consent (GDPR Art. 6(1)(a))", I5860="Not Captured"), "Gap - Invalid Consent", IF(AND(D5860="Legitimate Interest (GDPR Art. 6(1)(f))", L5860=""), "Gap - Missing LIA", IF(AND(G5860="Yes", H5860=""), "Gap - Missing Art. 9 Basis", IF(OR(I5860="Invalid - Not Freely Given", I5860="Invalid - Not Specific", I5860="Invalid - Not Informed", I5860="Invalid - Ambiguous"), "Gap - Invalid Consent", "Compliant")))))</f>
        <v/>
      </c>
      <c r="O5860" s="7" t="n"/>
    </row>
    <row r="5861">
      <c r="A5861" s="7" t="n"/>
      <c r="B5861" s="7" t="n"/>
      <c r="C5861" s="7" t="n"/>
      <c r="D5861" s="7" t="n"/>
      <c r="E5861" s="7" t="n"/>
      <c r="F5861" s="7" t="n"/>
      <c r="G5861" s="7" t="n"/>
      <c r="H5861" s="7" t="n"/>
      <c r="I5861" s="7" t="n"/>
      <c r="J5861" s="7" t="n"/>
      <c r="K5861">
        <f>IF(D5861="Legitimate Interest (GDPR Art. 6(1)(f))", "Yes / Required (Sheet 3)", "")</f>
        <v/>
      </c>
      <c r="L5861" s="7" t="n"/>
      <c r="M5861" s="7" t="n"/>
      <c r="N5861">
        <f>IF(D5861="", "Gap - No Legal Basis", IF(AND(D5861="Consent (GDPR Art. 6(1)(a))", I5861="Not Captured"), "Gap - Invalid Consent", IF(AND(D5861="Legitimate Interest (GDPR Art. 6(1)(f))", L5861=""), "Gap - Missing LIA", IF(AND(G5861="Yes", H5861=""), "Gap - Missing Art. 9 Basis", IF(OR(I5861="Invalid - Not Freely Given", I5861="Invalid - Not Specific", I5861="Invalid - Not Informed", I5861="Invalid - Ambiguous"), "Gap - Invalid Consent", "Compliant")))))</f>
        <v/>
      </c>
      <c r="O5861" s="7" t="n"/>
    </row>
    <row r="5862">
      <c r="A5862" s="7" t="n"/>
      <c r="B5862" s="7" t="n"/>
      <c r="C5862" s="7" t="n"/>
      <c r="D5862" s="7" t="n"/>
      <c r="E5862" s="7" t="n"/>
      <c r="F5862" s="7" t="n"/>
      <c r="G5862" s="7" t="n"/>
      <c r="H5862" s="7" t="n"/>
      <c r="I5862" s="7" t="n"/>
      <c r="J5862" s="7" t="n"/>
      <c r="K5862">
        <f>IF(D5862="Legitimate Interest (GDPR Art. 6(1)(f))", "Yes / Required (Sheet 3)", "")</f>
        <v/>
      </c>
      <c r="L5862" s="7" t="n"/>
      <c r="M5862" s="7" t="n"/>
      <c r="N5862">
        <f>IF(D5862="", "Gap - No Legal Basis", IF(AND(D5862="Consent (GDPR Art. 6(1)(a))", I5862="Not Captured"), "Gap - Invalid Consent", IF(AND(D5862="Legitimate Interest (GDPR Art. 6(1)(f))", L5862=""), "Gap - Missing LIA", IF(AND(G5862="Yes", H5862=""), "Gap - Missing Art. 9 Basis", IF(OR(I5862="Invalid - Not Freely Given", I5862="Invalid - Not Specific", I5862="Invalid - Not Informed", I5862="Invalid - Ambiguous"), "Gap - Invalid Consent", "Compliant")))))</f>
        <v/>
      </c>
      <c r="O5862" s="7" t="n"/>
    </row>
    <row r="5863">
      <c r="A5863" s="7" t="n"/>
      <c r="B5863" s="7" t="n"/>
      <c r="C5863" s="7" t="n"/>
      <c r="D5863" s="7" t="n"/>
      <c r="E5863" s="7" t="n"/>
      <c r="F5863" s="7" t="n"/>
      <c r="G5863" s="7" t="n"/>
      <c r="H5863" s="7" t="n"/>
      <c r="I5863" s="7" t="n"/>
      <c r="J5863" s="7" t="n"/>
      <c r="K5863">
        <f>IF(D5863="Legitimate Interest (GDPR Art. 6(1)(f))", "Yes / Required (Sheet 3)", "")</f>
        <v/>
      </c>
      <c r="L5863" s="7" t="n"/>
      <c r="M5863" s="7" t="n"/>
      <c r="N5863">
        <f>IF(D5863="", "Gap - No Legal Basis", IF(AND(D5863="Consent (GDPR Art. 6(1)(a))", I5863="Not Captured"), "Gap - Invalid Consent", IF(AND(D5863="Legitimate Interest (GDPR Art. 6(1)(f))", L5863=""), "Gap - Missing LIA", IF(AND(G5863="Yes", H5863=""), "Gap - Missing Art. 9 Basis", IF(OR(I5863="Invalid - Not Freely Given", I5863="Invalid - Not Specific", I5863="Invalid - Not Informed", I5863="Invalid - Ambiguous"), "Gap - Invalid Consent", "Compliant")))))</f>
        <v/>
      </c>
      <c r="O5863" s="7" t="n"/>
    </row>
    <row r="5864">
      <c r="A5864" s="7" t="n"/>
      <c r="B5864" s="7" t="n"/>
      <c r="C5864" s="7" t="n"/>
      <c r="D5864" s="7" t="n"/>
      <c r="E5864" s="7" t="n"/>
      <c r="F5864" s="7" t="n"/>
      <c r="G5864" s="7" t="n"/>
      <c r="H5864" s="7" t="n"/>
      <c r="I5864" s="7" t="n"/>
      <c r="J5864" s="7" t="n"/>
      <c r="K5864">
        <f>IF(D5864="Legitimate Interest (GDPR Art. 6(1)(f))", "Yes / Required (Sheet 3)", "")</f>
        <v/>
      </c>
      <c r="L5864" s="7" t="n"/>
      <c r="M5864" s="7" t="n"/>
      <c r="N5864">
        <f>IF(D5864="", "Gap - No Legal Basis", IF(AND(D5864="Consent (GDPR Art. 6(1)(a))", I5864="Not Captured"), "Gap - Invalid Consent", IF(AND(D5864="Legitimate Interest (GDPR Art. 6(1)(f))", L5864=""), "Gap - Missing LIA", IF(AND(G5864="Yes", H5864=""), "Gap - Missing Art. 9 Basis", IF(OR(I5864="Invalid - Not Freely Given", I5864="Invalid - Not Specific", I5864="Invalid - Not Informed", I5864="Invalid - Ambiguous"), "Gap - Invalid Consent", "Compliant")))))</f>
        <v/>
      </c>
      <c r="O5864" s="7" t="n"/>
    </row>
    <row r="5865">
      <c r="A5865" s="7" t="n"/>
      <c r="B5865" s="7" t="n"/>
      <c r="C5865" s="7" t="n"/>
      <c r="D5865" s="7" t="n"/>
      <c r="E5865" s="7" t="n"/>
      <c r="F5865" s="7" t="n"/>
      <c r="G5865" s="7" t="n"/>
      <c r="H5865" s="7" t="n"/>
      <c r="I5865" s="7" t="n"/>
      <c r="J5865" s="7" t="n"/>
      <c r="K5865">
        <f>IF(D5865="Legitimate Interest (GDPR Art. 6(1)(f))", "Yes / Required (Sheet 3)", "")</f>
        <v/>
      </c>
      <c r="L5865" s="7" t="n"/>
      <c r="M5865" s="7" t="n"/>
      <c r="N5865">
        <f>IF(D5865="", "Gap - No Legal Basis", IF(AND(D5865="Consent (GDPR Art. 6(1)(a))", I5865="Not Captured"), "Gap - Invalid Consent", IF(AND(D5865="Legitimate Interest (GDPR Art. 6(1)(f))", L5865=""), "Gap - Missing LIA", IF(AND(G5865="Yes", H5865=""), "Gap - Missing Art. 9 Basis", IF(OR(I5865="Invalid - Not Freely Given", I5865="Invalid - Not Specific", I5865="Invalid - Not Informed", I5865="Invalid - Ambiguous"), "Gap - Invalid Consent", "Compliant")))))</f>
        <v/>
      </c>
      <c r="O5865" s="7" t="n"/>
    </row>
    <row r="5866">
      <c r="A5866" s="7" t="n"/>
      <c r="B5866" s="7" t="n"/>
      <c r="C5866" s="7" t="n"/>
      <c r="D5866" s="7" t="n"/>
      <c r="E5866" s="7" t="n"/>
      <c r="F5866" s="7" t="n"/>
      <c r="G5866" s="7" t="n"/>
      <c r="H5866" s="7" t="n"/>
      <c r="I5866" s="7" t="n"/>
      <c r="J5866" s="7" t="n"/>
      <c r="K5866">
        <f>IF(D5866="Legitimate Interest (GDPR Art. 6(1)(f))", "Yes / Required (Sheet 3)", "")</f>
        <v/>
      </c>
      <c r="L5866" s="7" t="n"/>
      <c r="M5866" s="7" t="n"/>
      <c r="N5866">
        <f>IF(D5866="", "Gap - No Legal Basis", IF(AND(D5866="Consent (GDPR Art. 6(1)(a))", I5866="Not Captured"), "Gap - Invalid Consent", IF(AND(D5866="Legitimate Interest (GDPR Art. 6(1)(f))", L5866=""), "Gap - Missing LIA", IF(AND(G5866="Yes", H5866=""), "Gap - Missing Art. 9 Basis", IF(OR(I5866="Invalid - Not Freely Given", I5866="Invalid - Not Specific", I5866="Invalid - Not Informed", I5866="Invalid - Ambiguous"), "Gap - Invalid Consent", "Compliant")))))</f>
        <v/>
      </c>
      <c r="O5866" s="7" t="n"/>
    </row>
    <row r="5867">
      <c r="A5867" s="7" t="n"/>
      <c r="B5867" s="7" t="n"/>
      <c r="C5867" s="7" t="n"/>
      <c r="D5867" s="7" t="n"/>
      <c r="E5867" s="7" t="n"/>
      <c r="F5867" s="7" t="n"/>
      <c r="G5867" s="7" t="n"/>
      <c r="H5867" s="7" t="n"/>
      <c r="I5867" s="7" t="n"/>
      <c r="J5867" s="7" t="n"/>
      <c r="K5867">
        <f>IF(D5867="Legitimate Interest (GDPR Art. 6(1)(f))", "Yes / Required (Sheet 3)", "")</f>
        <v/>
      </c>
      <c r="L5867" s="7" t="n"/>
      <c r="M5867" s="7" t="n"/>
      <c r="N5867">
        <f>IF(D5867="", "Gap - No Legal Basis", IF(AND(D5867="Consent (GDPR Art. 6(1)(a))", I5867="Not Captured"), "Gap - Invalid Consent", IF(AND(D5867="Legitimate Interest (GDPR Art. 6(1)(f))", L5867=""), "Gap - Missing LIA", IF(AND(G5867="Yes", H5867=""), "Gap - Missing Art. 9 Basis", IF(OR(I5867="Invalid - Not Freely Given", I5867="Invalid - Not Specific", I5867="Invalid - Not Informed", I5867="Invalid - Ambiguous"), "Gap - Invalid Consent", "Compliant")))))</f>
        <v/>
      </c>
      <c r="O5867" s="7" t="n"/>
    </row>
    <row r="5868">
      <c r="A5868" s="7" t="n"/>
      <c r="B5868" s="7" t="n"/>
      <c r="C5868" s="7" t="n"/>
      <c r="D5868" s="7" t="n"/>
      <c r="E5868" s="7" t="n"/>
      <c r="F5868" s="7" t="n"/>
      <c r="G5868" s="7" t="n"/>
      <c r="H5868" s="7" t="n"/>
      <c r="I5868" s="7" t="n"/>
      <c r="J5868" s="7" t="n"/>
      <c r="K5868">
        <f>IF(D5868="Legitimate Interest (GDPR Art. 6(1)(f))", "Yes / Required (Sheet 3)", "")</f>
        <v/>
      </c>
      <c r="L5868" s="7" t="n"/>
      <c r="M5868" s="7" t="n"/>
      <c r="N5868">
        <f>IF(D5868="", "Gap - No Legal Basis", IF(AND(D5868="Consent (GDPR Art. 6(1)(a))", I5868="Not Captured"), "Gap - Invalid Consent", IF(AND(D5868="Legitimate Interest (GDPR Art. 6(1)(f))", L5868=""), "Gap - Missing LIA", IF(AND(G5868="Yes", H5868=""), "Gap - Missing Art. 9 Basis", IF(OR(I5868="Invalid - Not Freely Given", I5868="Invalid - Not Specific", I5868="Invalid - Not Informed", I5868="Invalid - Ambiguous"), "Gap - Invalid Consent", "Compliant")))))</f>
        <v/>
      </c>
      <c r="O5868" s="7" t="n"/>
    </row>
    <row r="5869">
      <c r="A5869" s="7" t="n"/>
      <c r="B5869" s="7" t="n"/>
      <c r="C5869" s="7" t="n"/>
      <c r="D5869" s="7" t="n"/>
      <c r="E5869" s="7" t="n"/>
      <c r="F5869" s="7" t="n"/>
      <c r="G5869" s="7" t="n"/>
      <c r="H5869" s="7" t="n"/>
      <c r="I5869" s="7" t="n"/>
      <c r="J5869" s="7" t="n"/>
      <c r="K5869">
        <f>IF(D5869="Legitimate Interest (GDPR Art. 6(1)(f))", "Yes / Required (Sheet 3)", "")</f>
        <v/>
      </c>
      <c r="L5869" s="7" t="n"/>
      <c r="M5869" s="7" t="n"/>
      <c r="N5869">
        <f>IF(D5869="", "Gap - No Legal Basis", IF(AND(D5869="Consent (GDPR Art. 6(1)(a))", I5869="Not Captured"), "Gap - Invalid Consent", IF(AND(D5869="Legitimate Interest (GDPR Art. 6(1)(f))", L5869=""), "Gap - Missing LIA", IF(AND(G5869="Yes", H5869=""), "Gap - Missing Art. 9 Basis", IF(OR(I5869="Invalid - Not Freely Given", I5869="Invalid - Not Specific", I5869="Invalid - Not Informed", I5869="Invalid - Ambiguous"), "Gap - Invalid Consent", "Compliant")))))</f>
        <v/>
      </c>
      <c r="O5869" s="7" t="n"/>
    </row>
    <row r="5870">
      <c r="A5870" s="7" t="n"/>
      <c r="B5870" s="7" t="n"/>
      <c r="C5870" s="7" t="n"/>
      <c r="D5870" s="7" t="n"/>
      <c r="E5870" s="7" t="n"/>
      <c r="F5870" s="7" t="n"/>
      <c r="G5870" s="7" t="n"/>
      <c r="H5870" s="7" t="n"/>
      <c r="I5870" s="7" t="n"/>
      <c r="J5870" s="7" t="n"/>
      <c r="K5870">
        <f>IF(D5870="Legitimate Interest (GDPR Art. 6(1)(f))", "Yes / Required (Sheet 3)", "")</f>
        <v/>
      </c>
      <c r="L5870" s="7" t="n"/>
      <c r="M5870" s="7" t="n"/>
      <c r="N5870">
        <f>IF(D5870="", "Gap - No Legal Basis", IF(AND(D5870="Consent (GDPR Art. 6(1)(a))", I5870="Not Captured"), "Gap - Invalid Consent", IF(AND(D5870="Legitimate Interest (GDPR Art. 6(1)(f))", L5870=""), "Gap - Missing LIA", IF(AND(G5870="Yes", H5870=""), "Gap - Missing Art. 9 Basis", IF(OR(I5870="Invalid - Not Freely Given", I5870="Invalid - Not Specific", I5870="Invalid - Not Informed", I5870="Invalid - Ambiguous"), "Gap - Invalid Consent", "Compliant")))))</f>
        <v/>
      </c>
      <c r="O5870" s="7" t="n"/>
    </row>
    <row r="5871">
      <c r="A5871" s="7" t="n"/>
      <c r="B5871" s="7" t="n"/>
      <c r="C5871" s="7" t="n"/>
      <c r="D5871" s="7" t="n"/>
      <c r="E5871" s="7" t="n"/>
      <c r="F5871" s="7" t="n"/>
      <c r="G5871" s="7" t="n"/>
      <c r="H5871" s="7" t="n"/>
      <c r="I5871" s="7" t="n"/>
      <c r="J5871" s="7" t="n"/>
      <c r="K5871">
        <f>IF(D5871="Legitimate Interest (GDPR Art. 6(1)(f))", "Yes / Required (Sheet 3)", "")</f>
        <v/>
      </c>
      <c r="L5871" s="7" t="n"/>
      <c r="M5871" s="7" t="n"/>
      <c r="N5871">
        <f>IF(D5871="", "Gap - No Legal Basis", IF(AND(D5871="Consent (GDPR Art. 6(1)(a))", I5871="Not Captured"), "Gap - Invalid Consent", IF(AND(D5871="Legitimate Interest (GDPR Art. 6(1)(f))", L5871=""), "Gap - Missing LIA", IF(AND(G5871="Yes", H5871=""), "Gap - Missing Art. 9 Basis", IF(OR(I5871="Invalid - Not Freely Given", I5871="Invalid - Not Specific", I5871="Invalid - Not Informed", I5871="Invalid - Ambiguous"), "Gap - Invalid Consent", "Compliant")))))</f>
        <v/>
      </c>
      <c r="O5871" s="7" t="n"/>
    </row>
    <row r="5872">
      <c r="A5872" s="7" t="n"/>
      <c r="B5872" s="7" t="n"/>
      <c r="C5872" s="7" t="n"/>
      <c r="D5872" s="7" t="n"/>
      <c r="E5872" s="7" t="n"/>
      <c r="F5872" s="7" t="n"/>
      <c r="G5872" s="7" t="n"/>
      <c r="H5872" s="7" t="n"/>
      <c r="I5872" s="7" t="n"/>
      <c r="J5872" s="7" t="n"/>
      <c r="K5872">
        <f>IF(D5872="Legitimate Interest (GDPR Art. 6(1)(f))", "Yes / Required (Sheet 3)", "")</f>
        <v/>
      </c>
      <c r="L5872" s="7" t="n"/>
      <c r="M5872" s="7" t="n"/>
      <c r="N5872">
        <f>IF(D5872="", "Gap - No Legal Basis", IF(AND(D5872="Consent (GDPR Art. 6(1)(a))", I5872="Not Captured"), "Gap - Invalid Consent", IF(AND(D5872="Legitimate Interest (GDPR Art. 6(1)(f))", L5872=""), "Gap - Missing LIA", IF(AND(G5872="Yes", H5872=""), "Gap - Missing Art. 9 Basis", IF(OR(I5872="Invalid - Not Freely Given", I5872="Invalid - Not Specific", I5872="Invalid - Not Informed", I5872="Invalid - Ambiguous"), "Gap - Invalid Consent", "Compliant")))))</f>
        <v/>
      </c>
      <c r="O5872" s="7" t="n"/>
    </row>
    <row r="5873">
      <c r="A5873" s="7" t="n"/>
      <c r="B5873" s="7" t="n"/>
      <c r="C5873" s="7" t="n"/>
      <c r="D5873" s="7" t="n"/>
      <c r="E5873" s="7" t="n"/>
      <c r="F5873" s="7" t="n"/>
      <c r="G5873" s="7" t="n"/>
      <c r="H5873" s="7" t="n"/>
      <c r="I5873" s="7" t="n"/>
      <c r="J5873" s="7" t="n"/>
      <c r="K5873">
        <f>IF(D5873="Legitimate Interest (GDPR Art. 6(1)(f))", "Yes / Required (Sheet 3)", "")</f>
        <v/>
      </c>
      <c r="L5873" s="7" t="n"/>
      <c r="M5873" s="7" t="n"/>
      <c r="N5873">
        <f>IF(D5873="", "Gap - No Legal Basis", IF(AND(D5873="Consent (GDPR Art. 6(1)(a))", I5873="Not Captured"), "Gap - Invalid Consent", IF(AND(D5873="Legitimate Interest (GDPR Art. 6(1)(f))", L5873=""), "Gap - Missing LIA", IF(AND(G5873="Yes", H5873=""), "Gap - Missing Art. 9 Basis", IF(OR(I5873="Invalid - Not Freely Given", I5873="Invalid - Not Specific", I5873="Invalid - Not Informed", I5873="Invalid - Ambiguous"), "Gap - Invalid Consent", "Compliant")))))</f>
        <v/>
      </c>
      <c r="O5873" s="7" t="n"/>
    </row>
    <row r="5874">
      <c r="A5874" s="7" t="n"/>
      <c r="B5874" s="7" t="n"/>
      <c r="C5874" s="7" t="n"/>
      <c r="D5874" s="7" t="n"/>
      <c r="E5874" s="7" t="n"/>
      <c r="F5874" s="7" t="n"/>
      <c r="G5874" s="7" t="n"/>
      <c r="H5874" s="7" t="n"/>
      <c r="I5874" s="7" t="n"/>
      <c r="J5874" s="7" t="n"/>
      <c r="K5874">
        <f>IF(D5874="Legitimate Interest (GDPR Art. 6(1)(f))", "Yes / Required (Sheet 3)", "")</f>
        <v/>
      </c>
      <c r="L5874" s="7" t="n"/>
      <c r="M5874" s="7" t="n"/>
      <c r="N5874">
        <f>IF(D5874="", "Gap - No Legal Basis", IF(AND(D5874="Consent (GDPR Art. 6(1)(a))", I5874="Not Captured"), "Gap - Invalid Consent", IF(AND(D5874="Legitimate Interest (GDPR Art. 6(1)(f))", L5874=""), "Gap - Missing LIA", IF(AND(G5874="Yes", H5874=""), "Gap - Missing Art. 9 Basis", IF(OR(I5874="Invalid - Not Freely Given", I5874="Invalid - Not Specific", I5874="Invalid - Not Informed", I5874="Invalid - Ambiguous"), "Gap - Invalid Consent", "Compliant")))))</f>
        <v/>
      </c>
      <c r="O5874" s="7" t="n"/>
    </row>
    <row r="5875">
      <c r="A5875" s="7" t="n"/>
      <c r="B5875" s="7" t="n"/>
      <c r="C5875" s="7" t="n"/>
      <c r="D5875" s="7" t="n"/>
      <c r="E5875" s="7" t="n"/>
      <c r="F5875" s="7" t="n"/>
      <c r="G5875" s="7" t="n"/>
      <c r="H5875" s="7" t="n"/>
      <c r="I5875" s="7" t="n"/>
      <c r="J5875" s="7" t="n"/>
      <c r="K5875">
        <f>IF(D5875="Legitimate Interest (GDPR Art. 6(1)(f))", "Yes / Required (Sheet 3)", "")</f>
        <v/>
      </c>
      <c r="L5875" s="7" t="n"/>
      <c r="M5875" s="7" t="n"/>
      <c r="N5875">
        <f>IF(D5875="", "Gap - No Legal Basis", IF(AND(D5875="Consent (GDPR Art. 6(1)(a))", I5875="Not Captured"), "Gap - Invalid Consent", IF(AND(D5875="Legitimate Interest (GDPR Art. 6(1)(f))", L5875=""), "Gap - Missing LIA", IF(AND(G5875="Yes", H5875=""), "Gap - Missing Art. 9 Basis", IF(OR(I5875="Invalid - Not Freely Given", I5875="Invalid - Not Specific", I5875="Invalid - Not Informed", I5875="Invalid - Ambiguous"), "Gap - Invalid Consent", "Compliant")))))</f>
        <v/>
      </c>
      <c r="O5875" s="7" t="n"/>
    </row>
    <row r="5876">
      <c r="A5876" s="7" t="n"/>
      <c r="B5876" s="7" t="n"/>
      <c r="C5876" s="7" t="n"/>
      <c r="D5876" s="7" t="n"/>
      <c r="E5876" s="7" t="n"/>
      <c r="F5876" s="7" t="n"/>
      <c r="G5876" s="7" t="n"/>
      <c r="H5876" s="7" t="n"/>
      <c r="I5876" s="7" t="n"/>
      <c r="J5876" s="7" t="n"/>
      <c r="K5876">
        <f>IF(D5876="Legitimate Interest (GDPR Art. 6(1)(f))", "Yes / Required (Sheet 3)", "")</f>
        <v/>
      </c>
      <c r="L5876" s="7" t="n"/>
      <c r="M5876" s="7" t="n"/>
      <c r="N5876">
        <f>IF(D5876="", "Gap - No Legal Basis", IF(AND(D5876="Consent (GDPR Art. 6(1)(a))", I5876="Not Captured"), "Gap - Invalid Consent", IF(AND(D5876="Legitimate Interest (GDPR Art. 6(1)(f))", L5876=""), "Gap - Missing LIA", IF(AND(G5876="Yes", H5876=""), "Gap - Missing Art. 9 Basis", IF(OR(I5876="Invalid - Not Freely Given", I5876="Invalid - Not Specific", I5876="Invalid - Not Informed", I5876="Invalid - Ambiguous"), "Gap - Invalid Consent", "Compliant")))))</f>
        <v/>
      </c>
      <c r="O5876" s="7" t="n"/>
    </row>
    <row r="5877">
      <c r="A5877" s="7" t="n"/>
      <c r="B5877" s="7" t="n"/>
      <c r="C5877" s="7" t="n"/>
      <c r="D5877" s="7" t="n"/>
      <c r="E5877" s="7" t="n"/>
      <c r="F5877" s="7" t="n"/>
      <c r="G5877" s="7" t="n"/>
      <c r="H5877" s="7" t="n"/>
      <c r="I5877" s="7" t="n"/>
      <c r="J5877" s="7" t="n"/>
      <c r="K5877">
        <f>IF(D5877="Legitimate Interest (GDPR Art. 6(1)(f))", "Yes / Required (Sheet 3)", "")</f>
        <v/>
      </c>
      <c r="L5877" s="7" t="n"/>
      <c r="M5877" s="7" t="n"/>
      <c r="N5877">
        <f>IF(D5877="", "Gap - No Legal Basis", IF(AND(D5877="Consent (GDPR Art. 6(1)(a))", I5877="Not Captured"), "Gap - Invalid Consent", IF(AND(D5877="Legitimate Interest (GDPR Art. 6(1)(f))", L5877=""), "Gap - Missing LIA", IF(AND(G5877="Yes", H5877=""), "Gap - Missing Art. 9 Basis", IF(OR(I5877="Invalid - Not Freely Given", I5877="Invalid - Not Specific", I5877="Invalid - Not Informed", I5877="Invalid - Ambiguous"), "Gap - Invalid Consent", "Compliant")))))</f>
        <v/>
      </c>
      <c r="O5877" s="7" t="n"/>
    </row>
    <row r="5878">
      <c r="A5878" s="7" t="n"/>
      <c r="B5878" s="7" t="n"/>
      <c r="C5878" s="7" t="n"/>
      <c r="D5878" s="7" t="n"/>
      <c r="E5878" s="7" t="n"/>
      <c r="F5878" s="7" t="n"/>
      <c r="G5878" s="7" t="n"/>
      <c r="H5878" s="7" t="n"/>
      <c r="I5878" s="7" t="n"/>
      <c r="J5878" s="7" t="n"/>
      <c r="K5878">
        <f>IF(D5878="Legitimate Interest (GDPR Art. 6(1)(f))", "Yes / Required (Sheet 3)", "")</f>
        <v/>
      </c>
      <c r="L5878" s="7" t="n"/>
      <c r="M5878" s="7" t="n"/>
      <c r="N5878">
        <f>IF(D5878="", "Gap - No Legal Basis", IF(AND(D5878="Consent (GDPR Art. 6(1)(a))", I5878="Not Captured"), "Gap - Invalid Consent", IF(AND(D5878="Legitimate Interest (GDPR Art. 6(1)(f))", L5878=""), "Gap - Missing LIA", IF(AND(G5878="Yes", H5878=""), "Gap - Missing Art. 9 Basis", IF(OR(I5878="Invalid - Not Freely Given", I5878="Invalid - Not Specific", I5878="Invalid - Not Informed", I5878="Invalid - Ambiguous"), "Gap - Invalid Consent", "Compliant")))))</f>
        <v/>
      </c>
      <c r="O5878" s="7" t="n"/>
    </row>
    <row r="5879">
      <c r="A5879" s="7" t="n"/>
      <c r="B5879" s="7" t="n"/>
      <c r="C5879" s="7" t="n"/>
      <c r="D5879" s="7" t="n"/>
      <c r="E5879" s="7" t="n"/>
      <c r="F5879" s="7" t="n"/>
      <c r="G5879" s="7" t="n"/>
      <c r="H5879" s="7" t="n"/>
      <c r="I5879" s="7" t="n"/>
      <c r="J5879" s="7" t="n"/>
      <c r="K5879">
        <f>IF(D5879="Legitimate Interest (GDPR Art. 6(1)(f))", "Yes / Required (Sheet 3)", "")</f>
        <v/>
      </c>
      <c r="L5879" s="7" t="n"/>
      <c r="M5879" s="7" t="n"/>
      <c r="N5879">
        <f>IF(D5879="", "Gap - No Legal Basis", IF(AND(D5879="Consent (GDPR Art. 6(1)(a))", I5879="Not Captured"), "Gap - Invalid Consent", IF(AND(D5879="Legitimate Interest (GDPR Art. 6(1)(f))", L5879=""), "Gap - Missing LIA", IF(AND(G5879="Yes", H5879=""), "Gap - Missing Art. 9 Basis", IF(OR(I5879="Invalid - Not Freely Given", I5879="Invalid - Not Specific", I5879="Invalid - Not Informed", I5879="Invalid - Ambiguous"), "Gap - Invalid Consent", "Compliant")))))</f>
        <v/>
      </c>
      <c r="O5879" s="7" t="n"/>
    </row>
    <row r="5880">
      <c r="A5880" s="7" t="n"/>
      <c r="B5880" s="7" t="n"/>
      <c r="C5880" s="7" t="n"/>
      <c r="D5880" s="7" t="n"/>
      <c r="E5880" s="7" t="n"/>
      <c r="F5880" s="7" t="n"/>
      <c r="G5880" s="7" t="n"/>
      <c r="H5880" s="7" t="n"/>
      <c r="I5880" s="7" t="n"/>
      <c r="J5880" s="7" t="n"/>
      <c r="K5880">
        <f>IF(D5880="Legitimate Interest (GDPR Art. 6(1)(f))", "Yes / Required (Sheet 3)", "")</f>
        <v/>
      </c>
      <c r="L5880" s="7" t="n"/>
      <c r="M5880" s="7" t="n"/>
      <c r="N5880">
        <f>IF(D5880="", "Gap - No Legal Basis", IF(AND(D5880="Consent (GDPR Art. 6(1)(a))", I5880="Not Captured"), "Gap - Invalid Consent", IF(AND(D5880="Legitimate Interest (GDPR Art. 6(1)(f))", L5880=""), "Gap - Missing LIA", IF(AND(G5880="Yes", H5880=""), "Gap - Missing Art. 9 Basis", IF(OR(I5880="Invalid - Not Freely Given", I5880="Invalid - Not Specific", I5880="Invalid - Not Informed", I5880="Invalid - Ambiguous"), "Gap - Invalid Consent", "Compliant")))))</f>
        <v/>
      </c>
      <c r="O5880" s="7" t="n"/>
    </row>
    <row r="5881">
      <c r="A5881" s="7" t="n"/>
      <c r="B5881" s="7" t="n"/>
      <c r="C5881" s="7" t="n"/>
      <c r="D5881" s="7" t="n"/>
      <c r="E5881" s="7" t="n"/>
      <c r="F5881" s="7" t="n"/>
      <c r="G5881" s="7" t="n"/>
      <c r="H5881" s="7" t="n"/>
      <c r="I5881" s="7" t="n"/>
      <c r="J5881" s="7" t="n"/>
      <c r="K5881">
        <f>IF(D5881="Legitimate Interest (GDPR Art. 6(1)(f))", "Yes / Required (Sheet 3)", "")</f>
        <v/>
      </c>
      <c r="L5881" s="7" t="n"/>
      <c r="M5881" s="7" t="n"/>
      <c r="N5881">
        <f>IF(D5881="", "Gap - No Legal Basis", IF(AND(D5881="Consent (GDPR Art. 6(1)(a))", I5881="Not Captured"), "Gap - Invalid Consent", IF(AND(D5881="Legitimate Interest (GDPR Art. 6(1)(f))", L5881=""), "Gap - Missing LIA", IF(AND(G5881="Yes", H5881=""), "Gap - Missing Art. 9 Basis", IF(OR(I5881="Invalid - Not Freely Given", I5881="Invalid - Not Specific", I5881="Invalid - Not Informed", I5881="Invalid - Ambiguous"), "Gap - Invalid Consent", "Compliant")))))</f>
        <v/>
      </c>
      <c r="O5881" s="7" t="n"/>
    </row>
    <row r="5882">
      <c r="A5882" s="7" t="n"/>
      <c r="B5882" s="7" t="n"/>
      <c r="C5882" s="7" t="n"/>
      <c r="D5882" s="7" t="n"/>
      <c r="E5882" s="7" t="n"/>
      <c r="F5882" s="7" t="n"/>
      <c r="G5882" s="7" t="n"/>
      <c r="H5882" s="7" t="n"/>
      <c r="I5882" s="7" t="n"/>
      <c r="J5882" s="7" t="n"/>
      <c r="K5882">
        <f>IF(D5882="Legitimate Interest (GDPR Art. 6(1)(f))", "Yes / Required (Sheet 3)", "")</f>
        <v/>
      </c>
      <c r="L5882" s="7" t="n"/>
      <c r="M5882" s="7" t="n"/>
      <c r="N5882">
        <f>IF(D5882="", "Gap - No Legal Basis", IF(AND(D5882="Consent (GDPR Art. 6(1)(a))", I5882="Not Captured"), "Gap - Invalid Consent", IF(AND(D5882="Legitimate Interest (GDPR Art. 6(1)(f))", L5882=""), "Gap - Missing LIA", IF(AND(G5882="Yes", H5882=""), "Gap - Missing Art. 9 Basis", IF(OR(I5882="Invalid - Not Freely Given", I5882="Invalid - Not Specific", I5882="Invalid - Not Informed", I5882="Invalid - Ambiguous"), "Gap - Invalid Consent", "Compliant")))))</f>
        <v/>
      </c>
      <c r="O5882" s="7" t="n"/>
    </row>
    <row r="5883">
      <c r="A5883" s="7" t="n"/>
      <c r="B5883" s="7" t="n"/>
      <c r="C5883" s="7" t="n"/>
      <c r="D5883" s="7" t="n"/>
      <c r="E5883" s="7" t="n"/>
      <c r="F5883" s="7" t="n"/>
      <c r="G5883" s="7" t="n"/>
      <c r="H5883" s="7" t="n"/>
      <c r="I5883" s="7" t="n"/>
      <c r="J5883" s="7" t="n"/>
      <c r="K5883">
        <f>IF(D5883="Legitimate Interest (GDPR Art. 6(1)(f))", "Yes / Required (Sheet 3)", "")</f>
        <v/>
      </c>
      <c r="L5883" s="7" t="n"/>
      <c r="M5883" s="7" t="n"/>
      <c r="N5883">
        <f>IF(D5883="", "Gap - No Legal Basis", IF(AND(D5883="Consent (GDPR Art. 6(1)(a))", I5883="Not Captured"), "Gap - Invalid Consent", IF(AND(D5883="Legitimate Interest (GDPR Art. 6(1)(f))", L5883=""), "Gap - Missing LIA", IF(AND(G5883="Yes", H5883=""), "Gap - Missing Art. 9 Basis", IF(OR(I5883="Invalid - Not Freely Given", I5883="Invalid - Not Specific", I5883="Invalid - Not Informed", I5883="Invalid - Ambiguous"), "Gap - Invalid Consent", "Compliant")))))</f>
        <v/>
      </c>
      <c r="O5883" s="7" t="n"/>
    </row>
    <row r="5884">
      <c r="A5884" s="7" t="n"/>
      <c r="B5884" s="7" t="n"/>
      <c r="C5884" s="7" t="n"/>
      <c r="D5884" s="7" t="n"/>
      <c r="E5884" s="7" t="n"/>
      <c r="F5884" s="7" t="n"/>
      <c r="G5884" s="7" t="n"/>
      <c r="H5884" s="7" t="n"/>
      <c r="I5884" s="7" t="n"/>
      <c r="J5884" s="7" t="n"/>
      <c r="K5884">
        <f>IF(D5884="Legitimate Interest (GDPR Art. 6(1)(f))", "Yes / Required (Sheet 3)", "")</f>
        <v/>
      </c>
      <c r="L5884" s="7" t="n"/>
      <c r="M5884" s="7" t="n"/>
      <c r="N5884">
        <f>IF(D5884="", "Gap - No Legal Basis", IF(AND(D5884="Consent (GDPR Art. 6(1)(a))", I5884="Not Captured"), "Gap - Invalid Consent", IF(AND(D5884="Legitimate Interest (GDPR Art. 6(1)(f))", L5884=""), "Gap - Missing LIA", IF(AND(G5884="Yes", H5884=""), "Gap - Missing Art. 9 Basis", IF(OR(I5884="Invalid - Not Freely Given", I5884="Invalid - Not Specific", I5884="Invalid - Not Informed", I5884="Invalid - Ambiguous"), "Gap - Invalid Consent", "Compliant")))))</f>
        <v/>
      </c>
      <c r="O5884" s="7" t="n"/>
    </row>
    <row r="5885">
      <c r="A5885" s="7" t="n"/>
      <c r="B5885" s="7" t="n"/>
      <c r="C5885" s="7" t="n"/>
      <c r="D5885" s="7" t="n"/>
      <c r="E5885" s="7" t="n"/>
      <c r="F5885" s="7" t="n"/>
      <c r="G5885" s="7" t="n"/>
      <c r="H5885" s="7" t="n"/>
      <c r="I5885" s="7" t="n"/>
      <c r="J5885" s="7" t="n"/>
      <c r="K5885">
        <f>IF(D5885="Legitimate Interest (GDPR Art. 6(1)(f))", "Yes / Required (Sheet 3)", "")</f>
        <v/>
      </c>
      <c r="L5885" s="7" t="n"/>
      <c r="M5885" s="7" t="n"/>
      <c r="N5885">
        <f>IF(D5885="", "Gap - No Legal Basis", IF(AND(D5885="Consent (GDPR Art. 6(1)(a))", I5885="Not Captured"), "Gap - Invalid Consent", IF(AND(D5885="Legitimate Interest (GDPR Art. 6(1)(f))", L5885=""), "Gap - Missing LIA", IF(AND(G5885="Yes", H5885=""), "Gap - Missing Art. 9 Basis", IF(OR(I5885="Invalid - Not Freely Given", I5885="Invalid - Not Specific", I5885="Invalid - Not Informed", I5885="Invalid - Ambiguous"), "Gap - Invalid Consent", "Compliant")))))</f>
        <v/>
      </c>
      <c r="O5885" s="7" t="n"/>
    </row>
    <row r="5886">
      <c r="A5886" s="7" t="n"/>
      <c r="B5886" s="7" t="n"/>
      <c r="C5886" s="7" t="n"/>
      <c r="D5886" s="7" t="n"/>
      <c r="E5886" s="7" t="n"/>
      <c r="F5886" s="7" t="n"/>
      <c r="G5886" s="7" t="n"/>
      <c r="H5886" s="7" t="n"/>
      <c r="I5886" s="7" t="n"/>
      <c r="J5886" s="7" t="n"/>
      <c r="K5886">
        <f>IF(D5886="Legitimate Interest (GDPR Art. 6(1)(f))", "Yes / Required (Sheet 3)", "")</f>
        <v/>
      </c>
      <c r="L5886" s="7" t="n"/>
      <c r="M5886" s="7" t="n"/>
      <c r="N5886">
        <f>IF(D5886="", "Gap - No Legal Basis", IF(AND(D5886="Consent (GDPR Art. 6(1)(a))", I5886="Not Captured"), "Gap - Invalid Consent", IF(AND(D5886="Legitimate Interest (GDPR Art. 6(1)(f))", L5886=""), "Gap - Missing LIA", IF(AND(G5886="Yes", H5886=""), "Gap - Missing Art. 9 Basis", IF(OR(I5886="Invalid - Not Freely Given", I5886="Invalid - Not Specific", I5886="Invalid - Not Informed", I5886="Invalid - Ambiguous"), "Gap - Invalid Consent", "Compliant")))))</f>
        <v/>
      </c>
      <c r="O5886" s="7" t="n"/>
    </row>
    <row r="5887">
      <c r="A5887" s="7" t="n"/>
      <c r="B5887" s="7" t="n"/>
      <c r="C5887" s="7" t="n"/>
      <c r="D5887" s="7" t="n"/>
      <c r="E5887" s="7" t="n"/>
      <c r="F5887" s="7" t="n"/>
      <c r="G5887" s="7" t="n"/>
      <c r="H5887" s="7" t="n"/>
      <c r="I5887" s="7" t="n"/>
      <c r="J5887" s="7" t="n"/>
      <c r="K5887">
        <f>IF(D5887="Legitimate Interest (GDPR Art. 6(1)(f))", "Yes / Required (Sheet 3)", "")</f>
        <v/>
      </c>
      <c r="L5887" s="7" t="n"/>
      <c r="M5887" s="7" t="n"/>
      <c r="N5887">
        <f>IF(D5887="", "Gap - No Legal Basis", IF(AND(D5887="Consent (GDPR Art. 6(1)(a))", I5887="Not Captured"), "Gap - Invalid Consent", IF(AND(D5887="Legitimate Interest (GDPR Art. 6(1)(f))", L5887=""), "Gap - Missing LIA", IF(AND(G5887="Yes", H5887=""), "Gap - Missing Art. 9 Basis", IF(OR(I5887="Invalid - Not Freely Given", I5887="Invalid - Not Specific", I5887="Invalid - Not Informed", I5887="Invalid - Ambiguous"), "Gap - Invalid Consent", "Compliant")))))</f>
        <v/>
      </c>
      <c r="O5887" s="7" t="n"/>
    </row>
    <row r="5888">
      <c r="A5888" s="7" t="n"/>
      <c r="B5888" s="7" t="n"/>
      <c r="C5888" s="7" t="n"/>
      <c r="D5888" s="7" t="n"/>
      <c r="E5888" s="7" t="n"/>
      <c r="F5888" s="7" t="n"/>
      <c r="G5888" s="7" t="n"/>
      <c r="H5888" s="7" t="n"/>
      <c r="I5888" s="7" t="n"/>
      <c r="J5888" s="7" t="n"/>
      <c r="K5888">
        <f>IF(D5888="Legitimate Interest (GDPR Art. 6(1)(f))", "Yes / Required (Sheet 3)", "")</f>
        <v/>
      </c>
      <c r="L5888" s="7" t="n"/>
      <c r="M5888" s="7" t="n"/>
      <c r="N5888">
        <f>IF(D5888="", "Gap - No Legal Basis", IF(AND(D5888="Consent (GDPR Art. 6(1)(a))", I5888="Not Captured"), "Gap - Invalid Consent", IF(AND(D5888="Legitimate Interest (GDPR Art. 6(1)(f))", L5888=""), "Gap - Missing LIA", IF(AND(G5888="Yes", H5888=""), "Gap - Missing Art. 9 Basis", IF(OR(I5888="Invalid - Not Freely Given", I5888="Invalid - Not Specific", I5888="Invalid - Not Informed", I5888="Invalid - Ambiguous"), "Gap - Invalid Consent", "Compliant")))))</f>
        <v/>
      </c>
      <c r="O5888" s="7" t="n"/>
    </row>
    <row r="5889">
      <c r="A5889" s="7" t="n"/>
      <c r="B5889" s="7" t="n"/>
      <c r="C5889" s="7" t="n"/>
      <c r="D5889" s="7" t="n"/>
      <c r="E5889" s="7" t="n"/>
      <c r="F5889" s="7" t="n"/>
      <c r="G5889" s="7" t="n"/>
      <c r="H5889" s="7" t="n"/>
      <c r="I5889" s="7" t="n"/>
      <c r="J5889" s="7" t="n"/>
      <c r="K5889">
        <f>IF(D5889="Legitimate Interest (GDPR Art. 6(1)(f))", "Yes / Required (Sheet 3)", "")</f>
        <v/>
      </c>
      <c r="L5889" s="7" t="n"/>
      <c r="M5889" s="7" t="n"/>
      <c r="N5889">
        <f>IF(D5889="", "Gap - No Legal Basis", IF(AND(D5889="Consent (GDPR Art. 6(1)(a))", I5889="Not Captured"), "Gap - Invalid Consent", IF(AND(D5889="Legitimate Interest (GDPR Art. 6(1)(f))", L5889=""), "Gap - Missing LIA", IF(AND(G5889="Yes", H5889=""), "Gap - Missing Art. 9 Basis", IF(OR(I5889="Invalid - Not Freely Given", I5889="Invalid - Not Specific", I5889="Invalid - Not Informed", I5889="Invalid - Ambiguous"), "Gap - Invalid Consent", "Compliant")))))</f>
        <v/>
      </c>
      <c r="O5889" s="7" t="n"/>
    </row>
    <row r="5890">
      <c r="A5890" s="7" t="n"/>
      <c r="B5890" s="7" t="n"/>
      <c r="C5890" s="7" t="n"/>
      <c r="D5890" s="7" t="n"/>
      <c r="E5890" s="7" t="n"/>
      <c r="F5890" s="7" t="n"/>
      <c r="G5890" s="7" t="n"/>
      <c r="H5890" s="7" t="n"/>
      <c r="I5890" s="7" t="n"/>
      <c r="J5890" s="7" t="n"/>
      <c r="K5890">
        <f>IF(D5890="Legitimate Interest (GDPR Art. 6(1)(f))", "Yes / Required (Sheet 3)", "")</f>
        <v/>
      </c>
      <c r="L5890" s="7" t="n"/>
      <c r="M5890" s="7" t="n"/>
      <c r="N5890">
        <f>IF(D5890="", "Gap - No Legal Basis", IF(AND(D5890="Consent (GDPR Art. 6(1)(a))", I5890="Not Captured"), "Gap - Invalid Consent", IF(AND(D5890="Legitimate Interest (GDPR Art. 6(1)(f))", L5890=""), "Gap - Missing LIA", IF(AND(G5890="Yes", H5890=""), "Gap - Missing Art. 9 Basis", IF(OR(I5890="Invalid - Not Freely Given", I5890="Invalid - Not Specific", I5890="Invalid - Not Informed", I5890="Invalid - Ambiguous"), "Gap - Invalid Consent", "Compliant")))))</f>
        <v/>
      </c>
      <c r="O5890" s="7" t="n"/>
    </row>
    <row r="5891">
      <c r="A5891" s="7" t="n"/>
      <c r="B5891" s="7" t="n"/>
      <c r="C5891" s="7" t="n"/>
      <c r="D5891" s="7" t="n"/>
      <c r="E5891" s="7" t="n"/>
      <c r="F5891" s="7" t="n"/>
      <c r="G5891" s="7" t="n"/>
      <c r="H5891" s="7" t="n"/>
      <c r="I5891" s="7" t="n"/>
      <c r="J5891" s="7" t="n"/>
      <c r="K5891">
        <f>IF(D5891="Legitimate Interest (GDPR Art. 6(1)(f))", "Yes / Required (Sheet 3)", "")</f>
        <v/>
      </c>
      <c r="L5891" s="7" t="n"/>
      <c r="M5891" s="7" t="n"/>
      <c r="N5891">
        <f>IF(D5891="", "Gap - No Legal Basis", IF(AND(D5891="Consent (GDPR Art. 6(1)(a))", I5891="Not Captured"), "Gap - Invalid Consent", IF(AND(D5891="Legitimate Interest (GDPR Art. 6(1)(f))", L5891=""), "Gap - Missing LIA", IF(AND(G5891="Yes", H5891=""), "Gap - Missing Art. 9 Basis", IF(OR(I5891="Invalid - Not Freely Given", I5891="Invalid - Not Specific", I5891="Invalid - Not Informed", I5891="Invalid - Ambiguous"), "Gap - Invalid Consent", "Compliant")))))</f>
        <v/>
      </c>
      <c r="O5891" s="7" t="n"/>
    </row>
    <row r="5892">
      <c r="A5892" s="7" t="n"/>
      <c r="B5892" s="7" t="n"/>
      <c r="C5892" s="7" t="n"/>
      <c r="D5892" s="7" t="n"/>
      <c r="E5892" s="7" t="n"/>
      <c r="F5892" s="7" t="n"/>
      <c r="G5892" s="7" t="n"/>
      <c r="H5892" s="7" t="n"/>
      <c r="I5892" s="7" t="n"/>
      <c r="J5892" s="7" t="n"/>
      <c r="K5892">
        <f>IF(D5892="Legitimate Interest (GDPR Art. 6(1)(f))", "Yes / Required (Sheet 3)", "")</f>
        <v/>
      </c>
      <c r="L5892" s="7" t="n"/>
      <c r="M5892" s="7" t="n"/>
      <c r="N5892">
        <f>IF(D5892="", "Gap - No Legal Basis", IF(AND(D5892="Consent (GDPR Art. 6(1)(a))", I5892="Not Captured"), "Gap - Invalid Consent", IF(AND(D5892="Legitimate Interest (GDPR Art. 6(1)(f))", L5892=""), "Gap - Missing LIA", IF(AND(G5892="Yes", H5892=""), "Gap - Missing Art. 9 Basis", IF(OR(I5892="Invalid - Not Freely Given", I5892="Invalid - Not Specific", I5892="Invalid - Not Informed", I5892="Invalid - Ambiguous"), "Gap - Invalid Consent", "Compliant")))))</f>
        <v/>
      </c>
      <c r="O5892" s="7" t="n"/>
    </row>
    <row r="5893">
      <c r="A5893" s="7" t="n"/>
      <c r="B5893" s="7" t="n"/>
      <c r="C5893" s="7" t="n"/>
      <c r="D5893" s="7" t="n"/>
      <c r="E5893" s="7" t="n"/>
      <c r="F5893" s="7" t="n"/>
      <c r="G5893" s="7" t="n"/>
      <c r="H5893" s="7" t="n"/>
      <c r="I5893" s="7" t="n"/>
      <c r="J5893" s="7" t="n"/>
      <c r="K5893">
        <f>IF(D5893="Legitimate Interest (GDPR Art. 6(1)(f))", "Yes / Required (Sheet 3)", "")</f>
        <v/>
      </c>
      <c r="L5893" s="7" t="n"/>
      <c r="M5893" s="7" t="n"/>
      <c r="N5893">
        <f>IF(D5893="", "Gap - No Legal Basis", IF(AND(D5893="Consent (GDPR Art. 6(1)(a))", I5893="Not Captured"), "Gap - Invalid Consent", IF(AND(D5893="Legitimate Interest (GDPR Art. 6(1)(f))", L5893=""), "Gap - Missing LIA", IF(AND(G5893="Yes", H5893=""), "Gap - Missing Art. 9 Basis", IF(OR(I5893="Invalid - Not Freely Given", I5893="Invalid - Not Specific", I5893="Invalid - Not Informed", I5893="Invalid - Ambiguous"), "Gap - Invalid Consent", "Compliant")))))</f>
        <v/>
      </c>
      <c r="O5893" s="7" t="n"/>
    </row>
    <row r="5894">
      <c r="A5894" s="7" t="n"/>
      <c r="B5894" s="7" t="n"/>
      <c r="C5894" s="7" t="n"/>
      <c r="D5894" s="7" t="n"/>
      <c r="E5894" s="7" t="n"/>
      <c r="F5894" s="7" t="n"/>
      <c r="G5894" s="7" t="n"/>
      <c r="H5894" s="7" t="n"/>
      <c r="I5894" s="7" t="n"/>
      <c r="J5894" s="7" t="n"/>
      <c r="K5894">
        <f>IF(D5894="Legitimate Interest (GDPR Art. 6(1)(f))", "Yes / Required (Sheet 3)", "")</f>
        <v/>
      </c>
      <c r="L5894" s="7" t="n"/>
      <c r="M5894" s="7" t="n"/>
      <c r="N5894">
        <f>IF(D5894="", "Gap - No Legal Basis", IF(AND(D5894="Consent (GDPR Art. 6(1)(a))", I5894="Not Captured"), "Gap - Invalid Consent", IF(AND(D5894="Legitimate Interest (GDPR Art. 6(1)(f))", L5894=""), "Gap - Missing LIA", IF(AND(G5894="Yes", H5894=""), "Gap - Missing Art. 9 Basis", IF(OR(I5894="Invalid - Not Freely Given", I5894="Invalid - Not Specific", I5894="Invalid - Not Informed", I5894="Invalid - Ambiguous"), "Gap - Invalid Consent", "Compliant")))))</f>
        <v/>
      </c>
      <c r="O5894" s="7" t="n"/>
    </row>
    <row r="5895">
      <c r="A5895" s="7" t="n"/>
      <c r="B5895" s="7" t="n"/>
      <c r="C5895" s="7" t="n"/>
      <c r="D5895" s="7" t="n"/>
      <c r="E5895" s="7" t="n"/>
      <c r="F5895" s="7" t="n"/>
      <c r="G5895" s="7" t="n"/>
      <c r="H5895" s="7" t="n"/>
      <c r="I5895" s="7" t="n"/>
      <c r="J5895" s="7" t="n"/>
      <c r="K5895">
        <f>IF(D5895="Legitimate Interest (GDPR Art. 6(1)(f))", "Yes / Required (Sheet 3)", "")</f>
        <v/>
      </c>
      <c r="L5895" s="7" t="n"/>
      <c r="M5895" s="7" t="n"/>
      <c r="N5895">
        <f>IF(D5895="", "Gap - No Legal Basis", IF(AND(D5895="Consent (GDPR Art. 6(1)(a))", I5895="Not Captured"), "Gap - Invalid Consent", IF(AND(D5895="Legitimate Interest (GDPR Art. 6(1)(f))", L5895=""), "Gap - Missing LIA", IF(AND(G5895="Yes", H5895=""), "Gap - Missing Art. 9 Basis", IF(OR(I5895="Invalid - Not Freely Given", I5895="Invalid - Not Specific", I5895="Invalid - Not Informed", I5895="Invalid - Ambiguous"), "Gap - Invalid Consent", "Compliant")))))</f>
        <v/>
      </c>
      <c r="O5895" s="7" t="n"/>
    </row>
    <row r="5896">
      <c r="A5896" s="7" t="n"/>
      <c r="B5896" s="7" t="n"/>
      <c r="C5896" s="7" t="n"/>
      <c r="D5896" s="7" t="n"/>
      <c r="E5896" s="7" t="n"/>
      <c r="F5896" s="7" t="n"/>
      <c r="G5896" s="7" t="n"/>
      <c r="H5896" s="7" t="n"/>
      <c r="I5896" s="7" t="n"/>
      <c r="J5896" s="7" t="n"/>
      <c r="K5896">
        <f>IF(D5896="Legitimate Interest (GDPR Art. 6(1)(f))", "Yes / Required (Sheet 3)", "")</f>
        <v/>
      </c>
      <c r="L5896" s="7" t="n"/>
      <c r="M5896" s="7" t="n"/>
      <c r="N5896">
        <f>IF(D5896="", "Gap - No Legal Basis", IF(AND(D5896="Consent (GDPR Art. 6(1)(a))", I5896="Not Captured"), "Gap - Invalid Consent", IF(AND(D5896="Legitimate Interest (GDPR Art. 6(1)(f))", L5896=""), "Gap - Missing LIA", IF(AND(G5896="Yes", H5896=""), "Gap - Missing Art. 9 Basis", IF(OR(I5896="Invalid - Not Freely Given", I5896="Invalid - Not Specific", I5896="Invalid - Not Informed", I5896="Invalid - Ambiguous"), "Gap - Invalid Consent", "Compliant")))))</f>
        <v/>
      </c>
      <c r="O5896" s="7" t="n"/>
    </row>
    <row r="5897">
      <c r="A5897" s="7" t="n"/>
      <c r="B5897" s="7" t="n"/>
      <c r="C5897" s="7" t="n"/>
      <c r="D5897" s="7" t="n"/>
      <c r="E5897" s="7" t="n"/>
      <c r="F5897" s="7" t="n"/>
      <c r="G5897" s="7" t="n"/>
      <c r="H5897" s="7" t="n"/>
      <c r="I5897" s="7" t="n"/>
      <c r="J5897" s="7" t="n"/>
      <c r="K5897">
        <f>IF(D5897="Legitimate Interest (GDPR Art. 6(1)(f))", "Yes / Required (Sheet 3)", "")</f>
        <v/>
      </c>
      <c r="L5897" s="7" t="n"/>
      <c r="M5897" s="7" t="n"/>
      <c r="N5897">
        <f>IF(D5897="", "Gap - No Legal Basis", IF(AND(D5897="Consent (GDPR Art. 6(1)(a))", I5897="Not Captured"), "Gap - Invalid Consent", IF(AND(D5897="Legitimate Interest (GDPR Art. 6(1)(f))", L5897=""), "Gap - Missing LIA", IF(AND(G5897="Yes", H5897=""), "Gap - Missing Art. 9 Basis", IF(OR(I5897="Invalid - Not Freely Given", I5897="Invalid - Not Specific", I5897="Invalid - Not Informed", I5897="Invalid - Ambiguous"), "Gap - Invalid Consent", "Compliant")))))</f>
        <v/>
      </c>
      <c r="O5897" s="7" t="n"/>
    </row>
    <row r="5898">
      <c r="A5898" s="7" t="n"/>
      <c r="B5898" s="7" t="n"/>
      <c r="C5898" s="7" t="n"/>
      <c r="D5898" s="7" t="n"/>
      <c r="E5898" s="7" t="n"/>
      <c r="F5898" s="7" t="n"/>
      <c r="G5898" s="7" t="n"/>
      <c r="H5898" s="7" t="n"/>
      <c r="I5898" s="7" t="n"/>
      <c r="J5898" s="7" t="n"/>
      <c r="K5898">
        <f>IF(D5898="Legitimate Interest (GDPR Art. 6(1)(f))", "Yes / Required (Sheet 3)", "")</f>
        <v/>
      </c>
      <c r="L5898" s="7" t="n"/>
      <c r="M5898" s="7" t="n"/>
      <c r="N5898">
        <f>IF(D5898="", "Gap - No Legal Basis", IF(AND(D5898="Consent (GDPR Art. 6(1)(a))", I5898="Not Captured"), "Gap - Invalid Consent", IF(AND(D5898="Legitimate Interest (GDPR Art. 6(1)(f))", L5898=""), "Gap - Missing LIA", IF(AND(G5898="Yes", H5898=""), "Gap - Missing Art. 9 Basis", IF(OR(I5898="Invalid - Not Freely Given", I5898="Invalid - Not Specific", I5898="Invalid - Not Informed", I5898="Invalid - Ambiguous"), "Gap - Invalid Consent", "Compliant")))))</f>
        <v/>
      </c>
      <c r="O5898" s="7" t="n"/>
    </row>
    <row r="5899">
      <c r="A5899" s="7" t="n"/>
      <c r="B5899" s="7" t="n"/>
      <c r="C5899" s="7" t="n"/>
      <c r="D5899" s="7" t="n"/>
      <c r="E5899" s="7" t="n"/>
      <c r="F5899" s="7" t="n"/>
      <c r="G5899" s="7" t="n"/>
      <c r="H5899" s="7" t="n"/>
      <c r="I5899" s="7" t="n"/>
      <c r="J5899" s="7" t="n"/>
      <c r="K5899">
        <f>IF(D5899="Legitimate Interest (GDPR Art. 6(1)(f))", "Yes / Required (Sheet 3)", "")</f>
        <v/>
      </c>
      <c r="L5899" s="7" t="n"/>
      <c r="M5899" s="7" t="n"/>
      <c r="N5899">
        <f>IF(D5899="", "Gap - No Legal Basis", IF(AND(D5899="Consent (GDPR Art. 6(1)(a))", I5899="Not Captured"), "Gap - Invalid Consent", IF(AND(D5899="Legitimate Interest (GDPR Art. 6(1)(f))", L5899=""), "Gap - Missing LIA", IF(AND(G5899="Yes", H5899=""), "Gap - Missing Art. 9 Basis", IF(OR(I5899="Invalid - Not Freely Given", I5899="Invalid - Not Specific", I5899="Invalid - Not Informed", I5899="Invalid - Ambiguous"), "Gap - Invalid Consent", "Compliant")))))</f>
        <v/>
      </c>
      <c r="O5899" s="7" t="n"/>
    </row>
    <row r="5900">
      <c r="A5900" s="7" t="n"/>
      <c r="B5900" s="7" t="n"/>
      <c r="C5900" s="7" t="n"/>
      <c r="D5900" s="7" t="n"/>
      <c r="E5900" s="7" t="n"/>
      <c r="F5900" s="7" t="n"/>
      <c r="G5900" s="7" t="n"/>
      <c r="H5900" s="7" t="n"/>
      <c r="I5900" s="7" t="n"/>
      <c r="J5900" s="7" t="n"/>
      <c r="K5900">
        <f>IF(D5900="Legitimate Interest (GDPR Art. 6(1)(f))", "Yes / Required (Sheet 3)", "")</f>
        <v/>
      </c>
      <c r="L5900" s="7" t="n"/>
      <c r="M5900" s="7" t="n"/>
      <c r="N5900">
        <f>IF(D5900="", "Gap - No Legal Basis", IF(AND(D5900="Consent (GDPR Art. 6(1)(a))", I5900="Not Captured"), "Gap - Invalid Consent", IF(AND(D5900="Legitimate Interest (GDPR Art. 6(1)(f))", L5900=""), "Gap - Missing LIA", IF(AND(G5900="Yes", H5900=""), "Gap - Missing Art. 9 Basis", IF(OR(I5900="Invalid - Not Freely Given", I5900="Invalid - Not Specific", I5900="Invalid - Not Informed", I5900="Invalid - Ambiguous"), "Gap - Invalid Consent", "Compliant")))))</f>
        <v/>
      </c>
      <c r="O5900" s="7" t="n"/>
    </row>
    <row r="5901">
      <c r="A5901" s="7" t="n"/>
      <c r="B5901" s="7" t="n"/>
      <c r="C5901" s="7" t="n"/>
      <c r="D5901" s="7" t="n"/>
      <c r="E5901" s="7" t="n"/>
      <c r="F5901" s="7" t="n"/>
      <c r="G5901" s="7" t="n"/>
      <c r="H5901" s="7" t="n"/>
      <c r="I5901" s="7" t="n"/>
      <c r="J5901" s="7" t="n"/>
      <c r="K5901">
        <f>IF(D5901="Legitimate Interest (GDPR Art. 6(1)(f))", "Yes / Required (Sheet 3)", "")</f>
        <v/>
      </c>
      <c r="L5901" s="7" t="n"/>
      <c r="M5901" s="7" t="n"/>
      <c r="N5901">
        <f>IF(D5901="", "Gap - No Legal Basis", IF(AND(D5901="Consent (GDPR Art. 6(1)(a))", I5901="Not Captured"), "Gap - Invalid Consent", IF(AND(D5901="Legitimate Interest (GDPR Art. 6(1)(f))", L5901=""), "Gap - Missing LIA", IF(AND(G5901="Yes", H5901=""), "Gap - Missing Art. 9 Basis", IF(OR(I5901="Invalid - Not Freely Given", I5901="Invalid - Not Specific", I5901="Invalid - Not Informed", I5901="Invalid - Ambiguous"), "Gap - Invalid Consent", "Compliant")))))</f>
        <v/>
      </c>
      <c r="O5901" s="7" t="n"/>
    </row>
    <row r="5902">
      <c r="A5902" s="7" t="n"/>
      <c r="B5902" s="7" t="n"/>
      <c r="C5902" s="7" t="n"/>
      <c r="D5902" s="7" t="n"/>
      <c r="E5902" s="7" t="n"/>
      <c r="F5902" s="7" t="n"/>
      <c r="G5902" s="7" t="n"/>
      <c r="H5902" s="7" t="n"/>
      <c r="I5902" s="7" t="n"/>
      <c r="J5902" s="7" t="n"/>
      <c r="K5902">
        <f>IF(D5902="Legitimate Interest (GDPR Art. 6(1)(f))", "Yes / Required (Sheet 3)", "")</f>
        <v/>
      </c>
      <c r="L5902" s="7" t="n"/>
      <c r="M5902" s="7" t="n"/>
      <c r="N5902">
        <f>IF(D5902="", "Gap - No Legal Basis", IF(AND(D5902="Consent (GDPR Art. 6(1)(a))", I5902="Not Captured"), "Gap - Invalid Consent", IF(AND(D5902="Legitimate Interest (GDPR Art. 6(1)(f))", L5902=""), "Gap - Missing LIA", IF(AND(G5902="Yes", H5902=""), "Gap - Missing Art. 9 Basis", IF(OR(I5902="Invalid - Not Freely Given", I5902="Invalid - Not Specific", I5902="Invalid - Not Informed", I5902="Invalid - Ambiguous"), "Gap - Invalid Consent", "Compliant")))))</f>
        <v/>
      </c>
      <c r="O5902" s="7" t="n"/>
    </row>
    <row r="5903">
      <c r="A5903" s="7" t="n"/>
      <c r="B5903" s="7" t="n"/>
      <c r="C5903" s="7" t="n"/>
      <c r="D5903" s="7" t="n"/>
      <c r="E5903" s="7" t="n"/>
      <c r="F5903" s="7" t="n"/>
      <c r="G5903" s="7" t="n"/>
      <c r="H5903" s="7" t="n"/>
      <c r="I5903" s="7" t="n"/>
      <c r="J5903" s="7" t="n"/>
      <c r="K5903">
        <f>IF(D5903="Legitimate Interest (GDPR Art. 6(1)(f))", "Yes / Required (Sheet 3)", "")</f>
        <v/>
      </c>
      <c r="L5903" s="7" t="n"/>
      <c r="M5903" s="7" t="n"/>
      <c r="N5903">
        <f>IF(D5903="", "Gap - No Legal Basis", IF(AND(D5903="Consent (GDPR Art. 6(1)(a))", I5903="Not Captured"), "Gap - Invalid Consent", IF(AND(D5903="Legitimate Interest (GDPR Art. 6(1)(f))", L5903=""), "Gap - Missing LIA", IF(AND(G5903="Yes", H5903=""), "Gap - Missing Art. 9 Basis", IF(OR(I5903="Invalid - Not Freely Given", I5903="Invalid - Not Specific", I5903="Invalid - Not Informed", I5903="Invalid - Ambiguous"), "Gap - Invalid Consent", "Compliant")))))</f>
        <v/>
      </c>
      <c r="O5903" s="7" t="n"/>
    </row>
    <row r="5904">
      <c r="A5904" s="7" t="n"/>
      <c r="B5904" s="7" t="n"/>
      <c r="C5904" s="7" t="n"/>
      <c r="D5904" s="7" t="n"/>
      <c r="E5904" s="7" t="n"/>
      <c r="F5904" s="7" t="n"/>
      <c r="G5904" s="7" t="n"/>
      <c r="H5904" s="7" t="n"/>
      <c r="I5904" s="7" t="n"/>
      <c r="J5904" s="7" t="n"/>
      <c r="K5904">
        <f>IF(D5904="Legitimate Interest (GDPR Art. 6(1)(f))", "Yes / Required (Sheet 3)", "")</f>
        <v/>
      </c>
      <c r="L5904" s="7" t="n"/>
      <c r="M5904" s="7" t="n"/>
      <c r="N5904">
        <f>IF(D5904="", "Gap - No Legal Basis", IF(AND(D5904="Consent (GDPR Art. 6(1)(a))", I5904="Not Captured"), "Gap - Invalid Consent", IF(AND(D5904="Legitimate Interest (GDPR Art. 6(1)(f))", L5904=""), "Gap - Missing LIA", IF(AND(G5904="Yes", H5904=""), "Gap - Missing Art. 9 Basis", IF(OR(I5904="Invalid - Not Freely Given", I5904="Invalid - Not Specific", I5904="Invalid - Not Informed", I5904="Invalid - Ambiguous"), "Gap - Invalid Consent", "Compliant")))))</f>
        <v/>
      </c>
      <c r="O5904" s="7" t="n"/>
    </row>
    <row r="5905">
      <c r="A5905" s="7" t="n"/>
      <c r="B5905" s="7" t="n"/>
      <c r="C5905" s="7" t="n"/>
      <c r="D5905" s="7" t="n"/>
      <c r="E5905" s="7" t="n"/>
      <c r="F5905" s="7" t="n"/>
      <c r="G5905" s="7" t="n"/>
      <c r="H5905" s="7" t="n"/>
      <c r="I5905" s="7" t="n"/>
      <c r="J5905" s="7" t="n"/>
      <c r="K5905">
        <f>IF(D5905="Legitimate Interest (GDPR Art. 6(1)(f))", "Yes / Required (Sheet 3)", "")</f>
        <v/>
      </c>
      <c r="L5905" s="7" t="n"/>
      <c r="M5905" s="7" t="n"/>
      <c r="N5905">
        <f>IF(D5905="", "Gap - No Legal Basis", IF(AND(D5905="Consent (GDPR Art. 6(1)(a))", I5905="Not Captured"), "Gap - Invalid Consent", IF(AND(D5905="Legitimate Interest (GDPR Art. 6(1)(f))", L5905=""), "Gap - Missing LIA", IF(AND(G5905="Yes", H5905=""), "Gap - Missing Art. 9 Basis", IF(OR(I5905="Invalid - Not Freely Given", I5905="Invalid - Not Specific", I5905="Invalid - Not Informed", I5905="Invalid - Ambiguous"), "Gap - Invalid Consent", "Compliant")))))</f>
        <v/>
      </c>
      <c r="O5905" s="7" t="n"/>
    </row>
    <row r="5906">
      <c r="A5906" s="7" t="n"/>
      <c r="B5906" s="7" t="n"/>
      <c r="C5906" s="7" t="n"/>
      <c r="D5906" s="7" t="n"/>
      <c r="E5906" s="7" t="n"/>
      <c r="F5906" s="7" t="n"/>
      <c r="G5906" s="7" t="n"/>
      <c r="H5906" s="7" t="n"/>
      <c r="I5906" s="7" t="n"/>
      <c r="J5906" s="7" t="n"/>
      <c r="K5906">
        <f>IF(D5906="Legitimate Interest (GDPR Art. 6(1)(f))", "Yes / Required (Sheet 3)", "")</f>
        <v/>
      </c>
      <c r="L5906" s="7" t="n"/>
      <c r="M5906" s="7" t="n"/>
      <c r="N5906">
        <f>IF(D5906="", "Gap - No Legal Basis", IF(AND(D5906="Consent (GDPR Art. 6(1)(a))", I5906="Not Captured"), "Gap - Invalid Consent", IF(AND(D5906="Legitimate Interest (GDPR Art. 6(1)(f))", L5906=""), "Gap - Missing LIA", IF(AND(G5906="Yes", H5906=""), "Gap - Missing Art. 9 Basis", IF(OR(I5906="Invalid - Not Freely Given", I5906="Invalid - Not Specific", I5906="Invalid - Not Informed", I5906="Invalid - Ambiguous"), "Gap - Invalid Consent", "Compliant")))))</f>
        <v/>
      </c>
      <c r="O5906" s="7" t="n"/>
    </row>
    <row r="5907">
      <c r="A5907" s="7" t="n"/>
      <c r="B5907" s="7" t="n"/>
      <c r="C5907" s="7" t="n"/>
      <c r="D5907" s="7" t="n"/>
      <c r="E5907" s="7" t="n"/>
      <c r="F5907" s="7" t="n"/>
      <c r="G5907" s="7" t="n"/>
      <c r="H5907" s="7" t="n"/>
      <c r="I5907" s="7" t="n"/>
      <c r="J5907" s="7" t="n"/>
      <c r="K5907">
        <f>IF(D5907="Legitimate Interest (GDPR Art. 6(1)(f))", "Yes / Required (Sheet 3)", "")</f>
        <v/>
      </c>
      <c r="L5907" s="7" t="n"/>
      <c r="M5907" s="7" t="n"/>
      <c r="N5907">
        <f>IF(D5907="", "Gap - No Legal Basis", IF(AND(D5907="Consent (GDPR Art. 6(1)(a))", I5907="Not Captured"), "Gap - Invalid Consent", IF(AND(D5907="Legitimate Interest (GDPR Art. 6(1)(f))", L5907=""), "Gap - Missing LIA", IF(AND(G5907="Yes", H5907=""), "Gap - Missing Art. 9 Basis", IF(OR(I5907="Invalid - Not Freely Given", I5907="Invalid - Not Specific", I5907="Invalid - Not Informed", I5907="Invalid - Ambiguous"), "Gap - Invalid Consent", "Compliant")))))</f>
        <v/>
      </c>
      <c r="O5907" s="7" t="n"/>
    </row>
    <row r="5908">
      <c r="A5908" s="7" t="n"/>
      <c r="B5908" s="7" t="n"/>
      <c r="C5908" s="7" t="n"/>
      <c r="D5908" s="7" t="n"/>
      <c r="E5908" s="7" t="n"/>
      <c r="F5908" s="7" t="n"/>
      <c r="G5908" s="7" t="n"/>
      <c r="H5908" s="7" t="n"/>
      <c r="I5908" s="7" t="n"/>
      <c r="J5908" s="7" t="n"/>
      <c r="K5908">
        <f>IF(D5908="Legitimate Interest (GDPR Art. 6(1)(f))", "Yes / Required (Sheet 3)", "")</f>
        <v/>
      </c>
      <c r="L5908" s="7" t="n"/>
      <c r="M5908" s="7" t="n"/>
      <c r="N5908">
        <f>IF(D5908="", "Gap - No Legal Basis", IF(AND(D5908="Consent (GDPR Art. 6(1)(a))", I5908="Not Captured"), "Gap - Invalid Consent", IF(AND(D5908="Legitimate Interest (GDPR Art. 6(1)(f))", L5908=""), "Gap - Missing LIA", IF(AND(G5908="Yes", H5908=""), "Gap - Missing Art. 9 Basis", IF(OR(I5908="Invalid - Not Freely Given", I5908="Invalid - Not Specific", I5908="Invalid - Not Informed", I5908="Invalid - Ambiguous"), "Gap - Invalid Consent", "Compliant")))))</f>
        <v/>
      </c>
      <c r="O5908" s="7" t="n"/>
    </row>
    <row r="5909">
      <c r="A5909" s="7" t="n"/>
      <c r="B5909" s="7" t="n"/>
      <c r="C5909" s="7" t="n"/>
      <c r="D5909" s="7" t="n"/>
      <c r="E5909" s="7" t="n"/>
      <c r="F5909" s="7" t="n"/>
      <c r="G5909" s="7" t="n"/>
      <c r="H5909" s="7" t="n"/>
      <c r="I5909" s="7" t="n"/>
      <c r="J5909" s="7" t="n"/>
      <c r="K5909">
        <f>IF(D5909="Legitimate Interest (GDPR Art. 6(1)(f))", "Yes / Required (Sheet 3)", "")</f>
        <v/>
      </c>
      <c r="L5909" s="7" t="n"/>
      <c r="M5909" s="7" t="n"/>
      <c r="N5909">
        <f>IF(D5909="", "Gap - No Legal Basis", IF(AND(D5909="Consent (GDPR Art. 6(1)(a))", I5909="Not Captured"), "Gap - Invalid Consent", IF(AND(D5909="Legitimate Interest (GDPR Art. 6(1)(f))", L5909=""), "Gap - Missing LIA", IF(AND(G5909="Yes", H5909=""), "Gap - Missing Art. 9 Basis", IF(OR(I5909="Invalid - Not Freely Given", I5909="Invalid - Not Specific", I5909="Invalid - Not Informed", I5909="Invalid - Ambiguous"), "Gap - Invalid Consent", "Compliant")))))</f>
        <v/>
      </c>
      <c r="O5909" s="7" t="n"/>
    </row>
    <row r="5910">
      <c r="A5910" s="7" t="n"/>
      <c r="B5910" s="7" t="n"/>
      <c r="C5910" s="7" t="n"/>
      <c r="D5910" s="7" t="n"/>
      <c r="E5910" s="7" t="n"/>
      <c r="F5910" s="7" t="n"/>
      <c r="G5910" s="7" t="n"/>
      <c r="H5910" s="7" t="n"/>
      <c r="I5910" s="7" t="n"/>
      <c r="J5910" s="7" t="n"/>
      <c r="K5910">
        <f>IF(D5910="Legitimate Interest (GDPR Art. 6(1)(f))", "Yes / Required (Sheet 3)", "")</f>
        <v/>
      </c>
      <c r="L5910" s="7" t="n"/>
      <c r="M5910" s="7" t="n"/>
      <c r="N5910">
        <f>IF(D5910="", "Gap - No Legal Basis", IF(AND(D5910="Consent (GDPR Art. 6(1)(a))", I5910="Not Captured"), "Gap - Invalid Consent", IF(AND(D5910="Legitimate Interest (GDPR Art. 6(1)(f))", L5910=""), "Gap - Missing LIA", IF(AND(G5910="Yes", H5910=""), "Gap - Missing Art. 9 Basis", IF(OR(I5910="Invalid - Not Freely Given", I5910="Invalid - Not Specific", I5910="Invalid - Not Informed", I5910="Invalid - Ambiguous"), "Gap - Invalid Consent", "Compliant")))))</f>
        <v/>
      </c>
      <c r="O5910" s="7" t="n"/>
    </row>
    <row r="5911">
      <c r="A5911" s="7" t="n"/>
      <c r="B5911" s="7" t="n"/>
      <c r="C5911" s="7" t="n"/>
      <c r="D5911" s="7" t="n"/>
      <c r="E5911" s="7" t="n"/>
      <c r="F5911" s="7" t="n"/>
      <c r="G5911" s="7" t="n"/>
      <c r="H5911" s="7" t="n"/>
      <c r="I5911" s="7" t="n"/>
      <c r="J5911" s="7" t="n"/>
      <c r="K5911">
        <f>IF(D5911="Legitimate Interest (GDPR Art. 6(1)(f))", "Yes / Required (Sheet 3)", "")</f>
        <v/>
      </c>
      <c r="L5911" s="7" t="n"/>
      <c r="M5911" s="7" t="n"/>
      <c r="N5911">
        <f>IF(D5911="", "Gap - No Legal Basis", IF(AND(D5911="Consent (GDPR Art. 6(1)(a))", I5911="Not Captured"), "Gap - Invalid Consent", IF(AND(D5911="Legitimate Interest (GDPR Art. 6(1)(f))", L5911=""), "Gap - Missing LIA", IF(AND(G5911="Yes", H5911=""), "Gap - Missing Art. 9 Basis", IF(OR(I5911="Invalid - Not Freely Given", I5911="Invalid - Not Specific", I5911="Invalid - Not Informed", I5911="Invalid - Ambiguous"), "Gap - Invalid Consent", "Compliant")))))</f>
        <v/>
      </c>
      <c r="O5911" s="7" t="n"/>
    </row>
    <row r="5912">
      <c r="A5912" s="7" t="n"/>
      <c r="B5912" s="7" t="n"/>
      <c r="C5912" s="7" t="n"/>
      <c r="D5912" s="7" t="n"/>
      <c r="E5912" s="7" t="n"/>
      <c r="F5912" s="7" t="n"/>
      <c r="G5912" s="7" t="n"/>
      <c r="H5912" s="7" t="n"/>
      <c r="I5912" s="7" t="n"/>
      <c r="J5912" s="7" t="n"/>
      <c r="K5912">
        <f>IF(D5912="Legitimate Interest (GDPR Art. 6(1)(f))", "Yes / Required (Sheet 3)", "")</f>
        <v/>
      </c>
      <c r="L5912" s="7" t="n"/>
      <c r="M5912" s="7" t="n"/>
      <c r="N5912">
        <f>IF(D5912="", "Gap - No Legal Basis", IF(AND(D5912="Consent (GDPR Art. 6(1)(a))", I5912="Not Captured"), "Gap - Invalid Consent", IF(AND(D5912="Legitimate Interest (GDPR Art. 6(1)(f))", L5912=""), "Gap - Missing LIA", IF(AND(G5912="Yes", H5912=""), "Gap - Missing Art. 9 Basis", IF(OR(I5912="Invalid - Not Freely Given", I5912="Invalid - Not Specific", I5912="Invalid - Not Informed", I5912="Invalid - Ambiguous"), "Gap - Invalid Consent", "Compliant")))))</f>
        <v/>
      </c>
      <c r="O5912" s="7" t="n"/>
    </row>
    <row r="5913">
      <c r="A5913" s="7" t="n"/>
      <c r="B5913" s="7" t="n"/>
      <c r="C5913" s="7" t="n"/>
      <c r="D5913" s="7" t="n"/>
      <c r="E5913" s="7" t="n"/>
      <c r="F5913" s="7" t="n"/>
      <c r="G5913" s="7" t="n"/>
      <c r="H5913" s="7" t="n"/>
      <c r="I5913" s="7" t="n"/>
      <c r="J5913" s="7" t="n"/>
      <c r="K5913">
        <f>IF(D5913="Legitimate Interest (GDPR Art. 6(1)(f))", "Yes / Required (Sheet 3)", "")</f>
        <v/>
      </c>
      <c r="L5913" s="7" t="n"/>
      <c r="M5913" s="7" t="n"/>
      <c r="N5913">
        <f>IF(D5913="", "Gap - No Legal Basis", IF(AND(D5913="Consent (GDPR Art. 6(1)(a))", I5913="Not Captured"), "Gap - Invalid Consent", IF(AND(D5913="Legitimate Interest (GDPR Art. 6(1)(f))", L5913=""), "Gap - Missing LIA", IF(AND(G5913="Yes", H5913=""), "Gap - Missing Art. 9 Basis", IF(OR(I5913="Invalid - Not Freely Given", I5913="Invalid - Not Specific", I5913="Invalid - Not Informed", I5913="Invalid - Ambiguous"), "Gap - Invalid Consent", "Compliant")))))</f>
        <v/>
      </c>
      <c r="O5913" s="7" t="n"/>
    </row>
    <row r="5914">
      <c r="A5914" s="7" t="n"/>
      <c r="B5914" s="7" t="n"/>
      <c r="C5914" s="7" t="n"/>
      <c r="D5914" s="7" t="n"/>
      <c r="E5914" s="7" t="n"/>
      <c r="F5914" s="7" t="n"/>
      <c r="G5914" s="7" t="n"/>
      <c r="H5914" s="7" t="n"/>
      <c r="I5914" s="7" t="n"/>
      <c r="J5914" s="7" t="n"/>
      <c r="K5914">
        <f>IF(D5914="Legitimate Interest (GDPR Art. 6(1)(f))", "Yes / Required (Sheet 3)", "")</f>
        <v/>
      </c>
      <c r="L5914" s="7" t="n"/>
      <c r="M5914" s="7" t="n"/>
      <c r="N5914">
        <f>IF(D5914="", "Gap - No Legal Basis", IF(AND(D5914="Consent (GDPR Art. 6(1)(a))", I5914="Not Captured"), "Gap - Invalid Consent", IF(AND(D5914="Legitimate Interest (GDPR Art. 6(1)(f))", L5914=""), "Gap - Missing LIA", IF(AND(G5914="Yes", H5914=""), "Gap - Missing Art. 9 Basis", IF(OR(I5914="Invalid - Not Freely Given", I5914="Invalid - Not Specific", I5914="Invalid - Not Informed", I5914="Invalid - Ambiguous"), "Gap - Invalid Consent", "Compliant")))))</f>
        <v/>
      </c>
      <c r="O5914" s="7" t="n"/>
    </row>
    <row r="5915">
      <c r="A5915" s="7" t="n"/>
      <c r="B5915" s="7" t="n"/>
      <c r="C5915" s="7" t="n"/>
      <c r="D5915" s="7" t="n"/>
      <c r="E5915" s="7" t="n"/>
      <c r="F5915" s="7" t="n"/>
      <c r="G5915" s="7" t="n"/>
      <c r="H5915" s="7" t="n"/>
      <c r="I5915" s="7" t="n"/>
      <c r="J5915" s="7" t="n"/>
      <c r="K5915">
        <f>IF(D5915="Legitimate Interest (GDPR Art. 6(1)(f))", "Yes / Required (Sheet 3)", "")</f>
        <v/>
      </c>
      <c r="L5915" s="7" t="n"/>
      <c r="M5915" s="7" t="n"/>
      <c r="N5915">
        <f>IF(D5915="", "Gap - No Legal Basis", IF(AND(D5915="Consent (GDPR Art. 6(1)(a))", I5915="Not Captured"), "Gap - Invalid Consent", IF(AND(D5915="Legitimate Interest (GDPR Art. 6(1)(f))", L5915=""), "Gap - Missing LIA", IF(AND(G5915="Yes", H5915=""), "Gap - Missing Art. 9 Basis", IF(OR(I5915="Invalid - Not Freely Given", I5915="Invalid - Not Specific", I5915="Invalid - Not Informed", I5915="Invalid - Ambiguous"), "Gap - Invalid Consent", "Compliant")))))</f>
        <v/>
      </c>
      <c r="O5915" s="7" t="n"/>
    </row>
    <row r="5916">
      <c r="A5916" s="7" t="n"/>
      <c r="B5916" s="7" t="n"/>
      <c r="C5916" s="7" t="n"/>
      <c r="D5916" s="7" t="n"/>
      <c r="E5916" s="7" t="n"/>
      <c r="F5916" s="7" t="n"/>
      <c r="G5916" s="7" t="n"/>
      <c r="H5916" s="7" t="n"/>
      <c r="I5916" s="7" t="n"/>
      <c r="J5916" s="7" t="n"/>
      <c r="K5916">
        <f>IF(D5916="Legitimate Interest (GDPR Art. 6(1)(f))", "Yes / Required (Sheet 3)", "")</f>
        <v/>
      </c>
      <c r="L5916" s="7" t="n"/>
      <c r="M5916" s="7" t="n"/>
      <c r="N5916">
        <f>IF(D5916="", "Gap - No Legal Basis", IF(AND(D5916="Consent (GDPR Art. 6(1)(a))", I5916="Not Captured"), "Gap - Invalid Consent", IF(AND(D5916="Legitimate Interest (GDPR Art. 6(1)(f))", L5916=""), "Gap - Missing LIA", IF(AND(G5916="Yes", H5916=""), "Gap - Missing Art. 9 Basis", IF(OR(I5916="Invalid - Not Freely Given", I5916="Invalid - Not Specific", I5916="Invalid - Not Informed", I5916="Invalid - Ambiguous"), "Gap - Invalid Consent", "Compliant")))))</f>
        <v/>
      </c>
      <c r="O5916" s="7" t="n"/>
    </row>
    <row r="5917">
      <c r="A5917" s="7" t="n"/>
      <c r="B5917" s="7" t="n"/>
      <c r="C5917" s="7" t="n"/>
      <c r="D5917" s="7" t="n"/>
      <c r="E5917" s="7" t="n"/>
      <c r="F5917" s="7" t="n"/>
      <c r="G5917" s="7" t="n"/>
      <c r="H5917" s="7" t="n"/>
      <c r="I5917" s="7" t="n"/>
      <c r="J5917" s="7" t="n"/>
      <c r="K5917">
        <f>IF(D5917="Legitimate Interest (GDPR Art. 6(1)(f))", "Yes / Required (Sheet 3)", "")</f>
        <v/>
      </c>
      <c r="L5917" s="7" t="n"/>
      <c r="M5917" s="7" t="n"/>
      <c r="N5917">
        <f>IF(D5917="", "Gap - No Legal Basis", IF(AND(D5917="Consent (GDPR Art. 6(1)(a))", I5917="Not Captured"), "Gap - Invalid Consent", IF(AND(D5917="Legitimate Interest (GDPR Art. 6(1)(f))", L5917=""), "Gap - Missing LIA", IF(AND(G5917="Yes", H5917=""), "Gap - Missing Art. 9 Basis", IF(OR(I5917="Invalid - Not Freely Given", I5917="Invalid - Not Specific", I5917="Invalid - Not Informed", I5917="Invalid - Ambiguous"), "Gap - Invalid Consent", "Compliant")))))</f>
        <v/>
      </c>
      <c r="O5917" s="7" t="n"/>
    </row>
    <row r="5918">
      <c r="A5918" s="7" t="n"/>
      <c r="B5918" s="7" t="n"/>
      <c r="C5918" s="7" t="n"/>
      <c r="D5918" s="7" t="n"/>
      <c r="E5918" s="7" t="n"/>
      <c r="F5918" s="7" t="n"/>
      <c r="G5918" s="7" t="n"/>
      <c r="H5918" s="7" t="n"/>
      <c r="I5918" s="7" t="n"/>
      <c r="J5918" s="7" t="n"/>
      <c r="K5918">
        <f>IF(D5918="Legitimate Interest (GDPR Art. 6(1)(f))", "Yes / Required (Sheet 3)", "")</f>
        <v/>
      </c>
      <c r="L5918" s="7" t="n"/>
      <c r="M5918" s="7" t="n"/>
      <c r="N5918">
        <f>IF(D5918="", "Gap - No Legal Basis", IF(AND(D5918="Consent (GDPR Art. 6(1)(a))", I5918="Not Captured"), "Gap - Invalid Consent", IF(AND(D5918="Legitimate Interest (GDPR Art. 6(1)(f))", L5918=""), "Gap - Missing LIA", IF(AND(G5918="Yes", H5918=""), "Gap - Missing Art. 9 Basis", IF(OR(I5918="Invalid - Not Freely Given", I5918="Invalid - Not Specific", I5918="Invalid - Not Informed", I5918="Invalid - Ambiguous"), "Gap - Invalid Consent", "Compliant")))))</f>
        <v/>
      </c>
      <c r="O5918" s="7" t="n"/>
    </row>
    <row r="5919">
      <c r="A5919" s="7" t="n"/>
      <c r="B5919" s="7" t="n"/>
      <c r="C5919" s="7" t="n"/>
      <c r="D5919" s="7" t="n"/>
      <c r="E5919" s="7" t="n"/>
      <c r="F5919" s="7" t="n"/>
      <c r="G5919" s="7" t="n"/>
      <c r="H5919" s="7" t="n"/>
      <c r="I5919" s="7" t="n"/>
      <c r="J5919" s="7" t="n"/>
      <c r="K5919">
        <f>IF(D5919="Legitimate Interest (GDPR Art. 6(1)(f))", "Yes / Required (Sheet 3)", "")</f>
        <v/>
      </c>
      <c r="L5919" s="7" t="n"/>
      <c r="M5919" s="7" t="n"/>
      <c r="N5919">
        <f>IF(D5919="", "Gap - No Legal Basis", IF(AND(D5919="Consent (GDPR Art. 6(1)(a))", I5919="Not Captured"), "Gap - Invalid Consent", IF(AND(D5919="Legitimate Interest (GDPR Art. 6(1)(f))", L5919=""), "Gap - Missing LIA", IF(AND(G5919="Yes", H5919=""), "Gap - Missing Art. 9 Basis", IF(OR(I5919="Invalid - Not Freely Given", I5919="Invalid - Not Specific", I5919="Invalid - Not Informed", I5919="Invalid - Ambiguous"), "Gap - Invalid Consent", "Compliant")))))</f>
        <v/>
      </c>
      <c r="O5919" s="7" t="n"/>
    </row>
    <row r="5920">
      <c r="A5920" s="7" t="n"/>
      <c r="B5920" s="7" t="n"/>
      <c r="C5920" s="7" t="n"/>
      <c r="D5920" s="7" t="n"/>
      <c r="E5920" s="7" t="n"/>
      <c r="F5920" s="7" t="n"/>
      <c r="G5920" s="7" t="n"/>
      <c r="H5920" s="7" t="n"/>
      <c r="I5920" s="7" t="n"/>
      <c r="J5920" s="7" t="n"/>
      <c r="K5920">
        <f>IF(D5920="Legitimate Interest (GDPR Art. 6(1)(f))", "Yes / Required (Sheet 3)", "")</f>
        <v/>
      </c>
      <c r="L5920" s="7" t="n"/>
      <c r="M5920" s="7" t="n"/>
      <c r="N5920">
        <f>IF(D5920="", "Gap - No Legal Basis", IF(AND(D5920="Consent (GDPR Art. 6(1)(a))", I5920="Not Captured"), "Gap - Invalid Consent", IF(AND(D5920="Legitimate Interest (GDPR Art. 6(1)(f))", L5920=""), "Gap - Missing LIA", IF(AND(G5920="Yes", H5920=""), "Gap - Missing Art. 9 Basis", IF(OR(I5920="Invalid - Not Freely Given", I5920="Invalid - Not Specific", I5920="Invalid - Not Informed", I5920="Invalid - Ambiguous"), "Gap - Invalid Consent", "Compliant")))))</f>
        <v/>
      </c>
      <c r="O5920" s="7" t="n"/>
    </row>
    <row r="5921">
      <c r="A5921" s="7" t="n"/>
      <c r="B5921" s="7" t="n"/>
      <c r="C5921" s="7" t="n"/>
      <c r="D5921" s="7" t="n"/>
      <c r="E5921" s="7" t="n"/>
      <c r="F5921" s="7" t="n"/>
      <c r="G5921" s="7" t="n"/>
      <c r="H5921" s="7" t="n"/>
      <c r="I5921" s="7" t="n"/>
      <c r="J5921" s="7" t="n"/>
      <c r="K5921">
        <f>IF(D5921="Legitimate Interest (GDPR Art. 6(1)(f))", "Yes / Required (Sheet 3)", "")</f>
        <v/>
      </c>
      <c r="L5921" s="7" t="n"/>
      <c r="M5921" s="7" t="n"/>
      <c r="N5921">
        <f>IF(D5921="", "Gap - No Legal Basis", IF(AND(D5921="Consent (GDPR Art. 6(1)(a))", I5921="Not Captured"), "Gap - Invalid Consent", IF(AND(D5921="Legitimate Interest (GDPR Art. 6(1)(f))", L5921=""), "Gap - Missing LIA", IF(AND(G5921="Yes", H5921=""), "Gap - Missing Art. 9 Basis", IF(OR(I5921="Invalid - Not Freely Given", I5921="Invalid - Not Specific", I5921="Invalid - Not Informed", I5921="Invalid - Ambiguous"), "Gap - Invalid Consent", "Compliant")))))</f>
        <v/>
      </c>
      <c r="O5921" s="7" t="n"/>
    </row>
    <row r="5922">
      <c r="A5922" s="7" t="n"/>
      <c r="B5922" s="7" t="n"/>
      <c r="C5922" s="7" t="n"/>
      <c r="D5922" s="7" t="n"/>
      <c r="E5922" s="7" t="n"/>
      <c r="F5922" s="7" t="n"/>
      <c r="G5922" s="7" t="n"/>
      <c r="H5922" s="7" t="n"/>
      <c r="I5922" s="7" t="n"/>
      <c r="J5922" s="7" t="n"/>
      <c r="K5922">
        <f>IF(D5922="Legitimate Interest (GDPR Art. 6(1)(f))", "Yes / Required (Sheet 3)", "")</f>
        <v/>
      </c>
      <c r="L5922" s="7" t="n"/>
      <c r="M5922" s="7" t="n"/>
      <c r="N5922">
        <f>IF(D5922="", "Gap - No Legal Basis", IF(AND(D5922="Consent (GDPR Art. 6(1)(a))", I5922="Not Captured"), "Gap - Invalid Consent", IF(AND(D5922="Legitimate Interest (GDPR Art. 6(1)(f))", L5922=""), "Gap - Missing LIA", IF(AND(G5922="Yes", H5922=""), "Gap - Missing Art. 9 Basis", IF(OR(I5922="Invalid - Not Freely Given", I5922="Invalid - Not Specific", I5922="Invalid - Not Informed", I5922="Invalid - Ambiguous"), "Gap - Invalid Consent", "Compliant")))))</f>
        <v/>
      </c>
      <c r="O5922" s="7" t="n"/>
    </row>
    <row r="5923">
      <c r="A5923" s="7" t="n"/>
      <c r="B5923" s="7" t="n"/>
      <c r="C5923" s="7" t="n"/>
      <c r="D5923" s="7" t="n"/>
      <c r="E5923" s="7" t="n"/>
      <c r="F5923" s="7" t="n"/>
      <c r="G5923" s="7" t="n"/>
      <c r="H5923" s="7" t="n"/>
      <c r="I5923" s="7" t="n"/>
      <c r="J5923" s="7" t="n"/>
      <c r="K5923">
        <f>IF(D5923="Legitimate Interest (GDPR Art. 6(1)(f))", "Yes / Required (Sheet 3)", "")</f>
        <v/>
      </c>
      <c r="L5923" s="7" t="n"/>
      <c r="M5923" s="7" t="n"/>
      <c r="N5923">
        <f>IF(D5923="", "Gap - No Legal Basis", IF(AND(D5923="Consent (GDPR Art. 6(1)(a))", I5923="Not Captured"), "Gap - Invalid Consent", IF(AND(D5923="Legitimate Interest (GDPR Art. 6(1)(f))", L5923=""), "Gap - Missing LIA", IF(AND(G5923="Yes", H5923=""), "Gap - Missing Art. 9 Basis", IF(OR(I5923="Invalid - Not Freely Given", I5923="Invalid - Not Specific", I5923="Invalid - Not Informed", I5923="Invalid - Ambiguous"), "Gap - Invalid Consent", "Compliant")))))</f>
        <v/>
      </c>
      <c r="O5923" s="7" t="n"/>
    </row>
    <row r="5924">
      <c r="A5924" s="7" t="n"/>
      <c r="B5924" s="7" t="n"/>
      <c r="C5924" s="7" t="n"/>
      <c r="D5924" s="7" t="n"/>
      <c r="E5924" s="7" t="n"/>
      <c r="F5924" s="7" t="n"/>
      <c r="G5924" s="7" t="n"/>
      <c r="H5924" s="7" t="n"/>
      <c r="I5924" s="7" t="n"/>
      <c r="J5924" s="7" t="n"/>
      <c r="K5924">
        <f>IF(D5924="Legitimate Interest (GDPR Art. 6(1)(f))", "Yes / Required (Sheet 3)", "")</f>
        <v/>
      </c>
      <c r="L5924" s="7" t="n"/>
      <c r="M5924" s="7" t="n"/>
      <c r="N5924">
        <f>IF(D5924="", "Gap - No Legal Basis", IF(AND(D5924="Consent (GDPR Art. 6(1)(a))", I5924="Not Captured"), "Gap - Invalid Consent", IF(AND(D5924="Legitimate Interest (GDPR Art. 6(1)(f))", L5924=""), "Gap - Missing LIA", IF(AND(G5924="Yes", H5924=""), "Gap - Missing Art. 9 Basis", IF(OR(I5924="Invalid - Not Freely Given", I5924="Invalid - Not Specific", I5924="Invalid - Not Informed", I5924="Invalid - Ambiguous"), "Gap - Invalid Consent", "Compliant")))))</f>
        <v/>
      </c>
      <c r="O5924" s="7" t="n"/>
    </row>
    <row r="5925">
      <c r="A5925" s="7" t="n"/>
      <c r="B5925" s="7" t="n"/>
      <c r="C5925" s="7" t="n"/>
      <c r="D5925" s="7" t="n"/>
      <c r="E5925" s="7" t="n"/>
      <c r="F5925" s="7" t="n"/>
      <c r="G5925" s="7" t="n"/>
      <c r="H5925" s="7" t="n"/>
      <c r="I5925" s="7" t="n"/>
      <c r="J5925" s="7" t="n"/>
      <c r="K5925">
        <f>IF(D5925="Legitimate Interest (GDPR Art. 6(1)(f))", "Yes / Required (Sheet 3)", "")</f>
        <v/>
      </c>
      <c r="L5925" s="7" t="n"/>
      <c r="M5925" s="7" t="n"/>
      <c r="N5925">
        <f>IF(D5925="", "Gap - No Legal Basis", IF(AND(D5925="Consent (GDPR Art. 6(1)(a))", I5925="Not Captured"), "Gap - Invalid Consent", IF(AND(D5925="Legitimate Interest (GDPR Art. 6(1)(f))", L5925=""), "Gap - Missing LIA", IF(AND(G5925="Yes", H5925=""), "Gap - Missing Art. 9 Basis", IF(OR(I5925="Invalid - Not Freely Given", I5925="Invalid - Not Specific", I5925="Invalid - Not Informed", I5925="Invalid - Ambiguous"), "Gap - Invalid Consent", "Compliant")))))</f>
        <v/>
      </c>
      <c r="O5925" s="7" t="n"/>
    </row>
    <row r="5926">
      <c r="A5926" s="7" t="n"/>
      <c r="B5926" s="7" t="n"/>
      <c r="C5926" s="7" t="n"/>
      <c r="D5926" s="7" t="n"/>
      <c r="E5926" s="7" t="n"/>
      <c r="F5926" s="7" t="n"/>
      <c r="G5926" s="7" t="n"/>
      <c r="H5926" s="7" t="n"/>
      <c r="I5926" s="7" t="n"/>
      <c r="J5926" s="7" t="n"/>
      <c r="K5926">
        <f>IF(D5926="Legitimate Interest (GDPR Art. 6(1)(f))", "Yes / Required (Sheet 3)", "")</f>
        <v/>
      </c>
      <c r="L5926" s="7" t="n"/>
      <c r="M5926" s="7" t="n"/>
      <c r="N5926">
        <f>IF(D5926="", "Gap - No Legal Basis", IF(AND(D5926="Consent (GDPR Art. 6(1)(a))", I5926="Not Captured"), "Gap - Invalid Consent", IF(AND(D5926="Legitimate Interest (GDPR Art. 6(1)(f))", L5926=""), "Gap - Missing LIA", IF(AND(G5926="Yes", H5926=""), "Gap - Missing Art. 9 Basis", IF(OR(I5926="Invalid - Not Freely Given", I5926="Invalid - Not Specific", I5926="Invalid - Not Informed", I5926="Invalid - Ambiguous"), "Gap - Invalid Consent", "Compliant")))))</f>
        <v/>
      </c>
      <c r="O5926" s="7" t="n"/>
    </row>
    <row r="5927">
      <c r="A5927" s="7" t="n"/>
      <c r="B5927" s="7" t="n"/>
      <c r="C5927" s="7" t="n"/>
      <c r="D5927" s="7" t="n"/>
      <c r="E5927" s="7" t="n"/>
      <c r="F5927" s="7" t="n"/>
      <c r="G5927" s="7" t="n"/>
      <c r="H5927" s="7" t="n"/>
      <c r="I5927" s="7" t="n"/>
      <c r="J5927" s="7" t="n"/>
      <c r="K5927">
        <f>IF(D5927="Legitimate Interest (GDPR Art. 6(1)(f))", "Yes / Required (Sheet 3)", "")</f>
        <v/>
      </c>
      <c r="L5927" s="7" t="n"/>
      <c r="M5927" s="7" t="n"/>
      <c r="N5927">
        <f>IF(D5927="", "Gap - No Legal Basis", IF(AND(D5927="Consent (GDPR Art. 6(1)(a))", I5927="Not Captured"), "Gap - Invalid Consent", IF(AND(D5927="Legitimate Interest (GDPR Art. 6(1)(f))", L5927=""), "Gap - Missing LIA", IF(AND(G5927="Yes", H5927=""), "Gap - Missing Art. 9 Basis", IF(OR(I5927="Invalid - Not Freely Given", I5927="Invalid - Not Specific", I5927="Invalid - Not Informed", I5927="Invalid - Ambiguous"), "Gap - Invalid Consent", "Compliant")))))</f>
        <v/>
      </c>
      <c r="O5927" s="7" t="n"/>
    </row>
    <row r="5928">
      <c r="A5928" s="7" t="n"/>
      <c r="B5928" s="7" t="n"/>
      <c r="C5928" s="7" t="n"/>
      <c r="D5928" s="7" t="n"/>
      <c r="E5928" s="7" t="n"/>
      <c r="F5928" s="7" t="n"/>
      <c r="G5928" s="7" t="n"/>
      <c r="H5928" s="7" t="n"/>
      <c r="I5928" s="7" t="n"/>
      <c r="J5928" s="7" t="n"/>
      <c r="K5928">
        <f>IF(D5928="Legitimate Interest (GDPR Art. 6(1)(f))", "Yes / Required (Sheet 3)", "")</f>
        <v/>
      </c>
      <c r="L5928" s="7" t="n"/>
      <c r="M5928" s="7" t="n"/>
      <c r="N5928">
        <f>IF(D5928="", "Gap - No Legal Basis", IF(AND(D5928="Consent (GDPR Art. 6(1)(a))", I5928="Not Captured"), "Gap - Invalid Consent", IF(AND(D5928="Legitimate Interest (GDPR Art. 6(1)(f))", L5928=""), "Gap - Missing LIA", IF(AND(G5928="Yes", H5928=""), "Gap - Missing Art. 9 Basis", IF(OR(I5928="Invalid - Not Freely Given", I5928="Invalid - Not Specific", I5928="Invalid - Not Informed", I5928="Invalid - Ambiguous"), "Gap - Invalid Consent", "Compliant")))))</f>
        <v/>
      </c>
      <c r="O5928" s="7" t="n"/>
    </row>
    <row r="5929">
      <c r="A5929" s="7" t="n"/>
      <c r="B5929" s="7" t="n"/>
      <c r="C5929" s="7" t="n"/>
      <c r="D5929" s="7" t="n"/>
      <c r="E5929" s="7" t="n"/>
      <c r="F5929" s="7" t="n"/>
      <c r="G5929" s="7" t="n"/>
      <c r="H5929" s="7" t="n"/>
      <c r="I5929" s="7" t="n"/>
      <c r="J5929" s="7" t="n"/>
      <c r="K5929">
        <f>IF(D5929="Legitimate Interest (GDPR Art. 6(1)(f))", "Yes / Required (Sheet 3)", "")</f>
        <v/>
      </c>
      <c r="L5929" s="7" t="n"/>
      <c r="M5929" s="7" t="n"/>
      <c r="N5929">
        <f>IF(D5929="", "Gap - No Legal Basis", IF(AND(D5929="Consent (GDPR Art. 6(1)(a))", I5929="Not Captured"), "Gap - Invalid Consent", IF(AND(D5929="Legitimate Interest (GDPR Art. 6(1)(f))", L5929=""), "Gap - Missing LIA", IF(AND(G5929="Yes", H5929=""), "Gap - Missing Art. 9 Basis", IF(OR(I5929="Invalid - Not Freely Given", I5929="Invalid - Not Specific", I5929="Invalid - Not Informed", I5929="Invalid - Ambiguous"), "Gap - Invalid Consent", "Compliant")))))</f>
        <v/>
      </c>
      <c r="O5929" s="7" t="n"/>
    </row>
    <row r="5930">
      <c r="A5930" s="7" t="n"/>
      <c r="B5930" s="7" t="n"/>
      <c r="C5930" s="7" t="n"/>
      <c r="D5930" s="7" t="n"/>
      <c r="E5930" s="7" t="n"/>
      <c r="F5930" s="7" t="n"/>
      <c r="G5930" s="7" t="n"/>
      <c r="H5930" s="7" t="n"/>
      <c r="I5930" s="7" t="n"/>
      <c r="J5930" s="7" t="n"/>
      <c r="K5930">
        <f>IF(D5930="Legitimate Interest (GDPR Art. 6(1)(f))", "Yes / Required (Sheet 3)", "")</f>
        <v/>
      </c>
      <c r="L5930" s="7" t="n"/>
      <c r="M5930" s="7" t="n"/>
      <c r="N5930">
        <f>IF(D5930="", "Gap - No Legal Basis", IF(AND(D5930="Consent (GDPR Art. 6(1)(a))", I5930="Not Captured"), "Gap - Invalid Consent", IF(AND(D5930="Legitimate Interest (GDPR Art. 6(1)(f))", L5930=""), "Gap - Missing LIA", IF(AND(G5930="Yes", H5930=""), "Gap - Missing Art. 9 Basis", IF(OR(I5930="Invalid - Not Freely Given", I5930="Invalid - Not Specific", I5930="Invalid - Not Informed", I5930="Invalid - Ambiguous"), "Gap - Invalid Consent", "Compliant")))))</f>
        <v/>
      </c>
      <c r="O5930" s="7" t="n"/>
    </row>
    <row r="5931">
      <c r="A5931" s="7" t="n"/>
      <c r="B5931" s="7" t="n"/>
      <c r="C5931" s="7" t="n"/>
      <c r="D5931" s="7" t="n"/>
      <c r="E5931" s="7" t="n"/>
      <c r="F5931" s="7" t="n"/>
      <c r="G5931" s="7" t="n"/>
      <c r="H5931" s="7" t="n"/>
      <c r="I5931" s="7" t="n"/>
      <c r="J5931" s="7" t="n"/>
      <c r="K5931">
        <f>IF(D5931="Legitimate Interest (GDPR Art. 6(1)(f))", "Yes / Required (Sheet 3)", "")</f>
        <v/>
      </c>
      <c r="L5931" s="7" t="n"/>
      <c r="M5931" s="7" t="n"/>
      <c r="N5931">
        <f>IF(D5931="", "Gap - No Legal Basis", IF(AND(D5931="Consent (GDPR Art. 6(1)(a))", I5931="Not Captured"), "Gap - Invalid Consent", IF(AND(D5931="Legitimate Interest (GDPR Art. 6(1)(f))", L5931=""), "Gap - Missing LIA", IF(AND(G5931="Yes", H5931=""), "Gap - Missing Art. 9 Basis", IF(OR(I5931="Invalid - Not Freely Given", I5931="Invalid - Not Specific", I5931="Invalid - Not Informed", I5931="Invalid - Ambiguous"), "Gap - Invalid Consent", "Compliant")))))</f>
        <v/>
      </c>
      <c r="O5931" s="7" t="n"/>
    </row>
    <row r="5932">
      <c r="A5932" s="7" t="n"/>
      <c r="B5932" s="7" t="n"/>
      <c r="C5932" s="7" t="n"/>
      <c r="D5932" s="7" t="n"/>
      <c r="E5932" s="7" t="n"/>
      <c r="F5932" s="7" t="n"/>
      <c r="G5932" s="7" t="n"/>
      <c r="H5932" s="7" t="n"/>
      <c r="I5932" s="7" t="n"/>
      <c r="J5932" s="7" t="n"/>
      <c r="K5932">
        <f>IF(D5932="Legitimate Interest (GDPR Art. 6(1)(f))", "Yes / Required (Sheet 3)", "")</f>
        <v/>
      </c>
      <c r="L5932" s="7" t="n"/>
      <c r="M5932" s="7" t="n"/>
      <c r="N5932">
        <f>IF(D5932="", "Gap - No Legal Basis", IF(AND(D5932="Consent (GDPR Art. 6(1)(a))", I5932="Not Captured"), "Gap - Invalid Consent", IF(AND(D5932="Legitimate Interest (GDPR Art. 6(1)(f))", L5932=""), "Gap - Missing LIA", IF(AND(G5932="Yes", H5932=""), "Gap - Missing Art. 9 Basis", IF(OR(I5932="Invalid - Not Freely Given", I5932="Invalid - Not Specific", I5932="Invalid - Not Informed", I5932="Invalid - Ambiguous"), "Gap - Invalid Consent", "Compliant")))))</f>
        <v/>
      </c>
      <c r="O5932" s="7" t="n"/>
    </row>
    <row r="5933">
      <c r="A5933" s="7" t="n"/>
      <c r="B5933" s="7" t="n"/>
      <c r="C5933" s="7" t="n"/>
      <c r="D5933" s="7" t="n"/>
      <c r="E5933" s="7" t="n"/>
      <c r="F5933" s="7" t="n"/>
      <c r="G5933" s="7" t="n"/>
      <c r="H5933" s="7" t="n"/>
      <c r="I5933" s="7" t="n"/>
      <c r="J5933" s="7" t="n"/>
      <c r="K5933">
        <f>IF(D5933="Legitimate Interest (GDPR Art. 6(1)(f))", "Yes / Required (Sheet 3)", "")</f>
        <v/>
      </c>
      <c r="L5933" s="7" t="n"/>
      <c r="M5933" s="7" t="n"/>
      <c r="N5933">
        <f>IF(D5933="", "Gap - No Legal Basis", IF(AND(D5933="Consent (GDPR Art. 6(1)(a))", I5933="Not Captured"), "Gap - Invalid Consent", IF(AND(D5933="Legitimate Interest (GDPR Art. 6(1)(f))", L5933=""), "Gap - Missing LIA", IF(AND(G5933="Yes", H5933=""), "Gap - Missing Art. 9 Basis", IF(OR(I5933="Invalid - Not Freely Given", I5933="Invalid - Not Specific", I5933="Invalid - Not Informed", I5933="Invalid - Ambiguous"), "Gap - Invalid Consent", "Compliant")))))</f>
        <v/>
      </c>
      <c r="O5933" s="7" t="n"/>
    </row>
    <row r="5934">
      <c r="A5934" s="7" t="n"/>
      <c r="B5934" s="7" t="n"/>
      <c r="C5934" s="7" t="n"/>
      <c r="D5934" s="7" t="n"/>
      <c r="E5934" s="7" t="n"/>
      <c r="F5934" s="7" t="n"/>
      <c r="G5934" s="7" t="n"/>
      <c r="H5934" s="7" t="n"/>
      <c r="I5934" s="7" t="n"/>
      <c r="J5934" s="7" t="n"/>
      <c r="K5934">
        <f>IF(D5934="Legitimate Interest (GDPR Art. 6(1)(f))", "Yes / Required (Sheet 3)", "")</f>
        <v/>
      </c>
      <c r="L5934" s="7" t="n"/>
      <c r="M5934" s="7" t="n"/>
      <c r="N5934">
        <f>IF(D5934="", "Gap - No Legal Basis", IF(AND(D5934="Consent (GDPR Art. 6(1)(a))", I5934="Not Captured"), "Gap - Invalid Consent", IF(AND(D5934="Legitimate Interest (GDPR Art. 6(1)(f))", L5934=""), "Gap - Missing LIA", IF(AND(G5934="Yes", H5934=""), "Gap - Missing Art. 9 Basis", IF(OR(I5934="Invalid - Not Freely Given", I5934="Invalid - Not Specific", I5934="Invalid - Not Informed", I5934="Invalid - Ambiguous"), "Gap - Invalid Consent", "Compliant")))))</f>
        <v/>
      </c>
      <c r="O5934" s="7" t="n"/>
    </row>
    <row r="5935">
      <c r="A5935" s="7" t="n"/>
      <c r="B5935" s="7" t="n"/>
      <c r="C5935" s="7" t="n"/>
      <c r="D5935" s="7" t="n"/>
      <c r="E5935" s="7" t="n"/>
      <c r="F5935" s="7" t="n"/>
      <c r="G5935" s="7" t="n"/>
      <c r="H5935" s="7" t="n"/>
      <c r="I5935" s="7" t="n"/>
      <c r="J5935" s="7" t="n"/>
      <c r="K5935">
        <f>IF(D5935="Legitimate Interest (GDPR Art. 6(1)(f))", "Yes / Required (Sheet 3)", "")</f>
        <v/>
      </c>
      <c r="L5935" s="7" t="n"/>
      <c r="M5935" s="7" t="n"/>
      <c r="N5935">
        <f>IF(D5935="", "Gap - No Legal Basis", IF(AND(D5935="Consent (GDPR Art. 6(1)(a))", I5935="Not Captured"), "Gap - Invalid Consent", IF(AND(D5935="Legitimate Interest (GDPR Art. 6(1)(f))", L5935=""), "Gap - Missing LIA", IF(AND(G5935="Yes", H5935=""), "Gap - Missing Art. 9 Basis", IF(OR(I5935="Invalid - Not Freely Given", I5935="Invalid - Not Specific", I5935="Invalid - Not Informed", I5935="Invalid - Ambiguous"), "Gap - Invalid Consent", "Compliant")))))</f>
        <v/>
      </c>
      <c r="O5935" s="7" t="n"/>
    </row>
    <row r="5936">
      <c r="A5936" s="7" t="n"/>
      <c r="B5936" s="7" t="n"/>
      <c r="C5936" s="7" t="n"/>
      <c r="D5936" s="7" t="n"/>
      <c r="E5936" s="7" t="n"/>
      <c r="F5936" s="7" t="n"/>
      <c r="G5936" s="7" t="n"/>
      <c r="H5936" s="7" t="n"/>
      <c r="I5936" s="7" t="n"/>
      <c r="J5936" s="7" t="n"/>
      <c r="K5936">
        <f>IF(D5936="Legitimate Interest (GDPR Art. 6(1)(f))", "Yes / Required (Sheet 3)", "")</f>
        <v/>
      </c>
      <c r="L5936" s="7" t="n"/>
      <c r="M5936" s="7" t="n"/>
      <c r="N5936">
        <f>IF(D5936="", "Gap - No Legal Basis", IF(AND(D5936="Consent (GDPR Art. 6(1)(a))", I5936="Not Captured"), "Gap - Invalid Consent", IF(AND(D5936="Legitimate Interest (GDPR Art. 6(1)(f))", L5936=""), "Gap - Missing LIA", IF(AND(G5936="Yes", H5936=""), "Gap - Missing Art. 9 Basis", IF(OR(I5936="Invalid - Not Freely Given", I5936="Invalid - Not Specific", I5936="Invalid - Not Informed", I5936="Invalid - Ambiguous"), "Gap - Invalid Consent", "Compliant")))))</f>
        <v/>
      </c>
      <c r="O5936" s="7" t="n"/>
    </row>
    <row r="5937">
      <c r="A5937" s="7" t="n"/>
      <c r="B5937" s="7" t="n"/>
      <c r="C5937" s="7" t="n"/>
      <c r="D5937" s="7" t="n"/>
      <c r="E5937" s="7" t="n"/>
      <c r="F5937" s="7" t="n"/>
      <c r="G5937" s="7" t="n"/>
      <c r="H5937" s="7" t="n"/>
      <c r="I5937" s="7" t="n"/>
      <c r="J5937" s="7" t="n"/>
      <c r="K5937">
        <f>IF(D5937="Legitimate Interest (GDPR Art. 6(1)(f))", "Yes / Required (Sheet 3)", "")</f>
        <v/>
      </c>
      <c r="L5937" s="7" t="n"/>
      <c r="M5937" s="7" t="n"/>
      <c r="N5937">
        <f>IF(D5937="", "Gap - No Legal Basis", IF(AND(D5937="Consent (GDPR Art. 6(1)(a))", I5937="Not Captured"), "Gap - Invalid Consent", IF(AND(D5937="Legitimate Interest (GDPR Art. 6(1)(f))", L5937=""), "Gap - Missing LIA", IF(AND(G5937="Yes", H5937=""), "Gap - Missing Art. 9 Basis", IF(OR(I5937="Invalid - Not Freely Given", I5937="Invalid - Not Specific", I5937="Invalid - Not Informed", I5937="Invalid - Ambiguous"), "Gap - Invalid Consent", "Compliant")))))</f>
        <v/>
      </c>
      <c r="O5937" s="7" t="n"/>
    </row>
    <row r="5938">
      <c r="A5938" s="7" t="n"/>
      <c r="B5938" s="7" t="n"/>
      <c r="C5938" s="7" t="n"/>
      <c r="D5938" s="7" t="n"/>
      <c r="E5938" s="7" t="n"/>
      <c r="F5938" s="7" t="n"/>
      <c r="G5938" s="7" t="n"/>
      <c r="H5938" s="7" t="n"/>
      <c r="I5938" s="7" t="n"/>
      <c r="J5938" s="7" t="n"/>
      <c r="K5938">
        <f>IF(D5938="Legitimate Interest (GDPR Art. 6(1)(f))", "Yes / Required (Sheet 3)", "")</f>
        <v/>
      </c>
      <c r="L5938" s="7" t="n"/>
      <c r="M5938" s="7" t="n"/>
      <c r="N5938">
        <f>IF(D5938="", "Gap - No Legal Basis", IF(AND(D5938="Consent (GDPR Art. 6(1)(a))", I5938="Not Captured"), "Gap - Invalid Consent", IF(AND(D5938="Legitimate Interest (GDPR Art. 6(1)(f))", L5938=""), "Gap - Missing LIA", IF(AND(G5938="Yes", H5938=""), "Gap - Missing Art. 9 Basis", IF(OR(I5938="Invalid - Not Freely Given", I5938="Invalid - Not Specific", I5938="Invalid - Not Informed", I5938="Invalid - Ambiguous"), "Gap - Invalid Consent", "Compliant")))))</f>
        <v/>
      </c>
      <c r="O5938" s="7" t="n"/>
    </row>
    <row r="5939">
      <c r="A5939" s="7" t="n"/>
      <c r="B5939" s="7" t="n"/>
      <c r="C5939" s="7" t="n"/>
      <c r="D5939" s="7" t="n"/>
      <c r="E5939" s="7" t="n"/>
      <c r="F5939" s="7" t="n"/>
      <c r="G5939" s="7" t="n"/>
      <c r="H5939" s="7" t="n"/>
      <c r="I5939" s="7" t="n"/>
      <c r="J5939" s="7" t="n"/>
      <c r="K5939">
        <f>IF(D5939="Legitimate Interest (GDPR Art. 6(1)(f))", "Yes / Required (Sheet 3)", "")</f>
        <v/>
      </c>
      <c r="L5939" s="7" t="n"/>
      <c r="M5939" s="7" t="n"/>
      <c r="N5939">
        <f>IF(D5939="", "Gap - No Legal Basis", IF(AND(D5939="Consent (GDPR Art. 6(1)(a))", I5939="Not Captured"), "Gap - Invalid Consent", IF(AND(D5939="Legitimate Interest (GDPR Art. 6(1)(f))", L5939=""), "Gap - Missing LIA", IF(AND(G5939="Yes", H5939=""), "Gap - Missing Art. 9 Basis", IF(OR(I5939="Invalid - Not Freely Given", I5939="Invalid - Not Specific", I5939="Invalid - Not Informed", I5939="Invalid - Ambiguous"), "Gap - Invalid Consent", "Compliant")))))</f>
        <v/>
      </c>
      <c r="O5939" s="7" t="n"/>
    </row>
    <row r="5940">
      <c r="A5940" s="7" t="n"/>
      <c r="B5940" s="7" t="n"/>
      <c r="C5940" s="7" t="n"/>
      <c r="D5940" s="7" t="n"/>
      <c r="E5940" s="7" t="n"/>
      <c r="F5940" s="7" t="n"/>
      <c r="G5940" s="7" t="n"/>
      <c r="H5940" s="7" t="n"/>
      <c r="I5940" s="7" t="n"/>
      <c r="J5940" s="7" t="n"/>
      <c r="K5940">
        <f>IF(D5940="Legitimate Interest (GDPR Art. 6(1)(f))", "Yes / Required (Sheet 3)", "")</f>
        <v/>
      </c>
      <c r="L5940" s="7" t="n"/>
      <c r="M5940" s="7" t="n"/>
      <c r="N5940">
        <f>IF(D5940="", "Gap - No Legal Basis", IF(AND(D5940="Consent (GDPR Art. 6(1)(a))", I5940="Not Captured"), "Gap - Invalid Consent", IF(AND(D5940="Legitimate Interest (GDPR Art. 6(1)(f))", L5940=""), "Gap - Missing LIA", IF(AND(G5940="Yes", H5940=""), "Gap - Missing Art. 9 Basis", IF(OR(I5940="Invalid - Not Freely Given", I5940="Invalid - Not Specific", I5940="Invalid - Not Informed", I5940="Invalid - Ambiguous"), "Gap - Invalid Consent", "Compliant")))))</f>
        <v/>
      </c>
      <c r="O5940" s="7" t="n"/>
    </row>
    <row r="5941">
      <c r="A5941" s="7" t="n"/>
      <c r="B5941" s="7" t="n"/>
      <c r="C5941" s="7" t="n"/>
      <c r="D5941" s="7" t="n"/>
      <c r="E5941" s="7" t="n"/>
      <c r="F5941" s="7" t="n"/>
      <c r="G5941" s="7" t="n"/>
      <c r="H5941" s="7" t="n"/>
      <c r="I5941" s="7" t="n"/>
      <c r="J5941" s="7" t="n"/>
      <c r="K5941">
        <f>IF(D5941="Legitimate Interest (GDPR Art. 6(1)(f))", "Yes / Required (Sheet 3)", "")</f>
        <v/>
      </c>
      <c r="L5941" s="7" t="n"/>
      <c r="M5941" s="7" t="n"/>
      <c r="N5941">
        <f>IF(D5941="", "Gap - No Legal Basis", IF(AND(D5941="Consent (GDPR Art. 6(1)(a))", I5941="Not Captured"), "Gap - Invalid Consent", IF(AND(D5941="Legitimate Interest (GDPR Art. 6(1)(f))", L5941=""), "Gap - Missing LIA", IF(AND(G5941="Yes", H5941=""), "Gap - Missing Art. 9 Basis", IF(OR(I5941="Invalid - Not Freely Given", I5941="Invalid - Not Specific", I5941="Invalid - Not Informed", I5941="Invalid - Ambiguous"), "Gap - Invalid Consent", "Compliant")))))</f>
        <v/>
      </c>
      <c r="O5941" s="7" t="n"/>
    </row>
    <row r="5942">
      <c r="A5942" s="7" t="n"/>
      <c r="B5942" s="7" t="n"/>
      <c r="C5942" s="7" t="n"/>
      <c r="D5942" s="7" t="n"/>
      <c r="E5942" s="7" t="n"/>
      <c r="F5942" s="7" t="n"/>
      <c r="G5942" s="7" t="n"/>
      <c r="H5942" s="7" t="n"/>
      <c r="I5942" s="7" t="n"/>
      <c r="J5942" s="7" t="n"/>
      <c r="K5942">
        <f>IF(D5942="Legitimate Interest (GDPR Art. 6(1)(f))", "Yes / Required (Sheet 3)", "")</f>
        <v/>
      </c>
      <c r="L5942" s="7" t="n"/>
      <c r="M5942" s="7" t="n"/>
      <c r="N5942">
        <f>IF(D5942="", "Gap - No Legal Basis", IF(AND(D5942="Consent (GDPR Art. 6(1)(a))", I5942="Not Captured"), "Gap - Invalid Consent", IF(AND(D5942="Legitimate Interest (GDPR Art. 6(1)(f))", L5942=""), "Gap - Missing LIA", IF(AND(G5942="Yes", H5942=""), "Gap - Missing Art. 9 Basis", IF(OR(I5942="Invalid - Not Freely Given", I5942="Invalid - Not Specific", I5942="Invalid - Not Informed", I5942="Invalid - Ambiguous"), "Gap - Invalid Consent", "Compliant")))))</f>
        <v/>
      </c>
      <c r="O5942" s="7" t="n"/>
    </row>
    <row r="5943">
      <c r="A5943" s="7" t="n"/>
      <c r="B5943" s="7" t="n"/>
      <c r="C5943" s="7" t="n"/>
      <c r="D5943" s="7" t="n"/>
      <c r="E5943" s="7" t="n"/>
      <c r="F5943" s="7" t="n"/>
      <c r="G5943" s="7" t="n"/>
      <c r="H5943" s="7" t="n"/>
      <c r="I5943" s="7" t="n"/>
      <c r="J5943" s="7" t="n"/>
      <c r="K5943">
        <f>IF(D5943="Legitimate Interest (GDPR Art. 6(1)(f))", "Yes / Required (Sheet 3)", "")</f>
        <v/>
      </c>
      <c r="L5943" s="7" t="n"/>
      <c r="M5943" s="7" t="n"/>
      <c r="N5943">
        <f>IF(D5943="", "Gap - No Legal Basis", IF(AND(D5943="Consent (GDPR Art. 6(1)(a))", I5943="Not Captured"), "Gap - Invalid Consent", IF(AND(D5943="Legitimate Interest (GDPR Art. 6(1)(f))", L5943=""), "Gap - Missing LIA", IF(AND(G5943="Yes", H5943=""), "Gap - Missing Art. 9 Basis", IF(OR(I5943="Invalid - Not Freely Given", I5943="Invalid - Not Specific", I5943="Invalid - Not Informed", I5943="Invalid - Ambiguous"), "Gap - Invalid Consent", "Compliant")))))</f>
        <v/>
      </c>
      <c r="O5943" s="7" t="n"/>
    </row>
    <row r="5944">
      <c r="A5944" s="7" t="n"/>
      <c r="B5944" s="7" t="n"/>
      <c r="C5944" s="7" t="n"/>
      <c r="D5944" s="7" t="n"/>
      <c r="E5944" s="7" t="n"/>
      <c r="F5944" s="7" t="n"/>
      <c r="G5944" s="7" t="n"/>
      <c r="H5944" s="7" t="n"/>
      <c r="I5944" s="7" t="n"/>
      <c r="J5944" s="7" t="n"/>
      <c r="K5944">
        <f>IF(D5944="Legitimate Interest (GDPR Art. 6(1)(f))", "Yes / Required (Sheet 3)", "")</f>
        <v/>
      </c>
      <c r="L5944" s="7" t="n"/>
      <c r="M5944" s="7" t="n"/>
      <c r="N5944">
        <f>IF(D5944="", "Gap - No Legal Basis", IF(AND(D5944="Consent (GDPR Art. 6(1)(a))", I5944="Not Captured"), "Gap - Invalid Consent", IF(AND(D5944="Legitimate Interest (GDPR Art. 6(1)(f))", L5944=""), "Gap - Missing LIA", IF(AND(G5944="Yes", H5944=""), "Gap - Missing Art. 9 Basis", IF(OR(I5944="Invalid - Not Freely Given", I5944="Invalid - Not Specific", I5944="Invalid - Not Informed", I5944="Invalid - Ambiguous"), "Gap - Invalid Consent", "Compliant")))))</f>
        <v/>
      </c>
      <c r="O5944" s="7" t="n"/>
    </row>
    <row r="5945">
      <c r="A5945" s="7" t="n"/>
      <c r="B5945" s="7" t="n"/>
      <c r="C5945" s="7" t="n"/>
      <c r="D5945" s="7" t="n"/>
      <c r="E5945" s="7" t="n"/>
      <c r="F5945" s="7" t="n"/>
      <c r="G5945" s="7" t="n"/>
      <c r="H5945" s="7" t="n"/>
      <c r="I5945" s="7" t="n"/>
      <c r="J5945" s="7" t="n"/>
      <c r="K5945">
        <f>IF(D5945="Legitimate Interest (GDPR Art. 6(1)(f))", "Yes / Required (Sheet 3)", "")</f>
        <v/>
      </c>
      <c r="L5945" s="7" t="n"/>
      <c r="M5945" s="7" t="n"/>
      <c r="N5945">
        <f>IF(D5945="", "Gap - No Legal Basis", IF(AND(D5945="Consent (GDPR Art. 6(1)(a))", I5945="Not Captured"), "Gap - Invalid Consent", IF(AND(D5945="Legitimate Interest (GDPR Art. 6(1)(f))", L5945=""), "Gap - Missing LIA", IF(AND(G5945="Yes", H5945=""), "Gap - Missing Art. 9 Basis", IF(OR(I5945="Invalid - Not Freely Given", I5945="Invalid - Not Specific", I5945="Invalid - Not Informed", I5945="Invalid - Ambiguous"), "Gap - Invalid Consent", "Compliant")))))</f>
        <v/>
      </c>
      <c r="O5945" s="7" t="n"/>
    </row>
    <row r="5946">
      <c r="A5946" s="7" t="n"/>
      <c r="B5946" s="7" t="n"/>
      <c r="C5946" s="7" t="n"/>
      <c r="D5946" s="7" t="n"/>
      <c r="E5946" s="7" t="n"/>
      <c r="F5946" s="7" t="n"/>
      <c r="G5946" s="7" t="n"/>
      <c r="H5946" s="7" t="n"/>
      <c r="I5946" s="7" t="n"/>
      <c r="J5946" s="7" t="n"/>
      <c r="K5946">
        <f>IF(D5946="Legitimate Interest (GDPR Art. 6(1)(f))", "Yes / Required (Sheet 3)", "")</f>
        <v/>
      </c>
      <c r="L5946" s="7" t="n"/>
      <c r="M5946" s="7" t="n"/>
      <c r="N5946">
        <f>IF(D5946="", "Gap - No Legal Basis", IF(AND(D5946="Consent (GDPR Art. 6(1)(a))", I5946="Not Captured"), "Gap - Invalid Consent", IF(AND(D5946="Legitimate Interest (GDPR Art. 6(1)(f))", L5946=""), "Gap - Missing LIA", IF(AND(G5946="Yes", H5946=""), "Gap - Missing Art. 9 Basis", IF(OR(I5946="Invalid - Not Freely Given", I5946="Invalid - Not Specific", I5946="Invalid - Not Informed", I5946="Invalid - Ambiguous"), "Gap - Invalid Consent", "Compliant")))))</f>
        <v/>
      </c>
      <c r="O5946" s="7" t="n"/>
    </row>
    <row r="5947">
      <c r="A5947" s="7" t="n"/>
      <c r="B5947" s="7" t="n"/>
      <c r="C5947" s="7" t="n"/>
      <c r="D5947" s="7" t="n"/>
      <c r="E5947" s="7" t="n"/>
      <c r="F5947" s="7" t="n"/>
      <c r="G5947" s="7" t="n"/>
      <c r="H5947" s="7" t="n"/>
      <c r="I5947" s="7" t="n"/>
      <c r="J5947" s="7" t="n"/>
      <c r="K5947">
        <f>IF(D5947="Legitimate Interest (GDPR Art. 6(1)(f))", "Yes / Required (Sheet 3)", "")</f>
        <v/>
      </c>
      <c r="L5947" s="7" t="n"/>
      <c r="M5947" s="7" t="n"/>
      <c r="N5947">
        <f>IF(D5947="", "Gap - No Legal Basis", IF(AND(D5947="Consent (GDPR Art. 6(1)(a))", I5947="Not Captured"), "Gap - Invalid Consent", IF(AND(D5947="Legitimate Interest (GDPR Art. 6(1)(f))", L5947=""), "Gap - Missing LIA", IF(AND(G5947="Yes", H5947=""), "Gap - Missing Art. 9 Basis", IF(OR(I5947="Invalid - Not Freely Given", I5947="Invalid - Not Specific", I5947="Invalid - Not Informed", I5947="Invalid - Ambiguous"), "Gap - Invalid Consent", "Compliant")))))</f>
        <v/>
      </c>
      <c r="O5947" s="7" t="n"/>
    </row>
    <row r="5948">
      <c r="A5948" s="7" t="n"/>
      <c r="B5948" s="7" t="n"/>
      <c r="C5948" s="7" t="n"/>
      <c r="D5948" s="7" t="n"/>
      <c r="E5948" s="7" t="n"/>
      <c r="F5948" s="7" t="n"/>
      <c r="G5948" s="7" t="n"/>
      <c r="H5948" s="7" t="n"/>
      <c r="I5948" s="7" t="n"/>
      <c r="J5948" s="7" t="n"/>
      <c r="K5948">
        <f>IF(D5948="Legitimate Interest (GDPR Art. 6(1)(f))", "Yes / Required (Sheet 3)", "")</f>
        <v/>
      </c>
      <c r="L5948" s="7" t="n"/>
      <c r="M5948" s="7" t="n"/>
      <c r="N5948">
        <f>IF(D5948="", "Gap - No Legal Basis", IF(AND(D5948="Consent (GDPR Art. 6(1)(a))", I5948="Not Captured"), "Gap - Invalid Consent", IF(AND(D5948="Legitimate Interest (GDPR Art. 6(1)(f))", L5948=""), "Gap - Missing LIA", IF(AND(G5948="Yes", H5948=""), "Gap - Missing Art. 9 Basis", IF(OR(I5948="Invalid - Not Freely Given", I5948="Invalid - Not Specific", I5948="Invalid - Not Informed", I5948="Invalid - Ambiguous"), "Gap - Invalid Consent", "Compliant")))))</f>
        <v/>
      </c>
      <c r="O5948" s="7" t="n"/>
    </row>
    <row r="5949">
      <c r="A5949" s="7" t="n"/>
      <c r="B5949" s="7" t="n"/>
      <c r="C5949" s="7" t="n"/>
      <c r="D5949" s="7" t="n"/>
      <c r="E5949" s="7" t="n"/>
      <c r="F5949" s="7" t="n"/>
      <c r="G5949" s="7" t="n"/>
      <c r="H5949" s="7" t="n"/>
      <c r="I5949" s="7" t="n"/>
      <c r="J5949" s="7" t="n"/>
      <c r="K5949">
        <f>IF(D5949="Legitimate Interest (GDPR Art. 6(1)(f))", "Yes / Required (Sheet 3)", "")</f>
        <v/>
      </c>
      <c r="L5949" s="7" t="n"/>
      <c r="M5949" s="7" t="n"/>
      <c r="N5949">
        <f>IF(D5949="", "Gap - No Legal Basis", IF(AND(D5949="Consent (GDPR Art. 6(1)(a))", I5949="Not Captured"), "Gap - Invalid Consent", IF(AND(D5949="Legitimate Interest (GDPR Art. 6(1)(f))", L5949=""), "Gap - Missing LIA", IF(AND(G5949="Yes", H5949=""), "Gap - Missing Art. 9 Basis", IF(OR(I5949="Invalid - Not Freely Given", I5949="Invalid - Not Specific", I5949="Invalid - Not Informed", I5949="Invalid - Ambiguous"), "Gap - Invalid Consent", "Compliant")))))</f>
        <v/>
      </c>
      <c r="O5949" s="7" t="n"/>
    </row>
    <row r="5950">
      <c r="A5950" s="7" t="n"/>
      <c r="B5950" s="7" t="n"/>
      <c r="C5950" s="7" t="n"/>
      <c r="D5950" s="7" t="n"/>
      <c r="E5950" s="7" t="n"/>
      <c r="F5950" s="7" t="n"/>
      <c r="G5950" s="7" t="n"/>
      <c r="H5950" s="7" t="n"/>
      <c r="I5950" s="7" t="n"/>
      <c r="J5950" s="7" t="n"/>
      <c r="K5950">
        <f>IF(D5950="Legitimate Interest (GDPR Art. 6(1)(f))", "Yes / Required (Sheet 3)", "")</f>
        <v/>
      </c>
      <c r="L5950" s="7" t="n"/>
      <c r="M5950" s="7" t="n"/>
      <c r="N5950">
        <f>IF(D5950="", "Gap - No Legal Basis", IF(AND(D5950="Consent (GDPR Art. 6(1)(a))", I5950="Not Captured"), "Gap - Invalid Consent", IF(AND(D5950="Legitimate Interest (GDPR Art. 6(1)(f))", L5950=""), "Gap - Missing LIA", IF(AND(G5950="Yes", H5950=""), "Gap - Missing Art. 9 Basis", IF(OR(I5950="Invalid - Not Freely Given", I5950="Invalid - Not Specific", I5950="Invalid - Not Informed", I5950="Invalid - Ambiguous"), "Gap - Invalid Consent", "Compliant")))))</f>
        <v/>
      </c>
      <c r="O5950" s="7" t="n"/>
    </row>
    <row r="5951">
      <c r="A5951" s="7" t="n"/>
      <c r="B5951" s="7" t="n"/>
      <c r="C5951" s="7" t="n"/>
      <c r="D5951" s="7" t="n"/>
      <c r="E5951" s="7" t="n"/>
      <c r="F5951" s="7" t="n"/>
      <c r="G5951" s="7" t="n"/>
      <c r="H5951" s="7" t="n"/>
      <c r="I5951" s="7" t="n"/>
      <c r="J5951" s="7" t="n"/>
      <c r="K5951">
        <f>IF(D5951="Legitimate Interest (GDPR Art. 6(1)(f))", "Yes / Required (Sheet 3)", "")</f>
        <v/>
      </c>
      <c r="L5951" s="7" t="n"/>
      <c r="M5951" s="7" t="n"/>
      <c r="N5951">
        <f>IF(D5951="", "Gap - No Legal Basis", IF(AND(D5951="Consent (GDPR Art. 6(1)(a))", I5951="Not Captured"), "Gap - Invalid Consent", IF(AND(D5951="Legitimate Interest (GDPR Art. 6(1)(f))", L5951=""), "Gap - Missing LIA", IF(AND(G5951="Yes", H5951=""), "Gap - Missing Art. 9 Basis", IF(OR(I5951="Invalid - Not Freely Given", I5951="Invalid - Not Specific", I5951="Invalid - Not Informed", I5951="Invalid - Ambiguous"), "Gap - Invalid Consent", "Compliant")))))</f>
        <v/>
      </c>
      <c r="O5951" s="7" t="n"/>
    </row>
    <row r="5952">
      <c r="A5952" s="7" t="n"/>
      <c r="B5952" s="7" t="n"/>
      <c r="C5952" s="7" t="n"/>
      <c r="D5952" s="7" t="n"/>
      <c r="E5952" s="7" t="n"/>
      <c r="F5952" s="7" t="n"/>
      <c r="G5952" s="7" t="n"/>
      <c r="H5952" s="7" t="n"/>
      <c r="I5952" s="7" t="n"/>
      <c r="J5952" s="7" t="n"/>
      <c r="K5952">
        <f>IF(D5952="Legitimate Interest (GDPR Art. 6(1)(f))", "Yes / Required (Sheet 3)", "")</f>
        <v/>
      </c>
      <c r="L5952" s="7" t="n"/>
      <c r="M5952" s="7" t="n"/>
      <c r="N5952">
        <f>IF(D5952="", "Gap - No Legal Basis", IF(AND(D5952="Consent (GDPR Art. 6(1)(a))", I5952="Not Captured"), "Gap - Invalid Consent", IF(AND(D5952="Legitimate Interest (GDPR Art. 6(1)(f))", L5952=""), "Gap - Missing LIA", IF(AND(G5952="Yes", H5952=""), "Gap - Missing Art. 9 Basis", IF(OR(I5952="Invalid - Not Freely Given", I5952="Invalid - Not Specific", I5952="Invalid - Not Informed", I5952="Invalid - Ambiguous"), "Gap - Invalid Consent", "Compliant")))))</f>
        <v/>
      </c>
      <c r="O5952" s="7" t="n"/>
    </row>
    <row r="5953">
      <c r="A5953" s="7" t="n"/>
      <c r="B5953" s="7" t="n"/>
      <c r="C5953" s="7" t="n"/>
      <c r="D5953" s="7" t="n"/>
      <c r="E5953" s="7" t="n"/>
      <c r="F5953" s="7" t="n"/>
      <c r="G5953" s="7" t="n"/>
      <c r="H5953" s="7" t="n"/>
      <c r="I5953" s="7" t="n"/>
      <c r="J5953" s="7" t="n"/>
      <c r="K5953">
        <f>IF(D5953="Legitimate Interest (GDPR Art. 6(1)(f))", "Yes / Required (Sheet 3)", "")</f>
        <v/>
      </c>
      <c r="L5953" s="7" t="n"/>
      <c r="M5953" s="7" t="n"/>
      <c r="N5953">
        <f>IF(D5953="", "Gap - No Legal Basis", IF(AND(D5953="Consent (GDPR Art. 6(1)(a))", I5953="Not Captured"), "Gap - Invalid Consent", IF(AND(D5953="Legitimate Interest (GDPR Art. 6(1)(f))", L5953=""), "Gap - Missing LIA", IF(AND(G5953="Yes", H5953=""), "Gap - Missing Art. 9 Basis", IF(OR(I5953="Invalid - Not Freely Given", I5953="Invalid - Not Specific", I5953="Invalid - Not Informed", I5953="Invalid - Ambiguous"), "Gap - Invalid Consent", "Compliant")))))</f>
        <v/>
      </c>
      <c r="O5953" s="7" t="n"/>
    </row>
    <row r="5954">
      <c r="A5954" s="7" t="n"/>
      <c r="B5954" s="7" t="n"/>
      <c r="C5954" s="7" t="n"/>
      <c r="D5954" s="7" t="n"/>
      <c r="E5954" s="7" t="n"/>
      <c r="F5954" s="7" t="n"/>
      <c r="G5954" s="7" t="n"/>
      <c r="H5954" s="7" t="n"/>
      <c r="I5954" s="7" t="n"/>
      <c r="J5954" s="7" t="n"/>
      <c r="K5954">
        <f>IF(D5954="Legitimate Interest (GDPR Art. 6(1)(f))", "Yes / Required (Sheet 3)", "")</f>
        <v/>
      </c>
      <c r="L5954" s="7" t="n"/>
      <c r="M5954" s="7" t="n"/>
      <c r="N5954">
        <f>IF(D5954="", "Gap - No Legal Basis", IF(AND(D5954="Consent (GDPR Art. 6(1)(a))", I5954="Not Captured"), "Gap - Invalid Consent", IF(AND(D5954="Legitimate Interest (GDPR Art. 6(1)(f))", L5954=""), "Gap - Missing LIA", IF(AND(G5954="Yes", H5954=""), "Gap - Missing Art. 9 Basis", IF(OR(I5954="Invalid - Not Freely Given", I5954="Invalid - Not Specific", I5954="Invalid - Not Informed", I5954="Invalid - Ambiguous"), "Gap - Invalid Consent", "Compliant")))))</f>
        <v/>
      </c>
      <c r="O5954" s="7" t="n"/>
    </row>
    <row r="5955">
      <c r="A5955" s="7" t="n"/>
      <c r="B5955" s="7" t="n"/>
      <c r="C5955" s="7" t="n"/>
      <c r="D5955" s="7" t="n"/>
      <c r="E5955" s="7" t="n"/>
      <c r="F5955" s="7" t="n"/>
      <c r="G5955" s="7" t="n"/>
      <c r="H5955" s="7" t="n"/>
      <c r="I5955" s="7" t="n"/>
      <c r="J5955" s="7" t="n"/>
      <c r="K5955">
        <f>IF(D5955="Legitimate Interest (GDPR Art. 6(1)(f))", "Yes / Required (Sheet 3)", "")</f>
        <v/>
      </c>
      <c r="L5955" s="7" t="n"/>
      <c r="M5955" s="7" t="n"/>
      <c r="N5955">
        <f>IF(D5955="", "Gap - No Legal Basis", IF(AND(D5955="Consent (GDPR Art. 6(1)(a))", I5955="Not Captured"), "Gap - Invalid Consent", IF(AND(D5955="Legitimate Interest (GDPR Art. 6(1)(f))", L5955=""), "Gap - Missing LIA", IF(AND(G5955="Yes", H5955=""), "Gap - Missing Art. 9 Basis", IF(OR(I5955="Invalid - Not Freely Given", I5955="Invalid - Not Specific", I5955="Invalid - Not Informed", I5955="Invalid - Ambiguous"), "Gap - Invalid Consent", "Compliant")))))</f>
        <v/>
      </c>
      <c r="O5955" s="7" t="n"/>
    </row>
    <row r="5956">
      <c r="A5956" s="7" t="n"/>
      <c r="B5956" s="7" t="n"/>
      <c r="C5956" s="7" t="n"/>
      <c r="D5956" s="7" t="n"/>
      <c r="E5956" s="7" t="n"/>
      <c r="F5956" s="7" t="n"/>
      <c r="G5956" s="7" t="n"/>
      <c r="H5956" s="7" t="n"/>
      <c r="I5956" s="7" t="n"/>
      <c r="J5956" s="7" t="n"/>
      <c r="K5956">
        <f>IF(D5956="Legitimate Interest (GDPR Art. 6(1)(f))", "Yes / Required (Sheet 3)", "")</f>
        <v/>
      </c>
      <c r="L5956" s="7" t="n"/>
      <c r="M5956" s="7" t="n"/>
      <c r="N5956">
        <f>IF(D5956="", "Gap - No Legal Basis", IF(AND(D5956="Consent (GDPR Art. 6(1)(a))", I5956="Not Captured"), "Gap - Invalid Consent", IF(AND(D5956="Legitimate Interest (GDPR Art. 6(1)(f))", L5956=""), "Gap - Missing LIA", IF(AND(G5956="Yes", H5956=""), "Gap - Missing Art. 9 Basis", IF(OR(I5956="Invalid - Not Freely Given", I5956="Invalid - Not Specific", I5956="Invalid - Not Informed", I5956="Invalid - Ambiguous"), "Gap - Invalid Consent", "Compliant")))))</f>
        <v/>
      </c>
      <c r="O5956" s="7" t="n"/>
    </row>
    <row r="5957">
      <c r="A5957" s="7" t="n"/>
      <c r="B5957" s="7" t="n"/>
      <c r="C5957" s="7" t="n"/>
      <c r="D5957" s="7" t="n"/>
      <c r="E5957" s="7" t="n"/>
      <c r="F5957" s="7" t="n"/>
      <c r="G5957" s="7" t="n"/>
      <c r="H5957" s="7" t="n"/>
      <c r="I5957" s="7" t="n"/>
      <c r="J5957" s="7" t="n"/>
      <c r="K5957">
        <f>IF(D5957="Legitimate Interest (GDPR Art. 6(1)(f))", "Yes / Required (Sheet 3)", "")</f>
        <v/>
      </c>
      <c r="L5957" s="7" t="n"/>
      <c r="M5957" s="7" t="n"/>
      <c r="N5957">
        <f>IF(D5957="", "Gap - No Legal Basis", IF(AND(D5957="Consent (GDPR Art. 6(1)(a))", I5957="Not Captured"), "Gap - Invalid Consent", IF(AND(D5957="Legitimate Interest (GDPR Art. 6(1)(f))", L5957=""), "Gap - Missing LIA", IF(AND(G5957="Yes", H5957=""), "Gap - Missing Art. 9 Basis", IF(OR(I5957="Invalid - Not Freely Given", I5957="Invalid - Not Specific", I5957="Invalid - Not Informed", I5957="Invalid - Ambiguous"), "Gap - Invalid Consent", "Compliant")))))</f>
        <v/>
      </c>
      <c r="O5957" s="7" t="n"/>
    </row>
    <row r="5958">
      <c r="A5958" s="7" t="n"/>
      <c r="B5958" s="7" t="n"/>
      <c r="C5958" s="7" t="n"/>
      <c r="D5958" s="7" t="n"/>
      <c r="E5958" s="7" t="n"/>
      <c r="F5958" s="7" t="n"/>
      <c r="G5958" s="7" t="n"/>
      <c r="H5958" s="7" t="n"/>
      <c r="I5958" s="7" t="n"/>
      <c r="J5958" s="7" t="n"/>
      <c r="K5958">
        <f>IF(D5958="Legitimate Interest (GDPR Art. 6(1)(f))", "Yes / Required (Sheet 3)", "")</f>
        <v/>
      </c>
      <c r="L5958" s="7" t="n"/>
      <c r="M5958" s="7" t="n"/>
      <c r="N5958">
        <f>IF(D5958="", "Gap - No Legal Basis", IF(AND(D5958="Consent (GDPR Art. 6(1)(a))", I5958="Not Captured"), "Gap - Invalid Consent", IF(AND(D5958="Legitimate Interest (GDPR Art. 6(1)(f))", L5958=""), "Gap - Missing LIA", IF(AND(G5958="Yes", H5958=""), "Gap - Missing Art. 9 Basis", IF(OR(I5958="Invalid - Not Freely Given", I5958="Invalid - Not Specific", I5958="Invalid - Not Informed", I5958="Invalid - Ambiguous"), "Gap - Invalid Consent", "Compliant")))))</f>
        <v/>
      </c>
      <c r="O5958" s="7" t="n"/>
    </row>
    <row r="5959">
      <c r="A5959" s="7" t="n"/>
      <c r="B5959" s="7" t="n"/>
      <c r="C5959" s="7" t="n"/>
      <c r="D5959" s="7" t="n"/>
      <c r="E5959" s="7" t="n"/>
      <c r="F5959" s="7" t="n"/>
      <c r="G5959" s="7" t="n"/>
      <c r="H5959" s="7" t="n"/>
      <c r="I5959" s="7" t="n"/>
      <c r="J5959" s="7" t="n"/>
      <c r="K5959">
        <f>IF(D5959="Legitimate Interest (GDPR Art. 6(1)(f))", "Yes / Required (Sheet 3)", "")</f>
        <v/>
      </c>
      <c r="L5959" s="7" t="n"/>
      <c r="M5959" s="7" t="n"/>
      <c r="N5959">
        <f>IF(D5959="", "Gap - No Legal Basis", IF(AND(D5959="Consent (GDPR Art. 6(1)(a))", I5959="Not Captured"), "Gap - Invalid Consent", IF(AND(D5959="Legitimate Interest (GDPR Art. 6(1)(f))", L5959=""), "Gap - Missing LIA", IF(AND(G5959="Yes", H5959=""), "Gap - Missing Art. 9 Basis", IF(OR(I5959="Invalid - Not Freely Given", I5959="Invalid - Not Specific", I5959="Invalid - Not Informed", I5959="Invalid - Ambiguous"), "Gap - Invalid Consent", "Compliant")))))</f>
        <v/>
      </c>
      <c r="O5959" s="7" t="n"/>
    </row>
    <row r="5960">
      <c r="A5960" s="7" t="n"/>
      <c r="B5960" s="7" t="n"/>
      <c r="C5960" s="7" t="n"/>
      <c r="D5960" s="7" t="n"/>
      <c r="E5960" s="7" t="n"/>
      <c r="F5960" s="7" t="n"/>
      <c r="G5960" s="7" t="n"/>
      <c r="H5960" s="7" t="n"/>
      <c r="I5960" s="7" t="n"/>
      <c r="J5960" s="7" t="n"/>
      <c r="K5960">
        <f>IF(D5960="Legitimate Interest (GDPR Art. 6(1)(f))", "Yes / Required (Sheet 3)", "")</f>
        <v/>
      </c>
      <c r="L5960" s="7" t="n"/>
      <c r="M5960" s="7" t="n"/>
      <c r="N5960">
        <f>IF(D5960="", "Gap - No Legal Basis", IF(AND(D5960="Consent (GDPR Art. 6(1)(a))", I5960="Not Captured"), "Gap - Invalid Consent", IF(AND(D5960="Legitimate Interest (GDPR Art. 6(1)(f))", L5960=""), "Gap - Missing LIA", IF(AND(G5960="Yes", H5960=""), "Gap - Missing Art. 9 Basis", IF(OR(I5960="Invalid - Not Freely Given", I5960="Invalid - Not Specific", I5960="Invalid - Not Informed", I5960="Invalid - Ambiguous"), "Gap - Invalid Consent", "Compliant")))))</f>
        <v/>
      </c>
      <c r="O5960" s="7" t="n"/>
    </row>
    <row r="5961">
      <c r="A5961" s="7" t="n"/>
      <c r="B5961" s="7" t="n"/>
      <c r="C5961" s="7" t="n"/>
      <c r="D5961" s="7" t="n"/>
      <c r="E5961" s="7" t="n"/>
      <c r="F5961" s="7" t="n"/>
      <c r="G5961" s="7" t="n"/>
      <c r="H5961" s="7" t="n"/>
      <c r="I5961" s="7" t="n"/>
      <c r="J5961" s="7" t="n"/>
      <c r="K5961">
        <f>IF(D5961="Legitimate Interest (GDPR Art. 6(1)(f))", "Yes / Required (Sheet 3)", "")</f>
        <v/>
      </c>
      <c r="L5961" s="7" t="n"/>
      <c r="M5961" s="7" t="n"/>
      <c r="N5961">
        <f>IF(D5961="", "Gap - No Legal Basis", IF(AND(D5961="Consent (GDPR Art. 6(1)(a))", I5961="Not Captured"), "Gap - Invalid Consent", IF(AND(D5961="Legitimate Interest (GDPR Art. 6(1)(f))", L5961=""), "Gap - Missing LIA", IF(AND(G5961="Yes", H5961=""), "Gap - Missing Art. 9 Basis", IF(OR(I5961="Invalid - Not Freely Given", I5961="Invalid - Not Specific", I5961="Invalid - Not Informed", I5961="Invalid - Ambiguous"), "Gap - Invalid Consent", "Compliant")))))</f>
        <v/>
      </c>
      <c r="O5961" s="7" t="n"/>
    </row>
    <row r="5962">
      <c r="A5962" s="7" t="n"/>
      <c r="B5962" s="7" t="n"/>
      <c r="C5962" s="7" t="n"/>
      <c r="D5962" s="7" t="n"/>
      <c r="E5962" s="7" t="n"/>
      <c r="F5962" s="7" t="n"/>
      <c r="G5962" s="7" t="n"/>
      <c r="H5962" s="7" t="n"/>
      <c r="I5962" s="7" t="n"/>
      <c r="J5962" s="7" t="n"/>
      <c r="K5962">
        <f>IF(D5962="Legitimate Interest (GDPR Art. 6(1)(f))", "Yes / Required (Sheet 3)", "")</f>
        <v/>
      </c>
      <c r="L5962" s="7" t="n"/>
      <c r="M5962" s="7" t="n"/>
      <c r="N5962">
        <f>IF(D5962="", "Gap - No Legal Basis", IF(AND(D5962="Consent (GDPR Art. 6(1)(a))", I5962="Not Captured"), "Gap - Invalid Consent", IF(AND(D5962="Legitimate Interest (GDPR Art. 6(1)(f))", L5962=""), "Gap - Missing LIA", IF(AND(G5962="Yes", H5962=""), "Gap - Missing Art. 9 Basis", IF(OR(I5962="Invalid - Not Freely Given", I5962="Invalid - Not Specific", I5962="Invalid - Not Informed", I5962="Invalid - Ambiguous"), "Gap - Invalid Consent", "Compliant")))))</f>
        <v/>
      </c>
      <c r="O5962" s="7" t="n"/>
    </row>
    <row r="5963">
      <c r="A5963" s="7" t="n"/>
      <c r="B5963" s="7" t="n"/>
      <c r="C5963" s="7" t="n"/>
      <c r="D5963" s="7" t="n"/>
      <c r="E5963" s="7" t="n"/>
      <c r="F5963" s="7" t="n"/>
      <c r="G5963" s="7" t="n"/>
      <c r="H5963" s="7" t="n"/>
      <c r="I5963" s="7" t="n"/>
      <c r="J5963" s="7" t="n"/>
      <c r="K5963">
        <f>IF(D5963="Legitimate Interest (GDPR Art. 6(1)(f))", "Yes / Required (Sheet 3)", "")</f>
        <v/>
      </c>
      <c r="L5963" s="7" t="n"/>
      <c r="M5963" s="7" t="n"/>
      <c r="N5963">
        <f>IF(D5963="", "Gap - No Legal Basis", IF(AND(D5963="Consent (GDPR Art. 6(1)(a))", I5963="Not Captured"), "Gap - Invalid Consent", IF(AND(D5963="Legitimate Interest (GDPR Art. 6(1)(f))", L5963=""), "Gap - Missing LIA", IF(AND(G5963="Yes", H5963=""), "Gap - Missing Art. 9 Basis", IF(OR(I5963="Invalid - Not Freely Given", I5963="Invalid - Not Specific", I5963="Invalid - Not Informed", I5963="Invalid - Ambiguous"), "Gap - Invalid Consent", "Compliant")))))</f>
        <v/>
      </c>
      <c r="O5963" s="7" t="n"/>
    </row>
    <row r="5964">
      <c r="A5964" s="7" t="n"/>
      <c r="B5964" s="7" t="n"/>
      <c r="C5964" s="7" t="n"/>
      <c r="D5964" s="7" t="n"/>
      <c r="E5964" s="7" t="n"/>
      <c r="F5964" s="7" t="n"/>
      <c r="G5964" s="7" t="n"/>
      <c r="H5964" s="7" t="n"/>
      <c r="I5964" s="7" t="n"/>
      <c r="J5964" s="7" t="n"/>
      <c r="K5964">
        <f>IF(D5964="Legitimate Interest (GDPR Art. 6(1)(f))", "Yes / Required (Sheet 3)", "")</f>
        <v/>
      </c>
      <c r="L5964" s="7" t="n"/>
      <c r="M5964" s="7" t="n"/>
      <c r="N5964">
        <f>IF(D5964="", "Gap - No Legal Basis", IF(AND(D5964="Consent (GDPR Art. 6(1)(a))", I5964="Not Captured"), "Gap - Invalid Consent", IF(AND(D5964="Legitimate Interest (GDPR Art. 6(1)(f))", L5964=""), "Gap - Missing LIA", IF(AND(G5964="Yes", H5964=""), "Gap - Missing Art. 9 Basis", IF(OR(I5964="Invalid - Not Freely Given", I5964="Invalid - Not Specific", I5964="Invalid - Not Informed", I5964="Invalid - Ambiguous"), "Gap - Invalid Consent", "Compliant")))))</f>
        <v/>
      </c>
      <c r="O5964" s="7" t="n"/>
    </row>
    <row r="5965">
      <c r="A5965" s="7" t="n"/>
      <c r="B5965" s="7" t="n"/>
      <c r="C5965" s="7" t="n"/>
      <c r="D5965" s="7" t="n"/>
      <c r="E5965" s="7" t="n"/>
      <c r="F5965" s="7" t="n"/>
      <c r="G5965" s="7" t="n"/>
      <c r="H5965" s="7" t="n"/>
      <c r="I5965" s="7" t="n"/>
      <c r="J5965" s="7" t="n"/>
      <c r="K5965">
        <f>IF(D5965="Legitimate Interest (GDPR Art. 6(1)(f))", "Yes / Required (Sheet 3)", "")</f>
        <v/>
      </c>
      <c r="L5965" s="7" t="n"/>
      <c r="M5965" s="7" t="n"/>
      <c r="N5965">
        <f>IF(D5965="", "Gap - No Legal Basis", IF(AND(D5965="Consent (GDPR Art. 6(1)(a))", I5965="Not Captured"), "Gap - Invalid Consent", IF(AND(D5965="Legitimate Interest (GDPR Art. 6(1)(f))", L5965=""), "Gap - Missing LIA", IF(AND(G5965="Yes", H5965=""), "Gap - Missing Art. 9 Basis", IF(OR(I5965="Invalid - Not Freely Given", I5965="Invalid - Not Specific", I5965="Invalid - Not Informed", I5965="Invalid - Ambiguous"), "Gap - Invalid Consent", "Compliant")))))</f>
        <v/>
      </c>
      <c r="O5965" s="7" t="n"/>
    </row>
    <row r="5966">
      <c r="A5966" s="7" t="n"/>
      <c r="B5966" s="7" t="n"/>
      <c r="C5966" s="7" t="n"/>
      <c r="D5966" s="7" t="n"/>
      <c r="E5966" s="7" t="n"/>
      <c r="F5966" s="7" t="n"/>
      <c r="G5966" s="7" t="n"/>
      <c r="H5966" s="7" t="n"/>
      <c r="I5966" s="7" t="n"/>
      <c r="J5966" s="7" t="n"/>
      <c r="K5966">
        <f>IF(D5966="Legitimate Interest (GDPR Art. 6(1)(f))", "Yes / Required (Sheet 3)", "")</f>
        <v/>
      </c>
      <c r="L5966" s="7" t="n"/>
      <c r="M5966" s="7" t="n"/>
      <c r="N5966">
        <f>IF(D5966="", "Gap - No Legal Basis", IF(AND(D5966="Consent (GDPR Art. 6(1)(a))", I5966="Not Captured"), "Gap - Invalid Consent", IF(AND(D5966="Legitimate Interest (GDPR Art. 6(1)(f))", L5966=""), "Gap - Missing LIA", IF(AND(G5966="Yes", H5966=""), "Gap - Missing Art. 9 Basis", IF(OR(I5966="Invalid - Not Freely Given", I5966="Invalid - Not Specific", I5966="Invalid - Not Informed", I5966="Invalid - Ambiguous"), "Gap - Invalid Consent", "Compliant")))))</f>
        <v/>
      </c>
      <c r="O5966" s="7" t="n"/>
    </row>
    <row r="5967">
      <c r="A5967" s="7" t="n"/>
      <c r="B5967" s="7" t="n"/>
      <c r="C5967" s="7" t="n"/>
      <c r="D5967" s="7" t="n"/>
      <c r="E5967" s="7" t="n"/>
      <c r="F5967" s="7" t="n"/>
      <c r="G5967" s="7" t="n"/>
      <c r="H5967" s="7" t="n"/>
      <c r="I5967" s="7" t="n"/>
      <c r="J5967" s="7" t="n"/>
      <c r="K5967">
        <f>IF(D5967="Legitimate Interest (GDPR Art. 6(1)(f))", "Yes / Required (Sheet 3)", "")</f>
        <v/>
      </c>
      <c r="L5967" s="7" t="n"/>
      <c r="M5967" s="7" t="n"/>
      <c r="N5967">
        <f>IF(D5967="", "Gap - No Legal Basis", IF(AND(D5967="Consent (GDPR Art. 6(1)(a))", I5967="Not Captured"), "Gap - Invalid Consent", IF(AND(D5967="Legitimate Interest (GDPR Art. 6(1)(f))", L5967=""), "Gap - Missing LIA", IF(AND(G5967="Yes", H5967=""), "Gap - Missing Art. 9 Basis", IF(OR(I5967="Invalid - Not Freely Given", I5967="Invalid - Not Specific", I5967="Invalid - Not Informed", I5967="Invalid - Ambiguous"), "Gap - Invalid Consent", "Compliant")))))</f>
        <v/>
      </c>
      <c r="O5967" s="7" t="n"/>
    </row>
    <row r="5968">
      <c r="A5968" s="7" t="n"/>
      <c r="B5968" s="7" t="n"/>
      <c r="C5968" s="7" t="n"/>
      <c r="D5968" s="7" t="n"/>
      <c r="E5968" s="7" t="n"/>
      <c r="F5968" s="7" t="n"/>
      <c r="G5968" s="7" t="n"/>
      <c r="H5968" s="7" t="n"/>
      <c r="I5968" s="7" t="n"/>
      <c r="J5968" s="7" t="n"/>
      <c r="K5968">
        <f>IF(D5968="Legitimate Interest (GDPR Art. 6(1)(f))", "Yes / Required (Sheet 3)", "")</f>
        <v/>
      </c>
      <c r="L5968" s="7" t="n"/>
      <c r="M5968" s="7" t="n"/>
      <c r="N5968">
        <f>IF(D5968="", "Gap - No Legal Basis", IF(AND(D5968="Consent (GDPR Art. 6(1)(a))", I5968="Not Captured"), "Gap - Invalid Consent", IF(AND(D5968="Legitimate Interest (GDPR Art. 6(1)(f))", L5968=""), "Gap - Missing LIA", IF(AND(G5968="Yes", H5968=""), "Gap - Missing Art. 9 Basis", IF(OR(I5968="Invalid - Not Freely Given", I5968="Invalid - Not Specific", I5968="Invalid - Not Informed", I5968="Invalid - Ambiguous"), "Gap - Invalid Consent", "Compliant")))))</f>
        <v/>
      </c>
      <c r="O5968" s="7" t="n"/>
    </row>
    <row r="5969">
      <c r="A5969" s="7" t="n"/>
      <c r="B5969" s="7" t="n"/>
      <c r="C5969" s="7" t="n"/>
      <c r="D5969" s="7" t="n"/>
      <c r="E5969" s="7" t="n"/>
      <c r="F5969" s="7" t="n"/>
      <c r="G5969" s="7" t="n"/>
      <c r="H5969" s="7" t="n"/>
      <c r="I5969" s="7" t="n"/>
      <c r="J5969" s="7" t="n"/>
      <c r="K5969">
        <f>IF(D5969="Legitimate Interest (GDPR Art. 6(1)(f))", "Yes / Required (Sheet 3)", "")</f>
        <v/>
      </c>
      <c r="L5969" s="7" t="n"/>
      <c r="M5969" s="7" t="n"/>
      <c r="N5969">
        <f>IF(D5969="", "Gap - No Legal Basis", IF(AND(D5969="Consent (GDPR Art. 6(1)(a))", I5969="Not Captured"), "Gap - Invalid Consent", IF(AND(D5969="Legitimate Interest (GDPR Art. 6(1)(f))", L5969=""), "Gap - Missing LIA", IF(AND(G5969="Yes", H5969=""), "Gap - Missing Art. 9 Basis", IF(OR(I5969="Invalid - Not Freely Given", I5969="Invalid - Not Specific", I5969="Invalid - Not Informed", I5969="Invalid - Ambiguous"), "Gap - Invalid Consent", "Compliant")))))</f>
        <v/>
      </c>
      <c r="O5969" s="7" t="n"/>
    </row>
    <row r="5970">
      <c r="A5970" s="7" t="n"/>
      <c r="B5970" s="7" t="n"/>
      <c r="C5970" s="7" t="n"/>
      <c r="D5970" s="7" t="n"/>
      <c r="E5970" s="7" t="n"/>
      <c r="F5970" s="7" t="n"/>
      <c r="G5970" s="7" t="n"/>
      <c r="H5970" s="7" t="n"/>
      <c r="I5970" s="7" t="n"/>
      <c r="J5970" s="7" t="n"/>
      <c r="K5970">
        <f>IF(D5970="Legitimate Interest (GDPR Art. 6(1)(f))", "Yes / Required (Sheet 3)", "")</f>
        <v/>
      </c>
      <c r="L5970" s="7" t="n"/>
      <c r="M5970" s="7" t="n"/>
      <c r="N5970">
        <f>IF(D5970="", "Gap - No Legal Basis", IF(AND(D5970="Consent (GDPR Art. 6(1)(a))", I5970="Not Captured"), "Gap - Invalid Consent", IF(AND(D5970="Legitimate Interest (GDPR Art. 6(1)(f))", L5970=""), "Gap - Missing LIA", IF(AND(G5970="Yes", H5970=""), "Gap - Missing Art. 9 Basis", IF(OR(I5970="Invalid - Not Freely Given", I5970="Invalid - Not Specific", I5970="Invalid - Not Informed", I5970="Invalid - Ambiguous"), "Gap - Invalid Consent", "Compliant")))))</f>
        <v/>
      </c>
      <c r="O5970" s="7" t="n"/>
    </row>
    <row r="5971">
      <c r="A5971" s="7" t="n"/>
      <c r="B5971" s="7" t="n"/>
      <c r="C5971" s="7" t="n"/>
      <c r="D5971" s="7" t="n"/>
      <c r="E5971" s="7" t="n"/>
      <c r="F5971" s="7" t="n"/>
      <c r="G5971" s="7" t="n"/>
      <c r="H5971" s="7" t="n"/>
      <c r="I5971" s="7" t="n"/>
      <c r="J5971" s="7" t="n"/>
      <c r="K5971">
        <f>IF(D5971="Legitimate Interest (GDPR Art. 6(1)(f))", "Yes / Required (Sheet 3)", "")</f>
        <v/>
      </c>
      <c r="L5971" s="7" t="n"/>
      <c r="M5971" s="7" t="n"/>
      <c r="N5971">
        <f>IF(D5971="", "Gap - No Legal Basis", IF(AND(D5971="Consent (GDPR Art. 6(1)(a))", I5971="Not Captured"), "Gap - Invalid Consent", IF(AND(D5971="Legitimate Interest (GDPR Art. 6(1)(f))", L5971=""), "Gap - Missing LIA", IF(AND(G5971="Yes", H5971=""), "Gap - Missing Art. 9 Basis", IF(OR(I5971="Invalid - Not Freely Given", I5971="Invalid - Not Specific", I5971="Invalid - Not Informed", I5971="Invalid - Ambiguous"), "Gap - Invalid Consent", "Compliant")))))</f>
        <v/>
      </c>
      <c r="O5971" s="7" t="n"/>
    </row>
    <row r="5972">
      <c r="A5972" s="7" t="n"/>
      <c r="B5972" s="7" t="n"/>
      <c r="C5972" s="7" t="n"/>
      <c r="D5972" s="7" t="n"/>
      <c r="E5972" s="7" t="n"/>
      <c r="F5972" s="7" t="n"/>
      <c r="G5972" s="7" t="n"/>
      <c r="H5972" s="7" t="n"/>
      <c r="I5972" s="7" t="n"/>
      <c r="J5972" s="7" t="n"/>
      <c r="K5972">
        <f>IF(D5972="Legitimate Interest (GDPR Art. 6(1)(f))", "Yes / Required (Sheet 3)", "")</f>
        <v/>
      </c>
      <c r="L5972" s="7" t="n"/>
      <c r="M5972" s="7" t="n"/>
      <c r="N5972">
        <f>IF(D5972="", "Gap - No Legal Basis", IF(AND(D5972="Consent (GDPR Art. 6(1)(a))", I5972="Not Captured"), "Gap - Invalid Consent", IF(AND(D5972="Legitimate Interest (GDPR Art. 6(1)(f))", L5972=""), "Gap - Missing LIA", IF(AND(G5972="Yes", H5972=""), "Gap - Missing Art. 9 Basis", IF(OR(I5972="Invalid - Not Freely Given", I5972="Invalid - Not Specific", I5972="Invalid - Not Informed", I5972="Invalid - Ambiguous"), "Gap - Invalid Consent", "Compliant")))))</f>
        <v/>
      </c>
      <c r="O5972" s="7" t="n"/>
    </row>
    <row r="5973">
      <c r="A5973" s="7" t="n"/>
      <c r="B5973" s="7" t="n"/>
      <c r="C5973" s="7" t="n"/>
      <c r="D5973" s="7" t="n"/>
      <c r="E5973" s="7" t="n"/>
      <c r="F5973" s="7" t="n"/>
      <c r="G5973" s="7" t="n"/>
      <c r="H5973" s="7" t="n"/>
      <c r="I5973" s="7" t="n"/>
      <c r="J5973" s="7" t="n"/>
      <c r="K5973">
        <f>IF(D5973="Legitimate Interest (GDPR Art. 6(1)(f))", "Yes / Required (Sheet 3)", "")</f>
        <v/>
      </c>
      <c r="L5973" s="7" t="n"/>
      <c r="M5973" s="7" t="n"/>
      <c r="N5973">
        <f>IF(D5973="", "Gap - No Legal Basis", IF(AND(D5973="Consent (GDPR Art. 6(1)(a))", I5973="Not Captured"), "Gap - Invalid Consent", IF(AND(D5973="Legitimate Interest (GDPR Art. 6(1)(f))", L5973=""), "Gap - Missing LIA", IF(AND(G5973="Yes", H5973=""), "Gap - Missing Art. 9 Basis", IF(OR(I5973="Invalid - Not Freely Given", I5973="Invalid - Not Specific", I5973="Invalid - Not Informed", I5973="Invalid - Ambiguous"), "Gap - Invalid Consent", "Compliant")))))</f>
        <v/>
      </c>
      <c r="O5973" s="7" t="n"/>
    </row>
    <row r="5974">
      <c r="A5974" s="7" t="n"/>
      <c r="B5974" s="7" t="n"/>
      <c r="C5974" s="7" t="n"/>
      <c r="D5974" s="7" t="n"/>
      <c r="E5974" s="7" t="n"/>
      <c r="F5974" s="7" t="n"/>
      <c r="G5974" s="7" t="n"/>
      <c r="H5974" s="7" t="n"/>
      <c r="I5974" s="7" t="n"/>
      <c r="J5974" s="7" t="n"/>
      <c r="K5974">
        <f>IF(D5974="Legitimate Interest (GDPR Art. 6(1)(f))", "Yes / Required (Sheet 3)", "")</f>
        <v/>
      </c>
      <c r="L5974" s="7" t="n"/>
      <c r="M5974" s="7" t="n"/>
      <c r="N5974">
        <f>IF(D5974="", "Gap - No Legal Basis", IF(AND(D5974="Consent (GDPR Art. 6(1)(a))", I5974="Not Captured"), "Gap - Invalid Consent", IF(AND(D5974="Legitimate Interest (GDPR Art. 6(1)(f))", L5974=""), "Gap - Missing LIA", IF(AND(G5974="Yes", H5974=""), "Gap - Missing Art. 9 Basis", IF(OR(I5974="Invalid - Not Freely Given", I5974="Invalid - Not Specific", I5974="Invalid - Not Informed", I5974="Invalid - Ambiguous"), "Gap - Invalid Consent", "Compliant")))))</f>
        <v/>
      </c>
      <c r="O5974" s="7" t="n"/>
    </row>
    <row r="5975">
      <c r="A5975" s="7" t="n"/>
      <c r="B5975" s="7" t="n"/>
      <c r="C5975" s="7" t="n"/>
      <c r="D5975" s="7" t="n"/>
      <c r="E5975" s="7" t="n"/>
      <c r="F5975" s="7" t="n"/>
      <c r="G5975" s="7" t="n"/>
      <c r="H5975" s="7" t="n"/>
      <c r="I5975" s="7" t="n"/>
      <c r="J5975" s="7" t="n"/>
      <c r="K5975">
        <f>IF(D5975="Legitimate Interest (GDPR Art. 6(1)(f))", "Yes / Required (Sheet 3)", "")</f>
        <v/>
      </c>
      <c r="L5975" s="7" t="n"/>
      <c r="M5975" s="7" t="n"/>
      <c r="N5975">
        <f>IF(D5975="", "Gap - No Legal Basis", IF(AND(D5975="Consent (GDPR Art. 6(1)(a))", I5975="Not Captured"), "Gap - Invalid Consent", IF(AND(D5975="Legitimate Interest (GDPR Art. 6(1)(f))", L5975=""), "Gap - Missing LIA", IF(AND(G5975="Yes", H5975=""), "Gap - Missing Art. 9 Basis", IF(OR(I5975="Invalid - Not Freely Given", I5975="Invalid - Not Specific", I5975="Invalid - Not Informed", I5975="Invalid - Ambiguous"), "Gap - Invalid Consent", "Compliant")))))</f>
        <v/>
      </c>
      <c r="O5975" s="7" t="n"/>
    </row>
    <row r="5976">
      <c r="A5976" s="7" t="n"/>
      <c r="B5976" s="7" t="n"/>
      <c r="C5976" s="7" t="n"/>
      <c r="D5976" s="7" t="n"/>
      <c r="E5976" s="7" t="n"/>
      <c r="F5976" s="7" t="n"/>
      <c r="G5976" s="7" t="n"/>
      <c r="H5976" s="7" t="n"/>
      <c r="I5976" s="7" t="n"/>
      <c r="J5976" s="7" t="n"/>
      <c r="K5976">
        <f>IF(D5976="Legitimate Interest (GDPR Art. 6(1)(f))", "Yes / Required (Sheet 3)", "")</f>
        <v/>
      </c>
      <c r="L5976" s="7" t="n"/>
      <c r="M5976" s="7" t="n"/>
      <c r="N5976">
        <f>IF(D5976="", "Gap - No Legal Basis", IF(AND(D5976="Consent (GDPR Art. 6(1)(a))", I5976="Not Captured"), "Gap - Invalid Consent", IF(AND(D5976="Legitimate Interest (GDPR Art. 6(1)(f))", L5976=""), "Gap - Missing LIA", IF(AND(G5976="Yes", H5976=""), "Gap - Missing Art. 9 Basis", IF(OR(I5976="Invalid - Not Freely Given", I5976="Invalid - Not Specific", I5976="Invalid - Not Informed", I5976="Invalid - Ambiguous"), "Gap - Invalid Consent", "Compliant")))))</f>
        <v/>
      </c>
      <c r="O5976" s="7" t="n"/>
    </row>
    <row r="5977">
      <c r="A5977" s="7" t="n"/>
      <c r="B5977" s="7" t="n"/>
      <c r="C5977" s="7" t="n"/>
      <c r="D5977" s="7" t="n"/>
      <c r="E5977" s="7" t="n"/>
      <c r="F5977" s="7" t="n"/>
      <c r="G5977" s="7" t="n"/>
      <c r="H5977" s="7" t="n"/>
      <c r="I5977" s="7" t="n"/>
      <c r="J5977" s="7" t="n"/>
      <c r="K5977">
        <f>IF(D5977="Legitimate Interest (GDPR Art. 6(1)(f))", "Yes / Required (Sheet 3)", "")</f>
        <v/>
      </c>
      <c r="L5977" s="7" t="n"/>
      <c r="M5977" s="7" t="n"/>
      <c r="N5977">
        <f>IF(D5977="", "Gap - No Legal Basis", IF(AND(D5977="Consent (GDPR Art. 6(1)(a))", I5977="Not Captured"), "Gap - Invalid Consent", IF(AND(D5977="Legitimate Interest (GDPR Art. 6(1)(f))", L5977=""), "Gap - Missing LIA", IF(AND(G5977="Yes", H5977=""), "Gap - Missing Art. 9 Basis", IF(OR(I5977="Invalid - Not Freely Given", I5977="Invalid - Not Specific", I5977="Invalid - Not Informed", I5977="Invalid - Ambiguous"), "Gap - Invalid Consent", "Compliant")))))</f>
        <v/>
      </c>
      <c r="O5977" s="7" t="n"/>
    </row>
    <row r="5978">
      <c r="A5978" s="7" t="n"/>
      <c r="B5978" s="7" t="n"/>
      <c r="C5978" s="7" t="n"/>
      <c r="D5978" s="7" t="n"/>
      <c r="E5978" s="7" t="n"/>
      <c r="F5978" s="7" t="n"/>
      <c r="G5978" s="7" t="n"/>
      <c r="H5978" s="7" t="n"/>
      <c r="I5978" s="7" t="n"/>
      <c r="J5978" s="7" t="n"/>
      <c r="K5978">
        <f>IF(D5978="Legitimate Interest (GDPR Art. 6(1)(f))", "Yes / Required (Sheet 3)", "")</f>
        <v/>
      </c>
      <c r="L5978" s="7" t="n"/>
      <c r="M5978" s="7" t="n"/>
      <c r="N5978">
        <f>IF(D5978="", "Gap - No Legal Basis", IF(AND(D5978="Consent (GDPR Art. 6(1)(a))", I5978="Not Captured"), "Gap - Invalid Consent", IF(AND(D5978="Legitimate Interest (GDPR Art. 6(1)(f))", L5978=""), "Gap - Missing LIA", IF(AND(G5978="Yes", H5978=""), "Gap - Missing Art. 9 Basis", IF(OR(I5978="Invalid - Not Freely Given", I5978="Invalid - Not Specific", I5978="Invalid - Not Informed", I5978="Invalid - Ambiguous"), "Gap - Invalid Consent", "Compliant")))))</f>
        <v/>
      </c>
      <c r="O5978" s="7" t="n"/>
    </row>
    <row r="5979">
      <c r="A5979" s="7" t="n"/>
      <c r="B5979" s="7" t="n"/>
      <c r="C5979" s="7" t="n"/>
      <c r="D5979" s="7" t="n"/>
      <c r="E5979" s="7" t="n"/>
      <c r="F5979" s="7" t="n"/>
      <c r="G5979" s="7" t="n"/>
      <c r="H5979" s="7" t="n"/>
      <c r="I5979" s="7" t="n"/>
      <c r="J5979" s="7" t="n"/>
      <c r="K5979">
        <f>IF(D5979="Legitimate Interest (GDPR Art. 6(1)(f))", "Yes / Required (Sheet 3)", "")</f>
        <v/>
      </c>
      <c r="L5979" s="7" t="n"/>
      <c r="M5979" s="7" t="n"/>
      <c r="N5979">
        <f>IF(D5979="", "Gap - No Legal Basis", IF(AND(D5979="Consent (GDPR Art. 6(1)(a))", I5979="Not Captured"), "Gap - Invalid Consent", IF(AND(D5979="Legitimate Interest (GDPR Art. 6(1)(f))", L5979=""), "Gap - Missing LIA", IF(AND(G5979="Yes", H5979=""), "Gap - Missing Art. 9 Basis", IF(OR(I5979="Invalid - Not Freely Given", I5979="Invalid - Not Specific", I5979="Invalid - Not Informed", I5979="Invalid - Ambiguous"), "Gap - Invalid Consent", "Compliant")))))</f>
        <v/>
      </c>
      <c r="O5979" s="7" t="n"/>
    </row>
    <row r="5980">
      <c r="A5980" s="7" t="n"/>
      <c r="B5980" s="7" t="n"/>
      <c r="C5980" s="7" t="n"/>
      <c r="D5980" s="7" t="n"/>
      <c r="E5980" s="7" t="n"/>
      <c r="F5980" s="7" t="n"/>
      <c r="G5980" s="7" t="n"/>
      <c r="H5980" s="7" t="n"/>
      <c r="I5980" s="7" t="n"/>
      <c r="J5980" s="7" t="n"/>
      <c r="K5980">
        <f>IF(D5980="Legitimate Interest (GDPR Art. 6(1)(f))", "Yes / Required (Sheet 3)", "")</f>
        <v/>
      </c>
      <c r="L5980" s="7" t="n"/>
      <c r="M5980" s="7" t="n"/>
      <c r="N5980">
        <f>IF(D5980="", "Gap - No Legal Basis", IF(AND(D5980="Consent (GDPR Art. 6(1)(a))", I5980="Not Captured"), "Gap - Invalid Consent", IF(AND(D5980="Legitimate Interest (GDPR Art. 6(1)(f))", L5980=""), "Gap - Missing LIA", IF(AND(G5980="Yes", H5980=""), "Gap - Missing Art. 9 Basis", IF(OR(I5980="Invalid - Not Freely Given", I5980="Invalid - Not Specific", I5980="Invalid - Not Informed", I5980="Invalid - Ambiguous"), "Gap - Invalid Consent", "Compliant")))))</f>
        <v/>
      </c>
      <c r="O5980" s="7" t="n"/>
    </row>
    <row r="5981">
      <c r="A5981" s="7" t="n"/>
      <c r="B5981" s="7" t="n"/>
      <c r="C5981" s="7" t="n"/>
      <c r="D5981" s="7" t="n"/>
      <c r="E5981" s="7" t="n"/>
      <c r="F5981" s="7" t="n"/>
      <c r="G5981" s="7" t="n"/>
      <c r="H5981" s="7" t="n"/>
      <c r="I5981" s="7" t="n"/>
      <c r="J5981" s="7" t="n"/>
      <c r="K5981">
        <f>IF(D5981="Legitimate Interest (GDPR Art. 6(1)(f))", "Yes / Required (Sheet 3)", "")</f>
        <v/>
      </c>
      <c r="L5981" s="7" t="n"/>
      <c r="M5981" s="7" t="n"/>
      <c r="N5981">
        <f>IF(D5981="", "Gap - No Legal Basis", IF(AND(D5981="Consent (GDPR Art. 6(1)(a))", I5981="Not Captured"), "Gap - Invalid Consent", IF(AND(D5981="Legitimate Interest (GDPR Art. 6(1)(f))", L5981=""), "Gap - Missing LIA", IF(AND(G5981="Yes", H5981=""), "Gap - Missing Art. 9 Basis", IF(OR(I5981="Invalid - Not Freely Given", I5981="Invalid - Not Specific", I5981="Invalid - Not Informed", I5981="Invalid - Ambiguous"), "Gap - Invalid Consent", "Compliant")))))</f>
        <v/>
      </c>
      <c r="O5981" s="7" t="n"/>
    </row>
    <row r="5982">
      <c r="A5982" s="7" t="n"/>
      <c r="B5982" s="7" t="n"/>
      <c r="C5982" s="7" t="n"/>
      <c r="D5982" s="7" t="n"/>
      <c r="E5982" s="7" t="n"/>
      <c r="F5982" s="7" t="n"/>
      <c r="G5982" s="7" t="n"/>
      <c r="H5982" s="7" t="n"/>
      <c r="I5982" s="7" t="n"/>
      <c r="J5982" s="7" t="n"/>
      <c r="K5982">
        <f>IF(D5982="Legitimate Interest (GDPR Art. 6(1)(f))", "Yes / Required (Sheet 3)", "")</f>
        <v/>
      </c>
      <c r="L5982" s="7" t="n"/>
      <c r="M5982" s="7" t="n"/>
      <c r="N5982">
        <f>IF(D5982="", "Gap - No Legal Basis", IF(AND(D5982="Consent (GDPR Art. 6(1)(a))", I5982="Not Captured"), "Gap - Invalid Consent", IF(AND(D5982="Legitimate Interest (GDPR Art. 6(1)(f))", L5982=""), "Gap - Missing LIA", IF(AND(G5982="Yes", H5982=""), "Gap - Missing Art. 9 Basis", IF(OR(I5982="Invalid - Not Freely Given", I5982="Invalid - Not Specific", I5982="Invalid - Not Informed", I5982="Invalid - Ambiguous"), "Gap - Invalid Consent", "Compliant")))))</f>
        <v/>
      </c>
      <c r="O5982" s="7" t="n"/>
    </row>
    <row r="5983">
      <c r="A5983" s="7" t="n"/>
      <c r="B5983" s="7" t="n"/>
      <c r="C5983" s="7" t="n"/>
      <c r="D5983" s="7" t="n"/>
      <c r="E5983" s="7" t="n"/>
      <c r="F5983" s="7" t="n"/>
      <c r="G5983" s="7" t="n"/>
      <c r="H5983" s="7" t="n"/>
      <c r="I5983" s="7" t="n"/>
      <c r="J5983" s="7" t="n"/>
      <c r="K5983">
        <f>IF(D5983="Legitimate Interest (GDPR Art. 6(1)(f))", "Yes / Required (Sheet 3)", "")</f>
        <v/>
      </c>
      <c r="L5983" s="7" t="n"/>
      <c r="M5983" s="7" t="n"/>
      <c r="N5983">
        <f>IF(D5983="", "Gap - No Legal Basis", IF(AND(D5983="Consent (GDPR Art. 6(1)(a))", I5983="Not Captured"), "Gap - Invalid Consent", IF(AND(D5983="Legitimate Interest (GDPR Art. 6(1)(f))", L5983=""), "Gap - Missing LIA", IF(AND(G5983="Yes", H5983=""), "Gap - Missing Art. 9 Basis", IF(OR(I5983="Invalid - Not Freely Given", I5983="Invalid - Not Specific", I5983="Invalid - Not Informed", I5983="Invalid - Ambiguous"), "Gap - Invalid Consent", "Compliant")))))</f>
        <v/>
      </c>
      <c r="O5983" s="7" t="n"/>
    </row>
    <row r="5984">
      <c r="A5984" s="7" t="n"/>
      <c r="B5984" s="7" t="n"/>
      <c r="C5984" s="7" t="n"/>
      <c r="D5984" s="7" t="n"/>
      <c r="E5984" s="7" t="n"/>
      <c r="F5984" s="7" t="n"/>
      <c r="G5984" s="7" t="n"/>
      <c r="H5984" s="7" t="n"/>
      <c r="I5984" s="7" t="n"/>
      <c r="J5984" s="7" t="n"/>
      <c r="K5984">
        <f>IF(D5984="Legitimate Interest (GDPR Art. 6(1)(f))", "Yes / Required (Sheet 3)", "")</f>
        <v/>
      </c>
      <c r="L5984" s="7" t="n"/>
      <c r="M5984" s="7" t="n"/>
      <c r="N5984">
        <f>IF(D5984="", "Gap - No Legal Basis", IF(AND(D5984="Consent (GDPR Art. 6(1)(a))", I5984="Not Captured"), "Gap - Invalid Consent", IF(AND(D5984="Legitimate Interest (GDPR Art. 6(1)(f))", L5984=""), "Gap - Missing LIA", IF(AND(G5984="Yes", H5984=""), "Gap - Missing Art. 9 Basis", IF(OR(I5984="Invalid - Not Freely Given", I5984="Invalid - Not Specific", I5984="Invalid - Not Informed", I5984="Invalid - Ambiguous"), "Gap - Invalid Consent", "Compliant")))))</f>
        <v/>
      </c>
      <c r="O5984" s="7" t="n"/>
    </row>
    <row r="5985">
      <c r="A5985" s="7" t="n"/>
      <c r="B5985" s="7" t="n"/>
      <c r="C5985" s="7" t="n"/>
      <c r="D5985" s="7" t="n"/>
      <c r="E5985" s="7" t="n"/>
      <c r="F5985" s="7" t="n"/>
      <c r="G5985" s="7" t="n"/>
      <c r="H5985" s="7" t="n"/>
      <c r="I5985" s="7" t="n"/>
      <c r="J5985" s="7" t="n"/>
      <c r="K5985">
        <f>IF(D5985="Legitimate Interest (GDPR Art. 6(1)(f))", "Yes / Required (Sheet 3)", "")</f>
        <v/>
      </c>
      <c r="L5985" s="7" t="n"/>
      <c r="M5985" s="7" t="n"/>
      <c r="N5985">
        <f>IF(D5985="", "Gap - No Legal Basis", IF(AND(D5985="Consent (GDPR Art. 6(1)(a))", I5985="Not Captured"), "Gap - Invalid Consent", IF(AND(D5985="Legitimate Interest (GDPR Art. 6(1)(f))", L5985=""), "Gap - Missing LIA", IF(AND(G5985="Yes", H5985=""), "Gap - Missing Art. 9 Basis", IF(OR(I5985="Invalid - Not Freely Given", I5985="Invalid - Not Specific", I5985="Invalid - Not Informed", I5985="Invalid - Ambiguous"), "Gap - Invalid Consent", "Compliant")))))</f>
        <v/>
      </c>
      <c r="O5985" s="7" t="n"/>
    </row>
    <row r="5986">
      <c r="A5986" s="7" t="n"/>
      <c r="B5986" s="7" t="n"/>
      <c r="C5986" s="7" t="n"/>
      <c r="D5986" s="7" t="n"/>
      <c r="E5986" s="7" t="n"/>
      <c r="F5986" s="7" t="n"/>
      <c r="G5986" s="7" t="n"/>
      <c r="H5986" s="7" t="n"/>
      <c r="I5986" s="7" t="n"/>
      <c r="J5986" s="7" t="n"/>
      <c r="K5986">
        <f>IF(D5986="Legitimate Interest (GDPR Art. 6(1)(f))", "Yes / Required (Sheet 3)", "")</f>
        <v/>
      </c>
      <c r="L5986" s="7" t="n"/>
      <c r="M5986" s="7" t="n"/>
      <c r="N5986">
        <f>IF(D5986="", "Gap - No Legal Basis", IF(AND(D5986="Consent (GDPR Art. 6(1)(a))", I5986="Not Captured"), "Gap - Invalid Consent", IF(AND(D5986="Legitimate Interest (GDPR Art. 6(1)(f))", L5986=""), "Gap - Missing LIA", IF(AND(G5986="Yes", H5986=""), "Gap - Missing Art. 9 Basis", IF(OR(I5986="Invalid - Not Freely Given", I5986="Invalid - Not Specific", I5986="Invalid - Not Informed", I5986="Invalid - Ambiguous"), "Gap - Invalid Consent", "Compliant")))))</f>
        <v/>
      </c>
      <c r="O5986" s="7" t="n"/>
    </row>
    <row r="5987">
      <c r="A5987" s="7" t="n"/>
      <c r="B5987" s="7" t="n"/>
      <c r="C5987" s="7" t="n"/>
      <c r="D5987" s="7" t="n"/>
      <c r="E5987" s="7" t="n"/>
      <c r="F5987" s="7" t="n"/>
      <c r="G5987" s="7" t="n"/>
      <c r="H5987" s="7" t="n"/>
      <c r="I5987" s="7" t="n"/>
      <c r="J5987" s="7" t="n"/>
      <c r="K5987">
        <f>IF(D5987="Legitimate Interest (GDPR Art. 6(1)(f))", "Yes / Required (Sheet 3)", "")</f>
        <v/>
      </c>
      <c r="L5987" s="7" t="n"/>
      <c r="M5987" s="7" t="n"/>
      <c r="N5987">
        <f>IF(D5987="", "Gap - No Legal Basis", IF(AND(D5987="Consent (GDPR Art. 6(1)(a))", I5987="Not Captured"), "Gap - Invalid Consent", IF(AND(D5987="Legitimate Interest (GDPR Art. 6(1)(f))", L5987=""), "Gap - Missing LIA", IF(AND(G5987="Yes", H5987=""), "Gap - Missing Art. 9 Basis", IF(OR(I5987="Invalid - Not Freely Given", I5987="Invalid - Not Specific", I5987="Invalid - Not Informed", I5987="Invalid - Ambiguous"), "Gap - Invalid Consent", "Compliant")))))</f>
        <v/>
      </c>
      <c r="O5987" s="7" t="n"/>
    </row>
    <row r="5988">
      <c r="A5988" s="7" t="n"/>
      <c r="B5988" s="7" t="n"/>
      <c r="C5988" s="7" t="n"/>
      <c r="D5988" s="7" t="n"/>
      <c r="E5988" s="7" t="n"/>
      <c r="F5988" s="7" t="n"/>
      <c r="G5988" s="7" t="n"/>
      <c r="H5988" s="7" t="n"/>
      <c r="I5988" s="7" t="n"/>
      <c r="J5988" s="7" t="n"/>
      <c r="K5988">
        <f>IF(D5988="Legitimate Interest (GDPR Art. 6(1)(f))", "Yes / Required (Sheet 3)", "")</f>
        <v/>
      </c>
      <c r="L5988" s="7" t="n"/>
      <c r="M5988" s="7" t="n"/>
      <c r="N5988">
        <f>IF(D5988="", "Gap - No Legal Basis", IF(AND(D5988="Consent (GDPR Art. 6(1)(a))", I5988="Not Captured"), "Gap - Invalid Consent", IF(AND(D5988="Legitimate Interest (GDPR Art. 6(1)(f))", L5988=""), "Gap - Missing LIA", IF(AND(G5988="Yes", H5988=""), "Gap - Missing Art. 9 Basis", IF(OR(I5988="Invalid - Not Freely Given", I5988="Invalid - Not Specific", I5988="Invalid - Not Informed", I5988="Invalid - Ambiguous"), "Gap - Invalid Consent", "Compliant")))))</f>
        <v/>
      </c>
      <c r="O5988" s="7" t="n"/>
    </row>
    <row r="5989">
      <c r="A5989" s="7" t="n"/>
      <c r="B5989" s="7" t="n"/>
      <c r="C5989" s="7" t="n"/>
      <c r="D5989" s="7" t="n"/>
      <c r="E5989" s="7" t="n"/>
      <c r="F5989" s="7" t="n"/>
      <c r="G5989" s="7" t="n"/>
      <c r="H5989" s="7" t="n"/>
      <c r="I5989" s="7" t="n"/>
      <c r="J5989" s="7" t="n"/>
      <c r="K5989">
        <f>IF(D5989="Legitimate Interest (GDPR Art. 6(1)(f))", "Yes / Required (Sheet 3)", "")</f>
        <v/>
      </c>
      <c r="L5989" s="7" t="n"/>
      <c r="M5989" s="7" t="n"/>
      <c r="N5989">
        <f>IF(D5989="", "Gap - No Legal Basis", IF(AND(D5989="Consent (GDPR Art. 6(1)(a))", I5989="Not Captured"), "Gap - Invalid Consent", IF(AND(D5989="Legitimate Interest (GDPR Art. 6(1)(f))", L5989=""), "Gap - Missing LIA", IF(AND(G5989="Yes", H5989=""), "Gap - Missing Art. 9 Basis", IF(OR(I5989="Invalid - Not Freely Given", I5989="Invalid - Not Specific", I5989="Invalid - Not Informed", I5989="Invalid - Ambiguous"), "Gap - Invalid Consent", "Compliant")))))</f>
        <v/>
      </c>
      <c r="O5989" s="7" t="n"/>
    </row>
    <row r="5990">
      <c r="A5990" s="7" t="n"/>
      <c r="B5990" s="7" t="n"/>
      <c r="C5990" s="7" t="n"/>
      <c r="D5990" s="7" t="n"/>
      <c r="E5990" s="7" t="n"/>
      <c r="F5990" s="7" t="n"/>
      <c r="G5990" s="7" t="n"/>
      <c r="H5990" s="7" t="n"/>
      <c r="I5990" s="7" t="n"/>
      <c r="J5990" s="7" t="n"/>
      <c r="K5990">
        <f>IF(D5990="Legitimate Interest (GDPR Art. 6(1)(f))", "Yes / Required (Sheet 3)", "")</f>
        <v/>
      </c>
      <c r="L5990" s="7" t="n"/>
      <c r="M5990" s="7" t="n"/>
      <c r="N5990">
        <f>IF(D5990="", "Gap - No Legal Basis", IF(AND(D5990="Consent (GDPR Art. 6(1)(a))", I5990="Not Captured"), "Gap - Invalid Consent", IF(AND(D5990="Legitimate Interest (GDPR Art. 6(1)(f))", L5990=""), "Gap - Missing LIA", IF(AND(G5990="Yes", H5990=""), "Gap - Missing Art. 9 Basis", IF(OR(I5990="Invalid - Not Freely Given", I5990="Invalid - Not Specific", I5990="Invalid - Not Informed", I5990="Invalid - Ambiguous"), "Gap - Invalid Consent", "Compliant")))))</f>
        <v/>
      </c>
      <c r="O5990" s="7" t="n"/>
    </row>
    <row r="5991">
      <c r="A5991" s="7" t="n"/>
      <c r="B5991" s="7" t="n"/>
      <c r="C5991" s="7" t="n"/>
      <c r="D5991" s="7" t="n"/>
      <c r="E5991" s="7" t="n"/>
      <c r="F5991" s="7" t="n"/>
      <c r="G5991" s="7" t="n"/>
      <c r="H5991" s="7" t="n"/>
      <c r="I5991" s="7" t="n"/>
      <c r="J5991" s="7" t="n"/>
      <c r="K5991">
        <f>IF(D5991="Legitimate Interest (GDPR Art. 6(1)(f))", "Yes / Required (Sheet 3)", "")</f>
        <v/>
      </c>
      <c r="L5991" s="7" t="n"/>
      <c r="M5991" s="7" t="n"/>
      <c r="N5991">
        <f>IF(D5991="", "Gap - No Legal Basis", IF(AND(D5991="Consent (GDPR Art. 6(1)(a))", I5991="Not Captured"), "Gap - Invalid Consent", IF(AND(D5991="Legitimate Interest (GDPR Art. 6(1)(f))", L5991=""), "Gap - Missing LIA", IF(AND(G5991="Yes", H5991=""), "Gap - Missing Art. 9 Basis", IF(OR(I5991="Invalid - Not Freely Given", I5991="Invalid - Not Specific", I5991="Invalid - Not Informed", I5991="Invalid - Ambiguous"), "Gap - Invalid Consent", "Compliant")))))</f>
        <v/>
      </c>
      <c r="O5991" s="7" t="n"/>
    </row>
    <row r="5992">
      <c r="A5992" s="7" t="n"/>
      <c r="B5992" s="7" t="n"/>
      <c r="C5992" s="7" t="n"/>
      <c r="D5992" s="7" t="n"/>
      <c r="E5992" s="7" t="n"/>
      <c r="F5992" s="7" t="n"/>
      <c r="G5992" s="7" t="n"/>
      <c r="H5992" s="7" t="n"/>
      <c r="I5992" s="7" t="n"/>
      <c r="J5992" s="7" t="n"/>
      <c r="K5992">
        <f>IF(D5992="Legitimate Interest (GDPR Art. 6(1)(f))", "Yes / Required (Sheet 3)", "")</f>
        <v/>
      </c>
      <c r="L5992" s="7" t="n"/>
      <c r="M5992" s="7" t="n"/>
      <c r="N5992">
        <f>IF(D5992="", "Gap - No Legal Basis", IF(AND(D5992="Consent (GDPR Art. 6(1)(a))", I5992="Not Captured"), "Gap - Invalid Consent", IF(AND(D5992="Legitimate Interest (GDPR Art. 6(1)(f))", L5992=""), "Gap - Missing LIA", IF(AND(G5992="Yes", H5992=""), "Gap - Missing Art. 9 Basis", IF(OR(I5992="Invalid - Not Freely Given", I5992="Invalid - Not Specific", I5992="Invalid - Not Informed", I5992="Invalid - Ambiguous"), "Gap - Invalid Consent", "Compliant")))))</f>
        <v/>
      </c>
      <c r="O5992" s="7" t="n"/>
    </row>
    <row r="5993">
      <c r="A5993" s="7" t="n"/>
      <c r="B5993" s="7" t="n"/>
      <c r="C5993" s="7" t="n"/>
      <c r="D5993" s="7" t="n"/>
      <c r="E5993" s="7" t="n"/>
      <c r="F5993" s="7" t="n"/>
      <c r="G5993" s="7" t="n"/>
      <c r="H5993" s="7" t="n"/>
      <c r="I5993" s="7" t="n"/>
      <c r="J5993" s="7" t="n"/>
      <c r="K5993">
        <f>IF(D5993="Legitimate Interest (GDPR Art. 6(1)(f))", "Yes / Required (Sheet 3)", "")</f>
        <v/>
      </c>
      <c r="L5993" s="7" t="n"/>
      <c r="M5993" s="7" t="n"/>
      <c r="N5993">
        <f>IF(D5993="", "Gap - No Legal Basis", IF(AND(D5993="Consent (GDPR Art. 6(1)(a))", I5993="Not Captured"), "Gap - Invalid Consent", IF(AND(D5993="Legitimate Interest (GDPR Art. 6(1)(f))", L5993=""), "Gap - Missing LIA", IF(AND(G5993="Yes", H5993=""), "Gap - Missing Art. 9 Basis", IF(OR(I5993="Invalid - Not Freely Given", I5993="Invalid - Not Specific", I5993="Invalid - Not Informed", I5993="Invalid - Ambiguous"), "Gap - Invalid Consent", "Compliant")))))</f>
        <v/>
      </c>
      <c r="O5993" s="7" t="n"/>
    </row>
    <row r="5994">
      <c r="A5994" s="7" t="n"/>
      <c r="B5994" s="7" t="n"/>
      <c r="C5994" s="7" t="n"/>
      <c r="D5994" s="7" t="n"/>
      <c r="E5994" s="7" t="n"/>
      <c r="F5994" s="7" t="n"/>
      <c r="G5994" s="7" t="n"/>
      <c r="H5994" s="7" t="n"/>
      <c r="I5994" s="7" t="n"/>
      <c r="J5994" s="7" t="n"/>
      <c r="K5994">
        <f>IF(D5994="Legitimate Interest (GDPR Art. 6(1)(f))", "Yes / Required (Sheet 3)", "")</f>
        <v/>
      </c>
      <c r="L5994" s="7" t="n"/>
      <c r="M5994" s="7" t="n"/>
      <c r="N5994">
        <f>IF(D5994="", "Gap - No Legal Basis", IF(AND(D5994="Consent (GDPR Art. 6(1)(a))", I5994="Not Captured"), "Gap - Invalid Consent", IF(AND(D5994="Legitimate Interest (GDPR Art. 6(1)(f))", L5994=""), "Gap - Missing LIA", IF(AND(G5994="Yes", H5994=""), "Gap - Missing Art. 9 Basis", IF(OR(I5994="Invalid - Not Freely Given", I5994="Invalid - Not Specific", I5994="Invalid - Not Informed", I5994="Invalid - Ambiguous"), "Gap - Invalid Consent", "Compliant")))))</f>
        <v/>
      </c>
      <c r="O5994" s="7" t="n"/>
    </row>
    <row r="5995">
      <c r="A5995" s="7" t="n"/>
      <c r="B5995" s="7" t="n"/>
      <c r="C5995" s="7" t="n"/>
      <c r="D5995" s="7" t="n"/>
      <c r="E5995" s="7" t="n"/>
      <c r="F5995" s="7" t="n"/>
      <c r="G5995" s="7" t="n"/>
      <c r="H5995" s="7" t="n"/>
      <c r="I5995" s="7" t="n"/>
      <c r="J5995" s="7" t="n"/>
      <c r="K5995">
        <f>IF(D5995="Legitimate Interest (GDPR Art. 6(1)(f))", "Yes / Required (Sheet 3)", "")</f>
        <v/>
      </c>
      <c r="L5995" s="7" t="n"/>
      <c r="M5995" s="7" t="n"/>
      <c r="N5995">
        <f>IF(D5995="", "Gap - No Legal Basis", IF(AND(D5995="Consent (GDPR Art. 6(1)(a))", I5995="Not Captured"), "Gap - Invalid Consent", IF(AND(D5995="Legitimate Interest (GDPR Art. 6(1)(f))", L5995=""), "Gap - Missing LIA", IF(AND(G5995="Yes", H5995=""), "Gap - Missing Art. 9 Basis", IF(OR(I5995="Invalid - Not Freely Given", I5995="Invalid - Not Specific", I5995="Invalid - Not Informed", I5995="Invalid - Ambiguous"), "Gap - Invalid Consent", "Compliant")))))</f>
        <v/>
      </c>
      <c r="O5995" s="7" t="n"/>
    </row>
    <row r="5996">
      <c r="A5996" s="7" t="n"/>
      <c r="B5996" s="7" t="n"/>
      <c r="C5996" s="7" t="n"/>
      <c r="D5996" s="7" t="n"/>
      <c r="E5996" s="7" t="n"/>
      <c r="F5996" s="7" t="n"/>
      <c r="G5996" s="7" t="n"/>
      <c r="H5996" s="7" t="n"/>
      <c r="I5996" s="7" t="n"/>
      <c r="J5996" s="7" t="n"/>
      <c r="K5996">
        <f>IF(D5996="Legitimate Interest (GDPR Art. 6(1)(f))", "Yes / Required (Sheet 3)", "")</f>
        <v/>
      </c>
      <c r="L5996" s="7" t="n"/>
      <c r="M5996" s="7" t="n"/>
      <c r="N5996">
        <f>IF(D5996="", "Gap - No Legal Basis", IF(AND(D5996="Consent (GDPR Art. 6(1)(a))", I5996="Not Captured"), "Gap - Invalid Consent", IF(AND(D5996="Legitimate Interest (GDPR Art. 6(1)(f))", L5996=""), "Gap - Missing LIA", IF(AND(G5996="Yes", H5996=""), "Gap - Missing Art. 9 Basis", IF(OR(I5996="Invalid - Not Freely Given", I5996="Invalid - Not Specific", I5996="Invalid - Not Informed", I5996="Invalid - Ambiguous"), "Gap - Invalid Consent", "Compliant")))))</f>
        <v/>
      </c>
      <c r="O5996" s="7" t="n"/>
    </row>
    <row r="5997">
      <c r="A5997" s="7" t="n"/>
      <c r="B5997" s="7" t="n"/>
      <c r="C5997" s="7" t="n"/>
      <c r="D5997" s="7" t="n"/>
      <c r="E5997" s="7" t="n"/>
      <c r="F5997" s="7" t="n"/>
      <c r="G5997" s="7" t="n"/>
      <c r="H5997" s="7" t="n"/>
      <c r="I5997" s="7" t="n"/>
      <c r="J5997" s="7" t="n"/>
      <c r="K5997">
        <f>IF(D5997="Legitimate Interest (GDPR Art. 6(1)(f))", "Yes / Required (Sheet 3)", "")</f>
        <v/>
      </c>
      <c r="L5997" s="7" t="n"/>
      <c r="M5997" s="7" t="n"/>
      <c r="N5997">
        <f>IF(D5997="", "Gap - No Legal Basis", IF(AND(D5997="Consent (GDPR Art. 6(1)(a))", I5997="Not Captured"), "Gap - Invalid Consent", IF(AND(D5997="Legitimate Interest (GDPR Art. 6(1)(f))", L5997=""), "Gap - Missing LIA", IF(AND(G5997="Yes", H5997=""), "Gap - Missing Art. 9 Basis", IF(OR(I5997="Invalid - Not Freely Given", I5997="Invalid - Not Specific", I5997="Invalid - Not Informed", I5997="Invalid - Ambiguous"), "Gap - Invalid Consent", "Compliant")))))</f>
        <v/>
      </c>
      <c r="O5997" s="7" t="n"/>
    </row>
    <row r="5998">
      <c r="A5998" s="7" t="n"/>
      <c r="B5998" s="7" t="n"/>
      <c r="C5998" s="7" t="n"/>
      <c r="D5998" s="7" t="n"/>
      <c r="E5998" s="7" t="n"/>
      <c r="F5998" s="7" t="n"/>
      <c r="G5998" s="7" t="n"/>
      <c r="H5998" s="7" t="n"/>
      <c r="I5998" s="7" t="n"/>
      <c r="J5998" s="7" t="n"/>
      <c r="K5998">
        <f>IF(D5998="Legitimate Interest (GDPR Art. 6(1)(f))", "Yes / Required (Sheet 3)", "")</f>
        <v/>
      </c>
      <c r="L5998" s="7" t="n"/>
      <c r="M5998" s="7" t="n"/>
      <c r="N5998">
        <f>IF(D5998="", "Gap - No Legal Basis", IF(AND(D5998="Consent (GDPR Art. 6(1)(a))", I5998="Not Captured"), "Gap - Invalid Consent", IF(AND(D5998="Legitimate Interest (GDPR Art. 6(1)(f))", L5998=""), "Gap - Missing LIA", IF(AND(G5998="Yes", H5998=""), "Gap - Missing Art. 9 Basis", IF(OR(I5998="Invalid - Not Freely Given", I5998="Invalid - Not Specific", I5998="Invalid - Not Informed", I5998="Invalid - Ambiguous"), "Gap - Invalid Consent", "Compliant")))))</f>
        <v/>
      </c>
      <c r="O5998" s="7" t="n"/>
    </row>
    <row r="5999">
      <c r="A5999" s="7" t="n"/>
      <c r="B5999" s="7" t="n"/>
      <c r="C5999" s="7" t="n"/>
      <c r="D5999" s="7" t="n"/>
      <c r="E5999" s="7" t="n"/>
      <c r="F5999" s="7" t="n"/>
      <c r="G5999" s="7" t="n"/>
      <c r="H5999" s="7" t="n"/>
      <c r="I5999" s="7" t="n"/>
      <c r="J5999" s="7" t="n"/>
      <c r="K5999">
        <f>IF(D5999="Legitimate Interest (GDPR Art. 6(1)(f))", "Yes / Required (Sheet 3)", "")</f>
        <v/>
      </c>
      <c r="L5999" s="7" t="n"/>
      <c r="M5999" s="7" t="n"/>
      <c r="N5999">
        <f>IF(D5999="", "Gap - No Legal Basis", IF(AND(D5999="Consent (GDPR Art. 6(1)(a))", I5999="Not Captured"), "Gap - Invalid Consent", IF(AND(D5999="Legitimate Interest (GDPR Art. 6(1)(f))", L5999=""), "Gap - Missing LIA", IF(AND(G5999="Yes", H5999=""), "Gap - Missing Art. 9 Basis", IF(OR(I5999="Invalid - Not Freely Given", I5999="Invalid - Not Specific", I5999="Invalid - Not Informed", I5999="Invalid - Ambiguous"), "Gap - Invalid Consent", "Compliant")))))</f>
        <v/>
      </c>
      <c r="O5999" s="7" t="n"/>
    </row>
    <row r="6000">
      <c r="A6000" s="7" t="n"/>
      <c r="B6000" s="7" t="n"/>
      <c r="C6000" s="7" t="n"/>
      <c r="D6000" s="7" t="n"/>
      <c r="E6000" s="7" t="n"/>
      <c r="F6000" s="7" t="n"/>
      <c r="G6000" s="7" t="n"/>
      <c r="H6000" s="7" t="n"/>
      <c r="I6000" s="7" t="n"/>
      <c r="J6000" s="7" t="n"/>
      <c r="K6000">
        <f>IF(D6000="Legitimate Interest (GDPR Art. 6(1)(f))", "Yes / Required (Sheet 3)", "")</f>
        <v/>
      </c>
      <c r="L6000" s="7" t="n"/>
      <c r="M6000" s="7" t="n"/>
      <c r="N6000">
        <f>IF(D6000="", "Gap - No Legal Basis", IF(AND(D6000="Consent (GDPR Art. 6(1)(a))", I6000="Not Captured"), "Gap - Invalid Consent", IF(AND(D6000="Legitimate Interest (GDPR Art. 6(1)(f))", L6000=""), "Gap - Missing LIA", IF(AND(G6000="Yes", H6000=""), "Gap - Missing Art. 9 Basis", IF(OR(I6000="Invalid - Not Freely Given", I6000="Invalid - Not Specific", I6000="Invalid - Not Informed", I6000="Invalid - Ambiguous"), "Gap - Invalid Consent", "Compliant")))))</f>
        <v/>
      </c>
      <c r="O6000" s="7" t="n"/>
    </row>
    <row r="6001">
      <c r="A6001" s="7" t="n"/>
      <c r="B6001" s="7" t="n"/>
      <c r="C6001" s="7" t="n"/>
      <c r="D6001" s="7" t="n"/>
      <c r="E6001" s="7" t="n"/>
      <c r="F6001" s="7" t="n"/>
      <c r="G6001" s="7" t="n"/>
      <c r="H6001" s="7" t="n"/>
      <c r="I6001" s="7" t="n"/>
      <c r="J6001" s="7" t="n"/>
      <c r="K6001">
        <f>IF(D6001="Legitimate Interest (GDPR Art. 6(1)(f))", "Yes / Required (Sheet 3)", "")</f>
        <v/>
      </c>
      <c r="L6001" s="7" t="n"/>
      <c r="M6001" s="7" t="n"/>
      <c r="N6001">
        <f>IF(D6001="", "Gap - No Legal Basis", IF(AND(D6001="Consent (GDPR Art. 6(1)(a))", I6001="Not Captured"), "Gap - Invalid Consent", IF(AND(D6001="Legitimate Interest (GDPR Art. 6(1)(f))", L6001=""), "Gap - Missing LIA", IF(AND(G6001="Yes", H6001=""), "Gap - Missing Art. 9 Basis", IF(OR(I6001="Invalid - Not Freely Given", I6001="Invalid - Not Specific", I6001="Invalid - Not Informed", I6001="Invalid - Ambiguous"), "Gap - Invalid Consent", "Compliant")))))</f>
        <v/>
      </c>
      <c r="O6001" s="7" t="n"/>
    </row>
    <row r="6002">
      <c r="A6002" s="7" t="n"/>
      <c r="B6002" s="7" t="n"/>
      <c r="C6002" s="7" t="n"/>
      <c r="D6002" s="7" t="n"/>
      <c r="E6002" s="7" t="n"/>
      <c r="F6002" s="7" t="n"/>
      <c r="G6002" s="7" t="n"/>
      <c r="H6002" s="7" t="n"/>
      <c r="I6002" s="7" t="n"/>
      <c r="J6002" s="7" t="n"/>
      <c r="K6002">
        <f>IF(D6002="Legitimate Interest (GDPR Art. 6(1)(f))", "Yes / Required (Sheet 3)", "")</f>
        <v/>
      </c>
      <c r="L6002" s="7" t="n"/>
      <c r="M6002" s="7" t="n"/>
      <c r="N6002">
        <f>IF(D6002="", "Gap - No Legal Basis", IF(AND(D6002="Consent (GDPR Art. 6(1)(a))", I6002="Not Captured"), "Gap - Invalid Consent", IF(AND(D6002="Legitimate Interest (GDPR Art. 6(1)(f))", L6002=""), "Gap - Missing LIA", IF(AND(G6002="Yes", H6002=""), "Gap - Missing Art. 9 Basis", IF(OR(I6002="Invalid - Not Freely Given", I6002="Invalid - Not Specific", I6002="Invalid - Not Informed", I6002="Invalid - Ambiguous"), "Gap - Invalid Consent", "Compliant")))))</f>
        <v/>
      </c>
      <c r="O6002" s="7" t="n"/>
    </row>
    <row r="6003">
      <c r="A6003" s="7" t="n"/>
      <c r="B6003" s="7" t="n"/>
      <c r="C6003" s="7" t="n"/>
      <c r="D6003" s="7" t="n"/>
      <c r="E6003" s="7" t="n"/>
      <c r="F6003" s="7" t="n"/>
      <c r="G6003" s="7" t="n"/>
      <c r="H6003" s="7" t="n"/>
      <c r="I6003" s="7" t="n"/>
      <c r="J6003" s="7" t="n"/>
      <c r="K6003">
        <f>IF(D6003="Legitimate Interest (GDPR Art. 6(1)(f))", "Yes / Required (Sheet 3)", "")</f>
        <v/>
      </c>
      <c r="L6003" s="7" t="n"/>
      <c r="M6003" s="7" t="n"/>
      <c r="N6003">
        <f>IF(D6003="", "Gap - No Legal Basis", IF(AND(D6003="Consent (GDPR Art. 6(1)(a))", I6003="Not Captured"), "Gap - Invalid Consent", IF(AND(D6003="Legitimate Interest (GDPR Art. 6(1)(f))", L6003=""), "Gap - Missing LIA", IF(AND(G6003="Yes", H6003=""), "Gap - Missing Art. 9 Basis", IF(OR(I6003="Invalid - Not Freely Given", I6003="Invalid - Not Specific", I6003="Invalid - Not Informed", I6003="Invalid - Ambiguous"), "Gap - Invalid Consent", "Compliant")))))</f>
        <v/>
      </c>
      <c r="O6003" s="7" t="n"/>
    </row>
    <row r="6004">
      <c r="A6004" s="7" t="n"/>
      <c r="B6004" s="7" t="n"/>
      <c r="C6004" s="7" t="n"/>
      <c r="D6004" s="7" t="n"/>
      <c r="E6004" s="7" t="n"/>
      <c r="F6004" s="7" t="n"/>
      <c r="G6004" s="7" t="n"/>
      <c r="H6004" s="7" t="n"/>
      <c r="I6004" s="7" t="n"/>
      <c r="J6004" s="7" t="n"/>
      <c r="K6004">
        <f>IF(D6004="Legitimate Interest (GDPR Art. 6(1)(f))", "Yes / Required (Sheet 3)", "")</f>
        <v/>
      </c>
      <c r="L6004" s="7" t="n"/>
      <c r="M6004" s="7" t="n"/>
      <c r="N6004">
        <f>IF(D6004="", "Gap - No Legal Basis", IF(AND(D6004="Consent (GDPR Art. 6(1)(a))", I6004="Not Captured"), "Gap - Invalid Consent", IF(AND(D6004="Legitimate Interest (GDPR Art. 6(1)(f))", L6004=""), "Gap - Missing LIA", IF(AND(G6004="Yes", H6004=""), "Gap - Missing Art. 9 Basis", IF(OR(I6004="Invalid - Not Freely Given", I6004="Invalid - Not Specific", I6004="Invalid - Not Informed", I6004="Invalid - Ambiguous"), "Gap - Invalid Consent", "Compliant")))))</f>
        <v/>
      </c>
      <c r="O6004" s="7" t="n"/>
    </row>
    <row r="6005">
      <c r="A6005" s="7" t="n"/>
      <c r="B6005" s="7" t="n"/>
      <c r="C6005" s="7" t="n"/>
      <c r="D6005" s="7" t="n"/>
      <c r="E6005" s="7" t="n"/>
      <c r="F6005" s="7" t="n"/>
      <c r="G6005" s="7" t="n"/>
      <c r="H6005" s="7" t="n"/>
      <c r="I6005" s="7" t="n"/>
      <c r="J6005" s="7" t="n"/>
      <c r="K6005">
        <f>IF(D6005="Legitimate Interest (GDPR Art. 6(1)(f))", "Yes / Required (Sheet 3)", "")</f>
        <v/>
      </c>
      <c r="L6005" s="7" t="n"/>
      <c r="M6005" s="7" t="n"/>
      <c r="N6005">
        <f>IF(D6005="", "Gap - No Legal Basis", IF(AND(D6005="Consent (GDPR Art. 6(1)(a))", I6005="Not Captured"), "Gap - Invalid Consent", IF(AND(D6005="Legitimate Interest (GDPR Art. 6(1)(f))", L6005=""), "Gap - Missing LIA", IF(AND(G6005="Yes", H6005=""), "Gap - Missing Art. 9 Basis", IF(OR(I6005="Invalid - Not Freely Given", I6005="Invalid - Not Specific", I6005="Invalid - Not Informed", I6005="Invalid - Ambiguous"), "Gap - Invalid Consent", "Compliant")))))</f>
        <v/>
      </c>
      <c r="O6005" s="7" t="n"/>
    </row>
    <row r="6006">
      <c r="A6006" s="7" t="n"/>
      <c r="B6006" s="7" t="n"/>
      <c r="C6006" s="7" t="n"/>
      <c r="D6006" s="7" t="n"/>
      <c r="E6006" s="7" t="n"/>
      <c r="F6006" s="7" t="n"/>
      <c r="G6006" s="7" t="n"/>
      <c r="H6006" s="7" t="n"/>
      <c r="I6006" s="7" t="n"/>
      <c r="J6006" s="7" t="n"/>
      <c r="K6006">
        <f>IF(D6006="Legitimate Interest (GDPR Art. 6(1)(f))", "Yes / Required (Sheet 3)", "")</f>
        <v/>
      </c>
      <c r="L6006" s="7" t="n"/>
      <c r="M6006" s="7" t="n"/>
      <c r="N6006">
        <f>IF(D6006="", "Gap - No Legal Basis", IF(AND(D6006="Consent (GDPR Art. 6(1)(a))", I6006="Not Captured"), "Gap - Invalid Consent", IF(AND(D6006="Legitimate Interest (GDPR Art. 6(1)(f))", L6006=""), "Gap - Missing LIA", IF(AND(G6006="Yes", H6006=""), "Gap - Missing Art. 9 Basis", IF(OR(I6006="Invalid - Not Freely Given", I6006="Invalid - Not Specific", I6006="Invalid - Not Informed", I6006="Invalid - Ambiguous"), "Gap - Invalid Consent", "Compliant")))))</f>
        <v/>
      </c>
      <c r="O6006" s="7" t="n"/>
    </row>
    <row r="6007">
      <c r="A6007" s="7" t="n"/>
      <c r="B6007" s="7" t="n"/>
      <c r="C6007" s="7" t="n"/>
      <c r="D6007" s="7" t="n"/>
      <c r="E6007" s="7" t="n"/>
      <c r="F6007" s="7" t="n"/>
      <c r="G6007" s="7" t="n"/>
      <c r="H6007" s="7" t="n"/>
      <c r="I6007" s="7" t="n"/>
      <c r="J6007" s="7" t="n"/>
      <c r="K6007">
        <f>IF(D6007="Legitimate Interest (GDPR Art. 6(1)(f))", "Yes / Required (Sheet 3)", "")</f>
        <v/>
      </c>
      <c r="L6007" s="7" t="n"/>
      <c r="M6007" s="7" t="n"/>
      <c r="N6007">
        <f>IF(D6007="", "Gap - No Legal Basis", IF(AND(D6007="Consent (GDPR Art. 6(1)(a))", I6007="Not Captured"), "Gap - Invalid Consent", IF(AND(D6007="Legitimate Interest (GDPR Art. 6(1)(f))", L6007=""), "Gap - Missing LIA", IF(AND(G6007="Yes", H6007=""), "Gap - Missing Art. 9 Basis", IF(OR(I6007="Invalid - Not Freely Given", I6007="Invalid - Not Specific", I6007="Invalid - Not Informed", I6007="Invalid - Ambiguous"), "Gap - Invalid Consent", "Compliant")))))</f>
        <v/>
      </c>
      <c r="O6007" s="7" t="n"/>
    </row>
    <row r="6008">
      <c r="A6008" s="7" t="n"/>
      <c r="B6008" s="7" t="n"/>
      <c r="C6008" s="7" t="n"/>
      <c r="D6008" s="7" t="n"/>
      <c r="E6008" s="7" t="n"/>
      <c r="F6008" s="7" t="n"/>
      <c r="G6008" s="7" t="n"/>
      <c r="H6008" s="7" t="n"/>
      <c r="I6008" s="7" t="n"/>
      <c r="J6008" s="7" t="n"/>
      <c r="K6008">
        <f>IF(D6008="Legitimate Interest (GDPR Art. 6(1)(f))", "Yes / Required (Sheet 3)", "")</f>
        <v/>
      </c>
      <c r="L6008" s="7" t="n"/>
      <c r="M6008" s="7" t="n"/>
      <c r="N6008">
        <f>IF(D6008="", "Gap - No Legal Basis", IF(AND(D6008="Consent (GDPR Art. 6(1)(a))", I6008="Not Captured"), "Gap - Invalid Consent", IF(AND(D6008="Legitimate Interest (GDPR Art. 6(1)(f))", L6008=""), "Gap - Missing LIA", IF(AND(G6008="Yes", H6008=""), "Gap - Missing Art. 9 Basis", IF(OR(I6008="Invalid - Not Freely Given", I6008="Invalid - Not Specific", I6008="Invalid - Not Informed", I6008="Invalid - Ambiguous"), "Gap - Invalid Consent", "Compliant")))))</f>
        <v/>
      </c>
      <c r="O6008" s="7" t="n"/>
    </row>
    <row r="6009">
      <c r="A6009" s="7" t="n"/>
      <c r="B6009" s="7" t="n"/>
      <c r="C6009" s="7" t="n"/>
      <c r="D6009" s="7" t="n"/>
      <c r="E6009" s="7" t="n"/>
      <c r="F6009" s="7" t="n"/>
      <c r="G6009" s="7" t="n"/>
      <c r="H6009" s="7" t="n"/>
      <c r="I6009" s="7" t="n"/>
      <c r="J6009" s="7" t="n"/>
      <c r="K6009">
        <f>IF(D6009="Legitimate Interest (GDPR Art. 6(1)(f))", "Yes / Required (Sheet 3)", "")</f>
        <v/>
      </c>
      <c r="L6009" s="7" t="n"/>
      <c r="M6009" s="7" t="n"/>
      <c r="N6009">
        <f>IF(D6009="", "Gap - No Legal Basis", IF(AND(D6009="Consent (GDPR Art. 6(1)(a))", I6009="Not Captured"), "Gap - Invalid Consent", IF(AND(D6009="Legitimate Interest (GDPR Art. 6(1)(f))", L6009=""), "Gap - Missing LIA", IF(AND(G6009="Yes", H6009=""), "Gap - Missing Art. 9 Basis", IF(OR(I6009="Invalid - Not Freely Given", I6009="Invalid - Not Specific", I6009="Invalid - Not Informed", I6009="Invalid - Ambiguous"), "Gap - Invalid Consent", "Compliant")))))</f>
        <v/>
      </c>
      <c r="O6009" s="7" t="n"/>
    </row>
    <row r="6010">
      <c r="A6010" s="7" t="n"/>
      <c r="B6010" s="7" t="n"/>
      <c r="C6010" s="7" t="n"/>
      <c r="D6010" s="7" t="n"/>
      <c r="E6010" s="7" t="n"/>
      <c r="F6010" s="7" t="n"/>
      <c r="G6010" s="7" t="n"/>
      <c r="H6010" s="7" t="n"/>
      <c r="I6010" s="7" t="n"/>
      <c r="J6010" s="7" t="n"/>
      <c r="K6010">
        <f>IF(D6010="Legitimate Interest (GDPR Art. 6(1)(f))", "Yes / Required (Sheet 3)", "")</f>
        <v/>
      </c>
      <c r="L6010" s="7" t="n"/>
      <c r="M6010" s="7" t="n"/>
      <c r="N6010">
        <f>IF(D6010="", "Gap - No Legal Basis", IF(AND(D6010="Consent (GDPR Art. 6(1)(a))", I6010="Not Captured"), "Gap - Invalid Consent", IF(AND(D6010="Legitimate Interest (GDPR Art. 6(1)(f))", L6010=""), "Gap - Missing LIA", IF(AND(G6010="Yes", H6010=""), "Gap - Missing Art. 9 Basis", IF(OR(I6010="Invalid - Not Freely Given", I6010="Invalid - Not Specific", I6010="Invalid - Not Informed", I6010="Invalid - Ambiguous"), "Gap - Invalid Consent", "Compliant")))))</f>
        <v/>
      </c>
      <c r="O6010" s="7" t="n"/>
    </row>
    <row r="6011">
      <c r="A6011" s="7" t="n"/>
      <c r="B6011" s="7" t="n"/>
      <c r="C6011" s="7" t="n"/>
      <c r="D6011" s="7" t="n"/>
      <c r="E6011" s="7" t="n"/>
      <c r="F6011" s="7" t="n"/>
      <c r="G6011" s="7" t="n"/>
      <c r="H6011" s="7" t="n"/>
      <c r="I6011" s="7" t="n"/>
      <c r="J6011" s="7" t="n"/>
      <c r="K6011">
        <f>IF(D6011="Legitimate Interest (GDPR Art. 6(1)(f))", "Yes / Required (Sheet 3)", "")</f>
        <v/>
      </c>
      <c r="L6011" s="7" t="n"/>
      <c r="M6011" s="7" t="n"/>
      <c r="N6011">
        <f>IF(D6011="", "Gap - No Legal Basis", IF(AND(D6011="Consent (GDPR Art. 6(1)(a))", I6011="Not Captured"), "Gap - Invalid Consent", IF(AND(D6011="Legitimate Interest (GDPR Art. 6(1)(f))", L6011=""), "Gap - Missing LIA", IF(AND(G6011="Yes", H6011=""), "Gap - Missing Art. 9 Basis", IF(OR(I6011="Invalid - Not Freely Given", I6011="Invalid - Not Specific", I6011="Invalid - Not Informed", I6011="Invalid - Ambiguous"), "Gap - Invalid Consent", "Compliant")))))</f>
        <v/>
      </c>
      <c r="O6011" s="7" t="n"/>
    </row>
    <row r="6012">
      <c r="A6012" s="7" t="n"/>
      <c r="B6012" s="7" t="n"/>
      <c r="C6012" s="7" t="n"/>
      <c r="D6012" s="7" t="n"/>
      <c r="E6012" s="7" t="n"/>
      <c r="F6012" s="7" t="n"/>
      <c r="G6012" s="7" t="n"/>
      <c r="H6012" s="7" t="n"/>
      <c r="I6012" s="7" t="n"/>
      <c r="J6012" s="7" t="n"/>
      <c r="K6012">
        <f>IF(D6012="Legitimate Interest (GDPR Art. 6(1)(f))", "Yes / Required (Sheet 3)", "")</f>
        <v/>
      </c>
      <c r="L6012" s="7" t="n"/>
      <c r="M6012" s="7" t="n"/>
      <c r="N6012">
        <f>IF(D6012="", "Gap - No Legal Basis", IF(AND(D6012="Consent (GDPR Art. 6(1)(a))", I6012="Not Captured"), "Gap - Invalid Consent", IF(AND(D6012="Legitimate Interest (GDPR Art. 6(1)(f))", L6012=""), "Gap - Missing LIA", IF(AND(G6012="Yes", H6012=""), "Gap - Missing Art. 9 Basis", IF(OR(I6012="Invalid - Not Freely Given", I6012="Invalid - Not Specific", I6012="Invalid - Not Informed", I6012="Invalid - Ambiguous"), "Gap - Invalid Consent", "Compliant")))))</f>
        <v/>
      </c>
      <c r="O6012" s="7" t="n"/>
    </row>
    <row r="6013">
      <c r="A6013" s="7" t="n"/>
      <c r="B6013" s="7" t="n"/>
      <c r="C6013" s="7" t="n"/>
      <c r="D6013" s="7" t="n"/>
      <c r="E6013" s="7" t="n"/>
      <c r="F6013" s="7" t="n"/>
      <c r="G6013" s="7" t="n"/>
      <c r="H6013" s="7" t="n"/>
      <c r="I6013" s="7" t="n"/>
      <c r="J6013" s="7" t="n"/>
      <c r="K6013">
        <f>IF(D6013="Legitimate Interest (GDPR Art. 6(1)(f))", "Yes / Required (Sheet 3)", "")</f>
        <v/>
      </c>
      <c r="L6013" s="7" t="n"/>
      <c r="M6013" s="7" t="n"/>
      <c r="N6013">
        <f>IF(D6013="", "Gap - No Legal Basis", IF(AND(D6013="Consent (GDPR Art. 6(1)(a))", I6013="Not Captured"), "Gap - Invalid Consent", IF(AND(D6013="Legitimate Interest (GDPR Art. 6(1)(f))", L6013=""), "Gap - Missing LIA", IF(AND(G6013="Yes", H6013=""), "Gap - Missing Art. 9 Basis", IF(OR(I6013="Invalid - Not Freely Given", I6013="Invalid - Not Specific", I6013="Invalid - Not Informed", I6013="Invalid - Ambiguous"), "Gap - Invalid Consent", "Compliant")))))</f>
        <v/>
      </c>
      <c r="O6013" s="7" t="n"/>
    </row>
    <row r="6014">
      <c r="A6014" s="7" t="n"/>
      <c r="B6014" s="7" t="n"/>
      <c r="C6014" s="7" t="n"/>
      <c r="D6014" s="7" t="n"/>
      <c r="E6014" s="7" t="n"/>
      <c r="F6014" s="7" t="n"/>
      <c r="G6014" s="7" t="n"/>
      <c r="H6014" s="7" t="n"/>
      <c r="I6014" s="7" t="n"/>
      <c r="J6014" s="7" t="n"/>
      <c r="K6014">
        <f>IF(D6014="Legitimate Interest (GDPR Art. 6(1)(f))", "Yes / Required (Sheet 3)", "")</f>
        <v/>
      </c>
      <c r="L6014" s="7" t="n"/>
      <c r="M6014" s="7" t="n"/>
      <c r="N6014">
        <f>IF(D6014="", "Gap - No Legal Basis", IF(AND(D6014="Consent (GDPR Art. 6(1)(a))", I6014="Not Captured"), "Gap - Invalid Consent", IF(AND(D6014="Legitimate Interest (GDPR Art. 6(1)(f))", L6014=""), "Gap - Missing LIA", IF(AND(G6014="Yes", H6014=""), "Gap - Missing Art. 9 Basis", IF(OR(I6014="Invalid - Not Freely Given", I6014="Invalid - Not Specific", I6014="Invalid - Not Informed", I6014="Invalid - Ambiguous"), "Gap - Invalid Consent", "Compliant")))))</f>
        <v/>
      </c>
      <c r="O6014" s="7" t="n"/>
    </row>
    <row r="6015">
      <c r="A6015" s="7" t="n"/>
      <c r="B6015" s="7" t="n"/>
      <c r="C6015" s="7" t="n"/>
      <c r="D6015" s="7" t="n"/>
      <c r="E6015" s="7" t="n"/>
      <c r="F6015" s="7" t="n"/>
      <c r="G6015" s="7" t="n"/>
      <c r="H6015" s="7" t="n"/>
      <c r="I6015" s="7" t="n"/>
      <c r="J6015" s="7" t="n"/>
      <c r="K6015">
        <f>IF(D6015="Legitimate Interest (GDPR Art. 6(1)(f))", "Yes / Required (Sheet 3)", "")</f>
        <v/>
      </c>
      <c r="L6015" s="7" t="n"/>
      <c r="M6015" s="7" t="n"/>
      <c r="N6015">
        <f>IF(D6015="", "Gap - No Legal Basis", IF(AND(D6015="Consent (GDPR Art. 6(1)(a))", I6015="Not Captured"), "Gap - Invalid Consent", IF(AND(D6015="Legitimate Interest (GDPR Art. 6(1)(f))", L6015=""), "Gap - Missing LIA", IF(AND(G6015="Yes", H6015=""), "Gap - Missing Art. 9 Basis", IF(OR(I6015="Invalid - Not Freely Given", I6015="Invalid - Not Specific", I6015="Invalid - Not Informed", I6015="Invalid - Ambiguous"), "Gap - Invalid Consent", "Compliant")))))</f>
        <v/>
      </c>
      <c r="O6015" s="7" t="n"/>
    </row>
    <row r="6016">
      <c r="A6016" s="7" t="n"/>
      <c r="B6016" s="7" t="n"/>
      <c r="C6016" s="7" t="n"/>
      <c r="D6016" s="7" t="n"/>
      <c r="E6016" s="7" t="n"/>
      <c r="F6016" s="7" t="n"/>
      <c r="G6016" s="7" t="n"/>
      <c r="H6016" s="7" t="n"/>
      <c r="I6016" s="7" t="n"/>
      <c r="J6016" s="7" t="n"/>
      <c r="K6016">
        <f>IF(D6016="Legitimate Interest (GDPR Art. 6(1)(f))", "Yes / Required (Sheet 3)", "")</f>
        <v/>
      </c>
      <c r="L6016" s="7" t="n"/>
      <c r="M6016" s="7" t="n"/>
      <c r="N6016">
        <f>IF(D6016="", "Gap - No Legal Basis", IF(AND(D6016="Consent (GDPR Art. 6(1)(a))", I6016="Not Captured"), "Gap - Invalid Consent", IF(AND(D6016="Legitimate Interest (GDPR Art. 6(1)(f))", L6016=""), "Gap - Missing LIA", IF(AND(G6016="Yes", H6016=""), "Gap - Missing Art. 9 Basis", IF(OR(I6016="Invalid - Not Freely Given", I6016="Invalid - Not Specific", I6016="Invalid - Not Informed", I6016="Invalid - Ambiguous"), "Gap - Invalid Consent", "Compliant")))))</f>
        <v/>
      </c>
      <c r="O6016" s="7" t="n"/>
    </row>
    <row r="6017">
      <c r="A6017" s="7" t="n"/>
      <c r="B6017" s="7" t="n"/>
      <c r="C6017" s="7" t="n"/>
      <c r="D6017" s="7" t="n"/>
      <c r="E6017" s="7" t="n"/>
      <c r="F6017" s="7" t="n"/>
      <c r="G6017" s="7" t="n"/>
      <c r="H6017" s="7" t="n"/>
      <c r="I6017" s="7" t="n"/>
      <c r="J6017" s="7" t="n"/>
      <c r="K6017">
        <f>IF(D6017="Legitimate Interest (GDPR Art. 6(1)(f))", "Yes / Required (Sheet 3)", "")</f>
        <v/>
      </c>
      <c r="L6017" s="7" t="n"/>
      <c r="M6017" s="7" t="n"/>
      <c r="N6017">
        <f>IF(D6017="", "Gap - No Legal Basis", IF(AND(D6017="Consent (GDPR Art. 6(1)(a))", I6017="Not Captured"), "Gap - Invalid Consent", IF(AND(D6017="Legitimate Interest (GDPR Art. 6(1)(f))", L6017=""), "Gap - Missing LIA", IF(AND(G6017="Yes", H6017=""), "Gap - Missing Art. 9 Basis", IF(OR(I6017="Invalid - Not Freely Given", I6017="Invalid - Not Specific", I6017="Invalid - Not Informed", I6017="Invalid - Ambiguous"), "Gap - Invalid Consent", "Compliant")))))</f>
        <v/>
      </c>
      <c r="O6017" s="7" t="n"/>
    </row>
    <row r="6018">
      <c r="A6018" s="7" t="n"/>
      <c r="B6018" s="7" t="n"/>
      <c r="C6018" s="7" t="n"/>
      <c r="D6018" s="7" t="n"/>
      <c r="E6018" s="7" t="n"/>
      <c r="F6018" s="7" t="n"/>
      <c r="G6018" s="7" t="n"/>
      <c r="H6018" s="7" t="n"/>
      <c r="I6018" s="7" t="n"/>
      <c r="J6018" s="7" t="n"/>
      <c r="K6018">
        <f>IF(D6018="Legitimate Interest (GDPR Art. 6(1)(f))", "Yes / Required (Sheet 3)", "")</f>
        <v/>
      </c>
      <c r="L6018" s="7" t="n"/>
      <c r="M6018" s="7" t="n"/>
      <c r="N6018">
        <f>IF(D6018="", "Gap - No Legal Basis", IF(AND(D6018="Consent (GDPR Art. 6(1)(a))", I6018="Not Captured"), "Gap - Invalid Consent", IF(AND(D6018="Legitimate Interest (GDPR Art. 6(1)(f))", L6018=""), "Gap - Missing LIA", IF(AND(G6018="Yes", H6018=""), "Gap - Missing Art. 9 Basis", IF(OR(I6018="Invalid - Not Freely Given", I6018="Invalid - Not Specific", I6018="Invalid - Not Informed", I6018="Invalid - Ambiguous"), "Gap - Invalid Consent", "Compliant")))))</f>
        <v/>
      </c>
      <c r="O6018" s="7" t="n"/>
    </row>
    <row r="6019">
      <c r="A6019" s="7" t="n"/>
      <c r="B6019" s="7" t="n"/>
      <c r="C6019" s="7" t="n"/>
      <c r="D6019" s="7" t="n"/>
      <c r="E6019" s="7" t="n"/>
      <c r="F6019" s="7" t="n"/>
      <c r="G6019" s="7" t="n"/>
      <c r="H6019" s="7" t="n"/>
      <c r="I6019" s="7" t="n"/>
      <c r="J6019" s="7" t="n"/>
      <c r="K6019">
        <f>IF(D6019="Legitimate Interest (GDPR Art. 6(1)(f))", "Yes / Required (Sheet 3)", "")</f>
        <v/>
      </c>
      <c r="L6019" s="7" t="n"/>
      <c r="M6019" s="7" t="n"/>
      <c r="N6019">
        <f>IF(D6019="", "Gap - No Legal Basis", IF(AND(D6019="Consent (GDPR Art. 6(1)(a))", I6019="Not Captured"), "Gap - Invalid Consent", IF(AND(D6019="Legitimate Interest (GDPR Art. 6(1)(f))", L6019=""), "Gap - Missing LIA", IF(AND(G6019="Yes", H6019=""), "Gap - Missing Art. 9 Basis", IF(OR(I6019="Invalid - Not Freely Given", I6019="Invalid - Not Specific", I6019="Invalid - Not Informed", I6019="Invalid - Ambiguous"), "Gap - Invalid Consent", "Compliant")))))</f>
        <v/>
      </c>
      <c r="O6019" s="7" t="n"/>
    </row>
    <row r="6020">
      <c r="A6020" s="7" t="n"/>
      <c r="B6020" s="7" t="n"/>
      <c r="C6020" s="7" t="n"/>
      <c r="D6020" s="7" t="n"/>
      <c r="E6020" s="7" t="n"/>
      <c r="F6020" s="7" t="n"/>
      <c r="G6020" s="7" t="n"/>
      <c r="H6020" s="7" t="n"/>
      <c r="I6020" s="7" t="n"/>
      <c r="J6020" s="7" t="n"/>
      <c r="K6020">
        <f>IF(D6020="Legitimate Interest (GDPR Art. 6(1)(f))", "Yes / Required (Sheet 3)", "")</f>
        <v/>
      </c>
      <c r="L6020" s="7" t="n"/>
      <c r="M6020" s="7" t="n"/>
      <c r="N6020">
        <f>IF(D6020="", "Gap - No Legal Basis", IF(AND(D6020="Consent (GDPR Art. 6(1)(a))", I6020="Not Captured"), "Gap - Invalid Consent", IF(AND(D6020="Legitimate Interest (GDPR Art. 6(1)(f))", L6020=""), "Gap - Missing LIA", IF(AND(G6020="Yes", H6020=""), "Gap - Missing Art. 9 Basis", IF(OR(I6020="Invalid - Not Freely Given", I6020="Invalid - Not Specific", I6020="Invalid - Not Informed", I6020="Invalid - Ambiguous"), "Gap - Invalid Consent", "Compliant")))))</f>
        <v/>
      </c>
      <c r="O6020" s="7" t="n"/>
    </row>
    <row r="6021">
      <c r="A6021" s="7" t="n"/>
      <c r="B6021" s="7" t="n"/>
      <c r="C6021" s="7" t="n"/>
      <c r="D6021" s="7" t="n"/>
      <c r="E6021" s="7" t="n"/>
      <c r="F6021" s="7" t="n"/>
      <c r="G6021" s="7" t="n"/>
      <c r="H6021" s="7" t="n"/>
      <c r="I6021" s="7" t="n"/>
      <c r="J6021" s="7" t="n"/>
      <c r="K6021">
        <f>IF(D6021="Legitimate Interest (GDPR Art. 6(1)(f))", "Yes / Required (Sheet 3)", "")</f>
        <v/>
      </c>
      <c r="L6021" s="7" t="n"/>
      <c r="M6021" s="7" t="n"/>
      <c r="N6021">
        <f>IF(D6021="", "Gap - No Legal Basis", IF(AND(D6021="Consent (GDPR Art. 6(1)(a))", I6021="Not Captured"), "Gap - Invalid Consent", IF(AND(D6021="Legitimate Interest (GDPR Art. 6(1)(f))", L6021=""), "Gap - Missing LIA", IF(AND(G6021="Yes", H6021=""), "Gap - Missing Art. 9 Basis", IF(OR(I6021="Invalid - Not Freely Given", I6021="Invalid - Not Specific", I6021="Invalid - Not Informed", I6021="Invalid - Ambiguous"), "Gap - Invalid Consent", "Compliant")))))</f>
        <v/>
      </c>
      <c r="O6021" s="7" t="n"/>
    </row>
    <row r="6022">
      <c r="A6022" s="7" t="n"/>
      <c r="B6022" s="7" t="n"/>
      <c r="C6022" s="7" t="n"/>
      <c r="D6022" s="7" t="n"/>
      <c r="E6022" s="7" t="n"/>
      <c r="F6022" s="7" t="n"/>
      <c r="G6022" s="7" t="n"/>
      <c r="H6022" s="7" t="n"/>
      <c r="I6022" s="7" t="n"/>
      <c r="J6022" s="7" t="n"/>
      <c r="K6022">
        <f>IF(D6022="Legitimate Interest (GDPR Art. 6(1)(f))", "Yes / Required (Sheet 3)", "")</f>
        <v/>
      </c>
      <c r="L6022" s="7" t="n"/>
      <c r="M6022" s="7" t="n"/>
      <c r="N6022">
        <f>IF(D6022="", "Gap - No Legal Basis", IF(AND(D6022="Consent (GDPR Art. 6(1)(a))", I6022="Not Captured"), "Gap - Invalid Consent", IF(AND(D6022="Legitimate Interest (GDPR Art. 6(1)(f))", L6022=""), "Gap - Missing LIA", IF(AND(G6022="Yes", H6022=""), "Gap - Missing Art. 9 Basis", IF(OR(I6022="Invalid - Not Freely Given", I6022="Invalid - Not Specific", I6022="Invalid - Not Informed", I6022="Invalid - Ambiguous"), "Gap - Invalid Consent", "Compliant")))))</f>
        <v/>
      </c>
      <c r="O6022" s="7" t="n"/>
    </row>
    <row r="6023">
      <c r="A6023" s="7" t="n"/>
      <c r="B6023" s="7" t="n"/>
      <c r="C6023" s="7" t="n"/>
      <c r="D6023" s="7" t="n"/>
      <c r="E6023" s="7" t="n"/>
      <c r="F6023" s="7" t="n"/>
      <c r="G6023" s="7" t="n"/>
      <c r="H6023" s="7" t="n"/>
      <c r="I6023" s="7" t="n"/>
      <c r="J6023" s="7" t="n"/>
      <c r="K6023">
        <f>IF(D6023="Legitimate Interest (GDPR Art. 6(1)(f))", "Yes / Required (Sheet 3)", "")</f>
        <v/>
      </c>
      <c r="L6023" s="7" t="n"/>
      <c r="M6023" s="7" t="n"/>
      <c r="N6023">
        <f>IF(D6023="", "Gap - No Legal Basis", IF(AND(D6023="Consent (GDPR Art. 6(1)(a))", I6023="Not Captured"), "Gap - Invalid Consent", IF(AND(D6023="Legitimate Interest (GDPR Art. 6(1)(f))", L6023=""), "Gap - Missing LIA", IF(AND(G6023="Yes", H6023=""), "Gap - Missing Art. 9 Basis", IF(OR(I6023="Invalid - Not Freely Given", I6023="Invalid - Not Specific", I6023="Invalid - Not Informed", I6023="Invalid - Ambiguous"), "Gap - Invalid Consent", "Compliant")))))</f>
        <v/>
      </c>
      <c r="O6023" s="7" t="n"/>
    </row>
    <row r="6024">
      <c r="A6024" s="7" t="n"/>
      <c r="B6024" s="7" t="n"/>
      <c r="C6024" s="7" t="n"/>
      <c r="D6024" s="7" t="n"/>
      <c r="E6024" s="7" t="n"/>
      <c r="F6024" s="7" t="n"/>
      <c r="G6024" s="7" t="n"/>
      <c r="H6024" s="7" t="n"/>
      <c r="I6024" s="7" t="n"/>
      <c r="J6024" s="7" t="n"/>
      <c r="K6024">
        <f>IF(D6024="Legitimate Interest (GDPR Art. 6(1)(f))", "Yes / Required (Sheet 3)", "")</f>
        <v/>
      </c>
      <c r="L6024" s="7" t="n"/>
      <c r="M6024" s="7" t="n"/>
      <c r="N6024">
        <f>IF(D6024="", "Gap - No Legal Basis", IF(AND(D6024="Consent (GDPR Art. 6(1)(a))", I6024="Not Captured"), "Gap - Invalid Consent", IF(AND(D6024="Legitimate Interest (GDPR Art. 6(1)(f))", L6024=""), "Gap - Missing LIA", IF(AND(G6024="Yes", H6024=""), "Gap - Missing Art. 9 Basis", IF(OR(I6024="Invalid - Not Freely Given", I6024="Invalid - Not Specific", I6024="Invalid - Not Informed", I6024="Invalid - Ambiguous"), "Gap - Invalid Consent", "Compliant")))))</f>
        <v/>
      </c>
      <c r="O6024" s="7" t="n"/>
    </row>
    <row r="6025">
      <c r="A6025" s="7" t="n"/>
      <c r="B6025" s="7" t="n"/>
      <c r="C6025" s="7" t="n"/>
      <c r="D6025" s="7" t="n"/>
      <c r="E6025" s="7" t="n"/>
      <c r="F6025" s="7" t="n"/>
      <c r="G6025" s="7" t="n"/>
      <c r="H6025" s="7" t="n"/>
      <c r="I6025" s="7" t="n"/>
      <c r="J6025" s="7" t="n"/>
      <c r="K6025">
        <f>IF(D6025="Legitimate Interest (GDPR Art. 6(1)(f))", "Yes / Required (Sheet 3)", "")</f>
        <v/>
      </c>
      <c r="L6025" s="7" t="n"/>
      <c r="M6025" s="7" t="n"/>
      <c r="N6025">
        <f>IF(D6025="", "Gap - No Legal Basis", IF(AND(D6025="Consent (GDPR Art. 6(1)(a))", I6025="Not Captured"), "Gap - Invalid Consent", IF(AND(D6025="Legitimate Interest (GDPR Art. 6(1)(f))", L6025=""), "Gap - Missing LIA", IF(AND(G6025="Yes", H6025=""), "Gap - Missing Art. 9 Basis", IF(OR(I6025="Invalid - Not Freely Given", I6025="Invalid - Not Specific", I6025="Invalid - Not Informed", I6025="Invalid - Ambiguous"), "Gap - Invalid Consent", "Compliant")))))</f>
        <v/>
      </c>
      <c r="O6025" s="7" t="n"/>
    </row>
    <row r="6026">
      <c r="A6026" s="7" t="n"/>
      <c r="B6026" s="7" t="n"/>
      <c r="C6026" s="7" t="n"/>
      <c r="D6026" s="7" t="n"/>
      <c r="E6026" s="7" t="n"/>
      <c r="F6026" s="7" t="n"/>
      <c r="G6026" s="7" t="n"/>
      <c r="H6026" s="7" t="n"/>
      <c r="I6026" s="7" t="n"/>
      <c r="J6026" s="7" t="n"/>
      <c r="K6026">
        <f>IF(D6026="Legitimate Interest (GDPR Art. 6(1)(f))", "Yes / Required (Sheet 3)", "")</f>
        <v/>
      </c>
      <c r="L6026" s="7" t="n"/>
      <c r="M6026" s="7" t="n"/>
      <c r="N6026">
        <f>IF(D6026="", "Gap - No Legal Basis", IF(AND(D6026="Consent (GDPR Art. 6(1)(a))", I6026="Not Captured"), "Gap - Invalid Consent", IF(AND(D6026="Legitimate Interest (GDPR Art. 6(1)(f))", L6026=""), "Gap - Missing LIA", IF(AND(G6026="Yes", H6026=""), "Gap - Missing Art. 9 Basis", IF(OR(I6026="Invalid - Not Freely Given", I6026="Invalid - Not Specific", I6026="Invalid - Not Informed", I6026="Invalid - Ambiguous"), "Gap - Invalid Consent", "Compliant")))))</f>
        <v/>
      </c>
      <c r="O6026" s="7" t="n"/>
    </row>
    <row r="6027">
      <c r="A6027" s="7" t="n"/>
      <c r="B6027" s="7" t="n"/>
      <c r="C6027" s="7" t="n"/>
      <c r="D6027" s="7" t="n"/>
      <c r="E6027" s="7" t="n"/>
      <c r="F6027" s="7" t="n"/>
      <c r="G6027" s="7" t="n"/>
      <c r="H6027" s="7" t="n"/>
      <c r="I6027" s="7" t="n"/>
      <c r="J6027" s="7" t="n"/>
      <c r="K6027">
        <f>IF(D6027="Legitimate Interest (GDPR Art. 6(1)(f))", "Yes / Required (Sheet 3)", "")</f>
        <v/>
      </c>
      <c r="L6027" s="7" t="n"/>
      <c r="M6027" s="7" t="n"/>
      <c r="N6027">
        <f>IF(D6027="", "Gap - No Legal Basis", IF(AND(D6027="Consent (GDPR Art. 6(1)(a))", I6027="Not Captured"), "Gap - Invalid Consent", IF(AND(D6027="Legitimate Interest (GDPR Art. 6(1)(f))", L6027=""), "Gap - Missing LIA", IF(AND(G6027="Yes", H6027=""), "Gap - Missing Art. 9 Basis", IF(OR(I6027="Invalid - Not Freely Given", I6027="Invalid - Not Specific", I6027="Invalid - Not Informed", I6027="Invalid - Ambiguous"), "Gap - Invalid Consent", "Compliant")))))</f>
        <v/>
      </c>
      <c r="O6027" s="7" t="n"/>
    </row>
    <row r="6028">
      <c r="A6028" s="7" t="n"/>
      <c r="B6028" s="7" t="n"/>
      <c r="C6028" s="7" t="n"/>
      <c r="D6028" s="7" t="n"/>
      <c r="E6028" s="7" t="n"/>
      <c r="F6028" s="7" t="n"/>
      <c r="G6028" s="7" t="n"/>
      <c r="H6028" s="7" t="n"/>
      <c r="I6028" s="7" t="n"/>
      <c r="J6028" s="7" t="n"/>
      <c r="K6028">
        <f>IF(D6028="Legitimate Interest (GDPR Art. 6(1)(f))", "Yes / Required (Sheet 3)", "")</f>
        <v/>
      </c>
      <c r="L6028" s="7" t="n"/>
      <c r="M6028" s="7" t="n"/>
      <c r="N6028">
        <f>IF(D6028="", "Gap - No Legal Basis", IF(AND(D6028="Consent (GDPR Art. 6(1)(a))", I6028="Not Captured"), "Gap - Invalid Consent", IF(AND(D6028="Legitimate Interest (GDPR Art. 6(1)(f))", L6028=""), "Gap - Missing LIA", IF(AND(G6028="Yes", H6028=""), "Gap - Missing Art. 9 Basis", IF(OR(I6028="Invalid - Not Freely Given", I6028="Invalid - Not Specific", I6028="Invalid - Not Informed", I6028="Invalid - Ambiguous"), "Gap - Invalid Consent", "Compliant")))))</f>
        <v/>
      </c>
      <c r="O6028" s="7" t="n"/>
    </row>
    <row r="6029">
      <c r="A6029" s="7" t="n"/>
      <c r="B6029" s="7" t="n"/>
      <c r="C6029" s="7" t="n"/>
      <c r="D6029" s="7" t="n"/>
      <c r="E6029" s="7" t="n"/>
      <c r="F6029" s="7" t="n"/>
      <c r="G6029" s="7" t="n"/>
      <c r="H6029" s="7" t="n"/>
      <c r="I6029" s="7" t="n"/>
      <c r="J6029" s="7" t="n"/>
      <c r="K6029">
        <f>IF(D6029="Legitimate Interest (GDPR Art. 6(1)(f))", "Yes / Required (Sheet 3)", "")</f>
        <v/>
      </c>
      <c r="L6029" s="7" t="n"/>
      <c r="M6029" s="7" t="n"/>
      <c r="N6029">
        <f>IF(D6029="", "Gap - No Legal Basis", IF(AND(D6029="Consent (GDPR Art. 6(1)(a))", I6029="Not Captured"), "Gap - Invalid Consent", IF(AND(D6029="Legitimate Interest (GDPR Art. 6(1)(f))", L6029=""), "Gap - Missing LIA", IF(AND(G6029="Yes", H6029=""), "Gap - Missing Art. 9 Basis", IF(OR(I6029="Invalid - Not Freely Given", I6029="Invalid - Not Specific", I6029="Invalid - Not Informed", I6029="Invalid - Ambiguous"), "Gap - Invalid Consent", "Compliant")))))</f>
        <v/>
      </c>
      <c r="O6029" s="7" t="n"/>
    </row>
    <row r="6030">
      <c r="A6030" s="7" t="n"/>
      <c r="B6030" s="7" t="n"/>
      <c r="C6030" s="7" t="n"/>
      <c r="D6030" s="7" t="n"/>
      <c r="E6030" s="7" t="n"/>
      <c r="F6030" s="7" t="n"/>
      <c r="G6030" s="7" t="n"/>
      <c r="H6030" s="7" t="n"/>
      <c r="I6030" s="7" t="n"/>
      <c r="J6030" s="7" t="n"/>
      <c r="K6030">
        <f>IF(D6030="Legitimate Interest (GDPR Art. 6(1)(f))", "Yes / Required (Sheet 3)", "")</f>
        <v/>
      </c>
      <c r="L6030" s="7" t="n"/>
      <c r="M6030" s="7" t="n"/>
      <c r="N6030">
        <f>IF(D6030="", "Gap - No Legal Basis", IF(AND(D6030="Consent (GDPR Art. 6(1)(a))", I6030="Not Captured"), "Gap - Invalid Consent", IF(AND(D6030="Legitimate Interest (GDPR Art. 6(1)(f))", L6030=""), "Gap - Missing LIA", IF(AND(G6030="Yes", H6030=""), "Gap - Missing Art. 9 Basis", IF(OR(I6030="Invalid - Not Freely Given", I6030="Invalid - Not Specific", I6030="Invalid - Not Informed", I6030="Invalid - Ambiguous"), "Gap - Invalid Consent", "Compliant")))))</f>
        <v/>
      </c>
      <c r="O6030" s="7" t="n"/>
    </row>
    <row r="6031">
      <c r="A6031" s="7" t="n"/>
      <c r="B6031" s="7" t="n"/>
      <c r="C6031" s="7" t="n"/>
      <c r="D6031" s="7" t="n"/>
      <c r="E6031" s="7" t="n"/>
      <c r="F6031" s="7" t="n"/>
      <c r="G6031" s="7" t="n"/>
      <c r="H6031" s="7" t="n"/>
      <c r="I6031" s="7" t="n"/>
      <c r="J6031" s="7" t="n"/>
      <c r="K6031">
        <f>IF(D6031="Legitimate Interest (GDPR Art. 6(1)(f))", "Yes / Required (Sheet 3)", "")</f>
        <v/>
      </c>
      <c r="L6031" s="7" t="n"/>
      <c r="M6031" s="7" t="n"/>
      <c r="N6031">
        <f>IF(D6031="", "Gap - No Legal Basis", IF(AND(D6031="Consent (GDPR Art. 6(1)(a))", I6031="Not Captured"), "Gap - Invalid Consent", IF(AND(D6031="Legitimate Interest (GDPR Art. 6(1)(f))", L6031=""), "Gap - Missing LIA", IF(AND(G6031="Yes", H6031=""), "Gap - Missing Art. 9 Basis", IF(OR(I6031="Invalid - Not Freely Given", I6031="Invalid - Not Specific", I6031="Invalid - Not Informed", I6031="Invalid - Ambiguous"), "Gap - Invalid Consent", "Compliant")))))</f>
        <v/>
      </c>
      <c r="O6031" s="7" t="n"/>
    </row>
    <row r="6032">
      <c r="A6032" s="7" t="n"/>
      <c r="B6032" s="7" t="n"/>
      <c r="C6032" s="7" t="n"/>
      <c r="D6032" s="7" t="n"/>
      <c r="E6032" s="7" t="n"/>
      <c r="F6032" s="7" t="n"/>
      <c r="G6032" s="7" t="n"/>
      <c r="H6032" s="7" t="n"/>
      <c r="I6032" s="7" t="n"/>
      <c r="J6032" s="7" t="n"/>
      <c r="K6032">
        <f>IF(D6032="Legitimate Interest (GDPR Art. 6(1)(f))", "Yes / Required (Sheet 3)", "")</f>
        <v/>
      </c>
      <c r="L6032" s="7" t="n"/>
      <c r="M6032" s="7" t="n"/>
      <c r="N6032">
        <f>IF(D6032="", "Gap - No Legal Basis", IF(AND(D6032="Consent (GDPR Art. 6(1)(a))", I6032="Not Captured"), "Gap - Invalid Consent", IF(AND(D6032="Legitimate Interest (GDPR Art. 6(1)(f))", L6032=""), "Gap - Missing LIA", IF(AND(G6032="Yes", H6032=""), "Gap - Missing Art. 9 Basis", IF(OR(I6032="Invalid - Not Freely Given", I6032="Invalid - Not Specific", I6032="Invalid - Not Informed", I6032="Invalid - Ambiguous"), "Gap - Invalid Consent", "Compliant")))))</f>
        <v/>
      </c>
      <c r="O6032" s="7" t="n"/>
    </row>
    <row r="6033">
      <c r="A6033" s="7" t="n"/>
      <c r="B6033" s="7" t="n"/>
      <c r="C6033" s="7" t="n"/>
      <c r="D6033" s="7" t="n"/>
      <c r="E6033" s="7" t="n"/>
      <c r="F6033" s="7" t="n"/>
      <c r="G6033" s="7" t="n"/>
      <c r="H6033" s="7" t="n"/>
      <c r="I6033" s="7" t="n"/>
      <c r="J6033" s="7" t="n"/>
      <c r="K6033">
        <f>IF(D6033="Legitimate Interest (GDPR Art. 6(1)(f))", "Yes / Required (Sheet 3)", "")</f>
        <v/>
      </c>
      <c r="L6033" s="7" t="n"/>
      <c r="M6033" s="7" t="n"/>
      <c r="N6033">
        <f>IF(D6033="", "Gap - No Legal Basis", IF(AND(D6033="Consent (GDPR Art. 6(1)(a))", I6033="Not Captured"), "Gap - Invalid Consent", IF(AND(D6033="Legitimate Interest (GDPR Art. 6(1)(f))", L6033=""), "Gap - Missing LIA", IF(AND(G6033="Yes", H6033=""), "Gap - Missing Art. 9 Basis", IF(OR(I6033="Invalid - Not Freely Given", I6033="Invalid - Not Specific", I6033="Invalid - Not Informed", I6033="Invalid - Ambiguous"), "Gap - Invalid Consent", "Compliant")))))</f>
        <v/>
      </c>
      <c r="O6033" s="7" t="n"/>
    </row>
    <row r="6034">
      <c r="A6034" s="7" t="n"/>
      <c r="B6034" s="7" t="n"/>
      <c r="C6034" s="7" t="n"/>
      <c r="D6034" s="7" t="n"/>
      <c r="E6034" s="7" t="n"/>
      <c r="F6034" s="7" t="n"/>
      <c r="G6034" s="7" t="n"/>
      <c r="H6034" s="7" t="n"/>
      <c r="I6034" s="7" t="n"/>
      <c r="J6034" s="7" t="n"/>
      <c r="K6034">
        <f>IF(D6034="Legitimate Interest (GDPR Art. 6(1)(f))", "Yes / Required (Sheet 3)", "")</f>
        <v/>
      </c>
      <c r="L6034" s="7" t="n"/>
      <c r="M6034" s="7" t="n"/>
      <c r="N6034">
        <f>IF(D6034="", "Gap - No Legal Basis", IF(AND(D6034="Consent (GDPR Art. 6(1)(a))", I6034="Not Captured"), "Gap - Invalid Consent", IF(AND(D6034="Legitimate Interest (GDPR Art. 6(1)(f))", L6034=""), "Gap - Missing LIA", IF(AND(G6034="Yes", H6034=""), "Gap - Missing Art. 9 Basis", IF(OR(I6034="Invalid - Not Freely Given", I6034="Invalid - Not Specific", I6034="Invalid - Not Informed", I6034="Invalid - Ambiguous"), "Gap - Invalid Consent", "Compliant")))))</f>
        <v/>
      </c>
      <c r="O6034" s="7" t="n"/>
    </row>
    <row r="6035">
      <c r="A6035" s="7" t="n"/>
      <c r="B6035" s="7" t="n"/>
      <c r="C6035" s="7" t="n"/>
      <c r="D6035" s="7" t="n"/>
      <c r="E6035" s="7" t="n"/>
      <c r="F6035" s="7" t="n"/>
      <c r="G6035" s="7" t="n"/>
      <c r="H6035" s="7" t="n"/>
      <c r="I6035" s="7" t="n"/>
      <c r="J6035" s="7" t="n"/>
      <c r="K6035">
        <f>IF(D6035="Legitimate Interest (GDPR Art. 6(1)(f))", "Yes / Required (Sheet 3)", "")</f>
        <v/>
      </c>
      <c r="L6035" s="7" t="n"/>
      <c r="M6035" s="7" t="n"/>
      <c r="N6035">
        <f>IF(D6035="", "Gap - No Legal Basis", IF(AND(D6035="Consent (GDPR Art. 6(1)(a))", I6035="Not Captured"), "Gap - Invalid Consent", IF(AND(D6035="Legitimate Interest (GDPR Art. 6(1)(f))", L6035=""), "Gap - Missing LIA", IF(AND(G6035="Yes", H6035=""), "Gap - Missing Art. 9 Basis", IF(OR(I6035="Invalid - Not Freely Given", I6035="Invalid - Not Specific", I6035="Invalid - Not Informed", I6035="Invalid - Ambiguous"), "Gap - Invalid Consent", "Compliant")))))</f>
        <v/>
      </c>
      <c r="O6035" s="7" t="n"/>
    </row>
    <row r="6036">
      <c r="A6036" s="7" t="n"/>
      <c r="B6036" s="7" t="n"/>
      <c r="C6036" s="7" t="n"/>
      <c r="D6036" s="7" t="n"/>
      <c r="E6036" s="7" t="n"/>
      <c r="F6036" s="7" t="n"/>
      <c r="G6036" s="7" t="n"/>
      <c r="H6036" s="7" t="n"/>
      <c r="I6036" s="7" t="n"/>
      <c r="J6036" s="7" t="n"/>
      <c r="K6036">
        <f>IF(D6036="Legitimate Interest (GDPR Art. 6(1)(f))", "Yes / Required (Sheet 3)", "")</f>
        <v/>
      </c>
      <c r="L6036" s="7" t="n"/>
      <c r="M6036" s="7" t="n"/>
      <c r="N6036">
        <f>IF(D6036="", "Gap - No Legal Basis", IF(AND(D6036="Consent (GDPR Art. 6(1)(a))", I6036="Not Captured"), "Gap - Invalid Consent", IF(AND(D6036="Legitimate Interest (GDPR Art. 6(1)(f))", L6036=""), "Gap - Missing LIA", IF(AND(G6036="Yes", H6036=""), "Gap - Missing Art. 9 Basis", IF(OR(I6036="Invalid - Not Freely Given", I6036="Invalid - Not Specific", I6036="Invalid - Not Informed", I6036="Invalid - Ambiguous"), "Gap - Invalid Consent", "Compliant")))))</f>
        <v/>
      </c>
      <c r="O6036" s="7" t="n"/>
    </row>
    <row r="6037">
      <c r="A6037" s="7" t="n"/>
      <c r="B6037" s="7" t="n"/>
      <c r="C6037" s="7" t="n"/>
      <c r="D6037" s="7" t="n"/>
      <c r="E6037" s="7" t="n"/>
      <c r="F6037" s="7" t="n"/>
      <c r="G6037" s="7" t="n"/>
      <c r="H6037" s="7" t="n"/>
      <c r="I6037" s="7" t="n"/>
      <c r="J6037" s="7" t="n"/>
      <c r="K6037">
        <f>IF(D6037="Legitimate Interest (GDPR Art. 6(1)(f))", "Yes / Required (Sheet 3)", "")</f>
        <v/>
      </c>
      <c r="L6037" s="7" t="n"/>
      <c r="M6037" s="7" t="n"/>
      <c r="N6037">
        <f>IF(D6037="", "Gap - No Legal Basis", IF(AND(D6037="Consent (GDPR Art. 6(1)(a))", I6037="Not Captured"), "Gap - Invalid Consent", IF(AND(D6037="Legitimate Interest (GDPR Art. 6(1)(f))", L6037=""), "Gap - Missing LIA", IF(AND(G6037="Yes", H6037=""), "Gap - Missing Art. 9 Basis", IF(OR(I6037="Invalid - Not Freely Given", I6037="Invalid - Not Specific", I6037="Invalid - Not Informed", I6037="Invalid - Ambiguous"), "Gap - Invalid Consent", "Compliant")))))</f>
        <v/>
      </c>
      <c r="O6037" s="7" t="n"/>
    </row>
    <row r="6038">
      <c r="A6038" s="7" t="n"/>
      <c r="B6038" s="7" t="n"/>
      <c r="C6038" s="7" t="n"/>
      <c r="D6038" s="7" t="n"/>
      <c r="E6038" s="7" t="n"/>
      <c r="F6038" s="7" t="n"/>
      <c r="G6038" s="7" t="n"/>
      <c r="H6038" s="7" t="n"/>
      <c r="I6038" s="7" t="n"/>
      <c r="J6038" s="7" t="n"/>
      <c r="K6038">
        <f>IF(D6038="Legitimate Interest (GDPR Art. 6(1)(f))", "Yes / Required (Sheet 3)", "")</f>
        <v/>
      </c>
      <c r="L6038" s="7" t="n"/>
      <c r="M6038" s="7" t="n"/>
      <c r="N6038">
        <f>IF(D6038="", "Gap - No Legal Basis", IF(AND(D6038="Consent (GDPR Art. 6(1)(a))", I6038="Not Captured"), "Gap - Invalid Consent", IF(AND(D6038="Legitimate Interest (GDPR Art. 6(1)(f))", L6038=""), "Gap - Missing LIA", IF(AND(G6038="Yes", H6038=""), "Gap - Missing Art. 9 Basis", IF(OR(I6038="Invalid - Not Freely Given", I6038="Invalid - Not Specific", I6038="Invalid - Not Informed", I6038="Invalid - Ambiguous"), "Gap - Invalid Consent", "Compliant")))))</f>
        <v/>
      </c>
      <c r="O6038" s="7" t="n"/>
    </row>
    <row r="6039">
      <c r="A6039" s="7" t="n"/>
      <c r="B6039" s="7" t="n"/>
      <c r="C6039" s="7" t="n"/>
      <c r="D6039" s="7" t="n"/>
      <c r="E6039" s="7" t="n"/>
      <c r="F6039" s="7" t="n"/>
      <c r="G6039" s="7" t="n"/>
      <c r="H6039" s="7" t="n"/>
      <c r="I6039" s="7" t="n"/>
      <c r="J6039" s="7" t="n"/>
      <c r="K6039">
        <f>IF(D6039="Legitimate Interest (GDPR Art. 6(1)(f))", "Yes / Required (Sheet 3)", "")</f>
        <v/>
      </c>
      <c r="L6039" s="7" t="n"/>
      <c r="M6039" s="7" t="n"/>
      <c r="N6039">
        <f>IF(D6039="", "Gap - No Legal Basis", IF(AND(D6039="Consent (GDPR Art. 6(1)(a))", I6039="Not Captured"), "Gap - Invalid Consent", IF(AND(D6039="Legitimate Interest (GDPR Art. 6(1)(f))", L6039=""), "Gap - Missing LIA", IF(AND(G6039="Yes", H6039=""), "Gap - Missing Art. 9 Basis", IF(OR(I6039="Invalid - Not Freely Given", I6039="Invalid - Not Specific", I6039="Invalid - Not Informed", I6039="Invalid - Ambiguous"), "Gap - Invalid Consent", "Compliant")))))</f>
        <v/>
      </c>
      <c r="O6039" s="7" t="n"/>
    </row>
    <row r="6040">
      <c r="A6040" s="7" t="n"/>
      <c r="B6040" s="7" t="n"/>
      <c r="C6040" s="7" t="n"/>
      <c r="D6040" s="7" t="n"/>
      <c r="E6040" s="7" t="n"/>
      <c r="F6040" s="7" t="n"/>
      <c r="G6040" s="7" t="n"/>
      <c r="H6040" s="7" t="n"/>
      <c r="I6040" s="7" t="n"/>
      <c r="J6040" s="7" t="n"/>
      <c r="K6040">
        <f>IF(D6040="Legitimate Interest (GDPR Art. 6(1)(f))", "Yes / Required (Sheet 3)", "")</f>
        <v/>
      </c>
      <c r="L6040" s="7" t="n"/>
      <c r="M6040" s="7" t="n"/>
      <c r="N6040">
        <f>IF(D6040="", "Gap - No Legal Basis", IF(AND(D6040="Consent (GDPR Art. 6(1)(a))", I6040="Not Captured"), "Gap - Invalid Consent", IF(AND(D6040="Legitimate Interest (GDPR Art. 6(1)(f))", L6040=""), "Gap - Missing LIA", IF(AND(G6040="Yes", H6040=""), "Gap - Missing Art. 9 Basis", IF(OR(I6040="Invalid - Not Freely Given", I6040="Invalid - Not Specific", I6040="Invalid - Not Informed", I6040="Invalid - Ambiguous"), "Gap - Invalid Consent", "Compliant")))))</f>
        <v/>
      </c>
      <c r="O6040" s="7" t="n"/>
    </row>
    <row r="6041">
      <c r="A6041" s="7" t="n"/>
      <c r="B6041" s="7" t="n"/>
      <c r="C6041" s="7" t="n"/>
      <c r="D6041" s="7" t="n"/>
      <c r="E6041" s="7" t="n"/>
      <c r="F6041" s="7" t="n"/>
      <c r="G6041" s="7" t="n"/>
      <c r="H6041" s="7" t="n"/>
      <c r="I6041" s="7" t="n"/>
      <c r="J6041" s="7" t="n"/>
      <c r="K6041">
        <f>IF(D6041="Legitimate Interest (GDPR Art. 6(1)(f))", "Yes / Required (Sheet 3)", "")</f>
        <v/>
      </c>
      <c r="L6041" s="7" t="n"/>
      <c r="M6041" s="7" t="n"/>
      <c r="N6041">
        <f>IF(D6041="", "Gap - No Legal Basis", IF(AND(D6041="Consent (GDPR Art. 6(1)(a))", I6041="Not Captured"), "Gap - Invalid Consent", IF(AND(D6041="Legitimate Interest (GDPR Art. 6(1)(f))", L6041=""), "Gap - Missing LIA", IF(AND(G6041="Yes", H6041=""), "Gap - Missing Art. 9 Basis", IF(OR(I6041="Invalid - Not Freely Given", I6041="Invalid - Not Specific", I6041="Invalid - Not Informed", I6041="Invalid - Ambiguous"), "Gap - Invalid Consent", "Compliant")))))</f>
        <v/>
      </c>
      <c r="O6041" s="7" t="n"/>
    </row>
    <row r="6042">
      <c r="A6042" s="7" t="n"/>
      <c r="B6042" s="7" t="n"/>
      <c r="C6042" s="7" t="n"/>
      <c r="D6042" s="7" t="n"/>
      <c r="E6042" s="7" t="n"/>
      <c r="F6042" s="7" t="n"/>
      <c r="G6042" s="7" t="n"/>
      <c r="H6042" s="7" t="n"/>
      <c r="I6042" s="7" t="n"/>
      <c r="J6042" s="7" t="n"/>
      <c r="K6042">
        <f>IF(D6042="Legitimate Interest (GDPR Art. 6(1)(f))", "Yes / Required (Sheet 3)", "")</f>
        <v/>
      </c>
      <c r="L6042" s="7" t="n"/>
      <c r="M6042" s="7" t="n"/>
      <c r="N6042">
        <f>IF(D6042="", "Gap - No Legal Basis", IF(AND(D6042="Consent (GDPR Art. 6(1)(a))", I6042="Not Captured"), "Gap - Invalid Consent", IF(AND(D6042="Legitimate Interest (GDPR Art. 6(1)(f))", L6042=""), "Gap - Missing LIA", IF(AND(G6042="Yes", H6042=""), "Gap - Missing Art. 9 Basis", IF(OR(I6042="Invalid - Not Freely Given", I6042="Invalid - Not Specific", I6042="Invalid - Not Informed", I6042="Invalid - Ambiguous"), "Gap - Invalid Consent", "Compliant")))))</f>
        <v/>
      </c>
      <c r="O6042" s="7" t="n"/>
    </row>
    <row r="6043">
      <c r="A6043" s="7" t="n"/>
      <c r="B6043" s="7" t="n"/>
      <c r="C6043" s="7" t="n"/>
      <c r="D6043" s="7" t="n"/>
      <c r="E6043" s="7" t="n"/>
      <c r="F6043" s="7" t="n"/>
      <c r="G6043" s="7" t="n"/>
      <c r="H6043" s="7" t="n"/>
      <c r="I6043" s="7" t="n"/>
      <c r="J6043" s="7" t="n"/>
      <c r="K6043">
        <f>IF(D6043="Legitimate Interest (GDPR Art. 6(1)(f))", "Yes / Required (Sheet 3)", "")</f>
        <v/>
      </c>
      <c r="L6043" s="7" t="n"/>
      <c r="M6043" s="7" t="n"/>
      <c r="N6043">
        <f>IF(D6043="", "Gap - No Legal Basis", IF(AND(D6043="Consent (GDPR Art. 6(1)(a))", I6043="Not Captured"), "Gap - Invalid Consent", IF(AND(D6043="Legitimate Interest (GDPR Art. 6(1)(f))", L6043=""), "Gap - Missing LIA", IF(AND(G6043="Yes", H6043=""), "Gap - Missing Art. 9 Basis", IF(OR(I6043="Invalid - Not Freely Given", I6043="Invalid - Not Specific", I6043="Invalid - Not Informed", I6043="Invalid - Ambiguous"), "Gap - Invalid Consent", "Compliant")))))</f>
        <v/>
      </c>
      <c r="O6043" s="7" t="n"/>
    </row>
    <row r="6044">
      <c r="A6044" s="7" t="n"/>
      <c r="B6044" s="7" t="n"/>
      <c r="C6044" s="7" t="n"/>
      <c r="D6044" s="7" t="n"/>
      <c r="E6044" s="7" t="n"/>
      <c r="F6044" s="7" t="n"/>
      <c r="G6044" s="7" t="n"/>
      <c r="H6044" s="7" t="n"/>
      <c r="I6044" s="7" t="n"/>
      <c r="J6044" s="7" t="n"/>
      <c r="K6044">
        <f>IF(D6044="Legitimate Interest (GDPR Art. 6(1)(f))", "Yes / Required (Sheet 3)", "")</f>
        <v/>
      </c>
      <c r="L6044" s="7" t="n"/>
      <c r="M6044" s="7" t="n"/>
      <c r="N6044">
        <f>IF(D6044="", "Gap - No Legal Basis", IF(AND(D6044="Consent (GDPR Art. 6(1)(a))", I6044="Not Captured"), "Gap - Invalid Consent", IF(AND(D6044="Legitimate Interest (GDPR Art. 6(1)(f))", L6044=""), "Gap - Missing LIA", IF(AND(G6044="Yes", H6044=""), "Gap - Missing Art. 9 Basis", IF(OR(I6044="Invalid - Not Freely Given", I6044="Invalid - Not Specific", I6044="Invalid - Not Informed", I6044="Invalid - Ambiguous"), "Gap - Invalid Consent", "Compliant")))))</f>
        <v/>
      </c>
      <c r="O6044" s="7" t="n"/>
    </row>
    <row r="6045">
      <c r="A6045" s="7" t="n"/>
      <c r="B6045" s="7" t="n"/>
      <c r="C6045" s="7" t="n"/>
      <c r="D6045" s="7" t="n"/>
      <c r="E6045" s="7" t="n"/>
      <c r="F6045" s="7" t="n"/>
      <c r="G6045" s="7" t="n"/>
      <c r="H6045" s="7" t="n"/>
      <c r="I6045" s="7" t="n"/>
      <c r="J6045" s="7" t="n"/>
      <c r="K6045">
        <f>IF(D6045="Legitimate Interest (GDPR Art. 6(1)(f))", "Yes / Required (Sheet 3)", "")</f>
        <v/>
      </c>
      <c r="L6045" s="7" t="n"/>
      <c r="M6045" s="7" t="n"/>
      <c r="N6045">
        <f>IF(D6045="", "Gap - No Legal Basis", IF(AND(D6045="Consent (GDPR Art. 6(1)(a))", I6045="Not Captured"), "Gap - Invalid Consent", IF(AND(D6045="Legitimate Interest (GDPR Art. 6(1)(f))", L6045=""), "Gap - Missing LIA", IF(AND(G6045="Yes", H6045=""), "Gap - Missing Art. 9 Basis", IF(OR(I6045="Invalid - Not Freely Given", I6045="Invalid - Not Specific", I6045="Invalid - Not Informed", I6045="Invalid - Ambiguous"), "Gap - Invalid Consent", "Compliant")))))</f>
        <v/>
      </c>
      <c r="O6045" s="7" t="n"/>
    </row>
    <row r="6046">
      <c r="A6046" s="7" t="n"/>
      <c r="B6046" s="7" t="n"/>
      <c r="C6046" s="7" t="n"/>
      <c r="D6046" s="7" t="n"/>
      <c r="E6046" s="7" t="n"/>
      <c r="F6046" s="7" t="n"/>
      <c r="G6046" s="7" t="n"/>
      <c r="H6046" s="7" t="n"/>
      <c r="I6046" s="7" t="n"/>
      <c r="J6046" s="7" t="n"/>
      <c r="K6046">
        <f>IF(D6046="Legitimate Interest (GDPR Art. 6(1)(f))", "Yes / Required (Sheet 3)", "")</f>
        <v/>
      </c>
      <c r="L6046" s="7" t="n"/>
      <c r="M6046" s="7" t="n"/>
      <c r="N6046">
        <f>IF(D6046="", "Gap - No Legal Basis", IF(AND(D6046="Consent (GDPR Art. 6(1)(a))", I6046="Not Captured"), "Gap - Invalid Consent", IF(AND(D6046="Legitimate Interest (GDPR Art. 6(1)(f))", L6046=""), "Gap - Missing LIA", IF(AND(G6046="Yes", H6046=""), "Gap - Missing Art. 9 Basis", IF(OR(I6046="Invalid - Not Freely Given", I6046="Invalid - Not Specific", I6046="Invalid - Not Informed", I6046="Invalid - Ambiguous"), "Gap - Invalid Consent", "Compliant")))))</f>
        <v/>
      </c>
      <c r="O6046" s="7" t="n"/>
    </row>
    <row r="6047">
      <c r="A6047" s="7" t="n"/>
      <c r="B6047" s="7" t="n"/>
      <c r="C6047" s="7" t="n"/>
      <c r="D6047" s="7" t="n"/>
      <c r="E6047" s="7" t="n"/>
      <c r="F6047" s="7" t="n"/>
      <c r="G6047" s="7" t="n"/>
      <c r="H6047" s="7" t="n"/>
      <c r="I6047" s="7" t="n"/>
      <c r="J6047" s="7" t="n"/>
      <c r="K6047">
        <f>IF(D6047="Legitimate Interest (GDPR Art. 6(1)(f))", "Yes / Required (Sheet 3)", "")</f>
        <v/>
      </c>
      <c r="L6047" s="7" t="n"/>
      <c r="M6047" s="7" t="n"/>
      <c r="N6047">
        <f>IF(D6047="", "Gap - No Legal Basis", IF(AND(D6047="Consent (GDPR Art. 6(1)(a))", I6047="Not Captured"), "Gap - Invalid Consent", IF(AND(D6047="Legitimate Interest (GDPR Art. 6(1)(f))", L6047=""), "Gap - Missing LIA", IF(AND(G6047="Yes", H6047=""), "Gap - Missing Art. 9 Basis", IF(OR(I6047="Invalid - Not Freely Given", I6047="Invalid - Not Specific", I6047="Invalid - Not Informed", I6047="Invalid - Ambiguous"), "Gap - Invalid Consent", "Compliant")))))</f>
        <v/>
      </c>
      <c r="O6047" s="7" t="n"/>
    </row>
    <row r="6048">
      <c r="A6048" s="7" t="n"/>
      <c r="B6048" s="7" t="n"/>
      <c r="C6048" s="7" t="n"/>
      <c r="D6048" s="7" t="n"/>
      <c r="E6048" s="7" t="n"/>
      <c r="F6048" s="7" t="n"/>
      <c r="G6048" s="7" t="n"/>
      <c r="H6048" s="7" t="n"/>
      <c r="I6048" s="7" t="n"/>
      <c r="J6048" s="7" t="n"/>
      <c r="K6048">
        <f>IF(D6048="Legitimate Interest (GDPR Art. 6(1)(f))", "Yes / Required (Sheet 3)", "")</f>
        <v/>
      </c>
      <c r="L6048" s="7" t="n"/>
      <c r="M6048" s="7" t="n"/>
      <c r="N6048">
        <f>IF(D6048="", "Gap - No Legal Basis", IF(AND(D6048="Consent (GDPR Art. 6(1)(a))", I6048="Not Captured"), "Gap - Invalid Consent", IF(AND(D6048="Legitimate Interest (GDPR Art. 6(1)(f))", L6048=""), "Gap - Missing LIA", IF(AND(G6048="Yes", H6048=""), "Gap - Missing Art. 9 Basis", IF(OR(I6048="Invalid - Not Freely Given", I6048="Invalid - Not Specific", I6048="Invalid - Not Informed", I6048="Invalid - Ambiguous"), "Gap - Invalid Consent", "Compliant")))))</f>
        <v/>
      </c>
      <c r="O6048" s="7" t="n"/>
    </row>
    <row r="6049">
      <c r="A6049" s="7" t="n"/>
      <c r="B6049" s="7" t="n"/>
      <c r="C6049" s="7" t="n"/>
      <c r="D6049" s="7" t="n"/>
      <c r="E6049" s="7" t="n"/>
      <c r="F6049" s="7" t="n"/>
      <c r="G6049" s="7" t="n"/>
      <c r="H6049" s="7" t="n"/>
      <c r="I6049" s="7" t="n"/>
      <c r="J6049" s="7" t="n"/>
      <c r="K6049">
        <f>IF(D6049="Legitimate Interest (GDPR Art. 6(1)(f))", "Yes / Required (Sheet 3)", "")</f>
        <v/>
      </c>
      <c r="L6049" s="7" t="n"/>
      <c r="M6049" s="7" t="n"/>
      <c r="N6049">
        <f>IF(D6049="", "Gap - No Legal Basis", IF(AND(D6049="Consent (GDPR Art. 6(1)(a))", I6049="Not Captured"), "Gap - Invalid Consent", IF(AND(D6049="Legitimate Interest (GDPR Art. 6(1)(f))", L6049=""), "Gap - Missing LIA", IF(AND(G6049="Yes", H6049=""), "Gap - Missing Art. 9 Basis", IF(OR(I6049="Invalid - Not Freely Given", I6049="Invalid - Not Specific", I6049="Invalid - Not Informed", I6049="Invalid - Ambiguous"), "Gap - Invalid Consent", "Compliant")))))</f>
        <v/>
      </c>
      <c r="O6049" s="7" t="n"/>
    </row>
    <row r="6050">
      <c r="A6050" s="7" t="n"/>
      <c r="B6050" s="7" t="n"/>
      <c r="C6050" s="7" t="n"/>
      <c r="D6050" s="7" t="n"/>
      <c r="E6050" s="7" t="n"/>
      <c r="F6050" s="7" t="n"/>
      <c r="G6050" s="7" t="n"/>
      <c r="H6050" s="7" t="n"/>
      <c r="I6050" s="7" t="n"/>
      <c r="J6050" s="7" t="n"/>
      <c r="K6050">
        <f>IF(D6050="Legitimate Interest (GDPR Art. 6(1)(f))", "Yes / Required (Sheet 3)", "")</f>
        <v/>
      </c>
      <c r="L6050" s="7" t="n"/>
      <c r="M6050" s="7" t="n"/>
      <c r="N6050">
        <f>IF(D6050="", "Gap - No Legal Basis", IF(AND(D6050="Consent (GDPR Art. 6(1)(a))", I6050="Not Captured"), "Gap - Invalid Consent", IF(AND(D6050="Legitimate Interest (GDPR Art. 6(1)(f))", L6050=""), "Gap - Missing LIA", IF(AND(G6050="Yes", H6050=""), "Gap - Missing Art. 9 Basis", IF(OR(I6050="Invalid - Not Freely Given", I6050="Invalid - Not Specific", I6050="Invalid - Not Informed", I6050="Invalid - Ambiguous"), "Gap - Invalid Consent", "Compliant")))))</f>
        <v/>
      </c>
      <c r="O6050" s="7" t="n"/>
    </row>
    <row r="6051">
      <c r="A6051" s="7" t="n"/>
      <c r="B6051" s="7" t="n"/>
      <c r="C6051" s="7" t="n"/>
      <c r="D6051" s="7" t="n"/>
      <c r="E6051" s="7" t="n"/>
      <c r="F6051" s="7" t="n"/>
      <c r="G6051" s="7" t="n"/>
      <c r="H6051" s="7" t="n"/>
      <c r="I6051" s="7" t="n"/>
      <c r="J6051" s="7" t="n"/>
      <c r="K6051">
        <f>IF(D6051="Legitimate Interest (GDPR Art. 6(1)(f))", "Yes / Required (Sheet 3)", "")</f>
        <v/>
      </c>
      <c r="L6051" s="7" t="n"/>
      <c r="M6051" s="7" t="n"/>
      <c r="N6051">
        <f>IF(D6051="", "Gap - No Legal Basis", IF(AND(D6051="Consent (GDPR Art. 6(1)(a))", I6051="Not Captured"), "Gap - Invalid Consent", IF(AND(D6051="Legitimate Interest (GDPR Art. 6(1)(f))", L6051=""), "Gap - Missing LIA", IF(AND(G6051="Yes", H6051=""), "Gap - Missing Art. 9 Basis", IF(OR(I6051="Invalid - Not Freely Given", I6051="Invalid - Not Specific", I6051="Invalid - Not Informed", I6051="Invalid - Ambiguous"), "Gap - Invalid Consent", "Compliant")))))</f>
        <v/>
      </c>
      <c r="O6051" s="7" t="n"/>
    </row>
    <row r="6052">
      <c r="A6052" s="7" t="n"/>
      <c r="B6052" s="7" t="n"/>
      <c r="C6052" s="7" t="n"/>
      <c r="D6052" s="7" t="n"/>
      <c r="E6052" s="7" t="n"/>
      <c r="F6052" s="7" t="n"/>
      <c r="G6052" s="7" t="n"/>
      <c r="H6052" s="7" t="n"/>
      <c r="I6052" s="7" t="n"/>
      <c r="J6052" s="7" t="n"/>
      <c r="K6052">
        <f>IF(D6052="Legitimate Interest (GDPR Art. 6(1)(f))", "Yes / Required (Sheet 3)", "")</f>
        <v/>
      </c>
      <c r="L6052" s="7" t="n"/>
      <c r="M6052" s="7" t="n"/>
      <c r="N6052">
        <f>IF(D6052="", "Gap - No Legal Basis", IF(AND(D6052="Consent (GDPR Art. 6(1)(a))", I6052="Not Captured"), "Gap - Invalid Consent", IF(AND(D6052="Legitimate Interest (GDPR Art. 6(1)(f))", L6052=""), "Gap - Missing LIA", IF(AND(G6052="Yes", H6052=""), "Gap - Missing Art. 9 Basis", IF(OR(I6052="Invalid - Not Freely Given", I6052="Invalid - Not Specific", I6052="Invalid - Not Informed", I6052="Invalid - Ambiguous"), "Gap - Invalid Consent", "Compliant")))))</f>
        <v/>
      </c>
      <c r="O6052" s="7" t="n"/>
    </row>
    <row r="6053">
      <c r="A6053" s="7" t="n"/>
      <c r="B6053" s="7" t="n"/>
      <c r="C6053" s="7" t="n"/>
      <c r="D6053" s="7" t="n"/>
      <c r="E6053" s="7" t="n"/>
      <c r="F6053" s="7" t="n"/>
      <c r="G6053" s="7" t="n"/>
      <c r="H6053" s="7" t="n"/>
      <c r="I6053" s="7" t="n"/>
      <c r="J6053" s="7" t="n"/>
      <c r="K6053">
        <f>IF(D6053="Legitimate Interest (GDPR Art. 6(1)(f))", "Yes / Required (Sheet 3)", "")</f>
        <v/>
      </c>
      <c r="L6053" s="7" t="n"/>
      <c r="M6053" s="7" t="n"/>
      <c r="N6053">
        <f>IF(D6053="", "Gap - No Legal Basis", IF(AND(D6053="Consent (GDPR Art. 6(1)(a))", I6053="Not Captured"), "Gap - Invalid Consent", IF(AND(D6053="Legitimate Interest (GDPR Art. 6(1)(f))", L6053=""), "Gap - Missing LIA", IF(AND(G6053="Yes", H6053=""), "Gap - Missing Art. 9 Basis", IF(OR(I6053="Invalid - Not Freely Given", I6053="Invalid - Not Specific", I6053="Invalid - Not Informed", I6053="Invalid - Ambiguous"), "Gap - Invalid Consent", "Compliant")))))</f>
        <v/>
      </c>
      <c r="O6053" s="7" t="n"/>
    </row>
    <row r="6054">
      <c r="A6054" s="7" t="n"/>
      <c r="B6054" s="7" t="n"/>
      <c r="C6054" s="7" t="n"/>
      <c r="D6054" s="7" t="n"/>
      <c r="E6054" s="7" t="n"/>
      <c r="F6054" s="7" t="n"/>
      <c r="G6054" s="7" t="n"/>
      <c r="H6054" s="7" t="n"/>
      <c r="I6054" s="7" t="n"/>
      <c r="J6054" s="7" t="n"/>
      <c r="K6054">
        <f>IF(D6054="Legitimate Interest (GDPR Art. 6(1)(f))", "Yes / Required (Sheet 3)", "")</f>
        <v/>
      </c>
      <c r="L6054" s="7" t="n"/>
      <c r="M6054" s="7" t="n"/>
      <c r="N6054">
        <f>IF(D6054="", "Gap - No Legal Basis", IF(AND(D6054="Consent (GDPR Art. 6(1)(a))", I6054="Not Captured"), "Gap - Invalid Consent", IF(AND(D6054="Legitimate Interest (GDPR Art. 6(1)(f))", L6054=""), "Gap - Missing LIA", IF(AND(G6054="Yes", H6054=""), "Gap - Missing Art. 9 Basis", IF(OR(I6054="Invalid - Not Freely Given", I6054="Invalid - Not Specific", I6054="Invalid - Not Informed", I6054="Invalid - Ambiguous"), "Gap - Invalid Consent", "Compliant")))))</f>
        <v/>
      </c>
      <c r="O6054" s="7" t="n"/>
    </row>
    <row r="6055">
      <c r="A6055" s="7" t="n"/>
      <c r="B6055" s="7" t="n"/>
      <c r="C6055" s="7" t="n"/>
      <c r="D6055" s="7" t="n"/>
      <c r="E6055" s="7" t="n"/>
      <c r="F6055" s="7" t="n"/>
      <c r="G6055" s="7" t="n"/>
      <c r="H6055" s="7" t="n"/>
      <c r="I6055" s="7" t="n"/>
      <c r="J6055" s="7" t="n"/>
      <c r="K6055">
        <f>IF(D6055="Legitimate Interest (GDPR Art. 6(1)(f))", "Yes / Required (Sheet 3)", "")</f>
        <v/>
      </c>
      <c r="L6055" s="7" t="n"/>
      <c r="M6055" s="7" t="n"/>
      <c r="N6055">
        <f>IF(D6055="", "Gap - No Legal Basis", IF(AND(D6055="Consent (GDPR Art. 6(1)(a))", I6055="Not Captured"), "Gap - Invalid Consent", IF(AND(D6055="Legitimate Interest (GDPR Art. 6(1)(f))", L6055=""), "Gap - Missing LIA", IF(AND(G6055="Yes", H6055=""), "Gap - Missing Art. 9 Basis", IF(OR(I6055="Invalid - Not Freely Given", I6055="Invalid - Not Specific", I6055="Invalid - Not Informed", I6055="Invalid - Ambiguous"), "Gap - Invalid Consent", "Compliant")))))</f>
        <v/>
      </c>
      <c r="O6055" s="7" t="n"/>
    </row>
    <row r="6056">
      <c r="A6056" s="7" t="n"/>
      <c r="B6056" s="7" t="n"/>
      <c r="C6056" s="7" t="n"/>
      <c r="D6056" s="7" t="n"/>
      <c r="E6056" s="7" t="n"/>
      <c r="F6056" s="7" t="n"/>
      <c r="G6056" s="7" t="n"/>
      <c r="H6056" s="7" t="n"/>
      <c r="I6056" s="7" t="n"/>
      <c r="J6056" s="7" t="n"/>
      <c r="K6056">
        <f>IF(D6056="Legitimate Interest (GDPR Art. 6(1)(f))", "Yes / Required (Sheet 3)", "")</f>
        <v/>
      </c>
      <c r="L6056" s="7" t="n"/>
      <c r="M6056" s="7" t="n"/>
      <c r="N6056">
        <f>IF(D6056="", "Gap - No Legal Basis", IF(AND(D6056="Consent (GDPR Art. 6(1)(a))", I6056="Not Captured"), "Gap - Invalid Consent", IF(AND(D6056="Legitimate Interest (GDPR Art. 6(1)(f))", L6056=""), "Gap - Missing LIA", IF(AND(G6056="Yes", H6056=""), "Gap - Missing Art. 9 Basis", IF(OR(I6056="Invalid - Not Freely Given", I6056="Invalid - Not Specific", I6056="Invalid - Not Informed", I6056="Invalid - Ambiguous"), "Gap - Invalid Consent", "Compliant")))))</f>
        <v/>
      </c>
      <c r="O6056" s="7" t="n"/>
    </row>
    <row r="6057">
      <c r="A6057" s="7" t="n"/>
      <c r="B6057" s="7" t="n"/>
      <c r="C6057" s="7" t="n"/>
      <c r="D6057" s="7" t="n"/>
      <c r="E6057" s="7" t="n"/>
      <c r="F6057" s="7" t="n"/>
      <c r="G6057" s="7" t="n"/>
      <c r="H6057" s="7" t="n"/>
      <c r="I6057" s="7" t="n"/>
      <c r="J6057" s="7" t="n"/>
      <c r="K6057">
        <f>IF(D6057="Legitimate Interest (GDPR Art. 6(1)(f))", "Yes / Required (Sheet 3)", "")</f>
        <v/>
      </c>
      <c r="L6057" s="7" t="n"/>
      <c r="M6057" s="7" t="n"/>
      <c r="N6057">
        <f>IF(D6057="", "Gap - No Legal Basis", IF(AND(D6057="Consent (GDPR Art. 6(1)(a))", I6057="Not Captured"), "Gap - Invalid Consent", IF(AND(D6057="Legitimate Interest (GDPR Art. 6(1)(f))", L6057=""), "Gap - Missing LIA", IF(AND(G6057="Yes", H6057=""), "Gap - Missing Art. 9 Basis", IF(OR(I6057="Invalid - Not Freely Given", I6057="Invalid - Not Specific", I6057="Invalid - Not Informed", I6057="Invalid - Ambiguous"), "Gap - Invalid Consent", "Compliant")))))</f>
        <v/>
      </c>
      <c r="O6057" s="7" t="n"/>
    </row>
    <row r="6058">
      <c r="A6058" s="7" t="n"/>
      <c r="B6058" s="7" t="n"/>
      <c r="C6058" s="7" t="n"/>
      <c r="D6058" s="7" t="n"/>
      <c r="E6058" s="7" t="n"/>
      <c r="F6058" s="7" t="n"/>
      <c r="G6058" s="7" t="n"/>
      <c r="H6058" s="7" t="n"/>
      <c r="I6058" s="7" t="n"/>
      <c r="J6058" s="7" t="n"/>
      <c r="K6058">
        <f>IF(D6058="Legitimate Interest (GDPR Art. 6(1)(f))", "Yes / Required (Sheet 3)", "")</f>
        <v/>
      </c>
      <c r="L6058" s="7" t="n"/>
      <c r="M6058" s="7" t="n"/>
      <c r="N6058">
        <f>IF(D6058="", "Gap - No Legal Basis", IF(AND(D6058="Consent (GDPR Art. 6(1)(a))", I6058="Not Captured"), "Gap - Invalid Consent", IF(AND(D6058="Legitimate Interest (GDPR Art. 6(1)(f))", L6058=""), "Gap - Missing LIA", IF(AND(G6058="Yes", H6058=""), "Gap - Missing Art. 9 Basis", IF(OR(I6058="Invalid - Not Freely Given", I6058="Invalid - Not Specific", I6058="Invalid - Not Informed", I6058="Invalid - Ambiguous"), "Gap - Invalid Consent", "Compliant")))))</f>
        <v/>
      </c>
      <c r="O6058" s="7" t="n"/>
    </row>
    <row r="6059">
      <c r="A6059" s="7" t="n"/>
      <c r="B6059" s="7" t="n"/>
      <c r="C6059" s="7" t="n"/>
      <c r="D6059" s="7" t="n"/>
      <c r="E6059" s="7" t="n"/>
      <c r="F6059" s="7" t="n"/>
      <c r="G6059" s="7" t="n"/>
      <c r="H6059" s="7" t="n"/>
      <c r="I6059" s="7" t="n"/>
      <c r="J6059" s="7" t="n"/>
      <c r="K6059">
        <f>IF(D6059="Legitimate Interest (GDPR Art. 6(1)(f))", "Yes / Required (Sheet 3)", "")</f>
        <v/>
      </c>
      <c r="L6059" s="7" t="n"/>
      <c r="M6059" s="7" t="n"/>
      <c r="N6059">
        <f>IF(D6059="", "Gap - No Legal Basis", IF(AND(D6059="Consent (GDPR Art. 6(1)(a))", I6059="Not Captured"), "Gap - Invalid Consent", IF(AND(D6059="Legitimate Interest (GDPR Art. 6(1)(f))", L6059=""), "Gap - Missing LIA", IF(AND(G6059="Yes", H6059=""), "Gap - Missing Art. 9 Basis", IF(OR(I6059="Invalid - Not Freely Given", I6059="Invalid - Not Specific", I6059="Invalid - Not Informed", I6059="Invalid - Ambiguous"), "Gap - Invalid Consent", "Compliant")))))</f>
        <v/>
      </c>
      <c r="O6059" s="7" t="n"/>
    </row>
    <row r="6060">
      <c r="A6060" s="7" t="n"/>
      <c r="B6060" s="7" t="n"/>
      <c r="C6060" s="7" t="n"/>
      <c r="D6060" s="7" t="n"/>
      <c r="E6060" s="7" t="n"/>
      <c r="F6060" s="7" t="n"/>
      <c r="G6060" s="7" t="n"/>
      <c r="H6060" s="7" t="n"/>
      <c r="I6060" s="7" t="n"/>
      <c r="J6060" s="7" t="n"/>
      <c r="K6060">
        <f>IF(D6060="Legitimate Interest (GDPR Art. 6(1)(f))", "Yes / Required (Sheet 3)", "")</f>
        <v/>
      </c>
      <c r="L6060" s="7" t="n"/>
      <c r="M6060" s="7" t="n"/>
      <c r="N6060">
        <f>IF(D6060="", "Gap - No Legal Basis", IF(AND(D6060="Consent (GDPR Art. 6(1)(a))", I6060="Not Captured"), "Gap - Invalid Consent", IF(AND(D6060="Legitimate Interest (GDPR Art. 6(1)(f))", L6060=""), "Gap - Missing LIA", IF(AND(G6060="Yes", H6060=""), "Gap - Missing Art. 9 Basis", IF(OR(I6060="Invalid - Not Freely Given", I6060="Invalid - Not Specific", I6060="Invalid - Not Informed", I6060="Invalid - Ambiguous"), "Gap - Invalid Consent", "Compliant")))))</f>
        <v/>
      </c>
      <c r="O6060" s="7" t="n"/>
    </row>
    <row r="6061">
      <c r="A6061" s="7" t="n"/>
      <c r="B6061" s="7" t="n"/>
      <c r="C6061" s="7" t="n"/>
      <c r="D6061" s="7" t="n"/>
      <c r="E6061" s="7" t="n"/>
      <c r="F6061" s="7" t="n"/>
      <c r="G6061" s="7" t="n"/>
      <c r="H6061" s="7" t="n"/>
      <c r="I6061" s="7" t="n"/>
      <c r="J6061" s="7" t="n"/>
      <c r="K6061">
        <f>IF(D6061="Legitimate Interest (GDPR Art. 6(1)(f))", "Yes / Required (Sheet 3)", "")</f>
        <v/>
      </c>
      <c r="L6061" s="7" t="n"/>
      <c r="M6061" s="7" t="n"/>
      <c r="N6061">
        <f>IF(D6061="", "Gap - No Legal Basis", IF(AND(D6061="Consent (GDPR Art. 6(1)(a))", I6061="Not Captured"), "Gap - Invalid Consent", IF(AND(D6061="Legitimate Interest (GDPR Art. 6(1)(f))", L6061=""), "Gap - Missing LIA", IF(AND(G6061="Yes", H6061=""), "Gap - Missing Art. 9 Basis", IF(OR(I6061="Invalid - Not Freely Given", I6061="Invalid - Not Specific", I6061="Invalid - Not Informed", I6061="Invalid - Ambiguous"), "Gap - Invalid Consent", "Compliant")))))</f>
        <v/>
      </c>
      <c r="O6061" s="7" t="n"/>
    </row>
    <row r="6062">
      <c r="A6062" s="7" t="n"/>
      <c r="B6062" s="7" t="n"/>
      <c r="C6062" s="7" t="n"/>
      <c r="D6062" s="7" t="n"/>
      <c r="E6062" s="7" t="n"/>
      <c r="F6062" s="7" t="n"/>
      <c r="G6062" s="7" t="n"/>
      <c r="H6062" s="7" t="n"/>
      <c r="I6062" s="7" t="n"/>
      <c r="J6062" s="7" t="n"/>
      <c r="K6062">
        <f>IF(D6062="Legitimate Interest (GDPR Art. 6(1)(f))", "Yes / Required (Sheet 3)", "")</f>
        <v/>
      </c>
      <c r="L6062" s="7" t="n"/>
      <c r="M6062" s="7" t="n"/>
      <c r="N6062">
        <f>IF(D6062="", "Gap - No Legal Basis", IF(AND(D6062="Consent (GDPR Art. 6(1)(a))", I6062="Not Captured"), "Gap - Invalid Consent", IF(AND(D6062="Legitimate Interest (GDPR Art. 6(1)(f))", L6062=""), "Gap - Missing LIA", IF(AND(G6062="Yes", H6062=""), "Gap - Missing Art. 9 Basis", IF(OR(I6062="Invalid - Not Freely Given", I6062="Invalid - Not Specific", I6062="Invalid - Not Informed", I6062="Invalid - Ambiguous"), "Gap - Invalid Consent", "Compliant")))))</f>
        <v/>
      </c>
      <c r="O6062" s="7" t="n"/>
    </row>
    <row r="6063">
      <c r="A6063" s="7" t="n"/>
      <c r="B6063" s="7" t="n"/>
      <c r="C6063" s="7" t="n"/>
      <c r="D6063" s="7" t="n"/>
      <c r="E6063" s="7" t="n"/>
      <c r="F6063" s="7" t="n"/>
      <c r="G6063" s="7" t="n"/>
      <c r="H6063" s="7" t="n"/>
      <c r="I6063" s="7" t="n"/>
      <c r="J6063" s="7" t="n"/>
      <c r="K6063">
        <f>IF(D6063="Legitimate Interest (GDPR Art. 6(1)(f))", "Yes / Required (Sheet 3)", "")</f>
        <v/>
      </c>
      <c r="L6063" s="7" t="n"/>
      <c r="M6063" s="7" t="n"/>
      <c r="N6063">
        <f>IF(D6063="", "Gap - No Legal Basis", IF(AND(D6063="Consent (GDPR Art. 6(1)(a))", I6063="Not Captured"), "Gap - Invalid Consent", IF(AND(D6063="Legitimate Interest (GDPR Art. 6(1)(f))", L6063=""), "Gap - Missing LIA", IF(AND(G6063="Yes", H6063=""), "Gap - Missing Art. 9 Basis", IF(OR(I6063="Invalid - Not Freely Given", I6063="Invalid - Not Specific", I6063="Invalid - Not Informed", I6063="Invalid - Ambiguous"), "Gap - Invalid Consent", "Compliant")))))</f>
        <v/>
      </c>
      <c r="O6063" s="7" t="n"/>
    </row>
    <row r="6064">
      <c r="A6064" s="7" t="n"/>
      <c r="B6064" s="7" t="n"/>
      <c r="C6064" s="7" t="n"/>
      <c r="D6064" s="7" t="n"/>
      <c r="E6064" s="7" t="n"/>
      <c r="F6064" s="7" t="n"/>
      <c r="G6064" s="7" t="n"/>
      <c r="H6064" s="7" t="n"/>
      <c r="I6064" s="7" t="n"/>
      <c r="J6064" s="7" t="n"/>
      <c r="K6064">
        <f>IF(D6064="Legitimate Interest (GDPR Art. 6(1)(f))", "Yes / Required (Sheet 3)", "")</f>
        <v/>
      </c>
      <c r="L6064" s="7" t="n"/>
      <c r="M6064" s="7" t="n"/>
      <c r="N6064">
        <f>IF(D6064="", "Gap - No Legal Basis", IF(AND(D6064="Consent (GDPR Art. 6(1)(a))", I6064="Not Captured"), "Gap - Invalid Consent", IF(AND(D6064="Legitimate Interest (GDPR Art. 6(1)(f))", L6064=""), "Gap - Missing LIA", IF(AND(G6064="Yes", H6064=""), "Gap - Missing Art. 9 Basis", IF(OR(I6064="Invalid - Not Freely Given", I6064="Invalid - Not Specific", I6064="Invalid - Not Informed", I6064="Invalid - Ambiguous"), "Gap - Invalid Consent", "Compliant")))))</f>
        <v/>
      </c>
      <c r="O6064" s="7" t="n"/>
    </row>
    <row r="6065">
      <c r="A6065" s="7" t="n"/>
      <c r="B6065" s="7" t="n"/>
      <c r="C6065" s="7" t="n"/>
      <c r="D6065" s="7" t="n"/>
      <c r="E6065" s="7" t="n"/>
      <c r="F6065" s="7" t="n"/>
      <c r="G6065" s="7" t="n"/>
      <c r="H6065" s="7" t="n"/>
      <c r="I6065" s="7" t="n"/>
      <c r="J6065" s="7" t="n"/>
      <c r="K6065">
        <f>IF(D6065="Legitimate Interest (GDPR Art. 6(1)(f))", "Yes / Required (Sheet 3)", "")</f>
        <v/>
      </c>
      <c r="L6065" s="7" t="n"/>
      <c r="M6065" s="7" t="n"/>
      <c r="N6065">
        <f>IF(D6065="", "Gap - No Legal Basis", IF(AND(D6065="Consent (GDPR Art. 6(1)(a))", I6065="Not Captured"), "Gap - Invalid Consent", IF(AND(D6065="Legitimate Interest (GDPR Art. 6(1)(f))", L6065=""), "Gap - Missing LIA", IF(AND(G6065="Yes", H6065=""), "Gap - Missing Art. 9 Basis", IF(OR(I6065="Invalid - Not Freely Given", I6065="Invalid - Not Specific", I6065="Invalid - Not Informed", I6065="Invalid - Ambiguous"), "Gap - Invalid Consent", "Compliant")))))</f>
        <v/>
      </c>
      <c r="O6065" s="7" t="n"/>
    </row>
    <row r="6066">
      <c r="A6066" s="7" t="n"/>
      <c r="B6066" s="7" t="n"/>
      <c r="C6066" s="7" t="n"/>
      <c r="D6066" s="7" t="n"/>
      <c r="E6066" s="7" t="n"/>
      <c r="F6066" s="7" t="n"/>
      <c r="G6066" s="7" t="n"/>
      <c r="H6066" s="7" t="n"/>
      <c r="I6066" s="7" t="n"/>
      <c r="J6066" s="7" t="n"/>
      <c r="K6066">
        <f>IF(D6066="Legitimate Interest (GDPR Art. 6(1)(f))", "Yes / Required (Sheet 3)", "")</f>
        <v/>
      </c>
      <c r="L6066" s="7" t="n"/>
      <c r="M6066" s="7" t="n"/>
      <c r="N6066">
        <f>IF(D6066="", "Gap - No Legal Basis", IF(AND(D6066="Consent (GDPR Art. 6(1)(a))", I6066="Not Captured"), "Gap - Invalid Consent", IF(AND(D6066="Legitimate Interest (GDPR Art. 6(1)(f))", L6066=""), "Gap - Missing LIA", IF(AND(G6066="Yes", H6066=""), "Gap - Missing Art. 9 Basis", IF(OR(I6066="Invalid - Not Freely Given", I6066="Invalid - Not Specific", I6066="Invalid - Not Informed", I6066="Invalid - Ambiguous"), "Gap - Invalid Consent", "Compliant")))))</f>
        <v/>
      </c>
      <c r="O6066" s="7" t="n"/>
    </row>
    <row r="6067">
      <c r="A6067" s="7" t="n"/>
      <c r="B6067" s="7" t="n"/>
      <c r="C6067" s="7" t="n"/>
      <c r="D6067" s="7" t="n"/>
      <c r="E6067" s="7" t="n"/>
      <c r="F6067" s="7" t="n"/>
      <c r="G6067" s="7" t="n"/>
      <c r="H6067" s="7" t="n"/>
      <c r="I6067" s="7" t="n"/>
      <c r="J6067" s="7" t="n"/>
      <c r="K6067">
        <f>IF(D6067="Legitimate Interest (GDPR Art. 6(1)(f))", "Yes / Required (Sheet 3)", "")</f>
        <v/>
      </c>
      <c r="L6067" s="7" t="n"/>
      <c r="M6067" s="7" t="n"/>
      <c r="N6067">
        <f>IF(D6067="", "Gap - No Legal Basis", IF(AND(D6067="Consent (GDPR Art. 6(1)(a))", I6067="Not Captured"), "Gap - Invalid Consent", IF(AND(D6067="Legitimate Interest (GDPR Art. 6(1)(f))", L6067=""), "Gap - Missing LIA", IF(AND(G6067="Yes", H6067=""), "Gap - Missing Art. 9 Basis", IF(OR(I6067="Invalid - Not Freely Given", I6067="Invalid - Not Specific", I6067="Invalid - Not Informed", I6067="Invalid - Ambiguous"), "Gap - Invalid Consent", "Compliant")))))</f>
        <v/>
      </c>
      <c r="O6067" s="7" t="n"/>
    </row>
    <row r="6068">
      <c r="A6068" s="7" t="n"/>
      <c r="B6068" s="7" t="n"/>
      <c r="C6068" s="7" t="n"/>
      <c r="D6068" s="7" t="n"/>
      <c r="E6068" s="7" t="n"/>
      <c r="F6068" s="7" t="n"/>
      <c r="G6068" s="7" t="n"/>
      <c r="H6068" s="7" t="n"/>
      <c r="I6068" s="7" t="n"/>
      <c r="J6068" s="7" t="n"/>
      <c r="K6068">
        <f>IF(D6068="Legitimate Interest (GDPR Art. 6(1)(f))", "Yes / Required (Sheet 3)", "")</f>
        <v/>
      </c>
      <c r="L6068" s="7" t="n"/>
      <c r="M6068" s="7" t="n"/>
      <c r="N6068">
        <f>IF(D6068="", "Gap - No Legal Basis", IF(AND(D6068="Consent (GDPR Art. 6(1)(a))", I6068="Not Captured"), "Gap - Invalid Consent", IF(AND(D6068="Legitimate Interest (GDPR Art. 6(1)(f))", L6068=""), "Gap - Missing LIA", IF(AND(G6068="Yes", H6068=""), "Gap - Missing Art. 9 Basis", IF(OR(I6068="Invalid - Not Freely Given", I6068="Invalid - Not Specific", I6068="Invalid - Not Informed", I6068="Invalid - Ambiguous"), "Gap - Invalid Consent", "Compliant")))))</f>
        <v/>
      </c>
      <c r="O6068" s="7" t="n"/>
    </row>
    <row r="6069">
      <c r="A6069" s="7" t="n"/>
      <c r="B6069" s="7" t="n"/>
      <c r="C6069" s="7" t="n"/>
      <c r="D6069" s="7" t="n"/>
      <c r="E6069" s="7" t="n"/>
      <c r="F6069" s="7" t="n"/>
      <c r="G6069" s="7" t="n"/>
      <c r="H6069" s="7" t="n"/>
      <c r="I6069" s="7" t="n"/>
      <c r="J6069" s="7" t="n"/>
      <c r="K6069">
        <f>IF(D6069="Legitimate Interest (GDPR Art. 6(1)(f))", "Yes / Required (Sheet 3)", "")</f>
        <v/>
      </c>
      <c r="L6069" s="7" t="n"/>
      <c r="M6069" s="7" t="n"/>
      <c r="N6069">
        <f>IF(D6069="", "Gap - No Legal Basis", IF(AND(D6069="Consent (GDPR Art. 6(1)(a))", I6069="Not Captured"), "Gap - Invalid Consent", IF(AND(D6069="Legitimate Interest (GDPR Art. 6(1)(f))", L6069=""), "Gap - Missing LIA", IF(AND(G6069="Yes", H6069=""), "Gap - Missing Art. 9 Basis", IF(OR(I6069="Invalid - Not Freely Given", I6069="Invalid - Not Specific", I6069="Invalid - Not Informed", I6069="Invalid - Ambiguous"), "Gap - Invalid Consent", "Compliant")))))</f>
        <v/>
      </c>
      <c r="O6069" s="7" t="n"/>
    </row>
    <row r="6070">
      <c r="A6070" s="7" t="n"/>
      <c r="B6070" s="7" t="n"/>
      <c r="C6070" s="7" t="n"/>
      <c r="D6070" s="7" t="n"/>
      <c r="E6070" s="7" t="n"/>
      <c r="F6070" s="7" t="n"/>
      <c r="G6070" s="7" t="n"/>
      <c r="H6070" s="7" t="n"/>
      <c r="I6070" s="7" t="n"/>
      <c r="J6070" s="7" t="n"/>
      <c r="K6070">
        <f>IF(D6070="Legitimate Interest (GDPR Art. 6(1)(f))", "Yes / Required (Sheet 3)", "")</f>
        <v/>
      </c>
      <c r="L6070" s="7" t="n"/>
      <c r="M6070" s="7" t="n"/>
      <c r="N6070">
        <f>IF(D6070="", "Gap - No Legal Basis", IF(AND(D6070="Consent (GDPR Art. 6(1)(a))", I6070="Not Captured"), "Gap - Invalid Consent", IF(AND(D6070="Legitimate Interest (GDPR Art. 6(1)(f))", L6070=""), "Gap - Missing LIA", IF(AND(G6070="Yes", H6070=""), "Gap - Missing Art. 9 Basis", IF(OR(I6070="Invalid - Not Freely Given", I6070="Invalid - Not Specific", I6070="Invalid - Not Informed", I6070="Invalid - Ambiguous"), "Gap - Invalid Consent", "Compliant")))))</f>
        <v/>
      </c>
      <c r="O6070" s="7" t="n"/>
    </row>
    <row r="6071">
      <c r="A6071" s="7" t="n"/>
      <c r="B6071" s="7" t="n"/>
      <c r="C6071" s="7" t="n"/>
      <c r="D6071" s="7" t="n"/>
      <c r="E6071" s="7" t="n"/>
      <c r="F6071" s="7" t="n"/>
      <c r="G6071" s="7" t="n"/>
      <c r="H6071" s="7" t="n"/>
      <c r="I6071" s="7" t="n"/>
      <c r="J6071" s="7" t="n"/>
      <c r="K6071">
        <f>IF(D6071="Legitimate Interest (GDPR Art. 6(1)(f))", "Yes / Required (Sheet 3)", "")</f>
        <v/>
      </c>
      <c r="L6071" s="7" t="n"/>
      <c r="M6071" s="7" t="n"/>
      <c r="N6071">
        <f>IF(D6071="", "Gap - No Legal Basis", IF(AND(D6071="Consent (GDPR Art. 6(1)(a))", I6071="Not Captured"), "Gap - Invalid Consent", IF(AND(D6071="Legitimate Interest (GDPR Art. 6(1)(f))", L6071=""), "Gap - Missing LIA", IF(AND(G6071="Yes", H6071=""), "Gap - Missing Art. 9 Basis", IF(OR(I6071="Invalid - Not Freely Given", I6071="Invalid - Not Specific", I6071="Invalid - Not Informed", I6071="Invalid - Ambiguous"), "Gap - Invalid Consent", "Compliant")))))</f>
        <v/>
      </c>
      <c r="O6071" s="7" t="n"/>
    </row>
    <row r="6072">
      <c r="A6072" s="7" t="n"/>
      <c r="B6072" s="7" t="n"/>
      <c r="C6072" s="7" t="n"/>
      <c r="D6072" s="7" t="n"/>
      <c r="E6072" s="7" t="n"/>
      <c r="F6072" s="7" t="n"/>
      <c r="G6072" s="7" t="n"/>
      <c r="H6072" s="7" t="n"/>
      <c r="I6072" s="7" t="n"/>
      <c r="J6072" s="7" t="n"/>
      <c r="K6072">
        <f>IF(D6072="Legitimate Interest (GDPR Art. 6(1)(f))", "Yes / Required (Sheet 3)", "")</f>
        <v/>
      </c>
      <c r="L6072" s="7" t="n"/>
      <c r="M6072" s="7" t="n"/>
      <c r="N6072">
        <f>IF(D6072="", "Gap - No Legal Basis", IF(AND(D6072="Consent (GDPR Art. 6(1)(a))", I6072="Not Captured"), "Gap - Invalid Consent", IF(AND(D6072="Legitimate Interest (GDPR Art. 6(1)(f))", L6072=""), "Gap - Missing LIA", IF(AND(G6072="Yes", H6072=""), "Gap - Missing Art. 9 Basis", IF(OR(I6072="Invalid - Not Freely Given", I6072="Invalid - Not Specific", I6072="Invalid - Not Informed", I6072="Invalid - Ambiguous"), "Gap - Invalid Consent", "Compliant")))))</f>
        <v/>
      </c>
      <c r="O6072" s="7" t="n"/>
    </row>
    <row r="6073">
      <c r="A6073" s="7" t="n"/>
      <c r="B6073" s="7" t="n"/>
      <c r="C6073" s="7" t="n"/>
      <c r="D6073" s="7" t="n"/>
      <c r="E6073" s="7" t="n"/>
      <c r="F6073" s="7" t="n"/>
      <c r="G6073" s="7" t="n"/>
      <c r="H6073" s="7" t="n"/>
      <c r="I6073" s="7" t="n"/>
      <c r="J6073" s="7" t="n"/>
      <c r="K6073">
        <f>IF(D6073="Legitimate Interest (GDPR Art. 6(1)(f))", "Yes / Required (Sheet 3)", "")</f>
        <v/>
      </c>
      <c r="L6073" s="7" t="n"/>
      <c r="M6073" s="7" t="n"/>
      <c r="N6073">
        <f>IF(D6073="", "Gap - No Legal Basis", IF(AND(D6073="Consent (GDPR Art. 6(1)(a))", I6073="Not Captured"), "Gap - Invalid Consent", IF(AND(D6073="Legitimate Interest (GDPR Art. 6(1)(f))", L6073=""), "Gap - Missing LIA", IF(AND(G6073="Yes", H6073=""), "Gap - Missing Art. 9 Basis", IF(OR(I6073="Invalid - Not Freely Given", I6073="Invalid - Not Specific", I6073="Invalid - Not Informed", I6073="Invalid - Ambiguous"), "Gap - Invalid Consent", "Compliant")))))</f>
        <v/>
      </c>
      <c r="O6073" s="7" t="n"/>
    </row>
    <row r="6074">
      <c r="A6074" s="7" t="n"/>
      <c r="B6074" s="7" t="n"/>
      <c r="C6074" s="7" t="n"/>
      <c r="D6074" s="7" t="n"/>
      <c r="E6074" s="7" t="n"/>
      <c r="F6074" s="7" t="n"/>
      <c r="G6074" s="7" t="n"/>
      <c r="H6074" s="7" t="n"/>
      <c r="I6074" s="7" t="n"/>
      <c r="J6074" s="7" t="n"/>
      <c r="K6074">
        <f>IF(D6074="Legitimate Interest (GDPR Art. 6(1)(f))", "Yes / Required (Sheet 3)", "")</f>
        <v/>
      </c>
      <c r="L6074" s="7" t="n"/>
      <c r="M6074" s="7" t="n"/>
      <c r="N6074">
        <f>IF(D6074="", "Gap - No Legal Basis", IF(AND(D6074="Consent (GDPR Art. 6(1)(a))", I6074="Not Captured"), "Gap - Invalid Consent", IF(AND(D6074="Legitimate Interest (GDPR Art. 6(1)(f))", L6074=""), "Gap - Missing LIA", IF(AND(G6074="Yes", H6074=""), "Gap - Missing Art. 9 Basis", IF(OR(I6074="Invalid - Not Freely Given", I6074="Invalid - Not Specific", I6074="Invalid - Not Informed", I6074="Invalid - Ambiguous"), "Gap - Invalid Consent", "Compliant")))))</f>
        <v/>
      </c>
      <c r="O6074" s="7" t="n"/>
    </row>
    <row r="6075">
      <c r="A6075" s="7" t="n"/>
      <c r="B6075" s="7" t="n"/>
      <c r="C6075" s="7" t="n"/>
      <c r="D6075" s="7" t="n"/>
      <c r="E6075" s="7" t="n"/>
      <c r="F6075" s="7" t="n"/>
      <c r="G6075" s="7" t="n"/>
      <c r="H6075" s="7" t="n"/>
      <c r="I6075" s="7" t="n"/>
      <c r="J6075" s="7" t="n"/>
      <c r="K6075">
        <f>IF(D6075="Legitimate Interest (GDPR Art. 6(1)(f))", "Yes / Required (Sheet 3)", "")</f>
        <v/>
      </c>
      <c r="L6075" s="7" t="n"/>
      <c r="M6075" s="7" t="n"/>
      <c r="N6075">
        <f>IF(D6075="", "Gap - No Legal Basis", IF(AND(D6075="Consent (GDPR Art. 6(1)(a))", I6075="Not Captured"), "Gap - Invalid Consent", IF(AND(D6075="Legitimate Interest (GDPR Art. 6(1)(f))", L6075=""), "Gap - Missing LIA", IF(AND(G6075="Yes", H6075=""), "Gap - Missing Art. 9 Basis", IF(OR(I6075="Invalid - Not Freely Given", I6075="Invalid - Not Specific", I6075="Invalid - Not Informed", I6075="Invalid - Ambiguous"), "Gap - Invalid Consent", "Compliant")))))</f>
        <v/>
      </c>
      <c r="O6075" s="7" t="n"/>
    </row>
    <row r="6076">
      <c r="A6076" s="7" t="n"/>
      <c r="B6076" s="7" t="n"/>
      <c r="C6076" s="7" t="n"/>
      <c r="D6076" s="7" t="n"/>
      <c r="E6076" s="7" t="n"/>
      <c r="F6076" s="7" t="n"/>
      <c r="G6076" s="7" t="n"/>
      <c r="H6076" s="7" t="n"/>
      <c r="I6076" s="7" t="n"/>
      <c r="J6076" s="7" t="n"/>
      <c r="K6076">
        <f>IF(D6076="Legitimate Interest (GDPR Art. 6(1)(f))", "Yes / Required (Sheet 3)", "")</f>
        <v/>
      </c>
      <c r="L6076" s="7" t="n"/>
      <c r="M6076" s="7" t="n"/>
      <c r="N6076">
        <f>IF(D6076="", "Gap - No Legal Basis", IF(AND(D6076="Consent (GDPR Art. 6(1)(a))", I6076="Not Captured"), "Gap - Invalid Consent", IF(AND(D6076="Legitimate Interest (GDPR Art. 6(1)(f))", L6076=""), "Gap - Missing LIA", IF(AND(G6076="Yes", H6076=""), "Gap - Missing Art. 9 Basis", IF(OR(I6076="Invalid - Not Freely Given", I6076="Invalid - Not Specific", I6076="Invalid - Not Informed", I6076="Invalid - Ambiguous"), "Gap - Invalid Consent", "Compliant")))))</f>
        <v/>
      </c>
      <c r="O6076" s="7" t="n"/>
    </row>
    <row r="6077">
      <c r="A6077" s="7" t="n"/>
      <c r="B6077" s="7" t="n"/>
      <c r="C6077" s="7" t="n"/>
      <c r="D6077" s="7" t="n"/>
      <c r="E6077" s="7" t="n"/>
      <c r="F6077" s="7" t="n"/>
      <c r="G6077" s="7" t="n"/>
      <c r="H6077" s="7" t="n"/>
      <c r="I6077" s="7" t="n"/>
      <c r="J6077" s="7" t="n"/>
      <c r="K6077">
        <f>IF(D6077="Legitimate Interest (GDPR Art. 6(1)(f))", "Yes / Required (Sheet 3)", "")</f>
        <v/>
      </c>
      <c r="L6077" s="7" t="n"/>
      <c r="M6077" s="7" t="n"/>
      <c r="N6077">
        <f>IF(D6077="", "Gap - No Legal Basis", IF(AND(D6077="Consent (GDPR Art. 6(1)(a))", I6077="Not Captured"), "Gap - Invalid Consent", IF(AND(D6077="Legitimate Interest (GDPR Art. 6(1)(f))", L6077=""), "Gap - Missing LIA", IF(AND(G6077="Yes", H6077=""), "Gap - Missing Art. 9 Basis", IF(OR(I6077="Invalid - Not Freely Given", I6077="Invalid - Not Specific", I6077="Invalid - Not Informed", I6077="Invalid - Ambiguous"), "Gap - Invalid Consent", "Compliant")))))</f>
        <v/>
      </c>
      <c r="O6077" s="7" t="n"/>
    </row>
    <row r="6078">
      <c r="A6078" s="7" t="n"/>
      <c r="B6078" s="7" t="n"/>
      <c r="C6078" s="7" t="n"/>
      <c r="D6078" s="7" t="n"/>
      <c r="E6078" s="7" t="n"/>
      <c r="F6078" s="7" t="n"/>
      <c r="G6078" s="7" t="n"/>
      <c r="H6078" s="7" t="n"/>
      <c r="I6078" s="7" t="n"/>
      <c r="J6078" s="7" t="n"/>
      <c r="K6078">
        <f>IF(D6078="Legitimate Interest (GDPR Art. 6(1)(f))", "Yes / Required (Sheet 3)", "")</f>
        <v/>
      </c>
      <c r="L6078" s="7" t="n"/>
      <c r="M6078" s="7" t="n"/>
      <c r="N6078">
        <f>IF(D6078="", "Gap - No Legal Basis", IF(AND(D6078="Consent (GDPR Art. 6(1)(a))", I6078="Not Captured"), "Gap - Invalid Consent", IF(AND(D6078="Legitimate Interest (GDPR Art. 6(1)(f))", L6078=""), "Gap - Missing LIA", IF(AND(G6078="Yes", H6078=""), "Gap - Missing Art. 9 Basis", IF(OR(I6078="Invalid - Not Freely Given", I6078="Invalid - Not Specific", I6078="Invalid - Not Informed", I6078="Invalid - Ambiguous"), "Gap - Invalid Consent", "Compliant")))))</f>
        <v/>
      </c>
      <c r="O6078" s="7" t="n"/>
    </row>
    <row r="6079">
      <c r="A6079" s="7" t="n"/>
      <c r="B6079" s="7" t="n"/>
      <c r="C6079" s="7" t="n"/>
      <c r="D6079" s="7" t="n"/>
      <c r="E6079" s="7" t="n"/>
      <c r="F6079" s="7" t="n"/>
      <c r="G6079" s="7" t="n"/>
      <c r="H6079" s="7" t="n"/>
      <c r="I6079" s="7" t="n"/>
      <c r="J6079" s="7" t="n"/>
      <c r="K6079">
        <f>IF(D6079="Legitimate Interest (GDPR Art. 6(1)(f))", "Yes / Required (Sheet 3)", "")</f>
        <v/>
      </c>
      <c r="L6079" s="7" t="n"/>
      <c r="M6079" s="7" t="n"/>
      <c r="N6079">
        <f>IF(D6079="", "Gap - No Legal Basis", IF(AND(D6079="Consent (GDPR Art. 6(1)(a))", I6079="Not Captured"), "Gap - Invalid Consent", IF(AND(D6079="Legitimate Interest (GDPR Art. 6(1)(f))", L6079=""), "Gap - Missing LIA", IF(AND(G6079="Yes", H6079=""), "Gap - Missing Art. 9 Basis", IF(OR(I6079="Invalid - Not Freely Given", I6079="Invalid - Not Specific", I6079="Invalid - Not Informed", I6079="Invalid - Ambiguous"), "Gap - Invalid Consent", "Compliant")))))</f>
        <v/>
      </c>
      <c r="O6079" s="7" t="n"/>
    </row>
    <row r="6080">
      <c r="A6080" s="7" t="n"/>
      <c r="B6080" s="7" t="n"/>
      <c r="C6080" s="7" t="n"/>
      <c r="D6080" s="7" t="n"/>
      <c r="E6080" s="7" t="n"/>
      <c r="F6080" s="7" t="n"/>
      <c r="G6080" s="7" t="n"/>
      <c r="H6080" s="7" t="n"/>
      <c r="I6080" s="7" t="n"/>
      <c r="J6080" s="7" t="n"/>
      <c r="K6080">
        <f>IF(D6080="Legitimate Interest (GDPR Art. 6(1)(f))", "Yes / Required (Sheet 3)", "")</f>
        <v/>
      </c>
      <c r="L6080" s="7" t="n"/>
      <c r="M6080" s="7" t="n"/>
      <c r="N6080">
        <f>IF(D6080="", "Gap - No Legal Basis", IF(AND(D6080="Consent (GDPR Art. 6(1)(a))", I6080="Not Captured"), "Gap - Invalid Consent", IF(AND(D6080="Legitimate Interest (GDPR Art. 6(1)(f))", L6080=""), "Gap - Missing LIA", IF(AND(G6080="Yes", H6080=""), "Gap - Missing Art. 9 Basis", IF(OR(I6080="Invalid - Not Freely Given", I6080="Invalid - Not Specific", I6080="Invalid - Not Informed", I6080="Invalid - Ambiguous"), "Gap - Invalid Consent", "Compliant")))))</f>
        <v/>
      </c>
      <c r="O6080" s="7" t="n"/>
    </row>
    <row r="6081">
      <c r="A6081" s="7" t="n"/>
      <c r="B6081" s="7" t="n"/>
      <c r="C6081" s="7" t="n"/>
      <c r="D6081" s="7" t="n"/>
      <c r="E6081" s="7" t="n"/>
      <c r="F6081" s="7" t="n"/>
      <c r="G6081" s="7" t="n"/>
      <c r="H6081" s="7" t="n"/>
      <c r="I6081" s="7" t="n"/>
      <c r="J6081" s="7" t="n"/>
      <c r="K6081">
        <f>IF(D6081="Legitimate Interest (GDPR Art. 6(1)(f))", "Yes / Required (Sheet 3)", "")</f>
        <v/>
      </c>
      <c r="L6081" s="7" t="n"/>
      <c r="M6081" s="7" t="n"/>
      <c r="N6081">
        <f>IF(D6081="", "Gap - No Legal Basis", IF(AND(D6081="Consent (GDPR Art. 6(1)(a))", I6081="Not Captured"), "Gap - Invalid Consent", IF(AND(D6081="Legitimate Interest (GDPR Art. 6(1)(f))", L6081=""), "Gap - Missing LIA", IF(AND(G6081="Yes", H6081=""), "Gap - Missing Art. 9 Basis", IF(OR(I6081="Invalid - Not Freely Given", I6081="Invalid - Not Specific", I6081="Invalid - Not Informed", I6081="Invalid - Ambiguous"), "Gap - Invalid Consent", "Compliant")))))</f>
        <v/>
      </c>
      <c r="O6081" s="7" t="n"/>
    </row>
    <row r="6082">
      <c r="A6082" s="7" t="n"/>
      <c r="B6082" s="7" t="n"/>
      <c r="C6082" s="7" t="n"/>
      <c r="D6082" s="7" t="n"/>
      <c r="E6082" s="7" t="n"/>
      <c r="F6082" s="7" t="n"/>
      <c r="G6082" s="7" t="n"/>
      <c r="H6082" s="7" t="n"/>
      <c r="I6082" s="7" t="n"/>
      <c r="J6082" s="7" t="n"/>
      <c r="K6082">
        <f>IF(D6082="Legitimate Interest (GDPR Art. 6(1)(f))", "Yes / Required (Sheet 3)", "")</f>
        <v/>
      </c>
      <c r="L6082" s="7" t="n"/>
      <c r="M6082" s="7" t="n"/>
      <c r="N6082">
        <f>IF(D6082="", "Gap - No Legal Basis", IF(AND(D6082="Consent (GDPR Art. 6(1)(a))", I6082="Not Captured"), "Gap - Invalid Consent", IF(AND(D6082="Legitimate Interest (GDPR Art. 6(1)(f))", L6082=""), "Gap - Missing LIA", IF(AND(G6082="Yes", H6082=""), "Gap - Missing Art. 9 Basis", IF(OR(I6082="Invalid - Not Freely Given", I6082="Invalid - Not Specific", I6082="Invalid - Not Informed", I6082="Invalid - Ambiguous"), "Gap - Invalid Consent", "Compliant")))))</f>
        <v/>
      </c>
      <c r="O6082" s="7" t="n"/>
    </row>
    <row r="6083">
      <c r="A6083" s="7" t="n"/>
      <c r="B6083" s="7" t="n"/>
      <c r="C6083" s="7" t="n"/>
      <c r="D6083" s="7" t="n"/>
      <c r="E6083" s="7" t="n"/>
      <c r="F6083" s="7" t="n"/>
      <c r="G6083" s="7" t="n"/>
      <c r="H6083" s="7" t="n"/>
      <c r="I6083" s="7" t="n"/>
      <c r="J6083" s="7" t="n"/>
      <c r="K6083">
        <f>IF(D6083="Legitimate Interest (GDPR Art. 6(1)(f))", "Yes / Required (Sheet 3)", "")</f>
        <v/>
      </c>
      <c r="L6083" s="7" t="n"/>
      <c r="M6083" s="7" t="n"/>
      <c r="N6083">
        <f>IF(D6083="", "Gap - No Legal Basis", IF(AND(D6083="Consent (GDPR Art. 6(1)(a))", I6083="Not Captured"), "Gap - Invalid Consent", IF(AND(D6083="Legitimate Interest (GDPR Art. 6(1)(f))", L6083=""), "Gap - Missing LIA", IF(AND(G6083="Yes", H6083=""), "Gap - Missing Art. 9 Basis", IF(OR(I6083="Invalid - Not Freely Given", I6083="Invalid - Not Specific", I6083="Invalid - Not Informed", I6083="Invalid - Ambiguous"), "Gap - Invalid Consent", "Compliant")))))</f>
        <v/>
      </c>
      <c r="O6083" s="7" t="n"/>
    </row>
    <row r="6084">
      <c r="A6084" s="7" t="n"/>
      <c r="B6084" s="7" t="n"/>
      <c r="C6084" s="7" t="n"/>
      <c r="D6084" s="7" t="n"/>
      <c r="E6084" s="7" t="n"/>
      <c r="F6084" s="7" t="n"/>
      <c r="G6084" s="7" t="n"/>
      <c r="H6084" s="7" t="n"/>
      <c r="I6084" s="7" t="n"/>
      <c r="J6084" s="7" t="n"/>
      <c r="K6084">
        <f>IF(D6084="Legitimate Interest (GDPR Art. 6(1)(f))", "Yes / Required (Sheet 3)", "")</f>
        <v/>
      </c>
      <c r="L6084" s="7" t="n"/>
      <c r="M6084" s="7" t="n"/>
      <c r="N6084">
        <f>IF(D6084="", "Gap - No Legal Basis", IF(AND(D6084="Consent (GDPR Art. 6(1)(a))", I6084="Not Captured"), "Gap - Invalid Consent", IF(AND(D6084="Legitimate Interest (GDPR Art. 6(1)(f))", L6084=""), "Gap - Missing LIA", IF(AND(G6084="Yes", H6084=""), "Gap - Missing Art. 9 Basis", IF(OR(I6084="Invalid - Not Freely Given", I6084="Invalid - Not Specific", I6084="Invalid - Not Informed", I6084="Invalid - Ambiguous"), "Gap - Invalid Consent", "Compliant")))))</f>
        <v/>
      </c>
      <c r="O6084" s="7" t="n"/>
    </row>
    <row r="6085">
      <c r="A6085" s="7" t="n"/>
      <c r="B6085" s="7" t="n"/>
      <c r="C6085" s="7" t="n"/>
      <c r="D6085" s="7" t="n"/>
      <c r="E6085" s="7" t="n"/>
      <c r="F6085" s="7" t="n"/>
      <c r="G6085" s="7" t="n"/>
      <c r="H6085" s="7" t="n"/>
      <c r="I6085" s="7" t="n"/>
      <c r="J6085" s="7" t="n"/>
      <c r="K6085">
        <f>IF(D6085="Legitimate Interest (GDPR Art. 6(1)(f))", "Yes / Required (Sheet 3)", "")</f>
        <v/>
      </c>
      <c r="L6085" s="7" t="n"/>
      <c r="M6085" s="7" t="n"/>
      <c r="N6085">
        <f>IF(D6085="", "Gap - No Legal Basis", IF(AND(D6085="Consent (GDPR Art. 6(1)(a))", I6085="Not Captured"), "Gap - Invalid Consent", IF(AND(D6085="Legitimate Interest (GDPR Art. 6(1)(f))", L6085=""), "Gap - Missing LIA", IF(AND(G6085="Yes", H6085=""), "Gap - Missing Art. 9 Basis", IF(OR(I6085="Invalid - Not Freely Given", I6085="Invalid - Not Specific", I6085="Invalid - Not Informed", I6085="Invalid - Ambiguous"), "Gap - Invalid Consent", "Compliant")))))</f>
        <v/>
      </c>
      <c r="O6085" s="7" t="n"/>
    </row>
    <row r="6086">
      <c r="A6086" s="7" t="n"/>
      <c r="B6086" s="7" t="n"/>
      <c r="C6086" s="7" t="n"/>
      <c r="D6086" s="7" t="n"/>
      <c r="E6086" s="7" t="n"/>
      <c r="F6086" s="7" t="n"/>
      <c r="G6086" s="7" t="n"/>
      <c r="H6086" s="7" t="n"/>
      <c r="I6086" s="7" t="n"/>
      <c r="J6086" s="7" t="n"/>
      <c r="K6086">
        <f>IF(D6086="Legitimate Interest (GDPR Art. 6(1)(f))", "Yes / Required (Sheet 3)", "")</f>
        <v/>
      </c>
      <c r="L6086" s="7" t="n"/>
      <c r="M6086" s="7" t="n"/>
      <c r="N6086">
        <f>IF(D6086="", "Gap - No Legal Basis", IF(AND(D6086="Consent (GDPR Art. 6(1)(a))", I6086="Not Captured"), "Gap - Invalid Consent", IF(AND(D6086="Legitimate Interest (GDPR Art. 6(1)(f))", L6086=""), "Gap - Missing LIA", IF(AND(G6086="Yes", H6086=""), "Gap - Missing Art. 9 Basis", IF(OR(I6086="Invalid - Not Freely Given", I6086="Invalid - Not Specific", I6086="Invalid - Not Informed", I6086="Invalid - Ambiguous"), "Gap - Invalid Consent", "Compliant")))))</f>
        <v/>
      </c>
      <c r="O6086" s="7" t="n"/>
    </row>
    <row r="6087">
      <c r="A6087" s="7" t="n"/>
      <c r="B6087" s="7" t="n"/>
      <c r="C6087" s="7" t="n"/>
      <c r="D6087" s="7" t="n"/>
      <c r="E6087" s="7" t="n"/>
      <c r="F6087" s="7" t="n"/>
      <c r="G6087" s="7" t="n"/>
      <c r="H6087" s="7" t="n"/>
      <c r="I6087" s="7" t="n"/>
      <c r="J6087" s="7" t="n"/>
      <c r="K6087">
        <f>IF(D6087="Legitimate Interest (GDPR Art. 6(1)(f))", "Yes / Required (Sheet 3)", "")</f>
        <v/>
      </c>
      <c r="L6087" s="7" t="n"/>
      <c r="M6087" s="7" t="n"/>
      <c r="N6087">
        <f>IF(D6087="", "Gap - No Legal Basis", IF(AND(D6087="Consent (GDPR Art. 6(1)(a))", I6087="Not Captured"), "Gap - Invalid Consent", IF(AND(D6087="Legitimate Interest (GDPR Art. 6(1)(f))", L6087=""), "Gap - Missing LIA", IF(AND(G6087="Yes", H6087=""), "Gap - Missing Art. 9 Basis", IF(OR(I6087="Invalid - Not Freely Given", I6087="Invalid - Not Specific", I6087="Invalid - Not Informed", I6087="Invalid - Ambiguous"), "Gap - Invalid Consent", "Compliant")))))</f>
        <v/>
      </c>
      <c r="O6087" s="7" t="n"/>
    </row>
    <row r="6088">
      <c r="A6088" s="7" t="n"/>
      <c r="B6088" s="7" t="n"/>
      <c r="C6088" s="7" t="n"/>
      <c r="D6088" s="7" t="n"/>
      <c r="E6088" s="7" t="n"/>
      <c r="F6088" s="7" t="n"/>
      <c r="G6088" s="7" t="n"/>
      <c r="H6088" s="7" t="n"/>
      <c r="I6088" s="7" t="n"/>
      <c r="J6088" s="7" t="n"/>
      <c r="K6088">
        <f>IF(D6088="Legitimate Interest (GDPR Art. 6(1)(f))", "Yes / Required (Sheet 3)", "")</f>
        <v/>
      </c>
      <c r="L6088" s="7" t="n"/>
      <c r="M6088" s="7" t="n"/>
      <c r="N6088">
        <f>IF(D6088="", "Gap - No Legal Basis", IF(AND(D6088="Consent (GDPR Art. 6(1)(a))", I6088="Not Captured"), "Gap - Invalid Consent", IF(AND(D6088="Legitimate Interest (GDPR Art. 6(1)(f))", L6088=""), "Gap - Missing LIA", IF(AND(G6088="Yes", H6088=""), "Gap - Missing Art. 9 Basis", IF(OR(I6088="Invalid - Not Freely Given", I6088="Invalid - Not Specific", I6088="Invalid - Not Informed", I6088="Invalid - Ambiguous"), "Gap - Invalid Consent", "Compliant")))))</f>
        <v/>
      </c>
      <c r="O6088" s="7" t="n"/>
    </row>
    <row r="6089">
      <c r="A6089" s="7" t="n"/>
      <c r="B6089" s="7" t="n"/>
      <c r="C6089" s="7" t="n"/>
      <c r="D6089" s="7" t="n"/>
      <c r="E6089" s="7" t="n"/>
      <c r="F6089" s="7" t="n"/>
      <c r="G6089" s="7" t="n"/>
      <c r="H6089" s="7" t="n"/>
      <c r="I6089" s="7" t="n"/>
      <c r="J6089" s="7" t="n"/>
      <c r="K6089">
        <f>IF(D6089="Legitimate Interest (GDPR Art. 6(1)(f))", "Yes / Required (Sheet 3)", "")</f>
        <v/>
      </c>
      <c r="L6089" s="7" t="n"/>
      <c r="M6089" s="7" t="n"/>
      <c r="N6089">
        <f>IF(D6089="", "Gap - No Legal Basis", IF(AND(D6089="Consent (GDPR Art. 6(1)(a))", I6089="Not Captured"), "Gap - Invalid Consent", IF(AND(D6089="Legitimate Interest (GDPR Art. 6(1)(f))", L6089=""), "Gap - Missing LIA", IF(AND(G6089="Yes", H6089=""), "Gap - Missing Art. 9 Basis", IF(OR(I6089="Invalid - Not Freely Given", I6089="Invalid - Not Specific", I6089="Invalid - Not Informed", I6089="Invalid - Ambiguous"), "Gap - Invalid Consent", "Compliant")))))</f>
        <v/>
      </c>
      <c r="O6089" s="7" t="n"/>
    </row>
    <row r="6090">
      <c r="A6090" s="7" t="n"/>
      <c r="B6090" s="7" t="n"/>
      <c r="C6090" s="7" t="n"/>
      <c r="D6090" s="7" t="n"/>
      <c r="E6090" s="7" t="n"/>
      <c r="F6090" s="7" t="n"/>
      <c r="G6090" s="7" t="n"/>
      <c r="H6090" s="7" t="n"/>
      <c r="I6090" s="7" t="n"/>
      <c r="J6090" s="7" t="n"/>
      <c r="K6090">
        <f>IF(D6090="Legitimate Interest (GDPR Art. 6(1)(f))", "Yes / Required (Sheet 3)", "")</f>
        <v/>
      </c>
      <c r="L6090" s="7" t="n"/>
      <c r="M6090" s="7" t="n"/>
      <c r="N6090">
        <f>IF(D6090="", "Gap - No Legal Basis", IF(AND(D6090="Consent (GDPR Art. 6(1)(a))", I6090="Not Captured"), "Gap - Invalid Consent", IF(AND(D6090="Legitimate Interest (GDPR Art. 6(1)(f))", L6090=""), "Gap - Missing LIA", IF(AND(G6090="Yes", H6090=""), "Gap - Missing Art. 9 Basis", IF(OR(I6090="Invalid - Not Freely Given", I6090="Invalid - Not Specific", I6090="Invalid - Not Informed", I6090="Invalid - Ambiguous"), "Gap - Invalid Consent", "Compliant")))))</f>
        <v/>
      </c>
      <c r="O6090" s="7" t="n"/>
    </row>
    <row r="6091">
      <c r="A6091" s="7" t="n"/>
      <c r="B6091" s="7" t="n"/>
      <c r="C6091" s="7" t="n"/>
      <c r="D6091" s="7" t="n"/>
      <c r="E6091" s="7" t="n"/>
      <c r="F6091" s="7" t="n"/>
      <c r="G6091" s="7" t="n"/>
      <c r="H6091" s="7" t="n"/>
      <c r="I6091" s="7" t="n"/>
      <c r="J6091" s="7" t="n"/>
      <c r="K6091">
        <f>IF(D6091="Legitimate Interest (GDPR Art. 6(1)(f))", "Yes / Required (Sheet 3)", "")</f>
        <v/>
      </c>
      <c r="L6091" s="7" t="n"/>
      <c r="M6091" s="7" t="n"/>
      <c r="N6091">
        <f>IF(D6091="", "Gap - No Legal Basis", IF(AND(D6091="Consent (GDPR Art. 6(1)(a))", I6091="Not Captured"), "Gap - Invalid Consent", IF(AND(D6091="Legitimate Interest (GDPR Art. 6(1)(f))", L6091=""), "Gap - Missing LIA", IF(AND(G6091="Yes", H6091=""), "Gap - Missing Art. 9 Basis", IF(OR(I6091="Invalid - Not Freely Given", I6091="Invalid - Not Specific", I6091="Invalid - Not Informed", I6091="Invalid - Ambiguous"), "Gap - Invalid Consent", "Compliant")))))</f>
        <v/>
      </c>
      <c r="O6091" s="7" t="n"/>
    </row>
    <row r="6092">
      <c r="A6092" s="7" t="n"/>
      <c r="B6092" s="7" t="n"/>
      <c r="C6092" s="7" t="n"/>
      <c r="D6092" s="7" t="n"/>
      <c r="E6092" s="7" t="n"/>
      <c r="F6092" s="7" t="n"/>
      <c r="G6092" s="7" t="n"/>
      <c r="H6092" s="7" t="n"/>
      <c r="I6092" s="7" t="n"/>
      <c r="J6092" s="7" t="n"/>
      <c r="K6092">
        <f>IF(D6092="Legitimate Interest (GDPR Art. 6(1)(f))", "Yes / Required (Sheet 3)", "")</f>
        <v/>
      </c>
      <c r="L6092" s="7" t="n"/>
      <c r="M6092" s="7" t="n"/>
      <c r="N6092">
        <f>IF(D6092="", "Gap - No Legal Basis", IF(AND(D6092="Consent (GDPR Art. 6(1)(a))", I6092="Not Captured"), "Gap - Invalid Consent", IF(AND(D6092="Legitimate Interest (GDPR Art. 6(1)(f))", L6092=""), "Gap - Missing LIA", IF(AND(G6092="Yes", H6092=""), "Gap - Missing Art. 9 Basis", IF(OR(I6092="Invalid - Not Freely Given", I6092="Invalid - Not Specific", I6092="Invalid - Not Informed", I6092="Invalid - Ambiguous"), "Gap - Invalid Consent", "Compliant")))))</f>
        <v/>
      </c>
      <c r="O6092" s="7" t="n"/>
    </row>
    <row r="6093">
      <c r="A6093" s="7" t="n"/>
      <c r="B6093" s="7" t="n"/>
      <c r="C6093" s="7" t="n"/>
      <c r="D6093" s="7" t="n"/>
      <c r="E6093" s="7" t="n"/>
      <c r="F6093" s="7" t="n"/>
      <c r="G6093" s="7" t="n"/>
      <c r="H6093" s="7" t="n"/>
      <c r="I6093" s="7" t="n"/>
      <c r="J6093" s="7" t="n"/>
      <c r="K6093">
        <f>IF(D6093="Legitimate Interest (GDPR Art. 6(1)(f))", "Yes / Required (Sheet 3)", "")</f>
        <v/>
      </c>
      <c r="L6093" s="7" t="n"/>
      <c r="M6093" s="7" t="n"/>
      <c r="N6093">
        <f>IF(D6093="", "Gap - No Legal Basis", IF(AND(D6093="Consent (GDPR Art. 6(1)(a))", I6093="Not Captured"), "Gap - Invalid Consent", IF(AND(D6093="Legitimate Interest (GDPR Art. 6(1)(f))", L6093=""), "Gap - Missing LIA", IF(AND(G6093="Yes", H6093=""), "Gap - Missing Art. 9 Basis", IF(OR(I6093="Invalid - Not Freely Given", I6093="Invalid - Not Specific", I6093="Invalid - Not Informed", I6093="Invalid - Ambiguous"), "Gap - Invalid Consent", "Compliant")))))</f>
        <v/>
      </c>
      <c r="O6093" s="7" t="n"/>
    </row>
    <row r="6094">
      <c r="A6094" s="7" t="n"/>
      <c r="B6094" s="7" t="n"/>
      <c r="C6094" s="7" t="n"/>
      <c r="D6094" s="7" t="n"/>
      <c r="E6094" s="7" t="n"/>
      <c r="F6094" s="7" t="n"/>
      <c r="G6094" s="7" t="n"/>
      <c r="H6094" s="7" t="n"/>
      <c r="I6094" s="7" t="n"/>
      <c r="J6094" s="7" t="n"/>
      <c r="K6094">
        <f>IF(D6094="Legitimate Interest (GDPR Art. 6(1)(f))", "Yes / Required (Sheet 3)", "")</f>
        <v/>
      </c>
      <c r="L6094" s="7" t="n"/>
      <c r="M6094" s="7" t="n"/>
      <c r="N6094">
        <f>IF(D6094="", "Gap - No Legal Basis", IF(AND(D6094="Consent (GDPR Art. 6(1)(a))", I6094="Not Captured"), "Gap - Invalid Consent", IF(AND(D6094="Legitimate Interest (GDPR Art. 6(1)(f))", L6094=""), "Gap - Missing LIA", IF(AND(G6094="Yes", H6094=""), "Gap - Missing Art. 9 Basis", IF(OR(I6094="Invalid - Not Freely Given", I6094="Invalid - Not Specific", I6094="Invalid - Not Informed", I6094="Invalid - Ambiguous"), "Gap - Invalid Consent", "Compliant")))))</f>
        <v/>
      </c>
      <c r="O6094" s="7" t="n"/>
    </row>
    <row r="6095">
      <c r="A6095" s="7" t="n"/>
      <c r="B6095" s="7" t="n"/>
      <c r="C6095" s="7" t="n"/>
      <c r="D6095" s="7" t="n"/>
      <c r="E6095" s="7" t="n"/>
      <c r="F6095" s="7" t="n"/>
      <c r="G6095" s="7" t="n"/>
      <c r="H6095" s="7" t="n"/>
      <c r="I6095" s="7" t="n"/>
      <c r="J6095" s="7" t="n"/>
      <c r="K6095">
        <f>IF(D6095="Legitimate Interest (GDPR Art. 6(1)(f))", "Yes / Required (Sheet 3)", "")</f>
        <v/>
      </c>
      <c r="L6095" s="7" t="n"/>
      <c r="M6095" s="7" t="n"/>
      <c r="N6095">
        <f>IF(D6095="", "Gap - No Legal Basis", IF(AND(D6095="Consent (GDPR Art. 6(1)(a))", I6095="Not Captured"), "Gap - Invalid Consent", IF(AND(D6095="Legitimate Interest (GDPR Art. 6(1)(f))", L6095=""), "Gap - Missing LIA", IF(AND(G6095="Yes", H6095=""), "Gap - Missing Art. 9 Basis", IF(OR(I6095="Invalid - Not Freely Given", I6095="Invalid - Not Specific", I6095="Invalid - Not Informed", I6095="Invalid - Ambiguous"), "Gap - Invalid Consent", "Compliant")))))</f>
        <v/>
      </c>
      <c r="O6095" s="7" t="n"/>
    </row>
    <row r="6096">
      <c r="A6096" s="7" t="n"/>
      <c r="B6096" s="7" t="n"/>
      <c r="C6096" s="7" t="n"/>
      <c r="D6096" s="7" t="n"/>
      <c r="E6096" s="7" t="n"/>
      <c r="F6096" s="7" t="n"/>
      <c r="G6096" s="7" t="n"/>
      <c r="H6096" s="7" t="n"/>
      <c r="I6096" s="7" t="n"/>
      <c r="J6096" s="7" t="n"/>
      <c r="K6096">
        <f>IF(D6096="Legitimate Interest (GDPR Art. 6(1)(f))", "Yes / Required (Sheet 3)", "")</f>
        <v/>
      </c>
      <c r="L6096" s="7" t="n"/>
      <c r="M6096" s="7" t="n"/>
      <c r="N6096">
        <f>IF(D6096="", "Gap - No Legal Basis", IF(AND(D6096="Consent (GDPR Art. 6(1)(a))", I6096="Not Captured"), "Gap - Invalid Consent", IF(AND(D6096="Legitimate Interest (GDPR Art. 6(1)(f))", L6096=""), "Gap - Missing LIA", IF(AND(G6096="Yes", H6096=""), "Gap - Missing Art. 9 Basis", IF(OR(I6096="Invalid - Not Freely Given", I6096="Invalid - Not Specific", I6096="Invalid - Not Informed", I6096="Invalid - Ambiguous"), "Gap - Invalid Consent", "Compliant")))))</f>
        <v/>
      </c>
      <c r="O6096" s="7" t="n"/>
    </row>
    <row r="6097">
      <c r="A6097" s="7" t="n"/>
      <c r="B6097" s="7" t="n"/>
      <c r="C6097" s="7" t="n"/>
      <c r="D6097" s="7" t="n"/>
      <c r="E6097" s="7" t="n"/>
      <c r="F6097" s="7" t="n"/>
      <c r="G6097" s="7" t="n"/>
      <c r="H6097" s="7" t="n"/>
      <c r="I6097" s="7" t="n"/>
      <c r="J6097" s="7" t="n"/>
      <c r="K6097">
        <f>IF(D6097="Legitimate Interest (GDPR Art. 6(1)(f))", "Yes / Required (Sheet 3)", "")</f>
        <v/>
      </c>
      <c r="L6097" s="7" t="n"/>
      <c r="M6097" s="7" t="n"/>
      <c r="N6097">
        <f>IF(D6097="", "Gap - No Legal Basis", IF(AND(D6097="Consent (GDPR Art. 6(1)(a))", I6097="Not Captured"), "Gap - Invalid Consent", IF(AND(D6097="Legitimate Interest (GDPR Art. 6(1)(f))", L6097=""), "Gap - Missing LIA", IF(AND(G6097="Yes", H6097=""), "Gap - Missing Art. 9 Basis", IF(OR(I6097="Invalid - Not Freely Given", I6097="Invalid - Not Specific", I6097="Invalid - Not Informed", I6097="Invalid - Ambiguous"), "Gap - Invalid Consent", "Compliant")))))</f>
        <v/>
      </c>
      <c r="O6097" s="7" t="n"/>
    </row>
    <row r="6098">
      <c r="A6098" s="7" t="n"/>
      <c r="B6098" s="7" t="n"/>
      <c r="C6098" s="7" t="n"/>
      <c r="D6098" s="7" t="n"/>
      <c r="E6098" s="7" t="n"/>
      <c r="F6098" s="7" t="n"/>
      <c r="G6098" s="7" t="n"/>
      <c r="H6098" s="7" t="n"/>
      <c r="I6098" s="7" t="n"/>
      <c r="J6098" s="7" t="n"/>
      <c r="K6098">
        <f>IF(D6098="Legitimate Interest (GDPR Art. 6(1)(f))", "Yes / Required (Sheet 3)", "")</f>
        <v/>
      </c>
      <c r="L6098" s="7" t="n"/>
      <c r="M6098" s="7" t="n"/>
      <c r="N6098">
        <f>IF(D6098="", "Gap - No Legal Basis", IF(AND(D6098="Consent (GDPR Art. 6(1)(a))", I6098="Not Captured"), "Gap - Invalid Consent", IF(AND(D6098="Legitimate Interest (GDPR Art. 6(1)(f))", L6098=""), "Gap - Missing LIA", IF(AND(G6098="Yes", H6098=""), "Gap - Missing Art. 9 Basis", IF(OR(I6098="Invalid - Not Freely Given", I6098="Invalid - Not Specific", I6098="Invalid - Not Informed", I6098="Invalid - Ambiguous"), "Gap - Invalid Consent", "Compliant")))))</f>
        <v/>
      </c>
      <c r="O6098" s="7" t="n"/>
    </row>
    <row r="6099">
      <c r="A6099" s="7" t="n"/>
      <c r="B6099" s="7" t="n"/>
      <c r="C6099" s="7" t="n"/>
      <c r="D6099" s="7" t="n"/>
      <c r="E6099" s="7" t="n"/>
      <c r="F6099" s="7" t="n"/>
      <c r="G6099" s="7" t="n"/>
      <c r="H6099" s="7" t="n"/>
      <c r="I6099" s="7" t="n"/>
      <c r="J6099" s="7" t="n"/>
      <c r="K6099">
        <f>IF(D6099="Legitimate Interest (GDPR Art. 6(1)(f))", "Yes / Required (Sheet 3)", "")</f>
        <v/>
      </c>
      <c r="L6099" s="7" t="n"/>
      <c r="M6099" s="7" t="n"/>
      <c r="N6099">
        <f>IF(D6099="", "Gap - No Legal Basis", IF(AND(D6099="Consent (GDPR Art. 6(1)(a))", I6099="Not Captured"), "Gap - Invalid Consent", IF(AND(D6099="Legitimate Interest (GDPR Art. 6(1)(f))", L6099=""), "Gap - Missing LIA", IF(AND(G6099="Yes", H6099=""), "Gap - Missing Art. 9 Basis", IF(OR(I6099="Invalid - Not Freely Given", I6099="Invalid - Not Specific", I6099="Invalid - Not Informed", I6099="Invalid - Ambiguous"), "Gap - Invalid Consent", "Compliant")))))</f>
        <v/>
      </c>
      <c r="O6099" s="7" t="n"/>
    </row>
    <row r="6100">
      <c r="A6100" s="7" t="n"/>
      <c r="B6100" s="7" t="n"/>
      <c r="C6100" s="7" t="n"/>
      <c r="D6100" s="7" t="n"/>
      <c r="E6100" s="7" t="n"/>
      <c r="F6100" s="7" t="n"/>
      <c r="G6100" s="7" t="n"/>
      <c r="H6100" s="7" t="n"/>
      <c r="I6100" s="7" t="n"/>
      <c r="J6100" s="7" t="n"/>
      <c r="K6100">
        <f>IF(D6100="Legitimate Interest (GDPR Art. 6(1)(f))", "Yes / Required (Sheet 3)", "")</f>
        <v/>
      </c>
      <c r="L6100" s="7" t="n"/>
      <c r="M6100" s="7" t="n"/>
      <c r="N6100">
        <f>IF(D6100="", "Gap - No Legal Basis", IF(AND(D6100="Consent (GDPR Art. 6(1)(a))", I6100="Not Captured"), "Gap - Invalid Consent", IF(AND(D6100="Legitimate Interest (GDPR Art. 6(1)(f))", L6100=""), "Gap - Missing LIA", IF(AND(G6100="Yes", H6100=""), "Gap - Missing Art. 9 Basis", IF(OR(I6100="Invalid - Not Freely Given", I6100="Invalid - Not Specific", I6100="Invalid - Not Informed", I6100="Invalid - Ambiguous"), "Gap - Invalid Consent", "Compliant")))))</f>
        <v/>
      </c>
      <c r="O6100" s="7" t="n"/>
    </row>
    <row r="6101">
      <c r="A6101" s="7" t="n"/>
      <c r="B6101" s="7" t="n"/>
      <c r="C6101" s="7" t="n"/>
      <c r="D6101" s="7" t="n"/>
      <c r="E6101" s="7" t="n"/>
      <c r="F6101" s="7" t="n"/>
      <c r="G6101" s="7" t="n"/>
      <c r="H6101" s="7" t="n"/>
      <c r="I6101" s="7" t="n"/>
      <c r="J6101" s="7" t="n"/>
      <c r="K6101">
        <f>IF(D6101="Legitimate Interest (GDPR Art. 6(1)(f))", "Yes / Required (Sheet 3)", "")</f>
        <v/>
      </c>
      <c r="L6101" s="7" t="n"/>
      <c r="M6101" s="7" t="n"/>
      <c r="N6101">
        <f>IF(D6101="", "Gap - No Legal Basis", IF(AND(D6101="Consent (GDPR Art. 6(1)(a))", I6101="Not Captured"), "Gap - Invalid Consent", IF(AND(D6101="Legitimate Interest (GDPR Art. 6(1)(f))", L6101=""), "Gap - Missing LIA", IF(AND(G6101="Yes", H6101=""), "Gap - Missing Art. 9 Basis", IF(OR(I6101="Invalid - Not Freely Given", I6101="Invalid - Not Specific", I6101="Invalid - Not Informed", I6101="Invalid - Ambiguous"), "Gap - Invalid Consent", "Compliant")))))</f>
        <v/>
      </c>
      <c r="O6101" s="7" t="n"/>
    </row>
    <row r="6102">
      <c r="A6102" s="7" t="n"/>
      <c r="B6102" s="7" t="n"/>
      <c r="C6102" s="7" t="n"/>
      <c r="D6102" s="7" t="n"/>
      <c r="E6102" s="7" t="n"/>
      <c r="F6102" s="7" t="n"/>
      <c r="G6102" s="7" t="n"/>
      <c r="H6102" s="7" t="n"/>
      <c r="I6102" s="7" t="n"/>
      <c r="J6102" s="7" t="n"/>
      <c r="K6102">
        <f>IF(D6102="Legitimate Interest (GDPR Art. 6(1)(f))", "Yes / Required (Sheet 3)", "")</f>
        <v/>
      </c>
      <c r="L6102" s="7" t="n"/>
      <c r="M6102" s="7" t="n"/>
      <c r="N6102">
        <f>IF(D6102="", "Gap - No Legal Basis", IF(AND(D6102="Consent (GDPR Art. 6(1)(a))", I6102="Not Captured"), "Gap - Invalid Consent", IF(AND(D6102="Legitimate Interest (GDPR Art. 6(1)(f))", L6102=""), "Gap - Missing LIA", IF(AND(G6102="Yes", H6102=""), "Gap - Missing Art. 9 Basis", IF(OR(I6102="Invalid - Not Freely Given", I6102="Invalid - Not Specific", I6102="Invalid - Not Informed", I6102="Invalid - Ambiguous"), "Gap - Invalid Consent", "Compliant")))))</f>
        <v/>
      </c>
      <c r="O6102" s="7" t="n"/>
    </row>
    <row r="6103">
      <c r="A6103" s="7" t="n"/>
      <c r="B6103" s="7" t="n"/>
      <c r="C6103" s="7" t="n"/>
      <c r="D6103" s="7" t="n"/>
      <c r="E6103" s="7" t="n"/>
      <c r="F6103" s="7" t="n"/>
      <c r="G6103" s="7" t="n"/>
      <c r="H6103" s="7" t="n"/>
      <c r="I6103" s="7" t="n"/>
      <c r="J6103" s="7" t="n"/>
      <c r="K6103">
        <f>IF(D6103="Legitimate Interest (GDPR Art. 6(1)(f))", "Yes / Required (Sheet 3)", "")</f>
        <v/>
      </c>
      <c r="L6103" s="7" t="n"/>
      <c r="M6103" s="7" t="n"/>
      <c r="N6103">
        <f>IF(D6103="", "Gap - No Legal Basis", IF(AND(D6103="Consent (GDPR Art. 6(1)(a))", I6103="Not Captured"), "Gap - Invalid Consent", IF(AND(D6103="Legitimate Interest (GDPR Art. 6(1)(f))", L6103=""), "Gap - Missing LIA", IF(AND(G6103="Yes", H6103=""), "Gap - Missing Art. 9 Basis", IF(OR(I6103="Invalid - Not Freely Given", I6103="Invalid - Not Specific", I6103="Invalid - Not Informed", I6103="Invalid - Ambiguous"), "Gap - Invalid Consent", "Compliant")))))</f>
        <v/>
      </c>
      <c r="O6103" s="7" t="n"/>
    </row>
    <row r="6104">
      <c r="A6104" s="7" t="n"/>
      <c r="B6104" s="7" t="n"/>
      <c r="C6104" s="7" t="n"/>
      <c r="D6104" s="7" t="n"/>
      <c r="E6104" s="7" t="n"/>
      <c r="F6104" s="7" t="n"/>
      <c r="G6104" s="7" t="n"/>
      <c r="H6104" s="7" t="n"/>
      <c r="I6104" s="7" t="n"/>
      <c r="J6104" s="7" t="n"/>
      <c r="K6104">
        <f>IF(D6104="Legitimate Interest (GDPR Art. 6(1)(f))", "Yes / Required (Sheet 3)", "")</f>
        <v/>
      </c>
      <c r="L6104" s="7" t="n"/>
      <c r="M6104" s="7" t="n"/>
      <c r="N6104">
        <f>IF(D6104="", "Gap - No Legal Basis", IF(AND(D6104="Consent (GDPR Art. 6(1)(a))", I6104="Not Captured"), "Gap - Invalid Consent", IF(AND(D6104="Legitimate Interest (GDPR Art. 6(1)(f))", L6104=""), "Gap - Missing LIA", IF(AND(G6104="Yes", H6104=""), "Gap - Missing Art. 9 Basis", IF(OR(I6104="Invalid - Not Freely Given", I6104="Invalid - Not Specific", I6104="Invalid - Not Informed", I6104="Invalid - Ambiguous"), "Gap - Invalid Consent", "Compliant")))))</f>
        <v/>
      </c>
      <c r="O6104" s="7" t="n"/>
    </row>
    <row r="6105">
      <c r="A6105" s="7" t="n"/>
      <c r="B6105" s="7" t="n"/>
      <c r="C6105" s="7" t="n"/>
      <c r="D6105" s="7" t="n"/>
      <c r="E6105" s="7" t="n"/>
      <c r="F6105" s="7" t="n"/>
      <c r="G6105" s="7" t="n"/>
      <c r="H6105" s="7" t="n"/>
      <c r="I6105" s="7" t="n"/>
      <c r="J6105" s="7" t="n"/>
      <c r="K6105">
        <f>IF(D6105="Legitimate Interest (GDPR Art. 6(1)(f))", "Yes / Required (Sheet 3)", "")</f>
        <v/>
      </c>
      <c r="L6105" s="7" t="n"/>
      <c r="M6105" s="7" t="n"/>
      <c r="N6105">
        <f>IF(D6105="", "Gap - No Legal Basis", IF(AND(D6105="Consent (GDPR Art. 6(1)(a))", I6105="Not Captured"), "Gap - Invalid Consent", IF(AND(D6105="Legitimate Interest (GDPR Art. 6(1)(f))", L6105=""), "Gap - Missing LIA", IF(AND(G6105="Yes", H6105=""), "Gap - Missing Art. 9 Basis", IF(OR(I6105="Invalid - Not Freely Given", I6105="Invalid - Not Specific", I6105="Invalid - Not Informed", I6105="Invalid - Ambiguous"), "Gap - Invalid Consent", "Compliant")))))</f>
        <v/>
      </c>
      <c r="O6105" s="7" t="n"/>
    </row>
    <row r="6106">
      <c r="A6106" s="7" t="n"/>
      <c r="B6106" s="7" t="n"/>
      <c r="C6106" s="7" t="n"/>
      <c r="D6106" s="7" t="n"/>
      <c r="E6106" s="7" t="n"/>
      <c r="F6106" s="7" t="n"/>
      <c r="G6106" s="7" t="n"/>
      <c r="H6106" s="7" t="n"/>
      <c r="I6106" s="7" t="n"/>
      <c r="J6106" s="7" t="n"/>
      <c r="K6106">
        <f>IF(D6106="Legitimate Interest (GDPR Art. 6(1)(f))", "Yes / Required (Sheet 3)", "")</f>
        <v/>
      </c>
      <c r="L6106" s="7" t="n"/>
      <c r="M6106" s="7" t="n"/>
      <c r="N6106">
        <f>IF(D6106="", "Gap - No Legal Basis", IF(AND(D6106="Consent (GDPR Art. 6(1)(a))", I6106="Not Captured"), "Gap - Invalid Consent", IF(AND(D6106="Legitimate Interest (GDPR Art. 6(1)(f))", L6106=""), "Gap - Missing LIA", IF(AND(G6106="Yes", H6106=""), "Gap - Missing Art. 9 Basis", IF(OR(I6106="Invalid - Not Freely Given", I6106="Invalid - Not Specific", I6106="Invalid - Not Informed", I6106="Invalid - Ambiguous"), "Gap - Invalid Consent", "Compliant")))))</f>
        <v/>
      </c>
      <c r="O6106" s="7" t="n"/>
    </row>
    <row r="6107">
      <c r="A6107" s="7" t="n"/>
      <c r="B6107" s="7" t="n"/>
      <c r="C6107" s="7" t="n"/>
      <c r="D6107" s="7" t="n"/>
      <c r="E6107" s="7" t="n"/>
      <c r="F6107" s="7" t="n"/>
      <c r="G6107" s="7" t="n"/>
      <c r="H6107" s="7" t="n"/>
      <c r="I6107" s="7" t="n"/>
      <c r="J6107" s="7" t="n"/>
      <c r="K6107">
        <f>IF(D6107="Legitimate Interest (GDPR Art. 6(1)(f))", "Yes / Required (Sheet 3)", "")</f>
        <v/>
      </c>
      <c r="L6107" s="7" t="n"/>
      <c r="M6107" s="7" t="n"/>
      <c r="N6107">
        <f>IF(D6107="", "Gap - No Legal Basis", IF(AND(D6107="Consent (GDPR Art. 6(1)(a))", I6107="Not Captured"), "Gap - Invalid Consent", IF(AND(D6107="Legitimate Interest (GDPR Art. 6(1)(f))", L6107=""), "Gap - Missing LIA", IF(AND(G6107="Yes", H6107=""), "Gap - Missing Art. 9 Basis", IF(OR(I6107="Invalid - Not Freely Given", I6107="Invalid - Not Specific", I6107="Invalid - Not Informed", I6107="Invalid - Ambiguous"), "Gap - Invalid Consent", "Compliant")))))</f>
        <v/>
      </c>
      <c r="O6107" s="7" t="n"/>
    </row>
    <row r="6108">
      <c r="A6108" s="7" t="n"/>
      <c r="B6108" s="7" t="n"/>
      <c r="C6108" s="7" t="n"/>
      <c r="D6108" s="7" t="n"/>
      <c r="E6108" s="7" t="n"/>
      <c r="F6108" s="7" t="n"/>
      <c r="G6108" s="7" t="n"/>
      <c r="H6108" s="7" t="n"/>
      <c r="I6108" s="7" t="n"/>
      <c r="J6108" s="7" t="n"/>
      <c r="K6108">
        <f>IF(D6108="Legitimate Interest (GDPR Art. 6(1)(f))", "Yes / Required (Sheet 3)", "")</f>
        <v/>
      </c>
      <c r="L6108" s="7" t="n"/>
      <c r="M6108" s="7" t="n"/>
      <c r="N6108">
        <f>IF(D6108="", "Gap - No Legal Basis", IF(AND(D6108="Consent (GDPR Art. 6(1)(a))", I6108="Not Captured"), "Gap - Invalid Consent", IF(AND(D6108="Legitimate Interest (GDPR Art. 6(1)(f))", L6108=""), "Gap - Missing LIA", IF(AND(G6108="Yes", H6108=""), "Gap - Missing Art. 9 Basis", IF(OR(I6108="Invalid - Not Freely Given", I6108="Invalid - Not Specific", I6108="Invalid - Not Informed", I6108="Invalid - Ambiguous"), "Gap - Invalid Consent", "Compliant")))))</f>
        <v/>
      </c>
      <c r="O6108" s="7" t="n"/>
    </row>
    <row r="6109">
      <c r="A6109" s="7" t="n"/>
      <c r="B6109" s="7" t="n"/>
      <c r="C6109" s="7" t="n"/>
      <c r="D6109" s="7" t="n"/>
      <c r="E6109" s="7" t="n"/>
      <c r="F6109" s="7" t="n"/>
      <c r="G6109" s="7" t="n"/>
      <c r="H6109" s="7" t="n"/>
      <c r="I6109" s="7" t="n"/>
      <c r="J6109" s="7" t="n"/>
      <c r="K6109">
        <f>IF(D6109="Legitimate Interest (GDPR Art. 6(1)(f))", "Yes / Required (Sheet 3)", "")</f>
        <v/>
      </c>
      <c r="L6109" s="7" t="n"/>
      <c r="M6109" s="7" t="n"/>
      <c r="N6109">
        <f>IF(D6109="", "Gap - No Legal Basis", IF(AND(D6109="Consent (GDPR Art. 6(1)(a))", I6109="Not Captured"), "Gap - Invalid Consent", IF(AND(D6109="Legitimate Interest (GDPR Art. 6(1)(f))", L6109=""), "Gap - Missing LIA", IF(AND(G6109="Yes", H6109=""), "Gap - Missing Art. 9 Basis", IF(OR(I6109="Invalid - Not Freely Given", I6109="Invalid - Not Specific", I6109="Invalid - Not Informed", I6109="Invalid - Ambiguous"), "Gap - Invalid Consent", "Compliant")))))</f>
        <v/>
      </c>
      <c r="O6109" s="7" t="n"/>
    </row>
    <row r="6110">
      <c r="A6110" s="7" t="n"/>
      <c r="B6110" s="7" t="n"/>
      <c r="C6110" s="7" t="n"/>
      <c r="D6110" s="7" t="n"/>
      <c r="E6110" s="7" t="n"/>
      <c r="F6110" s="7" t="n"/>
      <c r="G6110" s="7" t="n"/>
      <c r="H6110" s="7" t="n"/>
      <c r="I6110" s="7" t="n"/>
      <c r="J6110" s="7" t="n"/>
      <c r="K6110">
        <f>IF(D6110="Legitimate Interest (GDPR Art. 6(1)(f))", "Yes / Required (Sheet 3)", "")</f>
        <v/>
      </c>
      <c r="L6110" s="7" t="n"/>
      <c r="M6110" s="7" t="n"/>
      <c r="N6110">
        <f>IF(D6110="", "Gap - No Legal Basis", IF(AND(D6110="Consent (GDPR Art. 6(1)(a))", I6110="Not Captured"), "Gap - Invalid Consent", IF(AND(D6110="Legitimate Interest (GDPR Art. 6(1)(f))", L6110=""), "Gap - Missing LIA", IF(AND(G6110="Yes", H6110=""), "Gap - Missing Art. 9 Basis", IF(OR(I6110="Invalid - Not Freely Given", I6110="Invalid - Not Specific", I6110="Invalid - Not Informed", I6110="Invalid - Ambiguous"), "Gap - Invalid Consent", "Compliant")))))</f>
        <v/>
      </c>
      <c r="O6110" s="7" t="n"/>
    </row>
    <row r="6111">
      <c r="A6111" s="7" t="n"/>
      <c r="B6111" s="7" t="n"/>
      <c r="C6111" s="7" t="n"/>
      <c r="D6111" s="7" t="n"/>
      <c r="E6111" s="7" t="n"/>
      <c r="F6111" s="7" t="n"/>
      <c r="G6111" s="7" t="n"/>
      <c r="H6111" s="7" t="n"/>
      <c r="I6111" s="7" t="n"/>
      <c r="J6111" s="7" t="n"/>
      <c r="K6111">
        <f>IF(D6111="Legitimate Interest (GDPR Art. 6(1)(f))", "Yes / Required (Sheet 3)", "")</f>
        <v/>
      </c>
      <c r="L6111" s="7" t="n"/>
      <c r="M6111" s="7" t="n"/>
      <c r="N6111">
        <f>IF(D6111="", "Gap - No Legal Basis", IF(AND(D6111="Consent (GDPR Art. 6(1)(a))", I6111="Not Captured"), "Gap - Invalid Consent", IF(AND(D6111="Legitimate Interest (GDPR Art. 6(1)(f))", L6111=""), "Gap - Missing LIA", IF(AND(G6111="Yes", H6111=""), "Gap - Missing Art. 9 Basis", IF(OR(I6111="Invalid - Not Freely Given", I6111="Invalid - Not Specific", I6111="Invalid - Not Informed", I6111="Invalid - Ambiguous"), "Gap - Invalid Consent", "Compliant")))))</f>
        <v/>
      </c>
      <c r="O6111" s="7" t="n"/>
    </row>
    <row r="6112">
      <c r="A6112" s="7" t="n"/>
      <c r="B6112" s="7" t="n"/>
      <c r="C6112" s="7" t="n"/>
      <c r="D6112" s="7" t="n"/>
      <c r="E6112" s="7" t="n"/>
      <c r="F6112" s="7" t="n"/>
      <c r="G6112" s="7" t="n"/>
      <c r="H6112" s="7" t="n"/>
      <c r="I6112" s="7" t="n"/>
      <c r="J6112" s="7" t="n"/>
      <c r="K6112">
        <f>IF(D6112="Legitimate Interest (GDPR Art. 6(1)(f))", "Yes / Required (Sheet 3)", "")</f>
        <v/>
      </c>
      <c r="L6112" s="7" t="n"/>
      <c r="M6112" s="7" t="n"/>
      <c r="N6112">
        <f>IF(D6112="", "Gap - No Legal Basis", IF(AND(D6112="Consent (GDPR Art. 6(1)(a))", I6112="Not Captured"), "Gap - Invalid Consent", IF(AND(D6112="Legitimate Interest (GDPR Art. 6(1)(f))", L6112=""), "Gap - Missing LIA", IF(AND(G6112="Yes", H6112=""), "Gap - Missing Art. 9 Basis", IF(OR(I6112="Invalid - Not Freely Given", I6112="Invalid - Not Specific", I6112="Invalid - Not Informed", I6112="Invalid - Ambiguous"), "Gap - Invalid Consent", "Compliant")))))</f>
        <v/>
      </c>
      <c r="O6112" s="7" t="n"/>
    </row>
    <row r="6113">
      <c r="A6113" s="7" t="n"/>
      <c r="B6113" s="7" t="n"/>
      <c r="C6113" s="7" t="n"/>
      <c r="D6113" s="7" t="n"/>
      <c r="E6113" s="7" t="n"/>
      <c r="F6113" s="7" t="n"/>
      <c r="G6113" s="7" t="n"/>
      <c r="H6113" s="7" t="n"/>
      <c r="I6113" s="7" t="n"/>
      <c r="J6113" s="7" t="n"/>
      <c r="K6113">
        <f>IF(D6113="Legitimate Interest (GDPR Art. 6(1)(f))", "Yes / Required (Sheet 3)", "")</f>
        <v/>
      </c>
      <c r="L6113" s="7" t="n"/>
      <c r="M6113" s="7" t="n"/>
      <c r="N6113">
        <f>IF(D6113="", "Gap - No Legal Basis", IF(AND(D6113="Consent (GDPR Art. 6(1)(a))", I6113="Not Captured"), "Gap - Invalid Consent", IF(AND(D6113="Legitimate Interest (GDPR Art. 6(1)(f))", L6113=""), "Gap - Missing LIA", IF(AND(G6113="Yes", H6113=""), "Gap - Missing Art. 9 Basis", IF(OR(I6113="Invalid - Not Freely Given", I6113="Invalid - Not Specific", I6113="Invalid - Not Informed", I6113="Invalid - Ambiguous"), "Gap - Invalid Consent", "Compliant")))))</f>
        <v/>
      </c>
      <c r="O6113" s="7" t="n"/>
    </row>
    <row r="6114">
      <c r="A6114" s="7" t="n"/>
      <c r="B6114" s="7" t="n"/>
      <c r="C6114" s="7" t="n"/>
      <c r="D6114" s="7" t="n"/>
      <c r="E6114" s="7" t="n"/>
      <c r="F6114" s="7" t="n"/>
      <c r="G6114" s="7" t="n"/>
      <c r="H6114" s="7" t="n"/>
      <c r="I6114" s="7" t="n"/>
      <c r="J6114" s="7" t="n"/>
      <c r="K6114">
        <f>IF(D6114="Legitimate Interest (GDPR Art. 6(1)(f))", "Yes / Required (Sheet 3)", "")</f>
        <v/>
      </c>
      <c r="L6114" s="7" t="n"/>
      <c r="M6114" s="7" t="n"/>
      <c r="N6114">
        <f>IF(D6114="", "Gap - No Legal Basis", IF(AND(D6114="Consent (GDPR Art. 6(1)(a))", I6114="Not Captured"), "Gap - Invalid Consent", IF(AND(D6114="Legitimate Interest (GDPR Art. 6(1)(f))", L6114=""), "Gap - Missing LIA", IF(AND(G6114="Yes", H6114=""), "Gap - Missing Art. 9 Basis", IF(OR(I6114="Invalid - Not Freely Given", I6114="Invalid - Not Specific", I6114="Invalid - Not Informed", I6114="Invalid - Ambiguous"), "Gap - Invalid Consent", "Compliant")))))</f>
        <v/>
      </c>
      <c r="O6114" s="7" t="n"/>
    </row>
    <row r="6115">
      <c r="A6115" s="7" t="n"/>
      <c r="B6115" s="7" t="n"/>
      <c r="C6115" s="7" t="n"/>
      <c r="D6115" s="7" t="n"/>
      <c r="E6115" s="7" t="n"/>
      <c r="F6115" s="7" t="n"/>
      <c r="G6115" s="7" t="n"/>
      <c r="H6115" s="7" t="n"/>
      <c r="I6115" s="7" t="n"/>
      <c r="J6115" s="7" t="n"/>
      <c r="K6115">
        <f>IF(D6115="Legitimate Interest (GDPR Art. 6(1)(f))", "Yes / Required (Sheet 3)", "")</f>
        <v/>
      </c>
      <c r="L6115" s="7" t="n"/>
      <c r="M6115" s="7" t="n"/>
      <c r="N6115">
        <f>IF(D6115="", "Gap - No Legal Basis", IF(AND(D6115="Consent (GDPR Art. 6(1)(a))", I6115="Not Captured"), "Gap - Invalid Consent", IF(AND(D6115="Legitimate Interest (GDPR Art. 6(1)(f))", L6115=""), "Gap - Missing LIA", IF(AND(G6115="Yes", H6115=""), "Gap - Missing Art. 9 Basis", IF(OR(I6115="Invalid - Not Freely Given", I6115="Invalid - Not Specific", I6115="Invalid - Not Informed", I6115="Invalid - Ambiguous"), "Gap - Invalid Consent", "Compliant")))))</f>
        <v/>
      </c>
      <c r="O6115" s="7" t="n"/>
    </row>
    <row r="6116">
      <c r="A6116" s="7" t="n"/>
      <c r="B6116" s="7" t="n"/>
      <c r="C6116" s="7" t="n"/>
      <c r="D6116" s="7" t="n"/>
      <c r="E6116" s="7" t="n"/>
      <c r="F6116" s="7" t="n"/>
      <c r="G6116" s="7" t="n"/>
      <c r="H6116" s="7" t="n"/>
      <c r="I6116" s="7" t="n"/>
      <c r="J6116" s="7" t="n"/>
      <c r="K6116">
        <f>IF(D6116="Legitimate Interest (GDPR Art. 6(1)(f))", "Yes / Required (Sheet 3)", "")</f>
        <v/>
      </c>
      <c r="L6116" s="7" t="n"/>
      <c r="M6116" s="7" t="n"/>
      <c r="N6116">
        <f>IF(D6116="", "Gap - No Legal Basis", IF(AND(D6116="Consent (GDPR Art. 6(1)(a))", I6116="Not Captured"), "Gap - Invalid Consent", IF(AND(D6116="Legitimate Interest (GDPR Art. 6(1)(f))", L6116=""), "Gap - Missing LIA", IF(AND(G6116="Yes", H6116=""), "Gap - Missing Art. 9 Basis", IF(OR(I6116="Invalid - Not Freely Given", I6116="Invalid - Not Specific", I6116="Invalid - Not Informed", I6116="Invalid - Ambiguous"), "Gap - Invalid Consent", "Compliant")))))</f>
        <v/>
      </c>
      <c r="O6116" s="7" t="n"/>
    </row>
    <row r="6117">
      <c r="A6117" s="7" t="n"/>
      <c r="B6117" s="7" t="n"/>
      <c r="C6117" s="7" t="n"/>
      <c r="D6117" s="7" t="n"/>
      <c r="E6117" s="7" t="n"/>
      <c r="F6117" s="7" t="n"/>
      <c r="G6117" s="7" t="n"/>
      <c r="H6117" s="7" t="n"/>
      <c r="I6117" s="7" t="n"/>
      <c r="J6117" s="7" t="n"/>
      <c r="K6117">
        <f>IF(D6117="Legitimate Interest (GDPR Art. 6(1)(f))", "Yes / Required (Sheet 3)", "")</f>
        <v/>
      </c>
      <c r="L6117" s="7" t="n"/>
      <c r="M6117" s="7" t="n"/>
      <c r="N6117">
        <f>IF(D6117="", "Gap - No Legal Basis", IF(AND(D6117="Consent (GDPR Art. 6(1)(a))", I6117="Not Captured"), "Gap - Invalid Consent", IF(AND(D6117="Legitimate Interest (GDPR Art. 6(1)(f))", L6117=""), "Gap - Missing LIA", IF(AND(G6117="Yes", H6117=""), "Gap - Missing Art. 9 Basis", IF(OR(I6117="Invalid - Not Freely Given", I6117="Invalid - Not Specific", I6117="Invalid - Not Informed", I6117="Invalid - Ambiguous"), "Gap - Invalid Consent", "Compliant")))))</f>
        <v/>
      </c>
      <c r="O6117" s="7" t="n"/>
    </row>
    <row r="6118">
      <c r="A6118" s="7" t="n"/>
      <c r="B6118" s="7" t="n"/>
      <c r="C6118" s="7" t="n"/>
      <c r="D6118" s="7" t="n"/>
      <c r="E6118" s="7" t="n"/>
      <c r="F6118" s="7" t="n"/>
      <c r="G6118" s="7" t="n"/>
      <c r="H6118" s="7" t="n"/>
      <c r="I6118" s="7" t="n"/>
      <c r="J6118" s="7" t="n"/>
      <c r="K6118">
        <f>IF(D6118="Legitimate Interest (GDPR Art. 6(1)(f))", "Yes / Required (Sheet 3)", "")</f>
        <v/>
      </c>
      <c r="L6118" s="7" t="n"/>
      <c r="M6118" s="7" t="n"/>
      <c r="N6118">
        <f>IF(D6118="", "Gap - No Legal Basis", IF(AND(D6118="Consent (GDPR Art. 6(1)(a))", I6118="Not Captured"), "Gap - Invalid Consent", IF(AND(D6118="Legitimate Interest (GDPR Art. 6(1)(f))", L6118=""), "Gap - Missing LIA", IF(AND(G6118="Yes", H6118=""), "Gap - Missing Art. 9 Basis", IF(OR(I6118="Invalid - Not Freely Given", I6118="Invalid - Not Specific", I6118="Invalid - Not Informed", I6118="Invalid - Ambiguous"), "Gap - Invalid Consent", "Compliant")))))</f>
        <v/>
      </c>
      <c r="O6118" s="7" t="n"/>
    </row>
    <row r="6119">
      <c r="A6119" s="7" t="n"/>
      <c r="B6119" s="7" t="n"/>
      <c r="C6119" s="7" t="n"/>
      <c r="D6119" s="7" t="n"/>
      <c r="E6119" s="7" t="n"/>
      <c r="F6119" s="7" t="n"/>
      <c r="G6119" s="7" t="n"/>
      <c r="H6119" s="7" t="n"/>
      <c r="I6119" s="7" t="n"/>
      <c r="J6119" s="7" t="n"/>
      <c r="K6119">
        <f>IF(D6119="Legitimate Interest (GDPR Art. 6(1)(f))", "Yes / Required (Sheet 3)", "")</f>
        <v/>
      </c>
      <c r="L6119" s="7" t="n"/>
      <c r="M6119" s="7" t="n"/>
      <c r="N6119">
        <f>IF(D6119="", "Gap - No Legal Basis", IF(AND(D6119="Consent (GDPR Art. 6(1)(a))", I6119="Not Captured"), "Gap - Invalid Consent", IF(AND(D6119="Legitimate Interest (GDPR Art. 6(1)(f))", L6119=""), "Gap - Missing LIA", IF(AND(G6119="Yes", H6119=""), "Gap - Missing Art. 9 Basis", IF(OR(I6119="Invalid - Not Freely Given", I6119="Invalid - Not Specific", I6119="Invalid - Not Informed", I6119="Invalid - Ambiguous"), "Gap - Invalid Consent", "Compliant")))))</f>
        <v/>
      </c>
      <c r="O6119" s="7" t="n"/>
    </row>
    <row r="6120">
      <c r="A6120" s="7" t="n"/>
      <c r="B6120" s="7" t="n"/>
      <c r="C6120" s="7" t="n"/>
      <c r="D6120" s="7" t="n"/>
      <c r="E6120" s="7" t="n"/>
      <c r="F6120" s="7" t="n"/>
      <c r="G6120" s="7" t="n"/>
      <c r="H6120" s="7" t="n"/>
      <c r="I6120" s="7" t="n"/>
      <c r="J6120" s="7" t="n"/>
      <c r="K6120">
        <f>IF(D6120="Legitimate Interest (GDPR Art. 6(1)(f))", "Yes / Required (Sheet 3)", "")</f>
        <v/>
      </c>
      <c r="L6120" s="7" t="n"/>
      <c r="M6120" s="7" t="n"/>
      <c r="N6120">
        <f>IF(D6120="", "Gap - No Legal Basis", IF(AND(D6120="Consent (GDPR Art. 6(1)(a))", I6120="Not Captured"), "Gap - Invalid Consent", IF(AND(D6120="Legitimate Interest (GDPR Art. 6(1)(f))", L6120=""), "Gap - Missing LIA", IF(AND(G6120="Yes", H6120=""), "Gap - Missing Art. 9 Basis", IF(OR(I6120="Invalid - Not Freely Given", I6120="Invalid - Not Specific", I6120="Invalid - Not Informed", I6120="Invalid - Ambiguous"), "Gap - Invalid Consent", "Compliant")))))</f>
        <v/>
      </c>
      <c r="O6120" s="7" t="n"/>
    </row>
    <row r="6121">
      <c r="A6121" s="7" t="n"/>
      <c r="B6121" s="7" t="n"/>
      <c r="C6121" s="7" t="n"/>
      <c r="D6121" s="7" t="n"/>
      <c r="E6121" s="7" t="n"/>
      <c r="F6121" s="7" t="n"/>
      <c r="G6121" s="7" t="n"/>
      <c r="H6121" s="7" t="n"/>
      <c r="I6121" s="7" t="n"/>
      <c r="J6121" s="7" t="n"/>
      <c r="K6121">
        <f>IF(D6121="Legitimate Interest (GDPR Art. 6(1)(f))", "Yes / Required (Sheet 3)", "")</f>
        <v/>
      </c>
      <c r="L6121" s="7" t="n"/>
      <c r="M6121" s="7" t="n"/>
      <c r="N6121">
        <f>IF(D6121="", "Gap - No Legal Basis", IF(AND(D6121="Consent (GDPR Art. 6(1)(a))", I6121="Not Captured"), "Gap - Invalid Consent", IF(AND(D6121="Legitimate Interest (GDPR Art. 6(1)(f))", L6121=""), "Gap - Missing LIA", IF(AND(G6121="Yes", H6121=""), "Gap - Missing Art. 9 Basis", IF(OR(I6121="Invalid - Not Freely Given", I6121="Invalid - Not Specific", I6121="Invalid - Not Informed", I6121="Invalid - Ambiguous"), "Gap - Invalid Consent", "Compliant")))))</f>
        <v/>
      </c>
      <c r="O6121" s="7" t="n"/>
    </row>
    <row r="6122">
      <c r="A6122" s="7" t="n"/>
      <c r="B6122" s="7" t="n"/>
      <c r="C6122" s="7" t="n"/>
      <c r="D6122" s="7" t="n"/>
      <c r="E6122" s="7" t="n"/>
      <c r="F6122" s="7" t="n"/>
      <c r="G6122" s="7" t="n"/>
      <c r="H6122" s="7" t="n"/>
      <c r="I6122" s="7" t="n"/>
      <c r="J6122" s="7" t="n"/>
      <c r="K6122">
        <f>IF(D6122="Legitimate Interest (GDPR Art. 6(1)(f))", "Yes / Required (Sheet 3)", "")</f>
        <v/>
      </c>
      <c r="L6122" s="7" t="n"/>
      <c r="M6122" s="7" t="n"/>
      <c r="N6122">
        <f>IF(D6122="", "Gap - No Legal Basis", IF(AND(D6122="Consent (GDPR Art. 6(1)(a))", I6122="Not Captured"), "Gap - Invalid Consent", IF(AND(D6122="Legitimate Interest (GDPR Art. 6(1)(f))", L6122=""), "Gap - Missing LIA", IF(AND(G6122="Yes", H6122=""), "Gap - Missing Art. 9 Basis", IF(OR(I6122="Invalid - Not Freely Given", I6122="Invalid - Not Specific", I6122="Invalid - Not Informed", I6122="Invalid - Ambiguous"), "Gap - Invalid Consent", "Compliant")))))</f>
        <v/>
      </c>
      <c r="O6122" s="7" t="n"/>
    </row>
    <row r="6123">
      <c r="A6123" s="7" t="n"/>
      <c r="B6123" s="7" t="n"/>
      <c r="C6123" s="7" t="n"/>
      <c r="D6123" s="7" t="n"/>
      <c r="E6123" s="7" t="n"/>
      <c r="F6123" s="7" t="n"/>
      <c r="G6123" s="7" t="n"/>
      <c r="H6123" s="7" t="n"/>
      <c r="I6123" s="7" t="n"/>
      <c r="J6123" s="7" t="n"/>
      <c r="K6123">
        <f>IF(D6123="Legitimate Interest (GDPR Art. 6(1)(f))", "Yes / Required (Sheet 3)", "")</f>
        <v/>
      </c>
      <c r="L6123" s="7" t="n"/>
      <c r="M6123" s="7" t="n"/>
      <c r="N6123">
        <f>IF(D6123="", "Gap - No Legal Basis", IF(AND(D6123="Consent (GDPR Art. 6(1)(a))", I6123="Not Captured"), "Gap - Invalid Consent", IF(AND(D6123="Legitimate Interest (GDPR Art. 6(1)(f))", L6123=""), "Gap - Missing LIA", IF(AND(G6123="Yes", H6123=""), "Gap - Missing Art. 9 Basis", IF(OR(I6123="Invalid - Not Freely Given", I6123="Invalid - Not Specific", I6123="Invalid - Not Informed", I6123="Invalid - Ambiguous"), "Gap - Invalid Consent", "Compliant")))))</f>
        <v/>
      </c>
      <c r="O6123" s="7" t="n"/>
    </row>
    <row r="6124">
      <c r="A6124" s="7" t="n"/>
      <c r="B6124" s="7" t="n"/>
      <c r="C6124" s="7" t="n"/>
      <c r="D6124" s="7" t="n"/>
      <c r="E6124" s="7" t="n"/>
      <c r="F6124" s="7" t="n"/>
      <c r="G6124" s="7" t="n"/>
      <c r="H6124" s="7" t="n"/>
      <c r="I6124" s="7" t="n"/>
      <c r="J6124" s="7" t="n"/>
      <c r="K6124">
        <f>IF(D6124="Legitimate Interest (GDPR Art. 6(1)(f))", "Yes / Required (Sheet 3)", "")</f>
        <v/>
      </c>
      <c r="L6124" s="7" t="n"/>
      <c r="M6124" s="7" t="n"/>
      <c r="N6124">
        <f>IF(D6124="", "Gap - No Legal Basis", IF(AND(D6124="Consent (GDPR Art. 6(1)(a))", I6124="Not Captured"), "Gap - Invalid Consent", IF(AND(D6124="Legitimate Interest (GDPR Art. 6(1)(f))", L6124=""), "Gap - Missing LIA", IF(AND(G6124="Yes", H6124=""), "Gap - Missing Art. 9 Basis", IF(OR(I6124="Invalid - Not Freely Given", I6124="Invalid - Not Specific", I6124="Invalid - Not Informed", I6124="Invalid - Ambiguous"), "Gap - Invalid Consent", "Compliant")))))</f>
        <v/>
      </c>
      <c r="O6124" s="7" t="n"/>
    </row>
    <row r="6125">
      <c r="A6125" s="7" t="n"/>
      <c r="B6125" s="7" t="n"/>
      <c r="C6125" s="7" t="n"/>
      <c r="D6125" s="7" t="n"/>
      <c r="E6125" s="7" t="n"/>
      <c r="F6125" s="7" t="n"/>
      <c r="G6125" s="7" t="n"/>
      <c r="H6125" s="7" t="n"/>
      <c r="I6125" s="7" t="n"/>
      <c r="J6125" s="7" t="n"/>
      <c r="K6125">
        <f>IF(D6125="Legitimate Interest (GDPR Art. 6(1)(f))", "Yes / Required (Sheet 3)", "")</f>
        <v/>
      </c>
      <c r="L6125" s="7" t="n"/>
      <c r="M6125" s="7" t="n"/>
      <c r="N6125">
        <f>IF(D6125="", "Gap - No Legal Basis", IF(AND(D6125="Consent (GDPR Art. 6(1)(a))", I6125="Not Captured"), "Gap - Invalid Consent", IF(AND(D6125="Legitimate Interest (GDPR Art. 6(1)(f))", L6125=""), "Gap - Missing LIA", IF(AND(G6125="Yes", H6125=""), "Gap - Missing Art. 9 Basis", IF(OR(I6125="Invalid - Not Freely Given", I6125="Invalid - Not Specific", I6125="Invalid - Not Informed", I6125="Invalid - Ambiguous"), "Gap - Invalid Consent", "Compliant")))))</f>
        <v/>
      </c>
      <c r="O6125" s="7" t="n"/>
    </row>
    <row r="6126">
      <c r="A6126" s="7" t="n"/>
      <c r="B6126" s="7" t="n"/>
      <c r="C6126" s="7" t="n"/>
      <c r="D6126" s="7" t="n"/>
      <c r="E6126" s="7" t="n"/>
      <c r="F6126" s="7" t="n"/>
      <c r="G6126" s="7" t="n"/>
      <c r="H6126" s="7" t="n"/>
      <c r="I6126" s="7" t="n"/>
      <c r="J6126" s="7" t="n"/>
      <c r="K6126">
        <f>IF(D6126="Legitimate Interest (GDPR Art. 6(1)(f))", "Yes / Required (Sheet 3)", "")</f>
        <v/>
      </c>
      <c r="L6126" s="7" t="n"/>
      <c r="M6126" s="7" t="n"/>
      <c r="N6126">
        <f>IF(D6126="", "Gap - No Legal Basis", IF(AND(D6126="Consent (GDPR Art. 6(1)(a))", I6126="Not Captured"), "Gap - Invalid Consent", IF(AND(D6126="Legitimate Interest (GDPR Art. 6(1)(f))", L6126=""), "Gap - Missing LIA", IF(AND(G6126="Yes", H6126=""), "Gap - Missing Art. 9 Basis", IF(OR(I6126="Invalid - Not Freely Given", I6126="Invalid - Not Specific", I6126="Invalid - Not Informed", I6126="Invalid - Ambiguous"), "Gap - Invalid Consent", "Compliant")))))</f>
        <v/>
      </c>
      <c r="O6126" s="7" t="n"/>
    </row>
    <row r="6127">
      <c r="A6127" s="7" t="n"/>
      <c r="B6127" s="7" t="n"/>
      <c r="C6127" s="7" t="n"/>
      <c r="D6127" s="7" t="n"/>
      <c r="E6127" s="7" t="n"/>
      <c r="F6127" s="7" t="n"/>
      <c r="G6127" s="7" t="n"/>
      <c r="H6127" s="7" t="n"/>
      <c r="I6127" s="7" t="n"/>
      <c r="J6127" s="7" t="n"/>
      <c r="K6127">
        <f>IF(D6127="Legitimate Interest (GDPR Art. 6(1)(f))", "Yes / Required (Sheet 3)", "")</f>
        <v/>
      </c>
      <c r="L6127" s="7" t="n"/>
      <c r="M6127" s="7" t="n"/>
      <c r="N6127">
        <f>IF(D6127="", "Gap - No Legal Basis", IF(AND(D6127="Consent (GDPR Art. 6(1)(a))", I6127="Not Captured"), "Gap - Invalid Consent", IF(AND(D6127="Legitimate Interest (GDPR Art. 6(1)(f))", L6127=""), "Gap - Missing LIA", IF(AND(G6127="Yes", H6127=""), "Gap - Missing Art. 9 Basis", IF(OR(I6127="Invalid - Not Freely Given", I6127="Invalid - Not Specific", I6127="Invalid - Not Informed", I6127="Invalid - Ambiguous"), "Gap - Invalid Consent", "Compliant")))))</f>
        <v/>
      </c>
      <c r="O6127" s="7" t="n"/>
    </row>
    <row r="6128">
      <c r="A6128" s="7" t="n"/>
      <c r="B6128" s="7" t="n"/>
      <c r="C6128" s="7" t="n"/>
      <c r="D6128" s="7" t="n"/>
      <c r="E6128" s="7" t="n"/>
      <c r="F6128" s="7" t="n"/>
      <c r="G6128" s="7" t="n"/>
      <c r="H6128" s="7" t="n"/>
      <c r="I6128" s="7" t="n"/>
      <c r="J6128" s="7" t="n"/>
      <c r="K6128">
        <f>IF(D6128="Legitimate Interest (GDPR Art. 6(1)(f))", "Yes / Required (Sheet 3)", "")</f>
        <v/>
      </c>
      <c r="L6128" s="7" t="n"/>
      <c r="M6128" s="7" t="n"/>
      <c r="N6128">
        <f>IF(D6128="", "Gap - No Legal Basis", IF(AND(D6128="Consent (GDPR Art. 6(1)(a))", I6128="Not Captured"), "Gap - Invalid Consent", IF(AND(D6128="Legitimate Interest (GDPR Art. 6(1)(f))", L6128=""), "Gap - Missing LIA", IF(AND(G6128="Yes", H6128=""), "Gap - Missing Art. 9 Basis", IF(OR(I6128="Invalid - Not Freely Given", I6128="Invalid - Not Specific", I6128="Invalid - Not Informed", I6128="Invalid - Ambiguous"), "Gap - Invalid Consent", "Compliant")))))</f>
        <v/>
      </c>
      <c r="O6128" s="7" t="n"/>
    </row>
    <row r="6129">
      <c r="A6129" s="7" t="n"/>
      <c r="B6129" s="7" t="n"/>
      <c r="C6129" s="7" t="n"/>
      <c r="D6129" s="7" t="n"/>
      <c r="E6129" s="7" t="n"/>
      <c r="F6129" s="7" t="n"/>
      <c r="G6129" s="7" t="n"/>
      <c r="H6129" s="7" t="n"/>
      <c r="I6129" s="7" t="n"/>
      <c r="J6129" s="7" t="n"/>
      <c r="K6129">
        <f>IF(D6129="Legitimate Interest (GDPR Art. 6(1)(f))", "Yes / Required (Sheet 3)", "")</f>
        <v/>
      </c>
      <c r="L6129" s="7" t="n"/>
      <c r="M6129" s="7" t="n"/>
      <c r="N6129">
        <f>IF(D6129="", "Gap - No Legal Basis", IF(AND(D6129="Consent (GDPR Art. 6(1)(a))", I6129="Not Captured"), "Gap - Invalid Consent", IF(AND(D6129="Legitimate Interest (GDPR Art. 6(1)(f))", L6129=""), "Gap - Missing LIA", IF(AND(G6129="Yes", H6129=""), "Gap - Missing Art. 9 Basis", IF(OR(I6129="Invalid - Not Freely Given", I6129="Invalid - Not Specific", I6129="Invalid - Not Informed", I6129="Invalid - Ambiguous"), "Gap - Invalid Consent", "Compliant")))))</f>
        <v/>
      </c>
      <c r="O6129" s="7" t="n"/>
    </row>
    <row r="6130">
      <c r="A6130" s="7" t="n"/>
      <c r="B6130" s="7" t="n"/>
      <c r="C6130" s="7" t="n"/>
      <c r="D6130" s="7" t="n"/>
      <c r="E6130" s="7" t="n"/>
      <c r="F6130" s="7" t="n"/>
      <c r="G6130" s="7" t="n"/>
      <c r="H6130" s="7" t="n"/>
      <c r="I6130" s="7" t="n"/>
      <c r="J6130" s="7" t="n"/>
      <c r="K6130">
        <f>IF(D6130="Legitimate Interest (GDPR Art. 6(1)(f))", "Yes / Required (Sheet 3)", "")</f>
        <v/>
      </c>
      <c r="L6130" s="7" t="n"/>
      <c r="M6130" s="7" t="n"/>
      <c r="N6130">
        <f>IF(D6130="", "Gap - No Legal Basis", IF(AND(D6130="Consent (GDPR Art. 6(1)(a))", I6130="Not Captured"), "Gap - Invalid Consent", IF(AND(D6130="Legitimate Interest (GDPR Art. 6(1)(f))", L6130=""), "Gap - Missing LIA", IF(AND(G6130="Yes", H6130=""), "Gap - Missing Art. 9 Basis", IF(OR(I6130="Invalid - Not Freely Given", I6130="Invalid - Not Specific", I6130="Invalid - Not Informed", I6130="Invalid - Ambiguous"), "Gap - Invalid Consent", "Compliant")))))</f>
        <v/>
      </c>
      <c r="O6130" s="7" t="n"/>
    </row>
    <row r="6131">
      <c r="A6131" s="7" t="n"/>
      <c r="B6131" s="7" t="n"/>
      <c r="C6131" s="7" t="n"/>
      <c r="D6131" s="7" t="n"/>
      <c r="E6131" s="7" t="n"/>
      <c r="F6131" s="7" t="n"/>
      <c r="G6131" s="7" t="n"/>
      <c r="H6131" s="7" t="n"/>
      <c r="I6131" s="7" t="n"/>
      <c r="J6131" s="7" t="n"/>
      <c r="K6131">
        <f>IF(D6131="Legitimate Interest (GDPR Art. 6(1)(f))", "Yes / Required (Sheet 3)", "")</f>
        <v/>
      </c>
      <c r="L6131" s="7" t="n"/>
      <c r="M6131" s="7" t="n"/>
      <c r="N6131">
        <f>IF(D6131="", "Gap - No Legal Basis", IF(AND(D6131="Consent (GDPR Art. 6(1)(a))", I6131="Not Captured"), "Gap - Invalid Consent", IF(AND(D6131="Legitimate Interest (GDPR Art. 6(1)(f))", L6131=""), "Gap - Missing LIA", IF(AND(G6131="Yes", H6131=""), "Gap - Missing Art. 9 Basis", IF(OR(I6131="Invalid - Not Freely Given", I6131="Invalid - Not Specific", I6131="Invalid - Not Informed", I6131="Invalid - Ambiguous"), "Gap - Invalid Consent", "Compliant")))))</f>
        <v/>
      </c>
      <c r="O6131" s="7" t="n"/>
    </row>
    <row r="6132">
      <c r="A6132" s="7" t="n"/>
      <c r="B6132" s="7" t="n"/>
      <c r="C6132" s="7" t="n"/>
      <c r="D6132" s="7" t="n"/>
      <c r="E6132" s="7" t="n"/>
      <c r="F6132" s="7" t="n"/>
      <c r="G6132" s="7" t="n"/>
      <c r="H6132" s="7" t="n"/>
      <c r="I6132" s="7" t="n"/>
      <c r="J6132" s="7" t="n"/>
      <c r="K6132">
        <f>IF(D6132="Legitimate Interest (GDPR Art. 6(1)(f))", "Yes / Required (Sheet 3)", "")</f>
        <v/>
      </c>
      <c r="L6132" s="7" t="n"/>
      <c r="M6132" s="7" t="n"/>
      <c r="N6132">
        <f>IF(D6132="", "Gap - No Legal Basis", IF(AND(D6132="Consent (GDPR Art. 6(1)(a))", I6132="Not Captured"), "Gap - Invalid Consent", IF(AND(D6132="Legitimate Interest (GDPR Art. 6(1)(f))", L6132=""), "Gap - Missing LIA", IF(AND(G6132="Yes", H6132=""), "Gap - Missing Art. 9 Basis", IF(OR(I6132="Invalid - Not Freely Given", I6132="Invalid - Not Specific", I6132="Invalid - Not Informed", I6132="Invalid - Ambiguous"), "Gap - Invalid Consent", "Compliant")))))</f>
        <v/>
      </c>
      <c r="O6132" s="7" t="n"/>
    </row>
    <row r="6133">
      <c r="A6133" s="7" t="n"/>
      <c r="B6133" s="7" t="n"/>
      <c r="C6133" s="7" t="n"/>
      <c r="D6133" s="7" t="n"/>
      <c r="E6133" s="7" t="n"/>
      <c r="F6133" s="7" t="n"/>
      <c r="G6133" s="7" t="n"/>
      <c r="H6133" s="7" t="n"/>
      <c r="I6133" s="7" t="n"/>
      <c r="J6133" s="7" t="n"/>
      <c r="K6133">
        <f>IF(D6133="Legitimate Interest (GDPR Art. 6(1)(f))", "Yes / Required (Sheet 3)", "")</f>
        <v/>
      </c>
      <c r="L6133" s="7" t="n"/>
      <c r="M6133" s="7" t="n"/>
      <c r="N6133">
        <f>IF(D6133="", "Gap - No Legal Basis", IF(AND(D6133="Consent (GDPR Art. 6(1)(a))", I6133="Not Captured"), "Gap - Invalid Consent", IF(AND(D6133="Legitimate Interest (GDPR Art. 6(1)(f))", L6133=""), "Gap - Missing LIA", IF(AND(G6133="Yes", H6133=""), "Gap - Missing Art. 9 Basis", IF(OR(I6133="Invalid - Not Freely Given", I6133="Invalid - Not Specific", I6133="Invalid - Not Informed", I6133="Invalid - Ambiguous"), "Gap - Invalid Consent", "Compliant")))))</f>
        <v/>
      </c>
      <c r="O6133" s="7" t="n"/>
    </row>
    <row r="6134">
      <c r="A6134" s="7" t="n"/>
      <c r="B6134" s="7" t="n"/>
      <c r="C6134" s="7" t="n"/>
      <c r="D6134" s="7" t="n"/>
      <c r="E6134" s="7" t="n"/>
      <c r="F6134" s="7" t="n"/>
      <c r="G6134" s="7" t="n"/>
      <c r="H6134" s="7" t="n"/>
      <c r="I6134" s="7" t="n"/>
      <c r="J6134" s="7" t="n"/>
      <c r="K6134">
        <f>IF(D6134="Legitimate Interest (GDPR Art. 6(1)(f))", "Yes / Required (Sheet 3)", "")</f>
        <v/>
      </c>
      <c r="L6134" s="7" t="n"/>
      <c r="M6134" s="7" t="n"/>
      <c r="N6134">
        <f>IF(D6134="", "Gap - No Legal Basis", IF(AND(D6134="Consent (GDPR Art. 6(1)(a))", I6134="Not Captured"), "Gap - Invalid Consent", IF(AND(D6134="Legitimate Interest (GDPR Art. 6(1)(f))", L6134=""), "Gap - Missing LIA", IF(AND(G6134="Yes", H6134=""), "Gap - Missing Art. 9 Basis", IF(OR(I6134="Invalid - Not Freely Given", I6134="Invalid - Not Specific", I6134="Invalid - Not Informed", I6134="Invalid - Ambiguous"), "Gap - Invalid Consent", "Compliant")))))</f>
        <v/>
      </c>
      <c r="O6134" s="7" t="n"/>
    </row>
    <row r="6135">
      <c r="A6135" s="7" t="n"/>
      <c r="B6135" s="7" t="n"/>
      <c r="C6135" s="7" t="n"/>
      <c r="D6135" s="7" t="n"/>
      <c r="E6135" s="7" t="n"/>
      <c r="F6135" s="7" t="n"/>
      <c r="G6135" s="7" t="n"/>
      <c r="H6135" s="7" t="n"/>
      <c r="I6135" s="7" t="n"/>
      <c r="J6135" s="7" t="n"/>
      <c r="K6135">
        <f>IF(D6135="Legitimate Interest (GDPR Art. 6(1)(f))", "Yes / Required (Sheet 3)", "")</f>
        <v/>
      </c>
      <c r="L6135" s="7" t="n"/>
      <c r="M6135" s="7" t="n"/>
      <c r="N6135">
        <f>IF(D6135="", "Gap - No Legal Basis", IF(AND(D6135="Consent (GDPR Art. 6(1)(a))", I6135="Not Captured"), "Gap - Invalid Consent", IF(AND(D6135="Legitimate Interest (GDPR Art. 6(1)(f))", L6135=""), "Gap - Missing LIA", IF(AND(G6135="Yes", H6135=""), "Gap - Missing Art. 9 Basis", IF(OR(I6135="Invalid - Not Freely Given", I6135="Invalid - Not Specific", I6135="Invalid - Not Informed", I6135="Invalid - Ambiguous"), "Gap - Invalid Consent", "Compliant")))))</f>
        <v/>
      </c>
      <c r="O6135" s="7" t="n"/>
    </row>
    <row r="6136">
      <c r="A6136" s="7" t="n"/>
      <c r="B6136" s="7" t="n"/>
      <c r="C6136" s="7" t="n"/>
      <c r="D6136" s="7" t="n"/>
      <c r="E6136" s="7" t="n"/>
      <c r="F6136" s="7" t="n"/>
      <c r="G6136" s="7" t="n"/>
      <c r="H6136" s="7" t="n"/>
      <c r="I6136" s="7" t="n"/>
      <c r="J6136" s="7" t="n"/>
      <c r="K6136">
        <f>IF(D6136="Legitimate Interest (GDPR Art. 6(1)(f))", "Yes / Required (Sheet 3)", "")</f>
        <v/>
      </c>
      <c r="L6136" s="7" t="n"/>
      <c r="M6136" s="7" t="n"/>
      <c r="N6136">
        <f>IF(D6136="", "Gap - No Legal Basis", IF(AND(D6136="Consent (GDPR Art. 6(1)(a))", I6136="Not Captured"), "Gap - Invalid Consent", IF(AND(D6136="Legitimate Interest (GDPR Art. 6(1)(f))", L6136=""), "Gap - Missing LIA", IF(AND(G6136="Yes", H6136=""), "Gap - Missing Art. 9 Basis", IF(OR(I6136="Invalid - Not Freely Given", I6136="Invalid - Not Specific", I6136="Invalid - Not Informed", I6136="Invalid - Ambiguous"), "Gap - Invalid Consent", "Compliant")))))</f>
        <v/>
      </c>
      <c r="O6136" s="7" t="n"/>
    </row>
    <row r="6137">
      <c r="A6137" s="7" t="n"/>
      <c r="B6137" s="7" t="n"/>
      <c r="C6137" s="7" t="n"/>
      <c r="D6137" s="7" t="n"/>
      <c r="E6137" s="7" t="n"/>
      <c r="F6137" s="7" t="n"/>
      <c r="G6137" s="7" t="n"/>
      <c r="H6137" s="7" t="n"/>
      <c r="I6137" s="7" t="n"/>
      <c r="J6137" s="7" t="n"/>
      <c r="K6137">
        <f>IF(D6137="Legitimate Interest (GDPR Art. 6(1)(f))", "Yes / Required (Sheet 3)", "")</f>
        <v/>
      </c>
      <c r="L6137" s="7" t="n"/>
      <c r="M6137" s="7" t="n"/>
      <c r="N6137">
        <f>IF(D6137="", "Gap - No Legal Basis", IF(AND(D6137="Consent (GDPR Art. 6(1)(a))", I6137="Not Captured"), "Gap - Invalid Consent", IF(AND(D6137="Legitimate Interest (GDPR Art. 6(1)(f))", L6137=""), "Gap - Missing LIA", IF(AND(G6137="Yes", H6137=""), "Gap - Missing Art. 9 Basis", IF(OR(I6137="Invalid - Not Freely Given", I6137="Invalid - Not Specific", I6137="Invalid - Not Informed", I6137="Invalid - Ambiguous"), "Gap - Invalid Consent", "Compliant")))))</f>
        <v/>
      </c>
      <c r="O6137" s="7" t="n"/>
    </row>
    <row r="6138">
      <c r="A6138" s="7" t="n"/>
      <c r="B6138" s="7" t="n"/>
      <c r="C6138" s="7" t="n"/>
      <c r="D6138" s="7" t="n"/>
      <c r="E6138" s="7" t="n"/>
      <c r="F6138" s="7" t="n"/>
      <c r="G6138" s="7" t="n"/>
      <c r="H6138" s="7" t="n"/>
      <c r="I6138" s="7" t="n"/>
      <c r="J6138" s="7" t="n"/>
      <c r="K6138">
        <f>IF(D6138="Legitimate Interest (GDPR Art. 6(1)(f))", "Yes / Required (Sheet 3)", "")</f>
        <v/>
      </c>
      <c r="L6138" s="7" t="n"/>
      <c r="M6138" s="7" t="n"/>
      <c r="N6138">
        <f>IF(D6138="", "Gap - No Legal Basis", IF(AND(D6138="Consent (GDPR Art. 6(1)(a))", I6138="Not Captured"), "Gap - Invalid Consent", IF(AND(D6138="Legitimate Interest (GDPR Art. 6(1)(f))", L6138=""), "Gap - Missing LIA", IF(AND(G6138="Yes", H6138=""), "Gap - Missing Art. 9 Basis", IF(OR(I6138="Invalid - Not Freely Given", I6138="Invalid - Not Specific", I6138="Invalid - Not Informed", I6138="Invalid - Ambiguous"), "Gap - Invalid Consent", "Compliant")))))</f>
        <v/>
      </c>
      <c r="O6138" s="7" t="n"/>
    </row>
    <row r="6139">
      <c r="A6139" s="7" t="n"/>
      <c r="B6139" s="7" t="n"/>
      <c r="C6139" s="7" t="n"/>
      <c r="D6139" s="7" t="n"/>
      <c r="E6139" s="7" t="n"/>
      <c r="F6139" s="7" t="n"/>
      <c r="G6139" s="7" t="n"/>
      <c r="H6139" s="7" t="n"/>
      <c r="I6139" s="7" t="n"/>
      <c r="J6139" s="7" t="n"/>
      <c r="K6139">
        <f>IF(D6139="Legitimate Interest (GDPR Art. 6(1)(f))", "Yes / Required (Sheet 3)", "")</f>
        <v/>
      </c>
      <c r="L6139" s="7" t="n"/>
      <c r="M6139" s="7" t="n"/>
      <c r="N6139">
        <f>IF(D6139="", "Gap - No Legal Basis", IF(AND(D6139="Consent (GDPR Art. 6(1)(a))", I6139="Not Captured"), "Gap - Invalid Consent", IF(AND(D6139="Legitimate Interest (GDPR Art. 6(1)(f))", L6139=""), "Gap - Missing LIA", IF(AND(G6139="Yes", H6139=""), "Gap - Missing Art. 9 Basis", IF(OR(I6139="Invalid - Not Freely Given", I6139="Invalid - Not Specific", I6139="Invalid - Not Informed", I6139="Invalid - Ambiguous"), "Gap - Invalid Consent", "Compliant")))))</f>
        <v/>
      </c>
      <c r="O6139" s="7" t="n"/>
    </row>
    <row r="6140">
      <c r="A6140" s="7" t="n"/>
      <c r="B6140" s="7" t="n"/>
      <c r="C6140" s="7" t="n"/>
      <c r="D6140" s="7" t="n"/>
      <c r="E6140" s="7" t="n"/>
      <c r="F6140" s="7" t="n"/>
      <c r="G6140" s="7" t="n"/>
      <c r="H6140" s="7" t="n"/>
      <c r="I6140" s="7" t="n"/>
      <c r="J6140" s="7" t="n"/>
      <c r="K6140">
        <f>IF(D6140="Legitimate Interest (GDPR Art. 6(1)(f))", "Yes / Required (Sheet 3)", "")</f>
        <v/>
      </c>
      <c r="L6140" s="7" t="n"/>
      <c r="M6140" s="7" t="n"/>
      <c r="N6140">
        <f>IF(D6140="", "Gap - No Legal Basis", IF(AND(D6140="Consent (GDPR Art. 6(1)(a))", I6140="Not Captured"), "Gap - Invalid Consent", IF(AND(D6140="Legitimate Interest (GDPR Art. 6(1)(f))", L6140=""), "Gap - Missing LIA", IF(AND(G6140="Yes", H6140=""), "Gap - Missing Art. 9 Basis", IF(OR(I6140="Invalid - Not Freely Given", I6140="Invalid - Not Specific", I6140="Invalid - Not Informed", I6140="Invalid - Ambiguous"), "Gap - Invalid Consent", "Compliant")))))</f>
        <v/>
      </c>
      <c r="O6140" s="7" t="n"/>
    </row>
    <row r="6141">
      <c r="A6141" s="7" t="n"/>
      <c r="B6141" s="7" t="n"/>
      <c r="C6141" s="7" t="n"/>
      <c r="D6141" s="7" t="n"/>
      <c r="E6141" s="7" t="n"/>
      <c r="F6141" s="7" t="n"/>
      <c r="G6141" s="7" t="n"/>
      <c r="H6141" s="7" t="n"/>
      <c r="I6141" s="7" t="n"/>
      <c r="J6141" s="7" t="n"/>
      <c r="K6141">
        <f>IF(D6141="Legitimate Interest (GDPR Art. 6(1)(f))", "Yes / Required (Sheet 3)", "")</f>
        <v/>
      </c>
      <c r="L6141" s="7" t="n"/>
      <c r="M6141" s="7" t="n"/>
      <c r="N6141">
        <f>IF(D6141="", "Gap - No Legal Basis", IF(AND(D6141="Consent (GDPR Art. 6(1)(a))", I6141="Not Captured"), "Gap - Invalid Consent", IF(AND(D6141="Legitimate Interest (GDPR Art. 6(1)(f))", L6141=""), "Gap - Missing LIA", IF(AND(G6141="Yes", H6141=""), "Gap - Missing Art. 9 Basis", IF(OR(I6141="Invalid - Not Freely Given", I6141="Invalid - Not Specific", I6141="Invalid - Not Informed", I6141="Invalid - Ambiguous"), "Gap - Invalid Consent", "Compliant")))))</f>
        <v/>
      </c>
      <c r="O6141" s="7" t="n"/>
    </row>
    <row r="6142">
      <c r="A6142" s="7" t="n"/>
      <c r="B6142" s="7" t="n"/>
      <c r="C6142" s="7" t="n"/>
      <c r="D6142" s="7" t="n"/>
      <c r="E6142" s="7" t="n"/>
      <c r="F6142" s="7" t="n"/>
      <c r="G6142" s="7" t="n"/>
      <c r="H6142" s="7" t="n"/>
      <c r="I6142" s="7" t="n"/>
      <c r="J6142" s="7" t="n"/>
      <c r="K6142">
        <f>IF(D6142="Legitimate Interest (GDPR Art. 6(1)(f))", "Yes / Required (Sheet 3)", "")</f>
        <v/>
      </c>
      <c r="L6142" s="7" t="n"/>
      <c r="M6142" s="7" t="n"/>
      <c r="N6142">
        <f>IF(D6142="", "Gap - No Legal Basis", IF(AND(D6142="Consent (GDPR Art. 6(1)(a))", I6142="Not Captured"), "Gap - Invalid Consent", IF(AND(D6142="Legitimate Interest (GDPR Art. 6(1)(f))", L6142=""), "Gap - Missing LIA", IF(AND(G6142="Yes", H6142=""), "Gap - Missing Art. 9 Basis", IF(OR(I6142="Invalid - Not Freely Given", I6142="Invalid - Not Specific", I6142="Invalid - Not Informed", I6142="Invalid - Ambiguous"), "Gap - Invalid Consent", "Compliant")))))</f>
        <v/>
      </c>
      <c r="O6142" s="7" t="n"/>
    </row>
    <row r="6143">
      <c r="A6143" s="7" t="n"/>
      <c r="B6143" s="7" t="n"/>
      <c r="C6143" s="7" t="n"/>
      <c r="D6143" s="7" t="n"/>
      <c r="E6143" s="7" t="n"/>
      <c r="F6143" s="7" t="n"/>
      <c r="G6143" s="7" t="n"/>
      <c r="H6143" s="7" t="n"/>
      <c r="I6143" s="7" t="n"/>
      <c r="J6143" s="7" t="n"/>
      <c r="K6143">
        <f>IF(D6143="Legitimate Interest (GDPR Art. 6(1)(f))", "Yes / Required (Sheet 3)", "")</f>
        <v/>
      </c>
      <c r="L6143" s="7" t="n"/>
      <c r="M6143" s="7" t="n"/>
      <c r="N6143">
        <f>IF(D6143="", "Gap - No Legal Basis", IF(AND(D6143="Consent (GDPR Art. 6(1)(a))", I6143="Not Captured"), "Gap - Invalid Consent", IF(AND(D6143="Legitimate Interest (GDPR Art. 6(1)(f))", L6143=""), "Gap - Missing LIA", IF(AND(G6143="Yes", H6143=""), "Gap - Missing Art. 9 Basis", IF(OR(I6143="Invalid - Not Freely Given", I6143="Invalid - Not Specific", I6143="Invalid - Not Informed", I6143="Invalid - Ambiguous"), "Gap - Invalid Consent", "Compliant")))))</f>
        <v/>
      </c>
      <c r="O6143" s="7" t="n"/>
    </row>
    <row r="6144">
      <c r="A6144" s="7" t="n"/>
      <c r="B6144" s="7" t="n"/>
      <c r="C6144" s="7" t="n"/>
      <c r="D6144" s="7" t="n"/>
      <c r="E6144" s="7" t="n"/>
      <c r="F6144" s="7" t="n"/>
      <c r="G6144" s="7" t="n"/>
      <c r="H6144" s="7" t="n"/>
      <c r="I6144" s="7" t="n"/>
      <c r="J6144" s="7" t="n"/>
      <c r="K6144">
        <f>IF(D6144="Legitimate Interest (GDPR Art. 6(1)(f))", "Yes / Required (Sheet 3)", "")</f>
        <v/>
      </c>
      <c r="L6144" s="7" t="n"/>
      <c r="M6144" s="7" t="n"/>
      <c r="N6144">
        <f>IF(D6144="", "Gap - No Legal Basis", IF(AND(D6144="Consent (GDPR Art. 6(1)(a))", I6144="Not Captured"), "Gap - Invalid Consent", IF(AND(D6144="Legitimate Interest (GDPR Art. 6(1)(f))", L6144=""), "Gap - Missing LIA", IF(AND(G6144="Yes", H6144=""), "Gap - Missing Art. 9 Basis", IF(OR(I6144="Invalid - Not Freely Given", I6144="Invalid - Not Specific", I6144="Invalid - Not Informed", I6144="Invalid - Ambiguous"), "Gap - Invalid Consent", "Compliant")))))</f>
        <v/>
      </c>
      <c r="O6144" s="7" t="n"/>
    </row>
    <row r="6145">
      <c r="A6145" s="7" t="n"/>
      <c r="B6145" s="7" t="n"/>
      <c r="C6145" s="7" t="n"/>
      <c r="D6145" s="7" t="n"/>
      <c r="E6145" s="7" t="n"/>
      <c r="F6145" s="7" t="n"/>
      <c r="G6145" s="7" t="n"/>
      <c r="H6145" s="7" t="n"/>
      <c r="I6145" s="7" t="n"/>
      <c r="J6145" s="7" t="n"/>
      <c r="K6145">
        <f>IF(D6145="Legitimate Interest (GDPR Art. 6(1)(f))", "Yes / Required (Sheet 3)", "")</f>
        <v/>
      </c>
      <c r="L6145" s="7" t="n"/>
      <c r="M6145" s="7" t="n"/>
      <c r="N6145">
        <f>IF(D6145="", "Gap - No Legal Basis", IF(AND(D6145="Consent (GDPR Art. 6(1)(a))", I6145="Not Captured"), "Gap - Invalid Consent", IF(AND(D6145="Legitimate Interest (GDPR Art. 6(1)(f))", L6145=""), "Gap - Missing LIA", IF(AND(G6145="Yes", H6145=""), "Gap - Missing Art. 9 Basis", IF(OR(I6145="Invalid - Not Freely Given", I6145="Invalid - Not Specific", I6145="Invalid - Not Informed", I6145="Invalid - Ambiguous"), "Gap - Invalid Consent", "Compliant")))))</f>
        <v/>
      </c>
      <c r="O6145" s="7" t="n"/>
    </row>
    <row r="6146">
      <c r="A6146" s="7" t="n"/>
      <c r="B6146" s="7" t="n"/>
      <c r="C6146" s="7" t="n"/>
      <c r="D6146" s="7" t="n"/>
      <c r="E6146" s="7" t="n"/>
      <c r="F6146" s="7" t="n"/>
      <c r="G6146" s="7" t="n"/>
      <c r="H6146" s="7" t="n"/>
      <c r="I6146" s="7" t="n"/>
      <c r="J6146" s="7" t="n"/>
      <c r="K6146">
        <f>IF(D6146="Legitimate Interest (GDPR Art. 6(1)(f))", "Yes / Required (Sheet 3)", "")</f>
        <v/>
      </c>
      <c r="L6146" s="7" t="n"/>
      <c r="M6146" s="7" t="n"/>
      <c r="N6146">
        <f>IF(D6146="", "Gap - No Legal Basis", IF(AND(D6146="Consent (GDPR Art. 6(1)(a))", I6146="Not Captured"), "Gap - Invalid Consent", IF(AND(D6146="Legitimate Interest (GDPR Art. 6(1)(f))", L6146=""), "Gap - Missing LIA", IF(AND(G6146="Yes", H6146=""), "Gap - Missing Art. 9 Basis", IF(OR(I6146="Invalid - Not Freely Given", I6146="Invalid - Not Specific", I6146="Invalid - Not Informed", I6146="Invalid - Ambiguous"), "Gap - Invalid Consent", "Compliant")))))</f>
        <v/>
      </c>
      <c r="O6146" s="7" t="n"/>
    </row>
    <row r="6147">
      <c r="A6147" s="7" t="n"/>
      <c r="B6147" s="7" t="n"/>
      <c r="C6147" s="7" t="n"/>
      <c r="D6147" s="7" t="n"/>
      <c r="E6147" s="7" t="n"/>
      <c r="F6147" s="7" t="n"/>
      <c r="G6147" s="7" t="n"/>
      <c r="H6147" s="7" t="n"/>
      <c r="I6147" s="7" t="n"/>
      <c r="J6147" s="7" t="n"/>
      <c r="K6147">
        <f>IF(D6147="Legitimate Interest (GDPR Art. 6(1)(f))", "Yes / Required (Sheet 3)", "")</f>
        <v/>
      </c>
      <c r="L6147" s="7" t="n"/>
      <c r="M6147" s="7" t="n"/>
      <c r="N6147">
        <f>IF(D6147="", "Gap - No Legal Basis", IF(AND(D6147="Consent (GDPR Art. 6(1)(a))", I6147="Not Captured"), "Gap - Invalid Consent", IF(AND(D6147="Legitimate Interest (GDPR Art. 6(1)(f))", L6147=""), "Gap - Missing LIA", IF(AND(G6147="Yes", H6147=""), "Gap - Missing Art. 9 Basis", IF(OR(I6147="Invalid - Not Freely Given", I6147="Invalid - Not Specific", I6147="Invalid - Not Informed", I6147="Invalid - Ambiguous"), "Gap - Invalid Consent", "Compliant")))))</f>
        <v/>
      </c>
      <c r="O6147" s="7" t="n"/>
    </row>
    <row r="6148">
      <c r="A6148" s="7" t="n"/>
      <c r="B6148" s="7" t="n"/>
      <c r="C6148" s="7" t="n"/>
      <c r="D6148" s="7" t="n"/>
      <c r="E6148" s="7" t="n"/>
      <c r="F6148" s="7" t="n"/>
      <c r="G6148" s="7" t="n"/>
      <c r="H6148" s="7" t="n"/>
      <c r="I6148" s="7" t="n"/>
      <c r="J6148" s="7" t="n"/>
      <c r="K6148">
        <f>IF(D6148="Legitimate Interest (GDPR Art. 6(1)(f))", "Yes / Required (Sheet 3)", "")</f>
        <v/>
      </c>
      <c r="L6148" s="7" t="n"/>
      <c r="M6148" s="7" t="n"/>
      <c r="N6148">
        <f>IF(D6148="", "Gap - No Legal Basis", IF(AND(D6148="Consent (GDPR Art. 6(1)(a))", I6148="Not Captured"), "Gap - Invalid Consent", IF(AND(D6148="Legitimate Interest (GDPR Art. 6(1)(f))", L6148=""), "Gap - Missing LIA", IF(AND(G6148="Yes", H6148=""), "Gap - Missing Art. 9 Basis", IF(OR(I6148="Invalid - Not Freely Given", I6148="Invalid - Not Specific", I6148="Invalid - Not Informed", I6148="Invalid - Ambiguous"), "Gap - Invalid Consent", "Compliant")))))</f>
        <v/>
      </c>
      <c r="O6148" s="7" t="n"/>
    </row>
    <row r="6149">
      <c r="A6149" s="7" t="n"/>
      <c r="B6149" s="7" t="n"/>
      <c r="C6149" s="7" t="n"/>
      <c r="D6149" s="7" t="n"/>
      <c r="E6149" s="7" t="n"/>
      <c r="F6149" s="7" t="n"/>
      <c r="G6149" s="7" t="n"/>
      <c r="H6149" s="7" t="n"/>
      <c r="I6149" s="7" t="n"/>
      <c r="J6149" s="7" t="n"/>
      <c r="K6149">
        <f>IF(D6149="Legitimate Interest (GDPR Art. 6(1)(f))", "Yes / Required (Sheet 3)", "")</f>
        <v/>
      </c>
      <c r="L6149" s="7" t="n"/>
      <c r="M6149" s="7" t="n"/>
      <c r="N6149">
        <f>IF(D6149="", "Gap - No Legal Basis", IF(AND(D6149="Consent (GDPR Art. 6(1)(a))", I6149="Not Captured"), "Gap - Invalid Consent", IF(AND(D6149="Legitimate Interest (GDPR Art. 6(1)(f))", L6149=""), "Gap - Missing LIA", IF(AND(G6149="Yes", H6149=""), "Gap - Missing Art. 9 Basis", IF(OR(I6149="Invalid - Not Freely Given", I6149="Invalid - Not Specific", I6149="Invalid - Not Informed", I6149="Invalid - Ambiguous"), "Gap - Invalid Consent", "Compliant")))))</f>
        <v/>
      </c>
      <c r="O6149" s="7" t="n"/>
    </row>
    <row r="6150">
      <c r="A6150" s="7" t="n"/>
      <c r="B6150" s="7" t="n"/>
      <c r="C6150" s="7" t="n"/>
      <c r="D6150" s="7" t="n"/>
      <c r="E6150" s="7" t="n"/>
      <c r="F6150" s="7" t="n"/>
      <c r="G6150" s="7" t="n"/>
      <c r="H6150" s="7" t="n"/>
      <c r="I6150" s="7" t="n"/>
      <c r="J6150" s="7" t="n"/>
      <c r="K6150">
        <f>IF(D6150="Legitimate Interest (GDPR Art. 6(1)(f))", "Yes / Required (Sheet 3)", "")</f>
        <v/>
      </c>
      <c r="L6150" s="7" t="n"/>
      <c r="M6150" s="7" t="n"/>
      <c r="N6150">
        <f>IF(D6150="", "Gap - No Legal Basis", IF(AND(D6150="Consent (GDPR Art. 6(1)(a))", I6150="Not Captured"), "Gap - Invalid Consent", IF(AND(D6150="Legitimate Interest (GDPR Art. 6(1)(f))", L6150=""), "Gap - Missing LIA", IF(AND(G6150="Yes", H6150=""), "Gap - Missing Art. 9 Basis", IF(OR(I6150="Invalid - Not Freely Given", I6150="Invalid - Not Specific", I6150="Invalid - Not Informed", I6150="Invalid - Ambiguous"), "Gap - Invalid Consent", "Compliant")))))</f>
        <v/>
      </c>
      <c r="O6150" s="7" t="n"/>
    </row>
    <row r="6151">
      <c r="A6151" s="7" t="n"/>
      <c r="B6151" s="7" t="n"/>
      <c r="C6151" s="7" t="n"/>
      <c r="D6151" s="7" t="n"/>
      <c r="E6151" s="7" t="n"/>
      <c r="F6151" s="7" t="n"/>
      <c r="G6151" s="7" t="n"/>
      <c r="H6151" s="7" t="n"/>
      <c r="I6151" s="7" t="n"/>
      <c r="J6151" s="7" t="n"/>
      <c r="K6151">
        <f>IF(D6151="Legitimate Interest (GDPR Art. 6(1)(f))", "Yes / Required (Sheet 3)", "")</f>
        <v/>
      </c>
      <c r="L6151" s="7" t="n"/>
      <c r="M6151" s="7" t="n"/>
      <c r="N6151">
        <f>IF(D6151="", "Gap - No Legal Basis", IF(AND(D6151="Consent (GDPR Art. 6(1)(a))", I6151="Not Captured"), "Gap - Invalid Consent", IF(AND(D6151="Legitimate Interest (GDPR Art. 6(1)(f))", L6151=""), "Gap - Missing LIA", IF(AND(G6151="Yes", H6151=""), "Gap - Missing Art. 9 Basis", IF(OR(I6151="Invalid - Not Freely Given", I6151="Invalid - Not Specific", I6151="Invalid - Not Informed", I6151="Invalid - Ambiguous"), "Gap - Invalid Consent", "Compliant")))))</f>
        <v/>
      </c>
      <c r="O6151" s="7" t="n"/>
    </row>
    <row r="6152">
      <c r="A6152" s="7" t="n"/>
      <c r="B6152" s="7" t="n"/>
      <c r="C6152" s="7" t="n"/>
      <c r="D6152" s="7" t="n"/>
      <c r="E6152" s="7" t="n"/>
      <c r="F6152" s="7" t="n"/>
      <c r="G6152" s="7" t="n"/>
      <c r="H6152" s="7" t="n"/>
      <c r="I6152" s="7" t="n"/>
      <c r="J6152" s="7" t="n"/>
      <c r="K6152">
        <f>IF(D6152="Legitimate Interest (GDPR Art. 6(1)(f))", "Yes / Required (Sheet 3)", "")</f>
        <v/>
      </c>
      <c r="L6152" s="7" t="n"/>
      <c r="M6152" s="7" t="n"/>
      <c r="N6152">
        <f>IF(D6152="", "Gap - No Legal Basis", IF(AND(D6152="Consent (GDPR Art. 6(1)(a))", I6152="Not Captured"), "Gap - Invalid Consent", IF(AND(D6152="Legitimate Interest (GDPR Art. 6(1)(f))", L6152=""), "Gap - Missing LIA", IF(AND(G6152="Yes", H6152=""), "Gap - Missing Art. 9 Basis", IF(OR(I6152="Invalid - Not Freely Given", I6152="Invalid - Not Specific", I6152="Invalid - Not Informed", I6152="Invalid - Ambiguous"), "Gap - Invalid Consent", "Compliant")))))</f>
        <v/>
      </c>
      <c r="O6152" s="7" t="n"/>
    </row>
    <row r="6153">
      <c r="A6153" s="7" t="n"/>
      <c r="B6153" s="7" t="n"/>
      <c r="C6153" s="7" t="n"/>
      <c r="D6153" s="7" t="n"/>
      <c r="E6153" s="7" t="n"/>
      <c r="F6153" s="7" t="n"/>
      <c r="G6153" s="7" t="n"/>
      <c r="H6153" s="7" t="n"/>
      <c r="I6153" s="7" t="n"/>
      <c r="J6153" s="7" t="n"/>
      <c r="K6153">
        <f>IF(D6153="Legitimate Interest (GDPR Art. 6(1)(f))", "Yes / Required (Sheet 3)", "")</f>
        <v/>
      </c>
      <c r="L6153" s="7" t="n"/>
      <c r="M6153" s="7" t="n"/>
      <c r="N6153">
        <f>IF(D6153="", "Gap - No Legal Basis", IF(AND(D6153="Consent (GDPR Art. 6(1)(a))", I6153="Not Captured"), "Gap - Invalid Consent", IF(AND(D6153="Legitimate Interest (GDPR Art. 6(1)(f))", L6153=""), "Gap - Missing LIA", IF(AND(G6153="Yes", H6153=""), "Gap - Missing Art. 9 Basis", IF(OR(I6153="Invalid - Not Freely Given", I6153="Invalid - Not Specific", I6153="Invalid - Not Informed", I6153="Invalid - Ambiguous"), "Gap - Invalid Consent", "Compliant")))))</f>
        <v/>
      </c>
      <c r="O6153" s="7" t="n"/>
    </row>
    <row r="6154">
      <c r="A6154" s="7" t="n"/>
      <c r="B6154" s="7" t="n"/>
      <c r="C6154" s="7" t="n"/>
      <c r="D6154" s="7" t="n"/>
      <c r="E6154" s="7" t="n"/>
      <c r="F6154" s="7" t="n"/>
      <c r="G6154" s="7" t="n"/>
      <c r="H6154" s="7" t="n"/>
      <c r="I6154" s="7" t="n"/>
      <c r="J6154" s="7" t="n"/>
      <c r="K6154">
        <f>IF(D6154="Legitimate Interest (GDPR Art. 6(1)(f))", "Yes / Required (Sheet 3)", "")</f>
        <v/>
      </c>
      <c r="L6154" s="7" t="n"/>
      <c r="M6154" s="7" t="n"/>
      <c r="N6154">
        <f>IF(D6154="", "Gap - No Legal Basis", IF(AND(D6154="Consent (GDPR Art. 6(1)(a))", I6154="Not Captured"), "Gap - Invalid Consent", IF(AND(D6154="Legitimate Interest (GDPR Art. 6(1)(f))", L6154=""), "Gap - Missing LIA", IF(AND(G6154="Yes", H6154=""), "Gap - Missing Art. 9 Basis", IF(OR(I6154="Invalid - Not Freely Given", I6154="Invalid - Not Specific", I6154="Invalid - Not Informed", I6154="Invalid - Ambiguous"), "Gap - Invalid Consent", "Compliant")))))</f>
        <v/>
      </c>
      <c r="O6154" s="7" t="n"/>
    </row>
    <row r="6155">
      <c r="A6155" s="7" t="n"/>
      <c r="B6155" s="7" t="n"/>
      <c r="C6155" s="7" t="n"/>
      <c r="D6155" s="7" t="n"/>
      <c r="E6155" s="7" t="n"/>
      <c r="F6155" s="7" t="n"/>
      <c r="G6155" s="7" t="n"/>
      <c r="H6155" s="7" t="n"/>
      <c r="I6155" s="7" t="n"/>
      <c r="J6155" s="7" t="n"/>
      <c r="K6155">
        <f>IF(D6155="Legitimate Interest (GDPR Art. 6(1)(f))", "Yes / Required (Sheet 3)", "")</f>
        <v/>
      </c>
      <c r="L6155" s="7" t="n"/>
      <c r="M6155" s="7" t="n"/>
      <c r="N6155">
        <f>IF(D6155="", "Gap - No Legal Basis", IF(AND(D6155="Consent (GDPR Art. 6(1)(a))", I6155="Not Captured"), "Gap - Invalid Consent", IF(AND(D6155="Legitimate Interest (GDPR Art. 6(1)(f))", L6155=""), "Gap - Missing LIA", IF(AND(G6155="Yes", H6155=""), "Gap - Missing Art. 9 Basis", IF(OR(I6155="Invalid - Not Freely Given", I6155="Invalid - Not Specific", I6155="Invalid - Not Informed", I6155="Invalid - Ambiguous"), "Gap - Invalid Consent", "Compliant")))))</f>
        <v/>
      </c>
      <c r="O6155" s="7" t="n"/>
    </row>
    <row r="6156">
      <c r="A6156" s="7" t="n"/>
      <c r="B6156" s="7" t="n"/>
      <c r="C6156" s="7" t="n"/>
      <c r="D6156" s="7" t="n"/>
      <c r="E6156" s="7" t="n"/>
      <c r="F6156" s="7" t="n"/>
      <c r="G6156" s="7" t="n"/>
      <c r="H6156" s="7" t="n"/>
      <c r="I6156" s="7" t="n"/>
      <c r="J6156" s="7" t="n"/>
      <c r="K6156">
        <f>IF(D6156="Legitimate Interest (GDPR Art. 6(1)(f))", "Yes / Required (Sheet 3)", "")</f>
        <v/>
      </c>
      <c r="L6156" s="7" t="n"/>
      <c r="M6156" s="7" t="n"/>
      <c r="N6156">
        <f>IF(D6156="", "Gap - No Legal Basis", IF(AND(D6156="Consent (GDPR Art. 6(1)(a))", I6156="Not Captured"), "Gap - Invalid Consent", IF(AND(D6156="Legitimate Interest (GDPR Art. 6(1)(f))", L6156=""), "Gap - Missing LIA", IF(AND(G6156="Yes", H6156=""), "Gap - Missing Art. 9 Basis", IF(OR(I6156="Invalid - Not Freely Given", I6156="Invalid - Not Specific", I6156="Invalid - Not Informed", I6156="Invalid - Ambiguous"), "Gap - Invalid Consent", "Compliant")))))</f>
        <v/>
      </c>
      <c r="O6156" s="7" t="n"/>
    </row>
    <row r="6157">
      <c r="A6157" s="7" t="n"/>
      <c r="B6157" s="7" t="n"/>
      <c r="C6157" s="7" t="n"/>
      <c r="D6157" s="7" t="n"/>
      <c r="E6157" s="7" t="n"/>
      <c r="F6157" s="7" t="n"/>
      <c r="G6157" s="7" t="n"/>
      <c r="H6157" s="7" t="n"/>
      <c r="I6157" s="7" t="n"/>
      <c r="J6157" s="7" t="n"/>
      <c r="K6157">
        <f>IF(D6157="Legitimate Interest (GDPR Art. 6(1)(f))", "Yes / Required (Sheet 3)", "")</f>
        <v/>
      </c>
      <c r="L6157" s="7" t="n"/>
      <c r="M6157" s="7" t="n"/>
      <c r="N6157">
        <f>IF(D6157="", "Gap - No Legal Basis", IF(AND(D6157="Consent (GDPR Art. 6(1)(a))", I6157="Not Captured"), "Gap - Invalid Consent", IF(AND(D6157="Legitimate Interest (GDPR Art. 6(1)(f))", L6157=""), "Gap - Missing LIA", IF(AND(G6157="Yes", H6157=""), "Gap - Missing Art. 9 Basis", IF(OR(I6157="Invalid - Not Freely Given", I6157="Invalid - Not Specific", I6157="Invalid - Not Informed", I6157="Invalid - Ambiguous"), "Gap - Invalid Consent", "Compliant")))))</f>
        <v/>
      </c>
      <c r="O6157" s="7" t="n"/>
    </row>
    <row r="6158">
      <c r="A6158" s="7" t="n"/>
      <c r="B6158" s="7" t="n"/>
      <c r="C6158" s="7" t="n"/>
      <c r="D6158" s="7" t="n"/>
      <c r="E6158" s="7" t="n"/>
      <c r="F6158" s="7" t="n"/>
      <c r="G6158" s="7" t="n"/>
      <c r="H6158" s="7" t="n"/>
      <c r="I6158" s="7" t="n"/>
      <c r="J6158" s="7" t="n"/>
      <c r="K6158">
        <f>IF(D6158="Legitimate Interest (GDPR Art. 6(1)(f))", "Yes / Required (Sheet 3)", "")</f>
        <v/>
      </c>
      <c r="L6158" s="7" t="n"/>
      <c r="M6158" s="7" t="n"/>
      <c r="N6158">
        <f>IF(D6158="", "Gap - No Legal Basis", IF(AND(D6158="Consent (GDPR Art. 6(1)(a))", I6158="Not Captured"), "Gap - Invalid Consent", IF(AND(D6158="Legitimate Interest (GDPR Art. 6(1)(f))", L6158=""), "Gap - Missing LIA", IF(AND(G6158="Yes", H6158=""), "Gap - Missing Art. 9 Basis", IF(OR(I6158="Invalid - Not Freely Given", I6158="Invalid - Not Specific", I6158="Invalid - Not Informed", I6158="Invalid - Ambiguous"), "Gap - Invalid Consent", "Compliant")))))</f>
        <v/>
      </c>
      <c r="O6158" s="7" t="n"/>
    </row>
    <row r="6159">
      <c r="A6159" s="7" t="n"/>
      <c r="B6159" s="7" t="n"/>
      <c r="C6159" s="7" t="n"/>
      <c r="D6159" s="7" t="n"/>
      <c r="E6159" s="7" t="n"/>
      <c r="F6159" s="7" t="n"/>
      <c r="G6159" s="7" t="n"/>
      <c r="H6159" s="7" t="n"/>
      <c r="I6159" s="7" t="n"/>
      <c r="J6159" s="7" t="n"/>
      <c r="K6159">
        <f>IF(D6159="Legitimate Interest (GDPR Art. 6(1)(f))", "Yes / Required (Sheet 3)", "")</f>
        <v/>
      </c>
      <c r="L6159" s="7" t="n"/>
      <c r="M6159" s="7" t="n"/>
      <c r="N6159">
        <f>IF(D6159="", "Gap - No Legal Basis", IF(AND(D6159="Consent (GDPR Art. 6(1)(a))", I6159="Not Captured"), "Gap - Invalid Consent", IF(AND(D6159="Legitimate Interest (GDPR Art. 6(1)(f))", L6159=""), "Gap - Missing LIA", IF(AND(G6159="Yes", H6159=""), "Gap - Missing Art. 9 Basis", IF(OR(I6159="Invalid - Not Freely Given", I6159="Invalid - Not Specific", I6159="Invalid - Not Informed", I6159="Invalid - Ambiguous"), "Gap - Invalid Consent", "Compliant")))))</f>
        <v/>
      </c>
      <c r="O6159" s="7" t="n"/>
    </row>
    <row r="6160">
      <c r="A6160" s="7" t="n"/>
      <c r="B6160" s="7" t="n"/>
      <c r="C6160" s="7" t="n"/>
      <c r="D6160" s="7" t="n"/>
      <c r="E6160" s="7" t="n"/>
      <c r="F6160" s="7" t="n"/>
      <c r="G6160" s="7" t="n"/>
      <c r="H6160" s="7" t="n"/>
      <c r="I6160" s="7" t="n"/>
      <c r="J6160" s="7" t="n"/>
      <c r="K6160">
        <f>IF(D6160="Legitimate Interest (GDPR Art. 6(1)(f))", "Yes / Required (Sheet 3)", "")</f>
        <v/>
      </c>
      <c r="L6160" s="7" t="n"/>
      <c r="M6160" s="7" t="n"/>
      <c r="N6160">
        <f>IF(D6160="", "Gap - No Legal Basis", IF(AND(D6160="Consent (GDPR Art. 6(1)(a))", I6160="Not Captured"), "Gap - Invalid Consent", IF(AND(D6160="Legitimate Interest (GDPR Art. 6(1)(f))", L6160=""), "Gap - Missing LIA", IF(AND(G6160="Yes", H6160=""), "Gap - Missing Art. 9 Basis", IF(OR(I6160="Invalid - Not Freely Given", I6160="Invalid - Not Specific", I6160="Invalid - Not Informed", I6160="Invalid - Ambiguous"), "Gap - Invalid Consent", "Compliant")))))</f>
        <v/>
      </c>
      <c r="O6160" s="7" t="n"/>
    </row>
    <row r="6161">
      <c r="A6161" s="7" t="n"/>
      <c r="B6161" s="7" t="n"/>
      <c r="C6161" s="7" t="n"/>
      <c r="D6161" s="7" t="n"/>
      <c r="E6161" s="7" t="n"/>
      <c r="F6161" s="7" t="n"/>
      <c r="G6161" s="7" t="n"/>
      <c r="H6161" s="7" t="n"/>
      <c r="I6161" s="7" t="n"/>
      <c r="J6161" s="7" t="n"/>
      <c r="K6161">
        <f>IF(D6161="Legitimate Interest (GDPR Art. 6(1)(f))", "Yes / Required (Sheet 3)", "")</f>
        <v/>
      </c>
      <c r="L6161" s="7" t="n"/>
      <c r="M6161" s="7" t="n"/>
      <c r="N6161">
        <f>IF(D6161="", "Gap - No Legal Basis", IF(AND(D6161="Consent (GDPR Art. 6(1)(a))", I6161="Not Captured"), "Gap - Invalid Consent", IF(AND(D6161="Legitimate Interest (GDPR Art. 6(1)(f))", L6161=""), "Gap - Missing LIA", IF(AND(G6161="Yes", H6161=""), "Gap - Missing Art. 9 Basis", IF(OR(I6161="Invalid - Not Freely Given", I6161="Invalid - Not Specific", I6161="Invalid - Not Informed", I6161="Invalid - Ambiguous"), "Gap - Invalid Consent", "Compliant")))))</f>
        <v/>
      </c>
      <c r="O6161" s="7" t="n"/>
    </row>
    <row r="6162">
      <c r="A6162" s="7" t="n"/>
      <c r="B6162" s="7" t="n"/>
      <c r="C6162" s="7" t="n"/>
      <c r="D6162" s="7" t="n"/>
      <c r="E6162" s="7" t="n"/>
      <c r="F6162" s="7" t="n"/>
      <c r="G6162" s="7" t="n"/>
      <c r="H6162" s="7" t="n"/>
      <c r="I6162" s="7" t="n"/>
      <c r="J6162" s="7" t="n"/>
      <c r="K6162">
        <f>IF(D6162="Legitimate Interest (GDPR Art. 6(1)(f))", "Yes / Required (Sheet 3)", "")</f>
        <v/>
      </c>
      <c r="L6162" s="7" t="n"/>
      <c r="M6162" s="7" t="n"/>
      <c r="N6162">
        <f>IF(D6162="", "Gap - No Legal Basis", IF(AND(D6162="Consent (GDPR Art. 6(1)(a))", I6162="Not Captured"), "Gap - Invalid Consent", IF(AND(D6162="Legitimate Interest (GDPR Art. 6(1)(f))", L6162=""), "Gap - Missing LIA", IF(AND(G6162="Yes", H6162=""), "Gap - Missing Art. 9 Basis", IF(OR(I6162="Invalid - Not Freely Given", I6162="Invalid - Not Specific", I6162="Invalid - Not Informed", I6162="Invalid - Ambiguous"), "Gap - Invalid Consent", "Compliant")))))</f>
        <v/>
      </c>
      <c r="O6162" s="7" t="n"/>
    </row>
    <row r="6163">
      <c r="A6163" s="7" t="n"/>
      <c r="B6163" s="7" t="n"/>
      <c r="C6163" s="7" t="n"/>
      <c r="D6163" s="7" t="n"/>
      <c r="E6163" s="7" t="n"/>
      <c r="F6163" s="7" t="n"/>
      <c r="G6163" s="7" t="n"/>
      <c r="H6163" s="7" t="n"/>
      <c r="I6163" s="7" t="n"/>
      <c r="J6163" s="7" t="n"/>
      <c r="K6163">
        <f>IF(D6163="Legitimate Interest (GDPR Art. 6(1)(f))", "Yes / Required (Sheet 3)", "")</f>
        <v/>
      </c>
      <c r="L6163" s="7" t="n"/>
      <c r="M6163" s="7" t="n"/>
      <c r="N6163">
        <f>IF(D6163="", "Gap - No Legal Basis", IF(AND(D6163="Consent (GDPR Art. 6(1)(a))", I6163="Not Captured"), "Gap - Invalid Consent", IF(AND(D6163="Legitimate Interest (GDPR Art. 6(1)(f))", L6163=""), "Gap - Missing LIA", IF(AND(G6163="Yes", H6163=""), "Gap - Missing Art. 9 Basis", IF(OR(I6163="Invalid - Not Freely Given", I6163="Invalid - Not Specific", I6163="Invalid - Not Informed", I6163="Invalid - Ambiguous"), "Gap - Invalid Consent", "Compliant")))))</f>
        <v/>
      </c>
      <c r="O6163" s="7" t="n"/>
    </row>
    <row r="6164">
      <c r="A6164" s="7" t="n"/>
      <c r="B6164" s="7" t="n"/>
      <c r="C6164" s="7" t="n"/>
      <c r="D6164" s="7" t="n"/>
      <c r="E6164" s="7" t="n"/>
      <c r="F6164" s="7" t="n"/>
      <c r="G6164" s="7" t="n"/>
      <c r="H6164" s="7" t="n"/>
      <c r="I6164" s="7" t="n"/>
      <c r="J6164" s="7" t="n"/>
      <c r="K6164">
        <f>IF(D6164="Legitimate Interest (GDPR Art. 6(1)(f))", "Yes / Required (Sheet 3)", "")</f>
        <v/>
      </c>
      <c r="L6164" s="7" t="n"/>
      <c r="M6164" s="7" t="n"/>
      <c r="N6164">
        <f>IF(D6164="", "Gap - No Legal Basis", IF(AND(D6164="Consent (GDPR Art. 6(1)(a))", I6164="Not Captured"), "Gap - Invalid Consent", IF(AND(D6164="Legitimate Interest (GDPR Art. 6(1)(f))", L6164=""), "Gap - Missing LIA", IF(AND(G6164="Yes", H6164=""), "Gap - Missing Art. 9 Basis", IF(OR(I6164="Invalid - Not Freely Given", I6164="Invalid - Not Specific", I6164="Invalid - Not Informed", I6164="Invalid - Ambiguous"), "Gap - Invalid Consent", "Compliant")))))</f>
        <v/>
      </c>
      <c r="O6164" s="7" t="n"/>
    </row>
    <row r="6165">
      <c r="A6165" s="7" t="n"/>
      <c r="B6165" s="7" t="n"/>
      <c r="C6165" s="7" t="n"/>
      <c r="D6165" s="7" t="n"/>
      <c r="E6165" s="7" t="n"/>
      <c r="F6165" s="7" t="n"/>
      <c r="G6165" s="7" t="n"/>
      <c r="H6165" s="7" t="n"/>
      <c r="I6165" s="7" t="n"/>
      <c r="J6165" s="7" t="n"/>
      <c r="K6165">
        <f>IF(D6165="Legitimate Interest (GDPR Art. 6(1)(f))", "Yes / Required (Sheet 3)", "")</f>
        <v/>
      </c>
      <c r="L6165" s="7" t="n"/>
      <c r="M6165" s="7" t="n"/>
      <c r="N6165">
        <f>IF(D6165="", "Gap - No Legal Basis", IF(AND(D6165="Consent (GDPR Art. 6(1)(a))", I6165="Not Captured"), "Gap - Invalid Consent", IF(AND(D6165="Legitimate Interest (GDPR Art. 6(1)(f))", L6165=""), "Gap - Missing LIA", IF(AND(G6165="Yes", H6165=""), "Gap - Missing Art. 9 Basis", IF(OR(I6165="Invalid - Not Freely Given", I6165="Invalid - Not Specific", I6165="Invalid - Not Informed", I6165="Invalid - Ambiguous"), "Gap - Invalid Consent", "Compliant")))))</f>
        <v/>
      </c>
      <c r="O6165" s="7" t="n"/>
    </row>
    <row r="6166">
      <c r="A6166" s="7" t="n"/>
      <c r="B6166" s="7" t="n"/>
      <c r="C6166" s="7" t="n"/>
      <c r="D6166" s="7" t="n"/>
      <c r="E6166" s="7" t="n"/>
      <c r="F6166" s="7" t="n"/>
      <c r="G6166" s="7" t="n"/>
      <c r="H6166" s="7" t="n"/>
      <c r="I6166" s="7" t="n"/>
      <c r="J6166" s="7" t="n"/>
      <c r="K6166">
        <f>IF(D6166="Legitimate Interest (GDPR Art. 6(1)(f))", "Yes / Required (Sheet 3)", "")</f>
        <v/>
      </c>
      <c r="L6166" s="7" t="n"/>
      <c r="M6166" s="7" t="n"/>
      <c r="N6166">
        <f>IF(D6166="", "Gap - No Legal Basis", IF(AND(D6166="Consent (GDPR Art. 6(1)(a))", I6166="Not Captured"), "Gap - Invalid Consent", IF(AND(D6166="Legitimate Interest (GDPR Art. 6(1)(f))", L6166=""), "Gap - Missing LIA", IF(AND(G6166="Yes", H6166=""), "Gap - Missing Art. 9 Basis", IF(OR(I6166="Invalid - Not Freely Given", I6166="Invalid - Not Specific", I6166="Invalid - Not Informed", I6166="Invalid - Ambiguous"), "Gap - Invalid Consent", "Compliant")))))</f>
        <v/>
      </c>
      <c r="O6166" s="7" t="n"/>
    </row>
    <row r="6167">
      <c r="A6167" s="7" t="n"/>
      <c r="B6167" s="7" t="n"/>
      <c r="C6167" s="7" t="n"/>
      <c r="D6167" s="7" t="n"/>
      <c r="E6167" s="7" t="n"/>
      <c r="F6167" s="7" t="n"/>
      <c r="G6167" s="7" t="n"/>
      <c r="H6167" s="7" t="n"/>
      <c r="I6167" s="7" t="n"/>
      <c r="J6167" s="7" t="n"/>
      <c r="K6167">
        <f>IF(D6167="Legitimate Interest (GDPR Art. 6(1)(f))", "Yes / Required (Sheet 3)", "")</f>
        <v/>
      </c>
      <c r="L6167" s="7" t="n"/>
      <c r="M6167" s="7" t="n"/>
      <c r="N6167">
        <f>IF(D6167="", "Gap - No Legal Basis", IF(AND(D6167="Consent (GDPR Art. 6(1)(a))", I6167="Not Captured"), "Gap - Invalid Consent", IF(AND(D6167="Legitimate Interest (GDPR Art. 6(1)(f))", L6167=""), "Gap - Missing LIA", IF(AND(G6167="Yes", H6167=""), "Gap - Missing Art. 9 Basis", IF(OR(I6167="Invalid - Not Freely Given", I6167="Invalid - Not Specific", I6167="Invalid - Not Informed", I6167="Invalid - Ambiguous"), "Gap - Invalid Consent", "Compliant")))))</f>
        <v/>
      </c>
      <c r="O6167" s="7" t="n"/>
    </row>
    <row r="6168">
      <c r="A6168" s="7" t="n"/>
      <c r="B6168" s="7" t="n"/>
      <c r="C6168" s="7" t="n"/>
      <c r="D6168" s="7" t="n"/>
      <c r="E6168" s="7" t="n"/>
      <c r="F6168" s="7" t="n"/>
      <c r="G6168" s="7" t="n"/>
      <c r="H6168" s="7" t="n"/>
      <c r="I6168" s="7" t="n"/>
      <c r="J6168" s="7" t="n"/>
      <c r="K6168">
        <f>IF(D6168="Legitimate Interest (GDPR Art. 6(1)(f))", "Yes / Required (Sheet 3)", "")</f>
        <v/>
      </c>
      <c r="L6168" s="7" t="n"/>
      <c r="M6168" s="7" t="n"/>
      <c r="N6168">
        <f>IF(D6168="", "Gap - No Legal Basis", IF(AND(D6168="Consent (GDPR Art. 6(1)(a))", I6168="Not Captured"), "Gap - Invalid Consent", IF(AND(D6168="Legitimate Interest (GDPR Art. 6(1)(f))", L6168=""), "Gap - Missing LIA", IF(AND(G6168="Yes", H6168=""), "Gap - Missing Art. 9 Basis", IF(OR(I6168="Invalid - Not Freely Given", I6168="Invalid - Not Specific", I6168="Invalid - Not Informed", I6168="Invalid - Ambiguous"), "Gap - Invalid Consent", "Compliant")))))</f>
        <v/>
      </c>
      <c r="O6168" s="7" t="n"/>
    </row>
    <row r="6169">
      <c r="A6169" s="7" t="n"/>
      <c r="B6169" s="7" t="n"/>
      <c r="C6169" s="7" t="n"/>
      <c r="D6169" s="7" t="n"/>
      <c r="E6169" s="7" t="n"/>
      <c r="F6169" s="7" t="n"/>
      <c r="G6169" s="7" t="n"/>
      <c r="H6169" s="7" t="n"/>
      <c r="I6169" s="7" t="n"/>
      <c r="J6169" s="7" t="n"/>
      <c r="K6169">
        <f>IF(D6169="Legitimate Interest (GDPR Art. 6(1)(f))", "Yes / Required (Sheet 3)", "")</f>
        <v/>
      </c>
      <c r="L6169" s="7" t="n"/>
      <c r="M6169" s="7" t="n"/>
      <c r="N6169">
        <f>IF(D6169="", "Gap - No Legal Basis", IF(AND(D6169="Consent (GDPR Art. 6(1)(a))", I6169="Not Captured"), "Gap - Invalid Consent", IF(AND(D6169="Legitimate Interest (GDPR Art. 6(1)(f))", L6169=""), "Gap - Missing LIA", IF(AND(G6169="Yes", H6169=""), "Gap - Missing Art. 9 Basis", IF(OR(I6169="Invalid - Not Freely Given", I6169="Invalid - Not Specific", I6169="Invalid - Not Informed", I6169="Invalid - Ambiguous"), "Gap - Invalid Consent", "Compliant")))))</f>
        <v/>
      </c>
      <c r="O6169" s="7" t="n"/>
    </row>
    <row r="6170">
      <c r="A6170" s="7" t="n"/>
      <c r="B6170" s="7" t="n"/>
      <c r="C6170" s="7" t="n"/>
      <c r="D6170" s="7" t="n"/>
      <c r="E6170" s="7" t="n"/>
      <c r="F6170" s="7" t="n"/>
      <c r="G6170" s="7" t="n"/>
      <c r="H6170" s="7" t="n"/>
      <c r="I6170" s="7" t="n"/>
      <c r="J6170" s="7" t="n"/>
      <c r="K6170">
        <f>IF(D6170="Legitimate Interest (GDPR Art. 6(1)(f))", "Yes / Required (Sheet 3)", "")</f>
        <v/>
      </c>
      <c r="L6170" s="7" t="n"/>
      <c r="M6170" s="7" t="n"/>
      <c r="N6170">
        <f>IF(D6170="", "Gap - No Legal Basis", IF(AND(D6170="Consent (GDPR Art. 6(1)(a))", I6170="Not Captured"), "Gap - Invalid Consent", IF(AND(D6170="Legitimate Interest (GDPR Art. 6(1)(f))", L6170=""), "Gap - Missing LIA", IF(AND(G6170="Yes", H6170=""), "Gap - Missing Art. 9 Basis", IF(OR(I6170="Invalid - Not Freely Given", I6170="Invalid - Not Specific", I6170="Invalid - Not Informed", I6170="Invalid - Ambiguous"), "Gap - Invalid Consent", "Compliant")))))</f>
        <v/>
      </c>
      <c r="O6170" s="7" t="n"/>
    </row>
    <row r="6171">
      <c r="A6171" s="7" t="n"/>
      <c r="B6171" s="7" t="n"/>
      <c r="C6171" s="7" t="n"/>
      <c r="D6171" s="7" t="n"/>
      <c r="E6171" s="7" t="n"/>
      <c r="F6171" s="7" t="n"/>
      <c r="G6171" s="7" t="n"/>
      <c r="H6171" s="7" t="n"/>
      <c r="I6171" s="7" t="n"/>
      <c r="J6171" s="7" t="n"/>
      <c r="K6171">
        <f>IF(D6171="Legitimate Interest (GDPR Art. 6(1)(f))", "Yes / Required (Sheet 3)", "")</f>
        <v/>
      </c>
      <c r="L6171" s="7" t="n"/>
      <c r="M6171" s="7" t="n"/>
      <c r="N6171">
        <f>IF(D6171="", "Gap - No Legal Basis", IF(AND(D6171="Consent (GDPR Art. 6(1)(a))", I6171="Not Captured"), "Gap - Invalid Consent", IF(AND(D6171="Legitimate Interest (GDPR Art. 6(1)(f))", L6171=""), "Gap - Missing LIA", IF(AND(G6171="Yes", H6171=""), "Gap - Missing Art. 9 Basis", IF(OR(I6171="Invalid - Not Freely Given", I6171="Invalid - Not Specific", I6171="Invalid - Not Informed", I6171="Invalid - Ambiguous"), "Gap - Invalid Consent", "Compliant")))))</f>
        <v/>
      </c>
      <c r="O6171" s="7" t="n"/>
    </row>
    <row r="6172">
      <c r="A6172" s="7" t="n"/>
      <c r="B6172" s="7" t="n"/>
      <c r="C6172" s="7" t="n"/>
      <c r="D6172" s="7" t="n"/>
      <c r="E6172" s="7" t="n"/>
      <c r="F6172" s="7" t="n"/>
      <c r="G6172" s="7" t="n"/>
      <c r="H6172" s="7" t="n"/>
      <c r="I6172" s="7" t="n"/>
      <c r="J6172" s="7" t="n"/>
      <c r="K6172">
        <f>IF(D6172="Legitimate Interest (GDPR Art. 6(1)(f))", "Yes / Required (Sheet 3)", "")</f>
        <v/>
      </c>
      <c r="L6172" s="7" t="n"/>
      <c r="M6172" s="7" t="n"/>
      <c r="N6172">
        <f>IF(D6172="", "Gap - No Legal Basis", IF(AND(D6172="Consent (GDPR Art. 6(1)(a))", I6172="Not Captured"), "Gap - Invalid Consent", IF(AND(D6172="Legitimate Interest (GDPR Art. 6(1)(f))", L6172=""), "Gap - Missing LIA", IF(AND(G6172="Yes", H6172=""), "Gap - Missing Art. 9 Basis", IF(OR(I6172="Invalid - Not Freely Given", I6172="Invalid - Not Specific", I6172="Invalid - Not Informed", I6172="Invalid - Ambiguous"), "Gap - Invalid Consent", "Compliant")))))</f>
        <v/>
      </c>
      <c r="O6172" s="7" t="n"/>
    </row>
    <row r="6173">
      <c r="A6173" s="7" t="n"/>
      <c r="B6173" s="7" t="n"/>
      <c r="C6173" s="7" t="n"/>
      <c r="D6173" s="7" t="n"/>
      <c r="E6173" s="7" t="n"/>
      <c r="F6173" s="7" t="n"/>
      <c r="G6173" s="7" t="n"/>
      <c r="H6173" s="7" t="n"/>
      <c r="I6173" s="7" t="n"/>
      <c r="J6173" s="7" t="n"/>
      <c r="K6173">
        <f>IF(D6173="Legitimate Interest (GDPR Art. 6(1)(f))", "Yes / Required (Sheet 3)", "")</f>
        <v/>
      </c>
      <c r="L6173" s="7" t="n"/>
      <c r="M6173" s="7" t="n"/>
      <c r="N6173">
        <f>IF(D6173="", "Gap - No Legal Basis", IF(AND(D6173="Consent (GDPR Art. 6(1)(a))", I6173="Not Captured"), "Gap - Invalid Consent", IF(AND(D6173="Legitimate Interest (GDPR Art. 6(1)(f))", L6173=""), "Gap - Missing LIA", IF(AND(G6173="Yes", H6173=""), "Gap - Missing Art. 9 Basis", IF(OR(I6173="Invalid - Not Freely Given", I6173="Invalid - Not Specific", I6173="Invalid - Not Informed", I6173="Invalid - Ambiguous"), "Gap - Invalid Consent", "Compliant")))))</f>
        <v/>
      </c>
      <c r="O6173" s="7" t="n"/>
    </row>
    <row r="6174">
      <c r="A6174" s="7" t="n"/>
      <c r="B6174" s="7" t="n"/>
      <c r="C6174" s="7" t="n"/>
      <c r="D6174" s="7" t="n"/>
      <c r="E6174" s="7" t="n"/>
      <c r="F6174" s="7" t="n"/>
      <c r="G6174" s="7" t="n"/>
      <c r="H6174" s="7" t="n"/>
      <c r="I6174" s="7" t="n"/>
      <c r="J6174" s="7" t="n"/>
      <c r="K6174">
        <f>IF(D6174="Legitimate Interest (GDPR Art. 6(1)(f))", "Yes / Required (Sheet 3)", "")</f>
        <v/>
      </c>
      <c r="L6174" s="7" t="n"/>
      <c r="M6174" s="7" t="n"/>
      <c r="N6174">
        <f>IF(D6174="", "Gap - No Legal Basis", IF(AND(D6174="Consent (GDPR Art. 6(1)(a))", I6174="Not Captured"), "Gap - Invalid Consent", IF(AND(D6174="Legitimate Interest (GDPR Art. 6(1)(f))", L6174=""), "Gap - Missing LIA", IF(AND(G6174="Yes", H6174=""), "Gap - Missing Art. 9 Basis", IF(OR(I6174="Invalid - Not Freely Given", I6174="Invalid - Not Specific", I6174="Invalid - Not Informed", I6174="Invalid - Ambiguous"), "Gap - Invalid Consent", "Compliant")))))</f>
        <v/>
      </c>
      <c r="O6174" s="7" t="n"/>
    </row>
    <row r="6175">
      <c r="A6175" s="7" t="n"/>
      <c r="B6175" s="7" t="n"/>
      <c r="C6175" s="7" t="n"/>
      <c r="D6175" s="7" t="n"/>
      <c r="E6175" s="7" t="n"/>
      <c r="F6175" s="7" t="n"/>
      <c r="G6175" s="7" t="n"/>
      <c r="H6175" s="7" t="n"/>
      <c r="I6175" s="7" t="n"/>
      <c r="J6175" s="7" t="n"/>
      <c r="K6175">
        <f>IF(D6175="Legitimate Interest (GDPR Art. 6(1)(f))", "Yes / Required (Sheet 3)", "")</f>
        <v/>
      </c>
      <c r="L6175" s="7" t="n"/>
      <c r="M6175" s="7" t="n"/>
      <c r="N6175">
        <f>IF(D6175="", "Gap - No Legal Basis", IF(AND(D6175="Consent (GDPR Art. 6(1)(a))", I6175="Not Captured"), "Gap - Invalid Consent", IF(AND(D6175="Legitimate Interest (GDPR Art. 6(1)(f))", L6175=""), "Gap - Missing LIA", IF(AND(G6175="Yes", H6175=""), "Gap - Missing Art. 9 Basis", IF(OR(I6175="Invalid - Not Freely Given", I6175="Invalid - Not Specific", I6175="Invalid - Not Informed", I6175="Invalid - Ambiguous"), "Gap - Invalid Consent", "Compliant")))))</f>
        <v/>
      </c>
      <c r="O6175" s="7" t="n"/>
    </row>
    <row r="6176">
      <c r="A6176" s="7" t="n"/>
      <c r="B6176" s="7" t="n"/>
      <c r="C6176" s="7" t="n"/>
      <c r="D6176" s="7" t="n"/>
      <c r="E6176" s="7" t="n"/>
      <c r="F6176" s="7" t="n"/>
      <c r="G6176" s="7" t="n"/>
      <c r="H6176" s="7" t="n"/>
      <c r="I6176" s="7" t="n"/>
      <c r="J6176" s="7" t="n"/>
      <c r="K6176">
        <f>IF(D6176="Legitimate Interest (GDPR Art. 6(1)(f))", "Yes / Required (Sheet 3)", "")</f>
        <v/>
      </c>
      <c r="L6176" s="7" t="n"/>
      <c r="M6176" s="7" t="n"/>
      <c r="N6176">
        <f>IF(D6176="", "Gap - No Legal Basis", IF(AND(D6176="Consent (GDPR Art. 6(1)(a))", I6176="Not Captured"), "Gap - Invalid Consent", IF(AND(D6176="Legitimate Interest (GDPR Art. 6(1)(f))", L6176=""), "Gap - Missing LIA", IF(AND(G6176="Yes", H6176=""), "Gap - Missing Art. 9 Basis", IF(OR(I6176="Invalid - Not Freely Given", I6176="Invalid - Not Specific", I6176="Invalid - Not Informed", I6176="Invalid - Ambiguous"), "Gap - Invalid Consent", "Compliant")))))</f>
        <v/>
      </c>
      <c r="O6176" s="7" t="n"/>
    </row>
    <row r="6177">
      <c r="A6177" s="7" t="n"/>
      <c r="B6177" s="7" t="n"/>
      <c r="C6177" s="7" t="n"/>
      <c r="D6177" s="7" t="n"/>
      <c r="E6177" s="7" t="n"/>
      <c r="F6177" s="7" t="n"/>
      <c r="G6177" s="7" t="n"/>
      <c r="H6177" s="7" t="n"/>
      <c r="I6177" s="7" t="n"/>
      <c r="J6177" s="7" t="n"/>
      <c r="K6177">
        <f>IF(D6177="Legitimate Interest (GDPR Art. 6(1)(f))", "Yes / Required (Sheet 3)", "")</f>
        <v/>
      </c>
      <c r="L6177" s="7" t="n"/>
      <c r="M6177" s="7" t="n"/>
      <c r="N6177">
        <f>IF(D6177="", "Gap - No Legal Basis", IF(AND(D6177="Consent (GDPR Art. 6(1)(a))", I6177="Not Captured"), "Gap - Invalid Consent", IF(AND(D6177="Legitimate Interest (GDPR Art. 6(1)(f))", L6177=""), "Gap - Missing LIA", IF(AND(G6177="Yes", H6177=""), "Gap - Missing Art. 9 Basis", IF(OR(I6177="Invalid - Not Freely Given", I6177="Invalid - Not Specific", I6177="Invalid - Not Informed", I6177="Invalid - Ambiguous"), "Gap - Invalid Consent", "Compliant")))))</f>
        <v/>
      </c>
      <c r="O6177" s="7" t="n"/>
    </row>
    <row r="6178">
      <c r="A6178" s="7" t="n"/>
      <c r="B6178" s="7" t="n"/>
      <c r="C6178" s="7" t="n"/>
      <c r="D6178" s="7" t="n"/>
      <c r="E6178" s="7" t="n"/>
      <c r="F6178" s="7" t="n"/>
      <c r="G6178" s="7" t="n"/>
      <c r="H6178" s="7" t="n"/>
      <c r="I6178" s="7" t="n"/>
      <c r="J6178" s="7" t="n"/>
      <c r="K6178">
        <f>IF(D6178="Legitimate Interest (GDPR Art. 6(1)(f))", "Yes / Required (Sheet 3)", "")</f>
        <v/>
      </c>
      <c r="L6178" s="7" t="n"/>
      <c r="M6178" s="7" t="n"/>
      <c r="N6178">
        <f>IF(D6178="", "Gap - No Legal Basis", IF(AND(D6178="Consent (GDPR Art. 6(1)(a))", I6178="Not Captured"), "Gap - Invalid Consent", IF(AND(D6178="Legitimate Interest (GDPR Art. 6(1)(f))", L6178=""), "Gap - Missing LIA", IF(AND(G6178="Yes", H6178=""), "Gap - Missing Art. 9 Basis", IF(OR(I6178="Invalid - Not Freely Given", I6178="Invalid - Not Specific", I6178="Invalid - Not Informed", I6178="Invalid - Ambiguous"), "Gap - Invalid Consent", "Compliant")))))</f>
        <v/>
      </c>
      <c r="O6178" s="7" t="n"/>
    </row>
    <row r="6179">
      <c r="A6179" s="7" t="n"/>
      <c r="B6179" s="7" t="n"/>
      <c r="C6179" s="7" t="n"/>
      <c r="D6179" s="7" t="n"/>
      <c r="E6179" s="7" t="n"/>
      <c r="F6179" s="7" t="n"/>
      <c r="G6179" s="7" t="n"/>
      <c r="H6179" s="7" t="n"/>
      <c r="I6179" s="7" t="n"/>
      <c r="J6179" s="7" t="n"/>
      <c r="K6179">
        <f>IF(D6179="Legitimate Interest (GDPR Art. 6(1)(f))", "Yes / Required (Sheet 3)", "")</f>
        <v/>
      </c>
      <c r="L6179" s="7" t="n"/>
      <c r="M6179" s="7" t="n"/>
      <c r="N6179">
        <f>IF(D6179="", "Gap - No Legal Basis", IF(AND(D6179="Consent (GDPR Art. 6(1)(a))", I6179="Not Captured"), "Gap - Invalid Consent", IF(AND(D6179="Legitimate Interest (GDPR Art. 6(1)(f))", L6179=""), "Gap - Missing LIA", IF(AND(G6179="Yes", H6179=""), "Gap - Missing Art. 9 Basis", IF(OR(I6179="Invalid - Not Freely Given", I6179="Invalid - Not Specific", I6179="Invalid - Not Informed", I6179="Invalid - Ambiguous"), "Gap - Invalid Consent", "Compliant")))))</f>
        <v/>
      </c>
      <c r="O6179" s="7" t="n"/>
    </row>
    <row r="6180">
      <c r="A6180" s="7" t="n"/>
      <c r="B6180" s="7" t="n"/>
      <c r="C6180" s="7" t="n"/>
      <c r="D6180" s="7" t="n"/>
      <c r="E6180" s="7" t="n"/>
      <c r="F6180" s="7" t="n"/>
      <c r="G6180" s="7" t="n"/>
      <c r="H6180" s="7" t="n"/>
      <c r="I6180" s="7" t="n"/>
      <c r="J6180" s="7" t="n"/>
      <c r="K6180">
        <f>IF(D6180="Legitimate Interest (GDPR Art. 6(1)(f))", "Yes / Required (Sheet 3)", "")</f>
        <v/>
      </c>
      <c r="L6180" s="7" t="n"/>
      <c r="M6180" s="7" t="n"/>
      <c r="N6180">
        <f>IF(D6180="", "Gap - No Legal Basis", IF(AND(D6180="Consent (GDPR Art. 6(1)(a))", I6180="Not Captured"), "Gap - Invalid Consent", IF(AND(D6180="Legitimate Interest (GDPR Art. 6(1)(f))", L6180=""), "Gap - Missing LIA", IF(AND(G6180="Yes", H6180=""), "Gap - Missing Art. 9 Basis", IF(OR(I6180="Invalid - Not Freely Given", I6180="Invalid - Not Specific", I6180="Invalid - Not Informed", I6180="Invalid - Ambiguous"), "Gap - Invalid Consent", "Compliant")))))</f>
        <v/>
      </c>
      <c r="O6180" s="7" t="n"/>
    </row>
    <row r="6181">
      <c r="A6181" s="7" t="n"/>
      <c r="B6181" s="7" t="n"/>
      <c r="C6181" s="7" t="n"/>
      <c r="D6181" s="7" t="n"/>
      <c r="E6181" s="7" t="n"/>
      <c r="F6181" s="7" t="n"/>
      <c r="G6181" s="7" t="n"/>
      <c r="H6181" s="7" t="n"/>
      <c r="I6181" s="7" t="n"/>
      <c r="J6181" s="7" t="n"/>
      <c r="K6181">
        <f>IF(D6181="Legitimate Interest (GDPR Art. 6(1)(f))", "Yes / Required (Sheet 3)", "")</f>
        <v/>
      </c>
      <c r="L6181" s="7" t="n"/>
      <c r="M6181" s="7" t="n"/>
      <c r="N6181">
        <f>IF(D6181="", "Gap - No Legal Basis", IF(AND(D6181="Consent (GDPR Art. 6(1)(a))", I6181="Not Captured"), "Gap - Invalid Consent", IF(AND(D6181="Legitimate Interest (GDPR Art. 6(1)(f))", L6181=""), "Gap - Missing LIA", IF(AND(G6181="Yes", H6181=""), "Gap - Missing Art. 9 Basis", IF(OR(I6181="Invalid - Not Freely Given", I6181="Invalid - Not Specific", I6181="Invalid - Not Informed", I6181="Invalid - Ambiguous"), "Gap - Invalid Consent", "Compliant")))))</f>
        <v/>
      </c>
      <c r="O6181" s="7" t="n"/>
    </row>
    <row r="6182">
      <c r="A6182" s="7" t="n"/>
      <c r="B6182" s="7" t="n"/>
      <c r="C6182" s="7" t="n"/>
      <c r="D6182" s="7" t="n"/>
      <c r="E6182" s="7" t="n"/>
      <c r="F6182" s="7" t="n"/>
      <c r="G6182" s="7" t="n"/>
      <c r="H6182" s="7" t="n"/>
      <c r="I6182" s="7" t="n"/>
      <c r="J6182" s="7" t="n"/>
      <c r="K6182">
        <f>IF(D6182="Legitimate Interest (GDPR Art. 6(1)(f))", "Yes / Required (Sheet 3)", "")</f>
        <v/>
      </c>
      <c r="L6182" s="7" t="n"/>
      <c r="M6182" s="7" t="n"/>
      <c r="N6182">
        <f>IF(D6182="", "Gap - No Legal Basis", IF(AND(D6182="Consent (GDPR Art. 6(1)(a))", I6182="Not Captured"), "Gap - Invalid Consent", IF(AND(D6182="Legitimate Interest (GDPR Art. 6(1)(f))", L6182=""), "Gap - Missing LIA", IF(AND(G6182="Yes", H6182=""), "Gap - Missing Art. 9 Basis", IF(OR(I6182="Invalid - Not Freely Given", I6182="Invalid - Not Specific", I6182="Invalid - Not Informed", I6182="Invalid - Ambiguous"), "Gap - Invalid Consent", "Compliant")))))</f>
        <v/>
      </c>
      <c r="O6182" s="7" t="n"/>
    </row>
    <row r="6183">
      <c r="A6183" s="7" t="n"/>
      <c r="B6183" s="7" t="n"/>
      <c r="C6183" s="7" t="n"/>
      <c r="D6183" s="7" t="n"/>
      <c r="E6183" s="7" t="n"/>
      <c r="F6183" s="7" t="n"/>
      <c r="G6183" s="7" t="n"/>
      <c r="H6183" s="7" t="n"/>
      <c r="I6183" s="7" t="n"/>
      <c r="J6183" s="7" t="n"/>
      <c r="K6183">
        <f>IF(D6183="Legitimate Interest (GDPR Art. 6(1)(f))", "Yes / Required (Sheet 3)", "")</f>
        <v/>
      </c>
      <c r="L6183" s="7" t="n"/>
      <c r="M6183" s="7" t="n"/>
      <c r="N6183">
        <f>IF(D6183="", "Gap - No Legal Basis", IF(AND(D6183="Consent (GDPR Art. 6(1)(a))", I6183="Not Captured"), "Gap - Invalid Consent", IF(AND(D6183="Legitimate Interest (GDPR Art. 6(1)(f))", L6183=""), "Gap - Missing LIA", IF(AND(G6183="Yes", H6183=""), "Gap - Missing Art. 9 Basis", IF(OR(I6183="Invalid - Not Freely Given", I6183="Invalid - Not Specific", I6183="Invalid - Not Informed", I6183="Invalid - Ambiguous"), "Gap - Invalid Consent", "Compliant")))))</f>
        <v/>
      </c>
      <c r="O6183" s="7" t="n"/>
    </row>
    <row r="6184">
      <c r="A6184" s="7" t="n"/>
      <c r="B6184" s="7" t="n"/>
      <c r="C6184" s="7" t="n"/>
      <c r="D6184" s="7" t="n"/>
      <c r="E6184" s="7" t="n"/>
      <c r="F6184" s="7" t="n"/>
      <c r="G6184" s="7" t="n"/>
      <c r="H6184" s="7" t="n"/>
      <c r="I6184" s="7" t="n"/>
      <c r="J6184" s="7" t="n"/>
      <c r="K6184">
        <f>IF(D6184="Legitimate Interest (GDPR Art. 6(1)(f))", "Yes / Required (Sheet 3)", "")</f>
        <v/>
      </c>
      <c r="L6184" s="7" t="n"/>
      <c r="M6184" s="7" t="n"/>
      <c r="N6184">
        <f>IF(D6184="", "Gap - No Legal Basis", IF(AND(D6184="Consent (GDPR Art. 6(1)(a))", I6184="Not Captured"), "Gap - Invalid Consent", IF(AND(D6184="Legitimate Interest (GDPR Art. 6(1)(f))", L6184=""), "Gap - Missing LIA", IF(AND(G6184="Yes", H6184=""), "Gap - Missing Art. 9 Basis", IF(OR(I6184="Invalid - Not Freely Given", I6184="Invalid - Not Specific", I6184="Invalid - Not Informed", I6184="Invalid - Ambiguous"), "Gap - Invalid Consent", "Compliant")))))</f>
        <v/>
      </c>
      <c r="O6184" s="7" t="n"/>
    </row>
    <row r="6185">
      <c r="A6185" s="7" t="n"/>
      <c r="B6185" s="7" t="n"/>
      <c r="C6185" s="7" t="n"/>
      <c r="D6185" s="7" t="n"/>
      <c r="E6185" s="7" t="n"/>
      <c r="F6185" s="7" t="n"/>
      <c r="G6185" s="7" t="n"/>
      <c r="H6185" s="7" t="n"/>
      <c r="I6185" s="7" t="n"/>
      <c r="J6185" s="7" t="n"/>
      <c r="K6185">
        <f>IF(D6185="Legitimate Interest (GDPR Art. 6(1)(f))", "Yes / Required (Sheet 3)", "")</f>
        <v/>
      </c>
      <c r="L6185" s="7" t="n"/>
      <c r="M6185" s="7" t="n"/>
      <c r="N6185">
        <f>IF(D6185="", "Gap - No Legal Basis", IF(AND(D6185="Consent (GDPR Art. 6(1)(a))", I6185="Not Captured"), "Gap - Invalid Consent", IF(AND(D6185="Legitimate Interest (GDPR Art. 6(1)(f))", L6185=""), "Gap - Missing LIA", IF(AND(G6185="Yes", H6185=""), "Gap - Missing Art. 9 Basis", IF(OR(I6185="Invalid - Not Freely Given", I6185="Invalid - Not Specific", I6185="Invalid - Not Informed", I6185="Invalid - Ambiguous"), "Gap - Invalid Consent", "Compliant")))))</f>
        <v/>
      </c>
      <c r="O6185" s="7" t="n"/>
    </row>
    <row r="6186">
      <c r="A6186" s="7" t="n"/>
      <c r="B6186" s="7" t="n"/>
      <c r="C6186" s="7" t="n"/>
      <c r="D6186" s="7" t="n"/>
      <c r="E6186" s="7" t="n"/>
      <c r="F6186" s="7" t="n"/>
      <c r="G6186" s="7" t="n"/>
      <c r="H6186" s="7" t="n"/>
      <c r="I6186" s="7" t="n"/>
      <c r="J6186" s="7" t="n"/>
      <c r="K6186">
        <f>IF(D6186="Legitimate Interest (GDPR Art. 6(1)(f))", "Yes / Required (Sheet 3)", "")</f>
        <v/>
      </c>
      <c r="L6186" s="7" t="n"/>
      <c r="M6186" s="7" t="n"/>
      <c r="N6186">
        <f>IF(D6186="", "Gap - No Legal Basis", IF(AND(D6186="Consent (GDPR Art. 6(1)(a))", I6186="Not Captured"), "Gap - Invalid Consent", IF(AND(D6186="Legitimate Interest (GDPR Art. 6(1)(f))", L6186=""), "Gap - Missing LIA", IF(AND(G6186="Yes", H6186=""), "Gap - Missing Art. 9 Basis", IF(OR(I6186="Invalid - Not Freely Given", I6186="Invalid - Not Specific", I6186="Invalid - Not Informed", I6186="Invalid - Ambiguous"), "Gap - Invalid Consent", "Compliant")))))</f>
        <v/>
      </c>
      <c r="O6186" s="7" t="n"/>
    </row>
    <row r="6187">
      <c r="A6187" s="7" t="n"/>
      <c r="B6187" s="7" t="n"/>
      <c r="C6187" s="7" t="n"/>
      <c r="D6187" s="7" t="n"/>
      <c r="E6187" s="7" t="n"/>
      <c r="F6187" s="7" t="n"/>
      <c r="G6187" s="7" t="n"/>
      <c r="H6187" s="7" t="n"/>
      <c r="I6187" s="7" t="n"/>
      <c r="J6187" s="7" t="n"/>
      <c r="K6187">
        <f>IF(D6187="Legitimate Interest (GDPR Art. 6(1)(f))", "Yes / Required (Sheet 3)", "")</f>
        <v/>
      </c>
      <c r="L6187" s="7" t="n"/>
      <c r="M6187" s="7" t="n"/>
      <c r="N6187">
        <f>IF(D6187="", "Gap - No Legal Basis", IF(AND(D6187="Consent (GDPR Art. 6(1)(a))", I6187="Not Captured"), "Gap - Invalid Consent", IF(AND(D6187="Legitimate Interest (GDPR Art. 6(1)(f))", L6187=""), "Gap - Missing LIA", IF(AND(G6187="Yes", H6187=""), "Gap - Missing Art. 9 Basis", IF(OR(I6187="Invalid - Not Freely Given", I6187="Invalid - Not Specific", I6187="Invalid - Not Informed", I6187="Invalid - Ambiguous"), "Gap - Invalid Consent", "Compliant")))))</f>
        <v/>
      </c>
      <c r="O6187" s="7" t="n"/>
    </row>
    <row r="6188">
      <c r="A6188" s="7" t="n"/>
      <c r="B6188" s="7" t="n"/>
      <c r="C6188" s="7" t="n"/>
      <c r="D6188" s="7" t="n"/>
      <c r="E6188" s="7" t="n"/>
      <c r="F6188" s="7" t="n"/>
      <c r="G6188" s="7" t="n"/>
      <c r="H6188" s="7" t="n"/>
      <c r="I6188" s="7" t="n"/>
      <c r="J6188" s="7" t="n"/>
      <c r="K6188">
        <f>IF(D6188="Legitimate Interest (GDPR Art. 6(1)(f))", "Yes / Required (Sheet 3)", "")</f>
        <v/>
      </c>
      <c r="L6188" s="7" t="n"/>
      <c r="M6188" s="7" t="n"/>
      <c r="N6188">
        <f>IF(D6188="", "Gap - No Legal Basis", IF(AND(D6188="Consent (GDPR Art. 6(1)(a))", I6188="Not Captured"), "Gap - Invalid Consent", IF(AND(D6188="Legitimate Interest (GDPR Art. 6(1)(f))", L6188=""), "Gap - Missing LIA", IF(AND(G6188="Yes", H6188=""), "Gap - Missing Art. 9 Basis", IF(OR(I6188="Invalid - Not Freely Given", I6188="Invalid - Not Specific", I6188="Invalid - Not Informed", I6188="Invalid - Ambiguous"), "Gap - Invalid Consent", "Compliant")))))</f>
        <v/>
      </c>
      <c r="O6188" s="7" t="n"/>
    </row>
    <row r="6189">
      <c r="A6189" s="7" t="n"/>
      <c r="B6189" s="7" t="n"/>
      <c r="C6189" s="7" t="n"/>
      <c r="D6189" s="7" t="n"/>
      <c r="E6189" s="7" t="n"/>
      <c r="F6189" s="7" t="n"/>
      <c r="G6189" s="7" t="n"/>
      <c r="H6189" s="7" t="n"/>
      <c r="I6189" s="7" t="n"/>
      <c r="J6189" s="7" t="n"/>
      <c r="K6189">
        <f>IF(D6189="Legitimate Interest (GDPR Art. 6(1)(f))", "Yes / Required (Sheet 3)", "")</f>
        <v/>
      </c>
      <c r="L6189" s="7" t="n"/>
      <c r="M6189" s="7" t="n"/>
      <c r="N6189">
        <f>IF(D6189="", "Gap - No Legal Basis", IF(AND(D6189="Consent (GDPR Art. 6(1)(a))", I6189="Not Captured"), "Gap - Invalid Consent", IF(AND(D6189="Legitimate Interest (GDPR Art. 6(1)(f))", L6189=""), "Gap - Missing LIA", IF(AND(G6189="Yes", H6189=""), "Gap - Missing Art. 9 Basis", IF(OR(I6189="Invalid - Not Freely Given", I6189="Invalid - Not Specific", I6189="Invalid - Not Informed", I6189="Invalid - Ambiguous"), "Gap - Invalid Consent", "Compliant")))))</f>
        <v/>
      </c>
      <c r="O6189" s="7" t="n"/>
    </row>
    <row r="6190">
      <c r="A6190" s="7" t="n"/>
      <c r="B6190" s="7" t="n"/>
      <c r="C6190" s="7" t="n"/>
      <c r="D6190" s="7" t="n"/>
      <c r="E6190" s="7" t="n"/>
      <c r="F6190" s="7" t="n"/>
      <c r="G6190" s="7" t="n"/>
      <c r="H6190" s="7" t="n"/>
      <c r="I6190" s="7" t="n"/>
      <c r="J6190" s="7" t="n"/>
      <c r="K6190">
        <f>IF(D6190="Legitimate Interest (GDPR Art. 6(1)(f))", "Yes / Required (Sheet 3)", "")</f>
        <v/>
      </c>
      <c r="L6190" s="7" t="n"/>
      <c r="M6190" s="7" t="n"/>
      <c r="N6190">
        <f>IF(D6190="", "Gap - No Legal Basis", IF(AND(D6190="Consent (GDPR Art. 6(1)(a))", I6190="Not Captured"), "Gap - Invalid Consent", IF(AND(D6190="Legitimate Interest (GDPR Art. 6(1)(f))", L6190=""), "Gap - Missing LIA", IF(AND(G6190="Yes", H6190=""), "Gap - Missing Art. 9 Basis", IF(OR(I6190="Invalid - Not Freely Given", I6190="Invalid - Not Specific", I6190="Invalid - Not Informed", I6190="Invalid - Ambiguous"), "Gap - Invalid Consent", "Compliant")))))</f>
        <v/>
      </c>
      <c r="O6190" s="7" t="n"/>
    </row>
    <row r="6191">
      <c r="A6191" s="7" t="n"/>
      <c r="B6191" s="7" t="n"/>
      <c r="C6191" s="7" t="n"/>
      <c r="D6191" s="7" t="n"/>
      <c r="E6191" s="7" t="n"/>
      <c r="F6191" s="7" t="n"/>
      <c r="G6191" s="7" t="n"/>
      <c r="H6191" s="7" t="n"/>
      <c r="I6191" s="7" t="n"/>
      <c r="J6191" s="7" t="n"/>
      <c r="K6191">
        <f>IF(D6191="Legitimate Interest (GDPR Art. 6(1)(f))", "Yes / Required (Sheet 3)", "")</f>
        <v/>
      </c>
      <c r="L6191" s="7" t="n"/>
      <c r="M6191" s="7" t="n"/>
      <c r="N6191">
        <f>IF(D6191="", "Gap - No Legal Basis", IF(AND(D6191="Consent (GDPR Art. 6(1)(a))", I6191="Not Captured"), "Gap - Invalid Consent", IF(AND(D6191="Legitimate Interest (GDPR Art. 6(1)(f))", L6191=""), "Gap - Missing LIA", IF(AND(G6191="Yes", H6191=""), "Gap - Missing Art. 9 Basis", IF(OR(I6191="Invalid - Not Freely Given", I6191="Invalid - Not Specific", I6191="Invalid - Not Informed", I6191="Invalid - Ambiguous"), "Gap - Invalid Consent", "Compliant")))))</f>
        <v/>
      </c>
      <c r="O6191" s="7" t="n"/>
    </row>
    <row r="6192">
      <c r="A6192" s="7" t="n"/>
      <c r="B6192" s="7" t="n"/>
      <c r="C6192" s="7" t="n"/>
      <c r="D6192" s="7" t="n"/>
      <c r="E6192" s="7" t="n"/>
      <c r="F6192" s="7" t="n"/>
      <c r="G6192" s="7" t="n"/>
      <c r="H6192" s="7" t="n"/>
      <c r="I6192" s="7" t="n"/>
      <c r="J6192" s="7" t="n"/>
      <c r="K6192">
        <f>IF(D6192="Legitimate Interest (GDPR Art. 6(1)(f))", "Yes / Required (Sheet 3)", "")</f>
        <v/>
      </c>
      <c r="L6192" s="7" t="n"/>
      <c r="M6192" s="7" t="n"/>
      <c r="N6192">
        <f>IF(D6192="", "Gap - No Legal Basis", IF(AND(D6192="Consent (GDPR Art. 6(1)(a))", I6192="Not Captured"), "Gap - Invalid Consent", IF(AND(D6192="Legitimate Interest (GDPR Art. 6(1)(f))", L6192=""), "Gap - Missing LIA", IF(AND(G6192="Yes", H6192=""), "Gap - Missing Art. 9 Basis", IF(OR(I6192="Invalid - Not Freely Given", I6192="Invalid - Not Specific", I6192="Invalid - Not Informed", I6192="Invalid - Ambiguous"), "Gap - Invalid Consent", "Compliant")))))</f>
        <v/>
      </c>
      <c r="O6192" s="7" t="n"/>
    </row>
    <row r="6193">
      <c r="A6193" s="7" t="n"/>
      <c r="B6193" s="7" t="n"/>
      <c r="C6193" s="7" t="n"/>
      <c r="D6193" s="7" t="n"/>
      <c r="E6193" s="7" t="n"/>
      <c r="F6193" s="7" t="n"/>
      <c r="G6193" s="7" t="n"/>
      <c r="H6193" s="7" t="n"/>
      <c r="I6193" s="7" t="n"/>
      <c r="J6193" s="7" t="n"/>
      <c r="K6193">
        <f>IF(D6193="Legitimate Interest (GDPR Art. 6(1)(f))", "Yes / Required (Sheet 3)", "")</f>
        <v/>
      </c>
      <c r="L6193" s="7" t="n"/>
      <c r="M6193" s="7" t="n"/>
      <c r="N6193">
        <f>IF(D6193="", "Gap - No Legal Basis", IF(AND(D6193="Consent (GDPR Art. 6(1)(a))", I6193="Not Captured"), "Gap - Invalid Consent", IF(AND(D6193="Legitimate Interest (GDPR Art. 6(1)(f))", L6193=""), "Gap - Missing LIA", IF(AND(G6193="Yes", H6193=""), "Gap - Missing Art. 9 Basis", IF(OR(I6193="Invalid - Not Freely Given", I6193="Invalid - Not Specific", I6193="Invalid - Not Informed", I6193="Invalid - Ambiguous"), "Gap - Invalid Consent", "Compliant")))))</f>
        <v/>
      </c>
      <c r="O6193" s="7" t="n"/>
    </row>
    <row r="6194">
      <c r="A6194" s="7" t="n"/>
      <c r="B6194" s="7" t="n"/>
      <c r="C6194" s="7" t="n"/>
      <c r="D6194" s="7" t="n"/>
      <c r="E6194" s="7" t="n"/>
      <c r="F6194" s="7" t="n"/>
      <c r="G6194" s="7" t="n"/>
      <c r="H6194" s="7" t="n"/>
      <c r="I6194" s="7" t="n"/>
      <c r="J6194" s="7" t="n"/>
      <c r="K6194">
        <f>IF(D6194="Legitimate Interest (GDPR Art. 6(1)(f))", "Yes / Required (Sheet 3)", "")</f>
        <v/>
      </c>
      <c r="L6194" s="7" t="n"/>
      <c r="M6194" s="7" t="n"/>
      <c r="N6194">
        <f>IF(D6194="", "Gap - No Legal Basis", IF(AND(D6194="Consent (GDPR Art. 6(1)(a))", I6194="Not Captured"), "Gap - Invalid Consent", IF(AND(D6194="Legitimate Interest (GDPR Art. 6(1)(f))", L6194=""), "Gap - Missing LIA", IF(AND(G6194="Yes", H6194=""), "Gap - Missing Art. 9 Basis", IF(OR(I6194="Invalid - Not Freely Given", I6194="Invalid - Not Specific", I6194="Invalid - Not Informed", I6194="Invalid - Ambiguous"), "Gap - Invalid Consent", "Compliant")))))</f>
        <v/>
      </c>
      <c r="O6194" s="7" t="n"/>
    </row>
    <row r="6195">
      <c r="A6195" s="7" t="n"/>
      <c r="B6195" s="7" t="n"/>
      <c r="C6195" s="7" t="n"/>
      <c r="D6195" s="7" t="n"/>
      <c r="E6195" s="7" t="n"/>
      <c r="F6195" s="7" t="n"/>
      <c r="G6195" s="7" t="n"/>
      <c r="H6195" s="7" t="n"/>
      <c r="I6195" s="7" t="n"/>
      <c r="J6195" s="7" t="n"/>
      <c r="K6195">
        <f>IF(D6195="Legitimate Interest (GDPR Art. 6(1)(f))", "Yes / Required (Sheet 3)", "")</f>
        <v/>
      </c>
      <c r="L6195" s="7" t="n"/>
      <c r="M6195" s="7" t="n"/>
      <c r="N6195">
        <f>IF(D6195="", "Gap - No Legal Basis", IF(AND(D6195="Consent (GDPR Art. 6(1)(a))", I6195="Not Captured"), "Gap - Invalid Consent", IF(AND(D6195="Legitimate Interest (GDPR Art. 6(1)(f))", L6195=""), "Gap - Missing LIA", IF(AND(G6195="Yes", H6195=""), "Gap - Missing Art. 9 Basis", IF(OR(I6195="Invalid - Not Freely Given", I6195="Invalid - Not Specific", I6195="Invalid - Not Informed", I6195="Invalid - Ambiguous"), "Gap - Invalid Consent", "Compliant")))))</f>
        <v/>
      </c>
      <c r="O6195" s="7" t="n"/>
    </row>
    <row r="6196">
      <c r="A6196" s="7" t="n"/>
      <c r="B6196" s="7" t="n"/>
      <c r="C6196" s="7" t="n"/>
      <c r="D6196" s="7" t="n"/>
      <c r="E6196" s="7" t="n"/>
      <c r="F6196" s="7" t="n"/>
      <c r="G6196" s="7" t="n"/>
      <c r="H6196" s="7" t="n"/>
      <c r="I6196" s="7" t="n"/>
      <c r="J6196" s="7" t="n"/>
      <c r="K6196">
        <f>IF(D6196="Legitimate Interest (GDPR Art. 6(1)(f))", "Yes / Required (Sheet 3)", "")</f>
        <v/>
      </c>
      <c r="L6196" s="7" t="n"/>
      <c r="M6196" s="7" t="n"/>
      <c r="N6196">
        <f>IF(D6196="", "Gap - No Legal Basis", IF(AND(D6196="Consent (GDPR Art. 6(1)(a))", I6196="Not Captured"), "Gap - Invalid Consent", IF(AND(D6196="Legitimate Interest (GDPR Art. 6(1)(f))", L6196=""), "Gap - Missing LIA", IF(AND(G6196="Yes", H6196=""), "Gap - Missing Art. 9 Basis", IF(OR(I6196="Invalid - Not Freely Given", I6196="Invalid - Not Specific", I6196="Invalid - Not Informed", I6196="Invalid - Ambiguous"), "Gap - Invalid Consent", "Compliant")))))</f>
        <v/>
      </c>
      <c r="O6196" s="7" t="n"/>
    </row>
    <row r="6197">
      <c r="A6197" s="7" t="n"/>
      <c r="B6197" s="7" t="n"/>
      <c r="C6197" s="7" t="n"/>
      <c r="D6197" s="7" t="n"/>
      <c r="E6197" s="7" t="n"/>
      <c r="F6197" s="7" t="n"/>
      <c r="G6197" s="7" t="n"/>
      <c r="H6197" s="7" t="n"/>
      <c r="I6197" s="7" t="n"/>
      <c r="J6197" s="7" t="n"/>
      <c r="K6197">
        <f>IF(D6197="Legitimate Interest (GDPR Art. 6(1)(f))", "Yes / Required (Sheet 3)", "")</f>
        <v/>
      </c>
      <c r="L6197" s="7" t="n"/>
      <c r="M6197" s="7" t="n"/>
      <c r="N6197">
        <f>IF(D6197="", "Gap - No Legal Basis", IF(AND(D6197="Consent (GDPR Art. 6(1)(a))", I6197="Not Captured"), "Gap - Invalid Consent", IF(AND(D6197="Legitimate Interest (GDPR Art. 6(1)(f))", L6197=""), "Gap - Missing LIA", IF(AND(G6197="Yes", H6197=""), "Gap - Missing Art. 9 Basis", IF(OR(I6197="Invalid - Not Freely Given", I6197="Invalid - Not Specific", I6197="Invalid - Not Informed", I6197="Invalid - Ambiguous"), "Gap - Invalid Consent", "Compliant")))))</f>
        <v/>
      </c>
      <c r="O6197" s="7" t="n"/>
    </row>
    <row r="6198">
      <c r="A6198" s="7" t="n"/>
      <c r="B6198" s="7" t="n"/>
      <c r="C6198" s="7" t="n"/>
      <c r="D6198" s="7" t="n"/>
      <c r="E6198" s="7" t="n"/>
      <c r="F6198" s="7" t="n"/>
      <c r="G6198" s="7" t="n"/>
      <c r="H6198" s="7" t="n"/>
      <c r="I6198" s="7" t="n"/>
      <c r="J6198" s="7" t="n"/>
      <c r="K6198">
        <f>IF(D6198="Legitimate Interest (GDPR Art. 6(1)(f))", "Yes / Required (Sheet 3)", "")</f>
        <v/>
      </c>
      <c r="L6198" s="7" t="n"/>
      <c r="M6198" s="7" t="n"/>
      <c r="N6198">
        <f>IF(D6198="", "Gap - No Legal Basis", IF(AND(D6198="Consent (GDPR Art. 6(1)(a))", I6198="Not Captured"), "Gap - Invalid Consent", IF(AND(D6198="Legitimate Interest (GDPR Art. 6(1)(f))", L6198=""), "Gap - Missing LIA", IF(AND(G6198="Yes", H6198=""), "Gap - Missing Art. 9 Basis", IF(OR(I6198="Invalid - Not Freely Given", I6198="Invalid - Not Specific", I6198="Invalid - Not Informed", I6198="Invalid - Ambiguous"), "Gap - Invalid Consent", "Compliant")))))</f>
        <v/>
      </c>
      <c r="O6198" s="7" t="n"/>
    </row>
    <row r="6199">
      <c r="A6199" s="7" t="n"/>
      <c r="B6199" s="7" t="n"/>
      <c r="C6199" s="7" t="n"/>
      <c r="D6199" s="7" t="n"/>
      <c r="E6199" s="7" t="n"/>
      <c r="F6199" s="7" t="n"/>
      <c r="G6199" s="7" t="n"/>
      <c r="H6199" s="7" t="n"/>
      <c r="I6199" s="7" t="n"/>
      <c r="J6199" s="7" t="n"/>
      <c r="K6199">
        <f>IF(D6199="Legitimate Interest (GDPR Art. 6(1)(f))", "Yes / Required (Sheet 3)", "")</f>
        <v/>
      </c>
      <c r="L6199" s="7" t="n"/>
      <c r="M6199" s="7" t="n"/>
      <c r="N6199">
        <f>IF(D6199="", "Gap - No Legal Basis", IF(AND(D6199="Consent (GDPR Art. 6(1)(a))", I6199="Not Captured"), "Gap - Invalid Consent", IF(AND(D6199="Legitimate Interest (GDPR Art. 6(1)(f))", L6199=""), "Gap - Missing LIA", IF(AND(G6199="Yes", H6199=""), "Gap - Missing Art. 9 Basis", IF(OR(I6199="Invalid - Not Freely Given", I6199="Invalid - Not Specific", I6199="Invalid - Not Informed", I6199="Invalid - Ambiguous"), "Gap - Invalid Consent", "Compliant")))))</f>
        <v/>
      </c>
      <c r="O6199" s="7" t="n"/>
    </row>
    <row r="6200">
      <c r="A6200" s="7" t="n"/>
      <c r="B6200" s="7" t="n"/>
      <c r="C6200" s="7" t="n"/>
      <c r="D6200" s="7" t="n"/>
      <c r="E6200" s="7" t="n"/>
      <c r="F6200" s="7" t="n"/>
      <c r="G6200" s="7" t="n"/>
      <c r="H6200" s="7" t="n"/>
      <c r="I6200" s="7" t="n"/>
      <c r="J6200" s="7" t="n"/>
      <c r="K6200">
        <f>IF(D6200="Legitimate Interest (GDPR Art. 6(1)(f))", "Yes / Required (Sheet 3)", "")</f>
        <v/>
      </c>
      <c r="L6200" s="7" t="n"/>
      <c r="M6200" s="7" t="n"/>
      <c r="N6200">
        <f>IF(D6200="", "Gap - No Legal Basis", IF(AND(D6200="Consent (GDPR Art. 6(1)(a))", I6200="Not Captured"), "Gap - Invalid Consent", IF(AND(D6200="Legitimate Interest (GDPR Art. 6(1)(f))", L6200=""), "Gap - Missing LIA", IF(AND(G6200="Yes", H6200=""), "Gap - Missing Art. 9 Basis", IF(OR(I6200="Invalid - Not Freely Given", I6200="Invalid - Not Specific", I6200="Invalid - Not Informed", I6200="Invalid - Ambiguous"), "Gap - Invalid Consent", "Compliant")))))</f>
        <v/>
      </c>
      <c r="O6200" s="7" t="n"/>
    </row>
    <row r="6201">
      <c r="A6201" s="7" t="n"/>
      <c r="B6201" s="7" t="n"/>
      <c r="C6201" s="7" t="n"/>
      <c r="D6201" s="7" t="n"/>
      <c r="E6201" s="7" t="n"/>
      <c r="F6201" s="7" t="n"/>
      <c r="G6201" s="7" t="n"/>
      <c r="H6201" s="7" t="n"/>
      <c r="I6201" s="7" t="n"/>
      <c r="J6201" s="7" t="n"/>
      <c r="K6201">
        <f>IF(D6201="Legitimate Interest (GDPR Art. 6(1)(f))", "Yes / Required (Sheet 3)", "")</f>
        <v/>
      </c>
      <c r="L6201" s="7" t="n"/>
      <c r="M6201" s="7" t="n"/>
      <c r="N6201">
        <f>IF(D6201="", "Gap - No Legal Basis", IF(AND(D6201="Consent (GDPR Art. 6(1)(a))", I6201="Not Captured"), "Gap - Invalid Consent", IF(AND(D6201="Legitimate Interest (GDPR Art. 6(1)(f))", L6201=""), "Gap - Missing LIA", IF(AND(G6201="Yes", H6201=""), "Gap - Missing Art. 9 Basis", IF(OR(I6201="Invalid - Not Freely Given", I6201="Invalid - Not Specific", I6201="Invalid - Not Informed", I6201="Invalid - Ambiguous"), "Gap - Invalid Consent", "Compliant")))))</f>
        <v/>
      </c>
      <c r="O6201" s="7" t="n"/>
    </row>
    <row r="6202">
      <c r="A6202" s="7" t="n"/>
      <c r="B6202" s="7" t="n"/>
      <c r="C6202" s="7" t="n"/>
      <c r="D6202" s="7" t="n"/>
      <c r="E6202" s="7" t="n"/>
      <c r="F6202" s="7" t="n"/>
      <c r="G6202" s="7" t="n"/>
      <c r="H6202" s="7" t="n"/>
      <c r="I6202" s="7" t="n"/>
      <c r="J6202" s="7" t="n"/>
      <c r="K6202">
        <f>IF(D6202="Legitimate Interest (GDPR Art. 6(1)(f))", "Yes / Required (Sheet 3)", "")</f>
        <v/>
      </c>
      <c r="L6202" s="7" t="n"/>
      <c r="M6202" s="7" t="n"/>
      <c r="N6202">
        <f>IF(D6202="", "Gap - No Legal Basis", IF(AND(D6202="Consent (GDPR Art. 6(1)(a))", I6202="Not Captured"), "Gap - Invalid Consent", IF(AND(D6202="Legitimate Interest (GDPR Art. 6(1)(f))", L6202=""), "Gap - Missing LIA", IF(AND(G6202="Yes", H6202=""), "Gap - Missing Art. 9 Basis", IF(OR(I6202="Invalid - Not Freely Given", I6202="Invalid - Not Specific", I6202="Invalid - Not Informed", I6202="Invalid - Ambiguous"), "Gap - Invalid Consent", "Compliant")))))</f>
        <v/>
      </c>
      <c r="O6202" s="7" t="n"/>
    </row>
    <row r="6203">
      <c r="A6203" s="7" t="n"/>
      <c r="B6203" s="7" t="n"/>
      <c r="C6203" s="7" t="n"/>
      <c r="D6203" s="7" t="n"/>
      <c r="E6203" s="7" t="n"/>
      <c r="F6203" s="7" t="n"/>
      <c r="G6203" s="7" t="n"/>
      <c r="H6203" s="7" t="n"/>
      <c r="I6203" s="7" t="n"/>
      <c r="J6203" s="7" t="n"/>
      <c r="K6203">
        <f>IF(D6203="Legitimate Interest (GDPR Art. 6(1)(f))", "Yes / Required (Sheet 3)", "")</f>
        <v/>
      </c>
      <c r="L6203" s="7" t="n"/>
      <c r="M6203" s="7" t="n"/>
      <c r="N6203">
        <f>IF(D6203="", "Gap - No Legal Basis", IF(AND(D6203="Consent (GDPR Art. 6(1)(a))", I6203="Not Captured"), "Gap - Invalid Consent", IF(AND(D6203="Legitimate Interest (GDPR Art. 6(1)(f))", L6203=""), "Gap - Missing LIA", IF(AND(G6203="Yes", H6203=""), "Gap - Missing Art. 9 Basis", IF(OR(I6203="Invalid - Not Freely Given", I6203="Invalid - Not Specific", I6203="Invalid - Not Informed", I6203="Invalid - Ambiguous"), "Gap - Invalid Consent", "Compliant")))))</f>
        <v/>
      </c>
      <c r="O6203" s="7" t="n"/>
    </row>
    <row r="6204">
      <c r="A6204" s="7" t="n"/>
      <c r="B6204" s="7" t="n"/>
      <c r="C6204" s="7" t="n"/>
      <c r="D6204" s="7" t="n"/>
      <c r="E6204" s="7" t="n"/>
      <c r="F6204" s="7" t="n"/>
      <c r="G6204" s="7" t="n"/>
      <c r="H6204" s="7" t="n"/>
      <c r="I6204" s="7" t="n"/>
      <c r="J6204" s="7" t="n"/>
      <c r="K6204">
        <f>IF(D6204="Legitimate Interest (GDPR Art. 6(1)(f))", "Yes / Required (Sheet 3)", "")</f>
        <v/>
      </c>
      <c r="L6204" s="7" t="n"/>
      <c r="M6204" s="7" t="n"/>
      <c r="N6204">
        <f>IF(D6204="", "Gap - No Legal Basis", IF(AND(D6204="Consent (GDPR Art. 6(1)(a))", I6204="Not Captured"), "Gap - Invalid Consent", IF(AND(D6204="Legitimate Interest (GDPR Art. 6(1)(f))", L6204=""), "Gap - Missing LIA", IF(AND(G6204="Yes", H6204=""), "Gap - Missing Art. 9 Basis", IF(OR(I6204="Invalid - Not Freely Given", I6204="Invalid - Not Specific", I6204="Invalid - Not Informed", I6204="Invalid - Ambiguous"), "Gap - Invalid Consent", "Compliant")))))</f>
        <v/>
      </c>
      <c r="O6204" s="7" t="n"/>
    </row>
    <row r="6205">
      <c r="A6205" s="7" t="n"/>
      <c r="B6205" s="7" t="n"/>
      <c r="C6205" s="7" t="n"/>
      <c r="D6205" s="7" t="n"/>
      <c r="E6205" s="7" t="n"/>
      <c r="F6205" s="7" t="n"/>
      <c r="G6205" s="7" t="n"/>
      <c r="H6205" s="7" t="n"/>
      <c r="I6205" s="7" t="n"/>
      <c r="J6205" s="7" t="n"/>
      <c r="K6205">
        <f>IF(D6205="Legitimate Interest (GDPR Art. 6(1)(f))", "Yes / Required (Sheet 3)", "")</f>
        <v/>
      </c>
      <c r="L6205" s="7" t="n"/>
      <c r="M6205" s="7" t="n"/>
      <c r="N6205">
        <f>IF(D6205="", "Gap - No Legal Basis", IF(AND(D6205="Consent (GDPR Art. 6(1)(a))", I6205="Not Captured"), "Gap - Invalid Consent", IF(AND(D6205="Legitimate Interest (GDPR Art. 6(1)(f))", L6205=""), "Gap - Missing LIA", IF(AND(G6205="Yes", H6205=""), "Gap - Missing Art. 9 Basis", IF(OR(I6205="Invalid - Not Freely Given", I6205="Invalid - Not Specific", I6205="Invalid - Not Informed", I6205="Invalid - Ambiguous"), "Gap - Invalid Consent", "Compliant")))))</f>
        <v/>
      </c>
      <c r="O6205" s="7" t="n"/>
    </row>
    <row r="6206">
      <c r="A6206" s="7" t="n"/>
      <c r="B6206" s="7" t="n"/>
      <c r="C6206" s="7" t="n"/>
      <c r="D6206" s="7" t="n"/>
      <c r="E6206" s="7" t="n"/>
      <c r="F6206" s="7" t="n"/>
      <c r="G6206" s="7" t="n"/>
      <c r="H6206" s="7" t="n"/>
      <c r="I6206" s="7" t="n"/>
      <c r="J6206" s="7" t="n"/>
      <c r="K6206">
        <f>IF(D6206="Legitimate Interest (GDPR Art. 6(1)(f))", "Yes / Required (Sheet 3)", "")</f>
        <v/>
      </c>
      <c r="L6206" s="7" t="n"/>
      <c r="M6206" s="7" t="n"/>
      <c r="N6206">
        <f>IF(D6206="", "Gap - No Legal Basis", IF(AND(D6206="Consent (GDPR Art. 6(1)(a))", I6206="Not Captured"), "Gap - Invalid Consent", IF(AND(D6206="Legitimate Interest (GDPR Art. 6(1)(f))", L6206=""), "Gap - Missing LIA", IF(AND(G6206="Yes", H6206=""), "Gap - Missing Art. 9 Basis", IF(OR(I6206="Invalid - Not Freely Given", I6206="Invalid - Not Specific", I6206="Invalid - Not Informed", I6206="Invalid - Ambiguous"), "Gap - Invalid Consent", "Compliant")))))</f>
        <v/>
      </c>
      <c r="O6206" s="7" t="n"/>
    </row>
    <row r="6207">
      <c r="A6207" s="7" t="n"/>
      <c r="B6207" s="7" t="n"/>
      <c r="C6207" s="7" t="n"/>
      <c r="D6207" s="7" t="n"/>
      <c r="E6207" s="7" t="n"/>
      <c r="F6207" s="7" t="n"/>
      <c r="G6207" s="7" t="n"/>
      <c r="H6207" s="7" t="n"/>
      <c r="I6207" s="7" t="n"/>
      <c r="J6207" s="7" t="n"/>
      <c r="K6207">
        <f>IF(D6207="Legitimate Interest (GDPR Art. 6(1)(f))", "Yes / Required (Sheet 3)", "")</f>
        <v/>
      </c>
      <c r="L6207" s="7" t="n"/>
      <c r="M6207" s="7" t="n"/>
      <c r="N6207">
        <f>IF(D6207="", "Gap - No Legal Basis", IF(AND(D6207="Consent (GDPR Art. 6(1)(a))", I6207="Not Captured"), "Gap - Invalid Consent", IF(AND(D6207="Legitimate Interest (GDPR Art. 6(1)(f))", L6207=""), "Gap - Missing LIA", IF(AND(G6207="Yes", H6207=""), "Gap - Missing Art. 9 Basis", IF(OR(I6207="Invalid - Not Freely Given", I6207="Invalid - Not Specific", I6207="Invalid - Not Informed", I6207="Invalid - Ambiguous"), "Gap - Invalid Consent", "Compliant")))))</f>
        <v/>
      </c>
      <c r="O6207" s="7" t="n"/>
    </row>
    <row r="6208">
      <c r="A6208" s="7" t="n"/>
      <c r="B6208" s="7" t="n"/>
      <c r="C6208" s="7" t="n"/>
      <c r="D6208" s="7" t="n"/>
      <c r="E6208" s="7" t="n"/>
      <c r="F6208" s="7" t="n"/>
      <c r="G6208" s="7" t="n"/>
      <c r="H6208" s="7" t="n"/>
      <c r="I6208" s="7" t="n"/>
      <c r="J6208" s="7" t="n"/>
      <c r="K6208">
        <f>IF(D6208="Legitimate Interest (GDPR Art. 6(1)(f))", "Yes / Required (Sheet 3)", "")</f>
        <v/>
      </c>
      <c r="L6208" s="7" t="n"/>
      <c r="M6208" s="7" t="n"/>
      <c r="N6208">
        <f>IF(D6208="", "Gap - No Legal Basis", IF(AND(D6208="Consent (GDPR Art. 6(1)(a))", I6208="Not Captured"), "Gap - Invalid Consent", IF(AND(D6208="Legitimate Interest (GDPR Art. 6(1)(f))", L6208=""), "Gap - Missing LIA", IF(AND(G6208="Yes", H6208=""), "Gap - Missing Art. 9 Basis", IF(OR(I6208="Invalid - Not Freely Given", I6208="Invalid - Not Specific", I6208="Invalid - Not Informed", I6208="Invalid - Ambiguous"), "Gap - Invalid Consent", "Compliant")))))</f>
        <v/>
      </c>
      <c r="O6208" s="7" t="n"/>
    </row>
    <row r="6209">
      <c r="A6209" s="7" t="n"/>
      <c r="B6209" s="7" t="n"/>
      <c r="C6209" s="7" t="n"/>
      <c r="D6209" s="7" t="n"/>
      <c r="E6209" s="7" t="n"/>
      <c r="F6209" s="7" t="n"/>
      <c r="G6209" s="7" t="n"/>
      <c r="H6209" s="7" t="n"/>
      <c r="I6209" s="7" t="n"/>
      <c r="J6209" s="7" t="n"/>
      <c r="K6209">
        <f>IF(D6209="Legitimate Interest (GDPR Art. 6(1)(f))", "Yes / Required (Sheet 3)", "")</f>
        <v/>
      </c>
      <c r="L6209" s="7" t="n"/>
      <c r="M6209" s="7" t="n"/>
      <c r="N6209">
        <f>IF(D6209="", "Gap - No Legal Basis", IF(AND(D6209="Consent (GDPR Art. 6(1)(a))", I6209="Not Captured"), "Gap - Invalid Consent", IF(AND(D6209="Legitimate Interest (GDPR Art. 6(1)(f))", L6209=""), "Gap - Missing LIA", IF(AND(G6209="Yes", H6209=""), "Gap - Missing Art. 9 Basis", IF(OR(I6209="Invalid - Not Freely Given", I6209="Invalid - Not Specific", I6209="Invalid - Not Informed", I6209="Invalid - Ambiguous"), "Gap - Invalid Consent", "Compliant")))))</f>
        <v/>
      </c>
      <c r="O6209" s="7" t="n"/>
    </row>
    <row r="6210">
      <c r="A6210" s="7" t="n"/>
      <c r="B6210" s="7" t="n"/>
      <c r="C6210" s="7" t="n"/>
      <c r="D6210" s="7" t="n"/>
      <c r="E6210" s="7" t="n"/>
      <c r="F6210" s="7" t="n"/>
      <c r="G6210" s="7" t="n"/>
      <c r="H6210" s="7" t="n"/>
      <c r="I6210" s="7" t="n"/>
      <c r="J6210" s="7" t="n"/>
      <c r="K6210">
        <f>IF(D6210="Legitimate Interest (GDPR Art. 6(1)(f))", "Yes / Required (Sheet 3)", "")</f>
        <v/>
      </c>
      <c r="L6210" s="7" t="n"/>
      <c r="M6210" s="7" t="n"/>
      <c r="N6210">
        <f>IF(D6210="", "Gap - No Legal Basis", IF(AND(D6210="Consent (GDPR Art. 6(1)(a))", I6210="Not Captured"), "Gap - Invalid Consent", IF(AND(D6210="Legitimate Interest (GDPR Art. 6(1)(f))", L6210=""), "Gap - Missing LIA", IF(AND(G6210="Yes", H6210=""), "Gap - Missing Art. 9 Basis", IF(OR(I6210="Invalid - Not Freely Given", I6210="Invalid - Not Specific", I6210="Invalid - Not Informed", I6210="Invalid - Ambiguous"), "Gap - Invalid Consent", "Compliant")))))</f>
        <v/>
      </c>
      <c r="O6210" s="7" t="n"/>
    </row>
    <row r="6211">
      <c r="A6211" s="7" t="n"/>
      <c r="B6211" s="7" t="n"/>
      <c r="C6211" s="7" t="n"/>
      <c r="D6211" s="7" t="n"/>
      <c r="E6211" s="7" t="n"/>
      <c r="F6211" s="7" t="n"/>
      <c r="G6211" s="7" t="n"/>
      <c r="H6211" s="7" t="n"/>
      <c r="I6211" s="7" t="n"/>
      <c r="J6211" s="7" t="n"/>
      <c r="K6211">
        <f>IF(D6211="Legitimate Interest (GDPR Art. 6(1)(f))", "Yes / Required (Sheet 3)", "")</f>
        <v/>
      </c>
      <c r="L6211" s="7" t="n"/>
      <c r="M6211" s="7" t="n"/>
      <c r="N6211">
        <f>IF(D6211="", "Gap - No Legal Basis", IF(AND(D6211="Consent (GDPR Art. 6(1)(a))", I6211="Not Captured"), "Gap - Invalid Consent", IF(AND(D6211="Legitimate Interest (GDPR Art. 6(1)(f))", L6211=""), "Gap - Missing LIA", IF(AND(G6211="Yes", H6211=""), "Gap - Missing Art. 9 Basis", IF(OR(I6211="Invalid - Not Freely Given", I6211="Invalid - Not Specific", I6211="Invalid - Not Informed", I6211="Invalid - Ambiguous"), "Gap - Invalid Consent", "Compliant")))))</f>
        <v/>
      </c>
      <c r="O6211" s="7" t="n"/>
    </row>
    <row r="6212">
      <c r="A6212" s="7" t="n"/>
      <c r="B6212" s="7" t="n"/>
      <c r="C6212" s="7" t="n"/>
      <c r="D6212" s="7" t="n"/>
      <c r="E6212" s="7" t="n"/>
      <c r="F6212" s="7" t="n"/>
      <c r="G6212" s="7" t="n"/>
      <c r="H6212" s="7" t="n"/>
      <c r="I6212" s="7" t="n"/>
      <c r="J6212" s="7" t="n"/>
      <c r="K6212">
        <f>IF(D6212="Legitimate Interest (GDPR Art. 6(1)(f))", "Yes / Required (Sheet 3)", "")</f>
        <v/>
      </c>
      <c r="L6212" s="7" t="n"/>
      <c r="M6212" s="7" t="n"/>
      <c r="N6212">
        <f>IF(D6212="", "Gap - No Legal Basis", IF(AND(D6212="Consent (GDPR Art. 6(1)(a))", I6212="Not Captured"), "Gap - Invalid Consent", IF(AND(D6212="Legitimate Interest (GDPR Art. 6(1)(f))", L6212=""), "Gap - Missing LIA", IF(AND(G6212="Yes", H6212=""), "Gap - Missing Art. 9 Basis", IF(OR(I6212="Invalid - Not Freely Given", I6212="Invalid - Not Specific", I6212="Invalid - Not Informed", I6212="Invalid - Ambiguous"), "Gap - Invalid Consent", "Compliant")))))</f>
        <v/>
      </c>
      <c r="O6212" s="7" t="n"/>
    </row>
    <row r="6213">
      <c r="A6213" s="7" t="n"/>
      <c r="B6213" s="7" t="n"/>
      <c r="C6213" s="7" t="n"/>
      <c r="D6213" s="7" t="n"/>
      <c r="E6213" s="7" t="n"/>
      <c r="F6213" s="7" t="n"/>
      <c r="G6213" s="7" t="n"/>
      <c r="H6213" s="7" t="n"/>
      <c r="I6213" s="7" t="n"/>
      <c r="J6213" s="7" t="n"/>
      <c r="K6213">
        <f>IF(D6213="Legitimate Interest (GDPR Art. 6(1)(f))", "Yes / Required (Sheet 3)", "")</f>
        <v/>
      </c>
      <c r="L6213" s="7" t="n"/>
      <c r="M6213" s="7" t="n"/>
      <c r="N6213">
        <f>IF(D6213="", "Gap - No Legal Basis", IF(AND(D6213="Consent (GDPR Art. 6(1)(a))", I6213="Not Captured"), "Gap - Invalid Consent", IF(AND(D6213="Legitimate Interest (GDPR Art. 6(1)(f))", L6213=""), "Gap - Missing LIA", IF(AND(G6213="Yes", H6213=""), "Gap - Missing Art. 9 Basis", IF(OR(I6213="Invalid - Not Freely Given", I6213="Invalid - Not Specific", I6213="Invalid - Not Informed", I6213="Invalid - Ambiguous"), "Gap - Invalid Consent", "Compliant")))))</f>
        <v/>
      </c>
      <c r="O6213" s="7" t="n"/>
    </row>
    <row r="6214">
      <c r="A6214" s="7" t="n"/>
      <c r="B6214" s="7" t="n"/>
      <c r="C6214" s="7" t="n"/>
      <c r="D6214" s="7" t="n"/>
      <c r="E6214" s="7" t="n"/>
      <c r="F6214" s="7" t="n"/>
      <c r="G6214" s="7" t="n"/>
      <c r="H6214" s="7" t="n"/>
      <c r="I6214" s="7" t="n"/>
      <c r="J6214" s="7" t="n"/>
      <c r="K6214">
        <f>IF(D6214="Legitimate Interest (GDPR Art. 6(1)(f))", "Yes / Required (Sheet 3)", "")</f>
        <v/>
      </c>
      <c r="L6214" s="7" t="n"/>
      <c r="M6214" s="7" t="n"/>
      <c r="N6214">
        <f>IF(D6214="", "Gap - No Legal Basis", IF(AND(D6214="Consent (GDPR Art. 6(1)(a))", I6214="Not Captured"), "Gap - Invalid Consent", IF(AND(D6214="Legitimate Interest (GDPR Art. 6(1)(f))", L6214=""), "Gap - Missing LIA", IF(AND(G6214="Yes", H6214=""), "Gap - Missing Art. 9 Basis", IF(OR(I6214="Invalid - Not Freely Given", I6214="Invalid - Not Specific", I6214="Invalid - Not Informed", I6214="Invalid - Ambiguous"), "Gap - Invalid Consent", "Compliant")))))</f>
        <v/>
      </c>
      <c r="O6214" s="7" t="n"/>
    </row>
    <row r="6215">
      <c r="A6215" s="7" t="n"/>
      <c r="B6215" s="7" t="n"/>
      <c r="C6215" s="7" t="n"/>
      <c r="D6215" s="7" t="n"/>
      <c r="E6215" s="7" t="n"/>
      <c r="F6215" s="7" t="n"/>
      <c r="G6215" s="7" t="n"/>
      <c r="H6215" s="7" t="n"/>
      <c r="I6215" s="7" t="n"/>
      <c r="J6215" s="7" t="n"/>
      <c r="K6215">
        <f>IF(D6215="Legitimate Interest (GDPR Art. 6(1)(f))", "Yes / Required (Sheet 3)", "")</f>
        <v/>
      </c>
      <c r="L6215" s="7" t="n"/>
      <c r="M6215" s="7" t="n"/>
      <c r="N6215">
        <f>IF(D6215="", "Gap - No Legal Basis", IF(AND(D6215="Consent (GDPR Art. 6(1)(a))", I6215="Not Captured"), "Gap - Invalid Consent", IF(AND(D6215="Legitimate Interest (GDPR Art. 6(1)(f))", L6215=""), "Gap - Missing LIA", IF(AND(G6215="Yes", H6215=""), "Gap - Missing Art. 9 Basis", IF(OR(I6215="Invalid - Not Freely Given", I6215="Invalid - Not Specific", I6215="Invalid - Not Informed", I6215="Invalid - Ambiguous"), "Gap - Invalid Consent", "Compliant")))))</f>
        <v/>
      </c>
      <c r="O6215" s="7" t="n"/>
    </row>
    <row r="6216">
      <c r="A6216" s="7" t="n"/>
      <c r="B6216" s="7" t="n"/>
      <c r="C6216" s="7" t="n"/>
      <c r="D6216" s="7" t="n"/>
      <c r="E6216" s="7" t="n"/>
      <c r="F6216" s="7" t="n"/>
      <c r="G6216" s="7" t="n"/>
      <c r="H6216" s="7" t="n"/>
      <c r="I6216" s="7" t="n"/>
      <c r="J6216" s="7" t="n"/>
      <c r="K6216">
        <f>IF(D6216="Legitimate Interest (GDPR Art. 6(1)(f))", "Yes / Required (Sheet 3)", "")</f>
        <v/>
      </c>
      <c r="L6216" s="7" t="n"/>
      <c r="M6216" s="7" t="n"/>
      <c r="N6216">
        <f>IF(D6216="", "Gap - No Legal Basis", IF(AND(D6216="Consent (GDPR Art. 6(1)(a))", I6216="Not Captured"), "Gap - Invalid Consent", IF(AND(D6216="Legitimate Interest (GDPR Art. 6(1)(f))", L6216=""), "Gap - Missing LIA", IF(AND(G6216="Yes", H6216=""), "Gap - Missing Art. 9 Basis", IF(OR(I6216="Invalid - Not Freely Given", I6216="Invalid - Not Specific", I6216="Invalid - Not Informed", I6216="Invalid - Ambiguous"), "Gap - Invalid Consent", "Compliant")))))</f>
        <v/>
      </c>
      <c r="O6216" s="7" t="n"/>
    </row>
    <row r="6217">
      <c r="A6217" s="7" t="n"/>
      <c r="B6217" s="7" t="n"/>
      <c r="C6217" s="7" t="n"/>
      <c r="D6217" s="7" t="n"/>
      <c r="E6217" s="7" t="n"/>
      <c r="F6217" s="7" t="n"/>
      <c r="G6217" s="7" t="n"/>
      <c r="H6217" s="7" t="n"/>
      <c r="I6217" s="7" t="n"/>
      <c r="J6217" s="7" t="n"/>
      <c r="K6217">
        <f>IF(D6217="Legitimate Interest (GDPR Art. 6(1)(f))", "Yes / Required (Sheet 3)", "")</f>
        <v/>
      </c>
      <c r="L6217" s="7" t="n"/>
      <c r="M6217" s="7" t="n"/>
      <c r="N6217">
        <f>IF(D6217="", "Gap - No Legal Basis", IF(AND(D6217="Consent (GDPR Art. 6(1)(a))", I6217="Not Captured"), "Gap - Invalid Consent", IF(AND(D6217="Legitimate Interest (GDPR Art. 6(1)(f))", L6217=""), "Gap - Missing LIA", IF(AND(G6217="Yes", H6217=""), "Gap - Missing Art. 9 Basis", IF(OR(I6217="Invalid - Not Freely Given", I6217="Invalid - Not Specific", I6217="Invalid - Not Informed", I6217="Invalid - Ambiguous"), "Gap - Invalid Consent", "Compliant")))))</f>
        <v/>
      </c>
      <c r="O6217" s="7" t="n"/>
    </row>
    <row r="6218">
      <c r="A6218" s="7" t="n"/>
      <c r="B6218" s="7" t="n"/>
      <c r="C6218" s="7" t="n"/>
      <c r="D6218" s="7" t="n"/>
      <c r="E6218" s="7" t="n"/>
      <c r="F6218" s="7" t="n"/>
      <c r="G6218" s="7" t="n"/>
      <c r="H6218" s="7" t="n"/>
      <c r="I6218" s="7" t="n"/>
      <c r="J6218" s="7" t="n"/>
      <c r="K6218">
        <f>IF(D6218="Legitimate Interest (GDPR Art. 6(1)(f))", "Yes / Required (Sheet 3)", "")</f>
        <v/>
      </c>
      <c r="L6218" s="7" t="n"/>
      <c r="M6218" s="7" t="n"/>
      <c r="N6218">
        <f>IF(D6218="", "Gap - No Legal Basis", IF(AND(D6218="Consent (GDPR Art. 6(1)(a))", I6218="Not Captured"), "Gap - Invalid Consent", IF(AND(D6218="Legitimate Interest (GDPR Art. 6(1)(f))", L6218=""), "Gap - Missing LIA", IF(AND(G6218="Yes", H6218=""), "Gap - Missing Art. 9 Basis", IF(OR(I6218="Invalid - Not Freely Given", I6218="Invalid - Not Specific", I6218="Invalid - Not Informed", I6218="Invalid - Ambiguous"), "Gap - Invalid Consent", "Compliant")))))</f>
        <v/>
      </c>
      <c r="O6218" s="7" t="n"/>
    </row>
    <row r="6219">
      <c r="A6219" s="7" t="n"/>
      <c r="B6219" s="7" t="n"/>
      <c r="C6219" s="7" t="n"/>
      <c r="D6219" s="7" t="n"/>
      <c r="E6219" s="7" t="n"/>
      <c r="F6219" s="7" t="n"/>
      <c r="G6219" s="7" t="n"/>
      <c r="H6219" s="7" t="n"/>
      <c r="I6219" s="7" t="n"/>
      <c r="J6219" s="7" t="n"/>
      <c r="K6219">
        <f>IF(D6219="Legitimate Interest (GDPR Art. 6(1)(f))", "Yes / Required (Sheet 3)", "")</f>
        <v/>
      </c>
      <c r="L6219" s="7" t="n"/>
      <c r="M6219" s="7" t="n"/>
      <c r="N6219">
        <f>IF(D6219="", "Gap - No Legal Basis", IF(AND(D6219="Consent (GDPR Art. 6(1)(a))", I6219="Not Captured"), "Gap - Invalid Consent", IF(AND(D6219="Legitimate Interest (GDPR Art. 6(1)(f))", L6219=""), "Gap - Missing LIA", IF(AND(G6219="Yes", H6219=""), "Gap - Missing Art. 9 Basis", IF(OR(I6219="Invalid - Not Freely Given", I6219="Invalid - Not Specific", I6219="Invalid - Not Informed", I6219="Invalid - Ambiguous"), "Gap - Invalid Consent", "Compliant")))))</f>
        <v/>
      </c>
      <c r="O6219" s="7" t="n"/>
    </row>
    <row r="6220">
      <c r="A6220" s="7" t="n"/>
      <c r="B6220" s="7" t="n"/>
      <c r="C6220" s="7" t="n"/>
      <c r="D6220" s="7" t="n"/>
      <c r="E6220" s="7" t="n"/>
      <c r="F6220" s="7" t="n"/>
      <c r="G6220" s="7" t="n"/>
      <c r="H6220" s="7" t="n"/>
      <c r="I6220" s="7" t="n"/>
      <c r="J6220" s="7" t="n"/>
      <c r="K6220">
        <f>IF(D6220="Legitimate Interest (GDPR Art. 6(1)(f))", "Yes / Required (Sheet 3)", "")</f>
        <v/>
      </c>
      <c r="L6220" s="7" t="n"/>
      <c r="M6220" s="7" t="n"/>
      <c r="N6220">
        <f>IF(D6220="", "Gap - No Legal Basis", IF(AND(D6220="Consent (GDPR Art. 6(1)(a))", I6220="Not Captured"), "Gap - Invalid Consent", IF(AND(D6220="Legitimate Interest (GDPR Art. 6(1)(f))", L6220=""), "Gap - Missing LIA", IF(AND(G6220="Yes", H6220=""), "Gap - Missing Art. 9 Basis", IF(OR(I6220="Invalid - Not Freely Given", I6220="Invalid - Not Specific", I6220="Invalid - Not Informed", I6220="Invalid - Ambiguous"), "Gap - Invalid Consent", "Compliant")))))</f>
        <v/>
      </c>
      <c r="O6220" s="7" t="n"/>
    </row>
    <row r="6221">
      <c r="A6221" s="7" t="n"/>
      <c r="B6221" s="7" t="n"/>
      <c r="C6221" s="7" t="n"/>
      <c r="D6221" s="7" t="n"/>
      <c r="E6221" s="7" t="n"/>
      <c r="F6221" s="7" t="n"/>
      <c r="G6221" s="7" t="n"/>
      <c r="H6221" s="7" t="n"/>
      <c r="I6221" s="7" t="n"/>
      <c r="J6221" s="7" t="n"/>
      <c r="K6221">
        <f>IF(D6221="Legitimate Interest (GDPR Art. 6(1)(f))", "Yes / Required (Sheet 3)", "")</f>
        <v/>
      </c>
      <c r="L6221" s="7" t="n"/>
      <c r="M6221" s="7" t="n"/>
      <c r="N6221">
        <f>IF(D6221="", "Gap - No Legal Basis", IF(AND(D6221="Consent (GDPR Art. 6(1)(a))", I6221="Not Captured"), "Gap - Invalid Consent", IF(AND(D6221="Legitimate Interest (GDPR Art. 6(1)(f))", L6221=""), "Gap - Missing LIA", IF(AND(G6221="Yes", H6221=""), "Gap - Missing Art. 9 Basis", IF(OR(I6221="Invalid - Not Freely Given", I6221="Invalid - Not Specific", I6221="Invalid - Not Informed", I6221="Invalid - Ambiguous"), "Gap - Invalid Consent", "Compliant")))))</f>
        <v/>
      </c>
      <c r="O6221" s="7" t="n"/>
    </row>
    <row r="6222">
      <c r="A6222" s="7" t="n"/>
      <c r="B6222" s="7" t="n"/>
      <c r="C6222" s="7" t="n"/>
      <c r="D6222" s="7" t="n"/>
      <c r="E6222" s="7" t="n"/>
      <c r="F6222" s="7" t="n"/>
      <c r="G6222" s="7" t="n"/>
      <c r="H6222" s="7" t="n"/>
      <c r="I6222" s="7" t="n"/>
      <c r="J6222" s="7" t="n"/>
      <c r="K6222">
        <f>IF(D6222="Legitimate Interest (GDPR Art. 6(1)(f))", "Yes / Required (Sheet 3)", "")</f>
        <v/>
      </c>
      <c r="L6222" s="7" t="n"/>
      <c r="M6222" s="7" t="n"/>
      <c r="N6222">
        <f>IF(D6222="", "Gap - No Legal Basis", IF(AND(D6222="Consent (GDPR Art. 6(1)(a))", I6222="Not Captured"), "Gap - Invalid Consent", IF(AND(D6222="Legitimate Interest (GDPR Art. 6(1)(f))", L6222=""), "Gap - Missing LIA", IF(AND(G6222="Yes", H6222=""), "Gap - Missing Art. 9 Basis", IF(OR(I6222="Invalid - Not Freely Given", I6222="Invalid - Not Specific", I6222="Invalid - Not Informed", I6222="Invalid - Ambiguous"), "Gap - Invalid Consent", "Compliant")))))</f>
        <v/>
      </c>
      <c r="O6222" s="7" t="n"/>
    </row>
    <row r="6223">
      <c r="A6223" s="7" t="n"/>
      <c r="B6223" s="7" t="n"/>
      <c r="C6223" s="7" t="n"/>
      <c r="D6223" s="7" t="n"/>
      <c r="E6223" s="7" t="n"/>
      <c r="F6223" s="7" t="n"/>
      <c r="G6223" s="7" t="n"/>
      <c r="H6223" s="7" t="n"/>
      <c r="I6223" s="7" t="n"/>
      <c r="J6223" s="7" t="n"/>
      <c r="K6223">
        <f>IF(D6223="Legitimate Interest (GDPR Art. 6(1)(f))", "Yes / Required (Sheet 3)", "")</f>
        <v/>
      </c>
      <c r="L6223" s="7" t="n"/>
      <c r="M6223" s="7" t="n"/>
      <c r="N6223">
        <f>IF(D6223="", "Gap - No Legal Basis", IF(AND(D6223="Consent (GDPR Art. 6(1)(a))", I6223="Not Captured"), "Gap - Invalid Consent", IF(AND(D6223="Legitimate Interest (GDPR Art. 6(1)(f))", L6223=""), "Gap - Missing LIA", IF(AND(G6223="Yes", H6223=""), "Gap - Missing Art. 9 Basis", IF(OR(I6223="Invalid - Not Freely Given", I6223="Invalid - Not Specific", I6223="Invalid - Not Informed", I6223="Invalid - Ambiguous"), "Gap - Invalid Consent", "Compliant")))))</f>
        <v/>
      </c>
      <c r="O6223" s="7" t="n"/>
    </row>
    <row r="6224">
      <c r="A6224" s="7" t="n"/>
      <c r="B6224" s="7" t="n"/>
      <c r="C6224" s="7" t="n"/>
      <c r="D6224" s="7" t="n"/>
      <c r="E6224" s="7" t="n"/>
      <c r="F6224" s="7" t="n"/>
      <c r="G6224" s="7" t="n"/>
      <c r="H6224" s="7" t="n"/>
      <c r="I6224" s="7" t="n"/>
      <c r="J6224" s="7" t="n"/>
      <c r="K6224">
        <f>IF(D6224="Legitimate Interest (GDPR Art. 6(1)(f))", "Yes / Required (Sheet 3)", "")</f>
        <v/>
      </c>
      <c r="L6224" s="7" t="n"/>
      <c r="M6224" s="7" t="n"/>
      <c r="N6224">
        <f>IF(D6224="", "Gap - No Legal Basis", IF(AND(D6224="Consent (GDPR Art. 6(1)(a))", I6224="Not Captured"), "Gap - Invalid Consent", IF(AND(D6224="Legitimate Interest (GDPR Art. 6(1)(f))", L6224=""), "Gap - Missing LIA", IF(AND(G6224="Yes", H6224=""), "Gap - Missing Art. 9 Basis", IF(OR(I6224="Invalid - Not Freely Given", I6224="Invalid - Not Specific", I6224="Invalid - Not Informed", I6224="Invalid - Ambiguous"), "Gap - Invalid Consent", "Compliant")))))</f>
        <v/>
      </c>
      <c r="O6224" s="7" t="n"/>
    </row>
    <row r="6225">
      <c r="A6225" s="7" t="n"/>
      <c r="B6225" s="7" t="n"/>
      <c r="C6225" s="7" t="n"/>
      <c r="D6225" s="7" t="n"/>
      <c r="E6225" s="7" t="n"/>
      <c r="F6225" s="7" t="n"/>
      <c r="G6225" s="7" t="n"/>
      <c r="H6225" s="7" t="n"/>
      <c r="I6225" s="7" t="n"/>
      <c r="J6225" s="7" t="n"/>
      <c r="K6225">
        <f>IF(D6225="Legitimate Interest (GDPR Art. 6(1)(f))", "Yes / Required (Sheet 3)", "")</f>
        <v/>
      </c>
      <c r="L6225" s="7" t="n"/>
      <c r="M6225" s="7" t="n"/>
      <c r="N6225">
        <f>IF(D6225="", "Gap - No Legal Basis", IF(AND(D6225="Consent (GDPR Art. 6(1)(a))", I6225="Not Captured"), "Gap - Invalid Consent", IF(AND(D6225="Legitimate Interest (GDPR Art. 6(1)(f))", L6225=""), "Gap - Missing LIA", IF(AND(G6225="Yes", H6225=""), "Gap - Missing Art. 9 Basis", IF(OR(I6225="Invalid - Not Freely Given", I6225="Invalid - Not Specific", I6225="Invalid - Not Informed", I6225="Invalid - Ambiguous"), "Gap - Invalid Consent", "Compliant")))))</f>
        <v/>
      </c>
      <c r="O6225" s="7" t="n"/>
    </row>
    <row r="6226">
      <c r="A6226" s="7" t="n"/>
      <c r="B6226" s="7" t="n"/>
      <c r="C6226" s="7" t="n"/>
      <c r="D6226" s="7" t="n"/>
      <c r="E6226" s="7" t="n"/>
      <c r="F6226" s="7" t="n"/>
      <c r="G6226" s="7" t="n"/>
      <c r="H6226" s="7" t="n"/>
      <c r="I6226" s="7" t="n"/>
      <c r="J6226" s="7" t="n"/>
      <c r="K6226">
        <f>IF(D6226="Legitimate Interest (GDPR Art. 6(1)(f))", "Yes / Required (Sheet 3)", "")</f>
        <v/>
      </c>
      <c r="L6226" s="7" t="n"/>
      <c r="M6226" s="7" t="n"/>
      <c r="N6226">
        <f>IF(D6226="", "Gap - No Legal Basis", IF(AND(D6226="Consent (GDPR Art. 6(1)(a))", I6226="Not Captured"), "Gap - Invalid Consent", IF(AND(D6226="Legitimate Interest (GDPR Art. 6(1)(f))", L6226=""), "Gap - Missing LIA", IF(AND(G6226="Yes", H6226=""), "Gap - Missing Art. 9 Basis", IF(OR(I6226="Invalid - Not Freely Given", I6226="Invalid - Not Specific", I6226="Invalid - Not Informed", I6226="Invalid - Ambiguous"), "Gap - Invalid Consent", "Compliant")))))</f>
        <v/>
      </c>
      <c r="O6226" s="7" t="n"/>
    </row>
    <row r="6227">
      <c r="A6227" s="7" t="n"/>
      <c r="B6227" s="7" t="n"/>
      <c r="C6227" s="7" t="n"/>
      <c r="D6227" s="7" t="n"/>
      <c r="E6227" s="7" t="n"/>
      <c r="F6227" s="7" t="n"/>
      <c r="G6227" s="7" t="n"/>
      <c r="H6227" s="7" t="n"/>
      <c r="I6227" s="7" t="n"/>
      <c r="J6227" s="7" t="n"/>
      <c r="K6227">
        <f>IF(D6227="Legitimate Interest (GDPR Art. 6(1)(f))", "Yes / Required (Sheet 3)", "")</f>
        <v/>
      </c>
      <c r="L6227" s="7" t="n"/>
      <c r="M6227" s="7" t="n"/>
      <c r="N6227">
        <f>IF(D6227="", "Gap - No Legal Basis", IF(AND(D6227="Consent (GDPR Art. 6(1)(a))", I6227="Not Captured"), "Gap - Invalid Consent", IF(AND(D6227="Legitimate Interest (GDPR Art. 6(1)(f))", L6227=""), "Gap - Missing LIA", IF(AND(G6227="Yes", H6227=""), "Gap - Missing Art. 9 Basis", IF(OR(I6227="Invalid - Not Freely Given", I6227="Invalid - Not Specific", I6227="Invalid - Not Informed", I6227="Invalid - Ambiguous"), "Gap - Invalid Consent", "Compliant")))))</f>
        <v/>
      </c>
      <c r="O6227" s="7" t="n"/>
    </row>
    <row r="6228">
      <c r="A6228" s="7" t="n"/>
      <c r="B6228" s="7" t="n"/>
      <c r="C6228" s="7" t="n"/>
      <c r="D6228" s="7" t="n"/>
      <c r="E6228" s="7" t="n"/>
      <c r="F6228" s="7" t="n"/>
      <c r="G6228" s="7" t="n"/>
      <c r="H6228" s="7" t="n"/>
      <c r="I6228" s="7" t="n"/>
      <c r="J6228" s="7" t="n"/>
      <c r="K6228">
        <f>IF(D6228="Legitimate Interest (GDPR Art. 6(1)(f))", "Yes / Required (Sheet 3)", "")</f>
        <v/>
      </c>
      <c r="L6228" s="7" t="n"/>
      <c r="M6228" s="7" t="n"/>
      <c r="N6228">
        <f>IF(D6228="", "Gap - No Legal Basis", IF(AND(D6228="Consent (GDPR Art. 6(1)(a))", I6228="Not Captured"), "Gap - Invalid Consent", IF(AND(D6228="Legitimate Interest (GDPR Art. 6(1)(f))", L6228=""), "Gap - Missing LIA", IF(AND(G6228="Yes", H6228=""), "Gap - Missing Art. 9 Basis", IF(OR(I6228="Invalid - Not Freely Given", I6228="Invalid - Not Specific", I6228="Invalid - Not Informed", I6228="Invalid - Ambiguous"), "Gap - Invalid Consent", "Compliant")))))</f>
        <v/>
      </c>
      <c r="O6228" s="7" t="n"/>
    </row>
    <row r="6229">
      <c r="A6229" s="7" t="n"/>
      <c r="B6229" s="7" t="n"/>
      <c r="C6229" s="7" t="n"/>
      <c r="D6229" s="7" t="n"/>
      <c r="E6229" s="7" t="n"/>
      <c r="F6229" s="7" t="n"/>
      <c r="G6229" s="7" t="n"/>
      <c r="H6229" s="7" t="n"/>
      <c r="I6229" s="7" t="n"/>
      <c r="J6229" s="7" t="n"/>
      <c r="K6229">
        <f>IF(D6229="Legitimate Interest (GDPR Art. 6(1)(f))", "Yes / Required (Sheet 3)", "")</f>
        <v/>
      </c>
      <c r="L6229" s="7" t="n"/>
      <c r="M6229" s="7" t="n"/>
      <c r="N6229">
        <f>IF(D6229="", "Gap - No Legal Basis", IF(AND(D6229="Consent (GDPR Art. 6(1)(a))", I6229="Not Captured"), "Gap - Invalid Consent", IF(AND(D6229="Legitimate Interest (GDPR Art. 6(1)(f))", L6229=""), "Gap - Missing LIA", IF(AND(G6229="Yes", H6229=""), "Gap - Missing Art. 9 Basis", IF(OR(I6229="Invalid - Not Freely Given", I6229="Invalid - Not Specific", I6229="Invalid - Not Informed", I6229="Invalid - Ambiguous"), "Gap - Invalid Consent", "Compliant")))))</f>
        <v/>
      </c>
      <c r="O6229" s="7" t="n"/>
    </row>
    <row r="6230">
      <c r="A6230" s="7" t="n"/>
      <c r="B6230" s="7" t="n"/>
      <c r="C6230" s="7" t="n"/>
      <c r="D6230" s="7" t="n"/>
      <c r="E6230" s="7" t="n"/>
      <c r="F6230" s="7" t="n"/>
      <c r="G6230" s="7" t="n"/>
      <c r="H6230" s="7" t="n"/>
      <c r="I6230" s="7" t="n"/>
      <c r="J6230" s="7" t="n"/>
      <c r="K6230">
        <f>IF(D6230="Legitimate Interest (GDPR Art. 6(1)(f))", "Yes / Required (Sheet 3)", "")</f>
        <v/>
      </c>
      <c r="L6230" s="7" t="n"/>
      <c r="M6230" s="7" t="n"/>
      <c r="N6230">
        <f>IF(D6230="", "Gap - No Legal Basis", IF(AND(D6230="Consent (GDPR Art. 6(1)(a))", I6230="Not Captured"), "Gap - Invalid Consent", IF(AND(D6230="Legitimate Interest (GDPR Art. 6(1)(f))", L6230=""), "Gap - Missing LIA", IF(AND(G6230="Yes", H6230=""), "Gap - Missing Art. 9 Basis", IF(OR(I6230="Invalid - Not Freely Given", I6230="Invalid - Not Specific", I6230="Invalid - Not Informed", I6230="Invalid - Ambiguous"), "Gap - Invalid Consent", "Compliant")))))</f>
        <v/>
      </c>
      <c r="O6230" s="7" t="n"/>
    </row>
    <row r="6231">
      <c r="A6231" s="7" t="n"/>
      <c r="B6231" s="7" t="n"/>
      <c r="C6231" s="7" t="n"/>
      <c r="D6231" s="7" t="n"/>
      <c r="E6231" s="7" t="n"/>
      <c r="F6231" s="7" t="n"/>
      <c r="G6231" s="7" t="n"/>
      <c r="H6231" s="7" t="n"/>
      <c r="I6231" s="7" t="n"/>
      <c r="J6231" s="7" t="n"/>
      <c r="K6231">
        <f>IF(D6231="Legitimate Interest (GDPR Art. 6(1)(f))", "Yes / Required (Sheet 3)", "")</f>
        <v/>
      </c>
      <c r="L6231" s="7" t="n"/>
      <c r="M6231" s="7" t="n"/>
      <c r="N6231">
        <f>IF(D6231="", "Gap - No Legal Basis", IF(AND(D6231="Consent (GDPR Art. 6(1)(a))", I6231="Not Captured"), "Gap - Invalid Consent", IF(AND(D6231="Legitimate Interest (GDPR Art. 6(1)(f))", L6231=""), "Gap - Missing LIA", IF(AND(G6231="Yes", H6231=""), "Gap - Missing Art. 9 Basis", IF(OR(I6231="Invalid - Not Freely Given", I6231="Invalid - Not Specific", I6231="Invalid - Not Informed", I6231="Invalid - Ambiguous"), "Gap - Invalid Consent", "Compliant")))))</f>
        <v/>
      </c>
      <c r="O6231" s="7" t="n"/>
    </row>
    <row r="6232">
      <c r="A6232" s="7" t="n"/>
      <c r="B6232" s="7" t="n"/>
      <c r="C6232" s="7" t="n"/>
      <c r="D6232" s="7" t="n"/>
      <c r="E6232" s="7" t="n"/>
      <c r="F6232" s="7" t="n"/>
      <c r="G6232" s="7" t="n"/>
      <c r="H6232" s="7" t="n"/>
      <c r="I6232" s="7" t="n"/>
      <c r="J6232" s="7" t="n"/>
      <c r="K6232">
        <f>IF(D6232="Legitimate Interest (GDPR Art. 6(1)(f))", "Yes / Required (Sheet 3)", "")</f>
        <v/>
      </c>
      <c r="L6232" s="7" t="n"/>
      <c r="M6232" s="7" t="n"/>
      <c r="N6232">
        <f>IF(D6232="", "Gap - No Legal Basis", IF(AND(D6232="Consent (GDPR Art. 6(1)(a))", I6232="Not Captured"), "Gap - Invalid Consent", IF(AND(D6232="Legitimate Interest (GDPR Art. 6(1)(f))", L6232=""), "Gap - Missing LIA", IF(AND(G6232="Yes", H6232=""), "Gap - Missing Art. 9 Basis", IF(OR(I6232="Invalid - Not Freely Given", I6232="Invalid - Not Specific", I6232="Invalid - Not Informed", I6232="Invalid - Ambiguous"), "Gap - Invalid Consent", "Compliant")))))</f>
        <v/>
      </c>
      <c r="O6232" s="7" t="n"/>
    </row>
    <row r="6233">
      <c r="A6233" s="7" t="n"/>
      <c r="B6233" s="7" t="n"/>
      <c r="C6233" s="7" t="n"/>
      <c r="D6233" s="7" t="n"/>
      <c r="E6233" s="7" t="n"/>
      <c r="F6233" s="7" t="n"/>
      <c r="G6233" s="7" t="n"/>
      <c r="H6233" s="7" t="n"/>
      <c r="I6233" s="7" t="n"/>
      <c r="J6233" s="7" t="n"/>
      <c r="K6233">
        <f>IF(D6233="Legitimate Interest (GDPR Art. 6(1)(f))", "Yes / Required (Sheet 3)", "")</f>
        <v/>
      </c>
      <c r="L6233" s="7" t="n"/>
      <c r="M6233" s="7" t="n"/>
      <c r="N6233">
        <f>IF(D6233="", "Gap - No Legal Basis", IF(AND(D6233="Consent (GDPR Art. 6(1)(a))", I6233="Not Captured"), "Gap - Invalid Consent", IF(AND(D6233="Legitimate Interest (GDPR Art. 6(1)(f))", L6233=""), "Gap - Missing LIA", IF(AND(G6233="Yes", H6233=""), "Gap - Missing Art. 9 Basis", IF(OR(I6233="Invalid - Not Freely Given", I6233="Invalid - Not Specific", I6233="Invalid - Not Informed", I6233="Invalid - Ambiguous"), "Gap - Invalid Consent", "Compliant")))))</f>
        <v/>
      </c>
      <c r="O6233" s="7" t="n"/>
    </row>
    <row r="6234">
      <c r="A6234" s="7" t="n"/>
      <c r="B6234" s="7" t="n"/>
      <c r="C6234" s="7" t="n"/>
      <c r="D6234" s="7" t="n"/>
      <c r="E6234" s="7" t="n"/>
      <c r="F6234" s="7" t="n"/>
      <c r="G6234" s="7" t="n"/>
      <c r="H6234" s="7" t="n"/>
      <c r="I6234" s="7" t="n"/>
      <c r="J6234" s="7" t="n"/>
      <c r="K6234">
        <f>IF(D6234="Legitimate Interest (GDPR Art. 6(1)(f))", "Yes / Required (Sheet 3)", "")</f>
        <v/>
      </c>
      <c r="L6234" s="7" t="n"/>
      <c r="M6234" s="7" t="n"/>
      <c r="N6234">
        <f>IF(D6234="", "Gap - No Legal Basis", IF(AND(D6234="Consent (GDPR Art. 6(1)(a))", I6234="Not Captured"), "Gap - Invalid Consent", IF(AND(D6234="Legitimate Interest (GDPR Art. 6(1)(f))", L6234=""), "Gap - Missing LIA", IF(AND(G6234="Yes", H6234=""), "Gap - Missing Art. 9 Basis", IF(OR(I6234="Invalid - Not Freely Given", I6234="Invalid - Not Specific", I6234="Invalid - Not Informed", I6234="Invalid - Ambiguous"), "Gap - Invalid Consent", "Compliant")))))</f>
        <v/>
      </c>
      <c r="O6234" s="7" t="n"/>
    </row>
    <row r="6235">
      <c r="A6235" s="7" t="n"/>
      <c r="B6235" s="7" t="n"/>
      <c r="C6235" s="7" t="n"/>
      <c r="D6235" s="7" t="n"/>
      <c r="E6235" s="7" t="n"/>
      <c r="F6235" s="7" t="n"/>
      <c r="G6235" s="7" t="n"/>
      <c r="H6235" s="7" t="n"/>
      <c r="I6235" s="7" t="n"/>
      <c r="J6235" s="7" t="n"/>
      <c r="K6235">
        <f>IF(D6235="Legitimate Interest (GDPR Art. 6(1)(f))", "Yes / Required (Sheet 3)", "")</f>
        <v/>
      </c>
      <c r="L6235" s="7" t="n"/>
      <c r="M6235" s="7" t="n"/>
      <c r="N6235">
        <f>IF(D6235="", "Gap - No Legal Basis", IF(AND(D6235="Consent (GDPR Art. 6(1)(a))", I6235="Not Captured"), "Gap - Invalid Consent", IF(AND(D6235="Legitimate Interest (GDPR Art. 6(1)(f))", L6235=""), "Gap - Missing LIA", IF(AND(G6235="Yes", H6235=""), "Gap - Missing Art. 9 Basis", IF(OR(I6235="Invalid - Not Freely Given", I6235="Invalid - Not Specific", I6235="Invalid - Not Informed", I6235="Invalid - Ambiguous"), "Gap - Invalid Consent", "Compliant")))))</f>
        <v/>
      </c>
      <c r="O6235" s="7" t="n"/>
    </row>
    <row r="6236">
      <c r="A6236" s="7" t="n"/>
      <c r="B6236" s="7" t="n"/>
      <c r="C6236" s="7" t="n"/>
      <c r="D6236" s="7" t="n"/>
      <c r="E6236" s="7" t="n"/>
      <c r="F6236" s="7" t="n"/>
      <c r="G6236" s="7" t="n"/>
      <c r="H6236" s="7" t="n"/>
      <c r="I6236" s="7" t="n"/>
      <c r="J6236" s="7" t="n"/>
      <c r="K6236">
        <f>IF(D6236="Legitimate Interest (GDPR Art. 6(1)(f))", "Yes / Required (Sheet 3)", "")</f>
        <v/>
      </c>
      <c r="L6236" s="7" t="n"/>
      <c r="M6236" s="7" t="n"/>
      <c r="N6236">
        <f>IF(D6236="", "Gap - No Legal Basis", IF(AND(D6236="Consent (GDPR Art. 6(1)(a))", I6236="Not Captured"), "Gap - Invalid Consent", IF(AND(D6236="Legitimate Interest (GDPR Art. 6(1)(f))", L6236=""), "Gap - Missing LIA", IF(AND(G6236="Yes", H6236=""), "Gap - Missing Art. 9 Basis", IF(OR(I6236="Invalid - Not Freely Given", I6236="Invalid - Not Specific", I6236="Invalid - Not Informed", I6236="Invalid - Ambiguous"), "Gap - Invalid Consent", "Compliant")))))</f>
        <v/>
      </c>
      <c r="O6236" s="7" t="n"/>
    </row>
    <row r="6237">
      <c r="A6237" s="7" t="n"/>
      <c r="B6237" s="7" t="n"/>
      <c r="C6237" s="7" t="n"/>
      <c r="D6237" s="7" t="n"/>
      <c r="E6237" s="7" t="n"/>
      <c r="F6237" s="7" t="n"/>
      <c r="G6237" s="7" t="n"/>
      <c r="H6237" s="7" t="n"/>
      <c r="I6237" s="7" t="n"/>
      <c r="J6237" s="7" t="n"/>
      <c r="K6237">
        <f>IF(D6237="Legitimate Interest (GDPR Art. 6(1)(f))", "Yes / Required (Sheet 3)", "")</f>
        <v/>
      </c>
      <c r="L6237" s="7" t="n"/>
      <c r="M6237" s="7" t="n"/>
      <c r="N6237">
        <f>IF(D6237="", "Gap - No Legal Basis", IF(AND(D6237="Consent (GDPR Art. 6(1)(a))", I6237="Not Captured"), "Gap - Invalid Consent", IF(AND(D6237="Legitimate Interest (GDPR Art. 6(1)(f))", L6237=""), "Gap - Missing LIA", IF(AND(G6237="Yes", H6237=""), "Gap - Missing Art. 9 Basis", IF(OR(I6237="Invalid - Not Freely Given", I6237="Invalid - Not Specific", I6237="Invalid - Not Informed", I6237="Invalid - Ambiguous"), "Gap - Invalid Consent", "Compliant")))))</f>
        <v/>
      </c>
      <c r="O6237" s="7" t="n"/>
    </row>
    <row r="6238">
      <c r="A6238" s="7" t="n"/>
      <c r="B6238" s="7" t="n"/>
      <c r="C6238" s="7" t="n"/>
      <c r="D6238" s="7" t="n"/>
      <c r="E6238" s="7" t="n"/>
      <c r="F6238" s="7" t="n"/>
      <c r="G6238" s="7" t="n"/>
      <c r="H6238" s="7" t="n"/>
      <c r="I6238" s="7" t="n"/>
      <c r="J6238" s="7" t="n"/>
      <c r="K6238">
        <f>IF(D6238="Legitimate Interest (GDPR Art. 6(1)(f))", "Yes / Required (Sheet 3)", "")</f>
        <v/>
      </c>
      <c r="L6238" s="7" t="n"/>
      <c r="M6238" s="7" t="n"/>
      <c r="N6238">
        <f>IF(D6238="", "Gap - No Legal Basis", IF(AND(D6238="Consent (GDPR Art. 6(1)(a))", I6238="Not Captured"), "Gap - Invalid Consent", IF(AND(D6238="Legitimate Interest (GDPR Art. 6(1)(f))", L6238=""), "Gap - Missing LIA", IF(AND(G6238="Yes", H6238=""), "Gap - Missing Art. 9 Basis", IF(OR(I6238="Invalid - Not Freely Given", I6238="Invalid - Not Specific", I6238="Invalid - Not Informed", I6238="Invalid - Ambiguous"), "Gap - Invalid Consent", "Compliant")))))</f>
        <v/>
      </c>
      <c r="O6238" s="7" t="n"/>
    </row>
    <row r="6239">
      <c r="A6239" s="7" t="n"/>
      <c r="B6239" s="7" t="n"/>
      <c r="C6239" s="7" t="n"/>
      <c r="D6239" s="7" t="n"/>
      <c r="E6239" s="7" t="n"/>
      <c r="F6239" s="7" t="n"/>
      <c r="G6239" s="7" t="n"/>
      <c r="H6239" s="7" t="n"/>
      <c r="I6239" s="7" t="n"/>
      <c r="J6239" s="7" t="n"/>
      <c r="K6239">
        <f>IF(D6239="Legitimate Interest (GDPR Art. 6(1)(f))", "Yes / Required (Sheet 3)", "")</f>
        <v/>
      </c>
      <c r="L6239" s="7" t="n"/>
      <c r="M6239" s="7" t="n"/>
      <c r="N6239">
        <f>IF(D6239="", "Gap - No Legal Basis", IF(AND(D6239="Consent (GDPR Art. 6(1)(a))", I6239="Not Captured"), "Gap - Invalid Consent", IF(AND(D6239="Legitimate Interest (GDPR Art. 6(1)(f))", L6239=""), "Gap - Missing LIA", IF(AND(G6239="Yes", H6239=""), "Gap - Missing Art. 9 Basis", IF(OR(I6239="Invalid - Not Freely Given", I6239="Invalid - Not Specific", I6239="Invalid - Not Informed", I6239="Invalid - Ambiguous"), "Gap - Invalid Consent", "Compliant")))))</f>
        <v/>
      </c>
      <c r="O6239" s="7" t="n"/>
    </row>
    <row r="6240">
      <c r="A6240" s="7" t="n"/>
      <c r="B6240" s="7" t="n"/>
      <c r="C6240" s="7" t="n"/>
      <c r="D6240" s="7" t="n"/>
      <c r="E6240" s="7" t="n"/>
      <c r="F6240" s="7" t="n"/>
      <c r="G6240" s="7" t="n"/>
      <c r="H6240" s="7" t="n"/>
      <c r="I6240" s="7" t="n"/>
      <c r="J6240" s="7" t="n"/>
      <c r="K6240">
        <f>IF(D6240="Legitimate Interest (GDPR Art. 6(1)(f))", "Yes / Required (Sheet 3)", "")</f>
        <v/>
      </c>
      <c r="L6240" s="7" t="n"/>
      <c r="M6240" s="7" t="n"/>
      <c r="N6240">
        <f>IF(D6240="", "Gap - No Legal Basis", IF(AND(D6240="Consent (GDPR Art. 6(1)(a))", I6240="Not Captured"), "Gap - Invalid Consent", IF(AND(D6240="Legitimate Interest (GDPR Art. 6(1)(f))", L6240=""), "Gap - Missing LIA", IF(AND(G6240="Yes", H6240=""), "Gap - Missing Art. 9 Basis", IF(OR(I6240="Invalid - Not Freely Given", I6240="Invalid - Not Specific", I6240="Invalid - Not Informed", I6240="Invalid - Ambiguous"), "Gap - Invalid Consent", "Compliant")))))</f>
        <v/>
      </c>
      <c r="O6240" s="7" t="n"/>
    </row>
    <row r="6241">
      <c r="A6241" s="7" t="n"/>
      <c r="B6241" s="7" t="n"/>
      <c r="C6241" s="7" t="n"/>
      <c r="D6241" s="7" t="n"/>
      <c r="E6241" s="7" t="n"/>
      <c r="F6241" s="7" t="n"/>
      <c r="G6241" s="7" t="n"/>
      <c r="H6241" s="7" t="n"/>
      <c r="I6241" s="7" t="n"/>
      <c r="J6241" s="7" t="n"/>
      <c r="K6241">
        <f>IF(D6241="Legitimate Interest (GDPR Art. 6(1)(f))", "Yes / Required (Sheet 3)", "")</f>
        <v/>
      </c>
      <c r="L6241" s="7" t="n"/>
      <c r="M6241" s="7" t="n"/>
      <c r="N6241">
        <f>IF(D6241="", "Gap - No Legal Basis", IF(AND(D6241="Consent (GDPR Art. 6(1)(a))", I6241="Not Captured"), "Gap - Invalid Consent", IF(AND(D6241="Legitimate Interest (GDPR Art. 6(1)(f))", L6241=""), "Gap - Missing LIA", IF(AND(G6241="Yes", H6241=""), "Gap - Missing Art. 9 Basis", IF(OR(I6241="Invalid - Not Freely Given", I6241="Invalid - Not Specific", I6241="Invalid - Not Informed", I6241="Invalid - Ambiguous"), "Gap - Invalid Consent", "Compliant")))))</f>
        <v/>
      </c>
      <c r="O6241" s="7" t="n"/>
    </row>
    <row r="6242">
      <c r="A6242" s="7" t="n"/>
      <c r="B6242" s="7" t="n"/>
      <c r="C6242" s="7" t="n"/>
      <c r="D6242" s="7" t="n"/>
      <c r="E6242" s="7" t="n"/>
      <c r="F6242" s="7" t="n"/>
      <c r="G6242" s="7" t="n"/>
      <c r="H6242" s="7" t="n"/>
      <c r="I6242" s="7" t="n"/>
      <c r="J6242" s="7" t="n"/>
      <c r="K6242">
        <f>IF(D6242="Legitimate Interest (GDPR Art. 6(1)(f))", "Yes / Required (Sheet 3)", "")</f>
        <v/>
      </c>
      <c r="L6242" s="7" t="n"/>
      <c r="M6242" s="7" t="n"/>
      <c r="N6242">
        <f>IF(D6242="", "Gap - No Legal Basis", IF(AND(D6242="Consent (GDPR Art. 6(1)(a))", I6242="Not Captured"), "Gap - Invalid Consent", IF(AND(D6242="Legitimate Interest (GDPR Art. 6(1)(f))", L6242=""), "Gap - Missing LIA", IF(AND(G6242="Yes", H6242=""), "Gap - Missing Art. 9 Basis", IF(OR(I6242="Invalid - Not Freely Given", I6242="Invalid - Not Specific", I6242="Invalid - Not Informed", I6242="Invalid - Ambiguous"), "Gap - Invalid Consent", "Compliant")))))</f>
        <v/>
      </c>
      <c r="O6242" s="7" t="n"/>
    </row>
    <row r="6243">
      <c r="A6243" s="7" t="n"/>
      <c r="B6243" s="7" t="n"/>
      <c r="C6243" s="7" t="n"/>
      <c r="D6243" s="7" t="n"/>
      <c r="E6243" s="7" t="n"/>
      <c r="F6243" s="7" t="n"/>
      <c r="G6243" s="7" t="n"/>
      <c r="H6243" s="7" t="n"/>
      <c r="I6243" s="7" t="n"/>
      <c r="J6243" s="7" t="n"/>
      <c r="K6243">
        <f>IF(D6243="Legitimate Interest (GDPR Art. 6(1)(f))", "Yes / Required (Sheet 3)", "")</f>
        <v/>
      </c>
      <c r="L6243" s="7" t="n"/>
      <c r="M6243" s="7" t="n"/>
      <c r="N6243">
        <f>IF(D6243="", "Gap - No Legal Basis", IF(AND(D6243="Consent (GDPR Art. 6(1)(a))", I6243="Not Captured"), "Gap - Invalid Consent", IF(AND(D6243="Legitimate Interest (GDPR Art. 6(1)(f))", L6243=""), "Gap - Missing LIA", IF(AND(G6243="Yes", H6243=""), "Gap - Missing Art. 9 Basis", IF(OR(I6243="Invalid - Not Freely Given", I6243="Invalid - Not Specific", I6243="Invalid - Not Informed", I6243="Invalid - Ambiguous"), "Gap - Invalid Consent", "Compliant")))))</f>
        <v/>
      </c>
      <c r="O6243" s="7" t="n"/>
    </row>
    <row r="6244">
      <c r="A6244" s="7" t="n"/>
      <c r="B6244" s="7" t="n"/>
      <c r="C6244" s="7" t="n"/>
      <c r="D6244" s="7" t="n"/>
      <c r="E6244" s="7" t="n"/>
      <c r="F6244" s="7" t="n"/>
      <c r="G6244" s="7" t="n"/>
      <c r="H6244" s="7" t="n"/>
      <c r="I6244" s="7" t="n"/>
      <c r="J6244" s="7" t="n"/>
      <c r="K6244">
        <f>IF(D6244="Legitimate Interest (GDPR Art. 6(1)(f))", "Yes / Required (Sheet 3)", "")</f>
        <v/>
      </c>
      <c r="L6244" s="7" t="n"/>
      <c r="M6244" s="7" t="n"/>
      <c r="N6244">
        <f>IF(D6244="", "Gap - No Legal Basis", IF(AND(D6244="Consent (GDPR Art. 6(1)(a))", I6244="Not Captured"), "Gap - Invalid Consent", IF(AND(D6244="Legitimate Interest (GDPR Art. 6(1)(f))", L6244=""), "Gap - Missing LIA", IF(AND(G6244="Yes", H6244=""), "Gap - Missing Art. 9 Basis", IF(OR(I6244="Invalid - Not Freely Given", I6244="Invalid - Not Specific", I6244="Invalid - Not Informed", I6244="Invalid - Ambiguous"), "Gap - Invalid Consent", "Compliant")))))</f>
        <v/>
      </c>
      <c r="O6244" s="7" t="n"/>
    </row>
    <row r="6245">
      <c r="A6245" s="7" t="n"/>
      <c r="B6245" s="7" t="n"/>
      <c r="C6245" s="7" t="n"/>
      <c r="D6245" s="7" t="n"/>
      <c r="E6245" s="7" t="n"/>
      <c r="F6245" s="7" t="n"/>
      <c r="G6245" s="7" t="n"/>
      <c r="H6245" s="7" t="n"/>
      <c r="I6245" s="7" t="n"/>
      <c r="J6245" s="7" t="n"/>
      <c r="K6245">
        <f>IF(D6245="Legitimate Interest (GDPR Art. 6(1)(f))", "Yes / Required (Sheet 3)", "")</f>
        <v/>
      </c>
      <c r="L6245" s="7" t="n"/>
      <c r="M6245" s="7" t="n"/>
      <c r="N6245">
        <f>IF(D6245="", "Gap - No Legal Basis", IF(AND(D6245="Consent (GDPR Art. 6(1)(a))", I6245="Not Captured"), "Gap - Invalid Consent", IF(AND(D6245="Legitimate Interest (GDPR Art. 6(1)(f))", L6245=""), "Gap - Missing LIA", IF(AND(G6245="Yes", H6245=""), "Gap - Missing Art. 9 Basis", IF(OR(I6245="Invalid - Not Freely Given", I6245="Invalid - Not Specific", I6245="Invalid - Not Informed", I6245="Invalid - Ambiguous"), "Gap - Invalid Consent", "Compliant")))))</f>
        <v/>
      </c>
      <c r="O6245" s="7" t="n"/>
    </row>
    <row r="6246">
      <c r="A6246" s="7" t="n"/>
      <c r="B6246" s="7" t="n"/>
      <c r="C6246" s="7" t="n"/>
      <c r="D6246" s="7" t="n"/>
      <c r="E6246" s="7" t="n"/>
      <c r="F6246" s="7" t="n"/>
      <c r="G6246" s="7" t="n"/>
      <c r="H6246" s="7" t="n"/>
      <c r="I6246" s="7" t="n"/>
      <c r="J6246" s="7" t="n"/>
      <c r="K6246">
        <f>IF(D6246="Legitimate Interest (GDPR Art. 6(1)(f))", "Yes / Required (Sheet 3)", "")</f>
        <v/>
      </c>
      <c r="L6246" s="7" t="n"/>
      <c r="M6246" s="7" t="n"/>
      <c r="N6246">
        <f>IF(D6246="", "Gap - No Legal Basis", IF(AND(D6246="Consent (GDPR Art. 6(1)(a))", I6246="Not Captured"), "Gap - Invalid Consent", IF(AND(D6246="Legitimate Interest (GDPR Art. 6(1)(f))", L6246=""), "Gap - Missing LIA", IF(AND(G6246="Yes", H6246=""), "Gap - Missing Art. 9 Basis", IF(OR(I6246="Invalid - Not Freely Given", I6246="Invalid - Not Specific", I6246="Invalid - Not Informed", I6246="Invalid - Ambiguous"), "Gap - Invalid Consent", "Compliant")))))</f>
        <v/>
      </c>
      <c r="O6246" s="7" t="n"/>
    </row>
    <row r="6247">
      <c r="A6247" s="7" t="n"/>
      <c r="B6247" s="7" t="n"/>
      <c r="C6247" s="7" t="n"/>
      <c r="D6247" s="7" t="n"/>
      <c r="E6247" s="7" t="n"/>
      <c r="F6247" s="7" t="n"/>
      <c r="G6247" s="7" t="n"/>
      <c r="H6247" s="7" t="n"/>
      <c r="I6247" s="7" t="n"/>
      <c r="J6247" s="7" t="n"/>
      <c r="K6247">
        <f>IF(D6247="Legitimate Interest (GDPR Art. 6(1)(f))", "Yes / Required (Sheet 3)", "")</f>
        <v/>
      </c>
      <c r="L6247" s="7" t="n"/>
      <c r="M6247" s="7" t="n"/>
      <c r="N6247">
        <f>IF(D6247="", "Gap - No Legal Basis", IF(AND(D6247="Consent (GDPR Art. 6(1)(a))", I6247="Not Captured"), "Gap - Invalid Consent", IF(AND(D6247="Legitimate Interest (GDPR Art. 6(1)(f))", L6247=""), "Gap - Missing LIA", IF(AND(G6247="Yes", H6247=""), "Gap - Missing Art. 9 Basis", IF(OR(I6247="Invalid - Not Freely Given", I6247="Invalid - Not Specific", I6247="Invalid - Not Informed", I6247="Invalid - Ambiguous"), "Gap - Invalid Consent", "Compliant")))))</f>
        <v/>
      </c>
      <c r="O6247" s="7" t="n"/>
    </row>
    <row r="6248">
      <c r="A6248" s="7" t="n"/>
      <c r="B6248" s="7" t="n"/>
      <c r="C6248" s="7" t="n"/>
      <c r="D6248" s="7" t="n"/>
      <c r="E6248" s="7" t="n"/>
      <c r="F6248" s="7" t="n"/>
      <c r="G6248" s="7" t="n"/>
      <c r="H6248" s="7" t="n"/>
      <c r="I6248" s="7" t="n"/>
      <c r="J6248" s="7" t="n"/>
      <c r="K6248">
        <f>IF(D6248="Legitimate Interest (GDPR Art. 6(1)(f))", "Yes / Required (Sheet 3)", "")</f>
        <v/>
      </c>
      <c r="L6248" s="7" t="n"/>
      <c r="M6248" s="7" t="n"/>
      <c r="N6248">
        <f>IF(D6248="", "Gap - No Legal Basis", IF(AND(D6248="Consent (GDPR Art. 6(1)(a))", I6248="Not Captured"), "Gap - Invalid Consent", IF(AND(D6248="Legitimate Interest (GDPR Art. 6(1)(f))", L6248=""), "Gap - Missing LIA", IF(AND(G6248="Yes", H6248=""), "Gap - Missing Art. 9 Basis", IF(OR(I6248="Invalid - Not Freely Given", I6248="Invalid - Not Specific", I6248="Invalid - Not Informed", I6248="Invalid - Ambiguous"), "Gap - Invalid Consent", "Compliant")))))</f>
        <v/>
      </c>
      <c r="O6248" s="7" t="n"/>
    </row>
    <row r="6249">
      <c r="A6249" s="7" t="n"/>
      <c r="B6249" s="7" t="n"/>
      <c r="C6249" s="7" t="n"/>
      <c r="D6249" s="7" t="n"/>
      <c r="E6249" s="7" t="n"/>
      <c r="F6249" s="7" t="n"/>
      <c r="G6249" s="7" t="n"/>
      <c r="H6249" s="7" t="n"/>
      <c r="I6249" s="7" t="n"/>
      <c r="J6249" s="7" t="n"/>
      <c r="K6249">
        <f>IF(D6249="Legitimate Interest (GDPR Art. 6(1)(f))", "Yes / Required (Sheet 3)", "")</f>
        <v/>
      </c>
      <c r="L6249" s="7" t="n"/>
      <c r="M6249" s="7" t="n"/>
      <c r="N6249">
        <f>IF(D6249="", "Gap - No Legal Basis", IF(AND(D6249="Consent (GDPR Art. 6(1)(a))", I6249="Not Captured"), "Gap - Invalid Consent", IF(AND(D6249="Legitimate Interest (GDPR Art. 6(1)(f))", L6249=""), "Gap - Missing LIA", IF(AND(G6249="Yes", H6249=""), "Gap - Missing Art. 9 Basis", IF(OR(I6249="Invalid - Not Freely Given", I6249="Invalid - Not Specific", I6249="Invalid - Not Informed", I6249="Invalid - Ambiguous"), "Gap - Invalid Consent", "Compliant")))))</f>
        <v/>
      </c>
      <c r="O6249" s="7" t="n"/>
    </row>
    <row r="6250">
      <c r="A6250" s="7" t="n"/>
      <c r="B6250" s="7" t="n"/>
      <c r="C6250" s="7" t="n"/>
      <c r="D6250" s="7" t="n"/>
      <c r="E6250" s="7" t="n"/>
      <c r="F6250" s="7" t="n"/>
      <c r="G6250" s="7" t="n"/>
      <c r="H6250" s="7" t="n"/>
      <c r="I6250" s="7" t="n"/>
      <c r="J6250" s="7" t="n"/>
      <c r="K6250">
        <f>IF(D6250="Legitimate Interest (GDPR Art. 6(1)(f))", "Yes / Required (Sheet 3)", "")</f>
        <v/>
      </c>
      <c r="L6250" s="7" t="n"/>
      <c r="M6250" s="7" t="n"/>
      <c r="N6250">
        <f>IF(D6250="", "Gap - No Legal Basis", IF(AND(D6250="Consent (GDPR Art. 6(1)(a))", I6250="Not Captured"), "Gap - Invalid Consent", IF(AND(D6250="Legitimate Interest (GDPR Art. 6(1)(f))", L6250=""), "Gap - Missing LIA", IF(AND(G6250="Yes", H6250=""), "Gap - Missing Art. 9 Basis", IF(OR(I6250="Invalid - Not Freely Given", I6250="Invalid - Not Specific", I6250="Invalid - Not Informed", I6250="Invalid - Ambiguous"), "Gap - Invalid Consent", "Compliant")))))</f>
        <v/>
      </c>
      <c r="O6250" s="7" t="n"/>
    </row>
    <row r="6251">
      <c r="A6251" s="7" t="n"/>
      <c r="B6251" s="7" t="n"/>
      <c r="C6251" s="7" t="n"/>
      <c r="D6251" s="7" t="n"/>
      <c r="E6251" s="7" t="n"/>
      <c r="F6251" s="7" t="n"/>
      <c r="G6251" s="7" t="n"/>
      <c r="H6251" s="7" t="n"/>
      <c r="I6251" s="7" t="n"/>
      <c r="J6251" s="7" t="n"/>
      <c r="K6251">
        <f>IF(D6251="Legitimate Interest (GDPR Art. 6(1)(f))", "Yes / Required (Sheet 3)", "")</f>
        <v/>
      </c>
      <c r="L6251" s="7" t="n"/>
      <c r="M6251" s="7" t="n"/>
      <c r="N6251">
        <f>IF(D6251="", "Gap - No Legal Basis", IF(AND(D6251="Consent (GDPR Art. 6(1)(a))", I6251="Not Captured"), "Gap - Invalid Consent", IF(AND(D6251="Legitimate Interest (GDPR Art. 6(1)(f))", L6251=""), "Gap - Missing LIA", IF(AND(G6251="Yes", H6251=""), "Gap - Missing Art. 9 Basis", IF(OR(I6251="Invalid - Not Freely Given", I6251="Invalid - Not Specific", I6251="Invalid - Not Informed", I6251="Invalid - Ambiguous"), "Gap - Invalid Consent", "Compliant")))))</f>
        <v/>
      </c>
      <c r="O6251" s="7" t="n"/>
    </row>
    <row r="6252">
      <c r="A6252" s="7" t="n"/>
      <c r="B6252" s="7" t="n"/>
      <c r="C6252" s="7" t="n"/>
      <c r="D6252" s="7" t="n"/>
      <c r="E6252" s="7" t="n"/>
      <c r="F6252" s="7" t="n"/>
      <c r="G6252" s="7" t="n"/>
      <c r="H6252" s="7" t="n"/>
      <c r="I6252" s="7" t="n"/>
      <c r="J6252" s="7" t="n"/>
      <c r="K6252">
        <f>IF(D6252="Legitimate Interest (GDPR Art. 6(1)(f))", "Yes / Required (Sheet 3)", "")</f>
        <v/>
      </c>
      <c r="L6252" s="7" t="n"/>
      <c r="M6252" s="7" t="n"/>
      <c r="N6252">
        <f>IF(D6252="", "Gap - No Legal Basis", IF(AND(D6252="Consent (GDPR Art. 6(1)(a))", I6252="Not Captured"), "Gap - Invalid Consent", IF(AND(D6252="Legitimate Interest (GDPR Art. 6(1)(f))", L6252=""), "Gap - Missing LIA", IF(AND(G6252="Yes", H6252=""), "Gap - Missing Art. 9 Basis", IF(OR(I6252="Invalid - Not Freely Given", I6252="Invalid - Not Specific", I6252="Invalid - Not Informed", I6252="Invalid - Ambiguous"), "Gap - Invalid Consent", "Compliant")))))</f>
        <v/>
      </c>
      <c r="O6252" s="7" t="n"/>
    </row>
    <row r="6253">
      <c r="A6253" s="7" t="n"/>
      <c r="B6253" s="7" t="n"/>
      <c r="C6253" s="7" t="n"/>
      <c r="D6253" s="7" t="n"/>
      <c r="E6253" s="7" t="n"/>
      <c r="F6253" s="7" t="n"/>
      <c r="G6253" s="7" t="n"/>
      <c r="H6253" s="7" t="n"/>
      <c r="I6253" s="7" t="n"/>
      <c r="J6253" s="7" t="n"/>
      <c r="K6253">
        <f>IF(D6253="Legitimate Interest (GDPR Art. 6(1)(f))", "Yes / Required (Sheet 3)", "")</f>
        <v/>
      </c>
      <c r="L6253" s="7" t="n"/>
      <c r="M6253" s="7" t="n"/>
      <c r="N6253">
        <f>IF(D6253="", "Gap - No Legal Basis", IF(AND(D6253="Consent (GDPR Art. 6(1)(a))", I6253="Not Captured"), "Gap - Invalid Consent", IF(AND(D6253="Legitimate Interest (GDPR Art. 6(1)(f))", L6253=""), "Gap - Missing LIA", IF(AND(G6253="Yes", H6253=""), "Gap - Missing Art. 9 Basis", IF(OR(I6253="Invalid - Not Freely Given", I6253="Invalid - Not Specific", I6253="Invalid - Not Informed", I6253="Invalid - Ambiguous"), "Gap - Invalid Consent", "Compliant")))))</f>
        <v/>
      </c>
      <c r="O6253" s="7" t="n"/>
    </row>
    <row r="6254">
      <c r="A6254" s="7" t="n"/>
      <c r="B6254" s="7" t="n"/>
      <c r="C6254" s="7" t="n"/>
      <c r="D6254" s="7" t="n"/>
      <c r="E6254" s="7" t="n"/>
      <c r="F6254" s="7" t="n"/>
      <c r="G6254" s="7" t="n"/>
      <c r="H6254" s="7" t="n"/>
      <c r="I6254" s="7" t="n"/>
      <c r="J6254" s="7" t="n"/>
      <c r="K6254">
        <f>IF(D6254="Legitimate Interest (GDPR Art. 6(1)(f))", "Yes / Required (Sheet 3)", "")</f>
        <v/>
      </c>
      <c r="L6254" s="7" t="n"/>
      <c r="M6254" s="7" t="n"/>
      <c r="N6254">
        <f>IF(D6254="", "Gap - No Legal Basis", IF(AND(D6254="Consent (GDPR Art. 6(1)(a))", I6254="Not Captured"), "Gap - Invalid Consent", IF(AND(D6254="Legitimate Interest (GDPR Art. 6(1)(f))", L6254=""), "Gap - Missing LIA", IF(AND(G6254="Yes", H6254=""), "Gap - Missing Art. 9 Basis", IF(OR(I6254="Invalid - Not Freely Given", I6254="Invalid - Not Specific", I6254="Invalid - Not Informed", I6254="Invalid - Ambiguous"), "Gap - Invalid Consent", "Compliant")))))</f>
        <v/>
      </c>
      <c r="O6254" s="7" t="n"/>
    </row>
    <row r="6255">
      <c r="A6255" s="7" t="n"/>
      <c r="B6255" s="7" t="n"/>
      <c r="C6255" s="7" t="n"/>
      <c r="D6255" s="7" t="n"/>
      <c r="E6255" s="7" t="n"/>
      <c r="F6255" s="7" t="n"/>
      <c r="G6255" s="7" t="n"/>
      <c r="H6255" s="7" t="n"/>
      <c r="I6255" s="7" t="n"/>
      <c r="J6255" s="7" t="n"/>
      <c r="K6255">
        <f>IF(D6255="Legitimate Interest (GDPR Art. 6(1)(f))", "Yes / Required (Sheet 3)", "")</f>
        <v/>
      </c>
      <c r="L6255" s="7" t="n"/>
      <c r="M6255" s="7" t="n"/>
      <c r="N6255">
        <f>IF(D6255="", "Gap - No Legal Basis", IF(AND(D6255="Consent (GDPR Art. 6(1)(a))", I6255="Not Captured"), "Gap - Invalid Consent", IF(AND(D6255="Legitimate Interest (GDPR Art. 6(1)(f))", L6255=""), "Gap - Missing LIA", IF(AND(G6255="Yes", H6255=""), "Gap - Missing Art. 9 Basis", IF(OR(I6255="Invalid - Not Freely Given", I6255="Invalid - Not Specific", I6255="Invalid - Not Informed", I6255="Invalid - Ambiguous"), "Gap - Invalid Consent", "Compliant")))))</f>
        <v/>
      </c>
      <c r="O6255" s="7" t="n"/>
    </row>
    <row r="6256">
      <c r="A6256" s="7" t="n"/>
      <c r="B6256" s="7" t="n"/>
      <c r="C6256" s="7" t="n"/>
      <c r="D6256" s="7" t="n"/>
      <c r="E6256" s="7" t="n"/>
      <c r="F6256" s="7" t="n"/>
      <c r="G6256" s="7" t="n"/>
      <c r="H6256" s="7" t="n"/>
      <c r="I6256" s="7" t="n"/>
      <c r="J6256" s="7" t="n"/>
      <c r="K6256">
        <f>IF(D6256="Legitimate Interest (GDPR Art. 6(1)(f))", "Yes / Required (Sheet 3)", "")</f>
        <v/>
      </c>
      <c r="L6256" s="7" t="n"/>
      <c r="M6256" s="7" t="n"/>
      <c r="N6256">
        <f>IF(D6256="", "Gap - No Legal Basis", IF(AND(D6256="Consent (GDPR Art. 6(1)(a))", I6256="Not Captured"), "Gap - Invalid Consent", IF(AND(D6256="Legitimate Interest (GDPR Art. 6(1)(f))", L6256=""), "Gap - Missing LIA", IF(AND(G6256="Yes", H6256=""), "Gap - Missing Art. 9 Basis", IF(OR(I6256="Invalid - Not Freely Given", I6256="Invalid - Not Specific", I6256="Invalid - Not Informed", I6256="Invalid - Ambiguous"), "Gap - Invalid Consent", "Compliant")))))</f>
        <v/>
      </c>
      <c r="O6256" s="7" t="n"/>
    </row>
    <row r="6257">
      <c r="A6257" s="7" t="n"/>
      <c r="B6257" s="7" t="n"/>
      <c r="C6257" s="7" t="n"/>
      <c r="D6257" s="7" t="n"/>
      <c r="E6257" s="7" t="n"/>
      <c r="F6257" s="7" t="n"/>
      <c r="G6257" s="7" t="n"/>
      <c r="H6257" s="7" t="n"/>
      <c r="I6257" s="7" t="n"/>
      <c r="J6257" s="7" t="n"/>
      <c r="K6257">
        <f>IF(D6257="Legitimate Interest (GDPR Art. 6(1)(f))", "Yes / Required (Sheet 3)", "")</f>
        <v/>
      </c>
      <c r="L6257" s="7" t="n"/>
      <c r="M6257" s="7" t="n"/>
      <c r="N6257">
        <f>IF(D6257="", "Gap - No Legal Basis", IF(AND(D6257="Consent (GDPR Art. 6(1)(a))", I6257="Not Captured"), "Gap - Invalid Consent", IF(AND(D6257="Legitimate Interest (GDPR Art. 6(1)(f))", L6257=""), "Gap - Missing LIA", IF(AND(G6257="Yes", H6257=""), "Gap - Missing Art. 9 Basis", IF(OR(I6257="Invalid - Not Freely Given", I6257="Invalid - Not Specific", I6257="Invalid - Not Informed", I6257="Invalid - Ambiguous"), "Gap - Invalid Consent", "Compliant")))))</f>
        <v/>
      </c>
      <c r="O6257" s="7" t="n"/>
    </row>
    <row r="6258">
      <c r="A6258" s="7" t="n"/>
      <c r="B6258" s="7" t="n"/>
      <c r="C6258" s="7" t="n"/>
      <c r="D6258" s="7" t="n"/>
      <c r="E6258" s="7" t="n"/>
      <c r="F6258" s="7" t="n"/>
      <c r="G6258" s="7" t="n"/>
      <c r="H6258" s="7" t="n"/>
      <c r="I6258" s="7" t="n"/>
      <c r="J6258" s="7" t="n"/>
      <c r="K6258">
        <f>IF(D6258="Legitimate Interest (GDPR Art. 6(1)(f))", "Yes / Required (Sheet 3)", "")</f>
        <v/>
      </c>
      <c r="L6258" s="7" t="n"/>
      <c r="M6258" s="7" t="n"/>
      <c r="N6258">
        <f>IF(D6258="", "Gap - No Legal Basis", IF(AND(D6258="Consent (GDPR Art. 6(1)(a))", I6258="Not Captured"), "Gap - Invalid Consent", IF(AND(D6258="Legitimate Interest (GDPR Art. 6(1)(f))", L6258=""), "Gap - Missing LIA", IF(AND(G6258="Yes", H6258=""), "Gap - Missing Art. 9 Basis", IF(OR(I6258="Invalid - Not Freely Given", I6258="Invalid - Not Specific", I6258="Invalid - Not Informed", I6258="Invalid - Ambiguous"), "Gap - Invalid Consent", "Compliant")))))</f>
        <v/>
      </c>
      <c r="O6258" s="7" t="n"/>
    </row>
    <row r="6259">
      <c r="A6259" s="7" t="n"/>
      <c r="B6259" s="7" t="n"/>
      <c r="C6259" s="7" t="n"/>
      <c r="D6259" s="7" t="n"/>
      <c r="E6259" s="7" t="n"/>
      <c r="F6259" s="7" t="n"/>
      <c r="G6259" s="7" t="n"/>
      <c r="H6259" s="7" t="n"/>
      <c r="I6259" s="7" t="n"/>
      <c r="J6259" s="7" t="n"/>
      <c r="K6259">
        <f>IF(D6259="Legitimate Interest (GDPR Art. 6(1)(f))", "Yes / Required (Sheet 3)", "")</f>
        <v/>
      </c>
      <c r="L6259" s="7" t="n"/>
      <c r="M6259" s="7" t="n"/>
      <c r="N6259">
        <f>IF(D6259="", "Gap - No Legal Basis", IF(AND(D6259="Consent (GDPR Art. 6(1)(a))", I6259="Not Captured"), "Gap - Invalid Consent", IF(AND(D6259="Legitimate Interest (GDPR Art. 6(1)(f))", L6259=""), "Gap - Missing LIA", IF(AND(G6259="Yes", H6259=""), "Gap - Missing Art. 9 Basis", IF(OR(I6259="Invalid - Not Freely Given", I6259="Invalid - Not Specific", I6259="Invalid - Not Informed", I6259="Invalid - Ambiguous"), "Gap - Invalid Consent", "Compliant")))))</f>
        <v/>
      </c>
      <c r="O6259" s="7" t="n"/>
    </row>
    <row r="6260">
      <c r="A6260" s="7" t="n"/>
      <c r="B6260" s="7" t="n"/>
      <c r="C6260" s="7" t="n"/>
      <c r="D6260" s="7" t="n"/>
      <c r="E6260" s="7" t="n"/>
      <c r="F6260" s="7" t="n"/>
      <c r="G6260" s="7" t="n"/>
      <c r="H6260" s="7" t="n"/>
      <c r="I6260" s="7" t="n"/>
      <c r="J6260" s="7" t="n"/>
      <c r="K6260">
        <f>IF(D6260="Legitimate Interest (GDPR Art. 6(1)(f))", "Yes / Required (Sheet 3)", "")</f>
        <v/>
      </c>
      <c r="L6260" s="7" t="n"/>
      <c r="M6260" s="7" t="n"/>
      <c r="N6260">
        <f>IF(D6260="", "Gap - No Legal Basis", IF(AND(D6260="Consent (GDPR Art. 6(1)(a))", I6260="Not Captured"), "Gap - Invalid Consent", IF(AND(D6260="Legitimate Interest (GDPR Art. 6(1)(f))", L6260=""), "Gap - Missing LIA", IF(AND(G6260="Yes", H6260=""), "Gap - Missing Art. 9 Basis", IF(OR(I6260="Invalid - Not Freely Given", I6260="Invalid - Not Specific", I6260="Invalid - Not Informed", I6260="Invalid - Ambiguous"), "Gap - Invalid Consent", "Compliant")))))</f>
        <v/>
      </c>
      <c r="O6260" s="7" t="n"/>
    </row>
    <row r="6261">
      <c r="A6261" s="7" t="n"/>
      <c r="B6261" s="7" t="n"/>
      <c r="C6261" s="7" t="n"/>
      <c r="D6261" s="7" t="n"/>
      <c r="E6261" s="7" t="n"/>
      <c r="F6261" s="7" t="n"/>
      <c r="G6261" s="7" t="n"/>
      <c r="H6261" s="7" t="n"/>
      <c r="I6261" s="7" t="n"/>
      <c r="J6261" s="7" t="n"/>
      <c r="K6261">
        <f>IF(D6261="Legitimate Interest (GDPR Art. 6(1)(f))", "Yes / Required (Sheet 3)", "")</f>
        <v/>
      </c>
      <c r="L6261" s="7" t="n"/>
      <c r="M6261" s="7" t="n"/>
      <c r="N6261">
        <f>IF(D6261="", "Gap - No Legal Basis", IF(AND(D6261="Consent (GDPR Art. 6(1)(a))", I6261="Not Captured"), "Gap - Invalid Consent", IF(AND(D6261="Legitimate Interest (GDPR Art. 6(1)(f))", L6261=""), "Gap - Missing LIA", IF(AND(G6261="Yes", H6261=""), "Gap - Missing Art. 9 Basis", IF(OR(I6261="Invalid - Not Freely Given", I6261="Invalid - Not Specific", I6261="Invalid - Not Informed", I6261="Invalid - Ambiguous"), "Gap - Invalid Consent", "Compliant")))))</f>
        <v/>
      </c>
      <c r="O6261" s="7" t="n"/>
    </row>
    <row r="6262">
      <c r="A6262" s="7" t="n"/>
      <c r="B6262" s="7" t="n"/>
      <c r="C6262" s="7" t="n"/>
      <c r="D6262" s="7" t="n"/>
      <c r="E6262" s="7" t="n"/>
      <c r="F6262" s="7" t="n"/>
      <c r="G6262" s="7" t="n"/>
      <c r="H6262" s="7" t="n"/>
      <c r="I6262" s="7" t="n"/>
      <c r="J6262" s="7" t="n"/>
      <c r="K6262">
        <f>IF(D6262="Legitimate Interest (GDPR Art. 6(1)(f))", "Yes / Required (Sheet 3)", "")</f>
        <v/>
      </c>
      <c r="L6262" s="7" t="n"/>
      <c r="M6262" s="7" t="n"/>
      <c r="N6262">
        <f>IF(D6262="", "Gap - No Legal Basis", IF(AND(D6262="Consent (GDPR Art. 6(1)(a))", I6262="Not Captured"), "Gap - Invalid Consent", IF(AND(D6262="Legitimate Interest (GDPR Art. 6(1)(f))", L6262=""), "Gap - Missing LIA", IF(AND(G6262="Yes", H6262=""), "Gap - Missing Art. 9 Basis", IF(OR(I6262="Invalid - Not Freely Given", I6262="Invalid - Not Specific", I6262="Invalid - Not Informed", I6262="Invalid - Ambiguous"), "Gap - Invalid Consent", "Compliant")))))</f>
        <v/>
      </c>
      <c r="O6262" s="7" t="n"/>
    </row>
    <row r="6263">
      <c r="A6263" s="7" t="n"/>
      <c r="B6263" s="7" t="n"/>
      <c r="C6263" s="7" t="n"/>
      <c r="D6263" s="7" t="n"/>
      <c r="E6263" s="7" t="n"/>
      <c r="F6263" s="7" t="n"/>
      <c r="G6263" s="7" t="n"/>
      <c r="H6263" s="7" t="n"/>
      <c r="I6263" s="7" t="n"/>
      <c r="J6263" s="7" t="n"/>
      <c r="K6263">
        <f>IF(D6263="Legitimate Interest (GDPR Art. 6(1)(f))", "Yes / Required (Sheet 3)", "")</f>
        <v/>
      </c>
      <c r="L6263" s="7" t="n"/>
      <c r="M6263" s="7" t="n"/>
      <c r="N6263">
        <f>IF(D6263="", "Gap - No Legal Basis", IF(AND(D6263="Consent (GDPR Art. 6(1)(a))", I6263="Not Captured"), "Gap - Invalid Consent", IF(AND(D6263="Legitimate Interest (GDPR Art. 6(1)(f))", L6263=""), "Gap - Missing LIA", IF(AND(G6263="Yes", H6263=""), "Gap - Missing Art. 9 Basis", IF(OR(I6263="Invalid - Not Freely Given", I6263="Invalid - Not Specific", I6263="Invalid - Not Informed", I6263="Invalid - Ambiguous"), "Gap - Invalid Consent", "Compliant")))))</f>
        <v/>
      </c>
      <c r="O6263" s="7" t="n"/>
    </row>
    <row r="6264">
      <c r="A6264" s="7" t="n"/>
      <c r="B6264" s="7" t="n"/>
      <c r="C6264" s="7" t="n"/>
      <c r="D6264" s="7" t="n"/>
      <c r="E6264" s="7" t="n"/>
      <c r="F6264" s="7" t="n"/>
      <c r="G6264" s="7" t="n"/>
      <c r="H6264" s="7" t="n"/>
      <c r="I6264" s="7" t="n"/>
      <c r="J6264" s="7" t="n"/>
      <c r="K6264">
        <f>IF(D6264="Legitimate Interest (GDPR Art. 6(1)(f))", "Yes / Required (Sheet 3)", "")</f>
        <v/>
      </c>
      <c r="L6264" s="7" t="n"/>
      <c r="M6264" s="7" t="n"/>
      <c r="N6264">
        <f>IF(D6264="", "Gap - No Legal Basis", IF(AND(D6264="Consent (GDPR Art. 6(1)(a))", I6264="Not Captured"), "Gap - Invalid Consent", IF(AND(D6264="Legitimate Interest (GDPR Art. 6(1)(f))", L6264=""), "Gap - Missing LIA", IF(AND(G6264="Yes", H6264=""), "Gap - Missing Art. 9 Basis", IF(OR(I6264="Invalid - Not Freely Given", I6264="Invalid - Not Specific", I6264="Invalid - Not Informed", I6264="Invalid - Ambiguous"), "Gap - Invalid Consent", "Compliant")))))</f>
        <v/>
      </c>
      <c r="O6264" s="7" t="n"/>
    </row>
    <row r="6265">
      <c r="A6265" s="7" t="n"/>
      <c r="B6265" s="7" t="n"/>
      <c r="C6265" s="7" t="n"/>
      <c r="D6265" s="7" t="n"/>
      <c r="E6265" s="7" t="n"/>
      <c r="F6265" s="7" t="n"/>
      <c r="G6265" s="7" t="n"/>
      <c r="H6265" s="7" t="n"/>
      <c r="I6265" s="7" t="n"/>
      <c r="J6265" s="7" t="n"/>
      <c r="K6265">
        <f>IF(D6265="Legitimate Interest (GDPR Art. 6(1)(f))", "Yes / Required (Sheet 3)", "")</f>
        <v/>
      </c>
      <c r="L6265" s="7" t="n"/>
      <c r="M6265" s="7" t="n"/>
      <c r="N6265">
        <f>IF(D6265="", "Gap - No Legal Basis", IF(AND(D6265="Consent (GDPR Art. 6(1)(a))", I6265="Not Captured"), "Gap - Invalid Consent", IF(AND(D6265="Legitimate Interest (GDPR Art. 6(1)(f))", L6265=""), "Gap - Missing LIA", IF(AND(G6265="Yes", H6265=""), "Gap - Missing Art. 9 Basis", IF(OR(I6265="Invalid - Not Freely Given", I6265="Invalid - Not Specific", I6265="Invalid - Not Informed", I6265="Invalid - Ambiguous"), "Gap - Invalid Consent", "Compliant")))))</f>
        <v/>
      </c>
      <c r="O6265" s="7" t="n"/>
    </row>
    <row r="6266">
      <c r="A6266" s="7" t="n"/>
      <c r="B6266" s="7" t="n"/>
      <c r="C6266" s="7" t="n"/>
      <c r="D6266" s="7" t="n"/>
      <c r="E6266" s="7" t="n"/>
      <c r="F6266" s="7" t="n"/>
      <c r="G6266" s="7" t="n"/>
      <c r="H6266" s="7" t="n"/>
      <c r="I6266" s="7" t="n"/>
      <c r="J6266" s="7" t="n"/>
      <c r="K6266">
        <f>IF(D6266="Legitimate Interest (GDPR Art. 6(1)(f))", "Yes / Required (Sheet 3)", "")</f>
        <v/>
      </c>
      <c r="L6266" s="7" t="n"/>
      <c r="M6266" s="7" t="n"/>
      <c r="N6266">
        <f>IF(D6266="", "Gap - No Legal Basis", IF(AND(D6266="Consent (GDPR Art. 6(1)(a))", I6266="Not Captured"), "Gap - Invalid Consent", IF(AND(D6266="Legitimate Interest (GDPR Art. 6(1)(f))", L6266=""), "Gap - Missing LIA", IF(AND(G6266="Yes", H6266=""), "Gap - Missing Art. 9 Basis", IF(OR(I6266="Invalid - Not Freely Given", I6266="Invalid - Not Specific", I6266="Invalid - Not Informed", I6266="Invalid - Ambiguous"), "Gap - Invalid Consent", "Compliant")))))</f>
        <v/>
      </c>
      <c r="O6266" s="7" t="n"/>
    </row>
    <row r="6267">
      <c r="A6267" s="7" t="n"/>
      <c r="B6267" s="7" t="n"/>
      <c r="C6267" s="7" t="n"/>
      <c r="D6267" s="7" t="n"/>
      <c r="E6267" s="7" t="n"/>
      <c r="F6267" s="7" t="n"/>
      <c r="G6267" s="7" t="n"/>
      <c r="H6267" s="7" t="n"/>
      <c r="I6267" s="7" t="n"/>
      <c r="J6267" s="7" t="n"/>
      <c r="K6267">
        <f>IF(D6267="Legitimate Interest (GDPR Art. 6(1)(f))", "Yes / Required (Sheet 3)", "")</f>
        <v/>
      </c>
      <c r="L6267" s="7" t="n"/>
      <c r="M6267" s="7" t="n"/>
      <c r="N6267">
        <f>IF(D6267="", "Gap - No Legal Basis", IF(AND(D6267="Consent (GDPR Art. 6(1)(a))", I6267="Not Captured"), "Gap - Invalid Consent", IF(AND(D6267="Legitimate Interest (GDPR Art. 6(1)(f))", L6267=""), "Gap - Missing LIA", IF(AND(G6267="Yes", H6267=""), "Gap - Missing Art. 9 Basis", IF(OR(I6267="Invalid - Not Freely Given", I6267="Invalid - Not Specific", I6267="Invalid - Not Informed", I6267="Invalid - Ambiguous"), "Gap - Invalid Consent", "Compliant")))))</f>
        <v/>
      </c>
      <c r="O6267" s="7" t="n"/>
    </row>
    <row r="6268">
      <c r="A6268" s="7" t="n"/>
      <c r="B6268" s="7" t="n"/>
      <c r="C6268" s="7" t="n"/>
      <c r="D6268" s="7" t="n"/>
      <c r="E6268" s="7" t="n"/>
      <c r="F6268" s="7" t="n"/>
      <c r="G6268" s="7" t="n"/>
      <c r="H6268" s="7" t="n"/>
      <c r="I6268" s="7" t="n"/>
      <c r="J6268" s="7" t="n"/>
      <c r="K6268">
        <f>IF(D6268="Legitimate Interest (GDPR Art. 6(1)(f))", "Yes / Required (Sheet 3)", "")</f>
        <v/>
      </c>
      <c r="L6268" s="7" t="n"/>
      <c r="M6268" s="7" t="n"/>
      <c r="N6268">
        <f>IF(D6268="", "Gap - No Legal Basis", IF(AND(D6268="Consent (GDPR Art. 6(1)(a))", I6268="Not Captured"), "Gap - Invalid Consent", IF(AND(D6268="Legitimate Interest (GDPR Art. 6(1)(f))", L6268=""), "Gap - Missing LIA", IF(AND(G6268="Yes", H6268=""), "Gap - Missing Art. 9 Basis", IF(OR(I6268="Invalid - Not Freely Given", I6268="Invalid - Not Specific", I6268="Invalid - Not Informed", I6268="Invalid - Ambiguous"), "Gap - Invalid Consent", "Compliant")))))</f>
        <v/>
      </c>
      <c r="O6268" s="7" t="n"/>
    </row>
    <row r="6269">
      <c r="A6269" s="7" t="n"/>
      <c r="B6269" s="7" t="n"/>
      <c r="C6269" s="7" t="n"/>
      <c r="D6269" s="7" t="n"/>
      <c r="E6269" s="7" t="n"/>
      <c r="F6269" s="7" t="n"/>
      <c r="G6269" s="7" t="n"/>
      <c r="H6269" s="7" t="n"/>
      <c r="I6269" s="7" t="n"/>
      <c r="J6269" s="7" t="n"/>
      <c r="K6269">
        <f>IF(D6269="Legitimate Interest (GDPR Art. 6(1)(f))", "Yes / Required (Sheet 3)", "")</f>
        <v/>
      </c>
      <c r="L6269" s="7" t="n"/>
      <c r="M6269" s="7" t="n"/>
      <c r="N6269">
        <f>IF(D6269="", "Gap - No Legal Basis", IF(AND(D6269="Consent (GDPR Art. 6(1)(a))", I6269="Not Captured"), "Gap - Invalid Consent", IF(AND(D6269="Legitimate Interest (GDPR Art. 6(1)(f))", L6269=""), "Gap - Missing LIA", IF(AND(G6269="Yes", H6269=""), "Gap - Missing Art. 9 Basis", IF(OR(I6269="Invalid - Not Freely Given", I6269="Invalid - Not Specific", I6269="Invalid - Not Informed", I6269="Invalid - Ambiguous"), "Gap - Invalid Consent", "Compliant")))))</f>
        <v/>
      </c>
      <c r="O6269" s="7" t="n"/>
    </row>
    <row r="6270">
      <c r="A6270" s="7" t="n"/>
      <c r="B6270" s="7" t="n"/>
      <c r="C6270" s="7" t="n"/>
      <c r="D6270" s="7" t="n"/>
      <c r="E6270" s="7" t="n"/>
      <c r="F6270" s="7" t="n"/>
      <c r="G6270" s="7" t="n"/>
      <c r="H6270" s="7" t="n"/>
      <c r="I6270" s="7" t="n"/>
      <c r="J6270" s="7" t="n"/>
      <c r="K6270">
        <f>IF(D6270="Legitimate Interest (GDPR Art. 6(1)(f))", "Yes / Required (Sheet 3)", "")</f>
        <v/>
      </c>
      <c r="L6270" s="7" t="n"/>
      <c r="M6270" s="7" t="n"/>
      <c r="N6270">
        <f>IF(D6270="", "Gap - No Legal Basis", IF(AND(D6270="Consent (GDPR Art. 6(1)(a))", I6270="Not Captured"), "Gap - Invalid Consent", IF(AND(D6270="Legitimate Interest (GDPR Art. 6(1)(f))", L6270=""), "Gap - Missing LIA", IF(AND(G6270="Yes", H6270=""), "Gap - Missing Art. 9 Basis", IF(OR(I6270="Invalid - Not Freely Given", I6270="Invalid - Not Specific", I6270="Invalid - Not Informed", I6270="Invalid - Ambiguous"), "Gap - Invalid Consent", "Compliant")))))</f>
        <v/>
      </c>
      <c r="O6270" s="7" t="n"/>
    </row>
    <row r="6271">
      <c r="A6271" s="7" t="n"/>
      <c r="B6271" s="7" t="n"/>
      <c r="C6271" s="7" t="n"/>
      <c r="D6271" s="7" t="n"/>
      <c r="E6271" s="7" t="n"/>
      <c r="F6271" s="7" t="n"/>
      <c r="G6271" s="7" t="n"/>
      <c r="H6271" s="7" t="n"/>
      <c r="I6271" s="7" t="n"/>
      <c r="J6271" s="7" t="n"/>
      <c r="K6271">
        <f>IF(D6271="Legitimate Interest (GDPR Art. 6(1)(f))", "Yes / Required (Sheet 3)", "")</f>
        <v/>
      </c>
      <c r="L6271" s="7" t="n"/>
      <c r="M6271" s="7" t="n"/>
      <c r="N6271">
        <f>IF(D6271="", "Gap - No Legal Basis", IF(AND(D6271="Consent (GDPR Art. 6(1)(a))", I6271="Not Captured"), "Gap - Invalid Consent", IF(AND(D6271="Legitimate Interest (GDPR Art. 6(1)(f))", L6271=""), "Gap - Missing LIA", IF(AND(G6271="Yes", H6271=""), "Gap - Missing Art. 9 Basis", IF(OR(I6271="Invalid - Not Freely Given", I6271="Invalid - Not Specific", I6271="Invalid - Not Informed", I6271="Invalid - Ambiguous"), "Gap - Invalid Consent", "Compliant")))))</f>
        <v/>
      </c>
      <c r="O6271" s="7" t="n"/>
    </row>
    <row r="6272">
      <c r="A6272" s="7" t="n"/>
      <c r="B6272" s="7" t="n"/>
      <c r="C6272" s="7" t="n"/>
      <c r="D6272" s="7" t="n"/>
      <c r="E6272" s="7" t="n"/>
      <c r="F6272" s="7" t="n"/>
      <c r="G6272" s="7" t="n"/>
      <c r="H6272" s="7" t="n"/>
      <c r="I6272" s="7" t="n"/>
      <c r="J6272" s="7" t="n"/>
      <c r="K6272">
        <f>IF(D6272="Legitimate Interest (GDPR Art. 6(1)(f))", "Yes / Required (Sheet 3)", "")</f>
        <v/>
      </c>
      <c r="L6272" s="7" t="n"/>
      <c r="M6272" s="7" t="n"/>
      <c r="N6272">
        <f>IF(D6272="", "Gap - No Legal Basis", IF(AND(D6272="Consent (GDPR Art. 6(1)(a))", I6272="Not Captured"), "Gap - Invalid Consent", IF(AND(D6272="Legitimate Interest (GDPR Art. 6(1)(f))", L6272=""), "Gap - Missing LIA", IF(AND(G6272="Yes", H6272=""), "Gap - Missing Art. 9 Basis", IF(OR(I6272="Invalid - Not Freely Given", I6272="Invalid - Not Specific", I6272="Invalid - Not Informed", I6272="Invalid - Ambiguous"), "Gap - Invalid Consent", "Compliant")))))</f>
        <v/>
      </c>
      <c r="O6272" s="7" t="n"/>
    </row>
    <row r="6273">
      <c r="A6273" s="7" t="n"/>
      <c r="B6273" s="7" t="n"/>
      <c r="C6273" s="7" t="n"/>
      <c r="D6273" s="7" t="n"/>
      <c r="E6273" s="7" t="n"/>
      <c r="F6273" s="7" t="n"/>
      <c r="G6273" s="7" t="n"/>
      <c r="H6273" s="7" t="n"/>
      <c r="I6273" s="7" t="n"/>
      <c r="J6273" s="7" t="n"/>
      <c r="K6273">
        <f>IF(D6273="Legitimate Interest (GDPR Art. 6(1)(f))", "Yes / Required (Sheet 3)", "")</f>
        <v/>
      </c>
      <c r="L6273" s="7" t="n"/>
      <c r="M6273" s="7" t="n"/>
      <c r="N6273">
        <f>IF(D6273="", "Gap - No Legal Basis", IF(AND(D6273="Consent (GDPR Art. 6(1)(a))", I6273="Not Captured"), "Gap - Invalid Consent", IF(AND(D6273="Legitimate Interest (GDPR Art. 6(1)(f))", L6273=""), "Gap - Missing LIA", IF(AND(G6273="Yes", H6273=""), "Gap - Missing Art. 9 Basis", IF(OR(I6273="Invalid - Not Freely Given", I6273="Invalid - Not Specific", I6273="Invalid - Not Informed", I6273="Invalid - Ambiguous"), "Gap - Invalid Consent", "Compliant")))))</f>
        <v/>
      </c>
      <c r="O6273" s="7" t="n"/>
    </row>
    <row r="6274">
      <c r="A6274" s="7" t="n"/>
      <c r="B6274" s="7" t="n"/>
      <c r="C6274" s="7" t="n"/>
      <c r="D6274" s="7" t="n"/>
      <c r="E6274" s="7" t="n"/>
      <c r="F6274" s="7" t="n"/>
      <c r="G6274" s="7" t="n"/>
      <c r="H6274" s="7" t="n"/>
      <c r="I6274" s="7" t="n"/>
      <c r="J6274" s="7" t="n"/>
      <c r="K6274">
        <f>IF(D6274="Legitimate Interest (GDPR Art. 6(1)(f))", "Yes / Required (Sheet 3)", "")</f>
        <v/>
      </c>
      <c r="L6274" s="7" t="n"/>
      <c r="M6274" s="7" t="n"/>
      <c r="N6274">
        <f>IF(D6274="", "Gap - No Legal Basis", IF(AND(D6274="Consent (GDPR Art. 6(1)(a))", I6274="Not Captured"), "Gap - Invalid Consent", IF(AND(D6274="Legitimate Interest (GDPR Art. 6(1)(f))", L6274=""), "Gap - Missing LIA", IF(AND(G6274="Yes", H6274=""), "Gap - Missing Art. 9 Basis", IF(OR(I6274="Invalid - Not Freely Given", I6274="Invalid - Not Specific", I6274="Invalid - Not Informed", I6274="Invalid - Ambiguous"), "Gap - Invalid Consent", "Compliant")))))</f>
        <v/>
      </c>
      <c r="O6274" s="7" t="n"/>
    </row>
    <row r="6275">
      <c r="A6275" s="7" t="n"/>
      <c r="B6275" s="7" t="n"/>
      <c r="C6275" s="7" t="n"/>
      <c r="D6275" s="7" t="n"/>
      <c r="E6275" s="7" t="n"/>
      <c r="F6275" s="7" t="n"/>
      <c r="G6275" s="7" t="n"/>
      <c r="H6275" s="7" t="n"/>
      <c r="I6275" s="7" t="n"/>
      <c r="J6275" s="7" t="n"/>
      <c r="K6275">
        <f>IF(D6275="Legitimate Interest (GDPR Art. 6(1)(f))", "Yes / Required (Sheet 3)", "")</f>
        <v/>
      </c>
      <c r="L6275" s="7" t="n"/>
      <c r="M6275" s="7" t="n"/>
      <c r="N6275">
        <f>IF(D6275="", "Gap - No Legal Basis", IF(AND(D6275="Consent (GDPR Art. 6(1)(a))", I6275="Not Captured"), "Gap - Invalid Consent", IF(AND(D6275="Legitimate Interest (GDPR Art. 6(1)(f))", L6275=""), "Gap - Missing LIA", IF(AND(G6275="Yes", H6275=""), "Gap - Missing Art. 9 Basis", IF(OR(I6275="Invalid - Not Freely Given", I6275="Invalid - Not Specific", I6275="Invalid - Not Informed", I6275="Invalid - Ambiguous"), "Gap - Invalid Consent", "Compliant")))))</f>
        <v/>
      </c>
      <c r="O6275" s="7" t="n"/>
    </row>
    <row r="6276">
      <c r="A6276" s="7" t="n"/>
      <c r="B6276" s="7" t="n"/>
      <c r="C6276" s="7" t="n"/>
      <c r="D6276" s="7" t="n"/>
      <c r="E6276" s="7" t="n"/>
      <c r="F6276" s="7" t="n"/>
      <c r="G6276" s="7" t="n"/>
      <c r="H6276" s="7" t="n"/>
      <c r="I6276" s="7" t="n"/>
      <c r="J6276" s="7" t="n"/>
      <c r="K6276">
        <f>IF(D6276="Legitimate Interest (GDPR Art. 6(1)(f))", "Yes / Required (Sheet 3)", "")</f>
        <v/>
      </c>
      <c r="L6276" s="7" t="n"/>
      <c r="M6276" s="7" t="n"/>
      <c r="N6276">
        <f>IF(D6276="", "Gap - No Legal Basis", IF(AND(D6276="Consent (GDPR Art. 6(1)(a))", I6276="Not Captured"), "Gap - Invalid Consent", IF(AND(D6276="Legitimate Interest (GDPR Art. 6(1)(f))", L6276=""), "Gap - Missing LIA", IF(AND(G6276="Yes", H6276=""), "Gap - Missing Art. 9 Basis", IF(OR(I6276="Invalid - Not Freely Given", I6276="Invalid - Not Specific", I6276="Invalid - Not Informed", I6276="Invalid - Ambiguous"), "Gap - Invalid Consent", "Compliant")))))</f>
        <v/>
      </c>
      <c r="O6276" s="7" t="n"/>
    </row>
    <row r="6277">
      <c r="A6277" s="7" t="n"/>
      <c r="B6277" s="7" t="n"/>
      <c r="C6277" s="7" t="n"/>
      <c r="D6277" s="7" t="n"/>
      <c r="E6277" s="7" t="n"/>
      <c r="F6277" s="7" t="n"/>
      <c r="G6277" s="7" t="n"/>
      <c r="H6277" s="7" t="n"/>
      <c r="I6277" s="7" t="n"/>
      <c r="J6277" s="7" t="n"/>
      <c r="K6277">
        <f>IF(D6277="Legitimate Interest (GDPR Art. 6(1)(f))", "Yes / Required (Sheet 3)", "")</f>
        <v/>
      </c>
      <c r="L6277" s="7" t="n"/>
      <c r="M6277" s="7" t="n"/>
      <c r="N6277">
        <f>IF(D6277="", "Gap - No Legal Basis", IF(AND(D6277="Consent (GDPR Art. 6(1)(a))", I6277="Not Captured"), "Gap - Invalid Consent", IF(AND(D6277="Legitimate Interest (GDPR Art. 6(1)(f))", L6277=""), "Gap - Missing LIA", IF(AND(G6277="Yes", H6277=""), "Gap - Missing Art. 9 Basis", IF(OR(I6277="Invalid - Not Freely Given", I6277="Invalid - Not Specific", I6277="Invalid - Not Informed", I6277="Invalid - Ambiguous"), "Gap - Invalid Consent", "Compliant")))))</f>
        <v/>
      </c>
      <c r="O6277" s="7" t="n"/>
    </row>
    <row r="6278">
      <c r="A6278" s="7" t="n"/>
      <c r="B6278" s="7" t="n"/>
      <c r="C6278" s="7" t="n"/>
      <c r="D6278" s="7" t="n"/>
      <c r="E6278" s="7" t="n"/>
      <c r="F6278" s="7" t="n"/>
      <c r="G6278" s="7" t="n"/>
      <c r="H6278" s="7" t="n"/>
      <c r="I6278" s="7" t="n"/>
      <c r="J6278" s="7" t="n"/>
      <c r="K6278">
        <f>IF(D6278="Legitimate Interest (GDPR Art. 6(1)(f))", "Yes / Required (Sheet 3)", "")</f>
        <v/>
      </c>
      <c r="L6278" s="7" t="n"/>
      <c r="M6278" s="7" t="n"/>
      <c r="N6278">
        <f>IF(D6278="", "Gap - No Legal Basis", IF(AND(D6278="Consent (GDPR Art. 6(1)(a))", I6278="Not Captured"), "Gap - Invalid Consent", IF(AND(D6278="Legitimate Interest (GDPR Art. 6(1)(f))", L6278=""), "Gap - Missing LIA", IF(AND(G6278="Yes", H6278=""), "Gap - Missing Art. 9 Basis", IF(OR(I6278="Invalid - Not Freely Given", I6278="Invalid - Not Specific", I6278="Invalid - Not Informed", I6278="Invalid - Ambiguous"), "Gap - Invalid Consent", "Compliant")))))</f>
        <v/>
      </c>
      <c r="O6278" s="7" t="n"/>
    </row>
    <row r="6279">
      <c r="A6279" s="7" t="n"/>
      <c r="B6279" s="7" t="n"/>
      <c r="C6279" s="7" t="n"/>
      <c r="D6279" s="7" t="n"/>
      <c r="E6279" s="7" t="n"/>
      <c r="F6279" s="7" t="n"/>
      <c r="G6279" s="7" t="n"/>
      <c r="H6279" s="7" t="n"/>
      <c r="I6279" s="7" t="n"/>
      <c r="J6279" s="7" t="n"/>
      <c r="K6279">
        <f>IF(D6279="Legitimate Interest (GDPR Art. 6(1)(f))", "Yes / Required (Sheet 3)", "")</f>
        <v/>
      </c>
      <c r="L6279" s="7" t="n"/>
      <c r="M6279" s="7" t="n"/>
      <c r="N6279">
        <f>IF(D6279="", "Gap - No Legal Basis", IF(AND(D6279="Consent (GDPR Art. 6(1)(a))", I6279="Not Captured"), "Gap - Invalid Consent", IF(AND(D6279="Legitimate Interest (GDPR Art. 6(1)(f))", L6279=""), "Gap - Missing LIA", IF(AND(G6279="Yes", H6279=""), "Gap - Missing Art. 9 Basis", IF(OR(I6279="Invalid - Not Freely Given", I6279="Invalid - Not Specific", I6279="Invalid - Not Informed", I6279="Invalid - Ambiguous"), "Gap - Invalid Consent", "Compliant")))))</f>
        <v/>
      </c>
      <c r="O6279" s="7" t="n"/>
    </row>
    <row r="6280">
      <c r="A6280" s="7" t="n"/>
      <c r="B6280" s="7" t="n"/>
      <c r="C6280" s="7" t="n"/>
      <c r="D6280" s="7" t="n"/>
      <c r="E6280" s="7" t="n"/>
      <c r="F6280" s="7" t="n"/>
      <c r="G6280" s="7" t="n"/>
      <c r="H6280" s="7" t="n"/>
      <c r="I6280" s="7" t="n"/>
      <c r="J6280" s="7" t="n"/>
      <c r="K6280">
        <f>IF(D6280="Legitimate Interest (GDPR Art. 6(1)(f))", "Yes / Required (Sheet 3)", "")</f>
        <v/>
      </c>
      <c r="L6280" s="7" t="n"/>
      <c r="M6280" s="7" t="n"/>
      <c r="N6280">
        <f>IF(D6280="", "Gap - No Legal Basis", IF(AND(D6280="Consent (GDPR Art. 6(1)(a))", I6280="Not Captured"), "Gap - Invalid Consent", IF(AND(D6280="Legitimate Interest (GDPR Art. 6(1)(f))", L6280=""), "Gap - Missing LIA", IF(AND(G6280="Yes", H6280=""), "Gap - Missing Art. 9 Basis", IF(OR(I6280="Invalid - Not Freely Given", I6280="Invalid - Not Specific", I6280="Invalid - Not Informed", I6280="Invalid - Ambiguous"), "Gap - Invalid Consent", "Compliant")))))</f>
        <v/>
      </c>
      <c r="O6280" s="7" t="n"/>
    </row>
    <row r="6281">
      <c r="A6281" s="7" t="n"/>
      <c r="B6281" s="7" t="n"/>
      <c r="C6281" s="7" t="n"/>
      <c r="D6281" s="7" t="n"/>
      <c r="E6281" s="7" t="n"/>
      <c r="F6281" s="7" t="n"/>
      <c r="G6281" s="7" t="n"/>
      <c r="H6281" s="7" t="n"/>
      <c r="I6281" s="7" t="n"/>
      <c r="J6281" s="7" t="n"/>
      <c r="K6281">
        <f>IF(D6281="Legitimate Interest (GDPR Art. 6(1)(f))", "Yes / Required (Sheet 3)", "")</f>
        <v/>
      </c>
      <c r="L6281" s="7" t="n"/>
      <c r="M6281" s="7" t="n"/>
      <c r="N6281">
        <f>IF(D6281="", "Gap - No Legal Basis", IF(AND(D6281="Consent (GDPR Art. 6(1)(a))", I6281="Not Captured"), "Gap - Invalid Consent", IF(AND(D6281="Legitimate Interest (GDPR Art. 6(1)(f))", L6281=""), "Gap - Missing LIA", IF(AND(G6281="Yes", H6281=""), "Gap - Missing Art. 9 Basis", IF(OR(I6281="Invalid - Not Freely Given", I6281="Invalid - Not Specific", I6281="Invalid - Not Informed", I6281="Invalid - Ambiguous"), "Gap - Invalid Consent", "Compliant")))))</f>
        <v/>
      </c>
      <c r="O6281" s="7" t="n"/>
    </row>
    <row r="6282">
      <c r="A6282" s="7" t="n"/>
      <c r="B6282" s="7" t="n"/>
      <c r="C6282" s="7" t="n"/>
      <c r="D6282" s="7" t="n"/>
      <c r="E6282" s="7" t="n"/>
      <c r="F6282" s="7" t="n"/>
      <c r="G6282" s="7" t="n"/>
      <c r="H6282" s="7" t="n"/>
      <c r="I6282" s="7" t="n"/>
      <c r="J6282" s="7" t="n"/>
      <c r="K6282">
        <f>IF(D6282="Legitimate Interest (GDPR Art. 6(1)(f))", "Yes / Required (Sheet 3)", "")</f>
        <v/>
      </c>
      <c r="L6282" s="7" t="n"/>
      <c r="M6282" s="7" t="n"/>
      <c r="N6282">
        <f>IF(D6282="", "Gap - No Legal Basis", IF(AND(D6282="Consent (GDPR Art. 6(1)(a))", I6282="Not Captured"), "Gap - Invalid Consent", IF(AND(D6282="Legitimate Interest (GDPR Art. 6(1)(f))", L6282=""), "Gap - Missing LIA", IF(AND(G6282="Yes", H6282=""), "Gap - Missing Art. 9 Basis", IF(OR(I6282="Invalid - Not Freely Given", I6282="Invalid - Not Specific", I6282="Invalid - Not Informed", I6282="Invalid - Ambiguous"), "Gap - Invalid Consent", "Compliant")))))</f>
        <v/>
      </c>
      <c r="O6282" s="7" t="n"/>
    </row>
    <row r="6283">
      <c r="A6283" s="7" t="n"/>
      <c r="B6283" s="7" t="n"/>
      <c r="C6283" s="7" t="n"/>
      <c r="D6283" s="7" t="n"/>
      <c r="E6283" s="7" t="n"/>
      <c r="F6283" s="7" t="n"/>
      <c r="G6283" s="7" t="n"/>
      <c r="H6283" s="7" t="n"/>
      <c r="I6283" s="7" t="n"/>
      <c r="J6283" s="7" t="n"/>
      <c r="K6283">
        <f>IF(D6283="Legitimate Interest (GDPR Art. 6(1)(f))", "Yes / Required (Sheet 3)", "")</f>
        <v/>
      </c>
      <c r="L6283" s="7" t="n"/>
      <c r="M6283" s="7" t="n"/>
      <c r="N6283">
        <f>IF(D6283="", "Gap - No Legal Basis", IF(AND(D6283="Consent (GDPR Art. 6(1)(a))", I6283="Not Captured"), "Gap - Invalid Consent", IF(AND(D6283="Legitimate Interest (GDPR Art. 6(1)(f))", L6283=""), "Gap - Missing LIA", IF(AND(G6283="Yes", H6283=""), "Gap - Missing Art. 9 Basis", IF(OR(I6283="Invalid - Not Freely Given", I6283="Invalid - Not Specific", I6283="Invalid - Not Informed", I6283="Invalid - Ambiguous"), "Gap - Invalid Consent", "Compliant")))))</f>
        <v/>
      </c>
      <c r="O6283" s="7" t="n"/>
    </row>
    <row r="6284">
      <c r="A6284" s="7" t="n"/>
      <c r="B6284" s="7" t="n"/>
      <c r="C6284" s="7" t="n"/>
      <c r="D6284" s="7" t="n"/>
      <c r="E6284" s="7" t="n"/>
      <c r="F6284" s="7" t="n"/>
      <c r="G6284" s="7" t="n"/>
      <c r="H6284" s="7" t="n"/>
      <c r="I6284" s="7" t="n"/>
      <c r="J6284" s="7" t="n"/>
      <c r="K6284">
        <f>IF(D6284="Legitimate Interest (GDPR Art. 6(1)(f))", "Yes / Required (Sheet 3)", "")</f>
        <v/>
      </c>
      <c r="L6284" s="7" t="n"/>
      <c r="M6284" s="7" t="n"/>
      <c r="N6284">
        <f>IF(D6284="", "Gap - No Legal Basis", IF(AND(D6284="Consent (GDPR Art. 6(1)(a))", I6284="Not Captured"), "Gap - Invalid Consent", IF(AND(D6284="Legitimate Interest (GDPR Art. 6(1)(f))", L6284=""), "Gap - Missing LIA", IF(AND(G6284="Yes", H6284=""), "Gap - Missing Art. 9 Basis", IF(OR(I6284="Invalid - Not Freely Given", I6284="Invalid - Not Specific", I6284="Invalid - Not Informed", I6284="Invalid - Ambiguous"), "Gap - Invalid Consent", "Compliant")))))</f>
        <v/>
      </c>
      <c r="O6284" s="7" t="n"/>
    </row>
    <row r="6285">
      <c r="A6285" s="7" t="n"/>
      <c r="B6285" s="7" t="n"/>
      <c r="C6285" s="7" t="n"/>
      <c r="D6285" s="7" t="n"/>
      <c r="E6285" s="7" t="n"/>
      <c r="F6285" s="7" t="n"/>
      <c r="G6285" s="7" t="n"/>
      <c r="H6285" s="7" t="n"/>
      <c r="I6285" s="7" t="n"/>
      <c r="J6285" s="7" t="n"/>
      <c r="K6285">
        <f>IF(D6285="Legitimate Interest (GDPR Art. 6(1)(f))", "Yes / Required (Sheet 3)", "")</f>
        <v/>
      </c>
      <c r="L6285" s="7" t="n"/>
      <c r="M6285" s="7" t="n"/>
      <c r="N6285">
        <f>IF(D6285="", "Gap - No Legal Basis", IF(AND(D6285="Consent (GDPR Art. 6(1)(a))", I6285="Not Captured"), "Gap - Invalid Consent", IF(AND(D6285="Legitimate Interest (GDPR Art. 6(1)(f))", L6285=""), "Gap - Missing LIA", IF(AND(G6285="Yes", H6285=""), "Gap - Missing Art. 9 Basis", IF(OR(I6285="Invalid - Not Freely Given", I6285="Invalid - Not Specific", I6285="Invalid - Not Informed", I6285="Invalid - Ambiguous"), "Gap - Invalid Consent", "Compliant")))))</f>
        <v/>
      </c>
      <c r="O6285" s="7" t="n"/>
    </row>
    <row r="6286">
      <c r="A6286" s="7" t="n"/>
      <c r="B6286" s="7" t="n"/>
      <c r="C6286" s="7" t="n"/>
      <c r="D6286" s="7" t="n"/>
      <c r="E6286" s="7" t="n"/>
      <c r="F6286" s="7" t="n"/>
      <c r="G6286" s="7" t="n"/>
      <c r="H6286" s="7" t="n"/>
      <c r="I6286" s="7" t="n"/>
      <c r="J6286" s="7" t="n"/>
      <c r="K6286">
        <f>IF(D6286="Legitimate Interest (GDPR Art. 6(1)(f))", "Yes / Required (Sheet 3)", "")</f>
        <v/>
      </c>
      <c r="L6286" s="7" t="n"/>
      <c r="M6286" s="7" t="n"/>
      <c r="N6286">
        <f>IF(D6286="", "Gap - No Legal Basis", IF(AND(D6286="Consent (GDPR Art. 6(1)(a))", I6286="Not Captured"), "Gap - Invalid Consent", IF(AND(D6286="Legitimate Interest (GDPR Art. 6(1)(f))", L6286=""), "Gap - Missing LIA", IF(AND(G6286="Yes", H6286=""), "Gap - Missing Art. 9 Basis", IF(OR(I6286="Invalid - Not Freely Given", I6286="Invalid - Not Specific", I6286="Invalid - Not Informed", I6286="Invalid - Ambiguous"), "Gap - Invalid Consent", "Compliant")))))</f>
        <v/>
      </c>
      <c r="O6286" s="7" t="n"/>
    </row>
    <row r="6287">
      <c r="A6287" s="7" t="n"/>
      <c r="B6287" s="7" t="n"/>
      <c r="C6287" s="7" t="n"/>
      <c r="D6287" s="7" t="n"/>
      <c r="E6287" s="7" t="n"/>
      <c r="F6287" s="7" t="n"/>
      <c r="G6287" s="7" t="n"/>
      <c r="H6287" s="7" t="n"/>
      <c r="I6287" s="7" t="n"/>
      <c r="J6287" s="7" t="n"/>
      <c r="K6287">
        <f>IF(D6287="Legitimate Interest (GDPR Art. 6(1)(f))", "Yes / Required (Sheet 3)", "")</f>
        <v/>
      </c>
      <c r="L6287" s="7" t="n"/>
      <c r="M6287" s="7" t="n"/>
      <c r="N6287">
        <f>IF(D6287="", "Gap - No Legal Basis", IF(AND(D6287="Consent (GDPR Art. 6(1)(a))", I6287="Not Captured"), "Gap - Invalid Consent", IF(AND(D6287="Legitimate Interest (GDPR Art. 6(1)(f))", L6287=""), "Gap - Missing LIA", IF(AND(G6287="Yes", H6287=""), "Gap - Missing Art. 9 Basis", IF(OR(I6287="Invalid - Not Freely Given", I6287="Invalid - Not Specific", I6287="Invalid - Not Informed", I6287="Invalid - Ambiguous"), "Gap - Invalid Consent", "Compliant")))))</f>
        <v/>
      </c>
      <c r="O6287" s="7" t="n"/>
    </row>
    <row r="6288">
      <c r="A6288" s="7" t="n"/>
      <c r="B6288" s="7" t="n"/>
      <c r="C6288" s="7" t="n"/>
      <c r="D6288" s="7" t="n"/>
      <c r="E6288" s="7" t="n"/>
      <c r="F6288" s="7" t="n"/>
      <c r="G6288" s="7" t="n"/>
      <c r="H6288" s="7" t="n"/>
      <c r="I6288" s="7" t="n"/>
      <c r="J6288" s="7" t="n"/>
      <c r="K6288">
        <f>IF(D6288="Legitimate Interest (GDPR Art. 6(1)(f))", "Yes / Required (Sheet 3)", "")</f>
        <v/>
      </c>
      <c r="L6288" s="7" t="n"/>
      <c r="M6288" s="7" t="n"/>
      <c r="N6288">
        <f>IF(D6288="", "Gap - No Legal Basis", IF(AND(D6288="Consent (GDPR Art. 6(1)(a))", I6288="Not Captured"), "Gap - Invalid Consent", IF(AND(D6288="Legitimate Interest (GDPR Art. 6(1)(f))", L6288=""), "Gap - Missing LIA", IF(AND(G6288="Yes", H6288=""), "Gap - Missing Art. 9 Basis", IF(OR(I6288="Invalid - Not Freely Given", I6288="Invalid - Not Specific", I6288="Invalid - Not Informed", I6288="Invalid - Ambiguous"), "Gap - Invalid Consent", "Compliant")))))</f>
        <v/>
      </c>
      <c r="O6288" s="7" t="n"/>
    </row>
    <row r="6289">
      <c r="A6289" s="7" t="n"/>
      <c r="B6289" s="7" t="n"/>
      <c r="C6289" s="7" t="n"/>
      <c r="D6289" s="7" t="n"/>
      <c r="E6289" s="7" t="n"/>
      <c r="F6289" s="7" t="n"/>
      <c r="G6289" s="7" t="n"/>
      <c r="H6289" s="7" t="n"/>
      <c r="I6289" s="7" t="n"/>
      <c r="J6289" s="7" t="n"/>
      <c r="K6289">
        <f>IF(D6289="Legitimate Interest (GDPR Art. 6(1)(f))", "Yes / Required (Sheet 3)", "")</f>
        <v/>
      </c>
      <c r="L6289" s="7" t="n"/>
      <c r="M6289" s="7" t="n"/>
      <c r="N6289">
        <f>IF(D6289="", "Gap - No Legal Basis", IF(AND(D6289="Consent (GDPR Art. 6(1)(a))", I6289="Not Captured"), "Gap - Invalid Consent", IF(AND(D6289="Legitimate Interest (GDPR Art. 6(1)(f))", L6289=""), "Gap - Missing LIA", IF(AND(G6289="Yes", H6289=""), "Gap - Missing Art. 9 Basis", IF(OR(I6289="Invalid - Not Freely Given", I6289="Invalid - Not Specific", I6289="Invalid - Not Informed", I6289="Invalid - Ambiguous"), "Gap - Invalid Consent", "Compliant")))))</f>
        <v/>
      </c>
      <c r="O6289" s="7" t="n"/>
    </row>
    <row r="6290">
      <c r="A6290" s="7" t="n"/>
      <c r="B6290" s="7" t="n"/>
      <c r="C6290" s="7" t="n"/>
      <c r="D6290" s="7" t="n"/>
      <c r="E6290" s="7" t="n"/>
      <c r="F6290" s="7" t="n"/>
      <c r="G6290" s="7" t="n"/>
      <c r="H6290" s="7" t="n"/>
      <c r="I6290" s="7" t="n"/>
      <c r="J6290" s="7" t="n"/>
      <c r="K6290">
        <f>IF(D6290="Legitimate Interest (GDPR Art. 6(1)(f))", "Yes / Required (Sheet 3)", "")</f>
        <v/>
      </c>
      <c r="L6290" s="7" t="n"/>
      <c r="M6290" s="7" t="n"/>
      <c r="N6290">
        <f>IF(D6290="", "Gap - No Legal Basis", IF(AND(D6290="Consent (GDPR Art. 6(1)(a))", I6290="Not Captured"), "Gap - Invalid Consent", IF(AND(D6290="Legitimate Interest (GDPR Art. 6(1)(f))", L6290=""), "Gap - Missing LIA", IF(AND(G6290="Yes", H6290=""), "Gap - Missing Art. 9 Basis", IF(OR(I6290="Invalid - Not Freely Given", I6290="Invalid - Not Specific", I6290="Invalid - Not Informed", I6290="Invalid - Ambiguous"), "Gap - Invalid Consent", "Compliant")))))</f>
        <v/>
      </c>
      <c r="O6290" s="7" t="n"/>
    </row>
    <row r="6291">
      <c r="A6291" s="7" t="n"/>
      <c r="B6291" s="7" t="n"/>
      <c r="C6291" s="7" t="n"/>
      <c r="D6291" s="7" t="n"/>
      <c r="E6291" s="7" t="n"/>
      <c r="F6291" s="7" t="n"/>
      <c r="G6291" s="7" t="n"/>
      <c r="H6291" s="7" t="n"/>
      <c r="I6291" s="7" t="n"/>
      <c r="J6291" s="7" t="n"/>
      <c r="K6291">
        <f>IF(D6291="Legitimate Interest (GDPR Art. 6(1)(f))", "Yes / Required (Sheet 3)", "")</f>
        <v/>
      </c>
      <c r="L6291" s="7" t="n"/>
      <c r="M6291" s="7" t="n"/>
      <c r="N6291">
        <f>IF(D6291="", "Gap - No Legal Basis", IF(AND(D6291="Consent (GDPR Art. 6(1)(a))", I6291="Not Captured"), "Gap - Invalid Consent", IF(AND(D6291="Legitimate Interest (GDPR Art. 6(1)(f))", L6291=""), "Gap - Missing LIA", IF(AND(G6291="Yes", H6291=""), "Gap - Missing Art. 9 Basis", IF(OR(I6291="Invalid - Not Freely Given", I6291="Invalid - Not Specific", I6291="Invalid - Not Informed", I6291="Invalid - Ambiguous"), "Gap - Invalid Consent", "Compliant")))))</f>
        <v/>
      </c>
      <c r="O6291" s="7" t="n"/>
    </row>
    <row r="6292">
      <c r="A6292" s="7" t="n"/>
      <c r="B6292" s="7" t="n"/>
      <c r="C6292" s="7" t="n"/>
      <c r="D6292" s="7" t="n"/>
      <c r="E6292" s="7" t="n"/>
      <c r="F6292" s="7" t="n"/>
      <c r="G6292" s="7" t="n"/>
      <c r="H6292" s="7" t="n"/>
      <c r="I6292" s="7" t="n"/>
      <c r="J6292" s="7" t="n"/>
      <c r="K6292">
        <f>IF(D6292="Legitimate Interest (GDPR Art. 6(1)(f))", "Yes / Required (Sheet 3)", "")</f>
        <v/>
      </c>
      <c r="L6292" s="7" t="n"/>
      <c r="M6292" s="7" t="n"/>
      <c r="N6292">
        <f>IF(D6292="", "Gap - No Legal Basis", IF(AND(D6292="Consent (GDPR Art. 6(1)(a))", I6292="Not Captured"), "Gap - Invalid Consent", IF(AND(D6292="Legitimate Interest (GDPR Art. 6(1)(f))", L6292=""), "Gap - Missing LIA", IF(AND(G6292="Yes", H6292=""), "Gap - Missing Art. 9 Basis", IF(OR(I6292="Invalid - Not Freely Given", I6292="Invalid - Not Specific", I6292="Invalid - Not Informed", I6292="Invalid - Ambiguous"), "Gap - Invalid Consent", "Compliant")))))</f>
        <v/>
      </c>
      <c r="O6292" s="7" t="n"/>
    </row>
    <row r="6293">
      <c r="A6293" s="7" t="n"/>
      <c r="B6293" s="7" t="n"/>
      <c r="C6293" s="7" t="n"/>
      <c r="D6293" s="7" t="n"/>
      <c r="E6293" s="7" t="n"/>
      <c r="F6293" s="7" t="n"/>
      <c r="G6293" s="7" t="n"/>
      <c r="H6293" s="7" t="n"/>
      <c r="I6293" s="7" t="n"/>
      <c r="J6293" s="7" t="n"/>
      <c r="K6293">
        <f>IF(D6293="Legitimate Interest (GDPR Art. 6(1)(f))", "Yes / Required (Sheet 3)", "")</f>
        <v/>
      </c>
      <c r="L6293" s="7" t="n"/>
      <c r="M6293" s="7" t="n"/>
      <c r="N6293">
        <f>IF(D6293="", "Gap - No Legal Basis", IF(AND(D6293="Consent (GDPR Art. 6(1)(a))", I6293="Not Captured"), "Gap - Invalid Consent", IF(AND(D6293="Legitimate Interest (GDPR Art. 6(1)(f))", L6293=""), "Gap - Missing LIA", IF(AND(G6293="Yes", H6293=""), "Gap - Missing Art. 9 Basis", IF(OR(I6293="Invalid - Not Freely Given", I6293="Invalid - Not Specific", I6293="Invalid - Not Informed", I6293="Invalid - Ambiguous"), "Gap - Invalid Consent", "Compliant")))))</f>
        <v/>
      </c>
      <c r="O6293" s="7" t="n"/>
    </row>
    <row r="6294">
      <c r="A6294" s="7" t="n"/>
      <c r="B6294" s="7" t="n"/>
      <c r="C6294" s="7" t="n"/>
      <c r="D6294" s="7" t="n"/>
      <c r="E6294" s="7" t="n"/>
      <c r="F6294" s="7" t="n"/>
      <c r="G6294" s="7" t="n"/>
      <c r="H6294" s="7" t="n"/>
      <c r="I6294" s="7" t="n"/>
      <c r="J6294" s="7" t="n"/>
      <c r="K6294">
        <f>IF(D6294="Legitimate Interest (GDPR Art. 6(1)(f))", "Yes / Required (Sheet 3)", "")</f>
        <v/>
      </c>
      <c r="L6294" s="7" t="n"/>
      <c r="M6294" s="7" t="n"/>
      <c r="N6294">
        <f>IF(D6294="", "Gap - No Legal Basis", IF(AND(D6294="Consent (GDPR Art. 6(1)(a))", I6294="Not Captured"), "Gap - Invalid Consent", IF(AND(D6294="Legitimate Interest (GDPR Art. 6(1)(f))", L6294=""), "Gap - Missing LIA", IF(AND(G6294="Yes", H6294=""), "Gap - Missing Art. 9 Basis", IF(OR(I6294="Invalid - Not Freely Given", I6294="Invalid - Not Specific", I6294="Invalid - Not Informed", I6294="Invalid - Ambiguous"), "Gap - Invalid Consent", "Compliant")))))</f>
        <v/>
      </c>
      <c r="O6294" s="7" t="n"/>
    </row>
    <row r="6295">
      <c r="A6295" s="7" t="n"/>
      <c r="B6295" s="7" t="n"/>
      <c r="C6295" s="7" t="n"/>
      <c r="D6295" s="7" t="n"/>
      <c r="E6295" s="7" t="n"/>
      <c r="F6295" s="7" t="n"/>
      <c r="G6295" s="7" t="n"/>
      <c r="H6295" s="7" t="n"/>
      <c r="I6295" s="7" t="n"/>
      <c r="J6295" s="7" t="n"/>
      <c r="K6295">
        <f>IF(D6295="Legitimate Interest (GDPR Art. 6(1)(f))", "Yes / Required (Sheet 3)", "")</f>
        <v/>
      </c>
      <c r="L6295" s="7" t="n"/>
      <c r="M6295" s="7" t="n"/>
      <c r="N6295">
        <f>IF(D6295="", "Gap - No Legal Basis", IF(AND(D6295="Consent (GDPR Art. 6(1)(a))", I6295="Not Captured"), "Gap - Invalid Consent", IF(AND(D6295="Legitimate Interest (GDPR Art. 6(1)(f))", L6295=""), "Gap - Missing LIA", IF(AND(G6295="Yes", H6295=""), "Gap - Missing Art. 9 Basis", IF(OR(I6295="Invalid - Not Freely Given", I6295="Invalid - Not Specific", I6295="Invalid - Not Informed", I6295="Invalid - Ambiguous"), "Gap - Invalid Consent", "Compliant")))))</f>
        <v/>
      </c>
      <c r="O6295" s="7" t="n"/>
    </row>
    <row r="6296">
      <c r="A6296" s="7" t="n"/>
      <c r="B6296" s="7" t="n"/>
      <c r="C6296" s="7" t="n"/>
      <c r="D6296" s="7" t="n"/>
      <c r="E6296" s="7" t="n"/>
      <c r="F6296" s="7" t="n"/>
      <c r="G6296" s="7" t="n"/>
      <c r="H6296" s="7" t="n"/>
      <c r="I6296" s="7" t="n"/>
      <c r="J6296" s="7" t="n"/>
      <c r="K6296">
        <f>IF(D6296="Legitimate Interest (GDPR Art. 6(1)(f))", "Yes / Required (Sheet 3)", "")</f>
        <v/>
      </c>
      <c r="L6296" s="7" t="n"/>
      <c r="M6296" s="7" t="n"/>
      <c r="N6296">
        <f>IF(D6296="", "Gap - No Legal Basis", IF(AND(D6296="Consent (GDPR Art. 6(1)(a))", I6296="Not Captured"), "Gap - Invalid Consent", IF(AND(D6296="Legitimate Interest (GDPR Art. 6(1)(f))", L6296=""), "Gap - Missing LIA", IF(AND(G6296="Yes", H6296=""), "Gap - Missing Art. 9 Basis", IF(OR(I6296="Invalid - Not Freely Given", I6296="Invalid - Not Specific", I6296="Invalid - Not Informed", I6296="Invalid - Ambiguous"), "Gap - Invalid Consent", "Compliant")))))</f>
        <v/>
      </c>
      <c r="O6296" s="7" t="n"/>
    </row>
    <row r="6297">
      <c r="A6297" s="7" t="n"/>
      <c r="B6297" s="7" t="n"/>
      <c r="C6297" s="7" t="n"/>
      <c r="D6297" s="7" t="n"/>
      <c r="E6297" s="7" t="n"/>
      <c r="F6297" s="7" t="n"/>
      <c r="G6297" s="7" t="n"/>
      <c r="H6297" s="7" t="n"/>
      <c r="I6297" s="7" t="n"/>
      <c r="J6297" s="7" t="n"/>
      <c r="K6297">
        <f>IF(D6297="Legitimate Interest (GDPR Art. 6(1)(f))", "Yes / Required (Sheet 3)", "")</f>
        <v/>
      </c>
      <c r="L6297" s="7" t="n"/>
      <c r="M6297" s="7" t="n"/>
      <c r="N6297">
        <f>IF(D6297="", "Gap - No Legal Basis", IF(AND(D6297="Consent (GDPR Art. 6(1)(a))", I6297="Not Captured"), "Gap - Invalid Consent", IF(AND(D6297="Legitimate Interest (GDPR Art. 6(1)(f))", L6297=""), "Gap - Missing LIA", IF(AND(G6297="Yes", H6297=""), "Gap - Missing Art. 9 Basis", IF(OR(I6297="Invalid - Not Freely Given", I6297="Invalid - Not Specific", I6297="Invalid - Not Informed", I6297="Invalid - Ambiguous"), "Gap - Invalid Consent", "Compliant")))))</f>
        <v/>
      </c>
      <c r="O6297" s="7" t="n"/>
    </row>
    <row r="6298">
      <c r="A6298" s="7" t="n"/>
      <c r="B6298" s="7" t="n"/>
      <c r="C6298" s="7" t="n"/>
      <c r="D6298" s="7" t="n"/>
      <c r="E6298" s="7" t="n"/>
      <c r="F6298" s="7" t="n"/>
      <c r="G6298" s="7" t="n"/>
      <c r="H6298" s="7" t="n"/>
      <c r="I6298" s="7" t="n"/>
      <c r="J6298" s="7" t="n"/>
      <c r="K6298">
        <f>IF(D6298="Legitimate Interest (GDPR Art. 6(1)(f))", "Yes / Required (Sheet 3)", "")</f>
        <v/>
      </c>
      <c r="L6298" s="7" t="n"/>
      <c r="M6298" s="7" t="n"/>
      <c r="N6298">
        <f>IF(D6298="", "Gap - No Legal Basis", IF(AND(D6298="Consent (GDPR Art. 6(1)(a))", I6298="Not Captured"), "Gap - Invalid Consent", IF(AND(D6298="Legitimate Interest (GDPR Art. 6(1)(f))", L6298=""), "Gap - Missing LIA", IF(AND(G6298="Yes", H6298=""), "Gap - Missing Art. 9 Basis", IF(OR(I6298="Invalid - Not Freely Given", I6298="Invalid - Not Specific", I6298="Invalid - Not Informed", I6298="Invalid - Ambiguous"), "Gap - Invalid Consent", "Compliant")))))</f>
        <v/>
      </c>
      <c r="O6298" s="7" t="n"/>
    </row>
    <row r="6299">
      <c r="A6299" s="7" t="n"/>
      <c r="B6299" s="7" t="n"/>
      <c r="C6299" s="7" t="n"/>
      <c r="D6299" s="7" t="n"/>
      <c r="E6299" s="7" t="n"/>
      <c r="F6299" s="7" t="n"/>
      <c r="G6299" s="7" t="n"/>
      <c r="H6299" s="7" t="n"/>
      <c r="I6299" s="7" t="n"/>
      <c r="J6299" s="7" t="n"/>
      <c r="K6299">
        <f>IF(D6299="Legitimate Interest (GDPR Art. 6(1)(f))", "Yes / Required (Sheet 3)", "")</f>
        <v/>
      </c>
      <c r="L6299" s="7" t="n"/>
      <c r="M6299" s="7" t="n"/>
      <c r="N6299">
        <f>IF(D6299="", "Gap - No Legal Basis", IF(AND(D6299="Consent (GDPR Art. 6(1)(a))", I6299="Not Captured"), "Gap - Invalid Consent", IF(AND(D6299="Legitimate Interest (GDPR Art. 6(1)(f))", L6299=""), "Gap - Missing LIA", IF(AND(G6299="Yes", H6299=""), "Gap - Missing Art. 9 Basis", IF(OR(I6299="Invalid - Not Freely Given", I6299="Invalid - Not Specific", I6299="Invalid - Not Informed", I6299="Invalid - Ambiguous"), "Gap - Invalid Consent", "Compliant")))))</f>
        <v/>
      </c>
      <c r="O6299" s="7" t="n"/>
    </row>
    <row r="6300">
      <c r="A6300" s="7" t="n"/>
      <c r="B6300" s="7" t="n"/>
      <c r="C6300" s="7" t="n"/>
      <c r="D6300" s="7" t="n"/>
      <c r="E6300" s="7" t="n"/>
      <c r="F6300" s="7" t="n"/>
      <c r="G6300" s="7" t="n"/>
      <c r="H6300" s="7" t="n"/>
      <c r="I6300" s="7" t="n"/>
      <c r="J6300" s="7" t="n"/>
      <c r="K6300">
        <f>IF(D6300="Legitimate Interest (GDPR Art. 6(1)(f))", "Yes / Required (Sheet 3)", "")</f>
        <v/>
      </c>
      <c r="L6300" s="7" t="n"/>
      <c r="M6300" s="7" t="n"/>
      <c r="N6300">
        <f>IF(D6300="", "Gap - No Legal Basis", IF(AND(D6300="Consent (GDPR Art. 6(1)(a))", I6300="Not Captured"), "Gap - Invalid Consent", IF(AND(D6300="Legitimate Interest (GDPR Art. 6(1)(f))", L6300=""), "Gap - Missing LIA", IF(AND(G6300="Yes", H6300=""), "Gap - Missing Art. 9 Basis", IF(OR(I6300="Invalid - Not Freely Given", I6300="Invalid - Not Specific", I6300="Invalid - Not Informed", I6300="Invalid - Ambiguous"), "Gap - Invalid Consent", "Compliant")))))</f>
        <v/>
      </c>
      <c r="O6300" s="7" t="n"/>
    </row>
    <row r="6301">
      <c r="A6301" s="7" t="n"/>
      <c r="B6301" s="7" t="n"/>
      <c r="C6301" s="7" t="n"/>
      <c r="D6301" s="7" t="n"/>
      <c r="E6301" s="7" t="n"/>
      <c r="F6301" s="7" t="n"/>
      <c r="G6301" s="7" t="n"/>
      <c r="H6301" s="7" t="n"/>
      <c r="I6301" s="7" t="n"/>
      <c r="J6301" s="7" t="n"/>
      <c r="K6301">
        <f>IF(D6301="Legitimate Interest (GDPR Art. 6(1)(f))", "Yes / Required (Sheet 3)", "")</f>
        <v/>
      </c>
      <c r="L6301" s="7" t="n"/>
      <c r="M6301" s="7" t="n"/>
      <c r="N6301">
        <f>IF(D6301="", "Gap - No Legal Basis", IF(AND(D6301="Consent (GDPR Art. 6(1)(a))", I6301="Not Captured"), "Gap - Invalid Consent", IF(AND(D6301="Legitimate Interest (GDPR Art. 6(1)(f))", L6301=""), "Gap - Missing LIA", IF(AND(G6301="Yes", H6301=""), "Gap - Missing Art. 9 Basis", IF(OR(I6301="Invalid - Not Freely Given", I6301="Invalid - Not Specific", I6301="Invalid - Not Informed", I6301="Invalid - Ambiguous"), "Gap - Invalid Consent", "Compliant")))))</f>
        <v/>
      </c>
      <c r="O6301" s="7" t="n"/>
    </row>
    <row r="6302">
      <c r="A6302" s="7" t="n"/>
      <c r="B6302" s="7" t="n"/>
      <c r="C6302" s="7" t="n"/>
      <c r="D6302" s="7" t="n"/>
      <c r="E6302" s="7" t="n"/>
      <c r="F6302" s="7" t="n"/>
      <c r="G6302" s="7" t="n"/>
      <c r="H6302" s="7" t="n"/>
      <c r="I6302" s="7" t="n"/>
      <c r="J6302" s="7" t="n"/>
      <c r="K6302">
        <f>IF(D6302="Legitimate Interest (GDPR Art. 6(1)(f))", "Yes / Required (Sheet 3)", "")</f>
        <v/>
      </c>
      <c r="L6302" s="7" t="n"/>
      <c r="M6302" s="7" t="n"/>
      <c r="N6302">
        <f>IF(D6302="", "Gap - No Legal Basis", IF(AND(D6302="Consent (GDPR Art. 6(1)(a))", I6302="Not Captured"), "Gap - Invalid Consent", IF(AND(D6302="Legitimate Interest (GDPR Art. 6(1)(f))", L6302=""), "Gap - Missing LIA", IF(AND(G6302="Yes", H6302=""), "Gap - Missing Art. 9 Basis", IF(OR(I6302="Invalid - Not Freely Given", I6302="Invalid - Not Specific", I6302="Invalid - Not Informed", I6302="Invalid - Ambiguous"), "Gap - Invalid Consent", "Compliant")))))</f>
        <v/>
      </c>
      <c r="O6302" s="7" t="n"/>
    </row>
    <row r="6303">
      <c r="A6303" s="7" t="n"/>
      <c r="B6303" s="7" t="n"/>
      <c r="C6303" s="7" t="n"/>
      <c r="D6303" s="7" t="n"/>
      <c r="E6303" s="7" t="n"/>
      <c r="F6303" s="7" t="n"/>
      <c r="G6303" s="7" t="n"/>
      <c r="H6303" s="7" t="n"/>
      <c r="I6303" s="7" t="n"/>
      <c r="J6303" s="7" t="n"/>
      <c r="K6303">
        <f>IF(D6303="Legitimate Interest (GDPR Art. 6(1)(f))", "Yes / Required (Sheet 3)", "")</f>
        <v/>
      </c>
      <c r="L6303" s="7" t="n"/>
      <c r="M6303" s="7" t="n"/>
      <c r="N6303">
        <f>IF(D6303="", "Gap - No Legal Basis", IF(AND(D6303="Consent (GDPR Art. 6(1)(a))", I6303="Not Captured"), "Gap - Invalid Consent", IF(AND(D6303="Legitimate Interest (GDPR Art. 6(1)(f))", L6303=""), "Gap - Missing LIA", IF(AND(G6303="Yes", H6303=""), "Gap - Missing Art. 9 Basis", IF(OR(I6303="Invalid - Not Freely Given", I6303="Invalid - Not Specific", I6303="Invalid - Not Informed", I6303="Invalid - Ambiguous"), "Gap - Invalid Consent", "Compliant")))))</f>
        <v/>
      </c>
      <c r="O6303" s="7" t="n"/>
    </row>
    <row r="6304">
      <c r="A6304" s="7" t="n"/>
      <c r="B6304" s="7" t="n"/>
      <c r="C6304" s="7" t="n"/>
      <c r="D6304" s="7" t="n"/>
      <c r="E6304" s="7" t="n"/>
      <c r="F6304" s="7" t="n"/>
      <c r="G6304" s="7" t="n"/>
      <c r="H6304" s="7" t="n"/>
      <c r="I6304" s="7" t="n"/>
      <c r="J6304" s="7" t="n"/>
      <c r="K6304">
        <f>IF(D6304="Legitimate Interest (GDPR Art. 6(1)(f))", "Yes / Required (Sheet 3)", "")</f>
        <v/>
      </c>
      <c r="L6304" s="7" t="n"/>
      <c r="M6304" s="7" t="n"/>
      <c r="N6304">
        <f>IF(D6304="", "Gap - No Legal Basis", IF(AND(D6304="Consent (GDPR Art. 6(1)(a))", I6304="Not Captured"), "Gap - Invalid Consent", IF(AND(D6304="Legitimate Interest (GDPR Art. 6(1)(f))", L6304=""), "Gap - Missing LIA", IF(AND(G6304="Yes", H6304=""), "Gap - Missing Art. 9 Basis", IF(OR(I6304="Invalid - Not Freely Given", I6304="Invalid - Not Specific", I6304="Invalid - Not Informed", I6304="Invalid - Ambiguous"), "Gap - Invalid Consent", "Compliant")))))</f>
        <v/>
      </c>
      <c r="O6304" s="7" t="n"/>
    </row>
    <row r="6305">
      <c r="A6305" s="7" t="n"/>
      <c r="B6305" s="7" t="n"/>
      <c r="C6305" s="7" t="n"/>
      <c r="D6305" s="7" t="n"/>
      <c r="E6305" s="7" t="n"/>
      <c r="F6305" s="7" t="n"/>
      <c r="G6305" s="7" t="n"/>
      <c r="H6305" s="7" t="n"/>
      <c r="I6305" s="7" t="n"/>
      <c r="J6305" s="7" t="n"/>
      <c r="K6305">
        <f>IF(D6305="Legitimate Interest (GDPR Art. 6(1)(f))", "Yes / Required (Sheet 3)", "")</f>
        <v/>
      </c>
      <c r="L6305" s="7" t="n"/>
      <c r="M6305" s="7" t="n"/>
      <c r="N6305">
        <f>IF(D6305="", "Gap - No Legal Basis", IF(AND(D6305="Consent (GDPR Art. 6(1)(a))", I6305="Not Captured"), "Gap - Invalid Consent", IF(AND(D6305="Legitimate Interest (GDPR Art. 6(1)(f))", L6305=""), "Gap - Missing LIA", IF(AND(G6305="Yes", H6305=""), "Gap - Missing Art. 9 Basis", IF(OR(I6305="Invalid - Not Freely Given", I6305="Invalid - Not Specific", I6305="Invalid - Not Informed", I6305="Invalid - Ambiguous"), "Gap - Invalid Consent", "Compliant")))))</f>
        <v/>
      </c>
      <c r="O6305" s="7" t="n"/>
    </row>
    <row r="6306">
      <c r="A6306" s="7" t="n"/>
      <c r="B6306" s="7" t="n"/>
      <c r="C6306" s="7" t="n"/>
      <c r="D6306" s="7" t="n"/>
      <c r="E6306" s="7" t="n"/>
      <c r="F6306" s="7" t="n"/>
      <c r="G6306" s="7" t="n"/>
      <c r="H6306" s="7" t="n"/>
      <c r="I6306" s="7" t="n"/>
      <c r="J6306" s="7" t="n"/>
      <c r="K6306">
        <f>IF(D6306="Legitimate Interest (GDPR Art. 6(1)(f))", "Yes / Required (Sheet 3)", "")</f>
        <v/>
      </c>
      <c r="L6306" s="7" t="n"/>
      <c r="M6306" s="7" t="n"/>
      <c r="N6306">
        <f>IF(D6306="", "Gap - No Legal Basis", IF(AND(D6306="Consent (GDPR Art. 6(1)(a))", I6306="Not Captured"), "Gap - Invalid Consent", IF(AND(D6306="Legitimate Interest (GDPR Art. 6(1)(f))", L6306=""), "Gap - Missing LIA", IF(AND(G6306="Yes", H6306=""), "Gap - Missing Art. 9 Basis", IF(OR(I6306="Invalid - Not Freely Given", I6306="Invalid - Not Specific", I6306="Invalid - Not Informed", I6306="Invalid - Ambiguous"), "Gap - Invalid Consent", "Compliant")))))</f>
        <v/>
      </c>
      <c r="O6306" s="7" t="n"/>
    </row>
    <row r="6307">
      <c r="A6307" s="7" t="n"/>
      <c r="B6307" s="7" t="n"/>
      <c r="C6307" s="7" t="n"/>
      <c r="D6307" s="7" t="n"/>
      <c r="E6307" s="7" t="n"/>
      <c r="F6307" s="7" t="n"/>
      <c r="G6307" s="7" t="n"/>
      <c r="H6307" s="7" t="n"/>
      <c r="I6307" s="7" t="n"/>
      <c r="J6307" s="7" t="n"/>
      <c r="K6307">
        <f>IF(D6307="Legitimate Interest (GDPR Art. 6(1)(f))", "Yes / Required (Sheet 3)", "")</f>
        <v/>
      </c>
      <c r="L6307" s="7" t="n"/>
      <c r="M6307" s="7" t="n"/>
      <c r="N6307">
        <f>IF(D6307="", "Gap - No Legal Basis", IF(AND(D6307="Consent (GDPR Art. 6(1)(a))", I6307="Not Captured"), "Gap - Invalid Consent", IF(AND(D6307="Legitimate Interest (GDPR Art. 6(1)(f))", L6307=""), "Gap - Missing LIA", IF(AND(G6307="Yes", H6307=""), "Gap - Missing Art. 9 Basis", IF(OR(I6307="Invalid - Not Freely Given", I6307="Invalid - Not Specific", I6307="Invalid - Not Informed", I6307="Invalid - Ambiguous"), "Gap - Invalid Consent", "Compliant")))))</f>
        <v/>
      </c>
      <c r="O6307" s="7" t="n"/>
    </row>
    <row r="6308">
      <c r="A6308" s="7" t="n"/>
      <c r="B6308" s="7" t="n"/>
      <c r="C6308" s="7" t="n"/>
      <c r="D6308" s="7" t="n"/>
      <c r="E6308" s="7" t="n"/>
      <c r="F6308" s="7" t="n"/>
      <c r="G6308" s="7" t="n"/>
      <c r="H6308" s="7" t="n"/>
      <c r="I6308" s="7" t="n"/>
      <c r="J6308" s="7" t="n"/>
      <c r="K6308">
        <f>IF(D6308="Legitimate Interest (GDPR Art. 6(1)(f))", "Yes / Required (Sheet 3)", "")</f>
        <v/>
      </c>
      <c r="L6308" s="7" t="n"/>
      <c r="M6308" s="7" t="n"/>
      <c r="N6308">
        <f>IF(D6308="", "Gap - No Legal Basis", IF(AND(D6308="Consent (GDPR Art. 6(1)(a))", I6308="Not Captured"), "Gap - Invalid Consent", IF(AND(D6308="Legitimate Interest (GDPR Art. 6(1)(f))", L6308=""), "Gap - Missing LIA", IF(AND(G6308="Yes", H6308=""), "Gap - Missing Art. 9 Basis", IF(OR(I6308="Invalid - Not Freely Given", I6308="Invalid - Not Specific", I6308="Invalid - Not Informed", I6308="Invalid - Ambiguous"), "Gap - Invalid Consent", "Compliant")))))</f>
        <v/>
      </c>
      <c r="O6308" s="7" t="n"/>
    </row>
    <row r="6309">
      <c r="A6309" s="7" t="n"/>
      <c r="B6309" s="7" t="n"/>
      <c r="C6309" s="7" t="n"/>
      <c r="D6309" s="7" t="n"/>
      <c r="E6309" s="7" t="n"/>
      <c r="F6309" s="7" t="n"/>
      <c r="G6309" s="7" t="n"/>
      <c r="H6309" s="7" t="n"/>
      <c r="I6309" s="7" t="n"/>
      <c r="J6309" s="7" t="n"/>
      <c r="K6309">
        <f>IF(D6309="Legitimate Interest (GDPR Art. 6(1)(f))", "Yes / Required (Sheet 3)", "")</f>
        <v/>
      </c>
      <c r="L6309" s="7" t="n"/>
      <c r="M6309" s="7" t="n"/>
      <c r="N6309">
        <f>IF(D6309="", "Gap - No Legal Basis", IF(AND(D6309="Consent (GDPR Art. 6(1)(a))", I6309="Not Captured"), "Gap - Invalid Consent", IF(AND(D6309="Legitimate Interest (GDPR Art. 6(1)(f))", L6309=""), "Gap - Missing LIA", IF(AND(G6309="Yes", H6309=""), "Gap - Missing Art. 9 Basis", IF(OR(I6309="Invalid - Not Freely Given", I6309="Invalid - Not Specific", I6309="Invalid - Not Informed", I6309="Invalid - Ambiguous"), "Gap - Invalid Consent", "Compliant")))))</f>
        <v/>
      </c>
      <c r="O6309" s="7" t="n"/>
    </row>
    <row r="6310">
      <c r="A6310" s="7" t="n"/>
      <c r="B6310" s="7" t="n"/>
      <c r="C6310" s="7" t="n"/>
      <c r="D6310" s="7" t="n"/>
      <c r="E6310" s="7" t="n"/>
      <c r="F6310" s="7" t="n"/>
      <c r="G6310" s="7" t="n"/>
      <c r="H6310" s="7" t="n"/>
      <c r="I6310" s="7" t="n"/>
      <c r="J6310" s="7" t="n"/>
      <c r="K6310">
        <f>IF(D6310="Legitimate Interest (GDPR Art. 6(1)(f))", "Yes / Required (Sheet 3)", "")</f>
        <v/>
      </c>
      <c r="L6310" s="7" t="n"/>
      <c r="M6310" s="7" t="n"/>
      <c r="N6310">
        <f>IF(D6310="", "Gap - No Legal Basis", IF(AND(D6310="Consent (GDPR Art. 6(1)(a))", I6310="Not Captured"), "Gap - Invalid Consent", IF(AND(D6310="Legitimate Interest (GDPR Art. 6(1)(f))", L6310=""), "Gap - Missing LIA", IF(AND(G6310="Yes", H6310=""), "Gap - Missing Art. 9 Basis", IF(OR(I6310="Invalid - Not Freely Given", I6310="Invalid - Not Specific", I6310="Invalid - Not Informed", I6310="Invalid - Ambiguous"), "Gap - Invalid Consent", "Compliant")))))</f>
        <v/>
      </c>
      <c r="O6310" s="7" t="n"/>
    </row>
    <row r="6311">
      <c r="A6311" s="7" t="n"/>
      <c r="B6311" s="7" t="n"/>
      <c r="C6311" s="7" t="n"/>
      <c r="D6311" s="7" t="n"/>
      <c r="E6311" s="7" t="n"/>
      <c r="F6311" s="7" t="n"/>
      <c r="G6311" s="7" t="n"/>
      <c r="H6311" s="7" t="n"/>
      <c r="I6311" s="7" t="n"/>
      <c r="J6311" s="7" t="n"/>
      <c r="K6311">
        <f>IF(D6311="Legitimate Interest (GDPR Art. 6(1)(f))", "Yes / Required (Sheet 3)", "")</f>
        <v/>
      </c>
      <c r="L6311" s="7" t="n"/>
      <c r="M6311" s="7" t="n"/>
      <c r="N6311">
        <f>IF(D6311="", "Gap - No Legal Basis", IF(AND(D6311="Consent (GDPR Art. 6(1)(a))", I6311="Not Captured"), "Gap - Invalid Consent", IF(AND(D6311="Legitimate Interest (GDPR Art. 6(1)(f))", L6311=""), "Gap - Missing LIA", IF(AND(G6311="Yes", H6311=""), "Gap - Missing Art. 9 Basis", IF(OR(I6311="Invalid - Not Freely Given", I6311="Invalid - Not Specific", I6311="Invalid - Not Informed", I6311="Invalid - Ambiguous"), "Gap - Invalid Consent", "Compliant")))))</f>
        <v/>
      </c>
      <c r="O6311" s="7" t="n"/>
    </row>
    <row r="6312">
      <c r="A6312" s="7" t="n"/>
      <c r="B6312" s="7" t="n"/>
      <c r="C6312" s="7" t="n"/>
      <c r="D6312" s="7" t="n"/>
      <c r="E6312" s="7" t="n"/>
      <c r="F6312" s="7" t="n"/>
      <c r="G6312" s="7" t="n"/>
      <c r="H6312" s="7" t="n"/>
      <c r="I6312" s="7" t="n"/>
      <c r="J6312" s="7" t="n"/>
      <c r="K6312">
        <f>IF(D6312="Legitimate Interest (GDPR Art. 6(1)(f))", "Yes / Required (Sheet 3)", "")</f>
        <v/>
      </c>
      <c r="L6312" s="7" t="n"/>
      <c r="M6312" s="7" t="n"/>
      <c r="N6312">
        <f>IF(D6312="", "Gap - No Legal Basis", IF(AND(D6312="Consent (GDPR Art. 6(1)(a))", I6312="Not Captured"), "Gap - Invalid Consent", IF(AND(D6312="Legitimate Interest (GDPR Art. 6(1)(f))", L6312=""), "Gap - Missing LIA", IF(AND(G6312="Yes", H6312=""), "Gap - Missing Art. 9 Basis", IF(OR(I6312="Invalid - Not Freely Given", I6312="Invalid - Not Specific", I6312="Invalid - Not Informed", I6312="Invalid - Ambiguous"), "Gap - Invalid Consent", "Compliant")))))</f>
        <v/>
      </c>
      <c r="O6312" s="7" t="n"/>
    </row>
    <row r="6313">
      <c r="A6313" s="7" t="n"/>
      <c r="B6313" s="7" t="n"/>
      <c r="C6313" s="7" t="n"/>
      <c r="D6313" s="7" t="n"/>
      <c r="E6313" s="7" t="n"/>
      <c r="F6313" s="7" t="n"/>
      <c r="G6313" s="7" t="n"/>
      <c r="H6313" s="7" t="n"/>
      <c r="I6313" s="7" t="n"/>
      <c r="J6313" s="7" t="n"/>
      <c r="K6313">
        <f>IF(D6313="Legitimate Interest (GDPR Art. 6(1)(f))", "Yes / Required (Sheet 3)", "")</f>
        <v/>
      </c>
      <c r="L6313" s="7" t="n"/>
      <c r="M6313" s="7" t="n"/>
      <c r="N6313">
        <f>IF(D6313="", "Gap - No Legal Basis", IF(AND(D6313="Consent (GDPR Art. 6(1)(a))", I6313="Not Captured"), "Gap - Invalid Consent", IF(AND(D6313="Legitimate Interest (GDPR Art. 6(1)(f))", L6313=""), "Gap - Missing LIA", IF(AND(G6313="Yes", H6313=""), "Gap - Missing Art. 9 Basis", IF(OR(I6313="Invalid - Not Freely Given", I6313="Invalid - Not Specific", I6313="Invalid - Not Informed", I6313="Invalid - Ambiguous"), "Gap - Invalid Consent", "Compliant")))))</f>
        <v/>
      </c>
      <c r="O6313" s="7" t="n"/>
    </row>
    <row r="6314">
      <c r="A6314" s="7" t="n"/>
      <c r="B6314" s="7" t="n"/>
      <c r="C6314" s="7" t="n"/>
      <c r="D6314" s="7" t="n"/>
      <c r="E6314" s="7" t="n"/>
      <c r="F6314" s="7" t="n"/>
      <c r="G6314" s="7" t="n"/>
      <c r="H6314" s="7" t="n"/>
      <c r="I6314" s="7" t="n"/>
      <c r="J6314" s="7" t="n"/>
      <c r="K6314">
        <f>IF(D6314="Legitimate Interest (GDPR Art. 6(1)(f))", "Yes / Required (Sheet 3)", "")</f>
        <v/>
      </c>
      <c r="L6314" s="7" t="n"/>
      <c r="M6314" s="7" t="n"/>
      <c r="N6314">
        <f>IF(D6314="", "Gap - No Legal Basis", IF(AND(D6314="Consent (GDPR Art. 6(1)(a))", I6314="Not Captured"), "Gap - Invalid Consent", IF(AND(D6314="Legitimate Interest (GDPR Art. 6(1)(f))", L6314=""), "Gap - Missing LIA", IF(AND(G6314="Yes", H6314=""), "Gap - Missing Art. 9 Basis", IF(OR(I6314="Invalid - Not Freely Given", I6314="Invalid - Not Specific", I6314="Invalid - Not Informed", I6314="Invalid - Ambiguous"), "Gap - Invalid Consent", "Compliant")))))</f>
        <v/>
      </c>
      <c r="O6314" s="7" t="n"/>
    </row>
    <row r="6315">
      <c r="A6315" s="7" t="n"/>
      <c r="B6315" s="7" t="n"/>
      <c r="C6315" s="7" t="n"/>
      <c r="D6315" s="7" t="n"/>
      <c r="E6315" s="7" t="n"/>
      <c r="F6315" s="7" t="n"/>
      <c r="G6315" s="7" t="n"/>
      <c r="H6315" s="7" t="n"/>
      <c r="I6315" s="7" t="n"/>
      <c r="J6315" s="7" t="n"/>
      <c r="K6315">
        <f>IF(D6315="Legitimate Interest (GDPR Art. 6(1)(f))", "Yes / Required (Sheet 3)", "")</f>
        <v/>
      </c>
      <c r="L6315" s="7" t="n"/>
      <c r="M6315" s="7" t="n"/>
      <c r="N6315">
        <f>IF(D6315="", "Gap - No Legal Basis", IF(AND(D6315="Consent (GDPR Art. 6(1)(a))", I6315="Not Captured"), "Gap - Invalid Consent", IF(AND(D6315="Legitimate Interest (GDPR Art. 6(1)(f))", L6315=""), "Gap - Missing LIA", IF(AND(G6315="Yes", H6315=""), "Gap - Missing Art. 9 Basis", IF(OR(I6315="Invalid - Not Freely Given", I6315="Invalid - Not Specific", I6315="Invalid - Not Informed", I6315="Invalid - Ambiguous"), "Gap - Invalid Consent", "Compliant")))))</f>
        <v/>
      </c>
      <c r="O6315" s="7" t="n"/>
    </row>
    <row r="6316">
      <c r="A6316" s="7" t="n"/>
      <c r="B6316" s="7" t="n"/>
      <c r="C6316" s="7" t="n"/>
      <c r="D6316" s="7" t="n"/>
      <c r="E6316" s="7" t="n"/>
      <c r="F6316" s="7" t="n"/>
      <c r="G6316" s="7" t="n"/>
      <c r="H6316" s="7" t="n"/>
      <c r="I6316" s="7" t="n"/>
      <c r="J6316" s="7" t="n"/>
      <c r="K6316">
        <f>IF(D6316="Legitimate Interest (GDPR Art. 6(1)(f))", "Yes / Required (Sheet 3)", "")</f>
        <v/>
      </c>
      <c r="L6316" s="7" t="n"/>
      <c r="M6316" s="7" t="n"/>
      <c r="N6316">
        <f>IF(D6316="", "Gap - No Legal Basis", IF(AND(D6316="Consent (GDPR Art. 6(1)(a))", I6316="Not Captured"), "Gap - Invalid Consent", IF(AND(D6316="Legitimate Interest (GDPR Art. 6(1)(f))", L6316=""), "Gap - Missing LIA", IF(AND(G6316="Yes", H6316=""), "Gap - Missing Art. 9 Basis", IF(OR(I6316="Invalid - Not Freely Given", I6316="Invalid - Not Specific", I6316="Invalid - Not Informed", I6316="Invalid - Ambiguous"), "Gap - Invalid Consent", "Compliant")))))</f>
        <v/>
      </c>
      <c r="O6316" s="7" t="n"/>
    </row>
    <row r="6317">
      <c r="A6317" s="7" t="n"/>
      <c r="B6317" s="7" t="n"/>
      <c r="C6317" s="7" t="n"/>
      <c r="D6317" s="7" t="n"/>
      <c r="E6317" s="7" t="n"/>
      <c r="F6317" s="7" t="n"/>
      <c r="G6317" s="7" t="n"/>
      <c r="H6317" s="7" t="n"/>
      <c r="I6317" s="7" t="n"/>
      <c r="J6317" s="7" t="n"/>
      <c r="K6317">
        <f>IF(D6317="Legitimate Interest (GDPR Art. 6(1)(f))", "Yes / Required (Sheet 3)", "")</f>
        <v/>
      </c>
      <c r="L6317" s="7" t="n"/>
      <c r="M6317" s="7" t="n"/>
      <c r="N6317">
        <f>IF(D6317="", "Gap - No Legal Basis", IF(AND(D6317="Consent (GDPR Art. 6(1)(a))", I6317="Not Captured"), "Gap - Invalid Consent", IF(AND(D6317="Legitimate Interest (GDPR Art. 6(1)(f))", L6317=""), "Gap - Missing LIA", IF(AND(G6317="Yes", H6317=""), "Gap - Missing Art. 9 Basis", IF(OR(I6317="Invalid - Not Freely Given", I6317="Invalid - Not Specific", I6317="Invalid - Not Informed", I6317="Invalid - Ambiguous"), "Gap - Invalid Consent", "Compliant")))))</f>
        <v/>
      </c>
      <c r="O6317" s="7" t="n"/>
    </row>
    <row r="6318">
      <c r="A6318" s="7" t="n"/>
      <c r="B6318" s="7" t="n"/>
      <c r="C6318" s="7" t="n"/>
      <c r="D6318" s="7" t="n"/>
      <c r="E6318" s="7" t="n"/>
      <c r="F6318" s="7" t="n"/>
      <c r="G6318" s="7" t="n"/>
      <c r="H6318" s="7" t="n"/>
      <c r="I6318" s="7" t="n"/>
      <c r="J6318" s="7" t="n"/>
      <c r="K6318">
        <f>IF(D6318="Legitimate Interest (GDPR Art. 6(1)(f))", "Yes / Required (Sheet 3)", "")</f>
        <v/>
      </c>
      <c r="L6318" s="7" t="n"/>
      <c r="M6318" s="7" t="n"/>
      <c r="N6318">
        <f>IF(D6318="", "Gap - No Legal Basis", IF(AND(D6318="Consent (GDPR Art. 6(1)(a))", I6318="Not Captured"), "Gap - Invalid Consent", IF(AND(D6318="Legitimate Interest (GDPR Art. 6(1)(f))", L6318=""), "Gap - Missing LIA", IF(AND(G6318="Yes", H6318=""), "Gap - Missing Art. 9 Basis", IF(OR(I6318="Invalid - Not Freely Given", I6318="Invalid - Not Specific", I6318="Invalid - Not Informed", I6318="Invalid - Ambiguous"), "Gap - Invalid Consent", "Compliant")))))</f>
        <v/>
      </c>
      <c r="O6318" s="7" t="n"/>
    </row>
    <row r="6319">
      <c r="A6319" s="7" t="n"/>
      <c r="B6319" s="7" t="n"/>
      <c r="C6319" s="7" t="n"/>
      <c r="D6319" s="7" t="n"/>
      <c r="E6319" s="7" t="n"/>
      <c r="F6319" s="7" t="n"/>
      <c r="G6319" s="7" t="n"/>
      <c r="H6319" s="7" t="n"/>
      <c r="I6319" s="7" t="n"/>
      <c r="J6319" s="7" t="n"/>
      <c r="K6319">
        <f>IF(D6319="Legitimate Interest (GDPR Art. 6(1)(f))", "Yes / Required (Sheet 3)", "")</f>
        <v/>
      </c>
      <c r="L6319" s="7" t="n"/>
      <c r="M6319" s="7" t="n"/>
      <c r="N6319">
        <f>IF(D6319="", "Gap - No Legal Basis", IF(AND(D6319="Consent (GDPR Art. 6(1)(a))", I6319="Not Captured"), "Gap - Invalid Consent", IF(AND(D6319="Legitimate Interest (GDPR Art. 6(1)(f))", L6319=""), "Gap - Missing LIA", IF(AND(G6319="Yes", H6319=""), "Gap - Missing Art. 9 Basis", IF(OR(I6319="Invalid - Not Freely Given", I6319="Invalid - Not Specific", I6319="Invalid - Not Informed", I6319="Invalid - Ambiguous"), "Gap - Invalid Consent", "Compliant")))))</f>
        <v/>
      </c>
      <c r="O6319" s="7" t="n"/>
    </row>
    <row r="6320">
      <c r="A6320" s="7" t="n"/>
      <c r="B6320" s="7" t="n"/>
      <c r="C6320" s="7" t="n"/>
      <c r="D6320" s="7" t="n"/>
      <c r="E6320" s="7" t="n"/>
      <c r="F6320" s="7" t="n"/>
      <c r="G6320" s="7" t="n"/>
      <c r="H6320" s="7" t="n"/>
      <c r="I6320" s="7" t="n"/>
      <c r="J6320" s="7" t="n"/>
      <c r="K6320">
        <f>IF(D6320="Legitimate Interest (GDPR Art. 6(1)(f))", "Yes / Required (Sheet 3)", "")</f>
        <v/>
      </c>
      <c r="L6320" s="7" t="n"/>
      <c r="M6320" s="7" t="n"/>
      <c r="N6320">
        <f>IF(D6320="", "Gap - No Legal Basis", IF(AND(D6320="Consent (GDPR Art. 6(1)(a))", I6320="Not Captured"), "Gap - Invalid Consent", IF(AND(D6320="Legitimate Interest (GDPR Art. 6(1)(f))", L6320=""), "Gap - Missing LIA", IF(AND(G6320="Yes", H6320=""), "Gap - Missing Art. 9 Basis", IF(OR(I6320="Invalid - Not Freely Given", I6320="Invalid - Not Specific", I6320="Invalid - Not Informed", I6320="Invalid - Ambiguous"), "Gap - Invalid Consent", "Compliant")))))</f>
        <v/>
      </c>
      <c r="O6320" s="7" t="n"/>
    </row>
    <row r="6321">
      <c r="A6321" s="7" t="n"/>
      <c r="B6321" s="7" t="n"/>
      <c r="C6321" s="7" t="n"/>
      <c r="D6321" s="7" t="n"/>
      <c r="E6321" s="7" t="n"/>
      <c r="F6321" s="7" t="n"/>
      <c r="G6321" s="7" t="n"/>
      <c r="H6321" s="7" t="n"/>
      <c r="I6321" s="7" t="n"/>
      <c r="J6321" s="7" t="n"/>
      <c r="K6321">
        <f>IF(D6321="Legitimate Interest (GDPR Art. 6(1)(f))", "Yes / Required (Sheet 3)", "")</f>
        <v/>
      </c>
      <c r="L6321" s="7" t="n"/>
      <c r="M6321" s="7" t="n"/>
      <c r="N6321">
        <f>IF(D6321="", "Gap - No Legal Basis", IF(AND(D6321="Consent (GDPR Art. 6(1)(a))", I6321="Not Captured"), "Gap - Invalid Consent", IF(AND(D6321="Legitimate Interest (GDPR Art. 6(1)(f))", L6321=""), "Gap - Missing LIA", IF(AND(G6321="Yes", H6321=""), "Gap - Missing Art. 9 Basis", IF(OR(I6321="Invalid - Not Freely Given", I6321="Invalid - Not Specific", I6321="Invalid - Not Informed", I6321="Invalid - Ambiguous"), "Gap - Invalid Consent", "Compliant")))))</f>
        <v/>
      </c>
      <c r="O6321" s="7" t="n"/>
    </row>
    <row r="6322">
      <c r="A6322" s="7" t="n"/>
      <c r="B6322" s="7" t="n"/>
      <c r="C6322" s="7" t="n"/>
      <c r="D6322" s="7" t="n"/>
      <c r="E6322" s="7" t="n"/>
      <c r="F6322" s="7" t="n"/>
      <c r="G6322" s="7" t="n"/>
      <c r="H6322" s="7" t="n"/>
      <c r="I6322" s="7" t="n"/>
      <c r="J6322" s="7" t="n"/>
      <c r="K6322">
        <f>IF(D6322="Legitimate Interest (GDPR Art. 6(1)(f))", "Yes / Required (Sheet 3)", "")</f>
        <v/>
      </c>
      <c r="L6322" s="7" t="n"/>
      <c r="M6322" s="7" t="n"/>
      <c r="N6322">
        <f>IF(D6322="", "Gap - No Legal Basis", IF(AND(D6322="Consent (GDPR Art. 6(1)(a))", I6322="Not Captured"), "Gap - Invalid Consent", IF(AND(D6322="Legitimate Interest (GDPR Art. 6(1)(f))", L6322=""), "Gap - Missing LIA", IF(AND(G6322="Yes", H6322=""), "Gap - Missing Art. 9 Basis", IF(OR(I6322="Invalid - Not Freely Given", I6322="Invalid - Not Specific", I6322="Invalid - Not Informed", I6322="Invalid - Ambiguous"), "Gap - Invalid Consent", "Compliant")))))</f>
        <v/>
      </c>
      <c r="O6322" s="7" t="n"/>
    </row>
    <row r="6323">
      <c r="A6323" s="7" t="n"/>
      <c r="B6323" s="7" t="n"/>
      <c r="C6323" s="7" t="n"/>
      <c r="D6323" s="7" t="n"/>
      <c r="E6323" s="7" t="n"/>
      <c r="F6323" s="7" t="n"/>
      <c r="G6323" s="7" t="n"/>
      <c r="H6323" s="7" t="n"/>
      <c r="I6323" s="7" t="n"/>
      <c r="J6323" s="7" t="n"/>
      <c r="K6323">
        <f>IF(D6323="Legitimate Interest (GDPR Art. 6(1)(f))", "Yes / Required (Sheet 3)", "")</f>
        <v/>
      </c>
      <c r="L6323" s="7" t="n"/>
      <c r="M6323" s="7" t="n"/>
      <c r="N6323">
        <f>IF(D6323="", "Gap - No Legal Basis", IF(AND(D6323="Consent (GDPR Art. 6(1)(a))", I6323="Not Captured"), "Gap - Invalid Consent", IF(AND(D6323="Legitimate Interest (GDPR Art. 6(1)(f))", L6323=""), "Gap - Missing LIA", IF(AND(G6323="Yes", H6323=""), "Gap - Missing Art. 9 Basis", IF(OR(I6323="Invalid - Not Freely Given", I6323="Invalid - Not Specific", I6323="Invalid - Not Informed", I6323="Invalid - Ambiguous"), "Gap - Invalid Consent", "Compliant")))))</f>
        <v/>
      </c>
      <c r="O6323" s="7" t="n"/>
    </row>
    <row r="6324">
      <c r="A6324" s="7" t="n"/>
      <c r="B6324" s="7" t="n"/>
      <c r="C6324" s="7" t="n"/>
      <c r="D6324" s="7" t="n"/>
      <c r="E6324" s="7" t="n"/>
      <c r="F6324" s="7" t="n"/>
      <c r="G6324" s="7" t="n"/>
      <c r="H6324" s="7" t="n"/>
      <c r="I6324" s="7" t="n"/>
      <c r="J6324" s="7" t="n"/>
      <c r="K6324">
        <f>IF(D6324="Legitimate Interest (GDPR Art. 6(1)(f))", "Yes / Required (Sheet 3)", "")</f>
        <v/>
      </c>
      <c r="L6324" s="7" t="n"/>
      <c r="M6324" s="7" t="n"/>
      <c r="N6324">
        <f>IF(D6324="", "Gap - No Legal Basis", IF(AND(D6324="Consent (GDPR Art. 6(1)(a))", I6324="Not Captured"), "Gap - Invalid Consent", IF(AND(D6324="Legitimate Interest (GDPR Art. 6(1)(f))", L6324=""), "Gap - Missing LIA", IF(AND(G6324="Yes", H6324=""), "Gap - Missing Art. 9 Basis", IF(OR(I6324="Invalid - Not Freely Given", I6324="Invalid - Not Specific", I6324="Invalid - Not Informed", I6324="Invalid - Ambiguous"), "Gap - Invalid Consent", "Compliant")))))</f>
        <v/>
      </c>
      <c r="O6324" s="7" t="n"/>
    </row>
    <row r="6325">
      <c r="A6325" s="7" t="n"/>
      <c r="B6325" s="7" t="n"/>
      <c r="C6325" s="7" t="n"/>
      <c r="D6325" s="7" t="n"/>
      <c r="E6325" s="7" t="n"/>
      <c r="F6325" s="7" t="n"/>
      <c r="G6325" s="7" t="n"/>
      <c r="H6325" s="7" t="n"/>
      <c r="I6325" s="7" t="n"/>
      <c r="J6325" s="7" t="n"/>
      <c r="K6325">
        <f>IF(D6325="Legitimate Interest (GDPR Art. 6(1)(f))", "Yes / Required (Sheet 3)", "")</f>
        <v/>
      </c>
      <c r="L6325" s="7" t="n"/>
      <c r="M6325" s="7" t="n"/>
      <c r="N6325">
        <f>IF(D6325="", "Gap - No Legal Basis", IF(AND(D6325="Consent (GDPR Art. 6(1)(a))", I6325="Not Captured"), "Gap - Invalid Consent", IF(AND(D6325="Legitimate Interest (GDPR Art. 6(1)(f))", L6325=""), "Gap - Missing LIA", IF(AND(G6325="Yes", H6325=""), "Gap - Missing Art. 9 Basis", IF(OR(I6325="Invalid - Not Freely Given", I6325="Invalid - Not Specific", I6325="Invalid - Not Informed", I6325="Invalid - Ambiguous"), "Gap - Invalid Consent", "Compliant")))))</f>
        <v/>
      </c>
      <c r="O6325" s="7" t="n"/>
    </row>
    <row r="6326">
      <c r="A6326" s="7" t="n"/>
      <c r="B6326" s="7" t="n"/>
      <c r="C6326" s="7" t="n"/>
      <c r="D6326" s="7" t="n"/>
      <c r="E6326" s="7" t="n"/>
      <c r="F6326" s="7" t="n"/>
      <c r="G6326" s="7" t="n"/>
      <c r="H6326" s="7" t="n"/>
      <c r="I6326" s="7" t="n"/>
      <c r="J6326" s="7" t="n"/>
      <c r="K6326">
        <f>IF(D6326="Legitimate Interest (GDPR Art. 6(1)(f))", "Yes / Required (Sheet 3)", "")</f>
        <v/>
      </c>
      <c r="L6326" s="7" t="n"/>
      <c r="M6326" s="7" t="n"/>
      <c r="N6326">
        <f>IF(D6326="", "Gap - No Legal Basis", IF(AND(D6326="Consent (GDPR Art. 6(1)(a))", I6326="Not Captured"), "Gap - Invalid Consent", IF(AND(D6326="Legitimate Interest (GDPR Art. 6(1)(f))", L6326=""), "Gap - Missing LIA", IF(AND(G6326="Yes", H6326=""), "Gap - Missing Art. 9 Basis", IF(OR(I6326="Invalid - Not Freely Given", I6326="Invalid - Not Specific", I6326="Invalid - Not Informed", I6326="Invalid - Ambiguous"), "Gap - Invalid Consent", "Compliant")))))</f>
        <v/>
      </c>
      <c r="O6326" s="7" t="n"/>
    </row>
    <row r="6327">
      <c r="A6327" s="7" t="n"/>
      <c r="B6327" s="7" t="n"/>
      <c r="C6327" s="7" t="n"/>
      <c r="D6327" s="7" t="n"/>
      <c r="E6327" s="7" t="n"/>
      <c r="F6327" s="7" t="n"/>
      <c r="G6327" s="7" t="n"/>
      <c r="H6327" s="7" t="n"/>
      <c r="I6327" s="7" t="n"/>
      <c r="J6327" s="7" t="n"/>
      <c r="K6327">
        <f>IF(D6327="Legitimate Interest (GDPR Art. 6(1)(f))", "Yes / Required (Sheet 3)", "")</f>
        <v/>
      </c>
      <c r="L6327" s="7" t="n"/>
      <c r="M6327" s="7" t="n"/>
      <c r="N6327">
        <f>IF(D6327="", "Gap - No Legal Basis", IF(AND(D6327="Consent (GDPR Art. 6(1)(a))", I6327="Not Captured"), "Gap - Invalid Consent", IF(AND(D6327="Legitimate Interest (GDPR Art. 6(1)(f))", L6327=""), "Gap - Missing LIA", IF(AND(G6327="Yes", H6327=""), "Gap - Missing Art. 9 Basis", IF(OR(I6327="Invalid - Not Freely Given", I6327="Invalid - Not Specific", I6327="Invalid - Not Informed", I6327="Invalid - Ambiguous"), "Gap - Invalid Consent", "Compliant")))))</f>
        <v/>
      </c>
      <c r="O6327" s="7" t="n"/>
    </row>
    <row r="6328">
      <c r="A6328" s="7" t="n"/>
      <c r="B6328" s="7" t="n"/>
      <c r="C6328" s="7" t="n"/>
      <c r="D6328" s="7" t="n"/>
      <c r="E6328" s="7" t="n"/>
      <c r="F6328" s="7" t="n"/>
      <c r="G6328" s="7" t="n"/>
      <c r="H6328" s="7" t="n"/>
      <c r="I6328" s="7" t="n"/>
      <c r="J6328" s="7" t="n"/>
      <c r="K6328">
        <f>IF(D6328="Legitimate Interest (GDPR Art. 6(1)(f))", "Yes / Required (Sheet 3)", "")</f>
        <v/>
      </c>
      <c r="L6328" s="7" t="n"/>
      <c r="M6328" s="7" t="n"/>
      <c r="N6328">
        <f>IF(D6328="", "Gap - No Legal Basis", IF(AND(D6328="Consent (GDPR Art. 6(1)(a))", I6328="Not Captured"), "Gap - Invalid Consent", IF(AND(D6328="Legitimate Interest (GDPR Art. 6(1)(f))", L6328=""), "Gap - Missing LIA", IF(AND(G6328="Yes", H6328=""), "Gap - Missing Art. 9 Basis", IF(OR(I6328="Invalid - Not Freely Given", I6328="Invalid - Not Specific", I6328="Invalid - Not Informed", I6328="Invalid - Ambiguous"), "Gap - Invalid Consent", "Compliant")))))</f>
        <v/>
      </c>
      <c r="O6328" s="7" t="n"/>
    </row>
    <row r="6329">
      <c r="A6329" s="7" t="n"/>
      <c r="B6329" s="7" t="n"/>
      <c r="C6329" s="7" t="n"/>
      <c r="D6329" s="7" t="n"/>
      <c r="E6329" s="7" t="n"/>
      <c r="F6329" s="7" t="n"/>
      <c r="G6329" s="7" t="n"/>
      <c r="H6329" s="7" t="n"/>
      <c r="I6329" s="7" t="n"/>
      <c r="J6329" s="7" t="n"/>
      <c r="K6329">
        <f>IF(D6329="Legitimate Interest (GDPR Art. 6(1)(f))", "Yes / Required (Sheet 3)", "")</f>
        <v/>
      </c>
      <c r="L6329" s="7" t="n"/>
      <c r="M6329" s="7" t="n"/>
      <c r="N6329">
        <f>IF(D6329="", "Gap - No Legal Basis", IF(AND(D6329="Consent (GDPR Art. 6(1)(a))", I6329="Not Captured"), "Gap - Invalid Consent", IF(AND(D6329="Legitimate Interest (GDPR Art. 6(1)(f))", L6329=""), "Gap - Missing LIA", IF(AND(G6329="Yes", H6329=""), "Gap - Missing Art. 9 Basis", IF(OR(I6329="Invalid - Not Freely Given", I6329="Invalid - Not Specific", I6329="Invalid - Not Informed", I6329="Invalid - Ambiguous"), "Gap - Invalid Consent", "Compliant")))))</f>
        <v/>
      </c>
      <c r="O6329" s="7" t="n"/>
    </row>
    <row r="6330">
      <c r="A6330" s="7" t="n"/>
      <c r="B6330" s="7" t="n"/>
      <c r="C6330" s="7" t="n"/>
      <c r="D6330" s="7" t="n"/>
      <c r="E6330" s="7" t="n"/>
      <c r="F6330" s="7" t="n"/>
      <c r="G6330" s="7" t="n"/>
      <c r="H6330" s="7" t="n"/>
      <c r="I6330" s="7" t="n"/>
      <c r="J6330" s="7" t="n"/>
      <c r="K6330">
        <f>IF(D6330="Legitimate Interest (GDPR Art. 6(1)(f))", "Yes / Required (Sheet 3)", "")</f>
        <v/>
      </c>
      <c r="L6330" s="7" t="n"/>
      <c r="M6330" s="7" t="n"/>
      <c r="N6330">
        <f>IF(D6330="", "Gap - No Legal Basis", IF(AND(D6330="Consent (GDPR Art. 6(1)(a))", I6330="Not Captured"), "Gap - Invalid Consent", IF(AND(D6330="Legitimate Interest (GDPR Art. 6(1)(f))", L6330=""), "Gap - Missing LIA", IF(AND(G6330="Yes", H6330=""), "Gap - Missing Art. 9 Basis", IF(OR(I6330="Invalid - Not Freely Given", I6330="Invalid - Not Specific", I6330="Invalid - Not Informed", I6330="Invalid - Ambiguous"), "Gap - Invalid Consent", "Compliant")))))</f>
        <v/>
      </c>
      <c r="O6330" s="7" t="n"/>
    </row>
    <row r="6331">
      <c r="A6331" s="7" t="n"/>
      <c r="B6331" s="7" t="n"/>
      <c r="C6331" s="7" t="n"/>
      <c r="D6331" s="7" t="n"/>
      <c r="E6331" s="7" t="n"/>
      <c r="F6331" s="7" t="n"/>
      <c r="G6331" s="7" t="n"/>
      <c r="H6331" s="7" t="n"/>
      <c r="I6331" s="7" t="n"/>
      <c r="J6331" s="7" t="n"/>
      <c r="K6331">
        <f>IF(D6331="Legitimate Interest (GDPR Art. 6(1)(f))", "Yes / Required (Sheet 3)", "")</f>
        <v/>
      </c>
      <c r="L6331" s="7" t="n"/>
      <c r="M6331" s="7" t="n"/>
      <c r="N6331">
        <f>IF(D6331="", "Gap - No Legal Basis", IF(AND(D6331="Consent (GDPR Art. 6(1)(a))", I6331="Not Captured"), "Gap - Invalid Consent", IF(AND(D6331="Legitimate Interest (GDPR Art. 6(1)(f))", L6331=""), "Gap - Missing LIA", IF(AND(G6331="Yes", H6331=""), "Gap - Missing Art. 9 Basis", IF(OR(I6331="Invalid - Not Freely Given", I6331="Invalid - Not Specific", I6331="Invalid - Not Informed", I6331="Invalid - Ambiguous"), "Gap - Invalid Consent", "Compliant")))))</f>
        <v/>
      </c>
      <c r="O6331" s="7" t="n"/>
    </row>
    <row r="6332">
      <c r="A6332" s="7" t="n"/>
      <c r="B6332" s="7" t="n"/>
      <c r="C6332" s="7" t="n"/>
      <c r="D6332" s="7" t="n"/>
      <c r="E6332" s="7" t="n"/>
      <c r="F6332" s="7" t="n"/>
      <c r="G6332" s="7" t="n"/>
      <c r="H6332" s="7" t="n"/>
      <c r="I6332" s="7" t="n"/>
      <c r="J6332" s="7" t="n"/>
      <c r="K6332">
        <f>IF(D6332="Legitimate Interest (GDPR Art. 6(1)(f))", "Yes / Required (Sheet 3)", "")</f>
        <v/>
      </c>
      <c r="L6332" s="7" t="n"/>
      <c r="M6332" s="7" t="n"/>
      <c r="N6332">
        <f>IF(D6332="", "Gap - No Legal Basis", IF(AND(D6332="Consent (GDPR Art. 6(1)(a))", I6332="Not Captured"), "Gap - Invalid Consent", IF(AND(D6332="Legitimate Interest (GDPR Art. 6(1)(f))", L6332=""), "Gap - Missing LIA", IF(AND(G6332="Yes", H6332=""), "Gap - Missing Art. 9 Basis", IF(OR(I6332="Invalid - Not Freely Given", I6332="Invalid - Not Specific", I6332="Invalid - Not Informed", I6332="Invalid - Ambiguous"), "Gap - Invalid Consent", "Compliant")))))</f>
        <v/>
      </c>
      <c r="O6332" s="7" t="n"/>
    </row>
    <row r="6333">
      <c r="A6333" s="7" t="n"/>
      <c r="B6333" s="7" t="n"/>
      <c r="C6333" s="7" t="n"/>
      <c r="D6333" s="7" t="n"/>
      <c r="E6333" s="7" t="n"/>
      <c r="F6333" s="7" t="n"/>
      <c r="G6333" s="7" t="n"/>
      <c r="H6333" s="7" t="n"/>
      <c r="I6333" s="7" t="n"/>
      <c r="J6333" s="7" t="n"/>
      <c r="K6333">
        <f>IF(D6333="Legitimate Interest (GDPR Art. 6(1)(f))", "Yes / Required (Sheet 3)", "")</f>
        <v/>
      </c>
      <c r="L6333" s="7" t="n"/>
      <c r="M6333" s="7" t="n"/>
      <c r="N6333">
        <f>IF(D6333="", "Gap - No Legal Basis", IF(AND(D6333="Consent (GDPR Art. 6(1)(a))", I6333="Not Captured"), "Gap - Invalid Consent", IF(AND(D6333="Legitimate Interest (GDPR Art. 6(1)(f))", L6333=""), "Gap - Missing LIA", IF(AND(G6333="Yes", H6333=""), "Gap - Missing Art. 9 Basis", IF(OR(I6333="Invalid - Not Freely Given", I6333="Invalid - Not Specific", I6333="Invalid - Not Informed", I6333="Invalid - Ambiguous"), "Gap - Invalid Consent", "Compliant")))))</f>
        <v/>
      </c>
      <c r="O6333" s="7" t="n"/>
    </row>
    <row r="6334">
      <c r="A6334" s="7" t="n"/>
      <c r="B6334" s="7" t="n"/>
      <c r="C6334" s="7" t="n"/>
      <c r="D6334" s="7" t="n"/>
      <c r="E6334" s="7" t="n"/>
      <c r="F6334" s="7" t="n"/>
      <c r="G6334" s="7" t="n"/>
      <c r="H6334" s="7" t="n"/>
      <c r="I6334" s="7" t="n"/>
      <c r="J6334" s="7" t="n"/>
      <c r="K6334">
        <f>IF(D6334="Legitimate Interest (GDPR Art. 6(1)(f))", "Yes / Required (Sheet 3)", "")</f>
        <v/>
      </c>
      <c r="L6334" s="7" t="n"/>
      <c r="M6334" s="7" t="n"/>
      <c r="N6334">
        <f>IF(D6334="", "Gap - No Legal Basis", IF(AND(D6334="Consent (GDPR Art. 6(1)(a))", I6334="Not Captured"), "Gap - Invalid Consent", IF(AND(D6334="Legitimate Interest (GDPR Art. 6(1)(f))", L6334=""), "Gap - Missing LIA", IF(AND(G6334="Yes", H6334=""), "Gap - Missing Art. 9 Basis", IF(OR(I6334="Invalid - Not Freely Given", I6334="Invalid - Not Specific", I6334="Invalid - Not Informed", I6334="Invalid - Ambiguous"), "Gap - Invalid Consent", "Compliant")))))</f>
        <v/>
      </c>
      <c r="O6334" s="7" t="n"/>
    </row>
    <row r="6335">
      <c r="A6335" s="7" t="n"/>
      <c r="B6335" s="7" t="n"/>
      <c r="C6335" s="7" t="n"/>
      <c r="D6335" s="7" t="n"/>
      <c r="E6335" s="7" t="n"/>
      <c r="F6335" s="7" t="n"/>
      <c r="G6335" s="7" t="n"/>
      <c r="H6335" s="7" t="n"/>
      <c r="I6335" s="7" t="n"/>
      <c r="J6335" s="7" t="n"/>
      <c r="K6335">
        <f>IF(D6335="Legitimate Interest (GDPR Art. 6(1)(f))", "Yes / Required (Sheet 3)", "")</f>
        <v/>
      </c>
      <c r="L6335" s="7" t="n"/>
      <c r="M6335" s="7" t="n"/>
      <c r="N6335">
        <f>IF(D6335="", "Gap - No Legal Basis", IF(AND(D6335="Consent (GDPR Art. 6(1)(a))", I6335="Not Captured"), "Gap - Invalid Consent", IF(AND(D6335="Legitimate Interest (GDPR Art. 6(1)(f))", L6335=""), "Gap - Missing LIA", IF(AND(G6335="Yes", H6335=""), "Gap - Missing Art. 9 Basis", IF(OR(I6335="Invalid - Not Freely Given", I6335="Invalid - Not Specific", I6335="Invalid - Not Informed", I6335="Invalid - Ambiguous"), "Gap - Invalid Consent", "Compliant")))))</f>
        <v/>
      </c>
      <c r="O6335" s="7" t="n"/>
    </row>
    <row r="6336">
      <c r="A6336" s="7" t="n"/>
      <c r="B6336" s="7" t="n"/>
      <c r="C6336" s="7" t="n"/>
      <c r="D6336" s="7" t="n"/>
      <c r="E6336" s="7" t="n"/>
      <c r="F6336" s="7" t="n"/>
      <c r="G6336" s="7" t="n"/>
      <c r="H6336" s="7" t="n"/>
      <c r="I6336" s="7" t="n"/>
      <c r="J6336" s="7" t="n"/>
      <c r="K6336">
        <f>IF(D6336="Legitimate Interest (GDPR Art. 6(1)(f))", "Yes / Required (Sheet 3)", "")</f>
        <v/>
      </c>
      <c r="L6336" s="7" t="n"/>
      <c r="M6336" s="7" t="n"/>
      <c r="N6336">
        <f>IF(D6336="", "Gap - No Legal Basis", IF(AND(D6336="Consent (GDPR Art. 6(1)(a))", I6336="Not Captured"), "Gap - Invalid Consent", IF(AND(D6336="Legitimate Interest (GDPR Art. 6(1)(f))", L6336=""), "Gap - Missing LIA", IF(AND(G6336="Yes", H6336=""), "Gap - Missing Art. 9 Basis", IF(OR(I6336="Invalid - Not Freely Given", I6336="Invalid - Not Specific", I6336="Invalid - Not Informed", I6336="Invalid - Ambiguous"), "Gap - Invalid Consent", "Compliant")))))</f>
        <v/>
      </c>
      <c r="O6336" s="7" t="n"/>
    </row>
    <row r="6337">
      <c r="A6337" s="7" t="n"/>
      <c r="B6337" s="7" t="n"/>
      <c r="C6337" s="7" t="n"/>
      <c r="D6337" s="7" t="n"/>
      <c r="E6337" s="7" t="n"/>
      <c r="F6337" s="7" t="n"/>
      <c r="G6337" s="7" t="n"/>
      <c r="H6337" s="7" t="n"/>
      <c r="I6337" s="7" t="n"/>
      <c r="J6337" s="7" t="n"/>
      <c r="K6337">
        <f>IF(D6337="Legitimate Interest (GDPR Art. 6(1)(f))", "Yes / Required (Sheet 3)", "")</f>
        <v/>
      </c>
      <c r="L6337" s="7" t="n"/>
      <c r="M6337" s="7" t="n"/>
      <c r="N6337">
        <f>IF(D6337="", "Gap - No Legal Basis", IF(AND(D6337="Consent (GDPR Art. 6(1)(a))", I6337="Not Captured"), "Gap - Invalid Consent", IF(AND(D6337="Legitimate Interest (GDPR Art. 6(1)(f))", L6337=""), "Gap - Missing LIA", IF(AND(G6337="Yes", H6337=""), "Gap - Missing Art. 9 Basis", IF(OR(I6337="Invalid - Not Freely Given", I6337="Invalid - Not Specific", I6337="Invalid - Not Informed", I6337="Invalid - Ambiguous"), "Gap - Invalid Consent", "Compliant")))))</f>
        <v/>
      </c>
      <c r="O6337" s="7" t="n"/>
    </row>
    <row r="6338">
      <c r="A6338" s="7" t="n"/>
      <c r="B6338" s="7" t="n"/>
      <c r="C6338" s="7" t="n"/>
      <c r="D6338" s="7" t="n"/>
      <c r="E6338" s="7" t="n"/>
      <c r="F6338" s="7" t="n"/>
      <c r="G6338" s="7" t="n"/>
      <c r="H6338" s="7" t="n"/>
      <c r="I6338" s="7" t="n"/>
      <c r="J6338" s="7" t="n"/>
      <c r="K6338">
        <f>IF(D6338="Legitimate Interest (GDPR Art. 6(1)(f))", "Yes / Required (Sheet 3)", "")</f>
        <v/>
      </c>
      <c r="L6338" s="7" t="n"/>
      <c r="M6338" s="7" t="n"/>
      <c r="N6338">
        <f>IF(D6338="", "Gap - No Legal Basis", IF(AND(D6338="Consent (GDPR Art. 6(1)(a))", I6338="Not Captured"), "Gap - Invalid Consent", IF(AND(D6338="Legitimate Interest (GDPR Art. 6(1)(f))", L6338=""), "Gap - Missing LIA", IF(AND(G6338="Yes", H6338=""), "Gap - Missing Art. 9 Basis", IF(OR(I6338="Invalid - Not Freely Given", I6338="Invalid - Not Specific", I6338="Invalid - Not Informed", I6338="Invalid - Ambiguous"), "Gap - Invalid Consent", "Compliant")))))</f>
        <v/>
      </c>
      <c r="O6338" s="7" t="n"/>
    </row>
    <row r="6339">
      <c r="A6339" s="7" t="n"/>
      <c r="B6339" s="7" t="n"/>
      <c r="C6339" s="7" t="n"/>
      <c r="D6339" s="7" t="n"/>
      <c r="E6339" s="7" t="n"/>
      <c r="F6339" s="7" t="n"/>
      <c r="G6339" s="7" t="n"/>
      <c r="H6339" s="7" t="n"/>
      <c r="I6339" s="7" t="n"/>
      <c r="J6339" s="7" t="n"/>
      <c r="K6339">
        <f>IF(D6339="Legitimate Interest (GDPR Art. 6(1)(f))", "Yes / Required (Sheet 3)", "")</f>
        <v/>
      </c>
      <c r="L6339" s="7" t="n"/>
      <c r="M6339" s="7" t="n"/>
      <c r="N6339">
        <f>IF(D6339="", "Gap - No Legal Basis", IF(AND(D6339="Consent (GDPR Art. 6(1)(a))", I6339="Not Captured"), "Gap - Invalid Consent", IF(AND(D6339="Legitimate Interest (GDPR Art. 6(1)(f))", L6339=""), "Gap - Missing LIA", IF(AND(G6339="Yes", H6339=""), "Gap - Missing Art. 9 Basis", IF(OR(I6339="Invalid - Not Freely Given", I6339="Invalid - Not Specific", I6339="Invalid - Not Informed", I6339="Invalid - Ambiguous"), "Gap - Invalid Consent", "Compliant")))))</f>
        <v/>
      </c>
      <c r="O6339" s="7" t="n"/>
    </row>
    <row r="6340">
      <c r="A6340" s="7" t="n"/>
      <c r="B6340" s="7" t="n"/>
      <c r="C6340" s="7" t="n"/>
      <c r="D6340" s="7" t="n"/>
      <c r="E6340" s="7" t="n"/>
      <c r="F6340" s="7" t="n"/>
      <c r="G6340" s="7" t="n"/>
      <c r="H6340" s="7" t="n"/>
      <c r="I6340" s="7" t="n"/>
      <c r="J6340" s="7" t="n"/>
      <c r="K6340">
        <f>IF(D6340="Legitimate Interest (GDPR Art. 6(1)(f))", "Yes / Required (Sheet 3)", "")</f>
        <v/>
      </c>
      <c r="L6340" s="7" t="n"/>
      <c r="M6340" s="7" t="n"/>
      <c r="N6340">
        <f>IF(D6340="", "Gap - No Legal Basis", IF(AND(D6340="Consent (GDPR Art. 6(1)(a))", I6340="Not Captured"), "Gap - Invalid Consent", IF(AND(D6340="Legitimate Interest (GDPR Art. 6(1)(f))", L6340=""), "Gap - Missing LIA", IF(AND(G6340="Yes", H6340=""), "Gap - Missing Art. 9 Basis", IF(OR(I6340="Invalid - Not Freely Given", I6340="Invalid - Not Specific", I6340="Invalid - Not Informed", I6340="Invalid - Ambiguous"), "Gap - Invalid Consent", "Compliant")))))</f>
        <v/>
      </c>
      <c r="O6340" s="7" t="n"/>
    </row>
    <row r="6341">
      <c r="A6341" s="7" t="n"/>
      <c r="B6341" s="7" t="n"/>
      <c r="C6341" s="7" t="n"/>
      <c r="D6341" s="7" t="n"/>
      <c r="E6341" s="7" t="n"/>
      <c r="F6341" s="7" t="n"/>
      <c r="G6341" s="7" t="n"/>
      <c r="H6341" s="7" t="n"/>
      <c r="I6341" s="7" t="n"/>
      <c r="J6341" s="7" t="n"/>
      <c r="K6341">
        <f>IF(D6341="Legitimate Interest (GDPR Art. 6(1)(f))", "Yes / Required (Sheet 3)", "")</f>
        <v/>
      </c>
      <c r="L6341" s="7" t="n"/>
      <c r="M6341" s="7" t="n"/>
      <c r="N6341">
        <f>IF(D6341="", "Gap - No Legal Basis", IF(AND(D6341="Consent (GDPR Art. 6(1)(a))", I6341="Not Captured"), "Gap - Invalid Consent", IF(AND(D6341="Legitimate Interest (GDPR Art. 6(1)(f))", L6341=""), "Gap - Missing LIA", IF(AND(G6341="Yes", H6341=""), "Gap - Missing Art. 9 Basis", IF(OR(I6341="Invalid - Not Freely Given", I6341="Invalid - Not Specific", I6341="Invalid - Not Informed", I6341="Invalid - Ambiguous"), "Gap - Invalid Consent", "Compliant")))))</f>
        <v/>
      </c>
      <c r="O6341" s="7" t="n"/>
    </row>
    <row r="6342">
      <c r="A6342" s="7" t="n"/>
      <c r="B6342" s="7" t="n"/>
      <c r="C6342" s="7" t="n"/>
      <c r="D6342" s="7" t="n"/>
      <c r="E6342" s="7" t="n"/>
      <c r="F6342" s="7" t="n"/>
      <c r="G6342" s="7" t="n"/>
      <c r="H6342" s="7" t="n"/>
      <c r="I6342" s="7" t="n"/>
      <c r="J6342" s="7" t="n"/>
      <c r="K6342">
        <f>IF(D6342="Legitimate Interest (GDPR Art. 6(1)(f))", "Yes / Required (Sheet 3)", "")</f>
        <v/>
      </c>
      <c r="L6342" s="7" t="n"/>
      <c r="M6342" s="7" t="n"/>
      <c r="N6342">
        <f>IF(D6342="", "Gap - No Legal Basis", IF(AND(D6342="Consent (GDPR Art. 6(1)(a))", I6342="Not Captured"), "Gap - Invalid Consent", IF(AND(D6342="Legitimate Interest (GDPR Art. 6(1)(f))", L6342=""), "Gap - Missing LIA", IF(AND(G6342="Yes", H6342=""), "Gap - Missing Art. 9 Basis", IF(OR(I6342="Invalid - Not Freely Given", I6342="Invalid - Not Specific", I6342="Invalid - Not Informed", I6342="Invalid - Ambiguous"), "Gap - Invalid Consent", "Compliant")))))</f>
        <v/>
      </c>
      <c r="O6342" s="7" t="n"/>
    </row>
    <row r="6343">
      <c r="A6343" s="7" t="n"/>
      <c r="B6343" s="7" t="n"/>
      <c r="C6343" s="7" t="n"/>
      <c r="D6343" s="7" t="n"/>
      <c r="E6343" s="7" t="n"/>
      <c r="F6343" s="7" t="n"/>
      <c r="G6343" s="7" t="n"/>
      <c r="H6343" s="7" t="n"/>
      <c r="I6343" s="7" t="n"/>
      <c r="J6343" s="7" t="n"/>
      <c r="K6343">
        <f>IF(D6343="Legitimate Interest (GDPR Art. 6(1)(f))", "Yes / Required (Sheet 3)", "")</f>
        <v/>
      </c>
      <c r="L6343" s="7" t="n"/>
      <c r="M6343" s="7" t="n"/>
      <c r="N6343">
        <f>IF(D6343="", "Gap - No Legal Basis", IF(AND(D6343="Consent (GDPR Art. 6(1)(a))", I6343="Not Captured"), "Gap - Invalid Consent", IF(AND(D6343="Legitimate Interest (GDPR Art. 6(1)(f))", L6343=""), "Gap - Missing LIA", IF(AND(G6343="Yes", H6343=""), "Gap - Missing Art. 9 Basis", IF(OR(I6343="Invalid - Not Freely Given", I6343="Invalid - Not Specific", I6343="Invalid - Not Informed", I6343="Invalid - Ambiguous"), "Gap - Invalid Consent", "Compliant")))))</f>
        <v/>
      </c>
      <c r="O6343" s="7" t="n"/>
    </row>
    <row r="6344">
      <c r="A6344" s="7" t="n"/>
      <c r="B6344" s="7" t="n"/>
      <c r="C6344" s="7" t="n"/>
      <c r="D6344" s="7" t="n"/>
      <c r="E6344" s="7" t="n"/>
      <c r="F6344" s="7" t="n"/>
      <c r="G6344" s="7" t="n"/>
      <c r="H6344" s="7" t="n"/>
      <c r="I6344" s="7" t="n"/>
      <c r="J6344" s="7" t="n"/>
      <c r="K6344">
        <f>IF(D6344="Legitimate Interest (GDPR Art. 6(1)(f))", "Yes / Required (Sheet 3)", "")</f>
        <v/>
      </c>
      <c r="L6344" s="7" t="n"/>
      <c r="M6344" s="7" t="n"/>
      <c r="N6344">
        <f>IF(D6344="", "Gap - No Legal Basis", IF(AND(D6344="Consent (GDPR Art. 6(1)(a))", I6344="Not Captured"), "Gap - Invalid Consent", IF(AND(D6344="Legitimate Interest (GDPR Art. 6(1)(f))", L6344=""), "Gap - Missing LIA", IF(AND(G6344="Yes", H6344=""), "Gap - Missing Art. 9 Basis", IF(OR(I6344="Invalid - Not Freely Given", I6344="Invalid - Not Specific", I6344="Invalid - Not Informed", I6344="Invalid - Ambiguous"), "Gap - Invalid Consent", "Compliant")))))</f>
        <v/>
      </c>
      <c r="O6344" s="7" t="n"/>
    </row>
    <row r="6345">
      <c r="A6345" s="7" t="n"/>
      <c r="B6345" s="7" t="n"/>
      <c r="C6345" s="7" t="n"/>
      <c r="D6345" s="7" t="n"/>
      <c r="E6345" s="7" t="n"/>
      <c r="F6345" s="7" t="n"/>
      <c r="G6345" s="7" t="n"/>
      <c r="H6345" s="7" t="n"/>
      <c r="I6345" s="7" t="n"/>
      <c r="J6345" s="7" t="n"/>
      <c r="K6345">
        <f>IF(D6345="Legitimate Interest (GDPR Art. 6(1)(f))", "Yes / Required (Sheet 3)", "")</f>
        <v/>
      </c>
      <c r="L6345" s="7" t="n"/>
      <c r="M6345" s="7" t="n"/>
      <c r="N6345">
        <f>IF(D6345="", "Gap - No Legal Basis", IF(AND(D6345="Consent (GDPR Art. 6(1)(a))", I6345="Not Captured"), "Gap - Invalid Consent", IF(AND(D6345="Legitimate Interest (GDPR Art. 6(1)(f))", L6345=""), "Gap - Missing LIA", IF(AND(G6345="Yes", H6345=""), "Gap - Missing Art. 9 Basis", IF(OR(I6345="Invalid - Not Freely Given", I6345="Invalid - Not Specific", I6345="Invalid - Not Informed", I6345="Invalid - Ambiguous"), "Gap - Invalid Consent", "Compliant")))))</f>
        <v/>
      </c>
      <c r="O6345" s="7" t="n"/>
    </row>
    <row r="6346">
      <c r="A6346" s="7" t="n"/>
      <c r="B6346" s="7" t="n"/>
      <c r="C6346" s="7" t="n"/>
      <c r="D6346" s="7" t="n"/>
      <c r="E6346" s="7" t="n"/>
      <c r="F6346" s="7" t="n"/>
      <c r="G6346" s="7" t="n"/>
      <c r="H6346" s="7" t="n"/>
      <c r="I6346" s="7" t="n"/>
      <c r="J6346" s="7" t="n"/>
      <c r="K6346">
        <f>IF(D6346="Legitimate Interest (GDPR Art. 6(1)(f))", "Yes / Required (Sheet 3)", "")</f>
        <v/>
      </c>
      <c r="L6346" s="7" t="n"/>
      <c r="M6346" s="7" t="n"/>
      <c r="N6346">
        <f>IF(D6346="", "Gap - No Legal Basis", IF(AND(D6346="Consent (GDPR Art. 6(1)(a))", I6346="Not Captured"), "Gap - Invalid Consent", IF(AND(D6346="Legitimate Interest (GDPR Art. 6(1)(f))", L6346=""), "Gap - Missing LIA", IF(AND(G6346="Yes", H6346=""), "Gap - Missing Art. 9 Basis", IF(OR(I6346="Invalid - Not Freely Given", I6346="Invalid - Not Specific", I6346="Invalid - Not Informed", I6346="Invalid - Ambiguous"), "Gap - Invalid Consent", "Compliant")))))</f>
        <v/>
      </c>
      <c r="O6346" s="7" t="n"/>
    </row>
    <row r="6347">
      <c r="A6347" s="7" t="n"/>
      <c r="B6347" s="7" t="n"/>
      <c r="C6347" s="7" t="n"/>
      <c r="D6347" s="7" t="n"/>
      <c r="E6347" s="7" t="n"/>
      <c r="F6347" s="7" t="n"/>
      <c r="G6347" s="7" t="n"/>
      <c r="H6347" s="7" t="n"/>
      <c r="I6347" s="7" t="n"/>
      <c r="J6347" s="7" t="n"/>
      <c r="K6347">
        <f>IF(D6347="Legitimate Interest (GDPR Art. 6(1)(f))", "Yes / Required (Sheet 3)", "")</f>
        <v/>
      </c>
      <c r="L6347" s="7" t="n"/>
      <c r="M6347" s="7" t="n"/>
      <c r="N6347">
        <f>IF(D6347="", "Gap - No Legal Basis", IF(AND(D6347="Consent (GDPR Art. 6(1)(a))", I6347="Not Captured"), "Gap - Invalid Consent", IF(AND(D6347="Legitimate Interest (GDPR Art. 6(1)(f))", L6347=""), "Gap - Missing LIA", IF(AND(G6347="Yes", H6347=""), "Gap - Missing Art. 9 Basis", IF(OR(I6347="Invalid - Not Freely Given", I6347="Invalid - Not Specific", I6347="Invalid - Not Informed", I6347="Invalid - Ambiguous"), "Gap - Invalid Consent", "Compliant")))))</f>
        <v/>
      </c>
      <c r="O6347" s="7" t="n"/>
    </row>
    <row r="6348">
      <c r="A6348" s="7" t="n"/>
      <c r="B6348" s="7" t="n"/>
      <c r="C6348" s="7" t="n"/>
      <c r="D6348" s="7" t="n"/>
      <c r="E6348" s="7" t="n"/>
      <c r="F6348" s="7" t="n"/>
      <c r="G6348" s="7" t="n"/>
      <c r="H6348" s="7" t="n"/>
      <c r="I6348" s="7" t="n"/>
      <c r="J6348" s="7" t="n"/>
      <c r="K6348">
        <f>IF(D6348="Legitimate Interest (GDPR Art. 6(1)(f))", "Yes / Required (Sheet 3)", "")</f>
        <v/>
      </c>
      <c r="L6348" s="7" t="n"/>
      <c r="M6348" s="7" t="n"/>
      <c r="N6348">
        <f>IF(D6348="", "Gap - No Legal Basis", IF(AND(D6348="Consent (GDPR Art. 6(1)(a))", I6348="Not Captured"), "Gap - Invalid Consent", IF(AND(D6348="Legitimate Interest (GDPR Art. 6(1)(f))", L6348=""), "Gap - Missing LIA", IF(AND(G6348="Yes", H6348=""), "Gap - Missing Art. 9 Basis", IF(OR(I6348="Invalid - Not Freely Given", I6348="Invalid - Not Specific", I6348="Invalid - Not Informed", I6348="Invalid - Ambiguous"), "Gap - Invalid Consent", "Compliant")))))</f>
        <v/>
      </c>
      <c r="O6348" s="7" t="n"/>
    </row>
    <row r="6349">
      <c r="A6349" s="7" t="n"/>
      <c r="B6349" s="7" t="n"/>
      <c r="C6349" s="7" t="n"/>
      <c r="D6349" s="7" t="n"/>
      <c r="E6349" s="7" t="n"/>
      <c r="F6349" s="7" t="n"/>
      <c r="G6349" s="7" t="n"/>
      <c r="H6349" s="7" t="n"/>
      <c r="I6349" s="7" t="n"/>
      <c r="J6349" s="7" t="n"/>
      <c r="K6349">
        <f>IF(D6349="Legitimate Interest (GDPR Art. 6(1)(f))", "Yes / Required (Sheet 3)", "")</f>
        <v/>
      </c>
      <c r="L6349" s="7" t="n"/>
      <c r="M6349" s="7" t="n"/>
      <c r="N6349">
        <f>IF(D6349="", "Gap - No Legal Basis", IF(AND(D6349="Consent (GDPR Art. 6(1)(a))", I6349="Not Captured"), "Gap - Invalid Consent", IF(AND(D6349="Legitimate Interest (GDPR Art. 6(1)(f))", L6349=""), "Gap - Missing LIA", IF(AND(G6349="Yes", H6349=""), "Gap - Missing Art. 9 Basis", IF(OR(I6349="Invalid - Not Freely Given", I6349="Invalid - Not Specific", I6349="Invalid - Not Informed", I6349="Invalid - Ambiguous"), "Gap - Invalid Consent", "Compliant")))))</f>
        <v/>
      </c>
      <c r="O6349" s="7" t="n"/>
    </row>
    <row r="6350">
      <c r="A6350" s="7" t="n"/>
      <c r="B6350" s="7" t="n"/>
      <c r="C6350" s="7" t="n"/>
      <c r="D6350" s="7" t="n"/>
      <c r="E6350" s="7" t="n"/>
      <c r="F6350" s="7" t="n"/>
      <c r="G6350" s="7" t="n"/>
      <c r="H6350" s="7" t="n"/>
      <c r="I6350" s="7" t="n"/>
      <c r="J6350" s="7" t="n"/>
      <c r="K6350">
        <f>IF(D6350="Legitimate Interest (GDPR Art. 6(1)(f))", "Yes / Required (Sheet 3)", "")</f>
        <v/>
      </c>
      <c r="L6350" s="7" t="n"/>
      <c r="M6350" s="7" t="n"/>
      <c r="N6350">
        <f>IF(D6350="", "Gap - No Legal Basis", IF(AND(D6350="Consent (GDPR Art. 6(1)(a))", I6350="Not Captured"), "Gap - Invalid Consent", IF(AND(D6350="Legitimate Interest (GDPR Art. 6(1)(f))", L6350=""), "Gap - Missing LIA", IF(AND(G6350="Yes", H6350=""), "Gap - Missing Art. 9 Basis", IF(OR(I6350="Invalid - Not Freely Given", I6350="Invalid - Not Specific", I6350="Invalid - Not Informed", I6350="Invalid - Ambiguous"), "Gap - Invalid Consent", "Compliant")))))</f>
        <v/>
      </c>
      <c r="O6350" s="7" t="n"/>
    </row>
    <row r="6351">
      <c r="A6351" s="7" t="n"/>
      <c r="B6351" s="7" t="n"/>
      <c r="C6351" s="7" t="n"/>
      <c r="D6351" s="7" t="n"/>
      <c r="E6351" s="7" t="n"/>
      <c r="F6351" s="7" t="n"/>
      <c r="G6351" s="7" t="n"/>
      <c r="H6351" s="7" t="n"/>
      <c r="I6351" s="7" t="n"/>
      <c r="J6351" s="7" t="n"/>
      <c r="K6351">
        <f>IF(D6351="Legitimate Interest (GDPR Art. 6(1)(f))", "Yes / Required (Sheet 3)", "")</f>
        <v/>
      </c>
      <c r="L6351" s="7" t="n"/>
      <c r="M6351" s="7" t="n"/>
      <c r="N6351">
        <f>IF(D6351="", "Gap - No Legal Basis", IF(AND(D6351="Consent (GDPR Art. 6(1)(a))", I6351="Not Captured"), "Gap - Invalid Consent", IF(AND(D6351="Legitimate Interest (GDPR Art. 6(1)(f))", L6351=""), "Gap - Missing LIA", IF(AND(G6351="Yes", H6351=""), "Gap - Missing Art. 9 Basis", IF(OR(I6351="Invalid - Not Freely Given", I6351="Invalid - Not Specific", I6351="Invalid - Not Informed", I6351="Invalid - Ambiguous"), "Gap - Invalid Consent", "Compliant")))))</f>
        <v/>
      </c>
      <c r="O6351" s="7" t="n"/>
    </row>
    <row r="6352">
      <c r="A6352" s="7" t="n"/>
      <c r="B6352" s="7" t="n"/>
      <c r="C6352" s="7" t="n"/>
      <c r="D6352" s="7" t="n"/>
      <c r="E6352" s="7" t="n"/>
      <c r="F6352" s="7" t="n"/>
      <c r="G6352" s="7" t="n"/>
      <c r="H6352" s="7" t="n"/>
      <c r="I6352" s="7" t="n"/>
      <c r="J6352" s="7" t="n"/>
      <c r="K6352">
        <f>IF(D6352="Legitimate Interest (GDPR Art. 6(1)(f))", "Yes / Required (Sheet 3)", "")</f>
        <v/>
      </c>
      <c r="L6352" s="7" t="n"/>
      <c r="M6352" s="7" t="n"/>
      <c r="N6352">
        <f>IF(D6352="", "Gap - No Legal Basis", IF(AND(D6352="Consent (GDPR Art. 6(1)(a))", I6352="Not Captured"), "Gap - Invalid Consent", IF(AND(D6352="Legitimate Interest (GDPR Art. 6(1)(f))", L6352=""), "Gap - Missing LIA", IF(AND(G6352="Yes", H6352=""), "Gap - Missing Art. 9 Basis", IF(OR(I6352="Invalid - Not Freely Given", I6352="Invalid - Not Specific", I6352="Invalid - Not Informed", I6352="Invalid - Ambiguous"), "Gap - Invalid Consent", "Compliant")))))</f>
        <v/>
      </c>
      <c r="O6352" s="7" t="n"/>
    </row>
    <row r="6353">
      <c r="A6353" s="7" t="n"/>
      <c r="B6353" s="7" t="n"/>
      <c r="C6353" s="7" t="n"/>
      <c r="D6353" s="7" t="n"/>
      <c r="E6353" s="7" t="n"/>
      <c r="F6353" s="7" t="n"/>
      <c r="G6353" s="7" t="n"/>
      <c r="H6353" s="7" t="n"/>
      <c r="I6353" s="7" t="n"/>
      <c r="J6353" s="7" t="n"/>
      <c r="K6353">
        <f>IF(D6353="Legitimate Interest (GDPR Art. 6(1)(f))", "Yes / Required (Sheet 3)", "")</f>
        <v/>
      </c>
      <c r="L6353" s="7" t="n"/>
      <c r="M6353" s="7" t="n"/>
      <c r="N6353">
        <f>IF(D6353="", "Gap - No Legal Basis", IF(AND(D6353="Consent (GDPR Art. 6(1)(a))", I6353="Not Captured"), "Gap - Invalid Consent", IF(AND(D6353="Legitimate Interest (GDPR Art. 6(1)(f))", L6353=""), "Gap - Missing LIA", IF(AND(G6353="Yes", H6353=""), "Gap - Missing Art. 9 Basis", IF(OR(I6353="Invalid - Not Freely Given", I6353="Invalid - Not Specific", I6353="Invalid - Not Informed", I6353="Invalid - Ambiguous"), "Gap - Invalid Consent", "Compliant")))))</f>
        <v/>
      </c>
      <c r="O6353" s="7" t="n"/>
    </row>
    <row r="6354">
      <c r="A6354" s="7" t="n"/>
      <c r="B6354" s="7" t="n"/>
      <c r="C6354" s="7" t="n"/>
      <c r="D6354" s="7" t="n"/>
      <c r="E6354" s="7" t="n"/>
      <c r="F6354" s="7" t="n"/>
      <c r="G6354" s="7" t="n"/>
      <c r="H6354" s="7" t="n"/>
      <c r="I6354" s="7" t="n"/>
      <c r="J6354" s="7" t="n"/>
      <c r="K6354">
        <f>IF(D6354="Legitimate Interest (GDPR Art. 6(1)(f))", "Yes / Required (Sheet 3)", "")</f>
        <v/>
      </c>
      <c r="L6354" s="7" t="n"/>
      <c r="M6354" s="7" t="n"/>
      <c r="N6354">
        <f>IF(D6354="", "Gap - No Legal Basis", IF(AND(D6354="Consent (GDPR Art. 6(1)(a))", I6354="Not Captured"), "Gap - Invalid Consent", IF(AND(D6354="Legitimate Interest (GDPR Art. 6(1)(f))", L6354=""), "Gap - Missing LIA", IF(AND(G6354="Yes", H6354=""), "Gap - Missing Art. 9 Basis", IF(OR(I6354="Invalid - Not Freely Given", I6354="Invalid - Not Specific", I6354="Invalid - Not Informed", I6354="Invalid - Ambiguous"), "Gap - Invalid Consent", "Compliant")))))</f>
        <v/>
      </c>
      <c r="O6354" s="7" t="n"/>
    </row>
    <row r="6355">
      <c r="A6355" s="7" t="n"/>
      <c r="B6355" s="7" t="n"/>
      <c r="C6355" s="7" t="n"/>
      <c r="D6355" s="7" t="n"/>
      <c r="E6355" s="7" t="n"/>
      <c r="F6355" s="7" t="n"/>
      <c r="G6355" s="7" t="n"/>
      <c r="H6355" s="7" t="n"/>
      <c r="I6355" s="7" t="n"/>
      <c r="J6355" s="7" t="n"/>
      <c r="K6355">
        <f>IF(D6355="Legitimate Interest (GDPR Art. 6(1)(f))", "Yes / Required (Sheet 3)", "")</f>
        <v/>
      </c>
      <c r="L6355" s="7" t="n"/>
      <c r="M6355" s="7" t="n"/>
      <c r="N6355">
        <f>IF(D6355="", "Gap - No Legal Basis", IF(AND(D6355="Consent (GDPR Art. 6(1)(a))", I6355="Not Captured"), "Gap - Invalid Consent", IF(AND(D6355="Legitimate Interest (GDPR Art. 6(1)(f))", L6355=""), "Gap - Missing LIA", IF(AND(G6355="Yes", H6355=""), "Gap - Missing Art. 9 Basis", IF(OR(I6355="Invalid - Not Freely Given", I6355="Invalid - Not Specific", I6355="Invalid - Not Informed", I6355="Invalid - Ambiguous"), "Gap - Invalid Consent", "Compliant")))))</f>
        <v/>
      </c>
      <c r="O6355" s="7" t="n"/>
    </row>
    <row r="6356">
      <c r="A6356" s="7" t="n"/>
      <c r="B6356" s="7" t="n"/>
      <c r="C6356" s="7" t="n"/>
      <c r="D6356" s="7" t="n"/>
      <c r="E6356" s="7" t="n"/>
      <c r="F6356" s="7" t="n"/>
      <c r="G6356" s="7" t="n"/>
      <c r="H6356" s="7" t="n"/>
      <c r="I6356" s="7" t="n"/>
      <c r="J6356" s="7" t="n"/>
      <c r="K6356">
        <f>IF(D6356="Legitimate Interest (GDPR Art. 6(1)(f))", "Yes / Required (Sheet 3)", "")</f>
        <v/>
      </c>
      <c r="L6356" s="7" t="n"/>
      <c r="M6356" s="7" t="n"/>
      <c r="N6356">
        <f>IF(D6356="", "Gap - No Legal Basis", IF(AND(D6356="Consent (GDPR Art. 6(1)(a))", I6356="Not Captured"), "Gap - Invalid Consent", IF(AND(D6356="Legitimate Interest (GDPR Art. 6(1)(f))", L6356=""), "Gap - Missing LIA", IF(AND(G6356="Yes", H6356=""), "Gap - Missing Art. 9 Basis", IF(OR(I6356="Invalid - Not Freely Given", I6356="Invalid - Not Specific", I6356="Invalid - Not Informed", I6356="Invalid - Ambiguous"), "Gap - Invalid Consent", "Compliant")))))</f>
        <v/>
      </c>
      <c r="O6356" s="7" t="n"/>
    </row>
    <row r="6357">
      <c r="A6357" s="7" t="n"/>
      <c r="B6357" s="7" t="n"/>
      <c r="C6357" s="7" t="n"/>
      <c r="D6357" s="7" t="n"/>
      <c r="E6357" s="7" t="n"/>
      <c r="F6357" s="7" t="n"/>
      <c r="G6357" s="7" t="n"/>
      <c r="H6357" s="7" t="n"/>
      <c r="I6357" s="7" t="n"/>
      <c r="J6357" s="7" t="n"/>
      <c r="K6357">
        <f>IF(D6357="Legitimate Interest (GDPR Art. 6(1)(f))", "Yes / Required (Sheet 3)", "")</f>
        <v/>
      </c>
      <c r="L6357" s="7" t="n"/>
      <c r="M6357" s="7" t="n"/>
      <c r="N6357">
        <f>IF(D6357="", "Gap - No Legal Basis", IF(AND(D6357="Consent (GDPR Art. 6(1)(a))", I6357="Not Captured"), "Gap - Invalid Consent", IF(AND(D6357="Legitimate Interest (GDPR Art. 6(1)(f))", L6357=""), "Gap - Missing LIA", IF(AND(G6357="Yes", H6357=""), "Gap - Missing Art. 9 Basis", IF(OR(I6357="Invalid - Not Freely Given", I6357="Invalid - Not Specific", I6357="Invalid - Not Informed", I6357="Invalid - Ambiguous"), "Gap - Invalid Consent", "Compliant")))))</f>
        <v/>
      </c>
      <c r="O6357" s="7" t="n"/>
    </row>
    <row r="6358">
      <c r="A6358" s="7" t="n"/>
      <c r="B6358" s="7" t="n"/>
      <c r="C6358" s="7" t="n"/>
      <c r="D6358" s="7" t="n"/>
      <c r="E6358" s="7" t="n"/>
      <c r="F6358" s="7" t="n"/>
      <c r="G6358" s="7" t="n"/>
      <c r="H6358" s="7" t="n"/>
      <c r="I6358" s="7" t="n"/>
      <c r="J6358" s="7" t="n"/>
      <c r="K6358">
        <f>IF(D6358="Legitimate Interest (GDPR Art. 6(1)(f))", "Yes / Required (Sheet 3)", "")</f>
        <v/>
      </c>
      <c r="L6358" s="7" t="n"/>
      <c r="M6358" s="7" t="n"/>
      <c r="N6358">
        <f>IF(D6358="", "Gap - No Legal Basis", IF(AND(D6358="Consent (GDPR Art. 6(1)(a))", I6358="Not Captured"), "Gap - Invalid Consent", IF(AND(D6358="Legitimate Interest (GDPR Art. 6(1)(f))", L6358=""), "Gap - Missing LIA", IF(AND(G6358="Yes", H6358=""), "Gap - Missing Art. 9 Basis", IF(OR(I6358="Invalid - Not Freely Given", I6358="Invalid - Not Specific", I6358="Invalid - Not Informed", I6358="Invalid - Ambiguous"), "Gap - Invalid Consent", "Compliant")))))</f>
        <v/>
      </c>
      <c r="O6358" s="7" t="n"/>
    </row>
    <row r="6359">
      <c r="A6359" s="7" t="n"/>
      <c r="B6359" s="7" t="n"/>
      <c r="C6359" s="7" t="n"/>
      <c r="D6359" s="7" t="n"/>
      <c r="E6359" s="7" t="n"/>
      <c r="F6359" s="7" t="n"/>
      <c r="G6359" s="7" t="n"/>
      <c r="H6359" s="7" t="n"/>
      <c r="I6359" s="7" t="n"/>
      <c r="J6359" s="7" t="n"/>
      <c r="K6359">
        <f>IF(D6359="Legitimate Interest (GDPR Art. 6(1)(f))", "Yes / Required (Sheet 3)", "")</f>
        <v/>
      </c>
      <c r="L6359" s="7" t="n"/>
      <c r="M6359" s="7" t="n"/>
      <c r="N6359">
        <f>IF(D6359="", "Gap - No Legal Basis", IF(AND(D6359="Consent (GDPR Art. 6(1)(a))", I6359="Not Captured"), "Gap - Invalid Consent", IF(AND(D6359="Legitimate Interest (GDPR Art. 6(1)(f))", L6359=""), "Gap - Missing LIA", IF(AND(G6359="Yes", H6359=""), "Gap - Missing Art. 9 Basis", IF(OR(I6359="Invalid - Not Freely Given", I6359="Invalid - Not Specific", I6359="Invalid - Not Informed", I6359="Invalid - Ambiguous"), "Gap - Invalid Consent", "Compliant")))))</f>
        <v/>
      </c>
      <c r="O6359" s="7" t="n"/>
    </row>
    <row r="6360">
      <c r="A6360" s="7" t="n"/>
      <c r="B6360" s="7" t="n"/>
      <c r="C6360" s="7" t="n"/>
      <c r="D6360" s="7" t="n"/>
      <c r="E6360" s="7" t="n"/>
      <c r="F6360" s="7" t="n"/>
      <c r="G6360" s="7" t="n"/>
      <c r="H6360" s="7" t="n"/>
      <c r="I6360" s="7" t="n"/>
      <c r="J6360" s="7" t="n"/>
      <c r="K6360">
        <f>IF(D6360="Legitimate Interest (GDPR Art. 6(1)(f))", "Yes / Required (Sheet 3)", "")</f>
        <v/>
      </c>
      <c r="L6360" s="7" t="n"/>
      <c r="M6360" s="7" t="n"/>
      <c r="N6360">
        <f>IF(D6360="", "Gap - No Legal Basis", IF(AND(D6360="Consent (GDPR Art. 6(1)(a))", I6360="Not Captured"), "Gap - Invalid Consent", IF(AND(D6360="Legitimate Interest (GDPR Art. 6(1)(f))", L6360=""), "Gap - Missing LIA", IF(AND(G6360="Yes", H6360=""), "Gap - Missing Art. 9 Basis", IF(OR(I6360="Invalid - Not Freely Given", I6360="Invalid - Not Specific", I6360="Invalid - Not Informed", I6360="Invalid - Ambiguous"), "Gap - Invalid Consent", "Compliant")))))</f>
        <v/>
      </c>
      <c r="O6360" s="7" t="n"/>
    </row>
    <row r="6361">
      <c r="A6361" s="7" t="n"/>
      <c r="B6361" s="7" t="n"/>
      <c r="C6361" s="7" t="n"/>
      <c r="D6361" s="7" t="n"/>
      <c r="E6361" s="7" t="n"/>
      <c r="F6361" s="7" t="n"/>
      <c r="G6361" s="7" t="n"/>
      <c r="H6361" s="7" t="n"/>
      <c r="I6361" s="7" t="n"/>
      <c r="J6361" s="7" t="n"/>
      <c r="K6361">
        <f>IF(D6361="Legitimate Interest (GDPR Art. 6(1)(f))", "Yes / Required (Sheet 3)", "")</f>
        <v/>
      </c>
      <c r="L6361" s="7" t="n"/>
      <c r="M6361" s="7" t="n"/>
      <c r="N6361">
        <f>IF(D6361="", "Gap - No Legal Basis", IF(AND(D6361="Consent (GDPR Art. 6(1)(a))", I6361="Not Captured"), "Gap - Invalid Consent", IF(AND(D6361="Legitimate Interest (GDPR Art. 6(1)(f))", L6361=""), "Gap - Missing LIA", IF(AND(G6361="Yes", H6361=""), "Gap - Missing Art. 9 Basis", IF(OR(I6361="Invalid - Not Freely Given", I6361="Invalid - Not Specific", I6361="Invalid - Not Informed", I6361="Invalid - Ambiguous"), "Gap - Invalid Consent", "Compliant")))))</f>
        <v/>
      </c>
      <c r="O6361" s="7" t="n"/>
    </row>
    <row r="6362">
      <c r="A6362" s="7" t="n"/>
      <c r="B6362" s="7" t="n"/>
      <c r="C6362" s="7" t="n"/>
      <c r="D6362" s="7" t="n"/>
      <c r="E6362" s="7" t="n"/>
      <c r="F6362" s="7" t="n"/>
      <c r="G6362" s="7" t="n"/>
      <c r="H6362" s="7" t="n"/>
      <c r="I6362" s="7" t="n"/>
      <c r="J6362" s="7" t="n"/>
      <c r="K6362">
        <f>IF(D6362="Legitimate Interest (GDPR Art. 6(1)(f))", "Yes / Required (Sheet 3)", "")</f>
        <v/>
      </c>
      <c r="L6362" s="7" t="n"/>
      <c r="M6362" s="7" t="n"/>
      <c r="N6362">
        <f>IF(D6362="", "Gap - No Legal Basis", IF(AND(D6362="Consent (GDPR Art. 6(1)(a))", I6362="Not Captured"), "Gap - Invalid Consent", IF(AND(D6362="Legitimate Interest (GDPR Art. 6(1)(f))", L6362=""), "Gap - Missing LIA", IF(AND(G6362="Yes", H6362=""), "Gap - Missing Art. 9 Basis", IF(OR(I6362="Invalid - Not Freely Given", I6362="Invalid - Not Specific", I6362="Invalid - Not Informed", I6362="Invalid - Ambiguous"), "Gap - Invalid Consent", "Compliant")))))</f>
        <v/>
      </c>
      <c r="O6362" s="7" t="n"/>
    </row>
    <row r="6363">
      <c r="A6363" s="7" t="n"/>
      <c r="B6363" s="7" t="n"/>
      <c r="C6363" s="7" t="n"/>
      <c r="D6363" s="7" t="n"/>
      <c r="E6363" s="7" t="n"/>
      <c r="F6363" s="7" t="n"/>
      <c r="G6363" s="7" t="n"/>
      <c r="H6363" s="7" t="n"/>
      <c r="I6363" s="7" t="n"/>
      <c r="J6363" s="7" t="n"/>
      <c r="K6363">
        <f>IF(D6363="Legitimate Interest (GDPR Art. 6(1)(f))", "Yes / Required (Sheet 3)", "")</f>
        <v/>
      </c>
      <c r="L6363" s="7" t="n"/>
      <c r="M6363" s="7" t="n"/>
      <c r="N6363">
        <f>IF(D6363="", "Gap - No Legal Basis", IF(AND(D6363="Consent (GDPR Art. 6(1)(a))", I6363="Not Captured"), "Gap - Invalid Consent", IF(AND(D6363="Legitimate Interest (GDPR Art. 6(1)(f))", L6363=""), "Gap - Missing LIA", IF(AND(G6363="Yes", H6363=""), "Gap - Missing Art. 9 Basis", IF(OR(I6363="Invalid - Not Freely Given", I6363="Invalid - Not Specific", I6363="Invalid - Not Informed", I6363="Invalid - Ambiguous"), "Gap - Invalid Consent", "Compliant")))))</f>
        <v/>
      </c>
      <c r="O6363" s="7" t="n"/>
    </row>
    <row r="6364">
      <c r="A6364" s="7" t="n"/>
      <c r="B6364" s="7" t="n"/>
      <c r="C6364" s="7" t="n"/>
      <c r="D6364" s="7" t="n"/>
      <c r="E6364" s="7" t="n"/>
      <c r="F6364" s="7" t="n"/>
      <c r="G6364" s="7" t="n"/>
      <c r="H6364" s="7" t="n"/>
      <c r="I6364" s="7" t="n"/>
      <c r="J6364" s="7" t="n"/>
      <c r="K6364">
        <f>IF(D6364="Legitimate Interest (GDPR Art. 6(1)(f))", "Yes / Required (Sheet 3)", "")</f>
        <v/>
      </c>
      <c r="L6364" s="7" t="n"/>
      <c r="M6364" s="7" t="n"/>
      <c r="N6364">
        <f>IF(D6364="", "Gap - No Legal Basis", IF(AND(D6364="Consent (GDPR Art. 6(1)(a))", I6364="Not Captured"), "Gap - Invalid Consent", IF(AND(D6364="Legitimate Interest (GDPR Art. 6(1)(f))", L6364=""), "Gap - Missing LIA", IF(AND(G6364="Yes", H6364=""), "Gap - Missing Art. 9 Basis", IF(OR(I6364="Invalid - Not Freely Given", I6364="Invalid - Not Specific", I6364="Invalid - Not Informed", I6364="Invalid - Ambiguous"), "Gap - Invalid Consent", "Compliant")))))</f>
        <v/>
      </c>
      <c r="O6364" s="7" t="n"/>
    </row>
    <row r="6365">
      <c r="A6365" s="7" t="n"/>
      <c r="B6365" s="7" t="n"/>
      <c r="C6365" s="7" t="n"/>
      <c r="D6365" s="7" t="n"/>
      <c r="E6365" s="7" t="n"/>
      <c r="F6365" s="7" t="n"/>
      <c r="G6365" s="7" t="n"/>
      <c r="H6365" s="7" t="n"/>
      <c r="I6365" s="7" t="n"/>
      <c r="J6365" s="7" t="n"/>
      <c r="K6365">
        <f>IF(D6365="Legitimate Interest (GDPR Art. 6(1)(f))", "Yes / Required (Sheet 3)", "")</f>
        <v/>
      </c>
      <c r="L6365" s="7" t="n"/>
      <c r="M6365" s="7" t="n"/>
      <c r="N6365">
        <f>IF(D6365="", "Gap - No Legal Basis", IF(AND(D6365="Consent (GDPR Art. 6(1)(a))", I6365="Not Captured"), "Gap - Invalid Consent", IF(AND(D6365="Legitimate Interest (GDPR Art. 6(1)(f))", L6365=""), "Gap - Missing LIA", IF(AND(G6365="Yes", H6365=""), "Gap - Missing Art. 9 Basis", IF(OR(I6365="Invalid - Not Freely Given", I6365="Invalid - Not Specific", I6365="Invalid - Not Informed", I6365="Invalid - Ambiguous"), "Gap - Invalid Consent", "Compliant")))))</f>
        <v/>
      </c>
      <c r="O6365" s="7" t="n"/>
    </row>
    <row r="6366">
      <c r="A6366" s="7" t="n"/>
      <c r="B6366" s="7" t="n"/>
      <c r="C6366" s="7" t="n"/>
      <c r="D6366" s="7" t="n"/>
      <c r="E6366" s="7" t="n"/>
      <c r="F6366" s="7" t="n"/>
      <c r="G6366" s="7" t="n"/>
      <c r="H6366" s="7" t="n"/>
      <c r="I6366" s="7" t="n"/>
      <c r="J6366" s="7" t="n"/>
      <c r="K6366">
        <f>IF(D6366="Legitimate Interest (GDPR Art. 6(1)(f))", "Yes / Required (Sheet 3)", "")</f>
        <v/>
      </c>
      <c r="L6366" s="7" t="n"/>
      <c r="M6366" s="7" t="n"/>
      <c r="N6366">
        <f>IF(D6366="", "Gap - No Legal Basis", IF(AND(D6366="Consent (GDPR Art. 6(1)(a))", I6366="Not Captured"), "Gap - Invalid Consent", IF(AND(D6366="Legitimate Interest (GDPR Art. 6(1)(f))", L6366=""), "Gap - Missing LIA", IF(AND(G6366="Yes", H6366=""), "Gap - Missing Art. 9 Basis", IF(OR(I6366="Invalid - Not Freely Given", I6366="Invalid - Not Specific", I6366="Invalid - Not Informed", I6366="Invalid - Ambiguous"), "Gap - Invalid Consent", "Compliant")))))</f>
        <v/>
      </c>
      <c r="O6366" s="7" t="n"/>
    </row>
    <row r="6367">
      <c r="A6367" s="7" t="n"/>
      <c r="B6367" s="7" t="n"/>
      <c r="C6367" s="7" t="n"/>
      <c r="D6367" s="7" t="n"/>
      <c r="E6367" s="7" t="n"/>
      <c r="F6367" s="7" t="n"/>
      <c r="G6367" s="7" t="n"/>
      <c r="H6367" s="7" t="n"/>
      <c r="I6367" s="7" t="n"/>
      <c r="J6367" s="7" t="n"/>
      <c r="K6367">
        <f>IF(D6367="Legitimate Interest (GDPR Art. 6(1)(f))", "Yes / Required (Sheet 3)", "")</f>
        <v/>
      </c>
      <c r="L6367" s="7" t="n"/>
      <c r="M6367" s="7" t="n"/>
      <c r="N6367">
        <f>IF(D6367="", "Gap - No Legal Basis", IF(AND(D6367="Consent (GDPR Art. 6(1)(a))", I6367="Not Captured"), "Gap - Invalid Consent", IF(AND(D6367="Legitimate Interest (GDPR Art. 6(1)(f))", L6367=""), "Gap - Missing LIA", IF(AND(G6367="Yes", H6367=""), "Gap - Missing Art. 9 Basis", IF(OR(I6367="Invalid - Not Freely Given", I6367="Invalid - Not Specific", I6367="Invalid - Not Informed", I6367="Invalid - Ambiguous"), "Gap - Invalid Consent", "Compliant")))))</f>
        <v/>
      </c>
      <c r="O6367" s="7" t="n"/>
    </row>
    <row r="6368">
      <c r="A6368" s="7" t="n"/>
      <c r="B6368" s="7" t="n"/>
      <c r="C6368" s="7" t="n"/>
      <c r="D6368" s="7" t="n"/>
      <c r="E6368" s="7" t="n"/>
      <c r="F6368" s="7" t="n"/>
      <c r="G6368" s="7" t="n"/>
      <c r="H6368" s="7" t="n"/>
      <c r="I6368" s="7" t="n"/>
      <c r="J6368" s="7" t="n"/>
      <c r="K6368">
        <f>IF(D6368="Legitimate Interest (GDPR Art. 6(1)(f))", "Yes / Required (Sheet 3)", "")</f>
        <v/>
      </c>
      <c r="L6368" s="7" t="n"/>
      <c r="M6368" s="7" t="n"/>
      <c r="N6368">
        <f>IF(D6368="", "Gap - No Legal Basis", IF(AND(D6368="Consent (GDPR Art. 6(1)(a))", I6368="Not Captured"), "Gap - Invalid Consent", IF(AND(D6368="Legitimate Interest (GDPR Art. 6(1)(f))", L6368=""), "Gap - Missing LIA", IF(AND(G6368="Yes", H6368=""), "Gap - Missing Art. 9 Basis", IF(OR(I6368="Invalid - Not Freely Given", I6368="Invalid - Not Specific", I6368="Invalid - Not Informed", I6368="Invalid - Ambiguous"), "Gap - Invalid Consent", "Compliant")))))</f>
        <v/>
      </c>
      <c r="O6368" s="7" t="n"/>
    </row>
    <row r="6369">
      <c r="A6369" s="7" t="n"/>
      <c r="B6369" s="7" t="n"/>
      <c r="C6369" s="7" t="n"/>
      <c r="D6369" s="7" t="n"/>
      <c r="E6369" s="7" t="n"/>
      <c r="F6369" s="7" t="n"/>
      <c r="G6369" s="7" t="n"/>
      <c r="H6369" s="7" t="n"/>
      <c r="I6369" s="7" t="n"/>
      <c r="J6369" s="7" t="n"/>
      <c r="K6369">
        <f>IF(D6369="Legitimate Interest (GDPR Art. 6(1)(f))", "Yes / Required (Sheet 3)", "")</f>
        <v/>
      </c>
      <c r="L6369" s="7" t="n"/>
      <c r="M6369" s="7" t="n"/>
      <c r="N6369">
        <f>IF(D6369="", "Gap - No Legal Basis", IF(AND(D6369="Consent (GDPR Art. 6(1)(a))", I6369="Not Captured"), "Gap - Invalid Consent", IF(AND(D6369="Legitimate Interest (GDPR Art. 6(1)(f))", L6369=""), "Gap - Missing LIA", IF(AND(G6369="Yes", H6369=""), "Gap - Missing Art. 9 Basis", IF(OR(I6369="Invalid - Not Freely Given", I6369="Invalid - Not Specific", I6369="Invalid - Not Informed", I6369="Invalid - Ambiguous"), "Gap - Invalid Consent", "Compliant")))))</f>
        <v/>
      </c>
      <c r="O6369" s="7" t="n"/>
    </row>
    <row r="6370">
      <c r="A6370" s="7" t="n"/>
      <c r="B6370" s="7" t="n"/>
      <c r="C6370" s="7" t="n"/>
      <c r="D6370" s="7" t="n"/>
      <c r="E6370" s="7" t="n"/>
      <c r="F6370" s="7" t="n"/>
      <c r="G6370" s="7" t="n"/>
      <c r="H6370" s="7" t="n"/>
      <c r="I6370" s="7" t="n"/>
      <c r="J6370" s="7" t="n"/>
      <c r="K6370">
        <f>IF(D6370="Legitimate Interest (GDPR Art. 6(1)(f))", "Yes / Required (Sheet 3)", "")</f>
        <v/>
      </c>
      <c r="L6370" s="7" t="n"/>
      <c r="M6370" s="7" t="n"/>
      <c r="N6370">
        <f>IF(D6370="", "Gap - No Legal Basis", IF(AND(D6370="Consent (GDPR Art. 6(1)(a))", I6370="Not Captured"), "Gap - Invalid Consent", IF(AND(D6370="Legitimate Interest (GDPR Art. 6(1)(f))", L6370=""), "Gap - Missing LIA", IF(AND(G6370="Yes", H6370=""), "Gap - Missing Art. 9 Basis", IF(OR(I6370="Invalid - Not Freely Given", I6370="Invalid - Not Specific", I6370="Invalid - Not Informed", I6370="Invalid - Ambiguous"), "Gap - Invalid Consent", "Compliant")))))</f>
        <v/>
      </c>
      <c r="O6370" s="7" t="n"/>
    </row>
    <row r="6371">
      <c r="A6371" s="7" t="n"/>
      <c r="B6371" s="7" t="n"/>
      <c r="C6371" s="7" t="n"/>
      <c r="D6371" s="7" t="n"/>
      <c r="E6371" s="7" t="n"/>
      <c r="F6371" s="7" t="n"/>
      <c r="G6371" s="7" t="n"/>
      <c r="H6371" s="7" t="n"/>
      <c r="I6371" s="7" t="n"/>
      <c r="J6371" s="7" t="n"/>
      <c r="K6371">
        <f>IF(D6371="Legitimate Interest (GDPR Art. 6(1)(f))", "Yes / Required (Sheet 3)", "")</f>
        <v/>
      </c>
      <c r="L6371" s="7" t="n"/>
      <c r="M6371" s="7" t="n"/>
      <c r="N6371">
        <f>IF(D6371="", "Gap - No Legal Basis", IF(AND(D6371="Consent (GDPR Art. 6(1)(a))", I6371="Not Captured"), "Gap - Invalid Consent", IF(AND(D6371="Legitimate Interest (GDPR Art. 6(1)(f))", L6371=""), "Gap - Missing LIA", IF(AND(G6371="Yes", H6371=""), "Gap - Missing Art. 9 Basis", IF(OR(I6371="Invalid - Not Freely Given", I6371="Invalid - Not Specific", I6371="Invalid - Not Informed", I6371="Invalid - Ambiguous"), "Gap - Invalid Consent", "Compliant")))))</f>
        <v/>
      </c>
      <c r="O6371" s="7" t="n"/>
    </row>
    <row r="6372">
      <c r="A6372" s="7" t="n"/>
      <c r="B6372" s="7" t="n"/>
      <c r="C6372" s="7" t="n"/>
      <c r="D6372" s="7" t="n"/>
      <c r="E6372" s="7" t="n"/>
      <c r="F6372" s="7" t="n"/>
      <c r="G6372" s="7" t="n"/>
      <c r="H6372" s="7" t="n"/>
      <c r="I6372" s="7" t="n"/>
      <c r="J6372" s="7" t="n"/>
      <c r="K6372">
        <f>IF(D6372="Legitimate Interest (GDPR Art. 6(1)(f))", "Yes / Required (Sheet 3)", "")</f>
        <v/>
      </c>
      <c r="L6372" s="7" t="n"/>
      <c r="M6372" s="7" t="n"/>
      <c r="N6372">
        <f>IF(D6372="", "Gap - No Legal Basis", IF(AND(D6372="Consent (GDPR Art. 6(1)(a))", I6372="Not Captured"), "Gap - Invalid Consent", IF(AND(D6372="Legitimate Interest (GDPR Art. 6(1)(f))", L6372=""), "Gap - Missing LIA", IF(AND(G6372="Yes", H6372=""), "Gap - Missing Art. 9 Basis", IF(OR(I6372="Invalid - Not Freely Given", I6372="Invalid - Not Specific", I6372="Invalid - Not Informed", I6372="Invalid - Ambiguous"), "Gap - Invalid Consent", "Compliant")))))</f>
        <v/>
      </c>
      <c r="O6372" s="7" t="n"/>
    </row>
    <row r="6373">
      <c r="A6373" s="7" t="n"/>
      <c r="B6373" s="7" t="n"/>
      <c r="C6373" s="7" t="n"/>
      <c r="D6373" s="7" t="n"/>
      <c r="E6373" s="7" t="n"/>
      <c r="F6373" s="7" t="n"/>
      <c r="G6373" s="7" t="n"/>
      <c r="H6373" s="7" t="n"/>
      <c r="I6373" s="7" t="n"/>
      <c r="J6373" s="7" t="n"/>
      <c r="K6373">
        <f>IF(D6373="Legitimate Interest (GDPR Art. 6(1)(f))", "Yes / Required (Sheet 3)", "")</f>
        <v/>
      </c>
      <c r="L6373" s="7" t="n"/>
      <c r="M6373" s="7" t="n"/>
      <c r="N6373">
        <f>IF(D6373="", "Gap - No Legal Basis", IF(AND(D6373="Consent (GDPR Art. 6(1)(a))", I6373="Not Captured"), "Gap - Invalid Consent", IF(AND(D6373="Legitimate Interest (GDPR Art. 6(1)(f))", L6373=""), "Gap - Missing LIA", IF(AND(G6373="Yes", H6373=""), "Gap - Missing Art. 9 Basis", IF(OR(I6373="Invalid - Not Freely Given", I6373="Invalid - Not Specific", I6373="Invalid - Not Informed", I6373="Invalid - Ambiguous"), "Gap - Invalid Consent", "Compliant")))))</f>
        <v/>
      </c>
      <c r="O6373" s="7" t="n"/>
    </row>
    <row r="6374">
      <c r="A6374" s="7" t="n"/>
      <c r="B6374" s="7" t="n"/>
      <c r="C6374" s="7" t="n"/>
      <c r="D6374" s="7" t="n"/>
      <c r="E6374" s="7" t="n"/>
      <c r="F6374" s="7" t="n"/>
      <c r="G6374" s="7" t="n"/>
      <c r="H6374" s="7" t="n"/>
      <c r="I6374" s="7" t="n"/>
      <c r="J6374" s="7" t="n"/>
      <c r="K6374">
        <f>IF(D6374="Legitimate Interest (GDPR Art. 6(1)(f))", "Yes / Required (Sheet 3)", "")</f>
        <v/>
      </c>
      <c r="L6374" s="7" t="n"/>
      <c r="M6374" s="7" t="n"/>
      <c r="N6374">
        <f>IF(D6374="", "Gap - No Legal Basis", IF(AND(D6374="Consent (GDPR Art. 6(1)(a))", I6374="Not Captured"), "Gap - Invalid Consent", IF(AND(D6374="Legitimate Interest (GDPR Art. 6(1)(f))", L6374=""), "Gap - Missing LIA", IF(AND(G6374="Yes", H6374=""), "Gap - Missing Art. 9 Basis", IF(OR(I6374="Invalid - Not Freely Given", I6374="Invalid - Not Specific", I6374="Invalid - Not Informed", I6374="Invalid - Ambiguous"), "Gap - Invalid Consent", "Compliant")))))</f>
        <v/>
      </c>
      <c r="O6374" s="7" t="n"/>
    </row>
    <row r="6375">
      <c r="A6375" s="7" t="n"/>
      <c r="B6375" s="7" t="n"/>
      <c r="C6375" s="7" t="n"/>
      <c r="D6375" s="7" t="n"/>
      <c r="E6375" s="7" t="n"/>
      <c r="F6375" s="7" t="n"/>
      <c r="G6375" s="7" t="n"/>
      <c r="H6375" s="7" t="n"/>
      <c r="I6375" s="7" t="n"/>
      <c r="J6375" s="7" t="n"/>
      <c r="K6375">
        <f>IF(D6375="Legitimate Interest (GDPR Art. 6(1)(f))", "Yes / Required (Sheet 3)", "")</f>
        <v/>
      </c>
      <c r="L6375" s="7" t="n"/>
      <c r="M6375" s="7" t="n"/>
      <c r="N6375">
        <f>IF(D6375="", "Gap - No Legal Basis", IF(AND(D6375="Consent (GDPR Art. 6(1)(a))", I6375="Not Captured"), "Gap - Invalid Consent", IF(AND(D6375="Legitimate Interest (GDPR Art. 6(1)(f))", L6375=""), "Gap - Missing LIA", IF(AND(G6375="Yes", H6375=""), "Gap - Missing Art. 9 Basis", IF(OR(I6375="Invalid - Not Freely Given", I6375="Invalid - Not Specific", I6375="Invalid - Not Informed", I6375="Invalid - Ambiguous"), "Gap - Invalid Consent", "Compliant")))))</f>
        <v/>
      </c>
      <c r="O6375" s="7" t="n"/>
    </row>
    <row r="6376">
      <c r="A6376" s="7" t="n"/>
      <c r="B6376" s="7" t="n"/>
      <c r="C6376" s="7" t="n"/>
      <c r="D6376" s="7" t="n"/>
      <c r="E6376" s="7" t="n"/>
      <c r="F6376" s="7" t="n"/>
      <c r="G6376" s="7" t="n"/>
      <c r="H6376" s="7" t="n"/>
      <c r="I6376" s="7" t="n"/>
      <c r="J6376" s="7" t="n"/>
      <c r="K6376">
        <f>IF(D6376="Legitimate Interest (GDPR Art. 6(1)(f))", "Yes / Required (Sheet 3)", "")</f>
        <v/>
      </c>
      <c r="L6376" s="7" t="n"/>
      <c r="M6376" s="7" t="n"/>
      <c r="N6376">
        <f>IF(D6376="", "Gap - No Legal Basis", IF(AND(D6376="Consent (GDPR Art. 6(1)(a))", I6376="Not Captured"), "Gap - Invalid Consent", IF(AND(D6376="Legitimate Interest (GDPR Art. 6(1)(f))", L6376=""), "Gap - Missing LIA", IF(AND(G6376="Yes", H6376=""), "Gap - Missing Art. 9 Basis", IF(OR(I6376="Invalid - Not Freely Given", I6376="Invalid - Not Specific", I6376="Invalid - Not Informed", I6376="Invalid - Ambiguous"), "Gap - Invalid Consent", "Compliant")))))</f>
        <v/>
      </c>
      <c r="O6376" s="7" t="n"/>
    </row>
    <row r="6377">
      <c r="A6377" s="7" t="n"/>
      <c r="B6377" s="7" t="n"/>
      <c r="C6377" s="7" t="n"/>
      <c r="D6377" s="7" t="n"/>
      <c r="E6377" s="7" t="n"/>
      <c r="F6377" s="7" t="n"/>
      <c r="G6377" s="7" t="n"/>
      <c r="H6377" s="7" t="n"/>
      <c r="I6377" s="7" t="n"/>
      <c r="J6377" s="7" t="n"/>
      <c r="K6377">
        <f>IF(D6377="Legitimate Interest (GDPR Art. 6(1)(f))", "Yes / Required (Sheet 3)", "")</f>
        <v/>
      </c>
      <c r="L6377" s="7" t="n"/>
      <c r="M6377" s="7" t="n"/>
      <c r="N6377">
        <f>IF(D6377="", "Gap - No Legal Basis", IF(AND(D6377="Consent (GDPR Art. 6(1)(a))", I6377="Not Captured"), "Gap - Invalid Consent", IF(AND(D6377="Legitimate Interest (GDPR Art. 6(1)(f))", L6377=""), "Gap - Missing LIA", IF(AND(G6377="Yes", H6377=""), "Gap - Missing Art. 9 Basis", IF(OR(I6377="Invalid - Not Freely Given", I6377="Invalid - Not Specific", I6377="Invalid - Not Informed", I6377="Invalid - Ambiguous"), "Gap - Invalid Consent", "Compliant")))))</f>
        <v/>
      </c>
      <c r="O6377" s="7" t="n"/>
    </row>
    <row r="6378">
      <c r="A6378" s="7" t="n"/>
      <c r="B6378" s="7" t="n"/>
      <c r="C6378" s="7" t="n"/>
      <c r="D6378" s="7" t="n"/>
      <c r="E6378" s="7" t="n"/>
      <c r="F6378" s="7" t="n"/>
      <c r="G6378" s="7" t="n"/>
      <c r="H6378" s="7" t="n"/>
      <c r="I6378" s="7" t="n"/>
      <c r="J6378" s="7" t="n"/>
      <c r="K6378">
        <f>IF(D6378="Legitimate Interest (GDPR Art. 6(1)(f))", "Yes / Required (Sheet 3)", "")</f>
        <v/>
      </c>
      <c r="L6378" s="7" t="n"/>
      <c r="M6378" s="7" t="n"/>
      <c r="N6378">
        <f>IF(D6378="", "Gap - No Legal Basis", IF(AND(D6378="Consent (GDPR Art. 6(1)(a))", I6378="Not Captured"), "Gap - Invalid Consent", IF(AND(D6378="Legitimate Interest (GDPR Art. 6(1)(f))", L6378=""), "Gap - Missing LIA", IF(AND(G6378="Yes", H6378=""), "Gap - Missing Art. 9 Basis", IF(OR(I6378="Invalid - Not Freely Given", I6378="Invalid - Not Specific", I6378="Invalid - Not Informed", I6378="Invalid - Ambiguous"), "Gap - Invalid Consent", "Compliant")))))</f>
        <v/>
      </c>
      <c r="O6378" s="7" t="n"/>
    </row>
    <row r="6379">
      <c r="A6379" s="7" t="n"/>
      <c r="B6379" s="7" t="n"/>
      <c r="C6379" s="7" t="n"/>
      <c r="D6379" s="7" t="n"/>
      <c r="E6379" s="7" t="n"/>
      <c r="F6379" s="7" t="n"/>
      <c r="G6379" s="7" t="n"/>
      <c r="H6379" s="7" t="n"/>
      <c r="I6379" s="7" t="n"/>
      <c r="J6379" s="7" t="n"/>
      <c r="K6379">
        <f>IF(D6379="Legitimate Interest (GDPR Art. 6(1)(f))", "Yes / Required (Sheet 3)", "")</f>
        <v/>
      </c>
      <c r="L6379" s="7" t="n"/>
      <c r="M6379" s="7" t="n"/>
      <c r="N6379">
        <f>IF(D6379="", "Gap - No Legal Basis", IF(AND(D6379="Consent (GDPR Art. 6(1)(a))", I6379="Not Captured"), "Gap - Invalid Consent", IF(AND(D6379="Legitimate Interest (GDPR Art. 6(1)(f))", L6379=""), "Gap - Missing LIA", IF(AND(G6379="Yes", H6379=""), "Gap - Missing Art. 9 Basis", IF(OR(I6379="Invalid - Not Freely Given", I6379="Invalid - Not Specific", I6379="Invalid - Not Informed", I6379="Invalid - Ambiguous"), "Gap - Invalid Consent", "Compliant")))))</f>
        <v/>
      </c>
      <c r="O6379" s="7" t="n"/>
    </row>
    <row r="6380">
      <c r="A6380" s="7" t="n"/>
      <c r="B6380" s="7" t="n"/>
      <c r="C6380" s="7" t="n"/>
      <c r="D6380" s="7" t="n"/>
      <c r="E6380" s="7" t="n"/>
      <c r="F6380" s="7" t="n"/>
      <c r="G6380" s="7" t="n"/>
      <c r="H6380" s="7" t="n"/>
      <c r="I6380" s="7" t="n"/>
      <c r="J6380" s="7" t="n"/>
      <c r="K6380">
        <f>IF(D6380="Legitimate Interest (GDPR Art. 6(1)(f))", "Yes / Required (Sheet 3)", "")</f>
        <v/>
      </c>
      <c r="L6380" s="7" t="n"/>
      <c r="M6380" s="7" t="n"/>
      <c r="N6380">
        <f>IF(D6380="", "Gap - No Legal Basis", IF(AND(D6380="Consent (GDPR Art. 6(1)(a))", I6380="Not Captured"), "Gap - Invalid Consent", IF(AND(D6380="Legitimate Interest (GDPR Art. 6(1)(f))", L6380=""), "Gap - Missing LIA", IF(AND(G6380="Yes", H6380=""), "Gap - Missing Art. 9 Basis", IF(OR(I6380="Invalid - Not Freely Given", I6380="Invalid - Not Specific", I6380="Invalid - Not Informed", I6380="Invalid - Ambiguous"), "Gap - Invalid Consent", "Compliant")))))</f>
        <v/>
      </c>
      <c r="O6380" s="7" t="n"/>
    </row>
    <row r="6381">
      <c r="A6381" s="7" t="n"/>
      <c r="B6381" s="7" t="n"/>
      <c r="C6381" s="7" t="n"/>
      <c r="D6381" s="7" t="n"/>
      <c r="E6381" s="7" t="n"/>
      <c r="F6381" s="7" t="n"/>
      <c r="G6381" s="7" t="n"/>
      <c r="H6381" s="7" t="n"/>
      <c r="I6381" s="7" t="n"/>
      <c r="J6381" s="7" t="n"/>
      <c r="K6381">
        <f>IF(D6381="Legitimate Interest (GDPR Art. 6(1)(f))", "Yes / Required (Sheet 3)", "")</f>
        <v/>
      </c>
      <c r="L6381" s="7" t="n"/>
      <c r="M6381" s="7" t="n"/>
      <c r="N6381">
        <f>IF(D6381="", "Gap - No Legal Basis", IF(AND(D6381="Consent (GDPR Art. 6(1)(a))", I6381="Not Captured"), "Gap - Invalid Consent", IF(AND(D6381="Legitimate Interest (GDPR Art. 6(1)(f))", L6381=""), "Gap - Missing LIA", IF(AND(G6381="Yes", H6381=""), "Gap - Missing Art. 9 Basis", IF(OR(I6381="Invalid - Not Freely Given", I6381="Invalid - Not Specific", I6381="Invalid - Not Informed", I6381="Invalid - Ambiguous"), "Gap - Invalid Consent", "Compliant")))))</f>
        <v/>
      </c>
      <c r="O6381" s="7" t="n"/>
    </row>
    <row r="6382">
      <c r="A6382" s="7" t="n"/>
      <c r="B6382" s="7" t="n"/>
      <c r="C6382" s="7" t="n"/>
      <c r="D6382" s="7" t="n"/>
      <c r="E6382" s="7" t="n"/>
      <c r="F6382" s="7" t="n"/>
      <c r="G6382" s="7" t="n"/>
      <c r="H6382" s="7" t="n"/>
      <c r="I6382" s="7" t="n"/>
      <c r="J6382" s="7" t="n"/>
      <c r="K6382">
        <f>IF(D6382="Legitimate Interest (GDPR Art. 6(1)(f))", "Yes / Required (Sheet 3)", "")</f>
        <v/>
      </c>
      <c r="L6382" s="7" t="n"/>
      <c r="M6382" s="7" t="n"/>
      <c r="N6382">
        <f>IF(D6382="", "Gap - No Legal Basis", IF(AND(D6382="Consent (GDPR Art. 6(1)(a))", I6382="Not Captured"), "Gap - Invalid Consent", IF(AND(D6382="Legitimate Interest (GDPR Art. 6(1)(f))", L6382=""), "Gap - Missing LIA", IF(AND(G6382="Yes", H6382=""), "Gap - Missing Art. 9 Basis", IF(OR(I6382="Invalid - Not Freely Given", I6382="Invalid - Not Specific", I6382="Invalid - Not Informed", I6382="Invalid - Ambiguous"), "Gap - Invalid Consent", "Compliant")))))</f>
        <v/>
      </c>
      <c r="O6382" s="7" t="n"/>
    </row>
    <row r="6383">
      <c r="A6383" s="7" t="n"/>
      <c r="B6383" s="7" t="n"/>
      <c r="C6383" s="7" t="n"/>
      <c r="D6383" s="7" t="n"/>
      <c r="E6383" s="7" t="n"/>
      <c r="F6383" s="7" t="n"/>
      <c r="G6383" s="7" t="n"/>
      <c r="H6383" s="7" t="n"/>
      <c r="I6383" s="7" t="n"/>
      <c r="J6383" s="7" t="n"/>
      <c r="K6383">
        <f>IF(D6383="Legitimate Interest (GDPR Art. 6(1)(f))", "Yes / Required (Sheet 3)", "")</f>
        <v/>
      </c>
      <c r="L6383" s="7" t="n"/>
      <c r="M6383" s="7" t="n"/>
      <c r="N6383">
        <f>IF(D6383="", "Gap - No Legal Basis", IF(AND(D6383="Consent (GDPR Art. 6(1)(a))", I6383="Not Captured"), "Gap - Invalid Consent", IF(AND(D6383="Legitimate Interest (GDPR Art. 6(1)(f))", L6383=""), "Gap - Missing LIA", IF(AND(G6383="Yes", H6383=""), "Gap - Missing Art. 9 Basis", IF(OR(I6383="Invalid - Not Freely Given", I6383="Invalid - Not Specific", I6383="Invalid - Not Informed", I6383="Invalid - Ambiguous"), "Gap - Invalid Consent", "Compliant")))))</f>
        <v/>
      </c>
      <c r="O6383" s="7" t="n"/>
    </row>
    <row r="6384">
      <c r="A6384" s="7" t="n"/>
      <c r="B6384" s="7" t="n"/>
      <c r="C6384" s="7" t="n"/>
      <c r="D6384" s="7" t="n"/>
      <c r="E6384" s="7" t="n"/>
      <c r="F6384" s="7" t="n"/>
      <c r="G6384" s="7" t="n"/>
      <c r="H6384" s="7" t="n"/>
      <c r="I6384" s="7" t="n"/>
      <c r="J6384" s="7" t="n"/>
      <c r="K6384">
        <f>IF(D6384="Legitimate Interest (GDPR Art. 6(1)(f))", "Yes / Required (Sheet 3)", "")</f>
        <v/>
      </c>
      <c r="L6384" s="7" t="n"/>
      <c r="M6384" s="7" t="n"/>
      <c r="N6384">
        <f>IF(D6384="", "Gap - No Legal Basis", IF(AND(D6384="Consent (GDPR Art. 6(1)(a))", I6384="Not Captured"), "Gap - Invalid Consent", IF(AND(D6384="Legitimate Interest (GDPR Art. 6(1)(f))", L6384=""), "Gap - Missing LIA", IF(AND(G6384="Yes", H6384=""), "Gap - Missing Art. 9 Basis", IF(OR(I6384="Invalid - Not Freely Given", I6384="Invalid - Not Specific", I6384="Invalid - Not Informed", I6384="Invalid - Ambiguous"), "Gap - Invalid Consent", "Compliant")))))</f>
        <v/>
      </c>
      <c r="O6384" s="7" t="n"/>
    </row>
    <row r="6385">
      <c r="A6385" s="7" t="n"/>
      <c r="B6385" s="7" t="n"/>
      <c r="C6385" s="7" t="n"/>
      <c r="D6385" s="7" t="n"/>
      <c r="E6385" s="7" t="n"/>
      <c r="F6385" s="7" t="n"/>
      <c r="G6385" s="7" t="n"/>
      <c r="H6385" s="7" t="n"/>
      <c r="I6385" s="7" t="n"/>
      <c r="J6385" s="7" t="n"/>
      <c r="K6385">
        <f>IF(D6385="Legitimate Interest (GDPR Art. 6(1)(f))", "Yes / Required (Sheet 3)", "")</f>
        <v/>
      </c>
      <c r="L6385" s="7" t="n"/>
      <c r="M6385" s="7" t="n"/>
      <c r="N6385">
        <f>IF(D6385="", "Gap - No Legal Basis", IF(AND(D6385="Consent (GDPR Art. 6(1)(a))", I6385="Not Captured"), "Gap - Invalid Consent", IF(AND(D6385="Legitimate Interest (GDPR Art. 6(1)(f))", L6385=""), "Gap - Missing LIA", IF(AND(G6385="Yes", H6385=""), "Gap - Missing Art. 9 Basis", IF(OR(I6385="Invalid - Not Freely Given", I6385="Invalid - Not Specific", I6385="Invalid - Not Informed", I6385="Invalid - Ambiguous"), "Gap - Invalid Consent", "Compliant")))))</f>
        <v/>
      </c>
      <c r="O6385" s="7" t="n"/>
    </row>
    <row r="6386">
      <c r="A6386" s="7" t="n"/>
      <c r="B6386" s="7" t="n"/>
      <c r="C6386" s="7" t="n"/>
      <c r="D6386" s="7" t="n"/>
      <c r="E6386" s="7" t="n"/>
      <c r="F6386" s="7" t="n"/>
      <c r="G6386" s="7" t="n"/>
      <c r="H6386" s="7" t="n"/>
      <c r="I6386" s="7" t="n"/>
      <c r="J6386" s="7" t="n"/>
      <c r="K6386">
        <f>IF(D6386="Legitimate Interest (GDPR Art. 6(1)(f))", "Yes / Required (Sheet 3)", "")</f>
        <v/>
      </c>
      <c r="L6386" s="7" t="n"/>
      <c r="M6386" s="7" t="n"/>
      <c r="N6386">
        <f>IF(D6386="", "Gap - No Legal Basis", IF(AND(D6386="Consent (GDPR Art. 6(1)(a))", I6386="Not Captured"), "Gap - Invalid Consent", IF(AND(D6386="Legitimate Interest (GDPR Art. 6(1)(f))", L6386=""), "Gap - Missing LIA", IF(AND(G6386="Yes", H6386=""), "Gap - Missing Art. 9 Basis", IF(OR(I6386="Invalid - Not Freely Given", I6386="Invalid - Not Specific", I6386="Invalid - Not Informed", I6386="Invalid - Ambiguous"), "Gap - Invalid Consent", "Compliant")))))</f>
        <v/>
      </c>
      <c r="O6386" s="7" t="n"/>
    </row>
    <row r="6387">
      <c r="A6387" s="7" t="n"/>
      <c r="B6387" s="7" t="n"/>
      <c r="C6387" s="7" t="n"/>
      <c r="D6387" s="7" t="n"/>
      <c r="E6387" s="7" t="n"/>
      <c r="F6387" s="7" t="n"/>
      <c r="G6387" s="7" t="n"/>
      <c r="H6387" s="7" t="n"/>
      <c r="I6387" s="7" t="n"/>
      <c r="J6387" s="7" t="n"/>
      <c r="K6387">
        <f>IF(D6387="Legitimate Interest (GDPR Art. 6(1)(f))", "Yes / Required (Sheet 3)", "")</f>
        <v/>
      </c>
      <c r="L6387" s="7" t="n"/>
      <c r="M6387" s="7" t="n"/>
      <c r="N6387">
        <f>IF(D6387="", "Gap - No Legal Basis", IF(AND(D6387="Consent (GDPR Art. 6(1)(a))", I6387="Not Captured"), "Gap - Invalid Consent", IF(AND(D6387="Legitimate Interest (GDPR Art. 6(1)(f))", L6387=""), "Gap - Missing LIA", IF(AND(G6387="Yes", H6387=""), "Gap - Missing Art. 9 Basis", IF(OR(I6387="Invalid - Not Freely Given", I6387="Invalid - Not Specific", I6387="Invalid - Not Informed", I6387="Invalid - Ambiguous"), "Gap - Invalid Consent", "Compliant")))))</f>
        <v/>
      </c>
      <c r="O6387" s="7" t="n"/>
    </row>
    <row r="6388">
      <c r="A6388" s="7" t="n"/>
      <c r="B6388" s="7" t="n"/>
      <c r="C6388" s="7" t="n"/>
      <c r="D6388" s="7" t="n"/>
      <c r="E6388" s="7" t="n"/>
      <c r="F6388" s="7" t="n"/>
      <c r="G6388" s="7" t="n"/>
      <c r="H6388" s="7" t="n"/>
      <c r="I6388" s="7" t="n"/>
      <c r="J6388" s="7" t="n"/>
      <c r="K6388">
        <f>IF(D6388="Legitimate Interest (GDPR Art. 6(1)(f))", "Yes / Required (Sheet 3)", "")</f>
        <v/>
      </c>
      <c r="L6388" s="7" t="n"/>
      <c r="M6388" s="7" t="n"/>
      <c r="N6388">
        <f>IF(D6388="", "Gap - No Legal Basis", IF(AND(D6388="Consent (GDPR Art. 6(1)(a))", I6388="Not Captured"), "Gap - Invalid Consent", IF(AND(D6388="Legitimate Interest (GDPR Art. 6(1)(f))", L6388=""), "Gap - Missing LIA", IF(AND(G6388="Yes", H6388=""), "Gap - Missing Art. 9 Basis", IF(OR(I6388="Invalid - Not Freely Given", I6388="Invalid - Not Specific", I6388="Invalid - Not Informed", I6388="Invalid - Ambiguous"), "Gap - Invalid Consent", "Compliant")))))</f>
        <v/>
      </c>
      <c r="O6388" s="7" t="n"/>
    </row>
    <row r="6389">
      <c r="A6389" s="7" t="n"/>
      <c r="B6389" s="7" t="n"/>
      <c r="C6389" s="7" t="n"/>
      <c r="D6389" s="7" t="n"/>
      <c r="E6389" s="7" t="n"/>
      <c r="F6389" s="7" t="n"/>
      <c r="G6389" s="7" t="n"/>
      <c r="H6389" s="7" t="n"/>
      <c r="I6389" s="7" t="n"/>
      <c r="J6389" s="7" t="n"/>
      <c r="K6389">
        <f>IF(D6389="Legitimate Interest (GDPR Art. 6(1)(f))", "Yes / Required (Sheet 3)", "")</f>
        <v/>
      </c>
      <c r="L6389" s="7" t="n"/>
      <c r="M6389" s="7" t="n"/>
      <c r="N6389">
        <f>IF(D6389="", "Gap - No Legal Basis", IF(AND(D6389="Consent (GDPR Art. 6(1)(a))", I6389="Not Captured"), "Gap - Invalid Consent", IF(AND(D6389="Legitimate Interest (GDPR Art. 6(1)(f))", L6389=""), "Gap - Missing LIA", IF(AND(G6389="Yes", H6389=""), "Gap - Missing Art. 9 Basis", IF(OR(I6389="Invalid - Not Freely Given", I6389="Invalid - Not Specific", I6389="Invalid - Not Informed", I6389="Invalid - Ambiguous"), "Gap - Invalid Consent", "Compliant")))))</f>
        <v/>
      </c>
      <c r="O6389" s="7" t="n"/>
    </row>
    <row r="6390">
      <c r="A6390" s="7" t="n"/>
      <c r="B6390" s="7" t="n"/>
      <c r="C6390" s="7" t="n"/>
      <c r="D6390" s="7" t="n"/>
      <c r="E6390" s="7" t="n"/>
      <c r="F6390" s="7" t="n"/>
      <c r="G6390" s="7" t="n"/>
      <c r="H6390" s="7" t="n"/>
      <c r="I6390" s="7" t="n"/>
      <c r="J6390" s="7" t="n"/>
      <c r="K6390">
        <f>IF(D6390="Legitimate Interest (GDPR Art. 6(1)(f))", "Yes / Required (Sheet 3)", "")</f>
        <v/>
      </c>
      <c r="L6390" s="7" t="n"/>
      <c r="M6390" s="7" t="n"/>
      <c r="N6390">
        <f>IF(D6390="", "Gap - No Legal Basis", IF(AND(D6390="Consent (GDPR Art. 6(1)(a))", I6390="Not Captured"), "Gap - Invalid Consent", IF(AND(D6390="Legitimate Interest (GDPR Art. 6(1)(f))", L6390=""), "Gap - Missing LIA", IF(AND(G6390="Yes", H6390=""), "Gap - Missing Art. 9 Basis", IF(OR(I6390="Invalid - Not Freely Given", I6390="Invalid - Not Specific", I6390="Invalid - Not Informed", I6390="Invalid - Ambiguous"), "Gap - Invalid Consent", "Compliant")))))</f>
        <v/>
      </c>
      <c r="O6390" s="7" t="n"/>
    </row>
    <row r="6391">
      <c r="A6391" s="7" t="n"/>
      <c r="B6391" s="7" t="n"/>
      <c r="C6391" s="7" t="n"/>
      <c r="D6391" s="7" t="n"/>
      <c r="E6391" s="7" t="n"/>
      <c r="F6391" s="7" t="n"/>
      <c r="G6391" s="7" t="n"/>
      <c r="H6391" s="7" t="n"/>
      <c r="I6391" s="7" t="n"/>
      <c r="J6391" s="7" t="n"/>
      <c r="K6391">
        <f>IF(D6391="Legitimate Interest (GDPR Art. 6(1)(f))", "Yes / Required (Sheet 3)", "")</f>
        <v/>
      </c>
      <c r="L6391" s="7" t="n"/>
      <c r="M6391" s="7" t="n"/>
      <c r="N6391">
        <f>IF(D6391="", "Gap - No Legal Basis", IF(AND(D6391="Consent (GDPR Art. 6(1)(a))", I6391="Not Captured"), "Gap - Invalid Consent", IF(AND(D6391="Legitimate Interest (GDPR Art. 6(1)(f))", L6391=""), "Gap - Missing LIA", IF(AND(G6391="Yes", H6391=""), "Gap - Missing Art. 9 Basis", IF(OR(I6391="Invalid - Not Freely Given", I6391="Invalid - Not Specific", I6391="Invalid - Not Informed", I6391="Invalid - Ambiguous"), "Gap - Invalid Consent", "Compliant")))))</f>
        <v/>
      </c>
      <c r="O6391" s="7" t="n"/>
    </row>
    <row r="6392">
      <c r="A6392" s="7" t="n"/>
      <c r="B6392" s="7" t="n"/>
      <c r="C6392" s="7" t="n"/>
      <c r="D6392" s="7" t="n"/>
      <c r="E6392" s="7" t="n"/>
      <c r="F6392" s="7" t="n"/>
      <c r="G6392" s="7" t="n"/>
      <c r="H6392" s="7" t="n"/>
      <c r="I6392" s="7" t="n"/>
      <c r="J6392" s="7" t="n"/>
      <c r="K6392">
        <f>IF(D6392="Legitimate Interest (GDPR Art. 6(1)(f))", "Yes / Required (Sheet 3)", "")</f>
        <v/>
      </c>
      <c r="L6392" s="7" t="n"/>
      <c r="M6392" s="7" t="n"/>
      <c r="N6392">
        <f>IF(D6392="", "Gap - No Legal Basis", IF(AND(D6392="Consent (GDPR Art. 6(1)(a))", I6392="Not Captured"), "Gap - Invalid Consent", IF(AND(D6392="Legitimate Interest (GDPR Art. 6(1)(f))", L6392=""), "Gap - Missing LIA", IF(AND(G6392="Yes", H6392=""), "Gap - Missing Art. 9 Basis", IF(OR(I6392="Invalid - Not Freely Given", I6392="Invalid - Not Specific", I6392="Invalid - Not Informed", I6392="Invalid - Ambiguous"), "Gap - Invalid Consent", "Compliant")))))</f>
        <v/>
      </c>
      <c r="O6392" s="7" t="n"/>
    </row>
    <row r="6393">
      <c r="A6393" s="7" t="n"/>
      <c r="B6393" s="7" t="n"/>
      <c r="C6393" s="7" t="n"/>
      <c r="D6393" s="7" t="n"/>
      <c r="E6393" s="7" t="n"/>
      <c r="F6393" s="7" t="n"/>
      <c r="G6393" s="7" t="n"/>
      <c r="H6393" s="7" t="n"/>
      <c r="I6393" s="7" t="n"/>
      <c r="J6393" s="7" t="n"/>
      <c r="K6393">
        <f>IF(D6393="Legitimate Interest (GDPR Art. 6(1)(f))", "Yes / Required (Sheet 3)", "")</f>
        <v/>
      </c>
      <c r="L6393" s="7" t="n"/>
      <c r="M6393" s="7" t="n"/>
      <c r="N6393">
        <f>IF(D6393="", "Gap - No Legal Basis", IF(AND(D6393="Consent (GDPR Art. 6(1)(a))", I6393="Not Captured"), "Gap - Invalid Consent", IF(AND(D6393="Legitimate Interest (GDPR Art. 6(1)(f))", L6393=""), "Gap - Missing LIA", IF(AND(G6393="Yes", H6393=""), "Gap - Missing Art. 9 Basis", IF(OR(I6393="Invalid - Not Freely Given", I6393="Invalid - Not Specific", I6393="Invalid - Not Informed", I6393="Invalid - Ambiguous"), "Gap - Invalid Consent", "Compliant")))))</f>
        <v/>
      </c>
      <c r="O6393" s="7" t="n"/>
    </row>
    <row r="6394">
      <c r="A6394" s="7" t="n"/>
      <c r="B6394" s="7" t="n"/>
      <c r="C6394" s="7" t="n"/>
      <c r="D6394" s="7" t="n"/>
      <c r="E6394" s="7" t="n"/>
      <c r="F6394" s="7" t="n"/>
      <c r="G6394" s="7" t="n"/>
      <c r="H6394" s="7" t="n"/>
      <c r="I6394" s="7" t="n"/>
      <c r="J6394" s="7" t="n"/>
      <c r="K6394">
        <f>IF(D6394="Legitimate Interest (GDPR Art. 6(1)(f))", "Yes / Required (Sheet 3)", "")</f>
        <v/>
      </c>
      <c r="L6394" s="7" t="n"/>
      <c r="M6394" s="7" t="n"/>
      <c r="N6394">
        <f>IF(D6394="", "Gap - No Legal Basis", IF(AND(D6394="Consent (GDPR Art. 6(1)(a))", I6394="Not Captured"), "Gap - Invalid Consent", IF(AND(D6394="Legitimate Interest (GDPR Art. 6(1)(f))", L6394=""), "Gap - Missing LIA", IF(AND(G6394="Yes", H6394=""), "Gap - Missing Art. 9 Basis", IF(OR(I6394="Invalid - Not Freely Given", I6394="Invalid - Not Specific", I6394="Invalid - Not Informed", I6394="Invalid - Ambiguous"), "Gap - Invalid Consent", "Compliant")))))</f>
        <v/>
      </c>
      <c r="O6394" s="7" t="n"/>
    </row>
    <row r="6395">
      <c r="A6395" s="7" t="n"/>
      <c r="B6395" s="7" t="n"/>
      <c r="C6395" s="7" t="n"/>
      <c r="D6395" s="7" t="n"/>
      <c r="E6395" s="7" t="n"/>
      <c r="F6395" s="7" t="n"/>
      <c r="G6395" s="7" t="n"/>
      <c r="H6395" s="7" t="n"/>
      <c r="I6395" s="7" t="n"/>
      <c r="J6395" s="7" t="n"/>
      <c r="K6395">
        <f>IF(D6395="Legitimate Interest (GDPR Art. 6(1)(f))", "Yes / Required (Sheet 3)", "")</f>
        <v/>
      </c>
      <c r="L6395" s="7" t="n"/>
      <c r="M6395" s="7" t="n"/>
      <c r="N6395">
        <f>IF(D6395="", "Gap - No Legal Basis", IF(AND(D6395="Consent (GDPR Art. 6(1)(a))", I6395="Not Captured"), "Gap - Invalid Consent", IF(AND(D6395="Legitimate Interest (GDPR Art. 6(1)(f))", L6395=""), "Gap - Missing LIA", IF(AND(G6395="Yes", H6395=""), "Gap - Missing Art. 9 Basis", IF(OR(I6395="Invalid - Not Freely Given", I6395="Invalid - Not Specific", I6395="Invalid - Not Informed", I6395="Invalid - Ambiguous"), "Gap - Invalid Consent", "Compliant")))))</f>
        <v/>
      </c>
      <c r="O6395" s="7" t="n"/>
    </row>
    <row r="6396">
      <c r="A6396" s="7" t="n"/>
      <c r="B6396" s="7" t="n"/>
      <c r="C6396" s="7" t="n"/>
      <c r="D6396" s="7" t="n"/>
      <c r="E6396" s="7" t="n"/>
      <c r="F6396" s="7" t="n"/>
      <c r="G6396" s="7" t="n"/>
      <c r="H6396" s="7" t="n"/>
      <c r="I6396" s="7" t="n"/>
      <c r="J6396" s="7" t="n"/>
      <c r="K6396">
        <f>IF(D6396="Legitimate Interest (GDPR Art. 6(1)(f))", "Yes / Required (Sheet 3)", "")</f>
        <v/>
      </c>
      <c r="L6396" s="7" t="n"/>
      <c r="M6396" s="7" t="n"/>
      <c r="N6396">
        <f>IF(D6396="", "Gap - No Legal Basis", IF(AND(D6396="Consent (GDPR Art. 6(1)(a))", I6396="Not Captured"), "Gap - Invalid Consent", IF(AND(D6396="Legitimate Interest (GDPR Art. 6(1)(f))", L6396=""), "Gap - Missing LIA", IF(AND(G6396="Yes", H6396=""), "Gap - Missing Art. 9 Basis", IF(OR(I6396="Invalid - Not Freely Given", I6396="Invalid - Not Specific", I6396="Invalid - Not Informed", I6396="Invalid - Ambiguous"), "Gap - Invalid Consent", "Compliant")))))</f>
        <v/>
      </c>
      <c r="O6396" s="7" t="n"/>
    </row>
    <row r="6397">
      <c r="A6397" s="7" t="n"/>
      <c r="B6397" s="7" t="n"/>
      <c r="C6397" s="7" t="n"/>
      <c r="D6397" s="7" t="n"/>
      <c r="E6397" s="7" t="n"/>
      <c r="F6397" s="7" t="n"/>
      <c r="G6397" s="7" t="n"/>
      <c r="H6397" s="7" t="n"/>
      <c r="I6397" s="7" t="n"/>
      <c r="J6397" s="7" t="n"/>
      <c r="K6397">
        <f>IF(D6397="Legitimate Interest (GDPR Art. 6(1)(f))", "Yes / Required (Sheet 3)", "")</f>
        <v/>
      </c>
      <c r="L6397" s="7" t="n"/>
      <c r="M6397" s="7" t="n"/>
      <c r="N6397">
        <f>IF(D6397="", "Gap - No Legal Basis", IF(AND(D6397="Consent (GDPR Art. 6(1)(a))", I6397="Not Captured"), "Gap - Invalid Consent", IF(AND(D6397="Legitimate Interest (GDPR Art. 6(1)(f))", L6397=""), "Gap - Missing LIA", IF(AND(G6397="Yes", H6397=""), "Gap - Missing Art. 9 Basis", IF(OR(I6397="Invalid - Not Freely Given", I6397="Invalid - Not Specific", I6397="Invalid - Not Informed", I6397="Invalid - Ambiguous"), "Gap - Invalid Consent", "Compliant")))))</f>
        <v/>
      </c>
      <c r="O6397" s="7" t="n"/>
    </row>
    <row r="6398">
      <c r="A6398" s="7" t="n"/>
      <c r="B6398" s="7" t="n"/>
      <c r="C6398" s="7" t="n"/>
      <c r="D6398" s="7" t="n"/>
      <c r="E6398" s="7" t="n"/>
      <c r="F6398" s="7" t="n"/>
      <c r="G6398" s="7" t="n"/>
      <c r="H6398" s="7" t="n"/>
      <c r="I6398" s="7" t="n"/>
      <c r="J6398" s="7" t="n"/>
      <c r="K6398">
        <f>IF(D6398="Legitimate Interest (GDPR Art. 6(1)(f))", "Yes / Required (Sheet 3)", "")</f>
        <v/>
      </c>
      <c r="L6398" s="7" t="n"/>
      <c r="M6398" s="7" t="n"/>
      <c r="N6398">
        <f>IF(D6398="", "Gap - No Legal Basis", IF(AND(D6398="Consent (GDPR Art. 6(1)(a))", I6398="Not Captured"), "Gap - Invalid Consent", IF(AND(D6398="Legitimate Interest (GDPR Art. 6(1)(f))", L6398=""), "Gap - Missing LIA", IF(AND(G6398="Yes", H6398=""), "Gap - Missing Art. 9 Basis", IF(OR(I6398="Invalid - Not Freely Given", I6398="Invalid - Not Specific", I6398="Invalid - Not Informed", I6398="Invalid - Ambiguous"), "Gap - Invalid Consent", "Compliant")))))</f>
        <v/>
      </c>
      <c r="O6398" s="7" t="n"/>
    </row>
    <row r="6399">
      <c r="A6399" s="7" t="n"/>
      <c r="B6399" s="7" t="n"/>
      <c r="C6399" s="7" t="n"/>
      <c r="D6399" s="7" t="n"/>
      <c r="E6399" s="7" t="n"/>
      <c r="F6399" s="7" t="n"/>
      <c r="G6399" s="7" t="n"/>
      <c r="H6399" s="7" t="n"/>
      <c r="I6399" s="7" t="n"/>
      <c r="J6399" s="7" t="n"/>
      <c r="K6399">
        <f>IF(D6399="Legitimate Interest (GDPR Art. 6(1)(f))", "Yes / Required (Sheet 3)", "")</f>
        <v/>
      </c>
      <c r="L6399" s="7" t="n"/>
      <c r="M6399" s="7" t="n"/>
      <c r="N6399">
        <f>IF(D6399="", "Gap - No Legal Basis", IF(AND(D6399="Consent (GDPR Art. 6(1)(a))", I6399="Not Captured"), "Gap - Invalid Consent", IF(AND(D6399="Legitimate Interest (GDPR Art. 6(1)(f))", L6399=""), "Gap - Missing LIA", IF(AND(G6399="Yes", H6399=""), "Gap - Missing Art. 9 Basis", IF(OR(I6399="Invalid - Not Freely Given", I6399="Invalid - Not Specific", I6399="Invalid - Not Informed", I6399="Invalid - Ambiguous"), "Gap - Invalid Consent", "Compliant")))))</f>
        <v/>
      </c>
      <c r="O6399" s="7" t="n"/>
    </row>
    <row r="6400">
      <c r="A6400" s="7" t="n"/>
      <c r="B6400" s="7" t="n"/>
      <c r="C6400" s="7" t="n"/>
      <c r="D6400" s="7" t="n"/>
      <c r="E6400" s="7" t="n"/>
      <c r="F6400" s="7" t="n"/>
      <c r="G6400" s="7" t="n"/>
      <c r="H6400" s="7" t="n"/>
      <c r="I6400" s="7" t="n"/>
      <c r="J6400" s="7" t="n"/>
      <c r="K6400">
        <f>IF(D6400="Legitimate Interest (GDPR Art. 6(1)(f))", "Yes / Required (Sheet 3)", "")</f>
        <v/>
      </c>
      <c r="L6400" s="7" t="n"/>
      <c r="M6400" s="7" t="n"/>
      <c r="N6400">
        <f>IF(D6400="", "Gap - No Legal Basis", IF(AND(D6400="Consent (GDPR Art. 6(1)(a))", I6400="Not Captured"), "Gap - Invalid Consent", IF(AND(D6400="Legitimate Interest (GDPR Art. 6(1)(f))", L6400=""), "Gap - Missing LIA", IF(AND(G6400="Yes", H6400=""), "Gap - Missing Art. 9 Basis", IF(OR(I6400="Invalid - Not Freely Given", I6400="Invalid - Not Specific", I6400="Invalid - Not Informed", I6400="Invalid - Ambiguous"), "Gap - Invalid Consent", "Compliant")))))</f>
        <v/>
      </c>
      <c r="O6400" s="7" t="n"/>
    </row>
    <row r="6401">
      <c r="A6401" s="7" t="n"/>
      <c r="B6401" s="7" t="n"/>
      <c r="C6401" s="7" t="n"/>
      <c r="D6401" s="7" t="n"/>
      <c r="E6401" s="7" t="n"/>
      <c r="F6401" s="7" t="n"/>
      <c r="G6401" s="7" t="n"/>
      <c r="H6401" s="7" t="n"/>
      <c r="I6401" s="7" t="n"/>
      <c r="J6401" s="7" t="n"/>
      <c r="K6401">
        <f>IF(D6401="Legitimate Interest (GDPR Art. 6(1)(f))", "Yes / Required (Sheet 3)", "")</f>
        <v/>
      </c>
      <c r="L6401" s="7" t="n"/>
      <c r="M6401" s="7" t="n"/>
      <c r="N6401">
        <f>IF(D6401="", "Gap - No Legal Basis", IF(AND(D6401="Consent (GDPR Art. 6(1)(a))", I6401="Not Captured"), "Gap - Invalid Consent", IF(AND(D6401="Legitimate Interest (GDPR Art. 6(1)(f))", L6401=""), "Gap - Missing LIA", IF(AND(G6401="Yes", H6401=""), "Gap - Missing Art. 9 Basis", IF(OR(I6401="Invalid - Not Freely Given", I6401="Invalid - Not Specific", I6401="Invalid - Not Informed", I6401="Invalid - Ambiguous"), "Gap - Invalid Consent", "Compliant")))))</f>
        <v/>
      </c>
      <c r="O6401" s="7" t="n"/>
    </row>
    <row r="6402">
      <c r="A6402" s="7" t="n"/>
      <c r="B6402" s="7" t="n"/>
      <c r="C6402" s="7" t="n"/>
      <c r="D6402" s="7" t="n"/>
      <c r="E6402" s="7" t="n"/>
      <c r="F6402" s="7" t="n"/>
      <c r="G6402" s="7" t="n"/>
      <c r="H6402" s="7" t="n"/>
      <c r="I6402" s="7" t="n"/>
      <c r="J6402" s="7" t="n"/>
      <c r="K6402">
        <f>IF(D6402="Legitimate Interest (GDPR Art. 6(1)(f))", "Yes / Required (Sheet 3)", "")</f>
        <v/>
      </c>
      <c r="L6402" s="7" t="n"/>
      <c r="M6402" s="7" t="n"/>
      <c r="N6402">
        <f>IF(D6402="", "Gap - No Legal Basis", IF(AND(D6402="Consent (GDPR Art. 6(1)(a))", I6402="Not Captured"), "Gap - Invalid Consent", IF(AND(D6402="Legitimate Interest (GDPR Art. 6(1)(f))", L6402=""), "Gap - Missing LIA", IF(AND(G6402="Yes", H6402=""), "Gap - Missing Art. 9 Basis", IF(OR(I6402="Invalid - Not Freely Given", I6402="Invalid - Not Specific", I6402="Invalid - Not Informed", I6402="Invalid - Ambiguous"), "Gap - Invalid Consent", "Compliant")))))</f>
        <v/>
      </c>
      <c r="O6402" s="7" t="n"/>
    </row>
    <row r="6403">
      <c r="A6403" s="7" t="n"/>
      <c r="B6403" s="7" t="n"/>
      <c r="C6403" s="7" t="n"/>
      <c r="D6403" s="7" t="n"/>
      <c r="E6403" s="7" t="n"/>
      <c r="F6403" s="7" t="n"/>
      <c r="G6403" s="7" t="n"/>
      <c r="H6403" s="7" t="n"/>
      <c r="I6403" s="7" t="n"/>
      <c r="J6403" s="7" t="n"/>
      <c r="K6403">
        <f>IF(D6403="Legitimate Interest (GDPR Art. 6(1)(f))", "Yes / Required (Sheet 3)", "")</f>
        <v/>
      </c>
      <c r="L6403" s="7" t="n"/>
      <c r="M6403" s="7" t="n"/>
      <c r="N6403">
        <f>IF(D6403="", "Gap - No Legal Basis", IF(AND(D6403="Consent (GDPR Art. 6(1)(a))", I6403="Not Captured"), "Gap - Invalid Consent", IF(AND(D6403="Legitimate Interest (GDPR Art. 6(1)(f))", L6403=""), "Gap - Missing LIA", IF(AND(G6403="Yes", H6403=""), "Gap - Missing Art. 9 Basis", IF(OR(I6403="Invalid - Not Freely Given", I6403="Invalid - Not Specific", I6403="Invalid - Not Informed", I6403="Invalid - Ambiguous"), "Gap - Invalid Consent", "Compliant")))))</f>
        <v/>
      </c>
      <c r="O6403" s="7" t="n"/>
    </row>
    <row r="6404">
      <c r="A6404" s="7" t="n"/>
      <c r="B6404" s="7" t="n"/>
      <c r="C6404" s="7" t="n"/>
      <c r="D6404" s="7" t="n"/>
      <c r="E6404" s="7" t="n"/>
      <c r="F6404" s="7" t="n"/>
      <c r="G6404" s="7" t="n"/>
      <c r="H6404" s="7" t="n"/>
      <c r="I6404" s="7" t="n"/>
      <c r="J6404" s="7" t="n"/>
      <c r="K6404">
        <f>IF(D6404="Legitimate Interest (GDPR Art. 6(1)(f))", "Yes / Required (Sheet 3)", "")</f>
        <v/>
      </c>
      <c r="L6404" s="7" t="n"/>
      <c r="M6404" s="7" t="n"/>
      <c r="N6404">
        <f>IF(D6404="", "Gap - No Legal Basis", IF(AND(D6404="Consent (GDPR Art. 6(1)(a))", I6404="Not Captured"), "Gap - Invalid Consent", IF(AND(D6404="Legitimate Interest (GDPR Art. 6(1)(f))", L6404=""), "Gap - Missing LIA", IF(AND(G6404="Yes", H6404=""), "Gap - Missing Art. 9 Basis", IF(OR(I6404="Invalid - Not Freely Given", I6404="Invalid - Not Specific", I6404="Invalid - Not Informed", I6404="Invalid - Ambiguous"), "Gap - Invalid Consent", "Compliant")))))</f>
        <v/>
      </c>
      <c r="O6404" s="7" t="n"/>
    </row>
    <row r="6405">
      <c r="A6405" s="7" t="n"/>
      <c r="B6405" s="7" t="n"/>
      <c r="C6405" s="7" t="n"/>
      <c r="D6405" s="7" t="n"/>
      <c r="E6405" s="7" t="n"/>
      <c r="F6405" s="7" t="n"/>
      <c r="G6405" s="7" t="n"/>
      <c r="H6405" s="7" t="n"/>
      <c r="I6405" s="7" t="n"/>
      <c r="J6405" s="7" t="n"/>
      <c r="K6405">
        <f>IF(D6405="Legitimate Interest (GDPR Art. 6(1)(f))", "Yes / Required (Sheet 3)", "")</f>
        <v/>
      </c>
      <c r="L6405" s="7" t="n"/>
      <c r="M6405" s="7" t="n"/>
      <c r="N6405">
        <f>IF(D6405="", "Gap - No Legal Basis", IF(AND(D6405="Consent (GDPR Art. 6(1)(a))", I6405="Not Captured"), "Gap - Invalid Consent", IF(AND(D6405="Legitimate Interest (GDPR Art. 6(1)(f))", L6405=""), "Gap - Missing LIA", IF(AND(G6405="Yes", H6405=""), "Gap - Missing Art. 9 Basis", IF(OR(I6405="Invalid - Not Freely Given", I6405="Invalid - Not Specific", I6405="Invalid - Not Informed", I6405="Invalid - Ambiguous"), "Gap - Invalid Consent", "Compliant")))))</f>
        <v/>
      </c>
      <c r="O6405" s="7" t="n"/>
    </row>
    <row r="6406">
      <c r="A6406" s="7" t="n"/>
      <c r="B6406" s="7" t="n"/>
      <c r="C6406" s="7" t="n"/>
      <c r="D6406" s="7" t="n"/>
      <c r="E6406" s="7" t="n"/>
      <c r="F6406" s="7" t="n"/>
      <c r="G6406" s="7" t="n"/>
      <c r="H6406" s="7" t="n"/>
      <c r="I6406" s="7" t="n"/>
      <c r="J6406" s="7" t="n"/>
      <c r="K6406">
        <f>IF(D6406="Legitimate Interest (GDPR Art. 6(1)(f))", "Yes / Required (Sheet 3)", "")</f>
        <v/>
      </c>
      <c r="L6406" s="7" t="n"/>
      <c r="M6406" s="7" t="n"/>
      <c r="N6406">
        <f>IF(D6406="", "Gap - No Legal Basis", IF(AND(D6406="Consent (GDPR Art. 6(1)(a))", I6406="Not Captured"), "Gap - Invalid Consent", IF(AND(D6406="Legitimate Interest (GDPR Art. 6(1)(f))", L6406=""), "Gap - Missing LIA", IF(AND(G6406="Yes", H6406=""), "Gap - Missing Art. 9 Basis", IF(OR(I6406="Invalid - Not Freely Given", I6406="Invalid - Not Specific", I6406="Invalid - Not Informed", I6406="Invalid - Ambiguous"), "Gap - Invalid Consent", "Compliant")))))</f>
        <v/>
      </c>
      <c r="O6406" s="7" t="n"/>
    </row>
    <row r="6407">
      <c r="A6407" s="7" t="n"/>
      <c r="B6407" s="7" t="n"/>
      <c r="C6407" s="7" t="n"/>
      <c r="D6407" s="7" t="n"/>
      <c r="E6407" s="7" t="n"/>
      <c r="F6407" s="7" t="n"/>
      <c r="G6407" s="7" t="n"/>
      <c r="H6407" s="7" t="n"/>
      <c r="I6407" s="7" t="n"/>
      <c r="J6407" s="7" t="n"/>
      <c r="K6407">
        <f>IF(D6407="Legitimate Interest (GDPR Art. 6(1)(f))", "Yes / Required (Sheet 3)", "")</f>
        <v/>
      </c>
      <c r="L6407" s="7" t="n"/>
      <c r="M6407" s="7" t="n"/>
      <c r="N6407">
        <f>IF(D6407="", "Gap - No Legal Basis", IF(AND(D6407="Consent (GDPR Art. 6(1)(a))", I6407="Not Captured"), "Gap - Invalid Consent", IF(AND(D6407="Legitimate Interest (GDPR Art. 6(1)(f))", L6407=""), "Gap - Missing LIA", IF(AND(G6407="Yes", H6407=""), "Gap - Missing Art. 9 Basis", IF(OR(I6407="Invalid - Not Freely Given", I6407="Invalid - Not Specific", I6407="Invalid - Not Informed", I6407="Invalid - Ambiguous"), "Gap - Invalid Consent", "Compliant")))))</f>
        <v/>
      </c>
      <c r="O6407" s="7" t="n"/>
    </row>
    <row r="6408">
      <c r="A6408" s="7" t="n"/>
      <c r="B6408" s="7" t="n"/>
      <c r="C6408" s="7" t="n"/>
      <c r="D6408" s="7" t="n"/>
      <c r="E6408" s="7" t="n"/>
      <c r="F6408" s="7" t="n"/>
      <c r="G6408" s="7" t="n"/>
      <c r="H6408" s="7" t="n"/>
      <c r="I6408" s="7" t="n"/>
      <c r="J6408" s="7" t="n"/>
      <c r="K6408">
        <f>IF(D6408="Legitimate Interest (GDPR Art. 6(1)(f))", "Yes / Required (Sheet 3)", "")</f>
        <v/>
      </c>
      <c r="L6408" s="7" t="n"/>
      <c r="M6408" s="7" t="n"/>
      <c r="N6408">
        <f>IF(D6408="", "Gap - No Legal Basis", IF(AND(D6408="Consent (GDPR Art. 6(1)(a))", I6408="Not Captured"), "Gap - Invalid Consent", IF(AND(D6408="Legitimate Interest (GDPR Art. 6(1)(f))", L6408=""), "Gap - Missing LIA", IF(AND(G6408="Yes", H6408=""), "Gap - Missing Art. 9 Basis", IF(OR(I6408="Invalid - Not Freely Given", I6408="Invalid - Not Specific", I6408="Invalid - Not Informed", I6408="Invalid - Ambiguous"), "Gap - Invalid Consent", "Compliant")))))</f>
        <v/>
      </c>
      <c r="O6408" s="7" t="n"/>
    </row>
    <row r="6409">
      <c r="A6409" s="7" t="n"/>
      <c r="B6409" s="7" t="n"/>
      <c r="C6409" s="7" t="n"/>
      <c r="D6409" s="7" t="n"/>
      <c r="E6409" s="7" t="n"/>
      <c r="F6409" s="7" t="n"/>
      <c r="G6409" s="7" t="n"/>
      <c r="H6409" s="7" t="n"/>
      <c r="I6409" s="7" t="n"/>
      <c r="J6409" s="7" t="n"/>
      <c r="K6409">
        <f>IF(D6409="Legitimate Interest (GDPR Art. 6(1)(f))", "Yes / Required (Sheet 3)", "")</f>
        <v/>
      </c>
      <c r="L6409" s="7" t="n"/>
      <c r="M6409" s="7" t="n"/>
      <c r="N6409">
        <f>IF(D6409="", "Gap - No Legal Basis", IF(AND(D6409="Consent (GDPR Art. 6(1)(a))", I6409="Not Captured"), "Gap - Invalid Consent", IF(AND(D6409="Legitimate Interest (GDPR Art. 6(1)(f))", L6409=""), "Gap - Missing LIA", IF(AND(G6409="Yes", H6409=""), "Gap - Missing Art. 9 Basis", IF(OR(I6409="Invalid - Not Freely Given", I6409="Invalid - Not Specific", I6409="Invalid - Not Informed", I6409="Invalid - Ambiguous"), "Gap - Invalid Consent", "Compliant")))))</f>
        <v/>
      </c>
      <c r="O6409" s="7" t="n"/>
    </row>
    <row r="6410">
      <c r="A6410" s="7" t="n"/>
      <c r="B6410" s="7" t="n"/>
      <c r="C6410" s="7" t="n"/>
      <c r="D6410" s="7" t="n"/>
      <c r="E6410" s="7" t="n"/>
      <c r="F6410" s="7" t="n"/>
      <c r="G6410" s="7" t="n"/>
      <c r="H6410" s="7" t="n"/>
      <c r="I6410" s="7" t="n"/>
      <c r="J6410" s="7" t="n"/>
      <c r="K6410">
        <f>IF(D6410="Legitimate Interest (GDPR Art. 6(1)(f))", "Yes / Required (Sheet 3)", "")</f>
        <v/>
      </c>
      <c r="L6410" s="7" t="n"/>
      <c r="M6410" s="7" t="n"/>
      <c r="N6410">
        <f>IF(D6410="", "Gap - No Legal Basis", IF(AND(D6410="Consent (GDPR Art. 6(1)(a))", I6410="Not Captured"), "Gap - Invalid Consent", IF(AND(D6410="Legitimate Interest (GDPR Art. 6(1)(f))", L6410=""), "Gap - Missing LIA", IF(AND(G6410="Yes", H6410=""), "Gap - Missing Art. 9 Basis", IF(OR(I6410="Invalid - Not Freely Given", I6410="Invalid - Not Specific", I6410="Invalid - Not Informed", I6410="Invalid - Ambiguous"), "Gap - Invalid Consent", "Compliant")))))</f>
        <v/>
      </c>
      <c r="O6410" s="7" t="n"/>
    </row>
    <row r="6411">
      <c r="A6411" s="7" t="n"/>
      <c r="B6411" s="7" t="n"/>
      <c r="C6411" s="7" t="n"/>
      <c r="D6411" s="7" t="n"/>
      <c r="E6411" s="7" t="n"/>
      <c r="F6411" s="7" t="n"/>
      <c r="G6411" s="7" t="n"/>
      <c r="H6411" s="7" t="n"/>
      <c r="I6411" s="7" t="n"/>
      <c r="J6411" s="7" t="n"/>
      <c r="K6411">
        <f>IF(D6411="Legitimate Interest (GDPR Art. 6(1)(f))", "Yes / Required (Sheet 3)", "")</f>
        <v/>
      </c>
      <c r="L6411" s="7" t="n"/>
      <c r="M6411" s="7" t="n"/>
      <c r="N6411">
        <f>IF(D6411="", "Gap - No Legal Basis", IF(AND(D6411="Consent (GDPR Art. 6(1)(a))", I6411="Not Captured"), "Gap - Invalid Consent", IF(AND(D6411="Legitimate Interest (GDPR Art. 6(1)(f))", L6411=""), "Gap - Missing LIA", IF(AND(G6411="Yes", H6411=""), "Gap - Missing Art. 9 Basis", IF(OR(I6411="Invalid - Not Freely Given", I6411="Invalid - Not Specific", I6411="Invalid - Not Informed", I6411="Invalid - Ambiguous"), "Gap - Invalid Consent", "Compliant")))))</f>
        <v/>
      </c>
      <c r="O6411" s="7" t="n"/>
    </row>
    <row r="6412">
      <c r="A6412" s="7" t="n"/>
      <c r="B6412" s="7" t="n"/>
      <c r="C6412" s="7" t="n"/>
      <c r="D6412" s="7" t="n"/>
      <c r="E6412" s="7" t="n"/>
      <c r="F6412" s="7" t="n"/>
      <c r="G6412" s="7" t="n"/>
      <c r="H6412" s="7" t="n"/>
      <c r="I6412" s="7" t="n"/>
      <c r="J6412" s="7" t="n"/>
      <c r="K6412">
        <f>IF(D6412="Legitimate Interest (GDPR Art. 6(1)(f))", "Yes / Required (Sheet 3)", "")</f>
        <v/>
      </c>
      <c r="L6412" s="7" t="n"/>
      <c r="M6412" s="7" t="n"/>
      <c r="N6412">
        <f>IF(D6412="", "Gap - No Legal Basis", IF(AND(D6412="Consent (GDPR Art. 6(1)(a))", I6412="Not Captured"), "Gap - Invalid Consent", IF(AND(D6412="Legitimate Interest (GDPR Art. 6(1)(f))", L6412=""), "Gap - Missing LIA", IF(AND(G6412="Yes", H6412=""), "Gap - Missing Art. 9 Basis", IF(OR(I6412="Invalid - Not Freely Given", I6412="Invalid - Not Specific", I6412="Invalid - Not Informed", I6412="Invalid - Ambiguous"), "Gap - Invalid Consent", "Compliant")))))</f>
        <v/>
      </c>
      <c r="O6412" s="7" t="n"/>
    </row>
    <row r="6413">
      <c r="A6413" s="7" t="n"/>
      <c r="B6413" s="7" t="n"/>
      <c r="C6413" s="7" t="n"/>
      <c r="D6413" s="7" t="n"/>
      <c r="E6413" s="7" t="n"/>
      <c r="F6413" s="7" t="n"/>
      <c r="G6413" s="7" t="n"/>
      <c r="H6413" s="7" t="n"/>
      <c r="I6413" s="7" t="n"/>
      <c r="J6413" s="7" t="n"/>
      <c r="K6413">
        <f>IF(D6413="Legitimate Interest (GDPR Art. 6(1)(f))", "Yes / Required (Sheet 3)", "")</f>
        <v/>
      </c>
      <c r="L6413" s="7" t="n"/>
      <c r="M6413" s="7" t="n"/>
      <c r="N6413">
        <f>IF(D6413="", "Gap - No Legal Basis", IF(AND(D6413="Consent (GDPR Art. 6(1)(a))", I6413="Not Captured"), "Gap - Invalid Consent", IF(AND(D6413="Legitimate Interest (GDPR Art. 6(1)(f))", L6413=""), "Gap - Missing LIA", IF(AND(G6413="Yes", H6413=""), "Gap - Missing Art. 9 Basis", IF(OR(I6413="Invalid - Not Freely Given", I6413="Invalid - Not Specific", I6413="Invalid - Not Informed", I6413="Invalid - Ambiguous"), "Gap - Invalid Consent", "Compliant")))))</f>
        <v/>
      </c>
      <c r="O6413" s="7" t="n"/>
    </row>
    <row r="6414">
      <c r="A6414" s="7" t="n"/>
      <c r="B6414" s="7" t="n"/>
      <c r="C6414" s="7" t="n"/>
      <c r="D6414" s="7" t="n"/>
      <c r="E6414" s="7" t="n"/>
      <c r="F6414" s="7" t="n"/>
      <c r="G6414" s="7" t="n"/>
      <c r="H6414" s="7" t="n"/>
      <c r="I6414" s="7" t="n"/>
      <c r="J6414" s="7" t="n"/>
      <c r="K6414">
        <f>IF(D6414="Legitimate Interest (GDPR Art. 6(1)(f))", "Yes / Required (Sheet 3)", "")</f>
        <v/>
      </c>
      <c r="L6414" s="7" t="n"/>
      <c r="M6414" s="7" t="n"/>
      <c r="N6414">
        <f>IF(D6414="", "Gap - No Legal Basis", IF(AND(D6414="Consent (GDPR Art. 6(1)(a))", I6414="Not Captured"), "Gap - Invalid Consent", IF(AND(D6414="Legitimate Interest (GDPR Art. 6(1)(f))", L6414=""), "Gap - Missing LIA", IF(AND(G6414="Yes", H6414=""), "Gap - Missing Art. 9 Basis", IF(OR(I6414="Invalid - Not Freely Given", I6414="Invalid - Not Specific", I6414="Invalid - Not Informed", I6414="Invalid - Ambiguous"), "Gap - Invalid Consent", "Compliant")))))</f>
        <v/>
      </c>
      <c r="O6414" s="7" t="n"/>
    </row>
    <row r="6415">
      <c r="A6415" s="7" t="n"/>
      <c r="B6415" s="7" t="n"/>
      <c r="C6415" s="7" t="n"/>
      <c r="D6415" s="7" t="n"/>
      <c r="E6415" s="7" t="n"/>
      <c r="F6415" s="7" t="n"/>
      <c r="G6415" s="7" t="n"/>
      <c r="H6415" s="7" t="n"/>
      <c r="I6415" s="7" t="n"/>
      <c r="J6415" s="7" t="n"/>
      <c r="K6415">
        <f>IF(D6415="Legitimate Interest (GDPR Art. 6(1)(f))", "Yes / Required (Sheet 3)", "")</f>
        <v/>
      </c>
      <c r="L6415" s="7" t="n"/>
      <c r="M6415" s="7" t="n"/>
      <c r="N6415">
        <f>IF(D6415="", "Gap - No Legal Basis", IF(AND(D6415="Consent (GDPR Art. 6(1)(a))", I6415="Not Captured"), "Gap - Invalid Consent", IF(AND(D6415="Legitimate Interest (GDPR Art. 6(1)(f))", L6415=""), "Gap - Missing LIA", IF(AND(G6415="Yes", H6415=""), "Gap - Missing Art. 9 Basis", IF(OR(I6415="Invalid - Not Freely Given", I6415="Invalid - Not Specific", I6415="Invalid - Not Informed", I6415="Invalid - Ambiguous"), "Gap - Invalid Consent", "Compliant")))))</f>
        <v/>
      </c>
      <c r="O6415" s="7" t="n"/>
    </row>
    <row r="6416">
      <c r="A6416" s="7" t="n"/>
      <c r="B6416" s="7" t="n"/>
      <c r="C6416" s="7" t="n"/>
      <c r="D6416" s="7" t="n"/>
      <c r="E6416" s="7" t="n"/>
      <c r="F6416" s="7" t="n"/>
      <c r="G6416" s="7" t="n"/>
      <c r="H6416" s="7" t="n"/>
      <c r="I6416" s="7" t="n"/>
      <c r="J6416" s="7" t="n"/>
      <c r="K6416">
        <f>IF(D6416="Legitimate Interest (GDPR Art. 6(1)(f))", "Yes / Required (Sheet 3)", "")</f>
        <v/>
      </c>
      <c r="L6416" s="7" t="n"/>
      <c r="M6416" s="7" t="n"/>
      <c r="N6416">
        <f>IF(D6416="", "Gap - No Legal Basis", IF(AND(D6416="Consent (GDPR Art. 6(1)(a))", I6416="Not Captured"), "Gap - Invalid Consent", IF(AND(D6416="Legitimate Interest (GDPR Art. 6(1)(f))", L6416=""), "Gap - Missing LIA", IF(AND(G6416="Yes", H6416=""), "Gap - Missing Art. 9 Basis", IF(OR(I6416="Invalid - Not Freely Given", I6416="Invalid - Not Specific", I6416="Invalid - Not Informed", I6416="Invalid - Ambiguous"), "Gap - Invalid Consent", "Compliant")))))</f>
        <v/>
      </c>
      <c r="O6416" s="7" t="n"/>
    </row>
    <row r="6417">
      <c r="A6417" s="7" t="n"/>
      <c r="B6417" s="7" t="n"/>
      <c r="C6417" s="7" t="n"/>
      <c r="D6417" s="7" t="n"/>
      <c r="E6417" s="7" t="n"/>
      <c r="F6417" s="7" t="n"/>
      <c r="G6417" s="7" t="n"/>
      <c r="H6417" s="7" t="n"/>
      <c r="I6417" s="7" t="n"/>
      <c r="J6417" s="7" t="n"/>
      <c r="K6417">
        <f>IF(D6417="Legitimate Interest (GDPR Art. 6(1)(f))", "Yes / Required (Sheet 3)", "")</f>
        <v/>
      </c>
      <c r="L6417" s="7" t="n"/>
      <c r="M6417" s="7" t="n"/>
      <c r="N6417">
        <f>IF(D6417="", "Gap - No Legal Basis", IF(AND(D6417="Consent (GDPR Art. 6(1)(a))", I6417="Not Captured"), "Gap - Invalid Consent", IF(AND(D6417="Legitimate Interest (GDPR Art. 6(1)(f))", L6417=""), "Gap - Missing LIA", IF(AND(G6417="Yes", H6417=""), "Gap - Missing Art. 9 Basis", IF(OR(I6417="Invalid - Not Freely Given", I6417="Invalid - Not Specific", I6417="Invalid - Not Informed", I6417="Invalid - Ambiguous"), "Gap - Invalid Consent", "Compliant")))))</f>
        <v/>
      </c>
      <c r="O6417" s="7" t="n"/>
    </row>
    <row r="6418">
      <c r="A6418" s="7" t="n"/>
      <c r="B6418" s="7" t="n"/>
      <c r="C6418" s="7" t="n"/>
      <c r="D6418" s="7" t="n"/>
      <c r="E6418" s="7" t="n"/>
      <c r="F6418" s="7" t="n"/>
      <c r="G6418" s="7" t="n"/>
      <c r="H6418" s="7" t="n"/>
      <c r="I6418" s="7" t="n"/>
      <c r="J6418" s="7" t="n"/>
      <c r="K6418">
        <f>IF(D6418="Legitimate Interest (GDPR Art. 6(1)(f))", "Yes / Required (Sheet 3)", "")</f>
        <v/>
      </c>
      <c r="L6418" s="7" t="n"/>
      <c r="M6418" s="7" t="n"/>
      <c r="N6418">
        <f>IF(D6418="", "Gap - No Legal Basis", IF(AND(D6418="Consent (GDPR Art. 6(1)(a))", I6418="Not Captured"), "Gap - Invalid Consent", IF(AND(D6418="Legitimate Interest (GDPR Art. 6(1)(f))", L6418=""), "Gap - Missing LIA", IF(AND(G6418="Yes", H6418=""), "Gap - Missing Art. 9 Basis", IF(OR(I6418="Invalid - Not Freely Given", I6418="Invalid - Not Specific", I6418="Invalid - Not Informed", I6418="Invalid - Ambiguous"), "Gap - Invalid Consent", "Compliant")))))</f>
        <v/>
      </c>
      <c r="O6418" s="7" t="n"/>
    </row>
    <row r="6419">
      <c r="A6419" s="7" t="n"/>
      <c r="B6419" s="7" t="n"/>
      <c r="C6419" s="7" t="n"/>
      <c r="D6419" s="7" t="n"/>
      <c r="E6419" s="7" t="n"/>
      <c r="F6419" s="7" t="n"/>
      <c r="G6419" s="7" t="n"/>
      <c r="H6419" s="7" t="n"/>
      <c r="I6419" s="7" t="n"/>
      <c r="J6419" s="7" t="n"/>
      <c r="K6419">
        <f>IF(D6419="Legitimate Interest (GDPR Art. 6(1)(f))", "Yes / Required (Sheet 3)", "")</f>
        <v/>
      </c>
      <c r="L6419" s="7" t="n"/>
      <c r="M6419" s="7" t="n"/>
      <c r="N6419">
        <f>IF(D6419="", "Gap - No Legal Basis", IF(AND(D6419="Consent (GDPR Art. 6(1)(a))", I6419="Not Captured"), "Gap - Invalid Consent", IF(AND(D6419="Legitimate Interest (GDPR Art. 6(1)(f))", L6419=""), "Gap - Missing LIA", IF(AND(G6419="Yes", H6419=""), "Gap - Missing Art. 9 Basis", IF(OR(I6419="Invalid - Not Freely Given", I6419="Invalid - Not Specific", I6419="Invalid - Not Informed", I6419="Invalid - Ambiguous"), "Gap - Invalid Consent", "Compliant")))))</f>
        <v/>
      </c>
      <c r="O6419" s="7" t="n"/>
    </row>
    <row r="6420">
      <c r="A6420" s="7" t="n"/>
      <c r="B6420" s="7" t="n"/>
      <c r="C6420" s="7" t="n"/>
      <c r="D6420" s="7" t="n"/>
      <c r="E6420" s="7" t="n"/>
      <c r="F6420" s="7" t="n"/>
      <c r="G6420" s="7" t="n"/>
      <c r="H6420" s="7" t="n"/>
      <c r="I6420" s="7" t="n"/>
      <c r="J6420" s="7" t="n"/>
      <c r="K6420">
        <f>IF(D6420="Legitimate Interest (GDPR Art. 6(1)(f))", "Yes / Required (Sheet 3)", "")</f>
        <v/>
      </c>
      <c r="L6420" s="7" t="n"/>
      <c r="M6420" s="7" t="n"/>
      <c r="N6420">
        <f>IF(D6420="", "Gap - No Legal Basis", IF(AND(D6420="Consent (GDPR Art. 6(1)(a))", I6420="Not Captured"), "Gap - Invalid Consent", IF(AND(D6420="Legitimate Interest (GDPR Art. 6(1)(f))", L6420=""), "Gap - Missing LIA", IF(AND(G6420="Yes", H6420=""), "Gap - Missing Art. 9 Basis", IF(OR(I6420="Invalid - Not Freely Given", I6420="Invalid - Not Specific", I6420="Invalid - Not Informed", I6420="Invalid - Ambiguous"), "Gap - Invalid Consent", "Compliant")))))</f>
        <v/>
      </c>
      <c r="O6420" s="7" t="n"/>
    </row>
    <row r="6421">
      <c r="A6421" s="7" t="n"/>
      <c r="B6421" s="7" t="n"/>
      <c r="C6421" s="7" t="n"/>
      <c r="D6421" s="7" t="n"/>
      <c r="E6421" s="7" t="n"/>
      <c r="F6421" s="7" t="n"/>
      <c r="G6421" s="7" t="n"/>
      <c r="H6421" s="7" t="n"/>
      <c r="I6421" s="7" t="n"/>
      <c r="J6421" s="7" t="n"/>
      <c r="K6421">
        <f>IF(D6421="Legitimate Interest (GDPR Art. 6(1)(f))", "Yes / Required (Sheet 3)", "")</f>
        <v/>
      </c>
      <c r="L6421" s="7" t="n"/>
      <c r="M6421" s="7" t="n"/>
      <c r="N6421">
        <f>IF(D6421="", "Gap - No Legal Basis", IF(AND(D6421="Consent (GDPR Art. 6(1)(a))", I6421="Not Captured"), "Gap - Invalid Consent", IF(AND(D6421="Legitimate Interest (GDPR Art. 6(1)(f))", L6421=""), "Gap - Missing LIA", IF(AND(G6421="Yes", H6421=""), "Gap - Missing Art. 9 Basis", IF(OR(I6421="Invalid - Not Freely Given", I6421="Invalid - Not Specific", I6421="Invalid - Not Informed", I6421="Invalid - Ambiguous"), "Gap - Invalid Consent", "Compliant")))))</f>
        <v/>
      </c>
      <c r="O6421" s="7" t="n"/>
    </row>
    <row r="6422">
      <c r="A6422" s="7" t="n"/>
      <c r="B6422" s="7" t="n"/>
      <c r="C6422" s="7" t="n"/>
      <c r="D6422" s="7" t="n"/>
      <c r="E6422" s="7" t="n"/>
      <c r="F6422" s="7" t="n"/>
      <c r="G6422" s="7" t="n"/>
      <c r="H6422" s="7" t="n"/>
      <c r="I6422" s="7" t="n"/>
      <c r="J6422" s="7" t="n"/>
      <c r="K6422">
        <f>IF(D6422="Legitimate Interest (GDPR Art. 6(1)(f))", "Yes / Required (Sheet 3)", "")</f>
        <v/>
      </c>
      <c r="L6422" s="7" t="n"/>
      <c r="M6422" s="7" t="n"/>
      <c r="N6422">
        <f>IF(D6422="", "Gap - No Legal Basis", IF(AND(D6422="Consent (GDPR Art. 6(1)(a))", I6422="Not Captured"), "Gap - Invalid Consent", IF(AND(D6422="Legitimate Interest (GDPR Art. 6(1)(f))", L6422=""), "Gap - Missing LIA", IF(AND(G6422="Yes", H6422=""), "Gap - Missing Art. 9 Basis", IF(OR(I6422="Invalid - Not Freely Given", I6422="Invalid - Not Specific", I6422="Invalid - Not Informed", I6422="Invalid - Ambiguous"), "Gap - Invalid Consent", "Compliant")))))</f>
        <v/>
      </c>
      <c r="O6422" s="7" t="n"/>
    </row>
    <row r="6423">
      <c r="A6423" s="7" t="n"/>
      <c r="B6423" s="7" t="n"/>
      <c r="C6423" s="7" t="n"/>
      <c r="D6423" s="7" t="n"/>
      <c r="E6423" s="7" t="n"/>
      <c r="F6423" s="7" t="n"/>
      <c r="G6423" s="7" t="n"/>
      <c r="H6423" s="7" t="n"/>
      <c r="I6423" s="7" t="n"/>
      <c r="J6423" s="7" t="n"/>
      <c r="K6423">
        <f>IF(D6423="Legitimate Interest (GDPR Art. 6(1)(f))", "Yes / Required (Sheet 3)", "")</f>
        <v/>
      </c>
      <c r="L6423" s="7" t="n"/>
      <c r="M6423" s="7" t="n"/>
      <c r="N6423">
        <f>IF(D6423="", "Gap - No Legal Basis", IF(AND(D6423="Consent (GDPR Art. 6(1)(a))", I6423="Not Captured"), "Gap - Invalid Consent", IF(AND(D6423="Legitimate Interest (GDPR Art. 6(1)(f))", L6423=""), "Gap - Missing LIA", IF(AND(G6423="Yes", H6423=""), "Gap - Missing Art. 9 Basis", IF(OR(I6423="Invalid - Not Freely Given", I6423="Invalid - Not Specific", I6423="Invalid - Not Informed", I6423="Invalid - Ambiguous"), "Gap - Invalid Consent", "Compliant")))))</f>
        <v/>
      </c>
      <c r="O6423" s="7" t="n"/>
    </row>
    <row r="6424">
      <c r="A6424" s="7" t="n"/>
      <c r="B6424" s="7" t="n"/>
      <c r="C6424" s="7" t="n"/>
      <c r="D6424" s="7" t="n"/>
      <c r="E6424" s="7" t="n"/>
      <c r="F6424" s="7" t="n"/>
      <c r="G6424" s="7" t="n"/>
      <c r="H6424" s="7" t="n"/>
      <c r="I6424" s="7" t="n"/>
      <c r="J6424" s="7" t="n"/>
      <c r="K6424">
        <f>IF(D6424="Legitimate Interest (GDPR Art. 6(1)(f))", "Yes / Required (Sheet 3)", "")</f>
        <v/>
      </c>
      <c r="L6424" s="7" t="n"/>
      <c r="M6424" s="7" t="n"/>
      <c r="N6424">
        <f>IF(D6424="", "Gap - No Legal Basis", IF(AND(D6424="Consent (GDPR Art. 6(1)(a))", I6424="Not Captured"), "Gap - Invalid Consent", IF(AND(D6424="Legitimate Interest (GDPR Art. 6(1)(f))", L6424=""), "Gap - Missing LIA", IF(AND(G6424="Yes", H6424=""), "Gap - Missing Art. 9 Basis", IF(OR(I6424="Invalid - Not Freely Given", I6424="Invalid - Not Specific", I6424="Invalid - Not Informed", I6424="Invalid - Ambiguous"), "Gap - Invalid Consent", "Compliant")))))</f>
        <v/>
      </c>
      <c r="O6424" s="7" t="n"/>
    </row>
    <row r="6425">
      <c r="A6425" s="7" t="n"/>
      <c r="B6425" s="7" t="n"/>
      <c r="C6425" s="7" t="n"/>
      <c r="D6425" s="7" t="n"/>
      <c r="E6425" s="7" t="n"/>
      <c r="F6425" s="7" t="n"/>
      <c r="G6425" s="7" t="n"/>
      <c r="H6425" s="7" t="n"/>
      <c r="I6425" s="7" t="n"/>
      <c r="J6425" s="7" t="n"/>
      <c r="K6425">
        <f>IF(D6425="Legitimate Interest (GDPR Art. 6(1)(f))", "Yes / Required (Sheet 3)", "")</f>
        <v/>
      </c>
      <c r="L6425" s="7" t="n"/>
      <c r="M6425" s="7" t="n"/>
      <c r="N6425">
        <f>IF(D6425="", "Gap - No Legal Basis", IF(AND(D6425="Consent (GDPR Art. 6(1)(a))", I6425="Not Captured"), "Gap - Invalid Consent", IF(AND(D6425="Legitimate Interest (GDPR Art. 6(1)(f))", L6425=""), "Gap - Missing LIA", IF(AND(G6425="Yes", H6425=""), "Gap - Missing Art. 9 Basis", IF(OR(I6425="Invalid - Not Freely Given", I6425="Invalid - Not Specific", I6425="Invalid - Not Informed", I6425="Invalid - Ambiguous"), "Gap - Invalid Consent", "Compliant")))))</f>
        <v/>
      </c>
      <c r="O6425" s="7" t="n"/>
    </row>
    <row r="6426">
      <c r="A6426" s="7" t="n"/>
      <c r="B6426" s="7" t="n"/>
      <c r="C6426" s="7" t="n"/>
      <c r="D6426" s="7" t="n"/>
      <c r="E6426" s="7" t="n"/>
      <c r="F6426" s="7" t="n"/>
      <c r="G6426" s="7" t="n"/>
      <c r="H6426" s="7" t="n"/>
      <c r="I6426" s="7" t="n"/>
      <c r="J6426" s="7" t="n"/>
      <c r="K6426">
        <f>IF(D6426="Legitimate Interest (GDPR Art. 6(1)(f))", "Yes / Required (Sheet 3)", "")</f>
        <v/>
      </c>
      <c r="L6426" s="7" t="n"/>
      <c r="M6426" s="7" t="n"/>
      <c r="N6426">
        <f>IF(D6426="", "Gap - No Legal Basis", IF(AND(D6426="Consent (GDPR Art. 6(1)(a))", I6426="Not Captured"), "Gap - Invalid Consent", IF(AND(D6426="Legitimate Interest (GDPR Art. 6(1)(f))", L6426=""), "Gap - Missing LIA", IF(AND(G6426="Yes", H6426=""), "Gap - Missing Art. 9 Basis", IF(OR(I6426="Invalid - Not Freely Given", I6426="Invalid - Not Specific", I6426="Invalid - Not Informed", I6426="Invalid - Ambiguous"), "Gap - Invalid Consent", "Compliant")))))</f>
        <v/>
      </c>
      <c r="O6426" s="7" t="n"/>
    </row>
    <row r="6427">
      <c r="A6427" s="7" t="n"/>
      <c r="B6427" s="7" t="n"/>
      <c r="C6427" s="7" t="n"/>
      <c r="D6427" s="7" t="n"/>
      <c r="E6427" s="7" t="n"/>
      <c r="F6427" s="7" t="n"/>
      <c r="G6427" s="7" t="n"/>
      <c r="H6427" s="7" t="n"/>
      <c r="I6427" s="7" t="n"/>
      <c r="J6427" s="7" t="n"/>
      <c r="K6427">
        <f>IF(D6427="Legitimate Interest (GDPR Art. 6(1)(f))", "Yes / Required (Sheet 3)", "")</f>
        <v/>
      </c>
      <c r="L6427" s="7" t="n"/>
      <c r="M6427" s="7" t="n"/>
      <c r="N6427">
        <f>IF(D6427="", "Gap - No Legal Basis", IF(AND(D6427="Consent (GDPR Art. 6(1)(a))", I6427="Not Captured"), "Gap - Invalid Consent", IF(AND(D6427="Legitimate Interest (GDPR Art. 6(1)(f))", L6427=""), "Gap - Missing LIA", IF(AND(G6427="Yes", H6427=""), "Gap - Missing Art. 9 Basis", IF(OR(I6427="Invalid - Not Freely Given", I6427="Invalid - Not Specific", I6427="Invalid - Not Informed", I6427="Invalid - Ambiguous"), "Gap - Invalid Consent", "Compliant")))))</f>
        <v/>
      </c>
      <c r="O6427" s="7" t="n"/>
    </row>
    <row r="6428">
      <c r="A6428" s="7" t="n"/>
      <c r="B6428" s="7" t="n"/>
      <c r="C6428" s="7" t="n"/>
      <c r="D6428" s="7" t="n"/>
      <c r="E6428" s="7" t="n"/>
      <c r="F6428" s="7" t="n"/>
      <c r="G6428" s="7" t="n"/>
      <c r="H6428" s="7" t="n"/>
      <c r="I6428" s="7" t="n"/>
      <c r="J6428" s="7" t="n"/>
      <c r="K6428">
        <f>IF(D6428="Legitimate Interest (GDPR Art. 6(1)(f))", "Yes / Required (Sheet 3)", "")</f>
        <v/>
      </c>
      <c r="L6428" s="7" t="n"/>
      <c r="M6428" s="7" t="n"/>
      <c r="N6428">
        <f>IF(D6428="", "Gap - No Legal Basis", IF(AND(D6428="Consent (GDPR Art. 6(1)(a))", I6428="Not Captured"), "Gap - Invalid Consent", IF(AND(D6428="Legitimate Interest (GDPR Art. 6(1)(f))", L6428=""), "Gap - Missing LIA", IF(AND(G6428="Yes", H6428=""), "Gap - Missing Art. 9 Basis", IF(OR(I6428="Invalid - Not Freely Given", I6428="Invalid - Not Specific", I6428="Invalid - Not Informed", I6428="Invalid - Ambiguous"), "Gap - Invalid Consent", "Compliant")))))</f>
        <v/>
      </c>
      <c r="O6428" s="7" t="n"/>
    </row>
    <row r="6429">
      <c r="A6429" s="7" t="n"/>
      <c r="B6429" s="7" t="n"/>
      <c r="C6429" s="7" t="n"/>
      <c r="D6429" s="7" t="n"/>
      <c r="E6429" s="7" t="n"/>
      <c r="F6429" s="7" t="n"/>
      <c r="G6429" s="7" t="n"/>
      <c r="H6429" s="7" t="n"/>
      <c r="I6429" s="7" t="n"/>
      <c r="J6429" s="7" t="n"/>
      <c r="K6429">
        <f>IF(D6429="Legitimate Interest (GDPR Art. 6(1)(f))", "Yes / Required (Sheet 3)", "")</f>
        <v/>
      </c>
      <c r="L6429" s="7" t="n"/>
      <c r="M6429" s="7" t="n"/>
      <c r="N6429">
        <f>IF(D6429="", "Gap - No Legal Basis", IF(AND(D6429="Consent (GDPR Art. 6(1)(a))", I6429="Not Captured"), "Gap - Invalid Consent", IF(AND(D6429="Legitimate Interest (GDPR Art. 6(1)(f))", L6429=""), "Gap - Missing LIA", IF(AND(G6429="Yes", H6429=""), "Gap - Missing Art. 9 Basis", IF(OR(I6429="Invalid - Not Freely Given", I6429="Invalid - Not Specific", I6429="Invalid - Not Informed", I6429="Invalid - Ambiguous"), "Gap - Invalid Consent", "Compliant")))))</f>
        <v/>
      </c>
      <c r="O6429" s="7" t="n"/>
    </row>
    <row r="6430">
      <c r="A6430" s="7" t="n"/>
      <c r="B6430" s="7" t="n"/>
      <c r="C6430" s="7" t="n"/>
      <c r="D6430" s="7" t="n"/>
      <c r="E6430" s="7" t="n"/>
      <c r="F6430" s="7" t="n"/>
      <c r="G6430" s="7" t="n"/>
      <c r="H6430" s="7" t="n"/>
      <c r="I6430" s="7" t="n"/>
      <c r="J6430" s="7" t="n"/>
      <c r="K6430">
        <f>IF(D6430="Legitimate Interest (GDPR Art. 6(1)(f))", "Yes / Required (Sheet 3)", "")</f>
        <v/>
      </c>
      <c r="L6430" s="7" t="n"/>
      <c r="M6430" s="7" t="n"/>
      <c r="N6430">
        <f>IF(D6430="", "Gap - No Legal Basis", IF(AND(D6430="Consent (GDPR Art. 6(1)(a))", I6430="Not Captured"), "Gap - Invalid Consent", IF(AND(D6430="Legitimate Interest (GDPR Art. 6(1)(f))", L6430=""), "Gap - Missing LIA", IF(AND(G6430="Yes", H6430=""), "Gap - Missing Art. 9 Basis", IF(OR(I6430="Invalid - Not Freely Given", I6430="Invalid - Not Specific", I6430="Invalid - Not Informed", I6430="Invalid - Ambiguous"), "Gap - Invalid Consent", "Compliant")))))</f>
        <v/>
      </c>
      <c r="O6430" s="7" t="n"/>
    </row>
    <row r="6431">
      <c r="A6431" s="7" t="n"/>
      <c r="B6431" s="7" t="n"/>
      <c r="C6431" s="7" t="n"/>
      <c r="D6431" s="7" t="n"/>
      <c r="E6431" s="7" t="n"/>
      <c r="F6431" s="7" t="n"/>
      <c r="G6431" s="7" t="n"/>
      <c r="H6431" s="7" t="n"/>
      <c r="I6431" s="7" t="n"/>
      <c r="J6431" s="7" t="n"/>
      <c r="K6431">
        <f>IF(D6431="Legitimate Interest (GDPR Art. 6(1)(f))", "Yes / Required (Sheet 3)", "")</f>
        <v/>
      </c>
      <c r="L6431" s="7" t="n"/>
      <c r="M6431" s="7" t="n"/>
      <c r="N6431">
        <f>IF(D6431="", "Gap - No Legal Basis", IF(AND(D6431="Consent (GDPR Art. 6(1)(a))", I6431="Not Captured"), "Gap - Invalid Consent", IF(AND(D6431="Legitimate Interest (GDPR Art. 6(1)(f))", L6431=""), "Gap - Missing LIA", IF(AND(G6431="Yes", H6431=""), "Gap - Missing Art. 9 Basis", IF(OR(I6431="Invalid - Not Freely Given", I6431="Invalid - Not Specific", I6431="Invalid - Not Informed", I6431="Invalid - Ambiguous"), "Gap - Invalid Consent", "Compliant")))))</f>
        <v/>
      </c>
      <c r="O6431" s="7" t="n"/>
    </row>
    <row r="6432">
      <c r="A6432" s="7" t="n"/>
      <c r="B6432" s="7" t="n"/>
      <c r="C6432" s="7" t="n"/>
      <c r="D6432" s="7" t="n"/>
      <c r="E6432" s="7" t="n"/>
      <c r="F6432" s="7" t="n"/>
      <c r="G6432" s="7" t="n"/>
      <c r="H6432" s="7" t="n"/>
      <c r="I6432" s="7" t="n"/>
      <c r="J6432" s="7" t="n"/>
      <c r="K6432">
        <f>IF(D6432="Legitimate Interest (GDPR Art. 6(1)(f))", "Yes / Required (Sheet 3)", "")</f>
        <v/>
      </c>
      <c r="L6432" s="7" t="n"/>
      <c r="M6432" s="7" t="n"/>
      <c r="N6432">
        <f>IF(D6432="", "Gap - No Legal Basis", IF(AND(D6432="Consent (GDPR Art. 6(1)(a))", I6432="Not Captured"), "Gap - Invalid Consent", IF(AND(D6432="Legitimate Interest (GDPR Art. 6(1)(f))", L6432=""), "Gap - Missing LIA", IF(AND(G6432="Yes", H6432=""), "Gap - Missing Art. 9 Basis", IF(OR(I6432="Invalid - Not Freely Given", I6432="Invalid - Not Specific", I6432="Invalid - Not Informed", I6432="Invalid - Ambiguous"), "Gap - Invalid Consent", "Compliant")))))</f>
        <v/>
      </c>
      <c r="O6432" s="7" t="n"/>
    </row>
    <row r="6433">
      <c r="A6433" s="7" t="n"/>
      <c r="B6433" s="7" t="n"/>
      <c r="C6433" s="7" t="n"/>
      <c r="D6433" s="7" t="n"/>
      <c r="E6433" s="7" t="n"/>
      <c r="F6433" s="7" t="n"/>
      <c r="G6433" s="7" t="n"/>
      <c r="H6433" s="7" t="n"/>
      <c r="I6433" s="7" t="n"/>
      <c r="J6433" s="7" t="n"/>
      <c r="K6433">
        <f>IF(D6433="Legitimate Interest (GDPR Art. 6(1)(f))", "Yes / Required (Sheet 3)", "")</f>
        <v/>
      </c>
      <c r="L6433" s="7" t="n"/>
      <c r="M6433" s="7" t="n"/>
      <c r="N6433">
        <f>IF(D6433="", "Gap - No Legal Basis", IF(AND(D6433="Consent (GDPR Art. 6(1)(a))", I6433="Not Captured"), "Gap - Invalid Consent", IF(AND(D6433="Legitimate Interest (GDPR Art. 6(1)(f))", L6433=""), "Gap - Missing LIA", IF(AND(G6433="Yes", H6433=""), "Gap - Missing Art. 9 Basis", IF(OR(I6433="Invalid - Not Freely Given", I6433="Invalid - Not Specific", I6433="Invalid - Not Informed", I6433="Invalid - Ambiguous"), "Gap - Invalid Consent", "Compliant")))))</f>
        <v/>
      </c>
      <c r="O6433" s="7" t="n"/>
    </row>
    <row r="6434">
      <c r="A6434" s="7" t="n"/>
      <c r="B6434" s="7" t="n"/>
      <c r="C6434" s="7" t="n"/>
      <c r="D6434" s="7" t="n"/>
      <c r="E6434" s="7" t="n"/>
      <c r="F6434" s="7" t="n"/>
      <c r="G6434" s="7" t="n"/>
      <c r="H6434" s="7" t="n"/>
      <c r="I6434" s="7" t="n"/>
      <c r="J6434" s="7" t="n"/>
      <c r="K6434">
        <f>IF(D6434="Legitimate Interest (GDPR Art. 6(1)(f))", "Yes / Required (Sheet 3)", "")</f>
        <v/>
      </c>
      <c r="L6434" s="7" t="n"/>
      <c r="M6434" s="7" t="n"/>
      <c r="N6434">
        <f>IF(D6434="", "Gap - No Legal Basis", IF(AND(D6434="Consent (GDPR Art. 6(1)(a))", I6434="Not Captured"), "Gap - Invalid Consent", IF(AND(D6434="Legitimate Interest (GDPR Art. 6(1)(f))", L6434=""), "Gap - Missing LIA", IF(AND(G6434="Yes", H6434=""), "Gap - Missing Art. 9 Basis", IF(OR(I6434="Invalid - Not Freely Given", I6434="Invalid - Not Specific", I6434="Invalid - Not Informed", I6434="Invalid - Ambiguous"), "Gap - Invalid Consent", "Compliant")))))</f>
        <v/>
      </c>
      <c r="O6434" s="7" t="n"/>
    </row>
    <row r="6435">
      <c r="A6435" s="7" t="n"/>
      <c r="B6435" s="7" t="n"/>
      <c r="C6435" s="7" t="n"/>
      <c r="D6435" s="7" t="n"/>
      <c r="E6435" s="7" t="n"/>
      <c r="F6435" s="7" t="n"/>
      <c r="G6435" s="7" t="n"/>
      <c r="H6435" s="7" t="n"/>
      <c r="I6435" s="7" t="n"/>
      <c r="J6435" s="7" t="n"/>
      <c r="K6435">
        <f>IF(D6435="Legitimate Interest (GDPR Art. 6(1)(f))", "Yes / Required (Sheet 3)", "")</f>
        <v/>
      </c>
      <c r="L6435" s="7" t="n"/>
      <c r="M6435" s="7" t="n"/>
      <c r="N6435">
        <f>IF(D6435="", "Gap - No Legal Basis", IF(AND(D6435="Consent (GDPR Art. 6(1)(a))", I6435="Not Captured"), "Gap - Invalid Consent", IF(AND(D6435="Legitimate Interest (GDPR Art. 6(1)(f))", L6435=""), "Gap - Missing LIA", IF(AND(G6435="Yes", H6435=""), "Gap - Missing Art. 9 Basis", IF(OR(I6435="Invalid - Not Freely Given", I6435="Invalid - Not Specific", I6435="Invalid - Not Informed", I6435="Invalid - Ambiguous"), "Gap - Invalid Consent", "Compliant")))))</f>
        <v/>
      </c>
      <c r="O6435" s="7" t="n"/>
    </row>
    <row r="6436">
      <c r="A6436" s="7" t="n"/>
      <c r="B6436" s="7" t="n"/>
      <c r="C6436" s="7" t="n"/>
      <c r="D6436" s="7" t="n"/>
      <c r="E6436" s="7" t="n"/>
      <c r="F6436" s="7" t="n"/>
      <c r="G6436" s="7" t="n"/>
      <c r="H6436" s="7" t="n"/>
      <c r="I6436" s="7" t="n"/>
      <c r="J6436" s="7" t="n"/>
      <c r="K6436">
        <f>IF(D6436="Legitimate Interest (GDPR Art. 6(1)(f))", "Yes / Required (Sheet 3)", "")</f>
        <v/>
      </c>
      <c r="L6436" s="7" t="n"/>
      <c r="M6436" s="7" t="n"/>
      <c r="N6436">
        <f>IF(D6436="", "Gap - No Legal Basis", IF(AND(D6436="Consent (GDPR Art. 6(1)(a))", I6436="Not Captured"), "Gap - Invalid Consent", IF(AND(D6436="Legitimate Interest (GDPR Art. 6(1)(f))", L6436=""), "Gap - Missing LIA", IF(AND(G6436="Yes", H6436=""), "Gap - Missing Art. 9 Basis", IF(OR(I6436="Invalid - Not Freely Given", I6436="Invalid - Not Specific", I6436="Invalid - Not Informed", I6436="Invalid - Ambiguous"), "Gap - Invalid Consent", "Compliant")))))</f>
        <v/>
      </c>
      <c r="O6436" s="7" t="n"/>
    </row>
    <row r="6437">
      <c r="A6437" s="7" t="n"/>
      <c r="B6437" s="7" t="n"/>
      <c r="C6437" s="7" t="n"/>
      <c r="D6437" s="7" t="n"/>
      <c r="E6437" s="7" t="n"/>
      <c r="F6437" s="7" t="n"/>
      <c r="G6437" s="7" t="n"/>
      <c r="H6437" s="7" t="n"/>
      <c r="I6437" s="7" t="n"/>
      <c r="J6437" s="7" t="n"/>
      <c r="K6437">
        <f>IF(D6437="Legitimate Interest (GDPR Art. 6(1)(f))", "Yes / Required (Sheet 3)", "")</f>
        <v/>
      </c>
      <c r="L6437" s="7" t="n"/>
      <c r="M6437" s="7" t="n"/>
      <c r="N6437">
        <f>IF(D6437="", "Gap - No Legal Basis", IF(AND(D6437="Consent (GDPR Art. 6(1)(a))", I6437="Not Captured"), "Gap - Invalid Consent", IF(AND(D6437="Legitimate Interest (GDPR Art. 6(1)(f))", L6437=""), "Gap - Missing LIA", IF(AND(G6437="Yes", H6437=""), "Gap - Missing Art. 9 Basis", IF(OR(I6437="Invalid - Not Freely Given", I6437="Invalid - Not Specific", I6437="Invalid - Not Informed", I6437="Invalid - Ambiguous"), "Gap - Invalid Consent", "Compliant")))))</f>
        <v/>
      </c>
      <c r="O6437" s="7" t="n"/>
    </row>
    <row r="6438">
      <c r="A6438" s="7" t="n"/>
      <c r="B6438" s="7" t="n"/>
      <c r="C6438" s="7" t="n"/>
      <c r="D6438" s="7" t="n"/>
      <c r="E6438" s="7" t="n"/>
      <c r="F6438" s="7" t="n"/>
      <c r="G6438" s="7" t="n"/>
      <c r="H6438" s="7" t="n"/>
      <c r="I6438" s="7" t="n"/>
      <c r="J6438" s="7" t="n"/>
      <c r="K6438">
        <f>IF(D6438="Legitimate Interest (GDPR Art. 6(1)(f))", "Yes / Required (Sheet 3)", "")</f>
        <v/>
      </c>
      <c r="L6438" s="7" t="n"/>
      <c r="M6438" s="7" t="n"/>
      <c r="N6438">
        <f>IF(D6438="", "Gap - No Legal Basis", IF(AND(D6438="Consent (GDPR Art. 6(1)(a))", I6438="Not Captured"), "Gap - Invalid Consent", IF(AND(D6438="Legitimate Interest (GDPR Art. 6(1)(f))", L6438=""), "Gap - Missing LIA", IF(AND(G6438="Yes", H6438=""), "Gap - Missing Art. 9 Basis", IF(OR(I6438="Invalid - Not Freely Given", I6438="Invalid - Not Specific", I6438="Invalid - Not Informed", I6438="Invalid - Ambiguous"), "Gap - Invalid Consent", "Compliant")))))</f>
        <v/>
      </c>
      <c r="O6438" s="7" t="n"/>
    </row>
    <row r="6439">
      <c r="A6439" s="7" t="n"/>
      <c r="B6439" s="7" t="n"/>
      <c r="C6439" s="7" t="n"/>
      <c r="D6439" s="7" t="n"/>
      <c r="E6439" s="7" t="n"/>
      <c r="F6439" s="7" t="n"/>
      <c r="G6439" s="7" t="n"/>
      <c r="H6439" s="7" t="n"/>
      <c r="I6439" s="7" t="n"/>
      <c r="J6439" s="7" t="n"/>
      <c r="K6439">
        <f>IF(D6439="Legitimate Interest (GDPR Art. 6(1)(f))", "Yes / Required (Sheet 3)", "")</f>
        <v/>
      </c>
      <c r="L6439" s="7" t="n"/>
      <c r="M6439" s="7" t="n"/>
      <c r="N6439">
        <f>IF(D6439="", "Gap - No Legal Basis", IF(AND(D6439="Consent (GDPR Art. 6(1)(a))", I6439="Not Captured"), "Gap - Invalid Consent", IF(AND(D6439="Legitimate Interest (GDPR Art. 6(1)(f))", L6439=""), "Gap - Missing LIA", IF(AND(G6439="Yes", H6439=""), "Gap - Missing Art. 9 Basis", IF(OR(I6439="Invalid - Not Freely Given", I6439="Invalid - Not Specific", I6439="Invalid - Not Informed", I6439="Invalid - Ambiguous"), "Gap - Invalid Consent", "Compliant")))))</f>
        <v/>
      </c>
      <c r="O6439" s="7" t="n"/>
    </row>
    <row r="6440">
      <c r="A6440" s="7" t="n"/>
      <c r="B6440" s="7" t="n"/>
      <c r="C6440" s="7" t="n"/>
      <c r="D6440" s="7" t="n"/>
      <c r="E6440" s="7" t="n"/>
      <c r="F6440" s="7" t="n"/>
      <c r="G6440" s="7" t="n"/>
      <c r="H6440" s="7" t="n"/>
      <c r="I6440" s="7" t="n"/>
      <c r="J6440" s="7" t="n"/>
      <c r="K6440">
        <f>IF(D6440="Legitimate Interest (GDPR Art. 6(1)(f))", "Yes / Required (Sheet 3)", "")</f>
        <v/>
      </c>
      <c r="L6440" s="7" t="n"/>
      <c r="M6440" s="7" t="n"/>
      <c r="N6440">
        <f>IF(D6440="", "Gap - No Legal Basis", IF(AND(D6440="Consent (GDPR Art. 6(1)(a))", I6440="Not Captured"), "Gap - Invalid Consent", IF(AND(D6440="Legitimate Interest (GDPR Art. 6(1)(f))", L6440=""), "Gap - Missing LIA", IF(AND(G6440="Yes", H6440=""), "Gap - Missing Art. 9 Basis", IF(OR(I6440="Invalid - Not Freely Given", I6440="Invalid - Not Specific", I6440="Invalid - Not Informed", I6440="Invalid - Ambiguous"), "Gap - Invalid Consent", "Compliant")))))</f>
        <v/>
      </c>
      <c r="O6440" s="7" t="n"/>
    </row>
    <row r="6441">
      <c r="A6441" s="7" t="n"/>
      <c r="B6441" s="7" t="n"/>
      <c r="C6441" s="7" t="n"/>
      <c r="D6441" s="7" t="n"/>
      <c r="E6441" s="7" t="n"/>
      <c r="F6441" s="7" t="n"/>
      <c r="G6441" s="7" t="n"/>
      <c r="H6441" s="7" t="n"/>
      <c r="I6441" s="7" t="n"/>
      <c r="J6441" s="7" t="n"/>
      <c r="K6441">
        <f>IF(D6441="Legitimate Interest (GDPR Art. 6(1)(f))", "Yes / Required (Sheet 3)", "")</f>
        <v/>
      </c>
      <c r="L6441" s="7" t="n"/>
      <c r="M6441" s="7" t="n"/>
      <c r="N6441">
        <f>IF(D6441="", "Gap - No Legal Basis", IF(AND(D6441="Consent (GDPR Art. 6(1)(a))", I6441="Not Captured"), "Gap - Invalid Consent", IF(AND(D6441="Legitimate Interest (GDPR Art. 6(1)(f))", L6441=""), "Gap - Missing LIA", IF(AND(G6441="Yes", H6441=""), "Gap - Missing Art. 9 Basis", IF(OR(I6441="Invalid - Not Freely Given", I6441="Invalid - Not Specific", I6441="Invalid - Not Informed", I6441="Invalid - Ambiguous"), "Gap - Invalid Consent", "Compliant")))))</f>
        <v/>
      </c>
      <c r="O6441" s="7" t="n"/>
    </row>
    <row r="6442">
      <c r="A6442" s="7" t="n"/>
      <c r="B6442" s="7" t="n"/>
      <c r="C6442" s="7" t="n"/>
      <c r="D6442" s="7" t="n"/>
      <c r="E6442" s="7" t="n"/>
      <c r="F6442" s="7" t="n"/>
      <c r="G6442" s="7" t="n"/>
      <c r="H6442" s="7" t="n"/>
      <c r="I6442" s="7" t="n"/>
      <c r="J6442" s="7" t="n"/>
      <c r="K6442">
        <f>IF(D6442="Legitimate Interest (GDPR Art. 6(1)(f))", "Yes / Required (Sheet 3)", "")</f>
        <v/>
      </c>
      <c r="L6442" s="7" t="n"/>
      <c r="M6442" s="7" t="n"/>
      <c r="N6442">
        <f>IF(D6442="", "Gap - No Legal Basis", IF(AND(D6442="Consent (GDPR Art. 6(1)(a))", I6442="Not Captured"), "Gap - Invalid Consent", IF(AND(D6442="Legitimate Interest (GDPR Art. 6(1)(f))", L6442=""), "Gap - Missing LIA", IF(AND(G6442="Yes", H6442=""), "Gap - Missing Art. 9 Basis", IF(OR(I6442="Invalid - Not Freely Given", I6442="Invalid - Not Specific", I6442="Invalid - Not Informed", I6442="Invalid - Ambiguous"), "Gap - Invalid Consent", "Compliant")))))</f>
        <v/>
      </c>
      <c r="O6442" s="7" t="n"/>
    </row>
    <row r="6443">
      <c r="A6443" s="7" t="n"/>
      <c r="B6443" s="7" t="n"/>
      <c r="C6443" s="7" t="n"/>
      <c r="D6443" s="7" t="n"/>
      <c r="E6443" s="7" t="n"/>
      <c r="F6443" s="7" t="n"/>
      <c r="G6443" s="7" t="n"/>
      <c r="H6443" s="7" t="n"/>
      <c r="I6443" s="7" t="n"/>
      <c r="J6443" s="7" t="n"/>
      <c r="K6443">
        <f>IF(D6443="Legitimate Interest (GDPR Art. 6(1)(f))", "Yes / Required (Sheet 3)", "")</f>
        <v/>
      </c>
      <c r="L6443" s="7" t="n"/>
      <c r="M6443" s="7" t="n"/>
      <c r="N6443">
        <f>IF(D6443="", "Gap - No Legal Basis", IF(AND(D6443="Consent (GDPR Art. 6(1)(a))", I6443="Not Captured"), "Gap - Invalid Consent", IF(AND(D6443="Legitimate Interest (GDPR Art. 6(1)(f))", L6443=""), "Gap - Missing LIA", IF(AND(G6443="Yes", H6443=""), "Gap - Missing Art. 9 Basis", IF(OR(I6443="Invalid - Not Freely Given", I6443="Invalid - Not Specific", I6443="Invalid - Not Informed", I6443="Invalid - Ambiguous"), "Gap - Invalid Consent", "Compliant")))))</f>
        <v/>
      </c>
      <c r="O6443" s="7" t="n"/>
    </row>
    <row r="6444">
      <c r="A6444" s="7" t="n"/>
      <c r="B6444" s="7" t="n"/>
      <c r="C6444" s="7" t="n"/>
      <c r="D6444" s="7" t="n"/>
      <c r="E6444" s="7" t="n"/>
      <c r="F6444" s="7" t="n"/>
      <c r="G6444" s="7" t="n"/>
      <c r="H6444" s="7" t="n"/>
      <c r="I6444" s="7" t="n"/>
      <c r="J6444" s="7" t="n"/>
      <c r="K6444">
        <f>IF(D6444="Legitimate Interest (GDPR Art. 6(1)(f))", "Yes / Required (Sheet 3)", "")</f>
        <v/>
      </c>
      <c r="L6444" s="7" t="n"/>
      <c r="M6444" s="7" t="n"/>
      <c r="N6444">
        <f>IF(D6444="", "Gap - No Legal Basis", IF(AND(D6444="Consent (GDPR Art. 6(1)(a))", I6444="Not Captured"), "Gap - Invalid Consent", IF(AND(D6444="Legitimate Interest (GDPR Art. 6(1)(f))", L6444=""), "Gap - Missing LIA", IF(AND(G6444="Yes", H6444=""), "Gap - Missing Art. 9 Basis", IF(OR(I6444="Invalid - Not Freely Given", I6444="Invalid - Not Specific", I6444="Invalid - Not Informed", I6444="Invalid - Ambiguous"), "Gap - Invalid Consent", "Compliant")))))</f>
        <v/>
      </c>
      <c r="O6444" s="7" t="n"/>
    </row>
    <row r="6445">
      <c r="A6445" s="7" t="n"/>
      <c r="B6445" s="7" t="n"/>
      <c r="C6445" s="7" t="n"/>
      <c r="D6445" s="7" t="n"/>
      <c r="E6445" s="7" t="n"/>
      <c r="F6445" s="7" t="n"/>
      <c r="G6445" s="7" t="n"/>
      <c r="H6445" s="7" t="n"/>
      <c r="I6445" s="7" t="n"/>
      <c r="J6445" s="7" t="n"/>
      <c r="K6445">
        <f>IF(D6445="Legitimate Interest (GDPR Art. 6(1)(f))", "Yes / Required (Sheet 3)", "")</f>
        <v/>
      </c>
      <c r="L6445" s="7" t="n"/>
      <c r="M6445" s="7" t="n"/>
      <c r="N6445">
        <f>IF(D6445="", "Gap - No Legal Basis", IF(AND(D6445="Consent (GDPR Art. 6(1)(a))", I6445="Not Captured"), "Gap - Invalid Consent", IF(AND(D6445="Legitimate Interest (GDPR Art. 6(1)(f))", L6445=""), "Gap - Missing LIA", IF(AND(G6445="Yes", H6445=""), "Gap - Missing Art. 9 Basis", IF(OR(I6445="Invalid - Not Freely Given", I6445="Invalid - Not Specific", I6445="Invalid - Not Informed", I6445="Invalid - Ambiguous"), "Gap - Invalid Consent", "Compliant")))))</f>
        <v/>
      </c>
      <c r="O6445" s="7" t="n"/>
    </row>
    <row r="6446">
      <c r="A6446" s="7" t="n"/>
      <c r="B6446" s="7" t="n"/>
      <c r="C6446" s="7" t="n"/>
      <c r="D6446" s="7" t="n"/>
      <c r="E6446" s="7" t="n"/>
      <c r="F6446" s="7" t="n"/>
      <c r="G6446" s="7" t="n"/>
      <c r="H6446" s="7" t="n"/>
      <c r="I6446" s="7" t="n"/>
      <c r="J6446" s="7" t="n"/>
      <c r="K6446">
        <f>IF(D6446="Legitimate Interest (GDPR Art. 6(1)(f))", "Yes / Required (Sheet 3)", "")</f>
        <v/>
      </c>
      <c r="L6446" s="7" t="n"/>
      <c r="M6446" s="7" t="n"/>
      <c r="N6446">
        <f>IF(D6446="", "Gap - No Legal Basis", IF(AND(D6446="Consent (GDPR Art. 6(1)(a))", I6446="Not Captured"), "Gap - Invalid Consent", IF(AND(D6446="Legitimate Interest (GDPR Art. 6(1)(f))", L6446=""), "Gap - Missing LIA", IF(AND(G6446="Yes", H6446=""), "Gap - Missing Art. 9 Basis", IF(OR(I6446="Invalid - Not Freely Given", I6446="Invalid - Not Specific", I6446="Invalid - Not Informed", I6446="Invalid - Ambiguous"), "Gap - Invalid Consent", "Compliant")))))</f>
        <v/>
      </c>
      <c r="O6446" s="7" t="n"/>
    </row>
    <row r="6447">
      <c r="A6447" s="7" t="n"/>
      <c r="B6447" s="7" t="n"/>
      <c r="C6447" s="7" t="n"/>
      <c r="D6447" s="7" t="n"/>
      <c r="E6447" s="7" t="n"/>
      <c r="F6447" s="7" t="n"/>
      <c r="G6447" s="7" t="n"/>
      <c r="H6447" s="7" t="n"/>
      <c r="I6447" s="7" t="n"/>
      <c r="J6447" s="7" t="n"/>
      <c r="K6447">
        <f>IF(D6447="Legitimate Interest (GDPR Art. 6(1)(f))", "Yes / Required (Sheet 3)", "")</f>
        <v/>
      </c>
      <c r="L6447" s="7" t="n"/>
      <c r="M6447" s="7" t="n"/>
      <c r="N6447">
        <f>IF(D6447="", "Gap - No Legal Basis", IF(AND(D6447="Consent (GDPR Art. 6(1)(a))", I6447="Not Captured"), "Gap - Invalid Consent", IF(AND(D6447="Legitimate Interest (GDPR Art. 6(1)(f))", L6447=""), "Gap - Missing LIA", IF(AND(G6447="Yes", H6447=""), "Gap - Missing Art. 9 Basis", IF(OR(I6447="Invalid - Not Freely Given", I6447="Invalid - Not Specific", I6447="Invalid - Not Informed", I6447="Invalid - Ambiguous"), "Gap - Invalid Consent", "Compliant")))))</f>
        <v/>
      </c>
      <c r="O6447" s="7" t="n"/>
    </row>
    <row r="6448">
      <c r="A6448" s="7" t="n"/>
      <c r="B6448" s="7" t="n"/>
      <c r="C6448" s="7" t="n"/>
      <c r="D6448" s="7" t="n"/>
      <c r="E6448" s="7" t="n"/>
      <c r="F6448" s="7" t="n"/>
      <c r="G6448" s="7" t="n"/>
      <c r="H6448" s="7" t="n"/>
      <c r="I6448" s="7" t="n"/>
      <c r="J6448" s="7" t="n"/>
      <c r="K6448">
        <f>IF(D6448="Legitimate Interest (GDPR Art. 6(1)(f))", "Yes / Required (Sheet 3)", "")</f>
        <v/>
      </c>
      <c r="L6448" s="7" t="n"/>
      <c r="M6448" s="7" t="n"/>
      <c r="N6448">
        <f>IF(D6448="", "Gap - No Legal Basis", IF(AND(D6448="Consent (GDPR Art. 6(1)(a))", I6448="Not Captured"), "Gap - Invalid Consent", IF(AND(D6448="Legitimate Interest (GDPR Art. 6(1)(f))", L6448=""), "Gap - Missing LIA", IF(AND(G6448="Yes", H6448=""), "Gap - Missing Art. 9 Basis", IF(OR(I6448="Invalid - Not Freely Given", I6448="Invalid - Not Specific", I6448="Invalid - Not Informed", I6448="Invalid - Ambiguous"), "Gap - Invalid Consent", "Compliant")))))</f>
        <v/>
      </c>
      <c r="O6448" s="7" t="n"/>
    </row>
    <row r="6449">
      <c r="A6449" s="7" t="n"/>
      <c r="B6449" s="7" t="n"/>
      <c r="C6449" s="7" t="n"/>
      <c r="D6449" s="7" t="n"/>
      <c r="E6449" s="7" t="n"/>
      <c r="F6449" s="7" t="n"/>
      <c r="G6449" s="7" t="n"/>
      <c r="H6449" s="7" t="n"/>
      <c r="I6449" s="7" t="n"/>
      <c r="J6449" s="7" t="n"/>
      <c r="K6449">
        <f>IF(D6449="Legitimate Interest (GDPR Art. 6(1)(f))", "Yes / Required (Sheet 3)", "")</f>
        <v/>
      </c>
      <c r="L6449" s="7" t="n"/>
      <c r="M6449" s="7" t="n"/>
      <c r="N6449">
        <f>IF(D6449="", "Gap - No Legal Basis", IF(AND(D6449="Consent (GDPR Art. 6(1)(a))", I6449="Not Captured"), "Gap - Invalid Consent", IF(AND(D6449="Legitimate Interest (GDPR Art. 6(1)(f))", L6449=""), "Gap - Missing LIA", IF(AND(G6449="Yes", H6449=""), "Gap - Missing Art. 9 Basis", IF(OR(I6449="Invalid - Not Freely Given", I6449="Invalid - Not Specific", I6449="Invalid - Not Informed", I6449="Invalid - Ambiguous"), "Gap - Invalid Consent", "Compliant")))))</f>
        <v/>
      </c>
      <c r="O6449" s="7" t="n"/>
    </row>
    <row r="6450">
      <c r="A6450" s="7" t="n"/>
      <c r="B6450" s="7" t="n"/>
      <c r="C6450" s="7" t="n"/>
      <c r="D6450" s="7" t="n"/>
      <c r="E6450" s="7" t="n"/>
      <c r="F6450" s="7" t="n"/>
      <c r="G6450" s="7" t="n"/>
      <c r="H6450" s="7" t="n"/>
      <c r="I6450" s="7" t="n"/>
      <c r="J6450" s="7" t="n"/>
      <c r="K6450">
        <f>IF(D6450="Legitimate Interest (GDPR Art. 6(1)(f))", "Yes / Required (Sheet 3)", "")</f>
        <v/>
      </c>
      <c r="L6450" s="7" t="n"/>
      <c r="M6450" s="7" t="n"/>
      <c r="N6450">
        <f>IF(D6450="", "Gap - No Legal Basis", IF(AND(D6450="Consent (GDPR Art. 6(1)(a))", I6450="Not Captured"), "Gap - Invalid Consent", IF(AND(D6450="Legitimate Interest (GDPR Art. 6(1)(f))", L6450=""), "Gap - Missing LIA", IF(AND(G6450="Yes", H6450=""), "Gap - Missing Art. 9 Basis", IF(OR(I6450="Invalid - Not Freely Given", I6450="Invalid - Not Specific", I6450="Invalid - Not Informed", I6450="Invalid - Ambiguous"), "Gap - Invalid Consent", "Compliant")))))</f>
        <v/>
      </c>
      <c r="O6450" s="7" t="n"/>
    </row>
    <row r="6451">
      <c r="A6451" s="7" t="n"/>
      <c r="B6451" s="7" t="n"/>
      <c r="C6451" s="7" t="n"/>
      <c r="D6451" s="7" t="n"/>
      <c r="E6451" s="7" t="n"/>
      <c r="F6451" s="7" t="n"/>
      <c r="G6451" s="7" t="n"/>
      <c r="H6451" s="7" t="n"/>
      <c r="I6451" s="7" t="n"/>
      <c r="J6451" s="7" t="n"/>
      <c r="K6451">
        <f>IF(D6451="Legitimate Interest (GDPR Art. 6(1)(f))", "Yes / Required (Sheet 3)", "")</f>
        <v/>
      </c>
      <c r="L6451" s="7" t="n"/>
      <c r="M6451" s="7" t="n"/>
      <c r="N6451">
        <f>IF(D6451="", "Gap - No Legal Basis", IF(AND(D6451="Consent (GDPR Art. 6(1)(a))", I6451="Not Captured"), "Gap - Invalid Consent", IF(AND(D6451="Legitimate Interest (GDPR Art. 6(1)(f))", L6451=""), "Gap - Missing LIA", IF(AND(G6451="Yes", H6451=""), "Gap - Missing Art. 9 Basis", IF(OR(I6451="Invalid - Not Freely Given", I6451="Invalid - Not Specific", I6451="Invalid - Not Informed", I6451="Invalid - Ambiguous"), "Gap - Invalid Consent", "Compliant")))))</f>
        <v/>
      </c>
      <c r="O6451" s="7" t="n"/>
    </row>
    <row r="6452">
      <c r="A6452" s="7" t="n"/>
      <c r="B6452" s="7" t="n"/>
      <c r="C6452" s="7" t="n"/>
      <c r="D6452" s="7" t="n"/>
      <c r="E6452" s="7" t="n"/>
      <c r="F6452" s="7" t="n"/>
      <c r="G6452" s="7" t="n"/>
      <c r="H6452" s="7" t="n"/>
      <c r="I6452" s="7" t="n"/>
      <c r="J6452" s="7" t="n"/>
      <c r="K6452">
        <f>IF(D6452="Legitimate Interest (GDPR Art. 6(1)(f))", "Yes / Required (Sheet 3)", "")</f>
        <v/>
      </c>
      <c r="L6452" s="7" t="n"/>
      <c r="M6452" s="7" t="n"/>
      <c r="N6452">
        <f>IF(D6452="", "Gap - No Legal Basis", IF(AND(D6452="Consent (GDPR Art. 6(1)(a))", I6452="Not Captured"), "Gap - Invalid Consent", IF(AND(D6452="Legitimate Interest (GDPR Art. 6(1)(f))", L6452=""), "Gap - Missing LIA", IF(AND(G6452="Yes", H6452=""), "Gap - Missing Art. 9 Basis", IF(OR(I6452="Invalid - Not Freely Given", I6452="Invalid - Not Specific", I6452="Invalid - Not Informed", I6452="Invalid - Ambiguous"), "Gap - Invalid Consent", "Compliant")))))</f>
        <v/>
      </c>
      <c r="O6452" s="7" t="n"/>
    </row>
    <row r="6453">
      <c r="A6453" s="7" t="n"/>
      <c r="B6453" s="7" t="n"/>
      <c r="C6453" s="7" t="n"/>
      <c r="D6453" s="7" t="n"/>
      <c r="E6453" s="7" t="n"/>
      <c r="F6453" s="7" t="n"/>
      <c r="G6453" s="7" t="n"/>
      <c r="H6453" s="7" t="n"/>
      <c r="I6453" s="7" t="n"/>
      <c r="J6453" s="7" t="n"/>
      <c r="K6453">
        <f>IF(D6453="Legitimate Interest (GDPR Art. 6(1)(f))", "Yes / Required (Sheet 3)", "")</f>
        <v/>
      </c>
      <c r="L6453" s="7" t="n"/>
      <c r="M6453" s="7" t="n"/>
      <c r="N6453">
        <f>IF(D6453="", "Gap - No Legal Basis", IF(AND(D6453="Consent (GDPR Art. 6(1)(a))", I6453="Not Captured"), "Gap - Invalid Consent", IF(AND(D6453="Legitimate Interest (GDPR Art. 6(1)(f))", L6453=""), "Gap - Missing LIA", IF(AND(G6453="Yes", H6453=""), "Gap - Missing Art. 9 Basis", IF(OR(I6453="Invalid - Not Freely Given", I6453="Invalid - Not Specific", I6453="Invalid - Not Informed", I6453="Invalid - Ambiguous"), "Gap - Invalid Consent", "Compliant")))))</f>
        <v/>
      </c>
      <c r="O6453" s="7" t="n"/>
    </row>
    <row r="6454">
      <c r="A6454" s="7" t="n"/>
      <c r="B6454" s="7" t="n"/>
      <c r="C6454" s="7" t="n"/>
      <c r="D6454" s="7" t="n"/>
      <c r="E6454" s="7" t="n"/>
      <c r="F6454" s="7" t="n"/>
      <c r="G6454" s="7" t="n"/>
      <c r="H6454" s="7" t="n"/>
      <c r="I6454" s="7" t="n"/>
      <c r="J6454" s="7" t="n"/>
      <c r="K6454">
        <f>IF(D6454="Legitimate Interest (GDPR Art. 6(1)(f))", "Yes / Required (Sheet 3)", "")</f>
        <v/>
      </c>
      <c r="L6454" s="7" t="n"/>
      <c r="M6454" s="7" t="n"/>
      <c r="N6454">
        <f>IF(D6454="", "Gap - No Legal Basis", IF(AND(D6454="Consent (GDPR Art. 6(1)(a))", I6454="Not Captured"), "Gap - Invalid Consent", IF(AND(D6454="Legitimate Interest (GDPR Art. 6(1)(f))", L6454=""), "Gap - Missing LIA", IF(AND(G6454="Yes", H6454=""), "Gap - Missing Art. 9 Basis", IF(OR(I6454="Invalid - Not Freely Given", I6454="Invalid - Not Specific", I6454="Invalid - Not Informed", I6454="Invalid - Ambiguous"), "Gap - Invalid Consent", "Compliant")))))</f>
        <v/>
      </c>
      <c r="O6454" s="7" t="n"/>
    </row>
    <row r="6455">
      <c r="A6455" s="7" t="n"/>
      <c r="B6455" s="7" t="n"/>
      <c r="C6455" s="7" t="n"/>
      <c r="D6455" s="7" t="n"/>
      <c r="E6455" s="7" t="n"/>
      <c r="F6455" s="7" t="n"/>
      <c r="G6455" s="7" t="n"/>
      <c r="H6455" s="7" t="n"/>
      <c r="I6455" s="7" t="n"/>
      <c r="J6455" s="7" t="n"/>
      <c r="K6455">
        <f>IF(D6455="Legitimate Interest (GDPR Art. 6(1)(f))", "Yes / Required (Sheet 3)", "")</f>
        <v/>
      </c>
      <c r="L6455" s="7" t="n"/>
      <c r="M6455" s="7" t="n"/>
      <c r="N6455">
        <f>IF(D6455="", "Gap - No Legal Basis", IF(AND(D6455="Consent (GDPR Art. 6(1)(a))", I6455="Not Captured"), "Gap - Invalid Consent", IF(AND(D6455="Legitimate Interest (GDPR Art. 6(1)(f))", L6455=""), "Gap - Missing LIA", IF(AND(G6455="Yes", H6455=""), "Gap - Missing Art. 9 Basis", IF(OR(I6455="Invalid - Not Freely Given", I6455="Invalid - Not Specific", I6455="Invalid - Not Informed", I6455="Invalid - Ambiguous"), "Gap - Invalid Consent", "Compliant")))))</f>
        <v/>
      </c>
      <c r="O6455" s="7" t="n"/>
    </row>
    <row r="6456">
      <c r="A6456" s="7" t="n"/>
      <c r="B6456" s="7" t="n"/>
      <c r="C6456" s="7" t="n"/>
      <c r="D6456" s="7" t="n"/>
      <c r="E6456" s="7" t="n"/>
      <c r="F6456" s="7" t="n"/>
      <c r="G6456" s="7" t="n"/>
      <c r="H6456" s="7" t="n"/>
      <c r="I6456" s="7" t="n"/>
      <c r="J6456" s="7" t="n"/>
      <c r="K6456">
        <f>IF(D6456="Legitimate Interest (GDPR Art. 6(1)(f))", "Yes / Required (Sheet 3)", "")</f>
        <v/>
      </c>
      <c r="L6456" s="7" t="n"/>
      <c r="M6456" s="7" t="n"/>
      <c r="N6456">
        <f>IF(D6456="", "Gap - No Legal Basis", IF(AND(D6456="Consent (GDPR Art. 6(1)(a))", I6456="Not Captured"), "Gap - Invalid Consent", IF(AND(D6456="Legitimate Interest (GDPR Art. 6(1)(f))", L6456=""), "Gap - Missing LIA", IF(AND(G6456="Yes", H6456=""), "Gap - Missing Art. 9 Basis", IF(OR(I6456="Invalid - Not Freely Given", I6456="Invalid - Not Specific", I6456="Invalid - Not Informed", I6456="Invalid - Ambiguous"), "Gap - Invalid Consent", "Compliant")))))</f>
        <v/>
      </c>
      <c r="O6456" s="7" t="n"/>
    </row>
    <row r="6457">
      <c r="A6457" s="7" t="n"/>
      <c r="B6457" s="7" t="n"/>
      <c r="C6457" s="7" t="n"/>
      <c r="D6457" s="7" t="n"/>
      <c r="E6457" s="7" t="n"/>
      <c r="F6457" s="7" t="n"/>
      <c r="G6457" s="7" t="n"/>
      <c r="H6457" s="7" t="n"/>
      <c r="I6457" s="7" t="n"/>
      <c r="J6457" s="7" t="n"/>
      <c r="K6457">
        <f>IF(D6457="Legitimate Interest (GDPR Art. 6(1)(f))", "Yes / Required (Sheet 3)", "")</f>
        <v/>
      </c>
      <c r="L6457" s="7" t="n"/>
      <c r="M6457" s="7" t="n"/>
      <c r="N6457">
        <f>IF(D6457="", "Gap - No Legal Basis", IF(AND(D6457="Consent (GDPR Art. 6(1)(a))", I6457="Not Captured"), "Gap - Invalid Consent", IF(AND(D6457="Legitimate Interest (GDPR Art. 6(1)(f))", L6457=""), "Gap - Missing LIA", IF(AND(G6457="Yes", H6457=""), "Gap - Missing Art. 9 Basis", IF(OR(I6457="Invalid - Not Freely Given", I6457="Invalid - Not Specific", I6457="Invalid - Not Informed", I6457="Invalid - Ambiguous"), "Gap - Invalid Consent", "Compliant")))))</f>
        <v/>
      </c>
      <c r="O6457" s="7" t="n"/>
    </row>
    <row r="6458">
      <c r="A6458" s="7" t="n"/>
      <c r="B6458" s="7" t="n"/>
      <c r="C6458" s="7" t="n"/>
      <c r="D6458" s="7" t="n"/>
      <c r="E6458" s="7" t="n"/>
      <c r="F6458" s="7" t="n"/>
      <c r="G6458" s="7" t="n"/>
      <c r="H6458" s="7" t="n"/>
      <c r="I6458" s="7" t="n"/>
      <c r="J6458" s="7" t="n"/>
      <c r="K6458">
        <f>IF(D6458="Legitimate Interest (GDPR Art. 6(1)(f))", "Yes / Required (Sheet 3)", "")</f>
        <v/>
      </c>
      <c r="L6458" s="7" t="n"/>
      <c r="M6458" s="7" t="n"/>
      <c r="N6458">
        <f>IF(D6458="", "Gap - No Legal Basis", IF(AND(D6458="Consent (GDPR Art. 6(1)(a))", I6458="Not Captured"), "Gap - Invalid Consent", IF(AND(D6458="Legitimate Interest (GDPR Art. 6(1)(f))", L6458=""), "Gap - Missing LIA", IF(AND(G6458="Yes", H6458=""), "Gap - Missing Art. 9 Basis", IF(OR(I6458="Invalid - Not Freely Given", I6458="Invalid - Not Specific", I6458="Invalid - Not Informed", I6458="Invalid - Ambiguous"), "Gap - Invalid Consent", "Compliant")))))</f>
        <v/>
      </c>
      <c r="O6458" s="7" t="n"/>
    </row>
    <row r="6459">
      <c r="A6459" s="7" t="n"/>
      <c r="B6459" s="7" t="n"/>
      <c r="C6459" s="7" t="n"/>
      <c r="D6459" s="7" t="n"/>
      <c r="E6459" s="7" t="n"/>
      <c r="F6459" s="7" t="n"/>
      <c r="G6459" s="7" t="n"/>
      <c r="H6459" s="7" t="n"/>
      <c r="I6459" s="7" t="n"/>
      <c r="J6459" s="7" t="n"/>
      <c r="K6459">
        <f>IF(D6459="Legitimate Interest (GDPR Art. 6(1)(f))", "Yes / Required (Sheet 3)", "")</f>
        <v/>
      </c>
      <c r="L6459" s="7" t="n"/>
      <c r="M6459" s="7" t="n"/>
      <c r="N6459">
        <f>IF(D6459="", "Gap - No Legal Basis", IF(AND(D6459="Consent (GDPR Art. 6(1)(a))", I6459="Not Captured"), "Gap - Invalid Consent", IF(AND(D6459="Legitimate Interest (GDPR Art. 6(1)(f))", L6459=""), "Gap - Missing LIA", IF(AND(G6459="Yes", H6459=""), "Gap - Missing Art. 9 Basis", IF(OR(I6459="Invalid - Not Freely Given", I6459="Invalid - Not Specific", I6459="Invalid - Not Informed", I6459="Invalid - Ambiguous"), "Gap - Invalid Consent", "Compliant")))))</f>
        <v/>
      </c>
      <c r="O6459" s="7" t="n"/>
    </row>
    <row r="6460">
      <c r="A6460" s="7" t="n"/>
      <c r="B6460" s="7" t="n"/>
      <c r="C6460" s="7" t="n"/>
      <c r="D6460" s="7" t="n"/>
      <c r="E6460" s="7" t="n"/>
      <c r="F6460" s="7" t="n"/>
      <c r="G6460" s="7" t="n"/>
      <c r="H6460" s="7" t="n"/>
      <c r="I6460" s="7" t="n"/>
      <c r="J6460" s="7" t="n"/>
      <c r="K6460">
        <f>IF(D6460="Legitimate Interest (GDPR Art. 6(1)(f))", "Yes / Required (Sheet 3)", "")</f>
        <v/>
      </c>
      <c r="L6460" s="7" t="n"/>
      <c r="M6460" s="7" t="n"/>
      <c r="N6460">
        <f>IF(D6460="", "Gap - No Legal Basis", IF(AND(D6460="Consent (GDPR Art. 6(1)(a))", I6460="Not Captured"), "Gap - Invalid Consent", IF(AND(D6460="Legitimate Interest (GDPR Art. 6(1)(f))", L6460=""), "Gap - Missing LIA", IF(AND(G6460="Yes", H6460=""), "Gap - Missing Art. 9 Basis", IF(OR(I6460="Invalid - Not Freely Given", I6460="Invalid - Not Specific", I6460="Invalid - Not Informed", I6460="Invalid - Ambiguous"), "Gap - Invalid Consent", "Compliant")))))</f>
        <v/>
      </c>
      <c r="O6460" s="7" t="n"/>
    </row>
    <row r="6461">
      <c r="A6461" s="7" t="n"/>
      <c r="B6461" s="7" t="n"/>
      <c r="C6461" s="7" t="n"/>
      <c r="D6461" s="7" t="n"/>
      <c r="E6461" s="7" t="n"/>
      <c r="F6461" s="7" t="n"/>
      <c r="G6461" s="7" t="n"/>
      <c r="H6461" s="7" t="n"/>
      <c r="I6461" s="7" t="n"/>
      <c r="J6461" s="7" t="n"/>
      <c r="K6461">
        <f>IF(D6461="Legitimate Interest (GDPR Art. 6(1)(f))", "Yes / Required (Sheet 3)", "")</f>
        <v/>
      </c>
      <c r="L6461" s="7" t="n"/>
      <c r="M6461" s="7" t="n"/>
      <c r="N6461">
        <f>IF(D6461="", "Gap - No Legal Basis", IF(AND(D6461="Consent (GDPR Art. 6(1)(a))", I6461="Not Captured"), "Gap - Invalid Consent", IF(AND(D6461="Legitimate Interest (GDPR Art. 6(1)(f))", L6461=""), "Gap - Missing LIA", IF(AND(G6461="Yes", H6461=""), "Gap - Missing Art. 9 Basis", IF(OR(I6461="Invalid - Not Freely Given", I6461="Invalid - Not Specific", I6461="Invalid - Not Informed", I6461="Invalid - Ambiguous"), "Gap - Invalid Consent", "Compliant")))))</f>
        <v/>
      </c>
      <c r="O6461" s="7" t="n"/>
    </row>
    <row r="6462">
      <c r="A6462" s="7" t="n"/>
      <c r="B6462" s="7" t="n"/>
      <c r="C6462" s="7" t="n"/>
      <c r="D6462" s="7" t="n"/>
      <c r="E6462" s="7" t="n"/>
      <c r="F6462" s="7" t="n"/>
      <c r="G6462" s="7" t="n"/>
      <c r="H6462" s="7" t="n"/>
      <c r="I6462" s="7" t="n"/>
      <c r="J6462" s="7" t="n"/>
      <c r="K6462">
        <f>IF(D6462="Legitimate Interest (GDPR Art. 6(1)(f))", "Yes / Required (Sheet 3)", "")</f>
        <v/>
      </c>
      <c r="L6462" s="7" t="n"/>
      <c r="M6462" s="7" t="n"/>
      <c r="N6462">
        <f>IF(D6462="", "Gap - No Legal Basis", IF(AND(D6462="Consent (GDPR Art. 6(1)(a))", I6462="Not Captured"), "Gap - Invalid Consent", IF(AND(D6462="Legitimate Interest (GDPR Art. 6(1)(f))", L6462=""), "Gap - Missing LIA", IF(AND(G6462="Yes", H6462=""), "Gap - Missing Art. 9 Basis", IF(OR(I6462="Invalid - Not Freely Given", I6462="Invalid - Not Specific", I6462="Invalid - Not Informed", I6462="Invalid - Ambiguous"), "Gap - Invalid Consent", "Compliant")))))</f>
        <v/>
      </c>
      <c r="O6462" s="7" t="n"/>
    </row>
    <row r="6463">
      <c r="A6463" s="7" t="n"/>
      <c r="B6463" s="7" t="n"/>
      <c r="C6463" s="7" t="n"/>
      <c r="D6463" s="7" t="n"/>
      <c r="E6463" s="7" t="n"/>
      <c r="F6463" s="7" t="n"/>
      <c r="G6463" s="7" t="n"/>
      <c r="H6463" s="7" t="n"/>
      <c r="I6463" s="7" t="n"/>
      <c r="J6463" s="7" t="n"/>
      <c r="K6463">
        <f>IF(D6463="Legitimate Interest (GDPR Art. 6(1)(f))", "Yes / Required (Sheet 3)", "")</f>
        <v/>
      </c>
      <c r="L6463" s="7" t="n"/>
      <c r="M6463" s="7" t="n"/>
      <c r="N6463">
        <f>IF(D6463="", "Gap - No Legal Basis", IF(AND(D6463="Consent (GDPR Art. 6(1)(a))", I6463="Not Captured"), "Gap - Invalid Consent", IF(AND(D6463="Legitimate Interest (GDPR Art. 6(1)(f))", L6463=""), "Gap - Missing LIA", IF(AND(G6463="Yes", H6463=""), "Gap - Missing Art. 9 Basis", IF(OR(I6463="Invalid - Not Freely Given", I6463="Invalid - Not Specific", I6463="Invalid - Not Informed", I6463="Invalid - Ambiguous"), "Gap - Invalid Consent", "Compliant")))))</f>
        <v/>
      </c>
      <c r="O6463" s="7" t="n"/>
    </row>
    <row r="6464">
      <c r="A6464" s="7" t="n"/>
      <c r="B6464" s="7" t="n"/>
      <c r="C6464" s="7" t="n"/>
      <c r="D6464" s="7" t="n"/>
      <c r="E6464" s="7" t="n"/>
      <c r="F6464" s="7" t="n"/>
      <c r="G6464" s="7" t="n"/>
      <c r="H6464" s="7" t="n"/>
      <c r="I6464" s="7" t="n"/>
      <c r="J6464" s="7" t="n"/>
      <c r="K6464">
        <f>IF(D6464="Legitimate Interest (GDPR Art. 6(1)(f))", "Yes / Required (Sheet 3)", "")</f>
        <v/>
      </c>
      <c r="L6464" s="7" t="n"/>
      <c r="M6464" s="7" t="n"/>
      <c r="N6464">
        <f>IF(D6464="", "Gap - No Legal Basis", IF(AND(D6464="Consent (GDPR Art. 6(1)(a))", I6464="Not Captured"), "Gap - Invalid Consent", IF(AND(D6464="Legitimate Interest (GDPR Art. 6(1)(f))", L6464=""), "Gap - Missing LIA", IF(AND(G6464="Yes", H6464=""), "Gap - Missing Art. 9 Basis", IF(OR(I6464="Invalid - Not Freely Given", I6464="Invalid - Not Specific", I6464="Invalid - Not Informed", I6464="Invalid - Ambiguous"), "Gap - Invalid Consent", "Compliant")))))</f>
        <v/>
      </c>
      <c r="O6464" s="7" t="n"/>
    </row>
    <row r="6465">
      <c r="A6465" s="7" t="n"/>
      <c r="B6465" s="7" t="n"/>
      <c r="C6465" s="7" t="n"/>
      <c r="D6465" s="7" t="n"/>
      <c r="E6465" s="7" t="n"/>
      <c r="F6465" s="7" t="n"/>
      <c r="G6465" s="7" t="n"/>
      <c r="H6465" s="7" t="n"/>
      <c r="I6465" s="7" t="n"/>
      <c r="J6465" s="7" t="n"/>
      <c r="K6465">
        <f>IF(D6465="Legitimate Interest (GDPR Art. 6(1)(f))", "Yes / Required (Sheet 3)", "")</f>
        <v/>
      </c>
      <c r="L6465" s="7" t="n"/>
      <c r="M6465" s="7" t="n"/>
      <c r="N6465">
        <f>IF(D6465="", "Gap - No Legal Basis", IF(AND(D6465="Consent (GDPR Art. 6(1)(a))", I6465="Not Captured"), "Gap - Invalid Consent", IF(AND(D6465="Legitimate Interest (GDPR Art. 6(1)(f))", L6465=""), "Gap - Missing LIA", IF(AND(G6465="Yes", H6465=""), "Gap - Missing Art. 9 Basis", IF(OR(I6465="Invalid - Not Freely Given", I6465="Invalid - Not Specific", I6465="Invalid - Not Informed", I6465="Invalid - Ambiguous"), "Gap - Invalid Consent", "Compliant")))))</f>
        <v/>
      </c>
      <c r="O6465" s="7" t="n"/>
    </row>
    <row r="6466">
      <c r="A6466" s="7" t="n"/>
      <c r="B6466" s="7" t="n"/>
      <c r="C6466" s="7" t="n"/>
      <c r="D6466" s="7" t="n"/>
      <c r="E6466" s="7" t="n"/>
      <c r="F6466" s="7" t="n"/>
      <c r="G6466" s="7" t="n"/>
      <c r="H6466" s="7" t="n"/>
      <c r="I6466" s="7" t="n"/>
      <c r="J6466" s="7" t="n"/>
      <c r="K6466">
        <f>IF(D6466="Legitimate Interest (GDPR Art. 6(1)(f))", "Yes / Required (Sheet 3)", "")</f>
        <v/>
      </c>
      <c r="L6466" s="7" t="n"/>
      <c r="M6466" s="7" t="n"/>
      <c r="N6466">
        <f>IF(D6466="", "Gap - No Legal Basis", IF(AND(D6466="Consent (GDPR Art. 6(1)(a))", I6466="Not Captured"), "Gap - Invalid Consent", IF(AND(D6466="Legitimate Interest (GDPR Art. 6(1)(f))", L6466=""), "Gap - Missing LIA", IF(AND(G6466="Yes", H6466=""), "Gap - Missing Art. 9 Basis", IF(OR(I6466="Invalid - Not Freely Given", I6466="Invalid - Not Specific", I6466="Invalid - Not Informed", I6466="Invalid - Ambiguous"), "Gap - Invalid Consent", "Compliant")))))</f>
        <v/>
      </c>
      <c r="O6466" s="7" t="n"/>
    </row>
    <row r="6467">
      <c r="A6467" s="7" t="n"/>
      <c r="B6467" s="7" t="n"/>
      <c r="C6467" s="7" t="n"/>
      <c r="D6467" s="7" t="n"/>
      <c r="E6467" s="7" t="n"/>
      <c r="F6467" s="7" t="n"/>
      <c r="G6467" s="7" t="n"/>
      <c r="H6467" s="7" t="n"/>
      <c r="I6467" s="7" t="n"/>
      <c r="J6467" s="7" t="n"/>
      <c r="K6467">
        <f>IF(D6467="Legitimate Interest (GDPR Art. 6(1)(f))", "Yes / Required (Sheet 3)", "")</f>
        <v/>
      </c>
      <c r="L6467" s="7" t="n"/>
      <c r="M6467" s="7" t="n"/>
      <c r="N6467">
        <f>IF(D6467="", "Gap - No Legal Basis", IF(AND(D6467="Consent (GDPR Art. 6(1)(a))", I6467="Not Captured"), "Gap - Invalid Consent", IF(AND(D6467="Legitimate Interest (GDPR Art. 6(1)(f))", L6467=""), "Gap - Missing LIA", IF(AND(G6467="Yes", H6467=""), "Gap - Missing Art. 9 Basis", IF(OR(I6467="Invalid - Not Freely Given", I6467="Invalid - Not Specific", I6467="Invalid - Not Informed", I6467="Invalid - Ambiguous"), "Gap - Invalid Consent", "Compliant")))))</f>
        <v/>
      </c>
      <c r="O6467" s="7" t="n"/>
    </row>
    <row r="6468">
      <c r="A6468" s="7" t="n"/>
      <c r="B6468" s="7" t="n"/>
      <c r="C6468" s="7" t="n"/>
      <c r="D6468" s="7" t="n"/>
      <c r="E6468" s="7" t="n"/>
      <c r="F6468" s="7" t="n"/>
      <c r="G6468" s="7" t="n"/>
      <c r="H6468" s="7" t="n"/>
      <c r="I6468" s="7" t="n"/>
      <c r="J6468" s="7" t="n"/>
      <c r="K6468">
        <f>IF(D6468="Legitimate Interest (GDPR Art. 6(1)(f))", "Yes / Required (Sheet 3)", "")</f>
        <v/>
      </c>
      <c r="L6468" s="7" t="n"/>
      <c r="M6468" s="7" t="n"/>
      <c r="N6468">
        <f>IF(D6468="", "Gap - No Legal Basis", IF(AND(D6468="Consent (GDPR Art. 6(1)(a))", I6468="Not Captured"), "Gap - Invalid Consent", IF(AND(D6468="Legitimate Interest (GDPR Art. 6(1)(f))", L6468=""), "Gap - Missing LIA", IF(AND(G6468="Yes", H6468=""), "Gap - Missing Art. 9 Basis", IF(OR(I6468="Invalid - Not Freely Given", I6468="Invalid - Not Specific", I6468="Invalid - Not Informed", I6468="Invalid - Ambiguous"), "Gap - Invalid Consent", "Compliant")))))</f>
        <v/>
      </c>
      <c r="O6468" s="7" t="n"/>
    </row>
    <row r="6469">
      <c r="A6469" s="7" t="n"/>
      <c r="B6469" s="7" t="n"/>
      <c r="C6469" s="7" t="n"/>
      <c r="D6469" s="7" t="n"/>
      <c r="E6469" s="7" t="n"/>
      <c r="F6469" s="7" t="n"/>
      <c r="G6469" s="7" t="n"/>
      <c r="H6469" s="7" t="n"/>
      <c r="I6469" s="7" t="n"/>
      <c r="J6469" s="7" t="n"/>
      <c r="K6469">
        <f>IF(D6469="Legitimate Interest (GDPR Art. 6(1)(f))", "Yes / Required (Sheet 3)", "")</f>
        <v/>
      </c>
      <c r="L6469" s="7" t="n"/>
      <c r="M6469" s="7" t="n"/>
      <c r="N6469">
        <f>IF(D6469="", "Gap - No Legal Basis", IF(AND(D6469="Consent (GDPR Art. 6(1)(a))", I6469="Not Captured"), "Gap - Invalid Consent", IF(AND(D6469="Legitimate Interest (GDPR Art. 6(1)(f))", L6469=""), "Gap - Missing LIA", IF(AND(G6469="Yes", H6469=""), "Gap - Missing Art. 9 Basis", IF(OR(I6469="Invalid - Not Freely Given", I6469="Invalid - Not Specific", I6469="Invalid - Not Informed", I6469="Invalid - Ambiguous"), "Gap - Invalid Consent", "Compliant")))))</f>
        <v/>
      </c>
      <c r="O6469" s="7" t="n"/>
    </row>
    <row r="6470">
      <c r="A6470" s="7" t="n"/>
      <c r="B6470" s="7" t="n"/>
      <c r="C6470" s="7" t="n"/>
      <c r="D6470" s="7" t="n"/>
      <c r="E6470" s="7" t="n"/>
      <c r="F6470" s="7" t="n"/>
      <c r="G6470" s="7" t="n"/>
      <c r="H6470" s="7" t="n"/>
      <c r="I6470" s="7" t="n"/>
      <c r="J6470" s="7" t="n"/>
      <c r="K6470">
        <f>IF(D6470="Legitimate Interest (GDPR Art. 6(1)(f))", "Yes / Required (Sheet 3)", "")</f>
        <v/>
      </c>
      <c r="L6470" s="7" t="n"/>
      <c r="M6470" s="7" t="n"/>
      <c r="N6470">
        <f>IF(D6470="", "Gap - No Legal Basis", IF(AND(D6470="Consent (GDPR Art. 6(1)(a))", I6470="Not Captured"), "Gap - Invalid Consent", IF(AND(D6470="Legitimate Interest (GDPR Art. 6(1)(f))", L6470=""), "Gap - Missing LIA", IF(AND(G6470="Yes", H6470=""), "Gap - Missing Art. 9 Basis", IF(OR(I6470="Invalid - Not Freely Given", I6470="Invalid - Not Specific", I6470="Invalid - Not Informed", I6470="Invalid - Ambiguous"), "Gap - Invalid Consent", "Compliant")))))</f>
        <v/>
      </c>
      <c r="O6470" s="7" t="n"/>
    </row>
    <row r="6471">
      <c r="A6471" s="7" t="n"/>
      <c r="B6471" s="7" t="n"/>
      <c r="C6471" s="7" t="n"/>
      <c r="D6471" s="7" t="n"/>
      <c r="E6471" s="7" t="n"/>
      <c r="F6471" s="7" t="n"/>
      <c r="G6471" s="7" t="n"/>
      <c r="H6471" s="7" t="n"/>
      <c r="I6471" s="7" t="n"/>
      <c r="J6471" s="7" t="n"/>
      <c r="K6471">
        <f>IF(D6471="Legitimate Interest (GDPR Art. 6(1)(f))", "Yes / Required (Sheet 3)", "")</f>
        <v/>
      </c>
      <c r="L6471" s="7" t="n"/>
      <c r="M6471" s="7" t="n"/>
      <c r="N6471">
        <f>IF(D6471="", "Gap - No Legal Basis", IF(AND(D6471="Consent (GDPR Art. 6(1)(a))", I6471="Not Captured"), "Gap - Invalid Consent", IF(AND(D6471="Legitimate Interest (GDPR Art. 6(1)(f))", L6471=""), "Gap - Missing LIA", IF(AND(G6471="Yes", H6471=""), "Gap - Missing Art. 9 Basis", IF(OR(I6471="Invalid - Not Freely Given", I6471="Invalid - Not Specific", I6471="Invalid - Not Informed", I6471="Invalid - Ambiguous"), "Gap - Invalid Consent", "Compliant")))))</f>
        <v/>
      </c>
      <c r="O6471" s="7" t="n"/>
    </row>
    <row r="6472">
      <c r="A6472" s="7" t="n"/>
      <c r="B6472" s="7" t="n"/>
      <c r="C6472" s="7" t="n"/>
      <c r="D6472" s="7" t="n"/>
      <c r="E6472" s="7" t="n"/>
      <c r="F6472" s="7" t="n"/>
      <c r="G6472" s="7" t="n"/>
      <c r="H6472" s="7" t="n"/>
      <c r="I6472" s="7" t="n"/>
      <c r="J6472" s="7" t="n"/>
      <c r="K6472">
        <f>IF(D6472="Legitimate Interest (GDPR Art. 6(1)(f))", "Yes / Required (Sheet 3)", "")</f>
        <v/>
      </c>
      <c r="L6472" s="7" t="n"/>
      <c r="M6472" s="7" t="n"/>
      <c r="N6472">
        <f>IF(D6472="", "Gap - No Legal Basis", IF(AND(D6472="Consent (GDPR Art. 6(1)(a))", I6472="Not Captured"), "Gap - Invalid Consent", IF(AND(D6472="Legitimate Interest (GDPR Art. 6(1)(f))", L6472=""), "Gap - Missing LIA", IF(AND(G6472="Yes", H6472=""), "Gap - Missing Art. 9 Basis", IF(OR(I6472="Invalid - Not Freely Given", I6472="Invalid - Not Specific", I6472="Invalid - Not Informed", I6472="Invalid - Ambiguous"), "Gap - Invalid Consent", "Compliant")))))</f>
        <v/>
      </c>
      <c r="O6472" s="7" t="n"/>
    </row>
    <row r="6473">
      <c r="A6473" s="7" t="n"/>
      <c r="B6473" s="7" t="n"/>
      <c r="C6473" s="7" t="n"/>
      <c r="D6473" s="7" t="n"/>
      <c r="E6473" s="7" t="n"/>
      <c r="F6473" s="7" t="n"/>
      <c r="G6473" s="7" t="n"/>
      <c r="H6473" s="7" t="n"/>
      <c r="I6473" s="7" t="n"/>
      <c r="J6473" s="7" t="n"/>
      <c r="K6473">
        <f>IF(D6473="Legitimate Interest (GDPR Art. 6(1)(f))", "Yes / Required (Sheet 3)", "")</f>
        <v/>
      </c>
      <c r="L6473" s="7" t="n"/>
      <c r="M6473" s="7" t="n"/>
      <c r="N6473">
        <f>IF(D6473="", "Gap - No Legal Basis", IF(AND(D6473="Consent (GDPR Art. 6(1)(a))", I6473="Not Captured"), "Gap - Invalid Consent", IF(AND(D6473="Legitimate Interest (GDPR Art. 6(1)(f))", L6473=""), "Gap - Missing LIA", IF(AND(G6473="Yes", H6473=""), "Gap - Missing Art. 9 Basis", IF(OR(I6473="Invalid - Not Freely Given", I6473="Invalid - Not Specific", I6473="Invalid - Not Informed", I6473="Invalid - Ambiguous"), "Gap - Invalid Consent", "Compliant")))))</f>
        <v/>
      </c>
      <c r="O6473" s="7" t="n"/>
    </row>
    <row r="6474">
      <c r="A6474" s="7" t="n"/>
      <c r="B6474" s="7" t="n"/>
      <c r="C6474" s="7" t="n"/>
      <c r="D6474" s="7" t="n"/>
      <c r="E6474" s="7" t="n"/>
      <c r="F6474" s="7" t="n"/>
      <c r="G6474" s="7" t="n"/>
      <c r="H6474" s="7" t="n"/>
      <c r="I6474" s="7" t="n"/>
      <c r="J6474" s="7" t="n"/>
      <c r="K6474">
        <f>IF(D6474="Legitimate Interest (GDPR Art. 6(1)(f))", "Yes / Required (Sheet 3)", "")</f>
        <v/>
      </c>
      <c r="L6474" s="7" t="n"/>
      <c r="M6474" s="7" t="n"/>
      <c r="N6474">
        <f>IF(D6474="", "Gap - No Legal Basis", IF(AND(D6474="Consent (GDPR Art. 6(1)(a))", I6474="Not Captured"), "Gap - Invalid Consent", IF(AND(D6474="Legitimate Interest (GDPR Art. 6(1)(f))", L6474=""), "Gap - Missing LIA", IF(AND(G6474="Yes", H6474=""), "Gap - Missing Art. 9 Basis", IF(OR(I6474="Invalid - Not Freely Given", I6474="Invalid - Not Specific", I6474="Invalid - Not Informed", I6474="Invalid - Ambiguous"), "Gap - Invalid Consent", "Compliant")))))</f>
        <v/>
      </c>
      <c r="O6474" s="7" t="n"/>
    </row>
    <row r="6475">
      <c r="A6475" s="7" t="n"/>
      <c r="B6475" s="7" t="n"/>
      <c r="C6475" s="7" t="n"/>
      <c r="D6475" s="7" t="n"/>
      <c r="E6475" s="7" t="n"/>
      <c r="F6475" s="7" t="n"/>
      <c r="G6475" s="7" t="n"/>
      <c r="H6475" s="7" t="n"/>
      <c r="I6475" s="7" t="n"/>
      <c r="J6475" s="7" t="n"/>
      <c r="K6475">
        <f>IF(D6475="Legitimate Interest (GDPR Art. 6(1)(f))", "Yes / Required (Sheet 3)", "")</f>
        <v/>
      </c>
      <c r="L6475" s="7" t="n"/>
      <c r="M6475" s="7" t="n"/>
      <c r="N6475">
        <f>IF(D6475="", "Gap - No Legal Basis", IF(AND(D6475="Consent (GDPR Art. 6(1)(a))", I6475="Not Captured"), "Gap - Invalid Consent", IF(AND(D6475="Legitimate Interest (GDPR Art. 6(1)(f))", L6475=""), "Gap - Missing LIA", IF(AND(G6475="Yes", H6475=""), "Gap - Missing Art. 9 Basis", IF(OR(I6475="Invalid - Not Freely Given", I6475="Invalid - Not Specific", I6475="Invalid - Not Informed", I6475="Invalid - Ambiguous"), "Gap - Invalid Consent", "Compliant")))))</f>
        <v/>
      </c>
      <c r="O6475" s="7" t="n"/>
    </row>
    <row r="6476">
      <c r="A6476" s="7" t="n"/>
      <c r="B6476" s="7" t="n"/>
      <c r="C6476" s="7" t="n"/>
      <c r="D6476" s="7" t="n"/>
      <c r="E6476" s="7" t="n"/>
      <c r="F6476" s="7" t="n"/>
      <c r="G6476" s="7" t="n"/>
      <c r="H6476" s="7" t="n"/>
      <c r="I6476" s="7" t="n"/>
      <c r="J6476" s="7" t="n"/>
      <c r="K6476">
        <f>IF(D6476="Legitimate Interest (GDPR Art. 6(1)(f))", "Yes / Required (Sheet 3)", "")</f>
        <v/>
      </c>
      <c r="L6476" s="7" t="n"/>
      <c r="M6476" s="7" t="n"/>
      <c r="N6476">
        <f>IF(D6476="", "Gap - No Legal Basis", IF(AND(D6476="Consent (GDPR Art. 6(1)(a))", I6476="Not Captured"), "Gap - Invalid Consent", IF(AND(D6476="Legitimate Interest (GDPR Art. 6(1)(f))", L6476=""), "Gap - Missing LIA", IF(AND(G6476="Yes", H6476=""), "Gap - Missing Art. 9 Basis", IF(OR(I6476="Invalid - Not Freely Given", I6476="Invalid - Not Specific", I6476="Invalid - Not Informed", I6476="Invalid - Ambiguous"), "Gap - Invalid Consent", "Compliant")))))</f>
        <v/>
      </c>
      <c r="O6476" s="7" t="n"/>
    </row>
    <row r="6477">
      <c r="A6477" s="7" t="n"/>
      <c r="B6477" s="7" t="n"/>
      <c r="C6477" s="7" t="n"/>
      <c r="D6477" s="7" t="n"/>
      <c r="E6477" s="7" t="n"/>
      <c r="F6477" s="7" t="n"/>
      <c r="G6477" s="7" t="n"/>
      <c r="H6477" s="7" t="n"/>
      <c r="I6477" s="7" t="n"/>
      <c r="J6477" s="7" t="n"/>
      <c r="K6477">
        <f>IF(D6477="Legitimate Interest (GDPR Art. 6(1)(f))", "Yes / Required (Sheet 3)", "")</f>
        <v/>
      </c>
      <c r="L6477" s="7" t="n"/>
      <c r="M6477" s="7" t="n"/>
      <c r="N6477">
        <f>IF(D6477="", "Gap - No Legal Basis", IF(AND(D6477="Consent (GDPR Art. 6(1)(a))", I6477="Not Captured"), "Gap - Invalid Consent", IF(AND(D6477="Legitimate Interest (GDPR Art. 6(1)(f))", L6477=""), "Gap - Missing LIA", IF(AND(G6477="Yes", H6477=""), "Gap - Missing Art. 9 Basis", IF(OR(I6477="Invalid - Not Freely Given", I6477="Invalid - Not Specific", I6477="Invalid - Not Informed", I6477="Invalid - Ambiguous"), "Gap - Invalid Consent", "Compliant")))))</f>
        <v/>
      </c>
      <c r="O6477" s="7" t="n"/>
    </row>
    <row r="6478">
      <c r="A6478" s="7" t="n"/>
      <c r="B6478" s="7" t="n"/>
      <c r="C6478" s="7" t="n"/>
      <c r="D6478" s="7" t="n"/>
      <c r="E6478" s="7" t="n"/>
      <c r="F6478" s="7" t="n"/>
      <c r="G6478" s="7" t="n"/>
      <c r="H6478" s="7" t="n"/>
      <c r="I6478" s="7" t="n"/>
      <c r="J6478" s="7" t="n"/>
      <c r="K6478">
        <f>IF(D6478="Legitimate Interest (GDPR Art. 6(1)(f))", "Yes / Required (Sheet 3)", "")</f>
        <v/>
      </c>
      <c r="L6478" s="7" t="n"/>
      <c r="M6478" s="7" t="n"/>
      <c r="N6478">
        <f>IF(D6478="", "Gap - No Legal Basis", IF(AND(D6478="Consent (GDPR Art. 6(1)(a))", I6478="Not Captured"), "Gap - Invalid Consent", IF(AND(D6478="Legitimate Interest (GDPR Art. 6(1)(f))", L6478=""), "Gap - Missing LIA", IF(AND(G6478="Yes", H6478=""), "Gap - Missing Art. 9 Basis", IF(OR(I6478="Invalid - Not Freely Given", I6478="Invalid - Not Specific", I6478="Invalid - Not Informed", I6478="Invalid - Ambiguous"), "Gap - Invalid Consent", "Compliant")))))</f>
        <v/>
      </c>
      <c r="O6478" s="7" t="n"/>
    </row>
    <row r="6479">
      <c r="A6479" s="7" t="n"/>
      <c r="B6479" s="7" t="n"/>
      <c r="C6479" s="7" t="n"/>
      <c r="D6479" s="7" t="n"/>
      <c r="E6479" s="7" t="n"/>
      <c r="F6479" s="7" t="n"/>
      <c r="G6479" s="7" t="n"/>
      <c r="H6479" s="7" t="n"/>
      <c r="I6479" s="7" t="n"/>
      <c r="J6479" s="7" t="n"/>
      <c r="K6479">
        <f>IF(D6479="Legitimate Interest (GDPR Art. 6(1)(f))", "Yes / Required (Sheet 3)", "")</f>
        <v/>
      </c>
      <c r="L6479" s="7" t="n"/>
      <c r="M6479" s="7" t="n"/>
      <c r="N6479">
        <f>IF(D6479="", "Gap - No Legal Basis", IF(AND(D6479="Consent (GDPR Art. 6(1)(a))", I6479="Not Captured"), "Gap - Invalid Consent", IF(AND(D6479="Legitimate Interest (GDPR Art. 6(1)(f))", L6479=""), "Gap - Missing LIA", IF(AND(G6479="Yes", H6479=""), "Gap - Missing Art. 9 Basis", IF(OR(I6479="Invalid - Not Freely Given", I6479="Invalid - Not Specific", I6479="Invalid - Not Informed", I6479="Invalid - Ambiguous"), "Gap - Invalid Consent", "Compliant")))))</f>
        <v/>
      </c>
      <c r="O6479" s="7" t="n"/>
    </row>
    <row r="6480">
      <c r="A6480" s="7" t="n"/>
      <c r="B6480" s="7" t="n"/>
      <c r="C6480" s="7" t="n"/>
      <c r="D6480" s="7" t="n"/>
      <c r="E6480" s="7" t="n"/>
      <c r="F6480" s="7" t="n"/>
      <c r="G6480" s="7" t="n"/>
      <c r="H6480" s="7" t="n"/>
      <c r="I6480" s="7" t="n"/>
      <c r="J6480" s="7" t="n"/>
      <c r="K6480">
        <f>IF(D6480="Legitimate Interest (GDPR Art. 6(1)(f))", "Yes / Required (Sheet 3)", "")</f>
        <v/>
      </c>
      <c r="L6480" s="7" t="n"/>
      <c r="M6480" s="7" t="n"/>
      <c r="N6480">
        <f>IF(D6480="", "Gap - No Legal Basis", IF(AND(D6480="Consent (GDPR Art. 6(1)(a))", I6480="Not Captured"), "Gap - Invalid Consent", IF(AND(D6480="Legitimate Interest (GDPR Art. 6(1)(f))", L6480=""), "Gap - Missing LIA", IF(AND(G6480="Yes", H6480=""), "Gap - Missing Art. 9 Basis", IF(OR(I6480="Invalid - Not Freely Given", I6480="Invalid - Not Specific", I6480="Invalid - Not Informed", I6480="Invalid - Ambiguous"), "Gap - Invalid Consent", "Compliant")))))</f>
        <v/>
      </c>
      <c r="O6480" s="7" t="n"/>
    </row>
    <row r="6481">
      <c r="A6481" s="7" t="n"/>
      <c r="B6481" s="7" t="n"/>
      <c r="C6481" s="7" t="n"/>
      <c r="D6481" s="7" t="n"/>
      <c r="E6481" s="7" t="n"/>
      <c r="F6481" s="7" t="n"/>
      <c r="G6481" s="7" t="n"/>
      <c r="H6481" s="7" t="n"/>
      <c r="I6481" s="7" t="n"/>
      <c r="J6481" s="7" t="n"/>
      <c r="K6481">
        <f>IF(D6481="Legitimate Interest (GDPR Art. 6(1)(f))", "Yes / Required (Sheet 3)", "")</f>
        <v/>
      </c>
      <c r="L6481" s="7" t="n"/>
      <c r="M6481" s="7" t="n"/>
      <c r="N6481">
        <f>IF(D6481="", "Gap - No Legal Basis", IF(AND(D6481="Consent (GDPR Art. 6(1)(a))", I6481="Not Captured"), "Gap - Invalid Consent", IF(AND(D6481="Legitimate Interest (GDPR Art. 6(1)(f))", L6481=""), "Gap - Missing LIA", IF(AND(G6481="Yes", H6481=""), "Gap - Missing Art. 9 Basis", IF(OR(I6481="Invalid - Not Freely Given", I6481="Invalid - Not Specific", I6481="Invalid - Not Informed", I6481="Invalid - Ambiguous"), "Gap - Invalid Consent", "Compliant")))))</f>
        <v/>
      </c>
      <c r="O6481" s="7" t="n"/>
    </row>
    <row r="6482">
      <c r="A6482" s="7" t="n"/>
      <c r="B6482" s="7" t="n"/>
      <c r="C6482" s="7" t="n"/>
      <c r="D6482" s="7" t="n"/>
      <c r="E6482" s="7" t="n"/>
      <c r="F6482" s="7" t="n"/>
      <c r="G6482" s="7" t="n"/>
      <c r="H6482" s="7" t="n"/>
      <c r="I6482" s="7" t="n"/>
      <c r="J6482" s="7" t="n"/>
      <c r="K6482">
        <f>IF(D6482="Legitimate Interest (GDPR Art. 6(1)(f))", "Yes / Required (Sheet 3)", "")</f>
        <v/>
      </c>
      <c r="L6482" s="7" t="n"/>
      <c r="M6482" s="7" t="n"/>
      <c r="N6482">
        <f>IF(D6482="", "Gap - No Legal Basis", IF(AND(D6482="Consent (GDPR Art. 6(1)(a))", I6482="Not Captured"), "Gap - Invalid Consent", IF(AND(D6482="Legitimate Interest (GDPR Art. 6(1)(f))", L6482=""), "Gap - Missing LIA", IF(AND(G6482="Yes", H6482=""), "Gap - Missing Art. 9 Basis", IF(OR(I6482="Invalid - Not Freely Given", I6482="Invalid - Not Specific", I6482="Invalid - Not Informed", I6482="Invalid - Ambiguous"), "Gap - Invalid Consent", "Compliant")))))</f>
        <v/>
      </c>
      <c r="O6482" s="7" t="n"/>
    </row>
    <row r="6483">
      <c r="A6483" s="7" t="n"/>
      <c r="B6483" s="7" t="n"/>
      <c r="C6483" s="7" t="n"/>
      <c r="D6483" s="7" t="n"/>
      <c r="E6483" s="7" t="n"/>
      <c r="F6483" s="7" t="n"/>
      <c r="G6483" s="7" t="n"/>
      <c r="H6483" s="7" t="n"/>
      <c r="I6483" s="7" t="n"/>
      <c r="J6483" s="7" t="n"/>
      <c r="K6483">
        <f>IF(D6483="Legitimate Interest (GDPR Art. 6(1)(f))", "Yes / Required (Sheet 3)", "")</f>
        <v/>
      </c>
      <c r="L6483" s="7" t="n"/>
      <c r="M6483" s="7" t="n"/>
      <c r="N6483">
        <f>IF(D6483="", "Gap - No Legal Basis", IF(AND(D6483="Consent (GDPR Art. 6(1)(a))", I6483="Not Captured"), "Gap - Invalid Consent", IF(AND(D6483="Legitimate Interest (GDPR Art. 6(1)(f))", L6483=""), "Gap - Missing LIA", IF(AND(G6483="Yes", H6483=""), "Gap - Missing Art. 9 Basis", IF(OR(I6483="Invalid - Not Freely Given", I6483="Invalid - Not Specific", I6483="Invalid - Not Informed", I6483="Invalid - Ambiguous"), "Gap - Invalid Consent", "Compliant")))))</f>
        <v/>
      </c>
      <c r="O6483" s="7" t="n"/>
    </row>
    <row r="6484">
      <c r="A6484" s="7" t="n"/>
      <c r="B6484" s="7" t="n"/>
      <c r="C6484" s="7" t="n"/>
      <c r="D6484" s="7" t="n"/>
      <c r="E6484" s="7" t="n"/>
      <c r="F6484" s="7" t="n"/>
      <c r="G6484" s="7" t="n"/>
      <c r="H6484" s="7" t="n"/>
      <c r="I6484" s="7" t="n"/>
      <c r="J6484" s="7" t="n"/>
      <c r="K6484">
        <f>IF(D6484="Legitimate Interest (GDPR Art. 6(1)(f))", "Yes / Required (Sheet 3)", "")</f>
        <v/>
      </c>
      <c r="L6484" s="7" t="n"/>
      <c r="M6484" s="7" t="n"/>
      <c r="N6484">
        <f>IF(D6484="", "Gap - No Legal Basis", IF(AND(D6484="Consent (GDPR Art. 6(1)(a))", I6484="Not Captured"), "Gap - Invalid Consent", IF(AND(D6484="Legitimate Interest (GDPR Art. 6(1)(f))", L6484=""), "Gap - Missing LIA", IF(AND(G6484="Yes", H6484=""), "Gap - Missing Art. 9 Basis", IF(OR(I6484="Invalid - Not Freely Given", I6484="Invalid - Not Specific", I6484="Invalid - Not Informed", I6484="Invalid - Ambiguous"), "Gap - Invalid Consent", "Compliant")))))</f>
        <v/>
      </c>
      <c r="O6484" s="7" t="n"/>
    </row>
    <row r="6485">
      <c r="A6485" s="7" t="n"/>
      <c r="B6485" s="7" t="n"/>
      <c r="C6485" s="7" t="n"/>
      <c r="D6485" s="7" t="n"/>
      <c r="E6485" s="7" t="n"/>
      <c r="F6485" s="7" t="n"/>
      <c r="G6485" s="7" t="n"/>
      <c r="H6485" s="7" t="n"/>
      <c r="I6485" s="7" t="n"/>
      <c r="J6485" s="7" t="n"/>
      <c r="K6485">
        <f>IF(D6485="Legitimate Interest (GDPR Art. 6(1)(f))", "Yes / Required (Sheet 3)", "")</f>
        <v/>
      </c>
      <c r="L6485" s="7" t="n"/>
      <c r="M6485" s="7" t="n"/>
      <c r="N6485">
        <f>IF(D6485="", "Gap - No Legal Basis", IF(AND(D6485="Consent (GDPR Art. 6(1)(a))", I6485="Not Captured"), "Gap - Invalid Consent", IF(AND(D6485="Legitimate Interest (GDPR Art. 6(1)(f))", L6485=""), "Gap - Missing LIA", IF(AND(G6485="Yes", H6485=""), "Gap - Missing Art. 9 Basis", IF(OR(I6485="Invalid - Not Freely Given", I6485="Invalid - Not Specific", I6485="Invalid - Not Informed", I6485="Invalid - Ambiguous"), "Gap - Invalid Consent", "Compliant")))))</f>
        <v/>
      </c>
      <c r="O6485" s="7" t="n"/>
    </row>
    <row r="6486">
      <c r="A6486" s="7" t="n"/>
      <c r="B6486" s="7" t="n"/>
      <c r="C6486" s="7" t="n"/>
      <c r="D6486" s="7" t="n"/>
      <c r="E6486" s="7" t="n"/>
      <c r="F6486" s="7" t="n"/>
      <c r="G6486" s="7" t="n"/>
      <c r="H6486" s="7" t="n"/>
      <c r="I6486" s="7" t="n"/>
      <c r="J6486" s="7" t="n"/>
      <c r="K6486">
        <f>IF(D6486="Legitimate Interest (GDPR Art. 6(1)(f))", "Yes / Required (Sheet 3)", "")</f>
        <v/>
      </c>
      <c r="L6486" s="7" t="n"/>
      <c r="M6486" s="7" t="n"/>
      <c r="N6486">
        <f>IF(D6486="", "Gap - No Legal Basis", IF(AND(D6486="Consent (GDPR Art. 6(1)(a))", I6486="Not Captured"), "Gap - Invalid Consent", IF(AND(D6486="Legitimate Interest (GDPR Art. 6(1)(f))", L6486=""), "Gap - Missing LIA", IF(AND(G6486="Yes", H6486=""), "Gap - Missing Art. 9 Basis", IF(OR(I6486="Invalid - Not Freely Given", I6486="Invalid - Not Specific", I6486="Invalid - Not Informed", I6486="Invalid - Ambiguous"), "Gap - Invalid Consent", "Compliant")))))</f>
        <v/>
      </c>
      <c r="O6486" s="7" t="n"/>
    </row>
    <row r="6487">
      <c r="A6487" s="7" t="n"/>
      <c r="B6487" s="7" t="n"/>
      <c r="C6487" s="7" t="n"/>
      <c r="D6487" s="7" t="n"/>
      <c r="E6487" s="7" t="n"/>
      <c r="F6487" s="7" t="n"/>
      <c r="G6487" s="7" t="n"/>
      <c r="H6487" s="7" t="n"/>
      <c r="I6487" s="7" t="n"/>
      <c r="J6487" s="7" t="n"/>
      <c r="K6487">
        <f>IF(D6487="Legitimate Interest (GDPR Art. 6(1)(f))", "Yes / Required (Sheet 3)", "")</f>
        <v/>
      </c>
      <c r="L6487" s="7" t="n"/>
      <c r="M6487" s="7" t="n"/>
      <c r="N6487">
        <f>IF(D6487="", "Gap - No Legal Basis", IF(AND(D6487="Consent (GDPR Art. 6(1)(a))", I6487="Not Captured"), "Gap - Invalid Consent", IF(AND(D6487="Legitimate Interest (GDPR Art. 6(1)(f))", L6487=""), "Gap - Missing LIA", IF(AND(G6487="Yes", H6487=""), "Gap - Missing Art. 9 Basis", IF(OR(I6487="Invalid - Not Freely Given", I6487="Invalid - Not Specific", I6487="Invalid - Not Informed", I6487="Invalid - Ambiguous"), "Gap - Invalid Consent", "Compliant")))))</f>
        <v/>
      </c>
      <c r="O6487" s="7" t="n"/>
    </row>
    <row r="6488">
      <c r="A6488" s="7" t="n"/>
      <c r="B6488" s="7" t="n"/>
      <c r="C6488" s="7" t="n"/>
      <c r="D6488" s="7" t="n"/>
      <c r="E6488" s="7" t="n"/>
      <c r="F6488" s="7" t="n"/>
      <c r="G6488" s="7" t="n"/>
      <c r="H6488" s="7" t="n"/>
      <c r="I6488" s="7" t="n"/>
      <c r="J6488" s="7" t="n"/>
      <c r="K6488">
        <f>IF(D6488="Legitimate Interest (GDPR Art. 6(1)(f))", "Yes / Required (Sheet 3)", "")</f>
        <v/>
      </c>
      <c r="L6488" s="7" t="n"/>
      <c r="M6488" s="7" t="n"/>
      <c r="N6488">
        <f>IF(D6488="", "Gap - No Legal Basis", IF(AND(D6488="Consent (GDPR Art. 6(1)(a))", I6488="Not Captured"), "Gap - Invalid Consent", IF(AND(D6488="Legitimate Interest (GDPR Art. 6(1)(f))", L6488=""), "Gap - Missing LIA", IF(AND(G6488="Yes", H6488=""), "Gap - Missing Art. 9 Basis", IF(OR(I6488="Invalid - Not Freely Given", I6488="Invalid - Not Specific", I6488="Invalid - Not Informed", I6488="Invalid - Ambiguous"), "Gap - Invalid Consent", "Compliant")))))</f>
        <v/>
      </c>
      <c r="O6488" s="7" t="n"/>
    </row>
    <row r="6489">
      <c r="A6489" s="7" t="n"/>
      <c r="B6489" s="7" t="n"/>
      <c r="C6489" s="7" t="n"/>
      <c r="D6489" s="7" t="n"/>
      <c r="E6489" s="7" t="n"/>
      <c r="F6489" s="7" t="n"/>
      <c r="G6489" s="7" t="n"/>
      <c r="H6489" s="7" t="n"/>
      <c r="I6489" s="7" t="n"/>
      <c r="J6489" s="7" t="n"/>
      <c r="K6489">
        <f>IF(D6489="Legitimate Interest (GDPR Art. 6(1)(f))", "Yes / Required (Sheet 3)", "")</f>
        <v/>
      </c>
      <c r="L6489" s="7" t="n"/>
      <c r="M6489" s="7" t="n"/>
      <c r="N6489">
        <f>IF(D6489="", "Gap - No Legal Basis", IF(AND(D6489="Consent (GDPR Art. 6(1)(a))", I6489="Not Captured"), "Gap - Invalid Consent", IF(AND(D6489="Legitimate Interest (GDPR Art. 6(1)(f))", L6489=""), "Gap - Missing LIA", IF(AND(G6489="Yes", H6489=""), "Gap - Missing Art. 9 Basis", IF(OR(I6489="Invalid - Not Freely Given", I6489="Invalid - Not Specific", I6489="Invalid - Not Informed", I6489="Invalid - Ambiguous"), "Gap - Invalid Consent", "Compliant")))))</f>
        <v/>
      </c>
      <c r="O6489" s="7" t="n"/>
    </row>
    <row r="6490">
      <c r="A6490" s="7" t="n"/>
      <c r="B6490" s="7" t="n"/>
      <c r="C6490" s="7" t="n"/>
      <c r="D6490" s="7" t="n"/>
      <c r="E6490" s="7" t="n"/>
      <c r="F6490" s="7" t="n"/>
      <c r="G6490" s="7" t="n"/>
      <c r="H6490" s="7" t="n"/>
      <c r="I6490" s="7" t="n"/>
      <c r="J6490" s="7" t="n"/>
      <c r="K6490">
        <f>IF(D6490="Legitimate Interest (GDPR Art. 6(1)(f))", "Yes / Required (Sheet 3)", "")</f>
        <v/>
      </c>
      <c r="L6490" s="7" t="n"/>
      <c r="M6490" s="7" t="n"/>
      <c r="N6490">
        <f>IF(D6490="", "Gap - No Legal Basis", IF(AND(D6490="Consent (GDPR Art. 6(1)(a))", I6490="Not Captured"), "Gap - Invalid Consent", IF(AND(D6490="Legitimate Interest (GDPR Art. 6(1)(f))", L6490=""), "Gap - Missing LIA", IF(AND(G6490="Yes", H6490=""), "Gap - Missing Art. 9 Basis", IF(OR(I6490="Invalid - Not Freely Given", I6490="Invalid - Not Specific", I6490="Invalid - Not Informed", I6490="Invalid - Ambiguous"), "Gap - Invalid Consent", "Compliant")))))</f>
        <v/>
      </c>
      <c r="O6490" s="7" t="n"/>
    </row>
    <row r="6491">
      <c r="A6491" s="7" t="n"/>
      <c r="B6491" s="7" t="n"/>
      <c r="C6491" s="7" t="n"/>
      <c r="D6491" s="7" t="n"/>
      <c r="E6491" s="7" t="n"/>
      <c r="F6491" s="7" t="n"/>
      <c r="G6491" s="7" t="n"/>
      <c r="H6491" s="7" t="n"/>
      <c r="I6491" s="7" t="n"/>
      <c r="J6491" s="7" t="n"/>
      <c r="K6491">
        <f>IF(D6491="Legitimate Interest (GDPR Art. 6(1)(f))", "Yes / Required (Sheet 3)", "")</f>
        <v/>
      </c>
      <c r="L6491" s="7" t="n"/>
      <c r="M6491" s="7" t="n"/>
      <c r="N6491">
        <f>IF(D6491="", "Gap - No Legal Basis", IF(AND(D6491="Consent (GDPR Art. 6(1)(a))", I6491="Not Captured"), "Gap - Invalid Consent", IF(AND(D6491="Legitimate Interest (GDPR Art. 6(1)(f))", L6491=""), "Gap - Missing LIA", IF(AND(G6491="Yes", H6491=""), "Gap - Missing Art. 9 Basis", IF(OR(I6491="Invalid - Not Freely Given", I6491="Invalid - Not Specific", I6491="Invalid - Not Informed", I6491="Invalid - Ambiguous"), "Gap - Invalid Consent", "Compliant")))))</f>
        <v/>
      </c>
      <c r="O6491" s="7" t="n"/>
    </row>
    <row r="6492">
      <c r="A6492" s="7" t="n"/>
      <c r="B6492" s="7" t="n"/>
      <c r="C6492" s="7" t="n"/>
      <c r="D6492" s="7" t="n"/>
      <c r="E6492" s="7" t="n"/>
      <c r="F6492" s="7" t="n"/>
      <c r="G6492" s="7" t="n"/>
      <c r="H6492" s="7" t="n"/>
      <c r="I6492" s="7" t="n"/>
      <c r="J6492" s="7" t="n"/>
      <c r="K6492">
        <f>IF(D6492="Legitimate Interest (GDPR Art. 6(1)(f))", "Yes / Required (Sheet 3)", "")</f>
        <v/>
      </c>
      <c r="L6492" s="7" t="n"/>
      <c r="M6492" s="7" t="n"/>
      <c r="N6492">
        <f>IF(D6492="", "Gap - No Legal Basis", IF(AND(D6492="Consent (GDPR Art. 6(1)(a))", I6492="Not Captured"), "Gap - Invalid Consent", IF(AND(D6492="Legitimate Interest (GDPR Art. 6(1)(f))", L6492=""), "Gap - Missing LIA", IF(AND(G6492="Yes", H6492=""), "Gap - Missing Art. 9 Basis", IF(OR(I6492="Invalid - Not Freely Given", I6492="Invalid - Not Specific", I6492="Invalid - Not Informed", I6492="Invalid - Ambiguous"), "Gap - Invalid Consent", "Compliant")))))</f>
        <v/>
      </c>
      <c r="O6492" s="7" t="n"/>
    </row>
    <row r="6493">
      <c r="A6493" s="7" t="n"/>
      <c r="B6493" s="7" t="n"/>
      <c r="C6493" s="7" t="n"/>
      <c r="D6493" s="7" t="n"/>
      <c r="E6493" s="7" t="n"/>
      <c r="F6493" s="7" t="n"/>
      <c r="G6493" s="7" t="n"/>
      <c r="H6493" s="7" t="n"/>
      <c r="I6493" s="7" t="n"/>
      <c r="J6493" s="7" t="n"/>
      <c r="K6493">
        <f>IF(D6493="Legitimate Interest (GDPR Art. 6(1)(f))", "Yes / Required (Sheet 3)", "")</f>
        <v/>
      </c>
      <c r="L6493" s="7" t="n"/>
      <c r="M6493" s="7" t="n"/>
      <c r="N6493">
        <f>IF(D6493="", "Gap - No Legal Basis", IF(AND(D6493="Consent (GDPR Art. 6(1)(a))", I6493="Not Captured"), "Gap - Invalid Consent", IF(AND(D6493="Legitimate Interest (GDPR Art. 6(1)(f))", L6493=""), "Gap - Missing LIA", IF(AND(G6493="Yes", H6493=""), "Gap - Missing Art. 9 Basis", IF(OR(I6493="Invalid - Not Freely Given", I6493="Invalid - Not Specific", I6493="Invalid - Not Informed", I6493="Invalid - Ambiguous"), "Gap - Invalid Consent", "Compliant")))))</f>
        <v/>
      </c>
      <c r="O6493" s="7" t="n"/>
    </row>
    <row r="6494">
      <c r="A6494" s="7" t="n"/>
      <c r="B6494" s="7" t="n"/>
      <c r="C6494" s="7" t="n"/>
      <c r="D6494" s="7" t="n"/>
      <c r="E6494" s="7" t="n"/>
      <c r="F6494" s="7" t="n"/>
      <c r="G6494" s="7" t="n"/>
      <c r="H6494" s="7" t="n"/>
      <c r="I6494" s="7" t="n"/>
      <c r="J6494" s="7" t="n"/>
      <c r="K6494">
        <f>IF(D6494="Legitimate Interest (GDPR Art. 6(1)(f))", "Yes / Required (Sheet 3)", "")</f>
        <v/>
      </c>
      <c r="L6494" s="7" t="n"/>
      <c r="M6494" s="7" t="n"/>
      <c r="N6494">
        <f>IF(D6494="", "Gap - No Legal Basis", IF(AND(D6494="Consent (GDPR Art. 6(1)(a))", I6494="Not Captured"), "Gap - Invalid Consent", IF(AND(D6494="Legitimate Interest (GDPR Art. 6(1)(f))", L6494=""), "Gap - Missing LIA", IF(AND(G6494="Yes", H6494=""), "Gap - Missing Art. 9 Basis", IF(OR(I6494="Invalid - Not Freely Given", I6494="Invalid - Not Specific", I6494="Invalid - Not Informed", I6494="Invalid - Ambiguous"), "Gap - Invalid Consent", "Compliant")))))</f>
        <v/>
      </c>
      <c r="O6494" s="7" t="n"/>
    </row>
    <row r="6495">
      <c r="A6495" s="7" t="n"/>
      <c r="B6495" s="7" t="n"/>
      <c r="C6495" s="7" t="n"/>
      <c r="D6495" s="7" t="n"/>
      <c r="E6495" s="7" t="n"/>
      <c r="F6495" s="7" t="n"/>
      <c r="G6495" s="7" t="n"/>
      <c r="H6495" s="7" t="n"/>
      <c r="I6495" s="7" t="n"/>
      <c r="J6495" s="7" t="n"/>
      <c r="K6495">
        <f>IF(D6495="Legitimate Interest (GDPR Art. 6(1)(f))", "Yes / Required (Sheet 3)", "")</f>
        <v/>
      </c>
      <c r="L6495" s="7" t="n"/>
      <c r="M6495" s="7" t="n"/>
      <c r="N6495">
        <f>IF(D6495="", "Gap - No Legal Basis", IF(AND(D6495="Consent (GDPR Art. 6(1)(a))", I6495="Not Captured"), "Gap - Invalid Consent", IF(AND(D6495="Legitimate Interest (GDPR Art. 6(1)(f))", L6495=""), "Gap - Missing LIA", IF(AND(G6495="Yes", H6495=""), "Gap - Missing Art. 9 Basis", IF(OR(I6495="Invalid - Not Freely Given", I6495="Invalid - Not Specific", I6495="Invalid - Not Informed", I6495="Invalid - Ambiguous"), "Gap - Invalid Consent", "Compliant")))))</f>
        <v/>
      </c>
      <c r="O6495" s="7" t="n"/>
    </row>
    <row r="6496">
      <c r="A6496" s="7" t="n"/>
      <c r="B6496" s="7" t="n"/>
      <c r="C6496" s="7" t="n"/>
      <c r="D6496" s="7" t="n"/>
      <c r="E6496" s="7" t="n"/>
      <c r="F6496" s="7" t="n"/>
      <c r="G6496" s="7" t="n"/>
      <c r="H6496" s="7" t="n"/>
      <c r="I6496" s="7" t="n"/>
      <c r="J6496" s="7" t="n"/>
      <c r="K6496">
        <f>IF(D6496="Legitimate Interest (GDPR Art. 6(1)(f))", "Yes / Required (Sheet 3)", "")</f>
        <v/>
      </c>
      <c r="L6496" s="7" t="n"/>
      <c r="M6496" s="7" t="n"/>
      <c r="N6496">
        <f>IF(D6496="", "Gap - No Legal Basis", IF(AND(D6496="Consent (GDPR Art. 6(1)(a))", I6496="Not Captured"), "Gap - Invalid Consent", IF(AND(D6496="Legitimate Interest (GDPR Art. 6(1)(f))", L6496=""), "Gap - Missing LIA", IF(AND(G6496="Yes", H6496=""), "Gap - Missing Art. 9 Basis", IF(OR(I6496="Invalid - Not Freely Given", I6496="Invalid - Not Specific", I6496="Invalid - Not Informed", I6496="Invalid - Ambiguous"), "Gap - Invalid Consent", "Compliant")))))</f>
        <v/>
      </c>
      <c r="O6496" s="7" t="n"/>
    </row>
    <row r="6497">
      <c r="A6497" s="7" t="n"/>
      <c r="B6497" s="7" t="n"/>
      <c r="C6497" s="7" t="n"/>
      <c r="D6497" s="7" t="n"/>
      <c r="E6497" s="7" t="n"/>
      <c r="F6497" s="7" t="n"/>
      <c r="G6497" s="7" t="n"/>
      <c r="H6497" s="7" t="n"/>
      <c r="I6497" s="7" t="n"/>
      <c r="J6497" s="7" t="n"/>
      <c r="K6497">
        <f>IF(D6497="Legitimate Interest (GDPR Art. 6(1)(f))", "Yes / Required (Sheet 3)", "")</f>
        <v/>
      </c>
      <c r="L6497" s="7" t="n"/>
      <c r="M6497" s="7" t="n"/>
      <c r="N6497">
        <f>IF(D6497="", "Gap - No Legal Basis", IF(AND(D6497="Consent (GDPR Art. 6(1)(a))", I6497="Not Captured"), "Gap - Invalid Consent", IF(AND(D6497="Legitimate Interest (GDPR Art. 6(1)(f))", L6497=""), "Gap - Missing LIA", IF(AND(G6497="Yes", H6497=""), "Gap - Missing Art. 9 Basis", IF(OR(I6497="Invalid - Not Freely Given", I6497="Invalid - Not Specific", I6497="Invalid - Not Informed", I6497="Invalid - Ambiguous"), "Gap - Invalid Consent", "Compliant")))))</f>
        <v/>
      </c>
      <c r="O6497" s="7" t="n"/>
    </row>
    <row r="6498">
      <c r="A6498" s="7" t="n"/>
      <c r="B6498" s="7" t="n"/>
      <c r="C6498" s="7" t="n"/>
      <c r="D6498" s="7" t="n"/>
      <c r="E6498" s="7" t="n"/>
      <c r="F6498" s="7" t="n"/>
      <c r="G6498" s="7" t="n"/>
      <c r="H6498" s="7" t="n"/>
      <c r="I6498" s="7" t="n"/>
      <c r="J6498" s="7" t="n"/>
      <c r="K6498">
        <f>IF(D6498="Legitimate Interest (GDPR Art. 6(1)(f))", "Yes / Required (Sheet 3)", "")</f>
        <v/>
      </c>
      <c r="L6498" s="7" t="n"/>
      <c r="M6498" s="7" t="n"/>
      <c r="N6498">
        <f>IF(D6498="", "Gap - No Legal Basis", IF(AND(D6498="Consent (GDPR Art. 6(1)(a))", I6498="Not Captured"), "Gap - Invalid Consent", IF(AND(D6498="Legitimate Interest (GDPR Art. 6(1)(f))", L6498=""), "Gap - Missing LIA", IF(AND(G6498="Yes", H6498=""), "Gap - Missing Art. 9 Basis", IF(OR(I6498="Invalid - Not Freely Given", I6498="Invalid - Not Specific", I6498="Invalid - Not Informed", I6498="Invalid - Ambiguous"), "Gap - Invalid Consent", "Compliant")))))</f>
        <v/>
      </c>
      <c r="O6498" s="7" t="n"/>
    </row>
    <row r="6499">
      <c r="A6499" s="7" t="n"/>
      <c r="B6499" s="7" t="n"/>
      <c r="C6499" s="7" t="n"/>
      <c r="D6499" s="7" t="n"/>
      <c r="E6499" s="7" t="n"/>
      <c r="F6499" s="7" t="n"/>
      <c r="G6499" s="7" t="n"/>
      <c r="H6499" s="7" t="n"/>
      <c r="I6499" s="7" t="n"/>
      <c r="J6499" s="7" t="n"/>
      <c r="K6499">
        <f>IF(D6499="Legitimate Interest (GDPR Art. 6(1)(f))", "Yes / Required (Sheet 3)", "")</f>
        <v/>
      </c>
      <c r="L6499" s="7" t="n"/>
      <c r="M6499" s="7" t="n"/>
      <c r="N6499">
        <f>IF(D6499="", "Gap - No Legal Basis", IF(AND(D6499="Consent (GDPR Art. 6(1)(a))", I6499="Not Captured"), "Gap - Invalid Consent", IF(AND(D6499="Legitimate Interest (GDPR Art. 6(1)(f))", L6499=""), "Gap - Missing LIA", IF(AND(G6499="Yes", H6499=""), "Gap - Missing Art. 9 Basis", IF(OR(I6499="Invalid - Not Freely Given", I6499="Invalid - Not Specific", I6499="Invalid - Not Informed", I6499="Invalid - Ambiguous"), "Gap - Invalid Consent", "Compliant")))))</f>
        <v/>
      </c>
      <c r="O6499" s="7" t="n"/>
    </row>
    <row r="6500">
      <c r="A6500" s="7" t="n"/>
      <c r="B6500" s="7" t="n"/>
      <c r="C6500" s="7" t="n"/>
      <c r="D6500" s="7" t="n"/>
      <c r="E6500" s="7" t="n"/>
      <c r="F6500" s="7" t="n"/>
      <c r="G6500" s="7" t="n"/>
      <c r="H6500" s="7" t="n"/>
      <c r="I6500" s="7" t="n"/>
      <c r="J6500" s="7" t="n"/>
      <c r="K6500">
        <f>IF(D6500="Legitimate Interest (GDPR Art. 6(1)(f))", "Yes / Required (Sheet 3)", "")</f>
        <v/>
      </c>
      <c r="L6500" s="7" t="n"/>
      <c r="M6500" s="7" t="n"/>
      <c r="N6500">
        <f>IF(D6500="", "Gap - No Legal Basis", IF(AND(D6500="Consent (GDPR Art. 6(1)(a))", I6500="Not Captured"), "Gap - Invalid Consent", IF(AND(D6500="Legitimate Interest (GDPR Art. 6(1)(f))", L6500=""), "Gap - Missing LIA", IF(AND(G6500="Yes", H6500=""), "Gap - Missing Art. 9 Basis", IF(OR(I6500="Invalid - Not Freely Given", I6500="Invalid - Not Specific", I6500="Invalid - Not Informed", I6500="Invalid - Ambiguous"), "Gap - Invalid Consent", "Compliant")))))</f>
        <v/>
      </c>
      <c r="O6500" s="7" t="n"/>
    </row>
    <row r="6501">
      <c r="A6501" s="7" t="n"/>
      <c r="B6501" s="7" t="n"/>
      <c r="C6501" s="7" t="n"/>
      <c r="D6501" s="7" t="n"/>
      <c r="E6501" s="7" t="n"/>
      <c r="F6501" s="7" t="n"/>
      <c r="G6501" s="7" t="n"/>
      <c r="H6501" s="7" t="n"/>
      <c r="I6501" s="7" t="n"/>
      <c r="J6501" s="7" t="n"/>
      <c r="K6501">
        <f>IF(D6501="Legitimate Interest (GDPR Art. 6(1)(f))", "Yes / Required (Sheet 3)", "")</f>
        <v/>
      </c>
      <c r="L6501" s="7" t="n"/>
      <c r="M6501" s="7" t="n"/>
      <c r="N6501">
        <f>IF(D6501="", "Gap - No Legal Basis", IF(AND(D6501="Consent (GDPR Art. 6(1)(a))", I6501="Not Captured"), "Gap - Invalid Consent", IF(AND(D6501="Legitimate Interest (GDPR Art. 6(1)(f))", L6501=""), "Gap - Missing LIA", IF(AND(G6501="Yes", H6501=""), "Gap - Missing Art. 9 Basis", IF(OR(I6501="Invalid - Not Freely Given", I6501="Invalid - Not Specific", I6501="Invalid - Not Informed", I6501="Invalid - Ambiguous"), "Gap - Invalid Consent", "Compliant")))))</f>
        <v/>
      </c>
      <c r="O6501" s="7" t="n"/>
    </row>
    <row r="6502">
      <c r="A6502" s="7" t="n"/>
      <c r="B6502" s="7" t="n"/>
      <c r="C6502" s="7" t="n"/>
      <c r="D6502" s="7" t="n"/>
      <c r="E6502" s="7" t="n"/>
      <c r="F6502" s="7" t="n"/>
      <c r="G6502" s="7" t="n"/>
      <c r="H6502" s="7" t="n"/>
      <c r="I6502" s="7" t="n"/>
      <c r="J6502" s="7" t="n"/>
      <c r="K6502">
        <f>IF(D6502="Legitimate Interest (GDPR Art. 6(1)(f))", "Yes / Required (Sheet 3)", "")</f>
        <v/>
      </c>
      <c r="L6502" s="7" t="n"/>
      <c r="M6502" s="7" t="n"/>
      <c r="N6502">
        <f>IF(D6502="", "Gap - No Legal Basis", IF(AND(D6502="Consent (GDPR Art. 6(1)(a))", I6502="Not Captured"), "Gap - Invalid Consent", IF(AND(D6502="Legitimate Interest (GDPR Art. 6(1)(f))", L6502=""), "Gap - Missing LIA", IF(AND(G6502="Yes", H6502=""), "Gap - Missing Art. 9 Basis", IF(OR(I6502="Invalid - Not Freely Given", I6502="Invalid - Not Specific", I6502="Invalid - Not Informed", I6502="Invalid - Ambiguous"), "Gap - Invalid Consent", "Compliant")))))</f>
        <v/>
      </c>
      <c r="O6502" s="7" t="n"/>
    </row>
    <row r="6503">
      <c r="A6503" s="7" t="n"/>
      <c r="B6503" s="7" t="n"/>
      <c r="C6503" s="7" t="n"/>
      <c r="D6503" s="7" t="n"/>
      <c r="E6503" s="7" t="n"/>
      <c r="F6503" s="7" t="n"/>
      <c r="G6503" s="7" t="n"/>
      <c r="H6503" s="7" t="n"/>
      <c r="I6503" s="7" t="n"/>
      <c r="J6503" s="7" t="n"/>
      <c r="K6503">
        <f>IF(D6503="Legitimate Interest (GDPR Art. 6(1)(f))", "Yes / Required (Sheet 3)", "")</f>
        <v/>
      </c>
      <c r="L6503" s="7" t="n"/>
      <c r="M6503" s="7" t="n"/>
      <c r="N6503">
        <f>IF(D6503="", "Gap - No Legal Basis", IF(AND(D6503="Consent (GDPR Art. 6(1)(a))", I6503="Not Captured"), "Gap - Invalid Consent", IF(AND(D6503="Legitimate Interest (GDPR Art. 6(1)(f))", L6503=""), "Gap - Missing LIA", IF(AND(G6503="Yes", H6503=""), "Gap - Missing Art. 9 Basis", IF(OR(I6503="Invalid - Not Freely Given", I6503="Invalid - Not Specific", I6503="Invalid - Not Informed", I6503="Invalid - Ambiguous"), "Gap - Invalid Consent", "Compliant")))))</f>
        <v/>
      </c>
      <c r="O6503" s="7" t="n"/>
    </row>
    <row r="6504">
      <c r="A6504" s="7" t="n"/>
      <c r="B6504" s="7" t="n"/>
      <c r="C6504" s="7" t="n"/>
      <c r="D6504" s="7" t="n"/>
      <c r="E6504" s="7" t="n"/>
      <c r="F6504" s="7" t="n"/>
      <c r="G6504" s="7" t="n"/>
      <c r="H6504" s="7" t="n"/>
      <c r="I6504" s="7" t="n"/>
      <c r="J6504" s="7" t="n"/>
      <c r="K6504">
        <f>IF(D6504="Legitimate Interest (GDPR Art. 6(1)(f))", "Yes / Required (Sheet 3)", "")</f>
        <v/>
      </c>
      <c r="L6504" s="7" t="n"/>
      <c r="M6504" s="7" t="n"/>
      <c r="N6504">
        <f>IF(D6504="", "Gap - No Legal Basis", IF(AND(D6504="Consent (GDPR Art. 6(1)(a))", I6504="Not Captured"), "Gap - Invalid Consent", IF(AND(D6504="Legitimate Interest (GDPR Art. 6(1)(f))", L6504=""), "Gap - Missing LIA", IF(AND(G6504="Yes", H6504=""), "Gap - Missing Art. 9 Basis", IF(OR(I6504="Invalid - Not Freely Given", I6504="Invalid - Not Specific", I6504="Invalid - Not Informed", I6504="Invalid - Ambiguous"), "Gap - Invalid Consent", "Compliant")))))</f>
        <v/>
      </c>
      <c r="O6504" s="7" t="n"/>
    </row>
    <row r="6505">
      <c r="A6505" s="7" t="n"/>
      <c r="B6505" s="7" t="n"/>
      <c r="C6505" s="7" t="n"/>
      <c r="D6505" s="7" t="n"/>
      <c r="E6505" s="7" t="n"/>
      <c r="F6505" s="7" t="n"/>
      <c r="G6505" s="7" t="n"/>
      <c r="H6505" s="7" t="n"/>
      <c r="I6505" s="7" t="n"/>
      <c r="J6505" s="7" t="n"/>
      <c r="K6505">
        <f>IF(D6505="Legitimate Interest (GDPR Art. 6(1)(f))", "Yes / Required (Sheet 3)", "")</f>
        <v/>
      </c>
      <c r="L6505" s="7" t="n"/>
      <c r="M6505" s="7" t="n"/>
      <c r="N6505">
        <f>IF(D6505="", "Gap - No Legal Basis", IF(AND(D6505="Consent (GDPR Art. 6(1)(a))", I6505="Not Captured"), "Gap - Invalid Consent", IF(AND(D6505="Legitimate Interest (GDPR Art. 6(1)(f))", L6505=""), "Gap - Missing LIA", IF(AND(G6505="Yes", H6505=""), "Gap - Missing Art. 9 Basis", IF(OR(I6505="Invalid - Not Freely Given", I6505="Invalid - Not Specific", I6505="Invalid - Not Informed", I6505="Invalid - Ambiguous"), "Gap - Invalid Consent", "Compliant")))))</f>
        <v/>
      </c>
      <c r="O6505" s="7" t="n"/>
    </row>
    <row r="6506">
      <c r="A6506" s="7" t="n"/>
      <c r="B6506" s="7" t="n"/>
      <c r="C6506" s="7" t="n"/>
      <c r="D6506" s="7" t="n"/>
      <c r="E6506" s="7" t="n"/>
      <c r="F6506" s="7" t="n"/>
      <c r="G6506" s="7" t="n"/>
      <c r="H6506" s="7" t="n"/>
      <c r="I6506" s="7" t="n"/>
      <c r="J6506" s="7" t="n"/>
      <c r="K6506">
        <f>IF(D6506="Legitimate Interest (GDPR Art. 6(1)(f))", "Yes / Required (Sheet 3)", "")</f>
        <v/>
      </c>
      <c r="L6506" s="7" t="n"/>
      <c r="M6506" s="7" t="n"/>
      <c r="N6506">
        <f>IF(D6506="", "Gap - No Legal Basis", IF(AND(D6506="Consent (GDPR Art. 6(1)(a))", I6506="Not Captured"), "Gap - Invalid Consent", IF(AND(D6506="Legitimate Interest (GDPR Art. 6(1)(f))", L6506=""), "Gap - Missing LIA", IF(AND(G6506="Yes", H6506=""), "Gap - Missing Art. 9 Basis", IF(OR(I6506="Invalid - Not Freely Given", I6506="Invalid - Not Specific", I6506="Invalid - Not Informed", I6506="Invalid - Ambiguous"), "Gap - Invalid Consent", "Compliant")))))</f>
        <v/>
      </c>
      <c r="O6506" s="7" t="n"/>
    </row>
    <row r="6507">
      <c r="A6507" s="7" t="n"/>
      <c r="B6507" s="7" t="n"/>
      <c r="C6507" s="7" t="n"/>
      <c r="D6507" s="7" t="n"/>
      <c r="E6507" s="7" t="n"/>
      <c r="F6507" s="7" t="n"/>
      <c r="G6507" s="7" t="n"/>
      <c r="H6507" s="7" t="n"/>
      <c r="I6507" s="7" t="n"/>
      <c r="J6507" s="7" t="n"/>
      <c r="K6507">
        <f>IF(D6507="Legitimate Interest (GDPR Art. 6(1)(f))", "Yes / Required (Sheet 3)", "")</f>
        <v/>
      </c>
      <c r="L6507" s="7" t="n"/>
      <c r="M6507" s="7" t="n"/>
      <c r="N6507">
        <f>IF(D6507="", "Gap - No Legal Basis", IF(AND(D6507="Consent (GDPR Art. 6(1)(a))", I6507="Not Captured"), "Gap - Invalid Consent", IF(AND(D6507="Legitimate Interest (GDPR Art. 6(1)(f))", L6507=""), "Gap - Missing LIA", IF(AND(G6507="Yes", H6507=""), "Gap - Missing Art. 9 Basis", IF(OR(I6507="Invalid - Not Freely Given", I6507="Invalid - Not Specific", I6507="Invalid - Not Informed", I6507="Invalid - Ambiguous"), "Gap - Invalid Consent", "Compliant")))))</f>
        <v/>
      </c>
      <c r="O6507" s="7" t="n"/>
    </row>
    <row r="6508">
      <c r="A6508" s="7" t="n"/>
      <c r="B6508" s="7" t="n"/>
      <c r="C6508" s="7" t="n"/>
      <c r="D6508" s="7" t="n"/>
      <c r="E6508" s="7" t="n"/>
      <c r="F6508" s="7" t="n"/>
      <c r="G6508" s="7" t="n"/>
      <c r="H6508" s="7" t="n"/>
      <c r="I6508" s="7" t="n"/>
      <c r="J6508" s="7" t="n"/>
      <c r="K6508">
        <f>IF(D6508="Legitimate Interest (GDPR Art. 6(1)(f))", "Yes / Required (Sheet 3)", "")</f>
        <v/>
      </c>
      <c r="L6508" s="7" t="n"/>
      <c r="M6508" s="7" t="n"/>
      <c r="N6508">
        <f>IF(D6508="", "Gap - No Legal Basis", IF(AND(D6508="Consent (GDPR Art. 6(1)(a))", I6508="Not Captured"), "Gap - Invalid Consent", IF(AND(D6508="Legitimate Interest (GDPR Art. 6(1)(f))", L6508=""), "Gap - Missing LIA", IF(AND(G6508="Yes", H6508=""), "Gap - Missing Art. 9 Basis", IF(OR(I6508="Invalid - Not Freely Given", I6508="Invalid - Not Specific", I6508="Invalid - Not Informed", I6508="Invalid - Ambiguous"), "Gap - Invalid Consent", "Compliant")))))</f>
        <v/>
      </c>
      <c r="O6508" s="7" t="n"/>
    </row>
    <row r="6509">
      <c r="A6509" s="7" t="n"/>
      <c r="B6509" s="7" t="n"/>
      <c r="C6509" s="7" t="n"/>
      <c r="D6509" s="7" t="n"/>
      <c r="E6509" s="7" t="n"/>
      <c r="F6509" s="7" t="n"/>
      <c r="G6509" s="7" t="n"/>
      <c r="H6509" s="7" t="n"/>
      <c r="I6509" s="7" t="n"/>
      <c r="J6509" s="7" t="n"/>
      <c r="K6509">
        <f>IF(D6509="Legitimate Interest (GDPR Art. 6(1)(f))", "Yes / Required (Sheet 3)", "")</f>
        <v/>
      </c>
      <c r="L6509" s="7" t="n"/>
      <c r="M6509" s="7" t="n"/>
      <c r="N6509">
        <f>IF(D6509="", "Gap - No Legal Basis", IF(AND(D6509="Consent (GDPR Art. 6(1)(a))", I6509="Not Captured"), "Gap - Invalid Consent", IF(AND(D6509="Legitimate Interest (GDPR Art. 6(1)(f))", L6509=""), "Gap - Missing LIA", IF(AND(G6509="Yes", H6509=""), "Gap - Missing Art. 9 Basis", IF(OR(I6509="Invalid - Not Freely Given", I6509="Invalid - Not Specific", I6509="Invalid - Not Informed", I6509="Invalid - Ambiguous"), "Gap - Invalid Consent", "Compliant")))))</f>
        <v/>
      </c>
      <c r="O6509" s="7" t="n"/>
    </row>
    <row r="6510">
      <c r="A6510" s="7" t="n"/>
      <c r="B6510" s="7" t="n"/>
      <c r="C6510" s="7" t="n"/>
      <c r="D6510" s="7" t="n"/>
      <c r="E6510" s="7" t="n"/>
      <c r="F6510" s="7" t="n"/>
      <c r="G6510" s="7" t="n"/>
      <c r="H6510" s="7" t="n"/>
      <c r="I6510" s="7" t="n"/>
      <c r="J6510" s="7" t="n"/>
      <c r="K6510">
        <f>IF(D6510="Legitimate Interest (GDPR Art. 6(1)(f))", "Yes / Required (Sheet 3)", "")</f>
        <v/>
      </c>
      <c r="L6510" s="7" t="n"/>
      <c r="M6510" s="7" t="n"/>
      <c r="N6510">
        <f>IF(D6510="", "Gap - No Legal Basis", IF(AND(D6510="Consent (GDPR Art. 6(1)(a))", I6510="Not Captured"), "Gap - Invalid Consent", IF(AND(D6510="Legitimate Interest (GDPR Art. 6(1)(f))", L6510=""), "Gap - Missing LIA", IF(AND(G6510="Yes", H6510=""), "Gap - Missing Art. 9 Basis", IF(OR(I6510="Invalid - Not Freely Given", I6510="Invalid - Not Specific", I6510="Invalid - Not Informed", I6510="Invalid - Ambiguous"), "Gap - Invalid Consent", "Compliant")))))</f>
        <v/>
      </c>
      <c r="O6510" s="7" t="n"/>
    </row>
    <row r="6511">
      <c r="A6511" s="7" t="n"/>
      <c r="B6511" s="7" t="n"/>
      <c r="C6511" s="7" t="n"/>
      <c r="D6511" s="7" t="n"/>
      <c r="E6511" s="7" t="n"/>
      <c r="F6511" s="7" t="n"/>
      <c r="G6511" s="7" t="n"/>
      <c r="H6511" s="7" t="n"/>
      <c r="I6511" s="7" t="n"/>
      <c r="J6511" s="7" t="n"/>
      <c r="K6511">
        <f>IF(D6511="Legitimate Interest (GDPR Art. 6(1)(f))", "Yes / Required (Sheet 3)", "")</f>
        <v/>
      </c>
      <c r="L6511" s="7" t="n"/>
      <c r="M6511" s="7" t="n"/>
      <c r="N6511">
        <f>IF(D6511="", "Gap - No Legal Basis", IF(AND(D6511="Consent (GDPR Art. 6(1)(a))", I6511="Not Captured"), "Gap - Invalid Consent", IF(AND(D6511="Legitimate Interest (GDPR Art. 6(1)(f))", L6511=""), "Gap - Missing LIA", IF(AND(G6511="Yes", H6511=""), "Gap - Missing Art. 9 Basis", IF(OR(I6511="Invalid - Not Freely Given", I6511="Invalid - Not Specific", I6511="Invalid - Not Informed", I6511="Invalid - Ambiguous"), "Gap - Invalid Consent", "Compliant")))))</f>
        <v/>
      </c>
      <c r="O6511" s="7" t="n"/>
    </row>
    <row r="6512">
      <c r="A6512" s="7" t="n"/>
      <c r="B6512" s="7" t="n"/>
      <c r="C6512" s="7" t="n"/>
      <c r="D6512" s="7" t="n"/>
      <c r="E6512" s="7" t="n"/>
      <c r="F6512" s="7" t="n"/>
      <c r="G6512" s="7" t="n"/>
      <c r="H6512" s="7" t="n"/>
      <c r="I6512" s="7" t="n"/>
      <c r="J6512" s="7" t="n"/>
      <c r="K6512">
        <f>IF(D6512="Legitimate Interest (GDPR Art. 6(1)(f))", "Yes / Required (Sheet 3)", "")</f>
        <v/>
      </c>
      <c r="L6512" s="7" t="n"/>
      <c r="M6512" s="7" t="n"/>
      <c r="N6512">
        <f>IF(D6512="", "Gap - No Legal Basis", IF(AND(D6512="Consent (GDPR Art. 6(1)(a))", I6512="Not Captured"), "Gap - Invalid Consent", IF(AND(D6512="Legitimate Interest (GDPR Art. 6(1)(f))", L6512=""), "Gap - Missing LIA", IF(AND(G6512="Yes", H6512=""), "Gap - Missing Art. 9 Basis", IF(OR(I6512="Invalid - Not Freely Given", I6512="Invalid - Not Specific", I6512="Invalid - Not Informed", I6512="Invalid - Ambiguous"), "Gap - Invalid Consent", "Compliant")))))</f>
        <v/>
      </c>
      <c r="O6512" s="7" t="n"/>
    </row>
    <row r="6513">
      <c r="A6513" s="7" t="n"/>
      <c r="B6513" s="7" t="n"/>
      <c r="C6513" s="7" t="n"/>
      <c r="D6513" s="7" t="n"/>
      <c r="E6513" s="7" t="n"/>
      <c r="F6513" s="7" t="n"/>
      <c r="G6513" s="7" t="n"/>
      <c r="H6513" s="7" t="n"/>
      <c r="I6513" s="7" t="n"/>
      <c r="J6513" s="7" t="n"/>
      <c r="K6513">
        <f>IF(D6513="Legitimate Interest (GDPR Art. 6(1)(f))", "Yes / Required (Sheet 3)", "")</f>
        <v/>
      </c>
      <c r="L6513" s="7" t="n"/>
      <c r="M6513" s="7" t="n"/>
      <c r="N6513">
        <f>IF(D6513="", "Gap - No Legal Basis", IF(AND(D6513="Consent (GDPR Art. 6(1)(a))", I6513="Not Captured"), "Gap - Invalid Consent", IF(AND(D6513="Legitimate Interest (GDPR Art. 6(1)(f))", L6513=""), "Gap - Missing LIA", IF(AND(G6513="Yes", H6513=""), "Gap - Missing Art. 9 Basis", IF(OR(I6513="Invalid - Not Freely Given", I6513="Invalid - Not Specific", I6513="Invalid - Not Informed", I6513="Invalid - Ambiguous"), "Gap - Invalid Consent", "Compliant")))))</f>
        <v/>
      </c>
      <c r="O6513" s="7" t="n"/>
    </row>
    <row r="6514">
      <c r="A6514" s="7" t="n"/>
      <c r="B6514" s="7" t="n"/>
      <c r="C6514" s="7" t="n"/>
      <c r="D6514" s="7" t="n"/>
      <c r="E6514" s="7" t="n"/>
      <c r="F6514" s="7" t="n"/>
      <c r="G6514" s="7" t="n"/>
      <c r="H6514" s="7" t="n"/>
      <c r="I6514" s="7" t="n"/>
      <c r="J6514" s="7" t="n"/>
      <c r="K6514">
        <f>IF(D6514="Legitimate Interest (GDPR Art. 6(1)(f))", "Yes / Required (Sheet 3)", "")</f>
        <v/>
      </c>
      <c r="L6514" s="7" t="n"/>
      <c r="M6514" s="7" t="n"/>
      <c r="N6514">
        <f>IF(D6514="", "Gap - No Legal Basis", IF(AND(D6514="Consent (GDPR Art. 6(1)(a))", I6514="Not Captured"), "Gap - Invalid Consent", IF(AND(D6514="Legitimate Interest (GDPR Art. 6(1)(f))", L6514=""), "Gap - Missing LIA", IF(AND(G6514="Yes", H6514=""), "Gap - Missing Art. 9 Basis", IF(OR(I6514="Invalid - Not Freely Given", I6514="Invalid - Not Specific", I6514="Invalid - Not Informed", I6514="Invalid - Ambiguous"), "Gap - Invalid Consent", "Compliant")))))</f>
        <v/>
      </c>
      <c r="O6514" s="7" t="n"/>
    </row>
    <row r="6515">
      <c r="A6515" s="7" t="n"/>
      <c r="B6515" s="7" t="n"/>
      <c r="C6515" s="7" t="n"/>
      <c r="D6515" s="7" t="n"/>
      <c r="E6515" s="7" t="n"/>
      <c r="F6515" s="7" t="n"/>
      <c r="G6515" s="7" t="n"/>
      <c r="H6515" s="7" t="n"/>
      <c r="I6515" s="7" t="n"/>
      <c r="J6515" s="7" t="n"/>
      <c r="K6515">
        <f>IF(D6515="Legitimate Interest (GDPR Art. 6(1)(f))", "Yes / Required (Sheet 3)", "")</f>
        <v/>
      </c>
      <c r="L6515" s="7" t="n"/>
      <c r="M6515" s="7" t="n"/>
      <c r="N6515">
        <f>IF(D6515="", "Gap - No Legal Basis", IF(AND(D6515="Consent (GDPR Art. 6(1)(a))", I6515="Not Captured"), "Gap - Invalid Consent", IF(AND(D6515="Legitimate Interest (GDPR Art. 6(1)(f))", L6515=""), "Gap - Missing LIA", IF(AND(G6515="Yes", H6515=""), "Gap - Missing Art. 9 Basis", IF(OR(I6515="Invalid - Not Freely Given", I6515="Invalid - Not Specific", I6515="Invalid - Not Informed", I6515="Invalid - Ambiguous"), "Gap - Invalid Consent", "Compliant")))))</f>
        <v/>
      </c>
      <c r="O6515" s="7" t="n"/>
    </row>
    <row r="6516">
      <c r="A6516" s="7" t="n"/>
      <c r="B6516" s="7" t="n"/>
      <c r="C6516" s="7" t="n"/>
      <c r="D6516" s="7" t="n"/>
      <c r="E6516" s="7" t="n"/>
      <c r="F6516" s="7" t="n"/>
      <c r="G6516" s="7" t="n"/>
      <c r="H6516" s="7" t="n"/>
      <c r="I6516" s="7" t="n"/>
      <c r="J6516" s="7" t="n"/>
      <c r="K6516">
        <f>IF(D6516="Legitimate Interest (GDPR Art. 6(1)(f))", "Yes / Required (Sheet 3)", "")</f>
        <v/>
      </c>
      <c r="L6516" s="7" t="n"/>
      <c r="M6516" s="7" t="n"/>
      <c r="N6516">
        <f>IF(D6516="", "Gap - No Legal Basis", IF(AND(D6516="Consent (GDPR Art. 6(1)(a))", I6516="Not Captured"), "Gap - Invalid Consent", IF(AND(D6516="Legitimate Interest (GDPR Art. 6(1)(f))", L6516=""), "Gap - Missing LIA", IF(AND(G6516="Yes", H6516=""), "Gap - Missing Art. 9 Basis", IF(OR(I6516="Invalid - Not Freely Given", I6516="Invalid - Not Specific", I6516="Invalid - Not Informed", I6516="Invalid - Ambiguous"), "Gap - Invalid Consent", "Compliant")))))</f>
        <v/>
      </c>
      <c r="O6516" s="7" t="n"/>
    </row>
    <row r="6517">
      <c r="A6517" s="7" t="n"/>
      <c r="B6517" s="7" t="n"/>
      <c r="C6517" s="7" t="n"/>
      <c r="D6517" s="7" t="n"/>
      <c r="E6517" s="7" t="n"/>
      <c r="F6517" s="7" t="n"/>
      <c r="G6517" s="7" t="n"/>
      <c r="H6517" s="7" t="n"/>
      <c r="I6517" s="7" t="n"/>
      <c r="J6517" s="7" t="n"/>
      <c r="K6517">
        <f>IF(D6517="Legitimate Interest (GDPR Art. 6(1)(f))", "Yes / Required (Sheet 3)", "")</f>
        <v/>
      </c>
      <c r="L6517" s="7" t="n"/>
      <c r="M6517" s="7" t="n"/>
      <c r="N6517">
        <f>IF(D6517="", "Gap - No Legal Basis", IF(AND(D6517="Consent (GDPR Art. 6(1)(a))", I6517="Not Captured"), "Gap - Invalid Consent", IF(AND(D6517="Legitimate Interest (GDPR Art. 6(1)(f))", L6517=""), "Gap - Missing LIA", IF(AND(G6517="Yes", H6517=""), "Gap - Missing Art. 9 Basis", IF(OR(I6517="Invalid - Not Freely Given", I6517="Invalid - Not Specific", I6517="Invalid - Not Informed", I6517="Invalid - Ambiguous"), "Gap - Invalid Consent", "Compliant")))))</f>
        <v/>
      </c>
      <c r="O6517" s="7" t="n"/>
    </row>
    <row r="6518">
      <c r="A6518" s="7" t="n"/>
      <c r="B6518" s="7" t="n"/>
      <c r="C6518" s="7" t="n"/>
      <c r="D6518" s="7" t="n"/>
      <c r="E6518" s="7" t="n"/>
      <c r="F6518" s="7" t="n"/>
      <c r="G6518" s="7" t="n"/>
      <c r="H6518" s="7" t="n"/>
      <c r="I6518" s="7" t="n"/>
      <c r="J6518" s="7" t="n"/>
      <c r="K6518">
        <f>IF(D6518="Legitimate Interest (GDPR Art. 6(1)(f))", "Yes / Required (Sheet 3)", "")</f>
        <v/>
      </c>
      <c r="L6518" s="7" t="n"/>
      <c r="M6518" s="7" t="n"/>
      <c r="N6518">
        <f>IF(D6518="", "Gap - No Legal Basis", IF(AND(D6518="Consent (GDPR Art. 6(1)(a))", I6518="Not Captured"), "Gap - Invalid Consent", IF(AND(D6518="Legitimate Interest (GDPR Art. 6(1)(f))", L6518=""), "Gap - Missing LIA", IF(AND(G6518="Yes", H6518=""), "Gap - Missing Art. 9 Basis", IF(OR(I6518="Invalid - Not Freely Given", I6518="Invalid - Not Specific", I6518="Invalid - Not Informed", I6518="Invalid - Ambiguous"), "Gap - Invalid Consent", "Compliant")))))</f>
        <v/>
      </c>
      <c r="O6518" s="7" t="n"/>
    </row>
    <row r="6519">
      <c r="A6519" s="7" t="n"/>
      <c r="B6519" s="7" t="n"/>
      <c r="C6519" s="7" t="n"/>
      <c r="D6519" s="7" t="n"/>
      <c r="E6519" s="7" t="n"/>
      <c r="F6519" s="7" t="n"/>
      <c r="G6519" s="7" t="n"/>
      <c r="H6519" s="7" t="n"/>
      <c r="I6519" s="7" t="n"/>
      <c r="J6519" s="7" t="n"/>
      <c r="K6519">
        <f>IF(D6519="Legitimate Interest (GDPR Art. 6(1)(f))", "Yes / Required (Sheet 3)", "")</f>
        <v/>
      </c>
      <c r="L6519" s="7" t="n"/>
      <c r="M6519" s="7" t="n"/>
      <c r="N6519">
        <f>IF(D6519="", "Gap - No Legal Basis", IF(AND(D6519="Consent (GDPR Art. 6(1)(a))", I6519="Not Captured"), "Gap - Invalid Consent", IF(AND(D6519="Legitimate Interest (GDPR Art. 6(1)(f))", L6519=""), "Gap - Missing LIA", IF(AND(G6519="Yes", H6519=""), "Gap - Missing Art. 9 Basis", IF(OR(I6519="Invalid - Not Freely Given", I6519="Invalid - Not Specific", I6519="Invalid - Not Informed", I6519="Invalid - Ambiguous"), "Gap - Invalid Consent", "Compliant")))))</f>
        <v/>
      </c>
      <c r="O6519" s="7" t="n"/>
    </row>
    <row r="6520">
      <c r="A6520" s="7" t="n"/>
      <c r="B6520" s="7" t="n"/>
      <c r="C6520" s="7" t="n"/>
      <c r="D6520" s="7" t="n"/>
      <c r="E6520" s="7" t="n"/>
      <c r="F6520" s="7" t="n"/>
      <c r="G6520" s="7" t="n"/>
      <c r="H6520" s="7" t="n"/>
      <c r="I6520" s="7" t="n"/>
      <c r="J6520" s="7" t="n"/>
      <c r="K6520">
        <f>IF(D6520="Legitimate Interest (GDPR Art. 6(1)(f))", "Yes / Required (Sheet 3)", "")</f>
        <v/>
      </c>
      <c r="L6520" s="7" t="n"/>
      <c r="M6520" s="7" t="n"/>
      <c r="N6520">
        <f>IF(D6520="", "Gap - No Legal Basis", IF(AND(D6520="Consent (GDPR Art. 6(1)(a))", I6520="Not Captured"), "Gap - Invalid Consent", IF(AND(D6520="Legitimate Interest (GDPR Art. 6(1)(f))", L6520=""), "Gap - Missing LIA", IF(AND(G6520="Yes", H6520=""), "Gap - Missing Art. 9 Basis", IF(OR(I6520="Invalid - Not Freely Given", I6520="Invalid - Not Specific", I6520="Invalid - Not Informed", I6520="Invalid - Ambiguous"), "Gap - Invalid Consent", "Compliant")))))</f>
        <v/>
      </c>
      <c r="O6520" s="7" t="n"/>
    </row>
    <row r="6521">
      <c r="A6521" s="7" t="n"/>
      <c r="B6521" s="7" t="n"/>
      <c r="C6521" s="7" t="n"/>
      <c r="D6521" s="7" t="n"/>
      <c r="E6521" s="7" t="n"/>
      <c r="F6521" s="7" t="n"/>
      <c r="G6521" s="7" t="n"/>
      <c r="H6521" s="7" t="n"/>
      <c r="I6521" s="7" t="n"/>
      <c r="J6521" s="7" t="n"/>
      <c r="K6521">
        <f>IF(D6521="Legitimate Interest (GDPR Art. 6(1)(f))", "Yes / Required (Sheet 3)", "")</f>
        <v/>
      </c>
      <c r="L6521" s="7" t="n"/>
      <c r="M6521" s="7" t="n"/>
      <c r="N6521">
        <f>IF(D6521="", "Gap - No Legal Basis", IF(AND(D6521="Consent (GDPR Art. 6(1)(a))", I6521="Not Captured"), "Gap - Invalid Consent", IF(AND(D6521="Legitimate Interest (GDPR Art. 6(1)(f))", L6521=""), "Gap - Missing LIA", IF(AND(G6521="Yes", H6521=""), "Gap - Missing Art. 9 Basis", IF(OR(I6521="Invalid - Not Freely Given", I6521="Invalid - Not Specific", I6521="Invalid - Not Informed", I6521="Invalid - Ambiguous"), "Gap - Invalid Consent", "Compliant")))))</f>
        <v/>
      </c>
      <c r="O6521" s="7" t="n"/>
    </row>
    <row r="6522">
      <c r="A6522" s="7" t="n"/>
      <c r="B6522" s="7" t="n"/>
      <c r="C6522" s="7" t="n"/>
      <c r="D6522" s="7" t="n"/>
      <c r="E6522" s="7" t="n"/>
      <c r="F6522" s="7" t="n"/>
      <c r="G6522" s="7" t="n"/>
      <c r="H6522" s="7" t="n"/>
      <c r="I6522" s="7" t="n"/>
      <c r="J6522" s="7" t="n"/>
      <c r="K6522">
        <f>IF(D6522="Legitimate Interest (GDPR Art. 6(1)(f))", "Yes / Required (Sheet 3)", "")</f>
        <v/>
      </c>
      <c r="L6522" s="7" t="n"/>
      <c r="M6522" s="7" t="n"/>
      <c r="N6522">
        <f>IF(D6522="", "Gap - No Legal Basis", IF(AND(D6522="Consent (GDPR Art. 6(1)(a))", I6522="Not Captured"), "Gap - Invalid Consent", IF(AND(D6522="Legitimate Interest (GDPR Art. 6(1)(f))", L6522=""), "Gap - Missing LIA", IF(AND(G6522="Yes", H6522=""), "Gap - Missing Art. 9 Basis", IF(OR(I6522="Invalid - Not Freely Given", I6522="Invalid - Not Specific", I6522="Invalid - Not Informed", I6522="Invalid - Ambiguous"), "Gap - Invalid Consent", "Compliant")))))</f>
        <v/>
      </c>
      <c r="O6522" s="7" t="n"/>
    </row>
    <row r="6523">
      <c r="A6523" s="7" t="n"/>
      <c r="B6523" s="7" t="n"/>
      <c r="C6523" s="7" t="n"/>
      <c r="D6523" s="7" t="n"/>
      <c r="E6523" s="7" t="n"/>
      <c r="F6523" s="7" t="n"/>
      <c r="G6523" s="7" t="n"/>
      <c r="H6523" s="7" t="n"/>
      <c r="I6523" s="7" t="n"/>
      <c r="J6523" s="7" t="n"/>
      <c r="K6523">
        <f>IF(D6523="Legitimate Interest (GDPR Art. 6(1)(f))", "Yes / Required (Sheet 3)", "")</f>
        <v/>
      </c>
      <c r="L6523" s="7" t="n"/>
      <c r="M6523" s="7" t="n"/>
      <c r="N6523">
        <f>IF(D6523="", "Gap - No Legal Basis", IF(AND(D6523="Consent (GDPR Art. 6(1)(a))", I6523="Not Captured"), "Gap - Invalid Consent", IF(AND(D6523="Legitimate Interest (GDPR Art. 6(1)(f))", L6523=""), "Gap - Missing LIA", IF(AND(G6523="Yes", H6523=""), "Gap - Missing Art. 9 Basis", IF(OR(I6523="Invalid - Not Freely Given", I6523="Invalid - Not Specific", I6523="Invalid - Not Informed", I6523="Invalid - Ambiguous"), "Gap - Invalid Consent", "Compliant")))))</f>
        <v/>
      </c>
      <c r="O6523" s="7" t="n"/>
    </row>
    <row r="6524">
      <c r="A6524" s="7" t="n"/>
      <c r="B6524" s="7" t="n"/>
      <c r="C6524" s="7" t="n"/>
      <c r="D6524" s="7" t="n"/>
      <c r="E6524" s="7" t="n"/>
      <c r="F6524" s="7" t="n"/>
      <c r="G6524" s="7" t="n"/>
      <c r="H6524" s="7" t="n"/>
      <c r="I6524" s="7" t="n"/>
      <c r="J6524" s="7" t="n"/>
      <c r="K6524">
        <f>IF(D6524="Legitimate Interest (GDPR Art. 6(1)(f))", "Yes / Required (Sheet 3)", "")</f>
        <v/>
      </c>
      <c r="L6524" s="7" t="n"/>
      <c r="M6524" s="7" t="n"/>
      <c r="N6524">
        <f>IF(D6524="", "Gap - No Legal Basis", IF(AND(D6524="Consent (GDPR Art. 6(1)(a))", I6524="Not Captured"), "Gap - Invalid Consent", IF(AND(D6524="Legitimate Interest (GDPR Art. 6(1)(f))", L6524=""), "Gap - Missing LIA", IF(AND(G6524="Yes", H6524=""), "Gap - Missing Art. 9 Basis", IF(OR(I6524="Invalid - Not Freely Given", I6524="Invalid - Not Specific", I6524="Invalid - Not Informed", I6524="Invalid - Ambiguous"), "Gap - Invalid Consent", "Compliant")))))</f>
        <v/>
      </c>
      <c r="O6524" s="7" t="n"/>
    </row>
    <row r="6525">
      <c r="A6525" s="7" t="n"/>
      <c r="B6525" s="7" t="n"/>
      <c r="C6525" s="7" t="n"/>
      <c r="D6525" s="7" t="n"/>
      <c r="E6525" s="7" t="n"/>
      <c r="F6525" s="7" t="n"/>
      <c r="G6525" s="7" t="n"/>
      <c r="H6525" s="7" t="n"/>
      <c r="I6525" s="7" t="n"/>
      <c r="J6525" s="7" t="n"/>
      <c r="K6525">
        <f>IF(D6525="Legitimate Interest (GDPR Art. 6(1)(f))", "Yes / Required (Sheet 3)", "")</f>
        <v/>
      </c>
      <c r="L6525" s="7" t="n"/>
      <c r="M6525" s="7" t="n"/>
      <c r="N6525">
        <f>IF(D6525="", "Gap - No Legal Basis", IF(AND(D6525="Consent (GDPR Art. 6(1)(a))", I6525="Not Captured"), "Gap - Invalid Consent", IF(AND(D6525="Legitimate Interest (GDPR Art. 6(1)(f))", L6525=""), "Gap - Missing LIA", IF(AND(G6525="Yes", H6525=""), "Gap - Missing Art. 9 Basis", IF(OR(I6525="Invalid - Not Freely Given", I6525="Invalid - Not Specific", I6525="Invalid - Not Informed", I6525="Invalid - Ambiguous"), "Gap - Invalid Consent", "Compliant")))))</f>
        <v/>
      </c>
      <c r="O6525" s="7" t="n"/>
    </row>
    <row r="6526">
      <c r="A6526" s="7" t="n"/>
      <c r="B6526" s="7" t="n"/>
      <c r="C6526" s="7" t="n"/>
      <c r="D6526" s="7" t="n"/>
      <c r="E6526" s="7" t="n"/>
      <c r="F6526" s="7" t="n"/>
      <c r="G6526" s="7" t="n"/>
      <c r="H6526" s="7" t="n"/>
      <c r="I6526" s="7" t="n"/>
      <c r="J6526" s="7" t="n"/>
      <c r="K6526">
        <f>IF(D6526="Legitimate Interest (GDPR Art. 6(1)(f))", "Yes / Required (Sheet 3)", "")</f>
        <v/>
      </c>
      <c r="L6526" s="7" t="n"/>
      <c r="M6526" s="7" t="n"/>
      <c r="N6526">
        <f>IF(D6526="", "Gap - No Legal Basis", IF(AND(D6526="Consent (GDPR Art. 6(1)(a))", I6526="Not Captured"), "Gap - Invalid Consent", IF(AND(D6526="Legitimate Interest (GDPR Art. 6(1)(f))", L6526=""), "Gap - Missing LIA", IF(AND(G6526="Yes", H6526=""), "Gap - Missing Art. 9 Basis", IF(OR(I6526="Invalid - Not Freely Given", I6526="Invalid - Not Specific", I6526="Invalid - Not Informed", I6526="Invalid - Ambiguous"), "Gap - Invalid Consent", "Compliant")))))</f>
        <v/>
      </c>
      <c r="O6526" s="7" t="n"/>
    </row>
    <row r="6527">
      <c r="A6527" s="7" t="n"/>
      <c r="B6527" s="7" t="n"/>
      <c r="C6527" s="7" t="n"/>
      <c r="D6527" s="7" t="n"/>
      <c r="E6527" s="7" t="n"/>
      <c r="F6527" s="7" t="n"/>
      <c r="G6527" s="7" t="n"/>
      <c r="H6527" s="7" t="n"/>
      <c r="I6527" s="7" t="n"/>
      <c r="J6527" s="7" t="n"/>
      <c r="K6527">
        <f>IF(D6527="Legitimate Interest (GDPR Art. 6(1)(f))", "Yes / Required (Sheet 3)", "")</f>
        <v/>
      </c>
      <c r="L6527" s="7" t="n"/>
      <c r="M6527" s="7" t="n"/>
      <c r="N6527">
        <f>IF(D6527="", "Gap - No Legal Basis", IF(AND(D6527="Consent (GDPR Art. 6(1)(a))", I6527="Not Captured"), "Gap - Invalid Consent", IF(AND(D6527="Legitimate Interest (GDPR Art. 6(1)(f))", L6527=""), "Gap - Missing LIA", IF(AND(G6527="Yes", H6527=""), "Gap - Missing Art. 9 Basis", IF(OR(I6527="Invalid - Not Freely Given", I6527="Invalid - Not Specific", I6527="Invalid - Not Informed", I6527="Invalid - Ambiguous"), "Gap - Invalid Consent", "Compliant")))))</f>
        <v/>
      </c>
      <c r="O6527" s="7" t="n"/>
    </row>
    <row r="6528">
      <c r="A6528" s="7" t="n"/>
      <c r="B6528" s="7" t="n"/>
      <c r="C6528" s="7" t="n"/>
      <c r="D6528" s="7" t="n"/>
      <c r="E6528" s="7" t="n"/>
      <c r="F6528" s="7" t="n"/>
      <c r="G6528" s="7" t="n"/>
      <c r="H6528" s="7" t="n"/>
      <c r="I6528" s="7" t="n"/>
      <c r="J6528" s="7" t="n"/>
      <c r="K6528">
        <f>IF(D6528="Legitimate Interest (GDPR Art. 6(1)(f))", "Yes / Required (Sheet 3)", "")</f>
        <v/>
      </c>
      <c r="L6528" s="7" t="n"/>
      <c r="M6528" s="7" t="n"/>
      <c r="N6528">
        <f>IF(D6528="", "Gap - No Legal Basis", IF(AND(D6528="Consent (GDPR Art. 6(1)(a))", I6528="Not Captured"), "Gap - Invalid Consent", IF(AND(D6528="Legitimate Interest (GDPR Art. 6(1)(f))", L6528=""), "Gap - Missing LIA", IF(AND(G6528="Yes", H6528=""), "Gap - Missing Art. 9 Basis", IF(OR(I6528="Invalid - Not Freely Given", I6528="Invalid - Not Specific", I6528="Invalid - Not Informed", I6528="Invalid - Ambiguous"), "Gap - Invalid Consent", "Compliant")))))</f>
        <v/>
      </c>
      <c r="O6528" s="7" t="n"/>
    </row>
    <row r="6529">
      <c r="A6529" s="7" t="n"/>
      <c r="B6529" s="7" t="n"/>
      <c r="C6529" s="7" t="n"/>
      <c r="D6529" s="7" t="n"/>
      <c r="E6529" s="7" t="n"/>
      <c r="F6529" s="7" t="n"/>
      <c r="G6529" s="7" t="n"/>
      <c r="H6529" s="7" t="n"/>
      <c r="I6529" s="7" t="n"/>
      <c r="J6529" s="7" t="n"/>
      <c r="K6529">
        <f>IF(D6529="Legitimate Interest (GDPR Art. 6(1)(f))", "Yes / Required (Sheet 3)", "")</f>
        <v/>
      </c>
      <c r="L6529" s="7" t="n"/>
      <c r="M6529" s="7" t="n"/>
      <c r="N6529">
        <f>IF(D6529="", "Gap - No Legal Basis", IF(AND(D6529="Consent (GDPR Art. 6(1)(a))", I6529="Not Captured"), "Gap - Invalid Consent", IF(AND(D6529="Legitimate Interest (GDPR Art. 6(1)(f))", L6529=""), "Gap - Missing LIA", IF(AND(G6529="Yes", H6529=""), "Gap - Missing Art. 9 Basis", IF(OR(I6529="Invalid - Not Freely Given", I6529="Invalid - Not Specific", I6529="Invalid - Not Informed", I6529="Invalid - Ambiguous"), "Gap - Invalid Consent", "Compliant")))))</f>
        <v/>
      </c>
      <c r="O6529" s="7" t="n"/>
    </row>
    <row r="6530">
      <c r="A6530" s="7" t="n"/>
      <c r="B6530" s="7" t="n"/>
      <c r="C6530" s="7" t="n"/>
      <c r="D6530" s="7" t="n"/>
      <c r="E6530" s="7" t="n"/>
      <c r="F6530" s="7" t="n"/>
      <c r="G6530" s="7" t="n"/>
      <c r="H6530" s="7" t="n"/>
      <c r="I6530" s="7" t="n"/>
      <c r="J6530" s="7" t="n"/>
      <c r="K6530">
        <f>IF(D6530="Legitimate Interest (GDPR Art. 6(1)(f))", "Yes / Required (Sheet 3)", "")</f>
        <v/>
      </c>
      <c r="L6530" s="7" t="n"/>
      <c r="M6530" s="7" t="n"/>
      <c r="N6530">
        <f>IF(D6530="", "Gap - No Legal Basis", IF(AND(D6530="Consent (GDPR Art. 6(1)(a))", I6530="Not Captured"), "Gap - Invalid Consent", IF(AND(D6530="Legitimate Interest (GDPR Art. 6(1)(f))", L6530=""), "Gap - Missing LIA", IF(AND(G6530="Yes", H6530=""), "Gap - Missing Art. 9 Basis", IF(OR(I6530="Invalid - Not Freely Given", I6530="Invalid - Not Specific", I6530="Invalid - Not Informed", I6530="Invalid - Ambiguous"), "Gap - Invalid Consent", "Compliant")))))</f>
        <v/>
      </c>
      <c r="O6530" s="7" t="n"/>
    </row>
    <row r="6531">
      <c r="A6531" s="7" t="n"/>
      <c r="B6531" s="7" t="n"/>
      <c r="C6531" s="7" t="n"/>
      <c r="D6531" s="7" t="n"/>
      <c r="E6531" s="7" t="n"/>
      <c r="F6531" s="7" t="n"/>
      <c r="G6531" s="7" t="n"/>
      <c r="H6531" s="7" t="n"/>
      <c r="I6531" s="7" t="n"/>
      <c r="J6531" s="7" t="n"/>
      <c r="K6531">
        <f>IF(D6531="Legitimate Interest (GDPR Art. 6(1)(f))", "Yes / Required (Sheet 3)", "")</f>
        <v/>
      </c>
      <c r="L6531" s="7" t="n"/>
      <c r="M6531" s="7" t="n"/>
      <c r="N6531">
        <f>IF(D6531="", "Gap - No Legal Basis", IF(AND(D6531="Consent (GDPR Art. 6(1)(a))", I6531="Not Captured"), "Gap - Invalid Consent", IF(AND(D6531="Legitimate Interest (GDPR Art. 6(1)(f))", L6531=""), "Gap - Missing LIA", IF(AND(G6531="Yes", H6531=""), "Gap - Missing Art. 9 Basis", IF(OR(I6531="Invalid - Not Freely Given", I6531="Invalid - Not Specific", I6531="Invalid - Not Informed", I6531="Invalid - Ambiguous"), "Gap - Invalid Consent", "Compliant")))))</f>
        <v/>
      </c>
      <c r="O6531" s="7" t="n"/>
    </row>
    <row r="6532">
      <c r="A6532" s="7" t="n"/>
      <c r="B6532" s="7" t="n"/>
      <c r="C6532" s="7" t="n"/>
      <c r="D6532" s="7" t="n"/>
      <c r="E6532" s="7" t="n"/>
      <c r="F6532" s="7" t="n"/>
      <c r="G6532" s="7" t="n"/>
      <c r="H6532" s="7" t="n"/>
      <c r="I6532" s="7" t="n"/>
      <c r="J6532" s="7" t="n"/>
      <c r="K6532">
        <f>IF(D6532="Legitimate Interest (GDPR Art. 6(1)(f))", "Yes / Required (Sheet 3)", "")</f>
        <v/>
      </c>
      <c r="L6532" s="7" t="n"/>
      <c r="M6532" s="7" t="n"/>
      <c r="N6532">
        <f>IF(D6532="", "Gap - No Legal Basis", IF(AND(D6532="Consent (GDPR Art. 6(1)(a))", I6532="Not Captured"), "Gap - Invalid Consent", IF(AND(D6532="Legitimate Interest (GDPR Art. 6(1)(f))", L6532=""), "Gap - Missing LIA", IF(AND(G6532="Yes", H6532=""), "Gap - Missing Art. 9 Basis", IF(OR(I6532="Invalid - Not Freely Given", I6532="Invalid - Not Specific", I6532="Invalid - Not Informed", I6532="Invalid - Ambiguous"), "Gap - Invalid Consent", "Compliant")))))</f>
        <v/>
      </c>
      <c r="O6532" s="7" t="n"/>
    </row>
    <row r="6533">
      <c r="A6533" s="7" t="n"/>
      <c r="B6533" s="7" t="n"/>
      <c r="C6533" s="7" t="n"/>
      <c r="D6533" s="7" t="n"/>
      <c r="E6533" s="7" t="n"/>
      <c r="F6533" s="7" t="n"/>
      <c r="G6533" s="7" t="n"/>
      <c r="H6533" s="7" t="n"/>
      <c r="I6533" s="7" t="n"/>
      <c r="J6533" s="7" t="n"/>
      <c r="K6533">
        <f>IF(D6533="Legitimate Interest (GDPR Art. 6(1)(f))", "Yes / Required (Sheet 3)", "")</f>
        <v/>
      </c>
      <c r="L6533" s="7" t="n"/>
      <c r="M6533" s="7" t="n"/>
      <c r="N6533">
        <f>IF(D6533="", "Gap - No Legal Basis", IF(AND(D6533="Consent (GDPR Art. 6(1)(a))", I6533="Not Captured"), "Gap - Invalid Consent", IF(AND(D6533="Legitimate Interest (GDPR Art. 6(1)(f))", L6533=""), "Gap - Missing LIA", IF(AND(G6533="Yes", H6533=""), "Gap - Missing Art. 9 Basis", IF(OR(I6533="Invalid - Not Freely Given", I6533="Invalid - Not Specific", I6533="Invalid - Not Informed", I6533="Invalid - Ambiguous"), "Gap - Invalid Consent", "Compliant")))))</f>
        <v/>
      </c>
      <c r="O6533" s="7" t="n"/>
    </row>
    <row r="6534">
      <c r="A6534" s="7" t="n"/>
      <c r="B6534" s="7" t="n"/>
      <c r="C6534" s="7" t="n"/>
      <c r="D6534" s="7" t="n"/>
      <c r="E6534" s="7" t="n"/>
      <c r="F6534" s="7" t="n"/>
      <c r="G6534" s="7" t="n"/>
      <c r="H6534" s="7" t="n"/>
      <c r="I6534" s="7" t="n"/>
      <c r="J6534" s="7" t="n"/>
      <c r="K6534">
        <f>IF(D6534="Legitimate Interest (GDPR Art. 6(1)(f))", "Yes / Required (Sheet 3)", "")</f>
        <v/>
      </c>
      <c r="L6534" s="7" t="n"/>
      <c r="M6534" s="7" t="n"/>
      <c r="N6534">
        <f>IF(D6534="", "Gap - No Legal Basis", IF(AND(D6534="Consent (GDPR Art. 6(1)(a))", I6534="Not Captured"), "Gap - Invalid Consent", IF(AND(D6534="Legitimate Interest (GDPR Art. 6(1)(f))", L6534=""), "Gap - Missing LIA", IF(AND(G6534="Yes", H6534=""), "Gap - Missing Art. 9 Basis", IF(OR(I6534="Invalid - Not Freely Given", I6534="Invalid - Not Specific", I6534="Invalid - Not Informed", I6534="Invalid - Ambiguous"), "Gap - Invalid Consent", "Compliant")))))</f>
        <v/>
      </c>
      <c r="O6534" s="7" t="n"/>
    </row>
    <row r="6535">
      <c r="A6535" s="7" t="n"/>
      <c r="B6535" s="7" t="n"/>
      <c r="C6535" s="7" t="n"/>
      <c r="D6535" s="7" t="n"/>
      <c r="E6535" s="7" t="n"/>
      <c r="F6535" s="7" t="n"/>
      <c r="G6535" s="7" t="n"/>
      <c r="H6535" s="7" t="n"/>
      <c r="I6535" s="7" t="n"/>
      <c r="J6535" s="7" t="n"/>
      <c r="K6535">
        <f>IF(D6535="Legitimate Interest (GDPR Art. 6(1)(f))", "Yes / Required (Sheet 3)", "")</f>
        <v/>
      </c>
      <c r="L6535" s="7" t="n"/>
      <c r="M6535" s="7" t="n"/>
      <c r="N6535">
        <f>IF(D6535="", "Gap - No Legal Basis", IF(AND(D6535="Consent (GDPR Art. 6(1)(a))", I6535="Not Captured"), "Gap - Invalid Consent", IF(AND(D6535="Legitimate Interest (GDPR Art. 6(1)(f))", L6535=""), "Gap - Missing LIA", IF(AND(G6535="Yes", H6535=""), "Gap - Missing Art. 9 Basis", IF(OR(I6535="Invalid - Not Freely Given", I6535="Invalid - Not Specific", I6535="Invalid - Not Informed", I6535="Invalid - Ambiguous"), "Gap - Invalid Consent", "Compliant")))))</f>
        <v/>
      </c>
      <c r="O6535" s="7" t="n"/>
    </row>
    <row r="6536">
      <c r="A6536" s="7" t="n"/>
      <c r="B6536" s="7" t="n"/>
      <c r="C6536" s="7" t="n"/>
      <c r="D6536" s="7" t="n"/>
      <c r="E6536" s="7" t="n"/>
      <c r="F6536" s="7" t="n"/>
      <c r="G6536" s="7" t="n"/>
      <c r="H6536" s="7" t="n"/>
      <c r="I6536" s="7" t="n"/>
      <c r="J6536" s="7" t="n"/>
      <c r="K6536">
        <f>IF(D6536="Legitimate Interest (GDPR Art. 6(1)(f))", "Yes / Required (Sheet 3)", "")</f>
        <v/>
      </c>
      <c r="L6536" s="7" t="n"/>
      <c r="M6536" s="7" t="n"/>
      <c r="N6536">
        <f>IF(D6536="", "Gap - No Legal Basis", IF(AND(D6536="Consent (GDPR Art. 6(1)(a))", I6536="Not Captured"), "Gap - Invalid Consent", IF(AND(D6536="Legitimate Interest (GDPR Art. 6(1)(f))", L6536=""), "Gap - Missing LIA", IF(AND(G6536="Yes", H6536=""), "Gap - Missing Art. 9 Basis", IF(OR(I6536="Invalid - Not Freely Given", I6536="Invalid - Not Specific", I6536="Invalid - Not Informed", I6536="Invalid - Ambiguous"), "Gap - Invalid Consent", "Compliant")))))</f>
        <v/>
      </c>
      <c r="O6536" s="7" t="n"/>
    </row>
    <row r="6537">
      <c r="A6537" s="7" t="n"/>
      <c r="B6537" s="7" t="n"/>
      <c r="C6537" s="7" t="n"/>
      <c r="D6537" s="7" t="n"/>
      <c r="E6537" s="7" t="n"/>
      <c r="F6537" s="7" t="n"/>
      <c r="G6537" s="7" t="n"/>
      <c r="H6537" s="7" t="n"/>
      <c r="I6537" s="7" t="n"/>
      <c r="J6537" s="7" t="n"/>
      <c r="K6537">
        <f>IF(D6537="Legitimate Interest (GDPR Art. 6(1)(f))", "Yes / Required (Sheet 3)", "")</f>
        <v/>
      </c>
      <c r="L6537" s="7" t="n"/>
      <c r="M6537" s="7" t="n"/>
      <c r="N6537">
        <f>IF(D6537="", "Gap - No Legal Basis", IF(AND(D6537="Consent (GDPR Art. 6(1)(a))", I6537="Not Captured"), "Gap - Invalid Consent", IF(AND(D6537="Legitimate Interest (GDPR Art. 6(1)(f))", L6537=""), "Gap - Missing LIA", IF(AND(G6537="Yes", H6537=""), "Gap - Missing Art. 9 Basis", IF(OR(I6537="Invalid - Not Freely Given", I6537="Invalid - Not Specific", I6537="Invalid - Not Informed", I6537="Invalid - Ambiguous"), "Gap - Invalid Consent", "Compliant")))))</f>
        <v/>
      </c>
      <c r="O6537" s="7" t="n"/>
    </row>
    <row r="6538">
      <c r="A6538" s="7" t="n"/>
      <c r="B6538" s="7" t="n"/>
      <c r="C6538" s="7" t="n"/>
      <c r="D6538" s="7" t="n"/>
      <c r="E6538" s="7" t="n"/>
      <c r="F6538" s="7" t="n"/>
      <c r="G6538" s="7" t="n"/>
      <c r="H6538" s="7" t="n"/>
      <c r="I6538" s="7" t="n"/>
      <c r="J6538" s="7" t="n"/>
      <c r="K6538">
        <f>IF(D6538="Legitimate Interest (GDPR Art. 6(1)(f))", "Yes / Required (Sheet 3)", "")</f>
        <v/>
      </c>
      <c r="L6538" s="7" t="n"/>
      <c r="M6538" s="7" t="n"/>
      <c r="N6538">
        <f>IF(D6538="", "Gap - No Legal Basis", IF(AND(D6538="Consent (GDPR Art. 6(1)(a))", I6538="Not Captured"), "Gap - Invalid Consent", IF(AND(D6538="Legitimate Interest (GDPR Art. 6(1)(f))", L6538=""), "Gap - Missing LIA", IF(AND(G6538="Yes", H6538=""), "Gap - Missing Art. 9 Basis", IF(OR(I6538="Invalid - Not Freely Given", I6538="Invalid - Not Specific", I6538="Invalid - Not Informed", I6538="Invalid - Ambiguous"), "Gap - Invalid Consent", "Compliant")))))</f>
        <v/>
      </c>
      <c r="O6538" s="7" t="n"/>
    </row>
    <row r="6539">
      <c r="A6539" s="7" t="n"/>
      <c r="B6539" s="7" t="n"/>
      <c r="C6539" s="7" t="n"/>
      <c r="D6539" s="7" t="n"/>
      <c r="E6539" s="7" t="n"/>
      <c r="F6539" s="7" t="n"/>
      <c r="G6539" s="7" t="n"/>
      <c r="H6539" s="7" t="n"/>
      <c r="I6539" s="7" t="n"/>
      <c r="J6539" s="7" t="n"/>
      <c r="K6539">
        <f>IF(D6539="Legitimate Interest (GDPR Art. 6(1)(f))", "Yes / Required (Sheet 3)", "")</f>
        <v/>
      </c>
      <c r="L6539" s="7" t="n"/>
      <c r="M6539" s="7" t="n"/>
      <c r="N6539">
        <f>IF(D6539="", "Gap - No Legal Basis", IF(AND(D6539="Consent (GDPR Art. 6(1)(a))", I6539="Not Captured"), "Gap - Invalid Consent", IF(AND(D6539="Legitimate Interest (GDPR Art. 6(1)(f))", L6539=""), "Gap - Missing LIA", IF(AND(G6539="Yes", H6539=""), "Gap - Missing Art. 9 Basis", IF(OR(I6539="Invalid - Not Freely Given", I6539="Invalid - Not Specific", I6539="Invalid - Not Informed", I6539="Invalid - Ambiguous"), "Gap - Invalid Consent", "Compliant")))))</f>
        <v/>
      </c>
      <c r="O6539" s="7" t="n"/>
    </row>
    <row r="6540">
      <c r="A6540" s="7" t="n"/>
      <c r="B6540" s="7" t="n"/>
      <c r="C6540" s="7" t="n"/>
      <c r="D6540" s="7" t="n"/>
      <c r="E6540" s="7" t="n"/>
      <c r="F6540" s="7" t="n"/>
      <c r="G6540" s="7" t="n"/>
      <c r="H6540" s="7" t="n"/>
      <c r="I6540" s="7" t="n"/>
      <c r="J6540" s="7" t="n"/>
      <c r="K6540">
        <f>IF(D6540="Legitimate Interest (GDPR Art. 6(1)(f))", "Yes / Required (Sheet 3)", "")</f>
        <v/>
      </c>
      <c r="L6540" s="7" t="n"/>
      <c r="M6540" s="7" t="n"/>
      <c r="N6540">
        <f>IF(D6540="", "Gap - No Legal Basis", IF(AND(D6540="Consent (GDPR Art. 6(1)(a))", I6540="Not Captured"), "Gap - Invalid Consent", IF(AND(D6540="Legitimate Interest (GDPR Art. 6(1)(f))", L6540=""), "Gap - Missing LIA", IF(AND(G6540="Yes", H6540=""), "Gap - Missing Art. 9 Basis", IF(OR(I6540="Invalid - Not Freely Given", I6540="Invalid - Not Specific", I6540="Invalid - Not Informed", I6540="Invalid - Ambiguous"), "Gap - Invalid Consent", "Compliant")))))</f>
        <v/>
      </c>
      <c r="O6540" s="7" t="n"/>
    </row>
    <row r="6541">
      <c r="A6541" s="7" t="n"/>
      <c r="B6541" s="7" t="n"/>
      <c r="C6541" s="7" t="n"/>
      <c r="D6541" s="7" t="n"/>
      <c r="E6541" s="7" t="n"/>
      <c r="F6541" s="7" t="n"/>
      <c r="G6541" s="7" t="n"/>
      <c r="H6541" s="7" t="n"/>
      <c r="I6541" s="7" t="n"/>
      <c r="J6541" s="7" t="n"/>
      <c r="K6541">
        <f>IF(D6541="Legitimate Interest (GDPR Art. 6(1)(f))", "Yes / Required (Sheet 3)", "")</f>
        <v/>
      </c>
      <c r="L6541" s="7" t="n"/>
      <c r="M6541" s="7" t="n"/>
      <c r="N6541">
        <f>IF(D6541="", "Gap - No Legal Basis", IF(AND(D6541="Consent (GDPR Art. 6(1)(a))", I6541="Not Captured"), "Gap - Invalid Consent", IF(AND(D6541="Legitimate Interest (GDPR Art. 6(1)(f))", L6541=""), "Gap - Missing LIA", IF(AND(G6541="Yes", H6541=""), "Gap - Missing Art. 9 Basis", IF(OR(I6541="Invalid - Not Freely Given", I6541="Invalid - Not Specific", I6541="Invalid - Not Informed", I6541="Invalid - Ambiguous"), "Gap - Invalid Consent", "Compliant")))))</f>
        <v/>
      </c>
      <c r="O6541" s="7" t="n"/>
    </row>
    <row r="6542">
      <c r="A6542" s="7" t="n"/>
      <c r="B6542" s="7" t="n"/>
      <c r="C6542" s="7" t="n"/>
      <c r="D6542" s="7" t="n"/>
      <c r="E6542" s="7" t="n"/>
      <c r="F6542" s="7" t="n"/>
      <c r="G6542" s="7" t="n"/>
      <c r="H6542" s="7" t="n"/>
      <c r="I6542" s="7" t="n"/>
      <c r="J6542" s="7" t="n"/>
      <c r="K6542">
        <f>IF(D6542="Legitimate Interest (GDPR Art. 6(1)(f))", "Yes / Required (Sheet 3)", "")</f>
        <v/>
      </c>
      <c r="L6542" s="7" t="n"/>
      <c r="M6542" s="7" t="n"/>
      <c r="N6542">
        <f>IF(D6542="", "Gap - No Legal Basis", IF(AND(D6542="Consent (GDPR Art. 6(1)(a))", I6542="Not Captured"), "Gap - Invalid Consent", IF(AND(D6542="Legitimate Interest (GDPR Art. 6(1)(f))", L6542=""), "Gap - Missing LIA", IF(AND(G6542="Yes", H6542=""), "Gap - Missing Art. 9 Basis", IF(OR(I6542="Invalid - Not Freely Given", I6542="Invalid - Not Specific", I6542="Invalid - Not Informed", I6542="Invalid - Ambiguous"), "Gap - Invalid Consent", "Compliant")))))</f>
        <v/>
      </c>
      <c r="O6542" s="7" t="n"/>
    </row>
    <row r="6543">
      <c r="A6543" s="7" t="n"/>
      <c r="B6543" s="7" t="n"/>
      <c r="C6543" s="7" t="n"/>
      <c r="D6543" s="7" t="n"/>
      <c r="E6543" s="7" t="n"/>
      <c r="F6543" s="7" t="n"/>
      <c r="G6543" s="7" t="n"/>
      <c r="H6543" s="7" t="n"/>
      <c r="I6543" s="7" t="n"/>
      <c r="J6543" s="7" t="n"/>
      <c r="K6543">
        <f>IF(D6543="Legitimate Interest (GDPR Art. 6(1)(f))", "Yes / Required (Sheet 3)", "")</f>
        <v/>
      </c>
      <c r="L6543" s="7" t="n"/>
      <c r="M6543" s="7" t="n"/>
      <c r="N6543">
        <f>IF(D6543="", "Gap - No Legal Basis", IF(AND(D6543="Consent (GDPR Art. 6(1)(a))", I6543="Not Captured"), "Gap - Invalid Consent", IF(AND(D6543="Legitimate Interest (GDPR Art. 6(1)(f))", L6543=""), "Gap - Missing LIA", IF(AND(G6543="Yes", H6543=""), "Gap - Missing Art. 9 Basis", IF(OR(I6543="Invalid - Not Freely Given", I6543="Invalid - Not Specific", I6543="Invalid - Not Informed", I6543="Invalid - Ambiguous"), "Gap - Invalid Consent", "Compliant")))))</f>
        <v/>
      </c>
      <c r="O6543" s="7" t="n"/>
    </row>
    <row r="6544">
      <c r="A6544" s="7" t="n"/>
      <c r="B6544" s="7" t="n"/>
      <c r="C6544" s="7" t="n"/>
      <c r="D6544" s="7" t="n"/>
      <c r="E6544" s="7" t="n"/>
      <c r="F6544" s="7" t="n"/>
      <c r="G6544" s="7" t="n"/>
      <c r="H6544" s="7" t="n"/>
      <c r="I6544" s="7" t="n"/>
      <c r="J6544" s="7" t="n"/>
      <c r="K6544">
        <f>IF(D6544="Legitimate Interest (GDPR Art. 6(1)(f))", "Yes / Required (Sheet 3)", "")</f>
        <v/>
      </c>
      <c r="L6544" s="7" t="n"/>
      <c r="M6544" s="7" t="n"/>
      <c r="N6544">
        <f>IF(D6544="", "Gap - No Legal Basis", IF(AND(D6544="Consent (GDPR Art. 6(1)(a))", I6544="Not Captured"), "Gap - Invalid Consent", IF(AND(D6544="Legitimate Interest (GDPR Art. 6(1)(f))", L6544=""), "Gap - Missing LIA", IF(AND(G6544="Yes", H6544=""), "Gap - Missing Art. 9 Basis", IF(OR(I6544="Invalid - Not Freely Given", I6544="Invalid - Not Specific", I6544="Invalid - Not Informed", I6544="Invalid - Ambiguous"), "Gap - Invalid Consent", "Compliant")))))</f>
        <v/>
      </c>
      <c r="O6544" s="7" t="n"/>
    </row>
    <row r="6545">
      <c r="A6545" s="7" t="n"/>
      <c r="B6545" s="7" t="n"/>
      <c r="C6545" s="7" t="n"/>
      <c r="D6545" s="7" t="n"/>
      <c r="E6545" s="7" t="n"/>
      <c r="F6545" s="7" t="n"/>
      <c r="G6545" s="7" t="n"/>
      <c r="H6545" s="7" t="n"/>
      <c r="I6545" s="7" t="n"/>
      <c r="J6545" s="7" t="n"/>
      <c r="K6545">
        <f>IF(D6545="Legitimate Interest (GDPR Art. 6(1)(f))", "Yes / Required (Sheet 3)", "")</f>
        <v/>
      </c>
      <c r="L6545" s="7" t="n"/>
      <c r="M6545" s="7" t="n"/>
      <c r="N6545">
        <f>IF(D6545="", "Gap - No Legal Basis", IF(AND(D6545="Consent (GDPR Art. 6(1)(a))", I6545="Not Captured"), "Gap - Invalid Consent", IF(AND(D6545="Legitimate Interest (GDPR Art. 6(1)(f))", L6545=""), "Gap - Missing LIA", IF(AND(G6545="Yes", H6545=""), "Gap - Missing Art. 9 Basis", IF(OR(I6545="Invalid - Not Freely Given", I6545="Invalid - Not Specific", I6545="Invalid - Not Informed", I6545="Invalid - Ambiguous"), "Gap - Invalid Consent", "Compliant")))))</f>
        <v/>
      </c>
      <c r="O6545" s="7" t="n"/>
    </row>
    <row r="6546">
      <c r="A6546" s="7" t="n"/>
      <c r="B6546" s="7" t="n"/>
      <c r="C6546" s="7" t="n"/>
      <c r="D6546" s="7" t="n"/>
      <c r="E6546" s="7" t="n"/>
      <c r="F6546" s="7" t="n"/>
      <c r="G6546" s="7" t="n"/>
      <c r="H6546" s="7" t="n"/>
      <c r="I6546" s="7" t="n"/>
      <c r="J6546" s="7" t="n"/>
      <c r="K6546">
        <f>IF(D6546="Legitimate Interest (GDPR Art. 6(1)(f))", "Yes / Required (Sheet 3)", "")</f>
        <v/>
      </c>
      <c r="L6546" s="7" t="n"/>
      <c r="M6546" s="7" t="n"/>
      <c r="N6546">
        <f>IF(D6546="", "Gap - No Legal Basis", IF(AND(D6546="Consent (GDPR Art. 6(1)(a))", I6546="Not Captured"), "Gap - Invalid Consent", IF(AND(D6546="Legitimate Interest (GDPR Art. 6(1)(f))", L6546=""), "Gap - Missing LIA", IF(AND(G6546="Yes", H6546=""), "Gap - Missing Art. 9 Basis", IF(OR(I6546="Invalid - Not Freely Given", I6546="Invalid - Not Specific", I6546="Invalid - Not Informed", I6546="Invalid - Ambiguous"), "Gap - Invalid Consent", "Compliant")))))</f>
        <v/>
      </c>
      <c r="O6546" s="7" t="n"/>
    </row>
    <row r="6547">
      <c r="A6547" s="7" t="n"/>
      <c r="B6547" s="7" t="n"/>
      <c r="C6547" s="7" t="n"/>
      <c r="D6547" s="7" t="n"/>
      <c r="E6547" s="7" t="n"/>
      <c r="F6547" s="7" t="n"/>
      <c r="G6547" s="7" t="n"/>
      <c r="H6547" s="7" t="n"/>
      <c r="I6547" s="7" t="n"/>
      <c r="J6547" s="7" t="n"/>
      <c r="K6547">
        <f>IF(D6547="Legitimate Interest (GDPR Art. 6(1)(f))", "Yes / Required (Sheet 3)", "")</f>
        <v/>
      </c>
      <c r="L6547" s="7" t="n"/>
      <c r="M6547" s="7" t="n"/>
      <c r="N6547">
        <f>IF(D6547="", "Gap - No Legal Basis", IF(AND(D6547="Consent (GDPR Art. 6(1)(a))", I6547="Not Captured"), "Gap - Invalid Consent", IF(AND(D6547="Legitimate Interest (GDPR Art. 6(1)(f))", L6547=""), "Gap - Missing LIA", IF(AND(G6547="Yes", H6547=""), "Gap - Missing Art. 9 Basis", IF(OR(I6547="Invalid - Not Freely Given", I6547="Invalid - Not Specific", I6547="Invalid - Not Informed", I6547="Invalid - Ambiguous"), "Gap - Invalid Consent", "Compliant")))))</f>
        <v/>
      </c>
      <c r="O6547" s="7" t="n"/>
    </row>
    <row r="6548">
      <c r="A6548" s="7" t="n"/>
      <c r="B6548" s="7" t="n"/>
      <c r="C6548" s="7" t="n"/>
      <c r="D6548" s="7" t="n"/>
      <c r="E6548" s="7" t="n"/>
      <c r="F6548" s="7" t="n"/>
      <c r="G6548" s="7" t="n"/>
      <c r="H6548" s="7" t="n"/>
      <c r="I6548" s="7" t="n"/>
      <c r="J6548" s="7" t="n"/>
      <c r="K6548">
        <f>IF(D6548="Legitimate Interest (GDPR Art. 6(1)(f))", "Yes / Required (Sheet 3)", "")</f>
        <v/>
      </c>
      <c r="L6548" s="7" t="n"/>
      <c r="M6548" s="7" t="n"/>
      <c r="N6548">
        <f>IF(D6548="", "Gap - No Legal Basis", IF(AND(D6548="Consent (GDPR Art. 6(1)(a))", I6548="Not Captured"), "Gap - Invalid Consent", IF(AND(D6548="Legitimate Interest (GDPR Art. 6(1)(f))", L6548=""), "Gap - Missing LIA", IF(AND(G6548="Yes", H6548=""), "Gap - Missing Art. 9 Basis", IF(OR(I6548="Invalid - Not Freely Given", I6548="Invalid - Not Specific", I6548="Invalid - Not Informed", I6548="Invalid - Ambiguous"), "Gap - Invalid Consent", "Compliant")))))</f>
        <v/>
      </c>
      <c r="O6548" s="7" t="n"/>
    </row>
    <row r="6549">
      <c r="A6549" s="7" t="n"/>
      <c r="B6549" s="7" t="n"/>
      <c r="C6549" s="7" t="n"/>
      <c r="D6549" s="7" t="n"/>
      <c r="E6549" s="7" t="n"/>
      <c r="F6549" s="7" t="n"/>
      <c r="G6549" s="7" t="n"/>
      <c r="H6549" s="7" t="n"/>
      <c r="I6549" s="7" t="n"/>
      <c r="J6549" s="7" t="n"/>
      <c r="K6549">
        <f>IF(D6549="Legitimate Interest (GDPR Art. 6(1)(f))", "Yes / Required (Sheet 3)", "")</f>
        <v/>
      </c>
      <c r="L6549" s="7" t="n"/>
      <c r="M6549" s="7" t="n"/>
      <c r="N6549">
        <f>IF(D6549="", "Gap - No Legal Basis", IF(AND(D6549="Consent (GDPR Art. 6(1)(a))", I6549="Not Captured"), "Gap - Invalid Consent", IF(AND(D6549="Legitimate Interest (GDPR Art. 6(1)(f))", L6549=""), "Gap - Missing LIA", IF(AND(G6549="Yes", H6549=""), "Gap - Missing Art. 9 Basis", IF(OR(I6549="Invalid - Not Freely Given", I6549="Invalid - Not Specific", I6549="Invalid - Not Informed", I6549="Invalid - Ambiguous"), "Gap - Invalid Consent", "Compliant")))))</f>
        <v/>
      </c>
      <c r="O6549" s="7" t="n"/>
    </row>
    <row r="6550">
      <c r="A6550" s="7" t="n"/>
      <c r="B6550" s="7" t="n"/>
      <c r="C6550" s="7" t="n"/>
      <c r="D6550" s="7" t="n"/>
      <c r="E6550" s="7" t="n"/>
      <c r="F6550" s="7" t="n"/>
      <c r="G6550" s="7" t="n"/>
      <c r="H6550" s="7" t="n"/>
      <c r="I6550" s="7" t="n"/>
      <c r="J6550" s="7" t="n"/>
      <c r="K6550">
        <f>IF(D6550="Legitimate Interest (GDPR Art. 6(1)(f))", "Yes / Required (Sheet 3)", "")</f>
        <v/>
      </c>
      <c r="L6550" s="7" t="n"/>
      <c r="M6550" s="7" t="n"/>
      <c r="N6550">
        <f>IF(D6550="", "Gap - No Legal Basis", IF(AND(D6550="Consent (GDPR Art. 6(1)(a))", I6550="Not Captured"), "Gap - Invalid Consent", IF(AND(D6550="Legitimate Interest (GDPR Art. 6(1)(f))", L6550=""), "Gap - Missing LIA", IF(AND(G6550="Yes", H6550=""), "Gap - Missing Art. 9 Basis", IF(OR(I6550="Invalid - Not Freely Given", I6550="Invalid - Not Specific", I6550="Invalid - Not Informed", I6550="Invalid - Ambiguous"), "Gap - Invalid Consent", "Compliant")))))</f>
        <v/>
      </c>
      <c r="O6550" s="7" t="n"/>
    </row>
    <row r="6551">
      <c r="A6551" s="7" t="n"/>
      <c r="B6551" s="7" t="n"/>
      <c r="C6551" s="7" t="n"/>
      <c r="D6551" s="7" t="n"/>
      <c r="E6551" s="7" t="n"/>
      <c r="F6551" s="7" t="n"/>
      <c r="G6551" s="7" t="n"/>
      <c r="H6551" s="7" t="n"/>
      <c r="I6551" s="7" t="n"/>
      <c r="J6551" s="7" t="n"/>
      <c r="K6551">
        <f>IF(D6551="Legitimate Interest (GDPR Art. 6(1)(f))", "Yes / Required (Sheet 3)", "")</f>
        <v/>
      </c>
      <c r="L6551" s="7" t="n"/>
      <c r="M6551" s="7" t="n"/>
      <c r="N6551">
        <f>IF(D6551="", "Gap - No Legal Basis", IF(AND(D6551="Consent (GDPR Art. 6(1)(a))", I6551="Not Captured"), "Gap - Invalid Consent", IF(AND(D6551="Legitimate Interest (GDPR Art. 6(1)(f))", L6551=""), "Gap - Missing LIA", IF(AND(G6551="Yes", H6551=""), "Gap - Missing Art. 9 Basis", IF(OR(I6551="Invalid - Not Freely Given", I6551="Invalid - Not Specific", I6551="Invalid - Not Informed", I6551="Invalid - Ambiguous"), "Gap - Invalid Consent", "Compliant")))))</f>
        <v/>
      </c>
      <c r="O6551" s="7" t="n"/>
    </row>
    <row r="6552">
      <c r="A6552" s="7" t="n"/>
      <c r="B6552" s="7" t="n"/>
      <c r="C6552" s="7" t="n"/>
      <c r="D6552" s="7" t="n"/>
      <c r="E6552" s="7" t="n"/>
      <c r="F6552" s="7" t="n"/>
      <c r="G6552" s="7" t="n"/>
      <c r="H6552" s="7" t="n"/>
      <c r="I6552" s="7" t="n"/>
      <c r="J6552" s="7" t="n"/>
      <c r="K6552">
        <f>IF(D6552="Legitimate Interest (GDPR Art. 6(1)(f))", "Yes / Required (Sheet 3)", "")</f>
        <v/>
      </c>
      <c r="L6552" s="7" t="n"/>
      <c r="M6552" s="7" t="n"/>
      <c r="N6552">
        <f>IF(D6552="", "Gap - No Legal Basis", IF(AND(D6552="Consent (GDPR Art. 6(1)(a))", I6552="Not Captured"), "Gap - Invalid Consent", IF(AND(D6552="Legitimate Interest (GDPR Art. 6(1)(f))", L6552=""), "Gap - Missing LIA", IF(AND(G6552="Yes", H6552=""), "Gap - Missing Art. 9 Basis", IF(OR(I6552="Invalid - Not Freely Given", I6552="Invalid - Not Specific", I6552="Invalid - Not Informed", I6552="Invalid - Ambiguous"), "Gap - Invalid Consent", "Compliant")))))</f>
        <v/>
      </c>
      <c r="O6552" s="7" t="n"/>
    </row>
    <row r="6553">
      <c r="A6553" s="7" t="n"/>
      <c r="B6553" s="7" t="n"/>
      <c r="C6553" s="7" t="n"/>
      <c r="D6553" s="7" t="n"/>
      <c r="E6553" s="7" t="n"/>
      <c r="F6553" s="7" t="n"/>
      <c r="G6553" s="7" t="n"/>
      <c r="H6553" s="7" t="n"/>
      <c r="I6553" s="7" t="n"/>
      <c r="J6553" s="7" t="n"/>
      <c r="K6553">
        <f>IF(D6553="Legitimate Interest (GDPR Art. 6(1)(f))", "Yes / Required (Sheet 3)", "")</f>
        <v/>
      </c>
      <c r="L6553" s="7" t="n"/>
      <c r="M6553" s="7" t="n"/>
      <c r="N6553">
        <f>IF(D6553="", "Gap - No Legal Basis", IF(AND(D6553="Consent (GDPR Art. 6(1)(a))", I6553="Not Captured"), "Gap - Invalid Consent", IF(AND(D6553="Legitimate Interest (GDPR Art. 6(1)(f))", L6553=""), "Gap - Missing LIA", IF(AND(G6553="Yes", H6553=""), "Gap - Missing Art. 9 Basis", IF(OR(I6553="Invalid - Not Freely Given", I6553="Invalid - Not Specific", I6553="Invalid - Not Informed", I6553="Invalid - Ambiguous"), "Gap - Invalid Consent", "Compliant")))))</f>
        <v/>
      </c>
      <c r="O6553" s="7" t="n"/>
    </row>
    <row r="6554">
      <c r="A6554" s="7" t="n"/>
      <c r="B6554" s="7" t="n"/>
      <c r="C6554" s="7" t="n"/>
      <c r="D6554" s="7" t="n"/>
      <c r="E6554" s="7" t="n"/>
      <c r="F6554" s="7" t="n"/>
      <c r="G6554" s="7" t="n"/>
      <c r="H6554" s="7" t="n"/>
      <c r="I6554" s="7" t="n"/>
      <c r="J6554" s="7" t="n"/>
      <c r="K6554">
        <f>IF(D6554="Legitimate Interest (GDPR Art. 6(1)(f))", "Yes / Required (Sheet 3)", "")</f>
        <v/>
      </c>
      <c r="L6554" s="7" t="n"/>
      <c r="M6554" s="7" t="n"/>
      <c r="N6554">
        <f>IF(D6554="", "Gap - No Legal Basis", IF(AND(D6554="Consent (GDPR Art. 6(1)(a))", I6554="Not Captured"), "Gap - Invalid Consent", IF(AND(D6554="Legitimate Interest (GDPR Art. 6(1)(f))", L6554=""), "Gap - Missing LIA", IF(AND(G6554="Yes", H6554=""), "Gap - Missing Art. 9 Basis", IF(OR(I6554="Invalid - Not Freely Given", I6554="Invalid - Not Specific", I6554="Invalid - Not Informed", I6554="Invalid - Ambiguous"), "Gap - Invalid Consent", "Compliant")))))</f>
        <v/>
      </c>
      <c r="O6554" s="7" t="n"/>
    </row>
    <row r="6555">
      <c r="A6555" s="7" t="n"/>
      <c r="B6555" s="7" t="n"/>
      <c r="C6555" s="7" t="n"/>
      <c r="D6555" s="7" t="n"/>
      <c r="E6555" s="7" t="n"/>
      <c r="F6555" s="7" t="n"/>
      <c r="G6555" s="7" t="n"/>
      <c r="H6555" s="7" t="n"/>
      <c r="I6555" s="7" t="n"/>
      <c r="J6555" s="7" t="n"/>
      <c r="K6555">
        <f>IF(D6555="Legitimate Interest (GDPR Art. 6(1)(f))", "Yes / Required (Sheet 3)", "")</f>
        <v/>
      </c>
      <c r="L6555" s="7" t="n"/>
      <c r="M6555" s="7" t="n"/>
      <c r="N6555">
        <f>IF(D6555="", "Gap - No Legal Basis", IF(AND(D6555="Consent (GDPR Art. 6(1)(a))", I6555="Not Captured"), "Gap - Invalid Consent", IF(AND(D6555="Legitimate Interest (GDPR Art. 6(1)(f))", L6555=""), "Gap - Missing LIA", IF(AND(G6555="Yes", H6555=""), "Gap - Missing Art. 9 Basis", IF(OR(I6555="Invalid - Not Freely Given", I6555="Invalid - Not Specific", I6555="Invalid - Not Informed", I6555="Invalid - Ambiguous"), "Gap - Invalid Consent", "Compliant")))))</f>
        <v/>
      </c>
      <c r="O6555" s="7" t="n"/>
    </row>
    <row r="6556">
      <c r="A6556" s="7" t="n"/>
      <c r="B6556" s="7" t="n"/>
      <c r="C6556" s="7" t="n"/>
      <c r="D6556" s="7" t="n"/>
      <c r="E6556" s="7" t="n"/>
      <c r="F6556" s="7" t="n"/>
      <c r="G6556" s="7" t="n"/>
      <c r="H6556" s="7" t="n"/>
      <c r="I6556" s="7" t="n"/>
      <c r="J6556" s="7" t="n"/>
      <c r="K6556">
        <f>IF(D6556="Legitimate Interest (GDPR Art. 6(1)(f))", "Yes / Required (Sheet 3)", "")</f>
        <v/>
      </c>
      <c r="L6556" s="7" t="n"/>
      <c r="M6556" s="7" t="n"/>
      <c r="N6556">
        <f>IF(D6556="", "Gap - No Legal Basis", IF(AND(D6556="Consent (GDPR Art. 6(1)(a))", I6556="Not Captured"), "Gap - Invalid Consent", IF(AND(D6556="Legitimate Interest (GDPR Art. 6(1)(f))", L6556=""), "Gap - Missing LIA", IF(AND(G6556="Yes", H6556=""), "Gap - Missing Art. 9 Basis", IF(OR(I6556="Invalid - Not Freely Given", I6556="Invalid - Not Specific", I6556="Invalid - Not Informed", I6556="Invalid - Ambiguous"), "Gap - Invalid Consent", "Compliant")))))</f>
        <v/>
      </c>
      <c r="O6556" s="7" t="n"/>
    </row>
    <row r="6557">
      <c r="A6557" s="7" t="n"/>
      <c r="B6557" s="7" t="n"/>
      <c r="C6557" s="7" t="n"/>
      <c r="D6557" s="7" t="n"/>
      <c r="E6557" s="7" t="n"/>
      <c r="F6557" s="7" t="n"/>
      <c r="G6557" s="7" t="n"/>
      <c r="H6557" s="7" t="n"/>
      <c r="I6557" s="7" t="n"/>
      <c r="J6557" s="7" t="n"/>
      <c r="K6557">
        <f>IF(D6557="Legitimate Interest (GDPR Art. 6(1)(f))", "Yes / Required (Sheet 3)", "")</f>
        <v/>
      </c>
      <c r="L6557" s="7" t="n"/>
      <c r="M6557" s="7" t="n"/>
      <c r="N6557">
        <f>IF(D6557="", "Gap - No Legal Basis", IF(AND(D6557="Consent (GDPR Art. 6(1)(a))", I6557="Not Captured"), "Gap - Invalid Consent", IF(AND(D6557="Legitimate Interest (GDPR Art. 6(1)(f))", L6557=""), "Gap - Missing LIA", IF(AND(G6557="Yes", H6557=""), "Gap - Missing Art. 9 Basis", IF(OR(I6557="Invalid - Not Freely Given", I6557="Invalid - Not Specific", I6557="Invalid - Not Informed", I6557="Invalid - Ambiguous"), "Gap - Invalid Consent", "Compliant")))))</f>
        <v/>
      </c>
      <c r="O6557" s="7" t="n"/>
    </row>
    <row r="6558">
      <c r="A6558" s="7" t="n"/>
      <c r="B6558" s="7" t="n"/>
      <c r="C6558" s="7" t="n"/>
      <c r="D6558" s="7" t="n"/>
      <c r="E6558" s="7" t="n"/>
      <c r="F6558" s="7" t="n"/>
      <c r="G6558" s="7" t="n"/>
      <c r="H6558" s="7" t="n"/>
      <c r="I6558" s="7" t="n"/>
      <c r="J6558" s="7" t="n"/>
      <c r="K6558">
        <f>IF(D6558="Legitimate Interest (GDPR Art. 6(1)(f))", "Yes / Required (Sheet 3)", "")</f>
        <v/>
      </c>
      <c r="L6558" s="7" t="n"/>
      <c r="M6558" s="7" t="n"/>
      <c r="N6558">
        <f>IF(D6558="", "Gap - No Legal Basis", IF(AND(D6558="Consent (GDPR Art. 6(1)(a))", I6558="Not Captured"), "Gap - Invalid Consent", IF(AND(D6558="Legitimate Interest (GDPR Art. 6(1)(f))", L6558=""), "Gap - Missing LIA", IF(AND(G6558="Yes", H6558=""), "Gap - Missing Art. 9 Basis", IF(OR(I6558="Invalid - Not Freely Given", I6558="Invalid - Not Specific", I6558="Invalid - Not Informed", I6558="Invalid - Ambiguous"), "Gap - Invalid Consent", "Compliant")))))</f>
        <v/>
      </c>
      <c r="O6558" s="7" t="n"/>
    </row>
    <row r="6559">
      <c r="A6559" s="7" t="n"/>
      <c r="B6559" s="7" t="n"/>
      <c r="C6559" s="7" t="n"/>
      <c r="D6559" s="7" t="n"/>
      <c r="E6559" s="7" t="n"/>
      <c r="F6559" s="7" t="n"/>
      <c r="G6559" s="7" t="n"/>
      <c r="H6559" s="7" t="n"/>
      <c r="I6559" s="7" t="n"/>
      <c r="J6559" s="7" t="n"/>
      <c r="K6559">
        <f>IF(D6559="Legitimate Interest (GDPR Art. 6(1)(f))", "Yes / Required (Sheet 3)", "")</f>
        <v/>
      </c>
      <c r="L6559" s="7" t="n"/>
      <c r="M6559" s="7" t="n"/>
      <c r="N6559">
        <f>IF(D6559="", "Gap - No Legal Basis", IF(AND(D6559="Consent (GDPR Art. 6(1)(a))", I6559="Not Captured"), "Gap - Invalid Consent", IF(AND(D6559="Legitimate Interest (GDPR Art. 6(1)(f))", L6559=""), "Gap - Missing LIA", IF(AND(G6559="Yes", H6559=""), "Gap - Missing Art. 9 Basis", IF(OR(I6559="Invalid - Not Freely Given", I6559="Invalid - Not Specific", I6559="Invalid - Not Informed", I6559="Invalid - Ambiguous"), "Gap - Invalid Consent", "Compliant")))))</f>
        <v/>
      </c>
      <c r="O6559" s="7" t="n"/>
    </row>
    <row r="6560">
      <c r="A6560" s="7" t="n"/>
      <c r="B6560" s="7" t="n"/>
      <c r="C6560" s="7" t="n"/>
      <c r="D6560" s="7" t="n"/>
      <c r="E6560" s="7" t="n"/>
      <c r="F6560" s="7" t="n"/>
      <c r="G6560" s="7" t="n"/>
      <c r="H6560" s="7" t="n"/>
      <c r="I6560" s="7" t="n"/>
      <c r="J6560" s="7" t="n"/>
      <c r="K6560">
        <f>IF(D6560="Legitimate Interest (GDPR Art. 6(1)(f))", "Yes / Required (Sheet 3)", "")</f>
        <v/>
      </c>
      <c r="L6560" s="7" t="n"/>
      <c r="M6560" s="7" t="n"/>
      <c r="N6560">
        <f>IF(D6560="", "Gap - No Legal Basis", IF(AND(D6560="Consent (GDPR Art. 6(1)(a))", I6560="Not Captured"), "Gap - Invalid Consent", IF(AND(D6560="Legitimate Interest (GDPR Art. 6(1)(f))", L6560=""), "Gap - Missing LIA", IF(AND(G6560="Yes", H6560=""), "Gap - Missing Art. 9 Basis", IF(OR(I6560="Invalid - Not Freely Given", I6560="Invalid - Not Specific", I6560="Invalid - Not Informed", I6560="Invalid - Ambiguous"), "Gap - Invalid Consent", "Compliant")))))</f>
        <v/>
      </c>
      <c r="O6560" s="7" t="n"/>
    </row>
    <row r="6561">
      <c r="A6561" s="7" t="n"/>
      <c r="B6561" s="7" t="n"/>
      <c r="C6561" s="7" t="n"/>
      <c r="D6561" s="7" t="n"/>
      <c r="E6561" s="7" t="n"/>
      <c r="F6561" s="7" t="n"/>
      <c r="G6561" s="7" t="n"/>
      <c r="H6561" s="7" t="n"/>
      <c r="I6561" s="7" t="n"/>
      <c r="J6561" s="7" t="n"/>
      <c r="K6561">
        <f>IF(D6561="Legitimate Interest (GDPR Art. 6(1)(f))", "Yes / Required (Sheet 3)", "")</f>
        <v/>
      </c>
      <c r="L6561" s="7" t="n"/>
      <c r="M6561" s="7" t="n"/>
      <c r="N6561">
        <f>IF(D6561="", "Gap - No Legal Basis", IF(AND(D6561="Consent (GDPR Art. 6(1)(a))", I6561="Not Captured"), "Gap - Invalid Consent", IF(AND(D6561="Legitimate Interest (GDPR Art. 6(1)(f))", L6561=""), "Gap - Missing LIA", IF(AND(G6561="Yes", H6561=""), "Gap - Missing Art. 9 Basis", IF(OR(I6561="Invalid - Not Freely Given", I6561="Invalid - Not Specific", I6561="Invalid - Not Informed", I6561="Invalid - Ambiguous"), "Gap - Invalid Consent", "Compliant")))))</f>
        <v/>
      </c>
      <c r="O6561" s="7" t="n"/>
    </row>
    <row r="6562">
      <c r="A6562" s="7" t="n"/>
      <c r="B6562" s="7" t="n"/>
      <c r="C6562" s="7" t="n"/>
      <c r="D6562" s="7" t="n"/>
      <c r="E6562" s="7" t="n"/>
      <c r="F6562" s="7" t="n"/>
      <c r="G6562" s="7" t="n"/>
      <c r="H6562" s="7" t="n"/>
      <c r="I6562" s="7" t="n"/>
      <c r="J6562" s="7" t="n"/>
      <c r="K6562">
        <f>IF(D6562="Legitimate Interest (GDPR Art. 6(1)(f))", "Yes / Required (Sheet 3)", "")</f>
        <v/>
      </c>
      <c r="L6562" s="7" t="n"/>
      <c r="M6562" s="7" t="n"/>
      <c r="N6562">
        <f>IF(D6562="", "Gap - No Legal Basis", IF(AND(D6562="Consent (GDPR Art. 6(1)(a))", I6562="Not Captured"), "Gap - Invalid Consent", IF(AND(D6562="Legitimate Interest (GDPR Art. 6(1)(f))", L6562=""), "Gap - Missing LIA", IF(AND(G6562="Yes", H6562=""), "Gap - Missing Art. 9 Basis", IF(OR(I6562="Invalid - Not Freely Given", I6562="Invalid - Not Specific", I6562="Invalid - Not Informed", I6562="Invalid - Ambiguous"), "Gap - Invalid Consent", "Compliant")))))</f>
        <v/>
      </c>
      <c r="O6562" s="7" t="n"/>
    </row>
    <row r="6563">
      <c r="A6563" s="7" t="n"/>
      <c r="B6563" s="7" t="n"/>
      <c r="C6563" s="7" t="n"/>
      <c r="D6563" s="7" t="n"/>
      <c r="E6563" s="7" t="n"/>
      <c r="F6563" s="7" t="n"/>
      <c r="G6563" s="7" t="n"/>
      <c r="H6563" s="7" t="n"/>
      <c r="I6563" s="7" t="n"/>
      <c r="J6563" s="7" t="n"/>
      <c r="K6563">
        <f>IF(D6563="Legitimate Interest (GDPR Art. 6(1)(f))", "Yes / Required (Sheet 3)", "")</f>
        <v/>
      </c>
      <c r="L6563" s="7" t="n"/>
      <c r="M6563" s="7" t="n"/>
      <c r="N6563">
        <f>IF(D6563="", "Gap - No Legal Basis", IF(AND(D6563="Consent (GDPR Art. 6(1)(a))", I6563="Not Captured"), "Gap - Invalid Consent", IF(AND(D6563="Legitimate Interest (GDPR Art. 6(1)(f))", L6563=""), "Gap - Missing LIA", IF(AND(G6563="Yes", H6563=""), "Gap - Missing Art. 9 Basis", IF(OR(I6563="Invalid - Not Freely Given", I6563="Invalid - Not Specific", I6563="Invalid - Not Informed", I6563="Invalid - Ambiguous"), "Gap - Invalid Consent", "Compliant")))))</f>
        <v/>
      </c>
      <c r="O6563" s="7" t="n"/>
    </row>
    <row r="6564">
      <c r="A6564" s="7" t="n"/>
      <c r="B6564" s="7" t="n"/>
      <c r="C6564" s="7" t="n"/>
      <c r="D6564" s="7" t="n"/>
      <c r="E6564" s="7" t="n"/>
      <c r="F6564" s="7" t="n"/>
      <c r="G6564" s="7" t="n"/>
      <c r="H6564" s="7" t="n"/>
      <c r="I6564" s="7" t="n"/>
      <c r="J6564" s="7" t="n"/>
      <c r="K6564">
        <f>IF(D6564="Legitimate Interest (GDPR Art. 6(1)(f))", "Yes / Required (Sheet 3)", "")</f>
        <v/>
      </c>
      <c r="L6564" s="7" t="n"/>
      <c r="M6564" s="7" t="n"/>
      <c r="N6564">
        <f>IF(D6564="", "Gap - No Legal Basis", IF(AND(D6564="Consent (GDPR Art. 6(1)(a))", I6564="Not Captured"), "Gap - Invalid Consent", IF(AND(D6564="Legitimate Interest (GDPR Art. 6(1)(f))", L6564=""), "Gap - Missing LIA", IF(AND(G6564="Yes", H6564=""), "Gap - Missing Art. 9 Basis", IF(OR(I6564="Invalid - Not Freely Given", I6564="Invalid - Not Specific", I6564="Invalid - Not Informed", I6564="Invalid - Ambiguous"), "Gap - Invalid Consent", "Compliant")))))</f>
        <v/>
      </c>
      <c r="O6564" s="7" t="n"/>
    </row>
    <row r="6565">
      <c r="A6565" s="7" t="n"/>
      <c r="B6565" s="7" t="n"/>
      <c r="C6565" s="7" t="n"/>
      <c r="D6565" s="7" t="n"/>
      <c r="E6565" s="7" t="n"/>
      <c r="F6565" s="7" t="n"/>
      <c r="G6565" s="7" t="n"/>
      <c r="H6565" s="7" t="n"/>
      <c r="I6565" s="7" t="n"/>
      <c r="J6565" s="7" t="n"/>
      <c r="K6565">
        <f>IF(D6565="Legitimate Interest (GDPR Art. 6(1)(f))", "Yes / Required (Sheet 3)", "")</f>
        <v/>
      </c>
      <c r="L6565" s="7" t="n"/>
      <c r="M6565" s="7" t="n"/>
      <c r="N6565">
        <f>IF(D6565="", "Gap - No Legal Basis", IF(AND(D6565="Consent (GDPR Art. 6(1)(a))", I6565="Not Captured"), "Gap - Invalid Consent", IF(AND(D6565="Legitimate Interest (GDPR Art. 6(1)(f))", L6565=""), "Gap - Missing LIA", IF(AND(G6565="Yes", H6565=""), "Gap - Missing Art. 9 Basis", IF(OR(I6565="Invalid - Not Freely Given", I6565="Invalid - Not Specific", I6565="Invalid - Not Informed", I6565="Invalid - Ambiguous"), "Gap - Invalid Consent", "Compliant")))))</f>
        <v/>
      </c>
      <c r="O6565" s="7" t="n"/>
    </row>
    <row r="6566">
      <c r="A6566" s="7" t="n"/>
      <c r="B6566" s="7" t="n"/>
      <c r="C6566" s="7" t="n"/>
      <c r="D6566" s="7" t="n"/>
      <c r="E6566" s="7" t="n"/>
      <c r="F6566" s="7" t="n"/>
      <c r="G6566" s="7" t="n"/>
      <c r="H6566" s="7" t="n"/>
      <c r="I6566" s="7" t="n"/>
      <c r="J6566" s="7" t="n"/>
      <c r="K6566">
        <f>IF(D6566="Legitimate Interest (GDPR Art. 6(1)(f))", "Yes / Required (Sheet 3)", "")</f>
        <v/>
      </c>
      <c r="L6566" s="7" t="n"/>
      <c r="M6566" s="7" t="n"/>
      <c r="N6566">
        <f>IF(D6566="", "Gap - No Legal Basis", IF(AND(D6566="Consent (GDPR Art. 6(1)(a))", I6566="Not Captured"), "Gap - Invalid Consent", IF(AND(D6566="Legitimate Interest (GDPR Art. 6(1)(f))", L6566=""), "Gap - Missing LIA", IF(AND(G6566="Yes", H6566=""), "Gap - Missing Art. 9 Basis", IF(OR(I6566="Invalid - Not Freely Given", I6566="Invalid - Not Specific", I6566="Invalid - Not Informed", I6566="Invalid - Ambiguous"), "Gap - Invalid Consent", "Compliant")))))</f>
        <v/>
      </c>
      <c r="O6566" s="7" t="n"/>
    </row>
    <row r="6567">
      <c r="A6567" s="7" t="n"/>
      <c r="B6567" s="7" t="n"/>
      <c r="C6567" s="7" t="n"/>
      <c r="D6567" s="7" t="n"/>
      <c r="E6567" s="7" t="n"/>
      <c r="F6567" s="7" t="n"/>
      <c r="G6567" s="7" t="n"/>
      <c r="H6567" s="7" t="n"/>
      <c r="I6567" s="7" t="n"/>
      <c r="J6567" s="7" t="n"/>
      <c r="K6567">
        <f>IF(D6567="Legitimate Interest (GDPR Art. 6(1)(f))", "Yes / Required (Sheet 3)", "")</f>
        <v/>
      </c>
      <c r="L6567" s="7" t="n"/>
      <c r="M6567" s="7" t="n"/>
      <c r="N6567">
        <f>IF(D6567="", "Gap - No Legal Basis", IF(AND(D6567="Consent (GDPR Art. 6(1)(a))", I6567="Not Captured"), "Gap - Invalid Consent", IF(AND(D6567="Legitimate Interest (GDPR Art. 6(1)(f))", L6567=""), "Gap - Missing LIA", IF(AND(G6567="Yes", H6567=""), "Gap - Missing Art. 9 Basis", IF(OR(I6567="Invalid - Not Freely Given", I6567="Invalid - Not Specific", I6567="Invalid - Not Informed", I6567="Invalid - Ambiguous"), "Gap - Invalid Consent", "Compliant")))))</f>
        <v/>
      </c>
      <c r="O6567" s="7" t="n"/>
    </row>
    <row r="6568">
      <c r="A6568" s="7" t="n"/>
      <c r="B6568" s="7" t="n"/>
      <c r="C6568" s="7" t="n"/>
      <c r="D6568" s="7" t="n"/>
      <c r="E6568" s="7" t="n"/>
      <c r="F6568" s="7" t="n"/>
      <c r="G6568" s="7" t="n"/>
      <c r="H6568" s="7" t="n"/>
      <c r="I6568" s="7" t="n"/>
      <c r="J6568" s="7" t="n"/>
      <c r="K6568">
        <f>IF(D6568="Legitimate Interest (GDPR Art. 6(1)(f))", "Yes / Required (Sheet 3)", "")</f>
        <v/>
      </c>
      <c r="L6568" s="7" t="n"/>
      <c r="M6568" s="7" t="n"/>
      <c r="N6568">
        <f>IF(D6568="", "Gap - No Legal Basis", IF(AND(D6568="Consent (GDPR Art. 6(1)(a))", I6568="Not Captured"), "Gap - Invalid Consent", IF(AND(D6568="Legitimate Interest (GDPR Art. 6(1)(f))", L6568=""), "Gap - Missing LIA", IF(AND(G6568="Yes", H6568=""), "Gap - Missing Art. 9 Basis", IF(OR(I6568="Invalid - Not Freely Given", I6568="Invalid - Not Specific", I6568="Invalid - Not Informed", I6568="Invalid - Ambiguous"), "Gap - Invalid Consent", "Compliant")))))</f>
        <v/>
      </c>
      <c r="O6568" s="7" t="n"/>
    </row>
    <row r="6569">
      <c r="A6569" s="7" t="n"/>
      <c r="B6569" s="7" t="n"/>
      <c r="C6569" s="7" t="n"/>
      <c r="D6569" s="7" t="n"/>
      <c r="E6569" s="7" t="n"/>
      <c r="F6569" s="7" t="n"/>
      <c r="G6569" s="7" t="n"/>
      <c r="H6569" s="7" t="n"/>
      <c r="I6569" s="7" t="n"/>
      <c r="J6569" s="7" t="n"/>
      <c r="K6569">
        <f>IF(D6569="Legitimate Interest (GDPR Art. 6(1)(f))", "Yes / Required (Sheet 3)", "")</f>
        <v/>
      </c>
      <c r="L6569" s="7" t="n"/>
      <c r="M6569" s="7" t="n"/>
      <c r="N6569">
        <f>IF(D6569="", "Gap - No Legal Basis", IF(AND(D6569="Consent (GDPR Art. 6(1)(a))", I6569="Not Captured"), "Gap - Invalid Consent", IF(AND(D6569="Legitimate Interest (GDPR Art. 6(1)(f))", L6569=""), "Gap - Missing LIA", IF(AND(G6569="Yes", H6569=""), "Gap - Missing Art. 9 Basis", IF(OR(I6569="Invalid - Not Freely Given", I6569="Invalid - Not Specific", I6569="Invalid - Not Informed", I6569="Invalid - Ambiguous"), "Gap - Invalid Consent", "Compliant")))))</f>
        <v/>
      </c>
      <c r="O6569" s="7" t="n"/>
    </row>
    <row r="6570">
      <c r="A6570" s="7" t="n"/>
      <c r="B6570" s="7" t="n"/>
      <c r="C6570" s="7" t="n"/>
      <c r="D6570" s="7" t="n"/>
      <c r="E6570" s="7" t="n"/>
      <c r="F6570" s="7" t="n"/>
      <c r="G6570" s="7" t="n"/>
      <c r="H6570" s="7" t="n"/>
      <c r="I6570" s="7" t="n"/>
      <c r="J6570" s="7" t="n"/>
      <c r="K6570">
        <f>IF(D6570="Legitimate Interest (GDPR Art. 6(1)(f))", "Yes / Required (Sheet 3)", "")</f>
        <v/>
      </c>
      <c r="L6570" s="7" t="n"/>
      <c r="M6570" s="7" t="n"/>
      <c r="N6570">
        <f>IF(D6570="", "Gap - No Legal Basis", IF(AND(D6570="Consent (GDPR Art. 6(1)(a))", I6570="Not Captured"), "Gap - Invalid Consent", IF(AND(D6570="Legitimate Interest (GDPR Art. 6(1)(f))", L6570=""), "Gap - Missing LIA", IF(AND(G6570="Yes", H6570=""), "Gap - Missing Art. 9 Basis", IF(OR(I6570="Invalid - Not Freely Given", I6570="Invalid - Not Specific", I6570="Invalid - Not Informed", I6570="Invalid - Ambiguous"), "Gap - Invalid Consent", "Compliant")))))</f>
        <v/>
      </c>
      <c r="O6570" s="7" t="n"/>
    </row>
    <row r="6571">
      <c r="A6571" s="7" t="n"/>
      <c r="B6571" s="7" t="n"/>
      <c r="C6571" s="7" t="n"/>
      <c r="D6571" s="7" t="n"/>
      <c r="E6571" s="7" t="n"/>
      <c r="F6571" s="7" t="n"/>
      <c r="G6571" s="7" t="n"/>
      <c r="H6571" s="7" t="n"/>
      <c r="I6571" s="7" t="n"/>
      <c r="J6571" s="7" t="n"/>
      <c r="K6571">
        <f>IF(D6571="Legitimate Interest (GDPR Art. 6(1)(f))", "Yes / Required (Sheet 3)", "")</f>
        <v/>
      </c>
      <c r="L6571" s="7" t="n"/>
      <c r="M6571" s="7" t="n"/>
      <c r="N6571">
        <f>IF(D6571="", "Gap - No Legal Basis", IF(AND(D6571="Consent (GDPR Art. 6(1)(a))", I6571="Not Captured"), "Gap - Invalid Consent", IF(AND(D6571="Legitimate Interest (GDPR Art. 6(1)(f))", L6571=""), "Gap - Missing LIA", IF(AND(G6571="Yes", H6571=""), "Gap - Missing Art. 9 Basis", IF(OR(I6571="Invalid - Not Freely Given", I6571="Invalid - Not Specific", I6571="Invalid - Not Informed", I6571="Invalid - Ambiguous"), "Gap - Invalid Consent", "Compliant")))))</f>
        <v/>
      </c>
      <c r="O6571" s="7" t="n"/>
    </row>
    <row r="6572">
      <c r="A6572" s="7" t="n"/>
      <c r="B6572" s="7" t="n"/>
      <c r="C6572" s="7" t="n"/>
      <c r="D6572" s="7" t="n"/>
      <c r="E6572" s="7" t="n"/>
      <c r="F6572" s="7" t="n"/>
      <c r="G6572" s="7" t="n"/>
      <c r="H6572" s="7" t="n"/>
      <c r="I6572" s="7" t="n"/>
      <c r="J6572" s="7" t="n"/>
      <c r="K6572">
        <f>IF(D6572="Legitimate Interest (GDPR Art. 6(1)(f))", "Yes / Required (Sheet 3)", "")</f>
        <v/>
      </c>
      <c r="L6572" s="7" t="n"/>
      <c r="M6572" s="7" t="n"/>
      <c r="N6572">
        <f>IF(D6572="", "Gap - No Legal Basis", IF(AND(D6572="Consent (GDPR Art. 6(1)(a))", I6572="Not Captured"), "Gap - Invalid Consent", IF(AND(D6572="Legitimate Interest (GDPR Art. 6(1)(f))", L6572=""), "Gap - Missing LIA", IF(AND(G6572="Yes", H6572=""), "Gap - Missing Art. 9 Basis", IF(OR(I6572="Invalid - Not Freely Given", I6572="Invalid - Not Specific", I6572="Invalid - Not Informed", I6572="Invalid - Ambiguous"), "Gap - Invalid Consent", "Compliant")))))</f>
        <v/>
      </c>
      <c r="O6572" s="7" t="n"/>
    </row>
    <row r="6573">
      <c r="A6573" s="7" t="n"/>
      <c r="B6573" s="7" t="n"/>
      <c r="C6573" s="7" t="n"/>
      <c r="D6573" s="7" t="n"/>
      <c r="E6573" s="7" t="n"/>
      <c r="F6573" s="7" t="n"/>
      <c r="G6573" s="7" t="n"/>
      <c r="H6573" s="7" t="n"/>
      <c r="I6573" s="7" t="n"/>
      <c r="J6573" s="7" t="n"/>
      <c r="K6573">
        <f>IF(D6573="Legitimate Interest (GDPR Art. 6(1)(f))", "Yes / Required (Sheet 3)", "")</f>
        <v/>
      </c>
      <c r="L6573" s="7" t="n"/>
      <c r="M6573" s="7" t="n"/>
      <c r="N6573">
        <f>IF(D6573="", "Gap - No Legal Basis", IF(AND(D6573="Consent (GDPR Art. 6(1)(a))", I6573="Not Captured"), "Gap - Invalid Consent", IF(AND(D6573="Legitimate Interest (GDPR Art. 6(1)(f))", L6573=""), "Gap - Missing LIA", IF(AND(G6573="Yes", H6573=""), "Gap - Missing Art. 9 Basis", IF(OR(I6573="Invalid - Not Freely Given", I6573="Invalid - Not Specific", I6573="Invalid - Not Informed", I6573="Invalid - Ambiguous"), "Gap - Invalid Consent", "Compliant")))))</f>
        <v/>
      </c>
      <c r="O6573" s="7" t="n"/>
    </row>
    <row r="6574">
      <c r="A6574" s="7" t="n"/>
      <c r="B6574" s="7" t="n"/>
      <c r="C6574" s="7" t="n"/>
      <c r="D6574" s="7" t="n"/>
      <c r="E6574" s="7" t="n"/>
      <c r="F6574" s="7" t="n"/>
      <c r="G6574" s="7" t="n"/>
      <c r="H6574" s="7" t="n"/>
      <c r="I6574" s="7" t="n"/>
      <c r="J6574" s="7" t="n"/>
      <c r="K6574">
        <f>IF(D6574="Legitimate Interest (GDPR Art. 6(1)(f))", "Yes / Required (Sheet 3)", "")</f>
        <v/>
      </c>
      <c r="L6574" s="7" t="n"/>
      <c r="M6574" s="7" t="n"/>
      <c r="N6574">
        <f>IF(D6574="", "Gap - No Legal Basis", IF(AND(D6574="Consent (GDPR Art. 6(1)(a))", I6574="Not Captured"), "Gap - Invalid Consent", IF(AND(D6574="Legitimate Interest (GDPR Art. 6(1)(f))", L6574=""), "Gap - Missing LIA", IF(AND(G6574="Yes", H6574=""), "Gap - Missing Art. 9 Basis", IF(OR(I6574="Invalid - Not Freely Given", I6574="Invalid - Not Specific", I6574="Invalid - Not Informed", I6574="Invalid - Ambiguous"), "Gap - Invalid Consent", "Compliant")))))</f>
        <v/>
      </c>
      <c r="O6574" s="7" t="n"/>
    </row>
    <row r="6575">
      <c r="A6575" s="7" t="n"/>
      <c r="B6575" s="7" t="n"/>
      <c r="C6575" s="7" t="n"/>
      <c r="D6575" s="7" t="n"/>
      <c r="E6575" s="7" t="n"/>
      <c r="F6575" s="7" t="n"/>
      <c r="G6575" s="7" t="n"/>
      <c r="H6575" s="7" t="n"/>
      <c r="I6575" s="7" t="n"/>
      <c r="J6575" s="7" t="n"/>
      <c r="K6575">
        <f>IF(D6575="Legitimate Interest (GDPR Art. 6(1)(f))", "Yes / Required (Sheet 3)", "")</f>
        <v/>
      </c>
      <c r="L6575" s="7" t="n"/>
      <c r="M6575" s="7" t="n"/>
      <c r="N6575">
        <f>IF(D6575="", "Gap - No Legal Basis", IF(AND(D6575="Consent (GDPR Art. 6(1)(a))", I6575="Not Captured"), "Gap - Invalid Consent", IF(AND(D6575="Legitimate Interest (GDPR Art. 6(1)(f))", L6575=""), "Gap - Missing LIA", IF(AND(G6575="Yes", H6575=""), "Gap - Missing Art. 9 Basis", IF(OR(I6575="Invalid - Not Freely Given", I6575="Invalid - Not Specific", I6575="Invalid - Not Informed", I6575="Invalid - Ambiguous"), "Gap - Invalid Consent", "Compliant")))))</f>
        <v/>
      </c>
      <c r="O6575" s="7" t="n"/>
    </row>
    <row r="6576">
      <c r="A6576" s="7" t="n"/>
      <c r="B6576" s="7" t="n"/>
      <c r="C6576" s="7" t="n"/>
      <c r="D6576" s="7" t="n"/>
      <c r="E6576" s="7" t="n"/>
      <c r="F6576" s="7" t="n"/>
      <c r="G6576" s="7" t="n"/>
      <c r="H6576" s="7" t="n"/>
      <c r="I6576" s="7" t="n"/>
      <c r="J6576" s="7" t="n"/>
      <c r="K6576">
        <f>IF(D6576="Legitimate Interest (GDPR Art. 6(1)(f))", "Yes / Required (Sheet 3)", "")</f>
        <v/>
      </c>
      <c r="L6576" s="7" t="n"/>
      <c r="M6576" s="7" t="n"/>
      <c r="N6576">
        <f>IF(D6576="", "Gap - No Legal Basis", IF(AND(D6576="Consent (GDPR Art. 6(1)(a))", I6576="Not Captured"), "Gap - Invalid Consent", IF(AND(D6576="Legitimate Interest (GDPR Art. 6(1)(f))", L6576=""), "Gap - Missing LIA", IF(AND(G6576="Yes", H6576=""), "Gap - Missing Art. 9 Basis", IF(OR(I6576="Invalid - Not Freely Given", I6576="Invalid - Not Specific", I6576="Invalid - Not Informed", I6576="Invalid - Ambiguous"), "Gap - Invalid Consent", "Compliant")))))</f>
        <v/>
      </c>
      <c r="O6576" s="7" t="n"/>
    </row>
    <row r="6577">
      <c r="A6577" s="7" t="n"/>
      <c r="B6577" s="7" t="n"/>
      <c r="C6577" s="7" t="n"/>
      <c r="D6577" s="7" t="n"/>
      <c r="E6577" s="7" t="n"/>
      <c r="F6577" s="7" t="n"/>
      <c r="G6577" s="7" t="n"/>
      <c r="H6577" s="7" t="n"/>
      <c r="I6577" s="7" t="n"/>
      <c r="J6577" s="7" t="n"/>
      <c r="K6577">
        <f>IF(D6577="Legitimate Interest (GDPR Art. 6(1)(f))", "Yes / Required (Sheet 3)", "")</f>
        <v/>
      </c>
      <c r="L6577" s="7" t="n"/>
      <c r="M6577" s="7" t="n"/>
      <c r="N6577">
        <f>IF(D6577="", "Gap - No Legal Basis", IF(AND(D6577="Consent (GDPR Art. 6(1)(a))", I6577="Not Captured"), "Gap - Invalid Consent", IF(AND(D6577="Legitimate Interest (GDPR Art. 6(1)(f))", L6577=""), "Gap - Missing LIA", IF(AND(G6577="Yes", H6577=""), "Gap - Missing Art. 9 Basis", IF(OR(I6577="Invalid - Not Freely Given", I6577="Invalid - Not Specific", I6577="Invalid - Not Informed", I6577="Invalid - Ambiguous"), "Gap - Invalid Consent", "Compliant")))))</f>
        <v/>
      </c>
      <c r="O6577" s="7" t="n"/>
    </row>
    <row r="6578">
      <c r="A6578" s="7" t="n"/>
      <c r="B6578" s="7" t="n"/>
      <c r="C6578" s="7" t="n"/>
      <c r="D6578" s="7" t="n"/>
      <c r="E6578" s="7" t="n"/>
      <c r="F6578" s="7" t="n"/>
      <c r="G6578" s="7" t="n"/>
      <c r="H6578" s="7" t="n"/>
      <c r="I6578" s="7" t="n"/>
      <c r="J6578" s="7" t="n"/>
      <c r="K6578">
        <f>IF(D6578="Legitimate Interest (GDPR Art. 6(1)(f))", "Yes / Required (Sheet 3)", "")</f>
        <v/>
      </c>
      <c r="L6578" s="7" t="n"/>
      <c r="M6578" s="7" t="n"/>
      <c r="N6578">
        <f>IF(D6578="", "Gap - No Legal Basis", IF(AND(D6578="Consent (GDPR Art. 6(1)(a))", I6578="Not Captured"), "Gap - Invalid Consent", IF(AND(D6578="Legitimate Interest (GDPR Art. 6(1)(f))", L6578=""), "Gap - Missing LIA", IF(AND(G6578="Yes", H6578=""), "Gap - Missing Art. 9 Basis", IF(OR(I6578="Invalid - Not Freely Given", I6578="Invalid - Not Specific", I6578="Invalid - Not Informed", I6578="Invalid - Ambiguous"), "Gap - Invalid Consent", "Compliant")))))</f>
        <v/>
      </c>
      <c r="O6578" s="7" t="n"/>
    </row>
    <row r="6579">
      <c r="A6579" s="7" t="n"/>
      <c r="B6579" s="7" t="n"/>
      <c r="C6579" s="7" t="n"/>
      <c r="D6579" s="7" t="n"/>
      <c r="E6579" s="7" t="n"/>
      <c r="F6579" s="7" t="n"/>
      <c r="G6579" s="7" t="n"/>
      <c r="H6579" s="7" t="n"/>
      <c r="I6579" s="7" t="n"/>
      <c r="J6579" s="7" t="n"/>
      <c r="K6579">
        <f>IF(D6579="Legitimate Interest (GDPR Art. 6(1)(f))", "Yes / Required (Sheet 3)", "")</f>
        <v/>
      </c>
      <c r="L6579" s="7" t="n"/>
      <c r="M6579" s="7" t="n"/>
      <c r="N6579">
        <f>IF(D6579="", "Gap - No Legal Basis", IF(AND(D6579="Consent (GDPR Art. 6(1)(a))", I6579="Not Captured"), "Gap - Invalid Consent", IF(AND(D6579="Legitimate Interest (GDPR Art. 6(1)(f))", L6579=""), "Gap - Missing LIA", IF(AND(G6579="Yes", H6579=""), "Gap - Missing Art. 9 Basis", IF(OR(I6579="Invalid - Not Freely Given", I6579="Invalid - Not Specific", I6579="Invalid - Not Informed", I6579="Invalid - Ambiguous"), "Gap - Invalid Consent", "Compliant")))))</f>
        <v/>
      </c>
      <c r="O6579" s="7" t="n"/>
    </row>
    <row r="6580">
      <c r="A6580" s="7" t="n"/>
      <c r="B6580" s="7" t="n"/>
      <c r="C6580" s="7" t="n"/>
      <c r="D6580" s="7" t="n"/>
      <c r="E6580" s="7" t="n"/>
      <c r="F6580" s="7" t="n"/>
      <c r="G6580" s="7" t="n"/>
      <c r="H6580" s="7" t="n"/>
      <c r="I6580" s="7" t="n"/>
      <c r="J6580" s="7" t="n"/>
      <c r="K6580">
        <f>IF(D6580="Legitimate Interest (GDPR Art. 6(1)(f))", "Yes / Required (Sheet 3)", "")</f>
        <v/>
      </c>
      <c r="L6580" s="7" t="n"/>
      <c r="M6580" s="7" t="n"/>
      <c r="N6580">
        <f>IF(D6580="", "Gap - No Legal Basis", IF(AND(D6580="Consent (GDPR Art. 6(1)(a))", I6580="Not Captured"), "Gap - Invalid Consent", IF(AND(D6580="Legitimate Interest (GDPR Art. 6(1)(f))", L6580=""), "Gap - Missing LIA", IF(AND(G6580="Yes", H6580=""), "Gap - Missing Art. 9 Basis", IF(OR(I6580="Invalid - Not Freely Given", I6580="Invalid - Not Specific", I6580="Invalid - Not Informed", I6580="Invalid - Ambiguous"), "Gap - Invalid Consent", "Compliant")))))</f>
        <v/>
      </c>
      <c r="O6580" s="7" t="n"/>
    </row>
    <row r="6581">
      <c r="A6581" s="7" t="n"/>
      <c r="B6581" s="7" t="n"/>
      <c r="C6581" s="7" t="n"/>
      <c r="D6581" s="7" t="n"/>
      <c r="E6581" s="7" t="n"/>
      <c r="F6581" s="7" t="n"/>
      <c r="G6581" s="7" t="n"/>
      <c r="H6581" s="7" t="n"/>
      <c r="I6581" s="7" t="n"/>
      <c r="J6581" s="7" t="n"/>
      <c r="K6581">
        <f>IF(D6581="Legitimate Interest (GDPR Art. 6(1)(f))", "Yes / Required (Sheet 3)", "")</f>
        <v/>
      </c>
      <c r="L6581" s="7" t="n"/>
      <c r="M6581" s="7" t="n"/>
      <c r="N6581">
        <f>IF(D6581="", "Gap - No Legal Basis", IF(AND(D6581="Consent (GDPR Art. 6(1)(a))", I6581="Not Captured"), "Gap - Invalid Consent", IF(AND(D6581="Legitimate Interest (GDPR Art. 6(1)(f))", L6581=""), "Gap - Missing LIA", IF(AND(G6581="Yes", H6581=""), "Gap - Missing Art. 9 Basis", IF(OR(I6581="Invalid - Not Freely Given", I6581="Invalid - Not Specific", I6581="Invalid - Not Informed", I6581="Invalid - Ambiguous"), "Gap - Invalid Consent", "Compliant")))))</f>
        <v/>
      </c>
      <c r="O6581" s="7" t="n"/>
    </row>
    <row r="6582">
      <c r="A6582" s="7" t="n"/>
      <c r="B6582" s="7" t="n"/>
      <c r="C6582" s="7" t="n"/>
      <c r="D6582" s="7" t="n"/>
      <c r="E6582" s="7" t="n"/>
      <c r="F6582" s="7" t="n"/>
      <c r="G6582" s="7" t="n"/>
      <c r="H6582" s="7" t="n"/>
      <c r="I6582" s="7" t="n"/>
      <c r="J6582" s="7" t="n"/>
      <c r="K6582">
        <f>IF(D6582="Legitimate Interest (GDPR Art. 6(1)(f))", "Yes / Required (Sheet 3)", "")</f>
        <v/>
      </c>
      <c r="L6582" s="7" t="n"/>
      <c r="M6582" s="7" t="n"/>
      <c r="N6582">
        <f>IF(D6582="", "Gap - No Legal Basis", IF(AND(D6582="Consent (GDPR Art. 6(1)(a))", I6582="Not Captured"), "Gap - Invalid Consent", IF(AND(D6582="Legitimate Interest (GDPR Art. 6(1)(f))", L6582=""), "Gap - Missing LIA", IF(AND(G6582="Yes", H6582=""), "Gap - Missing Art. 9 Basis", IF(OR(I6582="Invalid - Not Freely Given", I6582="Invalid - Not Specific", I6582="Invalid - Not Informed", I6582="Invalid - Ambiguous"), "Gap - Invalid Consent", "Compliant")))))</f>
        <v/>
      </c>
      <c r="O6582" s="7" t="n"/>
    </row>
    <row r="6583">
      <c r="A6583" s="7" t="n"/>
      <c r="B6583" s="7" t="n"/>
      <c r="C6583" s="7" t="n"/>
      <c r="D6583" s="7" t="n"/>
      <c r="E6583" s="7" t="n"/>
      <c r="F6583" s="7" t="n"/>
      <c r="G6583" s="7" t="n"/>
      <c r="H6583" s="7" t="n"/>
      <c r="I6583" s="7" t="n"/>
      <c r="J6583" s="7" t="n"/>
      <c r="K6583">
        <f>IF(D6583="Legitimate Interest (GDPR Art. 6(1)(f))", "Yes / Required (Sheet 3)", "")</f>
        <v/>
      </c>
      <c r="L6583" s="7" t="n"/>
      <c r="M6583" s="7" t="n"/>
      <c r="N6583">
        <f>IF(D6583="", "Gap - No Legal Basis", IF(AND(D6583="Consent (GDPR Art. 6(1)(a))", I6583="Not Captured"), "Gap - Invalid Consent", IF(AND(D6583="Legitimate Interest (GDPR Art. 6(1)(f))", L6583=""), "Gap - Missing LIA", IF(AND(G6583="Yes", H6583=""), "Gap - Missing Art. 9 Basis", IF(OR(I6583="Invalid - Not Freely Given", I6583="Invalid - Not Specific", I6583="Invalid - Not Informed", I6583="Invalid - Ambiguous"), "Gap - Invalid Consent", "Compliant")))))</f>
        <v/>
      </c>
      <c r="O6583" s="7" t="n"/>
    </row>
    <row r="6584">
      <c r="A6584" s="7" t="n"/>
      <c r="B6584" s="7" t="n"/>
      <c r="C6584" s="7" t="n"/>
      <c r="D6584" s="7" t="n"/>
      <c r="E6584" s="7" t="n"/>
      <c r="F6584" s="7" t="n"/>
      <c r="G6584" s="7" t="n"/>
      <c r="H6584" s="7" t="n"/>
      <c r="I6584" s="7" t="n"/>
      <c r="J6584" s="7" t="n"/>
      <c r="K6584">
        <f>IF(D6584="Legitimate Interest (GDPR Art. 6(1)(f))", "Yes / Required (Sheet 3)", "")</f>
        <v/>
      </c>
      <c r="L6584" s="7" t="n"/>
      <c r="M6584" s="7" t="n"/>
      <c r="N6584">
        <f>IF(D6584="", "Gap - No Legal Basis", IF(AND(D6584="Consent (GDPR Art. 6(1)(a))", I6584="Not Captured"), "Gap - Invalid Consent", IF(AND(D6584="Legitimate Interest (GDPR Art. 6(1)(f))", L6584=""), "Gap - Missing LIA", IF(AND(G6584="Yes", H6584=""), "Gap - Missing Art. 9 Basis", IF(OR(I6584="Invalid - Not Freely Given", I6584="Invalid - Not Specific", I6584="Invalid - Not Informed", I6584="Invalid - Ambiguous"), "Gap - Invalid Consent", "Compliant")))))</f>
        <v/>
      </c>
      <c r="O6584" s="7" t="n"/>
    </row>
    <row r="6585">
      <c r="A6585" s="7" t="n"/>
      <c r="B6585" s="7" t="n"/>
      <c r="C6585" s="7" t="n"/>
      <c r="D6585" s="7" t="n"/>
      <c r="E6585" s="7" t="n"/>
      <c r="F6585" s="7" t="n"/>
      <c r="G6585" s="7" t="n"/>
      <c r="H6585" s="7" t="n"/>
      <c r="I6585" s="7" t="n"/>
      <c r="J6585" s="7" t="n"/>
      <c r="K6585">
        <f>IF(D6585="Legitimate Interest (GDPR Art. 6(1)(f))", "Yes / Required (Sheet 3)", "")</f>
        <v/>
      </c>
      <c r="L6585" s="7" t="n"/>
      <c r="M6585" s="7" t="n"/>
      <c r="N6585">
        <f>IF(D6585="", "Gap - No Legal Basis", IF(AND(D6585="Consent (GDPR Art. 6(1)(a))", I6585="Not Captured"), "Gap - Invalid Consent", IF(AND(D6585="Legitimate Interest (GDPR Art. 6(1)(f))", L6585=""), "Gap - Missing LIA", IF(AND(G6585="Yes", H6585=""), "Gap - Missing Art. 9 Basis", IF(OR(I6585="Invalid - Not Freely Given", I6585="Invalid - Not Specific", I6585="Invalid - Not Informed", I6585="Invalid - Ambiguous"), "Gap - Invalid Consent", "Compliant")))))</f>
        <v/>
      </c>
      <c r="O6585" s="7" t="n"/>
    </row>
    <row r="6586">
      <c r="A6586" s="7" t="n"/>
      <c r="B6586" s="7" t="n"/>
      <c r="C6586" s="7" t="n"/>
      <c r="D6586" s="7" t="n"/>
      <c r="E6586" s="7" t="n"/>
      <c r="F6586" s="7" t="n"/>
      <c r="G6586" s="7" t="n"/>
      <c r="H6586" s="7" t="n"/>
      <c r="I6586" s="7" t="n"/>
      <c r="J6586" s="7" t="n"/>
      <c r="K6586">
        <f>IF(D6586="Legitimate Interest (GDPR Art. 6(1)(f))", "Yes / Required (Sheet 3)", "")</f>
        <v/>
      </c>
      <c r="L6586" s="7" t="n"/>
      <c r="M6586" s="7" t="n"/>
      <c r="N6586">
        <f>IF(D6586="", "Gap - No Legal Basis", IF(AND(D6586="Consent (GDPR Art. 6(1)(a))", I6586="Not Captured"), "Gap - Invalid Consent", IF(AND(D6586="Legitimate Interest (GDPR Art. 6(1)(f))", L6586=""), "Gap - Missing LIA", IF(AND(G6586="Yes", H6586=""), "Gap - Missing Art. 9 Basis", IF(OR(I6586="Invalid - Not Freely Given", I6586="Invalid - Not Specific", I6586="Invalid - Not Informed", I6586="Invalid - Ambiguous"), "Gap - Invalid Consent", "Compliant")))))</f>
        <v/>
      </c>
      <c r="O6586" s="7" t="n"/>
    </row>
    <row r="6587">
      <c r="A6587" s="7" t="n"/>
      <c r="B6587" s="7" t="n"/>
      <c r="C6587" s="7" t="n"/>
      <c r="D6587" s="7" t="n"/>
      <c r="E6587" s="7" t="n"/>
      <c r="F6587" s="7" t="n"/>
      <c r="G6587" s="7" t="n"/>
      <c r="H6587" s="7" t="n"/>
      <c r="I6587" s="7" t="n"/>
      <c r="J6587" s="7" t="n"/>
      <c r="K6587">
        <f>IF(D6587="Legitimate Interest (GDPR Art. 6(1)(f))", "Yes / Required (Sheet 3)", "")</f>
        <v/>
      </c>
      <c r="L6587" s="7" t="n"/>
      <c r="M6587" s="7" t="n"/>
      <c r="N6587">
        <f>IF(D6587="", "Gap - No Legal Basis", IF(AND(D6587="Consent (GDPR Art. 6(1)(a))", I6587="Not Captured"), "Gap - Invalid Consent", IF(AND(D6587="Legitimate Interest (GDPR Art. 6(1)(f))", L6587=""), "Gap - Missing LIA", IF(AND(G6587="Yes", H6587=""), "Gap - Missing Art. 9 Basis", IF(OR(I6587="Invalid - Not Freely Given", I6587="Invalid - Not Specific", I6587="Invalid - Not Informed", I6587="Invalid - Ambiguous"), "Gap - Invalid Consent", "Compliant")))))</f>
        <v/>
      </c>
      <c r="O6587" s="7" t="n"/>
    </row>
    <row r="6588">
      <c r="A6588" s="7" t="n"/>
      <c r="B6588" s="7" t="n"/>
      <c r="C6588" s="7" t="n"/>
      <c r="D6588" s="7" t="n"/>
      <c r="E6588" s="7" t="n"/>
      <c r="F6588" s="7" t="n"/>
      <c r="G6588" s="7" t="n"/>
      <c r="H6588" s="7" t="n"/>
      <c r="I6588" s="7" t="n"/>
      <c r="J6588" s="7" t="n"/>
      <c r="K6588">
        <f>IF(D6588="Legitimate Interest (GDPR Art. 6(1)(f))", "Yes / Required (Sheet 3)", "")</f>
        <v/>
      </c>
      <c r="L6588" s="7" t="n"/>
      <c r="M6588" s="7" t="n"/>
      <c r="N6588">
        <f>IF(D6588="", "Gap - No Legal Basis", IF(AND(D6588="Consent (GDPR Art. 6(1)(a))", I6588="Not Captured"), "Gap - Invalid Consent", IF(AND(D6588="Legitimate Interest (GDPR Art. 6(1)(f))", L6588=""), "Gap - Missing LIA", IF(AND(G6588="Yes", H6588=""), "Gap - Missing Art. 9 Basis", IF(OR(I6588="Invalid - Not Freely Given", I6588="Invalid - Not Specific", I6588="Invalid - Not Informed", I6588="Invalid - Ambiguous"), "Gap - Invalid Consent", "Compliant")))))</f>
        <v/>
      </c>
      <c r="O6588" s="7" t="n"/>
    </row>
    <row r="6589">
      <c r="A6589" s="7" t="n"/>
      <c r="B6589" s="7" t="n"/>
      <c r="C6589" s="7" t="n"/>
      <c r="D6589" s="7" t="n"/>
      <c r="E6589" s="7" t="n"/>
      <c r="F6589" s="7" t="n"/>
      <c r="G6589" s="7" t="n"/>
      <c r="H6589" s="7" t="n"/>
      <c r="I6589" s="7" t="n"/>
      <c r="J6589" s="7" t="n"/>
      <c r="K6589">
        <f>IF(D6589="Legitimate Interest (GDPR Art. 6(1)(f))", "Yes / Required (Sheet 3)", "")</f>
        <v/>
      </c>
      <c r="L6589" s="7" t="n"/>
      <c r="M6589" s="7" t="n"/>
      <c r="N6589">
        <f>IF(D6589="", "Gap - No Legal Basis", IF(AND(D6589="Consent (GDPR Art. 6(1)(a))", I6589="Not Captured"), "Gap - Invalid Consent", IF(AND(D6589="Legitimate Interest (GDPR Art. 6(1)(f))", L6589=""), "Gap - Missing LIA", IF(AND(G6589="Yes", H6589=""), "Gap - Missing Art. 9 Basis", IF(OR(I6589="Invalid - Not Freely Given", I6589="Invalid - Not Specific", I6589="Invalid - Not Informed", I6589="Invalid - Ambiguous"), "Gap - Invalid Consent", "Compliant")))))</f>
        <v/>
      </c>
      <c r="O6589" s="7" t="n"/>
    </row>
    <row r="6590">
      <c r="A6590" s="7" t="n"/>
      <c r="B6590" s="7" t="n"/>
      <c r="C6590" s="7" t="n"/>
      <c r="D6590" s="7" t="n"/>
      <c r="E6590" s="7" t="n"/>
      <c r="F6590" s="7" t="n"/>
      <c r="G6590" s="7" t="n"/>
      <c r="H6590" s="7" t="n"/>
      <c r="I6590" s="7" t="n"/>
      <c r="J6590" s="7" t="n"/>
      <c r="K6590">
        <f>IF(D6590="Legitimate Interest (GDPR Art. 6(1)(f))", "Yes / Required (Sheet 3)", "")</f>
        <v/>
      </c>
      <c r="L6590" s="7" t="n"/>
      <c r="M6590" s="7" t="n"/>
      <c r="N6590">
        <f>IF(D6590="", "Gap - No Legal Basis", IF(AND(D6590="Consent (GDPR Art. 6(1)(a))", I6590="Not Captured"), "Gap - Invalid Consent", IF(AND(D6590="Legitimate Interest (GDPR Art. 6(1)(f))", L6590=""), "Gap - Missing LIA", IF(AND(G6590="Yes", H6590=""), "Gap - Missing Art. 9 Basis", IF(OR(I6590="Invalid - Not Freely Given", I6590="Invalid - Not Specific", I6590="Invalid - Not Informed", I6590="Invalid - Ambiguous"), "Gap - Invalid Consent", "Compliant")))))</f>
        <v/>
      </c>
      <c r="O6590" s="7" t="n"/>
    </row>
    <row r="6591">
      <c r="A6591" s="7" t="n"/>
      <c r="B6591" s="7" t="n"/>
      <c r="C6591" s="7" t="n"/>
      <c r="D6591" s="7" t="n"/>
      <c r="E6591" s="7" t="n"/>
      <c r="F6591" s="7" t="n"/>
      <c r="G6591" s="7" t="n"/>
      <c r="H6591" s="7" t="n"/>
      <c r="I6591" s="7" t="n"/>
      <c r="J6591" s="7" t="n"/>
      <c r="K6591">
        <f>IF(D6591="Legitimate Interest (GDPR Art. 6(1)(f))", "Yes / Required (Sheet 3)", "")</f>
        <v/>
      </c>
      <c r="L6591" s="7" t="n"/>
      <c r="M6591" s="7" t="n"/>
      <c r="N6591">
        <f>IF(D6591="", "Gap - No Legal Basis", IF(AND(D6591="Consent (GDPR Art. 6(1)(a))", I6591="Not Captured"), "Gap - Invalid Consent", IF(AND(D6591="Legitimate Interest (GDPR Art. 6(1)(f))", L6591=""), "Gap - Missing LIA", IF(AND(G6591="Yes", H6591=""), "Gap - Missing Art. 9 Basis", IF(OR(I6591="Invalid - Not Freely Given", I6591="Invalid - Not Specific", I6591="Invalid - Not Informed", I6591="Invalid - Ambiguous"), "Gap - Invalid Consent", "Compliant")))))</f>
        <v/>
      </c>
      <c r="O6591" s="7" t="n"/>
    </row>
    <row r="6592">
      <c r="A6592" s="7" t="n"/>
      <c r="B6592" s="7" t="n"/>
      <c r="C6592" s="7" t="n"/>
      <c r="D6592" s="7" t="n"/>
      <c r="E6592" s="7" t="n"/>
      <c r="F6592" s="7" t="n"/>
      <c r="G6592" s="7" t="n"/>
      <c r="H6592" s="7" t="n"/>
      <c r="I6592" s="7" t="n"/>
      <c r="J6592" s="7" t="n"/>
      <c r="K6592">
        <f>IF(D6592="Legitimate Interest (GDPR Art. 6(1)(f))", "Yes / Required (Sheet 3)", "")</f>
        <v/>
      </c>
      <c r="L6592" s="7" t="n"/>
      <c r="M6592" s="7" t="n"/>
      <c r="N6592">
        <f>IF(D6592="", "Gap - No Legal Basis", IF(AND(D6592="Consent (GDPR Art. 6(1)(a))", I6592="Not Captured"), "Gap - Invalid Consent", IF(AND(D6592="Legitimate Interest (GDPR Art. 6(1)(f))", L6592=""), "Gap - Missing LIA", IF(AND(G6592="Yes", H6592=""), "Gap - Missing Art. 9 Basis", IF(OR(I6592="Invalid - Not Freely Given", I6592="Invalid - Not Specific", I6592="Invalid - Not Informed", I6592="Invalid - Ambiguous"), "Gap - Invalid Consent", "Compliant")))))</f>
        <v/>
      </c>
      <c r="O6592" s="7" t="n"/>
    </row>
    <row r="6593">
      <c r="A6593" s="7" t="n"/>
      <c r="B6593" s="7" t="n"/>
      <c r="C6593" s="7" t="n"/>
      <c r="D6593" s="7" t="n"/>
      <c r="E6593" s="7" t="n"/>
      <c r="F6593" s="7" t="n"/>
      <c r="G6593" s="7" t="n"/>
      <c r="H6593" s="7" t="n"/>
      <c r="I6593" s="7" t="n"/>
      <c r="J6593" s="7" t="n"/>
      <c r="K6593">
        <f>IF(D6593="Legitimate Interest (GDPR Art. 6(1)(f))", "Yes / Required (Sheet 3)", "")</f>
        <v/>
      </c>
      <c r="L6593" s="7" t="n"/>
      <c r="M6593" s="7" t="n"/>
      <c r="N6593">
        <f>IF(D6593="", "Gap - No Legal Basis", IF(AND(D6593="Consent (GDPR Art. 6(1)(a))", I6593="Not Captured"), "Gap - Invalid Consent", IF(AND(D6593="Legitimate Interest (GDPR Art. 6(1)(f))", L6593=""), "Gap - Missing LIA", IF(AND(G6593="Yes", H6593=""), "Gap - Missing Art. 9 Basis", IF(OR(I6593="Invalid - Not Freely Given", I6593="Invalid - Not Specific", I6593="Invalid - Not Informed", I6593="Invalid - Ambiguous"), "Gap - Invalid Consent", "Compliant")))))</f>
        <v/>
      </c>
      <c r="O6593" s="7" t="n"/>
    </row>
    <row r="6594">
      <c r="A6594" s="7" t="n"/>
      <c r="B6594" s="7" t="n"/>
      <c r="C6594" s="7" t="n"/>
      <c r="D6594" s="7" t="n"/>
      <c r="E6594" s="7" t="n"/>
      <c r="F6594" s="7" t="n"/>
      <c r="G6594" s="7" t="n"/>
      <c r="H6594" s="7" t="n"/>
      <c r="I6594" s="7" t="n"/>
      <c r="J6594" s="7" t="n"/>
      <c r="K6594">
        <f>IF(D6594="Legitimate Interest (GDPR Art. 6(1)(f))", "Yes / Required (Sheet 3)", "")</f>
        <v/>
      </c>
      <c r="L6594" s="7" t="n"/>
      <c r="M6594" s="7" t="n"/>
      <c r="N6594">
        <f>IF(D6594="", "Gap - No Legal Basis", IF(AND(D6594="Consent (GDPR Art. 6(1)(a))", I6594="Not Captured"), "Gap - Invalid Consent", IF(AND(D6594="Legitimate Interest (GDPR Art. 6(1)(f))", L6594=""), "Gap - Missing LIA", IF(AND(G6594="Yes", H6594=""), "Gap - Missing Art. 9 Basis", IF(OR(I6594="Invalid - Not Freely Given", I6594="Invalid - Not Specific", I6594="Invalid - Not Informed", I6594="Invalid - Ambiguous"), "Gap - Invalid Consent", "Compliant")))))</f>
        <v/>
      </c>
      <c r="O6594" s="7" t="n"/>
    </row>
    <row r="6595">
      <c r="A6595" s="7" t="n"/>
      <c r="B6595" s="7" t="n"/>
      <c r="C6595" s="7" t="n"/>
      <c r="D6595" s="7" t="n"/>
      <c r="E6595" s="7" t="n"/>
      <c r="F6595" s="7" t="n"/>
      <c r="G6595" s="7" t="n"/>
      <c r="H6595" s="7" t="n"/>
      <c r="I6595" s="7" t="n"/>
      <c r="J6595" s="7" t="n"/>
      <c r="K6595">
        <f>IF(D6595="Legitimate Interest (GDPR Art. 6(1)(f))", "Yes / Required (Sheet 3)", "")</f>
        <v/>
      </c>
      <c r="L6595" s="7" t="n"/>
      <c r="M6595" s="7" t="n"/>
      <c r="N6595">
        <f>IF(D6595="", "Gap - No Legal Basis", IF(AND(D6595="Consent (GDPR Art. 6(1)(a))", I6595="Not Captured"), "Gap - Invalid Consent", IF(AND(D6595="Legitimate Interest (GDPR Art. 6(1)(f))", L6595=""), "Gap - Missing LIA", IF(AND(G6595="Yes", H6595=""), "Gap - Missing Art. 9 Basis", IF(OR(I6595="Invalid - Not Freely Given", I6595="Invalid - Not Specific", I6595="Invalid - Not Informed", I6595="Invalid - Ambiguous"), "Gap - Invalid Consent", "Compliant")))))</f>
        <v/>
      </c>
      <c r="O6595" s="7" t="n"/>
    </row>
    <row r="6596">
      <c r="A6596" s="7" t="n"/>
      <c r="B6596" s="7" t="n"/>
      <c r="C6596" s="7" t="n"/>
      <c r="D6596" s="7" t="n"/>
      <c r="E6596" s="7" t="n"/>
      <c r="F6596" s="7" t="n"/>
      <c r="G6596" s="7" t="n"/>
      <c r="H6596" s="7" t="n"/>
      <c r="I6596" s="7" t="n"/>
      <c r="J6596" s="7" t="n"/>
      <c r="K6596">
        <f>IF(D6596="Legitimate Interest (GDPR Art. 6(1)(f))", "Yes / Required (Sheet 3)", "")</f>
        <v/>
      </c>
      <c r="L6596" s="7" t="n"/>
      <c r="M6596" s="7" t="n"/>
      <c r="N6596">
        <f>IF(D6596="", "Gap - No Legal Basis", IF(AND(D6596="Consent (GDPR Art. 6(1)(a))", I6596="Not Captured"), "Gap - Invalid Consent", IF(AND(D6596="Legitimate Interest (GDPR Art. 6(1)(f))", L6596=""), "Gap - Missing LIA", IF(AND(G6596="Yes", H6596=""), "Gap - Missing Art. 9 Basis", IF(OR(I6596="Invalid - Not Freely Given", I6596="Invalid - Not Specific", I6596="Invalid - Not Informed", I6596="Invalid - Ambiguous"), "Gap - Invalid Consent", "Compliant")))))</f>
        <v/>
      </c>
      <c r="O6596" s="7" t="n"/>
    </row>
    <row r="6597">
      <c r="A6597" s="7" t="n"/>
      <c r="B6597" s="7" t="n"/>
      <c r="C6597" s="7" t="n"/>
      <c r="D6597" s="7" t="n"/>
      <c r="E6597" s="7" t="n"/>
      <c r="F6597" s="7" t="n"/>
      <c r="G6597" s="7" t="n"/>
      <c r="H6597" s="7" t="n"/>
      <c r="I6597" s="7" t="n"/>
      <c r="J6597" s="7" t="n"/>
      <c r="K6597">
        <f>IF(D6597="Legitimate Interest (GDPR Art. 6(1)(f))", "Yes / Required (Sheet 3)", "")</f>
        <v/>
      </c>
      <c r="L6597" s="7" t="n"/>
      <c r="M6597" s="7" t="n"/>
      <c r="N6597">
        <f>IF(D6597="", "Gap - No Legal Basis", IF(AND(D6597="Consent (GDPR Art. 6(1)(a))", I6597="Not Captured"), "Gap - Invalid Consent", IF(AND(D6597="Legitimate Interest (GDPR Art. 6(1)(f))", L6597=""), "Gap - Missing LIA", IF(AND(G6597="Yes", H6597=""), "Gap - Missing Art. 9 Basis", IF(OR(I6597="Invalid - Not Freely Given", I6597="Invalid - Not Specific", I6597="Invalid - Not Informed", I6597="Invalid - Ambiguous"), "Gap - Invalid Consent", "Compliant")))))</f>
        <v/>
      </c>
      <c r="O6597" s="7" t="n"/>
    </row>
    <row r="6598">
      <c r="A6598" s="7" t="n"/>
      <c r="B6598" s="7" t="n"/>
      <c r="C6598" s="7" t="n"/>
      <c r="D6598" s="7" t="n"/>
      <c r="E6598" s="7" t="n"/>
      <c r="F6598" s="7" t="n"/>
      <c r="G6598" s="7" t="n"/>
      <c r="H6598" s="7" t="n"/>
      <c r="I6598" s="7" t="n"/>
      <c r="J6598" s="7" t="n"/>
      <c r="K6598">
        <f>IF(D6598="Legitimate Interest (GDPR Art. 6(1)(f))", "Yes / Required (Sheet 3)", "")</f>
        <v/>
      </c>
      <c r="L6598" s="7" t="n"/>
      <c r="M6598" s="7" t="n"/>
      <c r="N6598">
        <f>IF(D6598="", "Gap - No Legal Basis", IF(AND(D6598="Consent (GDPR Art. 6(1)(a))", I6598="Not Captured"), "Gap - Invalid Consent", IF(AND(D6598="Legitimate Interest (GDPR Art. 6(1)(f))", L6598=""), "Gap - Missing LIA", IF(AND(G6598="Yes", H6598=""), "Gap - Missing Art. 9 Basis", IF(OR(I6598="Invalid - Not Freely Given", I6598="Invalid - Not Specific", I6598="Invalid - Not Informed", I6598="Invalid - Ambiguous"), "Gap - Invalid Consent", "Compliant")))))</f>
        <v/>
      </c>
      <c r="O6598" s="7" t="n"/>
    </row>
    <row r="6599">
      <c r="A6599" s="7" t="n"/>
      <c r="B6599" s="7" t="n"/>
      <c r="C6599" s="7" t="n"/>
      <c r="D6599" s="7" t="n"/>
      <c r="E6599" s="7" t="n"/>
      <c r="F6599" s="7" t="n"/>
      <c r="G6599" s="7" t="n"/>
      <c r="H6599" s="7" t="n"/>
      <c r="I6599" s="7" t="n"/>
      <c r="J6599" s="7" t="n"/>
      <c r="K6599">
        <f>IF(D6599="Legitimate Interest (GDPR Art. 6(1)(f))", "Yes / Required (Sheet 3)", "")</f>
        <v/>
      </c>
      <c r="L6599" s="7" t="n"/>
      <c r="M6599" s="7" t="n"/>
      <c r="N6599">
        <f>IF(D6599="", "Gap - No Legal Basis", IF(AND(D6599="Consent (GDPR Art. 6(1)(a))", I6599="Not Captured"), "Gap - Invalid Consent", IF(AND(D6599="Legitimate Interest (GDPR Art. 6(1)(f))", L6599=""), "Gap - Missing LIA", IF(AND(G6599="Yes", H6599=""), "Gap - Missing Art. 9 Basis", IF(OR(I6599="Invalid - Not Freely Given", I6599="Invalid - Not Specific", I6599="Invalid - Not Informed", I6599="Invalid - Ambiguous"), "Gap - Invalid Consent", "Compliant")))))</f>
        <v/>
      </c>
      <c r="O6599" s="7" t="n"/>
    </row>
    <row r="6600">
      <c r="A6600" s="7" t="n"/>
      <c r="B6600" s="7" t="n"/>
      <c r="C6600" s="7" t="n"/>
      <c r="D6600" s="7" t="n"/>
      <c r="E6600" s="7" t="n"/>
      <c r="F6600" s="7" t="n"/>
      <c r="G6600" s="7" t="n"/>
      <c r="H6600" s="7" t="n"/>
      <c r="I6600" s="7" t="n"/>
      <c r="J6600" s="7" t="n"/>
      <c r="K6600">
        <f>IF(D6600="Legitimate Interest (GDPR Art. 6(1)(f))", "Yes / Required (Sheet 3)", "")</f>
        <v/>
      </c>
      <c r="L6600" s="7" t="n"/>
      <c r="M6600" s="7" t="n"/>
      <c r="N6600">
        <f>IF(D6600="", "Gap - No Legal Basis", IF(AND(D6600="Consent (GDPR Art. 6(1)(a))", I6600="Not Captured"), "Gap - Invalid Consent", IF(AND(D6600="Legitimate Interest (GDPR Art. 6(1)(f))", L6600=""), "Gap - Missing LIA", IF(AND(G6600="Yes", H6600=""), "Gap - Missing Art. 9 Basis", IF(OR(I6600="Invalid - Not Freely Given", I6600="Invalid - Not Specific", I6600="Invalid - Not Informed", I6600="Invalid - Ambiguous"), "Gap - Invalid Consent", "Compliant")))))</f>
        <v/>
      </c>
      <c r="O6600" s="7" t="n"/>
    </row>
    <row r="6601">
      <c r="A6601" s="7" t="n"/>
      <c r="B6601" s="7" t="n"/>
      <c r="C6601" s="7" t="n"/>
      <c r="D6601" s="7" t="n"/>
      <c r="E6601" s="7" t="n"/>
      <c r="F6601" s="7" t="n"/>
      <c r="G6601" s="7" t="n"/>
      <c r="H6601" s="7" t="n"/>
      <c r="I6601" s="7" t="n"/>
      <c r="J6601" s="7" t="n"/>
      <c r="K6601">
        <f>IF(D6601="Legitimate Interest (GDPR Art. 6(1)(f))", "Yes / Required (Sheet 3)", "")</f>
        <v/>
      </c>
      <c r="L6601" s="7" t="n"/>
      <c r="M6601" s="7" t="n"/>
      <c r="N6601">
        <f>IF(D6601="", "Gap - No Legal Basis", IF(AND(D6601="Consent (GDPR Art. 6(1)(a))", I6601="Not Captured"), "Gap - Invalid Consent", IF(AND(D6601="Legitimate Interest (GDPR Art. 6(1)(f))", L6601=""), "Gap - Missing LIA", IF(AND(G6601="Yes", H6601=""), "Gap - Missing Art. 9 Basis", IF(OR(I6601="Invalid - Not Freely Given", I6601="Invalid - Not Specific", I6601="Invalid - Not Informed", I6601="Invalid - Ambiguous"), "Gap - Invalid Consent", "Compliant")))))</f>
        <v/>
      </c>
      <c r="O6601" s="7" t="n"/>
    </row>
    <row r="6602">
      <c r="A6602" s="7" t="n"/>
      <c r="B6602" s="7" t="n"/>
      <c r="C6602" s="7" t="n"/>
      <c r="D6602" s="7" t="n"/>
      <c r="E6602" s="7" t="n"/>
      <c r="F6602" s="7" t="n"/>
      <c r="G6602" s="7" t="n"/>
      <c r="H6602" s="7" t="n"/>
      <c r="I6602" s="7" t="n"/>
      <c r="J6602" s="7" t="n"/>
      <c r="K6602">
        <f>IF(D6602="Legitimate Interest (GDPR Art. 6(1)(f))", "Yes / Required (Sheet 3)", "")</f>
        <v/>
      </c>
      <c r="L6602" s="7" t="n"/>
      <c r="M6602" s="7" t="n"/>
      <c r="N6602">
        <f>IF(D6602="", "Gap - No Legal Basis", IF(AND(D6602="Consent (GDPR Art. 6(1)(a))", I6602="Not Captured"), "Gap - Invalid Consent", IF(AND(D6602="Legitimate Interest (GDPR Art. 6(1)(f))", L6602=""), "Gap - Missing LIA", IF(AND(G6602="Yes", H6602=""), "Gap - Missing Art. 9 Basis", IF(OR(I6602="Invalid - Not Freely Given", I6602="Invalid - Not Specific", I6602="Invalid - Not Informed", I6602="Invalid - Ambiguous"), "Gap - Invalid Consent", "Compliant")))))</f>
        <v/>
      </c>
      <c r="O6602" s="7" t="n"/>
    </row>
    <row r="6603">
      <c r="A6603" s="7" t="n"/>
      <c r="B6603" s="7" t="n"/>
      <c r="C6603" s="7" t="n"/>
      <c r="D6603" s="7" t="n"/>
      <c r="E6603" s="7" t="n"/>
      <c r="F6603" s="7" t="n"/>
      <c r="G6603" s="7" t="n"/>
      <c r="H6603" s="7" t="n"/>
      <c r="I6603" s="7" t="n"/>
      <c r="J6603" s="7" t="n"/>
      <c r="K6603">
        <f>IF(D6603="Legitimate Interest (GDPR Art. 6(1)(f))", "Yes / Required (Sheet 3)", "")</f>
        <v/>
      </c>
      <c r="L6603" s="7" t="n"/>
      <c r="M6603" s="7" t="n"/>
      <c r="N6603">
        <f>IF(D6603="", "Gap - No Legal Basis", IF(AND(D6603="Consent (GDPR Art. 6(1)(a))", I6603="Not Captured"), "Gap - Invalid Consent", IF(AND(D6603="Legitimate Interest (GDPR Art. 6(1)(f))", L6603=""), "Gap - Missing LIA", IF(AND(G6603="Yes", H6603=""), "Gap - Missing Art. 9 Basis", IF(OR(I6603="Invalid - Not Freely Given", I6603="Invalid - Not Specific", I6603="Invalid - Not Informed", I6603="Invalid - Ambiguous"), "Gap - Invalid Consent", "Compliant")))))</f>
        <v/>
      </c>
      <c r="O6603" s="7" t="n"/>
    </row>
    <row r="6604">
      <c r="A6604" s="7" t="n"/>
      <c r="B6604" s="7" t="n"/>
      <c r="C6604" s="7" t="n"/>
      <c r="D6604" s="7" t="n"/>
      <c r="E6604" s="7" t="n"/>
      <c r="F6604" s="7" t="n"/>
      <c r="G6604" s="7" t="n"/>
      <c r="H6604" s="7" t="n"/>
      <c r="I6604" s="7" t="n"/>
      <c r="J6604" s="7" t="n"/>
      <c r="K6604">
        <f>IF(D6604="Legitimate Interest (GDPR Art. 6(1)(f))", "Yes / Required (Sheet 3)", "")</f>
        <v/>
      </c>
      <c r="L6604" s="7" t="n"/>
      <c r="M6604" s="7" t="n"/>
      <c r="N6604">
        <f>IF(D6604="", "Gap - No Legal Basis", IF(AND(D6604="Consent (GDPR Art. 6(1)(a))", I6604="Not Captured"), "Gap - Invalid Consent", IF(AND(D6604="Legitimate Interest (GDPR Art. 6(1)(f))", L6604=""), "Gap - Missing LIA", IF(AND(G6604="Yes", H6604=""), "Gap - Missing Art. 9 Basis", IF(OR(I6604="Invalid - Not Freely Given", I6604="Invalid - Not Specific", I6604="Invalid - Not Informed", I6604="Invalid - Ambiguous"), "Gap - Invalid Consent", "Compliant")))))</f>
        <v/>
      </c>
      <c r="O6604" s="7" t="n"/>
    </row>
    <row r="6605">
      <c r="A6605" s="7" t="n"/>
      <c r="B6605" s="7" t="n"/>
      <c r="C6605" s="7" t="n"/>
      <c r="D6605" s="7" t="n"/>
      <c r="E6605" s="7" t="n"/>
      <c r="F6605" s="7" t="n"/>
      <c r="G6605" s="7" t="n"/>
      <c r="H6605" s="7" t="n"/>
      <c r="I6605" s="7" t="n"/>
      <c r="J6605" s="7" t="n"/>
      <c r="K6605">
        <f>IF(D6605="Legitimate Interest (GDPR Art. 6(1)(f))", "Yes / Required (Sheet 3)", "")</f>
        <v/>
      </c>
      <c r="L6605" s="7" t="n"/>
      <c r="M6605" s="7" t="n"/>
      <c r="N6605">
        <f>IF(D6605="", "Gap - No Legal Basis", IF(AND(D6605="Consent (GDPR Art. 6(1)(a))", I6605="Not Captured"), "Gap - Invalid Consent", IF(AND(D6605="Legitimate Interest (GDPR Art. 6(1)(f))", L6605=""), "Gap - Missing LIA", IF(AND(G6605="Yes", H6605=""), "Gap - Missing Art. 9 Basis", IF(OR(I6605="Invalid - Not Freely Given", I6605="Invalid - Not Specific", I6605="Invalid - Not Informed", I6605="Invalid - Ambiguous"), "Gap - Invalid Consent", "Compliant")))))</f>
        <v/>
      </c>
      <c r="O6605" s="7" t="n"/>
    </row>
    <row r="6606">
      <c r="A6606" s="7" t="n"/>
      <c r="B6606" s="7" t="n"/>
      <c r="C6606" s="7" t="n"/>
      <c r="D6606" s="7" t="n"/>
      <c r="E6606" s="7" t="n"/>
      <c r="F6606" s="7" t="n"/>
      <c r="G6606" s="7" t="n"/>
      <c r="H6606" s="7" t="n"/>
      <c r="I6606" s="7" t="n"/>
      <c r="J6606" s="7" t="n"/>
      <c r="K6606">
        <f>IF(D6606="Legitimate Interest (GDPR Art. 6(1)(f))", "Yes / Required (Sheet 3)", "")</f>
        <v/>
      </c>
      <c r="L6606" s="7" t="n"/>
      <c r="M6606" s="7" t="n"/>
      <c r="N6606">
        <f>IF(D6606="", "Gap - No Legal Basis", IF(AND(D6606="Consent (GDPR Art. 6(1)(a))", I6606="Not Captured"), "Gap - Invalid Consent", IF(AND(D6606="Legitimate Interest (GDPR Art. 6(1)(f))", L6606=""), "Gap - Missing LIA", IF(AND(G6606="Yes", H6606=""), "Gap - Missing Art. 9 Basis", IF(OR(I6606="Invalid - Not Freely Given", I6606="Invalid - Not Specific", I6606="Invalid - Not Informed", I6606="Invalid - Ambiguous"), "Gap - Invalid Consent", "Compliant")))))</f>
        <v/>
      </c>
      <c r="O6606" s="7" t="n"/>
    </row>
    <row r="6607">
      <c r="A6607" s="7" t="n"/>
      <c r="B6607" s="7" t="n"/>
      <c r="C6607" s="7" t="n"/>
      <c r="D6607" s="7" t="n"/>
      <c r="E6607" s="7" t="n"/>
      <c r="F6607" s="7" t="n"/>
      <c r="G6607" s="7" t="n"/>
      <c r="H6607" s="7" t="n"/>
      <c r="I6607" s="7" t="n"/>
      <c r="J6607" s="7" t="n"/>
      <c r="K6607">
        <f>IF(D6607="Legitimate Interest (GDPR Art. 6(1)(f))", "Yes / Required (Sheet 3)", "")</f>
        <v/>
      </c>
      <c r="L6607" s="7" t="n"/>
      <c r="M6607" s="7" t="n"/>
      <c r="N6607">
        <f>IF(D6607="", "Gap - No Legal Basis", IF(AND(D6607="Consent (GDPR Art. 6(1)(a))", I6607="Not Captured"), "Gap - Invalid Consent", IF(AND(D6607="Legitimate Interest (GDPR Art. 6(1)(f))", L6607=""), "Gap - Missing LIA", IF(AND(G6607="Yes", H6607=""), "Gap - Missing Art. 9 Basis", IF(OR(I6607="Invalid - Not Freely Given", I6607="Invalid - Not Specific", I6607="Invalid - Not Informed", I6607="Invalid - Ambiguous"), "Gap - Invalid Consent", "Compliant")))))</f>
        <v/>
      </c>
      <c r="O6607" s="7" t="n"/>
    </row>
    <row r="6608">
      <c r="A6608" s="7" t="n"/>
      <c r="B6608" s="7" t="n"/>
      <c r="C6608" s="7" t="n"/>
      <c r="D6608" s="7" t="n"/>
      <c r="E6608" s="7" t="n"/>
      <c r="F6608" s="7" t="n"/>
      <c r="G6608" s="7" t="n"/>
      <c r="H6608" s="7" t="n"/>
      <c r="I6608" s="7" t="n"/>
      <c r="J6608" s="7" t="n"/>
      <c r="K6608">
        <f>IF(D6608="Legitimate Interest (GDPR Art. 6(1)(f))", "Yes / Required (Sheet 3)", "")</f>
        <v/>
      </c>
      <c r="L6608" s="7" t="n"/>
      <c r="M6608" s="7" t="n"/>
      <c r="N6608">
        <f>IF(D6608="", "Gap - No Legal Basis", IF(AND(D6608="Consent (GDPR Art. 6(1)(a))", I6608="Not Captured"), "Gap - Invalid Consent", IF(AND(D6608="Legitimate Interest (GDPR Art. 6(1)(f))", L6608=""), "Gap - Missing LIA", IF(AND(G6608="Yes", H6608=""), "Gap - Missing Art. 9 Basis", IF(OR(I6608="Invalid - Not Freely Given", I6608="Invalid - Not Specific", I6608="Invalid - Not Informed", I6608="Invalid - Ambiguous"), "Gap - Invalid Consent", "Compliant")))))</f>
        <v/>
      </c>
      <c r="O6608" s="7" t="n"/>
    </row>
    <row r="6609">
      <c r="A6609" s="7" t="n"/>
      <c r="B6609" s="7" t="n"/>
      <c r="C6609" s="7" t="n"/>
      <c r="D6609" s="7" t="n"/>
      <c r="E6609" s="7" t="n"/>
      <c r="F6609" s="7" t="n"/>
      <c r="G6609" s="7" t="n"/>
      <c r="H6609" s="7" t="n"/>
      <c r="I6609" s="7" t="n"/>
      <c r="J6609" s="7" t="n"/>
      <c r="K6609">
        <f>IF(D6609="Legitimate Interest (GDPR Art. 6(1)(f))", "Yes / Required (Sheet 3)", "")</f>
        <v/>
      </c>
      <c r="L6609" s="7" t="n"/>
      <c r="M6609" s="7" t="n"/>
      <c r="N6609">
        <f>IF(D6609="", "Gap - No Legal Basis", IF(AND(D6609="Consent (GDPR Art. 6(1)(a))", I6609="Not Captured"), "Gap - Invalid Consent", IF(AND(D6609="Legitimate Interest (GDPR Art. 6(1)(f))", L6609=""), "Gap - Missing LIA", IF(AND(G6609="Yes", H6609=""), "Gap - Missing Art. 9 Basis", IF(OR(I6609="Invalid - Not Freely Given", I6609="Invalid - Not Specific", I6609="Invalid - Not Informed", I6609="Invalid - Ambiguous"), "Gap - Invalid Consent", "Compliant")))))</f>
        <v/>
      </c>
      <c r="O6609" s="7" t="n"/>
    </row>
    <row r="6610">
      <c r="A6610" s="7" t="n"/>
      <c r="B6610" s="7" t="n"/>
      <c r="C6610" s="7" t="n"/>
      <c r="D6610" s="7" t="n"/>
      <c r="E6610" s="7" t="n"/>
      <c r="F6610" s="7" t="n"/>
      <c r="G6610" s="7" t="n"/>
      <c r="H6610" s="7" t="n"/>
      <c r="I6610" s="7" t="n"/>
      <c r="J6610" s="7" t="n"/>
      <c r="K6610">
        <f>IF(D6610="Legitimate Interest (GDPR Art. 6(1)(f))", "Yes / Required (Sheet 3)", "")</f>
        <v/>
      </c>
      <c r="L6610" s="7" t="n"/>
      <c r="M6610" s="7" t="n"/>
      <c r="N6610">
        <f>IF(D6610="", "Gap - No Legal Basis", IF(AND(D6610="Consent (GDPR Art. 6(1)(a))", I6610="Not Captured"), "Gap - Invalid Consent", IF(AND(D6610="Legitimate Interest (GDPR Art. 6(1)(f))", L6610=""), "Gap - Missing LIA", IF(AND(G6610="Yes", H6610=""), "Gap - Missing Art. 9 Basis", IF(OR(I6610="Invalid - Not Freely Given", I6610="Invalid - Not Specific", I6610="Invalid - Not Informed", I6610="Invalid - Ambiguous"), "Gap - Invalid Consent", "Compliant")))))</f>
        <v/>
      </c>
      <c r="O6610" s="7" t="n"/>
    </row>
    <row r="6611">
      <c r="A6611" s="7" t="n"/>
      <c r="B6611" s="7" t="n"/>
      <c r="C6611" s="7" t="n"/>
      <c r="D6611" s="7" t="n"/>
      <c r="E6611" s="7" t="n"/>
      <c r="F6611" s="7" t="n"/>
      <c r="G6611" s="7" t="n"/>
      <c r="H6611" s="7" t="n"/>
      <c r="I6611" s="7" t="n"/>
      <c r="J6611" s="7" t="n"/>
      <c r="K6611">
        <f>IF(D6611="Legitimate Interest (GDPR Art. 6(1)(f))", "Yes / Required (Sheet 3)", "")</f>
        <v/>
      </c>
      <c r="L6611" s="7" t="n"/>
      <c r="M6611" s="7" t="n"/>
      <c r="N6611">
        <f>IF(D6611="", "Gap - No Legal Basis", IF(AND(D6611="Consent (GDPR Art. 6(1)(a))", I6611="Not Captured"), "Gap - Invalid Consent", IF(AND(D6611="Legitimate Interest (GDPR Art. 6(1)(f))", L6611=""), "Gap - Missing LIA", IF(AND(G6611="Yes", H6611=""), "Gap - Missing Art. 9 Basis", IF(OR(I6611="Invalid - Not Freely Given", I6611="Invalid - Not Specific", I6611="Invalid - Not Informed", I6611="Invalid - Ambiguous"), "Gap - Invalid Consent", "Compliant")))))</f>
        <v/>
      </c>
      <c r="O6611" s="7" t="n"/>
    </row>
    <row r="6612">
      <c r="A6612" s="7" t="n"/>
      <c r="B6612" s="7" t="n"/>
      <c r="C6612" s="7" t="n"/>
      <c r="D6612" s="7" t="n"/>
      <c r="E6612" s="7" t="n"/>
      <c r="F6612" s="7" t="n"/>
      <c r="G6612" s="7" t="n"/>
      <c r="H6612" s="7" t="n"/>
      <c r="I6612" s="7" t="n"/>
      <c r="J6612" s="7" t="n"/>
      <c r="K6612">
        <f>IF(D6612="Legitimate Interest (GDPR Art. 6(1)(f))", "Yes / Required (Sheet 3)", "")</f>
        <v/>
      </c>
      <c r="L6612" s="7" t="n"/>
      <c r="M6612" s="7" t="n"/>
      <c r="N6612">
        <f>IF(D6612="", "Gap - No Legal Basis", IF(AND(D6612="Consent (GDPR Art. 6(1)(a))", I6612="Not Captured"), "Gap - Invalid Consent", IF(AND(D6612="Legitimate Interest (GDPR Art. 6(1)(f))", L6612=""), "Gap - Missing LIA", IF(AND(G6612="Yes", H6612=""), "Gap - Missing Art. 9 Basis", IF(OR(I6612="Invalid - Not Freely Given", I6612="Invalid - Not Specific", I6612="Invalid - Not Informed", I6612="Invalid - Ambiguous"), "Gap - Invalid Consent", "Compliant")))))</f>
        <v/>
      </c>
      <c r="O6612" s="7" t="n"/>
    </row>
    <row r="6613">
      <c r="A6613" s="7" t="n"/>
      <c r="B6613" s="7" t="n"/>
      <c r="C6613" s="7" t="n"/>
      <c r="D6613" s="7" t="n"/>
      <c r="E6613" s="7" t="n"/>
      <c r="F6613" s="7" t="n"/>
      <c r="G6613" s="7" t="n"/>
      <c r="H6613" s="7" t="n"/>
      <c r="I6613" s="7" t="n"/>
      <c r="J6613" s="7" t="n"/>
      <c r="K6613">
        <f>IF(D6613="Legitimate Interest (GDPR Art. 6(1)(f))", "Yes / Required (Sheet 3)", "")</f>
        <v/>
      </c>
      <c r="L6613" s="7" t="n"/>
      <c r="M6613" s="7" t="n"/>
      <c r="N6613">
        <f>IF(D6613="", "Gap - No Legal Basis", IF(AND(D6613="Consent (GDPR Art. 6(1)(a))", I6613="Not Captured"), "Gap - Invalid Consent", IF(AND(D6613="Legitimate Interest (GDPR Art. 6(1)(f))", L6613=""), "Gap - Missing LIA", IF(AND(G6613="Yes", H6613=""), "Gap - Missing Art. 9 Basis", IF(OR(I6613="Invalid - Not Freely Given", I6613="Invalid - Not Specific", I6613="Invalid - Not Informed", I6613="Invalid - Ambiguous"), "Gap - Invalid Consent", "Compliant")))))</f>
        <v/>
      </c>
      <c r="O6613" s="7" t="n"/>
    </row>
    <row r="6614">
      <c r="A6614" s="7" t="n"/>
      <c r="B6614" s="7" t="n"/>
      <c r="C6614" s="7" t="n"/>
      <c r="D6614" s="7" t="n"/>
      <c r="E6614" s="7" t="n"/>
      <c r="F6614" s="7" t="n"/>
      <c r="G6614" s="7" t="n"/>
      <c r="H6614" s="7" t="n"/>
      <c r="I6614" s="7" t="n"/>
      <c r="J6614" s="7" t="n"/>
      <c r="K6614">
        <f>IF(D6614="Legitimate Interest (GDPR Art. 6(1)(f))", "Yes / Required (Sheet 3)", "")</f>
        <v/>
      </c>
      <c r="L6614" s="7" t="n"/>
      <c r="M6614" s="7" t="n"/>
      <c r="N6614">
        <f>IF(D6614="", "Gap - No Legal Basis", IF(AND(D6614="Consent (GDPR Art. 6(1)(a))", I6614="Not Captured"), "Gap - Invalid Consent", IF(AND(D6614="Legitimate Interest (GDPR Art. 6(1)(f))", L6614=""), "Gap - Missing LIA", IF(AND(G6614="Yes", H6614=""), "Gap - Missing Art. 9 Basis", IF(OR(I6614="Invalid - Not Freely Given", I6614="Invalid - Not Specific", I6614="Invalid - Not Informed", I6614="Invalid - Ambiguous"), "Gap - Invalid Consent", "Compliant")))))</f>
        <v/>
      </c>
      <c r="O6614" s="7" t="n"/>
    </row>
    <row r="6615">
      <c r="A6615" s="7" t="n"/>
      <c r="B6615" s="7" t="n"/>
      <c r="C6615" s="7" t="n"/>
      <c r="D6615" s="7" t="n"/>
      <c r="E6615" s="7" t="n"/>
      <c r="F6615" s="7" t="n"/>
      <c r="G6615" s="7" t="n"/>
      <c r="H6615" s="7" t="n"/>
      <c r="I6615" s="7" t="n"/>
      <c r="J6615" s="7" t="n"/>
      <c r="K6615">
        <f>IF(D6615="Legitimate Interest (GDPR Art. 6(1)(f))", "Yes / Required (Sheet 3)", "")</f>
        <v/>
      </c>
      <c r="L6615" s="7" t="n"/>
      <c r="M6615" s="7" t="n"/>
      <c r="N6615">
        <f>IF(D6615="", "Gap - No Legal Basis", IF(AND(D6615="Consent (GDPR Art. 6(1)(a))", I6615="Not Captured"), "Gap - Invalid Consent", IF(AND(D6615="Legitimate Interest (GDPR Art. 6(1)(f))", L6615=""), "Gap - Missing LIA", IF(AND(G6615="Yes", H6615=""), "Gap - Missing Art. 9 Basis", IF(OR(I6615="Invalid - Not Freely Given", I6615="Invalid - Not Specific", I6615="Invalid - Not Informed", I6615="Invalid - Ambiguous"), "Gap - Invalid Consent", "Compliant")))))</f>
        <v/>
      </c>
      <c r="O6615" s="7" t="n"/>
    </row>
    <row r="6616">
      <c r="A6616" s="7" t="n"/>
      <c r="B6616" s="7" t="n"/>
      <c r="C6616" s="7" t="n"/>
      <c r="D6616" s="7" t="n"/>
      <c r="E6616" s="7" t="n"/>
      <c r="F6616" s="7" t="n"/>
      <c r="G6616" s="7" t="n"/>
      <c r="H6616" s="7" t="n"/>
      <c r="I6616" s="7" t="n"/>
      <c r="J6616" s="7" t="n"/>
      <c r="K6616">
        <f>IF(D6616="Legitimate Interest (GDPR Art. 6(1)(f))", "Yes / Required (Sheet 3)", "")</f>
        <v/>
      </c>
      <c r="L6616" s="7" t="n"/>
      <c r="M6616" s="7" t="n"/>
      <c r="N6616">
        <f>IF(D6616="", "Gap - No Legal Basis", IF(AND(D6616="Consent (GDPR Art. 6(1)(a))", I6616="Not Captured"), "Gap - Invalid Consent", IF(AND(D6616="Legitimate Interest (GDPR Art. 6(1)(f))", L6616=""), "Gap - Missing LIA", IF(AND(G6616="Yes", H6616=""), "Gap - Missing Art. 9 Basis", IF(OR(I6616="Invalid - Not Freely Given", I6616="Invalid - Not Specific", I6616="Invalid - Not Informed", I6616="Invalid - Ambiguous"), "Gap - Invalid Consent", "Compliant")))))</f>
        <v/>
      </c>
      <c r="O6616" s="7" t="n"/>
    </row>
    <row r="6617">
      <c r="A6617" s="7" t="n"/>
      <c r="B6617" s="7" t="n"/>
      <c r="C6617" s="7" t="n"/>
      <c r="D6617" s="7" t="n"/>
      <c r="E6617" s="7" t="n"/>
      <c r="F6617" s="7" t="n"/>
      <c r="G6617" s="7" t="n"/>
      <c r="H6617" s="7" t="n"/>
      <c r="I6617" s="7" t="n"/>
      <c r="J6617" s="7" t="n"/>
      <c r="K6617">
        <f>IF(D6617="Legitimate Interest (GDPR Art. 6(1)(f))", "Yes / Required (Sheet 3)", "")</f>
        <v/>
      </c>
      <c r="L6617" s="7" t="n"/>
      <c r="M6617" s="7" t="n"/>
      <c r="N6617">
        <f>IF(D6617="", "Gap - No Legal Basis", IF(AND(D6617="Consent (GDPR Art. 6(1)(a))", I6617="Not Captured"), "Gap - Invalid Consent", IF(AND(D6617="Legitimate Interest (GDPR Art. 6(1)(f))", L6617=""), "Gap - Missing LIA", IF(AND(G6617="Yes", H6617=""), "Gap - Missing Art. 9 Basis", IF(OR(I6617="Invalid - Not Freely Given", I6617="Invalid - Not Specific", I6617="Invalid - Not Informed", I6617="Invalid - Ambiguous"), "Gap - Invalid Consent", "Compliant")))))</f>
        <v/>
      </c>
      <c r="O6617" s="7" t="n"/>
    </row>
    <row r="6618">
      <c r="A6618" s="7" t="n"/>
      <c r="B6618" s="7" t="n"/>
      <c r="C6618" s="7" t="n"/>
      <c r="D6618" s="7" t="n"/>
      <c r="E6618" s="7" t="n"/>
      <c r="F6618" s="7" t="n"/>
      <c r="G6618" s="7" t="n"/>
      <c r="H6618" s="7" t="n"/>
      <c r="I6618" s="7" t="n"/>
      <c r="J6618" s="7" t="n"/>
      <c r="K6618">
        <f>IF(D6618="Legitimate Interest (GDPR Art. 6(1)(f))", "Yes / Required (Sheet 3)", "")</f>
        <v/>
      </c>
      <c r="L6618" s="7" t="n"/>
      <c r="M6618" s="7" t="n"/>
      <c r="N6618">
        <f>IF(D6618="", "Gap - No Legal Basis", IF(AND(D6618="Consent (GDPR Art. 6(1)(a))", I6618="Not Captured"), "Gap - Invalid Consent", IF(AND(D6618="Legitimate Interest (GDPR Art. 6(1)(f))", L6618=""), "Gap - Missing LIA", IF(AND(G6618="Yes", H6618=""), "Gap - Missing Art. 9 Basis", IF(OR(I6618="Invalid - Not Freely Given", I6618="Invalid - Not Specific", I6618="Invalid - Not Informed", I6618="Invalid - Ambiguous"), "Gap - Invalid Consent", "Compliant")))))</f>
        <v/>
      </c>
      <c r="O6618" s="7" t="n"/>
    </row>
    <row r="6619">
      <c r="A6619" s="7" t="n"/>
      <c r="B6619" s="7" t="n"/>
      <c r="C6619" s="7" t="n"/>
      <c r="D6619" s="7" t="n"/>
      <c r="E6619" s="7" t="n"/>
      <c r="F6619" s="7" t="n"/>
      <c r="G6619" s="7" t="n"/>
      <c r="H6619" s="7" t="n"/>
      <c r="I6619" s="7" t="n"/>
      <c r="J6619" s="7" t="n"/>
      <c r="K6619">
        <f>IF(D6619="Legitimate Interest (GDPR Art. 6(1)(f))", "Yes / Required (Sheet 3)", "")</f>
        <v/>
      </c>
      <c r="L6619" s="7" t="n"/>
      <c r="M6619" s="7" t="n"/>
      <c r="N6619">
        <f>IF(D6619="", "Gap - No Legal Basis", IF(AND(D6619="Consent (GDPR Art. 6(1)(a))", I6619="Not Captured"), "Gap - Invalid Consent", IF(AND(D6619="Legitimate Interest (GDPR Art. 6(1)(f))", L6619=""), "Gap - Missing LIA", IF(AND(G6619="Yes", H6619=""), "Gap - Missing Art. 9 Basis", IF(OR(I6619="Invalid - Not Freely Given", I6619="Invalid - Not Specific", I6619="Invalid - Not Informed", I6619="Invalid - Ambiguous"), "Gap - Invalid Consent", "Compliant")))))</f>
        <v/>
      </c>
      <c r="O6619" s="7" t="n"/>
    </row>
    <row r="6620">
      <c r="A6620" s="7" t="n"/>
      <c r="B6620" s="7" t="n"/>
      <c r="C6620" s="7" t="n"/>
      <c r="D6620" s="7" t="n"/>
      <c r="E6620" s="7" t="n"/>
      <c r="F6620" s="7" t="n"/>
      <c r="G6620" s="7" t="n"/>
      <c r="H6620" s="7" t="n"/>
      <c r="I6620" s="7" t="n"/>
      <c r="J6620" s="7" t="n"/>
      <c r="K6620">
        <f>IF(D6620="Legitimate Interest (GDPR Art. 6(1)(f))", "Yes / Required (Sheet 3)", "")</f>
        <v/>
      </c>
      <c r="L6620" s="7" t="n"/>
      <c r="M6620" s="7" t="n"/>
      <c r="N6620">
        <f>IF(D6620="", "Gap - No Legal Basis", IF(AND(D6620="Consent (GDPR Art. 6(1)(a))", I6620="Not Captured"), "Gap - Invalid Consent", IF(AND(D6620="Legitimate Interest (GDPR Art. 6(1)(f))", L6620=""), "Gap - Missing LIA", IF(AND(G6620="Yes", H6620=""), "Gap - Missing Art. 9 Basis", IF(OR(I6620="Invalid - Not Freely Given", I6620="Invalid - Not Specific", I6620="Invalid - Not Informed", I6620="Invalid - Ambiguous"), "Gap - Invalid Consent", "Compliant")))))</f>
        <v/>
      </c>
      <c r="O6620" s="7" t="n"/>
    </row>
    <row r="6621">
      <c r="A6621" s="7" t="n"/>
      <c r="B6621" s="7" t="n"/>
      <c r="C6621" s="7" t="n"/>
      <c r="D6621" s="7" t="n"/>
      <c r="E6621" s="7" t="n"/>
      <c r="F6621" s="7" t="n"/>
      <c r="G6621" s="7" t="n"/>
      <c r="H6621" s="7" t="n"/>
      <c r="I6621" s="7" t="n"/>
      <c r="J6621" s="7" t="n"/>
      <c r="K6621">
        <f>IF(D6621="Legitimate Interest (GDPR Art. 6(1)(f))", "Yes / Required (Sheet 3)", "")</f>
        <v/>
      </c>
      <c r="L6621" s="7" t="n"/>
      <c r="M6621" s="7" t="n"/>
      <c r="N6621">
        <f>IF(D6621="", "Gap - No Legal Basis", IF(AND(D6621="Consent (GDPR Art. 6(1)(a))", I6621="Not Captured"), "Gap - Invalid Consent", IF(AND(D6621="Legitimate Interest (GDPR Art. 6(1)(f))", L6621=""), "Gap - Missing LIA", IF(AND(G6621="Yes", H6621=""), "Gap - Missing Art. 9 Basis", IF(OR(I6621="Invalid - Not Freely Given", I6621="Invalid - Not Specific", I6621="Invalid - Not Informed", I6621="Invalid - Ambiguous"), "Gap - Invalid Consent", "Compliant")))))</f>
        <v/>
      </c>
      <c r="O6621" s="7" t="n"/>
    </row>
    <row r="6622">
      <c r="A6622" s="7" t="n"/>
      <c r="B6622" s="7" t="n"/>
      <c r="C6622" s="7" t="n"/>
      <c r="D6622" s="7" t="n"/>
      <c r="E6622" s="7" t="n"/>
      <c r="F6622" s="7" t="n"/>
      <c r="G6622" s="7" t="n"/>
      <c r="H6622" s="7" t="n"/>
      <c r="I6622" s="7" t="n"/>
      <c r="J6622" s="7" t="n"/>
      <c r="K6622">
        <f>IF(D6622="Legitimate Interest (GDPR Art. 6(1)(f))", "Yes / Required (Sheet 3)", "")</f>
        <v/>
      </c>
      <c r="L6622" s="7" t="n"/>
      <c r="M6622" s="7" t="n"/>
      <c r="N6622">
        <f>IF(D6622="", "Gap - No Legal Basis", IF(AND(D6622="Consent (GDPR Art. 6(1)(a))", I6622="Not Captured"), "Gap - Invalid Consent", IF(AND(D6622="Legitimate Interest (GDPR Art. 6(1)(f))", L6622=""), "Gap - Missing LIA", IF(AND(G6622="Yes", H6622=""), "Gap - Missing Art. 9 Basis", IF(OR(I6622="Invalid - Not Freely Given", I6622="Invalid - Not Specific", I6622="Invalid - Not Informed", I6622="Invalid - Ambiguous"), "Gap - Invalid Consent", "Compliant")))))</f>
        <v/>
      </c>
      <c r="O6622" s="7" t="n"/>
    </row>
    <row r="6623">
      <c r="A6623" s="7" t="n"/>
      <c r="B6623" s="7" t="n"/>
      <c r="C6623" s="7" t="n"/>
      <c r="D6623" s="7" t="n"/>
      <c r="E6623" s="7" t="n"/>
      <c r="F6623" s="7" t="n"/>
      <c r="G6623" s="7" t="n"/>
      <c r="H6623" s="7" t="n"/>
      <c r="I6623" s="7" t="n"/>
      <c r="J6623" s="7" t="n"/>
      <c r="K6623">
        <f>IF(D6623="Legitimate Interest (GDPR Art. 6(1)(f))", "Yes / Required (Sheet 3)", "")</f>
        <v/>
      </c>
      <c r="L6623" s="7" t="n"/>
      <c r="M6623" s="7" t="n"/>
      <c r="N6623">
        <f>IF(D6623="", "Gap - No Legal Basis", IF(AND(D6623="Consent (GDPR Art. 6(1)(a))", I6623="Not Captured"), "Gap - Invalid Consent", IF(AND(D6623="Legitimate Interest (GDPR Art. 6(1)(f))", L6623=""), "Gap - Missing LIA", IF(AND(G6623="Yes", H6623=""), "Gap - Missing Art. 9 Basis", IF(OR(I6623="Invalid - Not Freely Given", I6623="Invalid - Not Specific", I6623="Invalid - Not Informed", I6623="Invalid - Ambiguous"), "Gap - Invalid Consent", "Compliant")))))</f>
        <v/>
      </c>
      <c r="O6623" s="7" t="n"/>
    </row>
    <row r="6624">
      <c r="A6624" s="7" t="n"/>
      <c r="B6624" s="7" t="n"/>
      <c r="C6624" s="7" t="n"/>
      <c r="D6624" s="7" t="n"/>
      <c r="E6624" s="7" t="n"/>
      <c r="F6624" s="7" t="n"/>
      <c r="G6624" s="7" t="n"/>
      <c r="H6624" s="7" t="n"/>
      <c r="I6624" s="7" t="n"/>
      <c r="J6624" s="7" t="n"/>
      <c r="K6624">
        <f>IF(D6624="Legitimate Interest (GDPR Art. 6(1)(f))", "Yes / Required (Sheet 3)", "")</f>
        <v/>
      </c>
      <c r="L6624" s="7" t="n"/>
      <c r="M6624" s="7" t="n"/>
      <c r="N6624">
        <f>IF(D6624="", "Gap - No Legal Basis", IF(AND(D6624="Consent (GDPR Art. 6(1)(a))", I6624="Not Captured"), "Gap - Invalid Consent", IF(AND(D6624="Legitimate Interest (GDPR Art. 6(1)(f))", L6624=""), "Gap - Missing LIA", IF(AND(G6624="Yes", H6624=""), "Gap - Missing Art. 9 Basis", IF(OR(I6624="Invalid - Not Freely Given", I6624="Invalid - Not Specific", I6624="Invalid - Not Informed", I6624="Invalid - Ambiguous"), "Gap - Invalid Consent", "Compliant")))))</f>
        <v/>
      </c>
      <c r="O6624" s="7" t="n"/>
    </row>
    <row r="6625">
      <c r="A6625" s="7" t="n"/>
      <c r="B6625" s="7" t="n"/>
      <c r="C6625" s="7" t="n"/>
      <c r="D6625" s="7" t="n"/>
      <c r="E6625" s="7" t="n"/>
      <c r="F6625" s="7" t="n"/>
      <c r="G6625" s="7" t="n"/>
      <c r="H6625" s="7" t="n"/>
      <c r="I6625" s="7" t="n"/>
      <c r="J6625" s="7" t="n"/>
      <c r="K6625">
        <f>IF(D6625="Legitimate Interest (GDPR Art. 6(1)(f))", "Yes / Required (Sheet 3)", "")</f>
        <v/>
      </c>
      <c r="L6625" s="7" t="n"/>
      <c r="M6625" s="7" t="n"/>
      <c r="N6625">
        <f>IF(D6625="", "Gap - No Legal Basis", IF(AND(D6625="Consent (GDPR Art. 6(1)(a))", I6625="Not Captured"), "Gap - Invalid Consent", IF(AND(D6625="Legitimate Interest (GDPR Art. 6(1)(f))", L6625=""), "Gap - Missing LIA", IF(AND(G6625="Yes", H6625=""), "Gap - Missing Art. 9 Basis", IF(OR(I6625="Invalid - Not Freely Given", I6625="Invalid - Not Specific", I6625="Invalid - Not Informed", I6625="Invalid - Ambiguous"), "Gap - Invalid Consent", "Compliant")))))</f>
        <v/>
      </c>
      <c r="O6625" s="7" t="n"/>
    </row>
    <row r="6626">
      <c r="A6626" s="7" t="n"/>
      <c r="B6626" s="7" t="n"/>
      <c r="C6626" s="7" t="n"/>
      <c r="D6626" s="7" t="n"/>
      <c r="E6626" s="7" t="n"/>
      <c r="F6626" s="7" t="n"/>
      <c r="G6626" s="7" t="n"/>
      <c r="H6626" s="7" t="n"/>
      <c r="I6626" s="7" t="n"/>
      <c r="J6626" s="7" t="n"/>
      <c r="K6626">
        <f>IF(D6626="Legitimate Interest (GDPR Art. 6(1)(f))", "Yes / Required (Sheet 3)", "")</f>
        <v/>
      </c>
      <c r="L6626" s="7" t="n"/>
      <c r="M6626" s="7" t="n"/>
      <c r="N6626">
        <f>IF(D6626="", "Gap - No Legal Basis", IF(AND(D6626="Consent (GDPR Art. 6(1)(a))", I6626="Not Captured"), "Gap - Invalid Consent", IF(AND(D6626="Legitimate Interest (GDPR Art. 6(1)(f))", L6626=""), "Gap - Missing LIA", IF(AND(G6626="Yes", H6626=""), "Gap - Missing Art. 9 Basis", IF(OR(I6626="Invalid - Not Freely Given", I6626="Invalid - Not Specific", I6626="Invalid - Not Informed", I6626="Invalid - Ambiguous"), "Gap - Invalid Consent", "Compliant")))))</f>
        <v/>
      </c>
      <c r="O6626" s="7" t="n"/>
    </row>
    <row r="6627">
      <c r="A6627" s="7" t="n"/>
      <c r="B6627" s="7" t="n"/>
      <c r="C6627" s="7" t="n"/>
      <c r="D6627" s="7" t="n"/>
      <c r="E6627" s="7" t="n"/>
      <c r="F6627" s="7" t="n"/>
      <c r="G6627" s="7" t="n"/>
      <c r="H6627" s="7" t="n"/>
      <c r="I6627" s="7" t="n"/>
      <c r="J6627" s="7" t="n"/>
      <c r="K6627">
        <f>IF(D6627="Legitimate Interest (GDPR Art. 6(1)(f))", "Yes / Required (Sheet 3)", "")</f>
        <v/>
      </c>
      <c r="L6627" s="7" t="n"/>
      <c r="M6627" s="7" t="n"/>
      <c r="N6627">
        <f>IF(D6627="", "Gap - No Legal Basis", IF(AND(D6627="Consent (GDPR Art. 6(1)(a))", I6627="Not Captured"), "Gap - Invalid Consent", IF(AND(D6627="Legitimate Interest (GDPR Art. 6(1)(f))", L6627=""), "Gap - Missing LIA", IF(AND(G6627="Yes", H6627=""), "Gap - Missing Art. 9 Basis", IF(OR(I6627="Invalid - Not Freely Given", I6627="Invalid - Not Specific", I6627="Invalid - Not Informed", I6627="Invalid - Ambiguous"), "Gap - Invalid Consent", "Compliant")))))</f>
        <v/>
      </c>
      <c r="O6627" s="7" t="n"/>
    </row>
    <row r="6628">
      <c r="A6628" s="7" t="n"/>
      <c r="B6628" s="7" t="n"/>
      <c r="C6628" s="7" t="n"/>
      <c r="D6628" s="7" t="n"/>
      <c r="E6628" s="7" t="n"/>
      <c r="F6628" s="7" t="n"/>
      <c r="G6628" s="7" t="n"/>
      <c r="H6628" s="7" t="n"/>
      <c r="I6628" s="7" t="n"/>
      <c r="J6628" s="7" t="n"/>
      <c r="K6628">
        <f>IF(D6628="Legitimate Interest (GDPR Art. 6(1)(f))", "Yes / Required (Sheet 3)", "")</f>
        <v/>
      </c>
      <c r="L6628" s="7" t="n"/>
      <c r="M6628" s="7" t="n"/>
      <c r="N6628">
        <f>IF(D6628="", "Gap - No Legal Basis", IF(AND(D6628="Consent (GDPR Art. 6(1)(a))", I6628="Not Captured"), "Gap - Invalid Consent", IF(AND(D6628="Legitimate Interest (GDPR Art. 6(1)(f))", L6628=""), "Gap - Missing LIA", IF(AND(G6628="Yes", H6628=""), "Gap - Missing Art. 9 Basis", IF(OR(I6628="Invalid - Not Freely Given", I6628="Invalid - Not Specific", I6628="Invalid - Not Informed", I6628="Invalid - Ambiguous"), "Gap - Invalid Consent", "Compliant")))))</f>
        <v/>
      </c>
      <c r="O6628" s="7" t="n"/>
    </row>
    <row r="6629">
      <c r="A6629" s="7" t="n"/>
      <c r="B6629" s="7" t="n"/>
      <c r="C6629" s="7" t="n"/>
      <c r="D6629" s="7" t="n"/>
      <c r="E6629" s="7" t="n"/>
      <c r="F6629" s="7" t="n"/>
      <c r="G6629" s="7" t="n"/>
      <c r="H6629" s="7" t="n"/>
      <c r="I6629" s="7" t="n"/>
      <c r="J6629" s="7" t="n"/>
      <c r="K6629">
        <f>IF(D6629="Legitimate Interest (GDPR Art. 6(1)(f))", "Yes / Required (Sheet 3)", "")</f>
        <v/>
      </c>
      <c r="L6629" s="7" t="n"/>
      <c r="M6629" s="7" t="n"/>
      <c r="N6629">
        <f>IF(D6629="", "Gap - No Legal Basis", IF(AND(D6629="Consent (GDPR Art. 6(1)(a))", I6629="Not Captured"), "Gap - Invalid Consent", IF(AND(D6629="Legitimate Interest (GDPR Art. 6(1)(f))", L6629=""), "Gap - Missing LIA", IF(AND(G6629="Yes", H6629=""), "Gap - Missing Art. 9 Basis", IF(OR(I6629="Invalid - Not Freely Given", I6629="Invalid - Not Specific", I6629="Invalid - Not Informed", I6629="Invalid - Ambiguous"), "Gap - Invalid Consent", "Compliant")))))</f>
        <v/>
      </c>
      <c r="O6629" s="7" t="n"/>
    </row>
    <row r="6630">
      <c r="A6630" s="7" t="n"/>
      <c r="B6630" s="7" t="n"/>
      <c r="C6630" s="7" t="n"/>
      <c r="D6630" s="7" t="n"/>
      <c r="E6630" s="7" t="n"/>
      <c r="F6630" s="7" t="n"/>
      <c r="G6630" s="7" t="n"/>
      <c r="H6630" s="7" t="n"/>
      <c r="I6630" s="7" t="n"/>
      <c r="J6630" s="7" t="n"/>
      <c r="K6630">
        <f>IF(D6630="Legitimate Interest (GDPR Art. 6(1)(f))", "Yes / Required (Sheet 3)", "")</f>
        <v/>
      </c>
      <c r="L6630" s="7" t="n"/>
      <c r="M6630" s="7" t="n"/>
      <c r="N6630">
        <f>IF(D6630="", "Gap - No Legal Basis", IF(AND(D6630="Consent (GDPR Art. 6(1)(a))", I6630="Not Captured"), "Gap - Invalid Consent", IF(AND(D6630="Legitimate Interest (GDPR Art. 6(1)(f))", L6630=""), "Gap - Missing LIA", IF(AND(G6630="Yes", H6630=""), "Gap - Missing Art. 9 Basis", IF(OR(I6630="Invalid - Not Freely Given", I6630="Invalid - Not Specific", I6630="Invalid - Not Informed", I6630="Invalid - Ambiguous"), "Gap - Invalid Consent", "Compliant")))))</f>
        <v/>
      </c>
      <c r="O6630" s="7" t="n"/>
    </row>
    <row r="6631">
      <c r="A6631" s="7" t="n"/>
      <c r="B6631" s="7" t="n"/>
      <c r="C6631" s="7" t="n"/>
      <c r="D6631" s="7" t="n"/>
      <c r="E6631" s="7" t="n"/>
      <c r="F6631" s="7" t="n"/>
      <c r="G6631" s="7" t="n"/>
      <c r="H6631" s="7" t="n"/>
      <c r="I6631" s="7" t="n"/>
      <c r="J6631" s="7" t="n"/>
      <c r="K6631">
        <f>IF(D6631="Legitimate Interest (GDPR Art. 6(1)(f))", "Yes / Required (Sheet 3)", "")</f>
        <v/>
      </c>
      <c r="L6631" s="7" t="n"/>
      <c r="M6631" s="7" t="n"/>
      <c r="N6631">
        <f>IF(D6631="", "Gap - No Legal Basis", IF(AND(D6631="Consent (GDPR Art. 6(1)(a))", I6631="Not Captured"), "Gap - Invalid Consent", IF(AND(D6631="Legitimate Interest (GDPR Art. 6(1)(f))", L6631=""), "Gap - Missing LIA", IF(AND(G6631="Yes", H6631=""), "Gap - Missing Art. 9 Basis", IF(OR(I6631="Invalid - Not Freely Given", I6631="Invalid - Not Specific", I6631="Invalid - Not Informed", I6631="Invalid - Ambiguous"), "Gap - Invalid Consent", "Compliant")))))</f>
        <v/>
      </c>
      <c r="O6631" s="7" t="n"/>
    </row>
    <row r="6632">
      <c r="A6632" s="7" t="n"/>
      <c r="B6632" s="7" t="n"/>
      <c r="C6632" s="7" t="n"/>
      <c r="D6632" s="7" t="n"/>
      <c r="E6632" s="7" t="n"/>
      <c r="F6632" s="7" t="n"/>
      <c r="G6632" s="7" t="n"/>
      <c r="H6632" s="7" t="n"/>
      <c r="I6632" s="7" t="n"/>
      <c r="J6632" s="7" t="n"/>
      <c r="K6632">
        <f>IF(D6632="Legitimate Interest (GDPR Art. 6(1)(f))", "Yes / Required (Sheet 3)", "")</f>
        <v/>
      </c>
      <c r="L6632" s="7" t="n"/>
      <c r="M6632" s="7" t="n"/>
      <c r="N6632">
        <f>IF(D6632="", "Gap - No Legal Basis", IF(AND(D6632="Consent (GDPR Art. 6(1)(a))", I6632="Not Captured"), "Gap - Invalid Consent", IF(AND(D6632="Legitimate Interest (GDPR Art. 6(1)(f))", L6632=""), "Gap - Missing LIA", IF(AND(G6632="Yes", H6632=""), "Gap - Missing Art. 9 Basis", IF(OR(I6632="Invalid - Not Freely Given", I6632="Invalid - Not Specific", I6632="Invalid - Not Informed", I6632="Invalid - Ambiguous"), "Gap - Invalid Consent", "Compliant")))))</f>
        <v/>
      </c>
      <c r="O6632" s="7" t="n"/>
    </row>
    <row r="6633">
      <c r="A6633" s="7" t="n"/>
      <c r="B6633" s="7" t="n"/>
      <c r="C6633" s="7" t="n"/>
      <c r="D6633" s="7" t="n"/>
      <c r="E6633" s="7" t="n"/>
      <c r="F6633" s="7" t="n"/>
      <c r="G6633" s="7" t="n"/>
      <c r="H6633" s="7" t="n"/>
      <c r="I6633" s="7" t="n"/>
      <c r="J6633" s="7" t="n"/>
      <c r="K6633">
        <f>IF(D6633="Legitimate Interest (GDPR Art. 6(1)(f))", "Yes / Required (Sheet 3)", "")</f>
        <v/>
      </c>
      <c r="L6633" s="7" t="n"/>
      <c r="M6633" s="7" t="n"/>
      <c r="N6633">
        <f>IF(D6633="", "Gap - No Legal Basis", IF(AND(D6633="Consent (GDPR Art. 6(1)(a))", I6633="Not Captured"), "Gap - Invalid Consent", IF(AND(D6633="Legitimate Interest (GDPR Art. 6(1)(f))", L6633=""), "Gap - Missing LIA", IF(AND(G6633="Yes", H6633=""), "Gap - Missing Art. 9 Basis", IF(OR(I6633="Invalid - Not Freely Given", I6633="Invalid - Not Specific", I6633="Invalid - Not Informed", I6633="Invalid - Ambiguous"), "Gap - Invalid Consent", "Compliant")))))</f>
        <v/>
      </c>
      <c r="O6633" s="7" t="n"/>
    </row>
    <row r="6634">
      <c r="A6634" s="7" t="n"/>
      <c r="B6634" s="7" t="n"/>
      <c r="C6634" s="7" t="n"/>
      <c r="D6634" s="7" t="n"/>
      <c r="E6634" s="7" t="n"/>
      <c r="F6634" s="7" t="n"/>
      <c r="G6634" s="7" t="n"/>
      <c r="H6634" s="7" t="n"/>
      <c r="I6634" s="7" t="n"/>
      <c r="J6634" s="7" t="n"/>
      <c r="K6634">
        <f>IF(D6634="Legitimate Interest (GDPR Art. 6(1)(f))", "Yes / Required (Sheet 3)", "")</f>
        <v/>
      </c>
      <c r="L6634" s="7" t="n"/>
      <c r="M6634" s="7" t="n"/>
      <c r="N6634">
        <f>IF(D6634="", "Gap - No Legal Basis", IF(AND(D6634="Consent (GDPR Art. 6(1)(a))", I6634="Not Captured"), "Gap - Invalid Consent", IF(AND(D6634="Legitimate Interest (GDPR Art. 6(1)(f))", L6634=""), "Gap - Missing LIA", IF(AND(G6634="Yes", H6634=""), "Gap - Missing Art. 9 Basis", IF(OR(I6634="Invalid - Not Freely Given", I6634="Invalid - Not Specific", I6634="Invalid - Not Informed", I6634="Invalid - Ambiguous"), "Gap - Invalid Consent", "Compliant")))))</f>
        <v/>
      </c>
      <c r="O6634" s="7" t="n"/>
    </row>
    <row r="6635">
      <c r="A6635" s="7" t="n"/>
      <c r="B6635" s="7" t="n"/>
      <c r="C6635" s="7" t="n"/>
      <c r="D6635" s="7" t="n"/>
      <c r="E6635" s="7" t="n"/>
      <c r="F6635" s="7" t="n"/>
      <c r="G6635" s="7" t="n"/>
      <c r="H6635" s="7" t="n"/>
      <c r="I6635" s="7" t="n"/>
      <c r="J6635" s="7" t="n"/>
      <c r="K6635">
        <f>IF(D6635="Legitimate Interest (GDPR Art. 6(1)(f))", "Yes / Required (Sheet 3)", "")</f>
        <v/>
      </c>
      <c r="L6635" s="7" t="n"/>
      <c r="M6635" s="7" t="n"/>
      <c r="N6635">
        <f>IF(D6635="", "Gap - No Legal Basis", IF(AND(D6635="Consent (GDPR Art. 6(1)(a))", I6635="Not Captured"), "Gap - Invalid Consent", IF(AND(D6635="Legitimate Interest (GDPR Art. 6(1)(f))", L6635=""), "Gap - Missing LIA", IF(AND(G6635="Yes", H6635=""), "Gap - Missing Art. 9 Basis", IF(OR(I6635="Invalid - Not Freely Given", I6635="Invalid - Not Specific", I6635="Invalid - Not Informed", I6635="Invalid - Ambiguous"), "Gap - Invalid Consent", "Compliant")))))</f>
        <v/>
      </c>
      <c r="O6635" s="7" t="n"/>
    </row>
    <row r="6636">
      <c r="A6636" s="7" t="n"/>
      <c r="B6636" s="7" t="n"/>
      <c r="C6636" s="7" t="n"/>
      <c r="D6636" s="7" t="n"/>
      <c r="E6636" s="7" t="n"/>
      <c r="F6636" s="7" t="n"/>
      <c r="G6636" s="7" t="n"/>
      <c r="H6636" s="7" t="n"/>
      <c r="I6636" s="7" t="n"/>
      <c r="J6636" s="7" t="n"/>
      <c r="K6636">
        <f>IF(D6636="Legitimate Interest (GDPR Art. 6(1)(f))", "Yes / Required (Sheet 3)", "")</f>
        <v/>
      </c>
      <c r="L6636" s="7" t="n"/>
      <c r="M6636" s="7" t="n"/>
      <c r="N6636">
        <f>IF(D6636="", "Gap - No Legal Basis", IF(AND(D6636="Consent (GDPR Art. 6(1)(a))", I6636="Not Captured"), "Gap - Invalid Consent", IF(AND(D6636="Legitimate Interest (GDPR Art. 6(1)(f))", L6636=""), "Gap - Missing LIA", IF(AND(G6636="Yes", H6636=""), "Gap - Missing Art. 9 Basis", IF(OR(I6636="Invalid - Not Freely Given", I6636="Invalid - Not Specific", I6636="Invalid - Not Informed", I6636="Invalid - Ambiguous"), "Gap - Invalid Consent", "Compliant")))))</f>
        <v/>
      </c>
      <c r="O6636" s="7" t="n"/>
    </row>
    <row r="6637">
      <c r="A6637" s="7" t="n"/>
      <c r="B6637" s="7" t="n"/>
      <c r="C6637" s="7" t="n"/>
      <c r="D6637" s="7" t="n"/>
      <c r="E6637" s="7" t="n"/>
      <c r="F6637" s="7" t="n"/>
      <c r="G6637" s="7" t="n"/>
      <c r="H6637" s="7" t="n"/>
      <c r="I6637" s="7" t="n"/>
      <c r="J6637" s="7" t="n"/>
      <c r="K6637">
        <f>IF(D6637="Legitimate Interest (GDPR Art. 6(1)(f))", "Yes / Required (Sheet 3)", "")</f>
        <v/>
      </c>
      <c r="L6637" s="7" t="n"/>
      <c r="M6637" s="7" t="n"/>
      <c r="N6637">
        <f>IF(D6637="", "Gap - No Legal Basis", IF(AND(D6637="Consent (GDPR Art. 6(1)(a))", I6637="Not Captured"), "Gap - Invalid Consent", IF(AND(D6637="Legitimate Interest (GDPR Art. 6(1)(f))", L6637=""), "Gap - Missing LIA", IF(AND(G6637="Yes", H6637=""), "Gap - Missing Art. 9 Basis", IF(OR(I6637="Invalid - Not Freely Given", I6637="Invalid - Not Specific", I6637="Invalid - Not Informed", I6637="Invalid - Ambiguous"), "Gap - Invalid Consent", "Compliant")))))</f>
        <v/>
      </c>
      <c r="O6637" s="7" t="n"/>
    </row>
    <row r="6638">
      <c r="A6638" s="7" t="n"/>
      <c r="B6638" s="7" t="n"/>
      <c r="C6638" s="7" t="n"/>
      <c r="D6638" s="7" t="n"/>
      <c r="E6638" s="7" t="n"/>
      <c r="F6638" s="7" t="n"/>
      <c r="G6638" s="7" t="n"/>
      <c r="H6638" s="7" t="n"/>
      <c r="I6638" s="7" t="n"/>
      <c r="J6638" s="7" t="n"/>
      <c r="K6638">
        <f>IF(D6638="Legitimate Interest (GDPR Art. 6(1)(f))", "Yes / Required (Sheet 3)", "")</f>
        <v/>
      </c>
      <c r="L6638" s="7" t="n"/>
      <c r="M6638" s="7" t="n"/>
      <c r="N6638">
        <f>IF(D6638="", "Gap - No Legal Basis", IF(AND(D6638="Consent (GDPR Art. 6(1)(a))", I6638="Not Captured"), "Gap - Invalid Consent", IF(AND(D6638="Legitimate Interest (GDPR Art. 6(1)(f))", L6638=""), "Gap - Missing LIA", IF(AND(G6638="Yes", H6638=""), "Gap - Missing Art. 9 Basis", IF(OR(I6638="Invalid - Not Freely Given", I6638="Invalid - Not Specific", I6638="Invalid - Not Informed", I6638="Invalid - Ambiguous"), "Gap - Invalid Consent", "Compliant")))))</f>
        <v/>
      </c>
      <c r="O6638" s="7" t="n"/>
    </row>
    <row r="6639">
      <c r="A6639" s="7" t="n"/>
      <c r="B6639" s="7" t="n"/>
      <c r="C6639" s="7" t="n"/>
      <c r="D6639" s="7" t="n"/>
      <c r="E6639" s="7" t="n"/>
      <c r="F6639" s="7" t="n"/>
      <c r="G6639" s="7" t="n"/>
      <c r="H6639" s="7" t="n"/>
      <c r="I6639" s="7" t="n"/>
      <c r="J6639" s="7" t="n"/>
      <c r="K6639">
        <f>IF(D6639="Legitimate Interest (GDPR Art. 6(1)(f))", "Yes / Required (Sheet 3)", "")</f>
        <v/>
      </c>
      <c r="L6639" s="7" t="n"/>
      <c r="M6639" s="7" t="n"/>
      <c r="N6639">
        <f>IF(D6639="", "Gap - No Legal Basis", IF(AND(D6639="Consent (GDPR Art. 6(1)(a))", I6639="Not Captured"), "Gap - Invalid Consent", IF(AND(D6639="Legitimate Interest (GDPR Art. 6(1)(f))", L6639=""), "Gap - Missing LIA", IF(AND(G6639="Yes", H6639=""), "Gap - Missing Art. 9 Basis", IF(OR(I6639="Invalid - Not Freely Given", I6639="Invalid - Not Specific", I6639="Invalid - Not Informed", I6639="Invalid - Ambiguous"), "Gap - Invalid Consent", "Compliant")))))</f>
        <v/>
      </c>
      <c r="O6639" s="7" t="n"/>
    </row>
    <row r="6640">
      <c r="A6640" s="7" t="n"/>
      <c r="B6640" s="7" t="n"/>
      <c r="C6640" s="7" t="n"/>
      <c r="D6640" s="7" t="n"/>
      <c r="E6640" s="7" t="n"/>
      <c r="F6640" s="7" t="n"/>
      <c r="G6640" s="7" t="n"/>
      <c r="H6640" s="7" t="n"/>
      <c r="I6640" s="7" t="n"/>
      <c r="J6640" s="7" t="n"/>
      <c r="K6640">
        <f>IF(D6640="Legitimate Interest (GDPR Art. 6(1)(f))", "Yes / Required (Sheet 3)", "")</f>
        <v/>
      </c>
      <c r="L6640" s="7" t="n"/>
      <c r="M6640" s="7" t="n"/>
      <c r="N6640">
        <f>IF(D6640="", "Gap - No Legal Basis", IF(AND(D6640="Consent (GDPR Art. 6(1)(a))", I6640="Not Captured"), "Gap - Invalid Consent", IF(AND(D6640="Legitimate Interest (GDPR Art. 6(1)(f))", L6640=""), "Gap - Missing LIA", IF(AND(G6640="Yes", H6640=""), "Gap - Missing Art. 9 Basis", IF(OR(I6640="Invalid - Not Freely Given", I6640="Invalid - Not Specific", I6640="Invalid - Not Informed", I6640="Invalid - Ambiguous"), "Gap - Invalid Consent", "Compliant")))))</f>
        <v/>
      </c>
      <c r="O6640" s="7" t="n"/>
    </row>
    <row r="6641">
      <c r="A6641" s="7" t="n"/>
      <c r="B6641" s="7" t="n"/>
      <c r="C6641" s="7" t="n"/>
      <c r="D6641" s="7" t="n"/>
      <c r="E6641" s="7" t="n"/>
      <c r="F6641" s="7" t="n"/>
      <c r="G6641" s="7" t="n"/>
      <c r="H6641" s="7" t="n"/>
      <c r="I6641" s="7" t="n"/>
      <c r="J6641" s="7" t="n"/>
      <c r="K6641">
        <f>IF(D6641="Legitimate Interest (GDPR Art. 6(1)(f))", "Yes / Required (Sheet 3)", "")</f>
        <v/>
      </c>
      <c r="L6641" s="7" t="n"/>
      <c r="M6641" s="7" t="n"/>
      <c r="N6641">
        <f>IF(D6641="", "Gap - No Legal Basis", IF(AND(D6641="Consent (GDPR Art. 6(1)(a))", I6641="Not Captured"), "Gap - Invalid Consent", IF(AND(D6641="Legitimate Interest (GDPR Art. 6(1)(f))", L6641=""), "Gap - Missing LIA", IF(AND(G6641="Yes", H6641=""), "Gap - Missing Art. 9 Basis", IF(OR(I6641="Invalid - Not Freely Given", I6641="Invalid - Not Specific", I6641="Invalid - Not Informed", I6641="Invalid - Ambiguous"), "Gap - Invalid Consent", "Compliant")))))</f>
        <v/>
      </c>
      <c r="O6641" s="7" t="n"/>
    </row>
    <row r="6642">
      <c r="A6642" s="7" t="n"/>
      <c r="B6642" s="7" t="n"/>
      <c r="C6642" s="7" t="n"/>
      <c r="D6642" s="7" t="n"/>
      <c r="E6642" s="7" t="n"/>
      <c r="F6642" s="7" t="n"/>
      <c r="G6642" s="7" t="n"/>
      <c r="H6642" s="7" t="n"/>
      <c r="I6642" s="7" t="n"/>
      <c r="J6642" s="7" t="n"/>
      <c r="K6642">
        <f>IF(D6642="Legitimate Interest (GDPR Art. 6(1)(f))", "Yes / Required (Sheet 3)", "")</f>
        <v/>
      </c>
      <c r="L6642" s="7" t="n"/>
      <c r="M6642" s="7" t="n"/>
      <c r="N6642">
        <f>IF(D6642="", "Gap - No Legal Basis", IF(AND(D6642="Consent (GDPR Art. 6(1)(a))", I6642="Not Captured"), "Gap - Invalid Consent", IF(AND(D6642="Legitimate Interest (GDPR Art. 6(1)(f))", L6642=""), "Gap - Missing LIA", IF(AND(G6642="Yes", H6642=""), "Gap - Missing Art. 9 Basis", IF(OR(I6642="Invalid - Not Freely Given", I6642="Invalid - Not Specific", I6642="Invalid - Not Informed", I6642="Invalid - Ambiguous"), "Gap - Invalid Consent", "Compliant")))))</f>
        <v/>
      </c>
      <c r="O6642" s="7" t="n"/>
    </row>
    <row r="6643">
      <c r="A6643" s="7" t="n"/>
      <c r="B6643" s="7" t="n"/>
      <c r="C6643" s="7" t="n"/>
      <c r="D6643" s="7" t="n"/>
      <c r="E6643" s="7" t="n"/>
      <c r="F6643" s="7" t="n"/>
      <c r="G6643" s="7" t="n"/>
      <c r="H6643" s="7" t="n"/>
      <c r="I6643" s="7" t="n"/>
      <c r="J6643" s="7" t="n"/>
      <c r="K6643">
        <f>IF(D6643="Legitimate Interest (GDPR Art. 6(1)(f))", "Yes / Required (Sheet 3)", "")</f>
        <v/>
      </c>
      <c r="L6643" s="7" t="n"/>
      <c r="M6643" s="7" t="n"/>
      <c r="N6643">
        <f>IF(D6643="", "Gap - No Legal Basis", IF(AND(D6643="Consent (GDPR Art. 6(1)(a))", I6643="Not Captured"), "Gap - Invalid Consent", IF(AND(D6643="Legitimate Interest (GDPR Art. 6(1)(f))", L6643=""), "Gap - Missing LIA", IF(AND(G6643="Yes", H6643=""), "Gap - Missing Art. 9 Basis", IF(OR(I6643="Invalid - Not Freely Given", I6643="Invalid - Not Specific", I6643="Invalid - Not Informed", I6643="Invalid - Ambiguous"), "Gap - Invalid Consent", "Compliant")))))</f>
        <v/>
      </c>
      <c r="O6643" s="7" t="n"/>
    </row>
    <row r="6644">
      <c r="A6644" s="7" t="n"/>
      <c r="B6644" s="7" t="n"/>
      <c r="C6644" s="7" t="n"/>
      <c r="D6644" s="7" t="n"/>
      <c r="E6644" s="7" t="n"/>
      <c r="F6644" s="7" t="n"/>
      <c r="G6644" s="7" t="n"/>
      <c r="H6644" s="7" t="n"/>
      <c r="I6644" s="7" t="n"/>
      <c r="J6644" s="7" t="n"/>
      <c r="K6644">
        <f>IF(D6644="Legitimate Interest (GDPR Art. 6(1)(f))", "Yes / Required (Sheet 3)", "")</f>
        <v/>
      </c>
      <c r="L6644" s="7" t="n"/>
      <c r="M6644" s="7" t="n"/>
      <c r="N6644">
        <f>IF(D6644="", "Gap - No Legal Basis", IF(AND(D6644="Consent (GDPR Art. 6(1)(a))", I6644="Not Captured"), "Gap - Invalid Consent", IF(AND(D6644="Legitimate Interest (GDPR Art. 6(1)(f))", L6644=""), "Gap - Missing LIA", IF(AND(G6644="Yes", H6644=""), "Gap - Missing Art. 9 Basis", IF(OR(I6644="Invalid - Not Freely Given", I6644="Invalid - Not Specific", I6644="Invalid - Not Informed", I6644="Invalid - Ambiguous"), "Gap - Invalid Consent", "Compliant")))))</f>
        <v/>
      </c>
      <c r="O6644" s="7" t="n"/>
    </row>
    <row r="6645">
      <c r="A6645" s="7" t="n"/>
      <c r="B6645" s="7" t="n"/>
      <c r="C6645" s="7" t="n"/>
      <c r="D6645" s="7" t="n"/>
      <c r="E6645" s="7" t="n"/>
      <c r="F6645" s="7" t="n"/>
      <c r="G6645" s="7" t="n"/>
      <c r="H6645" s="7" t="n"/>
      <c r="I6645" s="7" t="n"/>
      <c r="J6645" s="7" t="n"/>
      <c r="K6645">
        <f>IF(D6645="Legitimate Interest (GDPR Art. 6(1)(f))", "Yes / Required (Sheet 3)", "")</f>
        <v/>
      </c>
      <c r="L6645" s="7" t="n"/>
      <c r="M6645" s="7" t="n"/>
      <c r="N6645">
        <f>IF(D6645="", "Gap - No Legal Basis", IF(AND(D6645="Consent (GDPR Art. 6(1)(a))", I6645="Not Captured"), "Gap - Invalid Consent", IF(AND(D6645="Legitimate Interest (GDPR Art. 6(1)(f))", L6645=""), "Gap - Missing LIA", IF(AND(G6645="Yes", H6645=""), "Gap - Missing Art. 9 Basis", IF(OR(I6645="Invalid - Not Freely Given", I6645="Invalid - Not Specific", I6645="Invalid - Not Informed", I6645="Invalid - Ambiguous"), "Gap - Invalid Consent", "Compliant")))))</f>
        <v/>
      </c>
      <c r="O6645" s="7" t="n"/>
    </row>
    <row r="6646">
      <c r="A6646" s="7" t="n"/>
      <c r="B6646" s="7" t="n"/>
      <c r="C6646" s="7" t="n"/>
      <c r="D6646" s="7" t="n"/>
      <c r="E6646" s="7" t="n"/>
      <c r="F6646" s="7" t="n"/>
      <c r="G6646" s="7" t="n"/>
      <c r="H6646" s="7" t="n"/>
      <c r="I6646" s="7" t="n"/>
      <c r="J6646" s="7" t="n"/>
      <c r="K6646">
        <f>IF(D6646="Legitimate Interest (GDPR Art. 6(1)(f))", "Yes / Required (Sheet 3)", "")</f>
        <v/>
      </c>
      <c r="L6646" s="7" t="n"/>
      <c r="M6646" s="7" t="n"/>
      <c r="N6646">
        <f>IF(D6646="", "Gap - No Legal Basis", IF(AND(D6646="Consent (GDPR Art. 6(1)(a))", I6646="Not Captured"), "Gap - Invalid Consent", IF(AND(D6646="Legitimate Interest (GDPR Art. 6(1)(f))", L6646=""), "Gap - Missing LIA", IF(AND(G6646="Yes", H6646=""), "Gap - Missing Art. 9 Basis", IF(OR(I6646="Invalid - Not Freely Given", I6646="Invalid - Not Specific", I6646="Invalid - Not Informed", I6646="Invalid - Ambiguous"), "Gap - Invalid Consent", "Compliant")))))</f>
        <v/>
      </c>
      <c r="O6646" s="7" t="n"/>
    </row>
    <row r="6647">
      <c r="A6647" s="7" t="n"/>
      <c r="B6647" s="7" t="n"/>
      <c r="C6647" s="7" t="n"/>
      <c r="D6647" s="7" t="n"/>
      <c r="E6647" s="7" t="n"/>
      <c r="F6647" s="7" t="n"/>
      <c r="G6647" s="7" t="n"/>
      <c r="H6647" s="7" t="n"/>
      <c r="I6647" s="7" t="n"/>
      <c r="J6647" s="7" t="n"/>
      <c r="K6647">
        <f>IF(D6647="Legitimate Interest (GDPR Art. 6(1)(f))", "Yes / Required (Sheet 3)", "")</f>
        <v/>
      </c>
      <c r="L6647" s="7" t="n"/>
      <c r="M6647" s="7" t="n"/>
      <c r="N6647">
        <f>IF(D6647="", "Gap - No Legal Basis", IF(AND(D6647="Consent (GDPR Art. 6(1)(a))", I6647="Not Captured"), "Gap - Invalid Consent", IF(AND(D6647="Legitimate Interest (GDPR Art. 6(1)(f))", L6647=""), "Gap - Missing LIA", IF(AND(G6647="Yes", H6647=""), "Gap - Missing Art. 9 Basis", IF(OR(I6647="Invalid - Not Freely Given", I6647="Invalid - Not Specific", I6647="Invalid - Not Informed", I6647="Invalid - Ambiguous"), "Gap - Invalid Consent", "Compliant")))))</f>
        <v/>
      </c>
      <c r="O6647" s="7" t="n"/>
    </row>
    <row r="6648">
      <c r="A6648" s="7" t="n"/>
      <c r="B6648" s="7" t="n"/>
      <c r="C6648" s="7" t="n"/>
      <c r="D6648" s="7" t="n"/>
      <c r="E6648" s="7" t="n"/>
      <c r="F6648" s="7" t="n"/>
      <c r="G6648" s="7" t="n"/>
      <c r="H6648" s="7" t="n"/>
      <c r="I6648" s="7" t="n"/>
      <c r="J6648" s="7" t="n"/>
      <c r="K6648">
        <f>IF(D6648="Legitimate Interest (GDPR Art. 6(1)(f))", "Yes / Required (Sheet 3)", "")</f>
        <v/>
      </c>
      <c r="L6648" s="7" t="n"/>
      <c r="M6648" s="7" t="n"/>
      <c r="N6648">
        <f>IF(D6648="", "Gap - No Legal Basis", IF(AND(D6648="Consent (GDPR Art. 6(1)(a))", I6648="Not Captured"), "Gap - Invalid Consent", IF(AND(D6648="Legitimate Interest (GDPR Art. 6(1)(f))", L6648=""), "Gap - Missing LIA", IF(AND(G6648="Yes", H6648=""), "Gap - Missing Art. 9 Basis", IF(OR(I6648="Invalid - Not Freely Given", I6648="Invalid - Not Specific", I6648="Invalid - Not Informed", I6648="Invalid - Ambiguous"), "Gap - Invalid Consent", "Compliant")))))</f>
        <v/>
      </c>
      <c r="O6648" s="7" t="n"/>
    </row>
    <row r="6649">
      <c r="A6649" s="7" t="n"/>
      <c r="B6649" s="7" t="n"/>
      <c r="C6649" s="7" t="n"/>
      <c r="D6649" s="7" t="n"/>
      <c r="E6649" s="7" t="n"/>
      <c r="F6649" s="7" t="n"/>
      <c r="G6649" s="7" t="n"/>
      <c r="H6649" s="7" t="n"/>
      <c r="I6649" s="7" t="n"/>
      <c r="J6649" s="7" t="n"/>
      <c r="K6649">
        <f>IF(D6649="Legitimate Interest (GDPR Art. 6(1)(f))", "Yes / Required (Sheet 3)", "")</f>
        <v/>
      </c>
      <c r="L6649" s="7" t="n"/>
      <c r="M6649" s="7" t="n"/>
      <c r="N6649">
        <f>IF(D6649="", "Gap - No Legal Basis", IF(AND(D6649="Consent (GDPR Art. 6(1)(a))", I6649="Not Captured"), "Gap - Invalid Consent", IF(AND(D6649="Legitimate Interest (GDPR Art. 6(1)(f))", L6649=""), "Gap - Missing LIA", IF(AND(G6649="Yes", H6649=""), "Gap - Missing Art. 9 Basis", IF(OR(I6649="Invalid - Not Freely Given", I6649="Invalid - Not Specific", I6649="Invalid - Not Informed", I6649="Invalid - Ambiguous"), "Gap - Invalid Consent", "Compliant")))))</f>
        <v/>
      </c>
      <c r="O6649" s="7" t="n"/>
    </row>
    <row r="6650">
      <c r="A6650" s="7" t="n"/>
      <c r="B6650" s="7" t="n"/>
      <c r="C6650" s="7" t="n"/>
      <c r="D6650" s="7" t="n"/>
      <c r="E6650" s="7" t="n"/>
      <c r="F6650" s="7" t="n"/>
      <c r="G6650" s="7" t="n"/>
      <c r="H6650" s="7" t="n"/>
      <c r="I6650" s="7" t="n"/>
      <c r="J6650" s="7" t="n"/>
      <c r="K6650">
        <f>IF(D6650="Legitimate Interest (GDPR Art. 6(1)(f))", "Yes / Required (Sheet 3)", "")</f>
        <v/>
      </c>
      <c r="L6650" s="7" t="n"/>
      <c r="M6650" s="7" t="n"/>
      <c r="N6650">
        <f>IF(D6650="", "Gap - No Legal Basis", IF(AND(D6650="Consent (GDPR Art. 6(1)(a))", I6650="Not Captured"), "Gap - Invalid Consent", IF(AND(D6650="Legitimate Interest (GDPR Art. 6(1)(f))", L6650=""), "Gap - Missing LIA", IF(AND(G6650="Yes", H6650=""), "Gap - Missing Art. 9 Basis", IF(OR(I6650="Invalid - Not Freely Given", I6650="Invalid - Not Specific", I6650="Invalid - Not Informed", I6650="Invalid - Ambiguous"), "Gap - Invalid Consent", "Compliant")))))</f>
        <v/>
      </c>
      <c r="O6650" s="7" t="n"/>
    </row>
    <row r="6651">
      <c r="A6651" s="7" t="n"/>
      <c r="B6651" s="7" t="n"/>
      <c r="C6651" s="7" t="n"/>
      <c r="D6651" s="7" t="n"/>
      <c r="E6651" s="7" t="n"/>
      <c r="F6651" s="7" t="n"/>
      <c r="G6651" s="7" t="n"/>
      <c r="H6651" s="7" t="n"/>
      <c r="I6651" s="7" t="n"/>
      <c r="J6651" s="7" t="n"/>
      <c r="K6651">
        <f>IF(D6651="Legitimate Interest (GDPR Art. 6(1)(f))", "Yes / Required (Sheet 3)", "")</f>
        <v/>
      </c>
      <c r="L6651" s="7" t="n"/>
      <c r="M6651" s="7" t="n"/>
      <c r="N6651">
        <f>IF(D6651="", "Gap - No Legal Basis", IF(AND(D6651="Consent (GDPR Art. 6(1)(a))", I6651="Not Captured"), "Gap - Invalid Consent", IF(AND(D6651="Legitimate Interest (GDPR Art. 6(1)(f))", L6651=""), "Gap - Missing LIA", IF(AND(G6651="Yes", H6651=""), "Gap - Missing Art. 9 Basis", IF(OR(I6651="Invalid - Not Freely Given", I6651="Invalid - Not Specific", I6651="Invalid - Not Informed", I6651="Invalid - Ambiguous"), "Gap - Invalid Consent", "Compliant")))))</f>
        <v/>
      </c>
      <c r="O6651" s="7" t="n"/>
    </row>
    <row r="6652">
      <c r="A6652" s="7" t="n"/>
      <c r="B6652" s="7" t="n"/>
      <c r="C6652" s="7" t="n"/>
      <c r="D6652" s="7" t="n"/>
      <c r="E6652" s="7" t="n"/>
      <c r="F6652" s="7" t="n"/>
      <c r="G6652" s="7" t="n"/>
      <c r="H6652" s="7" t="n"/>
      <c r="I6652" s="7" t="n"/>
      <c r="J6652" s="7" t="n"/>
      <c r="K6652">
        <f>IF(D6652="Legitimate Interest (GDPR Art. 6(1)(f))", "Yes / Required (Sheet 3)", "")</f>
        <v/>
      </c>
      <c r="L6652" s="7" t="n"/>
      <c r="M6652" s="7" t="n"/>
      <c r="N6652">
        <f>IF(D6652="", "Gap - No Legal Basis", IF(AND(D6652="Consent (GDPR Art. 6(1)(a))", I6652="Not Captured"), "Gap - Invalid Consent", IF(AND(D6652="Legitimate Interest (GDPR Art. 6(1)(f))", L6652=""), "Gap - Missing LIA", IF(AND(G6652="Yes", H6652=""), "Gap - Missing Art. 9 Basis", IF(OR(I6652="Invalid - Not Freely Given", I6652="Invalid - Not Specific", I6652="Invalid - Not Informed", I6652="Invalid - Ambiguous"), "Gap - Invalid Consent", "Compliant")))))</f>
        <v/>
      </c>
      <c r="O6652" s="7" t="n"/>
    </row>
    <row r="6653">
      <c r="A6653" s="7" t="n"/>
      <c r="B6653" s="7" t="n"/>
      <c r="C6653" s="7" t="n"/>
      <c r="D6653" s="7" t="n"/>
      <c r="E6653" s="7" t="n"/>
      <c r="F6653" s="7" t="n"/>
      <c r="G6653" s="7" t="n"/>
      <c r="H6653" s="7" t="n"/>
      <c r="I6653" s="7" t="n"/>
      <c r="J6653" s="7" t="n"/>
      <c r="K6653">
        <f>IF(D6653="Legitimate Interest (GDPR Art. 6(1)(f))", "Yes / Required (Sheet 3)", "")</f>
        <v/>
      </c>
      <c r="L6653" s="7" t="n"/>
      <c r="M6653" s="7" t="n"/>
      <c r="N6653">
        <f>IF(D6653="", "Gap - No Legal Basis", IF(AND(D6653="Consent (GDPR Art. 6(1)(a))", I6653="Not Captured"), "Gap - Invalid Consent", IF(AND(D6653="Legitimate Interest (GDPR Art. 6(1)(f))", L6653=""), "Gap - Missing LIA", IF(AND(G6653="Yes", H6653=""), "Gap - Missing Art. 9 Basis", IF(OR(I6653="Invalid - Not Freely Given", I6653="Invalid - Not Specific", I6653="Invalid - Not Informed", I6653="Invalid - Ambiguous"), "Gap - Invalid Consent", "Compliant")))))</f>
        <v/>
      </c>
      <c r="O6653" s="7" t="n"/>
    </row>
    <row r="6654">
      <c r="A6654" s="7" t="n"/>
      <c r="B6654" s="7" t="n"/>
      <c r="C6654" s="7" t="n"/>
      <c r="D6654" s="7" t="n"/>
      <c r="E6654" s="7" t="n"/>
      <c r="F6654" s="7" t="n"/>
      <c r="G6654" s="7" t="n"/>
      <c r="H6654" s="7" t="n"/>
      <c r="I6654" s="7" t="n"/>
      <c r="J6654" s="7" t="n"/>
      <c r="K6654">
        <f>IF(D6654="Legitimate Interest (GDPR Art. 6(1)(f))", "Yes / Required (Sheet 3)", "")</f>
        <v/>
      </c>
      <c r="L6654" s="7" t="n"/>
      <c r="M6654" s="7" t="n"/>
      <c r="N6654">
        <f>IF(D6654="", "Gap - No Legal Basis", IF(AND(D6654="Consent (GDPR Art. 6(1)(a))", I6654="Not Captured"), "Gap - Invalid Consent", IF(AND(D6654="Legitimate Interest (GDPR Art. 6(1)(f))", L6654=""), "Gap - Missing LIA", IF(AND(G6654="Yes", H6654=""), "Gap - Missing Art. 9 Basis", IF(OR(I6654="Invalid - Not Freely Given", I6654="Invalid - Not Specific", I6654="Invalid - Not Informed", I6654="Invalid - Ambiguous"), "Gap - Invalid Consent", "Compliant")))))</f>
        <v/>
      </c>
      <c r="O6654" s="7" t="n"/>
    </row>
    <row r="6655">
      <c r="A6655" s="7" t="n"/>
      <c r="B6655" s="7" t="n"/>
      <c r="C6655" s="7" t="n"/>
      <c r="D6655" s="7" t="n"/>
      <c r="E6655" s="7" t="n"/>
      <c r="F6655" s="7" t="n"/>
      <c r="G6655" s="7" t="n"/>
      <c r="H6655" s="7" t="n"/>
      <c r="I6655" s="7" t="n"/>
      <c r="J6655" s="7" t="n"/>
      <c r="K6655">
        <f>IF(D6655="Legitimate Interest (GDPR Art. 6(1)(f))", "Yes / Required (Sheet 3)", "")</f>
        <v/>
      </c>
      <c r="L6655" s="7" t="n"/>
      <c r="M6655" s="7" t="n"/>
      <c r="N6655">
        <f>IF(D6655="", "Gap - No Legal Basis", IF(AND(D6655="Consent (GDPR Art. 6(1)(a))", I6655="Not Captured"), "Gap - Invalid Consent", IF(AND(D6655="Legitimate Interest (GDPR Art. 6(1)(f))", L6655=""), "Gap - Missing LIA", IF(AND(G6655="Yes", H6655=""), "Gap - Missing Art. 9 Basis", IF(OR(I6655="Invalid - Not Freely Given", I6655="Invalid - Not Specific", I6655="Invalid - Not Informed", I6655="Invalid - Ambiguous"), "Gap - Invalid Consent", "Compliant")))))</f>
        <v/>
      </c>
      <c r="O6655" s="7" t="n"/>
    </row>
    <row r="6656">
      <c r="A6656" s="7" t="n"/>
      <c r="B6656" s="7" t="n"/>
      <c r="C6656" s="7" t="n"/>
      <c r="D6656" s="7" t="n"/>
      <c r="E6656" s="7" t="n"/>
      <c r="F6656" s="7" t="n"/>
      <c r="G6656" s="7" t="n"/>
      <c r="H6656" s="7" t="n"/>
      <c r="I6656" s="7" t="n"/>
      <c r="J6656" s="7" t="n"/>
      <c r="K6656">
        <f>IF(D6656="Legitimate Interest (GDPR Art. 6(1)(f))", "Yes / Required (Sheet 3)", "")</f>
        <v/>
      </c>
      <c r="L6656" s="7" t="n"/>
      <c r="M6656" s="7" t="n"/>
      <c r="N6656">
        <f>IF(D6656="", "Gap - No Legal Basis", IF(AND(D6656="Consent (GDPR Art. 6(1)(a))", I6656="Not Captured"), "Gap - Invalid Consent", IF(AND(D6656="Legitimate Interest (GDPR Art. 6(1)(f))", L6656=""), "Gap - Missing LIA", IF(AND(G6656="Yes", H6656=""), "Gap - Missing Art. 9 Basis", IF(OR(I6656="Invalid - Not Freely Given", I6656="Invalid - Not Specific", I6656="Invalid - Not Informed", I6656="Invalid - Ambiguous"), "Gap - Invalid Consent", "Compliant")))))</f>
        <v/>
      </c>
      <c r="O6656" s="7" t="n"/>
    </row>
    <row r="6657">
      <c r="A6657" s="7" t="n"/>
      <c r="B6657" s="7" t="n"/>
      <c r="C6657" s="7" t="n"/>
      <c r="D6657" s="7" t="n"/>
      <c r="E6657" s="7" t="n"/>
      <c r="F6657" s="7" t="n"/>
      <c r="G6657" s="7" t="n"/>
      <c r="H6657" s="7" t="n"/>
      <c r="I6657" s="7" t="n"/>
      <c r="J6657" s="7" t="n"/>
      <c r="K6657">
        <f>IF(D6657="Legitimate Interest (GDPR Art. 6(1)(f))", "Yes / Required (Sheet 3)", "")</f>
        <v/>
      </c>
      <c r="L6657" s="7" t="n"/>
      <c r="M6657" s="7" t="n"/>
      <c r="N6657">
        <f>IF(D6657="", "Gap - No Legal Basis", IF(AND(D6657="Consent (GDPR Art. 6(1)(a))", I6657="Not Captured"), "Gap - Invalid Consent", IF(AND(D6657="Legitimate Interest (GDPR Art. 6(1)(f))", L6657=""), "Gap - Missing LIA", IF(AND(G6657="Yes", H6657=""), "Gap - Missing Art. 9 Basis", IF(OR(I6657="Invalid - Not Freely Given", I6657="Invalid - Not Specific", I6657="Invalid - Not Informed", I6657="Invalid - Ambiguous"), "Gap - Invalid Consent", "Compliant")))))</f>
        <v/>
      </c>
      <c r="O6657" s="7" t="n"/>
    </row>
    <row r="6658">
      <c r="A6658" s="7" t="n"/>
      <c r="B6658" s="7" t="n"/>
      <c r="C6658" s="7" t="n"/>
      <c r="D6658" s="7" t="n"/>
      <c r="E6658" s="7" t="n"/>
      <c r="F6658" s="7" t="n"/>
      <c r="G6658" s="7" t="n"/>
      <c r="H6658" s="7" t="n"/>
      <c r="I6658" s="7" t="n"/>
      <c r="J6658" s="7" t="n"/>
      <c r="K6658">
        <f>IF(D6658="Legitimate Interest (GDPR Art. 6(1)(f))", "Yes / Required (Sheet 3)", "")</f>
        <v/>
      </c>
      <c r="L6658" s="7" t="n"/>
      <c r="M6658" s="7" t="n"/>
      <c r="N6658">
        <f>IF(D6658="", "Gap - No Legal Basis", IF(AND(D6658="Consent (GDPR Art. 6(1)(a))", I6658="Not Captured"), "Gap - Invalid Consent", IF(AND(D6658="Legitimate Interest (GDPR Art. 6(1)(f))", L6658=""), "Gap - Missing LIA", IF(AND(G6658="Yes", H6658=""), "Gap - Missing Art. 9 Basis", IF(OR(I6658="Invalid - Not Freely Given", I6658="Invalid - Not Specific", I6658="Invalid - Not Informed", I6658="Invalid - Ambiguous"), "Gap - Invalid Consent", "Compliant")))))</f>
        <v/>
      </c>
      <c r="O6658" s="7" t="n"/>
    </row>
    <row r="6659">
      <c r="A6659" s="7" t="n"/>
      <c r="B6659" s="7" t="n"/>
      <c r="C6659" s="7" t="n"/>
      <c r="D6659" s="7" t="n"/>
      <c r="E6659" s="7" t="n"/>
      <c r="F6659" s="7" t="n"/>
      <c r="G6659" s="7" t="n"/>
      <c r="H6659" s="7" t="n"/>
      <c r="I6659" s="7" t="n"/>
      <c r="J6659" s="7" t="n"/>
      <c r="K6659">
        <f>IF(D6659="Legitimate Interest (GDPR Art. 6(1)(f))", "Yes / Required (Sheet 3)", "")</f>
        <v/>
      </c>
      <c r="L6659" s="7" t="n"/>
      <c r="M6659" s="7" t="n"/>
      <c r="N6659">
        <f>IF(D6659="", "Gap - No Legal Basis", IF(AND(D6659="Consent (GDPR Art. 6(1)(a))", I6659="Not Captured"), "Gap - Invalid Consent", IF(AND(D6659="Legitimate Interest (GDPR Art. 6(1)(f))", L6659=""), "Gap - Missing LIA", IF(AND(G6659="Yes", H6659=""), "Gap - Missing Art. 9 Basis", IF(OR(I6659="Invalid - Not Freely Given", I6659="Invalid - Not Specific", I6659="Invalid - Not Informed", I6659="Invalid - Ambiguous"), "Gap - Invalid Consent", "Compliant")))))</f>
        <v/>
      </c>
      <c r="O6659" s="7" t="n"/>
    </row>
    <row r="6660">
      <c r="A6660" s="7" t="n"/>
      <c r="B6660" s="7" t="n"/>
      <c r="C6660" s="7" t="n"/>
      <c r="D6660" s="7" t="n"/>
      <c r="E6660" s="7" t="n"/>
      <c r="F6660" s="7" t="n"/>
      <c r="G6660" s="7" t="n"/>
      <c r="H6660" s="7" t="n"/>
      <c r="I6660" s="7" t="n"/>
      <c r="J6660" s="7" t="n"/>
      <c r="K6660">
        <f>IF(D6660="Legitimate Interest (GDPR Art. 6(1)(f))", "Yes / Required (Sheet 3)", "")</f>
        <v/>
      </c>
      <c r="L6660" s="7" t="n"/>
      <c r="M6660" s="7" t="n"/>
      <c r="N6660">
        <f>IF(D6660="", "Gap - No Legal Basis", IF(AND(D6660="Consent (GDPR Art. 6(1)(a))", I6660="Not Captured"), "Gap - Invalid Consent", IF(AND(D6660="Legitimate Interest (GDPR Art. 6(1)(f))", L6660=""), "Gap - Missing LIA", IF(AND(G6660="Yes", H6660=""), "Gap - Missing Art. 9 Basis", IF(OR(I6660="Invalid - Not Freely Given", I6660="Invalid - Not Specific", I6660="Invalid - Not Informed", I6660="Invalid - Ambiguous"), "Gap - Invalid Consent", "Compliant")))))</f>
        <v/>
      </c>
      <c r="O6660" s="7" t="n"/>
    </row>
    <row r="6661">
      <c r="A6661" s="7" t="n"/>
      <c r="B6661" s="7" t="n"/>
      <c r="C6661" s="7" t="n"/>
      <c r="D6661" s="7" t="n"/>
      <c r="E6661" s="7" t="n"/>
      <c r="F6661" s="7" t="n"/>
      <c r="G6661" s="7" t="n"/>
      <c r="H6661" s="7" t="n"/>
      <c r="I6661" s="7" t="n"/>
      <c r="J6661" s="7" t="n"/>
      <c r="K6661">
        <f>IF(D6661="Legitimate Interest (GDPR Art. 6(1)(f))", "Yes / Required (Sheet 3)", "")</f>
        <v/>
      </c>
      <c r="L6661" s="7" t="n"/>
      <c r="M6661" s="7" t="n"/>
      <c r="N6661">
        <f>IF(D6661="", "Gap - No Legal Basis", IF(AND(D6661="Consent (GDPR Art. 6(1)(a))", I6661="Not Captured"), "Gap - Invalid Consent", IF(AND(D6661="Legitimate Interest (GDPR Art. 6(1)(f))", L6661=""), "Gap - Missing LIA", IF(AND(G6661="Yes", H6661=""), "Gap - Missing Art. 9 Basis", IF(OR(I6661="Invalid - Not Freely Given", I6661="Invalid - Not Specific", I6661="Invalid - Not Informed", I6661="Invalid - Ambiguous"), "Gap - Invalid Consent", "Compliant")))))</f>
        <v/>
      </c>
      <c r="O6661" s="7" t="n"/>
    </row>
    <row r="6662">
      <c r="A6662" s="7" t="n"/>
      <c r="B6662" s="7" t="n"/>
      <c r="C6662" s="7" t="n"/>
      <c r="D6662" s="7" t="n"/>
      <c r="E6662" s="7" t="n"/>
      <c r="F6662" s="7" t="n"/>
      <c r="G6662" s="7" t="n"/>
      <c r="H6662" s="7" t="n"/>
      <c r="I6662" s="7" t="n"/>
      <c r="J6662" s="7" t="n"/>
      <c r="K6662">
        <f>IF(D6662="Legitimate Interest (GDPR Art. 6(1)(f))", "Yes / Required (Sheet 3)", "")</f>
        <v/>
      </c>
      <c r="L6662" s="7" t="n"/>
      <c r="M6662" s="7" t="n"/>
      <c r="N6662">
        <f>IF(D6662="", "Gap - No Legal Basis", IF(AND(D6662="Consent (GDPR Art. 6(1)(a))", I6662="Not Captured"), "Gap - Invalid Consent", IF(AND(D6662="Legitimate Interest (GDPR Art. 6(1)(f))", L6662=""), "Gap - Missing LIA", IF(AND(G6662="Yes", H6662=""), "Gap - Missing Art. 9 Basis", IF(OR(I6662="Invalid - Not Freely Given", I6662="Invalid - Not Specific", I6662="Invalid - Not Informed", I6662="Invalid - Ambiguous"), "Gap - Invalid Consent", "Compliant")))))</f>
        <v/>
      </c>
      <c r="O6662" s="7" t="n"/>
    </row>
    <row r="6663">
      <c r="A6663" s="7" t="n"/>
      <c r="B6663" s="7" t="n"/>
      <c r="C6663" s="7" t="n"/>
      <c r="D6663" s="7" t="n"/>
      <c r="E6663" s="7" t="n"/>
      <c r="F6663" s="7" t="n"/>
      <c r="G6663" s="7" t="n"/>
      <c r="H6663" s="7" t="n"/>
      <c r="I6663" s="7" t="n"/>
      <c r="J6663" s="7" t="n"/>
      <c r="K6663">
        <f>IF(D6663="Legitimate Interest (GDPR Art. 6(1)(f))", "Yes / Required (Sheet 3)", "")</f>
        <v/>
      </c>
      <c r="L6663" s="7" t="n"/>
      <c r="M6663" s="7" t="n"/>
      <c r="N6663">
        <f>IF(D6663="", "Gap - No Legal Basis", IF(AND(D6663="Consent (GDPR Art. 6(1)(a))", I6663="Not Captured"), "Gap - Invalid Consent", IF(AND(D6663="Legitimate Interest (GDPR Art. 6(1)(f))", L6663=""), "Gap - Missing LIA", IF(AND(G6663="Yes", H6663=""), "Gap - Missing Art. 9 Basis", IF(OR(I6663="Invalid - Not Freely Given", I6663="Invalid - Not Specific", I6663="Invalid - Not Informed", I6663="Invalid - Ambiguous"), "Gap - Invalid Consent", "Compliant")))))</f>
        <v/>
      </c>
      <c r="O6663" s="7" t="n"/>
    </row>
    <row r="6664">
      <c r="A6664" s="7" t="n"/>
      <c r="B6664" s="7" t="n"/>
      <c r="C6664" s="7" t="n"/>
      <c r="D6664" s="7" t="n"/>
      <c r="E6664" s="7" t="n"/>
      <c r="F6664" s="7" t="n"/>
      <c r="G6664" s="7" t="n"/>
      <c r="H6664" s="7" t="n"/>
      <c r="I6664" s="7" t="n"/>
      <c r="J6664" s="7" t="n"/>
      <c r="K6664">
        <f>IF(D6664="Legitimate Interest (GDPR Art. 6(1)(f))", "Yes / Required (Sheet 3)", "")</f>
        <v/>
      </c>
      <c r="L6664" s="7" t="n"/>
      <c r="M6664" s="7" t="n"/>
      <c r="N6664">
        <f>IF(D6664="", "Gap - No Legal Basis", IF(AND(D6664="Consent (GDPR Art. 6(1)(a))", I6664="Not Captured"), "Gap - Invalid Consent", IF(AND(D6664="Legitimate Interest (GDPR Art. 6(1)(f))", L6664=""), "Gap - Missing LIA", IF(AND(G6664="Yes", H6664=""), "Gap - Missing Art. 9 Basis", IF(OR(I6664="Invalid - Not Freely Given", I6664="Invalid - Not Specific", I6664="Invalid - Not Informed", I6664="Invalid - Ambiguous"), "Gap - Invalid Consent", "Compliant")))))</f>
        <v/>
      </c>
      <c r="O6664" s="7" t="n"/>
    </row>
    <row r="6665">
      <c r="A6665" s="7" t="n"/>
      <c r="B6665" s="7" t="n"/>
      <c r="C6665" s="7" t="n"/>
      <c r="D6665" s="7" t="n"/>
      <c r="E6665" s="7" t="n"/>
      <c r="F6665" s="7" t="n"/>
      <c r="G6665" s="7" t="n"/>
      <c r="H6665" s="7" t="n"/>
      <c r="I6665" s="7" t="n"/>
      <c r="J6665" s="7" t="n"/>
      <c r="K6665">
        <f>IF(D6665="Legitimate Interest (GDPR Art. 6(1)(f))", "Yes / Required (Sheet 3)", "")</f>
        <v/>
      </c>
      <c r="L6665" s="7" t="n"/>
      <c r="M6665" s="7" t="n"/>
      <c r="N6665">
        <f>IF(D6665="", "Gap - No Legal Basis", IF(AND(D6665="Consent (GDPR Art. 6(1)(a))", I6665="Not Captured"), "Gap - Invalid Consent", IF(AND(D6665="Legitimate Interest (GDPR Art. 6(1)(f))", L6665=""), "Gap - Missing LIA", IF(AND(G6665="Yes", H6665=""), "Gap - Missing Art. 9 Basis", IF(OR(I6665="Invalid - Not Freely Given", I6665="Invalid - Not Specific", I6665="Invalid - Not Informed", I6665="Invalid - Ambiguous"), "Gap - Invalid Consent", "Compliant")))))</f>
        <v/>
      </c>
      <c r="O6665" s="7" t="n"/>
    </row>
    <row r="6666">
      <c r="A6666" s="7" t="n"/>
      <c r="B6666" s="7" t="n"/>
      <c r="C6666" s="7" t="n"/>
      <c r="D6666" s="7" t="n"/>
      <c r="E6666" s="7" t="n"/>
      <c r="F6666" s="7" t="n"/>
      <c r="G6666" s="7" t="n"/>
      <c r="H6666" s="7" t="n"/>
      <c r="I6666" s="7" t="n"/>
      <c r="J6666" s="7" t="n"/>
      <c r="K6666">
        <f>IF(D6666="Legitimate Interest (GDPR Art. 6(1)(f))", "Yes / Required (Sheet 3)", "")</f>
        <v/>
      </c>
      <c r="L6666" s="7" t="n"/>
      <c r="M6666" s="7" t="n"/>
      <c r="N6666">
        <f>IF(D6666="", "Gap - No Legal Basis", IF(AND(D6666="Consent (GDPR Art. 6(1)(a))", I6666="Not Captured"), "Gap - Invalid Consent", IF(AND(D6666="Legitimate Interest (GDPR Art. 6(1)(f))", L6666=""), "Gap - Missing LIA", IF(AND(G6666="Yes", H6666=""), "Gap - Missing Art. 9 Basis", IF(OR(I6666="Invalid - Not Freely Given", I6666="Invalid - Not Specific", I6666="Invalid - Not Informed", I6666="Invalid - Ambiguous"), "Gap - Invalid Consent", "Compliant")))))</f>
        <v/>
      </c>
      <c r="O6666" s="7" t="n"/>
    </row>
    <row r="6667">
      <c r="A6667" s="7" t="n"/>
      <c r="B6667" s="7" t="n"/>
      <c r="C6667" s="7" t="n"/>
      <c r="D6667" s="7" t="n"/>
      <c r="E6667" s="7" t="n"/>
      <c r="F6667" s="7" t="n"/>
      <c r="G6667" s="7" t="n"/>
      <c r="H6667" s="7" t="n"/>
      <c r="I6667" s="7" t="n"/>
      <c r="J6667" s="7" t="n"/>
      <c r="K6667">
        <f>IF(D6667="Legitimate Interest (GDPR Art. 6(1)(f))", "Yes / Required (Sheet 3)", "")</f>
        <v/>
      </c>
      <c r="L6667" s="7" t="n"/>
      <c r="M6667" s="7" t="n"/>
      <c r="N6667">
        <f>IF(D6667="", "Gap - No Legal Basis", IF(AND(D6667="Consent (GDPR Art. 6(1)(a))", I6667="Not Captured"), "Gap - Invalid Consent", IF(AND(D6667="Legitimate Interest (GDPR Art. 6(1)(f))", L6667=""), "Gap - Missing LIA", IF(AND(G6667="Yes", H6667=""), "Gap - Missing Art. 9 Basis", IF(OR(I6667="Invalid - Not Freely Given", I6667="Invalid - Not Specific", I6667="Invalid - Not Informed", I6667="Invalid - Ambiguous"), "Gap - Invalid Consent", "Compliant")))))</f>
        <v/>
      </c>
      <c r="O6667" s="7" t="n"/>
    </row>
    <row r="6668">
      <c r="A6668" s="7" t="n"/>
      <c r="B6668" s="7" t="n"/>
      <c r="C6668" s="7" t="n"/>
      <c r="D6668" s="7" t="n"/>
      <c r="E6668" s="7" t="n"/>
      <c r="F6668" s="7" t="n"/>
      <c r="G6668" s="7" t="n"/>
      <c r="H6668" s="7" t="n"/>
      <c r="I6668" s="7" t="n"/>
      <c r="J6668" s="7" t="n"/>
      <c r="K6668">
        <f>IF(D6668="Legitimate Interest (GDPR Art. 6(1)(f))", "Yes / Required (Sheet 3)", "")</f>
        <v/>
      </c>
      <c r="L6668" s="7" t="n"/>
      <c r="M6668" s="7" t="n"/>
      <c r="N6668">
        <f>IF(D6668="", "Gap - No Legal Basis", IF(AND(D6668="Consent (GDPR Art. 6(1)(a))", I6668="Not Captured"), "Gap - Invalid Consent", IF(AND(D6668="Legitimate Interest (GDPR Art. 6(1)(f))", L6668=""), "Gap - Missing LIA", IF(AND(G6668="Yes", H6668=""), "Gap - Missing Art. 9 Basis", IF(OR(I6668="Invalid - Not Freely Given", I6668="Invalid - Not Specific", I6668="Invalid - Not Informed", I6668="Invalid - Ambiguous"), "Gap - Invalid Consent", "Compliant")))))</f>
        <v/>
      </c>
      <c r="O6668" s="7" t="n"/>
    </row>
    <row r="6669">
      <c r="A6669" s="7" t="n"/>
      <c r="B6669" s="7" t="n"/>
      <c r="C6669" s="7" t="n"/>
      <c r="D6669" s="7" t="n"/>
      <c r="E6669" s="7" t="n"/>
      <c r="F6669" s="7" t="n"/>
      <c r="G6669" s="7" t="n"/>
      <c r="H6669" s="7" t="n"/>
      <c r="I6669" s="7" t="n"/>
      <c r="J6669" s="7" t="n"/>
      <c r="K6669">
        <f>IF(D6669="Legitimate Interest (GDPR Art. 6(1)(f))", "Yes / Required (Sheet 3)", "")</f>
        <v/>
      </c>
      <c r="L6669" s="7" t="n"/>
      <c r="M6669" s="7" t="n"/>
      <c r="N6669">
        <f>IF(D6669="", "Gap - No Legal Basis", IF(AND(D6669="Consent (GDPR Art. 6(1)(a))", I6669="Not Captured"), "Gap - Invalid Consent", IF(AND(D6669="Legitimate Interest (GDPR Art. 6(1)(f))", L6669=""), "Gap - Missing LIA", IF(AND(G6669="Yes", H6669=""), "Gap - Missing Art. 9 Basis", IF(OR(I6669="Invalid - Not Freely Given", I6669="Invalid - Not Specific", I6669="Invalid - Not Informed", I6669="Invalid - Ambiguous"), "Gap - Invalid Consent", "Compliant")))))</f>
        <v/>
      </c>
      <c r="O6669" s="7" t="n"/>
    </row>
    <row r="6670">
      <c r="A6670" s="7" t="n"/>
      <c r="B6670" s="7" t="n"/>
      <c r="C6670" s="7" t="n"/>
      <c r="D6670" s="7" t="n"/>
      <c r="E6670" s="7" t="n"/>
      <c r="F6670" s="7" t="n"/>
      <c r="G6670" s="7" t="n"/>
      <c r="H6670" s="7" t="n"/>
      <c r="I6670" s="7" t="n"/>
      <c r="J6670" s="7" t="n"/>
      <c r="K6670">
        <f>IF(D6670="Legitimate Interest (GDPR Art. 6(1)(f))", "Yes / Required (Sheet 3)", "")</f>
        <v/>
      </c>
      <c r="L6670" s="7" t="n"/>
      <c r="M6670" s="7" t="n"/>
      <c r="N6670">
        <f>IF(D6670="", "Gap - No Legal Basis", IF(AND(D6670="Consent (GDPR Art. 6(1)(a))", I6670="Not Captured"), "Gap - Invalid Consent", IF(AND(D6670="Legitimate Interest (GDPR Art. 6(1)(f))", L6670=""), "Gap - Missing LIA", IF(AND(G6670="Yes", H6670=""), "Gap - Missing Art. 9 Basis", IF(OR(I6670="Invalid - Not Freely Given", I6670="Invalid - Not Specific", I6670="Invalid - Not Informed", I6670="Invalid - Ambiguous"), "Gap - Invalid Consent", "Compliant")))))</f>
        <v/>
      </c>
      <c r="O6670" s="7" t="n"/>
    </row>
    <row r="6671">
      <c r="A6671" s="7" t="n"/>
      <c r="B6671" s="7" t="n"/>
      <c r="C6671" s="7" t="n"/>
      <c r="D6671" s="7" t="n"/>
      <c r="E6671" s="7" t="n"/>
      <c r="F6671" s="7" t="n"/>
      <c r="G6671" s="7" t="n"/>
      <c r="H6671" s="7" t="n"/>
      <c r="I6671" s="7" t="n"/>
      <c r="J6671" s="7" t="n"/>
      <c r="K6671">
        <f>IF(D6671="Legitimate Interest (GDPR Art. 6(1)(f))", "Yes / Required (Sheet 3)", "")</f>
        <v/>
      </c>
      <c r="L6671" s="7" t="n"/>
      <c r="M6671" s="7" t="n"/>
      <c r="N6671">
        <f>IF(D6671="", "Gap - No Legal Basis", IF(AND(D6671="Consent (GDPR Art. 6(1)(a))", I6671="Not Captured"), "Gap - Invalid Consent", IF(AND(D6671="Legitimate Interest (GDPR Art. 6(1)(f))", L6671=""), "Gap - Missing LIA", IF(AND(G6671="Yes", H6671=""), "Gap - Missing Art. 9 Basis", IF(OR(I6671="Invalid - Not Freely Given", I6671="Invalid - Not Specific", I6671="Invalid - Not Informed", I6671="Invalid - Ambiguous"), "Gap - Invalid Consent", "Compliant")))))</f>
        <v/>
      </c>
      <c r="O6671" s="7" t="n"/>
    </row>
    <row r="6672">
      <c r="A6672" s="7" t="n"/>
      <c r="B6672" s="7" t="n"/>
      <c r="C6672" s="7" t="n"/>
      <c r="D6672" s="7" t="n"/>
      <c r="E6672" s="7" t="n"/>
      <c r="F6672" s="7" t="n"/>
      <c r="G6672" s="7" t="n"/>
      <c r="H6672" s="7" t="n"/>
      <c r="I6672" s="7" t="n"/>
      <c r="J6672" s="7" t="n"/>
      <c r="K6672">
        <f>IF(D6672="Legitimate Interest (GDPR Art. 6(1)(f))", "Yes / Required (Sheet 3)", "")</f>
        <v/>
      </c>
      <c r="L6672" s="7" t="n"/>
      <c r="M6672" s="7" t="n"/>
      <c r="N6672">
        <f>IF(D6672="", "Gap - No Legal Basis", IF(AND(D6672="Consent (GDPR Art. 6(1)(a))", I6672="Not Captured"), "Gap - Invalid Consent", IF(AND(D6672="Legitimate Interest (GDPR Art. 6(1)(f))", L6672=""), "Gap - Missing LIA", IF(AND(G6672="Yes", H6672=""), "Gap - Missing Art. 9 Basis", IF(OR(I6672="Invalid - Not Freely Given", I6672="Invalid - Not Specific", I6672="Invalid - Not Informed", I6672="Invalid - Ambiguous"), "Gap - Invalid Consent", "Compliant")))))</f>
        <v/>
      </c>
      <c r="O6672" s="7" t="n"/>
    </row>
    <row r="6673">
      <c r="A6673" s="7" t="n"/>
      <c r="B6673" s="7" t="n"/>
      <c r="C6673" s="7" t="n"/>
      <c r="D6673" s="7" t="n"/>
      <c r="E6673" s="7" t="n"/>
      <c r="F6673" s="7" t="n"/>
      <c r="G6673" s="7" t="n"/>
      <c r="H6673" s="7" t="n"/>
      <c r="I6673" s="7" t="n"/>
      <c r="J6673" s="7" t="n"/>
      <c r="K6673">
        <f>IF(D6673="Legitimate Interest (GDPR Art. 6(1)(f))", "Yes / Required (Sheet 3)", "")</f>
        <v/>
      </c>
      <c r="L6673" s="7" t="n"/>
      <c r="M6673" s="7" t="n"/>
      <c r="N6673">
        <f>IF(D6673="", "Gap - No Legal Basis", IF(AND(D6673="Consent (GDPR Art. 6(1)(a))", I6673="Not Captured"), "Gap - Invalid Consent", IF(AND(D6673="Legitimate Interest (GDPR Art. 6(1)(f))", L6673=""), "Gap - Missing LIA", IF(AND(G6673="Yes", H6673=""), "Gap - Missing Art. 9 Basis", IF(OR(I6673="Invalid - Not Freely Given", I6673="Invalid - Not Specific", I6673="Invalid - Not Informed", I6673="Invalid - Ambiguous"), "Gap - Invalid Consent", "Compliant")))))</f>
        <v/>
      </c>
      <c r="O6673" s="7" t="n"/>
    </row>
    <row r="6674">
      <c r="A6674" s="7" t="n"/>
      <c r="B6674" s="7" t="n"/>
      <c r="C6674" s="7" t="n"/>
      <c r="D6674" s="7" t="n"/>
      <c r="E6674" s="7" t="n"/>
      <c r="F6674" s="7" t="n"/>
      <c r="G6674" s="7" t="n"/>
      <c r="H6674" s="7" t="n"/>
      <c r="I6674" s="7" t="n"/>
      <c r="J6674" s="7" t="n"/>
      <c r="K6674">
        <f>IF(D6674="Legitimate Interest (GDPR Art. 6(1)(f))", "Yes / Required (Sheet 3)", "")</f>
        <v/>
      </c>
      <c r="L6674" s="7" t="n"/>
      <c r="M6674" s="7" t="n"/>
      <c r="N6674">
        <f>IF(D6674="", "Gap - No Legal Basis", IF(AND(D6674="Consent (GDPR Art. 6(1)(a))", I6674="Not Captured"), "Gap - Invalid Consent", IF(AND(D6674="Legitimate Interest (GDPR Art. 6(1)(f))", L6674=""), "Gap - Missing LIA", IF(AND(G6674="Yes", H6674=""), "Gap - Missing Art. 9 Basis", IF(OR(I6674="Invalid - Not Freely Given", I6674="Invalid - Not Specific", I6674="Invalid - Not Informed", I6674="Invalid - Ambiguous"), "Gap - Invalid Consent", "Compliant")))))</f>
        <v/>
      </c>
      <c r="O6674" s="7" t="n"/>
    </row>
    <row r="6675">
      <c r="A6675" s="7" t="n"/>
      <c r="B6675" s="7" t="n"/>
      <c r="C6675" s="7" t="n"/>
      <c r="D6675" s="7" t="n"/>
      <c r="E6675" s="7" t="n"/>
      <c r="F6675" s="7" t="n"/>
      <c r="G6675" s="7" t="n"/>
      <c r="H6675" s="7" t="n"/>
      <c r="I6675" s="7" t="n"/>
      <c r="J6675" s="7" t="n"/>
      <c r="K6675">
        <f>IF(D6675="Legitimate Interest (GDPR Art. 6(1)(f))", "Yes / Required (Sheet 3)", "")</f>
        <v/>
      </c>
      <c r="L6675" s="7" t="n"/>
      <c r="M6675" s="7" t="n"/>
      <c r="N6675">
        <f>IF(D6675="", "Gap - No Legal Basis", IF(AND(D6675="Consent (GDPR Art. 6(1)(a))", I6675="Not Captured"), "Gap - Invalid Consent", IF(AND(D6675="Legitimate Interest (GDPR Art. 6(1)(f))", L6675=""), "Gap - Missing LIA", IF(AND(G6675="Yes", H6675=""), "Gap - Missing Art. 9 Basis", IF(OR(I6675="Invalid - Not Freely Given", I6675="Invalid - Not Specific", I6675="Invalid - Not Informed", I6675="Invalid - Ambiguous"), "Gap - Invalid Consent", "Compliant")))))</f>
        <v/>
      </c>
      <c r="O6675" s="7" t="n"/>
    </row>
    <row r="6676">
      <c r="A6676" s="7" t="n"/>
      <c r="B6676" s="7" t="n"/>
      <c r="C6676" s="7" t="n"/>
      <c r="D6676" s="7" t="n"/>
      <c r="E6676" s="7" t="n"/>
      <c r="F6676" s="7" t="n"/>
      <c r="G6676" s="7" t="n"/>
      <c r="H6676" s="7" t="n"/>
      <c r="I6676" s="7" t="n"/>
      <c r="J6676" s="7" t="n"/>
      <c r="K6676">
        <f>IF(D6676="Legitimate Interest (GDPR Art. 6(1)(f))", "Yes / Required (Sheet 3)", "")</f>
        <v/>
      </c>
      <c r="L6676" s="7" t="n"/>
      <c r="M6676" s="7" t="n"/>
      <c r="N6676">
        <f>IF(D6676="", "Gap - No Legal Basis", IF(AND(D6676="Consent (GDPR Art. 6(1)(a))", I6676="Not Captured"), "Gap - Invalid Consent", IF(AND(D6676="Legitimate Interest (GDPR Art. 6(1)(f))", L6676=""), "Gap - Missing LIA", IF(AND(G6676="Yes", H6676=""), "Gap - Missing Art. 9 Basis", IF(OR(I6676="Invalid - Not Freely Given", I6676="Invalid - Not Specific", I6676="Invalid - Not Informed", I6676="Invalid - Ambiguous"), "Gap - Invalid Consent", "Compliant")))))</f>
        <v/>
      </c>
      <c r="O6676" s="7" t="n"/>
    </row>
    <row r="6677">
      <c r="A6677" s="7" t="n"/>
      <c r="B6677" s="7" t="n"/>
      <c r="C6677" s="7" t="n"/>
      <c r="D6677" s="7" t="n"/>
      <c r="E6677" s="7" t="n"/>
      <c r="F6677" s="7" t="n"/>
      <c r="G6677" s="7" t="n"/>
      <c r="H6677" s="7" t="n"/>
      <c r="I6677" s="7" t="n"/>
      <c r="J6677" s="7" t="n"/>
      <c r="K6677">
        <f>IF(D6677="Legitimate Interest (GDPR Art. 6(1)(f))", "Yes / Required (Sheet 3)", "")</f>
        <v/>
      </c>
      <c r="L6677" s="7" t="n"/>
      <c r="M6677" s="7" t="n"/>
      <c r="N6677">
        <f>IF(D6677="", "Gap - No Legal Basis", IF(AND(D6677="Consent (GDPR Art. 6(1)(a))", I6677="Not Captured"), "Gap - Invalid Consent", IF(AND(D6677="Legitimate Interest (GDPR Art. 6(1)(f))", L6677=""), "Gap - Missing LIA", IF(AND(G6677="Yes", H6677=""), "Gap - Missing Art. 9 Basis", IF(OR(I6677="Invalid - Not Freely Given", I6677="Invalid - Not Specific", I6677="Invalid - Not Informed", I6677="Invalid - Ambiguous"), "Gap - Invalid Consent", "Compliant")))))</f>
        <v/>
      </c>
      <c r="O6677" s="7" t="n"/>
    </row>
    <row r="6678">
      <c r="A6678" s="7" t="n"/>
      <c r="B6678" s="7" t="n"/>
      <c r="C6678" s="7" t="n"/>
      <c r="D6678" s="7" t="n"/>
      <c r="E6678" s="7" t="n"/>
      <c r="F6678" s="7" t="n"/>
      <c r="G6678" s="7" t="n"/>
      <c r="H6678" s="7" t="n"/>
      <c r="I6678" s="7" t="n"/>
      <c r="J6678" s="7" t="n"/>
      <c r="K6678">
        <f>IF(D6678="Legitimate Interest (GDPR Art. 6(1)(f))", "Yes / Required (Sheet 3)", "")</f>
        <v/>
      </c>
      <c r="L6678" s="7" t="n"/>
      <c r="M6678" s="7" t="n"/>
      <c r="N6678">
        <f>IF(D6678="", "Gap - No Legal Basis", IF(AND(D6678="Consent (GDPR Art. 6(1)(a))", I6678="Not Captured"), "Gap - Invalid Consent", IF(AND(D6678="Legitimate Interest (GDPR Art. 6(1)(f))", L6678=""), "Gap - Missing LIA", IF(AND(G6678="Yes", H6678=""), "Gap - Missing Art. 9 Basis", IF(OR(I6678="Invalid - Not Freely Given", I6678="Invalid - Not Specific", I6678="Invalid - Not Informed", I6678="Invalid - Ambiguous"), "Gap - Invalid Consent", "Compliant")))))</f>
        <v/>
      </c>
      <c r="O6678" s="7" t="n"/>
    </row>
    <row r="6679">
      <c r="A6679" s="7" t="n"/>
      <c r="B6679" s="7" t="n"/>
      <c r="C6679" s="7" t="n"/>
      <c r="D6679" s="7" t="n"/>
      <c r="E6679" s="7" t="n"/>
      <c r="F6679" s="7" t="n"/>
      <c r="G6679" s="7" t="n"/>
      <c r="H6679" s="7" t="n"/>
      <c r="I6679" s="7" t="n"/>
      <c r="J6679" s="7" t="n"/>
      <c r="K6679">
        <f>IF(D6679="Legitimate Interest (GDPR Art. 6(1)(f))", "Yes / Required (Sheet 3)", "")</f>
        <v/>
      </c>
      <c r="L6679" s="7" t="n"/>
      <c r="M6679" s="7" t="n"/>
      <c r="N6679">
        <f>IF(D6679="", "Gap - No Legal Basis", IF(AND(D6679="Consent (GDPR Art. 6(1)(a))", I6679="Not Captured"), "Gap - Invalid Consent", IF(AND(D6679="Legitimate Interest (GDPR Art. 6(1)(f))", L6679=""), "Gap - Missing LIA", IF(AND(G6679="Yes", H6679=""), "Gap - Missing Art. 9 Basis", IF(OR(I6679="Invalid - Not Freely Given", I6679="Invalid - Not Specific", I6679="Invalid - Not Informed", I6679="Invalid - Ambiguous"), "Gap - Invalid Consent", "Compliant")))))</f>
        <v/>
      </c>
      <c r="O6679" s="7" t="n"/>
    </row>
    <row r="6680">
      <c r="A6680" s="7" t="n"/>
      <c r="B6680" s="7" t="n"/>
      <c r="C6680" s="7" t="n"/>
      <c r="D6680" s="7" t="n"/>
      <c r="E6680" s="7" t="n"/>
      <c r="F6680" s="7" t="n"/>
      <c r="G6680" s="7" t="n"/>
      <c r="H6680" s="7" t="n"/>
      <c r="I6680" s="7" t="n"/>
      <c r="J6680" s="7" t="n"/>
      <c r="K6680">
        <f>IF(D6680="Legitimate Interest (GDPR Art. 6(1)(f))", "Yes / Required (Sheet 3)", "")</f>
        <v/>
      </c>
      <c r="L6680" s="7" t="n"/>
      <c r="M6680" s="7" t="n"/>
      <c r="N6680">
        <f>IF(D6680="", "Gap - No Legal Basis", IF(AND(D6680="Consent (GDPR Art. 6(1)(a))", I6680="Not Captured"), "Gap - Invalid Consent", IF(AND(D6680="Legitimate Interest (GDPR Art. 6(1)(f))", L6680=""), "Gap - Missing LIA", IF(AND(G6680="Yes", H6680=""), "Gap - Missing Art. 9 Basis", IF(OR(I6680="Invalid - Not Freely Given", I6680="Invalid - Not Specific", I6680="Invalid - Not Informed", I6680="Invalid - Ambiguous"), "Gap - Invalid Consent", "Compliant")))))</f>
        <v/>
      </c>
      <c r="O6680" s="7" t="n"/>
    </row>
    <row r="6681">
      <c r="A6681" s="7" t="n"/>
      <c r="B6681" s="7" t="n"/>
      <c r="C6681" s="7" t="n"/>
      <c r="D6681" s="7" t="n"/>
      <c r="E6681" s="7" t="n"/>
      <c r="F6681" s="7" t="n"/>
      <c r="G6681" s="7" t="n"/>
      <c r="H6681" s="7" t="n"/>
      <c r="I6681" s="7" t="n"/>
      <c r="J6681" s="7" t="n"/>
      <c r="K6681">
        <f>IF(D6681="Legitimate Interest (GDPR Art. 6(1)(f))", "Yes / Required (Sheet 3)", "")</f>
        <v/>
      </c>
      <c r="L6681" s="7" t="n"/>
      <c r="M6681" s="7" t="n"/>
      <c r="N6681">
        <f>IF(D6681="", "Gap - No Legal Basis", IF(AND(D6681="Consent (GDPR Art. 6(1)(a))", I6681="Not Captured"), "Gap - Invalid Consent", IF(AND(D6681="Legitimate Interest (GDPR Art. 6(1)(f))", L6681=""), "Gap - Missing LIA", IF(AND(G6681="Yes", H6681=""), "Gap - Missing Art. 9 Basis", IF(OR(I6681="Invalid - Not Freely Given", I6681="Invalid - Not Specific", I6681="Invalid - Not Informed", I6681="Invalid - Ambiguous"), "Gap - Invalid Consent", "Compliant")))))</f>
        <v/>
      </c>
      <c r="O6681" s="7" t="n"/>
    </row>
    <row r="6682">
      <c r="A6682" s="7" t="n"/>
      <c r="B6682" s="7" t="n"/>
      <c r="C6682" s="7" t="n"/>
      <c r="D6682" s="7" t="n"/>
      <c r="E6682" s="7" t="n"/>
      <c r="F6682" s="7" t="n"/>
      <c r="G6682" s="7" t="n"/>
      <c r="H6682" s="7" t="n"/>
      <c r="I6682" s="7" t="n"/>
      <c r="J6682" s="7" t="n"/>
      <c r="K6682">
        <f>IF(D6682="Legitimate Interest (GDPR Art. 6(1)(f))", "Yes / Required (Sheet 3)", "")</f>
        <v/>
      </c>
      <c r="L6682" s="7" t="n"/>
      <c r="M6682" s="7" t="n"/>
      <c r="N6682">
        <f>IF(D6682="", "Gap - No Legal Basis", IF(AND(D6682="Consent (GDPR Art. 6(1)(a))", I6682="Not Captured"), "Gap - Invalid Consent", IF(AND(D6682="Legitimate Interest (GDPR Art. 6(1)(f))", L6682=""), "Gap - Missing LIA", IF(AND(G6682="Yes", H6682=""), "Gap - Missing Art. 9 Basis", IF(OR(I6682="Invalid - Not Freely Given", I6682="Invalid - Not Specific", I6682="Invalid - Not Informed", I6682="Invalid - Ambiguous"), "Gap - Invalid Consent", "Compliant")))))</f>
        <v/>
      </c>
      <c r="O6682" s="7" t="n"/>
    </row>
    <row r="6683">
      <c r="A6683" s="7" t="n"/>
      <c r="B6683" s="7" t="n"/>
      <c r="C6683" s="7" t="n"/>
      <c r="D6683" s="7" t="n"/>
      <c r="E6683" s="7" t="n"/>
      <c r="F6683" s="7" t="n"/>
      <c r="G6683" s="7" t="n"/>
      <c r="H6683" s="7" t="n"/>
      <c r="I6683" s="7" t="n"/>
      <c r="J6683" s="7" t="n"/>
      <c r="K6683">
        <f>IF(D6683="Legitimate Interest (GDPR Art. 6(1)(f))", "Yes / Required (Sheet 3)", "")</f>
        <v/>
      </c>
      <c r="L6683" s="7" t="n"/>
      <c r="M6683" s="7" t="n"/>
      <c r="N6683">
        <f>IF(D6683="", "Gap - No Legal Basis", IF(AND(D6683="Consent (GDPR Art. 6(1)(a))", I6683="Not Captured"), "Gap - Invalid Consent", IF(AND(D6683="Legitimate Interest (GDPR Art. 6(1)(f))", L6683=""), "Gap - Missing LIA", IF(AND(G6683="Yes", H6683=""), "Gap - Missing Art. 9 Basis", IF(OR(I6683="Invalid - Not Freely Given", I6683="Invalid - Not Specific", I6683="Invalid - Not Informed", I6683="Invalid - Ambiguous"), "Gap - Invalid Consent", "Compliant")))))</f>
        <v/>
      </c>
      <c r="O6683" s="7" t="n"/>
    </row>
    <row r="6684">
      <c r="A6684" s="7" t="n"/>
      <c r="B6684" s="7" t="n"/>
      <c r="C6684" s="7" t="n"/>
      <c r="D6684" s="7" t="n"/>
      <c r="E6684" s="7" t="n"/>
      <c r="F6684" s="7" t="n"/>
      <c r="G6684" s="7" t="n"/>
      <c r="H6684" s="7" t="n"/>
      <c r="I6684" s="7" t="n"/>
      <c r="J6684" s="7" t="n"/>
      <c r="K6684">
        <f>IF(D6684="Legitimate Interest (GDPR Art. 6(1)(f))", "Yes / Required (Sheet 3)", "")</f>
        <v/>
      </c>
      <c r="L6684" s="7" t="n"/>
      <c r="M6684" s="7" t="n"/>
      <c r="N6684">
        <f>IF(D6684="", "Gap - No Legal Basis", IF(AND(D6684="Consent (GDPR Art. 6(1)(a))", I6684="Not Captured"), "Gap - Invalid Consent", IF(AND(D6684="Legitimate Interest (GDPR Art. 6(1)(f))", L6684=""), "Gap - Missing LIA", IF(AND(G6684="Yes", H6684=""), "Gap - Missing Art. 9 Basis", IF(OR(I6684="Invalid - Not Freely Given", I6684="Invalid - Not Specific", I6684="Invalid - Not Informed", I6684="Invalid - Ambiguous"), "Gap - Invalid Consent", "Compliant")))))</f>
        <v/>
      </c>
      <c r="O6684" s="7" t="n"/>
    </row>
    <row r="6685">
      <c r="A6685" s="7" t="n"/>
      <c r="B6685" s="7" t="n"/>
      <c r="C6685" s="7" t="n"/>
      <c r="D6685" s="7" t="n"/>
      <c r="E6685" s="7" t="n"/>
      <c r="F6685" s="7" t="n"/>
      <c r="G6685" s="7" t="n"/>
      <c r="H6685" s="7" t="n"/>
      <c r="I6685" s="7" t="n"/>
      <c r="J6685" s="7" t="n"/>
      <c r="K6685">
        <f>IF(D6685="Legitimate Interest (GDPR Art. 6(1)(f))", "Yes / Required (Sheet 3)", "")</f>
        <v/>
      </c>
      <c r="L6685" s="7" t="n"/>
      <c r="M6685" s="7" t="n"/>
      <c r="N6685">
        <f>IF(D6685="", "Gap - No Legal Basis", IF(AND(D6685="Consent (GDPR Art. 6(1)(a))", I6685="Not Captured"), "Gap - Invalid Consent", IF(AND(D6685="Legitimate Interest (GDPR Art. 6(1)(f))", L6685=""), "Gap - Missing LIA", IF(AND(G6685="Yes", H6685=""), "Gap - Missing Art. 9 Basis", IF(OR(I6685="Invalid - Not Freely Given", I6685="Invalid - Not Specific", I6685="Invalid - Not Informed", I6685="Invalid - Ambiguous"), "Gap - Invalid Consent", "Compliant")))))</f>
        <v/>
      </c>
      <c r="O6685" s="7" t="n"/>
    </row>
    <row r="6686">
      <c r="A6686" s="7" t="n"/>
      <c r="B6686" s="7" t="n"/>
      <c r="C6686" s="7" t="n"/>
      <c r="D6686" s="7" t="n"/>
      <c r="E6686" s="7" t="n"/>
      <c r="F6686" s="7" t="n"/>
      <c r="G6686" s="7" t="n"/>
      <c r="H6686" s="7" t="n"/>
      <c r="I6686" s="7" t="n"/>
      <c r="J6686" s="7" t="n"/>
      <c r="K6686">
        <f>IF(D6686="Legitimate Interest (GDPR Art. 6(1)(f))", "Yes / Required (Sheet 3)", "")</f>
        <v/>
      </c>
      <c r="L6686" s="7" t="n"/>
      <c r="M6686" s="7" t="n"/>
      <c r="N6686">
        <f>IF(D6686="", "Gap - No Legal Basis", IF(AND(D6686="Consent (GDPR Art. 6(1)(a))", I6686="Not Captured"), "Gap - Invalid Consent", IF(AND(D6686="Legitimate Interest (GDPR Art. 6(1)(f))", L6686=""), "Gap - Missing LIA", IF(AND(G6686="Yes", H6686=""), "Gap - Missing Art. 9 Basis", IF(OR(I6686="Invalid - Not Freely Given", I6686="Invalid - Not Specific", I6686="Invalid - Not Informed", I6686="Invalid - Ambiguous"), "Gap - Invalid Consent", "Compliant")))))</f>
        <v/>
      </c>
      <c r="O6686" s="7" t="n"/>
    </row>
    <row r="6687">
      <c r="A6687" s="7" t="n"/>
      <c r="B6687" s="7" t="n"/>
      <c r="C6687" s="7" t="n"/>
      <c r="D6687" s="7" t="n"/>
      <c r="E6687" s="7" t="n"/>
      <c r="F6687" s="7" t="n"/>
      <c r="G6687" s="7" t="n"/>
      <c r="H6687" s="7" t="n"/>
      <c r="I6687" s="7" t="n"/>
      <c r="J6687" s="7" t="n"/>
      <c r="K6687">
        <f>IF(D6687="Legitimate Interest (GDPR Art. 6(1)(f))", "Yes / Required (Sheet 3)", "")</f>
        <v/>
      </c>
      <c r="L6687" s="7" t="n"/>
      <c r="M6687" s="7" t="n"/>
      <c r="N6687">
        <f>IF(D6687="", "Gap - No Legal Basis", IF(AND(D6687="Consent (GDPR Art. 6(1)(a))", I6687="Not Captured"), "Gap - Invalid Consent", IF(AND(D6687="Legitimate Interest (GDPR Art. 6(1)(f))", L6687=""), "Gap - Missing LIA", IF(AND(G6687="Yes", H6687=""), "Gap - Missing Art. 9 Basis", IF(OR(I6687="Invalid - Not Freely Given", I6687="Invalid - Not Specific", I6687="Invalid - Not Informed", I6687="Invalid - Ambiguous"), "Gap - Invalid Consent", "Compliant")))))</f>
        <v/>
      </c>
      <c r="O6687" s="7" t="n"/>
    </row>
    <row r="6688">
      <c r="A6688" s="7" t="n"/>
      <c r="B6688" s="7" t="n"/>
      <c r="C6688" s="7" t="n"/>
      <c r="D6688" s="7" t="n"/>
      <c r="E6688" s="7" t="n"/>
      <c r="F6688" s="7" t="n"/>
      <c r="G6688" s="7" t="n"/>
      <c r="H6688" s="7" t="n"/>
      <c r="I6688" s="7" t="n"/>
      <c r="J6688" s="7" t="n"/>
      <c r="K6688">
        <f>IF(D6688="Legitimate Interest (GDPR Art. 6(1)(f))", "Yes / Required (Sheet 3)", "")</f>
        <v/>
      </c>
      <c r="L6688" s="7" t="n"/>
      <c r="M6688" s="7" t="n"/>
      <c r="N6688">
        <f>IF(D6688="", "Gap - No Legal Basis", IF(AND(D6688="Consent (GDPR Art. 6(1)(a))", I6688="Not Captured"), "Gap - Invalid Consent", IF(AND(D6688="Legitimate Interest (GDPR Art. 6(1)(f))", L6688=""), "Gap - Missing LIA", IF(AND(G6688="Yes", H6688=""), "Gap - Missing Art. 9 Basis", IF(OR(I6688="Invalid - Not Freely Given", I6688="Invalid - Not Specific", I6688="Invalid - Not Informed", I6688="Invalid - Ambiguous"), "Gap - Invalid Consent", "Compliant")))))</f>
        <v/>
      </c>
      <c r="O6688" s="7" t="n"/>
    </row>
    <row r="6689">
      <c r="A6689" s="7" t="n"/>
      <c r="B6689" s="7" t="n"/>
      <c r="C6689" s="7" t="n"/>
      <c r="D6689" s="7" t="n"/>
      <c r="E6689" s="7" t="n"/>
      <c r="F6689" s="7" t="n"/>
      <c r="G6689" s="7" t="n"/>
      <c r="H6689" s="7" t="n"/>
      <c r="I6689" s="7" t="n"/>
      <c r="J6689" s="7" t="n"/>
      <c r="K6689">
        <f>IF(D6689="Legitimate Interest (GDPR Art. 6(1)(f))", "Yes / Required (Sheet 3)", "")</f>
        <v/>
      </c>
      <c r="L6689" s="7" t="n"/>
      <c r="M6689" s="7" t="n"/>
      <c r="N6689">
        <f>IF(D6689="", "Gap - No Legal Basis", IF(AND(D6689="Consent (GDPR Art. 6(1)(a))", I6689="Not Captured"), "Gap - Invalid Consent", IF(AND(D6689="Legitimate Interest (GDPR Art. 6(1)(f))", L6689=""), "Gap - Missing LIA", IF(AND(G6689="Yes", H6689=""), "Gap - Missing Art. 9 Basis", IF(OR(I6689="Invalid - Not Freely Given", I6689="Invalid - Not Specific", I6689="Invalid - Not Informed", I6689="Invalid - Ambiguous"), "Gap - Invalid Consent", "Compliant")))))</f>
        <v/>
      </c>
      <c r="O6689" s="7" t="n"/>
    </row>
    <row r="6690">
      <c r="A6690" s="7" t="n"/>
      <c r="B6690" s="7" t="n"/>
      <c r="C6690" s="7" t="n"/>
      <c r="D6690" s="7" t="n"/>
      <c r="E6690" s="7" t="n"/>
      <c r="F6690" s="7" t="n"/>
      <c r="G6690" s="7" t="n"/>
      <c r="H6690" s="7" t="n"/>
      <c r="I6690" s="7" t="n"/>
      <c r="J6690" s="7" t="n"/>
      <c r="K6690">
        <f>IF(D6690="Legitimate Interest (GDPR Art. 6(1)(f))", "Yes / Required (Sheet 3)", "")</f>
        <v/>
      </c>
      <c r="L6690" s="7" t="n"/>
      <c r="M6690" s="7" t="n"/>
      <c r="N6690">
        <f>IF(D6690="", "Gap - No Legal Basis", IF(AND(D6690="Consent (GDPR Art. 6(1)(a))", I6690="Not Captured"), "Gap - Invalid Consent", IF(AND(D6690="Legitimate Interest (GDPR Art. 6(1)(f))", L6690=""), "Gap - Missing LIA", IF(AND(G6690="Yes", H6690=""), "Gap - Missing Art. 9 Basis", IF(OR(I6690="Invalid - Not Freely Given", I6690="Invalid - Not Specific", I6690="Invalid - Not Informed", I6690="Invalid - Ambiguous"), "Gap - Invalid Consent", "Compliant")))))</f>
        <v/>
      </c>
      <c r="O6690" s="7" t="n"/>
    </row>
    <row r="6691">
      <c r="A6691" s="7" t="n"/>
      <c r="B6691" s="7" t="n"/>
      <c r="C6691" s="7" t="n"/>
      <c r="D6691" s="7" t="n"/>
      <c r="E6691" s="7" t="n"/>
      <c r="F6691" s="7" t="n"/>
      <c r="G6691" s="7" t="n"/>
      <c r="H6691" s="7" t="n"/>
      <c r="I6691" s="7" t="n"/>
      <c r="J6691" s="7" t="n"/>
      <c r="K6691">
        <f>IF(D6691="Legitimate Interest (GDPR Art. 6(1)(f))", "Yes / Required (Sheet 3)", "")</f>
        <v/>
      </c>
      <c r="L6691" s="7" t="n"/>
      <c r="M6691" s="7" t="n"/>
      <c r="N6691">
        <f>IF(D6691="", "Gap - No Legal Basis", IF(AND(D6691="Consent (GDPR Art. 6(1)(a))", I6691="Not Captured"), "Gap - Invalid Consent", IF(AND(D6691="Legitimate Interest (GDPR Art. 6(1)(f))", L6691=""), "Gap - Missing LIA", IF(AND(G6691="Yes", H6691=""), "Gap - Missing Art. 9 Basis", IF(OR(I6691="Invalid - Not Freely Given", I6691="Invalid - Not Specific", I6691="Invalid - Not Informed", I6691="Invalid - Ambiguous"), "Gap - Invalid Consent", "Compliant")))))</f>
        <v/>
      </c>
      <c r="O6691" s="7" t="n"/>
    </row>
    <row r="6692">
      <c r="A6692" s="7" t="n"/>
      <c r="B6692" s="7" t="n"/>
      <c r="C6692" s="7" t="n"/>
      <c r="D6692" s="7" t="n"/>
      <c r="E6692" s="7" t="n"/>
      <c r="F6692" s="7" t="n"/>
      <c r="G6692" s="7" t="n"/>
      <c r="H6692" s="7" t="n"/>
      <c r="I6692" s="7" t="n"/>
      <c r="J6692" s="7" t="n"/>
      <c r="K6692">
        <f>IF(D6692="Legitimate Interest (GDPR Art. 6(1)(f))", "Yes / Required (Sheet 3)", "")</f>
        <v/>
      </c>
      <c r="L6692" s="7" t="n"/>
      <c r="M6692" s="7" t="n"/>
      <c r="N6692">
        <f>IF(D6692="", "Gap - No Legal Basis", IF(AND(D6692="Consent (GDPR Art. 6(1)(a))", I6692="Not Captured"), "Gap - Invalid Consent", IF(AND(D6692="Legitimate Interest (GDPR Art. 6(1)(f))", L6692=""), "Gap - Missing LIA", IF(AND(G6692="Yes", H6692=""), "Gap - Missing Art. 9 Basis", IF(OR(I6692="Invalid - Not Freely Given", I6692="Invalid - Not Specific", I6692="Invalid - Not Informed", I6692="Invalid - Ambiguous"), "Gap - Invalid Consent", "Compliant")))))</f>
        <v/>
      </c>
      <c r="O6692" s="7" t="n"/>
    </row>
    <row r="6693">
      <c r="A6693" s="7" t="n"/>
      <c r="B6693" s="7" t="n"/>
      <c r="C6693" s="7" t="n"/>
      <c r="D6693" s="7" t="n"/>
      <c r="E6693" s="7" t="n"/>
      <c r="F6693" s="7" t="n"/>
      <c r="G6693" s="7" t="n"/>
      <c r="H6693" s="7" t="n"/>
      <c r="I6693" s="7" t="n"/>
      <c r="J6693" s="7" t="n"/>
      <c r="K6693">
        <f>IF(D6693="Legitimate Interest (GDPR Art. 6(1)(f))", "Yes / Required (Sheet 3)", "")</f>
        <v/>
      </c>
      <c r="L6693" s="7" t="n"/>
      <c r="M6693" s="7" t="n"/>
      <c r="N6693">
        <f>IF(D6693="", "Gap - No Legal Basis", IF(AND(D6693="Consent (GDPR Art. 6(1)(a))", I6693="Not Captured"), "Gap - Invalid Consent", IF(AND(D6693="Legitimate Interest (GDPR Art. 6(1)(f))", L6693=""), "Gap - Missing LIA", IF(AND(G6693="Yes", H6693=""), "Gap - Missing Art. 9 Basis", IF(OR(I6693="Invalid - Not Freely Given", I6693="Invalid - Not Specific", I6693="Invalid - Not Informed", I6693="Invalid - Ambiguous"), "Gap - Invalid Consent", "Compliant")))))</f>
        <v/>
      </c>
      <c r="O6693" s="7" t="n"/>
    </row>
    <row r="6694">
      <c r="A6694" s="7" t="n"/>
      <c r="B6694" s="7" t="n"/>
      <c r="C6694" s="7" t="n"/>
      <c r="D6694" s="7" t="n"/>
      <c r="E6694" s="7" t="n"/>
      <c r="F6694" s="7" t="n"/>
      <c r="G6694" s="7" t="n"/>
      <c r="H6694" s="7" t="n"/>
      <c r="I6694" s="7" t="n"/>
      <c r="J6694" s="7" t="n"/>
      <c r="K6694">
        <f>IF(D6694="Legitimate Interest (GDPR Art. 6(1)(f))", "Yes / Required (Sheet 3)", "")</f>
        <v/>
      </c>
      <c r="L6694" s="7" t="n"/>
      <c r="M6694" s="7" t="n"/>
      <c r="N6694">
        <f>IF(D6694="", "Gap - No Legal Basis", IF(AND(D6694="Consent (GDPR Art. 6(1)(a))", I6694="Not Captured"), "Gap - Invalid Consent", IF(AND(D6694="Legitimate Interest (GDPR Art. 6(1)(f))", L6694=""), "Gap - Missing LIA", IF(AND(G6694="Yes", H6694=""), "Gap - Missing Art. 9 Basis", IF(OR(I6694="Invalid - Not Freely Given", I6694="Invalid - Not Specific", I6694="Invalid - Not Informed", I6694="Invalid - Ambiguous"), "Gap - Invalid Consent", "Compliant")))))</f>
        <v/>
      </c>
      <c r="O6694" s="7" t="n"/>
    </row>
    <row r="6695">
      <c r="A6695" s="7" t="n"/>
      <c r="B6695" s="7" t="n"/>
      <c r="C6695" s="7" t="n"/>
      <c r="D6695" s="7" t="n"/>
      <c r="E6695" s="7" t="n"/>
      <c r="F6695" s="7" t="n"/>
      <c r="G6695" s="7" t="n"/>
      <c r="H6695" s="7" t="n"/>
      <c r="I6695" s="7" t="n"/>
      <c r="J6695" s="7" t="n"/>
      <c r="K6695">
        <f>IF(D6695="Legitimate Interest (GDPR Art. 6(1)(f))", "Yes / Required (Sheet 3)", "")</f>
        <v/>
      </c>
      <c r="L6695" s="7" t="n"/>
      <c r="M6695" s="7" t="n"/>
      <c r="N6695">
        <f>IF(D6695="", "Gap - No Legal Basis", IF(AND(D6695="Consent (GDPR Art. 6(1)(a))", I6695="Not Captured"), "Gap - Invalid Consent", IF(AND(D6695="Legitimate Interest (GDPR Art. 6(1)(f))", L6695=""), "Gap - Missing LIA", IF(AND(G6695="Yes", H6695=""), "Gap - Missing Art. 9 Basis", IF(OR(I6695="Invalid - Not Freely Given", I6695="Invalid - Not Specific", I6695="Invalid - Not Informed", I6695="Invalid - Ambiguous"), "Gap - Invalid Consent", "Compliant")))))</f>
        <v/>
      </c>
      <c r="O6695" s="7" t="n"/>
    </row>
    <row r="6696">
      <c r="A6696" s="7" t="n"/>
      <c r="B6696" s="7" t="n"/>
      <c r="C6696" s="7" t="n"/>
      <c r="D6696" s="7" t="n"/>
      <c r="E6696" s="7" t="n"/>
      <c r="F6696" s="7" t="n"/>
      <c r="G6696" s="7" t="n"/>
      <c r="H6696" s="7" t="n"/>
      <c r="I6696" s="7" t="n"/>
      <c r="J6696" s="7" t="n"/>
      <c r="K6696">
        <f>IF(D6696="Legitimate Interest (GDPR Art. 6(1)(f))", "Yes / Required (Sheet 3)", "")</f>
        <v/>
      </c>
      <c r="L6696" s="7" t="n"/>
      <c r="M6696" s="7" t="n"/>
      <c r="N6696">
        <f>IF(D6696="", "Gap - No Legal Basis", IF(AND(D6696="Consent (GDPR Art. 6(1)(a))", I6696="Not Captured"), "Gap - Invalid Consent", IF(AND(D6696="Legitimate Interest (GDPR Art. 6(1)(f))", L6696=""), "Gap - Missing LIA", IF(AND(G6696="Yes", H6696=""), "Gap - Missing Art. 9 Basis", IF(OR(I6696="Invalid - Not Freely Given", I6696="Invalid - Not Specific", I6696="Invalid - Not Informed", I6696="Invalid - Ambiguous"), "Gap - Invalid Consent", "Compliant")))))</f>
        <v/>
      </c>
      <c r="O6696" s="7" t="n"/>
    </row>
    <row r="6697">
      <c r="A6697" s="7" t="n"/>
      <c r="B6697" s="7" t="n"/>
      <c r="C6697" s="7" t="n"/>
      <c r="D6697" s="7" t="n"/>
      <c r="E6697" s="7" t="n"/>
      <c r="F6697" s="7" t="n"/>
      <c r="G6697" s="7" t="n"/>
      <c r="H6697" s="7" t="n"/>
      <c r="I6697" s="7" t="n"/>
      <c r="J6697" s="7" t="n"/>
      <c r="K6697">
        <f>IF(D6697="Legitimate Interest (GDPR Art. 6(1)(f))", "Yes / Required (Sheet 3)", "")</f>
        <v/>
      </c>
      <c r="L6697" s="7" t="n"/>
      <c r="M6697" s="7" t="n"/>
      <c r="N6697">
        <f>IF(D6697="", "Gap - No Legal Basis", IF(AND(D6697="Consent (GDPR Art. 6(1)(a))", I6697="Not Captured"), "Gap - Invalid Consent", IF(AND(D6697="Legitimate Interest (GDPR Art. 6(1)(f))", L6697=""), "Gap - Missing LIA", IF(AND(G6697="Yes", H6697=""), "Gap - Missing Art. 9 Basis", IF(OR(I6697="Invalid - Not Freely Given", I6697="Invalid - Not Specific", I6697="Invalid - Not Informed", I6697="Invalid - Ambiguous"), "Gap - Invalid Consent", "Compliant")))))</f>
        <v/>
      </c>
      <c r="O6697" s="7" t="n"/>
    </row>
    <row r="6698">
      <c r="A6698" s="7" t="n"/>
      <c r="B6698" s="7" t="n"/>
      <c r="C6698" s="7" t="n"/>
      <c r="D6698" s="7" t="n"/>
      <c r="E6698" s="7" t="n"/>
      <c r="F6698" s="7" t="n"/>
      <c r="G6698" s="7" t="n"/>
      <c r="H6698" s="7" t="n"/>
      <c r="I6698" s="7" t="n"/>
      <c r="J6698" s="7" t="n"/>
      <c r="K6698">
        <f>IF(D6698="Legitimate Interest (GDPR Art. 6(1)(f))", "Yes / Required (Sheet 3)", "")</f>
        <v/>
      </c>
      <c r="L6698" s="7" t="n"/>
      <c r="M6698" s="7" t="n"/>
      <c r="N6698">
        <f>IF(D6698="", "Gap - No Legal Basis", IF(AND(D6698="Consent (GDPR Art. 6(1)(a))", I6698="Not Captured"), "Gap - Invalid Consent", IF(AND(D6698="Legitimate Interest (GDPR Art. 6(1)(f))", L6698=""), "Gap - Missing LIA", IF(AND(G6698="Yes", H6698=""), "Gap - Missing Art. 9 Basis", IF(OR(I6698="Invalid - Not Freely Given", I6698="Invalid - Not Specific", I6698="Invalid - Not Informed", I6698="Invalid - Ambiguous"), "Gap - Invalid Consent", "Compliant")))))</f>
        <v/>
      </c>
      <c r="O6698" s="7" t="n"/>
    </row>
    <row r="6699">
      <c r="A6699" s="7" t="n"/>
      <c r="B6699" s="7" t="n"/>
      <c r="C6699" s="7" t="n"/>
      <c r="D6699" s="7" t="n"/>
      <c r="E6699" s="7" t="n"/>
      <c r="F6699" s="7" t="n"/>
      <c r="G6699" s="7" t="n"/>
      <c r="H6699" s="7" t="n"/>
      <c r="I6699" s="7" t="n"/>
      <c r="J6699" s="7" t="n"/>
      <c r="K6699">
        <f>IF(D6699="Legitimate Interest (GDPR Art. 6(1)(f))", "Yes / Required (Sheet 3)", "")</f>
        <v/>
      </c>
      <c r="L6699" s="7" t="n"/>
      <c r="M6699" s="7" t="n"/>
      <c r="N6699">
        <f>IF(D6699="", "Gap - No Legal Basis", IF(AND(D6699="Consent (GDPR Art. 6(1)(a))", I6699="Not Captured"), "Gap - Invalid Consent", IF(AND(D6699="Legitimate Interest (GDPR Art. 6(1)(f))", L6699=""), "Gap - Missing LIA", IF(AND(G6699="Yes", H6699=""), "Gap - Missing Art. 9 Basis", IF(OR(I6699="Invalid - Not Freely Given", I6699="Invalid - Not Specific", I6699="Invalid - Not Informed", I6699="Invalid - Ambiguous"), "Gap - Invalid Consent", "Compliant")))))</f>
        <v/>
      </c>
      <c r="O6699" s="7" t="n"/>
    </row>
    <row r="6700">
      <c r="A6700" s="7" t="n"/>
      <c r="B6700" s="7" t="n"/>
      <c r="C6700" s="7" t="n"/>
      <c r="D6700" s="7" t="n"/>
      <c r="E6700" s="7" t="n"/>
      <c r="F6700" s="7" t="n"/>
      <c r="G6700" s="7" t="n"/>
      <c r="H6700" s="7" t="n"/>
      <c r="I6700" s="7" t="n"/>
      <c r="J6700" s="7" t="n"/>
      <c r="K6700">
        <f>IF(D6700="Legitimate Interest (GDPR Art. 6(1)(f))", "Yes / Required (Sheet 3)", "")</f>
        <v/>
      </c>
      <c r="L6700" s="7" t="n"/>
      <c r="M6700" s="7" t="n"/>
      <c r="N6700">
        <f>IF(D6700="", "Gap - No Legal Basis", IF(AND(D6700="Consent (GDPR Art. 6(1)(a))", I6700="Not Captured"), "Gap - Invalid Consent", IF(AND(D6700="Legitimate Interest (GDPR Art. 6(1)(f))", L6700=""), "Gap - Missing LIA", IF(AND(G6700="Yes", H6700=""), "Gap - Missing Art. 9 Basis", IF(OR(I6700="Invalid - Not Freely Given", I6700="Invalid - Not Specific", I6700="Invalid - Not Informed", I6700="Invalid - Ambiguous"), "Gap - Invalid Consent", "Compliant")))))</f>
        <v/>
      </c>
      <c r="O6700" s="7" t="n"/>
    </row>
    <row r="6701">
      <c r="A6701" s="7" t="n"/>
      <c r="B6701" s="7" t="n"/>
      <c r="C6701" s="7" t="n"/>
      <c r="D6701" s="7" t="n"/>
      <c r="E6701" s="7" t="n"/>
      <c r="F6701" s="7" t="n"/>
      <c r="G6701" s="7" t="n"/>
      <c r="H6701" s="7" t="n"/>
      <c r="I6701" s="7" t="n"/>
      <c r="J6701" s="7" t="n"/>
      <c r="K6701">
        <f>IF(D6701="Legitimate Interest (GDPR Art. 6(1)(f))", "Yes / Required (Sheet 3)", "")</f>
        <v/>
      </c>
      <c r="L6701" s="7" t="n"/>
      <c r="M6701" s="7" t="n"/>
      <c r="N6701">
        <f>IF(D6701="", "Gap - No Legal Basis", IF(AND(D6701="Consent (GDPR Art. 6(1)(a))", I6701="Not Captured"), "Gap - Invalid Consent", IF(AND(D6701="Legitimate Interest (GDPR Art. 6(1)(f))", L6701=""), "Gap - Missing LIA", IF(AND(G6701="Yes", H6701=""), "Gap - Missing Art. 9 Basis", IF(OR(I6701="Invalid - Not Freely Given", I6701="Invalid - Not Specific", I6701="Invalid - Not Informed", I6701="Invalid - Ambiguous"), "Gap - Invalid Consent", "Compliant")))))</f>
        <v/>
      </c>
      <c r="O6701" s="7" t="n"/>
    </row>
    <row r="6702">
      <c r="A6702" s="7" t="n"/>
      <c r="B6702" s="7" t="n"/>
      <c r="C6702" s="7" t="n"/>
      <c r="D6702" s="7" t="n"/>
      <c r="E6702" s="7" t="n"/>
      <c r="F6702" s="7" t="n"/>
      <c r="G6702" s="7" t="n"/>
      <c r="H6702" s="7" t="n"/>
      <c r="I6702" s="7" t="n"/>
      <c r="J6702" s="7" t="n"/>
      <c r="K6702">
        <f>IF(D6702="Legitimate Interest (GDPR Art. 6(1)(f))", "Yes / Required (Sheet 3)", "")</f>
        <v/>
      </c>
      <c r="L6702" s="7" t="n"/>
      <c r="M6702" s="7" t="n"/>
      <c r="N6702">
        <f>IF(D6702="", "Gap - No Legal Basis", IF(AND(D6702="Consent (GDPR Art. 6(1)(a))", I6702="Not Captured"), "Gap - Invalid Consent", IF(AND(D6702="Legitimate Interest (GDPR Art. 6(1)(f))", L6702=""), "Gap - Missing LIA", IF(AND(G6702="Yes", H6702=""), "Gap - Missing Art. 9 Basis", IF(OR(I6702="Invalid - Not Freely Given", I6702="Invalid - Not Specific", I6702="Invalid - Not Informed", I6702="Invalid - Ambiguous"), "Gap - Invalid Consent", "Compliant")))))</f>
        <v/>
      </c>
      <c r="O6702" s="7" t="n"/>
    </row>
    <row r="6703">
      <c r="A6703" s="7" t="n"/>
      <c r="B6703" s="7" t="n"/>
      <c r="C6703" s="7" t="n"/>
      <c r="D6703" s="7" t="n"/>
      <c r="E6703" s="7" t="n"/>
      <c r="F6703" s="7" t="n"/>
      <c r="G6703" s="7" t="n"/>
      <c r="H6703" s="7" t="n"/>
      <c r="I6703" s="7" t="n"/>
      <c r="J6703" s="7" t="n"/>
      <c r="K6703">
        <f>IF(D6703="Legitimate Interest (GDPR Art. 6(1)(f))", "Yes / Required (Sheet 3)", "")</f>
        <v/>
      </c>
      <c r="L6703" s="7" t="n"/>
      <c r="M6703" s="7" t="n"/>
      <c r="N6703">
        <f>IF(D6703="", "Gap - No Legal Basis", IF(AND(D6703="Consent (GDPR Art. 6(1)(a))", I6703="Not Captured"), "Gap - Invalid Consent", IF(AND(D6703="Legitimate Interest (GDPR Art. 6(1)(f))", L6703=""), "Gap - Missing LIA", IF(AND(G6703="Yes", H6703=""), "Gap - Missing Art. 9 Basis", IF(OR(I6703="Invalid - Not Freely Given", I6703="Invalid - Not Specific", I6703="Invalid - Not Informed", I6703="Invalid - Ambiguous"), "Gap - Invalid Consent", "Compliant")))))</f>
        <v/>
      </c>
      <c r="O6703" s="7" t="n"/>
    </row>
    <row r="6704">
      <c r="A6704" s="7" t="n"/>
      <c r="B6704" s="7" t="n"/>
      <c r="C6704" s="7" t="n"/>
      <c r="D6704" s="7" t="n"/>
      <c r="E6704" s="7" t="n"/>
      <c r="F6704" s="7" t="n"/>
      <c r="G6704" s="7" t="n"/>
      <c r="H6704" s="7" t="n"/>
      <c r="I6704" s="7" t="n"/>
      <c r="J6704" s="7" t="n"/>
      <c r="K6704">
        <f>IF(D6704="Legitimate Interest (GDPR Art. 6(1)(f))", "Yes / Required (Sheet 3)", "")</f>
        <v/>
      </c>
      <c r="L6704" s="7" t="n"/>
      <c r="M6704" s="7" t="n"/>
      <c r="N6704">
        <f>IF(D6704="", "Gap - No Legal Basis", IF(AND(D6704="Consent (GDPR Art. 6(1)(a))", I6704="Not Captured"), "Gap - Invalid Consent", IF(AND(D6704="Legitimate Interest (GDPR Art. 6(1)(f))", L6704=""), "Gap - Missing LIA", IF(AND(G6704="Yes", H6704=""), "Gap - Missing Art. 9 Basis", IF(OR(I6704="Invalid - Not Freely Given", I6704="Invalid - Not Specific", I6704="Invalid - Not Informed", I6704="Invalid - Ambiguous"), "Gap - Invalid Consent", "Compliant")))))</f>
        <v/>
      </c>
      <c r="O6704" s="7" t="n"/>
    </row>
    <row r="6705">
      <c r="A6705" s="7" t="n"/>
      <c r="B6705" s="7" t="n"/>
      <c r="C6705" s="7" t="n"/>
      <c r="D6705" s="7" t="n"/>
      <c r="E6705" s="7" t="n"/>
      <c r="F6705" s="7" t="n"/>
      <c r="G6705" s="7" t="n"/>
      <c r="H6705" s="7" t="n"/>
      <c r="I6705" s="7" t="n"/>
      <c r="J6705" s="7" t="n"/>
      <c r="K6705">
        <f>IF(D6705="Legitimate Interest (GDPR Art. 6(1)(f))", "Yes / Required (Sheet 3)", "")</f>
        <v/>
      </c>
      <c r="L6705" s="7" t="n"/>
      <c r="M6705" s="7" t="n"/>
      <c r="N6705">
        <f>IF(D6705="", "Gap - No Legal Basis", IF(AND(D6705="Consent (GDPR Art. 6(1)(a))", I6705="Not Captured"), "Gap - Invalid Consent", IF(AND(D6705="Legitimate Interest (GDPR Art. 6(1)(f))", L6705=""), "Gap - Missing LIA", IF(AND(G6705="Yes", H6705=""), "Gap - Missing Art. 9 Basis", IF(OR(I6705="Invalid - Not Freely Given", I6705="Invalid - Not Specific", I6705="Invalid - Not Informed", I6705="Invalid - Ambiguous"), "Gap - Invalid Consent", "Compliant")))))</f>
        <v/>
      </c>
      <c r="O6705" s="7" t="n"/>
    </row>
    <row r="6706">
      <c r="A6706" s="7" t="n"/>
      <c r="B6706" s="7" t="n"/>
      <c r="C6706" s="7" t="n"/>
      <c r="D6706" s="7" t="n"/>
      <c r="E6706" s="7" t="n"/>
      <c r="F6706" s="7" t="n"/>
      <c r="G6706" s="7" t="n"/>
      <c r="H6706" s="7" t="n"/>
      <c r="I6706" s="7" t="n"/>
      <c r="J6706" s="7" t="n"/>
      <c r="K6706">
        <f>IF(D6706="Legitimate Interest (GDPR Art. 6(1)(f))", "Yes / Required (Sheet 3)", "")</f>
        <v/>
      </c>
      <c r="L6706" s="7" t="n"/>
      <c r="M6706" s="7" t="n"/>
      <c r="N6706">
        <f>IF(D6706="", "Gap - No Legal Basis", IF(AND(D6706="Consent (GDPR Art. 6(1)(a))", I6706="Not Captured"), "Gap - Invalid Consent", IF(AND(D6706="Legitimate Interest (GDPR Art. 6(1)(f))", L6706=""), "Gap - Missing LIA", IF(AND(G6706="Yes", H6706=""), "Gap - Missing Art. 9 Basis", IF(OR(I6706="Invalid - Not Freely Given", I6706="Invalid - Not Specific", I6706="Invalid - Not Informed", I6706="Invalid - Ambiguous"), "Gap - Invalid Consent", "Compliant")))))</f>
        <v/>
      </c>
      <c r="O6706" s="7" t="n"/>
    </row>
    <row r="6707">
      <c r="A6707" s="7" t="n"/>
      <c r="B6707" s="7" t="n"/>
      <c r="C6707" s="7" t="n"/>
      <c r="D6707" s="7" t="n"/>
      <c r="E6707" s="7" t="n"/>
      <c r="F6707" s="7" t="n"/>
      <c r="G6707" s="7" t="n"/>
      <c r="H6707" s="7" t="n"/>
      <c r="I6707" s="7" t="n"/>
      <c r="J6707" s="7" t="n"/>
      <c r="K6707">
        <f>IF(D6707="Legitimate Interest (GDPR Art. 6(1)(f))", "Yes / Required (Sheet 3)", "")</f>
        <v/>
      </c>
      <c r="L6707" s="7" t="n"/>
      <c r="M6707" s="7" t="n"/>
      <c r="N6707">
        <f>IF(D6707="", "Gap - No Legal Basis", IF(AND(D6707="Consent (GDPR Art. 6(1)(a))", I6707="Not Captured"), "Gap - Invalid Consent", IF(AND(D6707="Legitimate Interest (GDPR Art. 6(1)(f))", L6707=""), "Gap - Missing LIA", IF(AND(G6707="Yes", H6707=""), "Gap - Missing Art. 9 Basis", IF(OR(I6707="Invalid - Not Freely Given", I6707="Invalid - Not Specific", I6707="Invalid - Not Informed", I6707="Invalid - Ambiguous"), "Gap - Invalid Consent", "Compliant")))))</f>
        <v/>
      </c>
      <c r="O6707" s="7" t="n"/>
    </row>
    <row r="6708">
      <c r="A6708" s="7" t="n"/>
      <c r="B6708" s="7" t="n"/>
      <c r="C6708" s="7" t="n"/>
      <c r="D6708" s="7" t="n"/>
      <c r="E6708" s="7" t="n"/>
      <c r="F6708" s="7" t="n"/>
      <c r="G6708" s="7" t="n"/>
      <c r="H6708" s="7" t="n"/>
      <c r="I6708" s="7" t="n"/>
      <c r="J6708" s="7" t="n"/>
      <c r="K6708">
        <f>IF(D6708="Legitimate Interest (GDPR Art. 6(1)(f))", "Yes / Required (Sheet 3)", "")</f>
        <v/>
      </c>
      <c r="L6708" s="7" t="n"/>
      <c r="M6708" s="7" t="n"/>
      <c r="N6708">
        <f>IF(D6708="", "Gap - No Legal Basis", IF(AND(D6708="Consent (GDPR Art. 6(1)(a))", I6708="Not Captured"), "Gap - Invalid Consent", IF(AND(D6708="Legitimate Interest (GDPR Art. 6(1)(f))", L6708=""), "Gap - Missing LIA", IF(AND(G6708="Yes", H6708=""), "Gap - Missing Art. 9 Basis", IF(OR(I6708="Invalid - Not Freely Given", I6708="Invalid - Not Specific", I6708="Invalid - Not Informed", I6708="Invalid - Ambiguous"), "Gap - Invalid Consent", "Compliant")))))</f>
        <v/>
      </c>
      <c r="O6708" s="7" t="n"/>
    </row>
    <row r="6709">
      <c r="A6709" s="7" t="n"/>
      <c r="B6709" s="7" t="n"/>
      <c r="C6709" s="7" t="n"/>
      <c r="D6709" s="7" t="n"/>
      <c r="E6709" s="7" t="n"/>
      <c r="F6709" s="7" t="n"/>
      <c r="G6709" s="7" t="n"/>
      <c r="H6709" s="7" t="n"/>
      <c r="I6709" s="7" t="n"/>
      <c r="J6709" s="7" t="n"/>
      <c r="K6709">
        <f>IF(D6709="Legitimate Interest (GDPR Art. 6(1)(f))", "Yes / Required (Sheet 3)", "")</f>
        <v/>
      </c>
      <c r="L6709" s="7" t="n"/>
      <c r="M6709" s="7" t="n"/>
      <c r="N6709">
        <f>IF(D6709="", "Gap - No Legal Basis", IF(AND(D6709="Consent (GDPR Art. 6(1)(a))", I6709="Not Captured"), "Gap - Invalid Consent", IF(AND(D6709="Legitimate Interest (GDPR Art. 6(1)(f))", L6709=""), "Gap - Missing LIA", IF(AND(G6709="Yes", H6709=""), "Gap - Missing Art. 9 Basis", IF(OR(I6709="Invalid - Not Freely Given", I6709="Invalid - Not Specific", I6709="Invalid - Not Informed", I6709="Invalid - Ambiguous"), "Gap - Invalid Consent", "Compliant")))))</f>
        <v/>
      </c>
      <c r="O6709" s="7" t="n"/>
    </row>
    <row r="6710">
      <c r="A6710" s="7" t="n"/>
      <c r="B6710" s="7" t="n"/>
      <c r="C6710" s="7" t="n"/>
      <c r="D6710" s="7" t="n"/>
      <c r="E6710" s="7" t="n"/>
      <c r="F6710" s="7" t="n"/>
      <c r="G6710" s="7" t="n"/>
      <c r="H6710" s="7" t="n"/>
      <c r="I6710" s="7" t="n"/>
      <c r="J6710" s="7" t="n"/>
      <c r="K6710">
        <f>IF(D6710="Legitimate Interest (GDPR Art. 6(1)(f))", "Yes / Required (Sheet 3)", "")</f>
        <v/>
      </c>
      <c r="L6710" s="7" t="n"/>
      <c r="M6710" s="7" t="n"/>
      <c r="N6710">
        <f>IF(D6710="", "Gap - No Legal Basis", IF(AND(D6710="Consent (GDPR Art. 6(1)(a))", I6710="Not Captured"), "Gap - Invalid Consent", IF(AND(D6710="Legitimate Interest (GDPR Art. 6(1)(f))", L6710=""), "Gap - Missing LIA", IF(AND(G6710="Yes", H6710=""), "Gap - Missing Art. 9 Basis", IF(OR(I6710="Invalid - Not Freely Given", I6710="Invalid - Not Specific", I6710="Invalid - Not Informed", I6710="Invalid - Ambiguous"), "Gap - Invalid Consent", "Compliant")))))</f>
        <v/>
      </c>
      <c r="O6710" s="7" t="n"/>
    </row>
    <row r="6711">
      <c r="A6711" s="7" t="n"/>
      <c r="B6711" s="7" t="n"/>
      <c r="C6711" s="7" t="n"/>
      <c r="D6711" s="7" t="n"/>
      <c r="E6711" s="7" t="n"/>
      <c r="F6711" s="7" t="n"/>
      <c r="G6711" s="7" t="n"/>
      <c r="H6711" s="7" t="n"/>
      <c r="I6711" s="7" t="n"/>
      <c r="J6711" s="7" t="n"/>
      <c r="K6711">
        <f>IF(D6711="Legitimate Interest (GDPR Art. 6(1)(f))", "Yes / Required (Sheet 3)", "")</f>
        <v/>
      </c>
      <c r="L6711" s="7" t="n"/>
      <c r="M6711" s="7" t="n"/>
      <c r="N6711">
        <f>IF(D6711="", "Gap - No Legal Basis", IF(AND(D6711="Consent (GDPR Art. 6(1)(a))", I6711="Not Captured"), "Gap - Invalid Consent", IF(AND(D6711="Legitimate Interest (GDPR Art. 6(1)(f))", L6711=""), "Gap - Missing LIA", IF(AND(G6711="Yes", H6711=""), "Gap - Missing Art. 9 Basis", IF(OR(I6711="Invalid - Not Freely Given", I6711="Invalid - Not Specific", I6711="Invalid - Not Informed", I6711="Invalid - Ambiguous"), "Gap - Invalid Consent", "Compliant")))))</f>
        <v/>
      </c>
      <c r="O6711" s="7" t="n"/>
    </row>
    <row r="6712">
      <c r="A6712" s="7" t="n"/>
      <c r="B6712" s="7" t="n"/>
      <c r="C6712" s="7" t="n"/>
      <c r="D6712" s="7" t="n"/>
      <c r="E6712" s="7" t="n"/>
      <c r="F6712" s="7" t="n"/>
      <c r="G6712" s="7" t="n"/>
      <c r="H6712" s="7" t="n"/>
      <c r="I6712" s="7" t="n"/>
      <c r="J6712" s="7" t="n"/>
      <c r="K6712">
        <f>IF(D6712="Legitimate Interest (GDPR Art. 6(1)(f))", "Yes / Required (Sheet 3)", "")</f>
        <v/>
      </c>
      <c r="L6712" s="7" t="n"/>
      <c r="M6712" s="7" t="n"/>
      <c r="N6712">
        <f>IF(D6712="", "Gap - No Legal Basis", IF(AND(D6712="Consent (GDPR Art. 6(1)(a))", I6712="Not Captured"), "Gap - Invalid Consent", IF(AND(D6712="Legitimate Interest (GDPR Art. 6(1)(f))", L6712=""), "Gap - Missing LIA", IF(AND(G6712="Yes", H6712=""), "Gap - Missing Art. 9 Basis", IF(OR(I6712="Invalid - Not Freely Given", I6712="Invalid - Not Specific", I6712="Invalid - Not Informed", I6712="Invalid - Ambiguous"), "Gap - Invalid Consent", "Compliant")))))</f>
        <v/>
      </c>
      <c r="O6712" s="7" t="n"/>
    </row>
    <row r="6713">
      <c r="A6713" s="7" t="n"/>
      <c r="B6713" s="7" t="n"/>
      <c r="C6713" s="7" t="n"/>
      <c r="D6713" s="7" t="n"/>
      <c r="E6713" s="7" t="n"/>
      <c r="F6713" s="7" t="n"/>
      <c r="G6713" s="7" t="n"/>
      <c r="H6713" s="7" t="n"/>
      <c r="I6713" s="7" t="n"/>
      <c r="J6713" s="7" t="n"/>
      <c r="K6713">
        <f>IF(D6713="Legitimate Interest (GDPR Art. 6(1)(f))", "Yes / Required (Sheet 3)", "")</f>
        <v/>
      </c>
      <c r="L6713" s="7" t="n"/>
      <c r="M6713" s="7" t="n"/>
      <c r="N6713">
        <f>IF(D6713="", "Gap - No Legal Basis", IF(AND(D6713="Consent (GDPR Art. 6(1)(a))", I6713="Not Captured"), "Gap - Invalid Consent", IF(AND(D6713="Legitimate Interest (GDPR Art. 6(1)(f))", L6713=""), "Gap - Missing LIA", IF(AND(G6713="Yes", H6713=""), "Gap - Missing Art. 9 Basis", IF(OR(I6713="Invalid - Not Freely Given", I6713="Invalid - Not Specific", I6713="Invalid - Not Informed", I6713="Invalid - Ambiguous"), "Gap - Invalid Consent", "Compliant")))))</f>
        <v/>
      </c>
      <c r="O6713" s="7" t="n"/>
    </row>
    <row r="6714">
      <c r="A6714" s="7" t="n"/>
      <c r="B6714" s="7" t="n"/>
      <c r="C6714" s="7" t="n"/>
      <c r="D6714" s="7" t="n"/>
      <c r="E6714" s="7" t="n"/>
      <c r="F6714" s="7" t="n"/>
      <c r="G6714" s="7" t="n"/>
      <c r="H6714" s="7" t="n"/>
      <c r="I6714" s="7" t="n"/>
      <c r="J6714" s="7" t="n"/>
      <c r="K6714">
        <f>IF(D6714="Legitimate Interest (GDPR Art. 6(1)(f))", "Yes / Required (Sheet 3)", "")</f>
        <v/>
      </c>
      <c r="L6714" s="7" t="n"/>
      <c r="M6714" s="7" t="n"/>
      <c r="N6714">
        <f>IF(D6714="", "Gap - No Legal Basis", IF(AND(D6714="Consent (GDPR Art. 6(1)(a))", I6714="Not Captured"), "Gap - Invalid Consent", IF(AND(D6714="Legitimate Interest (GDPR Art. 6(1)(f))", L6714=""), "Gap - Missing LIA", IF(AND(G6714="Yes", H6714=""), "Gap - Missing Art. 9 Basis", IF(OR(I6714="Invalid - Not Freely Given", I6714="Invalid - Not Specific", I6714="Invalid - Not Informed", I6714="Invalid - Ambiguous"), "Gap - Invalid Consent", "Compliant")))))</f>
        <v/>
      </c>
      <c r="O6714" s="7" t="n"/>
    </row>
    <row r="6715">
      <c r="A6715" s="7" t="n"/>
      <c r="B6715" s="7" t="n"/>
      <c r="C6715" s="7" t="n"/>
      <c r="D6715" s="7" t="n"/>
      <c r="E6715" s="7" t="n"/>
      <c r="F6715" s="7" t="n"/>
      <c r="G6715" s="7" t="n"/>
      <c r="H6715" s="7" t="n"/>
      <c r="I6715" s="7" t="n"/>
      <c r="J6715" s="7" t="n"/>
      <c r="K6715">
        <f>IF(D6715="Legitimate Interest (GDPR Art. 6(1)(f))", "Yes / Required (Sheet 3)", "")</f>
        <v/>
      </c>
      <c r="L6715" s="7" t="n"/>
      <c r="M6715" s="7" t="n"/>
      <c r="N6715">
        <f>IF(D6715="", "Gap - No Legal Basis", IF(AND(D6715="Consent (GDPR Art. 6(1)(a))", I6715="Not Captured"), "Gap - Invalid Consent", IF(AND(D6715="Legitimate Interest (GDPR Art. 6(1)(f))", L6715=""), "Gap - Missing LIA", IF(AND(G6715="Yes", H6715=""), "Gap - Missing Art. 9 Basis", IF(OR(I6715="Invalid - Not Freely Given", I6715="Invalid - Not Specific", I6715="Invalid - Not Informed", I6715="Invalid - Ambiguous"), "Gap - Invalid Consent", "Compliant")))))</f>
        <v/>
      </c>
      <c r="O6715" s="7" t="n"/>
    </row>
    <row r="6716">
      <c r="A6716" s="7" t="n"/>
      <c r="B6716" s="7" t="n"/>
      <c r="C6716" s="7" t="n"/>
      <c r="D6716" s="7" t="n"/>
      <c r="E6716" s="7" t="n"/>
      <c r="F6716" s="7" t="n"/>
      <c r="G6716" s="7" t="n"/>
      <c r="H6716" s="7" t="n"/>
      <c r="I6716" s="7" t="n"/>
      <c r="J6716" s="7" t="n"/>
      <c r="K6716">
        <f>IF(D6716="Legitimate Interest (GDPR Art. 6(1)(f))", "Yes / Required (Sheet 3)", "")</f>
        <v/>
      </c>
      <c r="L6716" s="7" t="n"/>
      <c r="M6716" s="7" t="n"/>
      <c r="N6716">
        <f>IF(D6716="", "Gap - No Legal Basis", IF(AND(D6716="Consent (GDPR Art. 6(1)(a))", I6716="Not Captured"), "Gap - Invalid Consent", IF(AND(D6716="Legitimate Interest (GDPR Art. 6(1)(f))", L6716=""), "Gap - Missing LIA", IF(AND(G6716="Yes", H6716=""), "Gap - Missing Art. 9 Basis", IF(OR(I6716="Invalid - Not Freely Given", I6716="Invalid - Not Specific", I6716="Invalid - Not Informed", I6716="Invalid - Ambiguous"), "Gap - Invalid Consent", "Compliant")))))</f>
        <v/>
      </c>
      <c r="O6716" s="7" t="n"/>
    </row>
    <row r="6717">
      <c r="A6717" s="7" t="n"/>
      <c r="B6717" s="7" t="n"/>
      <c r="C6717" s="7" t="n"/>
      <c r="D6717" s="7" t="n"/>
      <c r="E6717" s="7" t="n"/>
      <c r="F6717" s="7" t="n"/>
      <c r="G6717" s="7" t="n"/>
      <c r="H6717" s="7" t="n"/>
      <c r="I6717" s="7" t="n"/>
      <c r="J6717" s="7" t="n"/>
      <c r="K6717">
        <f>IF(D6717="Legitimate Interest (GDPR Art. 6(1)(f))", "Yes / Required (Sheet 3)", "")</f>
        <v/>
      </c>
      <c r="L6717" s="7" t="n"/>
      <c r="M6717" s="7" t="n"/>
      <c r="N6717">
        <f>IF(D6717="", "Gap - No Legal Basis", IF(AND(D6717="Consent (GDPR Art. 6(1)(a))", I6717="Not Captured"), "Gap - Invalid Consent", IF(AND(D6717="Legitimate Interest (GDPR Art. 6(1)(f))", L6717=""), "Gap - Missing LIA", IF(AND(G6717="Yes", H6717=""), "Gap - Missing Art. 9 Basis", IF(OR(I6717="Invalid - Not Freely Given", I6717="Invalid - Not Specific", I6717="Invalid - Not Informed", I6717="Invalid - Ambiguous"), "Gap - Invalid Consent", "Compliant")))))</f>
        <v/>
      </c>
      <c r="O6717" s="7" t="n"/>
    </row>
    <row r="6718">
      <c r="A6718" s="7" t="n"/>
      <c r="B6718" s="7" t="n"/>
      <c r="C6718" s="7" t="n"/>
      <c r="D6718" s="7" t="n"/>
      <c r="E6718" s="7" t="n"/>
      <c r="F6718" s="7" t="n"/>
      <c r="G6718" s="7" t="n"/>
      <c r="H6718" s="7" t="n"/>
      <c r="I6718" s="7" t="n"/>
      <c r="J6718" s="7" t="n"/>
      <c r="K6718">
        <f>IF(D6718="Legitimate Interest (GDPR Art. 6(1)(f))", "Yes / Required (Sheet 3)", "")</f>
        <v/>
      </c>
      <c r="L6718" s="7" t="n"/>
      <c r="M6718" s="7" t="n"/>
      <c r="N6718">
        <f>IF(D6718="", "Gap - No Legal Basis", IF(AND(D6718="Consent (GDPR Art. 6(1)(a))", I6718="Not Captured"), "Gap - Invalid Consent", IF(AND(D6718="Legitimate Interest (GDPR Art. 6(1)(f))", L6718=""), "Gap - Missing LIA", IF(AND(G6718="Yes", H6718=""), "Gap - Missing Art. 9 Basis", IF(OR(I6718="Invalid - Not Freely Given", I6718="Invalid - Not Specific", I6718="Invalid - Not Informed", I6718="Invalid - Ambiguous"), "Gap - Invalid Consent", "Compliant")))))</f>
        <v/>
      </c>
      <c r="O6718" s="7" t="n"/>
    </row>
    <row r="6719">
      <c r="A6719" s="7" t="n"/>
      <c r="B6719" s="7" t="n"/>
      <c r="C6719" s="7" t="n"/>
      <c r="D6719" s="7" t="n"/>
      <c r="E6719" s="7" t="n"/>
      <c r="F6719" s="7" t="n"/>
      <c r="G6719" s="7" t="n"/>
      <c r="H6719" s="7" t="n"/>
      <c r="I6719" s="7" t="n"/>
      <c r="J6719" s="7" t="n"/>
      <c r="K6719">
        <f>IF(D6719="Legitimate Interest (GDPR Art. 6(1)(f))", "Yes / Required (Sheet 3)", "")</f>
        <v/>
      </c>
      <c r="L6719" s="7" t="n"/>
      <c r="M6719" s="7" t="n"/>
      <c r="N6719">
        <f>IF(D6719="", "Gap - No Legal Basis", IF(AND(D6719="Consent (GDPR Art. 6(1)(a))", I6719="Not Captured"), "Gap - Invalid Consent", IF(AND(D6719="Legitimate Interest (GDPR Art. 6(1)(f))", L6719=""), "Gap - Missing LIA", IF(AND(G6719="Yes", H6719=""), "Gap - Missing Art. 9 Basis", IF(OR(I6719="Invalid - Not Freely Given", I6719="Invalid - Not Specific", I6719="Invalid - Not Informed", I6719="Invalid - Ambiguous"), "Gap - Invalid Consent", "Compliant")))))</f>
        <v/>
      </c>
      <c r="O6719" s="7" t="n"/>
    </row>
    <row r="6720">
      <c r="A6720" s="7" t="n"/>
      <c r="B6720" s="7" t="n"/>
      <c r="C6720" s="7" t="n"/>
      <c r="D6720" s="7" t="n"/>
      <c r="E6720" s="7" t="n"/>
      <c r="F6720" s="7" t="n"/>
      <c r="G6720" s="7" t="n"/>
      <c r="H6720" s="7" t="n"/>
      <c r="I6720" s="7" t="n"/>
      <c r="J6720" s="7" t="n"/>
      <c r="K6720">
        <f>IF(D6720="Legitimate Interest (GDPR Art. 6(1)(f))", "Yes / Required (Sheet 3)", "")</f>
        <v/>
      </c>
      <c r="L6720" s="7" t="n"/>
      <c r="M6720" s="7" t="n"/>
      <c r="N6720">
        <f>IF(D6720="", "Gap - No Legal Basis", IF(AND(D6720="Consent (GDPR Art. 6(1)(a))", I6720="Not Captured"), "Gap - Invalid Consent", IF(AND(D6720="Legitimate Interest (GDPR Art. 6(1)(f))", L6720=""), "Gap - Missing LIA", IF(AND(G6720="Yes", H6720=""), "Gap - Missing Art. 9 Basis", IF(OR(I6720="Invalid - Not Freely Given", I6720="Invalid - Not Specific", I6720="Invalid - Not Informed", I6720="Invalid - Ambiguous"), "Gap - Invalid Consent", "Compliant")))))</f>
        <v/>
      </c>
      <c r="O6720" s="7" t="n"/>
    </row>
    <row r="6721">
      <c r="A6721" s="7" t="n"/>
      <c r="B6721" s="7" t="n"/>
      <c r="C6721" s="7" t="n"/>
      <c r="D6721" s="7" t="n"/>
      <c r="E6721" s="7" t="n"/>
      <c r="F6721" s="7" t="n"/>
      <c r="G6721" s="7" t="n"/>
      <c r="H6721" s="7" t="n"/>
      <c r="I6721" s="7" t="n"/>
      <c r="J6721" s="7" t="n"/>
      <c r="K6721">
        <f>IF(D6721="Legitimate Interest (GDPR Art. 6(1)(f))", "Yes / Required (Sheet 3)", "")</f>
        <v/>
      </c>
      <c r="L6721" s="7" t="n"/>
      <c r="M6721" s="7" t="n"/>
      <c r="N6721">
        <f>IF(D6721="", "Gap - No Legal Basis", IF(AND(D6721="Consent (GDPR Art. 6(1)(a))", I6721="Not Captured"), "Gap - Invalid Consent", IF(AND(D6721="Legitimate Interest (GDPR Art. 6(1)(f))", L6721=""), "Gap - Missing LIA", IF(AND(G6721="Yes", H6721=""), "Gap - Missing Art. 9 Basis", IF(OR(I6721="Invalid - Not Freely Given", I6721="Invalid - Not Specific", I6721="Invalid - Not Informed", I6721="Invalid - Ambiguous"), "Gap - Invalid Consent", "Compliant")))))</f>
        <v/>
      </c>
      <c r="O6721" s="7" t="n"/>
    </row>
    <row r="6722">
      <c r="A6722" s="7" t="n"/>
      <c r="B6722" s="7" t="n"/>
      <c r="C6722" s="7" t="n"/>
      <c r="D6722" s="7" t="n"/>
      <c r="E6722" s="7" t="n"/>
      <c r="F6722" s="7" t="n"/>
      <c r="G6722" s="7" t="n"/>
      <c r="H6722" s="7" t="n"/>
      <c r="I6722" s="7" t="n"/>
      <c r="J6722" s="7" t="n"/>
      <c r="K6722">
        <f>IF(D6722="Legitimate Interest (GDPR Art. 6(1)(f))", "Yes / Required (Sheet 3)", "")</f>
        <v/>
      </c>
      <c r="L6722" s="7" t="n"/>
      <c r="M6722" s="7" t="n"/>
      <c r="N6722">
        <f>IF(D6722="", "Gap - No Legal Basis", IF(AND(D6722="Consent (GDPR Art. 6(1)(a))", I6722="Not Captured"), "Gap - Invalid Consent", IF(AND(D6722="Legitimate Interest (GDPR Art. 6(1)(f))", L6722=""), "Gap - Missing LIA", IF(AND(G6722="Yes", H6722=""), "Gap - Missing Art. 9 Basis", IF(OR(I6722="Invalid - Not Freely Given", I6722="Invalid - Not Specific", I6722="Invalid - Not Informed", I6722="Invalid - Ambiguous"), "Gap - Invalid Consent", "Compliant")))))</f>
        <v/>
      </c>
      <c r="O6722" s="7" t="n"/>
    </row>
    <row r="6723">
      <c r="A6723" s="7" t="n"/>
      <c r="B6723" s="7" t="n"/>
      <c r="C6723" s="7" t="n"/>
      <c r="D6723" s="7" t="n"/>
      <c r="E6723" s="7" t="n"/>
      <c r="F6723" s="7" t="n"/>
      <c r="G6723" s="7" t="n"/>
      <c r="H6723" s="7" t="n"/>
      <c r="I6723" s="7" t="n"/>
      <c r="J6723" s="7" t="n"/>
      <c r="K6723">
        <f>IF(D6723="Legitimate Interest (GDPR Art. 6(1)(f))", "Yes / Required (Sheet 3)", "")</f>
        <v/>
      </c>
      <c r="L6723" s="7" t="n"/>
      <c r="M6723" s="7" t="n"/>
      <c r="N6723">
        <f>IF(D6723="", "Gap - No Legal Basis", IF(AND(D6723="Consent (GDPR Art. 6(1)(a))", I6723="Not Captured"), "Gap - Invalid Consent", IF(AND(D6723="Legitimate Interest (GDPR Art. 6(1)(f))", L6723=""), "Gap - Missing LIA", IF(AND(G6723="Yes", H6723=""), "Gap - Missing Art. 9 Basis", IF(OR(I6723="Invalid - Not Freely Given", I6723="Invalid - Not Specific", I6723="Invalid - Not Informed", I6723="Invalid - Ambiguous"), "Gap - Invalid Consent", "Compliant")))))</f>
        <v/>
      </c>
      <c r="O6723" s="7" t="n"/>
    </row>
    <row r="6724">
      <c r="A6724" s="7" t="n"/>
      <c r="B6724" s="7" t="n"/>
      <c r="C6724" s="7" t="n"/>
      <c r="D6724" s="7" t="n"/>
      <c r="E6724" s="7" t="n"/>
      <c r="F6724" s="7" t="n"/>
      <c r="G6724" s="7" t="n"/>
      <c r="H6724" s="7" t="n"/>
      <c r="I6724" s="7" t="n"/>
      <c r="J6724" s="7" t="n"/>
      <c r="K6724">
        <f>IF(D6724="Legitimate Interest (GDPR Art. 6(1)(f))", "Yes / Required (Sheet 3)", "")</f>
        <v/>
      </c>
      <c r="L6724" s="7" t="n"/>
      <c r="M6724" s="7" t="n"/>
      <c r="N6724">
        <f>IF(D6724="", "Gap - No Legal Basis", IF(AND(D6724="Consent (GDPR Art. 6(1)(a))", I6724="Not Captured"), "Gap - Invalid Consent", IF(AND(D6724="Legitimate Interest (GDPR Art. 6(1)(f))", L6724=""), "Gap - Missing LIA", IF(AND(G6724="Yes", H6724=""), "Gap - Missing Art. 9 Basis", IF(OR(I6724="Invalid - Not Freely Given", I6724="Invalid - Not Specific", I6724="Invalid - Not Informed", I6724="Invalid - Ambiguous"), "Gap - Invalid Consent", "Compliant")))))</f>
        <v/>
      </c>
      <c r="O6724" s="7" t="n"/>
    </row>
    <row r="6725">
      <c r="A6725" s="7" t="n"/>
      <c r="B6725" s="7" t="n"/>
      <c r="C6725" s="7" t="n"/>
      <c r="D6725" s="7" t="n"/>
      <c r="E6725" s="7" t="n"/>
      <c r="F6725" s="7" t="n"/>
      <c r="G6725" s="7" t="n"/>
      <c r="H6725" s="7" t="n"/>
      <c r="I6725" s="7" t="n"/>
      <c r="J6725" s="7" t="n"/>
      <c r="K6725">
        <f>IF(D6725="Legitimate Interest (GDPR Art. 6(1)(f))", "Yes / Required (Sheet 3)", "")</f>
        <v/>
      </c>
      <c r="L6725" s="7" t="n"/>
      <c r="M6725" s="7" t="n"/>
      <c r="N6725">
        <f>IF(D6725="", "Gap - No Legal Basis", IF(AND(D6725="Consent (GDPR Art. 6(1)(a))", I6725="Not Captured"), "Gap - Invalid Consent", IF(AND(D6725="Legitimate Interest (GDPR Art. 6(1)(f))", L6725=""), "Gap - Missing LIA", IF(AND(G6725="Yes", H6725=""), "Gap - Missing Art. 9 Basis", IF(OR(I6725="Invalid - Not Freely Given", I6725="Invalid - Not Specific", I6725="Invalid - Not Informed", I6725="Invalid - Ambiguous"), "Gap - Invalid Consent", "Compliant")))))</f>
        <v/>
      </c>
      <c r="O6725" s="7" t="n"/>
    </row>
    <row r="6726">
      <c r="A6726" s="7" t="n"/>
      <c r="B6726" s="7" t="n"/>
      <c r="C6726" s="7" t="n"/>
      <c r="D6726" s="7" t="n"/>
      <c r="E6726" s="7" t="n"/>
      <c r="F6726" s="7" t="n"/>
      <c r="G6726" s="7" t="n"/>
      <c r="H6726" s="7" t="n"/>
      <c r="I6726" s="7" t="n"/>
      <c r="J6726" s="7" t="n"/>
      <c r="K6726">
        <f>IF(D6726="Legitimate Interest (GDPR Art. 6(1)(f))", "Yes / Required (Sheet 3)", "")</f>
        <v/>
      </c>
      <c r="L6726" s="7" t="n"/>
      <c r="M6726" s="7" t="n"/>
      <c r="N6726">
        <f>IF(D6726="", "Gap - No Legal Basis", IF(AND(D6726="Consent (GDPR Art. 6(1)(a))", I6726="Not Captured"), "Gap - Invalid Consent", IF(AND(D6726="Legitimate Interest (GDPR Art. 6(1)(f))", L6726=""), "Gap - Missing LIA", IF(AND(G6726="Yes", H6726=""), "Gap - Missing Art. 9 Basis", IF(OR(I6726="Invalid - Not Freely Given", I6726="Invalid - Not Specific", I6726="Invalid - Not Informed", I6726="Invalid - Ambiguous"), "Gap - Invalid Consent", "Compliant")))))</f>
        <v/>
      </c>
      <c r="O6726" s="7" t="n"/>
    </row>
    <row r="6727">
      <c r="A6727" s="7" t="n"/>
      <c r="B6727" s="7" t="n"/>
      <c r="C6727" s="7" t="n"/>
      <c r="D6727" s="7" t="n"/>
      <c r="E6727" s="7" t="n"/>
      <c r="F6727" s="7" t="n"/>
      <c r="G6727" s="7" t="n"/>
      <c r="H6727" s="7" t="n"/>
      <c r="I6727" s="7" t="n"/>
      <c r="J6727" s="7" t="n"/>
      <c r="K6727">
        <f>IF(D6727="Legitimate Interest (GDPR Art. 6(1)(f))", "Yes / Required (Sheet 3)", "")</f>
        <v/>
      </c>
      <c r="L6727" s="7" t="n"/>
      <c r="M6727" s="7" t="n"/>
      <c r="N6727">
        <f>IF(D6727="", "Gap - No Legal Basis", IF(AND(D6727="Consent (GDPR Art. 6(1)(a))", I6727="Not Captured"), "Gap - Invalid Consent", IF(AND(D6727="Legitimate Interest (GDPR Art. 6(1)(f))", L6727=""), "Gap - Missing LIA", IF(AND(G6727="Yes", H6727=""), "Gap - Missing Art. 9 Basis", IF(OR(I6727="Invalid - Not Freely Given", I6727="Invalid - Not Specific", I6727="Invalid - Not Informed", I6727="Invalid - Ambiguous"), "Gap - Invalid Consent", "Compliant")))))</f>
        <v/>
      </c>
      <c r="O6727" s="7" t="n"/>
    </row>
    <row r="6728">
      <c r="A6728" s="7" t="n"/>
      <c r="B6728" s="7" t="n"/>
      <c r="C6728" s="7" t="n"/>
      <c r="D6728" s="7" t="n"/>
      <c r="E6728" s="7" t="n"/>
      <c r="F6728" s="7" t="n"/>
      <c r="G6728" s="7" t="n"/>
      <c r="H6728" s="7" t="n"/>
      <c r="I6728" s="7" t="n"/>
      <c r="J6728" s="7" t="n"/>
      <c r="K6728">
        <f>IF(D6728="Legitimate Interest (GDPR Art. 6(1)(f))", "Yes / Required (Sheet 3)", "")</f>
        <v/>
      </c>
      <c r="L6728" s="7" t="n"/>
      <c r="M6728" s="7" t="n"/>
      <c r="N6728">
        <f>IF(D6728="", "Gap - No Legal Basis", IF(AND(D6728="Consent (GDPR Art. 6(1)(a))", I6728="Not Captured"), "Gap - Invalid Consent", IF(AND(D6728="Legitimate Interest (GDPR Art. 6(1)(f))", L6728=""), "Gap - Missing LIA", IF(AND(G6728="Yes", H6728=""), "Gap - Missing Art. 9 Basis", IF(OR(I6728="Invalid - Not Freely Given", I6728="Invalid - Not Specific", I6728="Invalid - Not Informed", I6728="Invalid - Ambiguous"), "Gap - Invalid Consent", "Compliant")))))</f>
        <v/>
      </c>
      <c r="O6728" s="7" t="n"/>
    </row>
    <row r="6729">
      <c r="A6729" s="7" t="n"/>
      <c r="B6729" s="7" t="n"/>
      <c r="C6729" s="7" t="n"/>
      <c r="D6729" s="7" t="n"/>
      <c r="E6729" s="7" t="n"/>
      <c r="F6729" s="7" t="n"/>
      <c r="G6729" s="7" t="n"/>
      <c r="H6729" s="7" t="n"/>
      <c r="I6729" s="7" t="n"/>
      <c r="J6729" s="7" t="n"/>
      <c r="K6729">
        <f>IF(D6729="Legitimate Interest (GDPR Art. 6(1)(f))", "Yes / Required (Sheet 3)", "")</f>
        <v/>
      </c>
      <c r="L6729" s="7" t="n"/>
      <c r="M6729" s="7" t="n"/>
      <c r="N6729">
        <f>IF(D6729="", "Gap - No Legal Basis", IF(AND(D6729="Consent (GDPR Art. 6(1)(a))", I6729="Not Captured"), "Gap - Invalid Consent", IF(AND(D6729="Legitimate Interest (GDPR Art. 6(1)(f))", L6729=""), "Gap - Missing LIA", IF(AND(G6729="Yes", H6729=""), "Gap - Missing Art. 9 Basis", IF(OR(I6729="Invalid - Not Freely Given", I6729="Invalid - Not Specific", I6729="Invalid - Not Informed", I6729="Invalid - Ambiguous"), "Gap - Invalid Consent", "Compliant")))))</f>
        <v/>
      </c>
      <c r="O6729" s="7" t="n"/>
    </row>
    <row r="6730">
      <c r="A6730" s="7" t="n"/>
      <c r="B6730" s="7" t="n"/>
      <c r="C6730" s="7" t="n"/>
      <c r="D6730" s="7" t="n"/>
      <c r="E6730" s="7" t="n"/>
      <c r="F6730" s="7" t="n"/>
      <c r="G6730" s="7" t="n"/>
      <c r="H6730" s="7" t="n"/>
      <c r="I6730" s="7" t="n"/>
      <c r="J6730" s="7" t="n"/>
      <c r="K6730">
        <f>IF(D6730="Legitimate Interest (GDPR Art. 6(1)(f))", "Yes / Required (Sheet 3)", "")</f>
        <v/>
      </c>
      <c r="L6730" s="7" t="n"/>
      <c r="M6730" s="7" t="n"/>
      <c r="N6730">
        <f>IF(D6730="", "Gap - No Legal Basis", IF(AND(D6730="Consent (GDPR Art. 6(1)(a))", I6730="Not Captured"), "Gap - Invalid Consent", IF(AND(D6730="Legitimate Interest (GDPR Art. 6(1)(f))", L6730=""), "Gap - Missing LIA", IF(AND(G6730="Yes", H6730=""), "Gap - Missing Art. 9 Basis", IF(OR(I6730="Invalid - Not Freely Given", I6730="Invalid - Not Specific", I6730="Invalid - Not Informed", I6730="Invalid - Ambiguous"), "Gap - Invalid Consent", "Compliant")))))</f>
        <v/>
      </c>
      <c r="O6730" s="7" t="n"/>
    </row>
    <row r="6731">
      <c r="A6731" s="7" t="n"/>
      <c r="B6731" s="7" t="n"/>
      <c r="C6731" s="7" t="n"/>
      <c r="D6731" s="7" t="n"/>
      <c r="E6731" s="7" t="n"/>
      <c r="F6731" s="7" t="n"/>
      <c r="G6731" s="7" t="n"/>
      <c r="H6731" s="7" t="n"/>
      <c r="I6731" s="7" t="n"/>
      <c r="J6731" s="7" t="n"/>
      <c r="K6731">
        <f>IF(D6731="Legitimate Interest (GDPR Art. 6(1)(f))", "Yes / Required (Sheet 3)", "")</f>
        <v/>
      </c>
      <c r="L6731" s="7" t="n"/>
      <c r="M6731" s="7" t="n"/>
      <c r="N6731">
        <f>IF(D6731="", "Gap - No Legal Basis", IF(AND(D6731="Consent (GDPR Art. 6(1)(a))", I6731="Not Captured"), "Gap - Invalid Consent", IF(AND(D6731="Legitimate Interest (GDPR Art. 6(1)(f))", L6731=""), "Gap - Missing LIA", IF(AND(G6731="Yes", H6731=""), "Gap - Missing Art. 9 Basis", IF(OR(I6731="Invalid - Not Freely Given", I6731="Invalid - Not Specific", I6731="Invalid - Not Informed", I6731="Invalid - Ambiguous"), "Gap - Invalid Consent", "Compliant")))))</f>
        <v/>
      </c>
      <c r="O6731" s="7" t="n"/>
    </row>
    <row r="6732">
      <c r="A6732" s="7" t="n"/>
      <c r="B6732" s="7" t="n"/>
      <c r="C6732" s="7" t="n"/>
      <c r="D6732" s="7" t="n"/>
      <c r="E6732" s="7" t="n"/>
      <c r="F6732" s="7" t="n"/>
      <c r="G6732" s="7" t="n"/>
      <c r="H6732" s="7" t="n"/>
      <c r="I6732" s="7" t="n"/>
      <c r="J6732" s="7" t="n"/>
      <c r="K6732">
        <f>IF(D6732="Legitimate Interest (GDPR Art. 6(1)(f))", "Yes / Required (Sheet 3)", "")</f>
        <v/>
      </c>
      <c r="L6732" s="7" t="n"/>
      <c r="M6732" s="7" t="n"/>
      <c r="N6732">
        <f>IF(D6732="", "Gap - No Legal Basis", IF(AND(D6732="Consent (GDPR Art. 6(1)(a))", I6732="Not Captured"), "Gap - Invalid Consent", IF(AND(D6732="Legitimate Interest (GDPR Art. 6(1)(f))", L6732=""), "Gap - Missing LIA", IF(AND(G6732="Yes", H6732=""), "Gap - Missing Art. 9 Basis", IF(OR(I6732="Invalid - Not Freely Given", I6732="Invalid - Not Specific", I6732="Invalid - Not Informed", I6732="Invalid - Ambiguous"), "Gap - Invalid Consent", "Compliant")))))</f>
        <v/>
      </c>
      <c r="O6732" s="7" t="n"/>
    </row>
    <row r="6733">
      <c r="A6733" s="7" t="n"/>
      <c r="B6733" s="7" t="n"/>
      <c r="C6733" s="7" t="n"/>
      <c r="D6733" s="7" t="n"/>
      <c r="E6733" s="7" t="n"/>
      <c r="F6733" s="7" t="n"/>
      <c r="G6733" s="7" t="n"/>
      <c r="H6733" s="7" t="n"/>
      <c r="I6733" s="7" t="n"/>
      <c r="J6733" s="7" t="n"/>
      <c r="K6733">
        <f>IF(D6733="Legitimate Interest (GDPR Art. 6(1)(f))", "Yes / Required (Sheet 3)", "")</f>
        <v/>
      </c>
      <c r="L6733" s="7" t="n"/>
      <c r="M6733" s="7" t="n"/>
      <c r="N6733">
        <f>IF(D6733="", "Gap - No Legal Basis", IF(AND(D6733="Consent (GDPR Art. 6(1)(a))", I6733="Not Captured"), "Gap - Invalid Consent", IF(AND(D6733="Legitimate Interest (GDPR Art. 6(1)(f))", L6733=""), "Gap - Missing LIA", IF(AND(G6733="Yes", H6733=""), "Gap - Missing Art. 9 Basis", IF(OR(I6733="Invalid - Not Freely Given", I6733="Invalid - Not Specific", I6733="Invalid - Not Informed", I6733="Invalid - Ambiguous"), "Gap - Invalid Consent", "Compliant")))))</f>
        <v/>
      </c>
      <c r="O6733" s="7" t="n"/>
    </row>
    <row r="6734">
      <c r="A6734" s="7" t="n"/>
      <c r="B6734" s="7" t="n"/>
      <c r="C6734" s="7" t="n"/>
      <c r="D6734" s="7" t="n"/>
      <c r="E6734" s="7" t="n"/>
      <c r="F6734" s="7" t="n"/>
      <c r="G6734" s="7" t="n"/>
      <c r="H6734" s="7" t="n"/>
      <c r="I6734" s="7" t="n"/>
      <c r="J6734" s="7" t="n"/>
      <c r="K6734">
        <f>IF(D6734="Legitimate Interest (GDPR Art. 6(1)(f))", "Yes / Required (Sheet 3)", "")</f>
        <v/>
      </c>
      <c r="L6734" s="7" t="n"/>
      <c r="M6734" s="7" t="n"/>
      <c r="N6734">
        <f>IF(D6734="", "Gap - No Legal Basis", IF(AND(D6734="Consent (GDPR Art. 6(1)(a))", I6734="Not Captured"), "Gap - Invalid Consent", IF(AND(D6734="Legitimate Interest (GDPR Art. 6(1)(f))", L6734=""), "Gap - Missing LIA", IF(AND(G6734="Yes", H6734=""), "Gap - Missing Art. 9 Basis", IF(OR(I6734="Invalid - Not Freely Given", I6734="Invalid - Not Specific", I6734="Invalid - Not Informed", I6734="Invalid - Ambiguous"), "Gap - Invalid Consent", "Compliant")))))</f>
        <v/>
      </c>
      <c r="O6734" s="7" t="n"/>
    </row>
    <row r="6735">
      <c r="A6735" s="7" t="n"/>
      <c r="B6735" s="7" t="n"/>
      <c r="C6735" s="7" t="n"/>
      <c r="D6735" s="7" t="n"/>
      <c r="E6735" s="7" t="n"/>
      <c r="F6735" s="7" t="n"/>
      <c r="G6735" s="7" t="n"/>
      <c r="H6735" s="7" t="n"/>
      <c r="I6735" s="7" t="n"/>
      <c r="J6735" s="7" t="n"/>
      <c r="K6735">
        <f>IF(D6735="Legitimate Interest (GDPR Art. 6(1)(f))", "Yes / Required (Sheet 3)", "")</f>
        <v/>
      </c>
      <c r="L6735" s="7" t="n"/>
      <c r="M6735" s="7" t="n"/>
      <c r="N6735">
        <f>IF(D6735="", "Gap - No Legal Basis", IF(AND(D6735="Consent (GDPR Art. 6(1)(a))", I6735="Not Captured"), "Gap - Invalid Consent", IF(AND(D6735="Legitimate Interest (GDPR Art. 6(1)(f))", L6735=""), "Gap - Missing LIA", IF(AND(G6735="Yes", H6735=""), "Gap - Missing Art. 9 Basis", IF(OR(I6735="Invalid - Not Freely Given", I6735="Invalid - Not Specific", I6735="Invalid - Not Informed", I6735="Invalid - Ambiguous"), "Gap - Invalid Consent", "Compliant")))))</f>
        <v/>
      </c>
      <c r="O6735" s="7" t="n"/>
    </row>
    <row r="6736">
      <c r="A6736" s="7" t="n"/>
      <c r="B6736" s="7" t="n"/>
      <c r="C6736" s="7" t="n"/>
      <c r="D6736" s="7" t="n"/>
      <c r="E6736" s="7" t="n"/>
      <c r="F6736" s="7" t="n"/>
      <c r="G6736" s="7" t="n"/>
      <c r="H6736" s="7" t="n"/>
      <c r="I6736" s="7" t="n"/>
      <c r="J6736" s="7" t="n"/>
      <c r="K6736">
        <f>IF(D6736="Legitimate Interest (GDPR Art. 6(1)(f))", "Yes / Required (Sheet 3)", "")</f>
        <v/>
      </c>
      <c r="L6736" s="7" t="n"/>
      <c r="M6736" s="7" t="n"/>
      <c r="N6736">
        <f>IF(D6736="", "Gap - No Legal Basis", IF(AND(D6736="Consent (GDPR Art. 6(1)(a))", I6736="Not Captured"), "Gap - Invalid Consent", IF(AND(D6736="Legitimate Interest (GDPR Art. 6(1)(f))", L6736=""), "Gap - Missing LIA", IF(AND(G6736="Yes", H6736=""), "Gap - Missing Art. 9 Basis", IF(OR(I6736="Invalid - Not Freely Given", I6736="Invalid - Not Specific", I6736="Invalid - Not Informed", I6736="Invalid - Ambiguous"), "Gap - Invalid Consent", "Compliant")))))</f>
        <v/>
      </c>
      <c r="O6736" s="7" t="n"/>
    </row>
    <row r="6737">
      <c r="A6737" s="7" t="n"/>
      <c r="B6737" s="7" t="n"/>
      <c r="C6737" s="7" t="n"/>
      <c r="D6737" s="7" t="n"/>
      <c r="E6737" s="7" t="n"/>
      <c r="F6737" s="7" t="n"/>
      <c r="G6737" s="7" t="n"/>
      <c r="H6737" s="7" t="n"/>
      <c r="I6737" s="7" t="n"/>
      <c r="J6737" s="7" t="n"/>
      <c r="K6737">
        <f>IF(D6737="Legitimate Interest (GDPR Art. 6(1)(f))", "Yes / Required (Sheet 3)", "")</f>
        <v/>
      </c>
      <c r="L6737" s="7" t="n"/>
      <c r="M6737" s="7" t="n"/>
      <c r="N6737">
        <f>IF(D6737="", "Gap - No Legal Basis", IF(AND(D6737="Consent (GDPR Art. 6(1)(a))", I6737="Not Captured"), "Gap - Invalid Consent", IF(AND(D6737="Legitimate Interest (GDPR Art. 6(1)(f))", L6737=""), "Gap - Missing LIA", IF(AND(G6737="Yes", H6737=""), "Gap - Missing Art. 9 Basis", IF(OR(I6737="Invalid - Not Freely Given", I6737="Invalid - Not Specific", I6737="Invalid - Not Informed", I6737="Invalid - Ambiguous"), "Gap - Invalid Consent", "Compliant")))))</f>
        <v/>
      </c>
      <c r="O6737" s="7" t="n"/>
    </row>
    <row r="6738">
      <c r="A6738" s="7" t="n"/>
      <c r="B6738" s="7" t="n"/>
      <c r="C6738" s="7" t="n"/>
      <c r="D6738" s="7" t="n"/>
      <c r="E6738" s="7" t="n"/>
      <c r="F6738" s="7" t="n"/>
      <c r="G6738" s="7" t="n"/>
      <c r="H6738" s="7" t="n"/>
      <c r="I6738" s="7" t="n"/>
      <c r="J6738" s="7" t="n"/>
      <c r="K6738">
        <f>IF(D6738="Legitimate Interest (GDPR Art. 6(1)(f))", "Yes / Required (Sheet 3)", "")</f>
        <v/>
      </c>
      <c r="L6738" s="7" t="n"/>
      <c r="M6738" s="7" t="n"/>
      <c r="N6738">
        <f>IF(D6738="", "Gap - No Legal Basis", IF(AND(D6738="Consent (GDPR Art. 6(1)(a))", I6738="Not Captured"), "Gap - Invalid Consent", IF(AND(D6738="Legitimate Interest (GDPR Art. 6(1)(f))", L6738=""), "Gap - Missing LIA", IF(AND(G6738="Yes", H6738=""), "Gap - Missing Art. 9 Basis", IF(OR(I6738="Invalid - Not Freely Given", I6738="Invalid - Not Specific", I6738="Invalid - Not Informed", I6738="Invalid - Ambiguous"), "Gap - Invalid Consent", "Compliant")))))</f>
        <v/>
      </c>
      <c r="O6738" s="7" t="n"/>
    </row>
    <row r="6739">
      <c r="A6739" s="7" t="n"/>
      <c r="B6739" s="7" t="n"/>
      <c r="C6739" s="7" t="n"/>
      <c r="D6739" s="7" t="n"/>
      <c r="E6739" s="7" t="n"/>
      <c r="F6739" s="7" t="n"/>
      <c r="G6739" s="7" t="n"/>
      <c r="H6739" s="7" t="n"/>
      <c r="I6739" s="7" t="n"/>
      <c r="J6739" s="7" t="n"/>
      <c r="K6739">
        <f>IF(D6739="Legitimate Interest (GDPR Art. 6(1)(f))", "Yes / Required (Sheet 3)", "")</f>
        <v/>
      </c>
      <c r="L6739" s="7" t="n"/>
      <c r="M6739" s="7" t="n"/>
      <c r="N6739">
        <f>IF(D6739="", "Gap - No Legal Basis", IF(AND(D6739="Consent (GDPR Art. 6(1)(a))", I6739="Not Captured"), "Gap - Invalid Consent", IF(AND(D6739="Legitimate Interest (GDPR Art. 6(1)(f))", L6739=""), "Gap - Missing LIA", IF(AND(G6739="Yes", H6739=""), "Gap - Missing Art. 9 Basis", IF(OR(I6739="Invalid - Not Freely Given", I6739="Invalid - Not Specific", I6739="Invalid - Not Informed", I6739="Invalid - Ambiguous"), "Gap - Invalid Consent", "Compliant")))))</f>
        <v/>
      </c>
      <c r="O6739" s="7" t="n"/>
    </row>
    <row r="6740">
      <c r="A6740" s="7" t="n"/>
      <c r="B6740" s="7" t="n"/>
      <c r="C6740" s="7" t="n"/>
      <c r="D6740" s="7" t="n"/>
      <c r="E6740" s="7" t="n"/>
      <c r="F6740" s="7" t="n"/>
      <c r="G6740" s="7" t="n"/>
      <c r="H6740" s="7" t="n"/>
      <c r="I6740" s="7" t="n"/>
      <c r="J6740" s="7" t="n"/>
      <c r="K6740">
        <f>IF(D6740="Legitimate Interest (GDPR Art. 6(1)(f))", "Yes / Required (Sheet 3)", "")</f>
        <v/>
      </c>
      <c r="L6740" s="7" t="n"/>
      <c r="M6740" s="7" t="n"/>
      <c r="N6740">
        <f>IF(D6740="", "Gap - No Legal Basis", IF(AND(D6740="Consent (GDPR Art. 6(1)(a))", I6740="Not Captured"), "Gap - Invalid Consent", IF(AND(D6740="Legitimate Interest (GDPR Art. 6(1)(f))", L6740=""), "Gap - Missing LIA", IF(AND(G6740="Yes", H6740=""), "Gap - Missing Art. 9 Basis", IF(OR(I6740="Invalid - Not Freely Given", I6740="Invalid - Not Specific", I6740="Invalid - Not Informed", I6740="Invalid - Ambiguous"), "Gap - Invalid Consent", "Compliant")))))</f>
        <v/>
      </c>
      <c r="O6740" s="7" t="n"/>
    </row>
    <row r="6741">
      <c r="A6741" s="7" t="n"/>
      <c r="B6741" s="7" t="n"/>
      <c r="C6741" s="7" t="n"/>
      <c r="D6741" s="7" t="n"/>
      <c r="E6741" s="7" t="n"/>
      <c r="F6741" s="7" t="n"/>
      <c r="G6741" s="7" t="n"/>
      <c r="H6741" s="7" t="n"/>
      <c r="I6741" s="7" t="n"/>
      <c r="J6741" s="7" t="n"/>
      <c r="K6741">
        <f>IF(D6741="Legitimate Interest (GDPR Art. 6(1)(f))", "Yes / Required (Sheet 3)", "")</f>
        <v/>
      </c>
      <c r="L6741" s="7" t="n"/>
      <c r="M6741" s="7" t="n"/>
      <c r="N6741">
        <f>IF(D6741="", "Gap - No Legal Basis", IF(AND(D6741="Consent (GDPR Art. 6(1)(a))", I6741="Not Captured"), "Gap - Invalid Consent", IF(AND(D6741="Legitimate Interest (GDPR Art. 6(1)(f))", L6741=""), "Gap - Missing LIA", IF(AND(G6741="Yes", H6741=""), "Gap - Missing Art. 9 Basis", IF(OR(I6741="Invalid - Not Freely Given", I6741="Invalid - Not Specific", I6741="Invalid - Not Informed", I6741="Invalid - Ambiguous"), "Gap - Invalid Consent", "Compliant")))))</f>
        <v/>
      </c>
      <c r="O6741" s="7" t="n"/>
    </row>
    <row r="6742">
      <c r="A6742" s="7" t="n"/>
      <c r="B6742" s="7" t="n"/>
      <c r="C6742" s="7" t="n"/>
      <c r="D6742" s="7" t="n"/>
      <c r="E6742" s="7" t="n"/>
      <c r="F6742" s="7" t="n"/>
      <c r="G6742" s="7" t="n"/>
      <c r="H6742" s="7" t="n"/>
      <c r="I6742" s="7" t="n"/>
      <c r="J6742" s="7" t="n"/>
      <c r="K6742">
        <f>IF(D6742="Legitimate Interest (GDPR Art. 6(1)(f))", "Yes / Required (Sheet 3)", "")</f>
        <v/>
      </c>
      <c r="L6742" s="7" t="n"/>
      <c r="M6742" s="7" t="n"/>
      <c r="N6742">
        <f>IF(D6742="", "Gap - No Legal Basis", IF(AND(D6742="Consent (GDPR Art. 6(1)(a))", I6742="Not Captured"), "Gap - Invalid Consent", IF(AND(D6742="Legitimate Interest (GDPR Art. 6(1)(f))", L6742=""), "Gap - Missing LIA", IF(AND(G6742="Yes", H6742=""), "Gap - Missing Art. 9 Basis", IF(OR(I6742="Invalid - Not Freely Given", I6742="Invalid - Not Specific", I6742="Invalid - Not Informed", I6742="Invalid - Ambiguous"), "Gap - Invalid Consent", "Compliant")))))</f>
        <v/>
      </c>
      <c r="O6742" s="7" t="n"/>
    </row>
    <row r="6743">
      <c r="A6743" s="7" t="n"/>
      <c r="B6743" s="7" t="n"/>
      <c r="C6743" s="7" t="n"/>
      <c r="D6743" s="7" t="n"/>
      <c r="E6743" s="7" t="n"/>
      <c r="F6743" s="7" t="n"/>
      <c r="G6743" s="7" t="n"/>
      <c r="H6743" s="7" t="n"/>
      <c r="I6743" s="7" t="n"/>
      <c r="J6743" s="7" t="n"/>
      <c r="K6743">
        <f>IF(D6743="Legitimate Interest (GDPR Art. 6(1)(f))", "Yes / Required (Sheet 3)", "")</f>
        <v/>
      </c>
      <c r="L6743" s="7" t="n"/>
      <c r="M6743" s="7" t="n"/>
      <c r="N6743">
        <f>IF(D6743="", "Gap - No Legal Basis", IF(AND(D6743="Consent (GDPR Art. 6(1)(a))", I6743="Not Captured"), "Gap - Invalid Consent", IF(AND(D6743="Legitimate Interest (GDPR Art. 6(1)(f))", L6743=""), "Gap - Missing LIA", IF(AND(G6743="Yes", H6743=""), "Gap - Missing Art. 9 Basis", IF(OR(I6743="Invalid - Not Freely Given", I6743="Invalid - Not Specific", I6743="Invalid - Not Informed", I6743="Invalid - Ambiguous"), "Gap - Invalid Consent", "Compliant")))))</f>
        <v/>
      </c>
      <c r="O6743" s="7" t="n"/>
    </row>
    <row r="6744">
      <c r="A6744" s="7" t="n"/>
      <c r="B6744" s="7" t="n"/>
      <c r="C6744" s="7" t="n"/>
      <c r="D6744" s="7" t="n"/>
      <c r="E6744" s="7" t="n"/>
      <c r="F6744" s="7" t="n"/>
      <c r="G6744" s="7" t="n"/>
      <c r="H6744" s="7" t="n"/>
      <c r="I6744" s="7" t="n"/>
      <c r="J6744" s="7" t="n"/>
      <c r="K6744">
        <f>IF(D6744="Legitimate Interest (GDPR Art. 6(1)(f))", "Yes / Required (Sheet 3)", "")</f>
        <v/>
      </c>
      <c r="L6744" s="7" t="n"/>
      <c r="M6744" s="7" t="n"/>
      <c r="N6744">
        <f>IF(D6744="", "Gap - No Legal Basis", IF(AND(D6744="Consent (GDPR Art. 6(1)(a))", I6744="Not Captured"), "Gap - Invalid Consent", IF(AND(D6744="Legitimate Interest (GDPR Art. 6(1)(f))", L6744=""), "Gap - Missing LIA", IF(AND(G6744="Yes", H6744=""), "Gap - Missing Art. 9 Basis", IF(OR(I6744="Invalid - Not Freely Given", I6744="Invalid - Not Specific", I6744="Invalid - Not Informed", I6744="Invalid - Ambiguous"), "Gap - Invalid Consent", "Compliant")))))</f>
        <v/>
      </c>
      <c r="O6744" s="7" t="n"/>
    </row>
    <row r="6745">
      <c r="A6745" s="7" t="n"/>
      <c r="B6745" s="7" t="n"/>
      <c r="C6745" s="7" t="n"/>
      <c r="D6745" s="7" t="n"/>
      <c r="E6745" s="7" t="n"/>
      <c r="F6745" s="7" t="n"/>
      <c r="G6745" s="7" t="n"/>
      <c r="H6745" s="7" t="n"/>
      <c r="I6745" s="7" t="n"/>
      <c r="J6745" s="7" t="n"/>
      <c r="K6745">
        <f>IF(D6745="Legitimate Interest (GDPR Art. 6(1)(f))", "Yes / Required (Sheet 3)", "")</f>
        <v/>
      </c>
      <c r="L6745" s="7" t="n"/>
      <c r="M6745" s="7" t="n"/>
      <c r="N6745">
        <f>IF(D6745="", "Gap - No Legal Basis", IF(AND(D6745="Consent (GDPR Art. 6(1)(a))", I6745="Not Captured"), "Gap - Invalid Consent", IF(AND(D6745="Legitimate Interest (GDPR Art. 6(1)(f))", L6745=""), "Gap - Missing LIA", IF(AND(G6745="Yes", H6745=""), "Gap - Missing Art. 9 Basis", IF(OR(I6745="Invalid - Not Freely Given", I6745="Invalid - Not Specific", I6745="Invalid - Not Informed", I6745="Invalid - Ambiguous"), "Gap - Invalid Consent", "Compliant")))))</f>
        <v/>
      </c>
      <c r="O6745" s="7" t="n"/>
    </row>
    <row r="6746">
      <c r="A6746" s="7" t="n"/>
      <c r="B6746" s="7" t="n"/>
      <c r="C6746" s="7" t="n"/>
      <c r="D6746" s="7" t="n"/>
      <c r="E6746" s="7" t="n"/>
      <c r="F6746" s="7" t="n"/>
      <c r="G6746" s="7" t="n"/>
      <c r="H6746" s="7" t="n"/>
      <c r="I6746" s="7" t="n"/>
      <c r="J6746" s="7" t="n"/>
      <c r="K6746">
        <f>IF(D6746="Legitimate Interest (GDPR Art. 6(1)(f))", "Yes / Required (Sheet 3)", "")</f>
        <v/>
      </c>
      <c r="L6746" s="7" t="n"/>
      <c r="M6746" s="7" t="n"/>
      <c r="N6746">
        <f>IF(D6746="", "Gap - No Legal Basis", IF(AND(D6746="Consent (GDPR Art. 6(1)(a))", I6746="Not Captured"), "Gap - Invalid Consent", IF(AND(D6746="Legitimate Interest (GDPR Art. 6(1)(f))", L6746=""), "Gap - Missing LIA", IF(AND(G6746="Yes", H6746=""), "Gap - Missing Art. 9 Basis", IF(OR(I6746="Invalid - Not Freely Given", I6746="Invalid - Not Specific", I6746="Invalid - Not Informed", I6746="Invalid - Ambiguous"), "Gap - Invalid Consent", "Compliant")))))</f>
        <v/>
      </c>
      <c r="O6746" s="7" t="n"/>
    </row>
    <row r="6747">
      <c r="A6747" s="7" t="n"/>
      <c r="B6747" s="7" t="n"/>
      <c r="C6747" s="7" t="n"/>
      <c r="D6747" s="7" t="n"/>
      <c r="E6747" s="7" t="n"/>
      <c r="F6747" s="7" t="n"/>
      <c r="G6747" s="7" t="n"/>
      <c r="H6747" s="7" t="n"/>
      <c r="I6747" s="7" t="n"/>
      <c r="J6747" s="7" t="n"/>
      <c r="K6747">
        <f>IF(D6747="Legitimate Interest (GDPR Art. 6(1)(f))", "Yes / Required (Sheet 3)", "")</f>
        <v/>
      </c>
      <c r="L6747" s="7" t="n"/>
      <c r="M6747" s="7" t="n"/>
      <c r="N6747">
        <f>IF(D6747="", "Gap - No Legal Basis", IF(AND(D6747="Consent (GDPR Art. 6(1)(a))", I6747="Not Captured"), "Gap - Invalid Consent", IF(AND(D6747="Legitimate Interest (GDPR Art. 6(1)(f))", L6747=""), "Gap - Missing LIA", IF(AND(G6747="Yes", H6747=""), "Gap - Missing Art. 9 Basis", IF(OR(I6747="Invalid - Not Freely Given", I6747="Invalid - Not Specific", I6747="Invalid - Not Informed", I6747="Invalid - Ambiguous"), "Gap - Invalid Consent", "Compliant")))))</f>
        <v/>
      </c>
      <c r="O6747" s="7" t="n"/>
    </row>
    <row r="6748">
      <c r="A6748" s="7" t="n"/>
      <c r="B6748" s="7" t="n"/>
      <c r="C6748" s="7" t="n"/>
      <c r="D6748" s="7" t="n"/>
      <c r="E6748" s="7" t="n"/>
      <c r="F6748" s="7" t="n"/>
      <c r="G6748" s="7" t="n"/>
      <c r="H6748" s="7" t="n"/>
      <c r="I6748" s="7" t="n"/>
      <c r="J6748" s="7" t="n"/>
      <c r="K6748">
        <f>IF(D6748="Legitimate Interest (GDPR Art. 6(1)(f))", "Yes / Required (Sheet 3)", "")</f>
        <v/>
      </c>
      <c r="L6748" s="7" t="n"/>
      <c r="M6748" s="7" t="n"/>
      <c r="N6748">
        <f>IF(D6748="", "Gap - No Legal Basis", IF(AND(D6748="Consent (GDPR Art. 6(1)(a))", I6748="Not Captured"), "Gap - Invalid Consent", IF(AND(D6748="Legitimate Interest (GDPR Art. 6(1)(f))", L6748=""), "Gap - Missing LIA", IF(AND(G6748="Yes", H6748=""), "Gap - Missing Art. 9 Basis", IF(OR(I6748="Invalid - Not Freely Given", I6748="Invalid - Not Specific", I6748="Invalid - Not Informed", I6748="Invalid - Ambiguous"), "Gap - Invalid Consent", "Compliant")))))</f>
        <v/>
      </c>
      <c r="O6748" s="7" t="n"/>
    </row>
    <row r="6749">
      <c r="A6749" s="7" t="n"/>
      <c r="B6749" s="7" t="n"/>
      <c r="C6749" s="7" t="n"/>
      <c r="D6749" s="7" t="n"/>
      <c r="E6749" s="7" t="n"/>
      <c r="F6749" s="7" t="n"/>
      <c r="G6749" s="7" t="n"/>
      <c r="H6749" s="7" t="n"/>
      <c r="I6749" s="7" t="n"/>
      <c r="J6749" s="7" t="n"/>
      <c r="K6749">
        <f>IF(D6749="Legitimate Interest (GDPR Art. 6(1)(f))", "Yes / Required (Sheet 3)", "")</f>
        <v/>
      </c>
      <c r="L6749" s="7" t="n"/>
      <c r="M6749" s="7" t="n"/>
      <c r="N6749">
        <f>IF(D6749="", "Gap - No Legal Basis", IF(AND(D6749="Consent (GDPR Art. 6(1)(a))", I6749="Not Captured"), "Gap - Invalid Consent", IF(AND(D6749="Legitimate Interest (GDPR Art. 6(1)(f))", L6749=""), "Gap - Missing LIA", IF(AND(G6749="Yes", H6749=""), "Gap - Missing Art. 9 Basis", IF(OR(I6749="Invalid - Not Freely Given", I6749="Invalid - Not Specific", I6749="Invalid - Not Informed", I6749="Invalid - Ambiguous"), "Gap - Invalid Consent", "Compliant")))))</f>
        <v/>
      </c>
      <c r="O6749" s="7" t="n"/>
    </row>
    <row r="6750">
      <c r="A6750" s="7" t="n"/>
      <c r="B6750" s="7" t="n"/>
      <c r="C6750" s="7" t="n"/>
      <c r="D6750" s="7" t="n"/>
      <c r="E6750" s="7" t="n"/>
      <c r="F6750" s="7" t="n"/>
      <c r="G6750" s="7" t="n"/>
      <c r="H6750" s="7" t="n"/>
      <c r="I6750" s="7" t="n"/>
      <c r="J6750" s="7" t="n"/>
      <c r="K6750">
        <f>IF(D6750="Legitimate Interest (GDPR Art. 6(1)(f))", "Yes / Required (Sheet 3)", "")</f>
        <v/>
      </c>
      <c r="L6750" s="7" t="n"/>
      <c r="M6750" s="7" t="n"/>
      <c r="N6750">
        <f>IF(D6750="", "Gap - No Legal Basis", IF(AND(D6750="Consent (GDPR Art. 6(1)(a))", I6750="Not Captured"), "Gap - Invalid Consent", IF(AND(D6750="Legitimate Interest (GDPR Art. 6(1)(f))", L6750=""), "Gap - Missing LIA", IF(AND(G6750="Yes", H6750=""), "Gap - Missing Art. 9 Basis", IF(OR(I6750="Invalid - Not Freely Given", I6750="Invalid - Not Specific", I6750="Invalid - Not Informed", I6750="Invalid - Ambiguous"), "Gap - Invalid Consent", "Compliant")))))</f>
        <v/>
      </c>
      <c r="O6750" s="7" t="n"/>
    </row>
    <row r="6751">
      <c r="A6751" s="7" t="n"/>
      <c r="B6751" s="7" t="n"/>
      <c r="C6751" s="7" t="n"/>
      <c r="D6751" s="7" t="n"/>
      <c r="E6751" s="7" t="n"/>
      <c r="F6751" s="7" t="n"/>
      <c r="G6751" s="7" t="n"/>
      <c r="H6751" s="7" t="n"/>
      <c r="I6751" s="7" t="n"/>
      <c r="J6751" s="7" t="n"/>
      <c r="K6751">
        <f>IF(D6751="Legitimate Interest (GDPR Art. 6(1)(f))", "Yes / Required (Sheet 3)", "")</f>
        <v/>
      </c>
      <c r="L6751" s="7" t="n"/>
      <c r="M6751" s="7" t="n"/>
      <c r="N6751">
        <f>IF(D6751="", "Gap - No Legal Basis", IF(AND(D6751="Consent (GDPR Art. 6(1)(a))", I6751="Not Captured"), "Gap - Invalid Consent", IF(AND(D6751="Legitimate Interest (GDPR Art. 6(1)(f))", L6751=""), "Gap - Missing LIA", IF(AND(G6751="Yes", H6751=""), "Gap - Missing Art. 9 Basis", IF(OR(I6751="Invalid - Not Freely Given", I6751="Invalid - Not Specific", I6751="Invalid - Not Informed", I6751="Invalid - Ambiguous"), "Gap - Invalid Consent", "Compliant")))))</f>
        <v/>
      </c>
      <c r="O6751" s="7" t="n"/>
    </row>
    <row r="6752">
      <c r="A6752" s="7" t="n"/>
      <c r="B6752" s="7" t="n"/>
      <c r="C6752" s="7" t="n"/>
      <c r="D6752" s="7" t="n"/>
      <c r="E6752" s="7" t="n"/>
      <c r="F6752" s="7" t="n"/>
      <c r="G6752" s="7" t="n"/>
      <c r="H6752" s="7" t="n"/>
      <c r="I6752" s="7" t="n"/>
      <c r="J6752" s="7" t="n"/>
      <c r="K6752">
        <f>IF(D6752="Legitimate Interest (GDPR Art. 6(1)(f))", "Yes / Required (Sheet 3)", "")</f>
        <v/>
      </c>
      <c r="L6752" s="7" t="n"/>
      <c r="M6752" s="7" t="n"/>
      <c r="N6752">
        <f>IF(D6752="", "Gap - No Legal Basis", IF(AND(D6752="Consent (GDPR Art. 6(1)(a))", I6752="Not Captured"), "Gap - Invalid Consent", IF(AND(D6752="Legitimate Interest (GDPR Art. 6(1)(f))", L6752=""), "Gap - Missing LIA", IF(AND(G6752="Yes", H6752=""), "Gap - Missing Art. 9 Basis", IF(OR(I6752="Invalid - Not Freely Given", I6752="Invalid - Not Specific", I6752="Invalid - Not Informed", I6752="Invalid - Ambiguous"), "Gap - Invalid Consent", "Compliant")))))</f>
        <v/>
      </c>
      <c r="O6752" s="7" t="n"/>
    </row>
    <row r="6753">
      <c r="A6753" s="7" t="n"/>
      <c r="B6753" s="7" t="n"/>
      <c r="C6753" s="7" t="n"/>
      <c r="D6753" s="7" t="n"/>
      <c r="E6753" s="7" t="n"/>
      <c r="F6753" s="7" t="n"/>
      <c r="G6753" s="7" t="n"/>
      <c r="H6753" s="7" t="n"/>
      <c r="I6753" s="7" t="n"/>
      <c r="J6753" s="7" t="n"/>
      <c r="K6753">
        <f>IF(D6753="Legitimate Interest (GDPR Art. 6(1)(f))", "Yes / Required (Sheet 3)", "")</f>
        <v/>
      </c>
      <c r="L6753" s="7" t="n"/>
      <c r="M6753" s="7" t="n"/>
      <c r="N6753">
        <f>IF(D6753="", "Gap - No Legal Basis", IF(AND(D6753="Consent (GDPR Art. 6(1)(a))", I6753="Not Captured"), "Gap - Invalid Consent", IF(AND(D6753="Legitimate Interest (GDPR Art. 6(1)(f))", L6753=""), "Gap - Missing LIA", IF(AND(G6753="Yes", H6753=""), "Gap - Missing Art. 9 Basis", IF(OR(I6753="Invalid - Not Freely Given", I6753="Invalid - Not Specific", I6753="Invalid - Not Informed", I6753="Invalid - Ambiguous"), "Gap - Invalid Consent", "Compliant")))))</f>
        <v/>
      </c>
      <c r="O6753" s="7" t="n"/>
    </row>
    <row r="6754">
      <c r="A6754" s="7" t="n"/>
      <c r="B6754" s="7" t="n"/>
      <c r="C6754" s="7" t="n"/>
      <c r="D6754" s="7" t="n"/>
      <c r="E6754" s="7" t="n"/>
      <c r="F6754" s="7" t="n"/>
      <c r="G6754" s="7" t="n"/>
      <c r="H6754" s="7" t="n"/>
      <c r="I6754" s="7" t="n"/>
      <c r="J6754" s="7" t="n"/>
      <c r="K6754">
        <f>IF(D6754="Legitimate Interest (GDPR Art. 6(1)(f))", "Yes / Required (Sheet 3)", "")</f>
        <v/>
      </c>
      <c r="L6754" s="7" t="n"/>
      <c r="M6754" s="7" t="n"/>
      <c r="N6754">
        <f>IF(D6754="", "Gap - No Legal Basis", IF(AND(D6754="Consent (GDPR Art. 6(1)(a))", I6754="Not Captured"), "Gap - Invalid Consent", IF(AND(D6754="Legitimate Interest (GDPR Art. 6(1)(f))", L6754=""), "Gap - Missing LIA", IF(AND(G6754="Yes", H6754=""), "Gap - Missing Art. 9 Basis", IF(OR(I6754="Invalid - Not Freely Given", I6754="Invalid - Not Specific", I6754="Invalid - Not Informed", I6754="Invalid - Ambiguous"), "Gap - Invalid Consent", "Compliant")))))</f>
        <v/>
      </c>
      <c r="O6754" s="7" t="n"/>
    </row>
    <row r="6755">
      <c r="A6755" s="7" t="n"/>
      <c r="B6755" s="7" t="n"/>
      <c r="C6755" s="7" t="n"/>
      <c r="D6755" s="7" t="n"/>
      <c r="E6755" s="7" t="n"/>
      <c r="F6755" s="7" t="n"/>
      <c r="G6755" s="7" t="n"/>
      <c r="H6755" s="7" t="n"/>
      <c r="I6755" s="7" t="n"/>
      <c r="J6755" s="7" t="n"/>
      <c r="K6755">
        <f>IF(D6755="Legitimate Interest (GDPR Art. 6(1)(f))", "Yes / Required (Sheet 3)", "")</f>
        <v/>
      </c>
      <c r="L6755" s="7" t="n"/>
      <c r="M6755" s="7" t="n"/>
      <c r="N6755">
        <f>IF(D6755="", "Gap - No Legal Basis", IF(AND(D6755="Consent (GDPR Art. 6(1)(a))", I6755="Not Captured"), "Gap - Invalid Consent", IF(AND(D6755="Legitimate Interest (GDPR Art. 6(1)(f))", L6755=""), "Gap - Missing LIA", IF(AND(G6755="Yes", H6755=""), "Gap - Missing Art. 9 Basis", IF(OR(I6755="Invalid - Not Freely Given", I6755="Invalid - Not Specific", I6755="Invalid - Not Informed", I6755="Invalid - Ambiguous"), "Gap - Invalid Consent", "Compliant")))))</f>
        <v/>
      </c>
      <c r="O6755" s="7" t="n"/>
    </row>
    <row r="6756">
      <c r="A6756" s="7" t="n"/>
      <c r="B6756" s="7" t="n"/>
      <c r="C6756" s="7" t="n"/>
      <c r="D6756" s="7" t="n"/>
      <c r="E6756" s="7" t="n"/>
      <c r="F6756" s="7" t="n"/>
      <c r="G6756" s="7" t="n"/>
      <c r="H6756" s="7" t="n"/>
      <c r="I6756" s="7" t="n"/>
      <c r="J6756" s="7" t="n"/>
      <c r="K6756">
        <f>IF(D6756="Legitimate Interest (GDPR Art. 6(1)(f))", "Yes / Required (Sheet 3)", "")</f>
        <v/>
      </c>
      <c r="L6756" s="7" t="n"/>
      <c r="M6756" s="7" t="n"/>
      <c r="N6756">
        <f>IF(D6756="", "Gap - No Legal Basis", IF(AND(D6756="Consent (GDPR Art. 6(1)(a))", I6756="Not Captured"), "Gap - Invalid Consent", IF(AND(D6756="Legitimate Interest (GDPR Art. 6(1)(f))", L6756=""), "Gap - Missing LIA", IF(AND(G6756="Yes", H6756=""), "Gap - Missing Art. 9 Basis", IF(OR(I6756="Invalid - Not Freely Given", I6756="Invalid - Not Specific", I6756="Invalid - Not Informed", I6756="Invalid - Ambiguous"), "Gap - Invalid Consent", "Compliant")))))</f>
        <v/>
      </c>
      <c r="O6756" s="7" t="n"/>
    </row>
    <row r="6757">
      <c r="A6757" s="7" t="n"/>
      <c r="B6757" s="7" t="n"/>
      <c r="C6757" s="7" t="n"/>
      <c r="D6757" s="7" t="n"/>
      <c r="E6757" s="7" t="n"/>
      <c r="F6757" s="7" t="n"/>
      <c r="G6757" s="7" t="n"/>
      <c r="H6757" s="7" t="n"/>
      <c r="I6757" s="7" t="n"/>
      <c r="J6757" s="7" t="n"/>
      <c r="K6757">
        <f>IF(D6757="Legitimate Interest (GDPR Art. 6(1)(f))", "Yes / Required (Sheet 3)", "")</f>
        <v/>
      </c>
      <c r="L6757" s="7" t="n"/>
      <c r="M6757" s="7" t="n"/>
      <c r="N6757">
        <f>IF(D6757="", "Gap - No Legal Basis", IF(AND(D6757="Consent (GDPR Art. 6(1)(a))", I6757="Not Captured"), "Gap - Invalid Consent", IF(AND(D6757="Legitimate Interest (GDPR Art. 6(1)(f))", L6757=""), "Gap - Missing LIA", IF(AND(G6757="Yes", H6757=""), "Gap - Missing Art. 9 Basis", IF(OR(I6757="Invalid - Not Freely Given", I6757="Invalid - Not Specific", I6757="Invalid - Not Informed", I6757="Invalid - Ambiguous"), "Gap - Invalid Consent", "Compliant")))))</f>
        <v/>
      </c>
      <c r="O6757" s="7" t="n"/>
    </row>
    <row r="6758">
      <c r="A6758" s="7" t="n"/>
      <c r="B6758" s="7" t="n"/>
      <c r="C6758" s="7" t="n"/>
      <c r="D6758" s="7" t="n"/>
      <c r="E6758" s="7" t="n"/>
      <c r="F6758" s="7" t="n"/>
      <c r="G6758" s="7" t="n"/>
      <c r="H6758" s="7" t="n"/>
      <c r="I6758" s="7" t="n"/>
      <c r="J6758" s="7" t="n"/>
      <c r="K6758">
        <f>IF(D6758="Legitimate Interest (GDPR Art. 6(1)(f))", "Yes / Required (Sheet 3)", "")</f>
        <v/>
      </c>
      <c r="L6758" s="7" t="n"/>
      <c r="M6758" s="7" t="n"/>
      <c r="N6758">
        <f>IF(D6758="", "Gap - No Legal Basis", IF(AND(D6758="Consent (GDPR Art. 6(1)(a))", I6758="Not Captured"), "Gap - Invalid Consent", IF(AND(D6758="Legitimate Interest (GDPR Art. 6(1)(f))", L6758=""), "Gap - Missing LIA", IF(AND(G6758="Yes", H6758=""), "Gap - Missing Art. 9 Basis", IF(OR(I6758="Invalid - Not Freely Given", I6758="Invalid - Not Specific", I6758="Invalid - Not Informed", I6758="Invalid - Ambiguous"), "Gap - Invalid Consent", "Compliant")))))</f>
        <v/>
      </c>
      <c r="O6758" s="7" t="n"/>
    </row>
    <row r="6759">
      <c r="A6759" s="7" t="n"/>
      <c r="B6759" s="7" t="n"/>
      <c r="C6759" s="7" t="n"/>
      <c r="D6759" s="7" t="n"/>
      <c r="E6759" s="7" t="n"/>
      <c r="F6759" s="7" t="n"/>
      <c r="G6759" s="7" t="n"/>
      <c r="H6759" s="7" t="n"/>
      <c r="I6759" s="7" t="n"/>
      <c r="J6759" s="7" t="n"/>
      <c r="K6759">
        <f>IF(D6759="Legitimate Interest (GDPR Art. 6(1)(f))", "Yes / Required (Sheet 3)", "")</f>
        <v/>
      </c>
      <c r="L6759" s="7" t="n"/>
      <c r="M6759" s="7" t="n"/>
      <c r="N6759">
        <f>IF(D6759="", "Gap - No Legal Basis", IF(AND(D6759="Consent (GDPR Art. 6(1)(a))", I6759="Not Captured"), "Gap - Invalid Consent", IF(AND(D6759="Legitimate Interest (GDPR Art. 6(1)(f))", L6759=""), "Gap - Missing LIA", IF(AND(G6759="Yes", H6759=""), "Gap - Missing Art. 9 Basis", IF(OR(I6759="Invalid - Not Freely Given", I6759="Invalid - Not Specific", I6759="Invalid - Not Informed", I6759="Invalid - Ambiguous"), "Gap - Invalid Consent", "Compliant")))))</f>
        <v/>
      </c>
      <c r="O6759" s="7" t="n"/>
    </row>
    <row r="6760">
      <c r="A6760" s="7" t="n"/>
      <c r="B6760" s="7" t="n"/>
      <c r="C6760" s="7" t="n"/>
      <c r="D6760" s="7" t="n"/>
      <c r="E6760" s="7" t="n"/>
      <c r="F6760" s="7" t="n"/>
      <c r="G6760" s="7" t="n"/>
      <c r="H6760" s="7" t="n"/>
      <c r="I6760" s="7" t="n"/>
      <c r="J6760" s="7" t="n"/>
      <c r="K6760">
        <f>IF(D6760="Legitimate Interest (GDPR Art. 6(1)(f))", "Yes / Required (Sheet 3)", "")</f>
        <v/>
      </c>
      <c r="L6760" s="7" t="n"/>
      <c r="M6760" s="7" t="n"/>
      <c r="N6760">
        <f>IF(D6760="", "Gap - No Legal Basis", IF(AND(D6760="Consent (GDPR Art. 6(1)(a))", I6760="Not Captured"), "Gap - Invalid Consent", IF(AND(D6760="Legitimate Interest (GDPR Art. 6(1)(f))", L6760=""), "Gap - Missing LIA", IF(AND(G6760="Yes", H6760=""), "Gap - Missing Art. 9 Basis", IF(OR(I6760="Invalid - Not Freely Given", I6760="Invalid - Not Specific", I6760="Invalid - Not Informed", I6760="Invalid - Ambiguous"), "Gap - Invalid Consent", "Compliant")))))</f>
        <v/>
      </c>
      <c r="O6760" s="7" t="n"/>
    </row>
    <row r="6761">
      <c r="A6761" s="7" t="n"/>
      <c r="B6761" s="7" t="n"/>
      <c r="C6761" s="7" t="n"/>
      <c r="D6761" s="7" t="n"/>
      <c r="E6761" s="7" t="n"/>
      <c r="F6761" s="7" t="n"/>
      <c r="G6761" s="7" t="n"/>
      <c r="H6761" s="7" t="n"/>
      <c r="I6761" s="7" t="n"/>
      <c r="J6761" s="7" t="n"/>
      <c r="K6761">
        <f>IF(D6761="Legitimate Interest (GDPR Art. 6(1)(f))", "Yes / Required (Sheet 3)", "")</f>
        <v/>
      </c>
      <c r="L6761" s="7" t="n"/>
      <c r="M6761" s="7" t="n"/>
      <c r="N6761">
        <f>IF(D6761="", "Gap - No Legal Basis", IF(AND(D6761="Consent (GDPR Art. 6(1)(a))", I6761="Not Captured"), "Gap - Invalid Consent", IF(AND(D6761="Legitimate Interest (GDPR Art. 6(1)(f))", L6761=""), "Gap - Missing LIA", IF(AND(G6761="Yes", H6761=""), "Gap - Missing Art. 9 Basis", IF(OR(I6761="Invalid - Not Freely Given", I6761="Invalid - Not Specific", I6761="Invalid - Not Informed", I6761="Invalid - Ambiguous"), "Gap - Invalid Consent", "Compliant")))))</f>
        <v/>
      </c>
      <c r="O6761" s="7" t="n"/>
    </row>
    <row r="6762">
      <c r="A6762" s="7" t="n"/>
      <c r="B6762" s="7" t="n"/>
      <c r="C6762" s="7" t="n"/>
      <c r="D6762" s="7" t="n"/>
      <c r="E6762" s="7" t="n"/>
      <c r="F6762" s="7" t="n"/>
      <c r="G6762" s="7" t="n"/>
      <c r="H6762" s="7" t="n"/>
      <c r="I6762" s="7" t="n"/>
      <c r="J6762" s="7" t="n"/>
      <c r="K6762">
        <f>IF(D6762="Legitimate Interest (GDPR Art. 6(1)(f))", "Yes / Required (Sheet 3)", "")</f>
        <v/>
      </c>
      <c r="L6762" s="7" t="n"/>
      <c r="M6762" s="7" t="n"/>
      <c r="N6762">
        <f>IF(D6762="", "Gap - No Legal Basis", IF(AND(D6762="Consent (GDPR Art. 6(1)(a))", I6762="Not Captured"), "Gap - Invalid Consent", IF(AND(D6762="Legitimate Interest (GDPR Art. 6(1)(f))", L6762=""), "Gap - Missing LIA", IF(AND(G6762="Yes", H6762=""), "Gap - Missing Art. 9 Basis", IF(OR(I6762="Invalid - Not Freely Given", I6762="Invalid - Not Specific", I6762="Invalid - Not Informed", I6762="Invalid - Ambiguous"), "Gap - Invalid Consent", "Compliant")))))</f>
        <v/>
      </c>
      <c r="O6762" s="7" t="n"/>
    </row>
    <row r="6763">
      <c r="A6763" s="7" t="n"/>
      <c r="B6763" s="7" t="n"/>
      <c r="C6763" s="7" t="n"/>
      <c r="D6763" s="7" t="n"/>
      <c r="E6763" s="7" t="n"/>
      <c r="F6763" s="7" t="n"/>
      <c r="G6763" s="7" t="n"/>
      <c r="H6763" s="7" t="n"/>
      <c r="I6763" s="7" t="n"/>
      <c r="J6763" s="7" t="n"/>
      <c r="K6763">
        <f>IF(D6763="Legitimate Interest (GDPR Art. 6(1)(f))", "Yes / Required (Sheet 3)", "")</f>
        <v/>
      </c>
      <c r="L6763" s="7" t="n"/>
      <c r="M6763" s="7" t="n"/>
      <c r="N6763">
        <f>IF(D6763="", "Gap - No Legal Basis", IF(AND(D6763="Consent (GDPR Art. 6(1)(a))", I6763="Not Captured"), "Gap - Invalid Consent", IF(AND(D6763="Legitimate Interest (GDPR Art. 6(1)(f))", L6763=""), "Gap - Missing LIA", IF(AND(G6763="Yes", H6763=""), "Gap - Missing Art. 9 Basis", IF(OR(I6763="Invalid - Not Freely Given", I6763="Invalid - Not Specific", I6763="Invalid - Not Informed", I6763="Invalid - Ambiguous"), "Gap - Invalid Consent", "Compliant")))))</f>
        <v/>
      </c>
      <c r="O6763" s="7" t="n"/>
    </row>
    <row r="6764">
      <c r="A6764" s="7" t="n"/>
      <c r="B6764" s="7" t="n"/>
      <c r="C6764" s="7" t="n"/>
      <c r="D6764" s="7" t="n"/>
      <c r="E6764" s="7" t="n"/>
      <c r="F6764" s="7" t="n"/>
      <c r="G6764" s="7" t="n"/>
      <c r="H6764" s="7" t="n"/>
      <c r="I6764" s="7" t="n"/>
      <c r="J6764" s="7" t="n"/>
      <c r="K6764">
        <f>IF(D6764="Legitimate Interest (GDPR Art. 6(1)(f))", "Yes / Required (Sheet 3)", "")</f>
        <v/>
      </c>
      <c r="L6764" s="7" t="n"/>
      <c r="M6764" s="7" t="n"/>
      <c r="N6764">
        <f>IF(D6764="", "Gap - No Legal Basis", IF(AND(D6764="Consent (GDPR Art. 6(1)(a))", I6764="Not Captured"), "Gap - Invalid Consent", IF(AND(D6764="Legitimate Interest (GDPR Art. 6(1)(f))", L6764=""), "Gap - Missing LIA", IF(AND(G6764="Yes", H6764=""), "Gap - Missing Art. 9 Basis", IF(OR(I6764="Invalid - Not Freely Given", I6764="Invalid - Not Specific", I6764="Invalid - Not Informed", I6764="Invalid - Ambiguous"), "Gap - Invalid Consent", "Compliant")))))</f>
        <v/>
      </c>
      <c r="O6764" s="7" t="n"/>
    </row>
    <row r="6765">
      <c r="A6765" s="7" t="n"/>
      <c r="B6765" s="7" t="n"/>
      <c r="C6765" s="7" t="n"/>
      <c r="D6765" s="7" t="n"/>
      <c r="E6765" s="7" t="n"/>
      <c r="F6765" s="7" t="n"/>
      <c r="G6765" s="7" t="n"/>
      <c r="H6765" s="7" t="n"/>
      <c r="I6765" s="7" t="n"/>
      <c r="J6765" s="7" t="n"/>
      <c r="K6765">
        <f>IF(D6765="Legitimate Interest (GDPR Art. 6(1)(f))", "Yes / Required (Sheet 3)", "")</f>
        <v/>
      </c>
      <c r="L6765" s="7" t="n"/>
      <c r="M6765" s="7" t="n"/>
      <c r="N6765">
        <f>IF(D6765="", "Gap - No Legal Basis", IF(AND(D6765="Consent (GDPR Art. 6(1)(a))", I6765="Not Captured"), "Gap - Invalid Consent", IF(AND(D6765="Legitimate Interest (GDPR Art. 6(1)(f))", L6765=""), "Gap - Missing LIA", IF(AND(G6765="Yes", H6765=""), "Gap - Missing Art. 9 Basis", IF(OR(I6765="Invalid - Not Freely Given", I6765="Invalid - Not Specific", I6765="Invalid - Not Informed", I6765="Invalid - Ambiguous"), "Gap - Invalid Consent", "Compliant")))))</f>
        <v/>
      </c>
      <c r="O6765" s="7" t="n"/>
    </row>
    <row r="6766">
      <c r="A6766" s="7" t="n"/>
      <c r="B6766" s="7" t="n"/>
      <c r="C6766" s="7" t="n"/>
      <c r="D6766" s="7" t="n"/>
      <c r="E6766" s="7" t="n"/>
      <c r="F6766" s="7" t="n"/>
      <c r="G6766" s="7" t="n"/>
      <c r="H6766" s="7" t="n"/>
      <c r="I6766" s="7" t="n"/>
      <c r="J6766" s="7" t="n"/>
      <c r="K6766">
        <f>IF(D6766="Legitimate Interest (GDPR Art. 6(1)(f))", "Yes / Required (Sheet 3)", "")</f>
        <v/>
      </c>
      <c r="L6766" s="7" t="n"/>
      <c r="M6766" s="7" t="n"/>
      <c r="N6766">
        <f>IF(D6766="", "Gap - No Legal Basis", IF(AND(D6766="Consent (GDPR Art. 6(1)(a))", I6766="Not Captured"), "Gap - Invalid Consent", IF(AND(D6766="Legitimate Interest (GDPR Art. 6(1)(f))", L6766=""), "Gap - Missing LIA", IF(AND(G6766="Yes", H6766=""), "Gap - Missing Art. 9 Basis", IF(OR(I6766="Invalid - Not Freely Given", I6766="Invalid - Not Specific", I6766="Invalid - Not Informed", I6766="Invalid - Ambiguous"), "Gap - Invalid Consent", "Compliant")))))</f>
        <v/>
      </c>
      <c r="O6766" s="7" t="n"/>
    </row>
    <row r="6767">
      <c r="A6767" s="7" t="n"/>
      <c r="B6767" s="7" t="n"/>
      <c r="C6767" s="7" t="n"/>
      <c r="D6767" s="7" t="n"/>
      <c r="E6767" s="7" t="n"/>
      <c r="F6767" s="7" t="n"/>
      <c r="G6767" s="7" t="n"/>
      <c r="H6767" s="7" t="n"/>
      <c r="I6767" s="7" t="n"/>
      <c r="J6767" s="7" t="n"/>
      <c r="K6767">
        <f>IF(D6767="Legitimate Interest (GDPR Art. 6(1)(f))", "Yes / Required (Sheet 3)", "")</f>
        <v/>
      </c>
      <c r="L6767" s="7" t="n"/>
      <c r="M6767" s="7" t="n"/>
      <c r="N6767">
        <f>IF(D6767="", "Gap - No Legal Basis", IF(AND(D6767="Consent (GDPR Art. 6(1)(a))", I6767="Not Captured"), "Gap - Invalid Consent", IF(AND(D6767="Legitimate Interest (GDPR Art. 6(1)(f))", L6767=""), "Gap - Missing LIA", IF(AND(G6767="Yes", H6767=""), "Gap - Missing Art. 9 Basis", IF(OR(I6767="Invalid - Not Freely Given", I6767="Invalid - Not Specific", I6767="Invalid - Not Informed", I6767="Invalid - Ambiguous"), "Gap - Invalid Consent", "Compliant")))))</f>
        <v/>
      </c>
      <c r="O6767" s="7" t="n"/>
    </row>
    <row r="6768">
      <c r="A6768" s="7" t="n"/>
      <c r="B6768" s="7" t="n"/>
      <c r="C6768" s="7" t="n"/>
      <c r="D6768" s="7" t="n"/>
      <c r="E6768" s="7" t="n"/>
      <c r="F6768" s="7" t="n"/>
      <c r="G6768" s="7" t="n"/>
      <c r="H6768" s="7" t="n"/>
      <c r="I6768" s="7" t="n"/>
      <c r="J6768" s="7" t="n"/>
      <c r="K6768">
        <f>IF(D6768="Legitimate Interest (GDPR Art. 6(1)(f))", "Yes / Required (Sheet 3)", "")</f>
        <v/>
      </c>
      <c r="L6768" s="7" t="n"/>
      <c r="M6768" s="7" t="n"/>
      <c r="N6768">
        <f>IF(D6768="", "Gap - No Legal Basis", IF(AND(D6768="Consent (GDPR Art. 6(1)(a))", I6768="Not Captured"), "Gap - Invalid Consent", IF(AND(D6768="Legitimate Interest (GDPR Art. 6(1)(f))", L6768=""), "Gap - Missing LIA", IF(AND(G6768="Yes", H6768=""), "Gap - Missing Art. 9 Basis", IF(OR(I6768="Invalid - Not Freely Given", I6768="Invalid - Not Specific", I6768="Invalid - Not Informed", I6768="Invalid - Ambiguous"), "Gap - Invalid Consent", "Compliant")))))</f>
        <v/>
      </c>
      <c r="O6768" s="7" t="n"/>
    </row>
    <row r="6769">
      <c r="A6769" s="7" t="n"/>
      <c r="B6769" s="7" t="n"/>
      <c r="C6769" s="7" t="n"/>
      <c r="D6769" s="7" t="n"/>
      <c r="E6769" s="7" t="n"/>
      <c r="F6769" s="7" t="n"/>
      <c r="G6769" s="7" t="n"/>
      <c r="H6769" s="7" t="n"/>
      <c r="I6769" s="7" t="n"/>
      <c r="J6769" s="7" t="n"/>
      <c r="K6769">
        <f>IF(D6769="Legitimate Interest (GDPR Art. 6(1)(f))", "Yes / Required (Sheet 3)", "")</f>
        <v/>
      </c>
      <c r="L6769" s="7" t="n"/>
      <c r="M6769" s="7" t="n"/>
      <c r="N6769">
        <f>IF(D6769="", "Gap - No Legal Basis", IF(AND(D6769="Consent (GDPR Art. 6(1)(a))", I6769="Not Captured"), "Gap - Invalid Consent", IF(AND(D6769="Legitimate Interest (GDPR Art. 6(1)(f))", L6769=""), "Gap - Missing LIA", IF(AND(G6769="Yes", H6769=""), "Gap - Missing Art. 9 Basis", IF(OR(I6769="Invalid - Not Freely Given", I6769="Invalid - Not Specific", I6769="Invalid - Not Informed", I6769="Invalid - Ambiguous"), "Gap - Invalid Consent", "Compliant")))))</f>
        <v/>
      </c>
      <c r="O6769" s="7" t="n"/>
    </row>
    <row r="6770">
      <c r="A6770" s="7" t="n"/>
      <c r="B6770" s="7" t="n"/>
      <c r="C6770" s="7" t="n"/>
      <c r="D6770" s="7" t="n"/>
      <c r="E6770" s="7" t="n"/>
      <c r="F6770" s="7" t="n"/>
      <c r="G6770" s="7" t="n"/>
      <c r="H6770" s="7" t="n"/>
      <c r="I6770" s="7" t="n"/>
      <c r="J6770" s="7" t="n"/>
      <c r="K6770">
        <f>IF(D6770="Legitimate Interest (GDPR Art. 6(1)(f))", "Yes / Required (Sheet 3)", "")</f>
        <v/>
      </c>
      <c r="L6770" s="7" t="n"/>
      <c r="M6770" s="7" t="n"/>
      <c r="N6770">
        <f>IF(D6770="", "Gap - No Legal Basis", IF(AND(D6770="Consent (GDPR Art. 6(1)(a))", I6770="Not Captured"), "Gap - Invalid Consent", IF(AND(D6770="Legitimate Interest (GDPR Art. 6(1)(f))", L6770=""), "Gap - Missing LIA", IF(AND(G6770="Yes", H6770=""), "Gap - Missing Art. 9 Basis", IF(OR(I6770="Invalid - Not Freely Given", I6770="Invalid - Not Specific", I6770="Invalid - Not Informed", I6770="Invalid - Ambiguous"), "Gap - Invalid Consent", "Compliant")))))</f>
        <v/>
      </c>
      <c r="O6770" s="7" t="n"/>
    </row>
    <row r="6771">
      <c r="A6771" s="7" t="n"/>
      <c r="B6771" s="7" t="n"/>
      <c r="C6771" s="7" t="n"/>
      <c r="D6771" s="7" t="n"/>
      <c r="E6771" s="7" t="n"/>
      <c r="F6771" s="7" t="n"/>
      <c r="G6771" s="7" t="n"/>
      <c r="H6771" s="7" t="n"/>
      <c r="I6771" s="7" t="n"/>
      <c r="J6771" s="7" t="n"/>
      <c r="K6771">
        <f>IF(D6771="Legitimate Interest (GDPR Art. 6(1)(f))", "Yes / Required (Sheet 3)", "")</f>
        <v/>
      </c>
      <c r="L6771" s="7" t="n"/>
      <c r="M6771" s="7" t="n"/>
      <c r="N6771">
        <f>IF(D6771="", "Gap - No Legal Basis", IF(AND(D6771="Consent (GDPR Art. 6(1)(a))", I6771="Not Captured"), "Gap - Invalid Consent", IF(AND(D6771="Legitimate Interest (GDPR Art. 6(1)(f))", L6771=""), "Gap - Missing LIA", IF(AND(G6771="Yes", H6771=""), "Gap - Missing Art. 9 Basis", IF(OR(I6771="Invalid - Not Freely Given", I6771="Invalid - Not Specific", I6771="Invalid - Not Informed", I6771="Invalid - Ambiguous"), "Gap - Invalid Consent", "Compliant")))))</f>
        <v/>
      </c>
      <c r="O6771" s="7" t="n"/>
    </row>
    <row r="6772">
      <c r="A6772" s="7" t="n"/>
      <c r="B6772" s="7" t="n"/>
      <c r="C6772" s="7" t="n"/>
      <c r="D6772" s="7" t="n"/>
      <c r="E6772" s="7" t="n"/>
      <c r="F6772" s="7" t="n"/>
      <c r="G6772" s="7" t="n"/>
      <c r="H6772" s="7" t="n"/>
      <c r="I6772" s="7" t="n"/>
      <c r="J6772" s="7" t="n"/>
      <c r="K6772">
        <f>IF(D6772="Legitimate Interest (GDPR Art. 6(1)(f))", "Yes / Required (Sheet 3)", "")</f>
        <v/>
      </c>
      <c r="L6772" s="7" t="n"/>
      <c r="M6772" s="7" t="n"/>
      <c r="N6772">
        <f>IF(D6772="", "Gap - No Legal Basis", IF(AND(D6772="Consent (GDPR Art. 6(1)(a))", I6772="Not Captured"), "Gap - Invalid Consent", IF(AND(D6772="Legitimate Interest (GDPR Art. 6(1)(f))", L6772=""), "Gap - Missing LIA", IF(AND(G6772="Yes", H6772=""), "Gap - Missing Art. 9 Basis", IF(OR(I6772="Invalid - Not Freely Given", I6772="Invalid - Not Specific", I6772="Invalid - Not Informed", I6772="Invalid - Ambiguous"), "Gap - Invalid Consent", "Compliant")))))</f>
        <v/>
      </c>
      <c r="O6772" s="7" t="n"/>
    </row>
    <row r="6773">
      <c r="A6773" s="7" t="n"/>
      <c r="B6773" s="7" t="n"/>
      <c r="C6773" s="7" t="n"/>
      <c r="D6773" s="7" t="n"/>
      <c r="E6773" s="7" t="n"/>
      <c r="F6773" s="7" t="n"/>
      <c r="G6773" s="7" t="n"/>
      <c r="H6773" s="7" t="n"/>
      <c r="I6773" s="7" t="n"/>
      <c r="J6773" s="7" t="n"/>
      <c r="K6773">
        <f>IF(D6773="Legitimate Interest (GDPR Art. 6(1)(f))", "Yes / Required (Sheet 3)", "")</f>
        <v/>
      </c>
      <c r="L6773" s="7" t="n"/>
      <c r="M6773" s="7" t="n"/>
      <c r="N6773">
        <f>IF(D6773="", "Gap - No Legal Basis", IF(AND(D6773="Consent (GDPR Art. 6(1)(a))", I6773="Not Captured"), "Gap - Invalid Consent", IF(AND(D6773="Legitimate Interest (GDPR Art. 6(1)(f))", L6773=""), "Gap - Missing LIA", IF(AND(G6773="Yes", H6773=""), "Gap - Missing Art. 9 Basis", IF(OR(I6773="Invalid - Not Freely Given", I6773="Invalid - Not Specific", I6773="Invalid - Not Informed", I6773="Invalid - Ambiguous"), "Gap - Invalid Consent", "Compliant")))))</f>
        <v/>
      </c>
      <c r="O6773" s="7" t="n"/>
    </row>
    <row r="6774">
      <c r="A6774" s="7" t="n"/>
      <c r="B6774" s="7" t="n"/>
      <c r="C6774" s="7" t="n"/>
      <c r="D6774" s="7" t="n"/>
      <c r="E6774" s="7" t="n"/>
      <c r="F6774" s="7" t="n"/>
      <c r="G6774" s="7" t="n"/>
      <c r="H6774" s="7" t="n"/>
      <c r="I6774" s="7" t="n"/>
      <c r="J6774" s="7" t="n"/>
      <c r="K6774">
        <f>IF(D6774="Legitimate Interest (GDPR Art. 6(1)(f))", "Yes / Required (Sheet 3)", "")</f>
        <v/>
      </c>
      <c r="L6774" s="7" t="n"/>
      <c r="M6774" s="7" t="n"/>
      <c r="N6774">
        <f>IF(D6774="", "Gap - No Legal Basis", IF(AND(D6774="Consent (GDPR Art. 6(1)(a))", I6774="Not Captured"), "Gap - Invalid Consent", IF(AND(D6774="Legitimate Interest (GDPR Art. 6(1)(f))", L6774=""), "Gap - Missing LIA", IF(AND(G6774="Yes", H6774=""), "Gap - Missing Art. 9 Basis", IF(OR(I6774="Invalid - Not Freely Given", I6774="Invalid - Not Specific", I6774="Invalid - Not Informed", I6774="Invalid - Ambiguous"), "Gap - Invalid Consent", "Compliant")))))</f>
        <v/>
      </c>
      <c r="O6774" s="7" t="n"/>
    </row>
    <row r="6775">
      <c r="A6775" s="7" t="n"/>
      <c r="B6775" s="7" t="n"/>
      <c r="C6775" s="7" t="n"/>
      <c r="D6775" s="7" t="n"/>
      <c r="E6775" s="7" t="n"/>
      <c r="F6775" s="7" t="n"/>
      <c r="G6775" s="7" t="n"/>
      <c r="H6775" s="7" t="n"/>
      <c r="I6775" s="7" t="n"/>
      <c r="J6775" s="7" t="n"/>
      <c r="K6775">
        <f>IF(D6775="Legitimate Interest (GDPR Art. 6(1)(f))", "Yes / Required (Sheet 3)", "")</f>
        <v/>
      </c>
      <c r="L6775" s="7" t="n"/>
      <c r="M6775" s="7" t="n"/>
      <c r="N6775">
        <f>IF(D6775="", "Gap - No Legal Basis", IF(AND(D6775="Consent (GDPR Art. 6(1)(a))", I6775="Not Captured"), "Gap - Invalid Consent", IF(AND(D6775="Legitimate Interest (GDPR Art. 6(1)(f))", L6775=""), "Gap - Missing LIA", IF(AND(G6775="Yes", H6775=""), "Gap - Missing Art. 9 Basis", IF(OR(I6775="Invalid - Not Freely Given", I6775="Invalid - Not Specific", I6775="Invalid - Not Informed", I6775="Invalid - Ambiguous"), "Gap - Invalid Consent", "Compliant")))))</f>
        <v/>
      </c>
      <c r="O6775" s="7" t="n"/>
    </row>
    <row r="6776">
      <c r="A6776" s="7" t="n"/>
      <c r="B6776" s="7" t="n"/>
      <c r="C6776" s="7" t="n"/>
      <c r="D6776" s="7" t="n"/>
      <c r="E6776" s="7" t="n"/>
      <c r="F6776" s="7" t="n"/>
      <c r="G6776" s="7" t="n"/>
      <c r="H6776" s="7" t="n"/>
      <c r="I6776" s="7" t="n"/>
      <c r="J6776" s="7" t="n"/>
      <c r="K6776">
        <f>IF(D6776="Legitimate Interest (GDPR Art. 6(1)(f))", "Yes / Required (Sheet 3)", "")</f>
        <v/>
      </c>
      <c r="L6776" s="7" t="n"/>
      <c r="M6776" s="7" t="n"/>
      <c r="N6776">
        <f>IF(D6776="", "Gap - No Legal Basis", IF(AND(D6776="Consent (GDPR Art. 6(1)(a))", I6776="Not Captured"), "Gap - Invalid Consent", IF(AND(D6776="Legitimate Interest (GDPR Art. 6(1)(f))", L6776=""), "Gap - Missing LIA", IF(AND(G6776="Yes", H6776=""), "Gap - Missing Art. 9 Basis", IF(OR(I6776="Invalid - Not Freely Given", I6776="Invalid - Not Specific", I6776="Invalid - Not Informed", I6776="Invalid - Ambiguous"), "Gap - Invalid Consent", "Compliant")))))</f>
        <v/>
      </c>
      <c r="O6776" s="7" t="n"/>
    </row>
    <row r="6777">
      <c r="A6777" s="7" t="n"/>
      <c r="B6777" s="7" t="n"/>
      <c r="C6777" s="7" t="n"/>
      <c r="D6777" s="7" t="n"/>
      <c r="E6777" s="7" t="n"/>
      <c r="F6777" s="7" t="n"/>
      <c r="G6777" s="7" t="n"/>
      <c r="H6777" s="7" t="n"/>
      <c r="I6777" s="7" t="n"/>
      <c r="J6777" s="7" t="n"/>
      <c r="K6777">
        <f>IF(D6777="Legitimate Interest (GDPR Art. 6(1)(f))", "Yes / Required (Sheet 3)", "")</f>
        <v/>
      </c>
      <c r="L6777" s="7" t="n"/>
      <c r="M6777" s="7" t="n"/>
      <c r="N6777">
        <f>IF(D6777="", "Gap - No Legal Basis", IF(AND(D6777="Consent (GDPR Art. 6(1)(a))", I6777="Not Captured"), "Gap - Invalid Consent", IF(AND(D6777="Legitimate Interest (GDPR Art. 6(1)(f))", L6777=""), "Gap - Missing LIA", IF(AND(G6777="Yes", H6777=""), "Gap - Missing Art. 9 Basis", IF(OR(I6777="Invalid - Not Freely Given", I6777="Invalid - Not Specific", I6777="Invalid - Not Informed", I6777="Invalid - Ambiguous"), "Gap - Invalid Consent", "Compliant")))))</f>
        <v/>
      </c>
      <c r="O6777" s="7" t="n"/>
    </row>
    <row r="6778">
      <c r="A6778" s="7" t="n"/>
      <c r="B6778" s="7" t="n"/>
      <c r="C6778" s="7" t="n"/>
      <c r="D6778" s="7" t="n"/>
      <c r="E6778" s="7" t="n"/>
      <c r="F6778" s="7" t="n"/>
      <c r="G6778" s="7" t="n"/>
      <c r="H6778" s="7" t="n"/>
      <c r="I6778" s="7" t="n"/>
      <c r="J6778" s="7" t="n"/>
      <c r="K6778">
        <f>IF(D6778="Legitimate Interest (GDPR Art. 6(1)(f))", "Yes / Required (Sheet 3)", "")</f>
        <v/>
      </c>
      <c r="L6778" s="7" t="n"/>
      <c r="M6778" s="7" t="n"/>
      <c r="N6778">
        <f>IF(D6778="", "Gap - No Legal Basis", IF(AND(D6778="Consent (GDPR Art. 6(1)(a))", I6778="Not Captured"), "Gap - Invalid Consent", IF(AND(D6778="Legitimate Interest (GDPR Art. 6(1)(f))", L6778=""), "Gap - Missing LIA", IF(AND(G6778="Yes", H6778=""), "Gap - Missing Art. 9 Basis", IF(OR(I6778="Invalid - Not Freely Given", I6778="Invalid - Not Specific", I6778="Invalid - Not Informed", I6778="Invalid - Ambiguous"), "Gap - Invalid Consent", "Compliant")))))</f>
        <v/>
      </c>
      <c r="O6778" s="7" t="n"/>
    </row>
    <row r="6779">
      <c r="A6779" s="7" t="n"/>
      <c r="B6779" s="7" t="n"/>
      <c r="C6779" s="7" t="n"/>
      <c r="D6779" s="7" t="n"/>
      <c r="E6779" s="7" t="n"/>
      <c r="F6779" s="7" t="n"/>
      <c r="G6779" s="7" t="n"/>
      <c r="H6779" s="7" t="n"/>
      <c r="I6779" s="7" t="n"/>
      <c r="J6779" s="7" t="n"/>
      <c r="K6779">
        <f>IF(D6779="Legitimate Interest (GDPR Art. 6(1)(f))", "Yes / Required (Sheet 3)", "")</f>
        <v/>
      </c>
      <c r="L6779" s="7" t="n"/>
      <c r="M6779" s="7" t="n"/>
      <c r="N6779">
        <f>IF(D6779="", "Gap - No Legal Basis", IF(AND(D6779="Consent (GDPR Art. 6(1)(a))", I6779="Not Captured"), "Gap - Invalid Consent", IF(AND(D6779="Legitimate Interest (GDPR Art. 6(1)(f))", L6779=""), "Gap - Missing LIA", IF(AND(G6779="Yes", H6779=""), "Gap - Missing Art. 9 Basis", IF(OR(I6779="Invalid - Not Freely Given", I6779="Invalid - Not Specific", I6779="Invalid - Not Informed", I6779="Invalid - Ambiguous"), "Gap - Invalid Consent", "Compliant")))))</f>
        <v/>
      </c>
      <c r="O6779" s="7" t="n"/>
    </row>
    <row r="6780">
      <c r="A6780" s="7" t="n"/>
      <c r="B6780" s="7" t="n"/>
      <c r="C6780" s="7" t="n"/>
      <c r="D6780" s="7" t="n"/>
      <c r="E6780" s="7" t="n"/>
      <c r="F6780" s="7" t="n"/>
      <c r="G6780" s="7" t="n"/>
      <c r="H6780" s="7" t="n"/>
      <c r="I6780" s="7" t="n"/>
      <c r="J6780" s="7" t="n"/>
      <c r="K6780">
        <f>IF(D6780="Legitimate Interest (GDPR Art. 6(1)(f))", "Yes / Required (Sheet 3)", "")</f>
        <v/>
      </c>
      <c r="L6780" s="7" t="n"/>
      <c r="M6780" s="7" t="n"/>
      <c r="N6780">
        <f>IF(D6780="", "Gap - No Legal Basis", IF(AND(D6780="Consent (GDPR Art. 6(1)(a))", I6780="Not Captured"), "Gap - Invalid Consent", IF(AND(D6780="Legitimate Interest (GDPR Art. 6(1)(f))", L6780=""), "Gap - Missing LIA", IF(AND(G6780="Yes", H6780=""), "Gap - Missing Art. 9 Basis", IF(OR(I6780="Invalid - Not Freely Given", I6780="Invalid - Not Specific", I6780="Invalid - Not Informed", I6780="Invalid - Ambiguous"), "Gap - Invalid Consent", "Compliant")))))</f>
        <v/>
      </c>
      <c r="O6780" s="7" t="n"/>
    </row>
    <row r="6781">
      <c r="A6781" s="7" t="n"/>
      <c r="B6781" s="7" t="n"/>
      <c r="C6781" s="7" t="n"/>
      <c r="D6781" s="7" t="n"/>
      <c r="E6781" s="7" t="n"/>
      <c r="F6781" s="7" t="n"/>
      <c r="G6781" s="7" t="n"/>
      <c r="H6781" s="7" t="n"/>
      <c r="I6781" s="7" t="n"/>
      <c r="J6781" s="7" t="n"/>
      <c r="K6781">
        <f>IF(D6781="Legitimate Interest (GDPR Art. 6(1)(f))", "Yes / Required (Sheet 3)", "")</f>
        <v/>
      </c>
      <c r="L6781" s="7" t="n"/>
      <c r="M6781" s="7" t="n"/>
      <c r="N6781">
        <f>IF(D6781="", "Gap - No Legal Basis", IF(AND(D6781="Consent (GDPR Art. 6(1)(a))", I6781="Not Captured"), "Gap - Invalid Consent", IF(AND(D6781="Legitimate Interest (GDPR Art. 6(1)(f))", L6781=""), "Gap - Missing LIA", IF(AND(G6781="Yes", H6781=""), "Gap - Missing Art. 9 Basis", IF(OR(I6781="Invalid - Not Freely Given", I6781="Invalid - Not Specific", I6781="Invalid - Not Informed", I6781="Invalid - Ambiguous"), "Gap - Invalid Consent", "Compliant")))))</f>
        <v/>
      </c>
      <c r="O6781" s="7" t="n"/>
    </row>
    <row r="6782">
      <c r="A6782" s="7" t="n"/>
      <c r="B6782" s="7" t="n"/>
      <c r="C6782" s="7" t="n"/>
      <c r="D6782" s="7" t="n"/>
      <c r="E6782" s="7" t="n"/>
      <c r="F6782" s="7" t="n"/>
      <c r="G6782" s="7" t="n"/>
      <c r="H6782" s="7" t="n"/>
      <c r="I6782" s="7" t="n"/>
      <c r="J6782" s="7" t="n"/>
      <c r="K6782">
        <f>IF(D6782="Legitimate Interest (GDPR Art. 6(1)(f))", "Yes / Required (Sheet 3)", "")</f>
        <v/>
      </c>
      <c r="L6782" s="7" t="n"/>
      <c r="M6782" s="7" t="n"/>
      <c r="N6782">
        <f>IF(D6782="", "Gap - No Legal Basis", IF(AND(D6782="Consent (GDPR Art. 6(1)(a))", I6782="Not Captured"), "Gap - Invalid Consent", IF(AND(D6782="Legitimate Interest (GDPR Art. 6(1)(f))", L6782=""), "Gap - Missing LIA", IF(AND(G6782="Yes", H6782=""), "Gap - Missing Art. 9 Basis", IF(OR(I6782="Invalid - Not Freely Given", I6782="Invalid - Not Specific", I6782="Invalid - Not Informed", I6782="Invalid - Ambiguous"), "Gap - Invalid Consent", "Compliant")))))</f>
        <v/>
      </c>
      <c r="O6782" s="7" t="n"/>
    </row>
    <row r="6783">
      <c r="A6783" s="7" t="n"/>
      <c r="B6783" s="7" t="n"/>
      <c r="C6783" s="7" t="n"/>
      <c r="D6783" s="7" t="n"/>
      <c r="E6783" s="7" t="n"/>
      <c r="F6783" s="7" t="n"/>
      <c r="G6783" s="7" t="n"/>
      <c r="H6783" s="7" t="n"/>
      <c r="I6783" s="7" t="n"/>
      <c r="J6783" s="7" t="n"/>
      <c r="K6783">
        <f>IF(D6783="Legitimate Interest (GDPR Art. 6(1)(f))", "Yes / Required (Sheet 3)", "")</f>
        <v/>
      </c>
      <c r="L6783" s="7" t="n"/>
      <c r="M6783" s="7" t="n"/>
      <c r="N6783">
        <f>IF(D6783="", "Gap - No Legal Basis", IF(AND(D6783="Consent (GDPR Art. 6(1)(a))", I6783="Not Captured"), "Gap - Invalid Consent", IF(AND(D6783="Legitimate Interest (GDPR Art. 6(1)(f))", L6783=""), "Gap - Missing LIA", IF(AND(G6783="Yes", H6783=""), "Gap - Missing Art. 9 Basis", IF(OR(I6783="Invalid - Not Freely Given", I6783="Invalid - Not Specific", I6783="Invalid - Not Informed", I6783="Invalid - Ambiguous"), "Gap - Invalid Consent", "Compliant")))))</f>
        <v/>
      </c>
      <c r="O6783" s="7" t="n"/>
    </row>
    <row r="6784">
      <c r="A6784" s="7" t="n"/>
      <c r="B6784" s="7" t="n"/>
      <c r="C6784" s="7" t="n"/>
      <c r="D6784" s="7" t="n"/>
      <c r="E6784" s="7" t="n"/>
      <c r="F6784" s="7" t="n"/>
      <c r="G6784" s="7" t="n"/>
      <c r="H6784" s="7" t="n"/>
      <c r="I6784" s="7" t="n"/>
      <c r="J6784" s="7" t="n"/>
      <c r="K6784">
        <f>IF(D6784="Legitimate Interest (GDPR Art. 6(1)(f))", "Yes / Required (Sheet 3)", "")</f>
        <v/>
      </c>
      <c r="L6784" s="7" t="n"/>
      <c r="M6784" s="7" t="n"/>
      <c r="N6784">
        <f>IF(D6784="", "Gap - No Legal Basis", IF(AND(D6784="Consent (GDPR Art. 6(1)(a))", I6784="Not Captured"), "Gap - Invalid Consent", IF(AND(D6784="Legitimate Interest (GDPR Art. 6(1)(f))", L6784=""), "Gap - Missing LIA", IF(AND(G6784="Yes", H6784=""), "Gap - Missing Art. 9 Basis", IF(OR(I6784="Invalid - Not Freely Given", I6784="Invalid - Not Specific", I6784="Invalid - Not Informed", I6784="Invalid - Ambiguous"), "Gap - Invalid Consent", "Compliant")))))</f>
        <v/>
      </c>
      <c r="O6784" s="7" t="n"/>
    </row>
    <row r="6785">
      <c r="A6785" s="7" t="n"/>
      <c r="B6785" s="7" t="n"/>
      <c r="C6785" s="7" t="n"/>
      <c r="D6785" s="7" t="n"/>
      <c r="E6785" s="7" t="n"/>
      <c r="F6785" s="7" t="n"/>
      <c r="G6785" s="7" t="n"/>
      <c r="H6785" s="7" t="n"/>
      <c r="I6785" s="7" t="n"/>
      <c r="J6785" s="7" t="n"/>
      <c r="K6785">
        <f>IF(D6785="Legitimate Interest (GDPR Art. 6(1)(f))", "Yes / Required (Sheet 3)", "")</f>
        <v/>
      </c>
      <c r="L6785" s="7" t="n"/>
      <c r="M6785" s="7" t="n"/>
      <c r="N6785">
        <f>IF(D6785="", "Gap - No Legal Basis", IF(AND(D6785="Consent (GDPR Art. 6(1)(a))", I6785="Not Captured"), "Gap - Invalid Consent", IF(AND(D6785="Legitimate Interest (GDPR Art. 6(1)(f))", L6785=""), "Gap - Missing LIA", IF(AND(G6785="Yes", H6785=""), "Gap - Missing Art. 9 Basis", IF(OR(I6785="Invalid - Not Freely Given", I6785="Invalid - Not Specific", I6785="Invalid - Not Informed", I6785="Invalid - Ambiguous"), "Gap - Invalid Consent", "Compliant")))))</f>
        <v/>
      </c>
      <c r="O6785" s="7" t="n"/>
    </row>
    <row r="6786">
      <c r="A6786" s="7" t="n"/>
      <c r="B6786" s="7" t="n"/>
      <c r="C6786" s="7" t="n"/>
      <c r="D6786" s="7" t="n"/>
      <c r="E6786" s="7" t="n"/>
      <c r="F6786" s="7" t="n"/>
      <c r="G6786" s="7" t="n"/>
      <c r="H6786" s="7" t="n"/>
      <c r="I6786" s="7" t="n"/>
      <c r="J6786" s="7" t="n"/>
      <c r="K6786">
        <f>IF(D6786="Legitimate Interest (GDPR Art. 6(1)(f))", "Yes / Required (Sheet 3)", "")</f>
        <v/>
      </c>
      <c r="L6786" s="7" t="n"/>
      <c r="M6786" s="7" t="n"/>
      <c r="N6786">
        <f>IF(D6786="", "Gap - No Legal Basis", IF(AND(D6786="Consent (GDPR Art. 6(1)(a))", I6786="Not Captured"), "Gap - Invalid Consent", IF(AND(D6786="Legitimate Interest (GDPR Art. 6(1)(f))", L6786=""), "Gap - Missing LIA", IF(AND(G6786="Yes", H6786=""), "Gap - Missing Art. 9 Basis", IF(OR(I6786="Invalid - Not Freely Given", I6786="Invalid - Not Specific", I6786="Invalid - Not Informed", I6786="Invalid - Ambiguous"), "Gap - Invalid Consent", "Compliant")))))</f>
        <v/>
      </c>
      <c r="O6786" s="7" t="n"/>
    </row>
    <row r="6787">
      <c r="A6787" s="7" t="n"/>
      <c r="B6787" s="7" t="n"/>
      <c r="C6787" s="7" t="n"/>
      <c r="D6787" s="7" t="n"/>
      <c r="E6787" s="7" t="n"/>
      <c r="F6787" s="7" t="n"/>
      <c r="G6787" s="7" t="n"/>
      <c r="H6787" s="7" t="n"/>
      <c r="I6787" s="7" t="n"/>
      <c r="J6787" s="7" t="n"/>
      <c r="K6787">
        <f>IF(D6787="Legitimate Interest (GDPR Art. 6(1)(f))", "Yes / Required (Sheet 3)", "")</f>
        <v/>
      </c>
      <c r="L6787" s="7" t="n"/>
      <c r="M6787" s="7" t="n"/>
      <c r="N6787">
        <f>IF(D6787="", "Gap - No Legal Basis", IF(AND(D6787="Consent (GDPR Art. 6(1)(a))", I6787="Not Captured"), "Gap - Invalid Consent", IF(AND(D6787="Legitimate Interest (GDPR Art. 6(1)(f))", L6787=""), "Gap - Missing LIA", IF(AND(G6787="Yes", H6787=""), "Gap - Missing Art. 9 Basis", IF(OR(I6787="Invalid - Not Freely Given", I6787="Invalid - Not Specific", I6787="Invalid - Not Informed", I6787="Invalid - Ambiguous"), "Gap - Invalid Consent", "Compliant")))))</f>
        <v/>
      </c>
      <c r="O6787" s="7" t="n"/>
    </row>
    <row r="6788">
      <c r="A6788" s="7" t="n"/>
      <c r="B6788" s="7" t="n"/>
      <c r="C6788" s="7" t="n"/>
      <c r="D6788" s="7" t="n"/>
      <c r="E6788" s="7" t="n"/>
      <c r="F6788" s="7" t="n"/>
      <c r="G6788" s="7" t="n"/>
      <c r="H6788" s="7" t="n"/>
      <c r="I6788" s="7" t="n"/>
      <c r="J6788" s="7" t="n"/>
      <c r="K6788">
        <f>IF(D6788="Legitimate Interest (GDPR Art. 6(1)(f))", "Yes / Required (Sheet 3)", "")</f>
        <v/>
      </c>
      <c r="L6788" s="7" t="n"/>
      <c r="M6788" s="7" t="n"/>
      <c r="N6788">
        <f>IF(D6788="", "Gap - No Legal Basis", IF(AND(D6788="Consent (GDPR Art. 6(1)(a))", I6788="Not Captured"), "Gap - Invalid Consent", IF(AND(D6788="Legitimate Interest (GDPR Art. 6(1)(f))", L6788=""), "Gap - Missing LIA", IF(AND(G6788="Yes", H6788=""), "Gap - Missing Art. 9 Basis", IF(OR(I6788="Invalid - Not Freely Given", I6788="Invalid - Not Specific", I6788="Invalid - Not Informed", I6788="Invalid - Ambiguous"), "Gap - Invalid Consent", "Compliant")))))</f>
        <v/>
      </c>
      <c r="O6788" s="7" t="n"/>
    </row>
    <row r="6789">
      <c r="A6789" s="7" t="n"/>
      <c r="B6789" s="7" t="n"/>
      <c r="C6789" s="7" t="n"/>
      <c r="D6789" s="7" t="n"/>
      <c r="E6789" s="7" t="n"/>
      <c r="F6789" s="7" t="n"/>
      <c r="G6789" s="7" t="n"/>
      <c r="H6789" s="7" t="n"/>
      <c r="I6789" s="7" t="n"/>
      <c r="J6789" s="7" t="n"/>
      <c r="K6789">
        <f>IF(D6789="Legitimate Interest (GDPR Art. 6(1)(f))", "Yes / Required (Sheet 3)", "")</f>
        <v/>
      </c>
      <c r="L6789" s="7" t="n"/>
      <c r="M6789" s="7" t="n"/>
      <c r="N6789">
        <f>IF(D6789="", "Gap - No Legal Basis", IF(AND(D6789="Consent (GDPR Art. 6(1)(a))", I6789="Not Captured"), "Gap - Invalid Consent", IF(AND(D6789="Legitimate Interest (GDPR Art. 6(1)(f))", L6789=""), "Gap - Missing LIA", IF(AND(G6789="Yes", H6789=""), "Gap - Missing Art. 9 Basis", IF(OR(I6789="Invalid - Not Freely Given", I6789="Invalid - Not Specific", I6789="Invalid - Not Informed", I6789="Invalid - Ambiguous"), "Gap - Invalid Consent", "Compliant")))))</f>
        <v/>
      </c>
      <c r="O6789" s="7" t="n"/>
    </row>
    <row r="6790">
      <c r="A6790" s="7" t="n"/>
      <c r="B6790" s="7" t="n"/>
      <c r="C6790" s="7" t="n"/>
      <c r="D6790" s="7" t="n"/>
      <c r="E6790" s="7" t="n"/>
      <c r="F6790" s="7" t="n"/>
      <c r="G6790" s="7" t="n"/>
      <c r="H6790" s="7" t="n"/>
      <c r="I6790" s="7" t="n"/>
      <c r="J6790" s="7" t="n"/>
      <c r="K6790">
        <f>IF(D6790="Legitimate Interest (GDPR Art. 6(1)(f))", "Yes / Required (Sheet 3)", "")</f>
        <v/>
      </c>
      <c r="L6790" s="7" t="n"/>
      <c r="M6790" s="7" t="n"/>
      <c r="N6790">
        <f>IF(D6790="", "Gap - No Legal Basis", IF(AND(D6790="Consent (GDPR Art. 6(1)(a))", I6790="Not Captured"), "Gap - Invalid Consent", IF(AND(D6790="Legitimate Interest (GDPR Art. 6(1)(f))", L6790=""), "Gap - Missing LIA", IF(AND(G6790="Yes", H6790=""), "Gap - Missing Art. 9 Basis", IF(OR(I6790="Invalid - Not Freely Given", I6790="Invalid - Not Specific", I6790="Invalid - Not Informed", I6790="Invalid - Ambiguous"), "Gap - Invalid Consent", "Compliant")))))</f>
        <v/>
      </c>
      <c r="O6790" s="7" t="n"/>
    </row>
    <row r="6791">
      <c r="A6791" s="7" t="n"/>
      <c r="B6791" s="7" t="n"/>
      <c r="C6791" s="7" t="n"/>
      <c r="D6791" s="7" t="n"/>
      <c r="E6791" s="7" t="n"/>
      <c r="F6791" s="7" t="n"/>
      <c r="G6791" s="7" t="n"/>
      <c r="H6791" s="7" t="n"/>
      <c r="I6791" s="7" t="n"/>
      <c r="J6791" s="7" t="n"/>
      <c r="K6791">
        <f>IF(D6791="Legitimate Interest (GDPR Art. 6(1)(f))", "Yes / Required (Sheet 3)", "")</f>
        <v/>
      </c>
      <c r="L6791" s="7" t="n"/>
      <c r="M6791" s="7" t="n"/>
      <c r="N6791">
        <f>IF(D6791="", "Gap - No Legal Basis", IF(AND(D6791="Consent (GDPR Art. 6(1)(a))", I6791="Not Captured"), "Gap - Invalid Consent", IF(AND(D6791="Legitimate Interest (GDPR Art. 6(1)(f))", L6791=""), "Gap - Missing LIA", IF(AND(G6791="Yes", H6791=""), "Gap - Missing Art. 9 Basis", IF(OR(I6791="Invalid - Not Freely Given", I6791="Invalid - Not Specific", I6791="Invalid - Not Informed", I6791="Invalid - Ambiguous"), "Gap - Invalid Consent", "Compliant")))))</f>
        <v/>
      </c>
      <c r="O6791" s="7" t="n"/>
    </row>
    <row r="6792">
      <c r="A6792" s="7" t="n"/>
      <c r="B6792" s="7" t="n"/>
      <c r="C6792" s="7" t="n"/>
      <c r="D6792" s="7" t="n"/>
      <c r="E6792" s="7" t="n"/>
      <c r="F6792" s="7" t="n"/>
      <c r="G6792" s="7" t="n"/>
      <c r="H6792" s="7" t="n"/>
      <c r="I6792" s="7" t="n"/>
      <c r="J6792" s="7" t="n"/>
      <c r="K6792">
        <f>IF(D6792="Legitimate Interest (GDPR Art. 6(1)(f))", "Yes / Required (Sheet 3)", "")</f>
        <v/>
      </c>
      <c r="L6792" s="7" t="n"/>
      <c r="M6792" s="7" t="n"/>
      <c r="N6792">
        <f>IF(D6792="", "Gap - No Legal Basis", IF(AND(D6792="Consent (GDPR Art. 6(1)(a))", I6792="Not Captured"), "Gap - Invalid Consent", IF(AND(D6792="Legitimate Interest (GDPR Art. 6(1)(f))", L6792=""), "Gap - Missing LIA", IF(AND(G6792="Yes", H6792=""), "Gap - Missing Art. 9 Basis", IF(OR(I6792="Invalid - Not Freely Given", I6792="Invalid - Not Specific", I6792="Invalid - Not Informed", I6792="Invalid - Ambiguous"), "Gap - Invalid Consent", "Compliant")))))</f>
        <v/>
      </c>
      <c r="O6792" s="7" t="n"/>
    </row>
    <row r="6793">
      <c r="A6793" s="7" t="n"/>
      <c r="B6793" s="7" t="n"/>
      <c r="C6793" s="7" t="n"/>
      <c r="D6793" s="7" t="n"/>
      <c r="E6793" s="7" t="n"/>
      <c r="F6793" s="7" t="n"/>
      <c r="G6793" s="7" t="n"/>
      <c r="H6793" s="7" t="n"/>
      <c r="I6793" s="7" t="n"/>
      <c r="J6793" s="7" t="n"/>
      <c r="K6793">
        <f>IF(D6793="Legitimate Interest (GDPR Art. 6(1)(f))", "Yes / Required (Sheet 3)", "")</f>
        <v/>
      </c>
      <c r="L6793" s="7" t="n"/>
      <c r="M6793" s="7" t="n"/>
      <c r="N6793">
        <f>IF(D6793="", "Gap - No Legal Basis", IF(AND(D6793="Consent (GDPR Art. 6(1)(a))", I6793="Not Captured"), "Gap - Invalid Consent", IF(AND(D6793="Legitimate Interest (GDPR Art. 6(1)(f))", L6793=""), "Gap - Missing LIA", IF(AND(G6793="Yes", H6793=""), "Gap - Missing Art. 9 Basis", IF(OR(I6793="Invalid - Not Freely Given", I6793="Invalid - Not Specific", I6793="Invalid - Not Informed", I6793="Invalid - Ambiguous"), "Gap - Invalid Consent", "Compliant")))))</f>
        <v/>
      </c>
      <c r="O6793" s="7" t="n"/>
    </row>
    <row r="6794">
      <c r="A6794" s="7" t="n"/>
      <c r="B6794" s="7" t="n"/>
      <c r="C6794" s="7" t="n"/>
      <c r="D6794" s="7" t="n"/>
      <c r="E6794" s="7" t="n"/>
      <c r="F6794" s="7" t="n"/>
      <c r="G6794" s="7" t="n"/>
      <c r="H6794" s="7" t="n"/>
      <c r="I6794" s="7" t="n"/>
      <c r="J6794" s="7" t="n"/>
      <c r="K6794">
        <f>IF(D6794="Legitimate Interest (GDPR Art. 6(1)(f))", "Yes / Required (Sheet 3)", "")</f>
        <v/>
      </c>
      <c r="L6794" s="7" t="n"/>
      <c r="M6794" s="7" t="n"/>
      <c r="N6794">
        <f>IF(D6794="", "Gap - No Legal Basis", IF(AND(D6794="Consent (GDPR Art. 6(1)(a))", I6794="Not Captured"), "Gap - Invalid Consent", IF(AND(D6794="Legitimate Interest (GDPR Art. 6(1)(f))", L6794=""), "Gap - Missing LIA", IF(AND(G6794="Yes", H6794=""), "Gap - Missing Art. 9 Basis", IF(OR(I6794="Invalid - Not Freely Given", I6794="Invalid - Not Specific", I6794="Invalid - Not Informed", I6794="Invalid - Ambiguous"), "Gap - Invalid Consent", "Compliant")))))</f>
        <v/>
      </c>
      <c r="O6794" s="7" t="n"/>
    </row>
    <row r="6795">
      <c r="A6795" s="7" t="n"/>
      <c r="B6795" s="7" t="n"/>
      <c r="C6795" s="7" t="n"/>
      <c r="D6795" s="7" t="n"/>
      <c r="E6795" s="7" t="n"/>
      <c r="F6795" s="7" t="n"/>
      <c r="G6795" s="7" t="n"/>
      <c r="H6795" s="7" t="n"/>
      <c r="I6795" s="7" t="n"/>
      <c r="J6795" s="7" t="n"/>
      <c r="K6795">
        <f>IF(D6795="Legitimate Interest (GDPR Art. 6(1)(f))", "Yes / Required (Sheet 3)", "")</f>
        <v/>
      </c>
      <c r="L6795" s="7" t="n"/>
      <c r="M6795" s="7" t="n"/>
      <c r="N6795">
        <f>IF(D6795="", "Gap - No Legal Basis", IF(AND(D6795="Consent (GDPR Art. 6(1)(a))", I6795="Not Captured"), "Gap - Invalid Consent", IF(AND(D6795="Legitimate Interest (GDPR Art. 6(1)(f))", L6795=""), "Gap - Missing LIA", IF(AND(G6795="Yes", H6795=""), "Gap - Missing Art. 9 Basis", IF(OR(I6795="Invalid - Not Freely Given", I6795="Invalid - Not Specific", I6795="Invalid - Not Informed", I6795="Invalid - Ambiguous"), "Gap - Invalid Consent", "Compliant")))))</f>
        <v/>
      </c>
      <c r="O6795" s="7" t="n"/>
    </row>
    <row r="6796">
      <c r="A6796" s="7" t="n"/>
      <c r="B6796" s="7" t="n"/>
      <c r="C6796" s="7" t="n"/>
      <c r="D6796" s="7" t="n"/>
      <c r="E6796" s="7" t="n"/>
      <c r="F6796" s="7" t="n"/>
      <c r="G6796" s="7" t="n"/>
      <c r="H6796" s="7" t="n"/>
      <c r="I6796" s="7" t="n"/>
      <c r="J6796" s="7" t="n"/>
      <c r="K6796">
        <f>IF(D6796="Legitimate Interest (GDPR Art. 6(1)(f))", "Yes / Required (Sheet 3)", "")</f>
        <v/>
      </c>
      <c r="L6796" s="7" t="n"/>
      <c r="M6796" s="7" t="n"/>
      <c r="N6796">
        <f>IF(D6796="", "Gap - No Legal Basis", IF(AND(D6796="Consent (GDPR Art. 6(1)(a))", I6796="Not Captured"), "Gap - Invalid Consent", IF(AND(D6796="Legitimate Interest (GDPR Art. 6(1)(f))", L6796=""), "Gap - Missing LIA", IF(AND(G6796="Yes", H6796=""), "Gap - Missing Art. 9 Basis", IF(OR(I6796="Invalid - Not Freely Given", I6796="Invalid - Not Specific", I6796="Invalid - Not Informed", I6796="Invalid - Ambiguous"), "Gap - Invalid Consent", "Compliant")))))</f>
        <v/>
      </c>
      <c r="O6796" s="7" t="n"/>
    </row>
    <row r="6797">
      <c r="A6797" s="7" t="n"/>
      <c r="B6797" s="7" t="n"/>
      <c r="C6797" s="7" t="n"/>
      <c r="D6797" s="7" t="n"/>
      <c r="E6797" s="7" t="n"/>
      <c r="F6797" s="7" t="n"/>
      <c r="G6797" s="7" t="n"/>
      <c r="H6797" s="7" t="n"/>
      <c r="I6797" s="7" t="n"/>
      <c r="J6797" s="7" t="n"/>
      <c r="K6797">
        <f>IF(D6797="Legitimate Interest (GDPR Art. 6(1)(f))", "Yes / Required (Sheet 3)", "")</f>
        <v/>
      </c>
      <c r="L6797" s="7" t="n"/>
      <c r="M6797" s="7" t="n"/>
      <c r="N6797">
        <f>IF(D6797="", "Gap - No Legal Basis", IF(AND(D6797="Consent (GDPR Art. 6(1)(a))", I6797="Not Captured"), "Gap - Invalid Consent", IF(AND(D6797="Legitimate Interest (GDPR Art. 6(1)(f))", L6797=""), "Gap - Missing LIA", IF(AND(G6797="Yes", H6797=""), "Gap - Missing Art. 9 Basis", IF(OR(I6797="Invalid - Not Freely Given", I6797="Invalid - Not Specific", I6797="Invalid - Not Informed", I6797="Invalid - Ambiguous"), "Gap - Invalid Consent", "Compliant")))))</f>
        <v/>
      </c>
      <c r="O6797" s="7" t="n"/>
    </row>
    <row r="6798">
      <c r="A6798" s="7" t="n"/>
      <c r="B6798" s="7" t="n"/>
      <c r="C6798" s="7" t="n"/>
      <c r="D6798" s="7" t="n"/>
      <c r="E6798" s="7" t="n"/>
      <c r="F6798" s="7" t="n"/>
      <c r="G6798" s="7" t="n"/>
      <c r="H6798" s="7" t="n"/>
      <c r="I6798" s="7" t="n"/>
      <c r="J6798" s="7" t="n"/>
      <c r="K6798">
        <f>IF(D6798="Legitimate Interest (GDPR Art. 6(1)(f))", "Yes / Required (Sheet 3)", "")</f>
        <v/>
      </c>
      <c r="L6798" s="7" t="n"/>
      <c r="M6798" s="7" t="n"/>
      <c r="N6798">
        <f>IF(D6798="", "Gap - No Legal Basis", IF(AND(D6798="Consent (GDPR Art. 6(1)(a))", I6798="Not Captured"), "Gap - Invalid Consent", IF(AND(D6798="Legitimate Interest (GDPR Art. 6(1)(f))", L6798=""), "Gap - Missing LIA", IF(AND(G6798="Yes", H6798=""), "Gap - Missing Art. 9 Basis", IF(OR(I6798="Invalid - Not Freely Given", I6798="Invalid - Not Specific", I6798="Invalid - Not Informed", I6798="Invalid - Ambiguous"), "Gap - Invalid Consent", "Compliant")))))</f>
        <v/>
      </c>
      <c r="O6798" s="7" t="n"/>
    </row>
    <row r="6799">
      <c r="A6799" s="7" t="n"/>
      <c r="B6799" s="7" t="n"/>
      <c r="C6799" s="7" t="n"/>
      <c r="D6799" s="7" t="n"/>
      <c r="E6799" s="7" t="n"/>
      <c r="F6799" s="7" t="n"/>
      <c r="G6799" s="7" t="n"/>
      <c r="H6799" s="7" t="n"/>
      <c r="I6799" s="7" t="n"/>
      <c r="J6799" s="7" t="n"/>
      <c r="K6799">
        <f>IF(D6799="Legitimate Interest (GDPR Art. 6(1)(f))", "Yes / Required (Sheet 3)", "")</f>
        <v/>
      </c>
      <c r="L6799" s="7" t="n"/>
      <c r="M6799" s="7" t="n"/>
      <c r="N6799">
        <f>IF(D6799="", "Gap - No Legal Basis", IF(AND(D6799="Consent (GDPR Art. 6(1)(a))", I6799="Not Captured"), "Gap - Invalid Consent", IF(AND(D6799="Legitimate Interest (GDPR Art. 6(1)(f))", L6799=""), "Gap - Missing LIA", IF(AND(G6799="Yes", H6799=""), "Gap - Missing Art. 9 Basis", IF(OR(I6799="Invalid - Not Freely Given", I6799="Invalid - Not Specific", I6799="Invalid - Not Informed", I6799="Invalid - Ambiguous"), "Gap - Invalid Consent", "Compliant")))))</f>
        <v/>
      </c>
      <c r="O6799" s="7" t="n"/>
    </row>
    <row r="6800">
      <c r="A6800" s="7" t="n"/>
      <c r="B6800" s="7" t="n"/>
      <c r="C6800" s="7" t="n"/>
      <c r="D6800" s="7" t="n"/>
      <c r="E6800" s="7" t="n"/>
      <c r="F6800" s="7" t="n"/>
      <c r="G6800" s="7" t="n"/>
      <c r="H6800" s="7" t="n"/>
      <c r="I6800" s="7" t="n"/>
      <c r="J6800" s="7" t="n"/>
      <c r="K6800">
        <f>IF(D6800="Legitimate Interest (GDPR Art. 6(1)(f))", "Yes / Required (Sheet 3)", "")</f>
        <v/>
      </c>
      <c r="L6800" s="7" t="n"/>
      <c r="M6800" s="7" t="n"/>
      <c r="N6800">
        <f>IF(D6800="", "Gap - No Legal Basis", IF(AND(D6800="Consent (GDPR Art. 6(1)(a))", I6800="Not Captured"), "Gap - Invalid Consent", IF(AND(D6800="Legitimate Interest (GDPR Art. 6(1)(f))", L6800=""), "Gap - Missing LIA", IF(AND(G6800="Yes", H6800=""), "Gap - Missing Art. 9 Basis", IF(OR(I6800="Invalid - Not Freely Given", I6800="Invalid - Not Specific", I6800="Invalid - Not Informed", I6800="Invalid - Ambiguous"), "Gap - Invalid Consent", "Compliant")))))</f>
        <v/>
      </c>
      <c r="O6800" s="7" t="n"/>
    </row>
    <row r="6801">
      <c r="A6801" s="7" t="n"/>
      <c r="B6801" s="7" t="n"/>
      <c r="C6801" s="7" t="n"/>
      <c r="D6801" s="7" t="n"/>
      <c r="E6801" s="7" t="n"/>
      <c r="F6801" s="7" t="n"/>
      <c r="G6801" s="7" t="n"/>
      <c r="H6801" s="7" t="n"/>
      <c r="I6801" s="7" t="n"/>
      <c r="J6801" s="7" t="n"/>
      <c r="K6801">
        <f>IF(D6801="Legitimate Interest (GDPR Art. 6(1)(f))", "Yes / Required (Sheet 3)", "")</f>
        <v/>
      </c>
      <c r="L6801" s="7" t="n"/>
      <c r="M6801" s="7" t="n"/>
      <c r="N6801">
        <f>IF(D6801="", "Gap - No Legal Basis", IF(AND(D6801="Consent (GDPR Art. 6(1)(a))", I6801="Not Captured"), "Gap - Invalid Consent", IF(AND(D6801="Legitimate Interest (GDPR Art. 6(1)(f))", L6801=""), "Gap - Missing LIA", IF(AND(G6801="Yes", H6801=""), "Gap - Missing Art. 9 Basis", IF(OR(I6801="Invalid - Not Freely Given", I6801="Invalid - Not Specific", I6801="Invalid - Not Informed", I6801="Invalid - Ambiguous"), "Gap - Invalid Consent", "Compliant")))))</f>
        <v/>
      </c>
      <c r="O6801" s="7" t="n"/>
    </row>
    <row r="6802">
      <c r="A6802" s="7" t="n"/>
      <c r="B6802" s="7" t="n"/>
      <c r="C6802" s="7" t="n"/>
      <c r="D6802" s="7" t="n"/>
      <c r="E6802" s="7" t="n"/>
      <c r="F6802" s="7" t="n"/>
      <c r="G6802" s="7" t="n"/>
      <c r="H6802" s="7" t="n"/>
      <c r="I6802" s="7" t="n"/>
      <c r="J6802" s="7" t="n"/>
      <c r="K6802">
        <f>IF(D6802="Legitimate Interest (GDPR Art. 6(1)(f))", "Yes / Required (Sheet 3)", "")</f>
        <v/>
      </c>
      <c r="L6802" s="7" t="n"/>
      <c r="M6802" s="7" t="n"/>
      <c r="N6802">
        <f>IF(D6802="", "Gap - No Legal Basis", IF(AND(D6802="Consent (GDPR Art. 6(1)(a))", I6802="Not Captured"), "Gap - Invalid Consent", IF(AND(D6802="Legitimate Interest (GDPR Art. 6(1)(f))", L6802=""), "Gap - Missing LIA", IF(AND(G6802="Yes", H6802=""), "Gap - Missing Art. 9 Basis", IF(OR(I6802="Invalid - Not Freely Given", I6802="Invalid - Not Specific", I6802="Invalid - Not Informed", I6802="Invalid - Ambiguous"), "Gap - Invalid Consent", "Compliant")))))</f>
        <v/>
      </c>
      <c r="O6802" s="7" t="n"/>
    </row>
    <row r="6803">
      <c r="A6803" s="7" t="n"/>
      <c r="B6803" s="7" t="n"/>
      <c r="C6803" s="7" t="n"/>
      <c r="D6803" s="7" t="n"/>
      <c r="E6803" s="7" t="n"/>
      <c r="F6803" s="7" t="n"/>
      <c r="G6803" s="7" t="n"/>
      <c r="H6803" s="7" t="n"/>
      <c r="I6803" s="7" t="n"/>
      <c r="J6803" s="7" t="n"/>
      <c r="K6803">
        <f>IF(D6803="Legitimate Interest (GDPR Art. 6(1)(f))", "Yes / Required (Sheet 3)", "")</f>
        <v/>
      </c>
      <c r="L6803" s="7" t="n"/>
      <c r="M6803" s="7" t="n"/>
      <c r="N6803">
        <f>IF(D6803="", "Gap - No Legal Basis", IF(AND(D6803="Consent (GDPR Art. 6(1)(a))", I6803="Not Captured"), "Gap - Invalid Consent", IF(AND(D6803="Legitimate Interest (GDPR Art. 6(1)(f))", L6803=""), "Gap - Missing LIA", IF(AND(G6803="Yes", H6803=""), "Gap - Missing Art. 9 Basis", IF(OR(I6803="Invalid - Not Freely Given", I6803="Invalid - Not Specific", I6803="Invalid - Not Informed", I6803="Invalid - Ambiguous"), "Gap - Invalid Consent", "Compliant")))))</f>
        <v/>
      </c>
      <c r="O6803" s="7" t="n"/>
    </row>
    <row r="6804">
      <c r="A6804" s="7" t="n"/>
      <c r="B6804" s="7" t="n"/>
      <c r="C6804" s="7" t="n"/>
      <c r="D6804" s="7" t="n"/>
      <c r="E6804" s="7" t="n"/>
      <c r="F6804" s="7" t="n"/>
      <c r="G6804" s="7" t="n"/>
      <c r="H6804" s="7" t="n"/>
      <c r="I6804" s="7" t="n"/>
      <c r="J6804" s="7" t="n"/>
      <c r="K6804">
        <f>IF(D6804="Legitimate Interest (GDPR Art. 6(1)(f))", "Yes / Required (Sheet 3)", "")</f>
        <v/>
      </c>
      <c r="L6804" s="7" t="n"/>
      <c r="M6804" s="7" t="n"/>
      <c r="N6804">
        <f>IF(D6804="", "Gap - No Legal Basis", IF(AND(D6804="Consent (GDPR Art. 6(1)(a))", I6804="Not Captured"), "Gap - Invalid Consent", IF(AND(D6804="Legitimate Interest (GDPR Art. 6(1)(f))", L6804=""), "Gap - Missing LIA", IF(AND(G6804="Yes", H6804=""), "Gap - Missing Art. 9 Basis", IF(OR(I6804="Invalid - Not Freely Given", I6804="Invalid - Not Specific", I6804="Invalid - Not Informed", I6804="Invalid - Ambiguous"), "Gap - Invalid Consent", "Compliant")))))</f>
        <v/>
      </c>
      <c r="O6804" s="7" t="n"/>
    </row>
    <row r="6805">
      <c r="A6805" s="7" t="n"/>
      <c r="B6805" s="7" t="n"/>
      <c r="C6805" s="7" t="n"/>
      <c r="D6805" s="7" t="n"/>
      <c r="E6805" s="7" t="n"/>
      <c r="F6805" s="7" t="n"/>
      <c r="G6805" s="7" t="n"/>
      <c r="H6805" s="7" t="n"/>
      <c r="I6805" s="7" t="n"/>
      <c r="J6805" s="7" t="n"/>
      <c r="K6805">
        <f>IF(D6805="Legitimate Interest (GDPR Art. 6(1)(f))", "Yes / Required (Sheet 3)", "")</f>
        <v/>
      </c>
      <c r="L6805" s="7" t="n"/>
      <c r="M6805" s="7" t="n"/>
      <c r="N6805">
        <f>IF(D6805="", "Gap - No Legal Basis", IF(AND(D6805="Consent (GDPR Art. 6(1)(a))", I6805="Not Captured"), "Gap - Invalid Consent", IF(AND(D6805="Legitimate Interest (GDPR Art. 6(1)(f))", L6805=""), "Gap - Missing LIA", IF(AND(G6805="Yes", H6805=""), "Gap - Missing Art. 9 Basis", IF(OR(I6805="Invalid - Not Freely Given", I6805="Invalid - Not Specific", I6805="Invalid - Not Informed", I6805="Invalid - Ambiguous"), "Gap - Invalid Consent", "Compliant")))))</f>
        <v/>
      </c>
      <c r="O6805" s="7" t="n"/>
    </row>
    <row r="6806">
      <c r="A6806" s="7" t="n"/>
      <c r="B6806" s="7" t="n"/>
      <c r="C6806" s="7" t="n"/>
      <c r="D6806" s="7" t="n"/>
      <c r="E6806" s="7" t="n"/>
      <c r="F6806" s="7" t="n"/>
      <c r="G6806" s="7" t="n"/>
      <c r="H6806" s="7" t="n"/>
      <c r="I6806" s="7" t="n"/>
      <c r="J6806" s="7" t="n"/>
      <c r="K6806">
        <f>IF(D6806="Legitimate Interest (GDPR Art. 6(1)(f))", "Yes / Required (Sheet 3)", "")</f>
        <v/>
      </c>
      <c r="L6806" s="7" t="n"/>
      <c r="M6806" s="7" t="n"/>
      <c r="N6806">
        <f>IF(D6806="", "Gap - No Legal Basis", IF(AND(D6806="Consent (GDPR Art. 6(1)(a))", I6806="Not Captured"), "Gap - Invalid Consent", IF(AND(D6806="Legitimate Interest (GDPR Art. 6(1)(f))", L6806=""), "Gap - Missing LIA", IF(AND(G6806="Yes", H6806=""), "Gap - Missing Art. 9 Basis", IF(OR(I6806="Invalid - Not Freely Given", I6806="Invalid - Not Specific", I6806="Invalid - Not Informed", I6806="Invalid - Ambiguous"), "Gap - Invalid Consent", "Compliant")))))</f>
        <v/>
      </c>
      <c r="O6806" s="7" t="n"/>
    </row>
    <row r="6807">
      <c r="A6807" s="7" t="n"/>
      <c r="B6807" s="7" t="n"/>
      <c r="C6807" s="7" t="n"/>
      <c r="D6807" s="7" t="n"/>
      <c r="E6807" s="7" t="n"/>
      <c r="F6807" s="7" t="n"/>
      <c r="G6807" s="7" t="n"/>
      <c r="H6807" s="7" t="n"/>
      <c r="I6807" s="7" t="n"/>
      <c r="J6807" s="7" t="n"/>
      <c r="K6807">
        <f>IF(D6807="Legitimate Interest (GDPR Art. 6(1)(f))", "Yes / Required (Sheet 3)", "")</f>
        <v/>
      </c>
      <c r="L6807" s="7" t="n"/>
      <c r="M6807" s="7" t="n"/>
      <c r="N6807">
        <f>IF(D6807="", "Gap - No Legal Basis", IF(AND(D6807="Consent (GDPR Art. 6(1)(a))", I6807="Not Captured"), "Gap - Invalid Consent", IF(AND(D6807="Legitimate Interest (GDPR Art. 6(1)(f))", L6807=""), "Gap - Missing LIA", IF(AND(G6807="Yes", H6807=""), "Gap - Missing Art. 9 Basis", IF(OR(I6807="Invalid - Not Freely Given", I6807="Invalid - Not Specific", I6807="Invalid - Not Informed", I6807="Invalid - Ambiguous"), "Gap - Invalid Consent", "Compliant")))))</f>
        <v/>
      </c>
      <c r="O6807" s="7" t="n"/>
    </row>
    <row r="6808">
      <c r="A6808" s="7" t="n"/>
      <c r="B6808" s="7" t="n"/>
      <c r="C6808" s="7" t="n"/>
      <c r="D6808" s="7" t="n"/>
      <c r="E6808" s="7" t="n"/>
      <c r="F6808" s="7" t="n"/>
      <c r="G6808" s="7" t="n"/>
      <c r="H6808" s="7" t="n"/>
      <c r="I6808" s="7" t="n"/>
      <c r="J6808" s="7" t="n"/>
      <c r="K6808">
        <f>IF(D6808="Legitimate Interest (GDPR Art. 6(1)(f))", "Yes / Required (Sheet 3)", "")</f>
        <v/>
      </c>
      <c r="L6808" s="7" t="n"/>
      <c r="M6808" s="7" t="n"/>
      <c r="N6808">
        <f>IF(D6808="", "Gap - No Legal Basis", IF(AND(D6808="Consent (GDPR Art. 6(1)(a))", I6808="Not Captured"), "Gap - Invalid Consent", IF(AND(D6808="Legitimate Interest (GDPR Art. 6(1)(f))", L6808=""), "Gap - Missing LIA", IF(AND(G6808="Yes", H6808=""), "Gap - Missing Art. 9 Basis", IF(OR(I6808="Invalid - Not Freely Given", I6808="Invalid - Not Specific", I6808="Invalid - Not Informed", I6808="Invalid - Ambiguous"), "Gap - Invalid Consent", "Compliant")))))</f>
        <v/>
      </c>
      <c r="O6808" s="7" t="n"/>
    </row>
    <row r="6809">
      <c r="A6809" s="7" t="n"/>
      <c r="B6809" s="7" t="n"/>
      <c r="C6809" s="7" t="n"/>
      <c r="D6809" s="7" t="n"/>
      <c r="E6809" s="7" t="n"/>
      <c r="F6809" s="7" t="n"/>
      <c r="G6809" s="7" t="n"/>
      <c r="H6809" s="7" t="n"/>
      <c r="I6809" s="7" t="n"/>
      <c r="J6809" s="7" t="n"/>
      <c r="K6809">
        <f>IF(D6809="Legitimate Interest (GDPR Art. 6(1)(f))", "Yes / Required (Sheet 3)", "")</f>
        <v/>
      </c>
      <c r="L6809" s="7" t="n"/>
      <c r="M6809" s="7" t="n"/>
      <c r="N6809">
        <f>IF(D6809="", "Gap - No Legal Basis", IF(AND(D6809="Consent (GDPR Art. 6(1)(a))", I6809="Not Captured"), "Gap - Invalid Consent", IF(AND(D6809="Legitimate Interest (GDPR Art. 6(1)(f))", L6809=""), "Gap - Missing LIA", IF(AND(G6809="Yes", H6809=""), "Gap - Missing Art. 9 Basis", IF(OR(I6809="Invalid - Not Freely Given", I6809="Invalid - Not Specific", I6809="Invalid - Not Informed", I6809="Invalid - Ambiguous"), "Gap - Invalid Consent", "Compliant")))))</f>
        <v/>
      </c>
      <c r="O6809" s="7" t="n"/>
    </row>
    <row r="6810">
      <c r="A6810" s="7" t="n"/>
      <c r="B6810" s="7" t="n"/>
      <c r="C6810" s="7" t="n"/>
      <c r="D6810" s="7" t="n"/>
      <c r="E6810" s="7" t="n"/>
      <c r="F6810" s="7" t="n"/>
      <c r="G6810" s="7" t="n"/>
      <c r="H6810" s="7" t="n"/>
      <c r="I6810" s="7" t="n"/>
      <c r="J6810" s="7" t="n"/>
      <c r="K6810">
        <f>IF(D6810="Legitimate Interest (GDPR Art. 6(1)(f))", "Yes / Required (Sheet 3)", "")</f>
        <v/>
      </c>
      <c r="L6810" s="7" t="n"/>
      <c r="M6810" s="7" t="n"/>
      <c r="N6810">
        <f>IF(D6810="", "Gap - No Legal Basis", IF(AND(D6810="Consent (GDPR Art. 6(1)(a))", I6810="Not Captured"), "Gap - Invalid Consent", IF(AND(D6810="Legitimate Interest (GDPR Art. 6(1)(f))", L6810=""), "Gap - Missing LIA", IF(AND(G6810="Yes", H6810=""), "Gap - Missing Art. 9 Basis", IF(OR(I6810="Invalid - Not Freely Given", I6810="Invalid - Not Specific", I6810="Invalid - Not Informed", I6810="Invalid - Ambiguous"), "Gap - Invalid Consent", "Compliant")))))</f>
        <v/>
      </c>
      <c r="O6810" s="7" t="n"/>
    </row>
    <row r="6811">
      <c r="A6811" s="7" t="n"/>
      <c r="B6811" s="7" t="n"/>
      <c r="C6811" s="7" t="n"/>
      <c r="D6811" s="7" t="n"/>
      <c r="E6811" s="7" t="n"/>
      <c r="F6811" s="7" t="n"/>
      <c r="G6811" s="7" t="n"/>
      <c r="H6811" s="7" t="n"/>
      <c r="I6811" s="7" t="n"/>
      <c r="J6811" s="7" t="n"/>
      <c r="K6811">
        <f>IF(D6811="Legitimate Interest (GDPR Art. 6(1)(f))", "Yes / Required (Sheet 3)", "")</f>
        <v/>
      </c>
      <c r="L6811" s="7" t="n"/>
      <c r="M6811" s="7" t="n"/>
      <c r="N6811">
        <f>IF(D6811="", "Gap - No Legal Basis", IF(AND(D6811="Consent (GDPR Art. 6(1)(a))", I6811="Not Captured"), "Gap - Invalid Consent", IF(AND(D6811="Legitimate Interest (GDPR Art. 6(1)(f))", L6811=""), "Gap - Missing LIA", IF(AND(G6811="Yes", H6811=""), "Gap - Missing Art. 9 Basis", IF(OR(I6811="Invalid - Not Freely Given", I6811="Invalid - Not Specific", I6811="Invalid - Not Informed", I6811="Invalid - Ambiguous"), "Gap - Invalid Consent", "Compliant")))))</f>
        <v/>
      </c>
      <c r="O6811" s="7" t="n"/>
    </row>
    <row r="6812">
      <c r="A6812" s="7" t="n"/>
      <c r="B6812" s="7" t="n"/>
      <c r="C6812" s="7" t="n"/>
      <c r="D6812" s="7" t="n"/>
      <c r="E6812" s="7" t="n"/>
      <c r="F6812" s="7" t="n"/>
      <c r="G6812" s="7" t="n"/>
      <c r="H6812" s="7" t="n"/>
      <c r="I6812" s="7" t="n"/>
      <c r="J6812" s="7" t="n"/>
      <c r="K6812">
        <f>IF(D6812="Legitimate Interest (GDPR Art. 6(1)(f))", "Yes / Required (Sheet 3)", "")</f>
        <v/>
      </c>
      <c r="L6812" s="7" t="n"/>
      <c r="M6812" s="7" t="n"/>
      <c r="N6812">
        <f>IF(D6812="", "Gap - No Legal Basis", IF(AND(D6812="Consent (GDPR Art. 6(1)(a))", I6812="Not Captured"), "Gap - Invalid Consent", IF(AND(D6812="Legitimate Interest (GDPR Art. 6(1)(f))", L6812=""), "Gap - Missing LIA", IF(AND(G6812="Yes", H6812=""), "Gap - Missing Art. 9 Basis", IF(OR(I6812="Invalid - Not Freely Given", I6812="Invalid - Not Specific", I6812="Invalid - Not Informed", I6812="Invalid - Ambiguous"), "Gap - Invalid Consent", "Compliant")))))</f>
        <v/>
      </c>
      <c r="O6812" s="7" t="n"/>
    </row>
    <row r="6813">
      <c r="A6813" s="7" t="n"/>
      <c r="B6813" s="7" t="n"/>
      <c r="C6813" s="7" t="n"/>
      <c r="D6813" s="7" t="n"/>
      <c r="E6813" s="7" t="n"/>
      <c r="F6813" s="7" t="n"/>
      <c r="G6813" s="7" t="n"/>
      <c r="H6813" s="7" t="n"/>
      <c r="I6813" s="7" t="n"/>
      <c r="J6813" s="7" t="n"/>
      <c r="K6813">
        <f>IF(D6813="Legitimate Interest (GDPR Art. 6(1)(f))", "Yes / Required (Sheet 3)", "")</f>
        <v/>
      </c>
      <c r="L6813" s="7" t="n"/>
      <c r="M6813" s="7" t="n"/>
      <c r="N6813">
        <f>IF(D6813="", "Gap - No Legal Basis", IF(AND(D6813="Consent (GDPR Art. 6(1)(a))", I6813="Not Captured"), "Gap - Invalid Consent", IF(AND(D6813="Legitimate Interest (GDPR Art. 6(1)(f))", L6813=""), "Gap - Missing LIA", IF(AND(G6813="Yes", H6813=""), "Gap - Missing Art. 9 Basis", IF(OR(I6813="Invalid - Not Freely Given", I6813="Invalid - Not Specific", I6813="Invalid - Not Informed", I6813="Invalid - Ambiguous"), "Gap - Invalid Consent", "Compliant")))))</f>
        <v/>
      </c>
      <c r="O6813" s="7" t="n"/>
    </row>
    <row r="6814">
      <c r="A6814" s="7" t="n"/>
      <c r="B6814" s="7" t="n"/>
      <c r="C6814" s="7" t="n"/>
      <c r="D6814" s="7" t="n"/>
      <c r="E6814" s="7" t="n"/>
      <c r="F6814" s="7" t="n"/>
      <c r="G6814" s="7" t="n"/>
      <c r="H6814" s="7" t="n"/>
      <c r="I6814" s="7" t="n"/>
      <c r="J6814" s="7" t="n"/>
      <c r="K6814">
        <f>IF(D6814="Legitimate Interest (GDPR Art. 6(1)(f))", "Yes / Required (Sheet 3)", "")</f>
        <v/>
      </c>
      <c r="L6814" s="7" t="n"/>
      <c r="M6814" s="7" t="n"/>
      <c r="N6814">
        <f>IF(D6814="", "Gap - No Legal Basis", IF(AND(D6814="Consent (GDPR Art. 6(1)(a))", I6814="Not Captured"), "Gap - Invalid Consent", IF(AND(D6814="Legitimate Interest (GDPR Art. 6(1)(f))", L6814=""), "Gap - Missing LIA", IF(AND(G6814="Yes", H6814=""), "Gap - Missing Art. 9 Basis", IF(OR(I6814="Invalid - Not Freely Given", I6814="Invalid - Not Specific", I6814="Invalid - Not Informed", I6814="Invalid - Ambiguous"), "Gap - Invalid Consent", "Compliant")))))</f>
        <v/>
      </c>
      <c r="O6814" s="7" t="n"/>
    </row>
    <row r="6815">
      <c r="A6815" s="7" t="n"/>
      <c r="B6815" s="7" t="n"/>
      <c r="C6815" s="7" t="n"/>
      <c r="D6815" s="7" t="n"/>
      <c r="E6815" s="7" t="n"/>
      <c r="F6815" s="7" t="n"/>
      <c r="G6815" s="7" t="n"/>
      <c r="H6815" s="7" t="n"/>
      <c r="I6815" s="7" t="n"/>
      <c r="J6815" s="7" t="n"/>
      <c r="K6815">
        <f>IF(D6815="Legitimate Interest (GDPR Art. 6(1)(f))", "Yes / Required (Sheet 3)", "")</f>
        <v/>
      </c>
      <c r="L6815" s="7" t="n"/>
      <c r="M6815" s="7" t="n"/>
      <c r="N6815">
        <f>IF(D6815="", "Gap - No Legal Basis", IF(AND(D6815="Consent (GDPR Art. 6(1)(a))", I6815="Not Captured"), "Gap - Invalid Consent", IF(AND(D6815="Legitimate Interest (GDPR Art. 6(1)(f))", L6815=""), "Gap - Missing LIA", IF(AND(G6815="Yes", H6815=""), "Gap - Missing Art. 9 Basis", IF(OR(I6815="Invalid - Not Freely Given", I6815="Invalid - Not Specific", I6815="Invalid - Not Informed", I6815="Invalid - Ambiguous"), "Gap - Invalid Consent", "Compliant")))))</f>
        <v/>
      </c>
      <c r="O6815" s="7" t="n"/>
    </row>
    <row r="6816">
      <c r="A6816" s="7" t="n"/>
      <c r="B6816" s="7" t="n"/>
      <c r="C6816" s="7" t="n"/>
      <c r="D6816" s="7" t="n"/>
      <c r="E6816" s="7" t="n"/>
      <c r="F6816" s="7" t="n"/>
      <c r="G6816" s="7" t="n"/>
      <c r="H6816" s="7" t="n"/>
      <c r="I6816" s="7" t="n"/>
      <c r="J6816" s="7" t="n"/>
      <c r="K6816">
        <f>IF(D6816="Legitimate Interest (GDPR Art. 6(1)(f))", "Yes / Required (Sheet 3)", "")</f>
        <v/>
      </c>
      <c r="L6816" s="7" t="n"/>
      <c r="M6816" s="7" t="n"/>
      <c r="N6816">
        <f>IF(D6816="", "Gap - No Legal Basis", IF(AND(D6816="Consent (GDPR Art. 6(1)(a))", I6816="Not Captured"), "Gap - Invalid Consent", IF(AND(D6816="Legitimate Interest (GDPR Art. 6(1)(f))", L6816=""), "Gap - Missing LIA", IF(AND(G6816="Yes", H6816=""), "Gap - Missing Art. 9 Basis", IF(OR(I6816="Invalid - Not Freely Given", I6816="Invalid - Not Specific", I6816="Invalid - Not Informed", I6816="Invalid - Ambiguous"), "Gap - Invalid Consent", "Compliant")))))</f>
        <v/>
      </c>
      <c r="O6816" s="7" t="n"/>
    </row>
    <row r="6817">
      <c r="A6817" s="7" t="n"/>
      <c r="B6817" s="7" t="n"/>
      <c r="C6817" s="7" t="n"/>
      <c r="D6817" s="7" t="n"/>
      <c r="E6817" s="7" t="n"/>
      <c r="F6817" s="7" t="n"/>
      <c r="G6817" s="7" t="n"/>
      <c r="H6817" s="7" t="n"/>
      <c r="I6817" s="7" t="n"/>
      <c r="J6817" s="7" t="n"/>
      <c r="K6817">
        <f>IF(D6817="Legitimate Interest (GDPR Art. 6(1)(f))", "Yes / Required (Sheet 3)", "")</f>
        <v/>
      </c>
      <c r="L6817" s="7" t="n"/>
      <c r="M6817" s="7" t="n"/>
      <c r="N6817">
        <f>IF(D6817="", "Gap - No Legal Basis", IF(AND(D6817="Consent (GDPR Art. 6(1)(a))", I6817="Not Captured"), "Gap - Invalid Consent", IF(AND(D6817="Legitimate Interest (GDPR Art. 6(1)(f))", L6817=""), "Gap - Missing LIA", IF(AND(G6817="Yes", H6817=""), "Gap - Missing Art. 9 Basis", IF(OR(I6817="Invalid - Not Freely Given", I6817="Invalid - Not Specific", I6817="Invalid - Not Informed", I6817="Invalid - Ambiguous"), "Gap - Invalid Consent", "Compliant")))))</f>
        <v/>
      </c>
      <c r="O6817" s="7" t="n"/>
    </row>
    <row r="6818">
      <c r="A6818" s="7" t="n"/>
      <c r="B6818" s="7" t="n"/>
      <c r="C6818" s="7" t="n"/>
      <c r="D6818" s="7" t="n"/>
      <c r="E6818" s="7" t="n"/>
      <c r="F6818" s="7" t="n"/>
      <c r="G6818" s="7" t="n"/>
      <c r="H6818" s="7" t="n"/>
      <c r="I6818" s="7" t="n"/>
      <c r="J6818" s="7" t="n"/>
      <c r="K6818">
        <f>IF(D6818="Legitimate Interest (GDPR Art. 6(1)(f))", "Yes / Required (Sheet 3)", "")</f>
        <v/>
      </c>
      <c r="L6818" s="7" t="n"/>
      <c r="M6818" s="7" t="n"/>
      <c r="N6818">
        <f>IF(D6818="", "Gap - No Legal Basis", IF(AND(D6818="Consent (GDPR Art. 6(1)(a))", I6818="Not Captured"), "Gap - Invalid Consent", IF(AND(D6818="Legitimate Interest (GDPR Art. 6(1)(f))", L6818=""), "Gap - Missing LIA", IF(AND(G6818="Yes", H6818=""), "Gap - Missing Art. 9 Basis", IF(OR(I6818="Invalid - Not Freely Given", I6818="Invalid - Not Specific", I6818="Invalid - Not Informed", I6818="Invalid - Ambiguous"), "Gap - Invalid Consent", "Compliant")))))</f>
        <v/>
      </c>
      <c r="O6818" s="7" t="n"/>
    </row>
    <row r="6819">
      <c r="A6819" s="7" t="n"/>
      <c r="B6819" s="7" t="n"/>
      <c r="C6819" s="7" t="n"/>
      <c r="D6819" s="7" t="n"/>
      <c r="E6819" s="7" t="n"/>
      <c r="F6819" s="7" t="n"/>
      <c r="G6819" s="7" t="n"/>
      <c r="H6819" s="7" t="n"/>
      <c r="I6819" s="7" t="n"/>
      <c r="J6819" s="7" t="n"/>
      <c r="K6819">
        <f>IF(D6819="Legitimate Interest (GDPR Art. 6(1)(f))", "Yes / Required (Sheet 3)", "")</f>
        <v/>
      </c>
      <c r="L6819" s="7" t="n"/>
      <c r="M6819" s="7" t="n"/>
      <c r="N6819">
        <f>IF(D6819="", "Gap - No Legal Basis", IF(AND(D6819="Consent (GDPR Art. 6(1)(a))", I6819="Not Captured"), "Gap - Invalid Consent", IF(AND(D6819="Legitimate Interest (GDPR Art. 6(1)(f))", L6819=""), "Gap - Missing LIA", IF(AND(G6819="Yes", H6819=""), "Gap - Missing Art. 9 Basis", IF(OR(I6819="Invalid - Not Freely Given", I6819="Invalid - Not Specific", I6819="Invalid - Not Informed", I6819="Invalid - Ambiguous"), "Gap - Invalid Consent", "Compliant")))))</f>
        <v/>
      </c>
      <c r="O6819" s="7" t="n"/>
    </row>
    <row r="6820">
      <c r="A6820" s="7" t="n"/>
      <c r="B6820" s="7" t="n"/>
      <c r="C6820" s="7" t="n"/>
      <c r="D6820" s="7" t="n"/>
      <c r="E6820" s="7" t="n"/>
      <c r="F6820" s="7" t="n"/>
      <c r="G6820" s="7" t="n"/>
      <c r="H6820" s="7" t="n"/>
      <c r="I6820" s="7" t="n"/>
      <c r="J6820" s="7" t="n"/>
      <c r="K6820">
        <f>IF(D6820="Legitimate Interest (GDPR Art. 6(1)(f))", "Yes / Required (Sheet 3)", "")</f>
        <v/>
      </c>
      <c r="L6820" s="7" t="n"/>
      <c r="M6820" s="7" t="n"/>
      <c r="N6820">
        <f>IF(D6820="", "Gap - No Legal Basis", IF(AND(D6820="Consent (GDPR Art. 6(1)(a))", I6820="Not Captured"), "Gap - Invalid Consent", IF(AND(D6820="Legitimate Interest (GDPR Art. 6(1)(f))", L6820=""), "Gap - Missing LIA", IF(AND(G6820="Yes", H6820=""), "Gap - Missing Art. 9 Basis", IF(OR(I6820="Invalid - Not Freely Given", I6820="Invalid - Not Specific", I6820="Invalid - Not Informed", I6820="Invalid - Ambiguous"), "Gap - Invalid Consent", "Compliant")))))</f>
        <v/>
      </c>
      <c r="O6820" s="7" t="n"/>
    </row>
    <row r="6821">
      <c r="A6821" s="7" t="n"/>
      <c r="B6821" s="7" t="n"/>
      <c r="C6821" s="7" t="n"/>
      <c r="D6821" s="7" t="n"/>
      <c r="E6821" s="7" t="n"/>
      <c r="F6821" s="7" t="n"/>
      <c r="G6821" s="7" t="n"/>
      <c r="H6821" s="7" t="n"/>
      <c r="I6821" s="7" t="n"/>
      <c r="J6821" s="7" t="n"/>
      <c r="K6821">
        <f>IF(D6821="Legitimate Interest (GDPR Art. 6(1)(f))", "Yes / Required (Sheet 3)", "")</f>
        <v/>
      </c>
      <c r="L6821" s="7" t="n"/>
      <c r="M6821" s="7" t="n"/>
      <c r="N6821">
        <f>IF(D6821="", "Gap - No Legal Basis", IF(AND(D6821="Consent (GDPR Art. 6(1)(a))", I6821="Not Captured"), "Gap - Invalid Consent", IF(AND(D6821="Legitimate Interest (GDPR Art. 6(1)(f))", L6821=""), "Gap - Missing LIA", IF(AND(G6821="Yes", H6821=""), "Gap - Missing Art. 9 Basis", IF(OR(I6821="Invalid - Not Freely Given", I6821="Invalid - Not Specific", I6821="Invalid - Not Informed", I6821="Invalid - Ambiguous"), "Gap - Invalid Consent", "Compliant")))))</f>
        <v/>
      </c>
      <c r="O6821" s="7" t="n"/>
    </row>
    <row r="6822">
      <c r="A6822" s="7" t="n"/>
      <c r="B6822" s="7" t="n"/>
      <c r="C6822" s="7" t="n"/>
      <c r="D6822" s="7" t="n"/>
      <c r="E6822" s="7" t="n"/>
      <c r="F6822" s="7" t="n"/>
      <c r="G6822" s="7" t="n"/>
      <c r="H6822" s="7" t="n"/>
      <c r="I6822" s="7" t="n"/>
      <c r="J6822" s="7" t="n"/>
      <c r="K6822">
        <f>IF(D6822="Legitimate Interest (GDPR Art. 6(1)(f))", "Yes / Required (Sheet 3)", "")</f>
        <v/>
      </c>
      <c r="L6822" s="7" t="n"/>
      <c r="M6822" s="7" t="n"/>
      <c r="N6822">
        <f>IF(D6822="", "Gap - No Legal Basis", IF(AND(D6822="Consent (GDPR Art. 6(1)(a))", I6822="Not Captured"), "Gap - Invalid Consent", IF(AND(D6822="Legitimate Interest (GDPR Art. 6(1)(f))", L6822=""), "Gap - Missing LIA", IF(AND(G6822="Yes", H6822=""), "Gap - Missing Art. 9 Basis", IF(OR(I6822="Invalid - Not Freely Given", I6822="Invalid - Not Specific", I6822="Invalid - Not Informed", I6822="Invalid - Ambiguous"), "Gap - Invalid Consent", "Compliant")))))</f>
        <v/>
      </c>
      <c r="O6822" s="7" t="n"/>
    </row>
    <row r="6823">
      <c r="A6823" s="7" t="n"/>
      <c r="B6823" s="7" t="n"/>
      <c r="C6823" s="7" t="n"/>
      <c r="D6823" s="7" t="n"/>
      <c r="E6823" s="7" t="n"/>
      <c r="F6823" s="7" t="n"/>
      <c r="G6823" s="7" t="n"/>
      <c r="H6823" s="7" t="n"/>
      <c r="I6823" s="7" t="n"/>
      <c r="J6823" s="7" t="n"/>
      <c r="K6823">
        <f>IF(D6823="Legitimate Interest (GDPR Art. 6(1)(f))", "Yes / Required (Sheet 3)", "")</f>
        <v/>
      </c>
      <c r="L6823" s="7" t="n"/>
      <c r="M6823" s="7" t="n"/>
      <c r="N6823">
        <f>IF(D6823="", "Gap - No Legal Basis", IF(AND(D6823="Consent (GDPR Art. 6(1)(a))", I6823="Not Captured"), "Gap - Invalid Consent", IF(AND(D6823="Legitimate Interest (GDPR Art. 6(1)(f))", L6823=""), "Gap - Missing LIA", IF(AND(G6823="Yes", H6823=""), "Gap - Missing Art. 9 Basis", IF(OR(I6823="Invalid - Not Freely Given", I6823="Invalid - Not Specific", I6823="Invalid - Not Informed", I6823="Invalid - Ambiguous"), "Gap - Invalid Consent", "Compliant")))))</f>
        <v/>
      </c>
      <c r="O6823" s="7" t="n"/>
    </row>
    <row r="6824">
      <c r="A6824" s="7" t="n"/>
      <c r="B6824" s="7" t="n"/>
      <c r="C6824" s="7" t="n"/>
      <c r="D6824" s="7" t="n"/>
      <c r="E6824" s="7" t="n"/>
      <c r="F6824" s="7" t="n"/>
      <c r="G6824" s="7" t="n"/>
      <c r="H6824" s="7" t="n"/>
      <c r="I6824" s="7" t="n"/>
      <c r="J6824" s="7" t="n"/>
      <c r="K6824">
        <f>IF(D6824="Legitimate Interest (GDPR Art. 6(1)(f))", "Yes / Required (Sheet 3)", "")</f>
        <v/>
      </c>
      <c r="L6824" s="7" t="n"/>
      <c r="M6824" s="7" t="n"/>
      <c r="N6824">
        <f>IF(D6824="", "Gap - No Legal Basis", IF(AND(D6824="Consent (GDPR Art. 6(1)(a))", I6824="Not Captured"), "Gap - Invalid Consent", IF(AND(D6824="Legitimate Interest (GDPR Art. 6(1)(f))", L6824=""), "Gap - Missing LIA", IF(AND(G6824="Yes", H6824=""), "Gap - Missing Art. 9 Basis", IF(OR(I6824="Invalid - Not Freely Given", I6824="Invalid - Not Specific", I6824="Invalid - Not Informed", I6824="Invalid - Ambiguous"), "Gap - Invalid Consent", "Compliant")))))</f>
        <v/>
      </c>
      <c r="O6824" s="7" t="n"/>
    </row>
    <row r="6825">
      <c r="A6825" s="7" t="n"/>
      <c r="B6825" s="7" t="n"/>
      <c r="C6825" s="7" t="n"/>
      <c r="D6825" s="7" t="n"/>
      <c r="E6825" s="7" t="n"/>
      <c r="F6825" s="7" t="n"/>
      <c r="G6825" s="7" t="n"/>
      <c r="H6825" s="7" t="n"/>
      <c r="I6825" s="7" t="n"/>
      <c r="J6825" s="7" t="n"/>
      <c r="K6825">
        <f>IF(D6825="Legitimate Interest (GDPR Art. 6(1)(f))", "Yes / Required (Sheet 3)", "")</f>
        <v/>
      </c>
      <c r="L6825" s="7" t="n"/>
      <c r="M6825" s="7" t="n"/>
      <c r="N6825">
        <f>IF(D6825="", "Gap - No Legal Basis", IF(AND(D6825="Consent (GDPR Art. 6(1)(a))", I6825="Not Captured"), "Gap - Invalid Consent", IF(AND(D6825="Legitimate Interest (GDPR Art. 6(1)(f))", L6825=""), "Gap - Missing LIA", IF(AND(G6825="Yes", H6825=""), "Gap - Missing Art. 9 Basis", IF(OR(I6825="Invalid - Not Freely Given", I6825="Invalid - Not Specific", I6825="Invalid - Not Informed", I6825="Invalid - Ambiguous"), "Gap - Invalid Consent", "Compliant")))))</f>
        <v/>
      </c>
      <c r="O6825" s="7" t="n"/>
    </row>
    <row r="6826">
      <c r="A6826" s="7" t="n"/>
      <c r="B6826" s="7" t="n"/>
      <c r="C6826" s="7" t="n"/>
      <c r="D6826" s="7" t="n"/>
      <c r="E6826" s="7" t="n"/>
      <c r="F6826" s="7" t="n"/>
      <c r="G6826" s="7" t="n"/>
      <c r="H6826" s="7" t="n"/>
      <c r="I6826" s="7" t="n"/>
      <c r="J6826" s="7" t="n"/>
      <c r="K6826">
        <f>IF(D6826="Legitimate Interest (GDPR Art. 6(1)(f))", "Yes / Required (Sheet 3)", "")</f>
        <v/>
      </c>
      <c r="L6826" s="7" t="n"/>
      <c r="M6826" s="7" t="n"/>
      <c r="N6826">
        <f>IF(D6826="", "Gap - No Legal Basis", IF(AND(D6826="Consent (GDPR Art. 6(1)(a))", I6826="Not Captured"), "Gap - Invalid Consent", IF(AND(D6826="Legitimate Interest (GDPR Art. 6(1)(f))", L6826=""), "Gap - Missing LIA", IF(AND(G6826="Yes", H6826=""), "Gap - Missing Art. 9 Basis", IF(OR(I6826="Invalid - Not Freely Given", I6826="Invalid - Not Specific", I6826="Invalid - Not Informed", I6826="Invalid - Ambiguous"), "Gap - Invalid Consent", "Compliant")))))</f>
        <v/>
      </c>
      <c r="O6826" s="7" t="n"/>
    </row>
    <row r="6827">
      <c r="A6827" s="7" t="n"/>
      <c r="B6827" s="7" t="n"/>
      <c r="C6827" s="7" t="n"/>
      <c r="D6827" s="7" t="n"/>
      <c r="E6827" s="7" t="n"/>
      <c r="F6827" s="7" t="n"/>
      <c r="G6827" s="7" t="n"/>
      <c r="H6827" s="7" t="n"/>
      <c r="I6827" s="7" t="n"/>
      <c r="J6827" s="7" t="n"/>
      <c r="K6827">
        <f>IF(D6827="Legitimate Interest (GDPR Art. 6(1)(f))", "Yes / Required (Sheet 3)", "")</f>
        <v/>
      </c>
      <c r="L6827" s="7" t="n"/>
      <c r="M6827" s="7" t="n"/>
      <c r="N6827">
        <f>IF(D6827="", "Gap - No Legal Basis", IF(AND(D6827="Consent (GDPR Art. 6(1)(a))", I6827="Not Captured"), "Gap - Invalid Consent", IF(AND(D6827="Legitimate Interest (GDPR Art. 6(1)(f))", L6827=""), "Gap - Missing LIA", IF(AND(G6827="Yes", H6827=""), "Gap - Missing Art. 9 Basis", IF(OR(I6827="Invalid - Not Freely Given", I6827="Invalid - Not Specific", I6827="Invalid - Not Informed", I6827="Invalid - Ambiguous"), "Gap - Invalid Consent", "Compliant")))))</f>
        <v/>
      </c>
      <c r="O6827" s="7" t="n"/>
    </row>
    <row r="6828">
      <c r="A6828" s="7" t="n"/>
      <c r="B6828" s="7" t="n"/>
      <c r="C6828" s="7" t="n"/>
      <c r="D6828" s="7" t="n"/>
      <c r="E6828" s="7" t="n"/>
      <c r="F6828" s="7" t="n"/>
      <c r="G6828" s="7" t="n"/>
      <c r="H6828" s="7" t="n"/>
      <c r="I6828" s="7" t="n"/>
      <c r="J6828" s="7" t="n"/>
      <c r="K6828">
        <f>IF(D6828="Legitimate Interest (GDPR Art. 6(1)(f))", "Yes / Required (Sheet 3)", "")</f>
        <v/>
      </c>
      <c r="L6828" s="7" t="n"/>
      <c r="M6828" s="7" t="n"/>
      <c r="N6828">
        <f>IF(D6828="", "Gap - No Legal Basis", IF(AND(D6828="Consent (GDPR Art. 6(1)(a))", I6828="Not Captured"), "Gap - Invalid Consent", IF(AND(D6828="Legitimate Interest (GDPR Art. 6(1)(f))", L6828=""), "Gap - Missing LIA", IF(AND(G6828="Yes", H6828=""), "Gap - Missing Art. 9 Basis", IF(OR(I6828="Invalid - Not Freely Given", I6828="Invalid - Not Specific", I6828="Invalid - Not Informed", I6828="Invalid - Ambiguous"), "Gap - Invalid Consent", "Compliant")))))</f>
        <v/>
      </c>
      <c r="O6828" s="7" t="n"/>
    </row>
    <row r="6829">
      <c r="A6829" s="7" t="n"/>
      <c r="B6829" s="7" t="n"/>
      <c r="C6829" s="7" t="n"/>
      <c r="D6829" s="7" t="n"/>
      <c r="E6829" s="7" t="n"/>
      <c r="F6829" s="7" t="n"/>
      <c r="G6829" s="7" t="n"/>
      <c r="H6829" s="7" t="n"/>
      <c r="I6829" s="7" t="n"/>
      <c r="J6829" s="7" t="n"/>
      <c r="K6829">
        <f>IF(D6829="Legitimate Interest (GDPR Art. 6(1)(f))", "Yes / Required (Sheet 3)", "")</f>
        <v/>
      </c>
      <c r="L6829" s="7" t="n"/>
      <c r="M6829" s="7" t="n"/>
      <c r="N6829">
        <f>IF(D6829="", "Gap - No Legal Basis", IF(AND(D6829="Consent (GDPR Art. 6(1)(a))", I6829="Not Captured"), "Gap - Invalid Consent", IF(AND(D6829="Legitimate Interest (GDPR Art. 6(1)(f))", L6829=""), "Gap - Missing LIA", IF(AND(G6829="Yes", H6829=""), "Gap - Missing Art. 9 Basis", IF(OR(I6829="Invalid - Not Freely Given", I6829="Invalid - Not Specific", I6829="Invalid - Not Informed", I6829="Invalid - Ambiguous"), "Gap - Invalid Consent", "Compliant")))))</f>
        <v/>
      </c>
      <c r="O6829" s="7" t="n"/>
    </row>
    <row r="6830">
      <c r="A6830" s="7" t="n"/>
      <c r="B6830" s="7" t="n"/>
      <c r="C6830" s="7" t="n"/>
      <c r="D6830" s="7" t="n"/>
      <c r="E6830" s="7" t="n"/>
      <c r="F6830" s="7" t="n"/>
      <c r="G6830" s="7" t="n"/>
      <c r="H6830" s="7" t="n"/>
      <c r="I6830" s="7" t="n"/>
      <c r="J6830" s="7" t="n"/>
      <c r="K6830">
        <f>IF(D6830="Legitimate Interest (GDPR Art. 6(1)(f))", "Yes / Required (Sheet 3)", "")</f>
        <v/>
      </c>
      <c r="L6830" s="7" t="n"/>
      <c r="M6830" s="7" t="n"/>
      <c r="N6830">
        <f>IF(D6830="", "Gap - No Legal Basis", IF(AND(D6830="Consent (GDPR Art. 6(1)(a))", I6830="Not Captured"), "Gap - Invalid Consent", IF(AND(D6830="Legitimate Interest (GDPR Art. 6(1)(f))", L6830=""), "Gap - Missing LIA", IF(AND(G6830="Yes", H6830=""), "Gap - Missing Art. 9 Basis", IF(OR(I6830="Invalid - Not Freely Given", I6830="Invalid - Not Specific", I6830="Invalid - Not Informed", I6830="Invalid - Ambiguous"), "Gap - Invalid Consent", "Compliant")))))</f>
        <v/>
      </c>
      <c r="O6830" s="7" t="n"/>
    </row>
    <row r="6831">
      <c r="A6831" s="7" t="n"/>
      <c r="B6831" s="7" t="n"/>
      <c r="C6831" s="7" t="n"/>
      <c r="D6831" s="7" t="n"/>
      <c r="E6831" s="7" t="n"/>
      <c r="F6831" s="7" t="n"/>
      <c r="G6831" s="7" t="n"/>
      <c r="H6831" s="7" t="n"/>
      <c r="I6831" s="7" t="n"/>
      <c r="J6831" s="7" t="n"/>
      <c r="K6831">
        <f>IF(D6831="Legitimate Interest (GDPR Art. 6(1)(f))", "Yes / Required (Sheet 3)", "")</f>
        <v/>
      </c>
      <c r="L6831" s="7" t="n"/>
      <c r="M6831" s="7" t="n"/>
      <c r="N6831">
        <f>IF(D6831="", "Gap - No Legal Basis", IF(AND(D6831="Consent (GDPR Art. 6(1)(a))", I6831="Not Captured"), "Gap - Invalid Consent", IF(AND(D6831="Legitimate Interest (GDPR Art. 6(1)(f))", L6831=""), "Gap - Missing LIA", IF(AND(G6831="Yes", H6831=""), "Gap - Missing Art. 9 Basis", IF(OR(I6831="Invalid - Not Freely Given", I6831="Invalid - Not Specific", I6831="Invalid - Not Informed", I6831="Invalid - Ambiguous"), "Gap - Invalid Consent", "Compliant")))))</f>
        <v/>
      </c>
      <c r="O6831" s="7" t="n"/>
    </row>
    <row r="6832">
      <c r="A6832" s="7" t="n"/>
      <c r="B6832" s="7" t="n"/>
      <c r="C6832" s="7" t="n"/>
      <c r="D6832" s="7" t="n"/>
      <c r="E6832" s="7" t="n"/>
      <c r="F6832" s="7" t="n"/>
      <c r="G6832" s="7" t="n"/>
      <c r="H6832" s="7" t="n"/>
      <c r="I6832" s="7" t="n"/>
      <c r="J6832" s="7" t="n"/>
      <c r="K6832">
        <f>IF(D6832="Legitimate Interest (GDPR Art. 6(1)(f))", "Yes / Required (Sheet 3)", "")</f>
        <v/>
      </c>
      <c r="L6832" s="7" t="n"/>
      <c r="M6832" s="7" t="n"/>
      <c r="N6832">
        <f>IF(D6832="", "Gap - No Legal Basis", IF(AND(D6832="Consent (GDPR Art. 6(1)(a))", I6832="Not Captured"), "Gap - Invalid Consent", IF(AND(D6832="Legitimate Interest (GDPR Art. 6(1)(f))", L6832=""), "Gap - Missing LIA", IF(AND(G6832="Yes", H6832=""), "Gap - Missing Art. 9 Basis", IF(OR(I6832="Invalid - Not Freely Given", I6832="Invalid - Not Specific", I6832="Invalid - Not Informed", I6832="Invalid - Ambiguous"), "Gap - Invalid Consent", "Compliant")))))</f>
        <v/>
      </c>
      <c r="O6832" s="7" t="n"/>
    </row>
    <row r="6833">
      <c r="A6833" s="7" t="n"/>
      <c r="B6833" s="7" t="n"/>
      <c r="C6833" s="7" t="n"/>
      <c r="D6833" s="7" t="n"/>
      <c r="E6833" s="7" t="n"/>
      <c r="F6833" s="7" t="n"/>
      <c r="G6833" s="7" t="n"/>
      <c r="H6833" s="7" t="n"/>
      <c r="I6833" s="7" t="n"/>
      <c r="J6833" s="7" t="n"/>
      <c r="K6833">
        <f>IF(D6833="Legitimate Interest (GDPR Art. 6(1)(f))", "Yes / Required (Sheet 3)", "")</f>
        <v/>
      </c>
      <c r="L6833" s="7" t="n"/>
      <c r="M6833" s="7" t="n"/>
      <c r="N6833">
        <f>IF(D6833="", "Gap - No Legal Basis", IF(AND(D6833="Consent (GDPR Art. 6(1)(a))", I6833="Not Captured"), "Gap - Invalid Consent", IF(AND(D6833="Legitimate Interest (GDPR Art. 6(1)(f))", L6833=""), "Gap - Missing LIA", IF(AND(G6833="Yes", H6833=""), "Gap - Missing Art. 9 Basis", IF(OR(I6833="Invalid - Not Freely Given", I6833="Invalid - Not Specific", I6833="Invalid - Not Informed", I6833="Invalid - Ambiguous"), "Gap - Invalid Consent", "Compliant")))))</f>
        <v/>
      </c>
      <c r="O6833" s="7" t="n"/>
    </row>
    <row r="6834">
      <c r="A6834" s="7" t="n"/>
      <c r="B6834" s="7" t="n"/>
      <c r="C6834" s="7" t="n"/>
      <c r="D6834" s="7" t="n"/>
      <c r="E6834" s="7" t="n"/>
      <c r="F6834" s="7" t="n"/>
      <c r="G6834" s="7" t="n"/>
      <c r="H6834" s="7" t="n"/>
      <c r="I6834" s="7" t="n"/>
      <c r="J6834" s="7" t="n"/>
      <c r="K6834">
        <f>IF(D6834="Legitimate Interest (GDPR Art. 6(1)(f))", "Yes / Required (Sheet 3)", "")</f>
        <v/>
      </c>
      <c r="L6834" s="7" t="n"/>
      <c r="M6834" s="7" t="n"/>
      <c r="N6834">
        <f>IF(D6834="", "Gap - No Legal Basis", IF(AND(D6834="Consent (GDPR Art. 6(1)(a))", I6834="Not Captured"), "Gap - Invalid Consent", IF(AND(D6834="Legitimate Interest (GDPR Art. 6(1)(f))", L6834=""), "Gap - Missing LIA", IF(AND(G6834="Yes", H6834=""), "Gap - Missing Art. 9 Basis", IF(OR(I6834="Invalid - Not Freely Given", I6834="Invalid - Not Specific", I6834="Invalid - Not Informed", I6834="Invalid - Ambiguous"), "Gap - Invalid Consent", "Compliant")))))</f>
        <v/>
      </c>
      <c r="O6834" s="7" t="n"/>
    </row>
    <row r="6835">
      <c r="A6835" s="7" t="n"/>
      <c r="B6835" s="7" t="n"/>
      <c r="C6835" s="7" t="n"/>
      <c r="D6835" s="7" t="n"/>
      <c r="E6835" s="7" t="n"/>
      <c r="F6835" s="7" t="n"/>
      <c r="G6835" s="7" t="n"/>
      <c r="H6835" s="7" t="n"/>
      <c r="I6835" s="7" t="n"/>
      <c r="J6835" s="7" t="n"/>
      <c r="K6835">
        <f>IF(D6835="Legitimate Interest (GDPR Art. 6(1)(f))", "Yes / Required (Sheet 3)", "")</f>
        <v/>
      </c>
      <c r="L6835" s="7" t="n"/>
      <c r="M6835" s="7" t="n"/>
      <c r="N6835">
        <f>IF(D6835="", "Gap - No Legal Basis", IF(AND(D6835="Consent (GDPR Art. 6(1)(a))", I6835="Not Captured"), "Gap - Invalid Consent", IF(AND(D6835="Legitimate Interest (GDPR Art. 6(1)(f))", L6835=""), "Gap - Missing LIA", IF(AND(G6835="Yes", H6835=""), "Gap - Missing Art. 9 Basis", IF(OR(I6835="Invalid - Not Freely Given", I6835="Invalid - Not Specific", I6835="Invalid - Not Informed", I6835="Invalid - Ambiguous"), "Gap - Invalid Consent", "Compliant")))))</f>
        <v/>
      </c>
      <c r="O6835" s="7" t="n"/>
    </row>
    <row r="6836">
      <c r="A6836" s="7" t="n"/>
      <c r="B6836" s="7" t="n"/>
      <c r="C6836" s="7" t="n"/>
      <c r="D6836" s="7" t="n"/>
      <c r="E6836" s="7" t="n"/>
      <c r="F6836" s="7" t="n"/>
      <c r="G6836" s="7" t="n"/>
      <c r="H6836" s="7" t="n"/>
      <c r="I6836" s="7" t="n"/>
      <c r="J6836" s="7" t="n"/>
      <c r="K6836">
        <f>IF(D6836="Legitimate Interest (GDPR Art. 6(1)(f))", "Yes / Required (Sheet 3)", "")</f>
        <v/>
      </c>
      <c r="L6836" s="7" t="n"/>
      <c r="M6836" s="7" t="n"/>
      <c r="N6836">
        <f>IF(D6836="", "Gap - No Legal Basis", IF(AND(D6836="Consent (GDPR Art. 6(1)(a))", I6836="Not Captured"), "Gap - Invalid Consent", IF(AND(D6836="Legitimate Interest (GDPR Art. 6(1)(f))", L6836=""), "Gap - Missing LIA", IF(AND(G6836="Yes", H6836=""), "Gap - Missing Art. 9 Basis", IF(OR(I6836="Invalid - Not Freely Given", I6836="Invalid - Not Specific", I6836="Invalid - Not Informed", I6836="Invalid - Ambiguous"), "Gap - Invalid Consent", "Compliant")))))</f>
        <v/>
      </c>
      <c r="O6836" s="7" t="n"/>
    </row>
    <row r="6837">
      <c r="A6837" s="7" t="n"/>
      <c r="B6837" s="7" t="n"/>
      <c r="C6837" s="7" t="n"/>
      <c r="D6837" s="7" t="n"/>
      <c r="E6837" s="7" t="n"/>
      <c r="F6837" s="7" t="n"/>
      <c r="G6837" s="7" t="n"/>
      <c r="H6837" s="7" t="n"/>
      <c r="I6837" s="7" t="n"/>
      <c r="J6837" s="7" t="n"/>
      <c r="K6837">
        <f>IF(D6837="Legitimate Interest (GDPR Art. 6(1)(f))", "Yes / Required (Sheet 3)", "")</f>
        <v/>
      </c>
      <c r="L6837" s="7" t="n"/>
      <c r="M6837" s="7" t="n"/>
      <c r="N6837">
        <f>IF(D6837="", "Gap - No Legal Basis", IF(AND(D6837="Consent (GDPR Art. 6(1)(a))", I6837="Not Captured"), "Gap - Invalid Consent", IF(AND(D6837="Legitimate Interest (GDPR Art. 6(1)(f))", L6837=""), "Gap - Missing LIA", IF(AND(G6837="Yes", H6837=""), "Gap - Missing Art. 9 Basis", IF(OR(I6837="Invalid - Not Freely Given", I6837="Invalid - Not Specific", I6837="Invalid - Not Informed", I6837="Invalid - Ambiguous"), "Gap - Invalid Consent", "Compliant")))))</f>
        <v/>
      </c>
      <c r="O6837" s="7" t="n"/>
    </row>
    <row r="6838">
      <c r="A6838" s="7" t="n"/>
      <c r="B6838" s="7" t="n"/>
      <c r="C6838" s="7" t="n"/>
      <c r="D6838" s="7" t="n"/>
      <c r="E6838" s="7" t="n"/>
      <c r="F6838" s="7" t="n"/>
      <c r="G6838" s="7" t="n"/>
      <c r="H6838" s="7" t="n"/>
      <c r="I6838" s="7" t="n"/>
      <c r="J6838" s="7" t="n"/>
      <c r="K6838">
        <f>IF(D6838="Legitimate Interest (GDPR Art. 6(1)(f))", "Yes / Required (Sheet 3)", "")</f>
        <v/>
      </c>
      <c r="L6838" s="7" t="n"/>
      <c r="M6838" s="7" t="n"/>
      <c r="N6838">
        <f>IF(D6838="", "Gap - No Legal Basis", IF(AND(D6838="Consent (GDPR Art. 6(1)(a))", I6838="Not Captured"), "Gap - Invalid Consent", IF(AND(D6838="Legitimate Interest (GDPR Art. 6(1)(f))", L6838=""), "Gap - Missing LIA", IF(AND(G6838="Yes", H6838=""), "Gap - Missing Art. 9 Basis", IF(OR(I6838="Invalid - Not Freely Given", I6838="Invalid - Not Specific", I6838="Invalid - Not Informed", I6838="Invalid - Ambiguous"), "Gap - Invalid Consent", "Compliant")))))</f>
        <v/>
      </c>
      <c r="O6838" s="7" t="n"/>
    </row>
    <row r="6839">
      <c r="A6839" s="7" t="n"/>
      <c r="B6839" s="7" t="n"/>
      <c r="C6839" s="7" t="n"/>
      <c r="D6839" s="7" t="n"/>
      <c r="E6839" s="7" t="n"/>
      <c r="F6839" s="7" t="n"/>
      <c r="G6839" s="7" t="n"/>
      <c r="H6839" s="7" t="n"/>
      <c r="I6839" s="7" t="n"/>
      <c r="J6839" s="7" t="n"/>
      <c r="K6839">
        <f>IF(D6839="Legitimate Interest (GDPR Art. 6(1)(f))", "Yes / Required (Sheet 3)", "")</f>
        <v/>
      </c>
      <c r="L6839" s="7" t="n"/>
      <c r="M6839" s="7" t="n"/>
      <c r="N6839">
        <f>IF(D6839="", "Gap - No Legal Basis", IF(AND(D6839="Consent (GDPR Art. 6(1)(a))", I6839="Not Captured"), "Gap - Invalid Consent", IF(AND(D6839="Legitimate Interest (GDPR Art. 6(1)(f))", L6839=""), "Gap - Missing LIA", IF(AND(G6839="Yes", H6839=""), "Gap - Missing Art. 9 Basis", IF(OR(I6839="Invalid - Not Freely Given", I6839="Invalid - Not Specific", I6839="Invalid - Not Informed", I6839="Invalid - Ambiguous"), "Gap - Invalid Consent", "Compliant")))))</f>
        <v/>
      </c>
      <c r="O6839" s="7" t="n"/>
    </row>
    <row r="6840">
      <c r="A6840" s="7" t="n"/>
      <c r="B6840" s="7" t="n"/>
      <c r="C6840" s="7" t="n"/>
      <c r="D6840" s="7" t="n"/>
      <c r="E6840" s="7" t="n"/>
      <c r="F6840" s="7" t="n"/>
      <c r="G6840" s="7" t="n"/>
      <c r="H6840" s="7" t="n"/>
      <c r="I6840" s="7" t="n"/>
      <c r="J6840" s="7" t="n"/>
      <c r="K6840">
        <f>IF(D6840="Legitimate Interest (GDPR Art. 6(1)(f))", "Yes / Required (Sheet 3)", "")</f>
        <v/>
      </c>
      <c r="L6840" s="7" t="n"/>
      <c r="M6840" s="7" t="n"/>
      <c r="N6840">
        <f>IF(D6840="", "Gap - No Legal Basis", IF(AND(D6840="Consent (GDPR Art. 6(1)(a))", I6840="Not Captured"), "Gap - Invalid Consent", IF(AND(D6840="Legitimate Interest (GDPR Art. 6(1)(f))", L6840=""), "Gap - Missing LIA", IF(AND(G6840="Yes", H6840=""), "Gap - Missing Art. 9 Basis", IF(OR(I6840="Invalid - Not Freely Given", I6840="Invalid - Not Specific", I6840="Invalid - Not Informed", I6840="Invalid - Ambiguous"), "Gap - Invalid Consent", "Compliant")))))</f>
        <v/>
      </c>
      <c r="O6840" s="7" t="n"/>
    </row>
    <row r="6841">
      <c r="A6841" s="7" t="n"/>
      <c r="B6841" s="7" t="n"/>
      <c r="C6841" s="7" t="n"/>
      <c r="D6841" s="7" t="n"/>
      <c r="E6841" s="7" t="n"/>
      <c r="F6841" s="7" t="n"/>
      <c r="G6841" s="7" t="n"/>
      <c r="H6841" s="7" t="n"/>
      <c r="I6841" s="7" t="n"/>
      <c r="J6841" s="7" t="n"/>
      <c r="K6841">
        <f>IF(D6841="Legitimate Interest (GDPR Art. 6(1)(f))", "Yes / Required (Sheet 3)", "")</f>
        <v/>
      </c>
      <c r="L6841" s="7" t="n"/>
      <c r="M6841" s="7" t="n"/>
      <c r="N6841">
        <f>IF(D6841="", "Gap - No Legal Basis", IF(AND(D6841="Consent (GDPR Art. 6(1)(a))", I6841="Not Captured"), "Gap - Invalid Consent", IF(AND(D6841="Legitimate Interest (GDPR Art. 6(1)(f))", L6841=""), "Gap - Missing LIA", IF(AND(G6841="Yes", H6841=""), "Gap - Missing Art. 9 Basis", IF(OR(I6841="Invalid - Not Freely Given", I6841="Invalid - Not Specific", I6841="Invalid - Not Informed", I6841="Invalid - Ambiguous"), "Gap - Invalid Consent", "Compliant")))))</f>
        <v/>
      </c>
      <c r="O6841" s="7" t="n"/>
    </row>
    <row r="6842">
      <c r="A6842" s="7" t="n"/>
      <c r="B6842" s="7" t="n"/>
      <c r="C6842" s="7" t="n"/>
      <c r="D6842" s="7" t="n"/>
      <c r="E6842" s="7" t="n"/>
      <c r="F6842" s="7" t="n"/>
      <c r="G6842" s="7" t="n"/>
      <c r="H6842" s="7" t="n"/>
      <c r="I6842" s="7" t="n"/>
      <c r="J6842" s="7" t="n"/>
      <c r="K6842">
        <f>IF(D6842="Legitimate Interest (GDPR Art. 6(1)(f))", "Yes / Required (Sheet 3)", "")</f>
        <v/>
      </c>
      <c r="L6842" s="7" t="n"/>
      <c r="M6842" s="7" t="n"/>
      <c r="N6842">
        <f>IF(D6842="", "Gap - No Legal Basis", IF(AND(D6842="Consent (GDPR Art. 6(1)(a))", I6842="Not Captured"), "Gap - Invalid Consent", IF(AND(D6842="Legitimate Interest (GDPR Art. 6(1)(f))", L6842=""), "Gap - Missing LIA", IF(AND(G6842="Yes", H6842=""), "Gap - Missing Art. 9 Basis", IF(OR(I6842="Invalid - Not Freely Given", I6842="Invalid - Not Specific", I6842="Invalid - Not Informed", I6842="Invalid - Ambiguous"), "Gap - Invalid Consent", "Compliant")))))</f>
        <v/>
      </c>
      <c r="O6842" s="7" t="n"/>
    </row>
    <row r="6843">
      <c r="A6843" s="7" t="n"/>
      <c r="B6843" s="7" t="n"/>
      <c r="C6843" s="7" t="n"/>
      <c r="D6843" s="7" t="n"/>
      <c r="E6843" s="7" t="n"/>
      <c r="F6843" s="7" t="n"/>
      <c r="G6843" s="7" t="n"/>
      <c r="H6843" s="7" t="n"/>
      <c r="I6843" s="7" t="n"/>
      <c r="J6843" s="7" t="n"/>
      <c r="K6843">
        <f>IF(D6843="Legitimate Interest (GDPR Art. 6(1)(f))", "Yes / Required (Sheet 3)", "")</f>
        <v/>
      </c>
      <c r="L6843" s="7" t="n"/>
      <c r="M6843" s="7" t="n"/>
      <c r="N6843">
        <f>IF(D6843="", "Gap - No Legal Basis", IF(AND(D6843="Consent (GDPR Art. 6(1)(a))", I6843="Not Captured"), "Gap - Invalid Consent", IF(AND(D6843="Legitimate Interest (GDPR Art. 6(1)(f))", L6843=""), "Gap - Missing LIA", IF(AND(G6843="Yes", H6843=""), "Gap - Missing Art. 9 Basis", IF(OR(I6843="Invalid - Not Freely Given", I6843="Invalid - Not Specific", I6843="Invalid - Not Informed", I6843="Invalid - Ambiguous"), "Gap - Invalid Consent", "Compliant")))))</f>
        <v/>
      </c>
      <c r="O6843" s="7" t="n"/>
    </row>
    <row r="6844">
      <c r="A6844" s="7" t="n"/>
      <c r="B6844" s="7" t="n"/>
      <c r="C6844" s="7" t="n"/>
      <c r="D6844" s="7" t="n"/>
      <c r="E6844" s="7" t="n"/>
      <c r="F6844" s="7" t="n"/>
      <c r="G6844" s="7" t="n"/>
      <c r="H6844" s="7" t="n"/>
      <c r="I6844" s="7" t="n"/>
      <c r="J6844" s="7" t="n"/>
      <c r="K6844">
        <f>IF(D6844="Legitimate Interest (GDPR Art. 6(1)(f))", "Yes / Required (Sheet 3)", "")</f>
        <v/>
      </c>
      <c r="L6844" s="7" t="n"/>
      <c r="M6844" s="7" t="n"/>
      <c r="N6844">
        <f>IF(D6844="", "Gap - No Legal Basis", IF(AND(D6844="Consent (GDPR Art. 6(1)(a))", I6844="Not Captured"), "Gap - Invalid Consent", IF(AND(D6844="Legitimate Interest (GDPR Art. 6(1)(f))", L6844=""), "Gap - Missing LIA", IF(AND(G6844="Yes", H6844=""), "Gap - Missing Art. 9 Basis", IF(OR(I6844="Invalid - Not Freely Given", I6844="Invalid - Not Specific", I6844="Invalid - Not Informed", I6844="Invalid - Ambiguous"), "Gap - Invalid Consent", "Compliant")))))</f>
        <v/>
      </c>
      <c r="O6844" s="7" t="n"/>
    </row>
    <row r="6845">
      <c r="A6845" s="7" t="n"/>
      <c r="B6845" s="7" t="n"/>
      <c r="C6845" s="7" t="n"/>
      <c r="D6845" s="7" t="n"/>
      <c r="E6845" s="7" t="n"/>
      <c r="F6845" s="7" t="n"/>
      <c r="G6845" s="7" t="n"/>
      <c r="H6845" s="7" t="n"/>
      <c r="I6845" s="7" t="n"/>
      <c r="J6845" s="7" t="n"/>
      <c r="K6845">
        <f>IF(D6845="Legitimate Interest (GDPR Art. 6(1)(f))", "Yes / Required (Sheet 3)", "")</f>
        <v/>
      </c>
      <c r="L6845" s="7" t="n"/>
      <c r="M6845" s="7" t="n"/>
      <c r="N6845">
        <f>IF(D6845="", "Gap - No Legal Basis", IF(AND(D6845="Consent (GDPR Art. 6(1)(a))", I6845="Not Captured"), "Gap - Invalid Consent", IF(AND(D6845="Legitimate Interest (GDPR Art. 6(1)(f))", L6845=""), "Gap - Missing LIA", IF(AND(G6845="Yes", H6845=""), "Gap - Missing Art. 9 Basis", IF(OR(I6845="Invalid - Not Freely Given", I6845="Invalid - Not Specific", I6845="Invalid - Not Informed", I6845="Invalid - Ambiguous"), "Gap - Invalid Consent", "Compliant")))))</f>
        <v/>
      </c>
      <c r="O6845" s="7" t="n"/>
    </row>
    <row r="6846">
      <c r="A6846" s="7" t="n"/>
      <c r="B6846" s="7" t="n"/>
      <c r="C6846" s="7" t="n"/>
      <c r="D6846" s="7" t="n"/>
      <c r="E6846" s="7" t="n"/>
      <c r="F6846" s="7" t="n"/>
      <c r="G6846" s="7" t="n"/>
      <c r="H6846" s="7" t="n"/>
      <c r="I6846" s="7" t="n"/>
      <c r="J6846" s="7" t="n"/>
      <c r="K6846">
        <f>IF(D6846="Legitimate Interest (GDPR Art. 6(1)(f))", "Yes / Required (Sheet 3)", "")</f>
        <v/>
      </c>
      <c r="L6846" s="7" t="n"/>
      <c r="M6846" s="7" t="n"/>
      <c r="N6846">
        <f>IF(D6846="", "Gap - No Legal Basis", IF(AND(D6846="Consent (GDPR Art. 6(1)(a))", I6846="Not Captured"), "Gap - Invalid Consent", IF(AND(D6846="Legitimate Interest (GDPR Art. 6(1)(f))", L6846=""), "Gap - Missing LIA", IF(AND(G6846="Yes", H6846=""), "Gap - Missing Art. 9 Basis", IF(OR(I6846="Invalid - Not Freely Given", I6846="Invalid - Not Specific", I6846="Invalid - Not Informed", I6846="Invalid - Ambiguous"), "Gap - Invalid Consent", "Compliant")))))</f>
        <v/>
      </c>
      <c r="O6846" s="7" t="n"/>
    </row>
    <row r="6847">
      <c r="A6847" s="7" t="n"/>
      <c r="B6847" s="7" t="n"/>
      <c r="C6847" s="7" t="n"/>
      <c r="D6847" s="7" t="n"/>
      <c r="E6847" s="7" t="n"/>
      <c r="F6847" s="7" t="n"/>
      <c r="G6847" s="7" t="n"/>
      <c r="H6847" s="7" t="n"/>
      <c r="I6847" s="7" t="n"/>
      <c r="J6847" s="7" t="n"/>
      <c r="K6847">
        <f>IF(D6847="Legitimate Interest (GDPR Art. 6(1)(f))", "Yes / Required (Sheet 3)", "")</f>
        <v/>
      </c>
      <c r="L6847" s="7" t="n"/>
      <c r="M6847" s="7" t="n"/>
      <c r="N6847">
        <f>IF(D6847="", "Gap - No Legal Basis", IF(AND(D6847="Consent (GDPR Art. 6(1)(a))", I6847="Not Captured"), "Gap - Invalid Consent", IF(AND(D6847="Legitimate Interest (GDPR Art. 6(1)(f))", L6847=""), "Gap - Missing LIA", IF(AND(G6847="Yes", H6847=""), "Gap - Missing Art. 9 Basis", IF(OR(I6847="Invalid - Not Freely Given", I6847="Invalid - Not Specific", I6847="Invalid - Not Informed", I6847="Invalid - Ambiguous"), "Gap - Invalid Consent", "Compliant")))))</f>
        <v/>
      </c>
      <c r="O6847" s="7" t="n"/>
    </row>
    <row r="6848">
      <c r="A6848" s="7" t="n"/>
      <c r="B6848" s="7" t="n"/>
      <c r="C6848" s="7" t="n"/>
      <c r="D6848" s="7" t="n"/>
      <c r="E6848" s="7" t="n"/>
      <c r="F6848" s="7" t="n"/>
      <c r="G6848" s="7" t="n"/>
      <c r="H6848" s="7" t="n"/>
      <c r="I6848" s="7" t="n"/>
      <c r="J6848" s="7" t="n"/>
      <c r="K6848">
        <f>IF(D6848="Legitimate Interest (GDPR Art. 6(1)(f))", "Yes / Required (Sheet 3)", "")</f>
        <v/>
      </c>
      <c r="L6848" s="7" t="n"/>
      <c r="M6848" s="7" t="n"/>
      <c r="N6848">
        <f>IF(D6848="", "Gap - No Legal Basis", IF(AND(D6848="Consent (GDPR Art. 6(1)(a))", I6848="Not Captured"), "Gap - Invalid Consent", IF(AND(D6848="Legitimate Interest (GDPR Art. 6(1)(f))", L6848=""), "Gap - Missing LIA", IF(AND(G6848="Yes", H6848=""), "Gap - Missing Art. 9 Basis", IF(OR(I6848="Invalid - Not Freely Given", I6848="Invalid - Not Specific", I6848="Invalid - Not Informed", I6848="Invalid - Ambiguous"), "Gap - Invalid Consent", "Compliant")))))</f>
        <v/>
      </c>
      <c r="O6848" s="7" t="n"/>
    </row>
    <row r="6849">
      <c r="A6849" s="7" t="n"/>
      <c r="B6849" s="7" t="n"/>
      <c r="C6849" s="7" t="n"/>
      <c r="D6849" s="7" t="n"/>
      <c r="E6849" s="7" t="n"/>
      <c r="F6849" s="7" t="n"/>
      <c r="G6849" s="7" t="n"/>
      <c r="H6849" s="7" t="n"/>
      <c r="I6849" s="7" t="n"/>
      <c r="J6849" s="7" t="n"/>
      <c r="K6849">
        <f>IF(D6849="Legitimate Interest (GDPR Art. 6(1)(f))", "Yes / Required (Sheet 3)", "")</f>
        <v/>
      </c>
      <c r="L6849" s="7" t="n"/>
      <c r="M6849" s="7" t="n"/>
      <c r="N6849">
        <f>IF(D6849="", "Gap - No Legal Basis", IF(AND(D6849="Consent (GDPR Art. 6(1)(a))", I6849="Not Captured"), "Gap - Invalid Consent", IF(AND(D6849="Legitimate Interest (GDPR Art. 6(1)(f))", L6849=""), "Gap - Missing LIA", IF(AND(G6849="Yes", H6849=""), "Gap - Missing Art. 9 Basis", IF(OR(I6849="Invalid - Not Freely Given", I6849="Invalid - Not Specific", I6849="Invalid - Not Informed", I6849="Invalid - Ambiguous"), "Gap - Invalid Consent", "Compliant")))))</f>
        <v/>
      </c>
      <c r="O6849" s="7" t="n"/>
    </row>
    <row r="6850">
      <c r="A6850" s="7" t="n"/>
      <c r="B6850" s="7" t="n"/>
      <c r="C6850" s="7" t="n"/>
      <c r="D6850" s="7" t="n"/>
      <c r="E6850" s="7" t="n"/>
      <c r="F6850" s="7" t="n"/>
      <c r="G6850" s="7" t="n"/>
      <c r="H6850" s="7" t="n"/>
      <c r="I6850" s="7" t="n"/>
      <c r="J6850" s="7" t="n"/>
      <c r="K6850">
        <f>IF(D6850="Legitimate Interest (GDPR Art. 6(1)(f))", "Yes / Required (Sheet 3)", "")</f>
        <v/>
      </c>
      <c r="L6850" s="7" t="n"/>
      <c r="M6850" s="7" t="n"/>
      <c r="N6850">
        <f>IF(D6850="", "Gap - No Legal Basis", IF(AND(D6850="Consent (GDPR Art. 6(1)(a))", I6850="Not Captured"), "Gap - Invalid Consent", IF(AND(D6850="Legitimate Interest (GDPR Art. 6(1)(f))", L6850=""), "Gap - Missing LIA", IF(AND(G6850="Yes", H6850=""), "Gap - Missing Art. 9 Basis", IF(OR(I6850="Invalid - Not Freely Given", I6850="Invalid - Not Specific", I6850="Invalid - Not Informed", I6850="Invalid - Ambiguous"), "Gap - Invalid Consent", "Compliant")))))</f>
        <v/>
      </c>
      <c r="O6850" s="7" t="n"/>
    </row>
    <row r="6851">
      <c r="A6851" s="7" t="n"/>
      <c r="B6851" s="7" t="n"/>
      <c r="C6851" s="7" t="n"/>
      <c r="D6851" s="7" t="n"/>
      <c r="E6851" s="7" t="n"/>
      <c r="F6851" s="7" t="n"/>
      <c r="G6851" s="7" t="n"/>
      <c r="H6851" s="7" t="n"/>
      <c r="I6851" s="7" t="n"/>
      <c r="J6851" s="7" t="n"/>
      <c r="K6851">
        <f>IF(D6851="Legitimate Interest (GDPR Art. 6(1)(f))", "Yes / Required (Sheet 3)", "")</f>
        <v/>
      </c>
      <c r="L6851" s="7" t="n"/>
      <c r="M6851" s="7" t="n"/>
      <c r="N6851">
        <f>IF(D6851="", "Gap - No Legal Basis", IF(AND(D6851="Consent (GDPR Art. 6(1)(a))", I6851="Not Captured"), "Gap - Invalid Consent", IF(AND(D6851="Legitimate Interest (GDPR Art. 6(1)(f))", L6851=""), "Gap - Missing LIA", IF(AND(G6851="Yes", H6851=""), "Gap - Missing Art. 9 Basis", IF(OR(I6851="Invalid - Not Freely Given", I6851="Invalid - Not Specific", I6851="Invalid - Not Informed", I6851="Invalid - Ambiguous"), "Gap - Invalid Consent", "Compliant")))))</f>
        <v/>
      </c>
      <c r="O6851" s="7" t="n"/>
    </row>
    <row r="6852">
      <c r="A6852" s="7" t="n"/>
      <c r="B6852" s="7" t="n"/>
      <c r="C6852" s="7" t="n"/>
      <c r="D6852" s="7" t="n"/>
      <c r="E6852" s="7" t="n"/>
      <c r="F6852" s="7" t="n"/>
      <c r="G6852" s="7" t="n"/>
      <c r="H6852" s="7" t="n"/>
      <c r="I6852" s="7" t="n"/>
      <c r="J6852" s="7" t="n"/>
      <c r="K6852">
        <f>IF(D6852="Legitimate Interest (GDPR Art. 6(1)(f))", "Yes / Required (Sheet 3)", "")</f>
        <v/>
      </c>
      <c r="L6852" s="7" t="n"/>
      <c r="M6852" s="7" t="n"/>
      <c r="N6852">
        <f>IF(D6852="", "Gap - No Legal Basis", IF(AND(D6852="Consent (GDPR Art. 6(1)(a))", I6852="Not Captured"), "Gap - Invalid Consent", IF(AND(D6852="Legitimate Interest (GDPR Art. 6(1)(f))", L6852=""), "Gap - Missing LIA", IF(AND(G6852="Yes", H6852=""), "Gap - Missing Art. 9 Basis", IF(OR(I6852="Invalid - Not Freely Given", I6852="Invalid - Not Specific", I6852="Invalid - Not Informed", I6852="Invalid - Ambiguous"), "Gap - Invalid Consent", "Compliant")))))</f>
        <v/>
      </c>
      <c r="O6852" s="7" t="n"/>
    </row>
    <row r="6853">
      <c r="A6853" s="7" t="n"/>
      <c r="B6853" s="7" t="n"/>
      <c r="C6853" s="7" t="n"/>
      <c r="D6853" s="7" t="n"/>
      <c r="E6853" s="7" t="n"/>
      <c r="F6853" s="7" t="n"/>
      <c r="G6853" s="7" t="n"/>
      <c r="H6853" s="7" t="n"/>
      <c r="I6853" s="7" t="n"/>
      <c r="J6853" s="7" t="n"/>
      <c r="K6853">
        <f>IF(D6853="Legitimate Interest (GDPR Art. 6(1)(f))", "Yes / Required (Sheet 3)", "")</f>
        <v/>
      </c>
      <c r="L6853" s="7" t="n"/>
      <c r="M6853" s="7" t="n"/>
      <c r="N6853">
        <f>IF(D6853="", "Gap - No Legal Basis", IF(AND(D6853="Consent (GDPR Art. 6(1)(a))", I6853="Not Captured"), "Gap - Invalid Consent", IF(AND(D6853="Legitimate Interest (GDPR Art. 6(1)(f))", L6853=""), "Gap - Missing LIA", IF(AND(G6853="Yes", H6853=""), "Gap - Missing Art. 9 Basis", IF(OR(I6853="Invalid - Not Freely Given", I6853="Invalid - Not Specific", I6853="Invalid - Not Informed", I6853="Invalid - Ambiguous"), "Gap - Invalid Consent", "Compliant")))))</f>
        <v/>
      </c>
      <c r="O6853" s="7" t="n"/>
    </row>
    <row r="6854">
      <c r="A6854" s="7" t="n"/>
      <c r="B6854" s="7" t="n"/>
      <c r="C6854" s="7" t="n"/>
      <c r="D6854" s="7" t="n"/>
      <c r="E6854" s="7" t="n"/>
      <c r="F6854" s="7" t="n"/>
      <c r="G6854" s="7" t="n"/>
      <c r="H6854" s="7" t="n"/>
      <c r="I6854" s="7" t="n"/>
      <c r="J6854" s="7" t="n"/>
      <c r="K6854">
        <f>IF(D6854="Legitimate Interest (GDPR Art. 6(1)(f))", "Yes / Required (Sheet 3)", "")</f>
        <v/>
      </c>
      <c r="L6854" s="7" t="n"/>
      <c r="M6854" s="7" t="n"/>
      <c r="N6854">
        <f>IF(D6854="", "Gap - No Legal Basis", IF(AND(D6854="Consent (GDPR Art. 6(1)(a))", I6854="Not Captured"), "Gap - Invalid Consent", IF(AND(D6854="Legitimate Interest (GDPR Art. 6(1)(f))", L6854=""), "Gap - Missing LIA", IF(AND(G6854="Yes", H6854=""), "Gap - Missing Art. 9 Basis", IF(OR(I6854="Invalid - Not Freely Given", I6854="Invalid - Not Specific", I6854="Invalid - Not Informed", I6854="Invalid - Ambiguous"), "Gap - Invalid Consent", "Compliant")))))</f>
        <v/>
      </c>
      <c r="O6854" s="7" t="n"/>
    </row>
    <row r="6855">
      <c r="A6855" s="7" t="n"/>
      <c r="B6855" s="7" t="n"/>
      <c r="C6855" s="7" t="n"/>
      <c r="D6855" s="7" t="n"/>
      <c r="E6855" s="7" t="n"/>
      <c r="F6855" s="7" t="n"/>
      <c r="G6855" s="7" t="n"/>
      <c r="H6855" s="7" t="n"/>
      <c r="I6855" s="7" t="n"/>
      <c r="J6855" s="7" t="n"/>
      <c r="K6855">
        <f>IF(D6855="Legitimate Interest (GDPR Art. 6(1)(f))", "Yes / Required (Sheet 3)", "")</f>
        <v/>
      </c>
      <c r="L6855" s="7" t="n"/>
      <c r="M6855" s="7" t="n"/>
      <c r="N6855">
        <f>IF(D6855="", "Gap - No Legal Basis", IF(AND(D6855="Consent (GDPR Art. 6(1)(a))", I6855="Not Captured"), "Gap - Invalid Consent", IF(AND(D6855="Legitimate Interest (GDPR Art. 6(1)(f))", L6855=""), "Gap - Missing LIA", IF(AND(G6855="Yes", H6855=""), "Gap - Missing Art. 9 Basis", IF(OR(I6855="Invalid - Not Freely Given", I6855="Invalid - Not Specific", I6855="Invalid - Not Informed", I6855="Invalid - Ambiguous"), "Gap - Invalid Consent", "Compliant")))))</f>
        <v/>
      </c>
      <c r="O6855" s="7" t="n"/>
    </row>
    <row r="6856">
      <c r="A6856" s="7" t="n"/>
      <c r="B6856" s="7" t="n"/>
      <c r="C6856" s="7" t="n"/>
      <c r="D6856" s="7" t="n"/>
      <c r="E6856" s="7" t="n"/>
      <c r="F6856" s="7" t="n"/>
      <c r="G6856" s="7" t="n"/>
      <c r="H6856" s="7" t="n"/>
      <c r="I6856" s="7" t="n"/>
      <c r="J6856" s="7" t="n"/>
      <c r="K6856">
        <f>IF(D6856="Legitimate Interest (GDPR Art. 6(1)(f))", "Yes / Required (Sheet 3)", "")</f>
        <v/>
      </c>
      <c r="L6856" s="7" t="n"/>
      <c r="M6856" s="7" t="n"/>
      <c r="N6856">
        <f>IF(D6856="", "Gap - No Legal Basis", IF(AND(D6856="Consent (GDPR Art. 6(1)(a))", I6856="Not Captured"), "Gap - Invalid Consent", IF(AND(D6856="Legitimate Interest (GDPR Art. 6(1)(f))", L6856=""), "Gap - Missing LIA", IF(AND(G6856="Yes", H6856=""), "Gap - Missing Art. 9 Basis", IF(OR(I6856="Invalid - Not Freely Given", I6856="Invalid - Not Specific", I6856="Invalid - Not Informed", I6856="Invalid - Ambiguous"), "Gap - Invalid Consent", "Compliant")))))</f>
        <v/>
      </c>
      <c r="O6856" s="7" t="n"/>
    </row>
    <row r="6857">
      <c r="A6857" s="7" t="n"/>
      <c r="B6857" s="7" t="n"/>
      <c r="C6857" s="7" t="n"/>
      <c r="D6857" s="7" t="n"/>
      <c r="E6857" s="7" t="n"/>
      <c r="F6857" s="7" t="n"/>
      <c r="G6857" s="7" t="n"/>
      <c r="H6857" s="7" t="n"/>
      <c r="I6857" s="7" t="n"/>
      <c r="J6857" s="7" t="n"/>
      <c r="K6857">
        <f>IF(D6857="Legitimate Interest (GDPR Art. 6(1)(f))", "Yes / Required (Sheet 3)", "")</f>
        <v/>
      </c>
      <c r="L6857" s="7" t="n"/>
      <c r="M6857" s="7" t="n"/>
      <c r="N6857">
        <f>IF(D6857="", "Gap - No Legal Basis", IF(AND(D6857="Consent (GDPR Art. 6(1)(a))", I6857="Not Captured"), "Gap - Invalid Consent", IF(AND(D6857="Legitimate Interest (GDPR Art. 6(1)(f))", L6857=""), "Gap - Missing LIA", IF(AND(G6857="Yes", H6857=""), "Gap - Missing Art. 9 Basis", IF(OR(I6857="Invalid - Not Freely Given", I6857="Invalid - Not Specific", I6857="Invalid - Not Informed", I6857="Invalid - Ambiguous"), "Gap - Invalid Consent", "Compliant")))))</f>
        <v/>
      </c>
      <c r="O6857" s="7" t="n"/>
    </row>
    <row r="6858">
      <c r="A6858" s="7" t="n"/>
      <c r="B6858" s="7" t="n"/>
      <c r="C6858" s="7" t="n"/>
      <c r="D6858" s="7" t="n"/>
      <c r="E6858" s="7" t="n"/>
      <c r="F6858" s="7" t="n"/>
      <c r="G6858" s="7" t="n"/>
      <c r="H6858" s="7" t="n"/>
      <c r="I6858" s="7" t="n"/>
      <c r="J6858" s="7" t="n"/>
      <c r="K6858">
        <f>IF(D6858="Legitimate Interest (GDPR Art. 6(1)(f))", "Yes / Required (Sheet 3)", "")</f>
        <v/>
      </c>
      <c r="L6858" s="7" t="n"/>
      <c r="M6858" s="7" t="n"/>
      <c r="N6858">
        <f>IF(D6858="", "Gap - No Legal Basis", IF(AND(D6858="Consent (GDPR Art. 6(1)(a))", I6858="Not Captured"), "Gap - Invalid Consent", IF(AND(D6858="Legitimate Interest (GDPR Art. 6(1)(f))", L6858=""), "Gap - Missing LIA", IF(AND(G6858="Yes", H6858=""), "Gap - Missing Art. 9 Basis", IF(OR(I6858="Invalid - Not Freely Given", I6858="Invalid - Not Specific", I6858="Invalid - Not Informed", I6858="Invalid - Ambiguous"), "Gap - Invalid Consent", "Compliant")))))</f>
        <v/>
      </c>
      <c r="O6858" s="7" t="n"/>
    </row>
    <row r="6859">
      <c r="A6859" s="7" t="n"/>
      <c r="B6859" s="7" t="n"/>
      <c r="C6859" s="7" t="n"/>
      <c r="D6859" s="7" t="n"/>
      <c r="E6859" s="7" t="n"/>
      <c r="F6859" s="7" t="n"/>
      <c r="G6859" s="7" t="n"/>
      <c r="H6859" s="7" t="n"/>
      <c r="I6859" s="7" t="n"/>
      <c r="J6859" s="7" t="n"/>
      <c r="K6859">
        <f>IF(D6859="Legitimate Interest (GDPR Art. 6(1)(f))", "Yes / Required (Sheet 3)", "")</f>
        <v/>
      </c>
      <c r="L6859" s="7" t="n"/>
      <c r="M6859" s="7" t="n"/>
      <c r="N6859">
        <f>IF(D6859="", "Gap - No Legal Basis", IF(AND(D6859="Consent (GDPR Art. 6(1)(a))", I6859="Not Captured"), "Gap - Invalid Consent", IF(AND(D6859="Legitimate Interest (GDPR Art. 6(1)(f))", L6859=""), "Gap - Missing LIA", IF(AND(G6859="Yes", H6859=""), "Gap - Missing Art. 9 Basis", IF(OR(I6859="Invalid - Not Freely Given", I6859="Invalid - Not Specific", I6859="Invalid - Not Informed", I6859="Invalid - Ambiguous"), "Gap - Invalid Consent", "Compliant")))))</f>
        <v/>
      </c>
      <c r="O6859" s="7" t="n"/>
    </row>
    <row r="6860">
      <c r="A6860" s="7" t="n"/>
      <c r="B6860" s="7" t="n"/>
      <c r="C6860" s="7" t="n"/>
      <c r="D6860" s="7" t="n"/>
      <c r="E6860" s="7" t="n"/>
      <c r="F6860" s="7" t="n"/>
      <c r="G6860" s="7" t="n"/>
      <c r="H6860" s="7" t="n"/>
      <c r="I6860" s="7" t="n"/>
      <c r="J6860" s="7" t="n"/>
      <c r="K6860">
        <f>IF(D6860="Legitimate Interest (GDPR Art. 6(1)(f))", "Yes / Required (Sheet 3)", "")</f>
        <v/>
      </c>
      <c r="L6860" s="7" t="n"/>
      <c r="M6860" s="7" t="n"/>
      <c r="N6860">
        <f>IF(D6860="", "Gap - No Legal Basis", IF(AND(D6860="Consent (GDPR Art. 6(1)(a))", I6860="Not Captured"), "Gap - Invalid Consent", IF(AND(D6860="Legitimate Interest (GDPR Art. 6(1)(f))", L6860=""), "Gap - Missing LIA", IF(AND(G6860="Yes", H6860=""), "Gap - Missing Art. 9 Basis", IF(OR(I6860="Invalid - Not Freely Given", I6860="Invalid - Not Specific", I6860="Invalid - Not Informed", I6860="Invalid - Ambiguous"), "Gap - Invalid Consent", "Compliant")))))</f>
        <v/>
      </c>
      <c r="O6860" s="7" t="n"/>
    </row>
    <row r="6861">
      <c r="A6861" s="7" t="n"/>
      <c r="B6861" s="7" t="n"/>
      <c r="C6861" s="7" t="n"/>
      <c r="D6861" s="7" t="n"/>
      <c r="E6861" s="7" t="n"/>
      <c r="F6861" s="7" t="n"/>
      <c r="G6861" s="7" t="n"/>
      <c r="H6861" s="7" t="n"/>
      <c r="I6861" s="7" t="n"/>
      <c r="J6861" s="7" t="n"/>
      <c r="K6861">
        <f>IF(D6861="Legitimate Interest (GDPR Art. 6(1)(f))", "Yes / Required (Sheet 3)", "")</f>
        <v/>
      </c>
      <c r="L6861" s="7" t="n"/>
      <c r="M6861" s="7" t="n"/>
      <c r="N6861">
        <f>IF(D6861="", "Gap - No Legal Basis", IF(AND(D6861="Consent (GDPR Art. 6(1)(a))", I6861="Not Captured"), "Gap - Invalid Consent", IF(AND(D6861="Legitimate Interest (GDPR Art. 6(1)(f))", L6861=""), "Gap - Missing LIA", IF(AND(G6861="Yes", H6861=""), "Gap - Missing Art. 9 Basis", IF(OR(I6861="Invalid - Not Freely Given", I6861="Invalid - Not Specific", I6861="Invalid - Not Informed", I6861="Invalid - Ambiguous"), "Gap - Invalid Consent", "Compliant")))))</f>
        <v/>
      </c>
      <c r="O6861" s="7" t="n"/>
    </row>
    <row r="6862">
      <c r="A6862" s="7" t="n"/>
      <c r="B6862" s="7" t="n"/>
      <c r="C6862" s="7" t="n"/>
      <c r="D6862" s="7" t="n"/>
      <c r="E6862" s="7" t="n"/>
      <c r="F6862" s="7" t="n"/>
      <c r="G6862" s="7" t="n"/>
      <c r="H6862" s="7" t="n"/>
      <c r="I6862" s="7" t="n"/>
      <c r="J6862" s="7" t="n"/>
      <c r="K6862">
        <f>IF(D6862="Legitimate Interest (GDPR Art. 6(1)(f))", "Yes / Required (Sheet 3)", "")</f>
        <v/>
      </c>
      <c r="L6862" s="7" t="n"/>
      <c r="M6862" s="7" t="n"/>
      <c r="N6862">
        <f>IF(D6862="", "Gap - No Legal Basis", IF(AND(D6862="Consent (GDPR Art. 6(1)(a))", I6862="Not Captured"), "Gap - Invalid Consent", IF(AND(D6862="Legitimate Interest (GDPR Art. 6(1)(f))", L6862=""), "Gap - Missing LIA", IF(AND(G6862="Yes", H6862=""), "Gap - Missing Art. 9 Basis", IF(OR(I6862="Invalid - Not Freely Given", I6862="Invalid - Not Specific", I6862="Invalid - Not Informed", I6862="Invalid - Ambiguous"), "Gap - Invalid Consent", "Compliant")))))</f>
        <v/>
      </c>
      <c r="O6862" s="7" t="n"/>
    </row>
    <row r="6863">
      <c r="A6863" s="7" t="n"/>
      <c r="B6863" s="7" t="n"/>
      <c r="C6863" s="7" t="n"/>
      <c r="D6863" s="7" t="n"/>
      <c r="E6863" s="7" t="n"/>
      <c r="F6863" s="7" t="n"/>
      <c r="G6863" s="7" t="n"/>
      <c r="H6863" s="7" t="n"/>
      <c r="I6863" s="7" t="n"/>
      <c r="J6863" s="7" t="n"/>
      <c r="K6863">
        <f>IF(D6863="Legitimate Interest (GDPR Art. 6(1)(f))", "Yes / Required (Sheet 3)", "")</f>
        <v/>
      </c>
      <c r="L6863" s="7" t="n"/>
      <c r="M6863" s="7" t="n"/>
      <c r="N6863">
        <f>IF(D6863="", "Gap - No Legal Basis", IF(AND(D6863="Consent (GDPR Art. 6(1)(a))", I6863="Not Captured"), "Gap - Invalid Consent", IF(AND(D6863="Legitimate Interest (GDPR Art. 6(1)(f))", L6863=""), "Gap - Missing LIA", IF(AND(G6863="Yes", H6863=""), "Gap - Missing Art. 9 Basis", IF(OR(I6863="Invalid - Not Freely Given", I6863="Invalid - Not Specific", I6863="Invalid - Not Informed", I6863="Invalid - Ambiguous"), "Gap - Invalid Consent", "Compliant")))))</f>
        <v/>
      </c>
      <c r="O6863" s="7" t="n"/>
    </row>
    <row r="6864">
      <c r="A6864" s="7" t="n"/>
      <c r="B6864" s="7" t="n"/>
      <c r="C6864" s="7" t="n"/>
      <c r="D6864" s="7" t="n"/>
      <c r="E6864" s="7" t="n"/>
      <c r="F6864" s="7" t="n"/>
      <c r="G6864" s="7" t="n"/>
      <c r="H6864" s="7" t="n"/>
      <c r="I6864" s="7" t="n"/>
      <c r="J6864" s="7" t="n"/>
      <c r="K6864">
        <f>IF(D6864="Legitimate Interest (GDPR Art. 6(1)(f))", "Yes / Required (Sheet 3)", "")</f>
        <v/>
      </c>
      <c r="L6864" s="7" t="n"/>
      <c r="M6864" s="7" t="n"/>
      <c r="N6864">
        <f>IF(D6864="", "Gap - No Legal Basis", IF(AND(D6864="Consent (GDPR Art. 6(1)(a))", I6864="Not Captured"), "Gap - Invalid Consent", IF(AND(D6864="Legitimate Interest (GDPR Art. 6(1)(f))", L6864=""), "Gap - Missing LIA", IF(AND(G6864="Yes", H6864=""), "Gap - Missing Art. 9 Basis", IF(OR(I6864="Invalid - Not Freely Given", I6864="Invalid - Not Specific", I6864="Invalid - Not Informed", I6864="Invalid - Ambiguous"), "Gap - Invalid Consent", "Compliant")))))</f>
        <v/>
      </c>
      <c r="O6864" s="7" t="n"/>
    </row>
    <row r="6865">
      <c r="A6865" s="7" t="n"/>
      <c r="B6865" s="7" t="n"/>
      <c r="C6865" s="7" t="n"/>
      <c r="D6865" s="7" t="n"/>
      <c r="E6865" s="7" t="n"/>
      <c r="F6865" s="7" t="n"/>
      <c r="G6865" s="7" t="n"/>
      <c r="H6865" s="7" t="n"/>
      <c r="I6865" s="7" t="n"/>
      <c r="J6865" s="7" t="n"/>
      <c r="K6865">
        <f>IF(D6865="Legitimate Interest (GDPR Art. 6(1)(f))", "Yes / Required (Sheet 3)", "")</f>
        <v/>
      </c>
      <c r="L6865" s="7" t="n"/>
      <c r="M6865" s="7" t="n"/>
      <c r="N6865">
        <f>IF(D6865="", "Gap - No Legal Basis", IF(AND(D6865="Consent (GDPR Art. 6(1)(a))", I6865="Not Captured"), "Gap - Invalid Consent", IF(AND(D6865="Legitimate Interest (GDPR Art. 6(1)(f))", L6865=""), "Gap - Missing LIA", IF(AND(G6865="Yes", H6865=""), "Gap - Missing Art. 9 Basis", IF(OR(I6865="Invalid - Not Freely Given", I6865="Invalid - Not Specific", I6865="Invalid - Not Informed", I6865="Invalid - Ambiguous"), "Gap - Invalid Consent", "Compliant")))))</f>
        <v/>
      </c>
      <c r="O6865" s="7" t="n"/>
    </row>
    <row r="6866">
      <c r="A6866" s="7" t="n"/>
      <c r="B6866" s="7" t="n"/>
      <c r="C6866" s="7" t="n"/>
      <c r="D6866" s="7" t="n"/>
      <c r="E6866" s="7" t="n"/>
      <c r="F6866" s="7" t="n"/>
      <c r="G6866" s="7" t="n"/>
      <c r="H6866" s="7" t="n"/>
      <c r="I6866" s="7" t="n"/>
      <c r="J6866" s="7" t="n"/>
      <c r="K6866">
        <f>IF(D6866="Legitimate Interest (GDPR Art. 6(1)(f))", "Yes / Required (Sheet 3)", "")</f>
        <v/>
      </c>
      <c r="L6866" s="7" t="n"/>
      <c r="M6866" s="7" t="n"/>
      <c r="N6866">
        <f>IF(D6866="", "Gap - No Legal Basis", IF(AND(D6866="Consent (GDPR Art. 6(1)(a))", I6866="Not Captured"), "Gap - Invalid Consent", IF(AND(D6866="Legitimate Interest (GDPR Art. 6(1)(f))", L6866=""), "Gap - Missing LIA", IF(AND(G6866="Yes", H6866=""), "Gap - Missing Art. 9 Basis", IF(OR(I6866="Invalid - Not Freely Given", I6866="Invalid - Not Specific", I6866="Invalid - Not Informed", I6866="Invalid - Ambiguous"), "Gap - Invalid Consent", "Compliant")))))</f>
        <v/>
      </c>
      <c r="O6866" s="7" t="n"/>
    </row>
    <row r="6867">
      <c r="A6867" s="7" t="n"/>
      <c r="B6867" s="7" t="n"/>
      <c r="C6867" s="7" t="n"/>
      <c r="D6867" s="7" t="n"/>
      <c r="E6867" s="7" t="n"/>
      <c r="F6867" s="7" t="n"/>
      <c r="G6867" s="7" t="n"/>
      <c r="H6867" s="7" t="n"/>
      <c r="I6867" s="7" t="n"/>
      <c r="J6867" s="7" t="n"/>
      <c r="K6867">
        <f>IF(D6867="Legitimate Interest (GDPR Art. 6(1)(f))", "Yes / Required (Sheet 3)", "")</f>
        <v/>
      </c>
      <c r="L6867" s="7" t="n"/>
      <c r="M6867" s="7" t="n"/>
      <c r="N6867">
        <f>IF(D6867="", "Gap - No Legal Basis", IF(AND(D6867="Consent (GDPR Art. 6(1)(a))", I6867="Not Captured"), "Gap - Invalid Consent", IF(AND(D6867="Legitimate Interest (GDPR Art. 6(1)(f))", L6867=""), "Gap - Missing LIA", IF(AND(G6867="Yes", H6867=""), "Gap - Missing Art. 9 Basis", IF(OR(I6867="Invalid - Not Freely Given", I6867="Invalid - Not Specific", I6867="Invalid - Not Informed", I6867="Invalid - Ambiguous"), "Gap - Invalid Consent", "Compliant")))))</f>
        <v/>
      </c>
      <c r="O6867" s="7" t="n"/>
    </row>
    <row r="6868">
      <c r="A6868" s="7" t="n"/>
      <c r="B6868" s="7" t="n"/>
      <c r="C6868" s="7" t="n"/>
      <c r="D6868" s="7" t="n"/>
      <c r="E6868" s="7" t="n"/>
      <c r="F6868" s="7" t="n"/>
      <c r="G6868" s="7" t="n"/>
      <c r="H6868" s="7" t="n"/>
      <c r="I6868" s="7" t="n"/>
      <c r="J6868" s="7" t="n"/>
      <c r="K6868">
        <f>IF(D6868="Legitimate Interest (GDPR Art. 6(1)(f))", "Yes / Required (Sheet 3)", "")</f>
        <v/>
      </c>
      <c r="L6868" s="7" t="n"/>
      <c r="M6868" s="7" t="n"/>
      <c r="N6868">
        <f>IF(D6868="", "Gap - No Legal Basis", IF(AND(D6868="Consent (GDPR Art. 6(1)(a))", I6868="Not Captured"), "Gap - Invalid Consent", IF(AND(D6868="Legitimate Interest (GDPR Art. 6(1)(f))", L6868=""), "Gap - Missing LIA", IF(AND(G6868="Yes", H6868=""), "Gap - Missing Art. 9 Basis", IF(OR(I6868="Invalid - Not Freely Given", I6868="Invalid - Not Specific", I6868="Invalid - Not Informed", I6868="Invalid - Ambiguous"), "Gap - Invalid Consent", "Compliant")))))</f>
        <v/>
      </c>
      <c r="O6868" s="7" t="n"/>
    </row>
    <row r="6869">
      <c r="A6869" s="7" t="n"/>
      <c r="B6869" s="7" t="n"/>
      <c r="C6869" s="7" t="n"/>
      <c r="D6869" s="7" t="n"/>
      <c r="E6869" s="7" t="n"/>
      <c r="F6869" s="7" t="n"/>
      <c r="G6869" s="7" t="n"/>
      <c r="H6869" s="7" t="n"/>
      <c r="I6869" s="7" t="n"/>
      <c r="J6869" s="7" t="n"/>
      <c r="K6869">
        <f>IF(D6869="Legitimate Interest (GDPR Art. 6(1)(f))", "Yes / Required (Sheet 3)", "")</f>
        <v/>
      </c>
      <c r="L6869" s="7" t="n"/>
      <c r="M6869" s="7" t="n"/>
      <c r="N6869">
        <f>IF(D6869="", "Gap - No Legal Basis", IF(AND(D6869="Consent (GDPR Art. 6(1)(a))", I6869="Not Captured"), "Gap - Invalid Consent", IF(AND(D6869="Legitimate Interest (GDPR Art. 6(1)(f))", L6869=""), "Gap - Missing LIA", IF(AND(G6869="Yes", H6869=""), "Gap - Missing Art. 9 Basis", IF(OR(I6869="Invalid - Not Freely Given", I6869="Invalid - Not Specific", I6869="Invalid - Not Informed", I6869="Invalid - Ambiguous"), "Gap - Invalid Consent", "Compliant")))))</f>
        <v/>
      </c>
      <c r="O6869" s="7" t="n"/>
    </row>
    <row r="6870">
      <c r="A6870" s="7" t="n"/>
      <c r="B6870" s="7" t="n"/>
      <c r="C6870" s="7" t="n"/>
      <c r="D6870" s="7" t="n"/>
      <c r="E6870" s="7" t="n"/>
      <c r="F6870" s="7" t="n"/>
      <c r="G6870" s="7" t="n"/>
      <c r="H6870" s="7" t="n"/>
      <c r="I6870" s="7" t="n"/>
      <c r="J6870" s="7" t="n"/>
      <c r="K6870">
        <f>IF(D6870="Legitimate Interest (GDPR Art. 6(1)(f))", "Yes / Required (Sheet 3)", "")</f>
        <v/>
      </c>
      <c r="L6870" s="7" t="n"/>
      <c r="M6870" s="7" t="n"/>
      <c r="N6870">
        <f>IF(D6870="", "Gap - No Legal Basis", IF(AND(D6870="Consent (GDPR Art. 6(1)(a))", I6870="Not Captured"), "Gap - Invalid Consent", IF(AND(D6870="Legitimate Interest (GDPR Art. 6(1)(f))", L6870=""), "Gap - Missing LIA", IF(AND(G6870="Yes", H6870=""), "Gap - Missing Art. 9 Basis", IF(OR(I6870="Invalid - Not Freely Given", I6870="Invalid - Not Specific", I6870="Invalid - Not Informed", I6870="Invalid - Ambiguous"), "Gap - Invalid Consent", "Compliant")))))</f>
        <v/>
      </c>
      <c r="O6870" s="7" t="n"/>
    </row>
    <row r="6871">
      <c r="A6871" s="7" t="n"/>
      <c r="B6871" s="7" t="n"/>
      <c r="C6871" s="7" t="n"/>
      <c r="D6871" s="7" t="n"/>
      <c r="E6871" s="7" t="n"/>
      <c r="F6871" s="7" t="n"/>
      <c r="G6871" s="7" t="n"/>
      <c r="H6871" s="7" t="n"/>
      <c r="I6871" s="7" t="n"/>
      <c r="J6871" s="7" t="n"/>
      <c r="K6871">
        <f>IF(D6871="Legitimate Interest (GDPR Art. 6(1)(f))", "Yes / Required (Sheet 3)", "")</f>
        <v/>
      </c>
      <c r="L6871" s="7" t="n"/>
      <c r="M6871" s="7" t="n"/>
      <c r="N6871">
        <f>IF(D6871="", "Gap - No Legal Basis", IF(AND(D6871="Consent (GDPR Art. 6(1)(a))", I6871="Not Captured"), "Gap - Invalid Consent", IF(AND(D6871="Legitimate Interest (GDPR Art. 6(1)(f))", L6871=""), "Gap - Missing LIA", IF(AND(G6871="Yes", H6871=""), "Gap - Missing Art. 9 Basis", IF(OR(I6871="Invalid - Not Freely Given", I6871="Invalid - Not Specific", I6871="Invalid - Not Informed", I6871="Invalid - Ambiguous"), "Gap - Invalid Consent", "Compliant")))))</f>
        <v/>
      </c>
      <c r="O6871" s="7" t="n"/>
    </row>
    <row r="6872">
      <c r="A6872" s="7" t="n"/>
      <c r="B6872" s="7" t="n"/>
      <c r="C6872" s="7" t="n"/>
      <c r="D6872" s="7" t="n"/>
      <c r="E6872" s="7" t="n"/>
      <c r="F6872" s="7" t="n"/>
      <c r="G6872" s="7" t="n"/>
      <c r="H6872" s="7" t="n"/>
      <c r="I6872" s="7" t="n"/>
      <c r="J6872" s="7" t="n"/>
      <c r="K6872">
        <f>IF(D6872="Legitimate Interest (GDPR Art. 6(1)(f))", "Yes / Required (Sheet 3)", "")</f>
        <v/>
      </c>
      <c r="L6872" s="7" t="n"/>
      <c r="M6872" s="7" t="n"/>
      <c r="N6872">
        <f>IF(D6872="", "Gap - No Legal Basis", IF(AND(D6872="Consent (GDPR Art. 6(1)(a))", I6872="Not Captured"), "Gap - Invalid Consent", IF(AND(D6872="Legitimate Interest (GDPR Art. 6(1)(f))", L6872=""), "Gap - Missing LIA", IF(AND(G6872="Yes", H6872=""), "Gap - Missing Art. 9 Basis", IF(OR(I6872="Invalid - Not Freely Given", I6872="Invalid - Not Specific", I6872="Invalid - Not Informed", I6872="Invalid - Ambiguous"), "Gap - Invalid Consent", "Compliant")))))</f>
        <v/>
      </c>
      <c r="O6872" s="7" t="n"/>
    </row>
    <row r="6873">
      <c r="A6873" s="7" t="n"/>
      <c r="B6873" s="7" t="n"/>
      <c r="C6873" s="7" t="n"/>
      <c r="D6873" s="7" t="n"/>
      <c r="E6873" s="7" t="n"/>
      <c r="F6873" s="7" t="n"/>
      <c r="G6873" s="7" t="n"/>
      <c r="H6873" s="7" t="n"/>
      <c r="I6873" s="7" t="n"/>
      <c r="J6873" s="7" t="n"/>
      <c r="K6873">
        <f>IF(D6873="Legitimate Interest (GDPR Art. 6(1)(f))", "Yes / Required (Sheet 3)", "")</f>
        <v/>
      </c>
      <c r="L6873" s="7" t="n"/>
      <c r="M6873" s="7" t="n"/>
      <c r="N6873">
        <f>IF(D6873="", "Gap - No Legal Basis", IF(AND(D6873="Consent (GDPR Art. 6(1)(a))", I6873="Not Captured"), "Gap - Invalid Consent", IF(AND(D6873="Legitimate Interest (GDPR Art. 6(1)(f))", L6873=""), "Gap - Missing LIA", IF(AND(G6873="Yes", H6873=""), "Gap - Missing Art. 9 Basis", IF(OR(I6873="Invalid - Not Freely Given", I6873="Invalid - Not Specific", I6873="Invalid - Not Informed", I6873="Invalid - Ambiguous"), "Gap - Invalid Consent", "Compliant")))))</f>
        <v/>
      </c>
      <c r="O6873" s="7" t="n"/>
    </row>
    <row r="6874">
      <c r="A6874" s="7" t="n"/>
      <c r="B6874" s="7" t="n"/>
      <c r="C6874" s="7" t="n"/>
      <c r="D6874" s="7" t="n"/>
      <c r="E6874" s="7" t="n"/>
      <c r="F6874" s="7" t="n"/>
      <c r="G6874" s="7" t="n"/>
      <c r="H6874" s="7" t="n"/>
      <c r="I6874" s="7" t="n"/>
      <c r="J6874" s="7" t="n"/>
      <c r="K6874">
        <f>IF(D6874="Legitimate Interest (GDPR Art. 6(1)(f))", "Yes / Required (Sheet 3)", "")</f>
        <v/>
      </c>
      <c r="L6874" s="7" t="n"/>
      <c r="M6874" s="7" t="n"/>
      <c r="N6874">
        <f>IF(D6874="", "Gap - No Legal Basis", IF(AND(D6874="Consent (GDPR Art. 6(1)(a))", I6874="Not Captured"), "Gap - Invalid Consent", IF(AND(D6874="Legitimate Interest (GDPR Art. 6(1)(f))", L6874=""), "Gap - Missing LIA", IF(AND(G6874="Yes", H6874=""), "Gap - Missing Art. 9 Basis", IF(OR(I6874="Invalid - Not Freely Given", I6874="Invalid - Not Specific", I6874="Invalid - Not Informed", I6874="Invalid - Ambiguous"), "Gap - Invalid Consent", "Compliant")))))</f>
        <v/>
      </c>
      <c r="O6874" s="7" t="n"/>
    </row>
    <row r="6875">
      <c r="A6875" s="7" t="n"/>
      <c r="B6875" s="7" t="n"/>
      <c r="C6875" s="7" t="n"/>
      <c r="D6875" s="7" t="n"/>
      <c r="E6875" s="7" t="n"/>
      <c r="F6875" s="7" t="n"/>
      <c r="G6875" s="7" t="n"/>
      <c r="H6875" s="7" t="n"/>
      <c r="I6875" s="7" t="n"/>
      <c r="J6875" s="7" t="n"/>
      <c r="K6875">
        <f>IF(D6875="Legitimate Interest (GDPR Art. 6(1)(f))", "Yes / Required (Sheet 3)", "")</f>
        <v/>
      </c>
      <c r="L6875" s="7" t="n"/>
      <c r="M6875" s="7" t="n"/>
      <c r="N6875">
        <f>IF(D6875="", "Gap - No Legal Basis", IF(AND(D6875="Consent (GDPR Art. 6(1)(a))", I6875="Not Captured"), "Gap - Invalid Consent", IF(AND(D6875="Legitimate Interest (GDPR Art. 6(1)(f))", L6875=""), "Gap - Missing LIA", IF(AND(G6875="Yes", H6875=""), "Gap - Missing Art. 9 Basis", IF(OR(I6875="Invalid - Not Freely Given", I6875="Invalid - Not Specific", I6875="Invalid - Not Informed", I6875="Invalid - Ambiguous"), "Gap - Invalid Consent", "Compliant")))))</f>
        <v/>
      </c>
      <c r="O6875" s="7" t="n"/>
    </row>
    <row r="6876">
      <c r="A6876" s="7" t="n"/>
      <c r="B6876" s="7" t="n"/>
      <c r="C6876" s="7" t="n"/>
      <c r="D6876" s="7" t="n"/>
      <c r="E6876" s="7" t="n"/>
      <c r="F6876" s="7" t="n"/>
      <c r="G6876" s="7" t="n"/>
      <c r="H6876" s="7" t="n"/>
      <c r="I6876" s="7" t="n"/>
      <c r="J6876" s="7" t="n"/>
      <c r="K6876">
        <f>IF(D6876="Legitimate Interest (GDPR Art. 6(1)(f))", "Yes / Required (Sheet 3)", "")</f>
        <v/>
      </c>
      <c r="L6876" s="7" t="n"/>
      <c r="M6876" s="7" t="n"/>
      <c r="N6876">
        <f>IF(D6876="", "Gap - No Legal Basis", IF(AND(D6876="Consent (GDPR Art. 6(1)(a))", I6876="Not Captured"), "Gap - Invalid Consent", IF(AND(D6876="Legitimate Interest (GDPR Art. 6(1)(f))", L6876=""), "Gap - Missing LIA", IF(AND(G6876="Yes", H6876=""), "Gap - Missing Art. 9 Basis", IF(OR(I6876="Invalid - Not Freely Given", I6876="Invalid - Not Specific", I6876="Invalid - Not Informed", I6876="Invalid - Ambiguous"), "Gap - Invalid Consent", "Compliant")))))</f>
        <v/>
      </c>
      <c r="O6876" s="7" t="n"/>
    </row>
    <row r="6877">
      <c r="A6877" s="7" t="n"/>
      <c r="B6877" s="7" t="n"/>
      <c r="C6877" s="7" t="n"/>
      <c r="D6877" s="7" t="n"/>
      <c r="E6877" s="7" t="n"/>
      <c r="F6877" s="7" t="n"/>
      <c r="G6877" s="7" t="n"/>
      <c r="H6877" s="7" t="n"/>
      <c r="I6877" s="7" t="n"/>
      <c r="J6877" s="7" t="n"/>
      <c r="K6877">
        <f>IF(D6877="Legitimate Interest (GDPR Art. 6(1)(f))", "Yes / Required (Sheet 3)", "")</f>
        <v/>
      </c>
      <c r="L6877" s="7" t="n"/>
      <c r="M6877" s="7" t="n"/>
      <c r="N6877">
        <f>IF(D6877="", "Gap - No Legal Basis", IF(AND(D6877="Consent (GDPR Art. 6(1)(a))", I6877="Not Captured"), "Gap - Invalid Consent", IF(AND(D6877="Legitimate Interest (GDPR Art. 6(1)(f))", L6877=""), "Gap - Missing LIA", IF(AND(G6877="Yes", H6877=""), "Gap - Missing Art. 9 Basis", IF(OR(I6877="Invalid - Not Freely Given", I6877="Invalid - Not Specific", I6877="Invalid - Not Informed", I6877="Invalid - Ambiguous"), "Gap - Invalid Consent", "Compliant")))))</f>
        <v/>
      </c>
      <c r="O6877" s="7" t="n"/>
    </row>
    <row r="6878">
      <c r="A6878" s="7" t="n"/>
      <c r="B6878" s="7" t="n"/>
      <c r="C6878" s="7" t="n"/>
      <c r="D6878" s="7" t="n"/>
      <c r="E6878" s="7" t="n"/>
      <c r="F6878" s="7" t="n"/>
      <c r="G6878" s="7" t="n"/>
      <c r="H6878" s="7" t="n"/>
      <c r="I6878" s="7" t="n"/>
      <c r="J6878" s="7" t="n"/>
      <c r="K6878">
        <f>IF(D6878="Legitimate Interest (GDPR Art. 6(1)(f))", "Yes / Required (Sheet 3)", "")</f>
        <v/>
      </c>
      <c r="L6878" s="7" t="n"/>
      <c r="M6878" s="7" t="n"/>
      <c r="N6878">
        <f>IF(D6878="", "Gap - No Legal Basis", IF(AND(D6878="Consent (GDPR Art. 6(1)(a))", I6878="Not Captured"), "Gap - Invalid Consent", IF(AND(D6878="Legitimate Interest (GDPR Art. 6(1)(f))", L6878=""), "Gap - Missing LIA", IF(AND(G6878="Yes", H6878=""), "Gap - Missing Art. 9 Basis", IF(OR(I6878="Invalid - Not Freely Given", I6878="Invalid - Not Specific", I6878="Invalid - Not Informed", I6878="Invalid - Ambiguous"), "Gap - Invalid Consent", "Compliant")))))</f>
        <v/>
      </c>
      <c r="O6878" s="7" t="n"/>
    </row>
    <row r="6879">
      <c r="A6879" s="7" t="n"/>
      <c r="B6879" s="7" t="n"/>
      <c r="C6879" s="7" t="n"/>
      <c r="D6879" s="7" t="n"/>
      <c r="E6879" s="7" t="n"/>
      <c r="F6879" s="7" t="n"/>
      <c r="G6879" s="7" t="n"/>
      <c r="H6879" s="7" t="n"/>
      <c r="I6879" s="7" t="n"/>
      <c r="J6879" s="7" t="n"/>
      <c r="K6879">
        <f>IF(D6879="Legitimate Interest (GDPR Art. 6(1)(f))", "Yes / Required (Sheet 3)", "")</f>
        <v/>
      </c>
      <c r="L6879" s="7" t="n"/>
      <c r="M6879" s="7" t="n"/>
      <c r="N6879">
        <f>IF(D6879="", "Gap - No Legal Basis", IF(AND(D6879="Consent (GDPR Art. 6(1)(a))", I6879="Not Captured"), "Gap - Invalid Consent", IF(AND(D6879="Legitimate Interest (GDPR Art. 6(1)(f))", L6879=""), "Gap - Missing LIA", IF(AND(G6879="Yes", H6879=""), "Gap - Missing Art. 9 Basis", IF(OR(I6879="Invalid - Not Freely Given", I6879="Invalid - Not Specific", I6879="Invalid - Not Informed", I6879="Invalid - Ambiguous"), "Gap - Invalid Consent", "Compliant")))))</f>
        <v/>
      </c>
      <c r="O6879" s="7" t="n"/>
    </row>
    <row r="6880">
      <c r="A6880" s="7" t="n"/>
      <c r="B6880" s="7" t="n"/>
      <c r="C6880" s="7" t="n"/>
      <c r="D6880" s="7" t="n"/>
      <c r="E6880" s="7" t="n"/>
      <c r="F6880" s="7" t="n"/>
      <c r="G6880" s="7" t="n"/>
      <c r="H6880" s="7" t="n"/>
      <c r="I6880" s="7" t="n"/>
      <c r="J6880" s="7" t="n"/>
      <c r="K6880">
        <f>IF(D6880="Legitimate Interest (GDPR Art. 6(1)(f))", "Yes / Required (Sheet 3)", "")</f>
        <v/>
      </c>
      <c r="L6880" s="7" t="n"/>
      <c r="M6880" s="7" t="n"/>
      <c r="N6880">
        <f>IF(D6880="", "Gap - No Legal Basis", IF(AND(D6880="Consent (GDPR Art. 6(1)(a))", I6880="Not Captured"), "Gap - Invalid Consent", IF(AND(D6880="Legitimate Interest (GDPR Art. 6(1)(f))", L6880=""), "Gap - Missing LIA", IF(AND(G6880="Yes", H6880=""), "Gap - Missing Art. 9 Basis", IF(OR(I6880="Invalid - Not Freely Given", I6880="Invalid - Not Specific", I6880="Invalid - Not Informed", I6880="Invalid - Ambiguous"), "Gap - Invalid Consent", "Compliant")))))</f>
        <v/>
      </c>
      <c r="O6880" s="7" t="n"/>
    </row>
    <row r="6881">
      <c r="A6881" s="7" t="n"/>
      <c r="B6881" s="7" t="n"/>
      <c r="C6881" s="7" t="n"/>
      <c r="D6881" s="7" t="n"/>
      <c r="E6881" s="7" t="n"/>
      <c r="F6881" s="7" t="n"/>
      <c r="G6881" s="7" t="n"/>
      <c r="H6881" s="7" t="n"/>
      <c r="I6881" s="7" t="n"/>
      <c r="J6881" s="7" t="n"/>
      <c r="K6881">
        <f>IF(D6881="Legitimate Interest (GDPR Art. 6(1)(f))", "Yes / Required (Sheet 3)", "")</f>
        <v/>
      </c>
      <c r="L6881" s="7" t="n"/>
      <c r="M6881" s="7" t="n"/>
      <c r="N6881">
        <f>IF(D6881="", "Gap - No Legal Basis", IF(AND(D6881="Consent (GDPR Art. 6(1)(a))", I6881="Not Captured"), "Gap - Invalid Consent", IF(AND(D6881="Legitimate Interest (GDPR Art. 6(1)(f))", L6881=""), "Gap - Missing LIA", IF(AND(G6881="Yes", H6881=""), "Gap - Missing Art. 9 Basis", IF(OR(I6881="Invalid - Not Freely Given", I6881="Invalid - Not Specific", I6881="Invalid - Not Informed", I6881="Invalid - Ambiguous"), "Gap - Invalid Consent", "Compliant")))))</f>
        <v/>
      </c>
      <c r="O6881" s="7" t="n"/>
    </row>
    <row r="6882">
      <c r="A6882" s="7" t="n"/>
      <c r="B6882" s="7" t="n"/>
      <c r="C6882" s="7" t="n"/>
      <c r="D6882" s="7" t="n"/>
      <c r="E6882" s="7" t="n"/>
      <c r="F6882" s="7" t="n"/>
      <c r="G6882" s="7" t="n"/>
      <c r="H6882" s="7" t="n"/>
      <c r="I6882" s="7" t="n"/>
      <c r="J6882" s="7" t="n"/>
      <c r="K6882">
        <f>IF(D6882="Legitimate Interest (GDPR Art. 6(1)(f))", "Yes / Required (Sheet 3)", "")</f>
        <v/>
      </c>
      <c r="L6882" s="7" t="n"/>
      <c r="M6882" s="7" t="n"/>
      <c r="N6882">
        <f>IF(D6882="", "Gap - No Legal Basis", IF(AND(D6882="Consent (GDPR Art. 6(1)(a))", I6882="Not Captured"), "Gap - Invalid Consent", IF(AND(D6882="Legitimate Interest (GDPR Art. 6(1)(f))", L6882=""), "Gap - Missing LIA", IF(AND(G6882="Yes", H6882=""), "Gap - Missing Art. 9 Basis", IF(OR(I6882="Invalid - Not Freely Given", I6882="Invalid - Not Specific", I6882="Invalid - Not Informed", I6882="Invalid - Ambiguous"), "Gap - Invalid Consent", "Compliant")))))</f>
        <v/>
      </c>
      <c r="O6882" s="7" t="n"/>
    </row>
    <row r="6883">
      <c r="A6883" s="7" t="n"/>
      <c r="B6883" s="7" t="n"/>
      <c r="C6883" s="7" t="n"/>
      <c r="D6883" s="7" t="n"/>
      <c r="E6883" s="7" t="n"/>
      <c r="F6883" s="7" t="n"/>
      <c r="G6883" s="7" t="n"/>
      <c r="H6883" s="7" t="n"/>
      <c r="I6883" s="7" t="n"/>
      <c r="J6883" s="7" t="n"/>
      <c r="K6883">
        <f>IF(D6883="Legitimate Interest (GDPR Art. 6(1)(f))", "Yes / Required (Sheet 3)", "")</f>
        <v/>
      </c>
      <c r="L6883" s="7" t="n"/>
      <c r="M6883" s="7" t="n"/>
      <c r="N6883">
        <f>IF(D6883="", "Gap - No Legal Basis", IF(AND(D6883="Consent (GDPR Art. 6(1)(a))", I6883="Not Captured"), "Gap - Invalid Consent", IF(AND(D6883="Legitimate Interest (GDPR Art. 6(1)(f))", L6883=""), "Gap - Missing LIA", IF(AND(G6883="Yes", H6883=""), "Gap - Missing Art. 9 Basis", IF(OR(I6883="Invalid - Not Freely Given", I6883="Invalid - Not Specific", I6883="Invalid - Not Informed", I6883="Invalid - Ambiguous"), "Gap - Invalid Consent", "Compliant")))))</f>
        <v/>
      </c>
      <c r="O6883" s="7" t="n"/>
    </row>
    <row r="6884">
      <c r="A6884" s="7" t="n"/>
      <c r="B6884" s="7" t="n"/>
      <c r="C6884" s="7" t="n"/>
      <c r="D6884" s="7" t="n"/>
      <c r="E6884" s="7" t="n"/>
      <c r="F6884" s="7" t="n"/>
      <c r="G6884" s="7" t="n"/>
      <c r="H6884" s="7" t="n"/>
      <c r="I6884" s="7" t="n"/>
      <c r="J6884" s="7" t="n"/>
      <c r="K6884">
        <f>IF(D6884="Legitimate Interest (GDPR Art. 6(1)(f))", "Yes / Required (Sheet 3)", "")</f>
        <v/>
      </c>
      <c r="L6884" s="7" t="n"/>
      <c r="M6884" s="7" t="n"/>
      <c r="N6884">
        <f>IF(D6884="", "Gap - No Legal Basis", IF(AND(D6884="Consent (GDPR Art. 6(1)(a))", I6884="Not Captured"), "Gap - Invalid Consent", IF(AND(D6884="Legitimate Interest (GDPR Art. 6(1)(f))", L6884=""), "Gap - Missing LIA", IF(AND(G6884="Yes", H6884=""), "Gap - Missing Art. 9 Basis", IF(OR(I6884="Invalid - Not Freely Given", I6884="Invalid - Not Specific", I6884="Invalid - Not Informed", I6884="Invalid - Ambiguous"), "Gap - Invalid Consent", "Compliant")))))</f>
        <v/>
      </c>
      <c r="O6884" s="7" t="n"/>
    </row>
    <row r="6885">
      <c r="A6885" s="7" t="n"/>
      <c r="B6885" s="7" t="n"/>
      <c r="C6885" s="7" t="n"/>
      <c r="D6885" s="7" t="n"/>
      <c r="E6885" s="7" t="n"/>
      <c r="F6885" s="7" t="n"/>
      <c r="G6885" s="7" t="n"/>
      <c r="H6885" s="7" t="n"/>
      <c r="I6885" s="7" t="n"/>
      <c r="J6885" s="7" t="n"/>
      <c r="K6885">
        <f>IF(D6885="Legitimate Interest (GDPR Art. 6(1)(f))", "Yes / Required (Sheet 3)", "")</f>
        <v/>
      </c>
      <c r="L6885" s="7" t="n"/>
      <c r="M6885" s="7" t="n"/>
      <c r="N6885">
        <f>IF(D6885="", "Gap - No Legal Basis", IF(AND(D6885="Consent (GDPR Art. 6(1)(a))", I6885="Not Captured"), "Gap - Invalid Consent", IF(AND(D6885="Legitimate Interest (GDPR Art. 6(1)(f))", L6885=""), "Gap - Missing LIA", IF(AND(G6885="Yes", H6885=""), "Gap - Missing Art. 9 Basis", IF(OR(I6885="Invalid - Not Freely Given", I6885="Invalid - Not Specific", I6885="Invalid - Not Informed", I6885="Invalid - Ambiguous"), "Gap - Invalid Consent", "Compliant")))))</f>
        <v/>
      </c>
      <c r="O6885" s="7" t="n"/>
    </row>
    <row r="6886">
      <c r="A6886" s="7" t="n"/>
      <c r="B6886" s="7" t="n"/>
      <c r="C6886" s="7" t="n"/>
      <c r="D6886" s="7" t="n"/>
      <c r="E6886" s="7" t="n"/>
      <c r="F6886" s="7" t="n"/>
      <c r="G6886" s="7" t="n"/>
      <c r="H6886" s="7" t="n"/>
      <c r="I6886" s="7" t="n"/>
      <c r="J6886" s="7" t="n"/>
      <c r="K6886">
        <f>IF(D6886="Legitimate Interest (GDPR Art. 6(1)(f))", "Yes / Required (Sheet 3)", "")</f>
        <v/>
      </c>
      <c r="L6886" s="7" t="n"/>
      <c r="M6886" s="7" t="n"/>
      <c r="N6886">
        <f>IF(D6886="", "Gap - No Legal Basis", IF(AND(D6886="Consent (GDPR Art. 6(1)(a))", I6886="Not Captured"), "Gap - Invalid Consent", IF(AND(D6886="Legitimate Interest (GDPR Art. 6(1)(f))", L6886=""), "Gap - Missing LIA", IF(AND(G6886="Yes", H6886=""), "Gap - Missing Art. 9 Basis", IF(OR(I6886="Invalid - Not Freely Given", I6886="Invalid - Not Specific", I6886="Invalid - Not Informed", I6886="Invalid - Ambiguous"), "Gap - Invalid Consent", "Compliant")))))</f>
        <v/>
      </c>
      <c r="O6886" s="7" t="n"/>
    </row>
    <row r="6887">
      <c r="A6887" s="7" t="n"/>
      <c r="B6887" s="7" t="n"/>
      <c r="C6887" s="7" t="n"/>
      <c r="D6887" s="7" t="n"/>
      <c r="E6887" s="7" t="n"/>
      <c r="F6887" s="7" t="n"/>
      <c r="G6887" s="7" t="n"/>
      <c r="H6887" s="7" t="n"/>
      <c r="I6887" s="7" t="n"/>
      <c r="J6887" s="7" t="n"/>
      <c r="K6887">
        <f>IF(D6887="Legitimate Interest (GDPR Art. 6(1)(f))", "Yes / Required (Sheet 3)", "")</f>
        <v/>
      </c>
      <c r="L6887" s="7" t="n"/>
      <c r="M6887" s="7" t="n"/>
      <c r="N6887">
        <f>IF(D6887="", "Gap - No Legal Basis", IF(AND(D6887="Consent (GDPR Art. 6(1)(a))", I6887="Not Captured"), "Gap - Invalid Consent", IF(AND(D6887="Legitimate Interest (GDPR Art. 6(1)(f))", L6887=""), "Gap - Missing LIA", IF(AND(G6887="Yes", H6887=""), "Gap - Missing Art. 9 Basis", IF(OR(I6887="Invalid - Not Freely Given", I6887="Invalid - Not Specific", I6887="Invalid - Not Informed", I6887="Invalid - Ambiguous"), "Gap - Invalid Consent", "Compliant")))))</f>
        <v/>
      </c>
      <c r="O6887" s="7" t="n"/>
    </row>
    <row r="6888">
      <c r="A6888" s="7" t="n"/>
      <c r="B6888" s="7" t="n"/>
      <c r="C6888" s="7" t="n"/>
      <c r="D6888" s="7" t="n"/>
      <c r="E6888" s="7" t="n"/>
      <c r="F6888" s="7" t="n"/>
      <c r="G6888" s="7" t="n"/>
      <c r="H6888" s="7" t="n"/>
      <c r="I6888" s="7" t="n"/>
      <c r="J6888" s="7" t="n"/>
      <c r="K6888">
        <f>IF(D6888="Legitimate Interest (GDPR Art. 6(1)(f))", "Yes / Required (Sheet 3)", "")</f>
        <v/>
      </c>
      <c r="L6888" s="7" t="n"/>
      <c r="M6888" s="7" t="n"/>
      <c r="N6888">
        <f>IF(D6888="", "Gap - No Legal Basis", IF(AND(D6888="Consent (GDPR Art. 6(1)(a))", I6888="Not Captured"), "Gap - Invalid Consent", IF(AND(D6888="Legitimate Interest (GDPR Art. 6(1)(f))", L6888=""), "Gap - Missing LIA", IF(AND(G6888="Yes", H6888=""), "Gap - Missing Art. 9 Basis", IF(OR(I6888="Invalid - Not Freely Given", I6888="Invalid - Not Specific", I6888="Invalid - Not Informed", I6888="Invalid - Ambiguous"), "Gap - Invalid Consent", "Compliant")))))</f>
        <v/>
      </c>
      <c r="O6888" s="7" t="n"/>
    </row>
    <row r="6889">
      <c r="A6889" s="7" t="n"/>
      <c r="B6889" s="7" t="n"/>
      <c r="C6889" s="7" t="n"/>
      <c r="D6889" s="7" t="n"/>
      <c r="E6889" s="7" t="n"/>
      <c r="F6889" s="7" t="n"/>
      <c r="G6889" s="7" t="n"/>
      <c r="H6889" s="7" t="n"/>
      <c r="I6889" s="7" t="n"/>
      <c r="J6889" s="7" t="n"/>
      <c r="K6889">
        <f>IF(D6889="Legitimate Interest (GDPR Art. 6(1)(f))", "Yes / Required (Sheet 3)", "")</f>
        <v/>
      </c>
      <c r="L6889" s="7" t="n"/>
      <c r="M6889" s="7" t="n"/>
      <c r="N6889">
        <f>IF(D6889="", "Gap - No Legal Basis", IF(AND(D6889="Consent (GDPR Art. 6(1)(a))", I6889="Not Captured"), "Gap - Invalid Consent", IF(AND(D6889="Legitimate Interest (GDPR Art. 6(1)(f))", L6889=""), "Gap - Missing LIA", IF(AND(G6889="Yes", H6889=""), "Gap - Missing Art. 9 Basis", IF(OR(I6889="Invalid - Not Freely Given", I6889="Invalid - Not Specific", I6889="Invalid - Not Informed", I6889="Invalid - Ambiguous"), "Gap - Invalid Consent", "Compliant")))))</f>
        <v/>
      </c>
      <c r="O6889" s="7" t="n"/>
    </row>
    <row r="6890">
      <c r="A6890" s="7" t="n"/>
      <c r="B6890" s="7" t="n"/>
      <c r="C6890" s="7" t="n"/>
      <c r="D6890" s="7" t="n"/>
      <c r="E6890" s="7" t="n"/>
      <c r="F6890" s="7" t="n"/>
      <c r="G6890" s="7" t="n"/>
      <c r="H6890" s="7" t="n"/>
      <c r="I6890" s="7" t="n"/>
      <c r="J6890" s="7" t="n"/>
      <c r="K6890">
        <f>IF(D6890="Legitimate Interest (GDPR Art. 6(1)(f))", "Yes / Required (Sheet 3)", "")</f>
        <v/>
      </c>
      <c r="L6890" s="7" t="n"/>
      <c r="M6890" s="7" t="n"/>
      <c r="N6890">
        <f>IF(D6890="", "Gap - No Legal Basis", IF(AND(D6890="Consent (GDPR Art. 6(1)(a))", I6890="Not Captured"), "Gap - Invalid Consent", IF(AND(D6890="Legitimate Interest (GDPR Art. 6(1)(f))", L6890=""), "Gap - Missing LIA", IF(AND(G6890="Yes", H6890=""), "Gap - Missing Art. 9 Basis", IF(OR(I6890="Invalid - Not Freely Given", I6890="Invalid - Not Specific", I6890="Invalid - Not Informed", I6890="Invalid - Ambiguous"), "Gap - Invalid Consent", "Compliant")))))</f>
        <v/>
      </c>
      <c r="O6890" s="7" t="n"/>
    </row>
    <row r="6891">
      <c r="A6891" s="7" t="n"/>
      <c r="B6891" s="7" t="n"/>
      <c r="C6891" s="7" t="n"/>
      <c r="D6891" s="7" t="n"/>
      <c r="E6891" s="7" t="n"/>
      <c r="F6891" s="7" t="n"/>
      <c r="G6891" s="7" t="n"/>
      <c r="H6891" s="7" t="n"/>
      <c r="I6891" s="7" t="n"/>
      <c r="J6891" s="7" t="n"/>
      <c r="K6891">
        <f>IF(D6891="Legitimate Interest (GDPR Art. 6(1)(f))", "Yes / Required (Sheet 3)", "")</f>
        <v/>
      </c>
      <c r="L6891" s="7" t="n"/>
      <c r="M6891" s="7" t="n"/>
      <c r="N6891">
        <f>IF(D6891="", "Gap - No Legal Basis", IF(AND(D6891="Consent (GDPR Art. 6(1)(a))", I6891="Not Captured"), "Gap - Invalid Consent", IF(AND(D6891="Legitimate Interest (GDPR Art. 6(1)(f))", L6891=""), "Gap - Missing LIA", IF(AND(G6891="Yes", H6891=""), "Gap - Missing Art. 9 Basis", IF(OR(I6891="Invalid - Not Freely Given", I6891="Invalid - Not Specific", I6891="Invalid - Not Informed", I6891="Invalid - Ambiguous"), "Gap - Invalid Consent", "Compliant")))))</f>
        <v/>
      </c>
      <c r="O6891" s="7" t="n"/>
    </row>
    <row r="6892">
      <c r="A6892" s="7" t="n"/>
      <c r="B6892" s="7" t="n"/>
      <c r="C6892" s="7" t="n"/>
      <c r="D6892" s="7" t="n"/>
      <c r="E6892" s="7" t="n"/>
      <c r="F6892" s="7" t="n"/>
      <c r="G6892" s="7" t="n"/>
      <c r="H6892" s="7" t="n"/>
      <c r="I6892" s="7" t="n"/>
      <c r="J6892" s="7" t="n"/>
      <c r="K6892">
        <f>IF(D6892="Legitimate Interest (GDPR Art. 6(1)(f))", "Yes / Required (Sheet 3)", "")</f>
        <v/>
      </c>
      <c r="L6892" s="7" t="n"/>
      <c r="M6892" s="7" t="n"/>
      <c r="N6892">
        <f>IF(D6892="", "Gap - No Legal Basis", IF(AND(D6892="Consent (GDPR Art. 6(1)(a))", I6892="Not Captured"), "Gap - Invalid Consent", IF(AND(D6892="Legitimate Interest (GDPR Art. 6(1)(f))", L6892=""), "Gap - Missing LIA", IF(AND(G6892="Yes", H6892=""), "Gap - Missing Art. 9 Basis", IF(OR(I6892="Invalid - Not Freely Given", I6892="Invalid - Not Specific", I6892="Invalid - Not Informed", I6892="Invalid - Ambiguous"), "Gap - Invalid Consent", "Compliant")))))</f>
        <v/>
      </c>
      <c r="O6892" s="7" t="n"/>
    </row>
    <row r="6893">
      <c r="A6893" s="7" t="n"/>
      <c r="B6893" s="7" t="n"/>
      <c r="C6893" s="7" t="n"/>
      <c r="D6893" s="7" t="n"/>
      <c r="E6893" s="7" t="n"/>
      <c r="F6893" s="7" t="n"/>
      <c r="G6893" s="7" t="n"/>
      <c r="H6893" s="7" t="n"/>
      <c r="I6893" s="7" t="n"/>
      <c r="J6893" s="7" t="n"/>
      <c r="K6893">
        <f>IF(D6893="Legitimate Interest (GDPR Art. 6(1)(f))", "Yes / Required (Sheet 3)", "")</f>
        <v/>
      </c>
      <c r="L6893" s="7" t="n"/>
      <c r="M6893" s="7" t="n"/>
      <c r="N6893">
        <f>IF(D6893="", "Gap - No Legal Basis", IF(AND(D6893="Consent (GDPR Art. 6(1)(a))", I6893="Not Captured"), "Gap - Invalid Consent", IF(AND(D6893="Legitimate Interest (GDPR Art. 6(1)(f))", L6893=""), "Gap - Missing LIA", IF(AND(G6893="Yes", H6893=""), "Gap - Missing Art. 9 Basis", IF(OR(I6893="Invalid - Not Freely Given", I6893="Invalid - Not Specific", I6893="Invalid - Not Informed", I6893="Invalid - Ambiguous"), "Gap - Invalid Consent", "Compliant")))))</f>
        <v/>
      </c>
      <c r="O6893" s="7" t="n"/>
    </row>
    <row r="6894">
      <c r="A6894" s="7" t="n"/>
      <c r="B6894" s="7" t="n"/>
      <c r="C6894" s="7" t="n"/>
      <c r="D6894" s="7" t="n"/>
      <c r="E6894" s="7" t="n"/>
      <c r="F6894" s="7" t="n"/>
      <c r="G6894" s="7" t="n"/>
      <c r="H6894" s="7" t="n"/>
      <c r="I6894" s="7" t="n"/>
      <c r="J6894" s="7" t="n"/>
      <c r="K6894">
        <f>IF(D6894="Legitimate Interest (GDPR Art. 6(1)(f))", "Yes / Required (Sheet 3)", "")</f>
        <v/>
      </c>
      <c r="L6894" s="7" t="n"/>
      <c r="M6894" s="7" t="n"/>
      <c r="N6894">
        <f>IF(D6894="", "Gap - No Legal Basis", IF(AND(D6894="Consent (GDPR Art. 6(1)(a))", I6894="Not Captured"), "Gap - Invalid Consent", IF(AND(D6894="Legitimate Interest (GDPR Art. 6(1)(f))", L6894=""), "Gap - Missing LIA", IF(AND(G6894="Yes", H6894=""), "Gap - Missing Art. 9 Basis", IF(OR(I6894="Invalid - Not Freely Given", I6894="Invalid - Not Specific", I6894="Invalid - Not Informed", I6894="Invalid - Ambiguous"), "Gap - Invalid Consent", "Compliant")))))</f>
        <v/>
      </c>
      <c r="O6894" s="7" t="n"/>
    </row>
    <row r="6895">
      <c r="A6895" s="7" t="n"/>
      <c r="B6895" s="7" t="n"/>
      <c r="C6895" s="7" t="n"/>
      <c r="D6895" s="7" t="n"/>
      <c r="E6895" s="7" t="n"/>
      <c r="F6895" s="7" t="n"/>
      <c r="G6895" s="7" t="n"/>
      <c r="H6895" s="7" t="n"/>
      <c r="I6895" s="7" t="n"/>
      <c r="J6895" s="7" t="n"/>
      <c r="K6895">
        <f>IF(D6895="Legitimate Interest (GDPR Art. 6(1)(f))", "Yes / Required (Sheet 3)", "")</f>
        <v/>
      </c>
      <c r="L6895" s="7" t="n"/>
      <c r="M6895" s="7" t="n"/>
      <c r="N6895">
        <f>IF(D6895="", "Gap - No Legal Basis", IF(AND(D6895="Consent (GDPR Art. 6(1)(a))", I6895="Not Captured"), "Gap - Invalid Consent", IF(AND(D6895="Legitimate Interest (GDPR Art. 6(1)(f))", L6895=""), "Gap - Missing LIA", IF(AND(G6895="Yes", H6895=""), "Gap - Missing Art. 9 Basis", IF(OR(I6895="Invalid - Not Freely Given", I6895="Invalid - Not Specific", I6895="Invalid - Not Informed", I6895="Invalid - Ambiguous"), "Gap - Invalid Consent", "Compliant")))))</f>
        <v/>
      </c>
      <c r="O6895" s="7" t="n"/>
    </row>
    <row r="6896">
      <c r="A6896" s="7" t="n"/>
      <c r="B6896" s="7" t="n"/>
      <c r="C6896" s="7" t="n"/>
      <c r="D6896" s="7" t="n"/>
      <c r="E6896" s="7" t="n"/>
      <c r="F6896" s="7" t="n"/>
      <c r="G6896" s="7" t="n"/>
      <c r="H6896" s="7" t="n"/>
      <c r="I6896" s="7" t="n"/>
      <c r="J6896" s="7" t="n"/>
      <c r="K6896">
        <f>IF(D6896="Legitimate Interest (GDPR Art. 6(1)(f))", "Yes / Required (Sheet 3)", "")</f>
        <v/>
      </c>
      <c r="L6896" s="7" t="n"/>
      <c r="M6896" s="7" t="n"/>
      <c r="N6896">
        <f>IF(D6896="", "Gap - No Legal Basis", IF(AND(D6896="Consent (GDPR Art. 6(1)(a))", I6896="Not Captured"), "Gap - Invalid Consent", IF(AND(D6896="Legitimate Interest (GDPR Art. 6(1)(f))", L6896=""), "Gap - Missing LIA", IF(AND(G6896="Yes", H6896=""), "Gap - Missing Art. 9 Basis", IF(OR(I6896="Invalid - Not Freely Given", I6896="Invalid - Not Specific", I6896="Invalid - Not Informed", I6896="Invalid - Ambiguous"), "Gap - Invalid Consent", "Compliant")))))</f>
        <v/>
      </c>
      <c r="O6896" s="7" t="n"/>
    </row>
    <row r="6897">
      <c r="A6897" s="7" t="n"/>
      <c r="B6897" s="7" t="n"/>
      <c r="C6897" s="7" t="n"/>
      <c r="D6897" s="7" t="n"/>
      <c r="E6897" s="7" t="n"/>
      <c r="F6897" s="7" t="n"/>
      <c r="G6897" s="7" t="n"/>
      <c r="H6897" s="7" t="n"/>
      <c r="I6897" s="7" t="n"/>
      <c r="J6897" s="7" t="n"/>
      <c r="K6897">
        <f>IF(D6897="Legitimate Interest (GDPR Art. 6(1)(f))", "Yes / Required (Sheet 3)", "")</f>
        <v/>
      </c>
      <c r="L6897" s="7" t="n"/>
      <c r="M6897" s="7" t="n"/>
      <c r="N6897">
        <f>IF(D6897="", "Gap - No Legal Basis", IF(AND(D6897="Consent (GDPR Art. 6(1)(a))", I6897="Not Captured"), "Gap - Invalid Consent", IF(AND(D6897="Legitimate Interest (GDPR Art. 6(1)(f))", L6897=""), "Gap - Missing LIA", IF(AND(G6897="Yes", H6897=""), "Gap - Missing Art. 9 Basis", IF(OR(I6897="Invalid - Not Freely Given", I6897="Invalid - Not Specific", I6897="Invalid - Not Informed", I6897="Invalid - Ambiguous"), "Gap - Invalid Consent", "Compliant")))))</f>
        <v/>
      </c>
      <c r="O6897" s="7" t="n"/>
    </row>
    <row r="6898">
      <c r="A6898" s="7" t="n"/>
      <c r="B6898" s="7" t="n"/>
      <c r="C6898" s="7" t="n"/>
      <c r="D6898" s="7" t="n"/>
      <c r="E6898" s="7" t="n"/>
      <c r="F6898" s="7" t="n"/>
      <c r="G6898" s="7" t="n"/>
      <c r="H6898" s="7" t="n"/>
      <c r="I6898" s="7" t="n"/>
      <c r="J6898" s="7" t="n"/>
      <c r="K6898">
        <f>IF(D6898="Legitimate Interest (GDPR Art. 6(1)(f))", "Yes / Required (Sheet 3)", "")</f>
        <v/>
      </c>
      <c r="L6898" s="7" t="n"/>
      <c r="M6898" s="7" t="n"/>
      <c r="N6898">
        <f>IF(D6898="", "Gap - No Legal Basis", IF(AND(D6898="Consent (GDPR Art. 6(1)(a))", I6898="Not Captured"), "Gap - Invalid Consent", IF(AND(D6898="Legitimate Interest (GDPR Art. 6(1)(f))", L6898=""), "Gap - Missing LIA", IF(AND(G6898="Yes", H6898=""), "Gap - Missing Art. 9 Basis", IF(OR(I6898="Invalid - Not Freely Given", I6898="Invalid - Not Specific", I6898="Invalid - Not Informed", I6898="Invalid - Ambiguous"), "Gap - Invalid Consent", "Compliant")))))</f>
        <v/>
      </c>
      <c r="O6898" s="7" t="n"/>
    </row>
    <row r="6899">
      <c r="A6899" s="7" t="n"/>
      <c r="B6899" s="7" t="n"/>
      <c r="C6899" s="7" t="n"/>
      <c r="D6899" s="7" t="n"/>
      <c r="E6899" s="7" t="n"/>
      <c r="F6899" s="7" t="n"/>
      <c r="G6899" s="7" t="n"/>
      <c r="H6899" s="7" t="n"/>
      <c r="I6899" s="7" t="n"/>
      <c r="J6899" s="7" t="n"/>
      <c r="K6899">
        <f>IF(D6899="Legitimate Interest (GDPR Art. 6(1)(f))", "Yes / Required (Sheet 3)", "")</f>
        <v/>
      </c>
      <c r="L6899" s="7" t="n"/>
      <c r="M6899" s="7" t="n"/>
      <c r="N6899">
        <f>IF(D6899="", "Gap - No Legal Basis", IF(AND(D6899="Consent (GDPR Art. 6(1)(a))", I6899="Not Captured"), "Gap - Invalid Consent", IF(AND(D6899="Legitimate Interest (GDPR Art. 6(1)(f))", L6899=""), "Gap - Missing LIA", IF(AND(G6899="Yes", H6899=""), "Gap - Missing Art. 9 Basis", IF(OR(I6899="Invalid - Not Freely Given", I6899="Invalid - Not Specific", I6899="Invalid - Not Informed", I6899="Invalid - Ambiguous"), "Gap - Invalid Consent", "Compliant")))))</f>
        <v/>
      </c>
      <c r="O6899" s="7" t="n"/>
    </row>
    <row r="6900">
      <c r="A6900" s="7" t="n"/>
      <c r="B6900" s="7" t="n"/>
      <c r="C6900" s="7" t="n"/>
      <c r="D6900" s="7" t="n"/>
      <c r="E6900" s="7" t="n"/>
      <c r="F6900" s="7" t="n"/>
      <c r="G6900" s="7" t="n"/>
      <c r="H6900" s="7" t="n"/>
      <c r="I6900" s="7" t="n"/>
      <c r="J6900" s="7" t="n"/>
      <c r="K6900">
        <f>IF(D6900="Legitimate Interest (GDPR Art. 6(1)(f))", "Yes / Required (Sheet 3)", "")</f>
        <v/>
      </c>
      <c r="L6900" s="7" t="n"/>
      <c r="M6900" s="7" t="n"/>
      <c r="N6900">
        <f>IF(D6900="", "Gap - No Legal Basis", IF(AND(D6900="Consent (GDPR Art. 6(1)(a))", I6900="Not Captured"), "Gap - Invalid Consent", IF(AND(D6900="Legitimate Interest (GDPR Art. 6(1)(f))", L6900=""), "Gap - Missing LIA", IF(AND(G6900="Yes", H6900=""), "Gap - Missing Art. 9 Basis", IF(OR(I6900="Invalid - Not Freely Given", I6900="Invalid - Not Specific", I6900="Invalid - Not Informed", I6900="Invalid - Ambiguous"), "Gap - Invalid Consent", "Compliant")))))</f>
        <v/>
      </c>
      <c r="O6900" s="7" t="n"/>
    </row>
    <row r="6901">
      <c r="A6901" s="7" t="n"/>
      <c r="B6901" s="7" t="n"/>
      <c r="C6901" s="7" t="n"/>
      <c r="D6901" s="7" t="n"/>
      <c r="E6901" s="7" t="n"/>
      <c r="F6901" s="7" t="n"/>
      <c r="G6901" s="7" t="n"/>
      <c r="H6901" s="7" t="n"/>
      <c r="I6901" s="7" t="n"/>
      <c r="J6901" s="7" t="n"/>
      <c r="K6901">
        <f>IF(D6901="Legitimate Interest (GDPR Art. 6(1)(f))", "Yes / Required (Sheet 3)", "")</f>
        <v/>
      </c>
      <c r="L6901" s="7" t="n"/>
      <c r="M6901" s="7" t="n"/>
      <c r="N6901">
        <f>IF(D6901="", "Gap - No Legal Basis", IF(AND(D6901="Consent (GDPR Art. 6(1)(a))", I6901="Not Captured"), "Gap - Invalid Consent", IF(AND(D6901="Legitimate Interest (GDPR Art. 6(1)(f))", L6901=""), "Gap - Missing LIA", IF(AND(G6901="Yes", H6901=""), "Gap - Missing Art. 9 Basis", IF(OR(I6901="Invalid - Not Freely Given", I6901="Invalid - Not Specific", I6901="Invalid - Not Informed", I6901="Invalid - Ambiguous"), "Gap - Invalid Consent", "Compliant")))))</f>
        <v/>
      </c>
      <c r="O6901" s="7" t="n"/>
    </row>
    <row r="6902">
      <c r="A6902" s="7" t="n"/>
      <c r="B6902" s="7" t="n"/>
      <c r="C6902" s="7" t="n"/>
      <c r="D6902" s="7" t="n"/>
      <c r="E6902" s="7" t="n"/>
      <c r="F6902" s="7" t="n"/>
      <c r="G6902" s="7" t="n"/>
      <c r="H6902" s="7" t="n"/>
      <c r="I6902" s="7" t="n"/>
      <c r="J6902" s="7" t="n"/>
      <c r="K6902">
        <f>IF(D6902="Legitimate Interest (GDPR Art. 6(1)(f))", "Yes / Required (Sheet 3)", "")</f>
        <v/>
      </c>
      <c r="L6902" s="7" t="n"/>
      <c r="M6902" s="7" t="n"/>
      <c r="N6902">
        <f>IF(D6902="", "Gap - No Legal Basis", IF(AND(D6902="Consent (GDPR Art. 6(1)(a))", I6902="Not Captured"), "Gap - Invalid Consent", IF(AND(D6902="Legitimate Interest (GDPR Art. 6(1)(f))", L6902=""), "Gap - Missing LIA", IF(AND(G6902="Yes", H6902=""), "Gap - Missing Art. 9 Basis", IF(OR(I6902="Invalid - Not Freely Given", I6902="Invalid - Not Specific", I6902="Invalid - Not Informed", I6902="Invalid - Ambiguous"), "Gap - Invalid Consent", "Compliant")))))</f>
        <v/>
      </c>
      <c r="O6902" s="7" t="n"/>
    </row>
    <row r="6903">
      <c r="A6903" s="7" t="n"/>
      <c r="B6903" s="7" t="n"/>
      <c r="C6903" s="7" t="n"/>
      <c r="D6903" s="7" t="n"/>
      <c r="E6903" s="7" t="n"/>
      <c r="F6903" s="7" t="n"/>
      <c r="G6903" s="7" t="n"/>
      <c r="H6903" s="7" t="n"/>
      <c r="I6903" s="7" t="n"/>
      <c r="J6903" s="7" t="n"/>
      <c r="K6903">
        <f>IF(D6903="Legitimate Interest (GDPR Art. 6(1)(f))", "Yes / Required (Sheet 3)", "")</f>
        <v/>
      </c>
      <c r="L6903" s="7" t="n"/>
      <c r="M6903" s="7" t="n"/>
      <c r="N6903">
        <f>IF(D6903="", "Gap - No Legal Basis", IF(AND(D6903="Consent (GDPR Art. 6(1)(a))", I6903="Not Captured"), "Gap - Invalid Consent", IF(AND(D6903="Legitimate Interest (GDPR Art. 6(1)(f))", L6903=""), "Gap - Missing LIA", IF(AND(G6903="Yes", H6903=""), "Gap - Missing Art. 9 Basis", IF(OR(I6903="Invalid - Not Freely Given", I6903="Invalid - Not Specific", I6903="Invalid - Not Informed", I6903="Invalid - Ambiguous"), "Gap - Invalid Consent", "Compliant")))))</f>
        <v/>
      </c>
      <c r="O6903" s="7" t="n"/>
    </row>
    <row r="6904">
      <c r="A6904" s="7" t="n"/>
      <c r="B6904" s="7" t="n"/>
      <c r="C6904" s="7" t="n"/>
      <c r="D6904" s="7" t="n"/>
      <c r="E6904" s="7" t="n"/>
      <c r="F6904" s="7" t="n"/>
      <c r="G6904" s="7" t="n"/>
      <c r="H6904" s="7" t="n"/>
      <c r="I6904" s="7" t="n"/>
      <c r="J6904" s="7" t="n"/>
      <c r="K6904">
        <f>IF(D6904="Legitimate Interest (GDPR Art. 6(1)(f))", "Yes / Required (Sheet 3)", "")</f>
        <v/>
      </c>
      <c r="L6904" s="7" t="n"/>
      <c r="M6904" s="7" t="n"/>
      <c r="N6904">
        <f>IF(D6904="", "Gap - No Legal Basis", IF(AND(D6904="Consent (GDPR Art. 6(1)(a))", I6904="Not Captured"), "Gap - Invalid Consent", IF(AND(D6904="Legitimate Interest (GDPR Art. 6(1)(f))", L6904=""), "Gap - Missing LIA", IF(AND(G6904="Yes", H6904=""), "Gap - Missing Art. 9 Basis", IF(OR(I6904="Invalid - Not Freely Given", I6904="Invalid - Not Specific", I6904="Invalid - Not Informed", I6904="Invalid - Ambiguous"), "Gap - Invalid Consent", "Compliant")))))</f>
        <v/>
      </c>
      <c r="O6904" s="7" t="n"/>
    </row>
    <row r="6905">
      <c r="A6905" s="7" t="n"/>
      <c r="B6905" s="7" t="n"/>
      <c r="C6905" s="7" t="n"/>
      <c r="D6905" s="7" t="n"/>
      <c r="E6905" s="7" t="n"/>
      <c r="F6905" s="7" t="n"/>
      <c r="G6905" s="7" t="n"/>
      <c r="H6905" s="7" t="n"/>
      <c r="I6905" s="7" t="n"/>
      <c r="J6905" s="7" t="n"/>
      <c r="K6905">
        <f>IF(D6905="Legitimate Interest (GDPR Art. 6(1)(f))", "Yes / Required (Sheet 3)", "")</f>
        <v/>
      </c>
      <c r="L6905" s="7" t="n"/>
      <c r="M6905" s="7" t="n"/>
      <c r="N6905">
        <f>IF(D6905="", "Gap - No Legal Basis", IF(AND(D6905="Consent (GDPR Art. 6(1)(a))", I6905="Not Captured"), "Gap - Invalid Consent", IF(AND(D6905="Legitimate Interest (GDPR Art. 6(1)(f))", L6905=""), "Gap - Missing LIA", IF(AND(G6905="Yes", H6905=""), "Gap - Missing Art. 9 Basis", IF(OR(I6905="Invalid - Not Freely Given", I6905="Invalid - Not Specific", I6905="Invalid - Not Informed", I6905="Invalid - Ambiguous"), "Gap - Invalid Consent", "Compliant")))))</f>
        <v/>
      </c>
      <c r="O6905" s="7" t="n"/>
    </row>
    <row r="6906">
      <c r="A6906" s="7" t="n"/>
      <c r="B6906" s="7" t="n"/>
      <c r="C6906" s="7" t="n"/>
      <c r="D6906" s="7" t="n"/>
      <c r="E6906" s="7" t="n"/>
      <c r="F6906" s="7" t="n"/>
      <c r="G6906" s="7" t="n"/>
      <c r="H6906" s="7" t="n"/>
      <c r="I6906" s="7" t="n"/>
      <c r="J6906" s="7" t="n"/>
      <c r="K6906">
        <f>IF(D6906="Legitimate Interest (GDPR Art. 6(1)(f))", "Yes / Required (Sheet 3)", "")</f>
        <v/>
      </c>
      <c r="L6906" s="7" t="n"/>
      <c r="M6906" s="7" t="n"/>
      <c r="N6906">
        <f>IF(D6906="", "Gap - No Legal Basis", IF(AND(D6906="Consent (GDPR Art. 6(1)(a))", I6906="Not Captured"), "Gap - Invalid Consent", IF(AND(D6906="Legitimate Interest (GDPR Art. 6(1)(f))", L6906=""), "Gap - Missing LIA", IF(AND(G6906="Yes", H6906=""), "Gap - Missing Art. 9 Basis", IF(OR(I6906="Invalid - Not Freely Given", I6906="Invalid - Not Specific", I6906="Invalid - Not Informed", I6906="Invalid - Ambiguous"), "Gap - Invalid Consent", "Compliant")))))</f>
        <v/>
      </c>
      <c r="O6906" s="7" t="n"/>
    </row>
    <row r="6907">
      <c r="A6907" s="7" t="n"/>
      <c r="B6907" s="7" t="n"/>
      <c r="C6907" s="7" t="n"/>
      <c r="D6907" s="7" t="n"/>
      <c r="E6907" s="7" t="n"/>
      <c r="F6907" s="7" t="n"/>
      <c r="G6907" s="7" t="n"/>
      <c r="H6907" s="7" t="n"/>
      <c r="I6907" s="7" t="n"/>
      <c r="J6907" s="7" t="n"/>
      <c r="K6907">
        <f>IF(D6907="Legitimate Interest (GDPR Art. 6(1)(f))", "Yes / Required (Sheet 3)", "")</f>
        <v/>
      </c>
      <c r="L6907" s="7" t="n"/>
      <c r="M6907" s="7" t="n"/>
      <c r="N6907">
        <f>IF(D6907="", "Gap - No Legal Basis", IF(AND(D6907="Consent (GDPR Art. 6(1)(a))", I6907="Not Captured"), "Gap - Invalid Consent", IF(AND(D6907="Legitimate Interest (GDPR Art. 6(1)(f))", L6907=""), "Gap - Missing LIA", IF(AND(G6907="Yes", H6907=""), "Gap - Missing Art. 9 Basis", IF(OR(I6907="Invalid - Not Freely Given", I6907="Invalid - Not Specific", I6907="Invalid - Not Informed", I6907="Invalid - Ambiguous"), "Gap - Invalid Consent", "Compliant")))))</f>
        <v/>
      </c>
      <c r="O6907" s="7" t="n"/>
    </row>
    <row r="6908">
      <c r="A6908" s="7" t="n"/>
      <c r="B6908" s="7" t="n"/>
      <c r="C6908" s="7" t="n"/>
      <c r="D6908" s="7" t="n"/>
      <c r="E6908" s="7" t="n"/>
      <c r="F6908" s="7" t="n"/>
      <c r="G6908" s="7" t="n"/>
      <c r="H6908" s="7" t="n"/>
      <c r="I6908" s="7" t="n"/>
      <c r="J6908" s="7" t="n"/>
      <c r="K6908">
        <f>IF(D6908="Legitimate Interest (GDPR Art. 6(1)(f))", "Yes / Required (Sheet 3)", "")</f>
        <v/>
      </c>
      <c r="L6908" s="7" t="n"/>
      <c r="M6908" s="7" t="n"/>
      <c r="N6908">
        <f>IF(D6908="", "Gap - No Legal Basis", IF(AND(D6908="Consent (GDPR Art. 6(1)(a))", I6908="Not Captured"), "Gap - Invalid Consent", IF(AND(D6908="Legitimate Interest (GDPR Art. 6(1)(f))", L6908=""), "Gap - Missing LIA", IF(AND(G6908="Yes", H6908=""), "Gap - Missing Art. 9 Basis", IF(OR(I6908="Invalid - Not Freely Given", I6908="Invalid - Not Specific", I6908="Invalid - Not Informed", I6908="Invalid - Ambiguous"), "Gap - Invalid Consent", "Compliant")))))</f>
        <v/>
      </c>
      <c r="O6908" s="7" t="n"/>
    </row>
    <row r="6909">
      <c r="A6909" s="7" t="n"/>
      <c r="B6909" s="7" t="n"/>
      <c r="C6909" s="7" t="n"/>
      <c r="D6909" s="7" t="n"/>
      <c r="E6909" s="7" t="n"/>
      <c r="F6909" s="7" t="n"/>
      <c r="G6909" s="7" t="n"/>
      <c r="H6909" s="7" t="n"/>
      <c r="I6909" s="7" t="n"/>
      <c r="J6909" s="7" t="n"/>
      <c r="K6909">
        <f>IF(D6909="Legitimate Interest (GDPR Art. 6(1)(f))", "Yes / Required (Sheet 3)", "")</f>
        <v/>
      </c>
      <c r="L6909" s="7" t="n"/>
      <c r="M6909" s="7" t="n"/>
      <c r="N6909">
        <f>IF(D6909="", "Gap - No Legal Basis", IF(AND(D6909="Consent (GDPR Art. 6(1)(a))", I6909="Not Captured"), "Gap - Invalid Consent", IF(AND(D6909="Legitimate Interest (GDPR Art. 6(1)(f))", L6909=""), "Gap - Missing LIA", IF(AND(G6909="Yes", H6909=""), "Gap - Missing Art. 9 Basis", IF(OR(I6909="Invalid - Not Freely Given", I6909="Invalid - Not Specific", I6909="Invalid - Not Informed", I6909="Invalid - Ambiguous"), "Gap - Invalid Consent", "Compliant")))))</f>
        <v/>
      </c>
      <c r="O6909" s="7" t="n"/>
    </row>
    <row r="6910">
      <c r="A6910" s="7" t="n"/>
      <c r="B6910" s="7" t="n"/>
      <c r="C6910" s="7" t="n"/>
      <c r="D6910" s="7" t="n"/>
      <c r="E6910" s="7" t="n"/>
      <c r="F6910" s="7" t="n"/>
      <c r="G6910" s="7" t="n"/>
      <c r="H6910" s="7" t="n"/>
      <c r="I6910" s="7" t="n"/>
      <c r="J6910" s="7" t="n"/>
      <c r="K6910">
        <f>IF(D6910="Legitimate Interest (GDPR Art. 6(1)(f))", "Yes / Required (Sheet 3)", "")</f>
        <v/>
      </c>
      <c r="L6910" s="7" t="n"/>
      <c r="M6910" s="7" t="n"/>
      <c r="N6910">
        <f>IF(D6910="", "Gap - No Legal Basis", IF(AND(D6910="Consent (GDPR Art. 6(1)(a))", I6910="Not Captured"), "Gap - Invalid Consent", IF(AND(D6910="Legitimate Interest (GDPR Art. 6(1)(f))", L6910=""), "Gap - Missing LIA", IF(AND(G6910="Yes", H6910=""), "Gap - Missing Art. 9 Basis", IF(OR(I6910="Invalid - Not Freely Given", I6910="Invalid - Not Specific", I6910="Invalid - Not Informed", I6910="Invalid - Ambiguous"), "Gap - Invalid Consent", "Compliant")))))</f>
        <v/>
      </c>
      <c r="O6910" s="7" t="n"/>
    </row>
    <row r="6911">
      <c r="A6911" s="7" t="n"/>
      <c r="B6911" s="7" t="n"/>
      <c r="C6911" s="7" t="n"/>
      <c r="D6911" s="7" t="n"/>
      <c r="E6911" s="7" t="n"/>
      <c r="F6911" s="7" t="n"/>
      <c r="G6911" s="7" t="n"/>
      <c r="H6911" s="7" t="n"/>
      <c r="I6911" s="7" t="n"/>
      <c r="J6911" s="7" t="n"/>
      <c r="K6911">
        <f>IF(D6911="Legitimate Interest (GDPR Art. 6(1)(f))", "Yes / Required (Sheet 3)", "")</f>
        <v/>
      </c>
      <c r="L6911" s="7" t="n"/>
      <c r="M6911" s="7" t="n"/>
      <c r="N6911">
        <f>IF(D6911="", "Gap - No Legal Basis", IF(AND(D6911="Consent (GDPR Art. 6(1)(a))", I6911="Not Captured"), "Gap - Invalid Consent", IF(AND(D6911="Legitimate Interest (GDPR Art. 6(1)(f))", L6911=""), "Gap - Missing LIA", IF(AND(G6911="Yes", H6911=""), "Gap - Missing Art. 9 Basis", IF(OR(I6911="Invalid - Not Freely Given", I6911="Invalid - Not Specific", I6911="Invalid - Not Informed", I6911="Invalid - Ambiguous"), "Gap - Invalid Consent", "Compliant")))))</f>
        <v/>
      </c>
      <c r="O6911" s="7" t="n"/>
    </row>
    <row r="6912">
      <c r="A6912" s="7" t="n"/>
      <c r="B6912" s="7" t="n"/>
      <c r="C6912" s="7" t="n"/>
      <c r="D6912" s="7" t="n"/>
      <c r="E6912" s="7" t="n"/>
      <c r="F6912" s="7" t="n"/>
      <c r="G6912" s="7" t="n"/>
      <c r="H6912" s="7" t="n"/>
      <c r="I6912" s="7" t="n"/>
      <c r="J6912" s="7" t="n"/>
      <c r="K6912">
        <f>IF(D6912="Legitimate Interest (GDPR Art. 6(1)(f))", "Yes / Required (Sheet 3)", "")</f>
        <v/>
      </c>
      <c r="L6912" s="7" t="n"/>
      <c r="M6912" s="7" t="n"/>
      <c r="N6912">
        <f>IF(D6912="", "Gap - No Legal Basis", IF(AND(D6912="Consent (GDPR Art. 6(1)(a))", I6912="Not Captured"), "Gap - Invalid Consent", IF(AND(D6912="Legitimate Interest (GDPR Art. 6(1)(f))", L6912=""), "Gap - Missing LIA", IF(AND(G6912="Yes", H6912=""), "Gap - Missing Art. 9 Basis", IF(OR(I6912="Invalid - Not Freely Given", I6912="Invalid - Not Specific", I6912="Invalid - Not Informed", I6912="Invalid - Ambiguous"), "Gap - Invalid Consent", "Compliant")))))</f>
        <v/>
      </c>
      <c r="O6912" s="7" t="n"/>
    </row>
    <row r="6913">
      <c r="A6913" s="7" t="n"/>
      <c r="B6913" s="7" t="n"/>
      <c r="C6913" s="7" t="n"/>
      <c r="D6913" s="7" t="n"/>
      <c r="E6913" s="7" t="n"/>
      <c r="F6913" s="7" t="n"/>
      <c r="G6913" s="7" t="n"/>
      <c r="H6913" s="7" t="n"/>
      <c r="I6913" s="7" t="n"/>
      <c r="J6913" s="7" t="n"/>
      <c r="K6913">
        <f>IF(D6913="Legitimate Interest (GDPR Art. 6(1)(f))", "Yes / Required (Sheet 3)", "")</f>
        <v/>
      </c>
      <c r="L6913" s="7" t="n"/>
      <c r="M6913" s="7" t="n"/>
      <c r="N6913">
        <f>IF(D6913="", "Gap - No Legal Basis", IF(AND(D6913="Consent (GDPR Art. 6(1)(a))", I6913="Not Captured"), "Gap - Invalid Consent", IF(AND(D6913="Legitimate Interest (GDPR Art. 6(1)(f))", L6913=""), "Gap - Missing LIA", IF(AND(G6913="Yes", H6913=""), "Gap - Missing Art. 9 Basis", IF(OR(I6913="Invalid - Not Freely Given", I6913="Invalid - Not Specific", I6913="Invalid - Not Informed", I6913="Invalid - Ambiguous"), "Gap - Invalid Consent", "Compliant")))))</f>
        <v/>
      </c>
      <c r="O6913" s="7" t="n"/>
    </row>
    <row r="6914">
      <c r="A6914" s="7" t="n"/>
      <c r="B6914" s="7" t="n"/>
      <c r="C6914" s="7" t="n"/>
      <c r="D6914" s="7" t="n"/>
      <c r="E6914" s="7" t="n"/>
      <c r="F6914" s="7" t="n"/>
      <c r="G6914" s="7" t="n"/>
      <c r="H6914" s="7" t="n"/>
      <c r="I6914" s="7" t="n"/>
      <c r="J6914" s="7" t="n"/>
      <c r="K6914">
        <f>IF(D6914="Legitimate Interest (GDPR Art. 6(1)(f))", "Yes / Required (Sheet 3)", "")</f>
        <v/>
      </c>
      <c r="L6914" s="7" t="n"/>
      <c r="M6914" s="7" t="n"/>
      <c r="N6914">
        <f>IF(D6914="", "Gap - No Legal Basis", IF(AND(D6914="Consent (GDPR Art. 6(1)(a))", I6914="Not Captured"), "Gap - Invalid Consent", IF(AND(D6914="Legitimate Interest (GDPR Art. 6(1)(f))", L6914=""), "Gap - Missing LIA", IF(AND(G6914="Yes", H6914=""), "Gap - Missing Art. 9 Basis", IF(OR(I6914="Invalid - Not Freely Given", I6914="Invalid - Not Specific", I6914="Invalid - Not Informed", I6914="Invalid - Ambiguous"), "Gap - Invalid Consent", "Compliant")))))</f>
        <v/>
      </c>
      <c r="O6914" s="7" t="n"/>
    </row>
    <row r="6915">
      <c r="A6915" s="7" t="n"/>
      <c r="B6915" s="7" t="n"/>
      <c r="C6915" s="7" t="n"/>
      <c r="D6915" s="7" t="n"/>
      <c r="E6915" s="7" t="n"/>
      <c r="F6915" s="7" t="n"/>
      <c r="G6915" s="7" t="n"/>
      <c r="H6915" s="7" t="n"/>
      <c r="I6915" s="7" t="n"/>
      <c r="J6915" s="7" t="n"/>
      <c r="K6915">
        <f>IF(D6915="Legitimate Interest (GDPR Art. 6(1)(f))", "Yes / Required (Sheet 3)", "")</f>
        <v/>
      </c>
      <c r="L6915" s="7" t="n"/>
      <c r="M6915" s="7" t="n"/>
      <c r="N6915">
        <f>IF(D6915="", "Gap - No Legal Basis", IF(AND(D6915="Consent (GDPR Art. 6(1)(a))", I6915="Not Captured"), "Gap - Invalid Consent", IF(AND(D6915="Legitimate Interest (GDPR Art. 6(1)(f))", L6915=""), "Gap - Missing LIA", IF(AND(G6915="Yes", H6915=""), "Gap - Missing Art. 9 Basis", IF(OR(I6915="Invalid - Not Freely Given", I6915="Invalid - Not Specific", I6915="Invalid - Not Informed", I6915="Invalid - Ambiguous"), "Gap - Invalid Consent", "Compliant")))))</f>
        <v/>
      </c>
      <c r="O6915" s="7" t="n"/>
    </row>
    <row r="6916">
      <c r="A6916" s="7" t="n"/>
      <c r="B6916" s="7" t="n"/>
      <c r="C6916" s="7" t="n"/>
      <c r="D6916" s="7" t="n"/>
      <c r="E6916" s="7" t="n"/>
      <c r="F6916" s="7" t="n"/>
      <c r="G6916" s="7" t="n"/>
      <c r="H6916" s="7" t="n"/>
      <c r="I6916" s="7" t="n"/>
      <c r="J6916" s="7" t="n"/>
      <c r="K6916">
        <f>IF(D6916="Legitimate Interest (GDPR Art. 6(1)(f))", "Yes / Required (Sheet 3)", "")</f>
        <v/>
      </c>
      <c r="L6916" s="7" t="n"/>
      <c r="M6916" s="7" t="n"/>
      <c r="N6916">
        <f>IF(D6916="", "Gap - No Legal Basis", IF(AND(D6916="Consent (GDPR Art. 6(1)(a))", I6916="Not Captured"), "Gap - Invalid Consent", IF(AND(D6916="Legitimate Interest (GDPR Art. 6(1)(f))", L6916=""), "Gap - Missing LIA", IF(AND(G6916="Yes", H6916=""), "Gap - Missing Art. 9 Basis", IF(OR(I6916="Invalid - Not Freely Given", I6916="Invalid - Not Specific", I6916="Invalid - Not Informed", I6916="Invalid - Ambiguous"), "Gap - Invalid Consent", "Compliant")))))</f>
        <v/>
      </c>
      <c r="O6916" s="7" t="n"/>
    </row>
    <row r="6917">
      <c r="A6917" s="7" t="n"/>
      <c r="B6917" s="7" t="n"/>
      <c r="C6917" s="7" t="n"/>
      <c r="D6917" s="7" t="n"/>
      <c r="E6917" s="7" t="n"/>
      <c r="F6917" s="7" t="n"/>
      <c r="G6917" s="7" t="n"/>
      <c r="H6917" s="7" t="n"/>
      <c r="I6917" s="7" t="n"/>
      <c r="J6917" s="7" t="n"/>
      <c r="K6917">
        <f>IF(D6917="Legitimate Interest (GDPR Art. 6(1)(f))", "Yes / Required (Sheet 3)", "")</f>
        <v/>
      </c>
      <c r="L6917" s="7" t="n"/>
      <c r="M6917" s="7" t="n"/>
      <c r="N6917">
        <f>IF(D6917="", "Gap - No Legal Basis", IF(AND(D6917="Consent (GDPR Art. 6(1)(a))", I6917="Not Captured"), "Gap - Invalid Consent", IF(AND(D6917="Legitimate Interest (GDPR Art. 6(1)(f))", L6917=""), "Gap - Missing LIA", IF(AND(G6917="Yes", H6917=""), "Gap - Missing Art. 9 Basis", IF(OR(I6917="Invalid - Not Freely Given", I6917="Invalid - Not Specific", I6917="Invalid - Not Informed", I6917="Invalid - Ambiguous"), "Gap - Invalid Consent", "Compliant")))))</f>
        <v/>
      </c>
      <c r="O6917" s="7" t="n"/>
    </row>
    <row r="6918">
      <c r="A6918" s="7" t="n"/>
      <c r="B6918" s="7" t="n"/>
      <c r="C6918" s="7" t="n"/>
      <c r="D6918" s="7" t="n"/>
      <c r="E6918" s="7" t="n"/>
      <c r="F6918" s="7" t="n"/>
      <c r="G6918" s="7" t="n"/>
      <c r="H6918" s="7" t="n"/>
      <c r="I6918" s="7" t="n"/>
      <c r="J6918" s="7" t="n"/>
      <c r="K6918">
        <f>IF(D6918="Legitimate Interest (GDPR Art. 6(1)(f))", "Yes / Required (Sheet 3)", "")</f>
        <v/>
      </c>
      <c r="L6918" s="7" t="n"/>
      <c r="M6918" s="7" t="n"/>
      <c r="N6918">
        <f>IF(D6918="", "Gap - No Legal Basis", IF(AND(D6918="Consent (GDPR Art. 6(1)(a))", I6918="Not Captured"), "Gap - Invalid Consent", IF(AND(D6918="Legitimate Interest (GDPR Art. 6(1)(f))", L6918=""), "Gap - Missing LIA", IF(AND(G6918="Yes", H6918=""), "Gap - Missing Art. 9 Basis", IF(OR(I6918="Invalid - Not Freely Given", I6918="Invalid - Not Specific", I6918="Invalid - Not Informed", I6918="Invalid - Ambiguous"), "Gap - Invalid Consent", "Compliant")))))</f>
        <v/>
      </c>
      <c r="O6918" s="7" t="n"/>
    </row>
    <row r="6919">
      <c r="A6919" s="7" t="n"/>
      <c r="B6919" s="7" t="n"/>
      <c r="C6919" s="7" t="n"/>
      <c r="D6919" s="7" t="n"/>
      <c r="E6919" s="7" t="n"/>
      <c r="F6919" s="7" t="n"/>
      <c r="G6919" s="7" t="n"/>
      <c r="H6919" s="7" t="n"/>
      <c r="I6919" s="7" t="n"/>
      <c r="J6919" s="7" t="n"/>
      <c r="K6919">
        <f>IF(D6919="Legitimate Interest (GDPR Art. 6(1)(f))", "Yes / Required (Sheet 3)", "")</f>
        <v/>
      </c>
      <c r="L6919" s="7" t="n"/>
      <c r="M6919" s="7" t="n"/>
      <c r="N6919">
        <f>IF(D6919="", "Gap - No Legal Basis", IF(AND(D6919="Consent (GDPR Art. 6(1)(a))", I6919="Not Captured"), "Gap - Invalid Consent", IF(AND(D6919="Legitimate Interest (GDPR Art. 6(1)(f))", L6919=""), "Gap - Missing LIA", IF(AND(G6919="Yes", H6919=""), "Gap - Missing Art. 9 Basis", IF(OR(I6919="Invalid - Not Freely Given", I6919="Invalid - Not Specific", I6919="Invalid - Not Informed", I6919="Invalid - Ambiguous"), "Gap - Invalid Consent", "Compliant")))))</f>
        <v/>
      </c>
      <c r="O6919" s="7" t="n"/>
    </row>
    <row r="6920">
      <c r="A6920" s="7" t="n"/>
      <c r="B6920" s="7" t="n"/>
      <c r="C6920" s="7" t="n"/>
      <c r="D6920" s="7" t="n"/>
      <c r="E6920" s="7" t="n"/>
      <c r="F6920" s="7" t="n"/>
      <c r="G6920" s="7" t="n"/>
      <c r="H6920" s="7" t="n"/>
      <c r="I6920" s="7" t="n"/>
      <c r="J6920" s="7" t="n"/>
      <c r="K6920">
        <f>IF(D6920="Legitimate Interest (GDPR Art. 6(1)(f))", "Yes / Required (Sheet 3)", "")</f>
        <v/>
      </c>
      <c r="L6920" s="7" t="n"/>
      <c r="M6920" s="7" t="n"/>
      <c r="N6920">
        <f>IF(D6920="", "Gap - No Legal Basis", IF(AND(D6920="Consent (GDPR Art. 6(1)(a))", I6920="Not Captured"), "Gap - Invalid Consent", IF(AND(D6920="Legitimate Interest (GDPR Art. 6(1)(f))", L6920=""), "Gap - Missing LIA", IF(AND(G6920="Yes", H6920=""), "Gap - Missing Art. 9 Basis", IF(OR(I6920="Invalid - Not Freely Given", I6920="Invalid - Not Specific", I6920="Invalid - Not Informed", I6920="Invalid - Ambiguous"), "Gap - Invalid Consent", "Compliant")))))</f>
        <v/>
      </c>
      <c r="O6920" s="7" t="n"/>
    </row>
    <row r="6921">
      <c r="A6921" s="7" t="n"/>
      <c r="B6921" s="7" t="n"/>
      <c r="C6921" s="7" t="n"/>
      <c r="D6921" s="7" t="n"/>
      <c r="E6921" s="7" t="n"/>
      <c r="F6921" s="7" t="n"/>
      <c r="G6921" s="7" t="n"/>
      <c r="H6921" s="7" t="n"/>
      <c r="I6921" s="7" t="n"/>
      <c r="J6921" s="7" t="n"/>
      <c r="K6921">
        <f>IF(D6921="Legitimate Interest (GDPR Art. 6(1)(f))", "Yes / Required (Sheet 3)", "")</f>
        <v/>
      </c>
      <c r="L6921" s="7" t="n"/>
      <c r="M6921" s="7" t="n"/>
      <c r="N6921">
        <f>IF(D6921="", "Gap - No Legal Basis", IF(AND(D6921="Consent (GDPR Art. 6(1)(a))", I6921="Not Captured"), "Gap - Invalid Consent", IF(AND(D6921="Legitimate Interest (GDPR Art. 6(1)(f))", L6921=""), "Gap - Missing LIA", IF(AND(G6921="Yes", H6921=""), "Gap - Missing Art. 9 Basis", IF(OR(I6921="Invalid - Not Freely Given", I6921="Invalid - Not Specific", I6921="Invalid - Not Informed", I6921="Invalid - Ambiguous"), "Gap - Invalid Consent", "Compliant")))))</f>
        <v/>
      </c>
      <c r="O6921" s="7" t="n"/>
    </row>
    <row r="6922">
      <c r="A6922" s="7" t="n"/>
      <c r="B6922" s="7" t="n"/>
      <c r="C6922" s="7" t="n"/>
      <c r="D6922" s="7" t="n"/>
      <c r="E6922" s="7" t="n"/>
      <c r="F6922" s="7" t="n"/>
      <c r="G6922" s="7" t="n"/>
      <c r="H6922" s="7" t="n"/>
      <c r="I6922" s="7" t="n"/>
      <c r="J6922" s="7" t="n"/>
      <c r="K6922">
        <f>IF(D6922="Legitimate Interest (GDPR Art. 6(1)(f))", "Yes / Required (Sheet 3)", "")</f>
        <v/>
      </c>
      <c r="L6922" s="7" t="n"/>
      <c r="M6922" s="7" t="n"/>
      <c r="N6922">
        <f>IF(D6922="", "Gap - No Legal Basis", IF(AND(D6922="Consent (GDPR Art. 6(1)(a))", I6922="Not Captured"), "Gap - Invalid Consent", IF(AND(D6922="Legitimate Interest (GDPR Art. 6(1)(f))", L6922=""), "Gap - Missing LIA", IF(AND(G6922="Yes", H6922=""), "Gap - Missing Art. 9 Basis", IF(OR(I6922="Invalid - Not Freely Given", I6922="Invalid - Not Specific", I6922="Invalid - Not Informed", I6922="Invalid - Ambiguous"), "Gap - Invalid Consent", "Compliant")))))</f>
        <v/>
      </c>
      <c r="O6922" s="7" t="n"/>
    </row>
    <row r="6923">
      <c r="A6923" s="7" t="n"/>
      <c r="B6923" s="7" t="n"/>
      <c r="C6923" s="7" t="n"/>
      <c r="D6923" s="7" t="n"/>
      <c r="E6923" s="7" t="n"/>
      <c r="F6923" s="7" t="n"/>
      <c r="G6923" s="7" t="n"/>
      <c r="H6923" s="7" t="n"/>
      <c r="I6923" s="7" t="n"/>
      <c r="J6923" s="7" t="n"/>
      <c r="K6923">
        <f>IF(D6923="Legitimate Interest (GDPR Art. 6(1)(f))", "Yes / Required (Sheet 3)", "")</f>
        <v/>
      </c>
      <c r="L6923" s="7" t="n"/>
      <c r="M6923" s="7" t="n"/>
      <c r="N6923">
        <f>IF(D6923="", "Gap - No Legal Basis", IF(AND(D6923="Consent (GDPR Art. 6(1)(a))", I6923="Not Captured"), "Gap - Invalid Consent", IF(AND(D6923="Legitimate Interest (GDPR Art. 6(1)(f))", L6923=""), "Gap - Missing LIA", IF(AND(G6923="Yes", H6923=""), "Gap - Missing Art. 9 Basis", IF(OR(I6923="Invalid - Not Freely Given", I6923="Invalid - Not Specific", I6923="Invalid - Not Informed", I6923="Invalid - Ambiguous"), "Gap - Invalid Consent", "Compliant")))))</f>
        <v/>
      </c>
      <c r="O6923" s="7" t="n"/>
    </row>
    <row r="6924">
      <c r="A6924" s="7" t="n"/>
      <c r="B6924" s="7" t="n"/>
      <c r="C6924" s="7" t="n"/>
      <c r="D6924" s="7" t="n"/>
      <c r="E6924" s="7" t="n"/>
      <c r="F6924" s="7" t="n"/>
      <c r="G6924" s="7" t="n"/>
      <c r="H6924" s="7" t="n"/>
      <c r="I6924" s="7" t="n"/>
      <c r="J6924" s="7" t="n"/>
      <c r="K6924">
        <f>IF(D6924="Legitimate Interest (GDPR Art. 6(1)(f))", "Yes / Required (Sheet 3)", "")</f>
        <v/>
      </c>
      <c r="L6924" s="7" t="n"/>
      <c r="M6924" s="7" t="n"/>
      <c r="N6924">
        <f>IF(D6924="", "Gap - No Legal Basis", IF(AND(D6924="Consent (GDPR Art. 6(1)(a))", I6924="Not Captured"), "Gap - Invalid Consent", IF(AND(D6924="Legitimate Interest (GDPR Art. 6(1)(f))", L6924=""), "Gap - Missing LIA", IF(AND(G6924="Yes", H6924=""), "Gap - Missing Art. 9 Basis", IF(OR(I6924="Invalid - Not Freely Given", I6924="Invalid - Not Specific", I6924="Invalid - Not Informed", I6924="Invalid - Ambiguous"), "Gap - Invalid Consent", "Compliant")))))</f>
        <v/>
      </c>
      <c r="O6924" s="7" t="n"/>
    </row>
    <row r="6925">
      <c r="A6925" s="7" t="n"/>
      <c r="B6925" s="7" t="n"/>
      <c r="C6925" s="7" t="n"/>
      <c r="D6925" s="7" t="n"/>
      <c r="E6925" s="7" t="n"/>
      <c r="F6925" s="7" t="n"/>
      <c r="G6925" s="7" t="n"/>
      <c r="H6925" s="7" t="n"/>
      <c r="I6925" s="7" t="n"/>
      <c r="J6925" s="7" t="n"/>
      <c r="K6925">
        <f>IF(D6925="Legitimate Interest (GDPR Art. 6(1)(f))", "Yes / Required (Sheet 3)", "")</f>
        <v/>
      </c>
      <c r="L6925" s="7" t="n"/>
      <c r="M6925" s="7" t="n"/>
      <c r="N6925">
        <f>IF(D6925="", "Gap - No Legal Basis", IF(AND(D6925="Consent (GDPR Art. 6(1)(a))", I6925="Not Captured"), "Gap - Invalid Consent", IF(AND(D6925="Legitimate Interest (GDPR Art. 6(1)(f))", L6925=""), "Gap - Missing LIA", IF(AND(G6925="Yes", H6925=""), "Gap - Missing Art. 9 Basis", IF(OR(I6925="Invalid - Not Freely Given", I6925="Invalid - Not Specific", I6925="Invalid - Not Informed", I6925="Invalid - Ambiguous"), "Gap - Invalid Consent", "Compliant")))))</f>
        <v/>
      </c>
      <c r="O6925" s="7" t="n"/>
    </row>
    <row r="6926">
      <c r="A6926" s="7" t="n"/>
      <c r="B6926" s="7" t="n"/>
      <c r="C6926" s="7" t="n"/>
      <c r="D6926" s="7" t="n"/>
      <c r="E6926" s="7" t="n"/>
      <c r="F6926" s="7" t="n"/>
      <c r="G6926" s="7" t="n"/>
      <c r="H6926" s="7" t="n"/>
      <c r="I6926" s="7" t="n"/>
      <c r="J6926" s="7" t="n"/>
      <c r="K6926">
        <f>IF(D6926="Legitimate Interest (GDPR Art. 6(1)(f))", "Yes / Required (Sheet 3)", "")</f>
        <v/>
      </c>
      <c r="L6926" s="7" t="n"/>
      <c r="M6926" s="7" t="n"/>
      <c r="N6926">
        <f>IF(D6926="", "Gap - No Legal Basis", IF(AND(D6926="Consent (GDPR Art. 6(1)(a))", I6926="Not Captured"), "Gap - Invalid Consent", IF(AND(D6926="Legitimate Interest (GDPR Art. 6(1)(f))", L6926=""), "Gap - Missing LIA", IF(AND(G6926="Yes", H6926=""), "Gap - Missing Art. 9 Basis", IF(OR(I6926="Invalid - Not Freely Given", I6926="Invalid - Not Specific", I6926="Invalid - Not Informed", I6926="Invalid - Ambiguous"), "Gap - Invalid Consent", "Compliant")))))</f>
        <v/>
      </c>
      <c r="O6926" s="7" t="n"/>
    </row>
    <row r="6927">
      <c r="A6927" s="7" t="n"/>
      <c r="B6927" s="7" t="n"/>
      <c r="C6927" s="7" t="n"/>
      <c r="D6927" s="7" t="n"/>
      <c r="E6927" s="7" t="n"/>
      <c r="F6927" s="7" t="n"/>
      <c r="G6927" s="7" t="n"/>
      <c r="H6927" s="7" t="n"/>
      <c r="I6927" s="7" t="n"/>
      <c r="J6927" s="7" t="n"/>
      <c r="K6927">
        <f>IF(D6927="Legitimate Interest (GDPR Art. 6(1)(f))", "Yes / Required (Sheet 3)", "")</f>
        <v/>
      </c>
      <c r="L6927" s="7" t="n"/>
      <c r="M6927" s="7" t="n"/>
      <c r="N6927">
        <f>IF(D6927="", "Gap - No Legal Basis", IF(AND(D6927="Consent (GDPR Art. 6(1)(a))", I6927="Not Captured"), "Gap - Invalid Consent", IF(AND(D6927="Legitimate Interest (GDPR Art. 6(1)(f))", L6927=""), "Gap - Missing LIA", IF(AND(G6927="Yes", H6927=""), "Gap - Missing Art. 9 Basis", IF(OR(I6927="Invalid - Not Freely Given", I6927="Invalid - Not Specific", I6927="Invalid - Not Informed", I6927="Invalid - Ambiguous"), "Gap - Invalid Consent", "Compliant")))))</f>
        <v/>
      </c>
      <c r="O6927" s="7" t="n"/>
    </row>
    <row r="6928">
      <c r="A6928" s="7" t="n"/>
      <c r="B6928" s="7" t="n"/>
      <c r="C6928" s="7" t="n"/>
      <c r="D6928" s="7" t="n"/>
      <c r="E6928" s="7" t="n"/>
      <c r="F6928" s="7" t="n"/>
      <c r="G6928" s="7" t="n"/>
      <c r="H6928" s="7" t="n"/>
      <c r="I6928" s="7" t="n"/>
      <c r="J6928" s="7" t="n"/>
      <c r="K6928">
        <f>IF(D6928="Legitimate Interest (GDPR Art. 6(1)(f))", "Yes / Required (Sheet 3)", "")</f>
        <v/>
      </c>
      <c r="L6928" s="7" t="n"/>
      <c r="M6928" s="7" t="n"/>
      <c r="N6928">
        <f>IF(D6928="", "Gap - No Legal Basis", IF(AND(D6928="Consent (GDPR Art. 6(1)(a))", I6928="Not Captured"), "Gap - Invalid Consent", IF(AND(D6928="Legitimate Interest (GDPR Art. 6(1)(f))", L6928=""), "Gap - Missing LIA", IF(AND(G6928="Yes", H6928=""), "Gap - Missing Art. 9 Basis", IF(OR(I6928="Invalid - Not Freely Given", I6928="Invalid - Not Specific", I6928="Invalid - Not Informed", I6928="Invalid - Ambiguous"), "Gap - Invalid Consent", "Compliant")))))</f>
        <v/>
      </c>
      <c r="O6928" s="7" t="n"/>
    </row>
    <row r="6929">
      <c r="A6929" s="7" t="n"/>
      <c r="B6929" s="7" t="n"/>
      <c r="C6929" s="7" t="n"/>
      <c r="D6929" s="7" t="n"/>
      <c r="E6929" s="7" t="n"/>
      <c r="F6929" s="7" t="n"/>
      <c r="G6929" s="7" t="n"/>
      <c r="H6929" s="7" t="n"/>
      <c r="I6929" s="7" t="n"/>
      <c r="J6929" s="7" t="n"/>
      <c r="K6929">
        <f>IF(D6929="Legitimate Interest (GDPR Art. 6(1)(f))", "Yes / Required (Sheet 3)", "")</f>
        <v/>
      </c>
      <c r="L6929" s="7" t="n"/>
      <c r="M6929" s="7" t="n"/>
      <c r="N6929">
        <f>IF(D6929="", "Gap - No Legal Basis", IF(AND(D6929="Consent (GDPR Art. 6(1)(a))", I6929="Not Captured"), "Gap - Invalid Consent", IF(AND(D6929="Legitimate Interest (GDPR Art. 6(1)(f))", L6929=""), "Gap - Missing LIA", IF(AND(G6929="Yes", H6929=""), "Gap - Missing Art. 9 Basis", IF(OR(I6929="Invalid - Not Freely Given", I6929="Invalid - Not Specific", I6929="Invalid - Not Informed", I6929="Invalid - Ambiguous"), "Gap - Invalid Consent", "Compliant")))))</f>
        <v/>
      </c>
      <c r="O6929" s="7" t="n"/>
    </row>
    <row r="6930">
      <c r="A6930" s="7" t="n"/>
      <c r="B6930" s="7" t="n"/>
      <c r="C6930" s="7" t="n"/>
      <c r="D6930" s="7" t="n"/>
      <c r="E6930" s="7" t="n"/>
      <c r="F6930" s="7" t="n"/>
      <c r="G6930" s="7" t="n"/>
      <c r="H6930" s="7" t="n"/>
      <c r="I6930" s="7" t="n"/>
      <c r="J6930" s="7" t="n"/>
      <c r="K6930">
        <f>IF(D6930="Legitimate Interest (GDPR Art. 6(1)(f))", "Yes / Required (Sheet 3)", "")</f>
        <v/>
      </c>
      <c r="L6930" s="7" t="n"/>
      <c r="M6930" s="7" t="n"/>
      <c r="N6930">
        <f>IF(D6930="", "Gap - No Legal Basis", IF(AND(D6930="Consent (GDPR Art. 6(1)(a))", I6930="Not Captured"), "Gap - Invalid Consent", IF(AND(D6930="Legitimate Interest (GDPR Art. 6(1)(f))", L6930=""), "Gap - Missing LIA", IF(AND(G6930="Yes", H6930=""), "Gap - Missing Art. 9 Basis", IF(OR(I6930="Invalid - Not Freely Given", I6930="Invalid - Not Specific", I6930="Invalid - Not Informed", I6930="Invalid - Ambiguous"), "Gap - Invalid Consent", "Compliant")))))</f>
        <v/>
      </c>
      <c r="O6930" s="7" t="n"/>
    </row>
    <row r="6931">
      <c r="A6931" s="7" t="n"/>
      <c r="B6931" s="7" t="n"/>
      <c r="C6931" s="7" t="n"/>
      <c r="D6931" s="7" t="n"/>
      <c r="E6931" s="7" t="n"/>
      <c r="F6931" s="7" t="n"/>
      <c r="G6931" s="7" t="n"/>
      <c r="H6931" s="7" t="n"/>
      <c r="I6931" s="7" t="n"/>
      <c r="J6931" s="7" t="n"/>
      <c r="K6931">
        <f>IF(D6931="Legitimate Interest (GDPR Art. 6(1)(f))", "Yes / Required (Sheet 3)", "")</f>
        <v/>
      </c>
      <c r="L6931" s="7" t="n"/>
      <c r="M6931" s="7" t="n"/>
      <c r="N6931">
        <f>IF(D6931="", "Gap - No Legal Basis", IF(AND(D6931="Consent (GDPR Art. 6(1)(a))", I6931="Not Captured"), "Gap - Invalid Consent", IF(AND(D6931="Legitimate Interest (GDPR Art. 6(1)(f))", L6931=""), "Gap - Missing LIA", IF(AND(G6931="Yes", H6931=""), "Gap - Missing Art. 9 Basis", IF(OR(I6931="Invalid - Not Freely Given", I6931="Invalid - Not Specific", I6931="Invalid - Not Informed", I6931="Invalid - Ambiguous"), "Gap - Invalid Consent", "Compliant")))))</f>
        <v/>
      </c>
      <c r="O6931" s="7" t="n"/>
    </row>
    <row r="6932">
      <c r="A6932" s="7" t="n"/>
      <c r="B6932" s="7" t="n"/>
      <c r="C6932" s="7" t="n"/>
      <c r="D6932" s="7" t="n"/>
      <c r="E6932" s="7" t="n"/>
      <c r="F6932" s="7" t="n"/>
      <c r="G6932" s="7" t="n"/>
      <c r="H6932" s="7" t="n"/>
      <c r="I6932" s="7" t="n"/>
      <c r="J6932" s="7" t="n"/>
      <c r="K6932">
        <f>IF(D6932="Legitimate Interest (GDPR Art. 6(1)(f))", "Yes / Required (Sheet 3)", "")</f>
        <v/>
      </c>
      <c r="L6932" s="7" t="n"/>
      <c r="M6932" s="7" t="n"/>
      <c r="N6932">
        <f>IF(D6932="", "Gap - No Legal Basis", IF(AND(D6932="Consent (GDPR Art. 6(1)(a))", I6932="Not Captured"), "Gap - Invalid Consent", IF(AND(D6932="Legitimate Interest (GDPR Art. 6(1)(f))", L6932=""), "Gap - Missing LIA", IF(AND(G6932="Yes", H6932=""), "Gap - Missing Art. 9 Basis", IF(OR(I6932="Invalid - Not Freely Given", I6932="Invalid - Not Specific", I6932="Invalid - Not Informed", I6932="Invalid - Ambiguous"), "Gap - Invalid Consent", "Compliant")))))</f>
        <v/>
      </c>
      <c r="O6932" s="7" t="n"/>
    </row>
    <row r="6933">
      <c r="A6933" s="7" t="n"/>
      <c r="B6933" s="7" t="n"/>
      <c r="C6933" s="7" t="n"/>
      <c r="D6933" s="7" t="n"/>
      <c r="E6933" s="7" t="n"/>
      <c r="F6933" s="7" t="n"/>
      <c r="G6933" s="7" t="n"/>
      <c r="H6933" s="7" t="n"/>
      <c r="I6933" s="7" t="n"/>
      <c r="J6933" s="7" t="n"/>
      <c r="K6933">
        <f>IF(D6933="Legitimate Interest (GDPR Art. 6(1)(f))", "Yes / Required (Sheet 3)", "")</f>
        <v/>
      </c>
      <c r="L6933" s="7" t="n"/>
      <c r="M6933" s="7" t="n"/>
      <c r="N6933">
        <f>IF(D6933="", "Gap - No Legal Basis", IF(AND(D6933="Consent (GDPR Art. 6(1)(a))", I6933="Not Captured"), "Gap - Invalid Consent", IF(AND(D6933="Legitimate Interest (GDPR Art. 6(1)(f))", L6933=""), "Gap - Missing LIA", IF(AND(G6933="Yes", H6933=""), "Gap - Missing Art. 9 Basis", IF(OR(I6933="Invalid - Not Freely Given", I6933="Invalid - Not Specific", I6933="Invalid - Not Informed", I6933="Invalid - Ambiguous"), "Gap - Invalid Consent", "Compliant")))))</f>
        <v/>
      </c>
      <c r="O6933" s="7" t="n"/>
    </row>
    <row r="6934">
      <c r="A6934" s="7" t="n"/>
      <c r="B6934" s="7" t="n"/>
      <c r="C6934" s="7" t="n"/>
      <c r="D6934" s="7" t="n"/>
      <c r="E6934" s="7" t="n"/>
      <c r="F6934" s="7" t="n"/>
      <c r="G6934" s="7" t="n"/>
      <c r="H6934" s="7" t="n"/>
      <c r="I6934" s="7" t="n"/>
      <c r="J6934" s="7" t="n"/>
      <c r="K6934">
        <f>IF(D6934="Legitimate Interest (GDPR Art. 6(1)(f))", "Yes / Required (Sheet 3)", "")</f>
        <v/>
      </c>
      <c r="L6934" s="7" t="n"/>
      <c r="M6934" s="7" t="n"/>
      <c r="N6934">
        <f>IF(D6934="", "Gap - No Legal Basis", IF(AND(D6934="Consent (GDPR Art. 6(1)(a))", I6934="Not Captured"), "Gap - Invalid Consent", IF(AND(D6934="Legitimate Interest (GDPR Art. 6(1)(f))", L6934=""), "Gap - Missing LIA", IF(AND(G6934="Yes", H6934=""), "Gap - Missing Art. 9 Basis", IF(OR(I6934="Invalid - Not Freely Given", I6934="Invalid - Not Specific", I6934="Invalid - Not Informed", I6934="Invalid - Ambiguous"), "Gap - Invalid Consent", "Compliant")))))</f>
        <v/>
      </c>
      <c r="O6934" s="7" t="n"/>
    </row>
    <row r="6935">
      <c r="A6935" s="7" t="n"/>
      <c r="B6935" s="7" t="n"/>
      <c r="C6935" s="7" t="n"/>
      <c r="D6935" s="7" t="n"/>
      <c r="E6935" s="7" t="n"/>
      <c r="F6935" s="7" t="n"/>
      <c r="G6935" s="7" t="n"/>
      <c r="H6935" s="7" t="n"/>
      <c r="I6935" s="7" t="n"/>
      <c r="J6935" s="7" t="n"/>
      <c r="K6935">
        <f>IF(D6935="Legitimate Interest (GDPR Art. 6(1)(f))", "Yes / Required (Sheet 3)", "")</f>
        <v/>
      </c>
      <c r="L6935" s="7" t="n"/>
      <c r="M6935" s="7" t="n"/>
      <c r="N6935">
        <f>IF(D6935="", "Gap - No Legal Basis", IF(AND(D6935="Consent (GDPR Art. 6(1)(a))", I6935="Not Captured"), "Gap - Invalid Consent", IF(AND(D6935="Legitimate Interest (GDPR Art. 6(1)(f))", L6935=""), "Gap - Missing LIA", IF(AND(G6935="Yes", H6935=""), "Gap - Missing Art. 9 Basis", IF(OR(I6935="Invalid - Not Freely Given", I6935="Invalid - Not Specific", I6935="Invalid - Not Informed", I6935="Invalid - Ambiguous"), "Gap - Invalid Consent", "Compliant")))))</f>
        <v/>
      </c>
      <c r="O6935" s="7" t="n"/>
    </row>
    <row r="6936">
      <c r="A6936" s="7" t="n"/>
      <c r="B6936" s="7" t="n"/>
      <c r="C6936" s="7" t="n"/>
      <c r="D6936" s="7" t="n"/>
      <c r="E6936" s="7" t="n"/>
      <c r="F6936" s="7" t="n"/>
      <c r="G6936" s="7" t="n"/>
      <c r="H6936" s="7" t="n"/>
      <c r="I6936" s="7" t="n"/>
      <c r="J6936" s="7" t="n"/>
      <c r="K6936">
        <f>IF(D6936="Legitimate Interest (GDPR Art. 6(1)(f))", "Yes / Required (Sheet 3)", "")</f>
        <v/>
      </c>
      <c r="L6936" s="7" t="n"/>
      <c r="M6936" s="7" t="n"/>
      <c r="N6936">
        <f>IF(D6936="", "Gap - No Legal Basis", IF(AND(D6936="Consent (GDPR Art. 6(1)(a))", I6936="Not Captured"), "Gap - Invalid Consent", IF(AND(D6936="Legitimate Interest (GDPR Art. 6(1)(f))", L6936=""), "Gap - Missing LIA", IF(AND(G6936="Yes", H6936=""), "Gap - Missing Art. 9 Basis", IF(OR(I6936="Invalid - Not Freely Given", I6936="Invalid - Not Specific", I6936="Invalid - Not Informed", I6936="Invalid - Ambiguous"), "Gap - Invalid Consent", "Compliant")))))</f>
        <v/>
      </c>
      <c r="O6936" s="7" t="n"/>
    </row>
    <row r="6937">
      <c r="A6937" s="7" t="n"/>
      <c r="B6937" s="7" t="n"/>
      <c r="C6937" s="7" t="n"/>
      <c r="D6937" s="7" t="n"/>
      <c r="E6937" s="7" t="n"/>
      <c r="F6937" s="7" t="n"/>
      <c r="G6937" s="7" t="n"/>
      <c r="H6937" s="7" t="n"/>
      <c r="I6937" s="7" t="n"/>
      <c r="J6937" s="7" t="n"/>
      <c r="K6937">
        <f>IF(D6937="Legitimate Interest (GDPR Art. 6(1)(f))", "Yes / Required (Sheet 3)", "")</f>
        <v/>
      </c>
      <c r="L6937" s="7" t="n"/>
      <c r="M6937" s="7" t="n"/>
      <c r="N6937">
        <f>IF(D6937="", "Gap - No Legal Basis", IF(AND(D6937="Consent (GDPR Art. 6(1)(a))", I6937="Not Captured"), "Gap - Invalid Consent", IF(AND(D6937="Legitimate Interest (GDPR Art. 6(1)(f))", L6937=""), "Gap - Missing LIA", IF(AND(G6937="Yes", H6937=""), "Gap - Missing Art. 9 Basis", IF(OR(I6937="Invalid - Not Freely Given", I6937="Invalid - Not Specific", I6937="Invalid - Not Informed", I6937="Invalid - Ambiguous"), "Gap - Invalid Consent", "Compliant")))))</f>
        <v/>
      </c>
      <c r="O6937" s="7" t="n"/>
    </row>
    <row r="6938">
      <c r="A6938" s="7" t="n"/>
      <c r="B6938" s="7" t="n"/>
      <c r="C6938" s="7" t="n"/>
      <c r="D6938" s="7" t="n"/>
      <c r="E6938" s="7" t="n"/>
      <c r="F6938" s="7" t="n"/>
      <c r="G6938" s="7" t="n"/>
      <c r="H6938" s="7" t="n"/>
      <c r="I6938" s="7" t="n"/>
      <c r="J6938" s="7" t="n"/>
      <c r="K6938">
        <f>IF(D6938="Legitimate Interest (GDPR Art. 6(1)(f))", "Yes / Required (Sheet 3)", "")</f>
        <v/>
      </c>
      <c r="L6938" s="7" t="n"/>
      <c r="M6938" s="7" t="n"/>
      <c r="N6938">
        <f>IF(D6938="", "Gap - No Legal Basis", IF(AND(D6938="Consent (GDPR Art. 6(1)(a))", I6938="Not Captured"), "Gap - Invalid Consent", IF(AND(D6938="Legitimate Interest (GDPR Art. 6(1)(f))", L6938=""), "Gap - Missing LIA", IF(AND(G6938="Yes", H6938=""), "Gap - Missing Art. 9 Basis", IF(OR(I6938="Invalid - Not Freely Given", I6938="Invalid - Not Specific", I6938="Invalid - Not Informed", I6938="Invalid - Ambiguous"), "Gap - Invalid Consent", "Compliant")))))</f>
        <v/>
      </c>
      <c r="O6938" s="7" t="n"/>
    </row>
    <row r="6939">
      <c r="A6939" s="7" t="n"/>
      <c r="B6939" s="7" t="n"/>
      <c r="C6939" s="7" t="n"/>
      <c r="D6939" s="7" t="n"/>
      <c r="E6939" s="7" t="n"/>
      <c r="F6939" s="7" t="n"/>
      <c r="G6939" s="7" t="n"/>
      <c r="H6939" s="7" t="n"/>
      <c r="I6939" s="7" t="n"/>
      <c r="J6939" s="7" t="n"/>
      <c r="K6939">
        <f>IF(D6939="Legitimate Interest (GDPR Art. 6(1)(f))", "Yes / Required (Sheet 3)", "")</f>
        <v/>
      </c>
      <c r="L6939" s="7" t="n"/>
      <c r="M6939" s="7" t="n"/>
      <c r="N6939">
        <f>IF(D6939="", "Gap - No Legal Basis", IF(AND(D6939="Consent (GDPR Art. 6(1)(a))", I6939="Not Captured"), "Gap - Invalid Consent", IF(AND(D6939="Legitimate Interest (GDPR Art. 6(1)(f))", L6939=""), "Gap - Missing LIA", IF(AND(G6939="Yes", H6939=""), "Gap - Missing Art. 9 Basis", IF(OR(I6939="Invalid - Not Freely Given", I6939="Invalid - Not Specific", I6939="Invalid - Not Informed", I6939="Invalid - Ambiguous"), "Gap - Invalid Consent", "Compliant")))))</f>
        <v/>
      </c>
      <c r="O6939" s="7" t="n"/>
    </row>
    <row r="6940">
      <c r="A6940" s="7" t="n"/>
      <c r="B6940" s="7" t="n"/>
      <c r="C6940" s="7" t="n"/>
      <c r="D6940" s="7" t="n"/>
      <c r="E6940" s="7" t="n"/>
      <c r="F6940" s="7" t="n"/>
      <c r="G6940" s="7" t="n"/>
      <c r="H6940" s="7" t="n"/>
      <c r="I6940" s="7" t="n"/>
      <c r="J6940" s="7" t="n"/>
      <c r="K6940">
        <f>IF(D6940="Legitimate Interest (GDPR Art. 6(1)(f))", "Yes / Required (Sheet 3)", "")</f>
        <v/>
      </c>
      <c r="L6940" s="7" t="n"/>
      <c r="M6940" s="7" t="n"/>
      <c r="N6940">
        <f>IF(D6940="", "Gap - No Legal Basis", IF(AND(D6940="Consent (GDPR Art. 6(1)(a))", I6940="Not Captured"), "Gap - Invalid Consent", IF(AND(D6940="Legitimate Interest (GDPR Art. 6(1)(f))", L6940=""), "Gap - Missing LIA", IF(AND(G6940="Yes", H6940=""), "Gap - Missing Art. 9 Basis", IF(OR(I6940="Invalid - Not Freely Given", I6940="Invalid - Not Specific", I6940="Invalid - Not Informed", I6940="Invalid - Ambiguous"), "Gap - Invalid Consent", "Compliant")))))</f>
        <v/>
      </c>
      <c r="O6940" s="7" t="n"/>
    </row>
    <row r="6941">
      <c r="A6941" s="7" t="n"/>
      <c r="B6941" s="7" t="n"/>
      <c r="C6941" s="7" t="n"/>
      <c r="D6941" s="7" t="n"/>
      <c r="E6941" s="7" t="n"/>
      <c r="F6941" s="7" t="n"/>
      <c r="G6941" s="7" t="n"/>
      <c r="H6941" s="7" t="n"/>
      <c r="I6941" s="7" t="n"/>
      <c r="J6941" s="7" t="n"/>
      <c r="K6941">
        <f>IF(D6941="Legitimate Interest (GDPR Art. 6(1)(f))", "Yes / Required (Sheet 3)", "")</f>
        <v/>
      </c>
      <c r="L6941" s="7" t="n"/>
      <c r="M6941" s="7" t="n"/>
      <c r="N6941">
        <f>IF(D6941="", "Gap - No Legal Basis", IF(AND(D6941="Consent (GDPR Art. 6(1)(a))", I6941="Not Captured"), "Gap - Invalid Consent", IF(AND(D6941="Legitimate Interest (GDPR Art. 6(1)(f))", L6941=""), "Gap - Missing LIA", IF(AND(G6941="Yes", H6941=""), "Gap - Missing Art. 9 Basis", IF(OR(I6941="Invalid - Not Freely Given", I6941="Invalid - Not Specific", I6941="Invalid - Not Informed", I6941="Invalid - Ambiguous"), "Gap - Invalid Consent", "Compliant")))))</f>
        <v/>
      </c>
      <c r="O6941" s="7" t="n"/>
    </row>
    <row r="6942">
      <c r="A6942" s="7" t="n"/>
      <c r="B6942" s="7" t="n"/>
      <c r="C6942" s="7" t="n"/>
      <c r="D6942" s="7" t="n"/>
      <c r="E6942" s="7" t="n"/>
      <c r="F6942" s="7" t="n"/>
      <c r="G6942" s="7" t="n"/>
      <c r="H6942" s="7" t="n"/>
      <c r="I6942" s="7" t="n"/>
      <c r="J6942" s="7" t="n"/>
      <c r="K6942">
        <f>IF(D6942="Legitimate Interest (GDPR Art. 6(1)(f))", "Yes / Required (Sheet 3)", "")</f>
        <v/>
      </c>
      <c r="L6942" s="7" t="n"/>
      <c r="M6942" s="7" t="n"/>
      <c r="N6942">
        <f>IF(D6942="", "Gap - No Legal Basis", IF(AND(D6942="Consent (GDPR Art. 6(1)(a))", I6942="Not Captured"), "Gap - Invalid Consent", IF(AND(D6942="Legitimate Interest (GDPR Art. 6(1)(f))", L6942=""), "Gap - Missing LIA", IF(AND(G6942="Yes", H6942=""), "Gap - Missing Art. 9 Basis", IF(OR(I6942="Invalid - Not Freely Given", I6942="Invalid - Not Specific", I6942="Invalid - Not Informed", I6942="Invalid - Ambiguous"), "Gap - Invalid Consent", "Compliant")))))</f>
        <v/>
      </c>
      <c r="O6942" s="7" t="n"/>
    </row>
    <row r="6943">
      <c r="A6943" s="7" t="n"/>
      <c r="B6943" s="7" t="n"/>
      <c r="C6943" s="7" t="n"/>
      <c r="D6943" s="7" t="n"/>
      <c r="E6943" s="7" t="n"/>
      <c r="F6943" s="7" t="n"/>
      <c r="G6943" s="7" t="n"/>
      <c r="H6943" s="7" t="n"/>
      <c r="I6943" s="7" t="n"/>
      <c r="J6943" s="7" t="n"/>
      <c r="K6943">
        <f>IF(D6943="Legitimate Interest (GDPR Art. 6(1)(f))", "Yes / Required (Sheet 3)", "")</f>
        <v/>
      </c>
      <c r="L6943" s="7" t="n"/>
      <c r="M6943" s="7" t="n"/>
      <c r="N6943">
        <f>IF(D6943="", "Gap - No Legal Basis", IF(AND(D6943="Consent (GDPR Art. 6(1)(a))", I6943="Not Captured"), "Gap - Invalid Consent", IF(AND(D6943="Legitimate Interest (GDPR Art. 6(1)(f))", L6943=""), "Gap - Missing LIA", IF(AND(G6943="Yes", H6943=""), "Gap - Missing Art. 9 Basis", IF(OR(I6943="Invalid - Not Freely Given", I6943="Invalid - Not Specific", I6943="Invalid - Not Informed", I6943="Invalid - Ambiguous"), "Gap - Invalid Consent", "Compliant")))))</f>
        <v/>
      </c>
      <c r="O6943" s="7" t="n"/>
    </row>
    <row r="6944">
      <c r="A6944" s="7" t="n"/>
      <c r="B6944" s="7" t="n"/>
      <c r="C6944" s="7" t="n"/>
      <c r="D6944" s="7" t="n"/>
      <c r="E6944" s="7" t="n"/>
      <c r="F6944" s="7" t="n"/>
      <c r="G6944" s="7" t="n"/>
      <c r="H6944" s="7" t="n"/>
      <c r="I6944" s="7" t="n"/>
      <c r="J6944" s="7" t="n"/>
      <c r="K6944">
        <f>IF(D6944="Legitimate Interest (GDPR Art. 6(1)(f))", "Yes / Required (Sheet 3)", "")</f>
        <v/>
      </c>
      <c r="L6944" s="7" t="n"/>
      <c r="M6944" s="7" t="n"/>
      <c r="N6944">
        <f>IF(D6944="", "Gap - No Legal Basis", IF(AND(D6944="Consent (GDPR Art. 6(1)(a))", I6944="Not Captured"), "Gap - Invalid Consent", IF(AND(D6944="Legitimate Interest (GDPR Art. 6(1)(f))", L6944=""), "Gap - Missing LIA", IF(AND(G6944="Yes", H6944=""), "Gap - Missing Art. 9 Basis", IF(OR(I6944="Invalid - Not Freely Given", I6944="Invalid - Not Specific", I6944="Invalid - Not Informed", I6944="Invalid - Ambiguous"), "Gap - Invalid Consent", "Compliant")))))</f>
        <v/>
      </c>
      <c r="O6944" s="7" t="n"/>
    </row>
    <row r="6945">
      <c r="A6945" s="7" t="n"/>
      <c r="B6945" s="7" t="n"/>
      <c r="C6945" s="7" t="n"/>
      <c r="D6945" s="7" t="n"/>
      <c r="E6945" s="7" t="n"/>
      <c r="F6945" s="7" t="n"/>
      <c r="G6945" s="7" t="n"/>
      <c r="H6945" s="7" t="n"/>
      <c r="I6945" s="7" t="n"/>
      <c r="J6945" s="7" t="n"/>
      <c r="K6945">
        <f>IF(D6945="Legitimate Interest (GDPR Art. 6(1)(f))", "Yes / Required (Sheet 3)", "")</f>
        <v/>
      </c>
      <c r="L6945" s="7" t="n"/>
      <c r="M6945" s="7" t="n"/>
      <c r="N6945">
        <f>IF(D6945="", "Gap - No Legal Basis", IF(AND(D6945="Consent (GDPR Art. 6(1)(a))", I6945="Not Captured"), "Gap - Invalid Consent", IF(AND(D6945="Legitimate Interest (GDPR Art. 6(1)(f))", L6945=""), "Gap - Missing LIA", IF(AND(G6945="Yes", H6945=""), "Gap - Missing Art. 9 Basis", IF(OR(I6945="Invalid - Not Freely Given", I6945="Invalid - Not Specific", I6945="Invalid - Not Informed", I6945="Invalid - Ambiguous"), "Gap - Invalid Consent", "Compliant")))))</f>
        <v/>
      </c>
      <c r="O6945" s="7" t="n"/>
    </row>
    <row r="6946">
      <c r="A6946" s="7" t="n"/>
      <c r="B6946" s="7" t="n"/>
      <c r="C6946" s="7" t="n"/>
      <c r="D6946" s="7" t="n"/>
      <c r="E6946" s="7" t="n"/>
      <c r="F6946" s="7" t="n"/>
      <c r="G6946" s="7" t="n"/>
      <c r="H6946" s="7" t="n"/>
      <c r="I6946" s="7" t="n"/>
      <c r="J6946" s="7" t="n"/>
      <c r="K6946">
        <f>IF(D6946="Legitimate Interest (GDPR Art. 6(1)(f))", "Yes / Required (Sheet 3)", "")</f>
        <v/>
      </c>
      <c r="L6946" s="7" t="n"/>
      <c r="M6946" s="7" t="n"/>
      <c r="N6946">
        <f>IF(D6946="", "Gap - No Legal Basis", IF(AND(D6946="Consent (GDPR Art. 6(1)(a))", I6946="Not Captured"), "Gap - Invalid Consent", IF(AND(D6946="Legitimate Interest (GDPR Art. 6(1)(f))", L6946=""), "Gap - Missing LIA", IF(AND(G6946="Yes", H6946=""), "Gap - Missing Art. 9 Basis", IF(OR(I6946="Invalid - Not Freely Given", I6946="Invalid - Not Specific", I6946="Invalid - Not Informed", I6946="Invalid - Ambiguous"), "Gap - Invalid Consent", "Compliant")))))</f>
        <v/>
      </c>
      <c r="O6946" s="7" t="n"/>
    </row>
    <row r="6947">
      <c r="A6947" s="7" t="n"/>
      <c r="B6947" s="7" t="n"/>
      <c r="C6947" s="7" t="n"/>
      <c r="D6947" s="7" t="n"/>
      <c r="E6947" s="7" t="n"/>
      <c r="F6947" s="7" t="n"/>
      <c r="G6947" s="7" t="n"/>
      <c r="H6947" s="7" t="n"/>
      <c r="I6947" s="7" t="n"/>
      <c r="J6947" s="7" t="n"/>
      <c r="K6947">
        <f>IF(D6947="Legitimate Interest (GDPR Art. 6(1)(f))", "Yes / Required (Sheet 3)", "")</f>
        <v/>
      </c>
      <c r="L6947" s="7" t="n"/>
      <c r="M6947" s="7" t="n"/>
      <c r="N6947">
        <f>IF(D6947="", "Gap - No Legal Basis", IF(AND(D6947="Consent (GDPR Art. 6(1)(a))", I6947="Not Captured"), "Gap - Invalid Consent", IF(AND(D6947="Legitimate Interest (GDPR Art. 6(1)(f))", L6947=""), "Gap - Missing LIA", IF(AND(G6947="Yes", H6947=""), "Gap - Missing Art. 9 Basis", IF(OR(I6947="Invalid - Not Freely Given", I6947="Invalid - Not Specific", I6947="Invalid - Not Informed", I6947="Invalid - Ambiguous"), "Gap - Invalid Consent", "Compliant")))))</f>
        <v/>
      </c>
      <c r="O6947" s="7" t="n"/>
    </row>
    <row r="6948">
      <c r="A6948" s="7" t="n"/>
      <c r="B6948" s="7" t="n"/>
      <c r="C6948" s="7" t="n"/>
      <c r="D6948" s="7" t="n"/>
      <c r="E6948" s="7" t="n"/>
      <c r="F6948" s="7" t="n"/>
      <c r="G6948" s="7" t="n"/>
      <c r="H6948" s="7" t="n"/>
      <c r="I6948" s="7" t="n"/>
      <c r="J6948" s="7" t="n"/>
      <c r="K6948">
        <f>IF(D6948="Legitimate Interest (GDPR Art. 6(1)(f))", "Yes / Required (Sheet 3)", "")</f>
        <v/>
      </c>
      <c r="L6948" s="7" t="n"/>
      <c r="M6948" s="7" t="n"/>
      <c r="N6948">
        <f>IF(D6948="", "Gap - No Legal Basis", IF(AND(D6948="Consent (GDPR Art. 6(1)(a))", I6948="Not Captured"), "Gap - Invalid Consent", IF(AND(D6948="Legitimate Interest (GDPR Art. 6(1)(f))", L6948=""), "Gap - Missing LIA", IF(AND(G6948="Yes", H6948=""), "Gap - Missing Art. 9 Basis", IF(OR(I6948="Invalid - Not Freely Given", I6948="Invalid - Not Specific", I6948="Invalid - Not Informed", I6948="Invalid - Ambiguous"), "Gap - Invalid Consent", "Compliant")))))</f>
        <v/>
      </c>
      <c r="O6948" s="7" t="n"/>
    </row>
    <row r="6949">
      <c r="A6949" s="7" t="n"/>
      <c r="B6949" s="7" t="n"/>
      <c r="C6949" s="7" t="n"/>
      <c r="D6949" s="7" t="n"/>
      <c r="E6949" s="7" t="n"/>
      <c r="F6949" s="7" t="n"/>
      <c r="G6949" s="7" t="n"/>
      <c r="H6949" s="7" t="n"/>
      <c r="I6949" s="7" t="n"/>
      <c r="J6949" s="7" t="n"/>
      <c r="K6949">
        <f>IF(D6949="Legitimate Interest (GDPR Art. 6(1)(f))", "Yes / Required (Sheet 3)", "")</f>
        <v/>
      </c>
      <c r="L6949" s="7" t="n"/>
      <c r="M6949" s="7" t="n"/>
      <c r="N6949">
        <f>IF(D6949="", "Gap - No Legal Basis", IF(AND(D6949="Consent (GDPR Art. 6(1)(a))", I6949="Not Captured"), "Gap - Invalid Consent", IF(AND(D6949="Legitimate Interest (GDPR Art. 6(1)(f))", L6949=""), "Gap - Missing LIA", IF(AND(G6949="Yes", H6949=""), "Gap - Missing Art. 9 Basis", IF(OR(I6949="Invalid - Not Freely Given", I6949="Invalid - Not Specific", I6949="Invalid - Not Informed", I6949="Invalid - Ambiguous"), "Gap - Invalid Consent", "Compliant")))))</f>
        <v/>
      </c>
      <c r="O6949" s="7" t="n"/>
    </row>
    <row r="6950">
      <c r="A6950" s="7" t="n"/>
      <c r="B6950" s="7" t="n"/>
      <c r="C6950" s="7" t="n"/>
      <c r="D6950" s="7" t="n"/>
      <c r="E6950" s="7" t="n"/>
      <c r="F6950" s="7" t="n"/>
      <c r="G6950" s="7" t="n"/>
      <c r="H6950" s="7" t="n"/>
      <c r="I6950" s="7" t="n"/>
      <c r="J6950" s="7" t="n"/>
      <c r="K6950">
        <f>IF(D6950="Legitimate Interest (GDPR Art. 6(1)(f))", "Yes / Required (Sheet 3)", "")</f>
        <v/>
      </c>
      <c r="L6950" s="7" t="n"/>
      <c r="M6950" s="7" t="n"/>
      <c r="N6950">
        <f>IF(D6950="", "Gap - No Legal Basis", IF(AND(D6950="Consent (GDPR Art. 6(1)(a))", I6950="Not Captured"), "Gap - Invalid Consent", IF(AND(D6950="Legitimate Interest (GDPR Art. 6(1)(f))", L6950=""), "Gap - Missing LIA", IF(AND(G6950="Yes", H6950=""), "Gap - Missing Art. 9 Basis", IF(OR(I6950="Invalid - Not Freely Given", I6950="Invalid - Not Specific", I6950="Invalid - Not Informed", I6950="Invalid - Ambiguous"), "Gap - Invalid Consent", "Compliant")))))</f>
        <v/>
      </c>
      <c r="O6950" s="7" t="n"/>
    </row>
    <row r="6951">
      <c r="A6951" s="7" t="n"/>
      <c r="B6951" s="7" t="n"/>
      <c r="C6951" s="7" t="n"/>
      <c r="D6951" s="7" t="n"/>
      <c r="E6951" s="7" t="n"/>
      <c r="F6951" s="7" t="n"/>
      <c r="G6951" s="7" t="n"/>
      <c r="H6951" s="7" t="n"/>
      <c r="I6951" s="7" t="n"/>
      <c r="J6951" s="7" t="n"/>
      <c r="K6951">
        <f>IF(D6951="Legitimate Interest (GDPR Art. 6(1)(f))", "Yes / Required (Sheet 3)", "")</f>
        <v/>
      </c>
      <c r="L6951" s="7" t="n"/>
      <c r="M6951" s="7" t="n"/>
      <c r="N6951">
        <f>IF(D6951="", "Gap - No Legal Basis", IF(AND(D6951="Consent (GDPR Art. 6(1)(a))", I6951="Not Captured"), "Gap - Invalid Consent", IF(AND(D6951="Legitimate Interest (GDPR Art. 6(1)(f))", L6951=""), "Gap - Missing LIA", IF(AND(G6951="Yes", H6951=""), "Gap - Missing Art. 9 Basis", IF(OR(I6951="Invalid - Not Freely Given", I6951="Invalid - Not Specific", I6951="Invalid - Not Informed", I6951="Invalid - Ambiguous"), "Gap - Invalid Consent", "Compliant")))))</f>
        <v/>
      </c>
      <c r="O6951" s="7" t="n"/>
    </row>
    <row r="6952">
      <c r="A6952" s="7" t="n"/>
      <c r="B6952" s="7" t="n"/>
      <c r="C6952" s="7" t="n"/>
      <c r="D6952" s="7" t="n"/>
      <c r="E6952" s="7" t="n"/>
      <c r="F6952" s="7" t="n"/>
      <c r="G6952" s="7" t="n"/>
      <c r="H6952" s="7" t="n"/>
      <c r="I6952" s="7" t="n"/>
      <c r="J6952" s="7" t="n"/>
      <c r="K6952">
        <f>IF(D6952="Legitimate Interest (GDPR Art. 6(1)(f))", "Yes / Required (Sheet 3)", "")</f>
        <v/>
      </c>
      <c r="L6952" s="7" t="n"/>
      <c r="M6952" s="7" t="n"/>
      <c r="N6952">
        <f>IF(D6952="", "Gap - No Legal Basis", IF(AND(D6952="Consent (GDPR Art. 6(1)(a))", I6952="Not Captured"), "Gap - Invalid Consent", IF(AND(D6952="Legitimate Interest (GDPR Art. 6(1)(f))", L6952=""), "Gap - Missing LIA", IF(AND(G6952="Yes", H6952=""), "Gap - Missing Art. 9 Basis", IF(OR(I6952="Invalid - Not Freely Given", I6952="Invalid - Not Specific", I6952="Invalid - Not Informed", I6952="Invalid - Ambiguous"), "Gap - Invalid Consent", "Compliant")))))</f>
        <v/>
      </c>
      <c r="O6952" s="7" t="n"/>
    </row>
    <row r="6953">
      <c r="A6953" s="7" t="n"/>
      <c r="B6953" s="7" t="n"/>
      <c r="C6953" s="7" t="n"/>
      <c r="D6953" s="7" t="n"/>
      <c r="E6953" s="7" t="n"/>
      <c r="F6953" s="7" t="n"/>
      <c r="G6953" s="7" t="n"/>
      <c r="H6953" s="7" t="n"/>
      <c r="I6953" s="7" t="n"/>
      <c r="J6953" s="7" t="n"/>
      <c r="K6953">
        <f>IF(D6953="Legitimate Interest (GDPR Art. 6(1)(f))", "Yes / Required (Sheet 3)", "")</f>
        <v/>
      </c>
      <c r="L6953" s="7" t="n"/>
      <c r="M6953" s="7" t="n"/>
      <c r="N6953">
        <f>IF(D6953="", "Gap - No Legal Basis", IF(AND(D6953="Consent (GDPR Art. 6(1)(a))", I6953="Not Captured"), "Gap - Invalid Consent", IF(AND(D6953="Legitimate Interest (GDPR Art. 6(1)(f))", L6953=""), "Gap - Missing LIA", IF(AND(G6953="Yes", H6953=""), "Gap - Missing Art. 9 Basis", IF(OR(I6953="Invalid - Not Freely Given", I6953="Invalid - Not Specific", I6953="Invalid - Not Informed", I6953="Invalid - Ambiguous"), "Gap - Invalid Consent", "Compliant")))))</f>
        <v/>
      </c>
      <c r="O6953" s="7" t="n"/>
    </row>
    <row r="6954">
      <c r="A6954" s="7" t="n"/>
      <c r="B6954" s="7" t="n"/>
      <c r="C6954" s="7" t="n"/>
      <c r="D6954" s="7" t="n"/>
      <c r="E6954" s="7" t="n"/>
      <c r="F6954" s="7" t="n"/>
      <c r="G6954" s="7" t="n"/>
      <c r="H6954" s="7" t="n"/>
      <c r="I6954" s="7" t="n"/>
      <c r="J6954" s="7" t="n"/>
      <c r="K6954">
        <f>IF(D6954="Legitimate Interest (GDPR Art. 6(1)(f))", "Yes / Required (Sheet 3)", "")</f>
        <v/>
      </c>
      <c r="L6954" s="7" t="n"/>
      <c r="M6954" s="7" t="n"/>
      <c r="N6954">
        <f>IF(D6954="", "Gap - No Legal Basis", IF(AND(D6954="Consent (GDPR Art. 6(1)(a))", I6954="Not Captured"), "Gap - Invalid Consent", IF(AND(D6954="Legitimate Interest (GDPR Art. 6(1)(f))", L6954=""), "Gap - Missing LIA", IF(AND(G6954="Yes", H6954=""), "Gap - Missing Art. 9 Basis", IF(OR(I6954="Invalid - Not Freely Given", I6954="Invalid - Not Specific", I6954="Invalid - Not Informed", I6954="Invalid - Ambiguous"), "Gap - Invalid Consent", "Compliant")))))</f>
        <v/>
      </c>
      <c r="O6954" s="7" t="n"/>
    </row>
    <row r="6955">
      <c r="A6955" s="7" t="n"/>
      <c r="B6955" s="7" t="n"/>
      <c r="C6955" s="7" t="n"/>
      <c r="D6955" s="7" t="n"/>
      <c r="E6955" s="7" t="n"/>
      <c r="F6955" s="7" t="n"/>
      <c r="G6955" s="7" t="n"/>
      <c r="H6955" s="7" t="n"/>
      <c r="I6955" s="7" t="n"/>
      <c r="J6955" s="7" t="n"/>
      <c r="K6955">
        <f>IF(D6955="Legitimate Interest (GDPR Art. 6(1)(f))", "Yes / Required (Sheet 3)", "")</f>
        <v/>
      </c>
      <c r="L6955" s="7" t="n"/>
      <c r="M6955" s="7" t="n"/>
      <c r="N6955">
        <f>IF(D6955="", "Gap - No Legal Basis", IF(AND(D6955="Consent (GDPR Art. 6(1)(a))", I6955="Not Captured"), "Gap - Invalid Consent", IF(AND(D6955="Legitimate Interest (GDPR Art. 6(1)(f))", L6955=""), "Gap - Missing LIA", IF(AND(G6955="Yes", H6955=""), "Gap - Missing Art. 9 Basis", IF(OR(I6955="Invalid - Not Freely Given", I6955="Invalid - Not Specific", I6955="Invalid - Not Informed", I6955="Invalid - Ambiguous"), "Gap - Invalid Consent", "Compliant")))))</f>
        <v/>
      </c>
      <c r="O6955" s="7" t="n"/>
    </row>
    <row r="6956">
      <c r="A6956" s="7" t="n"/>
      <c r="B6956" s="7" t="n"/>
      <c r="C6956" s="7" t="n"/>
      <c r="D6956" s="7" t="n"/>
      <c r="E6956" s="7" t="n"/>
      <c r="F6956" s="7" t="n"/>
      <c r="G6956" s="7" t="n"/>
      <c r="H6956" s="7" t="n"/>
      <c r="I6956" s="7" t="n"/>
      <c r="J6956" s="7" t="n"/>
      <c r="K6956">
        <f>IF(D6956="Legitimate Interest (GDPR Art. 6(1)(f))", "Yes / Required (Sheet 3)", "")</f>
        <v/>
      </c>
      <c r="L6956" s="7" t="n"/>
      <c r="M6956" s="7" t="n"/>
      <c r="N6956">
        <f>IF(D6956="", "Gap - No Legal Basis", IF(AND(D6956="Consent (GDPR Art. 6(1)(a))", I6956="Not Captured"), "Gap - Invalid Consent", IF(AND(D6956="Legitimate Interest (GDPR Art. 6(1)(f))", L6956=""), "Gap - Missing LIA", IF(AND(G6956="Yes", H6956=""), "Gap - Missing Art. 9 Basis", IF(OR(I6956="Invalid - Not Freely Given", I6956="Invalid - Not Specific", I6956="Invalid - Not Informed", I6956="Invalid - Ambiguous"), "Gap - Invalid Consent", "Compliant")))))</f>
        <v/>
      </c>
      <c r="O6956" s="7" t="n"/>
    </row>
    <row r="6957">
      <c r="A6957" s="7" t="n"/>
      <c r="B6957" s="7" t="n"/>
      <c r="C6957" s="7" t="n"/>
      <c r="D6957" s="7" t="n"/>
      <c r="E6957" s="7" t="n"/>
      <c r="F6957" s="7" t="n"/>
      <c r="G6957" s="7" t="n"/>
      <c r="H6957" s="7" t="n"/>
      <c r="I6957" s="7" t="n"/>
      <c r="J6957" s="7" t="n"/>
      <c r="K6957">
        <f>IF(D6957="Legitimate Interest (GDPR Art. 6(1)(f))", "Yes / Required (Sheet 3)", "")</f>
        <v/>
      </c>
      <c r="L6957" s="7" t="n"/>
      <c r="M6957" s="7" t="n"/>
      <c r="N6957">
        <f>IF(D6957="", "Gap - No Legal Basis", IF(AND(D6957="Consent (GDPR Art. 6(1)(a))", I6957="Not Captured"), "Gap - Invalid Consent", IF(AND(D6957="Legitimate Interest (GDPR Art. 6(1)(f))", L6957=""), "Gap - Missing LIA", IF(AND(G6957="Yes", H6957=""), "Gap - Missing Art. 9 Basis", IF(OR(I6957="Invalid - Not Freely Given", I6957="Invalid - Not Specific", I6957="Invalid - Not Informed", I6957="Invalid - Ambiguous"), "Gap - Invalid Consent", "Compliant")))))</f>
        <v/>
      </c>
      <c r="O6957" s="7" t="n"/>
    </row>
    <row r="6958">
      <c r="A6958" s="7" t="n"/>
      <c r="B6958" s="7" t="n"/>
      <c r="C6958" s="7" t="n"/>
      <c r="D6958" s="7" t="n"/>
      <c r="E6958" s="7" t="n"/>
      <c r="F6958" s="7" t="n"/>
      <c r="G6958" s="7" t="n"/>
      <c r="H6958" s="7" t="n"/>
      <c r="I6958" s="7" t="n"/>
      <c r="J6958" s="7" t="n"/>
      <c r="K6958">
        <f>IF(D6958="Legitimate Interest (GDPR Art. 6(1)(f))", "Yes / Required (Sheet 3)", "")</f>
        <v/>
      </c>
      <c r="L6958" s="7" t="n"/>
      <c r="M6958" s="7" t="n"/>
      <c r="N6958">
        <f>IF(D6958="", "Gap - No Legal Basis", IF(AND(D6958="Consent (GDPR Art. 6(1)(a))", I6958="Not Captured"), "Gap - Invalid Consent", IF(AND(D6958="Legitimate Interest (GDPR Art. 6(1)(f))", L6958=""), "Gap - Missing LIA", IF(AND(G6958="Yes", H6958=""), "Gap - Missing Art. 9 Basis", IF(OR(I6958="Invalid - Not Freely Given", I6958="Invalid - Not Specific", I6958="Invalid - Not Informed", I6958="Invalid - Ambiguous"), "Gap - Invalid Consent", "Compliant")))))</f>
        <v/>
      </c>
      <c r="O6958" s="7" t="n"/>
    </row>
    <row r="6959">
      <c r="A6959" s="7" t="n"/>
      <c r="B6959" s="7" t="n"/>
      <c r="C6959" s="7" t="n"/>
      <c r="D6959" s="7" t="n"/>
      <c r="E6959" s="7" t="n"/>
      <c r="F6959" s="7" t="n"/>
      <c r="G6959" s="7" t="n"/>
      <c r="H6959" s="7" t="n"/>
      <c r="I6959" s="7" t="n"/>
      <c r="J6959" s="7" t="n"/>
      <c r="K6959">
        <f>IF(D6959="Legitimate Interest (GDPR Art. 6(1)(f))", "Yes / Required (Sheet 3)", "")</f>
        <v/>
      </c>
      <c r="L6959" s="7" t="n"/>
      <c r="M6959" s="7" t="n"/>
      <c r="N6959">
        <f>IF(D6959="", "Gap - No Legal Basis", IF(AND(D6959="Consent (GDPR Art. 6(1)(a))", I6959="Not Captured"), "Gap - Invalid Consent", IF(AND(D6959="Legitimate Interest (GDPR Art. 6(1)(f))", L6959=""), "Gap - Missing LIA", IF(AND(G6959="Yes", H6959=""), "Gap - Missing Art. 9 Basis", IF(OR(I6959="Invalid - Not Freely Given", I6959="Invalid - Not Specific", I6959="Invalid - Not Informed", I6959="Invalid - Ambiguous"), "Gap - Invalid Consent", "Compliant")))))</f>
        <v/>
      </c>
      <c r="O6959" s="7" t="n"/>
    </row>
    <row r="6960">
      <c r="A6960" s="7" t="n"/>
      <c r="B6960" s="7" t="n"/>
      <c r="C6960" s="7" t="n"/>
      <c r="D6960" s="7" t="n"/>
      <c r="E6960" s="7" t="n"/>
      <c r="F6960" s="7" t="n"/>
      <c r="G6960" s="7" t="n"/>
      <c r="H6960" s="7" t="n"/>
      <c r="I6960" s="7" t="n"/>
      <c r="J6960" s="7" t="n"/>
      <c r="K6960">
        <f>IF(D6960="Legitimate Interest (GDPR Art. 6(1)(f))", "Yes / Required (Sheet 3)", "")</f>
        <v/>
      </c>
      <c r="L6960" s="7" t="n"/>
      <c r="M6960" s="7" t="n"/>
      <c r="N6960">
        <f>IF(D6960="", "Gap - No Legal Basis", IF(AND(D6960="Consent (GDPR Art. 6(1)(a))", I6960="Not Captured"), "Gap - Invalid Consent", IF(AND(D6960="Legitimate Interest (GDPR Art. 6(1)(f))", L6960=""), "Gap - Missing LIA", IF(AND(G6960="Yes", H6960=""), "Gap - Missing Art. 9 Basis", IF(OR(I6960="Invalid - Not Freely Given", I6960="Invalid - Not Specific", I6960="Invalid - Not Informed", I6960="Invalid - Ambiguous"), "Gap - Invalid Consent", "Compliant")))))</f>
        <v/>
      </c>
      <c r="O6960" s="7" t="n"/>
    </row>
    <row r="6961">
      <c r="A6961" s="7" t="n"/>
      <c r="B6961" s="7" t="n"/>
      <c r="C6961" s="7" t="n"/>
      <c r="D6961" s="7" t="n"/>
      <c r="E6961" s="7" t="n"/>
      <c r="F6961" s="7" t="n"/>
      <c r="G6961" s="7" t="n"/>
      <c r="H6961" s="7" t="n"/>
      <c r="I6961" s="7" t="n"/>
      <c r="J6961" s="7" t="n"/>
      <c r="K6961">
        <f>IF(D6961="Legitimate Interest (GDPR Art. 6(1)(f))", "Yes / Required (Sheet 3)", "")</f>
        <v/>
      </c>
      <c r="L6961" s="7" t="n"/>
      <c r="M6961" s="7" t="n"/>
      <c r="N6961">
        <f>IF(D6961="", "Gap - No Legal Basis", IF(AND(D6961="Consent (GDPR Art. 6(1)(a))", I6961="Not Captured"), "Gap - Invalid Consent", IF(AND(D6961="Legitimate Interest (GDPR Art. 6(1)(f))", L6961=""), "Gap - Missing LIA", IF(AND(G6961="Yes", H6961=""), "Gap - Missing Art. 9 Basis", IF(OR(I6961="Invalid - Not Freely Given", I6961="Invalid - Not Specific", I6961="Invalid - Not Informed", I6961="Invalid - Ambiguous"), "Gap - Invalid Consent", "Compliant")))))</f>
        <v/>
      </c>
      <c r="O6961" s="7" t="n"/>
    </row>
    <row r="6962">
      <c r="A6962" s="7" t="n"/>
      <c r="B6962" s="7" t="n"/>
      <c r="C6962" s="7" t="n"/>
      <c r="D6962" s="7" t="n"/>
      <c r="E6962" s="7" t="n"/>
      <c r="F6962" s="7" t="n"/>
      <c r="G6962" s="7" t="n"/>
      <c r="H6962" s="7" t="n"/>
      <c r="I6962" s="7" t="n"/>
      <c r="J6962" s="7" t="n"/>
      <c r="K6962">
        <f>IF(D6962="Legitimate Interest (GDPR Art. 6(1)(f))", "Yes / Required (Sheet 3)", "")</f>
        <v/>
      </c>
      <c r="L6962" s="7" t="n"/>
      <c r="M6962" s="7" t="n"/>
      <c r="N6962">
        <f>IF(D6962="", "Gap - No Legal Basis", IF(AND(D6962="Consent (GDPR Art. 6(1)(a))", I6962="Not Captured"), "Gap - Invalid Consent", IF(AND(D6962="Legitimate Interest (GDPR Art. 6(1)(f))", L6962=""), "Gap - Missing LIA", IF(AND(G6962="Yes", H6962=""), "Gap - Missing Art. 9 Basis", IF(OR(I6962="Invalid - Not Freely Given", I6962="Invalid - Not Specific", I6962="Invalid - Not Informed", I6962="Invalid - Ambiguous"), "Gap - Invalid Consent", "Compliant")))))</f>
        <v/>
      </c>
      <c r="O6962" s="7" t="n"/>
    </row>
    <row r="6963">
      <c r="A6963" s="7" t="n"/>
      <c r="B6963" s="7" t="n"/>
      <c r="C6963" s="7" t="n"/>
      <c r="D6963" s="7" t="n"/>
      <c r="E6963" s="7" t="n"/>
      <c r="F6963" s="7" t="n"/>
      <c r="G6963" s="7" t="n"/>
      <c r="H6963" s="7" t="n"/>
      <c r="I6963" s="7" t="n"/>
      <c r="J6963" s="7" t="n"/>
      <c r="K6963">
        <f>IF(D6963="Legitimate Interest (GDPR Art. 6(1)(f))", "Yes / Required (Sheet 3)", "")</f>
        <v/>
      </c>
      <c r="L6963" s="7" t="n"/>
      <c r="M6963" s="7" t="n"/>
      <c r="N6963">
        <f>IF(D6963="", "Gap - No Legal Basis", IF(AND(D6963="Consent (GDPR Art. 6(1)(a))", I6963="Not Captured"), "Gap - Invalid Consent", IF(AND(D6963="Legitimate Interest (GDPR Art. 6(1)(f))", L6963=""), "Gap - Missing LIA", IF(AND(G6963="Yes", H6963=""), "Gap - Missing Art. 9 Basis", IF(OR(I6963="Invalid - Not Freely Given", I6963="Invalid - Not Specific", I6963="Invalid - Not Informed", I6963="Invalid - Ambiguous"), "Gap - Invalid Consent", "Compliant")))))</f>
        <v/>
      </c>
      <c r="O6963" s="7" t="n"/>
    </row>
    <row r="6964">
      <c r="A6964" s="7" t="n"/>
      <c r="B6964" s="7" t="n"/>
      <c r="C6964" s="7" t="n"/>
      <c r="D6964" s="7" t="n"/>
      <c r="E6964" s="7" t="n"/>
      <c r="F6964" s="7" t="n"/>
      <c r="G6964" s="7" t="n"/>
      <c r="H6964" s="7" t="n"/>
      <c r="I6964" s="7" t="n"/>
      <c r="J6964" s="7" t="n"/>
      <c r="K6964">
        <f>IF(D6964="Legitimate Interest (GDPR Art. 6(1)(f))", "Yes / Required (Sheet 3)", "")</f>
        <v/>
      </c>
      <c r="L6964" s="7" t="n"/>
      <c r="M6964" s="7" t="n"/>
      <c r="N6964">
        <f>IF(D6964="", "Gap - No Legal Basis", IF(AND(D6964="Consent (GDPR Art. 6(1)(a))", I6964="Not Captured"), "Gap - Invalid Consent", IF(AND(D6964="Legitimate Interest (GDPR Art. 6(1)(f))", L6964=""), "Gap - Missing LIA", IF(AND(G6964="Yes", H6964=""), "Gap - Missing Art. 9 Basis", IF(OR(I6964="Invalid - Not Freely Given", I6964="Invalid - Not Specific", I6964="Invalid - Not Informed", I6964="Invalid - Ambiguous"), "Gap - Invalid Consent", "Compliant")))))</f>
        <v/>
      </c>
      <c r="O6964" s="7" t="n"/>
    </row>
    <row r="6965">
      <c r="A6965" s="7" t="n"/>
      <c r="B6965" s="7" t="n"/>
      <c r="C6965" s="7" t="n"/>
      <c r="D6965" s="7" t="n"/>
      <c r="E6965" s="7" t="n"/>
      <c r="F6965" s="7" t="n"/>
      <c r="G6965" s="7" t="n"/>
      <c r="H6965" s="7" t="n"/>
      <c r="I6965" s="7" t="n"/>
      <c r="J6965" s="7" t="n"/>
      <c r="K6965">
        <f>IF(D6965="Legitimate Interest (GDPR Art. 6(1)(f))", "Yes / Required (Sheet 3)", "")</f>
        <v/>
      </c>
      <c r="L6965" s="7" t="n"/>
      <c r="M6965" s="7" t="n"/>
      <c r="N6965">
        <f>IF(D6965="", "Gap - No Legal Basis", IF(AND(D6965="Consent (GDPR Art. 6(1)(a))", I6965="Not Captured"), "Gap - Invalid Consent", IF(AND(D6965="Legitimate Interest (GDPR Art. 6(1)(f))", L6965=""), "Gap - Missing LIA", IF(AND(G6965="Yes", H6965=""), "Gap - Missing Art. 9 Basis", IF(OR(I6965="Invalid - Not Freely Given", I6965="Invalid - Not Specific", I6965="Invalid - Not Informed", I6965="Invalid - Ambiguous"), "Gap - Invalid Consent", "Compliant")))))</f>
        <v/>
      </c>
      <c r="O6965" s="7" t="n"/>
    </row>
    <row r="6966">
      <c r="A6966" s="7" t="n"/>
      <c r="B6966" s="7" t="n"/>
      <c r="C6966" s="7" t="n"/>
      <c r="D6966" s="7" t="n"/>
      <c r="E6966" s="7" t="n"/>
      <c r="F6966" s="7" t="n"/>
      <c r="G6966" s="7" t="n"/>
      <c r="H6966" s="7" t="n"/>
      <c r="I6966" s="7" t="n"/>
      <c r="J6966" s="7" t="n"/>
      <c r="K6966">
        <f>IF(D6966="Legitimate Interest (GDPR Art. 6(1)(f))", "Yes / Required (Sheet 3)", "")</f>
        <v/>
      </c>
      <c r="L6966" s="7" t="n"/>
      <c r="M6966" s="7" t="n"/>
      <c r="N6966">
        <f>IF(D6966="", "Gap - No Legal Basis", IF(AND(D6966="Consent (GDPR Art. 6(1)(a))", I6966="Not Captured"), "Gap - Invalid Consent", IF(AND(D6966="Legitimate Interest (GDPR Art. 6(1)(f))", L6966=""), "Gap - Missing LIA", IF(AND(G6966="Yes", H6966=""), "Gap - Missing Art. 9 Basis", IF(OR(I6966="Invalid - Not Freely Given", I6966="Invalid - Not Specific", I6966="Invalid - Not Informed", I6966="Invalid - Ambiguous"), "Gap - Invalid Consent", "Compliant")))))</f>
        <v/>
      </c>
      <c r="O6966" s="7" t="n"/>
    </row>
    <row r="6967">
      <c r="A6967" s="7" t="n"/>
      <c r="B6967" s="7" t="n"/>
      <c r="C6967" s="7" t="n"/>
      <c r="D6967" s="7" t="n"/>
      <c r="E6967" s="7" t="n"/>
      <c r="F6967" s="7" t="n"/>
      <c r="G6967" s="7" t="n"/>
      <c r="H6967" s="7" t="n"/>
      <c r="I6967" s="7" t="n"/>
      <c r="J6967" s="7" t="n"/>
      <c r="K6967">
        <f>IF(D6967="Legitimate Interest (GDPR Art. 6(1)(f))", "Yes / Required (Sheet 3)", "")</f>
        <v/>
      </c>
      <c r="L6967" s="7" t="n"/>
      <c r="M6967" s="7" t="n"/>
      <c r="N6967">
        <f>IF(D6967="", "Gap - No Legal Basis", IF(AND(D6967="Consent (GDPR Art. 6(1)(a))", I6967="Not Captured"), "Gap - Invalid Consent", IF(AND(D6967="Legitimate Interest (GDPR Art. 6(1)(f))", L6967=""), "Gap - Missing LIA", IF(AND(G6967="Yes", H6967=""), "Gap - Missing Art. 9 Basis", IF(OR(I6967="Invalid - Not Freely Given", I6967="Invalid - Not Specific", I6967="Invalid - Not Informed", I6967="Invalid - Ambiguous"), "Gap - Invalid Consent", "Compliant")))))</f>
        <v/>
      </c>
      <c r="O6967" s="7" t="n"/>
    </row>
    <row r="6968">
      <c r="A6968" s="7" t="n"/>
      <c r="B6968" s="7" t="n"/>
      <c r="C6968" s="7" t="n"/>
      <c r="D6968" s="7" t="n"/>
      <c r="E6968" s="7" t="n"/>
      <c r="F6968" s="7" t="n"/>
      <c r="G6968" s="7" t="n"/>
      <c r="H6968" s="7" t="n"/>
      <c r="I6968" s="7" t="n"/>
      <c r="J6968" s="7" t="n"/>
      <c r="K6968">
        <f>IF(D6968="Legitimate Interest (GDPR Art. 6(1)(f))", "Yes / Required (Sheet 3)", "")</f>
        <v/>
      </c>
      <c r="L6968" s="7" t="n"/>
      <c r="M6968" s="7" t="n"/>
      <c r="N6968">
        <f>IF(D6968="", "Gap - No Legal Basis", IF(AND(D6968="Consent (GDPR Art. 6(1)(a))", I6968="Not Captured"), "Gap - Invalid Consent", IF(AND(D6968="Legitimate Interest (GDPR Art. 6(1)(f))", L6968=""), "Gap - Missing LIA", IF(AND(G6968="Yes", H6968=""), "Gap - Missing Art. 9 Basis", IF(OR(I6968="Invalid - Not Freely Given", I6968="Invalid - Not Specific", I6968="Invalid - Not Informed", I6968="Invalid - Ambiguous"), "Gap - Invalid Consent", "Compliant")))))</f>
        <v/>
      </c>
      <c r="O6968" s="7" t="n"/>
    </row>
    <row r="6969">
      <c r="A6969" s="7" t="n"/>
      <c r="B6969" s="7" t="n"/>
      <c r="C6969" s="7" t="n"/>
      <c r="D6969" s="7" t="n"/>
      <c r="E6969" s="7" t="n"/>
      <c r="F6969" s="7" t="n"/>
      <c r="G6969" s="7" t="n"/>
      <c r="H6969" s="7" t="n"/>
      <c r="I6969" s="7" t="n"/>
      <c r="J6969" s="7" t="n"/>
      <c r="K6969">
        <f>IF(D6969="Legitimate Interest (GDPR Art. 6(1)(f))", "Yes / Required (Sheet 3)", "")</f>
        <v/>
      </c>
      <c r="L6969" s="7" t="n"/>
      <c r="M6969" s="7" t="n"/>
      <c r="N6969">
        <f>IF(D6969="", "Gap - No Legal Basis", IF(AND(D6969="Consent (GDPR Art. 6(1)(a))", I6969="Not Captured"), "Gap - Invalid Consent", IF(AND(D6969="Legitimate Interest (GDPR Art. 6(1)(f))", L6969=""), "Gap - Missing LIA", IF(AND(G6969="Yes", H6969=""), "Gap - Missing Art. 9 Basis", IF(OR(I6969="Invalid - Not Freely Given", I6969="Invalid - Not Specific", I6969="Invalid - Not Informed", I6969="Invalid - Ambiguous"), "Gap - Invalid Consent", "Compliant")))))</f>
        <v/>
      </c>
      <c r="O6969" s="7" t="n"/>
    </row>
    <row r="6970">
      <c r="A6970" s="7" t="n"/>
      <c r="B6970" s="7" t="n"/>
      <c r="C6970" s="7" t="n"/>
      <c r="D6970" s="7" t="n"/>
      <c r="E6970" s="7" t="n"/>
      <c r="F6970" s="7" t="n"/>
      <c r="G6970" s="7" t="n"/>
      <c r="H6970" s="7" t="n"/>
      <c r="I6970" s="7" t="n"/>
      <c r="J6970" s="7" t="n"/>
      <c r="K6970">
        <f>IF(D6970="Legitimate Interest (GDPR Art. 6(1)(f))", "Yes / Required (Sheet 3)", "")</f>
        <v/>
      </c>
      <c r="L6970" s="7" t="n"/>
      <c r="M6970" s="7" t="n"/>
      <c r="N6970">
        <f>IF(D6970="", "Gap - No Legal Basis", IF(AND(D6970="Consent (GDPR Art. 6(1)(a))", I6970="Not Captured"), "Gap - Invalid Consent", IF(AND(D6970="Legitimate Interest (GDPR Art. 6(1)(f))", L6970=""), "Gap - Missing LIA", IF(AND(G6970="Yes", H6970=""), "Gap - Missing Art. 9 Basis", IF(OR(I6970="Invalid - Not Freely Given", I6970="Invalid - Not Specific", I6970="Invalid - Not Informed", I6970="Invalid - Ambiguous"), "Gap - Invalid Consent", "Compliant")))))</f>
        <v/>
      </c>
      <c r="O6970" s="7" t="n"/>
    </row>
    <row r="6971">
      <c r="A6971" s="7" t="n"/>
      <c r="B6971" s="7" t="n"/>
      <c r="C6971" s="7" t="n"/>
      <c r="D6971" s="7" t="n"/>
      <c r="E6971" s="7" t="n"/>
      <c r="F6971" s="7" t="n"/>
      <c r="G6971" s="7" t="n"/>
      <c r="H6971" s="7" t="n"/>
      <c r="I6971" s="7" t="n"/>
      <c r="J6971" s="7" t="n"/>
      <c r="K6971">
        <f>IF(D6971="Legitimate Interest (GDPR Art. 6(1)(f))", "Yes / Required (Sheet 3)", "")</f>
        <v/>
      </c>
      <c r="L6971" s="7" t="n"/>
      <c r="M6971" s="7" t="n"/>
      <c r="N6971">
        <f>IF(D6971="", "Gap - No Legal Basis", IF(AND(D6971="Consent (GDPR Art. 6(1)(a))", I6971="Not Captured"), "Gap - Invalid Consent", IF(AND(D6971="Legitimate Interest (GDPR Art. 6(1)(f))", L6971=""), "Gap - Missing LIA", IF(AND(G6971="Yes", H6971=""), "Gap - Missing Art. 9 Basis", IF(OR(I6971="Invalid - Not Freely Given", I6971="Invalid - Not Specific", I6971="Invalid - Not Informed", I6971="Invalid - Ambiguous"), "Gap - Invalid Consent", "Compliant")))))</f>
        <v/>
      </c>
      <c r="O6971" s="7" t="n"/>
    </row>
    <row r="6972">
      <c r="A6972" s="7" t="n"/>
      <c r="B6972" s="7" t="n"/>
      <c r="C6972" s="7" t="n"/>
      <c r="D6972" s="7" t="n"/>
      <c r="E6972" s="7" t="n"/>
      <c r="F6972" s="7" t="n"/>
      <c r="G6972" s="7" t="n"/>
      <c r="H6972" s="7" t="n"/>
      <c r="I6972" s="7" t="n"/>
      <c r="J6972" s="7" t="n"/>
      <c r="K6972">
        <f>IF(D6972="Legitimate Interest (GDPR Art. 6(1)(f))", "Yes / Required (Sheet 3)", "")</f>
        <v/>
      </c>
      <c r="L6972" s="7" t="n"/>
      <c r="M6972" s="7" t="n"/>
      <c r="N6972">
        <f>IF(D6972="", "Gap - No Legal Basis", IF(AND(D6972="Consent (GDPR Art. 6(1)(a))", I6972="Not Captured"), "Gap - Invalid Consent", IF(AND(D6972="Legitimate Interest (GDPR Art. 6(1)(f))", L6972=""), "Gap - Missing LIA", IF(AND(G6972="Yes", H6972=""), "Gap - Missing Art. 9 Basis", IF(OR(I6972="Invalid - Not Freely Given", I6972="Invalid - Not Specific", I6972="Invalid - Not Informed", I6972="Invalid - Ambiguous"), "Gap - Invalid Consent", "Compliant")))))</f>
        <v/>
      </c>
      <c r="O6972" s="7" t="n"/>
    </row>
    <row r="6973">
      <c r="A6973" s="7" t="n"/>
      <c r="B6973" s="7" t="n"/>
      <c r="C6973" s="7" t="n"/>
      <c r="D6973" s="7" t="n"/>
      <c r="E6973" s="7" t="n"/>
      <c r="F6973" s="7" t="n"/>
      <c r="G6973" s="7" t="n"/>
      <c r="H6973" s="7" t="n"/>
      <c r="I6973" s="7" t="n"/>
      <c r="J6973" s="7" t="n"/>
      <c r="K6973">
        <f>IF(D6973="Legitimate Interest (GDPR Art. 6(1)(f))", "Yes / Required (Sheet 3)", "")</f>
        <v/>
      </c>
      <c r="L6973" s="7" t="n"/>
      <c r="M6973" s="7" t="n"/>
      <c r="N6973">
        <f>IF(D6973="", "Gap - No Legal Basis", IF(AND(D6973="Consent (GDPR Art. 6(1)(a))", I6973="Not Captured"), "Gap - Invalid Consent", IF(AND(D6973="Legitimate Interest (GDPR Art. 6(1)(f))", L6973=""), "Gap - Missing LIA", IF(AND(G6973="Yes", H6973=""), "Gap - Missing Art. 9 Basis", IF(OR(I6973="Invalid - Not Freely Given", I6973="Invalid - Not Specific", I6973="Invalid - Not Informed", I6973="Invalid - Ambiguous"), "Gap - Invalid Consent", "Compliant")))))</f>
        <v/>
      </c>
      <c r="O6973" s="7" t="n"/>
    </row>
    <row r="6974">
      <c r="A6974" s="7" t="n"/>
      <c r="B6974" s="7" t="n"/>
      <c r="C6974" s="7" t="n"/>
      <c r="D6974" s="7" t="n"/>
      <c r="E6974" s="7" t="n"/>
      <c r="F6974" s="7" t="n"/>
      <c r="G6974" s="7" t="n"/>
      <c r="H6974" s="7" t="n"/>
      <c r="I6974" s="7" t="n"/>
      <c r="J6974" s="7" t="n"/>
      <c r="K6974">
        <f>IF(D6974="Legitimate Interest (GDPR Art. 6(1)(f))", "Yes / Required (Sheet 3)", "")</f>
        <v/>
      </c>
      <c r="L6974" s="7" t="n"/>
      <c r="M6974" s="7" t="n"/>
      <c r="N6974">
        <f>IF(D6974="", "Gap - No Legal Basis", IF(AND(D6974="Consent (GDPR Art. 6(1)(a))", I6974="Not Captured"), "Gap - Invalid Consent", IF(AND(D6974="Legitimate Interest (GDPR Art. 6(1)(f))", L6974=""), "Gap - Missing LIA", IF(AND(G6974="Yes", H6974=""), "Gap - Missing Art. 9 Basis", IF(OR(I6974="Invalid - Not Freely Given", I6974="Invalid - Not Specific", I6974="Invalid - Not Informed", I6974="Invalid - Ambiguous"), "Gap - Invalid Consent", "Compliant")))))</f>
        <v/>
      </c>
      <c r="O6974" s="7" t="n"/>
    </row>
    <row r="6975">
      <c r="A6975" s="7" t="n"/>
      <c r="B6975" s="7" t="n"/>
      <c r="C6975" s="7" t="n"/>
      <c r="D6975" s="7" t="n"/>
      <c r="E6975" s="7" t="n"/>
      <c r="F6975" s="7" t="n"/>
      <c r="G6975" s="7" t="n"/>
      <c r="H6975" s="7" t="n"/>
      <c r="I6975" s="7" t="n"/>
      <c r="J6975" s="7" t="n"/>
      <c r="K6975">
        <f>IF(D6975="Legitimate Interest (GDPR Art. 6(1)(f))", "Yes / Required (Sheet 3)", "")</f>
        <v/>
      </c>
      <c r="L6975" s="7" t="n"/>
      <c r="M6975" s="7" t="n"/>
      <c r="N6975">
        <f>IF(D6975="", "Gap - No Legal Basis", IF(AND(D6975="Consent (GDPR Art. 6(1)(a))", I6975="Not Captured"), "Gap - Invalid Consent", IF(AND(D6975="Legitimate Interest (GDPR Art. 6(1)(f))", L6975=""), "Gap - Missing LIA", IF(AND(G6975="Yes", H6975=""), "Gap - Missing Art. 9 Basis", IF(OR(I6975="Invalid - Not Freely Given", I6975="Invalid - Not Specific", I6975="Invalid - Not Informed", I6975="Invalid - Ambiguous"), "Gap - Invalid Consent", "Compliant")))))</f>
        <v/>
      </c>
      <c r="O6975" s="7" t="n"/>
    </row>
    <row r="6976">
      <c r="A6976" s="7" t="n"/>
      <c r="B6976" s="7" t="n"/>
      <c r="C6976" s="7" t="n"/>
      <c r="D6976" s="7" t="n"/>
      <c r="E6976" s="7" t="n"/>
      <c r="F6976" s="7" t="n"/>
      <c r="G6976" s="7" t="n"/>
      <c r="H6976" s="7" t="n"/>
      <c r="I6976" s="7" t="n"/>
      <c r="J6976" s="7" t="n"/>
      <c r="K6976">
        <f>IF(D6976="Legitimate Interest (GDPR Art. 6(1)(f))", "Yes / Required (Sheet 3)", "")</f>
        <v/>
      </c>
      <c r="L6976" s="7" t="n"/>
      <c r="M6976" s="7" t="n"/>
      <c r="N6976">
        <f>IF(D6976="", "Gap - No Legal Basis", IF(AND(D6976="Consent (GDPR Art. 6(1)(a))", I6976="Not Captured"), "Gap - Invalid Consent", IF(AND(D6976="Legitimate Interest (GDPR Art. 6(1)(f))", L6976=""), "Gap - Missing LIA", IF(AND(G6976="Yes", H6976=""), "Gap - Missing Art. 9 Basis", IF(OR(I6976="Invalid - Not Freely Given", I6976="Invalid - Not Specific", I6976="Invalid - Not Informed", I6976="Invalid - Ambiguous"), "Gap - Invalid Consent", "Compliant")))))</f>
        <v/>
      </c>
      <c r="O6976" s="7" t="n"/>
    </row>
    <row r="6977">
      <c r="A6977" s="7" t="n"/>
      <c r="B6977" s="7" t="n"/>
      <c r="C6977" s="7" t="n"/>
      <c r="D6977" s="7" t="n"/>
      <c r="E6977" s="7" t="n"/>
      <c r="F6977" s="7" t="n"/>
      <c r="G6977" s="7" t="n"/>
      <c r="H6977" s="7" t="n"/>
      <c r="I6977" s="7" t="n"/>
      <c r="J6977" s="7" t="n"/>
      <c r="K6977">
        <f>IF(D6977="Legitimate Interest (GDPR Art. 6(1)(f))", "Yes / Required (Sheet 3)", "")</f>
        <v/>
      </c>
      <c r="L6977" s="7" t="n"/>
      <c r="M6977" s="7" t="n"/>
      <c r="N6977">
        <f>IF(D6977="", "Gap - No Legal Basis", IF(AND(D6977="Consent (GDPR Art. 6(1)(a))", I6977="Not Captured"), "Gap - Invalid Consent", IF(AND(D6977="Legitimate Interest (GDPR Art. 6(1)(f))", L6977=""), "Gap - Missing LIA", IF(AND(G6977="Yes", H6977=""), "Gap - Missing Art. 9 Basis", IF(OR(I6977="Invalid - Not Freely Given", I6977="Invalid - Not Specific", I6977="Invalid - Not Informed", I6977="Invalid - Ambiguous"), "Gap - Invalid Consent", "Compliant")))))</f>
        <v/>
      </c>
      <c r="O6977" s="7" t="n"/>
    </row>
    <row r="6978">
      <c r="A6978" s="7" t="n"/>
      <c r="B6978" s="7" t="n"/>
      <c r="C6978" s="7" t="n"/>
      <c r="D6978" s="7" t="n"/>
      <c r="E6978" s="7" t="n"/>
      <c r="F6978" s="7" t="n"/>
      <c r="G6978" s="7" t="n"/>
      <c r="H6978" s="7" t="n"/>
      <c r="I6978" s="7" t="n"/>
      <c r="J6978" s="7" t="n"/>
      <c r="K6978">
        <f>IF(D6978="Legitimate Interest (GDPR Art. 6(1)(f))", "Yes / Required (Sheet 3)", "")</f>
        <v/>
      </c>
      <c r="L6978" s="7" t="n"/>
      <c r="M6978" s="7" t="n"/>
      <c r="N6978">
        <f>IF(D6978="", "Gap - No Legal Basis", IF(AND(D6978="Consent (GDPR Art. 6(1)(a))", I6978="Not Captured"), "Gap - Invalid Consent", IF(AND(D6978="Legitimate Interest (GDPR Art. 6(1)(f))", L6978=""), "Gap - Missing LIA", IF(AND(G6978="Yes", H6978=""), "Gap - Missing Art. 9 Basis", IF(OR(I6978="Invalid - Not Freely Given", I6978="Invalid - Not Specific", I6978="Invalid - Not Informed", I6978="Invalid - Ambiguous"), "Gap - Invalid Consent", "Compliant")))))</f>
        <v/>
      </c>
      <c r="O6978" s="7" t="n"/>
    </row>
    <row r="6979">
      <c r="A6979" s="7" t="n"/>
      <c r="B6979" s="7" t="n"/>
      <c r="C6979" s="7" t="n"/>
      <c r="D6979" s="7" t="n"/>
      <c r="E6979" s="7" t="n"/>
      <c r="F6979" s="7" t="n"/>
      <c r="G6979" s="7" t="n"/>
      <c r="H6979" s="7" t="n"/>
      <c r="I6979" s="7" t="n"/>
      <c r="J6979" s="7" t="n"/>
      <c r="K6979">
        <f>IF(D6979="Legitimate Interest (GDPR Art. 6(1)(f))", "Yes / Required (Sheet 3)", "")</f>
        <v/>
      </c>
      <c r="L6979" s="7" t="n"/>
      <c r="M6979" s="7" t="n"/>
      <c r="N6979">
        <f>IF(D6979="", "Gap - No Legal Basis", IF(AND(D6979="Consent (GDPR Art. 6(1)(a))", I6979="Not Captured"), "Gap - Invalid Consent", IF(AND(D6979="Legitimate Interest (GDPR Art. 6(1)(f))", L6979=""), "Gap - Missing LIA", IF(AND(G6979="Yes", H6979=""), "Gap - Missing Art. 9 Basis", IF(OR(I6979="Invalid - Not Freely Given", I6979="Invalid - Not Specific", I6979="Invalid - Not Informed", I6979="Invalid - Ambiguous"), "Gap - Invalid Consent", "Compliant")))))</f>
        <v/>
      </c>
      <c r="O6979" s="7" t="n"/>
    </row>
    <row r="6980">
      <c r="A6980" s="7" t="n"/>
      <c r="B6980" s="7" t="n"/>
      <c r="C6980" s="7" t="n"/>
      <c r="D6980" s="7" t="n"/>
      <c r="E6980" s="7" t="n"/>
      <c r="F6980" s="7" t="n"/>
      <c r="G6980" s="7" t="n"/>
      <c r="H6980" s="7" t="n"/>
      <c r="I6980" s="7" t="n"/>
      <c r="J6980" s="7" t="n"/>
      <c r="K6980">
        <f>IF(D6980="Legitimate Interest (GDPR Art. 6(1)(f))", "Yes / Required (Sheet 3)", "")</f>
        <v/>
      </c>
      <c r="L6980" s="7" t="n"/>
      <c r="M6980" s="7" t="n"/>
      <c r="N6980">
        <f>IF(D6980="", "Gap - No Legal Basis", IF(AND(D6980="Consent (GDPR Art. 6(1)(a))", I6980="Not Captured"), "Gap - Invalid Consent", IF(AND(D6980="Legitimate Interest (GDPR Art. 6(1)(f))", L6980=""), "Gap - Missing LIA", IF(AND(G6980="Yes", H6980=""), "Gap - Missing Art. 9 Basis", IF(OR(I6980="Invalid - Not Freely Given", I6980="Invalid - Not Specific", I6980="Invalid - Not Informed", I6980="Invalid - Ambiguous"), "Gap - Invalid Consent", "Compliant")))))</f>
        <v/>
      </c>
      <c r="O6980" s="7" t="n"/>
    </row>
    <row r="6981">
      <c r="A6981" s="7" t="n"/>
      <c r="B6981" s="7" t="n"/>
      <c r="C6981" s="7" t="n"/>
      <c r="D6981" s="7" t="n"/>
      <c r="E6981" s="7" t="n"/>
      <c r="F6981" s="7" t="n"/>
      <c r="G6981" s="7" t="n"/>
      <c r="H6981" s="7" t="n"/>
      <c r="I6981" s="7" t="n"/>
      <c r="J6981" s="7" t="n"/>
      <c r="K6981">
        <f>IF(D6981="Legitimate Interest (GDPR Art. 6(1)(f))", "Yes / Required (Sheet 3)", "")</f>
        <v/>
      </c>
      <c r="L6981" s="7" t="n"/>
      <c r="M6981" s="7" t="n"/>
      <c r="N6981">
        <f>IF(D6981="", "Gap - No Legal Basis", IF(AND(D6981="Consent (GDPR Art. 6(1)(a))", I6981="Not Captured"), "Gap - Invalid Consent", IF(AND(D6981="Legitimate Interest (GDPR Art. 6(1)(f))", L6981=""), "Gap - Missing LIA", IF(AND(G6981="Yes", H6981=""), "Gap - Missing Art. 9 Basis", IF(OR(I6981="Invalid - Not Freely Given", I6981="Invalid - Not Specific", I6981="Invalid - Not Informed", I6981="Invalid - Ambiguous"), "Gap - Invalid Consent", "Compliant")))))</f>
        <v/>
      </c>
      <c r="O6981" s="7" t="n"/>
    </row>
    <row r="6982">
      <c r="A6982" s="7" t="n"/>
      <c r="B6982" s="7" t="n"/>
      <c r="C6982" s="7" t="n"/>
      <c r="D6982" s="7" t="n"/>
      <c r="E6982" s="7" t="n"/>
      <c r="F6982" s="7" t="n"/>
      <c r="G6982" s="7" t="n"/>
      <c r="H6982" s="7" t="n"/>
      <c r="I6982" s="7" t="n"/>
      <c r="J6982" s="7" t="n"/>
      <c r="K6982">
        <f>IF(D6982="Legitimate Interest (GDPR Art. 6(1)(f))", "Yes / Required (Sheet 3)", "")</f>
        <v/>
      </c>
      <c r="L6982" s="7" t="n"/>
      <c r="M6982" s="7" t="n"/>
      <c r="N6982">
        <f>IF(D6982="", "Gap - No Legal Basis", IF(AND(D6982="Consent (GDPR Art. 6(1)(a))", I6982="Not Captured"), "Gap - Invalid Consent", IF(AND(D6982="Legitimate Interest (GDPR Art. 6(1)(f))", L6982=""), "Gap - Missing LIA", IF(AND(G6982="Yes", H6982=""), "Gap - Missing Art. 9 Basis", IF(OR(I6982="Invalid - Not Freely Given", I6982="Invalid - Not Specific", I6982="Invalid - Not Informed", I6982="Invalid - Ambiguous"), "Gap - Invalid Consent", "Compliant")))))</f>
        <v/>
      </c>
      <c r="O6982" s="7" t="n"/>
    </row>
    <row r="6983">
      <c r="A6983" s="7" t="n"/>
      <c r="B6983" s="7" t="n"/>
      <c r="C6983" s="7" t="n"/>
      <c r="D6983" s="7" t="n"/>
      <c r="E6983" s="7" t="n"/>
      <c r="F6983" s="7" t="n"/>
      <c r="G6983" s="7" t="n"/>
      <c r="H6983" s="7" t="n"/>
      <c r="I6983" s="7" t="n"/>
      <c r="J6983" s="7" t="n"/>
      <c r="K6983">
        <f>IF(D6983="Legitimate Interest (GDPR Art. 6(1)(f))", "Yes / Required (Sheet 3)", "")</f>
        <v/>
      </c>
      <c r="L6983" s="7" t="n"/>
      <c r="M6983" s="7" t="n"/>
      <c r="N6983">
        <f>IF(D6983="", "Gap - No Legal Basis", IF(AND(D6983="Consent (GDPR Art. 6(1)(a))", I6983="Not Captured"), "Gap - Invalid Consent", IF(AND(D6983="Legitimate Interest (GDPR Art. 6(1)(f))", L6983=""), "Gap - Missing LIA", IF(AND(G6983="Yes", H6983=""), "Gap - Missing Art. 9 Basis", IF(OR(I6983="Invalid - Not Freely Given", I6983="Invalid - Not Specific", I6983="Invalid - Not Informed", I6983="Invalid - Ambiguous"), "Gap - Invalid Consent", "Compliant")))))</f>
        <v/>
      </c>
      <c r="O6983" s="7" t="n"/>
    </row>
    <row r="6984">
      <c r="A6984" s="7" t="n"/>
      <c r="B6984" s="7" t="n"/>
      <c r="C6984" s="7" t="n"/>
      <c r="D6984" s="7" t="n"/>
      <c r="E6984" s="7" t="n"/>
      <c r="F6984" s="7" t="n"/>
      <c r="G6984" s="7" t="n"/>
      <c r="H6984" s="7" t="n"/>
      <c r="I6984" s="7" t="n"/>
      <c r="J6984" s="7" t="n"/>
      <c r="K6984">
        <f>IF(D6984="Legitimate Interest (GDPR Art. 6(1)(f))", "Yes / Required (Sheet 3)", "")</f>
        <v/>
      </c>
      <c r="L6984" s="7" t="n"/>
      <c r="M6984" s="7" t="n"/>
      <c r="N6984">
        <f>IF(D6984="", "Gap - No Legal Basis", IF(AND(D6984="Consent (GDPR Art. 6(1)(a))", I6984="Not Captured"), "Gap - Invalid Consent", IF(AND(D6984="Legitimate Interest (GDPR Art. 6(1)(f))", L6984=""), "Gap - Missing LIA", IF(AND(G6984="Yes", H6984=""), "Gap - Missing Art. 9 Basis", IF(OR(I6984="Invalid - Not Freely Given", I6984="Invalid - Not Specific", I6984="Invalid - Not Informed", I6984="Invalid - Ambiguous"), "Gap - Invalid Consent", "Compliant")))))</f>
        <v/>
      </c>
      <c r="O6984" s="7" t="n"/>
    </row>
    <row r="6985">
      <c r="A6985" s="7" t="n"/>
      <c r="B6985" s="7" t="n"/>
      <c r="C6985" s="7" t="n"/>
      <c r="D6985" s="7" t="n"/>
      <c r="E6985" s="7" t="n"/>
      <c r="F6985" s="7" t="n"/>
      <c r="G6985" s="7" t="n"/>
      <c r="H6985" s="7" t="n"/>
      <c r="I6985" s="7" t="n"/>
      <c r="J6985" s="7" t="n"/>
      <c r="K6985">
        <f>IF(D6985="Legitimate Interest (GDPR Art. 6(1)(f))", "Yes / Required (Sheet 3)", "")</f>
        <v/>
      </c>
      <c r="L6985" s="7" t="n"/>
      <c r="M6985" s="7" t="n"/>
      <c r="N6985">
        <f>IF(D6985="", "Gap - No Legal Basis", IF(AND(D6985="Consent (GDPR Art. 6(1)(a))", I6985="Not Captured"), "Gap - Invalid Consent", IF(AND(D6985="Legitimate Interest (GDPR Art. 6(1)(f))", L6985=""), "Gap - Missing LIA", IF(AND(G6985="Yes", H6985=""), "Gap - Missing Art. 9 Basis", IF(OR(I6985="Invalid - Not Freely Given", I6985="Invalid - Not Specific", I6985="Invalid - Not Informed", I6985="Invalid - Ambiguous"), "Gap - Invalid Consent", "Compliant")))))</f>
        <v/>
      </c>
      <c r="O6985" s="7" t="n"/>
    </row>
    <row r="6986">
      <c r="A6986" s="7" t="n"/>
      <c r="B6986" s="7" t="n"/>
      <c r="C6986" s="7" t="n"/>
      <c r="D6986" s="7" t="n"/>
      <c r="E6986" s="7" t="n"/>
      <c r="F6986" s="7" t="n"/>
      <c r="G6986" s="7" t="n"/>
      <c r="H6986" s="7" t="n"/>
      <c r="I6986" s="7" t="n"/>
      <c r="J6986" s="7" t="n"/>
      <c r="K6986">
        <f>IF(D6986="Legitimate Interest (GDPR Art. 6(1)(f))", "Yes / Required (Sheet 3)", "")</f>
        <v/>
      </c>
      <c r="L6986" s="7" t="n"/>
      <c r="M6986" s="7" t="n"/>
      <c r="N6986">
        <f>IF(D6986="", "Gap - No Legal Basis", IF(AND(D6986="Consent (GDPR Art. 6(1)(a))", I6986="Not Captured"), "Gap - Invalid Consent", IF(AND(D6986="Legitimate Interest (GDPR Art. 6(1)(f))", L6986=""), "Gap - Missing LIA", IF(AND(G6986="Yes", H6986=""), "Gap - Missing Art. 9 Basis", IF(OR(I6986="Invalid - Not Freely Given", I6986="Invalid - Not Specific", I6986="Invalid - Not Informed", I6986="Invalid - Ambiguous"), "Gap - Invalid Consent", "Compliant")))))</f>
        <v/>
      </c>
      <c r="O6986" s="7" t="n"/>
    </row>
    <row r="6987">
      <c r="A6987" s="7" t="n"/>
      <c r="B6987" s="7" t="n"/>
      <c r="C6987" s="7" t="n"/>
      <c r="D6987" s="7" t="n"/>
      <c r="E6987" s="7" t="n"/>
      <c r="F6987" s="7" t="n"/>
      <c r="G6987" s="7" t="n"/>
      <c r="H6987" s="7" t="n"/>
      <c r="I6987" s="7" t="n"/>
      <c r="J6987" s="7" t="n"/>
      <c r="K6987">
        <f>IF(D6987="Legitimate Interest (GDPR Art. 6(1)(f))", "Yes / Required (Sheet 3)", "")</f>
        <v/>
      </c>
      <c r="L6987" s="7" t="n"/>
      <c r="M6987" s="7" t="n"/>
      <c r="N6987">
        <f>IF(D6987="", "Gap - No Legal Basis", IF(AND(D6987="Consent (GDPR Art. 6(1)(a))", I6987="Not Captured"), "Gap - Invalid Consent", IF(AND(D6987="Legitimate Interest (GDPR Art. 6(1)(f))", L6987=""), "Gap - Missing LIA", IF(AND(G6987="Yes", H6987=""), "Gap - Missing Art. 9 Basis", IF(OR(I6987="Invalid - Not Freely Given", I6987="Invalid - Not Specific", I6987="Invalid - Not Informed", I6987="Invalid - Ambiguous"), "Gap - Invalid Consent", "Compliant")))))</f>
        <v/>
      </c>
      <c r="O6987" s="7" t="n"/>
    </row>
    <row r="6988">
      <c r="A6988" s="7" t="n"/>
      <c r="B6988" s="7" t="n"/>
      <c r="C6988" s="7" t="n"/>
      <c r="D6988" s="7" t="n"/>
      <c r="E6988" s="7" t="n"/>
      <c r="F6988" s="7" t="n"/>
      <c r="G6988" s="7" t="n"/>
      <c r="H6988" s="7" t="n"/>
      <c r="I6988" s="7" t="n"/>
      <c r="J6988" s="7" t="n"/>
      <c r="K6988">
        <f>IF(D6988="Legitimate Interest (GDPR Art. 6(1)(f))", "Yes / Required (Sheet 3)", "")</f>
        <v/>
      </c>
      <c r="L6988" s="7" t="n"/>
      <c r="M6988" s="7" t="n"/>
      <c r="N6988">
        <f>IF(D6988="", "Gap - No Legal Basis", IF(AND(D6988="Consent (GDPR Art. 6(1)(a))", I6988="Not Captured"), "Gap - Invalid Consent", IF(AND(D6988="Legitimate Interest (GDPR Art. 6(1)(f))", L6988=""), "Gap - Missing LIA", IF(AND(G6988="Yes", H6988=""), "Gap - Missing Art. 9 Basis", IF(OR(I6988="Invalid - Not Freely Given", I6988="Invalid - Not Specific", I6988="Invalid - Not Informed", I6988="Invalid - Ambiguous"), "Gap - Invalid Consent", "Compliant")))))</f>
        <v/>
      </c>
      <c r="O6988" s="7" t="n"/>
    </row>
    <row r="6989">
      <c r="A6989" s="7" t="n"/>
      <c r="B6989" s="7" t="n"/>
      <c r="C6989" s="7" t="n"/>
      <c r="D6989" s="7" t="n"/>
      <c r="E6989" s="7" t="n"/>
      <c r="F6989" s="7" t="n"/>
      <c r="G6989" s="7" t="n"/>
      <c r="H6989" s="7" t="n"/>
      <c r="I6989" s="7" t="n"/>
      <c r="J6989" s="7" t="n"/>
      <c r="K6989">
        <f>IF(D6989="Legitimate Interest (GDPR Art. 6(1)(f))", "Yes / Required (Sheet 3)", "")</f>
        <v/>
      </c>
      <c r="L6989" s="7" t="n"/>
      <c r="M6989" s="7" t="n"/>
      <c r="N6989">
        <f>IF(D6989="", "Gap - No Legal Basis", IF(AND(D6989="Consent (GDPR Art. 6(1)(a))", I6989="Not Captured"), "Gap - Invalid Consent", IF(AND(D6989="Legitimate Interest (GDPR Art. 6(1)(f))", L6989=""), "Gap - Missing LIA", IF(AND(G6989="Yes", H6989=""), "Gap - Missing Art. 9 Basis", IF(OR(I6989="Invalid - Not Freely Given", I6989="Invalid - Not Specific", I6989="Invalid - Not Informed", I6989="Invalid - Ambiguous"), "Gap - Invalid Consent", "Compliant")))))</f>
        <v/>
      </c>
      <c r="O6989" s="7" t="n"/>
    </row>
    <row r="6990">
      <c r="A6990" s="7" t="n"/>
      <c r="B6990" s="7" t="n"/>
      <c r="C6990" s="7" t="n"/>
      <c r="D6990" s="7" t="n"/>
      <c r="E6990" s="7" t="n"/>
      <c r="F6990" s="7" t="n"/>
      <c r="G6990" s="7" t="n"/>
      <c r="H6990" s="7" t="n"/>
      <c r="I6990" s="7" t="n"/>
      <c r="J6990" s="7" t="n"/>
      <c r="K6990">
        <f>IF(D6990="Legitimate Interest (GDPR Art. 6(1)(f))", "Yes / Required (Sheet 3)", "")</f>
        <v/>
      </c>
      <c r="L6990" s="7" t="n"/>
      <c r="M6990" s="7" t="n"/>
      <c r="N6990">
        <f>IF(D6990="", "Gap - No Legal Basis", IF(AND(D6990="Consent (GDPR Art. 6(1)(a))", I6990="Not Captured"), "Gap - Invalid Consent", IF(AND(D6990="Legitimate Interest (GDPR Art. 6(1)(f))", L6990=""), "Gap - Missing LIA", IF(AND(G6990="Yes", H6990=""), "Gap - Missing Art. 9 Basis", IF(OR(I6990="Invalid - Not Freely Given", I6990="Invalid - Not Specific", I6990="Invalid - Not Informed", I6990="Invalid - Ambiguous"), "Gap - Invalid Consent", "Compliant")))))</f>
        <v/>
      </c>
      <c r="O6990" s="7" t="n"/>
    </row>
    <row r="6991">
      <c r="A6991" s="7" t="n"/>
      <c r="B6991" s="7" t="n"/>
      <c r="C6991" s="7" t="n"/>
      <c r="D6991" s="7" t="n"/>
      <c r="E6991" s="7" t="n"/>
      <c r="F6991" s="7" t="n"/>
      <c r="G6991" s="7" t="n"/>
      <c r="H6991" s="7" t="n"/>
      <c r="I6991" s="7" t="n"/>
      <c r="J6991" s="7" t="n"/>
      <c r="K6991">
        <f>IF(D6991="Legitimate Interest (GDPR Art. 6(1)(f))", "Yes / Required (Sheet 3)", "")</f>
        <v/>
      </c>
      <c r="L6991" s="7" t="n"/>
      <c r="M6991" s="7" t="n"/>
      <c r="N6991">
        <f>IF(D6991="", "Gap - No Legal Basis", IF(AND(D6991="Consent (GDPR Art. 6(1)(a))", I6991="Not Captured"), "Gap - Invalid Consent", IF(AND(D6991="Legitimate Interest (GDPR Art. 6(1)(f))", L6991=""), "Gap - Missing LIA", IF(AND(G6991="Yes", H6991=""), "Gap - Missing Art. 9 Basis", IF(OR(I6991="Invalid - Not Freely Given", I6991="Invalid - Not Specific", I6991="Invalid - Not Informed", I6991="Invalid - Ambiguous"), "Gap - Invalid Consent", "Compliant")))))</f>
        <v/>
      </c>
      <c r="O6991" s="7" t="n"/>
    </row>
    <row r="6992">
      <c r="A6992" s="7" t="n"/>
      <c r="B6992" s="7" t="n"/>
      <c r="C6992" s="7" t="n"/>
      <c r="D6992" s="7" t="n"/>
      <c r="E6992" s="7" t="n"/>
      <c r="F6992" s="7" t="n"/>
      <c r="G6992" s="7" t="n"/>
      <c r="H6992" s="7" t="n"/>
      <c r="I6992" s="7" t="n"/>
      <c r="J6992" s="7" t="n"/>
      <c r="K6992">
        <f>IF(D6992="Legitimate Interest (GDPR Art. 6(1)(f))", "Yes / Required (Sheet 3)", "")</f>
        <v/>
      </c>
      <c r="L6992" s="7" t="n"/>
      <c r="M6992" s="7" t="n"/>
      <c r="N6992">
        <f>IF(D6992="", "Gap - No Legal Basis", IF(AND(D6992="Consent (GDPR Art. 6(1)(a))", I6992="Not Captured"), "Gap - Invalid Consent", IF(AND(D6992="Legitimate Interest (GDPR Art. 6(1)(f))", L6992=""), "Gap - Missing LIA", IF(AND(G6992="Yes", H6992=""), "Gap - Missing Art. 9 Basis", IF(OR(I6992="Invalid - Not Freely Given", I6992="Invalid - Not Specific", I6992="Invalid - Not Informed", I6992="Invalid - Ambiguous"), "Gap - Invalid Consent", "Compliant")))))</f>
        <v/>
      </c>
      <c r="O6992" s="7" t="n"/>
    </row>
    <row r="6993">
      <c r="A6993" s="7" t="n"/>
      <c r="B6993" s="7" t="n"/>
      <c r="C6993" s="7" t="n"/>
      <c r="D6993" s="7" t="n"/>
      <c r="E6993" s="7" t="n"/>
      <c r="F6993" s="7" t="n"/>
      <c r="G6993" s="7" t="n"/>
      <c r="H6993" s="7" t="n"/>
      <c r="I6993" s="7" t="n"/>
      <c r="J6993" s="7" t="n"/>
      <c r="K6993">
        <f>IF(D6993="Legitimate Interest (GDPR Art. 6(1)(f))", "Yes / Required (Sheet 3)", "")</f>
        <v/>
      </c>
      <c r="L6993" s="7" t="n"/>
      <c r="M6993" s="7" t="n"/>
      <c r="N6993">
        <f>IF(D6993="", "Gap - No Legal Basis", IF(AND(D6993="Consent (GDPR Art. 6(1)(a))", I6993="Not Captured"), "Gap - Invalid Consent", IF(AND(D6993="Legitimate Interest (GDPR Art. 6(1)(f))", L6993=""), "Gap - Missing LIA", IF(AND(G6993="Yes", H6993=""), "Gap - Missing Art. 9 Basis", IF(OR(I6993="Invalid - Not Freely Given", I6993="Invalid - Not Specific", I6993="Invalid - Not Informed", I6993="Invalid - Ambiguous"), "Gap - Invalid Consent", "Compliant")))))</f>
        <v/>
      </c>
      <c r="O6993" s="7" t="n"/>
    </row>
    <row r="6994">
      <c r="A6994" s="7" t="n"/>
      <c r="B6994" s="7" t="n"/>
      <c r="C6994" s="7" t="n"/>
      <c r="D6994" s="7" t="n"/>
      <c r="E6994" s="7" t="n"/>
      <c r="F6994" s="7" t="n"/>
      <c r="G6994" s="7" t="n"/>
      <c r="H6994" s="7" t="n"/>
      <c r="I6994" s="7" t="n"/>
      <c r="J6994" s="7" t="n"/>
      <c r="K6994">
        <f>IF(D6994="Legitimate Interest (GDPR Art. 6(1)(f))", "Yes / Required (Sheet 3)", "")</f>
        <v/>
      </c>
      <c r="L6994" s="7" t="n"/>
      <c r="M6994" s="7" t="n"/>
      <c r="N6994">
        <f>IF(D6994="", "Gap - No Legal Basis", IF(AND(D6994="Consent (GDPR Art. 6(1)(a))", I6994="Not Captured"), "Gap - Invalid Consent", IF(AND(D6994="Legitimate Interest (GDPR Art. 6(1)(f))", L6994=""), "Gap - Missing LIA", IF(AND(G6994="Yes", H6994=""), "Gap - Missing Art. 9 Basis", IF(OR(I6994="Invalid - Not Freely Given", I6994="Invalid - Not Specific", I6994="Invalid - Not Informed", I6994="Invalid - Ambiguous"), "Gap - Invalid Consent", "Compliant")))))</f>
        <v/>
      </c>
      <c r="O6994" s="7" t="n"/>
    </row>
    <row r="6995">
      <c r="A6995" s="7" t="n"/>
      <c r="B6995" s="7" t="n"/>
      <c r="C6995" s="7" t="n"/>
      <c r="D6995" s="7" t="n"/>
      <c r="E6995" s="7" t="n"/>
      <c r="F6995" s="7" t="n"/>
      <c r="G6995" s="7" t="n"/>
      <c r="H6995" s="7" t="n"/>
      <c r="I6995" s="7" t="n"/>
      <c r="J6995" s="7" t="n"/>
      <c r="K6995">
        <f>IF(D6995="Legitimate Interest (GDPR Art. 6(1)(f))", "Yes / Required (Sheet 3)", "")</f>
        <v/>
      </c>
      <c r="L6995" s="7" t="n"/>
      <c r="M6995" s="7" t="n"/>
      <c r="N6995">
        <f>IF(D6995="", "Gap - No Legal Basis", IF(AND(D6995="Consent (GDPR Art. 6(1)(a))", I6995="Not Captured"), "Gap - Invalid Consent", IF(AND(D6995="Legitimate Interest (GDPR Art. 6(1)(f))", L6995=""), "Gap - Missing LIA", IF(AND(G6995="Yes", H6995=""), "Gap - Missing Art. 9 Basis", IF(OR(I6995="Invalid - Not Freely Given", I6995="Invalid - Not Specific", I6995="Invalid - Not Informed", I6995="Invalid - Ambiguous"), "Gap - Invalid Consent", "Compliant")))))</f>
        <v/>
      </c>
      <c r="O6995" s="7" t="n"/>
    </row>
    <row r="6996">
      <c r="A6996" s="7" t="n"/>
      <c r="B6996" s="7" t="n"/>
      <c r="C6996" s="7" t="n"/>
      <c r="D6996" s="7" t="n"/>
      <c r="E6996" s="7" t="n"/>
      <c r="F6996" s="7" t="n"/>
      <c r="G6996" s="7" t="n"/>
      <c r="H6996" s="7" t="n"/>
      <c r="I6996" s="7" t="n"/>
      <c r="J6996" s="7" t="n"/>
      <c r="K6996">
        <f>IF(D6996="Legitimate Interest (GDPR Art. 6(1)(f))", "Yes / Required (Sheet 3)", "")</f>
        <v/>
      </c>
      <c r="L6996" s="7" t="n"/>
      <c r="M6996" s="7" t="n"/>
      <c r="N6996">
        <f>IF(D6996="", "Gap - No Legal Basis", IF(AND(D6996="Consent (GDPR Art. 6(1)(a))", I6996="Not Captured"), "Gap - Invalid Consent", IF(AND(D6996="Legitimate Interest (GDPR Art. 6(1)(f))", L6996=""), "Gap - Missing LIA", IF(AND(G6996="Yes", H6996=""), "Gap - Missing Art. 9 Basis", IF(OR(I6996="Invalid - Not Freely Given", I6996="Invalid - Not Specific", I6996="Invalid - Not Informed", I6996="Invalid - Ambiguous"), "Gap - Invalid Consent", "Compliant")))))</f>
        <v/>
      </c>
      <c r="O6996" s="7" t="n"/>
    </row>
    <row r="6997">
      <c r="A6997" s="7" t="n"/>
      <c r="B6997" s="7" t="n"/>
      <c r="C6997" s="7" t="n"/>
      <c r="D6997" s="7" t="n"/>
      <c r="E6997" s="7" t="n"/>
      <c r="F6997" s="7" t="n"/>
      <c r="G6997" s="7" t="n"/>
      <c r="H6997" s="7" t="n"/>
      <c r="I6997" s="7" t="n"/>
      <c r="J6997" s="7" t="n"/>
      <c r="K6997">
        <f>IF(D6997="Legitimate Interest (GDPR Art. 6(1)(f))", "Yes / Required (Sheet 3)", "")</f>
        <v/>
      </c>
      <c r="L6997" s="7" t="n"/>
      <c r="M6997" s="7" t="n"/>
      <c r="N6997">
        <f>IF(D6997="", "Gap - No Legal Basis", IF(AND(D6997="Consent (GDPR Art. 6(1)(a))", I6997="Not Captured"), "Gap - Invalid Consent", IF(AND(D6997="Legitimate Interest (GDPR Art. 6(1)(f))", L6997=""), "Gap - Missing LIA", IF(AND(G6997="Yes", H6997=""), "Gap - Missing Art. 9 Basis", IF(OR(I6997="Invalid - Not Freely Given", I6997="Invalid - Not Specific", I6997="Invalid - Not Informed", I6997="Invalid - Ambiguous"), "Gap - Invalid Consent", "Compliant")))))</f>
        <v/>
      </c>
      <c r="O6997" s="7" t="n"/>
    </row>
    <row r="6998">
      <c r="A6998" s="7" t="n"/>
      <c r="B6998" s="7" t="n"/>
      <c r="C6998" s="7" t="n"/>
      <c r="D6998" s="7" t="n"/>
      <c r="E6998" s="7" t="n"/>
      <c r="F6998" s="7" t="n"/>
      <c r="G6998" s="7" t="n"/>
      <c r="H6998" s="7" t="n"/>
      <c r="I6998" s="7" t="n"/>
      <c r="J6998" s="7" t="n"/>
      <c r="K6998">
        <f>IF(D6998="Legitimate Interest (GDPR Art. 6(1)(f))", "Yes / Required (Sheet 3)", "")</f>
        <v/>
      </c>
      <c r="L6998" s="7" t="n"/>
      <c r="M6998" s="7" t="n"/>
      <c r="N6998">
        <f>IF(D6998="", "Gap - No Legal Basis", IF(AND(D6998="Consent (GDPR Art. 6(1)(a))", I6998="Not Captured"), "Gap - Invalid Consent", IF(AND(D6998="Legitimate Interest (GDPR Art. 6(1)(f))", L6998=""), "Gap - Missing LIA", IF(AND(G6998="Yes", H6998=""), "Gap - Missing Art. 9 Basis", IF(OR(I6998="Invalid - Not Freely Given", I6998="Invalid - Not Specific", I6998="Invalid - Not Informed", I6998="Invalid - Ambiguous"), "Gap - Invalid Consent", "Compliant")))))</f>
        <v/>
      </c>
      <c r="O6998" s="7" t="n"/>
    </row>
    <row r="6999">
      <c r="A6999" s="7" t="n"/>
      <c r="B6999" s="7" t="n"/>
      <c r="C6999" s="7" t="n"/>
      <c r="D6999" s="7" t="n"/>
      <c r="E6999" s="7" t="n"/>
      <c r="F6999" s="7" t="n"/>
      <c r="G6999" s="7" t="n"/>
      <c r="H6999" s="7" t="n"/>
      <c r="I6999" s="7" t="n"/>
      <c r="J6999" s="7" t="n"/>
      <c r="K6999">
        <f>IF(D6999="Legitimate Interest (GDPR Art. 6(1)(f))", "Yes / Required (Sheet 3)", "")</f>
        <v/>
      </c>
      <c r="L6999" s="7" t="n"/>
      <c r="M6999" s="7" t="n"/>
      <c r="N6999">
        <f>IF(D6999="", "Gap - No Legal Basis", IF(AND(D6999="Consent (GDPR Art. 6(1)(a))", I6999="Not Captured"), "Gap - Invalid Consent", IF(AND(D6999="Legitimate Interest (GDPR Art. 6(1)(f))", L6999=""), "Gap - Missing LIA", IF(AND(G6999="Yes", H6999=""), "Gap - Missing Art. 9 Basis", IF(OR(I6999="Invalid - Not Freely Given", I6999="Invalid - Not Specific", I6999="Invalid - Not Informed", I6999="Invalid - Ambiguous"), "Gap - Invalid Consent", "Compliant")))))</f>
        <v/>
      </c>
      <c r="O6999" s="7" t="n"/>
    </row>
    <row r="7000">
      <c r="A7000" s="7" t="n"/>
      <c r="B7000" s="7" t="n"/>
      <c r="C7000" s="7" t="n"/>
      <c r="D7000" s="7" t="n"/>
      <c r="E7000" s="7" t="n"/>
      <c r="F7000" s="7" t="n"/>
      <c r="G7000" s="7" t="n"/>
      <c r="H7000" s="7" t="n"/>
      <c r="I7000" s="7" t="n"/>
      <c r="J7000" s="7" t="n"/>
      <c r="K7000">
        <f>IF(D7000="Legitimate Interest (GDPR Art. 6(1)(f))", "Yes / Required (Sheet 3)", "")</f>
        <v/>
      </c>
      <c r="L7000" s="7" t="n"/>
      <c r="M7000" s="7" t="n"/>
      <c r="N7000">
        <f>IF(D7000="", "Gap - No Legal Basis", IF(AND(D7000="Consent (GDPR Art. 6(1)(a))", I7000="Not Captured"), "Gap - Invalid Consent", IF(AND(D7000="Legitimate Interest (GDPR Art. 6(1)(f))", L7000=""), "Gap - Missing LIA", IF(AND(G7000="Yes", H7000=""), "Gap - Missing Art. 9 Basis", IF(OR(I7000="Invalid - Not Freely Given", I7000="Invalid - Not Specific", I7000="Invalid - Not Informed", I7000="Invalid - Ambiguous"), "Gap - Invalid Consent", "Compliant")))))</f>
        <v/>
      </c>
      <c r="O7000" s="7" t="n"/>
    </row>
    <row r="7001">
      <c r="A7001" s="7" t="n"/>
      <c r="B7001" s="7" t="n"/>
      <c r="C7001" s="7" t="n"/>
      <c r="D7001" s="7" t="n"/>
      <c r="E7001" s="7" t="n"/>
      <c r="F7001" s="7" t="n"/>
      <c r="G7001" s="7" t="n"/>
      <c r="H7001" s="7" t="n"/>
      <c r="I7001" s="7" t="n"/>
      <c r="J7001" s="7" t="n"/>
      <c r="K7001">
        <f>IF(D7001="Legitimate Interest (GDPR Art. 6(1)(f))", "Yes / Required (Sheet 3)", "")</f>
        <v/>
      </c>
      <c r="L7001" s="7" t="n"/>
      <c r="M7001" s="7" t="n"/>
      <c r="N7001">
        <f>IF(D7001="", "Gap - No Legal Basis", IF(AND(D7001="Consent (GDPR Art. 6(1)(a))", I7001="Not Captured"), "Gap - Invalid Consent", IF(AND(D7001="Legitimate Interest (GDPR Art. 6(1)(f))", L7001=""), "Gap - Missing LIA", IF(AND(G7001="Yes", H7001=""), "Gap - Missing Art. 9 Basis", IF(OR(I7001="Invalid - Not Freely Given", I7001="Invalid - Not Specific", I7001="Invalid - Not Informed", I7001="Invalid - Ambiguous"), "Gap - Invalid Consent", "Compliant")))))</f>
        <v/>
      </c>
      <c r="O7001" s="7" t="n"/>
    </row>
    <row r="7002">
      <c r="A7002" s="7" t="n"/>
      <c r="B7002" s="7" t="n"/>
      <c r="C7002" s="7" t="n"/>
      <c r="D7002" s="7" t="n"/>
      <c r="E7002" s="7" t="n"/>
      <c r="F7002" s="7" t="n"/>
      <c r="G7002" s="7" t="n"/>
      <c r="H7002" s="7" t="n"/>
      <c r="I7002" s="7" t="n"/>
      <c r="J7002" s="7" t="n"/>
      <c r="K7002">
        <f>IF(D7002="Legitimate Interest (GDPR Art. 6(1)(f))", "Yes / Required (Sheet 3)", "")</f>
        <v/>
      </c>
      <c r="L7002" s="7" t="n"/>
      <c r="M7002" s="7" t="n"/>
      <c r="N7002">
        <f>IF(D7002="", "Gap - No Legal Basis", IF(AND(D7002="Consent (GDPR Art. 6(1)(a))", I7002="Not Captured"), "Gap - Invalid Consent", IF(AND(D7002="Legitimate Interest (GDPR Art. 6(1)(f))", L7002=""), "Gap - Missing LIA", IF(AND(G7002="Yes", H7002=""), "Gap - Missing Art. 9 Basis", IF(OR(I7002="Invalid - Not Freely Given", I7002="Invalid - Not Specific", I7002="Invalid - Not Informed", I7002="Invalid - Ambiguous"), "Gap - Invalid Consent", "Compliant")))))</f>
        <v/>
      </c>
      <c r="O7002" s="7" t="n"/>
    </row>
    <row r="7003">
      <c r="A7003" s="7" t="n"/>
      <c r="B7003" s="7" t="n"/>
      <c r="C7003" s="7" t="n"/>
      <c r="D7003" s="7" t="n"/>
      <c r="E7003" s="7" t="n"/>
      <c r="F7003" s="7" t="n"/>
      <c r="G7003" s="7" t="n"/>
      <c r="H7003" s="7" t="n"/>
      <c r="I7003" s="7" t="n"/>
      <c r="J7003" s="7" t="n"/>
      <c r="K7003">
        <f>IF(D7003="Legitimate Interest (GDPR Art. 6(1)(f))", "Yes / Required (Sheet 3)", "")</f>
        <v/>
      </c>
      <c r="L7003" s="7" t="n"/>
      <c r="M7003" s="7" t="n"/>
      <c r="N7003">
        <f>IF(D7003="", "Gap - No Legal Basis", IF(AND(D7003="Consent (GDPR Art. 6(1)(a))", I7003="Not Captured"), "Gap - Invalid Consent", IF(AND(D7003="Legitimate Interest (GDPR Art. 6(1)(f))", L7003=""), "Gap - Missing LIA", IF(AND(G7003="Yes", H7003=""), "Gap - Missing Art. 9 Basis", IF(OR(I7003="Invalid - Not Freely Given", I7003="Invalid - Not Specific", I7003="Invalid - Not Informed", I7003="Invalid - Ambiguous"), "Gap - Invalid Consent", "Compliant")))))</f>
        <v/>
      </c>
      <c r="O7003" s="7" t="n"/>
    </row>
    <row r="7004">
      <c r="A7004" s="7" t="n"/>
      <c r="B7004" s="7" t="n"/>
      <c r="C7004" s="7" t="n"/>
      <c r="D7004" s="7" t="n"/>
      <c r="E7004" s="7" t="n"/>
      <c r="F7004" s="7" t="n"/>
      <c r="G7004" s="7" t="n"/>
      <c r="H7004" s="7" t="n"/>
      <c r="I7004" s="7" t="n"/>
      <c r="J7004" s="7" t="n"/>
      <c r="K7004">
        <f>IF(D7004="Legitimate Interest (GDPR Art. 6(1)(f))", "Yes / Required (Sheet 3)", "")</f>
        <v/>
      </c>
      <c r="L7004" s="7" t="n"/>
      <c r="M7004" s="7" t="n"/>
      <c r="N7004">
        <f>IF(D7004="", "Gap - No Legal Basis", IF(AND(D7004="Consent (GDPR Art. 6(1)(a))", I7004="Not Captured"), "Gap - Invalid Consent", IF(AND(D7004="Legitimate Interest (GDPR Art. 6(1)(f))", L7004=""), "Gap - Missing LIA", IF(AND(G7004="Yes", H7004=""), "Gap - Missing Art. 9 Basis", IF(OR(I7004="Invalid - Not Freely Given", I7004="Invalid - Not Specific", I7004="Invalid - Not Informed", I7004="Invalid - Ambiguous"), "Gap - Invalid Consent", "Compliant")))))</f>
        <v/>
      </c>
      <c r="O7004" s="7" t="n"/>
    </row>
    <row r="7005">
      <c r="A7005" s="7" t="n"/>
      <c r="B7005" s="7" t="n"/>
      <c r="C7005" s="7" t="n"/>
      <c r="D7005" s="7" t="n"/>
      <c r="E7005" s="7" t="n"/>
      <c r="F7005" s="7" t="n"/>
      <c r="G7005" s="7" t="n"/>
      <c r="H7005" s="7" t="n"/>
      <c r="I7005" s="7" t="n"/>
      <c r="J7005" s="7" t="n"/>
      <c r="K7005">
        <f>IF(D7005="Legitimate Interest (GDPR Art. 6(1)(f))", "Yes / Required (Sheet 3)", "")</f>
        <v/>
      </c>
      <c r="L7005" s="7" t="n"/>
      <c r="M7005" s="7" t="n"/>
      <c r="N7005">
        <f>IF(D7005="", "Gap - No Legal Basis", IF(AND(D7005="Consent (GDPR Art. 6(1)(a))", I7005="Not Captured"), "Gap - Invalid Consent", IF(AND(D7005="Legitimate Interest (GDPR Art. 6(1)(f))", L7005=""), "Gap - Missing LIA", IF(AND(G7005="Yes", H7005=""), "Gap - Missing Art. 9 Basis", IF(OR(I7005="Invalid - Not Freely Given", I7005="Invalid - Not Specific", I7005="Invalid - Not Informed", I7005="Invalid - Ambiguous"), "Gap - Invalid Consent", "Compliant")))))</f>
        <v/>
      </c>
      <c r="O7005" s="7" t="n"/>
    </row>
    <row r="7006">
      <c r="A7006" s="7" t="n"/>
      <c r="B7006" s="7" t="n"/>
      <c r="C7006" s="7" t="n"/>
      <c r="D7006" s="7" t="n"/>
      <c r="E7006" s="7" t="n"/>
      <c r="F7006" s="7" t="n"/>
      <c r="G7006" s="7" t="n"/>
      <c r="H7006" s="7" t="n"/>
      <c r="I7006" s="7" t="n"/>
      <c r="J7006" s="7" t="n"/>
      <c r="K7006">
        <f>IF(D7006="Legitimate Interest (GDPR Art. 6(1)(f))", "Yes / Required (Sheet 3)", "")</f>
        <v/>
      </c>
      <c r="L7006" s="7" t="n"/>
      <c r="M7006" s="7" t="n"/>
      <c r="N7006">
        <f>IF(D7006="", "Gap - No Legal Basis", IF(AND(D7006="Consent (GDPR Art. 6(1)(a))", I7006="Not Captured"), "Gap - Invalid Consent", IF(AND(D7006="Legitimate Interest (GDPR Art. 6(1)(f))", L7006=""), "Gap - Missing LIA", IF(AND(G7006="Yes", H7006=""), "Gap - Missing Art. 9 Basis", IF(OR(I7006="Invalid - Not Freely Given", I7006="Invalid - Not Specific", I7006="Invalid - Not Informed", I7006="Invalid - Ambiguous"), "Gap - Invalid Consent", "Compliant")))))</f>
        <v/>
      </c>
      <c r="O7006" s="7" t="n"/>
    </row>
    <row r="7007">
      <c r="A7007" s="7" t="n"/>
      <c r="B7007" s="7" t="n"/>
      <c r="C7007" s="7" t="n"/>
      <c r="D7007" s="7" t="n"/>
      <c r="E7007" s="7" t="n"/>
      <c r="F7007" s="7" t="n"/>
      <c r="G7007" s="7" t="n"/>
      <c r="H7007" s="7" t="n"/>
      <c r="I7007" s="7" t="n"/>
      <c r="J7007" s="7" t="n"/>
      <c r="K7007">
        <f>IF(D7007="Legitimate Interest (GDPR Art. 6(1)(f))", "Yes / Required (Sheet 3)", "")</f>
        <v/>
      </c>
      <c r="L7007" s="7" t="n"/>
      <c r="M7007" s="7" t="n"/>
      <c r="N7007">
        <f>IF(D7007="", "Gap - No Legal Basis", IF(AND(D7007="Consent (GDPR Art. 6(1)(a))", I7007="Not Captured"), "Gap - Invalid Consent", IF(AND(D7007="Legitimate Interest (GDPR Art. 6(1)(f))", L7007=""), "Gap - Missing LIA", IF(AND(G7007="Yes", H7007=""), "Gap - Missing Art. 9 Basis", IF(OR(I7007="Invalid - Not Freely Given", I7007="Invalid - Not Specific", I7007="Invalid - Not Informed", I7007="Invalid - Ambiguous"), "Gap - Invalid Consent", "Compliant")))))</f>
        <v/>
      </c>
      <c r="O7007" s="7" t="n"/>
    </row>
    <row r="7008">
      <c r="A7008" s="7" t="n"/>
      <c r="B7008" s="7" t="n"/>
      <c r="C7008" s="7" t="n"/>
      <c r="D7008" s="7" t="n"/>
      <c r="E7008" s="7" t="n"/>
      <c r="F7008" s="7" t="n"/>
      <c r="G7008" s="7" t="n"/>
      <c r="H7008" s="7" t="n"/>
      <c r="I7008" s="7" t="n"/>
      <c r="J7008" s="7" t="n"/>
      <c r="K7008">
        <f>IF(D7008="Legitimate Interest (GDPR Art. 6(1)(f))", "Yes / Required (Sheet 3)", "")</f>
        <v/>
      </c>
      <c r="L7008" s="7" t="n"/>
      <c r="M7008" s="7" t="n"/>
      <c r="N7008">
        <f>IF(D7008="", "Gap - No Legal Basis", IF(AND(D7008="Consent (GDPR Art. 6(1)(a))", I7008="Not Captured"), "Gap - Invalid Consent", IF(AND(D7008="Legitimate Interest (GDPR Art. 6(1)(f))", L7008=""), "Gap - Missing LIA", IF(AND(G7008="Yes", H7008=""), "Gap - Missing Art. 9 Basis", IF(OR(I7008="Invalid - Not Freely Given", I7008="Invalid - Not Specific", I7008="Invalid - Not Informed", I7008="Invalid - Ambiguous"), "Gap - Invalid Consent", "Compliant")))))</f>
        <v/>
      </c>
      <c r="O7008" s="7" t="n"/>
    </row>
    <row r="7009">
      <c r="A7009" s="7" t="n"/>
      <c r="B7009" s="7" t="n"/>
      <c r="C7009" s="7" t="n"/>
      <c r="D7009" s="7" t="n"/>
      <c r="E7009" s="7" t="n"/>
      <c r="F7009" s="7" t="n"/>
      <c r="G7009" s="7" t="n"/>
      <c r="H7009" s="7" t="n"/>
      <c r="I7009" s="7" t="n"/>
      <c r="J7009" s="7" t="n"/>
      <c r="K7009">
        <f>IF(D7009="Legitimate Interest (GDPR Art. 6(1)(f))", "Yes / Required (Sheet 3)", "")</f>
        <v/>
      </c>
      <c r="L7009" s="7" t="n"/>
      <c r="M7009" s="7" t="n"/>
      <c r="N7009">
        <f>IF(D7009="", "Gap - No Legal Basis", IF(AND(D7009="Consent (GDPR Art. 6(1)(a))", I7009="Not Captured"), "Gap - Invalid Consent", IF(AND(D7009="Legitimate Interest (GDPR Art. 6(1)(f))", L7009=""), "Gap - Missing LIA", IF(AND(G7009="Yes", H7009=""), "Gap - Missing Art. 9 Basis", IF(OR(I7009="Invalid - Not Freely Given", I7009="Invalid - Not Specific", I7009="Invalid - Not Informed", I7009="Invalid - Ambiguous"), "Gap - Invalid Consent", "Compliant")))))</f>
        <v/>
      </c>
      <c r="O7009" s="7" t="n"/>
    </row>
    <row r="7010">
      <c r="A7010" s="7" t="n"/>
      <c r="B7010" s="7" t="n"/>
      <c r="C7010" s="7" t="n"/>
      <c r="D7010" s="7" t="n"/>
      <c r="E7010" s="7" t="n"/>
      <c r="F7010" s="7" t="n"/>
      <c r="G7010" s="7" t="n"/>
      <c r="H7010" s="7" t="n"/>
      <c r="I7010" s="7" t="n"/>
      <c r="J7010" s="7" t="n"/>
      <c r="K7010">
        <f>IF(D7010="Legitimate Interest (GDPR Art. 6(1)(f))", "Yes / Required (Sheet 3)", "")</f>
        <v/>
      </c>
      <c r="L7010" s="7" t="n"/>
      <c r="M7010" s="7" t="n"/>
      <c r="N7010">
        <f>IF(D7010="", "Gap - No Legal Basis", IF(AND(D7010="Consent (GDPR Art. 6(1)(a))", I7010="Not Captured"), "Gap - Invalid Consent", IF(AND(D7010="Legitimate Interest (GDPR Art. 6(1)(f))", L7010=""), "Gap - Missing LIA", IF(AND(G7010="Yes", H7010=""), "Gap - Missing Art. 9 Basis", IF(OR(I7010="Invalid - Not Freely Given", I7010="Invalid - Not Specific", I7010="Invalid - Not Informed", I7010="Invalid - Ambiguous"), "Gap - Invalid Consent", "Compliant")))))</f>
        <v/>
      </c>
      <c r="O7010" s="7" t="n"/>
    </row>
    <row r="7011">
      <c r="A7011" s="7" t="n"/>
      <c r="B7011" s="7" t="n"/>
      <c r="C7011" s="7" t="n"/>
      <c r="D7011" s="7" t="n"/>
      <c r="E7011" s="7" t="n"/>
      <c r="F7011" s="7" t="n"/>
      <c r="G7011" s="7" t="n"/>
      <c r="H7011" s="7" t="n"/>
      <c r="I7011" s="7" t="n"/>
      <c r="J7011" s="7" t="n"/>
      <c r="K7011">
        <f>IF(D7011="Legitimate Interest (GDPR Art. 6(1)(f))", "Yes / Required (Sheet 3)", "")</f>
        <v/>
      </c>
      <c r="L7011" s="7" t="n"/>
      <c r="M7011" s="7" t="n"/>
      <c r="N7011">
        <f>IF(D7011="", "Gap - No Legal Basis", IF(AND(D7011="Consent (GDPR Art. 6(1)(a))", I7011="Not Captured"), "Gap - Invalid Consent", IF(AND(D7011="Legitimate Interest (GDPR Art. 6(1)(f))", L7011=""), "Gap - Missing LIA", IF(AND(G7011="Yes", H7011=""), "Gap - Missing Art. 9 Basis", IF(OR(I7011="Invalid - Not Freely Given", I7011="Invalid - Not Specific", I7011="Invalid - Not Informed", I7011="Invalid - Ambiguous"), "Gap - Invalid Consent", "Compliant")))))</f>
        <v/>
      </c>
      <c r="O7011" s="7" t="n"/>
    </row>
    <row r="7012">
      <c r="A7012" s="7" t="n"/>
      <c r="B7012" s="7" t="n"/>
      <c r="C7012" s="7" t="n"/>
      <c r="D7012" s="7" t="n"/>
      <c r="E7012" s="7" t="n"/>
      <c r="F7012" s="7" t="n"/>
      <c r="G7012" s="7" t="n"/>
      <c r="H7012" s="7" t="n"/>
      <c r="I7012" s="7" t="n"/>
      <c r="J7012" s="7" t="n"/>
      <c r="K7012">
        <f>IF(D7012="Legitimate Interest (GDPR Art. 6(1)(f))", "Yes / Required (Sheet 3)", "")</f>
        <v/>
      </c>
      <c r="L7012" s="7" t="n"/>
      <c r="M7012" s="7" t="n"/>
      <c r="N7012">
        <f>IF(D7012="", "Gap - No Legal Basis", IF(AND(D7012="Consent (GDPR Art. 6(1)(a))", I7012="Not Captured"), "Gap - Invalid Consent", IF(AND(D7012="Legitimate Interest (GDPR Art. 6(1)(f))", L7012=""), "Gap - Missing LIA", IF(AND(G7012="Yes", H7012=""), "Gap - Missing Art. 9 Basis", IF(OR(I7012="Invalid - Not Freely Given", I7012="Invalid - Not Specific", I7012="Invalid - Not Informed", I7012="Invalid - Ambiguous"), "Gap - Invalid Consent", "Compliant")))))</f>
        <v/>
      </c>
      <c r="O7012" s="7" t="n"/>
    </row>
    <row r="7013">
      <c r="A7013" s="7" t="n"/>
      <c r="B7013" s="7" t="n"/>
      <c r="C7013" s="7" t="n"/>
      <c r="D7013" s="7" t="n"/>
      <c r="E7013" s="7" t="n"/>
      <c r="F7013" s="7" t="n"/>
      <c r="G7013" s="7" t="n"/>
      <c r="H7013" s="7" t="n"/>
      <c r="I7013" s="7" t="n"/>
      <c r="J7013" s="7" t="n"/>
      <c r="K7013">
        <f>IF(D7013="Legitimate Interest (GDPR Art. 6(1)(f))", "Yes / Required (Sheet 3)", "")</f>
        <v/>
      </c>
      <c r="L7013" s="7" t="n"/>
      <c r="M7013" s="7" t="n"/>
      <c r="N7013">
        <f>IF(D7013="", "Gap - No Legal Basis", IF(AND(D7013="Consent (GDPR Art. 6(1)(a))", I7013="Not Captured"), "Gap - Invalid Consent", IF(AND(D7013="Legitimate Interest (GDPR Art. 6(1)(f))", L7013=""), "Gap - Missing LIA", IF(AND(G7013="Yes", H7013=""), "Gap - Missing Art. 9 Basis", IF(OR(I7013="Invalid - Not Freely Given", I7013="Invalid - Not Specific", I7013="Invalid - Not Informed", I7013="Invalid - Ambiguous"), "Gap - Invalid Consent", "Compliant")))))</f>
        <v/>
      </c>
      <c r="O7013" s="7" t="n"/>
    </row>
    <row r="7014">
      <c r="A7014" s="7" t="n"/>
      <c r="B7014" s="7" t="n"/>
      <c r="C7014" s="7" t="n"/>
      <c r="D7014" s="7" t="n"/>
      <c r="E7014" s="7" t="n"/>
      <c r="F7014" s="7" t="n"/>
      <c r="G7014" s="7" t="n"/>
      <c r="H7014" s="7" t="n"/>
      <c r="I7014" s="7" t="n"/>
      <c r="J7014" s="7" t="n"/>
      <c r="K7014">
        <f>IF(D7014="Legitimate Interest (GDPR Art. 6(1)(f))", "Yes / Required (Sheet 3)", "")</f>
        <v/>
      </c>
      <c r="L7014" s="7" t="n"/>
      <c r="M7014" s="7" t="n"/>
      <c r="N7014">
        <f>IF(D7014="", "Gap - No Legal Basis", IF(AND(D7014="Consent (GDPR Art. 6(1)(a))", I7014="Not Captured"), "Gap - Invalid Consent", IF(AND(D7014="Legitimate Interest (GDPR Art. 6(1)(f))", L7014=""), "Gap - Missing LIA", IF(AND(G7014="Yes", H7014=""), "Gap - Missing Art. 9 Basis", IF(OR(I7014="Invalid - Not Freely Given", I7014="Invalid - Not Specific", I7014="Invalid - Not Informed", I7014="Invalid - Ambiguous"), "Gap - Invalid Consent", "Compliant")))))</f>
        <v/>
      </c>
      <c r="O7014" s="7" t="n"/>
    </row>
    <row r="7015">
      <c r="A7015" s="7" t="n"/>
      <c r="B7015" s="7" t="n"/>
      <c r="C7015" s="7" t="n"/>
      <c r="D7015" s="7" t="n"/>
      <c r="E7015" s="7" t="n"/>
      <c r="F7015" s="7" t="n"/>
      <c r="G7015" s="7" t="n"/>
      <c r="H7015" s="7" t="n"/>
      <c r="I7015" s="7" t="n"/>
      <c r="J7015" s="7" t="n"/>
      <c r="K7015">
        <f>IF(D7015="Legitimate Interest (GDPR Art. 6(1)(f))", "Yes / Required (Sheet 3)", "")</f>
        <v/>
      </c>
      <c r="L7015" s="7" t="n"/>
      <c r="M7015" s="7" t="n"/>
      <c r="N7015">
        <f>IF(D7015="", "Gap - No Legal Basis", IF(AND(D7015="Consent (GDPR Art. 6(1)(a))", I7015="Not Captured"), "Gap - Invalid Consent", IF(AND(D7015="Legitimate Interest (GDPR Art. 6(1)(f))", L7015=""), "Gap - Missing LIA", IF(AND(G7015="Yes", H7015=""), "Gap - Missing Art. 9 Basis", IF(OR(I7015="Invalid - Not Freely Given", I7015="Invalid - Not Specific", I7015="Invalid - Not Informed", I7015="Invalid - Ambiguous"), "Gap - Invalid Consent", "Compliant")))))</f>
        <v/>
      </c>
      <c r="O7015" s="7" t="n"/>
    </row>
    <row r="7016">
      <c r="A7016" s="7" t="n"/>
      <c r="B7016" s="7" t="n"/>
      <c r="C7016" s="7" t="n"/>
      <c r="D7016" s="7" t="n"/>
      <c r="E7016" s="7" t="n"/>
      <c r="F7016" s="7" t="n"/>
      <c r="G7016" s="7" t="n"/>
      <c r="H7016" s="7" t="n"/>
      <c r="I7016" s="7" t="n"/>
      <c r="J7016" s="7" t="n"/>
      <c r="K7016">
        <f>IF(D7016="Legitimate Interest (GDPR Art. 6(1)(f))", "Yes / Required (Sheet 3)", "")</f>
        <v/>
      </c>
      <c r="L7016" s="7" t="n"/>
      <c r="M7016" s="7" t="n"/>
      <c r="N7016">
        <f>IF(D7016="", "Gap - No Legal Basis", IF(AND(D7016="Consent (GDPR Art. 6(1)(a))", I7016="Not Captured"), "Gap - Invalid Consent", IF(AND(D7016="Legitimate Interest (GDPR Art. 6(1)(f))", L7016=""), "Gap - Missing LIA", IF(AND(G7016="Yes", H7016=""), "Gap - Missing Art. 9 Basis", IF(OR(I7016="Invalid - Not Freely Given", I7016="Invalid - Not Specific", I7016="Invalid - Not Informed", I7016="Invalid - Ambiguous"), "Gap - Invalid Consent", "Compliant")))))</f>
        <v/>
      </c>
      <c r="O7016" s="7" t="n"/>
    </row>
    <row r="7017">
      <c r="A7017" s="7" t="n"/>
      <c r="B7017" s="7" t="n"/>
      <c r="C7017" s="7" t="n"/>
      <c r="D7017" s="7" t="n"/>
      <c r="E7017" s="7" t="n"/>
      <c r="F7017" s="7" t="n"/>
      <c r="G7017" s="7" t="n"/>
      <c r="H7017" s="7" t="n"/>
      <c r="I7017" s="7" t="n"/>
      <c r="J7017" s="7" t="n"/>
      <c r="K7017">
        <f>IF(D7017="Legitimate Interest (GDPR Art. 6(1)(f))", "Yes / Required (Sheet 3)", "")</f>
        <v/>
      </c>
      <c r="L7017" s="7" t="n"/>
      <c r="M7017" s="7" t="n"/>
      <c r="N7017">
        <f>IF(D7017="", "Gap - No Legal Basis", IF(AND(D7017="Consent (GDPR Art. 6(1)(a))", I7017="Not Captured"), "Gap - Invalid Consent", IF(AND(D7017="Legitimate Interest (GDPR Art. 6(1)(f))", L7017=""), "Gap - Missing LIA", IF(AND(G7017="Yes", H7017=""), "Gap - Missing Art. 9 Basis", IF(OR(I7017="Invalid - Not Freely Given", I7017="Invalid - Not Specific", I7017="Invalid - Not Informed", I7017="Invalid - Ambiguous"), "Gap - Invalid Consent", "Compliant")))))</f>
        <v/>
      </c>
      <c r="O7017" s="7" t="n"/>
    </row>
    <row r="7018">
      <c r="A7018" s="7" t="n"/>
      <c r="B7018" s="7" t="n"/>
      <c r="C7018" s="7" t="n"/>
      <c r="D7018" s="7" t="n"/>
      <c r="E7018" s="7" t="n"/>
      <c r="F7018" s="7" t="n"/>
      <c r="G7018" s="7" t="n"/>
      <c r="H7018" s="7" t="n"/>
      <c r="I7018" s="7" t="n"/>
      <c r="J7018" s="7" t="n"/>
      <c r="K7018">
        <f>IF(D7018="Legitimate Interest (GDPR Art. 6(1)(f))", "Yes / Required (Sheet 3)", "")</f>
        <v/>
      </c>
      <c r="L7018" s="7" t="n"/>
      <c r="M7018" s="7" t="n"/>
      <c r="N7018">
        <f>IF(D7018="", "Gap - No Legal Basis", IF(AND(D7018="Consent (GDPR Art. 6(1)(a))", I7018="Not Captured"), "Gap - Invalid Consent", IF(AND(D7018="Legitimate Interest (GDPR Art. 6(1)(f))", L7018=""), "Gap - Missing LIA", IF(AND(G7018="Yes", H7018=""), "Gap - Missing Art. 9 Basis", IF(OR(I7018="Invalid - Not Freely Given", I7018="Invalid - Not Specific", I7018="Invalid - Not Informed", I7018="Invalid - Ambiguous"), "Gap - Invalid Consent", "Compliant")))))</f>
        <v/>
      </c>
      <c r="O7018" s="7" t="n"/>
    </row>
    <row r="7019">
      <c r="A7019" s="7" t="n"/>
      <c r="B7019" s="7" t="n"/>
      <c r="C7019" s="7" t="n"/>
      <c r="D7019" s="7" t="n"/>
      <c r="E7019" s="7" t="n"/>
      <c r="F7019" s="7" t="n"/>
      <c r="G7019" s="7" t="n"/>
      <c r="H7019" s="7" t="n"/>
      <c r="I7019" s="7" t="n"/>
      <c r="J7019" s="7" t="n"/>
      <c r="K7019">
        <f>IF(D7019="Legitimate Interest (GDPR Art. 6(1)(f))", "Yes / Required (Sheet 3)", "")</f>
        <v/>
      </c>
      <c r="L7019" s="7" t="n"/>
      <c r="M7019" s="7" t="n"/>
      <c r="N7019">
        <f>IF(D7019="", "Gap - No Legal Basis", IF(AND(D7019="Consent (GDPR Art. 6(1)(a))", I7019="Not Captured"), "Gap - Invalid Consent", IF(AND(D7019="Legitimate Interest (GDPR Art. 6(1)(f))", L7019=""), "Gap - Missing LIA", IF(AND(G7019="Yes", H7019=""), "Gap - Missing Art. 9 Basis", IF(OR(I7019="Invalid - Not Freely Given", I7019="Invalid - Not Specific", I7019="Invalid - Not Informed", I7019="Invalid - Ambiguous"), "Gap - Invalid Consent", "Compliant")))))</f>
        <v/>
      </c>
      <c r="O7019" s="7" t="n"/>
    </row>
    <row r="7020">
      <c r="A7020" s="7" t="n"/>
      <c r="B7020" s="7" t="n"/>
      <c r="C7020" s="7" t="n"/>
      <c r="D7020" s="7" t="n"/>
      <c r="E7020" s="7" t="n"/>
      <c r="F7020" s="7" t="n"/>
      <c r="G7020" s="7" t="n"/>
      <c r="H7020" s="7" t="n"/>
      <c r="I7020" s="7" t="n"/>
      <c r="J7020" s="7" t="n"/>
      <c r="K7020">
        <f>IF(D7020="Legitimate Interest (GDPR Art. 6(1)(f))", "Yes / Required (Sheet 3)", "")</f>
        <v/>
      </c>
      <c r="L7020" s="7" t="n"/>
      <c r="M7020" s="7" t="n"/>
      <c r="N7020">
        <f>IF(D7020="", "Gap - No Legal Basis", IF(AND(D7020="Consent (GDPR Art. 6(1)(a))", I7020="Not Captured"), "Gap - Invalid Consent", IF(AND(D7020="Legitimate Interest (GDPR Art. 6(1)(f))", L7020=""), "Gap - Missing LIA", IF(AND(G7020="Yes", H7020=""), "Gap - Missing Art. 9 Basis", IF(OR(I7020="Invalid - Not Freely Given", I7020="Invalid - Not Specific", I7020="Invalid - Not Informed", I7020="Invalid - Ambiguous"), "Gap - Invalid Consent", "Compliant")))))</f>
        <v/>
      </c>
      <c r="O7020" s="7" t="n"/>
    </row>
    <row r="7021">
      <c r="A7021" s="7" t="n"/>
      <c r="B7021" s="7" t="n"/>
      <c r="C7021" s="7" t="n"/>
      <c r="D7021" s="7" t="n"/>
      <c r="E7021" s="7" t="n"/>
      <c r="F7021" s="7" t="n"/>
      <c r="G7021" s="7" t="n"/>
      <c r="H7021" s="7" t="n"/>
      <c r="I7021" s="7" t="n"/>
      <c r="J7021" s="7" t="n"/>
      <c r="K7021">
        <f>IF(D7021="Legitimate Interest (GDPR Art. 6(1)(f))", "Yes / Required (Sheet 3)", "")</f>
        <v/>
      </c>
      <c r="L7021" s="7" t="n"/>
      <c r="M7021" s="7" t="n"/>
      <c r="N7021">
        <f>IF(D7021="", "Gap - No Legal Basis", IF(AND(D7021="Consent (GDPR Art. 6(1)(a))", I7021="Not Captured"), "Gap - Invalid Consent", IF(AND(D7021="Legitimate Interest (GDPR Art. 6(1)(f))", L7021=""), "Gap - Missing LIA", IF(AND(G7021="Yes", H7021=""), "Gap - Missing Art. 9 Basis", IF(OR(I7021="Invalid - Not Freely Given", I7021="Invalid - Not Specific", I7021="Invalid - Not Informed", I7021="Invalid - Ambiguous"), "Gap - Invalid Consent", "Compliant")))))</f>
        <v/>
      </c>
      <c r="O7021" s="7" t="n"/>
    </row>
    <row r="7022">
      <c r="A7022" s="7" t="n"/>
      <c r="B7022" s="7" t="n"/>
      <c r="C7022" s="7" t="n"/>
      <c r="D7022" s="7" t="n"/>
      <c r="E7022" s="7" t="n"/>
      <c r="F7022" s="7" t="n"/>
      <c r="G7022" s="7" t="n"/>
      <c r="H7022" s="7" t="n"/>
      <c r="I7022" s="7" t="n"/>
      <c r="J7022" s="7" t="n"/>
      <c r="K7022">
        <f>IF(D7022="Legitimate Interest (GDPR Art. 6(1)(f))", "Yes / Required (Sheet 3)", "")</f>
        <v/>
      </c>
      <c r="L7022" s="7" t="n"/>
      <c r="M7022" s="7" t="n"/>
      <c r="N7022">
        <f>IF(D7022="", "Gap - No Legal Basis", IF(AND(D7022="Consent (GDPR Art. 6(1)(a))", I7022="Not Captured"), "Gap - Invalid Consent", IF(AND(D7022="Legitimate Interest (GDPR Art. 6(1)(f))", L7022=""), "Gap - Missing LIA", IF(AND(G7022="Yes", H7022=""), "Gap - Missing Art. 9 Basis", IF(OR(I7022="Invalid - Not Freely Given", I7022="Invalid - Not Specific", I7022="Invalid - Not Informed", I7022="Invalid - Ambiguous"), "Gap - Invalid Consent", "Compliant")))))</f>
        <v/>
      </c>
      <c r="O7022" s="7" t="n"/>
    </row>
    <row r="7023">
      <c r="A7023" s="7" t="n"/>
      <c r="B7023" s="7" t="n"/>
      <c r="C7023" s="7" t="n"/>
      <c r="D7023" s="7" t="n"/>
      <c r="E7023" s="7" t="n"/>
      <c r="F7023" s="7" t="n"/>
      <c r="G7023" s="7" t="n"/>
      <c r="H7023" s="7" t="n"/>
      <c r="I7023" s="7" t="n"/>
      <c r="J7023" s="7" t="n"/>
      <c r="K7023">
        <f>IF(D7023="Legitimate Interest (GDPR Art. 6(1)(f))", "Yes / Required (Sheet 3)", "")</f>
        <v/>
      </c>
      <c r="L7023" s="7" t="n"/>
      <c r="M7023" s="7" t="n"/>
      <c r="N7023">
        <f>IF(D7023="", "Gap - No Legal Basis", IF(AND(D7023="Consent (GDPR Art. 6(1)(a))", I7023="Not Captured"), "Gap - Invalid Consent", IF(AND(D7023="Legitimate Interest (GDPR Art. 6(1)(f))", L7023=""), "Gap - Missing LIA", IF(AND(G7023="Yes", H7023=""), "Gap - Missing Art. 9 Basis", IF(OR(I7023="Invalid - Not Freely Given", I7023="Invalid - Not Specific", I7023="Invalid - Not Informed", I7023="Invalid - Ambiguous"), "Gap - Invalid Consent", "Compliant")))))</f>
        <v/>
      </c>
      <c r="O7023" s="7" t="n"/>
    </row>
    <row r="7024">
      <c r="A7024" s="7" t="n"/>
      <c r="B7024" s="7" t="n"/>
      <c r="C7024" s="7" t="n"/>
      <c r="D7024" s="7" t="n"/>
      <c r="E7024" s="7" t="n"/>
      <c r="F7024" s="7" t="n"/>
      <c r="G7024" s="7" t="n"/>
      <c r="H7024" s="7" t="n"/>
      <c r="I7024" s="7" t="n"/>
      <c r="J7024" s="7" t="n"/>
      <c r="K7024">
        <f>IF(D7024="Legitimate Interest (GDPR Art. 6(1)(f))", "Yes / Required (Sheet 3)", "")</f>
        <v/>
      </c>
      <c r="L7024" s="7" t="n"/>
      <c r="M7024" s="7" t="n"/>
      <c r="N7024">
        <f>IF(D7024="", "Gap - No Legal Basis", IF(AND(D7024="Consent (GDPR Art. 6(1)(a))", I7024="Not Captured"), "Gap - Invalid Consent", IF(AND(D7024="Legitimate Interest (GDPR Art. 6(1)(f))", L7024=""), "Gap - Missing LIA", IF(AND(G7024="Yes", H7024=""), "Gap - Missing Art. 9 Basis", IF(OR(I7024="Invalid - Not Freely Given", I7024="Invalid - Not Specific", I7024="Invalid - Not Informed", I7024="Invalid - Ambiguous"), "Gap - Invalid Consent", "Compliant")))))</f>
        <v/>
      </c>
      <c r="O7024" s="7" t="n"/>
    </row>
    <row r="7025">
      <c r="A7025" s="7" t="n"/>
      <c r="B7025" s="7" t="n"/>
      <c r="C7025" s="7" t="n"/>
      <c r="D7025" s="7" t="n"/>
      <c r="E7025" s="7" t="n"/>
      <c r="F7025" s="7" t="n"/>
      <c r="G7025" s="7" t="n"/>
      <c r="H7025" s="7" t="n"/>
      <c r="I7025" s="7" t="n"/>
      <c r="J7025" s="7" t="n"/>
      <c r="K7025">
        <f>IF(D7025="Legitimate Interest (GDPR Art. 6(1)(f))", "Yes / Required (Sheet 3)", "")</f>
        <v/>
      </c>
      <c r="L7025" s="7" t="n"/>
      <c r="M7025" s="7" t="n"/>
      <c r="N7025">
        <f>IF(D7025="", "Gap - No Legal Basis", IF(AND(D7025="Consent (GDPR Art. 6(1)(a))", I7025="Not Captured"), "Gap - Invalid Consent", IF(AND(D7025="Legitimate Interest (GDPR Art. 6(1)(f))", L7025=""), "Gap - Missing LIA", IF(AND(G7025="Yes", H7025=""), "Gap - Missing Art. 9 Basis", IF(OR(I7025="Invalid - Not Freely Given", I7025="Invalid - Not Specific", I7025="Invalid - Not Informed", I7025="Invalid - Ambiguous"), "Gap - Invalid Consent", "Compliant")))))</f>
        <v/>
      </c>
      <c r="O7025" s="7" t="n"/>
    </row>
    <row r="7026">
      <c r="A7026" s="7" t="n"/>
      <c r="B7026" s="7" t="n"/>
      <c r="C7026" s="7" t="n"/>
      <c r="D7026" s="7" t="n"/>
      <c r="E7026" s="7" t="n"/>
      <c r="F7026" s="7" t="n"/>
      <c r="G7026" s="7" t="n"/>
      <c r="H7026" s="7" t="n"/>
      <c r="I7026" s="7" t="n"/>
      <c r="J7026" s="7" t="n"/>
      <c r="K7026">
        <f>IF(D7026="Legitimate Interest (GDPR Art. 6(1)(f))", "Yes / Required (Sheet 3)", "")</f>
        <v/>
      </c>
      <c r="L7026" s="7" t="n"/>
      <c r="M7026" s="7" t="n"/>
      <c r="N7026">
        <f>IF(D7026="", "Gap - No Legal Basis", IF(AND(D7026="Consent (GDPR Art. 6(1)(a))", I7026="Not Captured"), "Gap - Invalid Consent", IF(AND(D7026="Legitimate Interest (GDPR Art. 6(1)(f))", L7026=""), "Gap - Missing LIA", IF(AND(G7026="Yes", H7026=""), "Gap - Missing Art. 9 Basis", IF(OR(I7026="Invalid - Not Freely Given", I7026="Invalid - Not Specific", I7026="Invalid - Not Informed", I7026="Invalid - Ambiguous"), "Gap - Invalid Consent", "Compliant")))))</f>
        <v/>
      </c>
      <c r="O7026" s="7" t="n"/>
    </row>
    <row r="7027">
      <c r="A7027" s="7" t="n"/>
      <c r="B7027" s="7" t="n"/>
      <c r="C7027" s="7" t="n"/>
      <c r="D7027" s="7" t="n"/>
      <c r="E7027" s="7" t="n"/>
      <c r="F7027" s="7" t="n"/>
      <c r="G7027" s="7" t="n"/>
      <c r="H7027" s="7" t="n"/>
      <c r="I7027" s="7" t="n"/>
      <c r="J7027" s="7" t="n"/>
      <c r="K7027">
        <f>IF(D7027="Legitimate Interest (GDPR Art. 6(1)(f))", "Yes / Required (Sheet 3)", "")</f>
        <v/>
      </c>
      <c r="L7027" s="7" t="n"/>
      <c r="M7027" s="7" t="n"/>
      <c r="N7027">
        <f>IF(D7027="", "Gap - No Legal Basis", IF(AND(D7027="Consent (GDPR Art. 6(1)(a))", I7027="Not Captured"), "Gap - Invalid Consent", IF(AND(D7027="Legitimate Interest (GDPR Art. 6(1)(f))", L7027=""), "Gap - Missing LIA", IF(AND(G7027="Yes", H7027=""), "Gap - Missing Art. 9 Basis", IF(OR(I7027="Invalid - Not Freely Given", I7027="Invalid - Not Specific", I7027="Invalid - Not Informed", I7027="Invalid - Ambiguous"), "Gap - Invalid Consent", "Compliant")))))</f>
        <v/>
      </c>
      <c r="O7027" s="7" t="n"/>
    </row>
    <row r="7028">
      <c r="A7028" s="7" t="n"/>
      <c r="B7028" s="7" t="n"/>
      <c r="C7028" s="7" t="n"/>
      <c r="D7028" s="7" t="n"/>
      <c r="E7028" s="7" t="n"/>
      <c r="F7028" s="7" t="n"/>
      <c r="G7028" s="7" t="n"/>
      <c r="H7028" s="7" t="n"/>
      <c r="I7028" s="7" t="n"/>
      <c r="J7028" s="7" t="n"/>
      <c r="K7028">
        <f>IF(D7028="Legitimate Interest (GDPR Art. 6(1)(f))", "Yes / Required (Sheet 3)", "")</f>
        <v/>
      </c>
      <c r="L7028" s="7" t="n"/>
      <c r="M7028" s="7" t="n"/>
      <c r="N7028">
        <f>IF(D7028="", "Gap - No Legal Basis", IF(AND(D7028="Consent (GDPR Art. 6(1)(a))", I7028="Not Captured"), "Gap - Invalid Consent", IF(AND(D7028="Legitimate Interest (GDPR Art. 6(1)(f))", L7028=""), "Gap - Missing LIA", IF(AND(G7028="Yes", H7028=""), "Gap - Missing Art. 9 Basis", IF(OR(I7028="Invalid - Not Freely Given", I7028="Invalid - Not Specific", I7028="Invalid - Not Informed", I7028="Invalid - Ambiguous"), "Gap - Invalid Consent", "Compliant")))))</f>
        <v/>
      </c>
      <c r="O7028" s="7" t="n"/>
    </row>
    <row r="7029">
      <c r="A7029" s="7" t="n"/>
      <c r="B7029" s="7" t="n"/>
      <c r="C7029" s="7" t="n"/>
      <c r="D7029" s="7" t="n"/>
      <c r="E7029" s="7" t="n"/>
      <c r="F7029" s="7" t="n"/>
      <c r="G7029" s="7" t="n"/>
      <c r="H7029" s="7" t="n"/>
      <c r="I7029" s="7" t="n"/>
      <c r="J7029" s="7" t="n"/>
      <c r="K7029">
        <f>IF(D7029="Legitimate Interest (GDPR Art. 6(1)(f))", "Yes / Required (Sheet 3)", "")</f>
        <v/>
      </c>
      <c r="L7029" s="7" t="n"/>
      <c r="M7029" s="7" t="n"/>
      <c r="N7029">
        <f>IF(D7029="", "Gap - No Legal Basis", IF(AND(D7029="Consent (GDPR Art. 6(1)(a))", I7029="Not Captured"), "Gap - Invalid Consent", IF(AND(D7029="Legitimate Interest (GDPR Art. 6(1)(f))", L7029=""), "Gap - Missing LIA", IF(AND(G7029="Yes", H7029=""), "Gap - Missing Art. 9 Basis", IF(OR(I7029="Invalid - Not Freely Given", I7029="Invalid - Not Specific", I7029="Invalid - Not Informed", I7029="Invalid - Ambiguous"), "Gap - Invalid Consent", "Compliant")))))</f>
        <v/>
      </c>
      <c r="O7029" s="7" t="n"/>
    </row>
    <row r="7030">
      <c r="A7030" s="7" t="n"/>
      <c r="B7030" s="7" t="n"/>
      <c r="C7030" s="7" t="n"/>
      <c r="D7030" s="7" t="n"/>
      <c r="E7030" s="7" t="n"/>
      <c r="F7030" s="7" t="n"/>
      <c r="G7030" s="7" t="n"/>
      <c r="H7030" s="7" t="n"/>
      <c r="I7030" s="7" t="n"/>
      <c r="J7030" s="7" t="n"/>
      <c r="K7030">
        <f>IF(D7030="Legitimate Interest (GDPR Art. 6(1)(f))", "Yes / Required (Sheet 3)", "")</f>
        <v/>
      </c>
      <c r="L7030" s="7" t="n"/>
      <c r="M7030" s="7" t="n"/>
      <c r="N7030">
        <f>IF(D7030="", "Gap - No Legal Basis", IF(AND(D7030="Consent (GDPR Art. 6(1)(a))", I7030="Not Captured"), "Gap - Invalid Consent", IF(AND(D7030="Legitimate Interest (GDPR Art. 6(1)(f))", L7030=""), "Gap - Missing LIA", IF(AND(G7030="Yes", H7030=""), "Gap - Missing Art. 9 Basis", IF(OR(I7030="Invalid - Not Freely Given", I7030="Invalid - Not Specific", I7030="Invalid - Not Informed", I7030="Invalid - Ambiguous"), "Gap - Invalid Consent", "Compliant")))))</f>
        <v/>
      </c>
      <c r="O7030" s="7" t="n"/>
    </row>
    <row r="7031">
      <c r="A7031" s="7" t="n"/>
      <c r="B7031" s="7" t="n"/>
      <c r="C7031" s="7" t="n"/>
      <c r="D7031" s="7" t="n"/>
      <c r="E7031" s="7" t="n"/>
      <c r="F7031" s="7" t="n"/>
      <c r="G7031" s="7" t="n"/>
      <c r="H7031" s="7" t="n"/>
      <c r="I7031" s="7" t="n"/>
      <c r="J7031" s="7" t="n"/>
      <c r="K7031">
        <f>IF(D7031="Legitimate Interest (GDPR Art. 6(1)(f))", "Yes / Required (Sheet 3)", "")</f>
        <v/>
      </c>
      <c r="L7031" s="7" t="n"/>
      <c r="M7031" s="7" t="n"/>
      <c r="N7031">
        <f>IF(D7031="", "Gap - No Legal Basis", IF(AND(D7031="Consent (GDPR Art. 6(1)(a))", I7031="Not Captured"), "Gap - Invalid Consent", IF(AND(D7031="Legitimate Interest (GDPR Art. 6(1)(f))", L7031=""), "Gap - Missing LIA", IF(AND(G7031="Yes", H7031=""), "Gap - Missing Art. 9 Basis", IF(OR(I7031="Invalid - Not Freely Given", I7031="Invalid - Not Specific", I7031="Invalid - Not Informed", I7031="Invalid - Ambiguous"), "Gap - Invalid Consent", "Compliant")))))</f>
        <v/>
      </c>
      <c r="O7031" s="7" t="n"/>
    </row>
    <row r="7032">
      <c r="A7032" s="7" t="n"/>
      <c r="B7032" s="7" t="n"/>
      <c r="C7032" s="7" t="n"/>
      <c r="D7032" s="7" t="n"/>
      <c r="E7032" s="7" t="n"/>
      <c r="F7032" s="7" t="n"/>
      <c r="G7032" s="7" t="n"/>
      <c r="H7032" s="7" t="n"/>
      <c r="I7032" s="7" t="n"/>
      <c r="J7032" s="7" t="n"/>
      <c r="K7032">
        <f>IF(D7032="Legitimate Interest (GDPR Art. 6(1)(f))", "Yes / Required (Sheet 3)", "")</f>
        <v/>
      </c>
      <c r="L7032" s="7" t="n"/>
      <c r="M7032" s="7" t="n"/>
      <c r="N7032">
        <f>IF(D7032="", "Gap - No Legal Basis", IF(AND(D7032="Consent (GDPR Art. 6(1)(a))", I7032="Not Captured"), "Gap - Invalid Consent", IF(AND(D7032="Legitimate Interest (GDPR Art. 6(1)(f))", L7032=""), "Gap - Missing LIA", IF(AND(G7032="Yes", H7032=""), "Gap - Missing Art. 9 Basis", IF(OR(I7032="Invalid - Not Freely Given", I7032="Invalid - Not Specific", I7032="Invalid - Not Informed", I7032="Invalid - Ambiguous"), "Gap - Invalid Consent", "Compliant")))))</f>
        <v/>
      </c>
      <c r="O7032" s="7" t="n"/>
    </row>
    <row r="7033">
      <c r="A7033" s="7" t="n"/>
      <c r="B7033" s="7" t="n"/>
      <c r="C7033" s="7" t="n"/>
      <c r="D7033" s="7" t="n"/>
      <c r="E7033" s="7" t="n"/>
      <c r="F7033" s="7" t="n"/>
      <c r="G7033" s="7" t="n"/>
      <c r="H7033" s="7" t="n"/>
      <c r="I7033" s="7" t="n"/>
      <c r="J7033" s="7" t="n"/>
      <c r="K7033">
        <f>IF(D7033="Legitimate Interest (GDPR Art. 6(1)(f))", "Yes / Required (Sheet 3)", "")</f>
        <v/>
      </c>
      <c r="L7033" s="7" t="n"/>
      <c r="M7033" s="7" t="n"/>
      <c r="N7033">
        <f>IF(D7033="", "Gap - No Legal Basis", IF(AND(D7033="Consent (GDPR Art. 6(1)(a))", I7033="Not Captured"), "Gap - Invalid Consent", IF(AND(D7033="Legitimate Interest (GDPR Art. 6(1)(f))", L7033=""), "Gap - Missing LIA", IF(AND(G7033="Yes", H7033=""), "Gap - Missing Art. 9 Basis", IF(OR(I7033="Invalid - Not Freely Given", I7033="Invalid - Not Specific", I7033="Invalid - Not Informed", I7033="Invalid - Ambiguous"), "Gap - Invalid Consent", "Compliant")))))</f>
        <v/>
      </c>
      <c r="O7033" s="7" t="n"/>
    </row>
    <row r="7034">
      <c r="A7034" s="7" t="n"/>
      <c r="B7034" s="7" t="n"/>
      <c r="C7034" s="7" t="n"/>
      <c r="D7034" s="7" t="n"/>
      <c r="E7034" s="7" t="n"/>
      <c r="F7034" s="7" t="n"/>
      <c r="G7034" s="7" t="n"/>
      <c r="H7034" s="7" t="n"/>
      <c r="I7034" s="7" t="n"/>
      <c r="J7034" s="7" t="n"/>
      <c r="K7034">
        <f>IF(D7034="Legitimate Interest (GDPR Art. 6(1)(f))", "Yes / Required (Sheet 3)", "")</f>
        <v/>
      </c>
      <c r="L7034" s="7" t="n"/>
      <c r="M7034" s="7" t="n"/>
      <c r="N7034">
        <f>IF(D7034="", "Gap - No Legal Basis", IF(AND(D7034="Consent (GDPR Art. 6(1)(a))", I7034="Not Captured"), "Gap - Invalid Consent", IF(AND(D7034="Legitimate Interest (GDPR Art. 6(1)(f))", L7034=""), "Gap - Missing LIA", IF(AND(G7034="Yes", H7034=""), "Gap - Missing Art. 9 Basis", IF(OR(I7034="Invalid - Not Freely Given", I7034="Invalid - Not Specific", I7034="Invalid - Not Informed", I7034="Invalid - Ambiguous"), "Gap - Invalid Consent", "Compliant")))))</f>
        <v/>
      </c>
      <c r="O7034" s="7" t="n"/>
    </row>
    <row r="7035">
      <c r="A7035" s="7" t="n"/>
      <c r="B7035" s="7" t="n"/>
      <c r="C7035" s="7" t="n"/>
      <c r="D7035" s="7" t="n"/>
      <c r="E7035" s="7" t="n"/>
      <c r="F7035" s="7" t="n"/>
      <c r="G7035" s="7" t="n"/>
      <c r="H7035" s="7" t="n"/>
      <c r="I7035" s="7" t="n"/>
      <c r="J7035" s="7" t="n"/>
      <c r="K7035">
        <f>IF(D7035="Legitimate Interest (GDPR Art. 6(1)(f))", "Yes / Required (Sheet 3)", "")</f>
        <v/>
      </c>
      <c r="L7035" s="7" t="n"/>
      <c r="M7035" s="7" t="n"/>
      <c r="N7035">
        <f>IF(D7035="", "Gap - No Legal Basis", IF(AND(D7035="Consent (GDPR Art. 6(1)(a))", I7035="Not Captured"), "Gap - Invalid Consent", IF(AND(D7035="Legitimate Interest (GDPR Art. 6(1)(f))", L7035=""), "Gap - Missing LIA", IF(AND(G7035="Yes", H7035=""), "Gap - Missing Art. 9 Basis", IF(OR(I7035="Invalid - Not Freely Given", I7035="Invalid - Not Specific", I7035="Invalid - Not Informed", I7035="Invalid - Ambiguous"), "Gap - Invalid Consent", "Compliant")))))</f>
        <v/>
      </c>
      <c r="O7035" s="7" t="n"/>
    </row>
    <row r="7036">
      <c r="A7036" s="7" t="n"/>
      <c r="B7036" s="7" t="n"/>
      <c r="C7036" s="7" t="n"/>
      <c r="D7036" s="7" t="n"/>
      <c r="E7036" s="7" t="n"/>
      <c r="F7036" s="7" t="n"/>
      <c r="G7036" s="7" t="n"/>
      <c r="H7036" s="7" t="n"/>
      <c r="I7036" s="7" t="n"/>
      <c r="J7036" s="7" t="n"/>
      <c r="K7036">
        <f>IF(D7036="Legitimate Interest (GDPR Art. 6(1)(f))", "Yes / Required (Sheet 3)", "")</f>
        <v/>
      </c>
      <c r="L7036" s="7" t="n"/>
      <c r="M7036" s="7" t="n"/>
      <c r="N7036">
        <f>IF(D7036="", "Gap - No Legal Basis", IF(AND(D7036="Consent (GDPR Art. 6(1)(a))", I7036="Not Captured"), "Gap - Invalid Consent", IF(AND(D7036="Legitimate Interest (GDPR Art. 6(1)(f))", L7036=""), "Gap - Missing LIA", IF(AND(G7036="Yes", H7036=""), "Gap - Missing Art. 9 Basis", IF(OR(I7036="Invalid - Not Freely Given", I7036="Invalid - Not Specific", I7036="Invalid - Not Informed", I7036="Invalid - Ambiguous"), "Gap - Invalid Consent", "Compliant")))))</f>
        <v/>
      </c>
      <c r="O7036" s="7" t="n"/>
    </row>
    <row r="7037">
      <c r="A7037" s="7" t="n"/>
      <c r="B7037" s="7" t="n"/>
      <c r="C7037" s="7" t="n"/>
      <c r="D7037" s="7" t="n"/>
      <c r="E7037" s="7" t="n"/>
      <c r="F7037" s="7" t="n"/>
      <c r="G7037" s="7" t="n"/>
      <c r="H7037" s="7" t="n"/>
      <c r="I7037" s="7" t="n"/>
      <c r="J7037" s="7" t="n"/>
      <c r="K7037">
        <f>IF(D7037="Legitimate Interest (GDPR Art. 6(1)(f))", "Yes / Required (Sheet 3)", "")</f>
        <v/>
      </c>
      <c r="L7037" s="7" t="n"/>
      <c r="M7037" s="7" t="n"/>
      <c r="N7037">
        <f>IF(D7037="", "Gap - No Legal Basis", IF(AND(D7037="Consent (GDPR Art. 6(1)(a))", I7037="Not Captured"), "Gap - Invalid Consent", IF(AND(D7037="Legitimate Interest (GDPR Art. 6(1)(f))", L7037=""), "Gap - Missing LIA", IF(AND(G7037="Yes", H7037=""), "Gap - Missing Art. 9 Basis", IF(OR(I7037="Invalid - Not Freely Given", I7037="Invalid - Not Specific", I7037="Invalid - Not Informed", I7037="Invalid - Ambiguous"), "Gap - Invalid Consent", "Compliant")))))</f>
        <v/>
      </c>
      <c r="O7037" s="7" t="n"/>
    </row>
    <row r="7038">
      <c r="A7038" s="7" t="n"/>
      <c r="B7038" s="7" t="n"/>
      <c r="C7038" s="7" t="n"/>
      <c r="D7038" s="7" t="n"/>
      <c r="E7038" s="7" t="n"/>
      <c r="F7038" s="7" t="n"/>
      <c r="G7038" s="7" t="n"/>
      <c r="H7038" s="7" t="n"/>
      <c r="I7038" s="7" t="n"/>
      <c r="J7038" s="7" t="n"/>
      <c r="K7038">
        <f>IF(D7038="Legitimate Interest (GDPR Art. 6(1)(f))", "Yes / Required (Sheet 3)", "")</f>
        <v/>
      </c>
      <c r="L7038" s="7" t="n"/>
      <c r="M7038" s="7" t="n"/>
      <c r="N7038">
        <f>IF(D7038="", "Gap - No Legal Basis", IF(AND(D7038="Consent (GDPR Art. 6(1)(a))", I7038="Not Captured"), "Gap - Invalid Consent", IF(AND(D7038="Legitimate Interest (GDPR Art. 6(1)(f))", L7038=""), "Gap - Missing LIA", IF(AND(G7038="Yes", H7038=""), "Gap - Missing Art. 9 Basis", IF(OR(I7038="Invalid - Not Freely Given", I7038="Invalid - Not Specific", I7038="Invalid - Not Informed", I7038="Invalid - Ambiguous"), "Gap - Invalid Consent", "Compliant")))))</f>
        <v/>
      </c>
      <c r="O7038" s="7" t="n"/>
    </row>
    <row r="7039">
      <c r="A7039" s="7" t="n"/>
      <c r="B7039" s="7" t="n"/>
      <c r="C7039" s="7" t="n"/>
      <c r="D7039" s="7" t="n"/>
      <c r="E7039" s="7" t="n"/>
      <c r="F7039" s="7" t="n"/>
      <c r="G7039" s="7" t="n"/>
      <c r="H7039" s="7" t="n"/>
      <c r="I7039" s="7" t="n"/>
      <c r="J7039" s="7" t="n"/>
      <c r="K7039">
        <f>IF(D7039="Legitimate Interest (GDPR Art. 6(1)(f))", "Yes / Required (Sheet 3)", "")</f>
        <v/>
      </c>
      <c r="L7039" s="7" t="n"/>
      <c r="M7039" s="7" t="n"/>
      <c r="N7039">
        <f>IF(D7039="", "Gap - No Legal Basis", IF(AND(D7039="Consent (GDPR Art. 6(1)(a))", I7039="Not Captured"), "Gap - Invalid Consent", IF(AND(D7039="Legitimate Interest (GDPR Art. 6(1)(f))", L7039=""), "Gap - Missing LIA", IF(AND(G7039="Yes", H7039=""), "Gap - Missing Art. 9 Basis", IF(OR(I7039="Invalid - Not Freely Given", I7039="Invalid - Not Specific", I7039="Invalid - Not Informed", I7039="Invalid - Ambiguous"), "Gap - Invalid Consent", "Compliant")))))</f>
        <v/>
      </c>
      <c r="O7039" s="7" t="n"/>
    </row>
    <row r="7040">
      <c r="A7040" s="7" t="n"/>
      <c r="B7040" s="7" t="n"/>
      <c r="C7040" s="7" t="n"/>
      <c r="D7040" s="7" t="n"/>
      <c r="E7040" s="7" t="n"/>
      <c r="F7040" s="7" t="n"/>
      <c r="G7040" s="7" t="n"/>
      <c r="H7040" s="7" t="n"/>
      <c r="I7040" s="7" t="n"/>
      <c r="J7040" s="7" t="n"/>
      <c r="K7040">
        <f>IF(D7040="Legitimate Interest (GDPR Art. 6(1)(f))", "Yes / Required (Sheet 3)", "")</f>
        <v/>
      </c>
      <c r="L7040" s="7" t="n"/>
      <c r="M7040" s="7" t="n"/>
      <c r="N7040">
        <f>IF(D7040="", "Gap - No Legal Basis", IF(AND(D7040="Consent (GDPR Art. 6(1)(a))", I7040="Not Captured"), "Gap - Invalid Consent", IF(AND(D7040="Legitimate Interest (GDPR Art. 6(1)(f))", L7040=""), "Gap - Missing LIA", IF(AND(G7040="Yes", H7040=""), "Gap - Missing Art. 9 Basis", IF(OR(I7040="Invalid - Not Freely Given", I7040="Invalid - Not Specific", I7040="Invalid - Not Informed", I7040="Invalid - Ambiguous"), "Gap - Invalid Consent", "Compliant")))))</f>
        <v/>
      </c>
      <c r="O7040" s="7" t="n"/>
    </row>
    <row r="7041">
      <c r="A7041" s="7" t="n"/>
      <c r="B7041" s="7" t="n"/>
      <c r="C7041" s="7" t="n"/>
      <c r="D7041" s="7" t="n"/>
      <c r="E7041" s="7" t="n"/>
      <c r="F7041" s="7" t="n"/>
      <c r="G7041" s="7" t="n"/>
      <c r="H7041" s="7" t="n"/>
      <c r="I7041" s="7" t="n"/>
      <c r="J7041" s="7" t="n"/>
      <c r="K7041">
        <f>IF(D7041="Legitimate Interest (GDPR Art. 6(1)(f))", "Yes / Required (Sheet 3)", "")</f>
        <v/>
      </c>
      <c r="L7041" s="7" t="n"/>
      <c r="M7041" s="7" t="n"/>
      <c r="N7041">
        <f>IF(D7041="", "Gap - No Legal Basis", IF(AND(D7041="Consent (GDPR Art. 6(1)(a))", I7041="Not Captured"), "Gap - Invalid Consent", IF(AND(D7041="Legitimate Interest (GDPR Art. 6(1)(f))", L7041=""), "Gap - Missing LIA", IF(AND(G7041="Yes", H7041=""), "Gap - Missing Art. 9 Basis", IF(OR(I7041="Invalid - Not Freely Given", I7041="Invalid - Not Specific", I7041="Invalid - Not Informed", I7041="Invalid - Ambiguous"), "Gap - Invalid Consent", "Compliant")))))</f>
        <v/>
      </c>
      <c r="O7041" s="7" t="n"/>
    </row>
    <row r="7042">
      <c r="A7042" s="7" t="n"/>
      <c r="B7042" s="7" t="n"/>
      <c r="C7042" s="7" t="n"/>
      <c r="D7042" s="7" t="n"/>
      <c r="E7042" s="7" t="n"/>
      <c r="F7042" s="7" t="n"/>
      <c r="G7042" s="7" t="n"/>
      <c r="H7042" s="7" t="n"/>
      <c r="I7042" s="7" t="n"/>
      <c r="J7042" s="7" t="n"/>
      <c r="K7042">
        <f>IF(D7042="Legitimate Interest (GDPR Art. 6(1)(f))", "Yes / Required (Sheet 3)", "")</f>
        <v/>
      </c>
      <c r="L7042" s="7" t="n"/>
      <c r="M7042" s="7" t="n"/>
      <c r="N7042">
        <f>IF(D7042="", "Gap - No Legal Basis", IF(AND(D7042="Consent (GDPR Art. 6(1)(a))", I7042="Not Captured"), "Gap - Invalid Consent", IF(AND(D7042="Legitimate Interest (GDPR Art. 6(1)(f))", L7042=""), "Gap - Missing LIA", IF(AND(G7042="Yes", H7042=""), "Gap - Missing Art. 9 Basis", IF(OR(I7042="Invalid - Not Freely Given", I7042="Invalid - Not Specific", I7042="Invalid - Not Informed", I7042="Invalid - Ambiguous"), "Gap - Invalid Consent", "Compliant")))))</f>
        <v/>
      </c>
      <c r="O7042" s="7" t="n"/>
    </row>
    <row r="7043">
      <c r="A7043" s="7" t="n"/>
      <c r="B7043" s="7" t="n"/>
      <c r="C7043" s="7" t="n"/>
      <c r="D7043" s="7" t="n"/>
      <c r="E7043" s="7" t="n"/>
      <c r="F7043" s="7" t="n"/>
      <c r="G7043" s="7" t="n"/>
      <c r="H7043" s="7" t="n"/>
      <c r="I7043" s="7" t="n"/>
      <c r="J7043" s="7" t="n"/>
      <c r="K7043">
        <f>IF(D7043="Legitimate Interest (GDPR Art. 6(1)(f))", "Yes / Required (Sheet 3)", "")</f>
        <v/>
      </c>
      <c r="L7043" s="7" t="n"/>
      <c r="M7043" s="7" t="n"/>
      <c r="N7043">
        <f>IF(D7043="", "Gap - No Legal Basis", IF(AND(D7043="Consent (GDPR Art. 6(1)(a))", I7043="Not Captured"), "Gap - Invalid Consent", IF(AND(D7043="Legitimate Interest (GDPR Art. 6(1)(f))", L7043=""), "Gap - Missing LIA", IF(AND(G7043="Yes", H7043=""), "Gap - Missing Art. 9 Basis", IF(OR(I7043="Invalid - Not Freely Given", I7043="Invalid - Not Specific", I7043="Invalid - Not Informed", I7043="Invalid - Ambiguous"), "Gap - Invalid Consent", "Compliant")))))</f>
        <v/>
      </c>
      <c r="O7043" s="7" t="n"/>
    </row>
    <row r="7044">
      <c r="A7044" s="7" t="n"/>
      <c r="B7044" s="7" t="n"/>
      <c r="C7044" s="7" t="n"/>
      <c r="D7044" s="7" t="n"/>
      <c r="E7044" s="7" t="n"/>
      <c r="F7044" s="7" t="n"/>
      <c r="G7044" s="7" t="n"/>
      <c r="H7044" s="7" t="n"/>
      <c r="I7044" s="7" t="n"/>
      <c r="J7044" s="7" t="n"/>
      <c r="K7044">
        <f>IF(D7044="Legitimate Interest (GDPR Art. 6(1)(f))", "Yes / Required (Sheet 3)", "")</f>
        <v/>
      </c>
      <c r="L7044" s="7" t="n"/>
      <c r="M7044" s="7" t="n"/>
      <c r="N7044">
        <f>IF(D7044="", "Gap - No Legal Basis", IF(AND(D7044="Consent (GDPR Art. 6(1)(a))", I7044="Not Captured"), "Gap - Invalid Consent", IF(AND(D7044="Legitimate Interest (GDPR Art. 6(1)(f))", L7044=""), "Gap - Missing LIA", IF(AND(G7044="Yes", H7044=""), "Gap - Missing Art. 9 Basis", IF(OR(I7044="Invalid - Not Freely Given", I7044="Invalid - Not Specific", I7044="Invalid - Not Informed", I7044="Invalid - Ambiguous"), "Gap - Invalid Consent", "Compliant")))))</f>
        <v/>
      </c>
      <c r="O7044" s="7" t="n"/>
    </row>
    <row r="7045">
      <c r="A7045" s="7" t="n"/>
      <c r="B7045" s="7" t="n"/>
      <c r="C7045" s="7" t="n"/>
      <c r="D7045" s="7" t="n"/>
      <c r="E7045" s="7" t="n"/>
      <c r="F7045" s="7" t="n"/>
      <c r="G7045" s="7" t="n"/>
      <c r="H7045" s="7" t="n"/>
      <c r="I7045" s="7" t="n"/>
      <c r="J7045" s="7" t="n"/>
      <c r="K7045">
        <f>IF(D7045="Legitimate Interest (GDPR Art. 6(1)(f))", "Yes / Required (Sheet 3)", "")</f>
        <v/>
      </c>
      <c r="L7045" s="7" t="n"/>
      <c r="M7045" s="7" t="n"/>
      <c r="N7045">
        <f>IF(D7045="", "Gap - No Legal Basis", IF(AND(D7045="Consent (GDPR Art. 6(1)(a))", I7045="Not Captured"), "Gap - Invalid Consent", IF(AND(D7045="Legitimate Interest (GDPR Art. 6(1)(f))", L7045=""), "Gap - Missing LIA", IF(AND(G7045="Yes", H7045=""), "Gap - Missing Art. 9 Basis", IF(OR(I7045="Invalid - Not Freely Given", I7045="Invalid - Not Specific", I7045="Invalid - Not Informed", I7045="Invalid - Ambiguous"), "Gap - Invalid Consent", "Compliant")))))</f>
        <v/>
      </c>
      <c r="O7045" s="7" t="n"/>
    </row>
    <row r="7046">
      <c r="A7046" s="7" t="n"/>
      <c r="B7046" s="7" t="n"/>
      <c r="C7046" s="7" t="n"/>
      <c r="D7046" s="7" t="n"/>
      <c r="E7046" s="7" t="n"/>
      <c r="F7046" s="7" t="n"/>
      <c r="G7046" s="7" t="n"/>
      <c r="H7046" s="7" t="n"/>
      <c r="I7046" s="7" t="n"/>
      <c r="J7046" s="7" t="n"/>
      <c r="K7046">
        <f>IF(D7046="Legitimate Interest (GDPR Art. 6(1)(f))", "Yes / Required (Sheet 3)", "")</f>
        <v/>
      </c>
      <c r="L7046" s="7" t="n"/>
      <c r="M7046" s="7" t="n"/>
      <c r="N7046">
        <f>IF(D7046="", "Gap - No Legal Basis", IF(AND(D7046="Consent (GDPR Art. 6(1)(a))", I7046="Not Captured"), "Gap - Invalid Consent", IF(AND(D7046="Legitimate Interest (GDPR Art. 6(1)(f))", L7046=""), "Gap - Missing LIA", IF(AND(G7046="Yes", H7046=""), "Gap - Missing Art. 9 Basis", IF(OR(I7046="Invalid - Not Freely Given", I7046="Invalid - Not Specific", I7046="Invalid - Not Informed", I7046="Invalid - Ambiguous"), "Gap - Invalid Consent", "Compliant")))))</f>
        <v/>
      </c>
      <c r="O7046" s="7" t="n"/>
    </row>
    <row r="7047">
      <c r="A7047" s="7" t="n"/>
      <c r="B7047" s="7" t="n"/>
      <c r="C7047" s="7" t="n"/>
      <c r="D7047" s="7" t="n"/>
      <c r="E7047" s="7" t="n"/>
      <c r="F7047" s="7" t="n"/>
      <c r="G7047" s="7" t="n"/>
      <c r="H7047" s="7" t="n"/>
      <c r="I7047" s="7" t="n"/>
      <c r="J7047" s="7" t="n"/>
      <c r="K7047">
        <f>IF(D7047="Legitimate Interest (GDPR Art. 6(1)(f))", "Yes / Required (Sheet 3)", "")</f>
        <v/>
      </c>
      <c r="L7047" s="7" t="n"/>
      <c r="M7047" s="7" t="n"/>
      <c r="N7047">
        <f>IF(D7047="", "Gap - No Legal Basis", IF(AND(D7047="Consent (GDPR Art. 6(1)(a))", I7047="Not Captured"), "Gap - Invalid Consent", IF(AND(D7047="Legitimate Interest (GDPR Art. 6(1)(f))", L7047=""), "Gap - Missing LIA", IF(AND(G7047="Yes", H7047=""), "Gap - Missing Art. 9 Basis", IF(OR(I7047="Invalid - Not Freely Given", I7047="Invalid - Not Specific", I7047="Invalid - Not Informed", I7047="Invalid - Ambiguous"), "Gap - Invalid Consent", "Compliant")))))</f>
        <v/>
      </c>
      <c r="O7047" s="7" t="n"/>
    </row>
    <row r="7048">
      <c r="A7048" s="7" t="n"/>
      <c r="B7048" s="7" t="n"/>
      <c r="C7048" s="7" t="n"/>
      <c r="D7048" s="7" t="n"/>
      <c r="E7048" s="7" t="n"/>
      <c r="F7048" s="7" t="n"/>
      <c r="G7048" s="7" t="n"/>
      <c r="H7048" s="7" t="n"/>
      <c r="I7048" s="7" t="n"/>
      <c r="J7048" s="7" t="n"/>
      <c r="K7048">
        <f>IF(D7048="Legitimate Interest (GDPR Art. 6(1)(f))", "Yes / Required (Sheet 3)", "")</f>
        <v/>
      </c>
      <c r="L7048" s="7" t="n"/>
      <c r="M7048" s="7" t="n"/>
      <c r="N7048">
        <f>IF(D7048="", "Gap - No Legal Basis", IF(AND(D7048="Consent (GDPR Art. 6(1)(a))", I7048="Not Captured"), "Gap - Invalid Consent", IF(AND(D7048="Legitimate Interest (GDPR Art. 6(1)(f))", L7048=""), "Gap - Missing LIA", IF(AND(G7048="Yes", H7048=""), "Gap - Missing Art. 9 Basis", IF(OR(I7048="Invalid - Not Freely Given", I7048="Invalid - Not Specific", I7048="Invalid - Not Informed", I7048="Invalid - Ambiguous"), "Gap - Invalid Consent", "Compliant")))))</f>
        <v/>
      </c>
      <c r="O7048" s="7" t="n"/>
    </row>
    <row r="7049">
      <c r="A7049" s="7" t="n"/>
      <c r="B7049" s="7" t="n"/>
      <c r="C7049" s="7" t="n"/>
      <c r="D7049" s="7" t="n"/>
      <c r="E7049" s="7" t="n"/>
      <c r="F7049" s="7" t="n"/>
      <c r="G7049" s="7" t="n"/>
      <c r="H7049" s="7" t="n"/>
      <c r="I7049" s="7" t="n"/>
      <c r="J7049" s="7" t="n"/>
      <c r="K7049">
        <f>IF(D7049="Legitimate Interest (GDPR Art. 6(1)(f))", "Yes / Required (Sheet 3)", "")</f>
        <v/>
      </c>
      <c r="L7049" s="7" t="n"/>
      <c r="M7049" s="7" t="n"/>
      <c r="N7049">
        <f>IF(D7049="", "Gap - No Legal Basis", IF(AND(D7049="Consent (GDPR Art. 6(1)(a))", I7049="Not Captured"), "Gap - Invalid Consent", IF(AND(D7049="Legitimate Interest (GDPR Art. 6(1)(f))", L7049=""), "Gap - Missing LIA", IF(AND(G7049="Yes", H7049=""), "Gap - Missing Art. 9 Basis", IF(OR(I7049="Invalid - Not Freely Given", I7049="Invalid - Not Specific", I7049="Invalid - Not Informed", I7049="Invalid - Ambiguous"), "Gap - Invalid Consent", "Compliant")))))</f>
        <v/>
      </c>
      <c r="O7049" s="7" t="n"/>
    </row>
    <row r="7050">
      <c r="A7050" s="7" t="n"/>
      <c r="B7050" s="7" t="n"/>
      <c r="C7050" s="7" t="n"/>
      <c r="D7050" s="7" t="n"/>
      <c r="E7050" s="7" t="n"/>
      <c r="F7050" s="7" t="n"/>
      <c r="G7050" s="7" t="n"/>
      <c r="H7050" s="7" t="n"/>
      <c r="I7050" s="7" t="n"/>
      <c r="J7050" s="7" t="n"/>
      <c r="K7050">
        <f>IF(D7050="Legitimate Interest (GDPR Art. 6(1)(f))", "Yes / Required (Sheet 3)", "")</f>
        <v/>
      </c>
      <c r="L7050" s="7" t="n"/>
      <c r="M7050" s="7" t="n"/>
      <c r="N7050">
        <f>IF(D7050="", "Gap - No Legal Basis", IF(AND(D7050="Consent (GDPR Art. 6(1)(a))", I7050="Not Captured"), "Gap - Invalid Consent", IF(AND(D7050="Legitimate Interest (GDPR Art. 6(1)(f))", L7050=""), "Gap - Missing LIA", IF(AND(G7050="Yes", H7050=""), "Gap - Missing Art. 9 Basis", IF(OR(I7050="Invalid - Not Freely Given", I7050="Invalid - Not Specific", I7050="Invalid - Not Informed", I7050="Invalid - Ambiguous"), "Gap - Invalid Consent", "Compliant")))))</f>
        <v/>
      </c>
      <c r="O7050" s="7" t="n"/>
    </row>
    <row r="7051">
      <c r="A7051" s="7" t="n"/>
      <c r="B7051" s="7" t="n"/>
      <c r="C7051" s="7" t="n"/>
      <c r="D7051" s="7" t="n"/>
      <c r="E7051" s="7" t="n"/>
      <c r="F7051" s="7" t="n"/>
      <c r="G7051" s="7" t="n"/>
      <c r="H7051" s="7" t="n"/>
      <c r="I7051" s="7" t="n"/>
      <c r="J7051" s="7" t="n"/>
      <c r="K7051">
        <f>IF(D7051="Legitimate Interest (GDPR Art. 6(1)(f))", "Yes / Required (Sheet 3)", "")</f>
        <v/>
      </c>
      <c r="L7051" s="7" t="n"/>
      <c r="M7051" s="7" t="n"/>
      <c r="N7051">
        <f>IF(D7051="", "Gap - No Legal Basis", IF(AND(D7051="Consent (GDPR Art. 6(1)(a))", I7051="Not Captured"), "Gap - Invalid Consent", IF(AND(D7051="Legitimate Interest (GDPR Art. 6(1)(f))", L7051=""), "Gap - Missing LIA", IF(AND(G7051="Yes", H7051=""), "Gap - Missing Art. 9 Basis", IF(OR(I7051="Invalid - Not Freely Given", I7051="Invalid - Not Specific", I7051="Invalid - Not Informed", I7051="Invalid - Ambiguous"), "Gap - Invalid Consent", "Compliant")))))</f>
        <v/>
      </c>
      <c r="O7051" s="7" t="n"/>
    </row>
    <row r="7052">
      <c r="A7052" s="7" t="n"/>
      <c r="B7052" s="7" t="n"/>
      <c r="C7052" s="7" t="n"/>
      <c r="D7052" s="7" t="n"/>
      <c r="E7052" s="7" t="n"/>
      <c r="F7052" s="7" t="n"/>
      <c r="G7052" s="7" t="n"/>
      <c r="H7052" s="7" t="n"/>
      <c r="I7052" s="7" t="n"/>
      <c r="J7052" s="7" t="n"/>
      <c r="K7052">
        <f>IF(D7052="Legitimate Interest (GDPR Art. 6(1)(f))", "Yes / Required (Sheet 3)", "")</f>
        <v/>
      </c>
      <c r="L7052" s="7" t="n"/>
      <c r="M7052" s="7" t="n"/>
      <c r="N7052">
        <f>IF(D7052="", "Gap - No Legal Basis", IF(AND(D7052="Consent (GDPR Art. 6(1)(a))", I7052="Not Captured"), "Gap - Invalid Consent", IF(AND(D7052="Legitimate Interest (GDPR Art. 6(1)(f))", L7052=""), "Gap - Missing LIA", IF(AND(G7052="Yes", H7052=""), "Gap - Missing Art. 9 Basis", IF(OR(I7052="Invalid - Not Freely Given", I7052="Invalid - Not Specific", I7052="Invalid - Not Informed", I7052="Invalid - Ambiguous"), "Gap - Invalid Consent", "Compliant")))))</f>
        <v/>
      </c>
      <c r="O7052" s="7" t="n"/>
    </row>
    <row r="7053">
      <c r="A7053" s="7" t="n"/>
      <c r="B7053" s="7" t="n"/>
      <c r="C7053" s="7" t="n"/>
      <c r="D7053" s="7" t="n"/>
      <c r="E7053" s="7" t="n"/>
      <c r="F7053" s="7" t="n"/>
      <c r="G7053" s="7" t="n"/>
      <c r="H7053" s="7" t="n"/>
      <c r="I7053" s="7" t="n"/>
      <c r="J7053" s="7" t="n"/>
      <c r="K7053">
        <f>IF(D7053="Legitimate Interest (GDPR Art. 6(1)(f))", "Yes / Required (Sheet 3)", "")</f>
        <v/>
      </c>
      <c r="L7053" s="7" t="n"/>
      <c r="M7053" s="7" t="n"/>
      <c r="N7053">
        <f>IF(D7053="", "Gap - No Legal Basis", IF(AND(D7053="Consent (GDPR Art. 6(1)(a))", I7053="Not Captured"), "Gap - Invalid Consent", IF(AND(D7053="Legitimate Interest (GDPR Art. 6(1)(f))", L7053=""), "Gap - Missing LIA", IF(AND(G7053="Yes", H7053=""), "Gap - Missing Art. 9 Basis", IF(OR(I7053="Invalid - Not Freely Given", I7053="Invalid - Not Specific", I7053="Invalid - Not Informed", I7053="Invalid - Ambiguous"), "Gap - Invalid Consent", "Compliant")))))</f>
        <v/>
      </c>
      <c r="O7053" s="7" t="n"/>
    </row>
    <row r="7054">
      <c r="A7054" s="7" t="n"/>
      <c r="B7054" s="7" t="n"/>
      <c r="C7054" s="7" t="n"/>
      <c r="D7054" s="7" t="n"/>
      <c r="E7054" s="7" t="n"/>
      <c r="F7054" s="7" t="n"/>
      <c r="G7054" s="7" t="n"/>
      <c r="H7054" s="7" t="n"/>
      <c r="I7054" s="7" t="n"/>
      <c r="J7054" s="7" t="n"/>
      <c r="K7054">
        <f>IF(D7054="Legitimate Interest (GDPR Art. 6(1)(f))", "Yes / Required (Sheet 3)", "")</f>
        <v/>
      </c>
      <c r="L7054" s="7" t="n"/>
      <c r="M7054" s="7" t="n"/>
      <c r="N7054">
        <f>IF(D7054="", "Gap - No Legal Basis", IF(AND(D7054="Consent (GDPR Art. 6(1)(a))", I7054="Not Captured"), "Gap - Invalid Consent", IF(AND(D7054="Legitimate Interest (GDPR Art. 6(1)(f))", L7054=""), "Gap - Missing LIA", IF(AND(G7054="Yes", H7054=""), "Gap - Missing Art. 9 Basis", IF(OR(I7054="Invalid - Not Freely Given", I7054="Invalid - Not Specific", I7054="Invalid - Not Informed", I7054="Invalid - Ambiguous"), "Gap - Invalid Consent", "Compliant")))))</f>
        <v/>
      </c>
      <c r="O7054" s="7" t="n"/>
    </row>
    <row r="7055">
      <c r="A7055" s="7" t="n"/>
      <c r="B7055" s="7" t="n"/>
      <c r="C7055" s="7" t="n"/>
      <c r="D7055" s="7" t="n"/>
      <c r="E7055" s="7" t="n"/>
      <c r="F7055" s="7" t="n"/>
      <c r="G7055" s="7" t="n"/>
      <c r="H7055" s="7" t="n"/>
      <c r="I7055" s="7" t="n"/>
      <c r="J7055" s="7" t="n"/>
      <c r="K7055">
        <f>IF(D7055="Legitimate Interest (GDPR Art. 6(1)(f))", "Yes / Required (Sheet 3)", "")</f>
        <v/>
      </c>
      <c r="L7055" s="7" t="n"/>
      <c r="M7055" s="7" t="n"/>
      <c r="N7055">
        <f>IF(D7055="", "Gap - No Legal Basis", IF(AND(D7055="Consent (GDPR Art. 6(1)(a))", I7055="Not Captured"), "Gap - Invalid Consent", IF(AND(D7055="Legitimate Interest (GDPR Art. 6(1)(f))", L7055=""), "Gap - Missing LIA", IF(AND(G7055="Yes", H7055=""), "Gap - Missing Art. 9 Basis", IF(OR(I7055="Invalid - Not Freely Given", I7055="Invalid - Not Specific", I7055="Invalid - Not Informed", I7055="Invalid - Ambiguous"), "Gap - Invalid Consent", "Compliant")))))</f>
        <v/>
      </c>
      <c r="O7055" s="7" t="n"/>
    </row>
    <row r="7056">
      <c r="A7056" s="7" t="n"/>
      <c r="B7056" s="7" t="n"/>
      <c r="C7056" s="7" t="n"/>
      <c r="D7056" s="7" t="n"/>
      <c r="E7056" s="7" t="n"/>
      <c r="F7056" s="7" t="n"/>
      <c r="G7056" s="7" t="n"/>
      <c r="H7056" s="7" t="n"/>
      <c r="I7056" s="7" t="n"/>
      <c r="J7056" s="7" t="n"/>
      <c r="K7056">
        <f>IF(D7056="Legitimate Interest (GDPR Art. 6(1)(f))", "Yes / Required (Sheet 3)", "")</f>
        <v/>
      </c>
      <c r="L7056" s="7" t="n"/>
      <c r="M7056" s="7" t="n"/>
      <c r="N7056">
        <f>IF(D7056="", "Gap - No Legal Basis", IF(AND(D7056="Consent (GDPR Art. 6(1)(a))", I7056="Not Captured"), "Gap - Invalid Consent", IF(AND(D7056="Legitimate Interest (GDPR Art. 6(1)(f))", L7056=""), "Gap - Missing LIA", IF(AND(G7056="Yes", H7056=""), "Gap - Missing Art. 9 Basis", IF(OR(I7056="Invalid - Not Freely Given", I7056="Invalid - Not Specific", I7056="Invalid - Not Informed", I7056="Invalid - Ambiguous"), "Gap - Invalid Consent", "Compliant")))))</f>
        <v/>
      </c>
      <c r="O7056" s="7" t="n"/>
    </row>
    <row r="7057">
      <c r="A7057" s="7" t="n"/>
      <c r="B7057" s="7" t="n"/>
      <c r="C7057" s="7" t="n"/>
      <c r="D7057" s="7" t="n"/>
      <c r="E7057" s="7" t="n"/>
      <c r="F7057" s="7" t="n"/>
      <c r="G7057" s="7" t="n"/>
      <c r="H7057" s="7" t="n"/>
      <c r="I7057" s="7" t="n"/>
      <c r="J7057" s="7" t="n"/>
      <c r="K7057">
        <f>IF(D7057="Legitimate Interest (GDPR Art. 6(1)(f))", "Yes / Required (Sheet 3)", "")</f>
        <v/>
      </c>
      <c r="L7057" s="7" t="n"/>
      <c r="M7057" s="7" t="n"/>
      <c r="N7057">
        <f>IF(D7057="", "Gap - No Legal Basis", IF(AND(D7057="Consent (GDPR Art. 6(1)(a))", I7057="Not Captured"), "Gap - Invalid Consent", IF(AND(D7057="Legitimate Interest (GDPR Art. 6(1)(f))", L7057=""), "Gap - Missing LIA", IF(AND(G7057="Yes", H7057=""), "Gap - Missing Art. 9 Basis", IF(OR(I7057="Invalid - Not Freely Given", I7057="Invalid - Not Specific", I7057="Invalid - Not Informed", I7057="Invalid - Ambiguous"), "Gap - Invalid Consent", "Compliant")))))</f>
        <v/>
      </c>
      <c r="O7057" s="7" t="n"/>
    </row>
    <row r="7058">
      <c r="A7058" s="7" t="n"/>
      <c r="B7058" s="7" t="n"/>
      <c r="C7058" s="7" t="n"/>
      <c r="D7058" s="7" t="n"/>
      <c r="E7058" s="7" t="n"/>
      <c r="F7058" s="7" t="n"/>
      <c r="G7058" s="7" t="n"/>
      <c r="H7058" s="7" t="n"/>
      <c r="I7058" s="7" t="n"/>
      <c r="J7058" s="7" t="n"/>
      <c r="K7058">
        <f>IF(D7058="Legitimate Interest (GDPR Art. 6(1)(f))", "Yes / Required (Sheet 3)", "")</f>
        <v/>
      </c>
      <c r="L7058" s="7" t="n"/>
      <c r="M7058" s="7" t="n"/>
      <c r="N7058">
        <f>IF(D7058="", "Gap - No Legal Basis", IF(AND(D7058="Consent (GDPR Art. 6(1)(a))", I7058="Not Captured"), "Gap - Invalid Consent", IF(AND(D7058="Legitimate Interest (GDPR Art. 6(1)(f))", L7058=""), "Gap - Missing LIA", IF(AND(G7058="Yes", H7058=""), "Gap - Missing Art. 9 Basis", IF(OR(I7058="Invalid - Not Freely Given", I7058="Invalid - Not Specific", I7058="Invalid - Not Informed", I7058="Invalid - Ambiguous"), "Gap - Invalid Consent", "Compliant")))))</f>
        <v/>
      </c>
      <c r="O7058" s="7" t="n"/>
    </row>
    <row r="7059">
      <c r="A7059" s="7" t="n"/>
      <c r="B7059" s="7" t="n"/>
      <c r="C7059" s="7" t="n"/>
      <c r="D7059" s="7" t="n"/>
      <c r="E7059" s="7" t="n"/>
      <c r="F7059" s="7" t="n"/>
      <c r="G7059" s="7" t="n"/>
      <c r="H7059" s="7" t="n"/>
      <c r="I7059" s="7" t="n"/>
      <c r="J7059" s="7" t="n"/>
      <c r="K7059">
        <f>IF(D7059="Legitimate Interest (GDPR Art. 6(1)(f))", "Yes / Required (Sheet 3)", "")</f>
        <v/>
      </c>
      <c r="L7059" s="7" t="n"/>
      <c r="M7059" s="7" t="n"/>
      <c r="N7059">
        <f>IF(D7059="", "Gap - No Legal Basis", IF(AND(D7059="Consent (GDPR Art. 6(1)(a))", I7059="Not Captured"), "Gap - Invalid Consent", IF(AND(D7059="Legitimate Interest (GDPR Art. 6(1)(f))", L7059=""), "Gap - Missing LIA", IF(AND(G7059="Yes", H7059=""), "Gap - Missing Art. 9 Basis", IF(OR(I7059="Invalid - Not Freely Given", I7059="Invalid - Not Specific", I7059="Invalid - Not Informed", I7059="Invalid - Ambiguous"), "Gap - Invalid Consent", "Compliant")))))</f>
        <v/>
      </c>
      <c r="O7059" s="7" t="n"/>
    </row>
    <row r="7060">
      <c r="A7060" s="7" t="n"/>
      <c r="B7060" s="7" t="n"/>
      <c r="C7060" s="7" t="n"/>
      <c r="D7060" s="7" t="n"/>
      <c r="E7060" s="7" t="n"/>
      <c r="F7060" s="7" t="n"/>
      <c r="G7060" s="7" t="n"/>
      <c r="H7060" s="7" t="n"/>
      <c r="I7060" s="7" t="n"/>
      <c r="J7060" s="7" t="n"/>
      <c r="K7060">
        <f>IF(D7060="Legitimate Interest (GDPR Art. 6(1)(f))", "Yes / Required (Sheet 3)", "")</f>
        <v/>
      </c>
      <c r="L7060" s="7" t="n"/>
      <c r="M7060" s="7" t="n"/>
      <c r="N7060">
        <f>IF(D7060="", "Gap - No Legal Basis", IF(AND(D7060="Consent (GDPR Art. 6(1)(a))", I7060="Not Captured"), "Gap - Invalid Consent", IF(AND(D7060="Legitimate Interest (GDPR Art. 6(1)(f))", L7060=""), "Gap - Missing LIA", IF(AND(G7060="Yes", H7060=""), "Gap - Missing Art. 9 Basis", IF(OR(I7060="Invalid - Not Freely Given", I7060="Invalid - Not Specific", I7060="Invalid - Not Informed", I7060="Invalid - Ambiguous"), "Gap - Invalid Consent", "Compliant")))))</f>
        <v/>
      </c>
      <c r="O7060" s="7" t="n"/>
    </row>
    <row r="7061">
      <c r="A7061" s="7" t="n"/>
      <c r="B7061" s="7" t="n"/>
      <c r="C7061" s="7" t="n"/>
      <c r="D7061" s="7" t="n"/>
      <c r="E7061" s="7" t="n"/>
      <c r="F7061" s="7" t="n"/>
      <c r="G7061" s="7" t="n"/>
      <c r="H7061" s="7" t="n"/>
      <c r="I7061" s="7" t="n"/>
      <c r="J7061" s="7" t="n"/>
      <c r="K7061">
        <f>IF(D7061="Legitimate Interest (GDPR Art. 6(1)(f))", "Yes / Required (Sheet 3)", "")</f>
        <v/>
      </c>
      <c r="L7061" s="7" t="n"/>
      <c r="M7061" s="7" t="n"/>
      <c r="N7061">
        <f>IF(D7061="", "Gap - No Legal Basis", IF(AND(D7061="Consent (GDPR Art. 6(1)(a))", I7061="Not Captured"), "Gap - Invalid Consent", IF(AND(D7061="Legitimate Interest (GDPR Art. 6(1)(f))", L7061=""), "Gap - Missing LIA", IF(AND(G7061="Yes", H7061=""), "Gap - Missing Art. 9 Basis", IF(OR(I7061="Invalid - Not Freely Given", I7061="Invalid - Not Specific", I7061="Invalid - Not Informed", I7061="Invalid - Ambiguous"), "Gap - Invalid Consent", "Compliant")))))</f>
        <v/>
      </c>
      <c r="O7061" s="7" t="n"/>
    </row>
    <row r="7062">
      <c r="A7062" s="7" t="n"/>
      <c r="B7062" s="7" t="n"/>
      <c r="C7062" s="7" t="n"/>
      <c r="D7062" s="7" t="n"/>
      <c r="E7062" s="7" t="n"/>
      <c r="F7062" s="7" t="n"/>
      <c r="G7062" s="7" t="n"/>
      <c r="H7062" s="7" t="n"/>
      <c r="I7062" s="7" t="n"/>
      <c r="J7062" s="7" t="n"/>
      <c r="K7062">
        <f>IF(D7062="Legitimate Interest (GDPR Art. 6(1)(f))", "Yes / Required (Sheet 3)", "")</f>
        <v/>
      </c>
      <c r="L7062" s="7" t="n"/>
      <c r="M7062" s="7" t="n"/>
      <c r="N7062">
        <f>IF(D7062="", "Gap - No Legal Basis", IF(AND(D7062="Consent (GDPR Art. 6(1)(a))", I7062="Not Captured"), "Gap - Invalid Consent", IF(AND(D7062="Legitimate Interest (GDPR Art. 6(1)(f))", L7062=""), "Gap - Missing LIA", IF(AND(G7062="Yes", H7062=""), "Gap - Missing Art. 9 Basis", IF(OR(I7062="Invalid - Not Freely Given", I7062="Invalid - Not Specific", I7062="Invalid - Not Informed", I7062="Invalid - Ambiguous"), "Gap - Invalid Consent", "Compliant")))))</f>
        <v/>
      </c>
      <c r="O7062" s="7" t="n"/>
    </row>
    <row r="7063">
      <c r="A7063" s="7" t="n"/>
      <c r="B7063" s="7" t="n"/>
      <c r="C7063" s="7" t="n"/>
      <c r="D7063" s="7" t="n"/>
      <c r="E7063" s="7" t="n"/>
      <c r="F7063" s="7" t="n"/>
      <c r="G7063" s="7" t="n"/>
      <c r="H7063" s="7" t="n"/>
      <c r="I7063" s="7" t="n"/>
      <c r="J7063" s="7" t="n"/>
      <c r="K7063">
        <f>IF(D7063="Legitimate Interest (GDPR Art. 6(1)(f))", "Yes / Required (Sheet 3)", "")</f>
        <v/>
      </c>
      <c r="L7063" s="7" t="n"/>
      <c r="M7063" s="7" t="n"/>
      <c r="N7063">
        <f>IF(D7063="", "Gap - No Legal Basis", IF(AND(D7063="Consent (GDPR Art. 6(1)(a))", I7063="Not Captured"), "Gap - Invalid Consent", IF(AND(D7063="Legitimate Interest (GDPR Art. 6(1)(f))", L7063=""), "Gap - Missing LIA", IF(AND(G7063="Yes", H7063=""), "Gap - Missing Art. 9 Basis", IF(OR(I7063="Invalid - Not Freely Given", I7063="Invalid - Not Specific", I7063="Invalid - Not Informed", I7063="Invalid - Ambiguous"), "Gap - Invalid Consent", "Compliant")))))</f>
        <v/>
      </c>
      <c r="O7063" s="7" t="n"/>
    </row>
    <row r="7064">
      <c r="A7064" s="7" t="n"/>
      <c r="B7064" s="7" t="n"/>
      <c r="C7064" s="7" t="n"/>
      <c r="D7064" s="7" t="n"/>
      <c r="E7064" s="7" t="n"/>
      <c r="F7064" s="7" t="n"/>
      <c r="G7064" s="7" t="n"/>
      <c r="H7064" s="7" t="n"/>
      <c r="I7064" s="7" t="n"/>
      <c r="J7064" s="7" t="n"/>
      <c r="K7064">
        <f>IF(D7064="Legitimate Interest (GDPR Art. 6(1)(f))", "Yes / Required (Sheet 3)", "")</f>
        <v/>
      </c>
      <c r="L7064" s="7" t="n"/>
      <c r="M7064" s="7" t="n"/>
      <c r="N7064">
        <f>IF(D7064="", "Gap - No Legal Basis", IF(AND(D7064="Consent (GDPR Art. 6(1)(a))", I7064="Not Captured"), "Gap - Invalid Consent", IF(AND(D7064="Legitimate Interest (GDPR Art. 6(1)(f))", L7064=""), "Gap - Missing LIA", IF(AND(G7064="Yes", H7064=""), "Gap - Missing Art. 9 Basis", IF(OR(I7064="Invalid - Not Freely Given", I7064="Invalid - Not Specific", I7064="Invalid - Not Informed", I7064="Invalid - Ambiguous"), "Gap - Invalid Consent", "Compliant")))))</f>
        <v/>
      </c>
      <c r="O7064" s="7" t="n"/>
    </row>
    <row r="7065">
      <c r="A7065" s="7" t="n"/>
      <c r="B7065" s="7" t="n"/>
      <c r="C7065" s="7" t="n"/>
      <c r="D7065" s="7" t="n"/>
      <c r="E7065" s="7" t="n"/>
      <c r="F7065" s="7" t="n"/>
      <c r="G7065" s="7" t="n"/>
      <c r="H7065" s="7" t="n"/>
      <c r="I7065" s="7" t="n"/>
      <c r="J7065" s="7" t="n"/>
      <c r="K7065">
        <f>IF(D7065="Legitimate Interest (GDPR Art. 6(1)(f))", "Yes / Required (Sheet 3)", "")</f>
        <v/>
      </c>
      <c r="L7065" s="7" t="n"/>
      <c r="M7065" s="7" t="n"/>
      <c r="N7065">
        <f>IF(D7065="", "Gap - No Legal Basis", IF(AND(D7065="Consent (GDPR Art. 6(1)(a))", I7065="Not Captured"), "Gap - Invalid Consent", IF(AND(D7065="Legitimate Interest (GDPR Art. 6(1)(f))", L7065=""), "Gap - Missing LIA", IF(AND(G7065="Yes", H7065=""), "Gap - Missing Art. 9 Basis", IF(OR(I7065="Invalid - Not Freely Given", I7065="Invalid - Not Specific", I7065="Invalid - Not Informed", I7065="Invalid - Ambiguous"), "Gap - Invalid Consent", "Compliant")))))</f>
        <v/>
      </c>
      <c r="O7065" s="7" t="n"/>
    </row>
    <row r="7066">
      <c r="A7066" s="7" t="n"/>
      <c r="B7066" s="7" t="n"/>
      <c r="C7066" s="7" t="n"/>
      <c r="D7066" s="7" t="n"/>
      <c r="E7066" s="7" t="n"/>
      <c r="F7066" s="7" t="n"/>
      <c r="G7066" s="7" t="n"/>
      <c r="H7066" s="7" t="n"/>
      <c r="I7066" s="7" t="n"/>
      <c r="J7066" s="7" t="n"/>
      <c r="K7066">
        <f>IF(D7066="Legitimate Interest (GDPR Art. 6(1)(f))", "Yes / Required (Sheet 3)", "")</f>
        <v/>
      </c>
      <c r="L7066" s="7" t="n"/>
      <c r="M7066" s="7" t="n"/>
      <c r="N7066">
        <f>IF(D7066="", "Gap - No Legal Basis", IF(AND(D7066="Consent (GDPR Art. 6(1)(a))", I7066="Not Captured"), "Gap - Invalid Consent", IF(AND(D7066="Legitimate Interest (GDPR Art. 6(1)(f))", L7066=""), "Gap - Missing LIA", IF(AND(G7066="Yes", H7066=""), "Gap - Missing Art. 9 Basis", IF(OR(I7066="Invalid - Not Freely Given", I7066="Invalid - Not Specific", I7066="Invalid - Not Informed", I7066="Invalid - Ambiguous"), "Gap - Invalid Consent", "Compliant")))))</f>
        <v/>
      </c>
      <c r="O7066" s="7" t="n"/>
    </row>
    <row r="7067">
      <c r="A7067" s="7" t="n"/>
      <c r="B7067" s="7" t="n"/>
      <c r="C7067" s="7" t="n"/>
      <c r="D7067" s="7" t="n"/>
      <c r="E7067" s="7" t="n"/>
      <c r="F7067" s="7" t="n"/>
      <c r="G7067" s="7" t="n"/>
      <c r="H7067" s="7" t="n"/>
      <c r="I7067" s="7" t="n"/>
      <c r="J7067" s="7" t="n"/>
      <c r="K7067">
        <f>IF(D7067="Legitimate Interest (GDPR Art. 6(1)(f))", "Yes / Required (Sheet 3)", "")</f>
        <v/>
      </c>
      <c r="L7067" s="7" t="n"/>
      <c r="M7067" s="7" t="n"/>
      <c r="N7067">
        <f>IF(D7067="", "Gap - No Legal Basis", IF(AND(D7067="Consent (GDPR Art. 6(1)(a))", I7067="Not Captured"), "Gap - Invalid Consent", IF(AND(D7067="Legitimate Interest (GDPR Art. 6(1)(f))", L7067=""), "Gap - Missing LIA", IF(AND(G7067="Yes", H7067=""), "Gap - Missing Art. 9 Basis", IF(OR(I7067="Invalid - Not Freely Given", I7067="Invalid - Not Specific", I7067="Invalid - Not Informed", I7067="Invalid - Ambiguous"), "Gap - Invalid Consent", "Compliant")))))</f>
        <v/>
      </c>
      <c r="O7067" s="7" t="n"/>
    </row>
    <row r="7068">
      <c r="A7068" s="7" t="n"/>
      <c r="B7068" s="7" t="n"/>
      <c r="C7068" s="7" t="n"/>
      <c r="D7068" s="7" t="n"/>
      <c r="E7068" s="7" t="n"/>
      <c r="F7068" s="7" t="n"/>
      <c r="G7068" s="7" t="n"/>
      <c r="H7068" s="7" t="n"/>
      <c r="I7068" s="7" t="n"/>
      <c r="J7068" s="7" t="n"/>
      <c r="K7068">
        <f>IF(D7068="Legitimate Interest (GDPR Art. 6(1)(f))", "Yes / Required (Sheet 3)", "")</f>
        <v/>
      </c>
      <c r="L7068" s="7" t="n"/>
      <c r="M7068" s="7" t="n"/>
      <c r="N7068">
        <f>IF(D7068="", "Gap - No Legal Basis", IF(AND(D7068="Consent (GDPR Art. 6(1)(a))", I7068="Not Captured"), "Gap - Invalid Consent", IF(AND(D7068="Legitimate Interest (GDPR Art. 6(1)(f))", L7068=""), "Gap - Missing LIA", IF(AND(G7068="Yes", H7068=""), "Gap - Missing Art. 9 Basis", IF(OR(I7068="Invalid - Not Freely Given", I7068="Invalid - Not Specific", I7068="Invalid - Not Informed", I7068="Invalid - Ambiguous"), "Gap - Invalid Consent", "Compliant")))))</f>
        <v/>
      </c>
      <c r="O7068" s="7" t="n"/>
    </row>
    <row r="7069">
      <c r="A7069" s="7" t="n"/>
      <c r="B7069" s="7" t="n"/>
      <c r="C7069" s="7" t="n"/>
      <c r="D7069" s="7" t="n"/>
      <c r="E7069" s="7" t="n"/>
      <c r="F7069" s="7" t="n"/>
      <c r="G7069" s="7" t="n"/>
      <c r="H7069" s="7" t="n"/>
      <c r="I7069" s="7" t="n"/>
      <c r="J7069" s="7" t="n"/>
      <c r="K7069">
        <f>IF(D7069="Legitimate Interest (GDPR Art. 6(1)(f))", "Yes / Required (Sheet 3)", "")</f>
        <v/>
      </c>
      <c r="L7069" s="7" t="n"/>
      <c r="M7069" s="7" t="n"/>
      <c r="N7069">
        <f>IF(D7069="", "Gap - No Legal Basis", IF(AND(D7069="Consent (GDPR Art. 6(1)(a))", I7069="Not Captured"), "Gap - Invalid Consent", IF(AND(D7069="Legitimate Interest (GDPR Art. 6(1)(f))", L7069=""), "Gap - Missing LIA", IF(AND(G7069="Yes", H7069=""), "Gap - Missing Art. 9 Basis", IF(OR(I7069="Invalid - Not Freely Given", I7069="Invalid - Not Specific", I7069="Invalid - Not Informed", I7069="Invalid - Ambiguous"), "Gap - Invalid Consent", "Compliant")))))</f>
        <v/>
      </c>
      <c r="O7069" s="7" t="n"/>
    </row>
    <row r="7070">
      <c r="A7070" s="7" t="n"/>
      <c r="B7070" s="7" t="n"/>
      <c r="C7070" s="7" t="n"/>
      <c r="D7070" s="7" t="n"/>
      <c r="E7070" s="7" t="n"/>
      <c r="F7070" s="7" t="n"/>
      <c r="G7070" s="7" t="n"/>
      <c r="H7070" s="7" t="n"/>
      <c r="I7070" s="7" t="n"/>
      <c r="J7070" s="7" t="n"/>
      <c r="K7070">
        <f>IF(D7070="Legitimate Interest (GDPR Art. 6(1)(f))", "Yes / Required (Sheet 3)", "")</f>
        <v/>
      </c>
      <c r="L7070" s="7" t="n"/>
      <c r="M7070" s="7" t="n"/>
      <c r="N7070">
        <f>IF(D7070="", "Gap - No Legal Basis", IF(AND(D7070="Consent (GDPR Art. 6(1)(a))", I7070="Not Captured"), "Gap - Invalid Consent", IF(AND(D7070="Legitimate Interest (GDPR Art. 6(1)(f))", L7070=""), "Gap - Missing LIA", IF(AND(G7070="Yes", H7070=""), "Gap - Missing Art. 9 Basis", IF(OR(I7070="Invalid - Not Freely Given", I7070="Invalid - Not Specific", I7070="Invalid - Not Informed", I7070="Invalid - Ambiguous"), "Gap - Invalid Consent", "Compliant")))))</f>
        <v/>
      </c>
      <c r="O7070" s="7" t="n"/>
    </row>
    <row r="7071">
      <c r="A7071" s="7" t="n"/>
      <c r="B7071" s="7" t="n"/>
      <c r="C7071" s="7" t="n"/>
      <c r="D7071" s="7" t="n"/>
      <c r="E7071" s="7" t="n"/>
      <c r="F7071" s="7" t="n"/>
      <c r="G7071" s="7" t="n"/>
      <c r="H7071" s="7" t="n"/>
      <c r="I7071" s="7" t="n"/>
      <c r="J7071" s="7" t="n"/>
      <c r="K7071">
        <f>IF(D7071="Legitimate Interest (GDPR Art. 6(1)(f))", "Yes / Required (Sheet 3)", "")</f>
        <v/>
      </c>
      <c r="L7071" s="7" t="n"/>
      <c r="M7071" s="7" t="n"/>
      <c r="N7071">
        <f>IF(D7071="", "Gap - No Legal Basis", IF(AND(D7071="Consent (GDPR Art. 6(1)(a))", I7071="Not Captured"), "Gap - Invalid Consent", IF(AND(D7071="Legitimate Interest (GDPR Art. 6(1)(f))", L7071=""), "Gap - Missing LIA", IF(AND(G7071="Yes", H7071=""), "Gap - Missing Art. 9 Basis", IF(OR(I7071="Invalid - Not Freely Given", I7071="Invalid - Not Specific", I7071="Invalid - Not Informed", I7071="Invalid - Ambiguous"), "Gap - Invalid Consent", "Compliant")))))</f>
        <v/>
      </c>
      <c r="O7071" s="7" t="n"/>
    </row>
    <row r="7072">
      <c r="A7072" s="7" t="n"/>
      <c r="B7072" s="7" t="n"/>
      <c r="C7072" s="7" t="n"/>
      <c r="D7072" s="7" t="n"/>
      <c r="E7072" s="7" t="n"/>
      <c r="F7072" s="7" t="n"/>
      <c r="G7072" s="7" t="n"/>
      <c r="H7072" s="7" t="n"/>
      <c r="I7072" s="7" t="n"/>
      <c r="J7072" s="7" t="n"/>
      <c r="K7072">
        <f>IF(D7072="Legitimate Interest (GDPR Art. 6(1)(f))", "Yes / Required (Sheet 3)", "")</f>
        <v/>
      </c>
      <c r="L7072" s="7" t="n"/>
      <c r="M7072" s="7" t="n"/>
      <c r="N7072">
        <f>IF(D7072="", "Gap - No Legal Basis", IF(AND(D7072="Consent (GDPR Art. 6(1)(a))", I7072="Not Captured"), "Gap - Invalid Consent", IF(AND(D7072="Legitimate Interest (GDPR Art. 6(1)(f))", L7072=""), "Gap - Missing LIA", IF(AND(G7072="Yes", H7072=""), "Gap - Missing Art. 9 Basis", IF(OR(I7072="Invalid - Not Freely Given", I7072="Invalid - Not Specific", I7072="Invalid - Not Informed", I7072="Invalid - Ambiguous"), "Gap - Invalid Consent", "Compliant")))))</f>
        <v/>
      </c>
      <c r="O7072" s="7" t="n"/>
    </row>
    <row r="7073">
      <c r="A7073" s="7" t="n"/>
      <c r="B7073" s="7" t="n"/>
      <c r="C7073" s="7" t="n"/>
      <c r="D7073" s="7" t="n"/>
      <c r="E7073" s="7" t="n"/>
      <c r="F7073" s="7" t="n"/>
      <c r="G7073" s="7" t="n"/>
      <c r="H7073" s="7" t="n"/>
      <c r="I7073" s="7" t="n"/>
      <c r="J7073" s="7" t="n"/>
      <c r="K7073">
        <f>IF(D7073="Legitimate Interest (GDPR Art. 6(1)(f))", "Yes / Required (Sheet 3)", "")</f>
        <v/>
      </c>
      <c r="L7073" s="7" t="n"/>
      <c r="M7073" s="7" t="n"/>
      <c r="N7073">
        <f>IF(D7073="", "Gap - No Legal Basis", IF(AND(D7073="Consent (GDPR Art. 6(1)(a))", I7073="Not Captured"), "Gap - Invalid Consent", IF(AND(D7073="Legitimate Interest (GDPR Art. 6(1)(f))", L7073=""), "Gap - Missing LIA", IF(AND(G7073="Yes", H7073=""), "Gap - Missing Art. 9 Basis", IF(OR(I7073="Invalid - Not Freely Given", I7073="Invalid - Not Specific", I7073="Invalid - Not Informed", I7073="Invalid - Ambiguous"), "Gap - Invalid Consent", "Compliant")))))</f>
        <v/>
      </c>
      <c r="O7073" s="7" t="n"/>
    </row>
    <row r="7074">
      <c r="A7074" s="7" t="n"/>
      <c r="B7074" s="7" t="n"/>
      <c r="C7074" s="7" t="n"/>
      <c r="D7074" s="7" t="n"/>
      <c r="E7074" s="7" t="n"/>
      <c r="F7074" s="7" t="n"/>
      <c r="G7074" s="7" t="n"/>
      <c r="H7074" s="7" t="n"/>
      <c r="I7074" s="7" t="n"/>
      <c r="J7074" s="7" t="n"/>
      <c r="K7074">
        <f>IF(D7074="Legitimate Interest (GDPR Art. 6(1)(f))", "Yes / Required (Sheet 3)", "")</f>
        <v/>
      </c>
      <c r="L7074" s="7" t="n"/>
      <c r="M7074" s="7" t="n"/>
      <c r="N7074">
        <f>IF(D7074="", "Gap - No Legal Basis", IF(AND(D7074="Consent (GDPR Art. 6(1)(a))", I7074="Not Captured"), "Gap - Invalid Consent", IF(AND(D7074="Legitimate Interest (GDPR Art. 6(1)(f))", L7074=""), "Gap - Missing LIA", IF(AND(G7074="Yes", H7074=""), "Gap - Missing Art. 9 Basis", IF(OR(I7074="Invalid - Not Freely Given", I7074="Invalid - Not Specific", I7074="Invalid - Not Informed", I7074="Invalid - Ambiguous"), "Gap - Invalid Consent", "Compliant")))))</f>
        <v/>
      </c>
      <c r="O7074" s="7" t="n"/>
    </row>
    <row r="7075">
      <c r="A7075" s="7" t="n"/>
      <c r="B7075" s="7" t="n"/>
      <c r="C7075" s="7" t="n"/>
      <c r="D7075" s="7" t="n"/>
      <c r="E7075" s="7" t="n"/>
      <c r="F7075" s="7" t="n"/>
      <c r="G7075" s="7" t="n"/>
      <c r="H7075" s="7" t="n"/>
      <c r="I7075" s="7" t="n"/>
      <c r="J7075" s="7" t="n"/>
      <c r="K7075">
        <f>IF(D7075="Legitimate Interest (GDPR Art. 6(1)(f))", "Yes / Required (Sheet 3)", "")</f>
        <v/>
      </c>
      <c r="L7075" s="7" t="n"/>
      <c r="M7075" s="7" t="n"/>
      <c r="N7075">
        <f>IF(D7075="", "Gap - No Legal Basis", IF(AND(D7075="Consent (GDPR Art. 6(1)(a))", I7075="Not Captured"), "Gap - Invalid Consent", IF(AND(D7075="Legitimate Interest (GDPR Art. 6(1)(f))", L7075=""), "Gap - Missing LIA", IF(AND(G7075="Yes", H7075=""), "Gap - Missing Art. 9 Basis", IF(OR(I7075="Invalid - Not Freely Given", I7075="Invalid - Not Specific", I7075="Invalid - Not Informed", I7075="Invalid - Ambiguous"), "Gap - Invalid Consent", "Compliant")))))</f>
        <v/>
      </c>
      <c r="O7075" s="7" t="n"/>
    </row>
    <row r="7076">
      <c r="A7076" s="7" t="n"/>
      <c r="B7076" s="7" t="n"/>
      <c r="C7076" s="7" t="n"/>
      <c r="D7076" s="7" t="n"/>
      <c r="E7076" s="7" t="n"/>
      <c r="F7076" s="7" t="n"/>
      <c r="G7076" s="7" t="n"/>
      <c r="H7076" s="7" t="n"/>
      <c r="I7076" s="7" t="n"/>
      <c r="J7076" s="7" t="n"/>
      <c r="K7076">
        <f>IF(D7076="Legitimate Interest (GDPR Art. 6(1)(f))", "Yes / Required (Sheet 3)", "")</f>
        <v/>
      </c>
      <c r="L7076" s="7" t="n"/>
      <c r="M7076" s="7" t="n"/>
      <c r="N7076">
        <f>IF(D7076="", "Gap - No Legal Basis", IF(AND(D7076="Consent (GDPR Art. 6(1)(a))", I7076="Not Captured"), "Gap - Invalid Consent", IF(AND(D7076="Legitimate Interest (GDPR Art. 6(1)(f))", L7076=""), "Gap - Missing LIA", IF(AND(G7076="Yes", H7076=""), "Gap - Missing Art. 9 Basis", IF(OR(I7076="Invalid - Not Freely Given", I7076="Invalid - Not Specific", I7076="Invalid - Not Informed", I7076="Invalid - Ambiguous"), "Gap - Invalid Consent", "Compliant")))))</f>
        <v/>
      </c>
      <c r="O7076" s="7" t="n"/>
    </row>
    <row r="7077">
      <c r="A7077" s="7" t="n"/>
      <c r="B7077" s="7" t="n"/>
      <c r="C7077" s="7" t="n"/>
      <c r="D7077" s="7" t="n"/>
      <c r="E7077" s="7" t="n"/>
      <c r="F7077" s="7" t="n"/>
      <c r="G7077" s="7" t="n"/>
      <c r="H7077" s="7" t="n"/>
      <c r="I7077" s="7" t="n"/>
      <c r="J7077" s="7" t="n"/>
      <c r="K7077">
        <f>IF(D7077="Legitimate Interest (GDPR Art. 6(1)(f))", "Yes / Required (Sheet 3)", "")</f>
        <v/>
      </c>
      <c r="L7077" s="7" t="n"/>
      <c r="M7077" s="7" t="n"/>
      <c r="N7077">
        <f>IF(D7077="", "Gap - No Legal Basis", IF(AND(D7077="Consent (GDPR Art. 6(1)(a))", I7077="Not Captured"), "Gap - Invalid Consent", IF(AND(D7077="Legitimate Interest (GDPR Art. 6(1)(f))", L7077=""), "Gap - Missing LIA", IF(AND(G7077="Yes", H7077=""), "Gap - Missing Art. 9 Basis", IF(OR(I7077="Invalid - Not Freely Given", I7077="Invalid - Not Specific", I7077="Invalid - Not Informed", I7077="Invalid - Ambiguous"), "Gap - Invalid Consent", "Compliant")))))</f>
        <v/>
      </c>
      <c r="O7077" s="7" t="n"/>
    </row>
    <row r="7078">
      <c r="A7078" s="7" t="n"/>
      <c r="B7078" s="7" t="n"/>
      <c r="C7078" s="7" t="n"/>
      <c r="D7078" s="7" t="n"/>
      <c r="E7078" s="7" t="n"/>
      <c r="F7078" s="7" t="n"/>
      <c r="G7078" s="7" t="n"/>
      <c r="H7078" s="7" t="n"/>
      <c r="I7078" s="7" t="n"/>
      <c r="J7078" s="7" t="n"/>
      <c r="K7078">
        <f>IF(D7078="Legitimate Interest (GDPR Art. 6(1)(f))", "Yes / Required (Sheet 3)", "")</f>
        <v/>
      </c>
      <c r="L7078" s="7" t="n"/>
      <c r="M7078" s="7" t="n"/>
      <c r="N7078">
        <f>IF(D7078="", "Gap - No Legal Basis", IF(AND(D7078="Consent (GDPR Art. 6(1)(a))", I7078="Not Captured"), "Gap - Invalid Consent", IF(AND(D7078="Legitimate Interest (GDPR Art. 6(1)(f))", L7078=""), "Gap - Missing LIA", IF(AND(G7078="Yes", H7078=""), "Gap - Missing Art. 9 Basis", IF(OR(I7078="Invalid - Not Freely Given", I7078="Invalid - Not Specific", I7078="Invalid - Not Informed", I7078="Invalid - Ambiguous"), "Gap - Invalid Consent", "Compliant")))))</f>
        <v/>
      </c>
      <c r="O7078" s="7" t="n"/>
    </row>
    <row r="7079">
      <c r="A7079" s="7" t="n"/>
      <c r="B7079" s="7" t="n"/>
      <c r="C7079" s="7" t="n"/>
      <c r="D7079" s="7" t="n"/>
      <c r="E7079" s="7" t="n"/>
      <c r="F7079" s="7" t="n"/>
      <c r="G7079" s="7" t="n"/>
      <c r="H7079" s="7" t="n"/>
      <c r="I7079" s="7" t="n"/>
      <c r="J7079" s="7" t="n"/>
      <c r="K7079">
        <f>IF(D7079="Legitimate Interest (GDPR Art. 6(1)(f))", "Yes / Required (Sheet 3)", "")</f>
        <v/>
      </c>
      <c r="L7079" s="7" t="n"/>
      <c r="M7079" s="7" t="n"/>
      <c r="N7079">
        <f>IF(D7079="", "Gap - No Legal Basis", IF(AND(D7079="Consent (GDPR Art. 6(1)(a))", I7079="Not Captured"), "Gap - Invalid Consent", IF(AND(D7079="Legitimate Interest (GDPR Art. 6(1)(f))", L7079=""), "Gap - Missing LIA", IF(AND(G7079="Yes", H7079=""), "Gap - Missing Art. 9 Basis", IF(OR(I7079="Invalid - Not Freely Given", I7079="Invalid - Not Specific", I7079="Invalid - Not Informed", I7079="Invalid - Ambiguous"), "Gap - Invalid Consent", "Compliant")))))</f>
        <v/>
      </c>
      <c r="O7079" s="7" t="n"/>
    </row>
    <row r="7080">
      <c r="A7080" s="7" t="n"/>
      <c r="B7080" s="7" t="n"/>
      <c r="C7080" s="7" t="n"/>
      <c r="D7080" s="7" t="n"/>
      <c r="E7080" s="7" t="n"/>
      <c r="F7080" s="7" t="n"/>
      <c r="G7080" s="7" t="n"/>
      <c r="H7080" s="7" t="n"/>
      <c r="I7080" s="7" t="n"/>
      <c r="J7080" s="7" t="n"/>
      <c r="K7080">
        <f>IF(D7080="Legitimate Interest (GDPR Art. 6(1)(f))", "Yes / Required (Sheet 3)", "")</f>
        <v/>
      </c>
      <c r="L7080" s="7" t="n"/>
      <c r="M7080" s="7" t="n"/>
      <c r="N7080">
        <f>IF(D7080="", "Gap - No Legal Basis", IF(AND(D7080="Consent (GDPR Art. 6(1)(a))", I7080="Not Captured"), "Gap - Invalid Consent", IF(AND(D7080="Legitimate Interest (GDPR Art. 6(1)(f))", L7080=""), "Gap - Missing LIA", IF(AND(G7080="Yes", H7080=""), "Gap - Missing Art. 9 Basis", IF(OR(I7080="Invalid - Not Freely Given", I7080="Invalid - Not Specific", I7080="Invalid - Not Informed", I7080="Invalid - Ambiguous"), "Gap - Invalid Consent", "Compliant")))))</f>
        <v/>
      </c>
      <c r="O7080" s="7" t="n"/>
    </row>
    <row r="7081">
      <c r="A7081" s="7" t="n"/>
      <c r="B7081" s="7" t="n"/>
      <c r="C7081" s="7" t="n"/>
      <c r="D7081" s="7" t="n"/>
      <c r="E7081" s="7" t="n"/>
      <c r="F7081" s="7" t="n"/>
      <c r="G7081" s="7" t="n"/>
      <c r="H7081" s="7" t="n"/>
      <c r="I7081" s="7" t="n"/>
      <c r="J7081" s="7" t="n"/>
      <c r="K7081">
        <f>IF(D7081="Legitimate Interest (GDPR Art. 6(1)(f))", "Yes / Required (Sheet 3)", "")</f>
        <v/>
      </c>
      <c r="L7081" s="7" t="n"/>
      <c r="M7081" s="7" t="n"/>
      <c r="N7081">
        <f>IF(D7081="", "Gap - No Legal Basis", IF(AND(D7081="Consent (GDPR Art. 6(1)(a))", I7081="Not Captured"), "Gap - Invalid Consent", IF(AND(D7081="Legitimate Interest (GDPR Art. 6(1)(f))", L7081=""), "Gap - Missing LIA", IF(AND(G7081="Yes", H7081=""), "Gap - Missing Art. 9 Basis", IF(OR(I7081="Invalid - Not Freely Given", I7081="Invalid - Not Specific", I7081="Invalid - Not Informed", I7081="Invalid - Ambiguous"), "Gap - Invalid Consent", "Compliant")))))</f>
        <v/>
      </c>
      <c r="O7081" s="7" t="n"/>
    </row>
    <row r="7082">
      <c r="A7082" s="7" t="n"/>
      <c r="B7082" s="7" t="n"/>
      <c r="C7082" s="7" t="n"/>
      <c r="D7082" s="7" t="n"/>
      <c r="E7082" s="7" t="n"/>
      <c r="F7082" s="7" t="n"/>
      <c r="G7082" s="7" t="n"/>
      <c r="H7082" s="7" t="n"/>
      <c r="I7082" s="7" t="n"/>
      <c r="J7082" s="7" t="n"/>
      <c r="K7082">
        <f>IF(D7082="Legitimate Interest (GDPR Art. 6(1)(f))", "Yes / Required (Sheet 3)", "")</f>
        <v/>
      </c>
      <c r="L7082" s="7" t="n"/>
      <c r="M7082" s="7" t="n"/>
      <c r="N7082">
        <f>IF(D7082="", "Gap - No Legal Basis", IF(AND(D7082="Consent (GDPR Art. 6(1)(a))", I7082="Not Captured"), "Gap - Invalid Consent", IF(AND(D7082="Legitimate Interest (GDPR Art. 6(1)(f))", L7082=""), "Gap - Missing LIA", IF(AND(G7082="Yes", H7082=""), "Gap - Missing Art. 9 Basis", IF(OR(I7082="Invalid - Not Freely Given", I7082="Invalid - Not Specific", I7082="Invalid - Not Informed", I7082="Invalid - Ambiguous"), "Gap - Invalid Consent", "Compliant")))))</f>
        <v/>
      </c>
      <c r="O7082" s="7" t="n"/>
    </row>
    <row r="7083">
      <c r="A7083" s="7" t="n"/>
      <c r="B7083" s="7" t="n"/>
      <c r="C7083" s="7" t="n"/>
      <c r="D7083" s="7" t="n"/>
      <c r="E7083" s="7" t="n"/>
      <c r="F7083" s="7" t="n"/>
      <c r="G7083" s="7" t="n"/>
      <c r="H7083" s="7" t="n"/>
      <c r="I7083" s="7" t="n"/>
      <c r="J7083" s="7" t="n"/>
      <c r="K7083">
        <f>IF(D7083="Legitimate Interest (GDPR Art. 6(1)(f))", "Yes / Required (Sheet 3)", "")</f>
        <v/>
      </c>
      <c r="L7083" s="7" t="n"/>
      <c r="M7083" s="7" t="n"/>
      <c r="N7083">
        <f>IF(D7083="", "Gap - No Legal Basis", IF(AND(D7083="Consent (GDPR Art. 6(1)(a))", I7083="Not Captured"), "Gap - Invalid Consent", IF(AND(D7083="Legitimate Interest (GDPR Art. 6(1)(f))", L7083=""), "Gap - Missing LIA", IF(AND(G7083="Yes", H7083=""), "Gap - Missing Art. 9 Basis", IF(OR(I7083="Invalid - Not Freely Given", I7083="Invalid - Not Specific", I7083="Invalid - Not Informed", I7083="Invalid - Ambiguous"), "Gap - Invalid Consent", "Compliant")))))</f>
        <v/>
      </c>
      <c r="O7083" s="7" t="n"/>
    </row>
    <row r="7084">
      <c r="A7084" s="7" t="n"/>
      <c r="B7084" s="7" t="n"/>
      <c r="C7084" s="7" t="n"/>
      <c r="D7084" s="7" t="n"/>
      <c r="E7084" s="7" t="n"/>
      <c r="F7084" s="7" t="n"/>
      <c r="G7084" s="7" t="n"/>
      <c r="H7084" s="7" t="n"/>
      <c r="I7084" s="7" t="n"/>
      <c r="J7084" s="7" t="n"/>
      <c r="K7084">
        <f>IF(D7084="Legitimate Interest (GDPR Art. 6(1)(f))", "Yes / Required (Sheet 3)", "")</f>
        <v/>
      </c>
      <c r="L7084" s="7" t="n"/>
      <c r="M7084" s="7" t="n"/>
      <c r="N7084">
        <f>IF(D7084="", "Gap - No Legal Basis", IF(AND(D7084="Consent (GDPR Art. 6(1)(a))", I7084="Not Captured"), "Gap - Invalid Consent", IF(AND(D7084="Legitimate Interest (GDPR Art. 6(1)(f))", L7084=""), "Gap - Missing LIA", IF(AND(G7084="Yes", H7084=""), "Gap - Missing Art. 9 Basis", IF(OR(I7084="Invalid - Not Freely Given", I7084="Invalid - Not Specific", I7084="Invalid - Not Informed", I7084="Invalid - Ambiguous"), "Gap - Invalid Consent", "Compliant")))))</f>
        <v/>
      </c>
      <c r="O7084" s="7" t="n"/>
    </row>
    <row r="7085">
      <c r="A7085" s="7" t="n"/>
      <c r="B7085" s="7" t="n"/>
      <c r="C7085" s="7" t="n"/>
      <c r="D7085" s="7" t="n"/>
      <c r="E7085" s="7" t="n"/>
      <c r="F7085" s="7" t="n"/>
      <c r="G7085" s="7" t="n"/>
      <c r="H7085" s="7" t="n"/>
      <c r="I7085" s="7" t="n"/>
      <c r="J7085" s="7" t="n"/>
      <c r="K7085">
        <f>IF(D7085="Legitimate Interest (GDPR Art. 6(1)(f))", "Yes / Required (Sheet 3)", "")</f>
        <v/>
      </c>
      <c r="L7085" s="7" t="n"/>
      <c r="M7085" s="7" t="n"/>
      <c r="N7085">
        <f>IF(D7085="", "Gap - No Legal Basis", IF(AND(D7085="Consent (GDPR Art. 6(1)(a))", I7085="Not Captured"), "Gap - Invalid Consent", IF(AND(D7085="Legitimate Interest (GDPR Art. 6(1)(f))", L7085=""), "Gap - Missing LIA", IF(AND(G7085="Yes", H7085=""), "Gap - Missing Art. 9 Basis", IF(OR(I7085="Invalid - Not Freely Given", I7085="Invalid - Not Specific", I7085="Invalid - Not Informed", I7085="Invalid - Ambiguous"), "Gap - Invalid Consent", "Compliant")))))</f>
        <v/>
      </c>
      <c r="O7085" s="7" t="n"/>
    </row>
    <row r="7086">
      <c r="A7086" s="7" t="n"/>
      <c r="B7086" s="7" t="n"/>
      <c r="C7086" s="7" t="n"/>
      <c r="D7086" s="7" t="n"/>
      <c r="E7086" s="7" t="n"/>
      <c r="F7086" s="7" t="n"/>
      <c r="G7086" s="7" t="n"/>
      <c r="H7086" s="7" t="n"/>
      <c r="I7086" s="7" t="n"/>
      <c r="J7086" s="7" t="n"/>
      <c r="K7086">
        <f>IF(D7086="Legitimate Interest (GDPR Art. 6(1)(f))", "Yes / Required (Sheet 3)", "")</f>
        <v/>
      </c>
      <c r="L7086" s="7" t="n"/>
      <c r="M7086" s="7" t="n"/>
      <c r="N7086">
        <f>IF(D7086="", "Gap - No Legal Basis", IF(AND(D7086="Consent (GDPR Art. 6(1)(a))", I7086="Not Captured"), "Gap - Invalid Consent", IF(AND(D7086="Legitimate Interest (GDPR Art. 6(1)(f))", L7086=""), "Gap - Missing LIA", IF(AND(G7086="Yes", H7086=""), "Gap - Missing Art. 9 Basis", IF(OR(I7086="Invalid - Not Freely Given", I7086="Invalid - Not Specific", I7086="Invalid - Not Informed", I7086="Invalid - Ambiguous"), "Gap - Invalid Consent", "Compliant")))))</f>
        <v/>
      </c>
      <c r="O7086" s="7" t="n"/>
    </row>
    <row r="7087">
      <c r="A7087" s="7" t="n"/>
      <c r="B7087" s="7" t="n"/>
      <c r="C7087" s="7" t="n"/>
      <c r="D7087" s="7" t="n"/>
      <c r="E7087" s="7" t="n"/>
      <c r="F7087" s="7" t="n"/>
      <c r="G7087" s="7" t="n"/>
      <c r="H7087" s="7" t="n"/>
      <c r="I7087" s="7" t="n"/>
      <c r="J7087" s="7" t="n"/>
      <c r="K7087">
        <f>IF(D7087="Legitimate Interest (GDPR Art. 6(1)(f))", "Yes / Required (Sheet 3)", "")</f>
        <v/>
      </c>
      <c r="L7087" s="7" t="n"/>
      <c r="M7087" s="7" t="n"/>
      <c r="N7087">
        <f>IF(D7087="", "Gap - No Legal Basis", IF(AND(D7087="Consent (GDPR Art. 6(1)(a))", I7087="Not Captured"), "Gap - Invalid Consent", IF(AND(D7087="Legitimate Interest (GDPR Art. 6(1)(f))", L7087=""), "Gap - Missing LIA", IF(AND(G7087="Yes", H7087=""), "Gap - Missing Art. 9 Basis", IF(OR(I7087="Invalid - Not Freely Given", I7087="Invalid - Not Specific", I7087="Invalid - Not Informed", I7087="Invalid - Ambiguous"), "Gap - Invalid Consent", "Compliant")))))</f>
        <v/>
      </c>
      <c r="O7087" s="7" t="n"/>
    </row>
    <row r="7088">
      <c r="A7088" s="7" t="n"/>
      <c r="B7088" s="7" t="n"/>
      <c r="C7088" s="7" t="n"/>
      <c r="D7088" s="7" t="n"/>
      <c r="E7088" s="7" t="n"/>
      <c r="F7088" s="7" t="n"/>
      <c r="G7088" s="7" t="n"/>
      <c r="H7088" s="7" t="n"/>
      <c r="I7088" s="7" t="n"/>
      <c r="J7088" s="7" t="n"/>
      <c r="K7088">
        <f>IF(D7088="Legitimate Interest (GDPR Art. 6(1)(f))", "Yes / Required (Sheet 3)", "")</f>
        <v/>
      </c>
      <c r="L7088" s="7" t="n"/>
      <c r="M7088" s="7" t="n"/>
      <c r="N7088">
        <f>IF(D7088="", "Gap - No Legal Basis", IF(AND(D7088="Consent (GDPR Art. 6(1)(a))", I7088="Not Captured"), "Gap - Invalid Consent", IF(AND(D7088="Legitimate Interest (GDPR Art. 6(1)(f))", L7088=""), "Gap - Missing LIA", IF(AND(G7088="Yes", H7088=""), "Gap - Missing Art. 9 Basis", IF(OR(I7088="Invalid - Not Freely Given", I7088="Invalid - Not Specific", I7088="Invalid - Not Informed", I7088="Invalid - Ambiguous"), "Gap - Invalid Consent", "Compliant")))))</f>
        <v/>
      </c>
      <c r="O7088" s="7" t="n"/>
    </row>
    <row r="7089">
      <c r="A7089" s="7" t="n"/>
      <c r="B7089" s="7" t="n"/>
      <c r="C7089" s="7" t="n"/>
      <c r="D7089" s="7" t="n"/>
      <c r="E7089" s="7" t="n"/>
      <c r="F7089" s="7" t="n"/>
      <c r="G7089" s="7" t="n"/>
      <c r="H7089" s="7" t="n"/>
      <c r="I7089" s="7" t="n"/>
      <c r="J7089" s="7" t="n"/>
      <c r="K7089">
        <f>IF(D7089="Legitimate Interest (GDPR Art. 6(1)(f))", "Yes / Required (Sheet 3)", "")</f>
        <v/>
      </c>
      <c r="L7089" s="7" t="n"/>
      <c r="M7089" s="7" t="n"/>
      <c r="N7089">
        <f>IF(D7089="", "Gap - No Legal Basis", IF(AND(D7089="Consent (GDPR Art. 6(1)(a))", I7089="Not Captured"), "Gap - Invalid Consent", IF(AND(D7089="Legitimate Interest (GDPR Art. 6(1)(f))", L7089=""), "Gap - Missing LIA", IF(AND(G7089="Yes", H7089=""), "Gap - Missing Art. 9 Basis", IF(OR(I7089="Invalid - Not Freely Given", I7089="Invalid - Not Specific", I7089="Invalid - Not Informed", I7089="Invalid - Ambiguous"), "Gap - Invalid Consent", "Compliant")))))</f>
        <v/>
      </c>
      <c r="O7089" s="7" t="n"/>
    </row>
    <row r="7090">
      <c r="A7090" s="7" t="n"/>
      <c r="B7090" s="7" t="n"/>
      <c r="C7090" s="7" t="n"/>
      <c r="D7090" s="7" t="n"/>
      <c r="E7090" s="7" t="n"/>
      <c r="F7090" s="7" t="n"/>
      <c r="G7090" s="7" t="n"/>
      <c r="H7090" s="7" t="n"/>
      <c r="I7090" s="7" t="n"/>
      <c r="J7090" s="7" t="n"/>
      <c r="K7090">
        <f>IF(D7090="Legitimate Interest (GDPR Art. 6(1)(f))", "Yes / Required (Sheet 3)", "")</f>
        <v/>
      </c>
      <c r="L7090" s="7" t="n"/>
      <c r="M7090" s="7" t="n"/>
      <c r="N7090">
        <f>IF(D7090="", "Gap - No Legal Basis", IF(AND(D7090="Consent (GDPR Art. 6(1)(a))", I7090="Not Captured"), "Gap - Invalid Consent", IF(AND(D7090="Legitimate Interest (GDPR Art. 6(1)(f))", L7090=""), "Gap - Missing LIA", IF(AND(G7090="Yes", H7090=""), "Gap - Missing Art. 9 Basis", IF(OR(I7090="Invalid - Not Freely Given", I7090="Invalid - Not Specific", I7090="Invalid - Not Informed", I7090="Invalid - Ambiguous"), "Gap - Invalid Consent", "Compliant")))))</f>
        <v/>
      </c>
      <c r="O7090" s="7" t="n"/>
    </row>
    <row r="7091">
      <c r="A7091" s="7" t="n"/>
      <c r="B7091" s="7" t="n"/>
      <c r="C7091" s="7" t="n"/>
      <c r="D7091" s="7" t="n"/>
      <c r="E7091" s="7" t="n"/>
      <c r="F7091" s="7" t="n"/>
      <c r="G7091" s="7" t="n"/>
      <c r="H7091" s="7" t="n"/>
      <c r="I7091" s="7" t="n"/>
      <c r="J7091" s="7" t="n"/>
      <c r="K7091">
        <f>IF(D7091="Legitimate Interest (GDPR Art. 6(1)(f))", "Yes / Required (Sheet 3)", "")</f>
        <v/>
      </c>
      <c r="L7091" s="7" t="n"/>
      <c r="M7091" s="7" t="n"/>
      <c r="N7091">
        <f>IF(D7091="", "Gap - No Legal Basis", IF(AND(D7091="Consent (GDPR Art. 6(1)(a))", I7091="Not Captured"), "Gap - Invalid Consent", IF(AND(D7091="Legitimate Interest (GDPR Art. 6(1)(f))", L7091=""), "Gap - Missing LIA", IF(AND(G7091="Yes", H7091=""), "Gap - Missing Art. 9 Basis", IF(OR(I7091="Invalid - Not Freely Given", I7091="Invalid - Not Specific", I7091="Invalid - Not Informed", I7091="Invalid - Ambiguous"), "Gap - Invalid Consent", "Compliant")))))</f>
        <v/>
      </c>
      <c r="O7091" s="7" t="n"/>
    </row>
    <row r="7092">
      <c r="A7092" s="7" t="n"/>
      <c r="B7092" s="7" t="n"/>
      <c r="C7092" s="7" t="n"/>
      <c r="D7092" s="7" t="n"/>
      <c r="E7092" s="7" t="n"/>
      <c r="F7092" s="7" t="n"/>
      <c r="G7092" s="7" t="n"/>
      <c r="H7092" s="7" t="n"/>
      <c r="I7092" s="7" t="n"/>
      <c r="J7092" s="7" t="n"/>
      <c r="K7092">
        <f>IF(D7092="Legitimate Interest (GDPR Art. 6(1)(f))", "Yes / Required (Sheet 3)", "")</f>
        <v/>
      </c>
      <c r="L7092" s="7" t="n"/>
      <c r="M7092" s="7" t="n"/>
      <c r="N7092">
        <f>IF(D7092="", "Gap - No Legal Basis", IF(AND(D7092="Consent (GDPR Art. 6(1)(a))", I7092="Not Captured"), "Gap - Invalid Consent", IF(AND(D7092="Legitimate Interest (GDPR Art. 6(1)(f))", L7092=""), "Gap - Missing LIA", IF(AND(G7092="Yes", H7092=""), "Gap - Missing Art. 9 Basis", IF(OR(I7092="Invalid - Not Freely Given", I7092="Invalid - Not Specific", I7092="Invalid - Not Informed", I7092="Invalid - Ambiguous"), "Gap - Invalid Consent", "Compliant")))))</f>
        <v/>
      </c>
      <c r="O7092" s="7" t="n"/>
    </row>
    <row r="7093">
      <c r="A7093" s="7" t="n"/>
      <c r="B7093" s="7" t="n"/>
      <c r="C7093" s="7" t="n"/>
      <c r="D7093" s="7" t="n"/>
      <c r="E7093" s="7" t="n"/>
      <c r="F7093" s="7" t="n"/>
      <c r="G7093" s="7" t="n"/>
      <c r="H7093" s="7" t="n"/>
      <c r="I7093" s="7" t="n"/>
      <c r="J7093" s="7" t="n"/>
      <c r="K7093">
        <f>IF(D7093="Legitimate Interest (GDPR Art. 6(1)(f))", "Yes / Required (Sheet 3)", "")</f>
        <v/>
      </c>
      <c r="L7093" s="7" t="n"/>
      <c r="M7093" s="7" t="n"/>
      <c r="N7093">
        <f>IF(D7093="", "Gap - No Legal Basis", IF(AND(D7093="Consent (GDPR Art. 6(1)(a))", I7093="Not Captured"), "Gap - Invalid Consent", IF(AND(D7093="Legitimate Interest (GDPR Art. 6(1)(f))", L7093=""), "Gap - Missing LIA", IF(AND(G7093="Yes", H7093=""), "Gap - Missing Art. 9 Basis", IF(OR(I7093="Invalid - Not Freely Given", I7093="Invalid - Not Specific", I7093="Invalid - Not Informed", I7093="Invalid - Ambiguous"), "Gap - Invalid Consent", "Compliant")))))</f>
        <v/>
      </c>
      <c r="O7093" s="7" t="n"/>
    </row>
    <row r="7094">
      <c r="A7094" s="7" t="n"/>
      <c r="B7094" s="7" t="n"/>
      <c r="C7094" s="7" t="n"/>
      <c r="D7094" s="7" t="n"/>
      <c r="E7094" s="7" t="n"/>
      <c r="F7094" s="7" t="n"/>
      <c r="G7094" s="7" t="n"/>
      <c r="H7094" s="7" t="n"/>
      <c r="I7094" s="7" t="n"/>
      <c r="J7094" s="7" t="n"/>
      <c r="K7094">
        <f>IF(D7094="Legitimate Interest (GDPR Art. 6(1)(f))", "Yes / Required (Sheet 3)", "")</f>
        <v/>
      </c>
      <c r="L7094" s="7" t="n"/>
      <c r="M7094" s="7" t="n"/>
      <c r="N7094">
        <f>IF(D7094="", "Gap - No Legal Basis", IF(AND(D7094="Consent (GDPR Art. 6(1)(a))", I7094="Not Captured"), "Gap - Invalid Consent", IF(AND(D7094="Legitimate Interest (GDPR Art. 6(1)(f))", L7094=""), "Gap - Missing LIA", IF(AND(G7094="Yes", H7094=""), "Gap - Missing Art. 9 Basis", IF(OR(I7094="Invalid - Not Freely Given", I7094="Invalid - Not Specific", I7094="Invalid - Not Informed", I7094="Invalid - Ambiguous"), "Gap - Invalid Consent", "Compliant")))))</f>
        <v/>
      </c>
      <c r="O7094" s="7" t="n"/>
    </row>
    <row r="7095">
      <c r="A7095" s="7" t="n"/>
      <c r="B7095" s="7" t="n"/>
      <c r="C7095" s="7" t="n"/>
      <c r="D7095" s="7" t="n"/>
      <c r="E7095" s="7" t="n"/>
      <c r="F7095" s="7" t="n"/>
      <c r="G7095" s="7" t="n"/>
      <c r="H7095" s="7" t="n"/>
      <c r="I7095" s="7" t="n"/>
      <c r="J7095" s="7" t="n"/>
      <c r="K7095">
        <f>IF(D7095="Legitimate Interest (GDPR Art. 6(1)(f))", "Yes / Required (Sheet 3)", "")</f>
        <v/>
      </c>
      <c r="L7095" s="7" t="n"/>
      <c r="M7095" s="7" t="n"/>
      <c r="N7095">
        <f>IF(D7095="", "Gap - No Legal Basis", IF(AND(D7095="Consent (GDPR Art. 6(1)(a))", I7095="Not Captured"), "Gap - Invalid Consent", IF(AND(D7095="Legitimate Interest (GDPR Art. 6(1)(f))", L7095=""), "Gap - Missing LIA", IF(AND(G7095="Yes", H7095=""), "Gap - Missing Art. 9 Basis", IF(OR(I7095="Invalid - Not Freely Given", I7095="Invalid - Not Specific", I7095="Invalid - Not Informed", I7095="Invalid - Ambiguous"), "Gap - Invalid Consent", "Compliant")))))</f>
        <v/>
      </c>
      <c r="O7095" s="7" t="n"/>
    </row>
    <row r="7096">
      <c r="A7096" s="7" t="n"/>
      <c r="B7096" s="7" t="n"/>
      <c r="C7096" s="7" t="n"/>
      <c r="D7096" s="7" t="n"/>
      <c r="E7096" s="7" t="n"/>
      <c r="F7096" s="7" t="n"/>
      <c r="G7096" s="7" t="n"/>
      <c r="H7096" s="7" t="n"/>
      <c r="I7096" s="7" t="n"/>
      <c r="J7096" s="7" t="n"/>
      <c r="K7096">
        <f>IF(D7096="Legitimate Interest (GDPR Art. 6(1)(f))", "Yes / Required (Sheet 3)", "")</f>
        <v/>
      </c>
      <c r="L7096" s="7" t="n"/>
      <c r="M7096" s="7" t="n"/>
      <c r="N7096">
        <f>IF(D7096="", "Gap - No Legal Basis", IF(AND(D7096="Consent (GDPR Art. 6(1)(a))", I7096="Not Captured"), "Gap - Invalid Consent", IF(AND(D7096="Legitimate Interest (GDPR Art. 6(1)(f))", L7096=""), "Gap - Missing LIA", IF(AND(G7096="Yes", H7096=""), "Gap - Missing Art. 9 Basis", IF(OR(I7096="Invalid - Not Freely Given", I7096="Invalid - Not Specific", I7096="Invalid - Not Informed", I7096="Invalid - Ambiguous"), "Gap - Invalid Consent", "Compliant")))))</f>
        <v/>
      </c>
      <c r="O7096" s="7" t="n"/>
    </row>
    <row r="7097">
      <c r="A7097" s="7" t="n"/>
      <c r="B7097" s="7" t="n"/>
      <c r="C7097" s="7" t="n"/>
      <c r="D7097" s="7" t="n"/>
      <c r="E7097" s="7" t="n"/>
      <c r="F7097" s="7" t="n"/>
      <c r="G7097" s="7" t="n"/>
      <c r="H7097" s="7" t="n"/>
      <c r="I7097" s="7" t="n"/>
      <c r="J7097" s="7" t="n"/>
      <c r="K7097">
        <f>IF(D7097="Legitimate Interest (GDPR Art. 6(1)(f))", "Yes / Required (Sheet 3)", "")</f>
        <v/>
      </c>
      <c r="L7097" s="7" t="n"/>
      <c r="M7097" s="7" t="n"/>
      <c r="N7097">
        <f>IF(D7097="", "Gap - No Legal Basis", IF(AND(D7097="Consent (GDPR Art. 6(1)(a))", I7097="Not Captured"), "Gap - Invalid Consent", IF(AND(D7097="Legitimate Interest (GDPR Art. 6(1)(f))", L7097=""), "Gap - Missing LIA", IF(AND(G7097="Yes", H7097=""), "Gap - Missing Art. 9 Basis", IF(OR(I7097="Invalid - Not Freely Given", I7097="Invalid - Not Specific", I7097="Invalid - Not Informed", I7097="Invalid - Ambiguous"), "Gap - Invalid Consent", "Compliant")))))</f>
        <v/>
      </c>
      <c r="O7097" s="7" t="n"/>
    </row>
    <row r="7098">
      <c r="A7098" s="7" t="n"/>
      <c r="B7098" s="7" t="n"/>
      <c r="C7098" s="7" t="n"/>
      <c r="D7098" s="7" t="n"/>
      <c r="E7098" s="7" t="n"/>
      <c r="F7098" s="7" t="n"/>
      <c r="G7098" s="7" t="n"/>
      <c r="H7098" s="7" t="n"/>
      <c r="I7098" s="7" t="n"/>
      <c r="J7098" s="7" t="n"/>
      <c r="K7098">
        <f>IF(D7098="Legitimate Interest (GDPR Art. 6(1)(f))", "Yes / Required (Sheet 3)", "")</f>
        <v/>
      </c>
      <c r="L7098" s="7" t="n"/>
      <c r="M7098" s="7" t="n"/>
      <c r="N7098">
        <f>IF(D7098="", "Gap - No Legal Basis", IF(AND(D7098="Consent (GDPR Art. 6(1)(a))", I7098="Not Captured"), "Gap - Invalid Consent", IF(AND(D7098="Legitimate Interest (GDPR Art. 6(1)(f))", L7098=""), "Gap - Missing LIA", IF(AND(G7098="Yes", H7098=""), "Gap - Missing Art. 9 Basis", IF(OR(I7098="Invalid - Not Freely Given", I7098="Invalid - Not Specific", I7098="Invalid - Not Informed", I7098="Invalid - Ambiguous"), "Gap - Invalid Consent", "Compliant")))))</f>
        <v/>
      </c>
      <c r="O7098" s="7" t="n"/>
    </row>
    <row r="7099">
      <c r="A7099" s="7" t="n"/>
      <c r="B7099" s="7" t="n"/>
      <c r="C7099" s="7" t="n"/>
      <c r="D7099" s="7" t="n"/>
      <c r="E7099" s="7" t="n"/>
      <c r="F7099" s="7" t="n"/>
      <c r="G7099" s="7" t="n"/>
      <c r="H7099" s="7" t="n"/>
      <c r="I7099" s="7" t="n"/>
      <c r="J7099" s="7" t="n"/>
      <c r="K7099">
        <f>IF(D7099="Legitimate Interest (GDPR Art. 6(1)(f))", "Yes / Required (Sheet 3)", "")</f>
        <v/>
      </c>
      <c r="L7099" s="7" t="n"/>
      <c r="M7099" s="7" t="n"/>
      <c r="N7099">
        <f>IF(D7099="", "Gap - No Legal Basis", IF(AND(D7099="Consent (GDPR Art. 6(1)(a))", I7099="Not Captured"), "Gap - Invalid Consent", IF(AND(D7099="Legitimate Interest (GDPR Art. 6(1)(f))", L7099=""), "Gap - Missing LIA", IF(AND(G7099="Yes", H7099=""), "Gap - Missing Art. 9 Basis", IF(OR(I7099="Invalid - Not Freely Given", I7099="Invalid - Not Specific", I7099="Invalid - Not Informed", I7099="Invalid - Ambiguous"), "Gap - Invalid Consent", "Compliant")))))</f>
        <v/>
      </c>
      <c r="O7099" s="7" t="n"/>
    </row>
    <row r="7100">
      <c r="A7100" s="7" t="n"/>
      <c r="B7100" s="7" t="n"/>
      <c r="C7100" s="7" t="n"/>
      <c r="D7100" s="7" t="n"/>
      <c r="E7100" s="7" t="n"/>
      <c r="F7100" s="7" t="n"/>
      <c r="G7100" s="7" t="n"/>
      <c r="H7100" s="7" t="n"/>
      <c r="I7100" s="7" t="n"/>
      <c r="J7100" s="7" t="n"/>
      <c r="K7100">
        <f>IF(D7100="Legitimate Interest (GDPR Art. 6(1)(f))", "Yes / Required (Sheet 3)", "")</f>
        <v/>
      </c>
      <c r="L7100" s="7" t="n"/>
      <c r="M7100" s="7" t="n"/>
      <c r="N7100">
        <f>IF(D7100="", "Gap - No Legal Basis", IF(AND(D7100="Consent (GDPR Art. 6(1)(a))", I7100="Not Captured"), "Gap - Invalid Consent", IF(AND(D7100="Legitimate Interest (GDPR Art. 6(1)(f))", L7100=""), "Gap - Missing LIA", IF(AND(G7100="Yes", H7100=""), "Gap - Missing Art. 9 Basis", IF(OR(I7100="Invalid - Not Freely Given", I7100="Invalid - Not Specific", I7100="Invalid - Not Informed", I7100="Invalid - Ambiguous"), "Gap - Invalid Consent", "Compliant")))))</f>
        <v/>
      </c>
      <c r="O7100" s="7" t="n"/>
    </row>
    <row r="7101">
      <c r="A7101" s="7" t="n"/>
      <c r="B7101" s="7" t="n"/>
      <c r="C7101" s="7" t="n"/>
      <c r="D7101" s="7" t="n"/>
      <c r="E7101" s="7" t="n"/>
      <c r="F7101" s="7" t="n"/>
      <c r="G7101" s="7" t="n"/>
      <c r="H7101" s="7" t="n"/>
      <c r="I7101" s="7" t="n"/>
      <c r="J7101" s="7" t="n"/>
      <c r="K7101">
        <f>IF(D7101="Legitimate Interest (GDPR Art. 6(1)(f))", "Yes / Required (Sheet 3)", "")</f>
        <v/>
      </c>
      <c r="L7101" s="7" t="n"/>
      <c r="M7101" s="7" t="n"/>
      <c r="N7101">
        <f>IF(D7101="", "Gap - No Legal Basis", IF(AND(D7101="Consent (GDPR Art. 6(1)(a))", I7101="Not Captured"), "Gap - Invalid Consent", IF(AND(D7101="Legitimate Interest (GDPR Art. 6(1)(f))", L7101=""), "Gap - Missing LIA", IF(AND(G7101="Yes", H7101=""), "Gap - Missing Art. 9 Basis", IF(OR(I7101="Invalid - Not Freely Given", I7101="Invalid - Not Specific", I7101="Invalid - Not Informed", I7101="Invalid - Ambiguous"), "Gap - Invalid Consent", "Compliant")))))</f>
        <v/>
      </c>
      <c r="O7101" s="7" t="n"/>
    </row>
    <row r="7102">
      <c r="A7102" s="7" t="n"/>
      <c r="B7102" s="7" t="n"/>
      <c r="C7102" s="7" t="n"/>
      <c r="D7102" s="7" t="n"/>
      <c r="E7102" s="7" t="n"/>
      <c r="F7102" s="7" t="n"/>
      <c r="G7102" s="7" t="n"/>
      <c r="H7102" s="7" t="n"/>
      <c r="I7102" s="7" t="n"/>
      <c r="J7102" s="7" t="n"/>
      <c r="K7102">
        <f>IF(D7102="Legitimate Interest (GDPR Art. 6(1)(f))", "Yes / Required (Sheet 3)", "")</f>
        <v/>
      </c>
      <c r="L7102" s="7" t="n"/>
      <c r="M7102" s="7" t="n"/>
      <c r="N7102">
        <f>IF(D7102="", "Gap - No Legal Basis", IF(AND(D7102="Consent (GDPR Art. 6(1)(a))", I7102="Not Captured"), "Gap - Invalid Consent", IF(AND(D7102="Legitimate Interest (GDPR Art. 6(1)(f))", L7102=""), "Gap - Missing LIA", IF(AND(G7102="Yes", H7102=""), "Gap - Missing Art. 9 Basis", IF(OR(I7102="Invalid - Not Freely Given", I7102="Invalid - Not Specific", I7102="Invalid - Not Informed", I7102="Invalid - Ambiguous"), "Gap - Invalid Consent", "Compliant")))))</f>
        <v/>
      </c>
      <c r="O7102" s="7" t="n"/>
    </row>
    <row r="7103">
      <c r="A7103" s="7" t="n"/>
      <c r="B7103" s="7" t="n"/>
      <c r="C7103" s="7" t="n"/>
      <c r="D7103" s="7" t="n"/>
      <c r="E7103" s="7" t="n"/>
      <c r="F7103" s="7" t="n"/>
      <c r="G7103" s="7" t="n"/>
      <c r="H7103" s="7" t="n"/>
      <c r="I7103" s="7" t="n"/>
      <c r="J7103" s="7" t="n"/>
      <c r="K7103">
        <f>IF(D7103="Legitimate Interest (GDPR Art. 6(1)(f))", "Yes / Required (Sheet 3)", "")</f>
        <v/>
      </c>
      <c r="L7103" s="7" t="n"/>
      <c r="M7103" s="7" t="n"/>
      <c r="N7103">
        <f>IF(D7103="", "Gap - No Legal Basis", IF(AND(D7103="Consent (GDPR Art. 6(1)(a))", I7103="Not Captured"), "Gap - Invalid Consent", IF(AND(D7103="Legitimate Interest (GDPR Art. 6(1)(f))", L7103=""), "Gap - Missing LIA", IF(AND(G7103="Yes", H7103=""), "Gap - Missing Art. 9 Basis", IF(OR(I7103="Invalid - Not Freely Given", I7103="Invalid - Not Specific", I7103="Invalid - Not Informed", I7103="Invalid - Ambiguous"), "Gap - Invalid Consent", "Compliant")))))</f>
        <v/>
      </c>
      <c r="O7103" s="7" t="n"/>
    </row>
    <row r="7104">
      <c r="A7104" s="7" t="n"/>
      <c r="B7104" s="7" t="n"/>
      <c r="C7104" s="7" t="n"/>
      <c r="D7104" s="7" t="n"/>
      <c r="E7104" s="7" t="n"/>
      <c r="F7104" s="7" t="n"/>
      <c r="G7104" s="7" t="n"/>
      <c r="H7104" s="7" t="n"/>
      <c r="I7104" s="7" t="n"/>
      <c r="J7104" s="7" t="n"/>
      <c r="K7104">
        <f>IF(D7104="Legitimate Interest (GDPR Art. 6(1)(f))", "Yes / Required (Sheet 3)", "")</f>
        <v/>
      </c>
      <c r="L7104" s="7" t="n"/>
      <c r="M7104" s="7" t="n"/>
      <c r="N7104">
        <f>IF(D7104="", "Gap - No Legal Basis", IF(AND(D7104="Consent (GDPR Art. 6(1)(a))", I7104="Not Captured"), "Gap - Invalid Consent", IF(AND(D7104="Legitimate Interest (GDPR Art. 6(1)(f))", L7104=""), "Gap - Missing LIA", IF(AND(G7104="Yes", H7104=""), "Gap - Missing Art. 9 Basis", IF(OR(I7104="Invalid - Not Freely Given", I7104="Invalid - Not Specific", I7104="Invalid - Not Informed", I7104="Invalid - Ambiguous"), "Gap - Invalid Consent", "Compliant")))))</f>
        <v/>
      </c>
      <c r="O7104" s="7" t="n"/>
    </row>
    <row r="7105">
      <c r="A7105" s="7" t="n"/>
      <c r="B7105" s="7" t="n"/>
      <c r="C7105" s="7" t="n"/>
      <c r="D7105" s="7" t="n"/>
      <c r="E7105" s="7" t="n"/>
      <c r="F7105" s="7" t="n"/>
      <c r="G7105" s="7" t="n"/>
      <c r="H7105" s="7" t="n"/>
      <c r="I7105" s="7" t="n"/>
      <c r="J7105" s="7" t="n"/>
      <c r="K7105">
        <f>IF(D7105="Legitimate Interest (GDPR Art. 6(1)(f))", "Yes / Required (Sheet 3)", "")</f>
        <v/>
      </c>
      <c r="L7105" s="7" t="n"/>
      <c r="M7105" s="7" t="n"/>
      <c r="N7105">
        <f>IF(D7105="", "Gap - No Legal Basis", IF(AND(D7105="Consent (GDPR Art. 6(1)(a))", I7105="Not Captured"), "Gap - Invalid Consent", IF(AND(D7105="Legitimate Interest (GDPR Art. 6(1)(f))", L7105=""), "Gap - Missing LIA", IF(AND(G7105="Yes", H7105=""), "Gap - Missing Art. 9 Basis", IF(OR(I7105="Invalid - Not Freely Given", I7105="Invalid - Not Specific", I7105="Invalid - Not Informed", I7105="Invalid - Ambiguous"), "Gap - Invalid Consent", "Compliant")))))</f>
        <v/>
      </c>
      <c r="O7105" s="7" t="n"/>
    </row>
    <row r="7106">
      <c r="A7106" s="7" t="n"/>
      <c r="B7106" s="7" t="n"/>
      <c r="C7106" s="7" t="n"/>
      <c r="D7106" s="7" t="n"/>
      <c r="E7106" s="7" t="n"/>
      <c r="F7106" s="7" t="n"/>
      <c r="G7106" s="7" t="n"/>
      <c r="H7106" s="7" t="n"/>
      <c r="I7106" s="7" t="n"/>
      <c r="J7106" s="7" t="n"/>
      <c r="K7106">
        <f>IF(D7106="Legitimate Interest (GDPR Art. 6(1)(f))", "Yes / Required (Sheet 3)", "")</f>
        <v/>
      </c>
      <c r="L7106" s="7" t="n"/>
      <c r="M7106" s="7" t="n"/>
      <c r="N7106">
        <f>IF(D7106="", "Gap - No Legal Basis", IF(AND(D7106="Consent (GDPR Art. 6(1)(a))", I7106="Not Captured"), "Gap - Invalid Consent", IF(AND(D7106="Legitimate Interest (GDPR Art. 6(1)(f))", L7106=""), "Gap - Missing LIA", IF(AND(G7106="Yes", H7106=""), "Gap - Missing Art. 9 Basis", IF(OR(I7106="Invalid - Not Freely Given", I7106="Invalid - Not Specific", I7106="Invalid - Not Informed", I7106="Invalid - Ambiguous"), "Gap - Invalid Consent", "Compliant")))))</f>
        <v/>
      </c>
      <c r="O7106" s="7" t="n"/>
    </row>
    <row r="7107">
      <c r="A7107" s="7" t="n"/>
      <c r="B7107" s="7" t="n"/>
      <c r="C7107" s="7" t="n"/>
      <c r="D7107" s="7" t="n"/>
      <c r="E7107" s="7" t="n"/>
      <c r="F7107" s="7" t="n"/>
      <c r="G7107" s="7" t="n"/>
      <c r="H7107" s="7" t="n"/>
      <c r="I7107" s="7" t="n"/>
      <c r="J7107" s="7" t="n"/>
      <c r="K7107">
        <f>IF(D7107="Legitimate Interest (GDPR Art. 6(1)(f))", "Yes / Required (Sheet 3)", "")</f>
        <v/>
      </c>
      <c r="L7107" s="7" t="n"/>
      <c r="M7107" s="7" t="n"/>
      <c r="N7107">
        <f>IF(D7107="", "Gap - No Legal Basis", IF(AND(D7107="Consent (GDPR Art. 6(1)(a))", I7107="Not Captured"), "Gap - Invalid Consent", IF(AND(D7107="Legitimate Interest (GDPR Art. 6(1)(f))", L7107=""), "Gap - Missing LIA", IF(AND(G7107="Yes", H7107=""), "Gap - Missing Art. 9 Basis", IF(OR(I7107="Invalid - Not Freely Given", I7107="Invalid - Not Specific", I7107="Invalid - Not Informed", I7107="Invalid - Ambiguous"), "Gap - Invalid Consent", "Compliant")))))</f>
        <v/>
      </c>
      <c r="O7107" s="7" t="n"/>
    </row>
    <row r="7108">
      <c r="A7108" s="7" t="n"/>
      <c r="B7108" s="7" t="n"/>
      <c r="C7108" s="7" t="n"/>
      <c r="D7108" s="7" t="n"/>
      <c r="E7108" s="7" t="n"/>
      <c r="F7108" s="7" t="n"/>
      <c r="G7108" s="7" t="n"/>
      <c r="H7108" s="7" t="n"/>
      <c r="I7108" s="7" t="n"/>
      <c r="J7108" s="7" t="n"/>
      <c r="K7108">
        <f>IF(D7108="Legitimate Interest (GDPR Art. 6(1)(f))", "Yes / Required (Sheet 3)", "")</f>
        <v/>
      </c>
      <c r="L7108" s="7" t="n"/>
      <c r="M7108" s="7" t="n"/>
      <c r="N7108">
        <f>IF(D7108="", "Gap - No Legal Basis", IF(AND(D7108="Consent (GDPR Art. 6(1)(a))", I7108="Not Captured"), "Gap - Invalid Consent", IF(AND(D7108="Legitimate Interest (GDPR Art. 6(1)(f))", L7108=""), "Gap - Missing LIA", IF(AND(G7108="Yes", H7108=""), "Gap - Missing Art. 9 Basis", IF(OR(I7108="Invalid - Not Freely Given", I7108="Invalid - Not Specific", I7108="Invalid - Not Informed", I7108="Invalid - Ambiguous"), "Gap - Invalid Consent", "Compliant")))))</f>
        <v/>
      </c>
      <c r="O7108" s="7" t="n"/>
    </row>
    <row r="7109">
      <c r="A7109" s="7" t="n"/>
      <c r="B7109" s="7" t="n"/>
      <c r="C7109" s="7" t="n"/>
      <c r="D7109" s="7" t="n"/>
      <c r="E7109" s="7" t="n"/>
      <c r="F7109" s="7" t="n"/>
      <c r="G7109" s="7" t="n"/>
      <c r="H7109" s="7" t="n"/>
      <c r="I7109" s="7" t="n"/>
      <c r="J7109" s="7" t="n"/>
      <c r="K7109">
        <f>IF(D7109="Legitimate Interest (GDPR Art. 6(1)(f))", "Yes / Required (Sheet 3)", "")</f>
        <v/>
      </c>
      <c r="L7109" s="7" t="n"/>
      <c r="M7109" s="7" t="n"/>
      <c r="N7109">
        <f>IF(D7109="", "Gap - No Legal Basis", IF(AND(D7109="Consent (GDPR Art. 6(1)(a))", I7109="Not Captured"), "Gap - Invalid Consent", IF(AND(D7109="Legitimate Interest (GDPR Art. 6(1)(f))", L7109=""), "Gap - Missing LIA", IF(AND(G7109="Yes", H7109=""), "Gap - Missing Art. 9 Basis", IF(OR(I7109="Invalid - Not Freely Given", I7109="Invalid - Not Specific", I7109="Invalid - Not Informed", I7109="Invalid - Ambiguous"), "Gap - Invalid Consent", "Compliant")))))</f>
        <v/>
      </c>
      <c r="O7109" s="7" t="n"/>
    </row>
    <row r="7110">
      <c r="A7110" s="7" t="n"/>
      <c r="B7110" s="7" t="n"/>
      <c r="C7110" s="7" t="n"/>
      <c r="D7110" s="7" t="n"/>
      <c r="E7110" s="7" t="n"/>
      <c r="F7110" s="7" t="n"/>
      <c r="G7110" s="7" t="n"/>
      <c r="H7110" s="7" t="n"/>
      <c r="I7110" s="7" t="n"/>
      <c r="J7110" s="7" t="n"/>
      <c r="K7110">
        <f>IF(D7110="Legitimate Interest (GDPR Art. 6(1)(f))", "Yes / Required (Sheet 3)", "")</f>
        <v/>
      </c>
      <c r="L7110" s="7" t="n"/>
      <c r="M7110" s="7" t="n"/>
      <c r="N7110">
        <f>IF(D7110="", "Gap - No Legal Basis", IF(AND(D7110="Consent (GDPR Art. 6(1)(a))", I7110="Not Captured"), "Gap - Invalid Consent", IF(AND(D7110="Legitimate Interest (GDPR Art. 6(1)(f))", L7110=""), "Gap - Missing LIA", IF(AND(G7110="Yes", H7110=""), "Gap - Missing Art. 9 Basis", IF(OR(I7110="Invalid - Not Freely Given", I7110="Invalid - Not Specific", I7110="Invalid - Not Informed", I7110="Invalid - Ambiguous"), "Gap - Invalid Consent", "Compliant")))))</f>
        <v/>
      </c>
      <c r="O7110" s="7" t="n"/>
    </row>
    <row r="7111">
      <c r="A7111" s="7" t="n"/>
      <c r="B7111" s="7" t="n"/>
      <c r="C7111" s="7" t="n"/>
      <c r="D7111" s="7" t="n"/>
      <c r="E7111" s="7" t="n"/>
      <c r="F7111" s="7" t="n"/>
      <c r="G7111" s="7" t="n"/>
      <c r="H7111" s="7" t="n"/>
      <c r="I7111" s="7" t="n"/>
      <c r="J7111" s="7" t="n"/>
      <c r="K7111">
        <f>IF(D7111="Legitimate Interest (GDPR Art. 6(1)(f))", "Yes / Required (Sheet 3)", "")</f>
        <v/>
      </c>
      <c r="L7111" s="7" t="n"/>
      <c r="M7111" s="7" t="n"/>
      <c r="N7111">
        <f>IF(D7111="", "Gap - No Legal Basis", IF(AND(D7111="Consent (GDPR Art. 6(1)(a))", I7111="Not Captured"), "Gap - Invalid Consent", IF(AND(D7111="Legitimate Interest (GDPR Art. 6(1)(f))", L7111=""), "Gap - Missing LIA", IF(AND(G7111="Yes", H7111=""), "Gap - Missing Art. 9 Basis", IF(OR(I7111="Invalid - Not Freely Given", I7111="Invalid - Not Specific", I7111="Invalid - Not Informed", I7111="Invalid - Ambiguous"), "Gap - Invalid Consent", "Compliant")))))</f>
        <v/>
      </c>
      <c r="O7111" s="7" t="n"/>
    </row>
    <row r="7112">
      <c r="A7112" s="7" t="n"/>
      <c r="B7112" s="7" t="n"/>
      <c r="C7112" s="7" t="n"/>
      <c r="D7112" s="7" t="n"/>
      <c r="E7112" s="7" t="n"/>
      <c r="F7112" s="7" t="n"/>
      <c r="G7112" s="7" t="n"/>
      <c r="H7112" s="7" t="n"/>
      <c r="I7112" s="7" t="n"/>
      <c r="J7112" s="7" t="n"/>
      <c r="K7112">
        <f>IF(D7112="Legitimate Interest (GDPR Art. 6(1)(f))", "Yes / Required (Sheet 3)", "")</f>
        <v/>
      </c>
      <c r="L7112" s="7" t="n"/>
      <c r="M7112" s="7" t="n"/>
      <c r="N7112">
        <f>IF(D7112="", "Gap - No Legal Basis", IF(AND(D7112="Consent (GDPR Art. 6(1)(a))", I7112="Not Captured"), "Gap - Invalid Consent", IF(AND(D7112="Legitimate Interest (GDPR Art. 6(1)(f))", L7112=""), "Gap - Missing LIA", IF(AND(G7112="Yes", H7112=""), "Gap - Missing Art. 9 Basis", IF(OR(I7112="Invalid - Not Freely Given", I7112="Invalid - Not Specific", I7112="Invalid - Not Informed", I7112="Invalid - Ambiguous"), "Gap - Invalid Consent", "Compliant")))))</f>
        <v/>
      </c>
      <c r="O7112" s="7" t="n"/>
    </row>
    <row r="7113">
      <c r="A7113" s="7" t="n"/>
      <c r="B7113" s="7" t="n"/>
      <c r="C7113" s="7" t="n"/>
      <c r="D7113" s="7" t="n"/>
      <c r="E7113" s="7" t="n"/>
      <c r="F7113" s="7" t="n"/>
      <c r="G7113" s="7" t="n"/>
      <c r="H7113" s="7" t="n"/>
      <c r="I7113" s="7" t="n"/>
      <c r="J7113" s="7" t="n"/>
      <c r="K7113">
        <f>IF(D7113="Legitimate Interest (GDPR Art. 6(1)(f))", "Yes / Required (Sheet 3)", "")</f>
        <v/>
      </c>
      <c r="L7113" s="7" t="n"/>
      <c r="M7113" s="7" t="n"/>
      <c r="N7113">
        <f>IF(D7113="", "Gap - No Legal Basis", IF(AND(D7113="Consent (GDPR Art. 6(1)(a))", I7113="Not Captured"), "Gap - Invalid Consent", IF(AND(D7113="Legitimate Interest (GDPR Art. 6(1)(f))", L7113=""), "Gap - Missing LIA", IF(AND(G7113="Yes", H7113=""), "Gap - Missing Art. 9 Basis", IF(OR(I7113="Invalid - Not Freely Given", I7113="Invalid - Not Specific", I7113="Invalid - Not Informed", I7113="Invalid - Ambiguous"), "Gap - Invalid Consent", "Compliant")))))</f>
        <v/>
      </c>
      <c r="O7113" s="7" t="n"/>
    </row>
    <row r="7114">
      <c r="A7114" s="7" t="n"/>
      <c r="B7114" s="7" t="n"/>
      <c r="C7114" s="7" t="n"/>
      <c r="D7114" s="7" t="n"/>
      <c r="E7114" s="7" t="n"/>
      <c r="F7114" s="7" t="n"/>
      <c r="G7114" s="7" t="n"/>
      <c r="H7114" s="7" t="n"/>
      <c r="I7114" s="7" t="n"/>
      <c r="J7114" s="7" t="n"/>
      <c r="K7114">
        <f>IF(D7114="Legitimate Interest (GDPR Art. 6(1)(f))", "Yes / Required (Sheet 3)", "")</f>
        <v/>
      </c>
      <c r="L7114" s="7" t="n"/>
      <c r="M7114" s="7" t="n"/>
      <c r="N7114">
        <f>IF(D7114="", "Gap - No Legal Basis", IF(AND(D7114="Consent (GDPR Art. 6(1)(a))", I7114="Not Captured"), "Gap - Invalid Consent", IF(AND(D7114="Legitimate Interest (GDPR Art. 6(1)(f))", L7114=""), "Gap - Missing LIA", IF(AND(G7114="Yes", H7114=""), "Gap - Missing Art. 9 Basis", IF(OR(I7114="Invalid - Not Freely Given", I7114="Invalid - Not Specific", I7114="Invalid - Not Informed", I7114="Invalid - Ambiguous"), "Gap - Invalid Consent", "Compliant")))))</f>
        <v/>
      </c>
      <c r="O7114" s="7" t="n"/>
    </row>
    <row r="7115">
      <c r="A7115" s="7" t="n"/>
      <c r="B7115" s="7" t="n"/>
      <c r="C7115" s="7" t="n"/>
      <c r="D7115" s="7" t="n"/>
      <c r="E7115" s="7" t="n"/>
      <c r="F7115" s="7" t="n"/>
      <c r="G7115" s="7" t="n"/>
      <c r="H7115" s="7" t="n"/>
      <c r="I7115" s="7" t="n"/>
      <c r="J7115" s="7" t="n"/>
      <c r="K7115">
        <f>IF(D7115="Legitimate Interest (GDPR Art. 6(1)(f))", "Yes / Required (Sheet 3)", "")</f>
        <v/>
      </c>
      <c r="L7115" s="7" t="n"/>
      <c r="M7115" s="7" t="n"/>
      <c r="N7115">
        <f>IF(D7115="", "Gap - No Legal Basis", IF(AND(D7115="Consent (GDPR Art. 6(1)(a))", I7115="Not Captured"), "Gap - Invalid Consent", IF(AND(D7115="Legitimate Interest (GDPR Art. 6(1)(f))", L7115=""), "Gap - Missing LIA", IF(AND(G7115="Yes", H7115=""), "Gap - Missing Art. 9 Basis", IF(OR(I7115="Invalid - Not Freely Given", I7115="Invalid - Not Specific", I7115="Invalid - Not Informed", I7115="Invalid - Ambiguous"), "Gap - Invalid Consent", "Compliant")))))</f>
        <v/>
      </c>
      <c r="O7115" s="7" t="n"/>
    </row>
    <row r="7116">
      <c r="A7116" s="7" t="n"/>
      <c r="B7116" s="7" t="n"/>
      <c r="C7116" s="7" t="n"/>
      <c r="D7116" s="7" t="n"/>
      <c r="E7116" s="7" t="n"/>
      <c r="F7116" s="7" t="n"/>
      <c r="G7116" s="7" t="n"/>
      <c r="H7116" s="7" t="n"/>
      <c r="I7116" s="7" t="n"/>
      <c r="J7116" s="7" t="n"/>
      <c r="K7116">
        <f>IF(D7116="Legitimate Interest (GDPR Art. 6(1)(f))", "Yes / Required (Sheet 3)", "")</f>
        <v/>
      </c>
      <c r="L7116" s="7" t="n"/>
      <c r="M7116" s="7" t="n"/>
      <c r="N7116">
        <f>IF(D7116="", "Gap - No Legal Basis", IF(AND(D7116="Consent (GDPR Art. 6(1)(a))", I7116="Not Captured"), "Gap - Invalid Consent", IF(AND(D7116="Legitimate Interest (GDPR Art. 6(1)(f))", L7116=""), "Gap - Missing LIA", IF(AND(G7116="Yes", H7116=""), "Gap - Missing Art. 9 Basis", IF(OR(I7116="Invalid - Not Freely Given", I7116="Invalid - Not Specific", I7116="Invalid - Not Informed", I7116="Invalid - Ambiguous"), "Gap - Invalid Consent", "Compliant")))))</f>
        <v/>
      </c>
      <c r="O7116" s="7" t="n"/>
    </row>
    <row r="7117">
      <c r="A7117" s="7" t="n"/>
      <c r="B7117" s="7" t="n"/>
      <c r="C7117" s="7" t="n"/>
      <c r="D7117" s="7" t="n"/>
      <c r="E7117" s="7" t="n"/>
      <c r="F7117" s="7" t="n"/>
      <c r="G7117" s="7" t="n"/>
      <c r="H7117" s="7" t="n"/>
      <c r="I7117" s="7" t="n"/>
      <c r="J7117" s="7" t="n"/>
      <c r="K7117">
        <f>IF(D7117="Legitimate Interest (GDPR Art. 6(1)(f))", "Yes / Required (Sheet 3)", "")</f>
        <v/>
      </c>
      <c r="L7117" s="7" t="n"/>
      <c r="M7117" s="7" t="n"/>
      <c r="N7117">
        <f>IF(D7117="", "Gap - No Legal Basis", IF(AND(D7117="Consent (GDPR Art. 6(1)(a))", I7117="Not Captured"), "Gap - Invalid Consent", IF(AND(D7117="Legitimate Interest (GDPR Art. 6(1)(f))", L7117=""), "Gap - Missing LIA", IF(AND(G7117="Yes", H7117=""), "Gap - Missing Art. 9 Basis", IF(OR(I7117="Invalid - Not Freely Given", I7117="Invalid - Not Specific", I7117="Invalid - Not Informed", I7117="Invalid - Ambiguous"), "Gap - Invalid Consent", "Compliant")))))</f>
        <v/>
      </c>
      <c r="O7117" s="7" t="n"/>
    </row>
    <row r="7118">
      <c r="A7118" s="7" t="n"/>
      <c r="B7118" s="7" t="n"/>
      <c r="C7118" s="7" t="n"/>
      <c r="D7118" s="7" t="n"/>
      <c r="E7118" s="7" t="n"/>
      <c r="F7118" s="7" t="n"/>
      <c r="G7118" s="7" t="n"/>
      <c r="H7118" s="7" t="n"/>
      <c r="I7118" s="7" t="n"/>
      <c r="J7118" s="7" t="n"/>
      <c r="K7118">
        <f>IF(D7118="Legitimate Interest (GDPR Art. 6(1)(f))", "Yes / Required (Sheet 3)", "")</f>
        <v/>
      </c>
      <c r="L7118" s="7" t="n"/>
      <c r="M7118" s="7" t="n"/>
      <c r="N7118">
        <f>IF(D7118="", "Gap - No Legal Basis", IF(AND(D7118="Consent (GDPR Art. 6(1)(a))", I7118="Not Captured"), "Gap - Invalid Consent", IF(AND(D7118="Legitimate Interest (GDPR Art. 6(1)(f))", L7118=""), "Gap - Missing LIA", IF(AND(G7118="Yes", H7118=""), "Gap - Missing Art. 9 Basis", IF(OR(I7118="Invalid - Not Freely Given", I7118="Invalid - Not Specific", I7118="Invalid - Not Informed", I7118="Invalid - Ambiguous"), "Gap - Invalid Consent", "Compliant")))))</f>
        <v/>
      </c>
      <c r="O7118" s="7" t="n"/>
    </row>
    <row r="7119">
      <c r="A7119" s="7" t="n"/>
      <c r="B7119" s="7" t="n"/>
      <c r="C7119" s="7" t="n"/>
      <c r="D7119" s="7" t="n"/>
      <c r="E7119" s="7" t="n"/>
      <c r="F7119" s="7" t="n"/>
      <c r="G7119" s="7" t="n"/>
      <c r="H7119" s="7" t="n"/>
      <c r="I7119" s="7" t="n"/>
      <c r="J7119" s="7" t="n"/>
      <c r="K7119">
        <f>IF(D7119="Legitimate Interest (GDPR Art. 6(1)(f))", "Yes / Required (Sheet 3)", "")</f>
        <v/>
      </c>
      <c r="L7119" s="7" t="n"/>
      <c r="M7119" s="7" t="n"/>
      <c r="N7119">
        <f>IF(D7119="", "Gap - No Legal Basis", IF(AND(D7119="Consent (GDPR Art. 6(1)(a))", I7119="Not Captured"), "Gap - Invalid Consent", IF(AND(D7119="Legitimate Interest (GDPR Art. 6(1)(f))", L7119=""), "Gap - Missing LIA", IF(AND(G7119="Yes", H7119=""), "Gap - Missing Art. 9 Basis", IF(OR(I7119="Invalid - Not Freely Given", I7119="Invalid - Not Specific", I7119="Invalid - Not Informed", I7119="Invalid - Ambiguous"), "Gap - Invalid Consent", "Compliant")))))</f>
        <v/>
      </c>
      <c r="O7119" s="7" t="n"/>
    </row>
    <row r="7120">
      <c r="A7120" s="7" t="n"/>
      <c r="B7120" s="7" t="n"/>
      <c r="C7120" s="7" t="n"/>
      <c r="D7120" s="7" t="n"/>
      <c r="E7120" s="7" t="n"/>
      <c r="F7120" s="7" t="n"/>
      <c r="G7120" s="7" t="n"/>
      <c r="H7120" s="7" t="n"/>
      <c r="I7120" s="7" t="n"/>
      <c r="J7120" s="7" t="n"/>
      <c r="K7120">
        <f>IF(D7120="Legitimate Interest (GDPR Art. 6(1)(f))", "Yes / Required (Sheet 3)", "")</f>
        <v/>
      </c>
      <c r="L7120" s="7" t="n"/>
      <c r="M7120" s="7" t="n"/>
      <c r="N7120">
        <f>IF(D7120="", "Gap - No Legal Basis", IF(AND(D7120="Consent (GDPR Art. 6(1)(a))", I7120="Not Captured"), "Gap - Invalid Consent", IF(AND(D7120="Legitimate Interest (GDPR Art. 6(1)(f))", L7120=""), "Gap - Missing LIA", IF(AND(G7120="Yes", H7120=""), "Gap - Missing Art. 9 Basis", IF(OR(I7120="Invalid - Not Freely Given", I7120="Invalid - Not Specific", I7120="Invalid - Not Informed", I7120="Invalid - Ambiguous"), "Gap - Invalid Consent", "Compliant")))))</f>
        <v/>
      </c>
      <c r="O7120" s="7" t="n"/>
    </row>
    <row r="7121">
      <c r="A7121" s="7" t="n"/>
      <c r="B7121" s="7" t="n"/>
      <c r="C7121" s="7" t="n"/>
      <c r="D7121" s="7" t="n"/>
      <c r="E7121" s="7" t="n"/>
      <c r="F7121" s="7" t="n"/>
      <c r="G7121" s="7" t="n"/>
      <c r="H7121" s="7" t="n"/>
      <c r="I7121" s="7" t="n"/>
      <c r="J7121" s="7" t="n"/>
      <c r="K7121">
        <f>IF(D7121="Legitimate Interest (GDPR Art. 6(1)(f))", "Yes / Required (Sheet 3)", "")</f>
        <v/>
      </c>
      <c r="L7121" s="7" t="n"/>
      <c r="M7121" s="7" t="n"/>
      <c r="N7121">
        <f>IF(D7121="", "Gap - No Legal Basis", IF(AND(D7121="Consent (GDPR Art. 6(1)(a))", I7121="Not Captured"), "Gap - Invalid Consent", IF(AND(D7121="Legitimate Interest (GDPR Art. 6(1)(f))", L7121=""), "Gap - Missing LIA", IF(AND(G7121="Yes", H7121=""), "Gap - Missing Art. 9 Basis", IF(OR(I7121="Invalid - Not Freely Given", I7121="Invalid - Not Specific", I7121="Invalid - Not Informed", I7121="Invalid - Ambiguous"), "Gap - Invalid Consent", "Compliant")))))</f>
        <v/>
      </c>
      <c r="O7121" s="7" t="n"/>
    </row>
    <row r="7122">
      <c r="A7122" s="7" t="n"/>
      <c r="B7122" s="7" t="n"/>
      <c r="C7122" s="7" t="n"/>
      <c r="D7122" s="7" t="n"/>
      <c r="E7122" s="7" t="n"/>
      <c r="F7122" s="7" t="n"/>
      <c r="G7122" s="7" t="n"/>
      <c r="H7122" s="7" t="n"/>
      <c r="I7122" s="7" t="n"/>
      <c r="J7122" s="7" t="n"/>
      <c r="K7122">
        <f>IF(D7122="Legitimate Interest (GDPR Art. 6(1)(f))", "Yes / Required (Sheet 3)", "")</f>
        <v/>
      </c>
      <c r="L7122" s="7" t="n"/>
      <c r="M7122" s="7" t="n"/>
      <c r="N7122">
        <f>IF(D7122="", "Gap - No Legal Basis", IF(AND(D7122="Consent (GDPR Art. 6(1)(a))", I7122="Not Captured"), "Gap - Invalid Consent", IF(AND(D7122="Legitimate Interest (GDPR Art. 6(1)(f))", L7122=""), "Gap - Missing LIA", IF(AND(G7122="Yes", H7122=""), "Gap - Missing Art. 9 Basis", IF(OR(I7122="Invalid - Not Freely Given", I7122="Invalid - Not Specific", I7122="Invalid - Not Informed", I7122="Invalid - Ambiguous"), "Gap - Invalid Consent", "Compliant")))))</f>
        <v/>
      </c>
      <c r="O7122" s="7" t="n"/>
    </row>
    <row r="7123">
      <c r="A7123" s="7" t="n"/>
      <c r="B7123" s="7" t="n"/>
      <c r="C7123" s="7" t="n"/>
      <c r="D7123" s="7" t="n"/>
      <c r="E7123" s="7" t="n"/>
      <c r="F7123" s="7" t="n"/>
      <c r="G7123" s="7" t="n"/>
      <c r="H7123" s="7" t="n"/>
      <c r="I7123" s="7" t="n"/>
      <c r="J7123" s="7" t="n"/>
      <c r="K7123">
        <f>IF(D7123="Legitimate Interest (GDPR Art. 6(1)(f))", "Yes / Required (Sheet 3)", "")</f>
        <v/>
      </c>
      <c r="L7123" s="7" t="n"/>
      <c r="M7123" s="7" t="n"/>
      <c r="N7123">
        <f>IF(D7123="", "Gap - No Legal Basis", IF(AND(D7123="Consent (GDPR Art. 6(1)(a))", I7123="Not Captured"), "Gap - Invalid Consent", IF(AND(D7123="Legitimate Interest (GDPR Art. 6(1)(f))", L7123=""), "Gap - Missing LIA", IF(AND(G7123="Yes", H7123=""), "Gap - Missing Art. 9 Basis", IF(OR(I7123="Invalid - Not Freely Given", I7123="Invalid - Not Specific", I7123="Invalid - Not Informed", I7123="Invalid - Ambiguous"), "Gap - Invalid Consent", "Compliant")))))</f>
        <v/>
      </c>
      <c r="O7123" s="7" t="n"/>
    </row>
    <row r="7124">
      <c r="A7124" s="7" t="n"/>
      <c r="B7124" s="7" t="n"/>
      <c r="C7124" s="7" t="n"/>
      <c r="D7124" s="7" t="n"/>
      <c r="E7124" s="7" t="n"/>
      <c r="F7124" s="7" t="n"/>
      <c r="G7124" s="7" t="n"/>
      <c r="H7124" s="7" t="n"/>
      <c r="I7124" s="7" t="n"/>
      <c r="J7124" s="7" t="n"/>
      <c r="K7124">
        <f>IF(D7124="Legitimate Interest (GDPR Art. 6(1)(f))", "Yes / Required (Sheet 3)", "")</f>
        <v/>
      </c>
      <c r="L7124" s="7" t="n"/>
      <c r="M7124" s="7" t="n"/>
      <c r="N7124">
        <f>IF(D7124="", "Gap - No Legal Basis", IF(AND(D7124="Consent (GDPR Art. 6(1)(a))", I7124="Not Captured"), "Gap - Invalid Consent", IF(AND(D7124="Legitimate Interest (GDPR Art. 6(1)(f))", L7124=""), "Gap - Missing LIA", IF(AND(G7124="Yes", H7124=""), "Gap - Missing Art. 9 Basis", IF(OR(I7124="Invalid - Not Freely Given", I7124="Invalid - Not Specific", I7124="Invalid - Not Informed", I7124="Invalid - Ambiguous"), "Gap - Invalid Consent", "Compliant")))))</f>
        <v/>
      </c>
      <c r="O7124" s="7" t="n"/>
    </row>
    <row r="7125">
      <c r="A7125" s="7" t="n"/>
      <c r="B7125" s="7" t="n"/>
      <c r="C7125" s="7" t="n"/>
      <c r="D7125" s="7" t="n"/>
      <c r="E7125" s="7" t="n"/>
      <c r="F7125" s="7" t="n"/>
      <c r="G7125" s="7" t="n"/>
      <c r="H7125" s="7" t="n"/>
      <c r="I7125" s="7" t="n"/>
      <c r="J7125" s="7" t="n"/>
      <c r="K7125">
        <f>IF(D7125="Legitimate Interest (GDPR Art. 6(1)(f))", "Yes / Required (Sheet 3)", "")</f>
        <v/>
      </c>
      <c r="L7125" s="7" t="n"/>
      <c r="M7125" s="7" t="n"/>
      <c r="N7125">
        <f>IF(D7125="", "Gap - No Legal Basis", IF(AND(D7125="Consent (GDPR Art. 6(1)(a))", I7125="Not Captured"), "Gap - Invalid Consent", IF(AND(D7125="Legitimate Interest (GDPR Art. 6(1)(f))", L7125=""), "Gap - Missing LIA", IF(AND(G7125="Yes", H7125=""), "Gap - Missing Art. 9 Basis", IF(OR(I7125="Invalid - Not Freely Given", I7125="Invalid - Not Specific", I7125="Invalid - Not Informed", I7125="Invalid - Ambiguous"), "Gap - Invalid Consent", "Compliant")))))</f>
        <v/>
      </c>
      <c r="O7125" s="7" t="n"/>
    </row>
    <row r="7126">
      <c r="A7126" s="7" t="n"/>
      <c r="B7126" s="7" t="n"/>
      <c r="C7126" s="7" t="n"/>
      <c r="D7126" s="7" t="n"/>
      <c r="E7126" s="7" t="n"/>
      <c r="F7126" s="7" t="n"/>
      <c r="G7126" s="7" t="n"/>
      <c r="H7126" s="7" t="n"/>
      <c r="I7126" s="7" t="n"/>
      <c r="J7126" s="7" t="n"/>
      <c r="K7126">
        <f>IF(D7126="Legitimate Interest (GDPR Art. 6(1)(f))", "Yes / Required (Sheet 3)", "")</f>
        <v/>
      </c>
      <c r="L7126" s="7" t="n"/>
      <c r="M7126" s="7" t="n"/>
      <c r="N7126">
        <f>IF(D7126="", "Gap - No Legal Basis", IF(AND(D7126="Consent (GDPR Art. 6(1)(a))", I7126="Not Captured"), "Gap - Invalid Consent", IF(AND(D7126="Legitimate Interest (GDPR Art. 6(1)(f))", L7126=""), "Gap - Missing LIA", IF(AND(G7126="Yes", H7126=""), "Gap - Missing Art. 9 Basis", IF(OR(I7126="Invalid - Not Freely Given", I7126="Invalid - Not Specific", I7126="Invalid - Not Informed", I7126="Invalid - Ambiguous"), "Gap - Invalid Consent", "Compliant")))))</f>
        <v/>
      </c>
      <c r="O7126" s="7" t="n"/>
    </row>
    <row r="7127">
      <c r="A7127" s="7" t="n"/>
      <c r="B7127" s="7" t="n"/>
      <c r="C7127" s="7" t="n"/>
      <c r="D7127" s="7" t="n"/>
      <c r="E7127" s="7" t="n"/>
      <c r="F7127" s="7" t="n"/>
      <c r="G7127" s="7" t="n"/>
      <c r="H7127" s="7" t="n"/>
      <c r="I7127" s="7" t="n"/>
      <c r="J7127" s="7" t="n"/>
      <c r="K7127">
        <f>IF(D7127="Legitimate Interest (GDPR Art. 6(1)(f))", "Yes / Required (Sheet 3)", "")</f>
        <v/>
      </c>
      <c r="L7127" s="7" t="n"/>
      <c r="M7127" s="7" t="n"/>
      <c r="N7127">
        <f>IF(D7127="", "Gap - No Legal Basis", IF(AND(D7127="Consent (GDPR Art. 6(1)(a))", I7127="Not Captured"), "Gap - Invalid Consent", IF(AND(D7127="Legitimate Interest (GDPR Art. 6(1)(f))", L7127=""), "Gap - Missing LIA", IF(AND(G7127="Yes", H7127=""), "Gap - Missing Art. 9 Basis", IF(OR(I7127="Invalid - Not Freely Given", I7127="Invalid - Not Specific", I7127="Invalid - Not Informed", I7127="Invalid - Ambiguous"), "Gap - Invalid Consent", "Compliant")))))</f>
        <v/>
      </c>
      <c r="O7127" s="7" t="n"/>
    </row>
    <row r="7128">
      <c r="A7128" s="7" t="n"/>
      <c r="B7128" s="7" t="n"/>
      <c r="C7128" s="7" t="n"/>
      <c r="D7128" s="7" t="n"/>
      <c r="E7128" s="7" t="n"/>
      <c r="F7128" s="7" t="n"/>
      <c r="G7128" s="7" t="n"/>
      <c r="H7128" s="7" t="n"/>
      <c r="I7128" s="7" t="n"/>
      <c r="J7128" s="7" t="n"/>
      <c r="K7128">
        <f>IF(D7128="Legitimate Interest (GDPR Art. 6(1)(f))", "Yes / Required (Sheet 3)", "")</f>
        <v/>
      </c>
      <c r="L7128" s="7" t="n"/>
      <c r="M7128" s="7" t="n"/>
      <c r="N7128">
        <f>IF(D7128="", "Gap - No Legal Basis", IF(AND(D7128="Consent (GDPR Art. 6(1)(a))", I7128="Not Captured"), "Gap - Invalid Consent", IF(AND(D7128="Legitimate Interest (GDPR Art. 6(1)(f))", L7128=""), "Gap - Missing LIA", IF(AND(G7128="Yes", H7128=""), "Gap - Missing Art. 9 Basis", IF(OR(I7128="Invalid - Not Freely Given", I7128="Invalid - Not Specific", I7128="Invalid - Not Informed", I7128="Invalid - Ambiguous"), "Gap - Invalid Consent", "Compliant")))))</f>
        <v/>
      </c>
      <c r="O7128" s="7" t="n"/>
    </row>
    <row r="7129">
      <c r="A7129" s="7" t="n"/>
      <c r="B7129" s="7" t="n"/>
      <c r="C7129" s="7" t="n"/>
      <c r="D7129" s="7" t="n"/>
      <c r="E7129" s="7" t="n"/>
      <c r="F7129" s="7" t="n"/>
      <c r="G7129" s="7" t="n"/>
      <c r="H7129" s="7" t="n"/>
      <c r="I7129" s="7" t="n"/>
      <c r="J7129" s="7" t="n"/>
      <c r="K7129">
        <f>IF(D7129="Legitimate Interest (GDPR Art. 6(1)(f))", "Yes / Required (Sheet 3)", "")</f>
        <v/>
      </c>
      <c r="L7129" s="7" t="n"/>
      <c r="M7129" s="7" t="n"/>
      <c r="N7129">
        <f>IF(D7129="", "Gap - No Legal Basis", IF(AND(D7129="Consent (GDPR Art. 6(1)(a))", I7129="Not Captured"), "Gap - Invalid Consent", IF(AND(D7129="Legitimate Interest (GDPR Art. 6(1)(f))", L7129=""), "Gap - Missing LIA", IF(AND(G7129="Yes", H7129=""), "Gap - Missing Art. 9 Basis", IF(OR(I7129="Invalid - Not Freely Given", I7129="Invalid - Not Specific", I7129="Invalid - Not Informed", I7129="Invalid - Ambiguous"), "Gap - Invalid Consent", "Compliant")))))</f>
        <v/>
      </c>
      <c r="O7129" s="7" t="n"/>
    </row>
    <row r="7130">
      <c r="A7130" s="7" t="n"/>
      <c r="B7130" s="7" t="n"/>
      <c r="C7130" s="7" t="n"/>
      <c r="D7130" s="7" t="n"/>
      <c r="E7130" s="7" t="n"/>
      <c r="F7130" s="7" t="n"/>
      <c r="G7130" s="7" t="n"/>
      <c r="H7130" s="7" t="n"/>
      <c r="I7130" s="7" t="n"/>
      <c r="J7130" s="7" t="n"/>
      <c r="K7130">
        <f>IF(D7130="Legitimate Interest (GDPR Art. 6(1)(f))", "Yes / Required (Sheet 3)", "")</f>
        <v/>
      </c>
      <c r="L7130" s="7" t="n"/>
      <c r="M7130" s="7" t="n"/>
      <c r="N7130">
        <f>IF(D7130="", "Gap - No Legal Basis", IF(AND(D7130="Consent (GDPR Art. 6(1)(a))", I7130="Not Captured"), "Gap - Invalid Consent", IF(AND(D7130="Legitimate Interest (GDPR Art. 6(1)(f))", L7130=""), "Gap - Missing LIA", IF(AND(G7130="Yes", H7130=""), "Gap - Missing Art. 9 Basis", IF(OR(I7130="Invalid - Not Freely Given", I7130="Invalid - Not Specific", I7130="Invalid - Not Informed", I7130="Invalid - Ambiguous"), "Gap - Invalid Consent", "Compliant")))))</f>
        <v/>
      </c>
      <c r="O7130" s="7" t="n"/>
    </row>
    <row r="7131">
      <c r="A7131" s="7" t="n"/>
      <c r="B7131" s="7" t="n"/>
      <c r="C7131" s="7" t="n"/>
      <c r="D7131" s="7" t="n"/>
      <c r="E7131" s="7" t="n"/>
      <c r="F7131" s="7" t="n"/>
      <c r="G7131" s="7" t="n"/>
      <c r="H7131" s="7" t="n"/>
      <c r="I7131" s="7" t="n"/>
      <c r="J7131" s="7" t="n"/>
      <c r="K7131">
        <f>IF(D7131="Legitimate Interest (GDPR Art. 6(1)(f))", "Yes / Required (Sheet 3)", "")</f>
        <v/>
      </c>
      <c r="L7131" s="7" t="n"/>
      <c r="M7131" s="7" t="n"/>
      <c r="N7131">
        <f>IF(D7131="", "Gap - No Legal Basis", IF(AND(D7131="Consent (GDPR Art. 6(1)(a))", I7131="Not Captured"), "Gap - Invalid Consent", IF(AND(D7131="Legitimate Interest (GDPR Art. 6(1)(f))", L7131=""), "Gap - Missing LIA", IF(AND(G7131="Yes", H7131=""), "Gap - Missing Art. 9 Basis", IF(OR(I7131="Invalid - Not Freely Given", I7131="Invalid - Not Specific", I7131="Invalid - Not Informed", I7131="Invalid - Ambiguous"), "Gap - Invalid Consent", "Compliant")))))</f>
        <v/>
      </c>
      <c r="O7131" s="7" t="n"/>
    </row>
    <row r="7132">
      <c r="A7132" s="7" t="n"/>
      <c r="B7132" s="7" t="n"/>
      <c r="C7132" s="7" t="n"/>
      <c r="D7132" s="7" t="n"/>
      <c r="E7132" s="7" t="n"/>
      <c r="F7132" s="7" t="n"/>
      <c r="G7132" s="7" t="n"/>
      <c r="H7132" s="7" t="n"/>
      <c r="I7132" s="7" t="n"/>
      <c r="J7132" s="7" t="n"/>
      <c r="K7132">
        <f>IF(D7132="Legitimate Interest (GDPR Art. 6(1)(f))", "Yes / Required (Sheet 3)", "")</f>
        <v/>
      </c>
      <c r="L7132" s="7" t="n"/>
      <c r="M7132" s="7" t="n"/>
      <c r="N7132">
        <f>IF(D7132="", "Gap - No Legal Basis", IF(AND(D7132="Consent (GDPR Art. 6(1)(a))", I7132="Not Captured"), "Gap - Invalid Consent", IF(AND(D7132="Legitimate Interest (GDPR Art. 6(1)(f))", L7132=""), "Gap - Missing LIA", IF(AND(G7132="Yes", H7132=""), "Gap - Missing Art. 9 Basis", IF(OR(I7132="Invalid - Not Freely Given", I7132="Invalid - Not Specific", I7132="Invalid - Not Informed", I7132="Invalid - Ambiguous"), "Gap - Invalid Consent", "Compliant")))))</f>
        <v/>
      </c>
      <c r="O7132" s="7" t="n"/>
    </row>
    <row r="7133">
      <c r="A7133" s="7" t="n"/>
      <c r="B7133" s="7" t="n"/>
      <c r="C7133" s="7" t="n"/>
      <c r="D7133" s="7" t="n"/>
      <c r="E7133" s="7" t="n"/>
      <c r="F7133" s="7" t="n"/>
      <c r="G7133" s="7" t="n"/>
      <c r="H7133" s="7" t="n"/>
      <c r="I7133" s="7" t="n"/>
      <c r="J7133" s="7" t="n"/>
      <c r="K7133">
        <f>IF(D7133="Legitimate Interest (GDPR Art. 6(1)(f))", "Yes / Required (Sheet 3)", "")</f>
        <v/>
      </c>
      <c r="L7133" s="7" t="n"/>
      <c r="M7133" s="7" t="n"/>
      <c r="N7133">
        <f>IF(D7133="", "Gap - No Legal Basis", IF(AND(D7133="Consent (GDPR Art. 6(1)(a))", I7133="Not Captured"), "Gap - Invalid Consent", IF(AND(D7133="Legitimate Interest (GDPR Art. 6(1)(f))", L7133=""), "Gap - Missing LIA", IF(AND(G7133="Yes", H7133=""), "Gap - Missing Art. 9 Basis", IF(OR(I7133="Invalid - Not Freely Given", I7133="Invalid - Not Specific", I7133="Invalid - Not Informed", I7133="Invalid - Ambiguous"), "Gap - Invalid Consent", "Compliant")))))</f>
        <v/>
      </c>
      <c r="O7133" s="7" t="n"/>
    </row>
    <row r="7134">
      <c r="A7134" s="7" t="n"/>
      <c r="B7134" s="7" t="n"/>
      <c r="C7134" s="7" t="n"/>
      <c r="D7134" s="7" t="n"/>
      <c r="E7134" s="7" t="n"/>
      <c r="F7134" s="7" t="n"/>
      <c r="G7134" s="7" t="n"/>
      <c r="H7134" s="7" t="n"/>
      <c r="I7134" s="7" t="n"/>
      <c r="J7134" s="7" t="n"/>
      <c r="K7134">
        <f>IF(D7134="Legitimate Interest (GDPR Art. 6(1)(f))", "Yes / Required (Sheet 3)", "")</f>
        <v/>
      </c>
      <c r="L7134" s="7" t="n"/>
      <c r="M7134" s="7" t="n"/>
      <c r="N7134">
        <f>IF(D7134="", "Gap - No Legal Basis", IF(AND(D7134="Consent (GDPR Art. 6(1)(a))", I7134="Not Captured"), "Gap - Invalid Consent", IF(AND(D7134="Legitimate Interest (GDPR Art. 6(1)(f))", L7134=""), "Gap - Missing LIA", IF(AND(G7134="Yes", H7134=""), "Gap - Missing Art. 9 Basis", IF(OR(I7134="Invalid - Not Freely Given", I7134="Invalid - Not Specific", I7134="Invalid - Not Informed", I7134="Invalid - Ambiguous"), "Gap - Invalid Consent", "Compliant")))))</f>
        <v/>
      </c>
      <c r="O7134" s="7" t="n"/>
    </row>
    <row r="7135">
      <c r="A7135" s="7" t="n"/>
      <c r="B7135" s="7" t="n"/>
      <c r="C7135" s="7" t="n"/>
      <c r="D7135" s="7" t="n"/>
      <c r="E7135" s="7" t="n"/>
      <c r="F7135" s="7" t="n"/>
      <c r="G7135" s="7" t="n"/>
      <c r="H7135" s="7" t="n"/>
      <c r="I7135" s="7" t="n"/>
      <c r="J7135" s="7" t="n"/>
      <c r="K7135">
        <f>IF(D7135="Legitimate Interest (GDPR Art. 6(1)(f))", "Yes / Required (Sheet 3)", "")</f>
        <v/>
      </c>
      <c r="L7135" s="7" t="n"/>
      <c r="M7135" s="7" t="n"/>
      <c r="N7135">
        <f>IF(D7135="", "Gap - No Legal Basis", IF(AND(D7135="Consent (GDPR Art. 6(1)(a))", I7135="Not Captured"), "Gap - Invalid Consent", IF(AND(D7135="Legitimate Interest (GDPR Art. 6(1)(f))", L7135=""), "Gap - Missing LIA", IF(AND(G7135="Yes", H7135=""), "Gap - Missing Art. 9 Basis", IF(OR(I7135="Invalid - Not Freely Given", I7135="Invalid - Not Specific", I7135="Invalid - Not Informed", I7135="Invalid - Ambiguous"), "Gap - Invalid Consent", "Compliant")))))</f>
        <v/>
      </c>
      <c r="O7135" s="7" t="n"/>
    </row>
    <row r="7136">
      <c r="A7136" s="7" t="n"/>
      <c r="B7136" s="7" t="n"/>
      <c r="C7136" s="7" t="n"/>
      <c r="D7136" s="7" t="n"/>
      <c r="E7136" s="7" t="n"/>
      <c r="F7136" s="7" t="n"/>
      <c r="G7136" s="7" t="n"/>
      <c r="H7136" s="7" t="n"/>
      <c r="I7136" s="7" t="n"/>
      <c r="J7136" s="7" t="n"/>
      <c r="K7136">
        <f>IF(D7136="Legitimate Interest (GDPR Art. 6(1)(f))", "Yes / Required (Sheet 3)", "")</f>
        <v/>
      </c>
      <c r="L7136" s="7" t="n"/>
      <c r="M7136" s="7" t="n"/>
      <c r="N7136">
        <f>IF(D7136="", "Gap - No Legal Basis", IF(AND(D7136="Consent (GDPR Art. 6(1)(a))", I7136="Not Captured"), "Gap - Invalid Consent", IF(AND(D7136="Legitimate Interest (GDPR Art. 6(1)(f))", L7136=""), "Gap - Missing LIA", IF(AND(G7136="Yes", H7136=""), "Gap - Missing Art. 9 Basis", IF(OR(I7136="Invalid - Not Freely Given", I7136="Invalid - Not Specific", I7136="Invalid - Not Informed", I7136="Invalid - Ambiguous"), "Gap - Invalid Consent", "Compliant")))))</f>
        <v/>
      </c>
      <c r="O7136" s="7" t="n"/>
    </row>
    <row r="7137">
      <c r="A7137" s="7" t="n"/>
      <c r="B7137" s="7" t="n"/>
      <c r="C7137" s="7" t="n"/>
      <c r="D7137" s="7" t="n"/>
      <c r="E7137" s="7" t="n"/>
      <c r="F7137" s="7" t="n"/>
      <c r="G7137" s="7" t="n"/>
      <c r="H7137" s="7" t="n"/>
      <c r="I7137" s="7" t="n"/>
      <c r="J7137" s="7" t="n"/>
      <c r="K7137">
        <f>IF(D7137="Legitimate Interest (GDPR Art. 6(1)(f))", "Yes / Required (Sheet 3)", "")</f>
        <v/>
      </c>
      <c r="L7137" s="7" t="n"/>
      <c r="M7137" s="7" t="n"/>
      <c r="N7137">
        <f>IF(D7137="", "Gap - No Legal Basis", IF(AND(D7137="Consent (GDPR Art. 6(1)(a))", I7137="Not Captured"), "Gap - Invalid Consent", IF(AND(D7137="Legitimate Interest (GDPR Art. 6(1)(f))", L7137=""), "Gap - Missing LIA", IF(AND(G7137="Yes", H7137=""), "Gap - Missing Art. 9 Basis", IF(OR(I7137="Invalid - Not Freely Given", I7137="Invalid - Not Specific", I7137="Invalid - Not Informed", I7137="Invalid - Ambiguous"), "Gap - Invalid Consent", "Compliant")))))</f>
        <v/>
      </c>
      <c r="O7137" s="7" t="n"/>
    </row>
    <row r="7138">
      <c r="A7138" s="7" t="n"/>
      <c r="B7138" s="7" t="n"/>
      <c r="C7138" s="7" t="n"/>
      <c r="D7138" s="7" t="n"/>
      <c r="E7138" s="7" t="n"/>
      <c r="F7138" s="7" t="n"/>
      <c r="G7138" s="7" t="n"/>
      <c r="H7138" s="7" t="n"/>
      <c r="I7138" s="7" t="n"/>
      <c r="J7138" s="7" t="n"/>
      <c r="K7138">
        <f>IF(D7138="Legitimate Interest (GDPR Art. 6(1)(f))", "Yes / Required (Sheet 3)", "")</f>
        <v/>
      </c>
      <c r="L7138" s="7" t="n"/>
      <c r="M7138" s="7" t="n"/>
      <c r="N7138">
        <f>IF(D7138="", "Gap - No Legal Basis", IF(AND(D7138="Consent (GDPR Art. 6(1)(a))", I7138="Not Captured"), "Gap - Invalid Consent", IF(AND(D7138="Legitimate Interest (GDPR Art. 6(1)(f))", L7138=""), "Gap - Missing LIA", IF(AND(G7138="Yes", H7138=""), "Gap - Missing Art. 9 Basis", IF(OR(I7138="Invalid - Not Freely Given", I7138="Invalid - Not Specific", I7138="Invalid - Not Informed", I7138="Invalid - Ambiguous"), "Gap - Invalid Consent", "Compliant")))))</f>
        <v/>
      </c>
      <c r="O7138" s="7" t="n"/>
    </row>
    <row r="7139">
      <c r="A7139" s="7" t="n"/>
      <c r="B7139" s="7" t="n"/>
      <c r="C7139" s="7" t="n"/>
      <c r="D7139" s="7" t="n"/>
      <c r="E7139" s="7" t="n"/>
      <c r="F7139" s="7" t="n"/>
      <c r="G7139" s="7" t="n"/>
      <c r="H7139" s="7" t="n"/>
      <c r="I7139" s="7" t="n"/>
      <c r="J7139" s="7" t="n"/>
      <c r="K7139">
        <f>IF(D7139="Legitimate Interest (GDPR Art. 6(1)(f))", "Yes / Required (Sheet 3)", "")</f>
        <v/>
      </c>
      <c r="L7139" s="7" t="n"/>
      <c r="M7139" s="7" t="n"/>
      <c r="N7139">
        <f>IF(D7139="", "Gap - No Legal Basis", IF(AND(D7139="Consent (GDPR Art. 6(1)(a))", I7139="Not Captured"), "Gap - Invalid Consent", IF(AND(D7139="Legitimate Interest (GDPR Art. 6(1)(f))", L7139=""), "Gap - Missing LIA", IF(AND(G7139="Yes", H7139=""), "Gap - Missing Art. 9 Basis", IF(OR(I7139="Invalid - Not Freely Given", I7139="Invalid - Not Specific", I7139="Invalid - Not Informed", I7139="Invalid - Ambiguous"), "Gap - Invalid Consent", "Compliant")))))</f>
        <v/>
      </c>
      <c r="O7139" s="7" t="n"/>
    </row>
    <row r="7140">
      <c r="A7140" s="7" t="n"/>
      <c r="B7140" s="7" t="n"/>
      <c r="C7140" s="7" t="n"/>
      <c r="D7140" s="7" t="n"/>
      <c r="E7140" s="7" t="n"/>
      <c r="F7140" s="7" t="n"/>
      <c r="G7140" s="7" t="n"/>
      <c r="H7140" s="7" t="n"/>
      <c r="I7140" s="7" t="n"/>
      <c r="J7140" s="7" t="n"/>
      <c r="K7140">
        <f>IF(D7140="Legitimate Interest (GDPR Art. 6(1)(f))", "Yes / Required (Sheet 3)", "")</f>
        <v/>
      </c>
      <c r="L7140" s="7" t="n"/>
      <c r="M7140" s="7" t="n"/>
      <c r="N7140">
        <f>IF(D7140="", "Gap - No Legal Basis", IF(AND(D7140="Consent (GDPR Art. 6(1)(a))", I7140="Not Captured"), "Gap - Invalid Consent", IF(AND(D7140="Legitimate Interest (GDPR Art. 6(1)(f))", L7140=""), "Gap - Missing LIA", IF(AND(G7140="Yes", H7140=""), "Gap - Missing Art. 9 Basis", IF(OR(I7140="Invalid - Not Freely Given", I7140="Invalid - Not Specific", I7140="Invalid - Not Informed", I7140="Invalid - Ambiguous"), "Gap - Invalid Consent", "Compliant")))))</f>
        <v/>
      </c>
      <c r="O7140" s="7" t="n"/>
    </row>
    <row r="7141">
      <c r="A7141" s="7" t="n"/>
      <c r="B7141" s="7" t="n"/>
      <c r="C7141" s="7" t="n"/>
      <c r="D7141" s="7" t="n"/>
      <c r="E7141" s="7" t="n"/>
      <c r="F7141" s="7" t="n"/>
      <c r="G7141" s="7" t="n"/>
      <c r="H7141" s="7" t="n"/>
      <c r="I7141" s="7" t="n"/>
      <c r="J7141" s="7" t="n"/>
      <c r="K7141">
        <f>IF(D7141="Legitimate Interest (GDPR Art. 6(1)(f))", "Yes / Required (Sheet 3)", "")</f>
        <v/>
      </c>
      <c r="L7141" s="7" t="n"/>
      <c r="M7141" s="7" t="n"/>
      <c r="N7141">
        <f>IF(D7141="", "Gap - No Legal Basis", IF(AND(D7141="Consent (GDPR Art. 6(1)(a))", I7141="Not Captured"), "Gap - Invalid Consent", IF(AND(D7141="Legitimate Interest (GDPR Art. 6(1)(f))", L7141=""), "Gap - Missing LIA", IF(AND(G7141="Yes", H7141=""), "Gap - Missing Art. 9 Basis", IF(OR(I7141="Invalid - Not Freely Given", I7141="Invalid - Not Specific", I7141="Invalid - Not Informed", I7141="Invalid - Ambiguous"), "Gap - Invalid Consent", "Compliant")))))</f>
        <v/>
      </c>
      <c r="O7141" s="7" t="n"/>
    </row>
    <row r="7142">
      <c r="A7142" s="7" t="n"/>
      <c r="B7142" s="7" t="n"/>
      <c r="C7142" s="7" t="n"/>
      <c r="D7142" s="7" t="n"/>
      <c r="E7142" s="7" t="n"/>
      <c r="F7142" s="7" t="n"/>
      <c r="G7142" s="7" t="n"/>
      <c r="H7142" s="7" t="n"/>
      <c r="I7142" s="7" t="n"/>
      <c r="J7142" s="7" t="n"/>
      <c r="K7142">
        <f>IF(D7142="Legitimate Interest (GDPR Art. 6(1)(f))", "Yes / Required (Sheet 3)", "")</f>
        <v/>
      </c>
      <c r="L7142" s="7" t="n"/>
      <c r="M7142" s="7" t="n"/>
      <c r="N7142">
        <f>IF(D7142="", "Gap - No Legal Basis", IF(AND(D7142="Consent (GDPR Art. 6(1)(a))", I7142="Not Captured"), "Gap - Invalid Consent", IF(AND(D7142="Legitimate Interest (GDPR Art. 6(1)(f))", L7142=""), "Gap - Missing LIA", IF(AND(G7142="Yes", H7142=""), "Gap - Missing Art. 9 Basis", IF(OR(I7142="Invalid - Not Freely Given", I7142="Invalid - Not Specific", I7142="Invalid - Not Informed", I7142="Invalid - Ambiguous"), "Gap - Invalid Consent", "Compliant")))))</f>
        <v/>
      </c>
      <c r="O7142" s="7" t="n"/>
    </row>
    <row r="7143">
      <c r="A7143" s="7" t="n"/>
      <c r="B7143" s="7" t="n"/>
      <c r="C7143" s="7" t="n"/>
      <c r="D7143" s="7" t="n"/>
      <c r="E7143" s="7" t="n"/>
      <c r="F7143" s="7" t="n"/>
      <c r="G7143" s="7" t="n"/>
      <c r="H7143" s="7" t="n"/>
      <c r="I7143" s="7" t="n"/>
      <c r="J7143" s="7" t="n"/>
      <c r="K7143">
        <f>IF(D7143="Legitimate Interest (GDPR Art. 6(1)(f))", "Yes / Required (Sheet 3)", "")</f>
        <v/>
      </c>
      <c r="L7143" s="7" t="n"/>
      <c r="M7143" s="7" t="n"/>
      <c r="N7143">
        <f>IF(D7143="", "Gap - No Legal Basis", IF(AND(D7143="Consent (GDPR Art. 6(1)(a))", I7143="Not Captured"), "Gap - Invalid Consent", IF(AND(D7143="Legitimate Interest (GDPR Art. 6(1)(f))", L7143=""), "Gap - Missing LIA", IF(AND(G7143="Yes", H7143=""), "Gap - Missing Art. 9 Basis", IF(OR(I7143="Invalid - Not Freely Given", I7143="Invalid - Not Specific", I7143="Invalid - Not Informed", I7143="Invalid - Ambiguous"), "Gap - Invalid Consent", "Compliant")))))</f>
        <v/>
      </c>
      <c r="O7143" s="7" t="n"/>
    </row>
    <row r="7144">
      <c r="A7144" s="7" t="n"/>
      <c r="B7144" s="7" t="n"/>
      <c r="C7144" s="7" t="n"/>
      <c r="D7144" s="7" t="n"/>
      <c r="E7144" s="7" t="n"/>
      <c r="F7144" s="7" t="n"/>
      <c r="G7144" s="7" t="n"/>
      <c r="H7144" s="7" t="n"/>
      <c r="I7144" s="7" t="n"/>
      <c r="J7144" s="7" t="n"/>
      <c r="K7144">
        <f>IF(D7144="Legitimate Interest (GDPR Art. 6(1)(f))", "Yes / Required (Sheet 3)", "")</f>
        <v/>
      </c>
      <c r="L7144" s="7" t="n"/>
      <c r="M7144" s="7" t="n"/>
      <c r="N7144">
        <f>IF(D7144="", "Gap - No Legal Basis", IF(AND(D7144="Consent (GDPR Art. 6(1)(a))", I7144="Not Captured"), "Gap - Invalid Consent", IF(AND(D7144="Legitimate Interest (GDPR Art. 6(1)(f))", L7144=""), "Gap - Missing LIA", IF(AND(G7144="Yes", H7144=""), "Gap - Missing Art. 9 Basis", IF(OR(I7144="Invalid - Not Freely Given", I7144="Invalid - Not Specific", I7144="Invalid - Not Informed", I7144="Invalid - Ambiguous"), "Gap - Invalid Consent", "Compliant")))))</f>
        <v/>
      </c>
      <c r="O7144" s="7" t="n"/>
    </row>
    <row r="7145">
      <c r="A7145" s="7" t="n"/>
      <c r="B7145" s="7" t="n"/>
      <c r="C7145" s="7" t="n"/>
      <c r="D7145" s="7" t="n"/>
      <c r="E7145" s="7" t="n"/>
      <c r="F7145" s="7" t="n"/>
      <c r="G7145" s="7" t="n"/>
      <c r="H7145" s="7" t="n"/>
      <c r="I7145" s="7" t="n"/>
      <c r="J7145" s="7" t="n"/>
      <c r="K7145">
        <f>IF(D7145="Legitimate Interest (GDPR Art. 6(1)(f))", "Yes / Required (Sheet 3)", "")</f>
        <v/>
      </c>
      <c r="L7145" s="7" t="n"/>
      <c r="M7145" s="7" t="n"/>
      <c r="N7145">
        <f>IF(D7145="", "Gap - No Legal Basis", IF(AND(D7145="Consent (GDPR Art. 6(1)(a))", I7145="Not Captured"), "Gap - Invalid Consent", IF(AND(D7145="Legitimate Interest (GDPR Art. 6(1)(f))", L7145=""), "Gap - Missing LIA", IF(AND(G7145="Yes", H7145=""), "Gap - Missing Art. 9 Basis", IF(OR(I7145="Invalid - Not Freely Given", I7145="Invalid - Not Specific", I7145="Invalid - Not Informed", I7145="Invalid - Ambiguous"), "Gap - Invalid Consent", "Compliant")))))</f>
        <v/>
      </c>
      <c r="O7145" s="7" t="n"/>
    </row>
    <row r="7146">
      <c r="A7146" s="7" t="n"/>
      <c r="B7146" s="7" t="n"/>
      <c r="C7146" s="7" t="n"/>
      <c r="D7146" s="7" t="n"/>
      <c r="E7146" s="7" t="n"/>
      <c r="F7146" s="7" t="n"/>
      <c r="G7146" s="7" t="n"/>
      <c r="H7146" s="7" t="n"/>
      <c r="I7146" s="7" t="n"/>
      <c r="J7146" s="7" t="n"/>
      <c r="K7146">
        <f>IF(D7146="Legitimate Interest (GDPR Art. 6(1)(f))", "Yes / Required (Sheet 3)", "")</f>
        <v/>
      </c>
      <c r="L7146" s="7" t="n"/>
      <c r="M7146" s="7" t="n"/>
      <c r="N7146">
        <f>IF(D7146="", "Gap - No Legal Basis", IF(AND(D7146="Consent (GDPR Art. 6(1)(a))", I7146="Not Captured"), "Gap - Invalid Consent", IF(AND(D7146="Legitimate Interest (GDPR Art. 6(1)(f))", L7146=""), "Gap - Missing LIA", IF(AND(G7146="Yes", H7146=""), "Gap - Missing Art. 9 Basis", IF(OR(I7146="Invalid - Not Freely Given", I7146="Invalid - Not Specific", I7146="Invalid - Not Informed", I7146="Invalid - Ambiguous"), "Gap - Invalid Consent", "Compliant")))))</f>
        <v/>
      </c>
      <c r="O7146" s="7" t="n"/>
    </row>
    <row r="7147">
      <c r="A7147" s="7" t="n"/>
      <c r="B7147" s="7" t="n"/>
      <c r="C7147" s="7" t="n"/>
      <c r="D7147" s="7" t="n"/>
      <c r="E7147" s="7" t="n"/>
      <c r="F7147" s="7" t="n"/>
      <c r="G7147" s="7" t="n"/>
      <c r="H7147" s="7" t="n"/>
      <c r="I7147" s="7" t="n"/>
      <c r="J7147" s="7" t="n"/>
      <c r="K7147">
        <f>IF(D7147="Legitimate Interest (GDPR Art. 6(1)(f))", "Yes / Required (Sheet 3)", "")</f>
        <v/>
      </c>
      <c r="L7147" s="7" t="n"/>
      <c r="M7147" s="7" t="n"/>
      <c r="N7147">
        <f>IF(D7147="", "Gap - No Legal Basis", IF(AND(D7147="Consent (GDPR Art. 6(1)(a))", I7147="Not Captured"), "Gap - Invalid Consent", IF(AND(D7147="Legitimate Interest (GDPR Art. 6(1)(f))", L7147=""), "Gap - Missing LIA", IF(AND(G7147="Yes", H7147=""), "Gap - Missing Art. 9 Basis", IF(OR(I7147="Invalid - Not Freely Given", I7147="Invalid - Not Specific", I7147="Invalid - Not Informed", I7147="Invalid - Ambiguous"), "Gap - Invalid Consent", "Compliant")))))</f>
        <v/>
      </c>
      <c r="O7147" s="7" t="n"/>
    </row>
    <row r="7148">
      <c r="A7148" s="7" t="n"/>
      <c r="B7148" s="7" t="n"/>
      <c r="C7148" s="7" t="n"/>
      <c r="D7148" s="7" t="n"/>
      <c r="E7148" s="7" t="n"/>
      <c r="F7148" s="7" t="n"/>
      <c r="G7148" s="7" t="n"/>
      <c r="H7148" s="7" t="n"/>
      <c r="I7148" s="7" t="n"/>
      <c r="J7148" s="7" t="n"/>
      <c r="K7148">
        <f>IF(D7148="Legitimate Interest (GDPR Art. 6(1)(f))", "Yes / Required (Sheet 3)", "")</f>
        <v/>
      </c>
      <c r="L7148" s="7" t="n"/>
      <c r="M7148" s="7" t="n"/>
      <c r="N7148">
        <f>IF(D7148="", "Gap - No Legal Basis", IF(AND(D7148="Consent (GDPR Art. 6(1)(a))", I7148="Not Captured"), "Gap - Invalid Consent", IF(AND(D7148="Legitimate Interest (GDPR Art. 6(1)(f))", L7148=""), "Gap - Missing LIA", IF(AND(G7148="Yes", H7148=""), "Gap - Missing Art. 9 Basis", IF(OR(I7148="Invalid - Not Freely Given", I7148="Invalid - Not Specific", I7148="Invalid - Not Informed", I7148="Invalid - Ambiguous"), "Gap - Invalid Consent", "Compliant")))))</f>
        <v/>
      </c>
      <c r="O7148" s="7" t="n"/>
    </row>
    <row r="7149">
      <c r="A7149" s="7" t="n"/>
      <c r="B7149" s="7" t="n"/>
      <c r="C7149" s="7" t="n"/>
      <c r="D7149" s="7" t="n"/>
      <c r="E7149" s="7" t="n"/>
      <c r="F7149" s="7" t="n"/>
      <c r="G7149" s="7" t="n"/>
      <c r="H7149" s="7" t="n"/>
      <c r="I7149" s="7" t="n"/>
      <c r="J7149" s="7" t="n"/>
      <c r="K7149">
        <f>IF(D7149="Legitimate Interest (GDPR Art. 6(1)(f))", "Yes / Required (Sheet 3)", "")</f>
        <v/>
      </c>
      <c r="L7149" s="7" t="n"/>
      <c r="M7149" s="7" t="n"/>
      <c r="N7149">
        <f>IF(D7149="", "Gap - No Legal Basis", IF(AND(D7149="Consent (GDPR Art. 6(1)(a))", I7149="Not Captured"), "Gap - Invalid Consent", IF(AND(D7149="Legitimate Interest (GDPR Art. 6(1)(f))", L7149=""), "Gap - Missing LIA", IF(AND(G7149="Yes", H7149=""), "Gap - Missing Art. 9 Basis", IF(OR(I7149="Invalid - Not Freely Given", I7149="Invalid - Not Specific", I7149="Invalid - Not Informed", I7149="Invalid - Ambiguous"), "Gap - Invalid Consent", "Compliant")))))</f>
        <v/>
      </c>
      <c r="O7149" s="7" t="n"/>
    </row>
    <row r="7150">
      <c r="A7150" s="7" t="n"/>
      <c r="B7150" s="7" t="n"/>
      <c r="C7150" s="7" t="n"/>
      <c r="D7150" s="7" t="n"/>
      <c r="E7150" s="7" t="n"/>
      <c r="F7150" s="7" t="n"/>
      <c r="G7150" s="7" t="n"/>
      <c r="H7150" s="7" t="n"/>
      <c r="I7150" s="7" t="n"/>
      <c r="J7150" s="7" t="n"/>
      <c r="K7150">
        <f>IF(D7150="Legitimate Interest (GDPR Art. 6(1)(f))", "Yes / Required (Sheet 3)", "")</f>
        <v/>
      </c>
      <c r="L7150" s="7" t="n"/>
      <c r="M7150" s="7" t="n"/>
      <c r="N7150">
        <f>IF(D7150="", "Gap - No Legal Basis", IF(AND(D7150="Consent (GDPR Art. 6(1)(a))", I7150="Not Captured"), "Gap - Invalid Consent", IF(AND(D7150="Legitimate Interest (GDPR Art. 6(1)(f))", L7150=""), "Gap - Missing LIA", IF(AND(G7150="Yes", H7150=""), "Gap - Missing Art. 9 Basis", IF(OR(I7150="Invalid - Not Freely Given", I7150="Invalid - Not Specific", I7150="Invalid - Not Informed", I7150="Invalid - Ambiguous"), "Gap - Invalid Consent", "Compliant")))))</f>
        <v/>
      </c>
      <c r="O7150" s="7" t="n"/>
    </row>
    <row r="7151">
      <c r="A7151" s="7" t="n"/>
      <c r="B7151" s="7" t="n"/>
      <c r="C7151" s="7" t="n"/>
      <c r="D7151" s="7" t="n"/>
      <c r="E7151" s="7" t="n"/>
      <c r="F7151" s="7" t="n"/>
      <c r="G7151" s="7" t="n"/>
      <c r="H7151" s="7" t="n"/>
      <c r="I7151" s="7" t="n"/>
      <c r="J7151" s="7" t="n"/>
      <c r="K7151">
        <f>IF(D7151="Legitimate Interest (GDPR Art. 6(1)(f))", "Yes / Required (Sheet 3)", "")</f>
        <v/>
      </c>
      <c r="L7151" s="7" t="n"/>
      <c r="M7151" s="7" t="n"/>
      <c r="N7151">
        <f>IF(D7151="", "Gap - No Legal Basis", IF(AND(D7151="Consent (GDPR Art. 6(1)(a))", I7151="Not Captured"), "Gap - Invalid Consent", IF(AND(D7151="Legitimate Interest (GDPR Art. 6(1)(f))", L7151=""), "Gap - Missing LIA", IF(AND(G7151="Yes", H7151=""), "Gap - Missing Art. 9 Basis", IF(OR(I7151="Invalid - Not Freely Given", I7151="Invalid - Not Specific", I7151="Invalid - Not Informed", I7151="Invalid - Ambiguous"), "Gap - Invalid Consent", "Compliant")))))</f>
        <v/>
      </c>
      <c r="O7151" s="7" t="n"/>
    </row>
    <row r="7152">
      <c r="A7152" s="7" t="n"/>
      <c r="B7152" s="7" t="n"/>
      <c r="C7152" s="7" t="n"/>
      <c r="D7152" s="7" t="n"/>
      <c r="E7152" s="7" t="n"/>
      <c r="F7152" s="7" t="n"/>
      <c r="G7152" s="7" t="n"/>
      <c r="H7152" s="7" t="n"/>
      <c r="I7152" s="7" t="n"/>
      <c r="J7152" s="7" t="n"/>
      <c r="K7152">
        <f>IF(D7152="Legitimate Interest (GDPR Art. 6(1)(f))", "Yes / Required (Sheet 3)", "")</f>
        <v/>
      </c>
      <c r="L7152" s="7" t="n"/>
      <c r="M7152" s="7" t="n"/>
      <c r="N7152">
        <f>IF(D7152="", "Gap - No Legal Basis", IF(AND(D7152="Consent (GDPR Art. 6(1)(a))", I7152="Not Captured"), "Gap - Invalid Consent", IF(AND(D7152="Legitimate Interest (GDPR Art. 6(1)(f))", L7152=""), "Gap - Missing LIA", IF(AND(G7152="Yes", H7152=""), "Gap - Missing Art. 9 Basis", IF(OR(I7152="Invalid - Not Freely Given", I7152="Invalid - Not Specific", I7152="Invalid - Not Informed", I7152="Invalid - Ambiguous"), "Gap - Invalid Consent", "Compliant")))))</f>
        <v/>
      </c>
      <c r="O7152" s="7" t="n"/>
    </row>
    <row r="7153">
      <c r="A7153" s="7" t="n"/>
      <c r="B7153" s="7" t="n"/>
      <c r="C7153" s="7" t="n"/>
      <c r="D7153" s="7" t="n"/>
      <c r="E7153" s="7" t="n"/>
      <c r="F7153" s="7" t="n"/>
      <c r="G7153" s="7" t="n"/>
      <c r="H7153" s="7" t="n"/>
      <c r="I7153" s="7" t="n"/>
      <c r="J7153" s="7" t="n"/>
      <c r="K7153">
        <f>IF(D7153="Legitimate Interest (GDPR Art. 6(1)(f))", "Yes / Required (Sheet 3)", "")</f>
        <v/>
      </c>
      <c r="L7153" s="7" t="n"/>
      <c r="M7153" s="7" t="n"/>
      <c r="N7153">
        <f>IF(D7153="", "Gap - No Legal Basis", IF(AND(D7153="Consent (GDPR Art. 6(1)(a))", I7153="Not Captured"), "Gap - Invalid Consent", IF(AND(D7153="Legitimate Interest (GDPR Art. 6(1)(f))", L7153=""), "Gap - Missing LIA", IF(AND(G7153="Yes", H7153=""), "Gap - Missing Art. 9 Basis", IF(OR(I7153="Invalid - Not Freely Given", I7153="Invalid - Not Specific", I7153="Invalid - Not Informed", I7153="Invalid - Ambiguous"), "Gap - Invalid Consent", "Compliant")))))</f>
        <v/>
      </c>
      <c r="O7153" s="7" t="n"/>
    </row>
    <row r="7154">
      <c r="A7154" s="7" t="n"/>
      <c r="B7154" s="7" t="n"/>
      <c r="C7154" s="7" t="n"/>
      <c r="D7154" s="7" t="n"/>
      <c r="E7154" s="7" t="n"/>
      <c r="F7154" s="7" t="n"/>
      <c r="G7154" s="7" t="n"/>
      <c r="H7154" s="7" t="n"/>
      <c r="I7154" s="7" t="n"/>
      <c r="J7154" s="7" t="n"/>
      <c r="K7154">
        <f>IF(D7154="Legitimate Interest (GDPR Art. 6(1)(f))", "Yes / Required (Sheet 3)", "")</f>
        <v/>
      </c>
      <c r="L7154" s="7" t="n"/>
      <c r="M7154" s="7" t="n"/>
      <c r="N7154">
        <f>IF(D7154="", "Gap - No Legal Basis", IF(AND(D7154="Consent (GDPR Art. 6(1)(a))", I7154="Not Captured"), "Gap - Invalid Consent", IF(AND(D7154="Legitimate Interest (GDPR Art. 6(1)(f))", L7154=""), "Gap - Missing LIA", IF(AND(G7154="Yes", H7154=""), "Gap - Missing Art. 9 Basis", IF(OR(I7154="Invalid - Not Freely Given", I7154="Invalid - Not Specific", I7154="Invalid - Not Informed", I7154="Invalid - Ambiguous"), "Gap - Invalid Consent", "Compliant")))))</f>
        <v/>
      </c>
      <c r="O7154" s="7" t="n"/>
    </row>
    <row r="7155">
      <c r="A7155" s="7" t="n"/>
      <c r="B7155" s="7" t="n"/>
      <c r="C7155" s="7" t="n"/>
      <c r="D7155" s="7" t="n"/>
      <c r="E7155" s="7" t="n"/>
      <c r="F7155" s="7" t="n"/>
      <c r="G7155" s="7" t="n"/>
      <c r="H7155" s="7" t="n"/>
      <c r="I7155" s="7" t="n"/>
      <c r="J7155" s="7" t="n"/>
      <c r="K7155">
        <f>IF(D7155="Legitimate Interest (GDPR Art. 6(1)(f))", "Yes / Required (Sheet 3)", "")</f>
        <v/>
      </c>
      <c r="L7155" s="7" t="n"/>
      <c r="M7155" s="7" t="n"/>
      <c r="N7155">
        <f>IF(D7155="", "Gap - No Legal Basis", IF(AND(D7155="Consent (GDPR Art. 6(1)(a))", I7155="Not Captured"), "Gap - Invalid Consent", IF(AND(D7155="Legitimate Interest (GDPR Art. 6(1)(f))", L7155=""), "Gap - Missing LIA", IF(AND(G7155="Yes", H7155=""), "Gap - Missing Art. 9 Basis", IF(OR(I7155="Invalid - Not Freely Given", I7155="Invalid - Not Specific", I7155="Invalid - Not Informed", I7155="Invalid - Ambiguous"), "Gap - Invalid Consent", "Compliant")))))</f>
        <v/>
      </c>
      <c r="O7155" s="7" t="n"/>
    </row>
    <row r="7156">
      <c r="A7156" s="7" t="n"/>
      <c r="B7156" s="7" t="n"/>
      <c r="C7156" s="7" t="n"/>
      <c r="D7156" s="7" t="n"/>
      <c r="E7156" s="7" t="n"/>
      <c r="F7156" s="7" t="n"/>
      <c r="G7156" s="7" t="n"/>
      <c r="H7156" s="7" t="n"/>
      <c r="I7156" s="7" t="n"/>
      <c r="J7156" s="7" t="n"/>
      <c r="K7156">
        <f>IF(D7156="Legitimate Interest (GDPR Art. 6(1)(f))", "Yes / Required (Sheet 3)", "")</f>
        <v/>
      </c>
      <c r="L7156" s="7" t="n"/>
      <c r="M7156" s="7" t="n"/>
      <c r="N7156">
        <f>IF(D7156="", "Gap - No Legal Basis", IF(AND(D7156="Consent (GDPR Art. 6(1)(a))", I7156="Not Captured"), "Gap - Invalid Consent", IF(AND(D7156="Legitimate Interest (GDPR Art. 6(1)(f))", L7156=""), "Gap - Missing LIA", IF(AND(G7156="Yes", H7156=""), "Gap - Missing Art. 9 Basis", IF(OR(I7156="Invalid - Not Freely Given", I7156="Invalid - Not Specific", I7156="Invalid - Not Informed", I7156="Invalid - Ambiguous"), "Gap - Invalid Consent", "Compliant")))))</f>
        <v/>
      </c>
      <c r="O7156" s="7" t="n"/>
    </row>
    <row r="7157">
      <c r="A7157" s="7" t="n"/>
      <c r="B7157" s="7" t="n"/>
      <c r="C7157" s="7" t="n"/>
      <c r="D7157" s="7" t="n"/>
      <c r="E7157" s="7" t="n"/>
      <c r="F7157" s="7" t="n"/>
      <c r="G7157" s="7" t="n"/>
      <c r="H7157" s="7" t="n"/>
      <c r="I7157" s="7" t="n"/>
      <c r="J7157" s="7" t="n"/>
      <c r="K7157">
        <f>IF(D7157="Legitimate Interest (GDPR Art. 6(1)(f))", "Yes / Required (Sheet 3)", "")</f>
        <v/>
      </c>
      <c r="L7157" s="7" t="n"/>
      <c r="M7157" s="7" t="n"/>
      <c r="N7157">
        <f>IF(D7157="", "Gap - No Legal Basis", IF(AND(D7157="Consent (GDPR Art. 6(1)(a))", I7157="Not Captured"), "Gap - Invalid Consent", IF(AND(D7157="Legitimate Interest (GDPR Art. 6(1)(f))", L7157=""), "Gap - Missing LIA", IF(AND(G7157="Yes", H7157=""), "Gap - Missing Art. 9 Basis", IF(OR(I7157="Invalid - Not Freely Given", I7157="Invalid - Not Specific", I7157="Invalid - Not Informed", I7157="Invalid - Ambiguous"), "Gap - Invalid Consent", "Compliant")))))</f>
        <v/>
      </c>
      <c r="O7157" s="7" t="n"/>
    </row>
    <row r="7158">
      <c r="A7158" s="7" t="n"/>
      <c r="B7158" s="7" t="n"/>
      <c r="C7158" s="7" t="n"/>
      <c r="D7158" s="7" t="n"/>
      <c r="E7158" s="7" t="n"/>
      <c r="F7158" s="7" t="n"/>
      <c r="G7158" s="7" t="n"/>
      <c r="H7158" s="7" t="n"/>
      <c r="I7158" s="7" t="n"/>
      <c r="J7158" s="7" t="n"/>
      <c r="K7158">
        <f>IF(D7158="Legitimate Interest (GDPR Art. 6(1)(f))", "Yes / Required (Sheet 3)", "")</f>
        <v/>
      </c>
      <c r="L7158" s="7" t="n"/>
      <c r="M7158" s="7" t="n"/>
      <c r="N7158">
        <f>IF(D7158="", "Gap - No Legal Basis", IF(AND(D7158="Consent (GDPR Art. 6(1)(a))", I7158="Not Captured"), "Gap - Invalid Consent", IF(AND(D7158="Legitimate Interest (GDPR Art. 6(1)(f))", L7158=""), "Gap - Missing LIA", IF(AND(G7158="Yes", H7158=""), "Gap - Missing Art. 9 Basis", IF(OR(I7158="Invalid - Not Freely Given", I7158="Invalid - Not Specific", I7158="Invalid - Not Informed", I7158="Invalid - Ambiguous"), "Gap - Invalid Consent", "Compliant")))))</f>
        <v/>
      </c>
      <c r="O7158" s="7" t="n"/>
    </row>
    <row r="7159">
      <c r="A7159" s="7" t="n"/>
      <c r="B7159" s="7" t="n"/>
      <c r="C7159" s="7" t="n"/>
      <c r="D7159" s="7" t="n"/>
      <c r="E7159" s="7" t="n"/>
      <c r="F7159" s="7" t="n"/>
      <c r="G7159" s="7" t="n"/>
      <c r="H7159" s="7" t="n"/>
      <c r="I7159" s="7" t="n"/>
      <c r="J7159" s="7" t="n"/>
      <c r="K7159">
        <f>IF(D7159="Legitimate Interest (GDPR Art. 6(1)(f))", "Yes / Required (Sheet 3)", "")</f>
        <v/>
      </c>
      <c r="L7159" s="7" t="n"/>
      <c r="M7159" s="7" t="n"/>
      <c r="N7159">
        <f>IF(D7159="", "Gap - No Legal Basis", IF(AND(D7159="Consent (GDPR Art. 6(1)(a))", I7159="Not Captured"), "Gap - Invalid Consent", IF(AND(D7159="Legitimate Interest (GDPR Art. 6(1)(f))", L7159=""), "Gap - Missing LIA", IF(AND(G7159="Yes", H7159=""), "Gap - Missing Art. 9 Basis", IF(OR(I7159="Invalid - Not Freely Given", I7159="Invalid - Not Specific", I7159="Invalid - Not Informed", I7159="Invalid - Ambiguous"), "Gap - Invalid Consent", "Compliant")))))</f>
        <v/>
      </c>
      <c r="O7159" s="7" t="n"/>
    </row>
    <row r="7160">
      <c r="A7160" s="7" t="n"/>
      <c r="B7160" s="7" t="n"/>
      <c r="C7160" s="7" t="n"/>
      <c r="D7160" s="7" t="n"/>
      <c r="E7160" s="7" t="n"/>
      <c r="F7160" s="7" t="n"/>
      <c r="G7160" s="7" t="n"/>
      <c r="H7160" s="7" t="n"/>
      <c r="I7160" s="7" t="n"/>
      <c r="J7160" s="7" t="n"/>
      <c r="K7160">
        <f>IF(D7160="Legitimate Interest (GDPR Art. 6(1)(f))", "Yes / Required (Sheet 3)", "")</f>
        <v/>
      </c>
      <c r="L7160" s="7" t="n"/>
      <c r="M7160" s="7" t="n"/>
      <c r="N7160">
        <f>IF(D7160="", "Gap - No Legal Basis", IF(AND(D7160="Consent (GDPR Art. 6(1)(a))", I7160="Not Captured"), "Gap - Invalid Consent", IF(AND(D7160="Legitimate Interest (GDPR Art. 6(1)(f))", L7160=""), "Gap - Missing LIA", IF(AND(G7160="Yes", H7160=""), "Gap - Missing Art. 9 Basis", IF(OR(I7160="Invalid - Not Freely Given", I7160="Invalid - Not Specific", I7160="Invalid - Not Informed", I7160="Invalid - Ambiguous"), "Gap - Invalid Consent", "Compliant")))))</f>
        <v/>
      </c>
      <c r="O7160" s="7" t="n"/>
    </row>
    <row r="7161">
      <c r="A7161" s="7" t="n"/>
      <c r="B7161" s="7" t="n"/>
      <c r="C7161" s="7" t="n"/>
      <c r="D7161" s="7" t="n"/>
      <c r="E7161" s="7" t="n"/>
      <c r="F7161" s="7" t="n"/>
      <c r="G7161" s="7" t="n"/>
      <c r="H7161" s="7" t="n"/>
      <c r="I7161" s="7" t="n"/>
      <c r="J7161" s="7" t="n"/>
      <c r="K7161">
        <f>IF(D7161="Legitimate Interest (GDPR Art. 6(1)(f))", "Yes / Required (Sheet 3)", "")</f>
        <v/>
      </c>
      <c r="L7161" s="7" t="n"/>
      <c r="M7161" s="7" t="n"/>
      <c r="N7161">
        <f>IF(D7161="", "Gap - No Legal Basis", IF(AND(D7161="Consent (GDPR Art. 6(1)(a))", I7161="Not Captured"), "Gap - Invalid Consent", IF(AND(D7161="Legitimate Interest (GDPR Art. 6(1)(f))", L7161=""), "Gap - Missing LIA", IF(AND(G7161="Yes", H7161=""), "Gap - Missing Art. 9 Basis", IF(OR(I7161="Invalid - Not Freely Given", I7161="Invalid - Not Specific", I7161="Invalid - Not Informed", I7161="Invalid - Ambiguous"), "Gap - Invalid Consent", "Compliant")))))</f>
        <v/>
      </c>
      <c r="O7161" s="7" t="n"/>
    </row>
    <row r="7162">
      <c r="A7162" s="7" t="n"/>
      <c r="B7162" s="7" t="n"/>
      <c r="C7162" s="7" t="n"/>
      <c r="D7162" s="7" t="n"/>
      <c r="E7162" s="7" t="n"/>
      <c r="F7162" s="7" t="n"/>
      <c r="G7162" s="7" t="n"/>
      <c r="H7162" s="7" t="n"/>
      <c r="I7162" s="7" t="n"/>
      <c r="J7162" s="7" t="n"/>
      <c r="K7162">
        <f>IF(D7162="Legitimate Interest (GDPR Art. 6(1)(f))", "Yes / Required (Sheet 3)", "")</f>
        <v/>
      </c>
      <c r="L7162" s="7" t="n"/>
      <c r="M7162" s="7" t="n"/>
      <c r="N7162">
        <f>IF(D7162="", "Gap - No Legal Basis", IF(AND(D7162="Consent (GDPR Art. 6(1)(a))", I7162="Not Captured"), "Gap - Invalid Consent", IF(AND(D7162="Legitimate Interest (GDPR Art. 6(1)(f))", L7162=""), "Gap - Missing LIA", IF(AND(G7162="Yes", H7162=""), "Gap - Missing Art. 9 Basis", IF(OR(I7162="Invalid - Not Freely Given", I7162="Invalid - Not Specific", I7162="Invalid - Not Informed", I7162="Invalid - Ambiguous"), "Gap - Invalid Consent", "Compliant")))))</f>
        <v/>
      </c>
      <c r="O7162" s="7" t="n"/>
    </row>
    <row r="7163">
      <c r="A7163" s="7" t="n"/>
      <c r="B7163" s="7" t="n"/>
      <c r="C7163" s="7" t="n"/>
      <c r="D7163" s="7" t="n"/>
      <c r="E7163" s="7" t="n"/>
      <c r="F7163" s="7" t="n"/>
      <c r="G7163" s="7" t="n"/>
      <c r="H7163" s="7" t="n"/>
      <c r="I7163" s="7" t="n"/>
      <c r="J7163" s="7" t="n"/>
      <c r="K7163">
        <f>IF(D7163="Legitimate Interest (GDPR Art. 6(1)(f))", "Yes / Required (Sheet 3)", "")</f>
        <v/>
      </c>
      <c r="L7163" s="7" t="n"/>
      <c r="M7163" s="7" t="n"/>
      <c r="N7163">
        <f>IF(D7163="", "Gap - No Legal Basis", IF(AND(D7163="Consent (GDPR Art. 6(1)(a))", I7163="Not Captured"), "Gap - Invalid Consent", IF(AND(D7163="Legitimate Interest (GDPR Art. 6(1)(f))", L7163=""), "Gap - Missing LIA", IF(AND(G7163="Yes", H7163=""), "Gap - Missing Art. 9 Basis", IF(OR(I7163="Invalid - Not Freely Given", I7163="Invalid - Not Specific", I7163="Invalid - Not Informed", I7163="Invalid - Ambiguous"), "Gap - Invalid Consent", "Compliant")))))</f>
        <v/>
      </c>
      <c r="O7163" s="7" t="n"/>
    </row>
    <row r="7164">
      <c r="A7164" s="7" t="n"/>
      <c r="B7164" s="7" t="n"/>
      <c r="C7164" s="7" t="n"/>
      <c r="D7164" s="7" t="n"/>
      <c r="E7164" s="7" t="n"/>
      <c r="F7164" s="7" t="n"/>
      <c r="G7164" s="7" t="n"/>
      <c r="H7164" s="7" t="n"/>
      <c r="I7164" s="7" t="n"/>
      <c r="J7164" s="7" t="n"/>
      <c r="K7164">
        <f>IF(D7164="Legitimate Interest (GDPR Art. 6(1)(f))", "Yes / Required (Sheet 3)", "")</f>
        <v/>
      </c>
      <c r="L7164" s="7" t="n"/>
      <c r="M7164" s="7" t="n"/>
      <c r="N7164">
        <f>IF(D7164="", "Gap - No Legal Basis", IF(AND(D7164="Consent (GDPR Art. 6(1)(a))", I7164="Not Captured"), "Gap - Invalid Consent", IF(AND(D7164="Legitimate Interest (GDPR Art. 6(1)(f))", L7164=""), "Gap - Missing LIA", IF(AND(G7164="Yes", H7164=""), "Gap - Missing Art. 9 Basis", IF(OR(I7164="Invalid - Not Freely Given", I7164="Invalid - Not Specific", I7164="Invalid - Not Informed", I7164="Invalid - Ambiguous"), "Gap - Invalid Consent", "Compliant")))))</f>
        <v/>
      </c>
      <c r="O7164" s="7" t="n"/>
    </row>
    <row r="7165">
      <c r="A7165" s="7" t="n"/>
      <c r="B7165" s="7" t="n"/>
      <c r="C7165" s="7" t="n"/>
      <c r="D7165" s="7" t="n"/>
      <c r="E7165" s="7" t="n"/>
      <c r="F7165" s="7" t="n"/>
      <c r="G7165" s="7" t="n"/>
      <c r="H7165" s="7" t="n"/>
      <c r="I7165" s="7" t="n"/>
      <c r="J7165" s="7" t="n"/>
      <c r="K7165">
        <f>IF(D7165="Legitimate Interest (GDPR Art. 6(1)(f))", "Yes / Required (Sheet 3)", "")</f>
        <v/>
      </c>
      <c r="L7165" s="7" t="n"/>
      <c r="M7165" s="7" t="n"/>
      <c r="N7165">
        <f>IF(D7165="", "Gap - No Legal Basis", IF(AND(D7165="Consent (GDPR Art. 6(1)(a))", I7165="Not Captured"), "Gap - Invalid Consent", IF(AND(D7165="Legitimate Interest (GDPR Art. 6(1)(f))", L7165=""), "Gap - Missing LIA", IF(AND(G7165="Yes", H7165=""), "Gap - Missing Art. 9 Basis", IF(OR(I7165="Invalid - Not Freely Given", I7165="Invalid - Not Specific", I7165="Invalid - Not Informed", I7165="Invalid - Ambiguous"), "Gap - Invalid Consent", "Compliant")))))</f>
        <v/>
      </c>
      <c r="O7165" s="7" t="n"/>
    </row>
    <row r="7166">
      <c r="A7166" s="7" t="n"/>
      <c r="B7166" s="7" t="n"/>
      <c r="C7166" s="7" t="n"/>
      <c r="D7166" s="7" t="n"/>
      <c r="E7166" s="7" t="n"/>
      <c r="F7166" s="7" t="n"/>
      <c r="G7166" s="7" t="n"/>
      <c r="H7166" s="7" t="n"/>
      <c r="I7166" s="7" t="n"/>
      <c r="J7166" s="7" t="n"/>
      <c r="K7166">
        <f>IF(D7166="Legitimate Interest (GDPR Art. 6(1)(f))", "Yes / Required (Sheet 3)", "")</f>
        <v/>
      </c>
      <c r="L7166" s="7" t="n"/>
      <c r="M7166" s="7" t="n"/>
      <c r="N7166">
        <f>IF(D7166="", "Gap - No Legal Basis", IF(AND(D7166="Consent (GDPR Art. 6(1)(a))", I7166="Not Captured"), "Gap - Invalid Consent", IF(AND(D7166="Legitimate Interest (GDPR Art. 6(1)(f))", L7166=""), "Gap - Missing LIA", IF(AND(G7166="Yes", H7166=""), "Gap - Missing Art. 9 Basis", IF(OR(I7166="Invalid - Not Freely Given", I7166="Invalid - Not Specific", I7166="Invalid - Not Informed", I7166="Invalid - Ambiguous"), "Gap - Invalid Consent", "Compliant")))))</f>
        <v/>
      </c>
      <c r="O7166" s="7" t="n"/>
    </row>
    <row r="7167">
      <c r="A7167" s="7" t="n"/>
      <c r="B7167" s="7" t="n"/>
      <c r="C7167" s="7" t="n"/>
      <c r="D7167" s="7" t="n"/>
      <c r="E7167" s="7" t="n"/>
      <c r="F7167" s="7" t="n"/>
      <c r="G7167" s="7" t="n"/>
      <c r="H7167" s="7" t="n"/>
      <c r="I7167" s="7" t="n"/>
      <c r="J7167" s="7" t="n"/>
      <c r="K7167">
        <f>IF(D7167="Legitimate Interest (GDPR Art. 6(1)(f))", "Yes / Required (Sheet 3)", "")</f>
        <v/>
      </c>
      <c r="L7167" s="7" t="n"/>
      <c r="M7167" s="7" t="n"/>
      <c r="N7167">
        <f>IF(D7167="", "Gap - No Legal Basis", IF(AND(D7167="Consent (GDPR Art. 6(1)(a))", I7167="Not Captured"), "Gap - Invalid Consent", IF(AND(D7167="Legitimate Interest (GDPR Art. 6(1)(f))", L7167=""), "Gap - Missing LIA", IF(AND(G7167="Yes", H7167=""), "Gap - Missing Art. 9 Basis", IF(OR(I7167="Invalid - Not Freely Given", I7167="Invalid - Not Specific", I7167="Invalid - Not Informed", I7167="Invalid - Ambiguous"), "Gap - Invalid Consent", "Compliant")))))</f>
        <v/>
      </c>
      <c r="O7167" s="7" t="n"/>
    </row>
    <row r="7168">
      <c r="A7168" s="7" t="n"/>
      <c r="B7168" s="7" t="n"/>
      <c r="C7168" s="7" t="n"/>
      <c r="D7168" s="7" t="n"/>
      <c r="E7168" s="7" t="n"/>
      <c r="F7168" s="7" t="n"/>
      <c r="G7168" s="7" t="n"/>
      <c r="H7168" s="7" t="n"/>
      <c r="I7168" s="7" t="n"/>
      <c r="J7168" s="7" t="n"/>
      <c r="K7168">
        <f>IF(D7168="Legitimate Interest (GDPR Art. 6(1)(f))", "Yes / Required (Sheet 3)", "")</f>
        <v/>
      </c>
      <c r="L7168" s="7" t="n"/>
      <c r="M7168" s="7" t="n"/>
      <c r="N7168">
        <f>IF(D7168="", "Gap - No Legal Basis", IF(AND(D7168="Consent (GDPR Art. 6(1)(a))", I7168="Not Captured"), "Gap - Invalid Consent", IF(AND(D7168="Legitimate Interest (GDPR Art. 6(1)(f))", L7168=""), "Gap - Missing LIA", IF(AND(G7168="Yes", H7168=""), "Gap - Missing Art. 9 Basis", IF(OR(I7168="Invalid - Not Freely Given", I7168="Invalid - Not Specific", I7168="Invalid - Not Informed", I7168="Invalid - Ambiguous"), "Gap - Invalid Consent", "Compliant")))))</f>
        <v/>
      </c>
      <c r="O7168" s="7" t="n"/>
    </row>
    <row r="7169">
      <c r="A7169" s="7" t="n"/>
      <c r="B7169" s="7" t="n"/>
      <c r="C7169" s="7" t="n"/>
      <c r="D7169" s="7" t="n"/>
      <c r="E7169" s="7" t="n"/>
      <c r="F7169" s="7" t="n"/>
      <c r="G7169" s="7" t="n"/>
      <c r="H7169" s="7" t="n"/>
      <c r="I7169" s="7" t="n"/>
      <c r="J7169" s="7" t="n"/>
      <c r="K7169">
        <f>IF(D7169="Legitimate Interest (GDPR Art. 6(1)(f))", "Yes / Required (Sheet 3)", "")</f>
        <v/>
      </c>
      <c r="L7169" s="7" t="n"/>
      <c r="M7169" s="7" t="n"/>
      <c r="N7169">
        <f>IF(D7169="", "Gap - No Legal Basis", IF(AND(D7169="Consent (GDPR Art. 6(1)(a))", I7169="Not Captured"), "Gap - Invalid Consent", IF(AND(D7169="Legitimate Interest (GDPR Art. 6(1)(f))", L7169=""), "Gap - Missing LIA", IF(AND(G7169="Yes", H7169=""), "Gap - Missing Art. 9 Basis", IF(OR(I7169="Invalid - Not Freely Given", I7169="Invalid - Not Specific", I7169="Invalid - Not Informed", I7169="Invalid - Ambiguous"), "Gap - Invalid Consent", "Compliant")))))</f>
        <v/>
      </c>
      <c r="O7169" s="7" t="n"/>
    </row>
    <row r="7170">
      <c r="A7170" s="7" t="n"/>
      <c r="B7170" s="7" t="n"/>
      <c r="C7170" s="7" t="n"/>
      <c r="D7170" s="7" t="n"/>
      <c r="E7170" s="7" t="n"/>
      <c r="F7170" s="7" t="n"/>
      <c r="G7170" s="7" t="n"/>
      <c r="H7170" s="7" t="n"/>
      <c r="I7170" s="7" t="n"/>
      <c r="J7170" s="7" t="n"/>
      <c r="K7170">
        <f>IF(D7170="Legitimate Interest (GDPR Art. 6(1)(f))", "Yes / Required (Sheet 3)", "")</f>
        <v/>
      </c>
      <c r="L7170" s="7" t="n"/>
      <c r="M7170" s="7" t="n"/>
      <c r="N7170">
        <f>IF(D7170="", "Gap - No Legal Basis", IF(AND(D7170="Consent (GDPR Art. 6(1)(a))", I7170="Not Captured"), "Gap - Invalid Consent", IF(AND(D7170="Legitimate Interest (GDPR Art. 6(1)(f))", L7170=""), "Gap - Missing LIA", IF(AND(G7170="Yes", H7170=""), "Gap - Missing Art. 9 Basis", IF(OR(I7170="Invalid - Not Freely Given", I7170="Invalid - Not Specific", I7170="Invalid - Not Informed", I7170="Invalid - Ambiguous"), "Gap - Invalid Consent", "Compliant")))))</f>
        <v/>
      </c>
      <c r="O7170" s="7" t="n"/>
    </row>
    <row r="7171">
      <c r="A7171" s="7" t="n"/>
      <c r="B7171" s="7" t="n"/>
      <c r="C7171" s="7" t="n"/>
      <c r="D7171" s="7" t="n"/>
      <c r="E7171" s="7" t="n"/>
      <c r="F7171" s="7" t="n"/>
      <c r="G7171" s="7" t="n"/>
      <c r="H7171" s="7" t="n"/>
      <c r="I7171" s="7" t="n"/>
      <c r="J7171" s="7" t="n"/>
      <c r="K7171">
        <f>IF(D7171="Legitimate Interest (GDPR Art. 6(1)(f))", "Yes / Required (Sheet 3)", "")</f>
        <v/>
      </c>
      <c r="L7171" s="7" t="n"/>
      <c r="M7171" s="7" t="n"/>
      <c r="N7171">
        <f>IF(D7171="", "Gap - No Legal Basis", IF(AND(D7171="Consent (GDPR Art. 6(1)(a))", I7171="Not Captured"), "Gap - Invalid Consent", IF(AND(D7171="Legitimate Interest (GDPR Art. 6(1)(f))", L7171=""), "Gap - Missing LIA", IF(AND(G7171="Yes", H7171=""), "Gap - Missing Art. 9 Basis", IF(OR(I7171="Invalid - Not Freely Given", I7171="Invalid - Not Specific", I7171="Invalid - Not Informed", I7171="Invalid - Ambiguous"), "Gap - Invalid Consent", "Compliant")))))</f>
        <v/>
      </c>
      <c r="O7171" s="7" t="n"/>
    </row>
    <row r="7172">
      <c r="A7172" s="7" t="n"/>
      <c r="B7172" s="7" t="n"/>
      <c r="C7172" s="7" t="n"/>
      <c r="D7172" s="7" t="n"/>
      <c r="E7172" s="7" t="n"/>
      <c r="F7172" s="7" t="n"/>
      <c r="G7172" s="7" t="n"/>
      <c r="H7172" s="7" t="n"/>
      <c r="I7172" s="7" t="n"/>
      <c r="J7172" s="7" t="n"/>
      <c r="K7172">
        <f>IF(D7172="Legitimate Interest (GDPR Art. 6(1)(f))", "Yes / Required (Sheet 3)", "")</f>
        <v/>
      </c>
      <c r="L7172" s="7" t="n"/>
      <c r="M7172" s="7" t="n"/>
      <c r="N7172">
        <f>IF(D7172="", "Gap - No Legal Basis", IF(AND(D7172="Consent (GDPR Art. 6(1)(a))", I7172="Not Captured"), "Gap - Invalid Consent", IF(AND(D7172="Legitimate Interest (GDPR Art. 6(1)(f))", L7172=""), "Gap - Missing LIA", IF(AND(G7172="Yes", H7172=""), "Gap - Missing Art. 9 Basis", IF(OR(I7172="Invalid - Not Freely Given", I7172="Invalid - Not Specific", I7172="Invalid - Not Informed", I7172="Invalid - Ambiguous"), "Gap - Invalid Consent", "Compliant")))))</f>
        <v/>
      </c>
      <c r="O7172" s="7" t="n"/>
    </row>
    <row r="7173">
      <c r="A7173" s="7" t="n"/>
      <c r="B7173" s="7" t="n"/>
      <c r="C7173" s="7" t="n"/>
      <c r="D7173" s="7" t="n"/>
      <c r="E7173" s="7" t="n"/>
      <c r="F7173" s="7" t="n"/>
      <c r="G7173" s="7" t="n"/>
      <c r="H7173" s="7" t="n"/>
      <c r="I7173" s="7" t="n"/>
      <c r="J7173" s="7" t="n"/>
      <c r="K7173">
        <f>IF(D7173="Legitimate Interest (GDPR Art. 6(1)(f))", "Yes / Required (Sheet 3)", "")</f>
        <v/>
      </c>
      <c r="L7173" s="7" t="n"/>
      <c r="M7173" s="7" t="n"/>
      <c r="N7173">
        <f>IF(D7173="", "Gap - No Legal Basis", IF(AND(D7173="Consent (GDPR Art. 6(1)(a))", I7173="Not Captured"), "Gap - Invalid Consent", IF(AND(D7173="Legitimate Interest (GDPR Art. 6(1)(f))", L7173=""), "Gap - Missing LIA", IF(AND(G7173="Yes", H7173=""), "Gap - Missing Art. 9 Basis", IF(OR(I7173="Invalid - Not Freely Given", I7173="Invalid - Not Specific", I7173="Invalid - Not Informed", I7173="Invalid - Ambiguous"), "Gap - Invalid Consent", "Compliant")))))</f>
        <v/>
      </c>
      <c r="O7173" s="7" t="n"/>
    </row>
    <row r="7174">
      <c r="A7174" s="7" t="n"/>
      <c r="B7174" s="7" t="n"/>
      <c r="C7174" s="7" t="n"/>
      <c r="D7174" s="7" t="n"/>
      <c r="E7174" s="7" t="n"/>
      <c r="F7174" s="7" t="n"/>
      <c r="G7174" s="7" t="n"/>
      <c r="H7174" s="7" t="n"/>
      <c r="I7174" s="7" t="n"/>
      <c r="J7174" s="7" t="n"/>
      <c r="K7174">
        <f>IF(D7174="Legitimate Interest (GDPR Art. 6(1)(f))", "Yes / Required (Sheet 3)", "")</f>
        <v/>
      </c>
      <c r="L7174" s="7" t="n"/>
      <c r="M7174" s="7" t="n"/>
      <c r="N7174">
        <f>IF(D7174="", "Gap - No Legal Basis", IF(AND(D7174="Consent (GDPR Art. 6(1)(a))", I7174="Not Captured"), "Gap - Invalid Consent", IF(AND(D7174="Legitimate Interest (GDPR Art. 6(1)(f))", L7174=""), "Gap - Missing LIA", IF(AND(G7174="Yes", H7174=""), "Gap - Missing Art. 9 Basis", IF(OR(I7174="Invalid - Not Freely Given", I7174="Invalid - Not Specific", I7174="Invalid - Not Informed", I7174="Invalid - Ambiguous"), "Gap - Invalid Consent", "Compliant")))))</f>
        <v/>
      </c>
      <c r="O7174" s="7" t="n"/>
    </row>
    <row r="7175">
      <c r="A7175" s="7" t="n"/>
      <c r="B7175" s="7" t="n"/>
      <c r="C7175" s="7" t="n"/>
      <c r="D7175" s="7" t="n"/>
      <c r="E7175" s="7" t="n"/>
      <c r="F7175" s="7" t="n"/>
      <c r="G7175" s="7" t="n"/>
      <c r="H7175" s="7" t="n"/>
      <c r="I7175" s="7" t="n"/>
      <c r="J7175" s="7" t="n"/>
      <c r="K7175">
        <f>IF(D7175="Legitimate Interest (GDPR Art. 6(1)(f))", "Yes / Required (Sheet 3)", "")</f>
        <v/>
      </c>
      <c r="L7175" s="7" t="n"/>
      <c r="M7175" s="7" t="n"/>
      <c r="N7175">
        <f>IF(D7175="", "Gap - No Legal Basis", IF(AND(D7175="Consent (GDPR Art. 6(1)(a))", I7175="Not Captured"), "Gap - Invalid Consent", IF(AND(D7175="Legitimate Interest (GDPR Art. 6(1)(f))", L7175=""), "Gap - Missing LIA", IF(AND(G7175="Yes", H7175=""), "Gap - Missing Art. 9 Basis", IF(OR(I7175="Invalid - Not Freely Given", I7175="Invalid - Not Specific", I7175="Invalid - Not Informed", I7175="Invalid - Ambiguous"), "Gap - Invalid Consent", "Compliant")))))</f>
        <v/>
      </c>
      <c r="O7175" s="7" t="n"/>
    </row>
    <row r="7176">
      <c r="A7176" s="7" t="n"/>
      <c r="B7176" s="7" t="n"/>
      <c r="C7176" s="7" t="n"/>
      <c r="D7176" s="7" t="n"/>
      <c r="E7176" s="7" t="n"/>
      <c r="F7176" s="7" t="n"/>
      <c r="G7176" s="7" t="n"/>
      <c r="H7176" s="7" t="n"/>
      <c r="I7176" s="7" t="n"/>
      <c r="J7176" s="7" t="n"/>
      <c r="K7176">
        <f>IF(D7176="Legitimate Interest (GDPR Art. 6(1)(f))", "Yes / Required (Sheet 3)", "")</f>
        <v/>
      </c>
      <c r="L7176" s="7" t="n"/>
      <c r="M7176" s="7" t="n"/>
      <c r="N7176">
        <f>IF(D7176="", "Gap - No Legal Basis", IF(AND(D7176="Consent (GDPR Art. 6(1)(a))", I7176="Not Captured"), "Gap - Invalid Consent", IF(AND(D7176="Legitimate Interest (GDPR Art. 6(1)(f))", L7176=""), "Gap - Missing LIA", IF(AND(G7176="Yes", H7176=""), "Gap - Missing Art. 9 Basis", IF(OR(I7176="Invalid - Not Freely Given", I7176="Invalid - Not Specific", I7176="Invalid - Not Informed", I7176="Invalid - Ambiguous"), "Gap - Invalid Consent", "Compliant")))))</f>
        <v/>
      </c>
      <c r="O7176" s="7" t="n"/>
    </row>
    <row r="7177">
      <c r="A7177" s="7" t="n"/>
      <c r="B7177" s="7" t="n"/>
      <c r="C7177" s="7" t="n"/>
      <c r="D7177" s="7" t="n"/>
      <c r="E7177" s="7" t="n"/>
      <c r="F7177" s="7" t="n"/>
      <c r="G7177" s="7" t="n"/>
      <c r="H7177" s="7" t="n"/>
      <c r="I7177" s="7" t="n"/>
      <c r="J7177" s="7" t="n"/>
      <c r="K7177">
        <f>IF(D7177="Legitimate Interest (GDPR Art. 6(1)(f))", "Yes / Required (Sheet 3)", "")</f>
        <v/>
      </c>
      <c r="L7177" s="7" t="n"/>
      <c r="M7177" s="7" t="n"/>
      <c r="N7177">
        <f>IF(D7177="", "Gap - No Legal Basis", IF(AND(D7177="Consent (GDPR Art. 6(1)(a))", I7177="Not Captured"), "Gap - Invalid Consent", IF(AND(D7177="Legitimate Interest (GDPR Art. 6(1)(f))", L7177=""), "Gap - Missing LIA", IF(AND(G7177="Yes", H7177=""), "Gap - Missing Art. 9 Basis", IF(OR(I7177="Invalid - Not Freely Given", I7177="Invalid - Not Specific", I7177="Invalid - Not Informed", I7177="Invalid - Ambiguous"), "Gap - Invalid Consent", "Compliant")))))</f>
        <v/>
      </c>
      <c r="O7177" s="7" t="n"/>
    </row>
    <row r="7178">
      <c r="A7178" s="7" t="n"/>
      <c r="B7178" s="7" t="n"/>
      <c r="C7178" s="7" t="n"/>
      <c r="D7178" s="7" t="n"/>
      <c r="E7178" s="7" t="n"/>
      <c r="F7178" s="7" t="n"/>
      <c r="G7178" s="7" t="n"/>
      <c r="H7178" s="7" t="n"/>
      <c r="I7178" s="7" t="n"/>
      <c r="J7178" s="7" t="n"/>
      <c r="K7178">
        <f>IF(D7178="Legitimate Interest (GDPR Art. 6(1)(f))", "Yes / Required (Sheet 3)", "")</f>
        <v/>
      </c>
      <c r="L7178" s="7" t="n"/>
      <c r="M7178" s="7" t="n"/>
      <c r="N7178">
        <f>IF(D7178="", "Gap - No Legal Basis", IF(AND(D7178="Consent (GDPR Art. 6(1)(a))", I7178="Not Captured"), "Gap - Invalid Consent", IF(AND(D7178="Legitimate Interest (GDPR Art. 6(1)(f))", L7178=""), "Gap - Missing LIA", IF(AND(G7178="Yes", H7178=""), "Gap - Missing Art. 9 Basis", IF(OR(I7178="Invalid - Not Freely Given", I7178="Invalid - Not Specific", I7178="Invalid - Not Informed", I7178="Invalid - Ambiguous"), "Gap - Invalid Consent", "Compliant")))))</f>
        <v/>
      </c>
      <c r="O7178" s="7" t="n"/>
    </row>
    <row r="7179">
      <c r="A7179" s="7" t="n"/>
      <c r="B7179" s="7" t="n"/>
      <c r="C7179" s="7" t="n"/>
      <c r="D7179" s="7" t="n"/>
      <c r="E7179" s="7" t="n"/>
      <c r="F7179" s="7" t="n"/>
      <c r="G7179" s="7" t="n"/>
      <c r="H7179" s="7" t="n"/>
      <c r="I7179" s="7" t="n"/>
      <c r="J7179" s="7" t="n"/>
      <c r="K7179">
        <f>IF(D7179="Legitimate Interest (GDPR Art. 6(1)(f))", "Yes / Required (Sheet 3)", "")</f>
        <v/>
      </c>
      <c r="L7179" s="7" t="n"/>
      <c r="M7179" s="7" t="n"/>
      <c r="N7179">
        <f>IF(D7179="", "Gap - No Legal Basis", IF(AND(D7179="Consent (GDPR Art. 6(1)(a))", I7179="Not Captured"), "Gap - Invalid Consent", IF(AND(D7179="Legitimate Interest (GDPR Art. 6(1)(f))", L7179=""), "Gap - Missing LIA", IF(AND(G7179="Yes", H7179=""), "Gap - Missing Art. 9 Basis", IF(OR(I7179="Invalid - Not Freely Given", I7179="Invalid - Not Specific", I7179="Invalid - Not Informed", I7179="Invalid - Ambiguous"), "Gap - Invalid Consent", "Compliant")))))</f>
        <v/>
      </c>
      <c r="O7179" s="7" t="n"/>
    </row>
    <row r="7180">
      <c r="A7180" s="7" t="n"/>
      <c r="B7180" s="7" t="n"/>
      <c r="C7180" s="7" t="n"/>
      <c r="D7180" s="7" t="n"/>
      <c r="E7180" s="7" t="n"/>
      <c r="F7180" s="7" t="n"/>
      <c r="G7180" s="7" t="n"/>
      <c r="H7180" s="7" t="n"/>
      <c r="I7180" s="7" t="n"/>
      <c r="J7180" s="7" t="n"/>
      <c r="K7180">
        <f>IF(D7180="Legitimate Interest (GDPR Art. 6(1)(f))", "Yes / Required (Sheet 3)", "")</f>
        <v/>
      </c>
      <c r="L7180" s="7" t="n"/>
      <c r="M7180" s="7" t="n"/>
      <c r="N7180">
        <f>IF(D7180="", "Gap - No Legal Basis", IF(AND(D7180="Consent (GDPR Art. 6(1)(a))", I7180="Not Captured"), "Gap - Invalid Consent", IF(AND(D7180="Legitimate Interest (GDPR Art. 6(1)(f))", L7180=""), "Gap - Missing LIA", IF(AND(G7180="Yes", H7180=""), "Gap - Missing Art. 9 Basis", IF(OR(I7180="Invalid - Not Freely Given", I7180="Invalid - Not Specific", I7180="Invalid - Not Informed", I7180="Invalid - Ambiguous"), "Gap - Invalid Consent", "Compliant")))))</f>
        <v/>
      </c>
      <c r="O7180" s="7" t="n"/>
    </row>
    <row r="7181">
      <c r="A7181" s="7" t="n"/>
      <c r="B7181" s="7" t="n"/>
      <c r="C7181" s="7" t="n"/>
      <c r="D7181" s="7" t="n"/>
      <c r="E7181" s="7" t="n"/>
      <c r="F7181" s="7" t="n"/>
      <c r="G7181" s="7" t="n"/>
      <c r="H7181" s="7" t="n"/>
      <c r="I7181" s="7" t="n"/>
      <c r="J7181" s="7" t="n"/>
      <c r="K7181">
        <f>IF(D7181="Legitimate Interest (GDPR Art. 6(1)(f))", "Yes / Required (Sheet 3)", "")</f>
        <v/>
      </c>
      <c r="L7181" s="7" t="n"/>
      <c r="M7181" s="7" t="n"/>
      <c r="N7181">
        <f>IF(D7181="", "Gap - No Legal Basis", IF(AND(D7181="Consent (GDPR Art. 6(1)(a))", I7181="Not Captured"), "Gap - Invalid Consent", IF(AND(D7181="Legitimate Interest (GDPR Art. 6(1)(f))", L7181=""), "Gap - Missing LIA", IF(AND(G7181="Yes", H7181=""), "Gap - Missing Art. 9 Basis", IF(OR(I7181="Invalid - Not Freely Given", I7181="Invalid - Not Specific", I7181="Invalid - Not Informed", I7181="Invalid - Ambiguous"), "Gap - Invalid Consent", "Compliant")))))</f>
        <v/>
      </c>
      <c r="O7181" s="7" t="n"/>
    </row>
    <row r="7182">
      <c r="A7182" s="7" t="n"/>
      <c r="B7182" s="7" t="n"/>
      <c r="C7182" s="7" t="n"/>
      <c r="D7182" s="7" t="n"/>
      <c r="E7182" s="7" t="n"/>
      <c r="F7182" s="7" t="n"/>
      <c r="G7182" s="7" t="n"/>
      <c r="H7182" s="7" t="n"/>
      <c r="I7182" s="7" t="n"/>
      <c r="J7182" s="7" t="n"/>
      <c r="K7182">
        <f>IF(D7182="Legitimate Interest (GDPR Art. 6(1)(f))", "Yes / Required (Sheet 3)", "")</f>
        <v/>
      </c>
      <c r="L7182" s="7" t="n"/>
      <c r="M7182" s="7" t="n"/>
      <c r="N7182">
        <f>IF(D7182="", "Gap - No Legal Basis", IF(AND(D7182="Consent (GDPR Art. 6(1)(a))", I7182="Not Captured"), "Gap - Invalid Consent", IF(AND(D7182="Legitimate Interest (GDPR Art. 6(1)(f))", L7182=""), "Gap - Missing LIA", IF(AND(G7182="Yes", H7182=""), "Gap - Missing Art. 9 Basis", IF(OR(I7182="Invalid - Not Freely Given", I7182="Invalid - Not Specific", I7182="Invalid - Not Informed", I7182="Invalid - Ambiguous"), "Gap - Invalid Consent", "Compliant")))))</f>
        <v/>
      </c>
      <c r="O7182" s="7" t="n"/>
    </row>
    <row r="7183">
      <c r="A7183" s="7" t="n"/>
      <c r="B7183" s="7" t="n"/>
      <c r="C7183" s="7" t="n"/>
      <c r="D7183" s="7" t="n"/>
      <c r="E7183" s="7" t="n"/>
      <c r="F7183" s="7" t="n"/>
      <c r="G7183" s="7" t="n"/>
      <c r="H7183" s="7" t="n"/>
      <c r="I7183" s="7" t="n"/>
      <c r="J7183" s="7" t="n"/>
      <c r="K7183">
        <f>IF(D7183="Legitimate Interest (GDPR Art. 6(1)(f))", "Yes / Required (Sheet 3)", "")</f>
        <v/>
      </c>
      <c r="L7183" s="7" t="n"/>
      <c r="M7183" s="7" t="n"/>
      <c r="N7183">
        <f>IF(D7183="", "Gap - No Legal Basis", IF(AND(D7183="Consent (GDPR Art. 6(1)(a))", I7183="Not Captured"), "Gap - Invalid Consent", IF(AND(D7183="Legitimate Interest (GDPR Art. 6(1)(f))", L7183=""), "Gap - Missing LIA", IF(AND(G7183="Yes", H7183=""), "Gap - Missing Art. 9 Basis", IF(OR(I7183="Invalid - Not Freely Given", I7183="Invalid - Not Specific", I7183="Invalid - Not Informed", I7183="Invalid - Ambiguous"), "Gap - Invalid Consent", "Compliant")))))</f>
        <v/>
      </c>
      <c r="O7183" s="7" t="n"/>
    </row>
    <row r="7184">
      <c r="A7184" s="7" t="n"/>
      <c r="B7184" s="7" t="n"/>
      <c r="C7184" s="7" t="n"/>
      <c r="D7184" s="7" t="n"/>
      <c r="E7184" s="7" t="n"/>
      <c r="F7184" s="7" t="n"/>
      <c r="G7184" s="7" t="n"/>
      <c r="H7184" s="7" t="n"/>
      <c r="I7184" s="7" t="n"/>
      <c r="J7184" s="7" t="n"/>
      <c r="K7184">
        <f>IF(D7184="Legitimate Interest (GDPR Art. 6(1)(f))", "Yes / Required (Sheet 3)", "")</f>
        <v/>
      </c>
      <c r="L7184" s="7" t="n"/>
      <c r="M7184" s="7" t="n"/>
      <c r="N7184">
        <f>IF(D7184="", "Gap - No Legal Basis", IF(AND(D7184="Consent (GDPR Art. 6(1)(a))", I7184="Not Captured"), "Gap - Invalid Consent", IF(AND(D7184="Legitimate Interest (GDPR Art. 6(1)(f))", L7184=""), "Gap - Missing LIA", IF(AND(G7184="Yes", H7184=""), "Gap - Missing Art. 9 Basis", IF(OR(I7184="Invalid - Not Freely Given", I7184="Invalid - Not Specific", I7184="Invalid - Not Informed", I7184="Invalid - Ambiguous"), "Gap - Invalid Consent", "Compliant")))))</f>
        <v/>
      </c>
      <c r="O7184" s="7" t="n"/>
    </row>
    <row r="7185">
      <c r="A7185" s="7" t="n"/>
      <c r="B7185" s="7" t="n"/>
      <c r="C7185" s="7" t="n"/>
      <c r="D7185" s="7" t="n"/>
      <c r="E7185" s="7" t="n"/>
      <c r="F7185" s="7" t="n"/>
      <c r="G7185" s="7" t="n"/>
      <c r="H7185" s="7" t="n"/>
      <c r="I7185" s="7" t="n"/>
      <c r="J7185" s="7" t="n"/>
      <c r="K7185">
        <f>IF(D7185="Legitimate Interest (GDPR Art. 6(1)(f))", "Yes / Required (Sheet 3)", "")</f>
        <v/>
      </c>
      <c r="L7185" s="7" t="n"/>
      <c r="M7185" s="7" t="n"/>
      <c r="N7185">
        <f>IF(D7185="", "Gap - No Legal Basis", IF(AND(D7185="Consent (GDPR Art. 6(1)(a))", I7185="Not Captured"), "Gap - Invalid Consent", IF(AND(D7185="Legitimate Interest (GDPR Art. 6(1)(f))", L7185=""), "Gap - Missing LIA", IF(AND(G7185="Yes", H7185=""), "Gap - Missing Art. 9 Basis", IF(OR(I7185="Invalid - Not Freely Given", I7185="Invalid - Not Specific", I7185="Invalid - Not Informed", I7185="Invalid - Ambiguous"), "Gap - Invalid Consent", "Compliant")))))</f>
        <v/>
      </c>
      <c r="O7185" s="7" t="n"/>
    </row>
    <row r="7186">
      <c r="A7186" s="7" t="n"/>
      <c r="B7186" s="7" t="n"/>
      <c r="C7186" s="7" t="n"/>
      <c r="D7186" s="7" t="n"/>
      <c r="E7186" s="7" t="n"/>
      <c r="F7186" s="7" t="n"/>
      <c r="G7186" s="7" t="n"/>
      <c r="H7186" s="7" t="n"/>
      <c r="I7186" s="7" t="n"/>
      <c r="J7186" s="7" t="n"/>
      <c r="K7186">
        <f>IF(D7186="Legitimate Interest (GDPR Art. 6(1)(f))", "Yes / Required (Sheet 3)", "")</f>
        <v/>
      </c>
      <c r="L7186" s="7" t="n"/>
      <c r="M7186" s="7" t="n"/>
      <c r="N7186">
        <f>IF(D7186="", "Gap - No Legal Basis", IF(AND(D7186="Consent (GDPR Art. 6(1)(a))", I7186="Not Captured"), "Gap - Invalid Consent", IF(AND(D7186="Legitimate Interest (GDPR Art. 6(1)(f))", L7186=""), "Gap - Missing LIA", IF(AND(G7186="Yes", H7186=""), "Gap - Missing Art. 9 Basis", IF(OR(I7186="Invalid - Not Freely Given", I7186="Invalid - Not Specific", I7186="Invalid - Not Informed", I7186="Invalid - Ambiguous"), "Gap - Invalid Consent", "Compliant")))))</f>
        <v/>
      </c>
      <c r="O7186" s="7" t="n"/>
    </row>
    <row r="7187">
      <c r="A7187" s="7" t="n"/>
      <c r="B7187" s="7" t="n"/>
      <c r="C7187" s="7" t="n"/>
      <c r="D7187" s="7" t="n"/>
      <c r="E7187" s="7" t="n"/>
      <c r="F7187" s="7" t="n"/>
      <c r="G7187" s="7" t="n"/>
      <c r="H7187" s="7" t="n"/>
      <c r="I7187" s="7" t="n"/>
      <c r="J7187" s="7" t="n"/>
      <c r="K7187">
        <f>IF(D7187="Legitimate Interest (GDPR Art. 6(1)(f))", "Yes / Required (Sheet 3)", "")</f>
        <v/>
      </c>
      <c r="L7187" s="7" t="n"/>
      <c r="M7187" s="7" t="n"/>
      <c r="N7187">
        <f>IF(D7187="", "Gap - No Legal Basis", IF(AND(D7187="Consent (GDPR Art. 6(1)(a))", I7187="Not Captured"), "Gap - Invalid Consent", IF(AND(D7187="Legitimate Interest (GDPR Art. 6(1)(f))", L7187=""), "Gap - Missing LIA", IF(AND(G7187="Yes", H7187=""), "Gap - Missing Art. 9 Basis", IF(OR(I7187="Invalid - Not Freely Given", I7187="Invalid - Not Specific", I7187="Invalid - Not Informed", I7187="Invalid - Ambiguous"), "Gap - Invalid Consent", "Compliant")))))</f>
        <v/>
      </c>
      <c r="O7187" s="7" t="n"/>
    </row>
    <row r="7188">
      <c r="A7188" s="7" t="n"/>
      <c r="B7188" s="7" t="n"/>
      <c r="C7188" s="7" t="n"/>
      <c r="D7188" s="7" t="n"/>
      <c r="E7188" s="7" t="n"/>
      <c r="F7188" s="7" t="n"/>
      <c r="G7188" s="7" t="n"/>
      <c r="H7188" s="7" t="n"/>
      <c r="I7188" s="7" t="n"/>
      <c r="J7188" s="7" t="n"/>
      <c r="K7188">
        <f>IF(D7188="Legitimate Interest (GDPR Art. 6(1)(f))", "Yes / Required (Sheet 3)", "")</f>
        <v/>
      </c>
      <c r="L7188" s="7" t="n"/>
      <c r="M7188" s="7" t="n"/>
      <c r="N7188">
        <f>IF(D7188="", "Gap - No Legal Basis", IF(AND(D7188="Consent (GDPR Art. 6(1)(a))", I7188="Not Captured"), "Gap - Invalid Consent", IF(AND(D7188="Legitimate Interest (GDPR Art. 6(1)(f))", L7188=""), "Gap - Missing LIA", IF(AND(G7188="Yes", H7188=""), "Gap - Missing Art. 9 Basis", IF(OR(I7188="Invalid - Not Freely Given", I7188="Invalid - Not Specific", I7188="Invalid - Not Informed", I7188="Invalid - Ambiguous"), "Gap - Invalid Consent", "Compliant")))))</f>
        <v/>
      </c>
      <c r="O7188" s="7" t="n"/>
    </row>
    <row r="7189">
      <c r="A7189" s="7" t="n"/>
      <c r="B7189" s="7" t="n"/>
      <c r="C7189" s="7" t="n"/>
      <c r="D7189" s="7" t="n"/>
      <c r="E7189" s="7" t="n"/>
      <c r="F7189" s="7" t="n"/>
      <c r="G7189" s="7" t="n"/>
      <c r="H7189" s="7" t="n"/>
      <c r="I7189" s="7" t="n"/>
      <c r="J7189" s="7" t="n"/>
      <c r="K7189">
        <f>IF(D7189="Legitimate Interest (GDPR Art. 6(1)(f))", "Yes / Required (Sheet 3)", "")</f>
        <v/>
      </c>
      <c r="L7189" s="7" t="n"/>
      <c r="M7189" s="7" t="n"/>
      <c r="N7189">
        <f>IF(D7189="", "Gap - No Legal Basis", IF(AND(D7189="Consent (GDPR Art. 6(1)(a))", I7189="Not Captured"), "Gap - Invalid Consent", IF(AND(D7189="Legitimate Interest (GDPR Art. 6(1)(f))", L7189=""), "Gap - Missing LIA", IF(AND(G7189="Yes", H7189=""), "Gap - Missing Art. 9 Basis", IF(OR(I7189="Invalid - Not Freely Given", I7189="Invalid - Not Specific", I7189="Invalid - Not Informed", I7189="Invalid - Ambiguous"), "Gap - Invalid Consent", "Compliant")))))</f>
        <v/>
      </c>
      <c r="O7189" s="7" t="n"/>
    </row>
    <row r="7190">
      <c r="A7190" s="7" t="n"/>
      <c r="B7190" s="7" t="n"/>
      <c r="C7190" s="7" t="n"/>
      <c r="D7190" s="7" t="n"/>
      <c r="E7190" s="7" t="n"/>
      <c r="F7190" s="7" t="n"/>
      <c r="G7190" s="7" t="n"/>
      <c r="H7190" s="7" t="n"/>
      <c r="I7190" s="7" t="n"/>
      <c r="J7190" s="7" t="n"/>
      <c r="K7190">
        <f>IF(D7190="Legitimate Interest (GDPR Art. 6(1)(f))", "Yes / Required (Sheet 3)", "")</f>
        <v/>
      </c>
      <c r="L7190" s="7" t="n"/>
      <c r="M7190" s="7" t="n"/>
      <c r="N7190">
        <f>IF(D7190="", "Gap - No Legal Basis", IF(AND(D7190="Consent (GDPR Art. 6(1)(a))", I7190="Not Captured"), "Gap - Invalid Consent", IF(AND(D7190="Legitimate Interest (GDPR Art. 6(1)(f))", L7190=""), "Gap - Missing LIA", IF(AND(G7190="Yes", H7190=""), "Gap - Missing Art. 9 Basis", IF(OR(I7190="Invalid - Not Freely Given", I7190="Invalid - Not Specific", I7190="Invalid - Not Informed", I7190="Invalid - Ambiguous"), "Gap - Invalid Consent", "Compliant")))))</f>
        <v/>
      </c>
      <c r="O7190" s="7" t="n"/>
    </row>
    <row r="7191">
      <c r="A7191" s="7" t="n"/>
      <c r="B7191" s="7" t="n"/>
      <c r="C7191" s="7" t="n"/>
      <c r="D7191" s="7" t="n"/>
      <c r="E7191" s="7" t="n"/>
      <c r="F7191" s="7" t="n"/>
      <c r="G7191" s="7" t="n"/>
      <c r="H7191" s="7" t="n"/>
      <c r="I7191" s="7" t="n"/>
      <c r="J7191" s="7" t="n"/>
      <c r="K7191">
        <f>IF(D7191="Legitimate Interest (GDPR Art. 6(1)(f))", "Yes / Required (Sheet 3)", "")</f>
        <v/>
      </c>
      <c r="L7191" s="7" t="n"/>
      <c r="M7191" s="7" t="n"/>
      <c r="N7191">
        <f>IF(D7191="", "Gap - No Legal Basis", IF(AND(D7191="Consent (GDPR Art. 6(1)(a))", I7191="Not Captured"), "Gap - Invalid Consent", IF(AND(D7191="Legitimate Interest (GDPR Art. 6(1)(f))", L7191=""), "Gap - Missing LIA", IF(AND(G7191="Yes", H7191=""), "Gap - Missing Art. 9 Basis", IF(OR(I7191="Invalid - Not Freely Given", I7191="Invalid - Not Specific", I7191="Invalid - Not Informed", I7191="Invalid - Ambiguous"), "Gap - Invalid Consent", "Compliant")))))</f>
        <v/>
      </c>
      <c r="O7191" s="7" t="n"/>
    </row>
    <row r="7192">
      <c r="A7192" s="7" t="n"/>
      <c r="B7192" s="7" t="n"/>
      <c r="C7192" s="7" t="n"/>
      <c r="D7192" s="7" t="n"/>
      <c r="E7192" s="7" t="n"/>
      <c r="F7192" s="7" t="n"/>
      <c r="G7192" s="7" t="n"/>
      <c r="H7192" s="7" t="n"/>
      <c r="I7192" s="7" t="n"/>
      <c r="J7192" s="7" t="n"/>
      <c r="K7192">
        <f>IF(D7192="Legitimate Interest (GDPR Art. 6(1)(f))", "Yes / Required (Sheet 3)", "")</f>
        <v/>
      </c>
      <c r="L7192" s="7" t="n"/>
      <c r="M7192" s="7" t="n"/>
      <c r="N7192">
        <f>IF(D7192="", "Gap - No Legal Basis", IF(AND(D7192="Consent (GDPR Art. 6(1)(a))", I7192="Not Captured"), "Gap - Invalid Consent", IF(AND(D7192="Legitimate Interest (GDPR Art. 6(1)(f))", L7192=""), "Gap - Missing LIA", IF(AND(G7192="Yes", H7192=""), "Gap - Missing Art. 9 Basis", IF(OR(I7192="Invalid - Not Freely Given", I7192="Invalid - Not Specific", I7192="Invalid - Not Informed", I7192="Invalid - Ambiguous"), "Gap - Invalid Consent", "Compliant")))))</f>
        <v/>
      </c>
      <c r="O7192" s="7" t="n"/>
    </row>
    <row r="7193">
      <c r="A7193" s="7" t="n"/>
      <c r="B7193" s="7" t="n"/>
      <c r="C7193" s="7" t="n"/>
      <c r="D7193" s="7" t="n"/>
      <c r="E7193" s="7" t="n"/>
      <c r="F7193" s="7" t="n"/>
      <c r="G7193" s="7" t="n"/>
      <c r="H7193" s="7" t="n"/>
      <c r="I7193" s="7" t="n"/>
      <c r="J7193" s="7" t="n"/>
      <c r="K7193">
        <f>IF(D7193="Legitimate Interest (GDPR Art. 6(1)(f))", "Yes / Required (Sheet 3)", "")</f>
        <v/>
      </c>
      <c r="L7193" s="7" t="n"/>
      <c r="M7193" s="7" t="n"/>
      <c r="N7193">
        <f>IF(D7193="", "Gap - No Legal Basis", IF(AND(D7193="Consent (GDPR Art. 6(1)(a))", I7193="Not Captured"), "Gap - Invalid Consent", IF(AND(D7193="Legitimate Interest (GDPR Art. 6(1)(f))", L7193=""), "Gap - Missing LIA", IF(AND(G7193="Yes", H7193=""), "Gap - Missing Art. 9 Basis", IF(OR(I7193="Invalid - Not Freely Given", I7193="Invalid - Not Specific", I7193="Invalid - Not Informed", I7193="Invalid - Ambiguous"), "Gap - Invalid Consent", "Compliant")))))</f>
        <v/>
      </c>
      <c r="O7193" s="7" t="n"/>
    </row>
    <row r="7194">
      <c r="A7194" s="7" t="n"/>
      <c r="B7194" s="7" t="n"/>
      <c r="C7194" s="7" t="n"/>
      <c r="D7194" s="7" t="n"/>
      <c r="E7194" s="7" t="n"/>
      <c r="F7194" s="7" t="n"/>
      <c r="G7194" s="7" t="n"/>
      <c r="H7194" s="7" t="n"/>
      <c r="I7194" s="7" t="n"/>
      <c r="J7194" s="7" t="n"/>
      <c r="K7194">
        <f>IF(D7194="Legitimate Interest (GDPR Art. 6(1)(f))", "Yes / Required (Sheet 3)", "")</f>
        <v/>
      </c>
      <c r="L7194" s="7" t="n"/>
      <c r="M7194" s="7" t="n"/>
      <c r="N7194">
        <f>IF(D7194="", "Gap - No Legal Basis", IF(AND(D7194="Consent (GDPR Art. 6(1)(a))", I7194="Not Captured"), "Gap - Invalid Consent", IF(AND(D7194="Legitimate Interest (GDPR Art. 6(1)(f))", L7194=""), "Gap - Missing LIA", IF(AND(G7194="Yes", H7194=""), "Gap - Missing Art. 9 Basis", IF(OR(I7194="Invalid - Not Freely Given", I7194="Invalid - Not Specific", I7194="Invalid - Not Informed", I7194="Invalid - Ambiguous"), "Gap - Invalid Consent", "Compliant")))))</f>
        <v/>
      </c>
      <c r="O7194" s="7" t="n"/>
    </row>
    <row r="7195">
      <c r="A7195" s="7" t="n"/>
      <c r="B7195" s="7" t="n"/>
      <c r="C7195" s="7" t="n"/>
      <c r="D7195" s="7" t="n"/>
      <c r="E7195" s="7" t="n"/>
      <c r="F7195" s="7" t="n"/>
      <c r="G7195" s="7" t="n"/>
      <c r="H7195" s="7" t="n"/>
      <c r="I7195" s="7" t="n"/>
      <c r="J7195" s="7" t="n"/>
      <c r="K7195">
        <f>IF(D7195="Legitimate Interest (GDPR Art. 6(1)(f))", "Yes / Required (Sheet 3)", "")</f>
        <v/>
      </c>
      <c r="L7195" s="7" t="n"/>
      <c r="M7195" s="7" t="n"/>
      <c r="N7195">
        <f>IF(D7195="", "Gap - No Legal Basis", IF(AND(D7195="Consent (GDPR Art. 6(1)(a))", I7195="Not Captured"), "Gap - Invalid Consent", IF(AND(D7195="Legitimate Interest (GDPR Art. 6(1)(f))", L7195=""), "Gap - Missing LIA", IF(AND(G7195="Yes", H7195=""), "Gap - Missing Art. 9 Basis", IF(OR(I7195="Invalid - Not Freely Given", I7195="Invalid - Not Specific", I7195="Invalid - Not Informed", I7195="Invalid - Ambiguous"), "Gap - Invalid Consent", "Compliant")))))</f>
        <v/>
      </c>
      <c r="O7195" s="7" t="n"/>
    </row>
    <row r="7196">
      <c r="A7196" s="7" t="n"/>
      <c r="B7196" s="7" t="n"/>
      <c r="C7196" s="7" t="n"/>
      <c r="D7196" s="7" t="n"/>
      <c r="E7196" s="7" t="n"/>
      <c r="F7196" s="7" t="n"/>
      <c r="G7196" s="7" t="n"/>
      <c r="H7196" s="7" t="n"/>
      <c r="I7196" s="7" t="n"/>
      <c r="J7196" s="7" t="n"/>
      <c r="K7196">
        <f>IF(D7196="Legitimate Interest (GDPR Art. 6(1)(f))", "Yes / Required (Sheet 3)", "")</f>
        <v/>
      </c>
      <c r="L7196" s="7" t="n"/>
      <c r="M7196" s="7" t="n"/>
      <c r="N7196">
        <f>IF(D7196="", "Gap - No Legal Basis", IF(AND(D7196="Consent (GDPR Art. 6(1)(a))", I7196="Not Captured"), "Gap - Invalid Consent", IF(AND(D7196="Legitimate Interest (GDPR Art. 6(1)(f))", L7196=""), "Gap - Missing LIA", IF(AND(G7196="Yes", H7196=""), "Gap - Missing Art. 9 Basis", IF(OR(I7196="Invalid - Not Freely Given", I7196="Invalid - Not Specific", I7196="Invalid - Not Informed", I7196="Invalid - Ambiguous"), "Gap - Invalid Consent", "Compliant")))))</f>
        <v/>
      </c>
      <c r="O7196" s="7" t="n"/>
    </row>
    <row r="7197">
      <c r="A7197" s="7" t="n"/>
      <c r="B7197" s="7" t="n"/>
      <c r="C7197" s="7" t="n"/>
      <c r="D7197" s="7" t="n"/>
      <c r="E7197" s="7" t="n"/>
      <c r="F7197" s="7" t="n"/>
      <c r="G7197" s="7" t="n"/>
      <c r="H7197" s="7" t="n"/>
      <c r="I7197" s="7" t="n"/>
      <c r="J7197" s="7" t="n"/>
      <c r="K7197">
        <f>IF(D7197="Legitimate Interest (GDPR Art. 6(1)(f))", "Yes / Required (Sheet 3)", "")</f>
        <v/>
      </c>
      <c r="L7197" s="7" t="n"/>
      <c r="M7197" s="7" t="n"/>
      <c r="N7197">
        <f>IF(D7197="", "Gap - No Legal Basis", IF(AND(D7197="Consent (GDPR Art. 6(1)(a))", I7197="Not Captured"), "Gap - Invalid Consent", IF(AND(D7197="Legitimate Interest (GDPR Art. 6(1)(f))", L7197=""), "Gap - Missing LIA", IF(AND(G7197="Yes", H7197=""), "Gap - Missing Art. 9 Basis", IF(OR(I7197="Invalid - Not Freely Given", I7197="Invalid - Not Specific", I7197="Invalid - Not Informed", I7197="Invalid - Ambiguous"), "Gap - Invalid Consent", "Compliant")))))</f>
        <v/>
      </c>
      <c r="O7197" s="7" t="n"/>
    </row>
    <row r="7198">
      <c r="A7198" s="7" t="n"/>
      <c r="B7198" s="7" t="n"/>
      <c r="C7198" s="7" t="n"/>
      <c r="D7198" s="7" t="n"/>
      <c r="E7198" s="7" t="n"/>
      <c r="F7198" s="7" t="n"/>
      <c r="G7198" s="7" t="n"/>
      <c r="H7198" s="7" t="n"/>
      <c r="I7198" s="7" t="n"/>
      <c r="J7198" s="7" t="n"/>
      <c r="K7198">
        <f>IF(D7198="Legitimate Interest (GDPR Art. 6(1)(f))", "Yes / Required (Sheet 3)", "")</f>
        <v/>
      </c>
      <c r="L7198" s="7" t="n"/>
      <c r="M7198" s="7" t="n"/>
      <c r="N7198">
        <f>IF(D7198="", "Gap - No Legal Basis", IF(AND(D7198="Consent (GDPR Art. 6(1)(a))", I7198="Not Captured"), "Gap - Invalid Consent", IF(AND(D7198="Legitimate Interest (GDPR Art. 6(1)(f))", L7198=""), "Gap - Missing LIA", IF(AND(G7198="Yes", H7198=""), "Gap - Missing Art. 9 Basis", IF(OR(I7198="Invalid - Not Freely Given", I7198="Invalid - Not Specific", I7198="Invalid - Not Informed", I7198="Invalid - Ambiguous"), "Gap - Invalid Consent", "Compliant")))))</f>
        <v/>
      </c>
      <c r="O7198" s="7" t="n"/>
    </row>
    <row r="7199">
      <c r="A7199" s="7" t="n"/>
      <c r="B7199" s="7" t="n"/>
      <c r="C7199" s="7" t="n"/>
      <c r="D7199" s="7" t="n"/>
      <c r="E7199" s="7" t="n"/>
      <c r="F7199" s="7" t="n"/>
      <c r="G7199" s="7" t="n"/>
      <c r="H7199" s="7" t="n"/>
      <c r="I7199" s="7" t="n"/>
      <c r="J7199" s="7" t="n"/>
      <c r="K7199">
        <f>IF(D7199="Legitimate Interest (GDPR Art. 6(1)(f))", "Yes / Required (Sheet 3)", "")</f>
        <v/>
      </c>
      <c r="L7199" s="7" t="n"/>
      <c r="M7199" s="7" t="n"/>
      <c r="N7199">
        <f>IF(D7199="", "Gap - No Legal Basis", IF(AND(D7199="Consent (GDPR Art. 6(1)(a))", I7199="Not Captured"), "Gap - Invalid Consent", IF(AND(D7199="Legitimate Interest (GDPR Art. 6(1)(f))", L7199=""), "Gap - Missing LIA", IF(AND(G7199="Yes", H7199=""), "Gap - Missing Art. 9 Basis", IF(OR(I7199="Invalid - Not Freely Given", I7199="Invalid - Not Specific", I7199="Invalid - Not Informed", I7199="Invalid - Ambiguous"), "Gap - Invalid Consent", "Compliant")))))</f>
        <v/>
      </c>
      <c r="O7199" s="7" t="n"/>
    </row>
    <row r="7200">
      <c r="A7200" s="7" t="n"/>
      <c r="B7200" s="7" t="n"/>
      <c r="C7200" s="7" t="n"/>
      <c r="D7200" s="7" t="n"/>
      <c r="E7200" s="7" t="n"/>
      <c r="F7200" s="7" t="n"/>
      <c r="G7200" s="7" t="n"/>
      <c r="H7200" s="7" t="n"/>
      <c r="I7200" s="7" t="n"/>
      <c r="J7200" s="7" t="n"/>
      <c r="K7200">
        <f>IF(D7200="Legitimate Interest (GDPR Art. 6(1)(f))", "Yes / Required (Sheet 3)", "")</f>
        <v/>
      </c>
      <c r="L7200" s="7" t="n"/>
      <c r="M7200" s="7" t="n"/>
      <c r="N7200">
        <f>IF(D7200="", "Gap - No Legal Basis", IF(AND(D7200="Consent (GDPR Art. 6(1)(a))", I7200="Not Captured"), "Gap - Invalid Consent", IF(AND(D7200="Legitimate Interest (GDPR Art. 6(1)(f))", L7200=""), "Gap - Missing LIA", IF(AND(G7200="Yes", H7200=""), "Gap - Missing Art. 9 Basis", IF(OR(I7200="Invalid - Not Freely Given", I7200="Invalid - Not Specific", I7200="Invalid - Not Informed", I7200="Invalid - Ambiguous"), "Gap - Invalid Consent", "Compliant")))))</f>
        <v/>
      </c>
      <c r="O7200" s="7" t="n"/>
    </row>
    <row r="7201">
      <c r="A7201" s="7" t="n"/>
      <c r="B7201" s="7" t="n"/>
      <c r="C7201" s="7" t="n"/>
      <c r="D7201" s="7" t="n"/>
      <c r="E7201" s="7" t="n"/>
      <c r="F7201" s="7" t="n"/>
      <c r="G7201" s="7" t="n"/>
      <c r="H7201" s="7" t="n"/>
      <c r="I7201" s="7" t="n"/>
      <c r="J7201" s="7" t="n"/>
      <c r="K7201">
        <f>IF(D7201="Legitimate Interest (GDPR Art. 6(1)(f))", "Yes / Required (Sheet 3)", "")</f>
        <v/>
      </c>
      <c r="L7201" s="7" t="n"/>
      <c r="M7201" s="7" t="n"/>
      <c r="N7201">
        <f>IF(D7201="", "Gap - No Legal Basis", IF(AND(D7201="Consent (GDPR Art. 6(1)(a))", I7201="Not Captured"), "Gap - Invalid Consent", IF(AND(D7201="Legitimate Interest (GDPR Art. 6(1)(f))", L7201=""), "Gap - Missing LIA", IF(AND(G7201="Yes", H7201=""), "Gap - Missing Art. 9 Basis", IF(OR(I7201="Invalid - Not Freely Given", I7201="Invalid - Not Specific", I7201="Invalid - Not Informed", I7201="Invalid - Ambiguous"), "Gap - Invalid Consent", "Compliant")))))</f>
        <v/>
      </c>
      <c r="O7201" s="7" t="n"/>
    </row>
    <row r="7202">
      <c r="A7202" s="7" t="n"/>
      <c r="B7202" s="7" t="n"/>
      <c r="C7202" s="7" t="n"/>
      <c r="D7202" s="7" t="n"/>
      <c r="E7202" s="7" t="n"/>
      <c r="F7202" s="7" t="n"/>
      <c r="G7202" s="7" t="n"/>
      <c r="H7202" s="7" t="n"/>
      <c r="I7202" s="7" t="n"/>
      <c r="J7202" s="7" t="n"/>
      <c r="K7202">
        <f>IF(D7202="Legitimate Interest (GDPR Art. 6(1)(f))", "Yes / Required (Sheet 3)", "")</f>
        <v/>
      </c>
      <c r="L7202" s="7" t="n"/>
      <c r="M7202" s="7" t="n"/>
      <c r="N7202">
        <f>IF(D7202="", "Gap - No Legal Basis", IF(AND(D7202="Consent (GDPR Art. 6(1)(a))", I7202="Not Captured"), "Gap - Invalid Consent", IF(AND(D7202="Legitimate Interest (GDPR Art. 6(1)(f))", L7202=""), "Gap - Missing LIA", IF(AND(G7202="Yes", H7202=""), "Gap - Missing Art. 9 Basis", IF(OR(I7202="Invalid - Not Freely Given", I7202="Invalid - Not Specific", I7202="Invalid - Not Informed", I7202="Invalid - Ambiguous"), "Gap - Invalid Consent", "Compliant")))))</f>
        <v/>
      </c>
      <c r="O7202" s="7" t="n"/>
    </row>
    <row r="7203">
      <c r="A7203" s="7" t="n"/>
      <c r="B7203" s="7" t="n"/>
      <c r="C7203" s="7" t="n"/>
      <c r="D7203" s="7" t="n"/>
      <c r="E7203" s="7" t="n"/>
      <c r="F7203" s="7" t="n"/>
      <c r="G7203" s="7" t="n"/>
      <c r="H7203" s="7" t="n"/>
      <c r="I7203" s="7" t="n"/>
      <c r="J7203" s="7" t="n"/>
      <c r="K7203">
        <f>IF(D7203="Legitimate Interest (GDPR Art. 6(1)(f))", "Yes / Required (Sheet 3)", "")</f>
        <v/>
      </c>
      <c r="L7203" s="7" t="n"/>
      <c r="M7203" s="7" t="n"/>
      <c r="N7203">
        <f>IF(D7203="", "Gap - No Legal Basis", IF(AND(D7203="Consent (GDPR Art. 6(1)(a))", I7203="Not Captured"), "Gap - Invalid Consent", IF(AND(D7203="Legitimate Interest (GDPR Art. 6(1)(f))", L7203=""), "Gap - Missing LIA", IF(AND(G7203="Yes", H7203=""), "Gap - Missing Art. 9 Basis", IF(OR(I7203="Invalid - Not Freely Given", I7203="Invalid - Not Specific", I7203="Invalid - Not Informed", I7203="Invalid - Ambiguous"), "Gap - Invalid Consent", "Compliant")))))</f>
        <v/>
      </c>
      <c r="O7203" s="7" t="n"/>
    </row>
    <row r="7204">
      <c r="A7204" s="7" t="n"/>
      <c r="B7204" s="7" t="n"/>
      <c r="C7204" s="7" t="n"/>
      <c r="D7204" s="7" t="n"/>
      <c r="E7204" s="7" t="n"/>
      <c r="F7204" s="7" t="n"/>
      <c r="G7204" s="7" t="n"/>
      <c r="H7204" s="7" t="n"/>
      <c r="I7204" s="7" t="n"/>
      <c r="J7204" s="7" t="n"/>
      <c r="K7204">
        <f>IF(D7204="Legitimate Interest (GDPR Art. 6(1)(f))", "Yes / Required (Sheet 3)", "")</f>
        <v/>
      </c>
      <c r="L7204" s="7" t="n"/>
      <c r="M7204" s="7" t="n"/>
      <c r="N7204">
        <f>IF(D7204="", "Gap - No Legal Basis", IF(AND(D7204="Consent (GDPR Art. 6(1)(a))", I7204="Not Captured"), "Gap - Invalid Consent", IF(AND(D7204="Legitimate Interest (GDPR Art. 6(1)(f))", L7204=""), "Gap - Missing LIA", IF(AND(G7204="Yes", H7204=""), "Gap - Missing Art. 9 Basis", IF(OR(I7204="Invalid - Not Freely Given", I7204="Invalid - Not Specific", I7204="Invalid - Not Informed", I7204="Invalid - Ambiguous"), "Gap - Invalid Consent", "Compliant")))))</f>
        <v/>
      </c>
      <c r="O7204" s="7" t="n"/>
    </row>
    <row r="7205">
      <c r="A7205" s="7" t="n"/>
      <c r="B7205" s="7" t="n"/>
      <c r="C7205" s="7" t="n"/>
      <c r="D7205" s="7" t="n"/>
      <c r="E7205" s="7" t="n"/>
      <c r="F7205" s="7" t="n"/>
      <c r="G7205" s="7" t="n"/>
      <c r="H7205" s="7" t="n"/>
      <c r="I7205" s="7" t="n"/>
      <c r="J7205" s="7" t="n"/>
      <c r="K7205">
        <f>IF(D7205="Legitimate Interest (GDPR Art. 6(1)(f))", "Yes / Required (Sheet 3)", "")</f>
        <v/>
      </c>
      <c r="L7205" s="7" t="n"/>
      <c r="M7205" s="7" t="n"/>
      <c r="N7205">
        <f>IF(D7205="", "Gap - No Legal Basis", IF(AND(D7205="Consent (GDPR Art. 6(1)(a))", I7205="Not Captured"), "Gap - Invalid Consent", IF(AND(D7205="Legitimate Interest (GDPR Art. 6(1)(f))", L7205=""), "Gap - Missing LIA", IF(AND(G7205="Yes", H7205=""), "Gap - Missing Art. 9 Basis", IF(OR(I7205="Invalid - Not Freely Given", I7205="Invalid - Not Specific", I7205="Invalid - Not Informed", I7205="Invalid - Ambiguous"), "Gap - Invalid Consent", "Compliant")))))</f>
        <v/>
      </c>
      <c r="O7205" s="7" t="n"/>
    </row>
    <row r="7206">
      <c r="A7206" s="7" t="n"/>
      <c r="B7206" s="7" t="n"/>
      <c r="C7206" s="7" t="n"/>
      <c r="D7206" s="7" t="n"/>
      <c r="E7206" s="7" t="n"/>
      <c r="F7206" s="7" t="n"/>
      <c r="G7206" s="7" t="n"/>
      <c r="H7206" s="7" t="n"/>
      <c r="I7206" s="7" t="n"/>
      <c r="J7206" s="7" t="n"/>
      <c r="K7206">
        <f>IF(D7206="Legitimate Interest (GDPR Art. 6(1)(f))", "Yes / Required (Sheet 3)", "")</f>
        <v/>
      </c>
      <c r="L7206" s="7" t="n"/>
      <c r="M7206" s="7" t="n"/>
      <c r="N7206">
        <f>IF(D7206="", "Gap - No Legal Basis", IF(AND(D7206="Consent (GDPR Art. 6(1)(a))", I7206="Not Captured"), "Gap - Invalid Consent", IF(AND(D7206="Legitimate Interest (GDPR Art. 6(1)(f))", L7206=""), "Gap - Missing LIA", IF(AND(G7206="Yes", H7206=""), "Gap - Missing Art. 9 Basis", IF(OR(I7206="Invalid - Not Freely Given", I7206="Invalid - Not Specific", I7206="Invalid - Not Informed", I7206="Invalid - Ambiguous"), "Gap - Invalid Consent", "Compliant")))))</f>
        <v/>
      </c>
      <c r="O7206" s="7" t="n"/>
    </row>
    <row r="7207">
      <c r="A7207" s="7" t="n"/>
      <c r="B7207" s="7" t="n"/>
      <c r="C7207" s="7" t="n"/>
      <c r="D7207" s="7" t="n"/>
      <c r="E7207" s="7" t="n"/>
      <c r="F7207" s="7" t="n"/>
      <c r="G7207" s="7" t="n"/>
      <c r="H7207" s="7" t="n"/>
      <c r="I7207" s="7" t="n"/>
      <c r="J7207" s="7" t="n"/>
      <c r="K7207">
        <f>IF(D7207="Legitimate Interest (GDPR Art. 6(1)(f))", "Yes / Required (Sheet 3)", "")</f>
        <v/>
      </c>
      <c r="L7207" s="7" t="n"/>
      <c r="M7207" s="7" t="n"/>
      <c r="N7207">
        <f>IF(D7207="", "Gap - No Legal Basis", IF(AND(D7207="Consent (GDPR Art. 6(1)(a))", I7207="Not Captured"), "Gap - Invalid Consent", IF(AND(D7207="Legitimate Interest (GDPR Art. 6(1)(f))", L7207=""), "Gap - Missing LIA", IF(AND(G7207="Yes", H7207=""), "Gap - Missing Art. 9 Basis", IF(OR(I7207="Invalid - Not Freely Given", I7207="Invalid - Not Specific", I7207="Invalid - Not Informed", I7207="Invalid - Ambiguous"), "Gap - Invalid Consent", "Compliant")))))</f>
        <v/>
      </c>
      <c r="O7207" s="7" t="n"/>
    </row>
    <row r="7208">
      <c r="A7208" s="7" t="n"/>
      <c r="B7208" s="7" t="n"/>
      <c r="C7208" s="7" t="n"/>
      <c r="D7208" s="7" t="n"/>
      <c r="E7208" s="7" t="n"/>
      <c r="F7208" s="7" t="n"/>
      <c r="G7208" s="7" t="n"/>
      <c r="H7208" s="7" t="n"/>
      <c r="I7208" s="7" t="n"/>
      <c r="J7208" s="7" t="n"/>
      <c r="K7208">
        <f>IF(D7208="Legitimate Interest (GDPR Art. 6(1)(f))", "Yes / Required (Sheet 3)", "")</f>
        <v/>
      </c>
      <c r="L7208" s="7" t="n"/>
      <c r="M7208" s="7" t="n"/>
      <c r="N7208">
        <f>IF(D7208="", "Gap - No Legal Basis", IF(AND(D7208="Consent (GDPR Art. 6(1)(a))", I7208="Not Captured"), "Gap - Invalid Consent", IF(AND(D7208="Legitimate Interest (GDPR Art. 6(1)(f))", L7208=""), "Gap - Missing LIA", IF(AND(G7208="Yes", H7208=""), "Gap - Missing Art. 9 Basis", IF(OR(I7208="Invalid - Not Freely Given", I7208="Invalid - Not Specific", I7208="Invalid - Not Informed", I7208="Invalid - Ambiguous"), "Gap - Invalid Consent", "Compliant")))))</f>
        <v/>
      </c>
      <c r="O7208" s="7" t="n"/>
    </row>
    <row r="7209">
      <c r="A7209" s="7" t="n"/>
      <c r="B7209" s="7" t="n"/>
      <c r="C7209" s="7" t="n"/>
      <c r="D7209" s="7" t="n"/>
      <c r="E7209" s="7" t="n"/>
      <c r="F7209" s="7" t="n"/>
      <c r="G7209" s="7" t="n"/>
      <c r="H7209" s="7" t="n"/>
      <c r="I7209" s="7" t="n"/>
      <c r="J7209" s="7" t="n"/>
      <c r="K7209">
        <f>IF(D7209="Legitimate Interest (GDPR Art. 6(1)(f))", "Yes / Required (Sheet 3)", "")</f>
        <v/>
      </c>
      <c r="L7209" s="7" t="n"/>
      <c r="M7209" s="7" t="n"/>
      <c r="N7209">
        <f>IF(D7209="", "Gap - No Legal Basis", IF(AND(D7209="Consent (GDPR Art. 6(1)(a))", I7209="Not Captured"), "Gap - Invalid Consent", IF(AND(D7209="Legitimate Interest (GDPR Art. 6(1)(f))", L7209=""), "Gap - Missing LIA", IF(AND(G7209="Yes", H7209=""), "Gap - Missing Art. 9 Basis", IF(OR(I7209="Invalid - Not Freely Given", I7209="Invalid - Not Specific", I7209="Invalid - Not Informed", I7209="Invalid - Ambiguous"), "Gap - Invalid Consent", "Compliant")))))</f>
        <v/>
      </c>
      <c r="O7209" s="7" t="n"/>
    </row>
    <row r="7210">
      <c r="A7210" s="7" t="n"/>
      <c r="B7210" s="7" t="n"/>
      <c r="C7210" s="7" t="n"/>
      <c r="D7210" s="7" t="n"/>
      <c r="E7210" s="7" t="n"/>
      <c r="F7210" s="7" t="n"/>
      <c r="G7210" s="7" t="n"/>
      <c r="H7210" s="7" t="n"/>
      <c r="I7210" s="7" t="n"/>
      <c r="J7210" s="7" t="n"/>
      <c r="K7210">
        <f>IF(D7210="Legitimate Interest (GDPR Art. 6(1)(f))", "Yes / Required (Sheet 3)", "")</f>
        <v/>
      </c>
      <c r="L7210" s="7" t="n"/>
      <c r="M7210" s="7" t="n"/>
      <c r="N7210">
        <f>IF(D7210="", "Gap - No Legal Basis", IF(AND(D7210="Consent (GDPR Art. 6(1)(a))", I7210="Not Captured"), "Gap - Invalid Consent", IF(AND(D7210="Legitimate Interest (GDPR Art. 6(1)(f))", L7210=""), "Gap - Missing LIA", IF(AND(G7210="Yes", H7210=""), "Gap - Missing Art. 9 Basis", IF(OR(I7210="Invalid - Not Freely Given", I7210="Invalid - Not Specific", I7210="Invalid - Not Informed", I7210="Invalid - Ambiguous"), "Gap - Invalid Consent", "Compliant")))))</f>
        <v/>
      </c>
      <c r="O7210" s="7" t="n"/>
    </row>
    <row r="7211">
      <c r="A7211" s="7" t="n"/>
      <c r="B7211" s="7" t="n"/>
      <c r="C7211" s="7" t="n"/>
      <c r="D7211" s="7" t="n"/>
      <c r="E7211" s="7" t="n"/>
      <c r="F7211" s="7" t="n"/>
      <c r="G7211" s="7" t="n"/>
      <c r="H7211" s="7" t="n"/>
      <c r="I7211" s="7" t="n"/>
      <c r="J7211" s="7" t="n"/>
      <c r="K7211">
        <f>IF(D7211="Legitimate Interest (GDPR Art. 6(1)(f))", "Yes / Required (Sheet 3)", "")</f>
        <v/>
      </c>
      <c r="L7211" s="7" t="n"/>
      <c r="M7211" s="7" t="n"/>
      <c r="N7211">
        <f>IF(D7211="", "Gap - No Legal Basis", IF(AND(D7211="Consent (GDPR Art. 6(1)(a))", I7211="Not Captured"), "Gap - Invalid Consent", IF(AND(D7211="Legitimate Interest (GDPR Art. 6(1)(f))", L7211=""), "Gap - Missing LIA", IF(AND(G7211="Yes", H7211=""), "Gap - Missing Art. 9 Basis", IF(OR(I7211="Invalid - Not Freely Given", I7211="Invalid - Not Specific", I7211="Invalid - Not Informed", I7211="Invalid - Ambiguous"), "Gap - Invalid Consent", "Compliant")))))</f>
        <v/>
      </c>
      <c r="O7211" s="7" t="n"/>
    </row>
    <row r="7212">
      <c r="A7212" s="7" t="n"/>
      <c r="B7212" s="7" t="n"/>
      <c r="C7212" s="7" t="n"/>
      <c r="D7212" s="7" t="n"/>
      <c r="E7212" s="7" t="n"/>
      <c r="F7212" s="7" t="n"/>
      <c r="G7212" s="7" t="n"/>
      <c r="H7212" s="7" t="n"/>
      <c r="I7212" s="7" t="n"/>
      <c r="J7212" s="7" t="n"/>
      <c r="K7212">
        <f>IF(D7212="Legitimate Interest (GDPR Art. 6(1)(f))", "Yes / Required (Sheet 3)", "")</f>
        <v/>
      </c>
      <c r="L7212" s="7" t="n"/>
      <c r="M7212" s="7" t="n"/>
      <c r="N7212">
        <f>IF(D7212="", "Gap - No Legal Basis", IF(AND(D7212="Consent (GDPR Art. 6(1)(a))", I7212="Not Captured"), "Gap - Invalid Consent", IF(AND(D7212="Legitimate Interest (GDPR Art. 6(1)(f))", L7212=""), "Gap - Missing LIA", IF(AND(G7212="Yes", H7212=""), "Gap - Missing Art. 9 Basis", IF(OR(I7212="Invalid - Not Freely Given", I7212="Invalid - Not Specific", I7212="Invalid - Not Informed", I7212="Invalid - Ambiguous"), "Gap - Invalid Consent", "Compliant")))))</f>
        <v/>
      </c>
      <c r="O7212" s="7" t="n"/>
    </row>
    <row r="7213">
      <c r="A7213" s="7" t="n"/>
      <c r="B7213" s="7" t="n"/>
      <c r="C7213" s="7" t="n"/>
      <c r="D7213" s="7" t="n"/>
      <c r="E7213" s="7" t="n"/>
      <c r="F7213" s="7" t="n"/>
      <c r="G7213" s="7" t="n"/>
      <c r="H7213" s="7" t="n"/>
      <c r="I7213" s="7" t="n"/>
      <c r="J7213" s="7" t="n"/>
      <c r="K7213">
        <f>IF(D7213="Legitimate Interest (GDPR Art. 6(1)(f))", "Yes / Required (Sheet 3)", "")</f>
        <v/>
      </c>
      <c r="L7213" s="7" t="n"/>
      <c r="M7213" s="7" t="n"/>
      <c r="N7213">
        <f>IF(D7213="", "Gap - No Legal Basis", IF(AND(D7213="Consent (GDPR Art. 6(1)(a))", I7213="Not Captured"), "Gap - Invalid Consent", IF(AND(D7213="Legitimate Interest (GDPR Art. 6(1)(f))", L7213=""), "Gap - Missing LIA", IF(AND(G7213="Yes", H7213=""), "Gap - Missing Art. 9 Basis", IF(OR(I7213="Invalid - Not Freely Given", I7213="Invalid - Not Specific", I7213="Invalid - Not Informed", I7213="Invalid - Ambiguous"), "Gap - Invalid Consent", "Compliant")))))</f>
        <v/>
      </c>
      <c r="O7213" s="7" t="n"/>
    </row>
    <row r="7214">
      <c r="A7214" s="7" t="n"/>
      <c r="B7214" s="7" t="n"/>
      <c r="C7214" s="7" t="n"/>
      <c r="D7214" s="7" t="n"/>
      <c r="E7214" s="7" t="n"/>
      <c r="F7214" s="7" t="n"/>
      <c r="G7214" s="7" t="n"/>
      <c r="H7214" s="7" t="n"/>
      <c r="I7214" s="7" t="n"/>
      <c r="J7214" s="7" t="n"/>
      <c r="K7214">
        <f>IF(D7214="Legitimate Interest (GDPR Art. 6(1)(f))", "Yes / Required (Sheet 3)", "")</f>
        <v/>
      </c>
      <c r="L7214" s="7" t="n"/>
      <c r="M7214" s="7" t="n"/>
      <c r="N7214">
        <f>IF(D7214="", "Gap - No Legal Basis", IF(AND(D7214="Consent (GDPR Art. 6(1)(a))", I7214="Not Captured"), "Gap - Invalid Consent", IF(AND(D7214="Legitimate Interest (GDPR Art. 6(1)(f))", L7214=""), "Gap - Missing LIA", IF(AND(G7214="Yes", H7214=""), "Gap - Missing Art. 9 Basis", IF(OR(I7214="Invalid - Not Freely Given", I7214="Invalid - Not Specific", I7214="Invalid - Not Informed", I7214="Invalid - Ambiguous"), "Gap - Invalid Consent", "Compliant")))))</f>
        <v/>
      </c>
      <c r="O7214" s="7" t="n"/>
    </row>
    <row r="7215">
      <c r="A7215" s="7" t="n"/>
      <c r="B7215" s="7" t="n"/>
      <c r="C7215" s="7" t="n"/>
      <c r="D7215" s="7" t="n"/>
      <c r="E7215" s="7" t="n"/>
      <c r="F7215" s="7" t="n"/>
      <c r="G7215" s="7" t="n"/>
      <c r="H7215" s="7" t="n"/>
      <c r="I7215" s="7" t="n"/>
      <c r="J7215" s="7" t="n"/>
      <c r="K7215">
        <f>IF(D7215="Legitimate Interest (GDPR Art. 6(1)(f))", "Yes / Required (Sheet 3)", "")</f>
        <v/>
      </c>
      <c r="L7215" s="7" t="n"/>
      <c r="M7215" s="7" t="n"/>
      <c r="N7215">
        <f>IF(D7215="", "Gap - No Legal Basis", IF(AND(D7215="Consent (GDPR Art. 6(1)(a))", I7215="Not Captured"), "Gap - Invalid Consent", IF(AND(D7215="Legitimate Interest (GDPR Art. 6(1)(f))", L7215=""), "Gap - Missing LIA", IF(AND(G7215="Yes", H7215=""), "Gap - Missing Art. 9 Basis", IF(OR(I7215="Invalid - Not Freely Given", I7215="Invalid - Not Specific", I7215="Invalid - Not Informed", I7215="Invalid - Ambiguous"), "Gap - Invalid Consent", "Compliant")))))</f>
        <v/>
      </c>
      <c r="O7215" s="7" t="n"/>
    </row>
    <row r="7216">
      <c r="A7216" s="7" t="n"/>
      <c r="B7216" s="7" t="n"/>
      <c r="C7216" s="7" t="n"/>
      <c r="D7216" s="7" t="n"/>
      <c r="E7216" s="7" t="n"/>
      <c r="F7216" s="7" t="n"/>
      <c r="G7216" s="7" t="n"/>
      <c r="H7216" s="7" t="n"/>
      <c r="I7216" s="7" t="n"/>
      <c r="J7216" s="7" t="n"/>
      <c r="K7216">
        <f>IF(D7216="Legitimate Interest (GDPR Art. 6(1)(f))", "Yes / Required (Sheet 3)", "")</f>
        <v/>
      </c>
      <c r="L7216" s="7" t="n"/>
      <c r="M7216" s="7" t="n"/>
      <c r="N7216">
        <f>IF(D7216="", "Gap - No Legal Basis", IF(AND(D7216="Consent (GDPR Art. 6(1)(a))", I7216="Not Captured"), "Gap - Invalid Consent", IF(AND(D7216="Legitimate Interest (GDPR Art. 6(1)(f))", L7216=""), "Gap - Missing LIA", IF(AND(G7216="Yes", H7216=""), "Gap - Missing Art. 9 Basis", IF(OR(I7216="Invalid - Not Freely Given", I7216="Invalid - Not Specific", I7216="Invalid - Not Informed", I7216="Invalid - Ambiguous"), "Gap - Invalid Consent", "Compliant")))))</f>
        <v/>
      </c>
      <c r="O7216" s="7" t="n"/>
    </row>
    <row r="7217">
      <c r="A7217" s="7" t="n"/>
      <c r="B7217" s="7" t="n"/>
      <c r="C7217" s="7" t="n"/>
      <c r="D7217" s="7" t="n"/>
      <c r="E7217" s="7" t="n"/>
      <c r="F7217" s="7" t="n"/>
      <c r="G7217" s="7" t="n"/>
      <c r="H7217" s="7" t="n"/>
      <c r="I7217" s="7" t="n"/>
      <c r="J7217" s="7" t="n"/>
      <c r="K7217">
        <f>IF(D7217="Legitimate Interest (GDPR Art. 6(1)(f))", "Yes / Required (Sheet 3)", "")</f>
        <v/>
      </c>
      <c r="L7217" s="7" t="n"/>
      <c r="M7217" s="7" t="n"/>
      <c r="N7217">
        <f>IF(D7217="", "Gap - No Legal Basis", IF(AND(D7217="Consent (GDPR Art. 6(1)(a))", I7217="Not Captured"), "Gap - Invalid Consent", IF(AND(D7217="Legitimate Interest (GDPR Art. 6(1)(f))", L7217=""), "Gap - Missing LIA", IF(AND(G7217="Yes", H7217=""), "Gap - Missing Art. 9 Basis", IF(OR(I7217="Invalid - Not Freely Given", I7217="Invalid - Not Specific", I7217="Invalid - Not Informed", I7217="Invalid - Ambiguous"), "Gap - Invalid Consent", "Compliant")))))</f>
        <v/>
      </c>
      <c r="O7217" s="7" t="n"/>
    </row>
    <row r="7218">
      <c r="A7218" s="7" t="n"/>
      <c r="B7218" s="7" t="n"/>
      <c r="C7218" s="7" t="n"/>
      <c r="D7218" s="7" t="n"/>
      <c r="E7218" s="7" t="n"/>
      <c r="F7218" s="7" t="n"/>
      <c r="G7218" s="7" t="n"/>
      <c r="H7218" s="7" t="n"/>
      <c r="I7218" s="7" t="n"/>
      <c r="J7218" s="7" t="n"/>
      <c r="K7218">
        <f>IF(D7218="Legitimate Interest (GDPR Art. 6(1)(f))", "Yes / Required (Sheet 3)", "")</f>
        <v/>
      </c>
      <c r="L7218" s="7" t="n"/>
      <c r="M7218" s="7" t="n"/>
      <c r="N7218">
        <f>IF(D7218="", "Gap - No Legal Basis", IF(AND(D7218="Consent (GDPR Art. 6(1)(a))", I7218="Not Captured"), "Gap - Invalid Consent", IF(AND(D7218="Legitimate Interest (GDPR Art. 6(1)(f))", L7218=""), "Gap - Missing LIA", IF(AND(G7218="Yes", H7218=""), "Gap - Missing Art. 9 Basis", IF(OR(I7218="Invalid - Not Freely Given", I7218="Invalid - Not Specific", I7218="Invalid - Not Informed", I7218="Invalid - Ambiguous"), "Gap - Invalid Consent", "Compliant")))))</f>
        <v/>
      </c>
      <c r="O7218" s="7" t="n"/>
    </row>
    <row r="7219">
      <c r="A7219" s="7" t="n"/>
      <c r="B7219" s="7" t="n"/>
      <c r="C7219" s="7" t="n"/>
      <c r="D7219" s="7" t="n"/>
      <c r="E7219" s="7" t="n"/>
      <c r="F7219" s="7" t="n"/>
      <c r="G7219" s="7" t="n"/>
      <c r="H7219" s="7" t="n"/>
      <c r="I7219" s="7" t="n"/>
      <c r="J7219" s="7" t="n"/>
      <c r="K7219">
        <f>IF(D7219="Legitimate Interest (GDPR Art. 6(1)(f))", "Yes / Required (Sheet 3)", "")</f>
        <v/>
      </c>
      <c r="L7219" s="7" t="n"/>
      <c r="M7219" s="7" t="n"/>
      <c r="N7219">
        <f>IF(D7219="", "Gap - No Legal Basis", IF(AND(D7219="Consent (GDPR Art. 6(1)(a))", I7219="Not Captured"), "Gap - Invalid Consent", IF(AND(D7219="Legitimate Interest (GDPR Art. 6(1)(f))", L7219=""), "Gap - Missing LIA", IF(AND(G7219="Yes", H7219=""), "Gap - Missing Art. 9 Basis", IF(OR(I7219="Invalid - Not Freely Given", I7219="Invalid - Not Specific", I7219="Invalid - Not Informed", I7219="Invalid - Ambiguous"), "Gap - Invalid Consent", "Compliant")))))</f>
        <v/>
      </c>
      <c r="O7219" s="7" t="n"/>
    </row>
    <row r="7220">
      <c r="A7220" s="7" t="n"/>
      <c r="B7220" s="7" t="n"/>
      <c r="C7220" s="7" t="n"/>
      <c r="D7220" s="7" t="n"/>
      <c r="E7220" s="7" t="n"/>
      <c r="F7220" s="7" t="n"/>
      <c r="G7220" s="7" t="n"/>
      <c r="H7220" s="7" t="n"/>
      <c r="I7220" s="7" t="n"/>
      <c r="J7220" s="7" t="n"/>
      <c r="K7220">
        <f>IF(D7220="Legitimate Interest (GDPR Art. 6(1)(f))", "Yes / Required (Sheet 3)", "")</f>
        <v/>
      </c>
      <c r="L7220" s="7" t="n"/>
      <c r="M7220" s="7" t="n"/>
      <c r="N7220">
        <f>IF(D7220="", "Gap - No Legal Basis", IF(AND(D7220="Consent (GDPR Art. 6(1)(a))", I7220="Not Captured"), "Gap - Invalid Consent", IF(AND(D7220="Legitimate Interest (GDPR Art. 6(1)(f))", L7220=""), "Gap - Missing LIA", IF(AND(G7220="Yes", H7220=""), "Gap - Missing Art. 9 Basis", IF(OR(I7220="Invalid - Not Freely Given", I7220="Invalid - Not Specific", I7220="Invalid - Not Informed", I7220="Invalid - Ambiguous"), "Gap - Invalid Consent", "Compliant")))))</f>
        <v/>
      </c>
      <c r="O7220" s="7" t="n"/>
    </row>
    <row r="7221">
      <c r="A7221" s="7" t="n"/>
      <c r="B7221" s="7" t="n"/>
      <c r="C7221" s="7" t="n"/>
      <c r="D7221" s="7" t="n"/>
      <c r="E7221" s="7" t="n"/>
      <c r="F7221" s="7" t="n"/>
      <c r="G7221" s="7" t="n"/>
      <c r="H7221" s="7" t="n"/>
      <c r="I7221" s="7" t="n"/>
      <c r="J7221" s="7" t="n"/>
      <c r="K7221">
        <f>IF(D7221="Legitimate Interest (GDPR Art. 6(1)(f))", "Yes / Required (Sheet 3)", "")</f>
        <v/>
      </c>
      <c r="L7221" s="7" t="n"/>
      <c r="M7221" s="7" t="n"/>
      <c r="N7221">
        <f>IF(D7221="", "Gap - No Legal Basis", IF(AND(D7221="Consent (GDPR Art. 6(1)(a))", I7221="Not Captured"), "Gap - Invalid Consent", IF(AND(D7221="Legitimate Interest (GDPR Art. 6(1)(f))", L7221=""), "Gap - Missing LIA", IF(AND(G7221="Yes", H7221=""), "Gap - Missing Art. 9 Basis", IF(OR(I7221="Invalid - Not Freely Given", I7221="Invalid - Not Specific", I7221="Invalid - Not Informed", I7221="Invalid - Ambiguous"), "Gap - Invalid Consent", "Compliant")))))</f>
        <v/>
      </c>
      <c r="O7221" s="7" t="n"/>
    </row>
    <row r="7222">
      <c r="A7222" s="7" t="n"/>
      <c r="B7222" s="7" t="n"/>
      <c r="C7222" s="7" t="n"/>
      <c r="D7222" s="7" t="n"/>
      <c r="E7222" s="7" t="n"/>
      <c r="F7222" s="7" t="n"/>
      <c r="G7222" s="7" t="n"/>
      <c r="H7222" s="7" t="n"/>
      <c r="I7222" s="7" t="n"/>
      <c r="J7222" s="7" t="n"/>
      <c r="K7222">
        <f>IF(D7222="Legitimate Interest (GDPR Art. 6(1)(f))", "Yes / Required (Sheet 3)", "")</f>
        <v/>
      </c>
      <c r="L7222" s="7" t="n"/>
      <c r="M7222" s="7" t="n"/>
      <c r="N7222">
        <f>IF(D7222="", "Gap - No Legal Basis", IF(AND(D7222="Consent (GDPR Art. 6(1)(a))", I7222="Not Captured"), "Gap - Invalid Consent", IF(AND(D7222="Legitimate Interest (GDPR Art. 6(1)(f))", L7222=""), "Gap - Missing LIA", IF(AND(G7222="Yes", H7222=""), "Gap - Missing Art. 9 Basis", IF(OR(I7222="Invalid - Not Freely Given", I7222="Invalid - Not Specific", I7222="Invalid - Not Informed", I7222="Invalid - Ambiguous"), "Gap - Invalid Consent", "Compliant")))))</f>
        <v/>
      </c>
      <c r="O7222" s="7" t="n"/>
    </row>
    <row r="7223">
      <c r="A7223" s="7" t="n"/>
      <c r="B7223" s="7" t="n"/>
      <c r="C7223" s="7" t="n"/>
      <c r="D7223" s="7" t="n"/>
      <c r="E7223" s="7" t="n"/>
      <c r="F7223" s="7" t="n"/>
      <c r="G7223" s="7" t="n"/>
      <c r="H7223" s="7" t="n"/>
      <c r="I7223" s="7" t="n"/>
      <c r="J7223" s="7" t="n"/>
      <c r="K7223">
        <f>IF(D7223="Legitimate Interest (GDPR Art. 6(1)(f))", "Yes / Required (Sheet 3)", "")</f>
        <v/>
      </c>
      <c r="L7223" s="7" t="n"/>
      <c r="M7223" s="7" t="n"/>
      <c r="N7223">
        <f>IF(D7223="", "Gap - No Legal Basis", IF(AND(D7223="Consent (GDPR Art. 6(1)(a))", I7223="Not Captured"), "Gap - Invalid Consent", IF(AND(D7223="Legitimate Interest (GDPR Art. 6(1)(f))", L7223=""), "Gap - Missing LIA", IF(AND(G7223="Yes", H7223=""), "Gap - Missing Art. 9 Basis", IF(OR(I7223="Invalid - Not Freely Given", I7223="Invalid - Not Specific", I7223="Invalid - Not Informed", I7223="Invalid - Ambiguous"), "Gap - Invalid Consent", "Compliant")))))</f>
        <v/>
      </c>
      <c r="O7223" s="7" t="n"/>
    </row>
    <row r="7224">
      <c r="A7224" s="7" t="n"/>
      <c r="B7224" s="7" t="n"/>
      <c r="C7224" s="7" t="n"/>
      <c r="D7224" s="7" t="n"/>
      <c r="E7224" s="7" t="n"/>
      <c r="F7224" s="7" t="n"/>
      <c r="G7224" s="7" t="n"/>
      <c r="H7224" s="7" t="n"/>
      <c r="I7224" s="7" t="n"/>
      <c r="J7224" s="7" t="n"/>
      <c r="K7224">
        <f>IF(D7224="Legitimate Interest (GDPR Art. 6(1)(f))", "Yes / Required (Sheet 3)", "")</f>
        <v/>
      </c>
      <c r="L7224" s="7" t="n"/>
      <c r="M7224" s="7" t="n"/>
      <c r="N7224">
        <f>IF(D7224="", "Gap - No Legal Basis", IF(AND(D7224="Consent (GDPR Art. 6(1)(a))", I7224="Not Captured"), "Gap - Invalid Consent", IF(AND(D7224="Legitimate Interest (GDPR Art. 6(1)(f))", L7224=""), "Gap - Missing LIA", IF(AND(G7224="Yes", H7224=""), "Gap - Missing Art. 9 Basis", IF(OR(I7224="Invalid - Not Freely Given", I7224="Invalid - Not Specific", I7224="Invalid - Not Informed", I7224="Invalid - Ambiguous"), "Gap - Invalid Consent", "Compliant")))))</f>
        <v/>
      </c>
      <c r="O7224" s="7" t="n"/>
    </row>
    <row r="7225">
      <c r="A7225" s="7" t="n"/>
      <c r="B7225" s="7" t="n"/>
      <c r="C7225" s="7" t="n"/>
      <c r="D7225" s="7" t="n"/>
      <c r="E7225" s="7" t="n"/>
      <c r="F7225" s="7" t="n"/>
      <c r="G7225" s="7" t="n"/>
      <c r="H7225" s="7" t="n"/>
      <c r="I7225" s="7" t="n"/>
      <c r="J7225" s="7" t="n"/>
      <c r="K7225">
        <f>IF(D7225="Legitimate Interest (GDPR Art. 6(1)(f))", "Yes / Required (Sheet 3)", "")</f>
        <v/>
      </c>
      <c r="L7225" s="7" t="n"/>
      <c r="M7225" s="7" t="n"/>
      <c r="N7225">
        <f>IF(D7225="", "Gap - No Legal Basis", IF(AND(D7225="Consent (GDPR Art. 6(1)(a))", I7225="Not Captured"), "Gap - Invalid Consent", IF(AND(D7225="Legitimate Interest (GDPR Art. 6(1)(f))", L7225=""), "Gap - Missing LIA", IF(AND(G7225="Yes", H7225=""), "Gap - Missing Art. 9 Basis", IF(OR(I7225="Invalid - Not Freely Given", I7225="Invalid - Not Specific", I7225="Invalid - Not Informed", I7225="Invalid - Ambiguous"), "Gap - Invalid Consent", "Compliant")))))</f>
        <v/>
      </c>
      <c r="O7225" s="7" t="n"/>
    </row>
    <row r="7226">
      <c r="A7226" s="7" t="n"/>
      <c r="B7226" s="7" t="n"/>
      <c r="C7226" s="7" t="n"/>
      <c r="D7226" s="7" t="n"/>
      <c r="E7226" s="7" t="n"/>
      <c r="F7226" s="7" t="n"/>
      <c r="G7226" s="7" t="n"/>
      <c r="H7226" s="7" t="n"/>
      <c r="I7226" s="7" t="n"/>
      <c r="J7226" s="7" t="n"/>
      <c r="K7226">
        <f>IF(D7226="Legitimate Interest (GDPR Art. 6(1)(f))", "Yes / Required (Sheet 3)", "")</f>
        <v/>
      </c>
      <c r="L7226" s="7" t="n"/>
      <c r="M7226" s="7" t="n"/>
      <c r="N7226">
        <f>IF(D7226="", "Gap - No Legal Basis", IF(AND(D7226="Consent (GDPR Art. 6(1)(a))", I7226="Not Captured"), "Gap - Invalid Consent", IF(AND(D7226="Legitimate Interest (GDPR Art. 6(1)(f))", L7226=""), "Gap - Missing LIA", IF(AND(G7226="Yes", H7226=""), "Gap - Missing Art. 9 Basis", IF(OR(I7226="Invalid - Not Freely Given", I7226="Invalid - Not Specific", I7226="Invalid - Not Informed", I7226="Invalid - Ambiguous"), "Gap - Invalid Consent", "Compliant")))))</f>
        <v/>
      </c>
      <c r="O7226" s="7" t="n"/>
    </row>
    <row r="7227">
      <c r="A7227" s="7" t="n"/>
      <c r="B7227" s="7" t="n"/>
      <c r="C7227" s="7" t="n"/>
      <c r="D7227" s="7" t="n"/>
      <c r="E7227" s="7" t="n"/>
      <c r="F7227" s="7" t="n"/>
      <c r="G7227" s="7" t="n"/>
      <c r="H7227" s="7" t="n"/>
      <c r="I7227" s="7" t="n"/>
      <c r="J7227" s="7" t="n"/>
      <c r="K7227">
        <f>IF(D7227="Legitimate Interest (GDPR Art. 6(1)(f))", "Yes / Required (Sheet 3)", "")</f>
        <v/>
      </c>
      <c r="L7227" s="7" t="n"/>
      <c r="M7227" s="7" t="n"/>
      <c r="N7227">
        <f>IF(D7227="", "Gap - No Legal Basis", IF(AND(D7227="Consent (GDPR Art. 6(1)(a))", I7227="Not Captured"), "Gap - Invalid Consent", IF(AND(D7227="Legitimate Interest (GDPR Art. 6(1)(f))", L7227=""), "Gap - Missing LIA", IF(AND(G7227="Yes", H7227=""), "Gap - Missing Art. 9 Basis", IF(OR(I7227="Invalid - Not Freely Given", I7227="Invalid - Not Specific", I7227="Invalid - Not Informed", I7227="Invalid - Ambiguous"), "Gap - Invalid Consent", "Compliant")))))</f>
        <v/>
      </c>
      <c r="O7227" s="7" t="n"/>
    </row>
    <row r="7228">
      <c r="A7228" s="7" t="n"/>
      <c r="B7228" s="7" t="n"/>
      <c r="C7228" s="7" t="n"/>
      <c r="D7228" s="7" t="n"/>
      <c r="E7228" s="7" t="n"/>
      <c r="F7228" s="7" t="n"/>
      <c r="G7228" s="7" t="n"/>
      <c r="H7228" s="7" t="n"/>
      <c r="I7228" s="7" t="n"/>
      <c r="J7228" s="7" t="n"/>
      <c r="K7228">
        <f>IF(D7228="Legitimate Interest (GDPR Art. 6(1)(f))", "Yes / Required (Sheet 3)", "")</f>
        <v/>
      </c>
      <c r="L7228" s="7" t="n"/>
      <c r="M7228" s="7" t="n"/>
      <c r="N7228">
        <f>IF(D7228="", "Gap - No Legal Basis", IF(AND(D7228="Consent (GDPR Art. 6(1)(a))", I7228="Not Captured"), "Gap - Invalid Consent", IF(AND(D7228="Legitimate Interest (GDPR Art. 6(1)(f))", L7228=""), "Gap - Missing LIA", IF(AND(G7228="Yes", H7228=""), "Gap - Missing Art. 9 Basis", IF(OR(I7228="Invalid - Not Freely Given", I7228="Invalid - Not Specific", I7228="Invalid - Not Informed", I7228="Invalid - Ambiguous"), "Gap - Invalid Consent", "Compliant")))))</f>
        <v/>
      </c>
      <c r="O7228" s="7" t="n"/>
    </row>
    <row r="7229">
      <c r="A7229" s="7" t="n"/>
      <c r="B7229" s="7" t="n"/>
      <c r="C7229" s="7" t="n"/>
      <c r="D7229" s="7" t="n"/>
      <c r="E7229" s="7" t="n"/>
      <c r="F7229" s="7" t="n"/>
      <c r="G7229" s="7" t="n"/>
      <c r="H7229" s="7" t="n"/>
      <c r="I7229" s="7" t="n"/>
      <c r="J7229" s="7" t="n"/>
      <c r="K7229">
        <f>IF(D7229="Legitimate Interest (GDPR Art. 6(1)(f))", "Yes / Required (Sheet 3)", "")</f>
        <v/>
      </c>
      <c r="L7229" s="7" t="n"/>
      <c r="M7229" s="7" t="n"/>
      <c r="N7229">
        <f>IF(D7229="", "Gap - No Legal Basis", IF(AND(D7229="Consent (GDPR Art. 6(1)(a))", I7229="Not Captured"), "Gap - Invalid Consent", IF(AND(D7229="Legitimate Interest (GDPR Art. 6(1)(f))", L7229=""), "Gap - Missing LIA", IF(AND(G7229="Yes", H7229=""), "Gap - Missing Art. 9 Basis", IF(OR(I7229="Invalid - Not Freely Given", I7229="Invalid - Not Specific", I7229="Invalid - Not Informed", I7229="Invalid - Ambiguous"), "Gap - Invalid Consent", "Compliant")))))</f>
        <v/>
      </c>
      <c r="O7229" s="7" t="n"/>
    </row>
    <row r="7230">
      <c r="A7230" s="7" t="n"/>
      <c r="B7230" s="7" t="n"/>
      <c r="C7230" s="7" t="n"/>
      <c r="D7230" s="7" t="n"/>
      <c r="E7230" s="7" t="n"/>
      <c r="F7230" s="7" t="n"/>
      <c r="G7230" s="7" t="n"/>
      <c r="H7230" s="7" t="n"/>
      <c r="I7230" s="7" t="n"/>
      <c r="J7230" s="7" t="n"/>
      <c r="K7230">
        <f>IF(D7230="Legitimate Interest (GDPR Art. 6(1)(f))", "Yes / Required (Sheet 3)", "")</f>
        <v/>
      </c>
      <c r="L7230" s="7" t="n"/>
      <c r="M7230" s="7" t="n"/>
      <c r="N7230">
        <f>IF(D7230="", "Gap - No Legal Basis", IF(AND(D7230="Consent (GDPR Art. 6(1)(a))", I7230="Not Captured"), "Gap - Invalid Consent", IF(AND(D7230="Legitimate Interest (GDPR Art. 6(1)(f))", L7230=""), "Gap - Missing LIA", IF(AND(G7230="Yes", H7230=""), "Gap - Missing Art. 9 Basis", IF(OR(I7230="Invalid - Not Freely Given", I7230="Invalid - Not Specific", I7230="Invalid - Not Informed", I7230="Invalid - Ambiguous"), "Gap - Invalid Consent", "Compliant")))))</f>
        <v/>
      </c>
      <c r="O7230" s="7" t="n"/>
    </row>
    <row r="7231">
      <c r="A7231" s="7" t="n"/>
      <c r="B7231" s="7" t="n"/>
      <c r="C7231" s="7" t="n"/>
      <c r="D7231" s="7" t="n"/>
      <c r="E7231" s="7" t="n"/>
      <c r="F7231" s="7" t="n"/>
      <c r="G7231" s="7" t="n"/>
      <c r="H7231" s="7" t="n"/>
      <c r="I7231" s="7" t="n"/>
      <c r="J7231" s="7" t="n"/>
      <c r="K7231">
        <f>IF(D7231="Legitimate Interest (GDPR Art. 6(1)(f))", "Yes / Required (Sheet 3)", "")</f>
        <v/>
      </c>
      <c r="L7231" s="7" t="n"/>
      <c r="M7231" s="7" t="n"/>
      <c r="N7231">
        <f>IF(D7231="", "Gap - No Legal Basis", IF(AND(D7231="Consent (GDPR Art. 6(1)(a))", I7231="Not Captured"), "Gap - Invalid Consent", IF(AND(D7231="Legitimate Interest (GDPR Art. 6(1)(f))", L7231=""), "Gap - Missing LIA", IF(AND(G7231="Yes", H7231=""), "Gap - Missing Art. 9 Basis", IF(OR(I7231="Invalid - Not Freely Given", I7231="Invalid - Not Specific", I7231="Invalid - Not Informed", I7231="Invalid - Ambiguous"), "Gap - Invalid Consent", "Compliant")))))</f>
        <v/>
      </c>
      <c r="O7231" s="7" t="n"/>
    </row>
    <row r="7232">
      <c r="A7232" s="7" t="n"/>
      <c r="B7232" s="7" t="n"/>
      <c r="C7232" s="7" t="n"/>
      <c r="D7232" s="7" t="n"/>
      <c r="E7232" s="7" t="n"/>
      <c r="F7232" s="7" t="n"/>
      <c r="G7232" s="7" t="n"/>
      <c r="H7232" s="7" t="n"/>
      <c r="I7232" s="7" t="n"/>
      <c r="J7232" s="7" t="n"/>
      <c r="K7232">
        <f>IF(D7232="Legitimate Interest (GDPR Art. 6(1)(f))", "Yes / Required (Sheet 3)", "")</f>
        <v/>
      </c>
      <c r="L7232" s="7" t="n"/>
      <c r="M7232" s="7" t="n"/>
      <c r="N7232">
        <f>IF(D7232="", "Gap - No Legal Basis", IF(AND(D7232="Consent (GDPR Art. 6(1)(a))", I7232="Not Captured"), "Gap - Invalid Consent", IF(AND(D7232="Legitimate Interest (GDPR Art. 6(1)(f))", L7232=""), "Gap - Missing LIA", IF(AND(G7232="Yes", H7232=""), "Gap - Missing Art. 9 Basis", IF(OR(I7232="Invalid - Not Freely Given", I7232="Invalid - Not Specific", I7232="Invalid - Not Informed", I7232="Invalid - Ambiguous"), "Gap - Invalid Consent", "Compliant")))))</f>
        <v/>
      </c>
      <c r="O7232" s="7" t="n"/>
    </row>
    <row r="7233">
      <c r="A7233" s="7" t="n"/>
      <c r="B7233" s="7" t="n"/>
      <c r="C7233" s="7" t="n"/>
      <c r="D7233" s="7" t="n"/>
      <c r="E7233" s="7" t="n"/>
      <c r="F7233" s="7" t="n"/>
      <c r="G7233" s="7" t="n"/>
      <c r="H7233" s="7" t="n"/>
      <c r="I7233" s="7" t="n"/>
      <c r="J7233" s="7" t="n"/>
      <c r="K7233">
        <f>IF(D7233="Legitimate Interest (GDPR Art. 6(1)(f))", "Yes / Required (Sheet 3)", "")</f>
        <v/>
      </c>
      <c r="L7233" s="7" t="n"/>
      <c r="M7233" s="7" t="n"/>
      <c r="N7233">
        <f>IF(D7233="", "Gap - No Legal Basis", IF(AND(D7233="Consent (GDPR Art. 6(1)(a))", I7233="Not Captured"), "Gap - Invalid Consent", IF(AND(D7233="Legitimate Interest (GDPR Art. 6(1)(f))", L7233=""), "Gap - Missing LIA", IF(AND(G7233="Yes", H7233=""), "Gap - Missing Art. 9 Basis", IF(OR(I7233="Invalid - Not Freely Given", I7233="Invalid - Not Specific", I7233="Invalid - Not Informed", I7233="Invalid - Ambiguous"), "Gap - Invalid Consent", "Compliant")))))</f>
        <v/>
      </c>
      <c r="O7233" s="7" t="n"/>
    </row>
    <row r="7234">
      <c r="A7234" s="7" t="n"/>
      <c r="B7234" s="7" t="n"/>
      <c r="C7234" s="7" t="n"/>
      <c r="D7234" s="7" t="n"/>
      <c r="E7234" s="7" t="n"/>
      <c r="F7234" s="7" t="n"/>
      <c r="G7234" s="7" t="n"/>
      <c r="H7234" s="7" t="n"/>
      <c r="I7234" s="7" t="n"/>
      <c r="J7234" s="7" t="n"/>
      <c r="K7234">
        <f>IF(D7234="Legitimate Interest (GDPR Art. 6(1)(f))", "Yes / Required (Sheet 3)", "")</f>
        <v/>
      </c>
      <c r="L7234" s="7" t="n"/>
      <c r="M7234" s="7" t="n"/>
      <c r="N7234">
        <f>IF(D7234="", "Gap - No Legal Basis", IF(AND(D7234="Consent (GDPR Art. 6(1)(a))", I7234="Not Captured"), "Gap - Invalid Consent", IF(AND(D7234="Legitimate Interest (GDPR Art. 6(1)(f))", L7234=""), "Gap - Missing LIA", IF(AND(G7234="Yes", H7234=""), "Gap - Missing Art. 9 Basis", IF(OR(I7234="Invalid - Not Freely Given", I7234="Invalid - Not Specific", I7234="Invalid - Not Informed", I7234="Invalid - Ambiguous"), "Gap - Invalid Consent", "Compliant")))))</f>
        <v/>
      </c>
      <c r="O7234" s="7" t="n"/>
    </row>
    <row r="7235">
      <c r="A7235" s="7" t="n"/>
      <c r="B7235" s="7" t="n"/>
      <c r="C7235" s="7" t="n"/>
      <c r="D7235" s="7" t="n"/>
      <c r="E7235" s="7" t="n"/>
      <c r="F7235" s="7" t="n"/>
      <c r="G7235" s="7" t="n"/>
      <c r="H7235" s="7" t="n"/>
      <c r="I7235" s="7" t="n"/>
      <c r="J7235" s="7" t="n"/>
      <c r="K7235">
        <f>IF(D7235="Legitimate Interest (GDPR Art. 6(1)(f))", "Yes / Required (Sheet 3)", "")</f>
        <v/>
      </c>
      <c r="L7235" s="7" t="n"/>
      <c r="M7235" s="7" t="n"/>
      <c r="N7235">
        <f>IF(D7235="", "Gap - No Legal Basis", IF(AND(D7235="Consent (GDPR Art. 6(1)(a))", I7235="Not Captured"), "Gap - Invalid Consent", IF(AND(D7235="Legitimate Interest (GDPR Art. 6(1)(f))", L7235=""), "Gap - Missing LIA", IF(AND(G7235="Yes", H7235=""), "Gap - Missing Art. 9 Basis", IF(OR(I7235="Invalid - Not Freely Given", I7235="Invalid - Not Specific", I7235="Invalid - Not Informed", I7235="Invalid - Ambiguous"), "Gap - Invalid Consent", "Compliant")))))</f>
        <v/>
      </c>
      <c r="O7235" s="7" t="n"/>
    </row>
    <row r="7236">
      <c r="A7236" s="7" t="n"/>
      <c r="B7236" s="7" t="n"/>
      <c r="C7236" s="7" t="n"/>
      <c r="D7236" s="7" t="n"/>
      <c r="E7236" s="7" t="n"/>
      <c r="F7236" s="7" t="n"/>
      <c r="G7236" s="7" t="n"/>
      <c r="H7236" s="7" t="n"/>
      <c r="I7236" s="7" t="n"/>
      <c r="J7236" s="7" t="n"/>
      <c r="K7236">
        <f>IF(D7236="Legitimate Interest (GDPR Art. 6(1)(f))", "Yes / Required (Sheet 3)", "")</f>
        <v/>
      </c>
      <c r="L7236" s="7" t="n"/>
      <c r="M7236" s="7" t="n"/>
      <c r="N7236">
        <f>IF(D7236="", "Gap - No Legal Basis", IF(AND(D7236="Consent (GDPR Art. 6(1)(a))", I7236="Not Captured"), "Gap - Invalid Consent", IF(AND(D7236="Legitimate Interest (GDPR Art. 6(1)(f))", L7236=""), "Gap - Missing LIA", IF(AND(G7236="Yes", H7236=""), "Gap - Missing Art. 9 Basis", IF(OR(I7236="Invalid - Not Freely Given", I7236="Invalid - Not Specific", I7236="Invalid - Not Informed", I7236="Invalid - Ambiguous"), "Gap - Invalid Consent", "Compliant")))))</f>
        <v/>
      </c>
      <c r="O7236" s="7" t="n"/>
    </row>
    <row r="7237">
      <c r="A7237" s="7" t="n"/>
      <c r="B7237" s="7" t="n"/>
      <c r="C7237" s="7" t="n"/>
      <c r="D7237" s="7" t="n"/>
      <c r="E7237" s="7" t="n"/>
      <c r="F7237" s="7" t="n"/>
      <c r="G7237" s="7" t="n"/>
      <c r="H7237" s="7" t="n"/>
      <c r="I7237" s="7" t="n"/>
      <c r="J7237" s="7" t="n"/>
      <c r="K7237">
        <f>IF(D7237="Legitimate Interest (GDPR Art. 6(1)(f))", "Yes / Required (Sheet 3)", "")</f>
        <v/>
      </c>
      <c r="L7237" s="7" t="n"/>
      <c r="M7237" s="7" t="n"/>
      <c r="N7237">
        <f>IF(D7237="", "Gap - No Legal Basis", IF(AND(D7237="Consent (GDPR Art. 6(1)(a))", I7237="Not Captured"), "Gap - Invalid Consent", IF(AND(D7237="Legitimate Interest (GDPR Art. 6(1)(f))", L7237=""), "Gap - Missing LIA", IF(AND(G7237="Yes", H7237=""), "Gap - Missing Art. 9 Basis", IF(OR(I7237="Invalid - Not Freely Given", I7237="Invalid - Not Specific", I7237="Invalid - Not Informed", I7237="Invalid - Ambiguous"), "Gap - Invalid Consent", "Compliant")))))</f>
        <v/>
      </c>
      <c r="O7237" s="7" t="n"/>
    </row>
    <row r="7238">
      <c r="A7238" s="7" t="n"/>
      <c r="B7238" s="7" t="n"/>
      <c r="C7238" s="7" t="n"/>
      <c r="D7238" s="7" t="n"/>
      <c r="E7238" s="7" t="n"/>
      <c r="F7238" s="7" t="n"/>
      <c r="G7238" s="7" t="n"/>
      <c r="H7238" s="7" t="n"/>
      <c r="I7238" s="7" t="n"/>
      <c r="J7238" s="7" t="n"/>
      <c r="K7238">
        <f>IF(D7238="Legitimate Interest (GDPR Art. 6(1)(f))", "Yes / Required (Sheet 3)", "")</f>
        <v/>
      </c>
      <c r="L7238" s="7" t="n"/>
      <c r="M7238" s="7" t="n"/>
      <c r="N7238">
        <f>IF(D7238="", "Gap - No Legal Basis", IF(AND(D7238="Consent (GDPR Art. 6(1)(a))", I7238="Not Captured"), "Gap - Invalid Consent", IF(AND(D7238="Legitimate Interest (GDPR Art. 6(1)(f))", L7238=""), "Gap - Missing LIA", IF(AND(G7238="Yes", H7238=""), "Gap - Missing Art. 9 Basis", IF(OR(I7238="Invalid - Not Freely Given", I7238="Invalid - Not Specific", I7238="Invalid - Not Informed", I7238="Invalid - Ambiguous"), "Gap - Invalid Consent", "Compliant")))))</f>
        <v/>
      </c>
      <c r="O7238" s="7" t="n"/>
    </row>
    <row r="7239">
      <c r="A7239" s="7" t="n"/>
      <c r="B7239" s="7" t="n"/>
      <c r="C7239" s="7" t="n"/>
      <c r="D7239" s="7" t="n"/>
      <c r="E7239" s="7" t="n"/>
      <c r="F7239" s="7" t="n"/>
      <c r="G7239" s="7" t="n"/>
      <c r="H7239" s="7" t="n"/>
      <c r="I7239" s="7" t="n"/>
      <c r="J7239" s="7" t="n"/>
      <c r="K7239">
        <f>IF(D7239="Legitimate Interest (GDPR Art. 6(1)(f))", "Yes / Required (Sheet 3)", "")</f>
        <v/>
      </c>
      <c r="L7239" s="7" t="n"/>
      <c r="M7239" s="7" t="n"/>
      <c r="N7239">
        <f>IF(D7239="", "Gap - No Legal Basis", IF(AND(D7239="Consent (GDPR Art. 6(1)(a))", I7239="Not Captured"), "Gap - Invalid Consent", IF(AND(D7239="Legitimate Interest (GDPR Art. 6(1)(f))", L7239=""), "Gap - Missing LIA", IF(AND(G7239="Yes", H7239=""), "Gap - Missing Art. 9 Basis", IF(OR(I7239="Invalid - Not Freely Given", I7239="Invalid - Not Specific", I7239="Invalid - Not Informed", I7239="Invalid - Ambiguous"), "Gap - Invalid Consent", "Compliant")))))</f>
        <v/>
      </c>
      <c r="O7239" s="7" t="n"/>
    </row>
    <row r="7240">
      <c r="A7240" s="7" t="n"/>
      <c r="B7240" s="7" t="n"/>
      <c r="C7240" s="7" t="n"/>
      <c r="D7240" s="7" t="n"/>
      <c r="E7240" s="7" t="n"/>
      <c r="F7240" s="7" t="n"/>
      <c r="G7240" s="7" t="n"/>
      <c r="H7240" s="7" t="n"/>
      <c r="I7240" s="7" t="n"/>
      <c r="J7240" s="7" t="n"/>
      <c r="K7240">
        <f>IF(D7240="Legitimate Interest (GDPR Art. 6(1)(f))", "Yes / Required (Sheet 3)", "")</f>
        <v/>
      </c>
      <c r="L7240" s="7" t="n"/>
      <c r="M7240" s="7" t="n"/>
      <c r="N7240">
        <f>IF(D7240="", "Gap - No Legal Basis", IF(AND(D7240="Consent (GDPR Art. 6(1)(a))", I7240="Not Captured"), "Gap - Invalid Consent", IF(AND(D7240="Legitimate Interest (GDPR Art. 6(1)(f))", L7240=""), "Gap - Missing LIA", IF(AND(G7240="Yes", H7240=""), "Gap - Missing Art. 9 Basis", IF(OR(I7240="Invalid - Not Freely Given", I7240="Invalid - Not Specific", I7240="Invalid - Not Informed", I7240="Invalid - Ambiguous"), "Gap - Invalid Consent", "Compliant")))))</f>
        <v/>
      </c>
      <c r="O7240" s="7" t="n"/>
    </row>
    <row r="7241">
      <c r="A7241" s="7" t="n"/>
      <c r="B7241" s="7" t="n"/>
      <c r="C7241" s="7" t="n"/>
      <c r="D7241" s="7" t="n"/>
      <c r="E7241" s="7" t="n"/>
      <c r="F7241" s="7" t="n"/>
      <c r="G7241" s="7" t="n"/>
      <c r="H7241" s="7" t="n"/>
      <c r="I7241" s="7" t="n"/>
      <c r="J7241" s="7" t="n"/>
      <c r="K7241">
        <f>IF(D7241="Legitimate Interest (GDPR Art. 6(1)(f))", "Yes / Required (Sheet 3)", "")</f>
        <v/>
      </c>
      <c r="L7241" s="7" t="n"/>
      <c r="M7241" s="7" t="n"/>
      <c r="N7241">
        <f>IF(D7241="", "Gap - No Legal Basis", IF(AND(D7241="Consent (GDPR Art. 6(1)(a))", I7241="Not Captured"), "Gap - Invalid Consent", IF(AND(D7241="Legitimate Interest (GDPR Art. 6(1)(f))", L7241=""), "Gap - Missing LIA", IF(AND(G7241="Yes", H7241=""), "Gap - Missing Art. 9 Basis", IF(OR(I7241="Invalid - Not Freely Given", I7241="Invalid - Not Specific", I7241="Invalid - Not Informed", I7241="Invalid - Ambiguous"), "Gap - Invalid Consent", "Compliant")))))</f>
        <v/>
      </c>
      <c r="O7241" s="7" t="n"/>
    </row>
    <row r="7242">
      <c r="A7242" s="7" t="n"/>
      <c r="B7242" s="7" t="n"/>
      <c r="C7242" s="7" t="n"/>
      <c r="D7242" s="7" t="n"/>
      <c r="E7242" s="7" t="n"/>
      <c r="F7242" s="7" t="n"/>
      <c r="G7242" s="7" t="n"/>
      <c r="H7242" s="7" t="n"/>
      <c r="I7242" s="7" t="n"/>
      <c r="J7242" s="7" t="n"/>
      <c r="K7242">
        <f>IF(D7242="Legitimate Interest (GDPR Art. 6(1)(f))", "Yes / Required (Sheet 3)", "")</f>
        <v/>
      </c>
      <c r="L7242" s="7" t="n"/>
      <c r="M7242" s="7" t="n"/>
      <c r="N7242">
        <f>IF(D7242="", "Gap - No Legal Basis", IF(AND(D7242="Consent (GDPR Art. 6(1)(a))", I7242="Not Captured"), "Gap - Invalid Consent", IF(AND(D7242="Legitimate Interest (GDPR Art. 6(1)(f))", L7242=""), "Gap - Missing LIA", IF(AND(G7242="Yes", H7242=""), "Gap - Missing Art. 9 Basis", IF(OR(I7242="Invalid - Not Freely Given", I7242="Invalid - Not Specific", I7242="Invalid - Not Informed", I7242="Invalid - Ambiguous"), "Gap - Invalid Consent", "Compliant")))))</f>
        <v/>
      </c>
      <c r="O7242" s="7" t="n"/>
    </row>
    <row r="7243">
      <c r="A7243" s="7" t="n"/>
      <c r="B7243" s="7" t="n"/>
      <c r="C7243" s="7" t="n"/>
      <c r="D7243" s="7" t="n"/>
      <c r="E7243" s="7" t="n"/>
      <c r="F7243" s="7" t="n"/>
      <c r="G7243" s="7" t="n"/>
      <c r="H7243" s="7" t="n"/>
      <c r="I7243" s="7" t="n"/>
      <c r="J7243" s="7" t="n"/>
      <c r="K7243">
        <f>IF(D7243="Legitimate Interest (GDPR Art. 6(1)(f))", "Yes / Required (Sheet 3)", "")</f>
        <v/>
      </c>
      <c r="L7243" s="7" t="n"/>
      <c r="M7243" s="7" t="n"/>
      <c r="N7243">
        <f>IF(D7243="", "Gap - No Legal Basis", IF(AND(D7243="Consent (GDPR Art. 6(1)(a))", I7243="Not Captured"), "Gap - Invalid Consent", IF(AND(D7243="Legitimate Interest (GDPR Art. 6(1)(f))", L7243=""), "Gap - Missing LIA", IF(AND(G7243="Yes", H7243=""), "Gap - Missing Art. 9 Basis", IF(OR(I7243="Invalid - Not Freely Given", I7243="Invalid - Not Specific", I7243="Invalid - Not Informed", I7243="Invalid - Ambiguous"), "Gap - Invalid Consent", "Compliant")))))</f>
        <v/>
      </c>
      <c r="O7243" s="7" t="n"/>
    </row>
    <row r="7244">
      <c r="A7244" s="7" t="n"/>
      <c r="B7244" s="7" t="n"/>
      <c r="C7244" s="7" t="n"/>
      <c r="D7244" s="7" t="n"/>
      <c r="E7244" s="7" t="n"/>
      <c r="F7244" s="7" t="n"/>
      <c r="G7244" s="7" t="n"/>
      <c r="H7244" s="7" t="n"/>
      <c r="I7244" s="7" t="n"/>
      <c r="J7244" s="7" t="n"/>
      <c r="K7244">
        <f>IF(D7244="Legitimate Interest (GDPR Art. 6(1)(f))", "Yes / Required (Sheet 3)", "")</f>
        <v/>
      </c>
      <c r="L7244" s="7" t="n"/>
      <c r="M7244" s="7" t="n"/>
      <c r="N7244">
        <f>IF(D7244="", "Gap - No Legal Basis", IF(AND(D7244="Consent (GDPR Art. 6(1)(a))", I7244="Not Captured"), "Gap - Invalid Consent", IF(AND(D7244="Legitimate Interest (GDPR Art. 6(1)(f))", L7244=""), "Gap - Missing LIA", IF(AND(G7244="Yes", H7244=""), "Gap - Missing Art. 9 Basis", IF(OR(I7244="Invalid - Not Freely Given", I7244="Invalid - Not Specific", I7244="Invalid - Not Informed", I7244="Invalid - Ambiguous"), "Gap - Invalid Consent", "Compliant")))))</f>
        <v/>
      </c>
      <c r="O7244" s="7" t="n"/>
    </row>
    <row r="7245">
      <c r="A7245" s="7" t="n"/>
      <c r="B7245" s="7" t="n"/>
      <c r="C7245" s="7" t="n"/>
      <c r="D7245" s="7" t="n"/>
      <c r="E7245" s="7" t="n"/>
      <c r="F7245" s="7" t="n"/>
      <c r="G7245" s="7" t="n"/>
      <c r="H7245" s="7" t="n"/>
      <c r="I7245" s="7" t="n"/>
      <c r="J7245" s="7" t="n"/>
      <c r="K7245">
        <f>IF(D7245="Legitimate Interest (GDPR Art. 6(1)(f))", "Yes / Required (Sheet 3)", "")</f>
        <v/>
      </c>
      <c r="L7245" s="7" t="n"/>
      <c r="M7245" s="7" t="n"/>
      <c r="N7245">
        <f>IF(D7245="", "Gap - No Legal Basis", IF(AND(D7245="Consent (GDPR Art. 6(1)(a))", I7245="Not Captured"), "Gap - Invalid Consent", IF(AND(D7245="Legitimate Interest (GDPR Art. 6(1)(f))", L7245=""), "Gap - Missing LIA", IF(AND(G7245="Yes", H7245=""), "Gap - Missing Art. 9 Basis", IF(OR(I7245="Invalid - Not Freely Given", I7245="Invalid - Not Specific", I7245="Invalid - Not Informed", I7245="Invalid - Ambiguous"), "Gap - Invalid Consent", "Compliant")))))</f>
        <v/>
      </c>
      <c r="O7245" s="7" t="n"/>
    </row>
    <row r="7246">
      <c r="A7246" s="7" t="n"/>
      <c r="B7246" s="7" t="n"/>
      <c r="C7246" s="7" t="n"/>
      <c r="D7246" s="7" t="n"/>
      <c r="E7246" s="7" t="n"/>
      <c r="F7246" s="7" t="n"/>
      <c r="G7246" s="7" t="n"/>
      <c r="H7246" s="7" t="n"/>
      <c r="I7246" s="7" t="n"/>
      <c r="J7246" s="7" t="n"/>
      <c r="K7246">
        <f>IF(D7246="Legitimate Interest (GDPR Art. 6(1)(f))", "Yes / Required (Sheet 3)", "")</f>
        <v/>
      </c>
      <c r="L7246" s="7" t="n"/>
      <c r="M7246" s="7" t="n"/>
      <c r="N7246">
        <f>IF(D7246="", "Gap - No Legal Basis", IF(AND(D7246="Consent (GDPR Art. 6(1)(a))", I7246="Not Captured"), "Gap - Invalid Consent", IF(AND(D7246="Legitimate Interest (GDPR Art. 6(1)(f))", L7246=""), "Gap - Missing LIA", IF(AND(G7246="Yes", H7246=""), "Gap - Missing Art. 9 Basis", IF(OR(I7246="Invalid - Not Freely Given", I7246="Invalid - Not Specific", I7246="Invalid - Not Informed", I7246="Invalid - Ambiguous"), "Gap - Invalid Consent", "Compliant")))))</f>
        <v/>
      </c>
      <c r="O7246" s="7" t="n"/>
    </row>
    <row r="7247">
      <c r="A7247" s="7" t="n"/>
      <c r="B7247" s="7" t="n"/>
      <c r="C7247" s="7" t="n"/>
      <c r="D7247" s="7" t="n"/>
      <c r="E7247" s="7" t="n"/>
      <c r="F7247" s="7" t="n"/>
      <c r="G7247" s="7" t="n"/>
      <c r="H7247" s="7" t="n"/>
      <c r="I7247" s="7" t="n"/>
      <c r="J7247" s="7" t="n"/>
      <c r="K7247">
        <f>IF(D7247="Legitimate Interest (GDPR Art. 6(1)(f))", "Yes / Required (Sheet 3)", "")</f>
        <v/>
      </c>
      <c r="L7247" s="7" t="n"/>
      <c r="M7247" s="7" t="n"/>
      <c r="N7247">
        <f>IF(D7247="", "Gap - No Legal Basis", IF(AND(D7247="Consent (GDPR Art. 6(1)(a))", I7247="Not Captured"), "Gap - Invalid Consent", IF(AND(D7247="Legitimate Interest (GDPR Art. 6(1)(f))", L7247=""), "Gap - Missing LIA", IF(AND(G7247="Yes", H7247=""), "Gap - Missing Art. 9 Basis", IF(OR(I7247="Invalid - Not Freely Given", I7247="Invalid - Not Specific", I7247="Invalid - Not Informed", I7247="Invalid - Ambiguous"), "Gap - Invalid Consent", "Compliant")))))</f>
        <v/>
      </c>
      <c r="O7247" s="7" t="n"/>
    </row>
    <row r="7248">
      <c r="A7248" s="7" t="n"/>
      <c r="B7248" s="7" t="n"/>
      <c r="C7248" s="7" t="n"/>
      <c r="D7248" s="7" t="n"/>
      <c r="E7248" s="7" t="n"/>
      <c r="F7248" s="7" t="n"/>
      <c r="G7248" s="7" t="n"/>
      <c r="H7248" s="7" t="n"/>
      <c r="I7248" s="7" t="n"/>
      <c r="J7248" s="7" t="n"/>
      <c r="K7248">
        <f>IF(D7248="Legitimate Interest (GDPR Art. 6(1)(f))", "Yes / Required (Sheet 3)", "")</f>
        <v/>
      </c>
      <c r="L7248" s="7" t="n"/>
      <c r="M7248" s="7" t="n"/>
      <c r="N7248">
        <f>IF(D7248="", "Gap - No Legal Basis", IF(AND(D7248="Consent (GDPR Art. 6(1)(a))", I7248="Not Captured"), "Gap - Invalid Consent", IF(AND(D7248="Legitimate Interest (GDPR Art. 6(1)(f))", L7248=""), "Gap - Missing LIA", IF(AND(G7248="Yes", H7248=""), "Gap - Missing Art. 9 Basis", IF(OR(I7248="Invalid - Not Freely Given", I7248="Invalid - Not Specific", I7248="Invalid - Not Informed", I7248="Invalid - Ambiguous"), "Gap - Invalid Consent", "Compliant")))))</f>
        <v/>
      </c>
      <c r="O7248" s="7" t="n"/>
    </row>
    <row r="7249">
      <c r="A7249" s="7" t="n"/>
      <c r="B7249" s="7" t="n"/>
      <c r="C7249" s="7" t="n"/>
      <c r="D7249" s="7" t="n"/>
      <c r="E7249" s="7" t="n"/>
      <c r="F7249" s="7" t="n"/>
      <c r="G7249" s="7" t="n"/>
      <c r="H7249" s="7" t="n"/>
      <c r="I7249" s="7" t="n"/>
      <c r="J7249" s="7" t="n"/>
      <c r="K7249">
        <f>IF(D7249="Legitimate Interest (GDPR Art. 6(1)(f))", "Yes / Required (Sheet 3)", "")</f>
        <v/>
      </c>
      <c r="L7249" s="7" t="n"/>
      <c r="M7249" s="7" t="n"/>
      <c r="N7249">
        <f>IF(D7249="", "Gap - No Legal Basis", IF(AND(D7249="Consent (GDPR Art. 6(1)(a))", I7249="Not Captured"), "Gap - Invalid Consent", IF(AND(D7249="Legitimate Interest (GDPR Art. 6(1)(f))", L7249=""), "Gap - Missing LIA", IF(AND(G7249="Yes", H7249=""), "Gap - Missing Art. 9 Basis", IF(OR(I7249="Invalid - Not Freely Given", I7249="Invalid - Not Specific", I7249="Invalid - Not Informed", I7249="Invalid - Ambiguous"), "Gap - Invalid Consent", "Compliant")))))</f>
        <v/>
      </c>
      <c r="O7249" s="7" t="n"/>
    </row>
    <row r="7250">
      <c r="A7250" s="7" t="n"/>
      <c r="B7250" s="7" t="n"/>
      <c r="C7250" s="7" t="n"/>
      <c r="D7250" s="7" t="n"/>
      <c r="E7250" s="7" t="n"/>
      <c r="F7250" s="7" t="n"/>
      <c r="G7250" s="7" t="n"/>
      <c r="H7250" s="7" t="n"/>
      <c r="I7250" s="7" t="n"/>
      <c r="J7250" s="7" t="n"/>
      <c r="K7250">
        <f>IF(D7250="Legitimate Interest (GDPR Art. 6(1)(f))", "Yes / Required (Sheet 3)", "")</f>
        <v/>
      </c>
      <c r="L7250" s="7" t="n"/>
      <c r="M7250" s="7" t="n"/>
      <c r="N7250">
        <f>IF(D7250="", "Gap - No Legal Basis", IF(AND(D7250="Consent (GDPR Art. 6(1)(a))", I7250="Not Captured"), "Gap - Invalid Consent", IF(AND(D7250="Legitimate Interest (GDPR Art. 6(1)(f))", L7250=""), "Gap - Missing LIA", IF(AND(G7250="Yes", H7250=""), "Gap - Missing Art. 9 Basis", IF(OR(I7250="Invalid - Not Freely Given", I7250="Invalid - Not Specific", I7250="Invalid - Not Informed", I7250="Invalid - Ambiguous"), "Gap - Invalid Consent", "Compliant")))))</f>
        <v/>
      </c>
      <c r="O7250" s="7" t="n"/>
    </row>
    <row r="7251">
      <c r="A7251" s="7" t="n"/>
      <c r="B7251" s="7" t="n"/>
      <c r="C7251" s="7" t="n"/>
      <c r="D7251" s="7" t="n"/>
      <c r="E7251" s="7" t="n"/>
      <c r="F7251" s="7" t="n"/>
      <c r="G7251" s="7" t="n"/>
      <c r="H7251" s="7" t="n"/>
      <c r="I7251" s="7" t="n"/>
      <c r="J7251" s="7" t="n"/>
      <c r="K7251">
        <f>IF(D7251="Legitimate Interest (GDPR Art. 6(1)(f))", "Yes / Required (Sheet 3)", "")</f>
        <v/>
      </c>
      <c r="L7251" s="7" t="n"/>
      <c r="M7251" s="7" t="n"/>
      <c r="N7251">
        <f>IF(D7251="", "Gap - No Legal Basis", IF(AND(D7251="Consent (GDPR Art. 6(1)(a))", I7251="Not Captured"), "Gap - Invalid Consent", IF(AND(D7251="Legitimate Interest (GDPR Art. 6(1)(f))", L7251=""), "Gap - Missing LIA", IF(AND(G7251="Yes", H7251=""), "Gap - Missing Art. 9 Basis", IF(OR(I7251="Invalid - Not Freely Given", I7251="Invalid - Not Specific", I7251="Invalid - Not Informed", I7251="Invalid - Ambiguous"), "Gap - Invalid Consent", "Compliant")))))</f>
        <v/>
      </c>
      <c r="O7251" s="7" t="n"/>
    </row>
    <row r="7252">
      <c r="A7252" s="7" t="n"/>
      <c r="B7252" s="7" t="n"/>
      <c r="C7252" s="7" t="n"/>
      <c r="D7252" s="7" t="n"/>
      <c r="E7252" s="7" t="n"/>
      <c r="F7252" s="7" t="n"/>
      <c r="G7252" s="7" t="n"/>
      <c r="H7252" s="7" t="n"/>
      <c r="I7252" s="7" t="n"/>
      <c r="J7252" s="7" t="n"/>
      <c r="K7252">
        <f>IF(D7252="Legitimate Interest (GDPR Art. 6(1)(f))", "Yes / Required (Sheet 3)", "")</f>
        <v/>
      </c>
      <c r="L7252" s="7" t="n"/>
      <c r="M7252" s="7" t="n"/>
      <c r="N7252">
        <f>IF(D7252="", "Gap - No Legal Basis", IF(AND(D7252="Consent (GDPR Art. 6(1)(a))", I7252="Not Captured"), "Gap - Invalid Consent", IF(AND(D7252="Legitimate Interest (GDPR Art. 6(1)(f))", L7252=""), "Gap - Missing LIA", IF(AND(G7252="Yes", H7252=""), "Gap - Missing Art. 9 Basis", IF(OR(I7252="Invalid - Not Freely Given", I7252="Invalid - Not Specific", I7252="Invalid - Not Informed", I7252="Invalid - Ambiguous"), "Gap - Invalid Consent", "Compliant")))))</f>
        <v/>
      </c>
      <c r="O7252" s="7" t="n"/>
    </row>
    <row r="7253">
      <c r="A7253" s="7" t="n"/>
      <c r="B7253" s="7" t="n"/>
      <c r="C7253" s="7" t="n"/>
      <c r="D7253" s="7" t="n"/>
      <c r="E7253" s="7" t="n"/>
      <c r="F7253" s="7" t="n"/>
      <c r="G7253" s="7" t="n"/>
      <c r="H7253" s="7" t="n"/>
      <c r="I7253" s="7" t="n"/>
      <c r="J7253" s="7" t="n"/>
      <c r="K7253">
        <f>IF(D7253="Legitimate Interest (GDPR Art. 6(1)(f))", "Yes / Required (Sheet 3)", "")</f>
        <v/>
      </c>
      <c r="L7253" s="7" t="n"/>
      <c r="M7253" s="7" t="n"/>
      <c r="N7253">
        <f>IF(D7253="", "Gap - No Legal Basis", IF(AND(D7253="Consent (GDPR Art. 6(1)(a))", I7253="Not Captured"), "Gap - Invalid Consent", IF(AND(D7253="Legitimate Interest (GDPR Art. 6(1)(f))", L7253=""), "Gap - Missing LIA", IF(AND(G7253="Yes", H7253=""), "Gap - Missing Art. 9 Basis", IF(OR(I7253="Invalid - Not Freely Given", I7253="Invalid - Not Specific", I7253="Invalid - Not Informed", I7253="Invalid - Ambiguous"), "Gap - Invalid Consent", "Compliant")))))</f>
        <v/>
      </c>
      <c r="O7253" s="7" t="n"/>
    </row>
    <row r="7254">
      <c r="A7254" s="7" t="n"/>
      <c r="B7254" s="7" t="n"/>
      <c r="C7254" s="7" t="n"/>
      <c r="D7254" s="7" t="n"/>
      <c r="E7254" s="7" t="n"/>
      <c r="F7254" s="7" t="n"/>
      <c r="G7254" s="7" t="n"/>
      <c r="H7254" s="7" t="n"/>
      <c r="I7254" s="7" t="n"/>
      <c r="J7254" s="7" t="n"/>
      <c r="K7254">
        <f>IF(D7254="Legitimate Interest (GDPR Art. 6(1)(f))", "Yes / Required (Sheet 3)", "")</f>
        <v/>
      </c>
      <c r="L7254" s="7" t="n"/>
      <c r="M7254" s="7" t="n"/>
      <c r="N7254">
        <f>IF(D7254="", "Gap - No Legal Basis", IF(AND(D7254="Consent (GDPR Art. 6(1)(a))", I7254="Not Captured"), "Gap - Invalid Consent", IF(AND(D7254="Legitimate Interest (GDPR Art. 6(1)(f))", L7254=""), "Gap - Missing LIA", IF(AND(G7254="Yes", H7254=""), "Gap - Missing Art. 9 Basis", IF(OR(I7254="Invalid - Not Freely Given", I7254="Invalid - Not Specific", I7254="Invalid - Not Informed", I7254="Invalid - Ambiguous"), "Gap - Invalid Consent", "Compliant")))))</f>
        <v/>
      </c>
      <c r="O7254" s="7" t="n"/>
    </row>
    <row r="7255">
      <c r="A7255" s="7" t="n"/>
      <c r="B7255" s="7" t="n"/>
      <c r="C7255" s="7" t="n"/>
      <c r="D7255" s="7" t="n"/>
      <c r="E7255" s="7" t="n"/>
      <c r="F7255" s="7" t="n"/>
      <c r="G7255" s="7" t="n"/>
      <c r="H7255" s="7" t="n"/>
      <c r="I7255" s="7" t="n"/>
      <c r="J7255" s="7" t="n"/>
      <c r="K7255">
        <f>IF(D7255="Legitimate Interest (GDPR Art. 6(1)(f))", "Yes / Required (Sheet 3)", "")</f>
        <v/>
      </c>
      <c r="L7255" s="7" t="n"/>
      <c r="M7255" s="7" t="n"/>
      <c r="N7255">
        <f>IF(D7255="", "Gap - No Legal Basis", IF(AND(D7255="Consent (GDPR Art. 6(1)(a))", I7255="Not Captured"), "Gap - Invalid Consent", IF(AND(D7255="Legitimate Interest (GDPR Art. 6(1)(f))", L7255=""), "Gap - Missing LIA", IF(AND(G7255="Yes", H7255=""), "Gap - Missing Art. 9 Basis", IF(OR(I7255="Invalid - Not Freely Given", I7255="Invalid - Not Specific", I7255="Invalid - Not Informed", I7255="Invalid - Ambiguous"), "Gap - Invalid Consent", "Compliant")))))</f>
        <v/>
      </c>
      <c r="O7255" s="7" t="n"/>
    </row>
    <row r="7256">
      <c r="A7256" s="7" t="n"/>
      <c r="B7256" s="7" t="n"/>
      <c r="C7256" s="7" t="n"/>
      <c r="D7256" s="7" t="n"/>
      <c r="E7256" s="7" t="n"/>
      <c r="F7256" s="7" t="n"/>
      <c r="G7256" s="7" t="n"/>
      <c r="H7256" s="7" t="n"/>
      <c r="I7256" s="7" t="n"/>
      <c r="J7256" s="7" t="n"/>
      <c r="K7256">
        <f>IF(D7256="Legitimate Interest (GDPR Art. 6(1)(f))", "Yes / Required (Sheet 3)", "")</f>
        <v/>
      </c>
      <c r="L7256" s="7" t="n"/>
      <c r="M7256" s="7" t="n"/>
      <c r="N7256">
        <f>IF(D7256="", "Gap - No Legal Basis", IF(AND(D7256="Consent (GDPR Art. 6(1)(a))", I7256="Not Captured"), "Gap - Invalid Consent", IF(AND(D7256="Legitimate Interest (GDPR Art. 6(1)(f))", L7256=""), "Gap - Missing LIA", IF(AND(G7256="Yes", H7256=""), "Gap - Missing Art. 9 Basis", IF(OR(I7256="Invalid - Not Freely Given", I7256="Invalid - Not Specific", I7256="Invalid - Not Informed", I7256="Invalid - Ambiguous"), "Gap - Invalid Consent", "Compliant")))))</f>
        <v/>
      </c>
      <c r="O7256" s="7" t="n"/>
    </row>
    <row r="7257">
      <c r="A7257" s="7" t="n"/>
      <c r="B7257" s="7" t="n"/>
      <c r="C7257" s="7" t="n"/>
      <c r="D7257" s="7" t="n"/>
      <c r="E7257" s="7" t="n"/>
      <c r="F7257" s="7" t="n"/>
      <c r="G7257" s="7" t="n"/>
      <c r="H7257" s="7" t="n"/>
      <c r="I7257" s="7" t="n"/>
      <c r="J7257" s="7" t="n"/>
      <c r="K7257">
        <f>IF(D7257="Legitimate Interest (GDPR Art. 6(1)(f))", "Yes / Required (Sheet 3)", "")</f>
        <v/>
      </c>
      <c r="L7257" s="7" t="n"/>
      <c r="M7257" s="7" t="n"/>
      <c r="N7257">
        <f>IF(D7257="", "Gap - No Legal Basis", IF(AND(D7257="Consent (GDPR Art. 6(1)(a))", I7257="Not Captured"), "Gap - Invalid Consent", IF(AND(D7257="Legitimate Interest (GDPR Art. 6(1)(f))", L7257=""), "Gap - Missing LIA", IF(AND(G7257="Yes", H7257=""), "Gap - Missing Art. 9 Basis", IF(OR(I7257="Invalid - Not Freely Given", I7257="Invalid - Not Specific", I7257="Invalid - Not Informed", I7257="Invalid - Ambiguous"), "Gap - Invalid Consent", "Compliant")))))</f>
        <v/>
      </c>
      <c r="O7257" s="7" t="n"/>
    </row>
    <row r="7258">
      <c r="A7258" s="7" t="n"/>
      <c r="B7258" s="7" t="n"/>
      <c r="C7258" s="7" t="n"/>
      <c r="D7258" s="7" t="n"/>
      <c r="E7258" s="7" t="n"/>
      <c r="F7258" s="7" t="n"/>
      <c r="G7258" s="7" t="n"/>
      <c r="H7258" s="7" t="n"/>
      <c r="I7258" s="7" t="n"/>
      <c r="J7258" s="7" t="n"/>
      <c r="K7258">
        <f>IF(D7258="Legitimate Interest (GDPR Art. 6(1)(f))", "Yes / Required (Sheet 3)", "")</f>
        <v/>
      </c>
      <c r="L7258" s="7" t="n"/>
      <c r="M7258" s="7" t="n"/>
      <c r="N7258">
        <f>IF(D7258="", "Gap - No Legal Basis", IF(AND(D7258="Consent (GDPR Art. 6(1)(a))", I7258="Not Captured"), "Gap - Invalid Consent", IF(AND(D7258="Legitimate Interest (GDPR Art. 6(1)(f))", L7258=""), "Gap - Missing LIA", IF(AND(G7258="Yes", H7258=""), "Gap - Missing Art. 9 Basis", IF(OR(I7258="Invalid - Not Freely Given", I7258="Invalid - Not Specific", I7258="Invalid - Not Informed", I7258="Invalid - Ambiguous"), "Gap - Invalid Consent", "Compliant")))))</f>
        <v/>
      </c>
      <c r="O7258" s="7" t="n"/>
    </row>
    <row r="7259">
      <c r="A7259" s="7" t="n"/>
      <c r="B7259" s="7" t="n"/>
      <c r="C7259" s="7" t="n"/>
      <c r="D7259" s="7" t="n"/>
      <c r="E7259" s="7" t="n"/>
      <c r="F7259" s="7" t="n"/>
      <c r="G7259" s="7" t="n"/>
      <c r="H7259" s="7" t="n"/>
      <c r="I7259" s="7" t="n"/>
      <c r="J7259" s="7" t="n"/>
      <c r="K7259">
        <f>IF(D7259="Legitimate Interest (GDPR Art. 6(1)(f))", "Yes / Required (Sheet 3)", "")</f>
        <v/>
      </c>
      <c r="L7259" s="7" t="n"/>
      <c r="M7259" s="7" t="n"/>
      <c r="N7259">
        <f>IF(D7259="", "Gap - No Legal Basis", IF(AND(D7259="Consent (GDPR Art. 6(1)(a))", I7259="Not Captured"), "Gap - Invalid Consent", IF(AND(D7259="Legitimate Interest (GDPR Art. 6(1)(f))", L7259=""), "Gap - Missing LIA", IF(AND(G7259="Yes", H7259=""), "Gap - Missing Art. 9 Basis", IF(OR(I7259="Invalid - Not Freely Given", I7259="Invalid - Not Specific", I7259="Invalid - Not Informed", I7259="Invalid - Ambiguous"), "Gap - Invalid Consent", "Compliant")))))</f>
        <v/>
      </c>
      <c r="O7259" s="7" t="n"/>
    </row>
    <row r="7260">
      <c r="A7260" s="7" t="n"/>
      <c r="B7260" s="7" t="n"/>
      <c r="C7260" s="7" t="n"/>
      <c r="D7260" s="7" t="n"/>
      <c r="E7260" s="7" t="n"/>
      <c r="F7260" s="7" t="n"/>
      <c r="G7260" s="7" t="n"/>
      <c r="H7260" s="7" t="n"/>
      <c r="I7260" s="7" t="n"/>
      <c r="J7260" s="7" t="n"/>
      <c r="K7260">
        <f>IF(D7260="Legitimate Interest (GDPR Art. 6(1)(f))", "Yes / Required (Sheet 3)", "")</f>
        <v/>
      </c>
      <c r="L7260" s="7" t="n"/>
      <c r="M7260" s="7" t="n"/>
      <c r="N7260">
        <f>IF(D7260="", "Gap - No Legal Basis", IF(AND(D7260="Consent (GDPR Art. 6(1)(a))", I7260="Not Captured"), "Gap - Invalid Consent", IF(AND(D7260="Legitimate Interest (GDPR Art. 6(1)(f))", L7260=""), "Gap - Missing LIA", IF(AND(G7260="Yes", H7260=""), "Gap - Missing Art. 9 Basis", IF(OR(I7260="Invalid - Not Freely Given", I7260="Invalid - Not Specific", I7260="Invalid - Not Informed", I7260="Invalid - Ambiguous"), "Gap - Invalid Consent", "Compliant")))))</f>
        <v/>
      </c>
      <c r="O7260" s="7" t="n"/>
    </row>
    <row r="7261">
      <c r="A7261" s="7" t="n"/>
      <c r="B7261" s="7" t="n"/>
      <c r="C7261" s="7" t="n"/>
      <c r="D7261" s="7" t="n"/>
      <c r="E7261" s="7" t="n"/>
      <c r="F7261" s="7" t="n"/>
      <c r="G7261" s="7" t="n"/>
      <c r="H7261" s="7" t="n"/>
      <c r="I7261" s="7" t="n"/>
      <c r="J7261" s="7" t="n"/>
      <c r="K7261">
        <f>IF(D7261="Legitimate Interest (GDPR Art. 6(1)(f))", "Yes / Required (Sheet 3)", "")</f>
        <v/>
      </c>
      <c r="L7261" s="7" t="n"/>
      <c r="M7261" s="7" t="n"/>
      <c r="N7261">
        <f>IF(D7261="", "Gap - No Legal Basis", IF(AND(D7261="Consent (GDPR Art. 6(1)(a))", I7261="Not Captured"), "Gap - Invalid Consent", IF(AND(D7261="Legitimate Interest (GDPR Art. 6(1)(f))", L7261=""), "Gap - Missing LIA", IF(AND(G7261="Yes", H7261=""), "Gap - Missing Art. 9 Basis", IF(OR(I7261="Invalid - Not Freely Given", I7261="Invalid - Not Specific", I7261="Invalid - Not Informed", I7261="Invalid - Ambiguous"), "Gap - Invalid Consent", "Compliant")))))</f>
        <v/>
      </c>
      <c r="O7261" s="7" t="n"/>
    </row>
    <row r="7262">
      <c r="A7262" s="7" t="n"/>
      <c r="B7262" s="7" t="n"/>
      <c r="C7262" s="7" t="n"/>
      <c r="D7262" s="7" t="n"/>
      <c r="E7262" s="7" t="n"/>
      <c r="F7262" s="7" t="n"/>
      <c r="G7262" s="7" t="n"/>
      <c r="H7262" s="7" t="n"/>
      <c r="I7262" s="7" t="n"/>
      <c r="J7262" s="7" t="n"/>
      <c r="K7262">
        <f>IF(D7262="Legitimate Interest (GDPR Art. 6(1)(f))", "Yes / Required (Sheet 3)", "")</f>
        <v/>
      </c>
      <c r="L7262" s="7" t="n"/>
      <c r="M7262" s="7" t="n"/>
      <c r="N7262">
        <f>IF(D7262="", "Gap - No Legal Basis", IF(AND(D7262="Consent (GDPR Art. 6(1)(a))", I7262="Not Captured"), "Gap - Invalid Consent", IF(AND(D7262="Legitimate Interest (GDPR Art. 6(1)(f))", L7262=""), "Gap - Missing LIA", IF(AND(G7262="Yes", H7262=""), "Gap - Missing Art. 9 Basis", IF(OR(I7262="Invalid - Not Freely Given", I7262="Invalid - Not Specific", I7262="Invalid - Not Informed", I7262="Invalid - Ambiguous"), "Gap - Invalid Consent", "Compliant")))))</f>
        <v/>
      </c>
      <c r="O7262" s="7" t="n"/>
    </row>
    <row r="7263">
      <c r="A7263" s="7" t="n"/>
      <c r="B7263" s="7" t="n"/>
      <c r="C7263" s="7" t="n"/>
      <c r="D7263" s="7" t="n"/>
      <c r="E7263" s="7" t="n"/>
      <c r="F7263" s="7" t="n"/>
      <c r="G7263" s="7" t="n"/>
      <c r="H7263" s="7" t="n"/>
      <c r="I7263" s="7" t="n"/>
      <c r="J7263" s="7" t="n"/>
      <c r="K7263">
        <f>IF(D7263="Legitimate Interest (GDPR Art. 6(1)(f))", "Yes / Required (Sheet 3)", "")</f>
        <v/>
      </c>
      <c r="L7263" s="7" t="n"/>
      <c r="M7263" s="7" t="n"/>
      <c r="N7263">
        <f>IF(D7263="", "Gap - No Legal Basis", IF(AND(D7263="Consent (GDPR Art. 6(1)(a))", I7263="Not Captured"), "Gap - Invalid Consent", IF(AND(D7263="Legitimate Interest (GDPR Art. 6(1)(f))", L7263=""), "Gap - Missing LIA", IF(AND(G7263="Yes", H7263=""), "Gap - Missing Art. 9 Basis", IF(OR(I7263="Invalid - Not Freely Given", I7263="Invalid - Not Specific", I7263="Invalid - Not Informed", I7263="Invalid - Ambiguous"), "Gap - Invalid Consent", "Compliant")))))</f>
        <v/>
      </c>
      <c r="O7263" s="7" t="n"/>
    </row>
    <row r="7264">
      <c r="A7264" s="7" t="n"/>
      <c r="B7264" s="7" t="n"/>
      <c r="C7264" s="7" t="n"/>
      <c r="D7264" s="7" t="n"/>
      <c r="E7264" s="7" t="n"/>
      <c r="F7264" s="7" t="n"/>
      <c r="G7264" s="7" t="n"/>
      <c r="H7264" s="7" t="n"/>
      <c r="I7264" s="7" t="n"/>
      <c r="J7264" s="7" t="n"/>
      <c r="K7264">
        <f>IF(D7264="Legitimate Interest (GDPR Art. 6(1)(f))", "Yes / Required (Sheet 3)", "")</f>
        <v/>
      </c>
      <c r="L7264" s="7" t="n"/>
      <c r="M7264" s="7" t="n"/>
      <c r="N7264">
        <f>IF(D7264="", "Gap - No Legal Basis", IF(AND(D7264="Consent (GDPR Art. 6(1)(a))", I7264="Not Captured"), "Gap - Invalid Consent", IF(AND(D7264="Legitimate Interest (GDPR Art. 6(1)(f))", L7264=""), "Gap - Missing LIA", IF(AND(G7264="Yes", H7264=""), "Gap - Missing Art. 9 Basis", IF(OR(I7264="Invalid - Not Freely Given", I7264="Invalid - Not Specific", I7264="Invalid - Not Informed", I7264="Invalid - Ambiguous"), "Gap - Invalid Consent", "Compliant")))))</f>
        <v/>
      </c>
      <c r="O7264" s="7" t="n"/>
    </row>
    <row r="7265">
      <c r="A7265" s="7" t="n"/>
      <c r="B7265" s="7" t="n"/>
      <c r="C7265" s="7" t="n"/>
      <c r="D7265" s="7" t="n"/>
      <c r="E7265" s="7" t="n"/>
      <c r="F7265" s="7" t="n"/>
      <c r="G7265" s="7" t="n"/>
      <c r="H7265" s="7" t="n"/>
      <c r="I7265" s="7" t="n"/>
      <c r="J7265" s="7" t="n"/>
      <c r="K7265">
        <f>IF(D7265="Legitimate Interest (GDPR Art. 6(1)(f))", "Yes / Required (Sheet 3)", "")</f>
        <v/>
      </c>
      <c r="L7265" s="7" t="n"/>
      <c r="M7265" s="7" t="n"/>
      <c r="N7265">
        <f>IF(D7265="", "Gap - No Legal Basis", IF(AND(D7265="Consent (GDPR Art. 6(1)(a))", I7265="Not Captured"), "Gap - Invalid Consent", IF(AND(D7265="Legitimate Interest (GDPR Art. 6(1)(f))", L7265=""), "Gap - Missing LIA", IF(AND(G7265="Yes", H7265=""), "Gap - Missing Art. 9 Basis", IF(OR(I7265="Invalid - Not Freely Given", I7265="Invalid - Not Specific", I7265="Invalid - Not Informed", I7265="Invalid - Ambiguous"), "Gap - Invalid Consent", "Compliant")))))</f>
        <v/>
      </c>
      <c r="O7265" s="7" t="n"/>
    </row>
    <row r="7266">
      <c r="A7266" s="7" t="n"/>
      <c r="B7266" s="7" t="n"/>
      <c r="C7266" s="7" t="n"/>
      <c r="D7266" s="7" t="n"/>
      <c r="E7266" s="7" t="n"/>
      <c r="F7266" s="7" t="n"/>
      <c r="G7266" s="7" t="n"/>
      <c r="H7266" s="7" t="n"/>
      <c r="I7266" s="7" t="n"/>
      <c r="J7266" s="7" t="n"/>
      <c r="K7266">
        <f>IF(D7266="Legitimate Interest (GDPR Art. 6(1)(f))", "Yes / Required (Sheet 3)", "")</f>
        <v/>
      </c>
      <c r="L7266" s="7" t="n"/>
      <c r="M7266" s="7" t="n"/>
      <c r="N7266">
        <f>IF(D7266="", "Gap - No Legal Basis", IF(AND(D7266="Consent (GDPR Art. 6(1)(a))", I7266="Not Captured"), "Gap - Invalid Consent", IF(AND(D7266="Legitimate Interest (GDPR Art. 6(1)(f))", L7266=""), "Gap - Missing LIA", IF(AND(G7266="Yes", H7266=""), "Gap - Missing Art. 9 Basis", IF(OR(I7266="Invalid - Not Freely Given", I7266="Invalid - Not Specific", I7266="Invalid - Not Informed", I7266="Invalid - Ambiguous"), "Gap - Invalid Consent", "Compliant")))))</f>
        <v/>
      </c>
      <c r="O7266" s="7" t="n"/>
    </row>
    <row r="7267">
      <c r="A7267" s="7" t="n"/>
      <c r="B7267" s="7" t="n"/>
      <c r="C7267" s="7" t="n"/>
      <c r="D7267" s="7" t="n"/>
      <c r="E7267" s="7" t="n"/>
      <c r="F7267" s="7" t="n"/>
      <c r="G7267" s="7" t="n"/>
      <c r="H7267" s="7" t="n"/>
      <c r="I7267" s="7" t="n"/>
      <c r="J7267" s="7" t="n"/>
      <c r="K7267">
        <f>IF(D7267="Legitimate Interest (GDPR Art. 6(1)(f))", "Yes / Required (Sheet 3)", "")</f>
        <v/>
      </c>
      <c r="L7267" s="7" t="n"/>
      <c r="M7267" s="7" t="n"/>
      <c r="N7267">
        <f>IF(D7267="", "Gap - No Legal Basis", IF(AND(D7267="Consent (GDPR Art. 6(1)(a))", I7267="Not Captured"), "Gap - Invalid Consent", IF(AND(D7267="Legitimate Interest (GDPR Art. 6(1)(f))", L7267=""), "Gap - Missing LIA", IF(AND(G7267="Yes", H7267=""), "Gap - Missing Art. 9 Basis", IF(OR(I7267="Invalid - Not Freely Given", I7267="Invalid - Not Specific", I7267="Invalid - Not Informed", I7267="Invalid - Ambiguous"), "Gap - Invalid Consent", "Compliant")))))</f>
        <v/>
      </c>
      <c r="O7267" s="7" t="n"/>
    </row>
    <row r="7268">
      <c r="A7268" s="7" t="n"/>
      <c r="B7268" s="7" t="n"/>
      <c r="C7268" s="7" t="n"/>
      <c r="D7268" s="7" t="n"/>
      <c r="E7268" s="7" t="n"/>
      <c r="F7268" s="7" t="n"/>
      <c r="G7268" s="7" t="n"/>
      <c r="H7268" s="7" t="n"/>
      <c r="I7268" s="7" t="n"/>
      <c r="J7268" s="7" t="n"/>
      <c r="K7268">
        <f>IF(D7268="Legitimate Interest (GDPR Art. 6(1)(f))", "Yes / Required (Sheet 3)", "")</f>
        <v/>
      </c>
      <c r="L7268" s="7" t="n"/>
      <c r="M7268" s="7" t="n"/>
      <c r="N7268">
        <f>IF(D7268="", "Gap - No Legal Basis", IF(AND(D7268="Consent (GDPR Art. 6(1)(a))", I7268="Not Captured"), "Gap - Invalid Consent", IF(AND(D7268="Legitimate Interest (GDPR Art. 6(1)(f))", L7268=""), "Gap - Missing LIA", IF(AND(G7268="Yes", H7268=""), "Gap - Missing Art. 9 Basis", IF(OR(I7268="Invalid - Not Freely Given", I7268="Invalid - Not Specific", I7268="Invalid - Not Informed", I7268="Invalid - Ambiguous"), "Gap - Invalid Consent", "Compliant")))))</f>
        <v/>
      </c>
      <c r="O7268" s="7" t="n"/>
    </row>
    <row r="7269">
      <c r="A7269" s="7" t="n"/>
      <c r="B7269" s="7" t="n"/>
      <c r="C7269" s="7" t="n"/>
      <c r="D7269" s="7" t="n"/>
      <c r="E7269" s="7" t="n"/>
      <c r="F7269" s="7" t="n"/>
      <c r="G7269" s="7" t="n"/>
      <c r="H7269" s="7" t="n"/>
      <c r="I7269" s="7" t="n"/>
      <c r="J7269" s="7" t="n"/>
      <c r="K7269">
        <f>IF(D7269="Legitimate Interest (GDPR Art. 6(1)(f))", "Yes / Required (Sheet 3)", "")</f>
        <v/>
      </c>
      <c r="L7269" s="7" t="n"/>
      <c r="M7269" s="7" t="n"/>
      <c r="N7269">
        <f>IF(D7269="", "Gap - No Legal Basis", IF(AND(D7269="Consent (GDPR Art. 6(1)(a))", I7269="Not Captured"), "Gap - Invalid Consent", IF(AND(D7269="Legitimate Interest (GDPR Art. 6(1)(f))", L7269=""), "Gap - Missing LIA", IF(AND(G7269="Yes", H7269=""), "Gap - Missing Art. 9 Basis", IF(OR(I7269="Invalid - Not Freely Given", I7269="Invalid - Not Specific", I7269="Invalid - Not Informed", I7269="Invalid - Ambiguous"), "Gap - Invalid Consent", "Compliant")))))</f>
        <v/>
      </c>
      <c r="O7269" s="7" t="n"/>
    </row>
    <row r="7270">
      <c r="A7270" s="7" t="n"/>
      <c r="B7270" s="7" t="n"/>
      <c r="C7270" s="7" t="n"/>
      <c r="D7270" s="7" t="n"/>
      <c r="E7270" s="7" t="n"/>
      <c r="F7270" s="7" t="n"/>
      <c r="G7270" s="7" t="n"/>
      <c r="H7270" s="7" t="n"/>
      <c r="I7270" s="7" t="n"/>
      <c r="J7270" s="7" t="n"/>
      <c r="K7270">
        <f>IF(D7270="Legitimate Interest (GDPR Art. 6(1)(f))", "Yes / Required (Sheet 3)", "")</f>
        <v/>
      </c>
      <c r="L7270" s="7" t="n"/>
      <c r="M7270" s="7" t="n"/>
      <c r="N7270">
        <f>IF(D7270="", "Gap - No Legal Basis", IF(AND(D7270="Consent (GDPR Art. 6(1)(a))", I7270="Not Captured"), "Gap - Invalid Consent", IF(AND(D7270="Legitimate Interest (GDPR Art. 6(1)(f))", L7270=""), "Gap - Missing LIA", IF(AND(G7270="Yes", H7270=""), "Gap - Missing Art. 9 Basis", IF(OR(I7270="Invalid - Not Freely Given", I7270="Invalid - Not Specific", I7270="Invalid - Not Informed", I7270="Invalid - Ambiguous"), "Gap - Invalid Consent", "Compliant")))))</f>
        <v/>
      </c>
      <c r="O7270" s="7" t="n"/>
    </row>
    <row r="7271">
      <c r="A7271" s="7" t="n"/>
      <c r="B7271" s="7" t="n"/>
      <c r="C7271" s="7" t="n"/>
      <c r="D7271" s="7" t="n"/>
      <c r="E7271" s="7" t="n"/>
      <c r="F7271" s="7" t="n"/>
      <c r="G7271" s="7" t="n"/>
      <c r="H7271" s="7" t="n"/>
      <c r="I7271" s="7" t="n"/>
      <c r="J7271" s="7" t="n"/>
      <c r="K7271">
        <f>IF(D7271="Legitimate Interest (GDPR Art. 6(1)(f))", "Yes / Required (Sheet 3)", "")</f>
        <v/>
      </c>
      <c r="L7271" s="7" t="n"/>
      <c r="M7271" s="7" t="n"/>
      <c r="N7271">
        <f>IF(D7271="", "Gap - No Legal Basis", IF(AND(D7271="Consent (GDPR Art. 6(1)(a))", I7271="Not Captured"), "Gap - Invalid Consent", IF(AND(D7271="Legitimate Interest (GDPR Art. 6(1)(f))", L7271=""), "Gap - Missing LIA", IF(AND(G7271="Yes", H7271=""), "Gap - Missing Art. 9 Basis", IF(OR(I7271="Invalid - Not Freely Given", I7271="Invalid - Not Specific", I7271="Invalid - Not Informed", I7271="Invalid - Ambiguous"), "Gap - Invalid Consent", "Compliant")))))</f>
        <v/>
      </c>
      <c r="O7271" s="7" t="n"/>
    </row>
    <row r="7272">
      <c r="A7272" s="7" t="n"/>
      <c r="B7272" s="7" t="n"/>
      <c r="C7272" s="7" t="n"/>
      <c r="D7272" s="7" t="n"/>
      <c r="E7272" s="7" t="n"/>
      <c r="F7272" s="7" t="n"/>
      <c r="G7272" s="7" t="n"/>
      <c r="H7272" s="7" t="n"/>
      <c r="I7272" s="7" t="n"/>
      <c r="J7272" s="7" t="n"/>
      <c r="K7272">
        <f>IF(D7272="Legitimate Interest (GDPR Art. 6(1)(f))", "Yes / Required (Sheet 3)", "")</f>
        <v/>
      </c>
      <c r="L7272" s="7" t="n"/>
      <c r="M7272" s="7" t="n"/>
      <c r="N7272">
        <f>IF(D7272="", "Gap - No Legal Basis", IF(AND(D7272="Consent (GDPR Art. 6(1)(a))", I7272="Not Captured"), "Gap - Invalid Consent", IF(AND(D7272="Legitimate Interest (GDPR Art. 6(1)(f))", L7272=""), "Gap - Missing LIA", IF(AND(G7272="Yes", H7272=""), "Gap - Missing Art. 9 Basis", IF(OR(I7272="Invalid - Not Freely Given", I7272="Invalid - Not Specific", I7272="Invalid - Not Informed", I7272="Invalid - Ambiguous"), "Gap - Invalid Consent", "Compliant")))))</f>
        <v/>
      </c>
      <c r="O7272" s="7" t="n"/>
    </row>
    <row r="7273">
      <c r="A7273" s="7" t="n"/>
      <c r="B7273" s="7" t="n"/>
      <c r="C7273" s="7" t="n"/>
      <c r="D7273" s="7" t="n"/>
      <c r="E7273" s="7" t="n"/>
      <c r="F7273" s="7" t="n"/>
      <c r="G7273" s="7" t="n"/>
      <c r="H7273" s="7" t="n"/>
      <c r="I7273" s="7" t="n"/>
      <c r="J7273" s="7" t="n"/>
      <c r="K7273">
        <f>IF(D7273="Legitimate Interest (GDPR Art. 6(1)(f))", "Yes / Required (Sheet 3)", "")</f>
        <v/>
      </c>
      <c r="L7273" s="7" t="n"/>
      <c r="M7273" s="7" t="n"/>
      <c r="N7273">
        <f>IF(D7273="", "Gap - No Legal Basis", IF(AND(D7273="Consent (GDPR Art. 6(1)(a))", I7273="Not Captured"), "Gap - Invalid Consent", IF(AND(D7273="Legitimate Interest (GDPR Art. 6(1)(f))", L7273=""), "Gap - Missing LIA", IF(AND(G7273="Yes", H7273=""), "Gap - Missing Art. 9 Basis", IF(OR(I7273="Invalid - Not Freely Given", I7273="Invalid - Not Specific", I7273="Invalid - Not Informed", I7273="Invalid - Ambiguous"), "Gap - Invalid Consent", "Compliant")))))</f>
        <v/>
      </c>
      <c r="O7273" s="7" t="n"/>
    </row>
    <row r="7274">
      <c r="A7274" s="7" t="n"/>
      <c r="B7274" s="7" t="n"/>
      <c r="C7274" s="7" t="n"/>
      <c r="D7274" s="7" t="n"/>
      <c r="E7274" s="7" t="n"/>
      <c r="F7274" s="7" t="n"/>
      <c r="G7274" s="7" t="n"/>
      <c r="H7274" s="7" t="n"/>
      <c r="I7274" s="7" t="n"/>
      <c r="J7274" s="7" t="n"/>
      <c r="K7274">
        <f>IF(D7274="Legitimate Interest (GDPR Art. 6(1)(f))", "Yes / Required (Sheet 3)", "")</f>
        <v/>
      </c>
      <c r="L7274" s="7" t="n"/>
      <c r="M7274" s="7" t="n"/>
      <c r="N7274">
        <f>IF(D7274="", "Gap - No Legal Basis", IF(AND(D7274="Consent (GDPR Art. 6(1)(a))", I7274="Not Captured"), "Gap - Invalid Consent", IF(AND(D7274="Legitimate Interest (GDPR Art. 6(1)(f))", L7274=""), "Gap - Missing LIA", IF(AND(G7274="Yes", H7274=""), "Gap - Missing Art. 9 Basis", IF(OR(I7274="Invalid - Not Freely Given", I7274="Invalid - Not Specific", I7274="Invalid - Not Informed", I7274="Invalid - Ambiguous"), "Gap - Invalid Consent", "Compliant")))))</f>
        <v/>
      </c>
      <c r="O7274" s="7" t="n"/>
    </row>
    <row r="7275">
      <c r="A7275" s="7" t="n"/>
      <c r="B7275" s="7" t="n"/>
      <c r="C7275" s="7" t="n"/>
      <c r="D7275" s="7" t="n"/>
      <c r="E7275" s="7" t="n"/>
      <c r="F7275" s="7" t="n"/>
      <c r="G7275" s="7" t="n"/>
      <c r="H7275" s="7" t="n"/>
      <c r="I7275" s="7" t="n"/>
      <c r="J7275" s="7" t="n"/>
      <c r="K7275">
        <f>IF(D7275="Legitimate Interest (GDPR Art. 6(1)(f))", "Yes / Required (Sheet 3)", "")</f>
        <v/>
      </c>
      <c r="L7275" s="7" t="n"/>
      <c r="M7275" s="7" t="n"/>
      <c r="N7275">
        <f>IF(D7275="", "Gap - No Legal Basis", IF(AND(D7275="Consent (GDPR Art. 6(1)(a))", I7275="Not Captured"), "Gap - Invalid Consent", IF(AND(D7275="Legitimate Interest (GDPR Art. 6(1)(f))", L7275=""), "Gap - Missing LIA", IF(AND(G7275="Yes", H7275=""), "Gap - Missing Art. 9 Basis", IF(OR(I7275="Invalid - Not Freely Given", I7275="Invalid - Not Specific", I7275="Invalid - Not Informed", I7275="Invalid - Ambiguous"), "Gap - Invalid Consent", "Compliant")))))</f>
        <v/>
      </c>
      <c r="O7275" s="7" t="n"/>
    </row>
    <row r="7276">
      <c r="A7276" s="7" t="n"/>
      <c r="B7276" s="7" t="n"/>
      <c r="C7276" s="7" t="n"/>
      <c r="D7276" s="7" t="n"/>
      <c r="E7276" s="7" t="n"/>
      <c r="F7276" s="7" t="n"/>
      <c r="G7276" s="7" t="n"/>
      <c r="H7276" s="7" t="n"/>
      <c r="I7276" s="7" t="n"/>
      <c r="J7276" s="7" t="n"/>
      <c r="K7276">
        <f>IF(D7276="Legitimate Interest (GDPR Art. 6(1)(f))", "Yes / Required (Sheet 3)", "")</f>
        <v/>
      </c>
      <c r="L7276" s="7" t="n"/>
      <c r="M7276" s="7" t="n"/>
      <c r="N7276">
        <f>IF(D7276="", "Gap - No Legal Basis", IF(AND(D7276="Consent (GDPR Art. 6(1)(a))", I7276="Not Captured"), "Gap - Invalid Consent", IF(AND(D7276="Legitimate Interest (GDPR Art. 6(1)(f))", L7276=""), "Gap - Missing LIA", IF(AND(G7276="Yes", H7276=""), "Gap - Missing Art. 9 Basis", IF(OR(I7276="Invalid - Not Freely Given", I7276="Invalid - Not Specific", I7276="Invalid - Not Informed", I7276="Invalid - Ambiguous"), "Gap - Invalid Consent", "Compliant")))))</f>
        <v/>
      </c>
      <c r="O7276" s="7" t="n"/>
    </row>
    <row r="7277">
      <c r="A7277" s="7" t="n"/>
      <c r="B7277" s="7" t="n"/>
      <c r="C7277" s="7" t="n"/>
      <c r="D7277" s="7" t="n"/>
      <c r="E7277" s="7" t="n"/>
      <c r="F7277" s="7" t="n"/>
      <c r="G7277" s="7" t="n"/>
      <c r="H7277" s="7" t="n"/>
      <c r="I7277" s="7" t="n"/>
      <c r="J7277" s="7" t="n"/>
      <c r="K7277">
        <f>IF(D7277="Legitimate Interest (GDPR Art. 6(1)(f))", "Yes / Required (Sheet 3)", "")</f>
        <v/>
      </c>
      <c r="L7277" s="7" t="n"/>
      <c r="M7277" s="7" t="n"/>
      <c r="N7277">
        <f>IF(D7277="", "Gap - No Legal Basis", IF(AND(D7277="Consent (GDPR Art. 6(1)(a))", I7277="Not Captured"), "Gap - Invalid Consent", IF(AND(D7277="Legitimate Interest (GDPR Art. 6(1)(f))", L7277=""), "Gap - Missing LIA", IF(AND(G7277="Yes", H7277=""), "Gap - Missing Art. 9 Basis", IF(OR(I7277="Invalid - Not Freely Given", I7277="Invalid - Not Specific", I7277="Invalid - Not Informed", I7277="Invalid - Ambiguous"), "Gap - Invalid Consent", "Compliant")))))</f>
        <v/>
      </c>
      <c r="O7277" s="7" t="n"/>
    </row>
    <row r="7278">
      <c r="A7278" s="7" t="n"/>
      <c r="B7278" s="7" t="n"/>
      <c r="C7278" s="7" t="n"/>
      <c r="D7278" s="7" t="n"/>
      <c r="E7278" s="7" t="n"/>
      <c r="F7278" s="7" t="n"/>
      <c r="G7278" s="7" t="n"/>
      <c r="H7278" s="7" t="n"/>
      <c r="I7278" s="7" t="n"/>
      <c r="J7278" s="7" t="n"/>
      <c r="K7278">
        <f>IF(D7278="Legitimate Interest (GDPR Art. 6(1)(f))", "Yes / Required (Sheet 3)", "")</f>
        <v/>
      </c>
      <c r="L7278" s="7" t="n"/>
      <c r="M7278" s="7" t="n"/>
      <c r="N7278">
        <f>IF(D7278="", "Gap - No Legal Basis", IF(AND(D7278="Consent (GDPR Art. 6(1)(a))", I7278="Not Captured"), "Gap - Invalid Consent", IF(AND(D7278="Legitimate Interest (GDPR Art. 6(1)(f))", L7278=""), "Gap - Missing LIA", IF(AND(G7278="Yes", H7278=""), "Gap - Missing Art. 9 Basis", IF(OR(I7278="Invalid - Not Freely Given", I7278="Invalid - Not Specific", I7278="Invalid - Not Informed", I7278="Invalid - Ambiguous"), "Gap - Invalid Consent", "Compliant")))))</f>
        <v/>
      </c>
      <c r="O7278" s="7" t="n"/>
    </row>
    <row r="7279">
      <c r="A7279" s="7" t="n"/>
      <c r="B7279" s="7" t="n"/>
      <c r="C7279" s="7" t="n"/>
      <c r="D7279" s="7" t="n"/>
      <c r="E7279" s="7" t="n"/>
      <c r="F7279" s="7" t="n"/>
      <c r="G7279" s="7" t="n"/>
      <c r="H7279" s="7" t="n"/>
      <c r="I7279" s="7" t="n"/>
      <c r="J7279" s="7" t="n"/>
      <c r="K7279">
        <f>IF(D7279="Legitimate Interest (GDPR Art. 6(1)(f))", "Yes / Required (Sheet 3)", "")</f>
        <v/>
      </c>
      <c r="L7279" s="7" t="n"/>
      <c r="M7279" s="7" t="n"/>
      <c r="N7279">
        <f>IF(D7279="", "Gap - No Legal Basis", IF(AND(D7279="Consent (GDPR Art. 6(1)(a))", I7279="Not Captured"), "Gap - Invalid Consent", IF(AND(D7279="Legitimate Interest (GDPR Art. 6(1)(f))", L7279=""), "Gap - Missing LIA", IF(AND(G7279="Yes", H7279=""), "Gap - Missing Art. 9 Basis", IF(OR(I7279="Invalid - Not Freely Given", I7279="Invalid - Not Specific", I7279="Invalid - Not Informed", I7279="Invalid - Ambiguous"), "Gap - Invalid Consent", "Compliant")))))</f>
        <v/>
      </c>
      <c r="O7279" s="7" t="n"/>
    </row>
    <row r="7280">
      <c r="A7280" s="7" t="n"/>
      <c r="B7280" s="7" t="n"/>
      <c r="C7280" s="7" t="n"/>
      <c r="D7280" s="7" t="n"/>
      <c r="E7280" s="7" t="n"/>
      <c r="F7280" s="7" t="n"/>
      <c r="G7280" s="7" t="n"/>
      <c r="H7280" s="7" t="n"/>
      <c r="I7280" s="7" t="n"/>
      <c r="J7280" s="7" t="n"/>
      <c r="K7280">
        <f>IF(D7280="Legitimate Interest (GDPR Art. 6(1)(f))", "Yes / Required (Sheet 3)", "")</f>
        <v/>
      </c>
      <c r="L7280" s="7" t="n"/>
      <c r="M7280" s="7" t="n"/>
      <c r="N7280">
        <f>IF(D7280="", "Gap - No Legal Basis", IF(AND(D7280="Consent (GDPR Art. 6(1)(a))", I7280="Not Captured"), "Gap - Invalid Consent", IF(AND(D7280="Legitimate Interest (GDPR Art. 6(1)(f))", L7280=""), "Gap - Missing LIA", IF(AND(G7280="Yes", H7280=""), "Gap - Missing Art. 9 Basis", IF(OR(I7280="Invalid - Not Freely Given", I7280="Invalid - Not Specific", I7280="Invalid - Not Informed", I7280="Invalid - Ambiguous"), "Gap - Invalid Consent", "Compliant")))))</f>
        <v/>
      </c>
      <c r="O7280" s="7" t="n"/>
    </row>
    <row r="7281">
      <c r="A7281" s="7" t="n"/>
      <c r="B7281" s="7" t="n"/>
      <c r="C7281" s="7" t="n"/>
      <c r="D7281" s="7" t="n"/>
      <c r="E7281" s="7" t="n"/>
      <c r="F7281" s="7" t="n"/>
      <c r="G7281" s="7" t="n"/>
      <c r="H7281" s="7" t="n"/>
      <c r="I7281" s="7" t="n"/>
      <c r="J7281" s="7" t="n"/>
      <c r="K7281">
        <f>IF(D7281="Legitimate Interest (GDPR Art. 6(1)(f))", "Yes / Required (Sheet 3)", "")</f>
        <v/>
      </c>
      <c r="L7281" s="7" t="n"/>
      <c r="M7281" s="7" t="n"/>
      <c r="N7281">
        <f>IF(D7281="", "Gap - No Legal Basis", IF(AND(D7281="Consent (GDPR Art. 6(1)(a))", I7281="Not Captured"), "Gap - Invalid Consent", IF(AND(D7281="Legitimate Interest (GDPR Art. 6(1)(f))", L7281=""), "Gap - Missing LIA", IF(AND(G7281="Yes", H7281=""), "Gap - Missing Art. 9 Basis", IF(OR(I7281="Invalid - Not Freely Given", I7281="Invalid - Not Specific", I7281="Invalid - Not Informed", I7281="Invalid - Ambiguous"), "Gap - Invalid Consent", "Compliant")))))</f>
        <v/>
      </c>
      <c r="O7281" s="7" t="n"/>
    </row>
    <row r="7282">
      <c r="A7282" s="7" t="n"/>
      <c r="B7282" s="7" t="n"/>
      <c r="C7282" s="7" t="n"/>
      <c r="D7282" s="7" t="n"/>
      <c r="E7282" s="7" t="n"/>
      <c r="F7282" s="7" t="n"/>
      <c r="G7282" s="7" t="n"/>
      <c r="H7282" s="7" t="n"/>
      <c r="I7282" s="7" t="n"/>
      <c r="J7282" s="7" t="n"/>
      <c r="K7282">
        <f>IF(D7282="Legitimate Interest (GDPR Art. 6(1)(f))", "Yes / Required (Sheet 3)", "")</f>
        <v/>
      </c>
      <c r="L7282" s="7" t="n"/>
      <c r="M7282" s="7" t="n"/>
      <c r="N7282">
        <f>IF(D7282="", "Gap - No Legal Basis", IF(AND(D7282="Consent (GDPR Art. 6(1)(a))", I7282="Not Captured"), "Gap - Invalid Consent", IF(AND(D7282="Legitimate Interest (GDPR Art. 6(1)(f))", L7282=""), "Gap - Missing LIA", IF(AND(G7282="Yes", H7282=""), "Gap - Missing Art. 9 Basis", IF(OR(I7282="Invalid - Not Freely Given", I7282="Invalid - Not Specific", I7282="Invalid - Not Informed", I7282="Invalid - Ambiguous"), "Gap - Invalid Consent", "Compliant")))))</f>
        <v/>
      </c>
      <c r="O7282" s="7" t="n"/>
    </row>
    <row r="7283">
      <c r="A7283" s="7" t="n"/>
      <c r="B7283" s="7" t="n"/>
      <c r="C7283" s="7" t="n"/>
      <c r="D7283" s="7" t="n"/>
      <c r="E7283" s="7" t="n"/>
      <c r="F7283" s="7" t="n"/>
      <c r="G7283" s="7" t="n"/>
      <c r="H7283" s="7" t="n"/>
      <c r="I7283" s="7" t="n"/>
      <c r="J7283" s="7" t="n"/>
      <c r="K7283">
        <f>IF(D7283="Legitimate Interest (GDPR Art. 6(1)(f))", "Yes / Required (Sheet 3)", "")</f>
        <v/>
      </c>
      <c r="L7283" s="7" t="n"/>
      <c r="M7283" s="7" t="n"/>
      <c r="N7283">
        <f>IF(D7283="", "Gap - No Legal Basis", IF(AND(D7283="Consent (GDPR Art. 6(1)(a))", I7283="Not Captured"), "Gap - Invalid Consent", IF(AND(D7283="Legitimate Interest (GDPR Art. 6(1)(f))", L7283=""), "Gap - Missing LIA", IF(AND(G7283="Yes", H7283=""), "Gap - Missing Art. 9 Basis", IF(OR(I7283="Invalid - Not Freely Given", I7283="Invalid - Not Specific", I7283="Invalid - Not Informed", I7283="Invalid - Ambiguous"), "Gap - Invalid Consent", "Compliant")))))</f>
        <v/>
      </c>
      <c r="O7283" s="7" t="n"/>
    </row>
    <row r="7284">
      <c r="A7284" s="7" t="n"/>
      <c r="B7284" s="7" t="n"/>
      <c r="C7284" s="7" t="n"/>
      <c r="D7284" s="7" t="n"/>
      <c r="E7284" s="7" t="n"/>
      <c r="F7284" s="7" t="n"/>
      <c r="G7284" s="7" t="n"/>
      <c r="H7284" s="7" t="n"/>
      <c r="I7284" s="7" t="n"/>
      <c r="J7284" s="7" t="n"/>
      <c r="K7284">
        <f>IF(D7284="Legitimate Interest (GDPR Art. 6(1)(f))", "Yes / Required (Sheet 3)", "")</f>
        <v/>
      </c>
      <c r="L7284" s="7" t="n"/>
      <c r="M7284" s="7" t="n"/>
      <c r="N7284">
        <f>IF(D7284="", "Gap - No Legal Basis", IF(AND(D7284="Consent (GDPR Art. 6(1)(a))", I7284="Not Captured"), "Gap - Invalid Consent", IF(AND(D7284="Legitimate Interest (GDPR Art. 6(1)(f))", L7284=""), "Gap - Missing LIA", IF(AND(G7284="Yes", H7284=""), "Gap - Missing Art. 9 Basis", IF(OR(I7284="Invalid - Not Freely Given", I7284="Invalid - Not Specific", I7284="Invalid - Not Informed", I7284="Invalid - Ambiguous"), "Gap - Invalid Consent", "Compliant")))))</f>
        <v/>
      </c>
      <c r="O7284" s="7" t="n"/>
    </row>
    <row r="7285">
      <c r="A7285" s="7" t="n"/>
      <c r="B7285" s="7" t="n"/>
      <c r="C7285" s="7" t="n"/>
      <c r="D7285" s="7" t="n"/>
      <c r="E7285" s="7" t="n"/>
      <c r="F7285" s="7" t="n"/>
      <c r="G7285" s="7" t="n"/>
      <c r="H7285" s="7" t="n"/>
      <c r="I7285" s="7" t="n"/>
      <c r="J7285" s="7" t="n"/>
      <c r="K7285">
        <f>IF(D7285="Legitimate Interest (GDPR Art. 6(1)(f))", "Yes / Required (Sheet 3)", "")</f>
        <v/>
      </c>
      <c r="L7285" s="7" t="n"/>
      <c r="M7285" s="7" t="n"/>
      <c r="N7285">
        <f>IF(D7285="", "Gap - No Legal Basis", IF(AND(D7285="Consent (GDPR Art. 6(1)(a))", I7285="Not Captured"), "Gap - Invalid Consent", IF(AND(D7285="Legitimate Interest (GDPR Art. 6(1)(f))", L7285=""), "Gap - Missing LIA", IF(AND(G7285="Yes", H7285=""), "Gap - Missing Art. 9 Basis", IF(OR(I7285="Invalid - Not Freely Given", I7285="Invalid - Not Specific", I7285="Invalid - Not Informed", I7285="Invalid - Ambiguous"), "Gap - Invalid Consent", "Compliant")))))</f>
        <v/>
      </c>
      <c r="O7285" s="7" t="n"/>
    </row>
    <row r="7286">
      <c r="A7286" s="7" t="n"/>
      <c r="B7286" s="7" t="n"/>
      <c r="C7286" s="7" t="n"/>
      <c r="D7286" s="7" t="n"/>
      <c r="E7286" s="7" t="n"/>
      <c r="F7286" s="7" t="n"/>
      <c r="G7286" s="7" t="n"/>
      <c r="H7286" s="7" t="n"/>
      <c r="I7286" s="7" t="n"/>
      <c r="J7286" s="7" t="n"/>
      <c r="K7286">
        <f>IF(D7286="Legitimate Interest (GDPR Art. 6(1)(f))", "Yes / Required (Sheet 3)", "")</f>
        <v/>
      </c>
      <c r="L7286" s="7" t="n"/>
      <c r="M7286" s="7" t="n"/>
      <c r="N7286">
        <f>IF(D7286="", "Gap - No Legal Basis", IF(AND(D7286="Consent (GDPR Art. 6(1)(a))", I7286="Not Captured"), "Gap - Invalid Consent", IF(AND(D7286="Legitimate Interest (GDPR Art. 6(1)(f))", L7286=""), "Gap - Missing LIA", IF(AND(G7286="Yes", H7286=""), "Gap - Missing Art. 9 Basis", IF(OR(I7286="Invalid - Not Freely Given", I7286="Invalid - Not Specific", I7286="Invalid - Not Informed", I7286="Invalid - Ambiguous"), "Gap - Invalid Consent", "Compliant")))))</f>
        <v/>
      </c>
      <c r="O7286" s="7" t="n"/>
    </row>
    <row r="7287">
      <c r="A7287" s="7" t="n"/>
      <c r="B7287" s="7" t="n"/>
      <c r="C7287" s="7" t="n"/>
      <c r="D7287" s="7" t="n"/>
      <c r="E7287" s="7" t="n"/>
      <c r="F7287" s="7" t="n"/>
      <c r="G7287" s="7" t="n"/>
      <c r="H7287" s="7" t="n"/>
      <c r="I7287" s="7" t="n"/>
      <c r="J7287" s="7" t="n"/>
      <c r="K7287">
        <f>IF(D7287="Legitimate Interest (GDPR Art. 6(1)(f))", "Yes / Required (Sheet 3)", "")</f>
        <v/>
      </c>
      <c r="L7287" s="7" t="n"/>
      <c r="M7287" s="7" t="n"/>
      <c r="N7287">
        <f>IF(D7287="", "Gap - No Legal Basis", IF(AND(D7287="Consent (GDPR Art. 6(1)(a))", I7287="Not Captured"), "Gap - Invalid Consent", IF(AND(D7287="Legitimate Interest (GDPR Art. 6(1)(f))", L7287=""), "Gap - Missing LIA", IF(AND(G7287="Yes", H7287=""), "Gap - Missing Art. 9 Basis", IF(OR(I7287="Invalid - Not Freely Given", I7287="Invalid - Not Specific", I7287="Invalid - Not Informed", I7287="Invalid - Ambiguous"), "Gap - Invalid Consent", "Compliant")))))</f>
        <v/>
      </c>
      <c r="O7287" s="7" t="n"/>
    </row>
    <row r="7288">
      <c r="A7288" s="7" t="n"/>
      <c r="B7288" s="7" t="n"/>
      <c r="C7288" s="7" t="n"/>
      <c r="D7288" s="7" t="n"/>
      <c r="E7288" s="7" t="n"/>
      <c r="F7288" s="7" t="n"/>
      <c r="G7288" s="7" t="n"/>
      <c r="H7288" s="7" t="n"/>
      <c r="I7288" s="7" t="n"/>
      <c r="J7288" s="7" t="n"/>
      <c r="K7288">
        <f>IF(D7288="Legitimate Interest (GDPR Art. 6(1)(f))", "Yes / Required (Sheet 3)", "")</f>
        <v/>
      </c>
      <c r="L7288" s="7" t="n"/>
      <c r="M7288" s="7" t="n"/>
      <c r="N7288">
        <f>IF(D7288="", "Gap - No Legal Basis", IF(AND(D7288="Consent (GDPR Art. 6(1)(a))", I7288="Not Captured"), "Gap - Invalid Consent", IF(AND(D7288="Legitimate Interest (GDPR Art. 6(1)(f))", L7288=""), "Gap - Missing LIA", IF(AND(G7288="Yes", H7288=""), "Gap - Missing Art. 9 Basis", IF(OR(I7288="Invalid - Not Freely Given", I7288="Invalid - Not Specific", I7288="Invalid - Not Informed", I7288="Invalid - Ambiguous"), "Gap - Invalid Consent", "Compliant")))))</f>
        <v/>
      </c>
      <c r="O7288" s="7" t="n"/>
    </row>
    <row r="7289">
      <c r="A7289" s="7" t="n"/>
      <c r="B7289" s="7" t="n"/>
      <c r="C7289" s="7" t="n"/>
      <c r="D7289" s="7" t="n"/>
      <c r="E7289" s="7" t="n"/>
      <c r="F7289" s="7" t="n"/>
      <c r="G7289" s="7" t="n"/>
      <c r="H7289" s="7" t="n"/>
      <c r="I7289" s="7" t="n"/>
      <c r="J7289" s="7" t="n"/>
      <c r="K7289">
        <f>IF(D7289="Legitimate Interest (GDPR Art. 6(1)(f))", "Yes / Required (Sheet 3)", "")</f>
        <v/>
      </c>
      <c r="L7289" s="7" t="n"/>
      <c r="M7289" s="7" t="n"/>
      <c r="N7289">
        <f>IF(D7289="", "Gap - No Legal Basis", IF(AND(D7289="Consent (GDPR Art. 6(1)(a))", I7289="Not Captured"), "Gap - Invalid Consent", IF(AND(D7289="Legitimate Interest (GDPR Art. 6(1)(f))", L7289=""), "Gap - Missing LIA", IF(AND(G7289="Yes", H7289=""), "Gap - Missing Art. 9 Basis", IF(OR(I7289="Invalid - Not Freely Given", I7289="Invalid - Not Specific", I7289="Invalid - Not Informed", I7289="Invalid - Ambiguous"), "Gap - Invalid Consent", "Compliant")))))</f>
        <v/>
      </c>
      <c r="O7289" s="7" t="n"/>
    </row>
    <row r="7290">
      <c r="A7290" s="7" t="n"/>
      <c r="B7290" s="7" t="n"/>
      <c r="C7290" s="7" t="n"/>
      <c r="D7290" s="7" t="n"/>
      <c r="E7290" s="7" t="n"/>
      <c r="F7290" s="7" t="n"/>
      <c r="G7290" s="7" t="n"/>
      <c r="H7290" s="7" t="n"/>
      <c r="I7290" s="7" t="n"/>
      <c r="J7290" s="7" t="n"/>
      <c r="K7290">
        <f>IF(D7290="Legitimate Interest (GDPR Art. 6(1)(f))", "Yes / Required (Sheet 3)", "")</f>
        <v/>
      </c>
      <c r="L7290" s="7" t="n"/>
      <c r="M7290" s="7" t="n"/>
      <c r="N7290">
        <f>IF(D7290="", "Gap - No Legal Basis", IF(AND(D7290="Consent (GDPR Art. 6(1)(a))", I7290="Not Captured"), "Gap - Invalid Consent", IF(AND(D7290="Legitimate Interest (GDPR Art. 6(1)(f))", L7290=""), "Gap - Missing LIA", IF(AND(G7290="Yes", H7290=""), "Gap - Missing Art. 9 Basis", IF(OR(I7290="Invalid - Not Freely Given", I7290="Invalid - Not Specific", I7290="Invalid - Not Informed", I7290="Invalid - Ambiguous"), "Gap - Invalid Consent", "Compliant")))))</f>
        <v/>
      </c>
      <c r="O7290" s="7" t="n"/>
    </row>
    <row r="7291">
      <c r="A7291" s="7" t="n"/>
      <c r="B7291" s="7" t="n"/>
      <c r="C7291" s="7" t="n"/>
      <c r="D7291" s="7" t="n"/>
      <c r="E7291" s="7" t="n"/>
      <c r="F7291" s="7" t="n"/>
      <c r="G7291" s="7" t="n"/>
      <c r="H7291" s="7" t="n"/>
      <c r="I7291" s="7" t="n"/>
      <c r="J7291" s="7" t="n"/>
      <c r="K7291">
        <f>IF(D7291="Legitimate Interest (GDPR Art. 6(1)(f))", "Yes / Required (Sheet 3)", "")</f>
        <v/>
      </c>
      <c r="L7291" s="7" t="n"/>
      <c r="M7291" s="7" t="n"/>
      <c r="N7291">
        <f>IF(D7291="", "Gap - No Legal Basis", IF(AND(D7291="Consent (GDPR Art. 6(1)(a))", I7291="Not Captured"), "Gap - Invalid Consent", IF(AND(D7291="Legitimate Interest (GDPR Art. 6(1)(f))", L7291=""), "Gap - Missing LIA", IF(AND(G7291="Yes", H7291=""), "Gap - Missing Art. 9 Basis", IF(OR(I7291="Invalid - Not Freely Given", I7291="Invalid - Not Specific", I7291="Invalid - Not Informed", I7291="Invalid - Ambiguous"), "Gap - Invalid Consent", "Compliant")))))</f>
        <v/>
      </c>
      <c r="O7291" s="7" t="n"/>
    </row>
    <row r="7292">
      <c r="A7292" s="7" t="n"/>
      <c r="B7292" s="7" t="n"/>
      <c r="C7292" s="7" t="n"/>
      <c r="D7292" s="7" t="n"/>
      <c r="E7292" s="7" t="n"/>
      <c r="F7292" s="7" t="n"/>
      <c r="G7292" s="7" t="n"/>
      <c r="H7292" s="7" t="n"/>
      <c r="I7292" s="7" t="n"/>
      <c r="J7292" s="7" t="n"/>
      <c r="K7292">
        <f>IF(D7292="Legitimate Interest (GDPR Art. 6(1)(f))", "Yes / Required (Sheet 3)", "")</f>
        <v/>
      </c>
      <c r="L7292" s="7" t="n"/>
      <c r="M7292" s="7" t="n"/>
      <c r="N7292">
        <f>IF(D7292="", "Gap - No Legal Basis", IF(AND(D7292="Consent (GDPR Art. 6(1)(a))", I7292="Not Captured"), "Gap - Invalid Consent", IF(AND(D7292="Legitimate Interest (GDPR Art. 6(1)(f))", L7292=""), "Gap - Missing LIA", IF(AND(G7292="Yes", H7292=""), "Gap - Missing Art. 9 Basis", IF(OR(I7292="Invalid - Not Freely Given", I7292="Invalid - Not Specific", I7292="Invalid - Not Informed", I7292="Invalid - Ambiguous"), "Gap - Invalid Consent", "Compliant")))))</f>
        <v/>
      </c>
      <c r="O7292" s="7" t="n"/>
    </row>
    <row r="7293">
      <c r="A7293" s="7" t="n"/>
      <c r="B7293" s="7" t="n"/>
      <c r="C7293" s="7" t="n"/>
      <c r="D7293" s="7" t="n"/>
      <c r="E7293" s="7" t="n"/>
      <c r="F7293" s="7" t="n"/>
      <c r="G7293" s="7" t="n"/>
      <c r="H7293" s="7" t="n"/>
      <c r="I7293" s="7" t="n"/>
      <c r="J7293" s="7" t="n"/>
      <c r="K7293">
        <f>IF(D7293="Legitimate Interest (GDPR Art. 6(1)(f))", "Yes / Required (Sheet 3)", "")</f>
        <v/>
      </c>
      <c r="L7293" s="7" t="n"/>
      <c r="M7293" s="7" t="n"/>
      <c r="N7293">
        <f>IF(D7293="", "Gap - No Legal Basis", IF(AND(D7293="Consent (GDPR Art. 6(1)(a))", I7293="Not Captured"), "Gap - Invalid Consent", IF(AND(D7293="Legitimate Interest (GDPR Art. 6(1)(f))", L7293=""), "Gap - Missing LIA", IF(AND(G7293="Yes", H7293=""), "Gap - Missing Art. 9 Basis", IF(OR(I7293="Invalid - Not Freely Given", I7293="Invalid - Not Specific", I7293="Invalid - Not Informed", I7293="Invalid - Ambiguous"), "Gap - Invalid Consent", "Compliant")))))</f>
        <v/>
      </c>
      <c r="O7293" s="7" t="n"/>
    </row>
    <row r="7294">
      <c r="A7294" s="7" t="n"/>
      <c r="B7294" s="7" t="n"/>
      <c r="C7294" s="7" t="n"/>
      <c r="D7294" s="7" t="n"/>
      <c r="E7294" s="7" t="n"/>
      <c r="F7294" s="7" t="n"/>
      <c r="G7294" s="7" t="n"/>
      <c r="H7294" s="7" t="n"/>
      <c r="I7294" s="7" t="n"/>
      <c r="J7294" s="7" t="n"/>
      <c r="K7294">
        <f>IF(D7294="Legitimate Interest (GDPR Art. 6(1)(f))", "Yes / Required (Sheet 3)", "")</f>
        <v/>
      </c>
      <c r="L7294" s="7" t="n"/>
      <c r="M7294" s="7" t="n"/>
      <c r="N7294">
        <f>IF(D7294="", "Gap - No Legal Basis", IF(AND(D7294="Consent (GDPR Art. 6(1)(a))", I7294="Not Captured"), "Gap - Invalid Consent", IF(AND(D7294="Legitimate Interest (GDPR Art. 6(1)(f))", L7294=""), "Gap - Missing LIA", IF(AND(G7294="Yes", H7294=""), "Gap - Missing Art. 9 Basis", IF(OR(I7294="Invalid - Not Freely Given", I7294="Invalid - Not Specific", I7294="Invalid - Not Informed", I7294="Invalid - Ambiguous"), "Gap - Invalid Consent", "Compliant")))))</f>
        <v/>
      </c>
      <c r="O7294" s="7" t="n"/>
    </row>
    <row r="7295">
      <c r="A7295" s="7" t="n"/>
      <c r="B7295" s="7" t="n"/>
      <c r="C7295" s="7" t="n"/>
      <c r="D7295" s="7" t="n"/>
      <c r="E7295" s="7" t="n"/>
      <c r="F7295" s="7" t="n"/>
      <c r="G7295" s="7" t="n"/>
      <c r="H7295" s="7" t="n"/>
      <c r="I7295" s="7" t="n"/>
      <c r="J7295" s="7" t="n"/>
      <c r="K7295">
        <f>IF(D7295="Legitimate Interest (GDPR Art. 6(1)(f))", "Yes / Required (Sheet 3)", "")</f>
        <v/>
      </c>
      <c r="L7295" s="7" t="n"/>
      <c r="M7295" s="7" t="n"/>
      <c r="N7295">
        <f>IF(D7295="", "Gap - No Legal Basis", IF(AND(D7295="Consent (GDPR Art. 6(1)(a))", I7295="Not Captured"), "Gap - Invalid Consent", IF(AND(D7295="Legitimate Interest (GDPR Art. 6(1)(f))", L7295=""), "Gap - Missing LIA", IF(AND(G7295="Yes", H7295=""), "Gap - Missing Art. 9 Basis", IF(OR(I7295="Invalid - Not Freely Given", I7295="Invalid - Not Specific", I7295="Invalid - Not Informed", I7295="Invalid - Ambiguous"), "Gap - Invalid Consent", "Compliant")))))</f>
        <v/>
      </c>
      <c r="O7295" s="7" t="n"/>
    </row>
    <row r="7296">
      <c r="A7296" s="7" t="n"/>
      <c r="B7296" s="7" t="n"/>
      <c r="C7296" s="7" t="n"/>
      <c r="D7296" s="7" t="n"/>
      <c r="E7296" s="7" t="n"/>
      <c r="F7296" s="7" t="n"/>
      <c r="G7296" s="7" t="n"/>
      <c r="H7296" s="7" t="n"/>
      <c r="I7296" s="7" t="n"/>
      <c r="J7296" s="7" t="n"/>
      <c r="K7296">
        <f>IF(D7296="Legitimate Interest (GDPR Art. 6(1)(f))", "Yes / Required (Sheet 3)", "")</f>
        <v/>
      </c>
      <c r="L7296" s="7" t="n"/>
      <c r="M7296" s="7" t="n"/>
      <c r="N7296">
        <f>IF(D7296="", "Gap - No Legal Basis", IF(AND(D7296="Consent (GDPR Art. 6(1)(a))", I7296="Not Captured"), "Gap - Invalid Consent", IF(AND(D7296="Legitimate Interest (GDPR Art. 6(1)(f))", L7296=""), "Gap - Missing LIA", IF(AND(G7296="Yes", H7296=""), "Gap - Missing Art. 9 Basis", IF(OR(I7296="Invalid - Not Freely Given", I7296="Invalid - Not Specific", I7296="Invalid - Not Informed", I7296="Invalid - Ambiguous"), "Gap - Invalid Consent", "Compliant")))))</f>
        <v/>
      </c>
      <c r="O7296" s="7" t="n"/>
    </row>
    <row r="7297">
      <c r="A7297" s="7" t="n"/>
      <c r="B7297" s="7" t="n"/>
      <c r="C7297" s="7" t="n"/>
      <c r="D7297" s="7" t="n"/>
      <c r="E7297" s="7" t="n"/>
      <c r="F7297" s="7" t="n"/>
      <c r="G7297" s="7" t="n"/>
      <c r="H7297" s="7" t="n"/>
      <c r="I7297" s="7" t="n"/>
      <c r="J7297" s="7" t="n"/>
      <c r="K7297">
        <f>IF(D7297="Legitimate Interest (GDPR Art. 6(1)(f))", "Yes / Required (Sheet 3)", "")</f>
        <v/>
      </c>
      <c r="L7297" s="7" t="n"/>
      <c r="M7297" s="7" t="n"/>
      <c r="N7297">
        <f>IF(D7297="", "Gap - No Legal Basis", IF(AND(D7297="Consent (GDPR Art. 6(1)(a))", I7297="Not Captured"), "Gap - Invalid Consent", IF(AND(D7297="Legitimate Interest (GDPR Art. 6(1)(f))", L7297=""), "Gap - Missing LIA", IF(AND(G7297="Yes", H7297=""), "Gap - Missing Art. 9 Basis", IF(OR(I7297="Invalid - Not Freely Given", I7297="Invalid - Not Specific", I7297="Invalid - Not Informed", I7297="Invalid - Ambiguous"), "Gap - Invalid Consent", "Compliant")))))</f>
        <v/>
      </c>
      <c r="O7297" s="7" t="n"/>
    </row>
    <row r="7298">
      <c r="A7298" s="7" t="n"/>
      <c r="B7298" s="7" t="n"/>
      <c r="C7298" s="7" t="n"/>
      <c r="D7298" s="7" t="n"/>
      <c r="E7298" s="7" t="n"/>
      <c r="F7298" s="7" t="n"/>
      <c r="G7298" s="7" t="n"/>
      <c r="H7298" s="7" t="n"/>
      <c r="I7298" s="7" t="n"/>
      <c r="J7298" s="7" t="n"/>
      <c r="K7298">
        <f>IF(D7298="Legitimate Interest (GDPR Art. 6(1)(f))", "Yes / Required (Sheet 3)", "")</f>
        <v/>
      </c>
      <c r="L7298" s="7" t="n"/>
      <c r="M7298" s="7" t="n"/>
      <c r="N7298">
        <f>IF(D7298="", "Gap - No Legal Basis", IF(AND(D7298="Consent (GDPR Art. 6(1)(a))", I7298="Not Captured"), "Gap - Invalid Consent", IF(AND(D7298="Legitimate Interest (GDPR Art. 6(1)(f))", L7298=""), "Gap - Missing LIA", IF(AND(G7298="Yes", H7298=""), "Gap - Missing Art. 9 Basis", IF(OR(I7298="Invalid - Not Freely Given", I7298="Invalid - Not Specific", I7298="Invalid - Not Informed", I7298="Invalid - Ambiguous"), "Gap - Invalid Consent", "Compliant")))))</f>
        <v/>
      </c>
      <c r="O7298" s="7" t="n"/>
    </row>
    <row r="7299">
      <c r="A7299" s="7" t="n"/>
      <c r="B7299" s="7" t="n"/>
      <c r="C7299" s="7" t="n"/>
      <c r="D7299" s="7" t="n"/>
      <c r="E7299" s="7" t="n"/>
      <c r="F7299" s="7" t="n"/>
      <c r="G7299" s="7" t="n"/>
      <c r="H7299" s="7" t="n"/>
      <c r="I7299" s="7" t="n"/>
      <c r="J7299" s="7" t="n"/>
      <c r="K7299">
        <f>IF(D7299="Legitimate Interest (GDPR Art. 6(1)(f))", "Yes / Required (Sheet 3)", "")</f>
        <v/>
      </c>
      <c r="L7299" s="7" t="n"/>
      <c r="M7299" s="7" t="n"/>
      <c r="N7299">
        <f>IF(D7299="", "Gap - No Legal Basis", IF(AND(D7299="Consent (GDPR Art. 6(1)(a))", I7299="Not Captured"), "Gap - Invalid Consent", IF(AND(D7299="Legitimate Interest (GDPR Art. 6(1)(f))", L7299=""), "Gap - Missing LIA", IF(AND(G7299="Yes", H7299=""), "Gap - Missing Art. 9 Basis", IF(OR(I7299="Invalid - Not Freely Given", I7299="Invalid - Not Specific", I7299="Invalid - Not Informed", I7299="Invalid - Ambiguous"), "Gap - Invalid Consent", "Compliant")))))</f>
        <v/>
      </c>
      <c r="O7299" s="7" t="n"/>
    </row>
    <row r="7300">
      <c r="A7300" s="7" t="n"/>
      <c r="B7300" s="7" t="n"/>
      <c r="C7300" s="7" t="n"/>
      <c r="D7300" s="7" t="n"/>
      <c r="E7300" s="7" t="n"/>
      <c r="F7300" s="7" t="n"/>
      <c r="G7300" s="7" t="n"/>
      <c r="H7300" s="7" t="n"/>
      <c r="I7300" s="7" t="n"/>
      <c r="J7300" s="7" t="n"/>
      <c r="K7300">
        <f>IF(D7300="Legitimate Interest (GDPR Art. 6(1)(f))", "Yes / Required (Sheet 3)", "")</f>
        <v/>
      </c>
      <c r="L7300" s="7" t="n"/>
      <c r="M7300" s="7" t="n"/>
      <c r="N7300">
        <f>IF(D7300="", "Gap - No Legal Basis", IF(AND(D7300="Consent (GDPR Art. 6(1)(a))", I7300="Not Captured"), "Gap - Invalid Consent", IF(AND(D7300="Legitimate Interest (GDPR Art. 6(1)(f))", L7300=""), "Gap - Missing LIA", IF(AND(G7300="Yes", H7300=""), "Gap - Missing Art. 9 Basis", IF(OR(I7300="Invalid - Not Freely Given", I7300="Invalid - Not Specific", I7300="Invalid - Not Informed", I7300="Invalid - Ambiguous"), "Gap - Invalid Consent", "Compliant")))))</f>
        <v/>
      </c>
      <c r="O7300" s="7" t="n"/>
    </row>
    <row r="7301">
      <c r="A7301" s="7" t="n"/>
      <c r="B7301" s="7" t="n"/>
      <c r="C7301" s="7" t="n"/>
      <c r="D7301" s="7" t="n"/>
      <c r="E7301" s="7" t="n"/>
      <c r="F7301" s="7" t="n"/>
      <c r="G7301" s="7" t="n"/>
      <c r="H7301" s="7" t="n"/>
      <c r="I7301" s="7" t="n"/>
      <c r="J7301" s="7" t="n"/>
      <c r="K7301">
        <f>IF(D7301="Legitimate Interest (GDPR Art. 6(1)(f))", "Yes / Required (Sheet 3)", "")</f>
        <v/>
      </c>
      <c r="L7301" s="7" t="n"/>
      <c r="M7301" s="7" t="n"/>
      <c r="N7301">
        <f>IF(D7301="", "Gap - No Legal Basis", IF(AND(D7301="Consent (GDPR Art. 6(1)(a))", I7301="Not Captured"), "Gap - Invalid Consent", IF(AND(D7301="Legitimate Interest (GDPR Art. 6(1)(f))", L7301=""), "Gap - Missing LIA", IF(AND(G7301="Yes", H7301=""), "Gap - Missing Art. 9 Basis", IF(OR(I7301="Invalid - Not Freely Given", I7301="Invalid - Not Specific", I7301="Invalid - Not Informed", I7301="Invalid - Ambiguous"), "Gap - Invalid Consent", "Compliant")))))</f>
        <v/>
      </c>
      <c r="O7301" s="7" t="n"/>
    </row>
    <row r="7302">
      <c r="A7302" s="7" t="n"/>
      <c r="B7302" s="7" t="n"/>
      <c r="C7302" s="7" t="n"/>
      <c r="D7302" s="7" t="n"/>
      <c r="E7302" s="7" t="n"/>
      <c r="F7302" s="7" t="n"/>
      <c r="G7302" s="7" t="n"/>
      <c r="H7302" s="7" t="n"/>
      <c r="I7302" s="7" t="n"/>
      <c r="J7302" s="7" t="n"/>
      <c r="K7302">
        <f>IF(D7302="Legitimate Interest (GDPR Art. 6(1)(f))", "Yes / Required (Sheet 3)", "")</f>
        <v/>
      </c>
      <c r="L7302" s="7" t="n"/>
      <c r="M7302" s="7" t="n"/>
      <c r="N7302">
        <f>IF(D7302="", "Gap - No Legal Basis", IF(AND(D7302="Consent (GDPR Art. 6(1)(a))", I7302="Not Captured"), "Gap - Invalid Consent", IF(AND(D7302="Legitimate Interest (GDPR Art. 6(1)(f))", L7302=""), "Gap - Missing LIA", IF(AND(G7302="Yes", H7302=""), "Gap - Missing Art. 9 Basis", IF(OR(I7302="Invalid - Not Freely Given", I7302="Invalid - Not Specific", I7302="Invalid - Not Informed", I7302="Invalid - Ambiguous"), "Gap - Invalid Consent", "Compliant")))))</f>
        <v/>
      </c>
      <c r="O7302" s="7" t="n"/>
    </row>
    <row r="7303">
      <c r="A7303" s="7" t="n"/>
      <c r="B7303" s="7" t="n"/>
      <c r="C7303" s="7" t="n"/>
      <c r="D7303" s="7" t="n"/>
      <c r="E7303" s="7" t="n"/>
      <c r="F7303" s="7" t="n"/>
      <c r="G7303" s="7" t="n"/>
      <c r="H7303" s="7" t="n"/>
      <c r="I7303" s="7" t="n"/>
      <c r="J7303" s="7" t="n"/>
      <c r="K7303">
        <f>IF(D7303="Legitimate Interest (GDPR Art. 6(1)(f))", "Yes / Required (Sheet 3)", "")</f>
        <v/>
      </c>
      <c r="L7303" s="7" t="n"/>
      <c r="M7303" s="7" t="n"/>
      <c r="N7303">
        <f>IF(D7303="", "Gap - No Legal Basis", IF(AND(D7303="Consent (GDPR Art. 6(1)(a))", I7303="Not Captured"), "Gap - Invalid Consent", IF(AND(D7303="Legitimate Interest (GDPR Art. 6(1)(f))", L7303=""), "Gap - Missing LIA", IF(AND(G7303="Yes", H7303=""), "Gap - Missing Art. 9 Basis", IF(OR(I7303="Invalid - Not Freely Given", I7303="Invalid - Not Specific", I7303="Invalid - Not Informed", I7303="Invalid - Ambiguous"), "Gap - Invalid Consent", "Compliant")))))</f>
        <v/>
      </c>
      <c r="O7303" s="7" t="n"/>
    </row>
    <row r="7304">
      <c r="A7304" s="7" t="n"/>
      <c r="B7304" s="7" t="n"/>
      <c r="C7304" s="7" t="n"/>
      <c r="D7304" s="7" t="n"/>
      <c r="E7304" s="7" t="n"/>
      <c r="F7304" s="7" t="n"/>
      <c r="G7304" s="7" t="n"/>
      <c r="H7304" s="7" t="n"/>
      <c r="I7304" s="7" t="n"/>
      <c r="J7304" s="7" t="n"/>
      <c r="K7304">
        <f>IF(D7304="Legitimate Interest (GDPR Art. 6(1)(f))", "Yes / Required (Sheet 3)", "")</f>
        <v/>
      </c>
      <c r="L7304" s="7" t="n"/>
      <c r="M7304" s="7" t="n"/>
      <c r="N7304">
        <f>IF(D7304="", "Gap - No Legal Basis", IF(AND(D7304="Consent (GDPR Art. 6(1)(a))", I7304="Not Captured"), "Gap - Invalid Consent", IF(AND(D7304="Legitimate Interest (GDPR Art. 6(1)(f))", L7304=""), "Gap - Missing LIA", IF(AND(G7304="Yes", H7304=""), "Gap - Missing Art. 9 Basis", IF(OR(I7304="Invalid - Not Freely Given", I7304="Invalid - Not Specific", I7304="Invalid - Not Informed", I7304="Invalid - Ambiguous"), "Gap - Invalid Consent", "Compliant")))))</f>
        <v/>
      </c>
      <c r="O7304" s="7" t="n"/>
    </row>
    <row r="7305">
      <c r="A7305" s="7" t="n"/>
      <c r="B7305" s="7" t="n"/>
      <c r="C7305" s="7" t="n"/>
      <c r="D7305" s="7" t="n"/>
      <c r="E7305" s="7" t="n"/>
      <c r="F7305" s="7" t="n"/>
      <c r="G7305" s="7" t="n"/>
      <c r="H7305" s="7" t="n"/>
      <c r="I7305" s="7" t="n"/>
      <c r="J7305" s="7" t="n"/>
      <c r="K7305">
        <f>IF(D7305="Legitimate Interest (GDPR Art. 6(1)(f))", "Yes / Required (Sheet 3)", "")</f>
        <v/>
      </c>
      <c r="L7305" s="7" t="n"/>
      <c r="M7305" s="7" t="n"/>
      <c r="N7305">
        <f>IF(D7305="", "Gap - No Legal Basis", IF(AND(D7305="Consent (GDPR Art. 6(1)(a))", I7305="Not Captured"), "Gap - Invalid Consent", IF(AND(D7305="Legitimate Interest (GDPR Art. 6(1)(f))", L7305=""), "Gap - Missing LIA", IF(AND(G7305="Yes", H7305=""), "Gap - Missing Art. 9 Basis", IF(OR(I7305="Invalid - Not Freely Given", I7305="Invalid - Not Specific", I7305="Invalid - Not Informed", I7305="Invalid - Ambiguous"), "Gap - Invalid Consent", "Compliant")))))</f>
        <v/>
      </c>
      <c r="O7305" s="7" t="n"/>
    </row>
    <row r="7306">
      <c r="A7306" s="7" t="n"/>
      <c r="B7306" s="7" t="n"/>
      <c r="C7306" s="7" t="n"/>
      <c r="D7306" s="7" t="n"/>
      <c r="E7306" s="7" t="n"/>
      <c r="F7306" s="7" t="n"/>
      <c r="G7306" s="7" t="n"/>
      <c r="H7306" s="7" t="n"/>
      <c r="I7306" s="7" t="n"/>
      <c r="J7306" s="7" t="n"/>
      <c r="K7306">
        <f>IF(D7306="Legitimate Interest (GDPR Art. 6(1)(f))", "Yes / Required (Sheet 3)", "")</f>
        <v/>
      </c>
      <c r="L7306" s="7" t="n"/>
      <c r="M7306" s="7" t="n"/>
      <c r="N7306">
        <f>IF(D7306="", "Gap - No Legal Basis", IF(AND(D7306="Consent (GDPR Art. 6(1)(a))", I7306="Not Captured"), "Gap - Invalid Consent", IF(AND(D7306="Legitimate Interest (GDPR Art. 6(1)(f))", L7306=""), "Gap - Missing LIA", IF(AND(G7306="Yes", H7306=""), "Gap - Missing Art. 9 Basis", IF(OR(I7306="Invalid - Not Freely Given", I7306="Invalid - Not Specific", I7306="Invalid - Not Informed", I7306="Invalid - Ambiguous"), "Gap - Invalid Consent", "Compliant")))))</f>
        <v/>
      </c>
      <c r="O7306" s="7" t="n"/>
    </row>
    <row r="7307">
      <c r="A7307" s="7" t="n"/>
      <c r="B7307" s="7" t="n"/>
      <c r="C7307" s="7" t="n"/>
      <c r="D7307" s="7" t="n"/>
      <c r="E7307" s="7" t="n"/>
      <c r="F7307" s="7" t="n"/>
      <c r="G7307" s="7" t="n"/>
      <c r="H7307" s="7" t="n"/>
      <c r="I7307" s="7" t="n"/>
      <c r="J7307" s="7" t="n"/>
      <c r="K7307">
        <f>IF(D7307="Legitimate Interest (GDPR Art. 6(1)(f))", "Yes / Required (Sheet 3)", "")</f>
        <v/>
      </c>
      <c r="L7307" s="7" t="n"/>
      <c r="M7307" s="7" t="n"/>
      <c r="N7307">
        <f>IF(D7307="", "Gap - No Legal Basis", IF(AND(D7307="Consent (GDPR Art. 6(1)(a))", I7307="Not Captured"), "Gap - Invalid Consent", IF(AND(D7307="Legitimate Interest (GDPR Art. 6(1)(f))", L7307=""), "Gap - Missing LIA", IF(AND(G7307="Yes", H7307=""), "Gap - Missing Art. 9 Basis", IF(OR(I7307="Invalid - Not Freely Given", I7307="Invalid - Not Specific", I7307="Invalid - Not Informed", I7307="Invalid - Ambiguous"), "Gap - Invalid Consent", "Compliant")))))</f>
        <v/>
      </c>
      <c r="O7307" s="7" t="n"/>
    </row>
    <row r="7308">
      <c r="A7308" s="7" t="n"/>
      <c r="B7308" s="7" t="n"/>
      <c r="C7308" s="7" t="n"/>
      <c r="D7308" s="7" t="n"/>
      <c r="E7308" s="7" t="n"/>
      <c r="F7308" s="7" t="n"/>
      <c r="G7308" s="7" t="n"/>
      <c r="H7308" s="7" t="n"/>
      <c r="I7308" s="7" t="n"/>
      <c r="J7308" s="7" t="n"/>
      <c r="K7308">
        <f>IF(D7308="Legitimate Interest (GDPR Art. 6(1)(f))", "Yes / Required (Sheet 3)", "")</f>
        <v/>
      </c>
      <c r="L7308" s="7" t="n"/>
      <c r="M7308" s="7" t="n"/>
      <c r="N7308">
        <f>IF(D7308="", "Gap - No Legal Basis", IF(AND(D7308="Consent (GDPR Art. 6(1)(a))", I7308="Not Captured"), "Gap - Invalid Consent", IF(AND(D7308="Legitimate Interest (GDPR Art. 6(1)(f))", L7308=""), "Gap - Missing LIA", IF(AND(G7308="Yes", H7308=""), "Gap - Missing Art. 9 Basis", IF(OR(I7308="Invalid - Not Freely Given", I7308="Invalid - Not Specific", I7308="Invalid - Not Informed", I7308="Invalid - Ambiguous"), "Gap - Invalid Consent", "Compliant")))))</f>
        <v/>
      </c>
      <c r="O7308" s="7" t="n"/>
    </row>
    <row r="7309">
      <c r="A7309" s="7" t="n"/>
      <c r="B7309" s="7" t="n"/>
      <c r="C7309" s="7" t="n"/>
      <c r="D7309" s="7" t="n"/>
      <c r="E7309" s="7" t="n"/>
      <c r="F7309" s="7" t="n"/>
      <c r="G7309" s="7" t="n"/>
      <c r="H7309" s="7" t="n"/>
      <c r="I7309" s="7" t="n"/>
      <c r="J7309" s="7" t="n"/>
      <c r="K7309">
        <f>IF(D7309="Legitimate Interest (GDPR Art. 6(1)(f))", "Yes / Required (Sheet 3)", "")</f>
        <v/>
      </c>
      <c r="L7309" s="7" t="n"/>
      <c r="M7309" s="7" t="n"/>
      <c r="N7309">
        <f>IF(D7309="", "Gap - No Legal Basis", IF(AND(D7309="Consent (GDPR Art. 6(1)(a))", I7309="Not Captured"), "Gap - Invalid Consent", IF(AND(D7309="Legitimate Interest (GDPR Art. 6(1)(f))", L7309=""), "Gap - Missing LIA", IF(AND(G7309="Yes", H7309=""), "Gap - Missing Art. 9 Basis", IF(OR(I7309="Invalid - Not Freely Given", I7309="Invalid - Not Specific", I7309="Invalid - Not Informed", I7309="Invalid - Ambiguous"), "Gap - Invalid Consent", "Compliant")))))</f>
        <v/>
      </c>
      <c r="O7309" s="7" t="n"/>
    </row>
    <row r="7310">
      <c r="A7310" s="7" t="n"/>
      <c r="B7310" s="7" t="n"/>
      <c r="C7310" s="7" t="n"/>
      <c r="D7310" s="7" t="n"/>
      <c r="E7310" s="7" t="n"/>
      <c r="F7310" s="7" t="n"/>
      <c r="G7310" s="7" t="n"/>
      <c r="H7310" s="7" t="n"/>
      <c r="I7310" s="7" t="n"/>
      <c r="J7310" s="7" t="n"/>
      <c r="K7310">
        <f>IF(D7310="Legitimate Interest (GDPR Art. 6(1)(f))", "Yes / Required (Sheet 3)", "")</f>
        <v/>
      </c>
      <c r="L7310" s="7" t="n"/>
      <c r="M7310" s="7" t="n"/>
      <c r="N7310">
        <f>IF(D7310="", "Gap - No Legal Basis", IF(AND(D7310="Consent (GDPR Art. 6(1)(a))", I7310="Not Captured"), "Gap - Invalid Consent", IF(AND(D7310="Legitimate Interest (GDPR Art. 6(1)(f))", L7310=""), "Gap - Missing LIA", IF(AND(G7310="Yes", H7310=""), "Gap - Missing Art. 9 Basis", IF(OR(I7310="Invalid - Not Freely Given", I7310="Invalid - Not Specific", I7310="Invalid - Not Informed", I7310="Invalid - Ambiguous"), "Gap - Invalid Consent", "Compliant")))))</f>
        <v/>
      </c>
      <c r="O7310" s="7" t="n"/>
    </row>
    <row r="7311">
      <c r="A7311" s="7" t="n"/>
      <c r="B7311" s="7" t="n"/>
      <c r="C7311" s="7" t="n"/>
      <c r="D7311" s="7" t="n"/>
      <c r="E7311" s="7" t="n"/>
      <c r="F7311" s="7" t="n"/>
      <c r="G7311" s="7" t="n"/>
      <c r="H7311" s="7" t="n"/>
      <c r="I7311" s="7" t="n"/>
      <c r="J7311" s="7" t="n"/>
      <c r="K7311">
        <f>IF(D7311="Legitimate Interest (GDPR Art. 6(1)(f))", "Yes / Required (Sheet 3)", "")</f>
        <v/>
      </c>
      <c r="L7311" s="7" t="n"/>
      <c r="M7311" s="7" t="n"/>
      <c r="N7311">
        <f>IF(D7311="", "Gap - No Legal Basis", IF(AND(D7311="Consent (GDPR Art. 6(1)(a))", I7311="Not Captured"), "Gap - Invalid Consent", IF(AND(D7311="Legitimate Interest (GDPR Art. 6(1)(f))", L7311=""), "Gap - Missing LIA", IF(AND(G7311="Yes", H7311=""), "Gap - Missing Art. 9 Basis", IF(OR(I7311="Invalid - Not Freely Given", I7311="Invalid - Not Specific", I7311="Invalid - Not Informed", I7311="Invalid - Ambiguous"), "Gap - Invalid Consent", "Compliant")))))</f>
        <v/>
      </c>
      <c r="O7311" s="7" t="n"/>
    </row>
    <row r="7312">
      <c r="A7312" s="7" t="n"/>
      <c r="B7312" s="7" t="n"/>
      <c r="C7312" s="7" t="n"/>
      <c r="D7312" s="7" t="n"/>
      <c r="E7312" s="7" t="n"/>
      <c r="F7312" s="7" t="n"/>
      <c r="G7312" s="7" t="n"/>
      <c r="H7312" s="7" t="n"/>
      <c r="I7312" s="7" t="n"/>
      <c r="J7312" s="7" t="n"/>
      <c r="K7312">
        <f>IF(D7312="Legitimate Interest (GDPR Art. 6(1)(f))", "Yes / Required (Sheet 3)", "")</f>
        <v/>
      </c>
      <c r="L7312" s="7" t="n"/>
      <c r="M7312" s="7" t="n"/>
      <c r="N7312">
        <f>IF(D7312="", "Gap - No Legal Basis", IF(AND(D7312="Consent (GDPR Art. 6(1)(a))", I7312="Not Captured"), "Gap - Invalid Consent", IF(AND(D7312="Legitimate Interest (GDPR Art. 6(1)(f))", L7312=""), "Gap - Missing LIA", IF(AND(G7312="Yes", H7312=""), "Gap - Missing Art. 9 Basis", IF(OR(I7312="Invalid - Not Freely Given", I7312="Invalid - Not Specific", I7312="Invalid - Not Informed", I7312="Invalid - Ambiguous"), "Gap - Invalid Consent", "Compliant")))))</f>
        <v/>
      </c>
      <c r="O7312" s="7" t="n"/>
    </row>
    <row r="7313">
      <c r="A7313" s="7" t="n"/>
      <c r="B7313" s="7" t="n"/>
      <c r="C7313" s="7" t="n"/>
      <c r="D7313" s="7" t="n"/>
      <c r="E7313" s="7" t="n"/>
      <c r="F7313" s="7" t="n"/>
      <c r="G7313" s="7" t="n"/>
      <c r="H7313" s="7" t="n"/>
      <c r="I7313" s="7" t="n"/>
      <c r="J7313" s="7" t="n"/>
      <c r="K7313">
        <f>IF(D7313="Legitimate Interest (GDPR Art. 6(1)(f))", "Yes / Required (Sheet 3)", "")</f>
        <v/>
      </c>
      <c r="L7313" s="7" t="n"/>
      <c r="M7313" s="7" t="n"/>
      <c r="N7313">
        <f>IF(D7313="", "Gap - No Legal Basis", IF(AND(D7313="Consent (GDPR Art. 6(1)(a))", I7313="Not Captured"), "Gap - Invalid Consent", IF(AND(D7313="Legitimate Interest (GDPR Art. 6(1)(f))", L7313=""), "Gap - Missing LIA", IF(AND(G7313="Yes", H7313=""), "Gap - Missing Art. 9 Basis", IF(OR(I7313="Invalid - Not Freely Given", I7313="Invalid - Not Specific", I7313="Invalid - Not Informed", I7313="Invalid - Ambiguous"), "Gap - Invalid Consent", "Compliant")))))</f>
        <v/>
      </c>
      <c r="O7313" s="7" t="n"/>
    </row>
    <row r="7314">
      <c r="A7314" s="7" t="n"/>
      <c r="B7314" s="7" t="n"/>
      <c r="C7314" s="7" t="n"/>
      <c r="D7314" s="7" t="n"/>
      <c r="E7314" s="7" t="n"/>
      <c r="F7314" s="7" t="n"/>
      <c r="G7314" s="7" t="n"/>
      <c r="H7314" s="7" t="n"/>
      <c r="I7314" s="7" t="n"/>
      <c r="J7314" s="7" t="n"/>
      <c r="K7314">
        <f>IF(D7314="Legitimate Interest (GDPR Art. 6(1)(f))", "Yes / Required (Sheet 3)", "")</f>
        <v/>
      </c>
      <c r="L7314" s="7" t="n"/>
      <c r="M7314" s="7" t="n"/>
      <c r="N7314">
        <f>IF(D7314="", "Gap - No Legal Basis", IF(AND(D7314="Consent (GDPR Art. 6(1)(a))", I7314="Not Captured"), "Gap - Invalid Consent", IF(AND(D7314="Legitimate Interest (GDPR Art. 6(1)(f))", L7314=""), "Gap - Missing LIA", IF(AND(G7314="Yes", H7314=""), "Gap - Missing Art. 9 Basis", IF(OR(I7314="Invalid - Not Freely Given", I7314="Invalid - Not Specific", I7314="Invalid - Not Informed", I7314="Invalid - Ambiguous"), "Gap - Invalid Consent", "Compliant")))))</f>
        <v/>
      </c>
      <c r="O7314" s="7" t="n"/>
    </row>
    <row r="7315">
      <c r="A7315" s="7" t="n"/>
      <c r="B7315" s="7" t="n"/>
      <c r="C7315" s="7" t="n"/>
      <c r="D7315" s="7" t="n"/>
      <c r="E7315" s="7" t="n"/>
      <c r="F7315" s="7" t="n"/>
      <c r="G7315" s="7" t="n"/>
      <c r="H7315" s="7" t="n"/>
      <c r="I7315" s="7" t="n"/>
      <c r="J7315" s="7" t="n"/>
      <c r="K7315">
        <f>IF(D7315="Legitimate Interest (GDPR Art. 6(1)(f))", "Yes / Required (Sheet 3)", "")</f>
        <v/>
      </c>
      <c r="L7315" s="7" t="n"/>
      <c r="M7315" s="7" t="n"/>
      <c r="N7315">
        <f>IF(D7315="", "Gap - No Legal Basis", IF(AND(D7315="Consent (GDPR Art. 6(1)(a))", I7315="Not Captured"), "Gap - Invalid Consent", IF(AND(D7315="Legitimate Interest (GDPR Art. 6(1)(f))", L7315=""), "Gap - Missing LIA", IF(AND(G7315="Yes", H7315=""), "Gap - Missing Art. 9 Basis", IF(OR(I7315="Invalid - Not Freely Given", I7315="Invalid - Not Specific", I7315="Invalid - Not Informed", I7315="Invalid - Ambiguous"), "Gap - Invalid Consent", "Compliant")))))</f>
        <v/>
      </c>
      <c r="O7315" s="7" t="n"/>
    </row>
    <row r="7316">
      <c r="A7316" s="7" t="n"/>
      <c r="B7316" s="7" t="n"/>
      <c r="C7316" s="7" t="n"/>
      <c r="D7316" s="7" t="n"/>
      <c r="E7316" s="7" t="n"/>
      <c r="F7316" s="7" t="n"/>
      <c r="G7316" s="7" t="n"/>
      <c r="H7316" s="7" t="n"/>
      <c r="I7316" s="7" t="n"/>
      <c r="J7316" s="7" t="n"/>
      <c r="K7316">
        <f>IF(D7316="Legitimate Interest (GDPR Art. 6(1)(f))", "Yes / Required (Sheet 3)", "")</f>
        <v/>
      </c>
      <c r="L7316" s="7" t="n"/>
      <c r="M7316" s="7" t="n"/>
      <c r="N7316">
        <f>IF(D7316="", "Gap - No Legal Basis", IF(AND(D7316="Consent (GDPR Art. 6(1)(a))", I7316="Not Captured"), "Gap - Invalid Consent", IF(AND(D7316="Legitimate Interest (GDPR Art. 6(1)(f))", L7316=""), "Gap - Missing LIA", IF(AND(G7316="Yes", H7316=""), "Gap - Missing Art. 9 Basis", IF(OR(I7316="Invalid - Not Freely Given", I7316="Invalid - Not Specific", I7316="Invalid - Not Informed", I7316="Invalid - Ambiguous"), "Gap - Invalid Consent", "Compliant")))))</f>
        <v/>
      </c>
      <c r="O7316" s="7" t="n"/>
    </row>
    <row r="7317">
      <c r="A7317" s="7" t="n"/>
      <c r="B7317" s="7" t="n"/>
      <c r="C7317" s="7" t="n"/>
      <c r="D7317" s="7" t="n"/>
      <c r="E7317" s="7" t="n"/>
      <c r="F7317" s="7" t="n"/>
      <c r="G7317" s="7" t="n"/>
      <c r="H7317" s="7" t="n"/>
      <c r="I7317" s="7" t="n"/>
      <c r="J7317" s="7" t="n"/>
      <c r="K7317">
        <f>IF(D7317="Legitimate Interest (GDPR Art. 6(1)(f))", "Yes / Required (Sheet 3)", "")</f>
        <v/>
      </c>
      <c r="L7317" s="7" t="n"/>
      <c r="M7317" s="7" t="n"/>
      <c r="N7317">
        <f>IF(D7317="", "Gap - No Legal Basis", IF(AND(D7317="Consent (GDPR Art. 6(1)(a))", I7317="Not Captured"), "Gap - Invalid Consent", IF(AND(D7317="Legitimate Interest (GDPR Art. 6(1)(f))", L7317=""), "Gap - Missing LIA", IF(AND(G7317="Yes", H7317=""), "Gap - Missing Art. 9 Basis", IF(OR(I7317="Invalid - Not Freely Given", I7317="Invalid - Not Specific", I7317="Invalid - Not Informed", I7317="Invalid - Ambiguous"), "Gap - Invalid Consent", "Compliant")))))</f>
        <v/>
      </c>
      <c r="O7317" s="7" t="n"/>
    </row>
    <row r="7318">
      <c r="A7318" s="7" t="n"/>
      <c r="B7318" s="7" t="n"/>
      <c r="C7318" s="7" t="n"/>
      <c r="D7318" s="7" t="n"/>
      <c r="E7318" s="7" t="n"/>
      <c r="F7318" s="7" t="n"/>
      <c r="G7318" s="7" t="n"/>
      <c r="H7318" s="7" t="n"/>
      <c r="I7318" s="7" t="n"/>
      <c r="J7318" s="7" t="n"/>
      <c r="K7318">
        <f>IF(D7318="Legitimate Interest (GDPR Art. 6(1)(f))", "Yes / Required (Sheet 3)", "")</f>
        <v/>
      </c>
      <c r="L7318" s="7" t="n"/>
      <c r="M7318" s="7" t="n"/>
      <c r="N7318">
        <f>IF(D7318="", "Gap - No Legal Basis", IF(AND(D7318="Consent (GDPR Art. 6(1)(a))", I7318="Not Captured"), "Gap - Invalid Consent", IF(AND(D7318="Legitimate Interest (GDPR Art. 6(1)(f))", L7318=""), "Gap - Missing LIA", IF(AND(G7318="Yes", H7318=""), "Gap - Missing Art. 9 Basis", IF(OR(I7318="Invalid - Not Freely Given", I7318="Invalid - Not Specific", I7318="Invalid - Not Informed", I7318="Invalid - Ambiguous"), "Gap - Invalid Consent", "Compliant")))))</f>
        <v/>
      </c>
      <c r="O7318" s="7" t="n"/>
    </row>
    <row r="7319">
      <c r="A7319" s="7" t="n"/>
      <c r="B7319" s="7" t="n"/>
      <c r="C7319" s="7" t="n"/>
      <c r="D7319" s="7" t="n"/>
      <c r="E7319" s="7" t="n"/>
      <c r="F7319" s="7" t="n"/>
      <c r="G7319" s="7" t="n"/>
      <c r="H7319" s="7" t="n"/>
      <c r="I7319" s="7" t="n"/>
      <c r="J7319" s="7" t="n"/>
      <c r="K7319">
        <f>IF(D7319="Legitimate Interest (GDPR Art. 6(1)(f))", "Yes / Required (Sheet 3)", "")</f>
        <v/>
      </c>
      <c r="L7319" s="7" t="n"/>
      <c r="M7319" s="7" t="n"/>
      <c r="N7319">
        <f>IF(D7319="", "Gap - No Legal Basis", IF(AND(D7319="Consent (GDPR Art. 6(1)(a))", I7319="Not Captured"), "Gap - Invalid Consent", IF(AND(D7319="Legitimate Interest (GDPR Art. 6(1)(f))", L7319=""), "Gap - Missing LIA", IF(AND(G7319="Yes", H7319=""), "Gap - Missing Art. 9 Basis", IF(OR(I7319="Invalid - Not Freely Given", I7319="Invalid - Not Specific", I7319="Invalid - Not Informed", I7319="Invalid - Ambiguous"), "Gap - Invalid Consent", "Compliant")))))</f>
        <v/>
      </c>
      <c r="O7319" s="7" t="n"/>
    </row>
    <row r="7320">
      <c r="A7320" s="7" t="n"/>
      <c r="B7320" s="7" t="n"/>
      <c r="C7320" s="7" t="n"/>
      <c r="D7320" s="7" t="n"/>
      <c r="E7320" s="7" t="n"/>
      <c r="F7320" s="7" t="n"/>
      <c r="G7320" s="7" t="n"/>
      <c r="H7320" s="7" t="n"/>
      <c r="I7320" s="7" t="n"/>
      <c r="J7320" s="7" t="n"/>
      <c r="K7320">
        <f>IF(D7320="Legitimate Interest (GDPR Art. 6(1)(f))", "Yes / Required (Sheet 3)", "")</f>
        <v/>
      </c>
      <c r="L7320" s="7" t="n"/>
      <c r="M7320" s="7" t="n"/>
      <c r="N7320">
        <f>IF(D7320="", "Gap - No Legal Basis", IF(AND(D7320="Consent (GDPR Art. 6(1)(a))", I7320="Not Captured"), "Gap - Invalid Consent", IF(AND(D7320="Legitimate Interest (GDPR Art. 6(1)(f))", L7320=""), "Gap - Missing LIA", IF(AND(G7320="Yes", H7320=""), "Gap - Missing Art. 9 Basis", IF(OR(I7320="Invalid - Not Freely Given", I7320="Invalid - Not Specific", I7320="Invalid - Not Informed", I7320="Invalid - Ambiguous"), "Gap - Invalid Consent", "Compliant")))))</f>
        <v/>
      </c>
      <c r="O7320" s="7" t="n"/>
    </row>
    <row r="7321">
      <c r="A7321" s="7" t="n"/>
      <c r="B7321" s="7" t="n"/>
      <c r="C7321" s="7" t="n"/>
      <c r="D7321" s="7" t="n"/>
      <c r="E7321" s="7" t="n"/>
      <c r="F7321" s="7" t="n"/>
      <c r="G7321" s="7" t="n"/>
      <c r="H7321" s="7" t="n"/>
      <c r="I7321" s="7" t="n"/>
      <c r="J7321" s="7" t="n"/>
      <c r="K7321">
        <f>IF(D7321="Legitimate Interest (GDPR Art. 6(1)(f))", "Yes / Required (Sheet 3)", "")</f>
        <v/>
      </c>
      <c r="L7321" s="7" t="n"/>
      <c r="M7321" s="7" t="n"/>
      <c r="N7321">
        <f>IF(D7321="", "Gap - No Legal Basis", IF(AND(D7321="Consent (GDPR Art. 6(1)(a))", I7321="Not Captured"), "Gap - Invalid Consent", IF(AND(D7321="Legitimate Interest (GDPR Art. 6(1)(f))", L7321=""), "Gap - Missing LIA", IF(AND(G7321="Yes", H7321=""), "Gap - Missing Art. 9 Basis", IF(OR(I7321="Invalid - Not Freely Given", I7321="Invalid - Not Specific", I7321="Invalid - Not Informed", I7321="Invalid - Ambiguous"), "Gap - Invalid Consent", "Compliant")))))</f>
        <v/>
      </c>
      <c r="O7321" s="7" t="n"/>
    </row>
    <row r="7322">
      <c r="A7322" s="7" t="n"/>
      <c r="B7322" s="7" t="n"/>
      <c r="C7322" s="7" t="n"/>
      <c r="D7322" s="7" t="n"/>
      <c r="E7322" s="7" t="n"/>
      <c r="F7322" s="7" t="n"/>
      <c r="G7322" s="7" t="n"/>
      <c r="H7322" s="7" t="n"/>
      <c r="I7322" s="7" t="n"/>
      <c r="J7322" s="7" t="n"/>
      <c r="K7322">
        <f>IF(D7322="Legitimate Interest (GDPR Art. 6(1)(f))", "Yes / Required (Sheet 3)", "")</f>
        <v/>
      </c>
      <c r="L7322" s="7" t="n"/>
      <c r="M7322" s="7" t="n"/>
      <c r="N7322">
        <f>IF(D7322="", "Gap - No Legal Basis", IF(AND(D7322="Consent (GDPR Art. 6(1)(a))", I7322="Not Captured"), "Gap - Invalid Consent", IF(AND(D7322="Legitimate Interest (GDPR Art. 6(1)(f))", L7322=""), "Gap - Missing LIA", IF(AND(G7322="Yes", H7322=""), "Gap - Missing Art. 9 Basis", IF(OR(I7322="Invalid - Not Freely Given", I7322="Invalid - Not Specific", I7322="Invalid - Not Informed", I7322="Invalid - Ambiguous"), "Gap - Invalid Consent", "Compliant")))))</f>
        <v/>
      </c>
      <c r="O7322" s="7" t="n"/>
    </row>
    <row r="7323">
      <c r="A7323" s="7" t="n"/>
      <c r="B7323" s="7" t="n"/>
      <c r="C7323" s="7" t="n"/>
      <c r="D7323" s="7" t="n"/>
      <c r="E7323" s="7" t="n"/>
      <c r="F7323" s="7" t="n"/>
      <c r="G7323" s="7" t="n"/>
      <c r="H7323" s="7" t="n"/>
      <c r="I7323" s="7" t="n"/>
      <c r="J7323" s="7" t="n"/>
      <c r="K7323">
        <f>IF(D7323="Legitimate Interest (GDPR Art. 6(1)(f))", "Yes / Required (Sheet 3)", "")</f>
        <v/>
      </c>
      <c r="L7323" s="7" t="n"/>
      <c r="M7323" s="7" t="n"/>
      <c r="N7323">
        <f>IF(D7323="", "Gap - No Legal Basis", IF(AND(D7323="Consent (GDPR Art. 6(1)(a))", I7323="Not Captured"), "Gap - Invalid Consent", IF(AND(D7323="Legitimate Interest (GDPR Art. 6(1)(f))", L7323=""), "Gap - Missing LIA", IF(AND(G7323="Yes", H7323=""), "Gap - Missing Art. 9 Basis", IF(OR(I7323="Invalid - Not Freely Given", I7323="Invalid - Not Specific", I7323="Invalid - Not Informed", I7323="Invalid - Ambiguous"), "Gap - Invalid Consent", "Compliant")))))</f>
        <v/>
      </c>
      <c r="O7323" s="7" t="n"/>
    </row>
    <row r="7324">
      <c r="A7324" s="7" t="n"/>
      <c r="B7324" s="7" t="n"/>
      <c r="C7324" s="7" t="n"/>
      <c r="D7324" s="7" t="n"/>
      <c r="E7324" s="7" t="n"/>
      <c r="F7324" s="7" t="n"/>
      <c r="G7324" s="7" t="n"/>
      <c r="H7324" s="7" t="n"/>
      <c r="I7324" s="7" t="n"/>
      <c r="J7324" s="7" t="n"/>
      <c r="K7324">
        <f>IF(D7324="Legitimate Interest (GDPR Art. 6(1)(f))", "Yes / Required (Sheet 3)", "")</f>
        <v/>
      </c>
      <c r="L7324" s="7" t="n"/>
      <c r="M7324" s="7" t="n"/>
      <c r="N7324">
        <f>IF(D7324="", "Gap - No Legal Basis", IF(AND(D7324="Consent (GDPR Art. 6(1)(a))", I7324="Not Captured"), "Gap - Invalid Consent", IF(AND(D7324="Legitimate Interest (GDPR Art. 6(1)(f))", L7324=""), "Gap - Missing LIA", IF(AND(G7324="Yes", H7324=""), "Gap - Missing Art. 9 Basis", IF(OR(I7324="Invalid - Not Freely Given", I7324="Invalid - Not Specific", I7324="Invalid - Not Informed", I7324="Invalid - Ambiguous"), "Gap - Invalid Consent", "Compliant")))))</f>
        <v/>
      </c>
      <c r="O7324" s="7" t="n"/>
    </row>
    <row r="7325">
      <c r="A7325" s="7" t="n"/>
      <c r="B7325" s="7" t="n"/>
      <c r="C7325" s="7" t="n"/>
      <c r="D7325" s="7" t="n"/>
      <c r="E7325" s="7" t="n"/>
      <c r="F7325" s="7" t="n"/>
      <c r="G7325" s="7" t="n"/>
      <c r="H7325" s="7" t="n"/>
      <c r="I7325" s="7" t="n"/>
      <c r="J7325" s="7" t="n"/>
      <c r="K7325">
        <f>IF(D7325="Legitimate Interest (GDPR Art. 6(1)(f))", "Yes / Required (Sheet 3)", "")</f>
        <v/>
      </c>
      <c r="L7325" s="7" t="n"/>
      <c r="M7325" s="7" t="n"/>
      <c r="N7325">
        <f>IF(D7325="", "Gap - No Legal Basis", IF(AND(D7325="Consent (GDPR Art. 6(1)(a))", I7325="Not Captured"), "Gap - Invalid Consent", IF(AND(D7325="Legitimate Interest (GDPR Art. 6(1)(f))", L7325=""), "Gap - Missing LIA", IF(AND(G7325="Yes", H7325=""), "Gap - Missing Art. 9 Basis", IF(OR(I7325="Invalid - Not Freely Given", I7325="Invalid - Not Specific", I7325="Invalid - Not Informed", I7325="Invalid - Ambiguous"), "Gap - Invalid Consent", "Compliant")))))</f>
        <v/>
      </c>
      <c r="O7325" s="7" t="n"/>
    </row>
    <row r="7326">
      <c r="A7326" s="7" t="n"/>
      <c r="B7326" s="7" t="n"/>
      <c r="C7326" s="7" t="n"/>
      <c r="D7326" s="7" t="n"/>
      <c r="E7326" s="7" t="n"/>
      <c r="F7326" s="7" t="n"/>
      <c r="G7326" s="7" t="n"/>
      <c r="H7326" s="7" t="n"/>
      <c r="I7326" s="7" t="n"/>
      <c r="J7326" s="7" t="n"/>
      <c r="K7326">
        <f>IF(D7326="Legitimate Interest (GDPR Art. 6(1)(f))", "Yes / Required (Sheet 3)", "")</f>
        <v/>
      </c>
      <c r="L7326" s="7" t="n"/>
      <c r="M7326" s="7" t="n"/>
      <c r="N7326">
        <f>IF(D7326="", "Gap - No Legal Basis", IF(AND(D7326="Consent (GDPR Art. 6(1)(a))", I7326="Not Captured"), "Gap - Invalid Consent", IF(AND(D7326="Legitimate Interest (GDPR Art. 6(1)(f))", L7326=""), "Gap - Missing LIA", IF(AND(G7326="Yes", H7326=""), "Gap - Missing Art. 9 Basis", IF(OR(I7326="Invalid - Not Freely Given", I7326="Invalid - Not Specific", I7326="Invalid - Not Informed", I7326="Invalid - Ambiguous"), "Gap - Invalid Consent", "Compliant")))))</f>
        <v/>
      </c>
      <c r="O7326" s="7" t="n"/>
    </row>
    <row r="7327">
      <c r="A7327" s="7" t="n"/>
      <c r="B7327" s="7" t="n"/>
      <c r="C7327" s="7" t="n"/>
      <c r="D7327" s="7" t="n"/>
      <c r="E7327" s="7" t="n"/>
      <c r="F7327" s="7" t="n"/>
      <c r="G7327" s="7" t="n"/>
      <c r="H7327" s="7" t="n"/>
      <c r="I7327" s="7" t="n"/>
      <c r="J7327" s="7" t="n"/>
      <c r="K7327">
        <f>IF(D7327="Legitimate Interest (GDPR Art. 6(1)(f))", "Yes / Required (Sheet 3)", "")</f>
        <v/>
      </c>
      <c r="L7327" s="7" t="n"/>
      <c r="M7327" s="7" t="n"/>
      <c r="N7327">
        <f>IF(D7327="", "Gap - No Legal Basis", IF(AND(D7327="Consent (GDPR Art. 6(1)(a))", I7327="Not Captured"), "Gap - Invalid Consent", IF(AND(D7327="Legitimate Interest (GDPR Art. 6(1)(f))", L7327=""), "Gap - Missing LIA", IF(AND(G7327="Yes", H7327=""), "Gap - Missing Art. 9 Basis", IF(OR(I7327="Invalid - Not Freely Given", I7327="Invalid - Not Specific", I7327="Invalid - Not Informed", I7327="Invalid - Ambiguous"), "Gap - Invalid Consent", "Compliant")))))</f>
        <v/>
      </c>
      <c r="O7327" s="7" t="n"/>
    </row>
    <row r="7328">
      <c r="A7328" s="7" t="n"/>
      <c r="B7328" s="7" t="n"/>
      <c r="C7328" s="7" t="n"/>
      <c r="D7328" s="7" t="n"/>
      <c r="E7328" s="7" t="n"/>
      <c r="F7328" s="7" t="n"/>
      <c r="G7328" s="7" t="n"/>
      <c r="H7328" s="7" t="n"/>
      <c r="I7328" s="7" t="n"/>
      <c r="J7328" s="7" t="n"/>
      <c r="K7328">
        <f>IF(D7328="Legitimate Interest (GDPR Art. 6(1)(f))", "Yes / Required (Sheet 3)", "")</f>
        <v/>
      </c>
      <c r="L7328" s="7" t="n"/>
      <c r="M7328" s="7" t="n"/>
      <c r="N7328">
        <f>IF(D7328="", "Gap - No Legal Basis", IF(AND(D7328="Consent (GDPR Art. 6(1)(a))", I7328="Not Captured"), "Gap - Invalid Consent", IF(AND(D7328="Legitimate Interest (GDPR Art. 6(1)(f))", L7328=""), "Gap - Missing LIA", IF(AND(G7328="Yes", H7328=""), "Gap - Missing Art. 9 Basis", IF(OR(I7328="Invalid - Not Freely Given", I7328="Invalid - Not Specific", I7328="Invalid - Not Informed", I7328="Invalid - Ambiguous"), "Gap - Invalid Consent", "Compliant")))))</f>
        <v/>
      </c>
      <c r="O7328" s="7" t="n"/>
    </row>
    <row r="7329">
      <c r="A7329" s="7" t="n"/>
      <c r="B7329" s="7" t="n"/>
      <c r="C7329" s="7" t="n"/>
      <c r="D7329" s="7" t="n"/>
      <c r="E7329" s="7" t="n"/>
      <c r="F7329" s="7" t="n"/>
      <c r="G7329" s="7" t="n"/>
      <c r="H7329" s="7" t="n"/>
      <c r="I7329" s="7" t="n"/>
      <c r="J7329" s="7" t="n"/>
      <c r="K7329">
        <f>IF(D7329="Legitimate Interest (GDPR Art. 6(1)(f))", "Yes / Required (Sheet 3)", "")</f>
        <v/>
      </c>
      <c r="L7329" s="7" t="n"/>
      <c r="M7329" s="7" t="n"/>
      <c r="N7329">
        <f>IF(D7329="", "Gap - No Legal Basis", IF(AND(D7329="Consent (GDPR Art. 6(1)(a))", I7329="Not Captured"), "Gap - Invalid Consent", IF(AND(D7329="Legitimate Interest (GDPR Art. 6(1)(f))", L7329=""), "Gap - Missing LIA", IF(AND(G7329="Yes", H7329=""), "Gap - Missing Art. 9 Basis", IF(OR(I7329="Invalid - Not Freely Given", I7329="Invalid - Not Specific", I7329="Invalid - Not Informed", I7329="Invalid - Ambiguous"), "Gap - Invalid Consent", "Compliant")))))</f>
        <v/>
      </c>
      <c r="O7329" s="7" t="n"/>
    </row>
    <row r="7330">
      <c r="A7330" s="7" t="n"/>
      <c r="B7330" s="7" t="n"/>
      <c r="C7330" s="7" t="n"/>
      <c r="D7330" s="7" t="n"/>
      <c r="E7330" s="7" t="n"/>
      <c r="F7330" s="7" t="n"/>
      <c r="G7330" s="7" t="n"/>
      <c r="H7330" s="7" t="n"/>
      <c r="I7330" s="7" t="n"/>
      <c r="J7330" s="7" t="n"/>
      <c r="K7330">
        <f>IF(D7330="Legitimate Interest (GDPR Art. 6(1)(f))", "Yes / Required (Sheet 3)", "")</f>
        <v/>
      </c>
      <c r="L7330" s="7" t="n"/>
      <c r="M7330" s="7" t="n"/>
      <c r="N7330">
        <f>IF(D7330="", "Gap - No Legal Basis", IF(AND(D7330="Consent (GDPR Art. 6(1)(a))", I7330="Not Captured"), "Gap - Invalid Consent", IF(AND(D7330="Legitimate Interest (GDPR Art. 6(1)(f))", L7330=""), "Gap - Missing LIA", IF(AND(G7330="Yes", H7330=""), "Gap - Missing Art. 9 Basis", IF(OR(I7330="Invalid - Not Freely Given", I7330="Invalid - Not Specific", I7330="Invalid - Not Informed", I7330="Invalid - Ambiguous"), "Gap - Invalid Consent", "Compliant")))))</f>
        <v/>
      </c>
      <c r="O7330" s="7" t="n"/>
    </row>
    <row r="7331">
      <c r="A7331" s="7" t="n"/>
      <c r="B7331" s="7" t="n"/>
      <c r="C7331" s="7" t="n"/>
      <c r="D7331" s="7" t="n"/>
      <c r="E7331" s="7" t="n"/>
      <c r="F7331" s="7" t="n"/>
      <c r="G7331" s="7" t="n"/>
      <c r="H7331" s="7" t="n"/>
      <c r="I7331" s="7" t="n"/>
      <c r="J7331" s="7" t="n"/>
      <c r="K7331">
        <f>IF(D7331="Legitimate Interest (GDPR Art. 6(1)(f))", "Yes / Required (Sheet 3)", "")</f>
        <v/>
      </c>
      <c r="L7331" s="7" t="n"/>
      <c r="M7331" s="7" t="n"/>
      <c r="N7331">
        <f>IF(D7331="", "Gap - No Legal Basis", IF(AND(D7331="Consent (GDPR Art. 6(1)(a))", I7331="Not Captured"), "Gap - Invalid Consent", IF(AND(D7331="Legitimate Interest (GDPR Art. 6(1)(f))", L7331=""), "Gap - Missing LIA", IF(AND(G7331="Yes", H7331=""), "Gap - Missing Art. 9 Basis", IF(OR(I7331="Invalid - Not Freely Given", I7331="Invalid - Not Specific", I7331="Invalid - Not Informed", I7331="Invalid - Ambiguous"), "Gap - Invalid Consent", "Compliant")))))</f>
        <v/>
      </c>
      <c r="O7331" s="7" t="n"/>
    </row>
    <row r="7332">
      <c r="A7332" s="7" t="n"/>
      <c r="B7332" s="7" t="n"/>
      <c r="C7332" s="7" t="n"/>
      <c r="D7332" s="7" t="n"/>
      <c r="E7332" s="7" t="n"/>
      <c r="F7332" s="7" t="n"/>
      <c r="G7332" s="7" t="n"/>
      <c r="H7332" s="7" t="n"/>
      <c r="I7332" s="7" t="n"/>
      <c r="J7332" s="7" t="n"/>
      <c r="K7332">
        <f>IF(D7332="Legitimate Interest (GDPR Art. 6(1)(f))", "Yes / Required (Sheet 3)", "")</f>
        <v/>
      </c>
      <c r="L7332" s="7" t="n"/>
      <c r="M7332" s="7" t="n"/>
      <c r="N7332">
        <f>IF(D7332="", "Gap - No Legal Basis", IF(AND(D7332="Consent (GDPR Art. 6(1)(a))", I7332="Not Captured"), "Gap - Invalid Consent", IF(AND(D7332="Legitimate Interest (GDPR Art. 6(1)(f))", L7332=""), "Gap - Missing LIA", IF(AND(G7332="Yes", H7332=""), "Gap - Missing Art. 9 Basis", IF(OR(I7332="Invalid - Not Freely Given", I7332="Invalid - Not Specific", I7332="Invalid - Not Informed", I7332="Invalid - Ambiguous"), "Gap - Invalid Consent", "Compliant")))))</f>
        <v/>
      </c>
      <c r="O7332" s="7" t="n"/>
    </row>
    <row r="7333">
      <c r="A7333" s="7" t="n"/>
      <c r="B7333" s="7" t="n"/>
      <c r="C7333" s="7" t="n"/>
      <c r="D7333" s="7" t="n"/>
      <c r="E7333" s="7" t="n"/>
      <c r="F7333" s="7" t="n"/>
      <c r="G7333" s="7" t="n"/>
      <c r="H7333" s="7" t="n"/>
      <c r="I7333" s="7" t="n"/>
      <c r="J7333" s="7" t="n"/>
      <c r="K7333">
        <f>IF(D7333="Legitimate Interest (GDPR Art. 6(1)(f))", "Yes / Required (Sheet 3)", "")</f>
        <v/>
      </c>
      <c r="L7333" s="7" t="n"/>
      <c r="M7333" s="7" t="n"/>
      <c r="N7333">
        <f>IF(D7333="", "Gap - No Legal Basis", IF(AND(D7333="Consent (GDPR Art. 6(1)(a))", I7333="Not Captured"), "Gap - Invalid Consent", IF(AND(D7333="Legitimate Interest (GDPR Art. 6(1)(f))", L7333=""), "Gap - Missing LIA", IF(AND(G7333="Yes", H7333=""), "Gap - Missing Art. 9 Basis", IF(OR(I7333="Invalid - Not Freely Given", I7333="Invalid - Not Specific", I7333="Invalid - Not Informed", I7333="Invalid - Ambiguous"), "Gap - Invalid Consent", "Compliant")))))</f>
        <v/>
      </c>
      <c r="O7333" s="7" t="n"/>
    </row>
    <row r="7334">
      <c r="A7334" s="7" t="n"/>
      <c r="B7334" s="7" t="n"/>
      <c r="C7334" s="7" t="n"/>
      <c r="D7334" s="7" t="n"/>
      <c r="E7334" s="7" t="n"/>
      <c r="F7334" s="7" t="n"/>
      <c r="G7334" s="7" t="n"/>
      <c r="H7334" s="7" t="n"/>
      <c r="I7334" s="7" t="n"/>
      <c r="J7334" s="7" t="n"/>
      <c r="K7334">
        <f>IF(D7334="Legitimate Interest (GDPR Art. 6(1)(f))", "Yes / Required (Sheet 3)", "")</f>
        <v/>
      </c>
      <c r="L7334" s="7" t="n"/>
      <c r="M7334" s="7" t="n"/>
      <c r="N7334">
        <f>IF(D7334="", "Gap - No Legal Basis", IF(AND(D7334="Consent (GDPR Art. 6(1)(a))", I7334="Not Captured"), "Gap - Invalid Consent", IF(AND(D7334="Legitimate Interest (GDPR Art. 6(1)(f))", L7334=""), "Gap - Missing LIA", IF(AND(G7334="Yes", H7334=""), "Gap - Missing Art. 9 Basis", IF(OR(I7334="Invalid - Not Freely Given", I7334="Invalid - Not Specific", I7334="Invalid - Not Informed", I7334="Invalid - Ambiguous"), "Gap - Invalid Consent", "Compliant")))))</f>
        <v/>
      </c>
      <c r="O7334" s="7" t="n"/>
    </row>
    <row r="7335">
      <c r="A7335" s="7" t="n"/>
      <c r="B7335" s="7" t="n"/>
      <c r="C7335" s="7" t="n"/>
      <c r="D7335" s="7" t="n"/>
      <c r="E7335" s="7" t="n"/>
      <c r="F7335" s="7" t="n"/>
      <c r="G7335" s="7" t="n"/>
      <c r="H7335" s="7" t="n"/>
      <c r="I7335" s="7" t="n"/>
      <c r="J7335" s="7" t="n"/>
      <c r="K7335">
        <f>IF(D7335="Legitimate Interest (GDPR Art. 6(1)(f))", "Yes / Required (Sheet 3)", "")</f>
        <v/>
      </c>
      <c r="L7335" s="7" t="n"/>
      <c r="M7335" s="7" t="n"/>
      <c r="N7335">
        <f>IF(D7335="", "Gap - No Legal Basis", IF(AND(D7335="Consent (GDPR Art. 6(1)(a))", I7335="Not Captured"), "Gap - Invalid Consent", IF(AND(D7335="Legitimate Interest (GDPR Art. 6(1)(f))", L7335=""), "Gap - Missing LIA", IF(AND(G7335="Yes", H7335=""), "Gap - Missing Art. 9 Basis", IF(OR(I7335="Invalid - Not Freely Given", I7335="Invalid - Not Specific", I7335="Invalid - Not Informed", I7335="Invalid - Ambiguous"), "Gap - Invalid Consent", "Compliant")))))</f>
        <v/>
      </c>
      <c r="O7335" s="7" t="n"/>
    </row>
    <row r="7336">
      <c r="A7336" s="7" t="n"/>
      <c r="B7336" s="7" t="n"/>
      <c r="C7336" s="7" t="n"/>
      <c r="D7336" s="7" t="n"/>
      <c r="E7336" s="7" t="n"/>
      <c r="F7336" s="7" t="n"/>
      <c r="G7336" s="7" t="n"/>
      <c r="H7336" s="7" t="n"/>
      <c r="I7336" s="7" t="n"/>
      <c r="J7336" s="7" t="n"/>
      <c r="K7336">
        <f>IF(D7336="Legitimate Interest (GDPR Art. 6(1)(f))", "Yes / Required (Sheet 3)", "")</f>
        <v/>
      </c>
      <c r="L7336" s="7" t="n"/>
      <c r="M7336" s="7" t="n"/>
      <c r="N7336">
        <f>IF(D7336="", "Gap - No Legal Basis", IF(AND(D7336="Consent (GDPR Art. 6(1)(a))", I7336="Not Captured"), "Gap - Invalid Consent", IF(AND(D7336="Legitimate Interest (GDPR Art. 6(1)(f))", L7336=""), "Gap - Missing LIA", IF(AND(G7336="Yes", H7336=""), "Gap - Missing Art. 9 Basis", IF(OR(I7336="Invalid - Not Freely Given", I7336="Invalid - Not Specific", I7336="Invalid - Not Informed", I7336="Invalid - Ambiguous"), "Gap - Invalid Consent", "Compliant")))))</f>
        <v/>
      </c>
      <c r="O7336" s="7" t="n"/>
    </row>
    <row r="7337">
      <c r="A7337" s="7" t="n"/>
      <c r="B7337" s="7" t="n"/>
      <c r="C7337" s="7" t="n"/>
      <c r="D7337" s="7" t="n"/>
      <c r="E7337" s="7" t="n"/>
      <c r="F7337" s="7" t="n"/>
      <c r="G7337" s="7" t="n"/>
      <c r="H7337" s="7" t="n"/>
      <c r="I7337" s="7" t="n"/>
      <c r="J7337" s="7" t="n"/>
      <c r="K7337">
        <f>IF(D7337="Legitimate Interest (GDPR Art. 6(1)(f))", "Yes / Required (Sheet 3)", "")</f>
        <v/>
      </c>
      <c r="L7337" s="7" t="n"/>
      <c r="M7337" s="7" t="n"/>
      <c r="N7337">
        <f>IF(D7337="", "Gap - No Legal Basis", IF(AND(D7337="Consent (GDPR Art. 6(1)(a))", I7337="Not Captured"), "Gap - Invalid Consent", IF(AND(D7337="Legitimate Interest (GDPR Art. 6(1)(f))", L7337=""), "Gap - Missing LIA", IF(AND(G7337="Yes", H7337=""), "Gap - Missing Art. 9 Basis", IF(OR(I7337="Invalid - Not Freely Given", I7337="Invalid - Not Specific", I7337="Invalid - Not Informed", I7337="Invalid - Ambiguous"), "Gap - Invalid Consent", "Compliant")))))</f>
        <v/>
      </c>
      <c r="O7337" s="7" t="n"/>
    </row>
    <row r="7338">
      <c r="A7338" s="7" t="n"/>
      <c r="B7338" s="7" t="n"/>
      <c r="C7338" s="7" t="n"/>
      <c r="D7338" s="7" t="n"/>
      <c r="E7338" s="7" t="n"/>
      <c r="F7338" s="7" t="n"/>
      <c r="G7338" s="7" t="n"/>
      <c r="H7338" s="7" t="n"/>
      <c r="I7338" s="7" t="n"/>
      <c r="J7338" s="7" t="n"/>
      <c r="K7338">
        <f>IF(D7338="Legitimate Interest (GDPR Art. 6(1)(f))", "Yes / Required (Sheet 3)", "")</f>
        <v/>
      </c>
      <c r="L7338" s="7" t="n"/>
      <c r="M7338" s="7" t="n"/>
      <c r="N7338">
        <f>IF(D7338="", "Gap - No Legal Basis", IF(AND(D7338="Consent (GDPR Art. 6(1)(a))", I7338="Not Captured"), "Gap - Invalid Consent", IF(AND(D7338="Legitimate Interest (GDPR Art. 6(1)(f))", L7338=""), "Gap - Missing LIA", IF(AND(G7338="Yes", H7338=""), "Gap - Missing Art. 9 Basis", IF(OR(I7338="Invalid - Not Freely Given", I7338="Invalid - Not Specific", I7338="Invalid - Not Informed", I7338="Invalid - Ambiguous"), "Gap - Invalid Consent", "Compliant")))))</f>
        <v/>
      </c>
      <c r="O7338" s="7" t="n"/>
    </row>
    <row r="7339">
      <c r="A7339" s="7" t="n"/>
      <c r="B7339" s="7" t="n"/>
      <c r="C7339" s="7" t="n"/>
      <c r="D7339" s="7" t="n"/>
      <c r="E7339" s="7" t="n"/>
      <c r="F7339" s="7" t="n"/>
      <c r="G7339" s="7" t="n"/>
      <c r="H7339" s="7" t="n"/>
      <c r="I7339" s="7" t="n"/>
      <c r="J7339" s="7" t="n"/>
      <c r="K7339">
        <f>IF(D7339="Legitimate Interest (GDPR Art. 6(1)(f))", "Yes / Required (Sheet 3)", "")</f>
        <v/>
      </c>
      <c r="L7339" s="7" t="n"/>
      <c r="M7339" s="7" t="n"/>
      <c r="N7339">
        <f>IF(D7339="", "Gap - No Legal Basis", IF(AND(D7339="Consent (GDPR Art. 6(1)(a))", I7339="Not Captured"), "Gap - Invalid Consent", IF(AND(D7339="Legitimate Interest (GDPR Art. 6(1)(f))", L7339=""), "Gap - Missing LIA", IF(AND(G7339="Yes", H7339=""), "Gap - Missing Art. 9 Basis", IF(OR(I7339="Invalid - Not Freely Given", I7339="Invalid - Not Specific", I7339="Invalid - Not Informed", I7339="Invalid - Ambiguous"), "Gap - Invalid Consent", "Compliant")))))</f>
        <v/>
      </c>
      <c r="O7339" s="7" t="n"/>
    </row>
    <row r="7340">
      <c r="A7340" s="7" t="n"/>
      <c r="B7340" s="7" t="n"/>
      <c r="C7340" s="7" t="n"/>
      <c r="D7340" s="7" t="n"/>
      <c r="E7340" s="7" t="n"/>
      <c r="F7340" s="7" t="n"/>
      <c r="G7340" s="7" t="n"/>
      <c r="H7340" s="7" t="n"/>
      <c r="I7340" s="7" t="n"/>
      <c r="J7340" s="7" t="n"/>
      <c r="K7340">
        <f>IF(D7340="Legitimate Interest (GDPR Art. 6(1)(f))", "Yes / Required (Sheet 3)", "")</f>
        <v/>
      </c>
      <c r="L7340" s="7" t="n"/>
      <c r="M7340" s="7" t="n"/>
      <c r="N7340">
        <f>IF(D7340="", "Gap - No Legal Basis", IF(AND(D7340="Consent (GDPR Art. 6(1)(a))", I7340="Not Captured"), "Gap - Invalid Consent", IF(AND(D7340="Legitimate Interest (GDPR Art. 6(1)(f))", L7340=""), "Gap - Missing LIA", IF(AND(G7340="Yes", H7340=""), "Gap - Missing Art. 9 Basis", IF(OR(I7340="Invalid - Not Freely Given", I7340="Invalid - Not Specific", I7340="Invalid - Not Informed", I7340="Invalid - Ambiguous"), "Gap - Invalid Consent", "Compliant")))))</f>
        <v/>
      </c>
      <c r="O7340" s="7" t="n"/>
    </row>
    <row r="7341">
      <c r="A7341" s="7" t="n"/>
      <c r="B7341" s="7" t="n"/>
      <c r="C7341" s="7" t="n"/>
      <c r="D7341" s="7" t="n"/>
      <c r="E7341" s="7" t="n"/>
      <c r="F7341" s="7" t="n"/>
      <c r="G7341" s="7" t="n"/>
      <c r="H7341" s="7" t="n"/>
      <c r="I7341" s="7" t="n"/>
      <c r="J7341" s="7" t="n"/>
      <c r="K7341">
        <f>IF(D7341="Legitimate Interest (GDPR Art. 6(1)(f))", "Yes / Required (Sheet 3)", "")</f>
        <v/>
      </c>
      <c r="L7341" s="7" t="n"/>
      <c r="M7341" s="7" t="n"/>
      <c r="N7341">
        <f>IF(D7341="", "Gap - No Legal Basis", IF(AND(D7341="Consent (GDPR Art. 6(1)(a))", I7341="Not Captured"), "Gap - Invalid Consent", IF(AND(D7341="Legitimate Interest (GDPR Art. 6(1)(f))", L7341=""), "Gap - Missing LIA", IF(AND(G7341="Yes", H7341=""), "Gap - Missing Art. 9 Basis", IF(OR(I7341="Invalid - Not Freely Given", I7341="Invalid - Not Specific", I7341="Invalid - Not Informed", I7341="Invalid - Ambiguous"), "Gap - Invalid Consent", "Compliant")))))</f>
        <v/>
      </c>
      <c r="O7341" s="7" t="n"/>
    </row>
    <row r="7342">
      <c r="A7342" s="7" t="n"/>
      <c r="B7342" s="7" t="n"/>
      <c r="C7342" s="7" t="n"/>
      <c r="D7342" s="7" t="n"/>
      <c r="E7342" s="7" t="n"/>
      <c r="F7342" s="7" t="n"/>
      <c r="G7342" s="7" t="n"/>
      <c r="H7342" s="7" t="n"/>
      <c r="I7342" s="7" t="n"/>
      <c r="J7342" s="7" t="n"/>
      <c r="K7342">
        <f>IF(D7342="Legitimate Interest (GDPR Art. 6(1)(f))", "Yes / Required (Sheet 3)", "")</f>
        <v/>
      </c>
      <c r="L7342" s="7" t="n"/>
      <c r="M7342" s="7" t="n"/>
      <c r="N7342">
        <f>IF(D7342="", "Gap - No Legal Basis", IF(AND(D7342="Consent (GDPR Art. 6(1)(a))", I7342="Not Captured"), "Gap - Invalid Consent", IF(AND(D7342="Legitimate Interest (GDPR Art. 6(1)(f))", L7342=""), "Gap - Missing LIA", IF(AND(G7342="Yes", H7342=""), "Gap - Missing Art. 9 Basis", IF(OR(I7342="Invalid - Not Freely Given", I7342="Invalid - Not Specific", I7342="Invalid - Not Informed", I7342="Invalid - Ambiguous"), "Gap - Invalid Consent", "Compliant")))))</f>
        <v/>
      </c>
      <c r="O7342" s="7" t="n"/>
    </row>
    <row r="7343">
      <c r="A7343" s="7" t="n"/>
      <c r="B7343" s="7" t="n"/>
      <c r="C7343" s="7" t="n"/>
      <c r="D7343" s="7" t="n"/>
      <c r="E7343" s="7" t="n"/>
      <c r="F7343" s="7" t="n"/>
      <c r="G7343" s="7" t="n"/>
      <c r="H7343" s="7" t="n"/>
      <c r="I7343" s="7" t="n"/>
      <c r="J7343" s="7" t="n"/>
      <c r="K7343">
        <f>IF(D7343="Legitimate Interest (GDPR Art. 6(1)(f))", "Yes / Required (Sheet 3)", "")</f>
        <v/>
      </c>
      <c r="L7343" s="7" t="n"/>
      <c r="M7343" s="7" t="n"/>
      <c r="N7343">
        <f>IF(D7343="", "Gap - No Legal Basis", IF(AND(D7343="Consent (GDPR Art. 6(1)(a))", I7343="Not Captured"), "Gap - Invalid Consent", IF(AND(D7343="Legitimate Interest (GDPR Art. 6(1)(f))", L7343=""), "Gap - Missing LIA", IF(AND(G7343="Yes", H7343=""), "Gap - Missing Art. 9 Basis", IF(OR(I7343="Invalid - Not Freely Given", I7343="Invalid - Not Specific", I7343="Invalid - Not Informed", I7343="Invalid - Ambiguous"), "Gap - Invalid Consent", "Compliant")))))</f>
        <v/>
      </c>
      <c r="O7343" s="7" t="n"/>
    </row>
    <row r="7344">
      <c r="A7344" s="7" t="n"/>
      <c r="B7344" s="7" t="n"/>
      <c r="C7344" s="7" t="n"/>
      <c r="D7344" s="7" t="n"/>
      <c r="E7344" s="7" t="n"/>
      <c r="F7344" s="7" t="n"/>
      <c r="G7344" s="7" t="n"/>
      <c r="H7344" s="7" t="n"/>
      <c r="I7344" s="7" t="n"/>
      <c r="J7344" s="7" t="n"/>
      <c r="K7344">
        <f>IF(D7344="Legitimate Interest (GDPR Art. 6(1)(f))", "Yes / Required (Sheet 3)", "")</f>
        <v/>
      </c>
      <c r="L7344" s="7" t="n"/>
      <c r="M7344" s="7" t="n"/>
      <c r="N7344">
        <f>IF(D7344="", "Gap - No Legal Basis", IF(AND(D7344="Consent (GDPR Art. 6(1)(a))", I7344="Not Captured"), "Gap - Invalid Consent", IF(AND(D7344="Legitimate Interest (GDPR Art. 6(1)(f))", L7344=""), "Gap - Missing LIA", IF(AND(G7344="Yes", H7344=""), "Gap - Missing Art. 9 Basis", IF(OR(I7344="Invalid - Not Freely Given", I7344="Invalid - Not Specific", I7344="Invalid - Not Informed", I7344="Invalid - Ambiguous"), "Gap - Invalid Consent", "Compliant")))))</f>
        <v/>
      </c>
      <c r="O7344" s="7" t="n"/>
    </row>
    <row r="7345">
      <c r="A7345" s="7" t="n"/>
      <c r="B7345" s="7" t="n"/>
      <c r="C7345" s="7" t="n"/>
      <c r="D7345" s="7" t="n"/>
      <c r="E7345" s="7" t="n"/>
      <c r="F7345" s="7" t="n"/>
      <c r="G7345" s="7" t="n"/>
      <c r="H7345" s="7" t="n"/>
      <c r="I7345" s="7" t="n"/>
      <c r="J7345" s="7" t="n"/>
      <c r="K7345">
        <f>IF(D7345="Legitimate Interest (GDPR Art. 6(1)(f))", "Yes / Required (Sheet 3)", "")</f>
        <v/>
      </c>
      <c r="L7345" s="7" t="n"/>
      <c r="M7345" s="7" t="n"/>
      <c r="N7345">
        <f>IF(D7345="", "Gap - No Legal Basis", IF(AND(D7345="Consent (GDPR Art. 6(1)(a))", I7345="Not Captured"), "Gap - Invalid Consent", IF(AND(D7345="Legitimate Interest (GDPR Art. 6(1)(f))", L7345=""), "Gap - Missing LIA", IF(AND(G7345="Yes", H7345=""), "Gap - Missing Art. 9 Basis", IF(OR(I7345="Invalid - Not Freely Given", I7345="Invalid - Not Specific", I7345="Invalid - Not Informed", I7345="Invalid - Ambiguous"), "Gap - Invalid Consent", "Compliant")))))</f>
        <v/>
      </c>
      <c r="O7345" s="7" t="n"/>
    </row>
    <row r="7346">
      <c r="A7346" s="7" t="n"/>
      <c r="B7346" s="7" t="n"/>
      <c r="C7346" s="7" t="n"/>
      <c r="D7346" s="7" t="n"/>
      <c r="E7346" s="7" t="n"/>
      <c r="F7346" s="7" t="n"/>
      <c r="G7346" s="7" t="n"/>
      <c r="H7346" s="7" t="n"/>
      <c r="I7346" s="7" t="n"/>
      <c r="J7346" s="7" t="n"/>
      <c r="K7346">
        <f>IF(D7346="Legitimate Interest (GDPR Art. 6(1)(f))", "Yes / Required (Sheet 3)", "")</f>
        <v/>
      </c>
      <c r="L7346" s="7" t="n"/>
      <c r="M7346" s="7" t="n"/>
      <c r="N7346">
        <f>IF(D7346="", "Gap - No Legal Basis", IF(AND(D7346="Consent (GDPR Art. 6(1)(a))", I7346="Not Captured"), "Gap - Invalid Consent", IF(AND(D7346="Legitimate Interest (GDPR Art. 6(1)(f))", L7346=""), "Gap - Missing LIA", IF(AND(G7346="Yes", H7346=""), "Gap - Missing Art. 9 Basis", IF(OR(I7346="Invalid - Not Freely Given", I7346="Invalid - Not Specific", I7346="Invalid - Not Informed", I7346="Invalid - Ambiguous"), "Gap - Invalid Consent", "Compliant")))))</f>
        <v/>
      </c>
      <c r="O7346" s="7" t="n"/>
    </row>
    <row r="7347">
      <c r="A7347" s="7" t="n"/>
      <c r="B7347" s="7" t="n"/>
      <c r="C7347" s="7" t="n"/>
      <c r="D7347" s="7" t="n"/>
      <c r="E7347" s="7" t="n"/>
      <c r="F7347" s="7" t="n"/>
      <c r="G7347" s="7" t="n"/>
      <c r="H7347" s="7" t="n"/>
      <c r="I7347" s="7" t="n"/>
      <c r="J7347" s="7" t="n"/>
      <c r="K7347">
        <f>IF(D7347="Legitimate Interest (GDPR Art. 6(1)(f))", "Yes / Required (Sheet 3)", "")</f>
        <v/>
      </c>
      <c r="L7347" s="7" t="n"/>
      <c r="M7347" s="7" t="n"/>
      <c r="N7347">
        <f>IF(D7347="", "Gap - No Legal Basis", IF(AND(D7347="Consent (GDPR Art. 6(1)(a))", I7347="Not Captured"), "Gap - Invalid Consent", IF(AND(D7347="Legitimate Interest (GDPR Art. 6(1)(f))", L7347=""), "Gap - Missing LIA", IF(AND(G7347="Yes", H7347=""), "Gap - Missing Art. 9 Basis", IF(OR(I7347="Invalid - Not Freely Given", I7347="Invalid - Not Specific", I7347="Invalid - Not Informed", I7347="Invalid - Ambiguous"), "Gap - Invalid Consent", "Compliant")))))</f>
        <v/>
      </c>
      <c r="O7347" s="7" t="n"/>
    </row>
    <row r="7348">
      <c r="A7348" s="7" t="n"/>
      <c r="B7348" s="7" t="n"/>
      <c r="C7348" s="7" t="n"/>
      <c r="D7348" s="7" t="n"/>
      <c r="E7348" s="7" t="n"/>
      <c r="F7348" s="7" t="n"/>
      <c r="G7348" s="7" t="n"/>
      <c r="H7348" s="7" t="n"/>
      <c r="I7348" s="7" t="n"/>
      <c r="J7348" s="7" t="n"/>
      <c r="K7348">
        <f>IF(D7348="Legitimate Interest (GDPR Art. 6(1)(f))", "Yes / Required (Sheet 3)", "")</f>
        <v/>
      </c>
      <c r="L7348" s="7" t="n"/>
      <c r="M7348" s="7" t="n"/>
      <c r="N7348">
        <f>IF(D7348="", "Gap - No Legal Basis", IF(AND(D7348="Consent (GDPR Art. 6(1)(a))", I7348="Not Captured"), "Gap - Invalid Consent", IF(AND(D7348="Legitimate Interest (GDPR Art. 6(1)(f))", L7348=""), "Gap - Missing LIA", IF(AND(G7348="Yes", H7348=""), "Gap - Missing Art. 9 Basis", IF(OR(I7348="Invalid - Not Freely Given", I7348="Invalid - Not Specific", I7348="Invalid - Not Informed", I7348="Invalid - Ambiguous"), "Gap - Invalid Consent", "Compliant")))))</f>
        <v/>
      </c>
      <c r="O7348" s="7" t="n"/>
    </row>
    <row r="7349">
      <c r="A7349" s="7" t="n"/>
      <c r="B7349" s="7" t="n"/>
      <c r="C7349" s="7" t="n"/>
      <c r="D7349" s="7" t="n"/>
      <c r="E7349" s="7" t="n"/>
      <c r="F7349" s="7" t="n"/>
      <c r="G7349" s="7" t="n"/>
      <c r="H7349" s="7" t="n"/>
      <c r="I7349" s="7" t="n"/>
      <c r="J7349" s="7" t="n"/>
      <c r="K7349">
        <f>IF(D7349="Legitimate Interest (GDPR Art. 6(1)(f))", "Yes / Required (Sheet 3)", "")</f>
        <v/>
      </c>
      <c r="L7349" s="7" t="n"/>
      <c r="M7349" s="7" t="n"/>
      <c r="N7349">
        <f>IF(D7349="", "Gap - No Legal Basis", IF(AND(D7349="Consent (GDPR Art. 6(1)(a))", I7349="Not Captured"), "Gap - Invalid Consent", IF(AND(D7349="Legitimate Interest (GDPR Art. 6(1)(f))", L7349=""), "Gap - Missing LIA", IF(AND(G7349="Yes", H7349=""), "Gap - Missing Art. 9 Basis", IF(OR(I7349="Invalid - Not Freely Given", I7349="Invalid - Not Specific", I7349="Invalid - Not Informed", I7349="Invalid - Ambiguous"), "Gap - Invalid Consent", "Compliant")))))</f>
        <v/>
      </c>
      <c r="O7349" s="7" t="n"/>
    </row>
    <row r="7350">
      <c r="A7350" s="7" t="n"/>
      <c r="B7350" s="7" t="n"/>
      <c r="C7350" s="7" t="n"/>
      <c r="D7350" s="7" t="n"/>
      <c r="E7350" s="7" t="n"/>
      <c r="F7350" s="7" t="n"/>
      <c r="G7350" s="7" t="n"/>
      <c r="H7350" s="7" t="n"/>
      <c r="I7350" s="7" t="n"/>
      <c r="J7350" s="7" t="n"/>
      <c r="K7350">
        <f>IF(D7350="Legitimate Interest (GDPR Art. 6(1)(f))", "Yes / Required (Sheet 3)", "")</f>
        <v/>
      </c>
      <c r="L7350" s="7" t="n"/>
      <c r="M7350" s="7" t="n"/>
      <c r="N7350">
        <f>IF(D7350="", "Gap - No Legal Basis", IF(AND(D7350="Consent (GDPR Art. 6(1)(a))", I7350="Not Captured"), "Gap - Invalid Consent", IF(AND(D7350="Legitimate Interest (GDPR Art. 6(1)(f))", L7350=""), "Gap - Missing LIA", IF(AND(G7350="Yes", H7350=""), "Gap - Missing Art. 9 Basis", IF(OR(I7350="Invalid - Not Freely Given", I7350="Invalid - Not Specific", I7350="Invalid - Not Informed", I7350="Invalid - Ambiguous"), "Gap - Invalid Consent", "Compliant")))))</f>
        <v/>
      </c>
      <c r="O7350" s="7" t="n"/>
    </row>
    <row r="7351">
      <c r="A7351" s="7" t="n"/>
      <c r="B7351" s="7" t="n"/>
      <c r="C7351" s="7" t="n"/>
      <c r="D7351" s="7" t="n"/>
      <c r="E7351" s="7" t="n"/>
      <c r="F7351" s="7" t="n"/>
      <c r="G7351" s="7" t="n"/>
      <c r="H7351" s="7" t="n"/>
      <c r="I7351" s="7" t="n"/>
      <c r="J7351" s="7" t="n"/>
      <c r="K7351">
        <f>IF(D7351="Legitimate Interest (GDPR Art. 6(1)(f))", "Yes / Required (Sheet 3)", "")</f>
        <v/>
      </c>
      <c r="L7351" s="7" t="n"/>
      <c r="M7351" s="7" t="n"/>
      <c r="N7351">
        <f>IF(D7351="", "Gap - No Legal Basis", IF(AND(D7351="Consent (GDPR Art. 6(1)(a))", I7351="Not Captured"), "Gap - Invalid Consent", IF(AND(D7351="Legitimate Interest (GDPR Art. 6(1)(f))", L7351=""), "Gap - Missing LIA", IF(AND(G7351="Yes", H7351=""), "Gap - Missing Art. 9 Basis", IF(OR(I7351="Invalid - Not Freely Given", I7351="Invalid - Not Specific", I7351="Invalid - Not Informed", I7351="Invalid - Ambiguous"), "Gap - Invalid Consent", "Compliant")))))</f>
        <v/>
      </c>
      <c r="O7351" s="7" t="n"/>
    </row>
    <row r="7352">
      <c r="A7352" s="7" t="n"/>
      <c r="B7352" s="7" t="n"/>
      <c r="C7352" s="7" t="n"/>
      <c r="D7352" s="7" t="n"/>
      <c r="E7352" s="7" t="n"/>
      <c r="F7352" s="7" t="n"/>
      <c r="G7352" s="7" t="n"/>
      <c r="H7352" s="7" t="n"/>
      <c r="I7352" s="7" t="n"/>
      <c r="J7352" s="7" t="n"/>
      <c r="K7352">
        <f>IF(D7352="Legitimate Interest (GDPR Art. 6(1)(f))", "Yes / Required (Sheet 3)", "")</f>
        <v/>
      </c>
      <c r="L7352" s="7" t="n"/>
      <c r="M7352" s="7" t="n"/>
      <c r="N7352">
        <f>IF(D7352="", "Gap - No Legal Basis", IF(AND(D7352="Consent (GDPR Art. 6(1)(a))", I7352="Not Captured"), "Gap - Invalid Consent", IF(AND(D7352="Legitimate Interest (GDPR Art. 6(1)(f))", L7352=""), "Gap - Missing LIA", IF(AND(G7352="Yes", H7352=""), "Gap - Missing Art. 9 Basis", IF(OR(I7352="Invalid - Not Freely Given", I7352="Invalid - Not Specific", I7352="Invalid - Not Informed", I7352="Invalid - Ambiguous"), "Gap - Invalid Consent", "Compliant")))))</f>
        <v/>
      </c>
      <c r="O7352" s="7" t="n"/>
    </row>
    <row r="7353">
      <c r="A7353" s="7" t="n"/>
      <c r="B7353" s="7" t="n"/>
      <c r="C7353" s="7" t="n"/>
      <c r="D7353" s="7" t="n"/>
      <c r="E7353" s="7" t="n"/>
      <c r="F7353" s="7" t="n"/>
      <c r="G7353" s="7" t="n"/>
      <c r="H7353" s="7" t="n"/>
      <c r="I7353" s="7" t="n"/>
      <c r="J7353" s="7" t="n"/>
      <c r="K7353">
        <f>IF(D7353="Legitimate Interest (GDPR Art. 6(1)(f))", "Yes / Required (Sheet 3)", "")</f>
        <v/>
      </c>
      <c r="L7353" s="7" t="n"/>
      <c r="M7353" s="7" t="n"/>
      <c r="N7353">
        <f>IF(D7353="", "Gap - No Legal Basis", IF(AND(D7353="Consent (GDPR Art. 6(1)(a))", I7353="Not Captured"), "Gap - Invalid Consent", IF(AND(D7353="Legitimate Interest (GDPR Art. 6(1)(f))", L7353=""), "Gap - Missing LIA", IF(AND(G7353="Yes", H7353=""), "Gap - Missing Art. 9 Basis", IF(OR(I7353="Invalid - Not Freely Given", I7353="Invalid - Not Specific", I7353="Invalid - Not Informed", I7353="Invalid - Ambiguous"), "Gap - Invalid Consent", "Compliant")))))</f>
        <v/>
      </c>
      <c r="O7353" s="7" t="n"/>
    </row>
    <row r="7354">
      <c r="A7354" s="7" t="n"/>
      <c r="B7354" s="7" t="n"/>
      <c r="C7354" s="7" t="n"/>
      <c r="D7354" s="7" t="n"/>
      <c r="E7354" s="7" t="n"/>
      <c r="F7354" s="7" t="n"/>
      <c r="G7354" s="7" t="n"/>
      <c r="H7354" s="7" t="n"/>
      <c r="I7354" s="7" t="n"/>
      <c r="J7354" s="7" t="n"/>
      <c r="K7354">
        <f>IF(D7354="Legitimate Interest (GDPR Art. 6(1)(f))", "Yes / Required (Sheet 3)", "")</f>
        <v/>
      </c>
      <c r="L7354" s="7" t="n"/>
      <c r="M7354" s="7" t="n"/>
      <c r="N7354">
        <f>IF(D7354="", "Gap - No Legal Basis", IF(AND(D7354="Consent (GDPR Art. 6(1)(a))", I7354="Not Captured"), "Gap - Invalid Consent", IF(AND(D7354="Legitimate Interest (GDPR Art. 6(1)(f))", L7354=""), "Gap - Missing LIA", IF(AND(G7354="Yes", H7354=""), "Gap - Missing Art. 9 Basis", IF(OR(I7354="Invalid - Not Freely Given", I7354="Invalid - Not Specific", I7354="Invalid - Not Informed", I7354="Invalid - Ambiguous"), "Gap - Invalid Consent", "Compliant")))))</f>
        <v/>
      </c>
      <c r="O7354" s="7" t="n"/>
    </row>
    <row r="7355">
      <c r="A7355" s="7" t="n"/>
      <c r="B7355" s="7" t="n"/>
      <c r="C7355" s="7" t="n"/>
      <c r="D7355" s="7" t="n"/>
      <c r="E7355" s="7" t="n"/>
      <c r="F7355" s="7" t="n"/>
      <c r="G7355" s="7" t="n"/>
      <c r="H7355" s="7" t="n"/>
      <c r="I7355" s="7" t="n"/>
      <c r="J7355" s="7" t="n"/>
      <c r="K7355">
        <f>IF(D7355="Legitimate Interest (GDPR Art. 6(1)(f))", "Yes / Required (Sheet 3)", "")</f>
        <v/>
      </c>
      <c r="L7355" s="7" t="n"/>
      <c r="M7355" s="7" t="n"/>
      <c r="N7355">
        <f>IF(D7355="", "Gap - No Legal Basis", IF(AND(D7355="Consent (GDPR Art. 6(1)(a))", I7355="Not Captured"), "Gap - Invalid Consent", IF(AND(D7355="Legitimate Interest (GDPR Art. 6(1)(f))", L7355=""), "Gap - Missing LIA", IF(AND(G7355="Yes", H7355=""), "Gap - Missing Art. 9 Basis", IF(OR(I7355="Invalid - Not Freely Given", I7355="Invalid - Not Specific", I7355="Invalid - Not Informed", I7355="Invalid - Ambiguous"), "Gap - Invalid Consent", "Compliant")))))</f>
        <v/>
      </c>
      <c r="O7355" s="7" t="n"/>
    </row>
    <row r="7356">
      <c r="A7356" s="7" t="n"/>
      <c r="B7356" s="7" t="n"/>
      <c r="C7356" s="7" t="n"/>
      <c r="D7356" s="7" t="n"/>
      <c r="E7356" s="7" t="n"/>
      <c r="F7356" s="7" t="n"/>
      <c r="G7356" s="7" t="n"/>
      <c r="H7356" s="7" t="n"/>
      <c r="I7356" s="7" t="n"/>
      <c r="J7356" s="7" t="n"/>
      <c r="K7356">
        <f>IF(D7356="Legitimate Interest (GDPR Art. 6(1)(f))", "Yes / Required (Sheet 3)", "")</f>
        <v/>
      </c>
      <c r="L7356" s="7" t="n"/>
      <c r="M7356" s="7" t="n"/>
      <c r="N7356">
        <f>IF(D7356="", "Gap - No Legal Basis", IF(AND(D7356="Consent (GDPR Art. 6(1)(a))", I7356="Not Captured"), "Gap - Invalid Consent", IF(AND(D7356="Legitimate Interest (GDPR Art. 6(1)(f))", L7356=""), "Gap - Missing LIA", IF(AND(G7356="Yes", H7356=""), "Gap - Missing Art. 9 Basis", IF(OR(I7356="Invalid - Not Freely Given", I7356="Invalid - Not Specific", I7356="Invalid - Not Informed", I7356="Invalid - Ambiguous"), "Gap - Invalid Consent", "Compliant")))))</f>
        <v/>
      </c>
      <c r="O7356" s="7" t="n"/>
    </row>
    <row r="7357">
      <c r="A7357" s="7" t="n"/>
      <c r="B7357" s="7" t="n"/>
      <c r="C7357" s="7" t="n"/>
      <c r="D7357" s="7" t="n"/>
      <c r="E7357" s="7" t="n"/>
      <c r="F7357" s="7" t="n"/>
      <c r="G7357" s="7" t="n"/>
      <c r="H7357" s="7" t="n"/>
      <c r="I7357" s="7" t="n"/>
      <c r="J7357" s="7" t="n"/>
      <c r="K7357">
        <f>IF(D7357="Legitimate Interest (GDPR Art. 6(1)(f))", "Yes / Required (Sheet 3)", "")</f>
        <v/>
      </c>
      <c r="L7357" s="7" t="n"/>
      <c r="M7357" s="7" t="n"/>
      <c r="N7357">
        <f>IF(D7357="", "Gap - No Legal Basis", IF(AND(D7357="Consent (GDPR Art. 6(1)(a))", I7357="Not Captured"), "Gap - Invalid Consent", IF(AND(D7357="Legitimate Interest (GDPR Art. 6(1)(f))", L7357=""), "Gap - Missing LIA", IF(AND(G7357="Yes", H7357=""), "Gap - Missing Art. 9 Basis", IF(OR(I7357="Invalid - Not Freely Given", I7357="Invalid - Not Specific", I7357="Invalid - Not Informed", I7357="Invalid - Ambiguous"), "Gap - Invalid Consent", "Compliant")))))</f>
        <v/>
      </c>
      <c r="O7357" s="7" t="n"/>
    </row>
    <row r="7358">
      <c r="A7358" s="7" t="n"/>
      <c r="B7358" s="7" t="n"/>
      <c r="C7358" s="7" t="n"/>
      <c r="D7358" s="7" t="n"/>
      <c r="E7358" s="7" t="n"/>
      <c r="F7358" s="7" t="n"/>
      <c r="G7358" s="7" t="n"/>
      <c r="H7358" s="7" t="n"/>
      <c r="I7358" s="7" t="n"/>
      <c r="J7358" s="7" t="n"/>
      <c r="K7358">
        <f>IF(D7358="Legitimate Interest (GDPR Art. 6(1)(f))", "Yes / Required (Sheet 3)", "")</f>
        <v/>
      </c>
      <c r="L7358" s="7" t="n"/>
      <c r="M7358" s="7" t="n"/>
      <c r="N7358">
        <f>IF(D7358="", "Gap - No Legal Basis", IF(AND(D7358="Consent (GDPR Art. 6(1)(a))", I7358="Not Captured"), "Gap - Invalid Consent", IF(AND(D7358="Legitimate Interest (GDPR Art. 6(1)(f))", L7358=""), "Gap - Missing LIA", IF(AND(G7358="Yes", H7358=""), "Gap - Missing Art. 9 Basis", IF(OR(I7358="Invalid - Not Freely Given", I7358="Invalid - Not Specific", I7358="Invalid - Not Informed", I7358="Invalid - Ambiguous"), "Gap - Invalid Consent", "Compliant")))))</f>
        <v/>
      </c>
      <c r="O7358" s="7" t="n"/>
    </row>
    <row r="7359">
      <c r="A7359" s="7" t="n"/>
      <c r="B7359" s="7" t="n"/>
      <c r="C7359" s="7" t="n"/>
      <c r="D7359" s="7" t="n"/>
      <c r="E7359" s="7" t="n"/>
      <c r="F7359" s="7" t="n"/>
      <c r="G7359" s="7" t="n"/>
      <c r="H7359" s="7" t="n"/>
      <c r="I7359" s="7" t="n"/>
      <c r="J7359" s="7" t="n"/>
      <c r="K7359">
        <f>IF(D7359="Legitimate Interest (GDPR Art. 6(1)(f))", "Yes / Required (Sheet 3)", "")</f>
        <v/>
      </c>
      <c r="L7359" s="7" t="n"/>
      <c r="M7359" s="7" t="n"/>
      <c r="N7359">
        <f>IF(D7359="", "Gap - No Legal Basis", IF(AND(D7359="Consent (GDPR Art. 6(1)(a))", I7359="Not Captured"), "Gap - Invalid Consent", IF(AND(D7359="Legitimate Interest (GDPR Art. 6(1)(f))", L7359=""), "Gap - Missing LIA", IF(AND(G7359="Yes", H7359=""), "Gap - Missing Art. 9 Basis", IF(OR(I7359="Invalid - Not Freely Given", I7359="Invalid - Not Specific", I7359="Invalid - Not Informed", I7359="Invalid - Ambiguous"), "Gap - Invalid Consent", "Compliant")))))</f>
        <v/>
      </c>
      <c r="O7359" s="7" t="n"/>
    </row>
    <row r="7360">
      <c r="A7360" s="7" t="n"/>
      <c r="B7360" s="7" t="n"/>
      <c r="C7360" s="7" t="n"/>
      <c r="D7360" s="7" t="n"/>
      <c r="E7360" s="7" t="n"/>
      <c r="F7360" s="7" t="n"/>
      <c r="G7360" s="7" t="n"/>
      <c r="H7360" s="7" t="n"/>
      <c r="I7360" s="7" t="n"/>
      <c r="J7360" s="7" t="n"/>
      <c r="K7360">
        <f>IF(D7360="Legitimate Interest (GDPR Art. 6(1)(f))", "Yes / Required (Sheet 3)", "")</f>
        <v/>
      </c>
      <c r="L7360" s="7" t="n"/>
      <c r="M7360" s="7" t="n"/>
      <c r="N7360">
        <f>IF(D7360="", "Gap - No Legal Basis", IF(AND(D7360="Consent (GDPR Art. 6(1)(a))", I7360="Not Captured"), "Gap - Invalid Consent", IF(AND(D7360="Legitimate Interest (GDPR Art. 6(1)(f))", L7360=""), "Gap - Missing LIA", IF(AND(G7360="Yes", H7360=""), "Gap - Missing Art. 9 Basis", IF(OR(I7360="Invalid - Not Freely Given", I7360="Invalid - Not Specific", I7360="Invalid - Not Informed", I7360="Invalid - Ambiguous"), "Gap - Invalid Consent", "Compliant")))))</f>
        <v/>
      </c>
      <c r="O7360" s="7" t="n"/>
    </row>
    <row r="7361">
      <c r="A7361" s="7" t="n"/>
      <c r="B7361" s="7" t="n"/>
      <c r="C7361" s="7" t="n"/>
      <c r="D7361" s="7" t="n"/>
      <c r="E7361" s="7" t="n"/>
      <c r="F7361" s="7" t="n"/>
      <c r="G7361" s="7" t="n"/>
      <c r="H7361" s="7" t="n"/>
      <c r="I7361" s="7" t="n"/>
      <c r="J7361" s="7" t="n"/>
      <c r="K7361">
        <f>IF(D7361="Legitimate Interest (GDPR Art. 6(1)(f))", "Yes / Required (Sheet 3)", "")</f>
        <v/>
      </c>
      <c r="L7361" s="7" t="n"/>
      <c r="M7361" s="7" t="n"/>
      <c r="N7361">
        <f>IF(D7361="", "Gap - No Legal Basis", IF(AND(D7361="Consent (GDPR Art. 6(1)(a))", I7361="Not Captured"), "Gap - Invalid Consent", IF(AND(D7361="Legitimate Interest (GDPR Art. 6(1)(f))", L7361=""), "Gap - Missing LIA", IF(AND(G7361="Yes", H7361=""), "Gap - Missing Art. 9 Basis", IF(OR(I7361="Invalid - Not Freely Given", I7361="Invalid - Not Specific", I7361="Invalid - Not Informed", I7361="Invalid - Ambiguous"), "Gap - Invalid Consent", "Compliant")))))</f>
        <v/>
      </c>
      <c r="O7361" s="7" t="n"/>
    </row>
    <row r="7362">
      <c r="A7362" s="7" t="n"/>
      <c r="B7362" s="7" t="n"/>
      <c r="C7362" s="7" t="n"/>
      <c r="D7362" s="7" t="n"/>
      <c r="E7362" s="7" t="n"/>
      <c r="F7362" s="7" t="n"/>
      <c r="G7362" s="7" t="n"/>
      <c r="H7362" s="7" t="n"/>
      <c r="I7362" s="7" t="n"/>
      <c r="J7362" s="7" t="n"/>
      <c r="K7362">
        <f>IF(D7362="Legitimate Interest (GDPR Art. 6(1)(f))", "Yes / Required (Sheet 3)", "")</f>
        <v/>
      </c>
      <c r="L7362" s="7" t="n"/>
      <c r="M7362" s="7" t="n"/>
      <c r="N7362">
        <f>IF(D7362="", "Gap - No Legal Basis", IF(AND(D7362="Consent (GDPR Art. 6(1)(a))", I7362="Not Captured"), "Gap - Invalid Consent", IF(AND(D7362="Legitimate Interest (GDPR Art. 6(1)(f))", L7362=""), "Gap - Missing LIA", IF(AND(G7362="Yes", H7362=""), "Gap - Missing Art. 9 Basis", IF(OR(I7362="Invalid - Not Freely Given", I7362="Invalid - Not Specific", I7362="Invalid - Not Informed", I7362="Invalid - Ambiguous"), "Gap - Invalid Consent", "Compliant")))))</f>
        <v/>
      </c>
      <c r="O7362" s="7" t="n"/>
    </row>
    <row r="7363">
      <c r="A7363" s="7" t="n"/>
      <c r="B7363" s="7" t="n"/>
      <c r="C7363" s="7" t="n"/>
      <c r="D7363" s="7" t="n"/>
      <c r="E7363" s="7" t="n"/>
      <c r="F7363" s="7" t="n"/>
      <c r="G7363" s="7" t="n"/>
      <c r="H7363" s="7" t="n"/>
      <c r="I7363" s="7" t="n"/>
      <c r="J7363" s="7" t="n"/>
      <c r="K7363">
        <f>IF(D7363="Legitimate Interest (GDPR Art. 6(1)(f))", "Yes / Required (Sheet 3)", "")</f>
        <v/>
      </c>
      <c r="L7363" s="7" t="n"/>
      <c r="M7363" s="7" t="n"/>
      <c r="N7363">
        <f>IF(D7363="", "Gap - No Legal Basis", IF(AND(D7363="Consent (GDPR Art. 6(1)(a))", I7363="Not Captured"), "Gap - Invalid Consent", IF(AND(D7363="Legitimate Interest (GDPR Art. 6(1)(f))", L7363=""), "Gap - Missing LIA", IF(AND(G7363="Yes", H7363=""), "Gap - Missing Art. 9 Basis", IF(OR(I7363="Invalid - Not Freely Given", I7363="Invalid - Not Specific", I7363="Invalid - Not Informed", I7363="Invalid - Ambiguous"), "Gap - Invalid Consent", "Compliant")))))</f>
        <v/>
      </c>
      <c r="O7363" s="7" t="n"/>
    </row>
    <row r="7364">
      <c r="A7364" s="7" t="n"/>
      <c r="B7364" s="7" t="n"/>
      <c r="C7364" s="7" t="n"/>
      <c r="D7364" s="7" t="n"/>
      <c r="E7364" s="7" t="n"/>
      <c r="F7364" s="7" t="n"/>
      <c r="G7364" s="7" t="n"/>
      <c r="H7364" s="7" t="n"/>
      <c r="I7364" s="7" t="n"/>
      <c r="J7364" s="7" t="n"/>
      <c r="K7364">
        <f>IF(D7364="Legitimate Interest (GDPR Art. 6(1)(f))", "Yes / Required (Sheet 3)", "")</f>
        <v/>
      </c>
      <c r="L7364" s="7" t="n"/>
      <c r="M7364" s="7" t="n"/>
      <c r="N7364">
        <f>IF(D7364="", "Gap - No Legal Basis", IF(AND(D7364="Consent (GDPR Art. 6(1)(a))", I7364="Not Captured"), "Gap - Invalid Consent", IF(AND(D7364="Legitimate Interest (GDPR Art. 6(1)(f))", L7364=""), "Gap - Missing LIA", IF(AND(G7364="Yes", H7364=""), "Gap - Missing Art. 9 Basis", IF(OR(I7364="Invalid - Not Freely Given", I7364="Invalid - Not Specific", I7364="Invalid - Not Informed", I7364="Invalid - Ambiguous"), "Gap - Invalid Consent", "Compliant")))))</f>
        <v/>
      </c>
      <c r="O7364" s="7" t="n"/>
    </row>
    <row r="7365">
      <c r="A7365" s="7" t="n"/>
      <c r="B7365" s="7" t="n"/>
      <c r="C7365" s="7" t="n"/>
      <c r="D7365" s="7" t="n"/>
      <c r="E7365" s="7" t="n"/>
      <c r="F7365" s="7" t="n"/>
      <c r="G7365" s="7" t="n"/>
      <c r="H7365" s="7" t="n"/>
      <c r="I7365" s="7" t="n"/>
      <c r="J7365" s="7" t="n"/>
      <c r="K7365">
        <f>IF(D7365="Legitimate Interest (GDPR Art. 6(1)(f))", "Yes / Required (Sheet 3)", "")</f>
        <v/>
      </c>
      <c r="L7365" s="7" t="n"/>
      <c r="M7365" s="7" t="n"/>
      <c r="N7365">
        <f>IF(D7365="", "Gap - No Legal Basis", IF(AND(D7365="Consent (GDPR Art. 6(1)(a))", I7365="Not Captured"), "Gap - Invalid Consent", IF(AND(D7365="Legitimate Interest (GDPR Art. 6(1)(f))", L7365=""), "Gap - Missing LIA", IF(AND(G7365="Yes", H7365=""), "Gap - Missing Art. 9 Basis", IF(OR(I7365="Invalid - Not Freely Given", I7365="Invalid - Not Specific", I7365="Invalid - Not Informed", I7365="Invalid - Ambiguous"), "Gap - Invalid Consent", "Compliant")))))</f>
        <v/>
      </c>
      <c r="O7365" s="7" t="n"/>
    </row>
    <row r="7366">
      <c r="A7366" s="7" t="n"/>
      <c r="B7366" s="7" t="n"/>
      <c r="C7366" s="7" t="n"/>
      <c r="D7366" s="7" t="n"/>
      <c r="E7366" s="7" t="n"/>
      <c r="F7366" s="7" t="n"/>
      <c r="G7366" s="7" t="n"/>
      <c r="H7366" s="7" t="n"/>
      <c r="I7366" s="7" t="n"/>
      <c r="J7366" s="7" t="n"/>
      <c r="K7366">
        <f>IF(D7366="Legitimate Interest (GDPR Art. 6(1)(f))", "Yes / Required (Sheet 3)", "")</f>
        <v/>
      </c>
      <c r="L7366" s="7" t="n"/>
      <c r="M7366" s="7" t="n"/>
      <c r="N7366">
        <f>IF(D7366="", "Gap - No Legal Basis", IF(AND(D7366="Consent (GDPR Art. 6(1)(a))", I7366="Not Captured"), "Gap - Invalid Consent", IF(AND(D7366="Legitimate Interest (GDPR Art. 6(1)(f))", L7366=""), "Gap - Missing LIA", IF(AND(G7366="Yes", H7366=""), "Gap - Missing Art. 9 Basis", IF(OR(I7366="Invalid - Not Freely Given", I7366="Invalid - Not Specific", I7366="Invalid - Not Informed", I7366="Invalid - Ambiguous"), "Gap - Invalid Consent", "Compliant")))))</f>
        <v/>
      </c>
      <c r="O7366" s="7" t="n"/>
    </row>
    <row r="7367">
      <c r="A7367" s="7" t="n"/>
      <c r="B7367" s="7" t="n"/>
      <c r="C7367" s="7" t="n"/>
      <c r="D7367" s="7" t="n"/>
      <c r="E7367" s="7" t="n"/>
      <c r="F7367" s="7" t="n"/>
      <c r="G7367" s="7" t="n"/>
      <c r="H7367" s="7" t="n"/>
      <c r="I7367" s="7" t="n"/>
      <c r="J7367" s="7" t="n"/>
      <c r="K7367">
        <f>IF(D7367="Legitimate Interest (GDPR Art. 6(1)(f))", "Yes / Required (Sheet 3)", "")</f>
        <v/>
      </c>
      <c r="L7367" s="7" t="n"/>
      <c r="M7367" s="7" t="n"/>
      <c r="N7367">
        <f>IF(D7367="", "Gap - No Legal Basis", IF(AND(D7367="Consent (GDPR Art. 6(1)(a))", I7367="Not Captured"), "Gap - Invalid Consent", IF(AND(D7367="Legitimate Interest (GDPR Art. 6(1)(f))", L7367=""), "Gap - Missing LIA", IF(AND(G7367="Yes", H7367=""), "Gap - Missing Art. 9 Basis", IF(OR(I7367="Invalid - Not Freely Given", I7367="Invalid - Not Specific", I7367="Invalid - Not Informed", I7367="Invalid - Ambiguous"), "Gap - Invalid Consent", "Compliant")))))</f>
        <v/>
      </c>
      <c r="O7367" s="7" t="n"/>
    </row>
    <row r="7368">
      <c r="A7368" s="7" t="n"/>
      <c r="B7368" s="7" t="n"/>
      <c r="C7368" s="7" t="n"/>
      <c r="D7368" s="7" t="n"/>
      <c r="E7368" s="7" t="n"/>
      <c r="F7368" s="7" t="n"/>
      <c r="G7368" s="7" t="n"/>
      <c r="H7368" s="7" t="n"/>
      <c r="I7368" s="7" t="n"/>
      <c r="J7368" s="7" t="n"/>
      <c r="K7368">
        <f>IF(D7368="Legitimate Interest (GDPR Art. 6(1)(f))", "Yes / Required (Sheet 3)", "")</f>
        <v/>
      </c>
      <c r="L7368" s="7" t="n"/>
      <c r="M7368" s="7" t="n"/>
      <c r="N7368">
        <f>IF(D7368="", "Gap - No Legal Basis", IF(AND(D7368="Consent (GDPR Art. 6(1)(a))", I7368="Not Captured"), "Gap - Invalid Consent", IF(AND(D7368="Legitimate Interest (GDPR Art. 6(1)(f))", L7368=""), "Gap - Missing LIA", IF(AND(G7368="Yes", H7368=""), "Gap - Missing Art. 9 Basis", IF(OR(I7368="Invalid - Not Freely Given", I7368="Invalid - Not Specific", I7368="Invalid - Not Informed", I7368="Invalid - Ambiguous"), "Gap - Invalid Consent", "Compliant")))))</f>
        <v/>
      </c>
      <c r="O7368" s="7" t="n"/>
    </row>
    <row r="7369">
      <c r="A7369" s="7" t="n"/>
      <c r="B7369" s="7" t="n"/>
      <c r="C7369" s="7" t="n"/>
      <c r="D7369" s="7" t="n"/>
      <c r="E7369" s="7" t="n"/>
      <c r="F7369" s="7" t="n"/>
      <c r="G7369" s="7" t="n"/>
      <c r="H7369" s="7" t="n"/>
      <c r="I7369" s="7" t="n"/>
      <c r="J7369" s="7" t="n"/>
      <c r="K7369">
        <f>IF(D7369="Legitimate Interest (GDPR Art. 6(1)(f))", "Yes / Required (Sheet 3)", "")</f>
        <v/>
      </c>
      <c r="L7369" s="7" t="n"/>
      <c r="M7369" s="7" t="n"/>
      <c r="N7369">
        <f>IF(D7369="", "Gap - No Legal Basis", IF(AND(D7369="Consent (GDPR Art. 6(1)(a))", I7369="Not Captured"), "Gap - Invalid Consent", IF(AND(D7369="Legitimate Interest (GDPR Art. 6(1)(f))", L7369=""), "Gap - Missing LIA", IF(AND(G7369="Yes", H7369=""), "Gap - Missing Art. 9 Basis", IF(OR(I7369="Invalid - Not Freely Given", I7369="Invalid - Not Specific", I7369="Invalid - Not Informed", I7369="Invalid - Ambiguous"), "Gap - Invalid Consent", "Compliant")))))</f>
        <v/>
      </c>
      <c r="O7369" s="7" t="n"/>
    </row>
    <row r="7370">
      <c r="A7370" s="7" t="n"/>
      <c r="B7370" s="7" t="n"/>
      <c r="C7370" s="7" t="n"/>
      <c r="D7370" s="7" t="n"/>
      <c r="E7370" s="7" t="n"/>
      <c r="F7370" s="7" t="n"/>
      <c r="G7370" s="7" t="n"/>
      <c r="H7370" s="7" t="n"/>
      <c r="I7370" s="7" t="n"/>
      <c r="J7370" s="7" t="n"/>
      <c r="K7370">
        <f>IF(D7370="Legitimate Interest (GDPR Art. 6(1)(f))", "Yes / Required (Sheet 3)", "")</f>
        <v/>
      </c>
      <c r="L7370" s="7" t="n"/>
      <c r="M7370" s="7" t="n"/>
      <c r="N7370">
        <f>IF(D7370="", "Gap - No Legal Basis", IF(AND(D7370="Consent (GDPR Art. 6(1)(a))", I7370="Not Captured"), "Gap - Invalid Consent", IF(AND(D7370="Legitimate Interest (GDPR Art. 6(1)(f))", L7370=""), "Gap - Missing LIA", IF(AND(G7370="Yes", H7370=""), "Gap - Missing Art. 9 Basis", IF(OR(I7370="Invalid - Not Freely Given", I7370="Invalid - Not Specific", I7370="Invalid - Not Informed", I7370="Invalid - Ambiguous"), "Gap - Invalid Consent", "Compliant")))))</f>
        <v/>
      </c>
      <c r="O7370" s="7" t="n"/>
    </row>
    <row r="7371">
      <c r="A7371" s="7" t="n"/>
      <c r="B7371" s="7" t="n"/>
      <c r="C7371" s="7" t="n"/>
      <c r="D7371" s="7" t="n"/>
      <c r="E7371" s="7" t="n"/>
      <c r="F7371" s="7" t="n"/>
      <c r="G7371" s="7" t="n"/>
      <c r="H7371" s="7" t="n"/>
      <c r="I7371" s="7" t="n"/>
      <c r="J7371" s="7" t="n"/>
      <c r="K7371">
        <f>IF(D7371="Legitimate Interest (GDPR Art. 6(1)(f))", "Yes / Required (Sheet 3)", "")</f>
        <v/>
      </c>
      <c r="L7371" s="7" t="n"/>
      <c r="M7371" s="7" t="n"/>
      <c r="N7371">
        <f>IF(D7371="", "Gap - No Legal Basis", IF(AND(D7371="Consent (GDPR Art. 6(1)(a))", I7371="Not Captured"), "Gap - Invalid Consent", IF(AND(D7371="Legitimate Interest (GDPR Art. 6(1)(f))", L7371=""), "Gap - Missing LIA", IF(AND(G7371="Yes", H7371=""), "Gap - Missing Art. 9 Basis", IF(OR(I7371="Invalid - Not Freely Given", I7371="Invalid - Not Specific", I7371="Invalid - Not Informed", I7371="Invalid - Ambiguous"), "Gap - Invalid Consent", "Compliant")))))</f>
        <v/>
      </c>
      <c r="O7371" s="7" t="n"/>
    </row>
    <row r="7372">
      <c r="A7372" s="7" t="n"/>
      <c r="B7372" s="7" t="n"/>
      <c r="C7372" s="7" t="n"/>
      <c r="D7372" s="7" t="n"/>
      <c r="E7372" s="7" t="n"/>
      <c r="F7372" s="7" t="n"/>
      <c r="G7372" s="7" t="n"/>
      <c r="H7372" s="7" t="n"/>
      <c r="I7372" s="7" t="n"/>
      <c r="J7372" s="7" t="n"/>
      <c r="K7372">
        <f>IF(D7372="Legitimate Interest (GDPR Art. 6(1)(f))", "Yes / Required (Sheet 3)", "")</f>
        <v/>
      </c>
      <c r="L7372" s="7" t="n"/>
      <c r="M7372" s="7" t="n"/>
      <c r="N7372">
        <f>IF(D7372="", "Gap - No Legal Basis", IF(AND(D7372="Consent (GDPR Art. 6(1)(a))", I7372="Not Captured"), "Gap - Invalid Consent", IF(AND(D7372="Legitimate Interest (GDPR Art. 6(1)(f))", L7372=""), "Gap - Missing LIA", IF(AND(G7372="Yes", H7372=""), "Gap - Missing Art. 9 Basis", IF(OR(I7372="Invalid - Not Freely Given", I7372="Invalid - Not Specific", I7372="Invalid - Not Informed", I7372="Invalid - Ambiguous"), "Gap - Invalid Consent", "Compliant")))))</f>
        <v/>
      </c>
      <c r="O7372" s="7" t="n"/>
    </row>
    <row r="7373">
      <c r="A7373" s="7" t="n"/>
      <c r="B7373" s="7" t="n"/>
      <c r="C7373" s="7" t="n"/>
      <c r="D7373" s="7" t="n"/>
      <c r="E7373" s="7" t="n"/>
      <c r="F7373" s="7" t="n"/>
      <c r="G7373" s="7" t="n"/>
      <c r="H7373" s="7" t="n"/>
      <c r="I7373" s="7" t="n"/>
      <c r="J7373" s="7" t="n"/>
      <c r="K7373">
        <f>IF(D7373="Legitimate Interest (GDPR Art. 6(1)(f))", "Yes / Required (Sheet 3)", "")</f>
        <v/>
      </c>
      <c r="L7373" s="7" t="n"/>
      <c r="M7373" s="7" t="n"/>
      <c r="N7373">
        <f>IF(D7373="", "Gap - No Legal Basis", IF(AND(D7373="Consent (GDPR Art. 6(1)(a))", I7373="Not Captured"), "Gap - Invalid Consent", IF(AND(D7373="Legitimate Interest (GDPR Art. 6(1)(f))", L7373=""), "Gap - Missing LIA", IF(AND(G7373="Yes", H7373=""), "Gap - Missing Art. 9 Basis", IF(OR(I7373="Invalid - Not Freely Given", I7373="Invalid - Not Specific", I7373="Invalid - Not Informed", I7373="Invalid - Ambiguous"), "Gap - Invalid Consent", "Compliant")))))</f>
        <v/>
      </c>
      <c r="O7373" s="7" t="n"/>
    </row>
    <row r="7374">
      <c r="A7374" s="7" t="n"/>
      <c r="B7374" s="7" t="n"/>
      <c r="C7374" s="7" t="n"/>
      <c r="D7374" s="7" t="n"/>
      <c r="E7374" s="7" t="n"/>
      <c r="F7374" s="7" t="n"/>
      <c r="G7374" s="7" t="n"/>
      <c r="H7374" s="7" t="n"/>
      <c r="I7374" s="7" t="n"/>
      <c r="J7374" s="7" t="n"/>
      <c r="K7374">
        <f>IF(D7374="Legitimate Interest (GDPR Art. 6(1)(f))", "Yes / Required (Sheet 3)", "")</f>
        <v/>
      </c>
      <c r="L7374" s="7" t="n"/>
      <c r="M7374" s="7" t="n"/>
      <c r="N7374">
        <f>IF(D7374="", "Gap - No Legal Basis", IF(AND(D7374="Consent (GDPR Art. 6(1)(a))", I7374="Not Captured"), "Gap - Invalid Consent", IF(AND(D7374="Legitimate Interest (GDPR Art. 6(1)(f))", L7374=""), "Gap - Missing LIA", IF(AND(G7374="Yes", H7374=""), "Gap - Missing Art. 9 Basis", IF(OR(I7374="Invalid - Not Freely Given", I7374="Invalid - Not Specific", I7374="Invalid - Not Informed", I7374="Invalid - Ambiguous"), "Gap - Invalid Consent", "Compliant")))))</f>
        <v/>
      </c>
      <c r="O7374" s="7" t="n"/>
    </row>
    <row r="7375">
      <c r="A7375" s="7" t="n"/>
      <c r="B7375" s="7" t="n"/>
      <c r="C7375" s="7" t="n"/>
      <c r="D7375" s="7" t="n"/>
      <c r="E7375" s="7" t="n"/>
      <c r="F7375" s="7" t="n"/>
      <c r="G7375" s="7" t="n"/>
      <c r="H7375" s="7" t="n"/>
      <c r="I7375" s="7" t="n"/>
      <c r="J7375" s="7" t="n"/>
      <c r="K7375">
        <f>IF(D7375="Legitimate Interest (GDPR Art. 6(1)(f))", "Yes / Required (Sheet 3)", "")</f>
        <v/>
      </c>
      <c r="L7375" s="7" t="n"/>
      <c r="M7375" s="7" t="n"/>
      <c r="N7375">
        <f>IF(D7375="", "Gap - No Legal Basis", IF(AND(D7375="Consent (GDPR Art. 6(1)(a))", I7375="Not Captured"), "Gap - Invalid Consent", IF(AND(D7375="Legitimate Interest (GDPR Art. 6(1)(f))", L7375=""), "Gap - Missing LIA", IF(AND(G7375="Yes", H7375=""), "Gap - Missing Art. 9 Basis", IF(OR(I7375="Invalid - Not Freely Given", I7375="Invalid - Not Specific", I7375="Invalid - Not Informed", I7375="Invalid - Ambiguous"), "Gap - Invalid Consent", "Compliant")))))</f>
        <v/>
      </c>
      <c r="O7375" s="7" t="n"/>
    </row>
    <row r="7376">
      <c r="A7376" s="7" t="n"/>
      <c r="B7376" s="7" t="n"/>
      <c r="C7376" s="7" t="n"/>
      <c r="D7376" s="7" t="n"/>
      <c r="E7376" s="7" t="n"/>
      <c r="F7376" s="7" t="n"/>
      <c r="G7376" s="7" t="n"/>
      <c r="H7376" s="7" t="n"/>
      <c r="I7376" s="7" t="n"/>
      <c r="J7376" s="7" t="n"/>
      <c r="K7376">
        <f>IF(D7376="Legitimate Interest (GDPR Art. 6(1)(f))", "Yes / Required (Sheet 3)", "")</f>
        <v/>
      </c>
      <c r="L7376" s="7" t="n"/>
      <c r="M7376" s="7" t="n"/>
      <c r="N7376">
        <f>IF(D7376="", "Gap - No Legal Basis", IF(AND(D7376="Consent (GDPR Art. 6(1)(a))", I7376="Not Captured"), "Gap - Invalid Consent", IF(AND(D7376="Legitimate Interest (GDPR Art. 6(1)(f))", L7376=""), "Gap - Missing LIA", IF(AND(G7376="Yes", H7376=""), "Gap - Missing Art. 9 Basis", IF(OR(I7376="Invalid - Not Freely Given", I7376="Invalid - Not Specific", I7376="Invalid - Not Informed", I7376="Invalid - Ambiguous"), "Gap - Invalid Consent", "Compliant")))))</f>
        <v/>
      </c>
      <c r="O7376" s="7" t="n"/>
    </row>
    <row r="7377">
      <c r="A7377" s="7" t="n"/>
      <c r="B7377" s="7" t="n"/>
      <c r="C7377" s="7" t="n"/>
      <c r="D7377" s="7" t="n"/>
      <c r="E7377" s="7" t="n"/>
      <c r="F7377" s="7" t="n"/>
      <c r="G7377" s="7" t="n"/>
      <c r="H7377" s="7" t="n"/>
      <c r="I7377" s="7" t="n"/>
      <c r="J7377" s="7" t="n"/>
      <c r="K7377">
        <f>IF(D7377="Legitimate Interest (GDPR Art. 6(1)(f))", "Yes / Required (Sheet 3)", "")</f>
        <v/>
      </c>
      <c r="L7377" s="7" t="n"/>
      <c r="M7377" s="7" t="n"/>
      <c r="N7377">
        <f>IF(D7377="", "Gap - No Legal Basis", IF(AND(D7377="Consent (GDPR Art. 6(1)(a))", I7377="Not Captured"), "Gap - Invalid Consent", IF(AND(D7377="Legitimate Interest (GDPR Art. 6(1)(f))", L7377=""), "Gap - Missing LIA", IF(AND(G7377="Yes", H7377=""), "Gap - Missing Art. 9 Basis", IF(OR(I7377="Invalid - Not Freely Given", I7377="Invalid - Not Specific", I7377="Invalid - Not Informed", I7377="Invalid - Ambiguous"), "Gap - Invalid Consent", "Compliant")))))</f>
        <v/>
      </c>
      <c r="O7377" s="7" t="n"/>
    </row>
    <row r="7378">
      <c r="A7378" s="7" t="n"/>
      <c r="B7378" s="7" t="n"/>
      <c r="C7378" s="7" t="n"/>
      <c r="D7378" s="7" t="n"/>
      <c r="E7378" s="7" t="n"/>
      <c r="F7378" s="7" t="n"/>
      <c r="G7378" s="7" t="n"/>
      <c r="H7378" s="7" t="n"/>
      <c r="I7378" s="7" t="n"/>
      <c r="J7378" s="7" t="n"/>
      <c r="K7378">
        <f>IF(D7378="Legitimate Interest (GDPR Art. 6(1)(f))", "Yes / Required (Sheet 3)", "")</f>
        <v/>
      </c>
      <c r="L7378" s="7" t="n"/>
      <c r="M7378" s="7" t="n"/>
      <c r="N7378">
        <f>IF(D7378="", "Gap - No Legal Basis", IF(AND(D7378="Consent (GDPR Art. 6(1)(a))", I7378="Not Captured"), "Gap - Invalid Consent", IF(AND(D7378="Legitimate Interest (GDPR Art. 6(1)(f))", L7378=""), "Gap - Missing LIA", IF(AND(G7378="Yes", H7378=""), "Gap - Missing Art. 9 Basis", IF(OR(I7378="Invalid - Not Freely Given", I7378="Invalid - Not Specific", I7378="Invalid - Not Informed", I7378="Invalid - Ambiguous"), "Gap - Invalid Consent", "Compliant")))))</f>
        <v/>
      </c>
      <c r="O7378" s="7" t="n"/>
    </row>
    <row r="7379">
      <c r="A7379" s="7" t="n"/>
      <c r="B7379" s="7" t="n"/>
      <c r="C7379" s="7" t="n"/>
      <c r="D7379" s="7" t="n"/>
      <c r="E7379" s="7" t="n"/>
      <c r="F7379" s="7" t="n"/>
      <c r="G7379" s="7" t="n"/>
      <c r="H7379" s="7" t="n"/>
      <c r="I7379" s="7" t="n"/>
      <c r="J7379" s="7" t="n"/>
      <c r="K7379">
        <f>IF(D7379="Legitimate Interest (GDPR Art. 6(1)(f))", "Yes / Required (Sheet 3)", "")</f>
        <v/>
      </c>
      <c r="L7379" s="7" t="n"/>
      <c r="M7379" s="7" t="n"/>
      <c r="N7379">
        <f>IF(D7379="", "Gap - No Legal Basis", IF(AND(D7379="Consent (GDPR Art. 6(1)(a))", I7379="Not Captured"), "Gap - Invalid Consent", IF(AND(D7379="Legitimate Interest (GDPR Art. 6(1)(f))", L7379=""), "Gap - Missing LIA", IF(AND(G7379="Yes", H7379=""), "Gap - Missing Art. 9 Basis", IF(OR(I7379="Invalid - Not Freely Given", I7379="Invalid - Not Specific", I7379="Invalid - Not Informed", I7379="Invalid - Ambiguous"), "Gap - Invalid Consent", "Compliant")))))</f>
        <v/>
      </c>
      <c r="O7379" s="7" t="n"/>
    </row>
    <row r="7380">
      <c r="A7380" s="7" t="n"/>
      <c r="B7380" s="7" t="n"/>
      <c r="C7380" s="7" t="n"/>
      <c r="D7380" s="7" t="n"/>
      <c r="E7380" s="7" t="n"/>
      <c r="F7380" s="7" t="n"/>
      <c r="G7380" s="7" t="n"/>
      <c r="H7380" s="7" t="n"/>
      <c r="I7380" s="7" t="n"/>
      <c r="J7380" s="7" t="n"/>
      <c r="K7380">
        <f>IF(D7380="Legitimate Interest (GDPR Art. 6(1)(f))", "Yes / Required (Sheet 3)", "")</f>
        <v/>
      </c>
      <c r="L7380" s="7" t="n"/>
      <c r="M7380" s="7" t="n"/>
      <c r="N7380">
        <f>IF(D7380="", "Gap - No Legal Basis", IF(AND(D7380="Consent (GDPR Art. 6(1)(a))", I7380="Not Captured"), "Gap - Invalid Consent", IF(AND(D7380="Legitimate Interest (GDPR Art. 6(1)(f))", L7380=""), "Gap - Missing LIA", IF(AND(G7380="Yes", H7380=""), "Gap - Missing Art. 9 Basis", IF(OR(I7380="Invalid - Not Freely Given", I7380="Invalid - Not Specific", I7380="Invalid - Not Informed", I7380="Invalid - Ambiguous"), "Gap - Invalid Consent", "Compliant")))))</f>
        <v/>
      </c>
      <c r="O7380" s="7" t="n"/>
    </row>
    <row r="7381">
      <c r="A7381" s="7" t="n"/>
      <c r="B7381" s="7" t="n"/>
      <c r="C7381" s="7" t="n"/>
      <c r="D7381" s="7" t="n"/>
      <c r="E7381" s="7" t="n"/>
      <c r="F7381" s="7" t="n"/>
      <c r="G7381" s="7" t="n"/>
      <c r="H7381" s="7" t="n"/>
      <c r="I7381" s="7" t="n"/>
      <c r="J7381" s="7" t="n"/>
      <c r="K7381">
        <f>IF(D7381="Legitimate Interest (GDPR Art. 6(1)(f))", "Yes / Required (Sheet 3)", "")</f>
        <v/>
      </c>
      <c r="L7381" s="7" t="n"/>
      <c r="M7381" s="7" t="n"/>
      <c r="N7381">
        <f>IF(D7381="", "Gap - No Legal Basis", IF(AND(D7381="Consent (GDPR Art. 6(1)(a))", I7381="Not Captured"), "Gap - Invalid Consent", IF(AND(D7381="Legitimate Interest (GDPR Art. 6(1)(f))", L7381=""), "Gap - Missing LIA", IF(AND(G7381="Yes", H7381=""), "Gap - Missing Art. 9 Basis", IF(OR(I7381="Invalid - Not Freely Given", I7381="Invalid - Not Specific", I7381="Invalid - Not Informed", I7381="Invalid - Ambiguous"), "Gap - Invalid Consent", "Compliant")))))</f>
        <v/>
      </c>
      <c r="O7381" s="7" t="n"/>
    </row>
    <row r="7382">
      <c r="A7382" s="7" t="n"/>
      <c r="B7382" s="7" t="n"/>
      <c r="C7382" s="7" t="n"/>
      <c r="D7382" s="7" t="n"/>
      <c r="E7382" s="7" t="n"/>
      <c r="F7382" s="7" t="n"/>
      <c r="G7382" s="7" t="n"/>
      <c r="H7382" s="7" t="n"/>
      <c r="I7382" s="7" t="n"/>
      <c r="J7382" s="7" t="n"/>
      <c r="K7382">
        <f>IF(D7382="Legitimate Interest (GDPR Art. 6(1)(f))", "Yes / Required (Sheet 3)", "")</f>
        <v/>
      </c>
      <c r="L7382" s="7" t="n"/>
      <c r="M7382" s="7" t="n"/>
      <c r="N7382">
        <f>IF(D7382="", "Gap - No Legal Basis", IF(AND(D7382="Consent (GDPR Art. 6(1)(a))", I7382="Not Captured"), "Gap - Invalid Consent", IF(AND(D7382="Legitimate Interest (GDPR Art. 6(1)(f))", L7382=""), "Gap - Missing LIA", IF(AND(G7382="Yes", H7382=""), "Gap - Missing Art. 9 Basis", IF(OR(I7382="Invalid - Not Freely Given", I7382="Invalid - Not Specific", I7382="Invalid - Not Informed", I7382="Invalid - Ambiguous"), "Gap - Invalid Consent", "Compliant")))))</f>
        <v/>
      </c>
      <c r="O7382" s="7" t="n"/>
    </row>
    <row r="7383">
      <c r="A7383" s="7" t="n"/>
      <c r="B7383" s="7" t="n"/>
      <c r="C7383" s="7" t="n"/>
      <c r="D7383" s="7" t="n"/>
      <c r="E7383" s="7" t="n"/>
      <c r="F7383" s="7" t="n"/>
      <c r="G7383" s="7" t="n"/>
      <c r="H7383" s="7" t="n"/>
      <c r="I7383" s="7" t="n"/>
      <c r="J7383" s="7" t="n"/>
      <c r="K7383">
        <f>IF(D7383="Legitimate Interest (GDPR Art. 6(1)(f))", "Yes / Required (Sheet 3)", "")</f>
        <v/>
      </c>
      <c r="L7383" s="7" t="n"/>
      <c r="M7383" s="7" t="n"/>
      <c r="N7383">
        <f>IF(D7383="", "Gap - No Legal Basis", IF(AND(D7383="Consent (GDPR Art. 6(1)(a))", I7383="Not Captured"), "Gap - Invalid Consent", IF(AND(D7383="Legitimate Interest (GDPR Art. 6(1)(f))", L7383=""), "Gap - Missing LIA", IF(AND(G7383="Yes", H7383=""), "Gap - Missing Art. 9 Basis", IF(OR(I7383="Invalid - Not Freely Given", I7383="Invalid - Not Specific", I7383="Invalid - Not Informed", I7383="Invalid - Ambiguous"), "Gap - Invalid Consent", "Compliant")))))</f>
        <v/>
      </c>
      <c r="O7383" s="7" t="n"/>
    </row>
    <row r="7384">
      <c r="A7384" s="7" t="n"/>
      <c r="B7384" s="7" t="n"/>
      <c r="C7384" s="7" t="n"/>
      <c r="D7384" s="7" t="n"/>
      <c r="E7384" s="7" t="n"/>
      <c r="F7384" s="7" t="n"/>
      <c r="G7384" s="7" t="n"/>
      <c r="H7384" s="7" t="n"/>
      <c r="I7384" s="7" t="n"/>
      <c r="J7384" s="7" t="n"/>
      <c r="K7384">
        <f>IF(D7384="Legitimate Interest (GDPR Art. 6(1)(f))", "Yes / Required (Sheet 3)", "")</f>
        <v/>
      </c>
      <c r="L7384" s="7" t="n"/>
      <c r="M7384" s="7" t="n"/>
      <c r="N7384">
        <f>IF(D7384="", "Gap - No Legal Basis", IF(AND(D7384="Consent (GDPR Art. 6(1)(a))", I7384="Not Captured"), "Gap - Invalid Consent", IF(AND(D7384="Legitimate Interest (GDPR Art. 6(1)(f))", L7384=""), "Gap - Missing LIA", IF(AND(G7384="Yes", H7384=""), "Gap - Missing Art. 9 Basis", IF(OR(I7384="Invalid - Not Freely Given", I7384="Invalid - Not Specific", I7384="Invalid - Not Informed", I7384="Invalid - Ambiguous"), "Gap - Invalid Consent", "Compliant")))))</f>
        <v/>
      </c>
      <c r="O7384" s="7" t="n"/>
    </row>
    <row r="7385">
      <c r="A7385" s="7" t="n"/>
      <c r="B7385" s="7" t="n"/>
      <c r="C7385" s="7" t="n"/>
      <c r="D7385" s="7" t="n"/>
      <c r="E7385" s="7" t="n"/>
      <c r="F7385" s="7" t="n"/>
      <c r="G7385" s="7" t="n"/>
      <c r="H7385" s="7" t="n"/>
      <c r="I7385" s="7" t="n"/>
      <c r="J7385" s="7" t="n"/>
      <c r="K7385">
        <f>IF(D7385="Legitimate Interest (GDPR Art. 6(1)(f))", "Yes / Required (Sheet 3)", "")</f>
        <v/>
      </c>
      <c r="L7385" s="7" t="n"/>
      <c r="M7385" s="7" t="n"/>
      <c r="N7385">
        <f>IF(D7385="", "Gap - No Legal Basis", IF(AND(D7385="Consent (GDPR Art. 6(1)(a))", I7385="Not Captured"), "Gap - Invalid Consent", IF(AND(D7385="Legitimate Interest (GDPR Art. 6(1)(f))", L7385=""), "Gap - Missing LIA", IF(AND(G7385="Yes", H7385=""), "Gap - Missing Art. 9 Basis", IF(OR(I7385="Invalid - Not Freely Given", I7385="Invalid - Not Specific", I7385="Invalid - Not Informed", I7385="Invalid - Ambiguous"), "Gap - Invalid Consent", "Compliant")))))</f>
        <v/>
      </c>
      <c r="O7385" s="7" t="n"/>
    </row>
    <row r="7386">
      <c r="A7386" s="7" t="n"/>
      <c r="B7386" s="7" t="n"/>
      <c r="C7386" s="7" t="n"/>
      <c r="D7386" s="7" t="n"/>
      <c r="E7386" s="7" t="n"/>
      <c r="F7386" s="7" t="n"/>
      <c r="G7386" s="7" t="n"/>
      <c r="H7386" s="7" t="n"/>
      <c r="I7386" s="7" t="n"/>
      <c r="J7386" s="7" t="n"/>
      <c r="K7386">
        <f>IF(D7386="Legitimate Interest (GDPR Art. 6(1)(f))", "Yes / Required (Sheet 3)", "")</f>
        <v/>
      </c>
      <c r="L7386" s="7" t="n"/>
      <c r="M7386" s="7" t="n"/>
      <c r="N7386">
        <f>IF(D7386="", "Gap - No Legal Basis", IF(AND(D7386="Consent (GDPR Art. 6(1)(a))", I7386="Not Captured"), "Gap - Invalid Consent", IF(AND(D7386="Legitimate Interest (GDPR Art. 6(1)(f))", L7386=""), "Gap - Missing LIA", IF(AND(G7386="Yes", H7386=""), "Gap - Missing Art. 9 Basis", IF(OR(I7386="Invalid - Not Freely Given", I7386="Invalid - Not Specific", I7386="Invalid - Not Informed", I7386="Invalid - Ambiguous"), "Gap - Invalid Consent", "Compliant")))))</f>
        <v/>
      </c>
      <c r="O7386" s="7" t="n"/>
    </row>
    <row r="7387">
      <c r="A7387" s="7" t="n"/>
      <c r="B7387" s="7" t="n"/>
      <c r="C7387" s="7" t="n"/>
      <c r="D7387" s="7" t="n"/>
      <c r="E7387" s="7" t="n"/>
      <c r="F7387" s="7" t="n"/>
      <c r="G7387" s="7" t="n"/>
      <c r="H7387" s="7" t="n"/>
      <c r="I7387" s="7" t="n"/>
      <c r="J7387" s="7" t="n"/>
      <c r="K7387">
        <f>IF(D7387="Legitimate Interest (GDPR Art. 6(1)(f))", "Yes / Required (Sheet 3)", "")</f>
        <v/>
      </c>
      <c r="L7387" s="7" t="n"/>
      <c r="M7387" s="7" t="n"/>
      <c r="N7387">
        <f>IF(D7387="", "Gap - No Legal Basis", IF(AND(D7387="Consent (GDPR Art. 6(1)(a))", I7387="Not Captured"), "Gap - Invalid Consent", IF(AND(D7387="Legitimate Interest (GDPR Art. 6(1)(f))", L7387=""), "Gap - Missing LIA", IF(AND(G7387="Yes", H7387=""), "Gap - Missing Art. 9 Basis", IF(OR(I7387="Invalid - Not Freely Given", I7387="Invalid - Not Specific", I7387="Invalid - Not Informed", I7387="Invalid - Ambiguous"), "Gap - Invalid Consent", "Compliant")))))</f>
        <v/>
      </c>
      <c r="O7387" s="7" t="n"/>
    </row>
    <row r="7388">
      <c r="A7388" s="7" t="n"/>
      <c r="B7388" s="7" t="n"/>
      <c r="C7388" s="7" t="n"/>
      <c r="D7388" s="7" t="n"/>
      <c r="E7388" s="7" t="n"/>
      <c r="F7388" s="7" t="n"/>
      <c r="G7388" s="7" t="n"/>
      <c r="H7388" s="7" t="n"/>
      <c r="I7388" s="7" t="n"/>
      <c r="J7388" s="7" t="n"/>
      <c r="K7388">
        <f>IF(D7388="Legitimate Interest (GDPR Art. 6(1)(f))", "Yes / Required (Sheet 3)", "")</f>
        <v/>
      </c>
      <c r="L7388" s="7" t="n"/>
      <c r="M7388" s="7" t="n"/>
      <c r="N7388">
        <f>IF(D7388="", "Gap - No Legal Basis", IF(AND(D7388="Consent (GDPR Art. 6(1)(a))", I7388="Not Captured"), "Gap - Invalid Consent", IF(AND(D7388="Legitimate Interest (GDPR Art. 6(1)(f))", L7388=""), "Gap - Missing LIA", IF(AND(G7388="Yes", H7388=""), "Gap - Missing Art. 9 Basis", IF(OR(I7388="Invalid - Not Freely Given", I7388="Invalid - Not Specific", I7388="Invalid - Not Informed", I7388="Invalid - Ambiguous"), "Gap - Invalid Consent", "Compliant")))))</f>
        <v/>
      </c>
      <c r="O7388" s="7" t="n"/>
    </row>
    <row r="7389">
      <c r="A7389" s="7" t="n"/>
      <c r="B7389" s="7" t="n"/>
      <c r="C7389" s="7" t="n"/>
      <c r="D7389" s="7" t="n"/>
      <c r="E7389" s="7" t="n"/>
      <c r="F7389" s="7" t="n"/>
      <c r="G7389" s="7" t="n"/>
      <c r="H7389" s="7" t="n"/>
      <c r="I7389" s="7" t="n"/>
      <c r="J7389" s="7" t="n"/>
      <c r="K7389">
        <f>IF(D7389="Legitimate Interest (GDPR Art. 6(1)(f))", "Yes / Required (Sheet 3)", "")</f>
        <v/>
      </c>
      <c r="L7389" s="7" t="n"/>
      <c r="M7389" s="7" t="n"/>
      <c r="N7389">
        <f>IF(D7389="", "Gap - No Legal Basis", IF(AND(D7389="Consent (GDPR Art. 6(1)(a))", I7389="Not Captured"), "Gap - Invalid Consent", IF(AND(D7389="Legitimate Interest (GDPR Art. 6(1)(f))", L7389=""), "Gap - Missing LIA", IF(AND(G7389="Yes", H7389=""), "Gap - Missing Art. 9 Basis", IF(OR(I7389="Invalid - Not Freely Given", I7389="Invalid - Not Specific", I7389="Invalid - Not Informed", I7389="Invalid - Ambiguous"), "Gap - Invalid Consent", "Compliant")))))</f>
        <v/>
      </c>
      <c r="O7389" s="7" t="n"/>
    </row>
    <row r="7390">
      <c r="A7390" s="7" t="n"/>
      <c r="B7390" s="7" t="n"/>
      <c r="C7390" s="7" t="n"/>
      <c r="D7390" s="7" t="n"/>
      <c r="E7390" s="7" t="n"/>
      <c r="F7390" s="7" t="n"/>
      <c r="G7390" s="7" t="n"/>
      <c r="H7390" s="7" t="n"/>
      <c r="I7390" s="7" t="n"/>
      <c r="J7390" s="7" t="n"/>
      <c r="K7390">
        <f>IF(D7390="Legitimate Interest (GDPR Art. 6(1)(f))", "Yes / Required (Sheet 3)", "")</f>
        <v/>
      </c>
      <c r="L7390" s="7" t="n"/>
      <c r="M7390" s="7" t="n"/>
      <c r="N7390">
        <f>IF(D7390="", "Gap - No Legal Basis", IF(AND(D7390="Consent (GDPR Art. 6(1)(a))", I7390="Not Captured"), "Gap - Invalid Consent", IF(AND(D7390="Legitimate Interest (GDPR Art. 6(1)(f))", L7390=""), "Gap - Missing LIA", IF(AND(G7390="Yes", H7390=""), "Gap - Missing Art. 9 Basis", IF(OR(I7390="Invalid - Not Freely Given", I7390="Invalid - Not Specific", I7390="Invalid - Not Informed", I7390="Invalid - Ambiguous"), "Gap - Invalid Consent", "Compliant")))))</f>
        <v/>
      </c>
      <c r="O7390" s="7" t="n"/>
    </row>
    <row r="7391">
      <c r="A7391" s="7" t="n"/>
      <c r="B7391" s="7" t="n"/>
      <c r="C7391" s="7" t="n"/>
      <c r="D7391" s="7" t="n"/>
      <c r="E7391" s="7" t="n"/>
      <c r="F7391" s="7" t="n"/>
      <c r="G7391" s="7" t="n"/>
      <c r="H7391" s="7" t="n"/>
      <c r="I7391" s="7" t="n"/>
      <c r="J7391" s="7" t="n"/>
      <c r="K7391">
        <f>IF(D7391="Legitimate Interest (GDPR Art. 6(1)(f))", "Yes / Required (Sheet 3)", "")</f>
        <v/>
      </c>
      <c r="L7391" s="7" t="n"/>
      <c r="M7391" s="7" t="n"/>
      <c r="N7391">
        <f>IF(D7391="", "Gap - No Legal Basis", IF(AND(D7391="Consent (GDPR Art. 6(1)(a))", I7391="Not Captured"), "Gap - Invalid Consent", IF(AND(D7391="Legitimate Interest (GDPR Art. 6(1)(f))", L7391=""), "Gap - Missing LIA", IF(AND(G7391="Yes", H7391=""), "Gap - Missing Art. 9 Basis", IF(OR(I7391="Invalid - Not Freely Given", I7391="Invalid - Not Specific", I7391="Invalid - Not Informed", I7391="Invalid - Ambiguous"), "Gap - Invalid Consent", "Compliant")))))</f>
        <v/>
      </c>
      <c r="O7391" s="7" t="n"/>
    </row>
    <row r="7392">
      <c r="A7392" s="7" t="n"/>
      <c r="B7392" s="7" t="n"/>
      <c r="C7392" s="7" t="n"/>
      <c r="D7392" s="7" t="n"/>
      <c r="E7392" s="7" t="n"/>
      <c r="F7392" s="7" t="n"/>
      <c r="G7392" s="7" t="n"/>
      <c r="H7392" s="7" t="n"/>
      <c r="I7392" s="7" t="n"/>
      <c r="J7392" s="7" t="n"/>
      <c r="K7392">
        <f>IF(D7392="Legitimate Interest (GDPR Art. 6(1)(f))", "Yes / Required (Sheet 3)", "")</f>
        <v/>
      </c>
      <c r="L7392" s="7" t="n"/>
      <c r="M7392" s="7" t="n"/>
      <c r="N7392">
        <f>IF(D7392="", "Gap - No Legal Basis", IF(AND(D7392="Consent (GDPR Art. 6(1)(a))", I7392="Not Captured"), "Gap - Invalid Consent", IF(AND(D7392="Legitimate Interest (GDPR Art. 6(1)(f))", L7392=""), "Gap - Missing LIA", IF(AND(G7392="Yes", H7392=""), "Gap - Missing Art. 9 Basis", IF(OR(I7392="Invalid - Not Freely Given", I7392="Invalid - Not Specific", I7392="Invalid - Not Informed", I7392="Invalid - Ambiguous"), "Gap - Invalid Consent", "Compliant")))))</f>
        <v/>
      </c>
      <c r="O7392" s="7" t="n"/>
    </row>
    <row r="7393">
      <c r="A7393" s="7" t="n"/>
      <c r="B7393" s="7" t="n"/>
      <c r="C7393" s="7" t="n"/>
      <c r="D7393" s="7" t="n"/>
      <c r="E7393" s="7" t="n"/>
      <c r="F7393" s="7" t="n"/>
      <c r="G7393" s="7" t="n"/>
      <c r="H7393" s="7" t="n"/>
      <c r="I7393" s="7" t="n"/>
      <c r="J7393" s="7" t="n"/>
      <c r="K7393">
        <f>IF(D7393="Legitimate Interest (GDPR Art. 6(1)(f))", "Yes / Required (Sheet 3)", "")</f>
        <v/>
      </c>
      <c r="L7393" s="7" t="n"/>
      <c r="M7393" s="7" t="n"/>
      <c r="N7393">
        <f>IF(D7393="", "Gap - No Legal Basis", IF(AND(D7393="Consent (GDPR Art. 6(1)(a))", I7393="Not Captured"), "Gap - Invalid Consent", IF(AND(D7393="Legitimate Interest (GDPR Art. 6(1)(f))", L7393=""), "Gap - Missing LIA", IF(AND(G7393="Yes", H7393=""), "Gap - Missing Art. 9 Basis", IF(OR(I7393="Invalid - Not Freely Given", I7393="Invalid - Not Specific", I7393="Invalid - Not Informed", I7393="Invalid - Ambiguous"), "Gap - Invalid Consent", "Compliant")))))</f>
        <v/>
      </c>
      <c r="O7393" s="7" t="n"/>
    </row>
    <row r="7394">
      <c r="A7394" s="7" t="n"/>
      <c r="B7394" s="7" t="n"/>
      <c r="C7394" s="7" t="n"/>
      <c r="D7394" s="7" t="n"/>
      <c r="E7394" s="7" t="n"/>
      <c r="F7394" s="7" t="n"/>
      <c r="G7394" s="7" t="n"/>
      <c r="H7394" s="7" t="n"/>
      <c r="I7394" s="7" t="n"/>
      <c r="J7394" s="7" t="n"/>
      <c r="K7394">
        <f>IF(D7394="Legitimate Interest (GDPR Art. 6(1)(f))", "Yes / Required (Sheet 3)", "")</f>
        <v/>
      </c>
      <c r="L7394" s="7" t="n"/>
      <c r="M7394" s="7" t="n"/>
      <c r="N7394">
        <f>IF(D7394="", "Gap - No Legal Basis", IF(AND(D7394="Consent (GDPR Art. 6(1)(a))", I7394="Not Captured"), "Gap - Invalid Consent", IF(AND(D7394="Legitimate Interest (GDPR Art. 6(1)(f))", L7394=""), "Gap - Missing LIA", IF(AND(G7394="Yes", H7394=""), "Gap - Missing Art. 9 Basis", IF(OR(I7394="Invalid - Not Freely Given", I7394="Invalid - Not Specific", I7394="Invalid - Not Informed", I7394="Invalid - Ambiguous"), "Gap - Invalid Consent", "Compliant")))))</f>
        <v/>
      </c>
      <c r="O7394" s="7" t="n"/>
    </row>
    <row r="7395">
      <c r="A7395" s="7" t="n"/>
      <c r="B7395" s="7" t="n"/>
      <c r="C7395" s="7" t="n"/>
      <c r="D7395" s="7" t="n"/>
      <c r="E7395" s="7" t="n"/>
      <c r="F7395" s="7" t="n"/>
      <c r="G7395" s="7" t="n"/>
      <c r="H7395" s="7" t="n"/>
      <c r="I7395" s="7" t="n"/>
      <c r="J7395" s="7" t="n"/>
      <c r="K7395">
        <f>IF(D7395="Legitimate Interest (GDPR Art. 6(1)(f))", "Yes / Required (Sheet 3)", "")</f>
        <v/>
      </c>
      <c r="L7395" s="7" t="n"/>
      <c r="M7395" s="7" t="n"/>
      <c r="N7395">
        <f>IF(D7395="", "Gap - No Legal Basis", IF(AND(D7395="Consent (GDPR Art. 6(1)(a))", I7395="Not Captured"), "Gap - Invalid Consent", IF(AND(D7395="Legitimate Interest (GDPR Art. 6(1)(f))", L7395=""), "Gap - Missing LIA", IF(AND(G7395="Yes", H7395=""), "Gap - Missing Art. 9 Basis", IF(OR(I7395="Invalid - Not Freely Given", I7395="Invalid - Not Specific", I7395="Invalid - Not Informed", I7395="Invalid - Ambiguous"), "Gap - Invalid Consent", "Compliant")))))</f>
        <v/>
      </c>
      <c r="O7395" s="7" t="n"/>
    </row>
    <row r="7396">
      <c r="A7396" s="7" t="n"/>
      <c r="B7396" s="7" t="n"/>
      <c r="C7396" s="7" t="n"/>
      <c r="D7396" s="7" t="n"/>
      <c r="E7396" s="7" t="n"/>
      <c r="F7396" s="7" t="n"/>
      <c r="G7396" s="7" t="n"/>
      <c r="H7396" s="7" t="n"/>
      <c r="I7396" s="7" t="n"/>
      <c r="J7396" s="7" t="n"/>
      <c r="K7396">
        <f>IF(D7396="Legitimate Interest (GDPR Art. 6(1)(f))", "Yes / Required (Sheet 3)", "")</f>
        <v/>
      </c>
      <c r="L7396" s="7" t="n"/>
      <c r="M7396" s="7" t="n"/>
      <c r="N7396">
        <f>IF(D7396="", "Gap - No Legal Basis", IF(AND(D7396="Consent (GDPR Art. 6(1)(a))", I7396="Not Captured"), "Gap - Invalid Consent", IF(AND(D7396="Legitimate Interest (GDPR Art. 6(1)(f))", L7396=""), "Gap - Missing LIA", IF(AND(G7396="Yes", H7396=""), "Gap - Missing Art. 9 Basis", IF(OR(I7396="Invalid - Not Freely Given", I7396="Invalid - Not Specific", I7396="Invalid - Not Informed", I7396="Invalid - Ambiguous"), "Gap - Invalid Consent", "Compliant")))))</f>
        <v/>
      </c>
      <c r="O7396" s="7" t="n"/>
    </row>
    <row r="7397">
      <c r="A7397" s="7" t="n"/>
      <c r="B7397" s="7" t="n"/>
      <c r="C7397" s="7" t="n"/>
      <c r="D7397" s="7" t="n"/>
      <c r="E7397" s="7" t="n"/>
      <c r="F7397" s="7" t="n"/>
      <c r="G7397" s="7" t="n"/>
      <c r="H7397" s="7" t="n"/>
      <c r="I7397" s="7" t="n"/>
      <c r="J7397" s="7" t="n"/>
      <c r="K7397">
        <f>IF(D7397="Legitimate Interest (GDPR Art. 6(1)(f))", "Yes / Required (Sheet 3)", "")</f>
        <v/>
      </c>
      <c r="L7397" s="7" t="n"/>
      <c r="M7397" s="7" t="n"/>
      <c r="N7397">
        <f>IF(D7397="", "Gap - No Legal Basis", IF(AND(D7397="Consent (GDPR Art. 6(1)(a))", I7397="Not Captured"), "Gap - Invalid Consent", IF(AND(D7397="Legitimate Interest (GDPR Art. 6(1)(f))", L7397=""), "Gap - Missing LIA", IF(AND(G7397="Yes", H7397=""), "Gap - Missing Art. 9 Basis", IF(OR(I7397="Invalid - Not Freely Given", I7397="Invalid - Not Specific", I7397="Invalid - Not Informed", I7397="Invalid - Ambiguous"), "Gap - Invalid Consent", "Compliant")))))</f>
        <v/>
      </c>
      <c r="O7397" s="7" t="n"/>
    </row>
    <row r="7398">
      <c r="A7398" s="7" t="n"/>
      <c r="B7398" s="7" t="n"/>
      <c r="C7398" s="7" t="n"/>
      <c r="D7398" s="7" t="n"/>
      <c r="E7398" s="7" t="n"/>
      <c r="F7398" s="7" t="n"/>
      <c r="G7398" s="7" t="n"/>
      <c r="H7398" s="7" t="n"/>
      <c r="I7398" s="7" t="n"/>
      <c r="J7398" s="7" t="n"/>
      <c r="K7398">
        <f>IF(D7398="Legitimate Interest (GDPR Art. 6(1)(f))", "Yes / Required (Sheet 3)", "")</f>
        <v/>
      </c>
      <c r="L7398" s="7" t="n"/>
      <c r="M7398" s="7" t="n"/>
      <c r="N7398">
        <f>IF(D7398="", "Gap - No Legal Basis", IF(AND(D7398="Consent (GDPR Art. 6(1)(a))", I7398="Not Captured"), "Gap - Invalid Consent", IF(AND(D7398="Legitimate Interest (GDPR Art. 6(1)(f))", L7398=""), "Gap - Missing LIA", IF(AND(G7398="Yes", H7398=""), "Gap - Missing Art. 9 Basis", IF(OR(I7398="Invalid - Not Freely Given", I7398="Invalid - Not Specific", I7398="Invalid - Not Informed", I7398="Invalid - Ambiguous"), "Gap - Invalid Consent", "Compliant")))))</f>
        <v/>
      </c>
      <c r="O7398" s="7" t="n"/>
    </row>
    <row r="7399">
      <c r="A7399" s="7" t="n"/>
      <c r="B7399" s="7" t="n"/>
      <c r="C7399" s="7" t="n"/>
      <c r="D7399" s="7" t="n"/>
      <c r="E7399" s="7" t="n"/>
      <c r="F7399" s="7" t="n"/>
      <c r="G7399" s="7" t="n"/>
      <c r="H7399" s="7" t="n"/>
      <c r="I7399" s="7" t="n"/>
      <c r="J7399" s="7" t="n"/>
      <c r="K7399">
        <f>IF(D7399="Legitimate Interest (GDPR Art. 6(1)(f))", "Yes / Required (Sheet 3)", "")</f>
        <v/>
      </c>
      <c r="L7399" s="7" t="n"/>
      <c r="M7399" s="7" t="n"/>
      <c r="N7399">
        <f>IF(D7399="", "Gap - No Legal Basis", IF(AND(D7399="Consent (GDPR Art. 6(1)(a))", I7399="Not Captured"), "Gap - Invalid Consent", IF(AND(D7399="Legitimate Interest (GDPR Art. 6(1)(f))", L7399=""), "Gap - Missing LIA", IF(AND(G7399="Yes", H7399=""), "Gap - Missing Art. 9 Basis", IF(OR(I7399="Invalid - Not Freely Given", I7399="Invalid - Not Specific", I7399="Invalid - Not Informed", I7399="Invalid - Ambiguous"), "Gap - Invalid Consent", "Compliant")))))</f>
        <v/>
      </c>
      <c r="O7399" s="7" t="n"/>
    </row>
    <row r="7400">
      <c r="A7400" s="7" t="n"/>
      <c r="B7400" s="7" t="n"/>
      <c r="C7400" s="7" t="n"/>
      <c r="D7400" s="7" t="n"/>
      <c r="E7400" s="7" t="n"/>
      <c r="F7400" s="7" t="n"/>
      <c r="G7400" s="7" t="n"/>
      <c r="H7400" s="7" t="n"/>
      <c r="I7400" s="7" t="n"/>
      <c r="J7400" s="7" t="n"/>
      <c r="K7400">
        <f>IF(D7400="Legitimate Interest (GDPR Art. 6(1)(f))", "Yes / Required (Sheet 3)", "")</f>
        <v/>
      </c>
      <c r="L7400" s="7" t="n"/>
      <c r="M7400" s="7" t="n"/>
      <c r="N7400">
        <f>IF(D7400="", "Gap - No Legal Basis", IF(AND(D7400="Consent (GDPR Art. 6(1)(a))", I7400="Not Captured"), "Gap - Invalid Consent", IF(AND(D7400="Legitimate Interest (GDPR Art. 6(1)(f))", L7400=""), "Gap - Missing LIA", IF(AND(G7400="Yes", H7400=""), "Gap - Missing Art. 9 Basis", IF(OR(I7400="Invalid - Not Freely Given", I7400="Invalid - Not Specific", I7400="Invalid - Not Informed", I7400="Invalid - Ambiguous"), "Gap - Invalid Consent", "Compliant")))))</f>
        <v/>
      </c>
      <c r="O7400" s="7" t="n"/>
    </row>
    <row r="7401">
      <c r="A7401" s="7" t="n"/>
      <c r="B7401" s="7" t="n"/>
      <c r="C7401" s="7" t="n"/>
      <c r="D7401" s="7" t="n"/>
      <c r="E7401" s="7" t="n"/>
      <c r="F7401" s="7" t="n"/>
      <c r="G7401" s="7" t="n"/>
      <c r="H7401" s="7" t="n"/>
      <c r="I7401" s="7" t="n"/>
      <c r="J7401" s="7" t="n"/>
      <c r="K7401">
        <f>IF(D7401="Legitimate Interest (GDPR Art. 6(1)(f))", "Yes / Required (Sheet 3)", "")</f>
        <v/>
      </c>
      <c r="L7401" s="7" t="n"/>
      <c r="M7401" s="7" t="n"/>
      <c r="N7401">
        <f>IF(D7401="", "Gap - No Legal Basis", IF(AND(D7401="Consent (GDPR Art. 6(1)(a))", I7401="Not Captured"), "Gap - Invalid Consent", IF(AND(D7401="Legitimate Interest (GDPR Art. 6(1)(f))", L7401=""), "Gap - Missing LIA", IF(AND(G7401="Yes", H7401=""), "Gap - Missing Art. 9 Basis", IF(OR(I7401="Invalid - Not Freely Given", I7401="Invalid - Not Specific", I7401="Invalid - Not Informed", I7401="Invalid - Ambiguous"), "Gap - Invalid Consent", "Compliant")))))</f>
        <v/>
      </c>
      <c r="O7401" s="7" t="n"/>
    </row>
    <row r="7402">
      <c r="A7402" s="7" t="n"/>
      <c r="B7402" s="7" t="n"/>
      <c r="C7402" s="7" t="n"/>
      <c r="D7402" s="7" t="n"/>
      <c r="E7402" s="7" t="n"/>
      <c r="F7402" s="7" t="n"/>
      <c r="G7402" s="7" t="n"/>
      <c r="H7402" s="7" t="n"/>
      <c r="I7402" s="7" t="n"/>
      <c r="J7402" s="7" t="n"/>
      <c r="K7402">
        <f>IF(D7402="Legitimate Interest (GDPR Art. 6(1)(f))", "Yes / Required (Sheet 3)", "")</f>
        <v/>
      </c>
      <c r="L7402" s="7" t="n"/>
      <c r="M7402" s="7" t="n"/>
      <c r="N7402">
        <f>IF(D7402="", "Gap - No Legal Basis", IF(AND(D7402="Consent (GDPR Art. 6(1)(a))", I7402="Not Captured"), "Gap - Invalid Consent", IF(AND(D7402="Legitimate Interest (GDPR Art. 6(1)(f))", L7402=""), "Gap - Missing LIA", IF(AND(G7402="Yes", H7402=""), "Gap - Missing Art. 9 Basis", IF(OR(I7402="Invalid - Not Freely Given", I7402="Invalid - Not Specific", I7402="Invalid - Not Informed", I7402="Invalid - Ambiguous"), "Gap - Invalid Consent", "Compliant")))))</f>
        <v/>
      </c>
      <c r="O7402" s="7" t="n"/>
    </row>
    <row r="7403">
      <c r="A7403" s="7" t="n"/>
      <c r="B7403" s="7" t="n"/>
      <c r="C7403" s="7" t="n"/>
      <c r="D7403" s="7" t="n"/>
      <c r="E7403" s="7" t="n"/>
      <c r="F7403" s="7" t="n"/>
      <c r="G7403" s="7" t="n"/>
      <c r="H7403" s="7" t="n"/>
      <c r="I7403" s="7" t="n"/>
      <c r="J7403" s="7" t="n"/>
      <c r="K7403">
        <f>IF(D7403="Legitimate Interest (GDPR Art. 6(1)(f))", "Yes / Required (Sheet 3)", "")</f>
        <v/>
      </c>
      <c r="L7403" s="7" t="n"/>
      <c r="M7403" s="7" t="n"/>
      <c r="N7403">
        <f>IF(D7403="", "Gap - No Legal Basis", IF(AND(D7403="Consent (GDPR Art. 6(1)(a))", I7403="Not Captured"), "Gap - Invalid Consent", IF(AND(D7403="Legitimate Interest (GDPR Art. 6(1)(f))", L7403=""), "Gap - Missing LIA", IF(AND(G7403="Yes", H7403=""), "Gap - Missing Art. 9 Basis", IF(OR(I7403="Invalid - Not Freely Given", I7403="Invalid - Not Specific", I7403="Invalid - Not Informed", I7403="Invalid - Ambiguous"), "Gap - Invalid Consent", "Compliant")))))</f>
        <v/>
      </c>
      <c r="O7403" s="7" t="n"/>
    </row>
    <row r="7404">
      <c r="A7404" s="7" t="n"/>
      <c r="B7404" s="7" t="n"/>
      <c r="C7404" s="7" t="n"/>
      <c r="D7404" s="7" t="n"/>
      <c r="E7404" s="7" t="n"/>
      <c r="F7404" s="7" t="n"/>
      <c r="G7404" s="7" t="n"/>
      <c r="H7404" s="7" t="n"/>
      <c r="I7404" s="7" t="n"/>
      <c r="J7404" s="7" t="n"/>
      <c r="K7404">
        <f>IF(D7404="Legitimate Interest (GDPR Art. 6(1)(f))", "Yes / Required (Sheet 3)", "")</f>
        <v/>
      </c>
      <c r="L7404" s="7" t="n"/>
      <c r="M7404" s="7" t="n"/>
      <c r="N7404">
        <f>IF(D7404="", "Gap - No Legal Basis", IF(AND(D7404="Consent (GDPR Art. 6(1)(a))", I7404="Not Captured"), "Gap - Invalid Consent", IF(AND(D7404="Legitimate Interest (GDPR Art. 6(1)(f))", L7404=""), "Gap - Missing LIA", IF(AND(G7404="Yes", H7404=""), "Gap - Missing Art. 9 Basis", IF(OR(I7404="Invalid - Not Freely Given", I7404="Invalid - Not Specific", I7404="Invalid - Not Informed", I7404="Invalid - Ambiguous"), "Gap - Invalid Consent", "Compliant")))))</f>
        <v/>
      </c>
      <c r="O7404" s="7" t="n"/>
    </row>
    <row r="7405">
      <c r="A7405" s="7" t="n"/>
      <c r="B7405" s="7" t="n"/>
      <c r="C7405" s="7" t="n"/>
      <c r="D7405" s="7" t="n"/>
      <c r="E7405" s="7" t="n"/>
      <c r="F7405" s="7" t="n"/>
      <c r="G7405" s="7" t="n"/>
      <c r="H7405" s="7" t="n"/>
      <c r="I7405" s="7" t="n"/>
      <c r="J7405" s="7" t="n"/>
      <c r="K7405">
        <f>IF(D7405="Legitimate Interest (GDPR Art. 6(1)(f))", "Yes / Required (Sheet 3)", "")</f>
        <v/>
      </c>
      <c r="L7405" s="7" t="n"/>
      <c r="M7405" s="7" t="n"/>
      <c r="N7405">
        <f>IF(D7405="", "Gap - No Legal Basis", IF(AND(D7405="Consent (GDPR Art. 6(1)(a))", I7405="Not Captured"), "Gap - Invalid Consent", IF(AND(D7405="Legitimate Interest (GDPR Art. 6(1)(f))", L7405=""), "Gap - Missing LIA", IF(AND(G7405="Yes", H7405=""), "Gap - Missing Art. 9 Basis", IF(OR(I7405="Invalid - Not Freely Given", I7405="Invalid - Not Specific", I7405="Invalid - Not Informed", I7405="Invalid - Ambiguous"), "Gap - Invalid Consent", "Compliant")))))</f>
        <v/>
      </c>
      <c r="O7405" s="7" t="n"/>
    </row>
    <row r="7406">
      <c r="A7406" s="7" t="n"/>
      <c r="B7406" s="7" t="n"/>
      <c r="C7406" s="7" t="n"/>
      <c r="D7406" s="7" t="n"/>
      <c r="E7406" s="7" t="n"/>
      <c r="F7406" s="7" t="n"/>
      <c r="G7406" s="7" t="n"/>
      <c r="H7406" s="7" t="n"/>
      <c r="I7406" s="7" t="n"/>
      <c r="J7406" s="7" t="n"/>
      <c r="K7406">
        <f>IF(D7406="Legitimate Interest (GDPR Art. 6(1)(f))", "Yes / Required (Sheet 3)", "")</f>
        <v/>
      </c>
      <c r="L7406" s="7" t="n"/>
      <c r="M7406" s="7" t="n"/>
      <c r="N7406">
        <f>IF(D7406="", "Gap - No Legal Basis", IF(AND(D7406="Consent (GDPR Art. 6(1)(a))", I7406="Not Captured"), "Gap - Invalid Consent", IF(AND(D7406="Legitimate Interest (GDPR Art. 6(1)(f))", L7406=""), "Gap - Missing LIA", IF(AND(G7406="Yes", H7406=""), "Gap - Missing Art. 9 Basis", IF(OR(I7406="Invalid - Not Freely Given", I7406="Invalid - Not Specific", I7406="Invalid - Not Informed", I7406="Invalid - Ambiguous"), "Gap - Invalid Consent", "Compliant")))))</f>
        <v/>
      </c>
      <c r="O7406" s="7" t="n"/>
    </row>
    <row r="7407">
      <c r="A7407" s="7" t="n"/>
      <c r="B7407" s="7" t="n"/>
      <c r="C7407" s="7" t="n"/>
      <c r="D7407" s="7" t="n"/>
      <c r="E7407" s="7" t="n"/>
      <c r="F7407" s="7" t="n"/>
      <c r="G7407" s="7" t="n"/>
      <c r="H7407" s="7" t="n"/>
      <c r="I7407" s="7" t="n"/>
      <c r="J7407" s="7" t="n"/>
      <c r="K7407">
        <f>IF(D7407="Legitimate Interest (GDPR Art. 6(1)(f))", "Yes / Required (Sheet 3)", "")</f>
        <v/>
      </c>
      <c r="L7407" s="7" t="n"/>
      <c r="M7407" s="7" t="n"/>
      <c r="N7407">
        <f>IF(D7407="", "Gap - No Legal Basis", IF(AND(D7407="Consent (GDPR Art. 6(1)(a))", I7407="Not Captured"), "Gap - Invalid Consent", IF(AND(D7407="Legitimate Interest (GDPR Art. 6(1)(f))", L7407=""), "Gap - Missing LIA", IF(AND(G7407="Yes", H7407=""), "Gap - Missing Art. 9 Basis", IF(OR(I7407="Invalid - Not Freely Given", I7407="Invalid - Not Specific", I7407="Invalid - Not Informed", I7407="Invalid - Ambiguous"), "Gap - Invalid Consent", "Compliant")))))</f>
        <v/>
      </c>
      <c r="O7407" s="7" t="n"/>
    </row>
    <row r="7408">
      <c r="A7408" s="7" t="n"/>
      <c r="B7408" s="7" t="n"/>
      <c r="C7408" s="7" t="n"/>
      <c r="D7408" s="7" t="n"/>
      <c r="E7408" s="7" t="n"/>
      <c r="F7408" s="7" t="n"/>
      <c r="G7408" s="7" t="n"/>
      <c r="H7408" s="7" t="n"/>
      <c r="I7408" s="7" t="n"/>
      <c r="J7408" s="7" t="n"/>
      <c r="K7408">
        <f>IF(D7408="Legitimate Interest (GDPR Art. 6(1)(f))", "Yes / Required (Sheet 3)", "")</f>
        <v/>
      </c>
      <c r="L7408" s="7" t="n"/>
      <c r="M7408" s="7" t="n"/>
      <c r="N7408">
        <f>IF(D7408="", "Gap - No Legal Basis", IF(AND(D7408="Consent (GDPR Art. 6(1)(a))", I7408="Not Captured"), "Gap - Invalid Consent", IF(AND(D7408="Legitimate Interest (GDPR Art. 6(1)(f))", L7408=""), "Gap - Missing LIA", IF(AND(G7408="Yes", H7408=""), "Gap - Missing Art. 9 Basis", IF(OR(I7408="Invalid - Not Freely Given", I7408="Invalid - Not Specific", I7408="Invalid - Not Informed", I7408="Invalid - Ambiguous"), "Gap - Invalid Consent", "Compliant")))))</f>
        <v/>
      </c>
      <c r="O7408" s="7" t="n"/>
    </row>
    <row r="7409">
      <c r="A7409" s="7" t="n"/>
      <c r="B7409" s="7" t="n"/>
      <c r="C7409" s="7" t="n"/>
      <c r="D7409" s="7" t="n"/>
      <c r="E7409" s="7" t="n"/>
      <c r="F7409" s="7" t="n"/>
      <c r="G7409" s="7" t="n"/>
      <c r="H7409" s="7" t="n"/>
      <c r="I7409" s="7" t="n"/>
      <c r="J7409" s="7" t="n"/>
      <c r="K7409">
        <f>IF(D7409="Legitimate Interest (GDPR Art. 6(1)(f))", "Yes / Required (Sheet 3)", "")</f>
        <v/>
      </c>
      <c r="L7409" s="7" t="n"/>
      <c r="M7409" s="7" t="n"/>
      <c r="N7409">
        <f>IF(D7409="", "Gap - No Legal Basis", IF(AND(D7409="Consent (GDPR Art. 6(1)(a))", I7409="Not Captured"), "Gap - Invalid Consent", IF(AND(D7409="Legitimate Interest (GDPR Art. 6(1)(f))", L7409=""), "Gap - Missing LIA", IF(AND(G7409="Yes", H7409=""), "Gap - Missing Art. 9 Basis", IF(OR(I7409="Invalid - Not Freely Given", I7409="Invalid - Not Specific", I7409="Invalid - Not Informed", I7409="Invalid - Ambiguous"), "Gap - Invalid Consent", "Compliant")))))</f>
        <v/>
      </c>
      <c r="O7409" s="7" t="n"/>
    </row>
    <row r="7410">
      <c r="A7410" s="7" t="n"/>
      <c r="B7410" s="7" t="n"/>
      <c r="C7410" s="7" t="n"/>
      <c r="D7410" s="7" t="n"/>
      <c r="E7410" s="7" t="n"/>
      <c r="F7410" s="7" t="n"/>
      <c r="G7410" s="7" t="n"/>
      <c r="H7410" s="7" t="n"/>
      <c r="I7410" s="7" t="n"/>
      <c r="J7410" s="7" t="n"/>
      <c r="K7410">
        <f>IF(D7410="Legitimate Interest (GDPR Art. 6(1)(f))", "Yes / Required (Sheet 3)", "")</f>
        <v/>
      </c>
      <c r="L7410" s="7" t="n"/>
      <c r="M7410" s="7" t="n"/>
      <c r="N7410">
        <f>IF(D7410="", "Gap - No Legal Basis", IF(AND(D7410="Consent (GDPR Art. 6(1)(a))", I7410="Not Captured"), "Gap - Invalid Consent", IF(AND(D7410="Legitimate Interest (GDPR Art. 6(1)(f))", L7410=""), "Gap - Missing LIA", IF(AND(G7410="Yes", H7410=""), "Gap - Missing Art. 9 Basis", IF(OR(I7410="Invalid - Not Freely Given", I7410="Invalid - Not Specific", I7410="Invalid - Not Informed", I7410="Invalid - Ambiguous"), "Gap - Invalid Consent", "Compliant")))))</f>
        <v/>
      </c>
      <c r="O7410" s="7" t="n"/>
    </row>
    <row r="7411">
      <c r="A7411" s="7" t="n"/>
      <c r="B7411" s="7" t="n"/>
      <c r="C7411" s="7" t="n"/>
      <c r="D7411" s="7" t="n"/>
      <c r="E7411" s="7" t="n"/>
      <c r="F7411" s="7" t="n"/>
      <c r="G7411" s="7" t="n"/>
      <c r="H7411" s="7" t="n"/>
      <c r="I7411" s="7" t="n"/>
      <c r="J7411" s="7" t="n"/>
      <c r="K7411">
        <f>IF(D7411="Legitimate Interest (GDPR Art. 6(1)(f))", "Yes / Required (Sheet 3)", "")</f>
        <v/>
      </c>
      <c r="L7411" s="7" t="n"/>
      <c r="M7411" s="7" t="n"/>
      <c r="N7411">
        <f>IF(D7411="", "Gap - No Legal Basis", IF(AND(D7411="Consent (GDPR Art. 6(1)(a))", I7411="Not Captured"), "Gap - Invalid Consent", IF(AND(D7411="Legitimate Interest (GDPR Art. 6(1)(f))", L7411=""), "Gap - Missing LIA", IF(AND(G7411="Yes", H7411=""), "Gap - Missing Art. 9 Basis", IF(OR(I7411="Invalid - Not Freely Given", I7411="Invalid - Not Specific", I7411="Invalid - Not Informed", I7411="Invalid - Ambiguous"), "Gap - Invalid Consent", "Compliant")))))</f>
        <v/>
      </c>
      <c r="O7411" s="7" t="n"/>
    </row>
    <row r="7412">
      <c r="A7412" s="7" t="n"/>
      <c r="B7412" s="7" t="n"/>
      <c r="C7412" s="7" t="n"/>
      <c r="D7412" s="7" t="n"/>
      <c r="E7412" s="7" t="n"/>
      <c r="F7412" s="7" t="n"/>
      <c r="G7412" s="7" t="n"/>
      <c r="H7412" s="7" t="n"/>
      <c r="I7412" s="7" t="n"/>
      <c r="J7412" s="7" t="n"/>
      <c r="K7412">
        <f>IF(D7412="Legitimate Interest (GDPR Art. 6(1)(f))", "Yes / Required (Sheet 3)", "")</f>
        <v/>
      </c>
      <c r="L7412" s="7" t="n"/>
      <c r="M7412" s="7" t="n"/>
      <c r="N7412">
        <f>IF(D7412="", "Gap - No Legal Basis", IF(AND(D7412="Consent (GDPR Art. 6(1)(a))", I7412="Not Captured"), "Gap - Invalid Consent", IF(AND(D7412="Legitimate Interest (GDPR Art. 6(1)(f))", L7412=""), "Gap - Missing LIA", IF(AND(G7412="Yes", H7412=""), "Gap - Missing Art. 9 Basis", IF(OR(I7412="Invalid - Not Freely Given", I7412="Invalid - Not Specific", I7412="Invalid - Not Informed", I7412="Invalid - Ambiguous"), "Gap - Invalid Consent", "Compliant")))))</f>
        <v/>
      </c>
      <c r="O7412" s="7" t="n"/>
    </row>
    <row r="7413">
      <c r="A7413" s="7" t="n"/>
      <c r="B7413" s="7" t="n"/>
      <c r="C7413" s="7" t="n"/>
      <c r="D7413" s="7" t="n"/>
      <c r="E7413" s="7" t="n"/>
      <c r="F7413" s="7" t="n"/>
      <c r="G7413" s="7" t="n"/>
      <c r="H7413" s="7" t="n"/>
      <c r="I7413" s="7" t="n"/>
      <c r="J7413" s="7" t="n"/>
      <c r="K7413">
        <f>IF(D7413="Legitimate Interest (GDPR Art. 6(1)(f))", "Yes / Required (Sheet 3)", "")</f>
        <v/>
      </c>
      <c r="L7413" s="7" t="n"/>
      <c r="M7413" s="7" t="n"/>
      <c r="N7413">
        <f>IF(D7413="", "Gap - No Legal Basis", IF(AND(D7413="Consent (GDPR Art. 6(1)(a))", I7413="Not Captured"), "Gap - Invalid Consent", IF(AND(D7413="Legitimate Interest (GDPR Art. 6(1)(f))", L7413=""), "Gap - Missing LIA", IF(AND(G7413="Yes", H7413=""), "Gap - Missing Art. 9 Basis", IF(OR(I7413="Invalid - Not Freely Given", I7413="Invalid - Not Specific", I7413="Invalid - Not Informed", I7413="Invalid - Ambiguous"), "Gap - Invalid Consent", "Compliant")))))</f>
        <v/>
      </c>
      <c r="O7413" s="7" t="n"/>
    </row>
    <row r="7414">
      <c r="A7414" s="7" t="n"/>
      <c r="B7414" s="7" t="n"/>
      <c r="C7414" s="7" t="n"/>
      <c r="D7414" s="7" t="n"/>
      <c r="E7414" s="7" t="n"/>
      <c r="F7414" s="7" t="n"/>
      <c r="G7414" s="7" t="n"/>
      <c r="H7414" s="7" t="n"/>
      <c r="I7414" s="7" t="n"/>
      <c r="J7414" s="7" t="n"/>
      <c r="K7414">
        <f>IF(D7414="Legitimate Interest (GDPR Art. 6(1)(f))", "Yes / Required (Sheet 3)", "")</f>
        <v/>
      </c>
      <c r="L7414" s="7" t="n"/>
      <c r="M7414" s="7" t="n"/>
      <c r="N7414">
        <f>IF(D7414="", "Gap - No Legal Basis", IF(AND(D7414="Consent (GDPR Art. 6(1)(a))", I7414="Not Captured"), "Gap - Invalid Consent", IF(AND(D7414="Legitimate Interest (GDPR Art. 6(1)(f))", L7414=""), "Gap - Missing LIA", IF(AND(G7414="Yes", H7414=""), "Gap - Missing Art. 9 Basis", IF(OR(I7414="Invalid - Not Freely Given", I7414="Invalid - Not Specific", I7414="Invalid - Not Informed", I7414="Invalid - Ambiguous"), "Gap - Invalid Consent", "Compliant")))))</f>
        <v/>
      </c>
      <c r="O7414" s="7" t="n"/>
    </row>
    <row r="7415">
      <c r="A7415" s="7" t="n"/>
      <c r="B7415" s="7" t="n"/>
      <c r="C7415" s="7" t="n"/>
      <c r="D7415" s="7" t="n"/>
      <c r="E7415" s="7" t="n"/>
      <c r="F7415" s="7" t="n"/>
      <c r="G7415" s="7" t="n"/>
      <c r="H7415" s="7" t="n"/>
      <c r="I7415" s="7" t="n"/>
      <c r="J7415" s="7" t="n"/>
      <c r="K7415">
        <f>IF(D7415="Legitimate Interest (GDPR Art. 6(1)(f))", "Yes / Required (Sheet 3)", "")</f>
        <v/>
      </c>
      <c r="L7415" s="7" t="n"/>
      <c r="M7415" s="7" t="n"/>
      <c r="N7415">
        <f>IF(D7415="", "Gap - No Legal Basis", IF(AND(D7415="Consent (GDPR Art. 6(1)(a))", I7415="Not Captured"), "Gap - Invalid Consent", IF(AND(D7415="Legitimate Interest (GDPR Art. 6(1)(f))", L7415=""), "Gap - Missing LIA", IF(AND(G7415="Yes", H7415=""), "Gap - Missing Art. 9 Basis", IF(OR(I7415="Invalid - Not Freely Given", I7415="Invalid - Not Specific", I7415="Invalid - Not Informed", I7415="Invalid - Ambiguous"), "Gap - Invalid Consent", "Compliant")))))</f>
        <v/>
      </c>
      <c r="O7415" s="7" t="n"/>
    </row>
    <row r="7416">
      <c r="A7416" s="7" t="n"/>
      <c r="B7416" s="7" t="n"/>
      <c r="C7416" s="7" t="n"/>
      <c r="D7416" s="7" t="n"/>
      <c r="E7416" s="7" t="n"/>
      <c r="F7416" s="7" t="n"/>
      <c r="G7416" s="7" t="n"/>
      <c r="H7416" s="7" t="n"/>
      <c r="I7416" s="7" t="n"/>
      <c r="J7416" s="7" t="n"/>
      <c r="K7416">
        <f>IF(D7416="Legitimate Interest (GDPR Art. 6(1)(f))", "Yes / Required (Sheet 3)", "")</f>
        <v/>
      </c>
      <c r="L7416" s="7" t="n"/>
      <c r="M7416" s="7" t="n"/>
      <c r="N7416">
        <f>IF(D7416="", "Gap - No Legal Basis", IF(AND(D7416="Consent (GDPR Art. 6(1)(a))", I7416="Not Captured"), "Gap - Invalid Consent", IF(AND(D7416="Legitimate Interest (GDPR Art. 6(1)(f))", L7416=""), "Gap - Missing LIA", IF(AND(G7416="Yes", H7416=""), "Gap - Missing Art. 9 Basis", IF(OR(I7416="Invalid - Not Freely Given", I7416="Invalid - Not Specific", I7416="Invalid - Not Informed", I7416="Invalid - Ambiguous"), "Gap - Invalid Consent", "Compliant")))))</f>
        <v/>
      </c>
      <c r="O7416" s="7" t="n"/>
    </row>
    <row r="7417">
      <c r="A7417" s="7" t="n"/>
      <c r="B7417" s="7" t="n"/>
      <c r="C7417" s="7" t="n"/>
      <c r="D7417" s="7" t="n"/>
      <c r="E7417" s="7" t="n"/>
      <c r="F7417" s="7" t="n"/>
      <c r="G7417" s="7" t="n"/>
      <c r="H7417" s="7" t="n"/>
      <c r="I7417" s="7" t="n"/>
      <c r="J7417" s="7" t="n"/>
      <c r="K7417">
        <f>IF(D7417="Legitimate Interest (GDPR Art. 6(1)(f))", "Yes / Required (Sheet 3)", "")</f>
        <v/>
      </c>
      <c r="L7417" s="7" t="n"/>
      <c r="M7417" s="7" t="n"/>
      <c r="N7417">
        <f>IF(D7417="", "Gap - No Legal Basis", IF(AND(D7417="Consent (GDPR Art. 6(1)(a))", I7417="Not Captured"), "Gap - Invalid Consent", IF(AND(D7417="Legitimate Interest (GDPR Art. 6(1)(f))", L7417=""), "Gap - Missing LIA", IF(AND(G7417="Yes", H7417=""), "Gap - Missing Art. 9 Basis", IF(OR(I7417="Invalid - Not Freely Given", I7417="Invalid - Not Specific", I7417="Invalid - Not Informed", I7417="Invalid - Ambiguous"), "Gap - Invalid Consent", "Compliant")))))</f>
        <v/>
      </c>
      <c r="O7417" s="7" t="n"/>
    </row>
    <row r="7418">
      <c r="A7418" s="7" t="n"/>
      <c r="B7418" s="7" t="n"/>
      <c r="C7418" s="7" t="n"/>
      <c r="D7418" s="7" t="n"/>
      <c r="E7418" s="7" t="n"/>
      <c r="F7418" s="7" t="n"/>
      <c r="G7418" s="7" t="n"/>
      <c r="H7418" s="7" t="n"/>
      <c r="I7418" s="7" t="n"/>
      <c r="J7418" s="7" t="n"/>
      <c r="K7418">
        <f>IF(D7418="Legitimate Interest (GDPR Art. 6(1)(f))", "Yes / Required (Sheet 3)", "")</f>
        <v/>
      </c>
      <c r="L7418" s="7" t="n"/>
      <c r="M7418" s="7" t="n"/>
      <c r="N7418">
        <f>IF(D7418="", "Gap - No Legal Basis", IF(AND(D7418="Consent (GDPR Art. 6(1)(a))", I7418="Not Captured"), "Gap - Invalid Consent", IF(AND(D7418="Legitimate Interest (GDPR Art. 6(1)(f))", L7418=""), "Gap - Missing LIA", IF(AND(G7418="Yes", H7418=""), "Gap - Missing Art. 9 Basis", IF(OR(I7418="Invalid - Not Freely Given", I7418="Invalid - Not Specific", I7418="Invalid - Not Informed", I7418="Invalid - Ambiguous"), "Gap - Invalid Consent", "Compliant")))))</f>
        <v/>
      </c>
      <c r="O7418" s="7" t="n"/>
    </row>
    <row r="7419">
      <c r="A7419" s="7" t="n"/>
      <c r="B7419" s="7" t="n"/>
      <c r="C7419" s="7" t="n"/>
      <c r="D7419" s="7" t="n"/>
      <c r="E7419" s="7" t="n"/>
      <c r="F7419" s="7" t="n"/>
      <c r="G7419" s="7" t="n"/>
      <c r="H7419" s="7" t="n"/>
      <c r="I7419" s="7" t="n"/>
      <c r="J7419" s="7" t="n"/>
      <c r="K7419">
        <f>IF(D7419="Legitimate Interest (GDPR Art. 6(1)(f))", "Yes / Required (Sheet 3)", "")</f>
        <v/>
      </c>
      <c r="L7419" s="7" t="n"/>
      <c r="M7419" s="7" t="n"/>
      <c r="N7419">
        <f>IF(D7419="", "Gap - No Legal Basis", IF(AND(D7419="Consent (GDPR Art. 6(1)(a))", I7419="Not Captured"), "Gap - Invalid Consent", IF(AND(D7419="Legitimate Interest (GDPR Art. 6(1)(f))", L7419=""), "Gap - Missing LIA", IF(AND(G7419="Yes", H7419=""), "Gap - Missing Art. 9 Basis", IF(OR(I7419="Invalid - Not Freely Given", I7419="Invalid - Not Specific", I7419="Invalid - Not Informed", I7419="Invalid - Ambiguous"), "Gap - Invalid Consent", "Compliant")))))</f>
        <v/>
      </c>
      <c r="O7419" s="7" t="n"/>
    </row>
    <row r="7420">
      <c r="A7420" s="7" t="n"/>
      <c r="B7420" s="7" t="n"/>
      <c r="C7420" s="7" t="n"/>
      <c r="D7420" s="7" t="n"/>
      <c r="E7420" s="7" t="n"/>
      <c r="F7420" s="7" t="n"/>
      <c r="G7420" s="7" t="n"/>
      <c r="H7420" s="7" t="n"/>
      <c r="I7420" s="7" t="n"/>
      <c r="J7420" s="7" t="n"/>
      <c r="K7420">
        <f>IF(D7420="Legitimate Interest (GDPR Art. 6(1)(f))", "Yes / Required (Sheet 3)", "")</f>
        <v/>
      </c>
      <c r="L7420" s="7" t="n"/>
      <c r="M7420" s="7" t="n"/>
      <c r="N7420">
        <f>IF(D7420="", "Gap - No Legal Basis", IF(AND(D7420="Consent (GDPR Art. 6(1)(a))", I7420="Not Captured"), "Gap - Invalid Consent", IF(AND(D7420="Legitimate Interest (GDPR Art. 6(1)(f))", L7420=""), "Gap - Missing LIA", IF(AND(G7420="Yes", H7420=""), "Gap - Missing Art. 9 Basis", IF(OR(I7420="Invalid - Not Freely Given", I7420="Invalid - Not Specific", I7420="Invalid - Not Informed", I7420="Invalid - Ambiguous"), "Gap - Invalid Consent", "Compliant")))))</f>
        <v/>
      </c>
      <c r="O7420" s="7" t="n"/>
    </row>
    <row r="7421">
      <c r="A7421" s="7" t="n"/>
      <c r="B7421" s="7" t="n"/>
      <c r="C7421" s="7" t="n"/>
      <c r="D7421" s="7" t="n"/>
      <c r="E7421" s="7" t="n"/>
      <c r="F7421" s="7" t="n"/>
      <c r="G7421" s="7" t="n"/>
      <c r="H7421" s="7" t="n"/>
      <c r="I7421" s="7" t="n"/>
      <c r="J7421" s="7" t="n"/>
      <c r="K7421">
        <f>IF(D7421="Legitimate Interest (GDPR Art. 6(1)(f))", "Yes / Required (Sheet 3)", "")</f>
        <v/>
      </c>
      <c r="L7421" s="7" t="n"/>
      <c r="M7421" s="7" t="n"/>
      <c r="N7421">
        <f>IF(D7421="", "Gap - No Legal Basis", IF(AND(D7421="Consent (GDPR Art. 6(1)(a))", I7421="Not Captured"), "Gap - Invalid Consent", IF(AND(D7421="Legitimate Interest (GDPR Art. 6(1)(f))", L7421=""), "Gap - Missing LIA", IF(AND(G7421="Yes", H7421=""), "Gap - Missing Art. 9 Basis", IF(OR(I7421="Invalid - Not Freely Given", I7421="Invalid - Not Specific", I7421="Invalid - Not Informed", I7421="Invalid - Ambiguous"), "Gap - Invalid Consent", "Compliant")))))</f>
        <v/>
      </c>
      <c r="O7421" s="7" t="n"/>
    </row>
    <row r="7422">
      <c r="A7422" s="7" t="n"/>
      <c r="B7422" s="7" t="n"/>
      <c r="C7422" s="7" t="n"/>
      <c r="D7422" s="7" t="n"/>
      <c r="E7422" s="7" t="n"/>
      <c r="F7422" s="7" t="n"/>
      <c r="G7422" s="7" t="n"/>
      <c r="H7422" s="7" t="n"/>
      <c r="I7422" s="7" t="n"/>
      <c r="J7422" s="7" t="n"/>
      <c r="K7422">
        <f>IF(D7422="Legitimate Interest (GDPR Art. 6(1)(f))", "Yes / Required (Sheet 3)", "")</f>
        <v/>
      </c>
      <c r="L7422" s="7" t="n"/>
      <c r="M7422" s="7" t="n"/>
      <c r="N7422">
        <f>IF(D7422="", "Gap - No Legal Basis", IF(AND(D7422="Consent (GDPR Art. 6(1)(a))", I7422="Not Captured"), "Gap - Invalid Consent", IF(AND(D7422="Legitimate Interest (GDPR Art. 6(1)(f))", L7422=""), "Gap - Missing LIA", IF(AND(G7422="Yes", H7422=""), "Gap - Missing Art. 9 Basis", IF(OR(I7422="Invalid - Not Freely Given", I7422="Invalid - Not Specific", I7422="Invalid - Not Informed", I7422="Invalid - Ambiguous"), "Gap - Invalid Consent", "Compliant")))))</f>
        <v/>
      </c>
      <c r="O7422" s="7" t="n"/>
    </row>
    <row r="7423">
      <c r="A7423" s="7" t="n"/>
      <c r="B7423" s="7" t="n"/>
      <c r="C7423" s="7" t="n"/>
      <c r="D7423" s="7" t="n"/>
      <c r="E7423" s="7" t="n"/>
      <c r="F7423" s="7" t="n"/>
      <c r="G7423" s="7" t="n"/>
      <c r="H7423" s="7" t="n"/>
      <c r="I7423" s="7" t="n"/>
      <c r="J7423" s="7" t="n"/>
      <c r="K7423">
        <f>IF(D7423="Legitimate Interest (GDPR Art. 6(1)(f))", "Yes / Required (Sheet 3)", "")</f>
        <v/>
      </c>
      <c r="L7423" s="7" t="n"/>
      <c r="M7423" s="7" t="n"/>
      <c r="N7423">
        <f>IF(D7423="", "Gap - No Legal Basis", IF(AND(D7423="Consent (GDPR Art. 6(1)(a))", I7423="Not Captured"), "Gap - Invalid Consent", IF(AND(D7423="Legitimate Interest (GDPR Art. 6(1)(f))", L7423=""), "Gap - Missing LIA", IF(AND(G7423="Yes", H7423=""), "Gap - Missing Art. 9 Basis", IF(OR(I7423="Invalid - Not Freely Given", I7423="Invalid - Not Specific", I7423="Invalid - Not Informed", I7423="Invalid - Ambiguous"), "Gap - Invalid Consent", "Compliant")))))</f>
        <v/>
      </c>
      <c r="O7423" s="7" t="n"/>
    </row>
    <row r="7424">
      <c r="A7424" s="7" t="n"/>
      <c r="B7424" s="7" t="n"/>
      <c r="C7424" s="7" t="n"/>
      <c r="D7424" s="7" t="n"/>
      <c r="E7424" s="7" t="n"/>
      <c r="F7424" s="7" t="n"/>
      <c r="G7424" s="7" t="n"/>
      <c r="H7424" s="7" t="n"/>
      <c r="I7424" s="7" t="n"/>
      <c r="J7424" s="7" t="n"/>
      <c r="K7424">
        <f>IF(D7424="Legitimate Interest (GDPR Art. 6(1)(f))", "Yes / Required (Sheet 3)", "")</f>
        <v/>
      </c>
      <c r="L7424" s="7" t="n"/>
      <c r="M7424" s="7" t="n"/>
      <c r="N7424">
        <f>IF(D7424="", "Gap - No Legal Basis", IF(AND(D7424="Consent (GDPR Art. 6(1)(a))", I7424="Not Captured"), "Gap - Invalid Consent", IF(AND(D7424="Legitimate Interest (GDPR Art. 6(1)(f))", L7424=""), "Gap - Missing LIA", IF(AND(G7424="Yes", H7424=""), "Gap - Missing Art. 9 Basis", IF(OR(I7424="Invalid - Not Freely Given", I7424="Invalid - Not Specific", I7424="Invalid - Not Informed", I7424="Invalid - Ambiguous"), "Gap - Invalid Consent", "Compliant")))))</f>
        <v/>
      </c>
      <c r="O7424" s="7" t="n"/>
    </row>
    <row r="7425">
      <c r="A7425" s="7" t="n"/>
      <c r="B7425" s="7" t="n"/>
      <c r="C7425" s="7" t="n"/>
      <c r="D7425" s="7" t="n"/>
      <c r="E7425" s="7" t="n"/>
      <c r="F7425" s="7" t="n"/>
      <c r="G7425" s="7" t="n"/>
      <c r="H7425" s="7" t="n"/>
      <c r="I7425" s="7" t="n"/>
      <c r="J7425" s="7" t="n"/>
      <c r="K7425">
        <f>IF(D7425="Legitimate Interest (GDPR Art. 6(1)(f))", "Yes / Required (Sheet 3)", "")</f>
        <v/>
      </c>
      <c r="L7425" s="7" t="n"/>
      <c r="M7425" s="7" t="n"/>
      <c r="N7425">
        <f>IF(D7425="", "Gap - No Legal Basis", IF(AND(D7425="Consent (GDPR Art. 6(1)(a))", I7425="Not Captured"), "Gap - Invalid Consent", IF(AND(D7425="Legitimate Interest (GDPR Art. 6(1)(f))", L7425=""), "Gap - Missing LIA", IF(AND(G7425="Yes", H7425=""), "Gap - Missing Art. 9 Basis", IF(OR(I7425="Invalid - Not Freely Given", I7425="Invalid - Not Specific", I7425="Invalid - Not Informed", I7425="Invalid - Ambiguous"), "Gap - Invalid Consent", "Compliant")))))</f>
        <v/>
      </c>
      <c r="O7425" s="7" t="n"/>
    </row>
    <row r="7426">
      <c r="A7426" s="7" t="n"/>
      <c r="B7426" s="7" t="n"/>
      <c r="C7426" s="7" t="n"/>
      <c r="D7426" s="7" t="n"/>
      <c r="E7426" s="7" t="n"/>
      <c r="F7426" s="7" t="n"/>
      <c r="G7426" s="7" t="n"/>
      <c r="H7426" s="7" t="n"/>
      <c r="I7426" s="7" t="n"/>
      <c r="J7426" s="7" t="n"/>
      <c r="K7426">
        <f>IF(D7426="Legitimate Interest (GDPR Art. 6(1)(f))", "Yes / Required (Sheet 3)", "")</f>
        <v/>
      </c>
      <c r="L7426" s="7" t="n"/>
      <c r="M7426" s="7" t="n"/>
      <c r="N7426">
        <f>IF(D7426="", "Gap - No Legal Basis", IF(AND(D7426="Consent (GDPR Art. 6(1)(a))", I7426="Not Captured"), "Gap - Invalid Consent", IF(AND(D7426="Legitimate Interest (GDPR Art. 6(1)(f))", L7426=""), "Gap - Missing LIA", IF(AND(G7426="Yes", H7426=""), "Gap - Missing Art. 9 Basis", IF(OR(I7426="Invalid - Not Freely Given", I7426="Invalid - Not Specific", I7426="Invalid - Not Informed", I7426="Invalid - Ambiguous"), "Gap - Invalid Consent", "Compliant")))))</f>
        <v/>
      </c>
      <c r="O7426" s="7" t="n"/>
    </row>
    <row r="7427">
      <c r="A7427" s="7" t="n"/>
      <c r="B7427" s="7" t="n"/>
      <c r="C7427" s="7" t="n"/>
      <c r="D7427" s="7" t="n"/>
      <c r="E7427" s="7" t="n"/>
      <c r="F7427" s="7" t="n"/>
      <c r="G7427" s="7" t="n"/>
      <c r="H7427" s="7" t="n"/>
      <c r="I7427" s="7" t="n"/>
      <c r="J7427" s="7" t="n"/>
      <c r="K7427">
        <f>IF(D7427="Legitimate Interest (GDPR Art. 6(1)(f))", "Yes / Required (Sheet 3)", "")</f>
        <v/>
      </c>
      <c r="L7427" s="7" t="n"/>
      <c r="M7427" s="7" t="n"/>
      <c r="N7427">
        <f>IF(D7427="", "Gap - No Legal Basis", IF(AND(D7427="Consent (GDPR Art. 6(1)(a))", I7427="Not Captured"), "Gap - Invalid Consent", IF(AND(D7427="Legitimate Interest (GDPR Art. 6(1)(f))", L7427=""), "Gap - Missing LIA", IF(AND(G7427="Yes", H7427=""), "Gap - Missing Art. 9 Basis", IF(OR(I7427="Invalid - Not Freely Given", I7427="Invalid - Not Specific", I7427="Invalid - Not Informed", I7427="Invalid - Ambiguous"), "Gap - Invalid Consent", "Compliant")))))</f>
        <v/>
      </c>
      <c r="O7427" s="7" t="n"/>
    </row>
    <row r="7428">
      <c r="A7428" s="7" t="n"/>
      <c r="B7428" s="7" t="n"/>
      <c r="C7428" s="7" t="n"/>
      <c r="D7428" s="7" t="n"/>
      <c r="E7428" s="7" t="n"/>
      <c r="F7428" s="7" t="n"/>
      <c r="G7428" s="7" t="n"/>
      <c r="H7428" s="7" t="n"/>
      <c r="I7428" s="7" t="n"/>
      <c r="J7428" s="7" t="n"/>
      <c r="K7428">
        <f>IF(D7428="Legitimate Interest (GDPR Art. 6(1)(f))", "Yes / Required (Sheet 3)", "")</f>
        <v/>
      </c>
      <c r="L7428" s="7" t="n"/>
      <c r="M7428" s="7" t="n"/>
      <c r="N7428">
        <f>IF(D7428="", "Gap - No Legal Basis", IF(AND(D7428="Consent (GDPR Art. 6(1)(a))", I7428="Not Captured"), "Gap - Invalid Consent", IF(AND(D7428="Legitimate Interest (GDPR Art. 6(1)(f))", L7428=""), "Gap - Missing LIA", IF(AND(G7428="Yes", H7428=""), "Gap - Missing Art. 9 Basis", IF(OR(I7428="Invalid - Not Freely Given", I7428="Invalid - Not Specific", I7428="Invalid - Not Informed", I7428="Invalid - Ambiguous"), "Gap - Invalid Consent", "Compliant")))))</f>
        <v/>
      </c>
      <c r="O7428" s="7" t="n"/>
    </row>
    <row r="7429">
      <c r="A7429" s="7" t="n"/>
      <c r="B7429" s="7" t="n"/>
      <c r="C7429" s="7" t="n"/>
      <c r="D7429" s="7" t="n"/>
      <c r="E7429" s="7" t="n"/>
      <c r="F7429" s="7" t="n"/>
      <c r="G7429" s="7" t="n"/>
      <c r="H7429" s="7" t="n"/>
      <c r="I7429" s="7" t="n"/>
      <c r="J7429" s="7" t="n"/>
      <c r="K7429">
        <f>IF(D7429="Legitimate Interest (GDPR Art. 6(1)(f))", "Yes / Required (Sheet 3)", "")</f>
        <v/>
      </c>
      <c r="L7429" s="7" t="n"/>
      <c r="M7429" s="7" t="n"/>
      <c r="N7429">
        <f>IF(D7429="", "Gap - No Legal Basis", IF(AND(D7429="Consent (GDPR Art. 6(1)(a))", I7429="Not Captured"), "Gap - Invalid Consent", IF(AND(D7429="Legitimate Interest (GDPR Art. 6(1)(f))", L7429=""), "Gap - Missing LIA", IF(AND(G7429="Yes", H7429=""), "Gap - Missing Art. 9 Basis", IF(OR(I7429="Invalid - Not Freely Given", I7429="Invalid - Not Specific", I7429="Invalid - Not Informed", I7429="Invalid - Ambiguous"), "Gap - Invalid Consent", "Compliant")))))</f>
        <v/>
      </c>
      <c r="O7429" s="7" t="n"/>
    </row>
    <row r="7430">
      <c r="A7430" s="7" t="n"/>
      <c r="B7430" s="7" t="n"/>
      <c r="C7430" s="7" t="n"/>
      <c r="D7430" s="7" t="n"/>
      <c r="E7430" s="7" t="n"/>
      <c r="F7430" s="7" t="n"/>
      <c r="G7430" s="7" t="n"/>
      <c r="H7430" s="7" t="n"/>
      <c r="I7430" s="7" t="n"/>
      <c r="J7430" s="7" t="n"/>
      <c r="K7430">
        <f>IF(D7430="Legitimate Interest (GDPR Art. 6(1)(f))", "Yes / Required (Sheet 3)", "")</f>
        <v/>
      </c>
      <c r="L7430" s="7" t="n"/>
      <c r="M7430" s="7" t="n"/>
      <c r="N7430">
        <f>IF(D7430="", "Gap - No Legal Basis", IF(AND(D7430="Consent (GDPR Art. 6(1)(a))", I7430="Not Captured"), "Gap - Invalid Consent", IF(AND(D7430="Legitimate Interest (GDPR Art. 6(1)(f))", L7430=""), "Gap - Missing LIA", IF(AND(G7430="Yes", H7430=""), "Gap - Missing Art. 9 Basis", IF(OR(I7430="Invalid - Not Freely Given", I7430="Invalid - Not Specific", I7430="Invalid - Not Informed", I7430="Invalid - Ambiguous"), "Gap - Invalid Consent", "Compliant")))))</f>
        <v/>
      </c>
      <c r="O7430" s="7" t="n"/>
    </row>
    <row r="7431">
      <c r="A7431" s="7" t="n"/>
      <c r="B7431" s="7" t="n"/>
      <c r="C7431" s="7" t="n"/>
      <c r="D7431" s="7" t="n"/>
      <c r="E7431" s="7" t="n"/>
      <c r="F7431" s="7" t="n"/>
      <c r="G7431" s="7" t="n"/>
      <c r="H7431" s="7" t="n"/>
      <c r="I7431" s="7" t="n"/>
      <c r="J7431" s="7" t="n"/>
      <c r="K7431">
        <f>IF(D7431="Legitimate Interest (GDPR Art. 6(1)(f))", "Yes / Required (Sheet 3)", "")</f>
        <v/>
      </c>
      <c r="L7431" s="7" t="n"/>
      <c r="M7431" s="7" t="n"/>
      <c r="N7431">
        <f>IF(D7431="", "Gap - No Legal Basis", IF(AND(D7431="Consent (GDPR Art. 6(1)(a))", I7431="Not Captured"), "Gap - Invalid Consent", IF(AND(D7431="Legitimate Interest (GDPR Art. 6(1)(f))", L7431=""), "Gap - Missing LIA", IF(AND(G7431="Yes", H7431=""), "Gap - Missing Art. 9 Basis", IF(OR(I7431="Invalid - Not Freely Given", I7431="Invalid - Not Specific", I7431="Invalid - Not Informed", I7431="Invalid - Ambiguous"), "Gap - Invalid Consent", "Compliant")))))</f>
        <v/>
      </c>
      <c r="O7431" s="7" t="n"/>
    </row>
    <row r="7432">
      <c r="A7432" s="7" t="n"/>
      <c r="B7432" s="7" t="n"/>
      <c r="C7432" s="7" t="n"/>
      <c r="D7432" s="7" t="n"/>
      <c r="E7432" s="7" t="n"/>
      <c r="F7432" s="7" t="n"/>
      <c r="G7432" s="7" t="n"/>
      <c r="H7432" s="7" t="n"/>
      <c r="I7432" s="7" t="n"/>
      <c r="J7432" s="7" t="n"/>
      <c r="K7432">
        <f>IF(D7432="Legitimate Interest (GDPR Art. 6(1)(f))", "Yes / Required (Sheet 3)", "")</f>
        <v/>
      </c>
      <c r="L7432" s="7" t="n"/>
      <c r="M7432" s="7" t="n"/>
      <c r="N7432">
        <f>IF(D7432="", "Gap - No Legal Basis", IF(AND(D7432="Consent (GDPR Art. 6(1)(a))", I7432="Not Captured"), "Gap - Invalid Consent", IF(AND(D7432="Legitimate Interest (GDPR Art. 6(1)(f))", L7432=""), "Gap - Missing LIA", IF(AND(G7432="Yes", H7432=""), "Gap - Missing Art. 9 Basis", IF(OR(I7432="Invalid - Not Freely Given", I7432="Invalid - Not Specific", I7432="Invalid - Not Informed", I7432="Invalid - Ambiguous"), "Gap - Invalid Consent", "Compliant")))))</f>
        <v/>
      </c>
      <c r="O7432" s="7" t="n"/>
    </row>
    <row r="7433">
      <c r="A7433" s="7" t="n"/>
      <c r="B7433" s="7" t="n"/>
      <c r="C7433" s="7" t="n"/>
      <c r="D7433" s="7" t="n"/>
      <c r="E7433" s="7" t="n"/>
      <c r="F7433" s="7" t="n"/>
      <c r="G7433" s="7" t="n"/>
      <c r="H7433" s="7" t="n"/>
      <c r="I7433" s="7" t="n"/>
      <c r="J7433" s="7" t="n"/>
      <c r="K7433">
        <f>IF(D7433="Legitimate Interest (GDPR Art. 6(1)(f))", "Yes / Required (Sheet 3)", "")</f>
        <v/>
      </c>
      <c r="L7433" s="7" t="n"/>
      <c r="M7433" s="7" t="n"/>
      <c r="N7433">
        <f>IF(D7433="", "Gap - No Legal Basis", IF(AND(D7433="Consent (GDPR Art. 6(1)(a))", I7433="Not Captured"), "Gap - Invalid Consent", IF(AND(D7433="Legitimate Interest (GDPR Art. 6(1)(f))", L7433=""), "Gap - Missing LIA", IF(AND(G7433="Yes", H7433=""), "Gap - Missing Art. 9 Basis", IF(OR(I7433="Invalid - Not Freely Given", I7433="Invalid - Not Specific", I7433="Invalid - Not Informed", I7433="Invalid - Ambiguous"), "Gap - Invalid Consent", "Compliant")))))</f>
        <v/>
      </c>
      <c r="O7433" s="7" t="n"/>
    </row>
    <row r="7434">
      <c r="A7434" s="7" t="n"/>
      <c r="B7434" s="7" t="n"/>
      <c r="C7434" s="7" t="n"/>
      <c r="D7434" s="7" t="n"/>
      <c r="E7434" s="7" t="n"/>
      <c r="F7434" s="7" t="n"/>
      <c r="G7434" s="7" t="n"/>
      <c r="H7434" s="7" t="n"/>
      <c r="I7434" s="7" t="n"/>
      <c r="J7434" s="7" t="n"/>
      <c r="K7434">
        <f>IF(D7434="Legitimate Interest (GDPR Art. 6(1)(f))", "Yes / Required (Sheet 3)", "")</f>
        <v/>
      </c>
      <c r="L7434" s="7" t="n"/>
      <c r="M7434" s="7" t="n"/>
      <c r="N7434">
        <f>IF(D7434="", "Gap - No Legal Basis", IF(AND(D7434="Consent (GDPR Art. 6(1)(a))", I7434="Not Captured"), "Gap - Invalid Consent", IF(AND(D7434="Legitimate Interest (GDPR Art. 6(1)(f))", L7434=""), "Gap - Missing LIA", IF(AND(G7434="Yes", H7434=""), "Gap - Missing Art. 9 Basis", IF(OR(I7434="Invalid - Not Freely Given", I7434="Invalid - Not Specific", I7434="Invalid - Not Informed", I7434="Invalid - Ambiguous"), "Gap - Invalid Consent", "Compliant")))))</f>
        <v/>
      </c>
      <c r="O7434" s="7" t="n"/>
    </row>
    <row r="7435">
      <c r="A7435" s="7" t="n"/>
      <c r="B7435" s="7" t="n"/>
      <c r="C7435" s="7" t="n"/>
      <c r="D7435" s="7" t="n"/>
      <c r="E7435" s="7" t="n"/>
      <c r="F7435" s="7" t="n"/>
      <c r="G7435" s="7" t="n"/>
      <c r="H7435" s="7" t="n"/>
      <c r="I7435" s="7" t="n"/>
      <c r="J7435" s="7" t="n"/>
      <c r="K7435">
        <f>IF(D7435="Legitimate Interest (GDPR Art. 6(1)(f))", "Yes / Required (Sheet 3)", "")</f>
        <v/>
      </c>
      <c r="L7435" s="7" t="n"/>
      <c r="M7435" s="7" t="n"/>
      <c r="N7435">
        <f>IF(D7435="", "Gap - No Legal Basis", IF(AND(D7435="Consent (GDPR Art. 6(1)(a))", I7435="Not Captured"), "Gap - Invalid Consent", IF(AND(D7435="Legitimate Interest (GDPR Art. 6(1)(f))", L7435=""), "Gap - Missing LIA", IF(AND(G7435="Yes", H7435=""), "Gap - Missing Art. 9 Basis", IF(OR(I7435="Invalid - Not Freely Given", I7435="Invalid - Not Specific", I7435="Invalid - Not Informed", I7435="Invalid - Ambiguous"), "Gap - Invalid Consent", "Compliant")))))</f>
        <v/>
      </c>
      <c r="O7435" s="7" t="n"/>
    </row>
    <row r="7436">
      <c r="A7436" s="7" t="n"/>
      <c r="B7436" s="7" t="n"/>
      <c r="C7436" s="7" t="n"/>
      <c r="D7436" s="7" t="n"/>
      <c r="E7436" s="7" t="n"/>
      <c r="F7436" s="7" t="n"/>
      <c r="G7436" s="7" t="n"/>
      <c r="H7436" s="7" t="n"/>
      <c r="I7436" s="7" t="n"/>
      <c r="J7436" s="7" t="n"/>
      <c r="K7436">
        <f>IF(D7436="Legitimate Interest (GDPR Art. 6(1)(f))", "Yes / Required (Sheet 3)", "")</f>
        <v/>
      </c>
      <c r="L7436" s="7" t="n"/>
      <c r="M7436" s="7" t="n"/>
      <c r="N7436">
        <f>IF(D7436="", "Gap - No Legal Basis", IF(AND(D7436="Consent (GDPR Art. 6(1)(a))", I7436="Not Captured"), "Gap - Invalid Consent", IF(AND(D7436="Legitimate Interest (GDPR Art. 6(1)(f))", L7436=""), "Gap - Missing LIA", IF(AND(G7436="Yes", H7436=""), "Gap - Missing Art. 9 Basis", IF(OR(I7436="Invalid - Not Freely Given", I7436="Invalid - Not Specific", I7436="Invalid - Not Informed", I7436="Invalid - Ambiguous"), "Gap - Invalid Consent", "Compliant")))))</f>
        <v/>
      </c>
      <c r="O7436" s="7" t="n"/>
    </row>
    <row r="7437">
      <c r="A7437" s="7" t="n"/>
      <c r="B7437" s="7" t="n"/>
      <c r="C7437" s="7" t="n"/>
      <c r="D7437" s="7" t="n"/>
      <c r="E7437" s="7" t="n"/>
      <c r="F7437" s="7" t="n"/>
      <c r="G7437" s="7" t="n"/>
      <c r="H7437" s="7" t="n"/>
      <c r="I7437" s="7" t="n"/>
      <c r="J7437" s="7" t="n"/>
      <c r="K7437">
        <f>IF(D7437="Legitimate Interest (GDPR Art. 6(1)(f))", "Yes / Required (Sheet 3)", "")</f>
        <v/>
      </c>
      <c r="L7437" s="7" t="n"/>
      <c r="M7437" s="7" t="n"/>
      <c r="N7437">
        <f>IF(D7437="", "Gap - No Legal Basis", IF(AND(D7437="Consent (GDPR Art. 6(1)(a))", I7437="Not Captured"), "Gap - Invalid Consent", IF(AND(D7437="Legitimate Interest (GDPR Art. 6(1)(f))", L7437=""), "Gap - Missing LIA", IF(AND(G7437="Yes", H7437=""), "Gap - Missing Art. 9 Basis", IF(OR(I7437="Invalid - Not Freely Given", I7437="Invalid - Not Specific", I7437="Invalid - Not Informed", I7437="Invalid - Ambiguous"), "Gap - Invalid Consent", "Compliant")))))</f>
        <v/>
      </c>
      <c r="O7437" s="7" t="n"/>
    </row>
    <row r="7438">
      <c r="A7438" s="7" t="n"/>
      <c r="B7438" s="7" t="n"/>
      <c r="C7438" s="7" t="n"/>
      <c r="D7438" s="7" t="n"/>
      <c r="E7438" s="7" t="n"/>
      <c r="F7438" s="7" t="n"/>
      <c r="G7438" s="7" t="n"/>
      <c r="H7438" s="7" t="n"/>
      <c r="I7438" s="7" t="n"/>
      <c r="J7438" s="7" t="n"/>
      <c r="K7438">
        <f>IF(D7438="Legitimate Interest (GDPR Art. 6(1)(f))", "Yes / Required (Sheet 3)", "")</f>
        <v/>
      </c>
      <c r="L7438" s="7" t="n"/>
      <c r="M7438" s="7" t="n"/>
      <c r="N7438">
        <f>IF(D7438="", "Gap - No Legal Basis", IF(AND(D7438="Consent (GDPR Art. 6(1)(a))", I7438="Not Captured"), "Gap - Invalid Consent", IF(AND(D7438="Legitimate Interest (GDPR Art. 6(1)(f))", L7438=""), "Gap - Missing LIA", IF(AND(G7438="Yes", H7438=""), "Gap - Missing Art. 9 Basis", IF(OR(I7438="Invalid - Not Freely Given", I7438="Invalid - Not Specific", I7438="Invalid - Not Informed", I7438="Invalid - Ambiguous"), "Gap - Invalid Consent", "Compliant")))))</f>
        <v/>
      </c>
      <c r="O7438" s="7" t="n"/>
    </row>
    <row r="7439">
      <c r="A7439" s="7" t="n"/>
      <c r="B7439" s="7" t="n"/>
      <c r="C7439" s="7" t="n"/>
      <c r="D7439" s="7" t="n"/>
      <c r="E7439" s="7" t="n"/>
      <c r="F7439" s="7" t="n"/>
      <c r="G7439" s="7" t="n"/>
      <c r="H7439" s="7" t="n"/>
      <c r="I7439" s="7" t="n"/>
      <c r="J7439" s="7" t="n"/>
      <c r="K7439">
        <f>IF(D7439="Legitimate Interest (GDPR Art. 6(1)(f))", "Yes / Required (Sheet 3)", "")</f>
        <v/>
      </c>
      <c r="L7439" s="7" t="n"/>
      <c r="M7439" s="7" t="n"/>
      <c r="N7439">
        <f>IF(D7439="", "Gap - No Legal Basis", IF(AND(D7439="Consent (GDPR Art. 6(1)(a))", I7439="Not Captured"), "Gap - Invalid Consent", IF(AND(D7439="Legitimate Interest (GDPR Art. 6(1)(f))", L7439=""), "Gap - Missing LIA", IF(AND(G7439="Yes", H7439=""), "Gap - Missing Art. 9 Basis", IF(OR(I7439="Invalid - Not Freely Given", I7439="Invalid - Not Specific", I7439="Invalid - Not Informed", I7439="Invalid - Ambiguous"), "Gap - Invalid Consent", "Compliant")))))</f>
        <v/>
      </c>
      <c r="O7439" s="7" t="n"/>
    </row>
    <row r="7440">
      <c r="A7440" s="7" t="n"/>
      <c r="B7440" s="7" t="n"/>
      <c r="C7440" s="7" t="n"/>
      <c r="D7440" s="7" t="n"/>
      <c r="E7440" s="7" t="n"/>
      <c r="F7440" s="7" t="n"/>
      <c r="G7440" s="7" t="n"/>
      <c r="H7440" s="7" t="n"/>
      <c r="I7440" s="7" t="n"/>
      <c r="J7440" s="7" t="n"/>
      <c r="K7440">
        <f>IF(D7440="Legitimate Interest (GDPR Art. 6(1)(f))", "Yes / Required (Sheet 3)", "")</f>
        <v/>
      </c>
      <c r="L7440" s="7" t="n"/>
      <c r="M7440" s="7" t="n"/>
      <c r="N7440">
        <f>IF(D7440="", "Gap - No Legal Basis", IF(AND(D7440="Consent (GDPR Art. 6(1)(a))", I7440="Not Captured"), "Gap - Invalid Consent", IF(AND(D7440="Legitimate Interest (GDPR Art. 6(1)(f))", L7440=""), "Gap - Missing LIA", IF(AND(G7440="Yes", H7440=""), "Gap - Missing Art. 9 Basis", IF(OR(I7440="Invalid - Not Freely Given", I7440="Invalid - Not Specific", I7440="Invalid - Not Informed", I7440="Invalid - Ambiguous"), "Gap - Invalid Consent", "Compliant")))))</f>
        <v/>
      </c>
      <c r="O7440" s="7" t="n"/>
    </row>
    <row r="7441">
      <c r="A7441" s="7" t="n"/>
      <c r="B7441" s="7" t="n"/>
      <c r="C7441" s="7" t="n"/>
      <c r="D7441" s="7" t="n"/>
      <c r="E7441" s="7" t="n"/>
      <c r="F7441" s="7" t="n"/>
      <c r="G7441" s="7" t="n"/>
      <c r="H7441" s="7" t="n"/>
      <c r="I7441" s="7" t="n"/>
      <c r="J7441" s="7" t="n"/>
      <c r="K7441">
        <f>IF(D7441="Legitimate Interest (GDPR Art. 6(1)(f))", "Yes / Required (Sheet 3)", "")</f>
        <v/>
      </c>
      <c r="L7441" s="7" t="n"/>
      <c r="M7441" s="7" t="n"/>
      <c r="N7441">
        <f>IF(D7441="", "Gap - No Legal Basis", IF(AND(D7441="Consent (GDPR Art. 6(1)(a))", I7441="Not Captured"), "Gap - Invalid Consent", IF(AND(D7441="Legitimate Interest (GDPR Art. 6(1)(f))", L7441=""), "Gap - Missing LIA", IF(AND(G7441="Yes", H7441=""), "Gap - Missing Art. 9 Basis", IF(OR(I7441="Invalid - Not Freely Given", I7441="Invalid - Not Specific", I7441="Invalid - Not Informed", I7441="Invalid - Ambiguous"), "Gap - Invalid Consent", "Compliant")))))</f>
        <v/>
      </c>
      <c r="O7441" s="7" t="n"/>
    </row>
    <row r="7442">
      <c r="A7442" s="7" t="n"/>
      <c r="B7442" s="7" t="n"/>
      <c r="C7442" s="7" t="n"/>
      <c r="D7442" s="7" t="n"/>
      <c r="E7442" s="7" t="n"/>
      <c r="F7442" s="7" t="n"/>
      <c r="G7442" s="7" t="n"/>
      <c r="H7442" s="7" t="n"/>
      <c r="I7442" s="7" t="n"/>
      <c r="J7442" s="7" t="n"/>
      <c r="K7442">
        <f>IF(D7442="Legitimate Interest (GDPR Art. 6(1)(f))", "Yes / Required (Sheet 3)", "")</f>
        <v/>
      </c>
      <c r="L7442" s="7" t="n"/>
      <c r="M7442" s="7" t="n"/>
      <c r="N7442">
        <f>IF(D7442="", "Gap - No Legal Basis", IF(AND(D7442="Consent (GDPR Art. 6(1)(a))", I7442="Not Captured"), "Gap - Invalid Consent", IF(AND(D7442="Legitimate Interest (GDPR Art. 6(1)(f))", L7442=""), "Gap - Missing LIA", IF(AND(G7442="Yes", H7442=""), "Gap - Missing Art. 9 Basis", IF(OR(I7442="Invalid - Not Freely Given", I7442="Invalid - Not Specific", I7442="Invalid - Not Informed", I7442="Invalid - Ambiguous"), "Gap - Invalid Consent", "Compliant")))))</f>
        <v/>
      </c>
      <c r="O7442" s="7" t="n"/>
    </row>
    <row r="7443">
      <c r="A7443" s="7" t="n"/>
      <c r="B7443" s="7" t="n"/>
      <c r="C7443" s="7" t="n"/>
      <c r="D7443" s="7" t="n"/>
      <c r="E7443" s="7" t="n"/>
      <c r="F7443" s="7" t="n"/>
      <c r="G7443" s="7" t="n"/>
      <c r="H7443" s="7" t="n"/>
      <c r="I7443" s="7" t="n"/>
      <c r="J7443" s="7" t="n"/>
      <c r="K7443">
        <f>IF(D7443="Legitimate Interest (GDPR Art. 6(1)(f))", "Yes / Required (Sheet 3)", "")</f>
        <v/>
      </c>
      <c r="L7443" s="7" t="n"/>
      <c r="M7443" s="7" t="n"/>
      <c r="N7443">
        <f>IF(D7443="", "Gap - No Legal Basis", IF(AND(D7443="Consent (GDPR Art. 6(1)(a))", I7443="Not Captured"), "Gap - Invalid Consent", IF(AND(D7443="Legitimate Interest (GDPR Art. 6(1)(f))", L7443=""), "Gap - Missing LIA", IF(AND(G7443="Yes", H7443=""), "Gap - Missing Art. 9 Basis", IF(OR(I7443="Invalid - Not Freely Given", I7443="Invalid - Not Specific", I7443="Invalid - Not Informed", I7443="Invalid - Ambiguous"), "Gap - Invalid Consent", "Compliant")))))</f>
        <v/>
      </c>
      <c r="O7443" s="7" t="n"/>
    </row>
    <row r="7444">
      <c r="A7444" s="7" t="n"/>
      <c r="B7444" s="7" t="n"/>
      <c r="C7444" s="7" t="n"/>
      <c r="D7444" s="7" t="n"/>
      <c r="E7444" s="7" t="n"/>
      <c r="F7444" s="7" t="n"/>
      <c r="G7444" s="7" t="n"/>
      <c r="H7444" s="7" t="n"/>
      <c r="I7444" s="7" t="n"/>
      <c r="J7444" s="7" t="n"/>
      <c r="K7444">
        <f>IF(D7444="Legitimate Interest (GDPR Art. 6(1)(f))", "Yes / Required (Sheet 3)", "")</f>
        <v/>
      </c>
      <c r="L7444" s="7" t="n"/>
      <c r="M7444" s="7" t="n"/>
      <c r="N7444">
        <f>IF(D7444="", "Gap - No Legal Basis", IF(AND(D7444="Consent (GDPR Art. 6(1)(a))", I7444="Not Captured"), "Gap - Invalid Consent", IF(AND(D7444="Legitimate Interest (GDPR Art. 6(1)(f))", L7444=""), "Gap - Missing LIA", IF(AND(G7444="Yes", H7444=""), "Gap - Missing Art. 9 Basis", IF(OR(I7444="Invalid - Not Freely Given", I7444="Invalid - Not Specific", I7444="Invalid - Not Informed", I7444="Invalid - Ambiguous"), "Gap - Invalid Consent", "Compliant")))))</f>
        <v/>
      </c>
      <c r="O7444" s="7" t="n"/>
    </row>
    <row r="7445">
      <c r="A7445" s="7" t="n"/>
      <c r="B7445" s="7" t="n"/>
      <c r="C7445" s="7" t="n"/>
      <c r="D7445" s="7" t="n"/>
      <c r="E7445" s="7" t="n"/>
      <c r="F7445" s="7" t="n"/>
      <c r="G7445" s="7" t="n"/>
      <c r="H7445" s="7" t="n"/>
      <c r="I7445" s="7" t="n"/>
      <c r="J7445" s="7" t="n"/>
      <c r="K7445">
        <f>IF(D7445="Legitimate Interest (GDPR Art. 6(1)(f))", "Yes / Required (Sheet 3)", "")</f>
        <v/>
      </c>
      <c r="L7445" s="7" t="n"/>
      <c r="M7445" s="7" t="n"/>
      <c r="N7445">
        <f>IF(D7445="", "Gap - No Legal Basis", IF(AND(D7445="Consent (GDPR Art. 6(1)(a))", I7445="Not Captured"), "Gap - Invalid Consent", IF(AND(D7445="Legitimate Interest (GDPR Art. 6(1)(f))", L7445=""), "Gap - Missing LIA", IF(AND(G7445="Yes", H7445=""), "Gap - Missing Art. 9 Basis", IF(OR(I7445="Invalid - Not Freely Given", I7445="Invalid - Not Specific", I7445="Invalid - Not Informed", I7445="Invalid - Ambiguous"), "Gap - Invalid Consent", "Compliant")))))</f>
        <v/>
      </c>
      <c r="O7445" s="7" t="n"/>
    </row>
    <row r="7446">
      <c r="A7446" s="7" t="n"/>
      <c r="B7446" s="7" t="n"/>
      <c r="C7446" s="7" t="n"/>
      <c r="D7446" s="7" t="n"/>
      <c r="E7446" s="7" t="n"/>
      <c r="F7446" s="7" t="n"/>
      <c r="G7446" s="7" t="n"/>
      <c r="H7446" s="7" t="n"/>
      <c r="I7446" s="7" t="n"/>
      <c r="J7446" s="7" t="n"/>
      <c r="K7446">
        <f>IF(D7446="Legitimate Interest (GDPR Art. 6(1)(f))", "Yes / Required (Sheet 3)", "")</f>
        <v/>
      </c>
      <c r="L7446" s="7" t="n"/>
      <c r="M7446" s="7" t="n"/>
      <c r="N7446">
        <f>IF(D7446="", "Gap - No Legal Basis", IF(AND(D7446="Consent (GDPR Art. 6(1)(a))", I7446="Not Captured"), "Gap - Invalid Consent", IF(AND(D7446="Legitimate Interest (GDPR Art. 6(1)(f))", L7446=""), "Gap - Missing LIA", IF(AND(G7446="Yes", H7446=""), "Gap - Missing Art. 9 Basis", IF(OR(I7446="Invalid - Not Freely Given", I7446="Invalid - Not Specific", I7446="Invalid - Not Informed", I7446="Invalid - Ambiguous"), "Gap - Invalid Consent", "Compliant")))))</f>
        <v/>
      </c>
      <c r="O7446" s="7" t="n"/>
    </row>
    <row r="7447">
      <c r="A7447" s="7" t="n"/>
      <c r="B7447" s="7" t="n"/>
      <c r="C7447" s="7" t="n"/>
      <c r="D7447" s="7" t="n"/>
      <c r="E7447" s="7" t="n"/>
      <c r="F7447" s="7" t="n"/>
      <c r="G7447" s="7" t="n"/>
      <c r="H7447" s="7" t="n"/>
      <c r="I7447" s="7" t="n"/>
      <c r="J7447" s="7" t="n"/>
      <c r="K7447">
        <f>IF(D7447="Legitimate Interest (GDPR Art. 6(1)(f))", "Yes / Required (Sheet 3)", "")</f>
        <v/>
      </c>
      <c r="L7447" s="7" t="n"/>
      <c r="M7447" s="7" t="n"/>
      <c r="N7447">
        <f>IF(D7447="", "Gap - No Legal Basis", IF(AND(D7447="Consent (GDPR Art. 6(1)(a))", I7447="Not Captured"), "Gap - Invalid Consent", IF(AND(D7447="Legitimate Interest (GDPR Art. 6(1)(f))", L7447=""), "Gap - Missing LIA", IF(AND(G7447="Yes", H7447=""), "Gap - Missing Art. 9 Basis", IF(OR(I7447="Invalid - Not Freely Given", I7447="Invalid - Not Specific", I7447="Invalid - Not Informed", I7447="Invalid - Ambiguous"), "Gap - Invalid Consent", "Compliant")))))</f>
        <v/>
      </c>
      <c r="O7447" s="7" t="n"/>
    </row>
    <row r="7448">
      <c r="A7448" s="7" t="n"/>
      <c r="B7448" s="7" t="n"/>
      <c r="C7448" s="7" t="n"/>
      <c r="D7448" s="7" t="n"/>
      <c r="E7448" s="7" t="n"/>
      <c r="F7448" s="7" t="n"/>
      <c r="G7448" s="7" t="n"/>
      <c r="H7448" s="7" t="n"/>
      <c r="I7448" s="7" t="n"/>
      <c r="J7448" s="7" t="n"/>
      <c r="K7448">
        <f>IF(D7448="Legitimate Interest (GDPR Art. 6(1)(f))", "Yes / Required (Sheet 3)", "")</f>
        <v/>
      </c>
      <c r="L7448" s="7" t="n"/>
      <c r="M7448" s="7" t="n"/>
      <c r="N7448">
        <f>IF(D7448="", "Gap - No Legal Basis", IF(AND(D7448="Consent (GDPR Art. 6(1)(a))", I7448="Not Captured"), "Gap - Invalid Consent", IF(AND(D7448="Legitimate Interest (GDPR Art. 6(1)(f))", L7448=""), "Gap - Missing LIA", IF(AND(G7448="Yes", H7448=""), "Gap - Missing Art. 9 Basis", IF(OR(I7448="Invalid - Not Freely Given", I7448="Invalid - Not Specific", I7448="Invalid - Not Informed", I7448="Invalid - Ambiguous"), "Gap - Invalid Consent", "Compliant")))))</f>
        <v/>
      </c>
      <c r="O7448" s="7" t="n"/>
    </row>
    <row r="7449">
      <c r="A7449" s="7" t="n"/>
      <c r="B7449" s="7" t="n"/>
      <c r="C7449" s="7" t="n"/>
      <c r="D7449" s="7" t="n"/>
      <c r="E7449" s="7" t="n"/>
      <c r="F7449" s="7" t="n"/>
      <c r="G7449" s="7" t="n"/>
      <c r="H7449" s="7" t="n"/>
      <c r="I7449" s="7" t="n"/>
      <c r="J7449" s="7" t="n"/>
      <c r="K7449">
        <f>IF(D7449="Legitimate Interest (GDPR Art. 6(1)(f))", "Yes / Required (Sheet 3)", "")</f>
        <v/>
      </c>
      <c r="L7449" s="7" t="n"/>
      <c r="M7449" s="7" t="n"/>
      <c r="N7449">
        <f>IF(D7449="", "Gap - No Legal Basis", IF(AND(D7449="Consent (GDPR Art. 6(1)(a))", I7449="Not Captured"), "Gap - Invalid Consent", IF(AND(D7449="Legitimate Interest (GDPR Art. 6(1)(f))", L7449=""), "Gap - Missing LIA", IF(AND(G7449="Yes", H7449=""), "Gap - Missing Art. 9 Basis", IF(OR(I7449="Invalid - Not Freely Given", I7449="Invalid - Not Specific", I7449="Invalid - Not Informed", I7449="Invalid - Ambiguous"), "Gap - Invalid Consent", "Compliant")))))</f>
        <v/>
      </c>
      <c r="O7449" s="7" t="n"/>
    </row>
    <row r="7450">
      <c r="A7450" s="7" t="n"/>
      <c r="B7450" s="7" t="n"/>
      <c r="C7450" s="7" t="n"/>
      <c r="D7450" s="7" t="n"/>
      <c r="E7450" s="7" t="n"/>
      <c r="F7450" s="7" t="n"/>
      <c r="G7450" s="7" t="n"/>
      <c r="H7450" s="7" t="n"/>
      <c r="I7450" s="7" t="n"/>
      <c r="J7450" s="7" t="n"/>
      <c r="K7450">
        <f>IF(D7450="Legitimate Interest (GDPR Art. 6(1)(f))", "Yes / Required (Sheet 3)", "")</f>
        <v/>
      </c>
      <c r="L7450" s="7" t="n"/>
      <c r="M7450" s="7" t="n"/>
      <c r="N7450">
        <f>IF(D7450="", "Gap - No Legal Basis", IF(AND(D7450="Consent (GDPR Art. 6(1)(a))", I7450="Not Captured"), "Gap - Invalid Consent", IF(AND(D7450="Legitimate Interest (GDPR Art. 6(1)(f))", L7450=""), "Gap - Missing LIA", IF(AND(G7450="Yes", H7450=""), "Gap - Missing Art. 9 Basis", IF(OR(I7450="Invalid - Not Freely Given", I7450="Invalid - Not Specific", I7450="Invalid - Not Informed", I7450="Invalid - Ambiguous"), "Gap - Invalid Consent", "Compliant")))))</f>
        <v/>
      </c>
      <c r="O7450" s="7" t="n"/>
    </row>
    <row r="7451">
      <c r="A7451" s="7" t="n"/>
      <c r="B7451" s="7" t="n"/>
      <c r="C7451" s="7" t="n"/>
      <c r="D7451" s="7" t="n"/>
      <c r="E7451" s="7" t="n"/>
      <c r="F7451" s="7" t="n"/>
      <c r="G7451" s="7" t="n"/>
      <c r="H7451" s="7" t="n"/>
      <c r="I7451" s="7" t="n"/>
      <c r="J7451" s="7" t="n"/>
      <c r="K7451">
        <f>IF(D7451="Legitimate Interest (GDPR Art. 6(1)(f))", "Yes / Required (Sheet 3)", "")</f>
        <v/>
      </c>
      <c r="L7451" s="7" t="n"/>
      <c r="M7451" s="7" t="n"/>
      <c r="N7451">
        <f>IF(D7451="", "Gap - No Legal Basis", IF(AND(D7451="Consent (GDPR Art. 6(1)(a))", I7451="Not Captured"), "Gap - Invalid Consent", IF(AND(D7451="Legitimate Interest (GDPR Art. 6(1)(f))", L7451=""), "Gap - Missing LIA", IF(AND(G7451="Yes", H7451=""), "Gap - Missing Art. 9 Basis", IF(OR(I7451="Invalid - Not Freely Given", I7451="Invalid - Not Specific", I7451="Invalid - Not Informed", I7451="Invalid - Ambiguous"), "Gap - Invalid Consent", "Compliant")))))</f>
        <v/>
      </c>
      <c r="O7451" s="7" t="n"/>
    </row>
    <row r="7452">
      <c r="A7452" s="7" t="n"/>
      <c r="B7452" s="7" t="n"/>
      <c r="C7452" s="7" t="n"/>
      <c r="D7452" s="7" t="n"/>
      <c r="E7452" s="7" t="n"/>
      <c r="F7452" s="7" t="n"/>
      <c r="G7452" s="7" t="n"/>
      <c r="H7452" s="7" t="n"/>
      <c r="I7452" s="7" t="n"/>
      <c r="J7452" s="7" t="n"/>
      <c r="K7452">
        <f>IF(D7452="Legitimate Interest (GDPR Art. 6(1)(f))", "Yes / Required (Sheet 3)", "")</f>
        <v/>
      </c>
      <c r="L7452" s="7" t="n"/>
      <c r="M7452" s="7" t="n"/>
      <c r="N7452">
        <f>IF(D7452="", "Gap - No Legal Basis", IF(AND(D7452="Consent (GDPR Art. 6(1)(a))", I7452="Not Captured"), "Gap - Invalid Consent", IF(AND(D7452="Legitimate Interest (GDPR Art. 6(1)(f))", L7452=""), "Gap - Missing LIA", IF(AND(G7452="Yes", H7452=""), "Gap - Missing Art. 9 Basis", IF(OR(I7452="Invalid - Not Freely Given", I7452="Invalid - Not Specific", I7452="Invalid - Not Informed", I7452="Invalid - Ambiguous"), "Gap - Invalid Consent", "Compliant")))))</f>
        <v/>
      </c>
      <c r="O7452" s="7" t="n"/>
    </row>
    <row r="7453">
      <c r="A7453" s="7" t="n"/>
      <c r="B7453" s="7" t="n"/>
      <c r="C7453" s="7" t="n"/>
      <c r="D7453" s="7" t="n"/>
      <c r="E7453" s="7" t="n"/>
      <c r="F7453" s="7" t="n"/>
      <c r="G7453" s="7" t="n"/>
      <c r="H7453" s="7" t="n"/>
      <c r="I7453" s="7" t="n"/>
      <c r="J7453" s="7" t="n"/>
      <c r="K7453">
        <f>IF(D7453="Legitimate Interest (GDPR Art. 6(1)(f))", "Yes / Required (Sheet 3)", "")</f>
        <v/>
      </c>
      <c r="L7453" s="7" t="n"/>
      <c r="M7453" s="7" t="n"/>
      <c r="N7453">
        <f>IF(D7453="", "Gap - No Legal Basis", IF(AND(D7453="Consent (GDPR Art. 6(1)(a))", I7453="Not Captured"), "Gap - Invalid Consent", IF(AND(D7453="Legitimate Interest (GDPR Art. 6(1)(f))", L7453=""), "Gap - Missing LIA", IF(AND(G7453="Yes", H7453=""), "Gap - Missing Art. 9 Basis", IF(OR(I7453="Invalid - Not Freely Given", I7453="Invalid - Not Specific", I7453="Invalid - Not Informed", I7453="Invalid - Ambiguous"), "Gap - Invalid Consent", "Compliant")))))</f>
        <v/>
      </c>
      <c r="O7453" s="7" t="n"/>
    </row>
    <row r="7454">
      <c r="A7454" s="7" t="n"/>
      <c r="B7454" s="7" t="n"/>
      <c r="C7454" s="7" t="n"/>
      <c r="D7454" s="7" t="n"/>
      <c r="E7454" s="7" t="n"/>
      <c r="F7454" s="7" t="n"/>
      <c r="G7454" s="7" t="n"/>
      <c r="H7454" s="7" t="n"/>
      <c r="I7454" s="7" t="n"/>
      <c r="J7454" s="7" t="n"/>
      <c r="K7454">
        <f>IF(D7454="Legitimate Interest (GDPR Art. 6(1)(f))", "Yes / Required (Sheet 3)", "")</f>
        <v/>
      </c>
      <c r="L7454" s="7" t="n"/>
      <c r="M7454" s="7" t="n"/>
      <c r="N7454">
        <f>IF(D7454="", "Gap - No Legal Basis", IF(AND(D7454="Consent (GDPR Art. 6(1)(a))", I7454="Not Captured"), "Gap - Invalid Consent", IF(AND(D7454="Legitimate Interest (GDPR Art. 6(1)(f))", L7454=""), "Gap - Missing LIA", IF(AND(G7454="Yes", H7454=""), "Gap - Missing Art. 9 Basis", IF(OR(I7454="Invalid - Not Freely Given", I7454="Invalid - Not Specific", I7454="Invalid - Not Informed", I7454="Invalid - Ambiguous"), "Gap - Invalid Consent", "Compliant")))))</f>
        <v/>
      </c>
      <c r="O7454" s="7" t="n"/>
    </row>
    <row r="7455">
      <c r="A7455" s="7" t="n"/>
      <c r="B7455" s="7" t="n"/>
      <c r="C7455" s="7" t="n"/>
      <c r="D7455" s="7" t="n"/>
      <c r="E7455" s="7" t="n"/>
      <c r="F7455" s="7" t="n"/>
      <c r="G7455" s="7" t="n"/>
      <c r="H7455" s="7" t="n"/>
      <c r="I7455" s="7" t="n"/>
      <c r="J7455" s="7" t="n"/>
      <c r="K7455">
        <f>IF(D7455="Legitimate Interest (GDPR Art. 6(1)(f))", "Yes / Required (Sheet 3)", "")</f>
        <v/>
      </c>
      <c r="L7455" s="7" t="n"/>
      <c r="M7455" s="7" t="n"/>
      <c r="N7455">
        <f>IF(D7455="", "Gap - No Legal Basis", IF(AND(D7455="Consent (GDPR Art. 6(1)(a))", I7455="Not Captured"), "Gap - Invalid Consent", IF(AND(D7455="Legitimate Interest (GDPR Art. 6(1)(f))", L7455=""), "Gap - Missing LIA", IF(AND(G7455="Yes", H7455=""), "Gap - Missing Art. 9 Basis", IF(OR(I7455="Invalid - Not Freely Given", I7455="Invalid - Not Specific", I7455="Invalid - Not Informed", I7455="Invalid - Ambiguous"), "Gap - Invalid Consent", "Compliant")))))</f>
        <v/>
      </c>
      <c r="O7455" s="7" t="n"/>
    </row>
    <row r="7456">
      <c r="A7456" s="7" t="n"/>
      <c r="B7456" s="7" t="n"/>
      <c r="C7456" s="7" t="n"/>
      <c r="D7456" s="7" t="n"/>
      <c r="E7456" s="7" t="n"/>
      <c r="F7456" s="7" t="n"/>
      <c r="G7456" s="7" t="n"/>
      <c r="H7456" s="7" t="n"/>
      <c r="I7456" s="7" t="n"/>
      <c r="J7456" s="7" t="n"/>
      <c r="K7456">
        <f>IF(D7456="Legitimate Interest (GDPR Art. 6(1)(f))", "Yes / Required (Sheet 3)", "")</f>
        <v/>
      </c>
      <c r="L7456" s="7" t="n"/>
      <c r="M7456" s="7" t="n"/>
      <c r="N7456">
        <f>IF(D7456="", "Gap - No Legal Basis", IF(AND(D7456="Consent (GDPR Art. 6(1)(a))", I7456="Not Captured"), "Gap - Invalid Consent", IF(AND(D7456="Legitimate Interest (GDPR Art. 6(1)(f))", L7456=""), "Gap - Missing LIA", IF(AND(G7456="Yes", H7456=""), "Gap - Missing Art. 9 Basis", IF(OR(I7456="Invalid - Not Freely Given", I7456="Invalid - Not Specific", I7456="Invalid - Not Informed", I7456="Invalid - Ambiguous"), "Gap - Invalid Consent", "Compliant")))))</f>
        <v/>
      </c>
      <c r="O7456" s="7" t="n"/>
    </row>
    <row r="7457">
      <c r="A7457" s="7" t="n"/>
      <c r="B7457" s="7" t="n"/>
      <c r="C7457" s="7" t="n"/>
      <c r="D7457" s="7" t="n"/>
      <c r="E7457" s="7" t="n"/>
      <c r="F7457" s="7" t="n"/>
      <c r="G7457" s="7" t="n"/>
      <c r="H7457" s="7" t="n"/>
      <c r="I7457" s="7" t="n"/>
      <c r="J7457" s="7" t="n"/>
      <c r="K7457">
        <f>IF(D7457="Legitimate Interest (GDPR Art. 6(1)(f))", "Yes / Required (Sheet 3)", "")</f>
        <v/>
      </c>
      <c r="L7457" s="7" t="n"/>
      <c r="M7457" s="7" t="n"/>
      <c r="N7457">
        <f>IF(D7457="", "Gap - No Legal Basis", IF(AND(D7457="Consent (GDPR Art. 6(1)(a))", I7457="Not Captured"), "Gap - Invalid Consent", IF(AND(D7457="Legitimate Interest (GDPR Art. 6(1)(f))", L7457=""), "Gap - Missing LIA", IF(AND(G7457="Yes", H7457=""), "Gap - Missing Art. 9 Basis", IF(OR(I7457="Invalid - Not Freely Given", I7457="Invalid - Not Specific", I7457="Invalid - Not Informed", I7457="Invalid - Ambiguous"), "Gap - Invalid Consent", "Compliant")))))</f>
        <v/>
      </c>
      <c r="O7457" s="7" t="n"/>
    </row>
    <row r="7458">
      <c r="A7458" s="7" t="n"/>
      <c r="B7458" s="7" t="n"/>
      <c r="C7458" s="7" t="n"/>
      <c r="D7458" s="7" t="n"/>
      <c r="E7458" s="7" t="n"/>
      <c r="F7458" s="7" t="n"/>
      <c r="G7458" s="7" t="n"/>
      <c r="H7458" s="7" t="n"/>
      <c r="I7458" s="7" t="n"/>
      <c r="J7458" s="7" t="n"/>
      <c r="K7458">
        <f>IF(D7458="Legitimate Interest (GDPR Art. 6(1)(f))", "Yes / Required (Sheet 3)", "")</f>
        <v/>
      </c>
      <c r="L7458" s="7" t="n"/>
      <c r="M7458" s="7" t="n"/>
      <c r="N7458">
        <f>IF(D7458="", "Gap - No Legal Basis", IF(AND(D7458="Consent (GDPR Art. 6(1)(a))", I7458="Not Captured"), "Gap - Invalid Consent", IF(AND(D7458="Legitimate Interest (GDPR Art. 6(1)(f))", L7458=""), "Gap - Missing LIA", IF(AND(G7458="Yes", H7458=""), "Gap - Missing Art. 9 Basis", IF(OR(I7458="Invalid - Not Freely Given", I7458="Invalid - Not Specific", I7458="Invalid - Not Informed", I7458="Invalid - Ambiguous"), "Gap - Invalid Consent", "Compliant")))))</f>
        <v/>
      </c>
      <c r="O7458" s="7" t="n"/>
    </row>
    <row r="7459">
      <c r="A7459" s="7" t="n"/>
      <c r="B7459" s="7" t="n"/>
      <c r="C7459" s="7" t="n"/>
      <c r="D7459" s="7" t="n"/>
      <c r="E7459" s="7" t="n"/>
      <c r="F7459" s="7" t="n"/>
      <c r="G7459" s="7" t="n"/>
      <c r="H7459" s="7" t="n"/>
      <c r="I7459" s="7" t="n"/>
      <c r="J7459" s="7" t="n"/>
      <c r="K7459">
        <f>IF(D7459="Legitimate Interest (GDPR Art. 6(1)(f))", "Yes / Required (Sheet 3)", "")</f>
        <v/>
      </c>
      <c r="L7459" s="7" t="n"/>
      <c r="M7459" s="7" t="n"/>
      <c r="N7459">
        <f>IF(D7459="", "Gap - No Legal Basis", IF(AND(D7459="Consent (GDPR Art. 6(1)(a))", I7459="Not Captured"), "Gap - Invalid Consent", IF(AND(D7459="Legitimate Interest (GDPR Art. 6(1)(f))", L7459=""), "Gap - Missing LIA", IF(AND(G7459="Yes", H7459=""), "Gap - Missing Art. 9 Basis", IF(OR(I7459="Invalid - Not Freely Given", I7459="Invalid - Not Specific", I7459="Invalid - Not Informed", I7459="Invalid - Ambiguous"), "Gap - Invalid Consent", "Compliant")))))</f>
        <v/>
      </c>
      <c r="O7459" s="7" t="n"/>
    </row>
    <row r="7460">
      <c r="A7460" s="7" t="n"/>
      <c r="B7460" s="7" t="n"/>
      <c r="C7460" s="7" t="n"/>
      <c r="D7460" s="7" t="n"/>
      <c r="E7460" s="7" t="n"/>
      <c r="F7460" s="7" t="n"/>
      <c r="G7460" s="7" t="n"/>
      <c r="H7460" s="7" t="n"/>
      <c r="I7460" s="7" t="n"/>
      <c r="J7460" s="7" t="n"/>
      <c r="K7460">
        <f>IF(D7460="Legitimate Interest (GDPR Art. 6(1)(f))", "Yes / Required (Sheet 3)", "")</f>
        <v/>
      </c>
      <c r="L7460" s="7" t="n"/>
      <c r="M7460" s="7" t="n"/>
      <c r="N7460">
        <f>IF(D7460="", "Gap - No Legal Basis", IF(AND(D7460="Consent (GDPR Art. 6(1)(a))", I7460="Not Captured"), "Gap - Invalid Consent", IF(AND(D7460="Legitimate Interest (GDPR Art. 6(1)(f))", L7460=""), "Gap - Missing LIA", IF(AND(G7460="Yes", H7460=""), "Gap - Missing Art. 9 Basis", IF(OR(I7460="Invalid - Not Freely Given", I7460="Invalid - Not Specific", I7460="Invalid - Not Informed", I7460="Invalid - Ambiguous"), "Gap - Invalid Consent", "Compliant")))))</f>
        <v/>
      </c>
      <c r="O7460" s="7" t="n"/>
    </row>
    <row r="7461">
      <c r="A7461" s="7" t="n"/>
      <c r="B7461" s="7" t="n"/>
      <c r="C7461" s="7" t="n"/>
      <c r="D7461" s="7" t="n"/>
      <c r="E7461" s="7" t="n"/>
      <c r="F7461" s="7" t="n"/>
      <c r="G7461" s="7" t="n"/>
      <c r="H7461" s="7" t="n"/>
      <c r="I7461" s="7" t="n"/>
      <c r="J7461" s="7" t="n"/>
      <c r="K7461">
        <f>IF(D7461="Legitimate Interest (GDPR Art. 6(1)(f))", "Yes / Required (Sheet 3)", "")</f>
        <v/>
      </c>
      <c r="L7461" s="7" t="n"/>
      <c r="M7461" s="7" t="n"/>
      <c r="N7461">
        <f>IF(D7461="", "Gap - No Legal Basis", IF(AND(D7461="Consent (GDPR Art. 6(1)(a))", I7461="Not Captured"), "Gap - Invalid Consent", IF(AND(D7461="Legitimate Interest (GDPR Art. 6(1)(f))", L7461=""), "Gap - Missing LIA", IF(AND(G7461="Yes", H7461=""), "Gap - Missing Art. 9 Basis", IF(OR(I7461="Invalid - Not Freely Given", I7461="Invalid - Not Specific", I7461="Invalid - Not Informed", I7461="Invalid - Ambiguous"), "Gap - Invalid Consent", "Compliant")))))</f>
        <v/>
      </c>
      <c r="O7461" s="7" t="n"/>
    </row>
    <row r="7462">
      <c r="A7462" s="7" t="n"/>
      <c r="B7462" s="7" t="n"/>
      <c r="C7462" s="7" t="n"/>
      <c r="D7462" s="7" t="n"/>
      <c r="E7462" s="7" t="n"/>
      <c r="F7462" s="7" t="n"/>
      <c r="G7462" s="7" t="n"/>
      <c r="H7462" s="7" t="n"/>
      <c r="I7462" s="7" t="n"/>
      <c r="J7462" s="7" t="n"/>
      <c r="K7462">
        <f>IF(D7462="Legitimate Interest (GDPR Art. 6(1)(f))", "Yes / Required (Sheet 3)", "")</f>
        <v/>
      </c>
      <c r="L7462" s="7" t="n"/>
      <c r="M7462" s="7" t="n"/>
      <c r="N7462">
        <f>IF(D7462="", "Gap - No Legal Basis", IF(AND(D7462="Consent (GDPR Art. 6(1)(a))", I7462="Not Captured"), "Gap - Invalid Consent", IF(AND(D7462="Legitimate Interest (GDPR Art. 6(1)(f))", L7462=""), "Gap - Missing LIA", IF(AND(G7462="Yes", H7462=""), "Gap - Missing Art. 9 Basis", IF(OR(I7462="Invalid - Not Freely Given", I7462="Invalid - Not Specific", I7462="Invalid - Not Informed", I7462="Invalid - Ambiguous"), "Gap - Invalid Consent", "Compliant")))))</f>
        <v/>
      </c>
      <c r="O7462" s="7" t="n"/>
    </row>
    <row r="7463">
      <c r="A7463" s="7" t="n"/>
      <c r="B7463" s="7" t="n"/>
      <c r="C7463" s="7" t="n"/>
      <c r="D7463" s="7" t="n"/>
      <c r="E7463" s="7" t="n"/>
      <c r="F7463" s="7" t="n"/>
      <c r="G7463" s="7" t="n"/>
      <c r="H7463" s="7" t="n"/>
      <c r="I7463" s="7" t="n"/>
      <c r="J7463" s="7" t="n"/>
      <c r="K7463">
        <f>IF(D7463="Legitimate Interest (GDPR Art. 6(1)(f))", "Yes / Required (Sheet 3)", "")</f>
        <v/>
      </c>
      <c r="L7463" s="7" t="n"/>
      <c r="M7463" s="7" t="n"/>
      <c r="N7463">
        <f>IF(D7463="", "Gap - No Legal Basis", IF(AND(D7463="Consent (GDPR Art. 6(1)(a))", I7463="Not Captured"), "Gap - Invalid Consent", IF(AND(D7463="Legitimate Interest (GDPR Art. 6(1)(f))", L7463=""), "Gap - Missing LIA", IF(AND(G7463="Yes", H7463=""), "Gap - Missing Art. 9 Basis", IF(OR(I7463="Invalid - Not Freely Given", I7463="Invalid - Not Specific", I7463="Invalid - Not Informed", I7463="Invalid - Ambiguous"), "Gap - Invalid Consent", "Compliant")))))</f>
        <v/>
      </c>
      <c r="O7463" s="7" t="n"/>
    </row>
    <row r="7464">
      <c r="A7464" s="7" t="n"/>
      <c r="B7464" s="7" t="n"/>
      <c r="C7464" s="7" t="n"/>
      <c r="D7464" s="7" t="n"/>
      <c r="E7464" s="7" t="n"/>
      <c r="F7464" s="7" t="n"/>
      <c r="G7464" s="7" t="n"/>
      <c r="H7464" s="7" t="n"/>
      <c r="I7464" s="7" t="n"/>
      <c r="J7464" s="7" t="n"/>
      <c r="K7464">
        <f>IF(D7464="Legitimate Interest (GDPR Art. 6(1)(f))", "Yes / Required (Sheet 3)", "")</f>
        <v/>
      </c>
      <c r="L7464" s="7" t="n"/>
      <c r="M7464" s="7" t="n"/>
      <c r="N7464">
        <f>IF(D7464="", "Gap - No Legal Basis", IF(AND(D7464="Consent (GDPR Art. 6(1)(a))", I7464="Not Captured"), "Gap - Invalid Consent", IF(AND(D7464="Legitimate Interest (GDPR Art. 6(1)(f))", L7464=""), "Gap - Missing LIA", IF(AND(G7464="Yes", H7464=""), "Gap - Missing Art. 9 Basis", IF(OR(I7464="Invalid - Not Freely Given", I7464="Invalid - Not Specific", I7464="Invalid - Not Informed", I7464="Invalid - Ambiguous"), "Gap - Invalid Consent", "Compliant")))))</f>
        <v/>
      </c>
      <c r="O7464" s="7" t="n"/>
    </row>
    <row r="7465">
      <c r="A7465" s="7" t="n"/>
      <c r="B7465" s="7" t="n"/>
      <c r="C7465" s="7" t="n"/>
      <c r="D7465" s="7" t="n"/>
      <c r="E7465" s="7" t="n"/>
      <c r="F7465" s="7" t="n"/>
      <c r="G7465" s="7" t="n"/>
      <c r="H7465" s="7" t="n"/>
      <c r="I7465" s="7" t="n"/>
      <c r="J7465" s="7" t="n"/>
      <c r="K7465">
        <f>IF(D7465="Legitimate Interest (GDPR Art. 6(1)(f))", "Yes / Required (Sheet 3)", "")</f>
        <v/>
      </c>
      <c r="L7465" s="7" t="n"/>
      <c r="M7465" s="7" t="n"/>
      <c r="N7465">
        <f>IF(D7465="", "Gap - No Legal Basis", IF(AND(D7465="Consent (GDPR Art. 6(1)(a))", I7465="Not Captured"), "Gap - Invalid Consent", IF(AND(D7465="Legitimate Interest (GDPR Art. 6(1)(f))", L7465=""), "Gap - Missing LIA", IF(AND(G7465="Yes", H7465=""), "Gap - Missing Art. 9 Basis", IF(OR(I7465="Invalid - Not Freely Given", I7465="Invalid - Not Specific", I7465="Invalid - Not Informed", I7465="Invalid - Ambiguous"), "Gap - Invalid Consent", "Compliant")))))</f>
        <v/>
      </c>
      <c r="O7465" s="7" t="n"/>
    </row>
    <row r="7466">
      <c r="A7466" s="7" t="n"/>
      <c r="B7466" s="7" t="n"/>
      <c r="C7466" s="7" t="n"/>
      <c r="D7466" s="7" t="n"/>
      <c r="E7466" s="7" t="n"/>
      <c r="F7466" s="7" t="n"/>
      <c r="G7466" s="7" t="n"/>
      <c r="H7466" s="7" t="n"/>
      <c r="I7466" s="7" t="n"/>
      <c r="J7466" s="7" t="n"/>
      <c r="K7466">
        <f>IF(D7466="Legitimate Interest (GDPR Art. 6(1)(f))", "Yes / Required (Sheet 3)", "")</f>
        <v/>
      </c>
      <c r="L7466" s="7" t="n"/>
      <c r="M7466" s="7" t="n"/>
      <c r="N7466">
        <f>IF(D7466="", "Gap - No Legal Basis", IF(AND(D7466="Consent (GDPR Art. 6(1)(a))", I7466="Not Captured"), "Gap - Invalid Consent", IF(AND(D7466="Legitimate Interest (GDPR Art. 6(1)(f))", L7466=""), "Gap - Missing LIA", IF(AND(G7466="Yes", H7466=""), "Gap - Missing Art. 9 Basis", IF(OR(I7466="Invalid - Not Freely Given", I7466="Invalid - Not Specific", I7466="Invalid - Not Informed", I7466="Invalid - Ambiguous"), "Gap - Invalid Consent", "Compliant")))))</f>
        <v/>
      </c>
      <c r="O7466" s="7" t="n"/>
    </row>
    <row r="7467">
      <c r="A7467" s="7" t="n"/>
      <c r="B7467" s="7" t="n"/>
      <c r="C7467" s="7" t="n"/>
      <c r="D7467" s="7" t="n"/>
      <c r="E7467" s="7" t="n"/>
      <c r="F7467" s="7" t="n"/>
      <c r="G7467" s="7" t="n"/>
      <c r="H7467" s="7" t="n"/>
      <c r="I7467" s="7" t="n"/>
      <c r="J7467" s="7" t="n"/>
      <c r="K7467">
        <f>IF(D7467="Legitimate Interest (GDPR Art. 6(1)(f))", "Yes / Required (Sheet 3)", "")</f>
        <v/>
      </c>
      <c r="L7467" s="7" t="n"/>
      <c r="M7467" s="7" t="n"/>
      <c r="N7467">
        <f>IF(D7467="", "Gap - No Legal Basis", IF(AND(D7467="Consent (GDPR Art. 6(1)(a))", I7467="Not Captured"), "Gap - Invalid Consent", IF(AND(D7467="Legitimate Interest (GDPR Art. 6(1)(f))", L7467=""), "Gap - Missing LIA", IF(AND(G7467="Yes", H7467=""), "Gap - Missing Art. 9 Basis", IF(OR(I7467="Invalid - Not Freely Given", I7467="Invalid - Not Specific", I7467="Invalid - Not Informed", I7467="Invalid - Ambiguous"), "Gap - Invalid Consent", "Compliant")))))</f>
        <v/>
      </c>
      <c r="O7467" s="7" t="n"/>
    </row>
    <row r="7468">
      <c r="A7468" s="7" t="n"/>
      <c r="B7468" s="7" t="n"/>
      <c r="C7468" s="7" t="n"/>
      <c r="D7468" s="7" t="n"/>
      <c r="E7468" s="7" t="n"/>
      <c r="F7468" s="7" t="n"/>
      <c r="G7468" s="7" t="n"/>
      <c r="H7468" s="7" t="n"/>
      <c r="I7468" s="7" t="n"/>
      <c r="J7468" s="7" t="n"/>
      <c r="K7468">
        <f>IF(D7468="Legitimate Interest (GDPR Art. 6(1)(f))", "Yes / Required (Sheet 3)", "")</f>
        <v/>
      </c>
      <c r="L7468" s="7" t="n"/>
      <c r="M7468" s="7" t="n"/>
      <c r="N7468">
        <f>IF(D7468="", "Gap - No Legal Basis", IF(AND(D7468="Consent (GDPR Art. 6(1)(a))", I7468="Not Captured"), "Gap - Invalid Consent", IF(AND(D7468="Legitimate Interest (GDPR Art. 6(1)(f))", L7468=""), "Gap - Missing LIA", IF(AND(G7468="Yes", H7468=""), "Gap - Missing Art. 9 Basis", IF(OR(I7468="Invalid - Not Freely Given", I7468="Invalid - Not Specific", I7468="Invalid - Not Informed", I7468="Invalid - Ambiguous"), "Gap - Invalid Consent", "Compliant")))))</f>
        <v/>
      </c>
      <c r="O7468" s="7" t="n"/>
    </row>
    <row r="7469">
      <c r="A7469" s="7" t="n"/>
      <c r="B7469" s="7" t="n"/>
      <c r="C7469" s="7" t="n"/>
      <c r="D7469" s="7" t="n"/>
      <c r="E7469" s="7" t="n"/>
      <c r="F7469" s="7" t="n"/>
      <c r="G7469" s="7" t="n"/>
      <c r="H7469" s="7" t="n"/>
      <c r="I7469" s="7" t="n"/>
      <c r="J7469" s="7" t="n"/>
      <c r="K7469">
        <f>IF(D7469="Legitimate Interest (GDPR Art. 6(1)(f))", "Yes / Required (Sheet 3)", "")</f>
        <v/>
      </c>
      <c r="L7469" s="7" t="n"/>
      <c r="M7469" s="7" t="n"/>
      <c r="N7469">
        <f>IF(D7469="", "Gap - No Legal Basis", IF(AND(D7469="Consent (GDPR Art. 6(1)(a))", I7469="Not Captured"), "Gap - Invalid Consent", IF(AND(D7469="Legitimate Interest (GDPR Art. 6(1)(f))", L7469=""), "Gap - Missing LIA", IF(AND(G7469="Yes", H7469=""), "Gap - Missing Art. 9 Basis", IF(OR(I7469="Invalid - Not Freely Given", I7469="Invalid - Not Specific", I7469="Invalid - Not Informed", I7469="Invalid - Ambiguous"), "Gap - Invalid Consent", "Compliant")))))</f>
        <v/>
      </c>
      <c r="O7469" s="7" t="n"/>
    </row>
    <row r="7470">
      <c r="A7470" s="7" t="n"/>
      <c r="B7470" s="7" t="n"/>
      <c r="C7470" s="7" t="n"/>
      <c r="D7470" s="7" t="n"/>
      <c r="E7470" s="7" t="n"/>
      <c r="F7470" s="7" t="n"/>
      <c r="G7470" s="7" t="n"/>
      <c r="H7470" s="7" t="n"/>
      <c r="I7470" s="7" t="n"/>
      <c r="J7470" s="7" t="n"/>
      <c r="K7470">
        <f>IF(D7470="Legitimate Interest (GDPR Art. 6(1)(f))", "Yes / Required (Sheet 3)", "")</f>
        <v/>
      </c>
      <c r="L7470" s="7" t="n"/>
      <c r="M7470" s="7" t="n"/>
      <c r="N7470">
        <f>IF(D7470="", "Gap - No Legal Basis", IF(AND(D7470="Consent (GDPR Art. 6(1)(a))", I7470="Not Captured"), "Gap - Invalid Consent", IF(AND(D7470="Legitimate Interest (GDPR Art. 6(1)(f))", L7470=""), "Gap - Missing LIA", IF(AND(G7470="Yes", H7470=""), "Gap - Missing Art. 9 Basis", IF(OR(I7470="Invalid - Not Freely Given", I7470="Invalid - Not Specific", I7470="Invalid - Not Informed", I7470="Invalid - Ambiguous"), "Gap - Invalid Consent", "Compliant")))))</f>
        <v/>
      </c>
      <c r="O7470" s="7" t="n"/>
    </row>
    <row r="7471">
      <c r="A7471" s="7" t="n"/>
      <c r="B7471" s="7" t="n"/>
      <c r="C7471" s="7" t="n"/>
      <c r="D7471" s="7" t="n"/>
      <c r="E7471" s="7" t="n"/>
      <c r="F7471" s="7" t="n"/>
      <c r="G7471" s="7" t="n"/>
      <c r="H7471" s="7" t="n"/>
      <c r="I7471" s="7" t="n"/>
      <c r="J7471" s="7" t="n"/>
      <c r="K7471">
        <f>IF(D7471="Legitimate Interest (GDPR Art. 6(1)(f))", "Yes / Required (Sheet 3)", "")</f>
        <v/>
      </c>
      <c r="L7471" s="7" t="n"/>
      <c r="M7471" s="7" t="n"/>
      <c r="N7471">
        <f>IF(D7471="", "Gap - No Legal Basis", IF(AND(D7471="Consent (GDPR Art. 6(1)(a))", I7471="Not Captured"), "Gap - Invalid Consent", IF(AND(D7471="Legitimate Interest (GDPR Art. 6(1)(f))", L7471=""), "Gap - Missing LIA", IF(AND(G7471="Yes", H7471=""), "Gap - Missing Art. 9 Basis", IF(OR(I7471="Invalid - Not Freely Given", I7471="Invalid - Not Specific", I7471="Invalid - Not Informed", I7471="Invalid - Ambiguous"), "Gap - Invalid Consent", "Compliant")))))</f>
        <v/>
      </c>
      <c r="O7471" s="7" t="n"/>
    </row>
    <row r="7472">
      <c r="A7472" s="7" t="n"/>
      <c r="B7472" s="7" t="n"/>
      <c r="C7472" s="7" t="n"/>
      <c r="D7472" s="7" t="n"/>
      <c r="E7472" s="7" t="n"/>
      <c r="F7472" s="7" t="n"/>
      <c r="G7472" s="7" t="n"/>
      <c r="H7472" s="7" t="n"/>
      <c r="I7472" s="7" t="n"/>
      <c r="J7472" s="7" t="n"/>
      <c r="K7472">
        <f>IF(D7472="Legitimate Interest (GDPR Art. 6(1)(f))", "Yes / Required (Sheet 3)", "")</f>
        <v/>
      </c>
      <c r="L7472" s="7" t="n"/>
      <c r="M7472" s="7" t="n"/>
      <c r="N7472">
        <f>IF(D7472="", "Gap - No Legal Basis", IF(AND(D7472="Consent (GDPR Art. 6(1)(a))", I7472="Not Captured"), "Gap - Invalid Consent", IF(AND(D7472="Legitimate Interest (GDPR Art. 6(1)(f))", L7472=""), "Gap - Missing LIA", IF(AND(G7472="Yes", H7472=""), "Gap - Missing Art. 9 Basis", IF(OR(I7472="Invalid - Not Freely Given", I7472="Invalid - Not Specific", I7472="Invalid - Not Informed", I7472="Invalid - Ambiguous"), "Gap - Invalid Consent", "Compliant")))))</f>
        <v/>
      </c>
      <c r="O7472" s="7" t="n"/>
    </row>
    <row r="7473">
      <c r="A7473" s="7" t="n"/>
      <c r="B7473" s="7" t="n"/>
      <c r="C7473" s="7" t="n"/>
      <c r="D7473" s="7" t="n"/>
      <c r="E7473" s="7" t="n"/>
      <c r="F7473" s="7" t="n"/>
      <c r="G7473" s="7" t="n"/>
      <c r="H7473" s="7" t="n"/>
      <c r="I7473" s="7" t="n"/>
      <c r="J7473" s="7" t="n"/>
      <c r="K7473">
        <f>IF(D7473="Legitimate Interest (GDPR Art. 6(1)(f))", "Yes / Required (Sheet 3)", "")</f>
        <v/>
      </c>
      <c r="L7473" s="7" t="n"/>
      <c r="M7473" s="7" t="n"/>
      <c r="N7473">
        <f>IF(D7473="", "Gap - No Legal Basis", IF(AND(D7473="Consent (GDPR Art. 6(1)(a))", I7473="Not Captured"), "Gap - Invalid Consent", IF(AND(D7473="Legitimate Interest (GDPR Art. 6(1)(f))", L7473=""), "Gap - Missing LIA", IF(AND(G7473="Yes", H7473=""), "Gap - Missing Art. 9 Basis", IF(OR(I7473="Invalid - Not Freely Given", I7473="Invalid - Not Specific", I7473="Invalid - Not Informed", I7473="Invalid - Ambiguous"), "Gap - Invalid Consent", "Compliant")))))</f>
        <v/>
      </c>
      <c r="O7473" s="7" t="n"/>
    </row>
    <row r="7474">
      <c r="A7474" s="7" t="n"/>
      <c r="B7474" s="7" t="n"/>
      <c r="C7474" s="7" t="n"/>
      <c r="D7474" s="7" t="n"/>
      <c r="E7474" s="7" t="n"/>
      <c r="F7474" s="7" t="n"/>
      <c r="G7474" s="7" t="n"/>
      <c r="H7474" s="7" t="n"/>
      <c r="I7474" s="7" t="n"/>
      <c r="J7474" s="7" t="n"/>
      <c r="K7474">
        <f>IF(D7474="Legitimate Interest (GDPR Art. 6(1)(f))", "Yes / Required (Sheet 3)", "")</f>
        <v/>
      </c>
      <c r="L7474" s="7" t="n"/>
      <c r="M7474" s="7" t="n"/>
      <c r="N7474">
        <f>IF(D7474="", "Gap - No Legal Basis", IF(AND(D7474="Consent (GDPR Art. 6(1)(a))", I7474="Not Captured"), "Gap - Invalid Consent", IF(AND(D7474="Legitimate Interest (GDPR Art. 6(1)(f))", L7474=""), "Gap - Missing LIA", IF(AND(G7474="Yes", H7474=""), "Gap - Missing Art. 9 Basis", IF(OR(I7474="Invalid - Not Freely Given", I7474="Invalid - Not Specific", I7474="Invalid - Not Informed", I7474="Invalid - Ambiguous"), "Gap - Invalid Consent", "Compliant")))))</f>
        <v/>
      </c>
      <c r="O7474" s="7" t="n"/>
    </row>
    <row r="7475">
      <c r="A7475" s="7" t="n"/>
      <c r="B7475" s="7" t="n"/>
      <c r="C7475" s="7" t="n"/>
      <c r="D7475" s="7" t="n"/>
      <c r="E7475" s="7" t="n"/>
      <c r="F7475" s="7" t="n"/>
      <c r="G7475" s="7" t="n"/>
      <c r="H7475" s="7" t="n"/>
      <c r="I7475" s="7" t="n"/>
      <c r="J7475" s="7" t="n"/>
      <c r="K7475">
        <f>IF(D7475="Legitimate Interest (GDPR Art. 6(1)(f))", "Yes / Required (Sheet 3)", "")</f>
        <v/>
      </c>
      <c r="L7475" s="7" t="n"/>
      <c r="M7475" s="7" t="n"/>
      <c r="N7475">
        <f>IF(D7475="", "Gap - No Legal Basis", IF(AND(D7475="Consent (GDPR Art. 6(1)(a))", I7475="Not Captured"), "Gap - Invalid Consent", IF(AND(D7475="Legitimate Interest (GDPR Art. 6(1)(f))", L7475=""), "Gap - Missing LIA", IF(AND(G7475="Yes", H7475=""), "Gap - Missing Art. 9 Basis", IF(OR(I7475="Invalid - Not Freely Given", I7475="Invalid - Not Specific", I7475="Invalid - Not Informed", I7475="Invalid - Ambiguous"), "Gap - Invalid Consent", "Compliant")))))</f>
        <v/>
      </c>
      <c r="O7475" s="7" t="n"/>
    </row>
    <row r="7476">
      <c r="A7476" s="7" t="n"/>
      <c r="B7476" s="7" t="n"/>
      <c r="C7476" s="7" t="n"/>
      <c r="D7476" s="7" t="n"/>
      <c r="E7476" s="7" t="n"/>
      <c r="F7476" s="7" t="n"/>
      <c r="G7476" s="7" t="n"/>
      <c r="H7476" s="7" t="n"/>
      <c r="I7476" s="7" t="n"/>
      <c r="J7476" s="7" t="n"/>
      <c r="K7476">
        <f>IF(D7476="Legitimate Interest (GDPR Art. 6(1)(f))", "Yes / Required (Sheet 3)", "")</f>
        <v/>
      </c>
      <c r="L7476" s="7" t="n"/>
      <c r="M7476" s="7" t="n"/>
      <c r="N7476">
        <f>IF(D7476="", "Gap - No Legal Basis", IF(AND(D7476="Consent (GDPR Art. 6(1)(a))", I7476="Not Captured"), "Gap - Invalid Consent", IF(AND(D7476="Legitimate Interest (GDPR Art. 6(1)(f))", L7476=""), "Gap - Missing LIA", IF(AND(G7476="Yes", H7476=""), "Gap - Missing Art. 9 Basis", IF(OR(I7476="Invalid - Not Freely Given", I7476="Invalid - Not Specific", I7476="Invalid - Not Informed", I7476="Invalid - Ambiguous"), "Gap - Invalid Consent", "Compliant")))))</f>
        <v/>
      </c>
      <c r="O7476" s="7" t="n"/>
    </row>
    <row r="7477">
      <c r="A7477" s="7" t="n"/>
      <c r="B7477" s="7" t="n"/>
      <c r="C7477" s="7" t="n"/>
      <c r="D7477" s="7" t="n"/>
      <c r="E7477" s="7" t="n"/>
      <c r="F7477" s="7" t="n"/>
      <c r="G7477" s="7" t="n"/>
      <c r="H7477" s="7" t="n"/>
      <c r="I7477" s="7" t="n"/>
      <c r="J7477" s="7" t="n"/>
      <c r="K7477">
        <f>IF(D7477="Legitimate Interest (GDPR Art. 6(1)(f))", "Yes / Required (Sheet 3)", "")</f>
        <v/>
      </c>
      <c r="L7477" s="7" t="n"/>
      <c r="M7477" s="7" t="n"/>
      <c r="N7477">
        <f>IF(D7477="", "Gap - No Legal Basis", IF(AND(D7477="Consent (GDPR Art. 6(1)(a))", I7477="Not Captured"), "Gap - Invalid Consent", IF(AND(D7477="Legitimate Interest (GDPR Art. 6(1)(f))", L7477=""), "Gap - Missing LIA", IF(AND(G7477="Yes", H7477=""), "Gap - Missing Art. 9 Basis", IF(OR(I7477="Invalid - Not Freely Given", I7477="Invalid - Not Specific", I7477="Invalid - Not Informed", I7477="Invalid - Ambiguous"), "Gap - Invalid Consent", "Compliant")))))</f>
        <v/>
      </c>
      <c r="O7477" s="7" t="n"/>
    </row>
    <row r="7478">
      <c r="A7478" s="7" t="n"/>
      <c r="B7478" s="7" t="n"/>
      <c r="C7478" s="7" t="n"/>
      <c r="D7478" s="7" t="n"/>
      <c r="E7478" s="7" t="n"/>
      <c r="F7478" s="7" t="n"/>
      <c r="G7478" s="7" t="n"/>
      <c r="H7478" s="7" t="n"/>
      <c r="I7478" s="7" t="n"/>
      <c r="J7478" s="7" t="n"/>
      <c r="K7478">
        <f>IF(D7478="Legitimate Interest (GDPR Art. 6(1)(f))", "Yes / Required (Sheet 3)", "")</f>
        <v/>
      </c>
      <c r="L7478" s="7" t="n"/>
      <c r="M7478" s="7" t="n"/>
      <c r="N7478">
        <f>IF(D7478="", "Gap - No Legal Basis", IF(AND(D7478="Consent (GDPR Art. 6(1)(a))", I7478="Not Captured"), "Gap - Invalid Consent", IF(AND(D7478="Legitimate Interest (GDPR Art. 6(1)(f))", L7478=""), "Gap - Missing LIA", IF(AND(G7478="Yes", H7478=""), "Gap - Missing Art. 9 Basis", IF(OR(I7478="Invalid - Not Freely Given", I7478="Invalid - Not Specific", I7478="Invalid - Not Informed", I7478="Invalid - Ambiguous"), "Gap - Invalid Consent", "Compliant")))))</f>
        <v/>
      </c>
      <c r="O7478" s="7" t="n"/>
    </row>
    <row r="7479">
      <c r="A7479" s="7" t="n"/>
      <c r="B7479" s="7" t="n"/>
      <c r="C7479" s="7" t="n"/>
      <c r="D7479" s="7" t="n"/>
      <c r="E7479" s="7" t="n"/>
      <c r="F7479" s="7" t="n"/>
      <c r="G7479" s="7" t="n"/>
      <c r="H7479" s="7" t="n"/>
      <c r="I7479" s="7" t="n"/>
      <c r="J7479" s="7" t="n"/>
      <c r="K7479">
        <f>IF(D7479="Legitimate Interest (GDPR Art. 6(1)(f))", "Yes / Required (Sheet 3)", "")</f>
        <v/>
      </c>
      <c r="L7479" s="7" t="n"/>
      <c r="M7479" s="7" t="n"/>
      <c r="N7479">
        <f>IF(D7479="", "Gap - No Legal Basis", IF(AND(D7479="Consent (GDPR Art. 6(1)(a))", I7479="Not Captured"), "Gap - Invalid Consent", IF(AND(D7479="Legitimate Interest (GDPR Art. 6(1)(f))", L7479=""), "Gap - Missing LIA", IF(AND(G7479="Yes", H7479=""), "Gap - Missing Art. 9 Basis", IF(OR(I7479="Invalid - Not Freely Given", I7479="Invalid - Not Specific", I7479="Invalid - Not Informed", I7479="Invalid - Ambiguous"), "Gap - Invalid Consent", "Compliant")))))</f>
        <v/>
      </c>
      <c r="O7479" s="7" t="n"/>
    </row>
    <row r="7480">
      <c r="A7480" s="7" t="n"/>
      <c r="B7480" s="7" t="n"/>
      <c r="C7480" s="7" t="n"/>
      <c r="D7480" s="7" t="n"/>
      <c r="E7480" s="7" t="n"/>
      <c r="F7480" s="7" t="n"/>
      <c r="G7480" s="7" t="n"/>
      <c r="H7480" s="7" t="n"/>
      <c r="I7480" s="7" t="n"/>
      <c r="J7480" s="7" t="n"/>
      <c r="K7480">
        <f>IF(D7480="Legitimate Interest (GDPR Art. 6(1)(f))", "Yes / Required (Sheet 3)", "")</f>
        <v/>
      </c>
      <c r="L7480" s="7" t="n"/>
      <c r="M7480" s="7" t="n"/>
      <c r="N7480">
        <f>IF(D7480="", "Gap - No Legal Basis", IF(AND(D7480="Consent (GDPR Art. 6(1)(a))", I7480="Not Captured"), "Gap - Invalid Consent", IF(AND(D7480="Legitimate Interest (GDPR Art. 6(1)(f))", L7480=""), "Gap - Missing LIA", IF(AND(G7480="Yes", H7480=""), "Gap - Missing Art. 9 Basis", IF(OR(I7480="Invalid - Not Freely Given", I7480="Invalid - Not Specific", I7480="Invalid - Not Informed", I7480="Invalid - Ambiguous"), "Gap - Invalid Consent", "Compliant")))))</f>
        <v/>
      </c>
      <c r="O7480" s="7" t="n"/>
    </row>
    <row r="7481">
      <c r="A7481" s="7" t="n"/>
      <c r="B7481" s="7" t="n"/>
      <c r="C7481" s="7" t="n"/>
      <c r="D7481" s="7" t="n"/>
      <c r="E7481" s="7" t="n"/>
      <c r="F7481" s="7" t="n"/>
      <c r="G7481" s="7" t="n"/>
      <c r="H7481" s="7" t="n"/>
      <c r="I7481" s="7" t="n"/>
      <c r="J7481" s="7" t="n"/>
      <c r="K7481">
        <f>IF(D7481="Legitimate Interest (GDPR Art. 6(1)(f))", "Yes / Required (Sheet 3)", "")</f>
        <v/>
      </c>
      <c r="L7481" s="7" t="n"/>
      <c r="M7481" s="7" t="n"/>
      <c r="N7481">
        <f>IF(D7481="", "Gap - No Legal Basis", IF(AND(D7481="Consent (GDPR Art. 6(1)(a))", I7481="Not Captured"), "Gap - Invalid Consent", IF(AND(D7481="Legitimate Interest (GDPR Art. 6(1)(f))", L7481=""), "Gap - Missing LIA", IF(AND(G7481="Yes", H7481=""), "Gap - Missing Art. 9 Basis", IF(OR(I7481="Invalid - Not Freely Given", I7481="Invalid - Not Specific", I7481="Invalid - Not Informed", I7481="Invalid - Ambiguous"), "Gap - Invalid Consent", "Compliant")))))</f>
        <v/>
      </c>
      <c r="O7481" s="7" t="n"/>
    </row>
    <row r="7482">
      <c r="A7482" s="7" t="n"/>
      <c r="B7482" s="7" t="n"/>
      <c r="C7482" s="7" t="n"/>
      <c r="D7482" s="7" t="n"/>
      <c r="E7482" s="7" t="n"/>
      <c r="F7482" s="7" t="n"/>
      <c r="G7482" s="7" t="n"/>
      <c r="H7482" s="7" t="n"/>
      <c r="I7482" s="7" t="n"/>
      <c r="J7482" s="7" t="n"/>
      <c r="K7482">
        <f>IF(D7482="Legitimate Interest (GDPR Art. 6(1)(f))", "Yes / Required (Sheet 3)", "")</f>
        <v/>
      </c>
      <c r="L7482" s="7" t="n"/>
      <c r="M7482" s="7" t="n"/>
      <c r="N7482">
        <f>IF(D7482="", "Gap - No Legal Basis", IF(AND(D7482="Consent (GDPR Art. 6(1)(a))", I7482="Not Captured"), "Gap - Invalid Consent", IF(AND(D7482="Legitimate Interest (GDPR Art. 6(1)(f))", L7482=""), "Gap - Missing LIA", IF(AND(G7482="Yes", H7482=""), "Gap - Missing Art. 9 Basis", IF(OR(I7482="Invalid - Not Freely Given", I7482="Invalid - Not Specific", I7482="Invalid - Not Informed", I7482="Invalid - Ambiguous"), "Gap - Invalid Consent", "Compliant")))))</f>
        <v/>
      </c>
      <c r="O7482" s="7" t="n"/>
    </row>
    <row r="7483">
      <c r="A7483" s="7" t="n"/>
      <c r="B7483" s="7" t="n"/>
      <c r="C7483" s="7" t="n"/>
      <c r="D7483" s="7" t="n"/>
      <c r="E7483" s="7" t="n"/>
      <c r="F7483" s="7" t="n"/>
      <c r="G7483" s="7" t="n"/>
      <c r="H7483" s="7" t="n"/>
      <c r="I7483" s="7" t="n"/>
      <c r="J7483" s="7" t="n"/>
      <c r="K7483">
        <f>IF(D7483="Legitimate Interest (GDPR Art. 6(1)(f))", "Yes / Required (Sheet 3)", "")</f>
        <v/>
      </c>
      <c r="L7483" s="7" t="n"/>
      <c r="M7483" s="7" t="n"/>
      <c r="N7483">
        <f>IF(D7483="", "Gap - No Legal Basis", IF(AND(D7483="Consent (GDPR Art. 6(1)(a))", I7483="Not Captured"), "Gap - Invalid Consent", IF(AND(D7483="Legitimate Interest (GDPR Art. 6(1)(f))", L7483=""), "Gap - Missing LIA", IF(AND(G7483="Yes", H7483=""), "Gap - Missing Art. 9 Basis", IF(OR(I7483="Invalid - Not Freely Given", I7483="Invalid - Not Specific", I7483="Invalid - Not Informed", I7483="Invalid - Ambiguous"), "Gap - Invalid Consent", "Compliant")))))</f>
        <v/>
      </c>
      <c r="O7483" s="7" t="n"/>
    </row>
    <row r="7484">
      <c r="A7484" s="7" t="n"/>
      <c r="B7484" s="7" t="n"/>
      <c r="C7484" s="7" t="n"/>
      <c r="D7484" s="7" t="n"/>
      <c r="E7484" s="7" t="n"/>
      <c r="F7484" s="7" t="n"/>
      <c r="G7484" s="7" t="n"/>
      <c r="H7484" s="7" t="n"/>
      <c r="I7484" s="7" t="n"/>
      <c r="J7484" s="7" t="n"/>
      <c r="K7484">
        <f>IF(D7484="Legitimate Interest (GDPR Art. 6(1)(f))", "Yes / Required (Sheet 3)", "")</f>
        <v/>
      </c>
      <c r="L7484" s="7" t="n"/>
      <c r="M7484" s="7" t="n"/>
      <c r="N7484">
        <f>IF(D7484="", "Gap - No Legal Basis", IF(AND(D7484="Consent (GDPR Art. 6(1)(a))", I7484="Not Captured"), "Gap - Invalid Consent", IF(AND(D7484="Legitimate Interest (GDPR Art. 6(1)(f))", L7484=""), "Gap - Missing LIA", IF(AND(G7484="Yes", H7484=""), "Gap - Missing Art. 9 Basis", IF(OR(I7484="Invalid - Not Freely Given", I7484="Invalid - Not Specific", I7484="Invalid - Not Informed", I7484="Invalid - Ambiguous"), "Gap - Invalid Consent", "Compliant")))))</f>
        <v/>
      </c>
      <c r="O7484" s="7" t="n"/>
    </row>
    <row r="7485">
      <c r="A7485" s="7" t="n"/>
      <c r="B7485" s="7" t="n"/>
      <c r="C7485" s="7" t="n"/>
      <c r="D7485" s="7" t="n"/>
      <c r="E7485" s="7" t="n"/>
      <c r="F7485" s="7" t="n"/>
      <c r="G7485" s="7" t="n"/>
      <c r="H7485" s="7" t="n"/>
      <c r="I7485" s="7" t="n"/>
      <c r="J7485" s="7" t="n"/>
      <c r="K7485">
        <f>IF(D7485="Legitimate Interest (GDPR Art. 6(1)(f))", "Yes / Required (Sheet 3)", "")</f>
        <v/>
      </c>
      <c r="L7485" s="7" t="n"/>
      <c r="M7485" s="7" t="n"/>
      <c r="N7485">
        <f>IF(D7485="", "Gap - No Legal Basis", IF(AND(D7485="Consent (GDPR Art. 6(1)(a))", I7485="Not Captured"), "Gap - Invalid Consent", IF(AND(D7485="Legitimate Interest (GDPR Art. 6(1)(f))", L7485=""), "Gap - Missing LIA", IF(AND(G7485="Yes", H7485=""), "Gap - Missing Art. 9 Basis", IF(OR(I7485="Invalid - Not Freely Given", I7485="Invalid - Not Specific", I7485="Invalid - Not Informed", I7485="Invalid - Ambiguous"), "Gap - Invalid Consent", "Compliant")))))</f>
        <v/>
      </c>
      <c r="O7485" s="7" t="n"/>
    </row>
    <row r="7486">
      <c r="A7486" s="7" t="n"/>
      <c r="B7486" s="7" t="n"/>
      <c r="C7486" s="7" t="n"/>
      <c r="D7486" s="7" t="n"/>
      <c r="E7486" s="7" t="n"/>
      <c r="F7486" s="7" t="n"/>
      <c r="G7486" s="7" t="n"/>
      <c r="H7486" s="7" t="n"/>
      <c r="I7486" s="7" t="n"/>
      <c r="J7486" s="7" t="n"/>
      <c r="K7486">
        <f>IF(D7486="Legitimate Interest (GDPR Art. 6(1)(f))", "Yes / Required (Sheet 3)", "")</f>
        <v/>
      </c>
      <c r="L7486" s="7" t="n"/>
      <c r="M7486" s="7" t="n"/>
      <c r="N7486">
        <f>IF(D7486="", "Gap - No Legal Basis", IF(AND(D7486="Consent (GDPR Art. 6(1)(a))", I7486="Not Captured"), "Gap - Invalid Consent", IF(AND(D7486="Legitimate Interest (GDPR Art. 6(1)(f))", L7486=""), "Gap - Missing LIA", IF(AND(G7486="Yes", H7486=""), "Gap - Missing Art. 9 Basis", IF(OR(I7486="Invalid - Not Freely Given", I7486="Invalid - Not Specific", I7486="Invalid - Not Informed", I7486="Invalid - Ambiguous"), "Gap - Invalid Consent", "Compliant")))))</f>
        <v/>
      </c>
      <c r="O7486" s="7" t="n"/>
    </row>
    <row r="7487">
      <c r="A7487" s="7" t="n"/>
      <c r="B7487" s="7" t="n"/>
      <c r="C7487" s="7" t="n"/>
      <c r="D7487" s="7" t="n"/>
      <c r="E7487" s="7" t="n"/>
      <c r="F7487" s="7" t="n"/>
      <c r="G7487" s="7" t="n"/>
      <c r="H7487" s="7" t="n"/>
      <c r="I7487" s="7" t="n"/>
      <c r="J7487" s="7" t="n"/>
      <c r="K7487">
        <f>IF(D7487="Legitimate Interest (GDPR Art. 6(1)(f))", "Yes / Required (Sheet 3)", "")</f>
        <v/>
      </c>
      <c r="L7487" s="7" t="n"/>
      <c r="M7487" s="7" t="n"/>
      <c r="N7487">
        <f>IF(D7487="", "Gap - No Legal Basis", IF(AND(D7487="Consent (GDPR Art. 6(1)(a))", I7487="Not Captured"), "Gap - Invalid Consent", IF(AND(D7487="Legitimate Interest (GDPR Art. 6(1)(f))", L7487=""), "Gap - Missing LIA", IF(AND(G7487="Yes", H7487=""), "Gap - Missing Art. 9 Basis", IF(OR(I7487="Invalid - Not Freely Given", I7487="Invalid - Not Specific", I7487="Invalid - Not Informed", I7487="Invalid - Ambiguous"), "Gap - Invalid Consent", "Compliant")))))</f>
        <v/>
      </c>
      <c r="O7487" s="7" t="n"/>
    </row>
    <row r="7488">
      <c r="A7488" s="7" t="n"/>
      <c r="B7488" s="7" t="n"/>
      <c r="C7488" s="7" t="n"/>
      <c r="D7488" s="7" t="n"/>
      <c r="E7488" s="7" t="n"/>
      <c r="F7488" s="7" t="n"/>
      <c r="G7488" s="7" t="n"/>
      <c r="H7488" s="7" t="n"/>
      <c r="I7488" s="7" t="n"/>
      <c r="J7488" s="7" t="n"/>
      <c r="K7488">
        <f>IF(D7488="Legitimate Interest (GDPR Art. 6(1)(f))", "Yes / Required (Sheet 3)", "")</f>
        <v/>
      </c>
      <c r="L7488" s="7" t="n"/>
      <c r="M7488" s="7" t="n"/>
      <c r="N7488">
        <f>IF(D7488="", "Gap - No Legal Basis", IF(AND(D7488="Consent (GDPR Art. 6(1)(a))", I7488="Not Captured"), "Gap - Invalid Consent", IF(AND(D7488="Legitimate Interest (GDPR Art. 6(1)(f))", L7488=""), "Gap - Missing LIA", IF(AND(G7488="Yes", H7488=""), "Gap - Missing Art. 9 Basis", IF(OR(I7488="Invalid - Not Freely Given", I7488="Invalid - Not Specific", I7488="Invalid - Not Informed", I7488="Invalid - Ambiguous"), "Gap - Invalid Consent", "Compliant")))))</f>
        <v/>
      </c>
      <c r="O7488" s="7" t="n"/>
    </row>
    <row r="7489">
      <c r="A7489" s="7" t="n"/>
      <c r="B7489" s="7" t="n"/>
      <c r="C7489" s="7" t="n"/>
      <c r="D7489" s="7" t="n"/>
      <c r="E7489" s="7" t="n"/>
      <c r="F7489" s="7" t="n"/>
      <c r="G7489" s="7" t="n"/>
      <c r="H7489" s="7" t="n"/>
      <c r="I7489" s="7" t="n"/>
      <c r="J7489" s="7" t="n"/>
      <c r="K7489">
        <f>IF(D7489="Legitimate Interest (GDPR Art. 6(1)(f))", "Yes / Required (Sheet 3)", "")</f>
        <v/>
      </c>
      <c r="L7489" s="7" t="n"/>
      <c r="M7489" s="7" t="n"/>
      <c r="N7489">
        <f>IF(D7489="", "Gap - No Legal Basis", IF(AND(D7489="Consent (GDPR Art. 6(1)(a))", I7489="Not Captured"), "Gap - Invalid Consent", IF(AND(D7489="Legitimate Interest (GDPR Art. 6(1)(f))", L7489=""), "Gap - Missing LIA", IF(AND(G7489="Yes", H7489=""), "Gap - Missing Art. 9 Basis", IF(OR(I7489="Invalid - Not Freely Given", I7489="Invalid - Not Specific", I7489="Invalid - Not Informed", I7489="Invalid - Ambiguous"), "Gap - Invalid Consent", "Compliant")))))</f>
        <v/>
      </c>
      <c r="O7489" s="7" t="n"/>
    </row>
    <row r="7490">
      <c r="A7490" s="7" t="n"/>
      <c r="B7490" s="7" t="n"/>
      <c r="C7490" s="7" t="n"/>
      <c r="D7490" s="7" t="n"/>
      <c r="E7490" s="7" t="n"/>
      <c r="F7490" s="7" t="n"/>
      <c r="G7490" s="7" t="n"/>
      <c r="H7490" s="7" t="n"/>
      <c r="I7490" s="7" t="n"/>
      <c r="J7490" s="7" t="n"/>
      <c r="K7490">
        <f>IF(D7490="Legitimate Interest (GDPR Art. 6(1)(f))", "Yes / Required (Sheet 3)", "")</f>
        <v/>
      </c>
      <c r="L7490" s="7" t="n"/>
      <c r="M7490" s="7" t="n"/>
      <c r="N7490">
        <f>IF(D7490="", "Gap - No Legal Basis", IF(AND(D7490="Consent (GDPR Art. 6(1)(a))", I7490="Not Captured"), "Gap - Invalid Consent", IF(AND(D7490="Legitimate Interest (GDPR Art. 6(1)(f))", L7490=""), "Gap - Missing LIA", IF(AND(G7490="Yes", H7490=""), "Gap - Missing Art. 9 Basis", IF(OR(I7490="Invalid - Not Freely Given", I7490="Invalid - Not Specific", I7490="Invalid - Not Informed", I7490="Invalid - Ambiguous"), "Gap - Invalid Consent", "Compliant")))))</f>
        <v/>
      </c>
      <c r="O7490" s="7" t="n"/>
    </row>
    <row r="7491">
      <c r="A7491" s="7" t="n"/>
      <c r="B7491" s="7" t="n"/>
      <c r="C7491" s="7" t="n"/>
      <c r="D7491" s="7" t="n"/>
      <c r="E7491" s="7" t="n"/>
      <c r="F7491" s="7" t="n"/>
      <c r="G7491" s="7" t="n"/>
      <c r="H7491" s="7" t="n"/>
      <c r="I7491" s="7" t="n"/>
      <c r="J7491" s="7" t="n"/>
      <c r="K7491">
        <f>IF(D7491="Legitimate Interest (GDPR Art. 6(1)(f))", "Yes / Required (Sheet 3)", "")</f>
        <v/>
      </c>
      <c r="L7491" s="7" t="n"/>
      <c r="M7491" s="7" t="n"/>
      <c r="N7491">
        <f>IF(D7491="", "Gap - No Legal Basis", IF(AND(D7491="Consent (GDPR Art. 6(1)(a))", I7491="Not Captured"), "Gap - Invalid Consent", IF(AND(D7491="Legitimate Interest (GDPR Art. 6(1)(f))", L7491=""), "Gap - Missing LIA", IF(AND(G7491="Yes", H7491=""), "Gap - Missing Art. 9 Basis", IF(OR(I7491="Invalid - Not Freely Given", I7491="Invalid - Not Specific", I7491="Invalid - Not Informed", I7491="Invalid - Ambiguous"), "Gap - Invalid Consent", "Compliant")))))</f>
        <v/>
      </c>
      <c r="O7491" s="7" t="n"/>
    </row>
    <row r="7492">
      <c r="A7492" s="7" t="n"/>
      <c r="B7492" s="7" t="n"/>
      <c r="C7492" s="7" t="n"/>
      <c r="D7492" s="7" t="n"/>
      <c r="E7492" s="7" t="n"/>
      <c r="F7492" s="7" t="n"/>
      <c r="G7492" s="7" t="n"/>
      <c r="H7492" s="7" t="n"/>
      <c r="I7492" s="7" t="n"/>
      <c r="J7492" s="7" t="n"/>
      <c r="K7492">
        <f>IF(D7492="Legitimate Interest (GDPR Art. 6(1)(f))", "Yes / Required (Sheet 3)", "")</f>
        <v/>
      </c>
      <c r="L7492" s="7" t="n"/>
      <c r="M7492" s="7" t="n"/>
      <c r="N7492">
        <f>IF(D7492="", "Gap - No Legal Basis", IF(AND(D7492="Consent (GDPR Art. 6(1)(a))", I7492="Not Captured"), "Gap - Invalid Consent", IF(AND(D7492="Legitimate Interest (GDPR Art. 6(1)(f))", L7492=""), "Gap - Missing LIA", IF(AND(G7492="Yes", H7492=""), "Gap - Missing Art. 9 Basis", IF(OR(I7492="Invalid - Not Freely Given", I7492="Invalid - Not Specific", I7492="Invalid - Not Informed", I7492="Invalid - Ambiguous"), "Gap - Invalid Consent", "Compliant")))))</f>
        <v/>
      </c>
      <c r="O7492" s="7" t="n"/>
    </row>
    <row r="7493">
      <c r="A7493" s="7" t="n"/>
      <c r="B7493" s="7" t="n"/>
      <c r="C7493" s="7" t="n"/>
      <c r="D7493" s="7" t="n"/>
      <c r="E7493" s="7" t="n"/>
      <c r="F7493" s="7" t="n"/>
      <c r="G7493" s="7" t="n"/>
      <c r="H7493" s="7" t="n"/>
      <c r="I7493" s="7" t="n"/>
      <c r="J7493" s="7" t="n"/>
      <c r="K7493">
        <f>IF(D7493="Legitimate Interest (GDPR Art. 6(1)(f))", "Yes / Required (Sheet 3)", "")</f>
        <v/>
      </c>
      <c r="L7493" s="7" t="n"/>
      <c r="M7493" s="7" t="n"/>
      <c r="N7493">
        <f>IF(D7493="", "Gap - No Legal Basis", IF(AND(D7493="Consent (GDPR Art. 6(1)(a))", I7493="Not Captured"), "Gap - Invalid Consent", IF(AND(D7493="Legitimate Interest (GDPR Art. 6(1)(f))", L7493=""), "Gap - Missing LIA", IF(AND(G7493="Yes", H7493=""), "Gap - Missing Art. 9 Basis", IF(OR(I7493="Invalid - Not Freely Given", I7493="Invalid - Not Specific", I7493="Invalid - Not Informed", I7493="Invalid - Ambiguous"), "Gap - Invalid Consent", "Compliant")))))</f>
        <v/>
      </c>
      <c r="O7493" s="7" t="n"/>
    </row>
    <row r="7494">
      <c r="A7494" s="7" t="n"/>
      <c r="B7494" s="7" t="n"/>
      <c r="C7494" s="7" t="n"/>
      <c r="D7494" s="7" t="n"/>
      <c r="E7494" s="7" t="n"/>
      <c r="F7494" s="7" t="n"/>
      <c r="G7494" s="7" t="n"/>
      <c r="H7494" s="7" t="n"/>
      <c r="I7494" s="7" t="n"/>
      <c r="J7494" s="7" t="n"/>
      <c r="K7494">
        <f>IF(D7494="Legitimate Interest (GDPR Art. 6(1)(f))", "Yes / Required (Sheet 3)", "")</f>
        <v/>
      </c>
      <c r="L7494" s="7" t="n"/>
      <c r="M7494" s="7" t="n"/>
      <c r="N7494">
        <f>IF(D7494="", "Gap - No Legal Basis", IF(AND(D7494="Consent (GDPR Art. 6(1)(a))", I7494="Not Captured"), "Gap - Invalid Consent", IF(AND(D7494="Legitimate Interest (GDPR Art. 6(1)(f))", L7494=""), "Gap - Missing LIA", IF(AND(G7494="Yes", H7494=""), "Gap - Missing Art. 9 Basis", IF(OR(I7494="Invalid - Not Freely Given", I7494="Invalid - Not Specific", I7494="Invalid - Not Informed", I7494="Invalid - Ambiguous"), "Gap - Invalid Consent", "Compliant")))))</f>
        <v/>
      </c>
      <c r="O7494" s="7" t="n"/>
    </row>
    <row r="7495">
      <c r="A7495" s="7" t="n"/>
      <c r="B7495" s="7" t="n"/>
      <c r="C7495" s="7" t="n"/>
      <c r="D7495" s="7" t="n"/>
      <c r="E7495" s="7" t="n"/>
      <c r="F7495" s="7" t="n"/>
      <c r="G7495" s="7" t="n"/>
      <c r="H7495" s="7" t="n"/>
      <c r="I7495" s="7" t="n"/>
      <c r="J7495" s="7" t="n"/>
      <c r="K7495">
        <f>IF(D7495="Legitimate Interest (GDPR Art. 6(1)(f))", "Yes / Required (Sheet 3)", "")</f>
        <v/>
      </c>
      <c r="L7495" s="7" t="n"/>
      <c r="M7495" s="7" t="n"/>
      <c r="N7495">
        <f>IF(D7495="", "Gap - No Legal Basis", IF(AND(D7495="Consent (GDPR Art. 6(1)(a))", I7495="Not Captured"), "Gap - Invalid Consent", IF(AND(D7495="Legitimate Interest (GDPR Art. 6(1)(f))", L7495=""), "Gap - Missing LIA", IF(AND(G7495="Yes", H7495=""), "Gap - Missing Art. 9 Basis", IF(OR(I7495="Invalid - Not Freely Given", I7495="Invalid - Not Specific", I7495="Invalid - Not Informed", I7495="Invalid - Ambiguous"), "Gap - Invalid Consent", "Compliant")))))</f>
        <v/>
      </c>
      <c r="O7495" s="7" t="n"/>
    </row>
    <row r="7496">
      <c r="A7496" s="7" t="n"/>
      <c r="B7496" s="7" t="n"/>
      <c r="C7496" s="7" t="n"/>
      <c r="D7496" s="7" t="n"/>
      <c r="E7496" s="7" t="n"/>
      <c r="F7496" s="7" t="n"/>
      <c r="G7496" s="7" t="n"/>
      <c r="H7496" s="7" t="n"/>
      <c r="I7496" s="7" t="n"/>
      <c r="J7496" s="7" t="n"/>
      <c r="K7496">
        <f>IF(D7496="Legitimate Interest (GDPR Art. 6(1)(f))", "Yes / Required (Sheet 3)", "")</f>
        <v/>
      </c>
      <c r="L7496" s="7" t="n"/>
      <c r="M7496" s="7" t="n"/>
      <c r="N7496">
        <f>IF(D7496="", "Gap - No Legal Basis", IF(AND(D7496="Consent (GDPR Art. 6(1)(a))", I7496="Not Captured"), "Gap - Invalid Consent", IF(AND(D7496="Legitimate Interest (GDPR Art. 6(1)(f))", L7496=""), "Gap - Missing LIA", IF(AND(G7496="Yes", H7496=""), "Gap - Missing Art. 9 Basis", IF(OR(I7496="Invalid - Not Freely Given", I7496="Invalid - Not Specific", I7496="Invalid - Not Informed", I7496="Invalid - Ambiguous"), "Gap - Invalid Consent", "Compliant")))))</f>
        <v/>
      </c>
      <c r="O7496" s="7" t="n"/>
    </row>
    <row r="7497">
      <c r="A7497" s="7" t="n"/>
      <c r="B7497" s="7" t="n"/>
      <c r="C7497" s="7" t="n"/>
      <c r="D7497" s="7" t="n"/>
      <c r="E7497" s="7" t="n"/>
      <c r="F7497" s="7" t="n"/>
      <c r="G7497" s="7" t="n"/>
      <c r="H7497" s="7" t="n"/>
      <c r="I7497" s="7" t="n"/>
      <c r="J7497" s="7" t="n"/>
      <c r="K7497">
        <f>IF(D7497="Legitimate Interest (GDPR Art. 6(1)(f))", "Yes / Required (Sheet 3)", "")</f>
        <v/>
      </c>
      <c r="L7497" s="7" t="n"/>
      <c r="M7497" s="7" t="n"/>
      <c r="N7497">
        <f>IF(D7497="", "Gap - No Legal Basis", IF(AND(D7497="Consent (GDPR Art. 6(1)(a))", I7497="Not Captured"), "Gap - Invalid Consent", IF(AND(D7497="Legitimate Interest (GDPR Art. 6(1)(f))", L7497=""), "Gap - Missing LIA", IF(AND(G7497="Yes", H7497=""), "Gap - Missing Art. 9 Basis", IF(OR(I7497="Invalid - Not Freely Given", I7497="Invalid - Not Specific", I7497="Invalid - Not Informed", I7497="Invalid - Ambiguous"), "Gap - Invalid Consent", "Compliant")))))</f>
        <v/>
      </c>
      <c r="O7497" s="7" t="n"/>
    </row>
    <row r="7498">
      <c r="A7498" s="7" t="n"/>
      <c r="B7498" s="7" t="n"/>
      <c r="C7498" s="7" t="n"/>
      <c r="D7498" s="7" t="n"/>
      <c r="E7498" s="7" t="n"/>
      <c r="F7498" s="7" t="n"/>
      <c r="G7498" s="7" t="n"/>
      <c r="H7498" s="7" t="n"/>
      <c r="I7498" s="7" t="n"/>
      <c r="J7498" s="7" t="n"/>
      <c r="K7498">
        <f>IF(D7498="Legitimate Interest (GDPR Art. 6(1)(f))", "Yes / Required (Sheet 3)", "")</f>
        <v/>
      </c>
      <c r="L7498" s="7" t="n"/>
      <c r="M7498" s="7" t="n"/>
      <c r="N7498">
        <f>IF(D7498="", "Gap - No Legal Basis", IF(AND(D7498="Consent (GDPR Art. 6(1)(a))", I7498="Not Captured"), "Gap - Invalid Consent", IF(AND(D7498="Legitimate Interest (GDPR Art. 6(1)(f))", L7498=""), "Gap - Missing LIA", IF(AND(G7498="Yes", H7498=""), "Gap - Missing Art. 9 Basis", IF(OR(I7498="Invalid - Not Freely Given", I7498="Invalid - Not Specific", I7498="Invalid - Not Informed", I7498="Invalid - Ambiguous"), "Gap - Invalid Consent", "Compliant")))))</f>
        <v/>
      </c>
      <c r="O7498" s="7" t="n"/>
    </row>
    <row r="7499">
      <c r="A7499" s="7" t="n"/>
      <c r="B7499" s="7" t="n"/>
      <c r="C7499" s="7" t="n"/>
      <c r="D7499" s="7" t="n"/>
      <c r="E7499" s="7" t="n"/>
      <c r="F7499" s="7" t="n"/>
      <c r="G7499" s="7" t="n"/>
      <c r="H7499" s="7" t="n"/>
      <c r="I7499" s="7" t="n"/>
      <c r="J7499" s="7" t="n"/>
      <c r="K7499">
        <f>IF(D7499="Legitimate Interest (GDPR Art. 6(1)(f))", "Yes / Required (Sheet 3)", "")</f>
        <v/>
      </c>
      <c r="L7499" s="7" t="n"/>
      <c r="M7499" s="7" t="n"/>
      <c r="N7499">
        <f>IF(D7499="", "Gap - No Legal Basis", IF(AND(D7499="Consent (GDPR Art. 6(1)(a))", I7499="Not Captured"), "Gap - Invalid Consent", IF(AND(D7499="Legitimate Interest (GDPR Art. 6(1)(f))", L7499=""), "Gap - Missing LIA", IF(AND(G7499="Yes", H7499=""), "Gap - Missing Art. 9 Basis", IF(OR(I7499="Invalid - Not Freely Given", I7499="Invalid - Not Specific", I7499="Invalid - Not Informed", I7499="Invalid - Ambiguous"), "Gap - Invalid Consent", "Compliant")))))</f>
        <v/>
      </c>
      <c r="O7499" s="7" t="n"/>
    </row>
    <row r="7500">
      <c r="A7500" s="7" t="n"/>
      <c r="B7500" s="7" t="n"/>
      <c r="C7500" s="7" t="n"/>
      <c r="D7500" s="7" t="n"/>
      <c r="E7500" s="7" t="n"/>
      <c r="F7500" s="7" t="n"/>
      <c r="G7500" s="7" t="n"/>
      <c r="H7500" s="7" t="n"/>
      <c r="I7500" s="7" t="n"/>
      <c r="J7500" s="7" t="n"/>
      <c r="K7500">
        <f>IF(D7500="Legitimate Interest (GDPR Art. 6(1)(f))", "Yes / Required (Sheet 3)", "")</f>
        <v/>
      </c>
      <c r="L7500" s="7" t="n"/>
      <c r="M7500" s="7" t="n"/>
      <c r="N7500">
        <f>IF(D7500="", "Gap - No Legal Basis", IF(AND(D7500="Consent (GDPR Art. 6(1)(a))", I7500="Not Captured"), "Gap - Invalid Consent", IF(AND(D7500="Legitimate Interest (GDPR Art. 6(1)(f))", L7500=""), "Gap - Missing LIA", IF(AND(G7500="Yes", H7500=""), "Gap - Missing Art. 9 Basis", IF(OR(I7500="Invalid - Not Freely Given", I7500="Invalid - Not Specific", I7500="Invalid - Not Informed", I7500="Invalid - Ambiguous"), "Gap - Invalid Consent", "Compliant")))))</f>
        <v/>
      </c>
      <c r="O7500" s="7" t="n"/>
    </row>
    <row r="7501">
      <c r="A7501" s="7" t="n"/>
      <c r="B7501" s="7" t="n"/>
      <c r="C7501" s="7" t="n"/>
      <c r="D7501" s="7" t="n"/>
      <c r="E7501" s="7" t="n"/>
      <c r="F7501" s="7" t="n"/>
      <c r="G7501" s="7" t="n"/>
      <c r="H7501" s="7" t="n"/>
      <c r="I7501" s="7" t="n"/>
      <c r="J7501" s="7" t="n"/>
      <c r="K7501">
        <f>IF(D7501="Legitimate Interest (GDPR Art. 6(1)(f))", "Yes / Required (Sheet 3)", "")</f>
        <v/>
      </c>
      <c r="L7501" s="7" t="n"/>
      <c r="M7501" s="7" t="n"/>
      <c r="N7501">
        <f>IF(D7501="", "Gap - No Legal Basis", IF(AND(D7501="Consent (GDPR Art. 6(1)(a))", I7501="Not Captured"), "Gap - Invalid Consent", IF(AND(D7501="Legitimate Interest (GDPR Art. 6(1)(f))", L7501=""), "Gap - Missing LIA", IF(AND(G7501="Yes", H7501=""), "Gap - Missing Art. 9 Basis", IF(OR(I7501="Invalid - Not Freely Given", I7501="Invalid - Not Specific", I7501="Invalid - Not Informed", I7501="Invalid - Ambiguous"), "Gap - Invalid Consent", "Compliant")))))</f>
        <v/>
      </c>
      <c r="O7501" s="7" t="n"/>
    </row>
    <row r="7502">
      <c r="A7502" s="7" t="n"/>
      <c r="B7502" s="7" t="n"/>
      <c r="C7502" s="7" t="n"/>
      <c r="D7502" s="7" t="n"/>
      <c r="E7502" s="7" t="n"/>
      <c r="F7502" s="7" t="n"/>
      <c r="G7502" s="7" t="n"/>
      <c r="H7502" s="7" t="n"/>
      <c r="I7502" s="7" t="n"/>
      <c r="J7502" s="7" t="n"/>
      <c r="K7502">
        <f>IF(D7502="Legitimate Interest (GDPR Art. 6(1)(f))", "Yes / Required (Sheet 3)", "")</f>
        <v/>
      </c>
      <c r="L7502" s="7" t="n"/>
      <c r="M7502" s="7" t="n"/>
      <c r="N7502">
        <f>IF(D7502="", "Gap - No Legal Basis", IF(AND(D7502="Consent (GDPR Art. 6(1)(a))", I7502="Not Captured"), "Gap - Invalid Consent", IF(AND(D7502="Legitimate Interest (GDPR Art. 6(1)(f))", L7502=""), "Gap - Missing LIA", IF(AND(G7502="Yes", H7502=""), "Gap - Missing Art. 9 Basis", IF(OR(I7502="Invalid - Not Freely Given", I7502="Invalid - Not Specific", I7502="Invalid - Not Informed", I7502="Invalid - Ambiguous"), "Gap - Invalid Consent", "Compliant")))))</f>
        <v/>
      </c>
      <c r="O7502" s="7" t="n"/>
    </row>
    <row r="7503">
      <c r="A7503" s="7" t="n"/>
      <c r="B7503" s="7" t="n"/>
      <c r="C7503" s="7" t="n"/>
      <c r="D7503" s="7" t="n"/>
      <c r="E7503" s="7" t="n"/>
      <c r="F7503" s="7" t="n"/>
      <c r="G7503" s="7" t="n"/>
      <c r="H7503" s="7" t="n"/>
      <c r="I7503" s="7" t="n"/>
      <c r="J7503" s="7" t="n"/>
      <c r="K7503">
        <f>IF(D7503="Legitimate Interest (GDPR Art. 6(1)(f))", "Yes / Required (Sheet 3)", "")</f>
        <v/>
      </c>
      <c r="L7503" s="7" t="n"/>
      <c r="M7503" s="7" t="n"/>
      <c r="N7503">
        <f>IF(D7503="", "Gap - No Legal Basis", IF(AND(D7503="Consent (GDPR Art. 6(1)(a))", I7503="Not Captured"), "Gap - Invalid Consent", IF(AND(D7503="Legitimate Interest (GDPR Art. 6(1)(f))", L7503=""), "Gap - Missing LIA", IF(AND(G7503="Yes", H7503=""), "Gap - Missing Art. 9 Basis", IF(OR(I7503="Invalid - Not Freely Given", I7503="Invalid - Not Specific", I7503="Invalid - Not Informed", I7503="Invalid - Ambiguous"), "Gap - Invalid Consent", "Compliant")))))</f>
        <v/>
      </c>
      <c r="O7503" s="7" t="n"/>
    </row>
    <row r="7504">
      <c r="A7504" s="7" t="n"/>
      <c r="B7504" s="7" t="n"/>
      <c r="C7504" s="7" t="n"/>
      <c r="D7504" s="7" t="n"/>
      <c r="E7504" s="7" t="n"/>
      <c r="F7504" s="7" t="n"/>
      <c r="G7504" s="7" t="n"/>
      <c r="H7504" s="7" t="n"/>
      <c r="I7504" s="7" t="n"/>
      <c r="J7504" s="7" t="n"/>
      <c r="K7504">
        <f>IF(D7504="Legitimate Interest (GDPR Art. 6(1)(f))", "Yes / Required (Sheet 3)", "")</f>
        <v/>
      </c>
      <c r="L7504" s="7" t="n"/>
      <c r="M7504" s="7" t="n"/>
      <c r="N7504">
        <f>IF(D7504="", "Gap - No Legal Basis", IF(AND(D7504="Consent (GDPR Art. 6(1)(a))", I7504="Not Captured"), "Gap - Invalid Consent", IF(AND(D7504="Legitimate Interest (GDPR Art. 6(1)(f))", L7504=""), "Gap - Missing LIA", IF(AND(G7504="Yes", H7504=""), "Gap - Missing Art. 9 Basis", IF(OR(I7504="Invalid - Not Freely Given", I7504="Invalid - Not Specific", I7504="Invalid - Not Informed", I7504="Invalid - Ambiguous"), "Gap - Invalid Consent", "Compliant")))))</f>
        <v/>
      </c>
      <c r="O7504" s="7" t="n"/>
    </row>
    <row r="7505">
      <c r="A7505" s="7" t="n"/>
      <c r="B7505" s="7" t="n"/>
      <c r="C7505" s="7" t="n"/>
      <c r="D7505" s="7" t="n"/>
      <c r="E7505" s="7" t="n"/>
      <c r="F7505" s="7" t="n"/>
      <c r="G7505" s="7" t="n"/>
      <c r="H7505" s="7" t="n"/>
      <c r="I7505" s="7" t="n"/>
      <c r="J7505" s="7" t="n"/>
      <c r="K7505">
        <f>IF(D7505="Legitimate Interest (GDPR Art. 6(1)(f))", "Yes / Required (Sheet 3)", "")</f>
        <v/>
      </c>
      <c r="L7505" s="7" t="n"/>
      <c r="M7505" s="7" t="n"/>
      <c r="N7505">
        <f>IF(D7505="", "Gap - No Legal Basis", IF(AND(D7505="Consent (GDPR Art. 6(1)(a))", I7505="Not Captured"), "Gap - Invalid Consent", IF(AND(D7505="Legitimate Interest (GDPR Art. 6(1)(f))", L7505=""), "Gap - Missing LIA", IF(AND(G7505="Yes", H7505=""), "Gap - Missing Art. 9 Basis", IF(OR(I7505="Invalid - Not Freely Given", I7505="Invalid - Not Specific", I7505="Invalid - Not Informed", I7505="Invalid - Ambiguous"), "Gap - Invalid Consent", "Compliant")))))</f>
        <v/>
      </c>
      <c r="O7505" s="7" t="n"/>
    </row>
    <row r="7506">
      <c r="A7506" s="7" t="n"/>
      <c r="B7506" s="7" t="n"/>
      <c r="C7506" s="7" t="n"/>
      <c r="D7506" s="7" t="n"/>
      <c r="E7506" s="7" t="n"/>
      <c r="F7506" s="7" t="n"/>
      <c r="G7506" s="7" t="n"/>
      <c r="H7506" s="7" t="n"/>
      <c r="I7506" s="7" t="n"/>
      <c r="J7506" s="7" t="n"/>
      <c r="K7506">
        <f>IF(D7506="Legitimate Interest (GDPR Art. 6(1)(f))", "Yes / Required (Sheet 3)", "")</f>
        <v/>
      </c>
      <c r="L7506" s="7" t="n"/>
      <c r="M7506" s="7" t="n"/>
      <c r="N7506">
        <f>IF(D7506="", "Gap - No Legal Basis", IF(AND(D7506="Consent (GDPR Art. 6(1)(a))", I7506="Not Captured"), "Gap - Invalid Consent", IF(AND(D7506="Legitimate Interest (GDPR Art. 6(1)(f))", L7506=""), "Gap - Missing LIA", IF(AND(G7506="Yes", H7506=""), "Gap - Missing Art. 9 Basis", IF(OR(I7506="Invalid - Not Freely Given", I7506="Invalid - Not Specific", I7506="Invalid - Not Informed", I7506="Invalid - Ambiguous"), "Gap - Invalid Consent", "Compliant")))))</f>
        <v/>
      </c>
      <c r="O7506" s="7" t="n"/>
    </row>
    <row r="7507">
      <c r="A7507" s="7" t="n"/>
      <c r="B7507" s="7" t="n"/>
      <c r="C7507" s="7" t="n"/>
      <c r="D7507" s="7" t="n"/>
      <c r="E7507" s="7" t="n"/>
      <c r="F7507" s="7" t="n"/>
      <c r="G7507" s="7" t="n"/>
      <c r="H7507" s="7" t="n"/>
      <c r="I7507" s="7" t="n"/>
      <c r="J7507" s="7" t="n"/>
      <c r="K7507">
        <f>IF(D7507="Legitimate Interest (GDPR Art. 6(1)(f))", "Yes / Required (Sheet 3)", "")</f>
        <v/>
      </c>
      <c r="L7507" s="7" t="n"/>
      <c r="M7507" s="7" t="n"/>
      <c r="N7507">
        <f>IF(D7507="", "Gap - No Legal Basis", IF(AND(D7507="Consent (GDPR Art. 6(1)(a))", I7507="Not Captured"), "Gap - Invalid Consent", IF(AND(D7507="Legitimate Interest (GDPR Art. 6(1)(f))", L7507=""), "Gap - Missing LIA", IF(AND(G7507="Yes", H7507=""), "Gap - Missing Art. 9 Basis", IF(OR(I7507="Invalid - Not Freely Given", I7507="Invalid - Not Specific", I7507="Invalid - Not Informed", I7507="Invalid - Ambiguous"), "Gap - Invalid Consent", "Compliant")))))</f>
        <v/>
      </c>
      <c r="O7507" s="7" t="n"/>
    </row>
    <row r="7508">
      <c r="A7508" s="7" t="n"/>
      <c r="B7508" s="7" t="n"/>
      <c r="C7508" s="7" t="n"/>
      <c r="D7508" s="7" t="n"/>
      <c r="E7508" s="7" t="n"/>
      <c r="F7508" s="7" t="n"/>
      <c r="G7508" s="7" t="n"/>
      <c r="H7508" s="7" t="n"/>
      <c r="I7508" s="7" t="n"/>
      <c r="J7508" s="7" t="n"/>
      <c r="K7508">
        <f>IF(D7508="Legitimate Interest (GDPR Art. 6(1)(f))", "Yes / Required (Sheet 3)", "")</f>
        <v/>
      </c>
      <c r="L7508" s="7" t="n"/>
      <c r="M7508" s="7" t="n"/>
      <c r="N7508">
        <f>IF(D7508="", "Gap - No Legal Basis", IF(AND(D7508="Consent (GDPR Art. 6(1)(a))", I7508="Not Captured"), "Gap - Invalid Consent", IF(AND(D7508="Legitimate Interest (GDPR Art. 6(1)(f))", L7508=""), "Gap - Missing LIA", IF(AND(G7508="Yes", H7508=""), "Gap - Missing Art. 9 Basis", IF(OR(I7508="Invalid - Not Freely Given", I7508="Invalid - Not Specific", I7508="Invalid - Not Informed", I7508="Invalid - Ambiguous"), "Gap - Invalid Consent", "Compliant")))))</f>
        <v/>
      </c>
      <c r="O7508" s="7" t="n"/>
    </row>
    <row r="7509">
      <c r="A7509" s="7" t="n"/>
      <c r="B7509" s="7" t="n"/>
      <c r="C7509" s="7" t="n"/>
      <c r="D7509" s="7" t="n"/>
      <c r="E7509" s="7" t="n"/>
      <c r="F7509" s="7" t="n"/>
      <c r="G7509" s="7" t="n"/>
      <c r="H7509" s="7" t="n"/>
      <c r="I7509" s="7" t="n"/>
      <c r="J7509" s="7" t="n"/>
      <c r="K7509">
        <f>IF(D7509="Legitimate Interest (GDPR Art. 6(1)(f))", "Yes / Required (Sheet 3)", "")</f>
        <v/>
      </c>
      <c r="L7509" s="7" t="n"/>
      <c r="M7509" s="7" t="n"/>
      <c r="N7509">
        <f>IF(D7509="", "Gap - No Legal Basis", IF(AND(D7509="Consent (GDPR Art. 6(1)(a))", I7509="Not Captured"), "Gap - Invalid Consent", IF(AND(D7509="Legitimate Interest (GDPR Art. 6(1)(f))", L7509=""), "Gap - Missing LIA", IF(AND(G7509="Yes", H7509=""), "Gap - Missing Art. 9 Basis", IF(OR(I7509="Invalid - Not Freely Given", I7509="Invalid - Not Specific", I7509="Invalid - Not Informed", I7509="Invalid - Ambiguous"), "Gap - Invalid Consent", "Compliant")))))</f>
        <v/>
      </c>
      <c r="O7509" s="7" t="n"/>
    </row>
    <row r="7510">
      <c r="A7510" s="7" t="n"/>
      <c r="B7510" s="7" t="n"/>
      <c r="C7510" s="7" t="n"/>
      <c r="D7510" s="7" t="n"/>
      <c r="E7510" s="7" t="n"/>
      <c r="F7510" s="7" t="n"/>
      <c r="G7510" s="7" t="n"/>
      <c r="H7510" s="7" t="n"/>
      <c r="I7510" s="7" t="n"/>
      <c r="J7510" s="7" t="n"/>
      <c r="K7510">
        <f>IF(D7510="Legitimate Interest (GDPR Art. 6(1)(f))", "Yes / Required (Sheet 3)", "")</f>
        <v/>
      </c>
      <c r="L7510" s="7" t="n"/>
      <c r="M7510" s="7" t="n"/>
      <c r="N7510">
        <f>IF(D7510="", "Gap - No Legal Basis", IF(AND(D7510="Consent (GDPR Art. 6(1)(a))", I7510="Not Captured"), "Gap - Invalid Consent", IF(AND(D7510="Legitimate Interest (GDPR Art. 6(1)(f))", L7510=""), "Gap - Missing LIA", IF(AND(G7510="Yes", H7510=""), "Gap - Missing Art. 9 Basis", IF(OR(I7510="Invalid - Not Freely Given", I7510="Invalid - Not Specific", I7510="Invalid - Not Informed", I7510="Invalid - Ambiguous"), "Gap - Invalid Consent", "Compliant")))))</f>
        <v/>
      </c>
      <c r="O7510" s="7" t="n"/>
    </row>
    <row r="7511">
      <c r="A7511" s="7" t="n"/>
      <c r="B7511" s="7" t="n"/>
      <c r="C7511" s="7" t="n"/>
      <c r="D7511" s="7" t="n"/>
      <c r="E7511" s="7" t="n"/>
      <c r="F7511" s="7" t="n"/>
      <c r="G7511" s="7" t="n"/>
      <c r="H7511" s="7" t="n"/>
      <c r="I7511" s="7" t="n"/>
      <c r="J7511" s="7" t="n"/>
      <c r="K7511">
        <f>IF(D7511="Legitimate Interest (GDPR Art. 6(1)(f))", "Yes / Required (Sheet 3)", "")</f>
        <v/>
      </c>
      <c r="L7511" s="7" t="n"/>
      <c r="M7511" s="7" t="n"/>
      <c r="N7511">
        <f>IF(D7511="", "Gap - No Legal Basis", IF(AND(D7511="Consent (GDPR Art. 6(1)(a))", I7511="Not Captured"), "Gap - Invalid Consent", IF(AND(D7511="Legitimate Interest (GDPR Art. 6(1)(f))", L7511=""), "Gap - Missing LIA", IF(AND(G7511="Yes", H7511=""), "Gap - Missing Art. 9 Basis", IF(OR(I7511="Invalid - Not Freely Given", I7511="Invalid - Not Specific", I7511="Invalid - Not Informed", I7511="Invalid - Ambiguous"), "Gap - Invalid Consent", "Compliant")))))</f>
        <v/>
      </c>
      <c r="O7511" s="7" t="n"/>
    </row>
    <row r="7512">
      <c r="A7512" s="7" t="n"/>
      <c r="B7512" s="7" t="n"/>
      <c r="C7512" s="7" t="n"/>
      <c r="D7512" s="7" t="n"/>
      <c r="E7512" s="7" t="n"/>
      <c r="F7512" s="7" t="n"/>
      <c r="G7512" s="7" t="n"/>
      <c r="H7512" s="7" t="n"/>
      <c r="I7512" s="7" t="n"/>
      <c r="J7512" s="7" t="n"/>
      <c r="K7512">
        <f>IF(D7512="Legitimate Interest (GDPR Art. 6(1)(f))", "Yes / Required (Sheet 3)", "")</f>
        <v/>
      </c>
      <c r="L7512" s="7" t="n"/>
      <c r="M7512" s="7" t="n"/>
      <c r="N7512">
        <f>IF(D7512="", "Gap - No Legal Basis", IF(AND(D7512="Consent (GDPR Art. 6(1)(a))", I7512="Not Captured"), "Gap - Invalid Consent", IF(AND(D7512="Legitimate Interest (GDPR Art. 6(1)(f))", L7512=""), "Gap - Missing LIA", IF(AND(G7512="Yes", H7512=""), "Gap - Missing Art. 9 Basis", IF(OR(I7512="Invalid - Not Freely Given", I7512="Invalid - Not Specific", I7512="Invalid - Not Informed", I7512="Invalid - Ambiguous"), "Gap - Invalid Consent", "Compliant")))))</f>
        <v/>
      </c>
      <c r="O7512" s="7" t="n"/>
    </row>
    <row r="7513">
      <c r="A7513" s="7" t="n"/>
      <c r="B7513" s="7" t="n"/>
      <c r="C7513" s="7" t="n"/>
      <c r="D7513" s="7" t="n"/>
      <c r="E7513" s="7" t="n"/>
      <c r="F7513" s="7" t="n"/>
      <c r="G7513" s="7" t="n"/>
      <c r="H7513" s="7" t="n"/>
      <c r="I7513" s="7" t="n"/>
      <c r="J7513" s="7" t="n"/>
      <c r="K7513">
        <f>IF(D7513="Legitimate Interest (GDPR Art. 6(1)(f))", "Yes / Required (Sheet 3)", "")</f>
        <v/>
      </c>
      <c r="L7513" s="7" t="n"/>
      <c r="M7513" s="7" t="n"/>
      <c r="N7513">
        <f>IF(D7513="", "Gap - No Legal Basis", IF(AND(D7513="Consent (GDPR Art. 6(1)(a))", I7513="Not Captured"), "Gap - Invalid Consent", IF(AND(D7513="Legitimate Interest (GDPR Art. 6(1)(f))", L7513=""), "Gap - Missing LIA", IF(AND(G7513="Yes", H7513=""), "Gap - Missing Art. 9 Basis", IF(OR(I7513="Invalid - Not Freely Given", I7513="Invalid - Not Specific", I7513="Invalid - Not Informed", I7513="Invalid - Ambiguous"), "Gap - Invalid Consent", "Compliant")))))</f>
        <v/>
      </c>
      <c r="O7513" s="7" t="n"/>
    </row>
    <row r="7514">
      <c r="A7514" s="7" t="n"/>
      <c r="B7514" s="7" t="n"/>
      <c r="C7514" s="7" t="n"/>
      <c r="D7514" s="7" t="n"/>
      <c r="E7514" s="7" t="n"/>
      <c r="F7514" s="7" t="n"/>
      <c r="G7514" s="7" t="n"/>
      <c r="H7514" s="7" t="n"/>
      <c r="I7514" s="7" t="n"/>
      <c r="J7514" s="7" t="n"/>
      <c r="K7514">
        <f>IF(D7514="Legitimate Interest (GDPR Art. 6(1)(f))", "Yes / Required (Sheet 3)", "")</f>
        <v/>
      </c>
      <c r="L7514" s="7" t="n"/>
      <c r="M7514" s="7" t="n"/>
      <c r="N7514">
        <f>IF(D7514="", "Gap - No Legal Basis", IF(AND(D7514="Consent (GDPR Art. 6(1)(a))", I7514="Not Captured"), "Gap - Invalid Consent", IF(AND(D7514="Legitimate Interest (GDPR Art. 6(1)(f))", L7514=""), "Gap - Missing LIA", IF(AND(G7514="Yes", H7514=""), "Gap - Missing Art. 9 Basis", IF(OR(I7514="Invalid - Not Freely Given", I7514="Invalid - Not Specific", I7514="Invalid - Not Informed", I7514="Invalid - Ambiguous"), "Gap - Invalid Consent", "Compliant")))))</f>
        <v/>
      </c>
      <c r="O7514" s="7" t="n"/>
    </row>
    <row r="7515">
      <c r="A7515" s="7" t="n"/>
      <c r="B7515" s="7" t="n"/>
      <c r="C7515" s="7" t="n"/>
      <c r="D7515" s="7" t="n"/>
      <c r="E7515" s="7" t="n"/>
      <c r="F7515" s="7" t="n"/>
      <c r="G7515" s="7" t="n"/>
      <c r="H7515" s="7" t="n"/>
      <c r="I7515" s="7" t="n"/>
      <c r="J7515" s="7" t="n"/>
      <c r="K7515">
        <f>IF(D7515="Legitimate Interest (GDPR Art. 6(1)(f))", "Yes / Required (Sheet 3)", "")</f>
        <v/>
      </c>
      <c r="L7515" s="7" t="n"/>
      <c r="M7515" s="7" t="n"/>
      <c r="N7515">
        <f>IF(D7515="", "Gap - No Legal Basis", IF(AND(D7515="Consent (GDPR Art. 6(1)(a))", I7515="Not Captured"), "Gap - Invalid Consent", IF(AND(D7515="Legitimate Interest (GDPR Art. 6(1)(f))", L7515=""), "Gap - Missing LIA", IF(AND(G7515="Yes", H7515=""), "Gap - Missing Art. 9 Basis", IF(OR(I7515="Invalid - Not Freely Given", I7515="Invalid - Not Specific", I7515="Invalid - Not Informed", I7515="Invalid - Ambiguous"), "Gap - Invalid Consent", "Compliant")))))</f>
        <v/>
      </c>
      <c r="O7515" s="7" t="n"/>
    </row>
    <row r="7516">
      <c r="A7516" s="7" t="n"/>
      <c r="B7516" s="7" t="n"/>
      <c r="C7516" s="7" t="n"/>
      <c r="D7516" s="7" t="n"/>
      <c r="E7516" s="7" t="n"/>
      <c r="F7516" s="7" t="n"/>
      <c r="G7516" s="7" t="n"/>
      <c r="H7516" s="7" t="n"/>
      <c r="I7516" s="7" t="n"/>
      <c r="J7516" s="7" t="n"/>
      <c r="K7516">
        <f>IF(D7516="Legitimate Interest (GDPR Art. 6(1)(f))", "Yes / Required (Sheet 3)", "")</f>
        <v/>
      </c>
      <c r="L7516" s="7" t="n"/>
      <c r="M7516" s="7" t="n"/>
      <c r="N7516">
        <f>IF(D7516="", "Gap - No Legal Basis", IF(AND(D7516="Consent (GDPR Art. 6(1)(a))", I7516="Not Captured"), "Gap - Invalid Consent", IF(AND(D7516="Legitimate Interest (GDPR Art. 6(1)(f))", L7516=""), "Gap - Missing LIA", IF(AND(G7516="Yes", H7516=""), "Gap - Missing Art. 9 Basis", IF(OR(I7516="Invalid - Not Freely Given", I7516="Invalid - Not Specific", I7516="Invalid - Not Informed", I7516="Invalid - Ambiguous"), "Gap - Invalid Consent", "Compliant")))))</f>
        <v/>
      </c>
      <c r="O7516" s="7" t="n"/>
    </row>
    <row r="7517">
      <c r="A7517" s="7" t="n"/>
      <c r="B7517" s="7" t="n"/>
      <c r="C7517" s="7" t="n"/>
      <c r="D7517" s="7" t="n"/>
      <c r="E7517" s="7" t="n"/>
      <c r="F7517" s="7" t="n"/>
      <c r="G7517" s="7" t="n"/>
      <c r="H7517" s="7" t="n"/>
      <c r="I7517" s="7" t="n"/>
      <c r="J7517" s="7" t="n"/>
      <c r="K7517">
        <f>IF(D7517="Legitimate Interest (GDPR Art. 6(1)(f))", "Yes / Required (Sheet 3)", "")</f>
        <v/>
      </c>
      <c r="L7517" s="7" t="n"/>
      <c r="M7517" s="7" t="n"/>
      <c r="N7517">
        <f>IF(D7517="", "Gap - No Legal Basis", IF(AND(D7517="Consent (GDPR Art. 6(1)(a))", I7517="Not Captured"), "Gap - Invalid Consent", IF(AND(D7517="Legitimate Interest (GDPR Art. 6(1)(f))", L7517=""), "Gap - Missing LIA", IF(AND(G7517="Yes", H7517=""), "Gap - Missing Art. 9 Basis", IF(OR(I7517="Invalid - Not Freely Given", I7517="Invalid - Not Specific", I7517="Invalid - Not Informed", I7517="Invalid - Ambiguous"), "Gap - Invalid Consent", "Compliant")))))</f>
        <v/>
      </c>
      <c r="O7517" s="7" t="n"/>
    </row>
    <row r="7518">
      <c r="A7518" s="7" t="n"/>
      <c r="B7518" s="7" t="n"/>
      <c r="C7518" s="7" t="n"/>
      <c r="D7518" s="7" t="n"/>
      <c r="E7518" s="7" t="n"/>
      <c r="F7518" s="7" t="n"/>
      <c r="G7518" s="7" t="n"/>
      <c r="H7518" s="7" t="n"/>
      <c r="I7518" s="7" t="n"/>
      <c r="J7518" s="7" t="n"/>
      <c r="K7518">
        <f>IF(D7518="Legitimate Interest (GDPR Art. 6(1)(f))", "Yes / Required (Sheet 3)", "")</f>
        <v/>
      </c>
      <c r="L7518" s="7" t="n"/>
      <c r="M7518" s="7" t="n"/>
      <c r="N7518">
        <f>IF(D7518="", "Gap - No Legal Basis", IF(AND(D7518="Consent (GDPR Art. 6(1)(a))", I7518="Not Captured"), "Gap - Invalid Consent", IF(AND(D7518="Legitimate Interest (GDPR Art. 6(1)(f))", L7518=""), "Gap - Missing LIA", IF(AND(G7518="Yes", H7518=""), "Gap - Missing Art. 9 Basis", IF(OR(I7518="Invalid - Not Freely Given", I7518="Invalid - Not Specific", I7518="Invalid - Not Informed", I7518="Invalid - Ambiguous"), "Gap - Invalid Consent", "Compliant")))))</f>
        <v/>
      </c>
      <c r="O7518" s="7" t="n"/>
    </row>
    <row r="7519">
      <c r="A7519" s="7" t="n"/>
      <c r="B7519" s="7" t="n"/>
      <c r="C7519" s="7" t="n"/>
      <c r="D7519" s="7" t="n"/>
      <c r="E7519" s="7" t="n"/>
      <c r="F7519" s="7" t="n"/>
      <c r="G7519" s="7" t="n"/>
      <c r="H7519" s="7" t="n"/>
      <c r="I7519" s="7" t="n"/>
      <c r="J7519" s="7" t="n"/>
      <c r="K7519">
        <f>IF(D7519="Legitimate Interest (GDPR Art. 6(1)(f))", "Yes / Required (Sheet 3)", "")</f>
        <v/>
      </c>
      <c r="L7519" s="7" t="n"/>
      <c r="M7519" s="7" t="n"/>
      <c r="N7519">
        <f>IF(D7519="", "Gap - No Legal Basis", IF(AND(D7519="Consent (GDPR Art. 6(1)(a))", I7519="Not Captured"), "Gap - Invalid Consent", IF(AND(D7519="Legitimate Interest (GDPR Art. 6(1)(f))", L7519=""), "Gap - Missing LIA", IF(AND(G7519="Yes", H7519=""), "Gap - Missing Art. 9 Basis", IF(OR(I7519="Invalid - Not Freely Given", I7519="Invalid - Not Specific", I7519="Invalid - Not Informed", I7519="Invalid - Ambiguous"), "Gap - Invalid Consent", "Compliant")))))</f>
        <v/>
      </c>
      <c r="O7519" s="7" t="n"/>
    </row>
    <row r="7520">
      <c r="A7520" s="7" t="n"/>
      <c r="B7520" s="7" t="n"/>
      <c r="C7520" s="7" t="n"/>
      <c r="D7520" s="7" t="n"/>
      <c r="E7520" s="7" t="n"/>
      <c r="F7520" s="7" t="n"/>
      <c r="G7520" s="7" t="n"/>
      <c r="H7520" s="7" t="n"/>
      <c r="I7520" s="7" t="n"/>
      <c r="J7520" s="7" t="n"/>
      <c r="K7520">
        <f>IF(D7520="Legitimate Interest (GDPR Art. 6(1)(f))", "Yes / Required (Sheet 3)", "")</f>
        <v/>
      </c>
      <c r="L7520" s="7" t="n"/>
      <c r="M7520" s="7" t="n"/>
      <c r="N7520">
        <f>IF(D7520="", "Gap - No Legal Basis", IF(AND(D7520="Consent (GDPR Art. 6(1)(a))", I7520="Not Captured"), "Gap - Invalid Consent", IF(AND(D7520="Legitimate Interest (GDPR Art. 6(1)(f))", L7520=""), "Gap - Missing LIA", IF(AND(G7520="Yes", H7520=""), "Gap - Missing Art. 9 Basis", IF(OR(I7520="Invalid - Not Freely Given", I7520="Invalid - Not Specific", I7520="Invalid - Not Informed", I7520="Invalid - Ambiguous"), "Gap - Invalid Consent", "Compliant")))))</f>
        <v/>
      </c>
      <c r="O7520" s="7" t="n"/>
    </row>
    <row r="7521">
      <c r="A7521" s="7" t="n"/>
      <c r="B7521" s="7" t="n"/>
      <c r="C7521" s="7" t="n"/>
      <c r="D7521" s="7" t="n"/>
      <c r="E7521" s="7" t="n"/>
      <c r="F7521" s="7" t="n"/>
      <c r="G7521" s="7" t="n"/>
      <c r="H7521" s="7" t="n"/>
      <c r="I7521" s="7" t="n"/>
      <c r="J7521" s="7" t="n"/>
      <c r="K7521">
        <f>IF(D7521="Legitimate Interest (GDPR Art. 6(1)(f))", "Yes / Required (Sheet 3)", "")</f>
        <v/>
      </c>
      <c r="L7521" s="7" t="n"/>
      <c r="M7521" s="7" t="n"/>
      <c r="N7521">
        <f>IF(D7521="", "Gap - No Legal Basis", IF(AND(D7521="Consent (GDPR Art. 6(1)(a))", I7521="Not Captured"), "Gap - Invalid Consent", IF(AND(D7521="Legitimate Interest (GDPR Art. 6(1)(f))", L7521=""), "Gap - Missing LIA", IF(AND(G7521="Yes", H7521=""), "Gap - Missing Art. 9 Basis", IF(OR(I7521="Invalid - Not Freely Given", I7521="Invalid - Not Specific", I7521="Invalid - Not Informed", I7521="Invalid - Ambiguous"), "Gap - Invalid Consent", "Compliant")))))</f>
        <v/>
      </c>
      <c r="O7521" s="7" t="n"/>
    </row>
    <row r="7522">
      <c r="A7522" s="7" t="n"/>
      <c r="B7522" s="7" t="n"/>
      <c r="C7522" s="7" t="n"/>
      <c r="D7522" s="7" t="n"/>
      <c r="E7522" s="7" t="n"/>
      <c r="F7522" s="7" t="n"/>
      <c r="G7522" s="7" t="n"/>
      <c r="H7522" s="7" t="n"/>
      <c r="I7522" s="7" t="n"/>
      <c r="J7522" s="7" t="n"/>
      <c r="K7522">
        <f>IF(D7522="Legitimate Interest (GDPR Art. 6(1)(f))", "Yes / Required (Sheet 3)", "")</f>
        <v/>
      </c>
      <c r="L7522" s="7" t="n"/>
      <c r="M7522" s="7" t="n"/>
      <c r="N7522">
        <f>IF(D7522="", "Gap - No Legal Basis", IF(AND(D7522="Consent (GDPR Art. 6(1)(a))", I7522="Not Captured"), "Gap - Invalid Consent", IF(AND(D7522="Legitimate Interest (GDPR Art. 6(1)(f))", L7522=""), "Gap - Missing LIA", IF(AND(G7522="Yes", H7522=""), "Gap - Missing Art. 9 Basis", IF(OR(I7522="Invalid - Not Freely Given", I7522="Invalid - Not Specific", I7522="Invalid - Not Informed", I7522="Invalid - Ambiguous"), "Gap - Invalid Consent", "Compliant")))))</f>
        <v/>
      </c>
      <c r="O7522" s="7" t="n"/>
    </row>
    <row r="7523">
      <c r="A7523" s="7" t="n"/>
      <c r="B7523" s="7" t="n"/>
      <c r="C7523" s="7" t="n"/>
      <c r="D7523" s="7" t="n"/>
      <c r="E7523" s="7" t="n"/>
      <c r="F7523" s="7" t="n"/>
      <c r="G7523" s="7" t="n"/>
      <c r="H7523" s="7" t="n"/>
      <c r="I7523" s="7" t="n"/>
      <c r="J7523" s="7" t="n"/>
      <c r="K7523">
        <f>IF(D7523="Legitimate Interest (GDPR Art. 6(1)(f))", "Yes / Required (Sheet 3)", "")</f>
        <v/>
      </c>
      <c r="L7523" s="7" t="n"/>
      <c r="M7523" s="7" t="n"/>
      <c r="N7523">
        <f>IF(D7523="", "Gap - No Legal Basis", IF(AND(D7523="Consent (GDPR Art. 6(1)(a))", I7523="Not Captured"), "Gap - Invalid Consent", IF(AND(D7523="Legitimate Interest (GDPR Art. 6(1)(f))", L7523=""), "Gap - Missing LIA", IF(AND(G7523="Yes", H7523=""), "Gap - Missing Art. 9 Basis", IF(OR(I7523="Invalid - Not Freely Given", I7523="Invalid - Not Specific", I7523="Invalid - Not Informed", I7523="Invalid - Ambiguous"), "Gap - Invalid Consent", "Compliant")))))</f>
        <v/>
      </c>
      <c r="O7523" s="7" t="n"/>
    </row>
    <row r="7524">
      <c r="A7524" s="7" t="n"/>
      <c r="B7524" s="7" t="n"/>
      <c r="C7524" s="7" t="n"/>
      <c r="D7524" s="7" t="n"/>
      <c r="E7524" s="7" t="n"/>
      <c r="F7524" s="7" t="n"/>
      <c r="G7524" s="7" t="n"/>
      <c r="H7524" s="7" t="n"/>
      <c r="I7524" s="7" t="n"/>
      <c r="J7524" s="7" t="n"/>
      <c r="K7524">
        <f>IF(D7524="Legitimate Interest (GDPR Art. 6(1)(f))", "Yes / Required (Sheet 3)", "")</f>
        <v/>
      </c>
      <c r="L7524" s="7" t="n"/>
      <c r="M7524" s="7" t="n"/>
      <c r="N7524">
        <f>IF(D7524="", "Gap - No Legal Basis", IF(AND(D7524="Consent (GDPR Art. 6(1)(a))", I7524="Not Captured"), "Gap - Invalid Consent", IF(AND(D7524="Legitimate Interest (GDPR Art. 6(1)(f))", L7524=""), "Gap - Missing LIA", IF(AND(G7524="Yes", H7524=""), "Gap - Missing Art. 9 Basis", IF(OR(I7524="Invalid - Not Freely Given", I7524="Invalid - Not Specific", I7524="Invalid - Not Informed", I7524="Invalid - Ambiguous"), "Gap - Invalid Consent", "Compliant")))))</f>
        <v/>
      </c>
      <c r="O7524" s="7" t="n"/>
    </row>
    <row r="7525">
      <c r="A7525" s="7" t="n"/>
      <c r="B7525" s="7" t="n"/>
      <c r="C7525" s="7" t="n"/>
      <c r="D7525" s="7" t="n"/>
      <c r="E7525" s="7" t="n"/>
      <c r="F7525" s="7" t="n"/>
      <c r="G7525" s="7" t="n"/>
      <c r="H7525" s="7" t="n"/>
      <c r="I7525" s="7" t="n"/>
      <c r="J7525" s="7" t="n"/>
      <c r="K7525">
        <f>IF(D7525="Legitimate Interest (GDPR Art. 6(1)(f))", "Yes / Required (Sheet 3)", "")</f>
        <v/>
      </c>
      <c r="L7525" s="7" t="n"/>
      <c r="M7525" s="7" t="n"/>
      <c r="N7525">
        <f>IF(D7525="", "Gap - No Legal Basis", IF(AND(D7525="Consent (GDPR Art. 6(1)(a))", I7525="Not Captured"), "Gap - Invalid Consent", IF(AND(D7525="Legitimate Interest (GDPR Art. 6(1)(f))", L7525=""), "Gap - Missing LIA", IF(AND(G7525="Yes", H7525=""), "Gap - Missing Art. 9 Basis", IF(OR(I7525="Invalid - Not Freely Given", I7525="Invalid - Not Specific", I7525="Invalid - Not Informed", I7525="Invalid - Ambiguous"), "Gap - Invalid Consent", "Compliant")))))</f>
        <v/>
      </c>
      <c r="O7525" s="7" t="n"/>
    </row>
    <row r="7526">
      <c r="A7526" s="7" t="n"/>
      <c r="B7526" s="7" t="n"/>
      <c r="C7526" s="7" t="n"/>
      <c r="D7526" s="7" t="n"/>
      <c r="E7526" s="7" t="n"/>
      <c r="F7526" s="7" t="n"/>
      <c r="G7526" s="7" t="n"/>
      <c r="H7526" s="7" t="n"/>
      <c r="I7526" s="7" t="n"/>
      <c r="J7526" s="7" t="n"/>
      <c r="K7526">
        <f>IF(D7526="Legitimate Interest (GDPR Art. 6(1)(f))", "Yes / Required (Sheet 3)", "")</f>
        <v/>
      </c>
      <c r="L7526" s="7" t="n"/>
      <c r="M7526" s="7" t="n"/>
      <c r="N7526">
        <f>IF(D7526="", "Gap - No Legal Basis", IF(AND(D7526="Consent (GDPR Art. 6(1)(a))", I7526="Not Captured"), "Gap - Invalid Consent", IF(AND(D7526="Legitimate Interest (GDPR Art. 6(1)(f))", L7526=""), "Gap - Missing LIA", IF(AND(G7526="Yes", H7526=""), "Gap - Missing Art. 9 Basis", IF(OR(I7526="Invalid - Not Freely Given", I7526="Invalid - Not Specific", I7526="Invalid - Not Informed", I7526="Invalid - Ambiguous"), "Gap - Invalid Consent", "Compliant")))))</f>
        <v/>
      </c>
      <c r="O7526" s="7" t="n"/>
    </row>
    <row r="7527">
      <c r="A7527" s="7" t="n"/>
      <c r="B7527" s="7" t="n"/>
      <c r="C7527" s="7" t="n"/>
      <c r="D7527" s="7" t="n"/>
      <c r="E7527" s="7" t="n"/>
      <c r="F7527" s="7" t="n"/>
      <c r="G7527" s="7" t="n"/>
      <c r="H7527" s="7" t="n"/>
      <c r="I7527" s="7" t="n"/>
      <c r="J7527" s="7" t="n"/>
      <c r="K7527">
        <f>IF(D7527="Legitimate Interest (GDPR Art. 6(1)(f))", "Yes / Required (Sheet 3)", "")</f>
        <v/>
      </c>
      <c r="L7527" s="7" t="n"/>
      <c r="M7527" s="7" t="n"/>
      <c r="N7527">
        <f>IF(D7527="", "Gap - No Legal Basis", IF(AND(D7527="Consent (GDPR Art. 6(1)(a))", I7527="Not Captured"), "Gap - Invalid Consent", IF(AND(D7527="Legitimate Interest (GDPR Art. 6(1)(f))", L7527=""), "Gap - Missing LIA", IF(AND(G7527="Yes", H7527=""), "Gap - Missing Art. 9 Basis", IF(OR(I7527="Invalid - Not Freely Given", I7527="Invalid - Not Specific", I7527="Invalid - Not Informed", I7527="Invalid - Ambiguous"), "Gap - Invalid Consent", "Compliant")))))</f>
        <v/>
      </c>
      <c r="O7527" s="7" t="n"/>
    </row>
    <row r="7528">
      <c r="A7528" s="7" t="n"/>
      <c r="B7528" s="7" t="n"/>
      <c r="C7528" s="7" t="n"/>
      <c r="D7528" s="7" t="n"/>
      <c r="E7528" s="7" t="n"/>
      <c r="F7528" s="7" t="n"/>
      <c r="G7528" s="7" t="n"/>
      <c r="H7528" s="7" t="n"/>
      <c r="I7528" s="7" t="n"/>
      <c r="J7528" s="7" t="n"/>
      <c r="K7528">
        <f>IF(D7528="Legitimate Interest (GDPR Art. 6(1)(f))", "Yes / Required (Sheet 3)", "")</f>
        <v/>
      </c>
      <c r="L7528" s="7" t="n"/>
      <c r="M7528" s="7" t="n"/>
      <c r="N7528">
        <f>IF(D7528="", "Gap - No Legal Basis", IF(AND(D7528="Consent (GDPR Art. 6(1)(a))", I7528="Not Captured"), "Gap - Invalid Consent", IF(AND(D7528="Legitimate Interest (GDPR Art. 6(1)(f))", L7528=""), "Gap - Missing LIA", IF(AND(G7528="Yes", H7528=""), "Gap - Missing Art. 9 Basis", IF(OR(I7528="Invalid - Not Freely Given", I7528="Invalid - Not Specific", I7528="Invalid - Not Informed", I7528="Invalid - Ambiguous"), "Gap - Invalid Consent", "Compliant")))))</f>
        <v/>
      </c>
      <c r="O7528" s="7" t="n"/>
    </row>
    <row r="7529">
      <c r="A7529" s="7" t="n"/>
      <c r="B7529" s="7" t="n"/>
      <c r="C7529" s="7" t="n"/>
      <c r="D7529" s="7" t="n"/>
      <c r="E7529" s="7" t="n"/>
      <c r="F7529" s="7" t="n"/>
      <c r="G7529" s="7" t="n"/>
      <c r="H7529" s="7" t="n"/>
      <c r="I7529" s="7" t="n"/>
      <c r="J7529" s="7" t="n"/>
      <c r="K7529">
        <f>IF(D7529="Legitimate Interest (GDPR Art. 6(1)(f))", "Yes / Required (Sheet 3)", "")</f>
        <v/>
      </c>
      <c r="L7529" s="7" t="n"/>
      <c r="M7529" s="7" t="n"/>
      <c r="N7529">
        <f>IF(D7529="", "Gap - No Legal Basis", IF(AND(D7529="Consent (GDPR Art. 6(1)(a))", I7529="Not Captured"), "Gap - Invalid Consent", IF(AND(D7529="Legitimate Interest (GDPR Art. 6(1)(f))", L7529=""), "Gap - Missing LIA", IF(AND(G7529="Yes", H7529=""), "Gap - Missing Art. 9 Basis", IF(OR(I7529="Invalid - Not Freely Given", I7529="Invalid - Not Specific", I7529="Invalid - Not Informed", I7529="Invalid - Ambiguous"), "Gap - Invalid Consent", "Compliant")))))</f>
        <v/>
      </c>
      <c r="O7529" s="7" t="n"/>
    </row>
    <row r="7530">
      <c r="A7530" s="7" t="n"/>
      <c r="B7530" s="7" t="n"/>
      <c r="C7530" s="7" t="n"/>
      <c r="D7530" s="7" t="n"/>
      <c r="E7530" s="7" t="n"/>
      <c r="F7530" s="7" t="n"/>
      <c r="G7530" s="7" t="n"/>
      <c r="H7530" s="7" t="n"/>
      <c r="I7530" s="7" t="n"/>
      <c r="J7530" s="7" t="n"/>
      <c r="K7530">
        <f>IF(D7530="Legitimate Interest (GDPR Art. 6(1)(f))", "Yes / Required (Sheet 3)", "")</f>
        <v/>
      </c>
      <c r="L7530" s="7" t="n"/>
      <c r="M7530" s="7" t="n"/>
      <c r="N7530">
        <f>IF(D7530="", "Gap - No Legal Basis", IF(AND(D7530="Consent (GDPR Art. 6(1)(a))", I7530="Not Captured"), "Gap - Invalid Consent", IF(AND(D7530="Legitimate Interest (GDPR Art. 6(1)(f))", L7530=""), "Gap - Missing LIA", IF(AND(G7530="Yes", H7530=""), "Gap - Missing Art. 9 Basis", IF(OR(I7530="Invalid - Not Freely Given", I7530="Invalid - Not Specific", I7530="Invalid - Not Informed", I7530="Invalid - Ambiguous"), "Gap - Invalid Consent", "Compliant")))))</f>
        <v/>
      </c>
      <c r="O7530" s="7" t="n"/>
    </row>
    <row r="7531">
      <c r="A7531" s="7" t="n"/>
      <c r="B7531" s="7" t="n"/>
      <c r="C7531" s="7" t="n"/>
      <c r="D7531" s="7" t="n"/>
      <c r="E7531" s="7" t="n"/>
      <c r="F7531" s="7" t="n"/>
      <c r="G7531" s="7" t="n"/>
      <c r="H7531" s="7" t="n"/>
      <c r="I7531" s="7" t="n"/>
      <c r="J7531" s="7" t="n"/>
      <c r="K7531">
        <f>IF(D7531="Legitimate Interest (GDPR Art. 6(1)(f))", "Yes / Required (Sheet 3)", "")</f>
        <v/>
      </c>
      <c r="L7531" s="7" t="n"/>
      <c r="M7531" s="7" t="n"/>
      <c r="N7531">
        <f>IF(D7531="", "Gap - No Legal Basis", IF(AND(D7531="Consent (GDPR Art. 6(1)(a))", I7531="Not Captured"), "Gap - Invalid Consent", IF(AND(D7531="Legitimate Interest (GDPR Art. 6(1)(f))", L7531=""), "Gap - Missing LIA", IF(AND(G7531="Yes", H7531=""), "Gap - Missing Art. 9 Basis", IF(OR(I7531="Invalid - Not Freely Given", I7531="Invalid - Not Specific", I7531="Invalid - Not Informed", I7531="Invalid - Ambiguous"), "Gap - Invalid Consent", "Compliant")))))</f>
        <v/>
      </c>
      <c r="O7531" s="7" t="n"/>
    </row>
    <row r="7532">
      <c r="A7532" s="7" t="n"/>
      <c r="B7532" s="7" t="n"/>
      <c r="C7532" s="7" t="n"/>
      <c r="D7532" s="7" t="n"/>
      <c r="E7532" s="7" t="n"/>
      <c r="F7532" s="7" t="n"/>
      <c r="G7532" s="7" t="n"/>
      <c r="H7532" s="7" t="n"/>
      <c r="I7532" s="7" t="n"/>
      <c r="J7532" s="7" t="n"/>
      <c r="K7532">
        <f>IF(D7532="Legitimate Interest (GDPR Art. 6(1)(f))", "Yes / Required (Sheet 3)", "")</f>
        <v/>
      </c>
      <c r="L7532" s="7" t="n"/>
      <c r="M7532" s="7" t="n"/>
      <c r="N7532">
        <f>IF(D7532="", "Gap - No Legal Basis", IF(AND(D7532="Consent (GDPR Art. 6(1)(a))", I7532="Not Captured"), "Gap - Invalid Consent", IF(AND(D7532="Legitimate Interest (GDPR Art. 6(1)(f))", L7532=""), "Gap - Missing LIA", IF(AND(G7532="Yes", H7532=""), "Gap - Missing Art. 9 Basis", IF(OR(I7532="Invalid - Not Freely Given", I7532="Invalid - Not Specific", I7532="Invalid - Not Informed", I7532="Invalid - Ambiguous"), "Gap - Invalid Consent", "Compliant")))))</f>
        <v/>
      </c>
      <c r="O7532" s="7" t="n"/>
    </row>
    <row r="7533">
      <c r="A7533" s="7" t="n"/>
      <c r="B7533" s="7" t="n"/>
      <c r="C7533" s="7" t="n"/>
      <c r="D7533" s="7" t="n"/>
      <c r="E7533" s="7" t="n"/>
      <c r="F7533" s="7" t="n"/>
      <c r="G7533" s="7" t="n"/>
      <c r="H7533" s="7" t="n"/>
      <c r="I7533" s="7" t="n"/>
      <c r="J7533" s="7" t="n"/>
      <c r="K7533">
        <f>IF(D7533="Legitimate Interest (GDPR Art. 6(1)(f))", "Yes / Required (Sheet 3)", "")</f>
        <v/>
      </c>
      <c r="L7533" s="7" t="n"/>
      <c r="M7533" s="7" t="n"/>
      <c r="N7533">
        <f>IF(D7533="", "Gap - No Legal Basis", IF(AND(D7533="Consent (GDPR Art. 6(1)(a))", I7533="Not Captured"), "Gap - Invalid Consent", IF(AND(D7533="Legitimate Interest (GDPR Art. 6(1)(f))", L7533=""), "Gap - Missing LIA", IF(AND(G7533="Yes", H7533=""), "Gap - Missing Art. 9 Basis", IF(OR(I7533="Invalid - Not Freely Given", I7533="Invalid - Not Specific", I7533="Invalid - Not Informed", I7533="Invalid - Ambiguous"), "Gap - Invalid Consent", "Compliant")))))</f>
        <v/>
      </c>
      <c r="O7533" s="7" t="n"/>
    </row>
    <row r="7534">
      <c r="A7534" s="7" t="n"/>
      <c r="B7534" s="7" t="n"/>
      <c r="C7534" s="7" t="n"/>
      <c r="D7534" s="7" t="n"/>
      <c r="E7534" s="7" t="n"/>
      <c r="F7534" s="7" t="n"/>
      <c r="G7534" s="7" t="n"/>
      <c r="H7534" s="7" t="n"/>
      <c r="I7534" s="7" t="n"/>
      <c r="J7534" s="7" t="n"/>
      <c r="K7534">
        <f>IF(D7534="Legitimate Interest (GDPR Art. 6(1)(f))", "Yes / Required (Sheet 3)", "")</f>
        <v/>
      </c>
      <c r="L7534" s="7" t="n"/>
      <c r="M7534" s="7" t="n"/>
      <c r="N7534">
        <f>IF(D7534="", "Gap - No Legal Basis", IF(AND(D7534="Consent (GDPR Art. 6(1)(a))", I7534="Not Captured"), "Gap - Invalid Consent", IF(AND(D7534="Legitimate Interest (GDPR Art. 6(1)(f))", L7534=""), "Gap - Missing LIA", IF(AND(G7534="Yes", H7534=""), "Gap - Missing Art. 9 Basis", IF(OR(I7534="Invalid - Not Freely Given", I7534="Invalid - Not Specific", I7534="Invalid - Not Informed", I7534="Invalid - Ambiguous"), "Gap - Invalid Consent", "Compliant")))))</f>
        <v/>
      </c>
      <c r="O7534" s="7" t="n"/>
    </row>
    <row r="7535">
      <c r="A7535" s="7" t="n"/>
      <c r="B7535" s="7" t="n"/>
      <c r="C7535" s="7" t="n"/>
      <c r="D7535" s="7" t="n"/>
      <c r="E7535" s="7" t="n"/>
      <c r="F7535" s="7" t="n"/>
      <c r="G7535" s="7" t="n"/>
      <c r="H7535" s="7" t="n"/>
      <c r="I7535" s="7" t="n"/>
      <c r="J7535" s="7" t="n"/>
      <c r="K7535">
        <f>IF(D7535="Legitimate Interest (GDPR Art. 6(1)(f))", "Yes / Required (Sheet 3)", "")</f>
        <v/>
      </c>
      <c r="L7535" s="7" t="n"/>
      <c r="M7535" s="7" t="n"/>
      <c r="N7535">
        <f>IF(D7535="", "Gap - No Legal Basis", IF(AND(D7535="Consent (GDPR Art. 6(1)(a))", I7535="Not Captured"), "Gap - Invalid Consent", IF(AND(D7535="Legitimate Interest (GDPR Art. 6(1)(f))", L7535=""), "Gap - Missing LIA", IF(AND(G7535="Yes", H7535=""), "Gap - Missing Art. 9 Basis", IF(OR(I7535="Invalid - Not Freely Given", I7535="Invalid - Not Specific", I7535="Invalid - Not Informed", I7535="Invalid - Ambiguous"), "Gap - Invalid Consent", "Compliant")))))</f>
        <v/>
      </c>
      <c r="O7535" s="7" t="n"/>
    </row>
    <row r="7536">
      <c r="A7536" s="7" t="n"/>
      <c r="B7536" s="7" t="n"/>
      <c r="C7536" s="7" t="n"/>
      <c r="D7536" s="7" t="n"/>
      <c r="E7536" s="7" t="n"/>
      <c r="F7536" s="7" t="n"/>
      <c r="G7536" s="7" t="n"/>
      <c r="H7536" s="7" t="n"/>
      <c r="I7536" s="7" t="n"/>
      <c r="J7536" s="7" t="n"/>
      <c r="K7536">
        <f>IF(D7536="Legitimate Interest (GDPR Art. 6(1)(f))", "Yes / Required (Sheet 3)", "")</f>
        <v/>
      </c>
      <c r="L7536" s="7" t="n"/>
      <c r="M7536" s="7" t="n"/>
      <c r="N7536">
        <f>IF(D7536="", "Gap - No Legal Basis", IF(AND(D7536="Consent (GDPR Art. 6(1)(a))", I7536="Not Captured"), "Gap - Invalid Consent", IF(AND(D7536="Legitimate Interest (GDPR Art. 6(1)(f))", L7536=""), "Gap - Missing LIA", IF(AND(G7536="Yes", H7536=""), "Gap - Missing Art. 9 Basis", IF(OR(I7536="Invalid - Not Freely Given", I7536="Invalid - Not Specific", I7536="Invalid - Not Informed", I7536="Invalid - Ambiguous"), "Gap - Invalid Consent", "Compliant")))))</f>
        <v/>
      </c>
      <c r="O7536" s="7" t="n"/>
    </row>
    <row r="7537">
      <c r="A7537" s="7" t="n"/>
      <c r="B7537" s="7" t="n"/>
      <c r="C7537" s="7" t="n"/>
      <c r="D7537" s="7" t="n"/>
      <c r="E7537" s="7" t="n"/>
      <c r="F7537" s="7" t="n"/>
      <c r="G7537" s="7" t="n"/>
      <c r="H7537" s="7" t="n"/>
      <c r="I7537" s="7" t="n"/>
      <c r="J7537" s="7" t="n"/>
      <c r="K7537">
        <f>IF(D7537="Legitimate Interest (GDPR Art. 6(1)(f))", "Yes / Required (Sheet 3)", "")</f>
        <v/>
      </c>
      <c r="L7537" s="7" t="n"/>
      <c r="M7537" s="7" t="n"/>
      <c r="N7537">
        <f>IF(D7537="", "Gap - No Legal Basis", IF(AND(D7537="Consent (GDPR Art. 6(1)(a))", I7537="Not Captured"), "Gap - Invalid Consent", IF(AND(D7537="Legitimate Interest (GDPR Art. 6(1)(f))", L7537=""), "Gap - Missing LIA", IF(AND(G7537="Yes", H7537=""), "Gap - Missing Art. 9 Basis", IF(OR(I7537="Invalid - Not Freely Given", I7537="Invalid - Not Specific", I7537="Invalid - Not Informed", I7537="Invalid - Ambiguous"), "Gap - Invalid Consent", "Compliant")))))</f>
        <v/>
      </c>
      <c r="O7537" s="7" t="n"/>
    </row>
    <row r="7538">
      <c r="A7538" s="7" t="n"/>
      <c r="B7538" s="7" t="n"/>
      <c r="C7538" s="7" t="n"/>
      <c r="D7538" s="7" t="n"/>
      <c r="E7538" s="7" t="n"/>
      <c r="F7538" s="7" t="n"/>
      <c r="G7538" s="7" t="n"/>
      <c r="H7538" s="7" t="n"/>
      <c r="I7538" s="7" t="n"/>
      <c r="J7538" s="7" t="n"/>
      <c r="K7538">
        <f>IF(D7538="Legitimate Interest (GDPR Art. 6(1)(f))", "Yes / Required (Sheet 3)", "")</f>
        <v/>
      </c>
      <c r="L7538" s="7" t="n"/>
      <c r="M7538" s="7" t="n"/>
      <c r="N7538">
        <f>IF(D7538="", "Gap - No Legal Basis", IF(AND(D7538="Consent (GDPR Art. 6(1)(a))", I7538="Not Captured"), "Gap - Invalid Consent", IF(AND(D7538="Legitimate Interest (GDPR Art. 6(1)(f))", L7538=""), "Gap - Missing LIA", IF(AND(G7538="Yes", H7538=""), "Gap - Missing Art. 9 Basis", IF(OR(I7538="Invalid - Not Freely Given", I7538="Invalid - Not Specific", I7538="Invalid - Not Informed", I7538="Invalid - Ambiguous"), "Gap - Invalid Consent", "Compliant")))))</f>
        <v/>
      </c>
      <c r="O7538" s="7" t="n"/>
    </row>
    <row r="7539">
      <c r="A7539" s="7" t="n"/>
      <c r="B7539" s="7" t="n"/>
      <c r="C7539" s="7" t="n"/>
      <c r="D7539" s="7" t="n"/>
      <c r="E7539" s="7" t="n"/>
      <c r="F7539" s="7" t="n"/>
      <c r="G7539" s="7" t="n"/>
      <c r="H7539" s="7" t="n"/>
      <c r="I7539" s="7" t="n"/>
      <c r="J7539" s="7" t="n"/>
      <c r="K7539">
        <f>IF(D7539="Legitimate Interest (GDPR Art. 6(1)(f))", "Yes / Required (Sheet 3)", "")</f>
        <v/>
      </c>
      <c r="L7539" s="7" t="n"/>
      <c r="M7539" s="7" t="n"/>
      <c r="N7539">
        <f>IF(D7539="", "Gap - No Legal Basis", IF(AND(D7539="Consent (GDPR Art. 6(1)(a))", I7539="Not Captured"), "Gap - Invalid Consent", IF(AND(D7539="Legitimate Interest (GDPR Art. 6(1)(f))", L7539=""), "Gap - Missing LIA", IF(AND(G7539="Yes", H7539=""), "Gap - Missing Art. 9 Basis", IF(OR(I7539="Invalid - Not Freely Given", I7539="Invalid - Not Specific", I7539="Invalid - Not Informed", I7539="Invalid - Ambiguous"), "Gap - Invalid Consent", "Compliant")))))</f>
        <v/>
      </c>
      <c r="O7539" s="7" t="n"/>
    </row>
    <row r="7540">
      <c r="A7540" s="7" t="n"/>
      <c r="B7540" s="7" t="n"/>
      <c r="C7540" s="7" t="n"/>
      <c r="D7540" s="7" t="n"/>
      <c r="E7540" s="7" t="n"/>
      <c r="F7540" s="7" t="n"/>
      <c r="G7540" s="7" t="n"/>
      <c r="H7540" s="7" t="n"/>
      <c r="I7540" s="7" t="n"/>
      <c r="J7540" s="7" t="n"/>
      <c r="K7540">
        <f>IF(D7540="Legitimate Interest (GDPR Art. 6(1)(f))", "Yes / Required (Sheet 3)", "")</f>
        <v/>
      </c>
      <c r="L7540" s="7" t="n"/>
      <c r="M7540" s="7" t="n"/>
      <c r="N7540">
        <f>IF(D7540="", "Gap - No Legal Basis", IF(AND(D7540="Consent (GDPR Art. 6(1)(a))", I7540="Not Captured"), "Gap - Invalid Consent", IF(AND(D7540="Legitimate Interest (GDPR Art. 6(1)(f))", L7540=""), "Gap - Missing LIA", IF(AND(G7540="Yes", H7540=""), "Gap - Missing Art. 9 Basis", IF(OR(I7540="Invalid - Not Freely Given", I7540="Invalid - Not Specific", I7540="Invalid - Not Informed", I7540="Invalid - Ambiguous"), "Gap - Invalid Consent", "Compliant")))))</f>
        <v/>
      </c>
      <c r="O7540" s="7" t="n"/>
    </row>
    <row r="7541">
      <c r="A7541" s="7" t="n"/>
      <c r="B7541" s="7" t="n"/>
      <c r="C7541" s="7" t="n"/>
      <c r="D7541" s="7" t="n"/>
      <c r="E7541" s="7" t="n"/>
      <c r="F7541" s="7" t="n"/>
      <c r="G7541" s="7" t="n"/>
      <c r="H7541" s="7" t="n"/>
      <c r="I7541" s="7" t="n"/>
      <c r="J7541" s="7" t="n"/>
      <c r="K7541">
        <f>IF(D7541="Legitimate Interest (GDPR Art. 6(1)(f))", "Yes / Required (Sheet 3)", "")</f>
        <v/>
      </c>
      <c r="L7541" s="7" t="n"/>
      <c r="M7541" s="7" t="n"/>
      <c r="N7541">
        <f>IF(D7541="", "Gap - No Legal Basis", IF(AND(D7541="Consent (GDPR Art. 6(1)(a))", I7541="Not Captured"), "Gap - Invalid Consent", IF(AND(D7541="Legitimate Interest (GDPR Art. 6(1)(f))", L7541=""), "Gap - Missing LIA", IF(AND(G7541="Yes", H7541=""), "Gap - Missing Art. 9 Basis", IF(OR(I7541="Invalid - Not Freely Given", I7541="Invalid - Not Specific", I7541="Invalid - Not Informed", I7541="Invalid - Ambiguous"), "Gap - Invalid Consent", "Compliant")))))</f>
        <v/>
      </c>
      <c r="O7541" s="7" t="n"/>
    </row>
    <row r="7542">
      <c r="A7542" s="7" t="n"/>
      <c r="B7542" s="7" t="n"/>
      <c r="C7542" s="7" t="n"/>
      <c r="D7542" s="7" t="n"/>
      <c r="E7542" s="7" t="n"/>
      <c r="F7542" s="7" t="n"/>
      <c r="G7542" s="7" t="n"/>
      <c r="H7542" s="7" t="n"/>
      <c r="I7542" s="7" t="n"/>
      <c r="J7542" s="7" t="n"/>
      <c r="K7542">
        <f>IF(D7542="Legitimate Interest (GDPR Art. 6(1)(f))", "Yes / Required (Sheet 3)", "")</f>
        <v/>
      </c>
      <c r="L7542" s="7" t="n"/>
      <c r="M7542" s="7" t="n"/>
      <c r="N7542">
        <f>IF(D7542="", "Gap - No Legal Basis", IF(AND(D7542="Consent (GDPR Art. 6(1)(a))", I7542="Not Captured"), "Gap - Invalid Consent", IF(AND(D7542="Legitimate Interest (GDPR Art. 6(1)(f))", L7542=""), "Gap - Missing LIA", IF(AND(G7542="Yes", H7542=""), "Gap - Missing Art. 9 Basis", IF(OR(I7542="Invalid - Not Freely Given", I7542="Invalid - Not Specific", I7542="Invalid - Not Informed", I7542="Invalid - Ambiguous"), "Gap - Invalid Consent", "Compliant")))))</f>
        <v/>
      </c>
      <c r="O7542" s="7" t="n"/>
    </row>
    <row r="7543">
      <c r="A7543" s="7" t="n"/>
      <c r="B7543" s="7" t="n"/>
      <c r="C7543" s="7" t="n"/>
      <c r="D7543" s="7" t="n"/>
      <c r="E7543" s="7" t="n"/>
      <c r="F7543" s="7" t="n"/>
      <c r="G7543" s="7" t="n"/>
      <c r="H7543" s="7" t="n"/>
      <c r="I7543" s="7" t="n"/>
      <c r="J7543" s="7" t="n"/>
      <c r="K7543">
        <f>IF(D7543="Legitimate Interest (GDPR Art. 6(1)(f))", "Yes / Required (Sheet 3)", "")</f>
        <v/>
      </c>
      <c r="L7543" s="7" t="n"/>
      <c r="M7543" s="7" t="n"/>
      <c r="N7543">
        <f>IF(D7543="", "Gap - No Legal Basis", IF(AND(D7543="Consent (GDPR Art. 6(1)(a))", I7543="Not Captured"), "Gap - Invalid Consent", IF(AND(D7543="Legitimate Interest (GDPR Art. 6(1)(f))", L7543=""), "Gap - Missing LIA", IF(AND(G7543="Yes", H7543=""), "Gap - Missing Art. 9 Basis", IF(OR(I7543="Invalid - Not Freely Given", I7543="Invalid - Not Specific", I7543="Invalid - Not Informed", I7543="Invalid - Ambiguous"), "Gap - Invalid Consent", "Compliant")))))</f>
        <v/>
      </c>
      <c r="O7543" s="7" t="n"/>
    </row>
    <row r="7544">
      <c r="A7544" s="7" t="n"/>
      <c r="B7544" s="7" t="n"/>
      <c r="C7544" s="7" t="n"/>
      <c r="D7544" s="7" t="n"/>
      <c r="E7544" s="7" t="n"/>
      <c r="F7544" s="7" t="n"/>
      <c r="G7544" s="7" t="n"/>
      <c r="H7544" s="7" t="n"/>
      <c r="I7544" s="7" t="n"/>
      <c r="J7544" s="7" t="n"/>
      <c r="K7544">
        <f>IF(D7544="Legitimate Interest (GDPR Art. 6(1)(f))", "Yes / Required (Sheet 3)", "")</f>
        <v/>
      </c>
      <c r="L7544" s="7" t="n"/>
      <c r="M7544" s="7" t="n"/>
      <c r="N7544">
        <f>IF(D7544="", "Gap - No Legal Basis", IF(AND(D7544="Consent (GDPR Art. 6(1)(a))", I7544="Not Captured"), "Gap - Invalid Consent", IF(AND(D7544="Legitimate Interest (GDPR Art. 6(1)(f))", L7544=""), "Gap - Missing LIA", IF(AND(G7544="Yes", H7544=""), "Gap - Missing Art. 9 Basis", IF(OR(I7544="Invalid - Not Freely Given", I7544="Invalid - Not Specific", I7544="Invalid - Not Informed", I7544="Invalid - Ambiguous"), "Gap - Invalid Consent", "Compliant")))))</f>
        <v/>
      </c>
      <c r="O7544" s="7" t="n"/>
    </row>
    <row r="7545">
      <c r="A7545" s="7" t="n"/>
      <c r="B7545" s="7" t="n"/>
      <c r="C7545" s="7" t="n"/>
      <c r="D7545" s="7" t="n"/>
      <c r="E7545" s="7" t="n"/>
      <c r="F7545" s="7" t="n"/>
      <c r="G7545" s="7" t="n"/>
      <c r="H7545" s="7" t="n"/>
      <c r="I7545" s="7" t="n"/>
      <c r="J7545" s="7" t="n"/>
      <c r="K7545">
        <f>IF(D7545="Legitimate Interest (GDPR Art. 6(1)(f))", "Yes / Required (Sheet 3)", "")</f>
        <v/>
      </c>
      <c r="L7545" s="7" t="n"/>
      <c r="M7545" s="7" t="n"/>
      <c r="N7545">
        <f>IF(D7545="", "Gap - No Legal Basis", IF(AND(D7545="Consent (GDPR Art. 6(1)(a))", I7545="Not Captured"), "Gap - Invalid Consent", IF(AND(D7545="Legitimate Interest (GDPR Art. 6(1)(f))", L7545=""), "Gap - Missing LIA", IF(AND(G7545="Yes", H7545=""), "Gap - Missing Art. 9 Basis", IF(OR(I7545="Invalid - Not Freely Given", I7545="Invalid - Not Specific", I7545="Invalid - Not Informed", I7545="Invalid - Ambiguous"), "Gap - Invalid Consent", "Compliant")))))</f>
        <v/>
      </c>
      <c r="O7545" s="7" t="n"/>
    </row>
    <row r="7546">
      <c r="A7546" s="7" t="n"/>
      <c r="B7546" s="7" t="n"/>
      <c r="C7546" s="7" t="n"/>
      <c r="D7546" s="7" t="n"/>
      <c r="E7546" s="7" t="n"/>
      <c r="F7546" s="7" t="n"/>
      <c r="G7546" s="7" t="n"/>
      <c r="H7546" s="7" t="n"/>
      <c r="I7546" s="7" t="n"/>
      <c r="J7546" s="7" t="n"/>
      <c r="K7546">
        <f>IF(D7546="Legitimate Interest (GDPR Art. 6(1)(f))", "Yes / Required (Sheet 3)", "")</f>
        <v/>
      </c>
      <c r="L7546" s="7" t="n"/>
      <c r="M7546" s="7" t="n"/>
      <c r="N7546">
        <f>IF(D7546="", "Gap - No Legal Basis", IF(AND(D7546="Consent (GDPR Art. 6(1)(a))", I7546="Not Captured"), "Gap - Invalid Consent", IF(AND(D7546="Legitimate Interest (GDPR Art. 6(1)(f))", L7546=""), "Gap - Missing LIA", IF(AND(G7546="Yes", H7546=""), "Gap - Missing Art. 9 Basis", IF(OR(I7546="Invalid - Not Freely Given", I7546="Invalid - Not Specific", I7546="Invalid - Not Informed", I7546="Invalid - Ambiguous"), "Gap - Invalid Consent", "Compliant")))))</f>
        <v/>
      </c>
      <c r="O7546" s="7" t="n"/>
    </row>
    <row r="7547">
      <c r="A7547" s="7" t="n"/>
      <c r="B7547" s="7" t="n"/>
      <c r="C7547" s="7" t="n"/>
      <c r="D7547" s="7" t="n"/>
      <c r="E7547" s="7" t="n"/>
      <c r="F7547" s="7" t="n"/>
      <c r="G7547" s="7" t="n"/>
      <c r="H7547" s="7" t="n"/>
      <c r="I7547" s="7" t="n"/>
      <c r="J7547" s="7" t="n"/>
      <c r="K7547">
        <f>IF(D7547="Legitimate Interest (GDPR Art. 6(1)(f))", "Yes / Required (Sheet 3)", "")</f>
        <v/>
      </c>
      <c r="L7547" s="7" t="n"/>
      <c r="M7547" s="7" t="n"/>
      <c r="N7547">
        <f>IF(D7547="", "Gap - No Legal Basis", IF(AND(D7547="Consent (GDPR Art. 6(1)(a))", I7547="Not Captured"), "Gap - Invalid Consent", IF(AND(D7547="Legitimate Interest (GDPR Art. 6(1)(f))", L7547=""), "Gap - Missing LIA", IF(AND(G7547="Yes", H7547=""), "Gap - Missing Art. 9 Basis", IF(OR(I7547="Invalid - Not Freely Given", I7547="Invalid - Not Specific", I7547="Invalid - Not Informed", I7547="Invalid - Ambiguous"), "Gap - Invalid Consent", "Compliant")))))</f>
        <v/>
      </c>
      <c r="O7547" s="7" t="n"/>
    </row>
    <row r="7548">
      <c r="A7548" s="7" t="n"/>
      <c r="B7548" s="7" t="n"/>
      <c r="C7548" s="7" t="n"/>
      <c r="D7548" s="7" t="n"/>
      <c r="E7548" s="7" t="n"/>
      <c r="F7548" s="7" t="n"/>
      <c r="G7548" s="7" t="n"/>
      <c r="H7548" s="7" t="n"/>
      <c r="I7548" s="7" t="n"/>
      <c r="J7548" s="7" t="n"/>
      <c r="K7548">
        <f>IF(D7548="Legitimate Interest (GDPR Art. 6(1)(f))", "Yes / Required (Sheet 3)", "")</f>
        <v/>
      </c>
      <c r="L7548" s="7" t="n"/>
      <c r="M7548" s="7" t="n"/>
      <c r="N7548">
        <f>IF(D7548="", "Gap - No Legal Basis", IF(AND(D7548="Consent (GDPR Art. 6(1)(a))", I7548="Not Captured"), "Gap - Invalid Consent", IF(AND(D7548="Legitimate Interest (GDPR Art. 6(1)(f))", L7548=""), "Gap - Missing LIA", IF(AND(G7548="Yes", H7548=""), "Gap - Missing Art. 9 Basis", IF(OR(I7548="Invalid - Not Freely Given", I7548="Invalid - Not Specific", I7548="Invalid - Not Informed", I7548="Invalid - Ambiguous"), "Gap - Invalid Consent", "Compliant")))))</f>
        <v/>
      </c>
      <c r="O7548" s="7" t="n"/>
    </row>
    <row r="7549">
      <c r="A7549" s="7" t="n"/>
      <c r="B7549" s="7" t="n"/>
      <c r="C7549" s="7" t="n"/>
      <c r="D7549" s="7" t="n"/>
      <c r="E7549" s="7" t="n"/>
      <c r="F7549" s="7" t="n"/>
      <c r="G7549" s="7" t="n"/>
      <c r="H7549" s="7" t="n"/>
      <c r="I7549" s="7" t="n"/>
      <c r="J7549" s="7" t="n"/>
      <c r="K7549">
        <f>IF(D7549="Legitimate Interest (GDPR Art. 6(1)(f))", "Yes / Required (Sheet 3)", "")</f>
        <v/>
      </c>
      <c r="L7549" s="7" t="n"/>
      <c r="M7549" s="7" t="n"/>
      <c r="N7549">
        <f>IF(D7549="", "Gap - No Legal Basis", IF(AND(D7549="Consent (GDPR Art. 6(1)(a))", I7549="Not Captured"), "Gap - Invalid Consent", IF(AND(D7549="Legitimate Interest (GDPR Art. 6(1)(f))", L7549=""), "Gap - Missing LIA", IF(AND(G7549="Yes", H7549=""), "Gap - Missing Art. 9 Basis", IF(OR(I7549="Invalid - Not Freely Given", I7549="Invalid - Not Specific", I7549="Invalid - Not Informed", I7549="Invalid - Ambiguous"), "Gap - Invalid Consent", "Compliant")))))</f>
        <v/>
      </c>
      <c r="O7549" s="7" t="n"/>
    </row>
    <row r="7550">
      <c r="A7550" s="7" t="n"/>
      <c r="B7550" s="7" t="n"/>
      <c r="C7550" s="7" t="n"/>
      <c r="D7550" s="7" t="n"/>
      <c r="E7550" s="7" t="n"/>
      <c r="F7550" s="7" t="n"/>
      <c r="G7550" s="7" t="n"/>
      <c r="H7550" s="7" t="n"/>
      <c r="I7550" s="7" t="n"/>
      <c r="J7550" s="7" t="n"/>
      <c r="K7550">
        <f>IF(D7550="Legitimate Interest (GDPR Art. 6(1)(f))", "Yes / Required (Sheet 3)", "")</f>
        <v/>
      </c>
      <c r="L7550" s="7" t="n"/>
      <c r="M7550" s="7" t="n"/>
      <c r="N7550">
        <f>IF(D7550="", "Gap - No Legal Basis", IF(AND(D7550="Consent (GDPR Art. 6(1)(a))", I7550="Not Captured"), "Gap - Invalid Consent", IF(AND(D7550="Legitimate Interest (GDPR Art. 6(1)(f))", L7550=""), "Gap - Missing LIA", IF(AND(G7550="Yes", H7550=""), "Gap - Missing Art. 9 Basis", IF(OR(I7550="Invalid - Not Freely Given", I7550="Invalid - Not Specific", I7550="Invalid - Not Informed", I7550="Invalid - Ambiguous"), "Gap - Invalid Consent", "Compliant")))))</f>
        <v/>
      </c>
      <c r="O7550" s="7" t="n"/>
    </row>
    <row r="7551">
      <c r="A7551" s="7" t="n"/>
      <c r="B7551" s="7" t="n"/>
      <c r="C7551" s="7" t="n"/>
      <c r="D7551" s="7" t="n"/>
      <c r="E7551" s="7" t="n"/>
      <c r="F7551" s="7" t="n"/>
      <c r="G7551" s="7" t="n"/>
      <c r="H7551" s="7" t="n"/>
      <c r="I7551" s="7" t="n"/>
      <c r="J7551" s="7" t="n"/>
      <c r="K7551">
        <f>IF(D7551="Legitimate Interest (GDPR Art. 6(1)(f))", "Yes / Required (Sheet 3)", "")</f>
        <v/>
      </c>
      <c r="L7551" s="7" t="n"/>
      <c r="M7551" s="7" t="n"/>
      <c r="N7551">
        <f>IF(D7551="", "Gap - No Legal Basis", IF(AND(D7551="Consent (GDPR Art. 6(1)(a))", I7551="Not Captured"), "Gap - Invalid Consent", IF(AND(D7551="Legitimate Interest (GDPR Art. 6(1)(f))", L7551=""), "Gap - Missing LIA", IF(AND(G7551="Yes", H7551=""), "Gap - Missing Art. 9 Basis", IF(OR(I7551="Invalid - Not Freely Given", I7551="Invalid - Not Specific", I7551="Invalid - Not Informed", I7551="Invalid - Ambiguous"), "Gap - Invalid Consent", "Compliant")))))</f>
        <v/>
      </c>
      <c r="O7551" s="7" t="n"/>
    </row>
    <row r="7552">
      <c r="A7552" s="7" t="n"/>
      <c r="B7552" s="7" t="n"/>
      <c r="C7552" s="7" t="n"/>
      <c r="D7552" s="7" t="n"/>
      <c r="E7552" s="7" t="n"/>
      <c r="F7552" s="7" t="n"/>
      <c r="G7552" s="7" t="n"/>
      <c r="H7552" s="7" t="n"/>
      <c r="I7552" s="7" t="n"/>
      <c r="J7552" s="7" t="n"/>
      <c r="K7552">
        <f>IF(D7552="Legitimate Interest (GDPR Art. 6(1)(f))", "Yes / Required (Sheet 3)", "")</f>
        <v/>
      </c>
      <c r="L7552" s="7" t="n"/>
      <c r="M7552" s="7" t="n"/>
      <c r="N7552">
        <f>IF(D7552="", "Gap - No Legal Basis", IF(AND(D7552="Consent (GDPR Art. 6(1)(a))", I7552="Not Captured"), "Gap - Invalid Consent", IF(AND(D7552="Legitimate Interest (GDPR Art. 6(1)(f))", L7552=""), "Gap - Missing LIA", IF(AND(G7552="Yes", H7552=""), "Gap - Missing Art. 9 Basis", IF(OR(I7552="Invalid - Not Freely Given", I7552="Invalid - Not Specific", I7552="Invalid - Not Informed", I7552="Invalid - Ambiguous"), "Gap - Invalid Consent", "Compliant")))))</f>
        <v/>
      </c>
      <c r="O7552" s="7" t="n"/>
    </row>
    <row r="7553">
      <c r="A7553" s="7" t="n"/>
      <c r="B7553" s="7" t="n"/>
      <c r="C7553" s="7" t="n"/>
      <c r="D7553" s="7" t="n"/>
      <c r="E7553" s="7" t="n"/>
      <c r="F7553" s="7" t="n"/>
      <c r="G7553" s="7" t="n"/>
      <c r="H7553" s="7" t="n"/>
      <c r="I7553" s="7" t="n"/>
      <c r="J7553" s="7" t="n"/>
      <c r="K7553">
        <f>IF(D7553="Legitimate Interest (GDPR Art. 6(1)(f))", "Yes / Required (Sheet 3)", "")</f>
        <v/>
      </c>
      <c r="L7553" s="7" t="n"/>
      <c r="M7553" s="7" t="n"/>
      <c r="N7553">
        <f>IF(D7553="", "Gap - No Legal Basis", IF(AND(D7553="Consent (GDPR Art. 6(1)(a))", I7553="Not Captured"), "Gap - Invalid Consent", IF(AND(D7553="Legitimate Interest (GDPR Art. 6(1)(f))", L7553=""), "Gap - Missing LIA", IF(AND(G7553="Yes", H7553=""), "Gap - Missing Art. 9 Basis", IF(OR(I7553="Invalid - Not Freely Given", I7553="Invalid - Not Specific", I7553="Invalid - Not Informed", I7553="Invalid - Ambiguous"), "Gap - Invalid Consent", "Compliant")))))</f>
        <v/>
      </c>
      <c r="O7553" s="7" t="n"/>
    </row>
    <row r="7554">
      <c r="A7554" s="7" t="n"/>
      <c r="B7554" s="7" t="n"/>
      <c r="C7554" s="7" t="n"/>
      <c r="D7554" s="7" t="n"/>
      <c r="E7554" s="7" t="n"/>
      <c r="F7554" s="7" t="n"/>
      <c r="G7554" s="7" t="n"/>
      <c r="H7554" s="7" t="n"/>
      <c r="I7554" s="7" t="n"/>
      <c r="J7554" s="7" t="n"/>
      <c r="K7554">
        <f>IF(D7554="Legitimate Interest (GDPR Art. 6(1)(f))", "Yes / Required (Sheet 3)", "")</f>
        <v/>
      </c>
      <c r="L7554" s="7" t="n"/>
      <c r="M7554" s="7" t="n"/>
      <c r="N7554">
        <f>IF(D7554="", "Gap - No Legal Basis", IF(AND(D7554="Consent (GDPR Art. 6(1)(a))", I7554="Not Captured"), "Gap - Invalid Consent", IF(AND(D7554="Legitimate Interest (GDPR Art. 6(1)(f))", L7554=""), "Gap - Missing LIA", IF(AND(G7554="Yes", H7554=""), "Gap - Missing Art. 9 Basis", IF(OR(I7554="Invalid - Not Freely Given", I7554="Invalid - Not Specific", I7554="Invalid - Not Informed", I7554="Invalid - Ambiguous"), "Gap - Invalid Consent", "Compliant")))))</f>
        <v/>
      </c>
      <c r="O7554" s="7" t="n"/>
    </row>
    <row r="7555">
      <c r="A7555" s="7" t="n"/>
      <c r="B7555" s="7" t="n"/>
      <c r="C7555" s="7" t="n"/>
      <c r="D7555" s="7" t="n"/>
      <c r="E7555" s="7" t="n"/>
      <c r="F7555" s="7" t="n"/>
      <c r="G7555" s="7" t="n"/>
      <c r="H7555" s="7" t="n"/>
      <c r="I7555" s="7" t="n"/>
      <c r="J7555" s="7" t="n"/>
      <c r="K7555">
        <f>IF(D7555="Legitimate Interest (GDPR Art. 6(1)(f))", "Yes / Required (Sheet 3)", "")</f>
        <v/>
      </c>
      <c r="L7555" s="7" t="n"/>
      <c r="M7555" s="7" t="n"/>
      <c r="N7555">
        <f>IF(D7555="", "Gap - No Legal Basis", IF(AND(D7555="Consent (GDPR Art. 6(1)(a))", I7555="Not Captured"), "Gap - Invalid Consent", IF(AND(D7555="Legitimate Interest (GDPR Art. 6(1)(f))", L7555=""), "Gap - Missing LIA", IF(AND(G7555="Yes", H7555=""), "Gap - Missing Art. 9 Basis", IF(OR(I7555="Invalid - Not Freely Given", I7555="Invalid - Not Specific", I7555="Invalid - Not Informed", I7555="Invalid - Ambiguous"), "Gap - Invalid Consent", "Compliant")))))</f>
        <v/>
      </c>
      <c r="O7555" s="7" t="n"/>
    </row>
    <row r="7556">
      <c r="A7556" s="7" t="n"/>
      <c r="B7556" s="7" t="n"/>
      <c r="C7556" s="7" t="n"/>
      <c r="D7556" s="7" t="n"/>
      <c r="E7556" s="7" t="n"/>
      <c r="F7556" s="7" t="n"/>
      <c r="G7556" s="7" t="n"/>
      <c r="H7556" s="7" t="n"/>
      <c r="I7556" s="7" t="n"/>
      <c r="J7556" s="7" t="n"/>
      <c r="K7556">
        <f>IF(D7556="Legitimate Interest (GDPR Art. 6(1)(f))", "Yes / Required (Sheet 3)", "")</f>
        <v/>
      </c>
      <c r="L7556" s="7" t="n"/>
      <c r="M7556" s="7" t="n"/>
      <c r="N7556">
        <f>IF(D7556="", "Gap - No Legal Basis", IF(AND(D7556="Consent (GDPR Art. 6(1)(a))", I7556="Not Captured"), "Gap - Invalid Consent", IF(AND(D7556="Legitimate Interest (GDPR Art. 6(1)(f))", L7556=""), "Gap - Missing LIA", IF(AND(G7556="Yes", H7556=""), "Gap - Missing Art. 9 Basis", IF(OR(I7556="Invalid - Not Freely Given", I7556="Invalid - Not Specific", I7556="Invalid - Not Informed", I7556="Invalid - Ambiguous"), "Gap - Invalid Consent", "Compliant")))))</f>
        <v/>
      </c>
      <c r="O7556" s="7" t="n"/>
    </row>
    <row r="7557">
      <c r="A7557" s="7" t="n"/>
      <c r="B7557" s="7" t="n"/>
      <c r="C7557" s="7" t="n"/>
      <c r="D7557" s="7" t="n"/>
      <c r="E7557" s="7" t="n"/>
      <c r="F7557" s="7" t="n"/>
      <c r="G7557" s="7" t="n"/>
      <c r="H7557" s="7" t="n"/>
      <c r="I7557" s="7" t="n"/>
      <c r="J7557" s="7" t="n"/>
      <c r="K7557">
        <f>IF(D7557="Legitimate Interest (GDPR Art. 6(1)(f))", "Yes / Required (Sheet 3)", "")</f>
        <v/>
      </c>
      <c r="L7557" s="7" t="n"/>
      <c r="M7557" s="7" t="n"/>
      <c r="N7557">
        <f>IF(D7557="", "Gap - No Legal Basis", IF(AND(D7557="Consent (GDPR Art. 6(1)(a))", I7557="Not Captured"), "Gap - Invalid Consent", IF(AND(D7557="Legitimate Interest (GDPR Art. 6(1)(f))", L7557=""), "Gap - Missing LIA", IF(AND(G7557="Yes", H7557=""), "Gap - Missing Art. 9 Basis", IF(OR(I7557="Invalid - Not Freely Given", I7557="Invalid - Not Specific", I7557="Invalid - Not Informed", I7557="Invalid - Ambiguous"), "Gap - Invalid Consent", "Compliant")))))</f>
        <v/>
      </c>
      <c r="O7557" s="7" t="n"/>
    </row>
    <row r="7558">
      <c r="A7558" s="7" t="n"/>
      <c r="B7558" s="7" t="n"/>
      <c r="C7558" s="7" t="n"/>
      <c r="D7558" s="7" t="n"/>
      <c r="E7558" s="7" t="n"/>
      <c r="F7558" s="7" t="n"/>
      <c r="G7558" s="7" t="n"/>
      <c r="H7558" s="7" t="n"/>
      <c r="I7558" s="7" t="n"/>
      <c r="J7558" s="7" t="n"/>
      <c r="K7558">
        <f>IF(D7558="Legitimate Interest (GDPR Art. 6(1)(f))", "Yes / Required (Sheet 3)", "")</f>
        <v/>
      </c>
      <c r="L7558" s="7" t="n"/>
      <c r="M7558" s="7" t="n"/>
      <c r="N7558">
        <f>IF(D7558="", "Gap - No Legal Basis", IF(AND(D7558="Consent (GDPR Art. 6(1)(a))", I7558="Not Captured"), "Gap - Invalid Consent", IF(AND(D7558="Legitimate Interest (GDPR Art. 6(1)(f))", L7558=""), "Gap - Missing LIA", IF(AND(G7558="Yes", H7558=""), "Gap - Missing Art. 9 Basis", IF(OR(I7558="Invalid - Not Freely Given", I7558="Invalid - Not Specific", I7558="Invalid - Not Informed", I7558="Invalid - Ambiguous"), "Gap - Invalid Consent", "Compliant")))))</f>
        <v/>
      </c>
      <c r="O7558" s="7" t="n"/>
    </row>
    <row r="7559">
      <c r="A7559" s="7" t="n"/>
      <c r="B7559" s="7" t="n"/>
      <c r="C7559" s="7" t="n"/>
      <c r="D7559" s="7" t="n"/>
      <c r="E7559" s="7" t="n"/>
      <c r="F7559" s="7" t="n"/>
      <c r="G7559" s="7" t="n"/>
      <c r="H7559" s="7" t="n"/>
      <c r="I7559" s="7" t="n"/>
      <c r="J7559" s="7" t="n"/>
      <c r="K7559">
        <f>IF(D7559="Legitimate Interest (GDPR Art. 6(1)(f))", "Yes / Required (Sheet 3)", "")</f>
        <v/>
      </c>
      <c r="L7559" s="7" t="n"/>
      <c r="M7559" s="7" t="n"/>
      <c r="N7559">
        <f>IF(D7559="", "Gap - No Legal Basis", IF(AND(D7559="Consent (GDPR Art. 6(1)(a))", I7559="Not Captured"), "Gap - Invalid Consent", IF(AND(D7559="Legitimate Interest (GDPR Art. 6(1)(f))", L7559=""), "Gap - Missing LIA", IF(AND(G7559="Yes", H7559=""), "Gap - Missing Art. 9 Basis", IF(OR(I7559="Invalid - Not Freely Given", I7559="Invalid - Not Specific", I7559="Invalid - Not Informed", I7559="Invalid - Ambiguous"), "Gap - Invalid Consent", "Compliant")))))</f>
        <v/>
      </c>
      <c r="O7559" s="7" t="n"/>
    </row>
    <row r="7560">
      <c r="A7560" s="7" t="n"/>
      <c r="B7560" s="7" t="n"/>
      <c r="C7560" s="7" t="n"/>
      <c r="D7560" s="7" t="n"/>
      <c r="E7560" s="7" t="n"/>
      <c r="F7560" s="7" t="n"/>
      <c r="G7560" s="7" t="n"/>
      <c r="H7560" s="7" t="n"/>
      <c r="I7560" s="7" t="n"/>
      <c r="J7560" s="7" t="n"/>
      <c r="K7560">
        <f>IF(D7560="Legitimate Interest (GDPR Art. 6(1)(f))", "Yes / Required (Sheet 3)", "")</f>
        <v/>
      </c>
      <c r="L7560" s="7" t="n"/>
      <c r="M7560" s="7" t="n"/>
      <c r="N7560">
        <f>IF(D7560="", "Gap - No Legal Basis", IF(AND(D7560="Consent (GDPR Art. 6(1)(a))", I7560="Not Captured"), "Gap - Invalid Consent", IF(AND(D7560="Legitimate Interest (GDPR Art. 6(1)(f))", L7560=""), "Gap - Missing LIA", IF(AND(G7560="Yes", H7560=""), "Gap - Missing Art. 9 Basis", IF(OR(I7560="Invalid - Not Freely Given", I7560="Invalid - Not Specific", I7560="Invalid - Not Informed", I7560="Invalid - Ambiguous"), "Gap - Invalid Consent", "Compliant")))))</f>
        <v/>
      </c>
      <c r="O7560" s="7" t="n"/>
    </row>
    <row r="7561">
      <c r="A7561" s="7" t="n"/>
      <c r="B7561" s="7" t="n"/>
      <c r="C7561" s="7" t="n"/>
      <c r="D7561" s="7" t="n"/>
      <c r="E7561" s="7" t="n"/>
      <c r="F7561" s="7" t="n"/>
      <c r="G7561" s="7" t="n"/>
      <c r="H7561" s="7" t="n"/>
      <c r="I7561" s="7" t="n"/>
      <c r="J7561" s="7" t="n"/>
      <c r="K7561">
        <f>IF(D7561="Legitimate Interest (GDPR Art. 6(1)(f))", "Yes / Required (Sheet 3)", "")</f>
        <v/>
      </c>
      <c r="L7561" s="7" t="n"/>
      <c r="M7561" s="7" t="n"/>
      <c r="N7561">
        <f>IF(D7561="", "Gap - No Legal Basis", IF(AND(D7561="Consent (GDPR Art. 6(1)(a))", I7561="Not Captured"), "Gap - Invalid Consent", IF(AND(D7561="Legitimate Interest (GDPR Art. 6(1)(f))", L7561=""), "Gap - Missing LIA", IF(AND(G7561="Yes", H7561=""), "Gap - Missing Art. 9 Basis", IF(OR(I7561="Invalid - Not Freely Given", I7561="Invalid - Not Specific", I7561="Invalid - Not Informed", I7561="Invalid - Ambiguous"), "Gap - Invalid Consent", "Compliant")))))</f>
        <v/>
      </c>
      <c r="O7561" s="7" t="n"/>
    </row>
    <row r="7562">
      <c r="A7562" s="7" t="n"/>
      <c r="B7562" s="7" t="n"/>
      <c r="C7562" s="7" t="n"/>
      <c r="D7562" s="7" t="n"/>
      <c r="E7562" s="7" t="n"/>
      <c r="F7562" s="7" t="n"/>
      <c r="G7562" s="7" t="n"/>
      <c r="H7562" s="7" t="n"/>
      <c r="I7562" s="7" t="n"/>
      <c r="J7562" s="7" t="n"/>
      <c r="K7562">
        <f>IF(D7562="Legitimate Interest (GDPR Art. 6(1)(f))", "Yes / Required (Sheet 3)", "")</f>
        <v/>
      </c>
      <c r="L7562" s="7" t="n"/>
      <c r="M7562" s="7" t="n"/>
      <c r="N7562">
        <f>IF(D7562="", "Gap - No Legal Basis", IF(AND(D7562="Consent (GDPR Art. 6(1)(a))", I7562="Not Captured"), "Gap - Invalid Consent", IF(AND(D7562="Legitimate Interest (GDPR Art. 6(1)(f))", L7562=""), "Gap - Missing LIA", IF(AND(G7562="Yes", H7562=""), "Gap - Missing Art. 9 Basis", IF(OR(I7562="Invalid - Not Freely Given", I7562="Invalid - Not Specific", I7562="Invalid - Not Informed", I7562="Invalid - Ambiguous"), "Gap - Invalid Consent", "Compliant")))))</f>
        <v/>
      </c>
      <c r="O7562" s="7" t="n"/>
    </row>
    <row r="7563">
      <c r="A7563" s="7" t="n"/>
      <c r="B7563" s="7" t="n"/>
      <c r="C7563" s="7" t="n"/>
      <c r="D7563" s="7" t="n"/>
      <c r="E7563" s="7" t="n"/>
      <c r="F7563" s="7" t="n"/>
      <c r="G7563" s="7" t="n"/>
      <c r="H7563" s="7" t="n"/>
      <c r="I7563" s="7" t="n"/>
      <c r="J7563" s="7" t="n"/>
      <c r="K7563">
        <f>IF(D7563="Legitimate Interest (GDPR Art. 6(1)(f))", "Yes / Required (Sheet 3)", "")</f>
        <v/>
      </c>
      <c r="L7563" s="7" t="n"/>
      <c r="M7563" s="7" t="n"/>
      <c r="N7563">
        <f>IF(D7563="", "Gap - No Legal Basis", IF(AND(D7563="Consent (GDPR Art. 6(1)(a))", I7563="Not Captured"), "Gap - Invalid Consent", IF(AND(D7563="Legitimate Interest (GDPR Art. 6(1)(f))", L7563=""), "Gap - Missing LIA", IF(AND(G7563="Yes", H7563=""), "Gap - Missing Art. 9 Basis", IF(OR(I7563="Invalid - Not Freely Given", I7563="Invalid - Not Specific", I7563="Invalid - Not Informed", I7563="Invalid - Ambiguous"), "Gap - Invalid Consent", "Compliant")))))</f>
        <v/>
      </c>
      <c r="O7563" s="7" t="n"/>
    </row>
    <row r="7564">
      <c r="A7564" s="7" t="n"/>
      <c r="B7564" s="7" t="n"/>
      <c r="C7564" s="7" t="n"/>
      <c r="D7564" s="7" t="n"/>
      <c r="E7564" s="7" t="n"/>
      <c r="F7564" s="7" t="n"/>
      <c r="G7564" s="7" t="n"/>
      <c r="H7564" s="7" t="n"/>
      <c r="I7564" s="7" t="n"/>
      <c r="J7564" s="7" t="n"/>
      <c r="K7564">
        <f>IF(D7564="Legitimate Interest (GDPR Art. 6(1)(f))", "Yes / Required (Sheet 3)", "")</f>
        <v/>
      </c>
      <c r="L7564" s="7" t="n"/>
      <c r="M7564" s="7" t="n"/>
      <c r="N7564">
        <f>IF(D7564="", "Gap - No Legal Basis", IF(AND(D7564="Consent (GDPR Art. 6(1)(a))", I7564="Not Captured"), "Gap - Invalid Consent", IF(AND(D7564="Legitimate Interest (GDPR Art. 6(1)(f))", L7564=""), "Gap - Missing LIA", IF(AND(G7564="Yes", H7564=""), "Gap - Missing Art. 9 Basis", IF(OR(I7564="Invalid - Not Freely Given", I7564="Invalid - Not Specific", I7564="Invalid - Not Informed", I7564="Invalid - Ambiguous"), "Gap - Invalid Consent", "Compliant")))))</f>
        <v/>
      </c>
      <c r="O7564" s="7" t="n"/>
    </row>
    <row r="7565">
      <c r="A7565" s="7" t="n"/>
      <c r="B7565" s="7" t="n"/>
      <c r="C7565" s="7" t="n"/>
      <c r="D7565" s="7" t="n"/>
      <c r="E7565" s="7" t="n"/>
      <c r="F7565" s="7" t="n"/>
      <c r="G7565" s="7" t="n"/>
      <c r="H7565" s="7" t="n"/>
      <c r="I7565" s="7" t="n"/>
      <c r="J7565" s="7" t="n"/>
      <c r="K7565">
        <f>IF(D7565="Legitimate Interest (GDPR Art. 6(1)(f))", "Yes / Required (Sheet 3)", "")</f>
        <v/>
      </c>
      <c r="L7565" s="7" t="n"/>
      <c r="M7565" s="7" t="n"/>
      <c r="N7565">
        <f>IF(D7565="", "Gap - No Legal Basis", IF(AND(D7565="Consent (GDPR Art. 6(1)(a))", I7565="Not Captured"), "Gap - Invalid Consent", IF(AND(D7565="Legitimate Interest (GDPR Art. 6(1)(f))", L7565=""), "Gap - Missing LIA", IF(AND(G7565="Yes", H7565=""), "Gap - Missing Art. 9 Basis", IF(OR(I7565="Invalid - Not Freely Given", I7565="Invalid - Not Specific", I7565="Invalid - Not Informed", I7565="Invalid - Ambiguous"), "Gap - Invalid Consent", "Compliant")))))</f>
        <v/>
      </c>
      <c r="O7565" s="7" t="n"/>
    </row>
    <row r="7566">
      <c r="A7566" s="7" t="n"/>
      <c r="B7566" s="7" t="n"/>
      <c r="C7566" s="7" t="n"/>
      <c r="D7566" s="7" t="n"/>
      <c r="E7566" s="7" t="n"/>
      <c r="F7566" s="7" t="n"/>
      <c r="G7566" s="7" t="n"/>
      <c r="H7566" s="7" t="n"/>
      <c r="I7566" s="7" t="n"/>
      <c r="J7566" s="7" t="n"/>
      <c r="K7566">
        <f>IF(D7566="Legitimate Interest (GDPR Art. 6(1)(f))", "Yes / Required (Sheet 3)", "")</f>
        <v/>
      </c>
      <c r="L7566" s="7" t="n"/>
      <c r="M7566" s="7" t="n"/>
      <c r="N7566">
        <f>IF(D7566="", "Gap - No Legal Basis", IF(AND(D7566="Consent (GDPR Art. 6(1)(a))", I7566="Not Captured"), "Gap - Invalid Consent", IF(AND(D7566="Legitimate Interest (GDPR Art. 6(1)(f))", L7566=""), "Gap - Missing LIA", IF(AND(G7566="Yes", H7566=""), "Gap - Missing Art. 9 Basis", IF(OR(I7566="Invalid - Not Freely Given", I7566="Invalid - Not Specific", I7566="Invalid - Not Informed", I7566="Invalid - Ambiguous"), "Gap - Invalid Consent", "Compliant")))))</f>
        <v/>
      </c>
      <c r="O7566" s="7" t="n"/>
    </row>
    <row r="7567">
      <c r="A7567" s="7" t="n"/>
      <c r="B7567" s="7" t="n"/>
      <c r="C7567" s="7" t="n"/>
      <c r="D7567" s="7" t="n"/>
      <c r="E7567" s="7" t="n"/>
      <c r="F7567" s="7" t="n"/>
      <c r="G7567" s="7" t="n"/>
      <c r="H7567" s="7" t="n"/>
      <c r="I7567" s="7" t="n"/>
      <c r="J7567" s="7" t="n"/>
      <c r="K7567">
        <f>IF(D7567="Legitimate Interest (GDPR Art. 6(1)(f))", "Yes / Required (Sheet 3)", "")</f>
        <v/>
      </c>
      <c r="L7567" s="7" t="n"/>
      <c r="M7567" s="7" t="n"/>
      <c r="N7567">
        <f>IF(D7567="", "Gap - No Legal Basis", IF(AND(D7567="Consent (GDPR Art. 6(1)(a))", I7567="Not Captured"), "Gap - Invalid Consent", IF(AND(D7567="Legitimate Interest (GDPR Art. 6(1)(f))", L7567=""), "Gap - Missing LIA", IF(AND(G7567="Yes", H7567=""), "Gap - Missing Art. 9 Basis", IF(OR(I7567="Invalid - Not Freely Given", I7567="Invalid - Not Specific", I7567="Invalid - Not Informed", I7567="Invalid - Ambiguous"), "Gap - Invalid Consent", "Compliant")))))</f>
        <v/>
      </c>
      <c r="O7567" s="7" t="n"/>
    </row>
    <row r="7568">
      <c r="A7568" s="7" t="n"/>
      <c r="B7568" s="7" t="n"/>
      <c r="C7568" s="7" t="n"/>
      <c r="D7568" s="7" t="n"/>
      <c r="E7568" s="7" t="n"/>
      <c r="F7568" s="7" t="n"/>
      <c r="G7568" s="7" t="n"/>
      <c r="H7568" s="7" t="n"/>
      <c r="I7568" s="7" t="n"/>
      <c r="J7568" s="7" t="n"/>
      <c r="K7568">
        <f>IF(D7568="Legitimate Interest (GDPR Art. 6(1)(f))", "Yes / Required (Sheet 3)", "")</f>
        <v/>
      </c>
      <c r="L7568" s="7" t="n"/>
      <c r="M7568" s="7" t="n"/>
      <c r="N7568">
        <f>IF(D7568="", "Gap - No Legal Basis", IF(AND(D7568="Consent (GDPR Art. 6(1)(a))", I7568="Not Captured"), "Gap - Invalid Consent", IF(AND(D7568="Legitimate Interest (GDPR Art. 6(1)(f))", L7568=""), "Gap - Missing LIA", IF(AND(G7568="Yes", H7568=""), "Gap - Missing Art. 9 Basis", IF(OR(I7568="Invalid - Not Freely Given", I7568="Invalid - Not Specific", I7568="Invalid - Not Informed", I7568="Invalid - Ambiguous"), "Gap - Invalid Consent", "Compliant")))))</f>
        <v/>
      </c>
      <c r="O7568" s="7" t="n"/>
    </row>
    <row r="7569">
      <c r="A7569" s="7" t="n"/>
      <c r="B7569" s="7" t="n"/>
      <c r="C7569" s="7" t="n"/>
      <c r="D7569" s="7" t="n"/>
      <c r="E7569" s="7" t="n"/>
      <c r="F7569" s="7" t="n"/>
      <c r="G7569" s="7" t="n"/>
      <c r="H7569" s="7" t="n"/>
      <c r="I7569" s="7" t="n"/>
      <c r="J7569" s="7" t="n"/>
      <c r="K7569">
        <f>IF(D7569="Legitimate Interest (GDPR Art. 6(1)(f))", "Yes / Required (Sheet 3)", "")</f>
        <v/>
      </c>
      <c r="L7569" s="7" t="n"/>
      <c r="M7569" s="7" t="n"/>
      <c r="N7569">
        <f>IF(D7569="", "Gap - No Legal Basis", IF(AND(D7569="Consent (GDPR Art. 6(1)(a))", I7569="Not Captured"), "Gap - Invalid Consent", IF(AND(D7569="Legitimate Interest (GDPR Art. 6(1)(f))", L7569=""), "Gap - Missing LIA", IF(AND(G7569="Yes", H7569=""), "Gap - Missing Art. 9 Basis", IF(OR(I7569="Invalid - Not Freely Given", I7569="Invalid - Not Specific", I7569="Invalid - Not Informed", I7569="Invalid - Ambiguous"), "Gap - Invalid Consent", "Compliant")))))</f>
        <v/>
      </c>
      <c r="O7569" s="7" t="n"/>
    </row>
    <row r="7570">
      <c r="A7570" s="7" t="n"/>
      <c r="B7570" s="7" t="n"/>
      <c r="C7570" s="7" t="n"/>
      <c r="D7570" s="7" t="n"/>
      <c r="E7570" s="7" t="n"/>
      <c r="F7570" s="7" t="n"/>
      <c r="G7570" s="7" t="n"/>
      <c r="H7570" s="7" t="n"/>
      <c r="I7570" s="7" t="n"/>
      <c r="J7570" s="7" t="n"/>
      <c r="K7570">
        <f>IF(D7570="Legitimate Interest (GDPR Art. 6(1)(f))", "Yes / Required (Sheet 3)", "")</f>
        <v/>
      </c>
      <c r="L7570" s="7" t="n"/>
      <c r="M7570" s="7" t="n"/>
      <c r="N7570">
        <f>IF(D7570="", "Gap - No Legal Basis", IF(AND(D7570="Consent (GDPR Art. 6(1)(a))", I7570="Not Captured"), "Gap - Invalid Consent", IF(AND(D7570="Legitimate Interest (GDPR Art. 6(1)(f))", L7570=""), "Gap - Missing LIA", IF(AND(G7570="Yes", H7570=""), "Gap - Missing Art. 9 Basis", IF(OR(I7570="Invalid - Not Freely Given", I7570="Invalid - Not Specific", I7570="Invalid - Not Informed", I7570="Invalid - Ambiguous"), "Gap - Invalid Consent", "Compliant")))))</f>
        <v/>
      </c>
      <c r="O7570" s="7" t="n"/>
    </row>
    <row r="7571">
      <c r="A7571" s="7" t="n"/>
      <c r="B7571" s="7" t="n"/>
      <c r="C7571" s="7" t="n"/>
      <c r="D7571" s="7" t="n"/>
      <c r="E7571" s="7" t="n"/>
      <c r="F7571" s="7" t="n"/>
      <c r="G7571" s="7" t="n"/>
      <c r="H7571" s="7" t="n"/>
      <c r="I7571" s="7" t="n"/>
      <c r="J7571" s="7" t="n"/>
      <c r="K7571">
        <f>IF(D7571="Legitimate Interest (GDPR Art. 6(1)(f))", "Yes / Required (Sheet 3)", "")</f>
        <v/>
      </c>
      <c r="L7571" s="7" t="n"/>
      <c r="M7571" s="7" t="n"/>
      <c r="N7571">
        <f>IF(D7571="", "Gap - No Legal Basis", IF(AND(D7571="Consent (GDPR Art. 6(1)(a))", I7571="Not Captured"), "Gap - Invalid Consent", IF(AND(D7571="Legitimate Interest (GDPR Art. 6(1)(f))", L7571=""), "Gap - Missing LIA", IF(AND(G7571="Yes", H7571=""), "Gap - Missing Art. 9 Basis", IF(OR(I7571="Invalid - Not Freely Given", I7571="Invalid - Not Specific", I7571="Invalid - Not Informed", I7571="Invalid - Ambiguous"), "Gap - Invalid Consent", "Compliant")))))</f>
        <v/>
      </c>
      <c r="O7571" s="7" t="n"/>
    </row>
    <row r="7572">
      <c r="A7572" s="7" t="n"/>
      <c r="B7572" s="7" t="n"/>
      <c r="C7572" s="7" t="n"/>
      <c r="D7572" s="7" t="n"/>
      <c r="E7572" s="7" t="n"/>
      <c r="F7572" s="7" t="n"/>
      <c r="G7572" s="7" t="n"/>
      <c r="H7572" s="7" t="n"/>
      <c r="I7572" s="7" t="n"/>
      <c r="J7572" s="7" t="n"/>
      <c r="K7572">
        <f>IF(D7572="Legitimate Interest (GDPR Art. 6(1)(f))", "Yes / Required (Sheet 3)", "")</f>
        <v/>
      </c>
      <c r="L7572" s="7" t="n"/>
      <c r="M7572" s="7" t="n"/>
      <c r="N7572">
        <f>IF(D7572="", "Gap - No Legal Basis", IF(AND(D7572="Consent (GDPR Art. 6(1)(a))", I7572="Not Captured"), "Gap - Invalid Consent", IF(AND(D7572="Legitimate Interest (GDPR Art. 6(1)(f))", L7572=""), "Gap - Missing LIA", IF(AND(G7572="Yes", H7572=""), "Gap - Missing Art. 9 Basis", IF(OR(I7572="Invalid - Not Freely Given", I7572="Invalid - Not Specific", I7572="Invalid - Not Informed", I7572="Invalid - Ambiguous"), "Gap - Invalid Consent", "Compliant")))))</f>
        <v/>
      </c>
      <c r="O7572" s="7" t="n"/>
    </row>
    <row r="7573">
      <c r="A7573" s="7" t="n"/>
      <c r="B7573" s="7" t="n"/>
      <c r="C7573" s="7" t="n"/>
      <c r="D7573" s="7" t="n"/>
      <c r="E7573" s="7" t="n"/>
      <c r="F7573" s="7" t="n"/>
      <c r="G7573" s="7" t="n"/>
      <c r="H7573" s="7" t="n"/>
      <c r="I7573" s="7" t="n"/>
      <c r="J7573" s="7" t="n"/>
      <c r="K7573">
        <f>IF(D7573="Legitimate Interest (GDPR Art. 6(1)(f))", "Yes / Required (Sheet 3)", "")</f>
        <v/>
      </c>
      <c r="L7573" s="7" t="n"/>
      <c r="M7573" s="7" t="n"/>
      <c r="N7573">
        <f>IF(D7573="", "Gap - No Legal Basis", IF(AND(D7573="Consent (GDPR Art. 6(1)(a))", I7573="Not Captured"), "Gap - Invalid Consent", IF(AND(D7573="Legitimate Interest (GDPR Art. 6(1)(f))", L7573=""), "Gap - Missing LIA", IF(AND(G7573="Yes", H7573=""), "Gap - Missing Art. 9 Basis", IF(OR(I7573="Invalid - Not Freely Given", I7573="Invalid - Not Specific", I7573="Invalid - Not Informed", I7573="Invalid - Ambiguous"), "Gap - Invalid Consent", "Compliant")))))</f>
        <v/>
      </c>
      <c r="O7573" s="7" t="n"/>
    </row>
    <row r="7574">
      <c r="A7574" s="7" t="n"/>
      <c r="B7574" s="7" t="n"/>
      <c r="C7574" s="7" t="n"/>
      <c r="D7574" s="7" t="n"/>
      <c r="E7574" s="7" t="n"/>
      <c r="F7574" s="7" t="n"/>
      <c r="G7574" s="7" t="n"/>
      <c r="H7574" s="7" t="n"/>
      <c r="I7574" s="7" t="n"/>
      <c r="J7574" s="7" t="n"/>
      <c r="K7574">
        <f>IF(D7574="Legitimate Interest (GDPR Art. 6(1)(f))", "Yes / Required (Sheet 3)", "")</f>
        <v/>
      </c>
      <c r="L7574" s="7" t="n"/>
      <c r="M7574" s="7" t="n"/>
      <c r="N7574">
        <f>IF(D7574="", "Gap - No Legal Basis", IF(AND(D7574="Consent (GDPR Art. 6(1)(a))", I7574="Not Captured"), "Gap - Invalid Consent", IF(AND(D7574="Legitimate Interest (GDPR Art. 6(1)(f))", L7574=""), "Gap - Missing LIA", IF(AND(G7574="Yes", H7574=""), "Gap - Missing Art. 9 Basis", IF(OR(I7574="Invalid - Not Freely Given", I7574="Invalid - Not Specific", I7574="Invalid - Not Informed", I7574="Invalid - Ambiguous"), "Gap - Invalid Consent", "Compliant")))))</f>
        <v/>
      </c>
      <c r="O7574" s="7" t="n"/>
    </row>
    <row r="7575">
      <c r="A7575" s="7" t="n"/>
      <c r="B7575" s="7" t="n"/>
      <c r="C7575" s="7" t="n"/>
      <c r="D7575" s="7" t="n"/>
      <c r="E7575" s="7" t="n"/>
      <c r="F7575" s="7" t="n"/>
      <c r="G7575" s="7" t="n"/>
      <c r="H7575" s="7" t="n"/>
      <c r="I7575" s="7" t="n"/>
      <c r="J7575" s="7" t="n"/>
      <c r="K7575">
        <f>IF(D7575="Legitimate Interest (GDPR Art. 6(1)(f))", "Yes / Required (Sheet 3)", "")</f>
        <v/>
      </c>
      <c r="L7575" s="7" t="n"/>
      <c r="M7575" s="7" t="n"/>
      <c r="N7575">
        <f>IF(D7575="", "Gap - No Legal Basis", IF(AND(D7575="Consent (GDPR Art. 6(1)(a))", I7575="Not Captured"), "Gap - Invalid Consent", IF(AND(D7575="Legitimate Interest (GDPR Art. 6(1)(f))", L7575=""), "Gap - Missing LIA", IF(AND(G7575="Yes", H7575=""), "Gap - Missing Art. 9 Basis", IF(OR(I7575="Invalid - Not Freely Given", I7575="Invalid - Not Specific", I7575="Invalid - Not Informed", I7575="Invalid - Ambiguous"), "Gap - Invalid Consent", "Compliant")))))</f>
        <v/>
      </c>
      <c r="O7575" s="7" t="n"/>
    </row>
    <row r="7576">
      <c r="A7576" s="7" t="n"/>
      <c r="B7576" s="7" t="n"/>
      <c r="C7576" s="7" t="n"/>
      <c r="D7576" s="7" t="n"/>
      <c r="E7576" s="7" t="n"/>
      <c r="F7576" s="7" t="n"/>
      <c r="G7576" s="7" t="n"/>
      <c r="H7576" s="7" t="n"/>
      <c r="I7576" s="7" t="n"/>
      <c r="J7576" s="7" t="n"/>
      <c r="K7576">
        <f>IF(D7576="Legitimate Interest (GDPR Art. 6(1)(f))", "Yes / Required (Sheet 3)", "")</f>
        <v/>
      </c>
      <c r="L7576" s="7" t="n"/>
      <c r="M7576" s="7" t="n"/>
      <c r="N7576">
        <f>IF(D7576="", "Gap - No Legal Basis", IF(AND(D7576="Consent (GDPR Art. 6(1)(a))", I7576="Not Captured"), "Gap - Invalid Consent", IF(AND(D7576="Legitimate Interest (GDPR Art. 6(1)(f))", L7576=""), "Gap - Missing LIA", IF(AND(G7576="Yes", H7576=""), "Gap - Missing Art. 9 Basis", IF(OR(I7576="Invalid - Not Freely Given", I7576="Invalid - Not Specific", I7576="Invalid - Not Informed", I7576="Invalid - Ambiguous"), "Gap - Invalid Consent", "Compliant")))))</f>
        <v/>
      </c>
      <c r="O7576" s="7" t="n"/>
    </row>
    <row r="7577">
      <c r="A7577" s="7" t="n"/>
      <c r="B7577" s="7" t="n"/>
      <c r="C7577" s="7" t="n"/>
      <c r="D7577" s="7" t="n"/>
      <c r="E7577" s="7" t="n"/>
      <c r="F7577" s="7" t="n"/>
      <c r="G7577" s="7" t="n"/>
      <c r="H7577" s="7" t="n"/>
      <c r="I7577" s="7" t="n"/>
      <c r="J7577" s="7" t="n"/>
      <c r="K7577">
        <f>IF(D7577="Legitimate Interest (GDPR Art. 6(1)(f))", "Yes / Required (Sheet 3)", "")</f>
        <v/>
      </c>
      <c r="L7577" s="7" t="n"/>
      <c r="M7577" s="7" t="n"/>
      <c r="N7577">
        <f>IF(D7577="", "Gap - No Legal Basis", IF(AND(D7577="Consent (GDPR Art. 6(1)(a))", I7577="Not Captured"), "Gap - Invalid Consent", IF(AND(D7577="Legitimate Interest (GDPR Art. 6(1)(f))", L7577=""), "Gap - Missing LIA", IF(AND(G7577="Yes", H7577=""), "Gap - Missing Art. 9 Basis", IF(OR(I7577="Invalid - Not Freely Given", I7577="Invalid - Not Specific", I7577="Invalid - Not Informed", I7577="Invalid - Ambiguous"), "Gap - Invalid Consent", "Compliant")))))</f>
        <v/>
      </c>
      <c r="O7577" s="7" t="n"/>
    </row>
    <row r="7578">
      <c r="A7578" s="7" t="n"/>
      <c r="B7578" s="7" t="n"/>
      <c r="C7578" s="7" t="n"/>
      <c r="D7578" s="7" t="n"/>
      <c r="E7578" s="7" t="n"/>
      <c r="F7578" s="7" t="n"/>
      <c r="G7578" s="7" t="n"/>
      <c r="H7578" s="7" t="n"/>
      <c r="I7578" s="7" t="n"/>
      <c r="J7578" s="7" t="n"/>
      <c r="K7578">
        <f>IF(D7578="Legitimate Interest (GDPR Art. 6(1)(f))", "Yes / Required (Sheet 3)", "")</f>
        <v/>
      </c>
      <c r="L7578" s="7" t="n"/>
      <c r="M7578" s="7" t="n"/>
      <c r="N7578">
        <f>IF(D7578="", "Gap - No Legal Basis", IF(AND(D7578="Consent (GDPR Art. 6(1)(a))", I7578="Not Captured"), "Gap - Invalid Consent", IF(AND(D7578="Legitimate Interest (GDPR Art. 6(1)(f))", L7578=""), "Gap - Missing LIA", IF(AND(G7578="Yes", H7578=""), "Gap - Missing Art. 9 Basis", IF(OR(I7578="Invalid - Not Freely Given", I7578="Invalid - Not Specific", I7578="Invalid - Not Informed", I7578="Invalid - Ambiguous"), "Gap - Invalid Consent", "Compliant")))))</f>
        <v/>
      </c>
      <c r="O7578" s="7" t="n"/>
    </row>
    <row r="7579">
      <c r="A7579" s="7" t="n"/>
      <c r="B7579" s="7" t="n"/>
      <c r="C7579" s="7" t="n"/>
      <c r="D7579" s="7" t="n"/>
      <c r="E7579" s="7" t="n"/>
      <c r="F7579" s="7" t="n"/>
      <c r="G7579" s="7" t="n"/>
      <c r="H7579" s="7" t="n"/>
      <c r="I7579" s="7" t="n"/>
      <c r="J7579" s="7" t="n"/>
      <c r="K7579">
        <f>IF(D7579="Legitimate Interest (GDPR Art. 6(1)(f))", "Yes / Required (Sheet 3)", "")</f>
        <v/>
      </c>
      <c r="L7579" s="7" t="n"/>
      <c r="M7579" s="7" t="n"/>
      <c r="N7579">
        <f>IF(D7579="", "Gap - No Legal Basis", IF(AND(D7579="Consent (GDPR Art. 6(1)(a))", I7579="Not Captured"), "Gap - Invalid Consent", IF(AND(D7579="Legitimate Interest (GDPR Art. 6(1)(f))", L7579=""), "Gap - Missing LIA", IF(AND(G7579="Yes", H7579=""), "Gap - Missing Art. 9 Basis", IF(OR(I7579="Invalid - Not Freely Given", I7579="Invalid - Not Specific", I7579="Invalid - Not Informed", I7579="Invalid - Ambiguous"), "Gap - Invalid Consent", "Compliant")))))</f>
        <v/>
      </c>
      <c r="O7579" s="7" t="n"/>
    </row>
    <row r="7580">
      <c r="A7580" s="7" t="n"/>
      <c r="B7580" s="7" t="n"/>
      <c r="C7580" s="7" t="n"/>
      <c r="D7580" s="7" t="n"/>
      <c r="E7580" s="7" t="n"/>
      <c r="F7580" s="7" t="n"/>
      <c r="G7580" s="7" t="n"/>
      <c r="H7580" s="7" t="n"/>
      <c r="I7580" s="7" t="n"/>
      <c r="J7580" s="7" t="n"/>
      <c r="K7580">
        <f>IF(D7580="Legitimate Interest (GDPR Art. 6(1)(f))", "Yes / Required (Sheet 3)", "")</f>
        <v/>
      </c>
      <c r="L7580" s="7" t="n"/>
      <c r="M7580" s="7" t="n"/>
      <c r="N7580">
        <f>IF(D7580="", "Gap - No Legal Basis", IF(AND(D7580="Consent (GDPR Art. 6(1)(a))", I7580="Not Captured"), "Gap - Invalid Consent", IF(AND(D7580="Legitimate Interest (GDPR Art. 6(1)(f))", L7580=""), "Gap - Missing LIA", IF(AND(G7580="Yes", H7580=""), "Gap - Missing Art. 9 Basis", IF(OR(I7580="Invalid - Not Freely Given", I7580="Invalid - Not Specific", I7580="Invalid - Not Informed", I7580="Invalid - Ambiguous"), "Gap - Invalid Consent", "Compliant")))))</f>
        <v/>
      </c>
      <c r="O7580" s="7" t="n"/>
    </row>
    <row r="7581">
      <c r="A7581" s="7" t="n"/>
      <c r="B7581" s="7" t="n"/>
      <c r="C7581" s="7" t="n"/>
      <c r="D7581" s="7" t="n"/>
      <c r="E7581" s="7" t="n"/>
      <c r="F7581" s="7" t="n"/>
      <c r="G7581" s="7" t="n"/>
      <c r="H7581" s="7" t="n"/>
      <c r="I7581" s="7" t="n"/>
      <c r="J7581" s="7" t="n"/>
      <c r="K7581">
        <f>IF(D7581="Legitimate Interest (GDPR Art. 6(1)(f))", "Yes / Required (Sheet 3)", "")</f>
        <v/>
      </c>
      <c r="L7581" s="7" t="n"/>
      <c r="M7581" s="7" t="n"/>
      <c r="N7581">
        <f>IF(D7581="", "Gap - No Legal Basis", IF(AND(D7581="Consent (GDPR Art. 6(1)(a))", I7581="Not Captured"), "Gap - Invalid Consent", IF(AND(D7581="Legitimate Interest (GDPR Art. 6(1)(f))", L7581=""), "Gap - Missing LIA", IF(AND(G7581="Yes", H7581=""), "Gap - Missing Art. 9 Basis", IF(OR(I7581="Invalid - Not Freely Given", I7581="Invalid - Not Specific", I7581="Invalid - Not Informed", I7581="Invalid - Ambiguous"), "Gap - Invalid Consent", "Compliant")))))</f>
        <v/>
      </c>
      <c r="O7581" s="7" t="n"/>
    </row>
    <row r="7582">
      <c r="A7582" s="7" t="n"/>
      <c r="B7582" s="7" t="n"/>
      <c r="C7582" s="7" t="n"/>
      <c r="D7582" s="7" t="n"/>
      <c r="E7582" s="7" t="n"/>
      <c r="F7582" s="7" t="n"/>
      <c r="G7582" s="7" t="n"/>
      <c r="H7582" s="7" t="n"/>
      <c r="I7582" s="7" t="n"/>
      <c r="J7582" s="7" t="n"/>
      <c r="K7582">
        <f>IF(D7582="Legitimate Interest (GDPR Art. 6(1)(f))", "Yes / Required (Sheet 3)", "")</f>
        <v/>
      </c>
      <c r="L7582" s="7" t="n"/>
      <c r="M7582" s="7" t="n"/>
      <c r="N7582">
        <f>IF(D7582="", "Gap - No Legal Basis", IF(AND(D7582="Consent (GDPR Art. 6(1)(a))", I7582="Not Captured"), "Gap - Invalid Consent", IF(AND(D7582="Legitimate Interest (GDPR Art. 6(1)(f))", L7582=""), "Gap - Missing LIA", IF(AND(G7582="Yes", H7582=""), "Gap - Missing Art. 9 Basis", IF(OR(I7582="Invalid - Not Freely Given", I7582="Invalid - Not Specific", I7582="Invalid - Not Informed", I7582="Invalid - Ambiguous"), "Gap - Invalid Consent", "Compliant")))))</f>
        <v/>
      </c>
      <c r="O7582" s="7" t="n"/>
    </row>
    <row r="7583">
      <c r="A7583" s="7" t="n"/>
      <c r="B7583" s="7" t="n"/>
      <c r="C7583" s="7" t="n"/>
      <c r="D7583" s="7" t="n"/>
      <c r="E7583" s="7" t="n"/>
      <c r="F7583" s="7" t="n"/>
      <c r="G7583" s="7" t="n"/>
      <c r="H7583" s="7" t="n"/>
      <c r="I7583" s="7" t="n"/>
      <c r="J7583" s="7" t="n"/>
      <c r="K7583">
        <f>IF(D7583="Legitimate Interest (GDPR Art. 6(1)(f))", "Yes / Required (Sheet 3)", "")</f>
        <v/>
      </c>
      <c r="L7583" s="7" t="n"/>
      <c r="M7583" s="7" t="n"/>
      <c r="N7583">
        <f>IF(D7583="", "Gap - No Legal Basis", IF(AND(D7583="Consent (GDPR Art. 6(1)(a))", I7583="Not Captured"), "Gap - Invalid Consent", IF(AND(D7583="Legitimate Interest (GDPR Art. 6(1)(f))", L7583=""), "Gap - Missing LIA", IF(AND(G7583="Yes", H7583=""), "Gap - Missing Art. 9 Basis", IF(OR(I7583="Invalid - Not Freely Given", I7583="Invalid - Not Specific", I7583="Invalid - Not Informed", I7583="Invalid - Ambiguous"), "Gap - Invalid Consent", "Compliant")))))</f>
        <v/>
      </c>
      <c r="O7583" s="7" t="n"/>
    </row>
    <row r="7584">
      <c r="A7584" s="7" t="n"/>
      <c r="B7584" s="7" t="n"/>
      <c r="C7584" s="7" t="n"/>
      <c r="D7584" s="7" t="n"/>
      <c r="E7584" s="7" t="n"/>
      <c r="F7584" s="7" t="n"/>
      <c r="G7584" s="7" t="n"/>
      <c r="H7584" s="7" t="n"/>
      <c r="I7584" s="7" t="n"/>
      <c r="J7584" s="7" t="n"/>
      <c r="K7584">
        <f>IF(D7584="Legitimate Interest (GDPR Art. 6(1)(f))", "Yes / Required (Sheet 3)", "")</f>
        <v/>
      </c>
      <c r="L7584" s="7" t="n"/>
      <c r="M7584" s="7" t="n"/>
      <c r="N7584">
        <f>IF(D7584="", "Gap - No Legal Basis", IF(AND(D7584="Consent (GDPR Art. 6(1)(a))", I7584="Not Captured"), "Gap - Invalid Consent", IF(AND(D7584="Legitimate Interest (GDPR Art. 6(1)(f))", L7584=""), "Gap - Missing LIA", IF(AND(G7584="Yes", H7584=""), "Gap - Missing Art. 9 Basis", IF(OR(I7584="Invalid - Not Freely Given", I7584="Invalid - Not Specific", I7584="Invalid - Not Informed", I7584="Invalid - Ambiguous"), "Gap - Invalid Consent", "Compliant")))))</f>
        <v/>
      </c>
      <c r="O7584" s="7" t="n"/>
    </row>
    <row r="7585">
      <c r="A7585" s="7" t="n"/>
      <c r="B7585" s="7" t="n"/>
      <c r="C7585" s="7" t="n"/>
      <c r="D7585" s="7" t="n"/>
      <c r="E7585" s="7" t="n"/>
      <c r="F7585" s="7" t="n"/>
      <c r="G7585" s="7" t="n"/>
      <c r="H7585" s="7" t="n"/>
      <c r="I7585" s="7" t="n"/>
      <c r="J7585" s="7" t="n"/>
      <c r="K7585">
        <f>IF(D7585="Legitimate Interest (GDPR Art. 6(1)(f))", "Yes / Required (Sheet 3)", "")</f>
        <v/>
      </c>
      <c r="L7585" s="7" t="n"/>
      <c r="M7585" s="7" t="n"/>
      <c r="N7585">
        <f>IF(D7585="", "Gap - No Legal Basis", IF(AND(D7585="Consent (GDPR Art. 6(1)(a))", I7585="Not Captured"), "Gap - Invalid Consent", IF(AND(D7585="Legitimate Interest (GDPR Art. 6(1)(f))", L7585=""), "Gap - Missing LIA", IF(AND(G7585="Yes", H7585=""), "Gap - Missing Art. 9 Basis", IF(OR(I7585="Invalid - Not Freely Given", I7585="Invalid - Not Specific", I7585="Invalid - Not Informed", I7585="Invalid - Ambiguous"), "Gap - Invalid Consent", "Compliant")))))</f>
        <v/>
      </c>
      <c r="O7585" s="7" t="n"/>
    </row>
    <row r="7586">
      <c r="A7586" s="7" t="n"/>
      <c r="B7586" s="7" t="n"/>
      <c r="C7586" s="7" t="n"/>
      <c r="D7586" s="7" t="n"/>
      <c r="E7586" s="7" t="n"/>
      <c r="F7586" s="7" t="n"/>
      <c r="G7586" s="7" t="n"/>
      <c r="H7586" s="7" t="n"/>
      <c r="I7586" s="7" t="n"/>
      <c r="J7586" s="7" t="n"/>
      <c r="K7586">
        <f>IF(D7586="Legitimate Interest (GDPR Art. 6(1)(f))", "Yes / Required (Sheet 3)", "")</f>
        <v/>
      </c>
      <c r="L7586" s="7" t="n"/>
      <c r="M7586" s="7" t="n"/>
      <c r="N7586">
        <f>IF(D7586="", "Gap - No Legal Basis", IF(AND(D7586="Consent (GDPR Art. 6(1)(a))", I7586="Not Captured"), "Gap - Invalid Consent", IF(AND(D7586="Legitimate Interest (GDPR Art. 6(1)(f))", L7586=""), "Gap - Missing LIA", IF(AND(G7586="Yes", H7586=""), "Gap - Missing Art. 9 Basis", IF(OR(I7586="Invalid - Not Freely Given", I7586="Invalid - Not Specific", I7586="Invalid - Not Informed", I7586="Invalid - Ambiguous"), "Gap - Invalid Consent", "Compliant")))))</f>
        <v/>
      </c>
      <c r="O7586" s="7" t="n"/>
    </row>
    <row r="7587">
      <c r="A7587" s="7" t="n"/>
      <c r="B7587" s="7" t="n"/>
      <c r="C7587" s="7" t="n"/>
      <c r="D7587" s="7" t="n"/>
      <c r="E7587" s="7" t="n"/>
      <c r="F7587" s="7" t="n"/>
      <c r="G7587" s="7" t="n"/>
      <c r="H7587" s="7" t="n"/>
      <c r="I7587" s="7" t="n"/>
      <c r="J7587" s="7" t="n"/>
      <c r="K7587">
        <f>IF(D7587="Legitimate Interest (GDPR Art. 6(1)(f))", "Yes / Required (Sheet 3)", "")</f>
        <v/>
      </c>
      <c r="L7587" s="7" t="n"/>
      <c r="M7587" s="7" t="n"/>
      <c r="N7587">
        <f>IF(D7587="", "Gap - No Legal Basis", IF(AND(D7587="Consent (GDPR Art. 6(1)(a))", I7587="Not Captured"), "Gap - Invalid Consent", IF(AND(D7587="Legitimate Interest (GDPR Art. 6(1)(f))", L7587=""), "Gap - Missing LIA", IF(AND(G7587="Yes", H7587=""), "Gap - Missing Art. 9 Basis", IF(OR(I7587="Invalid - Not Freely Given", I7587="Invalid - Not Specific", I7587="Invalid - Not Informed", I7587="Invalid - Ambiguous"), "Gap - Invalid Consent", "Compliant")))))</f>
        <v/>
      </c>
      <c r="O7587" s="7" t="n"/>
    </row>
    <row r="7588">
      <c r="A7588" s="7" t="n"/>
      <c r="B7588" s="7" t="n"/>
      <c r="C7588" s="7" t="n"/>
      <c r="D7588" s="7" t="n"/>
      <c r="E7588" s="7" t="n"/>
      <c r="F7588" s="7" t="n"/>
      <c r="G7588" s="7" t="n"/>
      <c r="H7588" s="7" t="n"/>
      <c r="I7588" s="7" t="n"/>
      <c r="J7588" s="7" t="n"/>
      <c r="K7588">
        <f>IF(D7588="Legitimate Interest (GDPR Art. 6(1)(f))", "Yes / Required (Sheet 3)", "")</f>
        <v/>
      </c>
      <c r="L7588" s="7" t="n"/>
      <c r="M7588" s="7" t="n"/>
      <c r="N7588">
        <f>IF(D7588="", "Gap - No Legal Basis", IF(AND(D7588="Consent (GDPR Art. 6(1)(a))", I7588="Not Captured"), "Gap - Invalid Consent", IF(AND(D7588="Legitimate Interest (GDPR Art. 6(1)(f))", L7588=""), "Gap - Missing LIA", IF(AND(G7588="Yes", H7588=""), "Gap - Missing Art. 9 Basis", IF(OR(I7588="Invalid - Not Freely Given", I7588="Invalid - Not Specific", I7588="Invalid - Not Informed", I7588="Invalid - Ambiguous"), "Gap - Invalid Consent", "Compliant")))))</f>
        <v/>
      </c>
      <c r="O7588" s="7" t="n"/>
    </row>
    <row r="7589">
      <c r="A7589" s="7" t="n"/>
      <c r="B7589" s="7" t="n"/>
      <c r="C7589" s="7" t="n"/>
      <c r="D7589" s="7" t="n"/>
      <c r="E7589" s="7" t="n"/>
      <c r="F7589" s="7" t="n"/>
      <c r="G7589" s="7" t="n"/>
      <c r="H7589" s="7" t="n"/>
      <c r="I7589" s="7" t="n"/>
      <c r="J7589" s="7" t="n"/>
      <c r="K7589">
        <f>IF(D7589="Legitimate Interest (GDPR Art. 6(1)(f))", "Yes / Required (Sheet 3)", "")</f>
        <v/>
      </c>
      <c r="L7589" s="7" t="n"/>
      <c r="M7589" s="7" t="n"/>
      <c r="N7589">
        <f>IF(D7589="", "Gap - No Legal Basis", IF(AND(D7589="Consent (GDPR Art. 6(1)(a))", I7589="Not Captured"), "Gap - Invalid Consent", IF(AND(D7589="Legitimate Interest (GDPR Art. 6(1)(f))", L7589=""), "Gap - Missing LIA", IF(AND(G7589="Yes", H7589=""), "Gap - Missing Art. 9 Basis", IF(OR(I7589="Invalid - Not Freely Given", I7589="Invalid - Not Specific", I7589="Invalid - Not Informed", I7589="Invalid - Ambiguous"), "Gap - Invalid Consent", "Compliant")))))</f>
        <v/>
      </c>
      <c r="O7589" s="7" t="n"/>
    </row>
    <row r="7590">
      <c r="A7590" s="7" t="n"/>
      <c r="B7590" s="7" t="n"/>
      <c r="C7590" s="7" t="n"/>
      <c r="D7590" s="7" t="n"/>
      <c r="E7590" s="7" t="n"/>
      <c r="F7590" s="7" t="n"/>
      <c r="G7590" s="7" t="n"/>
      <c r="H7590" s="7" t="n"/>
      <c r="I7590" s="7" t="n"/>
      <c r="J7590" s="7" t="n"/>
      <c r="K7590">
        <f>IF(D7590="Legitimate Interest (GDPR Art. 6(1)(f))", "Yes / Required (Sheet 3)", "")</f>
        <v/>
      </c>
      <c r="L7590" s="7" t="n"/>
      <c r="M7590" s="7" t="n"/>
      <c r="N7590">
        <f>IF(D7590="", "Gap - No Legal Basis", IF(AND(D7590="Consent (GDPR Art. 6(1)(a))", I7590="Not Captured"), "Gap - Invalid Consent", IF(AND(D7590="Legitimate Interest (GDPR Art. 6(1)(f))", L7590=""), "Gap - Missing LIA", IF(AND(G7590="Yes", H7590=""), "Gap - Missing Art. 9 Basis", IF(OR(I7590="Invalid - Not Freely Given", I7590="Invalid - Not Specific", I7590="Invalid - Not Informed", I7590="Invalid - Ambiguous"), "Gap - Invalid Consent", "Compliant")))))</f>
        <v/>
      </c>
      <c r="O7590" s="7" t="n"/>
    </row>
    <row r="7591">
      <c r="A7591" s="7" t="n"/>
      <c r="B7591" s="7" t="n"/>
      <c r="C7591" s="7" t="n"/>
      <c r="D7591" s="7" t="n"/>
      <c r="E7591" s="7" t="n"/>
      <c r="F7591" s="7" t="n"/>
      <c r="G7591" s="7" t="n"/>
      <c r="H7591" s="7" t="n"/>
      <c r="I7591" s="7" t="n"/>
      <c r="J7591" s="7" t="n"/>
      <c r="K7591">
        <f>IF(D7591="Legitimate Interest (GDPR Art. 6(1)(f))", "Yes / Required (Sheet 3)", "")</f>
        <v/>
      </c>
      <c r="L7591" s="7" t="n"/>
      <c r="M7591" s="7" t="n"/>
      <c r="N7591">
        <f>IF(D7591="", "Gap - No Legal Basis", IF(AND(D7591="Consent (GDPR Art. 6(1)(a))", I7591="Not Captured"), "Gap - Invalid Consent", IF(AND(D7591="Legitimate Interest (GDPR Art. 6(1)(f))", L7591=""), "Gap - Missing LIA", IF(AND(G7591="Yes", H7591=""), "Gap - Missing Art. 9 Basis", IF(OR(I7591="Invalid - Not Freely Given", I7591="Invalid - Not Specific", I7591="Invalid - Not Informed", I7591="Invalid - Ambiguous"), "Gap - Invalid Consent", "Compliant")))))</f>
        <v/>
      </c>
      <c r="O7591" s="7" t="n"/>
    </row>
    <row r="7592">
      <c r="A7592" s="7" t="n"/>
      <c r="B7592" s="7" t="n"/>
      <c r="C7592" s="7" t="n"/>
      <c r="D7592" s="7" t="n"/>
      <c r="E7592" s="7" t="n"/>
      <c r="F7592" s="7" t="n"/>
      <c r="G7592" s="7" t="n"/>
      <c r="H7592" s="7" t="n"/>
      <c r="I7592" s="7" t="n"/>
      <c r="J7592" s="7" t="n"/>
      <c r="K7592">
        <f>IF(D7592="Legitimate Interest (GDPR Art. 6(1)(f))", "Yes / Required (Sheet 3)", "")</f>
        <v/>
      </c>
      <c r="L7592" s="7" t="n"/>
      <c r="M7592" s="7" t="n"/>
      <c r="N7592">
        <f>IF(D7592="", "Gap - No Legal Basis", IF(AND(D7592="Consent (GDPR Art. 6(1)(a))", I7592="Not Captured"), "Gap - Invalid Consent", IF(AND(D7592="Legitimate Interest (GDPR Art. 6(1)(f))", L7592=""), "Gap - Missing LIA", IF(AND(G7592="Yes", H7592=""), "Gap - Missing Art. 9 Basis", IF(OR(I7592="Invalid - Not Freely Given", I7592="Invalid - Not Specific", I7592="Invalid - Not Informed", I7592="Invalid - Ambiguous"), "Gap - Invalid Consent", "Compliant")))))</f>
        <v/>
      </c>
      <c r="O7592" s="7" t="n"/>
    </row>
    <row r="7593">
      <c r="A7593" s="7" t="n"/>
      <c r="B7593" s="7" t="n"/>
      <c r="C7593" s="7" t="n"/>
      <c r="D7593" s="7" t="n"/>
      <c r="E7593" s="7" t="n"/>
      <c r="F7593" s="7" t="n"/>
      <c r="G7593" s="7" t="n"/>
      <c r="H7593" s="7" t="n"/>
      <c r="I7593" s="7" t="n"/>
      <c r="J7593" s="7" t="n"/>
      <c r="K7593">
        <f>IF(D7593="Legitimate Interest (GDPR Art. 6(1)(f))", "Yes / Required (Sheet 3)", "")</f>
        <v/>
      </c>
      <c r="L7593" s="7" t="n"/>
      <c r="M7593" s="7" t="n"/>
      <c r="N7593">
        <f>IF(D7593="", "Gap - No Legal Basis", IF(AND(D7593="Consent (GDPR Art. 6(1)(a))", I7593="Not Captured"), "Gap - Invalid Consent", IF(AND(D7593="Legitimate Interest (GDPR Art. 6(1)(f))", L7593=""), "Gap - Missing LIA", IF(AND(G7593="Yes", H7593=""), "Gap - Missing Art. 9 Basis", IF(OR(I7593="Invalid - Not Freely Given", I7593="Invalid - Not Specific", I7593="Invalid - Not Informed", I7593="Invalid - Ambiguous"), "Gap - Invalid Consent", "Compliant")))))</f>
        <v/>
      </c>
      <c r="O7593" s="7" t="n"/>
    </row>
    <row r="7594">
      <c r="A7594" s="7" t="n"/>
      <c r="B7594" s="7" t="n"/>
      <c r="C7594" s="7" t="n"/>
      <c r="D7594" s="7" t="n"/>
      <c r="E7594" s="7" t="n"/>
      <c r="F7594" s="7" t="n"/>
      <c r="G7594" s="7" t="n"/>
      <c r="H7594" s="7" t="n"/>
      <c r="I7594" s="7" t="n"/>
      <c r="J7594" s="7" t="n"/>
      <c r="K7594">
        <f>IF(D7594="Legitimate Interest (GDPR Art. 6(1)(f))", "Yes / Required (Sheet 3)", "")</f>
        <v/>
      </c>
      <c r="L7594" s="7" t="n"/>
      <c r="M7594" s="7" t="n"/>
      <c r="N7594">
        <f>IF(D7594="", "Gap - No Legal Basis", IF(AND(D7594="Consent (GDPR Art. 6(1)(a))", I7594="Not Captured"), "Gap - Invalid Consent", IF(AND(D7594="Legitimate Interest (GDPR Art. 6(1)(f))", L7594=""), "Gap - Missing LIA", IF(AND(G7594="Yes", H7594=""), "Gap - Missing Art. 9 Basis", IF(OR(I7594="Invalid - Not Freely Given", I7594="Invalid - Not Specific", I7594="Invalid - Not Informed", I7594="Invalid - Ambiguous"), "Gap - Invalid Consent", "Compliant")))))</f>
        <v/>
      </c>
      <c r="O7594" s="7" t="n"/>
    </row>
    <row r="7595">
      <c r="A7595" s="7" t="n"/>
      <c r="B7595" s="7" t="n"/>
      <c r="C7595" s="7" t="n"/>
      <c r="D7595" s="7" t="n"/>
      <c r="E7595" s="7" t="n"/>
      <c r="F7595" s="7" t="n"/>
      <c r="G7595" s="7" t="n"/>
      <c r="H7595" s="7" t="n"/>
      <c r="I7595" s="7" t="n"/>
      <c r="J7595" s="7" t="n"/>
      <c r="K7595">
        <f>IF(D7595="Legitimate Interest (GDPR Art. 6(1)(f))", "Yes / Required (Sheet 3)", "")</f>
        <v/>
      </c>
      <c r="L7595" s="7" t="n"/>
      <c r="M7595" s="7" t="n"/>
      <c r="N7595">
        <f>IF(D7595="", "Gap - No Legal Basis", IF(AND(D7595="Consent (GDPR Art. 6(1)(a))", I7595="Not Captured"), "Gap - Invalid Consent", IF(AND(D7595="Legitimate Interest (GDPR Art. 6(1)(f))", L7595=""), "Gap - Missing LIA", IF(AND(G7595="Yes", H7595=""), "Gap - Missing Art. 9 Basis", IF(OR(I7595="Invalid - Not Freely Given", I7595="Invalid - Not Specific", I7595="Invalid - Not Informed", I7595="Invalid - Ambiguous"), "Gap - Invalid Consent", "Compliant")))))</f>
        <v/>
      </c>
      <c r="O7595" s="7" t="n"/>
    </row>
    <row r="7596">
      <c r="A7596" s="7" t="n"/>
      <c r="B7596" s="7" t="n"/>
      <c r="C7596" s="7" t="n"/>
      <c r="D7596" s="7" t="n"/>
      <c r="E7596" s="7" t="n"/>
      <c r="F7596" s="7" t="n"/>
      <c r="G7596" s="7" t="n"/>
      <c r="H7596" s="7" t="n"/>
      <c r="I7596" s="7" t="n"/>
      <c r="J7596" s="7" t="n"/>
      <c r="K7596">
        <f>IF(D7596="Legitimate Interest (GDPR Art. 6(1)(f))", "Yes / Required (Sheet 3)", "")</f>
        <v/>
      </c>
      <c r="L7596" s="7" t="n"/>
      <c r="M7596" s="7" t="n"/>
      <c r="N7596">
        <f>IF(D7596="", "Gap - No Legal Basis", IF(AND(D7596="Consent (GDPR Art. 6(1)(a))", I7596="Not Captured"), "Gap - Invalid Consent", IF(AND(D7596="Legitimate Interest (GDPR Art. 6(1)(f))", L7596=""), "Gap - Missing LIA", IF(AND(G7596="Yes", H7596=""), "Gap - Missing Art. 9 Basis", IF(OR(I7596="Invalid - Not Freely Given", I7596="Invalid - Not Specific", I7596="Invalid - Not Informed", I7596="Invalid - Ambiguous"), "Gap - Invalid Consent", "Compliant")))))</f>
        <v/>
      </c>
      <c r="O7596" s="7" t="n"/>
    </row>
    <row r="7597">
      <c r="A7597" s="7" t="n"/>
      <c r="B7597" s="7" t="n"/>
      <c r="C7597" s="7" t="n"/>
      <c r="D7597" s="7" t="n"/>
      <c r="E7597" s="7" t="n"/>
      <c r="F7597" s="7" t="n"/>
      <c r="G7597" s="7" t="n"/>
      <c r="H7597" s="7" t="n"/>
      <c r="I7597" s="7" t="n"/>
      <c r="J7597" s="7" t="n"/>
      <c r="K7597">
        <f>IF(D7597="Legitimate Interest (GDPR Art. 6(1)(f))", "Yes / Required (Sheet 3)", "")</f>
        <v/>
      </c>
      <c r="L7597" s="7" t="n"/>
      <c r="M7597" s="7" t="n"/>
      <c r="N7597">
        <f>IF(D7597="", "Gap - No Legal Basis", IF(AND(D7597="Consent (GDPR Art. 6(1)(a))", I7597="Not Captured"), "Gap - Invalid Consent", IF(AND(D7597="Legitimate Interest (GDPR Art. 6(1)(f))", L7597=""), "Gap - Missing LIA", IF(AND(G7597="Yes", H7597=""), "Gap - Missing Art. 9 Basis", IF(OR(I7597="Invalid - Not Freely Given", I7597="Invalid - Not Specific", I7597="Invalid - Not Informed", I7597="Invalid - Ambiguous"), "Gap - Invalid Consent", "Compliant")))))</f>
        <v/>
      </c>
      <c r="O7597" s="7" t="n"/>
    </row>
    <row r="7598">
      <c r="A7598" s="7" t="n"/>
      <c r="B7598" s="7" t="n"/>
      <c r="C7598" s="7" t="n"/>
      <c r="D7598" s="7" t="n"/>
      <c r="E7598" s="7" t="n"/>
      <c r="F7598" s="7" t="n"/>
      <c r="G7598" s="7" t="n"/>
      <c r="H7598" s="7" t="n"/>
      <c r="I7598" s="7" t="n"/>
      <c r="J7598" s="7" t="n"/>
      <c r="K7598">
        <f>IF(D7598="Legitimate Interest (GDPR Art. 6(1)(f))", "Yes / Required (Sheet 3)", "")</f>
        <v/>
      </c>
      <c r="L7598" s="7" t="n"/>
      <c r="M7598" s="7" t="n"/>
      <c r="N7598">
        <f>IF(D7598="", "Gap - No Legal Basis", IF(AND(D7598="Consent (GDPR Art. 6(1)(a))", I7598="Not Captured"), "Gap - Invalid Consent", IF(AND(D7598="Legitimate Interest (GDPR Art. 6(1)(f))", L7598=""), "Gap - Missing LIA", IF(AND(G7598="Yes", H7598=""), "Gap - Missing Art. 9 Basis", IF(OR(I7598="Invalid - Not Freely Given", I7598="Invalid - Not Specific", I7598="Invalid - Not Informed", I7598="Invalid - Ambiguous"), "Gap - Invalid Consent", "Compliant")))))</f>
        <v/>
      </c>
      <c r="O7598" s="7" t="n"/>
    </row>
    <row r="7599">
      <c r="A7599" s="7" t="n"/>
      <c r="B7599" s="7" t="n"/>
      <c r="C7599" s="7" t="n"/>
      <c r="D7599" s="7" t="n"/>
      <c r="E7599" s="7" t="n"/>
      <c r="F7599" s="7" t="n"/>
      <c r="G7599" s="7" t="n"/>
      <c r="H7599" s="7" t="n"/>
      <c r="I7599" s="7" t="n"/>
      <c r="J7599" s="7" t="n"/>
      <c r="K7599">
        <f>IF(D7599="Legitimate Interest (GDPR Art. 6(1)(f))", "Yes / Required (Sheet 3)", "")</f>
        <v/>
      </c>
      <c r="L7599" s="7" t="n"/>
      <c r="M7599" s="7" t="n"/>
      <c r="N7599">
        <f>IF(D7599="", "Gap - No Legal Basis", IF(AND(D7599="Consent (GDPR Art. 6(1)(a))", I7599="Not Captured"), "Gap - Invalid Consent", IF(AND(D7599="Legitimate Interest (GDPR Art. 6(1)(f))", L7599=""), "Gap - Missing LIA", IF(AND(G7599="Yes", H7599=""), "Gap - Missing Art. 9 Basis", IF(OR(I7599="Invalid - Not Freely Given", I7599="Invalid - Not Specific", I7599="Invalid - Not Informed", I7599="Invalid - Ambiguous"), "Gap - Invalid Consent", "Compliant")))))</f>
        <v/>
      </c>
      <c r="O7599" s="7" t="n"/>
    </row>
    <row r="7600">
      <c r="A7600" s="7" t="n"/>
      <c r="B7600" s="7" t="n"/>
      <c r="C7600" s="7" t="n"/>
      <c r="D7600" s="7" t="n"/>
      <c r="E7600" s="7" t="n"/>
      <c r="F7600" s="7" t="n"/>
      <c r="G7600" s="7" t="n"/>
      <c r="H7600" s="7" t="n"/>
      <c r="I7600" s="7" t="n"/>
      <c r="J7600" s="7" t="n"/>
      <c r="K7600">
        <f>IF(D7600="Legitimate Interest (GDPR Art. 6(1)(f))", "Yes / Required (Sheet 3)", "")</f>
        <v/>
      </c>
      <c r="L7600" s="7" t="n"/>
      <c r="M7600" s="7" t="n"/>
      <c r="N7600">
        <f>IF(D7600="", "Gap - No Legal Basis", IF(AND(D7600="Consent (GDPR Art. 6(1)(a))", I7600="Not Captured"), "Gap - Invalid Consent", IF(AND(D7600="Legitimate Interest (GDPR Art. 6(1)(f))", L7600=""), "Gap - Missing LIA", IF(AND(G7600="Yes", H7600=""), "Gap - Missing Art. 9 Basis", IF(OR(I7600="Invalid - Not Freely Given", I7600="Invalid - Not Specific", I7600="Invalid - Not Informed", I7600="Invalid - Ambiguous"), "Gap - Invalid Consent", "Compliant")))))</f>
        <v/>
      </c>
      <c r="O7600" s="7" t="n"/>
    </row>
    <row r="7601">
      <c r="A7601" s="7" t="n"/>
      <c r="B7601" s="7" t="n"/>
      <c r="C7601" s="7" t="n"/>
      <c r="D7601" s="7" t="n"/>
      <c r="E7601" s="7" t="n"/>
      <c r="F7601" s="7" t="n"/>
      <c r="G7601" s="7" t="n"/>
      <c r="H7601" s="7" t="n"/>
      <c r="I7601" s="7" t="n"/>
      <c r="J7601" s="7" t="n"/>
      <c r="K7601">
        <f>IF(D7601="Legitimate Interest (GDPR Art. 6(1)(f))", "Yes / Required (Sheet 3)", "")</f>
        <v/>
      </c>
      <c r="L7601" s="7" t="n"/>
      <c r="M7601" s="7" t="n"/>
      <c r="N7601">
        <f>IF(D7601="", "Gap - No Legal Basis", IF(AND(D7601="Consent (GDPR Art. 6(1)(a))", I7601="Not Captured"), "Gap - Invalid Consent", IF(AND(D7601="Legitimate Interest (GDPR Art. 6(1)(f))", L7601=""), "Gap - Missing LIA", IF(AND(G7601="Yes", H7601=""), "Gap - Missing Art. 9 Basis", IF(OR(I7601="Invalid - Not Freely Given", I7601="Invalid - Not Specific", I7601="Invalid - Not Informed", I7601="Invalid - Ambiguous"), "Gap - Invalid Consent", "Compliant")))))</f>
        <v/>
      </c>
      <c r="O7601" s="7" t="n"/>
    </row>
    <row r="7602">
      <c r="A7602" s="7" t="n"/>
      <c r="B7602" s="7" t="n"/>
      <c r="C7602" s="7" t="n"/>
      <c r="D7602" s="7" t="n"/>
      <c r="E7602" s="7" t="n"/>
      <c r="F7602" s="7" t="n"/>
      <c r="G7602" s="7" t="n"/>
      <c r="H7602" s="7" t="n"/>
      <c r="I7602" s="7" t="n"/>
      <c r="J7602" s="7" t="n"/>
      <c r="K7602">
        <f>IF(D7602="Legitimate Interest (GDPR Art. 6(1)(f))", "Yes / Required (Sheet 3)", "")</f>
        <v/>
      </c>
      <c r="L7602" s="7" t="n"/>
      <c r="M7602" s="7" t="n"/>
      <c r="N7602">
        <f>IF(D7602="", "Gap - No Legal Basis", IF(AND(D7602="Consent (GDPR Art. 6(1)(a))", I7602="Not Captured"), "Gap - Invalid Consent", IF(AND(D7602="Legitimate Interest (GDPR Art. 6(1)(f))", L7602=""), "Gap - Missing LIA", IF(AND(G7602="Yes", H7602=""), "Gap - Missing Art. 9 Basis", IF(OR(I7602="Invalid - Not Freely Given", I7602="Invalid - Not Specific", I7602="Invalid - Not Informed", I7602="Invalid - Ambiguous"), "Gap - Invalid Consent", "Compliant")))))</f>
        <v/>
      </c>
      <c r="O7602" s="7" t="n"/>
    </row>
    <row r="7603">
      <c r="A7603" s="7" t="n"/>
      <c r="B7603" s="7" t="n"/>
      <c r="C7603" s="7" t="n"/>
      <c r="D7603" s="7" t="n"/>
      <c r="E7603" s="7" t="n"/>
      <c r="F7603" s="7" t="n"/>
      <c r="G7603" s="7" t="n"/>
      <c r="H7603" s="7" t="n"/>
      <c r="I7603" s="7" t="n"/>
      <c r="J7603" s="7" t="n"/>
      <c r="K7603">
        <f>IF(D7603="Legitimate Interest (GDPR Art. 6(1)(f))", "Yes / Required (Sheet 3)", "")</f>
        <v/>
      </c>
      <c r="L7603" s="7" t="n"/>
      <c r="M7603" s="7" t="n"/>
      <c r="N7603">
        <f>IF(D7603="", "Gap - No Legal Basis", IF(AND(D7603="Consent (GDPR Art. 6(1)(a))", I7603="Not Captured"), "Gap - Invalid Consent", IF(AND(D7603="Legitimate Interest (GDPR Art. 6(1)(f))", L7603=""), "Gap - Missing LIA", IF(AND(G7603="Yes", H7603=""), "Gap - Missing Art. 9 Basis", IF(OR(I7603="Invalid - Not Freely Given", I7603="Invalid - Not Specific", I7603="Invalid - Not Informed", I7603="Invalid - Ambiguous"), "Gap - Invalid Consent", "Compliant")))))</f>
        <v/>
      </c>
      <c r="O7603" s="7" t="n"/>
    </row>
    <row r="7604">
      <c r="A7604" s="7" t="n"/>
      <c r="B7604" s="7" t="n"/>
      <c r="C7604" s="7" t="n"/>
      <c r="D7604" s="7" t="n"/>
      <c r="E7604" s="7" t="n"/>
      <c r="F7604" s="7" t="n"/>
      <c r="G7604" s="7" t="n"/>
      <c r="H7604" s="7" t="n"/>
      <c r="I7604" s="7" t="n"/>
      <c r="J7604" s="7" t="n"/>
      <c r="K7604">
        <f>IF(D7604="Legitimate Interest (GDPR Art. 6(1)(f))", "Yes / Required (Sheet 3)", "")</f>
        <v/>
      </c>
      <c r="L7604" s="7" t="n"/>
      <c r="M7604" s="7" t="n"/>
      <c r="N7604">
        <f>IF(D7604="", "Gap - No Legal Basis", IF(AND(D7604="Consent (GDPR Art. 6(1)(a))", I7604="Not Captured"), "Gap - Invalid Consent", IF(AND(D7604="Legitimate Interest (GDPR Art. 6(1)(f))", L7604=""), "Gap - Missing LIA", IF(AND(G7604="Yes", H7604=""), "Gap - Missing Art. 9 Basis", IF(OR(I7604="Invalid - Not Freely Given", I7604="Invalid - Not Specific", I7604="Invalid - Not Informed", I7604="Invalid - Ambiguous"), "Gap - Invalid Consent", "Compliant")))))</f>
        <v/>
      </c>
      <c r="O7604" s="7" t="n"/>
    </row>
    <row r="7605">
      <c r="A7605" s="7" t="n"/>
      <c r="B7605" s="7" t="n"/>
      <c r="C7605" s="7" t="n"/>
      <c r="D7605" s="7" t="n"/>
      <c r="E7605" s="7" t="n"/>
      <c r="F7605" s="7" t="n"/>
      <c r="G7605" s="7" t="n"/>
      <c r="H7605" s="7" t="n"/>
      <c r="I7605" s="7" t="n"/>
      <c r="J7605" s="7" t="n"/>
      <c r="K7605">
        <f>IF(D7605="Legitimate Interest (GDPR Art. 6(1)(f))", "Yes / Required (Sheet 3)", "")</f>
        <v/>
      </c>
      <c r="L7605" s="7" t="n"/>
      <c r="M7605" s="7" t="n"/>
      <c r="N7605">
        <f>IF(D7605="", "Gap - No Legal Basis", IF(AND(D7605="Consent (GDPR Art. 6(1)(a))", I7605="Not Captured"), "Gap - Invalid Consent", IF(AND(D7605="Legitimate Interest (GDPR Art. 6(1)(f))", L7605=""), "Gap - Missing LIA", IF(AND(G7605="Yes", H7605=""), "Gap - Missing Art. 9 Basis", IF(OR(I7605="Invalid - Not Freely Given", I7605="Invalid - Not Specific", I7605="Invalid - Not Informed", I7605="Invalid - Ambiguous"), "Gap - Invalid Consent", "Compliant")))))</f>
        <v/>
      </c>
      <c r="O7605" s="7" t="n"/>
    </row>
    <row r="7606">
      <c r="A7606" s="7" t="n"/>
      <c r="B7606" s="7" t="n"/>
      <c r="C7606" s="7" t="n"/>
      <c r="D7606" s="7" t="n"/>
      <c r="E7606" s="7" t="n"/>
      <c r="F7606" s="7" t="n"/>
      <c r="G7606" s="7" t="n"/>
      <c r="H7606" s="7" t="n"/>
      <c r="I7606" s="7" t="n"/>
      <c r="J7606" s="7" t="n"/>
      <c r="K7606">
        <f>IF(D7606="Legitimate Interest (GDPR Art. 6(1)(f))", "Yes / Required (Sheet 3)", "")</f>
        <v/>
      </c>
      <c r="L7606" s="7" t="n"/>
      <c r="M7606" s="7" t="n"/>
      <c r="N7606">
        <f>IF(D7606="", "Gap - No Legal Basis", IF(AND(D7606="Consent (GDPR Art. 6(1)(a))", I7606="Not Captured"), "Gap - Invalid Consent", IF(AND(D7606="Legitimate Interest (GDPR Art. 6(1)(f))", L7606=""), "Gap - Missing LIA", IF(AND(G7606="Yes", H7606=""), "Gap - Missing Art. 9 Basis", IF(OR(I7606="Invalid - Not Freely Given", I7606="Invalid - Not Specific", I7606="Invalid - Not Informed", I7606="Invalid - Ambiguous"), "Gap - Invalid Consent", "Compliant")))))</f>
        <v/>
      </c>
      <c r="O7606" s="7" t="n"/>
    </row>
    <row r="7607">
      <c r="A7607" s="7" t="n"/>
      <c r="B7607" s="7" t="n"/>
      <c r="C7607" s="7" t="n"/>
      <c r="D7607" s="7" t="n"/>
      <c r="E7607" s="7" t="n"/>
      <c r="F7607" s="7" t="n"/>
      <c r="G7607" s="7" t="n"/>
      <c r="H7607" s="7" t="n"/>
      <c r="I7607" s="7" t="n"/>
      <c r="J7607" s="7" t="n"/>
      <c r="K7607">
        <f>IF(D7607="Legitimate Interest (GDPR Art. 6(1)(f))", "Yes / Required (Sheet 3)", "")</f>
        <v/>
      </c>
      <c r="L7607" s="7" t="n"/>
      <c r="M7607" s="7" t="n"/>
      <c r="N7607">
        <f>IF(D7607="", "Gap - No Legal Basis", IF(AND(D7607="Consent (GDPR Art. 6(1)(a))", I7607="Not Captured"), "Gap - Invalid Consent", IF(AND(D7607="Legitimate Interest (GDPR Art. 6(1)(f))", L7607=""), "Gap - Missing LIA", IF(AND(G7607="Yes", H7607=""), "Gap - Missing Art. 9 Basis", IF(OR(I7607="Invalid - Not Freely Given", I7607="Invalid - Not Specific", I7607="Invalid - Not Informed", I7607="Invalid - Ambiguous"), "Gap - Invalid Consent", "Compliant")))))</f>
        <v/>
      </c>
      <c r="O7607" s="7" t="n"/>
    </row>
    <row r="7608">
      <c r="A7608" s="7" t="n"/>
      <c r="B7608" s="7" t="n"/>
      <c r="C7608" s="7" t="n"/>
      <c r="D7608" s="7" t="n"/>
      <c r="E7608" s="7" t="n"/>
      <c r="F7608" s="7" t="n"/>
      <c r="G7608" s="7" t="n"/>
      <c r="H7608" s="7" t="n"/>
      <c r="I7608" s="7" t="n"/>
      <c r="J7608" s="7" t="n"/>
      <c r="K7608">
        <f>IF(D7608="Legitimate Interest (GDPR Art. 6(1)(f))", "Yes / Required (Sheet 3)", "")</f>
        <v/>
      </c>
      <c r="L7608" s="7" t="n"/>
      <c r="M7608" s="7" t="n"/>
      <c r="N7608">
        <f>IF(D7608="", "Gap - No Legal Basis", IF(AND(D7608="Consent (GDPR Art. 6(1)(a))", I7608="Not Captured"), "Gap - Invalid Consent", IF(AND(D7608="Legitimate Interest (GDPR Art. 6(1)(f))", L7608=""), "Gap - Missing LIA", IF(AND(G7608="Yes", H7608=""), "Gap - Missing Art. 9 Basis", IF(OR(I7608="Invalid - Not Freely Given", I7608="Invalid - Not Specific", I7608="Invalid - Not Informed", I7608="Invalid - Ambiguous"), "Gap - Invalid Consent", "Compliant")))))</f>
        <v/>
      </c>
      <c r="O7608" s="7" t="n"/>
    </row>
    <row r="7609">
      <c r="A7609" s="7" t="n"/>
      <c r="B7609" s="7" t="n"/>
      <c r="C7609" s="7" t="n"/>
      <c r="D7609" s="7" t="n"/>
      <c r="E7609" s="7" t="n"/>
      <c r="F7609" s="7" t="n"/>
      <c r="G7609" s="7" t="n"/>
      <c r="H7609" s="7" t="n"/>
      <c r="I7609" s="7" t="n"/>
      <c r="J7609" s="7" t="n"/>
      <c r="K7609">
        <f>IF(D7609="Legitimate Interest (GDPR Art. 6(1)(f))", "Yes / Required (Sheet 3)", "")</f>
        <v/>
      </c>
      <c r="L7609" s="7" t="n"/>
      <c r="M7609" s="7" t="n"/>
      <c r="N7609">
        <f>IF(D7609="", "Gap - No Legal Basis", IF(AND(D7609="Consent (GDPR Art. 6(1)(a))", I7609="Not Captured"), "Gap - Invalid Consent", IF(AND(D7609="Legitimate Interest (GDPR Art. 6(1)(f))", L7609=""), "Gap - Missing LIA", IF(AND(G7609="Yes", H7609=""), "Gap - Missing Art. 9 Basis", IF(OR(I7609="Invalid - Not Freely Given", I7609="Invalid - Not Specific", I7609="Invalid - Not Informed", I7609="Invalid - Ambiguous"), "Gap - Invalid Consent", "Compliant")))))</f>
        <v/>
      </c>
      <c r="O7609" s="7" t="n"/>
    </row>
    <row r="7610">
      <c r="A7610" s="7" t="n"/>
      <c r="B7610" s="7" t="n"/>
      <c r="C7610" s="7" t="n"/>
      <c r="D7610" s="7" t="n"/>
      <c r="E7610" s="7" t="n"/>
      <c r="F7610" s="7" t="n"/>
      <c r="G7610" s="7" t="n"/>
      <c r="H7610" s="7" t="n"/>
      <c r="I7610" s="7" t="n"/>
      <c r="J7610" s="7" t="n"/>
      <c r="K7610">
        <f>IF(D7610="Legitimate Interest (GDPR Art. 6(1)(f))", "Yes / Required (Sheet 3)", "")</f>
        <v/>
      </c>
      <c r="L7610" s="7" t="n"/>
      <c r="M7610" s="7" t="n"/>
      <c r="N7610">
        <f>IF(D7610="", "Gap - No Legal Basis", IF(AND(D7610="Consent (GDPR Art. 6(1)(a))", I7610="Not Captured"), "Gap - Invalid Consent", IF(AND(D7610="Legitimate Interest (GDPR Art. 6(1)(f))", L7610=""), "Gap - Missing LIA", IF(AND(G7610="Yes", H7610=""), "Gap - Missing Art. 9 Basis", IF(OR(I7610="Invalid - Not Freely Given", I7610="Invalid - Not Specific", I7610="Invalid - Not Informed", I7610="Invalid - Ambiguous"), "Gap - Invalid Consent", "Compliant")))))</f>
        <v/>
      </c>
      <c r="O7610" s="7" t="n"/>
    </row>
    <row r="7611">
      <c r="A7611" s="7" t="n"/>
      <c r="B7611" s="7" t="n"/>
      <c r="C7611" s="7" t="n"/>
      <c r="D7611" s="7" t="n"/>
      <c r="E7611" s="7" t="n"/>
      <c r="F7611" s="7" t="n"/>
      <c r="G7611" s="7" t="n"/>
      <c r="H7611" s="7" t="n"/>
      <c r="I7611" s="7" t="n"/>
      <c r="J7611" s="7" t="n"/>
      <c r="K7611">
        <f>IF(D7611="Legitimate Interest (GDPR Art. 6(1)(f))", "Yes / Required (Sheet 3)", "")</f>
        <v/>
      </c>
      <c r="L7611" s="7" t="n"/>
      <c r="M7611" s="7" t="n"/>
      <c r="N7611">
        <f>IF(D7611="", "Gap - No Legal Basis", IF(AND(D7611="Consent (GDPR Art. 6(1)(a))", I7611="Not Captured"), "Gap - Invalid Consent", IF(AND(D7611="Legitimate Interest (GDPR Art. 6(1)(f))", L7611=""), "Gap - Missing LIA", IF(AND(G7611="Yes", H7611=""), "Gap - Missing Art. 9 Basis", IF(OR(I7611="Invalid - Not Freely Given", I7611="Invalid - Not Specific", I7611="Invalid - Not Informed", I7611="Invalid - Ambiguous"), "Gap - Invalid Consent", "Compliant")))))</f>
        <v/>
      </c>
      <c r="O7611" s="7" t="n"/>
    </row>
    <row r="7612">
      <c r="A7612" s="7" t="n"/>
      <c r="B7612" s="7" t="n"/>
      <c r="C7612" s="7" t="n"/>
      <c r="D7612" s="7" t="n"/>
      <c r="E7612" s="7" t="n"/>
      <c r="F7612" s="7" t="n"/>
      <c r="G7612" s="7" t="n"/>
      <c r="H7612" s="7" t="n"/>
      <c r="I7612" s="7" t="n"/>
      <c r="J7612" s="7" t="n"/>
      <c r="K7612">
        <f>IF(D7612="Legitimate Interest (GDPR Art. 6(1)(f))", "Yes / Required (Sheet 3)", "")</f>
        <v/>
      </c>
      <c r="L7612" s="7" t="n"/>
      <c r="M7612" s="7" t="n"/>
      <c r="N7612">
        <f>IF(D7612="", "Gap - No Legal Basis", IF(AND(D7612="Consent (GDPR Art. 6(1)(a))", I7612="Not Captured"), "Gap - Invalid Consent", IF(AND(D7612="Legitimate Interest (GDPR Art. 6(1)(f))", L7612=""), "Gap - Missing LIA", IF(AND(G7612="Yes", H7612=""), "Gap - Missing Art. 9 Basis", IF(OR(I7612="Invalid - Not Freely Given", I7612="Invalid - Not Specific", I7612="Invalid - Not Informed", I7612="Invalid - Ambiguous"), "Gap - Invalid Consent", "Compliant")))))</f>
        <v/>
      </c>
      <c r="O7612" s="7" t="n"/>
    </row>
    <row r="7613">
      <c r="A7613" s="7" t="n"/>
      <c r="B7613" s="7" t="n"/>
      <c r="C7613" s="7" t="n"/>
      <c r="D7613" s="7" t="n"/>
      <c r="E7613" s="7" t="n"/>
      <c r="F7613" s="7" t="n"/>
      <c r="G7613" s="7" t="n"/>
      <c r="H7613" s="7" t="n"/>
      <c r="I7613" s="7" t="n"/>
      <c r="J7613" s="7" t="n"/>
      <c r="K7613">
        <f>IF(D7613="Legitimate Interest (GDPR Art. 6(1)(f))", "Yes / Required (Sheet 3)", "")</f>
        <v/>
      </c>
      <c r="L7613" s="7" t="n"/>
      <c r="M7613" s="7" t="n"/>
      <c r="N7613">
        <f>IF(D7613="", "Gap - No Legal Basis", IF(AND(D7613="Consent (GDPR Art. 6(1)(a))", I7613="Not Captured"), "Gap - Invalid Consent", IF(AND(D7613="Legitimate Interest (GDPR Art. 6(1)(f))", L7613=""), "Gap - Missing LIA", IF(AND(G7613="Yes", H7613=""), "Gap - Missing Art. 9 Basis", IF(OR(I7613="Invalid - Not Freely Given", I7613="Invalid - Not Specific", I7613="Invalid - Not Informed", I7613="Invalid - Ambiguous"), "Gap - Invalid Consent", "Compliant")))))</f>
        <v/>
      </c>
      <c r="O7613" s="7" t="n"/>
    </row>
    <row r="7614">
      <c r="A7614" s="7" t="n"/>
      <c r="B7614" s="7" t="n"/>
      <c r="C7614" s="7" t="n"/>
      <c r="D7614" s="7" t="n"/>
      <c r="E7614" s="7" t="n"/>
      <c r="F7614" s="7" t="n"/>
      <c r="G7614" s="7" t="n"/>
      <c r="H7614" s="7" t="n"/>
      <c r="I7614" s="7" t="n"/>
      <c r="J7614" s="7" t="n"/>
      <c r="K7614">
        <f>IF(D7614="Legitimate Interest (GDPR Art. 6(1)(f))", "Yes / Required (Sheet 3)", "")</f>
        <v/>
      </c>
      <c r="L7614" s="7" t="n"/>
      <c r="M7614" s="7" t="n"/>
      <c r="N7614">
        <f>IF(D7614="", "Gap - No Legal Basis", IF(AND(D7614="Consent (GDPR Art. 6(1)(a))", I7614="Not Captured"), "Gap - Invalid Consent", IF(AND(D7614="Legitimate Interest (GDPR Art. 6(1)(f))", L7614=""), "Gap - Missing LIA", IF(AND(G7614="Yes", H7614=""), "Gap - Missing Art. 9 Basis", IF(OR(I7614="Invalid - Not Freely Given", I7614="Invalid - Not Specific", I7614="Invalid - Not Informed", I7614="Invalid - Ambiguous"), "Gap - Invalid Consent", "Compliant")))))</f>
        <v/>
      </c>
      <c r="O7614" s="7" t="n"/>
    </row>
    <row r="7615">
      <c r="A7615" s="7" t="n"/>
      <c r="B7615" s="7" t="n"/>
      <c r="C7615" s="7" t="n"/>
      <c r="D7615" s="7" t="n"/>
      <c r="E7615" s="7" t="n"/>
      <c r="F7615" s="7" t="n"/>
      <c r="G7615" s="7" t="n"/>
      <c r="H7615" s="7" t="n"/>
      <c r="I7615" s="7" t="n"/>
      <c r="J7615" s="7" t="n"/>
      <c r="K7615">
        <f>IF(D7615="Legitimate Interest (GDPR Art. 6(1)(f))", "Yes / Required (Sheet 3)", "")</f>
        <v/>
      </c>
      <c r="L7615" s="7" t="n"/>
      <c r="M7615" s="7" t="n"/>
      <c r="N7615">
        <f>IF(D7615="", "Gap - No Legal Basis", IF(AND(D7615="Consent (GDPR Art. 6(1)(a))", I7615="Not Captured"), "Gap - Invalid Consent", IF(AND(D7615="Legitimate Interest (GDPR Art. 6(1)(f))", L7615=""), "Gap - Missing LIA", IF(AND(G7615="Yes", H7615=""), "Gap - Missing Art. 9 Basis", IF(OR(I7615="Invalid - Not Freely Given", I7615="Invalid - Not Specific", I7615="Invalid - Not Informed", I7615="Invalid - Ambiguous"), "Gap - Invalid Consent", "Compliant")))))</f>
        <v/>
      </c>
      <c r="O7615" s="7" t="n"/>
    </row>
    <row r="7616">
      <c r="A7616" s="7" t="n"/>
      <c r="B7616" s="7" t="n"/>
      <c r="C7616" s="7" t="n"/>
      <c r="D7616" s="7" t="n"/>
      <c r="E7616" s="7" t="n"/>
      <c r="F7616" s="7" t="n"/>
      <c r="G7616" s="7" t="n"/>
      <c r="H7616" s="7" t="n"/>
      <c r="I7616" s="7" t="n"/>
      <c r="J7616" s="7" t="n"/>
      <c r="K7616">
        <f>IF(D7616="Legitimate Interest (GDPR Art. 6(1)(f))", "Yes / Required (Sheet 3)", "")</f>
        <v/>
      </c>
      <c r="L7616" s="7" t="n"/>
      <c r="M7616" s="7" t="n"/>
      <c r="N7616">
        <f>IF(D7616="", "Gap - No Legal Basis", IF(AND(D7616="Consent (GDPR Art. 6(1)(a))", I7616="Not Captured"), "Gap - Invalid Consent", IF(AND(D7616="Legitimate Interest (GDPR Art. 6(1)(f))", L7616=""), "Gap - Missing LIA", IF(AND(G7616="Yes", H7616=""), "Gap - Missing Art. 9 Basis", IF(OR(I7616="Invalid - Not Freely Given", I7616="Invalid - Not Specific", I7616="Invalid - Not Informed", I7616="Invalid - Ambiguous"), "Gap - Invalid Consent", "Compliant")))))</f>
        <v/>
      </c>
      <c r="O7616" s="7" t="n"/>
    </row>
    <row r="7617">
      <c r="A7617" s="7" t="n"/>
      <c r="B7617" s="7" t="n"/>
      <c r="C7617" s="7" t="n"/>
      <c r="D7617" s="7" t="n"/>
      <c r="E7617" s="7" t="n"/>
      <c r="F7617" s="7" t="n"/>
      <c r="G7617" s="7" t="n"/>
      <c r="H7617" s="7" t="n"/>
      <c r="I7617" s="7" t="n"/>
      <c r="J7617" s="7" t="n"/>
      <c r="K7617">
        <f>IF(D7617="Legitimate Interest (GDPR Art. 6(1)(f))", "Yes / Required (Sheet 3)", "")</f>
        <v/>
      </c>
      <c r="L7617" s="7" t="n"/>
      <c r="M7617" s="7" t="n"/>
      <c r="N7617">
        <f>IF(D7617="", "Gap - No Legal Basis", IF(AND(D7617="Consent (GDPR Art. 6(1)(a))", I7617="Not Captured"), "Gap - Invalid Consent", IF(AND(D7617="Legitimate Interest (GDPR Art. 6(1)(f))", L7617=""), "Gap - Missing LIA", IF(AND(G7617="Yes", H7617=""), "Gap - Missing Art. 9 Basis", IF(OR(I7617="Invalid - Not Freely Given", I7617="Invalid - Not Specific", I7617="Invalid - Not Informed", I7617="Invalid - Ambiguous"), "Gap - Invalid Consent", "Compliant")))))</f>
        <v/>
      </c>
      <c r="O7617" s="7" t="n"/>
    </row>
    <row r="7618">
      <c r="A7618" s="7" t="n"/>
      <c r="B7618" s="7" t="n"/>
      <c r="C7618" s="7" t="n"/>
      <c r="D7618" s="7" t="n"/>
      <c r="E7618" s="7" t="n"/>
      <c r="F7618" s="7" t="n"/>
      <c r="G7618" s="7" t="n"/>
      <c r="H7618" s="7" t="n"/>
      <c r="I7618" s="7" t="n"/>
      <c r="J7618" s="7" t="n"/>
      <c r="K7618">
        <f>IF(D7618="Legitimate Interest (GDPR Art. 6(1)(f))", "Yes / Required (Sheet 3)", "")</f>
        <v/>
      </c>
      <c r="L7618" s="7" t="n"/>
      <c r="M7618" s="7" t="n"/>
      <c r="N7618">
        <f>IF(D7618="", "Gap - No Legal Basis", IF(AND(D7618="Consent (GDPR Art. 6(1)(a))", I7618="Not Captured"), "Gap - Invalid Consent", IF(AND(D7618="Legitimate Interest (GDPR Art. 6(1)(f))", L7618=""), "Gap - Missing LIA", IF(AND(G7618="Yes", H7618=""), "Gap - Missing Art. 9 Basis", IF(OR(I7618="Invalid - Not Freely Given", I7618="Invalid - Not Specific", I7618="Invalid - Not Informed", I7618="Invalid - Ambiguous"), "Gap - Invalid Consent", "Compliant")))))</f>
        <v/>
      </c>
      <c r="O7618" s="7" t="n"/>
    </row>
    <row r="7619">
      <c r="A7619" s="7" t="n"/>
      <c r="B7619" s="7" t="n"/>
      <c r="C7619" s="7" t="n"/>
      <c r="D7619" s="7" t="n"/>
      <c r="E7619" s="7" t="n"/>
      <c r="F7619" s="7" t="n"/>
      <c r="G7619" s="7" t="n"/>
      <c r="H7619" s="7" t="n"/>
      <c r="I7619" s="7" t="n"/>
      <c r="J7619" s="7" t="n"/>
      <c r="K7619">
        <f>IF(D7619="Legitimate Interest (GDPR Art. 6(1)(f))", "Yes / Required (Sheet 3)", "")</f>
        <v/>
      </c>
      <c r="L7619" s="7" t="n"/>
      <c r="M7619" s="7" t="n"/>
      <c r="N7619">
        <f>IF(D7619="", "Gap - No Legal Basis", IF(AND(D7619="Consent (GDPR Art. 6(1)(a))", I7619="Not Captured"), "Gap - Invalid Consent", IF(AND(D7619="Legitimate Interest (GDPR Art. 6(1)(f))", L7619=""), "Gap - Missing LIA", IF(AND(G7619="Yes", H7619=""), "Gap - Missing Art. 9 Basis", IF(OR(I7619="Invalid - Not Freely Given", I7619="Invalid - Not Specific", I7619="Invalid - Not Informed", I7619="Invalid - Ambiguous"), "Gap - Invalid Consent", "Compliant")))))</f>
        <v/>
      </c>
      <c r="O7619" s="7" t="n"/>
    </row>
    <row r="7620">
      <c r="A7620" s="7" t="n"/>
      <c r="B7620" s="7" t="n"/>
      <c r="C7620" s="7" t="n"/>
      <c r="D7620" s="7" t="n"/>
      <c r="E7620" s="7" t="n"/>
      <c r="F7620" s="7" t="n"/>
      <c r="G7620" s="7" t="n"/>
      <c r="H7620" s="7" t="n"/>
      <c r="I7620" s="7" t="n"/>
      <c r="J7620" s="7" t="n"/>
      <c r="K7620">
        <f>IF(D7620="Legitimate Interest (GDPR Art. 6(1)(f))", "Yes / Required (Sheet 3)", "")</f>
        <v/>
      </c>
      <c r="L7620" s="7" t="n"/>
      <c r="M7620" s="7" t="n"/>
      <c r="N7620">
        <f>IF(D7620="", "Gap - No Legal Basis", IF(AND(D7620="Consent (GDPR Art. 6(1)(a))", I7620="Not Captured"), "Gap - Invalid Consent", IF(AND(D7620="Legitimate Interest (GDPR Art. 6(1)(f))", L7620=""), "Gap - Missing LIA", IF(AND(G7620="Yes", H7620=""), "Gap - Missing Art. 9 Basis", IF(OR(I7620="Invalid - Not Freely Given", I7620="Invalid - Not Specific", I7620="Invalid - Not Informed", I7620="Invalid - Ambiguous"), "Gap - Invalid Consent", "Compliant")))))</f>
        <v/>
      </c>
      <c r="O7620" s="7" t="n"/>
    </row>
    <row r="7621">
      <c r="A7621" s="7" t="n"/>
      <c r="B7621" s="7" t="n"/>
      <c r="C7621" s="7" t="n"/>
      <c r="D7621" s="7" t="n"/>
      <c r="E7621" s="7" t="n"/>
      <c r="F7621" s="7" t="n"/>
      <c r="G7621" s="7" t="n"/>
      <c r="H7621" s="7" t="n"/>
      <c r="I7621" s="7" t="n"/>
      <c r="J7621" s="7" t="n"/>
      <c r="K7621">
        <f>IF(D7621="Legitimate Interest (GDPR Art. 6(1)(f))", "Yes / Required (Sheet 3)", "")</f>
        <v/>
      </c>
      <c r="L7621" s="7" t="n"/>
      <c r="M7621" s="7" t="n"/>
      <c r="N7621">
        <f>IF(D7621="", "Gap - No Legal Basis", IF(AND(D7621="Consent (GDPR Art. 6(1)(a))", I7621="Not Captured"), "Gap - Invalid Consent", IF(AND(D7621="Legitimate Interest (GDPR Art. 6(1)(f))", L7621=""), "Gap - Missing LIA", IF(AND(G7621="Yes", H7621=""), "Gap - Missing Art. 9 Basis", IF(OR(I7621="Invalid - Not Freely Given", I7621="Invalid - Not Specific", I7621="Invalid - Not Informed", I7621="Invalid - Ambiguous"), "Gap - Invalid Consent", "Compliant")))))</f>
        <v/>
      </c>
      <c r="O7621" s="7" t="n"/>
    </row>
    <row r="7622">
      <c r="A7622" s="7" t="n"/>
      <c r="B7622" s="7" t="n"/>
      <c r="C7622" s="7" t="n"/>
      <c r="D7622" s="7" t="n"/>
      <c r="E7622" s="7" t="n"/>
      <c r="F7622" s="7" t="n"/>
      <c r="G7622" s="7" t="n"/>
      <c r="H7622" s="7" t="n"/>
      <c r="I7622" s="7" t="n"/>
      <c r="J7622" s="7" t="n"/>
      <c r="K7622">
        <f>IF(D7622="Legitimate Interest (GDPR Art. 6(1)(f))", "Yes / Required (Sheet 3)", "")</f>
        <v/>
      </c>
      <c r="L7622" s="7" t="n"/>
      <c r="M7622" s="7" t="n"/>
      <c r="N7622">
        <f>IF(D7622="", "Gap - No Legal Basis", IF(AND(D7622="Consent (GDPR Art. 6(1)(a))", I7622="Not Captured"), "Gap - Invalid Consent", IF(AND(D7622="Legitimate Interest (GDPR Art. 6(1)(f))", L7622=""), "Gap - Missing LIA", IF(AND(G7622="Yes", H7622=""), "Gap - Missing Art. 9 Basis", IF(OR(I7622="Invalid - Not Freely Given", I7622="Invalid - Not Specific", I7622="Invalid - Not Informed", I7622="Invalid - Ambiguous"), "Gap - Invalid Consent", "Compliant")))))</f>
        <v/>
      </c>
      <c r="O7622" s="7" t="n"/>
    </row>
    <row r="7623">
      <c r="A7623" s="7" t="n"/>
      <c r="B7623" s="7" t="n"/>
      <c r="C7623" s="7" t="n"/>
      <c r="D7623" s="7" t="n"/>
      <c r="E7623" s="7" t="n"/>
      <c r="F7623" s="7" t="n"/>
      <c r="G7623" s="7" t="n"/>
      <c r="H7623" s="7" t="n"/>
      <c r="I7623" s="7" t="n"/>
      <c r="J7623" s="7" t="n"/>
      <c r="K7623">
        <f>IF(D7623="Legitimate Interest (GDPR Art. 6(1)(f))", "Yes / Required (Sheet 3)", "")</f>
        <v/>
      </c>
      <c r="L7623" s="7" t="n"/>
      <c r="M7623" s="7" t="n"/>
      <c r="N7623">
        <f>IF(D7623="", "Gap - No Legal Basis", IF(AND(D7623="Consent (GDPR Art. 6(1)(a))", I7623="Not Captured"), "Gap - Invalid Consent", IF(AND(D7623="Legitimate Interest (GDPR Art. 6(1)(f))", L7623=""), "Gap - Missing LIA", IF(AND(G7623="Yes", H7623=""), "Gap - Missing Art. 9 Basis", IF(OR(I7623="Invalid - Not Freely Given", I7623="Invalid - Not Specific", I7623="Invalid - Not Informed", I7623="Invalid - Ambiguous"), "Gap - Invalid Consent", "Compliant")))))</f>
        <v/>
      </c>
      <c r="O7623" s="7" t="n"/>
    </row>
    <row r="7624">
      <c r="A7624" s="7" t="n"/>
      <c r="B7624" s="7" t="n"/>
      <c r="C7624" s="7" t="n"/>
      <c r="D7624" s="7" t="n"/>
      <c r="E7624" s="7" t="n"/>
      <c r="F7624" s="7" t="n"/>
      <c r="G7624" s="7" t="n"/>
      <c r="H7624" s="7" t="n"/>
      <c r="I7624" s="7" t="n"/>
      <c r="J7624" s="7" t="n"/>
      <c r="K7624">
        <f>IF(D7624="Legitimate Interest (GDPR Art. 6(1)(f))", "Yes / Required (Sheet 3)", "")</f>
        <v/>
      </c>
      <c r="L7624" s="7" t="n"/>
      <c r="M7624" s="7" t="n"/>
      <c r="N7624">
        <f>IF(D7624="", "Gap - No Legal Basis", IF(AND(D7624="Consent (GDPR Art. 6(1)(a))", I7624="Not Captured"), "Gap - Invalid Consent", IF(AND(D7624="Legitimate Interest (GDPR Art. 6(1)(f))", L7624=""), "Gap - Missing LIA", IF(AND(G7624="Yes", H7624=""), "Gap - Missing Art. 9 Basis", IF(OR(I7624="Invalid - Not Freely Given", I7624="Invalid - Not Specific", I7624="Invalid - Not Informed", I7624="Invalid - Ambiguous"), "Gap - Invalid Consent", "Compliant")))))</f>
        <v/>
      </c>
      <c r="O7624" s="7" t="n"/>
    </row>
    <row r="7625">
      <c r="A7625" s="7" t="n"/>
      <c r="B7625" s="7" t="n"/>
      <c r="C7625" s="7" t="n"/>
      <c r="D7625" s="7" t="n"/>
      <c r="E7625" s="7" t="n"/>
      <c r="F7625" s="7" t="n"/>
      <c r="G7625" s="7" t="n"/>
      <c r="H7625" s="7" t="n"/>
      <c r="I7625" s="7" t="n"/>
      <c r="J7625" s="7" t="n"/>
      <c r="K7625">
        <f>IF(D7625="Legitimate Interest (GDPR Art. 6(1)(f))", "Yes / Required (Sheet 3)", "")</f>
        <v/>
      </c>
      <c r="L7625" s="7" t="n"/>
      <c r="M7625" s="7" t="n"/>
      <c r="N7625">
        <f>IF(D7625="", "Gap - No Legal Basis", IF(AND(D7625="Consent (GDPR Art. 6(1)(a))", I7625="Not Captured"), "Gap - Invalid Consent", IF(AND(D7625="Legitimate Interest (GDPR Art. 6(1)(f))", L7625=""), "Gap - Missing LIA", IF(AND(G7625="Yes", H7625=""), "Gap - Missing Art. 9 Basis", IF(OR(I7625="Invalid - Not Freely Given", I7625="Invalid - Not Specific", I7625="Invalid - Not Informed", I7625="Invalid - Ambiguous"), "Gap - Invalid Consent", "Compliant")))))</f>
        <v/>
      </c>
      <c r="O7625" s="7" t="n"/>
    </row>
    <row r="7626">
      <c r="A7626" s="7" t="n"/>
      <c r="B7626" s="7" t="n"/>
      <c r="C7626" s="7" t="n"/>
      <c r="D7626" s="7" t="n"/>
      <c r="E7626" s="7" t="n"/>
      <c r="F7626" s="7" t="n"/>
      <c r="G7626" s="7" t="n"/>
      <c r="H7626" s="7" t="n"/>
      <c r="I7626" s="7" t="n"/>
      <c r="J7626" s="7" t="n"/>
      <c r="K7626">
        <f>IF(D7626="Legitimate Interest (GDPR Art. 6(1)(f))", "Yes / Required (Sheet 3)", "")</f>
        <v/>
      </c>
      <c r="L7626" s="7" t="n"/>
      <c r="M7626" s="7" t="n"/>
      <c r="N7626">
        <f>IF(D7626="", "Gap - No Legal Basis", IF(AND(D7626="Consent (GDPR Art. 6(1)(a))", I7626="Not Captured"), "Gap - Invalid Consent", IF(AND(D7626="Legitimate Interest (GDPR Art. 6(1)(f))", L7626=""), "Gap - Missing LIA", IF(AND(G7626="Yes", H7626=""), "Gap - Missing Art. 9 Basis", IF(OR(I7626="Invalid - Not Freely Given", I7626="Invalid - Not Specific", I7626="Invalid - Not Informed", I7626="Invalid - Ambiguous"), "Gap - Invalid Consent", "Compliant")))))</f>
        <v/>
      </c>
      <c r="O7626" s="7" t="n"/>
    </row>
    <row r="7627">
      <c r="A7627" s="7" t="n"/>
      <c r="B7627" s="7" t="n"/>
      <c r="C7627" s="7" t="n"/>
      <c r="D7627" s="7" t="n"/>
      <c r="E7627" s="7" t="n"/>
      <c r="F7627" s="7" t="n"/>
      <c r="G7627" s="7" t="n"/>
      <c r="H7627" s="7" t="n"/>
      <c r="I7627" s="7" t="n"/>
      <c r="J7627" s="7" t="n"/>
      <c r="K7627">
        <f>IF(D7627="Legitimate Interest (GDPR Art. 6(1)(f))", "Yes / Required (Sheet 3)", "")</f>
        <v/>
      </c>
      <c r="L7627" s="7" t="n"/>
      <c r="M7627" s="7" t="n"/>
      <c r="N7627">
        <f>IF(D7627="", "Gap - No Legal Basis", IF(AND(D7627="Consent (GDPR Art. 6(1)(a))", I7627="Not Captured"), "Gap - Invalid Consent", IF(AND(D7627="Legitimate Interest (GDPR Art. 6(1)(f))", L7627=""), "Gap - Missing LIA", IF(AND(G7627="Yes", H7627=""), "Gap - Missing Art. 9 Basis", IF(OR(I7627="Invalid - Not Freely Given", I7627="Invalid - Not Specific", I7627="Invalid - Not Informed", I7627="Invalid - Ambiguous"), "Gap - Invalid Consent", "Compliant")))))</f>
        <v/>
      </c>
      <c r="O7627" s="7" t="n"/>
    </row>
    <row r="7628">
      <c r="A7628" s="7" t="n"/>
      <c r="B7628" s="7" t="n"/>
      <c r="C7628" s="7" t="n"/>
      <c r="D7628" s="7" t="n"/>
      <c r="E7628" s="7" t="n"/>
      <c r="F7628" s="7" t="n"/>
      <c r="G7628" s="7" t="n"/>
      <c r="H7628" s="7" t="n"/>
      <c r="I7628" s="7" t="n"/>
      <c r="J7628" s="7" t="n"/>
      <c r="K7628">
        <f>IF(D7628="Legitimate Interest (GDPR Art. 6(1)(f))", "Yes / Required (Sheet 3)", "")</f>
        <v/>
      </c>
      <c r="L7628" s="7" t="n"/>
      <c r="M7628" s="7" t="n"/>
      <c r="N7628">
        <f>IF(D7628="", "Gap - No Legal Basis", IF(AND(D7628="Consent (GDPR Art. 6(1)(a))", I7628="Not Captured"), "Gap - Invalid Consent", IF(AND(D7628="Legitimate Interest (GDPR Art. 6(1)(f))", L7628=""), "Gap - Missing LIA", IF(AND(G7628="Yes", H7628=""), "Gap - Missing Art. 9 Basis", IF(OR(I7628="Invalid - Not Freely Given", I7628="Invalid - Not Specific", I7628="Invalid - Not Informed", I7628="Invalid - Ambiguous"), "Gap - Invalid Consent", "Compliant")))))</f>
        <v/>
      </c>
      <c r="O7628" s="7" t="n"/>
    </row>
    <row r="7629">
      <c r="A7629" s="7" t="n"/>
      <c r="B7629" s="7" t="n"/>
      <c r="C7629" s="7" t="n"/>
      <c r="D7629" s="7" t="n"/>
      <c r="E7629" s="7" t="n"/>
      <c r="F7629" s="7" t="n"/>
      <c r="G7629" s="7" t="n"/>
      <c r="H7629" s="7" t="n"/>
      <c r="I7629" s="7" t="n"/>
      <c r="J7629" s="7" t="n"/>
      <c r="K7629">
        <f>IF(D7629="Legitimate Interest (GDPR Art. 6(1)(f))", "Yes / Required (Sheet 3)", "")</f>
        <v/>
      </c>
      <c r="L7629" s="7" t="n"/>
      <c r="M7629" s="7" t="n"/>
      <c r="N7629">
        <f>IF(D7629="", "Gap - No Legal Basis", IF(AND(D7629="Consent (GDPR Art. 6(1)(a))", I7629="Not Captured"), "Gap - Invalid Consent", IF(AND(D7629="Legitimate Interest (GDPR Art. 6(1)(f))", L7629=""), "Gap - Missing LIA", IF(AND(G7629="Yes", H7629=""), "Gap - Missing Art. 9 Basis", IF(OR(I7629="Invalid - Not Freely Given", I7629="Invalid - Not Specific", I7629="Invalid - Not Informed", I7629="Invalid - Ambiguous"), "Gap - Invalid Consent", "Compliant")))))</f>
        <v/>
      </c>
      <c r="O7629" s="7" t="n"/>
    </row>
    <row r="7630">
      <c r="A7630" s="7" t="n"/>
      <c r="B7630" s="7" t="n"/>
      <c r="C7630" s="7" t="n"/>
      <c r="D7630" s="7" t="n"/>
      <c r="E7630" s="7" t="n"/>
      <c r="F7630" s="7" t="n"/>
      <c r="G7630" s="7" t="n"/>
      <c r="H7630" s="7" t="n"/>
      <c r="I7630" s="7" t="n"/>
      <c r="J7630" s="7" t="n"/>
      <c r="K7630">
        <f>IF(D7630="Legitimate Interest (GDPR Art. 6(1)(f))", "Yes / Required (Sheet 3)", "")</f>
        <v/>
      </c>
      <c r="L7630" s="7" t="n"/>
      <c r="M7630" s="7" t="n"/>
      <c r="N7630">
        <f>IF(D7630="", "Gap - No Legal Basis", IF(AND(D7630="Consent (GDPR Art. 6(1)(a))", I7630="Not Captured"), "Gap - Invalid Consent", IF(AND(D7630="Legitimate Interest (GDPR Art. 6(1)(f))", L7630=""), "Gap - Missing LIA", IF(AND(G7630="Yes", H7630=""), "Gap - Missing Art. 9 Basis", IF(OR(I7630="Invalid - Not Freely Given", I7630="Invalid - Not Specific", I7630="Invalid - Not Informed", I7630="Invalid - Ambiguous"), "Gap - Invalid Consent", "Compliant")))))</f>
        <v/>
      </c>
      <c r="O7630" s="7" t="n"/>
    </row>
    <row r="7631">
      <c r="A7631" s="7" t="n"/>
      <c r="B7631" s="7" t="n"/>
      <c r="C7631" s="7" t="n"/>
      <c r="D7631" s="7" t="n"/>
      <c r="E7631" s="7" t="n"/>
      <c r="F7631" s="7" t="n"/>
      <c r="G7631" s="7" t="n"/>
      <c r="H7631" s="7" t="n"/>
      <c r="I7631" s="7" t="n"/>
      <c r="J7631" s="7" t="n"/>
      <c r="K7631">
        <f>IF(D7631="Legitimate Interest (GDPR Art. 6(1)(f))", "Yes / Required (Sheet 3)", "")</f>
        <v/>
      </c>
      <c r="L7631" s="7" t="n"/>
      <c r="M7631" s="7" t="n"/>
      <c r="N7631">
        <f>IF(D7631="", "Gap - No Legal Basis", IF(AND(D7631="Consent (GDPR Art. 6(1)(a))", I7631="Not Captured"), "Gap - Invalid Consent", IF(AND(D7631="Legitimate Interest (GDPR Art. 6(1)(f))", L7631=""), "Gap - Missing LIA", IF(AND(G7631="Yes", H7631=""), "Gap - Missing Art. 9 Basis", IF(OR(I7631="Invalid - Not Freely Given", I7631="Invalid - Not Specific", I7631="Invalid - Not Informed", I7631="Invalid - Ambiguous"), "Gap - Invalid Consent", "Compliant")))))</f>
        <v/>
      </c>
      <c r="O7631" s="7" t="n"/>
    </row>
    <row r="7632">
      <c r="A7632" s="7" t="n"/>
      <c r="B7632" s="7" t="n"/>
      <c r="C7632" s="7" t="n"/>
      <c r="D7632" s="7" t="n"/>
      <c r="E7632" s="7" t="n"/>
      <c r="F7632" s="7" t="n"/>
      <c r="G7632" s="7" t="n"/>
      <c r="H7632" s="7" t="n"/>
      <c r="I7632" s="7" t="n"/>
      <c r="J7632" s="7" t="n"/>
      <c r="K7632">
        <f>IF(D7632="Legitimate Interest (GDPR Art. 6(1)(f))", "Yes / Required (Sheet 3)", "")</f>
        <v/>
      </c>
      <c r="L7632" s="7" t="n"/>
      <c r="M7632" s="7" t="n"/>
      <c r="N7632">
        <f>IF(D7632="", "Gap - No Legal Basis", IF(AND(D7632="Consent (GDPR Art. 6(1)(a))", I7632="Not Captured"), "Gap - Invalid Consent", IF(AND(D7632="Legitimate Interest (GDPR Art. 6(1)(f))", L7632=""), "Gap - Missing LIA", IF(AND(G7632="Yes", H7632=""), "Gap - Missing Art. 9 Basis", IF(OR(I7632="Invalid - Not Freely Given", I7632="Invalid - Not Specific", I7632="Invalid - Not Informed", I7632="Invalid - Ambiguous"), "Gap - Invalid Consent", "Compliant")))))</f>
        <v/>
      </c>
      <c r="O7632" s="7" t="n"/>
    </row>
    <row r="7633">
      <c r="A7633" s="7" t="n"/>
      <c r="B7633" s="7" t="n"/>
      <c r="C7633" s="7" t="n"/>
      <c r="D7633" s="7" t="n"/>
      <c r="E7633" s="7" t="n"/>
      <c r="F7633" s="7" t="n"/>
      <c r="G7633" s="7" t="n"/>
      <c r="H7633" s="7" t="n"/>
      <c r="I7633" s="7" t="n"/>
      <c r="J7633" s="7" t="n"/>
      <c r="K7633">
        <f>IF(D7633="Legitimate Interest (GDPR Art. 6(1)(f))", "Yes / Required (Sheet 3)", "")</f>
        <v/>
      </c>
      <c r="L7633" s="7" t="n"/>
      <c r="M7633" s="7" t="n"/>
      <c r="N7633">
        <f>IF(D7633="", "Gap - No Legal Basis", IF(AND(D7633="Consent (GDPR Art. 6(1)(a))", I7633="Not Captured"), "Gap - Invalid Consent", IF(AND(D7633="Legitimate Interest (GDPR Art. 6(1)(f))", L7633=""), "Gap - Missing LIA", IF(AND(G7633="Yes", H7633=""), "Gap - Missing Art. 9 Basis", IF(OR(I7633="Invalid - Not Freely Given", I7633="Invalid - Not Specific", I7633="Invalid - Not Informed", I7633="Invalid - Ambiguous"), "Gap - Invalid Consent", "Compliant")))))</f>
        <v/>
      </c>
      <c r="O7633" s="7" t="n"/>
    </row>
    <row r="7634">
      <c r="A7634" s="7" t="n"/>
      <c r="B7634" s="7" t="n"/>
      <c r="C7634" s="7" t="n"/>
      <c r="D7634" s="7" t="n"/>
      <c r="E7634" s="7" t="n"/>
      <c r="F7634" s="7" t="n"/>
      <c r="G7634" s="7" t="n"/>
      <c r="H7634" s="7" t="n"/>
      <c r="I7634" s="7" t="n"/>
      <c r="J7634" s="7" t="n"/>
      <c r="K7634">
        <f>IF(D7634="Legitimate Interest (GDPR Art. 6(1)(f))", "Yes / Required (Sheet 3)", "")</f>
        <v/>
      </c>
      <c r="L7634" s="7" t="n"/>
      <c r="M7634" s="7" t="n"/>
      <c r="N7634">
        <f>IF(D7634="", "Gap - No Legal Basis", IF(AND(D7634="Consent (GDPR Art. 6(1)(a))", I7634="Not Captured"), "Gap - Invalid Consent", IF(AND(D7634="Legitimate Interest (GDPR Art. 6(1)(f))", L7634=""), "Gap - Missing LIA", IF(AND(G7634="Yes", H7634=""), "Gap - Missing Art. 9 Basis", IF(OR(I7634="Invalid - Not Freely Given", I7634="Invalid - Not Specific", I7634="Invalid - Not Informed", I7634="Invalid - Ambiguous"), "Gap - Invalid Consent", "Compliant")))))</f>
        <v/>
      </c>
      <c r="O7634" s="7" t="n"/>
    </row>
    <row r="7635">
      <c r="A7635" s="7" t="n"/>
      <c r="B7635" s="7" t="n"/>
      <c r="C7635" s="7" t="n"/>
      <c r="D7635" s="7" t="n"/>
      <c r="E7635" s="7" t="n"/>
      <c r="F7635" s="7" t="n"/>
      <c r="G7635" s="7" t="n"/>
      <c r="H7635" s="7" t="n"/>
      <c r="I7635" s="7" t="n"/>
      <c r="J7635" s="7" t="n"/>
      <c r="K7635">
        <f>IF(D7635="Legitimate Interest (GDPR Art. 6(1)(f))", "Yes / Required (Sheet 3)", "")</f>
        <v/>
      </c>
      <c r="L7635" s="7" t="n"/>
      <c r="M7635" s="7" t="n"/>
      <c r="N7635">
        <f>IF(D7635="", "Gap - No Legal Basis", IF(AND(D7635="Consent (GDPR Art. 6(1)(a))", I7635="Not Captured"), "Gap - Invalid Consent", IF(AND(D7635="Legitimate Interest (GDPR Art. 6(1)(f))", L7635=""), "Gap - Missing LIA", IF(AND(G7635="Yes", H7635=""), "Gap - Missing Art. 9 Basis", IF(OR(I7635="Invalid - Not Freely Given", I7635="Invalid - Not Specific", I7635="Invalid - Not Informed", I7635="Invalid - Ambiguous"), "Gap - Invalid Consent", "Compliant")))))</f>
        <v/>
      </c>
      <c r="O7635" s="7" t="n"/>
    </row>
    <row r="7636">
      <c r="A7636" s="7" t="n"/>
      <c r="B7636" s="7" t="n"/>
      <c r="C7636" s="7" t="n"/>
      <c r="D7636" s="7" t="n"/>
      <c r="E7636" s="7" t="n"/>
      <c r="F7636" s="7" t="n"/>
      <c r="G7636" s="7" t="n"/>
      <c r="H7636" s="7" t="n"/>
      <c r="I7636" s="7" t="n"/>
      <c r="J7636" s="7" t="n"/>
      <c r="K7636">
        <f>IF(D7636="Legitimate Interest (GDPR Art. 6(1)(f))", "Yes / Required (Sheet 3)", "")</f>
        <v/>
      </c>
      <c r="L7636" s="7" t="n"/>
      <c r="M7636" s="7" t="n"/>
      <c r="N7636">
        <f>IF(D7636="", "Gap - No Legal Basis", IF(AND(D7636="Consent (GDPR Art. 6(1)(a))", I7636="Not Captured"), "Gap - Invalid Consent", IF(AND(D7636="Legitimate Interest (GDPR Art. 6(1)(f))", L7636=""), "Gap - Missing LIA", IF(AND(G7636="Yes", H7636=""), "Gap - Missing Art. 9 Basis", IF(OR(I7636="Invalid - Not Freely Given", I7636="Invalid - Not Specific", I7636="Invalid - Not Informed", I7636="Invalid - Ambiguous"), "Gap - Invalid Consent", "Compliant")))))</f>
        <v/>
      </c>
      <c r="O7636" s="7" t="n"/>
    </row>
    <row r="7637">
      <c r="A7637" s="7" t="n"/>
      <c r="B7637" s="7" t="n"/>
      <c r="C7637" s="7" t="n"/>
      <c r="D7637" s="7" t="n"/>
      <c r="E7637" s="7" t="n"/>
      <c r="F7637" s="7" t="n"/>
      <c r="G7637" s="7" t="n"/>
      <c r="H7637" s="7" t="n"/>
      <c r="I7637" s="7" t="n"/>
      <c r="J7637" s="7" t="n"/>
      <c r="K7637">
        <f>IF(D7637="Legitimate Interest (GDPR Art. 6(1)(f))", "Yes / Required (Sheet 3)", "")</f>
        <v/>
      </c>
      <c r="L7637" s="7" t="n"/>
      <c r="M7637" s="7" t="n"/>
      <c r="N7637">
        <f>IF(D7637="", "Gap - No Legal Basis", IF(AND(D7637="Consent (GDPR Art. 6(1)(a))", I7637="Not Captured"), "Gap - Invalid Consent", IF(AND(D7637="Legitimate Interest (GDPR Art. 6(1)(f))", L7637=""), "Gap - Missing LIA", IF(AND(G7637="Yes", H7637=""), "Gap - Missing Art. 9 Basis", IF(OR(I7637="Invalid - Not Freely Given", I7637="Invalid - Not Specific", I7637="Invalid - Not Informed", I7637="Invalid - Ambiguous"), "Gap - Invalid Consent", "Compliant")))))</f>
        <v/>
      </c>
      <c r="O7637" s="7" t="n"/>
    </row>
    <row r="7638">
      <c r="A7638" s="7" t="n"/>
      <c r="B7638" s="7" t="n"/>
      <c r="C7638" s="7" t="n"/>
      <c r="D7638" s="7" t="n"/>
      <c r="E7638" s="7" t="n"/>
      <c r="F7638" s="7" t="n"/>
      <c r="G7638" s="7" t="n"/>
      <c r="H7638" s="7" t="n"/>
      <c r="I7638" s="7" t="n"/>
      <c r="J7638" s="7" t="n"/>
      <c r="K7638">
        <f>IF(D7638="Legitimate Interest (GDPR Art. 6(1)(f))", "Yes / Required (Sheet 3)", "")</f>
        <v/>
      </c>
      <c r="L7638" s="7" t="n"/>
      <c r="M7638" s="7" t="n"/>
      <c r="N7638">
        <f>IF(D7638="", "Gap - No Legal Basis", IF(AND(D7638="Consent (GDPR Art. 6(1)(a))", I7638="Not Captured"), "Gap - Invalid Consent", IF(AND(D7638="Legitimate Interest (GDPR Art. 6(1)(f))", L7638=""), "Gap - Missing LIA", IF(AND(G7638="Yes", H7638=""), "Gap - Missing Art. 9 Basis", IF(OR(I7638="Invalid - Not Freely Given", I7638="Invalid - Not Specific", I7638="Invalid - Not Informed", I7638="Invalid - Ambiguous"), "Gap - Invalid Consent", "Compliant")))))</f>
        <v/>
      </c>
      <c r="O7638" s="7" t="n"/>
    </row>
    <row r="7639">
      <c r="A7639" s="7" t="n"/>
      <c r="B7639" s="7" t="n"/>
      <c r="C7639" s="7" t="n"/>
      <c r="D7639" s="7" t="n"/>
      <c r="E7639" s="7" t="n"/>
      <c r="F7639" s="7" t="n"/>
      <c r="G7639" s="7" t="n"/>
      <c r="H7639" s="7" t="n"/>
      <c r="I7639" s="7" t="n"/>
      <c r="J7639" s="7" t="n"/>
      <c r="K7639">
        <f>IF(D7639="Legitimate Interest (GDPR Art. 6(1)(f))", "Yes / Required (Sheet 3)", "")</f>
        <v/>
      </c>
      <c r="L7639" s="7" t="n"/>
      <c r="M7639" s="7" t="n"/>
      <c r="N7639">
        <f>IF(D7639="", "Gap - No Legal Basis", IF(AND(D7639="Consent (GDPR Art. 6(1)(a))", I7639="Not Captured"), "Gap - Invalid Consent", IF(AND(D7639="Legitimate Interest (GDPR Art. 6(1)(f))", L7639=""), "Gap - Missing LIA", IF(AND(G7639="Yes", H7639=""), "Gap - Missing Art. 9 Basis", IF(OR(I7639="Invalid - Not Freely Given", I7639="Invalid - Not Specific", I7639="Invalid - Not Informed", I7639="Invalid - Ambiguous"), "Gap - Invalid Consent", "Compliant")))))</f>
        <v/>
      </c>
      <c r="O7639" s="7" t="n"/>
    </row>
    <row r="7640">
      <c r="A7640" s="7" t="n"/>
      <c r="B7640" s="7" t="n"/>
      <c r="C7640" s="7" t="n"/>
      <c r="D7640" s="7" t="n"/>
      <c r="E7640" s="7" t="n"/>
      <c r="F7640" s="7" t="n"/>
      <c r="G7640" s="7" t="n"/>
      <c r="H7640" s="7" t="n"/>
      <c r="I7640" s="7" t="n"/>
      <c r="J7640" s="7" t="n"/>
      <c r="K7640">
        <f>IF(D7640="Legitimate Interest (GDPR Art. 6(1)(f))", "Yes / Required (Sheet 3)", "")</f>
        <v/>
      </c>
      <c r="L7640" s="7" t="n"/>
      <c r="M7640" s="7" t="n"/>
      <c r="N7640">
        <f>IF(D7640="", "Gap - No Legal Basis", IF(AND(D7640="Consent (GDPR Art. 6(1)(a))", I7640="Not Captured"), "Gap - Invalid Consent", IF(AND(D7640="Legitimate Interest (GDPR Art. 6(1)(f))", L7640=""), "Gap - Missing LIA", IF(AND(G7640="Yes", H7640=""), "Gap - Missing Art. 9 Basis", IF(OR(I7640="Invalid - Not Freely Given", I7640="Invalid - Not Specific", I7640="Invalid - Not Informed", I7640="Invalid - Ambiguous"), "Gap - Invalid Consent", "Compliant")))))</f>
        <v/>
      </c>
      <c r="O7640" s="7" t="n"/>
    </row>
    <row r="7641">
      <c r="A7641" s="7" t="n"/>
      <c r="B7641" s="7" t="n"/>
      <c r="C7641" s="7" t="n"/>
      <c r="D7641" s="7" t="n"/>
      <c r="E7641" s="7" t="n"/>
      <c r="F7641" s="7" t="n"/>
      <c r="G7641" s="7" t="n"/>
      <c r="H7641" s="7" t="n"/>
      <c r="I7641" s="7" t="n"/>
      <c r="J7641" s="7" t="n"/>
      <c r="K7641">
        <f>IF(D7641="Legitimate Interest (GDPR Art. 6(1)(f))", "Yes / Required (Sheet 3)", "")</f>
        <v/>
      </c>
      <c r="L7641" s="7" t="n"/>
      <c r="M7641" s="7" t="n"/>
      <c r="N7641">
        <f>IF(D7641="", "Gap - No Legal Basis", IF(AND(D7641="Consent (GDPR Art. 6(1)(a))", I7641="Not Captured"), "Gap - Invalid Consent", IF(AND(D7641="Legitimate Interest (GDPR Art. 6(1)(f))", L7641=""), "Gap - Missing LIA", IF(AND(G7641="Yes", H7641=""), "Gap - Missing Art. 9 Basis", IF(OR(I7641="Invalid - Not Freely Given", I7641="Invalid - Not Specific", I7641="Invalid - Not Informed", I7641="Invalid - Ambiguous"), "Gap - Invalid Consent", "Compliant")))))</f>
        <v/>
      </c>
      <c r="O7641" s="7" t="n"/>
    </row>
    <row r="7642">
      <c r="A7642" s="7" t="n"/>
      <c r="B7642" s="7" t="n"/>
      <c r="C7642" s="7" t="n"/>
      <c r="D7642" s="7" t="n"/>
      <c r="E7642" s="7" t="n"/>
      <c r="F7642" s="7" t="n"/>
      <c r="G7642" s="7" t="n"/>
      <c r="H7642" s="7" t="n"/>
      <c r="I7642" s="7" t="n"/>
      <c r="J7642" s="7" t="n"/>
      <c r="K7642">
        <f>IF(D7642="Legitimate Interest (GDPR Art. 6(1)(f))", "Yes / Required (Sheet 3)", "")</f>
        <v/>
      </c>
      <c r="L7642" s="7" t="n"/>
      <c r="M7642" s="7" t="n"/>
      <c r="N7642">
        <f>IF(D7642="", "Gap - No Legal Basis", IF(AND(D7642="Consent (GDPR Art. 6(1)(a))", I7642="Not Captured"), "Gap - Invalid Consent", IF(AND(D7642="Legitimate Interest (GDPR Art. 6(1)(f))", L7642=""), "Gap - Missing LIA", IF(AND(G7642="Yes", H7642=""), "Gap - Missing Art. 9 Basis", IF(OR(I7642="Invalid - Not Freely Given", I7642="Invalid - Not Specific", I7642="Invalid - Not Informed", I7642="Invalid - Ambiguous"), "Gap - Invalid Consent", "Compliant")))))</f>
        <v/>
      </c>
      <c r="O7642" s="7" t="n"/>
    </row>
    <row r="7643">
      <c r="A7643" s="7" t="n"/>
      <c r="B7643" s="7" t="n"/>
      <c r="C7643" s="7" t="n"/>
      <c r="D7643" s="7" t="n"/>
      <c r="E7643" s="7" t="n"/>
      <c r="F7643" s="7" t="n"/>
      <c r="G7643" s="7" t="n"/>
      <c r="H7643" s="7" t="n"/>
      <c r="I7643" s="7" t="n"/>
      <c r="J7643" s="7" t="n"/>
      <c r="K7643">
        <f>IF(D7643="Legitimate Interest (GDPR Art. 6(1)(f))", "Yes / Required (Sheet 3)", "")</f>
        <v/>
      </c>
      <c r="L7643" s="7" t="n"/>
      <c r="M7643" s="7" t="n"/>
      <c r="N7643">
        <f>IF(D7643="", "Gap - No Legal Basis", IF(AND(D7643="Consent (GDPR Art. 6(1)(a))", I7643="Not Captured"), "Gap - Invalid Consent", IF(AND(D7643="Legitimate Interest (GDPR Art. 6(1)(f))", L7643=""), "Gap - Missing LIA", IF(AND(G7643="Yes", H7643=""), "Gap - Missing Art. 9 Basis", IF(OR(I7643="Invalid - Not Freely Given", I7643="Invalid - Not Specific", I7643="Invalid - Not Informed", I7643="Invalid - Ambiguous"), "Gap - Invalid Consent", "Compliant")))))</f>
        <v/>
      </c>
      <c r="O7643" s="7" t="n"/>
    </row>
    <row r="7644">
      <c r="A7644" s="7" t="n"/>
      <c r="B7644" s="7" t="n"/>
      <c r="C7644" s="7" t="n"/>
      <c r="D7644" s="7" t="n"/>
      <c r="E7644" s="7" t="n"/>
      <c r="F7644" s="7" t="n"/>
      <c r="G7644" s="7" t="n"/>
      <c r="H7644" s="7" t="n"/>
      <c r="I7644" s="7" t="n"/>
      <c r="J7644" s="7" t="n"/>
      <c r="K7644">
        <f>IF(D7644="Legitimate Interest (GDPR Art. 6(1)(f))", "Yes / Required (Sheet 3)", "")</f>
        <v/>
      </c>
      <c r="L7644" s="7" t="n"/>
      <c r="M7644" s="7" t="n"/>
      <c r="N7644">
        <f>IF(D7644="", "Gap - No Legal Basis", IF(AND(D7644="Consent (GDPR Art. 6(1)(a))", I7644="Not Captured"), "Gap - Invalid Consent", IF(AND(D7644="Legitimate Interest (GDPR Art. 6(1)(f))", L7644=""), "Gap - Missing LIA", IF(AND(G7644="Yes", H7644=""), "Gap - Missing Art. 9 Basis", IF(OR(I7644="Invalid - Not Freely Given", I7644="Invalid - Not Specific", I7644="Invalid - Not Informed", I7644="Invalid - Ambiguous"), "Gap - Invalid Consent", "Compliant")))))</f>
        <v/>
      </c>
      <c r="O7644" s="7" t="n"/>
    </row>
    <row r="7645">
      <c r="A7645" s="7" t="n"/>
      <c r="B7645" s="7" t="n"/>
      <c r="C7645" s="7" t="n"/>
      <c r="D7645" s="7" t="n"/>
      <c r="E7645" s="7" t="n"/>
      <c r="F7645" s="7" t="n"/>
      <c r="G7645" s="7" t="n"/>
      <c r="H7645" s="7" t="n"/>
      <c r="I7645" s="7" t="n"/>
      <c r="J7645" s="7" t="n"/>
      <c r="K7645">
        <f>IF(D7645="Legitimate Interest (GDPR Art. 6(1)(f))", "Yes / Required (Sheet 3)", "")</f>
        <v/>
      </c>
      <c r="L7645" s="7" t="n"/>
      <c r="M7645" s="7" t="n"/>
      <c r="N7645">
        <f>IF(D7645="", "Gap - No Legal Basis", IF(AND(D7645="Consent (GDPR Art. 6(1)(a))", I7645="Not Captured"), "Gap - Invalid Consent", IF(AND(D7645="Legitimate Interest (GDPR Art. 6(1)(f))", L7645=""), "Gap - Missing LIA", IF(AND(G7645="Yes", H7645=""), "Gap - Missing Art. 9 Basis", IF(OR(I7645="Invalid - Not Freely Given", I7645="Invalid - Not Specific", I7645="Invalid - Not Informed", I7645="Invalid - Ambiguous"), "Gap - Invalid Consent", "Compliant")))))</f>
        <v/>
      </c>
      <c r="O7645" s="7" t="n"/>
    </row>
    <row r="7646">
      <c r="A7646" s="7" t="n"/>
      <c r="B7646" s="7" t="n"/>
      <c r="C7646" s="7" t="n"/>
      <c r="D7646" s="7" t="n"/>
      <c r="E7646" s="7" t="n"/>
      <c r="F7646" s="7" t="n"/>
      <c r="G7646" s="7" t="n"/>
      <c r="H7646" s="7" t="n"/>
      <c r="I7646" s="7" t="n"/>
      <c r="J7646" s="7" t="n"/>
      <c r="K7646">
        <f>IF(D7646="Legitimate Interest (GDPR Art. 6(1)(f))", "Yes / Required (Sheet 3)", "")</f>
        <v/>
      </c>
      <c r="L7646" s="7" t="n"/>
      <c r="M7646" s="7" t="n"/>
      <c r="N7646">
        <f>IF(D7646="", "Gap - No Legal Basis", IF(AND(D7646="Consent (GDPR Art. 6(1)(a))", I7646="Not Captured"), "Gap - Invalid Consent", IF(AND(D7646="Legitimate Interest (GDPR Art. 6(1)(f))", L7646=""), "Gap - Missing LIA", IF(AND(G7646="Yes", H7646=""), "Gap - Missing Art. 9 Basis", IF(OR(I7646="Invalid - Not Freely Given", I7646="Invalid - Not Specific", I7646="Invalid - Not Informed", I7646="Invalid - Ambiguous"), "Gap - Invalid Consent", "Compliant")))))</f>
        <v/>
      </c>
      <c r="O7646" s="7" t="n"/>
    </row>
    <row r="7647">
      <c r="A7647" s="7" t="n"/>
      <c r="B7647" s="7" t="n"/>
      <c r="C7647" s="7" t="n"/>
      <c r="D7647" s="7" t="n"/>
      <c r="E7647" s="7" t="n"/>
      <c r="F7647" s="7" t="n"/>
      <c r="G7647" s="7" t="n"/>
      <c r="H7647" s="7" t="n"/>
      <c r="I7647" s="7" t="n"/>
      <c r="J7647" s="7" t="n"/>
      <c r="K7647">
        <f>IF(D7647="Legitimate Interest (GDPR Art. 6(1)(f))", "Yes / Required (Sheet 3)", "")</f>
        <v/>
      </c>
      <c r="L7647" s="7" t="n"/>
      <c r="M7647" s="7" t="n"/>
      <c r="N7647">
        <f>IF(D7647="", "Gap - No Legal Basis", IF(AND(D7647="Consent (GDPR Art. 6(1)(a))", I7647="Not Captured"), "Gap - Invalid Consent", IF(AND(D7647="Legitimate Interest (GDPR Art. 6(1)(f))", L7647=""), "Gap - Missing LIA", IF(AND(G7647="Yes", H7647=""), "Gap - Missing Art. 9 Basis", IF(OR(I7647="Invalid - Not Freely Given", I7647="Invalid - Not Specific", I7647="Invalid - Not Informed", I7647="Invalid - Ambiguous"), "Gap - Invalid Consent", "Compliant")))))</f>
        <v/>
      </c>
      <c r="O7647" s="7" t="n"/>
    </row>
    <row r="7648">
      <c r="A7648" s="7" t="n"/>
      <c r="B7648" s="7" t="n"/>
      <c r="C7648" s="7" t="n"/>
      <c r="D7648" s="7" t="n"/>
      <c r="E7648" s="7" t="n"/>
      <c r="F7648" s="7" t="n"/>
      <c r="G7648" s="7" t="n"/>
      <c r="H7648" s="7" t="n"/>
      <c r="I7648" s="7" t="n"/>
      <c r="J7648" s="7" t="n"/>
      <c r="K7648">
        <f>IF(D7648="Legitimate Interest (GDPR Art. 6(1)(f))", "Yes / Required (Sheet 3)", "")</f>
        <v/>
      </c>
      <c r="L7648" s="7" t="n"/>
      <c r="M7648" s="7" t="n"/>
      <c r="N7648">
        <f>IF(D7648="", "Gap - No Legal Basis", IF(AND(D7648="Consent (GDPR Art. 6(1)(a))", I7648="Not Captured"), "Gap - Invalid Consent", IF(AND(D7648="Legitimate Interest (GDPR Art. 6(1)(f))", L7648=""), "Gap - Missing LIA", IF(AND(G7648="Yes", H7648=""), "Gap - Missing Art. 9 Basis", IF(OR(I7648="Invalid - Not Freely Given", I7648="Invalid - Not Specific", I7648="Invalid - Not Informed", I7648="Invalid - Ambiguous"), "Gap - Invalid Consent", "Compliant")))))</f>
        <v/>
      </c>
      <c r="O7648" s="7" t="n"/>
    </row>
    <row r="7649">
      <c r="A7649" s="7" t="n"/>
      <c r="B7649" s="7" t="n"/>
      <c r="C7649" s="7" t="n"/>
      <c r="D7649" s="7" t="n"/>
      <c r="E7649" s="7" t="n"/>
      <c r="F7649" s="7" t="n"/>
      <c r="G7649" s="7" t="n"/>
      <c r="H7649" s="7" t="n"/>
      <c r="I7649" s="7" t="n"/>
      <c r="J7649" s="7" t="n"/>
      <c r="K7649">
        <f>IF(D7649="Legitimate Interest (GDPR Art. 6(1)(f))", "Yes / Required (Sheet 3)", "")</f>
        <v/>
      </c>
      <c r="L7649" s="7" t="n"/>
      <c r="M7649" s="7" t="n"/>
      <c r="N7649">
        <f>IF(D7649="", "Gap - No Legal Basis", IF(AND(D7649="Consent (GDPR Art. 6(1)(a))", I7649="Not Captured"), "Gap - Invalid Consent", IF(AND(D7649="Legitimate Interest (GDPR Art. 6(1)(f))", L7649=""), "Gap - Missing LIA", IF(AND(G7649="Yes", H7649=""), "Gap - Missing Art. 9 Basis", IF(OR(I7649="Invalid - Not Freely Given", I7649="Invalid - Not Specific", I7649="Invalid - Not Informed", I7649="Invalid - Ambiguous"), "Gap - Invalid Consent", "Compliant")))))</f>
        <v/>
      </c>
      <c r="O7649" s="7" t="n"/>
    </row>
    <row r="7650">
      <c r="A7650" s="7" t="n"/>
      <c r="B7650" s="7" t="n"/>
      <c r="C7650" s="7" t="n"/>
      <c r="D7650" s="7" t="n"/>
      <c r="E7650" s="7" t="n"/>
      <c r="F7650" s="7" t="n"/>
      <c r="G7650" s="7" t="n"/>
      <c r="H7650" s="7" t="n"/>
      <c r="I7650" s="7" t="n"/>
      <c r="J7650" s="7" t="n"/>
      <c r="K7650">
        <f>IF(D7650="Legitimate Interest (GDPR Art. 6(1)(f))", "Yes / Required (Sheet 3)", "")</f>
        <v/>
      </c>
      <c r="L7650" s="7" t="n"/>
      <c r="M7650" s="7" t="n"/>
      <c r="N7650">
        <f>IF(D7650="", "Gap - No Legal Basis", IF(AND(D7650="Consent (GDPR Art. 6(1)(a))", I7650="Not Captured"), "Gap - Invalid Consent", IF(AND(D7650="Legitimate Interest (GDPR Art. 6(1)(f))", L7650=""), "Gap - Missing LIA", IF(AND(G7650="Yes", H7650=""), "Gap - Missing Art. 9 Basis", IF(OR(I7650="Invalid - Not Freely Given", I7650="Invalid - Not Specific", I7650="Invalid - Not Informed", I7650="Invalid - Ambiguous"), "Gap - Invalid Consent", "Compliant")))))</f>
        <v/>
      </c>
      <c r="O7650" s="7" t="n"/>
    </row>
    <row r="7651">
      <c r="A7651" s="7" t="n"/>
      <c r="B7651" s="7" t="n"/>
      <c r="C7651" s="7" t="n"/>
      <c r="D7651" s="7" t="n"/>
      <c r="E7651" s="7" t="n"/>
      <c r="F7651" s="7" t="n"/>
      <c r="G7651" s="7" t="n"/>
      <c r="H7651" s="7" t="n"/>
      <c r="I7651" s="7" t="n"/>
      <c r="J7651" s="7" t="n"/>
      <c r="K7651">
        <f>IF(D7651="Legitimate Interest (GDPR Art. 6(1)(f))", "Yes / Required (Sheet 3)", "")</f>
        <v/>
      </c>
      <c r="L7651" s="7" t="n"/>
      <c r="M7651" s="7" t="n"/>
      <c r="N7651">
        <f>IF(D7651="", "Gap - No Legal Basis", IF(AND(D7651="Consent (GDPR Art. 6(1)(a))", I7651="Not Captured"), "Gap - Invalid Consent", IF(AND(D7651="Legitimate Interest (GDPR Art. 6(1)(f))", L7651=""), "Gap - Missing LIA", IF(AND(G7651="Yes", H7651=""), "Gap - Missing Art. 9 Basis", IF(OR(I7651="Invalid - Not Freely Given", I7651="Invalid - Not Specific", I7651="Invalid - Not Informed", I7651="Invalid - Ambiguous"), "Gap - Invalid Consent", "Compliant")))))</f>
        <v/>
      </c>
      <c r="O7651" s="7" t="n"/>
    </row>
    <row r="7652">
      <c r="A7652" s="7" t="n"/>
      <c r="B7652" s="7" t="n"/>
      <c r="C7652" s="7" t="n"/>
      <c r="D7652" s="7" t="n"/>
      <c r="E7652" s="7" t="n"/>
      <c r="F7652" s="7" t="n"/>
      <c r="G7652" s="7" t="n"/>
      <c r="H7652" s="7" t="n"/>
      <c r="I7652" s="7" t="n"/>
      <c r="J7652" s="7" t="n"/>
      <c r="K7652">
        <f>IF(D7652="Legitimate Interest (GDPR Art. 6(1)(f))", "Yes / Required (Sheet 3)", "")</f>
        <v/>
      </c>
      <c r="L7652" s="7" t="n"/>
      <c r="M7652" s="7" t="n"/>
      <c r="N7652">
        <f>IF(D7652="", "Gap - No Legal Basis", IF(AND(D7652="Consent (GDPR Art. 6(1)(a))", I7652="Not Captured"), "Gap - Invalid Consent", IF(AND(D7652="Legitimate Interest (GDPR Art. 6(1)(f))", L7652=""), "Gap - Missing LIA", IF(AND(G7652="Yes", H7652=""), "Gap - Missing Art. 9 Basis", IF(OR(I7652="Invalid - Not Freely Given", I7652="Invalid - Not Specific", I7652="Invalid - Not Informed", I7652="Invalid - Ambiguous"), "Gap - Invalid Consent", "Compliant")))))</f>
        <v/>
      </c>
      <c r="O7652" s="7" t="n"/>
    </row>
    <row r="7653">
      <c r="A7653" s="7" t="n"/>
      <c r="B7653" s="7" t="n"/>
      <c r="C7653" s="7" t="n"/>
      <c r="D7653" s="7" t="n"/>
      <c r="E7653" s="7" t="n"/>
      <c r="F7653" s="7" t="n"/>
      <c r="G7653" s="7" t="n"/>
      <c r="H7653" s="7" t="n"/>
      <c r="I7653" s="7" t="n"/>
      <c r="J7653" s="7" t="n"/>
      <c r="K7653">
        <f>IF(D7653="Legitimate Interest (GDPR Art. 6(1)(f))", "Yes / Required (Sheet 3)", "")</f>
        <v/>
      </c>
      <c r="L7653" s="7" t="n"/>
      <c r="M7653" s="7" t="n"/>
      <c r="N7653">
        <f>IF(D7653="", "Gap - No Legal Basis", IF(AND(D7653="Consent (GDPR Art. 6(1)(a))", I7653="Not Captured"), "Gap - Invalid Consent", IF(AND(D7653="Legitimate Interest (GDPR Art. 6(1)(f))", L7653=""), "Gap - Missing LIA", IF(AND(G7653="Yes", H7653=""), "Gap - Missing Art. 9 Basis", IF(OR(I7653="Invalid - Not Freely Given", I7653="Invalid - Not Specific", I7653="Invalid - Not Informed", I7653="Invalid - Ambiguous"), "Gap - Invalid Consent", "Compliant")))))</f>
        <v/>
      </c>
      <c r="O7653" s="7" t="n"/>
    </row>
    <row r="7654">
      <c r="A7654" s="7" t="n"/>
      <c r="B7654" s="7" t="n"/>
      <c r="C7654" s="7" t="n"/>
      <c r="D7654" s="7" t="n"/>
      <c r="E7654" s="7" t="n"/>
      <c r="F7654" s="7" t="n"/>
      <c r="G7654" s="7" t="n"/>
      <c r="H7654" s="7" t="n"/>
      <c r="I7654" s="7" t="n"/>
      <c r="J7654" s="7" t="n"/>
      <c r="K7654">
        <f>IF(D7654="Legitimate Interest (GDPR Art. 6(1)(f))", "Yes / Required (Sheet 3)", "")</f>
        <v/>
      </c>
      <c r="L7654" s="7" t="n"/>
      <c r="M7654" s="7" t="n"/>
      <c r="N7654">
        <f>IF(D7654="", "Gap - No Legal Basis", IF(AND(D7654="Consent (GDPR Art. 6(1)(a))", I7654="Not Captured"), "Gap - Invalid Consent", IF(AND(D7654="Legitimate Interest (GDPR Art. 6(1)(f))", L7654=""), "Gap - Missing LIA", IF(AND(G7654="Yes", H7654=""), "Gap - Missing Art. 9 Basis", IF(OR(I7654="Invalid - Not Freely Given", I7654="Invalid - Not Specific", I7654="Invalid - Not Informed", I7654="Invalid - Ambiguous"), "Gap - Invalid Consent", "Compliant")))))</f>
        <v/>
      </c>
      <c r="O7654" s="7" t="n"/>
    </row>
    <row r="7655">
      <c r="A7655" s="7" t="n"/>
      <c r="B7655" s="7" t="n"/>
      <c r="C7655" s="7" t="n"/>
      <c r="D7655" s="7" t="n"/>
      <c r="E7655" s="7" t="n"/>
      <c r="F7655" s="7" t="n"/>
      <c r="G7655" s="7" t="n"/>
      <c r="H7655" s="7" t="n"/>
      <c r="I7655" s="7" t="n"/>
      <c r="J7655" s="7" t="n"/>
      <c r="K7655">
        <f>IF(D7655="Legitimate Interest (GDPR Art. 6(1)(f))", "Yes / Required (Sheet 3)", "")</f>
        <v/>
      </c>
      <c r="L7655" s="7" t="n"/>
      <c r="M7655" s="7" t="n"/>
      <c r="N7655">
        <f>IF(D7655="", "Gap - No Legal Basis", IF(AND(D7655="Consent (GDPR Art. 6(1)(a))", I7655="Not Captured"), "Gap - Invalid Consent", IF(AND(D7655="Legitimate Interest (GDPR Art. 6(1)(f))", L7655=""), "Gap - Missing LIA", IF(AND(G7655="Yes", H7655=""), "Gap - Missing Art. 9 Basis", IF(OR(I7655="Invalid - Not Freely Given", I7655="Invalid - Not Specific", I7655="Invalid - Not Informed", I7655="Invalid - Ambiguous"), "Gap - Invalid Consent", "Compliant")))))</f>
        <v/>
      </c>
      <c r="O7655" s="7" t="n"/>
    </row>
    <row r="7656">
      <c r="A7656" s="7" t="n"/>
      <c r="B7656" s="7" t="n"/>
      <c r="C7656" s="7" t="n"/>
      <c r="D7656" s="7" t="n"/>
      <c r="E7656" s="7" t="n"/>
      <c r="F7656" s="7" t="n"/>
      <c r="G7656" s="7" t="n"/>
      <c r="H7656" s="7" t="n"/>
      <c r="I7656" s="7" t="n"/>
      <c r="J7656" s="7" t="n"/>
      <c r="K7656">
        <f>IF(D7656="Legitimate Interest (GDPR Art. 6(1)(f))", "Yes / Required (Sheet 3)", "")</f>
        <v/>
      </c>
      <c r="L7656" s="7" t="n"/>
      <c r="M7656" s="7" t="n"/>
      <c r="N7656">
        <f>IF(D7656="", "Gap - No Legal Basis", IF(AND(D7656="Consent (GDPR Art. 6(1)(a))", I7656="Not Captured"), "Gap - Invalid Consent", IF(AND(D7656="Legitimate Interest (GDPR Art. 6(1)(f))", L7656=""), "Gap - Missing LIA", IF(AND(G7656="Yes", H7656=""), "Gap - Missing Art. 9 Basis", IF(OR(I7656="Invalid - Not Freely Given", I7656="Invalid - Not Specific", I7656="Invalid - Not Informed", I7656="Invalid - Ambiguous"), "Gap - Invalid Consent", "Compliant")))))</f>
        <v/>
      </c>
      <c r="O7656" s="7" t="n"/>
    </row>
    <row r="7657">
      <c r="A7657" s="7" t="n"/>
      <c r="B7657" s="7" t="n"/>
      <c r="C7657" s="7" t="n"/>
      <c r="D7657" s="7" t="n"/>
      <c r="E7657" s="7" t="n"/>
      <c r="F7657" s="7" t="n"/>
      <c r="G7657" s="7" t="n"/>
      <c r="H7657" s="7" t="n"/>
      <c r="I7657" s="7" t="n"/>
      <c r="J7657" s="7" t="n"/>
      <c r="K7657">
        <f>IF(D7657="Legitimate Interest (GDPR Art. 6(1)(f))", "Yes / Required (Sheet 3)", "")</f>
        <v/>
      </c>
      <c r="L7657" s="7" t="n"/>
      <c r="M7657" s="7" t="n"/>
      <c r="N7657">
        <f>IF(D7657="", "Gap - No Legal Basis", IF(AND(D7657="Consent (GDPR Art. 6(1)(a))", I7657="Not Captured"), "Gap - Invalid Consent", IF(AND(D7657="Legitimate Interest (GDPR Art. 6(1)(f))", L7657=""), "Gap - Missing LIA", IF(AND(G7657="Yes", H7657=""), "Gap - Missing Art. 9 Basis", IF(OR(I7657="Invalid - Not Freely Given", I7657="Invalid - Not Specific", I7657="Invalid - Not Informed", I7657="Invalid - Ambiguous"), "Gap - Invalid Consent", "Compliant")))))</f>
        <v/>
      </c>
      <c r="O7657" s="7" t="n"/>
    </row>
    <row r="7658">
      <c r="A7658" s="7" t="n"/>
      <c r="B7658" s="7" t="n"/>
      <c r="C7658" s="7" t="n"/>
      <c r="D7658" s="7" t="n"/>
      <c r="E7658" s="7" t="n"/>
      <c r="F7658" s="7" t="n"/>
      <c r="G7658" s="7" t="n"/>
      <c r="H7658" s="7" t="n"/>
      <c r="I7658" s="7" t="n"/>
      <c r="J7658" s="7" t="n"/>
      <c r="K7658">
        <f>IF(D7658="Legitimate Interest (GDPR Art. 6(1)(f))", "Yes / Required (Sheet 3)", "")</f>
        <v/>
      </c>
      <c r="L7658" s="7" t="n"/>
      <c r="M7658" s="7" t="n"/>
      <c r="N7658">
        <f>IF(D7658="", "Gap - No Legal Basis", IF(AND(D7658="Consent (GDPR Art. 6(1)(a))", I7658="Not Captured"), "Gap - Invalid Consent", IF(AND(D7658="Legitimate Interest (GDPR Art. 6(1)(f))", L7658=""), "Gap - Missing LIA", IF(AND(G7658="Yes", H7658=""), "Gap - Missing Art. 9 Basis", IF(OR(I7658="Invalid - Not Freely Given", I7658="Invalid - Not Specific", I7658="Invalid - Not Informed", I7658="Invalid - Ambiguous"), "Gap - Invalid Consent", "Compliant")))))</f>
        <v/>
      </c>
      <c r="O7658" s="7" t="n"/>
    </row>
    <row r="7659">
      <c r="A7659" s="7" t="n"/>
      <c r="B7659" s="7" t="n"/>
      <c r="C7659" s="7" t="n"/>
      <c r="D7659" s="7" t="n"/>
      <c r="E7659" s="7" t="n"/>
      <c r="F7659" s="7" t="n"/>
      <c r="G7659" s="7" t="n"/>
      <c r="H7659" s="7" t="n"/>
      <c r="I7659" s="7" t="n"/>
      <c r="J7659" s="7" t="n"/>
      <c r="K7659">
        <f>IF(D7659="Legitimate Interest (GDPR Art. 6(1)(f))", "Yes / Required (Sheet 3)", "")</f>
        <v/>
      </c>
      <c r="L7659" s="7" t="n"/>
      <c r="M7659" s="7" t="n"/>
      <c r="N7659">
        <f>IF(D7659="", "Gap - No Legal Basis", IF(AND(D7659="Consent (GDPR Art. 6(1)(a))", I7659="Not Captured"), "Gap - Invalid Consent", IF(AND(D7659="Legitimate Interest (GDPR Art. 6(1)(f))", L7659=""), "Gap - Missing LIA", IF(AND(G7659="Yes", H7659=""), "Gap - Missing Art. 9 Basis", IF(OR(I7659="Invalid - Not Freely Given", I7659="Invalid - Not Specific", I7659="Invalid - Not Informed", I7659="Invalid - Ambiguous"), "Gap - Invalid Consent", "Compliant")))))</f>
        <v/>
      </c>
      <c r="O7659" s="7" t="n"/>
    </row>
    <row r="7660">
      <c r="A7660" s="7" t="n"/>
      <c r="B7660" s="7" t="n"/>
      <c r="C7660" s="7" t="n"/>
      <c r="D7660" s="7" t="n"/>
      <c r="E7660" s="7" t="n"/>
      <c r="F7660" s="7" t="n"/>
      <c r="G7660" s="7" t="n"/>
      <c r="H7660" s="7" t="n"/>
      <c r="I7660" s="7" t="n"/>
      <c r="J7660" s="7" t="n"/>
      <c r="K7660">
        <f>IF(D7660="Legitimate Interest (GDPR Art. 6(1)(f))", "Yes / Required (Sheet 3)", "")</f>
        <v/>
      </c>
      <c r="L7660" s="7" t="n"/>
      <c r="M7660" s="7" t="n"/>
      <c r="N7660">
        <f>IF(D7660="", "Gap - No Legal Basis", IF(AND(D7660="Consent (GDPR Art. 6(1)(a))", I7660="Not Captured"), "Gap - Invalid Consent", IF(AND(D7660="Legitimate Interest (GDPR Art. 6(1)(f))", L7660=""), "Gap - Missing LIA", IF(AND(G7660="Yes", H7660=""), "Gap - Missing Art. 9 Basis", IF(OR(I7660="Invalid - Not Freely Given", I7660="Invalid - Not Specific", I7660="Invalid - Not Informed", I7660="Invalid - Ambiguous"), "Gap - Invalid Consent", "Compliant")))))</f>
        <v/>
      </c>
      <c r="O7660" s="7" t="n"/>
    </row>
    <row r="7661">
      <c r="A7661" s="7" t="n"/>
      <c r="B7661" s="7" t="n"/>
      <c r="C7661" s="7" t="n"/>
      <c r="D7661" s="7" t="n"/>
      <c r="E7661" s="7" t="n"/>
      <c r="F7661" s="7" t="n"/>
      <c r="G7661" s="7" t="n"/>
      <c r="H7661" s="7" t="n"/>
      <c r="I7661" s="7" t="n"/>
      <c r="J7661" s="7" t="n"/>
      <c r="K7661">
        <f>IF(D7661="Legitimate Interest (GDPR Art. 6(1)(f))", "Yes / Required (Sheet 3)", "")</f>
        <v/>
      </c>
      <c r="L7661" s="7" t="n"/>
      <c r="M7661" s="7" t="n"/>
      <c r="N7661">
        <f>IF(D7661="", "Gap - No Legal Basis", IF(AND(D7661="Consent (GDPR Art. 6(1)(a))", I7661="Not Captured"), "Gap - Invalid Consent", IF(AND(D7661="Legitimate Interest (GDPR Art. 6(1)(f))", L7661=""), "Gap - Missing LIA", IF(AND(G7661="Yes", H7661=""), "Gap - Missing Art. 9 Basis", IF(OR(I7661="Invalid - Not Freely Given", I7661="Invalid - Not Specific", I7661="Invalid - Not Informed", I7661="Invalid - Ambiguous"), "Gap - Invalid Consent", "Compliant")))))</f>
        <v/>
      </c>
      <c r="O7661" s="7" t="n"/>
    </row>
    <row r="7662">
      <c r="A7662" s="7" t="n"/>
      <c r="B7662" s="7" t="n"/>
      <c r="C7662" s="7" t="n"/>
      <c r="D7662" s="7" t="n"/>
      <c r="E7662" s="7" t="n"/>
      <c r="F7662" s="7" t="n"/>
      <c r="G7662" s="7" t="n"/>
      <c r="H7662" s="7" t="n"/>
      <c r="I7662" s="7" t="n"/>
      <c r="J7662" s="7" t="n"/>
      <c r="K7662">
        <f>IF(D7662="Legitimate Interest (GDPR Art. 6(1)(f))", "Yes / Required (Sheet 3)", "")</f>
        <v/>
      </c>
      <c r="L7662" s="7" t="n"/>
      <c r="M7662" s="7" t="n"/>
      <c r="N7662">
        <f>IF(D7662="", "Gap - No Legal Basis", IF(AND(D7662="Consent (GDPR Art. 6(1)(a))", I7662="Not Captured"), "Gap - Invalid Consent", IF(AND(D7662="Legitimate Interest (GDPR Art. 6(1)(f))", L7662=""), "Gap - Missing LIA", IF(AND(G7662="Yes", H7662=""), "Gap - Missing Art. 9 Basis", IF(OR(I7662="Invalid - Not Freely Given", I7662="Invalid - Not Specific", I7662="Invalid - Not Informed", I7662="Invalid - Ambiguous"), "Gap - Invalid Consent", "Compliant")))))</f>
        <v/>
      </c>
      <c r="O7662" s="7" t="n"/>
    </row>
    <row r="7663">
      <c r="A7663" s="7" t="n"/>
      <c r="B7663" s="7" t="n"/>
      <c r="C7663" s="7" t="n"/>
      <c r="D7663" s="7" t="n"/>
      <c r="E7663" s="7" t="n"/>
      <c r="F7663" s="7" t="n"/>
      <c r="G7663" s="7" t="n"/>
      <c r="H7663" s="7" t="n"/>
      <c r="I7663" s="7" t="n"/>
      <c r="J7663" s="7" t="n"/>
      <c r="K7663">
        <f>IF(D7663="Legitimate Interest (GDPR Art. 6(1)(f))", "Yes / Required (Sheet 3)", "")</f>
        <v/>
      </c>
      <c r="L7663" s="7" t="n"/>
      <c r="M7663" s="7" t="n"/>
      <c r="N7663">
        <f>IF(D7663="", "Gap - No Legal Basis", IF(AND(D7663="Consent (GDPR Art. 6(1)(a))", I7663="Not Captured"), "Gap - Invalid Consent", IF(AND(D7663="Legitimate Interest (GDPR Art. 6(1)(f))", L7663=""), "Gap - Missing LIA", IF(AND(G7663="Yes", H7663=""), "Gap - Missing Art. 9 Basis", IF(OR(I7663="Invalid - Not Freely Given", I7663="Invalid - Not Specific", I7663="Invalid - Not Informed", I7663="Invalid - Ambiguous"), "Gap - Invalid Consent", "Compliant")))))</f>
        <v/>
      </c>
      <c r="O7663" s="7" t="n"/>
    </row>
    <row r="7664">
      <c r="A7664" s="7" t="n"/>
      <c r="B7664" s="7" t="n"/>
      <c r="C7664" s="7" t="n"/>
      <c r="D7664" s="7" t="n"/>
      <c r="E7664" s="7" t="n"/>
      <c r="F7664" s="7" t="n"/>
      <c r="G7664" s="7" t="n"/>
      <c r="H7664" s="7" t="n"/>
      <c r="I7664" s="7" t="n"/>
      <c r="J7664" s="7" t="n"/>
      <c r="K7664">
        <f>IF(D7664="Legitimate Interest (GDPR Art. 6(1)(f))", "Yes / Required (Sheet 3)", "")</f>
        <v/>
      </c>
      <c r="L7664" s="7" t="n"/>
      <c r="M7664" s="7" t="n"/>
      <c r="N7664">
        <f>IF(D7664="", "Gap - No Legal Basis", IF(AND(D7664="Consent (GDPR Art. 6(1)(a))", I7664="Not Captured"), "Gap - Invalid Consent", IF(AND(D7664="Legitimate Interest (GDPR Art. 6(1)(f))", L7664=""), "Gap - Missing LIA", IF(AND(G7664="Yes", H7664=""), "Gap - Missing Art. 9 Basis", IF(OR(I7664="Invalid - Not Freely Given", I7664="Invalid - Not Specific", I7664="Invalid - Not Informed", I7664="Invalid - Ambiguous"), "Gap - Invalid Consent", "Compliant")))))</f>
        <v/>
      </c>
      <c r="O7664" s="7" t="n"/>
    </row>
    <row r="7665">
      <c r="A7665" s="7" t="n"/>
      <c r="B7665" s="7" t="n"/>
      <c r="C7665" s="7" t="n"/>
      <c r="D7665" s="7" t="n"/>
      <c r="E7665" s="7" t="n"/>
      <c r="F7665" s="7" t="n"/>
      <c r="G7665" s="7" t="n"/>
      <c r="H7665" s="7" t="n"/>
      <c r="I7665" s="7" t="n"/>
      <c r="J7665" s="7" t="n"/>
      <c r="K7665">
        <f>IF(D7665="Legitimate Interest (GDPR Art. 6(1)(f))", "Yes / Required (Sheet 3)", "")</f>
        <v/>
      </c>
      <c r="L7665" s="7" t="n"/>
      <c r="M7665" s="7" t="n"/>
      <c r="N7665">
        <f>IF(D7665="", "Gap - No Legal Basis", IF(AND(D7665="Consent (GDPR Art. 6(1)(a))", I7665="Not Captured"), "Gap - Invalid Consent", IF(AND(D7665="Legitimate Interest (GDPR Art. 6(1)(f))", L7665=""), "Gap - Missing LIA", IF(AND(G7665="Yes", H7665=""), "Gap - Missing Art. 9 Basis", IF(OR(I7665="Invalid - Not Freely Given", I7665="Invalid - Not Specific", I7665="Invalid - Not Informed", I7665="Invalid - Ambiguous"), "Gap - Invalid Consent", "Compliant")))))</f>
        <v/>
      </c>
      <c r="O7665" s="7" t="n"/>
    </row>
    <row r="7666">
      <c r="A7666" s="7" t="n"/>
      <c r="B7666" s="7" t="n"/>
      <c r="C7666" s="7" t="n"/>
      <c r="D7666" s="7" t="n"/>
      <c r="E7666" s="7" t="n"/>
      <c r="F7666" s="7" t="n"/>
      <c r="G7666" s="7" t="n"/>
      <c r="H7666" s="7" t="n"/>
      <c r="I7666" s="7" t="n"/>
      <c r="J7666" s="7" t="n"/>
      <c r="K7666">
        <f>IF(D7666="Legitimate Interest (GDPR Art. 6(1)(f))", "Yes / Required (Sheet 3)", "")</f>
        <v/>
      </c>
      <c r="L7666" s="7" t="n"/>
      <c r="M7666" s="7" t="n"/>
      <c r="N7666">
        <f>IF(D7666="", "Gap - No Legal Basis", IF(AND(D7666="Consent (GDPR Art. 6(1)(a))", I7666="Not Captured"), "Gap - Invalid Consent", IF(AND(D7666="Legitimate Interest (GDPR Art. 6(1)(f))", L7666=""), "Gap - Missing LIA", IF(AND(G7666="Yes", H7666=""), "Gap - Missing Art. 9 Basis", IF(OR(I7666="Invalid - Not Freely Given", I7666="Invalid - Not Specific", I7666="Invalid - Not Informed", I7666="Invalid - Ambiguous"), "Gap - Invalid Consent", "Compliant")))))</f>
        <v/>
      </c>
      <c r="O7666" s="7" t="n"/>
    </row>
    <row r="7667">
      <c r="A7667" s="7" t="n"/>
      <c r="B7667" s="7" t="n"/>
      <c r="C7667" s="7" t="n"/>
      <c r="D7667" s="7" t="n"/>
      <c r="E7667" s="7" t="n"/>
      <c r="F7667" s="7" t="n"/>
      <c r="G7667" s="7" t="n"/>
      <c r="H7667" s="7" t="n"/>
      <c r="I7667" s="7" t="n"/>
      <c r="J7667" s="7" t="n"/>
      <c r="K7667">
        <f>IF(D7667="Legitimate Interest (GDPR Art. 6(1)(f))", "Yes / Required (Sheet 3)", "")</f>
        <v/>
      </c>
      <c r="L7667" s="7" t="n"/>
      <c r="M7667" s="7" t="n"/>
      <c r="N7667">
        <f>IF(D7667="", "Gap - No Legal Basis", IF(AND(D7667="Consent (GDPR Art. 6(1)(a))", I7667="Not Captured"), "Gap - Invalid Consent", IF(AND(D7667="Legitimate Interest (GDPR Art. 6(1)(f))", L7667=""), "Gap - Missing LIA", IF(AND(G7667="Yes", H7667=""), "Gap - Missing Art. 9 Basis", IF(OR(I7667="Invalid - Not Freely Given", I7667="Invalid - Not Specific", I7667="Invalid - Not Informed", I7667="Invalid - Ambiguous"), "Gap - Invalid Consent", "Compliant")))))</f>
        <v/>
      </c>
      <c r="O7667" s="7" t="n"/>
    </row>
    <row r="7668">
      <c r="A7668" s="7" t="n"/>
      <c r="B7668" s="7" t="n"/>
      <c r="C7668" s="7" t="n"/>
      <c r="D7668" s="7" t="n"/>
      <c r="E7668" s="7" t="n"/>
      <c r="F7668" s="7" t="n"/>
      <c r="G7668" s="7" t="n"/>
      <c r="H7668" s="7" t="n"/>
      <c r="I7668" s="7" t="n"/>
      <c r="J7668" s="7" t="n"/>
      <c r="K7668">
        <f>IF(D7668="Legitimate Interest (GDPR Art. 6(1)(f))", "Yes / Required (Sheet 3)", "")</f>
        <v/>
      </c>
      <c r="L7668" s="7" t="n"/>
      <c r="M7668" s="7" t="n"/>
      <c r="N7668">
        <f>IF(D7668="", "Gap - No Legal Basis", IF(AND(D7668="Consent (GDPR Art. 6(1)(a))", I7668="Not Captured"), "Gap - Invalid Consent", IF(AND(D7668="Legitimate Interest (GDPR Art. 6(1)(f))", L7668=""), "Gap - Missing LIA", IF(AND(G7668="Yes", H7668=""), "Gap - Missing Art. 9 Basis", IF(OR(I7668="Invalid - Not Freely Given", I7668="Invalid - Not Specific", I7668="Invalid - Not Informed", I7668="Invalid - Ambiguous"), "Gap - Invalid Consent", "Compliant")))))</f>
        <v/>
      </c>
      <c r="O7668" s="7" t="n"/>
    </row>
    <row r="7669">
      <c r="A7669" s="7" t="n"/>
      <c r="B7669" s="7" t="n"/>
      <c r="C7669" s="7" t="n"/>
      <c r="D7669" s="7" t="n"/>
      <c r="E7669" s="7" t="n"/>
      <c r="F7669" s="7" t="n"/>
      <c r="G7669" s="7" t="n"/>
      <c r="H7669" s="7" t="n"/>
      <c r="I7669" s="7" t="n"/>
      <c r="J7669" s="7" t="n"/>
      <c r="K7669">
        <f>IF(D7669="Legitimate Interest (GDPR Art. 6(1)(f))", "Yes / Required (Sheet 3)", "")</f>
        <v/>
      </c>
      <c r="L7669" s="7" t="n"/>
      <c r="M7669" s="7" t="n"/>
      <c r="N7669">
        <f>IF(D7669="", "Gap - No Legal Basis", IF(AND(D7669="Consent (GDPR Art. 6(1)(a))", I7669="Not Captured"), "Gap - Invalid Consent", IF(AND(D7669="Legitimate Interest (GDPR Art. 6(1)(f))", L7669=""), "Gap - Missing LIA", IF(AND(G7669="Yes", H7669=""), "Gap - Missing Art. 9 Basis", IF(OR(I7669="Invalid - Not Freely Given", I7669="Invalid - Not Specific", I7669="Invalid - Not Informed", I7669="Invalid - Ambiguous"), "Gap - Invalid Consent", "Compliant")))))</f>
        <v/>
      </c>
      <c r="O7669" s="7" t="n"/>
    </row>
    <row r="7670">
      <c r="A7670" s="7" t="n"/>
      <c r="B7670" s="7" t="n"/>
      <c r="C7670" s="7" t="n"/>
      <c r="D7670" s="7" t="n"/>
      <c r="E7670" s="7" t="n"/>
      <c r="F7670" s="7" t="n"/>
      <c r="G7670" s="7" t="n"/>
      <c r="H7670" s="7" t="n"/>
      <c r="I7670" s="7" t="n"/>
      <c r="J7670" s="7" t="n"/>
      <c r="K7670">
        <f>IF(D7670="Legitimate Interest (GDPR Art. 6(1)(f))", "Yes / Required (Sheet 3)", "")</f>
        <v/>
      </c>
      <c r="L7670" s="7" t="n"/>
      <c r="M7670" s="7" t="n"/>
      <c r="N7670">
        <f>IF(D7670="", "Gap - No Legal Basis", IF(AND(D7670="Consent (GDPR Art. 6(1)(a))", I7670="Not Captured"), "Gap - Invalid Consent", IF(AND(D7670="Legitimate Interest (GDPR Art. 6(1)(f))", L7670=""), "Gap - Missing LIA", IF(AND(G7670="Yes", H7670=""), "Gap - Missing Art. 9 Basis", IF(OR(I7670="Invalid - Not Freely Given", I7670="Invalid - Not Specific", I7670="Invalid - Not Informed", I7670="Invalid - Ambiguous"), "Gap - Invalid Consent", "Compliant")))))</f>
        <v/>
      </c>
      <c r="O7670" s="7" t="n"/>
    </row>
    <row r="7671">
      <c r="A7671" s="7" t="n"/>
      <c r="B7671" s="7" t="n"/>
      <c r="C7671" s="7" t="n"/>
      <c r="D7671" s="7" t="n"/>
      <c r="E7671" s="7" t="n"/>
      <c r="F7671" s="7" t="n"/>
      <c r="G7671" s="7" t="n"/>
      <c r="H7671" s="7" t="n"/>
      <c r="I7671" s="7" t="n"/>
      <c r="J7671" s="7" t="n"/>
      <c r="K7671">
        <f>IF(D7671="Legitimate Interest (GDPR Art. 6(1)(f))", "Yes / Required (Sheet 3)", "")</f>
        <v/>
      </c>
      <c r="L7671" s="7" t="n"/>
      <c r="M7671" s="7" t="n"/>
      <c r="N7671">
        <f>IF(D7671="", "Gap - No Legal Basis", IF(AND(D7671="Consent (GDPR Art. 6(1)(a))", I7671="Not Captured"), "Gap - Invalid Consent", IF(AND(D7671="Legitimate Interest (GDPR Art. 6(1)(f))", L7671=""), "Gap - Missing LIA", IF(AND(G7671="Yes", H7671=""), "Gap - Missing Art. 9 Basis", IF(OR(I7671="Invalid - Not Freely Given", I7671="Invalid - Not Specific", I7671="Invalid - Not Informed", I7671="Invalid - Ambiguous"), "Gap - Invalid Consent", "Compliant")))))</f>
        <v/>
      </c>
      <c r="O7671" s="7" t="n"/>
    </row>
    <row r="7672">
      <c r="A7672" s="7" t="n"/>
      <c r="B7672" s="7" t="n"/>
      <c r="C7672" s="7" t="n"/>
      <c r="D7672" s="7" t="n"/>
      <c r="E7672" s="7" t="n"/>
      <c r="F7672" s="7" t="n"/>
      <c r="G7672" s="7" t="n"/>
      <c r="H7672" s="7" t="n"/>
      <c r="I7672" s="7" t="n"/>
      <c r="J7672" s="7" t="n"/>
      <c r="K7672">
        <f>IF(D7672="Legitimate Interest (GDPR Art. 6(1)(f))", "Yes / Required (Sheet 3)", "")</f>
        <v/>
      </c>
      <c r="L7672" s="7" t="n"/>
      <c r="M7672" s="7" t="n"/>
      <c r="N7672">
        <f>IF(D7672="", "Gap - No Legal Basis", IF(AND(D7672="Consent (GDPR Art. 6(1)(a))", I7672="Not Captured"), "Gap - Invalid Consent", IF(AND(D7672="Legitimate Interest (GDPR Art. 6(1)(f))", L7672=""), "Gap - Missing LIA", IF(AND(G7672="Yes", H7672=""), "Gap - Missing Art. 9 Basis", IF(OR(I7672="Invalid - Not Freely Given", I7672="Invalid - Not Specific", I7672="Invalid - Not Informed", I7672="Invalid - Ambiguous"), "Gap - Invalid Consent", "Compliant")))))</f>
        <v/>
      </c>
      <c r="O7672" s="7" t="n"/>
    </row>
    <row r="7673">
      <c r="A7673" s="7" t="n"/>
      <c r="B7673" s="7" t="n"/>
      <c r="C7673" s="7" t="n"/>
      <c r="D7673" s="7" t="n"/>
      <c r="E7673" s="7" t="n"/>
      <c r="F7673" s="7" t="n"/>
      <c r="G7673" s="7" t="n"/>
      <c r="H7673" s="7" t="n"/>
      <c r="I7673" s="7" t="n"/>
      <c r="J7673" s="7" t="n"/>
      <c r="K7673">
        <f>IF(D7673="Legitimate Interest (GDPR Art. 6(1)(f))", "Yes / Required (Sheet 3)", "")</f>
        <v/>
      </c>
      <c r="L7673" s="7" t="n"/>
      <c r="M7673" s="7" t="n"/>
      <c r="N7673">
        <f>IF(D7673="", "Gap - No Legal Basis", IF(AND(D7673="Consent (GDPR Art. 6(1)(a))", I7673="Not Captured"), "Gap - Invalid Consent", IF(AND(D7673="Legitimate Interest (GDPR Art. 6(1)(f))", L7673=""), "Gap - Missing LIA", IF(AND(G7673="Yes", H7673=""), "Gap - Missing Art. 9 Basis", IF(OR(I7673="Invalid - Not Freely Given", I7673="Invalid - Not Specific", I7673="Invalid - Not Informed", I7673="Invalid - Ambiguous"), "Gap - Invalid Consent", "Compliant")))))</f>
        <v/>
      </c>
      <c r="O7673" s="7" t="n"/>
    </row>
    <row r="7674">
      <c r="A7674" s="7" t="n"/>
      <c r="B7674" s="7" t="n"/>
      <c r="C7674" s="7" t="n"/>
      <c r="D7674" s="7" t="n"/>
      <c r="E7674" s="7" t="n"/>
      <c r="F7674" s="7" t="n"/>
      <c r="G7674" s="7" t="n"/>
      <c r="H7674" s="7" t="n"/>
      <c r="I7674" s="7" t="n"/>
      <c r="J7674" s="7" t="n"/>
      <c r="K7674">
        <f>IF(D7674="Legitimate Interest (GDPR Art. 6(1)(f))", "Yes / Required (Sheet 3)", "")</f>
        <v/>
      </c>
      <c r="L7674" s="7" t="n"/>
      <c r="M7674" s="7" t="n"/>
      <c r="N7674">
        <f>IF(D7674="", "Gap - No Legal Basis", IF(AND(D7674="Consent (GDPR Art. 6(1)(a))", I7674="Not Captured"), "Gap - Invalid Consent", IF(AND(D7674="Legitimate Interest (GDPR Art. 6(1)(f))", L7674=""), "Gap - Missing LIA", IF(AND(G7674="Yes", H7674=""), "Gap - Missing Art. 9 Basis", IF(OR(I7674="Invalid - Not Freely Given", I7674="Invalid - Not Specific", I7674="Invalid - Not Informed", I7674="Invalid - Ambiguous"), "Gap - Invalid Consent", "Compliant")))))</f>
        <v/>
      </c>
      <c r="O7674" s="7" t="n"/>
    </row>
    <row r="7675">
      <c r="A7675" s="7" t="n"/>
      <c r="B7675" s="7" t="n"/>
      <c r="C7675" s="7" t="n"/>
      <c r="D7675" s="7" t="n"/>
      <c r="E7675" s="7" t="n"/>
      <c r="F7675" s="7" t="n"/>
      <c r="G7675" s="7" t="n"/>
      <c r="H7675" s="7" t="n"/>
      <c r="I7675" s="7" t="n"/>
      <c r="J7675" s="7" t="n"/>
      <c r="K7675">
        <f>IF(D7675="Legitimate Interest (GDPR Art. 6(1)(f))", "Yes / Required (Sheet 3)", "")</f>
        <v/>
      </c>
      <c r="L7675" s="7" t="n"/>
      <c r="M7675" s="7" t="n"/>
      <c r="N7675">
        <f>IF(D7675="", "Gap - No Legal Basis", IF(AND(D7675="Consent (GDPR Art. 6(1)(a))", I7675="Not Captured"), "Gap - Invalid Consent", IF(AND(D7675="Legitimate Interest (GDPR Art. 6(1)(f))", L7675=""), "Gap - Missing LIA", IF(AND(G7675="Yes", H7675=""), "Gap - Missing Art. 9 Basis", IF(OR(I7675="Invalid - Not Freely Given", I7675="Invalid - Not Specific", I7675="Invalid - Not Informed", I7675="Invalid - Ambiguous"), "Gap - Invalid Consent", "Compliant")))))</f>
        <v/>
      </c>
      <c r="O7675" s="7" t="n"/>
    </row>
    <row r="7676">
      <c r="A7676" s="7" t="n"/>
      <c r="B7676" s="7" t="n"/>
      <c r="C7676" s="7" t="n"/>
      <c r="D7676" s="7" t="n"/>
      <c r="E7676" s="7" t="n"/>
      <c r="F7676" s="7" t="n"/>
      <c r="G7676" s="7" t="n"/>
      <c r="H7676" s="7" t="n"/>
      <c r="I7676" s="7" t="n"/>
      <c r="J7676" s="7" t="n"/>
      <c r="K7676">
        <f>IF(D7676="Legitimate Interest (GDPR Art. 6(1)(f))", "Yes / Required (Sheet 3)", "")</f>
        <v/>
      </c>
      <c r="L7676" s="7" t="n"/>
      <c r="M7676" s="7" t="n"/>
      <c r="N7676">
        <f>IF(D7676="", "Gap - No Legal Basis", IF(AND(D7676="Consent (GDPR Art. 6(1)(a))", I7676="Not Captured"), "Gap - Invalid Consent", IF(AND(D7676="Legitimate Interest (GDPR Art. 6(1)(f))", L7676=""), "Gap - Missing LIA", IF(AND(G7676="Yes", H7676=""), "Gap - Missing Art. 9 Basis", IF(OR(I7676="Invalid - Not Freely Given", I7676="Invalid - Not Specific", I7676="Invalid - Not Informed", I7676="Invalid - Ambiguous"), "Gap - Invalid Consent", "Compliant")))))</f>
        <v/>
      </c>
      <c r="O7676" s="7" t="n"/>
    </row>
    <row r="7677">
      <c r="A7677" s="7" t="n"/>
      <c r="B7677" s="7" t="n"/>
      <c r="C7677" s="7" t="n"/>
      <c r="D7677" s="7" t="n"/>
      <c r="E7677" s="7" t="n"/>
      <c r="F7677" s="7" t="n"/>
      <c r="G7677" s="7" t="n"/>
      <c r="H7677" s="7" t="n"/>
      <c r="I7677" s="7" t="n"/>
      <c r="J7677" s="7" t="n"/>
      <c r="K7677">
        <f>IF(D7677="Legitimate Interest (GDPR Art. 6(1)(f))", "Yes / Required (Sheet 3)", "")</f>
        <v/>
      </c>
      <c r="L7677" s="7" t="n"/>
      <c r="M7677" s="7" t="n"/>
      <c r="N7677">
        <f>IF(D7677="", "Gap - No Legal Basis", IF(AND(D7677="Consent (GDPR Art. 6(1)(a))", I7677="Not Captured"), "Gap - Invalid Consent", IF(AND(D7677="Legitimate Interest (GDPR Art. 6(1)(f))", L7677=""), "Gap - Missing LIA", IF(AND(G7677="Yes", H7677=""), "Gap - Missing Art. 9 Basis", IF(OR(I7677="Invalid - Not Freely Given", I7677="Invalid - Not Specific", I7677="Invalid - Not Informed", I7677="Invalid - Ambiguous"), "Gap - Invalid Consent", "Compliant")))))</f>
        <v/>
      </c>
      <c r="O7677" s="7" t="n"/>
    </row>
    <row r="7678">
      <c r="A7678" s="7" t="n"/>
      <c r="B7678" s="7" t="n"/>
      <c r="C7678" s="7" t="n"/>
      <c r="D7678" s="7" t="n"/>
      <c r="E7678" s="7" t="n"/>
      <c r="F7678" s="7" t="n"/>
      <c r="G7678" s="7" t="n"/>
      <c r="H7678" s="7" t="n"/>
      <c r="I7678" s="7" t="n"/>
      <c r="J7678" s="7" t="n"/>
      <c r="K7678">
        <f>IF(D7678="Legitimate Interest (GDPR Art. 6(1)(f))", "Yes / Required (Sheet 3)", "")</f>
        <v/>
      </c>
      <c r="L7678" s="7" t="n"/>
      <c r="M7678" s="7" t="n"/>
      <c r="N7678">
        <f>IF(D7678="", "Gap - No Legal Basis", IF(AND(D7678="Consent (GDPR Art. 6(1)(a))", I7678="Not Captured"), "Gap - Invalid Consent", IF(AND(D7678="Legitimate Interest (GDPR Art. 6(1)(f))", L7678=""), "Gap - Missing LIA", IF(AND(G7678="Yes", H7678=""), "Gap - Missing Art. 9 Basis", IF(OR(I7678="Invalid - Not Freely Given", I7678="Invalid - Not Specific", I7678="Invalid - Not Informed", I7678="Invalid - Ambiguous"), "Gap - Invalid Consent", "Compliant")))))</f>
        <v/>
      </c>
      <c r="O7678" s="7" t="n"/>
    </row>
    <row r="7679">
      <c r="A7679" s="7" t="n"/>
      <c r="B7679" s="7" t="n"/>
      <c r="C7679" s="7" t="n"/>
      <c r="D7679" s="7" t="n"/>
      <c r="E7679" s="7" t="n"/>
      <c r="F7679" s="7" t="n"/>
      <c r="G7679" s="7" t="n"/>
      <c r="H7679" s="7" t="n"/>
      <c r="I7679" s="7" t="n"/>
      <c r="J7679" s="7" t="n"/>
      <c r="K7679">
        <f>IF(D7679="Legitimate Interest (GDPR Art. 6(1)(f))", "Yes / Required (Sheet 3)", "")</f>
        <v/>
      </c>
      <c r="L7679" s="7" t="n"/>
      <c r="M7679" s="7" t="n"/>
      <c r="N7679">
        <f>IF(D7679="", "Gap - No Legal Basis", IF(AND(D7679="Consent (GDPR Art. 6(1)(a))", I7679="Not Captured"), "Gap - Invalid Consent", IF(AND(D7679="Legitimate Interest (GDPR Art. 6(1)(f))", L7679=""), "Gap - Missing LIA", IF(AND(G7679="Yes", H7679=""), "Gap - Missing Art. 9 Basis", IF(OR(I7679="Invalid - Not Freely Given", I7679="Invalid - Not Specific", I7679="Invalid - Not Informed", I7679="Invalid - Ambiguous"), "Gap - Invalid Consent", "Compliant")))))</f>
        <v/>
      </c>
      <c r="O7679" s="7" t="n"/>
    </row>
    <row r="7680">
      <c r="A7680" s="7" t="n"/>
      <c r="B7680" s="7" t="n"/>
      <c r="C7680" s="7" t="n"/>
      <c r="D7680" s="7" t="n"/>
      <c r="E7680" s="7" t="n"/>
      <c r="F7680" s="7" t="n"/>
      <c r="G7680" s="7" t="n"/>
      <c r="H7680" s="7" t="n"/>
      <c r="I7680" s="7" t="n"/>
      <c r="J7680" s="7" t="n"/>
      <c r="K7680">
        <f>IF(D7680="Legitimate Interest (GDPR Art. 6(1)(f))", "Yes / Required (Sheet 3)", "")</f>
        <v/>
      </c>
      <c r="L7680" s="7" t="n"/>
      <c r="M7680" s="7" t="n"/>
      <c r="N7680">
        <f>IF(D7680="", "Gap - No Legal Basis", IF(AND(D7680="Consent (GDPR Art. 6(1)(a))", I7680="Not Captured"), "Gap - Invalid Consent", IF(AND(D7680="Legitimate Interest (GDPR Art. 6(1)(f))", L7680=""), "Gap - Missing LIA", IF(AND(G7680="Yes", H7680=""), "Gap - Missing Art. 9 Basis", IF(OR(I7680="Invalid - Not Freely Given", I7680="Invalid - Not Specific", I7680="Invalid - Not Informed", I7680="Invalid - Ambiguous"), "Gap - Invalid Consent", "Compliant")))))</f>
        <v/>
      </c>
      <c r="O7680" s="7" t="n"/>
    </row>
    <row r="7681">
      <c r="A7681" s="7" t="n"/>
      <c r="B7681" s="7" t="n"/>
      <c r="C7681" s="7" t="n"/>
      <c r="D7681" s="7" t="n"/>
      <c r="E7681" s="7" t="n"/>
      <c r="F7681" s="7" t="n"/>
      <c r="G7681" s="7" t="n"/>
      <c r="H7681" s="7" t="n"/>
      <c r="I7681" s="7" t="n"/>
      <c r="J7681" s="7" t="n"/>
      <c r="K7681">
        <f>IF(D7681="Legitimate Interest (GDPR Art. 6(1)(f))", "Yes / Required (Sheet 3)", "")</f>
        <v/>
      </c>
      <c r="L7681" s="7" t="n"/>
      <c r="M7681" s="7" t="n"/>
      <c r="N7681">
        <f>IF(D7681="", "Gap - No Legal Basis", IF(AND(D7681="Consent (GDPR Art. 6(1)(a))", I7681="Not Captured"), "Gap - Invalid Consent", IF(AND(D7681="Legitimate Interest (GDPR Art. 6(1)(f))", L7681=""), "Gap - Missing LIA", IF(AND(G7681="Yes", H7681=""), "Gap - Missing Art. 9 Basis", IF(OR(I7681="Invalid - Not Freely Given", I7681="Invalid - Not Specific", I7681="Invalid - Not Informed", I7681="Invalid - Ambiguous"), "Gap - Invalid Consent", "Compliant")))))</f>
        <v/>
      </c>
      <c r="O7681" s="7" t="n"/>
    </row>
    <row r="7682">
      <c r="A7682" s="7" t="n"/>
      <c r="B7682" s="7" t="n"/>
      <c r="C7682" s="7" t="n"/>
      <c r="D7682" s="7" t="n"/>
      <c r="E7682" s="7" t="n"/>
      <c r="F7682" s="7" t="n"/>
      <c r="G7682" s="7" t="n"/>
      <c r="H7682" s="7" t="n"/>
      <c r="I7682" s="7" t="n"/>
      <c r="J7682" s="7" t="n"/>
      <c r="K7682">
        <f>IF(D7682="Legitimate Interest (GDPR Art. 6(1)(f))", "Yes / Required (Sheet 3)", "")</f>
        <v/>
      </c>
      <c r="L7682" s="7" t="n"/>
      <c r="M7682" s="7" t="n"/>
      <c r="N7682">
        <f>IF(D7682="", "Gap - No Legal Basis", IF(AND(D7682="Consent (GDPR Art. 6(1)(a))", I7682="Not Captured"), "Gap - Invalid Consent", IF(AND(D7682="Legitimate Interest (GDPR Art. 6(1)(f))", L7682=""), "Gap - Missing LIA", IF(AND(G7682="Yes", H7682=""), "Gap - Missing Art. 9 Basis", IF(OR(I7682="Invalid - Not Freely Given", I7682="Invalid - Not Specific", I7682="Invalid - Not Informed", I7682="Invalid - Ambiguous"), "Gap - Invalid Consent", "Compliant")))))</f>
        <v/>
      </c>
      <c r="O7682" s="7" t="n"/>
    </row>
    <row r="7683">
      <c r="A7683" s="7" t="n"/>
      <c r="B7683" s="7" t="n"/>
      <c r="C7683" s="7" t="n"/>
      <c r="D7683" s="7" t="n"/>
      <c r="E7683" s="7" t="n"/>
      <c r="F7683" s="7" t="n"/>
      <c r="G7683" s="7" t="n"/>
      <c r="H7683" s="7" t="n"/>
      <c r="I7683" s="7" t="n"/>
      <c r="J7683" s="7" t="n"/>
      <c r="K7683">
        <f>IF(D7683="Legitimate Interest (GDPR Art. 6(1)(f))", "Yes / Required (Sheet 3)", "")</f>
        <v/>
      </c>
      <c r="L7683" s="7" t="n"/>
      <c r="M7683" s="7" t="n"/>
      <c r="N7683">
        <f>IF(D7683="", "Gap - No Legal Basis", IF(AND(D7683="Consent (GDPR Art. 6(1)(a))", I7683="Not Captured"), "Gap - Invalid Consent", IF(AND(D7683="Legitimate Interest (GDPR Art. 6(1)(f))", L7683=""), "Gap - Missing LIA", IF(AND(G7683="Yes", H7683=""), "Gap - Missing Art. 9 Basis", IF(OR(I7683="Invalid - Not Freely Given", I7683="Invalid - Not Specific", I7683="Invalid - Not Informed", I7683="Invalid - Ambiguous"), "Gap - Invalid Consent", "Compliant")))))</f>
        <v/>
      </c>
      <c r="O7683" s="7" t="n"/>
    </row>
    <row r="7684">
      <c r="A7684" s="7" t="n"/>
      <c r="B7684" s="7" t="n"/>
      <c r="C7684" s="7" t="n"/>
      <c r="D7684" s="7" t="n"/>
      <c r="E7684" s="7" t="n"/>
      <c r="F7684" s="7" t="n"/>
      <c r="G7684" s="7" t="n"/>
      <c r="H7684" s="7" t="n"/>
      <c r="I7684" s="7" t="n"/>
      <c r="J7684" s="7" t="n"/>
      <c r="K7684">
        <f>IF(D7684="Legitimate Interest (GDPR Art. 6(1)(f))", "Yes / Required (Sheet 3)", "")</f>
        <v/>
      </c>
      <c r="L7684" s="7" t="n"/>
      <c r="M7684" s="7" t="n"/>
      <c r="N7684">
        <f>IF(D7684="", "Gap - No Legal Basis", IF(AND(D7684="Consent (GDPR Art. 6(1)(a))", I7684="Not Captured"), "Gap - Invalid Consent", IF(AND(D7684="Legitimate Interest (GDPR Art. 6(1)(f))", L7684=""), "Gap - Missing LIA", IF(AND(G7684="Yes", H7684=""), "Gap - Missing Art. 9 Basis", IF(OR(I7684="Invalid - Not Freely Given", I7684="Invalid - Not Specific", I7684="Invalid - Not Informed", I7684="Invalid - Ambiguous"), "Gap - Invalid Consent", "Compliant")))))</f>
        <v/>
      </c>
      <c r="O7684" s="7" t="n"/>
    </row>
    <row r="7685">
      <c r="A7685" s="7" t="n"/>
      <c r="B7685" s="7" t="n"/>
      <c r="C7685" s="7" t="n"/>
      <c r="D7685" s="7" t="n"/>
      <c r="E7685" s="7" t="n"/>
      <c r="F7685" s="7" t="n"/>
      <c r="G7685" s="7" t="n"/>
      <c r="H7685" s="7" t="n"/>
      <c r="I7685" s="7" t="n"/>
      <c r="J7685" s="7" t="n"/>
      <c r="K7685">
        <f>IF(D7685="Legitimate Interest (GDPR Art. 6(1)(f))", "Yes / Required (Sheet 3)", "")</f>
        <v/>
      </c>
      <c r="L7685" s="7" t="n"/>
      <c r="M7685" s="7" t="n"/>
      <c r="N7685">
        <f>IF(D7685="", "Gap - No Legal Basis", IF(AND(D7685="Consent (GDPR Art. 6(1)(a))", I7685="Not Captured"), "Gap - Invalid Consent", IF(AND(D7685="Legitimate Interest (GDPR Art. 6(1)(f))", L7685=""), "Gap - Missing LIA", IF(AND(G7685="Yes", H7685=""), "Gap - Missing Art. 9 Basis", IF(OR(I7685="Invalid - Not Freely Given", I7685="Invalid - Not Specific", I7685="Invalid - Not Informed", I7685="Invalid - Ambiguous"), "Gap - Invalid Consent", "Compliant")))))</f>
        <v/>
      </c>
      <c r="O7685" s="7" t="n"/>
    </row>
    <row r="7686">
      <c r="A7686" s="7" t="n"/>
      <c r="B7686" s="7" t="n"/>
      <c r="C7686" s="7" t="n"/>
      <c r="D7686" s="7" t="n"/>
      <c r="E7686" s="7" t="n"/>
      <c r="F7686" s="7" t="n"/>
      <c r="G7686" s="7" t="n"/>
      <c r="H7686" s="7" t="n"/>
      <c r="I7686" s="7" t="n"/>
      <c r="J7686" s="7" t="n"/>
      <c r="K7686">
        <f>IF(D7686="Legitimate Interest (GDPR Art. 6(1)(f))", "Yes / Required (Sheet 3)", "")</f>
        <v/>
      </c>
      <c r="L7686" s="7" t="n"/>
      <c r="M7686" s="7" t="n"/>
      <c r="N7686">
        <f>IF(D7686="", "Gap - No Legal Basis", IF(AND(D7686="Consent (GDPR Art. 6(1)(a))", I7686="Not Captured"), "Gap - Invalid Consent", IF(AND(D7686="Legitimate Interest (GDPR Art. 6(1)(f))", L7686=""), "Gap - Missing LIA", IF(AND(G7686="Yes", H7686=""), "Gap - Missing Art. 9 Basis", IF(OR(I7686="Invalid - Not Freely Given", I7686="Invalid - Not Specific", I7686="Invalid - Not Informed", I7686="Invalid - Ambiguous"), "Gap - Invalid Consent", "Compliant")))))</f>
        <v/>
      </c>
      <c r="O7686" s="7" t="n"/>
    </row>
    <row r="7687">
      <c r="A7687" s="7" t="n"/>
      <c r="B7687" s="7" t="n"/>
      <c r="C7687" s="7" t="n"/>
      <c r="D7687" s="7" t="n"/>
      <c r="E7687" s="7" t="n"/>
      <c r="F7687" s="7" t="n"/>
      <c r="G7687" s="7" t="n"/>
      <c r="H7687" s="7" t="n"/>
      <c r="I7687" s="7" t="n"/>
      <c r="J7687" s="7" t="n"/>
      <c r="K7687">
        <f>IF(D7687="Legitimate Interest (GDPR Art. 6(1)(f))", "Yes / Required (Sheet 3)", "")</f>
        <v/>
      </c>
      <c r="L7687" s="7" t="n"/>
      <c r="M7687" s="7" t="n"/>
      <c r="N7687">
        <f>IF(D7687="", "Gap - No Legal Basis", IF(AND(D7687="Consent (GDPR Art. 6(1)(a))", I7687="Not Captured"), "Gap - Invalid Consent", IF(AND(D7687="Legitimate Interest (GDPR Art. 6(1)(f))", L7687=""), "Gap - Missing LIA", IF(AND(G7687="Yes", H7687=""), "Gap - Missing Art. 9 Basis", IF(OR(I7687="Invalid - Not Freely Given", I7687="Invalid - Not Specific", I7687="Invalid - Not Informed", I7687="Invalid - Ambiguous"), "Gap - Invalid Consent", "Compliant")))))</f>
        <v/>
      </c>
      <c r="O7687" s="7" t="n"/>
    </row>
    <row r="7688">
      <c r="A7688" s="7" t="n"/>
      <c r="B7688" s="7" t="n"/>
      <c r="C7688" s="7" t="n"/>
      <c r="D7688" s="7" t="n"/>
      <c r="E7688" s="7" t="n"/>
      <c r="F7688" s="7" t="n"/>
      <c r="G7688" s="7" t="n"/>
      <c r="H7688" s="7" t="n"/>
      <c r="I7688" s="7" t="n"/>
      <c r="J7688" s="7" t="n"/>
      <c r="K7688">
        <f>IF(D7688="Legitimate Interest (GDPR Art. 6(1)(f))", "Yes / Required (Sheet 3)", "")</f>
        <v/>
      </c>
      <c r="L7688" s="7" t="n"/>
      <c r="M7688" s="7" t="n"/>
      <c r="N7688">
        <f>IF(D7688="", "Gap - No Legal Basis", IF(AND(D7688="Consent (GDPR Art. 6(1)(a))", I7688="Not Captured"), "Gap - Invalid Consent", IF(AND(D7688="Legitimate Interest (GDPR Art. 6(1)(f))", L7688=""), "Gap - Missing LIA", IF(AND(G7688="Yes", H7688=""), "Gap - Missing Art. 9 Basis", IF(OR(I7688="Invalid - Not Freely Given", I7688="Invalid - Not Specific", I7688="Invalid - Not Informed", I7688="Invalid - Ambiguous"), "Gap - Invalid Consent", "Compliant")))))</f>
        <v/>
      </c>
      <c r="O7688" s="7" t="n"/>
    </row>
    <row r="7689">
      <c r="A7689" s="7" t="n"/>
      <c r="B7689" s="7" t="n"/>
      <c r="C7689" s="7" t="n"/>
      <c r="D7689" s="7" t="n"/>
      <c r="E7689" s="7" t="n"/>
      <c r="F7689" s="7" t="n"/>
      <c r="G7689" s="7" t="n"/>
      <c r="H7689" s="7" t="n"/>
      <c r="I7689" s="7" t="n"/>
      <c r="J7689" s="7" t="n"/>
      <c r="K7689">
        <f>IF(D7689="Legitimate Interest (GDPR Art. 6(1)(f))", "Yes / Required (Sheet 3)", "")</f>
        <v/>
      </c>
      <c r="L7689" s="7" t="n"/>
      <c r="M7689" s="7" t="n"/>
      <c r="N7689">
        <f>IF(D7689="", "Gap - No Legal Basis", IF(AND(D7689="Consent (GDPR Art. 6(1)(a))", I7689="Not Captured"), "Gap - Invalid Consent", IF(AND(D7689="Legitimate Interest (GDPR Art. 6(1)(f))", L7689=""), "Gap - Missing LIA", IF(AND(G7689="Yes", H7689=""), "Gap - Missing Art. 9 Basis", IF(OR(I7689="Invalid - Not Freely Given", I7689="Invalid - Not Specific", I7689="Invalid - Not Informed", I7689="Invalid - Ambiguous"), "Gap - Invalid Consent", "Compliant")))))</f>
        <v/>
      </c>
      <c r="O7689" s="7" t="n"/>
    </row>
    <row r="7690">
      <c r="A7690" s="7" t="n"/>
      <c r="B7690" s="7" t="n"/>
      <c r="C7690" s="7" t="n"/>
      <c r="D7690" s="7" t="n"/>
      <c r="E7690" s="7" t="n"/>
      <c r="F7690" s="7" t="n"/>
      <c r="G7690" s="7" t="n"/>
      <c r="H7690" s="7" t="n"/>
      <c r="I7690" s="7" t="n"/>
      <c r="J7690" s="7" t="n"/>
      <c r="K7690">
        <f>IF(D7690="Legitimate Interest (GDPR Art. 6(1)(f))", "Yes / Required (Sheet 3)", "")</f>
        <v/>
      </c>
      <c r="L7690" s="7" t="n"/>
      <c r="M7690" s="7" t="n"/>
      <c r="N7690">
        <f>IF(D7690="", "Gap - No Legal Basis", IF(AND(D7690="Consent (GDPR Art. 6(1)(a))", I7690="Not Captured"), "Gap - Invalid Consent", IF(AND(D7690="Legitimate Interest (GDPR Art. 6(1)(f))", L7690=""), "Gap - Missing LIA", IF(AND(G7690="Yes", H7690=""), "Gap - Missing Art. 9 Basis", IF(OR(I7690="Invalid - Not Freely Given", I7690="Invalid - Not Specific", I7690="Invalid - Not Informed", I7690="Invalid - Ambiguous"), "Gap - Invalid Consent", "Compliant")))))</f>
        <v/>
      </c>
      <c r="O7690" s="7" t="n"/>
    </row>
    <row r="7691">
      <c r="A7691" s="7" t="n"/>
      <c r="B7691" s="7" t="n"/>
      <c r="C7691" s="7" t="n"/>
      <c r="D7691" s="7" t="n"/>
      <c r="E7691" s="7" t="n"/>
      <c r="F7691" s="7" t="n"/>
      <c r="G7691" s="7" t="n"/>
      <c r="H7691" s="7" t="n"/>
      <c r="I7691" s="7" t="n"/>
      <c r="J7691" s="7" t="n"/>
      <c r="K7691">
        <f>IF(D7691="Legitimate Interest (GDPR Art. 6(1)(f))", "Yes / Required (Sheet 3)", "")</f>
        <v/>
      </c>
      <c r="L7691" s="7" t="n"/>
      <c r="M7691" s="7" t="n"/>
      <c r="N7691">
        <f>IF(D7691="", "Gap - No Legal Basis", IF(AND(D7691="Consent (GDPR Art. 6(1)(a))", I7691="Not Captured"), "Gap - Invalid Consent", IF(AND(D7691="Legitimate Interest (GDPR Art. 6(1)(f))", L7691=""), "Gap - Missing LIA", IF(AND(G7691="Yes", H7691=""), "Gap - Missing Art. 9 Basis", IF(OR(I7691="Invalid - Not Freely Given", I7691="Invalid - Not Specific", I7691="Invalid - Not Informed", I7691="Invalid - Ambiguous"), "Gap - Invalid Consent", "Compliant")))))</f>
        <v/>
      </c>
      <c r="O7691" s="7" t="n"/>
    </row>
    <row r="7692">
      <c r="A7692" s="7" t="n"/>
      <c r="B7692" s="7" t="n"/>
      <c r="C7692" s="7" t="n"/>
      <c r="D7692" s="7" t="n"/>
      <c r="E7692" s="7" t="n"/>
      <c r="F7692" s="7" t="n"/>
      <c r="G7692" s="7" t="n"/>
      <c r="H7692" s="7" t="n"/>
      <c r="I7692" s="7" t="n"/>
      <c r="J7692" s="7" t="n"/>
      <c r="K7692">
        <f>IF(D7692="Legitimate Interest (GDPR Art. 6(1)(f))", "Yes / Required (Sheet 3)", "")</f>
        <v/>
      </c>
      <c r="L7692" s="7" t="n"/>
      <c r="M7692" s="7" t="n"/>
      <c r="N7692">
        <f>IF(D7692="", "Gap - No Legal Basis", IF(AND(D7692="Consent (GDPR Art. 6(1)(a))", I7692="Not Captured"), "Gap - Invalid Consent", IF(AND(D7692="Legitimate Interest (GDPR Art. 6(1)(f))", L7692=""), "Gap - Missing LIA", IF(AND(G7692="Yes", H7692=""), "Gap - Missing Art. 9 Basis", IF(OR(I7692="Invalid - Not Freely Given", I7692="Invalid - Not Specific", I7692="Invalid - Not Informed", I7692="Invalid - Ambiguous"), "Gap - Invalid Consent", "Compliant")))))</f>
        <v/>
      </c>
      <c r="O7692" s="7" t="n"/>
    </row>
    <row r="7693">
      <c r="A7693" s="7" t="n"/>
      <c r="B7693" s="7" t="n"/>
      <c r="C7693" s="7" t="n"/>
      <c r="D7693" s="7" t="n"/>
      <c r="E7693" s="7" t="n"/>
      <c r="F7693" s="7" t="n"/>
      <c r="G7693" s="7" t="n"/>
      <c r="H7693" s="7" t="n"/>
      <c r="I7693" s="7" t="n"/>
      <c r="J7693" s="7" t="n"/>
      <c r="K7693">
        <f>IF(D7693="Legitimate Interest (GDPR Art. 6(1)(f))", "Yes / Required (Sheet 3)", "")</f>
        <v/>
      </c>
      <c r="L7693" s="7" t="n"/>
      <c r="M7693" s="7" t="n"/>
      <c r="N7693">
        <f>IF(D7693="", "Gap - No Legal Basis", IF(AND(D7693="Consent (GDPR Art. 6(1)(a))", I7693="Not Captured"), "Gap - Invalid Consent", IF(AND(D7693="Legitimate Interest (GDPR Art. 6(1)(f))", L7693=""), "Gap - Missing LIA", IF(AND(G7693="Yes", H7693=""), "Gap - Missing Art. 9 Basis", IF(OR(I7693="Invalid - Not Freely Given", I7693="Invalid - Not Specific", I7693="Invalid - Not Informed", I7693="Invalid - Ambiguous"), "Gap - Invalid Consent", "Compliant")))))</f>
        <v/>
      </c>
      <c r="O7693" s="7" t="n"/>
    </row>
    <row r="7694">
      <c r="A7694" s="7" t="n"/>
      <c r="B7694" s="7" t="n"/>
      <c r="C7694" s="7" t="n"/>
      <c r="D7694" s="7" t="n"/>
      <c r="E7694" s="7" t="n"/>
      <c r="F7694" s="7" t="n"/>
      <c r="G7694" s="7" t="n"/>
      <c r="H7694" s="7" t="n"/>
      <c r="I7694" s="7" t="n"/>
      <c r="J7694" s="7" t="n"/>
      <c r="K7694">
        <f>IF(D7694="Legitimate Interest (GDPR Art. 6(1)(f))", "Yes / Required (Sheet 3)", "")</f>
        <v/>
      </c>
      <c r="L7694" s="7" t="n"/>
      <c r="M7694" s="7" t="n"/>
      <c r="N7694">
        <f>IF(D7694="", "Gap - No Legal Basis", IF(AND(D7694="Consent (GDPR Art. 6(1)(a))", I7694="Not Captured"), "Gap - Invalid Consent", IF(AND(D7694="Legitimate Interest (GDPR Art. 6(1)(f))", L7694=""), "Gap - Missing LIA", IF(AND(G7694="Yes", H7694=""), "Gap - Missing Art. 9 Basis", IF(OR(I7694="Invalid - Not Freely Given", I7694="Invalid - Not Specific", I7694="Invalid - Not Informed", I7694="Invalid - Ambiguous"), "Gap - Invalid Consent", "Compliant")))))</f>
        <v/>
      </c>
      <c r="O7694" s="7" t="n"/>
    </row>
    <row r="7695">
      <c r="A7695" s="7" t="n"/>
      <c r="B7695" s="7" t="n"/>
      <c r="C7695" s="7" t="n"/>
      <c r="D7695" s="7" t="n"/>
      <c r="E7695" s="7" t="n"/>
      <c r="F7695" s="7" t="n"/>
      <c r="G7695" s="7" t="n"/>
      <c r="H7695" s="7" t="n"/>
      <c r="I7695" s="7" t="n"/>
      <c r="J7695" s="7" t="n"/>
      <c r="K7695">
        <f>IF(D7695="Legitimate Interest (GDPR Art. 6(1)(f))", "Yes / Required (Sheet 3)", "")</f>
        <v/>
      </c>
      <c r="L7695" s="7" t="n"/>
      <c r="M7695" s="7" t="n"/>
      <c r="N7695">
        <f>IF(D7695="", "Gap - No Legal Basis", IF(AND(D7695="Consent (GDPR Art. 6(1)(a))", I7695="Not Captured"), "Gap - Invalid Consent", IF(AND(D7695="Legitimate Interest (GDPR Art. 6(1)(f))", L7695=""), "Gap - Missing LIA", IF(AND(G7695="Yes", H7695=""), "Gap - Missing Art. 9 Basis", IF(OR(I7695="Invalid - Not Freely Given", I7695="Invalid - Not Specific", I7695="Invalid - Not Informed", I7695="Invalid - Ambiguous"), "Gap - Invalid Consent", "Compliant")))))</f>
        <v/>
      </c>
      <c r="O7695" s="7" t="n"/>
    </row>
    <row r="7696">
      <c r="A7696" s="7" t="n"/>
      <c r="B7696" s="7" t="n"/>
      <c r="C7696" s="7" t="n"/>
      <c r="D7696" s="7" t="n"/>
      <c r="E7696" s="7" t="n"/>
      <c r="F7696" s="7" t="n"/>
      <c r="G7696" s="7" t="n"/>
      <c r="H7696" s="7" t="n"/>
      <c r="I7696" s="7" t="n"/>
      <c r="J7696" s="7" t="n"/>
      <c r="K7696">
        <f>IF(D7696="Legitimate Interest (GDPR Art. 6(1)(f))", "Yes / Required (Sheet 3)", "")</f>
        <v/>
      </c>
      <c r="L7696" s="7" t="n"/>
      <c r="M7696" s="7" t="n"/>
      <c r="N7696">
        <f>IF(D7696="", "Gap - No Legal Basis", IF(AND(D7696="Consent (GDPR Art. 6(1)(a))", I7696="Not Captured"), "Gap - Invalid Consent", IF(AND(D7696="Legitimate Interest (GDPR Art. 6(1)(f))", L7696=""), "Gap - Missing LIA", IF(AND(G7696="Yes", H7696=""), "Gap - Missing Art. 9 Basis", IF(OR(I7696="Invalid - Not Freely Given", I7696="Invalid - Not Specific", I7696="Invalid - Not Informed", I7696="Invalid - Ambiguous"), "Gap - Invalid Consent", "Compliant")))))</f>
        <v/>
      </c>
      <c r="O7696" s="7" t="n"/>
    </row>
    <row r="7697">
      <c r="A7697" s="7" t="n"/>
      <c r="B7697" s="7" t="n"/>
      <c r="C7697" s="7" t="n"/>
      <c r="D7697" s="7" t="n"/>
      <c r="E7697" s="7" t="n"/>
      <c r="F7697" s="7" t="n"/>
      <c r="G7697" s="7" t="n"/>
      <c r="H7697" s="7" t="n"/>
      <c r="I7697" s="7" t="n"/>
      <c r="J7697" s="7" t="n"/>
      <c r="K7697">
        <f>IF(D7697="Legitimate Interest (GDPR Art. 6(1)(f))", "Yes / Required (Sheet 3)", "")</f>
        <v/>
      </c>
      <c r="L7697" s="7" t="n"/>
      <c r="M7697" s="7" t="n"/>
      <c r="N7697">
        <f>IF(D7697="", "Gap - No Legal Basis", IF(AND(D7697="Consent (GDPR Art. 6(1)(a))", I7697="Not Captured"), "Gap - Invalid Consent", IF(AND(D7697="Legitimate Interest (GDPR Art. 6(1)(f))", L7697=""), "Gap - Missing LIA", IF(AND(G7697="Yes", H7697=""), "Gap - Missing Art. 9 Basis", IF(OR(I7697="Invalid - Not Freely Given", I7697="Invalid - Not Specific", I7697="Invalid - Not Informed", I7697="Invalid - Ambiguous"), "Gap - Invalid Consent", "Compliant")))))</f>
        <v/>
      </c>
      <c r="O7697" s="7" t="n"/>
    </row>
    <row r="7698">
      <c r="A7698" s="7" t="n"/>
      <c r="B7698" s="7" t="n"/>
      <c r="C7698" s="7" t="n"/>
      <c r="D7698" s="7" t="n"/>
      <c r="E7698" s="7" t="n"/>
      <c r="F7698" s="7" t="n"/>
      <c r="G7698" s="7" t="n"/>
      <c r="H7698" s="7" t="n"/>
      <c r="I7698" s="7" t="n"/>
      <c r="J7698" s="7" t="n"/>
      <c r="K7698">
        <f>IF(D7698="Legitimate Interest (GDPR Art. 6(1)(f))", "Yes / Required (Sheet 3)", "")</f>
        <v/>
      </c>
      <c r="L7698" s="7" t="n"/>
      <c r="M7698" s="7" t="n"/>
      <c r="N7698">
        <f>IF(D7698="", "Gap - No Legal Basis", IF(AND(D7698="Consent (GDPR Art. 6(1)(a))", I7698="Not Captured"), "Gap - Invalid Consent", IF(AND(D7698="Legitimate Interest (GDPR Art. 6(1)(f))", L7698=""), "Gap - Missing LIA", IF(AND(G7698="Yes", H7698=""), "Gap - Missing Art. 9 Basis", IF(OR(I7698="Invalid - Not Freely Given", I7698="Invalid - Not Specific", I7698="Invalid - Not Informed", I7698="Invalid - Ambiguous"), "Gap - Invalid Consent", "Compliant")))))</f>
        <v/>
      </c>
      <c r="O7698" s="7" t="n"/>
    </row>
    <row r="7699">
      <c r="A7699" s="7" t="n"/>
      <c r="B7699" s="7" t="n"/>
      <c r="C7699" s="7" t="n"/>
      <c r="D7699" s="7" t="n"/>
      <c r="E7699" s="7" t="n"/>
      <c r="F7699" s="7" t="n"/>
      <c r="G7699" s="7" t="n"/>
      <c r="H7699" s="7" t="n"/>
      <c r="I7699" s="7" t="n"/>
      <c r="J7699" s="7" t="n"/>
      <c r="K7699">
        <f>IF(D7699="Legitimate Interest (GDPR Art. 6(1)(f))", "Yes / Required (Sheet 3)", "")</f>
        <v/>
      </c>
      <c r="L7699" s="7" t="n"/>
      <c r="M7699" s="7" t="n"/>
      <c r="N7699">
        <f>IF(D7699="", "Gap - No Legal Basis", IF(AND(D7699="Consent (GDPR Art. 6(1)(a))", I7699="Not Captured"), "Gap - Invalid Consent", IF(AND(D7699="Legitimate Interest (GDPR Art. 6(1)(f))", L7699=""), "Gap - Missing LIA", IF(AND(G7699="Yes", H7699=""), "Gap - Missing Art. 9 Basis", IF(OR(I7699="Invalid - Not Freely Given", I7699="Invalid - Not Specific", I7699="Invalid - Not Informed", I7699="Invalid - Ambiguous"), "Gap - Invalid Consent", "Compliant")))))</f>
        <v/>
      </c>
      <c r="O7699" s="7" t="n"/>
    </row>
    <row r="7700">
      <c r="A7700" s="7" t="n"/>
      <c r="B7700" s="7" t="n"/>
      <c r="C7700" s="7" t="n"/>
      <c r="D7700" s="7" t="n"/>
      <c r="E7700" s="7" t="n"/>
      <c r="F7700" s="7" t="n"/>
      <c r="G7700" s="7" t="n"/>
      <c r="H7700" s="7" t="n"/>
      <c r="I7700" s="7" t="n"/>
      <c r="J7700" s="7" t="n"/>
      <c r="K7700">
        <f>IF(D7700="Legitimate Interest (GDPR Art. 6(1)(f))", "Yes / Required (Sheet 3)", "")</f>
        <v/>
      </c>
      <c r="L7700" s="7" t="n"/>
      <c r="M7700" s="7" t="n"/>
      <c r="N7700">
        <f>IF(D7700="", "Gap - No Legal Basis", IF(AND(D7700="Consent (GDPR Art. 6(1)(a))", I7700="Not Captured"), "Gap - Invalid Consent", IF(AND(D7700="Legitimate Interest (GDPR Art. 6(1)(f))", L7700=""), "Gap - Missing LIA", IF(AND(G7700="Yes", H7700=""), "Gap - Missing Art. 9 Basis", IF(OR(I7700="Invalid - Not Freely Given", I7700="Invalid - Not Specific", I7700="Invalid - Not Informed", I7700="Invalid - Ambiguous"), "Gap - Invalid Consent", "Compliant")))))</f>
        <v/>
      </c>
      <c r="O7700" s="7" t="n"/>
    </row>
    <row r="7701">
      <c r="A7701" s="7" t="n"/>
      <c r="B7701" s="7" t="n"/>
      <c r="C7701" s="7" t="n"/>
      <c r="D7701" s="7" t="n"/>
      <c r="E7701" s="7" t="n"/>
      <c r="F7701" s="7" t="n"/>
      <c r="G7701" s="7" t="n"/>
      <c r="H7701" s="7" t="n"/>
      <c r="I7701" s="7" t="n"/>
      <c r="J7701" s="7" t="n"/>
      <c r="K7701">
        <f>IF(D7701="Legitimate Interest (GDPR Art. 6(1)(f))", "Yes / Required (Sheet 3)", "")</f>
        <v/>
      </c>
      <c r="L7701" s="7" t="n"/>
      <c r="M7701" s="7" t="n"/>
      <c r="N7701">
        <f>IF(D7701="", "Gap - No Legal Basis", IF(AND(D7701="Consent (GDPR Art. 6(1)(a))", I7701="Not Captured"), "Gap - Invalid Consent", IF(AND(D7701="Legitimate Interest (GDPR Art. 6(1)(f))", L7701=""), "Gap - Missing LIA", IF(AND(G7701="Yes", H7701=""), "Gap - Missing Art. 9 Basis", IF(OR(I7701="Invalid - Not Freely Given", I7701="Invalid - Not Specific", I7701="Invalid - Not Informed", I7701="Invalid - Ambiguous"), "Gap - Invalid Consent", "Compliant")))))</f>
        <v/>
      </c>
      <c r="O7701" s="7" t="n"/>
    </row>
    <row r="7702">
      <c r="A7702" s="7" t="n"/>
      <c r="B7702" s="7" t="n"/>
      <c r="C7702" s="7" t="n"/>
      <c r="D7702" s="7" t="n"/>
      <c r="E7702" s="7" t="n"/>
      <c r="F7702" s="7" t="n"/>
      <c r="G7702" s="7" t="n"/>
      <c r="H7702" s="7" t="n"/>
      <c r="I7702" s="7" t="n"/>
      <c r="J7702" s="7" t="n"/>
      <c r="K7702">
        <f>IF(D7702="Legitimate Interest (GDPR Art. 6(1)(f))", "Yes / Required (Sheet 3)", "")</f>
        <v/>
      </c>
      <c r="L7702" s="7" t="n"/>
      <c r="M7702" s="7" t="n"/>
      <c r="N7702">
        <f>IF(D7702="", "Gap - No Legal Basis", IF(AND(D7702="Consent (GDPR Art. 6(1)(a))", I7702="Not Captured"), "Gap - Invalid Consent", IF(AND(D7702="Legitimate Interest (GDPR Art. 6(1)(f))", L7702=""), "Gap - Missing LIA", IF(AND(G7702="Yes", H7702=""), "Gap - Missing Art. 9 Basis", IF(OR(I7702="Invalid - Not Freely Given", I7702="Invalid - Not Specific", I7702="Invalid - Not Informed", I7702="Invalid - Ambiguous"), "Gap - Invalid Consent", "Compliant")))))</f>
        <v/>
      </c>
      <c r="O7702" s="7" t="n"/>
    </row>
    <row r="7703">
      <c r="A7703" s="7" t="n"/>
      <c r="B7703" s="7" t="n"/>
      <c r="C7703" s="7" t="n"/>
      <c r="D7703" s="7" t="n"/>
      <c r="E7703" s="7" t="n"/>
      <c r="F7703" s="7" t="n"/>
      <c r="G7703" s="7" t="n"/>
      <c r="H7703" s="7" t="n"/>
      <c r="I7703" s="7" t="n"/>
      <c r="J7703" s="7" t="n"/>
      <c r="K7703">
        <f>IF(D7703="Legitimate Interest (GDPR Art. 6(1)(f))", "Yes / Required (Sheet 3)", "")</f>
        <v/>
      </c>
      <c r="L7703" s="7" t="n"/>
      <c r="M7703" s="7" t="n"/>
      <c r="N7703">
        <f>IF(D7703="", "Gap - No Legal Basis", IF(AND(D7703="Consent (GDPR Art. 6(1)(a))", I7703="Not Captured"), "Gap - Invalid Consent", IF(AND(D7703="Legitimate Interest (GDPR Art. 6(1)(f))", L7703=""), "Gap - Missing LIA", IF(AND(G7703="Yes", H7703=""), "Gap - Missing Art. 9 Basis", IF(OR(I7703="Invalid - Not Freely Given", I7703="Invalid - Not Specific", I7703="Invalid - Not Informed", I7703="Invalid - Ambiguous"), "Gap - Invalid Consent", "Compliant")))))</f>
        <v/>
      </c>
      <c r="O7703" s="7" t="n"/>
    </row>
    <row r="7704">
      <c r="A7704" s="7" t="n"/>
      <c r="B7704" s="7" t="n"/>
      <c r="C7704" s="7" t="n"/>
      <c r="D7704" s="7" t="n"/>
      <c r="E7704" s="7" t="n"/>
      <c r="F7704" s="7" t="n"/>
      <c r="G7704" s="7" t="n"/>
      <c r="H7704" s="7" t="n"/>
      <c r="I7704" s="7" t="n"/>
      <c r="J7704" s="7" t="n"/>
      <c r="K7704">
        <f>IF(D7704="Legitimate Interest (GDPR Art. 6(1)(f))", "Yes / Required (Sheet 3)", "")</f>
        <v/>
      </c>
      <c r="L7704" s="7" t="n"/>
      <c r="M7704" s="7" t="n"/>
      <c r="N7704">
        <f>IF(D7704="", "Gap - No Legal Basis", IF(AND(D7704="Consent (GDPR Art. 6(1)(a))", I7704="Not Captured"), "Gap - Invalid Consent", IF(AND(D7704="Legitimate Interest (GDPR Art. 6(1)(f))", L7704=""), "Gap - Missing LIA", IF(AND(G7704="Yes", H7704=""), "Gap - Missing Art. 9 Basis", IF(OR(I7704="Invalid - Not Freely Given", I7704="Invalid - Not Specific", I7704="Invalid - Not Informed", I7704="Invalid - Ambiguous"), "Gap - Invalid Consent", "Compliant")))))</f>
        <v/>
      </c>
      <c r="O7704" s="7" t="n"/>
    </row>
    <row r="7705">
      <c r="A7705" s="7" t="n"/>
      <c r="B7705" s="7" t="n"/>
      <c r="C7705" s="7" t="n"/>
      <c r="D7705" s="7" t="n"/>
      <c r="E7705" s="7" t="n"/>
      <c r="F7705" s="7" t="n"/>
      <c r="G7705" s="7" t="n"/>
      <c r="H7705" s="7" t="n"/>
      <c r="I7705" s="7" t="n"/>
      <c r="J7705" s="7" t="n"/>
      <c r="K7705">
        <f>IF(D7705="Legitimate Interest (GDPR Art. 6(1)(f))", "Yes / Required (Sheet 3)", "")</f>
        <v/>
      </c>
      <c r="L7705" s="7" t="n"/>
      <c r="M7705" s="7" t="n"/>
      <c r="N7705">
        <f>IF(D7705="", "Gap - No Legal Basis", IF(AND(D7705="Consent (GDPR Art. 6(1)(a))", I7705="Not Captured"), "Gap - Invalid Consent", IF(AND(D7705="Legitimate Interest (GDPR Art. 6(1)(f))", L7705=""), "Gap - Missing LIA", IF(AND(G7705="Yes", H7705=""), "Gap - Missing Art. 9 Basis", IF(OR(I7705="Invalid - Not Freely Given", I7705="Invalid - Not Specific", I7705="Invalid - Not Informed", I7705="Invalid - Ambiguous"), "Gap - Invalid Consent", "Compliant")))))</f>
        <v/>
      </c>
      <c r="O7705" s="7" t="n"/>
    </row>
    <row r="7706">
      <c r="A7706" s="7" t="n"/>
      <c r="B7706" s="7" t="n"/>
      <c r="C7706" s="7" t="n"/>
      <c r="D7706" s="7" t="n"/>
      <c r="E7706" s="7" t="n"/>
      <c r="F7706" s="7" t="n"/>
      <c r="G7706" s="7" t="n"/>
      <c r="H7706" s="7" t="n"/>
      <c r="I7706" s="7" t="n"/>
      <c r="J7706" s="7" t="n"/>
      <c r="K7706">
        <f>IF(D7706="Legitimate Interest (GDPR Art. 6(1)(f))", "Yes / Required (Sheet 3)", "")</f>
        <v/>
      </c>
      <c r="L7706" s="7" t="n"/>
      <c r="M7706" s="7" t="n"/>
      <c r="N7706">
        <f>IF(D7706="", "Gap - No Legal Basis", IF(AND(D7706="Consent (GDPR Art. 6(1)(a))", I7706="Not Captured"), "Gap - Invalid Consent", IF(AND(D7706="Legitimate Interest (GDPR Art. 6(1)(f))", L7706=""), "Gap - Missing LIA", IF(AND(G7706="Yes", H7706=""), "Gap - Missing Art. 9 Basis", IF(OR(I7706="Invalid - Not Freely Given", I7706="Invalid - Not Specific", I7706="Invalid - Not Informed", I7706="Invalid - Ambiguous"), "Gap - Invalid Consent", "Compliant")))))</f>
        <v/>
      </c>
      <c r="O7706" s="7" t="n"/>
    </row>
    <row r="7707">
      <c r="A7707" s="7" t="n"/>
      <c r="B7707" s="7" t="n"/>
      <c r="C7707" s="7" t="n"/>
      <c r="D7707" s="7" t="n"/>
      <c r="E7707" s="7" t="n"/>
      <c r="F7707" s="7" t="n"/>
      <c r="G7707" s="7" t="n"/>
      <c r="H7707" s="7" t="n"/>
      <c r="I7707" s="7" t="n"/>
      <c r="J7707" s="7" t="n"/>
      <c r="K7707">
        <f>IF(D7707="Legitimate Interest (GDPR Art. 6(1)(f))", "Yes / Required (Sheet 3)", "")</f>
        <v/>
      </c>
      <c r="L7707" s="7" t="n"/>
      <c r="M7707" s="7" t="n"/>
      <c r="N7707">
        <f>IF(D7707="", "Gap - No Legal Basis", IF(AND(D7707="Consent (GDPR Art. 6(1)(a))", I7707="Not Captured"), "Gap - Invalid Consent", IF(AND(D7707="Legitimate Interest (GDPR Art. 6(1)(f))", L7707=""), "Gap - Missing LIA", IF(AND(G7707="Yes", H7707=""), "Gap - Missing Art. 9 Basis", IF(OR(I7707="Invalid - Not Freely Given", I7707="Invalid - Not Specific", I7707="Invalid - Not Informed", I7707="Invalid - Ambiguous"), "Gap - Invalid Consent", "Compliant")))))</f>
        <v/>
      </c>
      <c r="O7707" s="7" t="n"/>
    </row>
    <row r="7708">
      <c r="A7708" s="7" t="n"/>
      <c r="B7708" s="7" t="n"/>
      <c r="C7708" s="7" t="n"/>
      <c r="D7708" s="7" t="n"/>
      <c r="E7708" s="7" t="n"/>
      <c r="F7708" s="7" t="n"/>
      <c r="G7708" s="7" t="n"/>
      <c r="H7708" s="7" t="n"/>
      <c r="I7708" s="7" t="n"/>
      <c r="J7708" s="7" t="n"/>
      <c r="K7708">
        <f>IF(D7708="Legitimate Interest (GDPR Art. 6(1)(f))", "Yes / Required (Sheet 3)", "")</f>
        <v/>
      </c>
      <c r="L7708" s="7" t="n"/>
      <c r="M7708" s="7" t="n"/>
      <c r="N7708">
        <f>IF(D7708="", "Gap - No Legal Basis", IF(AND(D7708="Consent (GDPR Art. 6(1)(a))", I7708="Not Captured"), "Gap - Invalid Consent", IF(AND(D7708="Legitimate Interest (GDPR Art. 6(1)(f))", L7708=""), "Gap - Missing LIA", IF(AND(G7708="Yes", H7708=""), "Gap - Missing Art. 9 Basis", IF(OR(I7708="Invalid - Not Freely Given", I7708="Invalid - Not Specific", I7708="Invalid - Not Informed", I7708="Invalid - Ambiguous"), "Gap - Invalid Consent", "Compliant")))))</f>
        <v/>
      </c>
      <c r="O7708" s="7" t="n"/>
    </row>
    <row r="7709">
      <c r="A7709" s="7" t="n"/>
      <c r="B7709" s="7" t="n"/>
      <c r="C7709" s="7" t="n"/>
      <c r="D7709" s="7" t="n"/>
      <c r="E7709" s="7" t="n"/>
      <c r="F7709" s="7" t="n"/>
      <c r="G7709" s="7" t="n"/>
      <c r="H7709" s="7" t="n"/>
      <c r="I7709" s="7" t="n"/>
      <c r="J7709" s="7" t="n"/>
      <c r="K7709">
        <f>IF(D7709="Legitimate Interest (GDPR Art. 6(1)(f))", "Yes / Required (Sheet 3)", "")</f>
        <v/>
      </c>
      <c r="L7709" s="7" t="n"/>
      <c r="M7709" s="7" t="n"/>
      <c r="N7709">
        <f>IF(D7709="", "Gap - No Legal Basis", IF(AND(D7709="Consent (GDPR Art. 6(1)(a))", I7709="Not Captured"), "Gap - Invalid Consent", IF(AND(D7709="Legitimate Interest (GDPR Art. 6(1)(f))", L7709=""), "Gap - Missing LIA", IF(AND(G7709="Yes", H7709=""), "Gap - Missing Art. 9 Basis", IF(OR(I7709="Invalid - Not Freely Given", I7709="Invalid - Not Specific", I7709="Invalid - Not Informed", I7709="Invalid - Ambiguous"), "Gap - Invalid Consent", "Compliant")))))</f>
        <v/>
      </c>
      <c r="O7709" s="7" t="n"/>
    </row>
    <row r="7710">
      <c r="A7710" s="7" t="n"/>
      <c r="B7710" s="7" t="n"/>
      <c r="C7710" s="7" t="n"/>
      <c r="D7710" s="7" t="n"/>
      <c r="E7710" s="7" t="n"/>
      <c r="F7710" s="7" t="n"/>
      <c r="G7710" s="7" t="n"/>
      <c r="H7710" s="7" t="n"/>
      <c r="I7710" s="7" t="n"/>
      <c r="J7710" s="7" t="n"/>
      <c r="K7710">
        <f>IF(D7710="Legitimate Interest (GDPR Art. 6(1)(f))", "Yes / Required (Sheet 3)", "")</f>
        <v/>
      </c>
      <c r="L7710" s="7" t="n"/>
      <c r="M7710" s="7" t="n"/>
      <c r="N7710">
        <f>IF(D7710="", "Gap - No Legal Basis", IF(AND(D7710="Consent (GDPR Art. 6(1)(a))", I7710="Not Captured"), "Gap - Invalid Consent", IF(AND(D7710="Legitimate Interest (GDPR Art. 6(1)(f))", L7710=""), "Gap - Missing LIA", IF(AND(G7710="Yes", H7710=""), "Gap - Missing Art. 9 Basis", IF(OR(I7710="Invalid - Not Freely Given", I7710="Invalid - Not Specific", I7710="Invalid - Not Informed", I7710="Invalid - Ambiguous"), "Gap - Invalid Consent", "Compliant")))))</f>
        <v/>
      </c>
      <c r="O7710" s="7" t="n"/>
    </row>
    <row r="7711">
      <c r="A7711" s="7" t="n"/>
      <c r="B7711" s="7" t="n"/>
      <c r="C7711" s="7" t="n"/>
      <c r="D7711" s="7" t="n"/>
      <c r="E7711" s="7" t="n"/>
      <c r="F7711" s="7" t="n"/>
      <c r="G7711" s="7" t="n"/>
      <c r="H7711" s="7" t="n"/>
      <c r="I7711" s="7" t="n"/>
      <c r="J7711" s="7" t="n"/>
      <c r="K7711">
        <f>IF(D7711="Legitimate Interest (GDPR Art. 6(1)(f))", "Yes / Required (Sheet 3)", "")</f>
        <v/>
      </c>
      <c r="L7711" s="7" t="n"/>
      <c r="M7711" s="7" t="n"/>
      <c r="N7711">
        <f>IF(D7711="", "Gap - No Legal Basis", IF(AND(D7711="Consent (GDPR Art. 6(1)(a))", I7711="Not Captured"), "Gap - Invalid Consent", IF(AND(D7711="Legitimate Interest (GDPR Art. 6(1)(f))", L7711=""), "Gap - Missing LIA", IF(AND(G7711="Yes", H7711=""), "Gap - Missing Art. 9 Basis", IF(OR(I7711="Invalid - Not Freely Given", I7711="Invalid - Not Specific", I7711="Invalid - Not Informed", I7711="Invalid - Ambiguous"), "Gap - Invalid Consent", "Compliant")))))</f>
        <v/>
      </c>
      <c r="O7711" s="7" t="n"/>
    </row>
    <row r="7712">
      <c r="A7712" s="7" t="n"/>
      <c r="B7712" s="7" t="n"/>
      <c r="C7712" s="7" t="n"/>
      <c r="D7712" s="7" t="n"/>
      <c r="E7712" s="7" t="n"/>
      <c r="F7712" s="7" t="n"/>
      <c r="G7712" s="7" t="n"/>
      <c r="H7712" s="7" t="n"/>
      <c r="I7712" s="7" t="n"/>
      <c r="J7712" s="7" t="n"/>
      <c r="K7712">
        <f>IF(D7712="Legitimate Interest (GDPR Art. 6(1)(f))", "Yes / Required (Sheet 3)", "")</f>
        <v/>
      </c>
      <c r="L7712" s="7" t="n"/>
      <c r="M7712" s="7" t="n"/>
      <c r="N7712">
        <f>IF(D7712="", "Gap - No Legal Basis", IF(AND(D7712="Consent (GDPR Art. 6(1)(a))", I7712="Not Captured"), "Gap - Invalid Consent", IF(AND(D7712="Legitimate Interest (GDPR Art. 6(1)(f))", L7712=""), "Gap - Missing LIA", IF(AND(G7712="Yes", H7712=""), "Gap - Missing Art. 9 Basis", IF(OR(I7712="Invalid - Not Freely Given", I7712="Invalid - Not Specific", I7712="Invalid - Not Informed", I7712="Invalid - Ambiguous"), "Gap - Invalid Consent", "Compliant")))))</f>
        <v/>
      </c>
      <c r="O7712" s="7" t="n"/>
    </row>
    <row r="7713">
      <c r="A7713" s="7" t="n"/>
      <c r="B7713" s="7" t="n"/>
      <c r="C7713" s="7" t="n"/>
      <c r="D7713" s="7" t="n"/>
      <c r="E7713" s="7" t="n"/>
      <c r="F7713" s="7" t="n"/>
      <c r="G7713" s="7" t="n"/>
      <c r="H7713" s="7" t="n"/>
      <c r="I7713" s="7" t="n"/>
      <c r="J7713" s="7" t="n"/>
      <c r="K7713">
        <f>IF(D7713="Legitimate Interest (GDPR Art. 6(1)(f))", "Yes / Required (Sheet 3)", "")</f>
        <v/>
      </c>
      <c r="L7713" s="7" t="n"/>
      <c r="M7713" s="7" t="n"/>
      <c r="N7713">
        <f>IF(D7713="", "Gap - No Legal Basis", IF(AND(D7713="Consent (GDPR Art. 6(1)(a))", I7713="Not Captured"), "Gap - Invalid Consent", IF(AND(D7713="Legitimate Interest (GDPR Art. 6(1)(f))", L7713=""), "Gap - Missing LIA", IF(AND(G7713="Yes", H7713=""), "Gap - Missing Art. 9 Basis", IF(OR(I7713="Invalid - Not Freely Given", I7713="Invalid - Not Specific", I7713="Invalid - Not Informed", I7713="Invalid - Ambiguous"), "Gap - Invalid Consent", "Compliant")))))</f>
        <v/>
      </c>
      <c r="O7713" s="7" t="n"/>
    </row>
    <row r="7714">
      <c r="A7714" s="7" t="n"/>
      <c r="B7714" s="7" t="n"/>
      <c r="C7714" s="7" t="n"/>
      <c r="D7714" s="7" t="n"/>
      <c r="E7714" s="7" t="n"/>
      <c r="F7714" s="7" t="n"/>
      <c r="G7714" s="7" t="n"/>
      <c r="H7714" s="7" t="n"/>
      <c r="I7714" s="7" t="n"/>
      <c r="J7714" s="7" t="n"/>
      <c r="K7714">
        <f>IF(D7714="Legitimate Interest (GDPR Art. 6(1)(f))", "Yes / Required (Sheet 3)", "")</f>
        <v/>
      </c>
      <c r="L7714" s="7" t="n"/>
      <c r="M7714" s="7" t="n"/>
      <c r="N7714">
        <f>IF(D7714="", "Gap - No Legal Basis", IF(AND(D7714="Consent (GDPR Art. 6(1)(a))", I7714="Not Captured"), "Gap - Invalid Consent", IF(AND(D7714="Legitimate Interest (GDPR Art. 6(1)(f))", L7714=""), "Gap - Missing LIA", IF(AND(G7714="Yes", H7714=""), "Gap - Missing Art. 9 Basis", IF(OR(I7714="Invalid - Not Freely Given", I7714="Invalid - Not Specific", I7714="Invalid - Not Informed", I7714="Invalid - Ambiguous"), "Gap - Invalid Consent", "Compliant")))))</f>
        <v/>
      </c>
      <c r="O7714" s="7" t="n"/>
    </row>
    <row r="7715">
      <c r="A7715" s="7" t="n"/>
      <c r="B7715" s="7" t="n"/>
      <c r="C7715" s="7" t="n"/>
      <c r="D7715" s="7" t="n"/>
      <c r="E7715" s="7" t="n"/>
      <c r="F7715" s="7" t="n"/>
      <c r="G7715" s="7" t="n"/>
      <c r="H7715" s="7" t="n"/>
      <c r="I7715" s="7" t="n"/>
      <c r="J7715" s="7" t="n"/>
      <c r="K7715">
        <f>IF(D7715="Legitimate Interest (GDPR Art. 6(1)(f))", "Yes / Required (Sheet 3)", "")</f>
        <v/>
      </c>
      <c r="L7715" s="7" t="n"/>
      <c r="M7715" s="7" t="n"/>
      <c r="N7715">
        <f>IF(D7715="", "Gap - No Legal Basis", IF(AND(D7715="Consent (GDPR Art. 6(1)(a))", I7715="Not Captured"), "Gap - Invalid Consent", IF(AND(D7715="Legitimate Interest (GDPR Art. 6(1)(f))", L7715=""), "Gap - Missing LIA", IF(AND(G7715="Yes", H7715=""), "Gap - Missing Art. 9 Basis", IF(OR(I7715="Invalid - Not Freely Given", I7715="Invalid - Not Specific", I7715="Invalid - Not Informed", I7715="Invalid - Ambiguous"), "Gap - Invalid Consent", "Compliant")))))</f>
        <v/>
      </c>
      <c r="O7715" s="7" t="n"/>
    </row>
    <row r="7716">
      <c r="A7716" s="7" t="n"/>
      <c r="B7716" s="7" t="n"/>
      <c r="C7716" s="7" t="n"/>
      <c r="D7716" s="7" t="n"/>
      <c r="E7716" s="7" t="n"/>
      <c r="F7716" s="7" t="n"/>
      <c r="G7716" s="7" t="n"/>
      <c r="H7716" s="7" t="n"/>
      <c r="I7716" s="7" t="n"/>
      <c r="J7716" s="7" t="n"/>
      <c r="K7716">
        <f>IF(D7716="Legitimate Interest (GDPR Art. 6(1)(f))", "Yes / Required (Sheet 3)", "")</f>
        <v/>
      </c>
      <c r="L7716" s="7" t="n"/>
      <c r="M7716" s="7" t="n"/>
      <c r="N7716">
        <f>IF(D7716="", "Gap - No Legal Basis", IF(AND(D7716="Consent (GDPR Art. 6(1)(a))", I7716="Not Captured"), "Gap - Invalid Consent", IF(AND(D7716="Legitimate Interest (GDPR Art. 6(1)(f))", L7716=""), "Gap - Missing LIA", IF(AND(G7716="Yes", H7716=""), "Gap - Missing Art. 9 Basis", IF(OR(I7716="Invalid - Not Freely Given", I7716="Invalid - Not Specific", I7716="Invalid - Not Informed", I7716="Invalid - Ambiguous"), "Gap - Invalid Consent", "Compliant")))))</f>
        <v/>
      </c>
      <c r="O7716" s="7" t="n"/>
    </row>
    <row r="7717">
      <c r="A7717" s="7" t="n"/>
      <c r="B7717" s="7" t="n"/>
      <c r="C7717" s="7" t="n"/>
      <c r="D7717" s="7" t="n"/>
      <c r="E7717" s="7" t="n"/>
      <c r="F7717" s="7" t="n"/>
      <c r="G7717" s="7" t="n"/>
      <c r="H7717" s="7" t="n"/>
      <c r="I7717" s="7" t="n"/>
      <c r="J7717" s="7" t="n"/>
      <c r="K7717">
        <f>IF(D7717="Legitimate Interest (GDPR Art. 6(1)(f))", "Yes / Required (Sheet 3)", "")</f>
        <v/>
      </c>
      <c r="L7717" s="7" t="n"/>
      <c r="M7717" s="7" t="n"/>
      <c r="N7717">
        <f>IF(D7717="", "Gap - No Legal Basis", IF(AND(D7717="Consent (GDPR Art. 6(1)(a))", I7717="Not Captured"), "Gap - Invalid Consent", IF(AND(D7717="Legitimate Interest (GDPR Art. 6(1)(f))", L7717=""), "Gap - Missing LIA", IF(AND(G7717="Yes", H7717=""), "Gap - Missing Art. 9 Basis", IF(OR(I7717="Invalid - Not Freely Given", I7717="Invalid - Not Specific", I7717="Invalid - Not Informed", I7717="Invalid - Ambiguous"), "Gap - Invalid Consent", "Compliant")))))</f>
        <v/>
      </c>
      <c r="O7717" s="7" t="n"/>
    </row>
    <row r="7718">
      <c r="A7718" s="7" t="n"/>
      <c r="B7718" s="7" t="n"/>
      <c r="C7718" s="7" t="n"/>
      <c r="D7718" s="7" t="n"/>
      <c r="E7718" s="7" t="n"/>
      <c r="F7718" s="7" t="n"/>
      <c r="G7718" s="7" t="n"/>
      <c r="H7718" s="7" t="n"/>
      <c r="I7718" s="7" t="n"/>
      <c r="J7718" s="7" t="n"/>
      <c r="K7718">
        <f>IF(D7718="Legitimate Interest (GDPR Art. 6(1)(f))", "Yes / Required (Sheet 3)", "")</f>
        <v/>
      </c>
      <c r="L7718" s="7" t="n"/>
      <c r="M7718" s="7" t="n"/>
      <c r="N7718">
        <f>IF(D7718="", "Gap - No Legal Basis", IF(AND(D7718="Consent (GDPR Art. 6(1)(a))", I7718="Not Captured"), "Gap - Invalid Consent", IF(AND(D7718="Legitimate Interest (GDPR Art. 6(1)(f))", L7718=""), "Gap - Missing LIA", IF(AND(G7718="Yes", H7718=""), "Gap - Missing Art. 9 Basis", IF(OR(I7718="Invalid - Not Freely Given", I7718="Invalid - Not Specific", I7718="Invalid - Not Informed", I7718="Invalid - Ambiguous"), "Gap - Invalid Consent", "Compliant")))))</f>
        <v/>
      </c>
      <c r="O7718" s="7" t="n"/>
    </row>
    <row r="7719">
      <c r="A7719" s="7" t="n"/>
      <c r="B7719" s="7" t="n"/>
      <c r="C7719" s="7" t="n"/>
      <c r="D7719" s="7" t="n"/>
      <c r="E7719" s="7" t="n"/>
      <c r="F7719" s="7" t="n"/>
      <c r="G7719" s="7" t="n"/>
      <c r="H7719" s="7" t="n"/>
      <c r="I7719" s="7" t="n"/>
      <c r="J7719" s="7" t="n"/>
      <c r="K7719">
        <f>IF(D7719="Legitimate Interest (GDPR Art. 6(1)(f))", "Yes / Required (Sheet 3)", "")</f>
        <v/>
      </c>
      <c r="L7719" s="7" t="n"/>
      <c r="M7719" s="7" t="n"/>
      <c r="N7719">
        <f>IF(D7719="", "Gap - No Legal Basis", IF(AND(D7719="Consent (GDPR Art. 6(1)(a))", I7719="Not Captured"), "Gap - Invalid Consent", IF(AND(D7719="Legitimate Interest (GDPR Art. 6(1)(f))", L7719=""), "Gap - Missing LIA", IF(AND(G7719="Yes", H7719=""), "Gap - Missing Art. 9 Basis", IF(OR(I7719="Invalid - Not Freely Given", I7719="Invalid - Not Specific", I7719="Invalid - Not Informed", I7719="Invalid - Ambiguous"), "Gap - Invalid Consent", "Compliant")))))</f>
        <v/>
      </c>
      <c r="O7719" s="7" t="n"/>
    </row>
    <row r="7720">
      <c r="A7720" s="7" t="n"/>
      <c r="B7720" s="7" t="n"/>
      <c r="C7720" s="7" t="n"/>
      <c r="D7720" s="7" t="n"/>
      <c r="E7720" s="7" t="n"/>
      <c r="F7720" s="7" t="n"/>
      <c r="G7720" s="7" t="n"/>
      <c r="H7720" s="7" t="n"/>
      <c r="I7720" s="7" t="n"/>
      <c r="J7720" s="7" t="n"/>
      <c r="K7720">
        <f>IF(D7720="Legitimate Interest (GDPR Art. 6(1)(f))", "Yes / Required (Sheet 3)", "")</f>
        <v/>
      </c>
      <c r="L7720" s="7" t="n"/>
      <c r="M7720" s="7" t="n"/>
      <c r="N7720">
        <f>IF(D7720="", "Gap - No Legal Basis", IF(AND(D7720="Consent (GDPR Art. 6(1)(a))", I7720="Not Captured"), "Gap - Invalid Consent", IF(AND(D7720="Legitimate Interest (GDPR Art. 6(1)(f))", L7720=""), "Gap - Missing LIA", IF(AND(G7720="Yes", H7720=""), "Gap - Missing Art. 9 Basis", IF(OR(I7720="Invalid - Not Freely Given", I7720="Invalid - Not Specific", I7720="Invalid - Not Informed", I7720="Invalid - Ambiguous"), "Gap - Invalid Consent", "Compliant")))))</f>
        <v/>
      </c>
      <c r="O7720" s="7" t="n"/>
    </row>
    <row r="7721">
      <c r="A7721" s="7" t="n"/>
      <c r="B7721" s="7" t="n"/>
      <c r="C7721" s="7" t="n"/>
      <c r="D7721" s="7" t="n"/>
      <c r="E7721" s="7" t="n"/>
      <c r="F7721" s="7" t="n"/>
      <c r="G7721" s="7" t="n"/>
      <c r="H7721" s="7" t="n"/>
      <c r="I7721" s="7" t="n"/>
      <c r="J7721" s="7" t="n"/>
      <c r="K7721">
        <f>IF(D7721="Legitimate Interest (GDPR Art. 6(1)(f))", "Yes / Required (Sheet 3)", "")</f>
        <v/>
      </c>
      <c r="L7721" s="7" t="n"/>
      <c r="M7721" s="7" t="n"/>
      <c r="N7721">
        <f>IF(D7721="", "Gap - No Legal Basis", IF(AND(D7721="Consent (GDPR Art. 6(1)(a))", I7721="Not Captured"), "Gap - Invalid Consent", IF(AND(D7721="Legitimate Interest (GDPR Art. 6(1)(f))", L7721=""), "Gap - Missing LIA", IF(AND(G7721="Yes", H7721=""), "Gap - Missing Art. 9 Basis", IF(OR(I7721="Invalid - Not Freely Given", I7721="Invalid - Not Specific", I7721="Invalid - Not Informed", I7721="Invalid - Ambiguous"), "Gap - Invalid Consent", "Compliant")))))</f>
        <v/>
      </c>
      <c r="O7721" s="7" t="n"/>
    </row>
    <row r="7722">
      <c r="A7722" s="7" t="n"/>
      <c r="B7722" s="7" t="n"/>
      <c r="C7722" s="7" t="n"/>
      <c r="D7722" s="7" t="n"/>
      <c r="E7722" s="7" t="n"/>
      <c r="F7722" s="7" t="n"/>
      <c r="G7722" s="7" t="n"/>
      <c r="H7722" s="7" t="n"/>
      <c r="I7722" s="7" t="n"/>
      <c r="J7722" s="7" t="n"/>
      <c r="K7722">
        <f>IF(D7722="Legitimate Interest (GDPR Art. 6(1)(f))", "Yes / Required (Sheet 3)", "")</f>
        <v/>
      </c>
      <c r="L7722" s="7" t="n"/>
      <c r="M7722" s="7" t="n"/>
      <c r="N7722">
        <f>IF(D7722="", "Gap - No Legal Basis", IF(AND(D7722="Consent (GDPR Art. 6(1)(a))", I7722="Not Captured"), "Gap - Invalid Consent", IF(AND(D7722="Legitimate Interest (GDPR Art. 6(1)(f))", L7722=""), "Gap - Missing LIA", IF(AND(G7722="Yes", H7722=""), "Gap - Missing Art. 9 Basis", IF(OR(I7722="Invalid - Not Freely Given", I7722="Invalid - Not Specific", I7722="Invalid - Not Informed", I7722="Invalid - Ambiguous"), "Gap - Invalid Consent", "Compliant")))))</f>
        <v/>
      </c>
      <c r="O7722" s="7" t="n"/>
    </row>
    <row r="7723">
      <c r="A7723" s="7" t="n"/>
      <c r="B7723" s="7" t="n"/>
      <c r="C7723" s="7" t="n"/>
      <c r="D7723" s="7" t="n"/>
      <c r="E7723" s="7" t="n"/>
      <c r="F7723" s="7" t="n"/>
      <c r="G7723" s="7" t="n"/>
      <c r="H7723" s="7" t="n"/>
      <c r="I7723" s="7" t="n"/>
      <c r="J7723" s="7" t="n"/>
      <c r="K7723">
        <f>IF(D7723="Legitimate Interest (GDPR Art. 6(1)(f))", "Yes / Required (Sheet 3)", "")</f>
        <v/>
      </c>
      <c r="L7723" s="7" t="n"/>
      <c r="M7723" s="7" t="n"/>
      <c r="N7723">
        <f>IF(D7723="", "Gap - No Legal Basis", IF(AND(D7723="Consent (GDPR Art. 6(1)(a))", I7723="Not Captured"), "Gap - Invalid Consent", IF(AND(D7723="Legitimate Interest (GDPR Art. 6(1)(f))", L7723=""), "Gap - Missing LIA", IF(AND(G7723="Yes", H7723=""), "Gap - Missing Art. 9 Basis", IF(OR(I7723="Invalid - Not Freely Given", I7723="Invalid - Not Specific", I7723="Invalid - Not Informed", I7723="Invalid - Ambiguous"), "Gap - Invalid Consent", "Compliant")))))</f>
        <v/>
      </c>
      <c r="O7723" s="7" t="n"/>
    </row>
    <row r="7724">
      <c r="A7724" s="7" t="n"/>
      <c r="B7724" s="7" t="n"/>
      <c r="C7724" s="7" t="n"/>
      <c r="D7724" s="7" t="n"/>
      <c r="E7724" s="7" t="n"/>
      <c r="F7724" s="7" t="n"/>
      <c r="G7724" s="7" t="n"/>
      <c r="H7724" s="7" t="n"/>
      <c r="I7724" s="7" t="n"/>
      <c r="J7724" s="7" t="n"/>
      <c r="K7724">
        <f>IF(D7724="Legitimate Interest (GDPR Art. 6(1)(f))", "Yes / Required (Sheet 3)", "")</f>
        <v/>
      </c>
      <c r="L7724" s="7" t="n"/>
      <c r="M7724" s="7" t="n"/>
      <c r="N7724">
        <f>IF(D7724="", "Gap - No Legal Basis", IF(AND(D7724="Consent (GDPR Art. 6(1)(a))", I7724="Not Captured"), "Gap - Invalid Consent", IF(AND(D7724="Legitimate Interest (GDPR Art. 6(1)(f))", L7724=""), "Gap - Missing LIA", IF(AND(G7724="Yes", H7724=""), "Gap - Missing Art. 9 Basis", IF(OR(I7724="Invalid - Not Freely Given", I7724="Invalid - Not Specific", I7724="Invalid - Not Informed", I7724="Invalid - Ambiguous"), "Gap - Invalid Consent", "Compliant")))))</f>
        <v/>
      </c>
      <c r="O7724" s="7" t="n"/>
    </row>
    <row r="7725">
      <c r="A7725" s="7" t="n"/>
      <c r="B7725" s="7" t="n"/>
      <c r="C7725" s="7" t="n"/>
      <c r="D7725" s="7" t="n"/>
      <c r="E7725" s="7" t="n"/>
      <c r="F7725" s="7" t="n"/>
      <c r="G7725" s="7" t="n"/>
      <c r="H7725" s="7" t="n"/>
      <c r="I7725" s="7" t="n"/>
      <c r="J7725" s="7" t="n"/>
      <c r="K7725">
        <f>IF(D7725="Legitimate Interest (GDPR Art. 6(1)(f))", "Yes / Required (Sheet 3)", "")</f>
        <v/>
      </c>
      <c r="L7725" s="7" t="n"/>
      <c r="M7725" s="7" t="n"/>
      <c r="N7725">
        <f>IF(D7725="", "Gap - No Legal Basis", IF(AND(D7725="Consent (GDPR Art. 6(1)(a))", I7725="Not Captured"), "Gap - Invalid Consent", IF(AND(D7725="Legitimate Interest (GDPR Art. 6(1)(f))", L7725=""), "Gap - Missing LIA", IF(AND(G7725="Yes", H7725=""), "Gap - Missing Art. 9 Basis", IF(OR(I7725="Invalid - Not Freely Given", I7725="Invalid - Not Specific", I7725="Invalid - Not Informed", I7725="Invalid - Ambiguous"), "Gap - Invalid Consent", "Compliant")))))</f>
        <v/>
      </c>
      <c r="O7725" s="7" t="n"/>
    </row>
    <row r="7726">
      <c r="A7726" s="7" t="n"/>
      <c r="B7726" s="7" t="n"/>
      <c r="C7726" s="7" t="n"/>
      <c r="D7726" s="7" t="n"/>
      <c r="E7726" s="7" t="n"/>
      <c r="F7726" s="7" t="n"/>
      <c r="G7726" s="7" t="n"/>
      <c r="H7726" s="7" t="n"/>
      <c r="I7726" s="7" t="n"/>
      <c r="J7726" s="7" t="n"/>
      <c r="K7726">
        <f>IF(D7726="Legitimate Interest (GDPR Art. 6(1)(f))", "Yes / Required (Sheet 3)", "")</f>
        <v/>
      </c>
      <c r="L7726" s="7" t="n"/>
      <c r="M7726" s="7" t="n"/>
      <c r="N7726">
        <f>IF(D7726="", "Gap - No Legal Basis", IF(AND(D7726="Consent (GDPR Art. 6(1)(a))", I7726="Not Captured"), "Gap - Invalid Consent", IF(AND(D7726="Legitimate Interest (GDPR Art. 6(1)(f))", L7726=""), "Gap - Missing LIA", IF(AND(G7726="Yes", H7726=""), "Gap - Missing Art. 9 Basis", IF(OR(I7726="Invalid - Not Freely Given", I7726="Invalid - Not Specific", I7726="Invalid - Not Informed", I7726="Invalid - Ambiguous"), "Gap - Invalid Consent", "Compliant")))))</f>
        <v/>
      </c>
      <c r="O7726" s="7" t="n"/>
    </row>
    <row r="7727">
      <c r="A7727" s="7" t="n"/>
      <c r="B7727" s="7" t="n"/>
      <c r="C7727" s="7" t="n"/>
      <c r="D7727" s="7" t="n"/>
      <c r="E7727" s="7" t="n"/>
      <c r="F7727" s="7" t="n"/>
      <c r="G7727" s="7" t="n"/>
      <c r="H7727" s="7" t="n"/>
      <c r="I7727" s="7" t="n"/>
      <c r="J7727" s="7" t="n"/>
      <c r="K7727">
        <f>IF(D7727="Legitimate Interest (GDPR Art. 6(1)(f))", "Yes / Required (Sheet 3)", "")</f>
        <v/>
      </c>
      <c r="L7727" s="7" t="n"/>
      <c r="M7727" s="7" t="n"/>
      <c r="N7727">
        <f>IF(D7727="", "Gap - No Legal Basis", IF(AND(D7727="Consent (GDPR Art. 6(1)(a))", I7727="Not Captured"), "Gap - Invalid Consent", IF(AND(D7727="Legitimate Interest (GDPR Art. 6(1)(f))", L7727=""), "Gap - Missing LIA", IF(AND(G7727="Yes", H7727=""), "Gap - Missing Art. 9 Basis", IF(OR(I7727="Invalid - Not Freely Given", I7727="Invalid - Not Specific", I7727="Invalid - Not Informed", I7727="Invalid - Ambiguous"), "Gap - Invalid Consent", "Compliant")))))</f>
        <v/>
      </c>
      <c r="O7727" s="7" t="n"/>
    </row>
    <row r="7728">
      <c r="A7728" s="7" t="n"/>
      <c r="B7728" s="7" t="n"/>
      <c r="C7728" s="7" t="n"/>
      <c r="D7728" s="7" t="n"/>
      <c r="E7728" s="7" t="n"/>
      <c r="F7728" s="7" t="n"/>
      <c r="G7728" s="7" t="n"/>
      <c r="H7728" s="7" t="n"/>
      <c r="I7728" s="7" t="n"/>
      <c r="J7728" s="7" t="n"/>
      <c r="K7728">
        <f>IF(D7728="Legitimate Interest (GDPR Art. 6(1)(f))", "Yes / Required (Sheet 3)", "")</f>
        <v/>
      </c>
      <c r="L7728" s="7" t="n"/>
      <c r="M7728" s="7" t="n"/>
      <c r="N7728">
        <f>IF(D7728="", "Gap - No Legal Basis", IF(AND(D7728="Consent (GDPR Art. 6(1)(a))", I7728="Not Captured"), "Gap - Invalid Consent", IF(AND(D7728="Legitimate Interest (GDPR Art. 6(1)(f))", L7728=""), "Gap - Missing LIA", IF(AND(G7728="Yes", H7728=""), "Gap - Missing Art. 9 Basis", IF(OR(I7728="Invalid - Not Freely Given", I7728="Invalid - Not Specific", I7728="Invalid - Not Informed", I7728="Invalid - Ambiguous"), "Gap - Invalid Consent", "Compliant")))))</f>
        <v/>
      </c>
      <c r="O7728" s="7" t="n"/>
    </row>
    <row r="7729">
      <c r="A7729" s="7" t="n"/>
      <c r="B7729" s="7" t="n"/>
      <c r="C7729" s="7" t="n"/>
      <c r="D7729" s="7" t="n"/>
      <c r="E7729" s="7" t="n"/>
      <c r="F7729" s="7" t="n"/>
      <c r="G7729" s="7" t="n"/>
      <c r="H7729" s="7" t="n"/>
      <c r="I7729" s="7" t="n"/>
      <c r="J7729" s="7" t="n"/>
      <c r="K7729">
        <f>IF(D7729="Legitimate Interest (GDPR Art. 6(1)(f))", "Yes / Required (Sheet 3)", "")</f>
        <v/>
      </c>
      <c r="L7729" s="7" t="n"/>
      <c r="M7729" s="7" t="n"/>
      <c r="N7729">
        <f>IF(D7729="", "Gap - No Legal Basis", IF(AND(D7729="Consent (GDPR Art. 6(1)(a))", I7729="Not Captured"), "Gap - Invalid Consent", IF(AND(D7729="Legitimate Interest (GDPR Art. 6(1)(f))", L7729=""), "Gap - Missing LIA", IF(AND(G7729="Yes", H7729=""), "Gap - Missing Art. 9 Basis", IF(OR(I7729="Invalid - Not Freely Given", I7729="Invalid - Not Specific", I7729="Invalid - Not Informed", I7729="Invalid - Ambiguous"), "Gap - Invalid Consent", "Compliant")))))</f>
        <v/>
      </c>
      <c r="O7729" s="7" t="n"/>
    </row>
    <row r="7730">
      <c r="A7730" s="7" t="n"/>
      <c r="B7730" s="7" t="n"/>
      <c r="C7730" s="7" t="n"/>
      <c r="D7730" s="7" t="n"/>
      <c r="E7730" s="7" t="n"/>
      <c r="F7730" s="7" t="n"/>
      <c r="G7730" s="7" t="n"/>
      <c r="H7730" s="7" t="n"/>
      <c r="I7730" s="7" t="n"/>
      <c r="J7730" s="7" t="n"/>
      <c r="K7730">
        <f>IF(D7730="Legitimate Interest (GDPR Art. 6(1)(f))", "Yes / Required (Sheet 3)", "")</f>
        <v/>
      </c>
      <c r="L7730" s="7" t="n"/>
      <c r="M7730" s="7" t="n"/>
      <c r="N7730">
        <f>IF(D7730="", "Gap - No Legal Basis", IF(AND(D7730="Consent (GDPR Art. 6(1)(a))", I7730="Not Captured"), "Gap - Invalid Consent", IF(AND(D7730="Legitimate Interest (GDPR Art. 6(1)(f))", L7730=""), "Gap - Missing LIA", IF(AND(G7730="Yes", H7730=""), "Gap - Missing Art. 9 Basis", IF(OR(I7730="Invalid - Not Freely Given", I7730="Invalid - Not Specific", I7730="Invalid - Not Informed", I7730="Invalid - Ambiguous"), "Gap - Invalid Consent", "Compliant")))))</f>
        <v/>
      </c>
      <c r="O7730" s="7" t="n"/>
    </row>
    <row r="7731">
      <c r="A7731" s="7" t="n"/>
      <c r="B7731" s="7" t="n"/>
      <c r="C7731" s="7" t="n"/>
      <c r="D7731" s="7" t="n"/>
      <c r="E7731" s="7" t="n"/>
      <c r="F7731" s="7" t="n"/>
      <c r="G7731" s="7" t="n"/>
      <c r="H7731" s="7" t="n"/>
      <c r="I7731" s="7" t="n"/>
      <c r="J7731" s="7" t="n"/>
      <c r="K7731">
        <f>IF(D7731="Legitimate Interest (GDPR Art. 6(1)(f))", "Yes / Required (Sheet 3)", "")</f>
        <v/>
      </c>
      <c r="L7731" s="7" t="n"/>
      <c r="M7731" s="7" t="n"/>
      <c r="N7731">
        <f>IF(D7731="", "Gap - No Legal Basis", IF(AND(D7731="Consent (GDPR Art. 6(1)(a))", I7731="Not Captured"), "Gap - Invalid Consent", IF(AND(D7731="Legitimate Interest (GDPR Art. 6(1)(f))", L7731=""), "Gap - Missing LIA", IF(AND(G7731="Yes", H7731=""), "Gap - Missing Art. 9 Basis", IF(OR(I7731="Invalid - Not Freely Given", I7731="Invalid - Not Specific", I7731="Invalid - Not Informed", I7731="Invalid - Ambiguous"), "Gap - Invalid Consent", "Compliant")))))</f>
        <v/>
      </c>
      <c r="O7731" s="7" t="n"/>
    </row>
    <row r="7732">
      <c r="A7732" s="7" t="n"/>
      <c r="B7732" s="7" t="n"/>
      <c r="C7732" s="7" t="n"/>
      <c r="D7732" s="7" t="n"/>
      <c r="E7732" s="7" t="n"/>
      <c r="F7732" s="7" t="n"/>
      <c r="G7732" s="7" t="n"/>
      <c r="H7732" s="7" t="n"/>
      <c r="I7732" s="7" t="n"/>
      <c r="J7732" s="7" t="n"/>
      <c r="K7732">
        <f>IF(D7732="Legitimate Interest (GDPR Art. 6(1)(f))", "Yes / Required (Sheet 3)", "")</f>
        <v/>
      </c>
      <c r="L7732" s="7" t="n"/>
      <c r="M7732" s="7" t="n"/>
      <c r="N7732">
        <f>IF(D7732="", "Gap - No Legal Basis", IF(AND(D7732="Consent (GDPR Art. 6(1)(a))", I7732="Not Captured"), "Gap - Invalid Consent", IF(AND(D7732="Legitimate Interest (GDPR Art. 6(1)(f))", L7732=""), "Gap - Missing LIA", IF(AND(G7732="Yes", H7732=""), "Gap - Missing Art. 9 Basis", IF(OR(I7732="Invalid - Not Freely Given", I7732="Invalid - Not Specific", I7732="Invalid - Not Informed", I7732="Invalid - Ambiguous"), "Gap - Invalid Consent", "Compliant")))))</f>
        <v/>
      </c>
      <c r="O7732" s="7" t="n"/>
    </row>
    <row r="7733">
      <c r="A7733" s="7" t="n"/>
      <c r="B7733" s="7" t="n"/>
      <c r="C7733" s="7" t="n"/>
      <c r="D7733" s="7" t="n"/>
      <c r="E7733" s="7" t="n"/>
      <c r="F7733" s="7" t="n"/>
      <c r="G7733" s="7" t="n"/>
      <c r="H7733" s="7" t="n"/>
      <c r="I7733" s="7" t="n"/>
      <c r="J7733" s="7" t="n"/>
      <c r="K7733">
        <f>IF(D7733="Legitimate Interest (GDPR Art. 6(1)(f))", "Yes / Required (Sheet 3)", "")</f>
        <v/>
      </c>
      <c r="L7733" s="7" t="n"/>
      <c r="M7733" s="7" t="n"/>
      <c r="N7733">
        <f>IF(D7733="", "Gap - No Legal Basis", IF(AND(D7733="Consent (GDPR Art. 6(1)(a))", I7733="Not Captured"), "Gap - Invalid Consent", IF(AND(D7733="Legitimate Interest (GDPR Art. 6(1)(f))", L7733=""), "Gap - Missing LIA", IF(AND(G7733="Yes", H7733=""), "Gap - Missing Art. 9 Basis", IF(OR(I7733="Invalid - Not Freely Given", I7733="Invalid - Not Specific", I7733="Invalid - Not Informed", I7733="Invalid - Ambiguous"), "Gap - Invalid Consent", "Compliant")))))</f>
        <v/>
      </c>
      <c r="O7733" s="7" t="n"/>
    </row>
    <row r="7734">
      <c r="A7734" s="7" t="n"/>
      <c r="B7734" s="7" t="n"/>
      <c r="C7734" s="7" t="n"/>
      <c r="D7734" s="7" t="n"/>
      <c r="E7734" s="7" t="n"/>
      <c r="F7734" s="7" t="n"/>
      <c r="G7734" s="7" t="n"/>
      <c r="H7734" s="7" t="n"/>
      <c r="I7734" s="7" t="n"/>
      <c r="J7734" s="7" t="n"/>
      <c r="K7734">
        <f>IF(D7734="Legitimate Interest (GDPR Art. 6(1)(f))", "Yes / Required (Sheet 3)", "")</f>
        <v/>
      </c>
      <c r="L7734" s="7" t="n"/>
      <c r="M7734" s="7" t="n"/>
      <c r="N7734">
        <f>IF(D7734="", "Gap - No Legal Basis", IF(AND(D7734="Consent (GDPR Art. 6(1)(a))", I7734="Not Captured"), "Gap - Invalid Consent", IF(AND(D7734="Legitimate Interest (GDPR Art. 6(1)(f))", L7734=""), "Gap - Missing LIA", IF(AND(G7734="Yes", H7734=""), "Gap - Missing Art. 9 Basis", IF(OR(I7734="Invalid - Not Freely Given", I7734="Invalid - Not Specific", I7734="Invalid - Not Informed", I7734="Invalid - Ambiguous"), "Gap - Invalid Consent", "Compliant")))))</f>
        <v/>
      </c>
      <c r="O7734" s="7" t="n"/>
    </row>
    <row r="7735">
      <c r="A7735" s="7" t="n"/>
      <c r="B7735" s="7" t="n"/>
      <c r="C7735" s="7" t="n"/>
      <c r="D7735" s="7" t="n"/>
      <c r="E7735" s="7" t="n"/>
      <c r="F7735" s="7" t="n"/>
      <c r="G7735" s="7" t="n"/>
      <c r="H7735" s="7" t="n"/>
      <c r="I7735" s="7" t="n"/>
      <c r="J7735" s="7" t="n"/>
      <c r="K7735">
        <f>IF(D7735="Legitimate Interest (GDPR Art. 6(1)(f))", "Yes / Required (Sheet 3)", "")</f>
        <v/>
      </c>
      <c r="L7735" s="7" t="n"/>
      <c r="M7735" s="7" t="n"/>
      <c r="N7735">
        <f>IF(D7735="", "Gap - No Legal Basis", IF(AND(D7735="Consent (GDPR Art. 6(1)(a))", I7735="Not Captured"), "Gap - Invalid Consent", IF(AND(D7735="Legitimate Interest (GDPR Art. 6(1)(f))", L7735=""), "Gap - Missing LIA", IF(AND(G7735="Yes", H7735=""), "Gap - Missing Art. 9 Basis", IF(OR(I7735="Invalid - Not Freely Given", I7735="Invalid - Not Specific", I7735="Invalid - Not Informed", I7735="Invalid - Ambiguous"), "Gap - Invalid Consent", "Compliant")))))</f>
        <v/>
      </c>
      <c r="O7735" s="7" t="n"/>
    </row>
    <row r="7736">
      <c r="A7736" s="7" t="n"/>
      <c r="B7736" s="7" t="n"/>
      <c r="C7736" s="7" t="n"/>
      <c r="D7736" s="7" t="n"/>
      <c r="E7736" s="7" t="n"/>
      <c r="F7736" s="7" t="n"/>
      <c r="G7736" s="7" t="n"/>
      <c r="H7736" s="7" t="n"/>
      <c r="I7736" s="7" t="n"/>
      <c r="J7736" s="7" t="n"/>
      <c r="K7736">
        <f>IF(D7736="Legitimate Interest (GDPR Art. 6(1)(f))", "Yes / Required (Sheet 3)", "")</f>
        <v/>
      </c>
      <c r="L7736" s="7" t="n"/>
      <c r="M7736" s="7" t="n"/>
      <c r="N7736">
        <f>IF(D7736="", "Gap - No Legal Basis", IF(AND(D7736="Consent (GDPR Art. 6(1)(a))", I7736="Not Captured"), "Gap - Invalid Consent", IF(AND(D7736="Legitimate Interest (GDPR Art. 6(1)(f))", L7736=""), "Gap - Missing LIA", IF(AND(G7736="Yes", H7736=""), "Gap - Missing Art. 9 Basis", IF(OR(I7736="Invalid - Not Freely Given", I7736="Invalid - Not Specific", I7736="Invalid - Not Informed", I7736="Invalid - Ambiguous"), "Gap - Invalid Consent", "Compliant")))))</f>
        <v/>
      </c>
      <c r="O7736" s="7" t="n"/>
    </row>
    <row r="7737">
      <c r="A7737" s="7" t="n"/>
      <c r="B7737" s="7" t="n"/>
      <c r="C7737" s="7" t="n"/>
      <c r="D7737" s="7" t="n"/>
      <c r="E7737" s="7" t="n"/>
      <c r="F7737" s="7" t="n"/>
      <c r="G7737" s="7" t="n"/>
      <c r="H7737" s="7" t="n"/>
      <c r="I7737" s="7" t="n"/>
      <c r="J7737" s="7" t="n"/>
      <c r="K7737">
        <f>IF(D7737="Legitimate Interest (GDPR Art. 6(1)(f))", "Yes / Required (Sheet 3)", "")</f>
        <v/>
      </c>
      <c r="L7737" s="7" t="n"/>
      <c r="M7737" s="7" t="n"/>
      <c r="N7737">
        <f>IF(D7737="", "Gap - No Legal Basis", IF(AND(D7737="Consent (GDPR Art. 6(1)(a))", I7737="Not Captured"), "Gap - Invalid Consent", IF(AND(D7737="Legitimate Interest (GDPR Art. 6(1)(f))", L7737=""), "Gap - Missing LIA", IF(AND(G7737="Yes", H7737=""), "Gap - Missing Art. 9 Basis", IF(OR(I7737="Invalid - Not Freely Given", I7737="Invalid - Not Specific", I7737="Invalid - Not Informed", I7737="Invalid - Ambiguous"), "Gap - Invalid Consent", "Compliant")))))</f>
        <v/>
      </c>
      <c r="O7737" s="7" t="n"/>
    </row>
    <row r="7738">
      <c r="A7738" s="7" t="n"/>
      <c r="B7738" s="7" t="n"/>
      <c r="C7738" s="7" t="n"/>
      <c r="D7738" s="7" t="n"/>
      <c r="E7738" s="7" t="n"/>
      <c r="F7738" s="7" t="n"/>
      <c r="G7738" s="7" t="n"/>
      <c r="H7738" s="7" t="n"/>
      <c r="I7738" s="7" t="n"/>
      <c r="J7738" s="7" t="n"/>
      <c r="K7738">
        <f>IF(D7738="Legitimate Interest (GDPR Art. 6(1)(f))", "Yes / Required (Sheet 3)", "")</f>
        <v/>
      </c>
      <c r="L7738" s="7" t="n"/>
      <c r="M7738" s="7" t="n"/>
      <c r="N7738">
        <f>IF(D7738="", "Gap - No Legal Basis", IF(AND(D7738="Consent (GDPR Art. 6(1)(a))", I7738="Not Captured"), "Gap - Invalid Consent", IF(AND(D7738="Legitimate Interest (GDPR Art. 6(1)(f))", L7738=""), "Gap - Missing LIA", IF(AND(G7738="Yes", H7738=""), "Gap - Missing Art. 9 Basis", IF(OR(I7738="Invalid - Not Freely Given", I7738="Invalid - Not Specific", I7738="Invalid - Not Informed", I7738="Invalid - Ambiguous"), "Gap - Invalid Consent", "Compliant")))))</f>
        <v/>
      </c>
      <c r="O7738" s="7" t="n"/>
    </row>
    <row r="7739">
      <c r="A7739" s="7" t="n"/>
      <c r="B7739" s="7" t="n"/>
      <c r="C7739" s="7" t="n"/>
      <c r="D7739" s="7" t="n"/>
      <c r="E7739" s="7" t="n"/>
      <c r="F7739" s="7" t="n"/>
      <c r="G7739" s="7" t="n"/>
      <c r="H7739" s="7" t="n"/>
      <c r="I7739" s="7" t="n"/>
      <c r="J7739" s="7" t="n"/>
      <c r="K7739">
        <f>IF(D7739="Legitimate Interest (GDPR Art. 6(1)(f))", "Yes / Required (Sheet 3)", "")</f>
        <v/>
      </c>
      <c r="L7739" s="7" t="n"/>
      <c r="M7739" s="7" t="n"/>
      <c r="N7739">
        <f>IF(D7739="", "Gap - No Legal Basis", IF(AND(D7739="Consent (GDPR Art. 6(1)(a))", I7739="Not Captured"), "Gap - Invalid Consent", IF(AND(D7739="Legitimate Interest (GDPR Art. 6(1)(f))", L7739=""), "Gap - Missing LIA", IF(AND(G7739="Yes", H7739=""), "Gap - Missing Art. 9 Basis", IF(OR(I7739="Invalid - Not Freely Given", I7739="Invalid - Not Specific", I7739="Invalid - Not Informed", I7739="Invalid - Ambiguous"), "Gap - Invalid Consent", "Compliant")))))</f>
        <v/>
      </c>
      <c r="O7739" s="7" t="n"/>
    </row>
    <row r="7740">
      <c r="A7740" s="7" t="n"/>
      <c r="B7740" s="7" t="n"/>
      <c r="C7740" s="7" t="n"/>
      <c r="D7740" s="7" t="n"/>
      <c r="E7740" s="7" t="n"/>
      <c r="F7740" s="7" t="n"/>
      <c r="G7740" s="7" t="n"/>
      <c r="H7740" s="7" t="n"/>
      <c r="I7740" s="7" t="n"/>
      <c r="J7740" s="7" t="n"/>
      <c r="K7740">
        <f>IF(D7740="Legitimate Interest (GDPR Art. 6(1)(f))", "Yes / Required (Sheet 3)", "")</f>
        <v/>
      </c>
      <c r="L7740" s="7" t="n"/>
      <c r="M7740" s="7" t="n"/>
      <c r="N7740">
        <f>IF(D7740="", "Gap - No Legal Basis", IF(AND(D7740="Consent (GDPR Art. 6(1)(a))", I7740="Not Captured"), "Gap - Invalid Consent", IF(AND(D7740="Legitimate Interest (GDPR Art. 6(1)(f))", L7740=""), "Gap - Missing LIA", IF(AND(G7740="Yes", H7740=""), "Gap - Missing Art. 9 Basis", IF(OR(I7740="Invalid - Not Freely Given", I7740="Invalid - Not Specific", I7740="Invalid - Not Informed", I7740="Invalid - Ambiguous"), "Gap - Invalid Consent", "Compliant")))))</f>
        <v/>
      </c>
      <c r="O7740" s="7" t="n"/>
    </row>
    <row r="7741">
      <c r="A7741" s="7" t="n"/>
      <c r="B7741" s="7" t="n"/>
      <c r="C7741" s="7" t="n"/>
      <c r="D7741" s="7" t="n"/>
      <c r="E7741" s="7" t="n"/>
      <c r="F7741" s="7" t="n"/>
      <c r="G7741" s="7" t="n"/>
      <c r="H7741" s="7" t="n"/>
      <c r="I7741" s="7" t="n"/>
      <c r="J7741" s="7" t="n"/>
      <c r="K7741">
        <f>IF(D7741="Legitimate Interest (GDPR Art. 6(1)(f))", "Yes / Required (Sheet 3)", "")</f>
        <v/>
      </c>
      <c r="L7741" s="7" t="n"/>
      <c r="M7741" s="7" t="n"/>
      <c r="N7741">
        <f>IF(D7741="", "Gap - No Legal Basis", IF(AND(D7741="Consent (GDPR Art. 6(1)(a))", I7741="Not Captured"), "Gap - Invalid Consent", IF(AND(D7741="Legitimate Interest (GDPR Art. 6(1)(f))", L7741=""), "Gap - Missing LIA", IF(AND(G7741="Yes", H7741=""), "Gap - Missing Art. 9 Basis", IF(OR(I7741="Invalid - Not Freely Given", I7741="Invalid - Not Specific", I7741="Invalid - Not Informed", I7741="Invalid - Ambiguous"), "Gap - Invalid Consent", "Compliant")))))</f>
        <v/>
      </c>
      <c r="O7741" s="7" t="n"/>
    </row>
    <row r="7742">
      <c r="A7742" s="7" t="n"/>
      <c r="B7742" s="7" t="n"/>
      <c r="C7742" s="7" t="n"/>
      <c r="D7742" s="7" t="n"/>
      <c r="E7742" s="7" t="n"/>
      <c r="F7742" s="7" t="n"/>
      <c r="G7742" s="7" t="n"/>
      <c r="H7742" s="7" t="n"/>
      <c r="I7742" s="7" t="n"/>
      <c r="J7742" s="7" t="n"/>
      <c r="K7742">
        <f>IF(D7742="Legitimate Interest (GDPR Art. 6(1)(f))", "Yes / Required (Sheet 3)", "")</f>
        <v/>
      </c>
      <c r="L7742" s="7" t="n"/>
      <c r="M7742" s="7" t="n"/>
      <c r="N7742">
        <f>IF(D7742="", "Gap - No Legal Basis", IF(AND(D7742="Consent (GDPR Art. 6(1)(a))", I7742="Not Captured"), "Gap - Invalid Consent", IF(AND(D7742="Legitimate Interest (GDPR Art. 6(1)(f))", L7742=""), "Gap - Missing LIA", IF(AND(G7742="Yes", H7742=""), "Gap - Missing Art. 9 Basis", IF(OR(I7742="Invalid - Not Freely Given", I7742="Invalid - Not Specific", I7742="Invalid - Not Informed", I7742="Invalid - Ambiguous"), "Gap - Invalid Consent", "Compliant")))))</f>
        <v/>
      </c>
      <c r="O7742" s="7" t="n"/>
    </row>
    <row r="7743">
      <c r="A7743" s="7" t="n"/>
      <c r="B7743" s="7" t="n"/>
      <c r="C7743" s="7" t="n"/>
      <c r="D7743" s="7" t="n"/>
      <c r="E7743" s="7" t="n"/>
      <c r="F7743" s="7" t="n"/>
      <c r="G7743" s="7" t="n"/>
      <c r="H7743" s="7" t="n"/>
      <c r="I7743" s="7" t="n"/>
      <c r="J7743" s="7" t="n"/>
      <c r="K7743">
        <f>IF(D7743="Legitimate Interest (GDPR Art. 6(1)(f))", "Yes / Required (Sheet 3)", "")</f>
        <v/>
      </c>
      <c r="L7743" s="7" t="n"/>
      <c r="M7743" s="7" t="n"/>
      <c r="N7743">
        <f>IF(D7743="", "Gap - No Legal Basis", IF(AND(D7743="Consent (GDPR Art. 6(1)(a))", I7743="Not Captured"), "Gap - Invalid Consent", IF(AND(D7743="Legitimate Interest (GDPR Art. 6(1)(f))", L7743=""), "Gap - Missing LIA", IF(AND(G7743="Yes", H7743=""), "Gap - Missing Art. 9 Basis", IF(OR(I7743="Invalid - Not Freely Given", I7743="Invalid - Not Specific", I7743="Invalid - Not Informed", I7743="Invalid - Ambiguous"), "Gap - Invalid Consent", "Compliant")))))</f>
        <v/>
      </c>
      <c r="O7743" s="7" t="n"/>
    </row>
    <row r="7744">
      <c r="A7744" s="7" t="n"/>
      <c r="B7744" s="7" t="n"/>
      <c r="C7744" s="7" t="n"/>
      <c r="D7744" s="7" t="n"/>
      <c r="E7744" s="7" t="n"/>
      <c r="F7744" s="7" t="n"/>
      <c r="G7744" s="7" t="n"/>
      <c r="H7744" s="7" t="n"/>
      <c r="I7744" s="7" t="n"/>
      <c r="J7744" s="7" t="n"/>
      <c r="K7744">
        <f>IF(D7744="Legitimate Interest (GDPR Art. 6(1)(f))", "Yes / Required (Sheet 3)", "")</f>
        <v/>
      </c>
      <c r="L7744" s="7" t="n"/>
      <c r="M7744" s="7" t="n"/>
      <c r="N7744">
        <f>IF(D7744="", "Gap - No Legal Basis", IF(AND(D7744="Consent (GDPR Art. 6(1)(a))", I7744="Not Captured"), "Gap - Invalid Consent", IF(AND(D7744="Legitimate Interest (GDPR Art. 6(1)(f))", L7744=""), "Gap - Missing LIA", IF(AND(G7744="Yes", H7744=""), "Gap - Missing Art. 9 Basis", IF(OR(I7744="Invalid - Not Freely Given", I7744="Invalid - Not Specific", I7744="Invalid - Not Informed", I7744="Invalid - Ambiguous"), "Gap - Invalid Consent", "Compliant")))))</f>
        <v/>
      </c>
      <c r="O7744" s="7" t="n"/>
    </row>
    <row r="7745">
      <c r="A7745" s="7" t="n"/>
      <c r="B7745" s="7" t="n"/>
      <c r="C7745" s="7" t="n"/>
      <c r="D7745" s="7" t="n"/>
      <c r="E7745" s="7" t="n"/>
      <c r="F7745" s="7" t="n"/>
      <c r="G7745" s="7" t="n"/>
      <c r="H7745" s="7" t="n"/>
      <c r="I7745" s="7" t="n"/>
      <c r="J7745" s="7" t="n"/>
      <c r="K7745">
        <f>IF(D7745="Legitimate Interest (GDPR Art. 6(1)(f))", "Yes / Required (Sheet 3)", "")</f>
        <v/>
      </c>
      <c r="L7745" s="7" t="n"/>
      <c r="M7745" s="7" t="n"/>
      <c r="N7745">
        <f>IF(D7745="", "Gap - No Legal Basis", IF(AND(D7745="Consent (GDPR Art. 6(1)(a))", I7745="Not Captured"), "Gap - Invalid Consent", IF(AND(D7745="Legitimate Interest (GDPR Art. 6(1)(f))", L7745=""), "Gap - Missing LIA", IF(AND(G7745="Yes", H7745=""), "Gap - Missing Art. 9 Basis", IF(OR(I7745="Invalid - Not Freely Given", I7745="Invalid - Not Specific", I7745="Invalid - Not Informed", I7745="Invalid - Ambiguous"), "Gap - Invalid Consent", "Compliant")))))</f>
        <v/>
      </c>
      <c r="O7745" s="7" t="n"/>
    </row>
    <row r="7746">
      <c r="A7746" s="7" t="n"/>
      <c r="B7746" s="7" t="n"/>
      <c r="C7746" s="7" t="n"/>
      <c r="D7746" s="7" t="n"/>
      <c r="E7746" s="7" t="n"/>
      <c r="F7746" s="7" t="n"/>
      <c r="G7746" s="7" t="n"/>
      <c r="H7746" s="7" t="n"/>
      <c r="I7746" s="7" t="n"/>
      <c r="J7746" s="7" t="n"/>
      <c r="K7746">
        <f>IF(D7746="Legitimate Interest (GDPR Art. 6(1)(f))", "Yes / Required (Sheet 3)", "")</f>
        <v/>
      </c>
      <c r="L7746" s="7" t="n"/>
      <c r="M7746" s="7" t="n"/>
      <c r="N7746">
        <f>IF(D7746="", "Gap - No Legal Basis", IF(AND(D7746="Consent (GDPR Art. 6(1)(a))", I7746="Not Captured"), "Gap - Invalid Consent", IF(AND(D7746="Legitimate Interest (GDPR Art. 6(1)(f))", L7746=""), "Gap - Missing LIA", IF(AND(G7746="Yes", H7746=""), "Gap - Missing Art. 9 Basis", IF(OR(I7746="Invalid - Not Freely Given", I7746="Invalid - Not Specific", I7746="Invalid - Not Informed", I7746="Invalid - Ambiguous"), "Gap - Invalid Consent", "Compliant")))))</f>
        <v/>
      </c>
      <c r="O7746" s="7" t="n"/>
    </row>
    <row r="7747">
      <c r="A7747" s="7" t="n"/>
      <c r="B7747" s="7" t="n"/>
      <c r="C7747" s="7" t="n"/>
      <c r="D7747" s="7" t="n"/>
      <c r="E7747" s="7" t="n"/>
      <c r="F7747" s="7" t="n"/>
      <c r="G7747" s="7" t="n"/>
      <c r="H7747" s="7" t="n"/>
      <c r="I7747" s="7" t="n"/>
      <c r="J7747" s="7" t="n"/>
      <c r="K7747">
        <f>IF(D7747="Legitimate Interest (GDPR Art. 6(1)(f))", "Yes / Required (Sheet 3)", "")</f>
        <v/>
      </c>
      <c r="L7747" s="7" t="n"/>
      <c r="M7747" s="7" t="n"/>
      <c r="N7747">
        <f>IF(D7747="", "Gap - No Legal Basis", IF(AND(D7747="Consent (GDPR Art. 6(1)(a))", I7747="Not Captured"), "Gap - Invalid Consent", IF(AND(D7747="Legitimate Interest (GDPR Art. 6(1)(f))", L7747=""), "Gap - Missing LIA", IF(AND(G7747="Yes", H7747=""), "Gap - Missing Art. 9 Basis", IF(OR(I7747="Invalid - Not Freely Given", I7747="Invalid - Not Specific", I7747="Invalid - Not Informed", I7747="Invalid - Ambiguous"), "Gap - Invalid Consent", "Compliant")))))</f>
        <v/>
      </c>
      <c r="O7747" s="7" t="n"/>
    </row>
    <row r="7748">
      <c r="A7748" s="7" t="n"/>
      <c r="B7748" s="7" t="n"/>
      <c r="C7748" s="7" t="n"/>
      <c r="D7748" s="7" t="n"/>
      <c r="E7748" s="7" t="n"/>
      <c r="F7748" s="7" t="n"/>
      <c r="G7748" s="7" t="n"/>
      <c r="H7748" s="7" t="n"/>
      <c r="I7748" s="7" t="n"/>
      <c r="J7748" s="7" t="n"/>
      <c r="K7748">
        <f>IF(D7748="Legitimate Interest (GDPR Art. 6(1)(f))", "Yes / Required (Sheet 3)", "")</f>
        <v/>
      </c>
      <c r="L7748" s="7" t="n"/>
      <c r="M7748" s="7" t="n"/>
      <c r="N7748">
        <f>IF(D7748="", "Gap - No Legal Basis", IF(AND(D7748="Consent (GDPR Art. 6(1)(a))", I7748="Not Captured"), "Gap - Invalid Consent", IF(AND(D7748="Legitimate Interest (GDPR Art. 6(1)(f))", L7748=""), "Gap - Missing LIA", IF(AND(G7748="Yes", H7748=""), "Gap - Missing Art. 9 Basis", IF(OR(I7748="Invalid - Not Freely Given", I7748="Invalid - Not Specific", I7748="Invalid - Not Informed", I7748="Invalid - Ambiguous"), "Gap - Invalid Consent", "Compliant")))))</f>
        <v/>
      </c>
      <c r="O7748" s="7" t="n"/>
    </row>
    <row r="7749">
      <c r="A7749" s="7" t="n"/>
      <c r="B7749" s="7" t="n"/>
      <c r="C7749" s="7" t="n"/>
      <c r="D7749" s="7" t="n"/>
      <c r="E7749" s="7" t="n"/>
      <c r="F7749" s="7" t="n"/>
      <c r="G7749" s="7" t="n"/>
      <c r="H7749" s="7" t="n"/>
      <c r="I7749" s="7" t="n"/>
      <c r="J7749" s="7" t="n"/>
      <c r="K7749">
        <f>IF(D7749="Legitimate Interest (GDPR Art. 6(1)(f))", "Yes / Required (Sheet 3)", "")</f>
        <v/>
      </c>
      <c r="L7749" s="7" t="n"/>
      <c r="M7749" s="7" t="n"/>
      <c r="N7749">
        <f>IF(D7749="", "Gap - No Legal Basis", IF(AND(D7749="Consent (GDPR Art. 6(1)(a))", I7749="Not Captured"), "Gap - Invalid Consent", IF(AND(D7749="Legitimate Interest (GDPR Art. 6(1)(f))", L7749=""), "Gap - Missing LIA", IF(AND(G7749="Yes", H7749=""), "Gap - Missing Art. 9 Basis", IF(OR(I7749="Invalid - Not Freely Given", I7749="Invalid - Not Specific", I7749="Invalid - Not Informed", I7749="Invalid - Ambiguous"), "Gap - Invalid Consent", "Compliant")))))</f>
        <v/>
      </c>
      <c r="O7749" s="7" t="n"/>
    </row>
    <row r="7750">
      <c r="A7750" s="7" t="n"/>
      <c r="B7750" s="7" t="n"/>
      <c r="C7750" s="7" t="n"/>
      <c r="D7750" s="7" t="n"/>
      <c r="E7750" s="7" t="n"/>
      <c r="F7750" s="7" t="n"/>
      <c r="G7750" s="7" t="n"/>
      <c r="H7750" s="7" t="n"/>
      <c r="I7750" s="7" t="n"/>
      <c r="J7750" s="7" t="n"/>
      <c r="K7750">
        <f>IF(D7750="Legitimate Interest (GDPR Art. 6(1)(f))", "Yes / Required (Sheet 3)", "")</f>
        <v/>
      </c>
      <c r="L7750" s="7" t="n"/>
      <c r="M7750" s="7" t="n"/>
      <c r="N7750">
        <f>IF(D7750="", "Gap - No Legal Basis", IF(AND(D7750="Consent (GDPR Art. 6(1)(a))", I7750="Not Captured"), "Gap - Invalid Consent", IF(AND(D7750="Legitimate Interest (GDPR Art. 6(1)(f))", L7750=""), "Gap - Missing LIA", IF(AND(G7750="Yes", H7750=""), "Gap - Missing Art. 9 Basis", IF(OR(I7750="Invalid - Not Freely Given", I7750="Invalid - Not Specific", I7750="Invalid - Not Informed", I7750="Invalid - Ambiguous"), "Gap - Invalid Consent", "Compliant")))))</f>
        <v/>
      </c>
      <c r="O7750" s="7" t="n"/>
    </row>
    <row r="7751">
      <c r="A7751" s="7" t="n"/>
      <c r="B7751" s="7" t="n"/>
      <c r="C7751" s="7" t="n"/>
      <c r="D7751" s="7" t="n"/>
      <c r="E7751" s="7" t="n"/>
      <c r="F7751" s="7" t="n"/>
      <c r="G7751" s="7" t="n"/>
      <c r="H7751" s="7" t="n"/>
      <c r="I7751" s="7" t="n"/>
      <c r="J7751" s="7" t="n"/>
      <c r="K7751">
        <f>IF(D7751="Legitimate Interest (GDPR Art. 6(1)(f))", "Yes / Required (Sheet 3)", "")</f>
        <v/>
      </c>
      <c r="L7751" s="7" t="n"/>
      <c r="M7751" s="7" t="n"/>
      <c r="N7751">
        <f>IF(D7751="", "Gap - No Legal Basis", IF(AND(D7751="Consent (GDPR Art. 6(1)(a))", I7751="Not Captured"), "Gap - Invalid Consent", IF(AND(D7751="Legitimate Interest (GDPR Art. 6(1)(f))", L7751=""), "Gap - Missing LIA", IF(AND(G7751="Yes", H7751=""), "Gap - Missing Art. 9 Basis", IF(OR(I7751="Invalid - Not Freely Given", I7751="Invalid - Not Specific", I7751="Invalid - Not Informed", I7751="Invalid - Ambiguous"), "Gap - Invalid Consent", "Compliant")))))</f>
        <v/>
      </c>
      <c r="O7751" s="7" t="n"/>
    </row>
    <row r="7752">
      <c r="A7752" s="7" t="n"/>
      <c r="B7752" s="7" t="n"/>
      <c r="C7752" s="7" t="n"/>
      <c r="D7752" s="7" t="n"/>
      <c r="E7752" s="7" t="n"/>
      <c r="F7752" s="7" t="n"/>
      <c r="G7752" s="7" t="n"/>
      <c r="H7752" s="7" t="n"/>
      <c r="I7752" s="7" t="n"/>
      <c r="J7752" s="7" t="n"/>
      <c r="K7752">
        <f>IF(D7752="Legitimate Interest (GDPR Art. 6(1)(f))", "Yes / Required (Sheet 3)", "")</f>
        <v/>
      </c>
      <c r="L7752" s="7" t="n"/>
      <c r="M7752" s="7" t="n"/>
      <c r="N7752">
        <f>IF(D7752="", "Gap - No Legal Basis", IF(AND(D7752="Consent (GDPR Art. 6(1)(a))", I7752="Not Captured"), "Gap - Invalid Consent", IF(AND(D7752="Legitimate Interest (GDPR Art. 6(1)(f))", L7752=""), "Gap - Missing LIA", IF(AND(G7752="Yes", H7752=""), "Gap - Missing Art. 9 Basis", IF(OR(I7752="Invalid - Not Freely Given", I7752="Invalid - Not Specific", I7752="Invalid - Not Informed", I7752="Invalid - Ambiguous"), "Gap - Invalid Consent", "Compliant")))))</f>
        <v/>
      </c>
      <c r="O7752" s="7" t="n"/>
    </row>
    <row r="7753">
      <c r="A7753" s="7" t="n"/>
      <c r="B7753" s="7" t="n"/>
      <c r="C7753" s="7" t="n"/>
      <c r="D7753" s="7" t="n"/>
      <c r="E7753" s="7" t="n"/>
      <c r="F7753" s="7" t="n"/>
      <c r="G7753" s="7" t="n"/>
      <c r="H7753" s="7" t="n"/>
      <c r="I7753" s="7" t="n"/>
      <c r="J7753" s="7" t="n"/>
      <c r="K7753">
        <f>IF(D7753="Legitimate Interest (GDPR Art. 6(1)(f))", "Yes / Required (Sheet 3)", "")</f>
        <v/>
      </c>
      <c r="L7753" s="7" t="n"/>
      <c r="M7753" s="7" t="n"/>
      <c r="N7753">
        <f>IF(D7753="", "Gap - No Legal Basis", IF(AND(D7753="Consent (GDPR Art. 6(1)(a))", I7753="Not Captured"), "Gap - Invalid Consent", IF(AND(D7753="Legitimate Interest (GDPR Art. 6(1)(f))", L7753=""), "Gap - Missing LIA", IF(AND(G7753="Yes", H7753=""), "Gap - Missing Art. 9 Basis", IF(OR(I7753="Invalid - Not Freely Given", I7753="Invalid - Not Specific", I7753="Invalid - Not Informed", I7753="Invalid - Ambiguous"), "Gap - Invalid Consent", "Compliant")))))</f>
        <v/>
      </c>
      <c r="O7753" s="7" t="n"/>
    </row>
    <row r="7754">
      <c r="A7754" s="7" t="n"/>
      <c r="B7754" s="7" t="n"/>
      <c r="C7754" s="7" t="n"/>
      <c r="D7754" s="7" t="n"/>
      <c r="E7754" s="7" t="n"/>
      <c r="F7754" s="7" t="n"/>
      <c r="G7754" s="7" t="n"/>
      <c r="H7754" s="7" t="n"/>
      <c r="I7754" s="7" t="n"/>
      <c r="J7754" s="7" t="n"/>
      <c r="K7754">
        <f>IF(D7754="Legitimate Interest (GDPR Art. 6(1)(f))", "Yes / Required (Sheet 3)", "")</f>
        <v/>
      </c>
      <c r="L7754" s="7" t="n"/>
      <c r="M7754" s="7" t="n"/>
      <c r="N7754">
        <f>IF(D7754="", "Gap - No Legal Basis", IF(AND(D7754="Consent (GDPR Art. 6(1)(a))", I7754="Not Captured"), "Gap - Invalid Consent", IF(AND(D7754="Legitimate Interest (GDPR Art. 6(1)(f))", L7754=""), "Gap - Missing LIA", IF(AND(G7754="Yes", H7754=""), "Gap - Missing Art. 9 Basis", IF(OR(I7754="Invalid - Not Freely Given", I7754="Invalid - Not Specific", I7754="Invalid - Not Informed", I7754="Invalid - Ambiguous"), "Gap - Invalid Consent", "Compliant")))))</f>
        <v/>
      </c>
      <c r="O7754" s="7" t="n"/>
    </row>
    <row r="7755">
      <c r="A7755" s="7" t="n"/>
      <c r="B7755" s="7" t="n"/>
      <c r="C7755" s="7" t="n"/>
      <c r="D7755" s="7" t="n"/>
      <c r="E7755" s="7" t="n"/>
      <c r="F7755" s="7" t="n"/>
      <c r="G7755" s="7" t="n"/>
      <c r="H7755" s="7" t="n"/>
      <c r="I7755" s="7" t="n"/>
      <c r="J7755" s="7" t="n"/>
      <c r="K7755">
        <f>IF(D7755="Legitimate Interest (GDPR Art. 6(1)(f))", "Yes / Required (Sheet 3)", "")</f>
        <v/>
      </c>
      <c r="L7755" s="7" t="n"/>
      <c r="M7755" s="7" t="n"/>
      <c r="N7755">
        <f>IF(D7755="", "Gap - No Legal Basis", IF(AND(D7755="Consent (GDPR Art. 6(1)(a))", I7755="Not Captured"), "Gap - Invalid Consent", IF(AND(D7755="Legitimate Interest (GDPR Art. 6(1)(f))", L7755=""), "Gap - Missing LIA", IF(AND(G7755="Yes", H7755=""), "Gap - Missing Art. 9 Basis", IF(OR(I7755="Invalid - Not Freely Given", I7755="Invalid - Not Specific", I7755="Invalid - Not Informed", I7755="Invalid - Ambiguous"), "Gap - Invalid Consent", "Compliant")))))</f>
        <v/>
      </c>
      <c r="O7755" s="7" t="n"/>
    </row>
    <row r="7756">
      <c r="A7756" s="7" t="n"/>
      <c r="B7756" s="7" t="n"/>
      <c r="C7756" s="7" t="n"/>
      <c r="D7756" s="7" t="n"/>
      <c r="E7756" s="7" t="n"/>
      <c r="F7756" s="7" t="n"/>
      <c r="G7756" s="7" t="n"/>
      <c r="H7756" s="7" t="n"/>
      <c r="I7756" s="7" t="n"/>
      <c r="J7756" s="7" t="n"/>
      <c r="K7756">
        <f>IF(D7756="Legitimate Interest (GDPR Art. 6(1)(f))", "Yes / Required (Sheet 3)", "")</f>
        <v/>
      </c>
      <c r="L7756" s="7" t="n"/>
      <c r="M7756" s="7" t="n"/>
      <c r="N7756">
        <f>IF(D7756="", "Gap - No Legal Basis", IF(AND(D7756="Consent (GDPR Art. 6(1)(a))", I7756="Not Captured"), "Gap - Invalid Consent", IF(AND(D7756="Legitimate Interest (GDPR Art. 6(1)(f))", L7756=""), "Gap - Missing LIA", IF(AND(G7756="Yes", H7756=""), "Gap - Missing Art. 9 Basis", IF(OR(I7756="Invalid - Not Freely Given", I7756="Invalid - Not Specific", I7756="Invalid - Not Informed", I7756="Invalid - Ambiguous"), "Gap - Invalid Consent", "Compliant")))))</f>
        <v/>
      </c>
      <c r="O7756" s="7" t="n"/>
    </row>
    <row r="7757">
      <c r="A7757" s="7" t="n"/>
      <c r="B7757" s="7" t="n"/>
      <c r="C7757" s="7" t="n"/>
      <c r="D7757" s="7" t="n"/>
      <c r="E7757" s="7" t="n"/>
      <c r="F7757" s="7" t="n"/>
      <c r="G7757" s="7" t="n"/>
      <c r="H7757" s="7" t="n"/>
      <c r="I7757" s="7" t="n"/>
      <c r="J7757" s="7" t="n"/>
      <c r="K7757">
        <f>IF(D7757="Legitimate Interest (GDPR Art. 6(1)(f))", "Yes / Required (Sheet 3)", "")</f>
        <v/>
      </c>
      <c r="L7757" s="7" t="n"/>
      <c r="M7757" s="7" t="n"/>
      <c r="N7757">
        <f>IF(D7757="", "Gap - No Legal Basis", IF(AND(D7757="Consent (GDPR Art. 6(1)(a))", I7757="Not Captured"), "Gap - Invalid Consent", IF(AND(D7757="Legitimate Interest (GDPR Art. 6(1)(f))", L7757=""), "Gap - Missing LIA", IF(AND(G7757="Yes", H7757=""), "Gap - Missing Art. 9 Basis", IF(OR(I7757="Invalid - Not Freely Given", I7757="Invalid - Not Specific", I7757="Invalid - Not Informed", I7757="Invalid - Ambiguous"), "Gap - Invalid Consent", "Compliant")))))</f>
        <v/>
      </c>
      <c r="O7757" s="7" t="n"/>
    </row>
    <row r="7758">
      <c r="A7758" s="7" t="n"/>
      <c r="B7758" s="7" t="n"/>
      <c r="C7758" s="7" t="n"/>
      <c r="D7758" s="7" t="n"/>
      <c r="E7758" s="7" t="n"/>
      <c r="F7758" s="7" t="n"/>
      <c r="G7758" s="7" t="n"/>
      <c r="H7758" s="7" t="n"/>
      <c r="I7758" s="7" t="n"/>
      <c r="J7758" s="7" t="n"/>
      <c r="K7758">
        <f>IF(D7758="Legitimate Interest (GDPR Art. 6(1)(f))", "Yes / Required (Sheet 3)", "")</f>
        <v/>
      </c>
      <c r="L7758" s="7" t="n"/>
      <c r="M7758" s="7" t="n"/>
      <c r="N7758">
        <f>IF(D7758="", "Gap - No Legal Basis", IF(AND(D7758="Consent (GDPR Art. 6(1)(a))", I7758="Not Captured"), "Gap - Invalid Consent", IF(AND(D7758="Legitimate Interest (GDPR Art. 6(1)(f))", L7758=""), "Gap - Missing LIA", IF(AND(G7758="Yes", H7758=""), "Gap - Missing Art. 9 Basis", IF(OR(I7758="Invalid - Not Freely Given", I7758="Invalid - Not Specific", I7758="Invalid - Not Informed", I7758="Invalid - Ambiguous"), "Gap - Invalid Consent", "Compliant")))))</f>
        <v/>
      </c>
      <c r="O7758" s="7" t="n"/>
    </row>
    <row r="7759">
      <c r="A7759" s="7" t="n"/>
      <c r="B7759" s="7" t="n"/>
      <c r="C7759" s="7" t="n"/>
      <c r="D7759" s="7" t="n"/>
      <c r="E7759" s="7" t="n"/>
      <c r="F7759" s="7" t="n"/>
      <c r="G7759" s="7" t="n"/>
      <c r="H7759" s="7" t="n"/>
      <c r="I7759" s="7" t="n"/>
      <c r="J7759" s="7" t="n"/>
      <c r="K7759">
        <f>IF(D7759="Legitimate Interest (GDPR Art. 6(1)(f))", "Yes / Required (Sheet 3)", "")</f>
        <v/>
      </c>
      <c r="L7759" s="7" t="n"/>
      <c r="M7759" s="7" t="n"/>
      <c r="N7759">
        <f>IF(D7759="", "Gap - No Legal Basis", IF(AND(D7759="Consent (GDPR Art. 6(1)(a))", I7759="Not Captured"), "Gap - Invalid Consent", IF(AND(D7759="Legitimate Interest (GDPR Art. 6(1)(f))", L7759=""), "Gap - Missing LIA", IF(AND(G7759="Yes", H7759=""), "Gap - Missing Art. 9 Basis", IF(OR(I7759="Invalid - Not Freely Given", I7759="Invalid - Not Specific", I7759="Invalid - Not Informed", I7759="Invalid - Ambiguous"), "Gap - Invalid Consent", "Compliant")))))</f>
        <v/>
      </c>
      <c r="O7759" s="7" t="n"/>
    </row>
    <row r="7760">
      <c r="A7760" s="7" t="n"/>
      <c r="B7760" s="7" t="n"/>
      <c r="C7760" s="7" t="n"/>
      <c r="D7760" s="7" t="n"/>
      <c r="E7760" s="7" t="n"/>
      <c r="F7760" s="7" t="n"/>
      <c r="G7760" s="7" t="n"/>
      <c r="H7760" s="7" t="n"/>
      <c r="I7760" s="7" t="n"/>
      <c r="J7760" s="7" t="n"/>
      <c r="K7760">
        <f>IF(D7760="Legitimate Interest (GDPR Art. 6(1)(f))", "Yes / Required (Sheet 3)", "")</f>
        <v/>
      </c>
      <c r="L7760" s="7" t="n"/>
      <c r="M7760" s="7" t="n"/>
      <c r="N7760">
        <f>IF(D7760="", "Gap - No Legal Basis", IF(AND(D7760="Consent (GDPR Art. 6(1)(a))", I7760="Not Captured"), "Gap - Invalid Consent", IF(AND(D7760="Legitimate Interest (GDPR Art. 6(1)(f))", L7760=""), "Gap - Missing LIA", IF(AND(G7760="Yes", H7760=""), "Gap - Missing Art. 9 Basis", IF(OR(I7760="Invalid - Not Freely Given", I7760="Invalid - Not Specific", I7760="Invalid - Not Informed", I7760="Invalid - Ambiguous"), "Gap - Invalid Consent", "Compliant")))))</f>
        <v/>
      </c>
      <c r="O7760" s="7" t="n"/>
    </row>
    <row r="7761">
      <c r="A7761" s="7" t="n"/>
      <c r="B7761" s="7" t="n"/>
      <c r="C7761" s="7" t="n"/>
      <c r="D7761" s="7" t="n"/>
      <c r="E7761" s="7" t="n"/>
      <c r="F7761" s="7" t="n"/>
      <c r="G7761" s="7" t="n"/>
      <c r="H7761" s="7" t="n"/>
      <c r="I7761" s="7" t="n"/>
      <c r="J7761" s="7" t="n"/>
      <c r="K7761">
        <f>IF(D7761="Legitimate Interest (GDPR Art. 6(1)(f))", "Yes / Required (Sheet 3)", "")</f>
        <v/>
      </c>
      <c r="L7761" s="7" t="n"/>
      <c r="M7761" s="7" t="n"/>
      <c r="N7761">
        <f>IF(D7761="", "Gap - No Legal Basis", IF(AND(D7761="Consent (GDPR Art. 6(1)(a))", I7761="Not Captured"), "Gap - Invalid Consent", IF(AND(D7761="Legitimate Interest (GDPR Art. 6(1)(f))", L7761=""), "Gap - Missing LIA", IF(AND(G7761="Yes", H7761=""), "Gap - Missing Art. 9 Basis", IF(OR(I7761="Invalid - Not Freely Given", I7761="Invalid - Not Specific", I7761="Invalid - Not Informed", I7761="Invalid - Ambiguous"), "Gap - Invalid Consent", "Compliant")))))</f>
        <v/>
      </c>
      <c r="O7761" s="7" t="n"/>
    </row>
    <row r="7762">
      <c r="A7762" s="7" t="n"/>
      <c r="B7762" s="7" t="n"/>
      <c r="C7762" s="7" t="n"/>
      <c r="D7762" s="7" t="n"/>
      <c r="E7762" s="7" t="n"/>
      <c r="F7762" s="7" t="n"/>
      <c r="G7762" s="7" t="n"/>
      <c r="H7762" s="7" t="n"/>
      <c r="I7762" s="7" t="n"/>
      <c r="J7762" s="7" t="n"/>
      <c r="K7762">
        <f>IF(D7762="Legitimate Interest (GDPR Art. 6(1)(f))", "Yes / Required (Sheet 3)", "")</f>
        <v/>
      </c>
      <c r="L7762" s="7" t="n"/>
      <c r="M7762" s="7" t="n"/>
      <c r="N7762">
        <f>IF(D7762="", "Gap - No Legal Basis", IF(AND(D7762="Consent (GDPR Art. 6(1)(a))", I7762="Not Captured"), "Gap - Invalid Consent", IF(AND(D7762="Legitimate Interest (GDPR Art. 6(1)(f))", L7762=""), "Gap - Missing LIA", IF(AND(G7762="Yes", H7762=""), "Gap - Missing Art. 9 Basis", IF(OR(I7762="Invalid - Not Freely Given", I7762="Invalid - Not Specific", I7762="Invalid - Not Informed", I7762="Invalid - Ambiguous"), "Gap - Invalid Consent", "Compliant")))))</f>
        <v/>
      </c>
      <c r="O7762" s="7" t="n"/>
    </row>
    <row r="7763">
      <c r="A7763" s="7" t="n"/>
      <c r="B7763" s="7" t="n"/>
      <c r="C7763" s="7" t="n"/>
      <c r="D7763" s="7" t="n"/>
      <c r="E7763" s="7" t="n"/>
      <c r="F7763" s="7" t="n"/>
      <c r="G7763" s="7" t="n"/>
      <c r="H7763" s="7" t="n"/>
      <c r="I7763" s="7" t="n"/>
      <c r="J7763" s="7" t="n"/>
      <c r="K7763">
        <f>IF(D7763="Legitimate Interest (GDPR Art. 6(1)(f))", "Yes / Required (Sheet 3)", "")</f>
        <v/>
      </c>
      <c r="L7763" s="7" t="n"/>
      <c r="M7763" s="7" t="n"/>
      <c r="N7763">
        <f>IF(D7763="", "Gap - No Legal Basis", IF(AND(D7763="Consent (GDPR Art. 6(1)(a))", I7763="Not Captured"), "Gap - Invalid Consent", IF(AND(D7763="Legitimate Interest (GDPR Art. 6(1)(f))", L7763=""), "Gap - Missing LIA", IF(AND(G7763="Yes", H7763=""), "Gap - Missing Art. 9 Basis", IF(OR(I7763="Invalid - Not Freely Given", I7763="Invalid - Not Specific", I7763="Invalid - Not Informed", I7763="Invalid - Ambiguous"), "Gap - Invalid Consent", "Compliant")))))</f>
        <v/>
      </c>
      <c r="O7763" s="7" t="n"/>
    </row>
    <row r="7764">
      <c r="A7764" s="7" t="n"/>
      <c r="B7764" s="7" t="n"/>
      <c r="C7764" s="7" t="n"/>
      <c r="D7764" s="7" t="n"/>
      <c r="E7764" s="7" t="n"/>
      <c r="F7764" s="7" t="n"/>
      <c r="G7764" s="7" t="n"/>
      <c r="H7764" s="7" t="n"/>
      <c r="I7764" s="7" t="n"/>
      <c r="J7764" s="7" t="n"/>
      <c r="K7764">
        <f>IF(D7764="Legitimate Interest (GDPR Art. 6(1)(f))", "Yes / Required (Sheet 3)", "")</f>
        <v/>
      </c>
      <c r="L7764" s="7" t="n"/>
      <c r="M7764" s="7" t="n"/>
      <c r="N7764">
        <f>IF(D7764="", "Gap - No Legal Basis", IF(AND(D7764="Consent (GDPR Art. 6(1)(a))", I7764="Not Captured"), "Gap - Invalid Consent", IF(AND(D7764="Legitimate Interest (GDPR Art. 6(1)(f))", L7764=""), "Gap - Missing LIA", IF(AND(G7764="Yes", H7764=""), "Gap - Missing Art. 9 Basis", IF(OR(I7764="Invalid - Not Freely Given", I7764="Invalid - Not Specific", I7764="Invalid - Not Informed", I7764="Invalid - Ambiguous"), "Gap - Invalid Consent", "Compliant")))))</f>
        <v/>
      </c>
      <c r="O7764" s="7" t="n"/>
    </row>
    <row r="7765">
      <c r="A7765" s="7" t="n"/>
      <c r="B7765" s="7" t="n"/>
      <c r="C7765" s="7" t="n"/>
      <c r="D7765" s="7" t="n"/>
      <c r="E7765" s="7" t="n"/>
      <c r="F7765" s="7" t="n"/>
      <c r="G7765" s="7" t="n"/>
      <c r="H7765" s="7" t="n"/>
      <c r="I7765" s="7" t="n"/>
      <c r="J7765" s="7" t="n"/>
      <c r="K7765">
        <f>IF(D7765="Legitimate Interest (GDPR Art. 6(1)(f))", "Yes / Required (Sheet 3)", "")</f>
        <v/>
      </c>
      <c r="L7765" s="7" t="n"/>
      <c r="M7765" s="7" t="n"/>
      <c r="N7765">
        <f>IF(D7765="", "Gap - No Legal Basis", IF(AND(D7765="Consent (GDPR Art. 6(1)(a))", I7765="Not Captured"), "Gap - Invalid Consent", IF(AND(D7765="Legitimate Interest (GDPR Art. 6(1)(f))", L7765=""), "Gap - Missing LIA", IF(AND(G7765="Yes", H7765=""), "Gap - Missing Art. 9 Basis", IF(OR(I7765="Invalid - Not Freely Given", I7765="Invalid - Not Specific", I7765="Invalid - Not Informed", I7765="Invalid - Ambiguous"), "Gap - Invalid Consent", "Compliant")))))</f>
        <v/>
      </c>
      <c r="O7765" s="7" t="n"/>
    </row>
    <row r="7766">
      <c r="A7766" s="7" t="n"/>
      <c r="B7766" s="7" t="n"/>
      <c r="C7766" s="7" t="n"/>
      <c r="D7766" s="7" t="n"/>
      <c r="E7766" s="7" t="n"/>
      <c r="F7766" s="7" t="n"/>
      <c r="G7766" s="7" t="n"/>
      <c r="H7766" s="7" t="n"/>
      <c r="I7766" s="7" t="n"/>
      <c r="J7766" s="7" t="n"/>
      <c r="K7766">
        <f>IF(D7766="Legitimate Interest (GDPR Art. 6(1)(f))", "Yes / Required (Sheet 3)", "")</f>
        <v/>
      </c>
      <c r="L7766" s="7" t="n"/>
      <c r="M7766" s="7" t="n"/>
      <c r="N7766">
        <f>IF(D7766="", "Gap - No Legal Basis", IF(AND(D7766="Consent (GDPR Art. 6(1)(a))", I7766="Not Captured"), "Gap - Invalid Consent", IF(AND(D7766="Legitimate Interest (GDPR Art. 6(1)(f))", L7766=""), "Gap - Missing LIA", IF(AND(G7766="Yes", H7766=""), "Gap - Missing Art. 9 Basis", IF(OR(I7766="Invalid - Not Freely Given", I7766="Invalid - Not Specific", I7766="Invalid - Not Informed", I7766="Invalid - Ambiguous"), "Gap - Invalid Consent", "Compliant")))))</f>
        <v/>
      </c>
      <c r="O7766" s="7" t="n"/>
    </row>
    <row r="7767">
      <c r="A7767" s="7" t="n"/>
      <c r="B7767" s="7" t="n"/>
      <c r="C7767" s="7" t="n"/>
      <c r="D7767" s="7" t="n"/>
      <c r="E7767" s="7" t="n"/>
      <c r="F7767" s="7" t="n"/>
      <c r="G7767" s="7" t="n"/>
      <c r="H7767" s="7" t="n"/>
      <c r="I7767" s="7" t="n"/>
      <c r="J7767" s="7" t="n"/>
      <c r="K7767">
        <f>IF(D7767="Legitimate Interest (GDPR Art. 6(1)(f))", "Yes / Required (Sheet 3)", "")</f>
        <v/>
      </c>
      <c r="L7767" s="7" t="n"/>
      <c r="M7767" s="7" t="n"/>
      <c r="N7767">
        <f>IF(D7767="", "Gap - No Legal Basis", IF(AND(D7767="Consent (GDPR Art. 6(1)(a))", I7767="Not Captured"), "Gap - Invalid Consent", IF(AND(D7767="Legitimate Interest (GDPR Art. 6(1)(f))", L7767=""), "Gap - Missing LIA", IF(AND(G7767="Yes", H7767=""), "Gap - Missing Art. 9 Basis", IF(OR(I7767="Invalid - Not Freely Given", I7767="Invalid - Not Specific", I7767="Invalid - Not Informed", I7767="Invalid - Ambiguous"), "Gap - Invalid Consent", "Compliant")))))</f>
        <v/>
      </c>
      <c r="O7767" s="7" t="n"/>
    </row>
    <row r="7768">
      <c r="A7768" s="7" t="n"/>
      <c r="B7768" s="7" t="n"/>
      <c r="C7768" s="7" t="n"/>
      <c r="D7768" s="7" t="n"/>
      <c r="E7768" s="7" t="n"/>
      <c r="F7768" s="7" t="n"/>
      <c r="G7768" s="7" t="n"/>
      <c r="H7768" s="7" t="n"/>
      <c r="I7768" s="7" t="n"/>
      <c r="J7768" s="7" t="n"/>
      <c r="K7768">
        <f>IF(D7768="Legitimate Interest (GDPR Art. 6(1)(f))", "Yes / Required (Sheet 3)", "")</f>
        <v/>
      </c>
      <c r="L7768" s="7" t="n"/>
      <c r="M7768" s="7" t="n"/>
      <c r="N7768">
        <f>IF(D7768="", "Gap - No Legal Basis", IF(AND(D7768="Consent (GDPR Art. 6(1)(a))", I7768="Not Captured"), "Gap - Invalid Consent", IF(AND(D7768="Legitimate Interest (GDPR Art. 6(1)(f))", L7768=""), "Gap - Missing LIA", IF(AND(G7768="Yes", H7768=""), "Gap - Missing Art. 9 Basis", IF(OR(I7768="Invalid - Not Freely Given", I7768="Invalid - Not Specific", I7768="Invalid - Not Informed", I7768="Invalid - Ambiguous"), "Gap - Invalid Consent", "Compliant")))))</f>
        <v/>
      </c>
      <c r="O7768" s="7" t="n"/>
    </row>
    <row r="7769">
      <c r="A7769" s="7" t="n"/>
      <c r="B7769" s="7" t="n"/>
      <c r="C7769" s="7" t="n"/>
      <c r="D7769" s="7" t="n"/>
      <c r="E7769" s="7" t="n"/>
      <c r="F7769" s="7" t="n"/>
      <c r="G7769" s="7" t="n"/>
      <c r="H7769" s="7" t="n"/>
      <c r="I7769" s="7" t="n"/>
      <c r="J7769" s="7" t="n"/>
      <c r="K7769">
        <f>IF(D7769="Legitimate Interest (GDPR Art. 6(1)(f))", "Yes / Required (Sheet 3)", "")</f>
        <v/>
      </c>
      <c r="L7769" s="7" t="n"/>
      <c r="M7769" s="7" t="n"/>
      <c r="N7769">
        <f>IF(D7769="", "Gap - No Legal Basis", IF(AND(D7769="Consent (GDPR Art. 6(1)(a))", I7769="Not Captured"), "Gap - Invalid Consent", IF(AND(D7769="Legitimate Interest (GDPR Art. 6(1)(f))", L7769=""), "Gap - Missing LIA", IF(AND(G7769="Yes", H7769=""), "Gap - Missing Art. 9 Basis", IF(OR(I7769="Invalid - Not Freely Given", I7769="Invalid - Not Specific", I7769="Invalid - Not Informed", I7769="Invalid - Ambiguous"), "Gap - Invalid Consent", "Compliant")))))</f>
        <v/>
      </c>
      <c r="O7769" s="7" t="n"/>
    </row>
    <row r="7770">
      <c r="A7770" s="7" t="n"/>
      <c r="B7770" s="7" t="n"/>
      <c r="C7770" s="7" t="n"/>
      <c r="D7770" s="7" t="n"/>
      <c r="E7770" s="7" t="n"/>
      <c r="F7770" s="7" t="n"/>
      <c r="G7770" s="7" t="n"/>
      <c r="H7770" s="7" t="n"/>
      <c r="I7770" s="7" t="n"/>
      <c r="J7770" s="7" t="n"/>
      <c r="K7770">
        <f>IF(D7770="Legitimate Interest (GDPR Art. 6(1)(f))", "Yes / Required (Sheet 3)", "")</f>
        <v/>
      </c>
      <c r="L7770" s="7" t="n"/>
      <c r="M7770" s="7" t="n"/>
      <c r="N7770">
        <f>IF(D7770="", "Gap - No Legal Basis", IF(AND(D7770="Consent (GDPR Art. 6(1)(a))", I7770="Not Captured"), "Gap - Invalid Consent", IF(AND(D7770="Legitimate Interest (GDPR Art. 6(1)(f))", L7770=""), "Gap - Missing LIA", IF(AND(G7770="Yes", H7770=""), "Gap - Missing Art. 9 Basis", IF(OR(I7770="Invalid - Not Freely Given", I7770="Invalid - Not Specific", I7770="Invalid - Not Informed", I7770="Invalid - Ambiguous"), "Gap - Invalid Consent", "Compliant")))))</f>
        <v/>
      </c>
      <c r="O7770" s="7" t="n"/>
    </row>
    <row r="7771">
      <c r="A7771" s="7" t="n"/>
      <c r="B7771" s="7" t="n"/>
      <c r="C7771" s="7" t="n"/>
      <c r="D7771" s="7" t="n"/>
      <c r="E7771" s="7" t="n"/>
      <c r="F7771" s="7" t="n"/>
      <c r="G7771" s="7" t="n"/>
      <c r="H7771" s="7" t="n"/>
      <c r="I7771" s="7" t="n"/>
      <c r="J7771" s="7" t="n"/>
      <c r="K7771">
        <f>IF(D7771="Legitimate Interest (GDPR Art. 6(1)(f))", "Yes / Required (Sheet 3)", "")</f>
        <v/>
      </c>
      <c r="L7771" s="7" t="n"/>
      <c r="M7771" s="7" t="n"/>
      <c r="N7771">
        <f>IF(D7771="", "Gap - No Legal Basis", IF(AND(D7771="Consent (GDPR Art. 6(1)(a))", I7771="Not Captured"), "Gap - Invalid Consent", IF(AND(D7771="Legitimate Interest (GDPR Art. 6(1)(f))", L7771=""), "Gap - Missing LIA", IF(AND(G7771="Yes", H7771=""), "Gap - Missing Art. 9 Basis", IF(OR(I7771="Invalid - Not Freely Given", I7771="Invalid - Not Specific", I7771="Invalid - Not Informed", I7771="Invalid - Ambiguous"), "Gap - Invalid Consent", "Compliant")))))</f>
        <v/>
      </c>
      <c r="O7771" s="7" t="n"/>
    </row>
    <row r="7772">
      <c r="A7772" s="7" t="n"/>
      <c r="B7772" s="7" t="n"/>
      <c r="C7772" s="7" t="n"/>
      <c r="D7772" s="7" t="n"/>
      <c r="E7772" s="7" t="n"/>
      <c r="F7772" s="7" t="n"/>
      <c r="G7772" s="7" t="n"/>
      <c r="H7772" s="7" t="n"/>
      <c r="I7772" s="7" t="n"/>
      <c r="J7772" s="7" t="n"/>
      <c r="K7772">
        <f>IF(D7772="Legitimate Interest (GDPR Art. 6(1)(f))", "Yes / Required (Sheet 3)", "")</f>
        <v/>
      </c>
      <c r="L7772" s="7" t="n"/>
      <c r="M7772" s="7" t="n"/>
      <c r="N7772">
        <f>IF(D7772="", "Gap - No Legal Basis", IF(AND(D7772="Consent (GDPR Art. 6(1)(a))", I7772="Not Captured"), "Gap - Invalid Consent", IF(AND(D7772="Legitimate Interest (GDPR Art. 6(1)(f))", L7772=""), "Gap - Missing LIA", IF(AND(G7772="Yes", H7772=""), "Gap - Missing Art. 9 Basis", IF(OR(I7772="Invalid - Not Freely Given", I7772="Invalid - Not Specific", I7772="Invalid - Not Informed", I7772="Invalid - Ambiguous"), "Gap - Invalid Consent", "Compliant")))))</f>
        <v/>
      </c>
      <c r="O7772" s="7" t="n"/>
    </row>
    <row r="7773">
      <c r="A7773" s="7" t="n"/>
      <c r="B7773" s="7" t="n"/>
      <c r="C7773" s="7" t="n"/>
      <c r="D7773" s="7" t="n"/>
      <c r="E7773" s="7" t="n"/>
      <c r="F7773" s="7" t="n"/>
      <c r="G7773" s="7" t="n"/>
      <c r="H7773" s="7" t="n"/>
      <c r="I7773" s="7" t="n"/>
      <c r="J7773" s="7" t="n"/>
      <c r="K7773">
        <f>IF(D7773="Legitimate Interest (GDPR Art. 6(1)(f))", "Yes / Required (Sheet 3)", "")</f>
        <v/>
      </c>
      <c r="L7773" s="7" t="n"/>
      <c r="M7773" s="7" t="n"/>
      <c r="N7773">
        <f>IF(D7773="", "Gap - No Legal Basis", IF(AND(D7773="Consent (GDPR Art. 6(1)(a))", I7773="Not Captured"), "Gap - Invalid Consent", IF(AND(D7773="Legitimate Interest (GDPR Art. 6(1)(f))", L7773=""), "Gap - Missing LIA", IF(AND(G7773="Yes", H7773=""), "Gap - Missing Art. 9 Basis", IF(OR(I7773="Invalid - Not Freely Given", I7773="Invalid - Not Specific", I7773="Invalid - Not Informed", I7773="Invalid - Ambiguous"), "Gap - Invalid Consent", "Compliant")))))</f>
        <v/>
      </c>
      <c r="O7773" s="7" t="n"/>
    </row>
    <row r="7774">
      <c r="A7774" s="7" t="n"/>
      <c r="B7774" s="7" t="n"/>
      <c r="C7774" s="7" t="n"/>
      <c r="D7774" s="7" t="n"/>
      <c r="E7774" s="7" t="n"/>
      <c r="F7774" s="7" t="n"/>
      <c r="G7774" s="7" t="n"/>
      <c r="H7774" s="7" t="n"/>
      <c r="I7774" s="7" t="n"/>
      <c r="J7774" s="7" t="n"/>
      <c r="K7774">
        <f>IF(D7774="Legitimate Interest (GDPR Art. 6(1)(f))", "Yes / Required (Sheet 3)", "")</f>
        <v/>
      </c>
      <c r="L7774" s="7" t="n"/>
      <c r="M7774" s="7" t="n"/>
      <c r="N7774">
        <f>IF(D7774="", "Gap - No Legal Basis", IF(AND(D7774="Consent (GDPR Art. 6(1)(a))", I7774="Not Captured"), "Gap - Invalid Consent", IF(AND(D7774="Legitimate Interest (GDPR Art. 6(1)(f))", L7774=""), "Gap - Missing LIA", IF(AND(G7774="Yes", H7774=""), "Gap - Missing Art. 9 Basis", IF(OR(I7774="Invalid - Not Freely Given", I7774="Invalid - Not Specific", I7774="Invalid - Not Informed", I7774="Invalid - Ambiguous"), "Gap - Invalid Consent", "Compliant")))))</f>
        <v/>
      </c>
      <c r="O7774" s="7" t="n"/>
    </row>
    <row r="7775">
      <c r="A7775" s="7" t="n"/>
      <c r="B7775" s="7" t="n"/>
      <c r="C7775" s="7" t="n"/>
      <c r="D7775" s="7" t="n"/>
      <c r="E7775" s="7" t="n"/>
      <c r="F7775" s="7" t="n"/>
      <c r="G7775" s="7" t="n"/>
      <c r="H7775" s="7" t="n"/>
      <c r="I7775" s="7" t="n"/>
      <c r="J7775" s="7" t="n"/>
      <c r="K7775">
        <f>IF(D7775="Legitimate Interest (GDPR Art. 6(1)(f))", "Yes / Required (Sheet 3)", "")</f>
        <v/>
      </c>
      <c r="L7775" s="7" t="n"/>
      <c r="M7775" s="7" t="n"/>
      <c r="N7775">
        <f>IF(D7775="", "Gap - No Legal Basis", IF(AND(D7775="Consent (GDPR Art. 6(1)(a))", I7775="Not Captured"), "Gap - Invalid Consent", IF(AND(D7775="Legitimate Interest (GDPR Art. 6(1)(f))", L7775=""), "Gap - Missing LIA", IF(AND(G7775="Yes", H7775=""), "Gap - Missing Art. 9 Basis", IF(OR(I7775="Invalid - Not Freely Given", I7775="Invalid - Not Specific", I7775="Invalid - Not Informed", I7775="Invalid - Ambiguous"), "Gap - Invalid Consent", "Compliant")))))</f>
        <v/>
      </c>
      <c r="O7775" s="7" t="n"/>
    </row>
    <row r="7776">
      <c r="A7776" s="7" t="n"/>
      <c r="B7776" s="7" t="n"/>
      <c r="C7776" s="7" t="n"/>
      <c r="D7776" s="7" t="n"/>
      <c r="E7776" s="7" t="n"/>
      <c r="F7776" s="7" t="n"/>
      <c r="G7776" s="7" t="n"/>
      <c r="H7776" s="7" t="n"/>
      <c r="I7776" s="7" t="n"/>
      <c r="J7776" s="7" t="n"/>
      <c r="K7776">
        <f>IF(D7776="Legitimate Interest (GDPR Art. 6(1)(f))", "Yes / Required (Sheet 3)", "")</f>
        <v/>
      </c>
      <c r="L7776" s="7" t="n"/>
      <c r="M7776" s="7" t="n"/>
      <c r="N7776">
        <f>IF(D7776="", "Gap - No Legal Basis", IF(AND(D7776="Consent (GDPR Art. 6(1)(a))", I7776="Not Captured"), "Gap - Invalid Consent", IF(AND(D7776="Legitimate Interest (GDPR Art. 6(1)(f))", L7776=""), "Gap - Missing LIA", IF(AND(G7776="Yes", H7776=""), "Gap - Missing Art. 9 Basis", IF(OR(I7776="Invalid - Not Freely Given", I7776="Invalid - Not Specific", I7776="Invalid - Not Informed", I7776="Invalid - Ambiguous"), "Gap - Invalid Consent", "Compliant")))))</f>
        <v/>
      </c>
      <c r="O7776" s="7" t="n"/>
    </row>
    <row r="7777">
      <c r="A7777" s="7" t="n"/>
      <c r="B7777" s="7" t="n"/>
      <c r="C7777" s="7" t="n"/>
      <c r="D7777" s="7" t="n"/>
      <c r="E7777" s="7" t="n"/>
      <c r="F7777" s="7" t="n"/>
      <c r="G7777" s="7" t="n"/>
      <c r="H7777" s="7" t="n"/>
      <c r="I7777" s="7" t="n"/>
      <c r="J7777" s="7" t="n"/>
      <c r="K7777">
        <f>IF(D7777="Legitimate Interest (GDPR Art. 6(1)(f))", "Yes / Required (Sheet 3)", "")</f>
        <v/>
      </c>
      <c r="L7777" s="7" t="n"/>
      <c r="M7777" s="7" t="n"/>
      <c r="N7777">
        <f>IF(D7777="", "Gap - No Legal Basis", IF(AND(D7777="Consent (GDPR Art. 6(1)(a))", I7777="Not Captured"), "Gap - Invalid Consent", IF(AND(D7777="Legitimate Interest (GDPR Art. 6(1)(f))", L7777=""), "Gap - Missing LIA", IF(AND(G7777="Yes", H7777=""), "Gap - Missing Art. 9 Basis", IF(OR(I7777="Invalid - Not Freely Given", I7777="Invalid - Not Specific", I7777="Invalid - Not Informed", I7777="Invalid - Ambiguous"), "Gap - Invalid Consent", "Compliant")))))</f>
        <v/>
      </c>
      <c r="O7777" s="7" t="n"/>
    </row>
    <row r="7778">
      <c r="A7778" s="7" t="n"/>
      <c r="B7778" s="7" t="n"/>
      <c r="C7778" s="7" t="n"/>
      <c r="D7778" s="7" t="n"/>
      <c r="E7778" s="7" t="n"/>
      <c r="F7778" s="7" t="n"/>
      <c r="G7778" s="7" t="n"/>
      <c r="H7778" s="7" t="n"/>
      <c r="I7778" s="7" t="n"/>
      <c r="J7778" s="7" t="n"/>
      <c r="K7778">
        <f>IF(D7778="Legitimate Interest (GDPR Art. 6(1)(f))", "Yes / Required (Sheet 3)", "")</f>
        <v/>
      </c>
      <c r="L7778" s="7" t="n"/>
      <c r="M7778" s="7" t="n"/>
      <c r="N7778">
        <f>IF(D7778="", "Gap - No Legal Basis", IF(AND(D7778="Consent (GDPR Art. 6(1)(a))", I7778="Not Captured"), "Gap - Invalid Consent", IF(AND(D7778="Legitimate Interest (GDPR Art. 6(1)(f))", L7778=""), "Gap - Missing LIA", IF(AND(G7778="Yes", H7778=""), "Gap - Missing Art. 9 Basis", IF(OR(I7778="Invalid - Not Freely Given", I7778="Invalid - Not Specific", I7778="Invalid - Not Informed", I7778="Invalid - Ambiguous"), "Gap - Invalid Consent", "Compliant")))))</f>
        <v/>
      </c>
      <c r="O7778" s="7" t="n"/>
    </row>
    <row r="7779">
      <c r="A7779" s="7" t="n"/>
      <c r="B7779" s="7" t="n"/>
      <c r="C7779" s="7" t="n"/>
      <c r="D7779" s="7" t="n"/>
      <c r="E7779" s="7" t="n"/>
      <c r="F7779" s="7" t="n"/>
      <c r="G7779" s="7" t="n"/>
      <c r="H7779" s="7" t="n"/>
      <c r="I7779" s="7" t="n"/>
      <c r="J7779" s="7" t="n"/>
      <c r="K7779">
        <f>IF(D7779="Legitimate Interest (GDPR Art. 6(1)(f))", "Yes / Required (Sheet 3)", "")</f>
        <v/>
      </c>
      <c r="L7779" s="7" t="n"/>
      <c r="M7779" s="7" t="n"/>
      <c r="N7779">
        <f>IF(D7779="", "Gap - No Legal Basis", IF(AND(D7779="Consent (GDPR Art. 6(1)(a))", I7779="Not Captured"), "Gap - Invalid Consent", IF(AND(D7779="Legitimate Interest (GDPR Art. 6(1)(f))", L7779=""), "Gap - Missing LIA", IF(AND(G7779="Yes", H7779=""), "Gap - Missing Art. 9 Basis", IF(OR(I7779="Invalid - Not Freely Given", I7779="Invalid - Not Specific", I7779="Invalid - Not Informed", I7779="Invalid - Ambiguous"), "Gap - Invalid Consent", "Compliant")))))</f>
        <v/>
      </c>
      <c r="O7779" s="7" t="n"/>
    </row>
    <row r="7780">
      <c r="A7780" s="7" t="n"/>
      <c r="B7780" s="7" t="n"/>
      <c r="C7780" s="7" t="n"/>
      <c r="D7780" s="7" t="n"/>
      <c r="E7780" s="7" t="n"/>
      <c r="F7780" s="7" t="n"/>
      <c r="G7780" s="7" t="n"/>
      <c r="H7780" s="7" t="n"/>
      <c r="I7780" s="7" t="n"/>
      <c r="J7780" s="7" t="n"/>
      <c r="K7780">
        <f>IF(D7780="Legitimate Interest (GDPR Art. 6(1)(f))", "Yes / Required (Sheet 3)", "")</f>
        <v/>
      </c>
      <c r="L7780" s="7" t="n"/>
      <c r="M7780" s="7" t="n"/>
      <c r="N7780">
        <f>IF(D7780="", "Gap - No Legal Basis", IF(AND(D7780="Consent (GDPR Art. 6(1)(a))", I7780="Not Captured"), "Gap - Invalid Consent", IF(AND(D7780="Legitimate Interest (GDPR Art. 6(1)(f))", L7780=""), "Gap - Missing LIA", IF(AND(G7780="Yes", H7780=""), "Gap - Missing Art. 9 Basis", IF(OR(I7780="Invalid - Not Freely Given", I7780="Invalid - Not Specific", I7780="Invalid - Not Informed", I7780="Invalid - Ambiguous"), "Gap - Invalid Consent", "Compliant")))))</f>
        <v/>
      </c>
      <c r="O7780" s="7" t="n"/>
    </row>
    <row r="7781">
      <c r="A7781" s="7" t="n"/>
      <c r="B7781" s="7" t="n"/>
      <c r="C7781" s="7" t="n"/>
      <c r="D7781" s="7" t="n"/>
      <c r="E7781" s="7" t="n"/>
      <c r="F7781" s="7" t="n"/>
      <c r="G7781" s="7" t="n"/>
      <c r="H7781" s="7" t="n"/>
      <c r="I7781" s="7" t="n"/>
      <c r="J7781" s="7" t="n"/>
      <c r="K7781">
        <f>IF(D7781="Legitimate Interest (GDPR Art. 6(1)(f))", "Yes / Required (Sheet 3)", "")</f>
        <v/>
      </c>
      <c r="L7781" s="7" t="n"/>
      <c r="M7781" s="7" t="n"/>
      <c r="N7781">
        <f>IF(D7781="", "Gap - No Legal Basis", IF(AND(D7781="Consent (GDPR Art. 6(1)(a))", I7781="Not Captured"), "Gap - Invalid Consent", IF(AND(D7781="Legitimate Interest (GDPR Art. 6(1)(f))", L7781=""), "Gap - Missing LIA", IF(AND(G7781="Yes", H7781=""), "Gap - Missing Art. 9 Basis", IF(OR(I7781="Invalid - Not Freely Given", I7781="Invalid - Not Specific", I7781="Invalid - Not Informed", I7781="Invalid - Ambiguous"), "Gap - Invalid Consent", "Compliant")))))</f>
        <v/>
      </c>
      <c r="O7781" s="7" t="n"/>
    </row>
    <row r="7782">
      <c r="A7782" s="7" t="n"/>
      <c r="B7782" s="7" t="n"/>
      <c r="C7782" s="7" t="n"/>
      <c r="D7782" s="7" t="n"/>
      <c r="E7782" s="7" t="n"/>
      <c r="F7782" s="7" t="n"/>
      <c r="G7782" s="7" t="n"/>
      <c r="H7782" s="7" t="n"/>
      <c r="I7782" s="7" t="n"/>
      <c r="J7782" s="7" t="n"/>
      <c r="K7782">
        <f>IF(D7782="Legitimate Interest (GDPR Art. 6(1)(f))", "Yes / Required (Sheet 3)", "")</f>
        <v/>
      </c>
      <c r="L7782" s="7" t="n"/>
      <c r="M7782" s="7" t="n"/>
      <c r="N7782">
        <f>IF(D7782="", "Gap - No Legal Basis", IF(AND(D7782="Consent (GDPR Art. 6(1)(a))", I7782="Not Captured"), "Gap - Invalid Consent", IF(AND(D7782="Legitimate Interest (GDPR Art. 6(1)(f))", L7782=""), "Gap - Missing LIA", IF(AND(G7782="Yes", H7782=""), "Gap - Missing Art. 9 Basis", IF(OR(I7782="Invalid - Not Freely Given", I7782="Invalid - Not Specific", I7782="Invalid - Not Informed", I7782="Invalid - Ambiguous"), "Gap - Invalid Consent", "Compliant")))))</f>
        <v/>
      </c>
      <c r="O7782" s="7" t="n"/>
    </row>
    <row r="7783">
      <c r="A7783" s="7" t="n"/>
      <c r="B7783" s="7" t="n"/>
      <c r="C7783" s="7" t="n"/>
      <c r="D7783" s="7" t="n"/>
      <c r="E7783" s="7" t="n"/>
      <c r="F7783" s="7" t="n"/>
      <c r="G7783" s="7" t="n"/>
      <c r="H7783" s="7" t="n"/>
      <c r="I7783" s="7" t="n"/>
      <c r="J7783" s="7" t="n"/>
      <c r="K7783">
        <f>IF(D7783="Legitimate Interest (GDPR Art. 6(1)(f))", "Yes / Required (Sheet 3)", "")</f>
        <v/>
      </c>
      <c r="L7783" s="7" t="n"/>
      <c r="M7783" s="7" t="n"/>
      <c r="N7783">
        <f>IF(D7783="", "Gap - No Legal Basis", IF(AND(D7783="Consent (GDPR Art. 6(1)(a))", I7783="Not Captured"), "Gap - Invalid Consent", IF(AND(D7783="Legitimate Interest (GDPR Art. 6(1)(f))", L7783=""), "Gap - Missing LIA", IF(AND(G7783="Yes", H7783=""), "Gap - Missing Art. 9 Basis", IF(OR(I7783="Invalid - Not Freely Given", I7783="Invalid - Not Specific", I7783="Invalid - Not Informed", I7783="Invalid - Ambiguous"), "Gap - Invalid Consent", "Compliant")))))</f>
        <v/>
      </c>
      <c r="O7783" s="7" t="n"/>
    </row>
    <row r="7784">
      <c r="A7784" s="7" t="n"/>
      <c r="B7784" s="7" t="n"/>
      <c r="C7784" s="7" t="n"/>
      <c r="D7784" s="7" t="n"/>
      <c r="E7784" s="7" t="n"/>
      <c r="F7784" s="7" t="n"/>
      <c r="G7784" s="7" t="n"/>
      <c r="H7784" s="7" t="n"/>
      <c r="I7784" s="7" t="n"/>
      <c r="J7784" s="7" t="n"/>
      <c r="K7784">
        <f>IF(D7784="Legitimate Interest (GDPR Art. 6(1)(f))", "Yes / Required (Sheet 3)", "")</f>
        <v/>
      </c>
      <c r="L7784" s="7" t="n"/>
      <c r="M7784" s="7" t="n"/>
      <c r="N7784">
        <f>IF(D7784="", "Gap - No Legal Basis", IF(AND(D7784="Consent (GDPR Art. 6(1)(a))", I7784="Not Captured"), "Gap - Invalid Consent", IF(AND(D7784="Legitimate Interest (GDPR Art. 6(1)(f))", L7784=""), "Gap - Missing LIA", IF(AND(G7784="Yes", H7784=""), "Gap - Missing Art. 9 Basis", IF(OR(I7784="Invalid - Not Freely Given", I7784="Invalid - Not Specific", I7784="Invalid - Not Informed", I7784="Invalid - Ambiguous"), "Gap - Invalid Consent", "Compliant")))))</f>
        <v/>
      </c>
      <c r="O7784" s="7" t="n"/>
    </row>
    <row r="7785">
      <c r="A7785" s="7" t="n"/>
      <c r="B7785" s="7" t="n"/>
      <c r="C7785" s="7" t="n"/>
      <c r="D7785" s="7" t="n"/>
      <c r="E7785" s="7" t="n"/>
      <c r="F7785" s="7" t="n"/>
      <c r="G7785" s="7" t="n"/>
      <c r="H7785" s="7" t="n"/>
      <c r="I7785" s="7" t="n"/>
      <c r="J7785" s="7" t="n"/>
      <c r="K7785">
        <f>IF(D7785="Legitimate Interest (GDPR Art. 6(1)(f))", "Yes / Required (Sheet 3)", "")</f>
        <v/>
      </c>
      <c r="L7785" s="7" t="n"/>
      <c r="M7785" s="7" t="n"/>
      <c r="N7785">
        <f>IF(D7785="", "Gap - No Legal Basis", IF(AND(D7785="Consent (GDPR Art. 6(1)(a))", I7785="Not Captured"), "Gap - Invalid Consent", IF(AND(D7785="Legitimate Interest (GDPR Art. 6(1)(f))", L7785=""), "Gap - Missing LIA", IF(AND(G7785="Yes", H7785=""), "Gap - Missing Art. 9 Basis", IF(OR(I7785="Invalid - Not Freely Given", I7785="Invalid - Not Specific", I7785="Invalid - Not Informed", I7785="Invalid - Ambiguous"), "Gap - Invalid Consent", "Compliant")))))</f>
        <v/>
      </c>
      <c r="O7785" s="7" t="n"/>
    </row>
    <row r="7786">
      <c r="A7786" s="7" t="n"/>
      <c r="B7786" s="7" t="n"/>
      <c r="C7786" s="7" t="n"/>
      <c r="D7786" s="7" t="n"/>
      <c r="E7786" s="7" t="n"/>
      <c r="F7786" s="7" t="n"/>
      <c r="G7786" s="7" t="n"/>
      <c r="H7786" s="7" t="n"/>
      <c r="I7786" s="7" t="n"/>
      <c r="J7786" s="7" t="n"/>
      <c r="K7786">
        <f>IF(D7786="Legitimate Interest (GDPR Art. 6(1)(f))", "Yes / Required (Sheet 3)", "")</f>
        <v/>
      </c>
      <c r="L7786" s="7" t="n"/>
      <c r="M7786" s="7" t="n"/>
      <c r="N7786">
        <f>IF(D7786="", "Gap - No Legal Basis", IF(AND(D7786="Consent (GDPR Art. 6(1)(a))", I7786="Not Captured"), "Gap - Invalid Consent", IF(AND(D7786="Legitimate Interest (GDPR Art. 6(1)(f))", L7786=""), "Gap - Missing LIA", IF(AND(G7786="Yes", H7786=""), "Gap - Missing Art. 9 Basis", IF(OR(I7786="Invalid - Not Freely Given", I7786="Invalid - Not Specific", I7786="Invalid - Not Informed", I7786="Invalid - Ambiguous"), "Gap - Invalid Consent", "Compliant")))))</f>
        <v/>
      </c>
      <c r="O7786" s="7" t="n"/>
    </row>
    <row r="7787">
      <c r="A7787" s="7" t="n"/>
      <c r="B7787" s="7" t="n"/>
      <c r="C7787" s="7" t="n"/>
      <c r="D7787" s="7" t="n"/>
      <c r="E7787" s="7" t="n"/>
      <c r="F7787" s="7" t="n"/>
      <c r="G7787" s="7" t="n"/>
      <c r="H7787" s="7" t="n"/>
      <c r="I7787" s="7" t="n"/>
      <c r="J7787" s="7" t="n"/>
      <c r="K7787">
        <f>IF(D7787="Legitimate Interest (GDPR Art. 6(1)(f))", "Yes / Required (Sheet 3)", "")</f>
        <v/>
      </c>
      <c r="L7787" s="7" t="n"/>
      <c r="M7787" s="7" t="n"/>
      <c r="N7787">
        <f>IF(D7787="", "Gap - No Legal Basis", IF(AND(D7787="Consent (GDPR Art. 6(1)(a))", I7787="Not Captured"), "Gap - Invalid Consent", IF(AND(D7787="Legitimate Interest (GDPR Art. 6(1)(f))", L7787=""), "Gap - Missing LIA", IF(AND(G7787="Yes", H7787=""), "Gap - Missing Art. 9 Basis", IF(OR(I7787="Invalid - Not Freely Given", I7787="Invalid - Not Specific", I7787="Invalid - Not Informed", I7787="Invalid - Ambiguous"), "Gap - Invalid Consent", "Compliant")))))</f>
        <v/>
      </c>
      <c r="O7787" s="7" t="n"/>
    </row>
    <row r="7788">
      <c r="A7788" s="7" t="n"/>
      <c r="B7788" s="7" t="n"/>
      <c r="C7788" s="7" t="n"/>
      <c r="D7788" s="7" t="n"/>
      <c r="E7788" s="7" t="n"/>
      <c r="F7788" s="7" t="n"/>
      <c r="G7788" s="7" t="n"/>
      <c r="H7788" s="7" t="n"/>
      <c r="I7788" s="7" t="n"/>
      <c r="J7788" s="7" t="n"/>
      <c r="K7788">
        <f>IF(D7788="Legitimate Interest (GDPR Art. 6(1)(f))", "Yes / Required (Sheet 3)", "")</f>
        <v/>
      </c>
      <c r="L7788" s="7" t="n"/>
      <c r="M7788" s="7" t="n"/>
      <c r="N7788">
        <f>IF(D7788="", "Gap - No Legal Basis", IF(AND(D7788="Consent (GDPR Art. 6(1)(a))", I7788="Not Captured"), "Gap - Invalid Consent", IF(AND(D7788="Legitimate Interest (GDPR Art. 6(1)(f))", L7788=""), "Gap - Missing LIA", IF(AND(G7788="Yes", H7788=""), "Gap - Missing Art. 9 Basis", IF(OR(I7788="Invalid - Not Freely Given", I7788="Invalid - Not Specific", I7788="Invalid - Not Informed", I7788="Invalid - Ambiguous"), "Gap - Invalid Consent", "Compliant")))))</f>
        <v/>
      </c>
      <c r="O7788" s="7" t="n"/>
    </row>
    <row r="7789">
      <c r="A7789" s="7" t="n"/>
      <c r="B7789" s="7" t="n"/>
      <c r="C7789" s="7" t="n"/>
      <c r="D7789" s="7" t="n"/>
      <c r="E7789" s="7" t="n"/>
      <c r="F7789" s="7" t="n"/>
      <c r="G7789" s="7" t="n"/>
      <c r="H7789" s="7" t="n"/>
      <c r="I7789" s="7" t="n"/>
      <c r="J7789" s="7" t="n"/>
      <c r="K7789">
        <f>IF(D7789="Legitimate Interest (GDPR Art. 6(1)(f))", "Yes / Required (Sheet 3)", "")</f>
        <v/>
      </c>
      <c r="L7789" s="7" t="n"/>
      <c r="M7789" s="7" t="n"/>
      <c r="N7789">
        <f>IF(D7789="", "Gap - No Legal Basis", IF(AND(D7789="Consent (GDPR Art. 6(1)(a))", I7789="Not Captured"), "Gap - Invalid Consent", IF(AND(D7789="Legitimate Interest (GDPR Art. 6(1)(f))", L7789=""), "Gap - Missing LIA", IF(AND(G7789="Yes", H7789=""), "Gap - Missing Art. 9 Basis", IF(OR(I7789="Invalid - Not Freely Given", I7789="Invalid - Not Specific", I7789="Invalid - Not Informed", I7789="Invalid - Ambiguous"), "Gap - Invalid Consent", "Compliant")))))</f>
        <v/>
      </c>
      <c r="O7789" s="7" t="n"/>
    </row>
    <row r="7790">
      <c r="A7790" s="7" t="n"/>
      <c r="B7790" s="7" t="n"/>
      <c r="C7790" s="7" t="n"/>
      <c r="D7790" s="7" t="n"/>
      <c r="E7790" s="7" t="n"/>
      <c r="F7790" s="7" t="n"/>
      <c r="G7790" s="7" t="n"/>
      <c r="H7790" s="7" t="n"/>
      <c r="I7790" s="7" t="n"/>
      <c r="J7790" s="7" t="n"/>
      <c r="K7790">
        <f>IF(D7790="Legitimate Interest (GDPR Art. 6(1)(f))", "Yes / Required (Sheet 3)", "")</f>
        <v/>
      </c>
      <c r="L7790" s="7" t="n"/>
      <c r="M7790" s="7" t="n"/>
      <c r="N7790">
        <f>IF(D7790="", "Gap - No Legal Basis", IF(AND(D7790="Consent (GDPR Art. 6(1)(a))", I7790="Not Captured"), "Gap - Invalid Consent", IF(AND(D7790="Legitimate Interest (GDPR Art. 6(1)(f))", L7790=""), "Gap - Missing LIA", IF(AND(G7790="Yes", H7790=""), "Gap - Missing Art. 9 Basis", IF(OR(I7790="Invalid - Not Freely Given", I7790="Invalid - Not Specific", I7790="Invalid - Not Informed", I7790="Invalid - Ambiguous"), "Gap - Invalid Consent", "Compliant")))))</f>
        <v/>
      </c>
      <c r="O7790" s="7" t="n"/>
    </row>
    <row r="7791">
      <c r="A7791" s="7" t="n"/>
      <c r="B7791" s="7" t="n"/>
      <c r="C7791" s="7" t="n"/>
      <c r="D7791" s="7" t="n"/>
      <c r="E7791" s="7" t="n"/>
      <c r="F7791" s="7" t="n"/>
      <c r="G7791" s="7" t="n"/>
      <c r="H7791" s="7" t="n"/>
      <c r="I7791" s="7" t="n"/>
      <c r="J7791" s="7" t="n"/>
      <c r="K7791">
        <f>IF(D7791="Legitimate Interest (GDPR Art. 6(1)(f))", "Yes / Required (Sheet 3)", "")</f>
        <v/>
      </c>
      <c r="L7791" s="7" t="n"/>
      <c r="M7791" s="7" t="n"/>
      <c r="N7791">
        <f>IF(D7791="", "Gap - No Legal Basis", IF(AND(D7791="Consent (GDPR Art. 6(1)(a))", I7791="Not Captured"), "Gap - Invalid Consent", IF(AND(D7791="Legitimate Interest (GDPR Art. 6(1)(f))", L7791=""), "Gap - Missing LIA", IF(AND(G7791="Yes", H7791=""), "Gap - Missing Art. 9 Basis", IF(OR(I7791="Invalid - Not Freely Given", I7791="Invalid - Not Specific", I7791="Invalid - Not Informed", I7791="Invalid - Ambiguous"), "Gap - Invalid Consent", "Compliant")))))</f>
        <v/>
      </c>
      <c r="O7791" s="7" t="n"/>
    </row>
    <row r="7792">
      <c r="A7792" s="7" t="n"/>
      <c r="B7792" s="7" t="n"/>
      <c r="C7792" s="7" t="n"/>
      <c r="D7792" s="7" t="n"/>
      <c r="E7792" s="7" t="n"/>
      <c r="F7792" s="7" t="n"/>
      <c r="G7792" s="7" t="n"/>
      <c r="H7792" s="7" t="n"/>
      <c r="I7792" s="7" t="n"/>
      <c r="J7792" s="7" t="n"/>
      <c r="K7792">
        <f>IF(D7792="Legitimate Interest (GDPR Art. 6(1)(f))", "Yes / Required (Sheet 3)", "")</f>
        <v/>
      </c>
      <c r="L7792" s="7" t="n"/>
      <c r="M7792" s="7" t="n"/>
      <c r="N7792">
        <f>IF(D7792="", "Gap - No Legal Basis", IF(AND(D7792="Consent (GDPR Art. 6(1)(a))", I7792="Not Captured"), "Gap - Invalid Consent", IF(AND(D7792="Legitimate Interest (GDPR Art. 6(1)(f))", L7792=""), "Gap - Missing LIA", IF(AND(G7792="Yes", H7792=""), "Gap - Missing Art. 9 Basis", IF(OR(I7792="Invalid - Not Freely Given", I7792="Invalid - Not Specific", I7792="Invalid - Not Informed", I7792="Invalid - Ambiguous"), "Gap - Invalid Consent", "Compliant")))))</f>
        <v/>
      </c>
      <c r="O7792" s="7" t="n"/>
    </row>
    <row r="7793">
      <c r="A7793" s="7" t="n"/>
      <c r="B7793" s="7" t="n"/>
      <c r="C7793" s="7" t="n"/>
      <c r="D7793" s="7" t="n"/>
      <c r="E7793" s="7" t="n"/>
      <c r="F7793" s="7" t="n"/>
      <c r="G7793" s="7" t="n"/>
      <c r="H7793" s="7" t="n"/>
      <c r="I7793" s="7" t="n"/>
      <c r="J7793" s="7" t="n"/>
      <c r="K7793">
        <f>IF(D7793="Legitimate Interest (GDPR Art. 6(1)(f))", "Yes / Required (Sheet 3)", "")</f>
        <v/>
      </c>
      <c r="L7793" s="7" t="n"/>
      <c r="M7793" s="7" t="n"/>
      <c r="N7793">
        <f>IF(D7793="", "Gap - No Legal Basis", IF(AND(D7793="Consent (GDPR Art. 6(1)(a))", I7793="Not Captured"), "Gap - Invalid Consent", IF(AND(D7793="Legitimate Interest (GDPR Art. 6(1)(f))", L7793=""), "Gap - Missing LIA", IF(AND(G7793="Yes", H7793=""), "Gap - Missing Art. 9 Basis", IF(OR(I7793="Invalid - Not Freely Given", I7793="Invalid - Not Specific", I7793="Invalid - Not Informed", I7793="Invalid - Ambiguous"), "Gap - Invalid Consent", "Compliant")))))</f>
        <v/>
      </c>
      <c r="O7793" s="7" t="n"/>
    </row>
    <row r="7794">
      <c r="A7794" s="7" t="n"/>
      <c r="B7794" s="7" t="n"/>
      <c r="C7794" s="7" t="n"/>
      <c r="D7794" s="7" t="n"/>
      <c r="E7794" s="7" t="n"/>
      <c r="F7794" s="7" t="n"/>
      <c r="G7794" s="7" t="n"/>
      <c r="H7794" s="7" t="n"/>
      <c r="I7794" s="7" t="n"/>
      <c r="J7794" s="7" t="n"/>
      <c r="K7794">
        <f>IF(D7794="Legitimate Interest (GDPR Art. 6(1)(f))", "Yes / Required (Sheet 3)", "")</f>
        <v/>
      </c>
      <c r="L7794" s="7" t="n"/>
      <c r="M7794" s="7" t="n"/>
      <c r="N7794">
        <f>IF(D7794="", "Gap - No Legal Basis", IF(AND(D7794="Consent (GDPR Art. 6(1)(a))", I7794="Not Captured"), "Gap - Invalid Consent", IF(AND(D7794="Legitimate Interest (GDPR Art. 6(1)(f))", L7794=""), "Gap - Missing LIA", IF(AND(G7794="Yes", H7794=""), "Gap - Missing Art. 9 Basis", IF(OR(I7794="Invalid - Not Freely Given", I7794="Invalid - Not Specific", I7794="Invalid - Not Informed", I7794="Invalid - Ambiguous"), "Gap - Invalid Consent", "Compliant")))))</f>
        <v/>
      </c>
      <c r="O7794" s="7" t="n"/>
    </row>
    <row r="7795">
      <c r="A7795" s="7" t="n"/>
      <c r="B7795" s="7" t="n"/>
      <c r="C7795" s="7" t="n"/>
      <c r="D7795" s="7" t="n"/>
      <c r="E7795" s="7" t="n"/>
      <c r="F7795" s="7" t="n"/>
      <c r="G7795" s="7" t="n"/>
      <c r="H7795" s="7" t="n"/>
      <c r="I7795" s="7" t="n"/>
      <c r="J7795" s="7" t="n"/>
      <c r="K7795">
        <f>IF(D7795="Legitimate Interest (GDPR Art. 6(1)(f))", "Yes / Required (Sheet 3)", "")</f>
        <v/>
      </c>
      <c r="L7795" s="7" t="n"/>
      <c r="M7795" s="7" t="n"/>
      <c r="N7795">
        <f>IF(D7795="", "Gap - No Legal Basis", IF(AND(D7795="Consent (GDPR Art. 6(1)(a))", I7795="Not Captured"), "Gap - Invalid Consent", IF(AND(D7795="Legitimate Interest (GDPR Art. 6(1)(f))", L7795=""), "Gap - Missing LIA", IF(AND(G7795="Yes", H7795=""), "Gap - Missing Art. 9 Basis", IF(OR(I7795="Invalid - Not Freely Given", I7795="Invalid - Not Specific", I7795="Invalid - Not Informed", I7795="Invalid - Ambiguous"), "Gap - Invalid Consent", "Compliant")))))</f>
        <v/>
      </c>
      <c r="O7795" s="7" t="n"/>
    </row>
    <row r="7796">
      <c r="A7796" s="7" t="n"/>
      <c r="B7796" s="7" t="n"/>
      <c r="C7796" s="7" t="n"/>
      <c r="D7796" s="7" t="n"/>
      <c r="E7796" s="7" t="n"/>
      <c r="F7796" s="7" t="n"/>
      <c r="G7796" s="7" t="n"/>
      <c r="H7796" s="7" t="n"/>
      <c r="I7796" s="7" t="n"/>
      <c r="J7796" s="7" t="n"/>
      <c r="K7796">
        <f>IF(D7796="Legitimate Interest (GDPR Art. 6(1)(f))", "Yes / Required (Sheet 3)", "")</f>
        <v/>
      </c>
      <c r="L7796" s="7" t="n"/>
      <c r="M7796" s="7" t="n"/>
      <c r="N7796">
        <f>IF(D7796="", "Gap - No Legal Basis", IF(AND(D7796="Consent (GDPR Art. 6(1)(a))", I7796="Not Captured"), "Gap - Invalid Consent", IF(AND(D7796="Legitimate Interest (GDPR Art. 6(1)(f))", L7796=""), "Gap - Missing LIA", IF(AND(G7796="Yes", H7796=""), "Gap - Missing Art. 9 Basis", IF(OR(I7796="Invalid - Not Freely Given", I7796="Invalid - Not Specific", I7796="Invalid - Not Informed", I7796="Invalid - Ambiguous"), "Gap - Invalid Consent", "Compliant")))))</f>
        <v/>
      </c>
      <c r="O7796" s="7" t="n"/>
    </row>
    <row r="7797">
      <c r="A7797" s="7" t="n"/>
      <c r="B7797" s="7" t="n"/>
      <c r="C7797" s="7" t="n"/>
      <c r="D7797" s="7" t="n"/>
      <c r="E7797" s="7" t="n"/>
      <c r="F7797" s="7" t="n"/>
      <c r="G7797" s="7" t="n"/>
      <c r="H7797" s="7" t="n"/>
      <c r="I7797" s="7" t="n"/>
      <c r="J7797" s="7" t="n"/>
      <c r="K7797">
        <f>IF(D7797="Legitimate Interest (GDPR Art. 6(1)(f))", "Yes / Required (Sheet 3)", "")</f>
        <v/>
      </c>
      <c r="L7797" s="7" t="n"/>
      <c r="M7797" s="7" t="n"/>
      <c r="N7797">
        <f>IF(D7797="", "Gap - No Legal Basis", IF(AND(D7797="Consent (GDPR Art. 6(1)(a))", I7797="Not Captured"), "Gap - Invalid Consent", IF(AND(D7797="Legitimate Interest (GDPR Art. 6(1)(f))", L7797=""), "Gap - Missing LIA", IF(AND(G7797="Yes", H7797=""), "Gap - Missing Art. 9 Basis", IF(OR(I7797="Invalid - Not Freely Given", I7797="Invalid - Not Specific", I7797="Invalid - Not Informed", I7797="Invalid - Ambiguous"), "Gap - Invalid Consent", "Compliant")))))</f>
        <v/>
      </c>
      <c r="O7797" s="7" t="n"/>
    </row>
    <row r="7798">
      <c r="A7798" s="7" t="n"/>
      <c r="B7798" s="7" t="n"/>
      <c r="C7798" s="7" t="n"/>
      <c r="D7798" s="7" t="n"/>
      <c r="E7798" s="7" t="n"/>
      <c r="F7798" s="7" t="n"/>
      <c r="G7798" s="7" t="n"/>
      <c r="H7798" s="7" t="n"/>
      <c r="I7798" s="7" t="n"/>
      <c r="J7798" s="7" t="n"/>
      <c r="K7798">
        <f>IF(D7798="Legitimate Interest (GDPR Art. 6(1)(f))", "Yes / Required (Sheet 3)", "")</f>
        <v/>
      </c>
      <c r="L7798" s="7" t="n"/>
      <c r="M7798" s="7" t="n"/>
      <c r="N7798">
        <f>IF(D7798="", "Gap - No Legal Basis", IF(AND(D7798="Consent (GDPR Art. 6(1)(a))", I7798="Not Captured"), "Gap - Invalid Consent", IF(AND(D7798="Legitimate Interest (GDPR Art. 6(1)(f))", L7798=""), "Gap - Missing LIA", IF(AND(G7798="Yes", H7798=""), "Gap - Missing Art. 9 Basis", IF(OR(I7798="Invalid - Not Freely Given", I7798="Invalid - Not Specific", I7798="Invalid - Not Informed", I7798="Invalid - Ambiguous"), "Gap - Invalid Consent", "Compliant")))))</f>
        <v/>
      </c>
      <c r="O7798" s="7" t="n"/>
    </row>
    <row r="7799">
      <c r="A7799" s="7" t="n"/>
      <c r="B7799" s="7" t="n"/>
      <c r="C7799" s="7" t="n"/>
      <c r="D7799" s="7" t="n"/>
      <c r="E7799" s="7" t="n"/>
      <c r="F7799" s="7" t="n"/>
      <c r="G7799" s="7" t="n"/>
      <c r="H7799" s="7" t="n"/>
      <c r="I7799" s="7" t="n"/>
      <c r="J7799" s="7" t="n"/>
      <c r="K7799">
        <f>IF(D7799="Legitimate Interest (GDPR Art. 6(1)(f))", "Yes / Required (Sheet 3)", "")</f>
        <v/>
      </c>
      <c r="L7799" s="7" t="n"/>
      <c r="M7799" s="7" t="n"/>
      <c r="N7799">
        <f>IF(D7799="", "Gap - No Legal Basis", IF(AND(D7799="Consent (GDPR Art. 6(1)(a))", I7799="Not Captured"), "Gap - Invalid Consent", IF(AND(D7799="Legitimate Interest (GDPR Art. 6(1)(f))", L7799=""), "Gap - Missing LIA", IF(AND(G7799="Yes", H7799=""), "Gap - Missing Art. 9 Basis", IF(OR(I7799="Invalid - Not Freely Given", I7799="Invalid - Not Specific", I7799="Invalid - Not Informed", I7799="Invalid - Ambiguous"), "Gap - Invalid Consent", "Compliant")))))</f>
        <v/>
      </c>
      <c r="O7799" s="7" t="n"/>
    </row>
    <row r="7800">
      <c r="A7800" s="7" t="n"/>
      <c r="B7800" s="7" t="n"/>
      <c r="C7800" s="7" t="n"/>
      <c r="D7800" s="7" t="n"/>
      <c r="E7800" s="7" t="n"/>
      <c r="F7800" s="7" t="n"/>
      <c r="G7800" s="7" t="n"/>
      <c r="H7800" s="7" t="n"/>
      <c r="I7800" s="7" t="n"/>
      <c r="J7800" s="7" t="n"/>
      <c r="K7800">
        <f>IF(D7800="Legitimate Interest (GDPR Art. 6(1)(f))", "Yes / Required (Sheet 3)", "")</f>
        <v/>
      </c>
      <c r="L7800" s="7" t="n"/>
      <c r="M7800" s="7" t="n"/>
      <c r="N7800">
        <f>IF(D7800="", "Gap - No Legal Basis", IF(AND(D7800="Consent (GDPR Art. 6(1)(a))", I7800="Not Captured"), "Gap - Invalid Consent", IF(AND(D7800="Legitimate Interest (GDPR Art. 6(1)(f))", L7800=""), "Gap - Missing LIA", IF(AND(G7800="Yes", H7800=""), "Gap - Missing Art. 9 Basis", IF(OR(I7800="Invalid - Not Freely Given", I7800="Invalid - Not Specific", I7800="Invalid - Not Informed", I7800="Invalid - Ambiguous"), "Gap - Invalid Consent", "Compliant")))))</f>
        <v/>
      </c>
      <c r="O7800" s="7" t="n"/>
    </row>
    <row r="7801">
      <c r="A7801" s="7" t="n"/>
      <c r="B7801" s="7" t="n"/>
      <c r="C7801" s="7" t="n"/>
      <c r="D7801" s="7" t="n"/>
      <c r="E7801" s="7" t="n"/>
      <c r="F7801" s="7" t="n"/>
      <c r="G7801" s="7" t="n"/>
      <c r="H7801" s="7" t="n"/>
      <c r="I7801" s="7" t="n"/>
      <c r="J7801" s="7" t="n"/>
      <c r="K7801">
        <f>IF(D7801="Legitimate Interest (GDPR Art. 6(1)(f))", "Yes / Required (Sheet 3)", "")</f>
        <v/>
      </c>
      <c r="L7801" s="7" t="n"/>
      <c r="M7801" s="7" t="n"/>
      <c r="N7801">
        <f>IF(D7801="", "Gap - No Legal Basis", IF(AND(D7801="Consent (GDPR Art. 6(1)(a))", I7801="Not Captured"), "Gap - Invalid Consent", IF(AND(D7801="Legitimate Interest (GDPR Art. 6(1)(f))", L7801=""), "Gap - Missing LIA", IF(AND(G7801="Yes", H7801=""), "Gap - Missing Art. 9 Basis", IF(OR(I7801="Invalid - Not Freely Given", I7801="Invalid - Not Specific", I7801="Invalid - Not Informed", I7801="Invalid - Ambiguous"), "Gap - Invalid Consent", "Compliant")))))</f>
        <v/>
      </c>
      <c r="O7801" s="7" t="n"/>
    </row>
    <row r="7802">
      <c r="A7802" s="7" t="n"/>
      <c r="B7802" s="7" t="n"/>
      <c r="C7802" s="7" t="n"/>
      <c r="D7802" s="7" t="n"/>
      <c r="E7802" s="7" t="n"/>
      <c r="F7802" s="7" t="n"/>
      <c r="G7802" s="7" t="n"/>
      <c r="H7802" s="7" t="n"/>
      <c r="I7802" s="7" t="n"/>
      <c r="J7802" s="7" t="n"/>
      <c r="K7802">
        <f>IF(D7802="Legitimate Interest (GDPR Art. 6(1)(f))", "Yes / Required (Sheet 3)", "")</f>
        <v/>
      </c>
      <c r="L7802" s="7" t="n"/>
      <c r="M7802" s="7" t="n"/>
      <c r="N7802">
        <f>IF(D7802="", "Gap - No Legal Basis", IF(AND(D7802="Consent (GDPR Art. 6(1)(a))", I7802="Not Captured"), "Gap - Invalid Consent", IF(AND(D7802="Legitimate Interest (GDPR Art. 6(1)(f))", L7802=""), "Gap - Missing LIA", IF(AND(G7802="Yes", H7802=""), "Gap - Missing Art. 9 Basis", IF(OR(I7802="Invalid - Not Freely Given", I7802="Invalid - Not Specific", I7802="Invalid - Not Informed", I7802="Invalid - Ambiguous"), "Gap - Invalid Consent", "Compliant")))))</f>
        <v/>
      </c>
      <c r="O7802" s="7" t="n"/>
    </row>
    <row r="7803">
      <c r="A7803" s="7" t="n"/>
      <c r="B7803" s="7" t="n"/>
      <c r="C7803" s="7" t="n"/>
      <c r="D7803" s="7" t="n"/>
      <c r="E7803" s="7" t="n"/>
      <c r="F7803" s="7" t="n"/>
      <c r="G7803" s="7" t="n"/>
      <c r="H7803" s="7" t="n"/>
      <c r="I7803" s="7" t="n"/>
      <c r="J7803" s="7" t="n"/>
      <c r="K7803">
        <f>IF(D7803="Legitimate Interest (GDPR Art. 6(1)(f))", "Yes / Required (Sheet 3)", "")</f>
        <v/>
      </c>
      <c r="L7803" s="7" t="n"/>
      <c r="M7803" s="7" t="n"/>
      <c r="N7803">
        <f>IF(D7803="", "Gap - No Legal Basis", IF(AND(D7803="Consent (GDPR Art. 6(1)(a))", I7803="Not Captured"), "Gap - Invalid Consent", IF(AND(D7803="Legitimate Interest (GDPR Art. 6(1)(f))", L7803=""), "Gap - Missing LIA", IF(AND(G7803="Yes", H7803=""), "Gap - Missing Art. 9 Basis", IF(OR(I7803="Invalid - Not Freely Given", I7803="Invalid - Not Specific", I7803="Invalid - Not Informed", I7803="Invalid - Ambiguous"), "Gap - Invalid Consent", "Compliant")))))</f>
        <v/>
      </c>
      <c r="O7803" s="7" t="n"/>
    </row>
    <row r="7804">
      <c r="A7804" s="7" t="n"/>
      <c r="B7804" s="7" t="n"/>
      <c r="C7804" s="7" t="n"/>
      <c r="D7804" s="7" t="n"/>
      <c r="E7804" s="7" t="n"/>
      <c r="F7804" s="7" t="n"/>
      <c r="G7804" s="7" t="n"/>
      <c r="H7804" s="7" t="n"/>
      <c r="I7804" s="7" t="n"/>
      <c r="J7804" s="7" t="n"/>
      <c r="K7804">
        <f>IF(D7804="Legitimate Interest (GDPR Art. 6(1)(f))", "Yes / Required (Sheet 3)", "")</f>
        <v/>
      </c>
      <c r="L7804" s="7" t="n"/>
      <c r="M7804" s="7" t="n"/>
      <c r="N7804">
        <f>IF(D7804="", "Gap - No Legal Basis", IF(AND(D7804="Consent (GDPR Art. 6(1)(a))", I7804="Not Captured"), "Gap - Invalid Consent", IF(AND(D7804="Legitimate Interest (GDPR Art. 6(1)(f))", L7804=""), "Gap - Missing LIA", IF(AND(G7804="Yes", H7804=""), "Gap - Missing Art. 9 Basis", IF(OR(I7804="Invalid - Not Freely Given", I7804="Invalid - Not Specific", I7804="Invalid - Not Informed", I7804="Invalid - Ambiguous"), "Gap - Invalid Consent", "Compliant")))))</f>
        <v/>
      </c>
      <c r="O7804" s="7" t="n"/>
    </row>
    <row r="7805">
      <c r="A7805" s="7" t="n"/>
      <c r="B7805" s="7" t="n"/>
      <c r="C7805" s="7" t="n"/>
      <c r="D7805" s="7" t="n"/>
      <c r="E7805" s="7" t="n"/>
      <c r="F7805" s="7" t="n"/>
      <c r="G7805" s="7" t="n"/>
      <c r="H7805" s="7" t="n"/>
      <c r="I7805" s="7" t="n"/>
      <c r="J7805" s="7" t="n"/>
      <c r="K7805">
        <f>IF(D7805="Legitimate Interest (GDPR Art. 6(1)(f))", "Yes / Required (Sheet 3)", "")</f>
        <v/>
      </c>
      <c r="L7805" s="7" t="n"/>
      <c r="M7805" s="7" t="n"/>
      <c r="N7805">
        <f>IF(D7805="", "Gap - No Legal Basis", IF(AND(D7805="Consent (GDPR Art. 6(1)(a))", I7805="Not Captured"), "Gap - Invalid Consent", IF(AND(D7805="Legitimate Interest (GDPR Art. 6(1)(f))", L7805=""), "Gap - Missing LIA", IF(AND(G7805="Yes", H7805=""), "Gap - Missing Art. 9 Basis", IF(OR(I7805="Invalid - Not Freely Given", I7805="Invalid - Not Specific", I7805="Invalid - Not Informed", I7805="Invalid - Ambiguous"), "Gap - Invalid Consent", "Compliant")))))</f>
        <v/>
      </c>
      <c r="O7805" s="7" t="n"/>
    </row>
    <row r="7806">
      <c r="A7806" s="7" t="n"/>
      <c r="B7806" s="7" t="n"/>
      <c r="C7806" s="7" t="n"/>
      <c r="D7806" s="7" t="n"/>
      <c r="E7806" s="7" t="n"/>
      <c r="F7806" s="7" t="n"/>
      <c r="G7806" s="7" t="n"/>
      <c r="H7806" s="7" t="n"/>
      <c r="I7806" s="7" t="n"/>
      <c r="J7806" s="7" t="n"/>
      <c r="K7806">
        <f>IF(D7806="Legitimate Interest (GDPR Art. 6(1)(f))", "Yes / Required (Sheet 3)", "")</f>
        <v/>
      </c>
      <c r="L7806" s="7" t="n"/>
      <c r="M7806" s="7" t="n"/>
      <c r="N7806">
        <f>IF(D7806="", "Gap - No Legal Basis", IF(AND(D7806="Consent (GDPR Art. 6(1)(a))", I7806="Not Captured"), "Gap - Invalid Consent", IF(AND(D7806="Legitimate Interest (GDPR Art. 6(1)(f))", L7806=""), "Gap - Missing LIA", IF(AND(G7806="Yes", H7806=""), "Gap - Missing Art. 9 Basis", IF(OR(I7806="Invalid - Not Freely Given", I7806="Invalid - Not Specific", I7806="Invalid - Not Informed", I7806="Invalid - Ambiguous"), "Gap - Invalid Consent", "Compliant")))))</f>
        <v/>
      </c>
      <c r="O7806" s="7" t="n"/>
    </row>
    <row r="7807">
      <c r="A7807" s="7" t="n"/>
      <c r="B7807" s="7" t="n"/>
      <c r="C7807" s="7" t="n"/>
      <c r="D7807" s="7" t="n"/>
      <c r="E7807" s="7" t="n"/>
      <c r="F7807" s="7" t="n"/>
      <c r="G7807" s="7" t="n"/>
      <c r="H7807" s="7" t="n"/>
      <c r="I7807" s="7" t="n"/>
      <c r="J7807" s="7" t="n"/>
      <c r="K7807">
        <f>IF(D7807="Legitimate Interest (GDPR Art. 6(1)(f))", "Yes / Required (Sheet 3)", "")</f>
        <v/>
      </c>
      <c r="L7807" s="7" t="n"/>
      <c r="M7807" s="7" t="n"/>
      <c r="N7807">
        <f>IF(D7807="", "Gap - No Legal Basis", IF(AND(D7807="Consent (GDPR Art. 6(1)(a))", I7807="Not Captured"), "Gap - Invalid Consent", IF(AND(D7807="Legitimate Interest (GDPR Art. 6(1)(f))", L7807=""), "Gap - Missing LIA", IF(AND(G7807="Yes", H7807=""), "Gap - Missing Art. 9 Basis", IF(OR(I7807="Invalid - Not Freely Given", I7807="Invalid - Not Specific", I7807="Invalid - Not Informed", I7807="Invalid - Ambiguous"), "Gap - Invalid Consent", "Compliant")))))</f>
        <v/>
      </c>
      <c r="O7807" s="7" t="n"/>
    </row>
    <row r="7808">
      <c r="A7808" s="7" t="n"/>
      <c r="B7808" s="7" t="n"/>
      <c r="C7808" s="7" t="n"/>
      <c r="D7808" s="7" t="n"/>
      <c r="E7808" s="7" t="n"/>
      <c r="F7808" s="7" t="n"/>
      <c r="G7808" s="7" t="n"/>
      <c r="H7808" s="7" t="n"/>
      <c r="I7808" s="7" t="n"/>
      <c r="J7808" s="7" t="n"/>
      <c r="K7808">
        <f>IF(D7808="Legitimate Interest (GDPR Art. 6(1)(f))", "Yes / Required (Sheet 3)", "")</f>
        <v/>
      </c>
      <c r="L7808" s="7" t="n"/>
      <c r="M7808" s="7" t="n"/>
      <c r="N7808">
        <f>IF(D7808="", "Gap - No Legal Basis", IF(AND(D7808="Consent (GDPR Art. 6(1)(a))", I7808="Not Captured"), "Gap - Invalid Consent", IF(AND(D7808="Legitimate Interest (GDPR Art. 6(1)(f))", L7808=""), "Gap - Missing LIA", IF(AND(G7808="Yes", H7808=""), "Gap - Missing Art. 9 Basis", IF(OR(I7808="Invalid - Not Freely Given", I7808="Invalid - Not Specific", I7808="Invalid - Not Informed", I7808="Invalid - Ambiguous"), "Gap - Invalid Consent", "Compliant")))))</f>
        <v/>
      </c>
      <c r="O7808" s="7" t="n"/>
    </row>
    <row r="7809">
      <c r="A7809" s="7" t="n"/>
      <c r="B7809" s="7" t="n"/>
      <c r="C7809" s="7" t="n"/>
      <c r="D7809" s="7" t="n"/>
      <c r="E7809" s="7" t="n"/>
      <c r="F7809" s="7" t="n"/>
      <c r="G7809" s="7" t="n"/>
      <c r="H7809" s="7" t="n"/>
      <c r="I7809" s="7" t="n"/>
      <c r="J7809" s="7" t="n"/>
      <c r="K7809">
        <f>IF(D7809="Legitimate Interest (GDPR Art. 6(1)(f))", "Yes / Required (Sheet 3)", "")</f>
        <v/>
      </c>
      <c r="L7809" s="7" t="n"/>
      <c r="M7809" s="7" t="n"/>
      <c r="N7809">
        <f>IF(D7809="", "Gap - No Legal Basis", IF(AND(D7809="Consent (GDPR Art. 6(1)(a))", I7809="Not Captured"), "Gap - Invalid Consent", IF(AND(D7809="Legitimate Interest (GDPR Art. 6(1)(f))", L7809=""), "Gap - Missing LIA", IF(AND(G7809="Yes", H7809=""), "Gap - Missing Art. 9 Basis", IF(OR(I7809="Invalid - Not Freely Given", I7809="Invalid - Not Specific", I7809="Invalid - Not Informed", I7809="Invalid - Ambiguous"), "Gap - Invalid Consent", "Compliant")))))</f>
        <v/>
      </c>
      <c r="O7809" s="7" t="n"/>
    </row>
    <row r="7810">
      <c r="A7810" s="7" t="n"/>
      <c r="B7810" s="7" t="n"/>
      <c r="C7810" s="7" t="n"/>
      <c r="D7810" s="7" t="n"/>
      <c r="E7810" s="7" t="n"/>
      <c r="F7810" s="7" t="n"/>
      <c r="G7810" s="7" t="n"/>
      <c r="H7810" s="7" t="n"/>
      <c r="I7810" s="7" t="n"/>
      <c r="J7810" s="7" t="n"/>
      <c r="K7810">
        <f>IF(D7810="Legitimate Interest (GDPR Art. 6(1)(f))", "Yes / Required (Sheet 3)", "")</f>
        <v/>
      </c>
      <c r="L7810" s="7" t="n"/>
      <c r="M7810" s="7" t="n"/>
      <c r="N7810">
        <f>IF(D7810="", "Gap - No Legal Basis", IF(AND(D7810="Consent (GDPR Art. 6(1)(a))", I7810="Not Captured"), "Gap - Invalid Consent", IF(AND(D7810="Legitimate Interest (GDPR Art. 6(1)(f))", L7810=""), "Gap - Missing LIA", IF(AND(G7810="Yes", H7810=""), "Gap - Missing Art. 9 Basis", IF(OR(I7810="Invalid - Not Freely Given", I7810="Invalid - Not Specific", I7810="Invalid - Not Informed", I7810="Invalid - Ambiguous"), "Gap - Invalid Consent", "Compliant")))))</f>
        <v/>
      </c>
      <c r="O7810" s="7" t="n"/>
    </row>
    <row r="7811">
      <c r="A7811" s="7" t="n"/>
      <c r="B7811" s="7" t="n"/>
      <c r="C7811" s="7" t="n"/>
      <c r="D7811" s="7" t="n"/>
      <c r="E7811" s="7" t="n"/>
      <c r="F7811" s="7" t="n"/>
      <c r="G7811" s="7" t="n"/>
      <c r="H7811" s="7" t="n"/>
      <c r="I7811" s="7" t="n"/>
      <c r="J7811" s="7" t="n"/>
      <c r="K7811">
        <f>IF(D7811="Legitimate Interest (GDPR Art. 6(1)(f))", "Yes / Required (Sheet 3)", "")</f>
        <v/>
      </c>
      <c r="L7811" s="7" t="n"/>
      <c r="M7811" s="7" t="n"/>
      <c r="N7811">
        <f>IF(D7811="", "Gap - No Legal Basis", IF(AND(D7811="Consent (GDPR Art. 6(1)(a))", I7811="Not Captured"), "Gap - Invalid Consent", IF(AND(D7811="Legitimate Interest (GDPR Art. 6(1)(f))", L7811=""), "Gap - Missing LIA", IF(AND(G7811="Yes", H7811=""), "Gap - Missing Art. 9 Basis", IF(OR(I7811="Invalid - Not Freely Given", I7811="Invalid - Not Specific", I7811="Invalid - Not Informed", I7811="Invalid - Ambiguous"), "Gap - Invalid Consent", "Compliant")))))</f>
        <v/>
      </c>
      <c r="O7811" s="7" t="n"/>
    </row>
    <row r="7812">
      <c r="A7812" s="7" t="n"/>
      <c r="B7812" s="7" t="n"/>
      <c r="C7812" s="7" t="n"/>
      <c r="D7812" s="7" t="n"/>
      <c r="E7812" s="7" t="n"/>
      <c r="F7812" s="7" t="n"/>
      <c r="G7812" s="7" t="n"/>
      <c r="H7812" s="7" t="n"/>
      <c r="I7812" s="7" t="n"/>
      <c r="J7812" s="7" t="n"/>
      <c r="K7812">
        <f>IF(D7812="Legitimate Interest (GDPR Art. 6(1)(f))", "Yes / Required (Sheet 3)", "")</f>
        <v/>
      </c>
      <c r="L7812" s="7" t="n"/>
      <c r="M7812" s="7" t="n"/>
      <c r="N7812">
        <f>IF(D7812="", "Gap - No Legal Basis", IF(AND(D7812="Consent (GDPR Art. 6(1)(a))", I7812="Not Captured"), "Gap - Invalid Consent", IF(AND(D7812="Legitimate Interest (GDPR Art. 6(1)(f))", L7812=""), "Gap - Missing LIA", IF(AND(G7812="Yes", H7812=""), "Gap - Missing Art. 9 Basis", IF(OR(I7812="Invalid - Not Freely Given", I7812="Invalid - Not Specific", I7812="Invalid - Not Informed", I7812="Invalid - Ambiguous"), "Gap - Invalid Consent", "Compliant")))))</f>
        <v/>
      </c>
      <c r="O7812" s="7" t="n"/>
    </row>
    <row r="7813">
      <c r="A7813" s="7" t="n"/>
      <c r="B7813" s="7" t="n"/>
      <c r="C7813" s="7" t="n"/>
      <c r="D7813" s="7" t="n"/>
      <c r="E7813" s="7" t="n"/>
      <c r="F7813" s="7" t="n"/>
      <c r="G7813" s="7" t="n"/>
      <c r="H7813" s="7" t="n"/>
      <c r="I7813" s="7" t="n"/>
      <c r="J7813" s="7" t="n"/>
      <c r="K7813">
        <f>IF(D7813="Legitimate Interest (GDPR Art. 6(1)(f))", "Yes / Required (Sheet 3)", "")</f>
        <v/>
      </c>
      <c r="L7813" s="7" t="n"/>
      <c r="M7813" s="7" t="n"/>
      <c r="N7813">
        <f>IF(D7813="", "Gap - No Legal Basis", IF(AND(D7813="Consent (GDPR Art. 6(1)(a))", I7813="Not Captured"), "Gap - Invalid Consent", IF(AND(D7813="Legitimate Interest (GDPR Art. 6(1)(f))", L7813=""), "Gap - Missing LIA", IF(AND(G7813="Yes", H7813=""), "Gap - Missing Art. 9 Basis", IF(OR(I7813="Invalid - Not Freely Given", I7813="Invalid - Not Specific", I7813="Invalid - Not Informed", I7813="Invalid - Ambiguous"), "Gap - Invalid Consent", "Compliant")))))</f>
        <v/>
      </c>
      <c r="O7813" s="7" t="n"/>
    </row>
    <row r="7814">
      <c r="A7814" s="7" t="n"/>
      <c r="B7814" s="7" t="n"/>
      <c r="C7814" s="7" t="n"/>
      <c r="D7814" s="7" t="n"/>
      <c r="E7814" s="7" t="n"/>
      <c r="F7814" s="7" t="n"/>
      <c r="G7814" s="7" t="n"/>
      <c r="H7814" s="7" t="n"/>
      <c r="I7814" s="7" t="n"/>
      <c r="J7814" s="7" t="n"/>
      <c r="K7814">
        <f>IF(D7814="Legitimate Interest (GDPR Art. 6(1)(f))", "Yes / Required (Sheet 3)", "")</f>
        <v/>
      </c>
      <c r="L7814" s="7" t="n"/>
      <c r="M7814" s="7" t="n"/>
      <c r="N7814">
        <f>IF(D7814="", "Gap - No Legal Basis", IF(AND(D7814="Consent (GDPR Art. 6(1)(a))", I7814="Not Captured"), "Gap - Invalid Consent", IF(AND(D7814="Legitimate Interest (GDPR Art. 6(1)(f))", L7814=""), "Gap - Missing LIA", IF(AND(G7814="Yes", H7814=""), "Gap - Missing Art. 9 Basis", IF(OR(I7814="Invalid - Not Freely Given", I7814="Invalid - Not Specific", I7814="Invalid - Not Informed", I7814="Invalid - Ambiguous"), "Gap - Invalid Consent", "Compliant")))))</f>
        <v/>
      </c>
      <c r="O7814" s="7" t="n"/>
    </row>
    <row r="7815">
      <c r="A7815" s="7" t="n"/>
      <c r="B7815" s="7" t="n"/>
      <c r="C7815" s="7" t="n"/>
      <c r="D7815" s="7" t="n"/>
      <c r="E7815" s="7" t="n"/>
      <c r="F7815" s="7" t="n"/>
      <c r="G7815" s="7" t="n"/>
      <c r="H7815" s="7" t="n"/>
      <c r="I7815" s="7" t="n"/>
      <c r="J7815" s="7" t="n"/>
      <c r="K7815">
        <f>IF(D7815="Legitimate Interest (GDPR Art. 6(1)(f))", "Yes / Required (Sheet 3)", "")</f>
        <v/>
      </c>
      <c r="L7815" s="7" t="n"/>
      <c r="M7815" s="7" t="n"/>
      <c r="N7815">
        <f>IF(D7815="", "Gap - No Legal Basis", IF(AND(D7815="Consent (GDPR Art. 6(1)(a))", I7815="Not Captured"), "Gap - Invalid Consent", IF(AND(D7815="Legitimate Interest (GDPR Art. 6(1)(f))", L7815=""), "Gap - Missing LIA", IF(AND(G7815="Yes", H7815=""), "Gap - Missing Art. 9 Basis", IF(OR(I7815="Invalid - Not Freely Given", I7815="Invalid - Not Specific", I7815="Invalid - Not Informed", I7815="Invalid - Ambiguous"), "Gap - Invalid Consent", "Compliant")))))</f>
        <v/>
      </c>
      <c r="O7815" s="7" t="n"/>
    </row>
    <row r="7816">
      <c r="A7816" s="7" t="n"/>
      <c r="B7816" s="7" t="n"/>
      <c r="C7816" s="7" t="n"/>
      <c r="D7816" s="7" t="n"/>
      <c r="E7816" s="7" t="n"/>
      <c r="F7816" s="7" t="n"/>
      <c r="G7816" s="7" t="n"/>
      <c r="H7816" s="7" t="n"/>
      <c r="I7816" s="7" t="n"/>
      <c r="J7816" s="7" t="n"/>
      <c r="K7816">
        <f>IF(D7816="Legitimate Interest (GDPR Art. 6(1)(f))", "Yes / Required (Sheet 3)", "")</f>
        <v/>
      </c>
      <c r="L7816" s="7" t="n"/>
      <c r="M7816" s="7" t="n"/>
      <c r="N7816">
        <f>IF(D7816="", "Gap - No Legal Basis", IF(AND(D7816="Consent (GDPR Art. 6(1)(a))", I7816="Not Captured"), "Gap - Invalid Consent", IF(AND(D7816="Legitimate Interest (GDPR Art. 6(1)(f))", L7816=""), "Gap - Missing LIA", IF(AND(G7816="Yes", H7816=""), "Gap - Missing Art. 9 Basis", IF(OR(I7816="Invalid - Not Freely Given", I7816="Invalid - Not Specific", I7816="Invalid - Not Informed", I7816="Invalid - Ambiguous"), "Gap - Invalid Consent", "Compliant")))))</f>
        <v/>
      </c>
      <c r="O7816" s="7" t="n"/>
    </row>
    <row r="7817">
      <c r="A7817" s="7" t="n"/>
      <c r="B7817" s="7" t="n"/>
      <c r="C7817" s="7" t="n"/>
      <c r="D7817" s="7" t="n"/>
      <c r="E7817" s="7" t="n"/>
      <c r="F7817" s="7" t="n"/>
      <c r="G7817" s="7" t="n"/>
      <c r="H7817" s="7" t="n"/>
      <c r="I7817" s="7" t="n"/>
      <c r="J7817" s="7" t="n"/>
      <c r="K7817">
        <f>IF(D7817="Legitimate Interest (GDPR Art. 6(1)(f))", "Yes / Required (Sheet 3)", "")</f>
        <v/>
      </c>
      <c r="L7817" s="7" t="n"/>
      <c r="M7817" s="7" t="n"/>
      <c r="N7817">
        <f>IF(D7817="", "Gap - No Legal Basis", IF(AND(D7817="Consent (GDPR Art. 6(1)(a))", I7817="Not Captured"), "Gap - Invalid Consent", IF(AND(D7817="Legitimate Interest (GDPR Art. 6(1)(f))", L7817=""), "Gap - Missing LIA", IF(AND(G7817="Yes", H7817=""), "Gap - Missing Art. 9 Basis", IF(OR(I7817="Invalid - Not Freely Given", I7817="Invalid - Not Specific", I7817="Invalid - Not Informed", I7817="Invalid - Ambiguous"), "Gap - Invalid Consent", "Compliant")))))</f>
        <v/>
      </c>
      <c r="O7817" s="7" t="n"/>
    </row>
    <row r="7818">
      <c r="A7818" s="7" t="n"/>
      <c r="B7818" s="7" t="n"/>
      <c r="C7818" s="7" t="n"/>
      <c r="D7818" s="7" t="n"/>
      <c r="E7818" s="7" t="n"/>
      <c r="F7818" s="7" t="n"/>
      <c r="G7818" s="7" t="n"/>
      <c r="H7818" s="7" t="n"/>
      <c r="I7818" s="7" t="n"/>
      <c r="J7818" s="7" t="n"/>
      <c r="K7818">
        <f>IF(D7818="Legitimate Interest (GDPR Art. 6(1)(f))", "Yes / Required (Sheet 3)", "")</f>
        <v/>
      </c>
      <c r="L7818" s="7" t="n"/>
      <c r="M7818" s="7" t="n"/>
      <c r="N7818">
        <f>IF(D7818="", "Gap - No Legal Basis", IF(AND(D7818="Consent (GDPR Art. 6(1)(a))", I7818="Not Captured"), "Gap - Invalid Consent", IF(AND(D7818="Legitimate Interest (GDPR Art. 6(1)(f))", L7818=""), "Gap - Missing LIA", IF(AND(G7818="Yes", H7818=""), "Gap - Missing Art. 9 Basis", IF(OR(I7818="Invalid - Not Freely Given", I7818="Invalid - Not Specific", I7818="Invalid - Not Informed", I7818="Invalid - Ambiguous"), "Gap - Invalid Consent", "Compliant")))))</f>
        <v/>
      </c>
      <c r="O7818" s="7" t="n"/>
    </row>
    <row r="7819">
      <c r="A7819" s="7" t="n"/>
      <c r="B7819" s="7" t="n"/>
      <c r="C7819" s="7" t="n"/>
      <c r="D7819" s="7" t="n"/>
      <c r="E7819" s="7" t="n"/>
      <c r="F7819" s="7" t="n"/>
      <c r="G7819" s="7" t="n"/>
      <c r="H7819" s="7" t="n"/>
      <c r="I7819" s="7" t="n"/>
      <c r="J7819" s="7" t="n"/>
      <c r="K7819">
        <f>IF(D7819="Legitimate Interest (GDPR Art. 6(1)(f))", "Yes / Required (Sheet 3)", "")</f>
        <v/>
      </c>
      <c r="L7819" s="7" t="n"/>
      <c r="M7819" s="7" t="n"/>
      <c r="N7819">
        <f>IF(D7819="", "Gap - No Legal Basis", IF(AND(D7819="Consent (GDPR Art. 6(1)(a))", I7819="Not Captured"), "Gap - Invalid Consent", IF(AND(D7819="Legitimate Interest (GDPR Art. 6(1)(f))", L7819=""), "Gap - Missing LIA", IF(AND(G7819="Yes", H7819=""), "Gap - Missing Art. 9 Basis", IF(OR(I7819="Invalid - Not Freely Given", I7819="Invalid - Not Specific", I7819="Invalid - Not Informed", I7819="Invalid - Ambiguous"), "Gap - Invalid Consent", "Compliant")))))</f>
        <v/>
      </c>
      <c r="O7819" s="7" t="n"/>
    </row>
    <row r="7820">
      <c r="A7820" s="7" t="n"/>
      <c r="B7820" s="7" t="n"/>
      <c r="C7820" s="7" t="n"/>
      <c r="D7820" s="7" t="n"/>
      <c r="E7820" s="7" t="n"/>
      <c r="F7820" s="7" t="n"/>
      <c r="G7820" s="7" t="n"/>
      <c r="H7820" s="7" t="n"/>
      <c r="I7820" s="7" t="n"/>
      <c r="J7820" s="7" t="n"/>
      <c r="K7820">
        <f>IF(D7820="Legitimate Interest (GDPR Art. 6(1)(f))", "Yes / Required (Sheet 3)", "")</f>
        <v/>
      </c>
      <c r="L7820" s="7" t="n"/>
      <c r="M7820" s="7" t="n"/>
      <c r="N7820">
        <f>IF(D7820="", "Gap - No Legal Basis", IF(AND(D7820="Consent (GDPR Art. 6(1)(a))", I7820="Not Captured"), "Gap - Invalid Consent", IF(AND(D7820="Legitimate Interest (GDPR Art. 6(1)(f))", L7820=""), "Gap - Missing LIA", IF(AND(G7820="Yes", H7820=""), "Gap - Missing Art. 9 Basis", IF(OR(I7820="Invalid - Not Freely Given", I7820="Invalid - Not Specific", I7820="Invalid - Not Informed", I7820="Invalid - Ambiguous"), "Gap - Invalid Consent", "Compliant")))))</f>
        <v/>
      </c>
      <c r="O7820" s="7" t="n"/>
    </row>
    <row r="7821">
      <c r="A7821" s="7" t="n"/>
      <c r="B7821" s="7" t="n"/>
      <c r="C7821" s="7" t="n"/>
      <c r="D7821" s="7" t="n"/>
      <c r="E7821" s="7" t="n"/>
      <c r="F7821" s="7" t="n"/>
      <c r="G7821" s="7" t="n"/>
      <c r="H7821" s="7" t="n"/>
      <c r="I7821" s="7" t="n"/>
      <c r="J7821" s="7" t="n"/>
      <c r="K7821">
        <f>IF(D7821="Legitimate Interest (GDPR Art. 6(1)(f))", "Yes / Required (Sheet 3)", "")</f>
        <v/>
      </c>
      <c r="L7821" s="7" t="n"/>
      <c r="M7821" s="7" t="n"/>
      <c r="N7821">
        <f>IF(D7821="", "Gap - No Legal Basis", IF(AND(D7821="Consent (GDPR Art. 6(1)(a))", I7821="Not Captured"), "Gap - Invalid Consent", IF(AND(D7821="Legitimate Interest (GDPR Art. 6(1)(f))", L7821=""), "Gap - Missing LIA", IF(AND(G7821="Yes", H7821=""), "Gap - Missing Art. 9 Basis", IF(OR(I7821="Invalid - Not Freely Given", I7821="Invalid - Not Specific", I7821="Invalid - Not Informed", I7821="Invalid - Ambiguous"), "Gap - Invalid Consent", "Compliant")))))</f>
        <v/>
      </c>
      <c r="O7821" s="7" t="n"/>
    </row>
    <row r="7822">
      <c r="A7822" s="7" t="n"/>
      <c r="B7822" s="7" t="n"/>
      <c r="C7822" s="7" t="n"/>
      <c r="D7822" s="7" t="n"/>
      <c r="E7822" s="7" t="n"/>
      <c r="F7822" s="7" t="n"/>
      <c r="G7822" s="7" t="n"/>
      <c r="H7822" s="7" t="n"/>
      <c r="I7822" s="7" t="n"/>
      <c r="J7822" s="7" t="n"/>
      <c r="K7822">
        <f>IF(D7822="Legitimate Interest (GDPR Art. 6(1)(f))", "Yes / Required (Sheet 3)", "")</f>
        <v/>
      </c>
      <c r="L7822" s="7" t="n"/>
      <c r="M7822" s="7" t="n"/>
      <c r="N7822">
        <f>IF(D7822="", "Gap - No Legal Basis", IF(AND(D7822="Consent (GDPR Art. 6(1)(a))", I7822="Not Captured"), "Gap - Invalid Consent", IF(AND(D7822="Legitimate Interest (GDPR Art. 6(1)(f))", L7822=""), "Gap - Missing LIA", IF(AND(G7822="Yes", H7822=""), "Gap - Missing Art. 9 Basis", IF(OR(I7822="Invalid - Not Freely Given", I7822="Invalid - Not Specific", I7822="Invalid - Not Informed", I7822="Invalid - Ambiguous"), "Gap - Invalid Consent", "Compliant")))))</f>
        <v/>
      </c>
      <c r="O7822" s="7" t="n"/>
    </row>
    <row r="7823">
      <c r="A7823" s="7" t="n"/>
      <c r="B7823" s="7" t="n"/>
      <c r="C7823" s="7" t="n"/>
      <c r="D7823" s="7" t="n"/>
      <c r="E7823" s="7" t="n"/>
      <c r="F7823" s="7" t="n"/>
      <c r="G7823" s="7" t="n"/>
      <c r="H7823" s="7" t="n"/>
      <c r="I7823" s="7" t="n"/>
      <c r="J7823" s="7" t="n"/>
      <c r="K7823">
        <f>IF(D7823="Legitimate Interest (GDPR Art. 6(1)(f))", "Yes / Required (Sheet 3)", "")</f>
        <v/>
      </c>
      <c r="L7823" s="7" t="n"/>
      <c r="M7823" s="7" t="n"/>
      <c r="N7823">
        <f>IF(D7823="", "Gap - No Legal Basis", IF(AND(D7823="Consent (GDPR Art. 6(1)(a))", I7823="Not Captured"), "Gap - Invalid Consent", IF(AND(D7823="Legitimate Interest (GDPR Art. 6(1)(f))", L7823=""), "Gap - Missing LIA", IF(AND(G7823="Yes", H7823=""), "Gap - Missing Art. 9 Basis", IF(OR(I7823="Invalid - Not Freely Given", I7823="Invalid - Not Specific", I7823="Invalid - Not Informed", I7823="Invalid - Ambiguous"), "Gap - Invalid Consent", "Compliant")))))</f>
        <v/>
      </c>
      <c r="O7823" s="7" t="n"/>
    </row>
    <row r="7824">
      <c r="A7824" s="7" t="n"/>
      <c r="B7824" s="7" t="n"/>
      <c r="C7824" s="7" t="n"/>
      <c r="D7824" s="7" t="n"/>
      <c r="E7824" s="7" t="n"/>
      <c r="F7824" s="7" t="n"/>
      <c r="G7824" s="7" t="n"/>
      <c r="H7824" s="7" t="n"/>
      <c r="I7824" s="7" t="n"/>
      <c r="J7824" s="7" t="n"/>
      <c r="K7824">
        <f>IF(D7824="Legitimate Interest (GDPR Art. 6(1)(f))", "Yes / Required (Sheet 3)", "")</f>
        <v/>
      </c>
      <c r="L7824" s="7" t="n"/>
      <c r="M7824" s="7" t="n"/>
      <c r="N7824">
        <f>IF(D7824="", "Gap - No Legal Basis", IF(AND(D7824="Consent (GDPR Art. 6(1)(a))", I7824="Not Captured"), "Gap - Invalid Consent", IF(AND(D7824="Legitimate Interest (GDPR Art. 6(1)(f))", L7824=""), "Gap - Missing LIA", IF(AND(G7824="Yes", H7824=""), "Gap - Missing Art. 9 Basis", IF(OR(I7824="Invalid - Not Freely Given", I7824="Invalid - Not Specific", I7824="Invalid - Not Informed", I7824="Invalid - Ambiguous"), "Gap - Invalid Consent", "Compliant")))))</f>
        <v/>
      </c>
      <c r="O7824" s="7" t="n"/>
    </row>
    <row r="7825">
      <c r="A7825" s="7" t="n"/>
      <c r="B7825" s="7" t="n"/>
      <c r="C7825" s="7" t="n"/>
      <c r="D7825" s="7" t="n"/>
      <c r="E7825" s="7" t="n"/>
      <c r="F7825" s="7" t="n"/>
      <c r="G7825" s="7" t="n"/>
      <c r="H7825" s="7" t="n"/>
      <c r="I7825" s="7" t="n"/>
      <c r="J7825" s="7" t="n"/>
      <c r="K7825">
        <f>IF(D7825="Legitimate Interest (GDPR Art. 6(1)(f))", "Yes / Required (Sheet 3)", "")</f>
        <v/>
      </c>
      <c r="L7825" s="7" t="n"/>
      <c r="M7825" s="7" t="n"/>
      <c r="N7825">
        <f>IF(D7825="", "Gap - No Legal Basis", IF(AND(D7825="Consent (GDPR Art. 6(1)(a))", I7825="Not Captured"), "Gap - Invalid Consent", IF(AND(D7825="Legitimate Interest (GDPR Art. 6(1)(f))", L7825=""), "Gap - Missing LIA", IF(AND(G7825="Yes", H7825=""), "Gap - Missing Art. 9 Basis", IF(OR(I7825="Invalid - Not Freely Given", I7825="Invalid - Not Specific", I7825="Invalid - Not Informed", I7825="Invalid - Ambiguous"), "Gap - Invalid Consent", "Compliant")))))</f>
        <v/>
      </c>
      <c r="O7825" s="7" t="n"/>
    </row>
    <row r="7826">
      <c r="A7826" s="7" t="n"/>
      <c r="B7826" s="7" t="n"/>
      <c r="C7826" s="7" t="n"/>
      <c r="D7826" s="7" t="n"/>
      <c r="E7826" s="7" t="n"/>
      <c r="F7826" s="7" t="n"/>
      <c r="G7826" s="7" t="n"/>
      <c r="H7826" s="7" t="n"/>
      <c r="I7826" s="7" t="n"/>
      <c r="J7826" s="7" t="n"/>
      <c r="K7826">
        <f>IF(D7826="Legitimate Interest (GDPR Art. 6(1)(f))", "Yes / Required (Sheet 3)", "")</f>
        <v/>
      </c>
      <c r="L7826" s="7" t="n"/>
      <c r="M7826" s="7" t="n"/>
      <c r="N7826">
        <f>IF(D7826="", "Gap - No Legal Basis", IF(AND(D7826="Consent (GDPR Art. 6(1)(a))", I7826="Not Captured"), "Gap - Invalid Consent", IF(AND(D7826="Legitimate Interest (GDPR Art. 6(1)(f))", L7826=""), "Gap - Missing LIA", IF(AND(G7826="Yes", H7826=""), "Gap - Missing Art. 9 Basis", IF(OR(I7826="Invalid - Not Freely Given", I7826="Invalid - Not Specific", I7826="Invalid - Not Informed", I7826="Invalid - Ambiguous"), "Gap - Invalid Consent", "Compliant")))))</f>
        <v/>
      </c>
      <c r="O7826" s="7" t="n"/>
    </row>
    <row r="7827">
      <c r="A7827" s="7" t="n"/>
      <c r="B7827" s="7" t="n"/>
      <c r="C7827" s="7" t="n"/>
      <c r="D7827" s="7" t="n"/>
      <c r="E7827" s="7" t="n"/>
      <c r="F7827" s="7" t="n"/>
      <c r="G7827" s="7" t="n"/>
      <c r="H7827" s="7" t="n"/>
      <c r="I7827" s="7" t="n"/>
      <c r="J7827" s="7" t="n"/>
      <c r="K7827">
        <f>IF(D7827="Legitimate Interest (GDPR Art. 6(1)(f))", "Yes / Required (Sheet 3)", "")</f>
        <v/>
      </c>
      <c r="L7827" s="7" t="n"/>
      <c r="M7827" s="7" t="n"/>
      <c r="N7827">
        <f>IF(D7827="", "Gap - No Legal Basis", IF(AND(D7827="Consent (GDPR Art. 6(1)(a))", I7827="Not Captured"), "Gap - Invalid Consent", IF(AND(D7827="Legitimate Interest (GDPR Art. 6(1)(f))", L7827=""), "Gap - Missing LIA", IF(AND(G7827="Yes", H7827=""), "Gap - Missing Art. 9 Basis", IF(OR(I7827="Invalid - Not Freely Given", I7827="Invalid - Not Specific", I7827="Invalid - Not Informed", I7827="Invalid - Ambiguous"), "Gap - Invalid Consent", "Compliant")))))</f>
        <v/>
      </c>
      <c r="O7827" s="7" t="n"/>
    </row>
    <row r="7828">
      <c r="A7828" s="7" t="n"/>
      <c r="B7828" s="7" t="n"/>
      <c r="C7828" s="7" t="n"/>
      <c r="D7828" s="7" t="n"/>
      <c r="E7828" s="7" t="n"/>
      <c r="F7828" s="7" t="n"/>
      <c r="G7828" s="7" t="n"/>
      <c r="H7828" s="7" t="n"/>
      <c r="I7828" s="7" t="n"/>
      <c r="J7828" s="7" t="n"/>
      <c r="K7828">
        <f>IF(D7828="Legitimate Interest (GDPR Art. 6(1)(f))", "Yes / Required (Sheet 3)", "")</f>
        <v/>
      </c>
      <c r="L7828" s="7" t="n"/>
      <c r="M7828" s="7" t="n"/>
      <c r="N7828">
        <f>IF(D7828="", "Gap - No Legal Basis", IF(AND(D7828="Consent (GDPR Art. 6(1)(a))", I7828="Not Captured"), "Gap - Invalid Consent", IF(AND(D7828="Legitimate Interest (GDPR Art. 6(1)(f))", L7828=""), "Gap - Missing LIA", IF(AND(G7828="Yes", H7828=""), "Gap - Missing Art. 9 Basis", IF(OR(I7828="Invalid - Not Freely Given", I7828="Invalid - Not Specific", I7828="Invalid - Not Informed", I7828="Invalid - Ambiguous"), "Gap - Invalid Consent", "Compliant")))))</f>
        <v/>
      </c>
      <c r="O7828" s="7" t="n"/>
    </row>
    <row r="7829">
      <c r="A7829" s="7" t="n"/>
      <c r="B7829" s="7" t="n"/>
      <c r="C7829" s="7" t="n"/>
      <c r="D7829" s="7" t="n"/>
      <c r="E7829" s="7" t="n"/>
      <c r="F7829" s="7" t="n"/>
      <c r="G7829" s="7" t="n"/>
      <c r="H7829" s="7" t="n"/>
      <c r="I7829" s="7" t="n"/>
      <c r="J7829" s="7" t="n"/>
      <c r="K7829">
        <f>IF(D7829="Legitimate Interest (GDPR Art. 6(1)(f))", "Yes / Required (Sheet 3)", "")</f>
        <v/>
      </c>
      <c r="L7829" s="7" t="n"/>
      <c r="M7829" s="7" t="n"/>
      <c r="N7829">
        <f>IF(D7829="", "Gap - No Legal Basis", IF(AND(D7829="Consent (GDPR Art. 6(1)(a))", I7829="Not Captured"), "Gap - Invalid Consent", IF(AND(D7829="Legitimate Interest (GDPR Art. 6(1)(f))", L7829=""), "Gap - Missing LIA", IF(AND(G7829="Yes", H7829=""), "Gap - Missing Art. 9 Basis", IF(OR(I7829="Invalid - Not Freely Given", I7829="Invalid - Not Specific", I7829="Invalid - Not Informed", I7829="Invalid - Ambiguous"), "Gap - Invalid Consent", "Compliant")))))</f>
        <v/>
      </c>
      <c r="O7829" s="7" t="n"/>
    </row>
    <row r="7830">
      <c r="A7830" s="7" t="n"/>
      <c r="B7830" s="7" t="n"/>
      <c r="C7830" s="7" t="n"/>
      <c r="D7830" s="7" t="n"/>
      <c r="E7830" s="7" t="n"/>
      <c r="F7830" s="7" t="n"/>
      <c r="G7830" s="7" t="n"/>
      <c r="H7830" s="7" t="n"/>
      <c r="I7830" s="7" t="n"/>
      <c r="J7830" s="7" t="n"/>
      <c r="K7830">
        <f>IF(D7830="Legitimate Interest (GDPR Art. 6(1)(f))", "Yes / Required (Sheet 3)", "")</f>
        <v/>
      </c>
      <c r="L7830" s="7" t="n"/>
      <c r="M7830" s="7" t="n"/>
      <c r="N7830">
        <f>IF(D7830="", "Gap - No Legal Basis", IF(AND(D7830="Consent (GDPR Art. 6(1)(a))", I7830="Not Captured"), "Gap - Invalid Consent", IF(AND(D7830="Legitimate Interest (GDPR Art. 6(1)(f))", L7830=""), "Gap - Missing LIA", IF(AND(G7830="Yes", H7830=""), "Gap - Missing Art. 9 Basis", IF(OR(I7830="Invalid - Not Freely Given", I7830="Invalid - Not Specific", I7830="Invalid - Not Informed", I7830="Invalid - Ambiguous"), "Gap - Invalid Consent", "Compliant")))))</f>
        <v/>
      </c>
      <c r="O7830" s="7" t="n"/>
    </row>
    <row r="7831">
      <c r="A7831" s="7" t="n"/>
      <c r="B7831" s="7" t="n"/>
      <c r="C7831" s="7" t="n"/>
      <c r="D7831" s="7" t="n"/>
      <c r="E7831" s="7" t="n"/>
      <c r="F7831" s="7" t="n"/>
      <c r="G7831" s="7" t="n"/>
      <c r="H7831" s="7" t="n"/>
      <c r="I7831" s="7" t="n"/>
      <c r="J7831" s="7" t="n"/>
      <c r="K7831">
        <f>IF(D7831="Legitimate Interest (GDPR Art. 6(1)(f))", "Yes / Required (Sheet 3)", "")</f>
        <v/>
      </c>
      <c r="L7831" s="7" t="n"/>
      <c r="M7831" s="7" t="n"/>
      <c r="N7831">
        <f>IF(D7831="", "Gap - No Legal Basis", IF(AND(D7831="Consent (GDPR Art. 6(1)(a))", I7831="Not Captured"), "Gap - Invalid Consent", IF(AND(D7831="Legitimate Interest (GDPR Art. 6(1)(f))", L7831=""), "Gap - Missing LIA", IF(AND(G7831="Yes", H7831=""), "Gap - Missing Art. 9 Basis", IF(OR(I7831="Invalid - Not Freely Given", I7831="Invalid - Not Specific", I7831="Invalid - Not Informed", I7831="Invalid - Ambiguous"), "Gap - Invalid Consent", "Compliant")))))</f>
        <v/>
      </c>
      <c r="O7831" s="7" t="n"/>
    </row>
    <row r="7832">
      <c r="A7832" s="7" t="n"/>
      <c r="B7832" s="7" t="n"/>
      <c r="C7832" s="7" t="n"/>
      <c r="D7832" s="7" t="n"/>
      <c r="E7832" s="7" t="n"/>
      <c r="F7832" s="7" t="n"/>
      <c r="G7832" s="7" t="n"/>
      <c r="H7832" s="7" t="n"/>
      <c r="I7832" s="7" t="n"/>
      <c r="J7832" s="7" t="n"/>
      <c r="K7832">
        <f>IF(D7832="Legitimate Interest (GDPR Art. 6(1)(f))", "Yes / Required (Sheet 3)", "")</f>
        <v/>
      </c>
      <c r="L7832" s="7" t="n"/>
      <c r="M7832" s="7" t="n"/>
      <c r="N7832">
        <f>IF(D7832="", "Gap - No Legal Basis", IF(AND(D7832="Consent (GDPR Art. 6(1)(a))", I7832="Not Captured"), "Gap - Invalid Consent", IF(AND(D7832="Legitimate Interest (GDPR Art. 6(1)(f))", L7832=""), "Gap - Missing LIA", IF(AND(G7832="Yes", H7832=""), "Gap - Missing Art. 9 Basis", IF(OR(I7832="Invalid - Not Freely Given", I7832="Invalid - Not Specific", I7832="Invalid - Not Informed", I7832="Invalid - Ambiguous"), "Gap - Invalid Consent", "Compliant")))))</f>
        <v/>
      </c>
      <c r="O7832" s="7" t="n"/>
    </row>
    <row r="7833">
      <c r="A7833" s="7" t="n"/>
      <c r="B7833" s="7" t="n"/>
      <c r="C7833" s="7" t="n"/>
      <c r="D7833" s="7" t="n"/>
      <c r="E7833" s="7" t="n"/>
      <c r="F7833" s="7" t="n"/>
      <c r="G7833" s="7" t="n"/>
      <c r="H7833" s="7" t="n"/>
      <c r="I7833" s="7" t="n"/>
      <c r="J7833" s="7" t="n"/>
      <c r="K7833">
        <f>IF(D7833="Legitimate Interest (GDPR Art. 6(1)(f))", "Yes / Required (Sheet 3)", "")</f>
        <v/>
      </c>
      <c r="L7833" s="7" t="n"/>
      <c r="M7833" s="7" t="n"/>
      <c r="N7833">
        <f>IF(D7833="", "Gap - No Legal Basis", IF(AND(D7833="Consent (GDPR Art. 6(1)(a))", I7833="Not Captured"), "Gap - Invalid Consent", IF(AND(D7833="Legitimate Interest (GDPR Art. 6(1)(f))", L7833=""), "Gap - Missing LIA", IF(AND(G7833="Yes", H7833=""), "Gap - Missing Art. 9 Basis", IF(OR(I7833="Invalid - Not Freely Given", I7833="Invalid - Not Specific", I7833="Invalid - Not Informed", I7833="Invalid - Ambiguous"), "Gap - Invalid Consent", "Compliant")))))</f>
        <v/>
      </c>
      <c r="O7833" s="7" t="n"/>
    </row>
    <row r="7834">
      <c r="A7834" s="7" t="n"/>
      <c r="B7834" s="7" t="n"/>
      <c r="C7834" s="7" t="n"/>
      <c r="D7834" s="7" t="n"/>
      <c r="E7834" s="7" t="n"/>
      <c r="F7834" s="7" t="n"/>
      <c r="G7834" s="7" t="n"/>
      <c r="H7834" s="7" t="n"/>
      <c r="I7834" s="7" t="n"/>
      <c r="J7834" s="7" t="n"/>
      <c r="K7834">
        <f>IF(D7834="Legitimate Interest (GDPR Art. 6(1)(f))", "Yes / Required (Sheet 3)", "")</f>
        <v/>
      </c>
      <c r="L7834" s="7" t="n"/>
      <c r="M7834" s="7" t="n"/>
      <c r="N7834">
        <f>IF(D7834="", "Gap - No Legal Basis", IF(AND(D7834="Consent (GDPR Art. 6(1)(a))", I7834="Not Captured"), "Gap - Invalid Consent", IF(AND(D7834="Legitimate Interest (GDPR Art. 6(1)(f))", L7834=""), "Gap - Missing LIA", IF(AND(G7834="Yes", H7834=""), "Gap - Missing Art. 9 Basis", IF(OR(I7834="Invalid - Not Freely Given", I7834="Invalid - Not Specific", I7834="Invalid - Not Informed", I7834="Invalid - Ambiguous"), "Gap - Invalid Consent", "Compliant")))))</f>
        <v/>
      </c>
      <c r="O7834" s="7" t="n"/>
    </row>
    <row r="7835">
      <c r="A7835" s="7" t="n"/>
      <c r="B7835" s="7" t="n"/>
      <c r="C7835" s="7" t="n"/>
      <c r="D7835" s="7" t="n"/>
      <c r="E7835" s="7" t="n"/>
      <c r="F7835" s="7" t="n"/>
      <c r="G7835" s="7" t="n"/>
      <c r="H7835" s="7" t="n"/>
      <c r="I7835" s="7" t="n"/>
      <c r="J7835" s="7" t="n"/>
      <c r="K7835">
        <f>IF(D7835="Legitimate Interest (GDPR Art. 6(1)(f))", "Yes / Required (Sheet 3)", "")</f>
        <v/>
      </c>
      <c r="L7835" s="7" t="n"/>
      <c r="M7835" s="7" t="n"/>
      <c r="N7835">
        <f>IF(D7835="", "Gap - No Legal Basis", IF(AND(D7835="Consent (GDPR Art. 6(1)(a))", I7835="Not Captured"), "Gap - Invalid Consent", IF(AND(D7835="Legitimate Interest (GDPR Art. 6(1)(f))", L7835=""), "Gap - Missing LIA", IF(AND(G7835="Yes", H7835=""), "Gap - Missing Art. 9 Basis", IF(OR(I7835="Invalid - Not Freely Given", I7835="Invalid - Not Specific", I7835="Invalid - Not Informed", I7835="Invalid - Ambiguous"), "Gap - Invalid Consent", "Compliant")))))</f>
        <v/>
      </c>
      <c r="O7835" s="7" t="n"/>
    </row>
    <row r="7836">
      <c r="A7836" s="7" t="n"/>
      <c r="B7836" s="7" t="n"/>
      <c r="C7836" s="7" t="n"/>
      <c r="D7836" s="7" t="n"/>
      <c r="E7836" s="7" t="n"/>
      <c r="F7836" s="7" t="n"/>
      <c r="G7836" s="7" t="n"/>
      <c r="H7836" s="7" t="n"/>
      <c r="I7836" s="7" t="n"/>
      <c r="J7836" s="7" t="n"/>
      <c r="K7836">
        <f>IF(D7836="Legitimate Interest (GDPR Art. 6(1)(f))", "Yes / Required (Sheet 3)", "")</f>
        <v/>
      </c>
      <c r="L7836" s="7" t="n"/>
      <c r="M7836" s="7" t="n"/>
      <c r="N7836">
        <f>IF(D7836="", "Gap - No Legal Basis", IF(AND(D7836="Consent (GDPR Art. 6(1)(a))", I7836="Not Captured"), "Gap - Invalid Consent", IF(AND(D7836="Legitimate Interest (GDPR Art. 6(1)(f))", L7836=""), "Gap - Missing LIA", IF(AND(G7836="Yes", H7836=""), "Gap - Missing Art. 9 Basis", IF(OR(I7836="Invalid - Not Freely Given", I7836="Invalid - Not Specific", I7836="Invalid - Not Informed", I7836="Invalid - Ambiguous"), "Gap - Invalid Consent", "Compliant")))))</f>
        <v/>
      </c>
      <c r="O7836" s="7" t="n"/>
    </row>
    <row r="7837">
      <c r="A7837" s="7" t="n"/>
      <c r="B7837" s="7" t="n"/>
      <c r="C7837" s="7" t="n"/>
      <c r="D7837" s="7" t="n"/>
      <c r="E7837" s="7" t="n"/>
      <c r="F7837" s="7" t="n"/>
      <c r="G7837" s="7" t="n"/>
      <c r="H7837" s="7" t="n"/>
      <c r="I7837" s="7" t="n"/>
      <c r="J7837" s="7" t="n"/>
      <c r="K7837">
        <f>IF(D7837="Legitimate Interest (GDPR Art. 6(1)(f))", "Yes / Required (Sheet 3)", "")</f>
        <v/>
      </c>
      <c r="L7837" s="7" t="n"/>
      <c r="M7837" s="7" t="n"/>
      <c r="N7837">
        <f>IF(D7837="", "Gap - No Legal Basis", IF(AND(D7837="Consent (GDPR Art. 6(1)(a))", I7837="Not Captured"), "Gap - Invalid Consent", IF(AND(D7837="Legitimate Interest (GDPR Art. 6(1)(f))", L7837=""), "Gap - Missing LIA", IF(AND(G7837="Yes", H7837=""), "Gap - Missing Art. 9 Basis", IF(OR(I7837="Invalid - Not Freely Given", I7837="Invalid - Not Specific", I7837="Invalid - Not Informed", I7837="Invalid - Ambiguous"), "Gap - Invalid Consent", "Compliant")))))</f>
        <v/>
      </c>
      <c r="O7837" s="7" t="n"/>
    </row>
    <row r="7838">
      <c r="A7838" s="7" t="n"/>
      <c r="B7838" s="7" t="n"/>
      <c r="C7838" s="7" t="n"/>
      <c r="D7838" s="7" t="n"/>
      <c r="E7838" s="7" t="n"/>
      <c r="F7838" s="7" t="n"/>
      <c r="G7838" s="7" t="n"/>
      <c r="H7838" s="7" t="n"/>
      <c r="I7838" s="7" t="n"/>
      <c r="J7838" s="7" t="n"/>
      <c r="K7838">
        <f>IF(D7838="Legitimate Interest (GDPR Art. 6(1)(f))", "Yes / Required (Sheet 3)", "")</f>
        <v/>
      </c>
      <c r="L7838" s="7" t="n"/>
      <c r="M7838" s="7" t="n"/>
      <c r="N7838">
        <f>IF(D7838="", "Gap - No Legal Basis", IF(AND(D7838="Consent (GDPR Art. 6(1)(a))", I7838="Not Captured"), "Gap - Invalid Consent", IF(AND(D7838="Legitimate Interest (GDPR Art. 6(1)(f))", L7838=""), "Gap - Missing LIA", IF(AND(G7838="Yes", H7838=""), "Gap - Missing Art. 9 Basis", IF(OR(I7838="Invalid - Not Freely Given", I7838="Invalid - Not Specific", I7838="Invalid - Not Informed", I7838="Invalid - Ambiguous"), "Gap - Invalid Consent", "Compliant")))))</f>
        <v/>
      </c>
      <c r="O7838" s="7" t="n"/>
    </row>
    <row r="7839">
      <c r="A7839" s="7" t="n"/>
      <c r="B7839" s="7" t="n"/>
      <c r="C7839" s="7" t="n"/>
      <c r="D7839" s="7" t="n"/>
      <c r="E7839" s="7" t="n"/>
      <c r="F7839" s="7" t="n"/>
      <c r="G7839" s="7" t="n"/>
      <c r="H7839" s="7" t="n"/>
      <c r="I7839" s="7" t="n"/>
      <c r="J7839" s="7" t="n"/>
      <c r="K7839">
        <f>IF(D7839="Legitimate Interest (GDPR Art. 6(1)(f))", "Yes / Required (Sheet 3)", "")</f>
        <v/>
      </c>
      <c r="L7839" s="7" t="n"/>
      <c r="M7839" s="7" t="n"/>
      <c r="N7839">
        <f>IF(D7839="", "Gap - No Legal Basis", IF(AND(D7839="Consent (GDPR Art. 6(1)(a))", I7839="Not Captured"), "Gap - Invalid Consent", IF(AND(D7839="Legitimate Interest (GDPR Art. 6(1)(f))", L7839=""), "Gap - Missing LIA", IF(AND(G7839="Yes", H7839=""), "Gap - Missing Art. 9 Basis", IF(OR(I7839="Invalid - Not Freely Given", I7839="Invalid - Not Specific", I7839="Invalid - Not Informed", I7839="Invalid - Ambiguous"), "Gap - Invalid Consent", "Compliant")))))</f>
        <v/>
      </c>
      <c r="O7839" s="7" t="n"/>
    </row>
    <row r="7840">
      <c r="A7840" s="7" t="n"/>
      <c r="B7840" s="7" t="n"/>
      <c r="C7840" s="7" t="n"/>
      <c r="D7840" s="7" t="n"/>
      <c r="E7840" s="7" t="n"/>
      <c r="F7840" s="7" t="n"/>
      <c r="G7840" s="7" t="n"/>
      <c r="H7840" s="7" t="n"/>
      <c r="I7840" s="7" t="n"/>
      <c r="J7840" s="7" t="n"/>
      <c r="K7840">
        <f>IF(D7840="Legitimate Interest (GDPR Art. 6(1)(f))", "Yes / Required (Sheet 3)", "")</f>
        <v/>
      </c>
      <c r="L7840" s="7" t="n"/>
      <c r="M7840" s="7" t="n"/>
      <c r="N7840">
        <f>IF(D7840="", "Gap - No Legal Basis", IF(AND(D7840="Consent (GDPR Art. 6(1)(a))", I7840="Not Captured"), "Gap - Invalid Consent", IF(AND(D7840="Legitimate Interest (GDPR Art. 6(1)(f))", L7840=""), "Gap - Missing LIA", IF(AND(G7840="Yes", H7840=""), "Gap - Missing Art. 9 Basis", IF(OR(I7840="Invalid - Not Freely Given", I7840="Invalid - Not Specific", I7840="Invalid - Not Informed", I7840="Invalid - Ambiguous"), "Gap - Invalid Consent", "Compliant")))))</f>
        <v/>
      </c>
      <c r="O7840" s="7" t="n"/>
    </row>
    <row r="7841">
      <c r="A7841" s="7" t="n"/>
      <c r="B7841" s="7" t="n"/>
      <c r="C7841" s="7" t="n"/>
      <c r="D7841" s="7" t="n"/>
      <c r="E7841" s="7" t="n"/>
      <c r="F7841" s="7" t="n"/>
      <c r="G7841" s="7" t="n"/>
      <c r="H7841" s="7" t="n"/>
      <c r="I7841" s="7" t="n"/>
      <c r="J7841" s="7" t="n"/>
      <c r="K7841">
        <f>IF(D7841="Legitimate Interest (GDPR Art. 6(1)(f))", "Yes / Required (Sheet 3)", "")</f>
        <v/>
      </c>
      <c r="L7841" s="7" t="n"/>
      <c r="M7841" s="7" t="n"/>
      <c r="N7841">
        <f>IF(D7841="", "Gap - No Legal Basis", IF(AND(D7841="Consent (GDPR Art. 6(1)(a))", I7841="Not Captured"), "Gap - Invalid Consent", IF(AND(D7841="Legitimate Interest (GDPR Art. 6(1)(f))", L7841=""), "Gap - Missing LIA", IF(AND(G7841="Yes", H7841=""), "Gap - Missing Art. 9 Basis", IF(OR(I7841="Invalid - Not Freely Given", I7841="Invalid - Not Specific", I7841="Invalid - Not Informed", I7841="Invalid - Ambiguous"), "Gap - Invalid Consent", "Compliant")))))</f>
        <v/>
      </c>
      <c r="O7841" s="7" t="n"/>
    </row>
    <row r="7842">
      <c r="A7842" s="7" t="n"/>
      <c r="B7842" s="7" t="n"/>
      <c r="C7842" s="7" t="n"/>
      <c r="D7842" s="7" t="n"/>
      <c r="E7842" s="7" t="n"/>
      <c r="F7842" s="7" t="n"/>
      <c r="G7842" s="7" t="n"/>
      <c r="H7842" s="7" t="n"/>
      <c r="I7842" s="7" t="n"/>
      <c r="J7842" s="7" t="n"/>
      <c r="K7842">
        <f>IF(D7842="Legitimate Interest (GDPR Art. 6(1)(f))", "Yes / Required (Sheet 3)", "")</f>
        <v/>
      </c>
      <c r="L7842" s="7" t="n"/>
      <c r="M7842" s="7" t="n"/>
      <c r="N7842">
        <f>IF(D7842="", "Gap - No Legal Basis", IF(AND(D7842="Consent (GDPR Art. 6(1)(a))", I7842="Not Captured"), "Gap - Invalid Consent", IF(AND(D7842="Legitimate Interest (GDPR Art. 6(1)(f))", L7842=""), "Gap - Missing LIA", IF(AND(G7842="Yes", H7842=""), "Gap - Missing Art. 9 Basis", IF(OR(I7842="Invalid - Not Freely Given", I7842="Invalid - Not Specific", I7842="Invalid - Not Informed", I7842="Invalid - Ambiguous"), "Gap - Invalid Consent", "Compliant")))))</f>
        <v/>
      </c>
      <c r="O7842" s="7" t="n"/>
    </row>
    <row r="7843">
      <c r="A7843" s="7" t="n"/>
      <c r="B7843" s="7" t="n"/>
      <c r="C7843" s="7" t="n"/>
      <c r="D7843" s="7" t="n"/>
      <c r="E7843" s="7" t="n"/>
      <c r="F7843" s="7" t="n"/>
      <c r="G7843" s="7" t="n"/>
      <c r="H7843" s="7" t="n"/>
      <c r="I7843" s="7" t="n"/>
      <c r="J7843" s="7" t="n"/>
      <c r="K7843">
        <f>IF(D7843="Legitimate Interest (GDPR Art. 6(1)(f))", "Yes / Required (Sheet 3)", "")</f>
        <v/>
      </c>
      <c r="L7843" s="7" t="n"/>
      <c r="M7843" s="7" t="n"/>
      <c r="N7843">
        <f>IF(D7843="", "Gap - No Legal Basis", IF(AND(D7843="Consent (GDPR Art. 6(1)(a))", I7843="Not Captured"), "Gap - Invalid Consent", IF(AND(D7843="Legitimate Interest (GDPR Art. 6(1)(f))", L7843=""), "Gap - Missing LIA", IF(AND(G7843="Yes", H7843=""), "Gap - Missing Art. 9 Basis", IF(OR(I7843="Invalid - Not Freely Given", I7843="Invalid - Not Specific", I7843="Invalid - Not Informed", I7843="Invalid - Ambiguous"), "Gap - Invalid Consent", "Compliant")))))</f>
        <v/>
      </c>
      <c r="O7843" s="7" t="n"/>
    </row>
    <row r="7844">
      <c r="A7844" s="7" t="n"/>
      <c r="B7844" s="7" t="n"/>
      <c r="C7844" s="7" t="n"/>
      <c r="D7844" s="7" t="n"/>
      <c r="E7844" s="7" t="n"/>
      <c r="F7844" s="7" t="n"/>
      <c r="G7844" s="7" t="n"/>
      <c r="H7844" s="7" t="n"/>
      <c r="I7844" s="7" t="n"/>
      <c r="J7844" s="7" t="n"/>
      <c r="K7844">
        <f>IF(D7844="Legitimate Interest (GDPR Art. 6(1)(f))", "Yes / Required (Sheet 3)", "")</f>
        <v/>
      </c>
      <c r="L7844" s="7" t="n"/>
      <c r="M7844" s="7" t="n"/>
      <c r="N7844">
        <f>IF(D7844="", "Gap - No Legal Basis", IF(AND(D7844="Consent (GDPR Art. 6(1)(a))", I7844="Not Captured"), "Gap - Invalid Consent", IF(AND(D7844="Legitimate Interest (GDPR Art. 6(1)(f))", L7844=""), "Gap - Missing LIA", IF(AND(G7844="Yes", H7844=""), "Gap - Missing Art. 9 Basis", IF(OR(I7844="Invalid - Not Freely Given", I7844="Invalid - Not Specific", I7844="Invalid - Not Informed", I7844="Invalid - Ambiguous"), "Gap - Invalid Consent", "Compliant")))))</f>
        <v/>
      </c>
      <c r="O7844" s="7" t="n"/>
    </row>
    <row r="7845">
      <c r="A7845" s="7" t="n"/>
      <c r="B7845" s="7" t="n"/>
      <c r="C7845" s="7" t="n"/>
      <c r="D7845" s="7" t="n"/>
      <c r="E7845" s="7" t="n"/>
      <c r="F7845" s="7" t="n"/>
      <c r="G7845" s="7" t="n"/>
      <c r="H7845" s="7" t="n"/>
      <c r="I7845" s="7" t="n"/>
      <c r="J7845" s="7" t="n"/>
      <c r="K7845">
        <f>IF(D7845="Legitimate Interest (GDPR Art. 6(1)(f))", "Yes / Required (Sheet 3)", "")</f>
        <v/>
      </c>
      <c r="L7845" s="7" t="n"/>
      <c r="M7845" s="7" t="n"/>
      <c r="N7845">
        <f>IF(D7845="", "Gap - No Legal Basis", IF(AND(D7845="Consent (GDPR Art. 6(1)(a))", I7845="Not Captured"), "Gap - Invalid Consent", IF(AND(D7845="Legitimate Interest (GDPR Art. 6(1)(f))", L7845=""), "Gap - Missing LIA", IF(AND(G7845="Yes", H7845=""), "Gap - Missing Art. 9 Basis", IF(OR(I7845="Invalid - Not Freely Given", I7845="Invalid - Not Specific", I7845="Invalid - Not Informed", I7845="Invalid - Ambiguous"), "Gap - Invalid Consent", "Compliant")))))</f>
        <v/>
      </c>
      <c r="O7845" s="7" t="n"/>
    </row>
    <row r="7846">
      <c r="A7846" s="7" t="n"/>
      <c r="B7846" s="7" t="n"/>
      <c r="C7846" s="7" t="n"/>
      <c r="D7846" s="7" t="n"/>
      <c r="E7846" s="7" t="n"/>
      <c r="F7846" s="7" t="n"/>
      <c r="G7846" s="7" t="n"/>
      <c r="H7846" s="7" t="n"/>
      <c r="I7846" s="7" t="n"/>
      <c r="J7846" s="7" t="n"/>
      <c r="K7846">
        <f>IF(D7846="Legitimate Interest (GDPR Art. 6(1)(f))", "Yes / Required (Sheet 3)", "")</f>
        <v/>
      </c>
      <c r="L7846" s="7" t="n"/>
      <c r="M7846" s="7" t="n"/>
      <c r="N7846">
        <f>IF(D7846="", "Gap - No Legal Basis", IF(AND(D7846="Consent (GDPR Art. 6(1)(a))", I7846="Not Captured"), "Gap - Invalid Consent", IF(AND(D7846="Legitimate Interest (GDPR Art. 6(1)(f))", L7846=""), "Gap - Missing LIA", IF(AND(G7846="Yes", H7846=""), "Gap - Missing Art. 9 Basis", IF(OR(I7846="Invalid - Not Freely Given", I7846="Invalid - Not Specific", I7846="Invalid - Not Informed", I7846="Invalid - Ambiguous"), "Gap - Invalid Consent", "Compliant")))))</f>
        <v/>
      </c>
      <c r="O7846" s="7" t="n"/>
    </row>
    <row r="7847">
      <c r="A7847" s="7" t="n"/>
      <c r="B7847" s="7" t="n"/>
      <c r="C7847" s="7" t="n"/>
      <c r="D7847" s="7" t="n"/>
      <c r="E7847" s="7" t="n"/>
      <c r="F7847" s="7" t="n"/>
      <c r="G7847" s="7" t="n"/>
      <c r="H7847" s="7" t="n"/>
      <c r="I7847" s="7" t="n"/>
      <c r="J7847" s="7" t="n"/>
      <c r="K7847">
        <f>IF(D7847="Legitimate Interest (GDPR Art. 6(1)(f))", "Yes / Required (Sheet 3)", "")</f>
        <v/>
      </c>
      <c r="L7847" s="7" t="n"/>
      <c r="M7847" s="7" t="n"/>
      <c r="N7847">
        <f>IF(D7847="", "Gap - No Legal Basis", IF(AND(D7847="Consent (GDPR Art. 6(1)(a))", I7847="Not Captured"), "Gap - Invalid Consent", IF(AND(D7847="Legitimate Interest (GDPR Art. 6(1)(f))", L7847=""), "Gap - Missing LIA", IF(AND(G7847="Yes", H7847=""), "Gap - Missing Art. 9 Basis", IF(OR(I7847="Invalid - Not Freely Given", I7847="Invalid - Not Specific", I7847="Invalid - Not Informed", I7847="Invalid - Ambiguous"), "Gap - Invalid Consent", "Compliant")))))</f>
        <v/>
      </c>
      <c r="O7847" s="7" t="n"/>
    </row>
    <row r="7848">
      <c r="A7848" s="7" t="n"/>
      <c r="B7848" s="7" t="n"/>
      <c r="C7848" s="7" t="n"/>
      <c r="D7848" s="7" t="n"/>
      <c r="E7848" s="7" t="n"/>
      <c r="F7848" s="7" t="n"/>
      <c r="G7848" s="7" t="n"/>
      <c r="H7848" s="7" t="n"/>
      <c r="I7848" s="7" t="n"/>
      <c r="J7848" s="7" t="n"/>
      <c r="K7848">
        <f>IF(D7848="Legitimate Interest (GDPR Art. 6(1)(f))", "Yes / Required (Sheet 3)", "")</f>
        <v/>
      </c>
      <c r="L7848" s="7" t="n"/>
      <c r="M7848" s="7" t="n"/>
      <c r="N7848">
        <f>IF(D7848="", "Gap - No Legal Basis", IF(AND(D7848="Consent (GDPR Art. 6(1)(a))", I7848="Not Captured"), "Gap - Invalid Consent", IF(AND(D7848="Legitimate Interest (GDPR Art. 6(1)(f))", L7848=""), "Gap - Missing LIA", IF(AND(G7848="Yes", H7848=""), "Gap - Missing Art. 9 Basis", IF(OR(I7848="Invalid - Not Freely Given", I7848="Invalid - Not Specific", I7848="Invalid - Not Informed", I7848="Invalid - Ambiguous"), "Gap - Invalid Consent", "Compliant")))))</f>
        <v/>
      </c>
      <c r="O7848" s="7" t="n"/>
    </row>
    <row r="7849">
      <c r="A7849" s="7" t="n"/>
      <c r="B7849" s="7" t="n"/>
      <c r="C7849" s="7" t="n"/>
      <c r="D7849" s="7" t="n"/>
      <c r="E7849" s="7" t="n"/>
      <c r="F7849" s="7" t="n"/>
      <c r="G7849" s="7" t="n"/>
      <c r="H7849" s="7" t="n"/>
      <c r="I7849" s="7" t="n"/>
      <c r="J7849" s="7" t="n"/>
      <c r="K7849">
        <f>IF(D7849="Legitimate Interest (GDPR Art. 6(1)(f))", "Yes / Required (Sheet 3)", "")</f>
        <v/>
      </c>
      <c r="L7849" s="7" t="n"/>
      <c r="M7849" s="7" t="n"/>
      <c r="N7849">
        <f>IF(D7849="", "Gap - No Legal Basis", IF(AND(D7849="Consent (GDPR Art. 6(1)(a))", I7849="Not Captured"), "Gap - Invalid Consent", IF(AND(D7849="Legitimate Interest (GDPR Art. 6(1)(f))", L7849=""), "Gap - Missing LIA", IF(AND(G7849="Yes", H7849=""), "Gap - Missing Art. 9 Basis", IF(OR(I7849="Invalid - Not Freely Given", I7849="Invalid - Not Specific", I7849="Invalid - Not Informed", I7849="Invalid - Ambiguous"), "Gap - Invalid Consent", "Compliant")))))</f>
        <v/>
      </c>
      <c r="O7849" s="7" t="n"/>
    </row>
    <row r="7850">
      <c r="A7850" s="7" t="n"/>
      <c r="B7850" s="7" t="n"/>
      <c r="C7850" s="7" t="n"/>
      <c r="D7850" s="7" t="n"/>
      <c r="E7850" s="7" t="n"/>
      <c r="F7850" s="7" t="n"/>
      <c r="G7850" s="7" t="n"/>
      <c r="H7850" s="7" t="n"/>
      <c r="I7850" s="7" t="n"/>
      <c r="J7850" s="7" t="n"/>
      <c r="K7850">
        <f>IF(D7850="Legitimate Interest (GDPR Art. 6(1)(f))", "Yes / Required (Sheet 3)", "")</f>
        <v/>
      </c>
      <c r="L7850" s="7" t="n"/>
      <c r="M7850" s="7" t="n"/>
      <c r="N7850">
        <f>IF(D7850="", "Gap - No Legal Basis", IF(AND(D7850="Consent (GDPR Art. 6(1)(a))", I7850="Not Captured"), "Gap - Invalid Consent", IF(AND(D7850="Legitimate Interest (GDPR Art. 6(1)(f))", L7850=""), "Gap - Missing LIA", IF(AND(G7850="Yes", H7850=""), "Gap - Missing Art. 9 Basis", IF(OR(I7850="Invalid - Not Freely Given", I7850="Invalid - Not Specific", I7850="Invalid - Not Informed", I7850="Invalid - Ambiguous"), "Gap - Invalid Consent", "Compliant")))))</f>
        <v/>
      </c>
      <c r="O7850" s="7" t="n"/>
    </row>
    <row r="7851">
      <c r="A7851" s="7" t="n"/>
      <c r="B7851" s="7" t="n"/>
      <c r="C7851" s="7" t="n"/>
      <c r="D7851" s="7" t="n"/>
      <c r="E7851" s="7" t="n"/>
      <c r="F7851" s="7" t="n"/>
      <c r="G7851" s="7" t="n"/>
      <c r="H7851" s="7" t="n"/>
      <c r="I7851" s="7" t="n"/>
      <c r="J7851" s="7" t="n"/>
      <c r="K7851">
        <f>IF(D7851="Legitimate Interest (GDPR Art. 6(1)(f))", "Yes / Required (Sheet 3)", "")</f>
        <v/>
      </c>
      <c r="L7851" s="7" t="n"/>
      <c r="M7851" s="7" t="n"/>
      <c r="N7851">
        <f>IF(D7851="", "Gap - No Legal Basis", IF(AND(D7851="Consent (GDPR Art. 6(1)(a))", I7851="Not Captured"), "Gap - Invalid Consent", IF(AND(D7851="Legitimate Interest (GDPR Art. 6(1)(f))", L7851=""), "Gap - Missing LIA", IF(AND(G7851="Yes", H7851=""), "Gap - Missing Art. 9 Basis", IF(OR(I7851="Invalid - Not Freely Given", I7851="Invalid - Not Specific", I7851="Invalid - Not Informed", I7851="Invalid - Ambiguous"), "Gap - Invalid Consent", "Compliant")))))</f>
        <v/>
      </c>
      <c r="O7851" s="7" t="n"/>
    </row>
    <row r="7852">
      <c r="A7852" s="7" t="n"/>
      <c r="B7852" s="7" t="n"/>
      <c r="C7852" s="7" t="n"/>
      <c r="D7852" s="7" t="n"/>
      <c r="E7852" s="7" t="n"/>
      <c r="F7852" s="7" t="n"/>
      <c r="G7852" s="7" t="n"/>
      <c r="H7852" s="7" t="n"/>
      <c r="I7852" s="7" t="n"/>
      <c r="J7852" s="7" t="n"/>
      <c r="K7852">
        <f>IF(D7852="Legitimate Interest (GDPR Art. 6(1)(f))", "Yes / Required (Sheet 3)", "")</f>
        <v/>
      </c>
      <c r="L7852" s="7" t="n"/>
      <c r="M7852" s="7" t="n"/>
      <c r="N7852">
        <f>IF(D7852="", "Gap - No Legal Basis", IF(AND(D7852="Consent (GDPR Art. 6(1)(a))", I7852="Not Captured"), "Gap - Invalid Consent", IF(AND(D7852="Legitimate Interest (GDPR Art. 6(1)(f))", L7852=""), "Gap - Missing LIA", IF(AND(G7852="Yes", H7852=""), "Gap - Missing Art. 9 Basis", IF(OR(I7852="Invalid - Not Freely Given", I7852="Invalid - Not Specific", I7852="Invalid - Not Informed", I7852="Invalid - Ambiguous"), "Gap - Invalid Consent", "Compliant")))))</f>
        <v/>
      </c>
      <c r="O7852" s="7" t="n"/>
    </row>
    <row r="7853">
      <c r="A7853" s="7" t="n"/>
      <c r="B7853" s="7" t="n"/>
      <c r="C7853" s="7" t="n"/>
      <c r="D7853" s="7" t="n"/>
      <c r="E7853" s="7" t="n"/>
      <c r="F7853" s="7" t="n"/>
      <c r="G7853" s="7" t="n"/>
      <c r="H7853" s="7" t="n"/>
      <c r="I7853" s="7" t="n"/>
      <c r="J7853" s="7" t="n"/>
      <c r="K7853">
        <f>IF(D7853="Legitimate Interest (GDPR Art. 6(1)(f))", "Yes / Required (Sheet 3)", "")</f>
        <v/>
      </c>
      <c r="L7853" s="7" t="n"/>
      <c r="M7853" s="7" t="n"/>
      <c r="N7853">
        <f>IF(D7853="", "Gap - No Legal Basis", IF(AND(D7853="Consent (GDPR Art. 6(1)(a))", I7853="Not Captured"), "Gap - Invalid Consent", IF(AND(D7853="Legitimate Interest (GDPR Art. 6(1)(f))", L7853=""), "Gap - Missing LIA", IF(AND(G7853="Yes", H7853=""), "Gap - Missing Art. 9 Basis", IF(OR(I7853="Invalid - Not Freely Given", I7853="Invalid - Not Specific", I7853="Invalid - Not Informed", I7853="Invalid - Ambiguous"), "Gap - Invalid Consent", "Compliant")))))</f>
        <v/>
      </c>
      <c r="O7853" s="7" t="n"/>
    </row>
    <row r="7854">
      <c r="A7854" s="7" t="n"/>
      <c r="B7854" s="7" t="n"/>
      <c r="C7854" s="7" t="n"/>
      <c r="D7854" s="7" t="n"/>
      <c r="E7854" s="7" t="n"/>
      <c r="F7854" s="7" t="n"/>
      <c r="G7854" s="7" t="n"/>
      <c r="H7854" s="7" t="n"/>
      <c r="I7854" s="7" t="n"/>
      <c r="J7854" s="7" t="n"/>
      <c r="K7854">
        <f>IF(D7854="Legitimate Interest (GDPR Art. 6(1)(f))", "Yes / Required (Sheet 3)", "")</f>
        <v/>
      </c>
      <c r="L7854" s="7" t="n"/>
      <c r="M7854" s="7" t="n"/>
      <c r="N7854">
        <f>IF(D7854="", "Gap - No Legal Basis", IF(AND(D7854="Consent (GDPR Art. 6(1)(a))", I7854="Not Captured"), "Gap - Invalid Consent", IF(AND(D7854="Legitimate Interest (GDPR Art. 6(1)(f))", L7854=""), "Gap - Missing LIA", IF(AND(G7854="Yes", H7854=""), "Gap - Missing Art. 9 Basis", IF(OR(I7854="Invalid - Not Freely Given", I7854="Invalid - Not Specific", I7854="Invalid - Not Informed", I7854="Invalid - Ambiguous"), "Gap - Invalid Consent", "Compliant")))))</f>
        <v/>
      </c>
      <c r="O7854" s="7" t="n"/>
    </row>
    <row r="7855">
      <c r="A7855" s="7" t="n"/>
      <c r="B7855" s="7" t="n"/>
      <c r="C7855" s="7" t="n"/>
      <c r="D7855" s="7" t="n"/>
      <c r="E7855" s="7" t="n"/>
      <c r="F7855" s="7" t="n"/>
      <c r="G7855" s="7" t="n"/>
      <c r="H7855" s="7" t="n"/>
      <c r="I7855" s="7" t="n"/>
      <c r="J7855" s="7" t="n"/>
      <c r="K7855">
        <f>IF(D7855="Legitimate Interest (GDPR Art. 6(1)(f))", "Yes / Required (Sheet 3)", "")</f>
        <v/>
      </c>
      <c r="L7855" s="7" t="n"/>
      <c r="M7855" s="7" t="n"/>
      <c r="N7855">
        <f>IF(D7855="", "Gap - No Legal Basis", IF(AND(D7855="Consent (GDPR Art. 6(1)(a))", I7855="Not Captured"), "Gap - Invalid Consent", IF(AND(D7855="Legitimate Interest (GDPR Art. 6(1)(f))", L7855=""), "Gap - Missing LIA", IF(AND(G7855="Yes", H7855=""), "Gap - Missing Art. 9 Basis", IF(OR(I7855="Invalid - Not Freely Given", I7855="Invalid - Not Specific", I7855="Invalid - Not Informed", I7855="Invalid - Ambiguous"), "Gap - Invalid Consent", "Compliant")))))</f>
        <v/>
      </c>
      <c r="O7855" s="7" t="n"/>
    </row>
    <row r="7856">
      <c r="A7856" s="7" t="n"/>
      <c r="B7856" s="7" t="n"/>
      <c r="C7856" s="7" t="n"/>
      <c r="D7856" s="7" t="n"/>
      <c r="E7856" s="7" t="n"/>
      <c r="F7856" s="7" t="n"/>
      <c r="G7856" s="7" t="n"/>
      <c r="H7856" s="7" t="n"/>
      <c r="I7856" s="7" t="n"/>
      <c r="J7856" s="7" t="n"/>
      <c r="K7856">
        <f>IF(D7856="Legitimate Interest (GDPR Art. 6(1)(f))", "Yes / Required (Sheet 3)", "")</f>
        <v/>
      </c>
      <c r="L7856" s="7" t="n"/>
      <c r="M7856" s="7" t="n"/>
      <c r="N7856">
        <f>IF(D7856="", "Gap - No Legal Basis", IF(AND(D7856="Consent (GDPR Art. 6(1)(a))", I7856="Not Captured"), "Gap - Invalid Consent", IF(AND(D7856="Legitimate Interest (GDPR Art. 6(1)(f))", L7856=""), "Gap - Missing LIA", IF(AND(G7856="Yes", H7856=""), "Gap - Missing Art. 9 Basis", IF(OR(I7856="Invalid - Not Freely Given", I7856="Invalid - Not Specific", I7856="Invalid - Not Informed", I7856="Invalid - Ambiguous"), "Gap - Invalid Consent", "Compliant")))))</f>
        <v/>
      </c>
      <c r="O7856" s="7" t="n"/>
    </row>
    <row r="7857">
      <c r="A7857" s="7" t="n"/>
      <c r="B7857" s="7" t="n"/>
      <c r="C7857" s="7" t="n"/>
      <c r="D7857" s="7" t="n"/>
      <c r="E7857" s="7" t="n"/>
      <c r="F7857" s="7" t="n"/>
      <c r="G7857" s="7" t="n"/>
      <c r="H7857" s="7" t="n"/>
      <c r="I7857" s="7" t="n"/>
      <c r="J7857" s="7" t="n"/>
      <c r="K7857">
        <f>IF(D7857="Legitimate Interest (GDPR Art. 6(1)(f))", "Yes / Required (Sheet 3)", "")</f>
        <v/>
      </c>
      <c r="L7857" s="7" t="n"/>
      <c r="M7857" s="7" t="n"/>
      <c r="N7857">
        <f>IF(D7857="", "Gap - No Legal Basis", IF(AND(D7857="Consent (GDPR Art. 6(1)(a))", I7857="Not Captured"), "Gap - Invalid Consent", IF(AND(D7857="Legitimate Interest (GDPR Art. 6(1)(f))", L7857=""), "Gap - Missing LIA", IF(AND(G7857="Yes", H7857=""), "Gap - Missing Art. 9 Basis", IF(OR(I7857="Invalid - Not Freely Given", I7857="Invalid - Not Specific", I7857="Invalid - Not Informed", I7857="Invalid - Ambiguous"), "Gap - Invalid Consent", "Compliant")))))</f>
        <v/>
      </c>
      <c r="O7857" s="7" t="n"/>
    </row>
    <row r="7858">
      <c r="A7858" s="7" t="n"/>
      <c r="B7858" s="7" t="n"/>
      <c r="C7858" s="7" t="n"/>
      <c r="D7858" s="7" t="n"/>
      <c r="E7858" s="7" t="n"/>
      <c r="F7858" s="7" t="n"/>
      <c r="G7858" s="7" t="n"/>
      <c r="H7858" s="7" t="n"/>
      <c r="I7858" s="7" t="n"/>
      <c r="J7858" s="7" t="n"/>
      <c r="K7858">
        <f>IF(D7858="Legitimate Interest (GDPR Art. 6(1)(f))", "Yes / Required (Sheet 3)", "")</f>
        <v/>
      </c>
      <c r="L7858" s="7" t="n"/>
      <c r="M7858" s="7" t="n"/>
      <c r="N7858">
        <f>IF(D7858="", "Gap - No Legal Basis", IF(AND(D7858="Consent (GDPR Art. 6(1)(a))", I7858="Not Captured"), "Gap - Invalid Consent", IF(AND(D7858="Legitimate Interest (GDPR Art. 6(1)(f))", L7858=""), "Gap - Missing LIA", IF(AND(G7858="Yes", H7858=""), "Gap - Missing Art. 9 Basis", IF(OR(I7858="Invalid - Not Freely Given", I7858="Invalid - Not Specific", I7858="Invalid - Not Informed", I7858="Invalid - Ambiguous"), "Gap - Invalid Consent", "Compliant")))))</f>
        <v/>
      </c>
      <c r="O7858" s="7" t="n"/>
    </row>
    <row r="7859">
      <c r="A7859" s="7" t="n"/>
      <c r="B7859" s="7" t="n"/>
      <c r="C7859" s="7" t="n"/>
      <c r="D7859" s="7" t="n"/>
      <c r="E7859" s="7" t="n"/>
      <c r="F7859" s="7" t="n"/>
      <c r="G7859" s="7" t="n"/>
      <c r="H7859" s="7" t="n"/>
      <c r="I7859" s="7" t="n"/>
      <c r="J7859" s="7" t="n"/>
      <c r="K7859">
        <f>IF(D7859="Legitimate Interest (GDPR Art. 6(1)(f))", "Yes / Required (Sheet 3)", "")</f>
        <v/>
      </c>
      <c r="L7859" s="7" t="n"/>
      <c r="M7859" s="7" t="n"/>
      <c r="N7859">
        <f>IF(D7859="", "Gap - No Legal Basis", IF(AND(D7859="Consent (GDPR Art. 6(1)(a))", I7859="Not Captured"), "Gap - Invalid Consent", IF(AND(D7859="Legitimate Interest (GDPR Art. 6(1)(f))", L7859=""), "Gap - Missing LIA", IF(AND(G7859="Yes", H7859=""), "Gap - Missing Art. 9 Basis", IF(OR(I7859="Invalid - Not Freely Given", I7859="Invalid - Not Specific", I7859="Invalid - Not Informed", I7859="Invalid - Ambiguous"), "Gap - Invalid Consent", "Compliant")))))</f>
        <v/>
      </c>
      <c r="O7859" s="7" t="n"/>
    </row>
    <row r="7860">
      <c r="A7860" s="7" t="n"/>
      <c r="B7860" s="7" t="n"/>
      <c r="C7860" s="7" t="n"/>
      <c r="D7860" s="7" t="n"/>
      <c r="E7860" s="7" t="n"/>
      <c r="F7860" s="7" t="n"/>
      <c r="G7860" s="7" t="n"/>
      <c r="H7860" s="7" t="n"/>
      <c r="I7860" s="7" t="n"/>
      <c r="J7860" s="7" t="n"/>
      <c r="K7860">
        <f>IF(D7860="Legitimate Interest (GDPR Art. 6(1)(f))", "Yes / Required (Sheet 3)", "")</f>
        <v/>
      </c>
      <c r="L7860" s="7" t="n"/>
      <c r="M7860" s="7" t="n"/>
      <c r="N7860">
        <f>IF(D7860="", "Gap - No Legal Basis", IF(AND(D7860="Consent (GDPR Art. 6(1)(a))", I7860="Not Captured"), "Gap - Invalid Consent", IF(AND(D7860="Legitimate Interest (GDPR Art. 6(1)(f))", L7860=""), "Gap - Missing LIA", IF(AND(G7860="Yes", H7860=""), "Gap - Missing Art. 9 Basis", IF(OR(I7860="Invalid - Not Freely Given", I7860="Invalid - Not Specific", I7860="Invalid - Not Informed", I7860="Invalid - Ambiguous"), "Gap - Invalid Consent", "Compliant")))))</f>
        <v/>
      </c>
      <c r="O7860" s="7" t="n"/>
    </row>
    <row r="7861">
      <c r="A7861" s="7" t="n"/>
      <c r="B7861" s="7" t="n"/>
      <c r="C7861" s="7" t="n"/>
      <c r="D7861" s="7" t="n"/>
      <c r="E7861" s="7" t="n"/>
      <c r="F7861" s="7" t="n"/>
      <c r="G7861" s="7" t="n"/>
      <c r="H7861" s="7" t="n"/>
      <c r="I7861" s="7" t="n"/>
      <c r="J7861" s="7" t="n"/>
      <c r="K7861">
        <f>IF(D7861="Legitimate Interest (GDPR Art. 6(1)(f))", "Yes / Required (Sheet 3)", "")</f>
        <v/>
      </c>
      <c r="L7861" s="7" t="n"/>
      <c r="M7861" s="7" t="n"/>
      <c r="N7861">
        <f>IF(D7861="", "Gap - No Legal Basis", IF(AND(D7861="Consent (GDPR Art. 6(1)(a))", I7861="Not Captured"), "Gap - Invalid Consent", IF(AND(D7861="Legitimate Interest (GDPR Art. 6(1)(f))", L7861=""), "Gap - Missing LIA", IF(AND(G7861="Yes", H7861=""), "Gap - Missing Art. 9 Basis", IF(OR(I7861="Invalid - Not Freely Given", I7861="Invalid - Not Specific", I7861="Invalid - Not Informed", I7861="Invalid - Ambiguous"), "Gap - Invalid Consent", "Compliant")))))</f>
        <v/>
      </c>
      <c r="O7861" s="7" t="n"/>
    </row>
    <row r="7862">
      <c r="A7862" s="7" t="n"/>
      <c r="B7862" s="7" t="n"/>
      <c r="C7862" s="7" t="n"/>
      <c r="D7862" s="7" t="n"/>
      <c r="E7862" s="7" t="n"/>
      <c r="F7862" s="7" t="n"/>
      <c r="G7862" s="7" t="n"/>
      <c r="H7862" s="7" t="n"/>
      <c r="I7862" s="7" t="n"/>
      <c r="J7862" s="7" t="n"/>
      <c r="K7862">
        <f>IF(D7862="Legitimate Interest (GDPR Art. 6(1)(f))", "Yes / Required (Sheet 3)", "")</f>
        <v/>
      </c>
      <c r="L7862" s="7" t="n"/>
      <c r="M7862" s="7" t="n"/>
      <c r="N7862">
        <f>IF(D7862="", "Gap - No Legal Basis", IF(AND(D7862="Consent (GDPR Art. 6(1)(a))", I7862="Not Captured"), "Gap - Invalid Consent", IF(AND(D7862="Legitimate Interest (GDPR Art. 6(1)(f))", L7862=""), "Gap - Missing LIA", IF(AND(G7862="Yes", H7862=""), "Gap - Missing Art. 9 Basis", IF(OR(I7862="Invalid - Not Freely Given", I7862="Invalid - Not Specific", I7862="Invalid - Not Informed", I7862="Invalid - Ambiguous"), "Gap - Invalid Consent", "Compliant")))))</f>
        <v/>
      </c>
      <c r="O7862" s="7" t="n"/>
    </row>
    <row r="7863">
      <c r="A7863" s="7" t="n"/>
      <c r="B7863" s="7" t="n"/>
      <c r="C7863" s="7" t="n"/>
      <c r="D7863" s="7" t="n"/>
      <c r="E7863" s="7" t="n"/>
      <c r="F7863" s="7" t="n"/>
      <c r="G7863" s="7" t="n"/>
      <c r="H7863" s="7" t="n"/>
      <c r="I7863" s="7" t="n"/>
      <c r="J7863" s="7" t="n"/>
      <c r="K7863">
        <f>IF(D7863="Legitimate Interest (GDPR Art. 6(1)(f))", "Yes / Required (Sheet 3)", "")</f>
        <v/>
      </c>
      <c r="L7863" s="7" t="n"/>
      <c r="M7863" s="7" t="n"/>
      <c r="N7863">
        <f>IF(D7863="", "Gap - No Legal Basis", IF(AND(D7863="Consent (GDPR Art. 6(1)(a))", I7863="Not Captured"), "Gap - Invalid Consent", IF(AND(D7863="Legitimate Interest (GDPR Art. 6(1)(f))", L7863=""), "Gap - Missing LIA", IF(AND(G7863="Yes", H7863=""), "Gap - Missing Art. 9 Basis", IF(OR(I7863="Invalid - Not Freely Given", I7863="Invalid - Not Specific", I7863="Invalid - Not Informed", I7863="Invalid - Ambiguous"), "Gap - Invalid Consent", "Compliant")))))</f>
        <v/>
      </c>
      <c r="O7863" s="7" t="n"/>
    </row>
    <row r="7864">
      <c r="A7864" s="7" t="n"/>
      <c r="B7864" s="7" t="n"/>
      <c r="C7864" s="7" t="n"/>
      <c r="D7864" s="7" t="n"/>
      <c r="E7864" s="7" t="n"/>
      <c r="F7864" s="7" t="n"/>
      <c r="G7864" s="7" t="n"/>
      <c r="H7864" s="7" t="n"/>
      <c r="I7864" s="7" t="n"/>
      <c r="J7864" s="7" t="n"/>
      <c r="K7864">
        <f>IF(D7864="Legitimate Interest (GDPR Art. 6(1)(f))", "Yes / Required (Sheet 3)", "")</f>
        <v/>
      </c>
      <c r="L7864" s="7" t="n"/>
      <c r="M7864" s="7" t="n"/>
      <c r="N7864">
        <f>IF(D7864="", "Gap - No Legal Basis", IF(AND(D7864="Consent (GDPR Art. 6(1)(a))", I7864="Not Captured"), "Gap - Invalid Consent", IF(AND(D7864="Legitimate Interest (GDPR Art. 6(1)(f))", L7864=""), "Gap - Missing LIA", IF(AND(G7864="Yes", H7864=""), "Gap - Missing Art. 9 Basis", IF(OR(I7864="Invalid - Not Freely Given", I7864="Invalid - Not Specific", I7864="Invalid - Not Informed", I7864="Invalid - Ambiguous"), "Gap - Invalid Consent", "Compliant")))))</f>
        <v/>
      </c>
      <c r="O7864" s="7" t="n"/>
    </row>
    <row r="7865">
      <c r="A7865" s="7" t="n"/>
      <c r="B7865" s="7" t="n"/>
      <c r="C7865" s="7" t="n"/>
      <c r="D7865" s="7" t="n"/>
      <c r="E7865" s="7" t="n"/>
      <c r="F7865" s="7" t="n"/>
      <c r="G7865" s="7" t="n"/>
      <c r="H7865" s="7" t="n"/>
      <c r="I7865" s="7" t="n"/>
      <c r="J7865" s="7" t="n"/>
      <c r="K7865">
        <f>IF(D7865="Legitimate Interest (GDPR Art. 6(1)(f))", "Yes / Required (Sheet 3)", "")</f>
        <v/>
      </c>
      <c r="L7865" s="7" t="n"/>
      <c r="M7865" s="7" t="n"/>
      <c r="N7865">
        <f>IF(D7865="", "Gap - No Legal Basis", IF(AND(D7865="Consent (GDPR Art. 6(1)(a))", I7865="Not Captured"), "Gap - Invalid Consent", IF(AND(D7865="Legitimate Interest (GDPR Art. 6(1)(f))", L7865=""), "Gap - Missing LIA", IF(AND(G7865="Yes", H7865=""), "Gap - Missing Art. 9 Basis", IF(OR(I7865="Invalid - Not Freely Given", I7865="Invalid - Not Specific", I7865="Invalid - Not Informed", I7865="Invalid - Ambiguous"), "Gap - Invalid Consent", "Compliant")))))</f>
        <v/>
      </c>
      <c r="O7865" s="7" t="n"/>
    </row>
    <row r="7866">
      <c r="A7866" s="7" t="n"/>
      <c r="B7866" s="7" t="n"/>
      <c r="C7866" s="7" t="n"/>
      <c r="D7866" s="7" t="n"/>
      <c r="E7866" s="7" t="n"/>
      <c r="F7866" s="7" t="n"/>
      <c r="G7866" s="7" t="n"/>
      <c r="H7866" s="7" t="n"/>
      <c r="I7866" s="7" t="n"/>
      <c r="J7866" s="7" t="n"/>
      <c r="K7866">
        <f>IF(D7866="Legitimate Interest (GDPR Art. 6(1)(f))", "Yes / Required (Sheet 3)", "")</f>
        <v/>
      </c>
      <c r="L7866" s="7" t="n"/>
      <c r="M7866" s="7" t="n"/>
      <c r="N7866">
        <f>IF(D7866="", "Gap - No Legal Basis", IF(AND(D7866="Consent (GDPR Art. 6(1)(a))", I7866="Not Captured"), "Gap - Invalid Consent", IF(AND(D7866="Legitimate Interest (GDPR Art. 6(1)(f))", L7866=""), "Gap - Missing LIA", IF(AND(G7866="Yes", H7866=""), "Gap - Missing Art. 9 Basis", IF(OR(I7866="Invalid - Not Freely Given", I7866="Invalid - Not Specific", I7866="Invalid - Not Informed", I7866="Invalid - Ambiguous"), "Gap - Invalid Consent", "Compliant")))))</f>
        <v/>
      </c>
      <c r="O7866" s="7" t="n"/>
    </row>
    <row r="7867">
      <c r="A7867" s="7" t="n"/>
      <c r="B7867" s="7" t="n"/>
      <c r="C7867" s="7" t="n"/>
      <c r="D7867" s="7" t="n"/>
      <c r="E7867" s="7" t="n"/>
      <c r="F7867" s="7" t="n"/>
      <c r="G7867" s="7" t="n"/>
      <c r="H7867" s="7" t="n"/>
      <c r="I7867" s="7" t="n"/>
      <c r="J7867" s="7" t="n"/>
      <c r="K7867">
        <f>IF(D7867="Legitimate Interest (GDPR Art. 6(1)(f))", "Yes / Required (Sheet 3)", "")</f>
        <v/>
      </c>
      <c r="L7867" s="7" t="n"/>
      <c r="M7867" s="7" t="n"/>
      <c r="N7867">
        <f>IF(D7867="", "Gap - No Legal Basis", IF(AND(D7867="Consent (GDPR Art. 6(1)(a))", I7867="Not Captured"), "Gap - Invalid Consent", IF(AND(D7867="Legitimate Interest (GDPR Art. 6(1)(f))", L7867=""), "Gap - Missing LIA", IF(AND(G7867="Yes", H7867=""), "Gap - Missing Art. 9 Basis", IF(OR(I7867="Invalid - Not Freely Given", I7867="Invalid - Not Specific", I7867="Invalid - Not Informed", I7867="Invalid - Ambiguous"), "Gap - Invalid Consent", "Compliant")))))</f>
        <v/>
      </c>
      <c r="O7867" s="7" t="n"/>
    </row>
    <row r="7868">
      <c r="A7868" s="7" t="n"/>
      <c r="B7868" s="7" t="n"/>
      <c r="C7868" s="7" t="n"/>
      <c r="D7868" s="7" t="n"/>
      <c r="E7868" s="7" t="n"/>
      <c r="F7868" s="7" t="n"/>
      <c r="G7868" s="7" t="n"/>
      <c r="H7868" s="7" t="n"/>
      <c r="I7868" s="7" t="n"/>
      <c r="J7868" s="7" t="n"/>
      <c r="K7868">
        <f>IF(D7868="Legitimate Interest (GDPR Art. 6(1)(f))", "Yes / Required (Sheet 3)", "")</f>
        <v/>
      </c>
      <c r="L7868" s="7" t="n"/>
      <c r="M7868" s="7" t="n"/>
      <c r="N7868">
        <f>IF(D7868="", "Gap - No Legal Basis", IF(AND(D7868="Consent (GDPR Art. 6(1)(a))", I7868="Not Captured"), "Gap - Invalid Consent", IF(AND(D7868="Legitimate Interest (GDPR Art. 6(1)(f))", L7868=""), "Gap - Missing LIA", IF(AND(G7868="Yes", H7868=""), "Gap - Missing Art. 9 Basis", IF(OR(I7868="Invalid - Not Freely Given", I7868="Invalid - Not Specific", I7868="Invalid - Not Informed", I7868="Invalid - Ambiguous"), "Gap - Invalid Consent", "Compliant")))))</f>
        <v/>
      </c>
      <c r="O7868" s="7" t="n"/>
    </row>
    <row r="7869">
      <c r="A7869" s="7" t="n"/>
      <c r="B7869" s="7" t="n"/>
      <c r="C7869" s="7" t="n"/>
      <c r="D7869" s="7" t="n"/>
      <c r="E7869" s="7" t="n"/>
      <c r="F7869" s="7" t="n"/>
      <c r="G7869" s="7" t="n"/>
      <c r="H7869" s="7" t="n"/>
      <c r="I7869" s="7" t="n"/>
      <c r="J7869" s="7" t="n"/>
      <c r="K7869">
        <f>IF(D7869="Legitimate Interest (GDPR Art. 6(1)(f))", "Yes / Required (Sheet 3)", "")</f>
        <v/>
      </c>
      <c r="L7869" s="7" t="n"/>
      <c r="M7869" s="7" t="n"/>
      <c r="N7869">
        <f>IF(D7869="", "Gap - No Legal Basis", IF(AND(D7869="Consent (GDPR Art. 6(1)(a))", I7869="Not Captured"), "Gap - Invalid Consent", IF(AND(D7869="Legitimate Interest (GDPR Art. 6(1)(f))", L7869=""), "Gap - Missing LIA", IF(AND(G7869="Yes", H7869=""), "Gap - Missing Art. 9 Basis", IF(OR(I7869="Invalid - Not Freely Given", I7869="Invalid - Not Specific", I7869="Invalid - Not Informed", I7869="Invalid - Ambiguous"), "Gap - Invalid Consent", "Compliant")))))</f>
        <v/>
      </c>
      <c r="O7869" s="7" t="n"/>
    </row>
    <row r="7870">
      <c r="A7870" s="7" t="n"/>
      <c r="B7870" s="7" t="n"/>
      <c r="C7870" s="7" t="n"/>
      <c r="D7870" s="7" t="n"/>
      <c r="E7870" s="7" t="n"/>
      <c r="F7870" s="7" t="n"/>
      <c r="G7870" s="7" t="n"/>
      <c r="H7870" s="7" t="n"/>
      <c r="I7870" s="7" t="n"/>
      <c r="J7870" s="7" t="n"/>
      <c r="K7870">
        <f>IF(D7870="Legitimate Interest (GDPR Art. 6(1)(f))", "Yes / Required (Sheet 3)", "")</f>
        <v/>
      </c>
      <c r="L7870" s="7" t="n"/>
      <c r="M7870" s="7" t="n"/>
      <c r="N7870">
        <f>IF(D7870="", "Gap - No Legal Basis", IF(AND(D7870="Consent (GDPR Art. 6(1)(a))", I7870="Not Captured"), "Gap - Invalid Consent", IF(AND(D7870="Legitimate Interest (GDPR Art. 6(1)(f))", L7870=""), "Gap - Missing LIA", IF(AND(G7870="Yes", H7870=""), "Gap - Missing Art. 9 Basis", IF(OR(I7870="Invalid - Not Freely Given", I7870="Invalid - Not Specific", I7870="Invalid - Not Informed", I7870="Invalid - Ambiguous"), "Gap - Invalid Consent", "Compliant")))))</f>
        <v/>
      </c>
      <c r="O7870" s="7" t="n"/>
    </row>
    <row r="7871">
      <c r="A7871" s="7" t="n"/>
      <c r="B7871" s="7" t="n"/>
      <c r="C7871" s="7" t="n"/>
      <c r="D7871" s="7" t="n"/>
      <c r="E7871" s="7" t="n"/>
      <c r="F7871" s="7" t="n"/>
      <c r="G7871" s="7" t="n"/>
      <c r="H7871" s="7" t="n"/>
      <c r="I7871" s="7" t="n"/>
      <c r="J7871" s="7" t="n"/>
      <c r="K7871">
        <f>IF(D7871="Legitimate Interest (GDPR Art. 6(1)(f))", "Yes / Required (Sheet 3)", "")</f>
        <v/>
      </c>
      <c r="L7871" s="7" t="n"/>
      <c r="M7871" s="7" t="n"/>
      <c r="N7871">
        <f>IF(D7871="", "Gap - No Legal Basis", IF(AND(D7871="Consent (GDPR Art. 6(1)(a))", I7871="Not Captured"), "Gap - Invalid Consent", IF(AND(D7871="Legitimate Interest (GDPR Art. 6(1)(f))", L7871=""), "Gap - Missing LIA", IF(AND(G7871="Yes", H7871=""), "Gap - Missing Art. 9 Basis", IF(OR(I7871="Invalid - Not Freely Given", I7871="Invalid - Not Specific", I7871="Invalid - Not Informed", I7871="Invalid - Ambiguous"), "Gap - Invalid Consent", "Compliant")))))</f>
        <v/>
      </c>
      <c r="O7871" s="7" t="n"/>
    </row>
    <row r="7872">
      <c r="A7872" s="7" t="n"/>
      <c r="B7872" s="7" t="n"/>
      <c r="C7872" s="7" t="n"/>
      <c r="D7872" s="7" t="n"/>
      <c r="E7872" s="7" t="n"/>
      <c r="F7872" s="7" t="n"/>
      <c r="G7872" s="7" t="n"/>
      <c r="H7872" s="7" t="n"/>
      <c r="I7872" s="7" t="n"/>
      <c r="J7872" s="7" t="n"/>
      <c r="K7872">
        <f>IF(D7872="Legitimate Interest (GDPR Art. 6(1)(f))", "Yes / Required (Sheet 3)", "")</f>
        <v/>
      </c>
      <c r="L7872" s="7" t="n"/>
      <c r="M7872" s="7" t="n"/>
      <c r="N7872">
        <f>IF(D7872="", "Gap - No Legal Basis", IF(AND(D7872="Consent (GDPR Art. 6(1)(a))", I7872="Not Captured"), "Gap - Invalid Consent", IF(AND(D7872="Legitimate Interest (GDPR Art. 6(1)(f))", L7872=""), "Gap - Missing LIA", IF(AND(G7872="Yes", H7872=""), "Gap - Missing Art. 9 Basis", IF(OR(I7872="Invalid - Not Freely Given", I7872="Invalid - Not Specific", I7872="Invalid - Not Informed", I7872="Invalid - Ambiguous"), "Gap - Invalid Consent", "Compliant")))))</f>
        <v/>
      </c>
      <c r="O7872" s="7" t="n"/>
    </row>
    <row r="7873">
      <c r="A7873" s="7" t="n"/>
      <c r="B7873" s="7" t="n"/>
      <c r="C7873" s="7" t="n"/>
      <c r="D7873" s="7" t="n"/>
      <c r="E7873" s="7" t="n"/>
      <c r="F7873" s="7" t="n"/>
      <c r="G7873" s="7" t="n"/>
      <c r="H7873" s="7" t="n"/>
      <c r="I7873" s="7" t="n"/>
      <c r="J7873" s="7" t="n"/>
      <c r="K7873">
        <f>IF(D7873="Legitimate Interest (GDPR Art. 6(1)(f))", "Yes / Required (Sheet 3)", "")</f>
        <v/>
      </c>
      <c r="L7873" s="7" t="n"/>
      <c r="M7873" s="7" t="n"/>
      <c r="N7873">
        <f>IF(D7873="", "Gap - No Legal Basis", IF(AND(D7873="Consent (GDPR Art. 6(1)(a))", I7873="Not Captured"), "Gap - Invalid Consent", IF(AND(D7873="Legitimate Interest (GDPR Art. 6(1)(f))", L7873=""), "Gap - Missing LIA", IF(AND(G7873="Yes", H7873=""), "Gap - Missing Art. 9 Basis", IF(OR(I7873="Invalid - Not Freely Given", I7873="Invalid - Not Specific", I7873="Invalid - Not Informed", I7873="Invalid - Ambiguous"), "Gap - Invalid Consent", "Compliant")))))</f>
        <v/>
      </c>
      <c r="O7873" s="7" t="n"/>
    </row>
    <row r="7874">
      <c r="A7874" s="7" t="n"/>
      <c r="B7874" s="7" t="n"/>
      <c r="C7874" s="7" t="n"/>
      <c r="D7874" s="7" t="n"/>
      <c r="E7874" s="7" t="n"/>
      <c r="F7874" s="7" t="n"/>
      <c r="G7874" s="7" t="n"/>
      <c r="H7874" s="7" t="n"/>
      <c r="I7874" s="7" t="n"/>
      <c r="J7874" s="7" t="n"/>
      <c r="K7874">
        <f>IF(D7874="Legitimate Interest (GDPR Art. 6(1)(f))", "Yes / Required (Sheet 3)", "")</f>
        <v/>
      </c>
      <c r="L7874" s="7" t="n"/>
      <c r="M7874" s="7" t="n"/>
      <c r="N7874">
        <f>IF(D7874="", "Gap - No Legal Basis", IF(AND(D7874="Consent (GDPR Art. 6(1)(a))", I7874="Not Captured"), "Gap - Invalid Consent", IF(AND(D7874="Legitimate Interest (GDPR Art. 6(1)(f))", L7874=""), "Gap - Missing LIA", IF(AND(G7874="Yes", H7874=""), "Gap - Missing Art. 9 Basis", IF(OR(I7874="Invalid - Not Freely Given", I7874="Invalid - Not Specific", I7874="Invalid - Not Informed", I7874="Invalid - Ambiguous"), "Gap - Invalid Consent", "Compliant")))))</f>
        <v/>
      </c>
      <c r="O7874" s="7" t="n"/>
    </row>
    <row r="7875">
      <c r="A7875" s="7" t="n"/>
      <c r="B7875" s="7" t="n"/>
      <c r="C7875" s="7" t="n"/>
      <c r="D7875" s="7" t="n"/>
      <c r="E7875" s="7" t="n"/>
      <c r="F7875" s="7" t="n"/>
      <c r="G7875" s="7" t="n"/>
      <c r="H7875" s="7" t="n"/>
      <c r="I7875" s="7" t="n"/>
      <c r="J7875" s="7" t="n"/>
      <c r="K7875">
        <f>IF(D7875="Legitimate Interest (GDPR Art. 6(1)(f))", "Yes / Required (Sheet 3)", "")</f>
        <v/>
      </c>
      <c r="L7875" s="7" t="n"/>
      <c r="M7875" s="7" t="n"/>
      <c r="N7875">
        <f>IF(D7875="", "Gap - No Legal Basis", IF(AND(D7875="Consent (GDPR Art. 6(1)(a))", I7875="Not Captured"), "Gap - Invalid Consent", IF(AND(D7875="Legitimate Interest (GDPR Art. 6(1)(f))", L7875=""), "Gap - Missing LIA", IF(AND(G7875="Yes", H7875=""), "Gap - Missing Art. 9 Basis", IF(OR(I7875="Invalid - Not Freely Given", I7875="Invalid - Not Specific", I7875="Invalid - Not Informed", I7875="Invalid - Ambiguous"), "Gap - Invalid Consent", "Compliant")))))</f>
        <v/>
      </c>
      <c r="O7875" s="7" t="n"/>
    </row>
    <row r="7876">
      <c r="A7876" s="7" t="n"/>
      <c r="B7876" s="7" t="n"/>
      <c r="C7876" s="7" t="n"/>
      <c r="D7876" s="7" t="n"/>
      <c r="E7876" s="7" t="n"/>
      <c r="F7876" s="7" t="n"/>
      <c r="G7876" s="7" t="n"/>
      <c r="H7876" s="7" t="n"/>
      <c r="I7876" s="7" t="n"/>
      <c r="J7876" s="7" t="n"/>
      <c r="K7876">
        <f>IF(D7876="Legitimate Interest (GDPR Art. 6(1)(f))", "Yes / Required (Sheet 3)", "")</f>
        <v/>
      </c>
      <c r="L7876" s="7" t="n"/>
      <c r="M7876" s="7" t="n"/>
      <c r="N7876">
        <f>IF(D7876="", "Gap - No Legal Basis", IF(AND(D7876="Consent (GDPR Art. 6(1)(a))", I7876="Not Captured"), "Gap - Invalid Consent", IF(AND(D7876="Legitimate Interest (GDPR Art. 6(1)(f))", L7876=""), "Gap - Missing LIA", IF(AND(G7876="Yes", H7876=""), "Gap - Missing Art. 9 Basis", IF(OR(I7876="Invalid - Not Freely Given", I7876="Invalid - Not Specific", I7876="Invalid - Not Informed", I7876="Invalid - Ambiguous"), "Gap - Invalid Consent", "Compliant")))))</f>
        <v/>
      </c>
      <c r="O7876" s="7" t="n"/>
    </row>
    <row r="7877">
      <c r="A7877" s="7" t="n"/>
      <c r="B7877" s="7" t="n"/>
      <c r="C7877" s="7" t="n"/>
      <c r="D7877" s="7" t="n"/>
      <c r="E7877" s="7" t="n"/>
      <c r="F7877" s="7" t="n"/>
      <c r="G7877" s="7" t="n"/>
      <c r="H7877" s="7" t="n"/>
      <c r="I7877" s="7" t="n"/>
      <c r="J7877" s="7" t="n"/>
      <c r="K7877">
        <f>IF(D7877="Legitimate Interest (GDPR Art. 6(1)(f))", "Yes / Required (Sheet 3)", "")</f>
        <v/>
      </c>
      <c r="L7877" s="7" t="n"/>
      <c r="M7877" s="7" t="n"/>
      <c r="N7877">
        <f>IF(D7877="", "Gap - No Legal Basis", IF(AND(D7877="Consent (GDPR Art. 6(1)(a))", I7877="Not Captured"), "Gap - Invalid Consent", IF(AND(D7877="Legitimate Interest (GDPR Art. 6(1)(f))", L7877=""), "Gap - Missing LIA", IF(AND(G7877="Yes", H7877=""), "Gap - Missing Art. 9 Basis", IF(OR(I7877="Invalid - Not Freely Given", I7877="Invalid - Not Specific", I7877="Invalid - Not Informed", I7877="Invalid - Ambiguous"), "Gap - Invalid Consent", "Compliant")))))</f>
        <v/>
      </c>
      <c r="O7877" s="7" t="n"/>
    </row>
    <row r="7878">
      <c r="A7878" s="7" t="n"/>
      <c r="B7878" s="7" t="n"/>
      <c r="C7878" s="7" t="n"/>
      <c r="D7878" s="7" t="n"/>
      <c r="E7878" s="7" t="n"/>
      <c r="F7878" s="7" t="n"/>
      <c r="G7878" s="7" t="n"/>
      <c r="H7878" s="7" t="n"/>
      <c r="I7878" s="7" t="n"/>
      <c r="J7878" s="7" t="n"/>
      <c r="K7878">
        <f>IF(D7878="Legitimate Interest (GDPR Art. 6(1)(f))", "Yes / Required (Sheet 3)", "")</f>
        <v/>
      </c>
      <c r="L7878" s="7" t="n"/>
      <c r="M7878" s="7" t="n"/>
      <c r="N7878">
        <f>IF(D7878="", "Gap - No Legal Basis", IF(AND(D7878="Consent (GDPR Art. 6(1)(a))", I7878="Not Captured"), "Gap - Invalid Consent", IF(AND(D7878="Legitimate Interest (GDPR Art. 6(1)(f))", L7878=""), "Gap - Missing LIA", IF(AND(G7878="Yes", H7878=""), "Gap - Missing Art. 9 Basis", IF(OR(I7878="Invalid - Not Freely Given", I7878="Invalid - Not Specific", I7878="Invalid - Not Informed", I7878="Invalid - Ambiguous"), "Gap - Invalid Consent", "Compliant")))))</f>
        <v/>
      </c>
      <c r="O7878" s="7" t="n"/>
    </row>
    <row r="7879">
      <c r="A7879" s="7" t="n"/>
      <c r="B7879" s="7" t="n"/>
      <c r="C7879" s="7" t="n"/>
      <c r="D7879" s="7" t="n"/>
      <c r="E7879" s="7" t="n"/>
      <c r="F7879" s="7" t="n"/>
      <c r="G7879" s="7" t="n"/>
      <c r="H7879" s="7" t="n"/>
      <c r="I7879" s="7" t="n"/>
      <c r="J7879" s="7" t="n"/>
      <c r="K7879">
        <f>IF(D7879="Legitimate Interest (GDPR Art. 6(1)(f))", "Yes / Required (Sheet 3)", "")</f>
        <v/>
      </c>
      <c r="L7879" s="7" t="n"/>
      <c r="M7879" s="7" t="n"/>
      <c r="N7879">
        <f>IF(D7879="", "Gap - No Legal Basis", IF(AND(D7879="Consent (GDPR Art. 6(1)(a))", I7879="Not Captured"), "Gap - Invalid Consent", IF(AND(D7879="Legitimate Interest (GDPR Art. 6(1)(f))", L7879=""), "Gap - Missing LIA", IF(AND(G7879="Yes", H7879=""), "Gap - Missing Art. 9 Basis", IF(OR(I7879="Invalid - Not Freely Given", I7879="Invalid - Not Specific", I7879="Invalid - Not Informed", I7879="Invalid - Ambiguous"), "Gap - Invalid Consent", "Compliant")))))</f>
        <v/>
      </c>
      <c r="O7879" s="7" t="n"/>
    </row>
    <row r="7880">
      <c r="A7880" s="7" t="n"/>
      <c r="B7880" s="7" t="n"/>
      <c r="C7880" s="7" t="n"/>
      <c r="D7880" s="7" t="n"/>
      <c r="E7880" s="7" t="n"/>
      <c r="F7880" s="7" t="n"/>
      <c r="G7880" s="7" t="n"/>
      <c r="H7880" s="7" t="n"/>
      <c r="I7880" s="7" t="n"/>
      <c r="J7880" s="7" t="n"/>
      <c r="K7880">
        <f>IF(D7880="Legitimate Interest (GDPR Art. 6(1)(f))", "Yes / Required (Sheet 3)", "")</f>
        <v/>
      </c>
      <c r="L7880" s="7" t="n"/>
      <c r="M7880" s="7" t="n"/>
      <c r="N7880">
        <f>IF(D7880="", "Gap - No Legal Basis", IF(AND(D7880="Consent (GDPR Art. 6(1)(a))", I7880="Not Captured"), "Gap - Invalid Consent", IF(AND(D7880="Legitimate Interest (GDPR Art. 6(1)(f))", L7880=""), "Gap - Missing LIA", IF(AND(G7880="Yes", H7880=""), "Gap - Missing Art. 9 Basis", IF(OR(I7880="Invalid - Not Freely Given", I7880="Invalid - Not Specific", I7880="Invalid - Not Informed", I7880="Invalid - Ambiguous"), "Gap - Invalid Consent", "Compliant")))))</f>
        <v/>
      </c>
      <c r="O7880" s="7" t="n"/>
    </row>
    <row r="7881">
      <c r="A7881" s="7" t="n"/>
      <c r="B7881" s="7" t="n"/>
      <c r="C7881" s="7" t="n"/>
      <c r="D7881" s="7" t="n"/>
      <c r="E7881" s="7" t="n"/>
      <c r="F7881" s="7" t="n"/>
      <c r="G7881" s="7" t="n"/>
      <c r="H7881" s="7" t="n"/>
      <c r="I7881" s="7" t="n"/>
      <c r="J7881" s="7" t="n"/>
      <c r="K7881">
        <f>IF(D7881="Legitimate Interest (GDPR Art. 6(1)(f))", "Yes / Required (Sheet 3)", "")</f>
        <v/>
      </c>
      <c r="L7881" s="7" t="n"/>
      <c r="M7881" s="7" t="n"/>
      <c r="N7881">
        <f>IF(D7881="", "Gap - No Legal Basis", IF(AND(D7881="Consent (GDPR Art. 6(1)(a))", I7881="Not Captured"), "Gap - Invalid Consent", IF(AND(D7881="Legitimate Interest (GDPR Art. 6(1)(f))", L7881=""), "Gap - Missing LIA", IF(AND(G7881="Yes", H7881=""), "Gap - Missing Art. 9 Basis", IF(OR(I7881="Invalid - Not Freely Given", I7881="Invalid - Not Specific", I7881="Invalid - Not Informed", I7881="Invalid - Ambiguous"), "Gap - Invalid Consent", "Compliant")))))</f>
        <v/>
      </c>
      <c r="O7881" s="7" t="n"/>
    </row>
    <row r="7882">
      <c r="A7882" s="7" t="n"/>
      <c r="B7882" s="7" t="n"/>
      <c r="C7882" s="7" t="n"/>
      <c r="D7882" s="7" t="n"/>
      <c r="E7882" s="7" t="n"/>
      <c r="F7882" s="7" t="n"/>
      <c r="G7882" s="7" t="n"/>
      <c r="H7882" s="7" t="n"/>
      <c r="I7882" s="7" t="n"/>
      <c r="J7882" s="7" t="n"/>
      <c r="K7882">
        <f>IF(D7882="Legitimate Interest (GDPR Art. 6(1)(f))", "Yes / Required (Sheet 3)", "")</f>
        <v/>
      </c>
      <c r="L7882" s="7" t="n"/>
      <c r="M7882" s="7" t="n"/>
      <c r="N7882">
        <f>IF(D7882="", "Gap - No Legal Basis", IF(AND(D7882="Consent (GDPR Art. 6(1)(a))", I7882="Not Captured"), "Gap - Invalid Consent", IF(AND(D7882="Legitimate Interest (GDPR Art. 6(1)(f))", L7882=""), "Gap - Missing LIA", IF(AND(G7882="Yes", H7882=""), "Gap - Missing Art. 9 Basis", IF(OR(I7882="Invalid - Not Freely Given", I7882="Invalid - Not Specific", I7882="Invalid - Not Informed", I7882="Invalid - Ambiguous"), "Gap - Invalid Consent", "Compliant")))))</f>
        <v/>
      </c>
      <c r="O7882" s="7" t="n"/>
    </row>
    <row r="7883">
      <c r="A7883" s="7" t="n"/>
      <c r="B7883" s="7" t="n"/>
      <c r="C7883" s="7" t="n"/>
      <c r="D7883" s="7" t="n"/>
      <c r="E7883" s="7" t="n"/>
      <c r="F7883" s="7" t="n"/>
      <c r="G7883" s="7" t="n"/>
      <c r="H7883" s="7" t="n"/>
      <c r="I7883" s="7" t="n"/>
      <c r="J7883" s="7" t="n"/>
      <c r="K7883">
        <f>IF(D7883="Legitimate Interest (GDPR Art. 6(1)(f))", "Yes / Required (Sheet 3)", "")</f>
        <v/>
      </c>
      <c r="L7883" s="7" t="n"/>
      <c r="M7883" s="7" t="n"/>
      <c r="N7883">
        <f>IF(D7883="", "Gap - No Legal Basis", IF(AND(D7883="Consent (GDPR Art. 6(1)(a))", I7883="Not Captured"), "Gap - Invalid Consent", IF(AND(D7883="Legitimate Interest (GDPR Art. 6(1)(f))", L7883=""), "Gap - Missing LIA", IF(AND(G7883="Yes", H7883=""), "Gap - Missing Art. 9 Basis", IF(OR(I7883="Invalid - Not Freely Given", I7883="Invalid - Not Specific", I7883="Invalid - Not Informed", I7883="Invalid - Ambiguous"), "Gap - Invalid Consent", "Compliant")))))</f>
        <v/>
      </c>
      <c r="O7883" s="7" t="n"/>
    </row>
    <row r="7884">
      <c r="A7884" s="7" t="n"/>
      <c r="B7884" s="7" t="n"/>
      <c r="C7884" s="7" t="n"/>
      <c r="D7884" s="7" t="n"/>
      <c r="E7884" s="7" t="n"/>
      <c r="F7884" s="7" t="n"/>
      <c r="G7884" s="7" t="n"/>
      <c r="H7884" s="7" t="n"/>
      <c r="I7884" s="7" t="n"/>
      <c r="J7884" s="7" t="n"/>
      <c r="K7884">
        <f>IF(D7884="Legitimate Interest (GDPR Art. 6(1)(f))", "Yes / Required (Sheet 3)", "")</f>
        <v/>
      </c>
      <c r="L7884" s="7" t="n"/>
      <c r="M7884" s="7" t="n"/>
      <c r="N7884">
        <f>IF(D7884="", "Gap - No Legal Basis", IF(AND(D7884="Consent (GDPR Art. 6(1)(a))", I7884="Not Captured"), "Gap - Invalid Consent", IF(AND(D7884="Legitimate Interest (GDPR Art. 6(1)(f))", L7884=""), "Gap - Missing LIA", IF(AND(G7884="Yes", H7884=""), "Gap - Missing Art. 9 Basis", IF(OR(I7884="Invalid - Not Freely Given", I7884="Invalid - Not Specific", I7884="Invalid - Not Informed", I7884="Invalid - Ambiguous"), "Gap - Invalid Consent", "Compliant")))))</f>
        <v/>
      </c>
      <c r="O7884" s="7" t="n"/>
    </row>
    <row r="7885">
      <c r="A7885" s="7" t="n"/>
      <c r="B7885" s="7" t="n"/>
      <c r="C7885" s="7" t="n"/>
      <c r="D7885" s="7" t="n"/>
      <c r="E7885" s="7" t="n"/>
      <c r="F7885" s="7" t="n"/>
      <c r="G7885" s="7" t="n"/>
      <c r="H7885" s="7" t="n"/>
      <c r="I7885" s="7" t="n"/>
      <c r="J7885" s="7" t="n"/>
      <c r="K7885">
        <f>IF(D7885="Legitimate Interest (GDPR Art. 6(1)(f))", "Yes / Required (Sheet 3)", "")</f>
        <v/>
      </c>
      <c r="L7885" s="7" t="n"/>
      <c r="M7885" s="7" t="n"/>
      <c r="N7885">
        <f>IF(D7885="", "Gap - No Legal Basis", IF(AND(D7885="Consent (GDPR Art. 6(1)(a))", I7885="Not Captured"), "Gap - Invalid Consent", IF(AND(D7885="Legitimate Interest (GDPR Art. 6(1)(f))", L7885=""), "Gap - Missing LIA", IF(AND(G7885="Yes", H7885=""), "Gap - Missing Art. 9 Basis", IF(OR(I7885="Invalid - Not Freely Given", I7885="Invalid - Not Specific", I7885="Invalid - Not Informed", I7885="Invalid - Ambiguous"), "Gap - Invalid Consent", "Compliant")))))</f>
        <v/>
      </c>
      <c r="O7885" s="7" t="n"/>
    </row>
    <row r="7886">
      <c r="A7886" s="7" t="n"/>
      <c r="B7886" s="7" t="n"/>
      <c r="C7886" s="7" t="n"/>
      <c r="D7886" s="7" t="n"/>
      <c r="E7886" s="7" t="n"/>
      <c r="F7886" s="7" t="n"/>
      <c r="G7886" s="7" t="n"/>
      <c r="H7886" s="7" t="n"/>
      <c r="I7886" s="7" t="n"/>
      <c r="J7886" s="7" t="n"/>
      <c r="K7886">
        <f>IF(D7886="Legitimate Interest (GDPR Art. 6(1)(f))", "Yes / Required (Sheet 3)", "")</f>
        <v/>
      </c>
      <c r="L7886" s="7" t="n"/>
      <c r="M7886" s="7" t="n"/>
      <c r="N7886">
        <f>IF(D7886="", "Gap - No Legal Basis", IF(AND(D7886="Consent (GDPR Art. 6(1)(a))", I7886="Not Captured"), "Gap - Invalid Consent", IF(AND(D7886="Legitimate Interest (GDPR Art. 6(1)(f))", L7886=""), "Gap - Missing LIA", IF(AND(G7886="Yes", H7886=""), "Gap - Missing Art. 9 Basis", IF(OR(I7886="Invalid - Not Freely Given", I7886="Invalid - Not Specific", I7886="Invalid - Not Informed", I7886="Invalid - Ambiguous"), "Gap - Invalid Consent", "Compliant")))))</f>
        <v/>
      </c>
      <c r="O7886" s="7" t="n"/>
    </row>
    <row r="7887">
      <c r="A7887" s="7" t="n"/>
      <c r="B7887" s="7" t="n"/>
      <c r="C7887" s="7" t="n"/>
      <c r="D7887" s="7" t="n"/>
      <c r="E7887" s="7" t="n"/>
      <c r="F7887" s="7" t="n"/>
      <c r="G7887" s="7" t="n"/>
      <c r="H7887" s="7" t="n"/>
      <c r="I7887" s="7" t="n"/>
      <c r="J7887" s="7" t="n"/>
      <c r="K7887">
        <f>IF(D7887="Legitimate Interest (GDPR Art. 6(1)(f))", "Yes / Required (Sheet 3)", "")</f>
        <v/>
      </c>
      <c r="L7887" s="7" t="n"/>
      <c r="M7887" s="7" t="n"/>
      <c r="N7887">
        <f>IF(D7887="", "Gap - No Legal Basis", IF(AND(D7887="Consent (GDPR Art. 6(1)(a))", I7887="Not Captured"), "Gap - Invalid Consent", IF(AND(D7887="Legitimate Interest (GDPR Art. 6(1)(f))", L7887=""), "Gap - Missing LIA", IF(AND(G7887="Yes", H7887=""), "Gap - Missing Art. 9 Basis", IF(OR(I7887="Invalid - Not Freely Given", I7887="Invalid - Not Specific", I7887="Invalid - Not Informed", I7887="Invalid - Ambiguous"), "Gap - Invalid Consent", "Compliant")))))</f>
        <v/>
      </c>
      <c r="O7887" s="7" t="n"/>
    </row>
    <row r="7888">
      <c r="A7888" s="7" t="n"/>
      <c r="B7888" s="7" t="n"/>
      <c r="C7888" s="7" t="n"/>
      <c r="D7888" s="7" t="n"/>
      <c r="E7888" s="7" t="n"/>
      <c r="F7888" s="7" t="n"/>
      <c r="G7888" s="7" t="n"/>
      <c r="H7888" s="7" t="n"/>
      <c r="I7888" s="7" t="n"/>
      <c r="J7888" s="7" t="n"/>
      <c r="K7888">
        <f>IF(D7888="Legitimate Interest (GDPR Art. 6(1)(f))", "Yes / Required (Sheet 3)", "")</f>
        <v/>
      </c>
      <c r="L7888" s="7" t="n"/>
      <c r="M7888" s="7" t="n"/>
      <c r="N7888">
        <f>IF(D7888="", "Gap - No Legal Basis", IF(AND(D7888="Consent (GDPR Art. 6(1)(a))", I7888="Not Captured"), "Gap - Invalid Consent", IF(AND(D7888="Legitimate Interest (GDPR Art. 6(1)(f))", L7888=""), "Gap - Missing LIA", IF(AND(G7888="Yes", H7888=""), "Gap - Missing Art. 9 Basis", IF(OR(I7888="Invalid - Not Freely Given", I7888="Invalid - Not Specific", I7888="Invalid - Not Informed", I7888="Invalid - Ambiguous"), "Gap - Invalid Consent", "Compliant")))))</f>
        <v/>
      </c>
      <c r="O7888" s="7" t="n"/>
    </row>
    <row r="7889">
      <c r="A7889" s="7" t="n"/>
      <c r="B7889" s="7" t="n"/>
      <c r="C7889" s="7" t="n"/>
      <c r="D7889" s="7" t="n"/>
      <c r="E7889" s="7" t="n"/>
      <c r="F7889" s="7" t="n"/>
      <c r="G7889" s="7" t="n"/>
      <c r="H7889" s="7" t="n"/>
      <c r="I7889" s="7" t="n"/>
      <c r="J7889" s="7" t="n"/>
      <c r="K7889">
        <f>IF(D7889="Legitimate Interest (GDPR Art. 6(1)(f))", "Yes / Required (Sheet 3)", "")</f>
        <v/>
      </c>
      <c r="L7889" s="7" t="n"/>
      <c r="M7889" s="7" t="n"/>
      <c r="N7889">
        <f>IF(D7889="", "Gap - No Legal Basis", IF(AND(D7889="Consent (GDPR Art. 6(1)(a))", I7889="Not Captured"), "Gap - Invalid Consent", IF(AND(D7889="Legitimate Interest (GDPR Art. 6(1)(f))", L7889=""), "Gap - Missing LIA", IF(AND(G7889="Yes", H7889=""), "Gap - Missing Art. 9 Basis", IF(OR(I7889="Invalid - Not Freely Given", I7889="Invalid - Not Specific", I7889="Invalid - Not Informed", I7889="Invalid - Ambiguous"), "Gap - Invalid Consent", "Compliant")))))</f>
        <v/>
      </c>
      <c r="O7889" s="7" t="n"/>
    </row>
    <row r="7890">
      <c r="A7890" s="7" t="n"/>
      <c r="B7890" s="7" t="n"/>
      <c r="C7890" s="7" t="n"/>
      <c r="D7890" s="7" t="n"/>
      <c r="E7890" s="7" t="n"/>
      <c r="F7890" s="7" t="n"/>
      <c r="G7890" s="7" t="n"/>
      <c r="H7890" s="7" t="n"/>
      <c r="I7890" s="7" t="n"/>
      <c r="J7890" s="7" t="n"/>
      <c r="K7890">
        <f>IF(D7890="Legitimate Interest (GDPR Art. 6(1)(f))", "Yes / Required (Sheet 3)", "")</f>
        <v/>
      </c>
      <c r="L7890" s="7" t="n"/>
      <c r="M7890" s="7" t="n"/>
      <c r="N7890">
        <f>IF(D7890="", "Gap - No Legal Basis", IF(AND(D7890="Consent (GDPR Art. 6(1)(a))", I7890="Not Captured"), "Gap - Invalid Consent", IF(AND(D7890="Legitimate Interest (GDPR Art. 6(1)(f))", L7890=""), "Gap - Missing LIA", IF(AND(G7890="Yes", H7890=""), "Gap - Missing Art. 9 Basis", IF(OR(I7890="Invalid - Not Freely Given", I7890="Invalid - Not Specific", I7890="Invalid - Not Informed", I7890="Invalid - Ambiguous"), "Gap - Invalid Consent", "Compliant")))))</f>
        <v/>
      </c>
      <c r="O7890" s="7" t="n"/>
    </row>
    <row r="7891">
      <c r="A7891" s="7" t="n"/>
      <c r="B7891" s="7" t="n"/>
      <c r="C7891" s="7" t="n"/>
      <c r="D7891" s="7" t="n"/>
      <c r="E7891" s="7" t="n"/>
      <c r="F7891" s="7" t="n"/>
      <c r="G7891" s="7" t="n"/>
      <c r="H7891" s="7" t="n"/>
      <c r="I7891" s="7" t="n"/>
      <c r="J7891" s="7" t="n"/>
      <c r="K7891">
        <f>IF(D7891="Legitimate Interest (GDPR Art. 6(1)(f))", "Yes / Required (Sheet 3)", "")</f>
        <v/>
      </c>
      <c r="L7891" s="7" t="n"/>
      <c r="M7891" s="7" t="n"/>
      <c r="N7891">
        <f>IF(D7891="", "Gap - No Legal Basis", IF(AND(D7891="Consent (GDPR Art. 6(1)(a))", I7891="Not Captured"), "Gap - Invalid Consent", IF(AND(D7891="Legitimate Interest (GDPR Art. 6(1)(f))", L7891=""), "Gap - Missing LIA", IF(AND(G7891="Yes", H7891=""), "Gap - Missing Art. 9 Basis", IF(OR(I7891="Invalid - Not Freely Given", I7891="Invalid - Not Specific", I7891="Invalid - Not Informed", I7891="Invalid - Ambiguous"), "Gap - Invalid Consent", "Compliant")))))</f>
        <v/>
      </c>
      <c r="O7891" s="7" t="n"/>
    </row>
    <row r="7892">
      <c r="A7892" s="7" t="n"/>
      <c r="B7892" s="7" t="n"/>
      <c r="C7892" s="7" t="n"/>
      <c r="D7892" s="7" t="n"/>
      <c r="E7892" s="7" t="n"/>
      <c r="F7892" s="7" t="n"/>
      <c r="G7892" s="7" t="n"/>
      <c r="H7892" s="7" t="n"/>
      <c r="I7892" s="7" t="n"/>
      <c r="J7892" s="7" t="n"/>
      <c r="K7892">
        <f>IF(D7892="Legitimate Interest (GDPR Art. 6(1)(f))", "Yes / Required (Sheet 3)", "")</f>
        <v/>
      </c>
      <c r="L7892" s="7" t="n"/>
      <c r="M7892" s="7" t="n"/>
      <c r="N7892">
        <f>IF(D7892="", "Gap - No Legal Basis", IF(AND(D7892="Consent (GDPR Art. 6(1)(a))", I7892="Not Captured"), "Gap - Invalid Consent", IF(AND(D7892="Legitimate Interest (GDPR Art. 6(1)(f))", L7892=""), "Gap - Missing LIA", IF(AND(G7892="Yes", H7892=""), "Gap - Missing Art. 9 Basis", IF(OR(I7892="Invalid - Not Freely Given", I7892="Invalid - Not Specific", I7892="Invalid - Not Informed", I7892="Invalid - Ambiguous"), "Gap - Invalid Consent", "Compliant")))))</f>
        <v/>
      </c>
      <c r="O7892" s="7" t="n"/>
    </row>
    <row r="7893">
      <c r="A7893" s="7" t="n"/>
      <c r="B7893" s="7" t="n"/>
      <c r="C7893" s="7" t="n"/>
      <c r="D7893" s="7" t="n"/>
      <c r="E7893" s="7" t="n"/>
      <c r="F7893" s="7" t="n"/>
      <c r="G7893" s="7" t="n"/>
      <c r="H7893" s="7" t="n"/>
      <c r="I7893" s="7" t="n"/>
      <c r="J7893" s="7" t="n"/>
      <c r="K7893">
        <f>IF(D7893="Legitimate Interest (GDPR Art. 6(1)(f))", "Yes / Required (Sheet 3)", "")</f>
        <v/>
      </c>
      <c r="L7893" s="7" t="n"/>
      <c r="M7893" s="7" t="n"/>
      <c r="N7893">
        <f>IF(D7893="", "Gap - No Legal Basis", IF(AND(D7893="Consent (GDPR Art. 6(1)(a))", I7893="Not Captured"), "Gap - Invalid Consent", IF(AND(D7893="Legitimate Interest (GDPR Art. 6(1)(f))", L7893=""), "Gap - Missing LIA", IF(AND(G7893="Yes", H7893=""), "Gap - Missing Art. 9 Basis", IF(OR(I7893="Invalid - Not Freely Given", I7893="Invalid - Not Specific", I7893="Invalid - Not Informed", I7893="Invalid - Ambiguous"), "Gap - Invalid Consent", "Compliant")))))</f>
        <v/>
      </c>
      <c r="O7893" s="7" t="n"/>
    </row>
    <row r="7894">
      <c r="A7894" s="7" t="n"/>
      <c r="B7894" s="7" t="n"/>
      <c r="C7894" s="7" t="n"/>
      <c r="D7894" s="7" t="n"/>
      <c r="E7894" s="7" t="n"/>
      <c r="F7894" s="7" t="n"/>
      <c r="G7894" s="7" t="n"/>
      <c r="H7894" s="7" t="n"/>
      <c r="I7894" s="7" t="n"/>
      <c r="J7894" s="7" t="n"/>
      <c r="K7894">
        <f>IF(D7894="Legitimate Interest (GDPR Art. 6(1)(f))", "Yes / Required (Sheet 3)", "")</f>
        <v/>
      </c>
      <c r="L7894" s="7" t="n"/>
      <c r="M7894" s="7" t="n"/>
      <c r="N7894">
        <f>IF(D7894="", "Gap - No Legal Basis", IF(AND(D7894="Consent (GDPR Art. 6(1)(a))", I7894="Not Captured"), "Gap - Invalid Consent", IF(AND(D7894="Legitimate Interest (GDPR Art. 6(1)(f))", L7894=""), "Gap - Missing LIA", IF(AND(G7894="Yes", H7894=""), "Gap - Missing Art. 9 Basis", IF(OR(I7894="Invalid - Not Freely Given", I7894="Invalid - Not Specific", I7894="Invalid - Not Informed", I7894="Invalid - Ambiguous"), "Gap - Invalid Consent", "Compliant")))))</f>
        <v/>
      </c>
      <c r="O7894" s="7" t="n"/>
    </row>
    <row r="7895">
      <c r="A7895" s="7" t="n"/>
      <c r="B7895" s="7" t="n"/>
      <c r="C7895" s="7" t="n"/>
      <c r="D7895" s="7" t="n"/>
      <c r="E7895" s="7" t="n"/>
      <c r="F7895" s="7" t="n"/>
      <c r="G7895" s="7" t="n"/>
      <c r="H7895" s="7" t="n"/>
      <c r="I7895" s="7" t="n"/>
      <c r="J7895" s="7" t="n"/>
      <c r="K7895">
        <f>IF(D7895="Legitimate Interest (GDPR Art. 6(1)(f))", "Yes / Required (Sheet 3)", "")</f>
        <v/>
      </c>
      <c r="L7895" s="7" t="n"/>
      <c r="M7895" s="7" t="n"/>
      <c r="N7895">
        <f>IF(D7895="", "Gap - No Legal Basis", IF(AND(D7895="Consent (GDPR Art. 6(1)(a))", I7895="Not Captured"), "Gap - Invalid Consent", IF(AND(D7895="Legitimate Interest (GDPR Art. 6(1)(f))", L7895=""), "Gap - Missing LIA", IF(AND(G7895="Yes", H7895=""), "Gap - Missing Art. 9 Basis", IF(OR(I7895="Invalid - Not Freely Given", I7895="Invalid - Not Specific", I7895="Invalid - Not Informed", I7895="Invalid - Ambiguous"), "Gap - Invalid Consent", "Compliant")))))</f>
        <v/>
      </c>
      <c r="O7895" s="7" t="n"/>
    </row>
    <row r="7896">
      <c r="A7896" s="7" t="n"/>
      <c r="B7896" s="7" t="n"/>
      <c r="C7896" s="7" t="n"/>
      <c r="D7896" s="7" t="n"/>
      <c r="E7896" s="7" t="n"/>
      <c r="F7896" s="7" t="n"/>
      <c r="G7896" s="7" t="n"/>
      <c r="H7896" s="7" t="n"/>
      <c r="I7896" s="7" t="n"/>
      <c r="J7896" s="7" t="n"/>
      <c r="K7896">
        <f>IF(D7896="Legitimate Interest (GDPR Art. 6(1)(f))", "Yes / Required (Sheet 3)", "")</f>
        <v/>
      </c>
      <c r="L7896" s="7" t="n"/>
      <c r="M7896" s="7" t="n"/>
      <c r="N7896">
        <f>IF(D7896="", "Gap - No Legal Basis", IF(AND(D7896="Consent (GDPR Art. 6(1)(a))", I7896="Not Captured"), "Gap - Invalid Consent", IF(AND(D7896="Legitimate Interest (GDPR Art. 6(1)(f))", L7896=""), "Gap - Missing LIA", IF(AND(G7896="Yes", H7896=""), "Gap - Missing Art. 9 Basis", IF(OR(I7896="Invalid - Not Freely Given", I7896="Invalid - Not Specific", I7896="Invalid - Not Informed", I7896="Invalid - Ambiguous"), "Gap - Invalid Consent", "Compliant")))))</f>
        <v/>
      </c>
      <c r="O7896" s="7" t="n"/>
    </row>
    <row r="7897">
      <c r="A7897" s="7" t="n"/>
      <c r="B7897" s="7" t="n"/>
      <c r="C7897" s="7" t="n"/>
      <c r="D7897" s="7" t="n"/>
      <c r="E7897" s="7" t="n"/>
      <c r="F7897" s="7" t="n"/>
      <c r="G7897" s="7" t="n"/>
      <c r="H7897" s="7" t="n"/>
      <c r="I7897" s="7" t="n"/>
      <c r="J7897" s="7" t="n"/>
      <c r="K7897">
        <f>IF(D7897="Legitimate Interest (GDPR Art. 6(1)(f))", "Yes / Required (Sheet 3)", "")</f>
        <v/>
      </c>
      <c r="L7897" s="7" t="n"/>
      <c r="M7897" s="7" t="n"/>
      <c r="N7897">
        <f>IF(D7897="", "Gap - No Legal Basis", IF(AND(D7897="Consent (GDPR Art. 6(1)(a))", I7897="Not Captured"), "Gap - Invalid Consent", IF(AND(D7897="Legitimate Interest (GDPR Art. 6(1)(f))", L7897=""), "Gap - Missing LIA", IF(AND(G7897="Yes", H7897=""), "Gap - Missing Art. 9 Basis", IF(OR(I7897="Invalid - Not Freely Given", I7897="Invalid - Not Specific", I7897="Invalid - Not Informed", I7897="Invalid - Ambiguous"), "Gap - Invalid Consent", "Compliant")))))</f>
        <v/>
      </c>
      <c r="O7897" s="7" t="n"/>
    </row>
    <row r="7898">
      <c r="A7898" s="7" t="n"/>
      <c r="B7898" s="7" t="n"/>
      <c r="C7898" s="7" t="n"/>
      <c r="D7898" s="7" t="n"/>
      <c r="E7898" s="7" t="n"/>
      <c r="F7898" s="7" t="n"/>
      <c r="G7898" s="7" t="n"/>
      <c r="H7898" s="7" t="n"/>
      <c r="I7898" s="7" t="n"/>
      <c r="J7898" s="7" t="n"/>
      <c r="K7898">
        <f>IF(D7898="Legitimate Interest (GDPR Art. 6(1)(f))", "Yes / Required (Sheet 3)", "")</f>
        <v/>
      </c>
      <c r="L7898" s="7" t="n"/>
      <c r="M7898" s="7" t="n"/>
      <c r="N7898">
        <f>IF(D7898="", "Gap - No Legal Basis", IF(AND(D7898="Consent (GDPR Art. 6(1)(a))", I7898="Not Captured"), "Gap - Invalid Consent", IF(AND(D7898="Legitimate Interest (GDPR Art. 6(1)(f))", L7898=""), "Gap - Missing LIA", IF(AND(G7898="Yes", H7898=""), "Gap - Missing Art. 9 Basis", IF(OR(I7898="Invalid - Not Freely Given", I7898="Invalid - Not Specific", I7898="Invalid - Not Informed", I7898="Invalid - Ambiguous"), "Gap - Invalid Consent", "Compliant")))))</f>
        <v/>
      </c>
      <c r="O7898" s="7" t="n"/>
    </row>
    <row r="7899">
      <c r="A7899" s="7" t="n"/>
      <c r="B7899" s="7" t="n"/>
      <c r="C7899" s="7" t="n"/>
      <c r="D7899" s="7" t="n"/>
      <c r="E7899" s="7" t="n"/>
      <c r="F7899" s="7" t="n"/>
      <c r="G7899" s="7" t="n"/>
      <c r="H7899" s="7" t="n"/>
      <c r="I7899" s="7" t="n"/>
      <c r="J7899" s="7" t="n"/>
      <c r="K7899">
        <f>IF(D7899="Legitimate Interest (GDPR Art. 6(1)(f))", "Yes / Required (Sheet 3)", "")</f>
        <v/>
      </c>
      <c r="L7899" s="7" t="n"/>
      <c r="M7899" s="7" t="n"/>
      <c r="N7899">
        <f>IF(D7899="", "Gap - No Legal Basis", IF(AND(D7899="Consent (GDPR Art. 6(1)(a))", I7899="Not Captured"), "Gap - Invalid Consent", IF(AND(D7899="Legitimate Interest (GDPR Art. 6(1)(f))", L7899=""), "Gap - Missing LIA", IF(AND(G7899="Yes", H7899=""), "Gap - Missing Art. 9 Basis", IF(OR(I7899="Invalid - Not Freely Given", I7899="Invalid - Not Specific", I7899="Invalid - Not Informed", I7899="Invalid - Ambiguous"), "Gap - Invalid Consent", "Compliant")))))</f>
        <v/>
      </c>
      <c r="O7899" s="7" t="n"/>
    </row>
    <row r="7900">
      <c r="A7900" s="7" t="n"/>
      <c r="B7900" s="7" t="n"/>
      <c r="C7900" s="7" t="n"/>
      <c r="D7900" s="7" t="n"/>
      <c r="E7900" s="7" t="n"/>
      <c r="F7900" s="7" t="n"/>
      <c r="G7900" s="7" t="n"/>
      <c r="H7900" s="7" t="n"/>
      <c r="I7900" s="7" t="n"/>
      <c r="J7900" s="7" t="n"/>
      <c r="K7900">
        <f>IF(D7900="Legitimate Interest (GDPR Art. 6(1)(f))", "Yes / Required (Sheet 3)", "")</f>
        <v/>
      </c>
      <c r="L7900" s="7" t="n"/>
      <c r="M7900" s="7" t="n"/>
      <c r="N7900">
        <f>IF(D7900="", "Gap - No Legal Basis", IF(AND(D7900="Consent (GDPR Art. 6(1)(a))", I7900="Not Captured"), "Gap - Invalid Consent", IF(AND(D7900="Legitimate Interest (GDPR Art. 6(1)(f))", L7900=""), "Gap - Missing LIA", IF(AND(G7900="Yes", H7900=""), "Gap - Missing Art. 9 Basis", IF(OR(I7900="Invalid - Not Freely Given", I7900="Invalid - Not Specific", I7900="Invalid - Not Informed", I7900="Invalid - Ambiguous"), "Gap - Invalid Consent", "Compliant")))))</f>
        <v/>
      </c>
      <c r="O7900" s="7" t="n"/>
    </row>
    <row r="7901">
      <c r="A7901" s="7" t="n"/>
      <c r="B7901" s="7" t="n"/>
      <c r="C7901" s="7" t="n"/>
      <c r="D7901" s="7" t="n"/>
      <c r="E7901" s="7" t="n"/>
      <c r="F7901" s="7" t="n"/>
      <c r="G7901" s="7" t="n"/>
      <c r="H7901" s="7" t="n"/>
      <c r="I7901" s="7" t="n"/>
      <c r="J7901" s="7" t="n"/>
      <c r="K7901">
        <f>IF(D7901="Legitimate Interest (GDPR Art. 6(1)(f))", "Yes / Required (Sheet 3)", "")</f>
        <v/>
      </c>
      <c r="L7901" s="7" t="n"/>
      <c r="M7901" s="7" t="n"/>
      <c r="N7901">
        <f>IF(D7901="", "Gap - No Legal Basis", IF(AND(D7901="Consent (GDPR Art. 6(1)(a))", I7901="Not Captured"), "Gap - Invalid Consent", IF(AND(D7901="Legitimate Interest (GDPR Art. 6(1)(f))", L7901=""), "Gap - Missing LIA", IF(AND(G7901="Yes", H7901=""), "Gap - Missing Art. 9 Basis", IF(OR(I7901="Invalid - Not Freely Given", I7901="Invalid - Not Specific", I7901="Invalid - Not Informed", I7901="Invalid - Ambiguous"), "Gap - Invalid Consent", "Compliant")))))</f>
        <v/>
      </c>
      <c r="O7901" s="7" t="n"/>
    </row>
    <row r="7902">
      <c r="A7902" s="7" t="n"/>
      <c r="B7902" s="7" t="n"/>
      <c r="C7902" s="7" t="n"/>
      <c r="D7902" s="7" t="n"/>
      <c r="E7902" s="7" t="n"/>
      <c r="F7902" s="7" t="n"/>
      <c r="G7902" s="7" t="n"/>
      <c r="H7902" s="7" t="n"/>
      <c r="I7902" s="7" t="n"/>
      <c r="J7902" s="7" t="n"/>
      <c r="K7902">
        <f>IF(D7902="Legitimate Interest (GDPR Art. 6(1)(f))", "Yes / Required (Sheet 3)", "")</f>
        <v/>
      </c>
      <c r="L7902" s="7" t="n"/>
      <c r="M7902" s="7" t="n"/>
      <c r="N7902">
        <f>IF(D7902="", "Gap - No Legal Basis", IF(AND(D7902="Consent (GDPR Art. 6(1)(a))", I7902="Not Captured"), "Gap - Invalid Consent", IF(AND(D7902="Legitimate Interest (GDPR Art. 6(1)(f))", L7902=""), "Gap - Missing LIA", IF(AND(G7902="Yes", H7902=""), "Gap - Missing Art. 9 Basis", IF(OR(I7902="Invalid - Not Freely Given", I7902="Invalid - Not Specific", I7902="Invalid - Not Informed", I7902="Invalid - Ambiguous"), "Gap - Invalid Consent", "Compliant")))))</f>
        <v/>
      </c>
      <c r="O7902" s="7" t="n"/>
    </row>
    <row r="7903">
      <c r="A7903" s="7" t="n"/>
      <c r="B7903" s="7" t="n"/>
      <c r="C7903" s="7" t="n"/>
      <c r="D7903" s="7" t="n"/>
      <c r="E7903" s="7" t="n"/>
      <c r="F7903" s="7" t="n"/>
      <c r="G7903" s="7" t="n"/>
      <c r="H7903" s="7" t="n"/>
      <c r="I7903" s="7" t="n"/>
      <c r="J7903" s="7" t="n"/>
      <c r="K7903">
        <f>IF(D7903="Legitimate Interest (GDPR Art. 6(1)(f))", "Yes / Required (Sheet 3)", "")</f>
        <v/>
      </c>
      <c r="L7903" s="7" t="n"/>
      <c r="M7903" s="7" t="n"/>
      <c r="N7903">
        <f>IF(D7903="", "Gap - No Legal Basis", IF(AND(D7903="Consent (GDPR Art. 6(1)(a))", I7903="Not Captured"), "Gap - Invalid Consent", IF(AND(D7903="Legitimate Interest (GDPR Art. 6(1)(f))", L7903=""), "Gap - Missing LIA", IF(AND(G7903="Yes", H7903=""), "Gap - Missing Art. 9 Basis", IF(OR(I7903="Invalid - Not Freely Given", I7903="Invalid - Not Specific", I7903="Invalid - Not Informed", I7903="Invalid - Ambiguous"), "Gap - Invalid Consent", "Compliant")))))</f>
        <v/>
      </c>
      <c r="O7903" s="7" t="n"/>
    </row>
    <row r="7904">
      <c r="A7904" s="7" t="n"/>
      <c r="B7904" s="7" t="n"/>
      <c r="C7904" s="7" t="n"/>
      <c r="D7904" s="7" t="n"/>
      <c r="E7904" s="7" t="n"/>
      <c r="F7904" s="7" t="n"/>
      <c r="G7904" s="7" t="n"/>
      <c r="H7904" s="7" t="n"/>
      <c r="I7904" s="7" t="n"/>
      <c r="J7904" s="7" t="n"/>
      <c r="K7904">
        <f>IF(D7904="Legitimate Interest (GDPR Art. 6(1)(f))", "Yes / Required (Sheet 3)", "")</f>
        <v/>
      </c>
      <c r="L7904" s="7" t="n"/>
      <c r="M7904" s="7" t="n"/>
      <c r="N7904">
        <f>IF(D7904="", "Gap - No Legal Basis", IF(AND(D7904="Consent (GDPR Art. 6(1)(a))", I7904="Not Captured"), "Gap - Invalid Consent", IF(AND(D7904="Legitimate Interest (GDPR Art. 6(1)(f))", L7904=""), "Gap - Missing LIA", IF(AND(G7904="Yes", H7904=""), "Gap - Missing Art. 9 Basis", IF(OR(I7904="Invalid - Not Freely Given", I7904="Invalid - Not Specific", I7904="Invalid - Not Informed", I7904="Invalid - Ambiguous"), "Gap - Invalid Consent", "Compliant")))))</f>
        <v/>
      </c>
      <c r="O7904" s="7" t="n"/>
    </row>
    <row r="7905">
      <c r="A7905" s="7" t="n"/>
      <c r="B7905" s="7" t="n"/>
      <c r="C7905" s="7" t="n"/>
      <c r="D7905" s="7" t="n"/>
      <c r="E7905" s="7" t="n"/>
      <c r="F7905" s="7" t="n"/>
      <c r="G7905" s="7" t="n"/>
      <c r="H7905" s="7" t="n"/>
      <c r="I7905" s="7" t="n"/>
      <c r="J7905" s="7" t="n"/>
      <c r="K7905">
        <f>IF(D7905="Legitimate Interest (GDPR Art. 6(1)(f))", "Yes / Required (Sheet 3)", "")</f>
        <v/>
      </c>
      <c r="L7905" s="7" t="n"/>
      <c r="M7905" s="7" t="n"/>
      <c r="N7905">
        <f>IF(D7905="", "Gap - No Legal Basis", IF(AND(D7905="Consent (GDPR Art. 6(1)(a))", I7905="Not Captured"), "Gap - Invalid Consent", IF(AND(D7905="Legitimate Interest (GDPR Art. 6(1)(f))", L7905=""), "Gap - Missing LIA", IF(AND(G7905="Yes", H7905=""), "Gap - Missing Art. 9 Basis", IF(OR(I7905="Invalid - Not Freely Given", I7905="Invalid - Not Specific", I7905="Invalid - Not Informed", I7905="Invalid - Ambiguous"), "Gap - Invalid Consent", "Compliant")))))</f>
        <v/>
      </c>
      <c r="O7905" s="7" t="n"/>
    </row>
    <row r="7906">
      <c r="A7906" s="7" t="n"/>
      <c r="B7906" s="7" t="n"/>
      <c r="C7906" s="7" t="n"/>
      <c r="D7906" s="7" t="n"/>
      <c r="E7906" s="7" t="n"/>
      <c r="F7906" s="7" t="n"/>
      <c r="G7906" s="7" t="n"/>
      <c r="H7906" s="7" t="n"/>
      <c r="I7906" s="7" t="n"/>
      <c r="J7906" s="7" t="n"/>
      <c r="K7906">
        <f>IF(D7906="Legitimate Interest (GDPR Art. 6(1)(f))", "Yes / Required (Sheet 3)", "")</f>
        <v/>
      </c>
      <c r="L7906" s="7" t="n"/>
      <c r="M7906" s="7" t="n"/>
      <c r="N7906">
        <f>IF(D7906="", "Gap - No Legal Basis", IF(AND(D7906="Consent (GDPR Art. 6(1)(a))", I7906="Not Captured"), "Gap - Invalid Consent", IF(AND(D7906="Legitimate Interest (GDPR Art. 6(1)(f))", L7906=""), "Gap - Missing LIA", IF(AND(G7906="Yes", H7906=""), "Gap - Missing Art. 9 Basis", IF(OR(I7906="Invalid - Not Freely Given", I7906="Invalid - Not Specific", I7906="Invalid - Not Informed", I7906="Invalid - Ambiguous"), "Gap - Invalid Consent", "Compliant")))))</f>
        <v/>
      </c>
      <c r="O7906" s="7" t="n"/>
    </row>
    <row r="7907">
      <c r="A7907" s="7" t="n"/>
      <c r="B7907" s="7" t="n"/>
      <c r="C7907" s="7" t="n"/>
      <c r="D7907" s="7" t="n"/>
      <c r="E7907" s="7" t="n"/>
      <c r="F7907" s="7" t="n"/>
      <c r="G7907" s="7" t="n"/>
      <c r="H7907" s="7" t="n"/>
      <c r="I7907" s="7" t="n"/>
      <c r="J7907" s="7" t="n"/>
      <c r="K7907">
        <f>IF(D7907="Legitimate Interest (GDPR Art. 6(1)(f))", "Yes / Required (Sheet 3)", "")</f>
        <v/>
      </c>
      <c r="L7907" s="7" t="n"/>
      <c r="M7907" s="7" t="n"/>
      <c r="N7907">
        <f>IF(D7907="", "Gap - No Legal Basis", IF(AND(D7907="Consent (GDPR Art. 6(1)(a))", I7907="Not Captured"), "Gap - Invalid Consent", IF(AND(D7907="Legitimate Interest (GDPR Art. 6(1)(f))", L7907=""), "Gap - Missing LIA", IF(AND(G7907="Yes", H7907=""), "Gap - Missing Art. 9 Basis", IF(OR(I7907="Invalid - Not Freely Given", I7907="Invalid - Not Specific", I7907="Invalid - Not Informed", I7907="Invalid - Ambiguous"), "Gap - Invalid Consent", "Compliant")))))</f>
        <v/>
      </c>
      <c r="O7907" s="7" t="n"/>
    </row>
    <row r="7908">
      <c r="A7908" s="7" t="n"/>
      <c r="B7908" s="7" t="n"/>
      <c r="C7908" s="7" t="n"/>
      <c r="D7908" s="7" t="n"/>
      <c r="E7908" s="7" t="n"/>
      <c r="F7908" s="7" t="n"/>
      <c r="G7908" s="7" t="n"/>
      <c r="H7908" s="7" t="n"/>
      <c r="I7908" s="7" t="n"/>
      <c r="J7908" s="7" t="n"/>
      <c r="K7908">
        <f>IF(D7908="Legitimate Interest (GDPR Art. 6(1)(f))", "Yes / Required (Sheet 3)", "")</f>
        <v/>
      </c>
      <c r="L7908" s="7" t="n"/>
      <c r="M7908" s="7" t="n"/>
      <c r="N7908">
        <f>IF(D7908="", "Gap - No Legal Basis", IF(AND(D7908="Consent (GDPR Art. 6(1)(a))", I7908="Not Captured"), "Gap - Invalid Consent", IF(AND(D7908="Legitimate Interest (GDPR Art. 6(1)(f))", L7908=""), "Gap - Missing LIA", IF(AND(G7908="Yes", H7908=""), "Gap - Missing Art. 9 Basis", IF(OR(I7908="Invalid - Not Freely Given", I7908="Invalid - Not Specific", I7908="Invalid - Not Informed", I7908="Invalid - Ambiguous"), "Gap - Invalid Consent", "Compliant")))))</f>
        <v/>
      </c>
      <c r="O7908" s="7" t="n"/>
    </row>
    <row r="7909">
      <c r="A7909" s="7" t="n"/>
      <c r="B7909" s="7" t="n"/>
      <c r="C7909" s="7" t="n"/>
      <c r="D7909" s="7" t="n"/>
      <c r="E7909" s="7" t="n"/>
      <c r="F7909" s="7" t="n"/>
      <c r="G7909" s="7" t="n"/>
      <c r="H7909" s="7" t="n"/>
      <c r="I7909" s="7" t="n"/>
      <c r="J7909" s="7" t="n"/>
      <c r="K7909">
        <f>IF(D7909="Legitimate Interest (GDPR Art. 6(1)(f))", "Yes / Required (Sheet 3)", "")</f>
        <v/>
      </c>
      <c r="L7909" s="7" t="n"/>
      <c r="M7909" s="7" t="n"/>
      <c r="N7909">
        <f>IF(D7909="", "Gap - No Legal Basis", IF(AND(D7909="Consent (GDPR Art. 6(1)(a))", I7909="Not Captured"), "Gap - Invalid Consent", IF(AND(D7909="Legitimate Interest (GDPR Art. 6(1)(f))", L7909=""), "Gap - Missing LIA", IF(AND(G7909="Yes", H7909=""), "Gap - Missing Art. 9 Basis", IF(OR(I7909="Invalid - Not Freely Given", I7909="Invalid - Not Specific", I7909="Invalid - Not Informed", I7909="Invalid - Ambiguous"), "Gap - Invalid Consent", "Compliant")))))</f>
        <v/>
      </c>
      <c r="O7909" s="7" t="n"/>
    </row>
    <row r="7910">
      <c r="A7910" s="7" t="n"/>
      <c r="B7910" s="7" t="n"/>
      <c r="C7910" s="7" t="n"/>
      <c r="D7910" s="7" t="n"/>
      <c r="E7910" s="7" t="n"/>
      <c r="F7910" s="7" t="n"/>
      <c r="G7910" s="7" t="n"/>
      <c r="H7910" s="7" t="n"/>
      <c r="I7910" s="7" t="n"/>
      <c r="J7910" s="7" t="n"/>
      <c r="K7910">
        <f>IF(D7910="Legitimate Interest (GDPR Art. 6(1)(f))", "Yes / Required (Sheet 3)", "")</f>
        <v/>
      </c>
      <c r="L7910" s="7" t="n"/>
      <c r="M7910" s="7" t="n"/>
      <c r="N7910">
        <f>IF(D7910="", "Gap - No Legal Basis", IF(AND(D7910="Consent (GDPR Art. 6(1)(a))", I7910="Not Captured"), "Gap - Invalid Consent", IF(AND(D7910="Legitimate Interest (GDPR Art. 6(1)(f))", L7910=""), "Gap - Missing LIA", IF(AND(G7910="Yes", H7910=""), "Gap - Missing Art. 9 Basis", IF(OR(I7910="Invalid - Not Freely Given", I7910="Invalid - Not Specific", I7910="Invalid - Not Informed", I7910="Invalid - Ambiguous"), "Gap - Invalid Consent", "Compliant")))))</f>
        <v/>
      </c>
      <c r="O7910" s="7" t="n"/>
    </row>
    <row r="7911">
      <c r="A7911" s="7" t="n"/>
      <c r="B7911" s="7" t="n"/>
      <c r="C7911" s="7" t="n"/>
      <c r="D7911" s="7" t="n"/>
      <c r="E7911" s="7" t="n"/>
      <c r="F7911" s="7" t="n"/>
      <c r="G7911" s="7" t="n"/>
      <c r="H7911" s="7" t="n"/>
      <c r="I7911" s="7" t="n"/>
      <c r="J7911" s="7" t="n"/>
      <c r="K7911">
        <f>IF(D7911="Legitimate Interest (GDPR Art. 6(1)(f))", "Yes / Required (Sheet 3)", "")</f>
        <v/>
      </c>
      <c r="L7911" s="7" t="n"/>
      <c r="M7911" s="7" t="n"/>
      <c r="N7911">
        <f>IF(D7911="", "Gap - No Legal Basis", IF(AND(D7911="Consent (GDPR Art. 6(1)(a))", I7911="Not Captured"), "Gap - Invalid Consent", IF(AND(D7911="Legitimate Interest (GDPR Art. 6(1)(f))", L7911=""), "Gap - Missing LIA", IF(AND(G7911="Yes", H7911=""), "Gap - Missing Art. 9 Basis", IF(OR(I7911="Invalid - Not Freely Given", I7911="Invalid - Not Specific", I7911="Invalid - Not Informed", I7911="Invalid - Ambiguous"), "Gap - Invalid Consent", "Compliant")))))</f>
        <v/>
      </c>
      <c r="O7911" s="7" t="n"/>
    </row>
    <row r="7912">
      <c r="A7912" s="7" t="n"/>
      <c r="B7912" s="7" t="n"/>
      <c r="C7912" s="7" t="n"/>
      <c r="D7912" s="7" t="n"/>
      <c r="E7912" s="7" t="n"/>
      <c r="F7912" s="7" t="n"/>
      <c r="G7912" s="7" t="n"/>
      <c r="H7912" s="7" t="n"/>
      <c r="I7912" s="7" t="n"/>
      <c r="J7912" s="7" t="n"/>
      <c r="K7912">
        <f>IF(D7912="Legitimate Interest (GDPR Art. 6(1)(f))", "Yes / Required (Sheet 3)", "")</f>
        <v/>
      </c>
      <c r="L7912" s="7" t="n"/>
      <c r="M7912" s="7" t="n"/>
      <c r="N7912">
        <f>IF(D7912="", "Gap - No Legal Basis", IF(AND(D7912="Consent (GDPR Art. 6(1)(a))", I7912="Not Captured"), "Gap - Invalid Consent", IF(AND(D7912="Legitimate Interest (GDPR Art. 6(1)(f))", L7912=""), "Gap - Missing LIA", IF(AND(G7912="Yes", H7912=""), "Gap - Missing Art. 9 Basis", IF(OR(I7912="Invalid - Not Freely Given", I7912="Invalid - Not Specific", I7912="Invalid - Not Informed", I7912="Invalid - Ambiguous"), "Gap - Invalid Consent", "Compliant")))))</f>
        <v/>
      </c>
      <c r="O7912" s="7" t="n"/>
    </row>
    <row r="7913">
      <c r="A7913" s="7" t="n"/>
      <c r="B7913" s="7" t="n"/>
      <c r="C7913" s="7" t="n"/>
      <c r="D7913" s="7" t="n"/>
      <c r="E7913" s="7" t="n"/>
      <c r="F7913" s="7" t="n"/>
      <c r="G7913" s="7" t="n"/>
      <c r="H7913" s="7" t="n"/>
      <c r="I7913" s="7" t="n"/>
      <c r="J7913" s="7" t="n"/>
      <c r="K7913">
        <f>IF(D7913="Legitimate Interest (GDPR Art. 6(1)(f))", "Yes / Required (Sheet 3)", "")</f>
        <v/>
      </c>
      <c r="L7913" s="7" t="n"/>
      <c r="M7913" s="7" t="n"/>
      <c r="N7913">
        <f>IF(D7913="", "Gap - No Legal Basis", IF(AND(D7913="Consent (GDPR Art. 6(1)(a))", I7913="Not Captured"), "Gap - Invalid Consent", IF(AND(D7913="Legitimate Interest (GDPR Art. 6(1)(f))", L7913=""), "Gap - Missing LIA", IF(AND(G7913="Yes", H7913=""), "Gap - Missing Art. 9 Basis", IF(OR(I7913="Invalid - Not Freely Given", I7913="Invalid - Not Specific", I7913="Invalid - Not Informed", I7913="Invalid - Ambiguous"), "Gap - Invalid Consent", "Compliant")))))</f>
        <v/>
      </c>
      <c r="O7913" s="7" t="n"/>
    </row>
    <row r="7914">
      <c r="A7914" s="7" t="n"/>
      <c r="B7914" s="7" t="n"/>
      <c r="C7914" s="7" t="n"/>
      <c r="D7914" s="7" t="n"/>
      <c r="E7914" s="7" t="n"/>
      <c r="F7914" s="7" t="n"/>
      <c r="G7914" s="7" t="n"/>
      <c r="H7914" s="7" t="n"/>
      <c r="I7914" s="7" t="n"/>
      <c r="J7914" s="7" t="n"/>
      <c r="K7914">
        <f>IF(D7914="Legitimate Interest (GDPR Art. 6(1)(f))", "Yes / Required (Sheet 3)", "")</f>
        <v/>
      </c>
      <c r="L7914" s="7" t="n"/>
      <c r="M7914" s="7" t="n"/>
      <c r="N7914">
        <f>IF(D7914="", "Gap - No Legal Basis", IF(AND(D7914="Consent (GDPR Art. 6(1)(a))", I7914="Not Captured"), "Gap - Invalid Consent", IF(AND(D7914="Legitimate Interest (GDPR Art. 6(1)(f))", L7914=""), "Gap - Missing LIA", IF(AND(G7914="Yes", H7914=""), "Gap - Missing Art. 9 Basis", IF(OR(I7914="Invalid - Not Freely Given", I7914="Invalid - Not Specific", I7914="Invalid - Not Informed", I7914="Invalid - Ambiguous"), "Gap - Invalid Consent", "Compliant")))))</f>
        <v/>
      </c>
      <c r="O7914" s="7" t="n"/>
    </row>
    <row r="7915">
      <c r="A7915" s="7" t="n"/>
      <c r="B7915" s="7" t="n"/>
      <c r="C7915" s="7" t="n"/>
      <c r="D7915" s="7" t="n"/>
      <c r="E7915" s="7" t="n"/>
      <c r="F7915" s="7" t="n"/>
      <c r="G7915" s="7" t="n"/>
      <c r="H7915" s="7" t="n"/>
      <c r="I7915" s="7" t="n"/>
      <c r="J7915" s="7" t="n"/>
      <c r="K7915">
        <f>IF(D7915="Legitimate Interest (GDPR Art. 6(1)(f))", "Yes / Required (Sheet 3)", "")</f>
        <v/>
      </c>
      <c r="L7915" s="7" t="n"/>
      <c r="M7915" s="7" t="n"/>
      <c r="N7915">
        <f>IF(D7915="", "Gap - No Legal Basis", IF(AND(D7915="Consent (GDPR Art. 6(1)(a))", I7915="Not Captured"), "Gap - Invalid Consent", IF(AND(D7915="Legitimate Interest (GDPR Art. 6(1)(f))", L7915=""), "Gap - Missing LIA", IF(AND(G7915="Yes", H7915=""), "Gap - Missing Art. 9 Basis", IF(OR(I7915="Invalid - Not Freely Given", I7915="Invalid - Not Specific", I7915="Invalid - Not Informed", I7915="Invalid - Ambiguous"), "Gap - Invalid Consent", "Compliant")))))</f>
        <v/>
      </c>
      <c r="O7915" s="7" t="n"/>
    </row>
    <row r="7916">
      <c r="A7916" s="7" t="n"/>
      <c r="B7916" s="7" t="n"/>
      <c r="C7916" s="7" t="n"/>
      <c r="D7916" s="7" t="n"/>
      <c r="E7916" s="7" t="n"/>
      <c r="F7916" s="7" t="n"/>
      <c r="G7916" s="7" t="n"/>
      <c r="H7916" s="7" t="n"/>
      <c r="I7916" s="7" t="n"/>
      <c r="J7916" s="7" t="n"/>
      <c r="K7916">
        <f>IF(D7916="Legitimate Interest (GDPR Art. 6(1)(f))", "Yes / Required (Sheet 3)", "")</f>
        <v/>
      </c>
      <c r="L7916" s="7" t="n"/>
      <c r="M7916" s="7" t="n"/>
      <c r="N7916">
        <f>IF(D7916="", "Gap - No Legal Basis", IF(AND(D7916="Consent (GDPR Art. 6(1)(a))", I7916="Not Captured"), "Gap - Invalid Consent", IF(AND(D7916="Legitimate Interest (GDPR Art. 6(1)(f))", L7916=""), "Gap - Missing LIA", IF(AND(G7916="Yes", H7916=""), "Gap - Missing Art. 9 Basis", IF(OR(I7916="Invalid - Not Freely Given", I7916="Invalid - Not Specific", I7916="Invalid - Not Informed", I7916="Invalid - Ambiguous"), "Gap - Invalid Consent", "Compliant")))))</f>
        <v/>
      </c>
      <c r="O7916" s="7" t="n"/>
    </row>
    <row r="7917">
      <c r="A7917" s="7" t="n"/>
      <c r="B7917" s="7" t="n"/>
      <c r="C7917" s="7" t="n"/>
      <c r="D7917" s="7" t="n"/>
      <c r="E7917" s="7" t="n"/>
      <c r="F7917" s="7" t="n"/>
      <c r="G7917" s="7" t="n"/>
      <c r="H7917" s="7" t="n"/>
      <c r="I7917" s="7" t="n"/>
      <c r="J7917" s="7" t="n"/>
      <c r="K7917">
        <f>IF(D7917="Legitimate Interest (GDPR Art. 6(1)(f))", "Yes / Required (Sheet 3)", "")</f>
        <v/>
      </c>
      <c r="L7917" s="7" t="n"/>
      <c r="M7917" s="7" t="n"/>
      <c r="N7917">
        <f>IF(D7917="", "Gap - No Legal Basis", IF(AND(D7917="Consent (GDPR Art. 6(1)(a))", I7917="Not Captured"), "Gap - Invalid Consent", IF(AND(D7917="Legitimate Interest (GDPR Art. 6(1)(f))", L7917=""), "Gap - Missing LIA", IF(AND(G7917="Yes", H7917=""), "Gap - Missing Art. 9 Basis", IF(OR(I7917="Invalid - Not Freely Given", I7917="Invalid - Not Specific", I7917="Invalid - Not Informed", I7917="Invalid - Ambiguous"), "Gap - Invalid Consent", "Compliant")))))</f>
        <v/>
      </c>
      <c r="O7917" s="7" t="n"/>
    </row>
    <row r="7918">
      <c r="A7918" s="7" t="n"/>
      <c r="B7918" s="7" t="n"/>
      <c r="C7918" s="7" t="n"/>
      <c r="D7918" s="7" t="n"/>
      <c r="E7918" s="7" t="n"/>
      <c r="F7918" s="7" t="n"/>
      <c r="G7918" s="7" t="n"/>
      <c r="H7918" s="7" t="n"/>
      <c r="I7918" s="7" t="n"/>
      <c r="J7918" s="7" t="n"/>
      <c r="K7918">
        <f>IF(D7918="Legitimate Interest (GDPR Art. 6(1)(f))", "Yes / Required (Sheet 3)", "")</f>
        <v/>
      </c>
      <c r="L7918" s="7" t="n"/>
      <c r="M7918" s="7" t="n"/>
      <c r="N7918">
        <f>IF(D7918="", "Gap - No Legal Basis", IF(AND(D7918="Consent (GDPR Art. 6(1)(a))", I7918="Not Captured"), "Gap - Invalid Consent", IF(AND(D7918="Legitimate Interest (GDPR Art. 6(1)(f))", L7918=""), "Gap - Missing LIA", IF(AND(G7918="Yes", H7918=""), "Gap - Missing Art. 9 Basis", IF(OR(I7918="Invalid - Not Freely Given", I7918="Invalid - Not Specific", I7918="Invalid - Not Informed", I7918="Invalid - Ambiguous"), "Gap - Invalid Consent", "Compliant")))))</f>
        <v/>
      </c>
      <c r="O7918" s="7" t="n"/>
    </row>
    <row r="7919">
      <c r="A7919" s="7" t="n"/>
      <c r="B7919" s="7" t="n"/>
      <c r="C7919" s="7" t="n"/>
      <c r="D7919" s="7" t="n"/>
      <c r="E7919" s="7" t="n"/>
      <c r="F7919" s="7" t="n"/>
      <c r="G7919" s="7" t="n"/>
      <c r="H7919" s="7" t="n"/>
      <c r="I7919" s="7" t="n"/>
      <c r="J7919" s="7" t="n"/>
      <c r="K7919">
        <f>IF(D7919="Legitimate Interest (GDPR Art. 6(1)(f))", "Yes / Required (Sheet 3)", "")</f>
        <v/>
      </c>
      <c r="L7919" s="7" t="n"/>
      <c r="M7919" s="7" t="n"/>
      <c r="N7919">
        <f>IF(D7919="", "Gap - No Legal Basis", IF(AND(D7919="Consent (GDPR Art. 6(1)(a))", I7919="Not Captured"), "Gap - Invalid Consent", IF(AND(D7919="Legitimate Interest (GDPR Art. 6(1)(f))", L7919=""), "Gap - Missing LIA", IF(AND(G7919="Yes", H7919=""), "Gap - Missing Art. 9 Basis", IF(OR(I7919="Invalid - Not Freely Given", I7919="Invalid - Not Specific", I7919="Invalid - Not Informed", I7919="Invalid - Ambiguous"), "Gap - Invalid Consent", "Compliant")))))</f>
        <v/>
      </c>
      <c r="O7919" s="7" t="n"/>
    </row>
    <row r="7920">
      <c r="A7920" s="7" t="n"/>
      <c r="B7920" s="7" t="n"/>
      <c r="C7920" s="7" t="n"/>
      <c r="D7920" s="7" t="n"/>
      <c r="E7920" s="7" t="n"/>
      <c r="F7920" s="7" t="n"/>
      <c r="G7920" s="7" t="n"/>
      <c r="H7920" s="7" t="n"/>
      <c r="I7920" s="7" t="n"/>
      <c r="J7920" s="7" t="n"/>
      <c r="K7920">
        <f>IF(D7920="Legitimate Interest (GDPR Art. 6(1)(f))", "Yes / Required (Sheet 3)", "")</f>
        <v/>
      </c>
      <c r="L7920" s="7" t="n"/>
      <c r="M7920" s="7" t="n"/>
      <c r="N7920">
        <f>IF(D7920="", "Gap - No Legal Basis", IF(AND(D7920="Consent (GDPR Art. 6(1)(a))", I7920="Not Captured"), "Gap - Invalid Consent", IF(AND(D7920="Legitimate Interest (GDPR Art. 6(1)(f))", L7920=""), "Gap - Missing LIA", IF(AND(G7920="Yes", H7920=""), "Gap - Missing Art. 9 Basis", IF(OR(I7920="Invalid - Not Freely Given", I7920="Invalid - Not Specific", I7920="Invalid - Not Informed", I7920="Invalid - Ambiguous"), "Gap - Invalid Consent", "Compliant")))))</f>
        <v/>
      </c>
      <c r="O7920" s="7" t="n"/>
    </row>
    <row r="7921">
      <c r="A7921" s="7" t="n"/>
      <c r="B7921" s="7" t="n"/>
      <c r="C7921" s="7" t="n"/>
      <c r="D7921" s="7" t="n"/>
      <c r="E7921" s="7" t="n"/>
      <c r="F7921" s="7" t="n"/>
      <c r="G7921" s="7" t="n"/>
      <c r="H7921" s="7" t="n"/>
      <c r="I7921" s="7" t="n"/>
      <c r="J7921" s="7" t="n"/>
      <c r="K7921">
        <f>IF(D7921="Legitimate Interest (GDPR Art. 6(1)(f))", "Yes / Required (Sheet 3)", "")</f>
        <v/>
      </c>
      <c r="L7921" s="7" t="n"/>
      <c r="M7921" s="7" t="n"/>
      <c r="N7921">
        <f>IF(D7921="", "Gap - No Legal Basis", IF(AND(D7921="Consent (GDPR Art. 6(1)(a))", I7921="Not Captured"), "Gap - Invalid Consent", IF(AND(D7921="Legitimate Interest (GDPR Art. 6(1)(f))", L7921=""), "Gap - Missing LIA", IF(AND(G7921="Yes", H7921=""), "Gap - Missing Art. 9 Basis", IF(OR(I7921="Invalid - Not Freely Given", I7921="Invalid - Not Specific", I7921="Invalid - Not Informed", I7921="Invalid - Ambiguous"), "Gap - Invalid Consent", "Compliant")))))</f>
        <v/>
      </c>
      <c r="O7921" s="7" t="n"/>
    </row>
    <row r="7922">
      <c r="A7922" s="7" t="n"/>
      <c r="B7922" s="7" t="n"/>
      <c r="C7922" s="7" t="n"/>
      <c r="D7922" s="7" t="n"/>
      <c r="E7922" s="7" t="n"/>
      <c r="F7922" s="7" t="n"/>
      <c r="G7922" s="7" t="n"/>
      <c r="H7922" s="7" t="n"/>
      <c r="I7922" s="7" t="n"/>
      <c r="J7922" s="7" t="n"/>
      <c r="K7922">
        <f>IF(D7922="Legitimate Interest (GDPR Art. 6(1)(f))", "Yes / Required (Sheet 3)", "")</f>
        <v/>
      </c>
      <c r="L7922" s="7" t="n"/>
      <c r="M7922" s="7" t="n"/>
      <c r="N7922">
        <f>IF(D7922="", "Gap - No Legal Basis", IF(AND(D7922="Consent (GDPR Art. 6(1)(a))", I7922="Not Captured"), "Gap - Invalid Consent", IF(AND(D7922="Legitimate Interest (GDPR Art. 6(1)(f))", L7922=""), "Gap - Missing LIA", IF(AND(G7922="Yes", H7922=""), "Gap - Missing Art. 9 Basis", IF(OR(I7922="Invalid - Not Freely Given", I7922="Invalid - Not Specific", I7922="Invalid - Not Informed", I7922="Invalid - Ambiguous"), "Gap - Invalid Consent", "Compliant")))))</f>
        <v/>
      </c>
      <c r="O7922" s="7" t="n"/>
    </row>
    <row r="7923">
      <c r="A7923" s="7" t="n"/>
      <c r="B7923" s="7" t="n"/>
      <c r="C7923" s="7" t="n"/>
      <c r="D7923" s="7" t="n"/>
      <c r="E7923" s="7" t="n"/>
      <c r="F7923" s="7" t="n"/>
      <c r="G7923" s="7" t="n"/>
      <c r="H7923" s="7" t="n"/>
      <c r="I7923" s="7" t="n"/>
      <c r="J7923" s="7" t="n"/>
      <c r="K7923">
        <f>IF(D7923="Legitimate Interest (GDPR Art. 6(1)(f))", "Yes / Required (Sheet 3)", "")</f>
        <v/>
      </c>
      <c r="L7923" s="7" t="n"/>
      <c r="M7923" s="7" t="n"/>
      <c r="N7923">
        <f>IF(D7923="", "Gap - No Legal Basis", IF(AND(D7923="Consent (GDPR Art. 6(1)(a))", I7923="Not Captured"), "Gap - Invalid Consent", IF(AND(D7923="Legitimate Interest (GDPR Art. 6(1)(f))", L7923=""), "Gap - Missing LIA", IF(AND(G7923="Yes", H7923=""), "Gap - Missing Art. 9 Basis", IF(OR(I7923="Invalid - Not Freely Given", I7923="Invalid - Not Specific", I7923="Invalid - Not Informed", I7923="Invalid - Ambiguous"), "Gap - Invalid Consent", "Compliant")))))</f>
        <v/>
      </c>
      <c r="O7923" s="7" t="n"/>
    </row>
    <row r="7924">
      <c r="A7924" s="7" t="n"/>
      <c r="B7924" s="7" t="n"/>
      <c r="C7924" s="7" t="n"/>
      <c r="D7924" s="7" t="n"/>
      <c r="E7924" s="7" t="n"/>
      <c r="F7924" s="7" t="n"/>
      <c r="G7924" s="7" t="n"/>
      <c r="H7924" s="7" t="n"/>
      <c r="I7924" s="7" t="n"/>
      <c r="J7924" s="7" t="n"/>
      <c r="K7924">
        <f>IF(D7924="Legitimate Interest (GDPR Art. 6(1)(f))", "Yes / Required (Sheet 3)", "")</f>
        <v/>
      </c>
      <c r="L7924" s="7" t="n"/>
      <c r="M7924" s="7" t="n"/>
      <c r="N7924">
        <f>IF(D7924="", "Gap - No Legal Basis", IF(AND(D7924="Consent (GDPR Art. 6(1)(a))", I7924="Not Captured"), "Gap - Invalid Consent", IF(AND(D7924="Legitimate Interest (GDPR Art. 6(1)(f))", L7924=""), "Gap - Missing LIA", IF(AND(G7924="Yes", H7924=""), "Gap - Missing Art. 9 Basis", IF(OR(I7924="Invalid - Not Freely Given", I7924="Invalid - Not Specific", I7924="Invalid - Not Informed", I7924="Invalid - Ambiguous"), "Gap - Invalid Consent", "Compliant")))))</f>
        <v/>
      </c>
      <c r="O7924" s="7" t="n"/>
    </row>
    <row r="7925">
      <c r="A7925" s="7" t="n"/>
      <c r="B7925" s="7" t="n"/>
      <c r="C7925" s="7" t="n"/>
      <c r="D7925" s="7" t="n"/>
      <c r="E7925" s="7" t="n"/>
      <c r="F7925" s="7" t="n"/>
      <c r="G7925" s="7" t="n"/>
      <c r="H7925" s="7" t="n"/>
      <c r="I7925" s="7" t="n"/>
      <c r="J7925" s="7" t="n"/>
      <c r="K7925">
        <f>IF(D7925="Legitimate Interest (GDPR Art. 6(1)(f))", "Yes / Required (Sheet 3)", "")</f>
        <v/>
      </c>
      <c r="L7925" s="7" t="n"/>
      <c r="M7925" s="7" t="n"/>
      <c r="N7925">
        <f>IF(D7925="", "Gap - No Legal Basis", IF(AND(D7925="Consent (GDPR Art. 6(1)(a))", I7925="Not Captured"), "Gap - Invalid Consent", IF(AND(D7925="Legitimate Interest (GDPR Art. 6(1)(f))", L7925=""), "Gap - Missing LIA", IF(AND(G7925="Yes", H7925=""), "Gap - Missing Art. 9 Basis", IF(OR(I7925="Invalid - Not Freely Given", I7925="Invalid - Not Specific", I7925="Invalid - Not Informed", I7925="Invalid - Ambiguous"), "Gap - Invalid Consent", "Compliant")))))</f>
        <v/>
      </c>
      <c r="O7925" s="7" t="n"/>
    </row>
    <row r="7926">
      <c r="A7926" s="7" t="n"/>
      <c r="B7926" s="7" t="n"/>
      <c r="C7926" s="7" t="n"/>
      <c r="D7926" s="7" t="n"/>
      <c r="E7926" s="7" t="n"/>
      <c r="F7926" s="7" t="n"/>
      <c r="G7926" s="7" t="n"/>
      <c r="H7926" s="7" t="n"/>
      <c r="I7926" s="7" t="n"/>
      <c r="J7926" s="7" t="n"/>
      <c r="K7926">
        <f>IF(D7926="Legitimate Interest (GDPR Art. 6(1)(f))", "Yes / Required (Sheet 3)", "")</f>
        <v/>
      </c>
      <c r="L7926" s="7" t="n"/>
      <c r="M7926" s="7" t="n"/>
      <c r="N7926">
        <f>IF(D7926="", "Gap - No Legal Basis", IF(AND(D7926="Consent (GDPR Art. 6(1)(a))", I7926="Not Captured"), "Gap - Invalid Consent", IF(AND(D7926="Legitimate Interest (GDPR Art. 6(1)(f))", L7926=""), "Gap - Missing LIA", IF(AND(G7926="Yes", H7926=""), "Gap - Missing Art. 9 Basis", IF(OR(I7926="Invalid - Not Freely Given", I7926="Invalid - Not Specific", I7926="Invalid - Not Informed", I7926="Invalid - Ambiguous"), "Gap - Invalid Consent", "Compliant")))))</f>
        <v/>
      </c>
      <c r="O7926" s="7" t="n"/>
    </row>
    <row r="7927">
      <c r="A7927" s="7" t="n"/>
      <c r="B7927" s="7" t="n"/>
      <c r="C7927" s="7" t="n"/>
      <c r="D7927" s="7" t="n"/>
      <c r="E7927" s="7" t="n"/>
      <c r="F7927" s="7" t="n"/>
      <c r="G7927" s="7" t="n"/>
      <c r="H7927" s="7" t="n"/>
      <c r="I7927" s="7" t="n"/>
      <c r="J7927" s="7" t="n"/>
      <c r="K7927">
        <f>IF(D7927="Legitimate Interest (GDPR Art. 6(1)(f))", "Yes / Required (Sheet 3)", "")</f>
        <v/>
      </c>
      <c r="L7927" s="7" t="n"/>
      <c r="M7927" s="7" t="n"/>
      <c r="N7927">
        <f>IF(D7927="", "Gap - No Legal Basis", IF(AND(D7927="Consent (GDPR Art. 6(1)(a))", I7927="Not Captured"), "Gap - Invalid Consent", IF(AND(D7927="Legitimate Interest (GDPR Art. 6(1)(f))", L7927=""), "Gap - Missing LIA", IF(AND(G7927="Yes", H7927=""), "Gap - Missing Art. 9 Basis", IF(OR(I7927="Invalid - Not Freely Given", I7927="Invalid - Not Specific", I7927="Invalid - Not Informed", I7927="Invalid - Ambiguous"), "Gap - Invalid Consent", "Compliant")))))</f>
        <v/>
      </c>
      <c r="O7927" s="7" t="n"/>
    </row>
    <row r="7928">
      <c r="A7928" s="7" t="n"/>
      <c r="B7928" s="7" t="n"/>
      <c r="C7928" s="7" t="n"/>
      <c r="D7928" s="7" t="n"/>
      <c r="E7928" s="7" t="n"/>
      <c r="F7928" s="7" t="n"/>
      <c r="G7928" s="7" t="n"/>
      <c r="H7928" s="7" t="n"/>
      <c r="I7928" s="7" t="n"/>
      <c r="J7928" s="7" t="n"/>
      <c r="K7928">
        <f>IF(D7928="Legitimate Interest (GDPR Art. 6(1)(f))", "Yes / Required (Sheet 3)", "")</f>
        <v/>
      </c>
      <c r="L7928" s="7" t="n"/>
      <c r="M7928" s="7" t="n"/>
      <c r="N7928">
        <f>IF(D7928="", "Gap - No Legal Basis", IF(AND(D7928="Consent (GDPR Art. 6(1)(a))", I7928="Not Captured"), "Gap - Invalid Consent", IF(AND(D7928="Legitimate Interest (GDPR Art. 6(1)(f))", L7928=""), "Gap - Missing LIA", IF(AND(G7928="Yes", H7928=""), "Gap - Missing Art. 9 Basis", IF(OR(I7928="Invalid - Not Freely Given", I7928="Invalid - Not Specific", I7928="Invalid - Not Informed", I7928="Invalid - Ambiguous"), "Gap - Invalid Consent", "Compliant")))))</f>
        <v/>
      </c>
      <c r="O7928" s="7" t="n"/>
    </row>
    <row r="7929">
      <c r="A7929" s="7" t="n"/>
      <c r="B7929" s="7" t="n"/>
      <c r="C7929" s="7" t="n"/>
      <c r="D7929" s="7" t="n"/>
      <c r="E7929" s="7" t="n"/>
      <c r="F7929" s="7" t="n"/>
      <c r="G7929" s="7" t="n"/>
      <c r="H7929" s="7" t="n"/>
      <c r="I7929" s="7" t="n"/>
      <c r="J7929" s="7" t="n"/>
      <c r="K7929">
        <f>IF(D7929="Legitimate Interest (GDPR Art. 6(1)(f))", "Yes / Required (Sheet 3)", "")</f>
        <v/>
      </c>
      <c r="L7929" s="7" t="n"/>
      <c r="M7929" s="7" t="n"/>
      <c r="N7929">
        <f>IF(D7929="", "Gap - No Legal Basis", IF(AND(D7929="Consent (GDPR Art. 6(1)(a))", I7929="Not Captured"), "Gap - Invalid Consent", IF(AND(D7929="Legitimate Interest (GDPR Art. 6(1)(f))", L7929=""), "Gap - Missing LIA", IF(AND(G7929="Yes", H7929=""), "Gap - Missing Art. 9 Basis", IF(OR(I7929="Invalid - Not Freely Given", I7929="Invalid - Not Specific", I7929="Invalid - Not Informed", I7929="Invalid - Ambiguous"), "Gap - Invalid Consent", "Compliant")))))</f>
        <v/>
      </c>
      <c r="O7929" s="7" t="n"/>
    </row>
    <row r="7930">
      <c r="A7930" s="7" t="n"/>
      <c r="B7930" s="7" t="n"/>
      <c r="C7930" s="7" t="n"/>
      <c r="D7930" s="7" t="n"/>
      <c r="E7930" s="7" t="n"/>
      <c r="F7930" s="7" t="n"/>
      <c r="G7930" s="7" t="n"/>
      <c r="H7930" s="7" t="n"/>
      <c r="I7930" s="7" t="n"/>
      <c r="J7930" s="7" t="n"/>
      <c r="K7930">
        <f>IF(D7930="Legitimate Interest (GDPR Art. 6(1)(f))", "Yes / Required (Sheet 3)", "")</f>
        <v/>
      </c>
      <c r="L7930" s="7" t="n"/>
      <c r="M7930" s="7" t="n"/>
      <c r="N7930">
        <f>IF(D7930="", "Gap - No Legal Basis", IF(AND(D7930="Consent (GDPR Art. 6(1)(a))", I7930="Not Captured"), "Gap - Invalid Consent", IF(AND(D7930="Legitimate Interest (GDPR Art. 6(1)(f))", L7930=""), "Gap - Missing LIA", IF(AND(G7930="Yes", H7930=""), "Gap - Missing Art. 9 Basis", IF(OR(I7930="Invalid - Not Freely Given", I7930="Invalid - Not Specific", I7930="Invalid - Not Informed", I7930="Invalid - Ambiguous"), "Gap - Invalid Consent", "Compliant")))))</f>
        <v/>
      </c>
      <c r="O7930" s="7" t="n"/>
    </row>
    <row r="7931">
      <c r="A7931" s="7" t="n"/>
      <c r="B7931" s="7" t="n"/>
      <c r="C7931" s="7" t="n"/>
      <c r="D7931" s="7" t="n"/>
      <c r="E7931" s="7" t="n"/>
      <c r="F7931" s="7" t="n"/>
      <c r="G7931" s="7" t="n"/>
      <c r="H7931" s="7" t="n"/>
      <c r="I7931" s="7" t="n"/>
      <c r="J7931" s="7" t="n"/>
      <c r="K7931">
        <f>IF(D7931="Legitimate Interest (GDPR Art. 6(1)(f))", "Yes / Required (Sheet 3)", "")</f>
        <v/>
      </c>
      <c r="L7931" s="7" t="n"/>
      <c r="M7931" s="7" t="n"/>
      <c r="N7931">
        <f>IF(D7931="", "Gap - No Legal Basis", IF(AND(D7931="Consent (GDPR Art. 6(1)(a))", I7931="Not Captured"), "Gap - Invalid Consent", IF(AND(D7931="Legitimate Interest (GDPR Art. 6(1)(f))", L7931=""), "Gap - Missing LIA", IF(AND(G7931="Yes", H7931=""), "Gap - Missing Art. 9 Basis", IF(OR(I7931="Invalid - Not Freely Given", I7931="Invalid - Not Specific", I7931="Invalid - Not Informed", I7931="Invalid - Ambiguous"), "Gap - Invalid Consent", "Compliant")))))</f>
        <v/>
      </c>
      <c r="O7931" s="7" t="n"/>
    </row>
    <row r="7932">
      <c r="A7932" s="7" t="n"/>
      <c r="B7932" s="7" t="n"/>
      <c r="C7932" s="7" t="n"/>
      <c r="D7932" s="7" t="n"/>
      <c r="E7932" s="7" t="n"/>
      <c r="F7932" s="7" t="n"/>
      <c r="G7932" s="7" t="n"/>
      <c r="H7932" s="7" t="n"/>
      <c r="I7932" s="7" t="n"/>
      <c r="J7932" s="7" t="n"/>
      <c r="K7932">
        <f>IF(D7932="Legitimate Interest (GDPR Art. 6(1)(f))", "Yes / Required (Sheet 3)", "")</f>
        <v/>
      </c>
      <c r="L7932" s="7" t="n"/>
      <c r="M7932" s="7" t="n"/>
      <c r="N7932">
        <f>IF(D7932="", "Gap - No Legal Basis", IF(AND(D7932="Consent (GDPR Art. 6(1)(a))", I7932="Not Captured"), "Gap - Invalid Consent", IF(AND(D7932="Legitimate Interest (GDPR Art. 6(1)(f))", L7932=""), "Gap - Missing LIA", IF(AND(G7932="Yes", H7932=""), "Gap - Missing Art. 9 Basis", IF(OR(I7932="Invalid - Not Freely Given", I7932="Invalid - Not Specific", I7932="Invalid - Not Informed", I7932="Invalid - Ambiguous"), "Gap - Invalid Consent", "Compliant")))))</f>
        <v/>
      </c>
      <c r="O7932" s="7" t="n"/>
    </row>
    <row r="7933">
      <c r="A7933" s="7" t="n"/>
      <c r="B7933" s="7" t="n"/>
      <c r="C7933" s="7" t="n"/>
      <c r="D7933" s="7" t="n"/>
      <c r="E7933" s="7" t="n"/>
      <c r="F7933" s="7" t="n"/>
      <c r="G7933" s="7" t="n"/>
      <c r="H7933" s="7" t="n"/>
      <c r="I7933" s="7" t="n"/>
      <c r="J7933" s="7" t="n"/>
      <c r="K7933">
        <f>IF(D7933="Legitimate Interest (GDPR Art. 6(1)(f))", "Yes / Required (Sheet 3)", "")</f>
        <v/>
      </c>
      <c r="L7933" s="7" t="n"/>
      <c r="M7933" s="7" t="n"/>
      <c r="N7933">
        <f>IF(D7933="", "Gap - No Legal Basis", IF(AND(D7933="Consent (GDPR Art. 6(1)(a))", I7933="Not Captured"), "Gap - Invalid Consent", IF(AND(D7933="Legitimate Interest (GDPR Art. 6(1)(f))", L7933=""), "Gap - Missing LIA", IF(AND(G7933="Yes", H7933=""), "Gap - Missing Art. 9 Basis", IF(OR(I7933="Invalid - Not Freely Given", I7933="Invalid - Not Specific", I7933="Invalid - Not Informed", I7933="Invalid - Ambiguous"), "Gap - Invalid Consent", "Compliant")))))</f>
        <v/>
      </c>
      <c r="O7933" s="7" t="n"/>
    </row>
    <row r="7934">
      <c r="A7934" s="7" t="n"/>
      <c r="B7934" s="7" t="n"/>
      <c r="C7934" s="7" t="n"/>
      <c r="D7934" s="7" t="n"/>
      <c r="E7934" s="7" t="n"/>
      <c r="F7934" s="7" t="n"/>
      <c r="G7934" s="7" t="n"/>
      <c r="H7934" s="7" t="n"/>
      <c r="I7934" s="7" t="n"/>
      <c r="J7934" s="7" t="n"/>
      <c r="K7934">
        <f>IF(D7934="Legitimate Interest (GDPR Art. 6(1)(f))", "Yes / Required (Sheet 3)", "")</f>
        <v/>
      </c>
      <c r="L7934" s="7" t="n"/>
      <c r="M7934" s="7" t="n"/>
      <c r="N7934">
        <f>IF(D7934="", "Gap - No Legal Basis", IF(AND(D7934="Consent (GDPR Art. 6(1)(a))", I7934="Not Captured"), "Gap - Invalid Consent", IF(AND(D7934="Legitimate Interest (GDPR Art. 6(1)(f))", L7934=""), "Gap - Missing LIA", IF(AND(G7934="Yes", H7934=""), "Gap - Missing Art. 9 Basis", IF(OR(I7934="Invalid - Not Freely Given", I7934="Invalid - Not Specific", I7934="Invalid - Not Informed", I7934="Invalid - Ambiguous"), "Gap - Invalid Consent", "Compliant")))))</f>
        <v/>
      </c>
      <c r="O7934" s="7" t="n"/>
    </row>
    <row r="7935">
      <c r="A7935" s="7" t="n"/>
      <c r="B7935" s="7" t="n"/>
      <c r="C7935" s="7" t="n"/>
      <c r="D7935" s="7" t="n"/>
      <c r="E7935" s="7" t="n"/>
      <c r="F7935" s="7" t="n"/>
      <c r="G7935" s="7" t="n"/>
      <c r="H7935" s="7" t="n"/>
      <c r="I7935" s="7" t="n"/>
      <c r="J7935" s="7" t="n"/>
      <c r="K7935">
        <f>IF(D7935="Legitimate Interest (GDPR Art. 6(1)(f))", "Yes / Required (Sheet 3)", "")</f>
        <v/>
      </c>
      <c r="L7935" s="7" t="n"/>
      <c r="M7935" s="7" t="n"/>
      <c r="N7935">
        <f>IF(D7935="", "Gap - No Legal Basis", IF(AND(D7935="Consent (GDPR Art. 6(1)(a))", I7935="Not Captured"), "Gap - Invalid Consent", IF(AND(D7935="Legitimate Interest (GDPR Art. 6(1)(f))", L7935=""), "Gap - Missing LIA", IF(AND(G7935="Yes", H7935=""), "Gap - Missing Art. 9 Basis", IF(OR(I7935="Invalid - Not Freely Given", I7935="Invalid - Not Specific", I7935="Invalid - Not Informed", I7935="Invalid - Ambiguous"), "Gap - Invalid Consent", "Compliant")))))</f>
        <v/>
      </c>
      <c r="O7935" s="7" t="n"/>
    </row>
    <row r="7936">
      <c r="A7936" s="7" t="n"/>
      <c r="B7936" s="7" t="n"/>
      <c r="C7936" s="7" t="n"/>
      <c r="D7936" s="7" t="n"/>
      <c r="E7936" s="7" t="n"/>
      <c r="F7936" s="7" t="n"/>
      <c r="G7936" s="7" t="n"/>
      <c r="H7936" s="7" t="n"/>
      <c r="I7936" s="7" t="n"/>
      <c r="J7936" s="7" t="n"/>
      <c r="K7936">
        <f>IF(D7936="Legitimate Interest (GDPR Art. 6(1)(f))", "Yes / Required (Sheet 3)", "")</f>
        <v/>
      </c>
      <c r="L7936" s="7" t="n"/>
      <c r="M7936" s="7" t="n"/>
      <c r="N7936">
        <f>IF(D7936="", "Gap - No Legal Basis", IF(AND(D7936="Consent (GDPR Art. 6(1)(a))", I7936="Not Captured"), "Gap - Invalid Consent", IF(AND(D7936="Legitimate Interest (GDPR Art. 6(1)(f))", L7936=""), "Gap - Missing LIA", IF(AND(G7936="Yes", H7936=""), "Gap - Missing Art. 9 Basis", IF(OR(I7936="Invalid - Not Freely Given", I7936="Invalid - Not Specific", I7936="Invalid - Not Informed", I7936="Invalid - Ambiguous"), "Gap - Invalid Consent", "Compliant")))))</f>
        <v/>
      </c>
      <c r="O7936" s="7" t="n"/>
    </row>
    <row r="7937">
      <c r="A7937" s="7" t="n"/>
      <c r="B7937" s="7" t="n"/>
      <c r="C7937" s="7" t="n"/>
      <c r="D7937" s="7" t="n"/>
      <c r="E7937" s="7" t="n"/>
      <c r="F7937" s="7" t="n"/>
      <c r="G7937" s="7" t="n"/>
      <c r="H7937" s="7" t="n"/>
      <c r="I7937" s="7" t="n"/>
      <c r="J7937" s="7" t="n"/>
      <c r="K7937">
        <f>IF(D7937="Legitimate Interest (GDPR Art. 6(1)(f))", "Yes / Required (Sheet 3)", "")</f>
        <v/>
      </c>
      <c r="L7937" s="7" t="n"/>
      <c r="M7937" s="7" t="n"/>
      <c r="N7937">
        <f>IF(D7937="", "Gap - No Legal Basis", IF(AND(D7937="Consent (GDPR Art. 6(1)(a))", I7937="Not Captured"), "Gap - Invalid Consent", IF(AND(D7937="Legitimate Interest (GDPR Art. 6(1)(f))", L7937=""), "Gap - Missing LIA", IF(AND(G7937="Yes", H7937=""), "Gap - Missing Art. 9 Basis", IF(OR(I7937="Invalid - Not Freely Given", I7937="Invalid - Not Specific", I7937="Invalid - Not Informed", I7937="Invalid - Ambiguous"), "Gap - Invalid Consent", "Compliant")))))</f>
        <v/>
      </c>
      <c r="O7937" s="7" t="n"/>
    </row>
    <row r="7938">
      <c r="A7938" s="7" t="n"/>
      <c r="B7938" s="7" t="n"/>
      <c r="C7938" s="7" t="n"/>
      <c r="D7938" s="7" t="n"/>
      <c r="E7938" s="7" t="n"/>
      <c r="F7938" s="7" t="n"/>
      <c r="G7938" s="7" t="n"/>
      <c r="H7938" s="7" t="n"/>
      <c r="I7938" s="7" t="n"/>
      <c r="J7938" s="7" t="n"/>
      <c r="K7938">
        <f>IF(D7938="Legitimate Interest (GDPR Art. 6(1)(f))", "Yes / Required (Sheet 3)", "")</f>
        <v/>
      </c>
      <c r="L7938" s="7" t="n"/>
      <c r="M7938" s="7" t="n"/>
      <c r="N7938">
        <f>IF(D7938="", "Gap - No Legal Basis", IF(AND(D7938="Consent (GDPR Art. 6(1)(a))", I7938="Not Captured"), "Gap - Invalid Consent", IF(AND(D7938="Legitimate Interest (GDPR Art. 6(1)(f))", L7938=""), "Gap - Missing LIA", IF(AND(G7938="Yes", H7938=""), "Gap - Missing Art. 9 Basis", IF(OR(I7938="Invalid - Not Freely Given", I7938="Invalid - Not Specific", I7938="Invalid - Not Informed", I7938="Invalid - Ambiguous"), "Gap - Invalid Consent", "Compliant")))))</f>
        <v/>
      </c>
      <c r="O7938" s="7" t="n"/>
    </row>
    <row r="7939">
      <c r="A7939" s="7" t="n"/>
      <c r="B7939" s="7" t="n"/>
      <c r="C7939" s="7" t="n"/>
      <c r="D7939" s="7" t="n"/>
      <c r="E7939" s="7" t="n"/>
      <c r="F7939" s="7" t="n"/>
      <c r="G7939" s="7" t="n"/>
      <c r="H7939" s="7" t="n"/>
      <c r="I7939" s="7" t="n"/>
      <c r="J7939" s="7" t="n"/>
      <c r="K7939">
        <f>IF(D7939="Legitimate Interest (GDPR Art. 6(1)(f))", "Yes / Required (Sheet 3)", "")</f>
        <v/>
      </c>
      <c r="L7939" s="7" t="n"/>
      <c r="M7939" s="7" t="n"/>
      <c r="N7939">
        <f>IF(D7939="", "Gap - No Legal Basis", IF(AND(D7939="Consent (GDPR Art. 6(1)(a))", I7939="Not Captured"), "Gap - Invalid Consent", IF(AND(D7939="Legitimate Interest (GDPR Art. 6(1)(f))", L7939=""), "Gap - Missing LIA", IF(AND(G7939="Yes", H7939=""), "Gap - Missing Art. 9 Basis", IF(OR(I7939="Invalid - Not Freely Given", I7939="Invalid - Not Specific", I7939="Invalid - Not Informed", I7939="Invalid - Ambiguous"), "Gap - Invalid Consent", "Compliant")))))</f>
        <v/>
      </c>
      <c r="O7939" s="7" t="n"/>
    </row>
    <row r="7940">
      <c r="A7940" s="7" t="n"/>
      <c r="B7940" s="7" t="n"/>
      <c r="C7940" s="7" t="n"/>
      <c r="D7940" s="7" t="n"/>
      <c r="E7940" s="7" t="n"/>
      <c r="F7940" s="7" t="n"/>
      <c r="G7940" s="7" t="n"/>
      <c r="H7940" s="7" t="n"/>
      <c r="I7940" s="7" t="n"/>
      <c r="J7940" s="7" t="n"/>
      <c r="K7940">
        <f>IF(D7940="Legitimate Interest (GDPR Art. 6(1)(f))", "Yes / Required (Sheet 3)", "")</f>
        <v/>
      </c>
      <c r="L7940" s="7" t="n"/>
      <c r="M7940" s="7" t="n"/>
      <c r="N7940">
        <f>IF(D7940="", "Gap - No Legal Basis", IF(AND(D7940="Consent (GDPR Art. 6(1)(a))", I7940="Not Captured"), "Gap - Invalid Consent", IF(AND(D7940="Legitimate Interest (GDPR Art. 6(1)(f))", L7940=""), "Gap - Missing LIA", IF(AND(G7940="Yes", H7940=""), "Gap - Missing Art. 9 Basis", IF(OR(I7940="Invalid - Not Freely Given", I7940="Invalid - Not Specific", I7940="Invalid - Not Informed", I7940="Invalid - Ambiguous"), "Gap - Invalid Consent", "Compliant")))))</f>
        <v/>
      </c>
      <c r="O7940" s="7" t="n"/>
    </row>
    <row r="7941">
      <c r="A7941" s="7" t="n"/>
      <c r="B7941" s="7" t="n"/>
      <c r="C7941" s="7" t="n"/>
      <c r="D7941" s="7" t="n"/>
      <c r="E7941" s="7" t="n"/>
      <c r="F7941" s="7" t="n"/>
      <c r="G7941" s="7" t="n"/>
      <c r="H7941" s="7" t="n"/>
      <c r="I7941" s="7" t="n"/>
      <c r="J7941" s="7" t="n"/>
      <c r="K7941">
        <f>IF(D7941="Legitimate Interest (GDPR Art. 6(1)(f))", "Yes / Required (Sheet 3)", "")</f>
        <v/>
      </c>
      <c r="L7941" s="7" t="n"/>
      <c r="M7941" s="7" t="n"/>
      <c r="N7941">
        <f>IF(D7941="", "Gap - No Legal Basis", IF(AND(D7941="Consent (GDPR Art. 6(1)(a))", I7941="Not Captured"), "Gap - Invalid Consent", IF(AND(D7941="Legitimate Interest (GDPR Art. 6(1)(f))", L7941=""), "Gap - Missing LIA", IF(AND(G7941="Yes", H7941=""), "Gap - Missing Art. 9 Basis", IF(OR(I7941="Invalid - Not Freely Given", I7941="Invalid - Not Specific", I7941="Invalid - Not Informed", I7941="Invalid - Ambiguous"), "Gap - Invalid Consent", "Compliant")))))</f>
        <v/>
      </c>
      <c r="O7941" s="7" t="n"/>
    </row>
    <row r="7942">
      <c r="A7942" s="7" t="n"/>
      <c r="B7942" s="7" t="n"/>
      <c r="C7942" s="7" t="n"/>
      <c r="D7942" s="7" t="n"/>
      <c r="E7942" s="7" t="n"/>
      <c r="F7942" s="7" t="n"/>
      <c r="G7942" s="7" t="n"/>
      <c r="H7942" s="7" t="n"/>
      <c r="I7942" s="7" t="n"/>
      <c r="J7942" s="7" t="n"/>
      <c r="K7942">
        <f>IF(D7942="Legitimate Interest (GDPR Art. 6(1)(f))", "Yes / Required (Sheet 3)", "")</f>
        <v/>
      </c>
      <c r="L7942" s="7" t="n"/>
      <c r="M7942" s="7" t="n"/>
      <c r="N7942">
        <f>IF(D7942="", "Gap - No Legal Basis", IF(AND(D7942="Consent (GDPR Art. 6(1)(a))", I7942="Not Captured"), "Gap - Invalid Consent", IF(AND(D7942="Legitimate Interest (GDPR Art. 6(1)(f))", L7942=""), "Gap - Missing LIA", IF(AND(G7942="Yes", H7942=""), "Gap - Missing Art. 9 Basis", IF(OR(I7942="Invalid - Not Freely Given", I7942="Invalid - Not Specific", I7942="Invalid - Not Informed", I7942="Invalid - Ambiguous"), "Gap - Invalid Consent", "Compliant")))))</f>
        <v/>
      </c>
      <c r="O7942" s="7" t="n"/>
    </row>
    <row r="7943">
      <c r="A7943" s="7" t="n"/>
      <c r="B7943" s="7" t="n"/>
      <c r="C7943" s="7" t="n"/>
      <c r="D7943" s="7" t="n"/>
      <c r="E7943" s="7" t="n"/>
      <c r="F7943" s="7" t="n"/>
      <c r="G7943" s="7" t="n"/>
      <c r="H7943" s="7" t="n"/>
      <c r="I7943" s="7" t="n"/>
      <c r="J7943" s="7" t="n"/>
      <c r="K7943">
        <f>IF(D7943="Legitimate Interest (GDPR Art. 6(1)(f))", "Yes / Required (Sheet 3)", "")</f>
        <v/>
      </c>
      <c r="L7943" s="7" t="n"/>
      <c r="M7943" s="7" t="n"/>
      <c r="N7943">
        <f>IF(D7943="", "Gap - No Legal Basis", IF(AND(D7943="Consent (GDPR Art. 6(1)(a))", I7943="Not Captured"), "Gap - Invalid Consent", IF(AND(D7943="Legitimate Interest (GDPR Art. 6(1)(f))", L7943=""), "Gap - Missing LIA", IF(AND(G7943="Yes", H7943=""), "Gap - Missing Art. 9 Basis", IF(OR(I7943="Invalid - Not Freely Given", I7943="Invalid - Not Specific", I7943="Invalid - Not Informed", I7943="Invalid - Ambiguous"), "Gap - Invalid Consent", "Compliant")))))</f>
        <v/>
      </c>
      <c r="O7943" s="7" t="n"/>
    </row>
    <row r="7944">
      <c r="A7944" s="7" t="n"/>
      <c r="B7944" s="7" t="n"/>
      <c r="C7944" s="7" t="n"/>
      <c r="D7944" s="7" t="n"/>
      <c r="E7944" s="7" t="n"/>
      <c r="F7944" s="7" t="n"/>
      <c r="G7944" s="7" t="n"/>
      <c r="H7944" s="7" t="n"/>
      <c r="I7944" s="7" t="n"/>
      <c r="J7944" s="7" t="n"/>
      <c r="K7944">
        <f>IF(D7944="Legitimate Interest (GDPR Art. 6(1)(f))", "Yes / Required (Sheet 3)", "")</f>
        <v/>
      </c>
      <c r="L7944" s="7" t="n"/>
      <c r="M7944" s="7" t="n"/>
      <c r="N7944">
        <f>IF(D7944="", "Gap - No Legal Basis", IF(AND(D7944="Consent (GDPR Art. 6(1)(a))", I7944="Not Captured"), "Gap - Invalid Consent", IF(AND(D7944="Legitimate Interest (GDPR Art. 6(1)(f))", L7944=""), "Gap - Missing LIA", IF(AND(G7944="Yes", H7944=""), "Gap - Missing Art. 9 Basis", IF(OR(I7944="Invalid - Not Freely Given", I7944="Invalid - Not Specific", I7944="Invalid - Not Informed", I7944="Invalid - Ambiguous"), "Gap - Invalid Consent", "Compliant")))))</f>
        <v/>
      </c>
      <c r="O7944" s="7" t="n"/>
    </row>
    <row r="7945">
      <c r="A7945" s="7" t="n"/>
      <c r="B7945" s="7" t="n"/>
      <c r="C7945" s="7" t="n"/>
      <c r="D7945" s="7" t="n"/>
      <c r="E7945" s="7" t="n"/>
      <c r="F7945" s="7" t="n"/>
      <c r="G7945" s="7" t="n"/>
      <c r="H7945" s="7" t="n"/>
      <c r="I7945" s="7" t="n"/>
      <c r="J7945" s="7" t="n"/>
      <c r="K7945">
        <f>IF(D7945="Legitimate Interest (GDPR Art. 6(1)(f))", "Yes / Required (Sheet 3)", "")</f>
        <v/>
      </c>
      <c r="L7945" s="7" t="n"/>
      <c r="M7945" s="7" t="n"/>
      <c r="N7945">
        <f>IF(D7945="", "Gap - No Legal Basis", IF(AND(D7945="Consent (GDPR Art. 6(1)(a))", I7945="Not Captured"), "Gap - Invalid Consent", IF(AND(D7945="Legitimate Interest (GDPR Art. 6(1)(f))", L7945=""), "Gap - Missing LIA", IF(AND(G7945="Yes", H7945=""), "Gap - Missing Art. 9 Basis", IF(OR(I7945="Invalid - Not Freely Given", I7945="Invalid - Not Specific", I7945="Invalid - Not Informed", I7945="Invalid - Ambiguous"), "Gap - Invalid Consent", "Compliant")))))</f>
        <v/>
      </c>
      <c r="O7945" s="7" t="n"/>
    </row>
    <row r="7946">
      <c r="A7946" s="7" t="n"/>
      <c r="B7946" s="7" t="n"/>
      <c r="C7946" s="7" t="n"/>
      <c r="D7946" s="7" t="n"/>
      <c r="E7946" s="7" t="n"/>
      <c r="F7946" s="7" t="n"/>
      <c r="G7946" s="7" t="n"/>
      <c r="H7946" s="7" t="n"/>
      <c r="I7946" s="7" t="n"/>
      <c r="J7946" s="7" t="n"/>
      <c r="K7946">
        <f>IF(D7946="Legitimate Interest (GDPR Art. 6(1)(f))", "Yes / Required (Sheet 3)", "")</f>
        <v/>
      </c>
      <c r="L7946" s="7" t="n"/>
      <c r="M7946" s="7" t="n"/>
      <c r="N7946">
        <f>IF(D7946="", "Gap - No Legal Basis", IF(AND(D7946="Consent (GDPR Art. 6(1)(a))", I7946="Not Captured"), "Gap - Invalid Consent", IF(AND(D7946="Legitimate Interest (GDPR Art. 6(1)(f))", L7946=""), "Gap - Missing LIA", IF(AND(G7946="Yes", H7946=""), "Gap - Missing Art. 9 Basis", IF(OR(I7946="Invalid - Not Freely Given", I7946="Invalid - Not Specific", I7946="Invalid - Not Informed", I7946="Invalid - Ambiguous"), "Gap - Invalid Consent", "Compliant")))))</f>
        <v/>
      </c>
      <c r="O7946" s="7" t="n"/>
    </row>
    <row r="7947">
      <c r="A7947" s="7" t="n"/>
      <c r="B7947" s="7" t="n"/>
      <c r="C7947" s="7" t="n"/>
      <c r="D7947" s="7" t="n"/>
      <c r="E7947" s="7" t="n"/>
      <c r="F7947" s="7" t="n"/>
      <c r="G7947" s="7" t="n"/>
      <c r="H7947" s="7" t="n"/>
      <c r="I7947" s="7" t="n"/>
      <c r="J7947" s="7" t="n"/>
      <c r="K7947">
        <f>IF(D7947="Legitimate Interest (GDPR Art. 6(1)(f))", "Yes / Required (Sheet 3)", "")</f>
        <v/>
      </c>
      <c r="L7947" s="7" t="n"/>
      <c r="M7947" s="7" t="n"/>
      <c r="N7947">
        <f>IF(D7947="", "Gap - No Legal Basis", IF(AND(D7947="Consent (GDPR Art. 6(1)(a))", I7947="Not Captured"), "Gap - Invalid Consent", IF(AND(D7947="Legitimate Interest (GDPR Art. 6(1)(f))", L7947=""), "Gap - Missing LIA", IF(AND(G7947="Yes", H7947=""), "Gap - Missing Art. 9 Basis", IF(OR(I7947="Invalid - Not Freely Given", I7947="Invalid - Not Specific", I7947="Invalid - Not Informed", I7947="Invalid - Ambiguous"), "Gap - Invalid Consent", "Compliant")))))</f>
        <v/>
      </c>
      <c r="O7947" s="7" t="n"/>
    </row>
    <row r="7948">
      <c r="A7948" s="7" t="n"/>
      <c r="B7948" s="7" t="n"/>
      <c r="C7948" s="7" t="n"/>
      <c r="D7948" s="7" t="n"/>
      <c r="E7948" s="7" t="n"/>
      <c r="F7948" s="7" t="n"/>
      <c r="G7948" s="7" t="n"/>
      <c r="H7948" s="7" t="n"/>
      <c r="I7948" s="7" t="n"/>
      <c r="J7948" s="7" t="n"/>
      <c r="K7948">
        <f>IF(D7948="Legitimate Interest (GDPR Art. 6(1)(f))", "Yes / Required (Sheet 3)", "")</f>
        <v/>
      </c>
      <c r="L7948" s="7" t="n"/>
      <c r="M7948" s="7" t="n"/>
      <c r="N7948">
        <f>IF(D7948="", "Gap - No Legal Basis", IF(AND(D7948="Consent (GDPR Art. 6(1)(a))", I7948="Not Captured"), "Gap - Invalid Consent", IF(AND(D7948="Legitimate Interest (GDPR Art. 6(1)(f))", L7948=""), "Gap - Missing LIA", IF(AND(G7948="Yes", H7948=""), "Gap - Missing Art. 9 Basis", IF(OR(I7948="Invalid - Not Freely Given", I7948="Invalid - Not Specific", I7948="Invalid - Not Informed", I7948="Invalid - Ambiguous"), "Gap - Invalid Consent", "Compliant")))))</f>
        <v/>
      </c>
      <c r="O7948" s="7" t="n"/>
    </row>
    <row r="7949">
      <c r="A7949" s="7" t="n"/>
      <c r="B7949" s="7" t="n"/>
      <c r="C7949" s="7" t="n"/>
      <c r="D7949" s="7" t="n"/>
      <c r="E7949" s="7" t="n"/>
      <c r="F7949" s="7" t="n"/>
      <c r="G7949" s="7" t="n"/>
      <c r="H7949" s="7" t="n"/>
      <c r="I7949" s="7" t="n"/>
      <c r="J7949" s="7" t="n"/>
      <c r="K7949">
        <f>IF(D7949="Legitimate Interest (GDPR Art. 6(1)(f))", "Yes / Required (Sheet 3)", "")</f>
        <v/>
      </c>
      <c r="L7949" s="7" t="n"/>
      <c r="M7949" s="7" t="n"/>
      <c r="N7949">
        <f>IF(D7949="", "Gap - No Legal Basis", IF(AND(D7949="Consent (GDPR Art. 6(1)(a))", I7949="Not Captured"), "Gap - Invalid Consent", IF(AND(D7949="Legitimate Interest (GDPR Art. 6(1)(f))", L7949=""), "Gap - Missing LIA", IF(AND(G7949="Yes", H7949=""), "Gap - Missing Art. 9 Basis", IF(OR(I7949="Invalid - Not Freely Given", I7949="Invalid - Not Specific", I7949="Invalid - Not Informed", I7949="Invalid - Ambiguous"), "Gap - Invalid Consent", "Compliant")))))</f>
        <v/>
      </c>
      <c r="O7949" s="7" t="n"/>
    </row>
    <row r="7950">
      <c r="A7950" s="7" t="n"/>
      <c r="B7950" s="7" t="n"/>
      <c r="C7950" s="7" t="n"/>
      <c r="D7950" s="7" t="n"/>
      <c r="E7950" s="7" t="n"/>
      <c r="F7950" s="7" t="n"/>
      <c r="G7950" s="7" t="n"/>
      <c r="H7950" s="7" t="n"/>
      <c r="I7950" s="7" t="n"/>
      <c r="J7950" s="7" t="n"/>
      <c r="K7950">
        <f>IF(D7950="Legitimate Interest (GDPR Art. 6(1)(f))", "Yes / Required (Sheet 3)", "")</f>
        <v/>
      </c>
      <c r="L7950" s="7" t="n"/>
      <c r="M7950" s="7" t="n"/>
      <c r="N7950">
        <f>IF(D7950="", "Gap - No Legal Basis", IF(AND(D7950="Consent (GDPR Art. 6(1)(a))", I7950="Not Captured"), "Gap - Invalid Consent", IF(AND(D7950="Legitimate Interest (GDPR Art. 6(1)(f))", L7950=""), "Gap - Missing LIA", IF(AND(G7950="Yes", H7950=""), "Gap - Missing Art. 9 Basis", IF(OR(I7950="Invalid - Not Freely Given", I7950="Invalid - Not Specific", I7950="Invalid - Not Informed", I7950="Invalid - Ambiguous"), "Gap - Invalid Consent", "Compliant")))))</f>
        <v/>
      </c>
      <c r="O7950" s="7" t="n"/>
    </row>
    <row r="7951">
      <c r="A7951" s="7" t="n"/>
      <c r="B7951" s="7" t="n"/>
      <c r="C7951" s="7" t="n"/>
      <c r="D7951" s="7" t="n"/>
      <c r="E7951" s="7" t="n"/>
      <c r="F7951" s="7" t="n"/>
      <c r="G7951" s="7" t="n"/>
      <c r="H7951" s="7" t="n"/>
      <c r="I7951" s="7" t="n"/>
      <c r="J7951" s="7" t="n"/>
      <c r="K7951">
        <f>IF(D7951="Legitimate Interest (GDPR Art. 6(1)(f))", "Yes / Required (Sheet 3)", "")</f>
        <v/>
      </c>
      <c r="L7951" s="7" t="n"/>
      <c r="M7951" s="7" t="n"/>
      <c r="N7951">
        <f>IF(D7951="", "Gap - No Legal Basis", IF(AND(D7951="Consent (GDPR Art. 6(1)(a))", I7951="Not Captured"), "Gap - Invalid Consent", IF(AND(D7951="Legitimate Interest (GDPR Art. 6(1)(f))", L7951=""), "Gap - Missing LIA", IF(AND(G7951="Yes", H7951=""), "Gap - Missing Art. 9 Basis", IF(OR(I7951="Invalid - Not Freely Given", I7951="Invalid - Not Specific", I7951="Invalid - Not Informed", I7951="Invalid - Ambiguous"), "Gap - Invalid Consent", "Compliant")))))</f>
        <v/>
      </c>
      <c r="O7951" s="7" t="n"/>
    </row>
    <row r="7952">
      <c r="A7952" s="7" t="n"/>
      <c r="B7952" s="7" t="n"/>
      <c r="C7952" s="7" t="n"/>
      <c r="D7952" s="7" t="n"/>
      <c r="E7952" s="7" t="n"/>
      <c r="F7952" s="7" t="n"/>
      <c r="G7952" s="7" t="n"/>
      <c r="H7952" s="7" t="n"/>
      <c r="I7952" s="7" t="n"/>
      <c r="J7952" s="7" t="n"/>
      <c r="K7952">
        <f>IF(D7952="Legitimate Interest (GDPR Art. 6(1)(f))", "Yes / Required (Sheet 3)", "")</f>
        <v/>
      </c>
      <c r="L7952" s="7" t="n"/>
      <c r="M7952" s="7" t="n"/>
      <c r="N7952">
        <f>IF(D7952="", "Gap - No Legal Basis", IF(AND(D7952="Consent (GDPR Art. 6(1)(a))", I7952="Not Captured"), "Gap - Invalid Consent", IF(AND(D7952="Legitimate Interest (GDPR Art. 6(1)(f))", L7952=""), "Gap - Missing LIA", IF(AND(G7952="Yes", H7952=""), "Gap - Missing Art. 9 Basis", IF(OR(I7952="Invalid - Not Freely Given", I7952="Invalid - Not Specific", I7952="Invalid - Not Informed", I7952="Invalid - Ambiguous"), "Gap - Invalid Consent", "Compliant")))))</f>
        <v/>
      </c>
      <c r="O7952" s="7" t="n"/>
    </row>
    <row r="7953">
      <c r="A7953" s="7" t="n"/>
      <c r="B7953" s="7" t="n"/>
      <c r="C7953" s="7" t="n"/>
      <c r="D7953" s="7" t="n"/>
      <c r="E7953" s="7" t="n"/>
      <c r="F7953" s="7" t="n"/>
      <c r="G7953" s="7" t="n"/>
      <c r="H7953" s="7" t="n"/>
      <c r="I7953" s="7" t="n"/>
      <c r="J7953" s="7" t="n"/>
      <c r="K7953">
        <f>IF(D7953="Legitimate Interest (GDPR Art. 6(1)(f))", "Yes / Required (Sheet 3)", "")</f>
        <v/>
      </c>
      <c r="L7953" s="7" t="n"/>
      <c r="M7953" s="7" t="n"/>
      <c r="N7953">
        <f>IF(D7953="", "Gap - No Legal Basis", IF(AND(D7953="Consent (GDPR Art. 6(1)(a))", I7953="Not Captured"), "Gap - Invalid Consent", IF(AND(D7953="Legitimate Interest (GDPR Art. 6(1)(f))", L7953=""), "Gap - Missing LIA", IF(AND(G7953="Yes", H7953=""), "Gap - Missing Art. 9 Basis", IF(OR(I7953="Invalid - Not Freely Given", I7953="Invalid - Not Specific", I7953="Invalid - Not Informed", I7953="Invalid - Ambiguous"), "Gap - Invalid Consent", "Compliant")))))</f>
        <v/>
      </c>
      <c r="O7953" s="7" t="n"/>
    </row>
    <row r="7954">
      <c r="A7954" s="7" t="n"/>
      <c r="B7954" s="7" t="n"/>
      <c r="C7954" s="7" t="n"/>
      <c r="D7954" s="7" t="n"/>
      <c r="E7954" s="7" t="n"/>
      <c r="F7954" s="7" t="n"/>
      <c r="G7954" s="7" t="n"/>
      <c r="H7954" s="7" t="n"/>
      <c r="I7954" s="7" t="n"/>
      <c r="J7954" s="7" t="n"/>
      <c r="K7954">
        <f>IF(D7954="Legitimate Interest (GDPR Art. 6(1)(f))", "Yes / Required (Sheet 3)", "")</f>
        <v/>
      </c>
      <c r="L7954" s="7" t="n"/>
      <c r="M7954" s="7" t="n"/>
      <c r="N7954">
        <f>IF(D7954="", "Gap - No Legal Basis", IF(AND(D7954="Consent (GDPR Art. 6(1)(a))", I7954="Not Captured"), "Gap - Invalid Consent", IF(AND(D7954="Legitimate Interest (GDPR Art. 6(1)(f))", L7954=""), "Gap - Missing LIA", IF(AND(G7954="Yes", H7954=""), "Gap - Missing Art. 9 Basis", IF(OR(I7954="Invalid - Not Freely Given", I7954="Invalid - Not Specific", I7954="Invalid - Not Informed", I7954="Invalid - Ambiguous"), "Gap - Invalid Consent", "Compliant")))))</f>
        <v/>
      </c>
      <c r="O7954" s="7" t="n"/>
    </row>
    <row r="7955">
      <c r="A7955" s="7" t="n"/>
      <c r="B7955" s="7" t="n"/>
      <c r="C7955" s="7" t="n"/>
      <c r="D7955" s="7" t="n"/>
      <c r="E7955" s="7" t="n"/>
      <c r="F7955" s="7" t="n"/>
      <c r="G7955" s="7" t="n"/>
      <c r="H7955" s="7" t="n"/>
      <c r="I7955" s="7" t="n"/>
      <c r="J7955" s="7" t="n"/>
      <c r="K7955">
        <f>IF(D7955="Legitimate Interest (GDPR Art. 6(1)(f))", "Yes / Required (Sheet 3)", "")</f>
        <v/>
      </c>
      <c r="L7955" s="7" t="n"/>
      <c r="M7955" s="7" t="n"/>
      <c r="N7955">
        <f>IF(D7955="", "Gap - No Legal Basis", IF(AND(D7955="Consent (GDPR Art. 6(1)(a))", I7955="Not Captured"), "Gap - Invalid Consent", IF(AND(D7955="Legitimate Interest (GDPR Art. 6(1)(f))", L7955=""), "Gap - Missing LIA", IF(AND(G7955="Yes", H7955=""), "Gap - Missing Art. 9 Basis", IF(OR(I7955="Invalid - Not Freely Given", I7955="Invalid - Not Specific", I7955="Invalid - Not Informed", I7955="Invalid - Ambiguous"), "Gap - Invalid Consent", "Compliant")))))</f>
        <v/>
      </c>
      <c r="O7955" s="7" t="n"/>
    </row>
    <row r="7956">
      <c r="A7956" s="7" t="n"/>
      <c r="B7956" s="7" t="n"/>
      <c r="C7956" s="7" t="n"/>
      <c r="D7956" s="7" t="n"/>
      <c r="E7956" s="7" t="n"/>
      <c r="F7956" s="7" t="n"/>
      <c r="G7956" s="7" t="n"/>
      <c r="H7956" s="7" t="n"/>
      <c r="I7956" s="7" t="n"/>
      <c r="J7956" s="7" t="n"/>
      <c r="K7956">
        <f>IF(D7956="Legitimate Interest (GDPR Art. 6(1)(f))", "Yes / Required (Sheet 3)", "")</f>
        <v/>
      </c>
      <c r="L7956" s="7" t="n"/>
      <c r="M7956" s="7" t="n"/>
      <c r="N7956">
        <f>IF(D7956="", "Gap - No Legal Basis", IF(AND(D7956="Consent (GDPR Art. 6(1)(a))", I7956="Not Captured"), "Gap - Invalid Consent", IF(AND(D7956="Legitimate Interest (GDPR Art. 6(1)(f))", L7956=""), "Gap - Missing LIA", IF(AND(G7956="Yes", H7956=""), "Gap - Missing Art. 9 Basis", IF(OR(I7956="Invalid - Not Freely Given", I7956="Invalid - Not Specific", I7956="Invalid - Not Informed", I7956="Invalid - Ambiguous"), "Gap - Invalid Consent", "Compliant")))))</f>
        <v/>
      </c>
      <c r="O7956" s="7" t="n"/>
    </row>
    <row r="7957">
      <c r="A7957" s="7" t="n"/>
      <c r="B7957" s="7" t="n"/>
      <c r="C7957" s="7" t="n"/>
      <c r="D7957" s="7" t="n"/>
      <c r="E7957" s="7" t="n"/>
      <c r="F7957" s="7" t="n"/>
      <c r="G7957" s="7" t="n"/>
      <c r="H7957" s="7" t="n"/>
      <c r="I7957" s="7" t="n"/>
      <c r="J7957" s="7" t="n"/>
      <c r="K7957">
        <f>IF(D7957="Legitimate Interest (GDPR Art. 6(1)(f))", "Yes / Required (Sheet 3)", "")</f>
        <v/>
      </c>
      <c r="L7957" s="7" t="n"/>
      <c r="M7957" s="7" t="n"/>
      <c r="N7957">
        <f>IF(D7957="", "Gap - No Legal Basis", IF(AND(D7957="Consent (GDPR Art. 6(1)(a))", I7957="Not Captured"), "Gap - Invalid Consent", IF(AND(D7957="Legitimate Interest (GDPR Art. 6(1)(f))", L7957=""), "Gap - Missing LIA", IF(AND(G7957="Yes", H7957=""), "Gap - Missing Art. 9 Basis", IF(OR(I7957="Invalid - Not Freely Given", I7957="Invalid - Not Specific", I7957="Invalid - Not Informed", I7957="Invalid - Ambiguous"), "Gap - Invalid Consent", "Compliant")))))</f>
        <v/>
      </c>
      <c r="O7957" s="7" t="n"/>
    </row>
    <row r="7958">
      <c r="A7958" s="7" t="n"/>
      <c r="B7958" s="7" t="n"/>
      <c r="C7958" s="7" t="n"/>
      <c r="D7958" s="7" t="n"/>
      <c r="E7958" s="7" t="n"/>
      <c r="F7958" s="7" t="n"/>
      <c r="G7958" s="7" t="n"/>
      <c r="H7958" s="7" t="n"/>
      <c r="I7958" s="7" t="n"/>
      <c r="J7958" s="7" t="n"/>
      <c r="K7958">
        <f>IF(D7958="Legitimate Interest (GDPR Art. 6(1)(f))", "Yes / Required (Sheet 3)", "")</f>
        <v/>
      </c>
      <c r="L7958" s="7" t="n"/>
      <c r="M7958" s="7" t="n"/>
      <c r="N7958">
        <f>IF(D7958="", "Gap - No Legal Basis", IF(AND(D7958="Consent (GDPR Art. 6(1)(a))", I7958="Not Captured"), "Gap - Invalid Consent", IF(AND(D7958="Legitimate Interest (GDPR Art. 6(1)(f))", L7958=""), "Gap - Missing LIA", IF(AND(G7958="Yes", H7958=""), "Gap - Missing Art. 9 Basis", IF(OR(I7958="Invalid - Not Freely Given", I7958="Invalid - Not Specific", I7958="Invalid - Not Informed", I7958="Invalid - Ambiguous"), "Gap - Invalid Consent", "Compliant")))))</f>
        <v/>
      </c>
      <c r="O7958" s="7" t="n"/>
    </row>
    <row r="7959">
      <c r="A7959" s="7" t="n"/>
      <c r="B7959" s="7" t="n"/>
      <c r="C7959" s="7" t="n"/>
      <c r="D7959" s="7" t="n"/>
      <c r="E7959" s="7" t="n"/>
      <c r="F7959" s="7" t="n"/>
      <c r="G7959" s="7" t="n"/>
      <c r="H7959" s="7" t="n"/>
      <c r="I7959" s="7" t="n"/>
      <c r="J7959" s="7" t="n"/>
      <c r="K7959">
        <f>IF(D7959="Legitimate Interest (GDPR Art. 6(1)(f))", "Yes / Required (Sheet 3)", "")</f>
        <v/>
      </c>
      <c r="L7959" s="7" t="n"/>
      <c r="M7959" s="7" t="n"/>
      <c r="N7959">
        <f>IF(D7959="", "Gap - No Legal Basis", IF(AND(D7959="Consent (GDPR Art. 6(1)(a))", I7959="Not Captured"), "Gap - Invalid Consent", IF(AND(D7959="Legitimate Interest (GDPR Art. 6(1)(f))", L7959=""), "Gap - Missing LIA", IF(AND(G7959="Yes", H7959=""), "Gap - Missing Art. 9 Basis", IF(OR(I7959="Invalid - Not Freely Given", I7959="Invalid - Not Specific", I7959="Invalid - Not Informed", I7959="Invalid - Ambiguous"), "Gap - Invalid Consent", "Compliant")))))</f>
        <v/>
      </c>
      <c r="O7959" s="7" t="n"/>
    </row>
    <row r="7960">
      <c r="A7960" s="7" t="n"/>
      <c r="B7960" s="7" t="n"/>
      <c r="C7960" s="7" t="n"/>
      <c r="D7960" s="7" t="n"/>
      <c r="E7960" s="7" t="n"/>
      <c r="F7960" s="7" t="n"/>
      <c r="G7960" s="7" t="n"/>
      <c r="H7960" s="7" t="n"/>
      <c r="I7960" s="7" t="n"/>
      <c r="J7960" s="7" t="n"/>
      <c r="K7960">
        <f>IF(D7960="Legitimate Interest (GDPR Art. 6(1)(f))", "Yes / Required (Sheet 3)", "")</f>
        <v/>
      </c>
      <c r="L7960" s="7" t="n"/>
      <c r="M7960" s="7" t="n"/>
      <c r="N7960">
        <f>IF(D7960="", "Gap - No Legal Basis", IF(AND(D7960="Consent (GDPR Art. 6(1)(a))", I7960="Not Captured"), "Gap - Invalid Consent", IF(AND(D7960="Legitimate Interest (GDPR Art. 6(1)(f))", L7960=""), "Gap - Missing LIA", IF(AND(G7960="Yes", H7960=""), "Gap - Missing Art. 9 Basis", IF(OR(I7960="Invalid - Not Freely Given", I7960="Invalid - Not Specific", I7960="Invalid - Not Informed", I7960="Invalid - Ambiguous"), "Gap - Invalid Consent", "Compliant")))))</f>
        <v/>
      </c>
      <c r="O7960" s="7" t="n"/>
    </row>
    <row r="7961">
      <c r="A7961" s="7" t="n"/>
      <c r="B7961" s="7" t="n"/>
      <c r="C7961" s="7" t="n"/>
      <c r="D7961" s="7" t="n"/>
      <c r="E7961" s="7" t="n"/>
      <c r="F7961" s="7" t="n"/>
      <c r="G7961" s="7" t="n"/>
      <c r="H7961" s="7" t="n"/>
      <c r="I7961" s="7" t="n"/>
      <c r="J7961" s="7" t="n"/>
      <c r="K7961">
        <f>IF(D7961="Legitimate Interest (GDPR Art. 6(1)(f))", "Yes / Required (Sheet 3)", "")</f>
        <v/>
      </c>
      <c r="L7961" s="7" t="n"/>
      <c r="M7961" s="7" t="n"/>
      <c r="N7961">
        <f>IF(D7961="", "Gap - No Legal Basis", IF(AND(D7961="Consent (GDPR Art. 6(1)(a))", I7961="Not Captured"), "Gap - Invalid Consent", IF(AND(D7961="Legitimate Interest (GDPR Art. 6(1)(f))", L7961=""), "Gap - Missing LIA", IF(AND(G7961="Yes", H7961=""), "Gap - Missing Art. 9 Basis", IF(OR(I7961="Invalid - Not Freely Given", I7961="Invalid - Not Specific", I7961="Invalid - Not Informed", I7961="Invalid - Ambiguous"), "Gap - Invalid Consent", "Compliant")))))</f>
        <v/>
      </c>
      <c r="O7961" s="7" t="n"/>
    </row>
    <row r="7962">
      <c r="A7962" s="7" t="n"/>
      <c r="B7962" s="7" t="n"/>
      <c r="C7962" s="7" t="n"/>
      <c r="D7962" s="7" t="n"/>
      <c r="E7962" s="7" t="n"/>
      <c r="F7962" s="7" t="n"/>
      <c r="G7962" s="7" t="n"/>
      <c r="H7962" s="7" t="n"/>
      <c r="I7962" s="7" t="n"/>
      <c r="J7962" s="7" t="n"/>
      <c r="K7962">
        <f>IF(D7962="Legitimate Interest (GDPR Art. 6(1)(f))", "Yes / Required (Sheet 3)", "")</f>
        <v/>
      </c>
      <c r="L7962" s="7" t="n"/>
      <c r="M7962" s="7" t="n"/>
      <c r="N7962">
        <f>IF(D7962="", "Gap - No Legal Basis", IF(AND(D7962="Consent (GDPR Art. 6(1)(a))", I7962="Not Captured"), "Gap - Invalid Consent", IF(AND(D7962="Legitimate Interest (GDPR Art. 6(1)(f))", L7962=""), "Gap - Missing LIA", IF(AND(G7962="Yes", H7962=""), "Gap - Missing Art. 9 Basis", IF(OR(I7962="Invalid - Not Freely Given", I7962="Invalid - Not Specific", I7962="Invalid - Not Informed", I7962="Invalid - Ambiguous"), "Gap - Invalid Consent", "Compliant")))))</f>
        <v/>
      </c>
      <c r="O7962" s="7" t="n"/>
    </row>
    <row r="7963">
      <c r="A7963" s="7" t="n"/>
      <c r="B7963" s="7" t="n"/>
      <c r="C7963" s="7" t="n"/>
      <c r="D7963" s="7" t="n"/>
      <c r="E7963" s="7" t="n"/>
      <c r="F7963" s="7" t="n"/>
      <c r="G7963" s="7" t="n"/>
      <c r="H7963" s="7" t="n"/>
      <c r="I7963" s="7" t="n"/>
      <c r="J7963" s="7" t="n"/>
      <c r="K7963">
        <f>IF(D7963="Legitimate Interest (GDPR Art. 6(1)(f))", "Yes / Required (Sheet 3)", "")</f>
        <v/>
      </c>
      <c r="L7963" s="7" t="n"/>
      <c r="M7963" s="7" t="n"/>
      <c r="N7963">
        <f>IF(D7963="", "Gap - No Legal Basis", IF(AND(D7963="Consent (GDPR Art. 6(1)(a))", I7963="Not Captured"), "Gap - Invalid Consent", IF(AND(D7963="Legitimate Interest (GDPR Art. 6(1)(f))", L7963=""), "Gap - Missing LIA", IF(AND(G7963="Yes", H7963=""), "Gap - Missing Art. 9 Basis", IF(OR(I7963="Invalid - Not Freely Given", I7963="Invalid - Not Specific", I7963="Invalid - Not Informed", I7963="Invalid - Ambiguous"), "Gap - Invalid Consent", "Compliant")))))</f>
        <v/>
      </c>
      <c r="O7963" s="7" t="n"/>
    </row>
    <row r="7964">
      <c r="A7964" s="7" t="n"/>
      <c r="B7964" s="7" t="n"/>
      <c r="C7964" s="7" t="n"/>
      <c r="D7964" s="7" t="n"/>
      <c r="E7964" s="7" t="n"/>
      <c r="F7964" s="7" t="n"/>
      <c r="G7964" s="7" t="n"/>
      <c r="H7964" s="7" t="n"/>
      <c r="I7964" s="7" t="n"/>
      <c r="J7964" s="7" t="n"/>
      <c r="K7964">
        <f>IF(D7964="Legitimate Interest (GDPR Art. 6(1)(f))", "Yes / Required (Sheet 3)", "")</f>
        <v/>
      </c>
      <c r="L7964" s="7" t="n"/>
      <c r="M7964" s="7" t="n"/>
      <c r="N7964">
        <f>IF(D7964="", "Gap - No Legal Basis", IF(AND(D7964="Consent (GDPR Art. 6(1)(a))", I7964="Not Captured"), "Gap - Invalid Consent", IF(AND(D7964="Legitimate Interest (GDPR Art. 6(1)(f))", L7964=""), "Gap - Missing LIA", IF(AND(G7964="Yes", H7964=""), "Gap - Missing Art. 9 Basis", IF(OR(I7964="Invalid - Not Freely Given", I7964="Invalid - Not Specific", I7964="Invalid - Not Informed", I7964="Invalid - Ambiguous"), "Gap - Invalid Consent", "Compliant")))))</f>
        <v/>
      </c>
      <c r="O7964" s="7" t="n"/>
    </row>
    <row r="7965">
      <c r="A7965" s="7" t="n"/>
      <c r="B7965" s="7" t="n"/>
      <c r="C7965" s="7" t="n"/>
      <c r="D7965" s="7" t="n"/>
      <c r="E7965" s="7" t="n"/>
      <c r="F7965" s="7" t="n"/>
      <c r="G7965" s="7" t="n"/>
      <c r="H7965" s="7" t="n"/>
      <c r="I7965" s="7" t="n"/>
      <c r="J7965" s="7" t="n"/>
      <c r="K7965">
        <f>IF(D7965="Legitimate Interest (GDPR Art. 6(1)(f))", "Yes / Required (Sheet 3)", "")</f>
        <v/>
      </c>
      <c r="L7965" s="7" t="n"/>
      <c r="M7965" s="7" t="n"/>
      <c r="N7965">
        <f>IF(D7965="", "Gap - No Legal Basis", IF(AND(D7965="Consent (GDPR Art. 6(1)(a))", I7965="Not Captured"), "Gap - Invalid Consent", IF(AND(D7965="Legitimate Interest (GDPR Art. 6(1)(f))", L7965=""), "Gap - Missing LIA", IF(AND(G7965="Yes", H7965=""), "Gap - Missing Art. 9 Basis", IF(OR(I7965="Invalid - Not Freely Given", I7965="Invalid - Not Specific", I7965="Invalid - Not Informed", I7965="Invalid - Ambiguous"), "Gap - Invalid Consent", "Compliant")))))</f>
        <v/>
      </c>
      <c r="O7965" s="7" t="n"/>
    </row>
    <row r="7966">
      <c r="A7966" s="7" t="n"/>
      <c r="B7966" s="7" t="n"/>
      <c r="C7966" s="7" t="n"/>
      <c r="D7966" s="7" t="n"/>
      <c r="E7966" s="7" t="n"/>
      <c r="F7966" s="7" t="n"/>
      <c r="G7966" s="7" t="n"/>
      <c r="H7966" s="7" t="n"/>
      <c r="I7966" s="7" t="n"/>
      <c r="J7966" s="7" t="n"/>
      <c r="K7966">
        <f>IF(D7966="Legitimate Interest (GDPR Art. 6(1)(f))", "Yes / Required (Sheet 3)", "")</f>
        <v/>
      </c>
      <c r="L7966" s="7" t="n"/>
      <c r="M7966" s="7" t="n"/>
      <c r="N7966">
        <f>IF(D7966="", "Gap - No Legal Basis", IF(AND(D7966="Consent (GDPR Art. 6(1)(a))", I7966="Not Captured"), "Gap - Invalid Consent", IF(AND(D7966="Legitimate Interest (GDPR Art. 6(1)(f))", L7966=""), "Gap - Missing LIA", IF(AND(G7966="Yes", H7966=""), "Gap - Missing Art. 9 Basis", IF(OR(I7966="Invalid - Not Freely Given", I7966="Invalid - Not Specific", I7966="Invalid - Not Informed", I7966="Invalid - Ambiguous"), "Gap - Invalid Consent", "Compliant")))))</f>
        <v/>
      </c>
      <c r="O7966" s="7" t="n"/>
    </row>
    <row r="7967">
      <c r="A7967" s="7" t="n"/>
      <c r="B7967" s="7" t="n"/>
      <c r="C7967" s="7" t="n"/>
      <c r="D7967" s="7" t="n"/>
      <c r="E7967" s="7" t="n"/>
      <c r="F7967" s="7" t="n"/>
      <c r="G7967" s="7" t="n"/>
      <c r="H7967" s="7" t="n"/>
      <c r="I7967" s="7" t="n"/>
      <c r="J7967" s="7" t="n"/>
      <c r="K7967">
        <f>IF(D7967="Legitimate Interest (GDPR Art. 6(1)(f))", "Yes / Required (Sheet 3)", "")</f>
        <v/>
      </c>
      <c r="L7967" s="7" t="n"/>
      <c r="M7967" s="7" t="n"/>
      <c r="N7967">
        <f>IF(D7967="", "Gap - No Legal Basis", IF(AND(D7967="Consent (GDPR Art. 6(1)(a))", I7967="Not Captured"), "Gap - Invalid Consent", IF(AND(D7967="Legitimate Interest (GDPR Art. 6(1)(f))", L7967=""), "Gap - Missing LIA", IF(AND(G7967="Yes", H7967=""), "Gap - Missing Art. 9 Basis", IF(OR(I7967="Invalid - Not Freely Given", I7967="Invalid - Not Specific", I7967="Invalid - Not Informed", I7967="Invalid - Ambiguous"), "Gap - Invalid Consent", "Compliant")))))</f>
        <v/>
      </c>
      <c r="O7967" s="7" t="n"/>
    </row>
    <row r="7968">
      <c r="A7968" s="7" t="n"/>
      <c r="B7968" s="7" t="n"/>
      <c r="C7968" s="7" t="n"/>
      <c r="D7968" s="7" t="n"/>
      <c r="E7968" s="7" t="n"/>
      <c r="F7968" s="7" t="n"/>
      <c r="G7968" s="7" t="n"/>
      <c r="H7968" s="7" t="n"/>
      <c r="I7968" s="7" t="n"/>
      <c r="J7968" s="7" t="n"/>
      <c r="K7968">
        <f>IF(D7968="Legitimate Interest (GDPR Art. 6(1)(f))", "Yes / Required (Sheet 3)", "")</f>
        <v/>
      </c>
      <c r="L7968" s="7" t="n"/>
      <c r="M7968" s="7" t="n"/>
      <c r="N7968">
        <f>IF(D7968="", "Gap - No Legal Basis", IF(AND(D7968="Consent (GDPR Art. 6(1)(a))", I7968="Not Captured"), "Gap - Invalid Consent", IF(AND(D7968="Legitimate Interest (GDPR Art. 6(1)(f))", L7968=""), "Gap - Missing LIA", IF(AND(G7968="Yes", H7968=""), "Gap - Missing Art. 9 Basis", IF(OR(I7968="Invalid - Not Freely Given", I7968="Invalid - Not Specific", I7968="Invalid - Not Informed", I7968="Invalid - Ambiguous"), "Gap - Invalid Consent", "Compliant")))))</f>
        <v/>
      </c>
      <c r="O7968" s="7" t="n"/>
    </row>
    <row r="7969">
      <c r="A7969" s="7" t="n"/>
      <c r="B7969" s="7" t="n"/>
      <c r="C7969" s="7" t="n"/>
      <c r="D7969" s="7" t="n"/>
      <c r="E7969" s="7" t="n"/>
      <c r="F7969" s="7" t="n"/>
      <c r="G7969" s="7" t="n"/>
      <c r="H7969" s="7" t="n"/>
      <c r="I7969" s="7" t="n"/>
      <c r="J7969" s="7" t="n"/>
      <c r="K7969">
        <f>IF(D7969="Legitimate Interest (GDPR Art. 6(1)(f))", "Yes / Required (Sheet 3)", "")</f>
        <v/>
      </c>
      <c r="L7969" s="7" t="n"/>
      <c r="M7969" s="7" t="n"/>
      <c r="N7969">
        <f>IF(D7969="", "Gap - No Legal Basis", IF(AND(D7969="Consent (GDPR Art. 6(1)(a))", I7969="Not Captured"), "Gap - Invalid Consent", IF(AND(D7969="Legitimate Interest (GDPR Art. 6(1)(f))", L7969=""), "Gap - Missing LIA", IF(AND(G7969="Yes", H7969=""), "Gap - Missing Art. 9 Basis", IF(OR(I7969="Invalid - Not Freely Given", I7969="Invalid - Not Specific", I7969="Invalid - Not Informed", I7969="Invalid - Ambiguous"), "Gap - Invalid Consent", "Compliant")))))</f>
        <v/>
      </c>
      <c r="O7969" s="7" t="n"/>
    </row>
    <row r="7970">
      <c r="A7970" s="7" t="n"/>
      <c r="B7970" s="7" t="n"/>
      <c r="C7970" s="7" t="n"/>
      <c r="D7970" s="7" t="n"/>
      <c r="E7970" s="7" t="n"/>
      <c r="F7970" s="7" t="n"/>
      <c r="G7970" s="7" t="n"/>
      <c r="H7970" s="7" t="n"/>
      <c r="I7970" s="7" t="n"/>
      <c r="J7970" s="7" t="n"/>
      <c r="K7970">
        <f>IF(D7970="Legitimate Interest (GDPR Art. 6(1)(f))", "Yes / Required (Sheet 3)", "")</f>
        <v/>
      </c>
      <c r="L7970" s="7" t="n"/>
      <c r="M7970" s="7" t="n"/>
      <c r="N7970">
        <f>IF(D7970="", "Gap - No Legal Basis", IF(AND(D7970="Consent (GDPR Art. 6(1)(a))", I7970="Not Captured"), "Gap - Invalid Consent", IF(AND(D7970="Legitimate Interest (GDPR Art. 6(1)(f))", L7970=""), "Gap - Missing LIA", IF(AND(G7970="Yes", H7970=""), "Gap - Missing Art. 9 Basis", IF(OR(I7970="Invalid - Not Freely Given", I7970="Invalid - Not Specific", I7970="Invalid - Not Informed", I7970="Invalid - Ambiguous"), "Gap - Invalid Consent", "Compliant")))))</f>
        <v/>
      </c>
      <c r="O7970" s="7" t="n"/>
    </row>
    <row r="7971">
      <c r="A7971" s="7" t="n"/>
      <c r="B7971" s="7" t="n"/>
      <c r="C7971" s="7" t="n"/>
      <c r="D7971" s="7" t="n"/>
      <c r="E7971" s="7" t="n"/>
      <c r="F7971" s="7" t="n"/>
      <c r="G7971" s="7" t="n"/>
      <c r="H7971" s="7" t="n"/>
      <c r="I7971" s="7" t="n"/>
      <c r="J7971" s="7" t="n"/>
      <c r="K7971">
        <f>IF(D7971="Legitimate Interest (GDPR Art. 6(1)(f))", "Yes / Required (Sheet 3)", "")</f>
        <v/>
      </c>
      <c r="L7971" s="7" t="n"/>
      <c r="M7971" s="7" t="n"/>
      <c r="N7971">
        <f>IF(D7971="", "Gap - No Legal Basis", IF(AND(D7971="Consent (GDPR Art. 6(1)(a))", I7971="Not Captured"), "Gap - Invalid Consent", IF(AND(D7971="Legitimate Interest (GDPR Art. 6(1)(f))", L7971=""), "Gap - Missing LIA", IF(AND(G7971="Yes", H7971=""), "Gap - Missing Art. 9 Basis", IF(OR(I7971="Invalid - Not Freely Given", I7971="Invalid - Not Specific", I7971="Invalid - Not Informed", I7971="Invalid - Ambiguous"), "Gap - Invalid Consent", "Compliant")))))</f>
        <v/>
      </c>
      <c r="O7971" s="7" t="n"/>
    </row>
    <row r="7972">
      <c r="A7972" s="7" t="n"/>
      <c r="B7972" s="7" t="n"/>
      <c r="C7972" s="7" t="n"/>
      <c r="D7972" s="7" t="n"/>
      <c r="E7972" s="7" t="n"/>
      <c r="F7972" s="7" t="n"/>
      <c r="G7972" s="7" t="n"/>
      <c r="H7972" s="7" t="n"/>
      <c r="I7972" s="7" t="n"/>
      <c r="J7972" s="7" t="n"/>
      <c r="K7972">
        <f>IF(D7972="Legitimate Interest (GDPR Art. 6(1)(f))", "Yes / Required (Sheet 3)", "")</f>
        <v/>
      </c>
      <c r="L7972" s="7" t="n"/>
      <c r="M7972" s="7" t="n"/>
      <c r="N7972">
        <f>IF(D7972="", "Gap - No Legal Basis", IF(AND(D7972="Consent (GDPR Art. 6(1)(a))", I7972="Not Captured"), "Gap - Invalid Consent", IF(AND(D7972="Legitimate Interest (GDPR Art. 6(1)(f))", L7972=""), "Gap - Missing LIA", IF(AND(G7972="Yes", H7972=""), "Gap - Missing Art. 9 Basis", IF(OR(I7972="Invalid - Not Freely Given", I7972="Invalid - Not Specific", I7972="Invalid - Not Informed", I7972="Invalid - Ambiguous"), "Gap - Invalid Consent", "Compliant")))))</f>
        <v/>
      </c>
      <c r="O7972" s="7" t="n"/>
    </row>
    <row r="7973">
      <c r="A7973" s="7" t="n"/>
      <c r="B7973" s="7" t="n"/>
      <c r="C7973" s="7" t="n"/>
      <c r="D7973" s="7" t="n"/>
      <c r="E7973" s="7" t="n"/>
      <c r="F7973" s="7" t="n"/>
      <c r="G7973" s="7" t="n"/>
      <c r="H7973" s="7" t="n"/>
      <c r="I7973" s="7" t="n"/>
      <c r="J7973" s="7" t="n"/>
      <c r="K7973">
        <f>IF(D7973="Legitimate Interest (GDPR Art. 6(1)(f))", "Yes / Required (Sheet 3)", "")</f>
        <v/>
      </c>
      <c r="L7973" s="7" t="n"/>
      <c r="M7973" s="7" t="n"/>
      <c r="N7973">
        <f>IF(D7973="", "Gap - No Legal Basis", IF(AND(D7973="Consent (GDPR Art. 6(1)(a))", I7973="Not Captured"), "Gap - Invalid Consent", IF(AND(D7973="Legitimate Interest (GDPR Art. 6(1)(f))", L7973=""), "Gap - Missing LIA", IF(AND(G7973="Yes", H7973=""), "Gap - Missing Art. 9 Basis", IF(OR(I7973="Invalid - Not Freely Given", I7973="Invalid - Not Specific", I7973="Invalid - Not Informed", I7973="Invalid - Ambiguous"), "Gap - Invalid Consent", "Compliant")))))</f>
        <v/>
      </c>
      <c r="O7973" s="7" t="n"/>
    </row>
    <row r="7974">
      <c r="A7974" s="7" t="n"/>
      <c r="B7974" s="7" t="n"/>
      <c r="C7974" s="7" t="n"/>
      <c r="D7974" s="7" t="n"/>
      <c r="E7974" s="7" t="n"/>
      <c r="F7974" s="7" t="n"/>
      <c r="G7974" s="7" t="n"/>
      <c r="H7974" s="7" t="n"/>
      <c r="I7974" s="7" t="n"/>
      <c r="J7974" s="7" t="n"/>
      <c r="K7974">
        <f>IF(D7974="Legitimate Interest (GDPR Art. 6(1)(f))", "Yes / Required (Sheet 3)", "")</f>
        <v/>
      </c>
      <c r="L7974" s="7" t="n"/>
      <c r="M7974" s="7" t="n"/>
      <c r="N7974">
        <f>IF(D7974="", "Gap - No Legal Basis", IF(AND(D7974="Consent (GDPR Art. 6(1)(a))", I7974="Not Captured"), "Gap - Invalid Consent", IF(AND(D7974="Legitimate Interest (GDPR Art. 6(1)(f))", L7974=""), "Gap - Missing LIA", IF(AND(G7974="Yes", H7974=""), "Gap - Missing Art. 9 Basis", IF(OR(I7974="Invalid - Not Freely Given", I7974="Invalid - Not Specific", I7974="Invalid - Not Informed", I7974="Invalid - Ambiguous"), "Gap - Invalid Consent", "Compliant")))))</f>
        <v/>
      </c>
      <c r="O7974" s="7" t="n"/>
    </row>
    <row r="7975">
      <c r="A7975" s="7" t="n"/>
      <c r="B7975" s="7" t="n"/>
      <c r="C7975" s="7" t="n"/>
      <c r="D7975" s="7" t="n"/>
      <c r="E7975" s="7" t="n"/>
      <c r="F7975" s="7" t="n"/>
      <c r="G7975" s="7" t="n"/>
      <c r="H7975" s="7" t="n"/>
      <c r="I7975" s="7" t="n"/>
      <c r="J7975" s="7" t="n"/>
      <c r="K7975">
        <f>IF(D7975="Legitimate Interest (GDPR Art. 6(1)(f))", "Yes / Required (Sheet 3)", "")</f>
        <v/>
      </c>
      <c r="L7975" s="7" t="n"/>
      <c r="M7975" s="7" t="n"/>
      <c r="N7975">
        <f>IF(D7975="", "Gap - No Legal Basis", IF(AND(D7975="Consent (GDPR Art. 6(1)(a))", I7975="Not Captured"), "Gap - Invalid Consent", IF(AND(D7975="Legitimate Interest (GDPR Art. 6(1)(f))", L7975=""), "Gap - Missing LIA", IF(AND(G7975="Yes", H7975=""), "Gap - Missing Art. 9 Basis", IF(OR(I7975="Invalid - Not Freely Given", I7975="Invalid - Not Specific", I7975="Invalid - Not Informed", I7975="Invalid - Ambiguous"), "Gap - Invalid Consent", "Compliant")))))</f>
        <v/>
      </c>
      <c r="O7975" s="7" t="n"/>
    </row>
    <row r="7976">
      <c r="A7976" s="7" t="n"/>
      <c r="B7976" s="7" t="n"/>
      <c r="C7976" s="7" t="n"/>
      <c r="D7976" s="7" t="n"/>
      <c r="E7976" s="7" t="n"/>
      <c r="F7976" s="7" t="n"/>
      <c r="G7976" s="7" t="n"/>
      <c r="H7976" s="7" t="n"/>
      <c r="I7976" s="7" t="n"/>
      <c r="J7976" s="7" t="n"/>
      <c r="K7976">
        <f>IF(D7976="Legitimate Interest (GDPR Art. 6(1)(f))", "Yes / Required (Sheet 3)", "")</f>
        <v/>
      </c>
      <c r="L7976" s="7" t="n"/>
      <c r="M7976" s="7" t="n"/>
      <c r="N7976">
        <f>IF(D7976="", "Gap - No Legal Basis", IF(AND(D7976="Consent (GDPR Art. 6(1)(a))", I7976="Not Captured"), "Gap - Invalid Consent", IF(AND(D7976="Legitimate Interest (GDPR Art. 6(1)(f))", L7976=""), "Gap - Missing LIA", IF(AND(G7976="Yes", H7976=""), "Gap - Missing Art. 9 Basis", IF(OR(I7976="Invalid - Not Freely Given", I7976="Invalid - Not Specific", I7976="Invalid - Not Informed", I7976="Invalid - Ambiguous"), "Gap - Invalid Consent", "Compliant")))))</f>
        <v/>
      </c>
      <c r="O7976" s="7" t="n"/>
    </row>
    <row r="7977">
      <c r="A7977" s="7" t="n"/>
      <c r="B7977" s="7" t="n"/>
      <c r="C7977" s="7" t="n"/>
      <c r="D7977" s="7" t="n"/>
      <c r="E7977" s="7" t="n"/>
      <c r="F7977" s="7" t="n"/>
      <c r="G7977" s="7" t="n"/>
      <c r="H7977" s="7" t="n"/>
      <c r="I7977" s="7" t="n"/>
      <c r="J7977" s="7" t="n"/>
      <c r="K7977">
        <f>IF(D7977="Legitimate Interest (GDPR Art. 6(1)(f))", "Yes / Required (Sheet 3)", "")</f>
        <v/>
      </c>
      <c r="L7977" s="7" t="n"/>
      <c r="M7977" s="7" t="n"/>
      <c r="N7977">
        <f>IF(D7977="", "Gap - No Legal Basis", IF(AND(D7977="Consent (GDPR Art. 6(1)(a))", I7977="Not Captured"), "Gap - Invalid Consent", IF(AND(D7977="Legitimate Interest (GDPR Art. 6(1)(f))", L7977=""), "Gap - Missing LIA", IF(AND(G7977="Yes", H7977=""), "Gap - Missing Art. 9 Basis", IF(OR(I7977="Invalid - Not Freely Given", I7977="Invalid - Not Specific", I7977="Invalid - Not Informed", I7977="Invalid - Ambiguous"), "Gap - Invalid Consent", "Compliant")))))</f>
        <v/>
      </c>
      <c r="O7977" s="7" t="n"/>
    </row>
    <row r="7978">
      <c r="A7978" s="7" t="n"/>
      <c r="B7978" s="7" t="n"/>
      <c r="C7978" s="7" t="n"/>
      <c r="D7978" s="7" t="n"/>
      <c r="E7978" s="7" t="n"/>
      <c r="F7978" s="7" t="n"/>
      <c r="G7978" s="7" t="n"/>
      <c r="H7978" s="7" t="n"/>
      <c r="I7978" s="7" t="n"/>
      <c r="J7978" s="7" t="n"/>
      <c r="K7978">
        <f>IF(D7978="Legitimate Interest (GDPR Art. 6(1)(f))", "Yes / Required (Sheet 3)", "")</f>
        <v/>
      </c>
      <c r="L7978" s="7" t="n"/>
      <c r="M7978" s="7" t="n"/>
      <c r="N7978">
        <f>IF(D7978="", "Gap - No Legal Basis", IF(AND(D7978="Consent (GDPR Art. 6(1)(a))", I7978="Not Captured"), "Gap - Invalid Consent", IF(AND(D7978="Legitimate Interest (GDPR Art. 6(1)(f))", L7978=""), "Gap - Missing LIA", IF(AND(G7978="Yes", H7978=""), "Gap - Missing Art. 9 Basis", IF(OR(I7978="Invalid - Not Freely Given", I7978="Invalid - Not Specific", I7978="Invalid - Not Informed", I7978="Invalid - Ambiguous"), "Gap - Invalid Consent", "Compliant")))))</f>
        <v/>
      </c>
      <c r="O7978" s="7" t="n"/>
    </row>
    <row r="7979">
      <c r="A7979" s="7" t="n"/>
      <c r="B7979" s="7" t="n"/>
      <c r="C7979" s="7" t="n"/>
      <c r="D7979" s="7" t="n"/>
      <c r="E7979" s="7" t="n"/>
      <c r="F7979" s="7" t="n"/>
      <c r="G7979" s="7" t="n"/>
      <c r="H7979" s="7" t="n"/>
      <c r="I7979" s="7" t="n"/>
      <c r="J7979" s="7" t="n"/>
      <c r="K7979">
        <f>IF(D7979="Legitimate Interest (GDPR Art. 6(1)(f))", "Yes / Required (Sheet 3)", "")</f>
        <v/>
      </c>
      <c r="L7979" s="7" t="n"/>
      <c r="M7979" s="7" t="n"/>
      <c r="N7979">
        <f>IF(D7979="", "Gap - No Legal Basis", IF(AND(D7979="Consent (GDPR Art. 6(1)(a))", I7979="Not Captured"), "Gap - Invalid Consent", IF(AND(D7979="Legitimate Interest (GDPR Art. 6(1)(f))", L7979=""), "Gap - Missing LIA", IF(AND(G7979="Yes", H7979=""), "Gap - Missing Art. 9 Basis", IF(OR(I7979="Invalid - Not Freely Given", I7979="Invalid - Not Specific", I7979="Invalid - Not Informed", I7979="Invalid - Ambiguous"), "Gap - Invalid Consent", "Compliant")))))</f>
        <v/>
      </c>
      <c r="O7979" s="7" t="n"/>
    </row>
    <row r="7980">
      <c r="A7980" s="7" t="n"/>
      <c r="B7980" s="7" t="n"/>
      <c r="C7980" s="7" t="n"/>
      <c r="D7980" s="7" t="n"/>
      <c r="E7980" s="7" t="n"/>
      <c r="F7980" s="7" t="n"/>
      <c r="G7980" s="7" t="n"/>
      <c r="H7980" s="7" t="n"/>
      <c r="I7980" s="7" t="n"/>
      <c r="J7980" s="7" t="n"/>
      <c r="K7980">
        <f>IF(D7980="Legitimate Interest (GDPR Art. 6(1)(f))", "Yes / Required (Sheet 3)", "")</f>
        <v/>
      </c>
      <c r="L7980" s="7" t="n"/>
      <c r="M7980" s="7" t="n"/>
      <c r="N7980">
        <f>IF(D7980="", "Gap - No Legal Basis", IF(AND(D7980="Consent (GDPR Art. 6(1)(a))", I7980="Not Captured"), "Gap - Invalid Consent", IF(AND(D7980="Legitimate Interest (GDPR Art. 6(1)(f))", L7980=""), "Gap - Missing LIA", IF(AND(G7980="Yes", H7980=""), "Gap - Missing Art. 9 Basis", IF(OR(I7980="Invalid - Not Freely Given", I7980="Invalid - Not Specific", I7980="Invalid - Not Informed", I7980="Invalid - Ambiguous"), "Gap - Invalid Consent", "Compliant")))))</f>
        <v/>
      </c>
      <c r="O7980" s="7" t="n"/>
    </row>
    <row r="7981">
      <c r="A7981" s="7" t="n"/>
      <c r="B7981" s="7" t="n"/>
      <c r="C7981" s="7" t="n"/>
      <c r="D7981" s="7" t="n"/>
      <c r="E7981" s="7" t="n"/>
      <c r="F7981" s="7" t="n"/>
      <c r="G7981" s="7" t="n"/>
      <c r="H7981" s="7" t="n"/>
      <c r="I7981" s="7" t="n"/>
      <c r="J7981" s="7" t="n"/>
      <c r="K7981">
        <f>IF(D7981="Legitimate Interest (GDPR Art. 6(1)(f))", "Yes / Required (Sheet 3)", "")</f>
        <v/>
      </c>
      <c r="L7981" s="7" t="n"/>
      <c r="M7981" s="7" t="n"/>
      <c r="N7981">
        <f>IF(D7981="", "Gap - No Legal Basis", IF(AND(D7981="Consent (GDPR Art. 6(1)(a))", I7981="Not Captured"), "Gap - Invalid Consent", IF(AND(D7981="Legitimate Interest (GDPR Art. 6(1)(f))", L7981=""), "Gap - Missing LIA", IF(AND(G7981="Yes", H7981=""), "Gap - Missing Art. 9 Basis", IF(OR(I7981="Invalid - Not Freely Given", I7981="Invalid - Not Specific", I7981="Invalid - Not Informed", I7981="Invalid - Ambiguous"), "Gap - Invalid Consent", "Compliant")))))</f>
        <v/>
      </c>
      <c r="O7981" s="7" t="n"/>
    </row>
    <row r="7982">
      <c r="A7982" s="7" t="n"/>
      <c r="B7982" s="7" t="n"/>
      <c r="C7982" s="7" t="n"/>
      <c r="D7982" s="7" t="n"/>
      <c r="E7982" s="7" t="n"/>
      <c r="F7982" s="7" t="n"/>
      <c r="G7982" s="7" t="n"/>
      <c r="H7982" s="7" t="n"/>
      <c r="I7982" s="7" t="n"/>
      <c r="J7982" s="7" t="n"/>
      <c r="K7982">
        <f>IF(D7982="Legitimate Interest (GDPR Art. 6(1)(f))", "Yes / Required (Sheet 3)", "")</f>
        <v/>
      </c>
      <c r="L7982" s="7" t="n"/>
      <c r="M7982" s="7" t="n"/>
      <c r="N7982">
        <f>IF(D7982="", "Gap - No Legal Basis", IF(AND(D7982="Consent (GDPR Art. 6(1)(a))", I7982="Not Captured"), "Gap - Invalid Consent", IF(AND(D7982="Legitimate Interest (GDPR Art. 6(1)(f))", L7982=""), "Gap - Missing LIA", IF(AND(G7982="Yes", H7982=""), "Gap - Missing Art. 9 Basis", IF(OR(I7982="Invalid - Not Freely Given", I7982="Invalid - Not Specific", I7982="Invalid - Not Informed", I7982="Invalid - Ambiguous"), "Gap - Invalid Consent", "Compliant")))))</f>
        <v/>
      </c>
      <c r="O7982" s="7" t="n"/>
    </row>
    <row r="7983">
      <c r="A7983" s="7" t="n"/>
      <c r="B7983" s="7" t="n"/>
      <c r="C7983" s="7" t="n"/>
      <c r="D7983" s="7" t="n"/>
      <c r="E7983" s="7" t="n"/>
      <c r="F7983" s="7" t="n"/>
      <c r="G7983" s="7" t="n"/>
      <c r="H7983" s="7" t="n"/>
      <c r="I7983" s="7" t="n"/>
      <c r="J7983" s="7" t="n"/>
      <c r="K7983">
        <f>IF(D7983="Legitimate Interest (GDPR Art. 6(1)(f))", "Yes / Required (Sheet 3)", "")</f>
        <v/>
      </c>
      <c r="L7983" s="7" t="n"/>
      <c r="M7983" s="7" t="n"/>
      <c r="N7983">
        <f>IF(D7983="", "Gap - No Legal Basis", IF(AND(D7983="Consent (GDPR Art. 6(1)(a))", I7983="Not Captured"), "Gap - Invalid Consent", IF(AND(D7983="Legitimate Interest (GDPR Art. 6(1)(f))", L7983=""), "Gap - Missing LIA", IF(AND(G7983="Yes", H7983=""), "Gap - Missing Art. 9 Basis", IF(OR(I7983="Invalid - Not Freely Given", I7983="Invalid - Not Specific", I7983="Invalid - Not Informed", I7983="Invalid - Ambiguous"), "Gap - Invalid Consent", "Compliant")))))</f>
        <v/>
      </c>
      <c r="O7983" s="7" t="n"/>
    </row>
    <row r="7984">
      <c r="A7984" s="7" t="n"/>
      <c r="B7984" s="7" t="n"/>
      <c r="C7984" s="7" t="n"/>
      <c r="D7984" s="7" t="n"/>
      <c r="E7984" s="7" t="n"/>
      <c r="F7984" s="7" t="n"/>
      <c r="G7984" s="7" t="n"/>
      <c r="H7984" s="7" t="n"/>
      <c r="I7984" s="7" t="n"/>
      <c r="J7984" s="7" t="n"/>
      <c r="K7984">
        <f>IF(D7984="Legitimate Interest (GDPR Art. 6(1)(f))", "Yes / Required (Sheet 3)", "")</f>
        <v/>
      </c>
      <c r="L7984" s="7" t="n"/>
      <c r="M7984" s="7" t="n"/>
      <c r="N7984">
        <f>IF(D7984="", "Gap - No Legal Basis", IF(AND(D7984="Consent (GDPR Art. 6(1)(a))", I7984="Not Captured"), "Gap - Invalid Consent", IF(AND(D7984="Legitimate Interest (GDPR Art. 6(1)(f))", L7984=""), "Gap - Missing LIA", IF(AND(G7984="Yes", H7984=""), "Gap - Missing Art. 9 Basis", IF(OR(I7984="Invalid - Not Freely Given", I7984="Invalid - Not Specific", I7984="Invalid - Not Informed", I7984="Invalid - Ambiguous"), "Gap - Invalid Consent", "Compliant")))))</f>
        <v/>
      </c>
      <c r="O7984" s="7" t="n"/>
    </row>
    <row r="7985">
      <c r="A7985" s="7" t="n"/>
      <c r="B7985" s="7" t="n"/>
      <c r="C7985" s="7" t="n"/>
      <c r="D7985" s="7" t="n"/>
      <c r="E7985" s="7" t="n"/>
      <c r="F7985" s="7" t="n"/>
      <c r="G7985" s="7" t="n"/>
      <c r="H7985" s="7" t="n"/>
      <c r="I7985" s="7" t="n"/>
      <c r="J7985" s="7" t="n"/>
      <c r="K7985">
        <f>IF(D7985="Legitimate Interest (GDPR Art. 6(1)(f))", "Yes / Required (Sheet 3)", "")</f>
        <v/>
      </c>
      <c r="L7985" s="7" t="n"/>
      <c r="M7985" s="7" t="n"/>
      <c r="N7985">
        <f>IF(D7985="", "Gap - No Legal Basis", IF(AND(D7985="Consent (GDPR Art. 6(1)(a))", I7985="Not Captured"), "Gap - Invalid Consent", IF(AND(D7985="Legitimate Interest (GDPR Art. 6(1)(f))", L7985=""), "Gap - Missing LIA", IF(AND(G7985="Yes", H7985=""), "Gap - Missing Art. 9 Basis", IF(OR(I7985="Invalid - Not Freely Given", I7985="Invalid - Not Specific", I7985="Invalid - Not Informed", I7985="Invalid - Ambiguous"), "Gap - Invalid Consent", "Compliant")))))</f>
        <v/>
      </c>
      <c r="O7985" s="7" t="n"/>
    </row>
    <row r="7986">
      <c r="A7986" s="7" t="n"/>
      <c r="B7986" s="7" t="n"/>
      <c r="C7986" s="7" t="n"/>
      <c r="D7986" s="7" t="n"/>
      <c r="E7986" s="7" t="n"/>
      <c r="F7986" s="7" t="n"/>
      <c r="G7986" s="7" t="n"/>
      <c r="H7986" s="7" t="n"/>
      <c r="I7986" s="7" t="n"/>
      <c r="J7986" s="7" t="n"/>
      <c r="K7986">
        <f>IF(D7986="Legitimate Interest (GDPR Art. 6(1)(f))", "Yes / Required (Sheet 3)", "")</f>
        <v/>
      </c>
      <c r="L7986" s="7" t="n"/>
      <c r="M7986" s="7" t="n"/>
      <c r="N7986">
        <f>IF(D7986="", "Gap - No Legal Basis", IF(AND(D7986="Consent (GDPR Art. 6(1)(a))", I7986="Not Captured"), "Gap - Invalid Consent", IF(AND(D7986="Legitimate Interest (GDPR Art. 6(1)(f))", L7986=""), "Gap - Missing LIA", IF(AND(G7986="Yes", H7986=""), "Gap - Missing Art. 9 Basis", IF(OR(I7986="Invalid - Not Freely Given", I7986="Invalid - Not Specific", I7986="Invalid - Not Informed", I7986="Invalid - Ambiguous"), "Gap - Invalid Consent", "Compliant")))))</f>
        <v/>
      </c>
      <c r="O7986" s="7" t="n"/>
    </row>
    <row r="7987">
      <c r="A7987" s="7" t="n"/>
      <c r="B7987" s="7" t="n"/>
      <c r="C7987" s="7" t="n"/>
      <c r="D7987" s="7" t="n"/>
      <c r="E7987" s="7" t="n"/>
      <c r="F7987" s="7" t="n"/>
      <c r="G7987" s="7" t="n"/>
      <c r="H7987" s="7" t="n"/>
      <c r="I7987" s="7" t="n"/>
      <c r="J7987" s="7" t="n"/>
      <c r="K7987">
        <f>IF(D7987="Legitimate Interest (GDPR Art. 6(1)(f))", "Yes / Required (Sheet 3)", "")</f>
        <v/>
      </c>
      <c r="L7987" s="7" t="n"/>
      <c r="M7987" s="7" t="n"/>
      <c r="N7987">
        <f>IF(D7987="", "Gap - No Legal Basis", IF(AND(D7987="Consent (GDPR Art. 6(1)(a))", I7987="Not Captured"), "Gap - Invalid Consent", IF(AND(D7987="Legitimate Interest (GDPR Art. 6(1)(f))", L7987=""), "Gap - Missing LIA", IF(AND(G7987="Yes", H7987=""), "Gap - Missing Art. 9 Basis", IF(OR(I7987="Invalid - Not Freely Given", I7987="Invalid - Not Specific", I7987="Invalid - Not Informed", I7987="Invalid - Ambiguous"), "Gap - Invalid Consent", "Compliant")))))</f>
        <v/>
      </c>
      <c r="O7987" s="7" t="n"/>
    </row>
    <row r="7988">
      <c r="A7988" s="7" t="n"/>
      <c r="B7988" s="7" t="n"/>
      <c r="C7988" s="7" t="n"/>
      <c r="D7988" s="7" t="n"/>
      <c r="E7988" s="7" t="n"/>
      <c r="F7988" s="7" t="n"/>
      <c r="G7988" s="7" t="n"/>
      <c r="H7988" s="7" t="n"/>
      <c r="I7988" s="7" t="n"/>
      <c r="J7988" s="7" t="n"/>
      <c r="K7988">
        <f>IF(D7988="Legitimate Interest (GDPR Art. 6(1)(f))", "Yes / Required (Sheet 3)", "")</f>
        <v/>
      </c>
      <c r="L7988" s="7" t="n"/>
      <c r="M7988" s="7" t="n"/>
      <c r="N7988">
        <f>IF(D7988="", "Gap - No Legal Basis", IF(AND(D7988="Consent (GDPR Art. 6(1)(a))", I7988="Not Captured"), "Gap - Invalid Consent", IF(AND(D7988="Legitimate Interest (GDPR Art. 6(1)(f))", L7988=""), "Gap - Missing LIA", IF(AND(G7988="Yes", H7988=""), "Gap - Missing Art. 9 Basis", IF(OR(I7988="Invalid - Not Freely Given", I7988="Invalid - Not Specific", I7988="Invalid - Not Informed", I7988="Invalid - Ambiguous"), "Gap - Invalid Consent", "Compliant")))))</f>
        <v/>
      </c>
      <c r="O7988" s="7" t="n"/>
    </row>
    <row r="7989">
      <c r="A7989" s="7" t="n"/>
      <c r="B7989" s="7" t="n"/>
      <c r="C7989" s="7" t="n"/>
      <c r="D7989" s="7" t="n"/>
      <c r="E7989" s="7" t="n"/>
      <c r="F7989" s="7" t="n"/>
      <c r="G7989" s="7" t="n"/>
      <c r="H7989" s="7" t="n"/>
      <c r="I7989" s="7" t="n"/>
      <c r="J7989" s="7" t="n"/>
      <c r="K7989">
        <f>IF(D7989="Legitimate Interest (GDPR Art. 6(1)(f))", "Yes / Required (Sheet 3)", "")</f>
        <v/>
      </c>
      <c r="L7989" s="7" t="n"/>
      <c r="M7989" s="7" t="n"/>
      <c r="N7989">
        <f>IF(D7989="", "Gap - No Legal Basis", IF(AND(D7989="Consent (GDPR Art. 6(1)(a))", I7989="Not Captured"), "Gap - Invalid Consent", IF(AND(D7989="Legitimate Interest (GDPR Art. 6(1)(f))", L7989=""), "Gap - Missing LIA", IF(AND(G7989="Yes", H7989=""), "Gap - Missing Art. 9 Basis", IF(OR(I7989="Invalid - Not Freely Given", I7989="Invalid - Not Specific", I7989="Invalid - Not Informed", I7989="Invalid - Ambiguous"), "Gap - Invalid Consent", "Compliant")))))</f>
        <v/>
      </c>
      <c r="O7989" s="7" t="n"/>
    </row>
    <row r="7990">
      <c r="A7990" s="7" t="n"/>
      <c r="B7990" s="7" t="n"/>
      <c r="C7990" s="7" t="n"/>
      <c r="D7990" s="7" t="n"/>
      <c r="E7990" s="7" t="n"/>
      <c r="F7990" s="7" t="n"/>
      <c r="G7990" s="7" t="n"/>
      <c r="H7990" s="7" t="n"/>
      <c r="I7990" s="7" t="n"/>
      <c r="J7990" s="7" t="n"/>
      <c r="K7990">
        <f>IF(D7990="Legitimate Interest (GDPR Art. 6(1)(f))", "Yes / Required (Sheet 3)", "")</f>
        <v/>
      </c>
      <c r="L7990" s="7" t="n"/>
      <c r="M7990" s="7" t="n"/>
      <c r="N7990">
        <f>IF(D7990="", "Gap - No Legal Basis", IF(AND(D7990="Consent (GDPR Art. 6(1)(a))", I7990="Not Captured"), "Gap - Invalid Consent", IF(AND(D7990="Legitimate Interest (GDPR Art. 6(1)(f))", L7990=""), "Gap - Missing LIA", IF(AND(G7990="Yes", H7990=""), "Gap - Missing Art. 9 Basis", IF(OR(I7990="Invalid - Not Freely Given", I7990="Invalid - Not Specific", I7990="Invalid - Not Informed", I7990="Invalid - Ambiguous"), "Gap - Invalid Consent", "Compliant")))))</f>
        <v/>
      </c>
      <c r="O7990" s="7" t="n"/>
    </row>
    <row r="7991">
      <c r="A7991" s="7" t="n"/>
      <c r="B7991" s="7" t="n"/>
      <c r="C7991" s="7" t="n"/>
      <c r="D7991" s="7" t="n"/>
      <c r="E7991" s="7" t="n"/>
      <c r="F7991" s="7" t="n"/>
      <c r="G7991" s="7" t="n"/>
      <c r="H7991" s="7" t="n"/>
      <c r="I7991" s="7" t="n"/>
      <c r="J7991" s="7" t="n"/>
      <c r="K7991">
        <f>IF(D7991="Legitimate Interest (GDPR Art. 6(1)(f))", "Yes / Required (Sheet 3)", "")</f>
        <v/>
      </c>
      <c r="L7991" s="7" t="n"/>
      <c r="M7991" s="7" t="n"/>
      <c r="N7991">
        <f>IF(D7991="", "Gap - No Legal Basis", IF(AND(D7991="Consent (GDPR Art. 6(1)(a))", I7991="Not Captured"), "Gap - Invalid Consent", IF(AND(D7991="Legitimate Interest (GDPR Art. 6(1)(f))", L7991=""), "Gap - Missing LIA", IF(AND(G7991="Yes", H7991=""), "Gap - Missing Art. 9 Basis", IF(OR(I7991="Invalid - Not Freely Given", I7991="Invalid - Not Specific", I7991="Invalid - Not Informed", I7991="Invalid - Ambiguous"), "Gap - Invalid Consent", "Compliant")))))</f>
        <v/>
      </c>
      <c r="O7991" s="7" t="n"/>
    </row>
    <row r="7992">
      <c r="A7992" s="7" t="n"/>
      <c r="B7992" s="7" t="n"/>
      <c r="C7992" s="7" t="n"/>
      <c r="D7992" s="7" t="n"/>
      <c r="E7992" s="7" t="n"/>
      <c r="F7992" s="7" t="n"/>
      <c r="G7992" s="7" t="n"/>
      <c r="H7992" s="7" t="n"/>
      <c r="I7992" s="7" t="n"/>
      <c r="J7992" s="7" t="n"/>
      <c r="K7992">
        <f>IF(D7992="Legitimate Interest (GDPR Art. 6(1)(f))", "Yes / Required (Sheet 3)", "")</f>
        <v/>
      </c>
      <c r="L7992" s="7" t="n"/>
      <c r="M7992" s="7" t="n"/>
      <c r="N7992">
        <f>IF(D7992="", "Gap - No Legal Basis", IF(AND(D7992="Consent (GDPR Art. 6(1)(a))", I7992="Not Captured"), "Gap - Invalid Consent", IF(AND(D7992="Legitimate Interest (GDPR Art. 6(1)(f))", L7992=""), "Gap - Missing LIA", IF(AND(G7992="Yes", H7992=""), "Gap - Missing Art. 9 Basis", IF(OR(I7992="Invalid - Not Freely Given", I7992="Invalid - Not Specific", I7992="Invalid - Not Informed", I7992="Invalid - Ambiguous"), "Gap - Invalid Consent", "Compliant")))))</f>
        <v/>
      </c>
      <c r="O7992" s="7" t="n"/>
    </row>
    <row r="7993">
      <c r="A7993" s="7" t="n"/>
      <c r="B7993" s="7" t="n"/>
      <c r="C7993" s="7" t="n"/>
      <c r="D7993" s="7" t="n"/>
      <c r="E7993" s="7" t="n"/>
      <c r="F7993" s="7" t="n"/>
      <c r="G7993" s="7" t="n"/>
      <c r="H7993" s="7" t="n"/>
      <c r="I7993" s="7" t="n"/>
      <c r="J7993" s="7" t="n"/>
      <c r="K7993">
        <f>IF(D7993="Legitimate Interest (GDPR Art. 6(1)(f))", "Yes / Required (Sheet 3)", "")</f>
        <v/>
      </c>
      <c r="L7993" s="7" t="n"/>
      <c r="M7993" s="7" t="n"/>
      <c r="N7993">
        <f>IF(D7993="", "Gap - No Legal Basis", IF(AND(D7993="Consent (GDPR Art. 6(1)(a))", I7993="Not Captured"), "Gap - Invalid Consent", IF(AND(D7993="Legitimate Interest (GDPR Art. 6(1)(f))", L7993=""), "Gap - Missing LIA", IF(AND(G7993="Yes", H7993=""), "Gap - Missing Art. 9 Basis", IF(OR(I7993="Invalid - Not Freely Given", I7993="Invalid - Not Specific", I7993="Invalid - Not Informed", I7993="Invalid - Ambiguous"), "Gap - Invalid Consent", "Compliant")))))</f>
        <v/>
      </c>
      <c r="O7993" s="7" t="n"/>
    </row>
    <row r="7994">
      <c r="A7994" s="7" t="n"/>
      <c r="B7994" s="7" t="n"/>
      <c r="C7994" s="7" t="n"/>
      <c r="D7994" s="7" t="n"/>
      <c r="E7994" s="7" t="n"/>
      <c r="F7994" s="7" t="n"/>
      <c r="G7994" s="7" t="n"/>
      <c r="H7994" s="7" t="n"/>
      <c r="I7994" s="7" t="n"/>
      <c r="J7994" s="7" t="n"/>
      <c r="K7994">
        <f>IF(D7994="Legitimate Interest (GDPR Art. 6(1)(f))", "Yes / Required (Sheet 3)", "")</f>
        <v/>
      </c>
      <c r="L7994" s="7" t="n"/>
      <c r="M7994" s="7" t="n"/>
      <c r="N7994">
        <f>IF(D7994="", "Gap - No Legal Basis", IF(AND(D7994="Consent (GDPR Art. 6(1)(a))", I7994="Not Captured"), "Gap - Invalid Consent", IF(AND(D7994="Legitimate Interest (GDPR Art. 6(1)(f))", L7994=""), "Gap - Missing LIA", IF(AND(G7994="Yes", H7994=""), "Gap - Missing Art. 9 Basis", IF(OR(I7994="Invalid - Not Freely Given", I7994="Invalid - Not Specific", I7994="Invalid - Not Informed", I7994="Invalid - Ambiguous"), "Gap - Invalid Consent", "Compliant")))))</f>
        <v/>
      </c>
      <c r="O7994" s="7" t="n"/>
    </row>
    <row r="7995">
      <c r="A7995" s="7" t="n"/>
      <c r="B7995" s="7" t="n"/>
      <c r="C7995" s="7" t="n"/>
      <c r="D7995" s="7" t="n"/>
      <c r="E7995" s="7" t="n"/>
      <c r="F7995" s="7" t="n"/>
      <c r="G7995" s="7" t="n"/>
      <c r="H7995" s="7" t="n"/>
      <c r="I7995" s="7" t="n"/>
      <c r="J7995" s="7" t="n"/>
      <c r="K7995">
        <f>IF(D7995="Legitimate Interest (GDPR Art. 6(1)(f))", "Yes / Required (Sheet 3)", "")</f>
        <v/>
      </c>
      <c r="L7995" s="7" t="n"/>
      <c r="M7995" s="7" t="n"/>
      <c r="N7995">
        <f>IF(D7995="", "Gap - No Legal Basis", IF(AND(D7995="Consent (GDPR Art. 6(1)(a))", I7995="Not Captured"), "Gap - Invalid Consent", IF(AND(D7995="Legitimate Interest (GDPR Art. 6(1)(f))", L7995=""), "Gap - Missing LIA", IF(AND(G7995="Yes", H7995=""), "Gap - Missing Art. 9 Basis", IF(OR(I7995="Invalid - Not Freely Given", I7995="Invalid - Not Specific", I7995="Invalid - Not Informed", I7995="Invalid - Ambiguous"), "Gap - Invalid Consent", "Compliant")))))</f>
        <v/>
      </c>
      <c r="O7995" s="7" t="n"/>
    </row>
    <row r="7996">
      <c r="A7996" s="7" t="n"/>
      <c r="B7996" s="7" t="n"/>
      <c r="C7996" s="7" t="n"/>
      <c r="D7996" s="7" t="n"/>
      <c r="E7996" s="7" t="n"/>
      <c r="F7996" s="7" t="n"/>
      <c r="G7996" s="7" t="n"/>
      <c r="H7996" s="7" t="n"/>
      <c r="I7996" s="7" t="n"/>
      <c r="J7996" s="7" t="n"/>
      <c r="K7996">
        <f>IF(D7996="Legitimate Interest (GDPR Art. 6(1)(f))", "Yes / Required (Sheet 3)", "")</f>
        <v/>
      </c>
      <c r="L7996" s="7" t="n"/>
      <c r="M7996" s="7" t="n"/>
      <c r="N7996">
        <f>IF(D7996="", "Gap - No Legal Basis", IF(AND(D7996="Consent (GDPR Art. 6(1)(a))", I7996="Not Captured"), "Gap - Invalid Consent", IF(AND(D7996="Legitimate Interest (GDPR Art. 6(1)(f))", L7996=""), "Gap - Missing LIA", IF(AND(G7996="Yes", H7996=""), "Gap - Missing Art. 9 Basis", IF(OR(I7996="Invalid - Not Freely Given", I7996="Invalid - Not Specific", I7996="Invalid - Not Informed", I7996="Invalid - Ambiguous"), "Gap - Invalid Consent", "Compliant")))))</f>
        <v/>
      </c>
      <c r="O7996" s="7" t="n"/>
    </row>
    <row r="7997">
      <c r="A7997" s="7" t="n"/>
      <c r="B7997" s="7" t="n"/>
      <c r="C7997" s="7" t="n"/>
      <c r="D7997" s="7" t="n"/>
      <c r="E7997" s="7" t="n"/>
      <c r="F7997" s="7" t="n"/>
      <c r="G7997" s="7" t="n"/>
      <c r="H7997" s="7" t="n"/>
      <c r="I7997" s="7" t="n"/>
      <c r="J7997" s="7" t="n"/>
      <c r="K7997">
        <f>IF(D7997="Legitimate Interest (GDPR Art. 6(1)(f))", "Yes / Required (Sheet 3)", "")</f>
        <v/>
      </c>
      <c r="L7997" s="7" t="n"/>
      <c r="M7997" s="7" t="n"/>
      <c r="N7997">
        <f>IF(D7997="", "Gap - No Legal Basis", IF(AND(D7997="Consent (GDPR Art. 6(1)(a))", I7997="Not Captured"), "Gap - Invalid Consent", IF(AND(D7997="Legitimate Interest (GDPR Art. 6(1)(f))", L7997=""), "Gap - Missing LIA", IF(AND(G7997="Yes", H7997=""), "Gap - Missing Art. 9 Basis", IF(OR(I7997="Invalid - Not Freely Given", I7997="Invalid - Not Specific", I7997="Invalid - Not Informed", I7997="Invalid - Ambiguous"), "Gap - Invalid Consent", "Compliant")))))</f>
        <v/>
      </c>
      <c r="O7997" s="7" t="n"/>
    </row>
    <row r="7998">
      <c r="A7998" s="7" t="n"/>
      <c r="B7998" s="7" t="n"/>
      <c r="C7998" s="7" t="n"/>
      <c r="D7998" s="7" t="n"/>
      <c r="E7998" s="7" t="n"/>
      <c r="F7998" s="7" t="n"/>
      <c r="G7998" s="7" t="n"/>
      <c r="H7998" s="7" t="n"/>
      <c r="I7998" s="7" t="n"/>
      <c r="J7998" s="7" t="n"/>
      <c r="K7998">
        <f>IF(D7998="Legitimate Interest (GDPR Art. 6(1)(f))", "Yes / Required (Sheet 3)", "")</f>
        <v/>
      </c>
      <c r="L7998" s="7" t="n"/>
      <c r="M7998" s="7" t="n"/>
      <c r="N7998">
        <f>IF(D7998="", "Gap - No Legal Basis", IF(AND(D7998="Consent (GDPR Art. 6(1)(a))", I7998="Not Captured"), "Gap - Invalid Consent", IF(AND(D7998="Legitimate Interest (GDPR Art. 6(1)(f))", L7998=""), "Gap - Missing LIA", IF(AND(G7998="Yes", H7998=""), "Gap - Missing Art. 9 Basis", IF(OR(I7998="Invalid - Not Freely Given", I7998="Invalid - Not Specific", I7998="Invalid - Not Informed", I7998="Invalid - Ambiguous"), "Gap - Invalid Consent", "Compliant")))))</f>
        <v/>
      </c>
      <c r="O7998" s="7" t="n"/>
    </row>
    <row r="7999">
      <c r="A7999" s="7" t="n"/>
      <c r="B7999" s="7" t="n"/>
      <c r="C7999" s="7" t="n"/>
      <c r="D7999" s="7" t="n"/>
      <c r="E7999" s="7" t="n"/>
      <c r="F7999" s="7" t="n"/>
      <c r="G7999" s="7" t="n"/>
      <c r="H7999" s="7" t="n"/>
      <c r="I7999" s="7" t="n"/>
      <c r="J7999" s="7" t="n"/>
      <c r="K7999">
        <f>IF(D7999="Legitimate Interest (GDPR Art. 6(1)(f))", "Yes / Required (Sheet 3)", "")</f>
        <v/>
      </c>
      <c r="L7999" s="7" t="n"/>
      <c r="M7999" s="7" t="n"/>
      <c r="N7999">
        <f>IF(D7999="", "Gap - No Legal Basis", IF(AND(D7999="Consent (GDPR Art. 6(1)(a))", I7999="Not Captured"), "Gap - Invalid Consent", IF(AND(D7999="Legitimate Interest (GDPR Art. 6(1)(f))", L7999=""), "Gap - Missing LIA", IF(AND(G7999="Yes", H7999=""), "Gap - Missing Art. 9 Basis", IF(OR(I7999="Invalid - Not Freely Given", I7999="Invalid - Not Specific", I7999="Invalid - Not Informed", I7999="Invalid - Ambiguous"), "Gap - Invalid Consent", "Compliant")))))</f>
        <v/>
      </c>
      <c r="O7999" s="7" t="n"/>
    </row>
    <row r="8000">
      <c r="A8000" s="7" t="n"/>
      <c r="B8000" s="7" t="n"/>
      <c r="C8000" s="7" t="n"/>
      <c r="D8000" s="7" t="n"/>
      <c r="E8000" s="7" t="n"/>
      <c r="F8000" s="7" t="n"/>
      <c r="G8000" s="7" t="n"/>
      <c r="H8000" s="7" t="n"/>
      <c r="I8000" s="7" t="n"/>
      <c r="J8000" s="7" t="n"/>
      <c r="K8000">
        <f>IF(D8000="Legitimate Interest (GDPR Art. 6(1)(f))", "Yes / Required (Sheet 3)", "")</f>
        <v/>
      </c>
      <c r="L8000" s="7" t="n"/>
      <c r="M8000" s="7" t="n"/>
      <c r="N8000">
        <f>IF(D8000="", "Gap - No Legal Basis", IF(AND(D8000="Consent (GDPR Art. 6(1)(a))", I8000="Not Captured"), "Gap - Invalid Consent", IF(AND(D8000="Legitimate Interest (GDPR Art. 6(1)(f))", L8000=""), "Gap - Missing LIA", IF(AND(G8000="Yes", H8000=""), "Gap - Missing Art. 9 Basis", IF(OR(I8000="Invalid - Not Freely Given", I8000="Invalid - Not Specific", I8000="Invalid - Not Informed", I8000="Invalid - Ambiguous"), "Gap - Invalid Consent", "Compliant")))))</f>
        <v/>
      </c>
      <c r="O8000" s="7" t="n"/>
    </row>
    <row r="8001">
      <c r="A8001" s="7" t="n"/>
      <c r="B8001" s="7" t="n"/>
      <c r="C8001" s="7" t="n"/>
      <c r="D8001" s="7" t="n"/>
      <c r="E8001" s="7" t="n"/>
      <c r="F8001" s="7" t="n"/>
      <c r="G8001" s="7" t="n"/>
      <c r="H8001" s="7" t="n"/>
      <c r="I8001" s="7" t="n"/>
      <c r="J8001" s="7" t="n"/>
      <c r="K8001">
        <f>IF(D8001="Legitimate Interest (GDPR Art. 6(1)(f))", "Yes / Required (Sheet 3)", "")</f>
        <v/>
      </c>
      <c r="L8001" s="7" t="n"/>
      <c r="M8001" s="7" t="n"/>
      <c r="N8001">
        <f>IF(D8001="", "Gap - No Legal Basis", IF(AND(D8001="Consent (GDPR Art. 6(1)(a))", I8001="Not Captured"), "Gap - Invalid Consent", IF(AND(D8001="Legitimate Interest (GDPR Art. 6(1)(f))", L8001=""), "Gap - Missing LIA", IF(AND(G8001="Yes", H8001=""), "Gap - Missing Art. 9 Basis", IF(OR(I8001="Invalid - Not Freely Given", I8001="Invalid - Not Specific", I8001="Invalid - Not Informed", I8001="Invalid - Ambiguous"), "Gap - Invalid Consent", "Compliant")))))</f>
        <v/>
      </c>
      <c r="O8001" s="7" t="n"/>
    </row>
    <row r="8002">
      <c r="A8002" s="7" t="n"/>
      <c r="B8002" s="7" t="n"/>
      <c r="C8002" s="7" t="n"/>
      <c r="D8002" s="7" t="n"/>
      <c r="E8002" s="7" t="n"/>
      <c r="F8002" s="7" t="n"/>
      <c r="G8002" s="7" t="n"/>
      <c r="H8002" s="7" t="n"/>
      <c r="I8002" s="7" t="n"/>
      <c r="J8002" s="7" t="n"/>
      <c r="K8002">
        <f>IF(D8002="Legitimate Interest (GDPR Art. 6(1)(f))", "Yes / Required (Sheet 3)", "")</f>
        <v/>
      </c>
      <c r="L8002" s="7" t="n"/>
      <c r="M8002" s="7" t="n"/>
      <c r="N8002">
        <f>IF(D8002="", "Gap - No Legal Basis", IF(AND(D8002="Consent (GDPR Art. 6(1)(a))", I8002="Not Captured"), "Gap - Invalid Consent", IF(AND(D8002="Legitimate Interest (GDPR Art. 6(1)(f))", L8002=""), "Gap - Missing LIA", IF(AND(G8002="Yes", H8002=""), "Gap - Missing Art. 9 Basis", IF(OR(I8002="Invalid - Not Freely Given", I8002="Invalid - Not Specific", I8002="Invalid - Not Informed", I8002="Invalid - Ambiguous"), "Gap - Invalid Consent", "Compliant")))))</f>
        <v/>
      </c>
      <c r="O8002" s="7" t="n"/>
    </row>
    <row r="8003">
      <c r="A8003" s="7" t="n"/>
      <c r="B8003" s="7" t="n"/>
      <c r="C8003" s="7" t="n"/>
      <c r="D8003" s="7" t="n"/>
      <c r="E8003" s="7" t="n"/>
      <c r="F8003" s="7" t="n"/>
      <c r="G8003" s="7" t="n"/>
      <c r="H8003" s="7" t="n"/>
      <c r="I8003" s="7" t="n"/>
      <c r="J8003" s="7" t="n"/>
      <c r="K8003">
        <f>IF(D8003="Legitimate Interest (GDPR Art. 6(1)(f))", "Yes / Required (Sheet 3)", "")</f>
        <v/>
      </c>
      <c r="L8003" s="7" t="n"/>
      <c r="M8003" s="7" t="n"/>
      <c r="N8003">
        <f>IF(D8003="", "Gap - No Legal Basis", IF(AND(D8003="Consent (GDPR Art. 6(1)(a))", I8003="Not Captured"), "Gap - Invalid Consent", IF(AND(D8003="Legitimate Interest (GDPR Art. 6(1)(f))", L8003=""), "Gap - Missing LIA", IF(AND(G8003="Yes", H8003=""), "Gap - Missing Art. 9 Basis", IF(OR(I8003="Invalid - Not Freely Given", I8003="Invalid - Not Specific", I8003="Invalid - Not Informed", I8003="Invalid - Ambiguous"), "Gap - Invalid Consent", "Compliant")))))</f>
        <v/>
      </c>
      <c r="O8003" s="7" t="n"/>
    </row>
    <row r="8004">
      <c r="A8004" s="7" t="n"/>
      <c r="B8004" s="7" t="n"/>
      <c r="C8004" s="7" t="n"/>
      <c r="D8004" s="7" t="n"/>
      <c r="E8004" s="7" t="n"/>
      <c r="F8004" s="7" t="n"/>
      <c r="G8004" s="7" t="n"/>
      <c r="H8004" s="7" t="n"/>
      <c r="I8004" s="7" t="n"/>
      <c r="J8004" s="7" t="n"/>
      <c r="K8004">
        <f>IF(D8004="Legitimate Interest (GDPR Art. 6(1)(f))", "Yes / Required (Sheet 3)", "")</f>
        <v/>
      </c>
      <c r="L8004" s="7" t="n"/>
      <c r="M8004" s="7" t="n"/>
      <c r="N8004">
        <f>IF(D8004="", "Gap - No Legal Basis", IF(AND(D8004="Consent (GDPR Art. 6(1)(a))", I8004="Not Captured"), "Gap - Invalid Consent", IF(AND(D8004="Legitimate Interest (GDPR Art. 6(1)(f))", L8004=""), "Gap - Missing LIA", IF(AND(G8004="Yes", H8004=""), "Gap - Missing Art. 9 Basis", IF(OR(I8004="Invalid - Not Freely Given", I8004="Invalid - Not Specific", I8004="Invalid - Not Informed", I8004="Invalid - Ambiguous"), "Gap - Invalid Consent", "Compliant")))))</f>
        <v/>
      </c>
      <c r="O8004" s="7" t="n"/>
    </row>
    <row r="8005">
      <c r="A8005" s="7" t="n"/>
      <c r="B8005" s="7" t="n"/>
      <c r="C8005" s="7" t="n"/>
      <c r="D8005" s="7" t="n"/>
      <c r="E8005" s="7" t="n"/>
      <c r="F8005" s="7" t="n"/>
      <c r="G8005" s="7" t="n"/>
      <c r="H8005" s="7" t="n"/>
      <c r="I8005" s="7" t="n"/>
      <c r="J8005" s="7" t="n"/>
      <c r="K8005">
        <f>IF(D8005="Legitimate Interest (GDPR Art. 6(1)(f))", "Yes / Required (Sheet 3)", "")</f>
        <v/>
      </c>
      <c r="L8005" s="7" t="n"/>
      <c r="M8005" s="7" t="n"/>
      <c r="N8005">
        <f>IF(D8005="", "Gap - No Legal Basis", IF(AND(D8005="Consent (GDPR Art. 6(1)(a))", I8005="Not Captured"), "Gap - Invalid Consent", IF(AND(D8005="Legitimate Interest (GDPR Art. 6(1)(f))", L8005=""), "Gap - Missing LIA", IF(AND(G8005="Yes", H8005=""), "Gap - Missing Art. 9 Basis", IF(OR(I8005="Invalid - Not Freely Given", I8005="Invalid - Not Specific", I8005="Invalid - Not Informed", I8005="Invalid - Ambiguous"), "Gap - Invalid Consent", "Compliant")))))</f>
        <v/>
      </c>
      <c r="O8005" s="7" t="n"/>
    </row>
    <row r="8006">
      <c r="A8006" s="7" t="n"/>
      <c r="B8006" s="7" t="n"/>
      <c r="C8006" s="7" t="n"/>
      <c r="D8006" s="7" t="n"/>
      <c r="E8006" s="7" t="n"/>
      <c r="F8006" s="7" t="n"/>
      <c r="G8006" s="7" t="n"/>
      <c r="H8006" s="7" t="n"/>
      <c r="I8006" s="7" t="n"/>
      <c r="J8006" s="7" t="n"/>
      <c r="K8006">
        <f>IF(D8006="Legitimate Interest (GDPR Art. 6(1)(f))", "Yes / Required (Sheet 3)", "")</f>
        <v/>
      </c>
      <c r="L8006" s="7" t="n"/>
      <c r="M8006" s="7" t="n"/>
      <c r="N8006">
        <f>IF(D8006="", "Gap - No Legal Basis", IF(AND(D8006="Consent (GDPR Art. 6(1)(a))", I8006="Not Captured"), "Gap - Invalid Consent", IF(AND(D8006="Legitimate Interest (GDPR Art. 6(1)(f))", L8006=""), "Gap - Missing LIA", IF(AND(G8006="Yes", H8006=""), "Gap - Missing Art. 9 Basis", IF(OR(I8006="Invalid - Not Freely Given", I8006="Invalid - Not Specific", I8006="Invalid - Not Informed", I8006="Invalid - Ambiguous"), "Gap - Invalid Consent", "Compliant")))))</f>
        <v/>
      </c>
      <c r="O8006" s="7" t="n"/>
    </row>
    <row r="8007">
      <c r="A8007" s="7" t="n"/>
      <c r="B8007" s="7" t="n"/>
      <c r="C8007" s="7" t="n"/>
      <c r="D8007" s="7" t="n"/>
      <c r="E8007" s="7" t="n"/>
      <c r="F8007" s="7" t="n"/>
      <c r="G8007" s="7" t="n"/>
      <c r="H8007" s="7" t="n"/>
      <c r="I8007" s="7" t="n"/>
      <c r="J8007" s="7" t="n"/>
      <c r="K8007">
        <f>IF(D8007="Legitimate Interest (GDPR Art. 6(1)(f))", "Yes / Required (Sheet 3)", "")</f>
        <v/>
      </c>
      <c r="L8007" s="7" t="n"/>
      <c r="M8007" s="7" t="n"/>
      <c r="N8007">
        <f>IF(D8007="", "Gap - No Legal Basis", IF(AND(D8007="Consent (GDPR Art. 6(1)(a))", I8007="Not Captured"), "Gap - Invalid Consent", IF(AND(D8007="Legitimate Interest (GDPR Art. 6(1)(f))", L8007=""), "Gap - Missing LIA", IF(AND(G8007="Yes", H8007=""), "Gap - Missing Art. 9 Basis", IF(OR(I8007="Invalid - Not Freely Given", I8007="Invalid - Not Specific", I8007="Invalid - Not Informed", I8007="Invalid - Ambiguous"), "Gap - Invalid Consent", "Compliant")))))</f>
        <v/>
      </c>
      <c r="O8007" s="7" t="n"/>
    </row>
    <row r="8008">
      <c r="A8008" s="7" t="n"/>
      <c r="B8008" s="7" t="n"/>
      <c r="C8008" s="7" t="n"/>
      <c r="D8008" s="7" t="n"/>
      <c r="E8008" s="7" t="n"/>
      <c r="F8008" s="7" t="n"/>
      <c r="G8008" s="7" t="n"/>
      <c r="H8008" s="7" t="n"/>
      <c r="I8008" s="7" t="n"/>
      <c r="J8008" s="7" t="n"/>
      <c r="K8008">
        <f>IF(D8008="Legitimate Interest (GDPR Art. 6(1)(f))", "Yes / Required (Sheet 3)", "")</f>
        <v/>
      </c>
      <c r="L8008" s="7" t="n"/>
      <c r="M8008" s="7" t="n"/>
      <c r="N8008">
        <f>IF(D8008="", "Gap - No Legal Basis", IF(AND(D8008="Consent (GDPR Art. 6(1)(a))", I8008="Not Captured"), "Gap - Invalid Consent", IF(AND(D8008="Legitimate Interest (GDPR Art. 6(1)(f))", L8008=""), "Gap - Missing LIA", IF(AND(G8008="Yes", H8008=""), "Gap - Missing Art. 9 Basis", IF(OR(I8008="Invalid - Not Freely Given", I8008="Invalid - Not Specific", I8008="Invalid - Not Informed", I8008="Invalid - Ambiguous"), "Gap - Invalid Consent", "Compliant")))))</f>
        <v/>
      </c>
      <c r="O8008" s="7" t="n"/>
    </row>
    <row r="8009">
      <c r="A8009" s="7" t="n"/>
      <c r="B8009" s="7" t="n"/>
      <c r="C8009" s="7" t="n"/>
      <c r="D8009" s="7" t="n"/>
      <c r="E8009" s="7" t="n"/>
      <c r="F8009" s="7" t="n"/>
      <c r="G8009" s="7" t="n"/>
      <c r="H8009" s="7" t="n"/>
      <c r="I8009" s="7" t="n"/>
      <c r="J8009" s="7" t="n"/>
      <c r="K8009">
        <f>IF(D8009="Legitimate Interest (GDPR Art. 6(1)(f))", "Yes / Required (Sheet 3)", "")</f>
        <v/>
      </c>
      <c r="L8009" s="7" t="n"/>
      <c r="M8009" s="7" t="n"/>
      <c r="N8009">
        <f>IF(D8009="", "Gap - No Legal Basis", IF(AND(D8009="Consent (GDPR Art. 6(1)(a))", I8009="Not Captured"), "Gap - Invalid Consent", IF(AND(D8009="Legitimate Interest (GDPR Art. 6(1)(f))", L8009=""), "Gap - Missing LIA", IF(AND(G8009="Yes", H8009=""), "Gap - Missing Art. 9 Basis", IF(OR(I8009="Invalid - Not Freely Given", I8009="Invalid - Not Specific", I8009="Invalid - Not Informed", I8009="Invalid - Ambiguous"), "Gap - Invalid Consent", "Compliant")))))</f>
        <v/>
      </c>
      <c r="O8009" s="7" t="n"/>
    </row>
    <row r="8010">
      <c r="A8010" s="7" t="n"/>
      <c r="B8010" s="7" t="n"/>
      <c r="C8010" s="7" t="n"/>
      <c r="D8010" s="7" t="n"/>
      <c r="E8010" s="7" t="n"/>
      <c r="F8010" s="7" t="n"/>
      <c r="G8010" s="7" t="n"/>
      <c r="H8010" s="7" t="n"/>
      <c r="I8010" s="7" t="n"/>
      <c r="J8010" s="7" t="n"/>
      <c r="K8010">
        <f>IF(D8010="Legitimate Interest (GDPR Art. 6(1)(f))", "Yes / Required (Sheet 3)", "")</f>
        <v/>
      </c>
      <c r="L8010" s="7" t="n"/>
      <c r="M8010" s="7" t="n"/>
      <c r="N8010">
        <f>IF(D8010="", "Gap - No Legal Basis", IF(AND(D8010="Consent (GDPR Art. 6(1)(a))", I8010="Not Captured"), "Gap - Invalid Consent", IF(AND(D8010="Legitimate Interest (GDPR Art. 6(1)(f))", L8010=""), "Gap - Missing LIA", IF(AND(G8010="Yes", H8010=""), "Gap - Missing Art. 9 Basis", IF(OR(I8010="Invalid - Not Freely Given", I8010="Invalid - Not Specific", I8010="Invalid - Not Informed", I8010="Invalid - Ambiguous"), "Gap - Invalid Consent", "Compliant")))))</f>
        <v/>
      </c>
      <c r="O8010" s="7" t="n"/>
    </row>
    <row r="8011">
      <c r="A8011" s="7" t="n"/>
      <c r="B8011" s="7" t="n"/>
      <c r="C8011" s="7" t="n"/>
      <c r="D8011" s="7" t="n"/>
      <c r="E8011" s="7" t="n"/>
      <c r="F8011" s="7" t="n"/>
      <c r="G8011" s="7" t="n"/>
      <c r="H8011" s="7" t="n"/>
      <c r="I8011" s="7" t="n"/>
      <c r="J8011" s="7" t="n"/>
      <c r="K8011">
        <f>IF(D8011="Legitimate Interest (GDPR Art. 6(1)(f))", "Yes / Required (Sheet 3)", "")</f>
        <v/>
      </c>
      <c r="L8011" s="7" t="n"/>
      <c r="M8011" s="7" t="n"/>
      <c r="N8011">
        <f>IF(D8011="", "Gap - No Legal Basis", IF(AND(D8011="Consent (GDPR Art. 6(1)(a))", I8011="Not Captured"), "Gap - Invalid Consent", IF(AND(D8011="Legitimate Interest (GDPR Art. 6(1)(f))", L8011=""), "Gap - Missing LIA", IF(AND(G8011="Yes", H8011=""), "Gap - Missing Art. 9 Basis", IF(OR(I8011="Invalid - Not Freely Given", I8011="Invalid - Not Specific", I8011="Invalid - Not Informed", I8011="Invalid - Ambiguous"), "Gap - Invalid Consent", "Compliant")))))</f>
        <v/>
      </c>
      <c r="O8011" s="7" t="n"/>
    </row>
    <row r="8012">
      <c r="A8012" s="7" t="n"/>
      <c r="B8012" s="7" t="n"/>
      <c r="C8012" s="7" t="n"/>
      <c r="D8012" s="7" t="n"/>
      <c r="E8012" s="7" t="n"/>
      <c r="F8012" s="7" t="n"/>
      <c r="G8012" s="7" t="n"/>
      <c r="H8012" s="7" t="n"/>
      <c r="I8012" s="7" t="n"/>
      <c r="J8012" s="7" t="n"/>
      <c r="K8012">
        <f>IF(D8012="Legitimate Interest (GDPR Art. 6(1)(f))", "Yes / Required (Sheet 3)", "")</f>
        <v/>
      </c>
      <c r="L8012" s="7" t="n"/>
      <c r="M8012" s="7" t="n"/>
      <c r="N8012">
        <f>IF(D8012="", "Gap - No Legal Basis", IF(AND(D8012="Consent (GDPR Art. 6(1)(a))", I8012="Not Captured"), "Gap - Invalid Consent", IF(AND(D8012="Legitimate Interest (GDPR Art. 6(1)(f))", L8012=""), "Gap - Missing LIA", IF(AND(G8012="Yes", H8012=""), "Gap - Missing Art. 9 Basis", IF(OR(I8012="Invalid - Not Freely Given", I8012="Invalid - Not Specific", I8012="Invalid - Not Informed", I8012="Invalid - Ambiguous"), "Gap - Invalid Consent", "Compliant")))))</f>
        <v/>
      </c>
      <c r="O8012" s="7" t="n"/>
    </row>
    <row r="8013">
      <c r="A8013" s="7" t="n"/>
      <c r="B8013" s="7" t="n"/>
      <c r="C8013" s="7" t="n"/>
      <c r="D8013" s="7" t="n"/>
      <c r="E8013" s="7" t="n"/>
      <c r="F8013" s="7" t="n"/>
      <c r="G8013" s="7" t="n"/>
      <c r="H8013" s="7" t="n"/>
      <c r="I8013" s="7" t="n"/>
      <c r="J8013" s="7" t="n"/>
      <c r="K8013">
        <f>IF(D8013="Legitimate Interest (GDPR Art. 6(1)(f))", "Yes / Required (Sheet 3)", "")</f>
        <v/>
      </c>
      <c r="L8013" s="7" t="n"/>
      <c r="M8013" s="7" t="n"/>
      <c r="N8013">
        <f>IF(D8013="", "Gap - No Legal Basis", IF(AND(D8013="Consent (GDPR Art. 6(1)(a))", I8013="Not Captured"), "Gap - Invalid Consent", IF(AND(D8013="Legitimate Interest (GDPR Art. 6(1)(f))", L8013=""), "Gap - Missing LIA", IF(AND(G8013="Yes", H8013=""), "Gap - Missing Art. 9 Basis", IF(OR(I8013="Invalid - Not Freely Given", I8013="Invalid - Not Specific", I8013="Invalid - Not Informed", I8013="Invalid - Ambiguous"), "Gap - Invalid Consent", "Compliant")))))</f>
        <v/>
      </c>
      <c r="O8013" s="7" t="n"/>
    </row>
    <row r="8014">
      <c r="A8014" s="7" t="n"/>
      <c r="B8014" s="7" t="n"/>
      <c r="C8014" s="7" t="n"/>
      <c r="D8014" s="7" t="n"/>
      <c r="E8014" s="7" t="n"/>
      <c r="F8014" s="7" t="n"/>
      <c r="G8014" s="7" t="n"/>
      <c r="H8014" s="7" t="n"/>
      <c r="I8014" s="7" t="n"/>
      <c r="J8014" s="7" t="n"/>
      <c r="K8014">
        <f>IF(D8014="Legitimate Interest (GDPR Art. 6(1)(f))", "Yes / Required (Sheet 3)", "")</f>
        <v/>
      </c>
      <c r="L8014" s="7" t="n"/>
      <c r="M8014" s="7" t="n"/>
      <c r="N8014">
        <f>IF(D8014="", "Gap - No Legal Basis", IF(AND(D8014="Consent (GDPR Art. 6(1)(a))", I8014="Not Captured"), "Gap - Invalid Consent", IF(AND(D8014="Legitimate Interest (GDPR Art. 6(1)(f))", L8014=""), "Gap - Missing LIA", IF(AND(G8014="Yes", H8014=""), "Gap - Missing Art. 9 Basis", IF(OR(I8014="Invalid - Not Freely Given", I8014="Invalid - Not Specific", I8014="Invalid - Not Informed", I8014="Invalid - Ambiguous"), "Gap - Invalid Consent", "Compliant")))))</f>
        <v/>
      </c>
      <c r="O8014" s="7" t="n"/>
    </row>
    <row r="8015">
      <c r="A8015" s="7" t="n"/>
      <c r="B8015" s="7" t="n"/>
      <c r="C8015" s="7" t="n"/>
      <c r="D8015" s="7" t="n"/>
      <c r="E8015" s="7" t="n"/>
      <c r="F8015" s="7" t="n"/>
      <c r="G8015" s="7" t="n"/>
      <c r="H8015" s="7" t="n"/>
      <c r="I8015" s="7" t="n"/>
      <c r="J8015" s="7" t="n"/>
      <c r="K8015">
        <f>IF(D8015="Legitimate Interest (GDPR Art. 6(1)(f))", "Yes / Required (Sheet 3)", "")</f>
        <v/>
      </c>
      <c r="L8015" s="7" t="n"/>
      <c r="M8015" s="7" t="n"/>
      <c r="N8015">
        <f>IF(D8015="", "Gap - No Legal Basis", IF(AND(D8015="Consent (GDPR Art. 6(1)(a))", I8015="Not Captured"), "Gap - Invalid Consent", IF(AND(D8015="Legitimate Interest (GDPR Art. 6(1)(f))", L8015=""), "Gap - Missing LIA", IF(AND(G8015="Yes", H8015=""), "Gap - Missing Art. 9 Basis", IF(OR(I8015="Invalid - Not Freely Given", I8015="Invalid - Not Specific", I8015="Invalid - Not Informed", I8015="Invalid - Ambiguous"), "Gap - Invalid Consent", "Compliant")))))</f>
        <v/>
      </c>
      <c r="O8015" s="7" t="n"/>
    </row>
    <row r="8016">
      <c r="A8016" s="7" t="n"/>
      <c r="B8016" s="7" t="n"/>
      <c r="C8016" s="7" t="n"/>
      <c r="D8016" s="7" t="n"/>
      <c r="E8016" s="7" t="n"/>
      <c r="F8016" s="7" t="n"/>
      <c r="G8016" s="7" t="n"/>
      <c r="H8016" s="7" t="n"/>
      <c r="I8016" s="7" t="n"/>
      <c r="J8016" s="7" t="n"/>
      <c r="K8016">
        <f>IF(D8016="Legitimate Interest (GDPR Art. 6(1)(f))", "Yes / Required (Sheet 3)", "")</f>
        <v/>
      </c>
      <c r="L8016" s="7" t="n"/>
      <c r="M8016" s="7" t="n"/>
      <c r="N8016">
        <f>IF(D8016="", "Gap - No Legal Basis", IF(AND(D8016="Consent (GDPR Art. 6(1)(a))", I8016="Not Captured"), "Gap - Invalid Consent", IF(AND(D8016="Legitimate Interest (GDPR Art. 6(1)(f))", L8016=""), "Gap - Missing LIA", IF(AND(G8016="Yes", H8016=""), "Gap - Missing Art. 9 Basis", IF(OR(I8016="Invalid - Not Freely Given", I8016="Invalid - Not Specific", I8016="Invalid - Not Informed", I8016="Invalid - Ambiguous"), "Gap - Invalid Consent", "Compliant")))))</f>
        <v/>
      </c>
      <c r="O8016" s="7" t="n"/>
    </row>
    <row r="8017">
      <c r="A8017" s="7" t="n"/>
      <c r="B8017" s="7" t="n"/>
      <c r="C8017" s="7" t="n"/>
      <c r="D8017" s="7" t="n"/>
      <c r="E8017" s="7" t="n"/>
      <c r="F8017" s="7" t="n"/>
      <c r="G8017" s="7" t="n"/>
      <c r="H8017" s="7" t="n"/>
      <c r="I8017" s="7" t="n"/>
      <c r="J8017" s="7" t="n"/>
      <c r="K8017">
        <f>IF(D8017="Legitimate Interest (GDPR Art. 6(1)(f))", "Yes / Required (Sheet 3)", "")</f>
        <v/>
      </c>
      <c r="L8017" s="7" t="n"/>
      <c r="M8017" s="7" t="n"/>
      <c r="N8017">
        <f>IF(D8017="", "Gap - No Legal Basis", IF(AND(D8017="Consent (GDPR Art. 6(1)(a))", I8017="Not Captured"), "Gap - Invalid Consent", IF(AND(D8017="Legitimate Interest (GDPR Art. 6(1)(f))", L8017=""), "Gap - Missing LIA", IF(AND(G8017="Yes", H8017=""), "Gap - Missing Art. 9 Basis", IF(OR(I8017="Invalid - Not Freely Given", I8017="Invalid - Not Specific", I8017="Invalid - Not Informed", I8017="Invalid - Ambiguous"), "Gap - Invalid Consent", "Compliant")))))</f>
        <v/>
      </c>
      <c r="O8017" s="7" t="n"/>
    </row>
    <row r="8018">
      <c r="A8018" s="7" t="n"/>
      <c r="B8018" s="7" t="n"/>
      <c r="C8018" s="7" t="n"/>
      <c r="D8018" s="7" t="n"/>
      <c r="E8018" s="7" t="n"/>
      <c r="F8018" s="7" t="n"/>
      <c r="G8018" s="7" t="n"/>
      <c r="H8018" s="7" t="n"/>
      <c r="I8018" s="7" t="n"/>
      <c r="J8018" s="7" t="n"/>
      <c r="K8018">
        <f>IF(D8018="Legitimate Interest (GDPR Art. 6(1)(f))", "Yes / Required (Sheet 3)", "")</f>
        <v/>
      </c>
      <c r="L8018" s="7" t="n"/>
      <c r="M8018" s="7" t="n"/>
      <c r="N8018">
        <f>IF(D8018="", "Gap - No Legal Basis", IF(AND(D8018="Consent (GDPR Art. 6(1)(a))", I8018="Not Captured"), "Gap - Invalid Consent", IF(AND(D8018="Legitimate Interest (GDPR Art. 6(1)(f))", L8018=""), "Gap - Missing LIA", IF(AND(G8018="Yes", H8018=""), "Gap - Missing Art. 9 Basis", IF(OR(I8018="Invalid - Not Freely Given", I8018="Invalid - Not Specific", I8018="Invalid - Not Informed", I8018="Invalid - Ambiguous"), "Gap - Invalid Consent", "Compliant")))))</f>
        <v/>
      </c>
      <c r="O8018" s="7" t="n"/>
    </row>
    <row r="8019">
      <c r="A8019" s="7" t="n"/>
      <c r="B8019" s="7" t="n"/>
      <c r="C8019" s="7" t="n"/>
      <c r="D8019" s="7" t="n"/>
      <c r="E8019" s="7" t="n"/>
      <c r="F8019" s="7" t="n"/>
      <c r="G8019" s="7" t="n"/>
      <c r="H8019" s="7" t="n"/>
      <c r="I8019" s="7" t="n"/>
      <c r="J8019" s="7" t="n"/>
      <c r="K8019">
        <f>IF(D8019="Legitimate Interest (GDPR Art. 6(1)(f))", "Yes / Required (Sheet 3)", "")</f>
        <v/>
      </c>
      <c r="L8019" s="7" t="n"/>
      <c r="M8019" s="7" t="n"/>
      <c r="N8019">
        <f>IF(D8019="", "Gap - No Legal Basis", IF(AND(D8019="Consent (GDPR Art. 6(1)(a))", I8019="Not Captured"), "Gap - Invalid Consent", IF(AND(D8019="Legitimate Interest (GDPR Art. 6(1)(f))", L8019=""), "Gap - Missing LIA", IF(AND(G8019="Yes", H8019=""), "Gap - Missing Art. 9 Basis", IF(OR(I8019="Invalid - Not Freely Given", I8019="Invalid - Not Specific", I8019="Invalid - Not Informed", I8019="Invalid - Ambiguous"), "Gap - Invalid Consent", "Compliant")))))</f>
        <v/>
      </c>
      <c r="O8019" s="7" t="n"/>
    </row>
    <row r="8020">
      <c r="A8020" s="7" t="n"/>
      <c r="B8020" s="7" t="n"/>
      <c r="C8020" s="7" t="n"/>
      <c r="D8020" s="7" t="n"/>
      <c r="E8020" s="7" t="n"/>
      <c r="F8020" s="7" t="n"/>
      <c r="G8020" s="7" t="n"/>
      <c r="H8020" s="7" t="n"/>
      <c r="I8020" s="7" t="n"/>
      <c r="J8020" s="7" t="n"/>
      <c r="K8020">
        <f>IF(D8020="Legitimate Interest (GDPR Art. 6(1)(f))", "Yes / Required (Sheet 3)", "")</f>
        <v/>
      </c>
      <c r="L8020" s="7" t="n"/>
      <c r="M8020" s="7" t="n"/>
      <c r="N8020">
        <f>IF(D8020="", "Gap - No Legal Basis", IF(AND(D8020="Consent (GDPR Art. 6(1)(a))", I8020="Not Captured"), "Gap - Invalid Consent", IF(AND(D8020="Legitimate Interest (GDPR Art. 6(1)(f))", L8020=""), "Gap - Missing LIA", IF(AND(G8020="Yes", H8020=""), "Gap - Missing Art. 9 Basis", IF(OR(I8020="Invalid - Not Freely Given", I8020="Invalid - Not Specific", I8020="Invalid - Not Informed", I8020="Invalid - Ambiguous"), "Gap - Invalid Consent", "Compliant")))))</f>
        <v/>
      </c>
      <c r="O8020" s="7" t="n"/>
    </row>
    <row r="8021">
      <c r="A8021" s="7" t="n"/>
      <c r="B8021" s="7" t="n"/>
      <c r="C8021" s="7" t="n"/>
      <c r="D8021" s="7" t="n"/>
      <c r="E8021" s="7" t="n"/>
      <c r="F8021" s="7" t="n"/>
      <c r="G8021" s="7" t="n"/>
      <c r="H8021" s="7" t="n"/>
      <c r="I8021" s="7" t="n"/>
      <c r="J8021" s="7" t="n"/>
      <c r="K8021">
        <f>IF(D8021="Legitimate Interest (GDPR Art. 6(1)(f))", "Yes / Required (Sheet 3)", "")</f>
        <v/>
      </c>
      <c r="L8021" s="7" t="n"/>
      <c r="M8021" s="7" t="n"/>
      <c r="N8021">
        <f>IF(D8021="", "Gap - No Legal Basis", IF(AND(D8021="Consent (GDPR Art. 6(1)(a))", I8021="Not Captured"), "Gap - Invalid Consent", IF(AND(D8021="Legitimate Interest (GDPR Art. 6(1)(f))", L8021=""), "Gap - Missing LIA", IF(AND(G8021="Yes", H8021=""), "Gap - Missing Art. 9 Basis", IF(OR(I8021="Invalid - Not Freely Given", I8021="Invalid - Not Specific", I8021="Invalid - Not Informed", I8021="Invalid - Ambiguous"), "Gap - Invalid Consent", "Compliant")))))</f>
        <v/>
      </c>
      <c r="O8021" s="7" t="n"/>
    </row>
    <row r="8022">
      <c r="A8022" s="7" t="n"/>
      <c r="B8022" s="7" t="n"/>
      <c r="C8022" s="7" t="n"/>
      <c r="D8022" s="7" t="n"/>
      <c r="E8022" s="7" t="n"/>
      <c r="F8022" s="7" t="n"/>
      <c r="G8022" s="7" t="n"/>
      <c r="H8022" s="7" t="n"/>
      <c r="I8022" s="7" t="n"/>
      <c r="J8022" s="7" t="n"/>
      <c r="K8022">
        <f>IF(D8022="Legitimate Interest (GDPR Art. 6(1)(f))", "Yes / Required (Sheet 3)", "")</f>
        <v/>
      </c>
      <c r="L8022" s="7" t="n"/>
      <c r="M8022" s="7" t="n"/>
      <c r="N8022">
        <f>IF(D8022="", "Gap - No Legal Basis", IF(AND(D8022="Consent (GDPR Art. 6(1)(a))", I8022="Not Captured"), "Gap - Invalid Consent", IF(AND(D8022="Legitimate Interest (GDPR Art. 6(1)(f))", L8022=""), "Gap - Missing LIA", IF(AND(G8022="Yes", H8022=""), "Gap - Missing Art. 9 Basis", IF(OR(I8022="Invalid - Not Freely Given", I8022="Invalid - Not Specific", I8022="Invalid - Not Informed", I8022="Invalid - Ambiguous"), "Gap - Invalid Consent", "Compliant")))))</f>
        <v/>
      </c>
      <c r="O8022" s="7" t="n"/>
    </row>
    <row r="8023">
      <c r="A8023" s="7" t="n"/>
      <c r="B8023" s="7" t="n"/>
      <c r="C8023" s="7" t="n"/>
      <c r="D8023" s="7" t="n"/>
      <c r="E8023" s="7" t="n"/>
      <c r="F8023" s="7" t="n"/>
      <c r="G8023" s="7" t="n"/>
      <c r="H8023" s="7" t="n"/>
      <c r="I8023" s="7" t="n"/>
      <c r="J8023" s="7" t="n"/>
      <c r="K8023">
        <f>IF(D8023="Legitimate Interest (GDPR Art. 6(1)(f))", "Yes / Required (Sheet 3)", "")</f>
        <v/>
      </c>
      <c r="L8023" s="7" t="n"/>
      <c r="M8023" s="7" t="n"/>
      <c r="N8023">
        <f>IF(D8023="", "Gap - No Legal Basis", IF(AND(D8023="Consent (GDPR Art. 6(1)(a))", I8023="Not Captured"), "Gap - Invalid Consent", IF(AND(D8023="Legitimate Interest (GDPR Art. 6(1)(f))", L8023=""), "Gap - Missing LIA", IF(AND(G8023="Yes", H8023=""), "Gap - Missing Art. 9 Basis", IF(OR(I8023="Invalid - Not Freely Given", I8023="Invalid - Not Specific", I8023="Invalid - Not Informed", I8023="Invalid - Ambiguous"), "Gap - Invalid Consent", "Compliant")))))</f>
        <v/>
      </c>
      <c r="O8023" s="7" t="n"/>
    </row>
    <row r="8024">
      <c r="A8024" s="7" t="n"/>
      <c r="B8024" s="7" t="n"/>
      <c r="C8024" s="7" t="n"/>
      <c r="D8024" s="7" t="n"/>
      <c r="E8024" s="7" t="n"/>
      <c r="F8024" s="7" t="n"/>
      <c r="G8024" s="7" t="n"/>
      <c r="H8024" s="7" t="n"/>
      <c r="I8024" s="7" t="n"/>
      <c r="J8024" s="7" t="n"/>
      <c r="K8024">
        <f>IF(D8024="Legitimate Interest (GDPR Art. 6(1)(f))", "Yes / Required (Sheet 3)", "")</f>
        <v/>
      </c>
      <c r="L8024" s="7" t="n"/>
      <c r="M8024" s="7" t="n"/>
      <c r="N8024">
        <f>IF(D8024="", "Gap - No Legal Basis", IF(AND(D8024="Consent (GDPR Art. 6(1)(a))", I8024="Not Captured"), "Gap - Invalid Consent", IF(AND(D8024="Legitimate Interest (GDPR Art. 6(1)(f))", L8024=""), "Gap - Missing LIA", IF(AND(G8024="Yes", H8024=""), "Gap - Missing Art. 9 Basis", IF(OR(I8024="Invalid - Not Freely Given", I8024="Invalid - Not Specific", I8024="Invalid - Not Informed", I8024="Invalid - Ambiguous"), "Gap - Invalid Consent", "Compliant")))))</f>
        <v/>
      </c>
      <c r="O8024" s="7" t="n"/>
    </row>
    <row r="8025">
      <c r="A8025" s="7" t="n"/>
      <c r="B8025" s="7" t="n"/>
      <c r="C8025" s="7" t="n"/>
      <c r="D8025" s="7" t="n"/>
      <c r="E8025" s="7" t="n"/>
      <c r="F8025" s="7" t="n"/>
      <c r="G8025" s="7" t="n"/>
      <c r="H8025" s="7" t="n"/>
      <c r="I8025" s="7" t="n"/>
      <c r="J8025" s="7" t="n"/>
      <c r="K8025">
        <f>IF(D8025="Legitimate Interest (GDPR Art. 6(1)(f))", "Yes / Required (Sheet 3)", "")</f>
        <v/>
      </c>
      <c r="L8025" s="7" t="n"/>
      <c r="M8025" s="7" t="n"/>
      <c r="N8025">
        <f>IF(D8025="", "Gap - No Legal Basis", IF(AND(D8025="Consent (GDPR Art. 6(1)(a))", I8025="Not Captured"), "Gap - Invalid Consent", IF(AND(D8025="Legitimate Interest (GDPR Art. 6(1)(f))", L8025=""), "Gap - Missing LIA", IF(AND(G8025="Yes", H8025=""), "Gap - Missing Art. 9 Basis", IF(OR(I8025="Invalid - Not Freely Given", I8025="Invalid - Not Specific", I8025="Invalid - Not Informed", I8025="Invalid - Ambiguous"), "Gap - Invalid Consent", "Compliant")))))</f>
        <v/>
      </c>
      <c r="O8025" s="7" t="n"/>
    </row>
    <row r="8026">
      <c r="A8026" s="7" t="n"/>
      <c r="B8026" s="7" t="n"/>
      <c r="C8026" s="7" t="n"/>
      <c r="D8026" s="7" t="n"/>
      <c r="E8026" s="7" t="n"/>
      <c r="F8026" s="7" t="n"/>
      <c r="G8026" s="7" t="n"/>
      <c r="H8026" s="7" t="n"/>
      <c r="I8026" s="7" t="n"/>
      <c r="J8026" s="7" t="n"/>
      <c r="K8026">
        <f>IF(D8026="Legitimate Interest (GDPR Art. 6(1)(f))", "Yes / Required (Sheet 3)", "")</f>
        <v/>
      </c>
      <c r="L8026" s="7" t="n"/>
      <c r="M8026" s="7" t="n"/>
      <c r="N8026">
        <f>IF(D8026="", "Gap - No Legal Basis", IF(AND(D8026="Consent (GDPR Art. 6(1)(a))", I8026="Not Captured"), "Gap - Invalid Consent", IF(AND(D8026="Legitimate Interest (GDPR Art. 6(1)(f))", L8026=""), "Gap - Missing LIA", IF(AND(G8026="Yes", H8026=""), "Gap - Missing Art. 9 Basis", IF(OR(I8026="Invalid - Not Freely Given", I8026="Invalid - Not Specific", I8026="Invalid - Not Informed", I8026="Invalid - Ambiguous"), "Gap - Invalid Consent", "Compliant")))))</f>
        <v/>
      </c>
      <c r="O8026" s="7" t="n"/>
    </row>
    <row r="8027">
      <c r="A8027" s="7" t="n"/>
      <c r="B8027" s="7" t="n"/>
      <c r="C8027" s="7" t="n"/>
      <c r="D8027" s="7" t="n"/>
      <c r="E8027" s="7" t="n"/>
      <c r="F8027" s="7" t="n"/>
      <c r="G8027" s="7" t="n"/>
      <c r="H8027" s="7" t="n"/>
      <c r="I8027" s="7" t="n"/>
      <c r="J8027" s="7" t="n"/>
      <c r="K8027">
        <f>IF(D8027="Legitimate Interest (GDPR Art. 6(1)(f))", "Yes / Required (Sheet 3)", "")</f>
        <v/>
      </c>
      <c r="L8027" s="7" t="n"/>
      <c r="M8027" s="7" t="n"/>
      <c r="N8027">
        <f>IF(D8027="", "Gap - No Legal Basis", IF(AND(D8027="Consent (GDPR Art. 6(1)(a))", I8027="Not Captured"), "Gap - Invalid Consent", IF(AND(D8027="Legitimate Interest (GDPR Art. 6(1)(f))", L8027=""), "Gap - Missing LIA", IF(AND(G8027="Yes", H8027=""), "Gap - Missing Art. 9 Basis", IF(OR(I8027="Invalid - Not Freely Given", I8027="Invalid - Not Specific", I8027="Invalid - Not Informed", I8027="Invalid - Ambiguous"), "Gap - Invalid Consent", "Compliant")))))</f>
        <v/>
      </c>
      <c r="O8027" s="7" t="n"/>
    </row>
    <row r="8028">
      <c r="A8028" s="7" t="n"/>
      <c r="B8028" s="7" t="n"/>
      <c r="C8028" s="7" t="n"/>
      <c r="D8028" s="7" t="n"/>
      <c r="E8028" s="7" t="n"/>
      <c r="F8028" s="7" t="n"/>
      <c r="G8028" s="7" t="n"/>
      <c r="H8028" s="7" t="n"/>
      <c r="I8028" s="7" t="n"/>
      <c r="J8028" s="7" t="n"/>
      <c r="K8028">
        <f>IF(D8028="Legitimate Interest (GDPR Art. 6(1)(f))", "Yes / Required (Sheet 3)", "")</f>
        <v/>
      </c>
      <c r="L8028" s="7" t="n"/>
      <c r="M8028" s="7" t="n"/>
      <c r="N8028">
        <f>IF(D8028="", "Gap - No Legal Basis", IF(AND(D8028="Consent (GDPR Art. 6(1)(a))", I8028="Not Captured"), "Gap - Invalid Consent", IF(AND(D8028="Legitimate Interest (GDPR Art. 6(1)(f))", L8028=""), "Gap - Missing LIA", IF(AND(G8028="Yes", H8028=""), "Gap - Missing Art. 9 Basis", IF(OR(I8028="Invalid - Not Freely Given", I8028="Invalid - Not Specific", I8028="Invalid - Not Informed", I8028="Invalid - Ambiguous"), "Gap - Invalid Consent", "Compliant")))))</f>
        <v/>
      </c>
      <c r="O8028" s="7" t="n"/>
    </row>
    <row r="8029">
      <c r="A8029" s="7" t="n"/>
      <c r="B8029" s="7" t="n"/>
      <c r="C8029" s="7" t="n"/>
      <c r="D8029" s="7" t="n"/>
      <c r="E8029" s="7" t="n"/>
      <c r="F8029" s="7" t="n"/>
      <c r="G8029" s="7" t="n"/>
      <c r="H8029" s="7" t="n"/>
      <c r="I8029" s="7" t="n"/>
      <c r="J8029" s="7" t="n"/>
      <c r="K8029">
        <f>IF(D8029="Legitimate Interest (GDPR Art. 6(1)(f))", "Yes / Required (Sheet 3)", "")</f>
        <v/>
      </c>
      <c r="L8029" s="7" t="n"/>
      <c r="M8029" s="7" t="n"/>
      <c r="N8029">
        <f>IF(D8029="", "Gap - No Legal Basis", IF(AND(D8029="Consent (GDPR Art. 6(1)(a))", I8029="Not Captured"), "Gap - Invalid Consent", IF(AND(D8029="Legitimate Interest (GDPR Art. 6(1)(f))", L8029=""), "Gap - Missing LIA", IF(AND(G8029="Yes", H8029=""), "Gap - Missing Art. 9 Basis", IF(OR(I8029="Invalid - Not Freely Given", I8029="Invalid - Not Specific", I8029="Invalid - Not Informed", I8029="Invalid - Ambiguous"), "Gap - Invalid Consent", "Compliant")))))</f>
        <v/>
      </c>
      <c r="O8029" s="7" t="n"/>
    </row>
    <row r="8030">
      <c r="A8030" s="7" t="n"/>
      <c r="B8030" s="7" t="n"/>
      <c r="C8030" s="7" t="n"/>
      <c r="D8030" s="7" t="n"/>
      <c r="E8030" s="7" t="n"/>
      <c r="F8030" s="7" t="n"/>
      <c r="G8030" s="7" t="n"/>
      <c r="H8030" s="7" t="n"/>
      <c r="I8030" s="7" t="n"/>
      <c r="J8030" s="7" t="n"/>
      <c r="K8030">
        <f>IF(D8030="Legitimate Interest (GDPR Art. 6(1)(f))", "Yes / Required (Sheet 3)", "")</f>
        <v/>
      </c>
      <c r="L8030" s="7" t="n"/>
      <c r="M8030" s="7" t="n"/>
      <c r="N8030">
        <f>IF(D8030="", "Gap - No Legal Basis", IF(AND(D8030="Consent (GDPR Art. 6(1)(a))", I8030="Not Captured"), "Gap - Invalid Consent", IF(AND(D8030="Legitimate Interest (GDPR Art. 6(1)(f))", L8030=""), "Gap - Missing LIA", IF(AND(G8030="Yes", H8030=""), "Gap - Missing Art. 9 Basis", IF(OR(I8030="Invalid - Not Freely Given", I8030="Invalid - Not Specific", I8030="Invalid - Not Informed", I8030="Invalid - Ambiguous"), "Gap - Invalid Consent", "Compliant")))))</f>
        <v/>
      </c>
      <c r="O8030" s="7" t="n"/>
    </row>
    <row r="8031">
      <c r="A8031" s="7" t="n"/>
      <c r="B8031" s="7" t="n"/>
      <c r="C8031" s="7" t="n"/>
      <c r="D8031" s="7" t="n"/>
      <c r="E8031" s="7" t="n"/>
      <c r="F8031" s="7" t="n"/>
      <c r="G8031" s="7" t="n"/>
      <c r="H8031" s="7" t="n"/>
      <c r="I8031" s="7" t="n"/>
      <c r="J8031" s="7" t="n"/>
      <c r="K8031">
        <f>IF(D8031="Legitimate Interest (GDPR Art. 6(1)(f))", "Yes / Required (Sheet 3)", "")</f>
        <v/>
      </c>
      <c r="L8031" s="7" t="n"/>
      <c r="M8031" s="7" t="n"/>
      <c r="N8031">
        <f>IF(D8031="", "Gap - No Legal Basis", IF(AND(D8031="Consent (GDPR Art. 6(1)(a))", I8031="Not Captured"), "Gap - Invalid Consent", IF(AND(D8031="Legitimate Interest (GDPR Art. 6(1)(f))", L8031=""), "Gap - Missing LIA", IF(AND(G8031="Yes", H8031=""), "Gap - Missing Art. 9 Basis", IF(OR(I8031="Invalid - Not Freely Given", I8031="Invalid - Not Specific", I8031="Invalid - Not Informed", I8031="Invalid - Ambiguous"), "Gap - Invalid Consent", "Compliant")))))</f>
        <v/>
      </c>
      <c r="O8031" s="7" t="n"/>
    </row>
    <row r="8032">
      <c r="A8032" s="7" t="n"/>
      <c r="B8032" s="7" t="n"/>
      <c r="C8032" s="7" t="n"/>
      <c r="D8032" s="7" t="n"/>
      <c r="E8032" s="7" t="n"/>
      <c r="F8032" s="7" t="n"/>
      <c r="G8032" s="7" t="n"/>
      <c r="H8032" s="7" t="n"/>
      <c r="I8032" s="7" t="n"/>
      <c r="J8032" s="7" t="n"/>
      <c r="K8032">
        <f>IF(D8032="Legitimate Interest (GDPR Art. 6(1)(f))", "Yes / Required (Sheet 3)", "")</f>
        <v/>
      </c>
      <c r="L8032" s="7" t="n"/>
      <c r="M8032" s="7" t="n"/>
      <c r="N8032">
        <f>IF(D8032="", "Gap - No Legal Basis", IF(AND(D8032="Consent (GDPR Art. 6(1)(a))", I8032="Not Captured"), "Gap - Invalid Consent", IF(AND(D8032="Legitimate Interest (GDPR Art. 6(1)(f))", L8032=""), "Gap - Missing LIA", IF(AND(G8032="Yes", H8032=""), "Gap - Missing Art. 9 Basis", IF(OR(I8032="Invalid - Not Freely Given", I8032="Invalid - Not Specific", I8032="Invalid - Not Informed", I8032="Invalid - Ambiguous"), "Gap - Invalid Consent", "Compliant")))))</f>
        <v/>
      </c>
      <c r="O8032" s="7" t="n"/>
    </row>
    <row r="8033">
      <c r="A8033" s="7" t="n"/>
      <c r="B8033" s="7" t="n"/>
      <c r="C8033" s="7" t="n"/>
      <c r="D8033" s="7" t="n"/>
      <c r="E8033" s="7" t="n"/>
      <c r="F8033" s="7" t="n"/>
      <c r="G8033" s="7" t="n"/>
      <c r="H8033" s="7" t="n"/>
      <c r="I8033" s="7" t="n"/>
      <c r="J8033" s="7" t="n"/>
      <c r="K8033">
        <f>IF(D8033="Legitimate Interest (GDPR Art. 6(1)(f))", "Yes / Required (Sheet 3)", "")</f>
        <v/>
      </c>
      <c r="L8033" s="7" t="n"/>
      <c r="M8033" s="7" t="n"/>
      <c r="N8033">
        <f>IF(D8033="", "Gap - No Legal Basis", IF(AND(D8033="Consent (GDPR Art. 6(1)(a))", I8033="Not Captured"), "Gap - Invalid Consent", IF(AND(D8033="Legitimate Interest (GDPR Art. 6(1)(f))", L8033=""), "Gap - Missing LIA", IF(AND(G8033="Yes", H8033=""), "Gap - Missing Art. 9 Basis", IF(OR(I8033="Invalid - Not Freely Given", I8033="Invalid - Not Specific", I8033="Invalid - Not Informed", I8033="Invalid - Ambiguous"), "Gap - Invalid Consent", "Compliant")))))</f>
        <v/>
      </c>
      <c r="O8033" s="7" t="n"/>
    </row>
    <row r="8034">
      <c r="A8034" s="7" t="n"/>
      <c r="B8034" s="7" t="n"/>
      <c r="C8034" s="7" t="n"/>
      <c r="D8034" s="7" t="n"/>
      <c r="E8034" s="7" t="n"/>
      <c r="F8034" s="7" t="n"/>
      <c r="G8034" s="7" t="n"/>
      <c r="H8034" s="7" t="n"/>
      <c r="I8034" s="7" t="n"/>
      <c r="J8034" s="7" t="n"/>
      <c r="K8034">
        <f>IF(D8034="Legitimate Interest (GDPR Art. 6(1)(f))", "Yes / Required (Sheet 3)", "")</f>
        <v/>
      </c>
      <c r="L8034" s="7" t="n"/>
      <c r="M8034" s="7" t="n"/>
      <c r="N8034">
        <f>IF(D8034="", "Gap - No Legal Basis", IF(AND(D8034="Consent (GDPR Art. 6(1)(a))", I8034="Not Captured"), "Gap - Invalid Consent", IF(AND(D8034="Legitimate Interest (GDPR Art. 6(1)(f))", L8034=""), "Gap - Missing LIA", IF(AND(G8034="Yes", H8034=""), "Gap - Missing Art. 9 Basis", IF(OR(I8034="Invalid - Not Freely Given", I8034="Invalid - Not Specific", I8034="Invalid - Not Informed", I8034="Invalid - Ambiguous"), "Gap - Invalid Consent", "Compliant")))))</f>
        <v/>
      </c>
      <c r="O8034" s="7" t="n"/>
    </row>
    <row r="8035">
      <c r="A8035" s="7" t="n"/>
      <c r="B8035" s="7" t="n"/>
      <c r="C8035" s="7" t="n"/>
      <c r="D8035" s="7" t="n"/>
      <c r="E8035" s="7" t="n"/>
      <c r="F8035" s="7" t="n"/>
      <c r="G8035" s="7" t="n"/>
      <c r="H8035" s="7" t="n"/>
      <c r="I8035" s="7" t="n"/>
      <c r="J8035" s="7" t="n"/>
      <c r="K8035">
        <f>IF(D8035="Legitimate Interest (GDPR Art. 6(1)(f))", "Yes / Required (Sheet 3)", "")</f>
        <v/>
      </c>
      <c r="L8035" s="7" t="n"/>
      <c r="M8035" s="7" t="n"/>
      <c r="N8035">
        <f>IF(D8035="", "Gap - No Legal Basis", IF(AND(D8035="Consent (GDPR Art. 6(1)(a))", I8035="Not Captured"), "Gap - Invalid Consent", IF(AND(D8035="Legitimate Interest (GDPR Art. 6(1)(f))", L8035=""), "Gap - Missing LIA", IF(AND(G8035="Yes", H8035=""), "Gap - Missing Art. 9 Basis", IF(OR(I8035="Invalid - Not Freely Given", I8035="Invalid - Not Specific", I8035="Invalid - Not Informed", I8035="Invalid - Ambiguous"), "Gap - Invalid Consent", "Compliant")))))</f>
        <v/>
      </c>
      <c r="O8035" s="7" t="n"/>
    </row>
    <row r="8036">
      <c r="A8036" s="7" t="n"/>
      <c r="B8036" s="7" t="n"/>
      <c r="C8036" s="7" t="n"/>
      <c r="D8036" s="7" t="n"/>
      <c r="E8036" s="7" t="n"/>
      <c r="F8036" s="7" t="n"/>
      <c r="G8036" s="7" t="n"/>
      <c r="H8036" s="7" t="n"/>
      <c r="I8036" s="7" t="n"/>
      <c r="J8036" s="7" t="n"/>
      <c r="K8036">
        <f>IF(D8036="Legitimate Interest (GDPR Art. 6(1)(f))", "Yes / Required (Sheet 3)", "")</f>
        <v/>
      </c>
      <c r="L8036" s="7" t="n"/>
      <c r="M8036" s="7" t="n"/>
      <c r="N8036">
        <f>IF(D8036="", "Gap - No Legal Basis", IF(AND(D8036="Consent (GDPR Art. 6(1)(a))", I8036="Not Captured"), "Gap - Invalid Consent", IF(AND(D8036="Legitimate Interest (GDPR Art. 6(1)(f))", L8036=""), "Gap - Missing LIA", IF(AND(G8036="Yes", H8036=""), "Gap - Missing Art. 9 Basis", IF(OR(I8036="Invalid - Not Freely Given", I8036="Invalid - Not Specific", I8036="Invalid - Not Informed", I8036="Invalid - Ambiguous"), "Gap - Invalid Consent", "Compliant")))))</f>
        <v/>
      </c>
      <c r="O8036" s="7" t="n"/>
    </row>
    <row r="8037">
      <c r="A8037" s="7" t="n"/>
      <c r="B8037" s="7" t="n"/>
      <c r="C8037" s="7" t="n"/>
      <c r="D8037" s="7" t="n"/>
      <c r="E8037" s="7" t="n"/>
      <c r="F8037" s="7" t="n"/>
      <c r="G8037" s="7" t="n"/>
      <c r="H8037" s="7" t="n"/>
      <c r="I8037" s="7" t="n"/>
      <c r="J8037" s="7" t="n"/>
      <c r="K8037">
        <f>IF(D8037="Legitimate Interest (GDPR Art. 6(1)(f))", "Yes / Required (Sheet 3)", "")</f>
        <v/>
      </c>
      <c r="L8037" s="7" t="n"/>
      <c r="M8037" s="7" t="n"/>
      <c r="N8037">
        <f>IF(D8037="", "Gap - No Legal Basis", IF(AND(D8037="Consent (GDPR Art. 6(1)(a))", I8037="Not Captured"), "Gap - Invalid Consent", IF(AND(D8037="Legitimate Interest (GDPR Art. 6(1)(f))", L8037=""), "Gap - Missing LIA", IF(AND(G8037="Yes", H8037=""), "Gap - Missing Art. 9 Basis", IF(OR(I8037="Invalid - Not Freely Given", I8037="Invalid - Not Specific", I8037="Invalid - Not Informed", I8037="Invalid - Ambiguous"), "Gap - Invalid Consent", "Compliant")))))</f>
        <v/>
      </c>
      <c r="O8037" s="7" t="n"/>
    </row>
    <row r="8038">
      <c r="A8038" s="7" t="n"/>
      <c r="B8038" s="7" t="n"/>
      <c r="C8038" s="7" t="n"/>
      <c r="D8038" s="7" t="n"/>
      <c r="E8038" s="7" t="n"/>
      <c r="F8038" s="7" t="n"/>
      <c r="G8038" s="7" t="n"/>
      <c r="H8038" s="7" t="n"/>
      <c r="I8038" s="7" t="n"/>
      <c r="J8038" s="7" t="n"/>
      <c r="K8038">
        <f>IF(D8038="Legitimate Interest (GDPR Art. 6(1)(f))", "Yes / Required (Sheet 3)", "")</f>
        <v/>
      </c>
      <c r="L8038" s="7" t="n"/>
      <c r="M8038" s="7" t="n"/>
      <c r="N8038">
        <f>IF(D8038="", "Gap - No Legal Basis", IF(AND(D8038="Consent (GDPR Art. 6(1)(a))", I8038="Not Captured"), "Gap - Invalid Consent", IF(AND(D8038="Legitimate Interest (GDPR Art. 6(1)(f))", L8038=""), "Gap - Missing LIA", IF(AND(G8038="Yes", H8038=""), "Gap - Missing Art. 9 Basis", IF(OR(I8038="Invalid - Not Freely Given", I8038="Invalid - Not Specific", I8038="Invalid - Not Informed", I8038="Invalid - Ambiguous"), "Gap - Invalid Consent", "Compliant")))))</f>
        <v/>
      </c>
      <c r="O8038" s="7" t="n"/>
    </row>
    <row r="8039">
      <c r="A8039" s="7" t="n"/>
      <c r="B8039" s="7" t="n"/>
      <c r="C8039" s="7" t="n"/>
      <c r="D8039" s="7" t="n"/>
      <c r="E8039" s="7" t="n"/>
      <c r="F8039" s="7" t="n"/>
      <c r="G8039" s="7" t="n"/>
      <c r="H8039" s="7" t="n"/>
      <c r="I8039" s="7" t="n"/>
      <c r="J8039" s="7" t="n"/>
      <c r="K8039">
        <f>IF(D8039="Legitimate Interest (GDPR Art. 6(1)(f))", "Yes / Required (Sheet 3)", "")</f>
        <v/>
      </c>
      <c r="L8039" s="7" t="n"/>
      <c r="M8039" s="7" t="n"/>
      <c r="N8039">
        <f>IF(D8039="", "Gap - No Legal Basis", IF(AND(D8039="Consent (GDPR Art. 6(1)(a))", I8039="Not Captured"), "Gap - Invalid Consent", IF(AND(D8039="Legitimate Interest (GDPR Art. 6(1)(f))", L8039=""), "Gap - Missing LIA", IF(AND(G8039="Yes", H8039=""), "Gap - Missing Art. 9 Basis", IF(OR(I8039="Invalid - Not Freely Given", I8039="Invalid - Not Specific", I8039="Invalid - Not Informed", I8039="Invalid - Ambiguous"), "Gap - Invalid Consent", "Compliant")))))</f>
        <v/>
      </c>
      <c r="O8039" s="7" t="n"/>
    </row>
    <row r="8040">
      <c r="A8040" s="7" t="n"/>
      <c r="B8040" s="7" t="n"/>
      <c r="C8040" s="7" t="n"/>
      <c r="D8040" s="7" t="n"/>
      <c r="E8040" s="7" t="n"/>
      <c r="F8040" s="7" t="n"/>
      <c r="G8040" s="7" t="n"/>
      <c r="H8040" s="7" t="n"/>
      <c r="I8040" s="7" t="n"/>
      <c r="J8040" s="7" t="n"/>
      <c r="K8040">
        <f>IF(D8040="Legitimate Interest (GDPR Art. 6(1)(f))", "Yes / Required (Sheet 3)", "")</f>
        <v/>
      </c>
      <c r="L8040" s="7" t="n"/>
      <c r="M8040" s="7" t="n"/>
      <c r="N8040">
        <f>IF(D8040="", "Gap - No Legal Basis", IF(AND(D8040="Consent (GDPR Art. 6(1)(a))", I8040="Not Captured"), "Gap - Invalid Consent", IF(AND(D8040="Legitimate Interest (GDPR Art. 6(1)(f))", L8040=""), "Gap - Missing LIA", IF(AND(G8040="Yes", H8040=""), "Gap - Missing Art. 9 Basis", IF(OR(I8040="Invalid - Not Freely Given", I8040="Invalid - Not Specific", I8040="Invalid - Not Informed", I8040="Invalid - Ambiguous"), "Gap - Invalid Consent", "Compliant")))))</f>
        <v/>
      </c>
      <c r="O8040" s="7" t="n"/>
    </row>
    <row r="8041">
      <c r="A8041" s="7" t="n"/>
      <c r="B8041" s="7" t="n"/>
      <c r="C8041" s="7" t="n"/>
      <c r="D8041" s="7" t="n"/>
      <c r="E8041" s="7" t="n"/>
      <c r="F8041" s="7" t="n"/>
      <c r="G8041" s="7" t="n"/>
      <c r="H8041" s="7" t="n"/>
      <c r="I8041" s="7" t="n"/>
      <c r="J8041" s="7" t="n"/>
      <c r="K8041">
        <f>IF(D8041="Legitimate Interest (GDPR Art. 6(1)(f))", "Yes / Required (Sheet 3)", "")</f>
        <v/>
      </c>
      <c r="L8041" s="7" t="n"/>
      <c r="M8041" s="7" t="n"/>
      <c r="N8041">
        <f>IF(D8041="", "Gap - No Legal Basis", IF(AND(D8041="Consent (GDPR Art. 6(1)(a))", I8041="Not Captured"), "Gap - Invalid Consent", IF(AND(D8041="Legitimate Interest (GDPR Art. 6(1)(f))", L8041=""), "Gap - Missing LIA", IF(AND(G8041="Yes", H8041=""), "Gap - Missing Art. 9 Basis", IF(OR(I8041="Invalid - Not Freely Given", I8041="Invalid - Not Specific", I8041="Invalid - Not Informed", I8041="Invalid - Ambiguous"), "Gap - Invalid Consent", "Compliant")))))</f>
        <v/>
      </c>
      <c r="O8041" s="7" t="n"/>
    </row>
    <row r="8042">
      <c r="A8042" s="7" t="n"/>
      <c r="B8042" s="7" t="n"/>
      <c r="C8042" s="7" t="n"/>
      <c r="D8042" s="7" t="n"/>
      <c r="E8042" s="7" t="n"/>
      <c r="F8042" s="7" t="n"/>
      <c r="G8042" s="7" t="n"/>
      <c r="H8042" s="7" t="n"/>
      <c r="I8042" s="7" t="n"/>
      <c r="J8042" s="7" t="n"/>
      <c r="K8042">
        <f>IF(D8042="Legitimate Interest (GDPR Art. 6(1)(f))", "Yes / Required (Sheet 3)", "")</f>
        <v/>
      </c>
      <c r="L8042" s="7" t="n"/>
      <c r="M8042" s="7" t="n"/>
      <c r="N8042">
        <f>IF(D8042="", "Gap - No Legal Basis", IF(AND(D8042="Consent (GDPR Art. 6(1)(a))", I8042="Not Captured"), "Gap - Invalid Consent", IF(AND(D8042="Legitimate Interest (GDPR Art. 6(1)(f))", L8042=""), "Gap - Missing LIA", IF(AND(G8042="Yes", H8042=""), "Gap - Missing Art. 9 Basis", IF(OR(I8042="Invalid - Not Freely Given", I8042="Invalid - Not Specific", I8042="Invalid - Not Informed", I8042="Invalid - Ambiguous"), "Gap - Invalid Consent", "Compliant")))))</f>
        <v/>
      </c>
      <c r="O8042" s="7" t="n"/>
    </row>
    <row r="8043">
      <c r="A8043" s="7" t="n"/>
      <c r="B8043" s="7" t="n"/>
      <c r="C8043" s="7" t="n"/>
      <c r="D8043" s="7" t="n"/>
      <c r="E8043" s="7" t="n"/>
      <c r="F8043" s="7" t="n"/>
      <c r="G8043" s="7" t="n"/>
      <c r="H8043" s="7" t="n"/>
      <c r="I8043" s="7" t="n"/>
      <c r="J8043" s="7" t="n"/>
      <c r="K8043">
        <f>IF(D8043="Legitimate Interest (GDPR Art. 6(1)(f))", "Yes / Required (Sheet 3)", "")</f>
        <v/>
      </c>
      <c r="L8043" s="7" t="n"/>
      <c r="M8043" s="7" t="n"/>
      <c r="N8043">
        <f>IF(D8043="", "Gap - No Legal Basis", IF(AND(D8043="Consent (GDPR Art. 6(1)(a))", I8043="Not Captured"), "Gap - Invalid Consent", IF(AND(D8043="Legitimate Interest (GDPR Art. 6(1)(f))", L8043=""), "Gap - Missing LIA", IF(AND(G8043="Yes", H8043=""), "Gap - Missing Art. 9 Basis", IF(OR(I8043="Invalid - Not Freely Given", I8043="Invalid - Not Specific", I8043="Invalid - Not Informed", I8043="Invalid - Ambiguous"), "Gap - Invalid Consent", "Compliant")))))</f>
        <v/>
      </c>
      <c r="O8043" s="7" t="n"/>
    </row>
    <row r="8044">
      <c r="A8044" s="7" t="n"/>
      <c r="B8044" s="7" t="n"/>
      <c r="C8044" s="7" t="n"/>
      <c r="D8044" s="7" t="n"/>
      <c r="E8044" s="7" t="n"/>
      <c r="F8044" s="7" t="n"/>
      <c r="G8044" s="7" t="n"/>
      <c r="H8044" s="7" t="n"/>
      <c r="I8044" s="7" t="n"/>
      <c r="J8044" s="7" t="n"/>
      <c r="K8044">
        <f>IF(D8044="Legitimate Interest (GDPR Art. 6(1)(f))", "Yes / Required (Sheet 3)", "")</f>
        <v/>
      </c>
      <c r="L8044" s="7" t="n"/>
      <c r="M8044" s="7" t="n"/>
      <c r="N8044">
        <f>IF(D8044="", "Gap - No Legal Basis", IF(AND(D8044="Consent (GDPR Art. 6(1)(a))", I8044="Not Captured"), "Gap - Invalid Consent", IF(AND(D8044="Legitimate Interest (GDPR Art. 6(1)(f))", L8044=""), "Gap - Missing LIA", IF(AND(G8044="Yes", H8044=""), "Gap - Missing Art. 9 Basis", IF(OR(I8044="Invalid - Not Freely Given", I8044="Invalid - Not Specific", I8044="Invalid - Not Informed", I8044="Invalid - Ambiguous"), "Gap - Invalid Consent", "Compliant")))))</f>
        <v/>
      </c>
      <c r="O8044" s="7" t="n"/>
    </row>
    <row r="8045">
      <c r="A8045" s="7" t="n"/>
      <c r="B8045" s="7" t="n"/>
      <c r="C8045" s="7" t="n"/>
      <c r="D8045" s="7" t="n"/>
      <c r="E8045" s="7" t="n"/>
      <c r="F8045" s="7" t="n"/>
      <c r="G8045" s="7" t="n"/>
      <c r="H8045" s="7" t="n"/>
      <c r="I8045" s="7" t="n"/>
      <c r="J8045" s="7" t="n"/>
      <c r="K8045">
        <f>IF(D8045="Legitimate Interest (GDPR Art. 6(1)(f))", "Yes / Required (Sheet 3)", "")</f>
        <v/>
      </c>
      <c r="L8045" s="7" t="n"/>
      <c r="M8045" s="7" t="n"/>
      <c r="N8045">
        <f>IF(D8045="", "Gap - No Legal Basis", IF(AND(D8045="Consent (GDPR Art. 6(1)(a))", I8045="Not Captured"), "Gap - Invalid Consent", IF(AND(D8045="Legitimate Interest (GDPR Art. 6(1)(f))", L8045=""), "Gap - Missing LIA", IF(AND(G8045="Yes", H8045=""), "Gap - Missing Art. 9 Basis", IF(OR(I8045="Invalid - Not Freely Given", I8045="Invalid - Not Specific", I8045="Invalid - Not Informed", I8045="Invalid - Ambiguous"), "Gap - Invalid Consent", "Compliant")))))</f>
        <v/>
      </c>
      <c r="O8045" s="7" t="n"/>
    </row>
    <row r="8046">
      <c r="A8046" s="7" t="n"/>
      <c r="B8046" s="7" t="n"/>
      <c r="C8046" s="7" t="n"/>
      <c r="D8046" s="7" t="n"/>
      <c r="E8046" s="7" t="n"/>
      <c r="F8046" s="7" t="n"/>
      <c r="G8046" s="7" t="n"/>
      <c r="H8046" s="7" t="n"/>
      <c r="I8046" s="7" t="n"/>
      <c r="J8046" s="7" t="n"/>
      <c r="K8046">
        <f>IF(D8046="Legitimate Interest (GDPR Art. 6(1)(f))", "Yes / Required (Sheet 3)", "")</f>
        <v/>
      </c>
      <c r="L8046" s="7" t="n"/>
      <c r="M8046" s="7" t="n"/>
      <c r="N8046">
        <f>IF(D8046="", "Gap - No Legal Basis", IF(AND(D8046="Consent (GDPR Art. 6(1)(a))", I8046="Not Captured"), "Gap - Invalid Consent", IF(AND(D8046="Legitimate Interest (GDPR Art. 6(1)(f))", L8046=""), "Gap - Missing LIA", IF(AND(G8046="Yes", H8046=""), "Gap - Missing Art. 9 Basis", IF(OR(I8046="Invalid - Not Freely Given", I8046="Invalid - Not Specific", I8046="Invalid - Not Informed", I8046="Invalid - Ambiguous"), "Gap - Invalid Consent", "Compliant")))))</f>
        <v/>
      </c>
      <c r="O8046" s="7" t="n"/>
    </row>
    <row r="8047">
      <c r="A8047" s="7" t="n"/>
      <c r="B8047" s="7" t="n"/>
      <c r="C8047" s="7" t="n"/>
      <c r="D8047" s="7" t="n"/>
      <c r="E8047" s="7" t="n"/>
      <c r="F8047" s="7" t="n"/>
      <c r="G8047" s="7" t="n"/>
      <c r="H8047" s="7" t="n"/>
      <c r="I8047" s="7" t="n"/>
      <c r="J8047" s="7" t="n"/>
      <c r="K8047">
        <f>IF(D8047="Legitimate Interest (GDPR Art. 6(1)(f))", "Yes / Required (Sheet 3)", "")</f>
        <v/>
      </c>
      <c r="L8047" s="7" t="n"/>
      <c r="M8047" s="7" t="n"/>
      <c r="N8047">
        <f>IF(D8047="", "Gap - No Legal Basis", IF(AND(D8047="Consent (GDPR Art. 6(1)(a))", I8047="Not Captured"), "Gap - Invalid Consent", IF(AND(D8047="Legitimate Interest (GDPR Art. 6(1)(f))", L8047=""), "Gap - Missing LIA", IF(AND(G8047="Yes", H8047=""), "Gap - Missing Art. 9 Basis", IF(OR(I8047="Invalid - Not Freely Given", I8047="Invalid - Not Specific", I8047="Invalid - Not Informed", I8047="Invalid - Ambiguous"), "Gap - Invalid Consent", "Compliant")))))</f>
        <v/>
      </c>
      <c r="O8047" s="7" t="n"/>
    </row>
    <row r="8048">
      <c r="A8048" s="7" t="n"/>
      <c r="B8048" s="7" t="n"/>
      <c r="C8048" s="7" t="n"/>
      <c r="D8048" s="7" t="n"/>
      <c r="E8048" s="7" t="n"/>
      <c r="F8048" s="7" t="n"/>
      <c r="G8048" s="7" t="n"/>
      <c r="H8048" s="7" t="n"/>
      <c r="I8048" s="7" t="n"/>
      <c r="J8048" s="7" t="n"/>
      <c r="K8048">
        <f>IF(D8048="Legitimate Interest (GDPR Art. 6(1)(f))", "Yes / Required (Sheet 3)", "")</f>
        <v/>
      </c>
      <c r="L8048" s="7" t="n"/>
      <c r="M8048" s="7" t="n"/>
      <c r="N8048">
        <f>IF(D8048="", "Gap - No Legal Basis", IF(AND(D8048="Consent (GDPR Art. 6(1)(a))", I8048="Not Captured"), "Gap - Invalid Consent", IF(AND(D8048="Legitimate Interest (GDPR Art. 6(1)(f))", L8048=""), "Gap - Missing LIA", IF(AND(G8048="Yes", H8048=""), "Gap - Missing Art. 9 Basis", IF(OR(I8048="Invalid - Not Freely Given", I8048="Invalid - Not Specific", I8048="Invalid - Not Informed", I8048="Invalid - Ambiguous"), "Gap - Invalid Consent", "Compliant")))))</f>
        <v/>
      </c>
      <c r="O8048" s="7" t="n"/>
    </row>
    <row r="8049">
      <c r="A8049" s="7" t="n"/>
      <c r="B8049" s="7" t="n"/>
      <c r="C8049" s="7" t="n"/>
      <c r="D8049" s="7" t="n"/>
      <c r="E8049" s="7" t="n"/>
      <c r="F8049" s="7" t="n"/>
      <c r="G8049" s="7" t="n"/>
      <c r="H8049" s="7" t="n"/>
      <c r="I8049" s="7" t="n"/>
      <c r="J8049" s="7" t="n"/>
      <c r="K8049">
        <f>IF(D8049="Legitimate Interest (GDPR Art. 6(1)(f))", "Yes / Required (Sheet 3)", "")</f>
        <v/>
      </c>
      <c r="L8049" s="7" t="n"/>
      <c r="M8049" s="7" t="n"/>
      <c r="N8049">
        <f>IF(D8049="", "Gap - No Legal Basis", IF(AND(D8049="Consent (GDPR Art. 6(1)(a))", I8049="Not Captured"), "Gap - Invalid Consent", IF(AND(D8049="Legitimate Interest (GDPR Art. 6(1)(f))", L8049=""), "Gap - Missing LIA", IF(AND(G8049="Yes", H8049=""), "Gap - Missing Art. 9 Basis", IF(OR(I8049="Invalid - Not Freely Given", I8049="Invalid - Not Specific", I8049="Invalid - Not Informed", I8049="Invalid - Ambiguous"), "Gap - Invalid Consent", "Compliant")))))</f>
        <v/>
      </c>
      <c r="O8049" s="7" t="n"/>
    </row>
    <row r="8050">
      <c r="A8050" s="7" t="n"/>
      <c r="B8050" s="7" t="n"/>
      <c r="C8050" s="7" t="n"/>
      <c r="D8050" s="7" t="n"/>
      <c r="E8050" s="7" t="n"/>
      <c r="F8050" s="7" t="n"/>
      <c r="G8050" s="7" t="n"/>
      <c r="H8050" s="7" t="n"/>
      <c r="I8050" s="7" t="n"/>
      <c r="J8050" s="7" t="n"/>
      <c r="K8050">
        <f>IF(D8050="Legitimate Interest (GDPR Art. 6(1)(f))", "Yes / Required (Sheet 3)", "")</f>
        <v/>
      </c>
      <c r="L8050" s="7" t="n"/>
      <c r="M8050" s="7" t="n"/>
      <c r="N8050">
        <f>IF(D8050="", "Gap - No Legal Basis", IF(AND(D8050="Consent (GDPR Art. 6(1)(a))", I8050="Not Captured"), "Gap - Invalid Consent", IF(AND(D8050="Legitimate Interest (GDPR Art. 6(1)(f))", L8050=""), "Gap - Missing LIA", IF(AND(G8050="Yes", H8050=""), "Gap - Missing Art. 9 Basis", IF(OR(I8050="Invalid - Not Freely Given", I8050="Invalid - Not Specific", I8050="Invalid - Not Informed", I8050="Invalid - Ambiguous"), "Gap - Invalid Consent", "Compliant")))))</f>
        <v/>
      </c>
      <c r="O8050" s="7" t="n"/>
    </row>
    <row r="8051">
      <c r="A8051" s="7" t="n"/>
      <c r="B8051" s="7" t="n"/>
      <c r="C8051" s="7" t="n"/>
      <c r="D8051" s="7" t="n"/>
      <c r="E8051" s="7" t="n"/>
      <c r="F8051" s="7" t="n"/>
      <c r="G8051" s="7" t="n"/>
      <c r="H8051" s="7" t="n"/>
      <c r="I8051" s="7" t="n"/>
      <c r="J8051" s="7" t="n"/>
      <c r="K8051">
        <f>IF(D8051="Legitimate Interest (GDPR Art. 6(1)(f))", "Yes / Required (Sheet 3)", "")</f>
        <v/>
      </c>
      <c r="L8051" s="7" t="n"/>
      <c r="M8051" s="7" t="n"/>
      <c r="N8051">
        <f>IF(D8051="", "Gap - No Legal Basis", IF(AND(D8051="Consent (GDPR Art. 6(1)(a))", I8051="Not Captured"), "Gap - Invalid Consent", IF(AND(D8051="Legitimate Interest (GDPR Art. 6(1)(f))", L8051=""), "Gap - Missing LIA", IF(AND(G8051="Yes", H8051=""), "Gap - Missing Art. 9 Basis", IF(OR(I8051="Invalid - Not Freely Given", I8051="Invalid - Not Specific", I8051="Invalid - Not Informed", I8051="Invalid - Ambiguous"), "Gap - Invalid Consent", "Compliant")))))</f>
        <v/>
      </c>
      <c r="O8051" s="7" t="n"/>
    </row>
    <row r="8052">
      <c r="A8052" s="7" t="n"/>
      <c r="B8052" s="7" t="n"/>
      <c r="C8052" s="7" t="n"/>
      <c r="D8052" s="7" t="n"/>
      <c r="E8052" s="7" t="n"/>
      <c r="F8052" s="7" t="n"/>
      <c r="G8052" s="7" t="n"/>
      <c r="H8052" s="7" t="n"/>
      <c r="I8052" s="7" t="n"/>
      <c r="J8052" s="7" t="n"/>
      <c r="K8052">
        <f>IF(D8052="Legitimate Interest (GDPR Art. 6(1)(f))", "Yes / Required (Sheet 3)", "")</f>
        <v/>
      </c>
      <c r="L8052" s="7" t="n"/>
      <c r="M8052" s="7" t="n"/>
      <c r="N8052">
        <f>IF(D8052="", "Gap - No Legal Basis", IF(AND(D8052="Consent (GDPR Art. 6(1)(a))", I8052="Not Captured"), "Gap - Invalid Consent", IF(AND(D8052="Legitimate Interest (GDPR Art. 6(1)(f))", L8052=""), "Gap - Missing LIA", IF(AND(G8052="Yes", H8052=""), "Gap - Missing Art. 9 Basis", IF(OR(I8052="Invalid - Not Freely Given", I8052="Invalid - Not Specific", I8052="Invalid - Not Informed", I8052="Invalid - Ambiguous"), "Gap - Invalid Consent", "Compliant")))))</f>
        <v/>
      </c>
      <c r="O8052" s="7" t="n"/>
    </row>
    <row r="8053">
      <c r="A8053" s="7" t="n"/>
      <c r="B8053" s="7" t="n"/>
      <c r="C8053" s="7" t="n"/>
      <c r="D8053" s="7" t="n"/>
      <c r="E8053" s="7" t="n"/>
      <c r="F8053" s="7" t="n"/>
      <c r="G8053" s="7" t="n"/>
      <c r="H8053" s="7" t="n"/>
      <c r="I8053" s="7" t="n"/>
      <c r="J8053" s="7" t="n"/>
      <c r="K8053">
        <f>IF(D8053="Legitimate Interest (GDPR Art. 6(1)(f))", "Yes / Required (Sheet 3)", "")</f>
        <v/>
      </c>
      <c r="L8053" s="7" t="n"/>
      <c r="M8053" s="7" t="n"/>
      <c r="N8053">
        <f>IF(D8053="", "Gap - No Legal Basis", IF(AND(D8053="Consent (GDPR Art. 6(1)(a))", I8053="Not Captured"), "Gap - Invalid Consent", IF(AND(D8053="Legitimate Interest (GDPR Art. 6(1)(f))", L8053=""), "Gap - Missing LIA", IF(AND(G8053="Yes", H8053=""), "Gap - Missing Art. 9 Basis", IF(OR(I8053="Invalid - Not Freely Given", I8053="Invalid - Not Specific", I8053="Invalid - Not Informed", I8053="Invalid - Ambiguous"), "Gap - Invalid Consent", "Compliant")))))</f>
        <v/>
      </c>
      <c r="O8053" s="7" t="n"/>
    </row>
    <row r="8054">
      <c r="A8054" s="7" t="n"/>
      <c r="B8054" s="7" t="n"/>
      <c r="C8054" s="7" t="n"/>
      <c r="D8054" s="7" t="n"/>
      <c r="E8054" s="7" t="n"/>
      <c r="F8054" s="7" t="n"/>
      <c r="G8054" s="7" t="n"/>
      <c r="H8054" s="7" t="n"/>
      <c r="I8054" s="7" t="n"/>
      <c r="J8054" s="7" t="n"/>
      <c r="K8054">
        <f>IF(D8054="Legitimate Interest (GDPR Art. 6(1)(f))", "Yes / Required (Sheet 3)", "")</f>
        <v/>
      </c>
      <c r="L8054" s="7" t="n"/>
      <c r="M8054" s="7" t="n"/>
      <c r="N8054">
        <f>IF(D8054="", "Gap - No Legal Basis", IF(AND(D8054="Consent (GDPR Art. 6(1)(a))", I8054="Not Captured"), "Gap - Invalid Consent", IF(AND(D8054="Legitimate Interest (GDPR Art. 6(1)(f))", L8054=""), "Gap - Missing LIA", IF(AND(G8054="Yes", H8054=""), "Gap - Missing Art. 9 Basis", IF(OR(I8054="Invalid - Not Freely Given", I8054="Invalid - Not Specific", I8054="Invalid - Not Informed", I8054="Invalid - Ambiguous"), "Gap - Invalid Consent", "Compliant")))))</f>
        <v/>
      </c>
      <c r="O8054" s="7" t="n"/>
    </row>
    <row r="8055">
      <c r="A8055" s="7" t="n"/>
      <c r="B8055" s="7" t="n"/>
      <c r="C8055" s="7" t="n"/>
      <c r="D8055" s="7" t="n"/>
      <c r="E8055" s="7" t="n"/>
      <c r="F8055" s="7" t="n"/>
      <c r="G8055" s="7" t="n"/>
      <c r="H8055" s="7" t="n"/>
      <c r="I8055" s="7" t="n"/>
      <c r="J8055" s="7" t="n"/>
      <c r="K8055">
        <f>IF(D8055="Legitimate Interest (GDPR Art. 6(1)(f))", "Yes / Required (Sheet 3)", "")</f>
        <v/>
      </c>
      <c r="L8055" s="7" t="n"/>
      <c r="M8055" s="7" t="n"/>
      <c r="N8055">
        <f>IF(D8055="", "Gap - No Legal Basis", IF(AND(D8055="Consent (GDPR Art. 6(1)(a))", I8055="Not Captured"), "Gap - Invalid Consent", IF(AND(D8055="Legitimate Interest (GDPR Art. 6(1)(f))", L8055=""), "Gap - Missing LIA", IF(AND(G8055="Yes", H8055=""), "Gap - Missing Art. 9 Basis", IF(OR(I8055="Invalid - Not Freely Given", I8055="Invalid - Not Specific", I8055="Invalid - Not Informed", I8055="Invalid - Ambiguous"), "Gap - Invalid Consent", "Compliant")))))</f>
        <v/>
      </c>
      <c r="O8055" s="7" t="n"/>
    </row>
    <row r="8056">
      <c r="A8056" s="7" t="n"/>
      <c r="B8056" s="7" t="n"/>
      <c r="C8056" s="7" t="n"/>
      <c r="D8056" s="7" t="n"/>
      <c r="E8056" s="7" t="n"/>
      <c r="F8056" s="7" t="n"/>
      <c r="G8056" s="7" t="n"/>
      <c r="H8056" s="7" t="n"/>
      <c r="I8056" s="7" t="n"/>
      <c r="J8056" s="7" t="n"/>
      <c r="K8056">
        <f>IF(D8056="Legitimate Interest (GDPR Art. 6(1)(f))", "Yes / Required (Sheet 3)", "")</f>
        <v/>
      </c>
      <c r="L8056" s="7" t="n"/>
      <c r="M8056" s="7" t="n"/>
      <c r="N8056">
        <f>IF(D8056="", "Gap - No Legal Basis", IF(AND(D8056="Consent (GDPR Art. 6(1)(a))", I8056="Not Captured"), "Gap - Invalid Consent", IF(AND(D8056="Legitimate Interest (GDPR Art. 6(1)(f))", L8056=""), "Gap - Missing LIA", IF(AND(G8056="Yes", H8056=""), "Gap - Missing Art. 9 Basis", IF(OR(I8056="Invalid - Not Freely Given", I8056="Invalid - Not Specific", I8056="Invalid - Not Informed", I8056="Invalid - Ambiguous"), "Gap - Invalid Consent", "Compliant")))))</f>
        <v/>
      </c>
      <c r="O8056" s="7" t="n"/>
    </row>
    <row r="8057">
      <c r="A8057" s="7" t="n"/>
      <c r="B8057" s="7" t="n"/>
      <c r="C8057" s="7" t="n"/>
      <c r="D8057" s="7" t="n"/>
      <c r="E8057" s="7" t="n"/>
      <c r="F8057" s="7" t="n"/>
      <c r="G8057" s="7" t="n"/>
      <c r="H8057" s="7" t="n"/>
      <c r="I8057" s="7" t="n"/>
      <c r="J8057" s="7" t="n"/>
      <c r="K8057">
        <f>IF(D8057="Legitimate Interest (GDPR Art. 6(1)(f))", "Yes / Required (Sheet 3)", "")</f>
        <v/>
      </c>
      <c r="L8057" s="7" t="n"/>
      <c r="M8057" s="7" t="n"/>
      <c r="N8057">
        <f>IF(D8057="", "Gap - No Legal Basis", IF(AND(D8057="Consent (GDPR Art. 6(1)(a))", I8057="Not Captured"), "Gap - Invalid Consent", IF(AND(D8057="Legitimate Interest (GDPR Art. 6(1)(f))", L8057=""), "Gap - Missing LIA", IF(AND(G8057="Yes", H8057=""), "Gap - Missing Art. 9 Basis", IF(OR(I8057="Invalid - Not Freely Given", I8057="Invalid - Not Specific", I8057="Invalid - Not Informed", I8057="Invalid - Ambiguous"), "Gap - Invalid Consent", "Compliant")))))</f>
        <v/>
      </c>
      <c r="O8057" s="7" t="n"/>
    </row>
    <row r="8058">
      <c r="A8058" s="7" t="n"/>
      <c r="B8058" s="7" t="n"/>
      <c r="C8058" s="7" t="n"/>
      <c r="D8058" s="7" t="n"/>
      <c r="E8058" s="7" t="n"/>
      <c r="F8058" s="7" t="n"/>
      <c r="G8058" s="7" t="n"/>
      <c r="H8058" s="7" t="n"/>
      <c r="I8058" s="7" t="n"/>
      <c r="J8058" s="7" t="n"/>
      <c r="K8058">
        <f>IF(D8058="Legitimate Interest (GDPR Art. 6(1)(f))", "Yes / Required (Sheet 3)", "")</f>
        <v/>
      </c>
      <c r="L8058" s="7" t="n"/>
      <c r="M8058" s="7" t="n"/>
      <c r="N8058">
        <f>IF(D8058="", "Gap - No Legal Basis", IF(AND(D8058="Consent (GDPR Art. 6(1)(a))", I8058="Not Captured"), "Gap - Invalid Consent", IF(AND(D8058="Legitimate Interest (GDPR Art. 6(1)(f))", L8058=""), "Gap - Missing LIA", IF(AND(G8058="Yes", H8058=""), "Gap - Missing Art. 9 Basis", IF(OR(I8058="Invalid - Not Freely Given", I8058="Invalid - Not Specific", I8058="Invalid - Not Informed", I8058="Invalid - Ambiguous"), "Gap - Invalid Consent", "Compliant")))))</f>
        <v/>
      </c>
      <c r="O8058" s="7" t="n"/>
    </row>
    <row r="8059">
      <c r="A8059" s="7" t="n"/>
      <c r="B8059" s="7" t="n"/>
      <c r="C8059" s="7" t="n"/>
      <c r="D8059" s="7" t="n"/>
      <c r="E8059" s="7" t="n"/>
      <c r="F8059" s="7" t="n"/>
      <c r="G8059" s="7" t="n"/>
      <c r="H8059" s="7" t="n"/>
      <c r="I8059" s="7" t="n"/>
      <c r="J8059" s="7" t="n"/>
      <c r="K8059">
        <f>IF(D8059="Legitimate Interest (GDPR Art. 6(1)(f))", "Yes / Required (Sheet 3)", "")</f>
        <v/>
      </c>
      <c r="L8059" s="7" t="n"/>
      <c r="M8059" s="7" t="n"/>
      <c r="N8059">
        <f>IF(D8059="", "Gap - No Legal Basis", IF(AND(D8059="Consent (GDPR Art. 6(1)(a))", I8059="Not Captured"), "Gap - Invalid Consent", IF(AND(D8059="Legitimate Interest (GDPR Art. 6(1)(f))", L8059=""), "Gap - Missing LIA", IF(AND(G8059="Yes", H8059=""), "Gap - Missing Art. 9 Basis", IF(OR(I8059="Invalid - Not Freely Given", I8059="Invalid - Not Specific", I8059="Invalid - Not Informed", I8059="Invalid - Ambiguous"), "Gap - Invalid Consent", "Compliant")))))</f>
        <v/>
      </c>
      <c r="O8059" s="7" t="n"/>
    </row>
    <row r="8060">
      <c r="A8060" s="7" t="n"/>
      <c r="B8060" s="7" t="n"/>
      <c r="C8060" s="7" t="n"/>
      <c r="D8060" s="7" t="n"/>
      <c r="E8060" s="7" t="n"/>
      <c r="F8060" s="7" t="n"/>
      <c r="G8060" s="7" t="n"/>
      <c r="H8060" s="7" t="n"/>
      <c r="I8060" s="7" t="n"/>
      <c r="J8060" s="7" t="n"/>
      <c r="K8060">
        <f>IF(D8060="Legitimate Interest (GDPR Art. 6(1)(f))", "Yes / Required (Sheet 3)", "")</f>
        <v/>
      </c>
      <c r="L8060" s="7" t="n"/>
      <c r="M8060" s="7" t="n"/>
      <c r="N8060">
        <f>IF(D8060="", "Gap - No Legal Basis", IF(AND(D8060="Consent (GDPR Art. 6(1)(a))", I8060="Not Captured"), "Gap - Invalid Consent", IF(AND(D8060="Legitimate Interest (GDPR Art. 6(1)(f))", L8060=""), "Gap - Missing LIA", IF(AND(G8060="Yes", H8060=""), "Gap - Missing Art. 9 Basis", IF(OR(I8060="Invalid - Not Freely Given", I8060="Invalid - Not Specific", I8060="Invalid - Not Informed", I8060="Invalid - Ambiguous"), "Gap - Invalid Consent", "Compliant")))))</f>
        <v/>
      </c>
      <c r="O8060" s="7" t="n"/>
    </row>
    <row r="8061">
      <c r="A8061" s="7" t="n"/>
      <c r="B8061" s="7" t="n"/>
      <c r="C8061" s="7" t="n"/>
      <c r="D8061" s="7" t="n"/>
      <c r="E8061" s="7" t="n"/>
      <c r="F8061" s="7" t="n"/>
      <c r="G8061" s="7" t="n"/>
      <c r="H8061" s="7" t="n"/>
      <c r="I8061" s="7" t="n"/>
      <c r="J8061" s="7" t="n"/>
      <c r="K8061">
        <f>IF(D8061="Legitimate Interest (GDPR Art. 6(1)(f))", "Yes / Required (Sheet 3)", "")</f>
        <v/>
      </c>
      <c r="L8061" s="7" t="n"/>
      <c r="M8061" s="7" t="n"/>
      <c r="N8061">
        <f>IF(D8061="", "Gap - No Legal Basis", IF(AND(D8061="Consent (GDPR Art. 6(1)(a))", I8061="Not Captured"), "Gap - Invalid Consent", IF(AND(D8061="Legitimate Interest (GDPR Art. 6(1)(f))", L8061=""), "Gap - Missing LIA", IF(AND(G8061="Yes", H8061=""), "Gap - Missing Art. 9 Basis", IF(OR(I8061="Invalid - Not Freely Given", I8061="Invalid - Not Specific", I8061="Invalid - Not Informed", I8061="Invalid - Ambiguous"), "Gap - Invalid Consent", "Compliant")))))</f>
        <v/>
      </c>
      <c r="O8061" s="7" t="n"/>
    </row>
    <row r="8062">
      <c r="A8062" s="7" t="n"/>
      <c r="B8062" s="7" t="n"/>
      <c r="C8062" s="7" t="n"/>
      <c r="D8062" s="7" t="n"/>
      <c r="E8062" s="7" t="n"/>
      <c r="F8062" s="7" t="n"/>
      <c r="G8062" s="7" t="n"/>
      <c r="H8062" s="7" t="n"/>
      <c r="I8062" s="7" t="n"/>
      <c r="J8062" s="7" t="n"/>
      <c r="K8062">
        <f>IF(D8062="Legitimate Interest (GDPR Art. 6(1)(f))", "Yes / Required (Sheet 3)", "")</f>
        <v/>
      </c>
      <c r="L8062" s="7" t="n"/>
      <c r="M8062" s="7" t="n"/>
      <c r="N8062">
        <f>IF(D8062="", "Gap - No Legal Basis", IF(AND(D8062="Consent (GDPR Art. 6(1)(a))", I8062="Not Captured"), "Gap - Invalid Consent", IF(AND(D8062="Legitimate Interest (GDPR Art. 6(1)(f))", L8062=""), "Gap - Missing LIA", IF(AND(G8062="Yes", H8062=""), "Gap - Missing Art. 9 Basis", IF(OR(I8062="Invalid - Not Freely Given", I8062="Invalid - Not Specific", I8062="Invalid - Not Informed", I8062="Invalid - Ambiguous"), "Gap - Invalid Consent", "Compliant")))))</f>
        <v/>
      </c>
      <c r="O8062" s="7" t="n"/>
    </row>
    <row r="8063">
      <c r="A8063" s="7" t="n"/>
      <c r="B8063" s="7" t="n"/>
      <c r="C8063" s="7" t="n"/>
      <c r="D8063" s="7" t="n"/>
      <c r="E8063" s="7" t="n"/>
      <c r="F8063" s="7" t="n"/>
      <c r="G8063" s="7" t="n"/>
      <c r="H8063" s="7" t="n"/>
      <c r="I8063" s="7" t="n"/>
      <c r="J8063" s="7" t="n"/>
      <c r="K8063">
        <f>IF(D8063="Legitimate Interest (GDPR Art. 6(1)(f))", "Yes / Required (Sheet 3)", "")</f>
        <v/>
      </c>
      <c r="L8063" s="7" t="n"/>
      <c r="M8063" s="7" t="n"/>
      <c r="N8063">
        <f>IF(D8063="", "Gap - No Legal Basis", IF(AND(D8063="Consent (GDPR Art. 6(1)(a))", I8063="Not Captured"), "Gap - Invalid Consent", IF(AND(D8063="Legitimate Interest (GDPR Art. 6(1)(f))", L8063=""), "Gap - Missing LIA", IF(AND(G8063="Yes", H8063=""), "Gap - Missing Art. 9 Basis", IF(OR(I8063="Invalid - Not Freely Given", I8063="Invalid - Not Specific", I8063="Invalid - Not Informed", I8063="Invalid - Ambiguous"), "Gap - Invalid Consent", "Compliant")))))</f>
        <v/>
      </c>
      <c r="O8063" s="7" t="n"/>
    </row>
    <row r="8064">
      <c r="A8064" s="7" t="n"/>
      <c r="B8064" s="7" t="n"/>
      <c r="C8064" s="7" t="n"/>
      <c r="D8064" s="7" t="n"/>
      <c r="E8064" s="7" t="n"/>
      <c r="F8064" s="7" t="n"/>
      <c r="G8064" s="7" t="n"/>
      <c r="H8064" s="7" t="n"/>
      <c r="I8064" s="7" t="n"/>
      <c r="J8064" s="7" t="n"/>
      <c r="K8064">
        <f>IF(D8064="Legitimate Interest (GDPR Art. 6(1)(f))", "Yes / Required (Sheet 3)", "")</f>
        <v/>
      </c>
      <c r="L8064" s="7" t="n"/>
      <c r="M8064" s="7" t="n"/>
      <c r="N8064">
        <f>IF(D8064="", "Gap - No Legal Basis", IF(AND(D8064="Consent (GDPR Art. 6(1)(a))", I8064="Not Captured"), "Gap - Invalid Consent", IF(AND(D8064="Legitimate Interest (GDPR Art. 6(1)(f))", L8064=""), "Gap - Missing LIA", IF(AND(G8064="Yes", H8064=""), "Gap - Missing Art. 9 Basis", IF(OR(I8064="Invalid - Not Freely Given", I8064="Invalid - Not Specific", I8064="Invalid - Not Informed", I8064="Invalid - Ambiguous"), "Gap - Invalid Consent", "Compliant")))))</f>
        <v/>
      </c>
      <c r="O8064" s="7" t="n"/>
    </row>
    <row r="8065">
      <c r="A8065" s="7" t="n"/>
      <c r="B8065" s="7" t="n"/>
      <c r="C8065" s="7" t="n"/>
      <c r="D8065" s="7" t="n"/>
      <c r="E8065" s="7" t="n"/>
      <c r="F8065" s="7" t="n"/>
      <c r="G8065" s="7" t="n"/>
      <c r="H8065" s="7" t="n"/>
      <c r="I8065" s="7" t="n"/>
      <c r="J8065" s="7" t="n"/>
      <c r="K8065">
        <f>IF(D8065="Legitimate Interest (GDPR Art. 6(1)(f))", "Yes / Required (Sheet 3)", "")</f>
        <v/>
      </c>
      <c r="L8065" s="7" t="n"/>
      <c r="M8065" s="7" t="n"/>
      <c r="N8065">
        <f>IF(D8065="", "Gap - No Legal Basis", IF(AND(D8065="Consent (GDPR Art. 6(1)(a))", I8065="Not Captured"), "Gap - Invalid Consent", IF(AND(D8065="Legitimate Interest (GDPR Art. 6(1)(f))", L8065=""), "Gap - Missing LIA", IF(AND(G8065="Yes", H8065=""), "Gap - Missing Art. 9 Basis", IF(OR(I8065="Invalid - Not Freely Given", I8065="Invalid - Not Specific", I8065="Invalid - Not Informed", I8065="Invalid - Ambiguous"), "Gap - Invalid Consent", "Compliant")))))</f>
        <v/>
      </c>
      <c r="O8065" s="7" t="n"/>
    </row>
    <row r="8066">
      <c r="A8066" s="7" t="n"/>
      <c r="B8066" s="7" t="n"/>
      <c r="C8066" s="7" t="n"/>
      <c r="D8066" s="7" t="n"/>
      <c r="E8066" s="7" t="n"/>
      <c r="F8066" s="7" t="n"/>
      <c r="G8066" s="7" t="n"/>
      <c r="H8066" s="7" t="n"/>
      <c r="I8066" s="7" t="n"/>
      <c r="J8066" s="7" t="n"/>
      <c r="K8066">
        <f>IF(D8066="Legitimate Interest (GDPR Art. 6(1)(f))", "Yes / Required (Sheet 3)", "")</f>
        <v/>
      </c>
      <c r="L8066" s="7" t="n"/>
      <c r="M8066" s="7" t="n"/>
      <c r="N8066">
        <f>IF(D8066="", "Gap - No Legal Basis", IF(AND(D8066="Consent (GDPR Art. 6(1)(a))", I8066="Not Captured"), "Gap - Invalid Consent", IF(AND(D8066="Legitimate Interest (GDPR Art. 6(1)(f))", L8066=""), "Gap - Missing LIA", IF(AND(G8066="Yes", H8066=""), "Gap - Missing Art. 9 Basis", IF(OR(I8066="Invalid - Not Freely Given", I8066="Invalid - Not Specific", I8066="Invalid - Not Informed", I8066="Invalid - Ambiguous"), "Gap - Invalid Consent", "Compliant")))))</f>
        <v/>
      </c>
      <c r="O8066" s="7" t="n"/>
    </row>
    <row r="8067">
      <c r="A8067" s="7" t="n"/>
      <c r="B8067" s="7" t="n"/>
      <c r="C8067" s="7" t="n"/>
      <c r="D8067" s="7" t="n"/>
      <c r="E8067" s="7" t="n"/>
      <c r="F8067" s="7" t="n"/>
      <c r="G8067" s="7" t="n"/>
      <c r="H8067" s="7" t="n"/>
      <c r="I8067" s="7" t="n"/>
      <c r="J8067" s="7" t="n"/>
      <c r="K8067">
        <f>IF(D8067="Legitimate Interest (GDPR Art. 6(1)(f))", "Yes / Required (Sheet 3)", "")</f>
        <v/>
      </c>
      <c r="L8067" s="7" t="n"/>
      <c r="M8067" s="7" t="n"/>
      <c r="N8067">
        <f>IF(D8067="", "Gap - No Legal Basis", IF(AND(D8067="Consent (GDPR Art. 6(1)(a))", I8067="Not Captured"), "Gap - Invalid Consent", IF(AND(D8067="Legitimate Interest (GDPR Art. 6(1)(f))", L8067=""), "Gap - Missing LIA", IF(AND(G8067="Yes", H8067=""), "Gap - Missing Art. 9 Basis", IF(OR(I8067="Invalid - Not Freely Given", I8067="Invalid - Not Specific", I8067="Invalid - Not Informed", I8067="Invalid - Ambiguous"), "Gap - Invalid Consent", "Compliant")))))</f>
        <v/>
      </c>
      <c r="O8067" s="7" t="n"/>
    </row>
    <row r="8068">
      <c r="A8068" s="7" t="n"/>
      <c r="B8068" s="7" t="n"/>
      <c r="C8068" s="7" t="n"/>
      <c r="D8068" s="7" t="n"/>
      <c r="E8068" s="7" t="n"/>
      <c r="F8068" s="7" t="n"/>
      <c r="G8068" s="7" t="n"/>
      <c r="H8068" s="7" t="n"/>
      <c r="I8068" s="7" t="n"/>
      <c r="J8068" s="7" t="n"/>
      <c r="K8068">
        <f>IF(D8068="Legitimate Interest (GDPR Art. 6(1)(f))", "Yes / Required (Sheet 3)", "")</f>
        <v/>
      </c>
      <c r="L8068" s="7" t="n"/>
      <c r="M8068" s="7" t="n"/>
      <c r="N8068">
        <f>IF(D8068="", "Gap - No Legal Basis", IF(AND(D8068="Consent (GDPR Art. 6(1)(a))", I8068="Not Captured"), "Gap - Invalid Consent", IF(AND(D8068="Legitimate Interest (GDPR Art. 6(1)(f))", L8068=""), "Gap - Missing LIA", IF(AND(G8068="Yes", H8068=""), "Gap - Missing Art. 9 Basis", IF(OR(I8068="Invalid - Not Freely Given", I8068="Invalid - Not Specific", I8068="Invalid - Not Informed", I8068="Invalid - Ambiguous"), "Gap - Invalid Consent", "Compliant")))))</f>
        <v/>
      </c>
      <c r="O8068" s="7" t="n"/>
    </row>
    <row r="8069">
      <c r="A8069" s="7" t="n"/>
      <c r="B8069" s="7" t="n"/>
      <c r="C8069" s="7" t="n"/>
      <c r="D8069" s="7" t="n"/>
      <c r="E8069" s="7" t="n"/>
      <c r="F8069" s="7" t="n"/>
      <c r="G8069" s="7" t="n"/>
      <c r="H8069" s="7" t="n"/>
      <c r="I8069" s="7" t="n"/>
      <c r="J8069" s="7" t="n"/>
      <c r="K8069">
        <f>IF(D8069="Legitimate Interest (GDPR Art. 6(1)(f))", "Yes / Required (Sheet 3)", "")</f>
        <v/>
      </c>
      <c r="L8069" s="7" t="n"/>
      <c r="M8069" s="7" t="n"/>
      <c r="N8069">
        <f>IF(D8069="", "Gap - No Legal Basis", IF(AND(D8069="Consent (GDPR Art. 6(1)(a))", I8069="Not Captured"), "Gap - Invalid Consent", IF(AND(D8069="Legitimate Interest (GDPR Art. 6(1)(f))", L8069=""), "Gap - Missing LIA", IF(AND(G8069="Yes", H8069=""), "Gap - Missing Art. 9 Basis", IF(OR(I8069="Invalid - Not Freely Given", I8069="Invalid - Not Specific", I8069="Invalid - Not Informed", I8069="Invalid - Ambiguous"), "Gap - Invalid Consent", "Compliant")))))</f>
        <v/>
      </c>
      <c r="O8069" s="7" t="n"/>
    </row>
    <row r="8070">
      <c r="A8070" s="7" t="n"/>
      <c r="B8070" s="7" t="n"/>
      <c r="C8070" s="7" t="n"/>
      <c r="D8070" s="7" t="n"/>
      <c r="E8070" s="7" t="n"/>
      <c r="F8070" s="7" t="n"/>
      <c r="G8070" s="7" t="n"/>
      <c r="H8070" s="7" t="n"/>
      <c r="I8070" s="7" t="n"/>
      <c r="J8070" s="7" t="n"/>
      <c r="K8070">
        <f>IF(D8070="Legitimate Interest (GDPR Art. 6(1)(f))", "Yes / Required (Sheet 3)", "")</f>
        <v/>
      </c>
      <c r="L8070" s="7" t="n"/>
      <c r="M8070" s="7" t="n"/>
      <c r="N8070">
        <f>IF(D8070="", "Gap - No Legal Basis", IF(AND(D8070="Consent (GDPR Art. 6(1)(a))", I8070="Not Captured"), "Gap - Invalid Consent", IF(AND(D8070="Legitimate Interest (GDPR Art. 6(1)(f))", L8070=""), "Gap - Missing LIA", IF(AND(G8070="Yes", H8070=""), "Gap - Missing Art. 9 Basis", IF(OR(I8070="Invalid - Not Freely Given", I8070="Invalid - Not Specific", I8070="Invalid - Not Informed", I8070="Invalid - Ambiguous"), "Gap - Invalid Consent", "Compliant")))))</f>
        <v/>
      </c>
      <c r="O8070" s="7" t="n"/>
    </row>
    <row r="8071">
      <c r="A8071" s="7" t="n"/>
      <c r="B8071" s="7" t="n"/>
      <c r="C8071" s="7" t="n"/>
      <c r="D8071" s="7" t="n"/>
      <c r="E8071" s="7" t="n"/>
      <c r="F8071" s="7" t="n"/>
      <c r="G8071" s="7" t="n"/>
      <c r="H8071" s="7" t="n"/>
      <c r="I8071" s="7" t="n"/>
      <c r="J8071" s="7" t="n"/>
      <c r="K8071">
        <f>IF(D8071="Legitimate Interest (GDPR Art. 6(1)(f))", "Yes / Required (Sheet 3)", "")</f>
        <v/>
      </c>
      <c r="L8071" s="7" t="n"/>
      <c r="M8071" s="7" t="n"/>
      <c r="N8071">
        <f>IF(D8071="", "Gap - No Legal Basis", IF(AND(D8071="Consent (GDPR Art. 6(1)(a))", I8071="Not Captured"), "Gap - Invalid Consent", IF(AND(D8071="Legitimate Interest (GDPR Art. 6(1)(f))", L8071=""), "Gap - Missing LIA", IF(AND(G8071="Yes", H8071=""), "Gap - Missing Art. 9 Basis", IF(OR(I8071="Invalid - Not Freely Given", I8071="Invalid - Not Specific", I8071="Invalid - Not Informed", I8071="Invalid - Ambiguous"), "Gap - Invalid Consent", "Compliant")))))</f>
        <v/>
      </c>
      <c r="O8071" s="7" t="n"/>
    </row>
    <row r="8072">
      <c r="A8072" s="7" t="n"/>
      <c r="B8072" s="7" t="n"/>
      <c r="C8072" s="7" t="n"/>
      <c r="D8072" s="7" t="n"/>
      <c r="E8072" s="7" t="n"/>
      <c r="F8072" s="7" t="n"/>
      <c r="G8072" s="7" t="n"/>
      <c r="H8072" s="7" t="n"/>
      <c r="I8072" s="7" t="n"/>
      <c r="J8072" s="7" t="n"/>
      <c r="K8072">
        <f>IF(D8072="Legitimate Interest (GDPR Art. 6(1)(f))", "Yes / Required (Sheet 3)", "")</f>
        <v/>
      </c>
      <c r="L8072" s="7" t="n"/>
      <c r="M8072" s="7" t="n"/>
      <c r="N8072">
        <f>IF(D8072="", "Gap - No Legal Basis", IF(AND(D8072="Consent (GDPR Art. 6(1)(a))", I8072="Not Captured"), "Gap - Invalid Consent", IF(AND(D8072="Legitimate Interest (GDPR Art. 6(1)(f))", L8072=""), "Gap - Missing LIA", IF(AND(G8072="Yes", H8072=""), "Gap - Missing Art. 9 Basis", IF(OR(I8072="Invalid - Not Freely Given", I8072="Invalid - Not Specific", I8072="Invalid - Not Informed", I8072="Invalid - Ambiguous"), "Gap - Invalid Consent", "Compliant")))))</f>
        <v/>
      </c>
      <c r="O8072" s="7" t="n"/>
    </row>
    <row r="8073">
      <c r="A8073" s="7" t="n"/>
      <c r="B8073" s="7" t="n"/>
      <c r="C8073" s="7" t="n"/>
      <c r="D8073" s="7" t="n"/>
      <c r="E8073" s="7" t="n"/>
      <c r="F8073" s="7" t="n"/>
      <c r="G8073" s="7" t="n"/>
      <c r="H8073" s="7" t="n"/>
      <c r="I8073" s="7" t="n"/>
      <c r="J8073" s="7" t="n"/>
      <c r="K8073">
        <f>IF(D8073="Legitimate Interest (GDPR Art. 6(1)(f))", "Yes / Required (Sheet 3)", "")</f>
        <v/>
      </c>
      <c r="L8073" s="7" t="n"/>
      <c r="M8073" s="7" t="n"/>
      <c r="N8073">
        <f>IF(D8073="", "Gap - No Legal Basis", IF(AND(D8073="Consent (GDPR Art. 6(1)(a))", I8073="Not Captured"), "Gap - Invalid Consent", IF(AND(D8073="Legitimate Interest (GDPR Art. 6(1)(f))", L8073=""), "Gap - Missing LIA", IF(AND(G8073="Yes", H8073=""), "Gap - Missing Art. 9 Basis", IF(OR(I8073="Invalid - Not Freely Given", I8073="Invalid - Not Specific", I8073="Invalid - Not Informed", I8073="Invalid - Ambiguous"), "Gap - Invalid Consent", "Compliant")))))</f>
        <v/>
      </c>
      <c r="O8073" s="7" t="n"/>
    </row>
    <row r="8074">
      <c r="A8074" s="7" t="n"/>
      <c r="B8074" s="7" t="n"/>
      <c r="C8074" s="7" t="n"/>
      <c r="D8074" s="7" t="n"/>
      <c r="E8074" s="7" t="n"/>
      <c r="F8074" s="7" t="n"/>
      <c r="G8074" s="7" t="n"/>
      <c r="H8074" s="7" t="n"/>
      <c r="I8074" s="7" t="n"/>
      <c r="J8074" s="7" t="n"/>
      <c r="K8074">
        <f>IF(D8074="Legitimate Interest (GDPR Art. 6(1)(f))", "Yes / Required (Sheet 3)", "")</f>
        <v/>
      </c>
      <c r="L8074" s="7" t="n"/>
      <c r="M8074" s="7" t="n"/>
      <c r="N8074">
        <f>IF(D8074="", "Gap - No Legal Basis", IF(AND(D8074="Consent (GDPR Art. 6(1)(a))", I8074="Not Captured"), "Gap - Invalid Consent", IF(AND(D8074="Legitimate Interest (GDPR Art. 6(1)(f))", L8074=""), "Gap - Missing LIA", IF(AND(G8074="Yes", H8074=""), "Gap - Missing Art. 9 Basis", IF(OR(I8074="Invalid - Not Freely Given", I8074="Invalid - Not Specific", I8074="Invalid - Not Informed", I8074="Invalid - Ambiguous"), "Gap - Invalid Consent", "Compliant")))))</f>
        <v/>
      </c>
      <c r="O8074" s="7" t="n"/>
    </row>
    <row r="8075">
      <c r="A8075" s="7" t="n"/>
      <c r="B8075" s="7" t="n"/>
      <c r="C8075" s="7" t="n"/>
      <c r="D8075" s="7" t="n"/>
      <c r="E8075" s="7" t="n"/>
      <c r="F8075" s="7" t="n"/>
      <c r="G8075" s="7" t="n"/>
      <c r="H8075" s="7" t="n"/>
      <c r="I8075" s="7" t="n"/>
      <c r="J8075" s="7" t="n"/>
      <c r="K8075">
        <f>IF(D8075="Legitimate Interest (GDPR Art. 6(1)(f))", "Yes / Required (Sheet 3)", "")</f>
        <v/>
      </c>
      <c r="L8075" s="7" t="n"/>
      <c r="M8075" s="7" t="n"/>
      <c r="N8075">
        <f>IF(D8075="", "Gap - No Legal Basis", IF(AND(D8075="Consent (GDPR Art. 6(1)(a))", I8075="Not Captured"), "Gap - Invalid Consent", IF(AND(D8075="Legitimate Interest (GDPR Art. 6(1)(f))", L8075=""), "Gap - Missing LIA", IF(AND(G8075="Yes", H8075=""), "Gap - Missing Art. 9 Basis", IF(OR(I8075="Invalid - Not Freely Given", I8075="Invalid - Not Specific", I8075="Invalid - Not Informed", I8075="Invalid - Ambiguous"), "Gap - Invalid Consent", "Compliant")))))</f>
        <v/>
      </c>
      <c r="O8075" s="7" t="n"/>
    </row>
    <row r="8076">
      <c r="A8076" s="7" t="n"/>
      <c r="B8076" s="7" t="n"/>
      <c r="C8076" s="7" t="n"/>
      <c r="D8076" s="7" t="n"/>
      <c r="E8076" s="7" t="n"/>
      <c r="F8076" s="7" t="n"/>
      <c r="G8076" s="7" t="n"/>
      <c r="H8076" s="7" t="n"/>
      <c r="I8076" s="7" t="n"/>
      <c r="J8076" s="7" t="n"/>
      <c r="K8076">
        <f>IF(D8076="Legitimate Interest (GDPR Art. 6(1)(f))", "Yes / Required (Sheet 3)", "")</f>
        <v/>
      </c>
      <c r="L8076" s="7" t="n"/>
      <c r="M8076" s="7" t="n"/>
      <c r="N8076">
        <f>IF(D8076="", "Gap - No Legal Basis", IF(AND(D8076="Consent (GDPR Art. 6(1)(a))", I8076="Not Captured"), "Gap - Invalid Consent", IF(AND(D8076="Legitimate Interest (GDPR Art. 6(1)(f))", L8076=""), "Gap - Missing LIA", IF(AND(G8076="Yes", H8076=""), "Gap - Missing Art. 9 Basis", IF(OR(I8076="Invalid - Not Freely Given", I8076="Invalid - Not Specific", I8076="Invalid - Not Informed", I8076="Invalid - Ambiguous"), "Gap - Invalid Consent", "Compliant")))))</f>
        <v/>
      </c>
      <c r="O8076" s="7" t="n"/>
    </row>
    <row r="8077">
      <c r="A8077" s="7" t="n"/>
      <c r="B8077" s="7" t="n"/>
      <c r="C8077" s="7" t="n"/>
      <c r="D8077" s="7" t="n"/>
      <c r="E8077" s="7" t="n"/>
      <c r="F8077" s="7" t="n"/>
      <c r="G8077" s="7" t="n"/>
      <c r="H8077" s="7" t="n"/>
      <c r="I8077" s="7" t="n"/>
      <c r="J8077" s="7" t="n"/>
      <c r="K8077">
        <f>IF(D8077="Legitimate Interest (GDPR Art. 6(1)(f))", "Yes / Required (Sheet 3)", "")</f>
        <v/>
      </c>
      <c r="L8077" s="7" t="n"/>
      <c r="M8077" s="7" t="n"/>
      <c r="N8077">
        <f>IF(D8077="", "Gap - No Legal Basis", IF(AND(D8077="Consent (GDPR Art. 6(1)(a))", I8077="Not Captured"), "Gap - Invalid Consent", IF(AND(D8077="Legitimate Interest (GDPR Art. 6(1)(f))", L8077=""), "Gap - Missing LIA", IF(AND(G8077="Yes", H8077=""), "Gap - Missing Art. 9 Basis", IF(OR(I8077="Invalid - Not Freely Given", I8077="Invalid - Not Specific", I8077="Invalid - Not Informed", I8077="Invalid - Ambiguous"), "Gap - Invalid Consent", "Compliant")))))</f>
        <v/>
      </c>
      <c r="O8077" s="7" t="n"/>
    </row>
    <row r="8078">
      <c r="A8078" s="7" t="n"/>
      <c r="B8078" s="7" t="n"/>
      <c r="C8078" s="7" t="n"/>
      <c r="D8078" s="7" t="n"/>
      <c r="E8078" s="7" t="n"/>
      <c r="F8078" s="7" t="n"/>
      <c r="G8078" s="7" t="n"/>
      <c r="H8078" s="7" t="n"/>
      <c r="I8078" s="7" t="n"/>
      <c r="J8078" s="7" t="n"/>
      <c r="K8078">
        <f>IF(D8078="Legitimate Interest (GDPR Art. 6(1)(f))", "Yes / Required (Sheet 3)", "")</f>
        <v/>
      </c>
      <c r="L8078" s="7" t="n"/>
      <c r="M8078" s="7" t="n"/>
      <c r="N8078">
        <f>IF(D8078="", "Gap - No Legal Basis", IF(AND(D8078="Consent (GDPR Art. 6(1)(a))", I8078="Not Captured"), "Gap - Invalid Consent", IF(AND(D8078="Legitimate Interest (GDPR Art. 6(1)(f))", L8078=""), "Gap - Missing LIA", IF(AND(G8078="Yes", H8078=""), "Gap - Missing Art. 9 Basis", IF(OR(I8078="Invalid - Not Freely Given", I8078="Invalid - Not Specific", I8078="Invalid - Not Informed", I8078="Invalid - Ambiguous"), "Gap - Invalid Consent", "Compliant")))))</f>
        <v/>
      </c>
      <c r="O8078" s="7" t="n"/>
    </row>
    <row r="8079">
      <c r="A8079" s="7" t="n"/>
      <c r="B8079" s="7" t="n"/>
      <c r="C8079" s="7" t="n"/>
      <c r="D8079" s="7" t="n"/>
      <c r="E8079" s="7" t="n"/>
      <c r="F8079" s="7" t="n"/>
      <c r="G8079" s="7" t="n"/>
      <c r="H8079" s="7" t="n"/>
      <c r="I8079" s="7" t="n"/>
      <c r="J8079" s="7" t="n"/>
      <c r="K8079">
        <f>IF(D8079="Legitimate Interest (GDPR Art. 6(1)(f))", "Yes / Required (Sheet 3)", "")</f>
        <v/>
      </c>
      <c r="L8079" s="7" t="n"/>
      <c r="M8079" s="7" t="n"/>
      <c r="N8079">
        <f>IF(D8079="", "Gap - No Legal Basis", IF(AND(D8079="Consent (GDPR Art. 6(1)(a))", I8079="Not Captured"), "Gap - Invalid Consent", IF(AND(D8079="Legitimate Interest (GDPR Art. 6(1)(f))", L8079=""), "Gap - Missing LIA", IF(AND(G8079="Yes", H8079=""), "Gap - Missing Art. 9 Basis", IF(OR(I8079="Invalid - Not Freely Given", I8079="Invalid - Not Specific", I8079="Invalid - Not Informed", I8079="Invalid - Ambiguous"), "Gap - Invalid Consent", "Compliant")))))</f>
        <v/>
      </c>
      <c r="O8079" s="7" t="n"/>
    </row>
    <row r="8080">
      <c r="A8080" s="7" t="n"/>
      <c r="B8080" s="7" t="n"/>
      <c r="C8080" s="7" t="n"/>
      <c r="D8080" s="7" t="n"/>
      <c r="E8080" s="7" t="n"/>
      <c r="F8080" s="7" t="n"/>
      <c r="G8080" s="7" t="n"/>
      <c r="H8080" s="7" t="n"/>
      <c r="I8080" s="7" t="n"/>
      <c r="J8080" s="7" t="n"/>
      <c r="K8080">
        <f>IF(D8080="Legitimate Interest (GDPR Art. 6(1)(f))", "Yes / Required (Sheet 3)", "")</f>
        <v/>
      </c>
      <c r="L8080" s="7" t="n"/>
      <c r="M8080" s="7" t="n"/>
      <c r="N8080">
        <f>IF(D8080="", "Gap - No Legal Basis", IF(AND(D8080="Consent (GDPR Art. 6(1)(a))", I8080="Not Captured"), "Gap - Invalid Consent", IF(AND(D8080="Legitimate Interest (GDPR Art. 6(1)(f))", L8080=""), "Gap - Missing LIA", IF(AND(G8080="Yes", H8080=""), "Gap - Missing Art. 9 Basis", IF(OR(I8080="Invalid - Not Freely Given", I8080="Invalid - Not Specific", I8080="Invalid - Not Informed", I8080="Invalid - Ambiguous"), "Gap - Invalid Consent", "Compliant")))))</f>
        <v/>
      </c>
      <c r="O8080" s="7" t="n"/>
    </row>
    <row r="8081">
      <c r="A8081" s="7" t="n"/>
      <c r="B8081" s="7" t="n"/>
      <c r="C8081" s="7" t="n"/>
      <c r="D8081" s="7" t="n"/>
      <c r="E8081" s="7" t="n"/>
      <c r="F8081" s="7" t="n"/>
      <c r="G8081" s="7" t="n"/>
      <c r="H8081" s="7" t="n"/>
      <c r="I8081" s="7" t="n"/>
      <c r="J8081" s="7" t="n"/>
      <c r="K8081">
        <f>IF(D8081="Legitimate Interest (GDPR Art. 6(1)(f))", "Yes / Required (Sheet 3)", "")</f>
        <v/>
      </c>
      <c r="L8081" s="7" t="n"/>
      <c r="M8081" s="7" t="n"/>
      <c r="N8081">
        <f>IF(D8081="", "Gap - No Legal Basis", IF(AND(D8081="Consent (GDPR Art. 6(1)(a))", I8081="Not Captured"), "Gap - Invalid Consent", IF(AND(D8081="Legitimate Interest (GDPR Art. 6(1)(f))", L8081=""), "Gap - Missing LIA", IF(AND(G8081="Yes", H8081=""), "Gap - Missing Art. 9 Basis", IF(OR(I8081="Invalid - Not Freely Given", I8081="Invalid - Not Specific", I8081="Invalid - Not Informed", I8081="Invalid - Ambiguous"), "Gap - Invalid Consent", "Compliant")))))</f>
        <v/>
      </c>
      <c r="O8081" s="7" t="n"/>
    </row>
    <row r="8082">
      <c r="A8082" s="7" t="n"/>
      <c r="B8082" s="7" t="n"/>
      <c r="C8082" s="7" t="n"/>
      <c r="D8082" s="7" t="n"/>
      <c r="E8082" s="7" t="n"/>
      <c r="F8082" s="7" t="n"/>
      <c r="G8082" s="7" t="n"/>
      <c r="H8082" s="7" t="n"/>
      <c r="I8082" s="7" t="n"/>
      <c r="J8082" s="7" t="n"/>
      <c r="K8082">
        <f>IF(D8082="Legitimate Interest (GDPR Art. 6(1)(f))", "Yes / Required (Sheet 3)", "")</f>
        <v/>
      </c>
      <c r="L8082" s="7" t="n"/>
      <c r="M8082" s="7" t="n"/>
      <c r="N8082">
        <f>IF(D8082="", "Gap - No Legal Basis", IF(AND(D8082="Consent (GDPR Art. 6(1)(a))", I8082="Not Captured"), "Gap - Invalid Consent", IF(AND(D8082="Legitimate Interest (GDPR Art. 6(1)(f))", L8082=""), "Gap - Missing LIA", IF(AND(G8082="Yes", H8082=""), "Gap - Missing Art. 9 Basis", IF(OR(I8082="Invalid - Not Freely Given", I8082="Invalid - Not Specific", I8082="Invalid - Not Informed", I8082="Invalid - Ambiguous"), "Gap - Invalid Consent", "Compliant")))))</f>
        <v/>
      </c>
      <c r="O8082" s="7" t="n"/>
    </row>
    <row r="8083">
      <c r="A8083" s="7" t="n"/>
      <c r="B8083" s="7" t="n"/>
      <c r="C8083" s="7" t="n"/>
      <c r="D8083" s="7" t="n"/>
      <c r="E8083" s="7" t="n"/>
      <c r="F8083" s="7" t="n"/>
      <c r="G8083" s="7" t="n"/>
      <c r="H8083" s="7" t="n"/>
      <c r="I8083" s="7" t="n"/>
      <c r="J8083" s="7" t="n"/>
      <c r="K8083">
        <f>IF(D8083="Legitimate Interest (GDPR Art. 6(1)(f))", "Yes / Required (Sheet 3)", "")</f>
        <v/>
      </c>
      <c r="L8083" s="7" t="n"/>
      <c r="M8083" s="7" t="n"/>
      <c r="N8083">
        <f>IF(D8083="", "Gap - No Legal Basis", IF(AND(D8083="Consent (GDPR Art. 6(1)(a))", I8083="Not Captured"), "Gap - Invalid Consent", IF(AND(D8083="Legitimate Interest (GDPR Art. 6(1)(f))", L8083=""), "Gap - Missing LIA", IF(AND(G8083="Yes", H8083=""), "Gap - Missing Art. 9 Basis", IF(OR(I8083="Invalid - Not Freely Given", I8083="Invalid - Not Specific", I8083="Invalid - Not Informed", I8083="Invalid - Ambiguous"), "Gap - Invalid Consent", "Compliant")))))</f>
        <v/>
      </c>
      <c r="O8083" s="7" t="n"/>
    </row>
    <row r="8084">
      <c r="A8084" s="7" t="n"/>
      <c r="B8084" s="7" t="n"/>
      <c r="C8084" s="7" t="n"/>
      <c r="D8084" s="7" t="n"/>
      <c r="E8084" s="7" t="n"/>
      <c r="F8084" s="7" t="n"/>
      <c r="G8084" s="7" t="n"/>
      <c r="H8084" s="7" t="n"/>
      <c r="I8084" s="7" t="n"/>
      <c r="J8084" s="7" t="n"/>
      <c r="K8084">
        <f>IF(D8084="Legitimate Interest (GDPR Art. 6(1)(f))", "Yes / Required (Sheet 3)", "")</f>
        <v/>
      </c>
      <c r="L8084" s="7" t="n"/>
      <c r="M8084" s="7" t="n"/>
      <c r="N8084">
        <f>IF(D8084="", "Gap - No Legal Basis", IF(AND(D8084="Consent (GDPR Art. 6(1)(a))", I8084="Not Captured"), "Gap - Invalid Consent", IF(AND(D8084="Legitimate Interest (GDPR Art. 6(1)(f))", L8084=""), "Gap - Missing LIA", IF(AND(G8084="Yes", H8084=""), "Gap - Missing Art. 9 Basis", IF(OR(I8084="Invalid - Not Freely Given", I8084="Invalid - Not Specific", I8084="Invalid - Not Informed", I8084="Invalid - Ambiguous"), "Gap - Invalid Consent", "Compliant")))))</f>
        <v/>
      </c>
      <c r="O8084" s="7" t="n"/>
    </row>
    <row r="8085">
      <c r="A8085" s="7" t="n"/>
      <c r="B8085" s="7" t="n"/>
      <c r="C8085" s="7" t="n"/>
      <c r="D8085" s="7" t="n"/>
      <c r="E8085" s="7" t="n"/>
      <c r="F8085" s="7" t="n"/>
      <c r="G8085" s="7" t="n"/>
      <c r="H8085" s="7" t="n"/>
      <c r="I8085" s="7" t="n"/>
      <c r="J8085" s="7" t="n"/>
      <c r="K8085">
        <f>IF(D8085="Legitimate Interest (GDPR Art. 6(1)(f))", "Yes / Required (Sheet 3)", "")</f>
        <v/>
      </c>
      <c r="L8085" s="7" t="n"/>
      <c r="M8085" s="7" t="n"/>
      <c r="N8085">
        <f>IF(D8085="", "Gap - No Legal Basis", IF(AND(D8085="Consent (GDPR Art. 6(1)(a))", I8085="Not Captured"), "Gap - Invalid Consent", IF(AND(D8085="Legitimate Interest (GDPR Art. 6(1)(f))", L8085=""), "Gap - Missing LIA", IF(AND(G8085="Yes", H8085=""), "Gap - Missing Art. 9 Basis", IF(OR(I8085="Invalid - Not Freely Given", I8085="Invalid - Not Specific", I8085="Invalid - Not Informed", I8085="Invalid - Ambiguous"), "Gap - Invalid Consent", "Compliant")))))</f>
        <v/>
      </c>
      <c r="O8085" s="7" t="n"/>
    </row>
    <row r="8086">
      <c r="A8086" s="7" t="n"/>
      <c r="B8086" s="7" t="n"/>
      <c r="C8086" s="7" t="n"/>
      <c r="D8086" s="7" t="n"/>
      <c r="E8086" s="7" t="n"/>
      <c r="F8086" s="7" t="n"/>
      <c r="G8086" s="7" t="n"/>
      <c r="H8086" s="7" t="n"/>
      <c r="I8086" s="7" t="n"/>
      <c r="J8086" s="7" t="n"/>
      <c r="K8086">
        <f>IF(D8086="Legitimate Interest (GDPR Art. 6(1)(f))", "Yes / Required (Sheet 3)", "")</f>
        <v/>
      </c>
      <c r="L8086" s="7" t="n"/>
      <c r="M8086" s="7" t="n"/>
      <c r="N8086">
        <f>IF(D8086="", "Gap - No Legal Basis", IF(AND(D8086="Consent (GDPR Art. 6(1)(a))", I8086="Not Captured"), "Gap - Invalid Consent", IF(AND(D8086="Legitimate Interest (GDPR Art. 6(1)(f))", L8086=""), "Gap - Missing LIA", IF(AND(G8086="Yes", H8086=""), "Gap - Missing Art. 9 Basis", IF(OR(I8086="Invalid - Not Freely Given", I8086="Invalid - Not Specific", I8086="Invalid - Not Informed", I8086="Invalid - Ambiguous"), "Gap - Invalid Consent", "Compliant")))))</f>
        <v/>
      </c>
      <c r="O8086" s="7" t="n"/>
    </row>
    <row r="8087">
      <c r="A8087" s="7" t="n"/>
      <c r="B8087" s="7" t="n"/>
      <c r="C8087" s="7" t="n"/>
      <c r="D8087" s="7" t="n"/>
      <c r="E8087" s="7" t="n"/>
      <c r="F8087" s="7" t="n"/>
      <c r="G8087" s="7" t="n"/>
      <c r="H8087" s="7" t="n"/>
      <c r="I8087" s="7" t="n"/>
      <c r="J8087" s="7" t="n"/>
      <c r="K8087">
        <f>IF(D8087="Legitimate Interest (GDPR Art. 6(1)(f))", "Yes / Required (Sheet 3)", "")</f>
        <v/>
      </c>
      <c r="L8087" s="7" t="n"/>
      <c r="M8087" s="7" t="n"/>
      <c r="N8087">
        <f>IF(D8087="", "Gap - No Legal Basis", IF(AND(D8087="Consent (GDPR Art. 6(1)(a))", I8087="Not Captured"), "Gap - Invalid Consent", IF(AND(D8087="Legitimate Interest (GDPR Art. 6(1)(f))", L8087=""), "Gap - Missing LIA", IF(AND(G8087="Yes", H8087=""), "Gap - Missing Art. 9 Basis", IF(OR(I8087="Invalid - Not Freely Given", I8087="Invalid - Not Specific", I8087="Invalid - Not Informed", I8087="Invalid - Ambiguous"), "Gap - Invalid Consent", "Compliant")))))</f>
        <v/>
      </c>
      <c r="O8087" s="7" t="n"/>
    </row>
    <row r="8088">
      <c r="A8088" s="7" t="n"/>
      <c r="B8088" s="7" t="n"/>
      <c r="C8088" s="7" t="n"/>
      <c r="D8088" s="7" t="n"/>
      <c r="E8088" s="7" t="n"/>
      <c r="F8088" s="7" t="n"/>
      <c r="G8088" s="7" t="n"/>
      <c r="H8088" s="7" t="n"/>
      <c r="I8088" s="7" t="n"/>
      <c r="J8088" s="7" t="n"/>
      <c r="K8088">
        <f>IF(D8088="Legitimate Interest (GDPR Art. 6(1)(f))", "Yes / Required (Sheet 3)", "")</f>
        <v/>
      </c>
      <c r="L8088" s="7" t="n"/>
      <c r="M8088" s="7" t="n"/>
      <c r="N8088">
        <f>IF(D8088="", "Gap - No Legal Basis", IF(AND(D8088="Consent (GDPR Art. 6(1)(a))", I8088="Not Captured"), "Gap - Invalid Consent", IF(AND(D8088="Legitimate Interest (GDPR Art. 6(1)(f))", L8088=""), "Gap - Missing LIA", IF(AND(G8088="Yes", H8088=""), "Gap - Missing Art. 9 Basis", IF(OR(I8088="Invalid - Not Freely Given", I8088="Invalid - Not Specific", I8088="Invalid - Not Informed", I8088="Invalid - Ambiguous"), "Gap - Invalid Consent", "Compliant")))))</f>
        <v/>
      </c>
      <c r="O8088" s="7" t="n"/>
    </row>
    <row r="8089">
      <c r="A8089" s="7" t="n"/>
      <c r="B8089" s="7" t="n"/>
      <c r="C8089" s="7" t="n"/>
      <c r="D8089" s="7" t="n"/>
      <c r="E8089" s="7" t="n"/>
      <c r="F8089" s="7" t="n"/>
      <c r="G8089" s="7" t="n"/>
      <c r="H8089" s="7" t="n"/>
      <c r="I8089" s="7" t="n"/>
      <c r="J8089" s="7" t="n"/>
      <c r="K8089">
        <f>IF(D8089="Legitimate Interest (GDPR Art. 6(1)(f))", "Yes / Required (Sheet 3)", "")</f>
        <v/>
      </c>
      <c r="L8089" s="7" t="n"/>
      <c r="M8089" s="7" t="n"/>
      <c r="N8089">
        <f>IF(D8089="", "Gap - No Legal Basis", IF(AND(D8089="Consent (GDPR Art. 6(1)(a))", I8089="Not Captured"), "Gap - Invalid Consent", IF(AND(D8089="Legitimate Interest (GDPR Art. 6(1)(f))", L8089=""), "Gap - Missing LIA", IF(AND(G8089="Yes", H8089=""), "Gap - Missing Art. 9 Basis", IF(OR(I8089="Invalid - Not Freely Given", I8089="Invalid - Not Specific", I8089="Invalid - Not Informed", I8089="Invalid - Ambiguous"), "Gap - Invalid Consent", "Compliant")))))</f>
        <v/>
      </c>
      <c r="O8089" s="7" t="n"/>
    </row>
    <row r="8090">
      <c r="A8090" s="7" t="n"/>
      <c r="B8090" s="7" t="n"/>
      <c r="C8090" s="7" t="n"/>
      <c r="D8090" s="7" t="n"/>
      <c r="E8090" s="7" t="n"/>
      <c r="F8090" s="7" t="n"/>
      <c r="G8090" s="7" t="n"/>
      <c r="H8090" s="7" t="n"/>
      <c r="I8090" s="7" t="n"/>
      <c r="J8090" s="7" t="n"/>
      <c r="K8090">
        <f>IF(D8090="Legitimate Interest (GDPR Art. 6(1)(f))", "Yes / Required (Sheet 3)", "")</f>
        <v/>
      </c>
      <c r="L8090" s="7" t="n"/>
      <c r="M8090" s="7" t="n"/>
      <c r="N8090">
        <f>IF(D8090="", "Gap - No Legal Basis", IF(AND(D8090="Consent (GDPR Art. 6(1)(a))", I8090="Not Captured"), "Gap - Invalid Consent", IF(AND(D8090="Legitimate Interest (GDPR Art. 6(1)(f))", L8090=""), "Gap - Missing LIA", IF(AND(G8090="Yes", H8090=""), "Gap - Missing Art. 9 Basis", IF(OR(I8090="Invalid - Not Freely Given", I8090="Invalid - Not Specific", I8090="Invalid - Not Informed", I8090="Invalid - Ambiguous"), "Gap - Invalid Consent", "Compliant")))))</f>
        <v/>
      </c>
      <c r="O8090" s="7" t="n"/>
    </row>
    <row r="8091">
      <c r="A8091" s="7" t="n"/>
      <c r="B8091" s="7" t="n"/>
      <c r="C8091" s="7" t="n"/>
      <c r="D8091" s="7" t="n"/>
      <c r="E8091" s="7" t="n"/>
      <c r="F8091" s="7" t="n"/>
      <c r="G8091" s="7" t="n"/>
      <c r="H8091" s="7" t="n"/>
      <c r="I8091" s="7" t="n"/>
      <c r="J8091" s="7" t="n"/>
      <c r="K8091">
        <f>IF(D8091="Legitimate Interest (GDPR Art. 6(1)(f))", "Yes / Required (Sheet 3)", "")</f>
        <v/>
      </c>
      <c r="L8091" s="7" t="n"/>
      <c r="M8091" s="7" t="n"/>
      <c r="N8091">
        <f>IF(D8091="", "Gap - No Legal Basis", IF(AND(D8091="Consent (GDPR Art. 6(1)(a))", I8091="Not Captured"), "Gap - Invalid Consent", IF(AND(D8091="Legitimate Interest (GDPR Art. 6(1)(f))", L8091=""), "Gap - Missing LIA", IF(AND(G8091="Yes", H8091=""), "Gap - Missing Art. 9 Basis", IF(OR(I8091="Invalid - Not Freely Given", I8091="Invalid - Not Specific", I8091="Invalid - Not Informed", I8091="Invalid - Ambiguous"), "Gap - Invalid Consent", "Compliant")))))</f>
        <v/>
      </c>
      <c r="O8091" s="7" t="n"/>
    </row>
    <row r="8092">
      <c r="A8092" s="7" t="n"/>
      <c r="B8092" s="7" t="n"/>
      <c r="C8092" s="7" t="n"/>
      <c r="D8092" s="7" t="n"/>
      <c r="E8092" s="7" t="n"/>
      <c r="F8092" s="7" t="n"/>
      <c r="G8092" s="7" t="n"/>
      <c r="H8092" s="7" t="n"/>
      <c r="I8092" s="7" t="n"/>
      <c r="J8092" s="7" t="n"/>
      <c r="K8092">
        <f>IF(D8092="Legitimate Interest (GDPR Art. 6(1)(f))", "Yes / Required (Sheet 3)", "")</f>
        <v/>
      </c>
      <c r="L8092" s="7" t="n"/>
      <c r="M8092" s="7" t="n"/>
      <c r="N8092">
        <f>IF(D8092="", "Gap - No Legal Basis", IF(AND(D8092="Consent (GDPR Art. 6(1)(a))", I8092="Not Captured"), "Gap - Invalid Consent", IF(AND(D8092="Legitimate Interest (GDPR Art. 6(1)(f))", L8092=""), "Gap - Missing LIA", IF(AND(G8092="Yes", H8092=""), "Gap - Missing Art. 9 Basis", IF(OR(I8092="Invalid - Not Freely Given", I8092="Invalid - Not Specific", I8092="Invalid - Not Informed", I8092="Invalid - Ambiguous"), "Gap - Invalid Consent", "Compliant")))))</f>
        <v/>
      </c>
      <c r="O8092" s="7" t="n"/>
    </row>
    <row r="8093">
      <c r="A8093" s="7" t="n"/>
      <c r="B8093" s="7" t="n"/>
      <c r="C8093" s="7" t="n"/>
      <c r="D8093" s="7" t="n"/>
      <c r="E8093" s="7" t="n"/>
      <c r="F8093" s="7" t="n"/>
      <c r="G8093" s="7" t="n"/>
      <c r="H8093" s="7" t="n"/>
      <c r="I8093" s="7" t="n"/>
      <c r="J8093" s="7" t="n"/>
      <c r="K8093">
        <f>IF(D8093="Legitimate Interest (GDPR Art. 6(1)(f))", "Yes / Required (Sheet 3)", "")</f>
        <v/>
      </c>
      <c r="L8093" s="7" t="n"/>
      <c r="M8093" s="7" t="n"/>
      <c r="N8093">
        <f>IF(D8093="", "Gap - No Legal Basis", IF(AND(D8093="Consent (GDPR Art. 6(1)(a))", I8093="Not Captured"), "Gap - Invalid Consent", IF(AND(D8093="Legitimate Interest (GDPR Art. 6(1)(f))", L8093=""), "Gap - Missing LIA", IF(AND(G8093="Yes", H8093=""), "Gap - Missing Art. 9 Basis", IF(OR(I8093="Invalid - Not Freely Given", I8093="Invalid - Not Specific", I8093="Invalid - Not Informed", I8093="Invalid - Ambiguous"), "Gap - Invalid Consent", "Compliant")))))</f>
        <v/>
      </c>
      <c r="O8093" s="7" t="n"/>
    </row>
    <row r="8094">
      <c r="A8094" s="7" t="n"/>
      <c r="B8094" s="7" t="n"/>
      <c r="C8094" s="7" t="n"/>
      <c r="D8094" s="7" t="n"/>
      <c r="E8094" s="7" t="n"/>
      <c r="F8094" s="7" t="n"/>
      <c r="G8094" s="7" t="n"/>
      <c r="H8094" s="7" t="n"/>
      <c r="I8094" s="7" t="n"/>
      <c r="J8094" s="7" t="n"/>
      <c r="K8094">
        <f>IF(D8094="Legitimate Interest (GDPR Art. 6(1)(f))", "Yes / Required (Sheet 3)", "")</f>
        <v/>
      </c>
      <c r="L8094" s="7" t="n"/>
      <c r="M8094" s="7" t="n"/>
      <c r="N8094">
        <f>IF(D8094="", "Gap - No Legal Basis", IF(AND(D8094="Consent (GDPR Art. 6(1)(a))", I8094="Not Captured"), "Gap - Invalid Consent", IF(AND(D8094="Legitimate Interest (GDPR Art. 6(1)(f))", L8094=""), "Gap - Missing LIA", IF(AND(G8094="Yes", H8094=""), "Gap - Missing Art. 9 Basis", IF(OR(I8094="Invalid - Not Freely Given", I8094="Invalid - Not Specific", I8094="Invalid - Not Informed", I8094="Invalid - Ambiguous"), "Gap - Invalid Consent", "Compliant")))))</f>
        <v/>
      </c>
      <c r="O8094" s="7" t="n"/>
    </row>
    <row r="8095">
      <c r="A8095" s="7" t="n"/>
      <c r="B8095" s="7" t="n"/>
      <c r="C8095" s="7" t="n"/>
      <c r="D8095" s="7" t="n"/>
      <c r="E8095" s="7" t="n"/>
      <c r="F8095" s="7" t="n"/>
      <c r="G8095" s="7" t="n"/>
      <c r="H8095" s="7" t="n"/>
      <c r="I8095" s="7" t="n"/>
      <c r="J8095" s="7" t="n"/>
      <c r="K8095">
        <f>IF(D8095="Legitimate Interest (GDPR Art. 6(1)(f))", "Yes / Required (Sheet 3)", "")</f>
        <v/>
      </c>
      <c r="L8095" s="7" t="n"/>
      <c r="M8095" s="7" t="n"/>
      <c r="N8095">
        <f>IF(D8095="", "Gap - No Legal Basis", IF(AND(D8095="Consent (GDPR Art. 6(1)(a))", I8095="Not Captured"), "Gap - Invalid Consent", IF(AND(D8095="Legitimate Interest (GDPR Art. 6(1)(f))", L8095=""), "Gap - Missing LIA", IF(AND(G8095="Yes", H8095=""), "Gap - Missing Art. 9 Basis", IF(OR(I8095="Invalid - Not Freely Given", I8095="Invalid - Not Specific", I8095="Invalid - Not Informed", I8095="Invalid - Ambiguous"), "Gap - Invalid Consent", "Compliant")))))</f>
        <v/>
      </c>
      <c r="O8095" s="7" t="n"/>
    </row>
    <row r="8096">
      <c r="A8096" s="7" t="n"/>
      <c r="B8096" s="7" t="n"/>
      <c r="C8096" s="7" t="n"/>
      <c r="D8096" s="7" t="n"/>
      <c r="E8096" s="7" t="n"/>
      <c r="F8096" s="7" t="n"/>
      <c r="G8096" s="7" t="n"/>
      <c r="H8096" s="7" t="n"/>
      <c r="I8096" s="7" t="n"/>
      <c r="J8096" s="7" t="n"/>
      <c r="K8096">
        <f>IF(D8096="Legitimate Interest (GDPR Art. 6(1)(f))", "Yes / Required (Sheet 3)", "")</f>
        <v/>
      </c>
      <c r="L8096" s="7" t="n"/>
      <c r="M8096" s="7" t="n"/>
      <c r="N8096">
        <f>IF(D8096="", "Gap - No Legal Basis", IF(AND(D8096="Consent (GDPR Art. 6(1)(a))", I8096="Not Captured"), "Gap - Invalid Consent", IF(AND(D8096="Legitimate Interest (GDPR Art. 6(1)(f))", L8096=""), "Gap - Missing LIA", IF(AND(G8096="Yes", H8096=""), "Gap - Missing Art. 9 Basis", IF(OR(I8096="Invalid - Not Freely Given", I8096="Invalid - Not Specific", I8096="Invalid - Not Informed", I8096="Invalid - Ambiguous"), "Gap - Invalid Consent", "Compliant")))))</f>
        <v/>
      </c>
      <c r="O8096" s="7" t="n"/>
    </row>
    <row r="8097">
      <c r="A8097" s="7" t="n"/>
      <c r="B8097" s="7" t="n"/>
      <c r="C8097" s="7" t="n"/>
      <c r="D8097" s="7" t="n"/>
      <c r="E8097" s="7" t="n"/>
      <c r="F8097" s="7" t="n"/>
      <c r="G8097" s="7" t="n"/>
      <c r="H8097" s="7" t="n"/>
      <c r="I8097" s="7" t="n"/>
      <c r="J8097" s="7" t="n"/>
      <c r="K8097">
        <f>IF(D8097="Legitimate Interest (GDPR Art. 6(1)(f))", "Yes / Required (Sheet 3)", "")</f>
        <v/>
      </c>
      <c r="L8097" s="7" t="n"/>
      <c r="M8097" s="7" t="n"/>
      <c r="N8097">
        <f>IF(D8097="", "Gap - No Legal Basis", IF(AND(D8097="Consent (GDPR Art. 6(1)(a))", I8097="Not Captured"), "Gap - Invalid Consent", IF(AND(D8097="Legitimate Interest (GDPR Art. 6(1)(f))", L8097=""), "Gap - Missing LIA", IF(AND(G8097="Yes", H8097=""), "Gap - Missing Art. 9 Basis", IF(OR(I8097="Invalid - Not Freely Given", I8097="Invalid - Not Specific", I8097="Invalid - Not Informed", I8097="Invalid - Ambiguous"), "Gap - Invalid Consent", "Compliant")))))</f>
        <v/>
      </c>
      <c r="O8097" s="7" t="n"/>
    </row>
    <row r="8098">
      <c r="A8098" s="7" t="n"/>
      <c r="B8098" s="7" t="n"/>
      <c r="C8098" s="7" t="n"/>
      <c r="D8098" s="7" t="n"/>
      <c r="E8098" s="7" t="n"/>
      <c r="F8098" s="7" t="n"/>
      <c r="G8098" s="7" t="n"/>
      <c r="H8098" s="7" t="n"/>
      <c r="I8098" s="7" t="n"/>
      <c r="J8098" s="7" t="n"/>
      <c r="K8098">
        <f>IF(D8098="Legitimate Interest (GDPR Art. 6(1)(f))", "Yes / Required (Sheet 3)", "")</f>
        <v/>
      </c>
      <c r="L8098" s="7" t="n"/>
      <c r="M8098" s="7" t="n"/>
      <c r="N8098">
        <f>IF(D8098="", "Gap - No Legal Basis", IF(AND(D8098="Consent (GDPR Art. 6(1)(a))", I8098="Not Captured"), "Gap - Invalid Consent", IF(AND(D8098="Legitimate Interest (GDPR Art. 6(1)(f))", L8098=""), "Gap - Missing LIA", IF(AND(G8098="Yes", H8098=""), "Gap - Missing Art. 9 Basis", IF(OR(I8098="Invalid - Not Freely Given", I8098="Invalid - Not Specific", I8098="Invalid - Not Informed", I8098="Invalid - Ambiguous"), "Gap - Invalid Consent", "Compliant")))))</f>
        <v/>
      </c>
      <c r="O8098" s="7" t="n"/>
    </row>
    <row r="8099">
      <c r="A8099" s="7" t="n"/>
      <c r="B8099" s="7" t="n"/>
      <c r="C8099" s="7" t="n"/>
      <c r="D8099" s="7" t="n"/>
      <c r="E8099" s="7" t="n"/>
      <c r="F8099" s="7" t="n"/>
      <c r="G8099" s="7" t="n"/>
      <c r="H8099" s="7" t="n"/>
      <c r="I8099" s="7" t="n"/>
      <c r="J8099" s="7" t="n"/>
      <c r="K8099">
        <f>IF(D8099="Legitimate Interest (GDPR Art. 6(1)(f))", "Yes / Required (Sheet 3)", "")</f>
        <v/>
      </c>
      <c r="L8099" s="7" t="n"/>
      <c r="M8099" s="7" t="n"/>
      <c r="N8099">
        <f>IF(D8099="", "Gap - No Legal Basis", IF(AND(D8099="Consent (GDPR Art. 6(1)(a))", I8099="Not Captured"), "Gap - Invalid Consent", IF(AND(D8099="Legitimate Interest (GDPR Art. 6(1)(f))", L8099=""), "Gap - Missing LIA", IF(AND(G8099="Yes", H8099=""), "Gap - Missing Art. 9 Basis", IF(OR(I8099="Invalid - Not Freely Given", I8099="Invalid - Not Specific", I8099="Invalid - Not Informed", I8099="Invalid - Ambiguous"), "Gap - Invalid Consent", "Compliant")))))</f>
        <v/>
      </c>
      <c r="O8099" s="7" t="n"/>
    </row>
    <row r="8100">
      <c r="A8100" s="7" t="n"/>
      <c r="B8100" s="7" t="n"/>
      <c r="C8100" s="7" t="n"/>
      <c r="D8100" s="7" t="n"/>
      <c r="E8100" s="7" t="n"/>
      <c r="F8100" s="7" t="n"/>
      <c r="G8100" s="7" t="n"/>
      <c r="H8100" s="7" t="n"/>
      <c r="I8100" s="7" t="n"/>
      <c r="J8100" s="7" t="n"/>
      <c r="K8100">
        <f>IF(D8100="Legitimate Interest (GDPR Art. 6(1)(f))", "Yes / Required (Sheet 3)", "")</f>
        <v/>
      </c>
      <c r="L8100" s="7" t="n"/>
      <c r="M8100" s="7" t="n"/>
      <c r="N8100">
        <f>IF(D8100="", "Gap - No Legal Basis", IF(AND(D8100="Consent (GDPR Art. 6(1)(a))", I8100="Not Captured"), "Gap - Invalid Consent", IF(AND(D8100="Legitimate Interest (GDPR Art. 6(1)(f))", L8100=""), "Gap - Missing LIA", IF(AND(G8100="Yes", H8100=""), "Gap - Missing Art. 9 Basis", IF(OR(I8100="Invalid - Not Freely Given", I8100="Invalid - Not Specific", I8100="Invalid - Not Informed", I8100="Invalid - Ambiguous"), "Gap - Invalid Consent", "Compliant")))))</f>
        <v/>
      </c>
      <c r="O8100" s="7" t="n"/>
    </row>
    <row r="8101">
      <c r="A8101" s="7" t="n"/>
      <c r="B8101" s="7" t="n"/>
      <c r="C8101" s="7" t="n"/>
      <c r="D8101" s="7" t="n"/>
      <c r="E8101" s="7" t="n"/>
      <c r="F8101" s="7" t="n"/>
      <c r="G8101" s="7" t="n"/>
      <c r="H8101" s="7" t="n"/>
      <c r="I8101" s="7" t="n"/>
      <c r="J8101" s="7" t="n"/>
      <c r="K8101">
        <f>IF(D8101="Legitimate Interest (GDPR Art. 6(1)(f))", "Yes / Required (Sheet 3)", "")</f>
        <v/>
      </c>
      <c r="L8101" s="7" t="n"/>
      <c r="M8101" s="7" t="n"/>
      <c r="N8101">
        <f>IF(D8101="", "Gap - No Legal Basis", IF(AND(D8101="Consent (GDPR Art. 6(1)(a))", I8101="Not Captured"), "Gap - Invalid Consent", IF(AND(D8101="Legitimate Interest (GDPR Art. 6(1)(f))", L8101=""), "Gap - Missing LIA", IF(AND(G8101="Yes", H8101=""), "Gap - Missing Art. 9 Basis", IF(OR(I8101="Invalid - Not Freely Given", I8101="Invalid - Not Specific", I8101="Invalid - Not Informed", I8101="Invalid - Ambiguous"), "Gap - Invalid Consent", "Compliant")))))</f>
        <v/>
      </c>
      <c r="O8101" s="7" t="n"/>
    </row>
    <row r="8102">
      <c r="A8102" s="7" t="n"/>
      <c r="B8102" s="7" t="n"/>
      <c r="C8102" s="7" t="n"/>
      <c r="D8102" s="7" t="n"/>
      <c r="E8102" s="7" t="n"/>
      <c r="F8102" s="7" t="n"/>
      <c r="G8102" s="7" t="n"/>
      <c r="H8102" s="7" t="n"/>
      <c r="I8102" s="7" t="n"/>
      <c r="J8102" s="7" t="n"/>
      <c r="K8102">
        <f>IF(D8102="Legitimate Interest (GDPR Art. 6(1)(f))", "Yes / Required (Sheet 3)", "")</f>
        <v/>
      </c>
      <c r="L8102" s="7" t="n"/>
      <c r="M8102" s="7" t="n"/>
      <c r="N8102">
        <f>IF(D8102="", "Gap - No Legal Basis", IF(AND(D8102="Consent (GDPR Art. 6(1)(a))", I8102="Not Captured"), "Gap - Invalid Consent", IF(AND(D8102="Legitimate Interest (GDPR Art. 6(1)(f))", L8102=""), "Gap - Missing LIA", IF(AND(G8102="Yes", H8102=""), "Gap - Missing Art. 9 Basis", IF(OR(I8102="Invalid - Not Freely Given", I8102="Invalid - Not Specific", I8102="Invalid - Not Informed", I8102="Invalid - Ambiguous"), "Gap - Invalid Consent", "Compliant")))))</f>
        <v/>
      </c>
      <c r="O8102" s="7" t="n"/>
    </row>
    <row r="8103">
      <c r="A8103" s="7" t="n"/>
      <c r="B8103" s="7" t="n"/>
      <c r="C8103" s="7" t="n"/>
      <c r="D8103" s="7" t="n"/>
      <c r="E8103" s="7" t="n"/>
      <c r="F8103" s="7" t="n"/>
      <c r="G8103" s="7" t="n"/>
      <c r="H8103" s="7" t="n"/>
      <c r="I8103" s="7" t="n"/>
      <c r="J8103" s="7" t="n"/>
      <c r="K8103">
        <f>IF(D8103="Legitimate Interest (GDPR Art. 6(1)(f))", "Yes / Required (Sheet 3)", "")</f>
        <v/>
      </c>
      <c r="L8103" s="7" t="n"/>
      <c r="M8103" s="7" t="n"/>
      <c r="N8103">
        <f>IF(D8103="", "Gap - No Legal Basis", IF(AND(D8103="Consent (GDPR Art. 6(1)(a))", I8103="Not Captured"), "Gap - Invalid Consent", IF(AND(D8103="Legitimate Interest (GDPR Art. 6(1)(f))", L8103=""), "Gap - Missing LIA", IF(AND(G8103="Yes", H8103=""), "Gap - Missing Art. 9 Basis", IF(OR(I8103="Invalid - Not Freely Given", I8103="Invalid - Not Specific", I8103="Invalid - Not Informed", I8103="Invalid - Ambiguous"), "Gap - Invalid Consent", "Compliant")))))</f>
        <v/>
      </c>
      <c r="O8103" s="7" t="n"/>
    </row>
    <row r="8104">
      <c r="A8104" s="7" t="n"/>
      <c r="B8104" s="7" t="n"/>
      <c r="C8104" s="7" t="n"/>
      <c r="D8104" s="7" t="n"/>
      <c r="E8104" s="7" t="n"/>
      <c r="F8104" s="7" t="n"/>
      <c r="G8104" s="7" t="n"/>
      <c r="H8104" s="7" t="n"/>
      <c r="I8104" s="7" t="n"/>
      <c r="J8104" s="7" t="n"/>
      <c r="K8104">
        <f>IF(D8104="Legitimate Interest (GDPR Art. 6(1)(f))", "Yes / Required (Sheet 3)", "")</f>
        <v/>
      </c>
      <c r="L8104" s="7" t="n"/>
      <c r="M8104" s="7" t="n"/>
      <c r="N8104">
        <f>IF(D8104="", "Gap - No Legal Basis", IF(AND(D8104="Consent (GDPR Art. 6(1)(a))", I8104="Not Captured"), "Gap - Invalid Consent", IF(AND(D8104="Legitimate Interest (GDPR Art. 6(1)(f))", L8104=""), "Gap - Missing LIA", IF(AND(G8104="Yes", H8104=""), "Gap - Missing Art. 9 Basis", IF(OR(I8104="Invalid - Not Freely Given", I8104="Invalid - Not Specific", I8104="Invalid - Not Informed", I8104="Invalid - Ambiguous"), "Gap - Invalid Consent", "Compliant")))))</f>
        <v/>
      </c>
      <c r="O8104" s="7" t="n"/>
    </row>
    <row r="8105">
      <c r="A8105" s="7" t="n"/>
      <c r="B8105" s="7" t="n"/>
      <c r="C8105" s="7" t="n"/>
      <c r="D8105" s="7" t="n"/>
      <c r="E8105" s="7" t="n"/>
      <c r="F8105" s="7" t="n"/>
      <c r="G8105" s="7" t="n"/>
      <c r="H8105" s="7" t="n"/>
      <c r="I8105" s="7" t="n"/>
      <c r="J8105" s="7" t="n"/>
      <c r="K8105">
        <f>IF(D8105="Legitimate Interest (GDPR Art. 6(1)(f))", "Yes / Required (Sheet 3)", "")</f>
        <v/>
      </c>
      <c r="L8105" s="7" t="n"/>
      <c r="M8105" s="7" t="n"/>
      <c r="N8105">
        <f>IF(D8105="", "Gap - No Legal Basis", IF(AND(D8105="Consent (GDPR Art. 6(1)(a))", I8105="Not Captured"), "Gap - Invalid Consent", IF(AND(D8105="Legitimate Interest (GDPR Art. 6(1)(f))", L8105=""), "Gap - Missing LIA", IF(AND(G8105="Yes", H8105=""), "Gap - Missing Art. 9 Basis", IF(OR(I8105="Invalid - Not Freely Given", I8105="Invalid - Not Specific", I8105="Invalid - Not Informed", I8105="Invalid - Ambiguous"), "Gap - Invalid Consent", "Compliant")))))</f>
        <v/>
      </c>
      <c r="O8105" s="7" t="n"/>
    </row>
    <row r="8106">
      <c r="A8106" s="7" t="n"/>
      <c r="B8106" s="7" t="n"/>
      <c r="C8106" s="7" t="n"/>
      <c r="D8106" s="7" t="n"/>
      <c r="E8106" s="7" t="n"/>
      <c r="F8106" s="7" t="n"/>
      <c r="G8106" s="7" t="n"/>
      <c r="H8106" s="7" t="n"/>
      <c r="I8106" s="7" t="n"/>
      <c r="J8106" s="7" t="n"/>
      <c r="K8106">
        <f>IF(D8106="Legitimate Interest (GDPR Art. 6(1)(f))", "Yes / Required (Sheet 3)", "")</f>
        <v/>
      </c>
      <c r="L8106" s="7" t="n"/>
      <c r="M8106" s="7" t="n"/>
      <c r="N8106">
        <f>IF(D8106="", "Gap - No Legal Basis", IF(AND(D8106="Consent (GDPR Art. 6(1)(a))", I8106="Not Captured"), "Gap - Invalid Consent", IF(AND(D8106="Legitimate Interest (GDPR Art. 6(1)(f))", L8106=""), "Gap - Missing LIA", IF(AND(G8106="Yes", H8106=""), "Gap - Missing Art. 9 Basis", IF(OR(I8106="Invalid - Not Freely Given", I8106="Invalid - Not Specific", I8106="Invalid - Not Informed", I8106="Invalid - Ambiguous"), "Gap - Invalid Consent", "Compliant")))))</f>
        <v/>
      </c>
      <c r="O8106" s="7" t="n"/>
    </row>
    <row r="8107">
      <c r="A8107" s="7" t="n"/>
      <c r="B8107" s="7" t="n"/>
      <c r="C8107" s="7" t="n"/>
      <c r="D8107" s="7" t="n"/>
      <c r="E8107" s="7" t="n"/>
      <c r="F8107" s="7" t="n"/>
      <c r="G8107" s="7" t="n"/>
      <c r="H8107" s="7" t="n"/>
      <c r="I8107" s="7" t="n"/>
      <c r="J8107" s="7" t="n"/>
      <c r="K8107">
        <f>IF(D8107="Legitimate Interest (GDPR Art. 6(1)(f))", "Yes / Required (Sheet 3)", "")</f>
        <v/>
      </c>
      <c r="L8107" s="7" t="n"/>
      <c r="M8107" s="7" t="n"/>
      <c r="N8107">
        <f>IF(D8107="", "Gap - No Legal Basis", IF(AND(D8107="Consent (GDPR Art. 6(1)(a))", I8107="Not Captured"), "Gap - Invalid Consent", IF(AND(D8107="Legitimate Interest (GDPR Art. 6(1)(f))", L8107=""), "Gap - Missing LIA", IF(AND(G8107="Yes", H8107=""), "Gap - Missing Art. 9 Basis", IF(OR(I8107="Invalid - Not Freely Given", I8107="Invalid - Not Specific", I8107="Invalid - Not Informed", I8107="Invalid - Ambiguous"), "Gap - Invalid Consent", "Compliant")))))</f>
        <v/>
      </c>
      <c r="O8107" s="7" t="n"/>
    </row>
    <row r="8108">
      <c r="A8108" s="7" t="n"/>
      <c r="B8108" s="7" t="n"/>
      <c r="C8108" s="7" t="n"/>
      <c r="D8108" s="7" t="n"/>
      <c r="E8108" s="7" t="n"/>
      <c r="F8108" s="7" t="n"/>
      <c r="G8108" s="7" t="n"/>
      <c r="H8108" s="7" t="n"/>
      <c r="I8108" s="7" t="n"/>
      <c r="J8108" s="7" t="n"/>
      <c r="K8108">
        <f>IF(D8108="Legitimate Interest (GDPR Art. 6(1)(f))", "Yes / Required (Sheet 3)", "")</f>
        <v/>
      </c>
      <c r="L8108" s="7" t="n"/>
      <c r="M8108" s="7" t="n"/>
      <c r="N8108">
        <f>IF(D8108="", "Gap - No Legal Basis", IF(AND(D8108="Consent (GDPR Art. 6(1)(a))", I8108="Not Captured"), "Gap - Invalid Consent", IF(AND(D8108="Legitimate Interest (GDPR Art. 6(1)(f))", L8108=""), "Gap - Missing LIA", IF(AND(G8108="Yes", H8108=""), "Gap - Missing Art. 9 Basis", IF(OR(I8108="Invalid - Not Freely Given", I8108="Invalid - Not Specific", I8108="Invalid - Not Informed", I8108="Invalid - Ambiguous"), "Gap - Invalid Consent", "Compliant")))))</f>
        <v/>
      </c>
      <c r="O8108" s="7" t="n"/>
    </row>
    <row r="8109">
      <c r="A8109" s="7" t="n"/>
      <c r="B8109" s="7" t="n"/>
      <c r="C8109" s="7" t="n"/>
      <c r="D8109" s="7" t="n"/>
      <c r="E8109" s="7" t="n"/>
      <c r="F8109" s="7" t="n"/>
      <c r="G8109" s="7" t="n"/>
      <c r="H8109" s="7" t="n"/>
      <c r="I8109" s="7" t="n"/>
      <c r="J8109" s="7" t="n"/>
      <c r="K8109">
        <f>IF(D8109="Legitimate Interest (GDPR Art. 6(1)(f))", "Yes / Required (Sheet 3)", "")</f>
        <v/>
      </c>
      <c r="L8109" s="7" t="n"/>
      <c r="M8109" s="7" t="n"/>
      <c r="N8109">
        <f>IF(D8109="", "Gap - No Legal Basis", IF(AND(D8109="Consent (GDPR Art. 6(1)(a))", I8109="Not Captured"), "Gap - Invalid Consent", IF(AND(D8109="Legitimate Interest (GDPR Art. 6(1)(f))", L8109=""), "Gap - Missing LIA", IF(AND(G8109="Yes", H8109=""), "Gap - Missing Art. 9 Basis", IF(OR(I8109="Invalid - Not Freely Given", I8109="Invalid - Not Specific", I8109="Invalid - Not Informed", I8109="Invalid - Ambiguous"), "Gap - Invalid Consent", "Compliant")))))</f>
        <v/>
      </c>
      <c r="O8109" s="7" t="n"/>
    </row>
    <row r="8110">
      <c r="A8110" s="7" t="n"/>
      <c r="B8110" s="7" t="n"/>
      <c r="C8110" s="7" t="n"/>
      <c r="D8110" s="7" t="n"/>
      <c r="E8110" s="7" t="n"/>
      <c r="F8110" s="7" t="n"/>
      <c r="G8110" s="7" t="n"/>
      <c r="H8110" s="7" t="n"/>
      <c r="I8110" s="7" t="n"/>
      <c r="J8110" s="7" t="n"/>
      <c r="K8110">
        <f>IF(D8110="Legitimate Interest (GDPR Art. 6(1)(f))", "Yes / Required (Sheet 3)", "")</f>
        <v/>
      </c>
      <c r="L8110" s="7" t="n"/>
      <c r="M8110" s="7" t="n"/>
      <c r="N8110">
        <f>IF(D8110="", "Gap - No Legal Basis", IF(AND(D8110="Consent (GDPR Art. 6(1)(a))", I8110="Not Captured"), "Gap - Invalid Consent", IF(AND(D8110="Legitimate Interest (GDPR Art. 6(1)(f))", L8110=""), "Gap - Missing LIA", IF(AND(G8110="Yes", H8110=""), "Gap - Missing Art. 9 Basis", IF(OR(I8110="Invalid - Not Freely Given", I8110="Invalid - Not Specific", I8110="Invalid - Not Informed", I8110="Invalid - Ambiguous"), "Gap - Invalid Consent", "Compliant")))))</f>
        <v/>
      </c>
      <c r="O8110" s="7" t="n"/>
    </row>
    <row r="8111">
      <c r="A8111" s="7" t="n"/>
      <c r="B8111" s="7" t="n"/>
      <c r="C8111" s="7" t="n"/>
      <c r="D8111" s="7" t="n"/>
      <c r="E8111" s="7" t="n"/>
      <c r="F8111" s="7" t="n"/>
      <c r="G8111" s="7" t="n"/>
      <c r="H8111" s="7" t="n"/>
      <c r="I8111" s="7" t="n"/>
      <c r="J8111" s="7" t="n"/>
      <c r="K8111">
        <f>IF(D8111="Legitimate Interest (GDPR Art. 6(1)(f))", "Yes / Required (Sheet 3)", "")</f>
        <v/>
      </c>
      <c r="L8111" s="7" t="n"/>
      <c r="M8111" s="7" t="n"/>
      <c r="N8111">
        <f>IF(D8111="", "Gap - No Legal Basis", IF(AND(D8111="Consent (GDPR Art. 6(1)(a))", I8111="Not Captured"), "Gap - Invalid Consent", IF(AND(D8111="Legitimate Interest (GDPR Art. 6(1)(f))", L8111=""), "Gap - Missing LIA", IF(AND(G8111="Yes", H8111=""), "Gap - Missing Art. 9 Basis", IF(OR(I8111="Invalid - Not Freely Given", I8111="Invalid - Not Specific", I8111="Invalid - Not Informed", I8111="Invalid - Ambiguous"), "Gap - Invalid Consent", "Compliant")))))</f>
        <v/>
      </c>
      <c r="O8111" s="7" t="n"/>
    </row>
    <row r="8112">
      <c r="A8112" s="7" t="n"/>
      <c r="B8112" s="7" t="n"/>
      <c r="C8112" s="7" t="n"/>
      <c r="D8112" s="7" t="n"/>
      <c r="E8112" s="7" t="n"/>
      <c r="F8112" s="7" t="n"/>
      <c r="G8112" s="7" t="n"/>
      <c r="H8112" s="7" t="n"/>
      <c r="I8112" s="7" t="n"/>
      <c r="J8112" s="7" t="n"/>
      <c r="K8112">
        <f>IF(D8112="Legitimate Interest (GDPR Art. 6(1)(f))", "Yes / Required (Sheet 3)", "")</f>
        <v/>
      </c>
      <c r="L8112" s="7" t="n"/>
      <c r="M8112" s="7" t="n"/>
      <c r="N8112">
        <f>IF(D8112="", "Gap - No Legal Basis", IF(AND(D8112="Consent (GDPR Art. 6(1)(a))", I8112="Not Captured"), "Gap - Invalid Consent", IF(AND(D8112="Legitimate Interest (GDPR Art. 6(1)(f))", L8112=""), "Gap - Missing LIA", IF(AND(G8112="Yes", H8112=""), "Gap - Missing Art. 9 Basis", IF(OR(I8112="Invalid - Not Freely Given", I8112="Invalid - Not Specific", I8112="Invalid - Not Informed", I8112="Invalid - Ambiguous"), "Gap - Invalid Consent", "Compliant")))))</f>
        <v/>
      </c>
      <c r="O8112" s="7" t="n"/>
    </row>
    <row r="8113">
      <c r="A8113" s="7" t="n"/>
      <c r="B8113" s="7" t="n"/>
      <c r="C8113" s="7" t="n"/>
      <c r="D8113" s="7" t="n"/>
      <c r="E8113" s="7" t="n"/>
      <c r="F8113" s="7" t="n"/>
      <c r="G8113" s="7" t="n"/>
      <c r="H8113" s="7" t="n"/>
      <c r="I8113" s="7" t="n"/>
      <c r="J8113" s="7" t="n"/>
      <c r="K8113">
        <f>IF(D8113="Legitimate Interest (GDPR Art. 6(1)(f))", "Yes / Required (Sheet 3)", "")</f>
        <v/>
      </c>
      <c r="L8113" s="7" t="n"/>
      <c r="M8113" s="7" t="n"/>
      <c r="N8113">
        <f>IF(D8113="", "Gap - No Legal Basis", IF(AND(D8113="Consent (GDPR Art. 6(1)(a))", I8113="Not Captured"), "Gap - Invalid Consent", IF(AND(D8113="Legitimate Interest (GDPR Art. 6(1)(f))", L8113=""), "Gap - Missing LIA", IF(AND(G8113="Yes", H8113=""), "Gap - Missing Art. 9 Basis", IF(OR(I8113="Invalid - Not Freely Given", I8113="Invalid - Not Specific", I8113="Invalid - Not Informed", I8113="Invalid - Ambiguous"), "Gap - Invalid Consent", "Compliant")))))</f>
        <v/>
      </c>
      <c r="O8113" s="7" t="n"/>
    </row>
    <row r="8114">
      <c r="A8114" s="7" t="n"/>
      <c r="B8114" s="7" t="n"/>
      <c r="C8114" s="7" t="n"/>
      <c r="D8114" s="7" t="n"/>
      <c r="E8114" s="7" t="n"/>
      <c r="F8114" s="7" t="n"/>
      <c r="G8114" s="7" t="n"/>
      <c r="H8114" s="7" t="n"/>
      <c r="I8114" s="7" t="n"/>
      <c r="J8114" s="7" t="n"/>
      <c r="K8114">
        <f>IF(D8114="Legitimate Interest (GDPR Art. 6(1)(f))", "Yes / Required (Sheet 3)", "")</f>
        <v/>
      </c>
      <c r="L8114" s="7" t="n"/>
      <c r="M8114" s="7" t="n"/>
      <c r="N8114">
        <f>IF(D8114="", "Gap - No Legal Basis", IF(AND(D8114="Consent (GDPR Art. 6(1)(a))", I8114="Not Captured"), "Gap - Invalid Consent", IF(AND(D8114="Legitimate Interest (GDPR Art. 6(1)(f))", L8114=""), "Gap - Missing LIA", IF(AND(G8114="Yes", H8114=""), "Gap - Missing Art. 9 Basis", IF(OR(I8114="Invalid - Not Freely Given", I8114="Invalid - Not Specific", I8114="Invalid - Not Informed", I8114="Invalid - Ambiguous"), "Gap - Invalid Consent", "Compliant")))))</f>
        <v/>
      </c>
      <c r="O8114" s="7" t="n"/>
    </row>
    <row r="8115">
      <c r="A8115" s="7" t="n"/>
      <c r="B8115" s="7" t="n"/>
      <c r="C8115" s="7" t="n"/>
      <c r="D8115" s="7" t="n"/>
      <c r="E8115" s="7" t="n"/>
      <c r="F8115" s="7" t="n"/>
      <c r="G8115" s="7" t="n"/>
      <c r="H8115" s="7" t="n"/>
      <c r="I8115" s="7" t="n"/>
      <c r="J8115" s="7" t="n"/>
      <c r="K8115">
        <f>IF(D8115="Legitimate Interest (GDPR Art. 6(1)(f))", "Yes / Required (Sheet 3)", "")</f>
        <v/>
      </c>
      <c r="L8115" s="7" t="n"/>
      <c r="M8115" s="7" t="n"/>
      <c r="N8115">
        <f>IF(D8115="", "Gap - No Legal Basis", IF(AND(D8115="Consent (GDPR Art. 6(1)(a))", I8115="Not Captured"), "Gap - Invalid Consent", IF(AND(D8115="Legitimate Interest (GDPR Art. 6(1)(f))", L8115=""), "Gap - Missing LIA", IF(AND(G8115="Yes", H8115=""), "Gap - Missing Art. 9 Basis", IF(OR(I8115="Invalid - Not Freely Given", I8115="Invalid - Not Specific", I8115="Invalid - Not Informed", I8115="Invalid - Ambiguous"), "Gap - Invalid Consent", "Compliant")))))</f>
        <v/>
      </c>
      <c r="O8115" s="7" t="n"/>
    </row>
    <row r="8116">
      <c r="A8116" s="7" t="n"/>
      <c r="B8116" s="7" t="n"/>
      <c r="C8116" s="7" t="n"/>
      <c r="D8116" s="7" t="n"/>
      <c r="E8116" s="7" t="n"/>
      <c r="F8116" s="7" t="n"/>
      <c r="G8116" s="7" t="n"/>
      <c r="H8116" s="7" t="n"/>
      <c r="I8116" s="7" t="n"/>
      <c r="J8116" s="7" t="n"/>
      <c r="K8116">
        <f>IF(D8116="Legitimate Interest (GDPR Art. 6(1)(f))", "Yes / Required (Sheet 3)", "")</f>
        <v/>
      </c>
      <c r="L8116" s="7" t="n"/>
      <c r="M8116" s="7" t="n"/>
      <c r="N8116">
        <f>IF(D8116="", "Gap - No Legal Basis", IF(AND(D8116="Consent (GDPR Art. 6(1)(a))", I8116="Not Captured"), "Gap - Invalid Consent", IF(AND(D8116="Legitimate Interest (GDPR Art. 6(1)(f))", L8116=""), "Gap - Missing LIA", IF(AND(G8116="Yes", H8116=""), "Gap - Missing Art. 9 Basis", IF(OR(I8116="Invalid - Not Freely Given", I8116="Invalid - Not Specific", I8116="Invalid - Not Informed", I8116="Invalid - Ambiguous"), "Gap - Invalid Consent", "Compliant")))))</f>
        <v/>
      </c>
      <c r="O8116" s="7" t="n"/>
    </row>
    <row r="8117">
      <c r="A8117" s="7" t="n"/>
      <c r="B8117" s="7" t="n"/>
      <c r="C8117" s="7" t="n"/>
      <c r="D8117" s="7" t="n"/>
      <c r="E8117" s="7" t="n"/>
      <c r="F8117" s="7" t="n"/>
      <c r="G8117" s="7" t="n"/>
      <c r="H8117" s="7" t="n"/>
      <c r="I8117" s="7" t="n"/>
      <c r="J8117" s="7" t="n"/>
      <c r="K8117">
        <f>IF(D8117="Legitimate Interest (GDPR Art. 6(1)(f))", "Yes / Required (Sheet 3)", "")</f>
        <v/>
      </c>
      <c r="L8117" s="7" t="n"/>
      <c r="M8117" s="7" t="n"/>
      <c r="N8117">
        <f>IF(D8117="", "Gap - No Legal Basis", IF(AND(D8117="Consent (GDPR Art. 6(1)(a))", I8117="Not Captured"), "Gap - Invalid Consent", IF(AND(D8117="Legitimate Interest (GDPR Art. 6(1)(f))", L8117=""), "Gap - Missing LIA", IF(AND(G8117="Yes", H8117=""), "Gap - Missing Art. 9 Basis", IF(OR(I8117="Invalid - Not Freely Given", I8117="Invalid - Not Specific", I8117="Invalid - Not Informed", I8117="Invalid - Ambiguous"), "Gap - Invalid Consent", "Compliant")))))</f>
        <v/>
      </c>
      <c r="O8117" s="7" t="n"/>
    </row>
    <row r="8118">
      <c r="A8118" s="7" t="n"/>
      <c r="B8118" s="7" t="n"/>
      <c r="C8118" s="7" t="n"/>
      <c r="D8118" s="7" t="n"/>
      <c r="E8118" s="7" t="n"/>
      <c r="F8118" s="7" t="n"/>
      <c r="G8118" s="7" t="n"/>
      <c r="H8118" s="7" t="n"/>
      <c r="I8118" s="7" t="n"/>
      <c r="J8118" s="7" t="n"/>
      <c r="K8118">
        <f>IF(D8118="Legitimate Interest (GDPR Art. 6(1)(f))", "Yes / Required (Sheet 3)", "")</f>
        <v/>
      </c>
      <c r="L8118" s="7" t="n"/>
      <c r="M8118" s="7" t="n"/>
      <c r="N8118">
        <f>IF(D8118="", "Gap - No Legal Basis", IF(AND(D8118="Consent (GDPR Art. 6(1)(a))", I8118="Not Captured"), "Gap - Invalid Consent", IF(AND(D8118="Legitimate Interest (GDPR Art. 6(1)(f))", L8118=""), "Gap - Missing LIA", IF(AND(G8118="Yes", H8118=""), "Gap - Missing Art. 9 Basis", IF(OR(I8118="Invalid - Not Freely Given", I8118="Invalid - Not Specific", I8118="Invalid - Not Informed", I8118="Invalid - Ambiguous"), "Gap - Invalid Consent", "Compliant")))))</f>
        <v/>
      </c>
      <c r="O8118" s="7" t="n"/>
    </row>
    <row r="8119">
      <c r="A8119" s="7" t="n"/>
      <c r="B8119" s="7" t="n"/>
      <c r="C8119" s="7" t="n"/>
      <c r="D8119" s="7" t="n"/>
      <c r="E8119" s="7" t="n"/>
      <c r="F8119" s="7" t="n"/>
      <c r="G8119" s="7" t="n"/>
      <c r="H8119" s="7" t="n"/>
      <c r="I8119" s="7" t="n"/>
      <c r="J8119" s="7" t="n"/>
      <c r="K8119">
        <f>IF(D8119="Legitimate Interest (GDPR Art. 6(1)(f))", "Yes / Required (Sheet 3)", "")</f>
        <v/>
      </c>
      <c r="L8119" s="7" t="n"/>
      <c r="M8119" s="7" t="n"/>
      <c r="N8119">
        <f>IF(D8119="", "Gap - No Legal Basis", IF(AND(D8119="Consent (GDPR Art. 6(1)(a))", I8119="Not Captured"), "Gap - Invalid Consent", IF(AND(D8119="Legitimate Interest (GDPR Art. 6(1)(f))", L8119=""), "Gap - Missing LIA", IF(AND(G8119="Yes", H8119=""), "Gap - Missing Art. 9 Basis", IF(OR(I8119="Invalid - Not Freely Given", I8119="Invalid - Not Specific", I8119="Invalid - Not Informed", I8119="Invalid - Ambiguous"), "Gap - Invalid Consent", "Compliant")))))</f>
        <v/>
      </c>
      <c r="O8119" s="7" t="n"/>
    </row>
    <row r="8120">
      <c r="A8120" s="7" t="n"/>
      <c r="B8120" s="7" t="n"/>
      <c r="C8120" s="7" t="n"/>
      <c r="D8120" s="7" t="n"/>
      <c r="E8120" s="7" t="n"/>
      <c r="F8120" s="7" t="n"/>
      <c r="G8120" s="7" t="n"/>
      <c r="H8120" s="7" t="n"/>
      <c r="I8120" s="7" t="n"/>
      <c r="J8120" s="7" t="n"/>
      <c r="K8120">
        <f>IF(D8120="Legitimate Interest (GDPR Art. 6(1)(f))", "Yes / Required (Sheet 3)", "")</f>
        <v/>
      </c>
      <c r="L8120" s="7" t="n"/>
      <c r="M8120" s="7" t="n"/>
      <c r="N8120">
        <f>IF(D8120="", "Gap - No Legal Basis", IF(AND(D8120="Consent (GDPR Art. 6(1)(a))", I8120="Not Captured"), "Gap - Invalid Consent", IF(AND(D8120="Legitimate Interest (GDPR Art. 6(1)(f))", L8120=""), "Gap - Missing LIA", IF(AND(G8120="Yes", H8120=""), "Gap - Missing Art. 9 Basis", IF(OR(I8120="Invalid - Not Freely Given", I8120="Invalid - Not Specific", I8120="Invalid - Not Informed", I8120="Invalid - Ambiguous"), "Gap - Invalid Consent", "Compliant")))))</f>
        <v/>
      </c>
      <c r="O8120" s="7" t="n"/>
    </row>
    <row r="8121">
      <c r="A8121" s="7" t="n"/>
      <c r="B8121" s="7" t="n"/>
      <c r="C8121" s="7" t="n"/>
      <c r="D8121" s="7" t="n"/>
      <c r="E8121" s="7" t="n"/>
      <c r="F8121" s="7" t="n"/>
      <c r="G8121" s="7" t="n"/>
      <c r="H8121" s="7" t="n"/>
      <c r="I8121" s="7" t="n"/>
      <c r="J8121" s="7" t="n"/>
      <c r="K8121">
        <f>IF(D8121="Legitimate Interest (GDPR Art. 6(1)(f))", "Yes / Required (Sheet 3)", "")</f>
        <v/>
      </c>
      <c r="L8121" s="7" t="n"/>
      <c r="M8121" s="7" t="n"/>
      <c r="N8121">
        <f>IF(D8121="", "Gap - No Legal Basis", IF(AND(D8121="Consent (GDPR Art. 6(1)(a))", I8121="Not Captured"), "Gap - Invalid Consent", IF(AND(D8121="Legitimate Interest (GDPR Art. 6(1)(f))", L8121=""), "Gap - Missing LIA", IF(AND(G8121="Yes", H8121=""), "Gap - Missing Art. 9 Basis", IF(OR(I8121="Invalid - Not Freely Given", I8121="Invalid - Not Specific", I8121="Invalid - Not Informed", I8121="Invalid - Ambiguous"), "Gap - Invalid Consent", "Compliant")))))</f>
        <v/>
      </c>
      <c r="O8121" s="7" t="n"/>
    </row>
    <row r="8122">
      <c r="A8122" s="7" t="n"/>
      <c r="B8122" s="7" t="n"/>
      <c r="C8122" s="7" t="n"/>
      <c r="D8122" s="7" t="n"/>
      <c r="E8122" s="7" t="n"/>
      <c r="F8122" s="7" t="n"/>
      <c r="G8122" s="7" t="n"/>
      <c r="H8122" s="7" t="n"/>
      <c r="I8122" s="7" t="n"/>
      <c r="J8122" s="7" t="n"/>
      <c r="K8122">
        <f>IF(D8122="Legitimate Interest (GDPR Art. 6(1)(f))", "Yes / Required (Sheet 3)", "")</f>
        <v/>
      </c>
      <c r="L8122" s="7" t="n"/>
      <c r="M8122" s="7" t="n"/>
      <c r="N8122">
        <f>IF(D8122="", "Gap - No Legal Basis", IF(AND(D8122="Consent (GDPR Art. 6(1)(a))", I8122="Not Captured"), "Gap - Invalid Consent", IF(AND(D8122="Legitimate Interest (GDPR Art. 6(1)(f))", L8122=""), "Gap - Missing LIA", IF(AND(G8122="Yes", H8122=""), "Gap - Missing Art. 9 Basis", IF(OR(I8122="Invalid - Not Freely Given", I8122="Invalid - Not Specific", I8122="Invalid - Not Informed", I8122="Invalid - Ambiguous"), "Gap - Invalid Consent", "Compliant")))))</f>
        <v/>
      </c>
      <c r="O8122" s="7" t="n"/>
    </row>
    <row r="8123">
      <c r="A8123" s="7" t="n"/>
      <c r="B8123" s="7" t="n"/>
      <c r="C8123" s="7" t="n"/>
      <c r="D8123" s="7" t="n"/>
      <c r="E8123" s="7" t="n"/>
      <c r="F8123" s="7" t="n"/>
      <c r="G8123" s="7" t="n"/>
      <c r="H8123" s="7" t="n"/>
      <c r="I8123" s="7" t="n"/>
      <c r="J8123" s="7" t="n"/>
      <c r="K8123">
        <f>IF(D8123="Legitimate Interest (GDPR Art. 6(1)(f))", "Yes / Required (Sheet 3)", "")</f>
        <v/>
      </c>
      <c r="L8123" s="7" t="n"/>
      <c r="M8123" s="7" t="n"/>
      <c r="N8123">
        <f>IF(D8123="", "Gap - No Legal Basis", IF(AND(D8123="Consent (GDPR Art. 6(1)(a))", I8123="Not Captured"), "Gap - Invalid Consent", IF(AND(D8123="Legitimate Interest (GDPR Art. 6(1)(f))", L8123=""), "Gap - Missing LIA", IF(AND(G8123="Yes", H8123=""), "Gap - Missing Art. 9 Basis", IF(OR(I8123="Invalid - Not Freely Given", I8123="Invalid - Not Specific", I8123="Invalid - Not Informed", I8123="Invalid - Ambiguous"), "Gap - Invalid Consent", "Compliant")))))</f>
        <v/>
      </c>
      <c r="O8123" s="7" t="n"/>
    </row>
    <row r="8124">
      <c r="A8124" s="7" t="n"/>
      <c r="B8124" s="7" t="n"/>
      <c r="C8124" s="7" t="n"/>
      <c r="D8124" s="7" t="n"/>
      <c r="E8124" s="7" t="n"/>
      <c r="F8124" s="7" t="n"/>
      <c r="G8124" s="7" t="n"/>
      <c r="H8124" s="7" t="n"/>
      <c r="I8124" s="7" t="n"/>
      <c r="J8124" s="7" t="n"/>
      <c r="K8124">
        <f>IF(D8124="Legitimate Interest (GDPR Art. 6(1)(f))", "Yes / Required (Sheet 3)", "")</f>
        <v/>
      </c>
      <c r="L8124" s="7" t="n"/>
      <c r="M8124" s="7" t="n"/>
      <c r="N8124">
        <f>IF(D8124="", "Gap - No Legal Basis", IF(AND(D8124="Consent (GDPR Art. 6(1)(a))", I8124="Not Captured"), "Gap - Invalid Consent", IF(AND(D8124="Legitimate Interest (GDPR Art. 6(1)(f))", L8124=""), "Gap - Missing LIA", IF(AND(G8124="Yes", H8124=""), "Gap - Missing Art. 9 Basis", IF(OR(I8124="Invalid - Not Freely Given", I8124="Invalid - Not Specific", I8124="Invalid - Not Informed", I8124="Invalid - Ambiguous"), "Gap - Invalid Consent", "Compliant")))))</f>
        <v/>
      </c>
      <c r="O8124" s="7" t="n"/>
    </row>
    <row r="8125">
      <c r="A8125" s="7" t="n"/>
      <c r="B8125" s="7" t="n"/>
      <c r="C8125" s="7" t="n"/>
      <c r="D8125" s="7" t="n"/>
      <c r="E8125" s="7" t="n"/>
      <c r="F8125" s="7" t="n"/>
      <c r="G8125" s="7" t="n"/>
      <c r="H8125" s="7" t="n"/>
      <c r="I8125" s="7" t="n"/>
      <c r="J8125" s="7" t="n"/>
      <c r="K8125">
        <f>IF(D8125="Legitimate Interest (GDPR Art. 6(1)(f))", "Yes / Required (Sheet 3)", "")</f>
        <v/>
      </c>
      <c r="L8125" s="7" t="n"/>
      <c r="M8125" s="7" t="n"/>
      <c r="N8125">
        <f>IF(D8125="", "Gap - No Legal Basis", IF(AND(D8125="Consent (GDPR Art. 6(1)(a))", I8125="Not Captured"), "Gap - Invalid Consent", IF(AND(D8125="Legitimate Interest (GDPR Art. 6(1)(f))", L8125=""), "Gap - Missing LIA", IF(AND(G8125="Yes", H8125=""), "Gap - Missing Art. 9 Basis", IF(OR(I8125="Invalid - Not Freely Given", I8125="Invalid - Not Specific", I8125="Invalid - Not Informed", I8125="Invalid - Ambiguous"), "Gap - Invalid Consent", "Compliant")))))</f>
        <v/>
      </c>
      <c r="O8125" s="7" t="n"/>
    </row>
    <row r="8126">
      <c r="A8126" s="7" t="n"/>
      <c r="B8126" s="7" t="n"/>
      <c r="C8126" s="7" t="n"/>
      <c r="D8126" s="7" t="n"/>
      <c r="E8126" s="7" t="n"/>
      <c r="F8126" s="7" t="n"/>
      <c r="G8126" s="7" t="n"/>
      <c r="H8126" s="7" t="n"/>
      <c r="I8126" s="7" t="n"/>
      <c r="J8126" s="7" t="n"/>
      <c r="K8126">
        <f>IF(D8126="Legitimate Interest (GDPR Art. 6(1)(f))", "Yes / Required (Sheet 3)", "")</f>
        <v/>
      </c>
      <c r="L8126" s="7" t="n"/>
      <c r="M8126" s="7" t="n"/>
      <c r="N8126">
        <f>IF(D8126="", "Gap - No Legal Basis", IF(AND(D8126="Consent (GDPR Art. 6(1)(a))", I8126="Not Captured"), "Gap - Invalid Consent", IF(AND(D8126="Legitimate Interest (GDPR Art. 6(1)(f))", L8126=""), "Gap - Missing LIA", IF(AND(G8126="Yes", H8126=""), "Gap - Missing Art. 9 Basis", IF(OR(I8126="Invalid - Not Freely Given", I8126="Invalid - Not Specific", I8126="Invalid - Not Informed", I8126="Invalid - Ambiguous"), "Gap - Invalid Consent", "Compliant")))))</f>
        <v/>
      </c>
      <c r="O8126" s="7" t="n"/>
    </row>
    <row r="8127">
      <c r="A8127" s="7" t="n"/>
      <c r="B8127" s="7" t="n"/>
      <c r="C8127" s="7" t="n"/>
      <c r="D8127" s="7" t="n"/>
      <c r="E8127" s="7" t="n"/>
      <c r="F8127" s="7" t="n"/>
      <c r="G8127" s="7" t="n"/>
      <c r="H8127" s="7" t="n"/>
      <c r="I8127" s="7" t="n"/>
      <c r="J8127" s="7" t="n"/>
      <c r="K8127">
        <f>IF(D8127="Legitimate Interest (GDPR Art. 6(1)(f))", "Yes / Required (Sheet 3)", "")</f>
        <v/>
      </c>
      <c r="L8127" s="7" t="n"/>
      <c r="M8127" s="7" t="n"/>
      <c r="N8127">
        <f>IF(D8127="", "Gap - No Legal Basis", IF(AND(D8127="Consent (GDPR Art. 6(1)(a))", I8127="Not Captured"), "Gap - Invalid Consent", IF(AND(D8127="Legitimate Interest (GDPR Art. 6(1)(f))", L8127=""), "Gap - Missing LIA", IF(AND(G8127="Yes", H8127=""), "Gap - Missing Art. 9 Basis", IF(OR(I8127="Invalid - Not Freely Given", I8127="Invalid - Not Specific", I8127="Invalid - Not Informed", I8127="Invalid - Ambiguous"), "Gap - Invalid Consent", "Compliant")))))</f>
        <v/>
      </c>
      <c r="O8127" s="7" t="n"/>
    </row>
    <row r="8128">
      <c r="A8128" s="7" t="n"/>
      <c r="B8128" s="7" t="n"/>
      <c r="C8128" s="7" t="n"/>
      <c r="D8128" s="7" t="n"/>
      <c r="E8128" s="7" t="n"/>
      <c r="F8128" s="7" t="n"/>
      <c r="G8128" s="7" t="n"/>
      <c r="H8128" s="7" t="n"/>
      <c r="I8128" s="7" t="n"/>
      <c r="J8128" s="7" t="n"/>
      <c r="K8128">
        <f>IF(D8128="Legitimate Interest (GDPR Art. 6(1)(f))", "Yes / Required (Sheet 3)", "")</f>
        <v/>
      </c>
      <c r="L8128" s="7" t="n"/>
      <c r="M8128" s="7" t="n"/>
      <c r="N8128">
        <f>IF(D8128="", "Gap - No Legal Basis", IF(AND(D8128="Consent (GDPR Art. 6(1)(a))", I8128="Not Captured"), "Gap - Invalid Consent", IF(AND(D8128="Legitimate Interest (GDPR Art. 6(1)(f))", L8128=""), "Gap - Missing LIA", IF(AND(G8128="Yes", H8128=""), "Gap - Missing Art. 9 Basis", IF(OR(I8128="Invalid - Not Freely Given", I8128="Invalid - Not Specific", I8128="Invalid - Not Informed", I8128="Invalid - Ambiguous"), "Gap - Invalid Consent", "Compliant")))))</f>
        <v/>
      </c>
      <c r="O8128" s="7" t="n"/>
    </row>
    <row r="8129">
      <c r="A8129" s="7" t="n"/>
      <c r="B8129" s="7" t="n"/>
      <c r="C8129" s="7" t="n"/>
      <c r="D8129" s="7" t="n"/>
      <c r="E8129" s="7" t="n"/>
      <c r="F8129" s="7" t="n"/>
      <c r="G8129" s="7" t="n"/>
      <c r="H8129" s="7" t="n"/>
      <c r="I8129" s="7" t="n"/>
      <c r="J8129" s="7" t="n"/>
      <c r="K8129">
        <f>IF(D8129="Legitimate Interest (GDPR Art. 6(1)(f))", "Yes / Required (Sheet 3)", "")</f>
        <v/>
      </c>
      <c r="L8129" s="7" t="n"/>
      <c r="M8129" s="7" t="n"/>
      <c r="N8129">
        <f>IF(D8129="", "Gap - No Legal Basis", IF(AND(D8129="Consent (GDPR Art. 6(1)(a))", I8129="Not Captured"), "Gap - Invalid Consent", IF(AND(D8129="Legitimate Interest (GDPR Art. 6(1)(f))", L8129=""), "Gap - Missing LIA", IF(AND(G8129="Yes", H8129=""), "Gap - Missing Art. 9 Basis", IF(OR(I8129="Invalid - Not Freely Given", I8129="Invalid - Not Specific", I8129="Invalid - Not Informed", I8129="Invalid - Ambiguous"), "Gap - Invalid Consent", "Compliant")))))</f>
        <v/>
      </c>
      <c r="O8129" s="7" t="n"/>
    </row>
    <row r="8130">
      <c r="A8130" s="7" t="n"/>
      <c r="B8130" s="7" t="n"/>
      <c r="C8130" s="7" t="n"/>
      <c r="D8130" s="7" t="n"/>
      <c r="E8130" s="7" t="n"/>
      <c r="F8130" s="7" t="n"/>
      <c r="G8130" s="7" t="n"/>
      <c r="H8130" s="7" t="n"/>
      <c r="I8130" s="7" t="n"/>
      <c r="J8130" s="7" t="n"/>
      <c r="K8130">
        <f>IF(D8130="Legitimate Interest (GDPR Art. 6(1)(f))", "Yes / Required (Sheet 3)", "")</f>
        <v/>
      </c>
      <c r="L8130" s="7" t="n"/>
      <c r="M8130" s="7" t="n"/>
      <c r="N8130">
        <f>IF(D8130="", "Gap - No Legal Basis", IF(AND(D8130="Consent (GDPR Art. 6(1)(a))", I8130="Not Captured"), "Gap - Invalid Consent", IF(AND(D8130="Legitimate Interest (GDPR Art. 6(1)(f))", L8130=""), "Gap - Missing LIA", IF(AND(G8130="Yes", H8130=""), "Gap - Missing Art. 9 Basis", IF(OR(I8130="Invalid - Not Freely Given", I8130="Invalid - Not Specific", I8130="Invalid - Not Informed", I8130="Invalid - Ambiguous"), "Gap - Invalid Consent", "Compliant")))))</f>
        <v/>
      </c>
      <c r="O8130" s="7" t="n"/>
    </row>
    <row r="8131">
      <c r="A8131" s="7" t="n"/>
      <c r="B8131" s="7" t="n"/>
      <c r="C8131" s="7" t="n"/>
      <c r="D8131" s="7" t="n"/>
      <c r="E8131" s="7" t="n"/>
      <c r="F8131" s="7" t="n"/>
      <c r="G8131" s="7" t="n"/>
      <c r="H8131" s="7" t="n"/>
      <c r="I8131" s="7" t="n"/>
      <c r="J8131" s="7" t="n"/>
      <c r="K8131">
        <f>IF(D8131="Legitimate Interest (GDPR Art. 6(1)(f))", "Yes / Required (Sheet 3)", "")</f>
        <v/>
      </c>
      <c r="L8131" s="7" t="n"/>
      <c r="M8131" s="7" t="n"/>
      <c r="N8131">
        <f>IF(D8131="", "Gap - No Legal Basis", IF(AND(D8131="Consent (GDPR Art. 6(1)(a))", I8131="Not Captured"), "Gap - Invalid Consent", IF(AND(D8131="Legitimate Interest (GDPR Art. 6(1)(f))", L8131=""), "Gap - Missing LIA", IF(AND(G8131="Yes", H8131=""), "Gap - Missing Art. 9 Basis", IF(OR(I8131="Invalid - Not Freely Given", I8131="Invalid - Not Specific", I8131="Invalid - Not Informed", I8131="Invalid - Ambiguous"), "Gap - Invalid Consent", "Compliant")))))</f>
        <v/>
      </c>
      <c r="O8131" s="7" t="n"/>
    </row>
    <row r="8132">
      <c r="A8132" s="7" t="n"/>
      <c r="B8132" s="7" t="n"/>
      <c r="C8132" s="7" t="n"/>
      <c r="D8132" s="7" t="n"/>
      <c r="E8132" s="7" t="n"/>
      <c r="F8132" s="7" t="n"/>
      <c r="G8132" s="7" t="n"/>
      <c r="H8132" s="7" t="n"/>
      <c r="I8132" s="7" t="n"/>
      <c r="J8132" s="7" t="n"/>
      <c r="K8132">
        <f>IF(D8132="Legitimate Interest (GDPR Art. 6(1)(f))", "Yes / Required (Sheet 3)", "")</f>
        <v/>
      </c>
      <c r="L8132" s="7" t="n"/>
      <c r="M8132" s="7" t="n"/>
      <c r="N8132">
        <f>IF(D8132="", "Gap - No Legal Basis", IF(AND(D8132="Consent (GDPR Art. 6(1)(a))", I8132="Not Captured"), "Gap - Invalid Consent", IF(AND(D8132="Legitimate Interest (GDPR Art. 6(1)(f))", L8132=""), "Gap - Missing LIA", IF(AND(G8132="Yes", H8132=""), "Gap - Missing Art. 9 Basis", IF(OR(I8132="Invalid - Not Freely Given", I8132="Invalid - Not Specific", I8132="Invalid - Not Informed", I8132="Invalid - Ambiguous"), "Gap - Invalid Consent", "Compliant")))))</f>
        <v/>
      </c>
      <c r="O8132" s="7" t="n"/>
    </row>
    <row r="8133">
      <c r="A8133" s="7" t="n"/>
      <c r="B8133" s="7" t="n"/>
      <c r="C8133" s="7" t="n"/>
      <c r="D8133" s="7" t="n"/>
      <c r="E8133" s="7" t="n"/>
      <c r="F8133" s="7" t="n"/>
      <c r="G8133" s="7" t="n"/>
      <c r="H8133" s="7" t="n"/>
      <c r="I8133" s="7" t="n"/>
      <c r="J8133" s="7" t="n"/>
      <c r="K8133">
        <f>IF(D8133="Legitimate Interest (GDPR Art. 6(1)(f))", "Yes / Required (Sheet 3)", "")</f>
        <v/>
      </c>
      <c r="L8133" s="7" t="n"/>
      <c r="M8133" s="7" t="n"/>
      <c r="N8133">
        <f>IF(D8133="", "Gap - No Legal Basis", IF(AND(D8133="Consent (GDPR Art. 6(1)(a))", I8133="Not Captured"), "Gap - Invalid Consent", IF(AND(D8133="Legitimate Interest (GDPR Art. 6(1)(f))", L8133=""), "Gap - Missing LIA", IF(AND(G8133="Yes", H8133=""), "Gap - Missing Art. 9 Basis", IF(OR(I8133="Invalid - Not Freely Given", I8133="Invalid - Not Specific", I8133="Invalid - Not Informed", I8133="Invalid - Ambiguous"), "Gap - Invalid Consent", "Compliant")))))</f>
        <v/>
      </c>
      <c r="O8133" s="7" t="n"/>
    </row>
    <row r="8134">
      <c r="A8134" s="7" t="n"/>
      <c r="B8134" s="7" t="n"/>
      <c r="C8134" s="7" t="n"/>
      <c r="D8134" s="7" t="n"/>
      <c r="E8134" s="7" t="n"/>
      <c r="F8134" s="7" t="n"/>
      <c r="G8134" s="7" t="n"/>
      <c r="H8134" s="7" t="n"/>
      <c r="I8134" s="7" t="n"/>
      <c r="J8134" s="7" t="n"/>
      <c r="K8134">
        <f>IF(D8134="Legitimate Interest (GDPR Art. 6(1)(f))", "Yes / Required (Sheet 3)", "")</f>
        <v/>
      </c>
      <c r="L8134" s="7" t="n"/>
      <c r="M8134" s="7" t="n"/>
      <c r="N8134">
        <f>IF(D8134="", "Gap - No Legal Basis", IF(AND(D8134="Consent (GDPR Art. 6(1)(a))", I8134="Not Captured"), "Gap - Invalid Consent", IF(AND(D8134="Legitimate Interest (GDPR Art. 6(1)(f))", L8134=""), "Gap - Missing LIA", IF(AND(G8134="Yes", H8134=""), "Gap - Missing Art. 9 Basis", IF(OR(I8134="Invalid - Not Freely Given", I8134="Invalid - Not Specific", I8134="Invalid - Not Informed", I8134="Invalid - Ambiguous"), "Gap - Invalid Consent", "Compliant")))))</f>
        <v/>
      </c>
      <c r="O8134" s="7" t="n"/>
    </row>
    <row r="8135">
      <c r="A8135" s="7" t="n"/>
      <c r="B8135" s="7" t="n"/>
      <c r="C8135" s="7" t="n"/>
      <c r="D8135" s="7" t="n"/>
      <c r="E8135" s="7" t="n"/>
      <c r="F8135" s="7" t="n"/>
      <c r="G8135" s="7" t="n"/>
      <c r="H8135" s="7" t="n"/>
      <c r="I8135" s="7" t="n"/>
      <c r="J8135" s="7" t="n"/>
      <c r="K8135">
        <f>IF(D8135="Legitimate Interest (GDPR Art. 6(1)(f))", "Yes / Required (Sheet 3)", "")</f>
        <v/>
      </c>
      <c r="L8135" s="7" t="n"/>
      <c r="M8135" s="7" t="n"/>
      <c r="N8135">
        <f>IF(D8135="", "Gap - No Legal Basis", IF(AND(D8135="Consent (GDPR Art. 6(1)(a))", I8135="Not Captured"), "Gap - Invalid Consent", IF(AND(D8135="Legitimate Interest (GDPR Art. 6(1)(f))", L8135=""), "Gap - Missing LIA", IF(AND(G8135="Yes", H8135=""), "Gap - Missing Art. 9 Basis", IF(OR(I8135="Invalid - Not Freely Given", I8135="Invalid - Not Specific", I8135="Invalid - Not Informed", I8135="Invalid - Ambiguous"), "Gap - Invalid Consent", "Compliant")))))</f>
        <v/>
      </c>
      <c r="O8135" s="7" t="n"/>
    </row>
    <row r="8136">
      <c r="A8136" s="7" t="n"/>
      <c r="B8136" s="7" t="n"/>
      <c r="C8136" s="7" t="n"/>
      <c r="D8136" s="7" t="n"/>
      <c r="E8136" s="7" t="n"/>
      <c r="F8136" s="7" t="n"/>
      <c r="G8136" s="7" t="n"/>
      <c r="H8136" s="7" t="n"/>
      <c r="I8136" s="7" t="n"/>
      <c r="J8136" s="7" t="n"/>
      <c r="K8136">
        <f>IF(D8136="Legitimate Interest (GDPR Art. 6(1)(f))", "Yes / Required (Sheet 3)", "")</f>
        <v/>
      </c>
      <c r="L8136" s="7" t="n"/>
      <c r="M8136" s="7" t="n"/>
      <c r="N8136">
        <f>IF(D8136="", "Gap - No Legal Basis", IF(AND(D8136="Consent (GDPR Art. 6(1)(a))", I8136="Not Captured"), "Gap - Invalid Consent", IF(AND(D8136="Legitimate Interest (GDPR Art. 6(1)(f))", L8136=""), "Gap - Missing LIA", IF(AND(G8136="Yes", H8136=""), "Gap - Missing Art. 9 Basis", IF(OR(I8136="Invalid - Not Freely Given", I8136="Invalid - Not Specific", I8136="Invalid - Not Informed", I8136="Invalid - Ambiguous"), "Gap - Invalid Consent", "Compliant")))))</f>
        <v/>
      </c>
      <c r="O8136" s="7" t="n"/>
    </row>
    <row r="8137">
      <c r="A8137" s="7" t="n"/>
      <c r="B8137" s="7" t="n"/>
      <c r="C8137" s="7" t="n"/>
      <c r="D8137" s="7" t="n"/>
      <c r="E8137" s="7" t="n"/>
      <c r="F8137" s="7" t="n"/>
      <c r="G8137" s="7" t="n"/>
      <c r="H8137" s="7" t="n"/>
      <c r="I8137" s="7" t="n"/>
      <c r="J8137" s="7" t="n"/>
      <c r="K8137">
        <f>IF(D8137="Legitimate Interest (GDPR Art. 6(1)(f))", "Yes / Required (Sheet 3)", "")</f>
        <v/>
      </c>
      <c r="L8137" s="7" t="n"/>
      <c r="M8137" s="7" t="n"/>
      <c r="N8137">
        <f>IF(D8137="", "Gap - No Legal Basis", IF(AND(D8137="Consent (GDPR Art. 6(1)(a))", I8137="Not Captured"), "Gap - Invalid Consent", IF(AND(D8137="Legitimate Interest (GDPR Art. 6(1)(f))", L8137=""), "Gap - Missing LIA", IF(AND(G8137="Yes", H8137=""), "Gap - Missing Art. 9 Basis", IF(OR(I8137="Invalid - Not Freely Given", I8137="Invalid - Not Specific", I8137="Invalid - Not Informed", I8137="Invalid - Ambiguous"), "Gap - Invalid Consent", "Compliant")))))</f>
        <v/>
      </c>
      <c r="O8137" s="7" t="n"/>
    </row>
    <row r="8138">
      <c r="A8138" s="7" t="n"/>
      <c r="B8138" s="7" t="n"/>
      <c r="C8138" s="7" t="n"/>
      <c r="D8138" s="7" t="n"/>
      <c r="E8138" s="7" t="n"/>
      <c r="F8138" s="7" t="n"/>
      <c r="G8138" s="7" t="n"/>
      <c r="H8138" s="7" t="n"/>
      <c r="I8138" s="7" t="n"/>
      <c r="J8138" s="7" t="n"/>
      <c r="K8138">
        <f>IF(D8138="Legitimate Interest (GDPR Art. 6(1)(f))", "Yes / Required (Sheet 3)", "")</f>
        <v/>
      </c>
      <c r="L8138" s="7" t="n"/>
      <c r="M8138" s="7" t="n"/>
      <c r="N8138">
        <f>IF(D8138="", "Gap - No Legal Basis", IF(AND(D8138="Consent (GDPR Art. 6(1)(a))", I8138="Not Captured"), "Gap - Invalid Consent", IF(AND(D8138="Legitimate Interest (GDPR Art. 6(1)(f))", L8138=""), "Gap - Missing LIA", IF(AND(G8138="Yes", H8138=""), "Gap - Missing Art. 9 Basis", IF(OR(I8138="Invalid - Not Freely Given", I8138="Invalid - Not Specific", I8138="Invalid - Not Informed", I8138="Invalid - Ambiguous"), "Gap - Invalid Consent", "Compliant")))))</f>
        <v/>
      </c>
      <c r="O8138" s="7" t="n"/>
    </row>
    <row r="8139">
      <c r="A8139" s="7" t="n"/>
      <c r="B8139" s="7" t="n"/>
      <c r="C8139" s="7" t="n"/>
      <c r="D8139" s="7" t="n"/>
      <c r="E8139" s="7" t="n"/>
      <c r="F8139" s="7" t="n"/>
      <c r="G8139" s="7" t="n"/>
      <c r="H8139" s="7" t="n"/>
      <c r="I8139" s="7" t="n"/>
      <c r="J8139" s="7" t="n"/>
      <c r="K8139">
        <f>IF(D8139="Legitimate Interest (GDPR Art. 6(1)(f))", "Yes / Required (Sheet 3)", "")</f>
        <v/>
      </c>
      <c r="L8139" s="7" t="n"/>
      <c r="M8139" s="7" t="n"/>
      <c r="N8139">
        <f>IF(D8139="", "Gap - No Legal Basis", IF(AND(D8139="Consent (GDPR Art. 6(1)(a))", I8139="Not Captured"), "Gap - Invalid Consent", IF(AND(D8139="Legitimate Interest (GDPR Art. 6(1)(f))", L8139=""), "Gap - Missing LIA", IF(AND(G8139="Yes", H8139=""), "Gap - Missing Art. 9 Basis", IF(OR(I8139="Invalid - Not Freely Given", I8139="Invalid - Not Specific", I8139="Invalid - Not Informed", I8139="Invalid - Ambiguous"), "Gap - Invalid Consent", "Compliant")))))</f>
        <v/>
      </c>
      <c r="O8139" s="7" t="n"/>
    </row>
    <row r="8140">
      <c r="A8140" s="7" t="n"/>
      <c r="B8140" s="7" t="n"/>
      <c r="C8140" s="7" t="n"/>
      <c r="D8140" s="7" t="n"/>
      <c r="E8140" s="7" t="n"/>
      <c r="F8140" s="7" t="n"/>
      <c r="G8140" s="7" t="n"/>
      <c r="H8140" s="7" t="n"/>
      <c r="I8140" s="7" t="n"/>
      <c r="J8140" s="7" t="n"/>
      <c r="K8140">
        <f>IF(D8140="Legitimate Interest (GDPR Art. 6(1)(f))", "Yes / Required (Sheet 3)", "")</f>
        <v/>
      </c>
      <c r="L8140" s="7" t="n"/>
      <c r="M8140" s="7" t="n"/>
      <c r="N8140">
        <f>IF(D8140="", "Gap - No Legal Basis", IF(AND(D8140="Consent (GDPR Art. 6(1)(a))", I8140="Not Captured"), "Gap - Invalid Consent", IF(AND(D8140="Legitimate Interest (GDPR Art. 6(1)(f))", L8140=""), "Gap - Missing LIA", IF(AND(G8140="Yes", H8140=""), "Gap - Missing Art. 9 Basis", IF(OR(I8140="Invalid - Not Freely Given", I8140="Invalid - Not Specific", I8140="Invalid - Not Informed", I8140="Invalid - Ambiguous"), "Gap - Invalid Consent", "Compliant")))))</f>
        <v/>
      </c>
      <c r="O8140" s="7" t="n"/>
    </row>
    <row r="8141">
      <c r="A8141" s="7" t="n"/>
      <c r="B8141" s="7" t="n"/>
      <c r="C8141" s="7" t="n"/>
      <c r="D8141" s="7" t="n"/>
      <c r="E8141" s="7" t="n"/>
      <c r="F8141" s="7" t="n"/>
      <c r="G8141" s="7" t="n"/>
      <c r="H8141" s="7" t="n"/>
      <c r="I8141" s="7" t="n"/>
      <c r="J8141" s="7" t="n"/>
      <c r="K8141">
        <f>IF(D8141="Legitimate Interest (GDPR Art. 6(1)(f))", "Yes / Required (Sheet 3)", "")</f>
        <v/>
      </c>
      <c r="L8141" s="7" t="n"/>
      <c r="M8141" s="7" t="n"/>
      <c r="N8141">
        <f>IF(D8141="", "Gap - No Legal Basis", IF(AND(D8141="Consent (GDPR Art. 6(1)(a))", I8141="Not Captured"), "Gap - Invalid Consent", IF(AND(D8141="Legitimate Interest (GDPR Art. 6(1)(f))", L8141=""), "Gap - Missing LIA", IF(AND(G8141="Yes", H8141=""), "Gap - Missing Art. 9 Basis", IF(OR(I8141="Invalid - Not Freely Given", I8141="Invalid - Not Specific", I8141="Invalid - Not Informed", I8141="Invalid - Ambiguous"), "Gap - Invalid Consent", "Compliant")))))</f>
        <v/>
      </c>
      <c r="O8141" s="7" t="n"/>
    </row>
    <row r="8142">
      <c r="A8142" s="7" t="n"/>
      <c r="B8142" s="7" t="n"/>
      <c r="C8142" s="7" t="n"/>
      <c r="D8142" s="7" t="n"/>
      <c r="E8142" s="7" t="n"/>
      <c r="F8142" s="7" t="n"/>
      <c r="G8142" s="7" t="n"/>
      <c r="H8142" s="7" t="n"/>
      <c r="I8142" s="7" t="n"/>
      <c r="J8142" s="7" t="n"/>
      <c r="K8142">
        <f>IF(D8142="Legitimate Interest (GDPR Art. 6(1)(f))", "Yes / Required (Sheet 3)", "")</f>
        <v/>
      </c>
      <c r="L8142" s="7" t="n"/>
      <c r="M8142" s="7" t="n"/>
      <c r="N8142">
        <f>IF(D8142="", "Gap - No Legal Basis", IF(AND(D8142="Consent (GDPR Art. 6(1)(a))", I8142="Not Captured"), "Gap - Invalid Consent", IF(AND(D8142="Legitimate Interest (GDPR Art. 6(1)(f))", L8142=""), "Gap - Missing LIA", IF(AND(G8142="Yes", H8142=""), "Gap - Missing Art. 9 Basis", IF(OR(I8142="Invalid - Not Freely Given", I8142="Invalid - Not Specific", I8142="Invalid - Not Informed", I8142="Invalid - Ambiguous"), "Gap - Invalid Consent", "Compliant")))))</f>
        <v/>
      </c>
      <c r="O8142" s="7" t="n"/>
    </row>
    <row r="8143">
      <c r="A8143" s="7" t="n"/>
      <c r="B8143" s="7" t="n"/>
      <c r="C8143" s="7" t="n"/>
      <c r="D8143" s="7" t="n"/>
      <c r="E8143" s="7" t="n"/>
      <c r="F8143" s="7" t="n"/>
      <c r="G8143" s="7" t="n"/>
      <c r="H8143" s="7" t="n"/>
      <c r="I8143" s="7" t="n"/>
      <c r="J8143" s="7" t="n"/>
      <c r="K8143">
        <f>IF(D8143="Legitimate Interest (GDPR Art. 6(1)(f))", "Yes / Required (Sheet 3)", "")</f>
        <v/>
      </c>
      <c r="L8143" s="7" t="n"/>
      <c r="M8143" s="7" t="n"/>
      <c r="N8143">
        <f>IF(D8143="", "Gap - No Legal Basis", IF(AND(D8143="Consent (GDPR Art. 6(1)(a))", I8143="Not Captured"), "Gap - Invalid Consent", IF(AND(D8143="Legitimate Interest (GDPR Art. 6(1)(f))", L8143=""), "Gap - Missing LIA", IF(AND(G8143="Yes", H8143=""), "Gap - Missing Art. 9 Basis", IF(OR(I8143="Invalid - Not Freely Given", I8143="Invalid - Not Specific", I8143="Invalid - Not Informed", I8143="Invalid - Ambiguous"), "Gap - Invalid Consent", "Compliant")))))</f>
        <v/>
      </c>
      <c r="O8143" s="7" t="n"/>
    </row>
    <row r="8144">
      <c r="A8144" s="7" t="n"/>
      <c r="B8144" s="7" t="n"/>
      <c r="C8144" s="7" t="n"/>
      <c r="D8144" s="7" t="n"/>
      <c r="E8144" s="7" t="n"/>
      <c r="F8144" s="7" t="n"/>
      <c r="G8144" s="7" t="n"/>
      <c r="H8144" s="7" t="n"/>
      <c r="I8144" s="7" t="n"/>
      <c r="J8144" s="7" t="n"/>
      <c r="K8144">
        <f>IF(D8144="Legitimate Interest (GDPR Art. 6(1)(f))", "Yes / Required (Sheet 3)", "")</f>
        <v/>
      </c>
      <c r="L8144" s="7" t="n"/>
      <c r="M8144" s="7" t="n"/>
      <c r="N8144">
        <f>IF(D8144="", "Gap - No Legal Basis", IF(AND(D8144="Consent (GDPR Art. 6(1)(a))", I8144="Not Captured"), "Gap - Invalid Consent", IF(AND(D8144="Legitimate Interest (GDPR Art. 6(1)(f))", L8144=""), "Gap - Missing LIA", IF(AND(G8144="Yes", H8144=""), "Gap - Missing Art. 9 Basis", IF(OR(I8144="Invalid - Not Freely Given", I8144="Invalid - Not Specific", I8144="Invalid - Not Informed", I8144="Invalid - Ambiguous"), "Gap - Invalid Consent", "Compliant")))))</f>
        <v/>
      </c>
      <c r="O8144" s="7" t="n"/>
    </row>
    <row r="8145">
      <c r="A8145" s="7" t="n"/>
      <c r="B8145" s="7" t="n"/>
      <c r="C8145" s="7" t="n"/>
      <c r="D8145" s="7" t="n"/>
      <c r="E8145" s="7" t="n"/>
      <c r="F8145" s="7" t="n"/>
      <c r="G8145" s="7" t="n"/>
      <c r="H8145" s="7" t="n"/>
      <c r="I8145" s="7" t="n"/>
      <c r="J8145" s="7" t="n"/>
      <c r="K8145">
        <f>IF(D8145="Legitimate Interest (GDPR Art. 6(1)(f))", "Yes / Required (Sheet 3)", "")</f>
        <v/>
      </c>
      <c r="L8145" s="7" t="n"/>
      <c r="M8145" s="7" t="n"/>
      <c r="N8145">
        <f>IF(D8145="", "Gap - No Legal Basis", IF(AND(D8145="Consent (GDPR Art. 6(1)(a))", I8145="Not Captured"), "Gap - Invalid Consent", IF(AND(D8145="Legitimate Interest (GDPR Art. 6(1)(f))", L8145=""), "Gap - Missing LIA", IF(AND(G8145="Yes", H8145=""), "Gap - Missing Art. 9 Basis", IF(OR(I8145="Invalid - Not Freely Given", I8145="Invalid - Not Specific", I8145="Invalid - Not Informed", I8145="Invalid - Ambiguous"), "Gap - Invalid Consent", "Compliant")))))</f>
        <v/>
      </c>
      <c r="O8145" s="7" t="n"/>
    </row>
    <row r="8146">
      <c r="A8146" s="7" t="n"/>
      <c r="B8146" s="7" t="n"/>
      <c r="C8146" s="7" t="n"/>
      <c r="D8146" s="7" t="n"/>
      <c r="E8146" s="7" t="n"/>
      <c r="F8146" s="7" t="n"/>
      <c r="G8146" s="7" t="n"/>
      <c r="H8146" s="7" t="n"/>
      <c r="I8146" s="7" t="n"/>
      <c r="J8146" s="7" t="n"/>
      <c r="K8146">
        <f>IF(D8146="Legitimate Interest (GDPR Art. 6(1)(f))", "Yes / Required (Sheet 3)", "")</f>
        <v/>
      </c>
      <c r="L8146" s="7" t="n"/>
      <c r="M8146" s="7" t="n"/>
      <c r="N8146">
        <f>IF(D8146="", "Gap - No Legal Basis", IF(AND(D8146="Consent (GDPR Art. 6(1)(a))", I8146="Not Captured"), "Gap - Invalid Consent", IF(AND(D8146="Legitimate Interest (GDPR Art. 6(1)(f))", L8146=""), "Gap - Missing LIA", IF(AND(G8146="Yes", H8146=""), "Gap - Missing Art. 9 Basis", IF(OR(I8146="Invalid - Not Freely Given", I8146="Invalid - Not Specific", I8146="Invalid - Not Informed", I8146="Invalid - Ambiguous"), "Gap - Invalid Consent", "Compliant")))))</f>
        <v/>
      </c>
      <c r="O8146" s="7" t="n"/>
    </row>
    <row r="8147">
      <c r="A8147" s="7" t="n"/>
      <c r="B8147" s="7" t="n"/>
      <c r="C8147" s="7" t="n"/>
      <c r="D8147" s="7" t="n"/>
      <c r="E8147" s="7" t="n"/>
      <c r="F8147" s="7" t="n"/>
      <c r="G8147" s="7" t="n"/>
      <c r="H8147" s="7" t="n"/>
      <c r="I8147" s="7" t="n"/>
      <c r="J8147" s="7" t="n"/>
      <c r="K8147">
        <f>IF(D8147="Legitimate Interest (GDPR Art. 6(1)(f))", "Yes / Required (Sheet 3)", "")</f>
        <v/>
      </c>
      <c r="L8147" s="7" t="n"/>
      <c r="M8147" s="7" t="n"/>
      <c r="N8147">
        <f>IF(D8147="", "Gap - No Legal Basis", IF(AND(D8147="Consent (GDPR Art. 6(1)(a))", I8147="Not Captured"), "Gap - Invalid Consent", IF(AND(D8147="Legitimate Interest (GDPR Art. 6(1)(f))", L8147=""), "Gap - Missing LIA", IF(AND(G8147="Yes", H8147=""), "Gap - Missing Art. 9 Basis", IF(OR(I8147="Invalid - Not Freely Given", I8147="Invalid - Not Specific", I8147="Invalid - Not Informed", I8147="Invalid - Ambiguous"), "Gap - Invalid Consent", "Compliant")))))</f>
        <v/>
      </c>
      <c r="O8147" s="7" t="n"/>
    </row>
    <row r="8148">
      <c r="A8148" s="7" t="n"/>
      <c r="B8148" s="7" t="n"/>
      <c r="C8148" s="7" t="n"/>
      <c r="D8148" s="7" t="n"/>
      <c r="E8148" s="7" t="n"/>
      <c r="F8148" s="7" t="n"/>
      <c r="G8148" s="7" t="n"/>
      <c r="H8148" s="7" t="n"/>
      <c r="I8148" s="7" t="n"/>
      <c r="J8148" s="7" t="n"/>
      <c r="K8148">
        <f>IF(D8148="Legitimate Interest (GDPR Art. 6(1)(f))", "Yes / Required (Sheet 3)", "")</f>
        <v/>
      </c>
      <c r="L8148" s="7" t="n"/>
      <c r="M8148" s="7" t="n"/>
      <c r="N8148">
        <f>IF(D8148="", "Gap - No Legal Basis", IF(AND(D8148="Consent (GDPR Art. 6(1)(a))", I8148="Not Captured"), "Gap - Invalid Consent", IF(AND(D8148="Legitimate Interest (GDPR Art. 6(1)(f))", L8148=""), "Gap - Missing LIA", IF(AND(G8148="Yes", H8148=""), "Gap - Missing Art. 9 Basis", IF(OR(I8148="Invalid - Not Freely Given", I8148="Invalid - Not Specific", I8148="Invalid - Not Informed", I8148="Invalid - Ambiguous"), "Gap - Invalid Consent", "Compliant")))))</f>
        <v/>
      </c>
      <c r="O8148" s="7" t="n"/>
    </row>
    <row r="8149">
      <c r="A8149" s="7" t="n"/>
      <c r="B8149" s="7" t="n"/>
      <c r="C8149" s="7" t="n"/>
      <c r="D8149" s="7" t="n"/>
      <c r="E8149" s="7" t="n"/>
      <c r="F8149" s="7" t="n"/>
      <c r="G8149" s="7" t="n"/>
      <c r="H8149" s="7" t="n"/>
      <c r="I8149" s="7" t="n"/>
      <c r="J8149" s="7" t="n"/>
      <c r="K8149">
        <f>IF(D8149="Legitimate Interest (GDPR Art. 6(1)(f))", "Yes / Required (Sheet 3)", "")</f>
        <v/>
      </c>
      <c r="L8149" s="7" t="n"/>
      <c r="M8149" s="7" t="n"/>
      <c r="N8149">
        <f>IF(D8149="", "Gap - No Legal Basis", IF(AND(D8149="Consent (GDPR Art. 6(1)(a))", I8149="Not Captured"), "Gap - Invalid Consent", IF(AND(D8149="Legitimate Interest (GDPR Art. 6(1)(f))", L8149=""), "Gap - Missing LIA", IF(AND(G8149="Yes", H8149=""), "Gap - Missing Art. 9 Basis", IF(OR(I8149="Invalid - Not Freely Given", I8149="Invalid - Not Specific", I8149="Invalid - Not Informed", I8149="Invalid - Ambiguous"), "Gap - Invalid Consent", "Compliant")))))</f>
        <v/>
      </c>
      <c r="O8149" s="7" t="n"/>
    </row>
    <row r="8150">
      <c r="A8150" s="7" t="n"/>
      <c r="B8150" s="7" t="n"/>
      <c r="C8150" s="7" t="n"/>
      <c r="D8150" s="7" t="n"/>
      <c r="E8150" s="7" t="n"/>
      <c r="F8150" s="7" t="n"/>
      <c r="G8150" s="7" t="n"/>
      <c r="H8150" s="7" t="n"/>
      <c r="I8150" s="7" t="n"/>
      <c r="J8150" s="7" t="n"/>
      <c r="K8150">
        <f>IF(D8150="Legitimate Interest (GDPR Art. 6(1)(f))", "Yes / Required (Sheet 3)", "")</f>
        <v/>
      </c>
      <c r="L8150" s="7" t="n"/>
      <c r="M8150" s="7" t="n"/>
      <c r="N8150">
        <f>IF(D8150="", "Gap - No Legal Basis", IF(AND(D8150="Consent (GDPR Art. 6(1)(a))", I8150="Not Captured"), "Gap - Invalid Consent", IF(AND(D8150="Legitimate Interest (GDPR Art. 6(1)(f))", L8150=""), "Gap - Missing LIA", IF(AND(G8150="Yes", H8150=""), "Gap - Missing Art. 9 Basis", IF(OR(I8150="Invalid - Not Freely Given", I8150="Invalid - Not Specific", I8150="Invalid - Not Informed", I8150="Invalid - Ambiguous"), "Gap - Invalid Consent", "Compliant")))))</f>
        <v/>
      </c>
      <c r="O8150" s="7" t="n"/>
    </row>
    <row r="8151">
      <c r="A8151" s="7" t="n"/>
      <c r="B8151" s="7" t="n"/>
      <c r="C8151" s="7" t="n"/>
      <c r="D8151" s="7" t="n"/>
      <c r="E8151" s="7" t="n"/>
      <c r="F8151" s="7" t="n"/>
      <c r="G8151" s="7" t="n"/>
      <c r="H8151" s="7" t="n"/>
      <c r="I8151" s="7" t="n"/>
      <c r="J8151" s="7" t="n"/>
      <c r="K8151">
        <f>IF(D8151="Legitimate Interest (GDPR Art. 6(1)(f))", "Yes / Required (Sheet 3)", "")</f>
        <v/>
      </c>
      <c r="L8151" s="7" t="n"/>
      <c r="M8151" s="7" t="n"/>
      <c r="N8151">
        <f>IF(D8151="", "Gap - No Legal Basis", IF(AND(D8151="Consent (GDPR Art. 6(1)(a))", I8151="Not Captured"), "Gap - Invalid Consent", IF(AND(D8151="Legitimate Interest (GDPR Art. 6(1)(f))", L8151=""), "Gap - Missing LIA", IF(AND(G8151="Yes", H8151=""), "Gap - Missing Art. 9 Basis", IF(OR(I8151="Invalid - Not Freely Given", I8151="Invalid - Not Specific", I8151="Invalid - Not Informed", I8151="Invalid - Ambiguous"), "Gap - Invalid Consent", "Compliant")))))</f>
        <v/>
      </c>
      <c r="O8151" s="7" t="n"/>
    </row>
    <row r="8152">
      <c r="A8152" s="7" t="n"/>
      <c r="B8152" s="7" t="n"/>
      <c r="C8152" s="7" t="n"/>
      <c r="D8152" s="7" t="n"/>
      <c r="E8152" s="7" t="n"/>
      <c r="F8152" s="7" t="n"/>
      <c r="G8152" s="7" t="n"/>
      <c r="H8152" s="7" t="n"/>
      <c r="I8152" s="7" t="n"/>
      <c r="J8152" s="7" t="n"/>
      <c r="K8152">
        <f>IF(D8152="Legitimate Interest (GDPR Art. 6(1)(f))", "Yes / Required (Sheet 3)", "")</f>
        <v/>
      </c>
      <c r="L8152" s="7" t="n"/>
      <c r="M8152" s="7" t="n"/>
      <c r="N8152">
        <f>IF(D8152="", "Gap - No Legal Basis", IF(AND(D8152="Consent (GDPR Art. 6(1)(a))", I8152="Not Captured"), "Gap - Invalid Consent", IF(AND(D8152="Legitimate Interest (GDPR Art. 6(1)(f))", L8152=""), "Gap - Missing LIA", IF(AND(G8152="Yes", H8152=""), "Gap - Missing Art. 9 Basis", IF(OR(I8152="Invalid - Not Freely Given", I8152="Invalid - Not Specific", I8152="Invalid - Not Informed", I8152="Invalid - Ambiguous"), "Gap - Invalid Consent", "Compliant")))))</f>
        <v/>
      </c>
      <c r="O8152" s="7" t="n"/>
    </row>
    <row r="8153">
      <c r="A8153" s="7" t="n"/>
      <c r="B8153" s="7" t="n"/>
      <c r="C8153" s="7" t="n"/>
      <c r="D8153" s="7" t="n"/>
      <c r="E8153" s="7" t="n"/>
      <c r="F8153" s="7" t="n"/>
      <c r="G8153" s="7" t="n"/>
      <c r="H8153" s="7" t="n"/>
      <c r="I8153" s="7" t="n"/>
      <c r="J8153" s="7" t="n"/>
      <c r="K8153">
        <f>IF(D8153="Legitimate Interest (GDPR Art. 6(1)(f))", "Yes / Required (Sheet 3)", "")</f>
        <v/>
      </c>
      <c r="L8153" s="7" t="n"/>
      <c r="M8153" s="7" t="n"/>
      <c r="N8153">
        <f>IF(D8153="", "Gap - No Legal Basis", IF(AND(D8153="Consent (GDPR Art. 6(1)(a))", I8153="Not Captured"), "Gap - Invalid Consent", IF(AND(D8153="Legitimate Interest (GDPR Art. 6(1)(f))", L8153=""), "Gap - Missing LIA", IF(AND(G8153="Yes", H8153=""), "Gap - Missing Art. 9 Basis", IF(OR(I8153="Invalid - Not Freely Given", I8153="Invalid - Not Specific", I8153="Invalid - Not Informed", I8153="Invalid - Ambiguous"), "Gap - Invalid Consent", "Compliant")))))</f>
        <v/>
      </c>
      <c r="O8153" s="7" t="n"/>
    </row>
    <row r="8154">
      <c r="A8154" s="7" t="n"/>
      <c r="B8154" s="7" t="n"/>
      <c r="C8154" s="7" t="n"/>
      <c r="D8154" s="7" t="n"/>
      <c r="E8154" s="7" t="n"/>
      <c r="F8154" s="7" t="n"/>
      <c r="G8154" s="7" t="n"/>
      <c r="H8154" s="7" t="n"/>
      <c r="I8154" s="7" t="n"/>
      <c r="J8154" s="7" t="n"/>
      <c r="K8154">
        <f>IF(D8154="Legitimate Interest (GDPR Art. 6(1)(f))", "Yes / Required (Sheet 3)", "")</f>
        <v/>
      </c>
      <c r="L8154" s="7" t="n"/>
      <c r="M8154" s="7" t="n"/>
      <c r="N8154">
        <f>IF(D8154="", "Gap - No Legal Basis", IF(AND(D8154="Consent (GDPR Art. 6(1)(a))", I8154="Not Captured"), "Gap - Invalid Consent", IF(AND(D8154="Legitimate Interest (GDPR Art. 6(1)(f))", L8154=""), "Gap - Missing LIA", IF(AND(G8154="Yes", H8154=""), "Gap - Missing Art. 9 Basis", IF(OR(I8154="Invalid - Not Freely Given", I8154="Invalid - Not Specific", I8154="Invalid - Not Informed", I8154="Invalid - Ambiguous"), "Gap - Invalid Consent", "Compliant")))))</f>
        <v/>
      </c>
      <c r="O8154" s="7" t="n"/>
    </row>
    <row r="8155">
      <c r="A8155" s="7" t="n"/>
      <c r="B8155" s="7" t="n"/>
      <c r="C8155" s="7" t="n"/>
      <c r="D8155" s="7" t="n"/>
      <c r="E8155" s="7" t="n"/>
      <c r="F8155" s="7" t="n"/>
      <c r="G8155" s="7" t="n"/>
      <c r="H8155" s="7" t="n"/>
      <c r="I8155" s="7" t="n"/>
      <c r="J8155" s="7" t="n"/>
      <c r="K8155">
        <f>IF(D8155="Legitimate Interest (GDPR Art. 6(1)(f))", "Yes / Required (Sheet 3)", "")</f>
        <v/>
      </c>
      <c r="L8155" s="7" t="n"/>
      <c r="M8155" s="7" t="n"/>
      <c r="N8155">
        <f>IF(D8155="", "Gap - No Legal Basis", IF(AND(D8155="Consent (GDPR Art. 6(1)(a))", I8155="Not Captured"), "Gap - Invalid Consent", IF(AND(D8155="Legitimate Interest (GDPR Art. 6(1)(f))", L8155=""), "Gap - Missing LIA", IF(AND(G8155="Yes", H8155=""), "Gap - Missing Art. 9 Basis", IF(OR(I8155="Invalid - Not Freely Given", I8155="Invalid - Not Specific", I8155="Invalid - Not Informed", I8155="Invalid - Ambiguous"), "Gap - Invalid Consent", "Compliant")))))</f>
        <v/>
      </c>
      <c r="O8155" s="7" t="n"/>
    </row>
    <row r="8156">
      <c r="A8156" s="7" t="n"/>
      <c r="B8156" s="7" t="n"/>
      <c r="C8156" s="7" t="n"/>
      <c r="D8156" s="7" t="n"/>
      <c r="E8156" s="7" t="n"/>
      <c r="F8156" s="7" t="n"/>
      <c r="G8156" s="7" t="n"/>
      <c r="H8156" s="7" t="n"/>
      <c r="I8156" s="7" t="n"/>
      <c r="J8156" s="7" t="n"/>
      <c r="K8156">
        <f>IF(D8156="Legitimate Interest (GDPR Art. 6(1)(f))", "Yes / Required (Sheet 3)", "")</f>
        <v/>
      </c>
      <c r="L8156" s="7" t="n"/>
      <c r="M8156" s="7" t="n"/>
      <c r="N8156">
        <f>IF(D8156="", "Gap - No Legal Basis", IF(AND(D8156="Consent (GDPR Art. 6(1)(a))", I8156="Not Captured"), "Gap - Invalid Consent", IF(AND(D8156="Legitimate Interest (GDPR Art. 6(1)(f))", L8156=""), "Gap - Missing LIA", IF(AND(G8156="Yes", H8156=""), "Gap - Missing Art. 9 Basis", IF(OR(I8156="Invalid - Not Freely Given", I8156="Invalid - Not Specific", I8156="Invalid - Not Informed", I8156="Invalid - Ambiguous"), "Gap - Invalid Consent", "Compliant")))))</f>
        <v/>
      </c>
      <c r="O8156" s="7" t="n"/>
    </row>
    <row r="8157">
      <c r="A8157" s="7" t="n"/>
      <c r="B8157" s="7" t="n"/>
      <c r="C8157" s="7" t="n"/>
      <c r="D8157" s="7" t="n"/>
      <c r="E8157" s="7" t="n"/>
      <c r="F8157" s="7" t="n"/>
      <c r="G8157" s="7" t="n"/>
      <c r="H8157" s="7" t="n"/>
      <c r="I8157" s="7" t="n"/>
      <c r="J8157" s="7" t="n"/>
      <c r="K8157">
        <f>IF(D8157="Legitimate Interest (GDPR Art. 6(1)(f))", "Yes / Required (Sheet 3)", "")</f>
        <v/>
      </c>
      <c r="L8157" s="7" t="n"/>
      <c r="M8157" s="7" t="n"/>
      <c r="N8157">
        <f>IF(D8157="", "Gap - No Legal Basis", IF(AND(D8157="Consent (GDPR Art. 6(1)(a))", I8157="Not Captured"), "Gap - Invalid Consent", IF(AND(D8157="Legitimate Interest (GDPR Art. 6(1)(f))", L8157=""), "Gap - Missing LIA", IF(AND(G8157="Yes", H8157=""), "Gap - Missing Art. 9 Basis", IF(OR(I8157="Invalid - Not Freely Given", I8157="Invalid - Not Specific", I8157="Invalid - Not Informed", I8157="Invalid - Ambiguous"), "Gap - Invalid Consent", "Compliant")))))</f>
        <v/>
      </c>
      <c r="O8157" s="7" t="n"/>
    </row>
    <row r="8158">
      <c r="A8158" s="7" t="n"/>
      <c r="B8158" s="7" t="n"/>
      <c r="C8158" s="7" t="n"/>
      <c r="D8158" s="7" t="n"/>
      <c r="E8158" s="7" t="n"/>
      <c r="F8158" s="7" t="n"/>
      <c r="G8158" s="7" t="n"/>
      <c r="H8158" s="7" t="n"/>
      <c r="I8158" s="7" t="n"/>
      <c r="J8158" s="7" t="n"/>
      <c r="K8158">
        <f>IF(D8158="Legitimate Interest (GDPR Art. 6(1)(f))", "Yes / Required (Sheet 3)", "")</f>
        <v/>
      </c>
      <c r="L8158" s="7" t="n"/>
      <c r="M8158" s="7" t="n"/>
      <c r="N8158">
        <f>IF(D8158="", "Gap - No Legal Basis", IF(AND(D8158="Consent (GDPR Art. 6(1)(a))", I8158="Not Captured"), "Gap - Invalid Consent", IF(AND(D8158="Legitimate Interest (GDPR Art. 6(1)(f))", L8158=""), "Gap - Missing LIA", IF(AND(G8158="Yes", H8158=""), "Gap - Missing Art. 9 Basis", IF(OR(I8158="Invalid - Not Freely Given", I8158="Invalid - Not Specific", I8158="Invalid - Not Informed", I8158="Invalid - Ambiguous"), "Gap - Invalid Consent", "Compliant")))))</f>
        <v/>
      </c>
      <c r="O8158" s="7" t="n"/>
    </row>
    <row r="8159">
      <c r="A8159" s="7" t="n"/>
      <c r="B8159" s="7" t="n"/>
      <c r="C8159" s="7" t="n"/>
      <c r="D8159" s="7" t="n"/>
      <c r="E8159" s="7" t="n"/>
      <c r="F8159" s="7" t="n"/>
      <c r="G8159" s="7" t="n"/>
      <c r="H8159" s="7" t="n"/>
      <c r="I8159" s="7" t="n"/>
      <c r="J8159" s="7" t="n"/>
      <c r="K8159">
        <f>IF(D8159="Legitimate Interest (GDPR Art. 6(1)(f))", "Yes / Required (Sheet 3)", "")</f>
        <v/>
      </c>
      <c r="L8159" s="7" t="n"/>
      <c r="M8159" s="7" t="n"/>
      <c r="N8159">
        <f>IF(D8159="", "Gap - No Legal Basis", IF(AND(D8159="Consent (GDPR Art. 6(1)(a))", I8159="Not Captured"), "Gap - Invalid Consent", IF(AND(D8159="Legitimate Interest (GDPR Art. 6(1)(f))", L8159=""), "Gap - Missing LIA", IF(AND(G8159="Yes", H8159=""), "Gap - Missing Art. 9 Basis", IF(OR(I8159="Invalid - Not Freely Given", I8159="Invalid - Not Specific", I8159="Invalid - Not Informed", I8159="Invalid - Ambiguous"), "Gap - Invalid Consent", "Compliant")))))</f>
        <v/>
      </c>
      <c r="O8159" s="7" t="n"/>
    </row>
    <row r="8160">
      <c r="A8160" s="7" t="n"/>
      <c r="B8160" s="7" t="n"/>
      <c r="C8160" s="7" t="n"/>
      <c r="D8160" s="7" t="n"/>
      <c r="E8160" s="7" t="n"/>
      <c r="F8160" s="7" t="n"/>
      <c r="G8160" s="7" t="n"/>
      <c r="H8160" s="7" t="n"/>
      <c r="I8160" s="7" t="n"/>
      <c r="J8160" s="7" t="n"/>
      <c r="K8160">
        <f>IF(D8160="Legitimate Interest (GDPR Art. 6(1)(f))", "Yes / Required (Sheet 3)", "")</f>
        <v/>
      </c>
      <c r="L8160" s="7" t="n"/>
      <c r="M8160" s="7" t="n"/>
      <c r="N8160">
        <f>IF(D8160="", "Gap - No Legal Basis", IF(AND(D8160="Consent (GDPR Art. 6(1)(a))", I8160="Not Captured"), "Gap - Invalid Consent", IF(AND(D8160="Legitimate Interest (GDPR Art. 6(1)(f))", L8160=""), "Gap - Missing LIA", IF(AND(G8160="Yes", H8160=""), "Gap - Missing Art. 9 Basis", IF(OR(I8160="Invalid - Not Freely Given", I8160="Invalid - Not Specific", I8160="Invalid - Not Informed", I8160="Invalid - Ambiguous"), "Gap - Invalid Consent", "Compliant")))))</f>
        <v/>
      </c>
      <c r="O8160" s="7" t="n"/>
    </row>
    <row r="8161">
      <c r="A8161" s="7" t="n"/>
      <c r="B8161" s="7" t="n"/>
      <c r="C8161" s="7" t="n"/>
      <c r="D8161" s="7" t="n"/>
      <c r="E8161" s="7" t="n"/>
      <c r="F8161" s="7" t="n"/>
      <c r="G8161" s="7" t="n"/>
      <c r="H8161" s="7" t="n"/>
      <c r="I8161" s="7" t="n"/>
      <c r="J8161" s="7" t="n"/>
      <c r="K8161">
        <f>IF(D8161="Legitimate Interest (GDPR Art. 6(1)(f))", "Yes / Required (Sheet 3)", "")</f>
        <v/>
      </c>
      <c r="L8161" s="7" t="n"/>
      <c r="M8161" s="7" t="n"/>
      <c r="N8161">
        <f>IF(D8161="", "Gap - No Legal Basis", IF(AND(D8161="Consent (GDPR Art. 6(1)(a))", I8161="Not Captured"), "Gap - Invalid Consent", IF(AND(D8161="Legitimate Interest (GDPR Art. 6(1)(f))", L8161=""), "Gap - Missing LIA", IF(AND(G8161="Yes", H8161=""), "Gap - Missing Art. 9 Basis", IF(OR(I8161="Invalid - Not Freely Given", I8161="Invalid - Not Specific", I8161="Invalid - Not Informed", I8161="Invalid - Ambiguous"), "Gap - Invalid Consent", "Compliant")))))</f>
        <v/>
      </c>
      <c r="O8161" s="7" t="n"/>
    </row>
    <row r="8162">
      <c r="A8162" s="7" t="n"/>
      <c r="B8162" s="7" t="n"/>
      <c r="C8162" s="7" t="n"/>
      <c r="D8162" s="7" t="n"/>
      <c r="E8162" s="7" t="n"/>
      <c r="F8162" s="7" t="n"/>
      <c r="G8162" s="7" t="n"/>
      <c r="H8162" s="7" t="n"/>
      <c r="I8162" s="7" t="n"/>
      <c r="J8162" s="7" t="n"/>
      <c r="K8162">
        <f>IF(D8162="Legitimate Interest (GDPR Art. 6(1)(f))", "Yes / Required (Sheet 3)", "")</f>
        <v/>
      </c>
      <c r="L8162" s="7" t="n"/>
      <c r="M8162" s="7" t="n"/>
      <c r="N8162">
        <f>IF(D8162="", "Gap - No Legal Basis", IF(AND(D8162="Consent (GDPR Art. 6(1)(a))", I8162="Not Captured"), "Gap - Invalid Consent", IF(AND(D8162="Legitimate Interest (GDPR Art. 6(1)(f))", L8162=""), "Gap - Missing LIA", IF(AND(G8162="Yes", H8162=""), "Gap - Missing Art. 9 Basis", IF(OR(I8162="Invalid - Not Freely Given", I8162="Invalid - Not Specific", I8162="Invalid - Not Informed", I8162="Invalid - Ambiguous"), "Gap - Invalid Consent", "Compliant")))))</f>
        <v/>
      </c>
      <c r="O8162" s="7" t="n"/>
    </row>
    <row r="8163">
      <c r="A8163" s="7" t="n"/>
      <c r="B8163" s="7" t="n"/>
      <c r="C8163" s="7" t="n"/>
      <c r="D8163" s="7" t="n"/>
      <c r="E8163" s="7" t="n"/>
      <c r="F8163" s="7" t="n"/>
      <c r="G8163" s="7" t="n"/>
      <c r="H8163" s="7" t="n"/>
      <c r="I8163" s="7" t="n"/>
      <c r="J8163" s="7" t="n"/>
      <c r="K8163">
        <f>IF(D8163="Legitimate Interest (GDPR Art. 6(1)(f))", "Yes / Required (Sheet 3)", "")</f>
        <v/>
      </c>
      <c r="L8163" s="7" t="n"/>
      <c r="M8163" s="7" t="n"/>
      <c r="N8163">
        <f>IF(D8163="", "Gap - No Legal Basis", IF(AND(D8163="Consent (GDPR Art. 6(1)(a))", I8163="Not Captured"), "Gap - Invalid Consent", IF(AND(D8163="Legitimate Interest (GDPR Art. 6(1)(f))", L8163=""), "Gap - Missing LIA", IF(AND(G8163="Yes", H8163=""), "Gap - Missing Art. 9 Basis", IF(OR(I8163="Invalid - Not Freely Given", I8163="Invalid - Not Specific", I8163="Invalid - Not Informed", I8163="Invalid - Ambiguous"), "Gap - Invalid Consent", "Compliant")))))</f>
        <v/>
      </c>
      <c r="O8163" s="7" t="n"/>
    </row>
    <row r="8164">
      <c r="A8164" s="7" t="n"/>
      <c r="B8164" s="7" t="n"/>
      <c r="C8164" s="7" t="n"/>
      <c r="D8164" s="7" t="n"/>
      <c r="E8164" s="7" t="n"/>
      <c r="F8164" s="7" t="n"/>
      <c r="G8164" s="7" t="n"/>
      <c r="H8164" s="7" t="n"/>
      <c r="I8164" s="7" t="n"/>
      <c r="J8164" s="7" t="n"/>
      <c r="K8164">
        <f>IF(D8164="Legitimate Interest (GDPR Art. 6(1)(f))", "Yes / Required (Sheet 3)", "")</f>
        <v/>
      </c>
      <c r="L8164" s="7" t="n"/>
      <c r="M8164" s="7" t="n"/>
      <c r="N8164">
        <f>IF(D8164="", "Gap - No Legal Basis", IF(AND(D8164="Consent (GDPR Art. 6(1)(a))", I8164="Not Captured"), "Gap - Invalid Consent", IF(AND(D8164="Legitimate Interest (GDPR Art. 6(1)(f))", L8164=""), "Gap - Missing LIA", IF(AND(G8164="Yes", H8164=""), "Gap - Missing Art. 9 Basis", IF(OR(I8164="Invalid - Not Freely Given", I8164="Invalid - Not Specific", I8164="Invalid - Not Informed", I8164="Invalid - Ambiguous"), "Gap - Invalid Consent", "Compliant")))))</f>
        <v/>
      </c>
      <c r="O8164" s="7" t="n"/>
    </row>
    <row r="8165">
      <c r="A8165" s="7" t="n"/>
      <c r="B8165" s="7" t="n"/>
      <c r="C8165" s="7" t="n"/>
      <c r="D8165" s="7" t="n"/>
      <c r="E8165" s="7" t="n"/>
      <c r="F8165" s="7" t="n"/>
      <c r="G8165" s="7" t="n"/>
      <c r="H8165" s="7" t="n"/>
      <c r="I8165" s="7" t="n"/>
      <c r="J8165" s="7" t="n"/>
      <c r="K8165">
        <f>IF(D8165="Legitimate Interest (GDPR Art. 6(1)(f))", "Yes / Required (Sheet 3)", "")</f>
        <v/>
      </c>
      <c r="L8165" s="7" t="n"/>
      <c r="M8165" s="7" t="n"/>
      <c r="N8165">
        <f>IF(D8165="", "Gap - No Legal Basis", IF(AND(D8165="Consent (GDPR Art. 6(1)(a))", I8165="Not Captured"), "Gap - Invalid Consent", IF(AND(D8165="Legitimate Interest (GDPR Art. 6(1)(f))", L8165=""), "Gap - Missing LIA", IF(AND(G8165="Yes", H8165=""), "Gap - Missing Art. 9 Basis", IF(OR(I8165="Invalid - Not Freely Given", I8165="Invalid - Not Specific", I8165="Invalid - Not Informed", I8165="Invalid - Ambiguous"), "Gap - Invalid Consent", "Compliant")))))</f>
        <v/>
      </c>
      <c r="O8165" s="7" t="n"/>
    </row>
    <row r="8166">
      <c r="A8166" s="7" t="n"/>
      <c r="B8166" s="7" t="n"/>
      <c r="C8166" s="7" t="n"/>
      <c r="D8166" s="7" t="n"/>
      <c r="E8166" s="7" t="n"/>
      <c r="F8166" s="7" t="n"/>
      <c r="G8166" s="7" t="n"/>
      <c r="H8166" s="7" t="n"/>
      <c r="I8166" s="7" t="n"/>
      <c r="J8166" s="7" t="n"/>
      <c r="K8166">
        <f>IF(D8166="Legitimate Interest (GDPR Art. 6(1)(f))", "Yes / Required (Sheet 3)", "")</f>
        <v/>
      </c>
      <c r="L8166" s="7" t="n"/>
      <c r="M8166" s="7" t="n"/>
      <c r="N8166">
        <f>IF(D8166="", "Gap - No Legal Basis", IF(AND(D8166="Consent (GDPR Art. 6(1)(a))", I8166="Not Captured"), "Gap - Invalid Consent", IF(AND(D8166="Legitimate Interest (GDPR Art. 6(1)(f))", L8166=""), "Gap - Missing LIA", IF(AND(G8166="Yes", H8166=""), "Gap - Missing Art. 9 Basis", IF(OR(I8166="Invalid - Not Freely Given", I8166="Invalid - Not Specific", I8166="Invalid - Not Informed", I8166="Invalid - Ambiguous"), "Gap - Invalid Consent", "Compliant")))))</f>
        <v/>
      </c>
      <c r="O8166" s="7" t="n"/>
    </row>
    <row r="8167">
      <c r="A8167" s="7" t="n"/>
      <c r="B8167" s="7" t="n"/>
      <c r="C8167" s="7" t="n"/>
      <c r="D8167" s="7" t="n"/>
      <c r="E8167" s="7" t="n"/>
      <c r="F8167" s="7" t="n"/>
      <c r="G8167" s="7" t="n"/>
      <c r="H8167" s="7" t="n"/>
      <c r="I8167" s="7" t="n"/>
      <c r="J8167" s="7" t="n"/>
      <c r="K8167">
        <f>IF(D8167="Legitimate Interest (GDPR Art. 6(1)(f))", "Yes / Required (Sheet 3)", "")</f>
        <v/>
      </c>
      <c r="L8167" s="7" t="n"/>
      <c r="M8167" s="7" t="n"/>
      <c r="N8167">
        <f>IF(D8167="", "Gap - No Legal Basis", IF(AND(D8167="Consent (GDPR Art. 6(1)(a))", I8167="Not Captured"), "Gap - Invalid Consent", IF(AND(D8167="Legitimate Interest (GDPR Art. 6(1)(f))", L8167=""), "Gap - Missing LIA", IF(AND(G8167="Yes", H8167=""), "Gap - Missing Art. 9 Basis", IF(OR(I8167="Invalid - Not Freely Given", I8167="Invalid - Not Specific", I8167="Invalid - Not Informed", I8167="Invalid - Ambiguous"), "Gap - Invalid Consent", "Compliant")))))</f>
        <v/>
      </c>
      <c r="O8167" s="7" t="n"/>
    </row>
    <row r="8168">
      <c r="A8168" s="7" t="n"/>
      <c r="B8168" s="7" t="n"/>
      <c r="C8168" s="7" t="n"/>
      <c r="D8168" s="7" t="n"/>
      <c r="E8168" s="7" t="n"/>
      <c r="F8168" s="7" t="n"/>
      <c r="G8168" s="7" t="n"/>
      <c r="H8168" s="7" t="n"/>
      <c r="I8168" s="7" t="n"/>
      <c r="J8168" s="7" t="n"/>
      <c r="K8168">
        <f>IF(D8168="Legitimate Interest (GDPR Art. 6(1)(f))", "Yes / Required (Sheet 3)", "")</f>
        <v/>
      </c>
      <c r="L8168" s="7" t="n"/>
      <c r="M8168" s="7" t="n"/>
      <c r="N8168">
        <f>IF(D8168="", "Gap - No Legal Basis", IF(AND(D8168="Consent (GDPR Art. 6(1)(a))", I8168="Not Captured"), "Gap - Invalid Consent", IF(AND(D8168="Legitimate Interest (GDPR Art. 6(1)(f))", L8168=""), "Gap - Missing LIA", IF(AND(G8168="Yes", H8168=""), "Gap - Missing Art. 9 Basis", IF(OR(I8168="Invalid - Not Freely Given", I8168="Invalid - Not Specific", I8168="Invalid - Not Informed", I8168="Invalid - Ambiguous"), "Gap - Invalid Consent", "Compliant")))))</f>
        <v/>
      </c>
      <c r="O8168" s="7" t="n"/>
    </row>
    <row r="8169">
      <c r="A8169" s="7" t="n"/>
      <c r="B8169" s="7" t="n"/>
      <c r="C8169" s="7" t="n"/>
      <c r="D8169" s="7" t="n"/>
      <c r="E8169" s="7" t="n"/>
      <c r="F8169" s="7" t="n"/>
      <c r="G8169" s="7" t="n"/>
      <c r="H8169" s="7" t="n"/>
      <c r="I8169" s="7" t="n"/>
      <c r="J8169" s="7" t="n"/>
      <c r="K8169">
        <f>IF(D8169="Legitimate Interest (GDPR Art. 6(1)(f))", "Yes / Required (Sheet 3)", "")</f>
        <v/>
      </c>
      <c r="L8169" s="7" t="n"/>
      <c r="M8169" s="7" t="n"/>
      <c r="N8169">
        <f>IF(D8169="", "Gap - No Legal Basis", IF(AND(D8169="Consent (GDPR Art. 6(1)(a))", I8169="Not Captured"), "Gap - Invalid Consent", IF(AND(D8169="Legitimate Interest (GDPR Art. 6(1)(f))", L8169=""), "Gap - Missing LIA", IF(AND(G8169="Yes", H8169=""), "Gap - Missing Art. 9 Basis", IF(OR(I8169="Invalid - Not Freely Given", I8169="Invalid - Not Specific", I8169="Invalid - Not Informed", I8169="Invalid - Ambiguous"), "Gap - Invalid Consent", "Compliant")))))</f>
        <v/>
      </c>
      <c r="O8169" s="7" t="n"/>
    </row>
    <row r="8170">
      <c r="A8170" s="7" t="n"/>
      <c r="B8170" s="7" t="n"/>
      <c r="C8170" s="7" t="n"/>
      <c r="D8170" s="7" t="n"/>
      <c r="E8170" s="7" t="n"/>
      <c r="F8170" s="7" t="n"/>
      <c r="G8170" s="7" t="n"/>
      <c r="H8170" s="7" t="n"/>
      <c r="I8170" s="7" t="n"/>
      <c r="J8170" s="7" t="n"/>
      <c r="K8170">
        <f>IF(D8170="Legitimate Interest (GDPR Art. 6(1)(f))", "Yes / Required (Sheet 3)", "")</f>
        <v/>
      </c>
      <c r="L8170" s="7" t="n"/>
      <c r="M8170" s="7" t="n"/>
      <c r="N8170">
        <f>IF(D8170="", "Gap - No Legal Basis", IF(AND(D8170="Consent (GDPR Art. 6(1)(a))", I8170="Not Captured"), "Gap - Invalid Consent", IF(AND(D8170="Legitimate Interest (GDPR Art. 6(1)(f))", L8170=""), "Gap - Missing LIA", IF(AND(G8170="Yes", H8170=""), "Gap - Missing Art. 9 Basis", IF(OR(I8170="Invalid - Not Freely Given", I8170="Invalid - Not Specific", I8170="Invalid - Not Informed", I8170="Invalid - Ambiguous"), "Gap - Invalid Consent", "Compliant")))))</f>
        <v/>
      </c>
      <c r="O8170" s="7" t="n"/>
    </row>
    <row r="8171">
      <c r="A8171" s="7" t="n"/>
      <c r="B8171" s="7" t="n"/>
      <c r="C8171" s="7" t="n"/>
      <c r="D8171" s="7" t="n"/>
      <c r="E8171" s="7" t="n"/>
      <c r="F8171" s="7" t="n"/>
      <c r="G8171" s="7" t="n"/>
      <c r="H8171" s="7" t="n"/>
      <c r="I8171" s="7" t="n"/>
      <c r="J8171" s="7" t="n"/>
      <c r="K8171">
        <f>IF(D8171="Legitimate Interest (GDPR Art. 6(1)(f))", "Yes / Required (Sheet 3)", "")</f>
        <v/>
      </c>
      <c r="L8171" s="7" t="n"/>
      <c r="M8171" s="7" t="n"/>
      <c r="N8171">
        <f>IF(D8171="", "Gap - No Legal Basis", IF(AND(D8171="Consent (GDPR Art. 6(1)(a))", I8171="Not Captured"), "Gap - Invalid Consent", IF(AND(D8171="Legitimate Interest (GDPR Art. 6(1)(f))", L8171=""), "Gap - Missing LIA", IF(AND(G8171="Yes", H8171=""), "Gap - Missing Art. 9 Basis", IF(OR(I8171="Invalid - Not Freely Given", I8171="Invalid - Not Specific", I8171="Invalid - Not Informed", I8171="Invalid - Ambiguous"), "Gap - Invalid Consent", "Compliant")))))</f>
        <v/>
      </c>
      <c r="O8171" s="7" t="n"/>
    </row>
    <row r="8172">
      <c r="A8172" s="7" t="n"/>
      <c r="B8172" s="7" t="n"/>
      <c r="C8172" s="7" t="n"/>
      <c r="D8172" s="7" t="n"/>
      <c r="E8172" s="7" t="n"/>
      <c r="F8172" s="7" t="n"/>
      <c r="G8172" s="7" t="n"/>
      <c r="H8172" s="7" t="n"/>
      <c r="I8172" s="7" t="n"/>
      <c r="J8172" s="7" t="n"/>
      <c r="K8172">
        <f>IF(D8172="Legitimate Interest (GDPR Art. 6(1)(f))", "Yes / Required (Sheet 3)", "")</f>
        <v/>
      </c>
      <c r="L8172" s="7" t="n"/>
      <c r="M8172" s="7" t="n"/>
      <c r="N8172">
        <f>IF(D8172="", "Gap - No Legal Basis", IF(AND(D8172="Consent (GDPR Art. 6(1)(a))", I8172="Not Captured"), "Gap - Invalid Consent", IF(AND(D8172="Legitimate Interest (GDPR Art. 6(1)(f))", L8172=""), "Gap - Missing LIA", IF(AND(G8172="Yes", H8172=""), "Gap - Missing Art. 9 Basis", IF(OR(I8172="Invalid - Not Freely Given", I8172="Invalid - Not Specific", I8172="Invalid - Not Informed", I8172="Invalid - Ambiguous"), "Gap - Invalid Consent", "Compliant")))))</f>
        <v/>
      </c>
      <c r="O8172" s="7" t="n"/>
    </row>
    <row r="8173">
      <c r="A8173" s="7" t="n"/>
      <c r="B8173" s="7" t="n"/>
      <c r="C8173" s="7" t="n"/>
      <c r="D8173" s="7" t="n"/>
      <c r="E8173" s="7" t="n"/>
      <c r="F8173" s="7" t="n"/>
      <c r="G8173" s="7" t="n"/>
      <c r="H8173" s="7" t="n"/>
      <c r="I8173" s="7" t="n"/>
      <c r="J8173" s="7" t="n"/>
      <c r="K8173">
        <f>IF(D8173="Legitimate Interest (GDPR Art. 6(1)(f))", "Yes / Required (Sheet 3)", "")</f>
        <v/>
      </c>
      <c r="L8173" s="7" t="n"/>
      <c r="M8173" s="7" t="n"/>
      <c r="N8173">
        <f>IF(D8173="", "Gap - No Legal Basis", IF(AND(D8173="Consent (GDPR Art. 6(1)(a))", I8173="Not Captured"), "Gap - Invalid Consent", IF(AND(D8173="Legitimate Interest (GDPR Art. 6(1)(f))", L8173=""), "Gap - Missing LIA", IF(AND(G8173="Yes", H8173=""), "Gap - Missing Art. 9 Basis", IF(OR(I8173="Invalid - Not Freely Given", I8173="Invalid - Not Specific", I8173="Invalid - Not Informed", I8173="Invalid - Ambiguous"), "Gap - Invalid Consent", "Compliant")))))</f>
        <v/>
      </c>
      <c r="O8173" s="7" t="n"/>
    </row>
    <row r="8174">
      <c r="A8174" s="7" t="n"/>
      <c r="B8174" s="7" t="n"/>
      <c r="C8174" s="7" t="n"/>
      <c r="D8174" s="7" t="n"/>
      <c r="E8174" s="7" t="n"/>
      <c r="F8174" s="7" t="n"/>
      <c r="G8174" s="7" t="n"/>
      <c r="H8174" s="7" t="n"/>
      <c r="I8174" s="7" t="n"/>
      <c r="J8174" s="7" t="n"/>
      <c r="K8174">
        <f>IF(D8174="Legitimate Interest (GDPR Art. 6(1)(f))", "Yes / Required (Sheet 3)", "")</f>
        <v/>
      </c>
      <c r="L8174" s="7" t="n"/>
      <c r="M8174" s="7" t="n"/>
      <c r="N8174">
        <f>IF(D8174="", "Gap - No Legal Basis", IF(AND(D8174="Consent (GDPR Art. 6(1)(a))", I8174="Not Captured"), "Gap - Invalid Consent", IF(AND(D8174="Legitimate Interest (GDPR Art. 6(1)(f))", L8174=""), "Gap - Missing LIA", IF(AND(G8174="Yes", H8174=""), "Gap - Missing Art. 9 Basis", IF(OR(I8174="Invalid - Not Freely Given", I8174="Invalid - Not Specific", I8174="Invalid - Not Informed", I8174="Invalid - Ambiguous"), "Gap - Invalid Consent", "Compliant")))))</f>
        <v/>
      </c>
      <c r="O8174" s="7" t="n"/>
    </row>
    <row r="8175">
      <c r="A8175" s="7" t="n"/>
      <c r="B8175" s="7" t="n"/>
      <c r="C8175" s="7" t="n"/>
      <c r="D8175" s="7" t="n"/>
      <c r="E8175" s="7" t="n"/>
      <c r="F8175" s="7" t="n"/>
      <c r="G8175" s="7" t="n"/>
      <c r="H8175" s="7" t="n"/>
      <c r="I8175" s="7" t="n"/>
      <c r="J8175" s="7" t="n"/>
      <c r="K8175">
        <f>IF(D8175="Legitimate Interest (GDPR Art. 6(1)(f))", "Yes / Required (Sheet 3)", "")</f>
        <v/>
      </c>
      <c r="L8175" s="7" t="n"/>
      <c r="M8175" s="7" t="n"/>
      <c r="N8175">
        <f>IF(D8175="", "Gap - No Legal Basis", IF(AND(D8175="Consent (GDPR Art. 6(1)(a))", I8175="Not Captured"), "Gap - Invalid Consent", IF(AND(D8175="Legitimate Interest (GDPR Art. 6(1)(f))", L8175=""), "Gap - Missing LIA", IF(AND(G8175="Yes", H8175=""), "Gap - Missing Art. 9 Basis", IF(OR(I8175="Invalid - Not Freely Given", I8175="Invalid - Not Specific", I8175="Invalid - Not Informed", I8175="Invalid - Ambiguous"), "Gap - Invalid Consent", "Compliant")))))</f>
        <v/>
      </c>
      <c r="O8175" s="7" t="n"/>
    </row>
    <row r="8176">
      <c r="A8176" s="7" t="n"/>
      <c r="B8176" s="7" t="n"/>
      <c r="C8176" s="7" t="n"/>
      <c r="D8176" s="7" t="n"/>
      <c r="E8176" s="7" t="n"/>
      <c r="F8176" s="7" t="n"/>
      <c r="G8176" s="7" t="n"/>
      <c r="H8176" s="7" t="n"/>
      <c r="I8176" s="7" t="n"/>
      <c r="J8176" s="7" t="n"/>
      <c r="K8176">
        <f>IF(D8176="Legitimate Interest (GDPR Art. 6(1)(f))", "Yes / Required (Sheet 3)", "")</f>
        <v/>
      </c>
      <c r="L8176" s="7" t="n"/>
      <c r="M8176" s="7" t="n"/>
      <c r="N8176">
        <f>IF(D8176="", "Gap - No Legal Basis", IF(AND(D8176="Consent (GDPR Art. 6(1)(a))", I8176="Not Captured"), "Gap - Invalid Consent", IF(AND(D8176="Legitimate Interest (GDPR Art. 6(1)(f))", L8176=""), "Gap - Missing LIA", IF(AND(G8176="Yes", H8176=""), "Gap - Missing Art. 9 Basis", IF(OR(I8176="Invalid - Not Freely Given", I8176="Invalid - Not Specific", I8176="Invalid - Not Informed", I8176="Invalid - Ambiguous"), "Gap - Invalid Consent", "Compliant")))))</f>
        <v/>
      </c>
      <c r="O8176" s="7" t="n"/>
    </row>
    <row r="8177">
      <c r="A8177" s="7" t="n"/>
      <c r="B8177" s="7" t="n"/>
      <c r="C8177" s="7" t="n"/>
      <c r="D8177" s="7" t="n"/>
      <c r="E8177" s="7" t="n"/>
      <c r="F8177" s="7" t="n"/>
      <c r="G8177" s="7" t="n"/>
      <c r="H8177" s="7" t="n"/>
      <c r="I8177" s="7" t="n"/>
      <c r="J8177" s="7" t="n"/>
      <c r="K8177">
        <f>IF(D8177="Legitimate Interest (GDPR Art. 6(1)(f))", "Yes / Required (Sheet 3)", "")</f>
        <v/>
      </c>
      <c r="L8177" s="7" t="n"/>
      <c r="M8177" s="7" t="n"/>
      <c r="N8177">
        <f>IF(D8177="", "Gap - No Legal Basis", IF(AND(D8177="Consent (GDPR Art. 6(1)(a))", I8177="Not Captured"), "Gap - Invalid Consent", IF(AND(D8177="Legitimate Interest (GDPR Art. 6(1)(f))", L8177=""), "Gap - Missing LIA", IF(AND(G8177="Yes", H8177=""), "Gap - Missing Art. 9 Basis", IF(OR(I8177="Invalid - Not Freely Given", I8177="Invalid - Not Specific", I8177="Invalid - Not Informed", I8177="Invalid - Ambiguous"), "Gap - Invalid Consent", "Compliant")))))</f>
        <v/>
      </c>
      <c r="O8177" s="7" t="n"/>
    </row>
    <row r="8178">
      <c r="A8178" s="7" t="n"/>
      <c r="B8178" s="7" t="n"/>
      <c r="C8178" s="7" t="n"/>
      <c r="D8178" s="7" t="n"/>
      <c r="E8178" s="7" t="n"/>
      <c r="F8178" s="7" t="n"/>
      <c r="G8178" s="7" t="n"/>
      <c r="H8178" s="7" t="n"/>
      <c r="I8178" s="7" t="n"/>
      <c r="J8178" s="7" t="n"/>
      <c r="K8178">
        <f>IF(D8178="Legitimate Interest (GDPR Art. 6(1)(f))", "Yes / Required (Sheet 3)", "")</f>
        <v/>
      </c>
      <c r="L8178" s="7" t="n"/>
      <c r="M8178" s="7" t="n"/>
      <c r="N8178">
        <f>IF(D8178="", "Gap - No Legal Basis", IF(AND(D8178="Consent (GDPR Art. 6(1)(a))", I8178="Not Captured"), "Gap - Invalid Consent", IF(AND(D8178="Legitimate Interest (GDPR Art. 6(1)(f))", L8178=""), "Gap - Missing LIA", IF(AND(G8178="Yes", H8178=""), "Gap - Missing Art. 9 Basis", IF(OR(I8178="Invalid - Not Freely Given", I8178="Invalid - Not Specific", I8178="Invalid - Not Informed", I8178="Invalid - Ambiguous"), "Gap - Invalid Consent", "Compliant")))))</f>
        <v/>
      </c>
      <c r="O8178" s="7" t="n"/>
    </row>
    <row r="8179">
      <c r="A8179" s="7" t="n"/>
      <c r="B8179" s="7" t="n"/>
      <c r="C8179" s="7" t="n"/>
      <c r="D8179" s="7" t="n"/>
      <c r="E8179" s="7" t="n"/>
      <c r="F8179" s="7" t="n"/>
      <c r="G8179" s="7" t="n"/>
      <c r="H8179" s="7" t="n"/>
      <c r="I8179" s="7" t="n"/>
      <c r="J8179" s="7" t="n"/>
      <c r="K8179">
        <f>IF(D8179="Legitimate Interest (GDPR Art. 6(1)(f))", "Yes / Required (Sheet 3)", "")</f>
        <v/>
      </c>
      <c r="L8179" s="7" t="n"/>
      <c r="M8179" s="7" t="n"/>
      <c r="N8179">
        <f>IF(D8179="", "Gap - No Legal Basis", IF(AND(D8179="Consent (GDPR Art. 6(1)(a))", I8179="Not Captured"), "Gap - Invalid Consent", IF(AND(D8179="Legitimate Interest (GDPR Art. 6(1)(f))", L8179=""), "Gap - Missing LIA", IF(AND(G8179="Yes", H8179=""), "Gap - Missing Art. 9 Basis", IF(OR(I8179="Invalid - Not Freely Given", I8179="Invalid - Not Specific", I8179="Invalid - Not Informed", I8179="Invalid - Ambiguous"), "Gap - Invalid Consent", "Compliant")))))</f>
        <v/>
      </c>
      <c r="O8179" s="7" t="n"/>
    </row>
    <row r="8180">
      <c r="A8180" s="7" t="n"/>
      <c r="B8180" s="7" t="n"/>
      <c r="C8180" s="7" t="n"/>
      <c r="D8180" s="7" t="n"/>
      <c r="E8180" s="7" t="n"/>
      <c r="F8180" s="7" t="n"/>
      <c r="G8180" s="7" t="n"/>
      <c r="H8180" s="7" t="n"/>
      <c r="I8180" s="7" t="n"/>
      <c r="J8180" s="7" t="n"/>
      <c r="K8180">
        <f>IF(D8180="Legitimate Interest (GDPR Art. 6(1)(f))", "Yes / Required (Sheet 3)", "")</f>
        <v/>
      </c>
      <c r="L8180" s="7" t="n"/>
      <c r="M8180" s="7" t="n"/>
      <c r="N8180">
        <f>IF(D8180="", "Gap - No Legal Basis", IF(AND(D8180="Consent (GDPR Art. 6(1)(a))", I8180="Not Captured"), "Gap - Invalid Consent", IF(AND(D8180="Legitimate Interest (GDPR Art. 6(1)(f))", L8180=""), "Gap - Missing LIA", IF(AND(G8180="Yes", H8180=""), "Gap - Missing Art. 9 Basis", IF(OR(I8180="Invalid - Not Freely Given", I8180="Invalid - Not Specific", I8180="Invalid - Not Informed", I8180="Invalid - Ambiguous"), "Gap - Invalid Consent", "Compliant")))))</f>
        <v/>
      </c>
      <c r="O8180" s="7" t="n"/>
    </row>
    <row r="8181">
      <c r="A8181" s="7" t="n"/>
      <c r="B8181" s="7" t="n"/>
      <c r="C8181" s="7" t="n"/>
      <c r="D8181" s="7" t="n"/>
      <c r="E8181" s="7" t="n"/>
      <c r="F8181" s="7" t="n"/>
      <c r="G8181" s="7" t="n"/>
      <c r="H8181" s="7" t="n"/>
      <c r="I8181" s="7" t="n"/>
      <c r="J8181" s="7" t="n"/>
      <c r="K8181">
        <f>IF(D8181="Legitimate Interest (GDPR Art. 6(1)(f))", "Yes / Required (Sheet 3)", "")</f>
        <v/>
      </c>
      <c r="L8181" s="7" t="n"/>
      <c r="M8181" s="7" t="n"/>
      <c r="N8181">
        <f>IF(D8181="", "Gap - No Legal Basis", IF(AND(D8181="Consent (GDPR Art. 6(1)(a))", I8181="Not Captured"), "Gap - Invalid Consent", IF(AND(D8181="Legitimate Interest (GDPR Art. 6(1)(f))", L8181=""), "Gap - Missing LIA", IF(AND(G8181="Yes", H8181=""), "Gap - Missing Art. 9 Basis", IF(OR(I8181="Invalid - Not Freely Given", I8181="Invalid - Not Specific", I8181="Invalid - Not Informed", I8181="Invalid - Ambiguous"), "Gap - Invalid Consent", "Compliant")))))</f>
        <v/>
      </c>
      <c r="O8181" s="7" t="n"/>
    </row>
    <row r="8182">
      <c r="A8182" s="7" t="n"/>
      <c r="B8182" s="7" t="n"/>
      <c r="C8182" s="7" t="n"/>
      <c r="D8182" s="7" t="n"/>
      <c r="E8182" s="7" t="n"/>
      <c r="F8182" s="7" t="n"/>
      <c r="G8182" s="7" t="n"/>
      <c r="H8182" s="7" t="n"/>
      <c r="I8182" s="7" t="n"/>
      <c r="J8182" s="7" t="n"/>
      <c r="K8182">
        <f>IF(D8182="Legitimate Interest (GDPR Art. 6(1)(f))", "Yes / Required (Sheet 3)", "")</f>
        <v/>
      </c>
      <c r="L8182" s="7" t="n"/>
      <c r="M8182" s="7" t="n"/>
      <c r="N8182">
        <f>IF(D8182="", "Gap - No Legal Basis", IF(AND(D8182="Consent (GDPR Art. 6(1)(a))", I8182="Not Captured"), "Gap - Invalid Consent", IF(AND(D8182="Legitimate Interest (GDPR Art. 6(1)(f))", L8182=""), "Gap - Missing LIA", IF(AND(G8182="Yes", H8182=""), "Gap - Missing Art. 9 Basis", IF(OR(I8182="Invalid - Not Freely Given", I8182="Invalid - Not Specific", I8182="Invalid - Not Informed", I8182="Invalid - Ambiguous"), "Gap - Invalid Consent", "Compliant")))))</f>
        <v/>
      </c>
      <c r="O8182" s="7" t="n"/>
    </row>
    <row r="8183">
      <c r="A8183" s="7" t="n"/>
      <c r="B8183" s="7" t="n"/>
      <c r="C8183" s="7" t="n"/>
      <c r="D8183" s="7" t="n"/>
      <c r="E8183" s="7" t="n"/>
      <c r="F8183" s="7" t="n"/>
      <c r="G8183" s="7" t="n"/>
      <c r="H8183" s="7" t="n"/>
      <c r="I8183" s="7" t="n"/>
      <c r="J8183" s="7" t="n"/>
      <c r="K8183">
        <f>IF(D8183="Legitimate Interest (GDPR Art. 6(1)(f))", "Yes / Required (Sheet 3)", "")</f>
        <v/>
      </c>
      <c r="L8183" s="7" t="n"/>
      <c r="M8183" s="7" t="n"/>
      <c r="N8183">
        <f>IF(D8183="", "Gap - No Legal Basis", IF(AND(D8183="Consent (GDPR Art. 6(1)(a))", I8183="Not Captured"), "Gap - Invalid Consent", IF(AND(D8183="Legitimate Interest (GDPR Art. 6(1)(f))", L8183=""), "Gap - Missing LIA", IF(AND(G8183="Yes", H8183=""), "Gap - Missing Art. 9 Basis", IF(OR(I8183="Invalid - Not Freely Given", I8183="Invalid - Not Specific", I8183="Invalid - Not Informed", I8183="Invalid - Ambiguous"), "Gap - Invalid Consent", "Compliant")))))</f>
        <v/>
      </c>
      <c r="O8183" s="7" t="n"/>
    </row>
    <row r="8184">
      <c r="A8184" s="7" t="n"/>
      <c r="B8184" s="7" t="n"/>
      <c r="C8184" s="7" t="n"/>
      <c r="D8184" s="7" t="n"/>
      <c r="E8184" s="7" t="n"/>
      <c r="F8184" s="7" t="n"/>
      <c r="G8184" s="7" t="n"/>
      <c r="H8184" s="7" t="n"/>
      <c r="I8184" s="7" t="n"/>
      <c r="J8184" s="7" t="n"/>
      <c r="K8184">
        <f>IF(D8184="Legitimate Interest (GDPR Art. 6(1)(f))", "Yes / Required (Sheet 3)", "")</f>
        <v/>
      </c>
      <c r="L8184" s="7" t="n"/>
      <c r="M8184" s="7" t="n"/>
      <c r="N8184">
        <f>IF(D8184="", "Gap - No Legal Basis", IF(AND(D8184="Consent (GDPR Art. 6(1)(a))", I8184="Not Captured"), "Gap - Invalid Consent", IF(AND(D8184="Legitimate Interest (GDPR Art. 6(1)(f))", L8184=""), "Gap - Missing LIA", IF(AND(G8184="Yes", H8184=""), "Gap - Missing Art. 9 Basis", IF(OR(I8184="Invalid - Not Freely Given", I8184="Invalid - Not Specific", I8184="Invalid - Not Informed", I8184="Invalid - Ambiguous"), "Gap - Invalid Consent", "Compliant")))))</f>
        <v/>
      </c>
      <c r="O8184" s="7" t="n"/>
    </row>
    <row r="8185">
      <c r="A8185" s="7" t="n"/>
      <c r="B8185" s="7" t="n"/>
      <c r="C8185" s="7" t="n"/>
      <c r="D8185" s="7" t="n"/>
      <c r="E8185" s="7" t="n"/>
      <c r="F8185" s="7" t="n"/>
      <c r="G8185" s="7" t="n"/>
      <c r="H8185" s="7" t="n"/>
      <c r="I8185" s="7" t="n"/>
      <c r="J8185" s="7" t="n"/>
      <c r="K8185">
        <f>IF(D8185="Legitimate Interest (GDPR Art. 6(1)(f))", "Yes / Required (Sheet 3)", "")</f>
        <v/>
      </c>
      <c r="L8185" s="7" t="n"/>
      <c r="M8185" s="7" t="n"/>
      <c r="N8185">
        <f>IF(D8185="", "Gap - No Legal Basis", IF(AND(D8185="Consent (GDPR Art. 6(1)(a))", I8185="Not Captured"), "Gap - Invalid Consent", IF(AND(D8185="Legitimate Interest (GDPR Art. 6(1)(f))", L8185=""), "Gap - Missing LIA", IF(AND(G8185="Yes", H8185=""), "Gap - Missing Art. 9 Basis", IF(OR(I8185="Invalid - Not Freely Given", I8185="Invalid - Not Specific", I8185="Invalid - Not Informed", I8185="Invalid - Ambiguous"), "Gap - Invalid Consent", "Compliant")))))</f>
        <v/>
      </c>
      <c r="O8185" s="7" t="n"/>
    </row>
    <row r="8186">
      <c r="A8186" s="7" t="n"/>
      <c r="B8186" s="7" t="n"/>
      <c r="C8186" s="7" t="n"/>
      <c r="D8186" s="7" t="n"/>
      <c r="E8186" s="7" t="n"/>
      <c r="F8186" s="7" t="n"/>
      <c r="G8186" s="7" t="n"/>
      <c r="H8186" s="7" t="n"/>
      <c r="I8186" s="7" t="n"/>
      <c r="J8186" s="7" t="n"/>
      <c r="K8186">
        <f>IF(D8186="Legitimate Interest (GDPR Art. 6(1)(f))", "Yes / Required (Sheet 3)", "")</f>
        <v/>
      </c>
      <c r="L8186" s="7" t="n"/>
      <c r="M8186" s="7" t="n"/>
      <c r="N8186">
        <f>IF(D8186="", "Gap - No Legal Basis", IF(AND(D8186="Consent (GDPR Art. 6(1)(a))", I8186="Not Captured"), "Gap - Invalid Consent", IF(AND(D8186="Legitimate Interest (GDPR Art. 6(1)(f))", L8186=""), "Gap - Missing LIA", IF(AND(G8186="Yes", H8186=""), "Gap - Missing Art. 9 Basis", IF(OR(I8186="Invalid - Not Freely Given", I8186="Invalid - Not Specific", I8186="Invalid - Not Informed", I8186="Invalid - Ambiguous"), "Gap - Invalid Consent", "Compliant")))))</f>
        <v/>
      </c>
      <c r="O8186" s="7" t="n"/>
    </row>
    <row r="8187">
      <c r="A8187" s="7" t="n"/>
      <c r="B8187" s="7" t="n"/>
      <c r="C8187" s="7" t="n"/>
      <c r="D8187" s="7" t="n"/>
      <c r="E8187" s="7" t="n"/>
      <c r="F8187" s="7" t="n"/>
      <c r="G8187" s="7" t="n"/>
      <c r="H8187" s="7" t="n"/>
      <c r="I8187" s="7" t="n"/>
      <c r="J8187" s="7" t="n"/>
      <c r="K8187">
        <f>IF(D8187="Legitimate Interest (GDPR Art. 6(1)(f))", "Yes / Required (Sheet 3)", "")</f>
        <v/>
      </c>
      <c r="L8187" s="7" t="n"/>
      <c r="M8187" s="7" t="n"/>
      <c r="N8187">
        <f>IF(D8187="", "Gap - No Legal Basis", IF(AND(D8187="Consent (GDPR Art. 6(1)(a))", I8187="Not Captured"), "Gap - Invalid Consent", IF(AND(D8187="Legitimate Interest (GDPR Art. 6(1)(f))", L8187=""), "Gap - Missing LIA", IF(AND(G8187="Yes", H8187=""), "Gap - Missing Art. 9 Basis", IF(OR(I8187="Invalid - Not Freely Given", I8187="Invalid - Not Specific", I8187="Invalid - Not Informed", I8187="Invalid - Ambiguous"), "Gap - Invalid Consent", "Compliant")))))</f>
        <v/>
      </c>
      <c r="O8187" s="7" t="n"/>
    </row>
    <row r="8188">
      <c r="A8188" s="7" t="n"/>
      <c r="B8188" s="7" t="n"/>
      <c r="C8188" s="7" t="n"/>
      <c r="D8188" s="7" t="n"/>
      <c r="E8188" s="7" t="n"/>
      <c r="F8188" s="7" t="n"/>
      <c r="G8188" s="7" t="n"/>
      <c r="H8188" s="7" t="n"/>
      <c r="I8188" s="7" t="n"/>
      <c r="J8188" s="7" t="n"/>
      <c r="K8188">
        <f>IF(D8188="Legitimate Interest (GDPR Art. 6(1)(f))", "Yes / Required (Sheet 3)", "")</f>
        <v/>
      </c>
      <c r="L8188" s="7" t="n"/>
      <c r="M8188" s="7" t="n"/>
      <c r="N8188">
        <f>IF(D8188="", "Gap - No Legal Basis", IF(AND(D8188="Consent (GDPR Art. 6(1)(a))", I8188="Not Captured"), "Gap - Invalid Consent", IF(AND(D8188="Legitimate Interest (GDPR Art. 6(1)(f))", L8188=""), "Gap - Missing LIA", IF(AND(G8188="Yes", H8188=""), "Gap - Missing Art. 9 Basis", IF(OR(I8188="Invalid - Not Freely Given", I8188="Invalid - Not Specific", I8188="Invalid - Not Informed", I8188="Invalid - Ambiguous"), "Gap - Invalid Consent", "Compliant")))))</f>
        <v/>
      </c>
      <c r="O8188" s="7" t="n"/>
    </row>
    <row r="8189">
      <c r="A8189" s="7" t="n"/>
      <c r="B8189" s="7" t="n"/>
      <c r="C8189" s="7" t="n"/>
      <c r="D8189" s="7" t="n"/>
      <c r="E8189" s="7" t="n"/>
      <c r="F8189" s="7" t="n"/>
      <c r="G8189" s="7" t="n"/>
      <c r="H8189" s="7" t="n"/>
      <c r="I8189" s="7" t="n"/>
      <c r="J8189" s="7" t="n"/>
      <c r="K8189">
        <f>IF(D8189="Legitimate Interest (GDPR Art. 6(1)(f))", "Yes / Required (Sheet 3)", "")</f>
        <v/>
      </c>
      <c r="L8189" s="7" t="n"/>
      <c r="M8189" s="7" t="n"/>
      <c r="N8189">
        <f>IF(D8189="", "Gap - No Legal Basis", IF(AND(D8189="Consent (GDPR Art. 6(1)(a))", I8189="Not Captured"), "Gap - Invalid Consent", IF(AND(D8189="Legitimate Interest (GDPR Art. 6(1)(f))", L8189=""), "Gap - Missing LIA", IF(AND(G8189="Yes", H8189=""), "Gap - Missing Art. 9 Basis", IF(OR(I8189="Invalid - Not Freely Given", I8189="Invalid - Not Specific", I8189="Invalid - Not Informed", I8189="Invalid - Ambiguous"), "Gap - Invalid Consent", "Compliant")))))</f>
        <v/>
      </c>
      <c r="O8189" s="7" t="n"/>
    </row>
    <row r="8190">
      <c r="A8190" s="7" t="n"/>
      <c r="B8190" s="7" t="n"/>
      <c r="C8190" s="7" t="n"/>
      <c r="D8190" s="7" t="n"/>
      <c r="E8190" s="7" t="n"/>
      <c r="F8190" s="7" t="n"/>
      <c r="G8190" s="7" t="n"/>
      <c r="H8190" s="7" t="n"/>
      <c r="I8190" s="7" t="n"/>
      <c r="J8190" s="7" t="n"/>
      <c r="K8190">
        <f>IF(D8190="Legitimate Interest (GDPR Art. 6(1)(f))", "Yes / Required (Sheet 3)", "")</f>
        <v/>
      </c>
      <c r="L8190" s="7" t="n"/>
      <c r="M8190" s="7" t="n"/>
      <c r="N8190">
        <f>IF(D8190="", "Gap - No Legal Basis", IF(AND(D8190="Consent (GDPR Art. 6(1)(a))", I8190="Not Captured"), "Gap - Invalid Consent", IF(AND(D8190="Legitimate Interest (GDPR Art. 6(1)(f))", L8190=""), "Gap - Missing LIA", IF(AND(G8190="Yes", H8190=""), "Gap - Missing Art. 9 Basis", IF(OR(I8190="Invalid - Not Freely Given", I8190="Invalid - Not Specific", I8190="Invalid - Not Informed", I8190="Invalid - Ambiguous"), "Gap - Invalid Consent", "Compliant")))))</f>
        <v/>
      </c>
      <c r="O8190" s="7" t="n"/>
    </row>
    <row r="8191">
      <c r="A8191" s="7" t="n"/>
      <c r="B8191" s="7" t="n"/>
      <c r="C8191" s="7" t="n"/>
      <c r="D8191" s="7" t="n"/>
      <c r="E8191" s="7" t="n"/>
      <c r="F8191" s="7" t="n"/>
      <c r="G8191" s="7" t="n"/>
      <c r="H8191" s="7" t="n"/>
      <c r="I8191" s="7" t="n"/>
      <c r="J8191" s="7" t="n"/>
      <c r="K8191">
        <f>IF(D8191="Legitimate Interest (GDPR Art. 6(1)(f))", "Yes / Required (Sheet 3)", "")</f>
        <v/>
      </c>
      <c r="L8191" s="7" t="n"/>
      <c r="M8191" s="7" t="n"/>
      <c r="N8191">
        <f>IF(D8191="", "Gap - No Legal Basis", IF(AND(D8191="Consent (GDPR Art. 6(1)(a))", I8191="Not Captured"), "Gap - Invalid Consent", IF(AND(D8191="Legitimate Interest (GDPR Art. 6(1)(f))", L8191=""), "Gap - Missing LIA", IF(AND(G8191="Yes", H8191=""), "Gap - Missing Art. 9 Basis", IF(OR(I8191="Invalid - Not Freely Given", I8191="Invalid - Not Specific", I8191="Invalid - Not Informed", I8191="Invalid - Ambiguous"), "Gap - Invalid Consent", "Compliant")))))</f>
        <v/>
      </c>
      <c r="O8191" s="7" t="n"/>
    </row>
    <row r="8192">
      <c r="A8192" s="7" t="n"/>
      <c r="B8192" s="7" t="n"/>
      <c r="C8192" s="7" t="n"/>
      <c r="D8192" s="7" t="n"/>
      <c r="E8192" s="7" t="n"/>
      <c r="F8192" s="7" t="n"/>
      <c r="G8192" s="7" t="n"/>
      <c r="H8192" s="7" t="n"/>
      <c r="I8192" s="7" t="n"/>
      <c r="J8192" s="7" t="n"/>
      <c r="K8192">
        <f>IF(D8192="Legitimate Interest (GDPR Art. 6(1)(f))", "Yes / Required (Sheet 3)", "")</f>
        <v/>
      </c>
      <c r="L8192" s="7" t="n"/>
      <c r="M8192" s="7" t="n"/>
      <c r="N8192">
        <f>IF(D8192="", "Gap - No Legal Basis", IF(AND(D8192="Consent (GDPR Art. 6(1)(a))", I8192="Not Captured"), "Gap - Invalid Consent", IF(AND(D8192="Legitimate Interest (GDPR Art. 6(1)(f))", L8192=""), "Gap - Missing LIA", IF(AND(G8192="Yes", H8192=""), "Gap - Missing Art. 9 Basis", IF(OR(I8192="Invalid - Not Freely Given", I8192="Invalid - Not Specific", I8192="Invalid - Not Informed", I8192="Invalid - Ambiguous"), "Gap - Invalid Consent", "Compliant")))))</f>
        <v/>
      </c>
      <c r="O8192" s="7" t="n"/>
    </row>
    <row r="8193">
      <c r="A8193" s="7" t="n"/>
      <c r="B8193" s="7" t="n"/>
      <c r="C8193" s="7" t="n"/>
      <c r="D8193" s="7" t="n"/>
      <c r="E8193" s="7" t="n"/>
      <c r="F8193" s="7" t="n"/>
      <c r="G8193" s="7" t="n"/>
      <c r="H8193" s="7" t="n"/>
      <c r="I8193" s="7" t="n"/>
      <c r="J8193" s="7" t="n"/>
      <c r="K8193">
        <f>IF(D8193="Legitimate Interest (GDPR Art. 6(1)(f))", "Yes / Required (Sheet 3)", "")</f>
        <v/>
      </c>
      <c r="L8193" s="7" t="n"/>
      <c r="M8193" s="7" t="n"/>
      <c r="N8193">
        <f>IF(D8193="", "Gap - No Legal Basis", IF(AND(D8193="Consent (GDPR Art. 6(1)(a))", I8193="Not Captured"), "Gap - Invalid Consent", IF(AND(D8193="Legitimate Interest (GDPR Art. 6(1)(f))", L8193=""), "Gap - Missing LIA", IF(AND(G8193="Yes", H8193=""), "Gap - Missing Art. 9 Basis", IF(OR(I8193="Invalid - Not Freely Given", I8193="Invalid - Not Specific", I8193="Invalid - Not Informed", I8193="Invalid - Ambiguous"), "Gap - Invalid Consent", "Compliant")))))</f>
        <v/>
      </c>
      <c r="O8193" s="7" t="n"/>
    </row>
    <row r="8194">
      <c r="A8194" s="7" t="n"/>
      <c r="B8194" s="7" t="n"/>
      <c r="C8194" s="7" t="n"/>
      <c r="D8194" s="7" t="n"/>
      <c r="E8194" s="7" t="n"/>
      <c r="F8194" s="7" t="n"/>
      <c r="G8194" s="7" t="n"/>
      <c r="H8194" s="7" t="n"/>
      <c r="I8194" s="7" t="n"/>
      <c r="J8194" s="7" t="n"/>
      <c r="K8194">
        <f>IF(D8194="Legitimate Interest (GDPR Art. 6(1)(f))", "Yes / Required (Sheet 3)", "")</f>
        <v/>
      </c>
      <c r="L8194" s="7" t="n"/>
      <c r="M8194" s="7" t="n"/>
      <c r="N8194">
        <f>IF(D8194="", "Gap - No Legal Basis", IF(AND(D8194="Consent (GDPR Art. 6(1)(a))", I8194="Not Captured"), "Gap - Invalid Consent", IF(AND(D8194="Legitimate Interest (GDPR Art. 6(1)(f))", L8194=""), "Gap - Missing LIA", IF(AND(G8194="Yes", H8194=""), "Gap - Missing Art. 9 Basis", IF(OR(I8194="Invalid - Not Freely Given", I8194="Invalid - Not Specific", I8194="Invalid - Not Informed", I8194="Invalid - Ambiguous"), "Gap - Invalid Consent", "Compliant")))))</f>
        <v/>
      </c>
      <c r="O8194" s="7" t="n"/>
    </row>
    <row r="8195">
      <c r="A8195" s="7" t="n"/>
      <c r="B8195" s="7" t="n"/>
      <c r="C8195" s="7" t="n"/>
      <c r="D8195" s="7" t="n"/>
      <c r="E8195" s="7" t="n"/>
      <c r="F8195" s="7" t="n"/>
      <c r="G8195" s="7" t="n"/>
      <c r="H8195" s="7" t="n"/>
      <c r="I8195" s="7" t="n"/>
      <c r="J8195" s="7" t="n"/>
      <c r="K8195">
        <f>IF(D8195="Legitimate Interest (GDPR Art. 6(1)(f))", "Yes / Required (Sheet 3)", "")</f>
        <v/>
      </c>
      <c r="L8195" s="7" t="n"/>
      <c r="M8195" s="7" t="n"/>
      <c r="N8195">
        <f>IF(D8195="", "Gap - No Legal Basis", IF(AND(D8195="Consent (GDPR Art. 6(1)(a))", I8195="Not Captured"), "Gap - Invalid Consent", IF(AND(D8195="Legitimate Interest (GDPR Art. 6(1)(f))", L8195=""), "Gap - Missing LIA", IF(AND(G8195="Yes", H8195=""), "Gap - Missing Art. 9 Basis", IF(OR(I8195="Invalid - Not Freely Given", I8195="Invalid - Not Specific", I8195="Invalid - Not Informed", I8195="Invalid - Ambiguous"), "Gap - Invalid Consent", "Compliant")))))</f>
        <v/>
      </c>
      <c r="O8195" s="7" t="n"/>
    </row>
    <row r="8196">
      <c r="A8196" s="7" t="n"/>
      <c r="B8196" s="7" t="n"/>
      <c r="C8196" s="7" t="n"/>
      <c r="D8196" s="7" t="n"/>
      <c r="E8196" s="7" t="n"/>
      <c r="F8196" s="7" t="n"/>
      <c r="G8196" s="7" t="n"/>
      <c r="H8196" s="7" t="n"/>
      <c r="I8196" s="7" t="n"/>
      <c r="J8196" s="7" t="n"/>
      <c r="K8196">
        <f>IF(D8196="Legitimate Interest (GDPR Art. 6(1)(f))", "Yes / Required (Sheet 3)", "")</f>
        <v/>
      </c>
      <c r="L8196" s="7" t="n"/>
      <c r="M8196" s="7" t="n"/>
      <c r="N8196">
        <f>IF(D8196="", "Gap - No Legal Basis", IF(AND(D8196="Consent (GDPR Art. 6(1)(a))", I8196="Not Captured"), "Gap - Invalid Consent", IF(AND(D8196="Legitimate Interest (GDPR Art. 6(1)(f))", L8196=""), "Gap - Missing LIA", IF(AND(G8196="Yes", H8196=""), "Gap - Missing Art. 9 Basis", IF(OR(I8196="Invalid - Not Freely Given", I8196="Invalid - Not Specific", I8196="Invalid - Not Informed", I8196="Invalid - Ambiguous"), "Gap - Invalid Consent", "Compliant")))))</f>
        <v/>
      </c>
      <c r="O8196" s="7" t="n"/>
    </row>
    <row r="8197">
      <c r="A8197" s="7" t="n"/>
      <c r="B8197" s="7" t="n"/>
      <c r="C8197" s="7" t="n"/>
      <c r="D8197" s="7" t="n"/>
      <c r="E8197" s="7" t="n"/>
      <c r="F8197" s="7" t="n"/>
      <c r="G8197" s="7" t="n"/>
      <c r="H8197" s="7" t="n"/>
      <c r="I8197" s="7" t="n"/>
      <c r="J8197" s="7" t="n"/>
      <c r="K8197">
        <f>IF(D8197="Legitimate Interest (GDPR Art. 6(1)(f))", "Yes / Required (Sheet 3)", "")</f>
        <v/>
      </c>
      <c r="L8197" s="7" t="n"/>
      <c r="M8197" s="7" t="n"/>
      <c r="N8197">
        <f>IF(D8197="", "Gap - No Legal Basis", IF(AND(D8197="Consent (GDPR Art. 6(1)(a))", I8197="Not Captured"), "Gap - Invalid Consent", IF(AND(D8197="Legitimate Interest (GDPR Art. 6(1)(f))", L8197=""), "Gap - Missing LIA", IF(AND(G8197="Yes", H8197=""), "Gap - Missing Art. 9 Basis", IF(OR(I8197="Invalid - Not Freely Given", I8197="Invalid - Not Specific", I8197="Invalid - Not Informed", I8197="Invalid - Ambiguous"), "Gap - Invalid Consent", "Compliant")))))</f>
        <v/>
      </c>
      <c r="O8197" s="7" t="n"/>
    </row>
    <row r="8198">
      <c r="A8198" s="7" t="n"/>
      <c r="B8198" s="7" t="n"/>
      <c r="C8198" s="7" t="n"/>
      <c r="D8198" s="7" t="n"/>
      <c r="E8198" s="7" t="n"/>
      <c r="F8198" s="7" t="n"/>
      <c r="G8198" s="7" t="n"/>
      <c r="H8198" s="7" t="n"/>
      <c r="I8198" s="7" t="n"/>
      <c r="J8198" s="7" t="n"/>
      <c r="K8198">
        <f>IF(D8198="Legitimate Interest (GDPR Art. 6(1)(f))", "Yes / Required (Sheet 3)", "")</f>
        <v/>
      </c>
      <c r="L8198" s="7" t="n"/>
      <c r="M8198" s="7" t="n"/>
      <c r="N8198">
        <f>IF(D8198="", "Gap - No Legal Basis", IF(AND(D8198="Consent (GDPR Art. 6(1)(a))", I8198="Not Captured"), "Gap - Invalid Consent", IF(AND(D8198="Legitimate Interest (GDPR Art. 6(1)(f))", L8198=""), "Gap - Missing LIA", IF(AND(G8198="Yes", H8198=""), "Gap - Missing Art. 9 Basis", IF(OR(I8198="Invalid - Not Freely Given", I8198="Invalid - Not Specific", I8198="Invalid - Not Informed", I8198="Invalid - Ambiguous"), "Gap - Invalid Consent", "Compliant")))))</f>
        <v/>
      </c>
      <c r="O8198" s="7" t="n"/>
    </row>
    <row r="8199">
      <c r="A8199" s="7" t="n"/>
      <c r="B8199" s="7" t="n"/>
      <c r="C8199" s="7" t="n"/>
      <c r="D8199" s="7" t="n"/>
      <c r="E8199" s="7" t="n"/>
      <c r="F8199" s="7" t="n"/>
      <c r="G8199" s="7" t="n"/>
      <c r="H8199" s="7" t="n"/>
      <c r="I8199" s="7" t="n"/>
      <c r="J8199" s="7" t="n"/>
      <c r="K8199">
        <f>IF(D8199="Legitimate Interest (GDPR Art. 6(1)(f))", "Yes / Required (Sheet 3)", "")</f>
        <v/>
      </c>
      <c r="L8199" s="7" t="n"/>
      <c r="M8199" s="7" t="n"/>
      <c r="N8199">
        <f>IF(D8199="", "Gap - No Legal Basis", IF(AND(D8199="Consent (GDPR Art. 6(1)(a))", I8199="Not Captured"), "Gap - Invalid Consent", IF(AND(D8199="Legitimate Interest (GDPR Art. 6(1)(f))", L8199=""), "Gap - Missing LIA", IF(AND(G8199="Yes", H8199=""), "Gap - Missing Art. 9 Basis", IF(OR(I8199="Invalid - Not Freely Given", I8199="Invalid - Not Specific", I8199="Invalid - Not Informed", I8199="Invalid - Ambiguous"), "Gap - Invalid Consent", "Compliant")))))</f>
        <v/>
      </c>
      <c r="O8199" s="7" t="n"/>
    </row>
    <row r="8200">
      <c r="A8200" s="7" t="n"/>
      <c r="B8200" s="7" t="n"/>
      <c r="C8200" s="7" t="n"/>
      <c r="D8200" s="7" t="n"/>
      <c r="E8200" s="7" t="n"/>
      <c r="F8200" s="7" t="n"/>
      <c r="G8200" s="7" t="n"/>
      <c r="H8200" s="7" t="n"/>
      <c r="I8200" s="7" t="n"/>
      <c r="J8200" s="7" t="n"/>
      <c r="K8200">
        <f>IF(D8200="Legitimate Interest (GDPR Art. 6(1)(f))", "Yes / Required (Sheet 3)", "")</f>
        <v/>
      </c>
      <c r="L8200" s="7" t="n"/>
      <c r="M8200" s="7" t="n"/>
      <c r="N8200">
        <f>IF(D8200="", "Gap - No Legal Basis", IF(AND(D8200="Consent (GDPR Art. 6(1)(a))", I8200="Not Captured"), "Gap - Invalid Consent", IF(AND(D8200="Legitimate Interest (GDPR Art. 6(1)(f))", L8200=""), "Gap - Missing LIA", IF(AND(G8200="Yes", H8200=""), "Gap - Missing Art. 9 Basis", IF(OR(I8200="Invalid - Not Freely Given", I8200="Invalid - Not Specific", I8200="Invalid - Not Informed", I8200="Invalid - Ambiguous"), "Gap - Invalid Consent", "Compliant")))))</f>
        <v/>
      </c>
      <c r="O8200" s="7" t="n"/>
    </row>
    <row r="8201">
      <c r="A8201" s="7" t="n"/>
      <c r="B8201" s="7" t="n"/>
      <c r="C8201" s="7" t="n"/>
      <c r="D8201" s="7" t="n"/>
      <c r="E8201" s="7" t="n"/>
      <c r="F8201" s="7" t="n"/>
      <c r="G8201" s="7" t="n"/>
      <c r="H8201" s="7" t="n"/>
      <c r="I8201" s="7" t="n"/>
      <c r="J8201" s="7" t="n"/>
      <c r="K8201">
        <f>IF(D8201="Legitimate Interest (GDPR Art. 6(1)(f))", "Yes / Required (Sheet 3)", "")</f>
        <v/>
      </c>
      <c r="L8201" s="7" t="n"/>
      <c r="M8201" s="7" t="n"/>
      <c r="N8201">
        <f>IF(D8201="", "Gap - No Legal Basis", IF(AND(D8201="Consent (GDPR Art. 6(1)(a))", I8201="Not Captured"), "Gap - Invalid Consent", IF(AND(D8201="Legitimate Interest (GDPR Art. 6(1)(f))", L8201=""), "Gap - Missing LIA", IF(AND(G8201="Yes", H8201=""), "Gap - Missing Art. 9 Basis", IF(OR(I8201="Invalid - Not Freely Given", I8201="Invalid - Not Specific", I8201="Invalid - Not Informed", I8201="Invalid - Ambiguous"), "Gap - Invalid Consent", "Compliant")))))</f>
        <v/>
      </c>
      <c r="O8201" s="7" t="n"/>
    </row>
    <row r="8202">
      <c r="A8202" s="7" t="n"/>
      <c r="B8202" s="7" t="n"/>
      <c r="C8202" s="7" t="n"/>
      <c r="D8202" s="7" t="n"/>
      <c r="E8202" s="7" t="n"/>
      <c r="F8202" s="7" t="n"/>
      <c r="G8202" s="7" t="n"/>
      <c r="H8202" s="7" t="n"/>
      <c r="I8202" s="7" t="n"/>
      <c r="J8202" s="7" t="n"/>
      <c r="K8202">
        <f>IF(D8202="Legitimate Interest (GDPR Art. 6(1)(f))", "Yes / Required (Sheet 3)", "")</f>
        <v/>
      </c>
      <c r="L8202" s="7" t="n"/>
      <c r="M8202" s="7" t="n"/>
      <c r="N8202">
        <f>IF(D8202="", "Gap - No Legal Basis", IF(AND(D8202="Consent (GDPR Art. 6(1)(a))", I8202="Not Captured"), "Gap - Invalid Consent", IF(AND(D8202="Legitimate Interest (GDPR Art. 6(1)(f))", L8202=""), "Gap - Missing LIA", IF(AND(G8202="Yes", H8202=""), "Gap - Missing Art. 9 Basis", IF(OR(I8202="Invalid - Not Freely Given", I8202="Invalid - Not Specific", I8202="Invalid - Not Informed", I8202="Invalid - Ambiguous"), "Gap - Invalid Consent", "Compliant")))))</f>
        <v/>
      </c>
      <c r="O8202" s="7" t="n"/>
    </row>
    <row r="8203">
      <c r="A8203" s="7" t="n"/>
      <c r="B8203" s="7" t="n"/>
      <c r="C8203" s="7" t="n"/>
      <c r="D8203" s="7" t="n"/>
      <c r="E8203" s="7" t="n"/>
      <c r="F8203" s="7" t="n"/>
      <c r="G8203" s="7" t="n"/>
      <c r="H8203" s="7" t="n"/>
      <c r="I8203" s="7" t="n"/>
      <c r="J8203" s="7" t="n"/>
      <c r="K8203">
        <f>IF(D8203="Legitimate Interest (GDPR Art. 6(1)(f))", "Yes / Required (Sheet 3)", "")</f>
        <v/>
      </c>
      <c r="L8203" s="7" t="n"/>
      <c r="M8203" s="7" t="n"/>
      <c r="N8203">
        <f>IF(D8203="", "Gap - No Legal Basis", IF(AND(D8203="Consent (GDPR Art. 6(1)(a))", I8203="Not Captured"), "Gap - Invalid Consent", IF(AND(D8203="Legitimate Interest (GDPR Art. 6(1)(f))", L8203=""), "Gap - Missing LIA", IF(AND(G8203="Yes", H8203=""), "Gap - Missing Art. 9 Basis", IF(OR(I8203="Invalid - Not Freely Given", I8203="Invalid - Not Specific", I8203="Invalid - Not Informed", I8203="Invalid - Ambiguous"), "Gap - Invalid Consent", "Compliant")))))</f>
        <v/>
      </c>
      <c r="O8203" s="7" t="n"/>
    </row>
    <row r="8204">
      <c r="A8204" s="7" t="n"/>
      <c r="B8204" s="7" t="n"/>
      <c r="C8204" s="7" t="n"/>
      <c r="D8204" s="7" t="n"/>
      <c r="E8204" s="7" t="n"/>
      <c r="F8204" s="7" t="n"/>
      <c r="G8204" s="7" t="n"/>
      <c r="H8204" s="7" t="n"/>
      <c r="I8204" s="7" t="n"/>
      <c r="J8204" s="7" t="n"/>
      <c r="K8204">
        <f>IF(D8204="Legitimate Interest (GDPR Art. 6(1)(f))", "Yes / Required (Sheet 3)", "")</f>
        <v/>
      </c>
      <c r="L8204" s="7" t="n"/>
      <c r="M8204" s="7" t="n"/>
      <c r="N8204">
        <f>IF(D8204="", "Gap - No Legal Basis", IF(AND(D8204="Consent (GDPR Art. 6(1)(a))", I8204="Not Captured"), "Gap - Invalid Consent", IF(AND(D8204="Legitimate Interest (GDPR Art. 6(1)(f))", L8204=""), "Gap - Missing LIA", IF(AND(G8204="Yes", H8204=""), "Gap - Missing Art. 9 Basis", IF(OR(I8204="Invalid - Not Freely Given", I8204="Invalid - Not Specific", I8204="Invalid - Not Informed", I8204="Invalid - Ambiguous"), "Gap - Invalid Consent", "Compliant")))))</f>
        <v/>
      </c>
      <c r="O8204" s="7" t="n"/>
    </row>
    <row r="8205">
      <c r="A8205" s="7" t="n"/>
      <c r="B8205" s="7" t="n"/>
      <c r="C8205" s="7" t="n"/>
      <c r="D8205" s="7" t="n"/>
      <c r="E8205" s="7" t="n"/>
      <c r="F8205" s="7" t="n"/>
      <c r="G8205" s="7" t="n"/>
      <c r="H8205" s="7" t="n"/>
      <c r="I8205" s="7" t="n"/>
      <c r="J8205" s="7" t="n"/>
      <c r="K8205">
        <f>IF(D8205="Legitimate Interest (GDPR Art. 6(1)(f))", "Yes / Required (Sheet 3)", "")</f>
        <v/>
      </c>
      <c r="L8205" s="7" t="n"/>
      <c r="M8205" s="7" t="n"/>
      <c r="N8205">
        <f>IF(D8205="", "Gap - No Legal Basis", IF(AND(D8205="Consent (GDPR Art. 6(1)(a))", I8205="Not Captured"), "Gap - Invalid Consent", IF(AND(D8205="Legitimate Interest (GDPR Art. 6(1)(f))", L8205=""), "Gap - Missing LIA", IF(AND(G8205="Yes", H8205=""), "Gap - Missing Art. 9 Basis", IF(OR(I8205="Invalid - Not Freely Given", I8205="Invalid - Not Specific", I8205="Invalid - Not Informed", I8205="Invalid - Ambiguous"), "Gap - Invalid Consent", "Compliant")))))</f>
        <v/>
      </c>
      <c r="O8205" s="7" t="n"/>
    </row>
    <row r="8206">
      <c r="A8206" s="7" t="n"/>
      <c r="B8206" s="7" t="n"/>
      <c r="C8206" s="7" t="n"/>
      <c r="D8206" s="7" t="n"/>
      <c r="E8206" s="7" t="n"/>
      <c r="F8206" s="7" t="n"/>
      <c r="G8206" s="7" t="n"/>
      <c r="H8206" s="7" t="n"/>
      <c r="I8206" s="7" t="n"/>
      <c r="J8206" s="7" t="n"/>
      <c r="K8206">
        <f>IF(D8206="Legitimate Interest (GDPR Art. 6(1)(f))", "Yes / Required (Sheet 3)", "")</f>
        <v/>
      </c>
      <c r="L8206" s="7" t="n"/>
      <c r="M8206" s="7" t="n"/>
      <c r="N8206">
        <f>IF(D8206="", "Gap - No Legal Basis", IF(AND(D8206="Consent (GDPR Art. 6(1)(a))", I8206="Not Captured"), "Gap - Invalid Consent", IF(AND(D8206="Legitimate Interest (GDPR Art. 6(1)(f))", L8206=""), "Gap - Missing LIA", IF(AND(G8206="Yes", H8206=""), "Gap - Missing Art. 9 Basis", IF(OR(I8206="Invalid - Not Freely Given", I8206="Invalid - Not Specific", I8206="Invalid - Not Informed", I8206="Invalid - Ambiguous"), "Gap - Invalid Consent", "Compliant")))))</f>
        <v/>
      </c>
      <c r="O8206" s="7" t="n"/>
    </row>
    <row r="8207">
      <c r="A8207" s="7" t="n"/>
      <c r="B8207" s="7" t="n"/>
      <c r="C8207" s="7" t="n"/>
      <c r="D8207" s="7" t="n"/>
      <c r="E8207" s="7" t="n"/>
      <c r="F8207" s="7" t="n"/>
      <c r="G8207" s="7" t="n"/>
      <c r="H8207" s="7" t="n"/>
      <c r="I8207" s="7" t="n"/>
      <c r="J8207" s="7" t="n"/>
      <c r="K8207">
        <f>IF(D8207="Legitimate Interest (GDPR Art. 6(1)(f))", "Yes / Required (Sheet 3)", "")</f>
        <v/>
      </c>
      <c r="L8207" s="7" t="n"/>
      <c r="M8207" s="7" t="n"/>
      <c r="N8207">
        <f>IF(D8207="", "Gap - No Legal Basis", IF(AND(D8207="Consent (GDPR Art. 6(1)(a))", I8207="Not Captured"), "Gap - Invalid Consent", IF(AND(D8207="Legitimate Interest (GDPR Art. 6(1)(f))", L8207=""), "Gap - Missing LIA", IF(AND(G8207="Yes", H8207=""), "Gap - Missing Art. 9 Basis", IF(OR(I8207="Invalid - Not Freely Given", I8207="Invalid - Not Specific", I8207="Invalid - Not Informed", I8207="Invalid - Ambiguous"), "Gap - Invalid Consent", "Compliant")))))</f>
        <v/>
      </c>
      <c r="O8207" s="7" t="n"/>
    </row>
    <row r="8208">
      <c r="A8208" s="7" t="n"/>
      <c r="B8208" s="7" t="n"/>
      <c r="C8208" s="7" t="n"/>
      <c r="D8208" s="7" t="n"/>
      <c r="E8208" s="7" t="n"/>
      <c r="F8208" s="7" t="n"/>
      <c r="G8208" s="7" t="n"/>
      <c r="H8208" s="7" t="n"/>
      <c r="I8208" s="7" t="n"/>
      <c r="J8208" s="7" t="n"/>
      <c r="K8208">
        <f>IF(D8208="Legitimate Interest (GDPR Art. 6(1)(f))", "Yes / Required (Sheet 3)", "")</f>
        <v/>
      </c>
      <c r="L8208" s="7" t="n"/>
      <c r="M8208" s="7" t="n"/>
      <c r="N8208">
        <f>IF(D8208="", "Gap - No Legal Basis", IF(AND(D8208="Consent (GDPR Art. 6(1)(a))", I8208="Not Captured"), "Gap - Invalid Consent", IF(AND(D8208="Legitimate Interest (GDPR Art. 6(1)(f))", L8208=""), "Gap - Missing LIA", IF(AND(G8208="Yes", H8208=""), "Gap - Missing Art. 9 Basis", IF(OR(I8208="Invalid - Not Freely Given", I8208="Invalid - Not Specific", I8208="Invalid - Not Informed", I8208="Invalid - Ambiguous"), "Gap - Invalid Consent", "Compliant")))))</f>
        <v/>
      </c>
      <c r="O8208" s="7" t="n"/>
    </row>
    <row r="8209">
      <c r="A8209" s="7" t="n"/>
      <c r="B8209" s="7" t="n"/>
      <c r="C8209" s="7" t="n"/>
      <c r="D8209" s="7" t="n"/>
      <c r="E8209" s="7" t="n"/>
      <c r="F8209" s="7" t="n"/>
      <c r="G8209" s="7" t="n"/>
      <c r="H8209" s="7" t="n"/>
      <c r="I8209" s="7" t="n"/>
      <c r="J8209" s="7" t="n"/>
      <c r="K8209">
        <f>IF(D8209="Legitimate Interest (GDPR Art. 6(1)(f))", "Yes / Required (Sheet 3)", "")</f>
        <v/>
      </c>
      <c r="L8209" s="7" t="n"/>
      <c r="M8209" s="7" t="n"/>
      <c r="N8209">
        <f>IF(D8209="", "Gap - No Legal Basis", IF(AND(D8209="Consent (GDPR Art. 6(1)(a))", I8209="Not Captured"), "Gap - Invalid Consent", IF(AND(D8209="Legitimate Interest (GDPR Art. 6(1)(f))", L8209=""), "Gap - Missing LIA", IF(AND(G8209="Yes", H8209=""), "Gap - Missing Art. 9 Basis", IF(OR(I8209="Invalid - Not Freely Given", I8209="Invalid - Not Specific", I8209="Invalid - Not Informed", I8209="Invalid - Ambiguous"), "Gap - Invalid Consent", "Compliant")))))</f>
        <v/>
      </c>
      <c r="O8209" s="7" t="n"/>
    </row>
    <row r="8210">
      <c r="A8210" s="7" t="n"/>
      <c r="B8210" s="7" t="n"/>
      <c r="C8210" s="7" t="n"/>
      <c r="D8210" s="7" t="n"/>
      <c r="E8210" s="7" t="n"/>
      <c r="F8210" s="7" t="n"/>
      <c r="G8210" s="7" t="n"/>
      <c r="H8210" s="7" t="n"/>
      <c r="I8210" s="7" t="n"/>
      <c r="J8210" s="7" t="n"/>
      <c r="K8210">
        <f>IF(D8210="Legitimate Interest (GDPR Art. 6(1)(f))", "Yes / Required (Sheet 3)", "")</f>
        <v/>
      </c>
      <c r="L8210" s="7" t="n"/>
      <c r="M8210" s="7" t="n"/>
      <c r="N8210">
        <f>IF(D8210="", "Gap - No Legal Basis", IF(AND(D8210="Consent (GDPR Art. 6(1)(a))", I8210="Not Captured"), "Gap - Invalid Consent", IF(AND(D8210="Legitimate Interest (GDPR Art. 6(1)(f))", L8210=""), "Gap - Missing LIA", IF(AND(G8210="Yes", H8210=""), "Gap - Missing Art. 9 Basis", IF(OR(I8210="Invalid - Not Freely Given", I8210="Invalid - Not Specific", I8210="Invalid - Not Informed", I8210="Invalid - Ambiguous"), "Gap - Invalid Consent", "Compliant")))))</f>
        <v/>
      </c>
      <c r="O8210" s="7" t="n"/>
    </row>
    <row r="8211">
      <c r="A8211" s="7" t="n"/>
      <c r="B8211" s="7" t="n"/>
      <c r="C8211" s="7" t="n"/>
      <c r="D8211" s="7" t="n"/>
      <c r="E8211" s="7" t="n"/>
      <c r="F8211" s="7" t="n"/>
      <c r="G8211" s="7" t="n"/>
      <c r="H8211" s="7" t="n"/>
      <c r="I8211" s="7" t="n"/>
      <c r="J8211" s="7" t="n"/>
      <c r="K8211">
        <f>IF(D8211="Legitimate Interest (GDPR Art. 6(1)(f))", "Yes / Required (Sheet 3)", "")</f>
        <v/>
      </c>
      <c r="L8211" s="7" t="n"/>
      <c r="M8211" s="7" t="n"/>
      <c r="N8211">
        <f>IF(D8211="", "Gap - No Legal Basis", IF(AND(D8211="Consent (GDPR Art. 6(1)(a))", I8211="Not Captured"), "Gap - Invalid Consent", IF(AND(D8211="Legitimate Interest (GDPR Art. 6(1)(f))", L8211=""), "Gap - Missing LIA", IF(AND(G8211="Yes", H8211=""), "Gap - Missing Art. 9 Basis", IF(OR(I8211="Invalid - Not Freely Given", I8211="Invalid - Not Specific", I8211="Invalid - Not Informed", I8211="Invalid - Ambiguous"), "Gap - Invalid Consent", "Compliant")))))</f>
        <v/>
      </c>
      <c r="O8211" s="7" t="n"/>
    </row>
    <row r="8212">
      <c r="A8212" s="7" t="n"/>
      <c r="B8212" s="7" t="n"/>
      <c r="C8212" s="7" t="n"/>
      <c r="D8212" s="7" t="n"/>
      <c r="E8212" s="7" t="n"/>
      <c r="F8212" s="7" t="n"/>
      <c r="G8212" s="7" t="n"/>
      <c r="H8212" s="7" t="n"/>
      <c r="I8212" s="7" t="n"/>
      <c r="J8212" s="7" t="n"/>
      <c r="K8212">
        <f>IF(D8212="Legitimate Interest (GDPR Art. 6(1)(f))", "Yes / Required (Sheet 3)", "")</f>
        <v/>
      </c>
      <c r="L8212" s="7" t="n"/>
      <c r="M8212" s="7" t="n"/>
      <c r="N8212">
        <f>IF(D8212="", "Gap - No Legal Basis", IF(AND(D8212="Consent (GDPR Art. 6(1)(a))", I8212="Not Captured"), "Gap - Invalid Consent", IF(AND(D8212="Legitimate Interest (GDPR Art. 6(1)(f))", L8212=""), "Gap - Missing LIA", IF(AND(G8212="Yes", H8212=""), "Gap - Missing Art. 9 Basis", IF(OR(I8212="Invalid - Not Freely Given", I8212="Invalid - Not Specific", I8212="Invalid - Not Informed", I8212="Invalid - Ambiguous"), "Gap - Invalid Consent", "Compliant")))))</f>
        <v/>
      </c>
      <c r="O8212" s="7" t="n"/>
    </row>
    <row r="8213">
      <c r="A8213" s="7" t="n"/>
      <c r="B8213" s="7" t="n"/>
      <c r="C8213" s="7" t="n"/>
      <c r="D8213" s="7" t="n"/>
      <c r="E8213" s="7" t="n"/>
      <c r="F8213" s="7" t="n"/>
      <c r="G8213" s="7" t="n"/>
      <c r="H8213" s="7" t="n"/>
      <c r="I8213" s="7" t="n"/>
      <c r="J8213" s="7" t="n"/>
      <c r="K8213">
        <f>IF(D8213="Legitimate Interest (GDPR Art. 6(1)(f))", "Yes / Required (Sheet 3)", "")</f>
        <v/>
      </c>
      <c r="L8213" s="7" t="n"/>
      <c r="M8213" s="7" t="n"/>
      <c r="N8213">
        <f>IF(D8213="", "Gap - No Legal Basis", IF(AND(D8213="Consent (GDPR Art. 6(1)(a))", I8213="Not Captured"), "Gap - Invalid Consent", IF(AND(D8213="Legitimate Interest (GDPR Art. 6(1)(f))", L8213=""), "Gap - Missing LIA", IF(AND(G8213="Yes", H8213=""), "Gap - Missing Art. 9 Basis", IF(OR(I8213="Invalid - Not Freely Given", I8213="Invalid - Not Specific", I8213="Invalid - Not Informed", I8213="Invalid - Ambiguous"), "Gap - Invalid Consent", "Compliant")))))</f>
        <v/>
      </c>
      <c r="O8213" s="7" t="n"/>
    </row>
    <row r="8214">
      <c r="A8214" s="7" t="n"/>
      <c r="B8214" s="7" t="n"/>
      <c r="C8214" s="7" t="n"/>
      <c r="D8214" s="7" t="n"/>
      <c r="E8214" s="7" t="n"/>
      <c r="F8214" s="7" t="n"/>
      <c r="G8214" s="7" t="n"/>
      <c r="H8214" s="7" t="n"/>
      <c r="I8214" s="7" t="n"/>
      <c r="J8214" s="7" t="n"/>
      <c r="K8214">
        <f>IF(D8214="Legitimate Interest (GDPR Art. 6(1)(f))", "Yes / Required (Sheet 3)", "")</f>
        <v/>
      </c>
      <c r="L8214" s="7" t="n"/>
      <c r="M8214" s="7" t="n"/>
      <c r="N8214">
        <f>IF(D8214="", "Gap - No Legal Basis", IF(AND(D8214="Consent (GDPR Art. 6(1)(a))", I8214="Not Captured"), "Gap - Invalid Consent", IF(AND(D8214="Legitimate Interest (GDPR Art. 6(1)(f))", L8214=""), "Gap - Missing LIA", IF(AND(G8214="Yes", H8214=""), "Gap - Missing Art. 9 Basis", IF(OR(I8214="Invalid - Not Freely Given", I8214="Invalid - Not Specific", I8214="Invalid - Not Informed", I8214="Invalid - Ambiguous"), "Gap - Invalid Consent", "Compliant")))))</f>
        <v/>
      </c>
      <c r="O8214" s="7" t="n"/>
    </row>
    <row r="8215">
      <c r="A8215" s="7" t="n"/>
      <c r="B8215" s="7" t="n"/>
      <c r="C8215" s="7" t="n"/>
      <c r="D8215" s="7" t="n"/>
      <c r="E8215" s="7" t="n"/>
      <c r="F8215" s="7" t="n"/>
      <c r="G8215" s="7" t="n"/>
      <c r="H8215" s="7" t="n"/>
      <c r="I8215" s="7" t="n"/>
      <c r="J8215" s="7" t="n"/>
      <c r="K8215">
        <f>IF(D8215="Legitimate Interest (GDPR Art. 6(1)(f))", "Yes / Required (Sheet 3)", "")</f>
        <v/>
      </c>
      <c r="L8215" s="7" t="n"/>
      <c r="M8215" s="7" t="n"/>
      <c r="N8215">
        <f>IF(D8215="", "Gap - No Legal Basis", IF(AND(D8215="Consent (GDPR Art. 6(1)(a))", I8215="Not Captured"), "Gap - Invalid Consent", IF(AND(D8215="Legitimate Interest (GDPR Art. 6(1)(f))", L8215=""), "Gap - Missing LIA", IF(AND(G8215="Yes", H8215=""), "Gap - Missing Art. 9 Basis", IF(OR(I8215="Invalid - Not Freely Given", I8215="Invalid - Not Specific", I8215="Invalid - Not Informed", I8215="Invalid - Ambiguous"), "Gap - Invalid Consent", "Compliant")))))</f>
        <v/>
      </c>
      <c r="O8215" s="7" t="n"/>
    </row>
    <row r="8216">
      <c r="A8216" s="7" t="n"/>
      <c r="B8216" s="7" t="n"/>
      <c r="C8216" s="7" t="n"/>
      <c r="D8216" s="7" t="n"/>
      <c r="E8216" s="7" t="n"/>
      <c r="F8216" s="7" t="n"/>
      <c r="G8216" s="7" t="n"/>
      <c r="H8216" s="7" t="n"/>
      <c r="I8216" s="7" t="n"/>
      <c r="J8216" s="7" t="n"/>
      <c r="K8216">
        <f>IF(D8216="Legitimate Interest (GDPR Art. 6(1)(f))", "Yes / Required (Sheet 3)", "")</f>
        <v/>
      </c>
      <c r="L8216" s="7" t="n"/>
      <c r="M8216" s="7" t="n"/>
      <c r="N8216">
        <f>IF(D8216="", "Gap - No Legal Basis", IF(AND(D8216="Consent (GDPR Art. 6(1)(a))", I8216="Not Captured"), "Gap - Invalid Consent", IF(AND(D8216="Legitimate Interest (GDPR Art. 6(1)(f))", L8216=""), "Gap - Missing LIA", IF(AND(G8216="Yes", H8216=""), "Gap - Missing Art. 9 Basis", IF(OR(I8216="Invalid - Not Freely Given", I8216="Invalid - Not Specific", I8216="Invalid - Not Informed", I8216="Invalid - Ambiguous"), "Gap - Invalid Consent", "Compliant")))))</f>
        <v/>
      </c>
      <c r="O8216" s="7" t="n"/>
    </row>
    <row r="8217">
      <c r="A8217" s="7" t="n"/>
      <c r="B8217" s="7" t="n"/>
      <c r="C8217" s="7" t="n"/>
      <c r="D8217" s="7" t="n"/>
      <c r="E8217" s="7" t="n"/>
      <c r="F8217" s="7" t="n"/>
      <c r="G8217" s="7" t="n"/>
      <c r="H8217" s="7" t="n"/>
      <c r="I8217" s="7" t="n"/>
      <c r="J8217" s="7" t="n"/>
      <c r="K8217">
        <f>IF(D8217="Legitimate Interest (GDPR Art. 6(1)(f))", "Yes / Required (Sheet 3)", "")</f>
        <v/>
      </c>
      <c r="L8217" s="7" t="n"/>
      <c r="M8217" s="7" t="n"/>
      <c r="N8217">
        <f>IF(D8217="", "Gap - No Legal Basis", IF(AND(D8217="Consent (GDPR Art. 6(1)(a))", I8217="Not Captured"), "Gap - Invalid Consent", IF(AND(D8217="Legitimate Interest (GDPR Art. 6(1)(f))", L8217=""), "Gap - Missing LIA", IF(AND(G8217="Yes", H8217=""), "Gap - Missing Art. 9 Basis", IF(OR(I8217="Invalid - Not Freely Given", I8217="Invalid - Not Specific", I8217="Invalid - Not Informed", I8217="Invalid - Ambiguous"), "Gap - Invalid Consent", "Compliant")))))</f>
        <v/>
      </c>
      <c r="O8217" s="7" t="n"/>
    </row>
    <row r="8218">
      <c r="A8218" s="7" t="n"/>
      <c r="B8218" s="7" t="n"/>
      <c r="C8218" s="7" t="n"/>
      <c r="D8218" s="7" t="n"/>
      <c r="E8218" s="7" t="n"/>
      <c r="F8218" s="7" t="n"/>
      <c r="G8218" s="7" t="n"/>
      <c r="H8218" s="7" t="n"/>
      <c r="I8218" s="7" t="n"/>
      <c r="J8218" s="7" t="n"/>
      <c r="K8218">
        <f>IF(D8218="Legitimate Interest (GDPR Art. 6(1)(f))", "Yes / Required (Sheet 3)", "")</f>
        <v/>
      </c>
      <c r="L8218" s="7" t="n"/>
      <c r="M8218" s="7" t="n"/>
      <c r="N8218">
        <f>IF(D8218="", "Gap - No Legal Basis", IF(AND(D8218="Consent (GDPR Art. 6(1)(a))", I8218="Not Captured"), "Gap - Invalid Consent", IF(AND(D8218="Legitimate Interest (GDPR Art. 6(1)(f))", L8218=""), "Gap - Missing LIA", IF(AND(G8218="Yes", H8218=""), "Gap - Missing Art. 9 Basis", IF(OR(I8218="Invalid - Not Freely Given", I8218="Invalid - Not Specific", I8218="Invalid - Not Informed", I8218="Invalid - Ambiguous"), "Gap - Invalid Consent", "Compliant")))))</f>
        <v/>
      </c>
      <c r="O8218" s="7" t="n"/>
    </row>
    <row r="8219">
      <c r="A8219" s="7" t="n"/>
      <c r="B8219" s="7" t="n"/>
      <c r="C8219" s="7" t="n"/>
      <c r="D8219" s="7" t="n"/>
      <c r="E8219" s="7" t="n"/>
      <c r="F8219" s="7" t="n"/>
      <c r="G8219" s="7" t="n"/>
      <c r="H8219" s="7" t="n"/>
      <c r="I8219" s="7" t="n"/>
      <c r="J8219" s="7" t="n"/>
      <c r="K8219">
        <f>IF(D8219="Legitimate Interest (GDPR Art. 6(1)(f))", "Yes / Required (Sheet 3)", "")</f>
        <v/>
      </c>
      <c r="L8219" s="7" t="n"/>
      <c r="M8219" s="7" t="n"/>
      <c r="N8219">
        <f>IF(D8219="", "Gap - No Legal Basis", IF(AND(D8219="Consent (GDPR Art. 6(1)(a))", I8219="Not Captured"), "Gap - Invalid Consent", IF(AND(D8219="Legitimate Interest (GDPR Art. 6(1)(f))", L8219=""), "Gap - Missing LIA", IF(AND(G8219="Yes", H8219=""), "Gap - Missing Art. 9 Basis", IF(OR(I8219="Invalid - Not Freely Given", I8219="Invalid - Not Specific", I8219="Invalid - Not Informed", I8219="Invalid - Ambiguous"), "Gap - Invalid Consent", "Compliant")))))</f>
        <v/>
      </c>
      <c r="O8219" s="7" t="n"/>
    </row>
    <row r="8220">
      <c r="A8220" s="7" t="n"/>
      <c r="B8220" s="7" t="n"/>
      <c r="C8220" s="7" t="n"/>
      <c r="D8220" s="7" t="n"/>
      <c r="E8220" s="7" t="n"/>
      <c r="F8220" s="7" t="n"/>
      <c r="G8220" s="7" t="n"/>
      <c r="H8220" s="7" t="n"/>
      <c r="I8220" s="7" t="n"/>
      <c r="J8220" s="7" t="n"/>
      <c r="K8220">
        <f>IF(D8220="Legitimate Interest (GDPR Art. 6(1)(f))", "Yes / Required (Sheet 3)", "")</f>
        <v/>
      </c>
      <c r="L8220" s="7" t="n"/>
      <c r="M8220" s="7" t="n"/>
      <c r="N8220">
        <f>IF(D8220="", "Gap - No Legal Basis", IF(AND(D8220="Consent (GDPR Art. 6(1)(a))", I8220="Not Captured"), "Gap - Invalid Consent", IF(AND(D8220="Legitimate Interest (GDPR Art. 6(1)(f))", L8220=""), "Gap - Missing LIA", IF(AND(G8220="Yes", H8220=""), "Gap - Missing Art. 9 Basis", IF(OR(I8220="Invalid - Not Freely Given", I8220="Invalid - Not Specific", I8220="Invalid - Not Informed", I8220="Invalid - Ambiguous"), "Gap - Invalid Consent", "Compliant")))))</f>
        <v/>
      </c>
      <c r="O8220" s="7" t="n"/>
    </row>
    <row r="8221">
      <c r="A8221" s="7" t="n"/>
      <c r="B8221" s="7" t="n"/>
      <c r="C8221" s="7" t="n"/>
      <c r="D8221" s="7" t="n"/>
      <c r="E8221" s="7" t="n"/>
      <c r="F8221" s="7" t="n"/>
      <c r="G8221" s="7" t="n"/>
      <c r="H8221" s="7" t="n"/>
      <c r="I8221" s="7" t="n"/>
      <c r="J8221" s="7" t="n"/>
      <c r="K8221">
        <f>IF(D8221="Legitimate Interest (GDPR Art. 6(1)(f))", "Yes / Required (Sheet 3)", "")</f>
        <v/>
      </c>
      <c r="L8221" s="7" t="n"/>
      <c r="M8221" s="7" t="n"/>
      <c r="N8221">
        <f>IF(D8221="", "Gap - No Legal Basis", IF(AND(D8221="Consent (GDPR Art. 6(1)(a))", I8221="Not Captured"), "Gap - Invalid Consent", IF(AND(D8221="Legitimate Interest (GDPR Art. 6(1)(f))", L8221=""), "Gap - Missing LIA", IF(AND(G8221="Yes", H8221=""), "Gap - Missing Art. 9 Basis", IF(OR(I8221="Invalid - Not Freely Given", I8221="Invalid - Not Specific", I8221="Invalid - Not Informed", I8221="Invalid - Ambiguous"), "Gap - Invalid Consent", "Compliant")))))</f>
        <v/>
      </c>
      <c r="O8221" s="7" t="n"/>
    </row>
    <row r="8222">
      <c r="A8222" s="7" t="n"/>
      <c r="B8222" s="7" t="n"/>
      <c r="C8222" s="7" t="n"/>
      <c r="D8222" s="7" t="n"/>
      <c r="E8222" s="7" t="n"/>
      <c r="F8222" s="7" t="n"/>
      <c r="G8222" s="7" t="n"/>
      <c r="H8222" s="7" t="n"/>
      <c r="I8222" s="7" t="n"/>
      <c r="J8222" s="7" t="n"/>
      <c r="K8222">
        <f>IF(D8222="Legitimate Interest (GDPR Art. 6(1)(f))", "Yes / Required (Sheet 3)", "")</f>
        <v/>
      </c>
      <c r="L8222" s="7" t="n"/>
      <c r="M8222" s="7" t="n"/>
      <c r="N8222">
        <f>IF(D8222="", "Gap - No Legal Basis", IF(AND(D8222="Consent (GDPR Art. 6(1)(a))", I8222="Not Captured"), "Gap - Invalid Consent", IF(AND(D8222="Legitimate Interest (GDPR Art. 6(1)(f))", L8222=""), "Gap - Missing LIA", IF(AND(G8222="Yes", H8222=""), "Gap - Missing Art. 9 Basis", IF(OR(I8222="Invalid - Not Freely Given", I8222="Invalid - Not Specific", I8222="Invalid - Not Informed", I8222="Invalid - Ambiguous"), "Gap - Invalid Consent", "Compliant")))))</f>
        <v/>
      </c>
      <c r="O8222" s="7" t="n"/>
    </row>
    <row r="8223">
      <c r="A8223" s="7" t="n"/>
      <c r="B8223" s="7" t="n"/>
      <c r="C8223" s="7" t="n"/>
      <c r="D8223" s="7" t="n"/>
      <c r="E8223" s="7" t="n"/>
      <c r="F8223" s="7" t="n"/>
      <c r="G8223" s="7" t="n"/>
      <c r="H8223" s="7" t="n"/>
      <c r="I8223" s="7" t="n"/>
      <c r="J8223" s="7" t="n"/>
      <c r="K8223">
        <f>IF(D8223="Legitimate Interest (GDPR Art. 6(1)(f))", "Yes / Required (Sheet 3)", "")</f>
        <v/>
      </c>
      <c r="L8223" s="7" t="n"/>
      <c r="M8223" s="7" t="n"/>
      <c r="N8223">
        <f>IF(D8223="", "Gap - No Legal Basis", IF(AND(D8223="Consent (GDPR Art. 6(1)(a))", I8223="Not Captured"), "Gap - Invalid Consent", IF(AND(D8223="Legitimate Interest (GDPR Art. 6(1)(f))", L8223=""), "Gap - Missing LIA", IF(AND(G8223="Yes", H8223=""), "Gap - Missing Art. 9 Basis", IF(OR(I8223="Invalid - Not Freely Given", I8223="Invalid - Not Specific", I8223="Invalid - Not Informed", I8223="Invalid - Ambiguous"), "Gap - Invalid Consent", "Compliant")))))</f>
        <v/>
      </c>
      <c r="O8223" s="7" t="n"/>
    </row>
    <row r="8224">
      <c r="A8224" s="7" t="n"/>
      <c r="B8224" s="7" t="n"/>
      <c r="C8224" s="7" t="n"/>
      <c r="D8224" s="7" t="n"/>
      <c r="E8224" s="7" t="n"/>
      <c r="F8224" s="7" t="n"/>
      <c r="G8224" s="7" t="n"/>
      <c r="H8224" s="7" t="n"/>
      <c r="I8224" s="7" t="n"/>
      <c r="J8224" s="7" t="n"/>
      <c r="K8224">
        <f>IF(D8224="Legitimate Interest (GDPR Art. 6(1)(f))", "Yes / Required (Sheet 3)", "")</f>
        <v/>
      </c>
      <c r="L8224" s="7" t="n"/>
      <c r="M8224" s="7" t="n"/>
      <c r="N8224">
        <f>IF(D8224="", "Gap - No Legal Basis", IF(AND(D8224="Consent (GDPR Art. 6(1)(a))", I8224="Not Captured"), "Gap - Invalid Consent", IF(AND(D8224="Legitimate Interest (GDPR Art. 6(1)(f))", L8224=""), "Gap - Missing LIA", IF(AND(G8224="Yes", H8224=""), "Gap - Missing Art. 9 Basis", IF(OR(I8224="Invalid - Not Freely Given", I8224="Invalid - Not Specific", I8224="Invalid - Not Informed", I8224="Invalid - Ambiguous"), "Gap - Invalid Consent", "Compliant")))))</f>
        <v/>
      </c>
      <c r="O8224" s="7" t="n"/>
    </row>
    <row r="8225">
      <c r="A8225" s="7" t="n"/>
      <c r="B8225" s="7" t="n"/>
      <c r="C8225" s="7" t="n"/>
      <c r="D8225" s="7" t="n"/>
      <c r="E8225" s="7" t="n"/>
      <c r="F8225" s="7" t="n"/>
      <c r="G8225" s="7" t="n"/>
      <c r="H8225" s="7" t="n"/>
      <c r="I8225" s="7" t="n"/>
      <c r="J8225" s="7" t="n"/>
      <c r="K8225">
        <f>IF(D8225="Legitimate Interest (GDPR Art. 6(1)(f))", "Yes / Required (Sheet 3)", "")</f>
        <v/>
      </c>
      <c r="L8225" s="7" t="n"/>
      <c r="M8225" s="7" t="n"/>
      <c r="N8225">
        <f>IF(D8225="", "Gap - No Legal Basis", IF(AND(D8225="Consent (GDPR Art. 6(1)(a))", I8225="Not Captured"), "Gap - Invalid Consent", IF(AND(D8225="Legitimate Interest (GDPR Art. 6(1)(f))", L8225=""), "Gap - Missing LIA", IF(AND(G8225="Yes", H8225=""), "Gap - Missing Art. 9 Basis", IF(OR(I8225="Invalid - Not Freely Given", I8225="Invalid - Not Specific", I8225="Invalid - Not Informed", I8225="Invalid - Ambiguous"), "Gap - Invalid Consent", "Compliant")))))</f>
        <v/>
      </c>
      <c r="O8225" s="7" t="n"/>
    </row>
    <row r="8226">
      <c r="A8226" s="7" t="n"/>
      <c r="B8226" s="7" t="n"/>
      <c r="C8226" s="7" t="n"/>
      <c r="D8226" s="7" t="n"/>
      <c r="E8226" s="7" t="n"/>
      <c r="F8226" s="7" t="n"/>
      <c r="G8226" s="7" t="n"/>
      <c r="H8226" s="7" t="n"/>
      <c r="I8226" s="7" t="n"/>
      <c r="J8226" s="7" t="n"/>
      <c r="K8226">
        <f>IF(D8226="Legitimate Interest (GDPR Art. 6(1)(f))", "Yes / Required (Sheet 3)", "")</f>
        <v/>
      </c>
      <c r="L8226" s="7" t="n"/>
      <c r="M8226" s="7" t="n"/>
      <c r="N8226">
        <f>IF(D8226="", "Gap - No Legal Basis", IF(AND(D8226="Consent (GDPR Art. 6(1)(a))", I8226="Not Captured"), "Gap - Invalid Consent", IF(AND(D8226="Legitimate Interest (GDPR Art. 6(1)(f))", L8226=""), "Gap - Missing LIA", IF(AND(G8226="Yes", H8226=""), "Gap - Missing Art. 9 Basis", IF(OR(I8226="Invalid - Not Freely Given", I8226="Invalid - Not Specific", I8226="Invalid - Not Informed", I8226="Invalid - Ambiguous"), "Gap - Invalid Consent", "Compliant")))))</f>
        <v/>
      </c>
      <c r="O8226" s="7" t="n"/>
    </row>
    <row r="8227">
      <c r="A8227" s="7" t="n"/>
      <c r="B8227" s="7" t="n"/>
      <c r="C8227" s="7" t="n"/>
      <c r="D8227" s="7" t="n"/>
      <c r="E8227" s="7" t="n"/>
      <c r="F8227" s="7" t="n"/>
      <c r="G8227" s="7" t="n"/>
      <c r="H8227" s="7" t="n"/>
      <c r="I8227" s="7" t="n"/>
      <c r="J8227" s="7" t="n"/>
      <c r="K8227">
        <f>IF(D8227="Legitimate Interest (GDPR Art. 6(1)(f))", "Yes / Required (Sheet 3)", "")</f>
        <v/>
      </c>
      <c r="L8227" s="7" t="n"/>
      <c r="M8227" s="7" t="n"/>
      <c r="N8227">
        <f>IF(D8227="", "Gap - No Legal Basis", IF(AND(D8227="Consent (GDPR Art. 6(1)(a))", I8227="Not Captured"), "Gap - Invalid Consent", IF(AND(D8227="Legitimate Interest (GDPR Art. 6(1)(f))", L8227=""), "Gap - Missing LIA", IF(AND(G8227="Yes", H8227=""), "Gap - Missing Art. 9 Basis", IF(OR(I8227="Invalid - Not Freely Given", I8227="Invalid - Not Specific", I8227="Invalid - Not Informed", I8227="Invalid - Ambiguous"), "Gap - Invalid Consent", "Compliant")))))</f>
        <v/>
      </c>
      <c r="O8227" s="7" t="n"/>
    </row>
    <row r="8228">
      <c r="A8228" s="7" t="n"/>
      <c r="B8228" s="7" t="n"/>
      <c r="C8228" s="7" t="n"/>
      <c r="D8228" s="7" t="n"/>
      <c r="E8228" s="7" t="n"/>
      <c r="F8228" s="7" t="n"/>
      <c r="G8228" s="7" t="n"/>
      <c r="H8228" s="7" t="n"/>
      <c r="I8228" s="7" t="n"/>
      <c r="J8228" s="7" t="n"/>
      <c r="K8228">
        <f>IF(D8228="Legitimate Interest (GDPR Art. 6(1)(f))", "Yes / Required (Sheet 3)", "")</f>
        <v/>
      </c>
      <c r="L8228" s="7" t="n"/>
      <c r="M8228" s="7" t="n"/>
      <c r="N8228">
        <f>IF(D8228="", "Gap - No Legal Basis", IF(AND(D8228="Consent (GDPR Art. 6(1)(a))", I8228="Not Captured"), "Gap - Invalid Consent", IF(AND(D8228="Legitimate Interest (GDPR Art. 6(1)(f))", L8228=""), "Gap - Missing LIA", IF(AND(G8228="Yes", H8228=""), "Gap - Missing Art. 9 Basis", IF(OR(I8228="Invalid - Not Freely Given", I8228="Invalid - Not Specific", I8228="Invalid - Not Informed", I8228="Invalid - Ambiguous"), "Gap - Invalid Consent", "Compliant")))))</f>
        <v/>
      </c>
      <c r="O8228" s="7" t="n"/>
    </row>
    <row r="8229">
      <c r="A8229" s="7" t="n"/>
      <c r="B8229" s="7" t="n"/>
      <c r="C8229" s="7" t="n"/>
      <c r="D8229" s="7" t="n"/>
      <c r="E8229" s="7" t="n"/>
      <c r="F8229" s="7" t="n"/>
      <c r="G8229" s="7" t="n"/>
      <c r="H8229" s="7" t="n"/>
      <c r="I8229" s="7" t="n"/>
      <c r="J8229" s="7" t="n"/>
      <c r="K8229">
        <f>IF(D8229="Legitimate Interest (GDPR Art. 6(1)(f))", "Yes / Required (Sheet 3)", "")</f>
        <v/>
      </c>
      <c r="L8229" s="7" t="n"/>
      <c r="M8229" s="7" t="n"/>
      <c r="N8229">
        <f>IF(D8229="", "Gap - No Legal Basis", IF(AND(D8229="Consent (GDPR Art. 6(1)(a))", I8229="Not Captured"), "Gap - Invalid Consent", IF(AND(D8229="Legitimate Interest (GDPR Art. 6(1)(f))", L8229=""), "Gap - Missing LIA", IF(AND(G8229="Yes", H8229=""), "Gap - Missing Art. 9 Basis", IF(OR(I8229="Invalid - Not Freely Given", I8229="Invalid - Not Specific", I8229="Invalid - Not Informed", I8229="Invalid - Ambiguous"), "Gap - Invalid Consent", "Compliant")))))</f>
        <v/>
      </c>
      <c r="O8229" s="7" t="n"/>
    </row>
    <row r="8230">
      <c r="A8230" s="7" t="n"/>
      <c r="B8230" s="7" t="n"/>
      <c r="C8230" s="7" t="n"/>
      <c r="D8230" s="7" t="n"/>
      <c r="E8230" s="7" t="n"/>
      <c r="F8230" s="7" t="n"/>
      <c r="G8230" s="7" t="n"/>
      <c r="H8230" s="7" t="n"/>
      <c r="I8230" s="7" t="n"/>
      <c r="J8230" s="7" t="n"/>
      <c r="K8230">
        <f>IF(D8230="Legitimate Interest (GDPR Art. 6(1)(f))", "Yes / Required (Sheet 3)", "")</f>
        <v/>
      </c>
      <c r="L8230" s="7" t="n"/>
      <c r="M8230" s="7" t="n"/>
      <c r="N8230">
        <f>IF(D8230="", "Gap - No Legal Basis", IF(AND(D8230="Consent (GDPR Art. 6(1)(a))", I8230="Not Captured"), "Gap - Invalid Consent", IF(AND(D8230="Legitimate Interest (GDPR Art. 6(1)(f))", L8230=""), "Gap - Missing LIA", IF(AND(G8230="Yes", H8230=""), "Gap - Missing Art. 9 Basis", IF(OR(I8230="Invalid - Not Freely Given", I8230="Invalid - Not Specific", I8230="Invalid - Not Informed", I8230="Invalid - Ambiguous"), "Gap - Invalid Consent", "Compliant")))))</f>
        <v/>
      </c>
      <c r="O8230" s="7" t="n"/>
    </row>
    <row r="8231">
      <c r="A8231" s="7" t="n"/>
      <c r="B8231" s="7" t="n"/>
      <c r="C8231" s="7" t="n"/>
      <c r="D8231" s="7" t="n"/>
      <c r="E8231" s="7" t="n"/>
      <c r="F8231" s="7" t="n"/>
      <c r="G8231" s="7" t="n"/>
      <c r="H8231" s="7" t="n"/>
      <c r="I8231" s="7" t="n"/>
      <c r="J8231" s="7" t="n"/>
      <c r="K8231">
        <f>IF(D8231="Legitimate Interest (GDPR Art. 6(1)(f))", "Yes / Required (Sheet 3)", "")</f>
        <v/>
      </c>
      <c r="L8231" s="7" t="n"/>
      <c r="M8231" s="7" t="n"/>
      <c r="N8231">
        <f>IF(D8231="", "Gap - No Legal Basis", IF(AND(D8231="Consent (GDPR Art. 6(1)(a))", I8231="Not Captured"), "Gap - Invalid Consent", IF(AND(D8231="Legitimate Interest (GDPR Art. 6(1)(f))", L8231=""), "Gap - Missing LIA", IF(AND(G8231="Yes", H8231=""), "Gap - Missing Art. 9 Basis", IF(OR(I8231="Invalid - Not Freely Given", I8231="Invalid - Not Specific", I8231="Invalid - Not Informed", I8231="Invalid - Ambiguous"), "Gap - Invalid Consent", "Compliant")))))</f>
        <v/>
      </c>
      <c r="O8231" s="7" t="n"/>
    </row>
    <row r="8232">
      <c r="A8232" s="7" t="n"/>
      <c r="B8232" s="7" t="n"/>
      <c r="C8232" s="7" t="n"/>
      <c r="D8232" s="7" t="n"/>
      <c r="E8232" s="7" t="n"/>
      <c r="F8232" s="7" t="n"/>
      <c r="G8232" s="7" t="n"/>
      <c r="H8232" s="7" t="n"/>
      <c r="I8232" s="7" t="n"/>
      <c r="J8232" s="7" t="n"/>
      <c r="K8232">
        <f>IF(D8232="Legitimate Interest (GDPR Art. 6(1)(f))", "Yes / Required (Sheet 3)", "")</f>
        <v/>
      </c>
      <c r="L8232" s="7" t="n"/>
      <c r="M8232" s="7" t="n"/>
      <c r="N8232">
        <f>IF(D8232="", "Gap - No Legal Basis", IF(AND(D8232="Consent (GDPR Art. 6(1)(a))", I8232="Not Captured"), "Gap - Invalid Consent", IF(AND(D8232="Legitimate Interest (GDPR Art. 6(1)(f))", L8232=""), "Gap - Missing LIA", IF(AND(G8232="Yes", H8232=""), "Gap - Missing Art. 9 Basis", IF(OR(I8232="Invalid - Not Freely Given", I8232="Invalid - Not Specific", I8232="Invalid - Not Informed", I8232="Invalid - Ambiguous"), "Gap - Invalid Consent", "Compliant")))))</f>
        <v/>
      </c>
      <c r="O8232" s="7" t="n"/>
    </row>
    <row r="8233">
      <c r="A8233" s="7" t="n"/>
      <c r="B8233" s="7" t="n"/>
      <c r="C8233" s="7" t="n"/>
      <c r="D8233" s="7" t="n"/>
      <c r="E8233" s="7" t="n"/>
      <c r="F8233" s="7" t="n"/>
      <c r="G8233" s="7" t="n"/>
      <c r="H8233" s="7" t="n"/>
      <c r="I8233" s="7" t="n"/>
      <c r="J8233" s="7" t="n"/>
      <c r="K8233">
        <f>IF(D8233="Legitimate Interest (GDPR Art. 6(1)(f))", "Yes / Required (Sheet 3)", "")</f>
        <v/>
      </c>
      <c r="L8233" s="7" t="n"/>
      <c r="M8233" s="7" t="n"/>
      <c r="N8233">
        <f>IF(D8233="", "Gap - No Legal Basis", IF(AND(D8233="Consent (GDPR Art. 6(1)(a))", I8233="Not Captured"), "Gap - Invalid Consent", IF(AND(D8233="Legitimate Interest (GDPR Art. 6(1)(f))", L8233=""), "Gap - Missing LIA", IF(AND(G8233="Yes", H8233=""), "Gap - Missing Art. 9 Basis", IF(OR(I8233="Invalid - Not Freely Given", I8233="Invalid - Not Specific", I8233="Invalid - Not Informed", I8233="Invalid - Ambiguous"), "Gap - Invalid Consent", "Compliant")))))</f>
        <v/>
      </c>
      <c r="O8233" s="7" t="n"/>
    </row>
    <row r="8234">
      <c r="A8234" s="7" t="n"/>
      <c r="B8234" s="7" t="n"/>
      <c r="C8234" s="7" t="n"/>
      <c r="D8234" s="7" t="n"/>
      <c r="E8234" s="7" t="n"/>
      <c r="F8234" s="7" t="n"/>
      <c r="G8234" s="7" t="n"/>
      <c r="H8234" s="7" t="n"/>
      <c r="I8234" s="7" t="n"/>
      <c r="J8234" s="7" t="n"/>
      <c r="K8234">
        <f>IF(D8234="Legitimate Interest (GDPR Art. 6(1)(f))", "Yes / Required (Sheet 3)", "")</f>
        <v/>
      </c>
      <c r="L8234" s="7" t="n"/>
      <c r="M8234" s="7" t="n"/>
      <c r="N8234">
        <f>IF(D8234="", "Gap - No Legal Basis", IF(AND(D8234="Consent (GDPR Art. 6(1)(a))", I8234="Not Captured"), "Gap - Invalid Consent", IF(AND(D8234="Legitimate Interest (GDPR Art. 6(1)(f))", L8234=""), "Gap - Missing LIA", IF(AND(G8234="Yes", H8234=""), "Gap - Missing Art. 9 Basis", IF(OR(I8234="Invalid - Not Freely Given", I8234="Invalid - Not Specific", I8234="Invalid - Not Informed", I8234="Invalid - Ambiguous"), "Gap - Invalid Consent", "Compliant")))))</f>
        <v/>
      </c>
      <c r="O8234" s="7" t="n"/>
    </row>
    <row r="8235">
      <c r="A8235" s="7" t="n"/>
      <c r="B8235" s="7" t="n"/>
      <c r="C8235" s="7" t="n"/>
      <c r="D8235" s="7" t="n"/>
      <c r="E8235" s="7" t="n"/>
      <c r="F8235" s="7" t="n"/>
      <c r="G8235" s="7" t="n"/>
      <c r="H8235" s="7" t="n"/>
      <c r="I8235" s="7" t="n"/>
      <c r="J8235" s="7" t="n"/>
      <c r="K8235">
        <f>IF(D8235="Legitimate Interest (GDPR Art. 6(1)(f))", "Yes / Required (Sheet 3)", "")</f>
        <v/>
      </c>
      <c r="L8235" s="7" t="n"/>
      <c r="M8235" s="7" t="n"/>
      <c r="N8235">
        <f>IF(D8235="", "Gap - No Legal Basis", IF(AND(D8235="Consent (GDPR Art. 6(1)(a))", I8235="Not Captured"), "Gap - Invalid Consent", IF(AND(D8235="Legitimate Interest (GDPR Art. 6(1)(f))", L8235=""), "Gap - Missing LIA", IF(AND(G8235="Yes", H8235=""), "Gap - Missing Art. 9 Basis", IF(OR(I8235="Invalid - Not Freely Given", I8235="Invalid - Not Specific", I8235="Invalid - Not Informed", I8235="Invalid - Ambiguous"), "Gap - Invalid Consent", "Compliant")))))</f>
        <v/>
      </c>
      <c r="O8235" s="7" t="n"/>
    </row>
    <row r="8236">
      <c r="A8236" s="7" t="n"/>
      <c r="B8236" s="7" t="n"/>
      <c r="C8236" s="7" t="n"/>
      <c r="D8236" s="7" t="n"/>
      <c r="E8236" s="7" t="n"/>
      <c r="F8236" s="7" t="n"/>
      <c r="G8236" s="7" t="n"/>
      <c r="H8236" s="7" t="n"/>
      <c r="I8236" s="7" t="n"/>
      <c r="J8236" s="7" t="n"/>
      <c r="K8236">
        <f>IF(D8236="Legitimate Interest (GDPR Art. 6(1)(f))", "Yes / Required (Sheet 3)", "")</f>
        <v/>
      </c>
      <c r="L8236" s="7" t="n"/>
      <c r="M8236" s="7" t="n"/>
      <c r="N8236">
        <f>IF(D8236="", "Gap - No Legal Basis", IF(AND(D8236="Consent (GDPR Art. 6(1)(a))", I8236="Not Captured"), "Gap - Invalid Consent", IF(AND(D8236="Legitimate Interest (GDPR Art. 6(1)(f))", L8236=""), "Gap - Missing LIA", IF(AND(G8236="Yes", H8236=""), "Gap - Missing Art. 9 Basis", IF(OR(I8236="Invalid - Not Freely Given", I8236="Invalid - Not Specific", I8236="Invalid - Not Informed", I8236="Invalid - Ambiguous"), "Gap - Invalid Consent", "Compliant")))))</f>
        <v/>
      </c>
      <c r="O8236" s="7" t="n"/>
    </row>
    <row r="8237">
      <c r="A8237" s="7" t="n"/>
      <c r="B8237" s="7" t="n"/>
      <c r="C8237" s="7" t="n"/>
      <c r="D8237" s="7" t="n"/>
      <c r="E8237" s="7" t="n"/>
      <c r="F8237" s="7" t="n"/>
      <c r="G8237" s="7" t="n"/>
      <c r="H8237" s="7" t="n"/>
      <c r="I8237" s="7" t="n"/>
      <c r="J8237" s="7" t="n"/>
      <c r="K8237">
        <f>IF(D8237="Legitimate Interest (GDPR Art. 6(1)(f))", "Yes / Required (Sheet 3)", "")</f>
        <v/>
      </c>
      <c r="L8237" s="7" t="n"/>
      <c r="M8237" s="7" t="n"/>
      <c r="N8237">
        <f>IF(D8237="", "Gap - No Legal Basis", IF(AND(D8237="Consent (GDPR Art. 6(1)(a))", I8237="Not Captured"), "Gap - Invalid Consent", IF(AND(D8237="Legitimate Interest (GDPR Art. 6(1)(f))", L8237=""), "Gap - Missing LIA", IF(AND(G8237="Yes", H8237=""), "Gap - Missing Art. 9 Basis", IF(OR(I8237="Invalid - Not Freely Given", I8237="Invalid - Not Specific", I8237="Invalid - Not Informed", I8237="Invalid - Ambiguous"), "Gap - Invalid Consent", "Compliant")))))</f>
        <v/>
      </c>
      <c r="O8237" s="7" t="n"/>
    </row>
    <row r="8238">
      <c r="A8238" s="7" t="n"/>
      <c r="B8238" s="7" t="n"/>
      <c r="C8238" s="7" t="n"/>
      <c r="D8238" s="7" t="n"/>
      <c r="E8238" s="7" t="n"/>
      <c r="F8238" s="7" t="n"/>
      <c r="G8238" s="7" t="n"/>
      <c r="H8238" s="7" t="n"/>
      <c r="I8238" s="7" t="n"/>
      <c r="J8238" s="7" t="n"/>
      <c r="K8238">
        <f>IF(D8238="Legitimate Interest (GDPR Art. 6(1)(f))", "Yes / Required (Sheet 3)", "")</f>
        <v/>
      </c>
      <c r="L8238" s="7" t="n"/>
      <c r="M8238" s="7" t="n"/>
      <c r="N8238">
        <f>IF(D8238="", "Gap - No Legal Basis", IF(AND(D8238="Consent (GDPR Art. 6(1)(a))", I8238="Not Captured"), "Gap - Invalid Consent", IF(AND(D8238="Legitimate Interest (GDPR Art. 6(1)(f))", L8238=""), "Gap - Missing LIA", IF(AND(G8238="Yes", H8238=""), "Gap - Missing Art. 9 Basis", IF(OR(I8238="Invalid - Not Freely Given", I8238="Invalid - Not Specific", I8238="Invalid - Not Informed", I8238="Invalid - Ambiguous"), "Gap - Invalid Consent", "Compliant")))))</f>
        <v/>
      </c>
      <c r="O8238" s="7" t="n"/>
    </row>
    <row r="8239">
      <c r="A8239" s="7" t="n"/>
      <c r="B8239" s="7" t="n"/>
      <c r="C8239" s="7" t="n"/>
      <c r="D8239" s="7" t="n"/>
      <c r="E8239" s="7" t="n"/>
      <c r="F8239" s="7" t="n"/>
      <c r="G8239" s="7" t="n"/>
      <c r="H8239" s="7" t="n"/>
      <c r="I8239" s="7" t="n"/>
      <c r="J8239" s="7" t="n"/>
      <c r="K8239">
        <f>IF(D8239="Legitimate Interest (GDPR Art. 6(1)(f))", "Yes / Required (Sheet 3)", "")</f>
        <v/>
      </c>
      <c r="L8239" s="7" t="n"/>
      <c r="M8239" s="7" t="n"/>
      <c r="N8239">
        <f>IF(D8239="", "Gap - No Legal Basis", IF(AND(D8239="Consent (GDPR Art. 6(1)(a))", I8239="Not Captured"), "Gap - Invalid Consent", IF(AND(D8239="Legitimate Interest (GDPR Art. 6(1)(f))", L8239=""), "Gap - Missing LIA", IF(AND(G8239="Yes", H8239=""), "Gap - Missing Art. 9 Basis", IF(OR(I8239="Invalid - Not Freely Given", I8239="Invalid - Not Specific", I8239="Invalid - Not Informed", I8239="Invalid - Ambiguous"), "Gap - Invalid Consent", "Compliant")))))</f>
        <v/>
      </c>
      <c r="O8239" s="7" t="n"/>
    </row>
    <row r="8240">
      <c r="A8240" s="7" t="n"/>
      <c r="B8240" s="7" t="n"/>
      <c r="C8240" s="7" t="n"/>
      <c r="D8240" s="7" t="n"/>
      <c r="E8240" s="7" t="n"/>
      <c r="F8240" s="7" t="n"/>
      <c r="G8240" s="7" t="n"/>
      <c r="H8240" s="7" t="n"/>
      <c r="I8240" s="7" t="n"/>
      <c r="J8240" s="7" t="n"/>
      <c r="K8240">
        <f>IF(D8240="Legitimate Interest (GDPR Art. 6(1)(f))", "Yes / Required (Sheet 3)", "")</f>
        <v/>
      </c>
      <c r="L8240" s="7" t="n"/>
      <c r="M8240" s="7" t="n"/>
      <c r="N8240">
        <f>IF(D8240="", "Gap - No Legal Basis", IF(AND(D8240="Consent (GDPR Art. 6(1)(a))", I8240="Not Captured"), "Gap - Invalid Consent", IF(AND(D8240="Legitimate Interest (GDPR Art. 6(1)(f))", L8240=""), "Gap - Missing LIA", IF(AND(G8240="Yes", H8240=""), "Gap - Missing Art. 9 Basis", IF(OR(I8240="Invalid - Not Freely Given", I8240="Invalid - Not Specific", I8240="Invalid - Not Informed", I8240="Invalid - Ambiguous"), "Gap - Invalid Consent", "Compliant")))))</f>
        <v/>
      </c>
      <c r="O8240" s="7" t="n"/>
    </row>
    <row r="8241">
      <c r="A8241" s="7" t="n"/>
      <c r="B8241" s="7" t="n"/>
      <c r="C8241" s="7" t="n"/>
      <c r="D8241" s="7" t="n"/>
      <c r="E8241" s="7" t="n"/>
      <c r="F8241" s="7" t="n"/>
      <c r="G8241" s="7" t="n"/>
      <c r="H8241" s="7" t="n"/>
      <c r="I8241" s="7" t="n"/>
      <c r="J8241" s="7" t="n"/>
      <c r="K8241">
        <f>IF(D8241="Legitimate Interest (GDPR Art. 6(1)(f))", "Yes / Required (Sheet 3)", "")</f>
        <v/>
      </c>
      <c r="L8241" s="7" t="n"/>
      <c r="M8241" s="7" t="n"/>
      <c r="N8241">
        <f>IF(D8241="", "Gap - No Legal Basis", IF(AND(D8241="Consent (GDPR Art. 6(1)(a))", I8241="Not Captured"), "Gap - Invalid Consent", IF(AND(D8241="Legitimate Interest (GDPR Art. 6(1)(f))", L8241=""), "Gap - Missing LIA", IF(AND(G8241="Yes", H8241=""), "Gap - Missing Art. 9 Basis", IF(OR(I8241="Invalid - Not Freely Given", I8241="Invalid - Not Specific", I8241="Invalid - Not Informed", I8241="Invalid - Ambiguous"), "Gap - Invalid Consent", "Compliant")))))</f>
        <v/>
      </c>
      <c r="O8241" s="7" t="n"/>
    </row>
    <row r="8242">
      <c r="A8242" s="7" t="n"/>
      <c r="B8242" s="7" t="n"/>
      <c r="C8242" s="7" t="n"/>
      <c r="D8242" s="7" t="n"/>
      <c r="E8242" s="7" t="n"/>
      <c r="F8242" s="7" t="n"/>
      <c r="G8242" s="7" t="n"/>
      <c r="H8242" s="7" t="n"/>
      <c r="I8242" s="7" t="n"/>
      <c r="J8242" s="7" t="n"/>
      <c r="K8242">
        <f>IF(D8242="Legitimate Interest (GDPR Art. 6(1)(f))", "Yes / Required (Sheet 3)", "")</f>
        <v/>
      </c>
      <c r="L8242" s="7" t="n"/>
      <c r="M8242" s="7" t="n"/>
      <c r="N8242">
        <f>IF(D8242="", "Gap - No Legal Basis", IF(AND(D8242="Consent (GDPR Art. 6(1)(a))", I8242="Not Captured"), "Gap - Invalid Consent", IF(AND(D8242="Legitimate Interest (GDPR Art. 6(1)(f))", L8242=""), "Gap - Missing LIA", IF(AND(G8242="Yes", H8242=""), "Gap - Missing Art. 9 Basis", IF(OR(I8242="Invalid - Not Freely Given", I8242="Invalid - Not Specific", I8242="Invalid - Not Informed", I8242="Invalid - Ambiguous"), "Gap - Invalid Consent", "Compliant")))))</f>
        <v/>
      </c>
      <c r="O8242" s="7" t="n"/>
    </row>
    <row r="8243">
      <c r="A8243" s="7" t="n"/>
      <c r="B8243" s="7" t="n"/>
      <c r="C8243" s="7" t="n"/>
      <c r="D8243" s="7" t="n"/>
      <c r="E8243" s="7" t="n"/>
      <c r="F8243" s="7" t="n"/>
      <c r="G8243" s="7" t="n"/>
      <c r="H8243" s="7" t="n"/>
      <c r="I8243" s="7" t="n"/>
      <c r="J8243" s="7" t="n"/>
      <c r="K8243">
        <f>IF(D8243="Legitimate Interest (GDPR Art. 6(1)(f))", "Yes / Required (Sheet 3)", "")</f>
        <v/>
      </c>
      <c r="L8243" s="7" t="n"/>
      <c r="M8243" s="7" t="n"/>
      <c r="N8243">
        <f>IF(D8243="", "Gap - No Legal Basis", IF(AND(D8243="Consent (GDPR Art. 6(1)(a))", I8243="Not Captured"), "Gap - Invalid Consent", IF(AND(D8243="Legitimate Interest (GDPR Art. 6(1)(f))", L8243=""), "Gap - Missing LIA", IF(AND(G8243="Yes", H8243=""), "Gap - Missing Art. 9 Basis", IF(OR(I8243="Invalid - Not Freely Given", I8243="Invalid - Not Specific", I8243="Invalid - Not Informed", I8243="Invalid - Ambiguous"), "Gap - Invalid Consent", "Compliant")))))</f>
        <v/>
      </c>
      <c r="O8243" s="7" t="n"/>
    </row>
    <row r="8244">
      <c r="A8244" s="7" t="n"/>
      <c r="B8244" s="7" t="n"/>
      <c r="C8244" s="7" t="n"/>
      <c r="D8244" s="7" t="n"/>
      <c r="E8244" s="7" t="n"/>
      <c r="F8244" s="7" t="n"/>
      <c r="G8244" s="7" t="n"/>
      <c r="H8244" s="7" t="n"/>
      <c r="I8244" s="7" t="n"/>
      <c r="J8244" s="7" t="n"/>
      <c r="K8244">
        <f>IF(D8244="Legitimate Interest (GDPR Art. 6(1)(f))", "Yes / Required (Sheet 3)", "")</f>
        <v/>
      </c>
      <c r="L8244" s="7" t="n"/>
      <c r="M8244" s="7" t="n"/>
      <c r="N8244">
        <f>IF(D8244="", "Gap - No Legal Basis", IF(AND(D8244="Consent (GDPR Art. 6(1)(a))", I8244="Not Captured"), "Gap - Invalid Consent", IF(AND(D8244="Legitimate Interest (GDPR Art. 6(1)(f))", L8244=""), "Gap - Missing LIA", IF(AND(G8244="Yes", H8244=""), "Gap - Missing Art. 9 Basis", IF(OR(I8244="Invalid - Not Freely Given", I8244="Invalid - Not Specific", I8244="Invalid - Not Informed", I8244="Invalid - Ambiguous"), "Gap - Invalid Consent", "Compliant")))))</f>
        <v/>
      </c>
      <c r="O8244" s="7" t="n"/>
    </row>
    <row r="8245">
      <c r="A8245" s="7" t="n"/>
      <c r="B8245" s="7" t="n"/>
      <c r="C8245" s="7" t="n"/>
      <c r="D8245" s="7" t="n"/>
      <c r="E8245" s="7" t="n"/>
      <c r="F8245" s="7" t="n"/>
      <c r="G8245" s="7" t="n"/>
      <c r="H8245" s="7" t="n"/>
      <c r="I8245" s="7" t="n"/>
      <c r="J8245" s="7" t="n"/>
      <c r="K8245">
        <f>IF(D8245="Legitimate Interest (GDPR Art. 6(1)(f))", "Yes / Required (Sheet 3)", "")</f>
        <v/>
      </c>
      <c r="L8245" s="7" t="n"/>
      <c r="M8245" s="7" t="n"/>
      <c r="N8245">
        <f>IF(D8245="", "Gap - No Legal Basis", IF(AND(D8245="Consent (GDPR Art. 6(1)(a))", I8245="Not Captured"), "Gap - Invalid Consent", IF(AND(D8245="Legitimate Interest (GDPR Art. 6(1)(f))", L8245=""), "Gap - Missing LIA", IF(AND(G8245="Yes", H8245=""), "Gap - Missing Art. 9 Basis", IF(OR(I8245="Invalid - Not Freely Given", I8245="Invalid - Not Specific", I8245="Invalid - Not Informed", I8245="Invalid - Ambiguous"), "Gap - Invalid Consent", "Compliant")))))</f>
        <v/>
      </c>
      <c r="O8245" s="7" t="n"/>
    </row>
    <row r="8246">
      <c r="A8246" s="7" t="n"/>
      <c r="B8246" s="7" t="n"/>
      <c r="C8246" s="7" t="n"/>
      <c r="D8246" s="7" t="n"/>
      <c r="E8246" s="7" t="n"/>
      <c r="F8246" s="7" t="n"/>
      <c r="G8246" s="7" t="n"/>
      <c r="H8246" s="7" t="n"/>
      <c r="I8246" s="7" t="n"/>
      <c r="J8246" s="7" t="n"/>
      <c r="K8246">
        <f>IF(D8246="Legitimate Interest (GDPR Art. 6(1)(f))", "Yes / Required (Sheet 3)", "")</f>
        <v/>
      </c>
      <c r="L8246" s="7" t="n"/>
      <c r="M8246" s="7" t="n"/>
      <c r="N8246">
        <f>IF(D8246="", "Gap - No Legal Basis", IF(AND(D8246="Consent (GDPR Art. 6(1)(a))", I8246="Not Captured"), "Gap - Invalid Consent", IF(AND(D8246="Legitimate Interest (GDPR Art. 6(1)(f))", L8246=""), "Gap - Missing LIA", IF(AND(G8246="Yes", H8246=""), "Gap - Missing Art. 9 Basis", IF(OR(I8246="Invalid - Not Freely Given", I8246="Invalid - Not Specific", I8246="Invalid - Not Informed", I8246="Invalid - Ambiguous"), "Gap - Invalid Consent", "Compliant")))))</f>
        <v/>
      </c>
      <c r="O8246" s="7" t="n"/>
    </row>
    <row r="8247">
      <c r="A8247" s="7" t="n"/>
      <c r="B8247" s="7" t="n"/>
      <c r="C8247" s="7" t="n"/>
      <c r="D8247" s="7" t="n"/>
      <c r="E8247" s="7" t="n"/>
      <c r="F8247" s="7" t="n"/>
      <c r="G8247" s="7" t="n"/>
      <c r="H8247" s="7" t="n"/>
      <c r="I8247" s="7" t="n"/>
      <c r="J8247" s="7" t="n"/>
      <c r="K8247">
        <f>IF(D8247="Legitimate Interest (GDPR Art. 6(1)(f))", "Yes / Required (Sheet 3)", "")</f>
        <v/>
      </c>
      <c r="L8247" s="7" t="n"/>
      <c r="M8247" s="7" t="n"/>
      <c r="N8247">
        <f>IF(D8247="", "Gap - No Legal Basis", IF(AND(D8247="Consent (GDPR Art. 6(1)(a))", I8247="Not Captured"), "Gap - Invalid Consent", IF(AND(D8247="Legitimate Interest (GDPR Art. 6(1)(f))", L8247=""), "Gap - Missing LIA", IF(AND(G8247="Yes", H8247=""), "Gap - Missing Art. 9 Basis", IF(OR(I8247="Invalid - Not Freely Given", I8247="Invalid - Not Specific", I8247="Invalid - Not Informed", I8247="Invalid - Ambiguous"), "Gap - Invalid Consent", "Compliant")))))</f>
        <v/>
      </c>
      <c r="O8247" s="7" t="n"/>
    </row>
    <row r="8248">
      <c r="A8248" s="7" t="n"/>
      <c r="B8248" s="7" t="n"/>
      <c r="C8248" s="7" t="n"/>
      <c r="D8248" s="7" t="n"/>
      <c r="E8248" s="7" t="n"/>
      <c r="F8248" s="7" t="n"/>
      <c r="G8248" s="7" t="n"/>
      <c r="H8248" s="7" t="n"/>
      <c r="I8248" s="7" t="n"/>
      <c r="J8248" s="7" t="n"/>
      <c r="K8248">
        <f>IF(D8248="Legitimate Interest (GDPR Art. 6(1)(f))", "Yes / Required (Sheet 3)", "")</f>
        <v/>
      </c>
      <c r="L8248" s="7" t="n"/>
      <c r="M8248" s="7" t="n"/>
      <c r="N8248">
        <f>IF(D8248="", "Gap - No Legal Basis", IF(AND(D8248="Consent (GDPR Art. 6(1)(a))", I8248="Not Captured"), "Gap - Invalid Consent", IF(AND(D8248="Legitimate Interest (GDPR Art. 6(1)(f))", L8248=""), "Gap - Missing LIA", IF(AND(G8248="Yes", H8248=""), "Gap - Missing Art. 9 Basis", IF(OR(I8248="Invalid - Not Freely Given", I8248="Invalid - Not Specific", I8248="Invalid - Not Informed", I8248="Invalid - Ambiguous"), "Gap - Invalid Consent", "Compliant")))))</f>
        <v/>
      </c>
      <c r="O8248" s="7" t="n"/>
    </row>
    <row r="8249">
      <c r="A8249" s="7" t="n"/>
      <c r="B8249" s="7" t="n"/>
      <c r="C8249" s="7" t="n"/>
      <c r="D8249" s="7" t="n"/>
      <c r="E8249" s="7" t="n"/>
      <c r="F8249" s="7" t="n"/>
      <c r="G8249" s="7" t="n"/>
      <c r="H8249" s="7" t="n"/>
      <c r="I8249" s="7" t="n"/>
      <c r="J8249" s="7" t="n"/>
      <c r="K8249">
        <f>IF(D8249="Legitimate Interest (GDPR Art. 6(1)(f))", "Yes / Required (Sheet 3)", "")</f>
        <v/>
      </c>
      <c r="L8249" s="7" t="n"/>
      <c r="M8249" s="7" t="n"/>
      <c r="N8249">
        <f>IF(D8249="", "Gap - No Legal Basis", IF(AND(D8249="Consent (GDPR Art. 6(1)(a))", I8249="Not Captured"), "Gap - Invalid Consent", IF(AND(D8249="Legitimate Interest (GDPR Art. 6(1)(f))", L8249=""), "Gap - Missing LIA", IF(AND(G8249="Yes", H8249=""), "Gap - Missing Art. 9 Basis", IF(OR(I8249="Invalid - Not Freely Given", I8249="Invalid - Not Specific", I8249="Invalid - Not Informed", I8249="Invalid - Ambiguous"), "Gap - Invalid Consent", "Compliant")))))</f>
        <v/>
      </c>
      <c r="O8249" s="7" t="n"/>
    </row>
    <row r="8250">
      <c r="A8250" s="7" t="n"/>
      <c r="B8250" s="7" t="n"/>
      <c r="C8250" s="7" t="n"/>
      <c r="D8250" s="7" t="n"/>
      <c r="E8250" s="7" t="n"/>
      <c r="F8250" s="7" t="n"/>
      <c r="G8250" s="7" t="n"/>
      <c r="H8250" s="7" t="n"/>
      <c r="I8250" s="7" t="n"/>
      <c r="J8250" s="7" t="n"/>
      <c r="K8250">
        <f>IF(D8250="Legitimate Interest (GDPR Art. 6(1)(f))", "Yes / Required (Sheet 3)", "")</f>
        <v/>
      </c>
      <c r="L8250" s="7" t="n"/>
      <c r="M8250" s="7" t="n"/>
      <c r="N8250">
        <f>IF(D8250="", "Gap - No Legal Basis", IF(AND(D8250="Consent (GDPR Art. 6(1)(a))", I8250="Not Captured"), "Gap - Invalid Consent", IF(AND(D8250="Legitimate Interest (GDPR Art. 6(1)(f))", L8250=""), "Gap - Missing LIA", IF(AND(G8250="Yes", H8250=""), "Gap - Missing Art. 9 Basis", IF(OR(I8250="Invalid - Not Freely Given", I8250="Invalid - Not Specific", I8250="Invalid - Not Informed", I8250="Invalid - Ambiguous"), "Gap - Invalid Consent", "Compliant")))))</f>
        <v/>
      </c>
      <c r="O8250" s="7" t="n"/>
    </row>
    <row r="8251">
      <c r="A8251" s="7" t="n"/>
      <c r="B8251" s="7" t="n"/>
      <c r="C8251" s="7" t="n"/>
      <c r="D8251" s="7" t="n"/>
      <c r="E8251" s="7" t="n"/>
      <c r="F8251" s="7" t="n"/>
      <c r="G8251" s="7" t="n"/>
      <c r="H8251" s="7" t="n"/>
      <c r="I8251" s="7" t="n"/>
      <c r="J8251" s="7" t="n"/>
      <c r="K8251">
        <f>IF(D8251="Legitimate Interest (GDPR Art. 6(1)(f))", "Yes / Required (Sheet 3)", "")</f>
        <v/>
      </c>
      <c r="L8251" s="7" t="n"/>
      <c r="M8251" s="7" t="n"/>
      <c r="N8251">
        <f>IF(D8251="", "Gap - No Legal Basis", IF(AND(D8251="Consent (GDPR Art. 6(1)(a))", I8251="Not Captured"), "Gap - Invalid Consent", IF(AND(D8251="Legitimate Interest (GDPR Art. 6(1)(f))", L8251=""), "Gap - Missing LIA", IF(AND(G8251="Yes", H8251=""), "Gap - Missing Art. 9 Basis", IF(OR(I8251="Invalid - Not Freely Given", I8251="Invalid - Not Specific", I8251="Invalid - Not Informed", I8251="Invalid - Ambiguous"), "Gap - Invalid Consent", "Compliant")))))</f>
        <v/>
      </c>
      <c r="O8251" s="7" t="n"/>
    </row>
    <row r="8252">
      <c r="A8252" s="7" t="n"/>
      <c r="B8252" s="7" t="n"/>
      <c r="C8252" s="7" t="n"/>
      <c r="D8252" s="7" t="n"/>
      <c r="E8252" s="7" t="n"/>
      <c r="F8252" s="7" t="n"/>
      <c r="G8252" s="7" t="n"/>
      <c r="H8252" s="7" t="n"/>
      <c r="I8252" s="7" t="n"/>
      <c r="J8252" s="7" t="n"/>
      <c r="K8252">
        <f>IF(D8252="Legitimate Interest (GDPR Art. 6(1)(f))", "Yes / Required (Sheet 3)", "")</f>
        <v/>
      </c>
      <c r="L8252" s="7" t="n"/>
      <c r="M8252" s="7" t="n"/>
      <c r="N8252">
        <f>IF(D8252="", "Gap - No Legal Basis", IF(AND(D8252="Consent (GDPR Art. 6(1)(a))", I8252="Not Captured"), "Gap - Invalid Consent", IF(AND(D8252="Legitimate Interest (GDPR Art. 6(1)(f))", L8252=""), "Gap - Missing LIA", IF(AND(G8252="Yes", H8252=""), "Gap - Missing Art. 9 Basis", IF(OR(I8252="Invalid - Not Freely Given", I8252="Invalid - Not Specific", I8252="Invalid - Not Informed", I8252="Invalid - Ambiguous"), "Gap - Invalid Consent", "Compliant")))))</f>
        <v/>
      </c>
      <c r="O8252" s="7" t="n"/>
    </row>
    <row r="8253">
      <c r="A8253" s="7" t="n"/>
      <c r="B8253" s="7" t="n"/>
      <c r="C8253" s="7" t="n"/>
      <c r="D8253" s="7" t="n"/>
      <c r="E8253" s="7" t="n"/>
      <c r="F8253" s="7" t="n"/>
      <c r="G8253" s="7" t="n"/>
      <c r="H8253" s="7" t="n"/>
      <c r="I8253" s="7" t="n"/>
      <c r="J8253" s="7" t="n"/>
      <c r="K8253">
        <f>IF(D8253="Legitimate Interest (GDPR Art. 6(1)(f))", "Yes / Required (Sheet 3)", "")</f>
        <v/>
      </c>
      <c r="L8253" s="7" t="n"/>
      <c r="M8253" s="7" t="n"/>
      <c r="N8253">
        <f>IF(D8253="", "Gap - No Legal Basis", IF(AND(D8253="Consent (GDPR Art. 6(1)(a))", I8253="Not Captured"), "Gap - Invalid Consent", IF(AND(D8253="Legitimate Interest (GDPR Art. 6(1)(f))", L8253=""), "Gap - Missing LIA", IF(AND(G8253="Yes", H8253=""), "Gap - Missing Art. 9 Basis", IF(OR(I8253="Invalid - Not Freely Given", I8253="Invalid - Not Specific", I8253="Invalid - Not Informed", I8253="Invalid - Ambiguous"), "Gap - Invalid Consent", "Compliant")))))</f>
        <v/>
      </c>
      <c r="O8253" s="7" t="n"/>
    </row>
    <row r="8254">
      <c r="A8254" s="7" t="n"/>
      <c r="B8254" s="7" t="n"/>
      <c r="C8254" s="7" t="n"/>
      <c r="D8254" s="7" t="n"/>
      <c r="E8254" s="7" t="n"/>
      <c r="F8254" s="7" t="n"/>
      <c r="G8254" s="7" t="n"/>
      <c r="H8254" s="7" t="n"/>
      <c r="I8254" s="7" t="n"/>
      <c r="J8254" s="7" t="n"/>
      <c r="K8254">
        <f>IF(D8254="Legitimate Interest (GDPR Art. 6(1)(f))", "Yes / Required (Sheet 3)", "")</f>
        <v/>
      </c>
      <c r="L8254" s="7" t="n"/>
      <c r="M8254" s="7" t="n"/>
      <c r="N8254">
        <f>IF(D8254="", "Gap - No Legal Basis", IF(AND(D8254="Consent (GDPR Art. 6(1)(a))", I8254="Not Captured"), "Gap - Invalid Consent", IF(AND(D8254="Legitimate Interest (GDPR Art. 6(1)(f))", L8254=""), "Gap - Missing LIA", IF(AND(G8254="Yes", H8254=""), "Gap - Missing Art. 9 Basis", IF(OR(I8254="Invalid - Not Freely Given", I8254="Invalid - Not Specific", I8254="Invalid - Not Informed", I8254="Invalid - Ambiguous"), "Gap - Invalid Consent", "Compliant")))))</f>
        <v/>
      </c>
      <c r="O8254" s="7" t="n"/>
    </row>
    <row r="8255">
      <c r="A8255" s="7" t="n"/>
      <c r="B8255" s="7" t="n"/>
      <c r="C8255" s="7" t="n"/>
      <c r="D8255" s="7" t="n"/>
      <c r="E8255" s="7" t="n"/>
      <c r="F8255" s="7" t="n"/>
      <c r="G8255" s="7" t="n"/>
      <c r="H8255" s="7" t="n"/>
      <c r="I8255" s="7" t="n"/>
      <c r="J8255" s="7" t="n"/>
      <c r="K8255">
        <f>IF(D8255="Legitimate Interest (GDPR Art. 6(1)(f))", "Yes / Required (Sheet 3)", "")</f>
        <v/>
      </c>
      <c r="L8255" s="7" t="n"/>
      <c r="M8255" s="7" t="n"/>
      <c r="N8255">
        <f>IF(D8255="", "Gap - No Legal Basis", IF(AND(D8255="Consent (GDPR Art. 6(1)(a))", I8255="Not Captured"), "Gap - Invalid Consent", IF(AND(D8255="Legitimate Interest (GDPR Art. 6(1)(f))", L8255=""), "Gap - Missing LIA", IF(AND(G8255="Yes", H8255=""), "Gap - Missing Art. 9 Basis", IF(OR(I8255="Invalid - Not Freely Given", I8255="Invalid - Not Specific", I8255="Invalid - Not Informed", I8255="Invalid - Ambiguous"), "Gap - Invalid Consent", "Compliant")))))</f>
        <v/>
      </c>
      <c r="O8255" s="7" t="n"/>
    </row>
    <row r="8256">
      <c r="A8256" s="7" t="n"/>
      <c r="B8256" s="7" t="n"/>
      <c r="C8256" s="7" t="n"/>
      <c r="D8256" s="7" t="n"/>
      <c r="E8256" s="7" t="n"/>
      <c r="F8256" s="7" t="n"/>
      <c r="G8256" s="7" t="n"/>
      <c r="H8256" s="7" t="n"/>
      <c r="I8256" s="7" t="n"/>
      <c r="J8256" s="7" t="n"/>
      <c r="K8256">
        <f>IF(D8256="Legitimate Interest (GDPR Art. 6(1)(f))", "Yes / Required (Sheet 3)", "")</f>
        <v/>
      </c>
      <c r="L8256" s="7" t="n"/>
      <c r="M8256" s="7" t="n"/>
      <c r="N8256">
        <f>IF(D8256="", "Gap - No Legal Basis", IF(AND(D8256="Consent (GDPR Art. 6(1)(a))", I8256="Not Captured"), "Gap - Invalid Consent", IF(AND(D8256="Legitimate Interest (GDPR Art. 6(1)(f))", L8256=""), "Gap - Missing LIA", IF(AND(G8256="Yes", H8256=""), "Gap - Missing Art. 9 Basis", IF(OR(I8256="Invalid - Not Freely Given", I8256="Invalid - Not Specific", I8256="Invalid - Not Informed", I8256="Invalid - Ambiguous"), "Gap - Invalid Consent", "Compliant")))))</f>
        <v/>
      </c>
      <c r="O8256" s="7" t="n"/>
    </row>
    <row r="8257">
      <c r="A8257" s="7" t="n"/>
      <c r="B8257" s="7" t="n"/>
      <c r="C8257" s="7" t="n"/>
      <c r="D8257" s="7" t="n"/>
      <c r="E8257" s="7" t="n"/>
      <c r="F8257" s="7" t="n"/>
      <c r="G8257" s="7" t="n"/>
      <c r="H8257" s="7" t="n"/>
      <c r="I8257" s="7" t="n"/>
      <c r="J8257" s="7" t="n"/>
      <c r="K8257">
        <f>IF(D8257="Legitimate Interest (GDPR Art. 6(1)(f))", "Yes / Required (Sheet 3)", "")</f>
        <v/>
      </c>
      <c r="L8257" s="7" t="n"/>
      <c r="M8257" s="7" t="n"/>
      <c r="N8257">
        <f>IF(D8257="", "Gap - No Legal Basis", IF(AND(D8257="Consent (GDPR Art. 6(1)(a))", I8257="Not Captured"), "Gap - Invalid Consent", IF(AND(D8257="Legitimate Interest (GDPR Art. 6(1)(f))", L8257=""), "Gap - Missing LIA", IF(AND(G8257="Yes", H8257=""), "Gap - Missing Art. 9 Basis", IF(OR(I8257="Invalid - Not Freely Given", I8257="Invalid - Not Specific", I8257="Invalid - Not Informed", I8257="Invalid - Ambiguous"), "Gap - Invalid Consent", "Compliant")))))</f>
        <v/>
      </c>
      <c r="O8257" s="7" t="n"/>
    </row>
    <row r="8258">
      <c r="A8258" s="7" t="n"/>
      <c r="B8258" s="7" t="n"/>
      <c r="C8258" s="7" t="n"/>
      <c r="D8258" s="7" t="n"/>
      <c r="E8258" s="7" t="n"/>
      <c r="F8258" s="7" t="n"/>
      <c r="G8258" s="7" t="n"/>
      <c r="H8258" s="7" t="n"/>
      <c r="I8258" s="7" t="n"/>
      <c r="J8258" s="7" t="n"/>
      <c r="K8258">
        <f>IF(D8258="Legitimate Interest (GDPR Art. 6(1)(f))", "Yes / Required (Sheet 3)", "")</f>
        <v/>
      </c>
      <c r="L8258" s="7" t="n"/>
      <c r="M8258" s="7" t="n"/>
      <c r="N8258">
        <f>IF(D8258="", "Gap - No Legal Basis", IF(AND(D8258="Consent (GDPR Art. 6(1)(a))", I8258="Not Captured"), "Gap - Invalid Consent", IF(AND(D8258="Legitimate Interest (GDPR Art. 6(1)(f))", L8258=""), "Gap - Missing LIA", IF(AND(G8258="Yes", H8258=""), "Gap - Missing Art. 9 Basis", IF(OR(I8258="Invalid - Not Freely Given", I8258="Invalid - Not Specific", I8258="Invalid - Not Informed", I8258="Invalid - Ambiguous"), "Gap - Invalid Consent", "Compliant")))))</f>
        <v/>
      </c>
      <c r="O8258" s="7" t="n"/>
    </row>
    <row r="8259">
      <c r="A8259" s="7" t="n"/>
      <c r="B8259" s="7" t="n"/>
      <c r="C8259" s="7" t="n"/>
      <c r="D8259" s="7" t="n"/>
      <c r="E8259" s="7" t="n"/>
      <c r="F8259" s="7" t="n"/>
      <c r="G8259" s="7" t="n"/>
      <c r="H8259" s="7" t="n"/>
      <c r="I8259" s="7" t="n"/>
      <c r="J8259" s="7" t="n"/>
      <c r="K8259">
        <f>IF(D8259="Legitimate Interest (GDPR Art. 6(1)(f))", "Yes / Required (Sheet 3)", "")</f>
        <v/>
      </c>
      <c r="L8259" s="7" t="n"/>
      <c r="M8259" s="7" t="n"/>
      <c r="N8259">
        <f>IF(D8259="", "Gap - No Legal Basis", IF(AND(D8259="Consent (GDPR Art. 6(1)(a))", I8259="Not Captured"), "Gap - Invalid Consent", IF(AND(D8259="Legitimate Interest (GDPR Art. 6(1)(f))", L8259=""), "Gap - Missing LIA", IF(AND(G8259="Yes", H8259=""), "Gap - Missing Art. 9 Basis", IF(OR(I8259="Invalid - Not Freely Given", I8259="Invalid - Not Specific", I8259="Invalid - Not Informed", I8259="Invalid - Ambiguous"), "Gap - Invalid Consent", "Compliant")))))</f>
        <v/>
      </c>
      <c r="O8259" s="7" t="n"/>
    </row>
    <row r="8260">
      <c r="A8260" s="7" t="n"/>
      <c r="B8260" s="7" t="n"/>
      <c r="C8260" s="7" t="n"/>
      <c r="D8260" s="7" t="n"/>
      <c r="E8260" s="7" t="n"/>
      <c r="F8260" s="7" t="n"/>
      <c r="G8260" s="7" t="n"/>
      <c r="H8260" s="7" t="n"/>
      <c r="I8260" s="7" t="n"/>
      <c r="J8260" s="7" t="n"/>
      <c r="K8260">
        <f>IF(D8260="Legitimate Interest (GDPR Art. 6(1)(f))", "Yes / Required (Sheet 3)", "")</f>
        <v/>
      </c>
      <c r="L8260" s="7" t="n"/>
      <c r="M8260" s="7" t="n"/>
      <c r="N8260">
        <f>IF(D8260="", "Gap - No Legal Basis", IF(AND(D8260="Consent (GDPR Art. 6(1)(a))", I8260="Not Captured"), "Gap - Invalid Consent", IF(AND(D8260="Legitimate Interest (GDPR Art. 6(1)(f))", L8260=""), "Gap - Missing LIA", IF(AND(G8260="Yes", H8260=""), "Gap - Missing Art. 9 Basis", IF(OR(I8260="Invalid - Not Freely Given", I8260="Invalid - Not Specific", I8260="Invalid - Not Informed", I8260="Invalid - Ambiguous"), "Gap - Invalid Consent", "Compliant")))))</f>
        <v/>
      </c>
      <c r="O8260" s="7" t="n"/>
    </row>
    <row r="8261">
      <c r="A8261" s="7" t="n"/>
      <c r="B8261" s="7" t="n"/>
      <c r="C8261" s="7" t="n"/>
      <c r="D8261" s="7" t="n"/>
      <c r="E8261" s="7" t="n"/>
      <c r="F8261" s="7" t="n"/>
      <c r="G8261" s="7" t="n"/>
      <c r="H8261" s="7" t="n"/>
      <c r="I8261" s="7" t="n"/>
      <c r="J8261" s="7" t="n"/>
      <c r="K8261">
        <f>IF(D8261="Legitimate Interest (GDPR Art. 6(1)(f))", "Yes / Required (Sheet 3)", "")</f>
        <v/>
      </c>
      <c r="L8261" s="7" t="n"/>
      <c r="M8261" s="7" t="n"/>
      <c r="N8261">
        <f>IF(D8261="", "Gap - No Legal Basis", IF(AND(D8261="Consent (GDPR Art. 6(1)(a))", I8261="Not Captured"), "Gap - Invalid Consent", IF(AND(D8261="Legitimate Interest (GDPR Art. 6(1)(f))", L8261=""), "Gap - Missing LIA", IF(AND(G8261="Yes", H8261=""), "Gap - Missing Art. 9 Basis", IF(OR(I8261="Invalid - Not Freely Given", I8261="Invalid - Not Specific", I8261="Invalid - Not Informed", I8261="Invalid - Ambiguous"), "Gap - Invalid Consent", "Compliant")))))</f>
        <v/>
      </c>
      <c r="O8261" s="7" t="n"/>
    </row>
    <row r="8262">
      <c r="A8262" s="7" t="n"/>
      <c r="B8262" s="7" t="n"/>
      <c r="C8262" s="7" t="n"/>
      <c r="D8262" s="7" t="n"/>
      <c r="E8262" s="7" t="n"/>
      <c r="F8262" s="7" t="n"/>
      <c r="G8262" s="7" t="n"/>
      <c r="H8262" s="7" t="n"/>
      <c r="I8262" s="7" t="n"/>
      <c r="J8262" s="7" t="n"/>
      <c r="K8262">
        <f>IF(D8262="Legitimate Interest (GDPR Art. 6(1)(f))", "Yes / Required (Sheet 3)", "")</f>
        <v/>
      </c>
      <c r="L8262" s="7" t="n"/>
      <c r="M8262" s="7" t="n"/>
      <c r="N8262">
        <f>IF(D8262="", "Gap - No Legal Basis", IF(AND(D8262="Consent (GDPR Art. 6(1)(a))", I8262="Not Captured"), "Gap - Invalid Consent", IF(AND(D8262="Legitimate Interest (GDPR Art. 6(1)(f))", L8262=""), "Gap - Missing LIA", IF(AND(G8262="Yes", H8262=""), "Gap - Missing Art. 9 Basis", IF(OR(I8262="Invalid - Not Freely Given", I8262="Invalid - Not Specific", I8262="Invalid - Not Informed", I8262="Invalid - Ambiguous"), "Gap - Invalid Consent", "Compliant")))))</f>
        <v/>
      </c>
      <c r="O8262" s="7" t="n"/>
    </row>
    <row r="8263">
      <c r="A8263" s="7" t="n"/>
      <c r="B8263" s="7" t="n"/>
      <c r="C8263" s="7" t="n"/>
      <c r="D8263" s="7" t="n"/>
      <c r="E8263" s="7" t="n"/>
      <c r="F8263" s="7" t="n"/>
      <c r="G8263" s="7" t="n"/>
      <c r="H8263" s="7" t="n"/>
      <c r="I8263" s="7" t="n"/>
      <c r="J8263" s="7" t="n"/>
      <c r="K8263">
        <f>IF(D8263="Legitimate Interest (GDPR Art. 6(1)(f))", "Yes / Required (Sheet 3)", "")</f>
        <v/>
      </c>
      <c r="L8263" s="7" t="n"/>
      <c r="M8263" s="7" t="n"/>
      <c r="N8263">
        <f>IF(D8263="", "Gap - No Legal Basis", IF(AND(D8263="Consent (GDPR Art. 6(1)(a))", I8263="Not Captured"), "Gap - Invalid Consent", IF(AND(D8263="Legitimate Interest (GDPR Art. 6(1)(f))", L8263=""), "Gap - Missing LIA", IF(AND(G8263="Yes", H8263=""), "Gap - Missing Art. 9 Basis", IF(OR(I8263="Invalid - Not Freely Given", I8263="Invalid - Not Specific", I8263="Invalid - Not Informed", I8263="Invalid - Ambiguous"), "Gap - Invalid Consent", "Compliant")))))</f>
        <v/>
      </c>
      <c r="O8263" s="7" t="n"/>
    </row>
    <row r="8264">
      <c r="A8264" s="7" t="n"/>
      <c r="B8264" s="7" t="n"/>
      <c r="C8264" s="7" t="n"/>
      <c r="D8264" s="7" t="n"/>
      <c r="E8264" s="7" t="n"/>
      <c r="F8264" s="7" t="n"/>
      <c r="G8264" s="7" t="n"/>
      <c r="H8264" s="7" t="n"/>
      <c r="I8264" s="7" t="n"/>
      <c r="J8264" s="7" t="n"/>
      <c r="K8264">
        <f>IF(D8264="Legitimate Interest (GDPR Art. 6(1)(f))", "Yes / Required (Sheet 3)", "")</f>
        <v/>
      </c>
      <c r="L8264" s="7" t="n"/>
      <c r="M8264" s="7" t="n"/>
      <c r="N8264">
        <f>IF(D8264="", "Gap - No Legal Basis", IF(AND(D8264="Consent (GDPR Art. 6(1)(a))", I8264="Not Captured"), "Gap - Invalid Consent", IF(AND(D8264="Legitimate Interest (GDPR Art. 6(1)(f))", L8264=""), "Gap - Missing LIA", IF(AND(G8264="Yes", H8264=""), "Gap - Missing Art. 9 Basis", IF(OR(I8264="Invalid - Not Freely Given", I8264="Invalid - Not Specific", I8264="Invalid - Not Informed", I8264="Invalid - Ambiguous"), "Gap - Invalid Consent", "Compliant")))))</f>
        <v/>
      </c>
      <c r="O8264" s="7" t="n"/>
    </row>
    <row r="8265">
      <c r="A8265" s="7" t="n"/>
      <c r="B8265" s="7" t="n"/>
      <c r="C8265" s="7" t="n"/>
      <c r="D8265" s="7" t="n"/>
      <c r="E8265" s="7" t="n"/>
      <c r="F8265" s="7" t="n"/>
      <c r="G8265" s="7" t="n"/>
      <c r="H8265" s="7" t="n"/>
      <c r="I8265" s="7" t="n"/>
      <c r="J8265" s="7" t="n"/>
      <c r="K8265">
        <f>IF(D8265="Legitimate Interest (GDPR Art. 6(1)(f))", "Yes / Required (Sheet 3)", "")</f>
        <v/>
      </c>
      <c r="L8265" s="7" t="n"/>
      <c r="M8265" s="7" t="n"/>
      <c r="N8265">
        <f>IF(D8265="", "Gap - No Legal Basis", IF(AND(D8265="Consent (GDPR Art. 6(1)(a))", I8265="Not Captured"), "Gap - Invalid Consent", IF(AND(D8265="Legitimate Interest (GDPR Art. 6(1)(f))", L8265=""), "Gap - Missing LIA", IF(AND(G8265="Yes", H8265=""), "Gap - Missing Art. 9 Basis", IF(OR(I8265="Invalid - Not Freely Given", I8265="Invalid - Not Specific", I8265="Invalid - Not Informed", I8265="Invalid - Ambiguous"), "Gap - Invalid Consent", "Compliant")))))</f>
        <v/>
      </c>
      <c r="O8265" s="7" t="n"/>
    </row>
    <row r="8266">
      <c r="A8266" s="7" t="n"/>
      <c r="B8266" s="7" t="n"/>
      <c r="C8266" s="7" t="n"/>
      <c r="D8266" s="7" t="n"/>
      <c r="E8266" s="7" t="n"/>
      <c r="F8266" s="7" t="n"/>
      <c r="G8266" s="7" t="n"/>
      <c r="H8266" s="7" t="n"/>
      <c r="I8266" s="7" t="n"/>
      <c r="J8266" s="7" t="n"/>
      <c r="K8266">
        <f>IF(D8266="Legitimate Interest (GDPR Art. 6(1)(f))", "Yes / Required (Sheet 3)", "")</f>
        <v/>
      </c>
      <c r="L8266" s="7" t="n"/>
      <c r="M8266" s="7" t="n"/>
      <c r="N8266">
        <f>IF(D8266="", "Gap - No Legal Basis", IF(AND(D8266="Consent (GDPR Art. 6(1)(a))", I8266="Not Captured"), "Gap - Invalid Consent", IF(AND(D8266="Legitimate Interest (GDPR Art. 6(1)(f))", L8266=""), "Gap - Missing LIA", IF(AND(G8266="Yes", H8266=""), "Gap - Missing Art. 9 Basis", IF(OR(I8266="Invalid - Not Freely Given", I8266="Invalid - Not Specific", I8266="Invalid - Not Informed", I8266="Invalid - Ambiguous"), "Gap - Invalid Consent", "Compliant")))))</f>
        <v/>
      </c>
      <c r="O8266" s="7" t="n"/>
    </row>
    <row r="8267">
      <c r="A8267" s="7" t="n"/>
      <c r="B8267" s="7" t="n"/>
      <c r="C8267" s="7" t="n"/>
      <c r="D8267" s="7" t="n"/>
      <c r="E8267" s="7" t="n"/>
      <c r="F8267" s="7" t="n"/>
      <c r="G8267" s="7" t="n"/>
      <c r="H8267" s="7" t="n"/>
      <c r="I8267" s="7" t="n"/>
      <c r="J8267" s="7" t="n"/>
      <c r="K8267">
        <f>IF(D8267="Legitimate Interest (GDPR Art. 6(1)(f))", "Yes / Required (Sheet 3)", "")</f>
        <v/>
      </c>
      <c r="L8267" s="7" t="n"/>
      <c r="M8267" s="7" t="n"/>
      <c r="N8267">
        <f>IF(D8267="", "Gap - No Legal Basis", IF(AND(D8267="Consent (GDPR Art. 6(1)(a))", I8267="Not Captured"), "Gap - Invalid Consent", IF(AND(D8267="Legitimate Interest (GDPR Art. 6(1)(f))", L8267=""), "Gap - Missing LIA", IF(AND(G8267="Yes", H8267=""), "Gap - Missing Art. 9 Basis", IF(OR(I8267="Invalid - Not Freely Given", I8267="Invalid - Not Specific", I8267="Invalid - Not Informed", I8267="Invalid - Ambiguous"), "Gap - Invalid Consent", "Compliant")))))</f>
        <v/>
      </c>
      <c r="O8267" s="7" t="n"/>
    </row>
    <row r="8268">
      <c r="A8268" s="7" t="n"/>
      <c r="B8268" s="7" t="n"/>
      <c r="C8268" s="7" t="n"/>
      <c r="D8268" s="7" t="n"/>
      <c r="E8268" s="7" t="n"/>
      <c r="F8268" s="7" t="n"/>
      <c r="G8268" s="7" t="n"/>
      <c r="H8268" s="7" t="n"/>
      <c r="I8268" s="7" t="n"/>
      <c r="J8268" s="7" t="n"/>
      <c r="K8268">
        <f>IF(D8268="Legitimate Interest (GDPR Art. 6(1)(f))", "Yes / Required (Sheet 3)", "")</f>
        <v/>
      </c>
      <c r="L8268" s="7" t="n"/>
      <c r="M8268" s="7" t="n"/>
      <c r="N8268">
        <f>IF(D8268="", "Gap - No Legal Basis", IF(AND(D8268="Consent (GDPR Art. 6(1)(a))", I8268="Not Captured"), "Gap - Invalid Consent", IF(AND(D8268="Legitimate Interest (GDPR Art. 6(1)(f))", L8268=""), "Gap - Missing LIA", IF(AND(G8268="Yes", H8268=""), "Gap - Missing Art. 9 Basis", IF(OR(I8268="Invalid - Not Freely Given", I8268="Invalid - Not Specific", I8268="Invalid - Not Informed", I8268="Invalid - Ambiguous"), "Gap - Invalid Consent", "Compliant")))))</f>
        <v/>
      </c>
      <c r="O8268" s="7" t="n"/>
    </row>
    <row r="8269">
      <c r="A8269" s="7" t="n"/>
      <c r="B8269" s="7" t="n"/>
      <c r="C8269" s="7" t="n"/>
      <c r="D8269" s="7" t="n"/>
      <c r="E8269" s="7" t="n"/>
      <c r="F8269" s="7" t="n"/>
      <c r="G8269" s="7" t="n"/>
      <c r="H8269" s="7" t="n"/>
      <c r="I8269" s="7" t="n"/>
      <c r="J8269" s="7" t="n"/>
      <c r="K8269">
        <f>IF(D8269="Legitimate Interest (GDPR Art. 6(1)(f))", "Yes / Required (Sheet 3)", "")</f>
        <v/>
      </c>
      <c r="L8269" s="7" t="n"/>
      <c r="M8269" s="7" t="n"/>
      <c r="N8269">
        <f>IF(D8269="", "Gap - No Legal Basis", IF(AND(D8269="Consent (GDPR Art. 6(1)(a))", I8269="Not Captured"), "Gap - Invalid Consent", IF(AND(D8269="Legitimate Interest (GDPR Art. 6(1)(f))", L8269=""), "Gap - Missing LIA", IF(AND(G8269="Yes", H8269=""), "Gap - Missing Art. 9 Basis", IF(OR(I8269="Invalid - Not Freely Given", I8269="Invalid - Not Specific", I8269="Invalid - Not Informed", I8269="Invalid - Ambiguous"), "Gap - Invalid Consent", "Compliant")))))</f>
        <v/>
      </c>
      <c r="O8269" s="7" t="n"/>
    </row>
    <row r="8270">
      <c r="A8270" s="7" t="n"/>
      <c r="B8270" s="7" t="n"/>
      <c r="C8270" s="7" t="n"/>
      <c r="D8270" s="7" t="n"/>
      <c r="E8270" s="7" t="n"/>
      <c r="F8270" s="7" t="n"/>
      <c r="G8270" s="7" t="n"/>
      <c r="H8270" s="7" t="n"/>
      <c r="I8270" s="7" t="n"/>
      <c r="J8270" s="7" t="n"/>
      <c r="K8270">
        <f>IF(D8270="Legitimate Interest (GDPR Art. 6(1)(f))", "Yes / Required (Sheet 3)", "")</f>
        <v/>
      </c>
      <c r="L8270" s="7" t="n"/>
      <c r="M8270" s="7" t="n"/>
      <c r="N8270">
        <f>IF(D8270="", "Gap - No Legal Basis", IF(AND(D8270="Consent (GDPR Art. 6(1)(a))", I8270="Not Captured"), "Gap - Invalid Consent", IF(AND(D8270="Legitimate Interest (GDPR Art. 6(1)(f))", L8270=""), "Gap - Missing LIA", IF(AND(G8270="Yes", H8270=""), "Gap - Missing Art. 9 Basis", IF(OR(I8270="Invalid - Not Freely Given", I8270="Invalid - Not Specific", I8270="Invalid - Not Informed", I8270="Invalid - Ambiguous"), "Gap - Invalid Consent", "Compliant")))))</f>
        <v/>
      </c>
      <c r="O8270" s="7" t="n"/>
    </row>
    <row r="8271">
      <c r="A8271" s="7" t="n"/>
      <c r="B8271" s="7" t="n"/>
      <c r="C8271" s="7" t="n"/>
      <c r="D8271" s="7" t="n"/>
      <c r="E8271" s="7" t="n"/>
      <c r="F8271" s="7" t="n"/>
      <c r="G8271" s="7" t="n"/>
      <c r="H8271" s="7" t="n"/>
      <c r="I8271" s="7" t="n"/>
      <c r="J8271" s="7" t="n"/>
      <c r="K8271">
        <f>IF(D8271="Legitimate Interest (GDPR Art. 6(1)(f))", "Yes / Required (Sheet 3)", "")</f>
        <v/>
      </c>
      <c r="L8271" s="7" t="n"/>
      <c r="M8271" s="7" t="n"/>
      <c r="N8271">
        <f>IF(D8271="", "Gap - No Legal Basis", IF(AND(D8271="Consent (GDPR Art. 6(1)(a))", I8271="Not Captured"), "Gap - Invalid Consent", IF(AND(D8271="Legitimate Interest (GDPR Art. 6(1)(f))", L8271=""), "Gap - Missing LIA", IF(AND(G8271="Yes", H8271=""), "Gap - Missing Art. 9 Basis", IF(OR(I8271="Invalid - Not Freely Given", I8271="Invalid - Not Specific", I8271="Invalid - Not Informed", I8271="Invalid - Ambiguous"), "Gap - Invalid Consent", "Compliant")))))</f>
        <v/>
      </c>
      <c r="O8271" s="7" t="n"/>
    </row>
    <row r="8272">
      <c r="A8272" s="7" t="n"/>
      <c r="B8272" s="7" t="n"/>
      <c r="C8272" s="7" t="n"/>
      <c r="D8272" s="7" t="n"/>
      <c r="E8272" s="7" t="n"/>
      <c r="F8272" s="7" t="n"/>
      <c r="G8272" s="7" t="n"/>
      <c r="H8272" s="7" t="n"/>
      <c r="I8272" s="7" t="n"/>
      <c r="J8272" s="7" t="n"/>
      <c r="K8272">
        <f>IF(D8272="Legitimate Interest (GDPR Art. 6(1)(f))", "Yes / Required (Sheet 3)", "")</f>
        <v/>
      </c>
      <c r="L8272" s="7" t="n"/>
      <c r="M8272" s="7" t="n"/>
      <c r="N8272">
        <f>IF(D8272="", "Gap - No Legal Basis", IF(AND(D8272="Consent (GDPR Art. 6(1)(a))", I8272="Not Captured"), "Gap - Invalid Consent", IF(AND(D8272="Legitimate Interest (GDPR Art. 6(1)(f))", L8272=""), "Gap - Missing LIA", IF(AND(G8272="Yes", H8272=""), "Gap - Missing Art. 9 Basis", IF(OR(I8272="Invalid - Not Freely Given", I8272="Invalid - Not Specific", I8272="Invalid - Not Informed", I8272="Invalid - Ambiguous"), "Gap - Invalid Consent", "Compliant")))))</f>
        <v/>
      </c>
      <c r="O8272" s="7" t="n"/>
    </row>
    <row r="8273">
      <c r="A8273" s="7" t="n"/>
      <c r="B8273" s="7" t="n"/>
      <c r="C8273" s="7" t="n"/>
      <c r="D8273" s="7" t="n"/>
      <c r="E8273" s="7" t="n"/>
      <c r="F8273" s="7" t="n"/>
      <c r="G8273" s="7" t="n"/>
      <c r="H8273" s="7" t="n"/>
      <c r="I8273" s="7" t="n"/>
      <c r="J8273" s="7" t="n"/>
      <c r="K8273">
        <f>IF(D8273="Legitimate Interest (GDPR Art. 6(1)(f))", "Yes / Required (Sheet 3)", "")</f>
        <v/>
      </c>
      <c r="L8273" s="7" t="n"/>
      <c r="M8273" s="7" t="n"/>
      <c r="N8273">
        <f>IF(D8273="", "Gap - No Legal Basis", IF(AND(D8273="Consent (GDPR Art. 6(1)(a))", I8273="Not Captured"), "Gap - Invalid Consent", IF(AND(D8273="Legitimate Interest (GDPR Art. 6(1)(f))", L8273=""), "Gap - Missing LIA", IF(AND(G8273="Yes", H8273=""), "Gap - Missing Art. 9 Basis", IF(OR(I8273="Invalid - Not Freely Given", I8273="Invalid - Not Specific", I8273="Invalid - Not Informed", I8273="Invalid - Ambiguous"), "Gap - Invalid Consent", "Compliant")))))</f>
        <v/>
      </c>
      <c r="O8273" s="7" t="n"/>
    </row>
    <row r="8274">
      <c r="A8274" s="7" t="n"/>
      <c r="B8274" s="7" t="n"/>
      <c r="C8274" s="7" t="n"/>
      <c r="D8274" s="7" t="n"/>
      <c r="E8274" s="7" t="n"/>
      <c r="F8274" s="7" t="n"/>
      <c r="G8274" s="7" t="n"/>
      <c r="H8274" s="7" t="n"/>
      <c r="I8274" s="7" t="n"/>
      <c r="J8274" s="7" t="n"/>
      <c r="K8274">
        <f>IF(D8274="Legitimate Interest (GDPR Art. 6(1)(f))", "Yes / Required (Sheet 3)", "")</f>
        <v/>
      </c>
      <c r="L8274" s="7" t="n"/>
      <c r="M8274" s="7" t="n"/>
      <c r="N8274">
        <f>IF(D8274="", "Gap - No Legal Basis", IF(AND(D8274="Consent (GDPR Art. 6(1)(a))", I8274="Not Captured"), "Gap - Invalid Consent", IF(AND(D8274="Legitimate Interest (GDPR Art. 6(1)(f))", L8274=""), "Gap - Missing LIA", IF(AND(G8274="Yes", H8274=""), "Gap - Missing Art. 9 Basis", IF(OR(I8274="Invalid - Not Freely Given", I8274="Invalid - Not Specific", I8274="Invalid - Not Informed", I8274="Invalid - Ambiguous"), "Gap - Invalid Consent", "Compliant")))))</f>
        <v/>
      </c>
      <c r="O8274" s="7" t="n"/>
    </row>
    <row r="8275">
      <c r="A8275" s="7" t="n"/>
      <c r="B8275" s="7" t="n"/>
      <c r="C8275" s="7" t="n"/>
      <c r="D8275" s="7" t="n"/>
      <c r="E8275" s="7" t="n"/>
      <c r="F8275" s="7" t="n"/>
      <c r="G8275" s="7" t="n"/>
      <c r="H8275" s="7" t="n"/>
      <c r="I8275" s="7" t="n"/>
      <c r="J8275" s="7" t="n"/>
      <c r="K8275">
        <f>IF(D8275="Legitimate Interest (GDPR Art. 6(1)(f))", "Yes / Required (Sheet 3)", "")</f>
        <v/>
      </c>
      <c r="L8275" s="7" t="n"/>
      <c r="M8275" s="7" t="n"/>
      <c r="N8275">
        <f>IF(D8275="", "Gap - No Legal Basis", IF(AND(D8275="Consent (GDPR Art. 6(1)(a))", I8275="Not Captured"), "Gap - Invalid Consent", IF(AND(D8275="Legitimate Interest (GDPR Art. 6(1)(f))", L8275=""), "Gap - Missing LIA", IF(AND(G8275="Yes", H8275=""), "Gap - Missing Art. 9 Basis", IF(OR(I8275="Invalid - Not Freely Given", I8275="Invalid - Not Specific", I8275="Invalid - Not Informed", I8275="Invalid - Ambiguous"), "Gap - Invalid Consent", "Compliant")))))</f>
        <v/>
      </c>
      <c r="O8275" s="7" t="n"/>
    </row>
    <row r="8276">
      <c r="A8276" s="7" t="n"/>
      <c r="B8276" s="7" t="n"/>
      <c r="C8276" s="7" t="n"/>
      <c r="D8276" s="7" t="n"/>
      <c r="E8276" s="7" t="n"/>
      <c r="F8276" s="7" t="n"/>
      <c r="G8276" s="7" t="n"/>
      <c r="H8276" s="7" t="n"/>
      <c r="I8276" s="7" t="n"/>
      <c r="J8276" s="7" t="n"/>
      <c r="K8276">
        <f>IF(D8276="Legitimate Interest (GDPR Art. 6(1)(f))", "Yes / Required (Sheet 3)", "")</f>
        <v/>
      </c>
      <c r="L8276" s="7" t="n"/>
      <c r="M8276" s="7" t="n"/>
      <c r="N8276">
        <f>IF(D8276="", "Gap - No Legal Basis", IF(AND(D8276="Consent (GDPR Art. 6(1)(a))", I8276="Not Captured"), "Gap - Invalid Consent", IF(AND(D8276="Legitimate Interest (GDPR Art. 6(1)(f))", L8276=""), "Gap - Missing LIA", IF(AND(G8276="Yes", H8276=""), "Gap - Missing Art. 9 Basis", IF(OR(I8276="Invalid - Not Freely Given", I8276="Invalid - Not Specific", I8276="Invalid - Not Informed", I8276="Invalid - Ambiguous"), "Gap - Invalid Consent", "Compliant")))))</f>
        <v/>
      </c>
      <c r="O8276" s="7" t="n"/>
    </row>
    <row r="8277">
      <c r="A8277" s="7" t="n"/>
      <c r="B8277" s="7" t="n"/>
      <c r="C8277" s="7" t="n"/>
      <c r="D8277" s="7" t="n"/>
      <c r="E8277" s="7" t="n"/>
      <c r="F8277" s="7" t="n"/>
      <c r="G8277" s="7" t="n"/>
      <c r="H8277" s="7" t="n"/>
      <c r="I8277" s="7" t="n"/>
      <c r="J8277" s="7" t="n"/>
      <c r="K8277">
        <f>IF(D8277="Legitimate Interest (GDPR Art. 6(1)(f))", "Yes / Required (Sheet 3)", "")</f>
        <v/>
      </c>
      <c r="L8277" s="7" t="n"/>
      <c r="M8277" s="7" t="n"/>
      <c r="N8277">
        <f>IF(D8277="", "Gap - No Legal Basis", IF(AND(D8277="Consent (GDPR Art. 6(1)(a))", I8277="Not Captured"), "Gap - Invalid Consent", IF(AND(D8277="Legitimate Interest (GDPR Art. 6(1)(f))", L8277=""), "Gap - Missing LIA", IF(AND(G8277="Yes", H8277=""), "Gap - Missing Art. 9 Basis", IF(OR(I8277="Invalid - Not Freely Given", I8277="Invalid - Not Specific", I8277="Invalid - Not Informed", I8277="Invalid - Ambiguous"), "Gap - Invalid Consent", "Compliant")))))</f>
        <v/>
      </c>
      <c r="O8277" s="7" t="n"/>
    </row>
    <row r="8278">
      <c r="A8278" s="7" t="n"/>
      <c r="B8278" s="7" t="n"/>
      <c r="C8278" s="7" t="n"/>
      <c r="D8278" s="7" t="n"/>
      <c r="E8278" s="7" t="n"/>
      <c r="F8278" s="7" t="n"/>
      <c r="G8278" s="7" t="n"/>
      <c r="H8278" s="7" t="n"/>
      <c r="I8278" s="7" t="n"/>
      <c r="J8278" s="7" t="n"/>
      <c r="K8278">
        <f>IF(D8278="Legitimate Interest (GDPR Art. 6(1)(f))", "Yes / Required (Sheet 3)", "")</f>
        <v/>
      </c>
      <c r="L8278" s="7" t="n"/>
      <c r="M8278" s="7" t="n"/>
      <c r="N8278">
        <f>IF(D8278="", "Gap - No Legal Basis", IF(AND(D8278="Consent (GDPR Art. 6(1)(a))", I8278="Not Captured"), "Gap - Invalid Consent", IF(AND(D8278="Legitimate Interest (GDPR Art. 6(1)(f))", L8278=""), "Gap - Missing LIA", IF(AND(G8278="Yes", H8278=""), "Gap - Missing Art. 9 Basis", IF(OR(I8278="Invalid - Not Freely Given", I8278="Invalid - Not Specific", I8278="Invalid - Not Informed", I8278="Invalid - Ambiguous"), "Gap - Invalid Consent", "Compliant")))))</f>
        <v/>
      </c>
      <c r="O8278" s="7" t="n"/>
    </row>
    <row r="8279">
      <c r="A8279" s="7" t="n"/>
      <c r="B8279" s="7" t="n"/>
      <c r="C8279" s="7" t="n"/>
      <c r="D8279" s="7" t="n"/>
      <c r="E8279" s="7" t="n"/>
      <c r="F8279" s="7" t="n"/>
      <c r="G8279" s="7" t="n"/>
      <c r="H8279" s="7" t="n"/>
      <c r="I8279" s="7" t="n"/>
      <c r="J8279" s="7" t="n"/>
      <c r="K8279">
        <f>IF(D8279="Legitimate Interest (GDPR Art. 6(1)(f))", "Yes / Required (Sheet 3)", "")</f>
        <v/>
      </c>
      <c r="L8279" s="7" t="n"/>
      <c r="M8279" s="7" t="n"/>
      <c r="N8279">
        <f>IF(D8279="", "Gap - No Legal Basis", IF(AND(D8279="Consent (GDPR Art. 6(1)(a))", I8279="Not Captured"), "Gap - Invalid Consent", IF(AND(D8279="Legitimate Interest (GDPR Art. 6(1)(f))", L8279=""), "Gap - Missing LIA", IF(AND(G8279="Yes", H8279=""), "Gap - Missing Art. 9 Basis", IF(OR(I8279="Invalid - Not Freely Given", I8279="Invalid - Not Specific", I8279="Invalid - Not Informed", I8279="Invalid - Ambiguous"), "Gap - Invalid Consent", "Compliant")))))</f>
        <v/>
      </c>
      <c r="O8279" s="7" t="n"/>
    </row>
    <row r="8280">
      <c r="A8280" s="7" t="n"/>
      <c r="B8280" s="7" t="n"/>
      <c r="C8280" s="7" t="n"/>
      <c r="D8280" s="7" t="n"/>
      <c r="E8280" s="7" t="n"/>
      <c r="F8280" s="7" t="n"/>
      <c r="G8280" s="7" t="n"/>
      <c r="H8280" s="7" t="n"/>
      <c r="I8280" s="7" t="n"/>
      <c r="J8280" s="7" t="n"/>
      <c r="K8280">
        <f>IF(D8280="Legitimate Interest (GDPR Art. 6(1)(f))", "Yes / Required (Sheet 3)", "")</f>
        <v/>
      </c>
      <c r="L8280" s="7" t="n"/>
      <c r="M8280" s="7" t="n"/>
      <c r="N8280">
        <f>IF(D8280="", "Gap - No Legal Basis", IF(AND(D8280="Consent (GDPR Art. 6(1)(a))", I8280="Not Captured"), "Gap - Invalid Consent", IF(AND(D8280="Legitimate Interest (GDPR Art. 6(1)(f))", L8280=""), "Gap - Missing LIA", IF(AND(G8280="Yes", H8280=""), "Gap - Missing Art. 9 Basis", IF(OR(I8280="Invalid - Not Freely Given", I8280="Invalid - Not Specific", I8280="Invalid - Not Informed", I8280="Invalid - Ambiguous"), "Gap - Invalid Consent", "Compliant")))))</f>
        <v/>
      </c>
      <c r="O8280" s="7" t="n"/>
    </row>
    <row r="8281">
      <c r="A8281" s="7" t="n"/>
      <c r="B8281" s="7" t="n"/>
      <c r="C8281" s="7" t="n"/>
      <c r="D8281" s="7" t="n"/>
      <c r="E8281" s="7" t="n"/>
      <c r="F8281" s="7" t="n"/>
      <c r="G8281" s="7" t="n"/>
      <c r="H8281" s="7" t="n"/>
      <c r="I8281" s="7" t="n"/>
      <c r="J8281" s="7" t="n"/>
      <c r="K8281">
        <f>IF(D8281="Legitimate Interest (GDPR Art. 6(1)(f))", "Yes / Required (Sheet 3)", "")</f>
        <v/>
      </c>
      <c r="L8281" s="7" t="n"/>
      <c r="M8281" s="7" t="n"/>
      <c r="N8281">
        <f>IF(D8281="", "Gap - No Legal Basis", IF(AND(D8281="Consent (GDPR Art. 6(1)(a))", I8281="Not Captured"), "Gap - Invalid Consent", IF(AND(D8281="Legitimate Interest (GDPR Art. 6(1)(f))", L8281=""), "Gap - Missing LIA", IF(AND(G8281="Yes", H8281=""), "Gap - Missing Art. 9 Basis", IF(OR(I8281="Invalid - Not Freely Given", I8281="Invalid - Not Specific", I8281="Invalid - Not Informed", I8281="Invalid - Ambiguous"), "Gap - Invalid Consent", "Compliant")))))</f>
        <v/>
      </c>
      <c r="O8281" s="7" t="n"/>
    </row>
    <row r="8282">
      <c r="A8282" s="7" t="n"/>
      <c r="B8282" s="7" t="n"/>
      <c r="C8282" s="7" t="n"/>
      <c r="D8282" s="7" t="n"/>
      <c r="E8282" s="7" t="n"/>
      <c r="F8282" s="7" t="n"/>
      <c r="G8282" s="7" t="n"/>
      <c r="H8282" s="7" t="n"/>
      <c r="I8282" s="7" t="n"/>
      <c r="J8282" s="7" t="n"/>
      <c r="K8282">
        <f>IF(D8282="Legitimate Interest (GDPR Art. 6(1)(f))", "Yes / Required (Sheet 3)", "")</f>
        <v/>
      </c>
      <c r="L8282" s="7" t="n"/>
      <c r="M8282" s="7" t="n"/>
      <c r="N8282">
        <f>IF(D8282="", "Gap - No Legal Basis", IF(AND(D8282="Consent (GDPR Art. 6(1)(a))", I8282="Not Captured"), "Gap - Invalid Consent", IF(AND(D8282="Legitimate Interest (GDPR Art. 6(1)(f))", L8282=""), "Gap - Missing LIA", IF(AND(G8282="Yes", H8282=""), "Gap - Missing Art. 9 Basis", IF(OR(I8282="Invalid - Not Freely Given", I8282="Invalid - Not Specific", I8282="Invalid - Not Informed", I8282="Invalid - Ambiguous"), "Gap - Invalid Consent", "Compliant")))))</f>
        <v/>
      </c>
      <c r="O8282" s="7" t="n"/>
    </row>
    <row r="8283">
      <c r="A8283" s="7" t="n"/>
      <c r="B8283" s="7" t="n"/>
      <c r="C8283" s="7" t="n"/>
      <c r="D8283" s="7" t="n"/>
      <c r="E8283" s="7" t="n"/>
      <c r="F8283" s="7" t="n"/>
      <c r="G8283" s="7" t="n"/>
      <c r="H8283" s="7" t="n"/>
      <c r="I8283" s="7" t="n"/>
      <c r="J8283" s="7" t="n"/>
      <c r="K8283">
        <f>IF(D8283="Legitimate Interest (GDPR Art. 6(1)(f))", "Yes / Required (Sheet 3)", "")</f>
        <v/>
      </c>
      <c r="L8283" s="7" t="n"/>
      <c r="M8283" s="7" t="n"/>
      <c r="N8283">
        <f>IF(D8283="", "Gap - No Legal Basis", IF(AND(D8283="Consent (GDPR Art. 6(1)(a))", I8283="Not Captured"), "Gap - Invalid Consent", IF(AND(D8283="Legitimate Interest (GDPR Art. 6(1)(f))", L8283=""), "Gap - Missing LIA", IF(AND(G8283="Yes", H8283=""), "Gap - Missing Art. 9 Basis", IF(OR(I8283="Invalid - Not Freely Given", I8283="Invalid - Not Specific", I8283="Invalid - Not Informed", I8283="Invalid - Ambiguous"), "Gap - Invalid Consent", "Compliant")))))</f>
        <v/>
      </c>
      <c r="O8283" s="7" t="n"/>
    </row>
    <row r="8284">
      <c r="A8284" s="7" t="n"/>
      <c r="B8284" s="7" t="n"/>
      <c r="C8284" s="7" t="n"/>
      <c r="D8284" s="7" t="n"/>
      <c r="E8284" s="7" t="n"/>
      <c r="F8284" s="7" t="n"/>
      <c r="G8284" s="7" t="n"/>
      <c r="H8284" s="7" t="n"/>
      <c r="I8284" s="7" t="n"/>
      <c r="J8284" s="7" t="n"/>
      <c r="K8284">
        <f>IF(D8284="Legitimate Interest (GDPR Art. 6(1)(f))", "Yes / Required (Sheet 3)", "")</f>
        <v/>
      </c>
      <c r="L8284" s="7" t="n"/>
      <c r="M8284" s="7" t="n"/>
      <c r="N8284">
        <f>IF(D8284="", "Gap - No Legal Basis", IF(AND(D8284="Consent (GDPR Art. 6(1)(a))", I8284="Not Captured"), "Gap - Invalid Consent", IF(AND(D8284="Legitimate Interest (GDPR Art. 6(1)(f))", L8284=""), "Gap - Missing LIA", IF(AND(G8284="Yes", H8284=""), "Gap - Missing Art. 9 Basis", IF(OR(I8284="Invalid - Not Freely Given", I8284="Invalid - Not Specific", I8284="Invalid - Not Informed", I8284="Invalid - Ambiguous"), "Gap - Invalid Consent", "Compliant")))))</f>
        <v/>
      </c>
      <c r="O8284" s="7" t="n"/>
    </row>
    <row r="8285">
      <c r="A8285" s="7" t="n"/>
      <c r="B8285" s="7" t="n"/>
      <c r="C8285" s="7" t="n"/>
      <c r="D8285" s="7" t="n"/>
      <c r="E8285" s="7" t="n"/>
      <c r="F8285" s="7" t="n"/>
      <c r="G8285" s="7" t="n"/>
      <c r="H8285" s="7" t="n"/>
      <c r="I8285" s="7" t="n"/>
      <c r="J8285" s="7" t="n"/>
      <c r="K8285">
        <f>IF(D8285="Legitimate Interest (GDPR Art. 6(1)(f))", "Yes / Required (Sheet 3)", "")</f>
        <v/>
      </c>
      <c r="L8285" s="7" t="n"/>
      <c r="M8285" s="7" t="n"/>
      <c r="N8285">
        <f>IF(D8285="", "Gap - No Legal Basis", IF(AND(D8285="Consent (GDPR Art. 6(1)(a))", I8285="Not Captured"), "Gap - Invalid Consent", IF(AND(D8285="Legitimate Interest (GDPR Art. 6(1)(f))", L8285=""), "Gap - Missing LIA", IF(AND(G8285="Yes", H8285=""), "Gap - Missing Art. 9 Basis", IF(OR(I8285="Invalid - Not Freely Given", I8285="Invalid - Not Specific", I8285="Invalid - Not Informed", I8285="Invalid - Ambiguous"), "Gap - Invalid Consent", "Compliant")))))</f>
        <v/>
      </c>
      <c r="O8285" s="7" t="n"/>
    </row>
    <row r="8286">
      <c r="A8286" s="7" t="n"/>
      <c r="B8286" s="7" t="n"/>
      <c r="C8286" s="7" t="n"/>
      <c r="D8286" s="7" t="n"/>
      <c r="E8286" s="7" t="n"/>
      <c r="F8286" s="7" t="n"/>
      <c r="G8286" s="7" t="n"/>
      <c r="H8286" s="7" t="n"/>
      <c r="I8286" s="7" t="n"/>
      <c r="J8286" s="7" t="n"/>
      <c r="K8286">
        <f>IF(D8286="Legitimate Interest (GDPR Art. 6(1)(f))", "Yes / Required (Sheet 3)", "")</f>
        <v/>
      </c>
      <c r="L8286" s="7" t="n"/>
      <c r="M8286" s="7" t="n"/>
      <c r="N8286">
        <f>IF(D8286="", "Gap - No Legal Basis", IF(AND(D8286="Consent (GDPR Art. 6(1)(a))", I8286="Not Captured"), "Gap - Invalid Consent", IF(AND(D8286="Legitimate Interest (GDPR Art. 6(1)(f))", L8286=""), "Gap - Missing LIA", IF(AND(G8286="Yes", H8286=""), "Gap - Missing Art. 9 Basis", IF(OR(I8286="Invalid - Not Freely Given", I8286="Invalid - Not Specific", I8286="Invalid - Not Informed", I8286="Invalid - Ambiguous"), "Gap - Invalid Consent", "Compliant")))))</f>
        <v/>
      </c>
      <c r="O8286" s="7" t="n"/>
    </row>
    <row r="8287">
      <c r="A8287" s="7" t="n"/>
      <c r="B8287" s="7" t="n"/>
      <c r="C8287" s="7" t="n"/>
      <c r="D8287" s="7" t="n"/>
      <c r="E8287" s="7" t="n"/>
      <c r="F8287" s="7" t="n"/>
      <c r="G8287" s="7" t="n"/>
      <c r="H8287" s="7" t="n"/>
      <c r="I8287" s="7" t="n"/>
      <c r="J8287" s="7" t="n"/>
      <c r="K8287">
        <f>IF(D8287="Legitimate Interest (GDPR Art. 6(1)(f))", "Yes / Required (Sheet 3)", "")</f>
        <v/>
      </c>
      <c r="L8287" s="7" t="n"/>
      <c r="M8287" s="7" t="n"/>
      <c r="N8287">
        <f>IF(D8287="", "Gap - No Legal Basis", IF(AND(D8287="Consent (GDPR Art. 6(1)(a))", I8287="Not Captured"), "Gap - Invalid Consent", IF(AND(D8287="Legitimate Interest (GDPR Art. 6(1)(f))", L8287=""), "Gap - Missing LIA", IF(AND(G8287="Yes", H8287=""), "Gap - Missing Art. 9 Basis", IF(OR(I8287="Invalid - Not Freely Given", I8287="Invalid - Not Specific", I8287="Invalid - Not Informed", I8287="Invalid - Ambiguous"), "Gap - Invalid Consent", "Compliant")))))</f>
        <v/>
      </c>
      <c r="O8287" s="7" t="n"/>
    </row>
    <row r="8288">
      <c r="A8288" s="7" t="n"/>
      <c r="B8288" s="7" t="n"/>
      <c r="C8288" s="7" t="n"/>
      <c r="D8288" s="7" t="n"/>
      <c r="E8288" s="7" t="n"/>
      <c r="F8288" s="7" t="n"/>
      <c r="G8288" s="7" t="n"/>
      <c r="H8288" s="7" t="n"/>
      <c r="I8288" s="7" t="n"/>
      <c r="J8288" s="7" t="n"/>
      <c r="K8288">
        <f>IF(D8288="Legitimate Interest (GDPR Art. 6(1)(f))", "Yes / Required (Sheet 3)", "")</f>
        <v/>
      </c>
      <c r="L8288" s="7" t="n"/>
      <c r="M8288" s="7" t="n"/>
      <c r="N8288">
        <f>IF(D8288="", "Gap - No Legal Basis", IF(AND(D8288="Consent (GDPR Art. 6(1)(a))", I8288="Not Captured"), "Gap - Invalid Consent", IF(AND(D8288="Legitimate Interest (GDPR Art. 6(1)(f))", L8288=""), "Gap - Missing LIA", IF(AND(G8288="Yes", H8288=""), "Gap - Missing Art. 9 Basis", IF(OR(I8288="Invalid - Not Freely Given", I8288="Invalid - Not Specific", I8288="Invalid - Not Informed", I8288="Invalid - Ambiguous"), "Gap - Invalid Consent", "Compliant")))))</f>
        <v/>
      </c>
      <c r="O8288" s="7" t="n"/>
    </row>
    <row r="8289">
      <c r="A8289" s="7" t="n"/>
      <c r="B8289" s="7" t="n"/>
      <c r="C8289" s="7" t="n"/>
      <c r="D8289" s="7" t="n"/>
      <c r="E8289" s="7" t="n"/>
      <c r="F8289" s="7" t="n"/>
      <c r="G8289" s="7" t="n"/>
      <c r="H8289" s="7" t="n"/>
      <c r="I8289" s="7" t="n"/>
      <c r="J8289" s="7" t="n"/>
      <c r="K8289">
        <f>IF(D8289="Legitimate Interest (GDPR Art. 6(1)(f))", "Yes / Required (Sheet 3)", "")</f>
        <v/>
      </c>
      <c r="L8289" s="7" t="n"/>
      <c r="M8289" s="7" t="n"/>
      <c r="N8289">
        <f>IF(D8289="", "Gap - No Legal Basis", IF(AND(D8289="Consent (GDPR Art. 6(1)(a))", I8289="Not Captured"), "Gap - Invalid Consent", IF(AND(D8289="Legitimate Interest (GDPR Art. 6(1)(f))", L8289=""), "Gap - Missing LIA", IF(AND(G8289="Yes", H8289=""), "Gap - Missing Art. 9 Basis", IF(OR(I8289="Invalid - Not Freely Given", I8289="Invalid - Not Specific", I8289="Invalid - Not Informed", I8289="Invalid - Ambiguous"), "Gap - Invalid Consent", "Compliant")))))</f>
        <v/>
      </c>
      <c r="O8289" s="7" t="n"/>
    </row>
    <row r="8290">
      <c r="A8290" s="7" t="n"/>
      <c r="B8290" s="7" t="n"/>
      <c r="C8290" s="7" t="n"/>
      <c r="D8290" s="7" t="n"/>
      <c r="E8290" s="7" t="n"/>
      <c r="F8290" s="7" t="n"/>
      <c r="G8290" s="7" t="n"/>
      <c r="H8290" s="7" t="n"/>
      <c r="I8290" s="7" t="n"/>
      <c r="J8290" s="7" t="n"/>
      <c r="K8290">
        <f>IF(D8290="Legitimate Interest (GDPR Art. 6(1)(f))", "Yes / Required (Sheet 3)", "")</f>
        <v/>
      </c>
      <c r="L8290" s="7" t="n"/>
      <c r="M8290" s="7" t="n"/>
      <c r="N8290">
        <f>IF(D8290="", "Gap - No Legal Basis", IF(AND(D8290="Consent (GDPR Art. 6(1)(a))", I8290="Not Captured"), "Gap - Invalid Consent", IF(AND(D8290="Legitimate Interest (GDPR Art. 6(1)(f))", L8290=""), "Gap - Missing LIA", IF(AND(G8290="Yes", H8290=""), "Gap - Missing Art. 9 Basis", IF(OR(I8290="Invalid - Not Freely Given", I8290="Invalid - Not Specific", I8290="Invalid - Not Informed", I8290="Invalid - Ambiguous"), "Gap - Invalid Consent", "Compliant")))))</f>
        <v/>
      </c>
      <c r="O8290" s="7" t="n"/>
    </row>
    <row r="8291">
      <c r="A8291" s="7" t="n"/>
      <c r="B8291" s="7" t="n"/>
      <c r="C8291" s="7" t="n"/>
      <c r="D8291" s="7" t="n"/>
      <c r="E8291" s="7" t="n"/>
      <c r="F8291" s="7" t="n"/>
      <c r="G8291" s="7" t="n"/>
      <c r="H8291" s="7" t="n"/>
      <c r="I8291" s="7" t="n"/>
      <c r="J8291" s="7" t="n"/>
      <c r="K8291">
        <f>IF(D8291="Legitimate Interest (GDPR Art. 6(1)(f))", "Yes / Required (Sheet 3)", "")</f>
        <v/>
      </c>
      <c r="L8291" s="7" t="n"/>
      <c r="M8291" s="7" t="n"/>
      <c r="N8291">
        <f>IF(D8291="", "Gap - No Legal Basis", IF(AND(D8291="Consent (GDPR Art. 6(1)(a))", I8291="Not Captured"), "Gap - Invalid Consent", IF(AND(D8291="Legitimate Interest (GDPR Art. 6(1)(f))", L8291=""), "Gap - Missing LIA", IF(AND(G8291="Yes", H8291=""), "Gap - Missing Art. 9 Basis", IF(OR(I8291="Invalid - Not Freely Given", I8291="Invalid - Not Specific", I8291="Invalid - Not Informed", I8291="Invalid - Ambiguous"), "Gap - Invalid Consent", "Compliant")))))</f>
        <v/>
      </c>
      <c r="O8291" s="7" t="n"/>
    </row>
    <row r="8292">
      <c r="A8292" s="7" t="n"/>
      <c r="B8292" s="7" t="n"/>
      <c r="C8292" s="7" t="n"/>
      <c r="D8292" s="7" t="n"/>
      <c r="E8292" s="7" t="n"/>
      <c r="F8292" s="7" t="n"/>
      <c r="G8292" s="7" t="n"/>
      <c r="H8292" s="7" t="n"/>
      <c r="I8292" s="7" t="n"/>
      <c r="J8292" s="7" t="n"/>
      <c r="K8292">
        <f>IF(D8292="Legitimate Interest (GDPR Art. 6(1)(f))", "Yes / Required (Sheet 3)", "")</f>
        <v/>
      </c>
      <c r="L8292" s="7" t="n"/>
      <c r="M8292" s="7" t="n"/>
      <c r="N8292">
        <f>IF(D8292="", "Gap - No Legal Basis", IF(AND(D8292="Consent (GDPR Art. 6(1)(a))", I8292="Not Captured"), "Gap - Invalid Consent", IF(AND(D8292="Legitimate Interest (GDPR Art. 6(1)(f))", L8292=""), "Gap - Missing LIA", IF(AND(G8292="Yes", H8292=""), "Gap - Missing Art. 9 Basis", IF(OR(I8292="Invalid - Not Freely Given", I8292="Invalid - Not Specific", I8292="Invalid - Not Informed", I8292="Invalid - Ambiguous"), "Gap - Invalid Consent", "Compliant")))))</f>
        <v/>
      </c>
      <c r="O8292" s="7" t="n"/>
    </row>
    <row r="8293">
      <c r="A8293" s="7" t="n"/>
      <c r="B8293" s="7" t="n"/>
      <c r="C8293" s="7" t="n"/>
      <c r="D8293" s="7" t="n"/>
      <c r="E8293" s="7" t="n"/>
      <c r="F8293" s="7" t="n"/>
      <c r="G8293" s="7" t="n"/>
      <c r="H8293" s="7" t="n"/>
      <c r="I8293" s="7" t="n"/>
      <c r="J8293" s="7" t="n"/>
      <c r="K8293">
        <f>IF(D8293="Legitimate Interest (GDPR Art. 6(1)(f))", "Yes / Required (Sheet 3)", "")</f>
        <v/>
      </c>
      <c r="L8293" s="7" t="n"/>
      <c r="M8293" s="7" t="n"/>
      <c r="N8293">
        <f>IF(D8293="", "Gap - No Legal Basis", IF(AND(D8293="Consent (GDPR Art. 6(1)(a))", I8293="Not Captured"), "Gap - Invalid Consent", IF(AND(D8293="Legitimate Interest (GDPR Art. 6(1)(f))", L8293=""), "Gap - Missing LIA", IF(AND(G8293="Yes", H8293=""), "Gap - Missing Art. 9 Basis", IF(OR(I8293="Invalid - Not Freely Given", I8293="Invalid - Not Specific", I8293="Invalid - Not Informed", I8293="Invalid - Ambiguous"), "Gap - Invalid Consent", "Compliant")))))</f>
        <v/>
      </c>
      <c r="O8293" s="7" t="n"/>
    </row>
    <row r="8294">
      <c r="A8294" s="7" t="n"/>
      <c r="B8294" s="7" t="n"/>
      <c r="C8294" s="7" t="n"/>
      <c r="D8294" s="7" t="n"/>
      <c r="E8294" s="7" t="n"/>
      <c r="F8294" s="7" t="n"/>
      <c r="G8294" s="7" t="n"/>
      <c r="H8294" s="7" t="n"/>
      <c r="I8294" s="7" t="n"/>
      <c r="J8294" s="7" t="n"/>
      <c r="K8294">
        <f>IF(D8294="Legitimate Interest (GDPR Art. 6(1)(f))", "Yes / Required (Sheet 3)", "")</f>
        <v/>
      </c>
      <c r="L8294" s="7" t="n"/>
      <c r="M8294" s="7" t="n"/>
      <c r="N8294">
        <f>IF(D8294="", "Gap - No Legal Basis", IF(AND(D8294="Consent (GDPR Art. 6(1)(a))", I8294="Not Captured"), "Gap - Invalid Consent", IF(AND(D8294="Legitimate Interest (GDPR Art. 6(1)(f))", L8294=""), "Gap - Missing LIA", IF(AND(G8294="Yes", H8294=""), "Gap - Missing Art. 9 Basis", IF(OR(I8294="Invalid - Not Freely Given", I8294="Invalid - Not Specific", I8294="Invalid - Not Informed", I8294="Invalid - Ambiguous"), "Gap - Invalid Consent", "Compliant")))))</f>
        <v/>
      </c>
      <c r="O8294" s="7" t="n"/>
    </row>
    <row r="8295">
      <c r="A8295" s="7" t="n"/>
      <c r="B8295" s="7" t="n"/>
      <c r="C8295" s="7" t="n"/>
      <c r="D8295" s="7" t="n"/>
      <c r="E8295" s="7" t="n"/>
      <c r="F8295" s="7" t="n"/>
      <c r="G8295" s="7" t="n"/>
      <c r="H8295" s="7" t="n"/>
      <c r="I8295" s="7" t="n"/>
      <c r="J8295" s="7" t="n"/>
      <c r="K8295">
        <f>IF(D8295="Legitimate Interest (GDPR Art. 6(1)(f))", "Yes / Required (Sheet 3)", "")</f>
        <v/>
      </c>
      <c r="L8295" s="7" t="n"/>
      <c r="M8295" s="7" t="n"/>
      <c r="N8295">
        <f>IF(D8295="", "Gap - No Legal Basis", IF(AND(D8295="Consent (GDPR Art. 6(1)(a))", I8295="Not Captured"), "Gap - Invalid Consent", IF(AND(D8295="Legitimate Interest (GDPR Art. 6(1)(f))", L8295=""), "Gap - Missing LIA", IF(AND(G8295="Yes", H8295=""), "Gap - Missing Art. 9 Basis", IF(OR(I8295="Invalid - Not Freely Given", I8295="Invalid - Not Specific", I8295="Invalid - Not Informed", I8295="Invalid - Ambiguous"), "Gap - Invalid Consent", "Compliant")))))</f>
        <v/>
      </c>
      <c r="O8295" s="7" t="n"/>
    </row>
    <row r="8296">
      <c r="A8296" s="7" t="n"/>
      <c r="B8296" s="7" t="n"/>
      <c r="C8296" s="7" t="n"/>
      <c r="D8296" s="7" t="n"/>
      <c r="E8296" s="7" t="n"/>
      <c r="F8296" s="7" t="n"/>
      <c r="G8296" s="7" t="n"/>
      <c r="H8296" s="7" t="n"/>
      <c r="I8296" s="7" t="n"/>
      <c r="J8296" s="7" t="n"/>
      <c r="K8296">
        <f>IF(D8296="Legitimate Interest (GDPR Art. 6(1)(f))", "Yes / Required (Sheet 3)", "")</f>
        <v/>
      </c>
      <c r="L8296" s="7" t="n"/>
      <c r="M8296" s="7" t="n"/>
      <c r="N8296">
        <f>IF(D8296="", "Gap - No Legal Basis", IF(AND(D8296="Consent (GDPR Art. 6(1)(a))", I8296="Not Captured"), "Gap - Invalid Consent", IF(AND(D8296="Legitimate Interest (GDPR Art. 6(1)(f))", L8296=""), "Gap - Missing LIA", IF(AND(G8296="Yes", H8296=""), "Gap - Missing Art. 9 Basis", IF(OR(I8296="Invalid - Not Freely Given", I8296="Invalid - Not Specific", I8296="Invalid - Not Informed", I8296="Invalid - Ambiguous"), "Gap - Invalid Consent", "Compliant")))))</f>
        <v/>
      </c>
      <c r="O8296" s="7" t="n"/>
    </row>
    <row r="8297">
      <c r="A8297" s="7" t="n"/>
      <c r="B8297" s="7" t="n"/>
      <c r="C8297" s="7" t="n"/>
      <c r="D8297" s="7" t="n"/>
      <c r="E8297" s="7" t="n"/>
      <c r="F8297" s="7" t="n"/>
      <c r="G8297" s="7" t="n"/>
      <c r="H8297" s="7" t="n"/>
      <c r="I8297" s="7" t="n"/>
      <c r="J8297" s="7" t="n"/>
      <c r="K8297">
        <f>IF(D8297="Legitimate Interest (GDPR Art. 6(1)(f))", "Yes / Required (Sheet 3)", "")</f>
        <v/>
      </c>
      <c r="L8297" s="7" t="n"/>
      <c r="M8297" s="7" t="n"/>
      <c r="N8297">
        <f>IF(D8297="", "Gap - No Legal Basis", IF(AND(D8297="Consent (GDPR Art. 6(1)(a))", I8297="Not Captured"), "Gap - Invalid Consent", IF(AND(D8297="Legitimate Interest (GDPR Art. 6(1)(f))", L8297=""), "Gap - Missing LIA", IF(AND(G8297="Yes", H8297=""), "Gap - Missing Art. 9 Basis", IF(OR(I8297="Invalid - Not Freely Given", I8297="Invalid - Not Specific", I8297="Invalid - Not Informed", I8297="Invalid - Ambiguous"), "Gap - Invalid Consent", "Compliant")))))</f>
        <v/>
      </c>
      <c r="O8297" s="7" t="n"/>
    </row>
    <row r="8298">
      <c r="A8298" s="7" t="n"/>
      <c r="B8298" s="7" t="n"/>
      <c r="C8298" s="7" t="n"/>
      <c r="D8298" s="7" t="n"/>
      <c r="E8298" s="7" t="n"/>
      <c r="F8298" s="7" t="n"/>
      <c r="G8298" s="7" t="n"/>
      <c r="H8298" s="7" t="n"/>
      <c r="I8298" s="7" t="n"/>
      <c r="J8298" s="7" t="n"/>
      <c r="K8298">
        <f>IF(D8298="Legitimate Interest (GDPR Art. 6(1)(f))", "Yes / Required (Sheet 3)", "")</f>
        <v/>
      </c>
      <c r="L8298" s="7" t="n"/>
      <c r="M8298" s="7" t="n"/>
      <c r="N8298">
        <f>IF(D8298="", "Gap - No Legal Basis", IF(AND(D8298="Consent (GDPR Art. 6(1)(a))", I8298="Not Captured"), "Gap - Invalid Consent", IF(AND(D8298="Legitimate Interest (GDPR Art. 6(1)(f))", L8298=""), "Gap - Missing LIA", IF(AND(G8298="Yes", H8298=""), "Gap - Missing Art. 9 Basis", IF(OR(I8298="Invalid - Not Freely Given", I8298="Invalid - Not Specific", I8298="Invalid - Not Informed", I8298="Invalid - Ambiguous"), "Gap - Invalid Consent", "Compliant")))))</f>
        <v/>
      </c>
      <c r="O8298" s="7" t="n"/>
    </row>
    <row r="8299">
      <c r="A8299" s="7" t="n"/>
      <c r="B8299" s="7" t="n"/>
      <c r="C8299" s="7" t="n"/>
      <c r="D8299" s="7" t="n"/>
      <c r="E8299" s="7" t="n"/>
      <c r="F8299" s="7" t="n"/>
      <c r="G8299" s="7" t="n"/>
      <c r="H8299" s="7" t="n"/>
      <c r="I8299" s="7" t="n"/>
      <c r="J8299" s="7" t="n"/>
      <c r="K8299">
        <f>IF(D8299="Legitimate Interest (GDPR Art. 6(1)(f))", "Yes / Required (Sheet 3)", "")</f>
        <v/>
      </c>
      <c r="L8299" s="7" t="n"/>
      <c r="M8299" s="7" t="n"/>
      <c r="N8299">
        <f>IF(D8299="", "Gap - No Legal Basis", IF(AND(D8299="Consent (GDPR Art. 6(1)(a))", I8299="Not Captured"), "Gap - Invalid Consent", IF(AND(D8299="Legitimate Interest (GDPR Art. 6(1)(f))", L8299=""), "Gap - Missing LIA", IF(AND(G8299="Yes", H8299=""), "Gap - Missing Art. 9 Basis", IF(OR(I8299="Invalid - Not Freely Given", I8299="Invalid - Not Specific", I8299="Invalid - Not Informed", I8299="Invalid - Ambiguous"), "Gap - Invalid Consent", "Compliant")))))</f>
        <v/>
      </c>
      <c r="O8299" s="7" t="n"/>
    </row>
    <row r="8300">
      <c r="A8300" s="7" t="n"/>
      <c r="B8300" s="7" t="n"/>
      <c r="C8300" s="7" t="n"/>
      <c r="D8300" s="7" t="n"/>
      <c r="E8300" s="7" t="n"/>
      <c r="F8300" s="7" t="n"/>
      <c r="G8300" s="7" t="n"/>
      <c r="H8300" s="7" t="n"/>
      <c r="I8300" s="7" t="n"/>
      <c r="J8300" s="7" t="n"/>
      <c r="K8300">
        <f>IF(D8300="Legitimate Interest (GDPR Art. 6(1)(f))", "Yes / Required (Sheet 3)", "")</f>
        <v/>
      </c>
      <c r="L8300" s="7" t="n"/>
      <c r="M8300" s="7" t="n"/>
      <c r="N8300">
        <f>IF(D8300="", "Gap - No Legal Basis", IF(AND(D8300="Consent (GDPR Art. 6(1)(a))", I8300="Not Captured"), "Gap - Invalid Consent", IF(AND(D8300="Legitimate Interest (GDPR Art. 6(1)(f))", L8300=""), "Gap - Missing LIA", IF(AND(G8300="Yes", H8300=""), "Gap - Missing Art. 9 Basis", IF(OR(I8300="Invalid - Not Freely Given", I8300="Invalid - Not Specific", I8300="Invalid - Not Informed", I8300="Invalid - Ambiguous"), "Gap - Invalid Consent", "Compliant")))))</f>
        <v/>
      </c>
      <c r="O8300" s="7" t="n"/>
    </row>
    <row r="8301">
      <c r="A8301" s="7" t="n"/>
      <c r="B8301" s="7" t="n"/>
      <c r="C8301" s="7" t="n"/>
      <c r="D8301" s="7" t="n"/>
      <c r="E8301" s="7" t="n"/>
      <c r="F8301" s="7" t="n"/>
      <c r="G8301" s="7" t="n"/>
      <c r="H8301" s="7" t="n"/>
      <c r="I8301" s="7" t="n"/>
      <c r="J8301" s="7" t="n"/>
      <c r="K8301">
        <f>IF(D8301="Legitimate Interest (GDPR Art. 6(1)(f))", "Yes / Required (Sheet 3)", "")</f>
        <v/>
      </c>
      <c r="L8301" s="7" t="n"/>
      <c r="M8301" s="7" t="n"/>
      <c r="N8301">
        <f>IF(D8301="", "Gap - No Legal Basis", IF(AND(D8301="Consent (GDPR Art. 6(1)(a))", I8301="Not Captured"), "Gap - Invalid Consent", IF(AND(D8301="Legitimate Interest (GDPR Art. 6(1)(f))", L8301=""), "Gap - Missing LIA", IF(AND(G8301="Yes", H8301=""), "Gap - Missing Art. 9 Basis", IF(OR(I8301="Invalid - Not Freely Given", I8301="Invalid - Not Specific", I8301="Invalid - Not Informed", I8301="Invalid - Ambiguous"), "Gap - Invalid Consent", "Compliant")))))</f>
        <v/>
      </c>
      <c r="O8301" s="7" t="n"/>
    </row>
    <row r="8302">
      <c r="A8302" s="7" t="n"/>
      <c r="B8302" s="7" t="n"/>
      <c r="C8302" s="7" t="n"/>
      <c r="D8302" s="7" t="n"/>
      <c r="E8302" s="7" t="n"/>
      <c r="F8302" s="7" t="n"/>
      <c r="G8302" s="7" t="n"/>
      <c r="H8302" s="7" t="n"/>
      <c r="I8302" s="7" t="n"/>
      <c r="J8302" s="7" t="n"/>
      <c r="K8302">
        <f>IF(D8302="Legitimate Interest (GDPR Art. 6(1)(f))", "Yes / Required (Sheet 3)", "")</f>
        <v/>
      </c>
      <c r="L8302" s="7" t="n"/>
      <c r="M8302" s="7" t="n"/>
      <c r="N8302">
        <f>IF(D8302="", "Gap - No Legal Basis", IF(AND(D8302="Consent (GDPR Art. 6(1)(a))", I8302="Not Captured"), "Gap - Invalid Consent", IF(AND(D8302="Legitimate Interest (GDPR Art. 6(1)(f))", L8302=""), "Gap - Missing LIA", IF(AND(G8302="Yes", H8302=""), "Gap - Missing Art. 9 Basis", IF(OR(I8302="Invalid - Not Freely Given", I8302="Invalid - Not Specific", I8302="Invalid - Not Informed", I8302="Invalid - Ambiguous"), "Gap - Invalid Consent", "Compliant")))))</f>
        <v/>
      </c>
      <c r="O8302" s="7" t="n"/>
    </row>
    <row r="8303">
      <c r="A8303" s="7" t="n"/>
      <c r="B8303" s="7" t="n"/>
      <c r="C8303" s="7" t="n"/>
      <c r="D8303" s="7" t="n"/>
      <c r="E8303" s="7" t="n"/>
      <c r="F8303" s="7" t="n"/>
      <c r="G8303" s="7" t="n"/>
      <c r="H8303" s="7" t="n"/>
      <c r="I8303" s="7" t="n"/>
      <c r="J8303" s="7" t="n"/>
      <c r="K8303">
        <f>IF(D8303="Legitimate Interest (GDPR Art. 6(1)(f))", "Yes / Required (Sheet 3)", "")</f>
        <v/>
      </c>
      <c r="L8303" s="7" t="n"/>
      <c r="M8303" s="7" t="n"/>
      <c r="N8303">
        <f>IF(D8303="", "Gap - No Legal Basis", IF(AND(D8303="Consent (GDPR Art. 6(1)(a))", I8303="Not Captured"), "Gap - Invalid Consent", IF(AND(D8303="Legitimate Interest (GDPR Art. 6(1)(f))", L8303=""), "Gap - Missing LIA", IF(AND(G8303="Yes", H8303=""), "Gap - Missing Art. 9 Basis", IF(OR(I8303="Invalid - Not Freely Given", I8303="Invalid - Not Specific", I8303="Invalid - Not Informed", I8303="Invalid - Ambiguous"), "Gap - Invalid Consent", "Compliant")))))</f>
        <v/>
      </c>
      <c r="O8303" s="7" t="n"/>
    </row>
    <row r="8304">
      <c r="A8304" s="7" t="n"/>
      <c r="B8304" s="7" t="n"/>
      <c r="C8304" s="7" t="n"/>
      <c r="D8304" s="7" t="n"/>
      <c r="E8304" s="7" t="n"/>
      <c r="F8304" s="7" t="n"/>
      <c r="G8304" s="7" t="n"/>
      <c r="H8304" s="7" t="n"/>
      <c r="I8304" s="7" t="n"/>
      <c r="J8304" s="7" t="n"/>
      <c r="K8304">
        <f>IF(D8304="Legitimate Interest (GDPR Art. 6(1)(f))", "Yes / Required (Sheet 3)", "")</f>
        <v/>
      </c>
      <c r="L8304" s="7" t="n"/>
      <c r="M8304" s="7" t="n"/>
      <c r="N8304">
        <f>IF(D8304="", "Gap - No Legal Basis", IF(AND(D8304="Consent (GDPR Art. 6(1)(a))", I8304="Not Captured"), "Gap - Invalid Consent", IF(AND(D8304="Legitimate Interest (GDPR Art. 6(1)(f))", L8304=""), "Gap - Missing LIA", IF(AND(G8304="Yes", H8304=""), "Gap - Missing Art. 9 Basis", IF(OR(I8304="Invalid - Not Freely Given", I8304="Invalid - Not Specific", I8304="Invalid - Not Informed", I8304="Invalid - Ambiguous"), "Gap - Invalid Consent", "Compliant")))))</f>
        <v/>
      </c>
      <c r="O8304" s="7" t="n"/>
    </row>
    <row r="8305">
      <c r="A8305" s="7" t="n"/>
      <c r="B8305" s="7" t="n"/>
      <c r="C8305" s="7" t="n"/>
      <c r="D8305" s="7" t="n"/>
      <c r="E8305" s="7" t="n"/>
      <c r="F8305" s="7" t="n"/>
      <c r="G8305" s="7" t="n"/>
      <c r="H8305" s="7" t="n"/>
      <c r="I8305" s="7" t="n"/>
      <c r="J8305" s="7" t="n"/>
      <c r="K8305">
        <f>IF(D8305="Legitimate Interest (GDPR Art. 6(1)(f))", "Yes / Required (Sheet 3)", "")</f>
        <v/>
      </c>
      <c r="L8305" s="7" t="n"/>
      <c r="M8305" s="7" t="n"/>
      <c r="N8305">
        <f>IF(D8305="", "Gap - No Legal Basis", IF(AND(D8305="Consent (GDPR Art. 6(1)(a))", I8305="Not Captured"), "Gap - Invalid Consent", IF(AND(D8305="Legitimate Interest (GDPR Art. 6(1)(f))", L8305=""), "Gap - Missing LIA", IF(AND(G8305="Yes", H8305=""), "Gap - Missing Art. 9 Basis", IF(OR(I8305="Invalid - Not Freely Given", I8305="Invalid - Not Specific", I8305="Invalid - Not Informed", I8305="Invalid - Ambiguous"), "Gap - Invalid Consent", "Compliant")))))</f>
        <v/>
      </c>
      <c r="O8305" s="7" t="n"/>
    </row>
    <row r="8306">
      <c r="A8306" s="7" t="n"/>
      <c r="B8306" s="7" t="n"/>
      <c r="C8306" s="7" t="n"/>
      <c r="D8306" s="7" t="n"/>
      <c r="E8306" s="7" t="n"/>
      <c r="F8306" s="7" t="n"/>
      <c r="G8306" s="7" t="n"/>
      <c r="H8306" s="7" t="n"/>
      <c r="I8306" s="7" t="n"/>
      <c r="J8306" s="7" t="n"/>
      <c r="K8306">
        <f>IF(D8306="Legitimate Interest (GDPR Art. 6(1)(f))", "Yes / Required (Sheet 3)", "")</f>
        <v/>
      </c>
      <c r="L8306" s="7" t="n"/>
      <c r="M8306" s="7" t="n"/>
      <c r="N8306">
        <f>IF(D8306="", "Gap - No Legal Basis", IF(AND(D8306="Consent (GDPR Art. 6(1)(a))", I8306="Not Captured"), "Gap - Invalid Consent", IF(AND(D8306="Legitimate Interest (GDPR Art. 6(1)(f))", L8306=""), "Gap - Missing LIA", IF(AND(G8306="Yes", H8306=""), "Gap - Missing Art. 9 Basis", IF(OR(I8306="Invalid - Not Freely Given", I8306="Invalid - Not Specific", I8306="Invalid - Not Informed", I8306="Invalid - Ambiguous"), "Gap - Invalid Consent", "Compliant")))))</f>
        <v/>
      </c>
      <c r="O8306" s="7" t="n"/>
    </row>
    <row r="8307">
      <c r="A8307" s="7" t="n"/>
      <c r="B8307" s="7" t="n"/>
      <c r="C8307" s="7" t="n"/>
      <c r="D8307" s="7" t="n"/>
      <c r="E8307" s="7" t="n"/>
      <c r="F8307" s="7" t="n"/>
      <c r="G8307" s="7" t="n"/>
      <c r="H8307" s="7" t="n"/>
      <c r="I8307" s="7" t="n"/>
      <c r="J8307" s="7" t="n"/>
      <c r="K8307">
        <f>IF(D8307="Legitimate Interest (GDPR Art. 6(1)(f))", "Yes / Required (Sheet 3)", "")</f>
        <v/>
      </c>
      <c r="L8307" s="7" t="n"/>
      <c r="M8307" s="7" t="n"/>
      <c r="N8307">
        <f>IF(D8307="", "Gap - No Legal Basis", IF(AND(D8307="Consent (GDPR Art. 6(1)(a))", I8307="Not Captured"), "Gap - Invalid Consent", IF(AND(D8307="Legitimate Interest (GDPR Art. 6(1)(f))", L8307=""), "Gap - Missing LIA", IF(AND(G8307="Yes", H8307=""), "Gap - Missing Art. 9 Basis", IF(OR(I8307="Invalid - Not Freely Given", I8307="Invalid - Not Specific", I8307="Invalid - Not Informed", I8307="Invalid - Ambiguous"), "Gap - Invalid Consent", "Compliant")))))</f>
        <v/>
      </c>
      <c r="O8307" s="7" t="n"/>
    </row>
    <row r="8308">
      <c r="A8308" s="7" t="n"/>
      <c r="B8308" s="7" t="n"/>
      <c r="C8308" s="7" t="n"/>
      <c r="D8308" s="7" t="n"/>
      <c r="E8308" s="7" t="n"/>
      <c r="F8308" s="7" t="n"/>
      <c r="G8308" s="7" t="n"/>
      <c r="H8308" s="7" t="n"/>
      <c r="I8308" s="7" t="n"/>
      <c r="J8308" s="7" t="n"/>
      <c r="K8308">
        <f>IF(D8308="Legitimate Interest (GDPR Art. 6(1)(f))", "Yes / Required (Sheet 3)", "")</f>
        <v/>
      </c>
      <c r="L8308" s="7" t="n"/>
      <c r="M8308" s="7" t="n"/>
      <c r="N8308">
        <f>IF(D8308="", "Gap - No Legal Basis", IF(AND(D8308="Consent (GDPR Art. 6(1)(a))", I8308="Not Captured"), "Gap - Invalid Consent", IF(AND(D8308="Legitimate Interest (GDPR Art. 6(1)(f))", L8308=""), "Gap - Missing LIA", IF(AND(G8308="Yes", H8308=""), "Gap - Missing Art. 9 Basis", IF(OR(I8308="Invalid - Not Freely Given", I8308="Invalid - Not Specific", I8308="Invalid - Not Informed", I8308="Invalid - Ambiguous"), "Gap - Invalid Consent", "Compliant")))))</f>
        <v/>
      </c>
      <c r="O8308" s="7" t="n"/>
    </row>
    <row r="8309">
      <c r="A8309" s="7" t="n"/>
      <c r="B8309" s="7" t="n"/>
      <c r="C8309" s="7" t="n"/>
      <c r="D8309" s="7" t="n"/>
      <c r="E8309" s="7" t="n"/>
      <c r="F8309" s="7" t="n"/>
      <c r="G8309" s="7" t="n"/>
      <c r="H8309" s="7" t="n"/>
      <c r="I8309" s="7" t="n"/>
      <c r="J8309" s="7" t="n"/>
      <c r="K8309">
        <f>IF(D8309="Legitimate Interest (GDPR Art. 6(1)(f))", "Yes / Required (Sheet 3)", "")</f>
        <v/>
      </c>
      <c r="L8309" s="7" t="n"/>
      <c r="M8309" s="7" t="n"/>
      <c r="N8309">
        <f>IF(D8309="", "Gap - No Legal Basis", IF(AND(D8309="Consent (GDPR Art. 6(1)(a))", I8309="Not Captured"), "Gap - Invalid Consent", IF(AND(D8309="Legitimate Interest (GDPR Art. 6(1)(f))", L8309=""), "Gap - Missing LIA", IF(AND(G8309="Yes", H8309=""), "Gap - Missing Art. 9 Basis", IF(OR(I8309="Invalid - Not Freely Given", I8309="Invalid - Not Specific", I8309="Invalid - Not Informed", I8309="Invalid - Ambiguous"), "Gap - Invalid Consent", "Compliant")))))</f>
        <v/>
      </c>
      <c r="O8309" s="7" t="n"/>
    </row>
    <row r="8310">
      <c r="A8310" s="7" t="n"/>
      <c r="B8310" s="7" t="n"/>
      <c r="C8310" s="7" t="n"/>
      <c r="D8310" s="7" t="n"/>
      <c r="E8310" s="7" t="n"/>
      <c r="F8310" s="7" t="n"/>
      <c r="G8310" s="7" t="n"/>
      <c r="H8310" s="7" t="n"/>
      <c r="I8310" s="7" t="n"/>
      <c r="J8310" s="7" t="n"/>
      <c r="K8310">
        <f>IF(D8310="Legitimate Interest (GDPR Art. 6(1)(f))", "Yes / Required (Sheet 3)", "")</f>
        <v/>
      </c>
      <c r="L8310" s="7" t="n"/>
      <c r="M8310" s="7" t="n"/>
      <c r="N8310">
        <f>IF(D8310="", "Gap - No Legal Basis", IF(AND(D8310="Consent (GDPR Art. 6(1)(a))", I8310="Not Captured"), "Gap - Invalid Consent", IF(AND(D8310="Legitimate Interest (GDPR Art. 6(1)(f))", L8310=""), "Gap - Missing LIA", IF(AND(G8310="Yes", H8310=""), "Gap - Missing Art. 9 Basis", IF(OR(I8310="Invalid - Not Freely Given", I8310="Invalid - Not Specific", I8310="Invalid - Not Informed", I8310="Invalid - Ambiguous"), "Gap - Invalid Consent", "Compliant")))))</f>
        <v/>
      </c>
      <c r="O8310" s="7" t="n"/>
    </row>
    <row r="8311">
      <c r="A8311" s="7" t="n"/>
      <c r="B8311" s="7" t="n"/>
      <c r="C8311" s="7" t="n"/>
      <c r="D8311" s="7" t="n"/>
      <c r="E8311" s="7" t="n"/>
      <c r="F8311" s="7" t="n"/>
      <c r="G8311" s="7" t="n"/>
      <c r="H8311" s="7" t="n"/>
      <c r="I8311" s="7" t="n"/>
      <c r="J8311" s="7" t="n"/>
      <c r="K8311">
        <f>IF(D8311="Legitimate Interest (GDPR Art. 6(1)(f))", "Yes / Required (Sheet 3)", "")</f>
        <v/>
      </c>
      <c r="L8311" s="7" t="n"/>
      <c r="M8311" s="7" t="n"/>
      <c r="N8311">
        <f>IF(D8311="", "Gap - No Legal Basis", IF(AND(D8311="Consent (GDPR Art. 6(1)(a))", I8311="Not Captured"), "Gap - Invalid Consent", IF(AND(D8311="Legitimate Interest (GDPR Art. 6(1)(f))", L8311=""), "Gap - Missing LIA", IF(AND(G8311="Yes", H8311=""), "Gap - Missing Art. 9 Basis", IF(OR(I8311="Invalid - Not Freely Given", I8311="Invalid - Not Specific", I8311="Invalid - Not Informed", I8311="Invalid - Ambiguous"), "Gap - Invalid Consent", "Compliant")))))</f>
        <v/>
      </c>
      <c r="O8311" s="7" t="n"/>
    </row>
    <row r="8312">
      <c r="A8312" s="7" t="n"/>
      <c r="B8312" s="7" t="n"/>
      <c r="C8312" s="7" t="n"/>
      <c r="D8312" s="7" t="n"/>
      <c r="E8312" s="7" t="n"/>
      <c r="F8312" s="7" t="n"/>
      <c r="G8312" s="7" t="n"/>
      <c r="H8312" s="7" t="n"/>
      <c r="I8312" s="7" t="n"/>
      <c r="J8312" s="7" t="n"/>
      <c r="K8312">
        <f>IF(D8312="Legitimate Interest (GDPR Art. 6(1)(f))", "Yes / Required (Sheet 3)", "")</f>
        <v/>
      </c>
      <c r="L8312" s="7" t="n"/>
      <c r="M8312" s="7" t="n"/>
      <c r="N8312">
        <f>IF(D8312="", "Gap - No Legal Basis", IF(AND(D8312="Consent (GDPR Art. 6(1)(a))", I8312="Not Captured"), "Gap - Invalid Consent", IF(AND(D8312="Legitimate Interest (GDPR Art. 6(1)(f))", L8312=""), "Gap - Missing LIA", IF(AND(G8312="Yes", H8312=""), "Gap - Missing Art. 9 Basis", IF(OR(I8312="Invalid - Not Freely Given", I8312="Invalid - Not Specific", I8312="Invalid - Not Informed", I8312="Invalid - Ambiguous"), "Gap - Invalid Consent", "Compliant")))))</f>
        <v/>
      </c>
      <c r="O8312" s="7" t="n"/>
    </row>
    <row r="8313">
      <c r="A8313" s="7" t="n"/>
      <c r="B8313" s="7" t="n"/>
      <c r="C8313" s="7" t="n"/>
      <c r="D8313" s="7" t="n"/>
      <c r="E8313" s="7" t="n"/>
      <c r="F8313" s="7" t="n"/>
      <c r="G8313" s="7" t="n"/>
      <c r="H8313" s="7" t="n"/>
      <c r="I8313" s="7" t="n"/>
      <c r="J8313" s="7" t="n"/>
      <c r="K8313">
        <f>IF(D8313="Legitimate Interest (GDPR Art. 6(1)(f))", "Yes / Required (Sheet 3)", "")</f>
        <v/>
      </c>
      <c r="L8313" s="7" t="n"/>
      <c r="M8313" s="7" t="n"/>
      <c r="N8313">
        <f>IF(D8313="", "Gap - No Legal Basis", IF(AND(D8313="Consent (GDPR Art. 6(1)(a))", I8313="Not Captured"), "Gap - Invalid Consent", IF(AND(D8313="Legitimate Interest (GDPR Art. 6(1)(f))", L8313=""), "Gap - Missing LIA", IF(AND(G8313="Yes", H8313=""), "Gap - Missing Art. 9 Basis", IF(OR(I8313="Invalid - Not Freely Given", I8313="Invalid - Not Specific", I8313="Invalid - Not Informed", I8313="Invalid - Ambiguous"), "Gap - Invalid Consent", "Compliant")))))</f>
        <v/>
      </c>
      <c r="O8313" s="7" t="n"/>
    </row>
    <row r="8314">
      <c r="A8314" s="7" t="n"/>
      <c r="B8314" s="7" t="n"/>
      <c r="C8314" s="7" t="n"/>
      <c r="D8314" s="7" t="n"/>
      <c r="E8314" s="7" t="n"/>
      <c r="F8314" s="7" t="n"/>
      <c r="G8314" s="7" t="n"/>
      <c r="H8314" s="7" t="n"/>
      <c r="I8314" s="7" t="n"/>
      <c r="J8314" s="7" t="n"/>
      <c r="K8314">
        <f>IF(D8314="Legitimate Interest (GDPR Art. 6(1)(f))", "Yes / Required (Sheet 3)", "")</f>
        <v/>
      </c>
      <c r="L8314" s="7" t="n"/>
      <c r="M8314" s="7" t="n"/>
      <c r="N8314">
        <f>IF(D8314="", "Gap - No Legal Basis", IF(AND(D8314="Consent (GDPR Art. 6(1)(a))", I8314="Not Captured"), "Gap - Invalid Consent", IF(AND(D8314="Legitimate Interest (GDPR Art. 6(1)(f))", L8314=""), "Gap - Missing LIA", IF(AND(G8314="Yes", H8314=""), "Gap - Missing Art. 9 Basis", IF(OR(I8314="Invalid - Not Freely Given", I8314="Invalid - Not Specific", I8314="Invalid - Not Informed", I8314="Invalid - Ambiguous"), "Gap - Invalid Consent", "Compliant")))))</f>
        <v/>
      </c>
      <c r="O8314" s="7" t="n"/>
    </row>
    <row r="8315">
      <c r="A8315" s="7" t="n"/>
      <c r="B8315" s="7" t="n"/>
      <c r="C8315" s="7" t="n"/>
      <c r="D8315" s="7" t="n"/>
      <c r="E8315" s="7" t="n"/>
      <c r="F8315" s="7" t="n"/>
      <c r="G8315" s="7" t="n"/>
      <c r="H8315" s="7" t="n"/>
      <c r="I8315" s="7" t="n"/>
      <c r="J8315" s="7" t="n"/>
      <c r="K8315">
        <f>IF(D8315="Legitimate Interest (GDPR Art. 6(1)(f))", "Yes / Required (Sheet 3)", "")</f>
        <v/>
      </c>
      <c r="L8315" s="7" t="n"/>
      <c r="M8315" s="7" t="n"/>
      <c r="N8315">
        <f>IF(D8315="", "Gap - No Legal Basis", IF(AND(D8315="Consent (GDPR Art. 6(1)(a))", I8315="Not Captured"), "Gap - Invalid Consent", IF(AND(D8315="Legitimate Interest (GDPR Art. 6(1)(f))", L8315=""), "Gap - Missing LIA", IF(AND(G8315="Yes", H8315=""), "Gap - Missing Art. 9 Basis", IF(OR(I8315="Invalid - Not Freely Given", I8315="Invalid - Not Specific", I8315="Invalid - Not Informed", I8315="Invalid - Ambiguous"), "Gap - Invalid Consent", "Compliant")))))</f>
        <v/>
      </c>
      <c r="O8315" s="7" t="n"/>
    </row>
    <row r="8316">
      <c r="A8316" s="7" t="n"/>
      <c r="B8316" s="7" t="n"/>
      <c r="C8316" s="7" t="n"/>
      <c r="D8316" s="7" t="n"/>
      <c r="E8316" s="7" t="n"/>
      <c r="F8316" s="7" t="n"/>
      <c r="G8316" s="7" t="n"/>
      <c r="H8316" s="7" t="n"/>
      <c r="I8316" s="7" t="n"/>
      <c r="J8316" s="7" t="n"/>
      <c r="K8316">
        <f>IF(D8316="Legitimate Interest (GDPR Art. 6(1)(f))", "Yes / Required (Sheet 3)", "")</f>
        <v/>
      </c>
      <c r="L8316" s="7" t="n"/>
      <c r="M8316" s="7" t="n"/>
      <c r="N8316">
        <f>IF(D8316="", "Gap - No Legal Basis", IF(AND(D8316="Consent (GDPR Art. 6(1)(a))", I8316="Not Captured"), "Gap - Invalid Consent", IF(AND(D8316="Legitimate Interest (GDPR Art. 6(1)(f))", L8316=""), "Gap - Missing LIA", IF(AND(G8316="Yes", H8316=""), "Gap - Missing Art. 9 Basis", IF(OR(I8316="Invalid - Not Freely Given", I8316="Invalid - Not Specific", I8316="Invalid - Not Informed", I8316="Invalid - Ambiguous"), "Gap - Invalid Consent", "Compliant")))))</f>
        <v/>
      </c>
      <c r="O8316" s="7" t="n"/>
    </row>
    <row r="8317">
      <c r="A8317" s="7" t="n"/>
      <c r="B8317" s="7" t="n"/>
      <c r="C8317" s="7" t="n"/>
      <c r="D8317" s="7" t="n"/>
      <c r="E8317" s="7" t="n"/>
      <c r="F8317" s="7" t="n"/>
      <c r="G8317" s="7" t="n"/>
      <c r="H8317" s="7" t="n"/>
      <c r="I8317" s="7" t="n"/>
      <c r="J8317" s="7" t="n"/>
      <c r="K8317">
        <f>IF(D8317="Legitimate Interest (GDPR Art. 6(1)(f))", "Yes / Required (Sheet 3)", "")</f>
        <v/>
      </c>
      <c r="L8317" s="7" t="n"/>
      <c r="M8317" s="7" t="n"/>
      <c r="N8317">
        <f>IF(D8317="", "Gap - No Legal Basis", IF(AND(D8317="Consent (GDPR Art. 6(1)(a))", I8317="Not Captured"), "Gap - Invalid Consent", IF(AND(D8317="Legitimate Interest (GDPR Art. 6(1)(f))", L8317=""), "Gap - Missing LIA", IF(AND(G8317="Yes", H8317=""), "Gap - Missing Art. 9 Basis", IF(OR(I8317="Invalid - Not Freely Given", I8317="Invalid - Not Specific", I8317="Invalid - Not Informed", I8317="Invalid - Ambiguous"), "Gap - Invalid Consent", "Compliant")))))</f>
        <v/>
      </c>
      <c r="O8317" s="7" t="n"/>
    </row>
    <row r="8318">
      <c r="A8318" s="7" t="n"/>
      <c r="B8318" s="7" t="n"/>
      <c r="C8318" s="7" t="n"/>
      <c r="D8318" s="7" t="n"/>
      <c r="E8318" s="7" t="n"/>
      <c r="F8318" s="7" t="n"/>
      <c r="G8318" s="7" t="n"/>
      <c r="H8318" s="7" t="n"/>
      <c r="I8318" s="7" t="n"/>
      <c r="J8318" s="7" t="n"/>
      <c r="K8318">
        <f>IF(D8318="Legitimate Interest (GDPR Art. 6(1)(f))", "Yes / Required (Sheet 3)", "")</f>
        <v/>
      </c>
      <c r="L8318" s="7" t="n"/>
      <c r="M8318" s="7" t="n"/>
      <c r="N8318">
        <f>IF(D8318="", "Gap - No Legal Basis", IF(AND(D8318="Consent (GDPR Art. 6(1)(a))", I8318="Not Captured"), "Gap - Invalid Consent", IF(AND(D8318="Legitimate Interest (GDPR Art. 6(1)(f))", L8318=""), "Gap - Missing LIA", IF(AND(G8318="Yes", H8318=""), "Gap - Missing Art. 9 Basis", IF(OR(I8318="Invalid - Not Freely Given", I8318="Invalid - Not Specific", I8318="Invalid - Not Informed", I8318="Invalid - Ambiguous"), "Gap - Invalid Consent", "Compliant")))))</f>
        <v/>
      </c>
      <c r="O8318" s="7" t="n"/>
    </row>
    <row r="8319">
      <c r="A8319" s="7" t="n"/>
      <c r="B8319" s="7" t="n"/>
      <c r="C8319" s="7" t="n"/>
      <c r="D8319" s="7" t="n"/>
      <c r="E8319" s="7" t="n"/>
      <c r="F8319" s="7" t="n"/>
      <c r="G8319" s="7" t="n"/>
      <c r="H8319" s="7" t="n"/>
      <c r="I8319" s="7" t="n"/>
      <c r="J8319" s="7" t="n"/>
      <c r="K8319">
        <f>IF(D8319="Legitimate Interest (GDPR Art. 6(1)(f))", "Yes / Required (Sheet 3)", "")</f>
        <v/>
      </c>
      <c r="L8319" s="7" t="n"/>
      <c r="M8319" s="7" t="n"/>
      <c r="N8319">
        <f>IF(D8319="", "Gap - No Legal Basis", IF(AND(D8319="Consent (GDPR Art. 6(1)(a))", I8319="Not Captured"), "Gap - Invalid Consent", IF(AND(D8319="Legitimate Interest (GDPR Art. 6(1)(f))", L8319=""), "Gap - Missing LIA", IF(AND(G8319="Yes", H8319=""), "Gap - Missing Art. 9 Basis", IF(OR(I8319="Invalid - Not Freely Given", I8319="Invalid - Not Specific", I8319="Invalid - Not Informed", I8319="Invalid - Ambiguous"), "Gap - Invalid Consent", "Compliant")))))</f>
        <v/>
      </c>
      <c r="O8319" s="7" t="n"/>
    </row>
    <row r="8320">
      <c r="A8320" s="7" t="n"/>
      <c r="B8320" s="7" t="n"/>
      <c r="C8320" s="7" t="n"/>
      <c r="D8320" s="7" t="n"/>
      <c r="E8320" s="7" t="n"/>
      <c r="F8320" s="7" t="n"/>
      <c r="G8320" s="7" t="n"/>
      <c r="H8320" s="7" t="n"/>
      <c r="I8320" s="7" t="n"/>
      <c r="J8320" s="7" t="n"/>
      <c r="K8320">
        <f>IF(D8320="Legitimate Interest (GDPR Art. 6(1)(f))", "Yes / Required (Sheet 3)", "")</f>
        <v/>
      </c>
      <c r="L8320" s="7" t="n"/>
      <c r="M8320" s="7" t="n"/>
      <c r="N8320">
        <f>IF(D8320="", "Gap - No Legal Basis", IF(AND(D8320="Consent (GDPR Art. 6(1)(a))", I8320="Not Captured"), "Gap - Invalid Consent", IF(AND(D8320="Legitimate Interest (GDPR Art. 6(1)(f))", L8320=""), "Gap - Missing LIA", IF(AND(G8320="Yes", H8320=""), "Gap - Missing Art. 9 Basis", IF(OR(I8320="Invalid - Not Freely Given", I8320="Invalid - Not Specific", I8320="Invalid - Not Informed", I8320="Invalid - Ambiguous"), "Gap - Invalid Consent", "Compliant")))))</f>
        <v/>
      </c>
      <c r="O8320" s="7" t="n"/>
    </row>
    <row r="8321">
      <c r="A8321" s="7" t="n"/>
      <c r="B8321" s="7" t="n"/>
      <c r="C8321" s="7" t="n"/>
      <c r="D8321" s="7" t="n"/>
      <c r="E8321" s="7" t="n"/>
      <c r="F8321" s="7" t="n"/>
      <c r="G8321" s="7" t="n"/>
      <c r="H8321" s="7" t="n"/>
      <c r="I8321" s="7" t="n"/>
      <c r="J8321" s="7" t="n"/>
      <c r="K8321">
        <f>IF(D8321="Legitimate Interest (GDPR Art. 6(1)(f))", "Yes / Required (Sheet 3)", "")</f>
        <v/>
      </c>
      <c r="L8321" s="7" t="n"/>
      <c r="M8321" s="7" t="n"/>
      <c r="N8321">
        <f>IF(D8321="", "Gap - No Legal Basis", IF(AND(D8321="Consent (GDPR Art. 6(1)(a))", I8321="Not Captured"), "Gap - Invalid Consent", IF(AND(D8321="Legitimate Interest (GDPR Art. 6(1)(f))", L8321=""), "Gap - Missing LIA", IF(AND(G8321="Yes", H8321=""), "Gap - Missing Art. 9 Basis", IF(OR(I8321="Invalid - Not Freely Given", I8321="Invalid - Not Specific", I8321="Invalid - Not Informed", I8321="Invalid - Ambiguous"), "Gap - Invalid Consent", "Compliant")))))</f>
        <v/>
      </c>
      <c r="O8321" s="7" t="n"/>
    </row>
    <row r="8322">
      <c r="A8322" s="7" t="n"/>
      <c r="B8322" s="7" t="n"/>
      <c r="C8322" s="7" t="n"/>
      <c r="D8322" s="7" t="n"/>
      <c r="E8322" s="7" t="n"/>
      <c r="F8322" s="7" t="n"/>
      <c r="G8322" s="7" t="n"/>
      <c r="H8322" s="7" t="n"/>
      <c r="I8322" s="7" t="n"/>
      <c r="J8322" s="7" t="n"/>
      <c r="K8322">
        <f>IF(D8322="Legitimate Interest (GDPR Art. 6(1)(f))", "Yes / Required (Sheet 3)", "")</f>
        <v/>
      </c>
      <c r="L8322" s="7" t="n"/>
      <c r="M8322" s="7" t="n"/>
      <c r="N8322">
        <f>IF(D8322="", "Gap - No Legal Basis", IF(AND(D8322="Consent (GDPR Art. 6(1)(a))", I8322="Not Captured"), "Gap - Invalid Consent", IF(AND(D8322="Legitimate Interest (GDPR Art. 6(1)(f))", L8322=""), "Gap - Missing LIA", IF(AND(G8322="Yes", H8322=""), "Gap - Missing Art. 9 Basis", IF(OR(I8322="Invalid - Not Freely Given", I8322="Invalid - Not Specific", I8322="Invalid - Not Informed", I8322="Invalid - Ambiguous"), "Gap - Invalid Consent", "Compliant")))))</f>
        <v/>
      </c>
      <c r="O8322" s="7" t="n"/>
    </row>
    <row r="8323">
      <c r="A8323" s="7" t="n"/>
      <c r="B8323" s="7" t="n"/>
      <c r="C8323" s="7" t="n"/>
      <c r="D8323" s="7" t="n"/>
      <c r="E8323" s="7" t="n"/>
      <c r="F8323" s="7" t="n"/>
      <c r="G8323" s="7" t="n"/>
      <c r="H8323" s="7" t="n"/>
      <c r="I8323" s="7" t="n"/>
      <c r="J8323" s="7" t="n"/>
      <c r="K8323">
        <f>IF(D8323="Legitimate Interest (GDPR Art. 6(1)(f))", "Yes / Required (Sheet 3)", "")</f>
        <v/>
      </c>
      <c r="L8323" s="7" t="n"/>
      <c r="M8323" s="7" t="n"/>
      <c r="N8323">
        <f>IF(D8323="", "Gap - No Legal Basis", IF(AND(D8323="Consent (GDPR Art. 6(1)(a))", I8323="Not Captured"), "Gap - Invalid Consent", IF(AND(D8323="Legitimate Interest (GDPR Art. 6(1)(f))", L8323=""), "Gap - Missing LIA", IF(AND(G8323="Yes", H8323=""), "Gap - Missing Art. 9 Basis", IF(OR(I8323="Invalid - Not Freely Given", I8323="Invalid - Not Specific", I8323="Invalid - Not Informed", I8323="Invalid - Ambiguous"), "Gap - Invalid Consent", "Compliant")))))</f>
        <v/>
      </c>
      <c r="O8323" s="7" t="n"/>
    </row>
    <row r="8324">
      <c r="A8324" s="7" t="n"/>
      <c r="B8324" s="7" t="n"/>
      <c r="C8324" s="7" t="n"/>
      <c r="D8324" s="7" t="n"/>
      <c r="E8324" s="7" t="n"/>
      <c r="F8324" s="7" t="n"/>
      <c r="G8324" s="7" t="n"/>
      <c r="H8324" s="7" t="n"/>
      <c r="I8324" s="7" t="n"/>
      <c r="J8324" s="7" t="n"/>
      <c r="K8324">
        <f>IF(D8324="Legitimate Interest (GDPR Art. 6(1)(f))", "Yes / Required (Sheet 3)", "")</f>
        <v/>
      </c>
      <c r="L8324" s="7" t="n"/>
      <c r="M8324" s="7" t="n"/>
      <c r="N8324">
        <f>IF(D8324="", "Gap - No Legal Basis", IF(AND(D8324="Consent (GDPR Art. 6(1)(a))", I8324="Not Captured"), "Gap - Invalid Consent", IF(AND(D8324="Legitimate Interest (GDPR Art. 6(1)(f))", L8324=""), "Gap - Missing LIA", IF(AND(G8324="Yes", H8324=""), "Gap - Missing Art. 9 Basis", IF(OR(I8324="Invalid - Not Freely Given", I8324="Invalid - Not Specific", I8324="Invalid - Not Informed", I8324="Invalid - Ambiguous"), "Gap - Invalid Consent", "Compliant")))))</f>
        <v/>
      </c>
      <c r="O8324" s="7" t="n"/>
    </row>
    <row r="8325">
      <c r="A8325" s="7" t="n"/>
      <c r="B8325" s="7" t="n"/>
      <c r="C8325" s="7" t="n"/>
      <c r="D8325" s="7" t="n"/>
      <c r="E8325" s="7" t="n"/>
      <c r="F8325" s="7" t="n"/>
      <c r="G8325" s="7" t="n"/>
      <c r="H8325" s="7" t="n"/>
      <c r="I8325" s="7" t="n"/>
      <c r="J8325" s="7" t="n"/>
      <c r="K8325">
        <f>IF(D8325="Legitimate Interest (GDPR Art. 6(1)(f))", "Yes / Required (Sheet 3)", "")</f>
        <v/>
      </c>
      <c r="L8325" s="7" t="n"/>
      <c r="M8325" s="7" t="n"/>
      <c r="N8325">
        <f>IF(D8325="", "Gap - No Legal Basis", IF(AND(D8325="Consent (GDPR Art. 6(1)(a))", I8325="Not Captured"), "Gap - Invalid Consent", IF(AND(D8325="Legitimate Interest (GDPR Art. 6(1)(f))", L8325=""), "Gap - Missing LIA", IF(AND(G8325="Yes", H8325=""), "Gap - Missing Art. 9 Basis", IF(OR(I8325="Invalid - Not Freely Given", I8325="Invalid - Not Specific", I8325="Invalid - Not Informed", I8325="Invalid - Ambiguous"), "Gap - Invalid Consent", "Compliant")))))</f>
        <v/>
      </c>
      <c r="O8325" s="7" t="n"/>
    </row>
    <row r="8326">
      <c r="A8326" s="7" t="n"/>
      <c r="B8326" s="7" t="n"/>
      <c r="C8326" s="7" t="n"/>
      <c r="D8326" s="7" t="n"/>
      <c r="E8326" s="7" t="n"/>
      <c r="F8326" s="7" t="n"/>
      <c r="G8326" s="7" t="n"/>
      <c r="H8326" s="7" t="n"/>
      <c r="I8326" s="7" t="n"/>
      <c r="J8326" s="7" t="n"/>
      <c r="K8326">
        <f>IF(D8326="Legitimate Interest (GDPR Art. 6(1)(f))", "Yes / Required (Sheet 3)", "")</f>
        <v/>
      </c>
      <c r="L8326" s="7" t="n"/>
      <c r="M8326" s="7" t="n"/>
      <c r="N8326">
        <f>IF(D8326="", "Gap - No Legal Basis", IF(AND(D8326="Consent (GDPR Art. 6(1)(a))", I8326="Not Captured"), "Gap - Invalid Consent", IF(AND(D8326="Legitimate Interest (GDPR Art. 6(1)(f))", L8326=""), "Gap - Missing LIA", IF(AND(G8326="Yes", H8326=""), "Gap - Missing Art. 9 Basis", IF(OR(I8326="Invalid - Not Freely Given", I8326="Invalid - Not Specific", I8326="Invalid - Not Informed", I8326="Invalid - Ambiguous"), "Gap - Invalid Consent", "Compliant")))))</f>
        <v/>
      </c>
      <c r="O8326" s="7" t="n"/>
    </row>
    <row r="8327">
      <c r="A8327" s="7" t="n"/>
      <c r="B8327" s="7" t="n"/>
      <c r="C8327" s="7" t="n"/>
      <c r="D8327" s="7" t="n"/>
      <c r="E8327" s="7" t="n"/>
      <c r="F8327" s="7" t="n"/>
      <c r="G8327" s="7" t="n"/>
      <c r="H8327" s="7" t="n"/>
      <c r="I8327" s="7" t="n"/>
      <c r="J8327" s="7" t="n"/>
      <c r="K8327">
        <f>IF(D8327="Legitimate Interest (GDPR Art. 6(1)(f))", "Yes / Required (Sheet 3)", "")</f>
        <v/>
      </c>
      <c r="L8327" s="7" t="n"/>
      <c r="M8327" s="7" t="n"/>
      <c r="N8327">
        <f>IF(D8327="", "Gap - No Legal Basis", IF(AND(D8327="Consent (GDPR Art. 6(1)(a))", I8327="Not Captured"), "Gap - Invalid Consent", IF(AND(D8327="Legitimate Interest (GDPR Art. 6(1)(f))", L8327=""), "Gap - Missing LIA", IF(AND(G8327="Yes", H8327=""), "Gap - Missing Art. 9 Basis", IF(OR(I8327="Invalid - Not Freely Given", I8327="Invalid - Not Specific", I8327="Invalid - Not Informed", I8327="Invalid - Ambiguous"), "Gap - Invalid Consent", "Compliant")))))</f>
        <v/>
      </c>
      <c r="O8327" s="7" t="n"/>
    </row>
    <row r="8328">
      <c r="A8328" s="7" t="n"/>
      <c r="B8328" s="7" t="n"/>
      <c r="C8328" s="7" t="n"/>
      <c r="D8328" s="7" t="n"/>
      <c r="E8328" s="7" t="n"/>
      <c r="F8328" s="7" t="n"/>
      <c r="G8328" s="7" t="n"/>
      <c r="H8328" s="7" t="n"/>
      <c r="I8328" s="7" t="n"/>
      <c r="J8328" s="7" t="n"/>
      <c r="K8328">
        <f>IF(D8328="Legitimate Interest (GDPR Art. 6(1)(f))", "Yes / Required (Sheet 3)", "")</f>
        <v/>
      </c>
      <c r="L8328" s="7" t="n"/>
      <c r="M8328" s="7" t="n"/>
      <c r="N8328">
        <f>IF(D8328="", "Gap - No Legal Basis", IF(AND(D8328="Consent (GDPR Art. 6(1)(a))", I8328="Not Captured"), "Gap - Invalid Consent", IF(AND(D8328="Legitimate Interest (GDPR Art. 6(1)(f))", L8328=""), "Gap - Missing LIA", IF(AND(G8328="Yes", H8328=""), "Gap - Missing Art. 9 Basis", IF(OR(I8328="Invalid - Not Freely Given", I8328="Invalid - Not Specific", I8328="Invalid - Not Informed", I8328="Invalid - Ambiguous"), "Gap - Invalid Consent", "Compliant")))))</f>
        <v/>
      </c>
      <c r="O8328" s="7" t="n"/>
    </row>
    <row r="8329">
      <c r="A8329" s="7" t="n"/>
      <c r="B8329" s="7" t="n"/>
      <c r="C8329" s="7" t="n"/>
      <c r="D8329" s="7" t="n"/>
      <c r="E8329" s="7" t="n"/>
      <c r="F8329" s="7" t="n"/>
      <c r="G8329" s="7" t="n"/>
      <c r="H8329" s="7" t="n"/>
      <c r="I8329" s="7" t="n"/>
      <c r="J8329" s="7" t="n"/>
      <c r="K8329">
        <f>IF(D8329="Legitimate Interest (GDPR Art. 6(1)(f))", "Yes / Required (Sheet 3)", "")</f>
        <v/>
      </c>
      <c r="L8329" s="7" t="n"/>
      <c r="M8329" s="7" t="n"/>
      <c r="N8329">
        <f>IF(D8329="", "Gap - No Legal Basis", IF(AND(D8329="Consent (GDPR Art. 6(1)(a))", I8329="Not Captured"), "Gap - Invalid Consent", IF(AND(D8329="Legitimate Interest (GDPR Art. 6(1)(f))", L8329=""), "Gap - Missing LIA", IF(AND(G8329="Yes", H8329=""), "Gap - Missing Art. 9 Basis", IF(OR(I8329="Invalid - Not Freely Given", I8329="Invalid - Not Specific", I8329="Invalid - Not Informed", I8329="Invalid - Ambiguous"), "Gap - Invalid Consent", "Compliant")))))</f>
        <v/>
      </c>
      <c r="O8329" s="7" t="n"/>
    </row>
    <row r="8330">
      <c r="A8330" s="7" t="n"/>
      <c r="B8330" s="7" t="n"/>
      <c r="C8330" s="7" t="n"/>
      <c r="D8330" s="7" t="n"/>
      <c r="E8330" s="7" t="n"/>
      <c r="F8330" s="7" t="n"/>
      <c r="G8330" s="7" t="n"/>
      <c r="H8330" s="7" t="n"/>
      <c r="I8330" s="7" t="n"/>
      <c r="J8330" s="7" t="n"/>
      <c r="K8330">
        <f>IF(D8330="Legitimate Interest (GDPR Art. 6(1)(f))", "Yes / Required (Sheet 3)", "")</f>
        <v/>
      </c>
      <c r="L8330" s="7" t="n"/>
      <c r="M8330" s="7" t="n"/>
      <c r="N8330">
        <f>IF(D8330="", "Gap - No Legal Basis", IF(AND(D8330="Consent (GDPR Art. 6(1)(a))", I8330="Not Captured"), "Gap - Invalid Consent", IF(AND(D8330="Legitimate Interest (GDPR Art. 6(1)(f))", L8330=""), "Gap - Missing LIA", IF(AND(G8330="Yes", H8330=""), "Gap - Missing Art. 9 Basis", IF(OR(I8330="Invalid - Not Freely Given", I8330="Invalid - Not Specific", I8330="Invalid - Not Informed", I8330="Invalid - Ambiguous"), "Gap - Invalid Consent", "Compliant")))))</f>
        <v/>
      </c>
      <c r="O8330" s="7" t="n"/>
    </row>
    <row r="8331">
      <c r="A8331" s="7" t="n"/>
      <c r="B8331" s="7" t="n"/>
      <c r="C8331" s="7" t="n"/>
      <c r="D8331" s="7" t="n"/>
      <c r="E8331" s="7" t="n"/>
      <c r="F8331" s="7" t="n"/>
      <c r="G8331" s="7" t="n"/>
      <c r="H8331" s="7" t="n"/>
      <c r="I8331" s="7" t="n"/>
      <c r="J8331" s="7" t="n"/>
      <c r="K8331">
        <f>IF(D8331="Legitimate Interest (GDPR Art. 6(1)(f))", "Yes / Required (Sheet 3)", "")</f>
        <v/>
      </c>
      <c r="L8331" s="7" t="n"/>
      <c r="M8331" s="7" t="n"/>
      <c r="N8331">
        <f>IF(D8331="", "Gap - No Legal Basis", IF(AND(D8331="Consent (GDPR Art. 6(1)(a))", I8331="Not Captured"), "Gap - Invalid Consent", IF(AND(D8331="Legitimate Interest (GDPR Art. 6(1)(f))", L8331=""), "Gap - Missing LIA", IF(AND(G8331="Yes", H8331=""), "Gap - Missing Art. 9 Basis", IF(OR(I8331="Invalid - Not Freely Given", I8331="Invalid - Not Specific", I8331="Invalid - Not Informed", I8331="Invalid - Ambiguous"), "Gap - Invalid Consent", "Compliant")))))</f>
        <v/>
      </c>
      <c r="O8331" s="7" t="n"/>
    </row>
    <row r="8332">
      <c r="A8332" s="7" t="n"/>
      <c r="B8332" s="7" t="n"/>
      <c r="C8332" s="7" t="n"/>
      <c r="D8332" s="7" t="n"/>
      <c r="E8332" s="7" t="n"/>
      <c r="F8332" s="7" t="n"/>
      <c r="G8332" s="7" t="n"/>
      <c r="H8332" s="7" t="n"/>
      <c r="I8332" s="7" t="n"/>
      <c r="J8332" s="7" t="n"/>
      <c r="K8332">
        <f>IF(D8332="Legitimate Interest (GDPR Art. 6(1)(f))", "Yes / Required (Sheet 3)", "")</f>
        <v/>
      </c>
      <c r="L8332" s="7" t="n"/>
      <c r="M8332" s="7" t="n"/>
      <c r="N8332">
        <f>IF(D8332="", "Gap - No Legal Basis", IF(AND(D8332="Consent (GDPR Art. 6(1)(a))", I8332="Not Captured"), "Gap - Invalid Consent", IF(AND(D8332="Legitimate Interest (GDPR Art. 6(1)(f))", L8332=""), "Gap - Missing LIA", IF(AND(G8332="Yes", H8332=""), "Gap - Missing Art. 9 Basis", IF(OR(I8332="Invalid - Not Freely Given", I8332="Invalid - Not Specific", I8332="Invalid - Not Informed", I8332="Invalid - Ambiguous"), "Gap - Invalid Consent", "Compliant")))))</f>
        <v/>
      </c>
      <c r="O8332" s="7" t="n"/>
    </row>
    <row r="8333">
      <c r="A8333" s="7" t="n"/>
      <c r="B8333" s="7" t="n"/>
      <c r="C8333" s="7" t="n"/>
      <c r="D8333" s="7" t="n"/>
      <c r="E8333" s="7" t="n"/>
      <c r="F8333" s="7" t="n"/>
      <c r="G8333" s="7" t="n"/>
      <c r="H8333" s="7" t="n"/>
      <c r="I8333" s="7" t="n"/>
      <c r="J8333" s="7" t="n"/>
      <c r="K8333">
        <f>IF(D8333="Legitimate Interest (GDPR Art. 6(1)(f))", "Yes / Required (Sheet 3)", "")</f>
        <v/>
      </c>
      <c r="L8333" s="7" t="n"/>
      <c r="M8333" s="7" t="n"/>
      <c r="N8333">
        <f>IF(D8333="", "Gap - No Legal Basis", IF(AND(D8333="Consent (GDPR Art. 6(1)(a))", I8333="Not Captured"), "Gap - Invalid Consent", IF(AND(D8333="Legitimate Interest (GDPR Art. 6(1)(f))", L8333=""), "Gap - Missing LIA", IF(AND(G8333="Yes", H8333=""), "Gap - Missing Art. 9 Basis", IF(OR(I8333="Invalid - Not Freely Given", I8333="Invalid - Not Specific", I8333="Invalid - Not Informed", I8333="Invalid - Ambiguous"), "Gap - Invalid Consent", "Compliant")))))</f>
        <v/>
      </c>
      <c r="O8333" s="7" t="n"/>
    </row>
    <row r="8334">
      <c r="A8334" s="7" t="n"/>
      <c r="B8334" s="7" t="n"/>
      <c r="C8334" s="7" t="n"/>
      <c r="D8334" s="7" t="n"/>
      <c r="E8334" s="7" t="n"/>
      <c r="F8334" s="7" t="n"/>
      <c r="G8334" s="7" t="n"/>
      <c r="H8334" s="7" t="n"/>
      <c r="I8334" s="7" t="n"/>
      <c r="J8334" s="7" t="n"/>
      <c r="K8334">
        <f>IF(D8334="Legitimate Interest (GDPR Art. 6(1)(f))", "Yes / Required (Sheet 3)", "")</f>
        <v/>
      </c>
      <c r="L8334" s="7" t="n"/>
      <c r="M8334" s="7" t="n"/>
      <c r="N8334">
        <f>IF(D8334="", "Gap - No Legal Basis", IF(AND(D8334="Consent (GDPR Art. 6(1)(a))", I8334="Not Captured"), "Gap - Invalid Consent", IF(AND(D8334="Legitimate Interest (GDPR Art. 6(1)(f))", L8334=""), "Gap - Missing LIA", IF(AND(G8334="Yes", H8334=""), "Gap - Missing Art. 9 Basis", IF(OR(I8334="Invalid - Not Freely Given", I8334="Invalid - Not Specific", I8334="Invalid - Not Informed", I8334="Invalid - Ambiguous"), "Gap - Invalid Consent", "Compliant")))))</f>
        <v/>
      </c>
      <c r="O8334" s="7" t="n"/>
    </row>
    <row r="8335">
      <c r="A8335" s="7" t="n"/>
      <c r="B8335" s="7" t="n"/>
      <c r="C8335" s="7" t="n"/>
      <c r="D8335" s="7" t="n"/>
      <c r="E8335" s="7" t="n"/>
      <c r="F8335" s="7" t="n"/>
      <c r="G8335" s="7" t="n"/>
      <c r="H8335" s="7" t="n"/>
      <c r="I8335" s="7" t="n"/>
      <c r="J8335" s="7" t="n"/>
      <c r="K8335">
        <f>IF(D8335="Legitimate Interest (GDPR Art. 6(1)(f))", "Yes / Required (Sheet 3)", "")</f>
        <v/>
      </c>
      <c r="L8335" s="7" t="n"/>
      <c r="M8335" s="7" t="n"/>
      <c r="N8335">
        <f>IF(D8335="", "Gap - No Legal Basis", IF(AND(D8335="Consent (GDPR Art. 6(1)(a))", I8335="Not Captured"), "Gap - Invalid Consent", IF(AND(D8335="Legitimate Interest (GDPR Art. 6(1)(f))", L8335=""), "Gap - Missing LIA", IF(AND(G8335="Yes", H8335=""), "Gap - Missing Art. 9 Basis", IF(OR(I8335="Invalid - Not Freely Given", I8335="Invalid - Not Specific", I8335="Invalid - Not Informed", I8335="Invalid - Ambiguous"), "Gap - Invalid Consent", "Compliant")))))</f>
        <v/>
      </c>
      <c r="O8335" s="7" t="n"/>
    </row>
    <row r="8336">
      <c r="A8336" s="7" t="n"/>
      <c r="B8336" s="7" t="n"/>
      <c r="C8336" s="7" t="n"/>
      <c r="D8336" s="7" t="n"/>
      <c r="E8336" s="7" t="n"/>
      <c r="F8336" s="7" t="n"/>
      <c r="G8336" s="7" t="n"/>
      <c r="H8336" s="7" t="n"/>
      <c r="I8336" s="7" t="n"/>
      <c r="J8336" s="7" t="n"/>
      <c r="K8336">
        <f>IF(D8336="Legitimate Interest (GDPR Art. 6(1)(f))", "Yes / Required (Sheet 3)", "")</f>
        <v/>
      </c>
      <c r="L8336" s="7" t="n"/>
      <c r="M8336" s="7" t="n"/>
      <c r="N8336">
        <f>IF(D8336="", "Gap - No Legal Basis", IF(AND(D8336="Consent (GDPR Art. 6(1)(a))", I8336="Not Captured"), "Gap - Invalid Consent", IF(AND(D8336="Legitimate Interest (GDPR Art. 6(1)(f))", L8336=""), "Gap - Missing LIA", IF(AND(G8336="Yes", H8336=""), "Gap - Missing Art. 9 Basis", IF(OR(I8336="Invalid - Not Freely Given", I8336="Invalid - Not Specific", I8336="Invalid - Not Informed", I8336="Invalid - Ambiguous"), "Gap - Invalid Consent", "Compliant")))))</f>
        <v/>
      </c>
      <c r="O8336" s="7" t="n"/>
    </row>
    <row r="8337">
      <c r="A8337" s="7" t="n"/>
      <c r="B8337" s="7" t="n"/>
      <c r="C8337" s="7" t="n"/>
      <c r="D8337" s="7" t="n"/>
      <c r="E8337" s="7" t="n"/>
      <c r="F8337" s="7" t="n"/>
      <c r="G8337" s="7" t="n"/>
      <c r="H8337" s="7" t="n"/>
      <c r="I8337" s="7" t="n"/>
      <c r="J8337" s="7" t="n"/>
      <c r="K8337">
        <f>IF(D8337="Legitimate Interest (GDPR Art. 6(1)(f))", "Yes / Required (Sheet 3)", "")</f>
        <v/>
      </c>
      <c r="L8337" s="7" t="n"/>
      <c r="M8337" s="7" t="n"/>
      <c r="N8337">
        <f>IF(D8337="", "Gap - No Legal Basis", IF(AND(D8337="Consent (GDPR Art. 6(1)(a))", I8337="Not Captured"), "Gap - Invalid Consent", IF(AND(D8337="Legitimate Interest (GDPR Art. 6(1)(f))", L8337=""), "Gap - Missing LIA", IF(AND(G8337="Yes", H8337=""), "Gap - Missing Art. 9 Basis", IF(OR(I8337="Invalid - Not Freely Given", I8337="Invalid - Not Specific", I8337="Invalid - Not Informed", I8337="Invalid - Ambiguous"), "Gap - Invalid Consent", "Compliant")))))</f>
        <v/>
      </c>
      <c r="O8337" s="7" t="n"/>
    </row>
    <row r="8338">
      <c r="A8338" s="7" t="n"/>
      <c r="B8338" s="7" t="n"/>
      <c r="C8338" s="7" t="n"/>
      <c r="D8338" s="7" t="n"/>
      <c r="E8338" s="7" t="n"/>
      <c r="F8338" s="7" t="n"/>
      <c r="G8338" s="7" t="n"/>
      <c r="H8338" s="7" t="n"/>
      <c r="I8338" s="7" t="n"/>
      <c r="J8338" s="7" t="n"/>
      <c r="K8338">
        <f>IF(D8338="Legitimate Interest (GDPR Art. 6(1)(f))", "Yes / Required (Sheet 3)", "")</f>
        <v/>
      </c>
      <c r="L8338" s="7" t="n"/>
      <c r="M8338" s="7" t="n"/>
      <c r="N8338">
        <f>IF(D8338="", "Gap - No Legal Basis", IF(AND(D8338="Consent (GDPR Art. 6(1)(a))", I8338="Not Captured"), "Gap - Invalid Consent", IF(AND(D8338="Legitimate Interest (GDPR Art. 6(1)(f))", L8338=""), "Gap - Missing LIA", IF(AND(G8338="Yes", H8338=""), "Gap - Missing Art. 9 Basis", IF(OR(I8338="Invalid - Not Freely Given", I8338="Invalid - Not Specific", I8338="Invalid - Not Informed", I8338="Invalid - Ambiguous"), "Gap - Invalid Consent", "Compliant")))))</f>
        <v/>
      </c>
      <c r="O8338" s="7" t="n"/>
    </row>
    <row r="8339">
      <c r="A8339" s="7" t="n"/>
      <c r="B8339" s="7" t="n"/>
      <c r="C8339" s="7" t="n"/>
      <c r="D8339" s="7" t="n"/>
      <c r="E8339" s="7" t="n"/>
      <c r="F8339" s="7" t="n"/>
      <c r="G8339" s="7" t="n"/>
      <c r="H8339" s="7" t="n"/>
      <c r="I8339" s="7" t="n"/>
      <c r="J8339" s="7" t="n"/>
      <c r="K8339">
        <f>IF(D8339="Legitimate Interest (GDPR Art. 6(1)(f))", "Yes / Required (Sheet 3)", "")</f>
        <v/>
      </c>
      <c r="L8339" s="7" t="n"/>
      <c r="M8339" s="7" t="n"/>
      <c r="N8339">
        <f>IF(D8339="", "Gap - No Legal Basis", IF(AND(D8339="Consent (GDPR Art. 6(1)(a))", I8339="Not Captured"), "Gap - Invalid Consent", IF(AND(D8339="Legitimate Interest (GDPR Art. 6(1)(f))", L8339=""), "Gap - Missing LIA", IF(AND(G8339="Yes", H8339=""), "Gap - Missing Art. 9 Basis", IF(OR(I8339="Invalid - Not Freely Given", I8339="Invalid - Not Specific", I8339="Invalid - Not Informed", I8339="Invalid - Ambiguous"), "Gap - Invalid Consent", "Compliant")))))</f>
        <v/>
      </c>
      <c r="O8339" s="7" t="n"/>
    </row>
    <row r="8340">
      <c r="A8340" s="7" t="n"/>
      <c r="B8340" s="7" t="n"/>
      <c r="C8340" s="7" t="n"/>
      <c r="D8340" s="7" t="n"/>
      <c r="E8340" s="7" t="n"/>
      <c r="F8340" s="7" t="n"/>
      <c r="G8340" s="7" t="n"/>
      <c r="H8340" s="7" t="n"/>
      <c r="I8340" s="7" t="n"/>
      <c r="J8340" s="7" t="n"/>
      <c r="K8340">
        <f>IF(D8340="Legitimate Interest (GDPR Art. 6(1)(f))", "Yes / Required (Sheet 3)", "")</f>
        <v/>
      </c>
      <c r="L8340" s="7" t="n"/>
      <c r="M8340" s="7" t="n"/>
      <c r="N8340">
        <f>IF(D8340="", "Gap - No Legal Basis", IF(AND(D8340="Consent (GDPR Art. 6(1)(a))", I8340="Not Captured"), "Gap - Invalid Consent", IF(AND(D8340="Legitimate Interest (GDPR Art. 6(1)(f))", L8340=""), "Gap - Missing LIA", IF(AND(G8340="Yes", H8340=""), "Gap - Missing Art. 9 Basis", IF(OR(I8340="Invalid - Not Freely Given", I8340="Invalid - Not Specific", I8340="Invalid - Not Informed", I8340="Invalid - Ambiguous"), "Gap - Invalid Consent", "Compliant")))))</f>
        <v/>
      </c>
      <c r="O8340" s="7" t="n"/>
    </row>
    <row r="8341">
      <c r="A8341" s="7" t="n"/>
      <c r="B8341" s="7" t="n"/>
      <c r="C8341" s="7" t="n"/>
      <c r="D8341" s="7" t="n"/>
      <c r="E8341" s="7" t="n"/>
      <c r="F8341" s="7" t="n"/>
      <c r="G8341" s="7" t="n"/>
      <c r="H8341" s="7" t="n"/>
      <c r="I8341" s="7" t="n"/>
      <c r="J8341" s="7" t="n"/>
      <c r="K8341">
        <f>IF(D8341="Legitimate Interest (GDPR Art. 6(1)(f))", "Yes / Required (Sheet 3)", "")</f>
        <v/>
      </c>
      <c r="L8341" s="7" t="n"/>
      <c r="M8341" s="7" t="n"/>
      <c r="N8341">
        <f>IF(D8341="", "Gap - No Legal Basis", IF(AND(D8341="Consent (GDPR Art. 6(1)(a))", I8341="Not Captured"), "Gap - Invalid Consent", IF(AND(D8341="Legitimate Interest (GDPR Art. 6(1)(f))", L8341=""), "Gap - Missing LIA", IF(AND(G8341="Yes", H8341=""), "Gap - Missing Art. 9 Basis", IF(OR(I8341="Invalid - Not Freely Given", I8341="Invalid - Not Specific", I8341="Invalid - Not Informed", I8341="Invalid - Ambiguous"), "Gap - Invalid Consent", "Compliant")))))</f>
        <v/>
      </c>
      <c r="O8341" s="7" t="n"/>
    </row>
    <row r="8342">
      <c r="A8342" s="7" t="n"/>
      <c r="B8342" s="7" t="n"/>
      <c r="C8342" s="7" t="n"/>
      <c r="D8342" s="7" t="n"/>
      <c r="E8342" s="7" t="n"/>
      <c r="F8342" s="7" t="n"/>
      <c r="G8342" s="7" t="n"/>
      <c r="H8342" s="7" t="n"/>
      <c r="I8342" s="7" t="n"/>
      <c r="J8342" s="7" t="n"/>
      <c r="K8342">
        <f>IF(D8342="Legitimate Interest (GDPR Art. 6(1)(f))", "Yes / Required (Sheet 3)", "")</f>
        <v/>
      </c>
      <c r="L8342" s="7" t="n"/>
      <c r="M8342" s="7" t="n"/>
      <c r="N8342">
        <f>IF(D8342="", "Gap - No Legal Basis", IF(AND(D8342="Consent (GDPR Art. 6(1)(a))", I8342="Not Captured"), "Gap - Invalid Consent", IF(AND(D8342="Legitimate Interest (GDPR Art. 6(1)(f))", L8342=""), "Gap - Missing LIA", IF(AND(G8342="Yes", H8342=""), "Gap - Missing Art. 9 Basis", IF(OR(I8342="Invalid - Not Freely Given", I8342="Invalid - Not Specific", I8342="Invalid - Not Informed", I8342="Invalid - Ambiguous"), "Gap - Invalid Consent", "Compliant")))))</f>
        <v/>
      </c>
      <c r="O8342" s="7" t="n"/>
    </row>
    <row r="8343">
      <c r="A8343" s="7" t="n"/>
      <c r="B8343" s="7" t="n"/>
      <c r="C8343" s="7" t="n"/>
      <c r="D8343" s="7" t="n"/>
      <c r="E8343" s="7" t="n"/>
      <c r="F8343" s="7" t="n"/>
      <c r="G8343" s="7" t="n"/>
      <c r="H8343" s="7" t="n"/>
      <c r="I8343" s="7" t="n"/>
      <c r="J8343" s="7" t="n"/>
      <c r="K8343">
        <f>IF(D8343="Legitimate Interest (GDPR Art. 6(1)(f))", "Yes / Required (Sheet 3)", "")</f>
        <v/>
      </c>
      <c r="L8343" s="7" t="n"/>
      <c r="M8343" s="7" t="n"/>
      <c r="N8343">
        <f>IF(D8343="", "Gap - No Legal Basis", IF(AND(D8343="Consent (GDPR Art. 6(1)(a))", I8343="Not Captured"), "Gap - Invalid Consent", IF(AND(D8343="Legitimate Interest (GDPR Art. 6(1)(f))", L8343=""), "Gap - Missing LIA", IF(AND(G8343="Yes", H8343=""), "Gap - Missing Art. 9 Basis", IF(OR(I8343="Invalid - Not Freely Given", I8343="Invalid - Not Specific", I8343="Invalid - Not Informed", I8343="Invalid - Ambiguous"), "Gap - Invalid Consent", "Compliant")))))</f>
        <v/>
      </c>
      <c r="O8343" s="7" t="n"/>
    </row>
    <row r="8344">
      <c r="A8344" s="7" t="n"/>
      <c r="B8344" s="7" t="n"/>
      <c r="C8344" s="7" t="n"/>
      <c r="D8344" s="7" t="n"/>
      <c r="E8344" s="7" t="n"/>
      <c r="F8344" s="7" t="n"/>
      <c r="G8344" s="7" t="n"/>
      <c r="H8344" s="7" t="n"/>
      <c r="I8344" s="7" t="n"/>
      <c r="J8344" s="7" t="n"/>
      <c r="K8344">
        <f>IF(D8344="Legitimate Interest (GDPR Art. 6(1)(f))", "Yes / Required (Sheet 3)", "")</f>
        <v/>
      </c>
      <c r="L8344" s="7" t="n"/>
      <c r="M8344" s="7" t="n"/>
      <c r="N8344">
        <f>IF(D8344="", "Gap - No Legal Basis", IF(AND(D8344="Consent (GDPR Art. 6(1)(a))", I8344="Not Captured"), "Gap - Invalid Consent", IF(AND(D8344="Legitimate Interest (GDPR Art. 6(1)(f))", L8344=""), "Gap - Missing LIA", IF(AND(G8344="Yes", H8344=""), "Gap - Missing Art. 9 Basis", IF(OR(I8344="Invalid - Not Freely Given", I8344="Invalid - Not Specific", I8344="Invalid - Not Informed", I8344="Invalid - Ambiguous"), "Gap - Invalid Consent", "Compliant")))))</f>
        <v/>
      </c>
      <c r="O8344" s="7" t="n"/>
    </row>
    <row r="8345">
      <c r="A8345" s="7" t="n"/>
      <c r="B8345" s="7" t="n"/>
      <c r="C8345" s="7" t="n"/>
      <c r="D8345" s="7" t="n"/>
      <c r="E8345" s="7" t="n"/>
      <c r="F8345" s="7" t="n"/>
      <c r="G8345" s="7" t="n"/>
      <c r="H8345" s="7" t="n"/>
      <c r="I8345" s="7" t="n"/>
      <c r="J8345" s="7" t="n"/>
      <c r="K8345">
        <f>IF(D8345="Legitimate Interest (GDPR Art. 6(1)(f))", "Yes / Required (Sheet 3)", "")</f>
        <v/>
      </c>
      <c r="L8345" s="7" t="n"/>
      <c r="M8345" s="7" t="n"/>
      <c r="N8345">
        <f>IF(D8345="", "Gap - No Legal Basis", IF(AND(D8345="Consent (GDPR Art. 6(1)(a))", I8345="Not Captured"), "Gap - Invalid Consent", IF(AND(D8345="Legitimate Interest (GDPR Art. 6(1)(f))", L8345=""), "Gap - Missing LIA", IF(AND(G8345="Yes", H8345=""), "Gap - Missing Art. 9 Basis", IF(OR(I8345="Invalid - Not Freely Given", I8345="Invalid - Not Specific", I8345="Invalid - Not Informed", I8345="Invalid - Ambiguous"), "Gap - Invalid Consent", "Compliant")))))</f>
        <v/>
      </c>
      <c r="O8345" s="7" t="n"/>
    </row>
    <row r="8346">
      <c r="A8346" s="7" t="n"/>
      <c r="B8346" s="7" t="n"/>
      <c r="C8346" s="7" t="n"/>
      <c r="D8346" s="7" t="n"/>
      <c r="E8346" s="7" t="n"/>
      <c r="F8346" s="7" t="n"/>
      <c r="G8346" s="7" t="n"/>
      <c r="H8346" s="7" t="n"/>
      <c r="I8346" s="7" t="n"/>
      <c r="J8346" s="7" t="n"/>
      <c r="K8346">
        <f>IF(D8346="Legitimate Interest (GDPR Art. 6(1)(f))", "Yes / Required (Sheet 3)", "")</f>
        <v/>
      </c>
      <c r="L8346" s="7" t="n"/>
      <c r="M8346" s="7" t="n"/>
      <c r="N8346">
        <f>IF(D8346="", "Gap - No Legal Basis", IF(AND(D8346="Consent (GDPR Art. 6(1)(a))", I8346="Not Captured"), "Gap - Invalid Consent", IF(AND(D8346="Legitimate Interest (GDPR Art. 6(1)(f))", L8346=""), "Gap - Missing LIA", IF(AND(G8346="Yes", H8346=""), "Gap - Missing Art. 9 Basis", IF(OR(I8346="Invalid - Not Freely Given", I8346="Invalid - Not Specific", I8346="Invalid - Not Informed", I8346="Invalid - Ambiguous"), "Gap - Invalid Consent", "Compliant")))))</f>
        <v/>
      </c>
      <c r="O8346" s="7" t="n"/>
    </row>
    <row r="8347">
      <c r="A8347" s="7" t="n"/>
      <c r="B8347" s="7" t="n"/>
      <c r="C8347" s="7" t="n"/>
      <c r="D8347" s="7" t="n"/>
      <c r="E8347" s="7" t="n"/>
      <c r="F8347" s="7" t="n"/>
      <c r="G8347" s="7" t="n"/>
      <c r="H8347" s="7" t="n"/>
      <c r="I8347" s="7" t="n"/>
      <c r="J8347" s="7" t="n"/>
      <c r="K8347">
        <f>IF(D8347="Legitimate Interest (GDPR Art. 6(1)(f))", "Yes / Required (Sheet 3)", "")</f>
        <v/>
      </c>
      <c r="L8347" s="7" t="n"/>
      <c r="M8347" s="7" t="n"/>
      <c r="N8347">
        <f>IF(D8347="", "Gap - No Legal Basis", IF(AND(D8347="Consent (GDPR Art. 6(1)(a))", I8347="Not Captured"), "Gap - Invalid Consent", IF(AND(D8347="Legitimate Interest (GDPR Art. 6(1)(f))", L8347=""), "Gap - Missing LIA", IF(AND(G8347="Yes", H8347=""), "Gap - Missing Art. 9 Basis", IF(OR(I8347="Invalid - Not Freely Given", I8347="Invalid - Not Specific", I8347="Invalid - Not Informed", I8347="Invalid - Ambiguous"), "Gap - Invalid Consent", "Compliant")))))</f>
        <v/>
      </c>
      <c r="O8347" s="7" t="n"/>
    </row>
    <row r="8348">
      <c r="A8348" s="7" t="n"/>
      <c r="B8348" s="7" t="n"/>
      <c r="C8348" s="7" t="n"/>
      <c r="D8348" s="7" t="n"/>
      <c r="E8348" s="7" t="n"/>
      <c r="F8348" s="7" t="n"/>
      <c r="G8348" s="7" t="n"/>
      <c r="H8348" s="7" t="n"/>
      <c r="I8348" s="7" t="n"/>
      <c r="J8348" s="7" t="n"/>
      <c r="K8348">
        <f>IF(D8348="Legitimate Interest (GDPR Art. 6(1)(f))", "Yes / Required (Sheet 3)", "")</f>
        <v/>
      </c>
      <c r="L8348" s="7" t="n"/>
      <c r="M8348" s="7" t="n"/>
      <c r="N8348">
        <f>IF(D8348="", "Gap - No Legal Basis", IF(AND(D8348="Consent (GDPR Art. 6(1)(a))", I8348="Not Captured"), "Gap - Invalid Consent", IF(AND(D8348="Legitimate Interest (GDPR Art. 6(1)(f))", L8348=""), "Gap - Missing LIA", IF(AND(G8348="Yes", H8348=""), "Gap - Missing Art. 9 Basis", IF(OR(I8348="Invalid - Not Freely Given", I8348="Invalid - Not Specific", I8348="Invalid - Not Informed", I8348="Invalid - Ambiguous"), "Gap - Invalid Consent", "Compliant")))))</f>
        <v/>
      </c>
      <c r="O8348" s="7" t="n"/>
    </row>
    <row r="8349">
      <c r="A8349" s="7" t="n"/>
      <c r="B8349" s="7" t="n"/>
      <c r="C8349" s="7" t="n"/>
      <c r="D8349" s="7" t="n"/>
      <c r="E8349" s="7" t="n"/>
      <c r="F8349" s="7" t="n"/>
      <c r="G8349" s="7" t="n"/>
      <c r="H8349" s="7" t="n"/>
      <c r="I8349" s="7" t="n"/>
      <c r="J8349" s="7" t="n"/>
      <c r="K8349">
        <f>IF(D8349="Legitimate Interest (GDPR Art. 6(1)(f))", "Yes / Required (Sheet 3)", "")</f>
        <v/>
      </c>
      <c r="L8349" s="7" t="n"/>
      <c r="M8349" s="7" t="n"/>
      <c r="N8349">
        <f>IF(D8349="", "Gap - No Legal Basis", IF(AND(D8349="Consent (GDPR Art. 6(1)(a))", I8349="Not Captured"), "Gap - Invalid Consent", IF(AND(D8349="Legitimate Interest (GDPR Art. 6(1)(f))", L8349=""), "Gap - Missing LIA", IF(AND(G8349="Yes", H8349=""), "Gap - Missing Art. 9 Basis", IF(OR(I8349="Invalid - Not Freely Given", I8349="Invalid - Not Specific", I8349="Invalid - Not Informed", I8349="Invalid - Ambiguous"), "Gap - Invalid Consent", "Compliant")))))</f>
        <v/>
      </c>
      <c r="O8349" s="7" t="n"/>
    </row>
    <row r="8350">
      <c r="A8350" s="7" t="n"/>
      <c r="B8350" s="7" t="n"/>
      <c r="C8350" s="7" t="n"/>
      <c r="D8350" s="7" t="n"/>
      <c r="E8350" s="7" t="n"/>
      <c r="F8350" s="7" t="n"/>
      <c r="G8350" s="7" t="n"/>
      <c r="H8350" s="7" t="n"/>
      <c r="I8350" s="7" t="n"/>
      <c r="J8350" s="7" t="n"/>
      <c r="K8350">
        <f>IF(D8350="Legitimate Interest (GDPR Art. 6(1)(f))", "Yes / Required (Sheet 3)", "")</f>
        <v/>
      </c>
      <c r="L8350" s="7" t="n"/>
      <c r="M8350" s="7" t="n"/>
      <c r="N8350">
        <f>IF(D8350="", "Gap - No Legal Basis", IF(AND(D8350="Consent (GDPR Art. 6(1)(a))", I8350="Not Captured"), "Gap - Invalid Consent", IF(AND(D8350="Legitimate Interest (GDPR Art. 6(1)(f))", L8350=""), "Gap - Missing LIA", IF(AND(G8350="Yes", H8350=""), "Gap - Missing Art. 9 Basis", IF(OR(I8350="Invalid - Not Freely Given", I8350="Invalid - Not Specific", I8350="Invalid - Not Informed", I8350="Invalid - Ambiguous"), "Gap - Invalid Consent", "Compliant")))))</f>
        <v/>
      </c>
      <c r="O8350" s="7" t="n"/>
    </row>
    <row r="8351">
      <c r="A8351" s="7" t="n"/>
      <c r="B8351" s="7" t="n"/>
      <c r="C8351" s="7" t="n"/>
      <c r="D8351" s="7" t="n"/>
      <c r="E8351" s="7" t="n"/>
      <c r="F8351" s="7" t="n"/>
      <c r="G8351" s="7" t="n"/>
      <c r="H8351" s="7" t="n"/>
      <c r="I8351" s="7" t="n"/>
      <c r="J8351" s="7" t="n"/>
      <c r="K8351">
        <f>IF(D8351="Legitimate Interest (GDPR Art. 6(1)(f))", "Yes / Required (Sheet 3)", "")</f>
        <v/>
      </c>
      <c r="L8351" s="7" t="n"/>
      <c r="M8351" s="7" t="n"/>
      <c r="N8351">
        <f>IF(D8351="", "Gap - No Legal Basis", IF(AND(D8351="Consent (GDPR Art. 6(1)(a))", I8351="Not Captured"), "Gap - Invalid Consent", IF(AND(D8351="Legitimate Interest (GDPR Art. 6(1)(f))", L8351=""), "Gap - Missing LIA", IF(AND(G8351="Yes", H8351=""), "Gap - Missing Art. 9 Basis", IF(OR(I8351="Invalid - Not Freely Given", I8351="Invalid - Not Specific", I8351="Invalid - Not Informed", I8351="Invalid - Ambiguous"), "Gap - Invalid Consent", "Compliant")))))</f>
        <v/>
      </c>
      <c r="O8351" s="7" t="n"/>
    </row>
    <row r="8352">
      <c r="A8352" s="7" t="n"/>
      <c r="B8352" s="7" t="n"/>
      <c r="C8352" s="7" t="n"/>
      <c r="D8352" s="7" t="n"/>
      <c r="E8352" s="7" t="n"/>
      <c r="F8352" s="7" t="n"/>
      <c r="G8352" s="7" t="n"/>
      <c r="H8352" s="7" t="n"/>
      <c r="I8352" s="7" t="n"/>
      <c r="J8352" s="7" t="n"/>
      <c r="K8352">
        <f>IF(D8352="Legitimate Interest (GDPR Art. 6(1)(f))", "Yes / Required (Sheet 3)", "")</f>
        <v/>
      </c>
      <c r="L8352" s="7" t="n"/>
      <c r="M8352" s="7" t="n"/>
      <c r="N8352">
        <f>IF(D8352="", "Gap - No Legal Basis", IF(AND(D8352="Consent (GDPR Art. 6(1)(a))", I8352="Not Captured"), "Gap - Invalid Consent", IF(AND(D8352="Legitimate Interest (GDPR Art. 6(1)(f))", L8352=""), "Gap - Missing LIA", IF(AND(G8352="Yes", H8352=""), "Gap - Missing Art. 9 Basis", IF(OR(I8352="Invalid - Not Freely Given", I8352="Invalid - Not Specific", I8352="Invalid - Not Informed", I8352="Invalid - Ambiguous"), "Gap - Invalid Consent", "Compliant")))))</f>
        <v/>
      </c>
      <c r="O8352" s="7" t="n"/>
    </row>
    <row r="8353">
      <c r="A8353" s="7" t="n"/>
      <c r="B8353" s="7" t="n"/>
      <c r="C8353" s="7" t="n"/>
      <c r="D8353" s="7" t="n"/>
      <c r="E8353" s="7" t="n"/>
      <c r="F8353" s="7" t="n"/>
      <c r="G8353" s="7" t="n"/>
      <c r="H8353" s="7" t="n"/>
      <c r="I8353" s="7" t="n"/>
      <c r="J8353" s="7" t="n"/>
      <c r="K8353">
        <f>IF(D8353="Legitimate Interest (GDPR Art. 6(1)(f))", "Yes / Required (Sheet 3)", "")</f>
        <v/>
      </c>
      <c r="L8353" s="7" t="n"/>
      <c r="M8353" s="7" t="n"/>
      <c r="N8353">
        <f>IF(D8353="", "Gap - No Legal Basis", IF(AND(D8353="Consent (GDPR Art. 6(1)(a))", I8353="Not Captured"), "Gap - Invalid Consent", IF(AND(D8353="Legitimate Interest (GDPR Art. 6(1)(f))", L8353=""), "Gap - Missing LIA", IF(AND(G8353="Yes", H8353=""), "Gap - Missing Art. 9 Basis", IF(OR(I8353="Invalid - Not Freely Given", I8353="Invalid - Not Specific", I8353="Invalid - Not Informed", I8353="Invalid - Ambiguous"), "Gap - Invalid Consent", "Compliant")))))</f>
        <v/>
      </c>
      <c r="O8353" s="7" t="n"/>
    </row>
    <row r="8354">
      <c r="A8354" s="7" t="n"/>
      <c r="B8354" s="7" t="n"/>
      <c r="C8354" s="7" t="n"/>
      <c r="D8354" s="7" t="n"/>
      <c r="E8354" s="7" t="n"/>
      <c r="F8354" s="7" t="n"/>
      <c r="G8354" s="7" t="n"/>
      <c r="H8354" s="7" t="n"/>
      <c r="I8354" s="7" t="n"/>
      <c r="J8354" s="7" t="n"/>
      <c r="K8354">
        <f>IF(D8354="Legitimate Interest (GDPR Art. 6(1)(f))", "Yes / Required (Sheet 3)", "")</f>
        <v/>
      </c>
      <c r="L8354" s="7" t="n"/>
      <c r="M8354" s="7" t="n"/>
      <c r="N8354">
        <f>IF(D8354="", "Gap - No Legal Basis", IF(AND(D8354="Consent (GDPR Art. 6(1)(a))", I8354="Not Captured"), "Gap - Invalid Consent", IF(AND(D8354="Legitimate Interest (GDPR Art. 6(1)(f))", L8354=""), "Gap - Missing LIA", IF(AND(G8354="Yes", H8354=""), "Gap - Missing Art. 9 Basis", IF(OR(I8354="Invalid - Not Freely Given", I8354="Invalid - Not Specific", I8354="Invalid - Not Informed", I8354="Invalid - Ambiguous"), "Gap - Invalid Consent", "Compliant")))))</f>
        <v/>
      </c>
      <c r="O8354" s="7" t="n"/>
    </row>
    <row r="8355">
      <c r="A8355" s="7" t="n"/>
      <c r="B8355" s="7" t="n"/>
      <c r="C8355" s="7" t="n"/>
      <c r="D8355" s="7" t="n"/>
      <c r="E8355" s="7" t="n"/>
      <c r="F8355" s="7" t="n"/>
      <c r="G8355" s="7" t="n"/>
      <c r="H8355" s="7" t="n"/>
      <c r="I8355" s="7" t="n"/>
      <c r="J8355" s="7" t="n"/>
      <c r="K8355">
        <f>IF(D8355="Legitimate Interest (GDPR Art. 6(1)(f))", "Yes / Required (Sheet 3)", "")</f>
        <v/>
      </c>
      <c r="L8355" s="7" t="n"/>
      <c r="M8355" s="7" t="n"/>
      <c r="N8355">
        <f>IF(D8355="", "Gap - No Legal Basis", IF(AND(D8355="Consent (GDPR Art. 6(1)(a))", I8355="Not Captured"), "Gap - Invalid Consent", IF(AND(D8355="Legitimate Interest (GDPR Art. 6(1)(f))", L8355=""), "Gap - Missing LIA", IF(AND(G8355="Yes", H8355=""), "Gap - Missing Art. 9 Basis", IF(OR(I8355="Invalid - Not Freely Given", I8355="Invalid - Not Specific", I8355="Invalid - Not Informed", I8355="Invalid - Ambiguous"), "Gap - Invalid Consent", "Compliant")))))</f>
        <v/>
      </c>
      <c r="O8355" s="7" t="n"/>
    </row>
    <row r="8356">
      <c r="A8356" s="7" t="n"/>
      <c r="B8356" s="7" t="n"/>
      <c r="C8356" s="7" t="n"/>
      <c r="D8356" s="7" t="n"/>
      <c r="E8356" s="7" t="n"/>
      <c r="F8356" s="7" t="n"/>
      <c r="G8356" s="7" t="n"/>
      <c r="H8356" s="7" t="n"/>
      <c r="I8356" s="7" t="n"/>
      <c r="J8356" s="7" t="n"/>
      <c r="K8356">
        <f>IF(D8356="Legitimate Interest (GDPR Art. 6(1)(f))", "Yes / Required (Sheet 3)", "")</f>
        <v/>
      </c>
      <c r="L8356" s="7" t="n"/>
      <c r="M8356" s="7" t="n"/>
      <c r="N8356">
        <f>IF(D8356="", "Gap - No Legal Basis", IF(AND(D8356="Consent (GDPR Art. 6(1)(a))", I8356="Not Captured"), "Gap - Invalid Consent", IF(AND(D8356="Legitimate Interest (GDPR Art. 6(1)(f))", L8356=""), "Gap - Missing LIA", IF(AND(G8356="Yes", H8356=""), "Gap - Missing Art. 9 Basis", IF(OR(I8356="Invalid - Not Freely Given", I8356="Invalid - Not Specific", I8356="Invalid - Not Informed", I8356="Invalid - Ambiguous"), "Gap - Invalid Consent", "Compliant")))))</f>
        <v/>
      </c>
      <c r="O8356" s="7" t="n"/>
    </row>
    <row r="8357">
      <c r="A8357" s="7" t="n"/>
      <c r="B8357" s="7" t="n"/>
      <c r="C8357" s="7" t="n"/>
      <c r="D8357" s="7" t="n"/>
      <c r="E8357" s="7" t="n"/>
      <c r="F8357" s="7" t="n"/>
      <c r="G8357" s="7" t="n"/>
      <c r="H8357" s="7" t="n"/>
      <c r="I8357" s="7" t="n"/>
      <c r="J8357" s="7" t="n"/>
      <c r="K8357">
        <f>IF(D8357="Legitimate Interest (GDPR Art. 6(1)(f))", "Yes / Required (Sheet 3)", "")</f>
        <v/>
      </c>
      <c r="L8357" s="7" t="n"/>
      <c r="M8357" s="7" t="n"/>
      <c r="N8357">
        <f>IF(D8357="", "Gap - No Legal Basis", IF(AND(D8357="Consent (GDPR Art. 6(1)(a))", I8357="Not Captured"), "Gap - Invalid Consent", IF(AND(D8357="Legitimate Interest (GDPR Art. 6(1)(f))", L8357=""), "Gap - Missing LIA", IF(AND(G8357="Yes", H8357=""), "Gap - Missing Art. 9 Basis", IF(OR(I8357="Invalid - Not Freely Given", I8357="Invalid - Not Specific", I8357="Invalid - Not Informed", I8357="Invalid - Ambiguous"), "Gap - Invalid Consent", "Compliant")))))</f>
        <v/>
      </c>
      <c r="O8357" s="7" t="n"/>
    </row>
    <row r="8358">
      <c r="A8358" s="7" t="n"/>
      <c r="B8358" s="7" t="n"/>
      <c r="C8358" s="7" t="n"/>
      <c r="D8358" s="7" t="n"/>
      <c r="E8358" s="7" t="n"/>
      <c r="F8358" s="7" t="n"/>
      <c r="G8358" s="7" t="n"/>
      <c r="H8358" s="7" t="n"/>
      <c r="I8358" s="7" t="n"/>
      <c r="J8358" s="7" t="n"/>
      <c r="K8358">
        <f>IF(D8358="Legitimate Interest (GDPR Art. 6(1)(f))", "Yes / Required (Sheet 3)", "")</f>
        <v/>
      </c>
      <c r="L8358" s="7" t="n"/>
      <c r="M8358" s="7" t="n"/>
      <c r="N8358">
        <f>IF(D8358="", "Gap - No Legal Basis", IF(AND(D8358="Consent (GDPR Art. 6(1)(a))", I8358="Not Captured"), "Gap - Invalid Consent", IF(AND(D8358="Legitimate Interest (GDPR Art. 6(1)(f))", L8358=""), "Gap - Missing LIA", IF(AND(G8358="Yes", H8358=""), "Gap - Missing Art. 9 Basis", IF(OR(I8358="Invalid - Not Freely Given", I8358="Invalid - Not Specific", I8358="Invalid - Not Informed", I8358="Invalid - Ambiguous"), "Gap - Invalid Consent", "Compliant")))))</f>
        <v/>
      </c>
      <c r="O8358" s="7" t="n"/>
    </row>
    <row r="8359">
      <c r="A8359" s="7" t="n"/>
      <c r="B8359" s="7" t="n"/>
      <c r="C8359" s="7" t="n"/>
      <c r="D8359" s="7" t="n"/>
      <c r="E8359" s="7" t="n"/>
      <c r="F8359" s="7" t="n"/>
      <c r="G8359" s="7" t="n"/>
      <c r="H8359" s="7" t="n"/>
      <c r="I8359" s="7" t="n"/>
      <c r="J8359" s="7" t="n"/>
      <c r="K8359">
        <f>IF(D8359="Legitimate Interest (GDPR Art. 6(1)(f))", "Yes / Required (Sheet 3)", "")</f>
        <v/>
      </c>
      <c r="L8359" s="7" t="n"/>
      <c r="M8359" s="7" t="n"/>
      <c r="N8359">
        <f>IF(D8359="", "Gap - No Legal Basis", IF(AND(D8359="Consent (GDPR Art. 6(1)(a))", I8359="Not Captured"), "Gap - Invalid Consent", IF(AND(D8359="Legitimate Interest (GDPR Art. 6(1)(f))", L8359=""), "Gap - Missing LIA", IF(AND(G8359="Yes", H8359=""), "Gap - Missing Art. 9 Basis", IF(OR(I8359="Invalid - Not Freely Given", I8359="Invalid - Not Specific", I8359="Invalid - Not Informed", I8359="Invalid - Ambiguous"), "Gap - Invalid Consent", "Compliant")))))</f>
        <v/>
      </c>
      <c r="O8359" s="7" t="n"/>
    </row>
    <row r="8360">
      <c r="A8360" s="7" t="n"/>
      <c r="B8360" s="7" t="n"/>
      <c r="C8360" s="7" t="n"/>
      <c r="D8360" s="7" t="n"/>
      <c r="E8360" s="7" t="n"/>
      <c r="F8360" s="7" t="n"/>
      <c r="G8360" s="7" t="n"/>
      <c r="H8360" s="7" t="n"/>
      <c r="I8360" s="7" t="n"/>
      <c r="J8360" s="7" t="n"/>
      <c r="K8360">
        <f>IF(D8360="Legitimate Interest (GDPR Art. 6(1)(f))", "Yes / Required (Sheet 3)", "")</f>
        <v/>
      </c>
      <c r="L8360" s="7" t="n"/>
      <c r="M8360" s="7" t="n"/>
      <c r="N8360">
        <f>IF(D8360="", "Gap - No Legal Basis", IF(AND(D8360="Consent (GDPR Art. 6(1)(a))", I8360="Not Captured"), "Gap - Invalid Consent", IF(AND(D8360="Legitimate Interest (GDPR Art. 6(1)(f))", L8360=""), "Gap - Missing LIA", IF(AND(G8360="Yes", H8360=""), "Gap - Missing Art. 9 Basis", IF(OR(I8360="Invalid - Not Freely Given", I8360="Invalid - Not Specific", I8360="Invalid - Not Informed", I8360="Invalid - Ambiguous"), "Gap - Invalid Consent", "Compliant")))))</f>
        <v/>
      </c>
      <c r="O8360" s="7" t="n"/>
    </row>
    <row r="8361">
      <c r="A8361" s="7" t="n"/>
      <c r="B8361" s="7" t="n"/>
      <c r="C8361" s="7" t="n"/>
      <c r="D8361" s="7" t="n"/>
      <c r="E8361" s="7" t="n"/>
      <c r="F8361" s="7" t="n"/>
      <c r="G8361" s="7" t="n"/>
      <c r="H8361" s="7" t="n"/>
      <c r="I8361" s="7" t="n"/>
      <c r="J8361" s="7" t="n"/>
      <c r="K8361">
        <f>IF(D8361="Legitimate Interest (GDPR Art. 6(1)(f))", "Yes / Required (Sheet 3)", "")</f>
        <v/>
      </c>
      <c r="L8361" s="7" t="n"/>
      <c r="M8361" s="7" t="n"/>
      <c r="N8361">
        <f>IF(D8361="", "Gap - No Legal Basis", IF(AND(D8361="Consent (GDPR Art. 6(1)(a))", I8361="Not Captured"), "Gap - Invalid Consent", IF(AND(D8361="Legitimate Interest (GDPR Art. 6(1)(f))", L8361=""), "Gap - Missing LIA", IF(AND(G8361="Yes", H8361=""), "Gap - Missing Art. 9 Basis", IF(OR(I8361="Invalid - Not Freely Given", I8361="Invalid - Not Specific", I8361="Invalid - Not Informed", I8361="Invalid - Ambiguous"), "Gap - Invalid Consent", "Compliant")))))</f>
        <v/>
      </c>
      <c r="O8361" s="7" t="n"/>
    </row>
    <row r="8362">
      <c r="A8362" s="7" t="n"/>
      <c r="B8362" s="7" t="n"/>
      <c r="C8362" s="7" t="n"/>
      <c r="D8362" s="7" t="n"/>
      <c r="E8362" s="7" t="n"/>
      <c r="F8362" s="7" t="n"/>
      <c r="G8362" s="7" t="n"/>
      <c r="H8362" s="7" t="n"/>
      <c r="I8362" s="7" t="n"/>
      <c r="J8362" s="7" t="n"/>
      <c r="K8362">
        <f>IF(D8362="Legitimate Interest (GDPR Art. 6(1)(f))", "Yes / Required (Sheet 3)", "")</f>
        <v/>
      </c>
      <c r="L8362" s="7" t="n"/>
      <c r="M8362" s="7" t="n"/>
      <c r="N8362">
        <f>IF(D8362="", "Gap - No Legal Basis", IF(AND(D8362="Consent (GDPR Art. 6(1)(a))", I8362="Not Captured"), "Gap - Invalid Consent", IF(AND(D8362="Legitimate Interest (GDPR Art. 6(1)(f))", L8362=""), "Gap - Missing LIA", IF(AND(G8362="Yes", H8362=""), "Gap - Missing Art. 9 Basis", IF(OR(I8362="Invalid - Not Freely Given", I8362="Invalid - Not Specific", I8362="Invalid - Not Informed", I8362="Invalid - Ambiguous"), "Gap - Invalid Consent", "Compliant")))))</f>
        <v/>
      </c>
      <c r="O8362" s="7" t="n"/>
    </row>
    <row r="8363">
      <c r="A8363" s="7" t="n"/>
      <c r="B8363" s="7" t="n"/>
      <c r="C8363" s="7" t="n"/>
      <c r="D8363" s="7" t="n"/>
      <c r="E8363" s="7" t="n"/>
      <c r="F8363" s="7" t="n"/>
      <c r="G8363" s="7" t="n"/>
      <c r="H8363" s="7" t="n"/>
      <c r="I8363" s="7" t="n"/>
      <c r="J8363" s="7" t="n"/>
      <c r="K8363">
        <f>IF(D8363="Legitimate Interest (GDPR Art. 6(1)(f))", "Yes / Required (Sheet 3)", "")</f>
        <v/>
      </c>
      <c r="L8363" s="7" t="n"/>
      <c r="M8363" s="7" t="n"/>
      <c r="N8363">
        <f>IF(D8363="", "Gap - No Legal Basis", IF(AND(D8363="Consent (GDPR Art. 6(1)(a))", I8363="Not Captured"), "Gap - Invalid Consent", IF(AND(D8363="Legitimate Interest (GDPR Art. 6(1)(f))", L8363=""), "Gap - Missing LIA", IF(AND(G8363="Yes", H8363=""), "Gap - Missing Art. 9 Basis", IF(OR(I8363="Invalid - Not Freely Given", I8363="Invalid - Not Specific", I8363="Invalid - Not Informed", I8363="Invalid - Ambiguous"), "Gap - Invalid Consent", "Compliant")))))</f>
        <v/>
      </c>
      <c r="O8363" s="7" t="n"/>
    </row>
    <row r="8364">
      <c r="A8364" s="7" t="n"/>
      <c r="B8364" s="7" t="n"/>
      <c r="C8364" s="7" t="n"/>
      <c r="D8364" s="7" t="n"/>
      <c r="E8364" s="7" t="n"/>
      <c r="F8364" s="7" t="n"/>
      <c r="G8364" s="7" t="n"/>
      <c r="H8364" s="7" t="n"/>
      <c r="I8364" s="7" t="n"/>
      <c r="J8364" s="7" t="n"/>
      <c r="K8364">
        <f>IF(D8364="Legitimate Interest (GDPR Art. 6(1)(f))", "Yes / Required (Sheet 3)", "")</f>
        <v/>
      </c>
      <c r="L8364" s="7" t="n"/>
      <c r="M8364" s="7" t="n"/>
      <c r="N8364">
        <f>IF(D8364="", "Gap - No Legal Basis", IF(AND(D8364="Consent (GDPR Art. 6(1)(a))", I8364="Not Captured"), "Gap - Invalid Consent", IF(AND(D8364="Legitimate Interest (GDPR Art. 6(1)(f))", L8364=""), "Gap - Missing LIA", IF(AND(G8364="Yes", H8364=""), "Gap - Missing Art. 9 Basis", IF(OR(I8364="Invalid - Not Freely Given", I8364="Invalid - Not Specific", I8364="Invalid - Not Informed", I8364="Invalid - Ambiguous"), "Gap - Invalid Consent", "Compliant")))))</f>
        <v/>
      </c>
      <c r="O8364" s="7" t="n"/>
    </row>
    <row r="8365">
      <c r="A8365" s="7" t="n"/>
      <c r="B8365" s="7" t="n"/>
      <c r="C8365" s="7" t="n"/>
      <c r="D8365" s="7" t="n"/>
      <c r="E8365" s="7" t="n"/>
      <c r="F8365" s="7" t="n"/>
      <c r="G8365" s="7" t="n"/>
      <c r="H8365" s="7" t="n"/>
      <c r="I8365" s="7" t="n"/>
      <c r="J8365" s="7" t="n"/>
      <c r="K8365">
        <f>IF(D8365="Legitimate Interest (GDPR Art. 6(1)(f))", "Yes / Required (Sheet 3)", "")</f>
        <v/>
      </c>
      <c r="L8365" s="7" t="n"/>
      <c r="M8365" s="7" t="n"/>
      <c r="N8365">
        <f>IF(D8365="", "Gap - No Legal Basis", IF(AND(D8365="Consent (GDPR Art. 6(1)(a))", I8365="Not Captured"), "Gap - Invalid Consent", IF(AND(D8365="Legitimate Interest (GDPR Art. 6(1)(f))", L8365=""), "Gap - Missing LIA", IF(AND(G8365="Yes", H8365=""), "Gap - Missing Art. 9 Basis", IF(OR(I8365="Invalid - Not Freely Given", I8365="Invalid - Not Specific", I8365="Invalid - Not Informed", I8365="Invalid - Ambiguous"), "Gap - Invalid Consent", "Compliant")))))</f>
        <v/>
      </c>
      <c r="O8365" s="7" t="n"/>
    </row>
    <row r="8366">
      <c r="A8366" s="7" t="n"/>
      <c r="B8366" s="7" t="n"/>
      <c r="C8366" s="7" t="n"/>
      <c r="D8366" s="7" t="n"/>
      <c r="E8366" s="7" t="n"/>
      <c r="F8366" s="7" t="n"/>
      <c r="G8366" s="7" t="n"/>
      <c r="H8366" s="7" t="n"/>
      <c r="I8366" s="7" t="n"/>
      <c r="J8366" s="7" t="n"/>
      <c r="K8366">
        <f>IF(D8366="Legitimate Interest (GDPR Art. 6(1)(f))", "Yes / Required (Sheet 3)", "")</f>
        <v/>
      </c>
      <c r="L8366" s="7" t="n"/>
      <c r="M8366" s="7" t="n"/>
      <c r="N8366">
        <f>IF(D8366="", "Gap - No Legal Basis", IF(AND(D8366="Consent (GDPR Art. 6(1)(a))", I8366="Not Captured"), "Gap - Invalid Consent", IF(AND(D8366="Legitimate Interest (GDPR Art. 6(1)(f))", L8366=""), "Gap - Missing LIA", IF(AND(G8366="Yes", H8366=""), "Gap - Missing Art. 9 Basis", IF(OR(I8366="Invalid - Not Freely Given", I8366="Invalid - Not Specific", I8366="Invalid - Not Informed", I8366="Invalid - Ambiguous"), "Gap - Invalid Consent", "Compliant")))))</f>
        <v/>
      </c>
      <c r="O8366" s="7" t="n"/>
    </row>
    <row r="8367">
      <c r="A8367" s="7" t="n"/>
      <c r="B8367" s="7" t="n"/>
      <c r="C8367" s="7" t="n"/>
      <c r="D8367" s="7" t="n"/>
      <c r="E8367" s="7" t="n"/>
      <c r="F8367" s="7" t="n"/>
      <c r="G8367" s="7" t="n"/>
      <c r="H8367" s="7" t="n"/>
      <c r="I8367" s="7" t="n"/>
      <c r="J8367" s="7" t="n"/>
      <c r="K8367">
        <f>IF(D8367="Legitimate Interest (GDPR Art. 6(1)(f))", "Yes / Required (Sheet 3)", "")</f>
        <v/>
      </c>
      <c r="L8367" s="7" t="n"/>
      <c r="M8367" s="7" t="n"/>
      <c r="N8367">
        <f>IF(D8367="", "Gap - No Legal Basis", IF(AND(D8367="Consent (GDPR Art. 6(1)(a))", I8367="Not Captured"), "Gap - Invalid Consent", IF(AND(D8367="Legitimate Interest (GDPR Art. 6(1)(f))", L8367=""), "Gap - Missing LIA", IF(AND(G8367="Yes", H8367=""), "Gap - Missing Art. 9 Basis", IF(OR(I8367="Invalid - Not Freely Given", I8367="Invalid - Not Specific", I8367="Invalid - Not Informed", I8367="Invalid - Ambiguous"), "Gap - Invalid Consent", "Compliant")))))</f>
        <v/>
      </c>
      <c r="O8367" s="7" t="n"/>
    </row>
    <row r="8368">
      <c r="A8368" s="7" t="n"/>
      <c r="B8368" s="7" t="n"/>
      <c r="C8368" s="7" t="n"/>
      <c r="D8368" s="7" t="n"/>
      <c r="E8368" s="7" t="n"/>
      <c r="F8368" s="7" t="n"/>
      <c r="G8368" s="7" t="n"/>
      <c r="H8368" s="7" t="n"/>
      <c r="I8368" s="7" t="n"/>
      <c r="J8368" s="7" t="n"/>
      <c r="K8368">
        <f>IF(D8368="Legitimate Interest (GDPR Art. 6(1)(f))", "Yes / Required (Sheet 3)", "")</f>
        <v/>
      </c>
      <c r="L8368" s="7" t="n"/>
      <c r="M8368" s="7" t="n"/>
      <c r="N8368">
        <f>IF(D8368="", "Gap - No Legal Basis", IF(AND(D8368="Consent (GDPR Art. 6(1)(a))", I8368="Not Captured"), "Gap - Invalid Consent", IF(AND(D8368="Legitimate Interest (GDPR Art. 6(1)(f))", L8368=""), "Gap - Missing LIA", IF(AND(G8368="Yes", H8368=""), "Gap - Missing Art. 9 Basis", IF(OR(I8368="Invalid - Not Freely Given", I8368="Invalid - Not Specific", I8368="Invalid - Not Informed", I8368="Invalid - Ambiguous"), "Gap - Invalid Consent", "Compliant")))))</f>
        <v/>
      </c>
      <c r="O8368" s="7" t="n"/>
    </row>
    <row r="8369">
      <c r="A8369" s="7" t="n"/>
      <c r="B8369" s="7" t="n"/>
      <c r="C8369" s="7" t="n"/>
      <c r="D8369" s="7" t="n"/>
      <c r="E8369" s="7" t="n"/>
      <c r="F8369" s="7" t="n"/>
      <c r="G8369" s="7" t="n"/>
      <c r="H8369" s="7" t="n"/>
      <c r="I8369" s="7" t="n"/>
      <c r="J8369" s="7" t="n"/>
      <c r="K8369">
        <f>IF(D8369="Legitimate Interest (GDPR Art. 6(1)(f))", "Yes / Required (Sheet 3)", "")</f>
        <v/>
      </c>
      <c r="L8369" s="7" t="n"/>
      <c r="M8369" s="7" t="n"/>
      <c r="N8369">
        <f>IF(D8369="", "Gap - No Legal Basis", IF(AND(D8369="Consent (GDPR Art. 6(1)(a))", I8369="Not Captured"), "Gap - Invalid Consent", IF(AND(D8369="Legitimate Interest (GDPR Art. 6(1)(f))", L8369=""), "Gap - Missing LIA", IF(AND(G8369="Yes", H8369=""), "Gap - Missing Art. 9 Basis", IF(OR(I8369="Invalid - Not Freely Given", I8369="Invalid - Not Specific", I8369="Invalid - Not Informed", I8369="Invalid - Ambiguous"), "Gap - Invalid Consent", "Compliant")))))</f>
        <v/>
      </c>
      <c r="O8369" s="7" t="n"/>
    </row>
    <row r="8370">
      <c r="A8370" s="7" t="n"/>
      <c r="B8370" s="7" t="n"/>
      <c r="C8370" s="7" t="n"/>
      <c r="D8370" s="7" t="n"/>
      <c r="E8370" s="7" t="n"/>
      <c r="F8370" s="7" t="n"/>
      <c r="G8370" s="7" t="n"/>
      <c r="H8370" s="7" t="n"/>
      <c r="I8370" s="7" t="n"/>
      <c r="J8370" s="7" t="n"/>
      <c r="K8370">
        <f>IF(D8370="Legitimate Interest (GDPR Art. 6(1)(f))", "Yes / Required (Sheet 3)", "")</f>
        <v/>
      </c>
      <c r="L8370" s="7" t="n"/>
      <c r="M8370" s="7" t="n"/>
      <c r="N8370">
        <f>IF(D8370="", "Gap - No Legal Basis", IF(AND(D8370="Consent (GDPR Art. 6(1)(a))", I8370="Not Captured"), "Gap - Invalid Consent", IF(AND(D8370="Legitimate Interest (GDPR Art. 6(1)(f))", L8370=""), "Gap - Missing LIA", IF(AND(G8370="Yes", H8370=""), "Gap - Missing Art. 9 Basis", IF(OR(I8370="Invalid - Not Freely Given", I8370="Invalid - Not Specific", I8370="Invalid - Not Informed", I8370="Invalid - Ambiguous"), "Gap - Invalid Consent", "Compliant")))))</f>
        <v/>
      </c>
      <c r="O8370" s="7" t="n"/>
    </row>
    <row r="8371">
      <c r="A8371" s="7" t="n"/>
      <c r="B8371" s="7" t="n"/>
      <c r="C8371" s="7" t="n"/>
      <c r="D8371" s="7" t="n"/>
      <c r="E8371" s="7" t="n"/>
      <c r="F8371" s="7" t="n"/>
      <c r="G8371" s="7" t="n"/>
      <c r="H8371" s="7" t="n"/>
      <c r="I8371" s="7" t="n"/>
      <c r="J8371" s="7" t="n"/>
      <c r="K8371">
        <f>IF(D8371="Legitimate Interest (GDPR Art. 6(1)(f))", "Yes / Required (Sheet 3)", "")</f>
        <v/>
      </c>
      <c r="L8371" s="7" t="n"/>
      <c r="M8371" s="7" t="n"/>
      <c r="N8371">
        <f>IF(D8371="", "Gap - No Legal Basis", IF(AND(D8371="Consent (GDPR Art. 6(1)(a))", I8371="Not Captured"), "Gap - Invalid Consent", IF(AND(D8371="Legitimate Interest (GDPR Art. 6(1)(f))", L8371=""), "Gap - Missing LIA", IF(AND(G8371="Yes", H8371=""), "Gap - Missing Art. 9 Basis", IF(OR(I8371="Invalid - Not Freely Given", I8371="Invalid - Not Specific", I8371="Invalid - Not Informed", I8371="Invalid - Ambiguous"), "Gap - Invalid Consent", "Compliant")))))</f>
        <v/>
      </c>
      <c r="O8371" s="7" t="n"/>
    </row>
    <row r="8372">
      <c r="A8372" s="7" t="n"/>
      <c r="B8372" s="7" t="n"/>
      <c r="C8372" s="7" t="n"/>
      <c r="D8372" s="7" t="n"/>
      <c r="E8372" s="7" t="n"/>
      <c r="F8372" s="7" t="n"/>
      <c r="G8372" s="7" t="n"/>
      <c r="H8372" s="7" t="n"/>
      <c r="I8372" s="7" t="n"/>
      <c r="J8372" s="7" t="n"/>
      <c r="K8372">
        <f>IF(D8372="Legitimate Interest (GDPR Art. 6(1)(f))", "Yes / Required (Sheet 3)", "")</f>
        <v/>
      </c>
      <c r="L8372" s="7" t="n"/>
      <c r="M8372" s="7" t="n"/>
      <c r="N8372">
        <f>IF(D8372="", "Gap - No Legal Basis", IF(AND(D8372="Consent (GDPR Art. 6(1)(a))", I8372="Not Captured"), "Gap - Invalid Consent", IF(AND(D8372="Legitimate Interest (GDPR Art. 6(1)(f))", L8372=""), "Gap - Missing LIA", IF(AND(G8372="Yes", H8372=""), "Gap - Missing Art. 9 Basis", IF(OR(I8372="Invalid - Not Freely Given", I8372="Invalid - Not Specific", I8372="Invalid - Not Informed", I8372="Invalid - Ambiguous"), "Gap - Invalid Consent", "Compliant")))))</f>
        <v/>
      </c>
      <c r="O8372" s="7" t="n"/>
    </row>
    <row r="8373">
      <c r="A8373" s="7" t="n"/>
      <c r="B8373" s="7" t="n"/>
      <c r="C8373" s="7" t="n"/>
      <c r="D8373" s="7" t="n"/>
      <c r="E8373" s="7" t="n"/>
      <c r="F8373" s="7" t="n"/>
      <c r="G8373" s="7" t="n"/>
      <c r="H8373" s="7" t="n"/>
      <c r="I8373" s="7" t="n"/>
      <c r="J8373" s="7" t="n"/>
      <c r="K8373">
        <f>IF(D8373="Legitimate Interest (GDPR Art. 6(1)(f))", "Yes / Required (Sheet 3)", "")</f>
        <v/>
      </c>
      <c r="L8373" s="7" t="n"/>
      <c r="M8373" s="7" t="n"/>
      <c r="N8373">
        <f>IF(D8373="", "Gap - No Legal Basis", IF(AND(D8373="Consent (GDPR Art. 6(1)(a))", I8373="Not Captured"), "Gap - Invalid Consent", IF(AND(D8373="Legitimate Interest (GDPR Art. 6(1)(f))", L8373=""), "Gap - Missing LIA", IF(AND(G8373="Yes", H8373=""), "Gap - Missing Art. 9 Basis", IF(OR(I8373="Invalid - Not Freely Given", I8373="Invalid - Not Specific", I8373="Invalid - Not Informed", I8373="Invalid - Ambiguous"), "Gap - Invalid Consent", "Compliant")))))</f>
        <v/>
      </c>
      <c r="O8373" s="7" t="n"/>
    </row>
    <row r="8374">
      <c r="A8374" s="7" t="n"/>
      <c r="B8374" s="7" t="n"/>
      <c r="C8374" s="7" t="n"/>
      <c r="D8374" s="7" t="n"/>
      <c r="E8374" s="7" t="n"/>
      <c r="F8374" s="7" t="n"/>
      <c r="G8374" s="7" t="n"/>
      <c r="H8374" s="7" t="n"/>
      <c r="I8374" s="7" t="n"/>
      <c r="J8374" s="7" t="n"/>
      <c r="K8374">
        <f>IF(D8374="Legitimate Interest (GDPR Art. 6(1)(f))", "Yes / Required (Sheet 3)", "")</f>
        <v/>
      </c>
      <c r="L8374" s="7" t="n"/>
      <c r="M8374" s="7" t="n"/>
      <c r="N8374">
        <f>IF(D8374="", "Gap - No Legal Basis", IF(AND(D8374="Consent (GDPR Art. 6(1)(a))", I8374="Not Captured"), "Gap - Invalid Consent", IF(AND(D8374="Legitimate Interest (GDPR Art. 6(1)(f))", L8374=""), "Gap - Missing LIA", IF(AND(G8374="Yes", H8374=""), "Gap - Missing Art. 9 Basis", IF(OR(I8374="Invalid - Not Freely Given", I8374="Invalid - Not Specific", I8374="Invalid - Not Informed", I8374="Invalid - Ambiguous"), "Gap - Invalid Consent", "Compliant")))))</f>
        <v/>
      </c>
      <c r="O8374" s="7" t="n"/>
    </row>
    <row r="8375">
      <c r="A8375" s="7" t="n"/>
      <c r="B8375" s="7" t="n"/>
      <c r="C8375" s="7" t="n"/>
      <c r="D8375" s="7" t="n"/>
      <c r="E8375" s="7" t="n"/>
      <c r="F8375" s="7" t="n"/>
      <c r="G8375" s="7" t="n"/>
      <c r="H8375" s="7" t="n"/>
      <c r="I8375" s="7" t="n"/>
      <c r="J8375" s="7" t="n"/>
      <c r="K8375">
        <f>IF(D8375="Legitimate Interest (GDPR Art. 6(1)(f))", "Yes / Required (Sheet 3)", "")</f>
        <v/>
      </c>
      <c r="L8375" s="7" t="n"/>
      <c r="M8375" s="7" t="n"/>
      <c r="N8375">
        <f>IF(D8375="", "Gap - No Legal Basis", IF(AND(D8375="Consent (GDPR Art. 6(1)(a))", I8375="Not Captured"), "Gap - Invalid Consent", IF(AND(D8375="Legitimate Interest (GDPR Art. 6(1)(f))", L8375=""), "Gap - Missing LIA", IF(AND(G8375="Yes", H8375=""), "Gap - Missing Art. 9 Basis", IF(OR(I8375="Invalid - Not Freely Given", I8375="Invalid - Not Specific", I8375="Invalid - Not Informed", I8375="Invalid - Ambiguous"), "Gap - Invalid Consent", "Compliant")))))</f>
        <v/>
      </c>
      <c r="O8375" s="7" t="n"/>
    </row>
    <row r="8376">
      <c r="A8376" s="7" t="n"/>
      <c r="B8376" s="7" t="n"/>
      <c r="C8376" s="7" t="n"/>
      <c r="D8376" s="7" t="n"/>
      <c r="E8376" s="7" t="n"/>
      <c r="F8376" s="7" t="n"/>
      <c r="G8376" s="7" t="n"/>
      <c r="H8376" s="7" t="n"/>
      <c r="I8376" s="7" t="n"/>
      <c r="J8376" s="7" t="n"/>
      <c r="K8376">
        <f>IF(D8376="Legitimate Interest (GDPR Art. 6(1)(f))", "Yes / Required (Sheet 3)", "")</f>
        <v/>
      </c>
      <c r="L8376" s="7" t="n"/>
      <c r="M8376" s="7" t="n"/>
      <c r="N8376">
        <f>IF(D8376="", "Gap - No Legal Basis", IF(AND(D8376="Consent (GDPR Art. 6(1)(a))", I8376="Not Captured"), "Gap - Invalid Consent", IF(AND(D8376="Legitimate Interest (GDPR Art. 6(1)(f))", L8376=""), "Gap - Missing LIA", IF(AND(G8376="Yes", H8376=""), "Gap - Missing Art. 9 Basis", IF(OR(I8376="Invalid - Not Freely Given", I8376="Invalid - Not Specific", I8376="Invalid - Not Informed", I8376="Invalid - Ambiguous"), "Gap - Invalid Consent", "Compliant")))))</f>
        <v/>
      </c>
      <c r="O8376" s="7" t="n"/>
    </row>
    <row r="8377">
      <c r="A8377" s="7" t="n"/>
      <c r="B8377" s="7" t="n"/>
      <c r="C8377" s="7" t="n"/>
      <c r="D8377" s="7" t="n"/>
      <c r="E8377" s="7" t="n"/>
      <c r="F8377" s="7" t="n"/>
      <c r="G8377" s="7" t="n"/>
      <c r="H8377" s="7" t="n"/>
      <c r="I8377" s="7" t="n"/>
      <c r="J8377" s="7" t="n"/>
      <c r="K8377">
        <f>IF(D8377="Legitimate Interest (GDPR Art. 6(1)(f))", "Yes / Required (Sheet 3)", "")</f>
        <v/>
      </c>
      <c r="L8377" s="7" t="n"/>
      <c r="M8377" s="7" t="n"/>
      <c r="N8377">
        <f>IF(D8377="", "Gap - No Legal Basis", IF(AND(D8377="Consent (GDPR Art. 6(1)(a))", I8377="Not Captured"), "Gap - Invalid Consent", IF(AND(D8377="Legitimate Interest (GDPR Art. 6(1)(f))", L8377=""), "Gap - Missing LIA", IF(AND(G8377="Yes", H8377=""), "Gap - Missing Art. 9 Basis", IF(OR(I8377="Invalid - Not Freely Given", I8377="Invalid - Not Specific", I8377="Invalid - Not Informed", I8377="Invalid - Ambiguous"), "Gap - Invalid Consent", "Compliant")))))</f>
        <v/>
      </c>
      <c r="O8377" s="7" t="n"/>
    </row>
    <row r="8378">
      <c r="A8378" s="7" t="n"/>
      <c r="B8378" s="7" t="n"/>
      <c r="C8378" s="7" t="n"/>
      <c r="D8378" s="7" t="n"/>
      <c r="E8378" s="7" t="n"/>
      <c r="F8378" s="7" t="n"/>
      <c r="G8378" s="7" t="n"/>
      <c r="H8378" s="7" t="n"/>
      <c r="I8378" s="7" t="n"/>
      <c r="J8378" s="7" t="n"/>
      <c r="K8378">
        <f>IF(D8378="Legitimate Interest (GDPR Art. 6(1)(f))", "Yes / Required (Sheet 3)", "")</f>
        <v/>
      </c>
      <c r="L8378" s="7" t="n"/>
      <c r="M8378" s="7" t="n"/>
      <c r="N8378">
        <f>IF(D8378="", "Gap - No Legal Basis", IF(AND(D8378="Consent (GDPR Art. 6(1)(a))", I8378="Not Captured"), "Gap - Invalid Consent", IF(AND(D8378="Legitimate Interest (GDPR Art. 6(1)(f))", L8378=""), "Gap - Missing LIA", IF(AND(G8378="Yes", H8378=""), "Gap - Missing Art. 9 Basis", IF(OR(I8378="Invalid - Not Freely Given", I8378="Invalid - Not Specific", I8378="Invalid - Not Informed", I8378="Invalid - Ambiguous"), "Gap - Invalid Consent", "Compliant")))))</f>
        <v/>
      </c>
      <c r="O8378" s="7" t="n"/>
    </row>
    <row r="8379">
      <c r="A8379" s="7" t="n"/>
      <c r="B8379" s="7" t="n"/>
      <c r="C8379" s="7" t="n"/>
      <c r="D8379" s="7" t="n"/>
      <c r="E8379" s="7" t="n"/>
      <c r="F8379" s="7" t="n"/>
      <c r="G8379" s="7" t="n"/>
      <c r="H8379" s="7" t="n"/>
      <c r="I8379" s="7" t="n"/>
      <c r="J8379" s="7" t="n"/>
      <c r="K8379">
        <f>IF(D8379="Legitimate Interest (GDPR Art. 6(1)(f))", "Yes / Required (Sheet 3)", "")</f>
        <v/>
      </c>
      <c r="L8379" s="7" t="n"/>
      <c r="M8379" s="7" t="n"/>
      <c r="N8379">
        <f>IF(D8379="", "Gap - No Legal Basis", IF(AND(D8379="Consent (GDPR Art. 6(1)(a))", I8379="Not Captured"), "Gap - Invalid Consent", IF(AND(D8379="Legitimate Interest (GDPR Art. 6(1)(f))", L8379=""), "Gap - Missing LIA", IF(AND(G8379="Yes", H8379=""), "Gap - Missing Art. 9 Basis", IF(OR(I8379="Invalid - Not Freely Given", I8379="Invalid - Not Specific", I8379="Invalid - Not Informed", I8379="Invalid - Ambiguous"), "Gap - Invalid Consent", "Compliant")))))</f>
        <v/>
      </c>
      <c r="O8379" s="7" t="n"/>
    </row>
    <row r="8380">
      <c r="A8380" s="7" t="n"/>
      <c r="B8380" s="7" t="n"/>
      <c r="C8380" s="7" t="n"/>
      <c r="D8380" s="7" t="n"/>
      <c r="E8380" s="7" t="n"/>
      <c r="F8380" s="7" t="n"/>
      <c r="G8380" s="7" t="n"/>
      <c r="H8380" s="7" t="n"/>
      <c r="I8380" s="7" t="n"/>
      <c r="J8380" s="7" t="n"/>
      <c r="K8380">
        <f>IF(D8380="Legitimate Interest (GDPR Art. 6(1)(f))", "Yes / Required (Sheet 3)", "")</f>
        <v/>
      </c>
      <c r="L8380" s="7" t="n"/>
      <c r="M8380" s="7" t="n"/>
      <c r="N8380">
        <f>IF(D8380="", "Gap - No Legal Basis", IF(AND(D8380="Consent (GDPR Art. 6(1)(a))", I8380="Not Captured"), "Gap - Invalid Consent", IF(AND(D8380="Legitimate Interest (GDPR Art. 6(1)(f))", L8380=""), "Gap - Missing LIA", IF(AND(G8380="Yes", H8380=""), "Gap - Missing Art. 9 Basis", IF(OR(I8380="Invalid - Not Freely Given", I8380="Invalid - Not Specific", I8380="Invalid - Not Informed", I8380="Invalid - Ambiguous"), "Gap - Invalid Consent", "Compliant")))))</f>
        <v/>
      </c>
      <c r="O8380" s="7" t="n"/>
    </row>
    <row r="8381">
      <c r="A8381" s="7" t="n"/>
      <c r="B8381" s="7" t="n"/>
      <c r="C8381" s="7" t="n"/>
      <c r="D8381" s="7" t="n"/>
      <c r="E8381" s="7" t="n"/>
      <c r="F8381" s="7" t="n"/>
      <c r="G8381" s="7" t="n"/>
      <c r="H8381" s="7" t="n"/>
      <c r="I8381" s="7" t="n"/>
      <c r="J8381" s="7" t="n"/>
      <c r="K8381">
        <f>IF(D8381="Legitimate Interest (GDPR Art. 6(1)(f))", "Yes / Required (Sheet 3)", "")</f>
        <v/>
      </c>
      <c r="L8381" s="7" t="n"/>
      <c r="M8381" s="7" t="n"/>
      <c r="N8381">
        <f>IF(D8381="", "Gap - No Legal Basis", IF(AND(D8381="Consent (GDPR Art. 6(1)(a))", I8381="Not Captured"), "Gap - Invalid Consent", IF(AND(D8381="Legitimate Interest (GDPR Art. 6(1)(f))", L8381=""), "Gap - Missing LIA", IF(AND(G8381="Yes", H8381=""), "Gap - Missing Art. 9 Basis", IF(OR(I8381="Invalid - Not Freely Given", I8381="Invalid - Not Specific", I8381="Invalid - Not Informed", I8381="Invalid - Ambiguous"), "Gap - Invalid Consent", "Compliant")))))</f>
        <v/>
      </c>
      <c r="O8381" s="7" t="n"/>
    </row>
    <row r="8382">
      <c r="A8382" s="7" t="n"/>
      <c r="B8382" s="7" t="n"/>
      <c r="C8382" s="7" t="n"/>
      <c r="D8382" s="7" t="n"/>
      <c r="E8382" s="7" t="n"/>
      <c r="F8382" s="7" t="n"/>
      <c r="G8382" s="7" t="n"/>
      <c r="H8382" s="7" t="n"/>
      <c r="I8382" s="7" t="n"/>
      <c r="J8382" s="7" t="n"/>
      <c r="K8382">
        <f>IF(D8382="Legitimate Interest (GDPR Art. 6(1)(f))", "Yes / Required (Sheet 3)", "")</f>
        <v/>
      </c>
      <c r="L8382" s="7" t="n"/>
      <c r="M8382" s="7" t="n"/>
      <c r="N8382">
        <f>IF(D8382="", "Gap - No Legal Basis", IF(AND(D8382="Consent (GDPR Art. 6(1)(a))", I8382="Not Captured"), "Gap - Invalid Consent", IF(AND(D8382="Legitimate Interest (GDPR Art. 6(1)(f))", L8382=""), "Gap - Missing LIA", IF(AND(G8382="Yes", H8382=""), "Gap - Missing Art. 9 Basis", IF(OR(I8382="Invalid - Not Freely Given", I8382="Invalid - Not Specific", I8382="Invalid - Not Informed", I8382="Invalid - Ambiguous"), "Gap - Invalid Consent", "Compliant")))))</f>
        <v/>
      </c>
      <c r="O8382" s="7" t="n"/>
    </row>
    <row r="8383">
      <c r="A8383" s="7" t="n"/>
      <c r="B8383" s="7" t="n"/>
      <c r="C8383" s="7" t="n"/>
      <c r="D8383" s="7" t="n"/>
      <c r="E8383" s="7" t="n"/>
      <c r="F8383" s="7" t="n"/>
      <c r="G8383" s="7" t="n"/>
      <c r="H8383" s="7" t="n"/>
      <c r="I8383" s="7" t="n"/>
      <c r="J8383" s="7" t="n"/>
      <c r="K8383">
        <f>IF(D8383="Legitimate Interest (GDPR Art. 6(1)(f))", "Yes / Required (Sheet 3)", "")</f>
        <v/>
      </c>
      <c r="L8383" s="7" t="n"/>
      <c r="M8383" s="7" t="n"/>
      <c r="N8383">
        <f>IF(D8383="", "Gap - No Legal Basis", IF(AND(D8383="Consent (GDPR Art. 6(1)(a))", I8383="Not Captured"), "Gap - Invalid Consent", IF(AND(D8383="Legitimate Interest (GDPR Art. 6(1)(f))", L8383=""), "Gap - Missing LIA", IF(AND(G8383="Yes", H8383=""), "Gap - Missing Art. 9 Basis", IF(OR(I8383="Invalid - Not Freely Given", I8383="Invalid - Not Specific", I8383="Invalid - Not Informed", I8383="Invalid - Ambiguous"), "Gap - Invalid Consent", "Compliant")))))</f>
        <v/>
      </c>
      <c r="O8383" s="7" t="n"/>
    </row>
    <row r="8384">
      <c r="A8384" s="7" t="n"/>
      <c r="B8384" s="7" t="n"/>
      <c r="C8384" s="7" t="n"/>
      <c r="D8384" s="7" t="n"/>
      <c r="E8384" s="7" t="n"/>
      <c r="F8384" s="7" t="n"/>
      <c r="G8384" s="7" t="n"/>
      <c r="H8384" s="7" t="n"/>
      <c r="I8384" s="7" t="n"/>
      <c r="J8384" s="7" t="n"/>
      <c r="K8384">
        <f>IF(D8384="Legitimate Interest (GDPR Art. 6(1)(f))", "Yes / Required (Sheet 3)", "")</f>
        <v/>
      </c>
      <c r="L8384" s="7" t="n"/>
      <c r="M8384" s="7" t="n"/>
      <c r="N8384">
        <f>IF(D8384="", "Gap - No Legal Basis", IF(AND(D8384="Consent (GDPR Art. 6(1)(a))", I8384="Not Captured"), "Gap - Invalid Consent", IF(AND(D8384="Legitimate Interest (GDPR Art. 6(1)(f))", L8384=""), "Gap - Missing LIA", IF(AND(G8384="Yes", H8384=""), "Gap - Missing Art. 9 Basis", IF(OR(I8384="Invalid - Not Freely Given", I8384="Invalid - Not Specific", I8384="Invalid - Not Informed", I8384="Invalid - Ambiguous"), "Gap - Invalid Consent", "Compliant")))))</f>
        <v/>
      </c>
      <c r="O8384" s="7" t="n"/>
    </row>
    <row r="8385">
      <c r="A8385" s="7" t="n"/>
      <c r="B8385" s="7" t="n"/>
      <c r="C8385" s="7" t="n"/>
      <c r="D8385" s="7" t="n"/>
      <c r="E8385" s="7" t="n"/>
      <c r="F8385" s="7" t="n"/>
      <c r="G8385" s="7" t="n"/>
      <c r="H8385" s="7" t="n"/>
      <c r="I8385" s="7" t="n"/>
      <c r="J8385" s="7" t="n"/>
      <c r="K8385">
        <f>IF(D8385="Legitimate Interest (GDPR Art. 6(1)(f))", "Yes / Required (Sheet 3)", "")</f>
        <v/>
      </c>
      <c r="L8385" s="7" t="n"/>
      <c r="M8385" s="7" t="n"/>
      <c r="N8385">
        <f>IF(D8385="", "Gap - No Legal Basis", IF(AND(D8385="Consent (GDPR Art. 6(1)(a))", I8385="Not Captured"), "Gap - Invalid Consent", IF(AND(D8385="Legitimate Interest (GDPR Art. 6(1)(f))", L8385=""), "Gap - Missing LIA", IF(AND(G8385="Yes", H8385=""), "Gap - Missing Art. 9 Basis", IF(OR(I8385="Invalid - Not Freely Given", I8385="Invalid - Not Specific", I8385="Invalid - Not Informed", I8385="Invalid - Ambiguous"), "Gap - Invalid Consent", "Compliant")))))</f>
        <v/>
      </c>
      <c r="O8385" s="7" t="n"/>
    </row>
    <row r="8386">
      <c r="A8386" s="7" t="n"/>
      <c r="B8386" s="7" t="n"/>
      <c r="C8386" s="7" t="n"/>
      <c r="D8386" s="7" t="n"/>
      <c r="E8386" s="7" t="n"/>
      <c r="F8386" s="7" t="n"/>
      <c r="G8386" s="7" t="n"/>
      <c r="H8386" s="7" t="n"/>
      <c r="I8386" s="7" t="n"/>
      <c r="J8386" s="7" t="n"/>
      <c r="K8386">
        <f>IF(D8386="Legitimate Interest (GDPR Art. 6(1)(f))", "Yes / Required (Sheet 3)", "")</f>
        <v/>
      </c>
      <c r="L8386" s="7" t="n"/>
      <c r="M8386" s="7" t="n"/>
      <c r="N8386">
        <f>IF(D8386="", "Gap - No Legal Basis", IF(AND(D8386="Consent (GDPR Art. 6(1)(a))", I8386="Not Captured"), "Gap - Invalid Consent", IF(AND(D8386="Legitimate Interest (GDPR Art. 6(1)(f))", L8386=""), "Gap - Missing LIA", IF(AND(G8386="Yes", H8386=""), "Gap - Missing Art. 9 Basis", IF(OR(I8386="Invalid - Not Freely Given", I8386="Invalid - Not Specific", I8386="Invalid - Not Informed", I8386="Invalid - Ambiguous"), "Gap - Invalid Consent", "Compliant")))))</f>
        <v/>
      </c>
      <c r="O8386" s="7" t="n"/>
    </row>
    <row r="8387">
      <c r="A8387" s="7" t="n"/>
      <c r="B8387" s="7" t="n"/>
      <c r="C8387" s="7" t="n"/>
      <c r="D8387" s="7" t="n"/>
      <c r="E8387" s="7" t="n"/>
      <c r="F8387" s="7" t="n"/>
      <c r="G8387" s="7" t="n"/>
      <c r="H8387" s="7" t="n"/>
      <c r="I8387" s="7" t="n"/>
      <c r="J8387" s="7" t="n"/>
      <c r="K8387">
        <f>IF(D8387="Legitimate Interest (GDPR Art. 6(1)(f))", "Yes / Required (Sheet 3)", "")</f>
        <v/>
      </c>
      <c r="L8387" s="7" t="n"/>
      <c r="M8387" s="7" t="n"/>
      <c r="N8387">
        <f>IF(D8387="", "Gap - No Legal Basis", IF(AND(D8387="Consent (GDPR Art. 6(1)(a))", I8387="Not Captured"), "Gap - Invalid Consent", IF(AND(D8387="Legitimate Interest (GDPR Art. 6(1)(f))", L8387=""), "Gap - Missing LIA", IF(AND(G8387="Yes", H8387=""), "Gap - Missing Art. 9 Basis", IF(OR(I8387="Invalid - Not Freely Given", I8387="Invalid - Not Specific", I8387="Invalid - Not Informed", I8387="Invalid - Ambiguous"), "Gap - Invalid Consent", "Compliant")))))</f>
        <v/>
      </c>
      <c r="O8387" s="7" t="n"/>
    </row>
    <row r="8388">
      <c r="A8388" s="7" t="n"/>
      <c r="B8388" s="7" t="n"/>
      <c r="C8388" s="7" t="n"/>
      <c r="D8388" s="7" t="n"/>
      <c r="E8388" s="7" t="n"/>
      <c r="F8388" s="7" t="n"/>
      <c r="G8388" s="7" t="n"/>
      <c r="H8388" s="7" t="n"/>
      <c r="I8388" s="7" t="n"/>
      <c r="J8388" s="7" t="n"/>
      <c r="K8388">
        <f>IF(D8388="Legitimate Interest (GDPR Art. 6(1)(f))", "Yes / Required (Sheet 3)", "")</f>
        <v/>
      </c>
      <c r="L8388" s="7" t="n"/>
      <c r="M8388" s="7" t="n"/>
      <c r="N8388">
        <f>IF(D8388="", "Gap - No Legal Basis", IF(AND(D8388="Consent (GDPR Art. 6(1)(a))", I8388="Not Captured"), "Gap - Invalid Consent", IF(AND(D8388="Legitimate Interest (GDPR Art. 6(1)(f))", L8388=""), "Gap - Missing LIA", IF(AND(G8388="Yes", H8388=""), "Gap - Missing Art. 9 Basis", IF(OR(I8388="Invalid - Not Freely Given", I8388="Invalid - Not Specific", I8388="Invalid - Not Informed", I8388="Invalid - Ambiguous"), "Gap - Invalid Consent", "Compliant")))))</f>
        <v/>
      </c>
      <c r="O8388" s="7" t="n"/>
    </row>
    <row r="8389">
      <c r="A8389" s="7" t="n"/>
      <c r="B8389" s="7" t="n"/>
      <c r="C8389" s="7" t="n"/>
      <c r="D8389" s="7" t="n"/>
      <c r="E8389" s="7" t="n"/>
      <c r="F8389" s="7" t="n"/>
      <c r="G8389" s="7" t="n"/>
      <c r="H8389" s="7" t="n"/>
      <c r="I8389" s="7" t="n"/>
      <c r="J8389" s="7" t="n"/>
      <c r="K8389">
        <f>IF(D8389="Legitimate Interest (GDPR Art. 6(1)(f))", "Yes / Required (Sheet 3)", "")</f>
        <v/>
      </c>
      <c r="L8389" s="7" t="n"/>
      <c r="M8389" s="7" t="n"/>
      <c r="N8389">
        <f>IF(D8389="", "Gap - No Legal Basis", IF(AND(D8389="Consent (GDPR Art. 6(1)(a))", I8389="Not Captured"), "Gap - Invalid Consent", IF(AND(D8389="Legitimate Interest (GDPR Art. 6(1)(f))", L8389=""), "Gap - Missing LIA", IF(AND(G8389="Yes", H8389=""), "Gap - Missing Art. 9 Basis", IF(OR(I8389="Invalid - Not Freely Given", I8389="Invalid - Not Specific", I8389="Invalid - Not Informed", I8389="Invalid - Ambiguous"), "Gap - Invalid Consent", "Compliant")))))</f>
        <v/>
      </c>
      <c r="O8389" s="7" t="n"/>
    </row>
    <row r="8390">
      <c r="A8390" s="7" t="n"/>
      <c r="B8390" s="7" t="n"/>
      <c r="C8390" s="7" t="n"/>
      <c r="D8390" s="7" t="n"/>
      <c r="E8390" s="7" t="n"/>
      <c r="F8390" s="7" t="n"/>
      <c r="G8390" s="7" t="n"/>
      <c r="H8390" s="7" t="n"/>
      <c r="I8390" s="7" t="n"/>
      <c r="J8390" s="7" t="n"/>
      <c r="K8390">
        <f>IF(D8390="Legitimate Interest (GDPR Art. 6(1)(f))", "Yes / Required (Sheet 3)", "")</f>
        <v/>
      </c>
      <c r="L8390" s="7" t="n"/>
      <c r="M8390" s="7" t="n"/>
      <c r="N8390">
        <f>IF(D8390="", "Gap - No Legal Basis", IF(AND(D8390="Consent (GDPR Art. 6(1)(a))", I8390="Not Captured"), "Gap - Invalid Consent", IF(AND(D8390="Legitimate Interest (GDPR Art. 6(1)(f))", L8390=""), "Gap - Missing LIA", IF(AND(G8390="Yes", H8390=""), "Gap - Missing Art. 9 Basis", IF(OR(I8390="Invalid - Not Freely Given", I8390="Invalid - Not Specific", I8390="Invalid - Not Informed", I8390="Invalid - Ambiguous"), "Gap - Invalid Consent", "Compliant")))))</f>
        <v/>
      </c>
      <c r="O8390" s="7" t="n"/>
    </row>
    <row r="8391">
      <c r="A8391" s="7" t="n"/>
      <c r="B8391" s="7" t="n"/>
      <c r="C8391" s="7" t="n"/>
      <c r="D8391" s="7" t="n"/>
      <c r="E8391" s="7" t="n"/>
      <c r="F8391" s="7" t="n"/>
      <c r="G8391" s="7" t="n"/>
      <c r="H8391" s="7" t="n"/>
      <c r="I8391" s="7" t="n"/>
      <c r="J8391" s="7" t="n"/>
      <c r="K8391">
        <f>IF(D8391="Legitimate Interest (GDPR Art. 6(1)(f))", "Yes / Required (Sheet 3)", "")</f>
        <v/>
      </c>
      <c r="L8391" s="7" t="n"/>
      <c r="M8391" s="7" t="n"/>
      <c r="N8391">
        <f>IF(D8391="", "Gap - No Legal Basis", IF(AND(D8391="Consent (GDPR Art. 6(1)(a))", I8391="Not Captured"), "Gap - Invalid Consent", IF(AND(D8391="Legitimate Interest (GDPR Art. 6(1)(f))", L8391=""), "Gap - Missing LIA", IF(AND(G8391="Yes", H8391=""), "Gap - Missing Art. 9 Basis", IF(OR(I8391="Invalid - Not Freely Given", I8391="Invalid - Not Specific", I8391="Invalid - Not Informed", I8391="Invalid - Ambiguous"), "Gap - Invalid Consent", "Compliant")))))</f>
        <v/>
      </c>
      <c r="O8391" s="7" t="n"/>
    </row>
    <row r="8392">
      <c r="A8392" s="7" t="n"/>
      <c r="B8392" s="7" t="n"/>
      <c r="C8392" s="7" t="n"/>
      <c r="D8392" s="7" t="n"/>
      <c r="E8392" s="7" t="n"/>
      <c r="F8392" s="7" t="n"/>
      <c r="G8392" s="7" t="n"/>
      <c r="H8392" s="7" t="n"/>
      <c r="I8392" s="7" t="n"/>
      <c r="J8392" s="7" t="n"/>
      <c r="K8392">
        <f>IF(D8392="Legitimate Interest (GDPR Art. 6(1)(f))", "Yes / Required (Sheet 3)", "")</f>
        <v/>
      </c>
      <c r="L8392" s="7" t="n"/>
      <c r="M8392" s="7" t="n"/>
      <c r="N8392">
        <f>IF(D8392="", "Gap - No Legal Basis", IF(AND(D8392="Consent (GDPR Art. 6(1)(a))", I8392="Not Captured"), "Gap - Invalid Consent", IF(AND(D8392="Legitimate Interest (GDPR Art. 6(1)(f))", L8392=""), "Gap - Missing LIA", IF(AND(G8392="Yes", H8392=""), "Gap - Missing Art. 9 Basis", IF(OR(I8392="Invalid - Not Freely Given", I8392="Invalid - Not Specific", I8392="Invalid - Not Informed", I8392="Invalid - Ambiguous"), "Gap - Invalid Consent", "Compliant")))))</f>
        <v/>
      </c>
      <c r="O8392" s="7" t="n"/>
    </row>
    <row r="8393">
      <c r="A8393" s="7" t="n"/>
      <c r="B8393" s="7" t="n"/>
      <c r="C8393" s="7" t="n"/>
      <c r="D8393" s="7" t="n"/>
      <c r="E8393" s="7" t="n"/>
      <c r="F8393" s="7" t="n"/>
      <c r="G8393" s="7" t="n"/>
      <c r="H8393" s="7" t="n"/>
      <c r="I8393" s="7" t="n"/>
      <c r="J8393" s="7" t="n"/>
      <c r="K8393">
        <f>IF(D8393="Legitimate Interest (GDPR Art. 6(1)(f))", "Yes / Required (Sheet 3)", "")</f>
        <v/>
      </c>
      <c r="L8393" s="7" t="n"/>
      <c r="M8393" s="7" t="n"/>
      <c r="N8393">
        <f>IF(D8393="", "Gap - No Legal Basis", IF(AND(D8393="Consent (GDPR Art. 6(1)(a))", I8393="Not Captured"), "Gap - Invalid Consent", IF(AND(D8393="Legitimate Interest (GDPR Art. 6(1)(f))", L8393=""), "Gap - Missing LIA", IF(AND(G8393="Yes", H8393=""), "Gap - Missing Art. 9 Basis", IF(OR(I8393="Invalid - Not Freely Given", I8393="Invalid - Not Specific", I8393="Invalid - Not Informed", I8393="Invalid - Ambiguous"), "Gap - Invalid Consent", "Compliant")))))</f>
        <v/>
      </c>
      <c r="O8393" s="7" t="n"/>
    </row>
    <row r="8394">
      <c r="A8394" s="7" t="n"/>
      <c r="B8394" s="7" t="n"/>
      <c r="C8394" s="7" t="n"/>
      <c r="D8394" s="7" t="n"/>
      <c r="E8394" s="7" t="n"/>
      <c r="F8394" s="7" t="n"/>
      <c r="G8394" s="7" t="n"/>
      <c r="H8394" s="7" t="n"/>
      <c r="I8394" s="7" t="n"/>
      <c r="J8394" s="7" t="n"/>
      <c r="K8394">
        <f>IF(D8394="Legitimate Interest (GDPR Art. 6(1)(f))", "Yes / Required (Sheet 3)", "")</f>
        <v/>
      </c>
      <c r="L8394" s="7" t="n"/>
      <c r="M8394" s="7" t="n"/>
      <c r="N8394">
        <f>IF(D8394="", "Gap - No Legal Basis", IF(AND(D8394="Consent (GDPR Art. 6(1)(a))", I8394="Not Captured"), "Gap - Invalid Consent", IF(AND(D8394="Legitimate Interest (GDPR Art. 6(1)(f))", L8394=""), "Gap - Missing LIA", IF(AND(G8394="Yes", H8394=""), "Gap - Missing Art. 9 Basis", IF(OR(I8394="Invalid - Not Freely Given", I8394="Invalid - Not Specific", I8394="Invalid - Not Informed", I8394="Invalid - Ambiguous"), "Gap - Invalid Consent", "Compliant")))))</f>
        <v/>
      </c>
      <c r="O8394" s="7" t="n"/>
    </row>
    <row r="8395">
      <c r="A8395" s="7" t="n"/>
      <c r="B8395" s="7" t="n"/>
      <c r="C8395" s="7" t="n"/>
      <c r="D8395" s="7" t="n"/>
      <c r="E8395" s="7" t="n"/>
      <c r="F8395" s="7" t="n"/>
      <c r="G8395" s="7" t="n"/>
      <c r="H8395" s="7" t="n"/>
      <c r="I8395" s="7" t="n"/>
      <c r="J8395" s="7" t="n"/>
      <c r="K8395">
        <f>IF(D8395="Legitimate Interest (GDPR Art. 6(1)(f))", "Yes / Required (Sheet 3)", "")</f>
        <v/>
      </c>
      <c r="L8395" s="7" t="n"/>
      <c r="M8395" s="7" t="n"/>
      <c r="N8395">
        <f>IF(D8395="", "Gap - No Legal Basis", IF(AND(D8395="Consent (GDPR Art. 6(1)(a))", I8395="Not Captured"), "Gap - Invalid Consent", IF(AND(D8395="Legitimate Interest (GDPR Art. 6(1)(f))", L8395=""), "Gap - Missing LIA", IF(AND(G8395="Yes", H8395=""), "Gap - Missing Art. 9 Basis", IF(OR(I8395="Invalid - Not Freely Given", I8395="Invalid - Not Specific", I8395="Invalid - Not Informed", I8395="Invalid - Ambiguous"), "Gap - Invalid Consent", "Compliant")))))</f>
        <v/>
      </c>
      <c r="O8395" s="7" t="n"/>
    </row>
    <row r="8396">
      <c r="A8396" s="7" t="n"/>
      <c r="B8396" s="7" t="n"/>
      <c r="C8396" s="7" t="n"/>
      <c r="D8396" s="7" t="n"/>
      <c r="E8396" s="7" t="n"/>
      <c r="F8396" s="7" t="n"/>
      <c r="G8396" s="7" t="n"/>
      <c r="H8396" s="7" t="n"/>
      <c r="I8396" s="7" t="n"/>
      <c r="J8396" s="7" t="n"/>
      <c r="K8396">
        <f>IF(D8396="Legitimate Interest (GDPR Art. 6(1)(f))", "Yes / Required (Sheet 3)", "")</f>
        <v/>
      </c>
      <c r="L8396" s="7" t="n"/>
      <c r="M8396" s="7" t="n"/>
      <c r="N8396">
        <f>IF(D8396="", "Gap - No Legal Basis", IF(AND(D8396="Consent (GDPR Art. 6(1)(a))", I8396="Not Captured"), "Gap - Invalid Consent", IF(AND(D8396="Legitimate Interest (GDPR Art. 6(1)(f))", L8396=""), "Gap - Missing LIA", IF(AND(G8396="Yes", H8396=""), "Gap - Missing Art. 9 Basis", IF(OR(I8396="Invalid - Not Freely Given", I8396="Invalid - Not Specific", I8396="Invalid - Not Informed", I8396="Invalid - Ambiguous"), "Gap - Invalid Consent", "Compliant")))))</f>
        <v/>
      </c>
      <c r="O8396" s="7" t="n"/>
    </row>
    <row r="8397">
      <c r="A8397" s="7" t="n"/>
      <c r="B8397" s="7" t="n"/>
      <c r="C8397" s="7" t="n"/>
      <c r="D8397" s="7" t="n"/>
      <c r="E8397" s="7" t="n"/>
      <c r="F8397" s="7" t="n"/>
      <c r="G8397" s="7" t="n"/>
      <c r="H8397" s="7" t="n"/>
      <c r="I8397" s="7" t="n"/>
      <c r="J8397" s="7" t="n"/>
      <c r="K8397">
        <f>IF(D8397="Legitimate Interest (GDPR Art. 6(1)(f))", "Yes / Required (Sheet 3)", "")</f>
        <v/>
      </c>
      <c r="L8397" s="7" t="n"/>
      <c r="M8397" s="7" t="n"/>
      <c r="N8397">
        <f>IF(D8397="", "Gap - No Legal Basis", IF(AND(D8397="Consent (GDPR Art. 6(1)(a))", I8397="Not Captured"), "Gap - Invalid Consent", IF(AND(D8397="Legitimate Interest (GDPR Art. 6(1)(f))", L8397=""), "Gap - Missing LIA", IF(AND(G8397="Yes", H8397=""), "Gap - Missing Art. 9 Basis", IF(OR(I8397="Invalid - Not Freely Given", I8397="Invalid - Not Specific", I8397="Invalid - Not Informed", I8397="Invalid - Ambiguous"), "Gap - Invalid Consent", "Compliant")))))</f>
        <v/>
      </c>
      <c r="O8397" s="7" t="n"/>
    </row>
    <row r="8398">
      <c r="A8398" s="7" t="n"/>
      <c r="B8398" s="7" t="n"/>
      <c r="C8398" s="7" t="n"/>
      <c r="D8398" s="7" t="n"/>
      <c r="E8398" s="7" t="n"/>
      <c r="F8398" s="7" t="n"/>
      <c r="G8398" s="7" t="n"/>
      <c r="H8398" s="7" t="n"/>
      <c r="I8398" s="7" t="n"/>
      <c r="J8398" s="7" t="n"/>
      <c r="K8398">
        <f>IF(D8398="Legitimate Interest (GDPR Art. 6(1)(f))", "Yes / Required (Sheet 3)", "")</f>
        <v/>
      </c>
      <c r="L8398" s="7" t="n"/>
      <c r="M8398" s="7" t="n"/>
      <c r="N8398">
        <f>IF(D8398="", "Gap - No Legal Basis", IF(AND(D8398="Consent (GDPR Art. 6(1)(a))", I8398="Not Captured"), "Gap - Invalid Consent", IF(AND(D8398="Legitimate Interest (GDPR Art. 6(1)(f))", L8398=""), "Gap - Missing LIA", IF(AND(G8398="Yes", H8398=""), "Gap - Missing Art. 9 Basis", IF(OR(I8398="Invalid - Not Freely Given", I8398="Invalid - Not Specific", I8398="Invalid - Not Informed", I8398="Invalid - Ambiguous"), "Gap - Invalid Consent", "Compliant")))))</f>
        <v/>
      </c>
      <c r="O8398" s="7" t="n"/>
    </row>
    <row r="8399">
      <c r="A8399" s="7" t="n"/>
      <c r="B8399" s="7" t="n"/>
      <c r="C8399" s="7" t="n"/>
      <c r="D8399" s="7" t="n"/>
      <c r="E8399" s="7" t="n"/>
      <c r="F8399" s="7" t="n"/>
      <c r="G8399" s="7" t="n"/>
      <c r="H8399" s="7" t="n"/>
      <c r="I8399" s="7" t="n"/>
      <c r="J8399" s="7" t="n"/>
      <c r="K8399">
        <f>IF(D8399="Legitimate Interest (GDPR Art. 6(1)(f))", "Yes / Required (Sheet 3)", "")</f>
        <v/>
      </c>
      <c r="L8399" s="7" t="n"/>
      <c r="M8399" s="7" t="n"/>
      <c r="N8399">
        <f>IF(D8399="", "Gap - No Legal Basis", IF(AND(D8399="Consent (GDPR Art. 6(1)(a))", I8399="Not Captured"), "Gap - Invalid Consent", IF(AND(D8399="Legitimate Interest (GDPR Art. 6(1)(f))", L8399=""), "Gap - Missing LIA", IF(AND(G8399="Yes", H8399=""), "Gap - Missing Art. 9 Basis", IF(OR(I8399="Invalid - Not Freely Given", I8399="Invalid - Not Specific", I8399="Invalid - Not Informed", I8399="Invalid - Ambiguous"), "Gap - Invalid Consent", "Compliant")))))</f>
        <v/>
      </c>
      <c r="O8399" s="7" t="n"/>
    </row>
    <row r="8400">
      <c r="A8400" s="7" t="n"/>
      <c r="B8400" s="7" t="n"/>
      <c r="C8400" s="7" t="n"/>
      <c r="D8400" s="7" t="n"/>
      <c r="E8400" s="7" t="n"/>
      <c r="F8400" s="7" t="n"/>
      <c r="G8400" s="7" t="n"/>
      <c r="H8400" s="7" t="n"/>
      <c r="I8400" s="7" t="n"/>
      <c r="J8400" s="7" t="n"/>
      <c r="K8400">
        <f>IF(D8400="Legitimate Interest (GDPR Art. 6(1)(f))", "Yes / Required (Sheet 3)", "")</f>
        <v/>
      </c>
      <c r="L8400" s="7" t="n"/>
      <c r="M8400" s="7" t="n"/>
      <c r="N8400">
        <f>IF(D8400="", "Gap - No Legal Basis", IF(AND(D8400="Consent (GDPR Art. 6(1)(a))", I8400="Not Captured"), "Gap - Invalid Consent", IF(AND(D8400="Legitimate Interest (GDPR Art. 6(1)(f))", L8400=""), "Gap - Missing LIA", IF(AND(G8400="Yes", H8400=""), "Gap - Missing Art. 9 Basis", IF(OR(I8400="Invalid - Not Freely Given", I8400="Invalid - Not Specific", I8400="Invalid - Not Informed", I8400="Invalid - Ambiguous"), "Gap - Invalid Consent", "Compliant")))))</f>
        <v/>
      </c>
      <c r="O8400" s="7" t="n"/>
    </row>
    <row r="8401">
      <c r="A8401" s="7" t="n"/>
      <c r="B8401" s="7" t="n"/>
      <c r="C8401" s="7" t="n"/>
      <c r="D8401" s="7" t="n"/>
      <c r="E8401" s="7" t="n"/>
      <c r="F8401" s="7" t="n"/>
      <c r="G8401" s="7" t="n"/>
      <c r="H8401" s="7" t="n"/>
      <c r="I8401" s="7" t="n"/>
      <c r="J8401" s="7" t="n"/>
      <c r="K8401">
        <f>IF(D8401="Legitimate Interest (GDPR Art. 6(1)(f))", "Yes / Required (Sheet 3)", "")</f>
        <v/>
      </c>
      <c r="L8401" s="7" t="n"/>
      <c r="M8401" s="7" t="n"/>
      <c r="N8401">
        <f>IF(D8401="", "Gap - No Legal Basis", IF(AND(D8401="Consent (GDPR Art. 6(1)(a))", I8401="Not Captured"), "Gap - Invalid Consent", IF(AND(D8401="Legitimate Interest (GDPR Art. 6(1)(f))", L8401=""), "Gap - Missing LIA", IF(AND(G8401="Yes", H8401=""), "Gap - Missing Art. 9 Basis", IF(OR(I8401="Invalid - Not Freely Given", I8401="Invalid - Not Specific", I8401="Invalid - Not Informed", I8401="Invalid - Ambiguous"), "Gap - Invalid Consent", "Compliant")))))</f>
        <v/>
      </c>
      <c r="O8401" s="7" t="n"/>
    </row>
    <row r="8402">
      <c r="A8402" s="7" t="n"/>
      <c r="B8402" s="7" t="n"/>
      <c r="C8402" s="7" t="n"/>
      <c r="D8402" s="7" t="n"/>
      <c r="E8402" s="7" t="n"/>
      <c r="F8402" s="7" t="n"/>
      <c r="G8402" s="7" t="n"/>
      <c r="H8402" s="7" t="n"/>
      <c r="I8402" s="7" t="n"/>
      <c r="J8402" s="7" t="n"/>
      <c r="K8402">
        <f>IF(D8402="Legitimate Interest (GDPR Art. 6(1)(f))", "Yes / Required (Sheet 3)", "")</f>
        <v/>
      </c>
      <c r="L8402" s="7" t="n"/>
      <c r="M8402" s="7" t="n"/>
      <c r="N8402">
        <f>IF(D8402="", "Gap - No Legal Basis", IF(AND(D8402="Consent (GDPR Art. 6(1)(a))", I8402="Not Captured"), "Gap - Invalid Consent", IF(AND(D8402="Legitimate Interest (GDPR Art. 6(1)(f))", L8402=""), "Gap - Missing LIA", IF(AND(G8402="Yes", H8402=""), "Gap - Missing Art. 9 Basis", IF(OR(I8402="Invalid - Not Freely Given", I8402="Invalid - Not Specific", I8402="Invalid - Not Informed", I8402="Invalid - Ambiguous"), "Gap - Invalid Consent", "Compliant")))))</f>
        <v/>
      </c>
      <c r="O8402" s="7" t="n"/>
    </row>
    <row r="8403">
      <c r="A8403" s="7" t="n"/>
      <c r="B8403" s="7" t="n"/>
      <c r="C8403" s="7" t="n"/>
      <c r="D8403" s="7" t="n"/>
      <c r="E8403" s="7" t="n"/>
      <c r="F8403" s="7" t="n"/>
      <c r="G8403" s="7" t="n"/>
      <c r="H8403" s="7" t="n"/>
      <c r="I8403" s="7" t="n"/>
      <c r="J8403" s="7" t="n"/>
      <c r="K8403">
        <f>IF(D8403="Legitimate Interest (GDPR Art. 6(1)(f))", "Yes / Required (Sheet 3)", "")</f>
        <v/>
      </c>
      <c r="L8403" s="7" t="n"/>
      <c r="M8403" s="7" t="n"/>
      <c r="N8403">
        <f>IF(D8403="", "Gap - No Legal Basis", IF(AND(D8403="Consent (GDPR Art. 6(1)(a))", I8403="Not Captured"), "Gap - Invalid Consent", IF(AND(D8403="Legitimate Interest (GDPR Art. 6(1)(f))", L8403=""), "Gap - Missing LIA", IF(AND(G8403="Yes", H8403=""), "Gap - Missing Art. 9 Basis", IF(OR(I8403="Invalid - Not Freely Given", I8403="Invalid - Not Specific", I8403="Invalid - Not Informed", I8403="Invalid - Ambiguous"), "Gap - Invalid Consent", "Compliant")))))</f>
        <v/>
      </c>
      <c r="O8403" s="7" t="n"/>
    </row>
    <row r="8404">
      <c r="A8404" s="7" t="n"/>
      <c r="B8404" s="7" t="n"/>
      <c r="C8404" s="7" t="n"/>
      <c r="D8404" s="7" t="n"/>
      <c r="E8404" s="7" t="n"/>
      <c r="F8404" s="7" t="n"/>
      <c r="G8404" s="7" t="n"/>
      <c r="H8404" s="7" t="n"/>
      <c r="I8404" s="7" t="n"/>
      <c r="J8404" s="7" t="n"/>
      <c r="K8404">
        <f>IF(D8404="Legitimate Interest (GDPR Art. 6(1)(f))", "Yes / Required (Sheet 3)", "")</f>
        <v/>
      </c>
      <c r="L8404" s="7" t="n"/>
      <c r="M8404" s="7" t="n"/>
      <c r="N8404">
        <f>IF(D8404="", "Gap - No Legal Basis", IF(AND(D8404="Consent (GDPR Art. 6(1)(a))", I8404="Not Captured"), "Gap - Invalid Consent", IF(AND(D8404="Legitimate Interest (GDPR Art. 6(1)(f))", L8404=""), "Gap - Missing LIA", IF(AND(G8404="Yes", H8404=""), "Gap - Missing Art. 9 Basis", IF(OR(I8404="Invalid - Not Freely Given", I8404="Invalid - Not Specific", I8404="Invalid - Not Informed", I8404="Invalid - Ambiguous"), "Gap - Invalid Consent", "Compliant")))))</f>
        <v/>
      </c>
      <c r="O8404" s="7" t="n"/>
    </row>
    <row r="8405">
      <c r="A8405" s="7" t="n"/>
      <c r="B8405" s="7" t="n"/>
      <c r="C8405" s="7" t="n"/>
      <c r="D8405" s="7" t="n"/>
      <c r="E8405" s="7" t="n"/>
      <c r="F8405" s="7" t="n"/>
      <c r="G8405" s="7" t="n"/>
      <c r="H8405" s="7" t="n"/>
      <c r="I8405" s="7" t="n"/>
      <c r="J8405" s="7" t="n"/>
      <c r="K8405">
        <f>IF(D8405="Legitimate Interest (GDPR Art. 6(1)(f))", "Yes / Required (Sheet 3)", "")</f>
        <v/>
      </c>
      <c r="L8405" s="7" t="n"/>
      <c r="M8405" s="7" t="n"/>
      <c r="N8405">
        <f>IF(D8405="", "Gap - No Legal Basis", IF(AND(D8405="Consent (GDPR Art. 6(1)(a))", I8405="Not Captured"), "Gap - Invalid Consent", IF(AND(D8405="Legitimate Interest (GDPR Art. 6(1)(f))", L8405=""), "Gap - Missing LIA", IF(AND(G8405="Yes", H8405=""), "Gap - Missing Art. 9 Basis", IF(OR(I8405="Invalid - Not Freely Given", I8405="Invalid - Not Specific", I8405="Invalid - Not Informed", I8405="Invalid - Ambiguous"), "Gap - Invalid Consent", "Compliant")))))</f>
        <v/>
      </c>
      <c r="O8405" s="7" t="n"/>
    </row>
    <row r="8406">
      <c r="A8406" s="7" t="n"/>
      <c r="B8406" s="7" t="n"/>
      <c r="C8406" s="7" t="n"/>
      <c r="D8406" s="7" t="n"/>
      <c r="E8406" s="7" t="n"/>
      <c r="F8406" s="7" t="n"/>
      <c r="G8406" s="7" t="n"/>
      <c r="H8406" s="7" t="n"/>
      <c r="I8406" s="7" t="n"/>
      <c r="J8406" s="7" t="n"/>
      <c r="K8406">
        <f>IF(D8406="Legitimate Interest (GDPR Art. 6(1)(f))", "Yes / Required (Sheet 3)", "")</f>
        <v/>
      </c>
      <c r="L8406" s="7" t="n"/>
      <c r="M8406" s="7" t="n"/>
      <c r="N8406">
        <f>IF(D8406="", "Gap - No Legal Basis", IF(AND(D8406="Consent (GDPR Art. 6(1)(a))", I8406="Not Captured"), "Gap - Invalid Consent", IF(AND(D8406="Legitimate Interest (GDPR Art. 6(1)(f))", L8406=""), "Gap - Missing LIA", IF(AND(G8406="Yes", H8406=""), "Gap - Missing Art. 9 Basis", IF(OR(I8406="Invalid - Not Freely Given", I8406="Invalid - Not Specific", I8406="Invalid - Not Informed", I8406="Invalid - Ambiguous"), "Gap - Invalid Consent", "Compliant")))))</f>
        <v/>
      </c>
      <c r="O8406" s="7" t="n"/>
    </row>
    <row r="8407">
      <c r="A8407" s="7" t="n"/>
      <c r="B8407" s="7" t="n"/>
      <c r="C8407" s="7" t="n"/>
      <c r="D8407" s="7" t="n"/>
      <c r="E8407" s="7" t="n"/>
      <c r="F8407" s="7" t="n"/>
      <c r="G8407" s="7" t="n"/>
      <c r="H8407" s="7" t="n"/>
      <c r="I8407" s="7" t="n"/>
      <c r="J8407" s="7" t="n"/>
      <c r="K8407">
        <f>IF(D8407="Legitimate Interest (GDPR Art. 6(1)(f))", "Yes / Required (Sheet 3)", "")</f>
        <v/>
      </c>
      <c r="L8407" s="7" t="n"/>
      <c r="M8407" s="7" t="n"/>
      <c r="N8407">
        <f>IF(D8407="", "Gap - No Legal Basis", IF(AND(D8407="Consent (GDPR Art. 6(1)(a))", I8407="Not Captured"), "Gap - Invalid Consent", IF(AND(D8407="Legitimate Interest (GDPR Art. 6(1)(f))", L8407=""), "Gap - Missing LIA", IF(AND(G8407="Yes", H8407=""), "Gap - Missing Art. 9 Basis", IF(OR(I8407="Invalid - Not Freely Given", I8407="Invalid - Not Specific", I8407="Invalid - Not Informed", I8407="Invalid - Ambiguous"), "Gap - Invalid Consent", "Compliant")))))</f>
        <v/>
      </c>
      <c r="O8407" s="7" t="n"/>
    </row>
    <row r="8408">
      <c r="A8408" s="7" t="n"/>
      <c r="B8408" s="7" t="n"/>
      <c r="C8408" s="7" t="n"/>
      <c r="D8408" s="7" t="n"/>
      <c r="E8408" s="7" t="n"/>
      <c r="F8408" s="7" t="n"/>
      <c r="G8408" s="7" t="n"/>
      <c r="H8408" s="7" t="n"/>
      <c r="I8408" s="7" t="n"/>
      <c r="J8408" s="7" t="n"/>
      <c r="K8408">
        <f>IF(D8408="Legitimate Interest (GDPR Art. 6(1)(f))", "Yes / Required (Sheet 3)", "")</f>
        <v/>
      </c>
      <c r="L8408" s="7" t="n"/>
      <c r="M8408" s="7" t="n"/>
      <c r="N8408">
        <f>IF(D8408="", "Gap - No Legal Basis", IF(AND(D8408="Consent (GDPR Art. 6(1)(a))", I8408="Not Captured"), "Gap - Invalid Consent", IF(AND(D8408="Legitimate Interest (GDPR Art. 6(1)(f))", L8408=""), "Gap - Missing LIA", IF(AND(G8408="Yes", H8408=""), "Gap - Missing Art. 9 Basis", IF(OR(I8408="Invalid - Not Freely Given", I8408="Invalid - Not Specific", I8408="Invalid - Not Informed", I8408="Invalid - Ambiguous"), "Gap - Invalid Consent", "Compliant")))))</f>
        <v/>
      </c>
      <c r="O8408" s="7" t="n"/>
    </row>
    <row r="8409">
      <c r="A8409" s="7" t="n"/>
      <c r="B8409" s="7" t="n"/>
      <c r="C8409" s="7" t="n"/>
      <c r="D8409" s="7" t="n"/>
      <c r="E8409" s="7" t="n"/>
      <c r="F8409" s="7" t="n"/>
      <c r="G8409" s="7" t="n"/>
      <c r="H8409" s="7" t="n"/>
      <c r="I8409" s="7" t="n"/>
      <c r="J8409" s="7" t="n"/>
      <c r="K8409">
        <f>IF(D8409="Legitimate Interest (GDPR Art. 6(1)(f))", "Yes / Required (Sheet 3)", "")</f>
        <v/>
      </c>
      <c r="L8409" s="7" t="n"/>
      <c r="M8409" s="7" t="n"/>
      <c r="N8409">
        <f>IF(D8409="", "Gap - No Legal Basis", IF(AND(D8409="Consent (GDPR Art. 6(1)(a))", I8409="Not Captured"), "Gap - Invalid Consent", IF(AND(D8409="Legitimate Interest (GDPR Art. 6(1)(f))", L8409=""), "Gap - Missing LIA", IF(AND(G8409="Yes", H8409=""), "Gap - Missing Art. 9 Basis", IF(OR(I8409="Invalid - Not Freely Given", I8409="Invalid - Not Specific", I8409="Invalid - Not Informed", I8409="Invalid - Ambiguous"), "Gap - Invalid Consent", "Compliant")))))</f>
        <v/>
      </c>
      <c r="O8409" s="7" t="n"/>
    </row>
    <row r="8410">
      <c r="A8410" s="7" t="n"/>
      <c r="B8410" s="7" t="n"/>
      <c r="C8410" s="7" t="n"/>
      <c r="D8410" s="7" t="n"/>
      <c r="E8410" s="7" t="n"/>
      <c r="F8410" s="7" t="n"/>
      <c r="G8410" s="7" t="n"/>
      <c r="H8410" s="7" t="n"/>
      <c r="I8410" s="7" t="n"/>
      <c r="J8410" s="7" t="n"/>
      <c r="K8410">
        <f>IF(D8410="Legitimate Interest (GDPR Art. 6(1)(f))", "Yes / Required (Sheet 3)", "")</f>
        <v/>
      </c>
      <c r="L8410" s="7" t="n"/>
      <c r="M8410" s="7" t="n"/>
      <c r="N8410">
        <f>IF(D8410="", "Gap - No Legal Basis", IF(AND(D8410="Consent (GDPR Art. 6(1)(a))", I8410="Not Captured"), "Gap - Invalid Consent", IF(AND(D8410="Legitimate Interest (GDPR Art. 6(1)(f))", L8410=""), "Gap - Missing LIA", IF(AND(G8410="Yes", H8410=""), "Gap - Missing Art. 9 Basis", IF(OR(I8410="Invalid - Not Freely Given", I8410="Invalid - Not Specific", I8410="Invalid - Not Informed", I8410="Invalid - Ambiguous"), "Gap - Invalid Consent", "Compliant")))))</f>
        <v/>
      </c>
      <c r="O8410" s="7" t="n"/>
    </row>
    <row r="8411">
      <c r="A8411" s="7" t="n"/>
      <c r="B8411" s="7" t="n"/>
      <c r="C8411" s="7" t="n"/>
      <c r="D8411" s="7" t="n"/>
      <c r="E8411" s="7" t="n"/>
      <c r="F8411" s="7" t="n"/>
      <c r="G8411" s="7" t="n"/>
      <c r="H8411" s="7" t="n"/>
      <c r="I8411" s="7" t="n"/>
      <c r="J8411" s="7" t="n"/>
      <c r="K8411">
        <f>IF(D8411="Legitimate Interest (GDPR Art. 6(1)(f))", "Yes / Required (Sheet 3)", "")</f>
        <v/>
      </c>
      <c r="L8411" s="7" t="n"/>
      <c r="M8411" s="7" t="n"/>
      <c r="N8411">
        <f>IF(D8411="", "Gap - No Legal Basis", IF(AND(D8411="Consent (GDPR Art. 6(1)(a))", I8411="Not Captured"), "Gap - Invalid Consent", IF(AND(D8411="Legitimate Interest (GDPR Art. 6(1)(f))", L8411=""), "Gap - Missing LIA", IF(AND(G8411="Yes", H8411=""), "Gap - Missing Art. 9 Basis", IF(OR(I8411="Invalid - Not Freely Given", I8411="Invalid - Not Specific", I8411="Invalid - Not Informed", I8411="Invalid - Ambiguous"), "Gap - Invalid Consent", "Compliant")))))</f>
        <v/>
      </c>
      <c r="O8411" s="7" t="n"/>
    </row>
    <row r="8412">
      <c r="A8412" s="7" t="n"/>
      <c r="B8412" s="7" t="n"/>
      <c r="C8412" s="7" t="n"/>
      <c r="D8412" s="7" t="n"/>
      <c r="E8412" s="7" t="n"/>
      <c r="F8412" s="7" t="n"/>
      <c r="G8412" s="7" t="n"/>
      <c r="H8412" s="7" t="n"/>
      <c r="I8412" s="7" t="n"/>
      <c r="J8412" s="7" t="n"/>
      <c r="K8412">
        <f>IF(D8412="Legitimate Interest (GDPR Art. 6(1)(f))", "Yes / Required (Sheet 3)", "")</f>
        <v/>
      </c>
      <c r="L8412" s="7" t="n"/>
      <c r="M8412" s="7" t="n"/>
      <c r="N8412">
        <f>IF(D8412="", "Gap - No Legal Basis", IF(AND(D8412="Consent (GDPR Art. 6(1)(a))", I8412="Not Captured"), "Gap - Invalid Consent", IF(AND(D8412="Legitimate Interest (GDPR Art. 6(1)(f))", L8412=""), "Gap - Missing LIA", IF(AND(G8412="Yes", H8412=""), "Gap - Missing Art. 9 Basis", IF(OR(I8412="Invalid - Not Freely Given", I8412="Invalid - Not Specific", I8412="Invalid - Not Informed", I8412="Invalid - Ambiguous"), "Gap - Invalid Consent", "Compliant")))))</f>
        <v/>
      </c>
      <c r="O8412" s="7" t="n"/>
    </row>
    <row r="8413">
      <c r="A8413" s="7" t="n"/>
      <c r="B8413" s="7" t="n"/>
      <c r="C8413" s="7" t="n"/>
      <c r="D8413" s="7" t="n"/>
      <c r="E8413" s="7" t="n"/>
      <c r="F8413" s="7" t="n"/>
      <c r="G8413" s="7" t="n"/>
      <c r="H8413" s="7" t="n"/>
      <c r="I8413" s="7" t="n"/>
      <c r="J8413" s="7" t="n"/>
      <c r="K8413">
        <f>IF(D8413="Legitimate Interest (GDPR Art. 6(1)(f))", "Yes / Required (Sheet 3)", "")</f>
        <v/>
      </c>
      <c r="L8413" s="7" t="n"/>
      <c r="M8413" s="7" t="n"/>
      <c r="N8413">
        <f>IF(D8413="", "Gap - No Legal Basis", IF(AND(D8413="Consent (GDPR Art. 6(1)(a))", I8413="Not Captured"), "Gap - Invalid Consent", IF(AND(D8413="Legitimate Interest (GDPR Art. 6(1)(f))", L8413=""), "Gap - Missing LIA", IF(AND(G8413="Yes", H8413=""), "Gap - Missing Art. 9 Basis", IF(OR(I8413="Invalid - Not Freely Given", I8413="Invalid - Not Specific", I8413="Invalid - Not Informed", I8413="Invalid - Ambiguous"), "Gap - Invalid Consent", "Compliant")))))</f>
        <v/>
      </c>
      <c r="O8413" s="7" t="n"/>
    </row>
    <row r="8414">
      <c r="A8414" s="7" t="n"/>
      <c r="B8414" s="7" t="n"/>
      <c r="C8414" s="7" t="n"/>
      <c r="D8414" s="7" t="n"/>
      <c r="E8414" s="7" t="n"/>
      <c r="F8414" s="7" t="n"/>
      <c r="G8414" s="7" t="n"/>
      <c r="H8414" s="7" t="n"/>
      <c r="I8414" s="7" t="n"/>
      <c r="J8414" s="7" t="n"/>
      <c r="K8414">
        <f>IF(D8414="Legitimate Interest (GDPR Art. 6(1)(f))", "Yes / Required (Sheet 3)", "")</f>
        <v/>
      </c>
      <c r="L8414" s="7" t="n"/>
      <c r="M8414" s="7" t="n"/>
      <c r="N8414">
        <f>IF(D8414="", "Gap - No Legal Basis", IF(AND(D8414="Consent (GDPR Art. 6(1)(a))", I8414="Not Captured"), "Gap - Invalid Consent", IF(AND(D8414="Legitimate Interest (GDPR Art. 6(1)(f))", L8414=""), "Gap - Missing LIA", IF(AND(G8414="Yes", H8414=""), "Gap - Missing Art. 9 Basis", IF(OR(I8414="Invalid - Not Freely Given", I8414="Invalid - Not Specific", I8414="Invalid - Not Informed", I8414="Invalid - Ambiguous"), "Gap - Invalid Consent", "Compliant")))))</f>
        <v/>
      </c>
      <c r="O8414" s="7" t="n"/>
    </row>
    <row r="8415">
      <c r="A8415" s="7" t="n"/>
      <c r="B8415" s="7" t="n"/>
      <c r="C8415" s="7" t="n"/>
      <c r="D8415" s="7" t="n"/>
      <c r="E8415" s="7" t="n"/>
      <c r="F8415" s="7" t="n"/>
      <c r="G8415" s="7" t="n"/>
      <c r="H8415" s="7" t="n"/>
      <c r="I8415" s="7" t="n"/>
      <c r="J8415" s="7" t="n"/>
      <c r="K8415">
        <f>IF(D8415="Legitimate Interest (GDPR Art. 6(1)(f))", "Yes / Required (Sheet 3)", "")</f>
        <v/>
      </c>
      <c r="L8415" s="7" t="n"/>
      <c r="M8415" s="7" t="n"/>
      <c r="N8415">
        <f>IF(D8415="", "Gap - No Legal Basis", IF(AND(D8415="Consent (GDPR Art. 6(1)(a))", I8415="Not Captured"), "Gap - Invalid Consent", IF(AND(D8415="Legitimate Interest (GDPR Art. 6(1)(f))", L8415=""), "Gap - Missing LIA", IF(AND(G8415="Yes", H8415=""), "Gap - Missing Art. 9 Basis", IF(OR(I8415="Invalid - Not Freely Given", I8415="Invalid - Not Specific", I8415="Invalid - Not Informed", I8415="Invalid - Ambiguous"), "Gap - Invalid Consent", "Compliant")))))</f>
        <v/>
      </c>
      <c r="O8415" s="7" t="n"/>
    </row>
    <row r="8416">
      <c r="A8416" s="7" t="n"/>
      <c r="B8416" s="7" t="n"/>
      <c r="C8416" s="7" t="n"/>
      <c r="D8416" s="7" t="n"/>
      <c r="E8416" s="7" t="n"/>
      <c r="F8416" s="7" t="n"/>
      <c r="G8416" s="7" t="n"/>
      <c r="H8416" s="7" t="n"/>
      <c r="I8416" s="7" t="n"/>
      <c r="J8416" s="7" t="n"/>
      <c r="K8416">
        <f>IF(D8416="Legitimate Interest (GDPR Art. 6(1)(f))", "Yes / Required (Sheet 3)", "")</f>
        <v/>
      </c>
      <c r="L8416" s="7" t="n"/>
      <c r="M8416" s="7" t="n"/>
      <c r="N8416">
        <f>IF(D8416="", "Gap - No Legal Basis", IF(AND(D8416="Consent (GDPR Art. 6(1)(a))", I8416="Not Captured"), "Gap - Invalid Consent", IF(AND(D8416="Legitimate Interest (GDPR Art. 6(1)(f))", L8416=""), "Gap - Missing LIA", IF(AND(G8416="Yes", H8416=""), "Gap - Missing Art. 9 Basis", IF(OR(I8416="Invalid - Not Freely Given", I8416="Invalid - Not Specific", I8416="Invalid - Not Informed", I8416="Invalid - Ambiguous"), "Gap - Invalid Consent", "Compliant")))))</f>
        <v/>
      </c>
      <c r="O8416" s="7" t="n"/>
    </row>
    <row r="8417">
      <c r="A8417" s="7" t="n"/>
      <c r="B8417" s="7" t="n"/>
      <c r="C8417" s="7" t="n"/>
      <c r="D8417" s="7" t="n"/>
      <c r="E8417" s="7" t="n"/>
      <c r="F8417" s="7" t="n"/>
      <c r="G8417" s="7" t="n"/>
      <c r="H8417" s="7" t="n"/>
      <c r="I8417" s="7" t="n"/>
      <c r="J8417" s="7" t="n"/>
      <c r="K8417">
        <f>IF(D8417="Legitimate Interest (GDPR Art. 6(1)(f))", "Yes / Required (Sheet 3)", "")</f>
        <v/>
      </c>
      <c r="L8417" s="7" t="n"/>
      <c r="M8417" s="7" t="n"/>
      <c r="N8417">
        <f>IF(D8417="", "Gap - No Legal Basis", IF(AND(D8417="Consent (GDPR Art. 6(1)(a))", I8417="Not Captured"), "Gap - Invalid Consent", IF(AND(D8417="Legitimate Interest (GDPR Art. 6(1)(f))", L8417=""), "Gap - Missing LIA", IF(AND(G8417="Yes", H8417=""), "Gap - Missing Art. 9 Basis", IF(OR(I8417="Invalid - Not Freely Given", I8417="Invalid - Not Specific", I8417="Invalid - Not Informed", I8417="Invalid - Ambiguous"), "Gap - Invalid Consent", "Compliant")))))</f>
        <v/>
      </c>
      <c r="O8417" s="7" t="n"/>
    </row>
    <row r="8418">
      <c r="A8418" s="7" t="n"/>
      <c r="B8418" s="7" t="n"/>
      <c r="C8418" s="7" t="n"/>
      <c r="D8418" s="7" t="n"/>
      <c r="E8418" s="7" t="n"/>
      <c r="F8418" s="7" t="n"/>
      <c r="G8418" s="7" t="n"/>
      <c r="H8418" s="7" t="n"/>
      <c r="I8418" s="7" t="n"/>
      <c r="J8418" s="7" t="n"/>
      <c r="K8418">
        <f>IF(D8418="Legitimate Interest (GDPR Art. 6(1)(f))", "Yes / Required (Sheet 3)", "")</f>
        <v/>
      </c>
      <c r="L8418" s="7" t="n"/>
      <c r="M8418" s="7" t="n"/>
      <c r="N8418">
        <f>IF(D8418="", "Gap - No Legal Basis", IF(AND(D8418="Consent (GDPR Art. 6(1)(a))", I8418="Not Captured"), "Gap - Invalid Consent", IF(AND(D8418="Legitimate Interest (GDPR Art. 6(1)(f))", L8418=""), "Gap - Missing LIA", IF(AND(G8418="Yes", H8418=""), "Gap - Missing Art. 9 Basis", IF(OR(I8418="Invalid - Not Freely Given", I8418="Invalid - Not Specific", I8418="Invalid - Not Informed", I8418="Invalid - Ambiguous"), "Gap - Invalid Consent", "Compliant")))))</f>
        <v/>
      </c>
      <c r="O8418" s="7" t="n"/>
    </row>
    <row r="8419">
      <c r="A8419" s="7" t="n"/>
      <c r="B8419" s="7" t="n"/>
      <c r="C8419" s="7" t="n"/>
      <c r="D8419" s="7" t="n"/>
      <c r="E8419" s="7" t="n"/>
      <c r="F8419" s="7" t="n"/>
      <c r="G8419" s="7" t="n"/>
      <c r="H8419" s="7" t="n"/>
      <c r="I8419" s="7" t="n"/>
      <c r="J8419" s="7" t="n"/>
      <c r="K8419">
        <f>IF(D8419="Legitimate Interest (GDPR Art. 6(1)(f))", "Yes / Required (Sheet 3)", "")</f>
        <v/>
      </c>
      <c r="L8419" s="7" t="n"/>
      <c r="M8419" s="7" t="n"/>
      <c r="N8419">
        <f>IF(D8419="", "Gap - No Legal Basis", IF(AND(D8419="Consent (GDPR Art. 6(1)(a))", I8419="Not Captured"), "Gap - Invalid Consent", IF(AND(D8419="Legitimate Interest (GDPR Art. 6(1)(f))", L8419=""), "Gap - Missing LIA", IF(AND(G8419="Yes", H8419=""), "Gap - Missing Art. 9 Basis", IF(OR(I8419="Invalid - Not Freely Given", I8419="Invalid - Not Specific", I8419="Invalid - Not Informed", I8419="Invalid - Ambiguous"), "Gap - Invalid Consent", "Compliant")))))</f>
        <v/>
      </c>
      <c r="O8419" s="7" t="n"/>
    </row>
    <row r="8420">
      <c r="A8420" s="7" t="n"/>
      <c r="B8420" s="7" t="n"/>
      <c r="C8420" s="7" t="n"/>
      <c r="D8420" s="7" t="n"/>
      <c r="E8420" s="7" t="n"/>
      <c r="F8420" s="7" t="n"/>
      <c r="G8420" s="7" t="n"/>
      <c r="H8420" s="7" t="n"/>
      <c r="I8420" s="7" t="n"/>
      <c r="J8420" s="7" t="n"/>
      <c r="K8420">
        <f>IF(D8420="Legitimate Interest (GDPR Art. 6(1)(f))", "Yes / Required (Sheet 3)", "")</f>
        <v/>
      </c>
      <c r="L8420" s="7" t="n"/>
      <c r="M8420" s="7" t="n"/>
      <c r="N8420">
        <f>IF(D8420="", "Gap - No Legal Basis", IF(AND(D8420="Consent (GDPR Art. 6(1)(a))", I8420="Not Captured"), "Gap - Invalid Consent", IF(AND(D8420="Legitimate Interest (GDPR Art. 6(1)(f))", L8420=""), "Gap - Missing LIA", IF(AND(G8420="Yes", H8420=""), "Gap - Missing Art. 9 Basis", IF(OR(I8420="Invalid - Not Freely Given", I8420="Invalid - Not Specific", I8420="Invalid - Not Informed", I8420="Invalid - Ambiguous"), "Gap - Invalid Consent", "Compliant")))))</f>
        <v/>
      </c>
      <c r="O8420" s="7" t="n"/>
    </row>
    <row r="8421">
      <c r="A8421" s="7" t="n"/>
      <c r="B8421" s="7" t="n"/>
      <c r="C8421" s="7" t="n"/>
      <c r="D8421" s="7" t="n"/>
      <c r="E8421" s="7" t="n"/>
      <c r="F8421" s="7" t="n"/>
      <c r="G8421" s="7" t="n"/>
      <c r="H8421" s="7" t="n"/>
      <c r="I8421" s="7" t="n"/>
      <c r="J8421" s="7" t="n"/>
      <c r="K8421">
        <f>IF(D8421="Legitimate Interest (GDPR Art. 6(1)(f))", "Yes / Required (Sheet 3)", "")</f>
        <v/>
      </c>
      <c r="L8421" s="7" t="n"/>
      <c r="M8421" s="7" t="n"/>
      <c r="N8421">
        <f>IF(D8421="", "Gap - No Legal Basis", IF(AND(D8421="Consent (GDPR Art. 6(1)(a))", I8421="Not Captured"), "Gap - Invalid Consent", IF(AND(D8421="Legitimate Interest (GDPR Art. 6(1)(f))", L8421=""), "Gap - Missing LIA", IF(AND(G8421="Yes", H8421=""), "Gap - Missing Art. 9 Basis", IF(OR(I8421="Invalid - Not Freely Given", I8421="Invalid - Not Specific", I8421="Invalid - Not Informed", I8421="Invalid - Ambiguous"), "Gap - Invalid Consent", "Compliant")))))</f>
        <v/>
      </c>
      <c r="O8421" s="7" t="n"/>
    </row>
    <row r="8422">
      <c r="A8422" s="7" t="n"/>
      <c r="B8422" s="7" t="n"/>
      <c r="C8422" s="7" t="n"/>
      <c r="D8422" s="7" t="n"/>
      <c r="E8422" s="7" t="n"/>
      <c r="F8422" s="7" t="n"/>
      <c r="G8422" s="7" t="n"/>
      <c r="H8422" s="7" t="n"/>
      <c r="I8422" s="7" t="n"/>
      <c r="J8422" s="7" t="n"/>
      <c r="K8422">
        <f>IF(D8422="Legitimate Interest (GDPR Art. 6(1)(f))", "Yes / Required (Sheet 3)", "")</f>
        <v/>
      </c>
      <c r="L8422" s="7" t="n"/>
      <c r="M8422" s="7" t="n"/>
      <c r="N8422">
        <f>IF(D8422="", "Gap - No Legal Basis", IF(AND(D8422="Consent (GDPR Art. 6(1)(a))", I8422="Not Captured"), "Gap - Invalid Consent", IF(AND(D8422="Legitimate Interest (GDPR Art. 6(1)(f))", L8422=""), "Gap - Missing LIA", IF(AND(G8422="Yes", H8422=""), "Gap - Missing Art. 9 Basis", IF(OR(I8422="Invalid - Not Freely Given", I8422="Invalid - Not Specific", I8422="Invalid - Not Informed", I8422="Invalid - Ambiguous"), "Gap - Invalid Consent", "Compliant")))))</f>
        <v/>
      </c>
      <c r="O8422" s="7" t="n"/>
    </row>
    <row r="8423">
      <c r="A8423" s="7" t="n"/>
      <c r="B8423" s="7" t="n"/>
      <c r="C8423" s="7" t="n"/>
      <c r="D8423" s="7" t="n"/>
      <c r="E8423" s="7" t="n"/>
      <c r="F8423" s="7" t="n"/>
      <c r="G8423" s="7" t="n"/>
      <c r="H8423" s="7" t="n"/>
      <c r="I8423" s="7" t="n"/>
      <c r="J8423" s="7" t="n"/>
      <c r="K8423">
        <f>IF(D8423="Legitimate Interest (GDPR Art. 6(1)(f))", "Yes / Required (Sheet 3)", "")</f>
        <v/>
      </c>
      <c r="L8423" s="7" t="n"/>
      <c r="M8423" s="7" t="n"/>
      <c r="N8423">
        <f>IF(D8423="", "Gap - No Legal Basis", IF(AND(D8423="Consent (GDPR Art. 6(1)(a))", I8423="Not Captured"), "Gap - Invalid Consent", IF(AND(D8423="Legitimate Interest (GDPR Art. 6(1)(f))", L8423=""), "Gap - Missing LIA", IF(AND(G8423="Yes", H8423=""), "Gap - Missing Art. 9 Basis", IF(OR(I8423="Invalid - Not Freely Given", I8423="Invalid - Not Specific", I8423="Invalid - Not Informed", I8423="Invalid - Ambiguous"), "Gap - Invalid Consent", "Compliant")))))</f>
        <v/>
      </c>
      <c r="O8423" s="7" t="n"/>
    </row>
    <row r="8424">
      <c r="A8424" s="7" t="n"/>
      <c r="B8424" s="7" t="n"/>
      <c r="C8424" s="7" t="n"/>
      <c r="D8424" s="7" t="n"/>
      <c r="E8424" s="7" t="n"/>
      <c r="F8424" s="7" t="n"/>
      <c r="G8424" s="7" t="n"/>
      <c r="H8424" s="7" t="n"/>
      <c r="I8424" s="7" t="n"/>
      <c r="J8424" s="7" t="n"/>
      <c r="K8424">
        <f>IF(D8424="Legitimate Interest (GDPR Art. 6(1)(f))", "Yes / Required (Sheet 3)", "")</f>
        <v/>
      </c>
      <c r="L8424" s="7" t="n"/>
      <c r="M8424" s="7" t="n"/>
      <c r="N8424">
        <f>IF(D8424="", "Gap - No Legal Basis", IF(AND(D8424="Consent (GDPR Art. 6(1)(a))", I8424="Not Captured"), "Gap - Invalid Consent", IF(AND(D8424="Legitimate Interest (GDPR Art. 6(1)(f))", L8424=""), "Gap - Missing LIA", IF(AND(G8424="Yes", H8424=""), "Gap - Missing Art. 9 Basis", IF(OR(I8424="Invalid - Not Freely Given", I8424="Invalid - Not Specific", I8424="Invalid - Not Informed", I8424="Invalid - Ambiguous"), "Gap - Invalid Consent", "Compliant")))))</f>
        <v/>
      </c>
      <c r="O8424" s="7" t="n"/>
    </row>
    <row r="8425">
      <c r="A8425" s="7" t="n"/>
      <c r="B8425" s="7" t="n"/>
      <c r="C8425" s="7" t="n"/>
      <c r="D8425" s="7" t="n"/>
      <c r="E8425" s="7" t="n"/>
      <c r="F8425" s="7" t="n"/>
      <c r="G8425" s="7" t="n"/>
      <c r="H8425" s="7" t="n"/>
      <c r="I8425" s="7" t="n"/>
      <c r="J8425" s="7" t="n"/>
      <c r="K8425">
        <f>IF(D8425="Legitimate Interest (GDPR Art. 6(1)(f))", "Yes / Required (Sheet 3)", "")</f>
        <v/>
      </c>
      <c r="L8425" s="7" t="n"/>
      <c r="M8425" s="7" t="n"/>
      <c r="N8425">
        <f>IF(D8425="", "Gap - No Legal Basis", IF(AND(D8425="Consent (GDPR Art. 6(1)(a))", I8425="Not Captured"), "Gap - Invalid Consent", IF(AND(D8425="Legitimate Interest (GDPR Art. 6(1)(f))", L8425=""), "Gap - Missing LIA", IF(AND(G8425="Yes", H8425=""), "Gap - Missing Art. 9 Basis", IF(OR(I8425="Invalid - Not Freely Given", I8425="Invalid - Not Specific", I8425="Invalid - Not Informed", I8425="Invalid - Ambiguous"), "Gap - Invalid Consent", "Compliant")))))</f>
        <v/>
      </c>
      <c r="O8425" s="7" t="n"/>
    </row>
    <row r="8426">
      <c r="A8426" s="7" t="n"/>
      <c r="B8426" s="7" t="n"/>
      <c r="C8426" s="7" t="n"/>
      <c r="D8426" s="7" t="n"/>
      <c r="E8426" s="7" t="n"/>
      <c r="F8426" s="7" t="n"/>
      <c r="G8426" s="7" t="n"/>
      <c r="H8426" s="7" t="n"/>
      <c r="I8426" s="7" t="n"/>
      <c r="J8426" s="7" t="n"/>
      <c r="K8426">
        <f>IF(D8426="Legitimate Interest (GDPR Art. 6(1)(f))", "Yes / Required (Sheet 3)", "")</f>
        <v/>
      </c>
      <c r="L8426" s="7" t="n"/>
      <c r="M8426" s="7" t="n"/>
      <c r="N8426">
        <f>IF(D8426="", "Gap - No Legal Basis", IF(AND(D8426="Consent (GDPR Art. 6(1)(a))", I8426="Not Captured"), "Gap - Invalid Consent", IF(AND(D8426="Legitimate Interest (GDPR Art. 6(1)(f))", L8426=""), "Gap - Missing LIA", IF(AND(G8426="Yes", H8426=""), "Gap - Missing Art. 9 Basis", IF(OR(I8426="Invalid - Not Freely Given", I8426="Invalid - Not Specific", I8426="Invalid - Not Informed", I8426="Invalid - Ambiguous"), "Gap - Invalid Consent", "Compliant")))))</f>
        <v/>
      </c>
      <c r="O8426" s="7" t="n"/>
    </row>
    <row r="8427">
      <c r="A8427" s="7" t="n"/>
      <c r="B8427" s="7" t="n"/>
      <c r="C8427" s="7" t="n"/>
      <c r="D8427" s="7" t="n"/>
      <c r="E8427" s="7" t="n"/>
      <c r="F8427" s="7" t="n"/>
      <c r="G8427" s="7" t="n"/>
      <c r="H8427" s="7" t="n"/>
      <c r="I8427" s="7" t="n"/>
      <c r="J8427" s="7" t="n"/>
      <c r="K8427">
        <f>IF(D8427="Legitimate Interest (GDPR Art. 6(1)(f))", "Yes / Required (Sheet 3)", "")</f>
        <v/>
      </c>
      <c r="L8427" s="7" t="n"/>
      <c r="M8427" s="7" t="n"/>
      <c r="N8427">
        <f>IF(D8427="", "Gap - No Legal Basis", IF(AND(D8427="Consent (GDPR Art. 6(1)(a))", I8427="Not Captured"), "Gap - Invalid Consent", IF(AND(D8427="Legitimate Interest (GDPR Art. 6(1)(f))", L8427=""), "Gap - Missing LIA", IF(AND(G8427="Yes", H8427=""), "Gap - Missing Art. 9 Basis", IF(OR(I8427="Invalid - Not Freely Given", I8427="Invalid - Not Specific", I8427="Invalid - Not Informed", I8427="Invalid - Ambiguous"), "Gap - Invalid Consent", "Compliant")))))</f>
        <v/>
      </c>
      <c r="O8427" s="7" t="n"/>
    </row>
    <row r="8428">
      <c r="A8428" s="7" t="n"/>
      <c r="B8428" s="7" t="n"/>
      <c r="C8428" s="7" t="n"/>
      <c r="D8428" s="7" t="n"/>
      <c r="E8428" s="7" t="n"/>
      <c r="F8428" s="7" t="n"/>
      <c r="G8428" s="7" t="n"/>
      <c r="H8428" s="7" t="n"/>
      <c r="I8428" s="7" t="n"/>
      <c r="J8428" s="7" t="n"/>
      <c r="K8428">
        <f>IF(D8428="Legitimate Interest (GDPR Art. 6(1)(f))", "Yes / Required (Sheet 3)", "")</f>
        <v/>
      </c>
      <c r="L8428" s="7" t="n"/>
      <c r="M8428" s="7" t="n"/>
      <c r="N8428">
        <f>IF(D8428="", "Gap - No Legal Basis", IF(AND(D8428="Consent (GDPR Art. 6(1)(a))", I8428="Not Captured"), "Gap - Invalid Consent", IF(AND(D8428="Legitimate Interest (GDPR Art. 6(1)(f))", L8428=""), "Gap - Missing LIA", IF(AND(G8428="Yes", H8428=""), "Gap - Missing Art. 9 Basis", IF(OR(I8428="Invalid - Not Freely Given", I8428="Invalid - Not Specific", I8428="Invalid - Not Informed", I8428="Invalid - Ambiguous"), "Gap - Invalid Consent", "Compliant")))))</f>
        <v/>
      </c>
      <c r="O8428" s="7" t="n"/>
    </row>
    <row r="8429">
      <c r="A8429" s="7" t="n"/>
      <c r="B8429" s="7" t="n"/>
      <c r="C8429" s="7" t="n"/>
      <c r="D8429" s="7" t="n"/>
      <c r="E8429" s="7" t="n"/>
      <c r="F8429" s="7" t="n"/>
      <c r="G8429" s="7" t="n"/>
      <c r="H8429" s="7" t="n"/>
      <c r="I8429" s="7" t="n"/>
      <c r="J8429" s="7" t="n"/>
      <c r="K8429">
        <f>IF(D8429="Legitimate Interest (GDPR Art. 6(1)(f))", "Yes / Required (Sheet 3)", "")</f>
        <v/>
      </c>
      <c r="L8429" s="7" t="n"/>
      <c r="M8429" s="7" t="n"/>
      <c r="N8429">
        <f>IF(D8429="", "Gap - No Legal Basis", IF(AND(D8429="Consent (GDPR Art. 6(1)(a))", I8429="Not Captured"), "Gap - Invalid Consent", IF(AND(D8429="Legitimate Interest (GDPR Art. 6(1)(f))", L8429=""), "Gap - Missing LIA", IF(AND(G8429="Yes", H8429=""), "Gap - Missing Art. 9 Basis", IF(OR(I8429="Invalid - Not Freely Given", I8429="Invalid - Not Specific", I8429="Invalid - Not Informed", I8429="Invalid - Ambiguous"), "Gap - Invalid Consent", "Compliant")))))</f>
        <v/>
      </c>
      <c r="O8429" s="7" t="n"/>
    </row>
    <row r="8430">
      <c r="A8430" s="7" t="n"/>
      <c r="B8430" s="7" t="n"/>
      <c r="C8430" s="7" t="n"/>
      <c r="D8430" s="7" t="n"/>
      <c r="E8430" s="7" t="n"/>
      <c r="F8430" s="7" t="n"/>
      <c r="G8430" s="7" t="n"/>
      <c r="H8430" s="7" t="n"/>
      <c r="I8430" s="7" t="n"/>
      <c r="J8430" s="7" t="n"/>
      <c r="K8430">
        <f>IF(D8430="Legitimate Interest (GDPR Art. 6(1)(f))", "Yes / Required (Sheet 3)", "")</f>
        <v/>
      </c>
      <c r="L8430" s="7" t="n"/>
      <c r="M8430" s="7" t="n"/>
      <c r="N8430">
        <f>IF(D8430="", "Gap - No Legal Basis", IF(AND(D8430="Consent (GDPR Art. 6(1)(a))", I8430="Not Captured"), "Gap - Invalid Consent", IF(AND(D8430="Legitimate Interest (GDPR Art. 6(1)(f))", L8430=""), "Gap - Missing LIA", IF(AND(G8430="Yes", H8430=""), "Gap - Missing Art. 9 Basis", IF(OR(I8430="Invalid - Not Freely Given", I8430="Invalid - Not Specific", I8430="Invalid - Not Informed", I8430="Invalid - Ambiguous"), "Gap - Invalid Consent", "Compliant")))))</f>
        <v/>
      </c>
      <c r="O8430" s="7" t="n"/>
    </row>
    <row r="8431">
      <c r="A8431" s="7" t="n"/>
      <c r="B8431" s="7" t="n"/>
      <c r="C8431" s="7" t="n"/>
      <c r="D8431" s="7" t="n"/>
      <c r="E8431" s="7" t="n"/>
      <c r="F8431" s="7" t="n"/>
      <c r="G8431" s="7" t="n"/>
      <c r="H8431" s="7" t="n"/>
      <c r="I8431" s="7" t="n"/>
      <c r="J8431" s="7" t="n"/>
      <c r="K8431">
        <f>IF(D8431="Legitimate Interest (GDPR Art. 6(1)(f))", "Yes / Required (Sheet 3)", "")</f>
        <v/>
      </c>
      <c r="L8431" s="7" t="n"/>
      <c r="M8431" s="7" t="n"/>
      <c r="N8431">
        <f>IF(D8431="", "Gap - No Legal Basis", IF(AND(D8431="Consent (GDPR Art. 6(1)(a))", I8431="Not Captured"), "Gap - Invalid Consent", IF(AND(D8431="Legitimate Interest (GDPR Art. 6(1)(f))", L8431=""), "Gap - Missing LIA", IF(AND(G8431="Yes", H8431=""), "Gap - Missing Art. 9 Basis", IF(OR(I8431="Invalid - Not Freely Given", I8431="Invalid - Not Specific", I8431="Invalid - Not Informed", I8431="Invalid - Ambiguous"), "Gap - Invalid Consent", "Compliant")))))</f>
        <v/>
      </c>
      <c r="O8431" s="7" t="n"/>
    </row>
    <row r="8432">
      <c r="A8432" s="7" t="n"/>
      <c r="B8432" s="7" t="n"/>
      <c r="C8432" s="7" t="n"/>
      <c r="D8432" s="7" t="n"/>
      <c r="E8432" s="7" t="n"/>
      <c r="F8432" s="7" t="n"/>
      <c r="G8432" s="7" t="n"/>
      <c r="H8432" s="7" t="n"/>
      <c r="I8432" s="7" t="n"/>
      <c r="J8432" s="7" t="n"/>
      <c r="K8432">
        <f>IF(D8432="Legitimate Interest (GDPR Art. 6(1)(f))", "Yes / Required (Sheet 3)", "")</f>
        <v/>
      </c>
      <c r="L8432" s="7" t="n"/>
      <c r="M8432" s="7" t="n"/>
      <c r="N8432">
        <f>IF(D8432="", "Gap - No Legal Basis", IF(AND(D8432="Consent (GDPR Art. 6(1)(a))", I8432="Not Captured"), "Gap - Invalid Consent", IF(AND(D8432="Legitimate Interest (GDPR Art. 6(1)(f))", L8432=""), "Gap - Missing LIA", IF(AND(G8432="Yes", H8432=""), "Gap - Missing Art. 9 Basis", IF(OR(I8432="Invalid - Not Freely Given", I8432="Invalid - Not Specific", I8432="Invalid - Not Informed", I8432="Invalid - Ambiguous"), "Gap - Invalid Consent", "Compliant")))))</f>
        <v/>
      </c>
      <c r="O8432" s="7" t="n"/>
    </row>
    <row r="8433">
      <c r="A8433" s="7" t="n"/>
      <c r="B8433" s="7" t="n"/>
      <c r="C8433" s="7" t="n"/>
      <c r="D8433" s="7" t="n"/>
      <c r="E8433" s="7" t="n"/>
      <c r="F8433" s="7" t="n"/>
      <c r="G8433" s="7" t="n"/>
      <c r="H8433" s="7" t="n"/>
      <c r="I8433" s="7" t="n"/>
      <c r="J8433" s="7" t="n"/>
      <c r="K8433">
        <f>IF(D8433="Legitimate Interest (GDPR Art. 6(1)(f))", "Yes / Required (Sheet 3)", "")</f>
        <v/>
      </c>
      <c r="L8433" s="7" t="n"/>
      <c r="M8433" s="7" t="n"/>
      <c r="N8433">
        <f>IF(D8433="", "Gap - No Legal Basis", IF(AND(D8433="Consent (GDPR Art. 6(1)(a))", I8433="Not Captured"), "Gap - Invalid Consent", IF(AND(D8433="Legitimate Interest (GDPR Art. 6(1)(f))", L8433=""), "Gap - Missing LIA", IF(AND(G8433="Yes", H8433=""), "Gap - Missing Art. 9 Basis", IF(OR(I8433="Invalid - Not Freely Given", I8433="Invalid - Not Specific", I8433="Invalid - Not Informed", I8433="Invalid - Ambiguous"), "Gap - Invalid Consent", "Compliant")))))</f>
        <v/>
      </c>
      <c r="O8433" s="7" t="n"/>
    </row>
    <row r="8434">
      <c r="A8434" s="7" t="n"/>
      <c r="B8434" s="7" t="n"/>
      <c r="C8434" s="7" t="n"/>
      <c r="D8434" s="7" t="n"/>
      <c r="E8434" s="7" t="n"/>
      <c r="F8434" s="7" t="n"/>
      <c r="G8434" s="7" t="n"/>
      <c r="H8434" s="7" t="n"/>
      <c r="I8434" s="7" t="n"/>
      <c r="J8434" s="7" t="n"/>
      <c r="K8434">
        <f>IF(D8434="Legitimate Interest (GDPR Art. 6(1)(f))", "Yes / Required (Sheet 3)", "")</f>
        <v/>
      </c>
      <c r="L8434" s="7" t="n"/>
      <c r="M8434" s="7" t="n"/>
      <c r="N8434">
        <f>IF(D8434="", "Gap - No Legal Basis", IF(AND(D8434="Consent (GDPR Art. 6(1)(a))", I8434="Not Captured"), "Gap - Invalid Consent", IF(AND(D8434="Legitimate Interest (GDPR Art. 6(1)(f))", L8434=""), "Gap - Missing LIA", IF(AND(G8434="Yes", H8434=""), "Gap - Missing Art. 9 Basis", IF(OR(I8434="Invalid - Not Freely Given", I8434="Invalid - Not Specific", I8434="Invalid - Not Informed", I8434="Invalid - Ambiguous"), "Gap - Invalid Consent", "Compliant")))))</f>
        <v/>
      </c>
      <c r="O8434" s="7" t="n"/>
    </row>
    <row r="8435">
      <c r="A8435" s="7" t="n"/>
      <c r="B8435" s="7" t="n"/>
      <c r="C8435" s="7" t="n"/>
      <c r="D8435" s="7" t="n"/>
      <c r="E8435" s="7" t="n"/>
      <c r="F8435" s="7" t="n"/>
      <c r="G8435" s="7" t="n"/>
      <c r="H8435" s="7" t="n"/>
      <c r="I8435" s="7" t="n"/>
      <c r="J8435" s="7" t="n"/>
      <c r="K8435">
        <f>IF(D8435="Legitimate Interest (GDPR Art. 6(1)(f))", "Yes / Required (Sheet 3)", "")</f>
        <v/>
      </c>
      <c r="L8435" s="7" t="n"/>
      <c r="M8435" s="7" t="n"/>
      <c r="N8435">
        <f>IF(D8435="", "Gap - No Legal Basis", IF(AND(D8435="Consent (GDPR Art. 6(1)(a))", I8435="Not Captured"), "Gap - Invalid Consent", IF(AND(D8435="Legitimate Interest (GDPR Art. 6(1)(f))", L8435=""), "Gap - Missing LIA", IF(AND(G8435="Yes", H8435=""), "Gap - Missing Art. 9 Basis", IF(OR(I8435="Invalid - Not Freely Given", I8435="Invalid - Not Specific", I8435="Invalid - Not Informed", I8435="Invalid - Ambiguous"), "Gap - Invalid Consent", "Compliant")))))</f>
        <v/>
      </c>
      <c r="O8435" s="7" t="n"/>
    </row>
    <row r="8436">
      <c r="A8436" s="7" t="n"/>
      <c r="B8436" s="7" t="n"/>
      <c r="C8436" s="7" t="n"/>
      <c r="D8436" s="7" t="n"/>
      <c r="E8436" s="7" t="n"/>
      <c r="F8436" s="7" t="n"/>
      <c r="G8436" s="7" t="n"/>
      <c r="H8436" s="7" t="n"/>
      <c r="I8436" s="7" t="n"/>
      <c r="J8436" s="7" t="n"/>
      <c r="K8436">
        <f>IF(D8436="Legitimate Interest (GDPR Art. 6(1)(f))", "Yes / Required (Sheet 3)", "")</f>
        <v/>
      </c>
      <c r="L8436" s="7" t="n"/>
      <c r="M8436" s="7" t="n"/>
      <c r="N8436">
        <f>IF(D8436="", "Gap - No Legal Basis", IF(AND(D8436="Consent (GDPR Art. 6(1)(a))", I8436="Not Captured"), "Gap - Invalid Consent", IF(AND(D8436="Legitimate Interest (GDPR Art. 6(1)(f))", L8436=""), "Gap - Missing LIA", IF(AND(G8436="Yes", H8436=""), "Gap - Missing Art. 9 Basis", IF(OR(I8436="Invalid - Not Freely Given", I8436="Invalid - Not Specific", I8436="Invalid - Not Informed", I8436="Invalid - Ambiguous"), "Gap - Invalid Consent", "Compliant")))))</f>
        <v/>
      </c>
      <c r="O8436" s="7" t="n"/>
    </row>
    <row r="8437">
      <c r="A8437" s="7" t="n"/>
      <c r="B8437" s="7" t="n"/>
      <c r="C8437" s="7" t="n"/>
      <c r="D8437" s="7" t="n"/>
      <c r="E8437" s="7" t="n"/>
      <c r="F8437" s="7" t="n"/>
      <c r="G8437" s="7" t="n"/>
      <c r="H8437" s="7" t="n"/>
      <c r="I8437" s="7" t="n"/>
      <c r="J8437" s="7" t="n"/>
      <c r="K8437">
        <f>IF(D8437="Legitimate Interest (GDPR Art. 6(1)(f))", "Yes / Required (Sheet 3)", "")</f>
        <v/>
      </c>
      <c r="L8437" s="7" t="n"/>
      <c r="M8437" s="7" t="n"/>
      <c r="N8437">
        <f>IF(D8437="", "Gap - No Legal Basis", IF(AND(D8437="Consent (GDPR Art. 6(1)(a))", I8437="Not Captured"), "Gap - Invalid Consent", IF(AND(D8437="Legitimate Interest (GDPR Art. 6(1)(f))", L8437=""), "Gap - Missing LIA", IF(AND(G8437="Yes", H8437=""), "Gap - Missing Art. 9 Basis", IF(OR(I8437="Invalid - Not Freely Given", I8437="Invalid - Not Specific", I8437="Invalid - Not Informed", I8437="Invalid - Ambiguous"), "Gap - Invalid Consent", "Compliant")))))</f>
        <v/>
      </c>
      <c r="O8437" s="7" t="n"/>
    </row>
    <row r="8438">
      <c r="A8438" s="7" t="n"/>
      <c r="B8438" s="7" t="n"/>
      <c r="C8438" s="7" t="n"/>
      <c r="D8438" s="7" t="n"/>
      <c r="E8438" s="7" t="n"/>
      <c r="F8438" s="7" t="n"/>
      <c r="G8438" s="7" t="n"/>
      <c r="H8438" s="7" t="n"/>
      <c r="I8438" s="7" t="n"/>
      <c r="J8438" s="7" t="n"/>
      <c r="K8438">
        <f>IF(D8438="Legitimate Interest (GDPR Art. 6(1)(f))", "Yes / Required (Sheet 3)", "")</f>
        <v/>
      </c>
      <c r="L8438" s="7" t="n"/>
      <c r="M8438" s="7" t="n"/>
      <c r="N8438">
        <f>IF(D8438="", "Gap - No Legal Basis", IF(AND(D8438="Consent (GDPR Art. 6(1)(a))", I8438="Not Captured"), "Gap - Invalid Consent", IF(AND(D8438="Legitimate Interest (GDPR Art. 6(1)(f))", L8438=""), "Gap - Missing LIA", IF(AND(G8438="Yes", H8438=""), "Gap - Missing Art. 9 Basis", IF(OR(I8438="Invalid - Not Freely Given", I8438="Invalid - Not Specific", I8438="Invalid - Not Informed", I8438="Invalid - Ambiguous"), "Gap - Invalid Consent", "Compliant")))))</f>
        <v/>
      </c>
      <c r="O8438" s="7" t="n"/>
    </row>
    <row r="8439">
      <c r="A8439" s="7" t="n"/>
      <c r="B8439" s="7" t="n"/>
      <c r="C8439" s="7" t="n"/>
      <c r="D8439" s="7" t="n"/>
      <c r="E8439" s="7" t="n"/>
      <c r="F8439" s="7" t="n"/>
      <c r="G8439" s="7" t="n"/>
      <c r="H8439" s="7" t="n"/>
      <c r="I8439" s="7" t="n"/>
      <c r="J8439" s="7" t="n"/>
      <c r="K8439">
        <f>IF(D8439="Legitimate Interest (GDPR Art. 6(1)(f))", "Yes / Required (Sheet 3)", "")</f>
        <v/>
      </c>
      <c r="L8439" s="7" t="n"/>
      <c r="M8439" s="7" t="n"/>
      <c r="N8439">
        <f>IF(D8439="", "Gap - No Legal Basis", IF(AND(D8439="Consent (GDPR Art. 6(1)(a))", I8439="Not Captured"), "Gap - Invalid Consent", IF(AND(D8439="Legitimate Interest (GDPR Art. 6(1)(f))", L8439=""), "Gap - Missing LIA", IF(AND(G8439="Yes", H8439=""), "Gap - Missing Art. 9 Basis", IF(OR(I8439="Invalid - Not Freely Given", I8439="Invalid - Not Specific", I8439="Invalid - Not Informed", I8439="Invalid - Ambiguous"), "Gap - Invalid Consent", "Compliant")))))</f>
        <v/>
      </c>
      <c r="O8439" s="7" t="n"/>
    </row>
    <row r="8440">
      <c r="A8440" s="7" t="n"/>
      <c r="B8440" s="7" t="n"/>
      <c r="C8440" s="7" t="n"/>
      <c r="D8440" s="7" t="n"/>
      <c r="E8440" s="7" t="n"/>
      <c r="F8440" s="7" t="n"/>
      <c r="G8440" s="7" t="n"/>
      <c r="H8440" s="7" t="n"/>
      <c r="I8440" s="7" t="n"/>
      <c r="J8440" s="7" t="n"/>
      <c r="K8440">
        <f>IF(D8440="Legitimate Interest (GDPR Art. 6(1)(f))", "Yes / Required (Sheet 3)", "")</f>
        <v/>
      </c>
      <c r="L8440" s="7" t="n"/>
      <c r="M8440" s="7" t="n"/>
      <c r="N8440">
        <f>IF(D8440="", "Gap - No Legal Basis", IF(AND(D8440="Consent (GDPR Art. 6(1)(a))", I8440="Not Captured"), "Gap - Invalid Consent", IF(AND(D8440="Legitimate Interest (GDPR Art. 6(1)(f))", L8440=""), "Gap - Missing LIA", IF(AND(G8440="Yes", H8440=""), "Gap - Missing Art. 9 Basis", IF(OR(I8440="Invalid - Not Freely Given", I8440="Invalid - Not Specific", I8440="Invalid - Not Informed", I8440="Invalid - Ambiguous"), "Gap - Invalid Consent", "Compliant")))))</f>
        <v/>
      </c>
      <c r="O8440" s="7" t="n"/>
    </row>
    <row r="8441">
      <c r="A8441" s="7" t="n"/>
      <c r="B8441" s="7" t="n"/>
      <c r="C8441" s="7" t="n"/>
      <c r="D8441" s="7" t="n"/>
      <c r="E8441" s="7" t="n"/>
      <c r="F8441" s="7" t="n"/>
      <c r="G8441" s="7" t="n"/>
      <c r="H8441" s="7" t="n"/>
      <c r="I8441" s="7" t="n"/>
      <c r="J8441" s="7" t="n"/>
      <c r="K8441">
        <f>IF(D8441="Legitimate Interest (GDPR Art. 6(1)(f))", "Yes / Required (Sheet 3)", "")</f>
        <v/>
      </c>
      <c r="L8441" s="7" t="n"/>
      <c r="M8441" s="7" t="n"/>
      <c r="N8441">
        <f>IF(D8441="", "Gap - No Legal Basis", IF(AND(D8441="Consent (GDPR Art. 6(1)(a))", I8441="Not Captured"), "Gap - Invalid Consent", IF(AND(D8441="Legitimate Interest (GDPR Art. 6(1)(f))", L8441=""), "Gap - Missing LIA", IF(AND(G8441="Yes", H8441=""), "Gap - Missing Art. 9 Basis", IF(OR(I8441="Invalid - Not Freely Given", I8441="Invalid - Not Specific", I8441="Invalid - Not Informed", I8441="Invalid - Ambiguous"), "Gap - Invalid Consent", "Compliant")))))</f>
        <v/>
      </c>
      <c r="O8441" s="7" t="n"/>
    </row>
    <row r="8442">
      <c r="A8442" s="7" t="n"/>
      <c r="B8442" s="7" t="n"/>
      <c r="C8442" s="7" t="n"/>
      <c r="D8442" s="7" t="n"/>
      <c r="E8442" s="7" t="n"/>
      <c r="F8442" s="7" t="n"/>
      <c r="G8442" s="7" t="n"/>
      <c r="H8442" s="7" t="n"/>
      <c r="I8442" s="7" t="n"/>
      <c r="J8442" s="7" t="n"/>
      <c r="K8442">
        <f>IF(D8442="Legitimate Interest (GDPR Art. 6(1)(f))", "Yes / Required (Sheet 3)", "")</f>
        <v/>
      </c>
      <c r="L8442" s="7" t="n"/>
      <c r="M8442" s="7" t="n"/>
      <c r="N8442">
        <f>IF(D8442="", "Gap - No Legal Basis", IF(AND(D8442="Consent (GDPR Art. 6(1)(a))", I8442="Not Captured"), "Gap - Invalid Consent", IF(AND(D8442="Legitimate Interest (GDPR Art. 6(1)(f))", L8442=""), "Gap - Missing LIA", IF(AND(G8442="Yes", H8442=""), "Gap - Missing Art. 9 Basis", IF(OR(I8442="Invalid - Not Freely Given", I8442="Invalid - Not Specific", I8442="Invalid - Not Informed", I8442="Invalid - Ambiguous"), "Gap - Invalid Consent", "Compliant")))))</f>
        <v/>
      </c>
      <c r="O8442" s="7" t="n"/>
    </row>
    <row r="8443">
      <c r="A8443" s="7" t="n"/>
      <c r="B8443" s="7" t="n"/>
      <c r="C8443" s="7" t="n"/>
      <c r="D8443" s="7" t="n"/>
      <c r="E8443" s="7" t="n"/>
      <c r="F8443" s="7" t="n"/>
      <c r="G8443" s="7" t="n"/>
      <c r="H8443" s="7" t="n"/>
      <c r="I8443" s="7" t="n"/>
      <c r="J8443" s="7" t="n"/>
      <c r="K8443">
        <f>IF(D8443="Legitimate Interest (GDPR Art. 6(1)(f))", "Yes / Required (Sheet 3)", "")</f>
        <v/>
      </c>
      <c r="L8443" s="7" t="n"/>
      <c r="M8443" s="7" t="n"/>
      <c r="N8443">
        <f>IF(D8443="", "Gap - No Legal Basis", IF(AND(D8443="Consent (GDPR Art. 6(1)(a))", I8443="Not Captured"), "Gap - Invalid Consent", IF(AND(D8443="Legitimate Interest (GDPR Art. 6(1)(f))", L8443=""), "Gap - Missing LIA", IF(AND(G8443="Yes", H8443=""), "Gap - Missing Art. 9 Basis", IF(OR(I8443="Invalid - Not Freely Given", I8443="Invalid - Not Specific", I8443="Invalid - Not Informed", I8443="Invalid - Ambiguous"), "Gap - Invalid Consent", "Compliant")))))</f>
        <v/>
      </c>
      <c r="O8443" s="7" t="n"/>
    </row>
    <row r="8444">
      <c r="A8444" s="7" t="n"/>
      <c r="B8444" s="7" t="n"/>
      <c r="C8444" s="7" t="n"/>
      <c r="D8444" s="7" t="n"/>
      <c r="E8444" s="7" t="n"/>
      <c r="F8444" s="7" t="n"/>
      <c r="G8444" s="7" t="n"/>
      <c r="H8444" s="7" t="n"/>
      <c r="I8444" s="7" t="n"/>
      <c r="J8444" s="7" t="n"/>
      <c r="K8444">
        <f>IF(D8444="Legitimate Interest (GDPR Art. 6(1)(f))", "Yes / Required (Sheet 3)", "")</f>
        <v/>
      </c>
      <c r="L8444" s="7" t="n"/>
      <c r="M8444" s="7" t="n"/>
      <c r="N8444">
        <f>IF(D8444="", "Gap - No Legal Basis", IF(AND(D8444="Consent (GDPR Art. 6(1)(a))", I8444="Not Captured"), "Gap - Invalid Consent", IF(AND(D8444="Legitimate Interest (GDPR Art. 6(1)(f))", L8444=""), "Gap - Missing LIA", IF(AND(G8444="Yes", H8444=""), "Gap - Missing Art. 9 Basis", IF(OR(I8444="Invalid - Not Freely Given", I8444="Invalid - Not Specific", I8444="Invalid - Not Informed", I8444="Invalid - Ambiguous"), "Gap - Invalid Consent", "Compliant")))))</f>
        <v/>
      </c>
      <c r="O8444" s="7" t="n"/>
    </row>
    <row r="8445">
      <c r="A8445" s="7" t="n"/>
      <c r="B8445" s="7" t="n"/>
      <c r="C8445" s="7" t="n"/>
      <c r="D8445" s="7" t="n"/>
      <c r="E8445" s="7" t="n"/>
      <c r="F8445" s="7" t="n"/>
      <c r="G8445" s="7" t="n"/>
      <c r="H8445" s="7" t="n"/>
      <c r="I8445" s="7" t="n"/>
      <c r="J8445" s="7" t="n"/>
      <c r="K8445">
        <f>IF(D8445="Legitimate Interest (GDPR Art. 6(1)(f))", "Yes / Required (Sheet 3)", "")</f>
        <v/>
      </c>
      <c r="L8445" s="7" t="n"/>
      <c r="M8445" s="7" t="n"/>
      <c r="N8445">
        <f>IF(D8445="", "Gap - No Legal Basis", IF(AND(D8445="Consent (GDPR Art. 6(1)(a))", I8445="Not Captured"), "Gap - Invalid Consent", IF(AND(D8445="Legitimate Interest (GDPR Art. 6(1)(f))", L8445=""), "Gap - Missing LIA", IF(AND(G8445="Yes", H8445=""), "Gap - Missing Art. 9 Basis", IF(OR(I8445="Invalid - Not Freely Given", I8445="Invalid - Not Specific", I8445="Invalid - Not Informed", I8445="Invalid - Ambiguous"), "Gap - Invalid Consent", "Compliant")))))</f>
        <v/>
      </c>
      <c r="O8445" s="7" t="n"/>
    </row>
    <row r="8446">
      <c r="A8446" s="7" t="n"/>
      <c r="B8446" s="7" t="n"/>
      <c r="C8446" s="7" t="n"/>
      <c r="D8446" s="7" t="n"/>
      <c r="E8446" s="7" t="n"/>
      <c r="F8446" s="7" t="n"/>
      <c r="G8446" s="7" t="n"/>
      <c r="H8446" s="7" t="n"/>
      <c r="I8446" s="7" t="n"/>
      <c r="J8446" s="7" t="n"/>
      <c r="K8446">
        <f>IF(D8446="Legitimate Interest (GDPR Art. 6(1)(f))", "Yes / Required (Sheet 3)", "")</f>
        <v/>
      </c>
      <c r="L8446" s="7" t="n"/>
      <c r="M8446" s="7" t="n"/>
      <c r="N8446">
        <f>IF(D8446="", "Gap - No Legal Basis", IF(AND(D8446="Consent (GDPR Art. 6(1)(a))", I8446="Not Captured"), "Gap - Invalid Consent", IF(AND(D8446="Legitimate Interest (GDPR Art. 6(1)(f))", L8446=""), "Gap - Missing LIA", IF(AND(G8446="Yes", H8446=""), "Gap - Missing Art. 9 Basis", IF(OR(I8446="Invalid - Not Freely Given", I8446="Invalid - Not Specific", I8446="Invalid - Not Informed", I8446="Invalid - Ambiguous"), "Gap - Invalid Consent", "Compliant")))))</f>
        <v/>
      </c>
      <c r="O8446" s="7" t="n"/>
    </row>
    <row r="8447">
      <c r="A8447" s="7" t="n"/>
      <c r="B8447" s="7" t="n"/>
      <c r="C8447" s="7" t="n"/>
      <c r="D8447" s="7" t="n"/>
      <c r="E8447" s="7" t="n"/>
      <c r="F8447" s="7" t="n"/>
      <c r="G8447" s="7" t="n"/>
      <c r="H8447" s="7" t="n"/>
      <c r="I8447" s="7" t="n"/>
      <c r="J8447" s="7" t="n"/>
      <c r="K8447">
        <f>IF(D8447="Legitimate Interest (GDPR Art. 6(1)(f))", "Yes / Required (Sheet 3)", "")</f>
        <v/>
      </c>
      <c r="L8447" s="7" t="n"/>
      <c r="M8447" s="7" t="n"/>
      <c r="N8447">
        <f>IF(D8447="", "Gap - No Legal Basis", IF(AND(D8447="Consent (GDPR Art. 6(1)(a))", I8447="Not Captured"), "Gap - Invalid Consent", IF(AND(D8447="Legitimate Interest (GDPR Art. 6(1)(f))", L8447=""), "Gap - Missing LIA", IF(AND(G8447="Yes", H8447=""), "Gap - Missing Art. 9 Basis", IF(OR(I8447="Invalid - Not Freely Given", I8447="Invalid - Not Specific", I8447="Invalid - Not Informed", I8447="Invalid - Ambiguous"), "Gap - Invalid Consent", "Compliant")))))</f>
        <v/>
      </c>
      <c r="O8447" s="7" t="n"/>
    </row>
    <row r="8448">
      <c r="A8448" s="7" t="n"/>
      <c r="B8448" s="7" t="n"/>
      <c r="C8448" s="7" t="n"/>
      <c r="D8448" s="7" t="n"/>
      <c r="E8448" s="7" t="n"/>
      <c r="F8448" s="7" t="n"/>
      <c r="G8448" s="7" t="n"/>
      <c r="H8448" s="7" t="n"/>
      <c r="I8448" s="7" t="n"/>
      <c r="J8448" s="7" t="n"/>
      <c r="K8448">
        <f>IF(D8448="Legitimate Interest (GDPR Art. 6(1)(f))", "Yes / Required (Sheet 3)", "")</f>
        <v/>
      </c>
      <c r="L8448" s="7" t="n"/>
      <c r="M8448" s="7" t="n"/>
      <c r="N8448">
        <f>IF(D8448="", "Gap - No Legal Basis", IF(AND(D8448="Consent (GDPR Art. 6(1)(a))", I8448="Not Captured"), "Gap - Invalid Consent", IF(AND(D8448="Legitimate Interest (GDPR Art. 6(1)(f))", L8448=""), "Gap - Missing LIA", IF(AND(G8448="Yes", H8448=""), "Gap - Missing Art. 9 Basis", IF(OR(I8448="Invalid - Not Freely Given", I8448="Invalid - Not Specific", I8448="Invalid - Not Informed", I8448="Invalid - Ambiguous"), "Gap - Invalid Consent", "Compliant")))))</f>
        <v/>
      </c>
      <c r="O8448" s="7" t="n"/>
    </row>
    <row r="8449">
      <c r="A8449" s="7" t="n"/>
      <c r="B8449" s="7" t="n"/>
      <c r="C8449" s="7" t="n"/>
      <c r="D8449" s="7" t="n"/>
      <c r="E8449" s="7" t="n"/>
      <c r="F8449" s="7" t="n"/>
      <c r="G8449" s="7" t="n"/>
      <c r="H8449" s="7" t="n"/>
      <c r="I8449" s="7" t="n"/>
      <c r="J8449" s="7" t="n"/>
      <c r="K8449">
        <f>IF(D8449="Legitimate Interest (GDPR Art. 6(1)(f))", "Yes / Required (Sheet 3)", "")</f>
        <v/>
      </c>
      <c r="L8449" s="7" t="n"/>
      <c r="M8449" s="7" t="n"/>
      <c r="N8449">
        <f>IF(D8449="", "Gap - No Legal Basis", IF(AND(D8449="Consent (GDPR Art. 6(1)(a))", I8449="Not Captured"), "Gap - Invalid Consent", IF(AND(D8449="Legitimate Interest (GDPR Art. 6(1)(f))", L8449=""), "Gap - Missing LIA", IF(AND(G8449="Yes", H8449=""), "Gap - Missing Art. 9 Basis", IF(OR(I8449="Invalid - Not Freely Given", I8449="Invalid - Not Specific", I8449="Invalid - Not Informed", I8449="Invalid - Ambiguous"), "Gap - Invalid Consent", "Compliant")))))</f>
        <v/>
      </c>
      <c r="O8449" s="7" t="n"/>
    </row>
    <row r="8450">
      <c r="A8450" s="7" t="n"/>
      <c r="B8450" s="7" t="n"/>
      <c r="C8450" s="7" t="n"/>
      <c r="D8450" s="7" t="n"/>
      <c r="E8450" s="7" t="n"/>
      <c r="F8450" s="7" t="n"/>
      <c r="G8450" s="7" t="n"/>
      <c r="H8450" s="7" t="n"/>
      <c r="I8450" s="7" t="n"/>
      <c r="J8450" s="7" t="n"/>
      <c r="K8450">
        <f>IF(D8450="Legitimate Interest (GDPR Art. 6(1)(f))", "Yes / Required (Sheet 3)", "")</f>
        <v/>
      </c>
      <c r="L8450" s="7" t="n"/>
      <c r="M8450" s="7" t="n"/>
      <c r="N8450">
        <f>IF(D8450="", "Gap - No Legal Basis", IF(AND(D8450="Consent (GDPR Art. 6(1)(a))", I8450="Not Captured"), "Gap - Invalid Consent", IF(AND(D8450="Legitimate Interest (GDPR Art. 6(1)(f))", L8450=""), "Gap - Missing LIA", IF(AND(G8450="Yes", H8450=""), "Gap - Missing Art. 9 Basis", IF(OR(I8450="Invalid - Not Freely Given", I8450="Invalid - Not Specific", I8450="Invalid - Not Informed", I8450="Invalid - Ambiguous"), "Gap - Invalid Consent", "Compliant")))))</f>
        <v/>
      </c>
      <c r="O8450" s="7" t="n"/>
    </row>
    <row r="8451">
      <c r="A8451" s="7" t="n"/>
      <c r="B8451" s="7" t="n"/>
      <c r="C8451" s="7" t="n"/>
      <c r="D8451" s="7" t="n"/>
      <c r="E8451" s="7" t="n"/>
      <c r="F8451" s="7" t="n"/>
      <c r="G8451" s="7" t="n"/>
      <c r="H8451" s="7" t="n"/>
      <c r="I8451" s="7" t="n"/>
      <c r="J8451" s="7" t="n"/>
      <c r="K8451">
        <f>IF(D8451="Legitimate Interest (GDPR Art. 6(1)(f))", "Yes / Required (Sheet 3)", "")</f>
        <v/>
      </c>
      <c r="L8451" s="7" t="n"/>
      <c r="M8451" s="7" t="n"/>
      <c r="N8451">
        <f>IF(D8451="", "Gap - No Legal Basis", IF(AND(D8451="Consent (GDPR Art. 6(1)(a))", I8451="Not Captured"), "Gap - Invalid Consent", IF(AND(D8451="Legitimate Interest (GDPR Art. 6(1)(f))", L8451=""), "Gap - Missing LIA", IF(AND(G8451="Yes", H8451=""), "Gap - Missing Art. 9 Basis", IF(OR(I8451="Invalid - Not Freely Given", I8451="Invalid - Not Specific", I8451="Invalid - Not Informed", I8451="Invalid - Ambiguous"), "Gap - Invalid Consent", "Compliant")))))</f>
        <v/>
      </c>
      <c r="O8451" s="7" t="n"/>
    </row>
    <row r="8452">
      <c r="A8452" s="7" t="n"/>
      <c r="B8452" s="7" t="n"/>
      <c r="C8452" s="7" t="n"/>
      <c r="D8452" s="7" t="n"/>
      <c r="E8452" s="7" t="n"/>
      <c r="F8452" s="7" t="n"/>
      <c r="G8452" s="7" t="n"/>
      <c r="H8452" s="7" t="n"/>
      <c r="I8452" s="7" t="n"/>
      <c r="J8452" s="7" t="n"/>
      <c r="K8452">
        <f>IF(D8452="Legitimate Interest (GDPR Art. 6(1)(f))", "Yes / Required (Sheet 3)", "")</f>
        <v/>
      </c>
      <c r="L8452" s="7" t="n"/>
      <c r="M8452" s="7" t="n"/>
      <c r="N8452">
        <f>IF(D8452="", "Gap - No Legal Basis", IF(AND(D8452="Consent (GDPR Art. 6(1)(a))", I8452="Not Captured"), "Gap - Invalid Consent", IF(AND(D8452="Legitimate Interest (GDPR Art. 6(1)(f))", L8452=""), "Gap - Missing LIA", IF(AND(G8452="Yes", H8452=""), "Gap - Missing Art. 9 Basis", IF(OR(I8452="Invalid - Not Freely Given", I8452="Invalid - Not Specific", I8452="Invalid - Not Informed", I8452="Invalid - Ambiguous"), "Gap - Invalid Consent", "Compliant")))))</f>
        <v/>
      </c>
      <c r="O8452" s="7" t="n"/>
    </row>
    <row r="8453">
      <c r="A8453" s="7" t="n"/>
      <c r="B8453" s="7" t="n"/>
      <c r="C8453" s="7" t="n"/>
      <c r="D8453" s="7" t="n"/>
      <c r="E8453" s="7" t="n"/>
      <c r="F8453" s="7" t="n"/>
      <c r="G8453" s="7" t="n"/>
      <c r="H8453" s="7" t="n"/>
      <c r="I8453" s="7" t="n"/>
      <c r="J8453" s="7" t="n"/>
      <c r="K8453">
        <f>IF(D8453="Legitimate Interest (GDPR Art. 6(1)(f))", "Yes / Required (Sheet 3)", "")</f>
        <v/>
      </c>
      <c r="L8453" s="7" t="n"/>
      <c r="M8453" s="7" t="n"/>
      <c r="N8453">
        <f>IF(D8453="", "Gap - No Legal Basis", IF(AND(D8453="Consent (GDPR Art. 6(1)(a))", I8453="Not Captured"), "Gap - Invalid Consent", IF(AND(D8453="Legitimate Interest (GDPR Art. 6(1)(f))", L8453=""), "Gap - Missing LIA", IF(AND(G8453="Yes", H8453=""), "Gap - Missing Art. 9 Basis", IF(OR(I8453="Invalid - Not Freely Given", I8453="Invalid - Not Specific", I8453="Invalid - Not Informed", I8453="Invalid - Ambiguous"), "Gap - Invalid Consent", "Compliant")))))</f>
        <v/>
      </c>
      <c r="O8453" s="7" t="n"/>
    </row>
    <row r="8454">
      <c r="A8454" s="7" t="n"/>
      <c r="B8454" s="7" t="n"/>
      <c r="C8454" s="7" t="n"/>
      <c r="D8454" s="7" t="n"/>
      <c r="E8454" s="7" t="n"/>
      <c r="F8454" s="7" t="n"/>
      <c r="G8454" s="7" t="n"/>
      <c r="H8454" s="7" t="n"/>
      <c r="I8454" s="7" t="n"/>
      <c r="J8454" s="7" t="n"/>
      <c r="K8454">
        <f>IF(D8454="Legitimate Interest (GDPR Art. 6(1)(f))", "Yes / Required (Sheet 3)", "")</f>
        <v/>
      </c>
      <c r="L8454" s="7" t="n"/>
      <c r="M8454" s="7" t="n"/>
      <c r="N8454">
        <f>IF(D8454="", "Gap - No Legal Basis", IF(AND(D8454="Consent (GDPR Art. 6(1)(a))", I8454="Not Captured"), "Gap - Invalid Consent", IF(AND(D8454="Legitimate Interest (GDPR Art. 6(1)(f))", L8454=""), "Gap - Missing LIA", IF(AND(G8454="Yes", H8454=""), "Gap - Missing Art. 9 Basis", IF(OR(I8454="Invalid - Not Freely Given", I8454="Invalid - Not Specific", I8454="Invalid - Not Informed", I8454="Invalid - Ambiguous"), "Gap - Invalid Consent", "Compliant")))))</f>
        <v/>
      </c>
      <c r="O8454" s="7" t="n"/>
    </row>
    <row r="8455">
      <c r="A8455" s="7" t="n"/>
      <c r="B8455" s="7" t="n"/>
      <c r="C8455" s="7" t="n"/>
      <c r="D8455" s="7" t="n"/>
      <c r="E8455" s="7" t="n"/>
      <c r="F8455" s="7" t="n"/>
      <c r="G8455" s="7" t="n"/>
      <c r="H8455" s="7" t="n"/>
      <c r="I8455" s="7" t="n"/>
      <c r="J8455" s="7" t="n"/>
      <c r="K8455">
        <f>IF(D8455="Legitimate Interest (GDPR Art. 6(1)(f))", "Yes / Required (Sheet 3)", "")</f>
        <v/>
      </c>
      <c r="L8455" s="7" t="n"/>
      <c r="M8455" s="7" t="n"/>
      <c r="N8455">
        <f>IF(D8455="", "Gap - No Legal Basis", IF(AND(D8455="Consent (GDPR Art. 6(1)(a))", I8455="Not Captured"), "Gap - Invalid Consent", IF(AND(D8455="Legitimate Interest (GDPR Art. 6(1)(f))", L8455=""), "Gap - Missing LIA", IF(AND(G8455="Yes", H8455=""), "Gap - Missing Art. 9 Basis", IF(OR(I8455="Invalid - Not Freely Given", I8455="Invalid - Not Specific", I8455="Invalid - Not Informed", I8455="Invalid - Ambiguous"), "Gap - Invalid Consent", "Compliant")))))</f>
        <v/>
      </c>
      <c r="O8455" s="7" t="n"/>
    </row>
    <row r="8456">
      <c r="A8456" s="7" t="n"/>
      <c r="B8456" s="7" t="n"/>
      <c r="C8456" s="7" t="n"/>
      <c r="D8456" s="7" t="n"/>
      <c r="E8456" s="7" t="n"/>
      <c r="F8456" s="7" t="n"/>
      <c r="G8456" s="7" t="n"/>
      <c r="H8456" s="7" t="n"/>
      <c r="I8456" s="7" t="n"/>
      <c r="J8456" s="7" t="n"/>
      <c r="K8456">
        <f>IF(D8456="Legitimate Interest (GDPR Art. 6(1)(f))", "Yes / Required (Sheet 3)", "")</f>
        <v/>
      </c>
      <c r="L8456" s="7" t="n"/>
      <c r="M8456" s="7" t="n"/>
      <c r="N8456">
        <f>IF(D8456="", "Gap - No Legal Basis", IF(AND(D8456="Consent (GDPR Art. 6(1)(a))", I8456="Not Captured"), "Gap - Invalid Consent", IF(AND(D8456="Legitimate Interest (GDPR Art. 6(1)(f))", L8456=""), "Gap - Missing LIA", IF(AND(G8456="Yes", H8456=""), "Gap - Missing Art. 9 Basis", IF(OR(I8456="Invalid - Not Freely Given", I8456="Invalid - Not Specific", I8456="Invalid - Not Informed", I8456="Invalid - Ambiguous"), "Gap - Invalid Consent", "Compliant")))))</f>
        <v/>
      </c>
      <c r="O8456" s="7" t="n"/>
    </row>
    <row r="8457">
      <c r="A8457" s="7" t="n"/>
      <c r="B8457" s="7" t="n"/>
      <c r="C8457" s="7" t="n"/>
      <c r="D8457" s="7" t="n"/>
      <c r="E8457" s="7" t="n"/>
      <c r="F8457" s="7" t="n"/>
      <c r="G8457" s="7" t="n"/>
      <c r="H8457" s="7" t="n"/>
      <c r="I8457" s="7" t="n"/>
      <c r="J8457" s="7" t="n"/>
      <c r="K8457">
        <f>IF(D8457="Legitimate Interest (GDPR Art. 6(1)(f))", "Yes / Required (Sheet 3)", "")</f>
        <v/>
      </c>
      <c r="L8457" s="7" t="n"/>
      <c r="M8457" s="7" t="n"/>
      <c r="N8457">
        <f>IF(D8457="", "Gap - No Legal Basis", IF(AND(D8457="Consent (GDPR Art. 6(1)(a))", I8457="Not Captured"), "Gap - Invalid Consent", IF(AND(D8457="Legitimate Interest (GDPR Art. 6(1)(f))", L8457=""), "Gap - Missing LIA", IF(AND(G8457="Yes", H8457=""), "Gap - Missing Art. 9 Basis", IF(OR(I8457="Invalid - Not Freely Given", I8457="Invalid - Not Specific", I8457="Invalid - Not Informed", I8457="Invalid - Ambiguous"), "Gap - Invalid Consent", "Compliant")))))</f>
        <v/>
      </c>
      <c r="O8457" s="7" t="n"/>
    </row>
    <row r="8458">
      <c r="A8458" s="7" t="n"/>
      <c r="B8458" s="7" t="n"/>
      <c r="C8458" s="7" t="n"/>
      <c r="D8458" s="7" t="n"/>
      <c r="E8458" s="7" t="n"/>
      <c r="F8458" s="7" t="n"/>
      <c r="G8458" s="7" t="n"/>
      <c r="H8458" s="7" t="n"/>
      <c r="I8458" s="7" t="n"/>
      <c r="J8458" s="7" t="n"/>
      <c r="K8458">
        <f>IF(D8458="Legitimate Interest (GDPR Art. 6(1)(f))", "Yes / Required (Sheet 3)", "")</f>
        <v/>
      </c>
      <c r="L8458" s="7" t="n"/>
      <c r="M8458" s="7" t="n"/>
      <c r="N8458">
        <f>IF(D8458="", "Gap - No Legal Basis", IF(AND(D8458="Consent (GDPR Art. 6(1)(a))", I8458="Not Captured"), "Gap - Invalid Consent", IF(AND(D8458="Legitimate Interest (GDPR Art. 6(1)(f))", L8458=""), "Gap - Missing LIA", IF(AND(G8458="Yes", H8458=""), "Gap - Missing Art. 9 Basis", IF(OR(I8458="Invalid - Not Freely Given", I8458="Invalid - Not Specific", I8458="Invalid - Not Informed", I8458="Invalid - Ambiguous"), "Gap - Invalid Consent", "Compliant")))))</f>
        <v/>
      </c>
      <c r="O8458" s="7" t="n"/>
    </row>
    <row r="8459">
      <c r="A8459" s="7" t="n"/>
      <c r="B8459" s="7" t="n"/>
      <c r="C8459" s="7" t="n"/>
      <c r="D8459" s="7" t="n"/>
      <c r="E8459" s="7" t="n"/>
      <c r="F8459" s="7" t="n"/>
      <c r="G8459" s="7" t="n"/>
      <c r="H8459" s="7" t="n"/>
      <c r="I8459" s="7" t="n"/>
      <c r="J8459" s="7" t="n"/>
      <c r="K8459">
        <f>IF(D8459="Legitimate Interest (GDPR Art. 6(1)(f))", "Yes / Required (Sheet 3)", "")</f>
        <v/>
      </c>
      <c r="L8459" s="7" t="n"/>
      <c r="M8459" s="7" t="n"/>
      <c r="N8459">
        <f>IF(D8459="", "Gap - No Legal Basis", IF(AND(D8459="Consent (GDPR Art. 6(1)(a))", I8459="Not Captured"), "Gap - Invalid Consent", IF(AND(D8459="Legitimate Interest (GDPR Art. 6(1)(f))", L8459=""), "Gap - Missing LIA", IF(AND(G8459="Yes", H8459=""), "Gap - Missing Art. 9 Basis", IF(OR(I8459="Invalid - Not Freely Given", I8459="Invalid - Not Specific", I8459="Invalid - Not Informed", I8459="Invalid - Ambiguous"), "Gap - Invalid Consent", "Compliant")))))</f>
        <v/>
      </c>
      <c r="O8459" s="7" t="n"/>
    </row>
    <row r="8460">
      <c r="A8460" s="7" t="n"/>
      <c r="B8460" s="7" t="n"/>
      <c r="C8460" s="7" t="n"/>
      <c r="D8460" s="7" t="n"/>
      <c r="E8460" s="7" t="n"/>
      <c r="F8460" s="7" t="n"/>
      <c r="G8460" s="7" t="n"/>
      <c r="H8460" s="7" t="n"/>
      <c r="I8460" s="7" t="n"/>
      <c r="J8460" s="7" t="n"/>
      <c r="K8460">
        <f>IF(D8460="Legitimate Interest (GDPR Art. 6(1)(f))", "Yes / Required (Sheet 3)", "")</f>
        <v/>
      </c>
      <c r="L8460" s="7" t="n"/>
      <c r="M8460" s="7" t="n"/>
      <c r="N8460">
        <f>IF(D8460="", "Gap - No Legal Basis", IF(AND(D8460="Consent (GDPR Art. 6(1)(a))", I8460="Not Captured"), "Gap - Invalid Consent", IF(AND(D8460="Legitimate Interest (GDPR Art. 6(1)(f))", L8460=""), "Gap - Missing LIA", IF(AND(G8460="Yes", H8460=""), "Gap - Missing Art. 9 Basis", IF(OR(I8460="Invalid - Not Freely Given", I8460="Invalid - Not Specific", I8460="Invalid - Not Informed", I8460="Invalid - Ambiguous"), "Gap - Invalid Consent", "Compliant")))))</f>
        <v/>
      </c>
      <c r="O8460" s="7" t="n"/>
    </row>
    <row r="8461">
      <c r="A8461" s="7" t="n"/>
      <c r="B8461" s="7" t="n"/>
      <c r="C8461" s="7" t="n"/>
      <c r="D8461" s="7" t="n"/>
      <c r="E8461" s="7" t="n"/>
      <c r="F8461" s="7" t="n"/>
      <c r="G8461" s="7" t="n"/>
      <c r="H8461" s="7" t="n"/>
      <c r="I8461" s="7" t="n"/>
      <c r="J8461" s="7" t="n"/>
      <c r="K8461">
        <f>IF(D8461="Legitimate Interest (GDPR Art. 6(1)(f))", "Yes / Required (Sheet 3)", "")</f>
        <v/>
      </c>
      <c r="L8461" s="7" t="n"/>
      <c r="M8461" s="7" t="n"/>
      <c r="N8461">
        <f>IF(D8461="", "Gap - No Legal Basis", IF(AND(D8461="Consent (GDPR Art. 6(1)(a))", I8461="Not Captured"), "Gap - Invalid Consent", IF(AND(D8461="Legitimate Interest (GDPR Art. 6(1)(f))", L8461=""), "Gap - Missing LIA", IF(AND(G8461="Yes", H8461=""), "Gap - Missing Art. 9 Basis", IF(OR(I8461="Invalid - Not Freely Given", I8461="Invalid - Not Specific", I8461="Invalid - Not Informed", I8461="Invalid - Ambiguous"), "Gap - Invalid Consent", "Compliant")))))</f>
        <v/>
      </c>
      <c r="O8461" s="7" t="n"/>
    </row>
    <row r="8462">
      <c r="A8462" s="7" t="n"/>
      <c r="B8462" s="7" t="n"/>
      <c r="C8462" s="7" t="n"/>
      <c r="D8462" s="7" t="n"/>
      <c r="E8462" s="7" t="n"/>
      <c r="F8462" s="7" t="n"/>
      <c r="G8462" s="7" t="n"/>
      <c r="H8462" s="7" t="n"/>
      <c r="I8462" s="7" t="n"/>
      <c r="J8462" s="7" t="n"/>
      <c r="K8462">
        <f>IF(D8462="Legitimate Interest (GDPR Art. 6(1)(f))", "Yes / Required (Sheet 3)", "")</f>
        <v/>
      </c>
      <c r="L8462" s="7" t="n"/>
      <c r="M8462" s="7" t="n"/>
      <c r="N8462">
        <f>IF(D8462="", "Gap - No Legal Basis", IF(AND(D8462="Consent (GDPR Art. 6(1)(a))", I8462="Not Captured"), "Gap - Invalid Consent", IF(AND(D8462="Legitimate Interest (GDPR Art. 6(1)(f))", L8462=""), "Gap - Missing LIA", IF(AND(G8462="Yes", H8462=""), "Gap - Missing Art. 9 Basis", IF(OR(I8462="Invalid - Not Freely Given", I8462="Invalid - Not Specific", I8462="Invalid - Not Informed", I8462="Invalid - Ambiguous"), "Gap - Invalid Consent", "Compliant")))))</f>
        <v/>
      </c>
      <c r="O8462" s="7" t="n"/>
    </row>
    <row r="8463">
      <c r="A8463" s="7" t="n"/>
      <c r="B8463" s="7" t="n"/>
      <c r="C8463" s="7" t="n"/>
      <c r="D8463" s="7" t="n"/>
      <c r="E8463" s="7" t="n"/>
      <c r="F8463" s="7" t="n"/>
      <c r="G8463" s="7" t="n"/>
      <c r="H8463" s="7" t="n"/>
      <c r="I8463" s="7" t="n"/>
      <c r="J8463" s="7" t="n"/>
      <c r="K8463">
        <f>IF(D8463="Legitimate Interest (GDPR Art. 6(1)(f))", "Yes / Required (Sheet 3)", "")</f>
        <v/>
      </c>
      <c r="L8463" s="7" t="n"/>
      <c r="M8463" s="7" t="n"/>
      <c r="N8463">
        <f>IF(D8463="", "Gap - No Legal Basis", IF(AND(D8463="Consent (GDPR Art. 6(1)(a))", I8463="Not Captured"), "Gap - Invalid Consent", IF(AND(D8463="Legitimate Interest (GDPR Art. 6(1)(f))", L8463=""), "Gap - Missing LIA", IF(AND(G8463="Yes", H8463=""), "Gap - Missing Art. 9 Basis", IF(OR(I8463="Invalid - Not Freely Given", I8463="Invalid - Not Specific", I8463="Invalid - Not Informed", I8463="Invalid - Ambiguous"), "Gap - Invalid Consent", "Compliant")))))</f>
        <v/>
      </c>
      <c r="O8463" s="7" t="n"/>
    </row>
    <row r="8464">
      <c r="A8464" s="7" t="n"/>
      <c r="B8464" s="7" t="n"/>
      <c r="C8464" s="7" t="n"/>
      <c r="D8464" s="7" t="n"/>
      <c r="E8464" s="7" t="n"/>
      <c r="F8464" s="7" t="n"/>
      <c r="G8464" s="7" t="n"/>
      <c r="H8464" s="7" t="n"/>
      <c r="I8464" s="7" t="n"/>
      <c r="J8464" s="7" t="n"/>
      <c r="K8464">
        <f>IF(D8464="Legitimate Interest (GDPR Art. 6(1)(f))", "Yes / Required (Sheet 3)", "")</f>
        <v/>
      </c>
      <c r="L8464" s="7" t="n"/>
      <c r="M8464" s="7" t="n"/>
      <c r="N8464">
        <f>IF(D8464="", "Gap - No Legal Basis", IF(AND(D8464="Consent (GDPR Art. 6(1)(a))", I8464="Not Captured"), "Gap - Invalid Consent", IF(AND(D8464="Legitimate Interest (GDPR Art. 6(1)(f))", L8464=""), "Gap - Missing LIA", IF(AND(G8464="Yes", H8464=""), "Gap - Missing Art. 9 Basis", IF(OR(I8464="Invalid - Not Freely Given", I8464="Invalid - Not Specific", I8464="Invalid - Not Informed", I8464="Invalid - Ambiguous"), "Gap - Invalid Consent", "Compliant")))))</f>
        <v/>
      </c>
      <c r="O8464" s="7" t="n"/>
    </row>
    <row r="8465">
      <c r="A8465" s="7" t="n"/>
      <c r="B8465" s="7" t="n"/>
      <c r="C8465" s="7" t="n"/>
      <c r="D8465" s="7" t="n"/>
      <c r="E8465" s="7" t="n"/>
      <c r="F8465" s="7" t="n"/>
      <c r="G8465" s="7" t="n"/>
      <c r="H8465" s="7" t="n"/>
      <c r="I8465" s="7" t="n"/>
      <c r="J8465" s="7" t="n"/>
      <c r="K8465">
        <f>IF(D8465="Legitimate Interest (GDPR Art. 6(1)(f))", "Yes / Required (Sheet 3)", "")</f>
        <v/>
      </c>
      <c r="L8465" s="7" t="n"/>
      <c r="M8465" s="7" t="n"/>
      <c r="N8465">
        <f>IF(D8465="", "Gap - No Legal Basis", IF(AND(D8465="Consent (GDPR Art. 6(1)(a))", I8465="Not Captured"), "Gap - Invalid Consent", IF(AND(D8465="Legitimate Interest (GDPR Art. 6(1)(f))", L8465=""), "Gap - Missing LIA", IF(AND(G8465="Yes", H8465=""), "Gap - Missing Art. 9 Basis", IF(OR(I8465="Invalid - Not Freely Given", I8465="Invalid - Not Specific", I8465="Invalid - Not Informed", I8465="Invalid - Ambiguous"), "Gap - Invalid Consent", "Compliant")))))</f>
        <v/>
      </c>
      <c r="O8465" s="7" t="n"/>
    </row>
    <row r="8466">
      <c r="A8466" s="7" t="n"/>
      <c r="B8466" s="7" t="n"/>
      <c r="C8466" s="7" t="n"/>
      <c r="D8466" s="7" t="n"/>
      <c r="E8466" s="7" t="n"/>
      <c r="F8466" s="7" t="n"/>
      <c r="G8466" s="7" t="n"/>
      <c r="H8466" s="7" t="n"/>
      <c r="I8466" s="7" t="n"/>
      <c r="J8466" s="7" t="n"/>
      <c r="K8466">
        <f>IF(D8466="Legitimate Interest (GDPR Art. 6(1)(f))", "Yes / Required (Sheet 3)", "")</f>
        <v/>
      </c>
      <c r="L8466" s="7" t="n"/>
      <c r="M8466" s="7" t="n"/>
      <c r="N8466">
        <f>IF(D8466="", "Gap - No Legal Basis", IF(AND(D8466="Consent (GDPR Art. 6(1)(a))", I8466="Not Captured"), "Gap - Invalid Consent", IF(AND(D8466="Legitimate Interest (GDPR Art. 6(1)(f))", L8466=""), "Gap - Missing LIA", IF(AND(G8466="Yes", H8466=""), "Gap - Missing Art. 9 Basis", IF(OR(I8466="Invalid - Not Freely Given", I8466="Invalid - Not Specific", I8466="Invalid - Not Informed", I8466="Invalid - Ambiguous"), "Gap - Invalid Consent", "Compliant")))))</f>
        <v/>
      </c>
      <c r="O8466" s="7" t="n"/>
    </row>
    <row r="8467">
      <c r="A8467" s="7" t="n"/>
      <c r="B8467" s="7" t="n"/>
      <c r="C8467" s="7" t="n"/>
      <c r="D8467" s="7" t="n"/>
      <c r="E8467" s="7" t="n"/>
      <c r="F8467" s="7" t="n"/>
      <c r="G8467" s="7" t="n"/>
      <c r="H8467" s="7" t="n"/>
      <c r="I8467" s="7" t="n"/>
      <c r="J8467" s="7" t="n"/>
      <c r="K8467">
        <f>IF(D8467="Legitimate Interest (GDPR Art. 6(1)(f))", "Yes / Required (Sheet 3)", "")</f>
        <v/>
      </c>
      <c r="L8467" s="7" t="n"/>
      <c r="M8467" s="7" t="n"/>
      <c r="N8467">
        <f>IF(D8467="", "Gap - No Legal Basis", IF(AND(D8467="Consent (GDPR Art. 6(1)(a))", I8467="Not Captured"), "Gap - Invalid Consent", IF(AND(D8467="Legitimate Interest (GDPR Art. 6(1)(f))", L8467=""), "Gap - Missing LIA", IF(AND(G8467="Yes", H8467=""), "Gap - Missing Art. 9 Basis", IF(OR(I8467="Invalid - Not Freely Given", I8467="Invalid - Not Specific", I8467="Invalid - Not Informed", I8467="Invalid - Ambiguous"), "Gap - Invalid Consent", "Compliant")))))</f>
        <v/>
      </c>
      <c r="O8467" s="7" t="n"/>
    </row>
    <row r="8468">
      <c r="A8468" s="7" t="n"/>
      <c r="B8468" s="7" t="n"/>
      <c r="C8468" s="7" t="n"/>
      <c r="D8468" s="7" t="n"/>
      <c r="E8468" s="7" t="n"/>
      <c r="F8468" s="7" t="n"/>
      <c r="G8468" s="7" t="n"/>
      <c r="H8468" s="7" t="n"/>
      <c r="I8468" s="7" t="n"/>
      <c r="J8468" s="7" t="n"/>
      <c r="K8468">
        <f>IF(D8468="Legitimate Interest (GDPR Art. 6(1)(f))", "Yes / Required (Sheet 3)", "")</f>
        <v/>
      </c>
      <c r="L8468" s="7" t="n"/>
      <c r="M8468" s="7" t="n"/>
      <c r="N8468">
        <f>IF(D8468="", "Gap - No Legal Basis", IF(AND(D8468="Consent (GDPR Art. 6(1)(a))", I8468="Not Captured"), "Gap - Invalid Consent", IF(AND(D8468="Legitimate Interest (GDPR Art. 6(1)(f))", L8468=""), "Gap - Missing LIA", IF(AND(G8468="Yes", H8468=""), "Gap - Missing Art. 9 Basis", IF(OR(I8468="Invalid - Not Freely Given", I8468="Invalid - Not Specific", I8468="Invalid - Not Informed", I8468="Invalid - Ambiguous"), "Gap - Invalid Consent", "Compliant")))))</f>
        <v/>
      </c>
      <c r="O8468" s="7" t="n"/>
    </row>
    <row r="8469">
      <c r="A8469" s="7" t="n"/>
      <c r="B8469" s="7" t="n"/>
      <c r="C8469" s="7" t="n"/>
      <c r="D8469" s="7" t="n"/>
      <c r="E8469" s="7" t="n"/>
      <c r="F8469" s="7" t="n"/>
      <c r="G8469" s="7" t="n"/>
      <c r="H8469" s="7" t="n"/>
      <c r="I8469" s="7" t="n"/>
      <c r="J8469" s="7" t="n"/>
      <c r="K8469">
        <f>IF(D8469="Legitimate Interest (GDPR Art. 6(1)(f))", "Yes / Required (Sheet 3)", "")</f>
        <v/>
      </c>
      <c r="L8469" s="7" t="n"/>
      <c r="M8469" s="7" t="n"/>
      <c r="N8469">
        <f>IF(D8469="", "Gap - No Legal Basis", IF(AND(D8469="Consent (GDPR Art. 6(1)(a))", I8469="Not Captured"), "Gap - Invalid Consent", IF(AND(D8469="Legitimate Interest (GDPR Art. 6(1)(f))", L8469=""), "Gap - Missing LIA", IF(AND(G8469="Yes", H8469=""), "Gap - Missing Art. 9 Basis", IF(OR(I8469="Invalid - Not Freely Given", I8469="Invalid - Not Specific", I8469="Invalid - Not Informed", I8469="Invalid - Ambiguous"), "Gap - Invalid Consent", "Compliant")))))</f>
        <v/>
      </c>
      <c r="O8469" s="7" t="n"/>
    </row>
    <row r="8470">
      <c r="A8470" s="7" t="n"/>
      <c r="B8470" s="7" t="n"/>
      <c r="C8470" s="7" t="n"/>
      <c r="D8470" s="7" t="n"/>
      <c r="E8470" s="7" t="n"/>
      <c r="F8470" s="7" t="n"/>
      <c r="G8470" s="7" t="n"/>
      <c r="H8470" s="7" t="n"/>
      <c r="I8470" s="7" t="n"/>
      <c r="J8470" s="7" t="n"/>
      <c r="K8470">
        <f>IF(D8470="Legitimate Interest (GDPR Art. 6(1)(f))", "Yes / Required (Sheet 3)", "")</f>
        <v/>
      </c>
      <c r="L8470" s="7" t="n"/>
      <c r="M8470" s="7" t="n"/>
      <c r="N8470">
        <f>IF(D8470="", "Gap - No Legal Basis", IF(AND(D8470="Consent (GDPR Art. 6(1)(a))", I8470="Not Captured"), "Gap - Invalid Consent", IF(AND(D8470="Legitimate Interest (GDPR Art. 6(1)(f))", L8470=""), "Gap - Missing LIA", IF(AND(G8470="Yes", H8470=""), "Gap - Missing Art. 9 Basis", IF(OR(I8470="Invalid - Not Freely Given", I8470="Invalid - Not Specific", I8470="Invalid - Not Informed", I8470="Invalid - Ambiguous"), "Gap - Invalid Consent", "Compliant")))))</f>
        <v/>
      </c>
      <c r="O8470" s="7" t="n"/>
    </row>
    <row r="8471">
      <c r="A8471" s="7" t="n"/>
      <c r="B8471" s="7" t="n"/>
      <c r="C8471" s="7" t="n"/>
      <c r="D8471" s="7" t="n"/>
      <c r="E8471" s="7" t="n"/>
      <c r="F8471" s="7" t="n"/>
      <c r="G8471" s="7" t="n"/>
      <c r="H8471" s="7" t="n"/>
      <c r="I8471" s="7" t="n"/>
      <c r="J8471" s="7" t="n"/>
      <c r="K8471">
        <f>IF(D8471="Legitimate Interest (GDPR Art. 6(1)(f))", "Yes / Required (Sheet 3)", "")</f>
        <v/>
      </c>
      <c r="L8471" s="7" t="n"/>
      <c r="M8471" s="7" t="n"/>
      <c r="N8471">
        <f>IF(D8471="", "Gap - No Legal Basis", IF(AND(D8471="Consent (GDPR Art. 6(1)(a))", I8471="Not Captured"), "Gap - Invalid Consent", IF(AND(D8471="Legitimate Interest (GDPR Art. 6(1)(f))", L8471=""), "Gap - Missing LIA", IF(AND(G8471="Yes", H8471=""), "Gap - Missing Art. 9 Basis", IF(OR(I8471="Invalid - Not Freely Given", I8471="Invalid - Not Specific", I8471="Invalid - Not Informed", I8471="Invalid - Ambiguous"), "Gap - Invalid Consent", "Compliant")))))</f>
        <v/>
      </c>
      <c r="O8471" s="7" t="n"/>
    </row>
    <row r="8472">
      <c r="A8472" s="7" t="n"/>
      <c r="B8472" s="7" t="n"/>
      <c r="C8472" s="7" t="n"/>
      <c r="D8472" s="7" t="n"/>
      <c r="E8472" s="7" t="n"/>
      <c r="F8472" s="7" t="n"/>
      <c r="G8472" s="7" t="n"/>
      <c r="H8472" s="7" t="n"/>
      <c r="I8472" s="7" t="n"/>
      <c r="J8472" s="7" t="n"/>
      <c r="K8472">
        <f>IF(D8472="Legitimate Interest (GDPR Art. 6(1)(f))", "Yes / Required (Sheet 3)", "")</f>
        <v/>
      </c>
      <c r="L8472" s="7" t="n"/>
      <c r="M8472" s="7" t="n"/>
      <c r="N8472">
        <f>IF(D8472="", "Gap - No Legal Basis", IF(AND(D8472="Consent (GDPR Art. 6(1)(a))", I8472="Not Captured"), "Gap - Invalid Consent", IF(AND(D8472="Legitimate Interest (GDPR Art. 6(1)(f))", L8472=""), "Gap - Missing LIA", IF(AND(G8472="Yes", H8472=""), "Gap - Missing Art. 9 Basis", IF(OR(I8472="Invalid - Not Freely Given", I8472="Invalid - Not Specific", I8472="Invalid - Not Informed", I8472="Invalid - Ambiguous"), "Gap - Invalid Consent", "Compliant")))))</f>
        <v/>
      </c>
      <c r="O8472" s="7" t="n"/>
    </row>
    <row r="8473">
      <c r="A8473" s="7" t="n"/>
      <c r="B8473" s="7" t="n"/>
      <c r="C8473" s="7" t="n"/>
      <c r="D8473" s="7" t="n"/>
      <c r="E8473" s="7" t="n"/>
      <c r="F8473" s="7" t="n"/>
      <c r="G8473" s="7" t="n"/>
      <c r="H8473" s="7" t="n"/>
      <c r="I8473" s="7" t="n"/>
      <c r="J8473" s="7" t="n"/>
      <c r="K8473">
        <f>IF(D8473="Legitimate Interest (GDPR Art. 6(1)(f))", "Yes / Required (Sheet 3)", "")</f>
        <v/>
      </c>
      <c r="L8473" s="7" t="n"/>
      <c r="M8473" s="7" t="n"/>
      <c r="N8473">
        <f>IF(D8473="", "Gap - No Legal Basis", IF(AND(D8473="Consent (GDPR Art. 6(1)(a))", I8473="Not Captured"), "Gap - Invalid Consent", IF(AND(D8473="Legitimate Interest (GDPR Art. 6(1)(f))", L8473=""), "Gap - Missing LIA", IF(AND(G8473="Yes", H8473=""), "Gap - Missing Art. 9 Basis", IF(OR(I8473="Invalid - Not Freely Given", I8473="Invalid - Not Specific", I8473="Invalid - Not Informed", I8473="Invalid - Ambiguous"), "Gap - Invalid Consent", "Compliant")))))</f>
        <v/>
      </c>
      <c r="O8473" s="7" t="n"/>
    </row>
    <row r="8474">
      <c r="A8474" s="7" t="n"/>
      <c r="B8474" s="7" t="n"/>
      <c r="C8474" s="7" t="n"/>
      <c r="D8474" s="7" t="n"/>
      <c r="E8474" s="7" t="n"/>
      <c r="F8474" s="7" t="n"/>
      <c r="G8474" s="7" t="n"/>
      <c r="H8474" s="7" t="n"/>
      <c r="I8474" s="7" t="n"/>
      <c r="J8474" s="7" t="n"/>
      <c r="K8474">
        <f>IF(D8474="Legitimate Interest (GDPR Art. 6(1)(f))", "Yes / Required (Sheet 3)", "")</f>
        <v/>
      </c>
      <c r="L8474" s="7" t="n"/>
      <c r="M8474" s="7" t="n"/>
      <c r="N8474">
        <f>IF(D8474="", "Gap - No Legal Basis", IF(AND(D8474="Consent (GDPR Art. 6(1)(a))", I8474="Not Captured"), "Gap - Invalid Consent", IF(AND(D8474="Legitimate Interest (GDPR Art. 6(1)(f))", L8474=""), "Gap - Missing LIA", IF(AND(G8474="Yes", H8474=""), "Gap - Missing Art. 9 Basis", IF(OR(I8474="Invalid - Not Freely Given", I8474="Invalid - Not Specific", I8474="Invalid - Not Informed", I8474="Invalid - Ambiguous"), "Gap - Invalid Consent", "Compliant")))))</f>
        <v/>
      </c>
      <c r="O8474" s="7" t="n"/>
    </row>
    <row r="8475">
      <c r="A8475" s="7" t="n"/>
      <c r="B8475" s="7" t="n"/>
      <c r="C8475" s="7" t="n"/>
      <c r="D8475" s="7" t="n"/>
      <c r="E8475" s="7" t="n"/>
      <c r="F8475" s="7" t="n"/>
      <c r="G8475" s="7" t="n"/>
      <c r="H8475" s="7" t="n"/>
      <c r="I8475" s="7" t="n"/>
      <c r="J8475" s="7" t="n"/>
      <c r="K8475">
        <f>IF(D8475="Legitimate Interest (GDPR Art. 6(1)(f))", "Yes / Required (Sheet 3)", "")</f>
        <v/>
      </c>
      <c r="L8475" s="7" t="n"/>
      <c r="M8475" s="7" t="n"/>
      <c r="N8475">
        <f>IF(D8475="", "Gap - No Legal Basis", IF(AND(D8475="Consent (GDPR Art. 6(1)(a))", I8475="Not Captured"), "Gap - Invalid Consent", IF(AND(D8475="Legitimate Interest (GDPR Art. 6(1)(f))", L8475=""), "Gap - Missing LIA", IF(AND(G8475="Yes", H8475=""), "Gap - Missing Art. 9 Basis", IF(OR(I8475="Invalid - Not Freely Given", I8475="Invalid - Not Specific", I8475="Invalid - Not Informed", I8475="Invalid - Ambiguous"), "Gap - Invalid Consent", "Compliant")))))</f>
        <v/>
      </c>
      <c r="O8475" s="7" t="n"/>
    </row>
    <row r="8476">
      <c r="A8476" s="7" t="n"/>
      <c r="B8476" s="7" t="n"/>
      <c r="C8476" s="7" t="n"/>
      <c r="D8476" s="7" t="n"/>
      <c r="E8476" s="7" t="n"/>
      <c r="F8476" s="7" t="n"/>
      <c r="G8476" s="7" t="n"/>
      <c r="H8476" s="7" t="n"/>
      <c r="I8476" s="7" t="n"/>
      <c r="J8476" s="7" t="n"/>
      <c r="K8476">
        <f>IF(D8476="Legitimate Interest (GDPR Art. 6(1)(f))", "Yes / Required (Sheet 3)", "")</f>
        <v/>
      </c>
      <c r="L8476" s="7" t="n"/>
      <c r="M8476" s="7" t="n"/>
      <c r="N8476">
        <f>IF(D8476="", "Gap - No Legal Basis", IF(AND(D8476="Consent (GDPR Art. 6(1)(a))", I8476="Not Captured"), "Gap - Invalid Consent", IF(AND(D8476="Legitimate Interest (GDPR Art. 6(1)(f))", L8476=""), "Gap - Missing LIA", IF(AND(G8476="Yes", H8476=""), "Gap - Missing Art. 9 Basis", IF(OR(I8476="Invalid - Not Freely Given", I8476="Invalid - Not Specific", I8476="Invalid - Not Informed", I8476="Invalid - Ambiguous"), "Gap - Invalid Consent", "Compliant")))))</f>
        <v/>
      </c>
      <c r="O8476" s="7" t="n"/>
    </row>
    <row r="8477">
      <c r="A8477" s="7" t="n"/>
      <c r="B8477" s="7" t="n"/>
      <c r="C8477" s="7" t="n"/>
      <c r="D8477" s="7" t="n"/>
      <c r="E8477" s="7" t="n"/>
      <c r="F8477" s="7" t="n"/>
      <c r="G8477" s="7" t="n"/>
      <c r="H8477" s="7" t="n"/>
      <c r="I8477" s="7" t="n"/>
      <c r="J8477" s="7" t="n"/>
      <c r="K8477">
        <f>IF(D8477="Legitimate Interest (GDPR Art. 6(1)(f))", "Yes / Required (Sheet 3)", "")</f>
        <v/>
      </c>
      <c r="L8477" s="7" t="n"/>
      <c r="M8477" s="7" t="n"/>
      <c r="N8477">
        <f>IF(D8477="", "Gap - No Legal Basis", IF(AND(D8477="Consent (GDPR Art. 6(1)(a))", I8477="Not Captured"), "Gap - Invalid Consent", IF(AND(D8477="Legitimate Interest (GDPR Art. 6(1)(f))", L8477=""), "Gap - Missing LIA", IF(AND(G8477="Yes", H8477=""), "Gap - Missing Art. 9 Basis", IF(OR(I8477="Invalid - Not Freely Given", I8477="Invalid - Not Specific", I8477="Invalid - Not Informed", I8477="Invalid - Ambiguous"), "Gap - Invalid Consent", "Compliant")))))</f>
        <v/>
      </c>
      <c r="O8477" s="7" t="n"/>
    </row>
    <row r="8478">
      <c r="A8478" s="7" t="n"/>
      <c r="B8478" s="7" t="n"/>
      <c r="C8478" s="7" t="n"/>
      <c r="D8478" s="7" t="n"/>
      <c r="E8478" s="7" t="n"/>
      <c r="F8478" s="7" t="n"/>
      <c r="G8478" s="7" t="n"/>
      <c r="H8478" s="7" t="n"/>
      <c r="I8478" s="7" t="n"/>
      <c r="J8478" s="7" t="n"/>
      <c r="K8478">
        <f>IF(D8478="Legitimate Interest (GDPR Art. 6(1)(f))", "Yes / Required (Sheet 3)", "")</f>
        <v/>
      </c>
      <c r="L8478" s="7" t="n"/>
      <c r="M8478" s="7" t="n"/>
      <c r="N8478">
        <f>IF(D8478="", "Gap - No Legal Basis", IF(AND(D8478="Consent (GDPR Art. 6(1)(a))", I8478="Not Captured"), "Gap - Invalid Consent", IF(AND(D8478="Legitimate Interest (GDPR Art. 6(1)(f))", L8478=""), "Gap - Missing LIA", IF(AND(G8478="Yes", H8478=""), "Gap - Missing Art. 9 Basis", IF(OR(I8478="Invalid - Not Freely Given", I8478="Invalid - Not Specific", I8478="Invalid - Not Informed", I8478="Invalid - Ambiguous"), "Gap - Invalid Consent", "Compliant")))))</f>
        <v/>
      </c>
      <c r="O8478" s="7" t="n"/>
    </row>
    <row r="8479">
      <c r="A8479" s="7" t="n"/>
      <c r="B8479" s="7" t="n"/>
      <c r="C8479" s="7" t="n"/>
      <c r="D8479" s="7" t="n"/>
      <c r="E8479" s="7" t="n"/>
      <c r="F8479" s="7" t="n"/>
      <c r="G8479" s="7" t="n"/>
      <c r="H8479" s="7" t="n"/>
      <c r="I8479" s="7" t="n"/>
      <c r="J8479" s="7" t="n"/>
      <c r="K8479">
        <f>IF(D8479="Legitimate Interest (GDPR Art. 6(1)(f))", "Yes / Required (Sheet 3)", "")</f>
        <v/>
      </c>
      <c r="L8479" s="7" t="n"/>
      <c r="M8479" s="7" t="n"/>
      <c r="N8479">
        <f>IF(D8479="", "Gap - No Legal Basis", IF(AND(D8479="Consent (GDPR Art. 6(1)(a))", I8479="Not Captured"), "Gap - Invalid Consent", IF(AND(D8479="Legitimate Interest (GDPR Art. 6(1)(f))", L8479=""), "Gap - Missing LIA", IF(AND(G8479="Yes", H8479=""), "Gap - Missing Art. 9 Basis", IF(OR(I8479="Invalid - Not Freely Given", I8479="Invalid - Not Specific", I8479="Invalid - Not Informed", I8479="Invalid - Ambiguous"), "Gap - Invalid Consent", "Compliant")))))</f>
        <v/>
      </c>
      <c r="O8479" s="7" t="n"/>
    </row>
    <row r="8480">
      <c r="A8480" s="7" t="n"/>
      <c r="B8480" s="7" t="n"/>
      <c r="C8480" s="7" t="n"/>
      <c r="D8480" s="7" t="n"/>
      <c r="E8480" s="7" t="n"/>
      <c r="F8480" s="7" t="n"/>
      <c r="G8480" s="7" t="n"/>
      <c r="H8480" s="7" t="n"/>
      <c r="I8480" s="7" t="n"/>
      <c r="J8480" s="7" t="n"/>
      <c r="K8480">
        <f>IF(D8480="Legitimate Interest (GDPR Art. 6(1)(f))", "Yes / Required (Sheet 3)", "")</f>
        <v/>
      </c>
      <c r="L8480" s="7" t="n"/>
      <c r="M8480" s="7" t="n"/>
      <c r="N8480">
        <f>IF(D8480="", "Gap - No Legal Basis", IF(AND(D8480="Consent (GDPR Art. 6(1)(a))", I8480="Not Captured"), "Gap - Invalid Consent", IF(AND(D8480="Legitimate Interest (GDPR Art. 6(1)(f))", L8480=""), "Gap - Missing LIA", IF(AND(G8480="Yes", H8480=""), "Gap - Missing Art. 9 Basis", IF(OR(I8480="Invalid - Not Freely Given", I8480="Invalid - Not Specific", I8480="Invalid - Not Informed", I8480="Invalid - Ambiguous"), "Gap - Invalid Consent", "Compliant")))))</f>
        <v/>
      </c>
      <c r="O8480" s="7" t="n"/>
    </row>
    <row r="8481">
      <c r="A8481" s="7" t="n"/>
      <c r="B8481" s="7" t="n"/>
      <c r="C8481" s="7" t="n"/>
      <c r="D8481" s="7" t="n"/>
      <c r="E8481" s="7" t="n"/>
      <c r="F8481" s="7" t="n"/>
      <c r="G8481" s="7" t="n"/>
      <c r="H8481" s="7" t="n"/>
      <c r="I8481" s="7" t="n"/>
      <c r="J8481" s="7" t="n"/>
      <c r="K8481">
        <f>IF(D8481="Legitimate Interest (GDPR Art. 6(1)(f))", "Yes / Required (Sheet 3)", "")</f>
        <v/>
      </c>
      <c r="L8481" s="7" t="n"/>
      <c r="M8481" s="7" t="n"/>
      <c r="N8481">
        <f>IF(D8481="", "Gap - No Legal Basis", IF(AND(D8481="Consent (GDPR Art. 6(1)(a))", I8481="Not Captured"), "Gap - Invalid Consent", IF(AND(D8481="Legitimate Interest (GDPR Art. 6(1)(f))", L8481=""), "Gap - Missing LIA", IF(AND(G8481="Yes", H8481=""), "Gap - Missing Art. 9 Basis", IF(OR(I8481="Invalid - Not Freely Given", I8481="Invalid - Not Specific", I8481="Invalid - Not Informed", I8481="Invalid - Ambiguous"), "Gap - Invalid Consent", "Compliant")))))</f>
        <v/>
      </c>
      <c r="O8481" s="7" t="n"/>
    </row>
    <row r="8482">
      <c r="A8482" s="7" t="n"/>
      <c r="B8482" s="7" t="n"/>
      <c r="C8482" s="7" t="n"/>
      <c r="D8482" s="7" t="n"/>
      <c r="E8482" s="7" t="n"/>
      <c r="F8482" s="7" t="n"/>
      <c r="G8482" s="7" t="n"/>
      <c r="H8482" s="7" t="n"/>
      <c r="I8482" s="7" t="n"/>
      <c r="J8482" s="7" t="n"/>
      <c r="K8482">
        <f>IF(D8482="Legitimate Interest (GDPR Art. 6(1)(f))", "Yes / Required (Sheet 3)", "")</f>
        <v/>
      </c>
      <c r="L8482" s="7" t="n"/>
      <c r="M8482" s="7" t="n"/>
      <c r="N8482">
        <f>IF(D8482="", "Gap - No Legal Basis", IF(AND(D8482="Consent (GDPR Art. 6(1)(a))", I8482="Not Captured"), "Gap - Invalid Consent", IF(AND(D8482="Legitimate Interest (GDPR Art. 6(1)(f))", L8482=""), "Gap - Missing LIA", IF(AND(G8482="Yes", H8482=""), "Gap - Missing Art. 9 Basis", IF(OR(I8482="Invalid - Not Freely Given", I8482="Invalid - Not Specific", I8482="Invalid - Not Informed", I8482="Invalid - Ambiguous"), "Gap - Invalid Consent", "Compliant")))))</f>
        <v/>
      </c>
      <c r="O8482" s="7" t="n"/>
    </row>
    <row r="8483">
      <c r="A8483" s="7" t="n"/>
      <c r="B8483" s="7" t="n"/>
      <c r="C8483" s="7" t="n"/>
      <c r="D8483" s="7" t="n"/>
      <c r="E8483" s="7" t="n"/>
      <c r="F8483" s="7" t="n"/>
      <c r="G8483" s="7" t="n"/>
      <c r="H8483" s="7" t="n"/>
      <c r="I8483" s="7" t="n"/>
      <c r="J8483" s="7" t="n"/>
      <c r="K8483">
        <f>IF(D8483="Legitimate Interest (GDPR Art. 6(1)(f))", "Yes / Required (Sheet 3)", "")</f>
        <v/>
      </c>
      <c r="L8483" s="7" t="n"/>
      <c r="M8483" s="7" t="n"/>
      <c r="N8483">
        <f>IF(D8483="", "Gap - No Legal Basis", IF(AND(D8483="Consent (GDPR Art. 6(1)(a))", I8483="Not Captured"), "Gap - Invalid Consent", IF(AND(D8483="Legitimate Interest (GDPR Art. 6(1)(f))", L8483=""), "Gap - Missing LIA", IF(AND(G8483="Yes", H8483=""), "Gap - Missing Art. 9 Basis", IF(OR(I8483="Invalid - Not Freely Given", I8483="Invalid - Not Specific", I8483="Invalid - Not Informed", I8483="Invalid - Ambiguous"), "Gap - Invalid Consent", "Compliant")))))</f>
        <v/>
      </c>
      <c r="O8483" s="7" t="n"/>
    </row>
    <row r="8484">
      <c r="A8484" s="7" t="n"/>
      <c r="B8484" s="7" t="n"/>
      <c r="C8484" s="7" t="n"/>
      <c r="D8484" s="7" t="n"/>
      <c r="E8484" s="7" t="n"/>
      <c r="F8484" s="7" t="n"/>
      <c r="G8484" s="7" t="n"/>
      <c r="H8484" s="7" t="n"/>
      <c r="I8484" s="7" t="n"/>
      <c r="J8484" s="7" t="n"/>
      <c r="K8484">
        <f>IF(D8484="Legitimate Interest (GDPR Art. 6(1)(f))", "Yes / Required (Sheet 3)", "")</f>
        <v/>
      </c>
      <c r="L8484" s="7" t="n"/>
      <c r="M8484" s="7" t="n"/>
      <c r="N8484">
        <f>IF(D8484="", "Gap - No Legal Basis", IF(AND(D8484="Consent (GDPR Art. 6(1)(a))", I8484="Not Captured"), "Gap - Invalid Consent", IF(AND(D8484="Legitimate Interest (GDPR Art. 6(1)(f))", L8484=""), "Gap - Missing LIA", IF(AND(G8484="Yes", H8484=""), "Gap - Missing Art. 9 Basis", IF(OR(I8484="Invalid - Not Freely Given", I8484="Invalid - Not Specific", I8484="Invalid - Not Informed", I8484="Invalid - Ambiguous"), "Gap - Invalid Consent", "Compliant")))))</f>
        <v/>
      </c>
      <c r="O8484" s="7" t="n"/>
    </row>
    <row r="8485">
      <c r="A8485" s="7" t="n"/>
      <c r="B8485" s="7" t="n"/>
      <c r="C8485" s="7" t="n"/>
      <c r="D8485" s="7" t="n"/>
      <c r="E8485" s="7" t="n"/>
      <c r="F8485" s="7" t="n"/>
      <c r="G8485" s="7" t="n"/>
      <c r="H8485" s="7" t="n"/>
      <c r="I8485" s="7" t="n"/>
      <c r="J8485" s="7" t="n"/>
      <c r="K8485">
        <f>IF(D8485="Legitimate Interest (GDPR Art. 6(1)(f))", "Yes / Required (Sheet 3)", "")</f>
        <v/>
      </c>
      <c r="L8485" s="7" t="n"/>
      <c r="M8485" s="7" t="n"/>
      <c r="N8485">
        <f>IF(D8485="", "Gap - No Legal Basis", IF(AND(D8485="Consent (GDPR Art. 6(1)(a))", I8485="Not Captured"), "Gap - Invalid Consent", IF(AND(D8485="Legitimate Interest (GDPR Art. 6(1)(f))", L8485=""), "Gap - Missing LIA", IF(AND(G8485="Yes", H8485=""), "Gap - Missing Art. 9 Basis", IF(OR(I8485="Invalid - Not Freely Given", I8485="Invalid - Not Specific", I8485="Invalid - Not Informed", I8485="Invalid - Ambiguous"), "Gap - Invalid Consent", "Compliant")))))</f>
        <v/>
      </c>
      <c r="O8485" s="7" t="n"/>
    </row>
    <row r="8486">
      <c r="A8486" s="7" t="n"/>
      <c r="B8486" s="7" t="n"/>
      <c r="C8486" s="7" t="n"/>
      <c r="D8486" s="7" t="n"/>
      <c r="E8486" s="7" t="n"/>
      <c r="F8486" s="7" t="n"/>
      <c r="G8486" s="7" t="n"/>
      <c r="H8486" s="7" t="n"/>
      <c r="I8486" s="7" t="n"/>
      <c r="J8486" s="7" t="n"/>
      <c r="K8486">
        <f>IF(D8486="Legitimate Interest (GDPR Art. 6(1)(f))", "Yes / Required (Sheet 3)", "")</f>
        <v/>
      </c>
      <c r="L8486" s="7" t="n"/>
      <c r="M8486" s="7" t="n"/>
      <c r="N8486">
        <f>IF(D8486="", "Gap - No Legal Basis", IF(AND(D8486="Consent (GDPR Art. 6(1)(a))", I8486="Not Captured"), "Gap - Invalid Consent", IF(AND(D8486="Legitimate Interest (GDPR Art. 6(1)(f))", L8486=""), "Gap - Missing LIA", IF(AND(G8486="Yes", H8486=""), "Gap - Missing Art. 9 Basis", IF(OR(I8486="Invalid - Not Freely Given", I8486="Invalid - Not Specific", I8486="Invalid - Not Informed", I8486="Invalid - Ambiguous"), "Gap - Invalid Consent", "Compliant")))))</f>
        <v/>
      </c>
      <c r="O8486" s="7" t="n"/>
    </row>
    <row r="8487">
      <c r="A8487" s="7" t="n"/>
      <c r="B8487" s="7" t="n"/>
      <c r="C8487" s="7" t="n"/>
      <c r="D8487" s="7" t="n"/>
      <c r="E8487" s="7" t="n"/>
      <c r="F8487" s="7" t="n"/>
      <c r="G8487" s="7" t="n"/>
      <c r="H8487" s="7" t="n"/>
      <c r="I8487" s="7" t="n"/>
      <c r="J8487" s="7" t="n"/>
      <c r="K8487">
        <f>IF(D8487="Legitimate Interest (GDPR Art. 6(1)(f))", "Yes / Required (Sheet 3)", "")</f>
        <v/>
      </c>
      <c r="L8487" s="7" t="n"/>
      <c r="M8487" s="7" t="n"/>
      <c r="N8487">
        <f>IF(D8487="", "Gap - No Legal Basis", IF(AND(D8487="Consent (GDPR Art. 6(1)(a))", I8487="Not Captured"), "Gap - Invalid Consent", IF(AND(D8487="Legitimate Interest (GDPR Art. 6(1)(f))", L8487=""), "Gap - Missing LIA", IF(AND(G8487="Yes", H8487=""), "Gap - Missing Art. 9 Basis", IF(OR(I8487="Invalid - Not Freely Given", I8487="Invalid - Not Specific", I8487="Invalid - Not Informed", I8487="Invalid - Ambiguous"), "Gap - Invalid Consent", "Compliant")))))</f>
        <v/>
      </c>
      <c r="O8487" s="7" t="n"/>
    </row>
    <row r="8488">
      <c r="A8488" s="7" t="n"/>
      <c r="B8488" s="7" t="n"/>
      <c r="C8488" s="7" t="n"/>
      <c r="D8488" s="7" t="n"/>
      <c r="E8488" s="7" t="n"/>
      <c r="F8488" s="7" t="n"/>
      <c r="G8488" s="7" t="n"/>
      <c r="H8488" s="7" t="n"/>
      <c r="I8488" s="7" t="n"/>
      <c r="J8488" s="7" t="n"/>
      <c r="K8488">
        <f>IF(D8488="Legitimate Interest (GDPR Art. 6(1)(f))", "Yes / Required (Sheet 3)", "")</f>
        <v/>
      </c>
      <c r="L8488" s="7" t="n"/>
      <c r="M8488" s="7" t="n"/>
      <c r="N8488">
        <f>IF(D8488="", "Gap - No Legal Basis", IF(AND(D8488="Consent (GDPR Art. 6(1)(a))", I8488="Not Captured"), "Gap - Invalid Consent", IF(AND(D8488="Legitimate Interest (GDPR Art. 6(1)(f))", L8488=""), "Gap - Missing LIA", IF(AND(G8488="Yes", H8488=""), "Gap - Missing Art. 9 Basis", IF(OR(I8488="Invalid - Not Freely Given", I8488="Invalid - Not Specific", I8488="Invalid - Not Informed", I8488="Invalid - Ambiguous"), "Gap - Invalid Consent", "Compliant")))))</f>
        <v/>
      </c>
      <c r="O8488" s="7" t="n"/>
    </row>
    <row r="8489">
      <c r="A8489" s="7" t="n"/>
      <c r="B8489" s="7" t="n"/>
      <c r="C8489" s="7" t="n"/>
      <c r="D8489" s="7" t="n"/>
      <c r="E8489" s="7" t="n"/>
      <c r="F8489" s="7" t="n"/>
      <c r="G8489" s="7" t="n"/>
      <c r="H8489" s="7" t="n"/>
      <c r="I8489" s="7" t="n"/>
      <c r="J8489" s="7" t="n"/>
      <c r="K8489">
        <f>IF(D8489="Legitimate Interest (GDPR Art. 6(1)(f))", "Yes / Required (Sheet 3)", "")</f>
        <v/>
      </c>
      <c r="L8489" s="7" t="n"/>
      <c r="M8489" s="7" t="n"/>
      <c r="N8489">
        <f>IF(D8489="", "Gap - No Legal Basis", IF(AND(D8489="Consent (GDPR Art. 6(1)(a))", I8489="Not Captured"), "Gap - Invalid Consent", IF(AND(D8489="Legitimate Interest (GDPR Art. 6(1)(f))", L8489=""), "Gap - Missing LIA", IF(AND(G8489="Yes", H8489=""), "Gap - Missing Art. 9 Basis", IF(OR(I8489="Invalid - Not Freely Given", I8489="Invalid - Not Specific", I8489="Invalid - Not Informed", I8489="Invalid - Ambiguous"), "Gap - Invalid Consent", "Compliant")))))</f>
        <v/>
      </c>
      <c r="O8489" s="7" t="n"/>
    </row>
    <row r="8490">
      <c r="A8490" s="7" t="n"/>
      <c r="B8490" s="7" t="n"/>
      <c r="C8490" s="7" t="n"/>
      <c r="D8490" s="7" t="n"/>
      <c r="E8490" s="7" t="n"/>
      <c r="F8490" s="7" t="n"/>
      <c r="G8490" s="7" t="n"/>
      <c r="H8490" s="7" t="n"/>
      <c r="I8490" s="7" t="n"/>
      <c r="J8490" s="7" t="n"/>
      <c r="K8490">
        <f>IF(D8490="Legitimate Interest (GDPR Art. 6(1)(f))", "Yes / Required (Sheet 3)", "")</f>
        <v/>
      </c>
      <c r="L8490" s="7" t="n"/>
      <c r="M8490" s="7" t="n"/>
      <c r="N8490">
        <f>IF(D8490="", "Gap - No Legal Basis", IF(AND(D8490="Consent (GDPR Art. 6(1)(a))", I8490="Not Captured"), "Gap - Invalid Consent", IF(AND(D8490="Legitimate Interest (GDPR Art. 6(1)(f))", L8490=""), "Gap - Missing LIA", IF(AND(G8490="Yes", H8490=""), "Gap - Missing Art. 9 Basis", IF(OR(I8490="Invalid - Not Freely Given", I8490="Invalid - Not Specific", I8490="Invalid - Not Informed", I8490="Invalid - Ambiguous"), "Gap - Invalid Consent", "Compliant")))))</f>
        <v/>
      </c>
      <c r="O8490" s="7" t="n"/>
    </row>
    <row r="8491">
      <c r="A8491" s="7" t="n"/>
      <c r="B8491" s="7" t="n"/>
      <c r="C8491" s="7" t="n"/>
      <c r="D8491" s="7" t="n"/>
      <c r="E8491" s="7" t="n"/>
      <c r="F8491" s="7" t="n"/>
      <c r="G8491" s="7" t="n"/>
      <c r="H8491" s="7" t="n"/>
      <c r="I8491" s="7" t="n"/>
      <c r="J8491" s="7" t="n"/>
      <c r="K8491">
        <f>IF(D8491="Legitimate Interest (GDPR Art. 6(1)(f))", "Yes / Required (Sheet 3)", "")</f>
        <v/>
      </c>
      <c r="L8491" s="7" t="n"/>
      <c r="M8491" s="7" t="n"/>
      <c r="N8491">
        <f>IF(D8491="", "Gap - No Legal Basis", IF(AND(D8491="Consent (GDPR Art. 6(1)(a))", I8491="Not Captured"), "Gap - Invalid Consent", IF(AND(D8491="Legitimate Interest (GDPR Art. 6(1)(f))", L8491=""), "Gap - Missing LIA", IF(AND(G8491="Yes", H8491=""), "Gap - Missing Art. 9 Basis", IF(OR(I8491="Invalid - Not Freely Given", I8491="Invalid - Not Specific", I8491="Invalid - Not Informed", I8491="Invalid - Ambiguous"), "Gap - Invalid Consent", "Compliant")))))</f>
        <v/>
      </c>
      <c r="O8491" s="7" t="n"/>
    </row>
    <row r="8492">
      <c r="A8492" s="7" t="n"/>
      <c r="B8492" s="7" t="n"/>
      <c r="C8492" s="7" t="n"/>
      <c r="D8492" s="7" t="n"/>
      <c r="E8492" s="7" t="n"/>
      <c r="F8492" s="7" t="n"/>
      <c r="G8492" s="7" t="n"/>
      <c r="H8492" s="7" t="n"/>
      <c r="I8492" s="7" t="n"/>
      <c r="J8492" s="7" t="n"/>
      <c r="K8492">
        <f>IF(D8492="Legitimate Interest (GDPR Art. 6(1)(f))", "Yes / Required (Sheet 3)", "")</f>
        <v/>
      </c>
      <c r="L8492" s="7" t="n"/>
      <c r="M8492" s="7" t="n"/>
      <c r="N8492">
        <f>IF(D8492="", "Gap - No Legal Basis", IF(AND(D8492="Consent (GDPR Art. 6(1)(a))", I8492="Not Captured"), "Gap - Invalid Consent", IF(AND(D8492="Legitimate Interest (GDPR Art. 6(1)(f))", L8492=""), "Gap - Missing LIA", IF(AND(G8492="Yes", H8492=""), "Gap - Missing Art. 9 Basis", IF(OR(I8492="Invalid - Not Freely Given", I8492="Invalid - Not Specific", I8492="Invalid - Not Informed", I8492="Invalid - Ambiguous"), "Gap - Invalid Consent", "Compliant")))))</f>
        <v/>
      </c>
      <c r="O8492" s="7" t="n"/>
    </row>
    <row r="8493">
      <c r="A8493" s="7" t="n"/>
      <c r="B8493" s="7" t="n"/>
      <c r="C8493" s="7" t="n"/>
      <c r="D8493" s="7" t="n"/>
      <c r="E8493" s="7" t="n"/>
      <c r="F8493" s="7" t="n"/>
      <c r="G8493" s="7" t="n"/>
      <c r="H8493" s="7" t="n"/>
      <c r="I8493" s="7" t="n"/>
      <c r="J8493" s="7" t="n"/>
      <c r="K8493">
        <f>IF(D8493="Legitimate Interest (GDPR Art. 6(1)(f))", "Yes / Required (Sheet 3)", "")</f>
        <v/>
      </c>
      <c r="L8493" s="7" t="n"/>
      <c r="M8493" s="7" t="n"/>
      <c r="N8493">
        <f>IF(D8493="", "Gap - No Legal Basis", IF(AND(D8493="Consent (GDPR Art. 6(1)(a))", I8493="Not Captured"), "Gap - Invalid Consent", IF(AND(D8493="Legitimate Interest (GDPR Art. 6(1)(f))", L8493=""), "Gap - Missing LIA", IF(AND(G8493="Yes", H8493=""), "Gap - Missing Art. 9 Basis", IF(OR(I8493="Invalid - Not Freely Given", I8493="Invalid - Not Specific", I8493="Invalid - Not Informed", I8493="Invalid - Ambiguous"), "Gap - Invalid Consent", "Compliant")))))</f>
        <v/>
      </c>
      <c r="O8493" s="7" t="n"/>
    </row>
    <row r="8494">
      <c r="A8494" s="7" t="n"/>
      <c r="B8494" s="7" t="n"/>
      <c r="C8494" s="7" t="n"/>
      <c r="D8494" s="7" t="n"/>
      <c r="E8494" s="7" t="n"/>
      <c r="F8494" s="7" t="n"/>
      <c r="G8494" s="7" t="n"/>
      <c r="H8494" s="7" t="n"/>
      <c r="I8494" s="7" t="n"/>
      <c r="J8494" s="7" t="n"/>
      <c r="K8494">
        <f>IF(D8494="Legitimate Interest (GDPR Art. 6(1)(f))", "Yes / Required (Sheet 3)", "")</f>
        <v/>
      </c>
      <c r="L8494" s="7" t="n"/>
      <c r="M8494" s="7" t="n"/>
      <c r="N8494">
        <f>IF(D8494="", "Gap - No Legal Basis", IF(AND(D8494="Consent (GDPR Art. 6(1)(a))", I8494="Not Captured"), "Gap - Invalid Consent", IF(AND(D8494="Legitimate Interest (GDPR Art. 6(1)(f))", L8494=""), "Gap - Missing LIA", IF(AND(G8494="Yes", H8494=""), "Gap - Missing Art. 9 Basis", IF(OR(I8494="Invalid - Not Freely Given", I8494="Invalid - Not Specific", I8494="Invalid - Not Informed", I8494="Invalid - Ambiguous"), "Gap - Invalid Consent", "Compliant")))))</f>
        <v/>
      </c>
      <c r="O8494" s="7" t="n"/>
    </row>
    <row r="8495">
      <c r="A8495" s="7" t="n"/>
      <c r="B8495" s="7" t="n"/>
      <c r="C8495" s="7" t="n"/>
      <c r="D8495" s="7" t="n"/>
      <c r="E8495" s="7" t="n"/>
      <c r="F8495" s="7" t="n"/>
      <c r="G8495" s="7" t="n"/>
      <c r="H8495" s="7" t="n"/>
      <c r="I8495" s="7" t="n"/>
      <c r="J8495" s="7" t="n"/>
      <c r="K8495">
        <f>IF(D8495="Legitimate Interest (GDPR Art. 6(1)(f))", "Yes / Required (Sheet 3)", "")</f>
        <v/>
      </c>
      <c r="L8495" s="7" t="n"/>
      <c r="M8495" s="7" t="n"/>
      <c r="N8495">
        <f>IF(D8495="", "Gap - No Legal Basis", IF(AND(D8495="Consent (GDPR Art. 6(1)(a))", I8495="Not Captured"), "Gap - Invalid Consent", IF(AND(D8495="Legitimate Interest (GDPR Art. 6(1)(f))", L8495=""), "Gap - Missing LIA", IF(AND(G8495="Yes", H8495=""), "Gap - Missing Art. 9 Basis", IF(OR(I8495="Invalid - Not Freely Given", I8495="Invalid - Not Specific", I8495="Invalid - Not Informed", I8495="Invalid - Ambiguous"), "Gap - Invalid Consent", "Compliant")))))</f>
        <v/>
      </c>
      <c r="O8495" s="7" t="n"/>
    </row>
    <row r="8496">
      <c r="A8496" s="7" t="n"/>
      <c r="B8496" s="7" t="n"/>
      <c r="C8496" s="7" t="n"/>
      <c r="D8496" s="7" t="n"/>
      <c r="E8496" s="7" t="n"/>
      <c r="F8496" s="7" t="n"/>
      <c r="G8496" s="7" t="n"/>
      <c r="H8496" s="7" t="n"/>
      <c r="I8496" s="7" t="n"/>
      <c r="J8496" s="7" t="n"/>
      <c r="K8496">
        <f>IF(D8496="Legitimate Interest (GDPR Art. 6(1)(f))", "Yes / Required (Sheet 3)", "")</f>
        <v/>
      </c>
      <c r="L8496" s="7" t="n"/>
      <c r="M8496" s="7" t="n"/>
      <c r="N8496">
        <f>IF(D8496="", "Gap - No Legal Basis", IF(AND(D8496="Consent (GDPR Art. 6(1)(a))", I8496="Not Captured"), "Gap - Invalid Consent", IF(AND(D8496="Legitimate Interest (GDPR Art. 6(1)(f))", L8496=""), "Gap - Missing LIA", IF(AND(G8496="Yes", H8496=""), "Gap - Missing Art. 9 Basis", IF(OR(I8496="Invalid - Not Freely Given", I8496="Invalid - Not Specific", I8496="Invalid - Not Informed", I8496="Invalid - Ambiguous"), "Gap - Invalid Consent", "Compliant")))))</f>
        <v/>
      </c>
      <c r="O8496" s="7" t="n"/>
    </row>
    <row r="8497">
      <c r="A8497" s="7" t="n"/>
      <c r="B8497" s="7" t="n"/>
      <c r="C8497" s="7" t="n"/>
      <c r="D8497" s="7" t="n"/>
      <c r="E8497" s="7" t="n"/>
      <c r="F8497" s="7" t="n"/>
      <c r="G8497" s="7" t="n"/>
      <c r="H8497" s="7" t="n"/>
      <c r="I8497" s="7" t="n"/>
      <c r="J8497" s="7" t="n"/>
      <c r="K8497">
        <f>IF(D8497="Legitimate Interest (GDPR Art. 6(1)(f))", "Yes / Required (Sheet 3)", "")</f>
        <v/>
      </c>
      <c r="L8497" s="7" t="n"/>
      <c r="M8497" s="7" t="n"/>
      <c r="N8497">
        <f>IF(D8497="", "Gap - No Legal Basis", IF(AND(D8497="Consent (GDPR Art. 6(1)(a))", I8497="Not Captured"), "Gap - Invalid Consent", IF(AND(D8497="Legitimate Interest (GDPR Art. 6(1)(f))", L8497=""), "Gap - Missing LIA", IF(AND(G8497="Yes", H8497=""), "Gap - Missing Art. 9 Basis", IF(OR(I8497="Invalid - Not Freely Given", I8497="Invalid - Not Specific", I8497="Invalid - Not Informed", I8497="Invalid - Ambiguous"), "Gap - Invalid Consent", "Compliant")))))</f>
        <v/>
      </c>
      <c r="O8497" s="7" t="n"/>
    </row>
    <row r="8498">
      <c r="A8498" s="7" t="n"/>
      <c r="B8498" s="7" t="n"/>
      <c r="C8498" s="7" t="n"/>
      <c r="D8498" s="7" t="n"/>
      <c r="E8498" s="7" t="n"/>
      <c r="F8498" s="7" t="n"/>
      <c r="G8498" s="7" t="n"/>
      <c r="H8498" s="7" t="n"/>
      <c r="I8498" s="7" t="n"/>
      <c r="J8498" s="7" t="n"/>
      <c r="K8498">
        <f>IF(D8498="Legitimate Interest (GDPR Art. 6(1)(f))", "Yes / Required (Sheet 3)", "")</f>
        <v/>
      </c>
      <c r="L8498" s="7" t="n"/>
      <c r="M8498" s="7" t="n"/>
      <c r="N8498">
        <f>IF(D8498="", "Gap - No Legal Basis", IF(AND(D8498="Consent (GDPR Art. 6(1)(a))", I8498="Not Captured"), "Gap - Invalid Consent", IF(AND(D8498="Legitimate Interest (GDPR Art. 6(1)(f))", L8498=""), "Gap - Missing LIA", IF(AND(G8498="Yes", H8498=""), "Gap - Missing Art. 9 Basis", IF(OR(I8498="Invalid - Not Freely Given", I8498="Invalid - Not Specific", I8498="Invalid - Not Informed", I8498="Invalid - Ambiguous"), "Gap - Invalid Consent", "Compliant")))))</f>
        <v/>
      </c>
      <c r="O8498" s="7" t="n"/>
    </row>
    <row r="8499">
      <c r="A8499" s="7" t="n"/>
      <c r="B8499" s="7" t="n"/>
      <c r="C8499" s="7" t="n"/>
      <c r="D8499" s="7" t="n"/>
      <c r="E8499" s="7" t="n"/>
      <c r="F8499" s="7" t="n"/>
      <c r="G8499" s="7" t="n"/>
      <c r="H8499" s="7" t="n"/>
      <c r="I8499" s="7" t="n"/>
      <c r="J8499" s="7" t="n"/>
      <c r="K8499">
        <f>IF(D8499="Legitimate Interest (GDPR Art. 6(1)(f))", "Yes / Required (Sheet 3)", "")</f>
        <v/>
      </c>
      <c r="L8499" s="7" t="n"/>
      <c r="M8499" s="7" t="n"/>
      <c r="N8499">
        <f>IF(D8499="", "Gap - No Legal Basis", IF(AND(D8499="Consent (GDPR Art. 6(1)(a))", I8499="Not Captured"), "Gap - Invalid Consent", IF(AND(D8499="Legitimate Interest (GDPR Art. 6(1)(f))", L8499=""), "Gap - Missing LIA", IF(AND(G8499="Yes", H8499=""), "Gap - Missing Art. 9 Basis", IF(OR(I8499="Invalid - Not Freely Given", I8499="Invalid - Not Specific", I8499="Invalid - Not Informed", I8499="Invalid - Ambiguous"), "Gap - Invalid Consent", "Compliant")))))</f>
        <v/>
      </c>
      <c r="O8499" s="7" t="n"/>
    </row>
    <row r="8500">
      <c r="A8500" s="7" t="n"/>
      <c r="B8500" s="7" t="n"/>
      <c r="C8500" s="7" t="n"/>
      <c r="D8500" s="7" t="n"/>
      <c r="E8500" s="7" t="n"/>
      <c r="F8500" s="7" t="n"/>
      <c r="G8500" s="7" t="n"/>
      <c r="H8500" s="7" t="n"/>
      <c r="I8500" s="7" t="n"/>
      <c r="J8500" s="7" t="n"/>
      <c r="K8500">
        <f>IF(D8500="Legitimate Interest (GDPR Art. 6(1)(f))", "Yes / Required (Sheet 3)", "")</f>
        <v/>
      </c>
      <c r="L8500" s="7" t="n"/>
      <c r="M8500" s="7" t="n"/>
      <c r="N8500">
        <f>IF(D8500="", "Gap - No Legal Basis", IF(AND(D8500="Consent (GDPR Art. 6(1)(a))", I8500="Not Captured"), "Gap - Invalid Consent", IF(AND(D8500="Legitimate Interest (GDPR Art. 6(1)(f))", L8500=""), "Gap - Missing LIA", IF(AND(G8500="Yes", H8500=""), "Gap - Missing Art. 9 Basis", IF(OR(I8500="Invalid - Not Freely Given", I8500="Invalid - Not Specific", I8500="Invalid - Not Informed", I8500="Invalid - Ambiguous"), "Gap - Invalid Consent", "Compliant")))))</f>
        <v/>
      </c>
      <c r="O8500" s="7" t="n"/>
    </row>
    <row r="8501">
      <c r="A8501" s="7" t="n"/>
      <c r="B8501" s="7" t="n"/>
      <c r="C8501" s="7" t="n"/>
      <c r="D8501" s="7" t="n"/>
      <c r="E8501" s="7" t="n"/>
      <c r="F8501" s="7" t="n"/>
      <c r="G8501" s="7" t="n"/>
      <c r="H8501" s="7" t="n"/>
      <c r="I8501" s="7" t="n"/>
      <c r="J8501" s="7" t="n"/>
      <c r="K8501">
        <f>IF(D8501="Legitimate Interest (GDPR Art. 6(1)(f))", "Yes / Required (Sheet 3)", "")</f>
        <v/>
      </c>
      <c r="L8501" s="7" t="n"/>
      <c r="M8501" s="7" t="n"/>
      <c r="N8501">
        <f>IF(D8501="", "Gap - No Legal Basis", IF(AND(D8501="Consent (GDPR Art. 6(1)(a))", I8501="Not Captured"), "Gap - Invalid Consent", IF(AND(D8501="Legitimate Interest (GDPR Art. 6(1)(f))", L8501=""), "Gap - Missing LIA", IF(AND(G8501="Yes", H8501=""), "Gap - Missing Art. 9 Basis", IF(OR(I8501="Invalid - Not Freely Given", I8501="Invalid - Not Specific", I8501="Invalid - Not Informed", I8501="Invalid - Ambiguous"), "Gap - Invalid Consent", "Compliant")))))</f>
        <v/>
      </c>
      <c r="O8501" s="7" t="n"/>
    </row>
    <row r="8502">
      <c r="A8502" s="7" t="n"/>
      <c r="B8502" s="7" t="n"/>
      <c r="C8502" s="7" t="n"/>
      <c r="D8502" s="7" t="n"/>
      <c r="E8502" s="7" t="n"/>
      <c r="F8502" s="7" t="n"/>
      <c r="G8502" s="7" t="n"/>
      <c r="H8502" s="7" t="n"/>
      <c r="I8502" s="7" t="n"/>
      <c r="J8502" s="7" t="n"/>
      <c r="K8502">
        <f>IF(D8502="Legitimate Interest (GDPR Art. 6(1)(f))", "Yes / Required (Sheet 3)", "")</f>
        <v/>
      </c>
      <c r="L8502" s="7" t="n"/>
      <c r="M8502" s="7" t="n"/>
      <c r="N8502">
        <f>IF(D8502="", "Gap - No Legal Basis", IF(AND(D8502="Consent (GDPR Art. 6(1)(a))", I8502="Not Captured"), "Gap - Invalid Consent", IF(AND(D8502="Legitimate Interest (GDPR Art. 6(1)(f))", L8502=""), "Gap - Missing LIA", IF(AND(G8502="Yes", H8502=""), "Gap - Missing Art. 9 Basis", IF(OR(I8502="Invalid - Not Freely Given", I8502="Invalid - Not Specific", I8502="Invalid - Not Informed", I8502="Invalid - Ambiguous"), "Gap - Invalid Consent", "Compliant")))))</f>
        <v/>
      </c>
      <c r="O8502" s="7" t="n"/>
    </row>
    <row r="8503">
      <c r="A8503" s="7" t="n"/>
      <c r="B8503" s="7" t="n"/>
      <c r="C8503" s="7" t="n"/>
      <c r="D8503" s="7" t="n"/>
      <c r="E8503" s="7" t="n"/>
      <c r="F8503" s="7" t="n"/>
      <c r="G8503" s="7" t="n"/>
      <c r="H8503" s="7" t="n"/>
      <c r="I8503" s="7" t="n"/>
      <c r="J8503" s="7" t="n"/>
      <c r="K8503">
        <f>IF(D8503="Legitimate Interest (GDPR Art. 6(1)(f))", "Yes / Required (Sheet 3)", "")</f>
        <v/>
      </c>
      <c r="L8503" s="7" t="n"/>
      <c r="M8503" s="7" t="n"/>
      <c r="N8503">
        <f>IF(D8503="", "Gap - No Legal Basis", IF(AND(D8503="Consent (GDPR Art. 6(1)(a))", I8503="Not Captured"), "Gap - Invalid Consent", IF(AND(D8503="Legitimate Interest (GDPR Art. 6(1)(f))", L8503=""), "Gap - Missing LIA", IF(AND(G8503="Yes", H8503=""), "Gap - Missing Art. 9 Basis", IF(OR(I8503="Invalid - Not Freely Given", I8503="Invalid - Not Specific", I8503="Invalid - Not Informed", I8503="Invalid - Ambiguous"), "Gap - Invalid Consent", "Compliant")))))</f>
        <v/>
      </c>
      <c r="O8503" s="7" t="n"/>
    </row>
    <row r="8504">
      <c r="A8504" s="7" t="n"/>
      <c r="B8504" s="7" t="n"/>
      <c r="C8504" s="7" t="n"/>
      <c r="D8504" s="7" t="n"/>
      <c r="E8504" s="7" t="n"/>
      <c r="F8504" s="7" t="n"/>
      <c r="G8504" s="7" t="n"/>
      <c r="H8504" s="7" t="n"/>
      <c r="I8504" s="7" t="n"/>
      <c r="J8504" s="7" t="n"/>
      <c r="K8504">
        <f>IF(D8504="Legitimate Interest (GDPR Art. 6(1)(f))", "Yes / Required (Sheet 3)", "")</f>
        <v/>
      </c>
      <c r="L8504" s="7" t="n"/>
      <c r="M8504" s="7" t="n"/>
      <c r="N8504">
        <f>IF(D8504="", "Gap - No Legal Basis", IF(AND(D8504="Consent (GDPR Art. 6(1)(a))", I8504="Not Captured"), "Gap - Invalid Consent", IF(AND(D8504="Legitimate Interest (GDPR Art. 6(1)(f))", L8504=""), "Gap - Missing LIA", IF(AND(G8504="Yes", H8504=""), "Gap - Missing Art. 9 Basis", IF(OR(I8504="Invalid - Not Freely Given", I8504="Invalid - Not Specific", I8504="Invalid - Not Informed", I8504="Invalid - Ambiguous"), "Gap - Invalid Consent", "Compliant")))))</f>
        <v/>
      </c>
      <c r="O8504" s="7" t="n"/>
    </row>
    <row r="8505">
      <c r="A8505" s="7" t="n"/>
      <c r="B8505" s="7" t="n"/>
      <c r="C8505" s="7" t="n"/>
      <c r="D8505" s="7" t="n"/>
      <c r="E8505" s="7" t="n"/>
      <c r="F8505" s="7" t="n"/>
      <c r="G8505" s="7" t="n"/>
      <c r="H8505" s="7" t="n"/>
      <c r="I8505" s="7" t="n"/>
      <c r="J8505" s="7" t="n"/>
      <c r="K8505">
        <f>IF(D8505="Legitimate Interest (GDPR Art. 6(1)(f))", "Yes / Required (Sheet 3)", "")</f>
        <v/>
      </c>
      <c r="L8505" s="7" t="n"/>
      <c r="M8505" s="7" t="n"/>
      <c r="N8505">
        <f>IF(D8505="", "Gap - No Legal Basis", IF(AND(D8505="Consent (GDPR Art. 6(1)(a))", I8505="Not Captured"), "Gap - Invalid Consent", IF(AND(D8505="Legitimate Interest (GDPR Art. 6(1)(f))", L8505=""), "Gap - Missing LIA", IF(AND(G8505="Yes", H8505=""), "Gap - Missing Art. 9 Basis", IF(OR(I8505="Invalid - Not Freely Given", I8505="Invalid - Not Specific", I8505="Invalid - Not Informed", I8505="Invalid - Ambiguous"), "Gap - Invalid Consent", "Compliant")))))</f>
        <v/>
      </c>
      <c r="O8505" s="7" t="n"/>
    </row>
    <row r="8506">
      <c r="A8506" s="7" t="n"/>
      <c r="B8506" s="7" t="n"/>
      <c r="C8506" s="7" t="n"/>
      <c r="D8506" s="7" t="n"/>
      <c r="E8506" s="7" t="n"/>
      <c r="F8506" s="7" t="n"/>
      <c r="G8506" s="7" t="n"/>
      <c r="H8506" s="7" t="n"/>
      <c r="I8506" s="7" t="n"/>
      <c r="J8506" s="7" t="n"/>
      <c r="K8506">
        <f>IF(D8506="Legitimate Interest (GDPR Art. 6(1)(f))", "Yes / Required (Sheet 3)", "")</f>
        <v/>
      </c>
      <c r="L8506" s="7" t="n"/>
      <c r="M8506" s="7" t="n"/>
      <c r="N8506">
        <f>IF(D8506="", "Gap - No Legal Basis", IF(AND(D8506="Consent (GDPR Art. 6(1)(a))", I8506="Not Captured"), "Gap - Invalid Consent", IF(AND(D8506="Legitimate Interest (GDPR Art. 6(1)(f))", L8506=""), "Gap - Missing LIA", IF(AND(G8506="Yes", H8506=""), "Gap - Missing Art. 9 Basis", IF(OR(I8506="Invalid - Not Freely Given", I8506="Invalid - Not Specific", I8506="Invalid - Not Informed", I8506="Invalid - Ambiguous"), "Gap - Invalid Consent", "Compliant")))))</f>
        <v/>
      </c>
      <c r="O8506" s="7" t="n"/>
    </row>
    <row r="8507">
      <c r="A8507" s="7" t="n"/>
      <c r="B8507" s="7" t="n"/>
      <c r="C8507" s="7" t="n"/>
      <c r="D8507" s="7" t="n"/>
      <c r="E8507" s="7" t="n"/>
      <c r="F8507" s="7" t="n"/>
      <c r="G8507" s="7" t="n"/>
      <c r="H8507" s="7" t="n"/>
      <c r="I8507" s="7" t="n"/>
      <c r="J8507" s="7" t="n"/>
      <c r="K8507">
        <f>IF(D8507="Legitimate Interest (GDPR Art. 6(1)(f))", "Yes / Required (Sheet 3)", "")</f>
        <v/>
      </c>
      <c r="L8507" s="7" t="n"/>
      <c r="M8507" s="7" t="n"/>
      <c r="N8507">
        <f>IF(D8507="", "Gap - No Legal Basis", IF(AND(D8507="Consent (GDPR Art. 6(1)(a))", I8507="Not Captured"), "Gap - Invalid Consent", IF(AND(D8507="Legitimate Interest (GDPR Art. 6(1)(f))", L8507=""), "Gap - Missing LIA", IF(AND(G8507="Yes", H8507=""), "Gap - Missing Art. 9 Basis", IF(OR(I8507="Invalid - Not Freely Given", I8507="Invalid - Not Specific", I8507="Invalid - Not Informed", I8507="Invalid - Ambiguous"), "Gap - Invalid Consent", "Compliant")))))</f>
        <v/>
      </c>
      <c r="O8507" s="7" t="n"/>
    </row>
    <row r="8508">
      <c r="A8508" s="7" t="n"/>
      <c r="B8508" s="7" t="n"/>
      <c r="C8508" s="7" t="n"/>
      <c r="D8508" s="7" t="n"/>
      <c r="E8508" s="7" t="n"/>
      <c r="F8508" s="7" t="n"/>
      <c r="G8508" s="7" t="n"/>
      <c r="H8508" s="7" t="n"/>
      <c r="I8508" s="7" t="n"/>
      <c r="J8508" s="7" t="n"/>
      <c r="K8508">
        <f>IF(D8508="Legitimate Interest (GDPR Art. 6(1)(f))", "Yes / Required (Sheet 3)", "")</f>
        <v/>
      </c>
      <c r="L8508" s="7" t="n"/>
      <c r="M8508" s="7" t="n"/>
      <c r="N8508">
        <f>IF(D8508="", "Gap - No Legal Basis", IF(AND(D8508="Consent (GDPR Art. 6(1)(a))", I8508="Not Captured"), "Gap - Invalid Consent", IF(AND(D8508="Legitimate Interest (GDPR Art. 6(1)(f))", L8508=""), "Gap - Missing LIA", IF(AND(G8508="Yes", H8508=""), "Gap - Missing Art. 9 Basis", IF(OR(I8508="Invalid - Not Freely Given", I8508="Invalid - Not Specific", I8508="Invalid - Not Informed", I8508="Invalid - Ambiguous"), "Gap - Invalid Consent", "Compliant")))))</f>
        <v/>
      </c>
      <c r="O8508" s="7" t="n"/>
    </row>
    <row r="8509">
      <c r="A8509" s="7" t="n"/>
      <c r="B8509" s="7" t="n"/>
      <c r="C8509" s="7" t="n"/>
      <c r="D8509" s="7" t="n"/>
      <c r="E8509" s="7" t="n"/>
      <c r="F8509" s="7" t="n"/>
      <c r="G8509" s="7" t="n"/>
      <c r="H8509" s="7" t="n"/>
      <c r="I8509" s="7" t="n"/>
      <c r="J8509" s="7" t="n"/>
      <c r="K8509">
        <f>IF(D8509="Legitimate Interest (GDPR Art. 6(1)(f))", "Yes / Required (Sheet 3)", "")</f>
        <v/>
      </c>
      <c r="L8509" s="7" t="n"/>
      <c r="M8509" s="7" t="n"/>
      <c r="N8509">
        <f>IF(D8509="", "Gap - No Legal Basis", IF(AND(D8509="Consent (GDPR Art. 6(1)(a))", I8509="Not Captured"), "Gap - Invalid Consent", IF(AND(D8509="Legitimate Interest (GDPR Art. 6(1)(f))", L8509=""), "Gap - Missing LIA", IF(AND(G8509="Yes", H8509=""), "Gap - Missing Art. 9 Basis", IF(OR(I8509="Invalid - Not Freely Given", I8509="Invalid - Not Specific", I8509="Invalid - Not Informed", I8509="Invalid - Ambiguous"), "Gap - Invalid Consent", "Compliant")))))</f>
        <v/>
      </c>
      <c r="O8509" s="7" t="n"/>
    </row>
    <row r="8510">
      <c r="A8510" s="7" t="n"/>
      <c r="B8510" s="7" t="n"/>
      <c r="C8510" s="7" t="n"/>
      <c r="D8510" s="7" t="n"/>
      <c r="E8510" s="7" t="n"/>
      <c r="F8510" s="7" t="n"/>
      <c r="G8510" s="7" t="n"/>
      <c r="H8510" s="7" t="n"/>
      <c r="I8510" s="7" t="n"/>
      <c r="J8510" s="7" t="n"/>
      <c r="K8510">
        <f>IF(D8510="Legitimate Interest (GDPR Art. 6(1)(f))", "Yes / Required (Sheet 3)", "")</f>
        <v/>
      </c>
      <c r="L8510" s="7" t="n"/>
      <c r="M8510" s="7" t="n"/>
      <c r="N8510">
        <f>IF(D8510="", "Gap - No Legal Basis", IF(AND(D8510="Consent (GDPR Art. 6(1)(a))", I8510="Not Captured"), "Gap - Invalid Consent", IF(AND(D8510="Legitimate Interest (GDPR Art. 6(1)(f))", L8510=""), "Gap - Missing LIA", IF(AND(G8510="Yes", H8510=""), "Gap - Missing Art. 9 Basis", IF(OR(I8510="Invalid - Not Freely Given", I8510="Invalid - Not Specific", I8510="Invalid - Not Informed", I8510="Invalid - Ambiguous"), "Gap - Invalid Consent", "Compliant")))))</f>
        <v/>
      </c>
      <c r="O8510" s="7" t="n"/>
    </row>
    <row r="8511">
      <c r="A8511" s="7" t="n"/>
      <c r="B8511" s="7" t="n"/>
      <c r="C8511" s="7" t="n"/>
      <c r="D8511" s="7" t="n"/>
      <c r="E8511" s="7" t="n"/>
      <c r="F8511" s="7" t="n"/>
      <c r="G8511" s="7" t="n"/>
      <c r="H8511" s="7" t="n"/>
      <c r="I8511" s="7" t="n"/>
      <c r="J8511" s="7" t="n"/>
      <c r="K8511">
        <f>IF(D8511="Legitimate Interest (GDPR Art. 6(1)(f))", "Yes / Required (Sheet 3)", "")</f>
        <v/>
      </c>
      <c r="L8511" s="7" t="n"/>
      <c r="M8511" s="7" t="n"/>
      <c r="N8511">
        <f>IF(D8511="", "Gap - No Legal Basis", IF(AND(D8511="Consent (GDPR Art. 6(1)(a))", I8511="Not Captured"), "Gap - Invalid Consent", IF(AND(D8511="Legitimate Interest (GDPR Art. 6(1)(f))", L8511=""), "Gap - Missing LIA", IF(AND(G8511="Yes", H8511=""), "Gap - Missing Art. 9 Basis", IF(OR(I8511="Invalid - Not Freely Given", I8511="Invalid - Not Specific", I8511="Invalid - Not Informed", I8511="Invalid - Ambiguous"), "Gap - Invalid Consent", "Compliant")))))</f>
        <v/>
      </c>
      <c r="O8511" s="7" t="n"/>
    </row>
    <row r="8512">
      <c r="A8512" s="7" t="n"/>
      <c r="B8512" s="7" t="n"/>
      <c r="C8512" s="7" t="n"/>
      <c r="D8512" s="7" t="n"/>
      <c r="E8512" s="7" t="n"/>
      <c r="F8512" s="7" t="n"/>
      <c r="G8512" s="7" t="n"/>
      <c r="H8512" s="7" t="n"/>
      <c r="I8512" s="7" t="n"/>
      <c r="J8512" s="7" t="n"/>
      <c r="K8512">
        <f>IF(D8512="Legitimate Interest (GDPR Art. 6(1)(f))", "Yes / Required (Sheet 3)", "")</f>
        <v/>
      </c>
      <c r="L8512" s="7" t="n"/>
      <c r="M8512" s="7" t="n"/>
      <c r="N8512">
        <f>IF(D8512="", "Gap - No Legal Basis", IF(AND(D8512="Consent (GDPR Art. 6(1)(a))", I8512="Not Captured"), "Gap - Invalid Consent", IF(AND(D8512="Legitimate Interest (GDPR Art. 6(1)(f))", L8512=""), "Gap - Missing LIA", IF(AND(G8512="Yes", H8512=""), "Gap - Missing Art. 9 Basis", IF(OR(I8512="Invalid - Not Freely Given", I8512="Invalid - Not Specific", I8512="Invalid - Not Informed", I8512="Invalid - Ambiguous"), "Gap - Invalid Consent", "Compliant")))))</f>
        <v/>
      </c>
      <c r="O8512" s="7" t="n"/>
    </row>
    <row r="8513">
      <c r="A8513" s="7" t="n"/>
      <c r="B8513" s="7" t="n"/>
      <c r="C8513" s="7" t="n"/>
      <c r="D8513" s="7" t="n"/>
      <c r="E8513" s="7" t="n"/>
      <c r="F8513" s="7" t="n"/>
      <c r="G8513" s="7" t="n"/>
      <c r="H8513" s="7" t="n"/>
      <c r="I8513" s="7" t="n"/>
      <c r="J8513" s="7" t="n"/>
      <c r="K8513">
        <f>IF(D8513="Legitimate Interest (GDPR Art. 6(1)(f))", "Yes / Required (Sheet 3)", "")</f>
        <v/>
      </c>
      <c r="L8513" s="7" t="n"/>
      <c r="M8513" s="7" t="n"/>
      <c r="N8513">
        <f>IF(D8513="", "Gap - No Legal Basis", IF(AND(D8513="Consent (GDPR Art. 6(1)(a))", I8513="Not Captured"), "Gap - Invalid Consent", IF(AND(D8513="Legitimate Interest (GDPR Art. 6(1)(f))", L8513=""), "Gap - Missing LIA", IF(AND(G8513="Yes", H8513=""), "Gap - Missing Art. 9 Basis", IF(OR(I8513="Invalid - Not Freely Given", I8513="Invalid - Not Specific", I8513="Invalid - Not Informed", I8513="Invalid - Ambiguous"), "Gap - Invalid Consent", "Compliant")))))</f>
        <v/>
      </c>
      <c r="O8513" s="7" t="n"/>
    </row>
    <row r="8514">
      <c r="A8514" s="7" t="n"/>
      <c r="B8514" s="7" t="n"/>
      <c r="C8514" s="7" t="n"/>
      <c r="D8514" s="7" t="n"/>
      <c r="E8514" s="7" t="n"/>
      <c r="F8514" s="7" t="n"/>
      <c r="G8514" s="7" t="n"/>
      <c r="H8514" s="7" t="n"/>
      <c r="I8514" s="7" t="n"/>
      <c r="J8514" s="7" t="n"/>
      <c r="K8514">
        <f>IF(D8514="Legitimate Interest (GDPR Art. 6(1)(f))", "Yes / Required (Sheet 3)", "")</f>
        <v/>
      </c>
      <c r="L8514" s="7" t="n"/>
      <c r="M8514" s="7" t="n"/>
      <c r="N8514">
        <f>IF(D8514="", "Gap - No Legal Basis", IF(AND(D8514="Consent (GDPR Art. 6(1)(a))", I8514="Not Captured"), "Gap - Invalid Consent", IF(AND(D8514="Legitimate Interest (GDPR Art. 6(1)(f))", L8514=""), "Gap - Missing LIA", IF(AND(G8514="Yes", H8514=""), "Gap - Missing Art. 9 Basis", IF(OR(I8514="Invalid - Not Freely Given", I8514="Invalid - Not Specific", I8514="Invalid - Not Informed", I8514="Invalid - Ambiguous"), "Gap - Invalid Consent", "Compliant")))))</f>
        <v/>
      </c>
      <c r="O8514" s="7" t="n"/>
    </row>
    <row r="8515">
      <c r="A8515" s="7" t="n"/>
      <c r="B8515" s="7" t="n"/>
      <c r="C8515" s="7" t="n"/>
      <c r="D8515" s="7" t="n"/>
      <c r="E8515" s="7" t="n"/>
      <c r="F8515" s="7" t="n"/>
      <c r="G8515" s="7" t="n"/>
      <c r="H8515" s="7" t="n"/>
      <c r="I8515" s="7" t="n"/>
      <c r="J8515" s="7" t="n"/>
      <c r="K8515">
        <f>IF(D8515="Legitimate Interest (GDPR Art. 6(1)(f))", "Yes / Required (Sheet 3)", "")</f>
        <v/>
      </c>
      <c r="L8515" s="7" t="n"/>
      <c r="M8515" s="7" t="n"/>
      <c r="N8515">
        <f>IF(D8515="", "Gap - No Legal Basis", IF(AND(D8515="Consent (GDPR Art. 6(1)(a))", I8515="Not Captured"), "Gap - Invalid Consent", IF(AND(D8515="Legitimate Interest (GDPR Art. 6(1)(f))", L8515=""), "Gap - Missing LIA", IF(AND(G8515="Yes", H8515=""), "Gap - Missing Art. 9 Basis", IF(OR(I8515="Invalid - Not Freely Given", I8515="Invalid - Not Specific", I8515="Invalid - Not Informed", I8515="Invalid - Ambiguous"), "Gap - Invalid Consent", "Compliant")))))</f>
        <v/>
      </c>
      <c r="O8515" s="7" t="n"/>
    </row>
    <row r="8516">
      <c r="A8516" s="7" t="n"/>
      <c r="B8516" s="7" t="n"/>
      <c r="C8516" s="7" t="n"/>
      <c r="D8516" s="7" t="n"/>
      <c r="E8516" s="7" t="n"/>
      <c r="F8516" s="7" t="n"/>
      <c r="G8516" s="7" t="n"/>
      <c r="H8516" s="7" t="n"/>
      <c r="I8516" s="7" t="n"/>
      <c r="J8516" s="7" t="n"/>
      <c r="K8516">
        <f>IF(D8516="Legitimate Interest (GDPR Art. 6(1)(f))", "Yes / Required (Sheet 3)", "")</f>
        <v/>
      </c>
      <c r="L8516" s="7" t="n"/>
      <c r="M8516" s="7" t="n"/>
      <c r="N8516">
        <f>IF(D8516="", "Gap - No Legal Basis", IF(AND(D8516="Consent (GDPR Art. 6(1)(a))", I8516="Not Captured"), "Gap - Invalid Consent", IF(AND(D8516="Legitimate Interest (GDPR Art. 6(1)(f))", L8516=""), "Gap - Missing LIA", IF(AND(G8516="Yes", H8516=""), "Gap - Missing Art. 9 Basis", IF(OR(I8516="Invalid - Not Freely Given", I8516="Invalid - Not Specific", I8516="Invalid - Not Informed", I8516="Invalid - Ambiguous"), "Gap - Invalid Consent", "Compliant")))))</f>
        <v/>
      </c>
      <c r="O8516" s="7" t="n"/>
    </row>
    <row r="8517">
      <c r="A8517" s="7" t="n"/>
      <c r="B8517" s="7" t="n"/>
      <c r="C8517" s="7" t="n"/>
      <c r="D8517" s="7" t="n"/>
      <c r="E8517" s="7" t="n"/>
      <c r="F8517" s="7" t="n"/>
      <c r="G8517" s="7" t="n"/>
      <c r="H8517" s="7" t="n"/>
      <c r="I8517" s="7" t="n"/>
      <c r="J8517" s="7" t="n"/>
      <c r="K8517">
        <f>IF(D8517="Legitimate Interest (GDPR Art. 6(1)(f))", "Yes / Required (Sheet 3)", "")</f>
        <v/>
      </c>
      <c r="L8517" s="7" t="n"/>
      <c r="M8517" s="7" t="n"/>
      <c r="N8517">
        <f>IF(D8517="", "Gap - No Legal Basis", IF(AND(D8517="Consent (GDPR Art. 6(1)(a))", I8517="Not Captured"), "Gap - Invalid Consent", IF(AND(D8517="Legitimate Interest (GDPR Art. 6(1)(f))", L8517=""), "Gap - Missing LIA", IF(AND(G8517="Yes", H8517=""), "Gap - Missing Art. 9 Basis", IF(OR(I8517="Invalid - Not Freely Given", I8517="Invalid - Not Specific", I8517="Invalid - Not Informed", I8517="Invalid - Ambiguous"), "Gap - Invalid Consent", "Compliant")))))</f>
        <v/>
      </c>
      <c r="O8517" s="7" t="n"/>
    </row>
    <row r="8518">
      <c r="A8518" s="7" t="n"/>
      <c r="B8518" s="7" t="n"/>
      <c r="C8518" s="7" t="n"/>
      <c r="D8518" s="7" t="n"/>
      <c r="E8518" s="7" t="n"/>
      <c r="F8518" s="7" t="n"/>
      <c r="G8518" s="7" t="n"/>
      <c r="H8518" s="7" t="n"/>
      <c r="I8518" s="7" t="n"/>
      <c r="J8518" s="7" t="n"/>
      <c r="K8518">
        <f>IF(D8518="Legitimate Interest (GDPR Art. 6(1)(f))", "Yes / Required (Sheet 3)", "")</f>
        <v/>
      </c>
      <c r="L8518" s="7" t="n"/>
      <c r="M8518" s="7" t="n"/>
      <c r="N8518">
        <f>IF(D8518="", "Gap - No Legal Basis", IF(AND(D8518="Consent (GDPR Art. 6(1)(a))", I8518="Not Captured"), "Gap - Invalid Consent", IF(AND(D8518="Legitimate Interest (GDPR Art. 6(1)(f))", L8518=""), "Gap - Missing LIA", IF(AND(G8518="Yes", H8518=""), "Gap - Missing Art. 9 Basis", IF(OR(I8518="Invalid - Not Freely Given", I8518="Invalid - Not Specific", I8518="Invalid - Not Informed", I8518="Invalid - Ambiguous"), "Gap - Invalid Consent", "Compliant")))))</f>
        <v/>
      </c>
      <c r="O8518" s="7" t="n"/>
    </row>
    <row r="8519">
      <c r="A8519" s="7" t="n"/>
      <c r="B8519" s="7" t="n"/>
      <c r="C8519" s="7" t="n"/>
      <c r="D8519" s="7" t="n"/>
      <c r="E8519" s="7" t="n"/>
      <c r="F8519" s="7" t="n"/>
      <c r="G8519" s="7" t="n"/>
      <c r="H8519" s="7" t="n"/>
      <c r="I8519" s="7" t="n"/>
      <c r="J8519" s="7" t="n"/>
      <c r="K8519">
        <f>IF(D8519="Legitimate Interest (GDPR Art. 6(1)(f))", "Yes / Required (Sheet 3)", "")</f>
        <v/>
      </c>
      <c r="L8519" s="7" t="n"/>
      <c r="M8519" s="7" t="n"/>
      <c r="N8519">
        <f>IF(D8519="", "Gap - No Legal Basis", IF(AND(D8519="Consent (GDPR Art. 6(1)(a))", I8519="Not Captured"), "Gap - Invalid Consent", IF(AND(D8519="Legitimate Interest (GDPR Art. 6(1)(f))", L8519=""), "Gap - Missing LIA", IF(AND(G8519="Yes", H8519=""), "Gap - Missing Art. 9 Basis", IF(OR(I8519="Invalid - Not Freely Given", I8519="Invalid - Not Specific", I8519="Invalid - Not Informed", I8519="Invalid - Ambiguous"), "Gap - Invalid Consent", "Compliant")))))</f>
        <v/>
      </c>
      <c r="O8519" s="7" t="n"/>
    </row>
    <row r="8520">
      <c r="A8520" s="7" t="n"/>
      <c r="B8520" s="7" t="n"/>
      <c r="C8520" s="7" t="n"/>
      <c r="D8520" s="7" t="n"/>
      <c r="E8520" s="7" t="n"/>
      <c r="F8520" s="7" t="n"/>
      <c r="G8520" s="7" t="n"/>
      <c r="H8520" s="7" t="n"/>
      <c r="I8520" s="7" t="n"/>
      <c r="J8520" s="7" t="n"/>
      <c r="K8520">
        <f>IF(D8520="Legitimate Interest (GDPR Art. 6(1)(f))", "Yes / Required (Sheet 3)", "")</f>
        <v/>
      </c>
      <c r="L8520" s="7" t="n"/>
      <c r="M8520" s="7" t="n"/>
      <c r="N8520">
        <f>IF(D8520="", "Gap - No Legal Basis", IF(AND(D8520="Consent (GDPR Art. 6(1)(a))", I8520="Not Captured"), "Gap - Invalid Consent", IF(AND(D8520="Legitimate Interest (GDPR Art. 6(1)(f))", L8520=""), "Gap - Missing LIA", IF(AND(G8520="Yes", H8520=""), "Gap - Missing Art. 9 Basis", IF(OR(I8520="Invalid - Not Freely Given", I8520="Invalid - Not Specific", I8520="Invalid - Not Informed", I8520="Invalid - Ambiguous"), "Gap - Invalid Consent", "Compliant")))))</f>
        <v/>
      </c>
      <c r="O8520" s="7" t="n"/>
    </row>
    <row r="8521">
      <c r="A8521" s="7" t="n"/>
      <c r="B8521" s="7" t="n"/>
      <c r="C8521" s="7" t="n"/>
      <c r="D8521" s="7" t="n"/>
      <c r="E8521" s="7" t="n"/>
      <c r="F8521" s="7" t="n"/>
      <c r="G8521" s="7" t="n"/>
      <c r="H8521" s="7" t="n"/>
      <c r="I8521" s="7" t="n"/>
      <c r="J8521" s="7" t="n"/>
      <c r="K8521">
        <f>IF(D8521="Legitimate Interest (GDPR Art. 6(1)(f))", "Yes / Required (Sheet 3)", "")</f>
        <v/>
      </c>
      <c r="L8521" s="7" t="n"/>
      <c r="M8521" s="7" t="n"/>
      <c r="N8521">
        <f>IF(D8521="", "Gap - No Legal Basis", IF(AND(D8521="Consent (GDPR Art. 6(1)(a))", I8521="Not Captured"), "Gap - Invalid Consent", IF(AND(D8521="Legitimate Interest (GDPR Art. 6(1)(f))", L8521=""), "Gap - Missing LIA", IF(AND(G8521="Yes", H8521=""), "Gap - Missing Art. 9 Basis", IF(OR(I8521="Invalid - Not Freely Given", I8521="Invalid - Not Specific", I8521="Invalid - Not Informed", I8521="Invalid - Ambiguous"), "Gap - Invalid Consent", "Compliant")))))</f>
        <v/>
      </c>
      <c r="O8521" s="7" t="n"/>
    </row>
    <row r="8522">
      <c r="A8522" s="7" t="n"/>
      <c r="B8522" s="7" t="n"/>
      <c r="C8522" s="7" t="n"/>
      <c r="D8522" s="7" t="n"/>
      <c r="E8522" s="7" t="n"/>
      <c r="F8522" s="7" t="n"/>
      <c r="G8522" s="7" t="n"/>
      <c r="H8522" s="7" t="n"/>
      <c r="I8522" s="7" t="n"/>
      <c r="J8522" s="7" t="n"/>
      <c r="K8522">
        <f>IF(D8522="Legitimate Interest (GDPR Art. 6(1)(f))", "Yes / Required (Sheet 3)", "")</f>
        <v/>
      </c>
      <c r="L8522" s="7" t="n"/>
      <c r="M8522" s="7" t="n"/>
      <c r="N8522">
        <f>IF(D8522="", "Gap - No Legal Basis", IF(AND(D8522="Consent (GDPR Art. 6(1)(a))", I8522="Not Captured"), "Gap - Invalid Consent", IF(AND(D8522="Legitimate Interest (GDPR Art. 6(1)(f))", L8522=""), "Gap - Missing LIA", IF(AND(G8522="Yes", H8522=""), "Gap - Missing Art. 9 Basis", IF(OR(I8522="Invalid - Not Freely Given", I8522="Invalid - Not Specific", I8522="Invalid - Not Informed", I8522="Invalid - Ambiguous"), "Gap - Invalid Consent", "Compliant")))))</f>
        <v/>
      </c>
      <c r="O8522" s="7" t="n"/>
    </row>
    <row r="8523">
      <c r="A8523" s="7" t="n"/>
      <c r="B8523" s="7" t="n"/>
      <c r="C8523" s="7" t="n"/>
      <c r="D8523" s="7" t="n"/>
      <c r="E8523" s="7" t="n"/>
      <c r="F8523" s="7" t="n"/>
      <c r="G8523" s="7" t="n"/>
      <c r="H8523" s="7" t="n"/>
      <c r="I8523" s="7" t="n"/>
      <c r="J8523" s="7" t="n"/>
      <c r="K8523">
        <f>IF(D8523="Legitimate Interest (GDPR Art. 6(1)(f))", "Yes / Required (Sheet 3)", "")</f>
        <v/>
      </c>
      <c r="L8523" s="7" t="n"/>
      <c r="M8523" s="7" t="n"/>
      <c r="N8523">
        <f>IF(D8523="", "Gap - No Legal Basis", IF(AND(D8523="Consent (GDPR Art. 6(1)(a))", I8523="Not Captured"), "Gap - Invalid Consent", IF(AND(D8523="Legitimate Interest (GDPR Art. 6(1)(f))", L8523=""), "Gap - Missing LIA", IF(AND(G8523="Yes", H8523=""), "Gap - Missing Art. 9 Basis", IF(OR(I8523="Invalid - Not Freely Given", I8523="Invalid - Not Specific", I8523="Invalid - Not Informed", I8523="Invalid - Ambiguous"), "Gap - Invalid Consent", "Compliant")))))</f>
        <v/>
      </c>
      <c r="O8523" s="7" t="n"/>
    </row>
    <row r="8524">
      <c r="A8524" s="7" t="n"/>
      <c r="B8524" s="7" t="n"/>
      <c r="C8524" s="7" t="n"/>
      <c r="D8524" s="7" t="n"/>
      <c r="E8524" s="7" t="n"/>
      <c r="F8524" s="7" t="n"/>
      <c r="G8524" s="7" t="n"/>
      <c r="H8524" s="7" t="n"/>
      <c r="I8524" s="7" t="n"/>
      <c r="J8524" s="7" t="n"/>
      <c r="K8524">
        <f>IF(D8524="Legitimate Interest (GDPR Art. 6(1)(f))", "Yes / Required (Sheet 3)", "")</f>
        <v/>
      </c>
      <c r="L8524" s="7" t="n"/>
      <c r="M8524" s="7" t="n"/>
      <c r="N8524">
        <f>IF(D8524="", "Gap - No Legal Basis", IF(AND(D8524="Consent (GDPR Art. 6(1)(a))", I8524="Not Captured"), "Gap - Invalid Consent", IF(AND(D8524="Legitimate Interest (GDPR Art. 6(1)(f))", L8524=""), "Gap - Missing LIA", IF(AND(G8524="Yes", H8524=""), "Gap - Missing Art. 9 Basis", IF(OR(I8524="Invalid - Not Freely Given", I8524="Invalid - Not Specific", I8524="Invalid - Not Informed", I8524="Invalid - Ambiguous"), "Gap - Invalid Consent", "Compliant")))))</f>
        <v/>
      </c>
      <c r="O8524" s="7" t="n"/>
    </row>
    <row r="8525">
      <c r="A8525" s="7" t="n"/>
      <c r="B8525" s="7" t="n"/>
      <c r="C8525" s="7" t="n"/>
      <c r="D8525" s="7" t="n"/>
      <c r="E8525" s="7" t="n"/>
      <c r="F8525" s="7" t="n"/>
      <c r="G8525" s="7" t="n"/>
      <c r="H8525" s="7" t="n"/>
      <c r="I8525" s="7" t="n"/>
      <c r="J8525" s="7" t="n"/>
      <c r="K8525">
        <f>IF(D8525="Legitimate Interest (GDPR Art. 6(1)(f))", "Yes / Required (Sheet 3)", "")</f>
        <v/>
      </c>
      <c r="L8525" s="7" t="n"/>
      <c r="M8525" s="7" t="n"/>
      <c r="N8525">
        <f>IF(D8525="", "Gap - No Legal Basis", IF(AND(D8525="Consent (GDPR Art. 6(1)(a))", I8525="Not Captured"), "Gap - Invalid Consent", IF(AND(D8525="Legitimate Interest (GDPR Art. 6(1)(f))", L8525=""), "Gap - Missing LIA", IF(AND(G8525="Yes", H8525=""), "Gap - Missing Art. 9 Basis", IF(OR(I8525="Invalid - Not Freely Given", I8525="Invalid - Not Specific", I8525="Invalid - Not Informed", I8525="Invalid - Ambiguous"), "Gap - Invalid Consent", "Compliant")))))</f>
        <v/>
      </c>
      <c r="O8525" s="7" t="n"/>
    </row>
    <row r="8526">
      <c r="A8526" s="7" t="n"/>
      <c r="B8526" s="7" t="n"/>
      <c r="C8526" s="7" t="n"/>
      <c r="D8526" s="7" t="n"/>
      <c r="E8526" s="7" t="n"/>
      <c r="F8526" s="7" t="n"/>
      <c r="G8526" s="7" t="n"/>
      <c r="H8526" s="7" t="n"/>
      <c r="I8526" s="7" t="n"/>
      <c r="J8526" s="7" t="n"/>
      <c r="K8526">
        <f>IF(D8526="Legitimate Interest (GDPR Art. 6(1)(f))", "Yes / Required (Sheet 3)", "")</f>
        <v/>
      </c>
      <c r="L8526" s="7" t="n"/>
      <c r="M8526" s="7" t="n"/>
      <c r="N8526">
        <f>IF(D8526="", "Gap - No Legal Basis", IF(AND(D8526="Consent (GDPR Art. 6(1)(a))", I8526="Not Captured"), "Gap - Invalid Consent", IF(AND(D8526="Legitimate Interest (GDPR Art. 6(1)(f))", L8526=""), "Gap - Missing LIA", IF(AND(G8526="Yes", H8526=""), "Gap - Missing Art. 9 Basis", IF(OR(I8526="Invalid - Not Freely Given", I8526="Invalid - Not Specific", I8526="Invalid - Not Informed", I8526="Invalid - Ambiguous"), "Gap - Invalid Consent", "Compliant")))))</f>
        <v/>
      </c>
      <c r="O8526" s="7" t="n"/>
    </row>
    <row r="8527">
      <c r="A8527" s="7" t="n"/>
      <c r="B8527" s="7" t="n"/>
      <c r="C8527" s="7" t="n"/>
      <c r="D8527" s="7" t="n"/>
      <c r="E8527" s="7" t="n"/>
      <c r="F8527" s="7" t="n"/>
      <c r="G8527" s="7" t="n"/>
      <c r="H8527" s="7" t="n"/>
      <c r="I8527" s="7" t="n"/>
      <c r="J8527" s="7" t="n"/>
      <c r="K8527">
        <f>IF(D8527="Legitimate Interest (GDPR Art. 6(1)(f))", "Yes / Required (Sheet 3)", "")</f>
        <v/>
      </c>
      <c r="L8527" s="7" t="n"/>
      <c r="M8527" s="7" t="n"/>
      <c r="N8527">
        <f>IF(D8527="", "Gap - No Legal Basis", IF(AND(D8527="Consent (GDPR Art. 6(1)(a))", I8527="Not Captured"), "Gap - Invalid Consent", IF(AND(D8527="Legitimate Interest (GDPR Art. 6(1)(f))", L8527=""), "Gap - Missing LIA", IF(AND(G8527="Yes", H8527=""), "Gap - Missing Art. 9 Basis", IF(OR(I8527="Invalid - Not Freely Given", I8527="Invalid - Not Specific", I8527="Invalid - Not Informed", I8527="Invalid - Ambiguous"), "Gap - Invalid Consent", "Compliant")))))</f>
        <v/>
      </c>
      <c r="O8527" s="7" t="n"/>
    </row>
    <row r="8528">
      <c r="A8528" s="7" t="n"/>
      <c r="B8528" s="7" t="n"/>
      <c r="C8528" s="7" t="n"/>
      <c r="D8528" s="7" t="n"/>
      <c r="E8528" s="7" t="n"/>
      <c r="F8528" s="7" t="n"/>
      <c r="G8528" s="7" t="n"/>
      <c r="H8528" s="7" t="n"/>
      <c r="I8528" s="7" t="n"/>
      <c r="J8528" s="7" t="n"/>
      <c r="K8528">
        <f>IF(D8528="Legitimate Interest (GDPR Art. 6(1)(f))", "Yes / Required (Sheet 3)", "")</f>
        <v/>
      </c>
      <c r="L8528" s="7" t="n"/>
      <c r="M8528" s="7" t="n"/>
      <c r="N8528">
        <f>IF(D8528="", "Gap - No Legal Basis", IF(AND(D8528="Consent (GDPR Art. 6(1)(a))", I8528="Not Captured"), "Gap - Invalid Consent", IF(AND(D8528="Legitimate Interest (GDPR Art. 6(1)(f))", L8528=""), "Gap - Missing LIA", IF(AND(G8528="Yes", H8528=""), "Gap - Missing Art. 9 Basis", IF(OR(I8528="Invalid - Not Freely Given", I8528="Invalid - Not Specific", I8528="Invalid - Not Informed", I8528="Invalid - Ambiguous"), "Gap - Invalid Consent", "Compliant")))))</f>
        <v/>
      </c>
      <c r="O8528" s="7" t="n"/>
    </row>
    <row r="8529">
      <c r="A8529" s="7" t="n"/>
      <c r="B8529" s="7" t="n"/>
      <c r="C8529" s="7" t="n"/>
      <c r="D8529" s="7" t="n"/>
      <c r="E8529" s="7" t="n"/>
      <c r="F8529" s="7" t="n"/>
      <c r="G8529" s="7" t="n"/>
      <c r="H8529" s="7" t="n"/>
      <c r="I8529" s="7" t="n"/>
      <c r="J8529" s="7" t="n"/>
      <c r="K8529">
        <f>IF(D8529="Legitimate Interest (GDPR Art. 6(1)(f))", "Yes / Required (Sheet 3)", "")</f>
        <v/>
      </c>
      <c r="L8529" s="7" t="n"/>
      <c r="M8529" s="7" t="n"/>
      <c r="N8529">
        <f>IF(D8529="", "Gap - No Legal Basis", IF(AND(D8529="Consent (GDPR Art. 6(1)(a))", I8529="Not Captured"), "Gap - Invalid Consent", IF(AND(D8529="Legitimate Interest (GDPR Art. 6(1)(f))", L8529=""), "Gap - Missing LIA", IF(AND(G8529="Yes", H8529=""), "Gap - Missing Art. 9 Basis", IF(OR(I8529="Invalid - Not Freely Given", I8529="Invalid - Not Specific", I8529="Invalid - Not Informed", I8529="Invalid - Ambiguous"), "Gap - Invalid Consent", "Compliant")))))</f>
        <v/>
      </c>
      <c r="O8529" s="7" t="n"/>
    </row>
    <row r="8530">
      <c r="A8530" s="7" t="n"/>
      <c r="B8530" s="7" t="n"/>
      <c r="C8530" s="7" t="n"/>
      <c r="D8530" s="7" t="n"/>
      <c r="E8530" s="7" t="n"/>
      <c r="F8530" s="7" t="n"/>
      <c r="G8530" s="7" t="n"/>
      <c r="H8530" s="7" t="n"/>
      <c r="I8530" s="7" t="n"/>
      <c r="J8530" s="7" t="n"/>
      <c r="K8530">
        <f>IF(D8530="Legitimate Interest (GDPR Art. 6(1)(f))", "Yes / Required (Sheet 3)", "")</f>
        <v/>
      </c>
      <c r="L8530" s="7" t="n"/>
      <c r="M8530" s="7" t="n"/>
      <c r="N8530">
        <f>IF(D8530="", "Gap - No Legal Basis", IF(AND(D8530="Consent (GDPR Art. 6(1)(a))", I8530="Not Captured"), "Gap - Invalid Consent", IF(AND(D8530="Legitimate Interest (GDPR Art. 6(1)(f))", L8530=""), "Gap - Missing LIA", IF(AND(G8530="Yes", H8530=""), "Gap - Missing Art. 9 Basis", IF(OR(I8530="Invalid - Not Freely Given", I8530="Invalid - Not Specific", I8530="Invalid - Not Informed", I8530="Invalid - Ambiguous"), "Gap - Invalid Consent", "Compliant")))))</f>
        <v/>
      </c>
      <c r="O8530" s="7" t="n"/>
    </row>
    <row r="8531">
      <c r="A8531" s="7" t="n"/>
      <c r="B8531" s="7" t="n"/>
      <c r="C8531" s="7" t="n"/>
      <c r="D8531" s="7" t="n"/>
      <c r="E8531" s="7" t="n"/>
      <c r="F8531" s="7" t="n"/>
      <c r="G8531" s="7" t="n"/>
      <c r="H8531" s="7" t="n"/>
      <c r="I8531" s="7" t="n"/>
      <c r="J8531" s="7" t="n"/>
      <c r="K8531">
        <f>IF(D8531="Legitimate Interest (GDPR Art. 6(1)(f))", "Yes / Required (Sheet 3)", "")</f>
        <v/>
      </c>
      <c r="L8531" s="7" t="n"/>
      <c r="M8531" s="7" t="n"/>
      <c r="N8531">
        <f>IF(D8531="", "Gap - No Legal Basis", IF(AND(D8531="Consent (GDPR Art. 6(1)(a))", I8531="Not Captured"), "Gap - Invalid Consent", IF(AND(D8531="Legitimate Interest (GDPR Art. 6(1)(f))", L8531=""), "Gap - Missing LIA", IF(AND(G8531="Yes", H8531=""), "Gap - Missing Art. 9 Basis", IF(OR(I8531="Invalid - Not Freely Given", I8531="Invalid - Not Specific", I8531="Invalid - Not Informed", I8531="Invalid - Ambiguous"), "Gap - Invalid Consent", "Compliant")))))</f>
        <v/>
      </c>
      <c r="O8531" s="7" t="n"/>
    </row>
    <row r="8532">
      <c r="A8532" s="7" t="n"/>
      <c r="B8532" s="7" t="n"/>
      <c r="C8532" s="7" t="n"/>
      <c r="D8532" s="7" t="n"/>
      <c r="E8532" s="7" t="n"/>
      <c r="F8532" s="7" t="n"/>
      <c r="G8532" s="7" t="n"/>
      <c r="H8532" s="7" t="n"/>
      <c r="I8532" s="7" t="n"/>
      <c r="J8532" s="7" t="n"/>
      <c r="K8532">
        <f>IF(D8532="Legitimate Interest (GDPR Art. 6(1)(f))", "Yes / Required (Sheet 3)", "")</f>
        <v/>
      </c>
      <c r="L8532" s="7" t="n"/>
      <c r="M8532" s="7" t="n"/>
      <c r="N8532">
        <f>IF(D8532="", "Gap - No Legal Basis", IF(AND(D8532="Consent (GDPR Art. 6(1)(a))", I8532="Not Captured"), "Gap - Invalid Consent", IF(AND(D8532="Legitimate Interest (GDPR Art. 6(1)(f))", L8532=""), "Gap - Missing LIA", IF(AND(G8532="Yes", H8532=""), "Gap - Missing Art. 9 Basis", IF(OR(I8532="Invalid - Not Freely Given", I8532="Invalid - Not Specific", I8532="Invalid - Not Informed", I8532="Invalid - Ambiguous"), "Gap - Invalid Consent", "Compliant")))))</f>
        <v/>
      </c>
      <c r="O8532" s="7" t="n"/>
    </row>
    <row r="8533">
      <c r="A8533" s="7" t="n"/>
      <c r="B8533" s="7" t="n"/>
      <c r="C8533" s="7" t="n"/>
      <c r="D8533" s="7" t="n"/>
      <c r="E8533" s="7" t="n"/>
      <c r="F8533" s="7" t="n"/>
      <c r="G8533" s="7" t="n"/>
      <c r="H8533" s="7" t="n"/>
      <c r="I8533" s="7" t="n"/>
      <c r="J8533" s="7" t="n"/>
      <c r="K8533">
        <f>IF(D8533="Legitimate Interest (GDPR Art. 6(1)(f))", "Yes / Required (Sheet 3)", "")</f>
        <v/>
      </c>
      <c r="L8533" s="7" t="n"/>
      <c r="M8533" s="7" t="n"/>
      <c r="N8533">
        <f>IF(D8533="", "Gap - No Legal Basis", IF(AND(D8533="Consent (GDPR Art. 6(1)(a))", I8533="Not Captured"), "Gap - Invalid Consent", IF(AND(D8533="Legitimate Interest (GDPR Art. 6(1)(f))", L8533=""), "Gap - Missing LIA", IF(AND(G8533="Yes", H8533=""), "Gap - Missing Art. 9 Basis", IF(OR(I8533="Invalid - Not Freely Given", I8533="Invalid - Not Specific", I8533="Invalid - Not Informed", I8533="Invalid - Ambiguous"), "Gap - Invalid Consent", "Compliant")))))</f>
        <v/>
      </c>
      <c r="O8533" s="7" t="n"/>
    </row>
    <row r="8534">
      <c r="A8534" s="7" t="n"/>
      <c r="B8534" s="7" t="n"/>
      <c r="C8534" s="7" t="n"/>
      <c r="D8534" s="7" t="n"/>
      <c r="E8534" s="7" t="n"/>
      <c r="F8534" s="7" t="n"/>
      <c r="G8534" s="7" t="n"/>
      <c r="H8534" s="7" t="n"/>
      <c r="I8534" s="7" t="n"/>
      <c r="J8534" s="7" t="n"/>
      <c r="K8534">
        <f>IF(D8534="Legitimate Interest (GDPR Art. 6(1)(f))", "Yes / Required (Sheet 3)", "")</f>
        <v/>
      </c>
      <c r="L8534" s="7" t="n"/>
      <c r="M8534" s="7" t="n"/>
      <c r="N8534">
        <f>IF(D8534="", "Gap - No Legal Basis", IF(AND(D8534="Consent (GDPR Art. 6(1)(a))", I8534="Not Captured"), "Gap - Invalid Consent", IF(AND(D8534="Legitimate Interest (GDPR Art. 6(1)(f))", L8534=""), "Gap - Missing LIA", IF(AND(G8534="Yes", H8534=""), "Gap - Missing Art. 9 Basis", IF(OR(I8534="Invalid - Not Freely Given", I8534="Invalid - Not Specific", I8534="Invalid - Not Informed", I8534="Invalid - Ambiguous"), "Gap - Invalid Consent", "Compliant")))))</f>
        <v/>
      </c>
      <c r="O8534" s="7" t="n"/>
    </row>
    <row r="8535">
      <c r="A8535" s="7" t="n"/>
      <c r="B8535" s="7" t="n"/>
      <c r="C8535" s="7" t="n"/>
      <c r="D8535" s="7" t="n"/>
      <c r="E8535" s="7" t="n"/>
      <c r="F8535" s="7" t="n"/>
      <c r="G8535" s="7" t="n"/>
      <c r="H8535" s="7" t="n"/>
      <c r="I8535" s="7" t="n"/>
      <c r="J8535" s="7" t="n"/>
      <c r="K8535">
        <f>IF(D8535="Legitimate Interest (GDPR Art. 6(1)(f))", "Yes / Required (Sheet 3)", "")</f>
        <v/>
      </c>
      <c r="L8535" s="7" t="n"/>
      <c r="M8535" s="7" t="n"/>
      <c r="N8535">
        <f>IF(D8535="", "Gap - No Legal Basis", IF(AND(D8535="Consent (GDPR Art. 6(1)(a))", I8535="Not Captured"), "Gap - Invalid Consent", IF(AND(D8535="Legitimate Interest (GDPR Art. 6(1)(f))", L8535=""), "Gap - Missing LIA", IF(AND(G8535="Yes", H8535=""), "Gap - Missing Art. 9 Basis", IF(OR(I8535="Invalid - Not Freely Given", I8535="Invalid - Not Specific", I8535="Invalid - Not Informed", I8535="Invalid - Ambiguous"), "Gap - Invalid Consent", "Compliant")))))</f>
        <v/>
      </c>
      <c r="O8535" s="7" t="n"/>
    </row>
    <row r="8536">
      <c r="A8536" s="7" t="n"/>
      <c r="B8536" s="7" t="n"/>
      <c r="C8536" s="7" t="n"/>
      <c r="D8536" s="7" t="n"/>
      <c r="E8536" s="7" t="n"/>
      <c r="F8536" s="7" t="n"/>
      <c r="G8536" s="7" t="n"/>
      <c r="H8536" s="7" t="n"/>
      <c r="I8536" s="7" t="n"/>
      <c r="J8536" s="7" t="n"/>
      <c r="K8536">
        <f>IF(D8536="Legitimate Interest (GDPR Art. 6(1)(f))", "Yes / Required (Sheet 3)", "")</f>
        <v/>
      </c>
      <c r="L8536" s="7" t="n"/>
      <c r="M8536" s="7" t="n"/>
      <c r="N8536">
        <f>IF(D8536="", "Gap - No Legal Basis", IF(AND(D8536="Consent (GDPR Art. 6(1)(a))", I8536="Not Captured"), "Gap - Invalid Consent", IF(AND(D8536="Legitimate Interest (GDPR Art. 6(1)(f))", L8536=""), "Gap - Missing LIA", IF(AND(G8536="Yes", H8536=""), "Gap - Missing Art. 9 Basis", IF(OR(I8536="Invalid - Not Freely Given", I8536="Invalid - Not Specific", I8536="Invalid - Not Informed", I8536="Invalid - Ambiguous"), "Gap - Invalid Consent", "Compliant")))))</f>
        <v/>
      </c>
      <c r="O8536" s="7" t="n"/>
    </row>
    <row r="8537">
      <c r="A8537" s="7" t="n"/>
      <c r="B8537" s="7" t="n"/>
      <c r="C8537" s="7" t="n"/>
      <c r="D8537" s="7" t="n"/>
      <c r="E8537" s="7" t="n"/>
      <c r="F8537" s="7" t="n"/>
      <c r="G8537" s="7" t="n"/>
      <c r="H8537" s="7" t="n"/>
      <c r="I8537" s="7" t="n"/>
      <c r="J8537" s="7" t="n"/>
      <c r="K8537">
        <f>IF(D8537="Legitimate Interest (GDPR Art. 6(1)(f))", "Yes / Required (Sheet 3)", "")</f>
        <v/>
      </c>
      <c r="L8537" s="7" t="n"/>
      <c r="M8537" s="7" t="n"/>
      <c r="N8537">
        <f>IF(D8537="", "Gap - No Legal Basis", IF(AND(D8537="Consent (GDPR Art. 6(1)(a))", I8537="Not Captured"), "Gap - Invalid Consent", IF(AND(D8537="Legitimate Interest (GDPR Art. 6(1)(f))", L8537=""), "Gap - Missing LIA", IF(AND(G8537="Yes", H8537=""), "Gap - Missing Art. 9 Basis", IF(OR(I8537="Invalid - Not Freely Given", I8537="Invalid - Not Specific", I8537="Invalid - Not Informed", I8537="Invalid - Ambiguous"), "Gap - Invalid Consent", "Compliant")))))</f>
        <v/>
      </c>
      <c r="O8537" s="7" t="n"/>
    </row>
    <row r="8538">
      <c r="A8538" s="7" t="n"/>
      <c r="B8538" s="7" t="n"/>
      <c r="C8538" s="7" t="n"/>
      <c r="D8538" s="7" t="n"/>
      <c r="E8538" s="7" t="n"/>
      <c r="F8538" s="7" t="n"/>
      <c r="G8538" s="7" t="n"/>
      <c r="H8538" s="7" t="n"/>
      <c r="I8538" s="7" t="n"/>
      <c r="J8538" s="7" t="n"/>
      <c r="K8538">
        <f>IF(D8538="Legitimate Interest (GDPR Art. 6(1)(f))", "Yes / Required (Sheet 3)", "")</f>
        <v/>
      </c>
      <c r="L8538" s="7" t="n"/>
      <c r="M8538" s="7" t="n"/>
      <c r="N8538">
        <f>IF(D8538="", "Gap - No Legal Basis", IF(AND(D8538="Consent (GDPR Art. 6(1)(a))", I8538="Not Captured"), "Gap - Invalid Consent", IF(AND(D8538="Legitimate Interest (GDPR Art. 6(1)(f))", L8538=""), "Gap - Missing LIA", IF(AND(G8538="Yes", H8538=""), "Gap - Missing Art. 9 Basis", IF(OR(I8538="Invalid - Not Freely Given", I8538="Invalid - Not Specific", I8538="Invalid - Not Informed", I8538="Invalid - Ambiguous"), "Gap - Invalid Consent", "Compliant")))))</f>
        <v/>
      </c>
      <c r="O8538" s="7" t="n"/>
    </row>
    <row r="8539">
      <c r="A8539" s="7" t="n"/>
      <c r="B8539" s="7" t="n"/>
      <c r="C8539" s="7" t="n"/>
      <c r="D8539" s="7" t="n"/>
      <c r="E8539" s="7" t="n"/>
      <c r="F8539" s="7" t="n"/>
      <c r="G8539" s="7" t="n"/>
      <c r="H8539" s="7" t="n"/>
      <c r="I8539" s="7" t="n"/>
      <c r="J8539" s="7" t="n"/>
      <c r="K8539">
        <f>IF(D8539="Legitimate Interest (GDPR Art. 6(1)(f))", "Yes / Required (Sheet 3)", "")</f>
        <v/>
      </c>
      <c r="L8539" s="7" t="n"/>
      <c r="M8539" s="7" t="n"/>
      <c r="N8539">
        <f>IF(D8539="", "Gap - No Legal Basis", IF(AND(D8539="Consent (GDPR Art. 6(1)(a))", I8539="Not Captured"), "Gap - Invalid Consent", IF(AND(D8539="Legitimate Interest (GDPR Art. 6(1)(f))", L8539=""), "Gap - Missing LIA", IF(AND(G8539="Yes", H8539=""), "Gap - Missing Art. 9 Basis", IF(OR(I8539="Invalid - Not Freely Given", I8539="Invalid - Not Specific", I8539="Invalid - Not Informed", I8539="Invalid - Ambiguous"), "Gap - Invalid Consent", "Compliant")))))</f>
        <v/>
      </c>
      <c r="O8539" s="7" t="n"/>
    </row>
    <row r="8540">
      <c r="A8540" s="7" t="n"/>
      <c r="B8540" s="7" t="n"/>
      <c r="C8540" s="7" t="n"/>
      <c r="D8540" s="7" t="n"/>
      <c r="E8540" s="7" t="n"/>
      <c r="F8540" s="7" t="n"/>
      <c r="G8540" s="7" t="n"/>
      <c r="H8540" s="7" t="n"/>
      <c r="I8540" s="7" t="n"/>
      <c r="J8540" s="7" t="n"/>
      <c r="K8540">
        <f>IF(D8540="Legitimate Interest (GDPR Art. 6(1)(f))", "Yes / Required (Sheet 3)", "")</f>
        <v/>
      </c>
      <c r="L8540" s="7" t="n"/>
      <c r="M8540" s="7" t="n"/>
      <c r="N8540">
        <f>IF(D8540="", "Gap - No Legal Basis", IF(AND(D8540="Consent (GDPR Art. 6(1)(a))", I8540="Not Captured"), "Gap - Invalid Consent", IF(AND(D8540="Legitimate Interest (GDPR Art. 6(1)(f))", L8540=""), "Gap - Missing LIA", IF(AND(G8540="Yes", H8540=""), "Gap - Missing Art. 9 Basis", IF(OR(I8540="Invalid - Not Freely Given", I8540="Invalid - Not Specific", I8540="Invalid - Not Informed", I8540="Invalid - Ambiguous"), "Gap - Invalid Consent", "Compliant")))))</f>
        <v/>
      </c>
      <c r="O8540" s="7" t="n"/>
    </row>
    <row r="8541">
      <c r="A8541" s="7" t="n"/>
      <c r="B8541" s="7" t="n"/>
      <c r="C8541" s="7" t="n"/>
      <c r="D8541" s="7" t="n"/>
      <c r="E8541" s="7" t="n"/>
      <c r="F8541" s="7" t="n"/>
      <c r="G8541" s="7" t="n"/>
      <c r="H8541" s="7" t="n"/>
      <c r="I8541" s="7" t="n"/>
      <c r="J8541" s="7" t="n"/>
      <c r="K8541">
        <f>IF(D8541="Legitimate Interest (GDPR Art. 6(1)(f))", "Yes / Required (Sheet 3)", "")</f>
        <v/>
      </c>
      <c r="L8541" s="7" t="n"/>
      <c r="M8541" s="7" t="n"/>
      <c r="N8541">
        <f>IF(D8541="", "Gap - No Legal Basis", IF(AND(D8541="Consent (GDPR Art. 6(1)(a))", I8541="Not Captured"), "Gap - Invalid Consent", IF(AND(D8541="Legitimate Interest (GDPR Art. 6(1)(f))", L8541=""), "Gap - Missing LIA", IF(AND(G8541="Yes", H8541=""), "Gap - Missing Art. 9 Basis", IF(OR(I8541="Invalid - Not Freely Given", I8541="Invalid - Not Specific", I8541="Invalid - Not Informed", I8541="Invalid - Ambiguous"), "Gap - Invalid Consent", "Compliant")))))</f>
        <v/>
      </c>
      <c r="O8541" s="7" t="n"/>
    </row>
    <row r="8542">
      <c r="A8542" s="7" t="n"/>
      <c r="B8542" s="7" t="n"/>
      <c r="C8542" s="7" t="n"/>
      <c r="D8542" s="7" t="n"/>
      <c r="E8542" s="7" t="n"/>
      <c r="F8542" s="7" t="n"/>
      <c r="G8542" s="7" t="n"/>
      <c r="H8542" s="7" t="n"/>
      <c r="I8542" s="7" t="n"/>
      <c r="J8542" s="7" t="n"/>
      <c r="K8542">
        <f>IF(D8542="Legitimate Interest (GDPR Art. 6(1)(f))", "Yes / Required (Sheet 3)", "")</f>
        <v/>
      </c>
      <c r="L8542" s="7" t="n"/>
      <c r="M8542" s="7" t="n"/>
      <c r="N8542">
        <f>IF(D8542="", "Gap - No Legal Basis", IF(AND(D8542="Consent (GDPR Art. 6(1)(a))", I8542="Not Captured"), "Gap - Invalid Consent", IF(AND(D8542="Legitimate Interest (GDPR Art. 6(1)(f))", L8542=""), "Gap - Missing LIA", IF(AND(G8542="Yes", H8542=""), "Gap - Missing Art. 9 Basis", IF(OR(I8542="Invalid - Not Freely Given", I8542="Invalid - Not Specific", I8542="Invalid - Not Informed", I8542="Invalid - Ambiguous"), "Gap - Invalid Consent", "Compliant")))))</f>
        <v/>
      </c>
      <c r="O8542" s="7" t="n"/>
    </row>
    <row r="8543">
      <c r="A8543" s="7" t="n"/>
      <c r="B8543" s="7" t="n"/>
      <c r="C8543" s="7" t="n"/>
      <c r="D8543" s="7" t="n"/>
      <c r="E8543" s="7" t="n"/>
      <c r="F8543" s="7" t="n"/>
      <c r="G8543" s="7" t="n"/>
      <c r="H8543" s="7" t="n"/>
      <c r="I8543" s="7" t="n"/>
      <c r="J8543" s="7" t="n"/>
      <c r="K8543">
        <f>IF(D8543="Legitimate Interest (GDPR Art. 6(1)(f))", "Yes / Required (Sheet 3)", "")</f>
        <v/>
      </c>
      <c r="L8543" s="7" t="n"/>
      <c r="M8543" s="7" t="n"/>
      <c r="N8543">
        <f>IF(D8543="", "Gap - No Legal Basis", IF(AND(D8543="Consent (GDPR Art. 6(1)(a))", I8543="Not Captured"), "Gap - Invalid Consent", IF(AND(D8543="Legitimate Interest (GDPR Art. 6(1)(f))", L8543=""), "Gap - Missing LIA", IF(AND(G8543="Yes", H8543=""), "Gap - Missing Art. 9 Basis", IF(OR(I8543="Invalid - Not Freely Given", I8543="Invalid - Not Specific", I8543="Invalid - Not Informed", I8543="Invalid - Ambiguous"), "Gap - Invalid Consent", "Compliant")))))</f>
        <v/>
      </c>
      <c r="O8543" s="7" t="n"/>
    </row>
    <row r="8544">
      <c r="A8544" s="7" t="n"/>
      <c r="B8544" s="7" t="n"/>
      <c r="C8544" s="7" t="n"/>
      <c r="D8544" s="7" t="n"/>
      <c r="E8544" s="7" t="n"/>
      <c r="F8544" s="7" t="n"/>
      <c r="G8544" s="7" t="n"/>
      <c r="H8544" s="7" t="n"/>
      <c r="I8544" s="7" t="n"/>
      <c r="J8544" s="7" t="n"/>
      <c r="K8544">
        <f>IF(D8544="Legitimate Interest (GDPR Art. 6(1)(f))", "Yes / Required (Sheet 3)", "")</f>
        <v/>
      </c>
      <c r="L8544" s="7" t="n"/>
      <c r="M8544" s="7" t="n"/>
      <c r="N8544">
        <f>IF(D8544="", "Gap - No Legal Basis", IF(AND(D8544="Consent (GDPR Art. 6(1)(a))", I8544="Not Captured"), "Gap - Invalid Consent", IF(AND(D8544="Legitimate Interest (GDPR Art. 6(1)(f))", L8544=""), "Gap - Missing LIA", IF(AND(G8544="Yes", H8544=""), "Gap - Missing Art. 9 Basis", IF(OR(I8544="Invalid - Not Freely Given", I8544="Invalid - Not Specific", I8544="Invalid - Not Informed", I8544="Invalid - Ambiguous"), "Gap - Invalid Consent", "Compliant")))))</f>
        <v/>
      </c>
      <c r="O8544" s="7" t="n"/>
    </row>
    <row r="8545">
      <c r="A8545" s="7" t="n"/>
      <c r="B8545" s="7" t="n"/>
      <c r="C8545" s="7" t="n"/>
      <c r="D8545" s="7" t="n"/>
      <c r="E8545" s="7" t="n"/>
      <c r="F8545" s="7" t="n"/>
      <c r="G8545" s="7" t="n"/>
      <c r="H8545" s="7" t="n"/>
      <c r="I8545" s="7" t="n"/>
      <c r="J8545" s="7" t="n"/>
      <c r="K8545">
        <f>IF(D8545="Legitimate Interest (GDPR Art. 6(1)(f))", "Yes / Required (Sheet 3)", "")</f>
        <v/>
      </c>
      <c r="L8545" s="7" t="n"/>
      <c r="M8545" s="7" t="n"/>
      <c r="N8545">
        <f>IF(D8545="", "Gap - No Legal Basis", IF(AND(D8545="Consent (GDPR Art. 6(1)(a))", I8545="Not Captured"), "Gap - Invalid Consent", IF(AND(D8545="Legitimate Interest (GDPR Art. 6(1)(f))", L8545=""), "Gap - Missing LIA", IF(AND(G8545="Yes", H8545=""), "Gap - Missing Art. 9 Basis", IF(OR(I8545="Invalid - Not Freely Given", I8545="Invalid - Not Specific", I8545="Invalid - Not Informed", I8545="Invalid - Ambiguous"), "Gap - Invalid Consent", "Compliant")))))</f>
        <v/>
      </c>
      <c r="O8545" s="7" t="n"/>
    </row>
    <row r="8546">
      <c r="A8546" s="7" t="n"/>
      <c r="B8546" s="7" t="n"/>
      <c r="C8546" s="7" t="n"/>
      <c r="D8546" s="7" t="n"/>
      <c r="E8546" s="7" t="n"/>
      <c r="F8546" s="7" t="n"/>
      <c r="G8546" s="7" t="n"/>
      <c r="H8546" s="7" t="n"/>
      <c r="I8546" s="7" t="n"/>
      <c r="J8546" s="7" t="n"/>
      <c r="K8546">
        <f>IF(D8546="Legitimate Interest (GDPR Art. 6(1)(f))", "Yes / Required (Sheet 3)", "")</f>
        <v/>
      </c>
      <c r="L8546" s="7" t="n"/>
      <c r="M8546" s="7" t="n"/>
      <c r="N8546">
        <f>IF(D8546="", "Gap - No Legal Basis", IF(AND(D8546="Consent (GDPR Art. 6(1)(a))", I8546="Not Captured"), "Gap - Invalid Consent", IF(AND(D8546="Legitimate Interest (GDPR Art. 6(1)(f))", L8546=""), "Gap - Missing LIA", IF(AND(G8546="Yes", H8546=""), "Gap - Missing Art. 9 Basis", IF(OR(I8546="Invalid - Not Freely Given", I8546="Invalid - Not Specific", I8546="Invalid - Not Informed", I8546="Invalid - Ambiguous"), "Gap - Invalid Consent", "Compliant")))))</f>
        <v/>
      </c>
      <c r="O8546" s="7" t="n"/>
    </row>
    <row r="8547">
      <c r="A8547" s="7" t="n"/>
      <c r="B8547" s="7" t="n"/>
      <c r="C8547" s="7" t="n"/>
      <c r="D8547" s="7" t="n"/>
      <c r="E8547" s="7" t="n"/>
      <c r="F8547" s="7" t="n"/>
      <c r="G8547" s="7" t="n"/>
      <c r="H8547" s="7" t="n"/>
      <c r="I8547" s="7" t="n"/>
      <c r="J8547" s="7" t="n"/>
      <c r="K8547">
        <f>IF(D8547="Legitimate Interest (GDPR Art. 6(1)(f))", "Yes / Required (Sheet 3)", "")</f>
        <v/>
      </c>
      <c r="L8547" s="7" t="n"/>
      <c r="M8547" s="7" t="n"/>
      <c r="N8547">
        <f>IF(D8547="", "Gap - No Legal Basis", IF(AND(D8547="Consent (GDPR Art. 6(1)(a))", I8547="Not Captured"), "Gap - Invalid Consent", IF(AND(D8547="Legitimate Interest (GDPR Art. 6(1)(f))", L8547=""), "Gap - Missing LIA", IF(AND(G8547="Yes", H8547=""), "Gap - Missing Art. 9 Basis", IF(OR(I8547="Invalid - Not Freely Given", I8547="Invalid - Not Specific", I8547="Invalid - Not Informed", I8547="Invalid - Ambiguous"), "Gap - Invalid Consent", "Compliant")))))</f>
        <v/>
      </c>
      <c r="O8547" s="7" t="n"/>
    </row>
    <row r="8548">
      <c r="A8548" s="7" t="n"/>
      <c r="B8548" s="7" t="n"/>
      <c r="C8548" s="7" t="n"/>
      <c r="D8548" s="7" t="n"/>
      <c r="E8548" s="7" t="n"/>
      <c r="F8548" s="7" t="n"/>
      <c r="G8548" s="7" t="n"/>
      <c r="H8548" s="7" t="n"/>
      <c r="I8548" s="7" t="n"/>
      <c r="J8548" s="7" t="n"/>
      <c r="K8548">
        <f>IF(D8548="Legitimate Interest (GDPR Art. 6(1)(f))", "Yes / Required (Sheet 3)", "")</f>
        <v/>
      </c>
      <c r="L8548" s="7" t="n"/>
      <c r="M8548" s="7" t="n"/>
      <c r="N8548">
        <f>IF(D8548="", "Gap - No Legal Basis", IF(AND(D8548="Consent (GDPR Art. 6(1)(a))", I8548="Not Captured"), "Gap - Invalid Consent", IF(AND(D8548="Legitimate Interest (GDPR Art. 6(1)(f))", L8548=""), "Gap - Missing LIA", IF(AND(G8548="Yes", H8548=""), "Gap - Missing Art. 9 Basis", IF(OR(I8548="Invalid - Not Freely Given", I8548="Invalid - Not Specific", I8548="Invalid - Not Informed", I8548="Invalid - Ambiguous"), "Gap - Invalid Consent", "Compliant")))))</f>
        <v/>
      </c>
      <c r="O8548" s="7" t="n"/>
    </row>
    <row r="8549">
      <c r="A8549" s="7" t="n"/>
      <c r="B8549" s="7" t="n"/>
      <c r="C8549" s="7" t="n"/>
      <c r="D8549" s="7" t="n"/>
      <c r="E8549" s="7" t="n"/>
      <c r="F8549" s="7" t="n"/>
      <c r="G8549" s="7" t="n"/>
      <c r="H8549" s="7" t="n"/>
      <c r="I8549" s="7" t="n"/>
      <c r="J8549" s="7" t="n"/>
      <c r="K8549">
        <f>IF(D8549="Legitimate Interest (GDPR Art. 6(1)(f))", "Yes / Required (Sheet 3)", "")</f>
        <v/>
      </c>
      <c r="L8549" s="7" t="n"/>
      <c r="M8549" s="7" t="n"/>
      <c r="N8549">
        <f>IF(D8549="", "Gap - No Legal Basis", IF(AND(D8549="Consent (GDPR Art. 6(1)(a))", I8549="Not Captured"), "Gap - Invalid Consent", IF(AND(D8549="Legitimate Interest (GDPR Art. 6(1)(f))", L8549=""), "Gap - Missing LIA", IF(AND(G8549="Yes", H8549=""), "Gap - Missing Art. 9 Basis", IF(OR(I8549="Invalid - Not Freely Given", I8549="Invalid - Not Specific", I8549="Invalid - Not Informed", I8549="Invalid - Ambiguous"), "Gap - Invalid Consent", "Compliant")))))</f>
        <v/>
      </c>
      <c r="O8549" s="7" t="n"/>
    </row>
    <row r="8550">
      <c r="A8550" s="7" t="n"/>
      <c r="B8550" s="7" t="n"/>
      <c r="C8550" s="7" t="n"/>
      <c r="D8550" s="7" t="n"/>
      <c r="E8550" s="7" t="n"/>
      <c r="F8550" s="7" t="n"/>
      <c r="G8550" s="7" t="n"/>
      <c r="H8550" s="7" t="n"/>
      <c r="I8550" s="7" t="n"/>
      <c r="J8550" s="7" t="n"/>
      <c r="K8550">
        <f>IF(D8550="Legitimate Interest (GDPR Art. 6(1)(f))", "Yes / Required (Sheet 3)", "")</f>
        <v/>
      </c>
      <c r="L8550" s="7" t="n"/>
      <c r="M8550" s="7" t="n"/>
      <c r="N8550">
        <f>IF(D8550="", "Gap - No Legal Basis", IF(AND(D8550="Consent (GDPR Art. 6(1)(a))", I8550="Not Captured"), "Gap - Invalid Consent", IF(AND(D8550="Legitimate Interest (GDPR Art. 6(1)(f))", L8550=""), "Gap - Missing LIA", IF(AND(G8550="Yes", H8550=""), "Gap - Missing Art. 9 Basis", IF(OR(I8550="Invalid - Not Freely Given", I8550="Invalid - Not Specific", I8550="Invalid - Not Informed", I8550="Invalid - Ambiguous"), "Gap - Invalid Consent", "Compliant")))))</f>
        <v/>
      </c>
      <c r="O8550" s="7" t="n"/>
    </row>
    <row r="8551">
      <c r="A8551" s="7" t="n"/>
      <c r="B8551" s="7" t="n"/>
      <c r="C8551" s="7" t="n"/>
      <c r="D8551" s="7" t="n"/>
      <c r="E8551" s="7" t="n"/>
      <c r="F8551" s="7" t="n"/>
      <c r="G8551" s="7" t="n"/>
      <c r="H8551" s="7" t="n"/>
      <c r="I8551" s="7" t="n"/>
      <c r="J8551" s="7" t="n"/>
      <c r="K8551">
        <f>IF(D8551="Legitimate Interest (GDPR Art. 6(1)(f))", "Yes / Required (Sheet 3)", "")</f>
        <v/>
      </c>
      <c r="L8551" s="7" t="n"/>
      <c r="M8551" s="7" t="n"/>
      <c r="N8551">
        <f>IF(D8551="", "Gap - No Legal Basis", IF(AND(D8551="Consent (GDPR Art. 6(1)(a))", I8551="Not Captured"), "Gap - Invalid Consent", IF(AND(D8551="Legitimate Interest (GDPR Art. 6(1)(f))", L8551=""), "Gap - Missing LIA", IF(AND(G8551="Yes", H8551=""), "Gap - Missing Art. 9 Basis", IF(OR(I8551="Invalid - Not Freely Given", I8551="Invalid - Not Specific", I8551="Invalid - Not Informed", I8551="Invalid - Ambiguous"), "Gap - Invalid Consent", "Compliant")))))</f>
        <v/>
      </c>
      <c r="O8551" s="7" t="n"/>
    </row>
    <row r="8552">
      <c r="A8552" s="7" t="n"/>
      <c r="B8552" s="7" t="n"/>
      <c r="C8552" s="7" t="n"/>
      <c r="D8552" s="7" t="n"/>
      <c r="E8552" s="7" t="n"/>
      <c r="F8552" s="7" t="n"/>
      <c r="G8552" s="7" t="n"/>
      <c r="H8552" s="7" t="n"/>
      <c r="I8552" s="7" t="n"/>
      <c r="J8552" s="7" t="n"/>
      <c r="K8552">
        <f>IF(D8552="Legitimate Interest (GDPR Art. 6(1)(f))", "Yes / Required (Sheet 3)", "")</f>
        <v/>
      </c>
      <c r="L8552" s="7" t="n"/>
      <c r="M8552" s="7" t="n"/>
      <c r="N8552">
        <f>IF(D8552="", "Gap - No Legal Basis", IF(AND(D8552="Consent (GDPR Art. 6(1)(a))", I8552="Not Captured"), "Gap - Invalid Consent", IF(AND(D8552="Legitimate Interest (GDPR Art. 6(1)(f))", L8552=""), "Gap - Missing LIA", IF(AND(G8552="Yes", H8552=""), "Gap - Missing Art. 9 Basis", IF(OR(I8552="Invalid - Not Freely Given", I8552="Invalid - Not Specific", I8552="Invalid - Not Informed", I8552="Invalid - Ambiguous"), "Gap - Invalid Consent", "Compliant")))))</f>
        <v/>
      </c>
      <c r="O8552" s="7" t="n"/>
    </row>
    <row r="8553">
      <c r="A8553" s="7" t="n"/>
      <c r="B8553" s="7" t="n"/>
      <c r="C8553" s="7" t="n"/>
      <c r="D8553" s="7" t="n"/>
      <c r="E8553" s="7" t="n"/>
      <c r="F8553" s="7" t="n"/>
      <c r="G8553" s="7" t="n"/>
      <c r="H8553" s="7" t="n"/>
      <c r="I8553" s="7" t="n"/>
      <c r="J8553" s="7" t="n"/>
      <c r="K8553">
        <f>IF(D8553="Legitimate Interest (GDPR Art. 6(1)(f))", "Yes / Required (Sheet 3)", "")</f>
        <v/>
      </c>
      <c r="L8553" s="7" t="n"/>
      <c r="M8553" s="7" t="n"/>
      <c r="N8553">
        <f>IF(D8553="", "Gap - No Legal Basis", IF(AND(D8553="Consent (GDPR Art. 6(1)(a))", I8553="Not Captured"), "Gap - Invalid Consent", IF(AND(D8553="Legitimate Interest (GDPR Art. 6(1)(f))", L8553=""), "Gap - Missing LIA", IF(AND(G8553="Yes", H8553=""), "Gap - Missing Art. 9 Basis", IF(OR(I8553="Invalid - Not Freely Given", I8553="Invalid - Not Specific", I8553="Invalid - Not Informed", I8553="Invalid - Ambiguous"), "Gap - Invalid Consent", "Compliant")))))</f>
        <v/>
      </c>
      <c r="O8553" s="7" t="n"/>
    </row>
    <row r="8554">
      <c r="A8554" s="7" t="n"/>
      <c r="B8554" s="7" t="n"/>
      <c r="C8554" s="7" t="n"/>
      <c r="D8554" s="7" t="n"/>
      <c r="E8554" s="7" t="n"/>
      <c r="F8554" s="7" t="n"/>
      <c r="G8554" s="7" t="n"/>
      <c r="H8554" s="7" t="n"/>
      <c r="I8554" s="7" t="n"/>
      <c r="J8554" s="7" t="n"/>
      <c r="K8554">
        <f>IF(D8554="Legitimate Interest (GDPR Art. 6(1)(f))", "Yes / Required (Sheet 3)", "")</f>
        <v/>
      </c>
      <c r="L8554" s="7" t="n"/>
      <c r="M8554" s="7" t="n"/>
      <c r="N8554">
        <f>IF(D8554="", "Gap - No Legal Basis", IF(AND(D8554="Consent (GDPR Art. 6(1)(a))", I8554="Not Captured"), "Gap - Invalid Consent", IF(AND(D8554="Legitimate Interest (GDPR Art. 6(1)(f))", L8554=""), "Gap - Missing LIA", IF(AND(G8554="Yes", H8554=""), "Gap - Missing Art. 9 Basis", IF(OR(I8554="Invalid - Not Freely Given", I8554="Invalid - Not Specific", I8554="Invalid - Not Informed", I8554="Invalid - Ambiguous"), "Gap - Invalid Consent", "Compliant")))))</f>
        <v/>
      </c>
      <c r="O8554" s="7" t="n"/>
    </row>
    <row r="8555">
      <c r="A8555" s="7" t="n"/>
      <c r="B8555" s="7" t="n"/>
      <c r="C8555" s="7" t="n"/>
      <c r="D8555" s="7" t="n"/>
      <c r="E8555" s="7" t="n"/>
      <c r="F8555" s="7" t="n"/>
      <c r="G8555" s="7" t="n"/>
      <c r="H8555" s="7" t="n"/>
      <c r="I8555" s="7" t="n"/>
      <c r="J8555" s="7" t="n"/>
      <c r="K8555">
        <f>IF(D8555="Legitimate Interest (GDPR Art. 6(1)(f))", "Yes / Required (Sheet 3)", "")</f>
        <v/>
      </c>
      <c r="L8555" s="7" t="n"/>
      <c r="M8555" s="7" t="n"/>
      <c r="N8555">
        <f>IF(D8555="", "Gap - No Legal Basis", IF(AND(D8555="Consent (GDPR Art. 6(1)(a))", I8555="Not Captured"), "Gap - Invalid Consent", IF(AND(D8555="Legitimate Interest (GDPR Art. 6(1)(f))", L8555=""), "Gap - Missing LIA", IF(AND(G8555="Yes", H8555=""), "Gap - Missing Art. 9 Basis", IF(OR(I8555="Invalid - Not Freely Given", I8555="Invalid - Not Specific", I8555="Invalid - Not Informed", I8555="Invalid - Ambiguous"), "Gap - Invalid Consent", "Compliant")))))</f>
        <v/>
      </c>
      <c r="O8555" s="7" t="n"/>
    </row>
    <row r="8556">
      <c r="A8556" s="7" t="n"/>
      <c r="B8556" s="7" t="n"/>
      <c r="C8556" s="7" t="n"/>
      <c r="D8556" s="7" t="n"/>
      <c r="E8556" s="7" t="n"/>
      <c r="F8556" s="7" t="n"/>
      <c r="G8556" s="7" t="n"/>
      <c r="H8556" s="7" t="n"/>
      <c r="I8556" s="7" t="n"/>
      <c r="J8556" s="7" t="n"/>
      <c r="K8556">
        <f>IF(D8556="Legitimate Interest (GDPR Art. 6(1)(f))", "Yes / Required (Sheet 3)", "")</f>
        <v/>
      </c>
      <c r="L8556" s="7" t="n"/>
      <c r="M8556" s="7" t="n"/>
      <c r="N8556">
        <f>IF(D8556="", "Gap - No Legal Basis", IF(AND(D8556="Consent (GDPR Art. 6(1)(a))", I8556="Not Captured"), "Gap - Invalid Consent", IF(AND(D8556="Legitimate Interest (GDPR Art. 6(1)(f))", L8556=""), "Gap - Missing LIA", IF(AND(G8556="Yes", H8556=""), "Gap - Missing Art. 9 Basis", IF(OR(I8556="Invalid - Not Freely Given", I8556="Invalid - Not Specific", I8556="Invalid - Not Informed", I8556="Invalid - Ambiguous"), "Gap - Invalid Consent", "Compliant")))))</f>
        <v/>
      </c>
      <c r="O8556" s="7" t="n"/>
    </row>
    <row r="8557">
      <c r="A8557" s="7" t="n"/>
      <c r="B8557" s="7" t="n"/>
      <c r="C8557" s="7" t="n"/>
      <c r="D8557" s="7" t="n"/>
      <c r="E8557" s="7" t="n"/>
      <c r="F8557" s="7" t="n"/>
      <c r="G8557" s="7" t="n"/>
      <c r="H8557" s="7" t="n"/>
      <c r="I8557" s="7" t="n"/>
      <c r="J8557" s="7" t="n"/>
      <c r="K8557">
        <f>IF(D8557="Legitimate Interest (GDPR Art. 6(1)(f))", "Yes / Required (Sheet 3)", "")</f>
        <v/>
      </c>
      <c r="L8557" s="7" t="n"/>
      <c r="M8557" s="7" t="n"/>
      <c r="N8557">
        <f>IF(D8557="", "Gap - No Legal Basis", IF(AND(D8557="Consent (GDPR Art. 6(1)(a))", I8557="Not Captured"), "Gap - Invalid Consent", IF(AND(D8557="Legitimate Interest (GDPR Art. 6(1)(f))", L8557=""), "Gap - Missing LIA", IF(AND(G8557="Yes", H8557=""), "Gap - Missing Art. 9 Basis", IF(OR(I8557="Invalid - Not Freely Given", I8557="Invalid - Not Specific", I8557="Invalid - Not Informed", I8557="Invalid - Ambiguous"), "Gap - Invalid Consent", "Compliant")))))</f>
        <v/>
      </c>
      <c r="O8557" s="7" t="n"/>
    </row>
    <row r="8558">
      <c r="A8558" s="7" t="n"/>
      <c r="B8558" s="7" t="n"/>
      <c r="C8558" s="7" t="n"/>
      <c r="D8558" s="7" t="n"/>
      <c r="E8558" s="7" t="n"/>
      <c r="F8558" s="7" t="n"/>
      <c r="G8558" s="7" t="n"/>
      <c r="H8558" s="7" t="n"/>
      <c r="I8558" s="7" t="n"/>
      <c r="J8558" s="7" t="n"/>
      <c r="K8558">
        <f>IF(D8558="Legitimate Interest (GDPR Art. 6(1)(f))", "Yes / Required (Sheet 3)", "")</f>
        <v/>
      </c>
      <c r="L8558" s="7" t="n"/>
      <c r="M8558" s="7" t="n"/>
      <c r="N8558">
        <f>IF(D8558="", "Gap - No Legal Basis", IF(AND(D8558="Consent (GDPR Art. 6(1)(a))", I8558="Not Captured"), "Gap - Invalid Consent", IF(AND(D8558="Legitimate Interest (GDPR Art. 6(1)(f))", L8558=""), "Gap - Missing LIA", IF(AND(G8558="Yes", H8558=""), "Gap - Missing Art. 9 Basis", IF(OR(I8558="Invalid - Not Freely Given", I8558="Invalid - Not Specific", I8558="Invalid - Not Informed", I8558="Invalid - Ambiguous"), "Gap - Invalid Consent", "Compliant")))))</f>
        <v/>
      </c>
      <c r="O8558" s="7" t="n"/>
    </row>
    <row r="8559">
      <c r="A8559" s="7" t="n"/>
      <c r="B8559" s="7" t="n"/>
      <c r="C8559" s="7" t="n"/>
      <c r="D8559" s="7" t="n"/>
      <c r="E8559" s="7" t="n"/>
      <c r="F8559" s="7" t="n"/>
      <c r="G8559" s="7" t="n"/>
      <c r="H8559" s="7" t="n"/>
      <c r="I8559" s="7" t="n"/>
      <c r="J8559" s="7" t="n"/>
      <c r="K8559">
        <f>IF(D8559="Legitimate Interest (GDPR Art. 6(1)(f))", "Yes / Required (Sheet 3)", "")</f>
        <v/>
      </c>
      <c r="L8559" s="7" t="n"/>
      <c r="M8559" s="7" t="n"/>
      <c r="N8559">
        <f>IF(D8559="", "Gap - No Legal Basis", IF(AND(D8559="Consent (GDPR Art. 6(1)(a))", I8559="Not Captured"), "Gap - Invalid Consent", IF(AND(D8559="Legitimate Interest (GDPR Art. 6(1)(f))", L8559=""), "Gap - Missing LIA", IF(AND(G8559="Yes", H8559=""), "Gap - Missing Art. 9 Basis", IF(OR(I8559="Invalid - Not Freely Given", I8559="Invalid - Not Specific", I8559="Invalid - Not Informed", I8559="Invalid - Ambiguous"), "Gap - Invalid Consent", "Compliant")))))</f>
        <v/>
      </c>
      <c r="O8559" s="7" t="n"/>
    </row>
    <row r="8560">
      <c r="A8560" s="7" t="n"/>
      <c r="B8560" s="7" t="n"/>
      <c r="C8560" s="7" t="n"/>
      <c r="D8560" s="7" t="n"/>
      <c r="E8560" s="7" t="n"/>
      <c r="F8560" s="7" t="n"/>
      <c r="G8560" s="7" t="n"/>
      <c r="H8560" s="7" t="n"/>
      <c r="I8560" s="7" t="n"/>
      <c r="J8560" s="7" t="n"/>
      <c r="K8560">
        <f>IF(D8560="Legitimate Interest (GDPR Art. 6(1)(f))", "Yes / Required (Sheet 3)", "")</f>
        <v/>
      </c>
      <c r="L8560" s="7" t="n"/>
      <c r="M8560" s="7" t="n"/>
      <c r="N8560">
        <f>IF(D8560="", "Gap - No Legal Basis", IF(AND(D8560="Consent (GDPR Art. 6(1)(a))", I8560="Not Captured"), "Gap - Invalid Consent", IF(AND(D8560="Legitimate Interest (GDPR Art. 6(1)(f))", L8560=""), "Gap - Missing LIA", IF(AND(G8560="Yes", H8560=""), "Gap - Missing Art. 9 Basis", IF(OR(I8560="Invalid - Not Freely Given", I8560="Invalid - Not Specific", I8560="Invalid - Not Informed", I8560="Invalid - Ambiguous"), "Gap - Invalid Consent", "Compliant")))))</f>
        <v/>
      </c>
      <c r="O8560" s="7" t="n"/>
    </row>
    <row r="8561">
      <c r="A8561" s="7" t="n"/>
      <c r="B8561" s="7" t="n"/>
      <c r="C8561" s="7" t="n"/>
      <c r="D8561" s="7" t="n"/>
      <c r="E8561" s="7" t="n"/>
      <c r="F8561" s="7" t="n"/>
      <c r="G8561" s="7" t="n"/>
      <c r="H8561" s="7" t="n"/>
      <c r="I8561" s="7" t="n"/>
      <c r="J8561" s="7" t="n"/>
      <c r="K8561">
        <f>IF(D8561="Legitimate Interest (GDPR Art. 6(1)(f))", "Yes / Required (Sheet 3)", "")</f>
        <v/>
      </c>
      <c r="L8561" s="7" t="n"/>
      <c r="M8561" s="7" t="n"/>
      <c r="N8561">
        <f>IF(D8561="", "Gap - No Legal Basis", IF(AND(D8561="Consent (GDPR Art. 6(1)(a))", I8561="Not Captured"), "Gap - Invalid Consent", IF(AND(D8561="Legitimate Interest (GDPR Art. 6(1)(f))", L8561=""), "Gap - Missing LIA", IF(AND(G8561="Yes", H8561=""), "Gap - Missing Art. 9 Basis", IF(OR(I8561="Invalid - Not Freely Given", I8561="Invalid - Not Specific", I8561="Invalid - Not Informed", I8561="Invalid - Ambiguous"), "Gap - Invalid Consent", "Compliant")))))</f>
        <v/>
      </c>
      <c r="O8561" s="7" t="n"/>
    </row>
    <row r="8562">
      <c r="A8562" s="7" t="n"/>
      <c r="B8562" s="7" t="n"/>
      <c r="C8562" s="7" t="n"/>
      <c r="D8562" s="7" t="n"/>
      <c r="E8562" s="7" t="n"/>
      <c r="F8562" s="7" t="n"/>
      <c r="G8562" s="7" t="n"/>
      <c r="H8562" s="7" t="n"/>
      <c r="I8562" s="7" t="n"/>
      <c r="J8562" s="7" t="n"/>
      <c r="K8562">
        <f>IF(D8562="Legitimate Interest (GDPR Art. 6(1)(f))", "Yes / Required (Sheet 3)", "")</f>
        <v/>
      </c>
      <c r="L8562" s="7" t="n"/>
      <c r="M8562" s="7" t="n"/>
      <c r="N8562">
        <f>IF(D8562="", "Gap - No Legal Basis", IF(AND(D8562="Consent (GDPR Art. 6(1)(a))", I8562="Not Captured"), "Gap - Invalid Consent", IF(AND(D8562="Legitimate Interest (GDPR Art. 6(1)(f))", L8562=""), "Gap - Missing LIA", IF(AND(G8562="Yes", H8562=""), "Gap - Missing Art. 9 Basis", IF(OR(I8562="Invalid - Not Freely Given", I8562="Invalid - Not Specific", I8562="Invalid - Not Informed", I8562="Invalid - Ambiguous"), "Gap - Invalid Consent", "Compliant")))))</f>
        <v/>
      </c>
      <c r="O8562" s="7" t="n"/>
    </row>
    <row r="8563">
      <c r="A8563" s="7" t="n"/>
      <c r="B8563" s="7" t="n"/>
      <c r="C8563" s="7" t="n"/>
      <c r="D8563" s="7" t="n"/>
      <c r="E8563" s="7" t="n"/>
      <c r="F8563" s="7" t="n"/>
      <c r="G8563" s="7" t="n"/>
      <c r="H8563" s="7" t="n"/>
      <c r="I8563" s="7" t="n"/>
      <c r="J8563" s="7" t="n"/>
      <c r="K8563">
        <f>IF(D8563="Legitimate Interest (GDPR Art. 6(1)(f))", "Yes / Required (Sheet 3)", "")</f>
        <v/>
      </c>
      <c r="L8563" s="7" t="n"/>
      <c r="M8563" s="7" t="n"/>
      <c r="N8563">
        <f>IF(D8563="", "Gap - No Legal Basis", IF(AND(D8563="Consent (GDPR Art. 6(1)(a))", I8563="Not Captured"), "Gap - Invalid Consent", IF(AND(D8563="Legitimate Interest (GDPR Art. 6(1)(f))", L8563=""), "Gap - Missing LIA", IF(AND(G8563="Yes", H8563=""), "Gap - Missing Art. 9 Basis", IF(OR(I8563="Invalid - Not Freely Given", I8563="Invalid - Not Specific", I8563="Invalid - Not Informed", I8563="Invalid - Ambiguous"), "Gap - Invalid Consent", "Compliant")))))</f>
        <v/>
      </c>
      <c r="O8563" s="7" t="n"/>
    </row>
    <row r="8564">
      <c r="A8564" s="7" t="n"/>
      <c r="B8564" s="7" t="n"/>
      <c r="C8564" s="7" t="n"/>
      <c r="D8564" s="7" t="n"/>
      <c r="E8564" s="7" t="n"/>
      <c r="F8564" s="7" t="n"/>
      <c r="G8564" s="7" t="n"/>
      <c r="H8564" s="7" t="n"/>
      <c r="I8564" s="7" t="n"/>
      <c r="J8564" s="7" t="n"/>
      <c r="K8564">
        <f>IF(D8564="Legitimate Interest (GDPR Art. 6(1)(f))", "Yes / Required (Sheet 3)", "")</f>
        <v/>
      </c>
      <c r="L8564" s="7" t="n"/>
      <c r="M8564" s="7" t="n"/>
      <c r="N8564">
        <f>IF(D8564="", "Gap - No Legal Basis", IF(AND(D8564="Consent (GDPR Art. 6(1)(a))", I8564="Not Captured"), "Gap - Invalid Consent", IF(AND(D8564="Legitimate Interest (GDPR Art. 6(1)(f))", L8564=""), "Gap - Missing LIA", IF(AND(G8564="Yes", H8564=""), "Gap - Missing Art. 9 Basis", IF(OR(I8564="Invalid - Not Freely Given", I8564="Invalid - Not Specific", I8564="Invalid - Not Informed", I8564="Invalid - Ambiguous"), "Gap - Invalid Consent", "Compliant")))))</f>
        <v/>
      </c>
      <c r="O8564" s="7" t="n"/>
    </row>
    <row r="8565">
      <c r="A8565" s="7" t="n"/>
      <c r="B8565" s="7" t="n"/>
      <c r="C8565" s="7" t="n"/>
      <c r="D8565" s="7" t="n"/>
      <c r="E8565" s="7" t="n"/>
      <c r="F8565" s="7" t="n"/>
      <c r="G8565" s="7" t="n"/>
      <c r="H8565" s="7" t="n"/>
      <c r="I8565" s="7" t="n"/>
      <c r="J8565" s="7" t="n"/>
      <c r="K8565">
        <f>IF(D8565="Legitimate Interest (GDPR Art. 6(1)(f))", "Yes / Required (Sheet 3)", "")</f>
        <v/>
      </c>
      <c r="L8565" s="7" t="n"/>
      <c r="M8565" s="7" t="n"/>
      <c r="N8565">
        <f>IF(D8565="", "Gap - No Legal Basis", IF(AND(D8565="Consent (GDPR Art. 6(1)(a))", I8565="Not Captured"), "Gap - Invalid Consent", IF(AND(D8565="Legitimate Interest (GDPR Art. 6(1)(f))", L8565=""), "Gap - Missing LIA", IF(AND(G8565="Yes", H8565=""), "Gap - Missing Art. 9 Basis", IF(OR(I8565="Invalid - Not Freely Given", I8565="Invalid - Not Specific", I8565="Invalid - Not Informed", I8565="Invalid - Ambiguous"), "Gap - Invalid Consent", "Compliant")))))</f>
        <v/>
      </c>
      <c r="O8565" s="7" t="n"/>
    </row>
    <row r="8566">
      <c r="A8566" s="7" t="n"/>
      <c r="B8566" s="7" t="n"/>
      <c r="C8566" s="7" t="n"/>
      <c r="D8566" s="7" t="n"/>
      <c r="E8566" s="7" t="n"/>
      <c r="F8566" s="7" t="n"/>
      <c r="G8566" s="7" t="n"/>
      <c r="H8566" s="7" t="n"/>
      <c r="I8566" s="7" t="n"/>
      <c r="J8566" s="7" t="n"/>
      <c r="K8566">
        <f>IF(D8566="Legitimate Interest (GDPR Art. 6(1)(f))", "Yes / Required (Sheet 3)", "")</f>
        <v/>
      </c>
      <c r="L8566" s="7" t="n"/>
      <c r="M8566" s="7" t="n"/>
      <c r="N8566">
        <f>IF(D8566="", "Gap - No Legal Basis", IF(AND(D8566="Consent (GDPR Art. 6(1)(a))", I8566="Not Captured"), "Gap - Invalid Consent", IF(AND(D8566="Legitimate Interest (GDPR Art. 6(1)(f))", L8566=""), "Gap - Missing LIA", IF(AND(G8566="Yes", H8566=""), "Gap - Missing Art. 9 Basis", IF(OR(I8566="Invalid - Not Freely Given", I8566="Invalid - Not Specific", I8566="Invalid - Not Informed", I8566="Invalid - Ambiguous"), "Gap - Invalid Consent", "Compliant")))))</f>
        <v/>
      </c>
      <c r="O8566" s="7" t="n"/>
    </row>
    <row r="8567">
      <c r="A8567" s="7" t="n"/>
      <c r="B8567" s="7" t="n"/>
      <c r="C8567" s="7" t="n"/>
      <c r="D8567" s="7" t="n"/>
      <c r="E8567" s="7" t="n"/>
      <c r="F8567" s="7" t="n"/>
      <c r="G8567" s="7" t="n"/>
      <c r="H8567" s="7" t="n"/>
      <c r="I8567" s="7" t="n"/>
      <c r="J8567" s="7" t="n"/>
      <c r="K8567">
        <f>IF(D8567="Legitimate Interest (GDPR Art. 6(1)(f))", "Yes / Required (Sheet 3)", "")</f>
        <v/>
      </c>
      <c r="L8567" s="7" t="n"/>
      <c r="M8567" s="7" t="n"/>
      <c r="N8567">
        <f>IF(D8567="", "Gap - No Legal Basis", IF(AND(D8567="Consent (GDPR Art. 6(1)(a))", I8567="Not Captured"), "Gap - Invalid Consent", IF(AND(D8567="Legitimate Interest (GDPR Art. 6(1)(f))", L8567=""), "Gap - Missing LIA", IF(AND(G8567="Yes", H8567=""), "Gap - Missing Art. 9 Basis", IF(OR(I8567="Invalid - Not Freely Given", I8567="Invalid - Not Specific", I8567="Invalid - Not Informed", I8567="Invalid - Ambiguous"), "Gap - Invalid Consent", "Compliant")))))</f>
        <v/>
      </c>
      <c r="O8567" s="7" t="n"/>
    </row>
    <row r="8568">
      <c r="A8568" s="7" t="n"/>
      <c r="B8568" s="7" t="n"/>
      <c r="C8568" s="7" t="n"/>
      <c r="D8568" s="7" t="n"/>
      <c r="E8568" s="7" t="n"/>
      <c r="F8568" s="7" t="n"/>
      <c r="G8568" s="7" t="n"/>
      <c r="H8568" s="7" t="n"/>
      <c r="I8568" s="7" t="n"/>
      <c r="J8568" s="7" t="n"/>
      <c r="K8568">
        <f>IF(D8568="Legitimate Interest (GDPR Art. 6(1)(f))", "Yes / Required (Sheet 3)", "")</f>
        <v/>
      </c>
      <c r="L8568" s="7" t="n"/>
      <c r="M8568" s="7" t="n"/>
      <c r="N8568">
        <f>IF(D8568="", "Gap - No Legal Basis", IF(AND(D8568="Consent (GDPR Art. 6(1)(a))", I8568="Not Captured"), "Gap - Invalid Consent", IF(AND(D8568="Legitimate Interest (GDPR Art. 6(1)(f))", L8568=""), "Gap - Missing LIA", IF(AND(G8568="Yes", H8568=""), "Gap - Missing Art. 9 Basis", IF(OR(I8568="Invalid - Not Freely Given", I8568="Invalid - Not Specific", I8568="Invalid - Not Informed", I8568="Invalid - Ambiguous"), "Gap - Invalid Consent", "Compliant")))))</f>
        <v/>
      </c>
      <c r="O8568" s="7" t="n"/>
    </row>
    <row r="8569">
      <c r="A8569" s="7" t="n"/>
      <c r="B8569" s="7" t="n"/>
      <c r="C8569" s="7" t="n"/>
      <c r="D8569" s="7" t="n"/>
      <c r="E8569" s="7" t="n"/>
      <c r="F8569" s="7" t="n"/>
      <c r="G8569" s="7" t="n"/>
      <c r="H8569" s="7" t="n"/>
      <c r="I8569" s="7" t="n"/>
      <c r="J8569" s="7" t="n"/>
      <c r="K8569">
        <f>IF(D8569="Legitimate Interest (GDPR Art. 6(1)(f))", "Yes / Required (Sheet 3)", "")</f>
        <v/>
      </c>
      <c r="L8569" s="7" t="n"/>
      <c r="M8569" s="7" t="n"/>
      <c r="N8569">
        <f>IF(D8569="", "Gap - No Legal Basis", IF(AND(D8569="Consent (GDPR Art. 6(1)(a))", I8569="Not Captured"), "Gap - Invalid Consent", IF(AND(D8569="Legitimate Interest (GDPR Art. 6(1)(f))", L8569=""), "Gap - Missing LIA", IF(AND(G8569="Yes", H8569=""), "Gap - Missing Art. 9 Basis", IF(OR(I8569="Invalid - Not Freely Given", I8569="Invalid - Not Specific", I8569="Invalid - Not Informed", I8569="Invalid - Ambiguous"), "Gap - Invalid Consent", "Compliant")))))</f>
        <v/>
      </c>
      <c r="O8569" s="7" t="n"/>
    </row>
    <row r="8570">
      <c r="A8570" s="7" t="n"/>
      <c r="B8570" s="7" t="n"/>
      <c r="C8570" s="7" t="n"/>
      <c r="D8570" s="7" t="n"/>
      <c r="E8570" s="7" t="n"/>
      <c r="F8570" s="7" t="n"/>
      <c r="G8570" s="7" t="n"/>
      <c r="H8570" s="7" t="n"/>
      <c r="I8570" s="7" t="n"/>
      <c r="J8570" s="7" t="n"/>
      <c r="K8570">
        <f>IF(D8570="Legitimate Interest (GDPR Art. 6(1)(f))", "Yes / Required (Sheet 3)", "")</f>
        <v/>
      </c>
      <c r="L8570" s="7" t="n"/>
      <c r="M8570" s="7" t="n"/>
      <c r="N8570">
        <f>IF(D8570="", "Gap - No Legal Basis", IF(AND(D8570="Consent (GDPR Art. 6(1)(a))", I8570="Not Captured"), "Gap - Invalid Consent", IF(AND(D8570="Legitimate Interest (GDPR Art. 6(1)(f))", L8570=""), "Gap - Missing LIA", IF(AND(G8570="Yes", H8570=""), "Gap - Missing Art. 9 Basis", IF(OR(I8570="Invalid - Not Freely Given", I8570="Invalid - Not Specific", I8570="Invalid - Not Informed", I8570="Invalid - Ambiguous"), "Gap - Invalid Consent", "Compliant")))))</f>
        <v/>
      </c>
      <c r="O8570" s="7" t="n"/>
    </row>
    <row r="8571">
      <c r="A8571" s="7" t="n"/>
      <c r="B8571" s="7" t="n"/>
      <c r="C8571" s="7" t="n"/>
      <c r="D8571" s="7" t="n"/>
      <c r="E8571" s="7" t="n"/>
      <c r="F8571" s="7" t="n"/>
      <c r="G8571" s="7" t="n"/>
      <c r="H8571" s="7" t="n"/>
      <c r="I8571" s="7" t="n"/>
      <c r="J8571" s="7" t="n"/>
      <c r="K8571">
        <f>IF(D8571="Legitimate Interest (GDPR Art. 6(1)(f))", "Yes / Required (Sheet 3)", "")</f>
        <v/>
      </c>
      <c r="L8571" s="7" t="n"/>
      <c r="M8571" s="7" t="n"/>
      <c r="N8571">
        <f>IF(D8571="", "Gap - No Legal Basis", IF(AND(D8571="Consent (GDPR Art. 6(1)(a))", I8571="Not Captured"), "Gap - Invalid Consent", IF(AND(D8571="Legitimate Interest (GDPR Art. 6(1)(f))", L8571=""), "Gap - Missing LIA", IF(AND(G8571="Yes", H8571=""), "Gap - Missing Art. 9 Basis", IF(OR(I8571="Invalid - Not Freely Given", I8571="Invalid - Not Specific", I8571="Invalid - Not Informed", I8571="Invalid - Ambiguous"), "Gap - Invalid Consent", "Compliant")))))</f>
        <v/>
      </c>
      <c r="O8571" s="7" t="n"/>
    </row>
    <row r="8572">
      <c r="A8572" s="7" t="n"/>
      <c r="B8572" s="7" t="n"/>
      <c r="C8572" s="7" t="n"/>
      <c r="D8572" s="7" t="n"/>
      <c r="E8572" s="7" t="n"/>
      <c r="F8572" s="7" t="n"/>
      <c r="G8572" s="7" t="n"/>
      <c r="H8572" s="7" t="n"/>
      <c r="I8572" s="7" t="n"/>
      <c r="J8572" s="7" t="n"/>
      <c r="K8572">
        <f>IF(D8572="Legitimate Interest (GDPR Art. 6(1)(f))", "Yes / Required (Sheet 3)", "")</f>
        <v/>
      </c>
      <c r="L8572" s="7" t="n"/>
      <c r="M8572" s="7" t="n"/>
      <c r="N8572">
        <f>IF(D8572="", "Gap - No Legal Basis", IF(AND(D8572="Consent (GDPR Art. 6(1)(a))", I8572="Not Captured"), "Gap - Invalid Consent", IF(AND(D8572="Legitimate Interest (GDPR Art. 6(1)(f))", L8572=""), "Gap - Missing LIA", IF(AND(G8572="Yes", H8572=""), "Gap - Missing Art. 9 Basis", IF(OR(I8572="Invalid - Not Freely Given", I8572="Invalid - Not Specific", I8572="Invalid - Not Informed", I8572="Invalid - Ambiguous"), "Gap - Invalid Consent", "Compliant")))))</f>
        <v/>
      </c>
      <c r="O8572" s="7" t="n"/>
    </row>
    <row r="8573">
      <c r="A8573" s="7" t="n"/>
      <c r="B8573" s="7" t="n"/>
      <c r="C8573" s="7" t="n"/>
      <c r="D8573" s="7" t="n"/>
      <c r="E8573" s="7" t="n"/>
      <c r="F8573" s="7" t="n"/>
      <c r="G8573" s="7" t="n"/>
      <c r="H8573" s="7" t="n"/>
      <c r="I8573" s="7" t="n"/>
      <c r="J8573" s="7" t="n"/>
      <c r="K8573">
        <f>IF(D8573="Legitimate Interest (GDPR Art. 6(1)(f))", "Yes / Required (Sheet 3)", "")</f>
        <v/>
      </c>
      <c r="L8573" s="7" t="n"/>
      <c r="M8573" s="7" t="n"/>
      <c r="N8573">
        <f>IF(D8573="", "Gap - No Legal Basis", IF(AND(D8573="Consent (GDPR Art. 6(1)(a))", I8573="Not Captured"), "Gap - Invalid Consent", IF(AND(D8573="Legitimate Interest (GDPR Art. 6(1)(f))", L8573=""), "Gap - Missing LIA", IF(AND(G8573="Yes", H8573=""), "Gap - Missing Art. 9 Basis", IF(OR(I8573="Invalid - Not Freely Given", I8573="Invalid - Not Specific", I8573="Invalid - Not Informed", I8573="Invalid - Ambiguous"), "Gap - Invalid Consent", "Compliant")))))</f>
        <v/>
      </c>
      <c r="O8573" s="7" t="n"/>
    </row>
    <row r="8574">
      <c r="A8574" s="7" t="n"/>
      <c r="B8574" s="7" t="n"/>
      <c r="C8574" s="7" t="n"/>
      <c r="D8574" s="7" t="n"/>
      <c r="E8574" s="7" t="n"/>
      <c r="F8574" s="7" t="n"/>
      <c r="G8574" s="7" t="n"/>
      <c r="H8574" s="7" t="n"/>
      <c r="I8574" s="7" t="n"/>
      <c r="J8574" s="7" t="n"/>
      <c r="K8574">
        <f>IF(D8574="Legitimate Interest (GDPR Art. 6(1)(f))", "Yes / Required (Sheet 3)", "")</f>
        <v/>
      </c>
      <c r="L8574" s="7" t="n"/>
      <c r="M8574" s="7" t="n"/>
      <c r="N8574">
        <f>IF(D8574="", "Gap - No Legal Basis", IF(AND(D8574="Consent (GDPR Art. 6(1)(a))", I8574="Not Captured"), "Gap - Invalid Consent", IF(AND(D8574="Legitimate Interest (GDPR Art. 6(1)(f))", L8574=""), "Gap - Missing LIA", IF(AND(G8574="Yes", H8574=""), "Gap - Missing Art. 9 Basis", IF(OR(I8574="Invalid - Not Freely Given", I8574="Invalid - Not Specific", I8574="Invalid - Not Informed", I8574="Invalid - Ambiguous"), "Gap - Invalid Consent", "Compliant")))))</f>
        <v/>
      </c>
      <c r="O8574" s="7" t="n"/>
    </row>
    <row r="8575">
      <c r="A8575" s="7" t="n"/>
      <c r="B8575" s="7" t="n"/>
      <c r="C8575" s="7" t="n"/>
      <c r="D8575" s="7" t="n"/>
      <c r="E8575" s="7" t="n"/>
      <c r="F8575" s="7" t="n"/>
      <c r="G8575" s="7" t="n"/>
      <c r="H8575" s="7" t="n"/>
      <c r="I8575" s="7" t="n"/>
      <c r="J8575" s="7" t="n"/>
      <c r="K8575">
        <f>IF(D8575="Legitimate Interest (GDPR Art. 6(1)(f))", "Yes / Required (Sheet 3)", "")</f>
        <v/>
      </c>
      <c r="L8575" s="7" t="n"/>
      <c r="M8575" s="7" t="n"/>
      <c r="N8575">
        <f>IF(D8575="", "Gap - No Legal Basis", IF(AND(D8575="Consent (GDPR Art. 6(1)(a))", I8575="Not Captured"), "Gap - Invalid Consent", IF(AND(D8575="Legitimate Interest (GDPR Art. 6(1)(f))", L8575=""), "Gap - Missing LIA", IF(AND(G8575="Yes", H8575=""), "Gap - Missing Art. 9 Basis", IF(OR(I8575="Invalid - Not Freely Given", I8575="Invalid - Not Specific", I8575="Invalid - Not Informed", I8575="Invalid - Ambiguous"), "Gap - Invalid Consent", "Compliant")))))</f>
        <v/>
      </c>
      <c r="O8575" s="7" t="n"/>
    </row>
    <row r="8576">
      <c r="A8576" s="7" t="n"/>
      <c r="B8576" s="7" t="n"/>
      <c r="C8576" s="7" t="n"/>
      <c r="D8576" s="7" t="n"/>
      <c r="E8576" s="7" t="n"/>
      <c r="F8576" s="7" t="n"/>
      <c r="G8576" s="7" t="n"/>
      <c r="H8576" s="7" t="n"/>
      <c r="I8576" s="7" t="n"/>
      <c r="J8576" s="7" t="n"/>
      <c r="K8576">
        <f>IF(D8576="Legitimate Interest (GDPR Art. 6(1)(f))", "Yes / Required (Sheet 3)", "")</f>
        <v/>
      </c>
      <c r="L8576" s="7" t="n"/>
      <c r="M8576" s="7" t="n"/>
      <c r="N8576">
        <f>IF(D8576="", "Gap - No Legal Basis", IF(AND(D8576="Consent (GDPR Art. 6(1)(a))", I8576="Not Captured"), "Gap - Invalid Consent", IF(AND(D8576="Legitimate Interest (GDPR Art. 6(1)(f))", L8576=""), "Gap - Missing LIA", IF(AND(G8576="Yes", H8576=""), "Gap - Missing Art. 9 Basis", IF(OR(I8576="Invalid - Not Freely Given", I8576="Invalid - Not Specific", I8576="Invalid - Not Informed", I8576="Invalid - Ambiguous"), "Gap - Invalid Consent", "Compliant")))))</f>
        <v/>
      </c>
      <c r="O8576" s="7" t="n"/>
    </row>
    <row r="8577">
      <c r="A8577" s="7" t="n"/>
      <c r="B8577" s="7" t="n"/>
      <c r="C8577" s="7" t="n"/>
      <c r="D8577" s="7" t="n"/>
      <c r="E8577" s="7" t="n"/>
      <c r="F8577" s="7" t="n"/>
      <c r="G8577" s="7" t="n"/>
      <c r="H8577" s="7" t="n"/>
      <c r="I8577" s="7" t="n"/>
      <c r="J8577" s="7" t="n"/>
      <c r="K8577">
        <f>IF(D8577="Legitimate Interest (GDPR Art. 6(1)(f))", "Yes / Required (Sheet 3)", "")</f>
        <v/>
      </c>
      <c r="L8577" s="7" t="n"/>
      <c r="M8577" s="7" t="n"/>
      <c r="N8577">
        <f>IF(D8577="", "Gap - No Legal Basis", IF(AND(D8577="Consent (GDPR Art. 6(1)(a))", I8577="Not Captured"), "Gap - Invalid Consent", IF(AND(D8577="Legitimate Interest (GDPR Art. 6(1)(f))", L8577=""), "Gap - Missing LIA", IF(AND(G8577="Yes", H8577=""), "Gap - Missing Art. 9 Basis", IF(OR(I8577="Invalid - Not Freely Given", I8577="Invalid - Not Specific", I8577="Invalid - Not Informed", I8577="Invalid - Ambiguous"), "Gap - Invalid Consent", "Compliant")))))</f>
        <v/>
      </c>
      <c r="O8577" s="7" t="n"/>
    </row>
    <row r="8578">
      <c r="A8578" s="7" t="n"/>
      <c r="B8578" s="7" t="n"/>
      <c r="C8578" s="7" t="n"/>
      <c r="D8578" s="7" t="n"/>
      <c r="E8578" s="7" t="n"/>
      <c r="F8578" s="7" t="n"/>
      <c r="G8578" s="7" t="n"/>
      <c r="H8578" s="7" t="n"/>
      <c r="I8578" s="7" t="n"/>
      <c r="J8578" s="7" t="n"/>
      <c r="K8578">
        <f>IF(D8578="Legitimate Interest (GDPR Art. 6(1)(f))", "Yes / Required (Sheet 3)", "")</f>
        <v/>
      </c>
      <c r="L8578" s="7" t="n"/>
      <c r="M8578" s="7" t="n"/>
      <c r="N8578">
        <f>IF(D8578="", "Gap - No Legal Basis", IF(AND(D8578="Consent (GDPR Art. 6(1)(a))", I8578="Not Captured"), "Gap - Invalid Consent", IF(AND(D8578="Legitimate Interest (GDPR Art. 6(1)(f))", L8578=""), "Gap - Missing LIA", IF(AND(G8578="Yes", H8578=""), "Gap - Missing Art. 9 Basis", IF(OR(I8578="Invalid - Not Freely Given", I8578="Invalid - Not Specific", I8578="Invalid - Not Informed", I8578="Invalid - Ambiguous"), "Gap - Invalid Consent", "Compliant")))))</f>
        <v/>
      </c>
      <c r="O8578" s="7" t="n"/>
    </row>
    <row r="8579">
      <c r="A8579" s="7" t="n"/>
      <c r="B8579" s="7" t="n"/>
      <c r="C8579" s="7" t="n"/>
      <c r="D8579" s="7" t="n"/>
      <c r="E8579" s="7" t="n"/>
      <c r="F8579" s="7" t="n"/>
      <c r="G8579" s="7" t="n"/>
      <c r="H8579" s="7" t="n"/>
      <c r="I8579" s="7" t="n"/>
      <c r="J8579" s="7" t="n"/>
      <c r="K8579">
        <f>IF(D8579="Legitimate Interest (GDPR Art. 6(1)(f))", "Yes / Required (Sheet 3)", "")</f>
        <v/>
      </c>
      <c r="L8579" s="7" t="n"/>
      <c r="M8579" s="7" t="n"/>
      <c r="N8579">
        <f>IF(D8579="", "Gap - No Legal Basis", IF(AND(D8579="Consent (GDPR Art. 6(1)(a))", I8579="Not Captured"), "Gap - Invalid Consent", IF(AND(D8579="Legitimate Interest (GDPR Art. 6(1)(f))", L8579=""), "Gap - Missing LIA", IF(AND(G8579="Yes", H8579=""), "Gap - Missing Art. 9 Basis", IF(OR(I8579="Invalid - Not Freely Given", I8579="Invalid - Not Specific", I8579="Invalid - Not Informed", I8579="Invalid - Ambiguous"), "Gap - Invalid Consent", "Compliant")))))</f>
        <v/>
      </c>
      <c r="O8579" s="7" t="n"/>
    </row>
    <row r="8580">
      <c r="A8580" s="7" t="n"/>
      <c r="B8580" s="7" t="n"/>
      <c r="C8580" s="7" t="n"/>
      <c r="D8580" s="7" t="n"/>
      <c r="E8580" s="7" t="n"/>
      <c r="F8580" s="7" t="n"/>
      <c r="G8580" s="7" t="n"/>
      <c r="H8580" s="7" t="n"/>
      <c r="I8580" s="7" t="n"/>
      <c r="J8580" s="7" t="n"/>
      <c r="K8580">
        <f>IF(D8580="Legitimate Interest (GDPR Art. 6(1)(f))", "Yes / Required (Sheet 3)", "")</f>
        <v/>
      </c>
      <c r="L8580" s="7" t="n"/>
      <c r="M8580" s="7" t="n"/>
      <c r="N8580">
        <f>IF(D8580="", "Gap - No Legal Basis", IF(AND(D8580="Consent (GDPR Art. 6(1)(a))", I8580="Not Captured"), "Gap - Invalid Consent", IF(AND(D8580="Legitimate Interest (GDPR Art. 6(1)(f))", L8580=""), "Gap - Missing LIA", IF(AND(G8580="Yes", H8580=""), "Gap - Missing Art. 9 Basis", IF(OR(I8580="Invalid - Not Freely Given", I8580="Invalid - Not Specific", I8580="Invalid - Not Informed", I8580="Invalid - Ambiguous"), "Gap - Invalid Consent", "Compliant")))))</f>
        <v/>
      </c>
      <c r="O8580" s="7" t="n"/>
    </row>
    <row r="8581">
      <c r="A8581" s="7" t="n"/>
      <c r="B8581" s="7" t="n"/>
      <c r="C8581" s="7" t="n"/>
      <c r="D8581" s="7" t="n"/>
      <c r="E8581" s="7" t="n"/>
      <c r="F8581" s="7" t="n"/>
      <c r="G8581" s="7" t="n"/>
      <c r="H8581" s="7" t="n"/>
      <c r="I8581" s="7" t="n"/>
      <c r="J8581" s="7" t="n"/>
      <c r="K8581">
        <f>IF(D8581="Legitimate Interest (GDPR Art. 6(1)(f))", "Yes / Required (Sheet 3)", "")</f>
        <v/>
      </c>
      <c r="L8581" s="7" t="n"/>
      <c r="M8581" s="7" t="n"/>
      <c r="N8581">
        <f>IF(D8581="", "Gap - No Legal Basis", IF(AND(D8581="Consent (GDPR Art. 6(1)(a))", I8581="Not Captured"), "Gap - Invalid Consent", IF(AND(D8581="Legitimate Interest (GDPR Art. 6(1)(f))", L8581=""), "Gap - Missing LIA", IF(AND(G8581="Yes", H8581=""), "Gap - Missing Art. 9 Basis", IF(OR(I8581="Invalid - Not Freely Given", I8581="Invalid - Not Specific", I8581="Invalid - Not Informed", I8581="Invalid - Ambiguous"), "Gap - Invalid Consent", "Compliant")))))</f>
        <v/>
      </c>
      <c r="O8581" s="7" t="n"/>
    </row>
    <row r="8582">
      <c r="A8582" s="7" t="n"/>
      <c r="B8582" s="7" t="n"/>
      <c r="C8582" s="7" t="n"/>
      <c r="D8582" s="7" t="n"/>
      <c r="E8582" s="7" t="n"/>
      <c r="F8582" s="7" t="n"/>
      <c r="G8582" s="7" t="n"/>
      <c r="H8582" s="7" t="n"/>
      <c r="I8582" s="7" t="n"/>
      <c r="J8582" s="7" t="n"/>
      <c r="K8582">
        <f>IF(D8582="Legitimate Interest (GDPR Art. 6(1)(f))", "Yes / Required (Sheet 3)", "")</f>
        <v/>
      </c>
      <c r="L8582" s="7" t="n"/>
      <c r="M8582" s="7" t="n"/>
      <c r="N8582">
        <f>IF(D8582="", "Gap - No Legal Basis", IF(AND(D8582="Consent (GDPR Art. 6(1)(a))", I8582="Not Captured"), "Gap - Invalid Consent", IF(AND(D8582="Legitimate Interest (GDPR Art. 6(1)(f))", L8582=""), "Gap - Missing LIA", IF(AND(G8582="Yes", H8582=""), "Gap - Missing Art. 9 Basis", IF(OR(I8582="Invalid - Not Freely Given", I8582="Invalid - Not Specific", I8582="Invalid - Not Informed", I8582="Invalid - Ambiguous"), "Gap - Invalid Consent", "Compliant")))))</f>
        <v/>
      </c>
      <c r="O8582" s="7" t="n"/>
    </row>
    <row r="8583">
      <c r="A8583" s="7" t="n"/>
      <c r="B8583" s="7" t="n"/>
      <c r="C8583" s="7" t="n"/>
      <c r="D8583" s="7" t="n"/>
      <c r="E8583" s="7" t="n"/>
      <c r="F8583" s="7" t="n"/>
      <c r="G8583" s="7" t="n"/>
      <c r="H8583" s="7" t="n"/>
      <c r="I8583" s="7" t="n"/>
      <c r="J8583" s="7" t="n"/>
      <c r="K8583">
        <f>IF(D8583="Legitimate Interest (GDPR Art. 6(1)(f))", "Yes / Required (Sheet 3)", "")</f>
        <v/>
      </c>
      <c r="L8583" s="7" t="n"/>
      <c r="M8583" s="7" t="n"/>
      <c r="N8583">
        <f>IF(D8583="", "Gap - No Legal Basis", IF(AND(D8583="Consent (GDPR Art. 6(1)(a))", I8583="Not Captured"), "Gap - Invalid Consent", IF(AND(D8583="Legitimate Interest (GDPR Art. 6(1)(f))", L8583=""), "Gap - Missing LIA", IF(AND(G8583="Yes", H8583=""), "Gap - Missing Art. 9 Basis", IF(OR(I8583="Invalid - Not Freely Given", I8583="Invalid - Not Specific", I8583="Invalid - Not Informed", I8583="Invalid - Ambiguous"), "Gap - Invalid Consent", "Compliant")))))</f>
        <v/>
      </c>
      <c r="O8583" s="7" t="n"/>
    </row>
    <row r="8584">
      <c r="A8584" s="7" t="n"/>
      <c r="B8584" s="7" t="n"/>
      <c r="C8584" s="7" t="n"/>
      <c r="D8584" s="7" t="n"/>
      <c r="E8584" s="7" t="n"/>
      <c r="F8584" s="7" t="n"/>
      <c r="G8584" s="7" t="n"/>
      <c r="H8584" s="7" t="n"/>
      <c r="I8584" s="7" t="n"/>
      <c r="J8584" s="7" t="n"/>
      <c r="K8584">
        <f>IF(D8584="Legitimate Interest (GDPR Art. 6(1)(f))", "Yes / Required (Sheet 3)", "")</f>
        <v/>
      </c>
      <c r="L8584" s="7" t="n"/>
      <c r="M8584" s="7" t="n"/>
      <c r="N8584">
        <f>IF(D8584="", "Gap - No Legal Basis", IF(AND(D8584="Consent (GDPR Art. 6(1)(a))", I8584="Not Captured"), "Gap - Invalid Consent", IF(AND(D8584="Legitimate Interest (GDPR Art. 6(1)(f))", L8584=""), "Gap - Missing LIA", IF(AND(G8584="Yes", H8584=""), "Gap - Missing Art. 9 Basis", IF(OR(I8584="Invalid - Not Freely Given", I8584="Invalid - Not Specific", I8584="Invalid - Not Informed", I8584="Invalid - Ambiguous"), "Gap - Invalid Consent", "Compliant")))))</f>
        <v/>
      </c>
      <c r="O8584" s="7" t="n"/>
    </row>
    <row r="8585">
      <c r="A8585" s="7" t="n"/>
      <c r="B8585" s="7" t="n"/>
      <c r="C8585" s="7" t="n"/>
      <c r="D8585" s="7" t="n"/>
      <c r="E8585" s="7" t="n"/>
      <c r="F8585" s="7" t="n"/>
      <c r="G8585" s="7" t="n"/>
      <c r="H8585" s="7" t="n"/>
      <c r="I8585" s="7" t="n"/>
      <c r="J8585" s="7" t="n"/>
      <c r="K8585">
        <f>IF(D8585="Legitimate Interest (GDPR Art. 6(1)(f))", "Yes / Required (Sheet 3)", "")</f>
        <v/>
      </c>
      <c r="L8585" s="7" t="n"/>
      <c r="M8585" s="7" t="n"/>
      <c r="N8585">
        <f>IF(D8585="", "Gap - No Legal Basis", IF(AND(D8585="Consent (GDPR Art. 6(1)(a))", I8585="Not Captured"), "Gap - Invalid Consent", IF(AND(D8585="Legitimate Interest (GDPR Art. 6(1)(f))", L8585=""), "Gap - Missing LIA", IF(AND(G8585="Yes", H8585=""), "Gap - Missing Art. 9 Basis", IF(OR(I8585="Invalid - Not Freely Given", I8585="Invalid - Not Specific", I8585="Invalid - Not Informed", I8585="Invalid - Ambiguous"), "Gap - Invalid Consent", "Compliant")))))</f>
        <v/>
      </c>
      <c r="O8585" s="7" t="n"/>
    </row>
    <row r="8586">
      <c r="A8586" s="7" t="n"/>
      <c r="B8586" s="7" t="n"/>
      <c r="C8586" s="7" t="n"/>
      <c r="D8586" s="7" t="n"/>
      <c r="E8586" s="7" t="n"/>
      <c r="F8586" s="7" t="n"/>
      <c r="G8586" s="7" t="n"/>
      <c r="H8586" s="7" t="n"/>
      <c r="I8586" s="7" t="n"/>
      <c r="J8586" s="7" t="n"/>
      <c r="K8586">
        <f>IF(D8586="Legitimate Interest (GDPR Art. 6(1)(f))", "Yes / Required (Sheet 3)", "")</f>
        <v/>
      </c>
      <c r="L8586" s="7" t="n"/>
      <c r="M8586" s="7" t="n"/>
      <c r="N8586">
        <f>IF(D8586="", "Gap - No Legal Basis", IF(AND(D8586="Consent (GDPR Art. 6(1)(a))", I8586="Not Captured"), "Gap - Invalid Consent", IF(AND(D8586="Legitimate Interest (GDPR Art. 6(1)(f))", L8586=""), "Gap - Missing LIA", IF(AND(G8586="Yes", H8586=""), "Gap - Missing Art. 9 Basis", IF(OR(I8586="Invalid - Not Freely Given", I8586="Invalid - Not Specific", I8586="Invalid - Not Informed", I8586="Invalid - Ambiguous"), "Gap - Invalid Consent", "Compliant")))))</f>
        <v/>
      </c>
      <c r="O8586" s="7" t="n"/>
    </row>
    <row r="8587">
      <c r="A8587" s="7" t="n"/>
      <c r="B8587" s="7" t="n"/>
      <c r="C8587" s="7" t="n"/>
      <c r="D8587" s="7" t="n"/>
      <c r="E8587" s="7" t="n"/>
      <c r="F8587" s="7" t="n"/>
      <c r="G8587" s="7" t="n"/>
      <c r="H8587" s="7" t="n"/>
      <c r="I8587" s="7" t="n"/>
      <c r="J8587" s="7" t="n"/>
      <c r="K8587">
        <f>IF(D8587="Legitimate Interest (GDPR Art. 6(1)(f))", "Yes / Required (Sheet 3)", "")</f>
        <v/>
      </c>
      <c r="L8587" s="7" t="n"/>
      <c r="M8587" s="7" t="n"/>
      <c r="N8587">
        <f>IF(D8587="", "Gap - No Legal Basis", IF(AND(D8587="Consent (GDPR Art. 6(1)(a))", I8587="Not Captured"), "Gap - Invalid Consent", IF(AND(D8587="Legitimate Interest (GDPR Art. 6(1)(f))", L8587=""), "Gap - Missing LIA", IF(AND(G8587="Yes", H8587=""), "Gap - Missing Art. 9 Basis", IF(OR(I8587="Invalid - Not Freely Given", I8587="Invalid - Not Specific", I8587="Invalid - Not Informed", I8587="Invalid - Ambiguous"), "Gap - Invalid Consent", "Compliant")))))</f>
        <v/>
      </c>
      <c r="O8587" s="7" t="n"/>
    </row>
    <row r="8588">
      <c r="A8588" s="7" t="n"/>
      <c r="B8588" s="7" t="n"/>
      <c r="C8588" s="7" t="n"/>
      <c r="D8588" s="7" t="n"/>
      <c r="E8588" s="7" t="n"/>
      <c r="F8588" s="7" t="n"/>
      <c r="G8588" s="7" t="n"/>
      <c r="H8588" s="7" t="n"/>
      <c r="I8588" s="7" t="n"/>
      <c r="J8588" s="7" t="n"/>
      <c r="K8588">
        <f>IF(D8588="Legitimate Interest (GDPR Art. 6(1)(f))", "Yes / Required (Sheet 3)", "")</f>
        <v/>
      </c>
      <c r="L8588" s="7" t="n"/>
      <c r="M8588" s="7" t="n"/>
      <c r="N8588">
        <f>IF(D8588="", "Gap - No Legal Basis", IF(AND(D8588="Consent (GDPR Art. 6(1)(a))", I8588="Not Captured"), "Gap - Invalid Consent", IF(AND(D8588="Legitimate Interest (GDPR Art. 6(1)(f))", L8588=""), "Gap - Missing LIA", IF(AND(G8588="Yes", H8588=""), "Gap - Missing Art. 9 Basis", IF(OR(I8588="Invalid - Not Freely Given", I8588="Invalid - Not Specific", I8588="Invalid - Not Informed", I8588="Invalid - Ambiguous"), "Gap - Invalid Consent", "Compliant")))))</f>
        <v/>
      </c>
      <c r="O8588" s="7" t="n"/>
    </row>
    <row r="8589">
      <c r="A8589" s="7" t="n"/>
      <c r="B8589" s="7" t="n"/>
      <c r="C8589" s="7" t="n"/>
      <c r="D8589" s="7" t="n"/>
      <c r="E8589" s="7" t="n"/>
      <c r="F8589" s="7" t="n"/>
      <c r="G8589" s="7" t="n"/>
      <c r="H8589" s="7" t="n"/>
      <c r="I8589" s="7" t="n"/>
      <c r="J8589" s="7" t="n"/>
      <c r="K8589">
        <f>IF(D8589="Legitimate Interest (GDPR Art. 6(1)(f))", "Yes / Required (Sheet 3)", "")</f>
        <v/>
      </c>
      <c r="L8589" s="7" t="n"/>
      <c r="M8589" s="7" t="n"/>
      <c r="N8589">
        <f>IF(D8589="", "Gap - No Legal Basis", IF(AND(D8589="Consent (GDPR Art. 6(1)(a))", I8589="Not Captured"), "Gap - Invalid Consent", IF(AND(D8589="Legitimate Interest (GDPR Art. 6(1)(f))", L8589=""), "Gap - Missing LIA", IF(AND(G8589="Yes", H8589=""), "Gap - Missing Art. 9 Basis", IF(OR(I8589="Invalid - Not Freely Given", I8589="Invalid - Not Specific", I8589="Invalid - Not Informed", I8589="Invalid - Ambiguous"), "Gap - Invalid Consent", "Compliant")))))</f>
        <v/>
      </c>
      <c r="O8589" s="7" t="n"/>
    </row>
    <row r="8590">
      <c r="A8590" s="7" t="n"/>
      <c r="B8590" s="7" t="n"/>
      <c r="C8590" s="7" t="n"/>
      <c r="D8590" s="7" t="n"/>
      <c r="E8590" s="7" t="n"/>
      <c r="F8590" s="7" t="n"/>
      <c r="G8590" s="7" t="n"/>
      <c r="H8590" s="7" t="n"/>
      <c r="I8590" s="7" t="n"/>
      <c r="J8590" s="7" t="n"/>
      <c r="K8590">
        <f>IF(D8590="Legitimate Interest (GDPR Art. 6(1)(f))", "Yes / Required (Sheet 3)", "")</f>
        <v/>
      </c>
      <c r="L8590" s="7" t="n"/>
      <c r="M8590" s="7" t="n"/>
      <c r="N8590">
        <f>IF(D8590="", "Gap - No Legal Basis", IF(AND(D8590="Consent (GDPR Art. 6(1)(a))", I8590="Not Captured"), "Gap - Invalid Consent", IF(AND(D8590="Legitimate Interest (GDPR Art. 6(1)(f))", L8590=""), "Gap - Missing LIA", IF(AND(G8590="Yes", H8590=""), "Gap - Missing Art. 9 Basis", IF(OR(I8590="Invalid - Not Freely Given", I8590="Invalid - Not Specific", I8590="Invalid - Not Informed", I8590="Invalid - Ambiguous"), "Gap - Invalid Consent", "Compliant")))))</f>
        <v/>
      </c>
      <c r="O8590" s="7" t="n"/>
    </row>
    <row r="8591">
      <c r="A8591" s="7" t="n"/>
      <c r="B8591" s="7" t="n"/>
      <c r="C8591" s="7" t="n"/>
      <c r="D8591" s="7" t="n"/>
      <c r="E8591" s="7" t="n"/>
      <c r="F8591" s="7" t="n"/>
      <c r="G8591" s="7" t="n"/>
      <c r="H8591" s="7" t="n"/>
      <c r="I8591" s="7" t="n"/>
      <c r="J8591" s="7" t="n"/>
      <c r="K8591">
        <f>IF(D8591="Legitimate Interest (GDPR Art. 6(1)(f))", "Yes / Required (Sheet 3)", "")</f>
        <v/>
      </c>
      <c r="L8591" s="7" t="n"/>
      <c r="M8591" s="7" t="n"/>
      <c r="N8591">
        <f>IF(D8591="", "Gap - No Legal Basis", IF(AND(D8591="Consent (GDPR Art. 6(1)(a))", I8591="Not Captured"), "Gap - Invalid Consent", IF(AND(D8591="Legitimate Interest (GDPR Art. 6(1)(f))", L8591=""), "Gap - Missing LIA", IF(AND(G8591="Yes", H8591=""), "Gap - Missing Art. 9 Basis", IF(OR(I8591="Invalid - Not Freely Given", I8591="Invalid - Not Specific", I8591="Invalid - Not Informed", I8591="Invalid - Ambiguous"), "Gap - Invalid Consent", "Compliant")))))</f>
        <v/>
      </c>
      <c r="O8591" s="7" t="n"/>
    </row>
    <row r="8592">
      <c r="A8592" s="7" t="n"/>
      <c r="B8592" s="7" t="n"/>
      <c r="C8592" s="7" t="n"/>
      <c r="D8592" s="7" t="n"/>
      <c r="E8592" s="7" t="n"/>
      <c r="F8592" s="7" t="n"/>
      <c r="G8592" s="7" t="n"/>
      <c r="H8592" s="7" t="n"/>
      <c r="I8592" s="7" t="n"/>
      <c r="J8592" s="7" t="n"/>
      <c r="K8592">
        <f>IF(D8592="Legitimate Interest (GDPR Art. 6(1)(f))", "Yes / Required (Sheet 3)", "")</f>
        <v/>
      </c>
      <c r="L8592" s="7" t="n"/>
      <c r="M8592" s="7" t="n"/>
      <c r="N8592">
        <f>IF(D8592="", "Gap - No Legal Basis", IF(AND(D8592="Consent (GDPR Art. 6(1)(a))", I8592="Not Captured"), "Gap - Invalid Consent", IF(AND(D8592="Legitimate Interest (GDPR Art. 6(1)(f))", L8592=""), "Gap - Missing LIA", IF(AND(G8592="Yes", H8592=""), "Gap - Missing Art. 9 Basis", IF(OR(I8592="Invalid - Not Freely Given", I8592="Invalid - Not Specific", I8592="Invalid - Not Informed", I8592="Invalid - Ambiguous"), "Gap - Invalid Consent", "Compliant")))))</f>
        <v/>
      </c>
      <c r="O8592" s="7" t="n"/>
    </row>
    <row r="8593">
      <c r="A8593" s="7" t="n"/>
      <c r="B8593" s="7" t="n"/>
      <c r="C8593" s="7" t="n"/>
      <c r="D8593" s="7" t="n"/>
      <c r="E8593" s="7" t="n"/>
      <c r="F8593" s="7" t="n"/>
      <c r="G8593" s="7" t="n"/>
      <c r="H8593" s="7" t="n"/>
      <c r="I8593" s="7" t="n"/>
      <c r="J8593" s="7" t="n"/>
      <c r="K8593">
        <f>IF(D8593="Legitimate Interest (GDPR Art. 6(1)(f))", "Yes / Required (Sheet 3)", "")</f>
        <v/>
      </c>
      <c r="L8593" s="7" t="n"/>
      <c r="M8593" s="7" t="n"/>
      <c r="N8593">
        <f>IF(D8593="", "Gap - No Legal Basis", IF(AND(D8593="Consent (GDPR Art. 6(1)(a))", I8593="Not Captured"), "Gap - Invalid Consent", IF(AND(D8593="Legitimate Interest (GDPR Art. 6(1)(f))", L8593=""), "Gap - Missing LIA", IF(AND(G8593="Yes", H8593=""), "Gap - Missing Art. 9 Basis", IF(OR(I8593="Invalid - Not Freely Given", I8593="Invalid - Not Specific", I8593="Invalid - Not Informed", I8593="Invalid - Ambiguous"), "Gap - Invalid Consent", "Compliant")))))</f>
        <v/>
      </c>
      <c r="O8593" s="7" t="n"/>
    </row>
    <row r="8594">
      <c r="A8594" s="7" t="n"/>
      <c r="B8594" s="7" t="n"/>
      <c r="C8594" s="7" t="n"/>
      <c r="D8594" s="7" t="n"/>
      <c r="E8594" s="7" t="n"/>
      <c r="F8594" s="7" t="n"/>
      <c r="G8594" s="7" t="n"/>
      <c r="H8594" s="7" t="n"/>
      <c r="I8594" s="7" t="n"/>
      <c r="J8594" s="7" t="n"/>
      <c r="K8594">
        <f>IF(D8594="Legitimate Interest (GDPR Art. 6(1)(f))", "Yes / Required (Sheet 3)", "")</f>
        <v/>
      </c>
      <c r="L8594" s="7" t="n"/>
      <c r="M8594" s="7" t="n"/>
      <c r="N8594">
        <f>IF(D8594="", "Gap - No Legal Basis", IF(AND(D8594="Consent (GDPR Art. 6(1)(a))", I8594="Not Captured"), "Gap - Invalid Consent", IF(AND(D8594="Legitimate Interest (GDPR Art. 6(1)(f))", L8594=""), "Gap - Missing LIA", IF(AND(G8594="Yes", H8594=""), "Gap - Missing Art. 9 Basis", IF(OR(I8594="Invalid - Not Freely Given", I8594="Invalid - Not Specific", I8594="Invalid - Not Informed", I8594="Invalid - Ambiguous"), "Gap - Invalid Consent", "Compliant")))))</f>
        <v/>
      </c>
      <c r="O8594" s="7" t="n"/>
    </row>
    <row r="8595">
      <c r="A8595" s="7" t="n"/>
      <c r="B8595" s="7" t="n"/>
      <c r="C8595" s="7" t="n"/>
      <c r="D8595" s="7" t="n"/>
      <c r="E8595" s="7" t="n"/>
      <c r="F8595" s="7" t="n"/>
      <c r="G8595" s="7" t="n"/>
      <c r="H8595" s="7" t="n"/>
      <c r="I8595" s="7" t="n"/>
      <c r="J8595" s="7" t="n"/>
      <c r="K8595">
        <f>IF(D8595="Legitimate Interest (GDPR Art. 6(1)(f))", "Yes / Required (Sheet 3)", "")</f>
        <v/>
      </c>
      <c r="L8595" s="7" t="n"/>
      <c r="M8595" s="7" t="n"/>
      <c r="N8595">
        <f>IF(D8595="", "Gap - No Legal Basis", IF(AND(D8595="Consent (GDPR Art. 6(1)(a))", I8595="Not Captured"), "Gap - Invalid Consent", IF(AND(D8595="Legitimate Interest (GDPR Art. 6(1)(f))", L8595=""), "Gap - Missing LIA", IF(AND(G8595="Yes", H8595=""), "Gap - Missing Art. 9 Basis", IF(OR(I8595="Invalid - Not Freely Given", I8595="Invalid - Not Specific", I8595="Invalid - Not Informed", I8595="Invalid - Ambiguous"), "Gap - Invalid Consent", "Compliant")))))</f>
        <v/>
      </c>
      <c r="O8595" s="7" t="n"/>
    </row>
    <row r="8596">
      <c r="A8596" s="7" t="n"/>
      <c r="B8596" s="7" t="n"/>
      <c r="C8596" s="7" t="n"/>
      <c r="D8596" s="7" t="n"/>
      <c r="E8596" s="7" t="n"/>
      <c r="F8596" s="7" t="n"/>
      <c r="G8596" s="7" t="n"/>
      <c r="H8596" s="7" t="n"/>
      <c r="I8596" s="7" t="n"/>
      <c r="J8596" s="7" t="n"/>
      <c r="K8596">
        <f>IF(D8596="Legitimate Interest (GDPR Art. 6(1)(f))", "Yes / Required (Sheet 3)", "")</f>
        <v/>
      </c>
      <c r="L8596" s="7" t="n"/>
      <c r="M8596" s="7" t="n"/>
      <c r="N8596">
        <f>IF(D8596="", "Gap - No Legal Basis", IF(AND(D8596="Consent (GDPR Art. 6(1)(a))", I8596="Not Captured"), "Gap - Invalid Consent", IF(AND(D8596="Legitimate Interest (GDPR Art. 6(1)(f))", L8596=""), "Gap - Missing LIA", IF(AND(G8596="Yes", H8596=""), "Gap - Missing Art. 9 Basis", IF(OR(I8596="Invalid - Not Freely Given", I8596="Invalid - Not Specific", I8596="Invalid - Not Informed", I8596="Invalid - Ambiguous"), "Gap - Invalid Consent", "Compliant")))))</f>
        <v/>
      </c>
      <c r="O8596" s="7" t="n"/>
    </row>
    <row r="8597">
      <c r="A8597" s="7" t="n"/>
      <c r="B8597" s="7" t="n"/>
      <c r="C8597" s="7" t="n"/>
      <c r="D8597" s="7" t="n"/>
      <c r="E8597" s="7" t="n"/>
      <c r="F8597" s="7" t="n"/>
      <c r="G8597" s="7" t="n"/>
      <c r="H8597" s="7" t="n"/>
      <c r="I8597" s="7" t="n"/>
      <c r="J8597" s="7" t="n"/>
      <c r="K8597">
        <f>IF(D8597="Legitimate Interest (GDPR Art. 6(1)(f))", "Yes / Required (Sheet 3)", "")</f>
        <v/>
      </c>
      <c r="L8597" s="7" t="n"/>
      <c r="M8597" s="7" t="n"/>
      <c r="N8597">
        <f>IF(D8597="", "Gap - No Legal Basis", IF(AND(D8597="Consent (GDPR Art. 6(1)(a))", I8597="Not Captured"), "Gap - Invalid Consent", IF(AND(D8597="Legitimate Interest (GDPR Art. 6(1)(f))", L8597=""), "Gap - Missing LIA", IF(AND(G8597="Yes", H8597=""), "Gap - Missing Art. 9 Basis", IF(OR(I8597="Invalid - Not Freely Given", I8597="Invalid - Not Specific", I8597="Invalid - Not Informed", I8597="Invalid - Ambiguous"), "Gap - Invalid Consent", "Compliant")))))</f>
        <v/>
      </c>
      <c r="O8597" s="7" t="n"/>
    </row>
    <row r="8598">
      <c r="A8598" s="7" t="n"/>
      <c r="B8598" s="7" t="n"/>
      <c r="C8598" s="7" t="n"/>
      <c r="D8598" s="7" t="n"/>
      <c r="E8598" s="7" t="n"/>
      <c r="F8598" s="7" t="n"/>
      <c r="G8598" s="7" t="n"/>
      <c r="H8598" s="7" t="n"/>
      <c r="I8598" s="7" t="n"/>
      <c r="J8598" s="7" t="n"/>
      <c r="K8598">
        <f>IF(D8598="Legitimate Interest (GDPR Art. 6(1)(f))", "Yes / Required (Sheet 3)", "")</f>
        <v/>
      </c>
      <c r="L8598" s="7" t="n"/>
      <c r="M8598" s="7" t="n"/>
      <c r="N8598">
        <f>IF(D8598="", "Gap - No Legal Basis", IF(AND(D8598="Consent (GDPR Art. 6(1)(a))", I8598="Not Captured"), "Gap - Invalid Consent", IF(AND(D8598="Legitimate Interest (GDPR Art. 6(1)(f))", L8598=""), "Gap - Missing LIA", IF(AND(G8598="Yes", H8598=""), "Gap - Missing Art. 9 Basis", IF(OR(I8598="Invalid - Not Freely Given", I8598="Invalid - Not Specific", I8598="Invalid - Not Informed", I8598="Invalid - Ambiguous"), "Gap - Invalid Consent", "Compliant")))))</f>
        <v/>
      </c>
      <c r="O8598" s="7" t="n"/>
    </row>
    <row r="8599">
      <c r="A8599" s="7" t="n"/>
      <c r="B8599" s="7" t="n"/>
      <c r="C8599" s="7" t="n"/>
      <c r="D8599" s="7" t="n"/>
      <c r="E8599" s="7" t="n"/>
      <c r="F8599" s="7" t="n"/>
      <c r="G8599" s="7" t="n"/>
      <c r="H8599" s="7" t="n"/>
      <c r="I8599" s="7" t="n"/>
      <c r="J8599" s="7" t="n"/>
      <c r="K8599">
        <f>IF(D8599="Legitimate Interest (GDPR Art. 6(1)(f))", "Yes / Required (Sheet 3)", "")</f>
        <v/>
      </c>
      <c r="L8599" s="7" t="n"/>
      <c r="M8599" s="7" t="n"/>
      <c r="N8599">
        <f>IF(D8599="", "Gap - No Legal Basis", IF(AND(D8599="Consent (GDPR Art. 6(1)(a))", I8599="Not Captured"), "Gap - Invalid Consent", IF(AND(D8599="Legitimate Interest (GDPR Art. 6(1)(f))", L8599=""), "Gap - Missing LIA", IF(AND(G8599="Yes", H8599=""), "Gap - Missing Art. 9 Basis", IF(OR(I8599="Invalid - Not Freely Given", I8599="Invalid - Not Specific", I8599="Invalid - Not Informed", I8599="Invalid - Ambiguous"), "Gap - Invalid Consent", "Compliant")))))</f>
        <v/>
      </c>
      <c r="O8599" s="7" t="n"/>
    </row>
    <row r="8600">
      <c r="A8600" s="7" t="n"/>
      <c r="B8600" s="7" t="n"/>
      <c r="C8600" s="7" t="n"/>
      <c r="D8600" s="7" t="n"/>
      <c r="E8600" s="7" t="n"/>
      <c r="F8600" s="7" t="n"/>
      <c r="G8600" s="7" t="n"/>
      <c r="H8600" s="7" t="n"/>
      <c r="I8600" s="7" t="n"/>
      <c r="J8600" s="7" t="n"/>
      <c r="K8600">
        <f>IF(D8600="Legitimate Interest (GDPR Art. 6(1)(f))", "Yes / Required (Sheet 3)", "")</f>
        <v/>
      </c>
      <c r="L8600" s="7" t="n"/>
      <c r="M8600" s="7" t="n"/>
      <c r="N8600">
        <f>IF(D8600="", "Gap - No Legal Basis", IF(AND(D8600="Consent (GDPR Art. 6(1)(a))", I8600="Not Captured"), "Gap - Invalid Consent", IF(AND(D8600="Legitimate Interest (GDPR Art. 6(1)(f))", L8600=""), "Gap - Missing LIA", IF(AND(G8600="Yes", H8600=""), "Gap - Missing Art. 9 Basis", IF(OR(I8600="Invalid - Not Freely Given", I8600="Invalid - Not Specific", I8600="Invalid - Not Informed", I8600="Invalid - Ambiguous"), "Gap - Invalid Consent", "Compliant")))))</f>
        <v/>
      </c>
      <c r="O8600" s="7" t="n"/>
    </row>
    <row r="8601">
      <c r="A8601" s="7" t="n"/>
      <c r="B8601" s="7" t="n"/>
      <c r="C8601" s="7" t="n"/>
      <c r="D8601" s="7" t="n"/>
      <c r="E8601" s="7" t="n"/>
      <c r="F8601" s="7" t="n"/>
      <c r="G8601" s="7" t="n"/>
      <c r="H8601" s="7" t="n"/>
      <c r="I8601" s="7" t="n"/>
      <c r="J8601" s="7" t="n"/>
      <c r="K8601">
        <f>IF(D8601="Legitimate Interest (GDPR Art. 6(1)(f))", "Yes / Required (Sheet 3)", "")</f>
        <v/>
      </c>
      <c r="L8601" s="7" t="n"/>
      <c r="M8601" s="7" t="n"/>
      <c r="N8601">
        <f>IF(D8601="", "Gap - No Legal Basis", IF(AND(D8601="Consent (GDPR Art. 6(1)(a))", I8601="Not Captured"), "Gap - Invalid Consent", IF(AND(D8601="Legitimate Interest (GDPR Art. 6(1)(f))", L8601=""), "Gap - Missing LIA", IF(AND(G8601="Yes", H8601=""), "Gap - Missing Art. 9 Basis", IF(OR(I8601="Invalid - Not Freely Given", I8601="Invalid - Not Specific", I8601="Invalid - Not Informed", I8601="Invalid - Ambiguous"), "Gap - Invalid Consent", "Compliant")))))</f>
        <v/>
      </c>
      <c r="O8601" s="7" t="n"/>
    </row>
    <row r="8602">
      <c r="A8602" s="7" t="n"/>
      <c r="B8602" s="7" t="n"/>
      <c r="C8602" s="7" t="n"/>
      <c r="D8602" s="7" t="n"/>
      <c r="E8602" s="7" t="n"/>
      <c r="F8602" s="7" t="n"/>
      <c r="G8602" s="7" t="n"/>
      <c r="H8602" s="7" t="n"/>
      <c r="I8602" s="7" t="n"/>
      <c r="J8602" s="7" t="n"/>
      <c r="K8602">
        <f>IF(D8602="Legitimate Interest (GDPR Art. 6(1)(f))", "Yes / Required (Sheet 3)", "")</f>
        <v/>
      </c>
      <c r="L8602" s="7" t="n"/>
      <c r="M8602" s="7" t="n"/>
      <c r="N8602">
        <f>IF(D8602="", "Gap - No Legal Basis", IF(AND(D8602="Consent (GDPR Art. 6(1)(a))", I8602="Not Captured"), "Gap - Invalid Consent", IF(AND(D8602="Legitimate Interest (GDPR Art. 6(1)(f))", L8602=""), "Gap - Missing LIA", IF(AND(G8602="Yes", H8602=""), "Gap - Missing Art. 9 Basis", IF(OR(I8602="Invalid - Not Freely Given", I8602="Invalid - Not Specific", I8602="Invalid - Not Informed", I8602="Invalid - Ambiguous"), "Gap - Invalid Consent", "Compliant")))))</f>
        <v/>
      </c>
      <c r="O8602" s="7" t="n"/>
    </row>
    <row r="8603">
      <c r="A8603" s="7" t="n"/>
      <c r="B8603" s="7" t="n"/>
      <c r="C8603" s="7" t="n"/>
      <c r="D8603" s="7" t="n"/>
      <c r="E8603" s="7" t="n"/>
      <c r="F8603" s="7" t="n"/>
      <c r="G8603" s="7" t="n"/>
      <c r="H8603" s="7" t="n"/>
      <c r="I8603" s="7" t="n"/>
      <c r="J8603" s="7" t="n"/>
      <c r="K8603">
        <f>IF(D8603="Legitimate Interest (GDPR Art. 6(1)(f))", "Yes / Required (Sheet 3)", "")</f>
        <v/>
      </c>
      <c r="L8603" s="7" t="n"/>
      <c r="M8603" s="7" t="n"/>
      <c r="N8603">
        <f>IF(D8603="", "Gap - No Legal Basis", IF(AND(D8603="Consent (GDPR Art. 6(1)(a))", I8603="Not Captured"), "Gap - Invalid Consent", IF(AND(D8603="Legitimate Interest (GDPR Art. 6(1)(f))", L8603=""), "Gap - Missing LIA", IF(AND(G8603="Yes", H8603=""), "Gap - Missing Art. 9 Basis", IF(OR(I8603="Invalid - Not Freely Given", I8603="Invalid - Not Specific", I8603="Invalid - Not Informed", I8603="Invalid - Ambiguous"), "Gap - Invalid Consent", "Compliant")))))</f>
        <v/>
      </c>
      <c r="O8603" s="7" t="n"/>
    </row>
    <row r="8604">
      <c r="A8604" s="7" t="n"/>
      <c r="B8604" s="7" t="n"/>
      <c r="C8604" s="7" t="n"/>
      <c r="D8604" s="7" t="n"/>
      <c r="E8604" s="7" t="n"/>
      <c r="F8604" s="7" t="n"/>
      <c r="G8604" s="7" t="n"/>
      <c r="H8604" s="7" t="n"/>
      <c r="I8604" s="7" t="n"/>
      <c r="J8604" s="7" t="n"/>
      <c r="K8604">
        <f>IF(D8604="Legitimate Interest (GDPR Art. 6(1)(f))", "Yes / Required (Sheet 3)", "")</f>
        <v/>
      </c>
      <c r="L8604" s="7" t="n"/>
      <c r="M8604" s="7" t="n"/>
      <c r="N8604">
        <f>IF(D8604="", "Gap - No Legal Basis", IF(AND(D8604="Consent (GDPR Art. 6(1)(a))", I8604="Not Captured"), "Gap - Invalid Consent", IF(AND(D8604="Legitimate Interest (GDPR Art. 6(1)(f))", L8604=""), "Gap - Missing LIA", IF(AND(G8604="Yes", H8604=""), "Gap - Missing Art. 9 Basis", IF(OR(I8604="Invalid - Not Freely Given", I8604="Invalid - Not Specific", I8604="Invalid - Not Informed", I8604="Invalid - Ambiguous"), "Gap - Invalid Consent", "Compliant")))))</f>
        <v/>
      </c>
      <c r="O8604" s="7" t="n"/>
    </row>
    <row r="8605">
      <c r="A8605" s="7" t="n"/>
      <c r="B8605" s="7" t="n"/>
      <c r="C8605" s="7" t="n"/>
      <c r="D8605" s="7" t="n"/>
      <c r="E8605" s="7" t="n"/>
      <c r="F8605" s="7" t="n"/>
      <c r="G8605" s="7" t="n"/>
      <c r="H8605" s="7" t="n"/>
      <c r="I8605" s="7" t="n"/>
      <c r="J8605" s="7" t="n"/>
      <c r="K8605">
        <f>IF(D8605="Legitimate Interest (GDPR Art. 6(1)(f))", "Yes / Required (Sheet 3)", "")</f>
        <v/>
      </c>
      <c r="L8605" s="7" t="n"/>
      <c r="M8605" s="7" t="n"/>
      <c r="N8605">
        <f>IF(D8605="", "Gap - No Legal Basis", IF(AND(D8605="Consent (GDPR Art. 6(1)(a))", I8605="Not Captured"), "Gap - Invalid Consent", IF(AND(D8605="Legitimate Interest (GDPR Art. 6(1)(f))", L8605=""), "Gap - Missing LIA", IF(AND(G8605="Yes", H8605=""), "Gap - Missing Art. 9 Basis", IF(OR(I8605="Invalid - Not Freely Given", I8605="Invalid - Not Specific", I8605="Invalid - Not Informed", I8605="Invalid - Ambiguous"), "Gap - Invalid Consent", "Compliant")))))</f>
        <v/>
      </c>
      <c r="O8605" s="7" t="n"/>
    </row>
    <row r="8606">
      <c r="A8606" s="7" t="n"/>
      <c r="B8606" s="7" t="n"/>
      <c r="C8606" s="7" t="n"/>
      <c r="D8606" s="7" t="n"/>
      <c r="E8606" s="7" t="n"/>
      <c r="F8606" s="7" t="n"/>
      <c r="G8606" s="7" t="n"/>
      <c r="H8606" s="7" t="n"/>
      <c r="I8606" s="7" t="n"/>
      <c r="J8606" s="7" t="n"/>
      <c r="K8606">
        <f>IF(D8606="Legitimate Interest (GDPR Art. 6(1)(f))", "Yes / Required (Sheet 3)", "")</f>
        <v/>
      </c>
      <c r="L8606" s="7" t="n"/>
      <c r="M8606" s="7" t="n"/>
      <c r="N8606">
        <f>IF(D8606="", "Gap - No Legal Basis", IF(AND(D8606="Consent (GDPR Art. 6(1)(a))", I8606="Not Captured"), "Gap - Invalid Consent", IF(AND(D8606="Legitimate Interest (GDPR Art. 6(1)(f))", L8606=""), "Gap - Missing LIA", IF(AND(G8606="Yes", H8606=""), "Gap - Missing Art. 9 Basis", IF(OR(I8606="Invalid - Not Freely Given", I8606="Invalid - Not Specific", I8606="Invalid - Not Informed", I8606="Invalid - Ambiguous"), "Gap - Invalid Consent", "Compliant")))))</f>
        <v/>
      </c>
      <c r="O8606" s="7" t="n"/>
    </row>
    <row r="8607">
      <c r="A8607" s="7" t="n"/>
      <c r="B8607" s="7" t="n"/>
      <c r="C8607" s="7" t="n"/>
      <c r="D8607" s="7" t="n"/>
      <c r="E8607" s="7" t="n"/>
      <c r="F8607" s="7" t="n"/>
      <c r="G8607" s="7" t="n"/>
      <c r="H8607" s="7" t="n"/>
      <c r="I8607" s="7" t="n"/>
      <c r="J8607" s="7" t="n"/>
      <c r="K8607">
        <f>IF(D8607="Legitimate Interest (GDPR Art. 6(1)(f))", "Yes / Required (Sheet 3)", "")</f>
        <v/>
      </c>
      <c r="L8607" s="7" t="n"/>
      <c r="M8607" s="7" t="n"/>
      <c r="N8607">
        <f>IF(D8607="", "Gap - No Legal Basis", IF(AND(D8607="Consent (GDPR Art. 6(1)(a))", I8607="Not Captured"), "Gap - Invalid Consent", IF(AND(D8607="Legitimate Interest (GDPR Art. 6(1)(f))", L8607=""), "Gap - Missing LIA", IF(AND(G8607="Yes", H8607=""), "Gap - Missing Art. 9 Basis", IF(OR(I8607="Invalid - Not Freely Given", I8607="Invalid - Not Specific", I8607="Invalid - Not Informed", I8607="Invalid - Ambiguous"), "Gap - Invalid Consent", "Compliant")))))</f>
        <v/>
      </c>
      <c r="O8607" s="7" t="n"/>
    </row>
    <row r="8608">
      <c r="A8608" s="7" t="n"/>
      <c r="B8608" s="7" t="n"/>
      <c r="C8608" s="7" t="n"/>
      <c r="D8608" s="7" t="n"/>
      <c r="E8608" s="7" t="n"/>
      <c r="F8608" s="7" t="n"/>
      <c r="G8608" s="7" t="n"/>
      <c r="H8608" s="7" t="n"/>
      <c r="I8608" s="7" t="n"/>
      <c r="J8608" s="7" t="n"/>
      <c r="K8608">
        <f>IF(D8608="Legitimate Interest (GDPR Art. 6(1)(f))", "Yes / Required (Sheet 3)", "")</f>
        <v/>
      </c>
      <c r="L8608" s="7" t="n"/>
      <c r="M8608" s="7" t="n"/>
      <c r="N8608">
        <f>IF(D8608="", "Gap - No Legal Basis", IF(AND(D8608="Consent (GDPR Art. 6(1)(a))", I8608="Not Captured"), "Gap - Invalid Consent", IF(AND(D8608="Legitimate Interest (GDPR Art. 6(1)(f))", L8608=""), "Gap - Missing LIA", IF(AND(G8608="Yes", H8608=""), "Gap - Missing Art. 9 Basis", IF(OR(I8608="Invalid - Not Freely Given", I8608="Invalid - Not Specific", I8608="Invalid - Not Informed", I8608="Invalid - Ambiguous"), "Gap - Invalid Consent", "Compliant")))))</f>
        <v/>
      </c>
      <c r="O8608" s="7" t="n"/>
    </row>
    <row r="8609">
      <c r="A8609" s="7" t="n"/>
      <c r="B8609" s="7" t="n"/>
      <c r="C8609" s="7" t="n"/>
      <c r="D8609" s="7" t="n"/>
      <c r="E8609" s="7" t="n"/>
      <c r="F8609" s="7" t="n"/>
      <c r="G8609" s="7" t="n"/>
      <c r="H8609" s="7" t="n"/>
      <c r="I8609" s="7" t="n"/>
      <c r="J8609" s="7" t="n"/>
      <c r="K8609">
        <f>IF(D8609="Legitimate Interest (GDPR Art. 6(1)(f))", "Yes / Required (Sheet 3)", "")</f>
        <v/>
      </c>
      <c r="L8609" s="7" t="n"/>
      <c r="M8609" s="7" t="n"/>
      <c r="N8609">
        <f>IF(D8609="", "Gap - No Legal Basis", IF(AND(D8609="Consent (GDPR Art. 6(1)(a))", I8609="Not Captured"), "Gap - Invalid Consent", IF(AND(D8609="Legitimate Interest (GDPR Art. 6(1)(f))", L8609=""), "Gap - Missing LIA", IF(AND(G8609="Yes", H8609=""), "Gap - Missing Art. 9 Basis", IF(OR(I8609="Invalid - Not Freely Given", I8609="Invalid - Not Specific", I8609="Invalid - Not Informed", I8609="Invalid - Ambiguous"), "Gap - Invalid Consent", "Compliant")))))</f>
        <v/>
      </c>
      <c r="O8609" s="7" t="n"/>
    </row>
    <row r="8610">
      <c r="A8610" s="7" t="n"/>
      <c r="B8610" s="7" t="n"/>
      <c r="C8610" s="7" t="n"/>
      <c r="D8610" s="7" t="n"/>
      <c r="E8610" s="7" t="n"/>
      <c r="F8610" s="7" t="n"/>
      <c r="G8610" s="7" t="n"/>
      <c r="H8610" s="7" t="n"/>
      <c r="I8610" s="7" t="n"/>
      <c r="J8610" s="7" t="n"/>
      <c r="K8610">
        <f>IF(D8610="Legitimate Interest (GDPR Art. 6(1)(f))", "Yes / Required (Sheet 3)", "")</f>
        <v/>
      </c>
      <c r="L8610" s="7" t="n"/>
      <c r="M8610" s="7" t="n"/>
      <c r="N8610">
        <f>IF(D8610="", "Gap - No Legal Basis", IF(AND(D8610="Consent (GDPR Art. 6(1)(a))", I8610="Not Captured"), "Gap - Invalid Consent", IF(AND(D8610="Legitimate Interest (GDPR Art. 6(1)(f))", L8610=""), "Gap - Missing LIA", IF(AND(G8610="Yes", H8610=""), "Gap - Missing Art. 9 Basis", IF(OR(I8610="Invalid - Not Freely Given", I8610="Invalid - Not Specific", I8610="Invalid - Not Informed", I8610="Invalid - Ambiguous"), "Gap - Invalid Consent", "Compliant")))))</f>
        <v/>
      </c>
      <c r="O8610" s="7" t="n"/>
    </row>
    <row r="8611">
      <c r="A8611" s="7" t="n"/>
      <c r="B8611" s="7" t="n"/>
      <c r="C8611" s="7" t="n"/>
      <c r="D8611" s="7" t="n"/>
      <c r="E8611" s="7" t="n"/>
      <c r="F8611" s="7" t="n"/>
      <c r="G8611" s="7" t="n"/>
      <c r="H8611" s="7" t="n"/>
      <c r="I8611" s="7" t="n"/>
      <c r="J8611" s="7" t="n"/>
      <c r="K8611">
        <f>IF(D8611="Legitimate Interest (GDPR Art. 6(1)(f))", "Yes / Required (Sheet 3)", "")</f>
        <v/>
      </c>
      <c r="L8611" s="7" t="n"/>
      <c r="M8611" s="7" t="n"/>
      <c r="N8611">
        <f>IF(D8611="", "Gap - No Legal Basis", IF(AND(D8611="Consent (GDPR Art. 6(1)(a))", I8611="Not Captured"), "Gap - Invalid Consent", IF(AND(D8611="Legitimate Interest (GDPR Art. 6(1)(f))", L8611=""), "Gap - Missing LIA", IF(AND(G8611="Yes", H8611=""), "Gap - Missing Art. 9 Basis", IF(OR(I8611="Invalid - Not Freely Given", I8611="Invalid - Not Specific", I8611="Invalid - Not Informed", I8611="Invalid - Ambiguous"), "Gap - Invalid Consent", "Compliant")))))</f>
        <v/>
      </c>
      <c r="O8611" s="7" t="n"/>
    </row>
    <row r="8612">
      <c r="A8612" s="7" t="n"/>
      <c r="B8612" s="7" t="n"/>
      <c r="C8612" s="7" t="n"/>
      <c r="D8612" s="7" t="n"/>
      <c r="E8612" s="7" t="n"/>
      <c r="F8612" s="7" t="n"/>
      <c r="G8612" s="7" t="n"/>
      <c r="H8612" s="7" t="n"/>
      <c r="I8612" s="7" t="n"/>
      <c r="J8612" s="7" t="n"/>
      <c r="K8612">
        <f>IF(D8612="Legitimate Interest (GDPR Art. 6(1)(f))", "Yes / Required (Sheet 3)", "")</f>
        <v/>
      </c>
      <c r="L8612" s="7" t="n"/>
      <c r="M8612" s="7" t="n"/>
      <c r="N8612">
        <f>IF(D8612="", "Gap - No Legal Basis", IF(AND(D8612="Consent (GDPR Art. 6(1)(a))", I8612="Not Captured"), "Gap - Invalid Consent", IF(AND(D8612="Legitimate Interest (GDPR Art. 6(1)(f))", L8612=""), "Gap - Missing LIA", IF(AND(G8612="Yes", H8612=""), "Gap - Missing Art. 9 Basis", IF(OR(I8612="Invalid - Not Freely Given", I8612="Invalid - Not Specific", I8612="Invalid - Not Informed", I8612="Invalid - Ambiguous"), "Gap - Invalid Consent", "Compliant")))))</f>
        <v/>
      </c>
      <c r="O8612" s="7" t="n"/>
    </row>
    <row r="8613">
      <c r="A8613" s="7" t="n"/>
      <c r="B8613" s="7" t="n"/>
      <c r="C8613" s="7" t="n"/>
      <c r="D8613" s="7" t="n"/>
      <c r="E8613" s="7" t="n"/>
      <c r="F8613" s="7" t="n"/>
      <c r="G8613" s="7" t="n"/>
      <c r="H8613" s="7" t="n"/>
      <c r="I8613" s="7" t="n"/>
      <c r="J8613" s="7" t="n"/>
      <c r="K8613">
        <f>IF(D8613="Legitimate Interest (GDPR Art. 6(1)(f))", "Yes / Required (Sheet 3)", "")</f>
        <v/>
      </c>
      <c r="L8613" s="7" t="n"/>
      <c r="M8613" s="7" t="n"/>
      <c r="N8613">
        <f>IF(D8613="", "Gap - No Legal Basis", IF(AND(D8613="Consent (GDPR Art. 6(1)(a))", I8613="Not Captured"), "Gap - Invalid Consent", IF(AND(D8613="Legitimate Interest (GDPR Art. 6(1)(f))", L8613=""), "Gap - Missing LIA", IF(AND(G8613="Yes", H8613=""), "Gap - Missing Art. 9 Basis", IF(OR(I8613="Invalid - Not Freely Given", I8613="Invalid - Not Specific", I8613="Invalid - Not Informed", I8613="Invalid - Ambiguous"), "Gap - Invalid Consent", "Compliant")))))</f>
        <v/>
      </c>
      <c r="O8613" s="7" t="n"/>
    </row>
    <row r="8614">
      <c r="A8614" s="7" t="n"/>
      <c r="B8614" s="7" t="n"/>
      <c r="C8614" s="7" t="n"/>
      <c r="D8614" s="7" t="n"/>
      <c r="E8614" s="7" t="n"/>
      <c r="F8614" s="7" t="n"/>
      <c r="G8614" s="7" t="n"/>
      <c r="H8614" s="7" t="n"/>
      <c r="I8614" s="7" t="n"/>
      <c r="J8614" s="7" t="n"/>
      <c r="K8614">
        <f>IF(D8614="Legitimate Interest (GDPR Art. 6(1)(f))", "Yes / Required (Sheet 3)", "")</f>
        <v/>
      </c>
      <c r="L8614" s="7" t="n"/>
      <c r="M8614" s="7" t="n"/>
      <c r="N8614">
        <f>IF(D8614="", "Gap - No Legal Basis", IF(AND(D8614="Consent (GDPR Art. 6(1)(a))", I8614="Not Captured"), "Gap - Invalid Consent", IF(AND(D8614="Legitimate Interest (GDPR Art. 6(1)(f))", L8614=""), "Gap - Missing LIA", IF(AND(G8614="Yes", H8614=""), "Gap - Missing Art. 9 Basis", IF(OR(I8614="Invalid - Not Freely Given", I8614="Invalid - Not Specific", I8614="Invalid - Not Informed", I8614="Invalid - Ambiguous"), "Gap - Invalid Consent", "Compliant")))))</f>
        <v/>
      </c>
      <c r="O8614" s="7" t="n"/>
    </row>
    <row r="8615">
      <c r="A8615" s="7" t="n"/>
      <c r="B8615" s="7" t="n"/>
      <c r="C8615" s="7" t="n"/>
      <c r="D8615" s="7" t="n"/>
      <c r="E8615" s="7" t="n"/>
      <c r="F8615" s="7" t="n"/>
      <c r="G8615" s="7" t="n"/>
      <c r="H8615" s="7" t="n"/>
      <c r="I8615" s="7" t="n"/>
      <c r="J8615" s="7" t="n"/>
      <c r="K8615">
        <f>IF(D8615="Legitimate Interest (GDPR Art. 6(1)(f))", "Yes / Required (Sheet 3)", "")</f>
        <v/>
      </c>
      <c r="L8615" s="7" t="n"/>
      <c r="M8615" s="7" t="n"/>
      <c r="N8615">
        <f>IF(D8615="", "Gap - No Legal Basis", IF(AND(D8615="Consent (GDPR Art. 6(1)(a))", I8615="Not Captured"), "Gap - Invalid Consent", IF(AND(D8615="Legitimate Interest (GDPR Art. 6(1)(f))", L8615=""), "Gap - Missing LIA", IF(AND(G8615="Yes", H8615=""), "Gap - Missing Art. 9 Basis", IF(OR(I8615="Invalid - Not Freely Given", I8615="Invalid - Not Specific", I8615="Invalid - Not Informed", I8615="Invalid - Ambiguous"), "Gap - Invalid Consent", "Compliant")))))</f>
        <v/>
      </c>
      <c r="O8615" s="7" t="n"/>
    </row>
    <row r="8616">
      <c r="A8616" s="7" t="n"/>
      <c r="B8616" s="7" t="n"/>
      <c r="C8616" s="7" t="n"/>
      <c r="D8616" s="7" t="n"/>
      <c r="E8616" s="7" t="n"/>
      <c r="F8616" s="7" t="n"/>
      <c r="G8616" s="7" t="n"/>
      <c r="H8616" s="7" t="n"/>
      <c r="I8616" s="7" t="n"/>
      <c r="J8616" s="7" t="n"/>
      <c r="K8616">
        <f>IF(D8616="Legitimate Interest (GDPR Art. 6(1)(f))", "Yes / Required (Sheet 3)", "")</f>
        <v/>
      </c>
      <c r="L8616" s="7" t="n"/>
      <c r="M8616" s="7" t="n"/>
      <c r="N8616">
        <f>IF(D8616="", "Gap - No Legal Basis", IF(AND(D8616="Consent (GDPR Art. 6(1)(a))", I8616="Not Captured"), "Gap - Invalid Consent", IF(AND(D8616="Legitimate Interest (GDPR Art. 6(1)(f))", L8616=""), "Gap - Missing LIA", IF(AND(G8616="Yes", H8616=""), "Gap - Missing Art. 9 Basis", IF(OR(I8616="Invalid - Not Freely Given", I8616="Invalid - Not Specific", I8616="Invalid - Not Informed", I8616="Invalid - Ambiguous"), "Gap - Invalid Consent", "Compliant")))))</f>
        <v/>
      </c>
      <c r="O8616" s="7" t="n"/>
    </row>
    <row r="8617">
      <c r="A8617" s="7" t="n"/>
      <c r="B8617" s="7" t="n"/>
      <c r="C8617" s="7" t="n"/>
      <c r="D8617" s="7" t="n"/>
      <c r="E8617" s="7" t="n"/>
      <c r="F8617" s="7" t="n"/>
      <c r="G8617" s="7" t="n"/>
      <c r="H8617" s="7" t="n"/>
      <c r="I8617" s="7" t="n"/>
      <c r="J8617" s="7" t="n"/>
      <c r="K8617">
        <f>IF(D8617="Legitimate Interest (GDPR Art. 6(1)(f))", "Yes / Required (Sheet 3)", "")</f>
        <v/>
      </c>
      <c r="L8617" s="7" t="n"/>
      <c r="M8617" s="7" t="n"/>
      <c r="N8617">
        <f>IF(D8617="", "Gap - No Legal Basis", IF(AND(D8617="Consent (GDPR Art. 6(1)(a))", I8617="Not Captured"), "Gap - Invalid Consent", IF(AND(D8617="Legitimate Interest (GDPR Art. 6(1)(f))", L8617=""), "Gap - Missing LIA", IF(AND(G8617="Yes", H8617=""), "Gap - Missing Art. 9 Basis", IF(OR(I8617="Invalid - Not Freely Given", I8617="Invalid - Not Specific", I8617="Invalid - Not Informed", I8617="Invalid - Ambiguous"), "Gap - Invalid Consent", "Compliant")))))</f>
        <v/>
      </c>
      <c r="O8617" s="7" t="n"/>
    </row>
    <row r="8618">
      <c r="A8618" s="7" t="n"/>
      <c r="B8618" s="7" t="n"/>
      <c r="C8618" s="7" t="n"/>
      <c r="D8618" s="7" t="n"/>
      <c r="E8618" s="7" t="n"/>
      <c r="F8618" s="7" t="n"/>
      <c r="G8618" s="7" t="n"/>
      <c r="H8618" s="7" t="n"/>
      <c r="I8618" s="7" t="n"/>
      <c r="J8618" s="7" t="n"/>
      <c r="K8618">
        <f>IF(D8618="Legitimate Interest (GDPR Art. 6(1)(f))", "Yes / Required (Sheet 3)", "")</f>
        <v/>
      </c>
      <c r="L8618" s="7" t="n"/>
      <c r="M8618" s="7" t="n"/>
      <c r="N8618">
        <f>IF(D8618="", "Gap - No Legal Basis", IF(AND(D8618="Consent (GDPR Art. 6(1)(a))", I8618="Not Captured"), "Gap - Invalid Consent", IF(AND(D8618="Legitimate Interest (GDPR Art. 6(1)(f))", L8618=""), "Gap - Missing LIA", IF(AND(G8618="Yes", H8618=""), "Gap - Missing Art. 9 Basis", IF(OR(I8618="Invalid - Not Freely Given", I8618="Invalid - Not Specific", I8618="Invalid - Not Informed", I8618="Invalid - Ambiguous"), "Gap - Invalid Consent", "Compliant")))))</f>
        <v/>
      </c>
      <c r="O8618" s="7" t="n"/>
    </row>
    <row r="8619">
      <c r="A8619" s="7" t="n"/>
      <c r="B8619" s="7" t="n"/>
      <c r="C8619" s="7" t="n"/>
      <c r="D8619" s="7" t="n"/>
      <c r="E8619" s="7" t="n"/>
      <c r="F8619" s="7" t="n"/>
      <c r="G8619" s="7" t="n"/>
      <c r="H8619" s="7" t="n"/>
      <c r="I8619" s="7" t="n"/>
      <c r="J8619" s="7" t="n"/>
      <c r="K8619">
        <f>IF(D8619="Legitimate Interest (GDPR Art. 6(1)(f))", "Yes / Required (Sheet 3)", "")</f>
        <v/>
      </c>
      <c r="L8619" s="7" t="n"/>
      <c r="M8619" s="7" t="n"/>
      <c r="N8619">
        <f>IF(D8619="", "Gap - No Legal Basis", IF(AND(D8619="Consent (GDPR Art. 6(1)(a))", I8619="Not Captured"), "Gap - Invalid Consent", IF(AND(D8619="Legitimate Interest (GDPR Art. 6(1)(f))", L8619=""), "Gap - Missing LIA", IF(AND(G8619="Yes", H8619=""), "Gap - Missing Art. 9 Basis", IF(OR(I8619="Invalid - Not Freely Given", I8619="Invalid - Not Specific", I8619="Invalid - Not Informed", I8619="Invalid - Ambiguous"), "Gap - Invalid Consent", "Compliant")))))</f>
        <v/>
      </c>
      <c r="O8619" s="7" t="n"/>
    </row>
    <row r="8620">
      <c r="A8620" s="7" t="n"/>
      <c r="B8620" s="7" t="n"/>
      <c r="C8620" s="7" t="n"/>
      <c r="D8620" s="7" t="n"/>
      <c r="E8620" s="7" t="n"/>
      <c r="F8620" s="7" t="n"/>
      <c r="G8620" s="7" t="n"/>
      <c r="H8620" s="7" t="n"/>
      <c r="I8620" s="7" t="n"/>
      <c r="J8620" s="7" t="n"/>
      <c r="K8620">
        <f>IF(D8620="Legitimate Interest (GDPR Art. 6(1)(f))", "Yes / Required (Sheet 3)", "")</f>
        <v/>
      </c>
      <c r="L8620" s="7" t="n"/>
      <c r="M8620" s="7" t="n"/>
      <c r="N8620">
        <f>IF(D8620="", "Gap - No Legal Basis", IF(AND(D8620="Consent (GDPR Art. 6(1)(a))", I8620="Not Captured"), "Gap - Invalid Consent", IF(AND(D8620="Legitimate Interest (GDPR Art. 6(1)(f))", L8620=""), "Gap - Missing LIA", IF(AND(G8620="Yes", H8620=""), "Gap - Missing Art. 9 Basis", IF(OR(I8620="Invalid - Not Freely Given", I8620="Invalid - Not Specific", I8620="Invalid - Not Informed", I8620="Invalid - Ambiguous"), "Gap - Invalid Consent", "Compliant")))))</f>
        <v/>
      </c>
      <c r="O8620" s="7" t="n"/>
    </row>
    <row r="8621">
      <c r="A8621" s="7" t="n"/>
      <c r="B8621" s="7" t="n"/>
      <c r="C8621" s="7" t="n"/>
      <c r="D8621" s="7" t="n"/>
      <c r="E8621" s="7" t="n"/>
      <c r="F8621" s="7" t="n"/>
      <c r="G8621" s="7" t="n"/>
      <c r="H8621" s="7" t="n"/>
      <c r="I8621" s="7" t="n"/>
      <c r="J8621" s="7" t="n"/>
      <c r="K8621">
        <f>IF(D8621="Legitimate Interest (GDPR Art. 6(1)(f))", "Yes / Required (Sheet 3)", "")</f>
        <v/>
      </c>
      <c r="L8621" s="7" t="n"/>
      <c r="M8621" s="7" t="n"/>
      <c r="N8621">
        <f>IF(D8621="", "Gap - No Legal Basis", IF(AND(D8621="Consent (GDPR Art. 6(1)(a))", I8621="Not Captured"), "Gap - Invalid Consent", IF(AND(D8621="Legitimate Interest (GDPR Art. 6(1)(f))", L8621=""), "Gap - Missing LIA", IF(AND(G8621="Yes", H8621=""), "Gap - Missing Art. 9 Basis", IF(OR(I8621="Invalid - Not Freely Given", I8621="Invalid - Not Specific", I8621="Invalid - Not Informed", I8621="Invalid - Ambiguous"), "Gap - Invalid Consent", "Compliant")))))</f>
        <v/>
      </c>
      <c r="O8621" s="7" t="n"/>
    </row>
    <row r="8622">
      <c r="A8622" s="7" t="n"/>
      <c r="B8622" s="7" t="n"/>
      <c r="C8622" s="7" t="n"/>
      <c r="D8622" s="7" t="n"/>
      <c r="E8622" s="7" t="n"/>
      <c r="F8622" s="7" t="n"/>
      <c r="G8622" s="7" t="n"/>
      <c r="H8622" s="7" t="n"/>
      <c r="I8622" s="7" t="n"/>
      <c r="J8622" s="7" t="n"/>
      <c r="K8622">
        <f>IF(D8622="Legitimate Interest (GDPR Art. 6(1)(f))", "Yes / Required (Sheet 3)", "")</f>
        <v/>
      </c>
      <c r="L8622" s="7" t="n"/>
      <c r="M8622" s="7" t="n"/>
      <c r="N8622">
        <f>IF(D8622="", "Gap - No Legal Basis", IF(AND(D8622="Consent (GDPR Art. 6(1)(a))", I8622="Not Captured"), "Gap - Invalid Consent", IF(AND(D8622="Legitimate Interest (GDPR Art. 6(1)(f))", L8622=""), "Gap - Missing LIA", IF(AND(G8622="Yes", H8622=""), "Gap - Missing Art. 9 Basis", IF(OR(I8622="Invalid - Not Freely Given", I8622="Invalid - Not Specific", I8622="Invalid - Not Informed", I8622="Invalid - Ambiguous"), "Gap - Invalid Consent", "Compliant")))))</f>
        <v/>
      </c>
      <c r="O8622" s="7" t="n"/>
    </row>
    <row r="8623">
      <c r="A8623" s="7" t="n"/>
      <c r="B8623" s="7" t="n"/>
      <c r="C8623" s="7" t="n"/>
      <c r="D8623" s="7" t="n"/>
      <c r="E8623" s="7" t="n"/>
      <c r="F8623" s="7" t="n"/>
      <c r="G8623" s="7" t="n"/>
      <c r="H8623" s="7" t="n"/>
      <c r="I8623" s="7" t="n"/>
      <c r="J8623" s="7" t="n"/>
      <c r="K8623">
        <f>IF(D8623="Legitimate Interest (GDPR Art. 6(1)(f))", "Yes / Required (Sheet 3)", "")</f>
        <v/>
      </c>
      <c r="L8623" s="7" t="n"/>
      <c r="M8623" s="7" t="n"/>
      <c r="N8623">
        <f>IF(D8623="", "Gap - No Legal Basis", IF(AND(D8623="Consent (GDPR Art. 6(1)(a))", I8623="Not Captured"), "Gap - Invalid Consent", IF(AND(D8623="Legitimate Interest (GDPR Art. 6(1)(f))", L8623=""), "Gap - Missing LIA", IF(AND(G8623="Yes", H8623=""), "Gap - Missing Art. 9 Basis", IF(OR(I8623="Invalid - Not Freely Given", I8623="Invalid - Not Specific", I8623="Invalid - Not Informed", I8623="Invalid - Ambiguous"), "Gap - Invalid Consent", "Compliant")))))</f>
        <v/>
      </c>
      <c r="O8623" s="7" t="n"/>
    </row>
    <row r="8624">
      <c r="A8624" s="7" t="n"/>
      <c r="B8624" s="7" t="n"/>
      <c r="C8624" s="7" t="n"/>
      <c r="D8624" s="7" t="n"/>
      <c r="E8624" s="7" t="n"/>
      <c r="F8624" s="7" t="n"/>
      <c r="G8624" s="7" t="n"/>
      <c r="H8624" s="7" t="n"/>
      <c r="I8624" s="7" t="n"/>
      <c r="J8624" s="7" t="n"/>
      <c r="K8624">
        <f>IF(D8624="Legitimate Interest (GDPR Art. 6(1)(f))", "Yes / Required (Sheet 3)", "")</f>
        <v/>
      </c>
      <c r="L8624" s="7" t="n"/>
      <c r="M8624" s="7" t="n"/>
      <c r="N8624">
        <f>IF(D8624="", "Gap - No Legal Basis", IF(AND(D8624="Consent (GDPR Art. 6(1)(a))", I8624="Not Captured"), "Gap - Invalid Consent", IF(AND(D8624="Legitimate Interest (GDPR Art. 6(1)(f))", L8624=""), "Gap - Missing LIA", IF(AND(G8624="Yes", H8624=""), "Gap - Missing Art. 9 Basis", IF(OR(I8624="Invalid - Not Freely Given", I8624="Invalid - Not Specific", I8624="Invalid - Not Informed", I8624="Invalid - Ambiguous"), "Gap - Invalid Consent", "Compliant")))))</f>
        <v/>
      </c>
      <c r="O8624" s="7" t="n"/>
    </row>
    <row r="8625">
      <c r="A8625" s="7" t="n"/>
      <c r="B8625" s="7" t="n"/>
      <c r="C8625" s="7" t="n"/>
      <c r="D8625" s="7" t="n"/>
      <c r="E8625" s="7" t="n"/>
      <c r="F8625" s="7" t="n"/>
      <c r="G8625" s="7" t="n"/>
      <c r="H8625" s="7" t="n"/>
      <c r="I8625" s="7" t="n"/>
      <c r="J8625" s="7" t="n"/>
      <c r="K8625">
        <f>IF(D8625="Legitimate Interest (GDPR Art. 6(1)(f))", "Yes / Required (Sheet 3)", "")</f>
        <v/>
      </c>
      <c r="L8625" s="7" t="n"/>
      <c r="M8625" s="7" t="n"/>
      <c r="N8625">
        <f>IF(D8625="", "Gap - No Legal Basis", IF(AND(D8625="Consent (GDPR Art. 6(1)(a))", I8625="Not Captured"), "Gap - Invalid Consent", IF(AND(D8625="Legitimate Interest (GDPR Art. 6(1)(f))", L8625=""), "Gap - Missing LIA", IF(AND(G8625="Yes", H8625=""), "Gap - Missing Art. 9 Basis", IF(OR(I8625="Invalid - Not Freely Given", I8625="Invalid - Not Specific", I8625="Invalid - Not Informed", I8625="Invalid - Ambiguous"), "Gap - Invalid Consent", "Compliant")))))</f>
        <v/>
      </c>
      <c r="O8625" s="7" t="n"/>
    </row>
    <row r="8626">
      <c r="A8626" s="7" t="n"/>
      <c r="B8626" s="7" t="n"/>
      <c r="C8626" s="7" t="n"/>
      <c r="D8626" s="7" t="n"/>
      <c r="E8626" s="7" t="n"/>
      <c r="F8626" s="7" t="n"/>
      <c r="G8626" s="7" t="n"/>
      <c r="H8626" s="7" t="n"/>
      <c r="I8626" s="7" t="n"/>
      <c r="J8626" s="7" t="n"/>
      <c r="K8626">
        <f>IF(D8626="Legitimate Interest (GDPR Art. 6(1)(f))", "Yes / Required (Sheet 3)", "")</f>
        <v/>
      </c>
      <c r="L8626" s="7" t="n"/>
      <c r="M8626" s="7" t="n"/>
      <c r="N8626">
        <f>IF(D8626="", "Gap - No Legal Basis", IF(AND(D8626="Consent (GDPR Art. 6(1)(a))", I8626="Not Captured"), "Gap - Invalid Consent", IF(AND(D8626="Legitimate Interest (GDPR Art. 6(1)(f))", L8626=""), "Gap - Missing LIA", IF(AND(G8626="Yes", H8626=""), "Gap - Missing Art. 9 Basis", IF(OR(I8626="Invalid - Not Freely Given", I8626="Invalid - Not Specific", I8626="Invalid - Not Informed", I8626="Invalid - Ambiguous"), "Gap - Invalid Consent", "Compliant")))))</f>
        <v/>
      </c>
      <c r="O8626" s="7" t="n"/>
    </row>
    <row r="8627">
      <c r="A8627" s="7" t="n"/>
      <c r="B8627" s="7" t="n"/>
      <c r="C8627" s="7" t="n"/>
      <c r="D8627" s="7" t="n"/>
      <c r="E8627" s="7" t="n"/>
      <c r="F8627" s="7" t="n"/>
      <c r="G8627" s="7" t="n"/>
      <c r="H8627" s="7" t="n"/>
      <c r="I8627" s="7" t="n"/>
      <c r="J8627" s="7" t="n"/>
      <c r="K8627">
        <f>IF(D8627="Legitimate Interest (GDPR Art. 6(1)(f))", "Yes / Required (Sheet 3)", "")</f>
        <v/>
      </c>
      <c r="L8627" s="7" t="n"/>
      <c r="M8627" s="7" t="n"/>
      <c r="N8627">
        <f>IF(D8627="", "Gap - No Legal Basis", IF(AND(D8627="Consent (GDPR Art. 6(1)(a))", I8627="Not Captured"), "Gap - Invalid Consent", IF(AND(D8627="Legitimate Interest (GDPR Art. 6(1)(f))", L8627=""), "Gap - Missing LIA", IF(AND(G8627="Yes", H8627=""), "Gap - Missing Art. 9 Basis", IF(OR(I8627="Invalid - Not Freely Given", I8627="Invalid - Not Specific", I8627="Invalid - Not Informed", I8627="Invalid - Ambiguous"), "Gap - Invalid Consent", "Compliant")))))</f>
        <v/>
      </c>
      <c r="O8627" s="7" t="n"/>
    </row>
    <row r="8628">
      <c r="A8628" s="7" t="n"/>
      <c r="B8628" s="7" t="n"/>
      <c r="C8628" s="7" t="n"/>
      <c r="D8628" s="7" t="n"/>
      <c r="E8628" s="7" t="n"/>
      <c r="F8628" s="7" t="n"/>
      <c r="G8628" s="7" t="n"/>
      <c r="H8628" s="7" t="n"/>
      <c r="I8628" s="7" t="n"/>
      <c r="J8628" s="7" t="n"/>
      <c r="K8628">
        <f>IF(D8628="Legitimate Interest (GDPR Art. 6(1)(f))", "Yes / Required (Sheet 3)", "")</f>
        <v/>
      </c>
      <c r="L8628" s="7" t="n"/>
      <c r="M8628" s="7" t="n"/>
      <c r="N8628">
        <f>IF(D8628="", "Gap - No Legal Basis", IF(AND(D8628="Consent (GDPR Art. 6(1)(a))", I8628="Not Captured"), "Gap - Invalid Consent", IF(AND(D8628="Legitimate Interest (GDPR Art. 6(1)(f))", L8628=""), "Gap - Missing LIA", IF(AND(G8628="Yes", H8628=""), "Gap - Missing Art. 9 Basis", IF(OR(I8628="Invalid - Not Freely Given", I8628="Invalid - Not Specific", I8628="Invalid - Not Informed", I8628="Invalid - Ambiguous"), "Gap - Invalid Consent", "Compliant")))))</f>
        <v/>
      </c>
      <c r="O8628" s="7" t="n"/>
    </row>
    <row r="8629">
      <c r="A8629" s="7" t="n"/>
      <c r="B8629" s="7" t="n"/>
      <c r="C8629" s="7" t="n"/>
      <c r="D8629" s="7" t="n"/>
      <c r="E8629" s="7" t="n"/>
      <c r="F8629" s="7" t="n"/>
      <c r="G8629" s="7" t="n"/>
      <c r="H8629" s="7" t="n"/>
      <c r="I8629" s="7" t="n"/>
      <c r="J8629" s="7" t="n"/>
      <c r="K8629">
        <f>IF(D8629="Legitimate Interest (GDPR Art. 6(1)(f))", "Yes / Required (Sheet 3)", "")</f>
        <v/>
      </c>
      <c r="L8629" s="7" t="n"/>
      <c r="M8629" s="7" t="n"/>
      <c r="N8629">
        <f>IF(D8629="", "Gap - No Legal Basis", IF(AND(D8629="Consent (GDPR Art. 6(1)(a))", I8629="Not Captured"), "Gap - Invalid Consent", IF(AND(D8629="Legitimate Interest (GDPR Art. 6(1)(f))", L8629=""), "Gap - Missing LIA", IF(AND(G8629="Yes", H8629=""), "Gap - Missing Art. 9 Basis", IF(OR(I8629="Invalid - Not Freely Given", I8629="Invalid - Not Specific", I8629="Invalid - Not Informed", I8629="Invalid - Ambiguous"), "Gap - Invalid Consent", "Compliant")))))</f>
        <v/>
      </c>
      <c r="O8629" s="7" t="n"/>
    </row>
    <row r="8630">
      <c r="A8630" s="7" t="n"/>
      <c r="B8630" s="7" t="n"/>
      <c r="C8630" s="7" t="n"/>
      <c r="D8630" s="7" t="n"/>
      <c r="E8630" s="7" t="n"/>
      <c r="F8630" s="7" t="n"/>
      <c r="G8630" s="7" t="n"/>
      <c r="H8630" s="7" t="n"/>
      <c r="I8630" s="7" t="n"/>
      <c r="J8630" s="7" t="n"/>
      <c r="K8630">
        <f>IF(D8630="Legitimate Interest (GDPR Art. 6(1)(f))", "Yes / Required (Sheet 3)", "")</f>
        <v/>
      </c>
      <c r="L8630" s="7" t="n"/>
      <c r="M8630" s="7" t="n"/>
      <c r="N8630">
        <f>IF(D8630="", "Gap - No Legal Basis", IF(AND(D8630="Consent (GDPR Art. 6(1)(a))", I8630="Not Captured"), "Gap - Invalid Consent", IF(AND(D8630="Legitimate Interest (GDPR Art. 6(1)(f))", L8630=""), "Gap - Missing LIA", IF(AND(G8630="Yes", H8630=""), "Gap - Missing Art. 9 Basis", IF(OR(I8630="Invalid - Not Freely Given", I8630="Invalid - Not Specific", I8630="Invalid - Not Informed", I8630="Invalid - Ambiguous"), "Gap - Invalid Consent", "Compliant")))))</f>
        <v/>
      </c>
      <c r="O8630" s="7" t="n"/>
    </row>
    <row r="8631">
      <c r="A8631" s="7" t="n"/>
      <c r="B8631" s="7" t="n"/>
      <c r="C8631" s="7" t="n"/>
      <c r="D8631" s="7" t="n"/>
      <c r="E8631" s="7" t="n"/>
      <c r="F8631" s="7" t="n"/>
      <c r="G8631" s="7" t="n"/>
      <c r="H8631" s="7" t="n"/>
      <c r="I8631" s="7" t="n"/>
      <c r="J8631" s="7" t="n"/>
      <c r="K8631">
        <f>IF(D8631="Legitimate Interest (GDPR Art. 6(1)(f))", "Yes / Required (Sheet 3)", "")</f>
        <v/>
      </c>
      <c r="L8631" s="7" t="n"/>
      <c r="M8631" s="7" t="n"/>
      <c r="N8631">
        <f>IF(D8631="", "Gap - No Legal Basis", IF(AND(D8631="Consent (GDPR Art. 6(1)(a))", I8631="Not Captured"), "Gap - Invalid Consent", IF(AND(D8631="Legitimate Interest (GDPR Art. 6(1)(f))", L8631=""), "Gap - Missing LIA", IF(AND(G8631="Yes", H8631=""), "Gap - Missing Art. 9 Basis", IF(OR(I8631="Invalid - Not Freely Given", I8631="Invalid - Not Specific", I8631="Invalid - Not Informed", I8631="Invalid - Ambiguous"), "Gap - Invalid Consent", "Compliant")))))</f>
        <v/>
      </c>
      <c r="O8631" s="7" t="n"/>
    </row>
    <row r="8632">
      <c r="A8632" s="7" t="n"/>
      <c r="B8632" s="7" t="n"/>
      <c r="C8632" s="7" t="n"/>
      <c r="D8632" s="7" t="n"/>
      <c r="E8632" s="7" t="n"/>
      <c r="F8632" s="7" t="n"/>
      <c r="G8632" s="7" t="n"/>
      <c r="H8632" s="7" t="n"/>
      <c r="I8632" s="7" t="n"/>
      <c r="J8632" s="7" t="n"/>
      <c r="K8632">
        <f>IF(D8632="Legitimate Interest (GDPR Art. 6(1)(f))", "Yes / Required (Sheet 3)", "")</f>
        <v/>
      </c>
      <c r="L8632" s="7" t="n"/>
      <c r="M8632" s="7" t="n"/>
      <c r="N8632">
        <f>IF(D8632="", "Gap - No Legal Basis", IF(AND(D8632="Consent (GDPR Art. 6(1)(a))", I8632="Not Captured"), "Gap - Invalid Consent", IF(AND(D8632="Legitimate Interest (GDPR Art. 6(1)(f))", L8632=""), "Gap - Missing LIA", IF(AND(G8632="Yes", H8632=""), "Gap - Missing Art. 9 Basis", IF(OR(I8632="Invalid - Not Freely Given", I8632="Invalid - Not Specific", I8632="Invalid - Not Informed", I8632="Invalid - Ambiguous"), "Gap - Invalid Consent", "Compliant")))))</f>
        <v/>
      </c>
      <c r="O8632" s="7" t="n"/>
    </row>
    <row r="8633">
      <c r="A8633" s="7" t="n"/>
      <c r="B8633" s="7" t="n"/>
      <c r="C8633" s="7" t="n"/>
      <c r="D8633" s="7" t="n"/>
      <c r="E8633" s="7" t="n"/>
      <c r="F8633" s="7" t="n"/>
      <c r="G8633" s="7" t="n"/>
      <c r="H8633" s="7" t="n"/>
      <c r="I8633" s="7" t="n"/>
      <c r="J8633" s="7" t="n"/>
      <c r="K8633">
        <f>IF(D8633="Legitimate Interest (GDPR Art. 6(1)(f))", "Yes / Required (Sheet 3)", "")</f>
        <v/>
      </c>
      <c r="L8633" s="7" t="n"/>
      <c r="M8633" s="7" t="n"/>
      <c r="N8633">
        <f>IF(D8633="", "Gap - No Legal Basis", IF(AND(D8633="Consent (GDPR Art. 6(1)(a))", I8633="Not Captured"), "Gap - Invalid Consent", IF(AND(D8633="Legitimate Interest (GDPR Art. 6(1)(f))", L8633=""), "Gap - Missing LIA", IF(AND(G8633="Yes", H8633=""), "Gap - Missing Art. 9 Basis", IF(OR(I8633="Invalid - Not Freely Given", I8633="Invalid - Not Specific", I8633="Invalid - Not Informed", I8633="Invalid - Ambiguous"), "Gap - Invalid Consent", "Compliant")))))</f>
        <v/>
      </c>
      <c r="O8633" s="7" t="n"/>
    </row>
    <row r="8634">
      <c r="A8634" s="7" t="n"/>
      <c r="B8634" s="7" t="n"/>
      <c r="C8634" s="7" t="n"/>
      <c r="D8634" s="7" t="n"/>
      <c r="E8634" s="7" t="n"/>
      <c r="F8634" s="7" t="n"/>
      <c r="G8634" s="7" t="n"/>
      <c r="H8634" s="7" t="n"/>
      <c r="I8634" s="7" t="n"/>
      <c r="J8634" s="7" t="n"/>
      <c r="K8634">
        <f>IF(D8634="Legitimate Interest (GDPR Art. 6(1)(f))", "Yes / Required (Sheet 3)", "")</f>
        <v/>
      </c>
      <c r="L8634" s="7" t="n"/>
      <c r="M8634" s="7" t="n"/>
      <c r="N8634">
        <f>IF(D8634="", "Gap - No Legal Basis", IF(AND(D8634="Consent (GDPR Art. 6(1)(a))", I8634="Not Captured"), "Gap - Invalid Consent", IF(AND(D8634="Legitimate Interest (GDPR Art. 6(1)(f))", L8634=""), "Gap - Missing LIA", IF(AND(G8634="Yes", H8634=""), "Gap - Missing Art. 9 Basis", IF(OR(I8634="Invalid - Not Freely Given", I8634="Invalid - Not Specific", I8634="Invalid - Not Informed", I8634="Invalid - Ambiguous"), "Gap - Invalid Consent", "Compliant")))))</f>
        <v/>
      </c>
      <c r="O8634" s="7" t="n"/>
    </row>
    <row r="8635">
      <c r="A8635" s="7" t="n"/>
      <c r="B8635" s="7" t="n"/>
      <c r="C8635" s="7" t="n"/>
      <c r="D8635" s="7" t="n"/>
      <c r="E8635" s="7" t="n"/>
      <c r="F8635" s="7" t="n"/>
      <c r="G8635" s="7" t="n"/>
      <c r="H8635" s="7" t="n"/>
      <c r="I8635" s="7" t="n"/>
      <c r="J8635" s="7" t="n"/>
      <c r="K8635">
        <f>IF(D8635="Legitimate Interest (GDPR Art. 6(1)(f))", "Yes / Required (Sheet 3)", "")</f>
        <v/>
      </c>
      <c r="L8635" s="7" t="n"/>
      <c r="M8635" s="7" t="n"/>
      <c r="N8635">
        <f>IF(D8635="", "Gap - No Legal Basis", IF(AND(D8635="Consent (GDPR Art. 6(1)(a))", I8635="Not Captured"), "Gap - Invalid Consent", IF(AND(D8635="Legitimate Interest (GDPR Art. 6(1)(f))", L8635=""), "Gap - Missing LIA", IF(AND(G8635="Yes", H8635=""), "Gap - Missing Art. 9 Basis", IF(OR(I8635="Invalid - Not Freely Given", I8635="Invalid - Not Specific", I8635="Invalid - Not Informed", I8635="Invalid - Ambiguous"), "Gap - Invalid Consent", "Compliant")))))</f>
        <v/>
      </c>
      <c r="O8635" s="7" t="n"/>
    </row>
    <row r="8636">
      <c r="A8636" s="7" t="n"/>
      <c r="B8636" s="7" t="n"/>
      <c r="C8636" s="7" t="n"/>
      <c r="D8636" s="7" t="n"/>
      <c r="E8636" s="7" t="n"/>
      <c r="F8636" s="7" t="n"/>
      <c r="G8636" s="7" t="n"/>
      <c r="H8636" s="7" t="n"/>
      <c r="I8636" s="7" t="n"/>
      <c r="J8636" s="7" t="n"/>
      <c r="K8636">
        <f>IF(D8636="Legitimate Interest (GDPR Art. 6(1)(f))", "Yes / Required (Sheet 3)", "")</f>
        <v/>
      </c>
      <c r="L8636" s="7" t="n"/>
      <c r="M8636" s="7" t="n"/>
      <c r="N8636">
        <f>IF(D8636="", "Gap - No Legal Basis", IF(AND(D8636="Consent (GDPR Art. 6(1)(a))", I8636="Not Captured"), "Gap - Invalid Consent", IF(AND(D8636="Legitimate Interest (GDPR Art. 6(1)(f))", L8636=""), "Gap - Missing LIA", IF(AND(G8636="Yes", H8636=""), "Gap - Missing Art. 9 Basis", IF(OR(I8636="Invalid - Not Freely Given", I8636="Invalid - Not Specific", I8636="Invalid - Not Informed", I8636="Invalid - Ambiguous"), "Gap - Invalid Consent", "Compliant")))))</f>
        <v/>
      </c>
      <c r="O8636" s="7" t="n"/>
    </row>
    <row r="8637">
      <c r="A8637" s="7" t="n"/>
      <c r="B8637" s="7" t="n"/>
      <c r="C8637" s="7" t="n"/>
      <c r="D8637" s="7" t="n"/>
      <c r="E8637" s="7" t="n"/>
      <c r="F8637" s="7" t="n"/>
      <c r="G8637" s="7" t="n"/>
      <c r="H8637" s="7" t="n"/>
      <c r="I8637" s="7" t="n"/>
      <c r="J8637" s="7" t="n"/>
      <c r="K8637">
        <f>IF(D8637="Legitimate Interest (GDPR Art. 6(1)(f))", "Yes / Required (Sheet 3)", "")</f>
        <v/>
      </c>
      <c r="L8637" s="7" t="n"/>
      <c r="M8637" s="7" t="n"/>
      <c r="N8637">
        <f>IF(D8637="", "Gap - No Legal Basis", IF(AND(D8637="Consent (GDPR Art. 6(1)(a))", I8637="Not Captured"), "Gap - Invalid Consent", IF(AND(D8637="Legitimate Interest (GDPR Art. 6(1)(f))", L8637=""), "Gap - Missing LIA", IF(AND(G8637="Yes", H8637=""), "Gap - Missing Art. 9 Basis", IF(OR(I8637="Invalid - Not Freely Given", I8637="Invalid - Not Specific", I8637="Invalid - Not Informed", I8637="Invalid - Ambiguous"), "Gap - Invalid Consent", "Compliant")))))</f>
        <v/>
      </c>
      <c r="O8637" s="7" t="n"/>
    </row>
    <row r="8638">
      <c r="A8638" s="7" t="n"/>
      <c r="B8638" s="7" t="n"/>
      <c r="C8638" s="7" t="n"/>
      <c r="D8638" s="7" t="n"/>
      <c r="E8638" s="7" t="n"/>
      <c r="F8638" s="7" t="n"/>
      <c r="G8638" s="7" t="n"/>
      <c r="H8638" s="7" t="n"/>
      <c r="I8638" s="7" t="n"/>
      <c r="J8638" s="7" t="n"/>
      <c r="K8638">
        <f>IF(D8638="Legitimate Interest (GDPR Art. 6(1)(f))", "Yes / Required (Sheet 3)", "")</f>
        <v/>
      </c>
      <c r="L8638" s="7" t="n"/>
      <c r="M8638" s="7" t="n"/>
      <c r="N8638">
        <f>IF(D8638="", "Gap - No Legal Basis", IF(AND(D8638="Consent (GDPR Art. 6(1)(a))", I8638="Not Captured"), "Gap - Invalid Consent", IF(AND(D8638="Legitimate Interest (GDPR Art. 6(1)(f))", L8638=""), "Gap - Missing LIA", IF(AND(G8638="Yes", H8638=""), "Gap - Missing Art. 9 Basis", IF(OR(I8638="Invalid - Not Freely Given", I8638="Invalid - Not Specific", I8638="Invalid - Not Informed", I8638="Invalid - Ambiguous"), "Gap - Invalid Consent", "Compliant")))))</f>
        <v/>
      </c>
      <c r="O8638" s="7" t="n"/>
    </row>
    <row r="8639">
      <c r="A8639" s="7" t="n"/>
      <c r="B8639" s="7" t="n"/>
      <c r="C8639" s="7" t="n"/>
      <c r="D8639" s="7" t="n"/>
      <c r="E8639" s="7" t="n"/>
      <c r="F8639" s="7" t="n"/>
      <c r="G8639" s="7" t="n"/>
      <c r="H8639" s="7" t="n"/>
      <c r="I8639" s="7" t="n"/>
      <c r="J8639" s="7" t="n"/>
      <c r="K8639">
        <f>IF(D8639="Legitimate Interest (GDPR Art. 6(1)(f))", "Yes / Required (Sheet 3)", "")</f>
        <v/>
      </c>
      <c r="L8639" s="7" t="n"/>
      <c r="M8639" s="7" t="n"/>
      <c r="N8639">
        <f>IF(D8639="", "Gap - No Legal Basis", IF(AND(D8639="Consent (GDPR Art. 6(1)(a))", I8639="Not Captured"), "Gap - Invalid Consent", IF(AND(D8639="Legitimate Interest (GDPR Art. 6(1)(f))", L8639=""), "Gap - Missing LIA", IF(AND(G8639="Yes", H8639=""), "Gap - Missing Art. 9 Basis", IF(OR(I8639="Invalid - Not Freely Given", I8639="Invalid - Not Specific", I8639="Invalid - Not Informed", I8639="Invalid - Ambiguous"), "Gap - Invalid Consent", "Compliant")))))</f>
        <v/>
      </c>
      <c r="O8639" s="7" t="n"/>
    </row>
    <row r="8640">
      <c r="A8640" s="7" t="n"/>
      <c r="B8640" s="7" t="n"/>
      <c r="C8640" s="7" t="n"/>
      <c r="D8640" s="7" t="n"/>
      <c r="E8640" s="7" t="n"/>
      <c r="F8640" s="7" t="n"/>
      <c r="G8640" s="7" t="n"/>
      <c r="H8640" s="7" t="n"/>
      <c r="I8640" s="7" t="n"/>
      <c r="J8640" s="7" t="n"/>
      <c r="K8640">
        <f>IF(D8640="Legitimate Interest (GDPR Art. 6(1)(f))", "Yes / Required (Sheet 3)", "")</f>
        <v/>
      </c>
      <c r="L8640" s="7" t="n"/>
      <c r="M8640" s="7" t="n"/>
      <c r="N8640">
        <f>IF(D8640="", "Gap - No Legal Basis", IF(AND(D8640="Consent (GDPR Art. 6(1)(a))", I8640="Not Captured"), "Gap - Invalid Consent", IF(AND(D8640="Legitimate Interest (GDPR Art. 6(1)(f))", L8640=""), "Gap - Missing LIA", IF(AND(G8640="Yes", H8640=""), "Gap - Missing Art. 9 Basis", IF(OR(I8640="Invalid - Not Freely Given", I8640="Invalid - Not Specific", I8640="Invalid - Not Informed", I8640="Invalid - Ambiguous"), "Gap - Invalid Consent", "Compliant")))))</f>
        <v/>
      </c>
      <c r="O8640" s="7" t="n"/>
    </row>
    <row r="8641">
      <c r="A8641" s="7" t="n"/>
      <c r="B8641" s="7" t="n"/>
      <c r="C8641" s="7" t="n"/>
      <c r="D8641" s="7" t="n"/>
      <c r="E8641" s="7" t="n"/>
      <c r="F8641" s="7" t="n"/>
      <c r="G8641" s="7" t="n"/>
      <c r="H8641" s="7" t="n"/>
      <c r="I8641" s="7" t="n"/>
      <c r="J8641" s="7" t="n"/>
      <c r="K8641">
        <f>IF(D8641="Legitimate Interest (GDPR Art. 6(1)(f))", "Yes / Required (Sheet 3)", "")</f>
        <v/>
      </c>
      <c r="L8641" s="7" t="n"/>
      <c r="M8641" s="7" t="n"/>
      <c r="N8641">
        <f>IF(D8641="", "Gap - No Legal Basis", IF(AND(D8641="Consent (GDPR Art. 6(1)(a))", I8641="Not Captured"), "Gap - Invalid Consent", IF(AND(D8641="Legitimate Interest (GDPR Art. 6(1)(f))", L8641=""), "Gap - Missing LIA", IF(AND(G8641="Yes", H8641=""), "Gap - Missing Art. 9 Basis", IF(OR(I8641="Invalid - Not Freely Given", I8641="Invalid - Not Specific", I8641="Invalid - Not Informed", I8641="Invalid - Ambiguous"), "Gap - Invalid Consent", "Compliant")))))</f>
        <v/>
      </c>
      <c r="O8641" s="7" t="n"/>
    </row>
    <row r="8642">
      <c r="A8642" s="7" t="n"/>
      <c r="B8642" s="7" t="n"/>
      <c r="C8642" s="7" t="n"/>
      <c r="D8642" s="7" t="n"/>
      <c r="E8642" s="7" t="n"/>
      <c r="F8642" s="7" t="n"/>
      <c r="G8642" s="7" t="n"/>
      <c r="H8642" s="7" t="n"/>
      <c r="I8642" s="7" t="n"/>
      <c r="J8642" s="7" t="n"/>
      <c r="K8642">
        <f>IF(D8642="Legitimate Interest (GDPR Art. 6(1)(f))", "Yes / Required (Sheet 3)", "")</f>
        <v/>
      </c>
      <c r="L8642" s="7" t="n"/>
      <c r="M8642" s="7" t="n"/>
      <c r="N8642">
        <f>IF(D8642="", "Gap - No Legal Basis", IF(AND(D8642="Consent (GDPR Art. 6(1)(a))", I8642="Not Captured"), "Gap - Invalid Consent", IF(AND(D8642="Legitimate Interest (GDPR Art. 6(1)(f))", L8642=""), "Gap - Missing LIA", IF(AND(G8642="Yes", H8642=""), "Gap - Missing Art. 9 Basis", IF(OR(I8642="Invalid - Not Freely Given", I8642="Invalid - Not Specific", I8642="Invalid - Not Informed", I8642="Invalid - Ambiguous"), "Gap - Invalid Consent", "Compliant")))))</f>
        <v/>
      </c>
      <c r="O8642" s="7" t="n"/>
    </row>
    <row r="8643">
      <c r="A8643" s="7" t="n"/>
      <c r="B8643" s="7" t="n"/>
      <c r="C8643" s="7" t="n"/>
      <c r="D8643" s="7" t="n"/>
      <c r="E8643" s="7" t="n"/>
      <c r="F8643" s="7" t="n"/>
      <c r="G8643" s="7" t="n"/>
      <c r="H8643" s="7" t="n"/>
      <c r="I8643" s="7" t="n"/>
      <c r="J8643" s="7" t="n"/>
      <c r="K8643">
        <f>IF(D8643="Legitimate Interest (GDPR Art. 6(1)(f))", "Yes / Required (Sheet 3)", "")</f>
        <v/>
      </c>
      <c r="L8643" s="7" t="n"/>
      <c r="M8643" s="7" t="n"/>
      <c r="N8643">
        <f>IF(D8643="", "Gap - No Legal Basis", IF(AND(D8643="Consent (GDPR Art. 6(1)(a))", I8643="Not Captured"), "Gap - Invalid Consent", IF(AND(D8643="Legitimate Interest (GDPR Art. 6(1)(f))", L8643=""), "Gap - Missing LIA", IF(AND(G8643="Yes", H8643=""), "Gap - Missing Art. 9 Basis", IF(OR(I8643="Invalid - Not Freely Given", I8643="Invalid - Not Specific", I8643="Invalid - Not Informed", I8643="Invalid - Ambiguous"), "Gap - Invalid Consent", "Compliant")))))</f>
        <v/>
      </c>
      <c r="O8643" s="7" t="n"/>
    </row>
    <row r="8644">
      <c r="A8644" s="7" t="n"/>
      <c r="B8644" s="7" t="n"/>
      <c r="C8644" s="7" t="n"/>
      <c r="D8644" s="7" t="n"/>
      <c r="E8644" s="7" t="n"/>
      <c r="F8644" s="7" t="n"/>
      <c r="G8644" s="7" t="n"/>
      <c r="H8644" s="7" t="n"/>
      <c r="I8644" s="7" t="n"/>
      <c r="J8644" s="7" t="n"/>
      <c r="K8644">
        <f>IF(D8644="Legitimate Interest (GDPR Art. 6(1)(f))", "Yes / Required (Sheet 3)", "")</f>
        <v/>
      </c>
      <c r="L8644" s="7" t="n"/>
      <c r="M8644" s="7" t="n"/>
      <c r="N8644">
        <f>IF(D8644="", "Gap - No Legal Basis", IF(AND(D8644="Consent (GDPR Art. 6(1)(a))", I8644="Not Captured"), "Gap - Invalid Consent", IF(AND(D8644="Legitimate Interest (GDPR Art. 6(1)(f))", L8644=""), "Gap - Missing LIA", IF(AND(G8644="Yes", H8644=""), "Gap - Missing Art. 9 Basis", IF(OR(I8644="Invalid - Not Freely Given", I8644="Invalid - Not Specific", I8644="Invalid - Not Informed", I8644="Invalid - Ambiguous"), "Gap - Invalid Consent", "Compliant")))))</f>
        <v/>
      </c>
      <c r="O8644" s="7" t="n"/>
    </row>
    <row r="8645">
      <c r="A8645" s="7" t="n"/>
      <c r="B8645" s="7" t="n"/>
      <c r="C8645" s="7" t="n"/>
      <c r="D8645" s="7" t="n"/>
      <c r="E8645" s="7" t="n"/>
      <c r="F8645" s="7" t="n"/>
      <c r="G8645" s="7" t="n"/>
      <c r="H8645" s="7" t="n"/>
      <c r="I8645" s="7" t="n"/>
      <c r="J8645" s="7" t="n"/>
      <c r="K8645">
        <f>IF(D8645="Legitimate Interest (GDPR Art. 6(1)(f))", "Yes / Required (Sheet 3)", "")</f>
        <v/>
      </c>
      <c r="L8645" s="7" t="n"/>
      <c r="M8645" s="7" t="n"/>
      <c r="N8645">
        <f>IF(D8645="", "Gap - No Legal Basis", IF(AND(D8645="Consent (GDPR Art. 6(1)(a))", I8645="Not Captured"), "Gap - Invalid Consent", IF(AND(D8645="Legitimate Interest (GDPR Art. 6(1)(f))", L8645=""), "Gap - Missing LIA", IF(AND(G8645="Yes", H8645=""), "Gap - Missing Art. 9 Basis", IF(OR(I8645="Invalid - Not Freely Given", I8645="Invalid - Not Specific", I8645="Invalid - Not Informed", I8645="Invalid - Ambiguous"), "Gap - Invalid Consent", "Compliant")))))</f>
        <v/>
      </c>
      <c r="O8645" s="7" t="n"/>
    </row>
    <row r="8646">
      <c r="A8646" s="7" t="n"/>
      <c r="B8646" s="7" t="n"/>
      <c r="C8646" s="7" t="n"/>
      <c r="D8646" s="7" t="n"/>
      <c r="E8646" s="7" t="n"/>
      <c r="F8646" s="7" t="n"/>
      <c r="G8646" s="7" t="n"/>
      <c r="H8646" s="7" t="n"/>
      <c r="I8646" s="7" t="n"/>
      <c r="J8646" s="7" t="n"/>
      <c r="K8646">
        <f>IF(D8646="Legitimate Interest (GDPR Art. 6(1)(f))", "Yes / Required (Sheet 3)", "")</f>
        <v/>
      </c>
      <c r="L8646" s="7" t="n"/>
      <c r="M8646" s="7" t="n"/>
      <c r="N8646">
        <f>IF(D8646="", "Gap - No Legal Basis", IF(AND(D8646="Consent (GDPR Art. 6(1)(a))", I8646="Not Captured"), "Gap - Invalid Consent", IF(AND(D8646="Legitimate Interest (GDPR Art. 6(1)(f))", L8646=""), "Gap - Missing LIA", IF(AND(G8646="Yes", H8646=""), "Gap - Missing Art. 9 Basis", IF(OR(I8646="Invalid - Not Freely Given", I8646="Invalid - Not Specific", I8646="Invalid - Not Informed", I8646="Invalid - Ambiguous"), "Gap - Invalid Consent", "Compliant")))))</f>
        <v/>
      </c>
      <c r="O8646" s="7" t="n"/>
    </row>
    <row r="8647">
      <c r="A8647" s="7" t="n"/>
      <c r="B8647" s="7" t="n"/>
      <c r="C8647" s="7" t="n"/>
      <c r="D8647" s="7" t="n"/>
      <c r="E8647" s="7" t="n"/>
      <c r="F8647" s="7" t="n"/>
      <c r="G8647" s="7" t="n"/>
      <c r="H8647" s="7" t="n"/>
      <c r="I8647" s="7" t="n"/>
      <c r="J8647" s="7" t="n"/>
      <c r="K8647">
        <f>IF(D8647="Legitimate Interest (GDPR Art. 6(1)(f))", "Yes / Required (Sheet 3)", "")</f>
        <v/>
      </c>
      <c r="L8647" s="7" t="n"/>
      <c r="M8647" s="7" t="n"/>
      <c r="N8647">
        <f>IF(D8647="", "Gap - No Legal Basis", IF(AND(D8647="Consent (GDPR Art. 6(1)(a))", I8647="Not Captured"), "Gap - Invalid Consent", IF(AND(D8647="Legitimate Interest (GDPR Art. 6(1)(f))", L8647=""), "Gap - Missing LIA", IF(AND(G8647="Yes", H8647=""), "Gap - Missing Art. 9 Basis", IF(OR(I8647="Invalid - Not Freely Given", I8647="Invalid - Not Specific", I8647="Invalid - Not Informed", I8647="Invalid - Ambiguous"), "Gap - Invalid Consent", "Compliant")))))</f>
        <v/>
      </c>
      <c r="O8647" s="7" t="n"/>
    </row>
    <row r="8648">
      <c r="A8648" s="7" t="n"/>
      <c r="B8648" s="7" t="n"/>
      <c r="C8648" s="7" t="n"/>
      <c r="D8648" s="7" t="n"/>
      <c r="E8648" s="7" t="n"/>
      <c r="F8648" s="7" t="n"/>
      <c r="G8648" s="7" t="n"/>
      <c r="H8648" s="7" t="n"/>
      <c r="I8648" s="7" t="n"/>
      <c r="J8648" s="7" t="n"/>
      <c r="K8648">
        <f>IF(D8648="Legitimate Interest (GDPR Art. 6(1)(f))", "Yes / Required (Sheet 3)", "")</f>
        <v/>
      </c>
      <c r="L8648" s="7" t="n"/>
      <c r="M8648" s="7" t="n"/>
      <c r="N8648">
        <f>IF(D8648="", "Gap - No Legal Basis", IF(AND(D8648="Consent (GDPR Art. 6(1)(a))", I8648="Not Captured"), "Gap - Invalid Consent", IF(AND(D8648="Legitimate Interest (GDPR Art. 6(1)(f))", L8648=""), "Gap - Missing LIA", IF(AND(G8648="Yes", H8648=""), "Gap - Missing Art. 9 Basis", IF(OR(I8648="Invalid - Not Freely Given", I8648="Invalid - Not Specific", I8648="Invalid - Not Informed", I8648="Invalid - Ambiguous"), "Gap - Invalid Consent", "Compliant")))))</f>
        <v/>
      </c>
      <c r="O8648" s="7" t="n"/>
    </row>
    <row r="8649">
      <c r="A8649" s="7" t="n"/>
      <c r="B8649" s="7" t="n"/>
      <c r="C8649" s="7" t="n"/>
      <c r="D8649" s="7" t="n"/>
      <c r="E8649" s="7" t="n"/>
      <c r="F8649" s="7" t="n"/>
      <c r="G8649" s="7" t="n"/>
      <c r="H8649" s="7" t="n"/>
      <c r="I8649" s="7" t="n"/>
      <c r="J8649" s="7" t="n"/>
      <c r="K8649">
        <f>IF(D8649="Legitimate Interest (GDPR Art. 6(1)(f))", "Yes / Required (Sheet 3)", "")</f>
        <v/>
      </c>
      <c r="L8649" s="7" t="n"/>
      <c r="M8649" s="7" t="n"/>
      <c r="N8649">
        <f>IF(D8649="", "Gap - No Legal Basis", IF(AND(D8649="Consent (GDPR Art. 6(1)(a))", I8649="Not Captured"), "Gap - Invalid Consent", IF(AND(D8649="Legitimate Interest (GDPR Art. 6(1)(f))", L8649=""), "Gap - Missing LIA", IF(AND(G8649="Yes", H8649=""), "Gap - Missing Art. 9 Basis", IF(OR(I8649="Invalid - Not Freely Given", I8649="Invalid - Not Specific", I8649="Invalid - Not Informed", I8649="Invalid - Ambiguous"), "Gap - Invalid Consent", "Compliant")))))</f>
        <v/>
      </c>
      <c r="O8649" s="7" t="n"/>
    </row>
    <row r="8650">
      <c r="A8650" s="7" t="n"/>
      <c r="B8650" s="7" t="n"/>
      <c r="C8650" s="7" t="n"/>
      <c r="D8650" s="7" t="n"/>
      <c r="E8650" s="7" t="n"/>
      <c r="F8650" s="7" t="n"/>
      <c r="G8650" s="7" t="n"/>
      <c r="H8650" s="7" t="n"/>
      <c r="I8650" s="7" t="n"/>
      <c r="J8650" s="7" t="n"/>
      <c r="K8650">
        <f>IF(D8650="Legitimate Interest (GDPR Art. 6(1)(f))", "Yes / Required (Sheet 3)", "")</f>
        <v/>
      </c>
      <c r="L8650" s="7" t="n"/>
      <c r="M8650" s="7" t="n"/>
      <c r="N8650">
        <f>IF(D8650="", "Gap - No Legal Basis", IF(AND(D8650="Consent (GDPR Art. 6(1)(a))", I8650="Not Captured"), "Gap - Invalid Consent", IF(AND(D8650="Legitimate Interest (GDPR Art. 6(1)(f))", L8650=""), "Gap - Missing LIA", IF(AND(G8650="Yes", H8650=""), "Gap - Missing Art. 9 Basis", IF(OR(I8650="Invalid - Not Freely Given", I8650="Invalid - Not Specific", I8650="Invalid - Not Informed", I8650="Invalid - Ambiguous"), "Gap - Invalid Consent", "Compliant")))))</f>
        <v/>
      </c>
      <c r="O8650" s="7" t="n"/>
    </row>
    <row r="8651">
      <c r="A8651" s="7" t="n"/>
      <c r="B8651" s="7" t="n"/>
      <c r="C8651" s="7" t="n"/>
      <c r="D8651" s="7" t="n"/>
      <c r="E8651" s="7" t="n"/>
      <c r="F8651" s="7" t="n"/>
      <c r="G8651" s="7" t="n"/>
      <c r="H8651" s="7" t="n"/>
      <c r="I8651" s="7" t="n"/>
      <c r="J8651" s="7" t="n"/>
      <c r="K8651">
        <f>IF(D8651="Legitimate Interest (GDPR Art. 6(1)(f))", "Yes / Required (Sheet 3)", "")</f>
        <v/>
      </c>
      <c r="L8651" s="7" t="n"/>
      <c r="M8651" s="7" t="n"/>
      <c r="N8651">
        <f>IF(D8651="", "Gap - No Legal Basis", IF(AND(D8651="Consent (GDPR Art. 6(1)(a))", I8651="Not Captured"), "Gap - Invalid Consent", IF(AND(D8651="Legitimate Interest (GDPR Art. 6(1)(f))", L8651=""), "Gap - Missing LIA", IF(AND(G8651="Yes", H8651=""), "Gap - Missing Art. 9 Basis", IF(OR(I8651="Invalid - Not Freely Given", I8651="Invalid - Not Specific", I8651="Invalid - Not Informed", I8651="Invalid - Ambiguous"), "Gap - Invalid Consent", "Compliant")))))</f>
        <v/>
      </c>
      <c r="O8651" s="7" t="n"/>
    </row>
    <row r="8652">
      <c r="A8652" s="7" t="n"/>
      <c r="B8652" s="7" t="n"/>
      <c r="C8652" s="7" t="n"/>
      <c r="D8652" s="7" t="n"/>
      <c r="E8652" s="7" t="n"/>
      <c r="F8652" s="7" t="n"/>
      <c r="G8652" s="7" t="n"/>
      <c r="H8652" s="7" t="n"/>
      <c r="I8652" s="7" t="n"/>
      <c r="J8652" s="7" t="n"/>
      <c r="K8652">
        <f>IF(D8652="Legitimate Interest (GDPR Art. 6(1)(f))", "Yes / Required (Sheet 3)", "")</f>
        <v/>
      </c>
      <c r="L8652" s="7" t="n"/>
      <c r="M8652" s="7" t="n"/>
      <c r="N8652">
        <f>IF(D8652="", "Gap - No Legal Basis", IF(AND(D8652="Consent (GDPR Art. 6(1)(a))", I8652="Not Captured"), "Gap - Invalid Consent", IF(AND(D8652="Legitimate Interest (GDPR Art. 6(1)(f))", L8652=""), "Gap - Missing LIA", IF(AND(G8652="Yes", H8652=""), "Gap - Missing Art. 9 Basis", IF(OR(I8652="Invalid - Not Freely Given", I8652="Invalid - Not Specific", I8652="Invalid - Not Informed", I8652="Invalid - Ambiguous"), "Gap - Invalid Consent", "Compliant")))))</f>
        <v/>
      </c>
      <c r="O8652" s="7" t="n"/>
    </row>
    <row r="8653">
      <c r="A8653" s="7" t="n"/>
      <c r="B8653" s="7" t="n"/>
      <c r="C8653" s="7" t="n"/>
      <c r="D8653" s="7" t="n"/>
      <c r="E8653" s="7" t="n"/>
      <c r="F8653" s="7" t="n"/>
      <c r="G8653" s="7" t="n"/>
      <c r="H8653" s="7" t="n"/>
      <c r="I8653" s="7" t="n"/>
      <c r="J8653" s="7" t="n"/>
      <c r="K8653">
        <f>IF(D8653="Legitimate Interest (GDPR Art. 6(1)(f))", "Yes / Required (Sheet 3)", "")</f>
        <v/>
      </c>
      <c r="L8653" s="7" t="n"/>
      <c r="M8653" s="7" t="n"/>
      <c r="N8653">
        <f>IF(D8653="", "Gap - No Legal Basis", IF(AND(D8653="Consent (GDPR Art. 6(1)(a))", I8653="Not Captured"), "Gap - Invalid Consent", IF(AND(D8653="Legitimate Interest (GDPR Art. 6(1)(f))", L8653=""), "Gap - Missing LIA", IF(AND(G8653="Yes", H8653=""), "Gap - Missing Art. 9 Basis", IF(OR(I8653="Invalid - Not Freely Given", I8653="Invalid - Not Specific", I8653="Invalid - Not Informed", I8653="Invalid - Ambiguous"), "Gap - Invalid Consent", "Compliant")))))</f>
        <v/>
      </c>
      <c r="O8653" s="7" t="n"/>
    </row>
    <row r="8654">
      <c r="A8654" s="7" t="n"/>
      <c r="B8654" s="7" t="n"/>
      <c r="C8654" s="7" t="n"/>
      <c r="D8654" s="7" t="n"/>
      <c r="E8654" s="7" t="n"/>
      <c r="F8654" s="7" t="n"/>
      <c r="G8654" s="7" t="n"/>
      <c r="H8654" s="7" t="n"/>
      <c r="I8654" s="7" t="n"/>
      <c r="J8654" s="7" t="n"/>
      <c r="K8654">
        <f>IF(D8654="Legitimate Interest (GDPR Art. 6(1)(f))", "Yes / Required (Sheet 3)", "")</f>
        <v/>
      </c>
      <c r="L8654" s="7" t="n"/>
      <c r="M8654" s="7" t="n"/>
      <c r="N8654">
        <f>IF(D8654="", "Gap - No Legal Basis", IF(AND(D8654="Consent (GDPR Art. 6(1)(a))", I8654="Not Captured"), "Gap - Invalid Consent", IF(AND(D8654="Legitimate Interest (GDPR Art. 6(1)(f))", L8654=""), "Gap - Missing LIA", IF(AND(G8654="Yes", H8654=""), "Gap - Missing Art. 9 Basis", IF(OR(I8654="Invalid - Not Freely Given", I8654="Invalid - Not Specific", I8654="Invalid - Not Informed", I8654="Invalid - Ambiguous"), "Gap - Invalid Consent", "Compliant")))))</f>
        <v/>
      </c>
      <c r="O8654" s="7" t="n"/>
    </row>
    <row r="8655">
      <c r="A8655" s="7" t="n"/>
      <c r="B8655" s="7" t="n"/>
      <c r="C8655" s="7" t="n"/>
      <c r="D8655" s="7" t="n"/>
      <c r="E8655" s="7" t="n"/>
      <c r="F8655" s="7" t="n"/>
      <c r="G8655" s="7" t="n"/>
      <c r="H8655" s="7" t="n"/>
      <c r="I8655" s="7" t="n"/>
      <c r="J8655" s="7" t="n"/>
      <c r="K8655">
        <f>IF(D8655="Legitimate Interest (GDPR Art. 6(1)(f))", "Yes / Required (Sheet 3)", "")</f>
        <v/>
      </c>
      <c r="L8655" s="7" t="n"/>
      <c r="M8655" s="7" t="n"/>
      <c r="N8655">
        <f>IF(D8655="", "Gap - No Legal Basis", IF(AND(D8655="Consent (GDPR Art. 6(1)(a))", I8655="Not Captured"), "Gap - Invalid Consent", IF(AND(D8655="Legitimate Interest (GDPR Art. 6(1)(f))", L8655=""), "Gap - Missing LIA", IF(AND(G8655="Yes", H8655=""), "Gap - Missing Art. 9 Basis", IF(OR(I8655="Invalid - Not Freely Given", I8655="Invalid - Not Specific", I8655="Invalid - Not Informed", I8655="Invalid - Ambiguous"), "Gap - Invalid Consent", "Compliant")))))</f>
        <v/>
      </c>
      <c r="O8655" s="7" t="n"/>
    </row>
    <row r="8656">
      <c r="A8656" s="7" t="n"/>
      <c r="B8656" s="7" t="n"/>
      <c r="C8656" s="7" t="n"/>
      <c r="D8656" s="7" t="n"/>
      <c r="E8656" s="7" t="n"/>
      <c r="F8656" s="7" t="n"/>
      <c r="G8656" s="7" t="n"/>
      <c r="H8656" s="7" t="n"/>
      <c r="I8656" s="7" t="n"/>
      <c r="J8656" s="7" t="n"/>
      <c r="K8656">
        <f>IF(D8656="Legitimate Interest (GDPR Art. 6(1)(f))", "Yes / Required (Sheet 3)", "")</f>
        <v/>
      </c>
      <c r="L8656" s="7" t="n"/>
      <c r="M8656" s="7" t="n"/>
      <c r="N8656">
        <f>IF(D8656="", "Gap - No Legal Basis", IF(AND(D8656="Consent (GDPR Art. 6(1)(a))", I8656="Not Captured"), "Gap - Invalid Consent", IF(AND(D8656="Legitimate Interest (GDPR Art. 6(1)(f))", L8656=""), "Gap - Missing LIA", IF(AND(G8656="Yes", H8656=""), "Gap - Missing Art. 9 Basis", IF(OR(I8656="Invalid - Not Freely Given", I8656="Invalid - Not Specific", I8656="Invalid - Not Informed", I8656="Invalid - Ambiguous"), "Gap - Invalid Consent", "Compliant")))))</f>
        <v/>
      </c>
      <c r="O8656" s="7" t="n"/>
    </row>
    <row r="8657">
      <c r="A8657" s="7" t="n"/>
      <c r="B8657" s="7" t="n"/>
      <c r="C8657" s="7" t="n"/>
      <c r="D8657" s="7" t="n"/>
      <c r="E8657" s="7" t="n"/>
      <c r="F8657" s="7" t="n"/>
      <c r="G8657" s="7" t="n"/>
      <c r="H8657" s="7" t="n"/>
      <c r="I8657" s="7" t="n"/>
      <c r="J8657" s="7" t="n"/>
      <c r="K8657">
        <f>IF(D8657="Legitimate Interest (GDPR Art. 6(1)(f))", "Yes / Required (Sheet 3)", "")</f>
        <v/>
      </c>
      <c r="L8657" s="7" t="n"/>
      <c r="M8657" s="7" t="n"/>
      <c r="N8657">
        <f>IF(D8657="", "Gap - No Legal Basis", IF(AND(D8657="Consent (GDPR Art. 6(1)(a))", I8657="Not Captured"), "Gap - Invalid Consent", IF(AND(D8657="Legitimate Interest (GDPR Art. 6(1)(f))", L8657=""), "Gap - Missing LIA", IF(AND(G8657="Yes", H8657=""), "Gap - Missing Art. 9 Basis", IF(OR(I8657="Invalid - Not Freely Given", I8657="Invalid - Not Specific", I8657="Invalid - Not Informed", I8657="Invalid - Ambiguous"), "Gap - Invalid Consent", "Compliant")))))</f>
        <v/>
      </c>
      <c r="O8657" s="7" t="n"/>
    </row>
    <row r="8658">
      <c r="A8658" s="7" t="n"/>
      <c r="B8658" s="7" t="n"/>
      <c r="C8658" s="7" t="n"/>
      <c r="D8658" s="7" t="n"/>
      <c r="E8658" s="7" t="n"/>
      <c r="F8658" s="7" t="n"/>
      <c r="G8658" s="7" t="n"/>
      <c r="H8658" s="7" t="n"/>
      <c r="I8658" s="7" t="n"/>
      <c r="J8658" s="7" t="n"/>
      <c r="K8658">
        <f>IF(D8658="Legitimate Interest (GDPR Art. 6(1)(f))", "Yes / Required (Sheet 3)", "")</f>
        <v/>
      </c>
      <c r="L8658" s="7" t="n"/>
      <c r="M8658" s="7" t="n"/>
      <c r="N8658">
        <f>IF(D8658="", "Gap - No Legal Basis", IF(AND(D8658="Consent (GDPR Art. 6(1)(a))", I8658="Not Captured"), "Gap - Invalid Consent", IF(AND(D8658="Legitimate Interest (GDPR Art. 6(1)(f))", L8658=""), "Gap - Missing LIA", IF(AND(G8658="Yes", H8658=""), "Gap - Missing Art. 9 Basis", IF(OR(I8658="Invalid - Not Freely Given", I8658="Invalid - Not Specific", I8658="Invalid - Not Informed", I8658="Invalid - Ambiguous"), "Gap - Invalid Consent", "Compliant")))))</f>
        <v/>
      </c>
      <c r="O8658" s="7" t="n"/>
    </row>
    <row r="8659">
      <c r="A8659" s="7" t="n"/>
      <c r="B8659" s="7" t="n"/>
      <c r="C8659" s="7" t="n"/>
      <c r="D8659" s="7" t="n"/>
      <c r="E8659" s="7" t="n"/>
      <c r="F8659" s="7" t="n"/>
      <c r="G8659" s="7" t="n"/>
      <c r="H8659" s="7" t="n"/>
      <c r="I8659" s="7" t="n"/>
      <c r="J8659" s="7" t="n"/>
      <c r="K8659">
        <f>IF(D8659="Legitimate Interest (GDPR Art. 6(1)(f))", "Yes / Required (Sheet 3)", "")</f>
        <v/>
      </c>
      <c r="L8659" s="7" t="n"/>
      <c r="M8659" s="7" t="n"/>
      <c r="N8659">
        <f>IF(D8659="", "Gap - No Legal Basis", IF(AND(D8659="Consent (GDPR Art. 6(1)(a))", I8659="Not Captured"), "Gap - Invalid Consent", IF(AND(D8659="Legitimate Interest (GDPR Art. 6(1)(f))", L8659=""), "Gap - Missing LIA", IF(AND(G8659="Yes", H8659=""), "Gap - Missing Art. 9 Basis", IF(OR(I8659="Invalid - Not Freely Given", I8659="Invalid - Not Specific", I8659="Invalid - Not Informed", I8659="Invalid - Ambiguous"), "Gap - Invalid Consent", "Compliant")))))</f>
        <v/>
      </c>
      <c r="O8659" s="7" t="n"/>
    </row>
    <row r="8660">
      <c r="A8660" s="7" t="n"/>
      <c r="B8660" s="7" t="n"/>
      <c r="C8660" s="7" t="n"/>
      <c r="D8660" s="7" t="n"/>
      <c r="E8660" s="7" t="n"/>
      <c r="F8660" s="7" t="n"/>
      <c r="G8660" s="7" t="n"/>
      <c r="H8660" s="7" t="n"/>
      <c r="I8660" s="7" t="n"/>
      <c r="J8660" s="7" t="n"/>
      <c r="K8660">
        <f>IF(D8660="Legitimate Interest (GDPR Art. 6(1)(f))", "Yes / Required (Sheet 3)", "")</f>
        <v/>
      </c>
      <c r="L8660" s="7" t="n"/>
      <c r="M8660" s="7" t="n"/>
      <c r="N8660">
        <f>IF(D8660="", "Gap - No Legal Basis", IF(AND(D8660="Consent (GDPR Art. 6(1)(a))", I8660="Not Captured"), "Gap - Invalid Consent", IF(AND(D8660="Legitimate Interest (GDPR Art. 6(1)(f))", L8660=""), "Gap - Missing LIA", IF(AND(G8660="Yes", H8660=""), "Gap - Missing Art. 9 Basis", IF(OR(I8660="Invalid - Not Freely Given", I8660="Invalid - Not Specific", I8660="Invalid - Not Informed", I8660="Invalid - Ambiguous"), "Gap - Invalid Consent", "Compliant")))))</f>
        <v/>
      </c>
      <c r="O8660" s="7" t="n"/>
    </row>
    <row r="8661">
      <c r="A8661" s="7" t="n"/>
      <c r="B8661" s="7" t="n"/>
      <c r="C8661" s="7" t="n"/>
      <c r="D8661" s="7" t="n"/>
      <c r="E8661" s="7" t="n"/>
      <c r="F8661" s="7" t="n"/>
      <c r="G8661" s="7" t="n"/>
      <c r="H8661" s="7" t="n"/>
      <c r="I8661" s="7" t="n"/>
      <c r="J8661" s="7" t="n"/>
      <c r="K8661">
        <f>IF(D8661="Legitimate Interest (GDPR Art. 6(1)(f))", "Yes / Required (Sheet 3)", "")</f>
        <v/>
      </c>
      <c r="L8661" s="7" t="n"/>
      <c r="M8661" s="7" t="n"/>
      <c r="N8661">
        <f>IF(D8661="", "Gap - No Legal Basis", IF(AND(D8661="Consent (GDPR Art. 6(1)(a))", I8661="Not Captured"), "Gap - Invalid Consent", IF(AND(D8661="Legitimate Interest (GDPR Art. 6(1)(f))", L8661=""), "Gap - Missing LIA", IF(AND(G8661="Yes", H8661=""), "Gap - Missing Art. 9 Basis", IF(OR(I8661="Invalid - Not Freely Given", I8661="Invalid - Not Specific", I8661="Invalid - Not Informed", I8661="Invalid - Ambiguous"), "Gap - Invalid Consent", "Compliant")))))</f>
        <v/>
      </c>
      <c r="O8661" s="7" t="n"/>
    </row>
    <row r="8662">
      <c r="A8662" s="7" t="n"/>
      <c r="B8662" s="7" t="n"/>
      <c r="C8662" s="7" t="n"/>
      <c r="D8662" s="7" t="n"/>
      <c r="E8662" s="7" t="n"/>
      <c r="F8662" s="7" t="n"/>
      <c r="G8662" s="7" t="n"/>
      <c r="H8662" s="7" t="n"/>
      <c r="I8662" s="7" t="n"/>
      <c r="J8662" s="7" t="n"/>
      <c r="K8662">
        <f>IF(D8662="Legitimate Interest (GDPR Art. 6(1)(f))", "Yes / Required (Sheet 3)", "")</f>
        <v/>
      </c>
      <c r="L8662" s="7" t="n"/>
      <c r="M8662" s="7" t="n"/>
      <c r="N8662">
        <f>IF(D8662="", "Gap - No Legal Basis", IF(AND(D8662="Consent (GDPR Art. 6(1)(a))", I8662="Not Captured"), "Gap - Invalid Consent", IF(AND(D8662="Legitimate Interest (GDPR Art. 6(1)(f))", L8662=""), "Gap - Missing LIA", IF(AND(G8662="Yes", H8662=""), "Gap - Missing Art. 9 Basis", IF(OR(I8662="Invalid - Not Freely Given", I8662="Invalid - Not Specific", I8662="Invalid - Not Informed", I8662="Invalid - Ambiguous"), "Gap - Invalid Consent", "Compliant")))))</f>
        <v/>
      </c>
      <c r="O8662" s="7" t="n"/>
    </row>
    <row r="8663">
      <c r="A8663" s="7" t="n"/>
      <c r="B8663" s="7" t="n"/>
      <c r="C8663" s="7" t="n"/>
      <c r="D8663" s="7" t="n"/>
      <c r="E8663" s="7" t="n"/>
      <c r="F8663" s="7" t="n"/>
      <c r="G8663" s="7" t="n"/>
      <c r="H8663" s="7" t="n"/>
      <c r="I8663" s="7" t="n"/>
      <c r="J8663" s="7" t="n"/>
      <c r="K8663">
        <f>IF(D8663="Legitimate Interest (GDPR Art. 6(1)(f))", "Yes / Required (Sheet 3)", "")</f>
        <v/>
      </c>
      <c r="L8663" s="7" t="n"/>
      <c r="M8663" s="7" t="n"/>
      <c r="N8663">
        <f>IF(D8663="", "Gap - No Legal Basis", IF(AND(D8663="Consent (GDPR Art. 6(1)(a))", I8663="Not Captured"), "Gap - Invalid Consent", IF(AND(D8663="Legitimate Interest (GDPR Art. 6(1)(f))", L8663=""), "Gap - Missing LIA", IF(AND(G8663="Yes", H8663=""), "Gap - Missing Art. 9 Basis", IF(OR(I8663="Invalid - Not Freely Given", I8663="Invalid - Not Specific", I8663="Invalid - Not Informed", I8663="Invalid - Ambiguous"), "Gap - Invalid Consent", "Compliant")))))</f>
        <v/>
      </c>
      <c r="O8663" s="7" t="n"/>
    </row>
    <row r="8664">
      <c r="A8664" s="7" t="n"/>
      <c r="B8664" s="7" t="n"/>
      <c r="C8664" s="7" t="n"/>
      <c r="D8664" s="7" t="n"/>
      <c r="E8664" s="7" t="n"/>
      <c r="F8664" s="7" t="n"/>
      <c r="G8664" s="7" t="n"/>
      <c r="H8664" s="7" t="n"/>
      <c r="I8664" s="7" t="n"/>
      <c r="J8664" s="7" t="n"/>
      <c r="K8664">
        <f>IF(D8664="Legitimate Interest (GDPR Art. 6(1)(f))", "Yes / Required (Sheet 3)", "")</f>
        <v/>
      </c>
      <c r="L8664" s="7" t="n"/>
      <c r="M8664" s="7" t="n"/>
      <c r="N8664">
        <f>IF(D8664="", "Gap - No Legal Basis", IF(AND(D8664="Consent (GDPR Art. 6(1)(a))", I8664="Not Captured"), "Gap - Invalid Consent", IF(AND(D8664="Legitimate Interest (GDPR Art. 6(1)(f))", L8664=""), "Gap - Missing LIA", IF(AND(G8664="Yes", H8664=""), "Gap - Missing Art. 9 Basis", IF(OR(I8664="Invalid - Not Freely Given", I8664="Invalid - Not Specific", I8664="Invalid - Not Informed", I8664="Invalid - Ambiguous"), "Gap - Invalid Consent", "Compliant")))))</f>
        <v/>
      </c>
      <c r="O8664" s="7" t="n"/>
    </row>
    <row r="8665">
      <c r="A8665" s="7" t="n"/>
      <c r="B8665" s="7" t="n"/>
      <c r="C8665" s="7" t="n"/>
      <c r="D8665" s="7" t="n"/>
      <c r="E8665" s="7" t="n"/>
      <c r="F8665" s="7" t="n"/>
      <c r="G8665" s="7" t="n"/>
      <c r="H8665" s="7" t="n"/>
      <c r="I8665" s="7" t="n"/>
      <c r="J8665" s="7" t="n"/>
      <c r="K8665">
        <f>IF(D8665="Legitimate Interest (GDPR Art. 6(1)(f))", "Yes / Required (Sheet 3)", "")</f>
        <v/>
      </c>
      <c r="L8665" s="7" t="n"/>
      <c r="M8665" s="7" t="n"/>
      <c r="N8665">
        <f>IF(D8665="", "Gap - No Legal Basis", IF(AND(D8665="Consent (GDPR Art. 6(1)(a))", I8665="Not Captured"), "Gap - Invalid Consent", IF(AND(D8665="Legitimate Interest (GDPR Art. 6(1)(f))", L8665=""), "Gap - Missing LIA", IF(AND(G8665="Yes", H8665=""), "Gap - Missing Art. 9 Basis", IF(OR(I8665="Invalid - Not Freely Given", I8665="Invalid - Not Specific", I8665="Invalid - Not Informed", I8665="Invalid - Ambiguous"), "Gap - Invalid Consent", "Compliant")))))</f>
        <v/>
      </c>
      <c r="O8665" s="7" t="n"/>
    </row>
    <row r="8666">
      <c r="A8666" s="7" t="n"/>
      <c r="B8666" s="7" t="n"/>
      <c r="C8666" s="7" t="n"/>
      <c r="D8666" s="7" t="n"/>
      <c r="E8666" s="7" t="n"/>
      <c r="F8666" s="7" t="n"/>
      <c r="G8666" s="7" t="n"/>
      <c r="H8666" s="7" t="n"/>
      <c r="I8666" s="7" t="n"/>
      <c r="J8666" s="7" t="n"/>
      <c r="K8666">
        <f>IF(D8666="Legitimate Interest (GDPR Art. 6(1)(f))", "Yes / Required (Sheet 3)", "")</f>
        <v/>
      </c>
      <c r="L8666" s="7" t="n"/>
      <c r="M8666" s="7" t="n"/>
      <c r="N8666">
        <f>IF(D8666="", "Gap - No Legal Basis", IF(AND(D8666="Consent (GDPR Art. 6(1)(a))", I8666="Not Captured"), "Gap - Invalid Consent", IF(AND(D8666="Legitimate Interest (GDPR Art. 6(1)(f))", L8666=""), "Gap - Missing LIA", IF(AND(G8666="Yes", H8666=""), "Gap - Missing Art. 9 Basis", IF(OR(I8666="Invalid - Not Freely Given", I8666="Invalid - Not Specific", I8666="Invalid - Not Informed", I8666="Invalid - Ambiguous"), "Gap - Invalid Consent", "Compliant")))))</f>
        <v/>
      </c>
      <c r="O8666" s="7" t="n"/>
    </row>
    <row r="8667">
      <c r="A8667" s="7" t="n"/>
      <c r="B8667" s="7" t="n"/>
      <c r="C8667" s="7" t="n"/>
      <c r="D8667" s="7" t="n"/>
      <c r="E8667" s="7" t="n"/>
      <c r="F8667" s="7" t="n"/>
      <c r="G8667" s="7" t="n"/>
      <c r="H8667" s="7" t="n"/>
      <c r="I8667" s="7" t="n"/>
      <c r="J8667" s="7" t="n"/>
      <c r="K8667">
        <f>IF(D8667="Legitimate Interest (GDPR Art. 6(1)(f))", "Yes / Required (Sheet 3)", "")</f>
        <v/>
      </c>
      <c r="L8667" s="7" t="n"/>
      <c r="M8667" s="7" t="n"/>
      <c r="N8667">
        <f>IF(D8667="", "Gap - No Legal Basis", IF(AND(D8667="Consent (GDPR Art. 6(1)(a))", I8667="Not Captured"), "Gap - Invalid Consent", IF(AND(D8667="Legitimate Interest (GDPR Art. 6(1)(f))", L8667=""), "Gap - Missing LIA", IF(AND(G8667="Yes", H8667=""), "Gap - Missing Art. 9 Basis", IF(OR(I8667="Invalid - Not Freely Given", I8667="Invalid - Not Specific", I8667="Invalid - Not Informed", I8667="Invalid - Ambiguous"), "Gap - Invalid Consent", "Compliant")))))</f>
        <v/>
      </c>
      <c r="O8667" s="7" t="n"/>
    </row>
    <row r="8668">
      <c r="A8668" s="7" t="n"/>
      <c r="B8668" s="7" t="n"/>
      <c r="C8668" s="7" t="n"/>
      <c r="D8668" s="7" t="n"/>
      <c r="E8668" s="7" t="n"/>
      <c r="F8668" s="7" t="n"/>
      <c r="G8668" s="7" t="n"/>
      <c r="H8668" s="7" t="n"/>
      <c r="I8668" s="7" t="n"/>
      <c r="J8668" s="7" t="n"/>
      <c r="K8668">
        <f>IF(D8668="Legitimate Interest (GDPR Art. 6(1)(f))", "Yes / Required (Sheet 3)", "")</f>
        <v/>
      </c>
      <c r="L8668" s="7" t="n"/>
      <c r="M8668" s="7" t="n"/>
      <c r="N8668">
        <f>IF(D8668="", "Gap - No Legal Basis", IF(AND(D8668="Consent (GDPR Art. 6(1)(a))", I8668="Not Captured"), "Gap - Invalid Consent", IF(AND(D8668="Legitimate Interest (GDPR Art. 6(1)(f))", L8668=""), "Gap - Missing LIA", IF(AND(G8668="Yes", H8668=""), "Gap - Missing Art. 9 Basis", IF(OR(I8668="Invalid - Not Freely Given", I8668="Invalid - Not Specific", I8668="Invalid - Not Informed", I8668="Invalid - Ambiguous"), "Gap - Invalid Consent", "Compliant")))))</f>
        <v/>
      </c>
      <c r="O8668" s="7" t="n"/>
    </row>
    <row r="8669">
      <c r="A8669" s="7" t="n"/>
      <c r="B8669" s="7" t="n"/>
      <c r="C8669" s="7" t="n"/>
      <c r="D8669" s="7" t="n"/>
      <c r="E8669" s="7" t="n"/>
      <c r="F8669" s="7" t="n"/>
      <c r="G8669" s="7" t="n"/>
      <c r="H8669" s="7" t="n"/>
      <c r="I8669" s="7" t="n"/>
      <c r="J8669" s="7" t="n"/>
      <c r="K8669">
        <f>IF(D8669="Legitimate Interest (GDPR Art. 6(1)(f))", "Yes / Required (Sheet 3)", "")</f>
        <v/>
      </c>
      <c r="L8669" s="7" t="n"/>
      <c r="M8669" s="7" t="n"/>
      <c r="N8669">
        <f>IF(D8669="", "Gap - No Legal Basis", IF(AND(D8669="Consent (GDPR Art. 6(1)(a))", I8669="Not Captured"), "Gap - Invalid Consent", IF(AND(D8669="Legitimate Interest (GDPR Art. 6(1)(f))", L8669=""), "Gap - Missing LIA", IF(AND(G8669="Yes", H8669=""), "Gap - Missing Art. 9 Basis", IF(OR(I8669="Invalid - Not Freely Given", I8669="Invalid - Not Specific", I8669="Invalid - Not Informed", I8669="Invalid - Ambiguous"), "Gap - Invalid Consent", "Compliant")))))</f>
        <v/>
      </c>
      <c r="O8669" s="7" t="n"/>
    </row>
    <row r="8670">
      <c r="A8670" s="7" t="n"/>
      <c r="B8670" s="7" t="n"/>
      <c r="C8670" s="7" t="n"/>
      <c r="D8670" s="7" t="n"/>
      <c r="E8670" s="7" t="n"/>
      <c r="F8670" s="7" t="n"/>
      <c r="G8670" s="7" t="n"/>
      <c r="H8670" s="7" t="n"/>
      <c r="I8670" s="7" t="n"/>
      <c r="J8670" s="7" t="n"/>
      <c r="K8670">
        <f>IF(D8670="Legitimate Interest (GDPR Art. 6(1)(f))", "Yes / Required (Sheet 3)", "")</f>
        <v/>
      </c>
      <c r="L8670" s="7" t="n"/>
      <c r="M8670" s="7" t="n"/>
      <c r="N8670">
        <f>IF(D8670="", "Gap - No Legal Basis", IF(AND(D8670="Consent (GDPR Art. 6(1)(a))", I8670="Not Captured"), "Gap - Invalid Consent", IF(AND(D8670="Legitimate Interest (GDPR Art. 6(1)(f))", L8670=""), "Gap - Missing LIA", IF(AND(G8670="Yes", H8670=""), "Gap - Missing Art. 9 Basis", IF(OR(I8670="Invalid - Not Freely Given", I8670="Invalid - Not Specific", I8670="Invalid - Not Informed", I8670="Invalid - Ambiguous"), "Gap - Invalid Consent", "Compliant")))))</f>
        <v/>
      </c>
      <c r="O8670" s="7" t="n"/>
    </row>
    <row r="8671">
      <c r="A8671" s="7" t="n"/>
      <c r="B8671" s="7" t="n"/>
      <c r="C8671" s="7" t="n"/>
      <c r="D8671" s="7" t="n"/>
      <c r="E8671" s="7" t="n"/>
      <c r="F8671" s="7" t="n"/>
      <c r="G8671" s="7" t="n"/>
      <c r="H8671" s="7" t="n"/>
      <c r="I8671" s="7" t="n"/>
      <c r="J8671" s="7" t="n"/>
      <c r="K8671">
        <f>IF(D8671="Legitimate Interest (GDPR Art. 6(1)(f))", "Yes / Required (Sheet 3)", "")</f>
        <v/>
      </c>
      <c r="L8671" s="7" t="n"/>
      <c r="M8671" s="7" t="n"/>
      <c r="N8671">
        <f>IF(D8671="", "Gap - No Legal Basis", IF(AND(D8671="Consent (GDPR Art. 6(1)(a))", I8671="Not Captured"), "Gap - Invalid Consent", IF(AND(D8671="Legitimate Interest (GDPR Art. 6(1)(f))", L8671=""), "Gap - Missing LIA", IF(AND(G8671="Yes", H8671=""), "Gap - Missing Art. 9 Basis", IF(OR(I8671="Invalid - Not Freely Given", I8671="Invalid - Not Specific", I8671="Invalid - Not Informed", I8671="Invalid - Ambiguous"), "Gap - Invalid Consent", "Compliant")))))</f>
        <v/>
      </c>
      <c r="O8671" s="7" t="n"/>
    </row>
    <row r="8672">
      <c r="A8672" s="7" t="n"/>
      <c r="B8672" s="7" t="n"/>
      <c r="C8672" s="7" t="n"/>
      <c r="D8672" s="7" t="n"/>
      <c r="E8672" s="7" t="n"/>
      <c r="F8672" s="7" t="n"/>
      <c r="G8672" s="7" t="n"/>
      <c r="H8672" s="7" t="n"/>
      <c r="I8672" s="7" t="n"/>
      <c r="J8672" s="7" t="n"/>
      <c r="K8672">
        <f>IF(D8672="Legitimate Interest (GDPR Art. 6(1)(f))", "Yes / Required (Sheet 3)", "")</f>
        <v/>
      </c>
      <c r="L8672" s="7" t="n"/>
      <c r="M8672" s="7" t="n"/>
      <c r="N8672">
        <f>IF(D8672="", "Gap - No Legal Basis", IF(AND(D8672="Consent (GDPR Art. 6(1)(a))", I8672="Not Captured"), "Gap - Invalid Consent", IF(AND(D8672="Legitimate Interest (GDPR Art. 6(1)(f))", L8672=""), "Gap - Missing LIA", IF(AND(G8672="Yes", H8672=""), "Gap - Missing Art. 9 Basis", IF(OR(I8672="Invalid - Not Freely Given", I8672="Invalid - Not Specific", I8672="Invalid - Not Informed", I8672="Invalid - Ambiguous"), "Gap - Invalid Consent", "Compliant")))))</f>
        <v/>
      </c>
      <c r="O8672" s="7" t="n"/>
    </row>
    <row r="8673">
      <c r="A8673" s="7" t="n"/>
      <c r="B8673" s="7" t="n"/>
      <c r="C8673" s="7" t="n"/>
      <c r="D8673" s="7" t="n"/>
      <c r="E8673" s="7" t="n"/>
      <c r="F8673" s="7" t="n"/>
      <c r="G8673" s="7" t="n"/>
      <c r="H8673" s="7" t="n"/>
      <c r="I8673" s="7" t="n"/>
      <c r="J8673" s="7" t="n"/>
      <c r="K8673">
        <f>IF(D8673="Legitimate Interest (GDPR Art. 6(1)(f))", "Yes / Required (Sheet 3)", "")</f>
        <v/>
      </c>
      <c r="L8673" s="7" t="n"/>
      <c r="M8673" s="7" t="n"/>
      <c r="N8673">
        <f>IF(D8673="", "Gap - No Legal Basis", IF(AND(D8673="Consent (GDPR Art. 6(1)(a))", I8673="Not Captured"), "Gap - Invalid Consent", IF(AND(D8673="Legitimate Interest (GDPR Art. 6(1)(f))", L8673=""), "Gap - Missing LIA", IF(AND(G8673="Yes", H8673=""), "Gap - Missing Art. 9 Basis", IF(OR(I8673="Invalid - Not Freely Given", I8673="Invalid - Not Specific", I8673="Invalid - Not Informed", I8673="Invalid - Ambiguous"), "Gap - Invalid Consent", "Compliant")))))</f>
        <v/>
      </c>
      <c r="O8673" s="7" t="n"/>
    </row>
    <row r="8674">
      <c r="A8674" s="7" t="n"/>
      <c r="B8674" s="7" t="n"/>
      <c r="C8674" s="7" t="n"/>
      <c r="D8674" s="7" t="n"/>
      <c r="E8674" s="7" t="n"/>
      <c r="F8674" s="7" t="n"/>
      <c r="G8674" s="7" t="n"/>
      <c r="H8674" s="7" t="n"/>
      <c r="I8674" s="7" t="n"/>
      <c r="J8674" s="7" t="n"/>
      <c r="K8674">
        <f>IF(D8674="Legitimate Interest (GDPR Art. 6(1)(f))", "Yes / Required (Sheet 3)", "")</f>
        <v/>
      </c>
      <c r="L8674" s="7" t="n"/>
      <c r="M8674" s="7" t="n"/>
      <c r="N8674">
        <f>IF(D8674="", "Gap - No Legal Basis", IF(AND(D8674="Consent (GDPR Art. 6(1)(a))", I8674="Not Captured"), "Gap - Invalid Consent", IF(AND(D8674="Legitimate Interest (GDPR Art. 6(1)(f))", L8674=""), "Gap - Missing LIA", IF(AND(G8674="Yes", H8674=""), "Gap - Missing Art. 9 Basis", IF(OR(I8674="Invalid - Not Freely Given", I8674="Invalid - Not Specific", I8674="Invalid - Not Informed", I8674="Invalid - Ambiguous"), "Gap - Invalid Consent", "Compliant")))))</f>
        <v/>
      </c>
      <c r="O8674" s="7" t="n"/>
    </row>
    <row r="8675">
      <c r="A8675" s="7" t="n"/>
      <c r="B8675" s="7" t="n"/>
      <c r="C8675" s="7" t="n"/>
      <c r="D8675" s="7" t="n"/>
      <c r="E8675" s="7" t="n"/>
      <c r="F8675" s="7" t="n"/>
      <c r="G8675" s="7" t="n"/>
      <c r="H8675" s="7" t="n"/>
      <c r="I8675" s="7" t="n"/>
      <c r="J8675" s="7" t="n"/>
      <c r="K8675">
        <f>IF(D8675="Legitimate Interest (GDPR Art. 6(1)(f))", "Yes / Required (Sheet 3)", "")</f>
        <v/>
      </c>
      <c r="L8675" s="7" t="n"/>
      <c r="M8675" s="7" t="n"/>
      <c r="N8675">
        <f>IF(D8675="", "Gap - No Legal Basis", IF(AND(D8675="Consent (GDPR Art. 6(1)(a))", I8675="Not Captured"), "Gap - Invalid Consent", IF(AND(D8675="Legitimate Interest (GDPR Art. 6(1)(f))", L8675=""), "Gap - Missing LIA", IF(AND(G8675="Yes", H8675=""), "Gap - Missing Art. 9 Basis", IF(OR(I8675="Invalid - Not Freely Given", I8675="Invalid - Not Specific", I8675="Invalid - Not Informed", I8675="Invalid - Ambiguous"), "Gap - Invalid Consent", "Compliant")))))</f>
        <v/>
      </c>
      <c r="O8675" s="7" t="n"/>
    </row>
    <row r="8676">
      <c r="A8676" s="7" t="n"/>
      <c r="B8676" s="7" t="n"/>
      <c r="C8676" s="7" t="n"/>
      <c r="D8676" s="7" t="n"/>
      <c r="E8676" s="7" t="n"/>
      <c r="F8676" s="7" t="n"/>
      <c r="G8676" s="7" t="n"/>
      <c r="H8676" s="7" t="n"/>
      <c r="I8676" s="7" t="n"/>
      <c r="J8676" s="7" t="n"/>
      <c r="K8676">
        <f>IF(D8676="Legitimate Interest (GDPR Art. 6(1)(f))", "Yes / Required (Sheet 3)", "")</f>
        <v/>
      </c>
      <c r="L8676" s="7" t="n"/>
      <c r="M8676" s="7" t="n"/>
      <c r="N8676">
        <f>IF(D8676="", "Gap - No Legal Basis", IF(AND(D8676="Consent (GDPR Art. 6(1)(a))", I8676="Not Captured"), "Gap - Invalid Consent", IF(AND(D8676="Legitimate Interest (GDPR Art. 6(1)(f))", L8676=""), "Gap - Missing LIA", IF(AND(G8676="Yes", H8676=""), "Gap - Missing Art. 9 Basis", IF(OR(I8676="Invalid - Not Freely Given", I8676="Invalid - Not Specific", I8676="Invalid - Not Informed", I8676="Invalid - Ambiguous"), "Gap - Invalid Consent", "Compliant")))))</f>
        <v/>
      </c>
      <c r="O8676" s="7" t="n"/>
    </row>
    <row r="8677">
      <c r="A8677" s="7" t="n"/>
      <c r="B8677" s="7" t="n"/>
      <c r="C8677" s="7" t="n"/>
      <c r="D8677" s="7" t="n"/>
      <c r="E8677" s="7" t="n"/>
      <c r="F8677" s="7" t="n"/>
      <c r="G8677" s="7" t="n"/>
      <c r="H8677" s="7" t="n"/>
      <c r="I8677" s="7" t="n"/>
      <c r="J8677" s="7" t="n"/>
      <c r="K8677">
        <f>IF(D8677="Legitimate Interest (GDPR Art. 6(1)(f))", "Yes / Required (Sheet 3)", "")</f>
        <v/>
      </c>
      <c r="L8677" s="7" t="n"/>
      <c r="M8677" s="7" t="n"/>
      <c r="N8677">
        <f>IF(D8677="", "Gap - No Legal Basis", IF(AND(D8677="Consent (GDPR Art. 6(1)(a))", I8677="Not Captured"), "Gap - Invalid Consent", IF(AND(D8677="Legitimate Interest (GDPR Art. 6(1)(f))", L8677=""), "Gap - Missing LIA", IF(AND(G8677="Yes", H8677=""), "Gap - Missing Art. 9 Basis", IF(OR(I8677="Invalid - Not Freely Given", I8677="Invalid - Not Specific", I8677="Invalid - Not Informed", I8677="Invalid - Ambiguous"), "Gap - Invalid Consent", "Compliant")))))</f>
        <v/>
      </c>
      <c r="O8677" s="7" t="n"/>
    </row>
    <row r="8678">
      <c r="A8678" s="7" t="n"/>
      <c r="B8678" s="7" t="n"/>
      <c r="C8678" s="7" t="n"/>
      <c r="D8678" s="7" t="n"/>
      <c r="E8678" s="7" t="n"/>
      <c r="F8678" s="7" t="n"/>
      <c r="G8678" s="7" t="n"/>
      <c r="H8678" s="7" t="n"/>
      <c r="I8678" s="7" t="n"/>
      <c r="J8678" s="7" t="n"/>
      <c r="K8678">
        <f>IF(D8678="Legitimate Interest (GDPR Art. 6(1)(f))", "Yes / Required (Sheet 3)", "")</f>
        <v/>
      </c>
      <c r="L8678" s="7" t="n"/>
      <c r="M8678" s="7" t="n"/>
      <c r="N8678">
        <f>IF(D8678="", "Gap - No Legal Basis", IF(AND(D8678="Consent (GDPR Art. 6(1)(a))", I8678="Not Captured"), "Gap - Invalid Consent", IF(AND(D8678="Legitimate Interest (GDPR Art. 6(1)(f))", L8678=""), "Gap - Missing LIA", IF(AND(G8678="Yes", H8678=""), "Gap - Missing Art. 9 Basis", IF(OR(I8678="Invalid - Not Freely Given", I8678="Invalid - Not Specific", I8678="Invalid - Not Informed", I8678="Invalid - Ambiguous"), "Gap - Invalid Consent", "Compliant")))))</f>
        <v/>
      </c>
      <c r="O8678" s="7" t="n"/>
    </row>
    <row r="8679">
      <c r="A8679" s="7" t="n"/>
      <c r="B8679" s="7" t="n"/>
      <c r="C8679" s="7" t="n"/>
      <c r="D8679" s="7" t="n"/>
      <c r="E8679" s="7" t="n"/>
      <c r="F8679" s="7" t="n"/>
      <c r="G8679" s="7" t="n"/>
      <c r="H8679" s="7" t="n"/>
      <c r="I8679" s="7" t="n"/>
      <c r="J8679" s="7" t="n"/>
      <c r="K8679">
        <f>IF(D8679="Legitimate Interest (GDPR Art. 6(1)(f))", "Yes / Required (Sheet 3)", "")</f>
        <v/>
      </c>
      <c r="L8679" s="7" t="n"/>
      <c r="M8679" s="7" t="n"/>
      <c r="N8679">
        <f>IF(D8679="", "Gap - No Legal Basis", IF(AND(D8679="Consent (GDPR Art. 6(1)(a))", I8679="Not Captured"), "Gap - Invalid Consent", IF(AND(D8679="Legitimate Interest (GDPR Art. 6(1)(f))", L8679=""), "Gap - Missing LIA", IF(AND(G8679="Yes", H8679=""), "Gap - Missing Art. 9 Basis", IF(OR(I8679="Invalid - Not Freely Given", I8679="Invalid - Not Specific", I8679="Invalid - Not Informed", I8679="Invalid - Ambiguous"), "Gap - Invalid Consent", "Compliant")))))</f>
        <v/>
      </c>
      <c r="O8679" s="7" t="n"/>
    </row>
    <row r="8680">
      <c r="A8680" s="7" t="n"/>
      <c r="B8680" s="7" t="n"/>
      <c r="C8680" s="7" t="n"/>
      <c r="D8680" s="7" t="n"/>
      <c r="E8680" s="7" t="n"/>
      <c r="F8680" s="7" t="n"/>
      <c r="G8680" s="7" t="n"/>
      <c r="H8680" s="7" t="n"/>
      <c r="I8680" s="7" t="n"/>
      <c r="J8680" s="7" t="n"/>
      <c r="K8680">
        <f>IF(D8680="Legitimate Interest (GDPR Art. 6(1)(f))", "Yes / Required (Sheet 3)", "")</f>
        <v/>
      </c>
      <c r="L8680" s="7" t="n"/>
      <c r="M8680" s="7" t="n"/>
      <c r="N8680">
        <f>IF(D8680="", "Gap - No Legal Basis", IF(AND(D8680="Consent (GDPR Art. 6(1)(a))", I8680="Not Captured"), "Gap - Invalid Consent", IF(AND(D8680="Legitimate Interest (GDPR Art. 6(1)(f))", L8680=""), "Gap - Missing LIA", IF(AND(G8680="Yes", H8680=""), "Gap - Missing Art. 9 Basis", IF(OR(I8680="Invalid - Not Freely Given", I8680="Invalid - Not Specific", I8680="Invalid - Not Informed", I8680="Invalid - Ambiguous"), "Gap - Invalid Consent", "Compliant")))))</f>
        <v/>
      </c>
      <c r="O8680" s="7" t="n"/>
    </row>
    <row r="8681">
      <c r="A8681" s="7" t="n"/>
      <c r="B8681" s="7" t="n"/>
      <c r="C8681" s="7" t="n"/>
      <c r="D8681" s="7" t="n"/>
      <c r="E8681" s="7" t="n"/>
      <c r="F8681" s="7" t="n"/>
      <c r="G8681" s="7" t="n"/>
      <c r="H8681" s="7" t="n"/>
      <c r="I8681" s="7" t="n"/>
      <c r="J8681" s="7" t="n"/>
      <c r="K8681">
        <f>IF(D8681="Legitimate Interest (GDPR Art. 6(1)(f))", "Yes / Required (Sheet 3)", "")</f>
        <v/>
      </c>
      <c r="L8681" s="7" t="n"/>
      <c r="M8681" s="7" t="n"/>
      <c r="N8681">
        <f>IF(D8681="", "Gap - No Legal Basis", IF(AND(D8681="Consent (GDPR Art. 6(1)(a))", I8681="Not Captured"), "Gap - Invalid Consent", IF(AND(D8681="Legitimate Interest (GDPR Art. 6(1)(f))", L8681=""), "Gap - Missing LIA", IF(AND(G8681="Yes", H8681=""), "Gap - Missing Art. 9 Basis", IF(OR(I8681="Invalid - Not Freely Given", I8681="Invalid - Not Specific", I8681="Invalid - Not Informed", I8681="Invalid - Ambiguous"), "Gap - Invalid Consent", "Compliant")))))</f>
        <v/>
      </c>
      <c r="O8681" s="7" t="n"/>
    </row>
    <row r="8682">
      <c r="A8682" s="7" t="n"/>
      <c r="B8682" s="7" t="n"/>
      <c r="C8682" s="7" t="n"/>
      <c r="D8682" s="7" t="n"/>
      <c r="E8682" s="7" t="n"/>
      <c r="F8682" s="7" t="n"/>
      <c r="G8682" s="7" t="n"/>
      <c r="H8682" s="7" t="n"/>
      <c r="I8682" s="7" t="n"/>
      <c r="J8682" s="7" t="n"/>
      <c r="K8682">
        <f>IF(D8682="Legitimate Interest (GDPR Art. 6(1)(f))", "Yes / Required (Sheet 3)", "")</f>
        <v/>
      </c>
      <c r="L8682" s="7" t="n"/>
      <c r="M8682" s="7" t="n"/>
      <c r="N8682">
        <f>IF(D8682="", "Gap - No Legal Basis", IF(AND(D8682="Consent (GDPR Art. 6(1)(a))", I8682="Not Captured"), "Gap - Invalid Consent", IF(AND(D8682="Legitimate Interest (GDPR Art. 6(1)(f))", L8682=""), "Gap - Missing LIA", IF(AND(G8682="Yes", H8682=""), "Gap - Missing Art. 9 Basis", IF(OR(I8682="Invalid - Not Freely Given", I8682="Invalid - Not Specific", I8682="Invalid - Not Informed", I8682="Invalid - Ambiguous"), "Gap - Invalid Consent", "Compliant")))))</f>
        <v/>
      </c>
      <c r="O8682" s="7" t="n"/>
    </row>
    <row r="8683">
      <c r="A8683" s="7" t="n"/>
      <c r="B8683" s="7" t="n"/>
      <c r="C8683" s="7" t="n"/>
      <c r="D8683" s="7" t="n"/>
      <c r="E8683" s="7" t="n"/>
      <c r="F8683" s="7" t="n"/>
      <c r="G8683" s="7" t="n"/>
      <c r="H8683" s="7" t="n"/>
      <c r="I8683" s="7" t="n"/>
      <c r="J8683" s="7" t="n"/>
      <c r="K8683">
        <f>IF(D8683="Legitimate Interest (GDPR Art. 6(1)(f))", "Yes / Required (Sheet 3)", "")</f>
        <v/>
      </c>
      <c r="L8683" s="7" t="n"/>
      <c r="M8683" s="7" t="n"/>
      <c r="N8683">
        <f>IF(D8683="", "Gap - No Legal Basis", IF(AND(D8683="Consent (GDPR Art. 6(1)(a))", I8683="Not Captured"), "Gap - Invalid Consent", IF(AND(D8683="Legitimate Interest (GDPR Art. 6(1)(f))", L8683=""), "Gap - Missing LIA", IF(AND(G8683="Yes", H8683=""), "Gap - Missing Art. 9 Basis", IF(OR(I8683="Invalid - Not Freely Given", I8683="Invalid - Not Specific", I8683="Invalid - Not Informed", I8683="Invalid - Ambiguous"), "Gap - Invalid Consent", "Compliant")))))</f>
        <v/>
      </c>
      <c r="O8683" s="7" t="n"/>
    </row>
    <row r="8684">
      <c r="A8684" s="7" t="n"/>
      <c r="B8684" s="7" t="n"/>
      <c r="C8684" s="7" t="n"/>
      <c r="D8684" s="7" t="n"/>
      <c r="E8684" s="7" t="n"/>
      <c r="F8684" s="7" t="n"/>
      <c r="G8684" s="7" t="n"/>
      <c r="H8684" s="7" t="n"/>
      <c r="I8684" s="7" t="n"/>
      <c r="J8684" s="7" t="n"/>
      <c r="K8684">
        <f>IF(D8684="Legitimate Interest (GDPR Art. 6(1)(f))", "Yes / Required (Sheet 3)", "")</f>
        <v/>
      </c>
      <c r="L8684" s="7" t="n"/>
      <c r="M8684" s="7" t="n"/>
      <c r="N8684">
        <f>IF(D8684="", "Gap - No Legal Basis", IF(AND(D8684="Consent (GDPR Art. 6(1)(a))", I8684="Not Captured"), "Gap - Invalid Consent", IF(AND(D8684="Legitimate Interest (GDPR Art. 6(1)(f))", L8684=""), "Gap - Missing LIA", IF(AND(G8684="Yes", H8684=""), "Gap - Missing Art. 9 Basis", IF(OR(I8684="Invalid - Not Freely Given", I8684="Invalid - Not Specific", I8684="Invalid - Not Informed", I8684="Invalid - Ambiguous"), "Gap - Invalid Consent", "Compliant")))))</f>
        <v/>
      </c>
      <c r="O8684" s="7" t="n"/>
    </row>
    <row r="8685">
      <c r="A8685" s="7" t="n"/>
      <c r="B8685" s="7" t="n"/>
      <c r="C8685" s="7" t="n"/>
      <c r="D8685" s="7" t="n"/>
      <c r="E8685" s="7" t="n"/>
      <c r="F8685" s="7" t="n"/>
      <c r="G8685" s="7" t="n"/>
      <c r="H8685" s="7" t="n"/>
      <c r="I8685" s="7" t="n"/>
      <c r="J8685" s="7" t="n"/>
      <c r="K8685">
        <f>IF(D8685="Legitimate Interest (GDPR Art. 6(1)(f))", "Yes / Required (Sheet 3)", "")</f>
        <v/>
      </c>
      <c r="L8685" s="7" t="n"/>
      <c r="M8685" s="7" t="n"/>
      <c r="N8685">
        <f>IF(D8685="", "Gap - No Legal Basis", IF(AND(D8685="Consent (GDPR Art. 6(1)(a))", I8685="Not Captured"), "Gap - Invalid Consent", IF(AND(D8685="Legitimate Interest (GDPR Art. 6(1)(f))", L8685=""), "Gap - Missing LIA", IF(AND(G8685="Yes", H8685=""), "Gap - Missing Art. 9 Basis", IF(OR(I8685="Invalid - Not Freely Given", I8685="Invalid - Not Specific", I8685="Invalid - Not Informed", I8685="Invalid - Ambiguous"), "Gap - Invalid Consent", "Compliant")))))</f>
        <v/>
      </c>
      <c r="O8685" s="7" t="n"/>
    </row>
    <row r="8686">
      <c r="A8686" s="7" t="n"/>
      <c r="B8686" s="7" t="n"/>
      <c r="C8686" s="7" t="n"/>
      <c r="D8686" s="7" t="n"/>
      <c r="E8686" s="7" t="n"/>
      <c r="F8686" s="7" t="n"/>
      <c r="G8686" s="7" t="n"/>
      <c r="H8686" s="7" t="n"/>
      <c r="I8686" s="7" t="n"/>
      <c r="J8686" s="7" t="n"/>
      <c r="K8686">
        <f>IF(D8686="Legitimate Interest (GDPR Art. 6(1)(f))", "Yes / Required (Sheet 3)", "")</f>
        <v/>
      </c>
      <c r="L8686" s="7" t="n"/>
      <c r="M8686" s="7" t="n"/>
      <c r="N8686">
        <f>IF(D8686="", "Gap - No Legal Basis", IF(AND(D8686="Consent (GDPR Art. 6(1)(a))", I8686="Not Captured"), "Gap - Invalid Consent", IF(AND(D8686="Legitimate Interest (GDPR Art. 6(1)(f))", L8686=""), "Gap - Missing LIA", IF(AND(G8686="Yes", H8686=""), "Gap - Missing Art. 9 Basis", IF(OR(I8686="Invalid - Not Freely Given", I8686="Invalid - Not Specific", I8686="Invalid - Not Informed", I8686="Invalid - Ambiguous"), "Gap - Invalid Consent", "Compliant")))))</f>
        <v/>
      </c>
      <c r="O8686" s="7" t="n"/>
    </row>
    <row r="8687">
      <c r="A8687" s="7" t="n"/>
      <c r="B8687" s="7" t="n"/>
      <c r="C8687" s="7" t="n"/>
      <c r="D8687" s="7" t="n"/>
      <c r="E8687" s="7" t="n"/>
      <c r="F8687" s="7" t="n"/>
      <c r="G8687" s="7" t="n"/>
      <c r="H8687" s="7" t="n"/>
      <c r="I8687" s="7" t="n"/>
      <c r="J8687" s="7" t="n"/>
      <c r="K8687">
        <f>IF(D8687="Legitimate Interest (GDPR Art. 6(1)(f))", "Yes / Required (Sheet 3)", "")</f>
        <v/>
      </c>
      <c r="L8687" s="7" t="n"/>
      <c r="M8687" s="7" t="n"/>
      <c r="N8687">
        <f>IF(D8687="", "Gap - No Legal Basis", IF(AND(D8687="Consent (GDPR Art. 6(1)(a))", I8687="Not Captured"), "Gap - Invalid Consent", IF(AND(D8687="Legitimate Interest (GDPR Art. 6(1)(f))", L8687=""), "Gap - Missing LIA", IF(AND(G8687="Yes", H8687=""), "Gap - Missing Art. 9 Basis", IF(OR(I8687="Invalid - Not Freely Given", I8687="Invalid - Not Specific", I8687="Invalid - Not Informed", I8687="Invalid - Ambiguous"), "Gap - Invalid Consent", "Compliant")))))</f>
        <v/>
      </c>
      <c r="O8687" s="7" t="n"/>
    </row>
    <row r="8688">
      <c r="A8688" s="7" t="n"/>
      <c r="B8688" s="7" t="n"/>
      <c r="C8688" s="7" t="n"/>
      <c r="D8688" s="7" t="n"/>
      <c r="E8688" s="7" t="n"/>
      <c r="F8688" s="7" t="n"/>
      <c r="G8688" s="7" t="n"/>
      <c r="H8688" s="7" t="n"/>
      <c r="I8688" s="7" t="n"/>
      <c r="J8688" s="7" t="n"/>
      <c r="K8688">
        <f>IF(D8688="Legitimate Interest (GDPR Art. 6(1)(f))", "Yes / Required (Sheet 3)", "")</f>
        <v/>
      </c>
      <c r="L8688" s="7" t="n"/>
      <c r="M8688" s="7" t="n"/>
      <c r="N8688">
        <f>IF(D8688="", "Gap - No Legal Basis", IF(AND(D8688="Consent (GDPR Art. 6(1)(a))", I8688="Not Captured"), "Gap - Invalid Consent", IF(AND(D8688="Legitimate Interest (GDPR Art. 6(1)(f))", L8688=""), "Gap - Missing LIA", IF(AND(G8688="Yes", H8688=""), "Gap - Missing Art. 9 Basis", IF(OR(I8688="Invalid - Not Freely Given", I8688="Invalid - Not Specific", I8688="Invalid - Not Informed", I8688="Invalid - Ambiguous"), "Gap - Invalid Consent", "Compliant")))))</f>
        <v/>
      </c>
      <c r="O8688" s="7" t="n"/>
    </row>
    <row r="8689">
      <c r="A8689" s="7" t="n"/>
      <c r="B8689" s="7" t="n"/>
      <c r="C8689" s="7" t="n"/>
      <c r="D8689" s="7" t="n"/>
      <c r="E8689" s="7" t="n"/>
      <c r="F8689" s="7" t="n"/>
      <c r="G8689" s="7" t="n"/>
      <c r="H8689" s="7" t="n"/>
      <c r="I8689" s="7" t="n"/>
      <c r="J8689" s="7" t="n"/>
      <c r="K8689">
        <f>IF(D8689="Legitimate Interest (GDPR Art. 6(1)(f))", "Yes / Required (Sheet 3)", "")</f>
        <v/>
      </c>
      <c r="L8689" s="7" t="n"/>
      <c r="M8689" s="7" t="n"/>
      <c r="N8689">
        <f>IF(D8689="", "Gap - No Legal Basis", IF(AND(D8689="Consent (GDPR Art. 6(1)(a))", I8689="Not Captured"), "Gap - Invalid Consent", IF(AND(D8689="Legitimate Interest (GDPR Art. 6(1)(f))", L8689=""), "Gap - Missing LIA", IF(AND(G8689="Yes", H8689=""), "Gap - Missing Art. 9 Basis", IF(OR(I8689="Invalid - Not Freely Given", I8689="Invalid - Not Specific", I8689="Invalid - Not Informed", I8689="Invalid - Ambiguous"), "Gap - Invalid Consent", "Compliant")))))</f>
        <v/>
      </c>
      <c r="O8689" s="7" t="n"/>
    </row>
    <row r="8690">
      <c r="A8690" s="7" t="n"/>
      <c r="B8690" s="7" t="n"/>
      <c r="C8690" s="7" t="n"/>
      <c r="D8690" s="7" t="n"/>
      <c r="E8690" s="7" t="n"/>
      <c r="F8690" s="7" t="n"/>
      <c r="G8690" s="7" t="n"/>
      <c r="H8690" s="7" t="n"/>
      <c r="I8690" s="7" t="n"/>
      <c r="J8690" s="7" t="n"/>
      <c r="K8690">
        <f>IF(D8690="Legitimate Interest (GDPR Art. 6(1)(f))", "Yes / Required (Sheet 3)", "")</f>
        <v/>
      </c>
      <c r="L8690" s="7" t="n"/>
      <c r="M8690" s="7" t="n"/>
      <c r="N8690">
        <f>IF(D8690="", "Gap - No Legal Basis", IF(AND(D8690="Consent (GDPR Art. 6(1)(a))", I8690="Not Captured"), "Gap - Invalid Consent", IF(AND(D8690="Legitimate Interest (GDPR Art. 6(1)(f))", L8690=""), "Gap - Missing LIA", IF(AND(G8690="Yes", H8690=""), "Gap - Missing Art. 9 Basis", IF(OR(I8690="Invalid - Not Freely Given", I8690="Invalid - Not Specific", I8690="Invalid - Not Informed", I8690="Invalid - Ambiguous"), "Gap - Invalid Consent", "Compliant")))))</f>
        <v/>
      </c>
      <c r="O8690" s="7" t="n"/>
    </row>
    <row r="8691">
      <c r="A8691" s="7" t="n"/>
      <c r="B8691" s="7" t="n"/>
      <c r="C8691" s="7" t="n"/>
      <c r="D8691" s="7" t="n"/>
      <c r="E8691" s="7" t="n"/>
      <c r="F8691" s="7" t="n"/>
      <c r="G8691" s="7" t="n"/>
      <c r="H8691" s="7" t="n"/>
      <c r="I8691" s="7" t="n"/>
      <c r="J8691" s="7" t="n"/>
      <c r="K8691">
        <f>IF(D8691="Legitimate Interest (GDPR Art. 6(1)(f))", "Yes / Required (Sheet 3)", "")</f>
        <v/>
      </c>
      <c r="L8691" s="7" t="n"/>
      <c r="M8691" s="7" t="n"/>
      <c r="N8691">
        <f>IF(D8691="", "Gap - No Legal Basis", IF(AND(D8691="Consent (GDPR Art. 6(1)(a))", I8691="Not Captured"), "Gap - Invalid Consent", IF(AND(D8691="Legitimate Interest (GDPR Art. 6(1)(f))", L8691=""), "Gap - Missing LIA", IF(AND(G8691="Yes", H8691=""), "Gap - Missing Art. 9 Basis", IF(OR(I8691="Invalid - Not Freely Given", I8691="Invalid - Not Specific", I8691="Invalid - Not Informed", I8691="Invalid - Ambiguous"), "Gap - Invalid Consent", "Compliant")))))</f>
        <v/>
      </c>
      <c r="O8691" s="7" t="n"/>
    </row>
    <row r="8692">
      <c r="A8692" s="7" t="n"/>
      <c r="B8692" s="7" t="n"/>
      <c r="C8692" s="7" t="n"/>
      <c r="D8692" s="7" t="n"/>
      <c r="E8692" s="7" t="n"/>
      <c r="F8692" s="7" t="n"/>
      <c r="G8692" s="7" t="n"/>
      <c r="H8692" s="7" t="n"/>
      <c r="I8692" s="7" t="n"/>
      <c r="J8692" s="7" t="n"/>
      <c r="K8692">
        <f>IF(D8692="Legitimate Interest (GDPR Art. 6(1)(f))", "Yes / Required (Sheet 3)", "")</f>
        <v/>
      </c>
      <c r="L8692" s="7" t="n"/>
      <c r="M8692" s="7" t="n"/>
      <c r="N8692">
        <f>IF(D8692="", "Gap - No Legal Basis", IF(AND(D8692="Consent (GDPR Art. 6(1)(a))", I8692="Not Captured"), "Gap - Invalid Consent", IF(AND(D8692="Legitimate Interest (GDPR Art. 6(1)(f))", L8692=""), "Gap - Missing LIA", IF(AND(G8692="Yes", H8692=""), "Gap - Missing Art. 9 Basis", IF(OR(I8692="Invalid - Not Freely Given", I8692="Invalid - Not Specific", I8692="Invalid - Not Informed", I8692="Invalid - Ambiguous"), "Gap - Invalid Consent", "Compliant")))))</f>
        <v/>
      </c>
      <c r="O8692" s="7" t="n"/>
    </row>
    <row r="8693">
      <c r="A8693" s="7" t="n"/>
      <c r="B8693" s="7" t="n"/>
      <c r="C8693" s="7" t="n"/>
      <c r="D8693" s="7" t="n"/>
      <c r="E8693" s="7" t="n"/>
      <c r="F8693" s="7" t="n"/>
      <c r="G8693" s="7" t="n"/>
      <c r="H8693" s="7" t="n"/>
      <c r="I8693" s="7" t="n"/>
      <c r="J8693" s="7" t="n"/>
      <c r="K8693">
        <f>IF(D8693="Legitimate Interest (GDPR Art. 6(1)(f))", "Yes / Required (Sheet 3)", "")</f>
        <v/>
      </c>
      <c r="L8693" s="7" t="n"/>
      <c r="M8693" s="7" t="n"/>
      <c r="N8693">
        <f>IF(D8693="", "Gap - No Legal Basis", IF(AND(D8693="Consent (GDPR Art. 6(1)(a))", I8693="Not Captured"), "Gap - Invalid Consent", IF(AND(D8693="Legitimate Interest (GDPR Art. 6(1)(f))", L8693=""), "Gap - Missing LIA", IF(AND(G8693="Yes", H8693=""), "Gap - Missing Art. 9 Basis", IF(OR(I8693="Invalid - Not Freely Given", I8693="Invalid - Not Specific", I8693="Invalid - Not Informed", I8693="Invalid - Ambiguous"), "Gap - Invalid Consent", "Compliant")))))</f>
        <v/>
      </c>
      <c r="O8693" s="7" t="n"/>
    </row>
    <row r="8694">
      <c r="A8694" s="7" t="n"/>
      <c r="B8694" s="7" t="n"/>
      <c r="C8694" s="7" t="n"/>
      <c r="D8694" s="7" t="n"/>
      <c r="E8694" s="7" t="n"/>
      <c r="F8694" s="7" t="n"/>
      <c r="G8694" s="7" t="n"/>
      <c r="H8694" s="7" t="n"/>
      <c r="I8694" s="7" t="n"/>
      <c r="J8694" s="7" t="n"/>
      <c r="K8694">
        <f>IF(D8694="Legitimate Interest (GDPR Art. 6(1)(f))", "Yes / Required (Sheet 3)", "")</f>
        <v/>
      </c>
      <c r="L8694" s="7" t="n"/>
      <c r="M8694" s="7" t="n"/>
      <c r="N8694">
        <f>IF(D8694="", "Gap - No Legal Basis", IF(AND(D8694="Consent (GDPR Art. 6(1)(a))", I8694="Not Captured"), "Gap - Invalid Consent", IF(AND(D8694="Legitimate Interest (GDPR Art. 6(1)(f))", L8694=""), "Gap - Missing LIA", IF(AND(G8694="Yes", H8694=""), "Gap - Missing Art. 9 Basis", IF(OR(I8694="Invalid - Not Freely Given", I8694="Invalid - Not Specific", I8694="Invalid - Not Informed", I8694="Invalid - Ambiguous"), "Gap - Invalid Consent", "Compliant")))))</f>
        <v/>
      </c>
      <c r="O8694" s="7" t="n"/>
    </row>
    <row r="8695">
      <c r="A8695" s="7" t="n"/>
      <c r="B8695" s="7" t="n"/>
      <c r="C8695" s="7" t="n"/>
      <c r="D8695" s="7" t="n"/>
      <c r="E8695" s="7" t="n"/>
      <c r="F8695" s="7" t="n"/>
      <c r="G8695" s="7" t="n"/>
      <c r="H8695" s="7" t="n"/>
      <c r="I8695" s="7" t="n"/>
      <c r="J8695" s="7" t="n"/>
      <c r="K8695">
        <f>IF(D8695="Legitimate Interest (GDPR Art. 6(1)(f))", "Yes / Required (Sheet 3)", "")</f>
        <v/>
      </c>
      <c r="L8695" s="7" t="n"/>
      <c r="M8695" s="7" t="n"/>
      <c r="N8695">
        <f>IF(D8695="", "Gap - No Legal Basis", IF(AND(D8695="Consent (GDPR Art. 6(1)(a))", I8695="Not Captured"), "Gap - Invalid Consent", IF(AND(D8695="Legitimate Interest (GDPR Art. 6(1)(f))", L8695=""), "Gap - Missing LIA", IF(AND(G8695="Yes", H8695=""), "Gap - Missing Art. 9 Basis", IF(OR(I8695="Invalid - Not Freely Given", I8695="Invalid - Not Specific", I8695="Invalid - Not Informed", I8695="Invalid - Ambiguous"), "Gap - Invalid Consent", "Compliant")))))</f>
        <v/>
      </c>
      <c r="O8695" s="7" t="n"/>
    </row>
    <row r="8696">
      <c r="A8696" s="7" t="n"/>
      <c r="B8696" s="7" t="n"/>
      <c r="C8696" s="7" t="n"/>
      <c r="D8696" s="7" t="n"/>
      <c r="E8696" s="7" t="n"/>
      <c r="F8696" s="7" t="n"/>
      <c r="G8696" s="7" t="n"/>
      <c r="H8696" s="7" t="n"/>
      <c r="I8696" s="7" t="n"/>
      <c r="J8696" s="7" t="n"/>
      <c r="K8696">
        <f>IF(D8696="Legitimate Interest (GDPR Art. 6(1)(f))", "Yes / Required (Sheet 3)", "")</f>
        <v/>
      </c>
      <c r="L8696" s="7" t="n"/>
      <c r="M8696" s="7" t="n"/>
      <c r="N8696">
        <f>IF(D8696="", "Gap - No Legal Basis", IF(AND(D8696="Consent (GDPR Art. 6(1)(a))", I8696="Not Captured"), "Gap - Invalid Consent", IF(AND(D8696="Legitimate Interest (GDPR Art. 6(1)(f))", L8696=""), "Gap - Missing LIA", IF(AND(G8696="Yes", H8696=""), "Gap - Missing Art. 9 Basis", IF(OR(I8696="Invalid - Not Freely Given", I8696="Invalid - Not Specific", I8696="Invalid - Not Informed", I8696="Invalid - Ambiguous"), "Gap - Invalid Consent", "Compliant")))))</f>
        <v/>
      </c>
      <c r="O8696" s="7" t="n"/>
    </row>
    <row r="8697">
      <c r="A8697" s="7" t="n"/>
      <c r="B8697" s="7" t="n"/>
      <c r="C8697" s="7" t="n"/>
      <c r="D8697" s="7" t="n"/>
      <c r="E8697" s="7" t="n"/>
      <c r="F8697" s="7" t="n"/>
      <c r="G8697" s="7" t="n"/>
      <c r="H8697" s="7" t="n"/>
      <c r="I8697" s="7" t="n"/>
      <c r="J8697" s="7" t="n"/>
      <c r="K8697">
        <f>IF(D8697="Legitimate Interest (GDPR Art. 6(1)(f))", "Yes / Required (Sheet 3)", "")</f>
        <v/>
      </c>
      <c r="L8697" s="7" t="n"/>
      <c r="M8697" s="7" t="n"/>
      <c r="N8697">
        <f>IF(D8697="", "Gap - No Legal Basis", IF(AND(D8697="Consent (GDPR Art. 6(1)(a))", I8697="Not Captured"), "Gap - Invalid Consent", IF(AND(D8697="Legitimate Interest (GDPR Art. 6(1)(f))", L8697=""), "Gap - Missing LIA", IF(AND(G8697="Yes", H8697=""), "Gap - Missing Art. 9 Basis", IF(OR(I8697="Invalid - Not Freely Given", I8697="Invalid - Not Specific", I8697="Invalid - Not Informed", I8697="Invalid - Ambiguous"), "Gap - Invalid Consent", "Compliant")))))</f>
        <v/>
      </c>
      <c r="O8697" s="7" t="n"/>
    </row>
    <row r="8698">
      <c r="A8698" s="7" t="n"/>
      <c r="B8698" s="7" t="n"/>
      <c r="C8698" s="7" t="n"/>
      <c r="D8698" s="7" t="n"/>
      <c r="E8698" s="7" t="n"/>
      <c r="F8698" s="7" t="n"/>
      <c r="G8698" s="7" t="n"/>
      <c r="H8698" s="7" t="n"/>
      <c r="I8698" s="7" t="n"/>
      <c r="J8698" s="7" t="n"/>
      <c r="K8698">
        <f>IF(D8698="Legitimate Interest (GDPR Art. 6(1)(f))", "Yes / Required (Sheet 3)", "")</f>
        <v/>
      </c>
      <c r="L8698" s="7" t="n"/>
      <c r="M8698" s="7" t="n"/>
      <c r="N8698">
        <f>IF(D8698="", "Gap - No Legal Basis", IF(AND(D8698="Consent (GDPR Art. 6(1)(a))", I8698="Not Captured"), "Gap - Invalid Consent", IF(AND(D8698="Legitimate Interest (GDPR Art. 6(1)(f))", L8698=""), "Gap - Missing LIA", IF(AND(G8698="Yes", H8698=""), "Gap - Missing Art. 9 Basis", IF(OR(I8698="Invalid - Not Freely Given", I8698="Invalid - Not Specific", I8698="Invalid - Not Informed", I8698="Invalid - Ambiguous"), "Gap - Invalid Consent", "Compliant")))))</f>
        <v/>
      </c>
      <c r="O8698" s="7" t="n"/>
    </row>
    <row r="8699">
      <c r="A8699" s="7" t="n"/>
      <c r="B8699" s="7" t="n"/>
      <c r="C8699" s="7" t="n"/>
      <c r="D8699" s="7" t="n"/>
      <c r="E8699" s="7" t="n"/>
      <c r="F8699" s="7" t="n"/>
      <c r="G8699" s="7" t="n"/>
      <c r="H8699" s="7" t="n"/>
      <c r="I8699" s="7" t="n"/>
      <c r="J8699" s="7" t="n"/>
      <c r="K8699">
        <f>IF(D8699="Legitimate Interest (GDPR Art. 6(1)(f))", "Yes / Required (Sheet 3)", "")</f>
        <v/>
      </c>
      <c r="L8699" s="7" t="n"/>
      <c r="M8699" s="7" t="n"/>
      <c r="N8699">
        <f>IF(D8699="", "Gap - No Legal Basis", IF(AND(D8699="Consent (GDPR Art. 6(1)(a))", I8699="Not Captured"), "Gap - Invalid Consent", IF(AND(D8699="Legitimate Interest (GDPR Art. 6(1)(f))", L8699=""), "Gap - Missing LIA", IF(AND(G8699="Yes", H8699=""), "Gap - Missing Art. 9 Basis", IF(OR(I8699="Invalid - Not Freely Given", I8699="Invalid - Not Specific", I8699="Invalid - Not Informed", I8699="Invalid - Ambiguous"), "Gap - Invalid Consent", "Compliant")))))</f>
        <v/>
      </c>
      <c r="O8699" s="7" t="n"/>
    </row>
    <row r="8700">
      <c r="A8700" s="7" t="n"/>
      <c r="B8700" s="7" t="n"/>
      <c r="C8700" s="7" t="n"/>
      <c r="D8700" s="7" t="n"/>
      <c r="E8700" s="7" t="n"/>
      <c r="F8700" s="7" t="n"/>
      <c r="G8700" s="7" t="n"/>
      <c r="H8700" s="7" t="n"/>
      <c r="I8700" s="7" t="n"/>
      <c r="J8700" s="7" t="n"/>
      <c r="K8700">
        <f>IF(D8700="Legitimate Interest (GDPR Art. 6(1)(f))", "Yes / Required (Sheet 3)", "")</f>
        <v/>
      </c>
      <c r="L8700" s="7" t="n"/>
      <c r="M8700" s="7" t="n"/>
      <c r="N8700">
        <f>IF(D8700="", "Gap - No Legal Basis", IF(AND(D8700="Consent (GDPR Art. 6(1)(a))", I8700="Not Captured"), "Gap - Invalid Consent", IF(AND(D8700="Legitimate Interest (GDPR Art. 6(1)(f))", L8700=""), "Gap - Missing LIA", IF(AND(G8700="Yes", H8700=""), "Gap - Missing Art. 9 Basis", IF(OR(I8700="Invalid - Not Freely Given", I8700="Invalid - Not Specific", I8700="Invalid - Not Informed", I8700="Invalid - Ambiguous"), "Gap - Invalid Consent", "Compliant")))))</f>
        <v/>
      </c>
      <c r="O8700" s="7" t="n"/>
    </row>
    <row r="8701">
      <c r="A8701" s="7" t="n"/>
      <c r="B8701" s="7" t="n"/>
      <c r="C8701" s="7" t="n"/>
      <c r="D8701" s="7" t="n"/>
      <c r="E8701" s="7" t="n"/>
      <c r="F8701" s="7" t="n"/>
      <c r="G8701" s="7" t="n"/>
      <c r="H8701" s="7" t="n"/>
      <c r="I8701" s="7" t="n"/>
      <c r="J8701" s="7" t="n"/>
      <c r="K8701">
        <f>IF(D8701="Legitimate Interest (GDPR Art. 6(1)(f))", "Yes / Required (Sheet 3)", "")</f>
        <v/>
      </c>
      <c r="L8701" s="7" t="n"/>
      <c r="M8701" s="7" t="n"/>
      <c r="N8701">
        <f>IF(D8701="", "Gap - No Legal Basis", IF(AND(D8701="Consent (GDPR Art. 6(1)(a))", I8701="Not Captured"), "Gap - Invalid Consent", IF(AND(D8701="Legitimate Interest (GDPR Art. 6(1)(f))", L8701=""), "Gap - Missing LIA", IF(AND(G8701="Yes", H8701=""), "Gap - Missing Art. 9 Basis", IF(OR(I8701="Invalid - Not Freely Given", I8701="Invalid - Not Specific", I8701="Invalid - Not Informed", I8701="Invalid - Ambiguous"), "Gap - Invalid Consent", "Compliant")))))</f>
        <v/>
      </c>
      <c r="O8701" s="7" t="n"/>
    </row>
    <row r="8702">
      <c r="A8702" s="7" t="n"/>
      <c r="B8702" s="7" t="n"/>
      <c r="C8702" s="7" t="n"/>
      <c r="D8702" s="7" t="n"/>
      <c r="E8702" s="7" t="n"/>
      <c r="F8702" s="7" t="n"/>
      <c r="G8702" s="7" t="n"/>
      <c r="H8702" s="7" t="n"/>
      <c r="I8702" s="7" t="n"/>
      <c r="J8702" s="7" t="n"/>
      <c r="K8702">
        <f>IF(D8702="Legitimate Interest (GDPR Art. 6(1)(f))", "Yes / Required (Sheet 3)", "")</f>
        <v/>
      </c>
      <c r="L8702" s="7" t="n"/>
      <c r="M8702" s="7" t="n"/>
      <c r="N8702">
        <f>IF(D8702="", "Gap - No Legal Basis", IF(AND(D8702="Consent (GDPR Art. 6(1)(a))", I8702="Not Captured"), "Gap - Invalid Consent", IF(AND(D8702="Legitimate Interest (GDPR Art. 6(1)(f))", L8702=""), "Gap - Missing LIA", IF(AND(G8702="Yes", H8702=""), "Gap - Missing Art. 9 Basis", IF(OR(I8702="Invalid - Not Freely Given", I8702="Invalid - Not Specific", I8702="Invalid - Not Informed", I8702="Invalid - Ambiguous"), "Gap - Invalid Consent", "Compliant")))))</f>
        <v/>
      </c>
      <c r="O8702" s="7" t="n"/>
    </row>
    <row r="8703">
      <c r="A8703" s="7" t="n"/>
      <c r="B8703" s="7" t="n"/>
      <c r="C8703" s="7" t="n"/>
      <c r="D8703" s="7" t="n"/>
      <c r="E8703" s="7" t="n"/>
      <c r="F8703" s="7" t="n"/>
      <c r="G8703" s="7" t="n"/>
      <c r="H8703" s="7" t="n"/>
      <c r="I8703" s="7" t="n"/>
      <c r="J8703" s="7" t="n"/>
      <c r="K8703">
        <f>IF(D8703="Legitimate Interest (GDPR Art. 6(1)(f))", "Yes / Required (Sheet 3)", "")</f>
        <v/>
      </c>
      <c r="L8703" s="7" t="n"/>
      <c r="M8703" s="7" t="n"/>
      <c r="N8703">
        <f>IF(D8703="", "Gap - No Legal Basis", IF(AND(D8703="Consent (GDPR Art. 6(1)(a))", I8703="Not Captured"), "Gap - Invalid Consent", IF(AND(D8703="Legitimate Interest (GDPR Art. 6(1)(f))", L8703=""), "Gap - Missing LIA", IF(AND(G8703="Yes", H8703=""), "Gap - Missing Art. 9 Basis", IF(OR(I8703="Invalid - Not Freely Given", I8703="Invalid - Not Specific", I8703="Invalid - Not Informed", I8703="Invalid - Ambiguous"), "Gap - Invalid Consent", "Compliant")))))</f>
        <v/>
      </c>
      <c r="O8703" s="7" t="n"/>
    </row>
    <row r="8704">
      <c r="A8704" s="7" t="n"/>
      <c r="B8704" s="7" t="n"/>
      <c r="C8704" s="7" t="n"/>
      <c r="D8704" s="7" t="n"/>
      <c r="E8704" s="7" t="n"/>
      <c r="F8704" s="7" t="n"/>
      <c r="G8704" s="7" t="n"/>
      <c r="H8704" s="7" t="n"/>
      <c r="I8704" s="7" t="n"/>
      <c r="J8704" s="7" t="n"/>
      <c r="K8704">
        <f>IF(D8704="Legitimate Interest (GDPR Art. 6(1)(f))", "Yes / Required (Sheet 3)", "")</f>
        <v/>
      </c>
      <c r="L8704" s="7" t="n"/>
      <c r="M8704" s="7" t="n"/>
      <c r="N8704">
        <f>IF(D8704="", "Gap - No Legal Basis", IF(AND(D8704="Consent (GDPR Art. 6(1)(a))", I8704="Not Captured"), "Gap - Invalid Consent", IF(AND(D8704="Legitimate Interest (GDPR Art. 6(1)(f))", L8704=""), "Gap - Missing LIA", IF(AND(G8704="Yes", H8704=""), "Gap - Missing Art. 9 Basis", IF(OR(I8704="Invalid - Not Freely Given", I8704="Invalid - Not Specific", I8704="Invalid - Not Informed", I8704="Invalid - Ambiguous"), "Gap - Invalid Consent", "Compliant")))))</f>
        <v/>
      </c>
      <c r="O8704" s="7" t="n"/>
    </row>
    <row r="8705">
      <c r="A8705" s="7" t="n"/>
      <c r="B8705" s="7" t="n"/>
      <c r="C8705" s="7" t="n"/>
      <c r="D8705" s="7" t="n"/>
      <c r="E8705" s="7" t="n"/>
      <c r="F8705" s="7" t="n"/>
      <c r="G8705" s="7" t="n"/>
      <c r="H8705" s="7" t="n"/>
      <c r="I8705" s="7" t="n"/>
      <c r="J8705" s="7" t="n"/>
      <c r="K8705">
        <f>IF(D8705="Legitimate Interest (GDPR Art. 6(1)(f))", "Yes / Required (Sheet 3)", "")</f>
        <v/>
      </c>
      <c r="L8705" s="7" t="n"/>
      <c r="M8705" s="7" t="n"/>
      <c r="N8705">
        <f>IF(D8705="", "Gap - No Legal Basis", IF(AND(D8705="Consent (GDPR Art. 6(1)(a))", I8705="Not Captured"), "Gap - Invalid Consent", IF(AND(D8705="Legitimate Interest (GDPR Art. 6(1)(f))", L8705=""), "Gap - Missing LIA", IF(AND(G8705="Yes", H8705=""), "Gap - Missing Art. 9 Basis", IF(OR(I8705="Invalid - Not Freely Given", I8705="Invalid - Not Specific", I8705="Invalid - Not Informed", I8705="Invalid - Ambiguous"), "Gap - Invalid Consent", "Compliant")))))</f>
        <v/>
      </c>
      <c r="O8705" s="7" t="n"/>
    </row>
    <row r="8706">
      <c r="A8706" s="7" t="n"/>
      <c r="B8706" s="7" t="n"/>
      <c r="C8706" s="7" t="n"/>
      <c r="D8706" s="7" t="n"/>
      <c r="E8706" s="7" t="n"/>
      <c r="F8706" s="7" t="n"/>
      <c r="G8706" s="7" t="n"/>
      <c r="H8706" s="7" t="n"/>
      <c r="I8706" s="7" t="n"/>
      <c r="J8706" s="7" t="n"/>
      <c r="K8706">
        <f>IF(D8706="Legitimate Interest (GDPR Art. 6(1)(f))", "Yes / Required (Sheet 3)", "")</f>
        <v/>
      </c>
      <c r="L8706" s="7" t="n"/>
      <c r="M8706" s="7" t="n"/>
      <c r="N8706">
        <f>IF(D8706="", "Gap - No Legal Basis", IF(AND(D8706="Consent (GDPR Art. 6(1)(a))", I8706="Not Captured"), "Gap - Invalid Consent", IF(AND(D8706="Legitimate Interest (GDPR Art. 6(1)(f))", L8706=""), "Gap - Missing LIA", IF(AND(G8706="Yes", H8706=""), "Gap - Missing Art. 9 Basis", IF(OR(I8706="Invalid - Not Freely Given", I8706="Invalid - Not Specific", I8706="Invalid - Not Informed", I8706="Invalid - Ambiguous"), "Gap - Invalid Consent", "Compliant")))))</f>
        <v/>
      </c>
      <c r="O8706" s="7" t="n"/>
    </row>
    <row r="8707">
      <c r="A8707" s="7" t="n"/>
      <c r="B8707" s="7" t="n"/>
      <c r="C8707" s="7" t="n"/>
      <c r="D8707" s="7" t="n"/>
      <c r="E8707" s="7" t="n"/>
      <c r="F8707" s="7" t="n"/>
      <c r="G8707" s="7" t="n"/>
      <c r="H8707" s="7" t="n"/>
      <c r="I8707" s="7" t="n"/>
      <c r="J8707" s="7" t="n"/>
      <c r="K8707">
        <f>IF(D8707="Legitimate Interest (GDPR Art. 6(1)(f))", "Yes / Required (Sheet 3)", "")</f>
        <v/>
      </c>
      <c r="L8707" s="7" t="n"/>
      <c r="M8707" s="7" t="n"/>
      <c r="N8707">
        <f>IF(D8707="", "Gap - No Legal Basis", IF(AND(D8707="Consent (GDPR Art. 6(1)(a))", I8707="Not Captured"), "Gap - Invalid Consent", IF(AND(D8707="Legitimate Interest (GDPR Art. 6(1)(f))", L8707=""), "Gap - Missing LIA", IF(AND(G8707="Yes", H8707=""), "Gap - Missing Art. 9 Basis", IF(OR(I8707="Invalid - Not Freely Given", I8707="Invalid - Not Specific", I8707="Invalid - Not Informed", I8707="Invalid - Ambiguous"), "Gap - Invalid Consent", "Compliant")))))</f>
        <v/>
      </c>
      <c r="O8707" s="7" t="n"/>
    </row>
    <row r="8708">
      <c r="A8708" s="7" t="n"/>
      <c r="B8708" s="7" t="n"/>
      <c r="C8708" s="7" t="n"/>
      <c r="D8708" s="7" t="n"/>
      <c r="E8708" s="7" t="n"/>
      <c r="F8708" s="7" t="n"/>
      <c r="G8708" s="7" t="n"/>
      <c r="H8708" s="7" t="n"/>
      <c r="I8708" s="7" t="n"/>
      <c r="J8708" s="7" t="n"/>
      <c r="K8708">
        <f>IF(D8708="Legitimate Interest (GDPR Art. 6(1)(f))", "Yes / Required (Sheet 3)", "")</f>
        <v/>
      </c>
      <c r="L8708" s="7" t="n"/>
      <c r="M8708" s="7" t="n"/>
      <c r="N8708">
        <f>IF(D8708="", "Gap - No Legal Basis", IF(AND(D8708="Consent (GDPR Art. 6(1)(a))", I8708="Not Captured"), "Gap - Invalid Consent", IF(AND(D8708="Legitimate Interest (GDPR Art. 6(1)(f))", L8708=""), "Gap - Missing LIA", IF(AND(G8708="Yes", H8708=""), "Gap - Missing Art. 9 Basis", IF(OR(I8708="Invalid - Not Freely Given", I8708="Invalid - Not Specific", I8708="Invalid - Not Informed", I8708="Invalid - Ambiguous"), "Gap - Invalid Consent", "Compliant")))))</f>
        <v/>
      </c>
      <c r="O8708" s="7" t="n"/>
    </row>
    <row r="8709">
      <c r="A8709" s="7" t="n"/>
      <c r="B8709" s="7" t="n"/>
      <c r="C8709" s="7" t="n"/>
      <c r="D8709" s="7" t="n"/>
      <c r="E8709" s="7" t="n"/>
      <c r="F8709" s="7" t="n"/>
      <c r="G8709" s="7" t="n"/>
      <c r="H8709" s="7" t="n"/>
      <c r="I8709" s="7" t="n"/>
      <c r="J8709" s="7" t="n"/>
      <c r="K8709">
        <f>IF(D8709="Legitimate Interest (GDPR Art. 6(1)(f))", "Yes / Required (Sheet 3)", "")</f>
        <v/>
      </c>
      <c r="L8709" s="7" t="n"/>
      <c r="M8709" s="7" t="n"/>
      <c r="N8709">
        <f>IF(D8709="", "Gap - No Legal Basis", IF(AND(D8709="Consent (GDPR Art. 6(1)(a))", I8709="Not Captured"), "Gap - Invalid Consent", IF(AND(D8709="Legitimate Interest (GDPR Art. 6(1)(f))", L8709=""), "Gap - Missing LIA", IF(AND(G8709="Yes", H8709=""), "Gap - Missing Art. 9 Basis", IF(OR(I8709="Invalid - Not Freely Given", I8709="Invalid - Not Specific", I8709="Invalid - Not Informed", I8709="Invalid - Ambiguous"), "Gap - Invalid Consent", "Compliant")))))</f>
        <v/>
      </c>
      <c r="O8709" s="7" t="n"/>
    </row>
    <row r="8710">
      <c r="A8710" s="7" t="n"/>
      <c r="B8710" s="7" t="n"/>
      <c r="C8710" s="7" t="n"/>
      <c r="D8710" s="7" t="n"/>
      <c r="E8710" s="7" t="n"/>
      <c r="F8710" s="7" t="n"/>
      <c r="G8710" s="7" t="n"/>
      <c r="H8710" s="7" t="n"/>
      <c r="I8710" s="7" t="n"/>
      <c r="J8710" s="7" t="n"/>
      <c r="K8710">
        <f>IF(D8710="Legitimate Interest (GDPR Art. 6(1)(f))", "Yes / Required (Sheet 3)", "")</f>
        <v/>
      </c>
      <c r="L8710" s="7" t="n"/>
      <c r="M8710" s="7" t="n"/>
      <c r="N8710">
        <f>IF(D8710="", "Gap - No Legal Basis", IF(AND(D8710="Consent (GDPR Art. 6(1)(a))", I8710="Not Captured"), "Gap - Invalid Consent", IF(AND(D8710="Legitimate Interest (GDPR Art. 6(1)(f))", L8710=""), "Gap - Missing LIA", IF(AND(G8710="Yes", H8710=""), "Gap - Missing Art. 9 Basis", IF(OR(I8710="Invalid - Not Freely Given", I8710="Invalid - Not Specific", I8710="Invalid - Not Informed", I8710="Invalid - Ambiguous"), "Gap - Invalid Consent", "Compliant")))))</f>
        <v/>
      </c>
      <c r="O8710" s="7" t="n"/>
    </row>
    <row r="8711">
      <c r="A8711" s="7" t="n"/>
      <c r="B8711" s="7" t="n"/>
      <c r="C8711" s="7" t="n"/>
      <c r="D8711" s="7" t="n"/>
      <c r="E8711" s="7" t="n"/>
      <c r="F8711" s="7" t="n"/>
      <c r="G8711" s="7" t="n"/>
      <c r="H8711" s="7" t="n"/>
      <c r="I8711" s="7" t="n"/>
      <c r="J8711" s="7" t="n"/>
      <c r="K8711">
        <f>IF(D8711="Legitimate Interest (GDPR Art. 6(1)(f))", "Yes / Required (Sheet 3)", "")</f>
        <v/>
      </c>
      <c r="L8711" s="7" t="n"/>
      <c r="M8711" s="7" t="n"/>
      <c r="N8711">
        <f>IF(D8711="", "Gap - No Legal Basis", IF(AND(D8711="Consent (GDPR Art. 6(1)(a))", I8711="Not Captured"), "Gap - Invalid Consent", IF(AND(D8711="Legitimate Interest (GDPR Art. 6(1)(f))", L8711=""), "Gap - Missing LIA", IF(AND(G8711="Yes", H8711=""), "Gap - Missing Art. 9 Basis", IF(OR(I8711="Invalid - Not Freely Given", I8711="Invalid - Not Specific", I8711="Invalid - Not Informed", I8711="Invalid - Ambiguous"), "Gap - Invalid Consent", "Compliant")))))</f>
        <v/>
      </c>
      <c r="O8711" s="7" t="n"/>
    </row>
    <row r="8712">
      <c r="A8712" s="7" t="n"/>
      <c r="B8712" s="7" t="n"/>
      <c r="C8712" s="7" t="n"/>
      <c r="D8712" s="7" t="n"/>
      <c r="E8712" s="7" t="n"/>
      <c r="F8712" s="7" t="n"/>
      <c r="G8712" s="7" t="n"/>
      <c r="H8712" s="7" t="n"/>
      <c r="I8712" s="7" t="n"/>
      <c r="J8712" s="7" t="n"/>
      <c r="K8712">
        <f>IF(D8712="Legitimate Interest (GDPR Art. 6(1)(f))", "Yes / Required (Sheet 3)", "")</f>
        <v/>
      </c>
      <c r="L8712" s="7" t="n"/>
      <c r="M8712" s="7" t="n"/>
      <c r="N8712">
        <f>IF(D8712="", "Gap - No Legal Basis", IF(AND(D8712="Consent (GDPR Art. 6(1)(a))", I8712="Not Captured"), "Gap - Invalid Consent", IF(AND(D8712="Legitimate Interest (GDPR Art. 6(1)(f))", L8712=""), "Gap - Missing LIA", IF(AND(G8712="Yes", H8712=""), "Gap - Missing Art. 9 Basis", IF(OR(I8712="Invalid - Not Freely Given", I8712="Invalid - Not Specific", I8712="Invalid - Not Informed", I8712="Invalid - Ambiguous"), "Gap - Invalid Consent", "Compliant")))))</f>
        <v/>
      </c>
      <c r="O8712" s="7" t="n"/>
    </row>
    <row r="8713">
      <c r="A8713" s="7" t="n"/>
      <c r="B8713" s="7" t="n"/>
      <c r="C8713" s="7" t="n"/>
      <c r="D8713" s="7" t="n"/>
      <c r="E8713" s="7" t="n"/>
      <c r="F8713" s="7" t="n"/>
      <c r="G8713" s="7" t="n"/>
      <c r="H8713" s="7" t="n"/>
      <c r="I8713" s="7" t="n"/>
      <c r="J8713" s="7" t="n"/>
      <c r="K8713">
        <f>IF(D8713="Legitimate Interest (GDPR Art. 6(1)(f))", "Yes / Required (Sheet 3)", "")</f>
        <v/>
      </c>
      <c r="L8713" s="7" t="n"/>
      <c r="M8713" s="7" t="n"/>
      <c r="N8713">
        <f>IF(D8713="", "Gap - No Legal Basis", IF(AND(D8713="Consent (GDPR Art. 6(1)(a))", I8713="Not Captured"), "Gap - Invalid Consent", IF(AND(D8713="Legitimate Interest (GDPR Art. 6(1)(f))", L8713=""), "Gap - Missing LIA", IF(AND(G8713="Yes", H8713=""), "Gap - Missing Art. 9 Basis", IF(OR(I8713="Invalid - Not Freely Given", I8713="Invalid - Not Specific", I8713="Invalid - Not Informed", I8713="Invalid - Ambiguous"), "Gap - Invalid Consent", "Compliant")))))</f>
        <v/>
      </c>
      <c r="O8713" s="7" t="n"/>
    </row>
    <row r="8714">
      <c r="A8714" s="7" t="n"/>
      <c r="B8714" s="7" t="n"/>
      <c r="C8714" s="7" t="n"/>
      <c r="D8714" s="7" t="n"/>
      <c r="E8714" s="7" t="n"/>
      <c r="F8714" s="7" t="n"/>
      <c r="G8714" s="7" t="n"/>
      <c r="H8714" s="7" t="n"/>
      <c r="I8714" s="7" t="n"/>
      <c r="J8714" s="7" t="n"/>
      <c r="K8714">
        <f>IF(D8714="Legitimate Interest (GDPR Art. 6(1)(f))", "Yes / Required (Sheet 3)", "")</f>
        <v/>
      </c>
      <c r="L8714" s="7" t="n"/>
      <c r="M8714" s="7" t="n"/>
      <c r="N8714">
        <f>IF(D8714="", "Gap - No Legal Basis", IF(AND(D8714="Consent (GDPR Art. 6(1)(a))", I8714="Not Captured"), "Gap - Invalid Consent", IF(AND(D8714="Legitimate Interest (GDPR Art. 6(1)(f))", L8714=""), "Gap - Missing LIA", IF(AND(G8714="Yes", H8714=""), "Gap - Missing Art. 9 Basis", IF(OR(I8714="Invalid - Not Freely Given", I8714="Invalid - Not Specific", I8714="Invalid - Not Informed", I8714="Invalid - Ambiguous"), "Gap - Invalid Consent", "Compliant")))))</f>
        <v/>
      </c>
      <c r="O8714" s="7" t="n"/>
    </row>
    <row r="8715">
      <c r="A8715" s="7" t="n"/>
      <c r="B8715" s="7" t="n"/>
      <c r="C8715" s="7" t="n"/>
      <c r="D8715" s="7" t="n"/>
      <c r="E8715" s="7" t="n"/>
      <c r="F8715" s="7" t="n"/>
      <c r="G8715" s="7" t="n"/>
      <c r="H8715" s="7" t="n"/>
      <c r="I8715" s="7" t="n"/>
      <c r="J8715" s="7" t="n"/>
      <c r="K8715">
        <f>IF(D8715="Legitimate Interest (GDPR Art. 6(1)(f))", "Yes / Required (Sheet 3)", "")</f>
        <v/>
      </c>
      <c r="L8715" s="7" t="n"/>
      <c r="M8715" s="7" t="n"/>
      <c r="N8715">
        <f>IF(D8715="", "Gap - No Legal Basis", IF(AND(D8715="Consent (GDPR Art. 6(1)(a))", I8715="Not Captured"), "Gap - Invalid Consent", IF(AND(D8715="Legitimate Interest (GDPR Art. 6(1)(f))", L8715=""), "Gap - Missing LIA", IF(AND(G8715="Yes", H8715=""), "Gap - Missing Art. 9 Basis", IF(OR(I8715="Invalid - Not Freely Given", I8715="Invalid - Not Specific", I8715="Invalid - Not Informed", I8715="Invalid - Ambiguous"), "Gap - Invalid Consent", "Compliant")))))</f>
        <v/>
      </c>
      <c r="O8715" s="7" t="n"/>
    </row>
    <row r="8716">
      <c r="A8716" s="7" t="n"/>
      <c r="B8716" s="7" t="n"/>
      <c r="C8716" s="7" t="n"/>
      <c r="D8716" s="7" t="n"/>
      <c r="E8716" s="7" t="n"/>
      <c r="F8716" s="7" t="n"/>
      <c r="G8716" s="7" t="n"/>
      <c r="H8716" s="7" t="n"/>
      <c r="I8716" s="7" t="n"/>
      <c r="J8716" s="7" t="n"/>
      <c r="K8716">
        <f>IF(D8716="Legitimate Interest (GDPR Art. 6(1)(f))", "Yes / Required (Sheet 3)", "")</f>
        <v/>
      </c>
      <c r="L8716" s="7" t="n"/>
      <c r="M8716" s="7" t="n"/>
      <c r="N8716">
        <f>IF(D8716="", "Gap - No Legal Basis", IF(AND(D8716="Consent (GDPR Art. 6(1)(a))", I8716="Not Captured"), "Gap - Invalid Consent", IF(AND(D8716="Legitimate Interest (GDPR Art. 6(1)(f))", L8716=""), "Gap - Missing LIA", IF(AND(G8716="Yes", H8716=""), "Gap - Missing Art. 9 Basis", IF(OR(I8716="Invalid - Not Freely Given", I8716="Invalid - Not Specific", I8716="Invalid - Not Informed", I8716="Invalid - Ambiguous"), "Gap - Invalid Consent", "Compliant")))))</f>
        <v/>
      </c>
      <c r="O8716" s="7" t="n"/>
    </row>
    <row r="8717">
      <c r="A8717" s="7" t="n"/>
      <c r="B8717" s="7" t="n"/>
      <c r="C8717" s="7" t="n"/>
      <c r="D8717" s="7" t="n"/>
      <c r="E8717" s="7" t="n"/>
      <c r="F8717" s="7" t="n"/>
      <c r="G8717" s="7" t="n"/>
      <c r="H8717" s="7" t="n"/>
      <c r="I8717" s="7" t="n"/>
      <c r="J8717" s="7" t="n"/>
      <c r="K8717">
        <f>IF(D8717="Legitimate Interest (GDPR Art. 6(1)(f))", "Yes / Required (Sheet 3)", "")</f>
        <v/>
      </c>
      <c r="L8717" s="7" t="n"/>
      <c r="M8717" s="7" t="n"/>
      <c r="N8717">
        <f>IF(D8717="", "Gap - No Legal Basis", IF(AND(D8717="Consent (GDPR Art. 6(1)(a))", I8717="Not Captured"), "Gap - Invalid Consent", IF(AND(D8717="Legitimate Interest (GDPR Art. 6(1)(f))", L8717=""), "Gap - Missing LIA", IF(AND(G8717="Yes", H8717=""), "Gap - Missing Art. 9 Basis", IF(OR(I8717="Invalid - Not Freely Given", I8717="Invalid - Not Specific", I8717="Invalid - Not Informed", I8717="Invalid - Ambiguous"), "Gap - Invalid Consent", "Compliant")))))</f>
        <v/>
      </c>
      <c r="O8717" s="7" t="n"/>
    </row>
    <row r="8718">
      <c r="A8718" s="7" t="n"/>
      <c r="B8718" s="7" t="n"/>
      <c r="C8718" s="7" t="n"/>
      <c r="D8718" s="7" t="n"/>
      <c r="E8718" s="7" t="n"/>
      <c r="F8718" s="7" t="n"/>
      <c r="G8718" s="7" t="n"/>
      <c r="H8718" s="7" t="n"/>
      <c r="I8718" s="7" t="n"/>
      <c r="J8718" s="7" t="n"/>
      <c r="K8718">
        <f>IF(D8718="Legitimate Interest (GDPR Art. 6(1)(f))", "Yes / Required (Sheet 3)", "")</f>
        <v/>
      </c>
      <c r="L8718" s="7" t="n"/>
      <c r="M8718" s="7" t="n"/>
      <c r="N8718">
        <f>IF(D8718="", "Gap - No Legal Basis", IF(AND(D8718="Consent (GDPR Art. 6(1)(a))", I8718="Not Captured"), "Gap - Invalid Consent", IF(AND(D8718="Legitimate Interest (GDPR Art. 6(1)(f))", L8718=""), "Gap - Missing LIA", IF(AND(G8718="Yes", H8718=""), "Gap - Missing Art. 9 Basis", IF(OR(I8718="Invalid - Not Freely Given", I8718="Invalid - Not Specific", I8718="Invalid - Not Informed", I8718="Invalid - Ambiguous"), "Gap - Invalid Consent", "Compliant")))))</f>
        <v/>
      </c>
      <c r="O8718" s="7" t="n"/>
    </row>
    <row r="8719">
      <c r="A8719" s="7" t="n"/>
      <c r="B8719" s="7" t="n"/>
      <c r="C8719" s="7" t="n"/>
      <c r="D8719" s="7" t="n"/>
      <c r="E8719" s="7" t="n"/>
      <c r="F8719" s="7" t="n"/>
      <c r="G8719" s="7" t="n"/>
      <c r="H8719" s="7" t="n"/>
      <c r="I8719" s="7" t="n"/>
      <c r="J8719" s="7" t="n"/>
      <c r="K8719">
        <f>IF(D8719="Legitimate Interest (GDPR Art. 6(1)(f))", "Yes / Required (Sheet 3)", "")</f>
        <v/>
      </c>
      <c r="L8719" s="7" t="n"/>
      <c r="M8719" s="7" t="n"/>
      <c r="N8719">
        <f>IF(D8719="", "Gap - No Legal Basis", IF(AND(D8719="Consent (GDPR Art. 6(1)(a))", I8719="Not Captured"), "Gap - Invalid Consent", IF(AND(D8719="Legitimate Interest (GDPR Art. 6(1)(f))", L8719=""), "Gap - Missing LIA", IF(AND(G8719="Yes", H8719=""), "Gap - Missing Art. 9 Basis", IF(OR(I8719="Invalid - Not Freely Given", I8719="Invalid - Not Specific", I8719="Invalid - Not Informed", I8719="Invalid - Ambiguous"), "Gap - Invalid Consent", "Compliant")))))</f>
        <v/>
      </c>
      <c r="O8719" s="7" t="n"/>
    </row>
    <row r="8720">
      <c r="A8720" s="7" t="n"/>
      <c r="B8720" s="7" t="n"/>
      <c r="C8720" s="7" t="n"/>
      <c r="D8720" s="7" t="n"/>
      <c r="E8720" s="7" t="n"/>
      <c r="F8720" s="7" t="n"/>
      <c r="G8720" s="7" t="n"/>
      <c r="H8720" s="7" t="n"/>
      <c r="I8720" s="7" t="n"/>
      <c r="J8720" s="7" t="n"/>
      <c r="K8720">
        <f>IF(D8720="Legitimate Interest (GDPR Art. 6(1)(f))", "Yes / Required (Sheet 3)", "")</f>
        <v/>
      </c>
      <c r="L8720" s="7" t="n"/>
      <c r="M8720" s="7" t="n"/>
      <c r="N8720">
        <f>IF(D8720="", "Gap - No Legal Basis", IF(AND(D8720="Consent (GDPR Art. 6(1)(a))", I8720="Not Captured"), "Gap - Invalid Consent", IF(AND(D8720="Legitimate Interest (GDPR Art. 6(1)(f))", L8720=""), "Gap - Missing LIA", IF(AND(G8720="Yes", H8720=""), "Gap - Missing Art. 9 Basis", IF(OR(I8720="Invalid - Not Freely Given", I8720="Invalid - Not Specific", I8720="Invalid - Not Informed", I8720="Invalid - Ambiguous"), "Gap - Invalid Consent", "Compliant")))))</f>
        <v/>
      </c>
      <c r="O8720" s="7" t="n"/>
    </row>
    <row r="8721">
      <c r="A8721" s="7" t="n"/>
      <c r="B8721" s="7" t="n"/>
      <c r="C8721" s="7" t="n"/>
      <c r="D8721" s="7" t="n"/>
      <c r="E8721" s="7" t="n"/>
      <c r="F8721" s="7" t="n"/>
      <c r="G8721" s="7" t="n"/>
      <c r="H8721" s="7" t="n"/>
      <c r="I8721" s="7" t="n"/>
      <c r="J8721" s="7" t="n"/>
      <c r="K8721">
        <f>IF(D8721="Legitimate Interest (GDPR Art. 6(1)(f))", "Yes / Required (Sheet 3)", "")</f>
        <v/>
      </c>
      <c r="L8721" s="7" t="n"/>
      <c r="M8721" s="7" t="n"/>
      <c r="N8721">
        <f>IF(D8721="", "Gap - No Legal Basis", IF(AND(D8721="Consent (GDPR Art. 6(1)(a))", I8721="Not Captured"), "Gap - Invalid Consent", IF(AND(D8721="Legitimate Interest (GDPR Art. 6(1)(f))", L8721=""), "Gap - Missing LIA", IF(AND(G8721="Yes", H8721=""), "Gap - Missing Art. 9 Basis", IF(OR(I8721="Invalid - Not Freely Given", I8721="Invalid - Not Specific", I8721="Invalid - Not Informed", I8721="Invalid - Ambiguous"), "Gap - Invalid Consent", "Compliant")))))</f>
        <v/>
      </c>
      <c r="O8721" s="7" t="n"/>
    </row>
    <row r="8722">
      <c r="A8722" s="7" t="n"/>
      <c r="B8722" s="7" t="n"/>
      <c r="C8722" s="7" t="n"/>
      <c r="D8722" s="7" t="n"/>
      <c r="E8722" s="7" t="n"/>
      <c r="F8722" s="7" t="n"/>
      <c r="G8722" s="7" t="n"/>
      <c r="H8722" s="7" t="n"/>
      <c r="I8722" s="7" t="n"/>
      <c r="J8722" s="7" t="n"/>
      <c r="K8722">
        <f>IF(D8722="Legitimate Interest (GDPR Art. 6(1)(f))", "Yes / Required (Sheet 3)", "")</f>
        <v/>
      </c>
      <c r="L8722" s="7" t="n"/>
      <c r="M8722" s="7" t="n"/>
      <c r="N8722">
        <f>IF(D8722="", "Gap - No Legal Basis", IF(AND(D8722="Consent (GDPR Art. 6(1)(a))", I8722="Not Captured"), "Gap - Invalid Consent", IF(AND(D8722="Legitimate Interest (GDPR Art. 6(1)(f))", L8722=""), "Gap - Missing LIA", IF(AND(G8722="Yes", H8722=""), "Gap - Missing Art. 9 Basis", IF(OR(I8722="Invalid - Not Freely Given", I8722="Invalid - Not Specific", I8722="Invalid - Not Informed", I8722="Invalid - Ambiguous"), "Gap - Invalid Consent", "Compliant")))))</f>
        <v/>
      </c>
      <c r="O8722" s="7" t="n"/>
    </row>
    <row r="8723">
      <c r="A8723" s="7" t="n"/>
      <c r="B8723" s="7" t="n"/>
      <c r="C8723" s="7" t="n"/>
      <c r="D8723" s="7" t="n"/>
      <c r="E8723" s="7" t="n"/>
      <c r="F8723" s="7" t="n"/>
      <c r="G8723" s="7" t="n"/>
      <c r="H8723" s="7" t="n"/>
      <c r="I8723" s="7" t="n"/>
      <c r="J8723" s="7" t="n"/>
      <c r="K8723">
        <f>IF(D8723="Legitimate Interest (GDPR Art. 6(1)(f))", "Yes / Required (Sheet 3)", "")</f>
        <v/>
      </c>
      <c r="L8723" s="7" t="n"/>
      <c r="M8723" s="7" t="n"/>
      <c r="N8723">
        <f>IF(D8723="", "Gap - No Legal Basis", IF(AND(D8723="Consent (GDPR Art. 6(1)(a))", I8723="Not Captured"), "Gap - Invalid Consent", IF(AND(D8723="Legitimate Interest (GDPR Art. 6(1)(f))", L8723=""), "Gap - Missing LIA", IF(AND(G8723="Yes", H8723=""), "Gap - Missing Art. 9 Basis", IF(OR(I8723="Invalid - Not Freely Given", I8723="Invalid - Not Specific", I8723="Invalid - Not Informed", I8723="Invalid - Ambiguous"), "Gap - Invalid Consent", "Compliant")))))</f>
        <v/>
      </c>
      <c r="O8723" s="7" t="n"/>
    </row>
    <row r="8724">
      <c r="A8724" s="7" t="n"/>
      <c r="B8724" s="7" t="n"/>
      <c r="C8724" s="7" t="n"/>
      <c r="D8724" s="7" t="n"/>
      <c r="E8724" s="7" t="n"/>
      <c r="F8724" s="7" t="n"/>
      <c r="G8724" s="7" t="n"/>
      <c r="H8724" s="7" t="n"/>
      <c r="I8724" s="7" t="n"/>
      <c r="J8724" s="7" t="n"/>
      <c r="K8724">
        <f>IF(D8724="Legitimate Interest (GDPR Art. 6(1)(f))", "Yes / Required (Sheet 3)", "")</f>
        <v/>
      </c>
      <c r="L8724" s="7" t="n"/>
      <c r="M8724" s="7" t="n"/>
      <c r="N8724">
        <f>IF(D8724="", "Gap - No Legal Basis", IF(AND(D8724="Consent (GDPR Art. 6(1)(a))", I8724="Not Captured"), "Gap - Invalid Consent", IF(AND(D8724="Legitimate Interest (GDPR Art. 6(1)(f))", L8724=""), "Gap - Missing LIA", IF(AND(G8724="Yes", H8724=""), "Gap - Missing Art. 9 Basis", IF(OR(I8724="Invalid - Not Freely Given", I8724="Invalid - Not Specific", I8724="Invalid - Not Informed", I8724="Invalid - Ambiguous"), "Gap - Invalid Consent", "Compliant")))))</f>
        <v/>
      </c>
      <c r="O8724" s="7" t="n"/>
    </row>
    <row r="8725">
      <c r="A8725" s="7" t="n"/>
      <c r="B8725" s="7" t="n"/>
      <c r="C8725" s="7" t="n"/>
      <c r="D8725" s="7" t="n"/>
      <c r="E8725" s="7" t="n"/>
      <c r="F8725" s="7" t="n"/>
      <c r="G8725" s="7" t="n"/>
      <c r="H8725" s="7" t="n"/>
      <c r="I8725" s="7" t="n"/>
      <c r="J8725" s="7" t="n"/>
      <c r="K8725">
        <f>IF(D8725="Legitimate Interest (GDPR Art. 6(1)(f))", "Yes / Required (Sheet 3)", "")</f>
        <v/>
      </c>
      <c r="L8725" s="7" t="n"/>
      <c r="M8725" s="7" t="n"/>
      <c r="N8725">
        <f>IF(D8725="", "Gap - No Legal Basis", IF(AND(D8725="Consent (GDPR Art. 6(1)(a))", I8725="Not Captured"), "Gap - Invalid Consent", IF(AND(D8725="Legitimate Interest (GDPR Art. 6(1)(f))", L8725=""), "Gap - Missing LIA", IF(AND(G8725="Yes", H8725=""), "Gap - Missing Art. 9 Basis", IF(OR(I8725="Invalid - Not Freely Given", I8725="Invalid - Not Specific", I8725="Invalid - Not Informed", I8725="Invalid - Ambiguous"), "Gap - Invalid Consent", "Compliant")))))</f>
        <v/>
      </c>
      <c r="O8725" s="7" t="n"/>
    </row>
    <row r="8726">
      <c r="A8726" s="7" t="n"/>
      <c r="B8726" s="7" t="n"/>
      <c r="C8726" s="7" t="n"/>
      <c r="D8726" s="7" t="n"/>
      <c r="E8726" s="7" t="n"/>
      <c r="F8726" s="7" t="n"/>
      <c r="G8726" s="7" t="n"/>
      <c r="H8726" s="7" t="n"/>
      <c r="I8726" s="7" t="n"/>
      <c r="J8726" s="7" t="n"/>
      <c r="K8726">
        <f>IF(D8726="Legitimate Interest (GDPR Art. 6(1)(f))", "Yes / Required (Sheet 3)", "")</f>
        <v/>
      </c>
      <c r="L8726" s="7" t="n"/>
      <c r="M8726" s="7" t="n"/>
      <c r="N8726">
        <f>IF(D8726="", "Gap - No Legal Basis", IF(AND(D8726="Consent (GDPR Art. 6(1)(a))", I8726="Not Captured"), "Gap - Invalid Consent", IF(AND(D8726="Legitimate Interest (GDPR Art. 6(1)(f))", L8726=""), "Gap - Missing LIA", IF(AND(G8726="Yes", H8726=""), "Gap - Missing Art. 9 Basis", IF(OR(I8726="Invalid - Not Freely Given", I8726="Invalid - Not Specific", I8726="Invalid - Not Informed", I8726="Invalid - Ambiguous"), "Gap - Invalid Consent", "Compliant")))))</f>
        <v/>
      </c>
      <c r="O8726" s="7" t="n"/>
    </row>
    <row r="8727">
      <c r="A8727" s="7" t="n"/>
      <c r="B8727" s="7" t="n"/>
      <c r="C8727" s="7" t="n"/>
      <c r="D8727" s="7" t="n"/>
      <c r="E8727" s="7" t="n"/>
      <c r="F8727" s="7" t="n"/>
      <c r="G8727" s="7" t="n"/>
      <c r="H8727" s="7" t="n"/>
      <c r="I8727" s="7" t="n"/>
      <c r="J8727" s="7" t="n"/>
      <c r="K8727">
        <f>IF(D8727="Legitimate Interest (GDPR Art. 6(1)(f))", "Yes / Required (Sheet 3)", "")</f>
        <v/>
      </c>
      <c r="L8727" s="7" t="n"/>
      <c r="M8727" s="7" t="n"/>
      <c r="N8727">
        <f>IF(D8727="", "Gap - No Legal Basis", IF(AND(D8727="Consent (GDPR Art. 6(1)(a))", I8727="Not Captured"), "Gap - Invalid Consent", IF(AND(D8727="Legitimate Interest (GDPR Art. 6(1)(f))", L8727=""), "Gap - Missing LIA", IF(AND(G8727="Yes", H8727=""), "Gap - Missing Art. 9 Basis", IF(OR(I8727="Invalid - Not Freely Given", I8727="Invalid - Not Specific", I8727="Invalid - Not Informed", I8727="Invalid - Ambiguous"), "Gap - Invalid Consent", "Compliant")))))</f>
        <v/>
      </c>
      <c r="O8727" s="7" t="n"/>
    </row>
    <row r="8728">
      <c r="A8728" s="7" t="n"/>
      <c r="B8728" s="7" t="n"/>
      <c r="C8728" s="7" t="n"/>
      <c r="D8728" s="7" t="n"/>
      <c r="E8728" s="7" t="n"/>
      <c r="F8728" s="7" t="n"/>
      <c r="G8728" s="7" t="n"/>
      <c r="H8728" s="7" t="n"/>
      <c r="I8728" s="7" t="n"/>
      <c r="J8728" s="7" t="n"/>
      <c r="K8728">
        <f>IF(D8728="Legitimate Interest (GDPR Art. 6(1)(f))", "Yes / Required (Sheet 3)", "")</f>
        <v/>
      </c>
      <c r="L8728" s="7" t="n"/>
      <c r="M8728" s="7" t="n"/>
      <c r="N8728">
        <f>IF(D8728="", "Gap - No Legal Basis", IF(AND(D8728="Consent (GDPR Art. 6(1)(a))", I8728="Not Captured"), "Gap - Invalid Consent", IF(AND(D8728="Legitimate Interest (GDPR Art. 6(1)(f))", L8728=""), "Gap - Missing LIA", IF(AND(G8728="Yes", H8728=""), "Gap - Missing Art. 9 Basis", IF(OR(I8728="Invalid - Not Freely Given", I8728="Invalid - Not Specific", I8728="Invalid - Not Informed", I8728="Invalid - Ambiguous"), "Gap - Invalid Consent", "Compliant")))))</f>
        <v/>
      </c>
      <c r="O8728" s="7" t="n"/>
    </row>
    <row r="8729">
      <c r="A8729" s="7" t="n"/>
      <c r="B8729" s="7" t="n"/>
      <c r="C8729" s="7" t="n"/>
      <c r="D8729" s="7" t="n"/>
      <c r="E8729" s="7" t="n"/>
      <c r="F8729" s="7" t="n"/>
      <c r="G8729" s="7" t="n"/>
      <c r="H8729" s="7" t="n"/>
      <c r="I8729" s="7" t="n"/>
      <c r="J8729" s="7" t="n"/>
      <c r="K8729">
        <f>IF(D8729="Legitimate Interest (GDPR Art. 6(1)(f))", "Yes / Required (Sheet 3)", "")</f>
        <v/>
      </c>
      <c r="L8729" s="7" t="n"/>
      <c r="M8729" s="7" t="n"/>
      <c r="N8729">
        <f>IF(D8729="", "Gap - No Legal Basis", IF(AND(D8729="Consent (GDPR Art. 6(1)(a))", I8729="Not Captured"), "Gap - Invalid Consent", IF(AND(D8729="Legitimate Interest (GDPR Art. 6(1)(f))", L8729=""), "Gap - Missing LIA", IF(AND(G8729="Yes", H8729=""), "Gap - Missing Art. 9 Basis", IF(OR(I8729="Invalid - Not Freely Given", I8729="Invalid - Not Specific", I8729="Invalid - Not Informed", I8729="Invalid - Ambiguous"), "Gap - Invalid Consent", "Compliant")))))</f>
        <v/>
      </c>
      <c r="O8729" s="7" t="n"/>
    </row>
    <row r="8730">
      <c r="A8730" s="7" t="n"/>
      <c r="B8730" s="7" t="n"/>
      <c r="C8730" s="7" t="n"/>
      <c r="D8730" s="7" t="n"/>
      <c r="E8730" s="7" t="n"/>
      <c r="F8730" s="7" t="n"/>
      <c r="G8730" s="7" t="n"/>
      <c r="H8730" s="7" t="n"/>
      <c r="I8730" s="7" t="n"/>
      <c r="J8730" s="7" t="n"/>
      <c r="K8730">
        <f>IF(D8730="Legitimate Interest (GDPR Art. 6(1)(f))", "Yes / Required (Sheet 3)", "")</f>
        <v/>
      </c>
      <c r="L8730" s="7" t="n"/>
      <c r="M8730" s="7" t="n"/>
      <c r="N8730">
        <f>IF(D8730="", "Gap - No Legal Basis", IF(AND(D8730="Consent (GDPR Art. 6(1)(a))", I8730="Not Captured"), "Gap - Invalid Consent", IF(AND(D8730="Legitimate Interest (GDPR Art. 6(1)(f))", L8730=""), "Gap - Missing LIA", IF(AND(G8730="Yes", H8730=""), "Gap - Missing Art. 9 Basis", IF(OR(I8730="Invalid - Not Freely Given", I8730="Invalid - Not Specific", I8730="Invalid - Not Informed", I8730="Invalid - Ambiguous"), "Gap - Invalid Consent", "Compliant")))))</f>
        <v/>
      </c>
      <c r="O8730" s="7" t="n"/>
    </row>
    <row r="8731">
      <c r="A8731" s="7" t="n"/>
      <c r="B8731" s="7" t="n"/>
      <c r="C8731" s="7" t="n"/>
      <c r="D8731" s="7" t="n"/>
      <c r="E8731" s="7" t="n"/>
      <c r="F8731" s="7" t="n"/>
      <c r="G8731" s="7" t="n"/>
      <c r="H8731" s="7" t="n"/>
      <c r="I8731" s="7" t="n"/>
      <c r="J8731" s="7" t="n"/>
      <c r="K8731">
        <f>IF(D8731="Legitimate Interest (GDPR Art. 6(1)(f))", "Yes / Required (Sheet 3)", "")</f>
        <v/>
      </c>
      <c r="L8731" s="7" t="n"/>
      <c r="M8731" s="7" t="n"/>
      <c r="N8731">
        <f>IF(D8731="", "Gap - No Legal Basis", IF(AND(D8731="Consent (GDPR Art. 6(1)(a))", I8731="Not Captured"), "Gap - Invalid Consent", IF(AND(D8731="Legitimate Interest (GDPR Art. 6(1)(f))", L8731=""), "Gap - Missing LIA", IF(AND(G8731="Yes", H8731=""), "Gap - Missing Art. 9 Basis", IF(OR(I8731="Invalid - Not Freely Given", I8731="Invalid - Not Specific", I8731="Invalid - Not Informed", I8731="Invalid - Ambiguous"), "Gap - Invalid Consent", "Compliant")))))</f>
        <v/>
      </c>
      <c r="O8731" s="7" t="n"/>
    </row>
    <row r="8732">
      <c r="A8732" s="7" t="n"/>
      <c r="B8732" s="7" t="n"/>
      <c r="C8732" s="7" t="n"/>
      <c r="D8732" s="7" t="n"/>
      <c r="E8732" s="7" t="n"/>
      <c r="F8732" s="7" t="n"/>
      <c r="G8732" s="7" t="n"/>
      <c r="H8732" s="7" t="n"/>
      <c r="I8732" s="7" t="n"/>
      <c r="J8732" s="7" t="n"/>
      <c r="K8732">
        <f>IF(D8732="Legitimate Interest (GDPR Art. 6(1)(f))", "Yes / Required (Sheet 3)", "")</f>
        <v/>
      </c>
      <c r="L8732" s="7" t="n"/>
      <c r="M8732" s="7" t="n"/>
      <c r="N8732">
        <f>IF(D8732="", "Gap - No Legal Basis", IF(AND(D8732="Consent (GDPR Art. 6(1)(a))", I8732="Not Captured"), "Gap - Invalid Consent", IF(AND(D8732="Legitimate Interest (GDPR Art. 6(1)(f))", L8732=""), "Gap - Missing LIA", IF(AND(G8732="Yes", H8732=""), "Gap - Missing Art. 9 Basis", IF(OR(I8732="Invalid - Not Freely Given", I8732="Invalid - Not Specific", I8732="Invalid - Not Informed", I8732="Invalid - Ambiguous"), "Gap - Invalid Consent", "Compliant")))))</f>
        <v/>
      </c>
      <c r="O8732" s="7" t="n"/>
    </row>
    <row r="8733">
      <c r="A8733" s="7" t="n"/>
      <c r="B8733" s="7" t="n"/>
      <c r="C8733" s="7" t="n"/>
      <c r="D8733" s="7" t="n"/>
      <c r="E8733" s="7" t="n"/>
      <c r="F8733" s="7" t="n"/>
      <c r="G8733" s="7" t="n"/>
      <c r="H8733" s="7" t="n"/>
      <c r="I8733" s="7" t="n"/>
      <c r="J8733" s="7" t="n"/>
      <c r="K8733">
        <f>IF(D8733="Legitimate Interest (GDPR Art. 6(1)(f))", "Yes / Required (Sheet 3)", "")</f>
        <v/>
      </c>
      <c r="L8733" s="7" t="n"/>
      <c r="M8733" s="7" t="n"/>
      <c r="N8733">
        <f>IF(D8733="", "Gap - No Legal Basis", IF(AND(D8733="Consent (GDPR Art. 6(1)(a))", I8733="Not Captured"), "Gap - Invalid Consent", IF(AND(D8733="Legitimate Interest (GDPR Art. 6(1)(f))", L8733=""), "Gap - Missing LIA", IF(AND(G8733="Yes", H8733=""), "Gap - Missing Art. 9 Basis", IF(OR(I8733="Invalid - Not Freely Given", I8733="Invalid - Not Specific", I8733="Invalid - Not Informed", I8733="Invalid - Ambiguous"), "Gap - Invalid Consent", "Compliant")))))</f>
        <v/>
      </c>
      <c r="O8733" s="7" t="n"/>
    </row>
    <row r="8734">
      <c r="A8734" s="7" t="n"/>
      <c r="B8734" s="7" t="n"/>
      <c r="C8734" s="7" t="n"/>
      <c r="D8734" s="7" t="n"/>
      <c r="E8734" s="7" t="n"/>
      <c r="F8734" s="7" t="n"/>
      <c r="G8734" s="7" t="n"/>
      <c r="H8734" s="7" t="n"/>
      <c r="I8734" s="7" t="n"/>
      <c r="J8734" s="7" t="n"/>
      <c r="K8734">
        <f>IF(D8734="Legitimate Interest (GDPR Art. 6(1)(f))", "Yes / Required (Sheet 3)", "")</f>
        <v/>
      </c>
      <c r="L8734" s="7" t="n"/>
      <c r="M8734" s="7" t="n"/>
      <c r="N8734">
        <f>IF(D8734="", "Gap - No Legal Basis", IF(AND(D8734="Consent (GDPR Art. 6(1)(a))", I8734="Not Captured"), "Gap - Invalid Consent", IF(AND(D8734="Legitimate Interest (GDPR Art. 6(1)(f))", L8734=""), "Gap - Missing LIA", IF(AND(G8734="Yes", H8734=""), "Gap - Missing Art. 9 Basis", IF(OR(I8734="Invalid - Not Freely Given", I8734="Invalid - Not Specific", I8734="Invalid - Not Informed", I8734="Invalid - Ambiguous"), "Gap - Invalid Consent", "Compliant")))))</f>
        <v/>
      </c>
      <c r="O8734" s="7" t="n"/>
    </row>
    <row r="8735">
      <c r="A8735" s="7" t="n"/>
      <c r="B8735" s="7" t="n"/>
      <c r="C8735" s="7" t="n"/>
      <c r="D8735" s="7" t="n"/>
      <c r="E8735" s="7" t="n"/>
      <c r="F8735" s="7" t="n"/>
      <c r="G8735" s="7" t="n"/>
      <c r="H8735" s="7" t="n"/>
      <c r="I8735" s="7" t="n"/>
      <c r="J8735" s="7" t="n"/>
      <c r="K8735">
        <f>IF(D8735="Legitimate Interest (GDPR Art. 6(1)(f))", "Yes / Required (Sheet 3)", "")</f>
        <v/>
      </c>
      <c r="L8735" s="7" t="n"/>
      <c r="M8735" s="7" t="n"/>
      <c r="N8735">
        <f>IF(D8735="", "Gap - No Legal Basis", IF(AND(D8735="Consent (GDPR Art. 6(1)(a))", I8735="Not Captured"), "Gap - Invalid Consent", IF(AND(D8735="Legitimate Interest (GDPR Art. 6(1)(f))", L8735=""), "Gap - Missing LIA", IF(AND(G8735="Yes", H8735=""), "Gap - Missing Art. 9 Basis", IF(OR(I8735="Invalid - Not Freely Given", I8735="Invalid - Not Specific", I8735="Invalid - Not Informed", I8735="Invalid - Ambiguous"), "Gap - Invalid Consent", "Compliant")))))</f>
        <v/>
      </c>
      <c r="O8735" s="7" t="n"/>
    </row>
    <row r="8736">
      <c r="A8736" s="7" t="n"/>
      <c r="B8736" s="7" t="n"/>
      <c r="C8736" s="7" t="n"/>
      <c r="D8736" s="7" t="n"/>
      <c r="E8736" s="7" t="n"/>
      <c r="F8736" s="7" t="n"/>
      <c r="G8736" s="7" t="n"/>
      <c r="H8736" s="7" t="n"/>
      <c r="I8736" s="7" t="n"/>
      <c r="J8736" s="7" t="n"/>
      <c r="K8736">
        <f>IF(D8736="Legitimate Interest (GDPR Art. 6(1)(f))", "Yes / Required (Sheet 3)", "")</f>
        <v/>
      </c>
      <c r="L8736" s="7" t="n"/>
      <c r="M8736" s="7" t="n"/>
      <c r="N8736">
        <f>IF(D8736="", "Gap - No Legal Basis", IF(AND(D8736="Consent (GDPR Art. 6(1)(a))", I8736="Not Captured"), "Gap - Invalid Consent", IF(AND(D8736="Legitimate Interest (GDPR Art. 6(1)(f))", L8736=""), "Gap - Missing LIA", IF(AND(G8736="Yes", H8736=""), "Gap - Missing Art. 9 Basis", IF(OR(I8736="Invalid - Not Freely Given", I8736="Invalid - Not Specific", I8736="Invalid - Not Informed", I8736="Invalid - Ambiguous"), "Gap - Invalid Consent", "Compliant")))))</f>
        <v/>
      </c>
      <c r="O8736" s="7" t="n"/>
    </row>
    <row r="8737">
      <c r="A8737" s="7" t="n"/>
      <c r="B8737" s="7" t="n"/>
      <c r="C8737" s="7" t="n"/>
      <c r="D8737" s="7" t="n"/>
      <c r="E8737" s="7" t="n"/>
      <c r="F8737" s="7" t="n"/>
      <c r="G8737" s="7" t="n"/>
      <c r="H8737" s="7" t="n"/>
      <c r="I8737" s="7" t="n"/>
      <c r="J8737" s="7" t="n"/>
      <c r="K8737">
        <f>IF(D8737="Legitimate Interest (GDPR Art. 6(1)(f))", "Yes / Required (Sheet 3)", "")</f>
        <v/>
      </c>
      <c r="L8737" s="7" t="n"/>
      <c r="M8737" s="7" t="n"/>
      <c r="N8737">
        <f>IF(D8737="", "Gap - No Legal Basis", IF(AND(D8737="Consent (GDPR Art. 6(1)(a))", I8737="Not Captured"), "Gap - Invalid Consent", IF(AND(D8737="Legitimate Interest (GDPR Art. 6(1)(f))", L8737=""), "Gap - Missing LIA", IF(AND(G8737="Yes", H8737=""), "Gap - Missing Art. 9 Basis", IF(OR(I8737="Invalid - Not Freely Given", I8737="Invalid - Not Specific", I8737="Invalid - Not Informed", I8737="Invalid - Ambiguous"), "Gap - Invalid Consent", "Compliant")))))</f>
        <v/>
      </c>
      <c r="O8737" s="7" t="n"/>
    </row>
    <row r="8738">
      <c r="A8738" s="7" t="n"/>
      <c r="B8738" s="7" t="n"/>
      <c r="C8738" s="7" t="n"/>
      <c r="D8738" s="7" t="n"/>
      <c r="E8738" s="7" t="n"/>
      <c r="F8738" s="7" t="n"/>
      <c r="G8738" s="7" t="n"/>
      <c r="H8738" s="7" t="n"/>
      <c r="I8738" s="7" t="n"/>
      <c r="J8738" s="7" t="n"/>
      <c r="K8738">
        <f>IF(D8738="Legitimate Interest (GDPR Art. 6(1)(f))", "Yes / Required (Sheet 3)", "")</f>
        <v/>
      </c>
      <c r="L8738" s="7" t="n"/>
      <c r="M8738" s="7" t="n"/>
      <c r="N8738">
        <f>IF(D8738="", "Gap - No Legal Basis", IF(AND(D8738="Consent (GDPR Art. 6(1)(a))", I8738="Not Captured"), "Gap - Invalid Consent", IF(AND(D8738="Legitimate Interest (GDPR Art. 6(1)(f))", L8738=""), "Gap - Missing LIA", IF(AND(G8738="Yes", H8738=""), "Gap - Missing Art. 9 Basis", IF(OR(I8738="Invalid - Not Freely Given", I8738="Invalid - Not Specific", I8738="Invalid - Not Informed", I8738="Invalid - Ambiguous"), "Gap - Invalid Consent", "Compliant")))))</f>
        <v/>
      </c>
      <c r="O8738" s="7" t="n"/>
    </row>
    <row r="8739">
      <c r="A8739" s="7" t="n"/>
      <c r="B8739" s="7" t="n"/>
      <c r="C8739" s="7" t="n"/>
      <c r="D8739" s="7" t="n"/>
      <c r="E8739" s="7" t="n"/>
      <c r="F8739" s="7" t="n"/>
      <c r="G8739" s="7" t="n"/>
      <c r="H8739" s="7" t="n"/>
      <c r="I8739" s="7" t="n"/>
      <c r="J8739" s="7" t="n"/>
      <c r="K8739">
        <f>IF(D8739="Legitimate Interest (GDPR Art. 6(1)(f))", "Yes / Required (Sheet 3)", "")</f>
        <v/>
      </c>
      <c r="L8739" s="7" t="n"/>
      <c r="M8739" s="7" t="n"/>
      <c r="N8739">
        <f>IF(D8739="", "Gap - No Legal Basis", IF(AND(D8739="Consent (GDPR Art. 6(1)(a))", I8739="Not Captured"), "Gap - Invalid Consent", IF(AND(D8739="Legitimate Interest (GDPR Art. 6(1)(f))", L8739=""), "Gap - Missing LIA", IF(AND(G8739="Yes", H8739=""), "Gap - Missing Art. 9 Basis", IF(OR(I8739="Invalid - Not Freely Given", I8739="Invalid - Not Specific", I8739="Invalid - Not Informed", I8739="Invalid - Ambiguous"), "Gap - Invalid Consent", "Compliant")))))</f>
        <v/>
      </c>
      <c r="O8739" s="7" t="n"/>
    </row>
    <row r="8740">
      <c r="A8740" s="7" t="n"/>
      <c r="B8740" s="7" t="n"/>
      <c r="C8740" s="7" t="n"/>
      <c r="D8740" s="7" t="n"/>
      <c r="E8740" s="7" t="n"/>
      <c r="F8740" s="7" t="n"/>
      <c r="G8740" s="7" t="n"/>
      <c r="H8740" s="7" t="n"/>
      <c r="I8740" s="7" t="n"/>
      <c r="J8740" s="7" t="n"/>
      <c r="K8740">
        <f>IF(D8740="Legitimate Interest (GDPR Art. 6(1)(f))", "Yes / Required (Sheet 3)", "")</f>
        <v/>
      </c>
      <c r="L8740" s="7" t="n"/>
      <c r="M8740" s="7" t="n"/>
      <c r="N8740">
        <f>IF(D8740="", "Gap - No Legal Basis", IF(AND(D8740="Consent (GDPR Art. 6(1)(a))", I8740="Not Captured"), "Gap - Invalid Consent", IF(AND(D8740="Legitimate Interest (GDPR Art. 6(1)(f))", L8740=""), "Gap - Missing LIA", IF(AND(G8740="Yes", H8740=""), "Gap - Missing Art. 9 Basis", IF(OR(I8740="Invalid - Not Freely Given", I8740="Invalid - Not Specific", I8740="Invalid - Not Informed", I8740="Invalid - Ambiguous"), "Gap - Invalid Consent", "Compliant")))))</f>
        <v/>
      </c>
      <c r="O8740" s="7" t="n"/>
    </row>
    <row r="8741">
      <c r="A8741" s="7" t="n"/>
      <c r="B8741" s="7" t="n"/>
      <c r="C8741" s="7" t="n"/>
      <c r="D8741" s="7" t="n"/>
      <c r="E8741" s="7" t="n"/>
      <c r="F8741" s="7" t="n"/>
      <c r="G8741" s="7" t="n"/>
      <c r="H8741" s="7" t="n"/>
      <c r="I8741" s="7" t="n"/>
      <c r="J8741" s="7" t="n"/>
      <c r="K8741">
        <f>IF(D8741="Legitimate Interest (GDPR Art. 6(1)(f))", "Yes / Required (Sheet 3)", "")</f>
        <v/>
      </c>
      <c r="L8741" s="7" t="n"/>
      <c r="M8741" s="7" t="n"/>
      <c r="N8741">
        <f>IF(D8741="", "Gap - No Legal Basis", IF(AND(D8741="Consent (GDPR Art. 6(1)(a))", I8741="Not Captured"), "Gap - Invalid Consent", IF(AND(D8741="Legitimate Interest (GDPR Art. 6(1)(f))", L8741=""), "Gap - Missing LIA", IF(AND(G8741="Yes", H8741=""), "Gap - Missing Art. 9 Basis", IF(OR(I8741="Invalid - Not Freely Given", I8741="Invalid - Not Specific", I8741="Invalid - Not Informed", I8741="Invalid - Ambiguous"), "Gap - Invalid Consent", "Compliant")))))</f>
        <v/>
      </c>
      <c r="O8741" s="7" t="n"/>
    </row>
    <row r="8742">
      <c r="A8742" s="7" t="n"/>
      <c r="B8742" s="7" t="n"/>
      <c r="C8742" s="7" t="n"/>
      <c r="D8742" s="7" t="n"/>
      <c r="E8742" s="7" t="n"/>
      <c r="F8742" s="7" t="n"/>
      <c r="G8742" s="7" t="n"/>
      <c r="H8742" s="7" t="n"/>
      <c r="I8742" s="7" t="n"/>
      <c r="J8742" s="7" t="n"/>
      <c r="K8742">
        <f>IF(D8742="Legitimate Interest (GDPR Art. 6(1)(f))", "Yes / Required (Sheet 3)", "")</f>
        <v/>
      </c>
      <c r="L8742" s="7" t="n"/>
      <c r="M8742" s="7" t="n"/>
      <c r="N8742">
        <f>IF(D8742="", "Gap - No Legal Basis", IF(AND(D8742="Consent (GDPR Art. 6(1)(a))", I8742="Not Captured"), "Gap - Invalid Consent", IF(AND(D8742="Legitimate Interest (GDPR Art. 6(1)(f))", L8742=""), "Gap - Missing LIA", IF(AND(G8742="Yes", H8742=""), "Gap - Missing Art. 9 Basis", IF(OR(I8742="Invalid - Not Freely Given", I8742="Invalid - Not Specific", I8742="Invalid - Not Informed", I8742="Invalid - Ambiguous"), "Gap - Invalid Consent", "Compliant")))))</f>
        <v/>
      </c>
      <c r="O8742" s="7" t="n"/>
    </row>
    <row r="8743">
      <c r="A8743" s="7" t="n"/>
      <c r="B8743" s="7" t="n"/>
      <c r="C8743" s="7" t="n"/>
      <c r="D8743" s="7" t="n"/>
      <c r="E8743" s="7" t="n"/>
      <c r="F8743" s="7" t="n"/>
      <c r="G8743" s="7" t="n"/>
      <c r="H8743" s="7" t="n"/>
      <c r="I8743" s="7" t="n"/>
      <c r="J8743" s="7" t="n"/>
      <c r="K8743">
        <f>IF(D8743="Legitimate Interest (GDPR Art. 6(1)(f))", "Yes / Required (Sheet 3)", "")</f>
        <v/>
      </c>
      <c r="L8743" s="7" t="n"/>
      <c r="M8743" s="7" t="n"/>
      <c r="N8743">
        <f>IF(D8743="", "Gap - No Legal Basis", IF(AND(D8743="Consent (GDPR Art. 6(1)(a))", I8743="Not Captured"), "Gap - Invalid Consent", IF(AND(D8743="Legitimate Interest (GDPR Art. 6(1)(f))", L8743=""), "Gap - Missing LIA", IF(AND(G8743="Yes", H8743=""), "Gap - Missing Art. 9 Basis", IF(OR(I8743="Invalid - Not Freely Given", I8743="Invalid - Not Specific", I8743="Invalid - Not Informed", I8743="Invalid - Ambiguous"), "Gap - Invalid Consent", "Compliant")))))</f>
        <v/>
      </c>
      <c r="O8743" s="7" t="n"/>
    </row>
    <row r="8744">
      <c r="A8744" s="7" t="n"/>
      <c r="B8744" s="7" t="n"/>
      <c r="C8744" s="7" t="n"/>
      <c r="D8744" s="7" t="n"/>
      <c r="E8744" s="7" t="n"/>
      <c r="F8744" s="7" t="n"/>
      <c r="G8744" s="7" t="n"/>
      <c r="H8744" s="7" t="n"/>
      <c r="I8744" s="7" t="n"/>
      <c r="J8744" s="7" t="n"/>
      <c r="K8744">
        <f>IF(D8744="Legitimate Interest (GDPR Art. 6(1)(f))", "Yes / Required (Sheet 3)", "")</f>
        <v/>
      </c>
      <c r="L8744" s="7" t="n"/>
      <c r="M8744" s="7" t="n"/>
      <c r="N8744">
        <f>IF(D8744="", "Gap - No Legal Basis", IF(AND(D8744="Consent (GDPR Art. 6(1)(a))", I8744="Not Captured"), "Gap - Invalid Consent", IF(AND(D8744="Legitimate Interest (GDPR Art. 6(1)(f))", L8744=""), "Gap - Missing LIA", IF(AND(G8744="Yes", H8744=""), "Gap - Missing Art. 9 Basis", IF(OR(I8744="Invalid - Not Freely Given", I8744="Invalid - Not Specific", I8744="Invalid - Not Informed", I8744="Invalid - Ambiguous"), "Gap - Invalid Consent", "Compliant")))))</f>
        <v/>
      </c>
      <c r="O8744" s="7" t="n"/>
    </row>
    <row r="8745">
      <c r="A8745" s="7" t="n"/>
      <c r="B8745" s="7" t="n"/>
      <c r="C8745" s="7" t="n"/>
      <c r="D8745" s="7" t="n"/>
      <c r="E8745" s="7" t="n"/>
      <c r="F8745" s="7" t="n"/>
      <c r="G8745" s="7" t="n"/>
      <c r="H8745" s="7" t="n"/>
      <c r="I8745" s="7" t="n"/>
      <c r="J8745" s="7" t="n"/>
      <c r="K8745">
        <f>IF(D8745="Legitimate Interest (GDPR Art. 6(1)(f))", "Yes / Required (Sheet 3)", "")</f>
        <v/>
      </c>
      <c r="L8745" s="7" t="n"/>
      <c r="M8745" s="7" t="n"/>
      <c r="N8745">
        <f>IF(D8745="", "Gap - No Legal Basis", IF(AND(D8745="Consent (GDPR Art. 6(1)(a))", I8745="Not Captured"), "Gap - Invalid Consent", IF(AND(D8745="Legitimate Interest (GDPR Art. 6(1)(f))", L8745=""), "Gap - Missing LIA", IF(AND(G8745="Yes", H8745=""), "Gap - Missing Art. 9 Basis", IF(OR(I8745="Invalid - Not Freely Given", I8745="Invalid - Not Specific", I8745="Invalid - Not Informed", I8745="Invalid - Ambiguous"), "Gap - Invalid Consent", "Compliant")))))</f>
        <v/>
      </c>
      <c r="O8745" s="7" t="n"/>
    </row>
    <row r="8746">
      <c r="A8746" s="7" t="n"/>
      <c r="B8746" s="7" t="n"/>
      <c r="C8746" s="7" t="n"/>
      <c r="D8746" s="7" t="n"/>
      <c r="E8746" s="7" t="n"/>
      <c r="F8746" s="7" t="n"/>
      <c r="G8746" s="7" t="n"/>
      <c r="H8746" s="7" t="n"/>
      <c r="I8746" s="7" t="n"/>
      <c r="J8746" s="7" t="n"/>
      <c r="K8746">
        <f>IF(D8746="Legitimate Interest (GDPR Art. 6(1)(f))", "Yes / Required (Sheet 3)", "")</f>
        <v/>
      </c>
      <c r="L8746" s="7" t="n"/>
      <c r="M8746" s="7" t="n"/>
      <c r="N8746">
        <f>IF(D8746="", "Gap - No Legal Basis", IF(AND(D8746="Consent (GDPR Art. 6(1)(a))", I8746="Not Captured"), "Gap - Invalid Consent", IF(AND(D8746="Legitimate Interest (GDPR Art. 6(1)(f))", L8746=""), "Gap - Missing LIA", IF(AND(G8746="Yes", H8746=""), "Gap - Missing Art. 9 Basis", IF(OR(I8746="Invalid - Not Freely Given", I8746="Invalid - Not Specific", I8746="Invalid - Not Informed", I8746="Invalid - Ambiguous"), "Gap - Invalid Consent", "Compliant")))))</f>
        <v/>
      </c>
      <c r="O8746" s="7" t="n"/>
    </row>
    <row r="8747">
      <c r="A8747" s="7" t="n"/>
      <c r="B8747" s="7" t="n"/>
      <c r="C8747" s="7" t="n"/>
      <c r="D8747" s="7" t="n"/>
      <c r="E8747" s="7" t="n"/>
      <c r="F8747" s="7" t="n"/>
      <c r="G8747" s="7" t="n"/>
      <c r="H8747" s="7" t="n"/>
      <c r="I8747" s="7" t="n"/>
      <c r="J8747" s="7" t="n"/>
      <c r="K8747">
        <f>IF(D8747="Legitimate Interest (GDPR Art. 6(1)(f))", "Yes / Required (Sheet 3)", "")</f>
        <v/>
      </c>
      <c r="L8747" s="7" t="n"/>
      <c r="M8747" s="7" t="n"/>
      <c r="N8747">
        <f>IF(D8747="", "Gap - No Legal Basis", IF(AND(D8747="Consent (GDPR Art. 6(1)(a))", I8747="Not Captured"), "Gap - Invalid Consent", IF(AND(D8747="Legitimate Interest (GDPR Art. 6(1)(f))", L8747=""), "Gap - Missing LIA", IF(AND(G8747="Yes", H8747=""), "Gap - Missing Art. 9 Basis", IF(OR(I8747="Invalid - Not Freely Given", I8747="Invalid - Not Specific", I8747="Invalid - Not Informed", I8747="Invalid - Ambiguous"), "Gap - Invalid Consent", "Compliant")))))</f>
        <v/>
      </c>
      <c r="O8747" s="7" t="n"/>
    </row>
    <row r="8748">
      <c r="A8748" s="7" t="n"/>
      <c r="B8748" s="7" t="n"/>
      <c r="C8748" s="7" t="n"/>
      <c r="D8748" s="7" t="n"/>
      <c r="E8748" s="7" t="n"/>
      <c r="F8748" s="7" t="n"/>
      <c r="G8748" s="7" t="n"/>
      <c r="H8748" s="7" t="n"/>
      <c r="I8748" s="7" t="n"/>
      <c r="J8748" s="7" t="n"/>
      <c r="K8748">
        <f>IF(D8748="Legitimate Interest (GDPR Art. 6(1)(f))", "Yes / Required (Sheet 3)", "")</f>
        <v/>
      </c>
      <c r="L8748" s="7" t="n"/>
      <c r="M8748" s="7" t="n"/>
      <c r="N8748">
        <f>IF(D8748="", "Gap - No Legal Basis", IF(AND(D8748="Consent (GDPR Art. 6(1)(a))", I8748="Not Captured"), "Gap - Invalid Consent", IF(AND(D8748="Legitimate Interest (GDPR Art. 6(1)(f))", L8748=""), "Gap - Missing LIA", IF(AND(G8748="Yes", H8748=""), "Gap - Missing Art. 9 Basis", IF(OR(I8748="Invalid - Not Freely Given", I8748="Invalid - Not Specific", I8748="Invalid - Not Informed", I8748="Invalid - Ambiguous"), "Gap - Invalid Consent", "Compliant")))))</f>
        <v/>
      </c>
      <c r="O8748" s="7" t="n"/>
    </row>
    <row r="8749">
      <c r="A8749" s="7" t="n"/>
      <c r="B8749" s="7" t="n"/>
      <c r="C8749" s="7" t="n"/>
      <c r="D8749" s="7" t="n"/>
      <c r="E8749" s="7" t="n"/>
      <c r="F8749" s="7" t="n"/>
      <c r="G8749" s="7" t="n"/>
      <c r="H8749" s="7" t="n"/>
      <c r="I8749" s="7" t="n"/>
      <c r="J8749" s="7" t="n"/>
      <c r="K8749">
        <f>IF(D8749="Legitimate Interest (GDPR Art. 6(1)(f))", "Yes / Required (Sheet 3)", "")</f>
        <v/>
      </c>
      <c r="L8749" s="7" t="n"/>
      <c r="M8749" s="7" t="n"/>
      <c r="N8749">
        <f>IF(D8749="", "Gap - No Legal Basis", IF(AND(D8749="Consent (GDPR Art. 6(1)(a))", I8749="Not Captured"), "Gap - Invalid Consent", IF(AND(D8749="Legitimate Interest (GDPR Art. 6(1)(f))", L8749=""), "Gap - Missing LIA", IF(AND(G8749="Yes", H8749=""), "Gap - Missing Art. 9 Basis", IF(OR(I8749="Invalid - Not Freely Given", I8749="Invalid - Not Specific", I8749="Invalid - Not Informed", I8749="Invalid - Ambiguous"), "Gap - Invalid Consent", "Compliant")))))</f>
        <v/>
      </c>
      <c r="O8749" s="7" t="n"/>
    </row>
    <row r="8750">
      <c r="A8750" s="7" t="n"/>
      <c r="B8750" s="7" t="n"/>
      <c r="C8750" s="7" t="n"/>
      <c r="D8750" s="7" t="n"/>
      <c r="E8750" s="7" t="n"/>
      <c r="F8750" s="7" t="n"/>
      <c r="G8750" s="7" t="n"/>
      <c r="H8750" s="7" t="n"/>
      <c r="I8750" s="7" t="n"/>
      <c r="J8750" s="7" t="n"/>
      <c r="K8750">
        <f>IF(D8750="Legitimate Interest (GDPR Art. 6(1)(f))", "Yes / Required (Sheet 3)", "")</f>
        <v/>
      </c>
      <c r="L8750" s="7" t="n"/>
      <c r="M8750" s="7" t="n"/>
      <c r="N8750">
        <f>IF(D8750="", "Gap - No Legal Basis", IF(AND(D8750="Consent (GDPR Art. 6(1)(a))", I8750="Not Captured"), "Gap - Invalid Consent", IF(AND(D8750="Legitimate Interest (GDPR Art. 6(1)(f))", L8750=""), "Gap - Missing LIA", IF(AND(G8750="Yes", H8750=""), "Gap - Missing Art. 9 Basis", IF(OR(I8750="Invalid - Not Freely Given", I8750="Invalid - Not Specific", I8750="Invalid - Not Informed", I8750="Invalid - Ambiguous"), "Gap - Invalid Consent", "Compliant")))))</f>
        <v/>
      </c>
      <c r="O8750" s="7" t="n"/>
    </row>
    <row r="8751">
      <c r="A8751" s="7" t="n"/>
      <c r="B8751" s="7" t="n"/>
      <c r="C8751" s="7" t="n"/>
      <c r="D8751" s="7" t="n"/>
      <c r="E8751" s="7" t="n"/>
      <c r="F8751" s="7" t="n"/>
      <c r="G8751" s="7" t="n"/>
      <c r="H8751" s="7" t="n"/>
      <c r="I8751" s="7" t="n"/>
      <c r="J8751" s="7" t="n"/>
      <c r="K8751">
        <f>IF(D8751="Legitimate Interest (GDPR Art. 6(1)(f))", "Yes / Required (Sheet 3)", "")</f>
        <v/>
      </c>
      <c r="L8751" s="7" t="n"/>
      <c r="M8751" s="7" t="n"/>
      <c r="N8751">
        <f>IF(D8751="", "Gap - No Legal Basis", IF(AND(D8751="Consent (GDPR Art. 6(1)(a))", I8751="Not Captured"), "Gap - Invalid Consent", IF(AND(D8751="Legitimate Interest (GDPR Art. 6(1)(f))", L8751=""), "Gap - Missing LIA", IF(AND(G8751="Yes", H8751=""), "Gap - Missing Art. 9 Basis", IF(OR(I8751="Invalid - Not Freely Given", I8751="Invalid - Not Specific", I8751="Invalid - Not Informed", I8751="Invalid - Ambiguous"), "Gap - Invalid Consent", "Compliant")))))</f>
        <v/>
      </c>
      <c r="O8751" s="7" t="n"/>
    </row>
    <row r="8752">
      <c r="A8752" s="7" t="n"/>
      <c r="B8752" s="7" t="n"/>
      <c r="C8752" s="7" t="n"/>
      <c r="D8752" s="7" t="n"/>
      <c r="E8752" s="7" t="n"/>
      <c r="F8752" s="7" t="n"/>
      <c r="G8752" s="7" t="n"/>
      <c r="H8752" s="7" t="n"/>
      <c r="I8752" s="7" t="n"/>
      <c r="J8752" s="7" t="n"/>
      <c r="K8752">
        <f>IF(D8752="Legitimate Interest (GDPR Art. 6(1)(f))", "Yes / Required (Sheet 3)", "")</f>
        <v/>
      </c>
      <c r="L8752" s="7" t="n"/>
      <c r="M8752" s="7" t="n"/>
      <c r="N8752">
        <f>IF(D8752="", "Gap - No Legal Basis", IF(AND(D8752="Consent (GDPR Art. 6(1)(a))", I8752="Not Captured"), "Gap - Invalid Consent", IF(AND(D8752="Legitimate Interest (GDPR Art. 6(1)(f))", L8752=""), "Gap - Missing LIA", IF(AND(G8752="Yes", H8752=""), "Gap - Missing Art. 9 Basis", IF(OR(I8752="Invalid - Not Freely Given", I8752="Invalid - Not Specific", I8752="Invalid - Not Informed", I8752="Invalid - Ambiguous"), "Gap - Invalid Consent", "Compliant")))))</f>
        <v/>
      </c>
      <c r="O8752" s="7" t="n"/>
    </row>
    <row r="8753">
      <c r="A8753" s="7" t="n"/>
      <c r="B8753" s="7" t="n"/>
      <c r="C8753" s="7" t="n"/>
      <c r="D8753" s="7" t="n"/>
      <c r="E8753" s="7" t="n"/>
      <c r="F8753" s="7" t="n"/>
      <c r="G8753" s="7" t="n"/>
      <c r="H8753" s="7" t="n"/>
      <c r="I8753" s="7" t="n"/>
      <c r="J8753" s="7" t="n"/>
      <c r="K8753">
        <f>IF(D8753="Legitimate Interest (GDPR Art. 6(1)(f))", "Yes / Required (Sheet 3)", "")</f>
        <v/>
      </c>
      <c r="L8753" s="7" t="n"/>
      <c r="M8753" s="7" t="n"/>
      <c r="N8753">
        <f>IF(D8753="", "Gap - No Legal Basis", IF(AND(D8753="Consent (GDPR Art. 6(1)(a))", I8753="Not Captured"), "Gap - Invalid Consent", IF(AND(D8753="Legitimate Interest (GDPR Art. 6(1)(f))", L8753=""), "Gap - Missing LIA", IF(AND(G8753="Yes", H8753=""), "Gap - Missing Art. 9 Basis", IF(OR(I8753="Invalid - Not Freely Given", I8753="Invalid - Not Specific", I8753="Invalid - Not Informed", I8753="Invalid - Ambiguous"), "Gap - Invalid Consent", "Compliant")))))</f>
        <v/>
      </c>
      <c r="O8753" s="7" t="n"/>
    </row>
    <row r="8754">
      <c r="A8754" s="7" t="n"/>
      <c r="B8754" s="7" t="n"/>
      <c r="C8754" s="7" t="n"/>
      <c r="D8754" s="7" t="n"/>
      <c r="E8754" s="7" t="n"/>
      <c r="F8754" s="7" t="n"/>
      <c r="G8754" s="7" t="n"/>
      <c r="H8754" s="7" t="n"/>
      <c r="I8754" s="7" t="n"/>
      <c r="J8754" s="7" t="n"/>
      <c r="K8754">
        <f>IF(D8754="Legitimate Interest (GDPR Art. 6(1)(f))", "Yes / Required (Sheet 3)", "")</f>
        <v/>
      </c>
      <c r="L8754" s="7" t="n"/>
      <c r="M8754" s="7" t="n"/>
      <c r="N8754">
        <f>IF(D8754="", "Gap - No Legal Basis", IF(AND(D8754="Consent (GDPR Art. 6(1)(a))", I8754="Not Captured"), "Gap - Invalid Consent", IF(AND(D8754="Legitimate Interest (GDPR Art. 6(1)(f))", L8754=""), "Gap - Missing LIA", IF(AND(G8754="Yes", H8754=""), "Gap - Missing Art. 9 Basis", IF(OR(I8754="Invalid - Not Freely Given", I8754="Invalid - Not Specific", I8754="Invalid - Not Informed", I8754="Invalid - Ambiguous"), "Gap - Invalid Consent", "Compliant")))))</f>
        <v/>
      </c>
      <c r="O8754" s="7" t="n"/>
    </row>
    <row r="8755">
      <c r="A8755" s="7" t="n"/>
      <c r="B8755" s="7" t="n"/>
      <c r="C8755" s="7" t="n"/>
      <c r="D8755" s="7" t="n"/>
      <c r="E8755" s="7" t="n"/>
      <c r="F8755" s="7" t="n"/>
      <c r="G8755" s="7" t="n"/>
      <c r="H8755" s="7" t="n"/>
      <c r="I8755" s="7" t="n"/>
      <c r="J8755" s="7" t="n"/>
      <c r="K8755">
        <f>IF(D8755="Legitimate Interest (GDPR Art. 6(1)(f))", "Yes / Required (Sheet 3)", "")</f>
        <v/>
      </c>
      <c r="L8755" s="7" t="n"/>
      <c r="M8755" s="7" t="n"/>
      <c r="N8755">
        <f>IF(D8755="", "Gap - No Legal Basis", IF(AND(D8755="Consent (GDPR Art. 6(1)(a))", I8755="Not Captured"), "Gap - Invalid Consent", IF(AND(D8755="Legitimate Interest (GDPR Art. 6(1)(f))", L8755=""), "Gap - Missing LIA", IF(AND(G8755="Yes", H8755=""), "Gap - Missing Art. 9 Basis", IF(OR(I8755="Invalid - Not Freely Given", I8755="Invalid - Not Specific", I8755="Invalid - Not Informed", I8755="Invalid - Ambiguous"), "Gap - Invalid Consent", "Compliant")))))</f>
        <v/>
      </c>
      <c r="O8755" s="7" t="n"/>
    </row>
    <row r="8756">
      <c r="A8756" s="7" t="n"/>
      <c r="B8756" s="7" t="n"/>
      <c r="C8756" s="7" t="n"/>
      <c r="D8756" s="7" t="n"/>
      <c r="E8756" s="7" t="n"/>
      <c r="F8756" s="7" t="n"/>
      <c r="G8756" s="7" t="n"/>
      <c r="H8756" s="7" t="n"/>
      <c r="I8756" s="7" t="n"/>
      <c r="J8756" s="7" t="n"/>
      <c r="K8756">
        <f>IF(D8756="Legitimate Interest (GDPR Art. 6(1)(f))", "Yes / Required (Sheet 3)", "")</f>
        <v/>
      </c>
      <c r="L8756" s="7" t="n"/>
      <c r="M8756" s="7" t="n"/>
      <c r="N8756">
        <f>IF(D8756="", "Gap - No Legal Basis", IF(AND(D8756="Consent (GDPR Art. 6(1)(a))", I8756="Not Captured"), "Gap - Invalid Consent", IF(AND(D8756="Legitimate Interest (GDPR Art. 6(1)(f))", L8756=""), "Gap - Missing LIA", IF(AND(G8756="Yes", H8756=""), "Gap - Missing Art. 9 Basis", IF(OR(I8756="Invalid - Not Freely Given", I8756="Invalid - Not Specific", I8756="Invalid - Not Informed", I8756="Invalid - Ambiguous"), "Gap - Invalid Consent", "Compliant")))))</f>
        <v/>
      </c>
      <c r="O8756" s="7" t="n"/>
    </row>
    <row r="8757">
      <c r="A8757" s="7" t="n"/>
      <c r="B8757" s="7" t="n"/>
      <c r="C8757" s="7" t="n"/>
      <c r="D8757" s="7" t="n"/>
      <c r="E8757" s="7" t="n"/>
      <c r="F8757" s="7" t="n"/>
      <c r="G8757" s="7" t="n"/>
      <c r="H8757" s="7" t="n"/>
      <c r="I8757" s="7" t="n"/>
      <c r="J8757" s="7" t="n"/>
      <c r="K8757">
        <f>IF(D8757="Legitimate Interest (GDPR Art. 6(1)(f))", "Yes / Required (Sheet 3)", "")</f>
        <v/>
      </c>
      <c r="L8757" s="7" t="n"/>
      <c r="M8757" s="7" t="n"/>
      <c r="N8757">
        <f>IF(D8757="", "Gap - No Legal Basis", IF(AND(D8757="Consent (GDPR Art. 6(1)(a))", I8757="Not Captured"), "Gap - Invalid Consent", IF(AND(D8757="Legitimate Interest (GDPR Art. 6(1)(f))", L8757=""), "Gap - Missing LIA", IF(AND(G8757="Yes", H8757=""), "Gap - Missing Art. 9 Basis", IF(OR(I8757="Invalid - Not Freely Given", I8757="Invalid - Not Specific", I8757="Invalid - Not Informed", I8757="Invalid - Ambiguous"), "Gap - Invalid Consent", "Compliant")))))</f>
        <v/>
      </c>
      <c r="O8757" s="7" t="n"/>
    </row>
    <row r="8758">
      <c r="A8758" s="7" t="n"/>
      <c r="B8758" s="7" t="n"/>
      <c r="C8758" s="7" t="n"/>
      <c r="D8758" s="7" t="n"/>
      <c r="E8758" s="7" t="n"/>
      <c r="F8758" s="7" t="n"/>
      <c r="G8758" s="7" t="n"/>
      <c r="H8758" s="7" t="n"/>
      <c r="I8758" s="7" t="n"/>
      <c r="J8758" s="7" t="n"/>
      <c r="K8758">
        <f>IF(D8758="Legitimate Interest (GDPR Art. 6(1)(f))", "Yes / Required (Sheet 3)", "")</f>
        <v/>
      </c>
      <c r="L8758" s="7" t="n"/>
      <c r="M8758" s="7" t="n"/>
      <c r="N8758">
        <f>IF(D8758="", "Gap - No Legal Basis", IF(AND(D8758="Consent (GDPR Art. 6(1)(a))", I8758="Not Captured"), "Gap - Invalid Consent", IF(AND(D8758="Legitimate Interest (GDPR Art. 6(1)(f))", L8758=""), "Gap - Missing LIA", IF(AND(G8758="Yes", H8758=""), "Gap - Missing Art. 9 Basis", IF(OR(I8758="Invalid - Not Freely Given", I8758="Invalid - Not Specific", I8758="Invalid - Not Informed", I8758="Invalid - Ambiguous"), "Gap - Invalid Consent", "Compliant")))))</f>
        <v/>
      </c>
      <c r="O8758" s="7" t="n"/>
    </row>
    <row r="8759">
      <c r="A8759" s="7" t="n"/>
      <c r="B8759" s="7" t="n"/>
      <c r="C8759" s="7" t="n"/>
      <c r="D8759" s="7" t="n"/>
      <c r="E8759" s="7" t="n"/>
      <c r="F8759" s="7" t="n"/>
      <c r="G8759" s="7" t="n"/>
      <c r="H8759" s="7" t="n"/>
      <c r="I8759" s="7" t="n"/>
      <c r="J8759" s="7" t="n"/>
      <c r="K8759">
        <f>IF(D8759="Legitimate Interest (GDPR Art. 6(1)(f))", "Yes / Required (Sheet 3)", "")</f>
        <v/>
      </c>
      <c r="L8759" s="7" t="n"/>
      <c r="M8759" s="7" t="n"/>
      <c r="N8759">
        <f>IF(D8759="", "Gap - No Legal Basis", IF(AND(D8759="Consent (GDPR Art. 6(1)(a))", I8759="Not Captured"), "Gap - Invalid Consent", IF(AND(D8759="Legitimate Interest (GDPR Art. 6(1)(f))", L8759=""), "Gap - Missing LIA", IF(AND(G8759="Yes", H8759=""), "Gap - Missing Art. 9 Basis", IF(OR(I8759="Invalid - Not Freely Given", I8759="Invalid - Not Specific", I8759="Invalid - Not Informed", I8759="Invalid - Ambiguous"), "Gap - Invalid Consent", "Compliant")))))</f>
        <v/>
      </c>
      <c r="O8759" s="7" t="n"/>
    </row>
    <row r="8760">
      <c r="A8760" s="7" t="n"/>
      <c r="B8760" s="7" t="n"/>
      <c r="C8760" s="7" t="n"/>
      <c r="D8760" s="7" t="n"/>
      <c r="E8760" s="7" t="n"/>
      <c r="F8760" s="7" t="n"/>
      <c r="G8760" s="7" t="n"/>
      <c r="H8760" s="7" t="n"/>
      <c r="I8760" s="7" t="n"/>
      <c r="J8760" s="7" t="n"/>
      <c r="K8760">
        <f>IF(D8760="Legitimate Interest (GDPR Art. 6(1)(f))", "Yes / Required (Sheet 3)", "")</f>
        <v/>
      </c>
      <c r="L8760" s="7" t="n"/>
      <c r="M8760" s="7" t="n"/>
      <c r="N8760">
        <f>IF(D8760="", "Gap - No Legal Basis", IF(AND(D8760="Consent (GDPR Art. 6(1)(a))", I8760="Not Captured"), "Gap - Invalid Consent", IF(AND(D8760="Legitimate Interest (GDPR Art. 6(1)(f))", L8760=""), "Gap - Missing LIA", IF(AND(G8760="Yes", H8760=""), "Gap - Missing Art. 9 Basis", IF(OR(I8760="Invalid - Not Freely Given", I8760="Invalid - Not Specific", I8760="Invalid - Not Informed", I8760="Invalid - Ambiguous"), "Gap - Invalid Consent", "Compliant")))))</f>
        <v/>
      </c>
      <c r="O8760" s="7" t="n"/>
    </row>
    <row r="8761">
      <c r="A8761" s="7" t="n"/>
      <c r="B8761" s="7" t="n"/>
      <c r="C8761" s="7" t="n"/>
      <c r="D8761" s="7" t="n"/>
      <c r="E8761" s="7" t="n"/>
      <c r="F8761" s="7" t="n"/>
      <c r="G8761" s="7" t="n"/>
      <c r="H8761" s="7" t="n"/>
      <c r="I8761" s="7" t="n"/>
      <c r="J8761" s="7" t="n"/>
      <c r="K8761">
        <f>IF(D8761="Legitimate Interest (GDPR Art. 6(1)(f))", "Yes / Required (Sheet 3)", "")</f>
        <v/>
      </c>
      <c r="L8761" s="7" t="n"/>
      <c r="M8761" s="7" t="n"/>
      <c r="N8761">
        <f>IF(D8761="", "Gap - No Legal Basis", IF(AND(D8761="Consent (GDPR Art. 6(1)(a))", I8761="Not Captured"), "Gap - Invalid Consent", IF(AND(D8761="Legitimate Interest (GDPR Art. 6(1)(f))", L8761=""), "Gap - Missing LIA", IF(AND(G8761="Yes", H8761=""), "Gap - Missing Art. 9 Basis", IF(OR(I8761="Invalid - Not Freely Given", I8761="Invalid - Not Specific", I8761="Invalid - Not Informed", I8761="Invalid - Ambiguous"), "Gap - Invalid Consent", "Compliant")))))</f>
        <v/>
      </c>
      <c r="O8761" s="7" t="n"/>
    </row>
    <row r="8762">
      <c r="A8762" s="7" t="n"/>
      <c r="B8762" s="7" t="n"/>
      <c r="C8762" s="7" t="n"/>
      <c r="D8762" s="7" t="n"/>
      <c r="E8762" s="7" t="n"/>
      <c r="F8762" s="7" t="n"/>
      <c r="G8762" s="7" t="n"/>
      <c r="H8762" s="7" t="n"/>
      <c r="I8762" s="7" t="n"/>
      <c r="J8762" s="7" t="n"/>
      <c r="K8762">
        <f>IF(D8762="Legitimate Interest (GDPR Art. 6(1)(f))", "Yes / Required (Sheet 3)", "")</f>
        <v/>
      </c>
      <c r="L8762" s="7" t="n"/>
      <c r="M8762" s="7" t="n"/>
      <c r="N8762">
        <f>IF(D8762="", "Gap - No Legal Basis", IF(AND(D8762="Consent (GDPR Art. 6(1)(a))", I8762="Not Captured"), "Gap - Invalid Consent", IF(AND(D8762="Legitimate Interest (GDPR Art. 6(1)(f))", L8762=""), "Gap - Missing LIA", IF(AND(G8762="Yes", H8762=""), "Gap - Missing Art. 9 Basis", IF(OR(I8762="Invalid - Not Freely Given", I8762="Invalid - Not Specific", I8762="Invalid - Not Informed", I8762="Invalid - Ambiguous"), "Gap - Invalid Consent", "Compliant")))))</f>
        <v/>
      </c>
      <c r="O8762" s="7" t="n"/>
    </row>
    <row r="8763">
      <c r="A8763" s="7" t="n"/>
      <c r="B8763" s="7" t="n"/>
      <c r="C8763" s="7" t="n"/>
      <c r="D8763" s="7" t="n"/>
      <c r="E8763" s="7" t="n"/>
      <c r="F8763" s="7" t="n"/>
      <c r="G8763" s="7" t="n"/>
      <c r="H8763" s="7" t="n"/>
      <c r="I8763" s="7" t="n"/>
      <c r="J8763" s="7" t="n"/>
      <c r="K8763">
        <f>IF(D8763="Legitimate Interest (GDPR Art. 6(1)(f))", "Yes / Required (Sheet 3)", "")</f>
        <v/>
      </c>
      <c r="L8763" s="7" t="n"/>
      <c r="M8763" s="7" t="n"/>
      <c r="N8763">
        <f>IF(D8763="", "Gap - No Legal Basis", IF(AND(D8763="Consent (GDPR Art. 6(1)(a))", I8763="Not Captured"), "Gap - Invalid Consent", IF(AND(D8763="Legitimate Interest (GDPR Art. 6(1)(f))", L8763=""), "Gap - Missing LIA", IF(AND(G8763="Yes", H8763=""), "Gap - Missing Art. 9 Basis", IF(OR(I8763="Invalid - Not Freely Given", I8763="Invalid - Not Specific", I8763="Invalid - Not Informed", I8763="Invalid - Ambiguous"), "Gap - Invalid Consent", "Compliant")))))</f>
        <v/>
      </c>
      <c r="O8763" s="7" t="n"/>
    </row>
    <row r="8764">
      <c r="A8764" s="7" t="n"/>
      <c r="B8764" s="7" t="n"/>
      <c r="C8764" s="7" t="n"/>
      <c r="D8764" s="7" t="n"/>
      <c r="E8764" s="7" t="n"/>
      <c r="F8764" s="7" t="n"/>
      <c r="G8764" s="7" t="n"/>
      <c r="H8764" s="7" t="n"/>
      <c r="I8764" s="7" t="n"/>
      <c r="J8764" s="7" t="n"/>
      <c r="K8764">
        <f>IF(D8764="Legitimate Interest (GDPR Art. 6(1)(f))", "Yes / Required (Sheet 3)", "")</f>
        <v/>
      </c>
      <c r="L8764" s="7" t="n"/>
      <c r="M8764" s="7" t="n"/>
      <c r="N8764">
        <f>IF(D8764="", "Gap - No Legal Basis", IF(AND(D8764="Consent (GDPR Art. 6(1)(a))", I8764="Not Captured"), "Gap - Invalid Consent", IF(AND(D8764="Legitimate Interest (GDPR Art. 6(1)(f))", L8764=""), "Gap - Missing LIA", IF(AND(G8764="Yes", H8764=""), "Gap - Missing Art. 9 Basis", IF(OR(I8764="Invalid - Not Freely Given", I8764="Invalid - Not Specific", I8764="Invalid - Not Informed", I8764="Invalid - Ambiguous"), "Gap - Invalid Consent", "Compliant")))))</f>
        <v/>
      </c>
      <c r="O8764" s="7" t="n"/>
    </row>
    <row r="8765">
      <c r="A8765" s="7" t="n"/>
      <c r="B8765" s="7" t="n"/>
      <c r="C8765" s="7" t="n"/>
      <c r="D8765" s="7" t="n"/>
      <c r="E8765" s="7" t="n"/>
      <c r="F8765" s="7" t="n"/>
      <c r="G8765" s="7" t="n"/>
      <c r="H8765" s="7" t="n"/>
      <c r="I8765" s="7" t="n"/>
      <c r="J8765" s="7" t="n"/>
      <c r="K8765">
        <f>IF(D8765="Legitimate Interest (GDPR Art. 6(1)(f))", "Yes / Required (Sheet 3)", "")</f>
        <v/>
      </c>
      <c r="L8765" s="7" t="n"/>
      <c r="M8765" s="7" t="n"/>
      <c r="N8765">
        <f>IF(D8765="", "Gap - No Legal Basis", IF(AND(D8765="Consent (GDPR Art. 6(1)(a))", I8765="Not Captured"), "Gap - Invalid Consent", IF(AND(D8765="Legitimate Interest (GDPR Art. 6(1)(f))", L8765=""), "Gap - Missing LIA", IF(AND(G8765="Yes", H8765=""), "Gap - Missing Art. 9 Basis", IF(OR(I8765="Invalid - Not Freely Given", I8765="Invalid - Not Specific", I8765="Invalid - Not Informed", I8765="Invalid - Ambiguous"), "Gap - Invalid Consent", "Compliant")))))</f>
        <v/>
      </c>
      <c r="O8765" s="7" t="n"/>
    </row>
    <row r="8766">
      <c r="A8766" s="7" t="n"/>
      <c r="B8766" s="7" t="n"/>
      <c r="C8766" s="7" t="n"/>
      <c r="D8766" s="7" t="n"/>
      <c r="E8766" s="7" t="n"/>
      <c r="F8766" s="7" t="n"/>
      <c r="G8766" s="7" t="n"/>
      <c r="H8766" s="7" t="n"/>
      <c r="I8766" s="7" t="n"/>
      <c r="J8766" s="7" t="n"/>
      <c r="K8766">
        <f>IF(D8766="Legitimate Interest (GDPR Art. 6(1)(f))", "Yes / Required (Sheet 3)", "")</f>
        <v/>
      </c>
      <c r="L8766" s="7" t="n"/>
      <c r="M8766" s="7" t="n"/>
      <c r="N8766">
        <f>IF(D8766="", "Gap - No Legal Basis", IF(AND(D8766="Consent (GDPR Art. 6(1)(a))", I8766="Not Captured"), "Gap - Invalid Consent", IF(AND(D8766="Legitimate Interest (GDPR Art. 6(1)(f))", L8766=""), "Gap - Missing LIA", IF(AND(G8766="Yes", H8766=""), "Gap - Missing Art. 9 Basis", IF(OR(I8766="Invalid - Not Freely Given", I8766="Invalid - Not Specific", I8766="Invalid - Not Informed", I8766="Invalid - Ambiguous"), "Gap - Invalid Consent", "Compliant")))))</f>
        <v/>
      </c>
      <c r="O8766" s="7" t="n"/>
    </row>
    <row r="8767">
      <c r="A8767" s="7" t="n"/>
      <c r="B8767" s="7" t="n"/>
      <c r="C8767" s="7" t="n"/>
      <c r="D8767" s="7" t="n"/>
      <c r="E8767" s="7" t="n"/>
      <c r="F8767" s="7" t="n"/>
      <c r="G8767" s="7" t="n"/>
      <c r="H8767" s="7" t="n"/>
      <c r="I8767" s="7" t="n"/>
      <c r="J8767" s="7" t="n"/>
      <c r="K8767">
        <f>IF(D8767="Legitimate Interest (GDPR Art. 6(1)(f))", "Yes / Required (Sheet 3)", "")</f>
        <v/>
      </c>
      <c r="L8767" s="7" t="n"/>
      <c r="M8767" s="7" t="n"/>
      <c r="N8767">
        <f>IF(D8767="", "Gap - No Legal Basis", IF(AND(D8767="Consent (GDPR Art. 6(1)(a))", I8767="Not Captured"), "Gap - Invalid Consent", IF(AND(D8767="Legitimate Interest (GDPR Art. 6(1)(f))", L8767=""), "Gap - Missing LIA", IF(AND(G8767="Yes", H8767=""), "Gap - Missing Art. 9 Basis", IF(OR(I8767="Invalid - Not Freely Given", I8767="Invalid - Not Specific", I8767="Invalid - Not Informed", I8767="Invalid - Ambiguous"), "Gap - Invalid Consent", "Compliant")))))</f>
        <v/>
      </c>
      <c r="O8767" s="7" t="n"/>
    </row>
    <row r="8768">
      <c r="A8768" s="7" t="n"/>
      <c r="B8768" s="7" t="n"/>
      <c r="C8768" s="7" t="n"/>
      <c r="D8768" s="7" t="n"/>
      <c r="E8768" s="7" t="n"/>
      <c r="F8768" s="7" t="n"/>
      <c r="G8768" s="7" t="n"/>
      <c r="H8768" s="7" t="n"/>
      <c r="I8768" s="7" t="n"/>
      <c r="J8768" s="7" t="n"/>
      <c r="K8768">
        <f>IF(D8768="Legitimate Interest (GDPR Art. 6(1)(f))", "Yes / Required (Sheet 3)", "")</f>
        <v/>
      </c>
      <c r="L8768" s="7" t="n"/>
      <c r="M8768" s="7" t="n"/>
      <c r="N8768">
        <f>IF(D8768="", "Gap - No Legal Basis", IF(AND(D8768="Consent (GDPR Art. 6(1)(a))", I8768="Not Captured"), "Gap - Invalid Consent", IF(AND(D8768="Legitimate Interest (GDPR Art. 6(1)(f))", L8768=""), "Gap - Missing LIA", IF(AND(G8768="Yes", H8768=""), "Gap - Missing Art. 9 Basis", IF(OR(I8768="Invalid - Not Freely Given", I8768="Invalid - Not Specific", I8768="Invalid - Not Informed", I8768="Invalid - Ambiguous"), "Gap - Invalid Consent", "Compliant")))))</f>
        <v/>
      </c>
      <c r="O8768" s="7" t="n"/>
    </row>
    <row r="8769">
      <c r="A8769" s="7" t="n"/>
      <c r="B8769" s="7" t="n"/>
      <c r="C8769" s="7" t="n"/>
      <c r="D8769" s="7" t="n"/>
      <c r="E8769" s="7" t="n"/>
      <c r="F8769" s="7" t="n"/>
      <c r="G8769" s="7" t="n"/>
      <c r="H8769" s="7" t="n"/>
      <c r="I8769" s="7" t="n"/>
      <c r="J8769" s="7" t="n"/>
      <c r="K8769">
        <f>IF(D8769="Legitimate Interest (GDPR Art. 6(1)(f))", "Yes / Required (Sheet 3)", "")</f>
        <v/>
      </c>
      <c r="L8769" s="7" t="n"/>
      <c r="M8769" s="7" t="n"/>
      <c r="N8769">
        <f>IF(D8769="", "Gap - No Legal Basis", IF(AND(D8769="Consent (GDPR Art. 6(1)(a))", I8769="Not Captured"), "Gap - Invalid Consent", IF(AND(D8769="Legitimate Interest (GDPR Art. 6(1)(f))", L8769=""), "Gap - Missing LIA", IF(AND(G8769="Yes", H8769=""), "Gap - Missing Art. 9 Basis", IF(OR(I8769="Invalid - Not Freely Given", I8769="Invalid - Not Specific", I8769="Invalid - Not Informed", I8769="Invalid - Ambiguous"), "Gap - Invalid Consent", "Compliant")))))</f>
        <v/>
      </c>
      <c r="O8769" s="7" t="n"/>
    </row>
    <row r="8770">
      <c r="A8770" s="7" t="n"/>
      <c r="B8770" s="7" t="n"/>
      <c r="C8770" s="7" t="n"/>
      <c r="D8770" s="7" t="n"/>
      <c r="E8770" s="7" t="n"/>
      <c r="F8770" s="7" t="n"/>
      <c r="G8770" s="7" t="n"/>
      <c r="H8770" s="7" t="n"/>
      <c r="I8770" s="7" t="n"/>
      <c r="J8770" s="7" t="n"/>
      <c r="K8770">
        <f>IF(D8770="Legitimate Interest (GDPR Art. 6(1)(f))", "Yes / Required (Sheet 3)", "")</f>
        <v/>
      </c>
      <c r="L8770" s="7" t="n"/>
      <c r="M8770" s="7" t="n"/>
      <c r="N8770">
        <f>IF(D8770="", "Gap - No Legal Basis", IF(AND(D8770="Consent (GDPR Art. 6(1)(a))", I8770="Not Captured"), "Gap - Invalid Consent", IF(AND(D8770="Legitimate Interest (GDPR Art. 6(1)(f))", L8770=""), "Gap - Missing LIA", IF(AND(G8770="Yes", H8770=""), "Gap - Missing Art. 9 Basis", IF(OR(I8770="Invalid - Not Freely Given", I8770="Invalid - Not Specific", I8770="Invalid - Not Informed", I8770="Invalid - Ambiguous"), "Gap - Invalid Consent", "Compliant")))))</f>
        <v/>
      </c>
      <c r="O8770" s="7" t="n"/>
    </row>
    <row r="8771">
      <c r="A8771" s="7" t="n"/>
      <c r="B8771" s="7" t="n"/>
      <c r="C8771" s="7" t="n"/>
      <c r="D8771" s="7" t="n"/>
      <c r="E8771" s="7" t="n"/>
      <c r="F8771" s="7" t="n"/>
      <c r="G8771" s="7" t="n"/>
      <c r="H8771" s="7" t="n"/>
      <c r="I8771" s="7" t="n"/>
      <c r="J8771" s="7" t="n"/>
      <c r="K8771">
        <f>IF(D8771="Legitimate Interest (GDPR Art. 6(1)(f))", "Yes / Required (Sheet 3)", "")</f>
        <v/>
      </c>
      <c r="L8771" s="7" t="n"/>
      <c r="M8771" s="7" t="n"/>
      <c r="N8771">
        <f>IF(D8771="", "Gap - No Legal Basis", IF(AND(D8771="Consent (GDPR Art. 6(1)(a))", I8771="Not Captured"), "Gap - Invalid Consent", IF(AND(D8771="Legitimate Interest (GDPR Art. 6(1)(f))", L8771=""), "Gap - Missing LIA", IF(AND(G8771="Yes", H8771=""), "Gap - Missing Art. 9 Basis", IF(OR(I8771="Invalid - Not Freely Given", I8771="Invalid - Not Specific", I8771="Invalid - Not Informed", I8771="Invalid - Ambiguous"), "Gap - Invalid Consent", "Compliant")))))</f>
        <v/>
      </c>
      <c r="O8771" s="7" t="n"/>
    </row>
    <row r="8772">
      <c r="A8772" s="7" t="n"/>
      <c r="B8772" s="7" t="n"/>
      <c r="C8772" s="7" t="n"/>
      <c r="D8772" s="7" t="n"/>
      <c r="E8772" s="7" t="n"/>
      <c r="F8772" s="7" t="n"/>
      <c r="G8772" s="7" t="n"/>
      <c r="H8772" s="7" t="n"/>
      <c r="I8772" s="7" t="n"/>
      <c r="J8772" s="7" t="n"/>
      <c r="K8772">
        <f>IF(D8772="Legitimate Interest (GDPR Art. 6(1)(f))", "Yes / Required (Sheet 3)", "")</f>
        <v/>
      </c>
      <c r="L8772" s="7" t="n"/>
      <c r="M8772" s="7" t="n"/>
      <c r="N8772">
        <f>IF(D8772="", "Gap - No Legal Basis", IF(AND(D8772="Consent (GDPR Art. 6(1)(a))", I8772="Not Captured"), "Gap - Invalid Consent", IF(AND(D8772="Legitimate Interest (GDPR Art. 6(1)(f))", L8772=""), "Gap - Missing LIA", IF(AND(G8772="Yes", H8772=""), "Gap - Missing Art. 9 Basis", IF(OR(I8772="Invalid - Not Freely Given", I8772="Invalid - Not Specific", I8772="Invalid - Not Informed", I8772="Invalid - Ambiguous"), "Gap - Invalid Consent", "Compliant")))))</f>
        <v/>
      </c>
      <c r="O8772" s="7" t="n"/>
    </row>
    <row r="8773">
      <c r="A8773" s="7" t="n"/>
      <c r="B8773" s="7" t="n"/>
      <c r="C8773" s="7" t="n"/>
      <c r="D8773" s="7" t="n"/>
      <c r="E8773" s="7" t="n"/>
      <c r="F8773" s="7" t="n"/>
      <c r="G8773" s="7" t="n"/>
      <c r="H8773" s="7" t="n"/>
      <c r="I8773" s="7" t="n"/>
      <c r="J8773" s="7" t="n"/>
      <c r="K8773">
        <f>IF(D8773="Legitimate Interest (GDPR Art. 6(1)(f))", "Yes / Required (Sheet 3)", "")</f>
        <v/>
      </c>
      <c r="L8773" s="7" t="n"/>
      <c r="M8773" s="7" t="n"/>
      <c r="N8773">
        <f>IF(D8773="", "Gap - No Legal Basis", IF(AND(D8773="Consent (GDPR Art. 6(1)(a))", I8773="Not Captured"), "Gap - Invalid Consent", IF(AND(D8773="Legitimate Interest (GDPR Art. 6(1)(f))", L8773=""), "Gap - Missing LIA", IF(AND(G8773="Yes", H8773=""), "Gap - Missing Art. 9 Basis", IF(OR(I8773="Invalid - Not Freely Given", I8773="Invalid - Not Specific", I8773="Invalid - Not Informed", I8773="Invalid - Ambiguous"), "Gap - Invalid Consent", "Compliant")))))</f>
        <v/>
      </c>
      <c r="O8773" s="7" t="n"/>
    </row>
    <row r="8774">
      <c r="A8774" s="7" t="n"/>
      <c r="B8774" s="7" t="n"/>
      <c r="C8774" s="7" t="n"/>
      <c r="D8774" s="7" t="n"/>
      <c r="E8774" s="7" t="n"/>
      <c r="F8774" s="7" t="n"/>
      <c r="G8774" s="7" t="n"/>
      <c r="H8774" s="7" t="n"/>
      <c r="I8774" s="7" t="n"/>
      <c r="J8774" s="7" t="n"/>
      <c r="K8774">
        <f>IF(D8774="Legitimate Interest (GDPR Art. 6(1)(f))", "Yes / Required (Sheet 3)", "")</f>
        <v/>
      </c>
      <c r="L8774" s="7" t="n"/>
      <c r="M8774" s="7" t="n"/>
      <c r="N8774">
        <f>IF(D8774="", "Gap - No Legal Basis", IF(AND(D8774="Consent (GDPR Art. 6(1)(a))", I8774="Not Captured"), "Gap - Invalid Consent", IF(AND(D8774="Legitimate Interest (GDPR Art. 6(1)(f))", L8774=""), "Gap - Missing LIA", IF(AND(G8774="Yes", H8774=""), "Gap - Missing Art. 9 Basis", IF(OR(I8774="Invalid - Not Freely Given", I8774="Invalid - Not Specific", I8774="Invalid - Not Informed", I8774="Invalid - Ambiguous"), "Gap - Invalid Consent", "Compliant")))))</f>
        <v/>
      </c>
      <c r="O8774" s="7" t="n"/>
    </row>
    <row r="8775">
      <c r="A8775" s="7" t="n"/>
      <c r="B8775" s="7" t="n"/>
      <c r="C8775" s="7" t="n"/>
      <c r="D8775" s="7" t="n"/>
      <c r="E8775" s="7" t="n"/>
      <c r="F8775" s="7" t="n"/>
      <c r="G8775" s="7" t="n"/>
      <c r="H8775" s="7" t="n"/>
      <c r="I8775" s="7" t="n"/>
      <c r="J8775" s="7" t="n"/>
      <c r="K8775">
        <f>IF(D8775="Legitimate Interest (GDPR Art. 6(1)(f))", "Yes / Required (Sheet 3)", "")</f>
        <v/>
      </c>
      <c r="L8775" s="7" t="n"/>
      <c r="M8775" s="7" t="n"/>
      <c r="N8775">
        <f>IF(D8775="", "Gap - No Legal Basis", IF(AND(D8775="Consent (GDPR Art. 6(1)(a))", I8775="Not Captured"), "Gap - Invalid Consent", IF(AND(D8775="Legitimate Interest (GDPR Art. 6(1)(f))", L8775=""), "Gap - Missing LIA", IF(AND(G8775="Yes", H8775=""), "Gap - Missing Art. 9 Basis", IF(OR(I8775="Invalid - Not Freely Given", I8775="Invalid - Not Specific", I8775="Invalid - Not Informed", I8775="Invalid - Ambiguous"), "Gap - Invalid Consent", "Compliant")))))</f>
        <v/>
      </c>
      <c r="O8775" s="7" t="n"/>
    </row>
    <row r="8776">
      <c r="A8776" s="7" t="n"/>
      <c r="B8776" s="7" t="n"/>
      <c r="C8776" s="7" t="n"/>
      <c r="D8776" s="7" t="n"/>
      <c r="E8776" s="7" t="n"/>
      <c r="F8776" s="7" t="n"/>
      <c r="G8776" s="7" t="n"/>
      <c r="H8776" s="7" t="n"/>
      <c r="I8776" s="7" t="n"/>
      <c r="J8776" s="7" t="n"/>
      <c r="K8776">
        <f>IF(D8776="Legitimate Interest (GDPR Art. 6(1)(f))", "Yes / Required (Sheet 3)", "")</f>
        <v/>
      </c>
      <c r="L8776" s="7" t="n"/>
      <c r="M8776" s="7" t="n"/>
      <c r="N8776">
        <f>IF(D8776="", "Gap - No Legal Basis", IF(AND(D8776="Consent (GDPR Art. 6(1)(a))", I8776="Not Captured"), "Gap - Invalid Consent", IF(AND(D8776="Legitimate Interest (GDPR Art. 6(1)(f))", L8776=""), "Gap - Missing LIA", IF(AND(G8776="Yes", H8776=""), "Gap - Missing Art. 9 Basis", IF(OR(I8776="Invalid - Not Freely Given", I8776="Invalid - Not Specific", I8776="Invalid - Not Informed", I8776="Invalid - Ambiguous"), "Gap - Invalid Consent", "Compliant")))))</f>
        <v/>
      </c>
      <c r="O8776" s="7" t="n"/>
    </row>
    <row r="8777">
      <c r="A8777" s="7" t="n"/>
      <c r="B8777" s="7" t="n"/>
      <c r="C8777" s="7" t="n"/>
      <c r="D8777" s="7" t="n"/>
      <c r="E8777" s="7" t="n"/>
      <c r="F8777" s="7" t="n"/>
      <c r="G8777" s="7" t="n"/>
      <c r="H8777" s="7" t="n"/>
      <c r="I8777" s="7" t="n"/>
      <c r="J8777" s="7" t="n"/>
      <c r="K8777">
        <f>IF(D8777="Legitimate Interest (GDPR Art. 6(1)(f))", "Yes / Required (Sheet 3)", "")</f>
        <v/>
      </c>
      <c r="L8777" s="7" t="n"/>
      <c r="M8777" s="7" t="n"/>
      <c r="N8777">
        <f>IF(D8777="", "Gap - No Legal Basis", IF(AND(D8777="Consent (GDPR Art. 6(1)(a))", I8777="Not Captured"), "Gap - Invalid Consent", IF(AND(D8777="Legitimate Interest (GDPR Art. 6(1)(f))", L8777=""), "Gap - Missing LIA", IF(AND(G8777="Yes", H8777=""), "Gap - Missing Art. 9 Basis", IF(OR(I8777="Invalid - Not Freely Given", I8777="Invalid - Not Specific", I8777="Invalid - Not Informed", I8777="Invalid - Ambiguous"), "Gap - Invalid Consent", "Compliant")))))</f>
        <v/>
      </c>
      <c r="O8777" s="7" t="n"/>
    </row>
    <row r="8778">
      <c r="A8778" s="7" t="n"/>
      <c r="B8778" s="7" t="n"/>
      <c r="C8778" s="7" t="n"/>
      <c r="D8778" s="7" t="n"/>
      <c r="E8778" s="7" t="n"/>
      <c r="F8778" s="7" t="n"/>
      <c r="G8778" s="7" t="n"/>
      <c r="H8778" s="7" t="n"/>
      <c r="I8778" s="7" t="n"/>
      <c r="J8778" s="7" t="n"/>
      <c r="K8778">
        <f>IF(D8778="Legitimate Interest (GDPR Art. 6(1)(f))", "Yes / Required (Sheet 3)", "")</f>
        <v/>
      </c>
      <c r="L8778" s="7" t="n"/>
      <c r="M8778" s="7" t="n"/>
      <c r="N8778">
        <f>IF(D8778="", "Gap - No Legal Basis", IF(AND(D8778="Consent (GDPR Art. 6(1)(a))", I8778="Not Captured"), "Gap - Invalid Consent", IF(AND(D8778="Legitimate Interest (GDPR Art. 6(1)(f))", L8778=""), "Gap - Missing LIA", IF(AND(G8778="Yes", H8778=""), "Gap - Missing Art. 9 Basis", IF(OR(I8778="Invalid - Not Freely Given", I8778="Invalid - Not Specific", I8778="Invalid - Not Informed", I8778="Invalid - Ambiguous"), "Gap - Invalid Consent", "Compliant")))))</f>
        <v/>
      </c>
      <c r="O8778" s="7" t="n"/>
    </row>
    <row r="8779">
      <c r="A8779" s="7" t="n"/>
      <c r="B8779" s="7" t="n"/>
      <c r="C8779" s="7" t="n"/>
      <c r="D8779" s="7" t="n"/>
      <c r="E8779" s="7" t="n"/>
      <c r="F8779" s="7" t="n"/>
      <c r="G8779" s="7" t="n"/>
      <c r="H8779" s="7" t="n"/>
      <c r="I8779" s="7" t="n"/>
      <c r="J8779" s="7" t="n"/>
      <c r="K8779">
        <f>IF(D8779="Legitimate Interest (GDPR Art. 6(1)(f))", "Yes / Required (Sheet 3)", "")</f>
        <v/>
      </c>
      <c r="L8779" s="7" t="n"/>
      <c r="M8779" s="7" t="n"/>
      <c r="N8779">
        <f>IF(D8779="", "Gap - No Legal Basis", IF(AND(D8779="Consent (GDPR Art. 6(1)(a))", I8779="Not Captured"), "Gap - Invalid Consent", IF(AND(D8779="Legitimate Interest (GDPR Art. 6(1)(f))", L8779=""), "Gap - Missing LIA", IF(AND(G8779="Yes", H8779=""), "Gap - Missing Art. 9 Basis", IF(OR(I8779="Invalid - Not Freely Given", I8779="Invalid - Not Specific", I8779="Invalid - Not Informed", I8779="Invalid - Ambiguous"), "Gap - Invalid Consent", "Compliant")))))</f>
        <v/>
      </c>
      <c r="O8779" s="7" t="n"/>
    </row>
    <row r="8780">
      <c r="A8780" s="7" t="n"/>
      <c r="B8780" s="7" t="n"/>
      <c r="C8780" s="7" t="n"/>
      <c r="D8780" s="7" t="n"/>
      <c r="E8780" s="7" t="n"/>
      <c r="F8780" s="7" t="n"/>
      <c r="G8780" s="7" t="n"/>
      <c r="H8780" s="7" t="n"/>
      <c r="I8780" s="7" t="n"/>
      <c r="J8780" s="7" t="n"/>
      <c r="K8780">
        <f>IF(D8780="Legitimate Interest (GDPR Art. 6(1)(f))", "Yes / Required (Sheet 3)", "")</f>
        <v/>
      </c>
      <c r="L8780" s="7" t="n"/>
      <c r="M8780" s="7" t="n"/>
      <c r="N8780">
        <f>IF(D8780="", "Gap - No Legal Basis", IF(AND(D8780="Consent (GDPR Art. 6(1)(a))", I8780="Not Captured"), "Gap - Invalid Consent", IF(AND(D8780="Legitimate Interest (GDPR Art. 6(1)(f))", L8780=""), "Gap - Missing LIA", IF(AND(G8780="Yes", H8780=""), "Gap - Missing Art. 9 Basis", IF(OR(I8780="Invalid - Not Freely Given", I8780="Invalid - Not Specific", I8780="Invalid - Not Informed", I8780="Invalid - Ambiguous"), "Gap - Invalid Consent", "Compliant")))))</f>
        <v/>
      </c>
      <c r="O8780" s="7" t="n"/>
    </row>
    <row r="8781">
      <c r="A8781" s="7" t="n"/>
      <c r="B8781" s="7" t="n"/>
      <c r="C8781" s="7" t="n"/>
      <c r="D8781" s="7" t="n"/>
      <c r="E8781" s="7" t="n"/>
      <c r="F8781" s="7" t="n"/>
      <c r="G8781" s="7" t="n"/>
      <c r="H8781" s="7" t="n"/>
      <c r="I8781" s="7" t="n"/>
      <c r="J8781" s="7" t="n"/>
      <c r="K8781">
        <f>IF(D8781="Legitimate Interest (GDPR Art. 6(1)(f))", "Yes / Required (Sheet 3)", "")</f>
        <v/>
      </c>
      <c r="L8781" s="7" t="n"/>
      <c r="M8781" s="7" t="n"/>
      <c r="N8781">
        <f>IF(D8781="", "Gap - No Legal Basis", IF(AND(D8781="Consent (GDPR Art. 6(1)(a))", I8781="Not Captured"), "Gap - Invalid Consent", IF(AND(D8781="Legitimate Interest (GDPR Art. 6(1)(f))", L8781=""), "Gap - Missing LIA", IF(AND(G8781="Yes", H8781=""), "Gap - Missing Art. 9 Basis", IF(OR(I8781="Invalid - Not Freely Given", I8781="Invalid - Not Specific", I8781="Invalid - Not Informed", I8781="Invalid - Ambiguous"), "Gap - Invalid Consent", "Compliant")))))</f>
        <v/>
      </c>
      <c r="O8781" s="7" t="n"/>
    </row>
    <row r="8782">
      <c r="A8782" s="7" t="n"/>
      <c r="B8782" s="7" t="n"/>
      <c r="C8782" s="7" t="n"/>
      <c r="D8782" s="7" t="n"/>
      <c r="E8782" s="7" t="n"/>
      <c r="F8782" s="7" t="n"/>
      <c r="G8782" s="7" t="n"/>
      <c r="H8782" s="7" t="n"/>
      <c r="I8782" s="7" t="n"/>
      <c r="J8782" s="7" t="n"/>
      <c r="K8782">
        <f>IF(D8782="Legitimate Interest (GDPR Art. 6(1)(f))", "Yes / Required (Sheet 3)", "")</f>
        <v/>
      </c>
      <c r="L8782" s="7" t="n"/>
      <c r="M8782" s="7" t="n"/>
      <c r="N8782">
        <f>IF(D8782="", "Gap - No Legal Basis", IF(AND(D8782="Consent (GDPR Art. 6(1)(a))", I8782="Not Captured"), "Gap - Invalid Consent", IF(AND(D8782="Legitimate Interest (GDPR Art. 6(1)(f))", L8782=""), "Gap - Missing LIA", IF(AND(G8782="Yes", H8782=""), "Gap - Missing Art. 9 Basis", IF(OR(I8782="Invalid - Not Freely Given", I8782="Invalid - Not Specific", I8782="Invalid - Not Informed", I8782="Invalid - Ambiguous"), "Gap - Invalid Consent", "Compliant")))))</f>
        <v/>
      </c>
      <c r="O8782" s="7" t="n"/>
    </row>
    <row r="8783">
      <c r="A8783" s="7" t="n"/>
      <c r="B8783" s="7" t="n"/>
      <c r="C8783" s="7" t="n"/>
      <c r="D8783" s="7" t="n"/>
      <c r="E8783" s="7" t="n"/>
      <c r="F8783" s="7" t="n"/>
      <c r="G8783" s="7" t="n"/>
      <c r="H8783" s="7" t="n"/>
      <c r="I8783" s="7" t="n"/>
      <c r="J8783" s="7" t="n"/>
      <c r="K8783">
        <f>IF(D8783="Legitimate Interest (GDPR Art. 6(1)(f))", "Yes / Required (Sheet 3)", "")</f>
        <v/>
      </c>
      <c r="L8783" s="7" t="n"/>
      <c r="M8783" s="7" t="n"/>
      <c r="N8783">
        <f>IF(D8783="", "Gap - No Legal Basis", IF(AND(D8783="Consent (GDPR Art. 6(1)(a))", I8783="Not Captured"), "Gap - Invalid Consent", IF(AND(D8783="Legitimate Interest (GDPR Art. 6(1)(f))", L8783=""), "Gap - Missing LIA", IF(AND(G8783="Yes", H8783=""), "Gap - Missing Art. 9 Basis", IF(OR(I8783="Invalid - Not Freely Given", I8783="Invalid - Not Specific", I8783="Invalid - Not Informed", I8783="Invalid - Ambiguous"), "Gap - Invalid Consent", "Compliant")))))</f>
        <v/>
      </c>
      <c r="O8783" s="7" t="n"/>
    </row>
    <row r="8784">
      <c r="A8784" s="7" t="n"/>
      <c r="B8784" s="7" t="n"/>
      <c r="C8784" s="7" t="n"/>
      <c r="D8784" s="7" t="n"/>
      <c r="E8784" s="7" t="n"/>
      <c r="F8784" s="7" t="n"/>
      <c r="G8784" s="7" t="n"/>
      <c r="H8784" s="7" t="n"/>
      <c r="I8784" s="7" t="n"/>
      <c r="J8784" s="7" t="n"/>
      <c r="K8784">
        <f>IF(D8784="Legitimate Interest (GDPR Art. 6(1)(f))", "Yes / Required (Sheet 3)", "")</f>
        <v/>
      </c>
      <c r="L8784" s="7" t="n"/>
      <c r="M8784" s="7" t="n"/>
      <c r="N8784">
        <f>IF(D8784="", "Gap - No Legal Basis", IF(AND(D8784="Consent (GDPR Art. 6(1)(a))", I8784="Not Captured"), "Gap - Invalid Consent", IF(AND(D8784="Legitimate Interest (GDPR Art. 6(1)(f))", L8784=""), "Gap - Missing LIA", IF(AND(G8784="Yes", H8784=""), "Gap - Missing Art. 9 Basis", IF(OR(I8784="Invalid - Not Freely Given", I8784="Invalid - Not Specific", I8784="Invalid - Not Informed", I8784="Invalid - Ambiguous"), "Gap - Invalid Consent", "Compliant")))))</f>
        <v/>
      </c>
      <c r="O8784" s="7" t="n"/>
    </row>
    <row r="8785">
      <c r="A8785" s="7" t="n"/>
      <c r="B8785" s="7" t="n"/>
      <c r="C8785" s="7" t="n"/>
      <c r="D8785" s="7" t="n"/>
      <c r="E8785" s="7" t="n"/>
      <c r="F8785" s="7" t="n"/>
      <c r="G8785" s="7" t="n"/>
      <c r="H8785" s="7" t="n"/>
      <c r="I8785" s="7" t="n"/>
      <c r="J8785" s="7" t="n"/>
      <c r="K8785">
        <f>IF(D8785="Legitimate Interest (GDPR Art. 6(1)(f))", "Yes / Required (Sheet 3)", "")</f>
        <v/>
      </c>
      <c r="L8785" s="7" t="n"/>
      <c r="M8785" s="7" t="n"/>
      <c r="N8785">
        <f>IF(D8785="", "Gap - No Legal Basis", IF(AND(D8785="Consent (GDPR Art. 6(1)(a))", I8785="Not Captured"), "Gap - Invalid Consent", IF(AND(D8785="Legitimate Interest (GDPR Art. 6(1)(f))", L8785=""), "Gap - Missing LIA", IF(AND(G8785="Yes", H8785=""), "Gap - Missing Art. 9 Basis", IF(OR(I8785="Invalid - Not Freely Given", I8785="Invalid - Not Specific", I8785="Invalid - Not Informed", I8785="Invalid - Ambiguous"), "Gap - Invalid Consent", "Compliant")))))</f>
        <v/>
      </c>
      <c r="O8785" s="7" t="n"/>
    </row>
    <row r="8786">
      <c r="A8786" s="7" t="n"/>
      <c r="B8786" s="7" t="n"/>
      <c r="C8786" s="7" t="n"/>
      <c r="D8786" s="7" t="n"/>
      <c r="E8786" s="7" t="n"/>
      <c r="F8786" s="7" t="n"/>
      <c r="G8786" s="7" t="n"/>
      <c r="H8786" s="7" t="n"/>
      <c r="I8786" s="7" t="n"/>
      <c r="J8786" s="7" t="n"/>
      <c r="K8786">
        <f>IF(D8786="Legitimate Interest (GDPR Art. 6(1)(f))", "Yes / Required (Sheet 3)", "")</f>
        <v/>
      </c>
      <c r="L8786" s="7" t="n"/>
      <c r="M8786" s="7" t="n"/>
      <c r="N8786">
        <f>IF(D8786="", "Gap - No Legal Basis", IF(AND(D8786="Consent (GDPR Art. 6(1)(a))", I8786="Not Captured"), "Gap - Invalid Consent", IF(AND(D8786="Legitimate Interest (GDPR Art. 6(1)(f))", L8786=""), "Gap - Missing LIA", IF(AND(G8786="Yes", H8786=""), "Gap - Missing Art. 9 Basis", IF(OR(I8786="Invalid - Not Freely Given", I8786="Invalid - Not Specific", I8786="Invalid - Not Informed", I8786="Invalid - Ambiguous"), "Gap - Invalid Consent", "Compliant")))))</f>
        <v/>
      </c>
      <c r="O8786" s="7" t="n"/>
    </row>
    <row r="8787">
      <c r="A8787" s="7" t="n"/>
      <c r="B8787" s="7" t="n"/>
      <c r="C8787" s="7" t="n"/>
      <c r="D8787" s="7" t="n"/>
      <c r="E8787" s="7" t="n"/>
      <c r="F8787" s="7" t="n"/>
      <c r="G8787" s="7" t="n"/>
      <c r="H8787" s="7" t="n"/>
      <c r="I8787" s="7" t="n"/>
      <c r="J8787" s="7" t="n"/>
      <c r="K8787">
        <f>IF(D8787="Legitimate Interest (GDPR Art. 6(1)(f))", "Yes / Required (Sheet 3)", "")</f>
        <v/>
      </c>
      <c r="L8787" s="7" t="n"/>
      <c r="M8787" s="7" t="n"/>
      <c r="N8787">
        <f>IF(D8787="", "Gap - No Legal Basis", IF(AND(D8787="Consent (GDPR Art. 6(1)(a))", I8787="Not Captured"), "Gap - Invalid Consent", IF(AND(D8787="Legitimate Interest (GDPR Art. 6(1)(f))", L8787=""), "Gap - Missing LIA", IF(AND(G8787="Yes", H8787=""), "Gap - Missing Art. 9 Basis", IF(OR(I8787="Invalid - Not Freely Given", I8787="Invalid - Not Specific", I8787="Invalid - Not Informed", I8787="Invalid - Ambiguous"), "Gap - Invalid Consent", "Compliant")))))</f>
        <v/>
      </c>
      <c r="O8787" s="7" t="n"/>
    </row>
    <row r="8788">
      <c r="A8788" s="7" t="n"/>
      <c r="B8788" s="7" t="n"/>
      <c r="C8788" s="7" t="n"/>
      <c r="D8788" s="7" t="n"/>
      <c r="E8788" s="7" t="n"/>
      <c r="F8788" s="7" t="n"/>
      <c r="G8788" s="7" t="n"/>
      <c r="H8788" s="7" t="n"/>
      <c r="I8788" s="7" t="n"/>
      <c r="J8788" s="7" t="n"/>
      <c r="K8788">
        <f>IF(D8788="Legitimate Interest (GDPR Art. 6(1)(f))", "Yes / Required (Sheet 3)", "")</f>
        <v/>
      </c>
      <c r="L8788" s="7" t="n"/>
      <c r="M8788" s="7" t="n"/>
      <c r="N8788">
        <f>IF(D8788="", "Gap - No Legal Basis", IF(AND(D8788="Consent (GDPR Art. 6(1)(a))", I8788="Not Captured"), "Gap - Invalid Consent", IF(AND(D8788="Legitimate Interest (GDPR Art. 6(1)(f))", L8788=""), "Gap - Missing LIA", IF(AND(G8788="Yes", H8788=""), "Gap - Missing Art. 9 Basis", IF(OR(I8788="Invalid - Not Freely Given", I8788="Invalid - Not Specific", I8788="Invalid - Not Informed", I8788="Invalid - Ambiguous"), "Gap - Invalid Consent", "Compliant")))))</f>
        <v/>
      </c>
      <c r="O8788" s="7" t="n"/>
    </row>
    <row r="8789">
      <c r="A8789" s="7" t="n"/>
      <c r="B8789" s="7" t="n"/>
      <c r="C8789" s="7" t="n"/>
      <c r="D8789" s="7" t="n"/>
      <c r="E8789" s="7" t="n"/>
      <c r="F8789" s="7" t="n"/>
      <c r="G8789" s="7" t="n"/>
      <c r="H8789" s="7" t="n"/>
      <c r="I8789" s="7" t="n"/>
      <c r="J8789" s="7" t="n"/>
      <c r="K8789">
        <f>IF(D8789="Legitimate Interest (GDPR Art. 6(1)(f))", "Yes / Required (Sheet 3)", "")</f>
        <v/>
      </c>
      <c r="L8789" s="7" t="n"/>
      <c r="M8789" s="7" t="n"/>
      <c r="N8789">
        <f>IF(D8789="", "Gap - No Legal Basis", IF(AND(D8789="Consent (GDPR Art. 6(1)(a))", I8789="Not Captured"), "Gap - Invalid Consent", IF(AND(D8789="Legitimate Interest (GDPR Art. 6(1)(f))", L8789=""), "Gap - Missing LIA", IF(AND(G8789="Yes", H8789=""), "Gap - Missing Art. 9 Basis", IF(OR(I8789="Invalid - Not Freely Given", I8789="Invalid - Not Specific", I8789="Invalid - Not Informed", I8789="Invalid - Ambiguous"), "Gap - Invalid Consent", "Compliant")))))</f>
        <v/>
      </c>
      <c r="O8789" s="7" t="n"/>
    </row>
    <row r="8790">
      <c r="A8790" s="7" t="n"/>
      <c r="B8790" s="7" t="n"/>
      <c r="C8790" s="7" t="n"/>
      <c r="D8790" s="7" t="n"/>
      <c r="E8790" s="7" t="n"/>
      <c r="F8790" s="7" t="n"/>
      <c r="G8790" s="7" t="n"/>
      <c r="H8790" s="7" t="n"/>
      <c r="I8790" s="7" t="n"/>
      <c r="J8790" s="7" t="n"/>
      <c r="K8790">
        <f>IF(D8790="Legitimate Interest (GDPR Art. 6(1)(f))", "Yes / Required (Sheet 3)", "")</f>
        <v/>
      </c>
      <c r="L8790" s="7" t="n"/>
      <c r="M8790" s="7" t="n"/>
      <c r="N8790">
        <f>IF(D8790="", "Gap - No Legal Basis", IF(AND(D8790="Consent (GDPR Art. 6(1)(a))", I8790="Not Captured"), "Gap - Invalid Consent", IF(AND(D8790="Legitimate Interest (GDPR Art. 6(1)(f))", L8790=""), "Gap - Missing LIA", IF(AND(G8790="Yes", H8790=""), "Gap - Missing Art. 9 Basis", IF(OR(I8790="Invalid - Not Freely Given", I8790="Invalid - Not Specific", I8790="Invalid - Not Informed", I8790="Invalid - Ambiguous"), "Gap - Invalid Consent", "Compliant")))))</f>
        <v/>
      </c>
      <c r="O8790" s="7" t="n"/>
    </row>
    <row r="8791">
      <c r="A8791" s="7" t="n"/>
      <c r="B8791" s="7" t="n"/>
      <c r="C8791" s="7" t="n"/>
      <c r="D8791" s="7" t="n"/>
      <c r="E8791" s="7" t="n"/>
      <c r="F8791" s="7" t="n"/>
      <c r="G8791" s="7" t="n"/>
      <c r="H8791" s="7" t="n"/>
      <c r="I8791" s="7" t="n"/>
      <c r="J8791" s="7" t="n"/>
      <c r="K8791">
        <f>IF(D8791="Legitimate Interest (GDPR Art. 6(1)(f))", "Yes / Required (Sheet 3)", "")</f>
        <v/>
      </c>
      <c r="L8791" s="7" t="n"/>
      <c r="M8791" s="7" t="n"/>
      <c r="N8791">
        <f>IF(D8791="", "Gap - No Legal Basis", IF(AND(D8791="Consent (GDPR Art. 6(1)(a))", I8791="Not Captured"), "Gap - Invalid Consent", IF(AND(D8791="Legitimate Interest (GDPR Art. 6(1)(f))", L8791=""), "Gap - Missing LIA", IF(AND(G8791="Yes", H8791=""), "Gap - Missing Art. 9 Basis", IF(OR(I8791="Invalid - Not Freely Given", I8791="Invalid - Not Specific", I8791="Invalid - Not Informed", I8791="Invalid - Ambiguous"), "Gap - Invalid Consent", "Compliant")))))</f>
        <v/>
      </c>
      <c r="O8791" s="7" t="n"/>
    </row>
    <row r="8792">
      <c r="A8792" s="7" t="n"/>
      <c r="B8792" s="7" t="n"/>
      <c r="C8792" s="7" t="n"/>
      <c r="D8792" s="7" t="n"/>
      <c r="E8792" s="7" t="n"/>
      <c r="F8792" s="7" t="n"/>
      <c r="G8792" s="7" t="n"/>
      <c r="H8792" s="7" t="n"/>
      <c r="I8792" s="7" t="n"/>
      <c r="J8792" s="7" t="n"/>
      <c r="K8792">
        <f>IF(D8792="Legitimate Interest (GDPR Art. 6(1)(f))", "Yes / Required (Sheet 3)", "")</f>
        <v/>
      </c>
      <c r="L8792" s="7" t="n"/>
      <c r="M8792" s="7" t="n"/>
      <c r="N8792">
        <f>IF(D8792="", "Gap - No Legal Basis", IF(AND(D8792="Consent (GDPR Art. 6(1)(a))", I8792="Not Captured"), "Gap - Invalid Consent", IF(AND(D8792="Legitimate Interest (GDPR Art. 6(1)(f))", L8792=""), "Gap - Missing LIA", IF(AND(G8792="Yes", H8792=""), "Gap - Missing Art. 9 Basis", IF(OR(I8792="Invalid - Not Freely Given", I8792="Invalid - Not Specific", I8792="Invalid - Not Informed", I8792="Invalid - Ambiguous"), "Gap - Invalid Consent", "Compliant")))))</f>
        <v/>
      </c>
      <c r="O8792" s="7" t="n"/>
    </row>
    <row r="8793">
      <c r="A8793" s="7" t="n"/>
      <c r="B8793" s="7" t="n"/>
      <c r="C8793" s="7" t="n"/>
      <c r="D8793" s="7" t="n"/>
      <c r="E8793" s="7" t="n"/>
      <c r="F8793" s="7" t="n"/>
      <c r="G8793" s="7" t="n"/>
      <c r="H8793" s="7" t="n"/>
      <c r="I8793" s="7" t="n"/>
      <c r="J8793" s="7" t="n"/>
      <c r="K8793">
        <f>IF(D8793="Legitimate Interest (GDPR Art. 6(1)(f))", "Yes / Required (Sheet 3)", "")</f>
        <v/>
      </c>
      <c r="L8793" s="7" t="n"/>
      <c r="M8793" s="7" t="n"/>
      <c r="N8793">
        <f>IF(D8793="", "Gap - No Legal Basis", IF(AND(D8793="Consent (GDPR Art. 6(1)(a))", I8793="Not Captured"), "Gap - Invalid Consent", IF(AND(D8793="Legitimate Interest (GDPR Art. 6(1)(f))", L8793=""), "Gap - Missing LIA", IF(AND(G8793="Yes", H8793=""), "Gap - Missing Art. 9 Basis", IF(OR(I8793="Invalid - Not Freely Given", I8793="Invalid - Not Specific", I8793="Invalid - Not Informed", I8793="Invalid - Ambiguous"), "Gap - Invalid Consent", "Compliant")))))</f>
        <v/>
      </c>
      <c r="O8793" s="7" t="n"/>
    </row>
    <row r="8794">
      <c r="A8794" s="7" t="n"/>
      <c r="B8794" s="7" t="n"/>
      <c r="C8794" s="7" t="n"/>
      <c r="D8794" s="7" t="n"/>
      <c r="E8794" s="7" t="n"/>
      <c r="F8794" s="7" t="n"/>
      <c r="G8794" s="7" t="n"/>
      <c r="H8794" s="7" t="n"/>
      <c r="I8794" s="7" t="n"/>
      <c r="J8794" s="7" t="n"/>
      <c r="K8794">
        <f>IF(D8794="Legitimate Interest (GDPR Art. 6(1)(f))", "Yes / Required (Sheet 3)", "")</f>
        <v/>
      </c>
      <c r="L8794" s="7" t="n"/>
      <c r="M8794" s="7" t="n"/>
      <c r="N8794">
        <f>IF(D8794="", "Gap - No Legal Basis", IF(AND(D8794="Consent (GDPR Art. 6(1)(a))", I8794="Not Captured"), "Gap - Invalid Consent", IF(AND(D8794="Legitimate Interest (GDPR Art. 6(1)(f))", L8794=""), "Gap - Missing LIA", IF(AND(G8794="Yes", H8794=""), "Gap - Missing Art. 9 Basis", IF(OR(I8794="Invalid - Not Freely Given", I8794="Invalid - Not Specific", I8794="Invalid - Not Informed", I8794="Invalid - Ambiguous"), "Gap - Invalid Consent", "Compliant")))))</f>
        <v/>
      </c>
      <c r="O8794" s="7" t="n"/>
    </row>
    <row r="8795">
      <c r="A8795" s="7" t="n"/>
      <c r="B8795" s="7" t="n"/>
      <c r="C8795" s="7" t="n"/>
      <c r="D8795" s="7" t="n"/>
      <c r="E8795" s="7" t="n"/>
      <c r="F8795" s="7" t="n"/>
      <c r="G8795" s="7" t="n"/>
      <c r="H8795" s="7" t="n"/>
      <c r="I8795" s="7" t="n"/>
      <c r="J8795" s="7" t="n"/>
      <c r="K8795">
        <f>IF(D8795="Legitimate Interest (GDPR Art. 6(1)(f))", "Yes / Required (Sheet 3)", "")</f>
        <v/>
      </c>
      <c r="L8795" s="7" t="n"/>
      <c r="M8795" s="7" t="n"/>
      <c r="N8795">
        <f>IF(D8795="", "Gap - No Legal Basis", IF(AND(D8795="Consent (GDPR Art. 6(1)(a))", I8795="Not Captured"), "Gap - Invalid Consent", IF(AND(D8795="Legitimate Interest (GDPR Art. 6(1)(f))", L8795=""), "Gap - Missing LIA", IF(AND(G8795="Yes", H8795=""), "Gap - Missing Art. 9 Basis", IF(OR(I8795="Invalid - Not Freely Given", I8795="Invalid - Not Specific", I8795="Invalid - Not Informed", I8795="Invalid - Ambiguous"), "Gap - Invalid Consent", "Compliant")))))</f>
        <v/>
      </c>
      <c r="O8795" s="7" t="n"/>
    </row>
    <row r="8796">
      <c r="A8796" s="7" t="n"/>
      <c r="B8796" s="7" t="n"/>
      <c r="C8796" s="7" t="n"/>
      <c r="D8796" s="7" t="n"/>
      <c r="E8796" s="7" t="n"/>
      <c r="F8796" s="7" t="n"/>
      <c r="G8796" s="7" t="n"/>
      <c r="H8796" s="7" t="n"/>
      <c r="I8796" s="7" t="n"/>
      <c r="J8796" s="7" t="n"/>
      <c r="K8796">
        <f>IF(D8796="Legitimate Interest (GDPR Art. 6(1)(f))", "Yes / Required (Sheet 3)", "")</f>
        <v/>
      </c>
      <c r="L8796" s="7" t="n"/>
      <c r="M8796" s="7" t="n"/>
      <c r="N8796">
        <f>IF(D8796="", "Gap - No Legal Basis", IF(AND(D8796="Consent (GDPR Art. 6(1)(a))", I8796="Not Captured"), "Gap - Invalid Consent", IF(AND(D8796="Legitimate Interest (GDPR Art. 6(1)(f))", L8796=""), "Gap - Missing LIA", IF(AND(G8796="Yes", H8796=""), "Gap - Missing Art. 9 Basis", IF(OR(I8796="Invalid - Not Freely Given", I8796="Invalid - Not Specific", I8796="Invalid - Not Informed", I8796="Invalid - Ambiguous"), "Gap - Invalid Consent", "Compliant")))))</f>
        <v/>
      </c>
      <c r="O8796" s="7" t="n"/>
    </row>
    <row r="8797">
      <c r="A8797" s="7" t="n"/>
      <c r="B8797" s="7" t="n"/>
      <c r="C8797" s="7" t="n"/>
      <c r="D8797" s="7" t="n"/>
      <c r="E8797" s="7" t="n"/>
      <c r="F8797" s="7" t="n"/>
      <c r="G8797" s="7" t="n"/>
      <c r="H8797" s="7" t="n"/>
      <c r="I8797" s="7" t="n"/>
      <c r="J8797" s="7" t="n"/>
      <c r="K8797">
        <f>IF(D8797="Legitimate Interest (GDPR Art. 6(1)(f))", "Yes / Required (Sheet 3)", "")</f>
        <v/>
      </c>
      <c r="L8797" s="7" t="n"/>
      <c r="M8797" s="7" t="n"/>
      <c r="N8797">
        <f>IF(D8797="", "Gap - No Legal Basis", IF(AND(D8797="Consent (GDPR Art. 6(1)(a))", I8797="Not Captured"), "Gap - Invalid Consent", IF(AND(D8797="Legitimate Interest (GDPR Art. 6(1)(f))", L8797=""), "Gap - Missing LIA", IF(AND(G8797="Yes", H8797=""), "Gap - Missing Art. 9 Basis", IF(OR(I8797="Invalid - Not Freely Given", I8797="Invalid - Not Specific", I8797="Invalid - Not Informed", I8797="Invalid - Ambiguous"), "Gap - Invalid Consent", "Compliant")))))</f>
        <v/>
      </c>
      <c r="O8797" s="7" t="n"/>
    </row>
    <row r="8798">
      <c r="A8798" s="7" t="n"/>
      <c r="B8798" s="7" t="n"/>
      <c r="C8798" s="7" t="n"/>
      <c r="D8798" s="7" t="n"/>
      <c r="E8798" s="7" t="n"/>
      <c r="F8798" s="7" t="n"/>
      <c r="G8798" s="7" t="n"/>
      <c r="H8798" s="7" t="n"/>
      <c r="I8798" s="7" t="n"/>
      <c r="J8798" s="7" t="n"/>
      <c r="K8798">
        <f>IF(D8798="Legitimate Interest (GDPR Art. 6(1)(f))", "Yes / Required (Sheet 3)", "")</f>
        <v/>
      </c>
      <c r="L8798" s="7" t="n"/>
      <c r="M8798" s="7" t="n"/>
      <c r="N8798">
        <f>IF(D8798="", "Gap - No Legal Basis", IF(AND(D8798="Consent (GDPR Art. 6(1)(a))", I8798="Not Captured"), "Gap - Invalid Consent", IF(AND(D8798="Legitimate Interest (GDPR Art. 6(1)(f))", L8798=""), "Gap - Missing LIA", IF(AND(G8798="Yes", H8798=""), "Gap - Missing Art. 9 Basis", IF(OR(I8798="Invalid - Not Freely Given", I8798="Invalid - Not Specific", I8798="Invalid - Not Informed", I8798="Invalid - Ambiguous"), "Gap - Invalid Consent", "Compliant")))))</f>
        <v/>
      </c>
      <c r="O8798" s="7" t="n"/>
    </row>
    <row r="8799">
      <c r="A8799" s="7" t="n"/>
      <c r="B8799" s="7" t="n"/>
      <c r="C8799" s="7" t="n"/>
      <c r="D8799" s="7" t="n"/>
      <c r="E8799" s="7" t="n"/>
      <c r="F8799" s="7" t="n"/>
      <c r="G8799" s="7" t="n"/>
      <c r="H8799" s="7" t="n"/>
      <c r="I8799" s="7" t="n"/>
      <c r="J8799" s="7" t="n"/>
      <c r="K8799">
        <f>IF(D8799="Legitimate Interest (GDPR Art. 6(1)(f))", "Yes / Required (Sheet 3)", "")</f>
        <v/>
      </c>
      <c r="L8799" s="7" t="n"/>
      <c r="M8799" s="7" t="n"/>
      <c r="N8799">
        <f>IF(D8799="", "Gap - No Legal Basis", IF(AND(D8799="Consent (GDPR Art. 6(1)(a))", I8799="Not Captured"), "Gap - Invalid Consent", IF(AND(D8799="Legitimate Interest (GDPR Art. 6(1)(f))", L8799=""), "Gap - Missing LIA", IF(AND(G8799="Yes", H8799=""), "Gap - Missing Art. 9 Basis", IF(OR(I8799="Invalid - Not Freely Given", I8799="Invalid - Not Specific", I8799="Invalid - Not Informed", I8799="Invalid - Ambiguous"), "Gap - Invalid Consent", "Compliant")))))</f>
        <v/>
      </c>
      <c r="O8799" s="7" t="n"/>
    </row>
    <row r="8800">
      <c r="A8800" s="7" t="n"/>
      <c r="B8800" s="7" t="n"/>
      <c r="C8800" s="7" t="n"/>
      <c r="D8800" s="7" t="n"/>
      <c r="E8800" s="7" t="n"/>
      <c r="F8800" s="7" t="n"/>
      <c r="G8800" s="7" t="n"/>
      <c r="H8800" s="7" t="n"/>
      <c r="I8800" s="7" t="n"/>
      <c r="J8800" s="7" t="n"/>
      <c r="K8800">
        <f>IF(D8800="Legitimate Interest (GDPR Art. 6(1)(f))", "Yes / Required (Sheet 3)", "")</f>
        <v/>
      </c>
      <c r="L8800" s="7" t="n"/>
      <c r="M8800" s="7" t="n"/>
      <c r="N8800">
        <f>IF(D8800="", "Gap - No Legal Basis", IF(AND(D8800="Consent (GDPR Art. 6(1)(a))", I8800="Not Captured"), "Gap - Invalid Consent", IF(AND(D8800="Legitimate Interest (GDPR Art. 6(1)(f))", L8800=""), "Gap - Missing LIA", IF(AND(G8800="Yes", H8800=""), "Gap - Missing Art. 9 Basis", IF(OR(I8800="Invalid - Not Freely Given", I8800="Invalid - Not Specific", I8800="Invalid - Not Informed", I8800="Invalid - Ambiguous"), "Gap - Invalid Consent", "Compliant")))))</f>
        <v/>
      </c>
      <c r="O8800" s="7" t="n"/>
    </row>
    <row r="8801">
      <c r="A8801" s="7" t="n"/>
      <c r="B8801" s="7" t="n"/>
      <c r="C8801" s="7" t="n"/>
      <c r="D8801" s="7" t="n"/>
      <c r="E8801" s="7" t="n"/>
      <c r="F8801" s="7" t="n"/>
      <c r="G8801" s="7" t="n"/>
      <c r="H8801" s="7" t="n"/>
      <c r="I8801" s="7" t="n"/>
      <c r="J8801" s="7" t="n"/>
      <c r="K8801">
        <f>IF(D8801="Legitimate Interest (GDPR Art. 6(1)(f))", "Yes / Required (Sheet 3)", "")</f>
        <v/>
      </c>
      <c r="L8801" s="7" t="n"/>
      <c r="M8801" s="7" t="n"/>
      <c r="N8801">
        <f>IF(D8801="", "Gap - No Legal Basis", IF(AND(D8801="Consent (GDPR Art. 6(1)(a))", I8801="Not Captured"), "Gap - Invalid Consent", IF(AND(D8801="Legitimate Interest (GDPR Art. 6(1)(f))", L8801=""), "Gap - Missing LIA", IF(AND(G8801="Yes", H8801=""), "Gap - Missing Art. 9 Basis", IF(OR(I8801="Invalid - Not Freely Given", I8801="Invalid - Not Specific", I8801="Invalid - Not Informed", I8801="Invalid - Ambiguous"), "Gap - Invalid Consent", "Compliant")))))</f>
        <v/>
      </c>
      <c r="O8801" s="7" t="n"/>
    </row>
    <row r="8802">
      <c r="A8802" s="7" t="n"/>
      <c r="B8802" s="7" t="n"/>
      <c r="C8802" s="7" t="n"/>
      <c r="D8802" s="7" t="n"/>
      <c r="E8802" s="7" t="n"/>
      <c r="F8802" s="7" t="n"/>
      <c r="G8802" s="7" t="n"/>
      <c r="H8802" s="7" t="n"/>
      <c r="I8802" s="7" t="n"/>
      <c r="J8802" s="7" t="n"/>
      <c r="K8802">
        <f>IF(D8802="Legitimate Interest (GDPR Art. 6(1)(f))", "Yes / Required (Sheet 3)", "")</f>
        <v/>
      </c>
      <c r="L8802" s="7" t="n"/>
      <c r="M8802" s="7" t="n"/>
      <c r="N8802">
        <f>IF(D8802="", "Gap - No Legal Basis", IF(AND(D8802="Consent (GDPR Art. 6(1)(a))", I8802="Not Captured"), "Gap - Invalid Consent", IF(AND(D8802="Legitimate Interest (GDPR Art. 6(1)(f))", L8802=""), "Gap - Missing LIA", IF(AND(G8802="Yes", H8802=""), "Gap - Missing Art. 9 Basis", IF(OR(I8802="Invalid - Not Freely Given", I8802="Invalid - Not Specific", I8802="Invalid - Not Informed", I8802="Invalid - Ambiguous"), "Gap - Invalid Consent", "Compliant")))))</f>
        <v/>
      </c>
      <c r="O8802" s="7" t="n"/>
    </row>
    <row r="8803">
      <c r="A8803" s="7" t="n"/>
      <c r="B8803" s="7" t="n"/>
      <c r="C8803" s="7" t="n"/>
      <c r="D8803" s="7" t="n"/>
      <c r="E8803" s="7" t="n"/>
      <c r="F8803" s="7" t="n"/>
      <c r="G8803" s="7" t="n"/>
      <c r="H8803" s="7" t="n"/>
      <c r="I8803" s="7" t="n"/>
      <c r="J8803" s="7" t="n"/>
      <c r="K8803">
        <f>IF(D8803="Legitimate Interest (GDPR Art. 6(1)(f))", "Yes / Required (Sheet 3)", "")</f>
        <v/>
      </c>
      <c r="L8803" s="7" t="n"/>
      <c r="M8803" s="7" t="n"/>
      <c r="N8803">
        <f>IF(D8803="", "Gap - No Legal Basis", IF(AND(D8803="Consent (GDPR Art. 6(1)(a))", I8803="Not Captured"), "Gap - Invalid Consent", IF(AND(D8803="Legitimate Interest (GDPR Art. 6(1)(f))", L8803=""), "Gap - Missing LIA", IF(AND(G8803="Yes", H8803=""), "Gap - Missing Art. 9 Basis", IF(OR(I8803="Invalid - Not Freely Given", I8803="Invalid - Not Specific", I8803="Invalid - Not Informed", I8803="Invalid - Ambiguous"), "Gap - Invalid Consent", "Compliant")))))</f>
        <v/>
      </c>
      <c r="O8803" s="7" t="n"/>
    </row>
    <row r="8804">
      <c r="A8804" s="7" t="n"/>
      <c r="B8804" s="7" t="n"/>
      <c r="C8804" s="7" t="n"/>
      <c r="D8804" s="7" t="n"/>
      <c r="E8804" s="7" t="n"/>
      <c r="F8804" s="7" t="n"/>
      <c r="G8804" s="7" t="n"/>
      <c r="H8804" s="7" t="n"/>
      <c r="I8804" s="7" t="n"/>
      <c r="J8804" s="7" t="n"/>
      <c r="K8804">
        <f>IF(D8804="Legitimate Interest (GDPR Art. 6(1)(f))", "Yes / Required (Sheet 3)", "")</f>
        <v/>
      </c>
      <c r="L8804" s="7" t="n"/>
      <c r="M8804" s="7" t="n"/>
      <c r="N8804">
        <f>IF(D8804="", "Gap - No Legal Basis", IF(AND(D8804="Consent (GDPR Art. 6(1)(a))", I8804="Not Captured"), "Gap - Invalid Consent", IF(AND(D8804="Legitimate Interest (GDPR Art. 6(1)(f))", L8804=""), "Gap - Missing LIA", IF(AND(G8804="Yes", H8804=""), "Gap - Missing Art. 9 Basis", IF(OR(I8804="Invalid - Not Freely Given", I8804="Invalid - Not Specific", I8804="Invalid - Not Informed", I8804="Invalid - Ambiguous"), "Gap - Invalid Consent", "Compliant")))))</f>
        <v/>
      </c>
      <c r="O8804" s="7" t="n"/>
    </row>
    <row r="8805">
      <c r="A8805" s="7" t="n"/>
      <c r="B8805" s="7" t="n"/>
      <c r="C8805" s="7" t="n"/>
      <c r="D8805" s="7" t="n"/>
      <c r="E8805" s="7" t="n"/>
      <c r="F8805" s="7" t="n"/>
      <c r="G8805" s="7" t="n"/>
      <c r="H8805" s="7" t="n"/>
      <c r="I8805" s="7" t="n"/>
      <c r="J8805" s="7" t="n"/>
      <c r="K8805">
        <f>IF(D8805="Legitimate Interest (GDPR Art. 6(1)(f))", "Yes / Required (Sheet 3)", "")</f>
        <v/>
      </c>
      <c r="L8805" s="7" t="n"/>
      <c r="M8805" s="7" t="n"/>
      <c r="N8805">
        <f>IF(D8805="", "Gap - No Legal Basis", IF(AND(D8805="Consent (GDPR Art. 6(1)(a))", I8805="Not Captured"), "Gap - Invalid Consent", IF(AND(D8805="Legitimate Interest (GDPR Art. 6(1)(f))", L8805=""), "Gap - Missing LIA", IF(AND(G8805="Yes", H8805=""), "Gap - Missing Art. 9 Basis", IF(OR(I8805="Invalid - Not Freely Given", I8805="Invalid - Not Specific", I8805="Invalid - Not Informed", I8805="Invalid - Ambiguous"), "Gap - Invalid Consent", "Compliant")))))</f>
        <v/>
      </c>
      <c r="O8805" s="7" t="n"/>
    </row>
    <row r="8806">
      <c r="A8806" s="7" t="n"/>
      <c r="B8806" s="7" t="n"/>
      <c r="C8806" s="7" t="n"/>
      <c r="D8806" s="7" t="n"/>
      <c r="E8806" s="7" t="n"/>
      <c r="F8806" s="7" t="n"/>
      <c r="G8806" s="7" t="n"/>
      <c r="H8806" s="7" t="n"/>
      <c r="I8806" s="7" t="n"/>
      <c r="J8806" s="7" t="n"/>
      <c r="K8806">
        <f>IF(D8806="Legitimate Interest (GDPR Art. 6(1)(f))", "Yes / Required (Sheet 3)", "")</f>
        <v/>
      </c>
      <c r="L8806" s="7" t="n"/>
      <c r="M8806" s="7" t="n"/>
      <c r="N8806">
        <f>IF(D8806="", "Gap - No Legal Basis", IF(AND(D8806="Consent (GDPR Art. 6(1)(a))", I8806="Not Captured"), "Gap - Invalid Consent", IF(AND(D8806="Legitimate Interest (GDPR Art. 6(1)(f))", L8806=""), "Gap - Missing LIA", IF(AND(G8806="Yes", H8806=""), "Gap - Missing Art. 9 Basis", IF(OR(I8806="Invalid - Not Freely Given", I8806="Invalid - Not Specific", I8806="Invalid - Not Informed", I8806="Invalid - Ambiguous"), "Gap - Invalid Consent", "Compliant")))))</f>
        <v/>
      </c>
      <c r="O8806" s="7" t="n"/>
    </row>
    <row r="8807">
      <c r="A8807" s="7" t="n"/>
      <c r="B8807" s="7" t="n"/>
      <c r="C8807" s="7" t="n"/>
      <c r="D8807" s="7" t="n"/>
      <c r="E8807" s="7" t="n"/>
      <c r="F8807" s="7" t="n"/>
      <c r="G8807" s="7" t="n"/>
      <c r="H8807" s="7" t="n"/>
      <c r="I8807" s="7" t="n"/>
      <c r="J8807" s="7" t="n"/>
      <c r="K8807">
        <f>IF(D8807="Legitimate Interest (GDPR Art. 6(1)(f))", "Yes / Required (Sheet 3)", "")</f>
        <v/>
      </c>
      <c r="L8807" s="7" t="n"/>
      <c r="M8807" s="7" t="n"/>
      <c r="N8807">
        <f>IF(D8807="", "Gap - No Legal Basis", IF(AND(D8807="Consent (GDPR Art. 6(1)(a))", I8807="Not Captured"), "Gap - Invalid Consent", IF(AND(D8807="Legitimate Interest (GDPR Art. 6(1)(f))", L8807=""), "Gap - Missing LIA", IF(AND(G8807="Yes", H8807=""), "Gap - Missing Art. 9 Basis", IF(OR(I8807="Invalid - Not Freely Given", I8807="Invalid - Not Specific", I8807="Invalid - Not Informed", I8807="Invalid - Ambiguous"), "Gap - Invalid Consent", "Compliant")))))</f>
        <v/>
      </c>
      <c r="O8807" s="7" t="n"/>
    </row>
    <row r="8808">
      <c r="A8808" s="7" t="n"/>
      <c r="B8808" s="7" t="n"/>
      <c r="C8808" s="7" t="n"/>
      <c r="D8808" s="7" t="n"/>
      <c r="E8808" s="7" t="n"/>
      <c r="F8808" s="7" t="n"/>
      <c r="G8808" s="7" t="n"/>
      <c r="H8808" s="7" t="n"/>
      <c r="I8808" s="7" t="n"/>
      <c r="J8808" s="7" t="n"/>
      <c r="K8808">
        <f>IF(D8808="Legitimate Interest (GDPR Art. 6(1)(f))", "Yes / Required (Sheet 3)", "")</f>
        <v/>
      </c>
      <c r="L8808" s="7" t="n"/>
      <c r="M8808" s="7" t="n"/>
      <c r="N8808">
        <f>IF(D8808="", "Gap - No Legal Basis", IF(AND(D8808="Consent (GDPR Art. 6(1)(a))", I8808="Not Captured"), "Gap - Invalid Consent", IF(AND(D8808="Legitimate Interest (GDPR Art. 6(1)(f))", L8808=""), "Gap - Missing LIA", IF(AND(G8808="Yes", H8808=""), "Gap - Missing Art. 9 Basis", IF(OR(I8808="Invalid - Not Freely Given", I8808="Invalid - Not Specific", I8808="Invalid - Not Informed", I8808="Invalid - Ambiguous"), "Gap - Invalid Consent", "Compliant")))))</f>
        <v/>
      </c>
      <c r="O8808" s="7" t="n"/>
    </row>
    <row r="8809">
      <c r="A8809" s="7" t="n"/>
      <c r="B8809" s="7" t="n"/>
      <c r="C8809" s="7" t="n"/>
      <c r="D8809" s="7" t="n"/>
      <c r="E8809" s="7" t="n"/>
      <c r="F8809" s="7" t="n"/>
      <c r="G8809" s="7" t="n"/>
      <c r="H8809" s="7" t="n"/>
      <c r="I8809" s="7" t="n"/>
      <c r="J8809" s="7" t="n"/>
      <c r="K8809">
        <f>IF(D8809="Legitimate Interest (GDPR Art. 6(1)(f))", "Yes / Required (Sheet 3)", "")</f>
        <v/>
      </c>
      <c r="L8809" s="7" t="n"/>
      <c r="M8809" s="7" t="n"/>
      <c r="N8809">
        <f>IF(D8809="", "Gap - No Legal Basis", IF(AND(D8809="Consent (GDPR Art. 6(1)(a))", I8809="Not Captured"), "Gap - Invalid Consent", IF(AND(D8809="Legitimate Interest (GDPR Art. 6(1)(f))", L8809=""), "Gap - Missing LIA", IF(AND(G8809="Yes", H8809=""), "Gap - Missing Art. 9 Basis", IF(OR(I8809="Invalid - Not Freely Given", I8809="Invalid - Not Specific", I8809="Invalid - Not Informed", I8809="Invalid - Ambiguous"), "Gap - Invalid Consent", "Compliant")))))</f>
        <v/>
      </c>
      <c r="O8809" s="7" t="n"/>
    </row>
    <row r="8810">
      <c r="A8810" s="7" t="n"/>
      <c r="B8810" s="7" t="n"/>
      <c r="C8810" s="7" t="n"/>
      <c r="D8810" s="7" t="n"/>
      <c r="E8810" s="7" t="n"/>
      <c r="F8810" s="7" t="n"/>
      <c r="G8810" s="7" t="n"/>
      <c r="H8810" s="7" t="n"/>
      <c r="I8810" s="7" t="n"/>
      <c r="J8810" s="7" t="n"/>
      <c r="K8810">
        <f>IF(D8810="Legitimate Interest (GDPR Art. 6(1)(f))", "Yes / Required (Sheet 3)", "")</f>
        <v/>
      </c>
      <c r="L8810" s="7" t="n"/>
      <c r="M8810" s="7" t="n"/>
      <c r="N8810">
        <f>IF(D8810="", "Gap - No Legal Basis", IF(AND(D8810="Consent (GDPR Art. 6(1)(a))", I8810="Not Captured"), "Gap - Invalid Consent", IF(AND(D8810="Legitimate Interest (GDPR Art. 6(1)(f))", L8810=""), "Gap - Missing LIA", IF(AND(G8810="Yes", H8810=""), "Gap - Missing Art. 9 Basis", IF(OR(I8810="Invalid - Not Freely Given", I8810="Invalid - Not Specific", I8810="Invalid - Not Informed", I8810="Invalid - Ambiguous"), "Gap - Invalid Consent", "Compliant")))))</f>
        <v/>
      </c>
      <c r="O8810" s="7" t="n"/>
    </row>
    <row r="8811">
      <c r="A8811" s="7" t="n"/>
      <c r="B8811" s="7" t="n"/>
      <c r="C8811" s="7" t="n"/>
      <c r="D8811" s="7" t="n"/>
      <c r="E8811" s="7" t="n"/>
      <c r="F8811" s="7" t="n"/>
      <c r="G8811" s="7" t="n"/>
      <c r="H8811" s="7" t="n"/>
      <c r="I8811" s="7" t="n"/>
      <c r="J8811" s="7" t="n"/>
      <c r="K8811">
        <f>IF(D8811="Legitimate Interest (GDPR Art. 6(1)(f))", "Yes / Required (Sheet 3)", "")</f>
        <v/>
      </c>
      <c r="L8811" s="7" t="n"/>
      <c r="M8811" s="7" t="n"/>
      <c r="N8811">
        <f>IF(D8811="", "Gap - No Legal Basis", IF(AND(D8811="Consent (GDPR Art. 6(1)(a))", I8811="Not Captured"), "Gap - Invalid Consent", IF(AND(D8811="Legitimate Interest (GDPR Art. 6(1)(f))", L8811=""), "Gap - Missing LIA", IF(AND(G8811="Yes", H8811=""), "Gap - Missing Art. 9 Basis", IF(OR(I8811="Invalid - Not Freely Given", I8811="Invalid - Not Specific", I8811="Invalid - Not Informed", I8811="Invalid - Ambiguous"), "Gap - Invalid Consent", "Compliant")))))</f>
        <v/>
      </c>
      <c r="O8811" s="7" t="n"/>
    </row>
    <row r="8812">
      <c r="A8812" s="7" t="n"/>
      <c r="B8812" s="7" t="n"/>
      <c r="C8812" s="7" t="n"/>
      <c r="D8812" s="7" t="n"/>
      <c r="E8812" s="7" t="n"/>
      <c r="F8812" s="7" t="n"/>
      <c r="G8812" s="7" t="n"/>
      <c r="H8812" s="7" t="n"/>
      <c r="I8812" s="7" t="n"/>
      <c r="J8812" s="7" t="n"/>
      <c r="K8812">
        <f>IF(D8812="Legitimate Interest (GDPR Art. 6(1)(f))", "Yes / Required (Sheet 3)", "")</f>
        <v/>
      </c>
      <c r="L8812" s="7" t="n"/>
      <c r="M8812" s="7" t="n"/>
      <c r="N8812">
        <f>IF(D8812="", "Gap - No Legal Basis", IF(AND(D8812="Consent (GDPR Art. 6(1)(a))", I8812="Not Captured"), "Gap - Invalid Consent", IF(AND(D8812="Legitimate Interest (GDPR Art. 6(1)(f))", L8812=""), "Gap - Missing LIA", IF(AND(G8812="Yes", H8812=""), "Gap - Missing Art. 9 Basis", IF(OR(I8812="Invalid - Not Freely Given", I8812="Invalid - Not Specific", I8812="Invalid - Not Informed", I8812="Invalid - Ambiguous"), "Gap - Invalid Consent", "Compliant")))))</f>
        <v/>
      </c>
      <c r="O8812" s="7" t="n"/>
    </row>
    <row r="8813">
      <c r="A8813" s="7" t="n"/>
      <c r="B8813" s="7" t="n"/>
      <c r="C8813" s="7" t="n"/>
      <c r="D8813" s="7" t="n"/>
      <c r="E8813" s="7" t="n"/>
      <c r="F8813" s="7" t="n"/>
      <c r="G8813" s="7" t="n"/>
      <c r="H8813" s="7" t="n"/>
      <c r="I8813" s="7" t="n"/>
      <c r="J8813" s="7" t="n"/>
      <c r="K8813">
        <f>IF(D8813="Legitimate Interest (GDPR Art. 6(1)(f))", "Yes / Required (Sheet 3)", "")</f>
        <v/>
      </c>
      <c r="L8813" s="7" t="n"/>
      <c r="M8813" s="7" t="n"/>
      <c r="N8813">
        <f>IF(D8813="", "Gap - No Legal Basis", IF(AND(D8813="Consent (GDPR Art. 6(1)(a))", I8813="Not Captured"), "Gap - Invalid Consent", IF(AND(D8813="Legitimate Interest (GDPR Art. 6(1)(f))", L8813=""), "Gap - Missing LIA", IF(AND(G8813="Yes", H8813=""), "Gap - Missing Art. 9 Basis", IF(OR(I8813="Invalid - Not Freely Given", I8813="Invalid - Not Specific", I8813="Invalid - Not Informed", I8813="Invalid - Ambiguous"), "Gap - Invalid Consent", "Compliant")))))</f>
        <v/>
      </c>
      <c r="O8813" s="7" t="n"/>
    </row>
    <row r="8814">
      <c r="A8814" s="7" t="n"/>
      <c r="B8814" s="7" t="n"/>
      <c r="C8814" s="7" t="n"/>
      <c r="D8814" s="7" t="n"/>
      <c r="E8814" s="7" t="n"/>
      <c r="F8814" s="7" t="n"/>
      <c r="G8814" s="7" t="n"/>
      <c r="H8814" s="7" t="n"/>
      <c r="I8814" s="7" t="n"/>
      <c r="J8814" s="7" t="n"/>
      <c r="K8814">
        <f>IF(D8814="Legitimate Interest (GDPR Art. 6(1)(f))", "Yes / Required (Sheet 3)", "")</f>
        <v/>
      </c>
      <c r="L8814" s="7" t="n"/>
      <c r="M8814" s="7" t="n"/>
      <c r="N8814">
        <f>IF(D8814="", "Gap - No Legal Basis", IF(AND(D8814="Consent (GDPR Art. 6(1)(a))", I8814="Not Captured"), "Gap - Invalid Consent", IF(AND(D8814="Legitimate Interest (GDPR Art. 6(1)(f))", L8814=""), "Gap - Missing LIA", IF(AND(G8814="Yes", H8814=""), "Gap - Missing Art. 9 Basis", IF(OR(I8814="Invalid - Not Freely Given", I8814="Invalid - Not Specific", I8814="Invalid - Not Informed", I8814="Invalid - Ambiguous"), "Gap - Invalid Consent", "Compliant")))))</f>
        <v/>
      </c>
      <c r="O8814" s="7" t="n"/>
    </row>
    <row r="8815">
      <c r="A8815" s="7" t="n"/>
      <c r="B8815" s="7" t="n"/>
      <c r="C8815" s="7" t="n"/>
      <c r="D8815" s="7" t="n"/>
      <c r="E8815" s="7" t="n"/>
      <c r="F8815" s="7" t="n"/>
      <c r="G8815" s="7" t="n"/>
      <c r="H8815" s="7" t="n"/>
      <c r="I8815" s="7" t="n"/>
      <c r="J8815" s="7" t="n"/>
      <c r="K8815">
        <f>IF(D8815="Legitimate Interest (GDPR Art. 6(1)(f))", "Yes / Required (Sheet 3)", "")</f>
        <v/>
      </c>
      <c r="L8815" s="7" t="n"/>
      <c r="M8815" s="7" t="n"/>
      <c r="N8815">
        <f>IF(D8815="", "Gap - No Legal Basis", IF(AND(D8815="Consent (GDPR Art. 6(1)(a))", I8815="Not Captured"), "Gap - Invalid Consent", IF(AND(D8815="Legitimate Interest (GDPR Art. 6(1)(f))", L8815=""), "Gap - Missing LIA", IF(AND(G8815="Yes", H8815=""), "Gap - Missing Art. 9 Basis", IF(OR(I8815="Invalid - Not Freely Given", I8815="Invalid - Not Specific", I8815="Invalid - Not Informed", I8815="Invalid - Ambiguous"), "Gap - Invalid Consent", "Compliant")))))</f>
        <v/>
      </c>
      <c r="O8815" s="7" t="n"/>
    </row>
    <row r="8816">
      <c r="A8816" s="7" t="n"/>
      <c r="B8816" s="7" t="n"/>
      <c r="C8816" s="7" t="n"/>
      <c r="D8816" s="7" t="n"/>
      <c r="E8816" s="7" t="n"/>
      <c r="F8816" s="7" t="n"/>
      <c r="G8816" s="7" t="n"/>
      <c r="H8816" s="7" t="n"/>
      <c r="I8816" s="7" t="n"/>
      <c r="J8816" s="7" t="n"/>
      <c r="K8816">
        <f>IF(D8816="Legitimate Interest (GDPR Art. 6(1)(f))", "Yes / Required (Sheet 3)", "")</f>
        <v/>
      </c>
      <c r="L8816" s="7" t="n"/>
      <c r="M8816" s="7" t="n"/>
      <c r="N8816">
        <f>IF(D8816="", "Gap - No Legal Basis", IF(AND(D8816="Consent (GDPR Art. 6(1)(a))", I8816="Not Captured"), "Gap - Invalid Consent", IF(AND(D8816="Legitimate Interest (GDPR Art. 6(1)(f))", L8816=""), "Gap - Missing LIA", IF(AND(G8816="Yes", H8816=""), "Gap - Missing Art. 9 Basis", IF(OR(I8816="Invalid - Not Freely Given", I8816="Invalid - Not Specific", I8816="Invalid - Not Informed", I8816="Invalid - Ambiguous"), "Gap - Invalid Consent", "Compliant")))))</f>
        <v/>
      </c>
      <c r="O8816" s="7" t="n"/>
    </row>
    <row r="8817">
      <c r="A8817" s="7" t="n"/>
      <c r="B8817" s="7" t="n"/>
      <c r="C8817" s="7" t="n"/>
      <c r="D8817" s="7" t="n"/>
      <c r="E8817" s="7" t="n"/>
      <c r="F8817" s="7" t="n"/>
      <c r="G8817" s="7" t="n"/>
      <c r="H8817" s="7" t="n"/>
      <c r="I8817" s="7" t="n"/>
      <c r="J8817" s="7" t="n"/>
      <c r="K8817">
        <f>IF(D8817="Legitimate Interest (GDPR Art. 6(1)(f))", "Yes / Required (Sheet 3)", "")</f>
        <v/>
      </c>
      <c r="L8817" s="7" t="n"/>
      <c r="M8817" s="7" t="n"/>
      <c r="N8817">
        <f>IF(D8817="", "Gap - No Legal Basis", IF(AND(D8817="Consent (GDPR Art. 6(1)(a))", I8817="Not Captured"), "Gap - Invalid Consent", IF(AND(D8817="Legitimate Interest (GDPR Art. 6(1)(f))", L8817=""), "Gap - Missing LIA", IF(AND(G8817="Yes", H8817=""), "Gap - Missing Art. 9 Basis", IF(OR(I8817="Invalid - Not Freely Given", I8817="Invalid - Not Specific", I8817="Invalid - Not Informed", I8817="Invalid - Ambiguous"), "Gap - Invalid Consent", "Compliant")))))</f>
        <v/>
      </c>
      <c r="O8817" s="7" t="n"/>
    </row>
    <row r="8818">
      <c r="A8818" s="7" t="n"/>
      <c r="B8818" s="7" t="n"/>
      <c r="C8818" s="7" t="n"/>
      <c r="D8818" s="7" t="n"/>
      <c r="E8818" s="7" t="n"/>
      <c r="F8818" s="7" t="n"/>
      <c r="G8818" s="7" t="n"/>
      <c r="H8818" s="7" t="n"/>
      <c r="I8818" s="7" t="n"/>
      <c r="J8818" s="7" t="n"/>
      <c r="K8818">
        <f>IF(D8818="Legitimate Interest (GDPR Art. 6(1)(f))", "Yes / Required (Sheet 3)", "")</f>
        <v/>
      </c>
      <c r="L8818" s="7" t="n"/>
      <c r="M8818" s="7" t="n"/>
      <c r="N8818">
        <f>IF(D8818="", "Gap - No Legal Basis", IF(AND(D8818="Consent (GDPR Art. 6(1)(a))", I8818="Not Captured"), "Gap - Invalid Consent", IF(AND(D8818="Legitimate Interest (GDPR Art. 6(1)(f))", L8818=""), "Gap - Missing LIA", IF(AND(G8818="Yes", H8818=""), "Gap - Missing Art. 9 Basis", IF(OR(I8818="Invalid - Not Freely Given", I8818="Invalid - Not Specific", I8818="Invalid - Not Informed", I8818="Invalid - Ambiguous"), "Gap - Invalid Consent", "Compliant")))))</f>
        <v/>
      </c>
      <c r="O8818" s="7" t="n"/>
    </row>
    <row r="8819">
      <c r="A8819" s="7" t="n"/>
      <c r="B8819" s="7" t="n"/>
      <c r="C8819" s="7" t="n"/>
      <c r="D8819" s="7" t="n"/>
      <c r="E8819" s="7" t="n"/>
      <c r="F8819" s="7" t="n"/>
      <c r="G8819" s="7" t="n"/>
      <c r="H8819" s="7" t="n"/>
      <c r="I8819" s="7" t="n"/>
      <c r="J8819" s="7" t="n"/>
      <c r="K8819">
        <f>IF(D8819="Legitimate Interest (GDPR Art. 6(1)(f))", "Yes / Required (Sheet 3)", "")</f>
        <v/>
      </c>
      <c r="L8819" s="7" t="n"/>
      <c r="M8819" s="7" t="n"/>
      <c r="N8819">
        <f>IF(D8819="", "Gap - No Legal Basis", IF(AND(D8819="Consent (GDPR Art. 6(1)(a))", I8819="Not Captured"), "Gap - Invalid Consent", IF(AND(D8819="Legitimate Interest (GDPR Art. 6(1)(f))", L8819=""), "Gap - Missing LIA", IF(AND(G8819="Yes", H8819=""), "Gap - Missing Art. 9 Basis", IF(OR(I8819="Invalid - Not Freely Given", I8819="Invalid - Not Specific", I8819="Invalid - Not Informed", I8819="Invalid - Ambiguous"), "Gap - Invalid Consent", "Compliant")))))</f>
        <v/>
      </c>
      <c r="O8819" s="7" t="n"/>
    </row>
    <row r="8820">
      <c r="A8820" s="7" t="n"/>
      <c r="B8820" s="7" t="n"/>
      <c r="C8820" s="7" t="n"/>
      <c r="D8820" s="7" t="n"/>
      <c r="E8820" s="7" t="n"/>
      <c r="F8820" s="7" t="n"/>
      <c r="G8820" s="7" t="n"/>
      <c r="H8820" s="7" t="n"/>
      <c r="I8820" s="7" t="n"/>
      <c r="J8820" s="7" t="n"/>
      <c r="K8820">
        <f>IF(D8820="Legitimate Interest (GDPR Art. 6(1)(f))", "Yes / Required (Sheet 3)", "")</f>
        <v/>
      </c>
      <c r="L8820" s="7" t="n"/>
      <c r="M8820" s="7" t="n"/>
      <c r="N8820">
        <f>IF(D8820="", "Gap - No Legal Basis", IF(AND(D8820="Consent (GDPR Art. 6(1)(a))", I8820="Not Captured"), "Gap - Invalid Consent", IF(AND(D8820="Legitimate Interest (GDPR Art. 6(1)(f))", L8820=""), "Gap - Missing LIA", IF(AND(G8820="Yes", H8820=""), "Gap - Missing Art. 9 Basis", IF(OR(I8820="Invalid - Not Freely Given", I8820="Invalid - Not Specific", I8820="Invalid - Not Informed", I8820="Invalid - Ambiguous"), "Gap - Invalid Consent", "Compliant")))))</f>
        <v/>
      </c>
      <c r="O8820" s="7" t="n"/>
    </row>
    <row r="8821">
      <c r="A8821" s="7" t="n"/>
      <c r="B8821" s="7" t="n"/>
      <c r="C8821" s="7" t="n"/>
      <c r="D8821" s="7" t="n"/>
      <c r="E8821" s="7" t="n"/>
      <c r="F8821" s="7" t="n"/>
      <c r="G8821" s="7" t="n"/>
      <c r="H8821" s="7" t="n"/>
      <c r="I8821" s="7" t="n"/>
      <c r="J8821" s="7" t="n"/>
      <c r="K8821">
        <f>IF(D8821="Legitimate Interest (GDPR Art. 6(1)(f))", "Yes / Required (Sheet 3)", "")</f>
        <v/>
      </c>
      <c r="L8821" s="7" t="n"/>
      <c r="M8821" s="7" t="n"/>
      <c r="N8821">
        <f>IF(D8821="", "Gap - No Legal Basis", IF(AND(D8821="Consent (GDPR Art. 6(1)(a))", I8821="Not Captured"), "Gap - Invalid Consent", IF(AND(D8821="Legitimate Interest (GDPR Art. 6(1)(f))", L8821=""), "Gap - Missing LIA", IF(AND(G8821="Yes", H8821=""), "Gap - Missing Art. 9 Basis", IF(OR(I8821="Invalid - Not Freely Given", I8821="Invalid - Not Specific", I8821="Invalid - Not Informed", I8821="Invalid - Ambiguous"), "Gap - Invalid Consent", "Compliant")))))</f>
        <v/>
      </c>
      <c r="O8821" s="7" t="n"/>
    </row>
    <row r="8822">
      <c r="A8822" s="7" t="n"/>
      <c r="B8822" s="7" t="n"/>
      <c r="C8822" s="7" t="n"/>
      <c r="D8822" s="7" t="n"/>
      <c r="E8822" s="7" t="n"/>
      <c r="F8822" s="7" t="n"/>
      <c r="G8822" s="7" t="n"/>
      <c r="H8822" s="7" t="n"/>
      <c r="I8822" s="7" t="n"/>
      <c r="J8822" s="7" t="n"/>
      <c r="K8822">
        <f>IF(D8822="Legitimate Interest (GDPR Art. 6(1)(f))", "Yes / Required (Sheet 3)", "")</f>
        <v/>
      </c>
      <c r="L8822" s="7" t="n"/>
      <c r="M8822" s="7" t="n"/>
      <c r="N8822">
        <f>IF(D8822="", "Gap - No Legal Basis", IF(AND(D8822="Consent (GDPR Art. 6(1)(a))", I8822="Not Captured"), "Gap - Invalid Consent", IF(AND(D8822="Legitimate Interest (GDPR Art. 6(1)(f))", L8822=""), "Gap - Missing LIA", IF(AND(G8822="Yes", H8822=""), "Gap - Missing Art. 9 Basis", IF(OR(I8822="Invalid - Not Freely Given", I8822="Invalid - Not Specific", I8822="Invalid - Not Informed", I8822="Invalid - Ambiguous"), "Gap - Invalid Consent", "Compliant")))))</f>
        <v/>
      </c>
      <c r="O8822" s="7" t="n"/>
    </row>
    <row r="8823">
      <c r="A8823" s="7" t="n"/>
      <c r="B8823" s="7" t="n"/>
      <c r="C8823" s="7" t="n"/>
      <c r="D8823" s="7" t="n"/>
      <c r="E8823" s="7" t="n"/>
      <c r="F8823" s="7" t="n"/>
      <c r="G8823" s="7" t="n"/>
      <c r="H8823" s="7" t="n"/>
      <c r="I8823" s="7" t="n"/>
      <c r="J8823" s="7" t="n"/>
      <c r="K8823">
        <f>IF(D8823="Legitimate Interest (GDPR Art. 6(1)(f))", "Yes / Required (Sheet 3)", "")</f>
        <v/>
      </c>
      <c r="L8823" s="7" t="n"/>
      <c r="M8823" s="7" t="n"/>
      <c r="N8823">
        <f>IF(D8823="", "Gap - No Legal Basis", IF(AND(D8823="Consent (GDPR Art. 6(1)(a))", I8823="Not Captured"), "Gap - Invalid Consent", IF(AND(D8823="Legitimate Interest (GDPR Art. 6(1)(f))", L8823=""), "Gap - Missing LIA", IF(AND(G8823="Yes", H8823=""), "Gap - Missing Art. 9 Basis", IF(OR(I8823="Invalid - Not Freely Given", I8823="Invalid - Not Specific", I8823="Invalid - Not Informed", I8823="Invalid - Ambiguous"), "Gap - Invalid Consent", "Compliant")))))</f>
        <v/>
      </c>
      <c r="O8823" s="7" t="n"/>
    </row>
    <row r="8824">
      <c r="A8824" s="7" t="n"/>
      <c r="B8824" s="7" t="n"/>
      <c r="C8824" s="7" t="n"/>
      <c r="D8824" s="7" t="n"/>
      <c r="E8824" s="7" t="n"/>
      <c r="F8824" s="7" t="n"/>
      <c r="G8824" s="7" t="n"/>
      <c r="H8824" s="7" t="n"/>
      <c r="I8824" s="7" t="n"/>
      <c r="J8824" s="7" t="n"/>
      <c r="K8824">
        <f>IF(D8824="Legitimate Interest (GDPR Art. 6(1)(f))", "Yes / Required (Sheet 3)", "")</f>
        <v/>
      </c>
      <c r="L8824" s="7" t="n"/>
      <c r="M8824" s="7" t="n"/>
      <c r="N8824">
        <f>IF(D8824="", "Gap - No Legal Basis", IF(AND(D8824="Consent (GDPR Art. 6(1)(a))", I8824="Not Captured"), "Gap - Invalid Consent", IF(AND(D8824="Legitimate Interest (GDPR Art. 6(1)(f))", L8824=""), "Gap - Missing LIA", IF(AND(G8824="Yes", H8824=""), "Gap - Missing Art. 9 Basis", IF(OR(I8824="Invalid - Not Freely Given", I8824="Invalid - Not Specific", I8824="Invalid - Not Informed", I8824="Invalid - Ambiguous"), "Gap - Invalid Consent", "Compliant")))))</f>
        <v/>
      </c>
      <c r="O8824" s="7" t="n"/>
    </row>
    <row r="8825">
      <c r="A8825" s="7" t="n"/>
      <c r="B8825" s="7" t="n"/>
      <c r="C8825" s="7" t="n"/>
      <c r="D8825" s="7" t="n"/>
      <c r="E8825" s="7" t="n"/>
      <c r="F8825" s="7" t="n"/>
      <c r="G8825" s="7" t="n"/>
      <c r="H8825" s="7" t="n"/>
      <c r="I8825" s="7" t="n"/>
      <c r="J8825" s="7" t="n"/>
      <c r="K8825">
        <f>IF(D8825="Legitimate Interest (GDPR Art. 6(1)(f))", "Yes / Required (Sheet 3)", "")</f>
        <v/>
      </c>
      <c r="L8825" s="7" t="n"/>
      <c r="M8825" s="7" t="n"/>
      <c r="N8825">
        <f>IF(D8825="", "Gap - No Legal Basis", IF(AND(D8825="Consent (GDPR Art. 6(1)(a))", I8825="Not Captured"), "Gap - Invalid Consent", IF(AND(D8825="Legitimate Interest (GDPR Art. 6(1)(f))", L8825=""), "Gap - Missing LIA", IF(AND(G8825="Yes", H8825=""), "Gap - Missing Art. 9 Basis", IF(OR(I8825="Invalid - Not Freely Given", I8825="Invalid - Not Specific", I8825="Invalid - Not Informed", I8825="Invalid - Ambiguous"), "Gap - Invalid Consent", "Compliant")))))</f>
        <v/>
      </c>
      <c r="O8825" s="7" t="n"/>
    </row>
    <row r="8826">
      <c r="A8826" s="7" t="n"/>
      <c r="B8826" s="7" t="n"/>
      <c r="C8826" s="7" t="n"/>
      <c r="D8826" s="7" t="n"/>
      <c r="E8826" s="7" t="n"/>
      <c r="F8826" s="7" t="n"/>
      <c r="G8826" s="7" t="n"/>
      <c r="H8826" s="7" t="n"/>
      <c r="I8826" s="7" t="n"/>
      <c r="J8826" s="7" t="n"/>
      <c r="K8826">
        <f>IF(D8826="Legitimate Interest (GDPR Art. 6(1)(f))", "Yes / Required (Sheet 3)", "")</f>
        <v/>
      </c>
      <c r="L8826" s="7" t="n"/>
      <c r="M8826" s="7" t="n"/>
      <c r="N8826">
        <f>IF(D8826="", "Gap - No Legal Basis", IF(AND(D8826="Consent (GDPR Art. 6(1)(a))", I8826="Not Captured"), "Gap - Invalid Consent", IF(AND(D8826="Legitimate Interest (GDPR Art. 6(1)(f))", L8826=""), "Gap - Missing LIA", IF(AND(G8826="Yes", H8826=""), "Gap - Missing Art. 9 Basis", IF(OR(I8826="Invalid - Not Freely Given", I8826="Invalid - Not Specific", I8826="Invalid - Not Informed", I8826="Invalid - Ambiguous"), "Gap - Invalid Consent", "Compliant")))))</f>
        <v/>
      </c>
      <c r="O8826" s="7" t="n"/>
    </row>
    <row r="8827">
      <c r="A8827" s="7" t="n"/>
      <c r="B8827" s="7" t="n"/>
      <c r="C8827" s="7" t="n"/>
      <c r="D8827" s="7" t="n"/>
      <c r="E8827" s="7" t="n"/>
      <c r="F8827" s="7" t="n"/>
      <c r="G8827" s="7" t="n"/>
      <c r="H8827" s="7" t="n"/>
      <c r="I8827" s="7" t="n"/>
      <c r="J8827" s="7" t="n"/>
      <c r="K8827">
        <f>IF(D8827="Legitimate Interest (GDPR Art. 6(1)(f))", "Yes / Required (Sheet 3)", "")</f>
        <v/>
      </c>
      <c r="L8827" s="7" t="n"/>
      <c r="M8827" s="7" t="n"/>
      <c r="N8827">
        <f>IF(D8827="", "Gap - No Legal Basis", IF(AND(D8827="Consent (GDPR Art. 6(1)(a))", I8827="Not Captured"), "Gap - Invalid Consent", IF(AND(D8827="Legitimate Interest (GDPR Art. 6(1)(f))", L8827=""), "Gap - Missing LIA", IF(AND(G8827="Yes", H8827=""), "Gap - Missing Art. 9 Basis", IF(OR(I8827="Invalid - Not Freely Given", I8827="Invalid - Not Specific", I8827="Invalid - Not Informed", I8827="Invalid - Ambiguous"), "Gap - Invalid Consent", "Compliant")))))</f>
        <v/>
      </c>
      <c r="O8827" s="7" t="n"/>
    </row>
    <row r="8828">
      <c r="A8828" s="7" t="n"/>
      <c r="B8828" s="7" t="n"/>
      <c r="C8828" s="7" t="n"/>
      <c r="D8828" s="7" t="n"/>
      <c r="E8828" s="7" t="n"/>
      <c r="F8828" s="7" t="n"/>
      <c r="G8828" s="7" t="n"/>
      <c r="H8828" s="7" t="n"/>
      <c r="I8828" s="7" t="n"/>
      <c r="J8828" s="7" t="n"/>
      <c r="K8828">
        <f>IF(D8828="Legitimate Interest (GDPR Art. 6(1)(f))", "Yes / Required (Sheet 3)", "")</f>
        <v/>
      </c>
      <c r="L8828" s="7" t="n"/>
      <c r="M8828" s="7" t="n"/>
      <c r="N8828">
        <f>IF(D8828="", "Gap - No Legal Basis", IF(AND(D8828="Consent (GDPR Art. 6(1)(a))", I8828="Not Captured"), "Gap - Invalid Consent", IF(AND(D8828="Legitimate Interest (GDPR Art. 6(1)(f))", L8828=""), "Gap - Missing LIA", IF(AND(G8828="Yes", H8828=""), "Gap - Missing Art. 9 Basis", IF(OR(I8828="Invalid - Not Freely Given", I8828="Invalid - Not Specific", I8828="Invalid - Not Informed", I8828="Invalid - Ambiguous"), "Gap - Invalid Consent", "Compliant")))))</f>
        <v/>
      </c>
      <c r="O8828" s="7" t="n"/>
    </row>
    <row r="8829">
      <c r="A8829" s="7" t="n"/>
      <c r="B8829" s="7" t="n"/>
      <c r="C8829" s="7" t="n"/>
      <c r="D8829" s="7" t="n"/>
      <c r="E8829" s="7" t="n"/>
      <c r="F8829" s="7" t="n"/>
      <c r="G8829" s="7" t="n"/>
      <c r="H8829" s="7" t="n"/>
      <c r="I8829" s="7" t="n"/>
      <c r="J8829" s="7" t="n"/>
      <c r="K8829">
        <f>IF(D8829="Legitimate Interest (GDPR Art. 6(1)(f))", "Yes / Required (Sheet 3)", "")</f>
        <v/>
      </c>
      <c r="L8829" s="7" t="n"/>
      <c r="M8829" s="7" t="n"/>
      <c r="N8829">
        <f>IF(D8829="", "Gap - No Legal Basis", IF(AND(D8829="Consent (GDPR Art. 6(1)(a))", I8829="Not Captured"), "Gap - Invalid Consent", IF(AND(D8829="Legitimate Interest (GDPR Art. 6(1)(f))", L8829=""), "Gap - Missing LIA", IF(AND(G8829="Yes", H8829=""), "Gap - Missing Art. 9 Basis", IF(OR(I8829="Invalid - Not Freely Given", I8829="Invalid - Not Specific", I8829="Invalid - Not Informed", I8829="Invalid - Ambiguous"), "Gap - Invalid Consent", "Compliant")))))</f>
        <v/>
      </c>
      <c r="O8829" s="7" t="n"/>
    </row>
    <row r="8830">
      <c r="A8830" s="7" t="n"/>
      <c r="B8830" s="7" t="n"/>
      <c r="C8830" s="7" t="n"/>
      <c r="D8830" s="7" t="n"/>
      <c r="E8830" s="7" t="n"/>
      <c r="F8830" s="7" t="n"/>
      <c r="G8830" s="7" t="n"/>
      <c r="H8830" s="7" t="n"/>
      <c r="I8830" s="7" t="n"/>
      <c r="J8830" s="7" t="n"/>
      <c r="K8830">
        <f>IF(D8830="Legitimate Interest (GDPR Art. 6(1)(f))", "Yes / Required (Sheet 3)", "")</f>
        <v/>
      </c>
      <c r="L8830" s="7" t="n"/>
      <c r="M8830" s="7" t="n"/>
      <c r="N8830">
        <f>IF(D8830="", "Gap - No Legal Basis", IF(AND(D8830="Consent (GDPR Art. 6(1)(a))", I8830="Not Captured"), "Gap - Invalid Consent", IF(AND(D8830="Legitimate Interest (GDPR Art. 6(1)(f))", L8830=""), "Gap - Missing LIA", IF(AND(G8830="Yes", H8830=""), "Gap - Missing Art. 9 Basis", IF(OR(I8830="Invalid - Not Freely Given", I8830="Invalid - Not Specific", I8830="Invalid - Not Informed", I8830="Invalid - Ambiguous"), "Gap - Invalid Consent", "Compliant")))))</f>
        <v/>
      </c>
      <c r="O8830" s="7" t="n"/>
    </row>
    <row r="8831">
      <c r="A8831" s="7" t="n"/>
      <c r="B8831" s="7" t="n"/>
      <c r="C8831" s="7" t="n"/>
      <c r="D8831" s="7" t="n"/>
      <c r="E8831" s="7" t="n"/>
      <c r="F8831" s="7" t="n"/>
      <c r="G8831" s="7" t="n"/>
      <c r="H8831" s="7" t="n"/>
      <c r="I8831" s="7" t="n"/>
      <c r="J8831" s="7" t="n"/>
      <c r="K8831">
        <f>IF(D8831="Legitimate Interest (GDPR Art. 6(1)(f))", "Yes / Required (Sheet 3)", "")</f>
        <v/>
      </c>
      <c r="L8831" s="7" t="n"/>
      <c r="M8831" s="7" t="n"/>
      <c r="N8831">
        <f>IF(D8831="", "Gap - No Legal Basis", IF(AND(D8831="Consent (GDPR Art. 6(1)(a))", I8831="Not Captured"), "Gap - Invalid Consent", IF(AND(D8831="Legitimate Interest (GDPR Art. 6(1)(f))", L8831=""), "Gap - Missing LIA", IF(AND(G8831="Yes", H8831=""), "Gap - Missing Art. 9 Basis", IF(OR(I8831="Invalid - Not Freely Given", I8831="Invalid - Not Specific", I8831="Invalid - Not Informed", I8831="Invalid - Ambiguous"), "Gap - Invalid Consent", "Compliant")))))</f>
        <v/>
      </c>
      <c r="O8831" s="7" t="n"/>
    </row>
    <row r="8832">
      <c r="A8832" s="7" t="n"/>
      <c r="B8832" s="7" t="n"/>
      <c r="C8832" s="7" t="n"/>
      <c r="D8832" s="7" t="n"/>
      <c r="E8832" s="7" t="n"/>
      <c r="F8832" s="7" t="n"/>
      <c r="G8832" s="7" t="n"/>
      <c r="H8832" s="7" t="n"/>
      <c r="I8832" s="7" t="n"/>
      <c r="J8832" s="7" t="n"/>
      <c r="K8832">
        <f>IF(D8832="Legitimate Interest (GDPR Art. 6(1)(f))", "Yes / Required (Sheet 3)", "")</f>
        <v/>
      </c>
      <c r="L8832" s="7" t="n"/>
      <c r="M8832" s="7" t="n"/>
      <c r="N8832">
        <f>IF(D8832="", "Gap - No Legal Basis", IF(AND(D8832="Consent (GDPR Art. 6(1)(a))", I8832="Not Captured"), "Gap - Invalid Consent", IF(AND(D8832="Legitimate Interest (GDPR Art. 6(1)(f))", L8832=""), "Gap - Missing LIA", IF(AND(G8832="Yes", H8832=""), "Gap - Missing Art. 9 Basis", IF(OR(I8832="Invalid - Not Freely Given", I8832="Invalid - Not Specific", I8832="Invalid - Not Informed", I8832="Invalid - Ambiguous"), "Gap - Invalid Consent", "Compliant")))))</f>
        <v/>
      </c>
      <c r="O8832" s="7" t="n"/>
    </row>
    <row r="8833">
      <c r="A8833" s="7" t="n"/>
      <c r="B8833" s="7" t="n"/>
      <c r="C8833" s="7" t="n"/>
      <c r="D8833" s="7" t="n"/>
      <c r="E8833" s="7" t="n"/>
      <c r="F8833" s="7" t="n"/>
      <c r="G8833" s="7" t="n"/>
      <c r="H8833" s="7" t="n"/>
      <c r="I8833" s="7" t="n"/>
      <c r="J8833" s="7" t="n"/>
      <c r="K8833">
        <f>IF(D8833="Legitimate Interest (GDPR Art. 6(1)(f))", "Yes / Required (Sheet 3)", "")</f>
        <v/>
      </c>
      <c r="L8833" s="7" t="n"/>
      <c r="M8833" s="7" t="n"/>
      <c r="N8833">
        <f>IF(D8833="", "Gap - No Legal Basis", IF(AND(D8833="Consent (GDPR Art. 6(1)(a))", I8833="Not Captured"), "Gap - Invalid Consent", IF(AND(D8833="Legitimate Interest (GDPR Art. 6(1)(f))", L8833=""), "Gap - Missing LIA", IF(AND(G8833="Yes", H8833=""), "Gap - Missing Art. 9 Basis", IF(OR(I8833="Invalid - Not Freely Given", I8833="Invalid - Not Specific", I8833="Invalid - Not Informed", I8833="Invalid - Ambiguous"), "Gap - Invalid Consent", "Compliant")))))</f>
        <v/>
      </c>
      <c r="O8833" s="7" t="n"/>
    </row>
    <row r="8834">
      <c r="A8834" s="7" t="n"/>
      <c r="B8834" s="7" t="n"/>
      <c r="C8834" s="7" t="n"/>
      <c r="D8834" s="7" t="n"/>
      <c r="E8834" s="7" t="n"/>
      <c r="F8834" s="7" t="n"/>
      <c r="G8834" s="7" t="n"/>
      <c r="H8834" s="7" t="n"/>
      <c r="I8834" s="7" t="n"/>
      <c r="J8834" s="7" t="n"/>
      <c r="K8834">
        <f>IF(D8834="Legitimate Interest (GDPR Art. 6(1)(f))", "Yes / Required (Sheet 3)", "")</f>
        <v/>
      </c>
      <c r="L8834" s="7" t="n"/>
      <c r="M8834" s="7" t="n"/>
      <c r="N8834">
        <f>IF(D8834="", "Gap - No Legal Basis", IF(AND(D8834="Consent (GDPR Art. 6(1)(a))", I8834="Not Captured"), "Gap - Invalid Consent", IF(AND(D8834="Legitimate Interest (GDPR Art. 6(1)(f))", L8834=""), "Gap - Missing LIA", IF(AND(G8834="Yes", H8834=""), "Gap - Missing Art. 9 Basis", IF(OR(I8834="Invalid - Not Freely Given", I8834="Invalid - Not Specific", I8834="Invalid - Not Informed", I8834="Invalid - Ambiguous"), "Gap - Invalid Consent", "Compliant")))))</f>
        <v/>
      </c>
      <c r="O8834" s="7" t="n"/>
    </row>
    <row r="8835">
      <c r="A8835" s="7" t="n"/>
      <c r="B8835" s="7" t="n"/>
      <c r="C8835" s="7" t="n"/>
      <c r="D8835" s="7" t="n"/>
      <c r="E8835" s="7" t="n"/>
      <c r="F8835" s="7" t="n"/>
      <c r="G8835" s="7" t="n"/>
      <c r="H8835" s="7" t="n"/>
      <c r="I8835" s="7" t="n"/>
      <c r="J8835" s="7" t="n"/>
      <c r="K8835">
        <f>IF(D8835="Legitimate Interest (GDPR Art. 6(1)(f))", "Yes / Required (Sheet 3)", "")</f>
        <v/>
      </c>
      <c r="L8835" s="7" t="n"/>
      <c r="M8835" s="7" t="n"/>
      <c r="N8835">
        <f>IF(D8835="", "Gap - No Legal Basis", IF(AND(D8835="Consent (GDPR Art. 6(1)(a))", I8835="Not Captured"), "Gap - Invalid Consent", IF(AND(D8835="Legitimate Interest (GDPR Art. 6(1)(f))", L8835=""), "Gap - Missing LIA", IF(AND(G8835="Yes", H8835=""), "Gap - Missing Art. 9 Basis", IF(OR(I8835="Invalid - Not Freely Given", I8835="Invalid - Not Specific", I8835="Invalid - Not Informed", I8835="Invalid - Ambiguous"), "Gap - Invalid Consent", "Compliant")))))</f>
        <v/>
      </c>
      <c r="O8835" s="7" t="n"/>
    </row>
    <row r="8836">
      <c r="A8836" s="7" t="n"/>
      <c r="B8836" s="7" t="n"/>
      <c r="C8836" s="7" t="n"/>
      <c r="D8836" s="7" t="n"/>
      <c r="E8836" s="7" t="n"/>
      <c r="F8836" s="7" t="n"/>
      <c r="G8836" s="7" t="n"/>
      <c r="H8836" s="7" t="n"/>
      <c r="I8836" s="7" t="n"/>
      <c r="J8836" s="7" t="n"/>
      <c r="K8836">
        <f>IF(D8836="Legitimate Interest (GDPR Art. 6(1)(f))", "Yes / Required (Sheet 3)", "")</f>
        <v/>
      </c>
      <c r="L8836" s="7" t="n"/>
      <c r="M8836" s="7" t="n"/>
      <c r="N8836">
        <f>IF(D8836="", "Gap - No Legal Basis", IF(AND(D8836="Consent (GDPR Art. 6(1)(a))", I8836="Not Captured"), "Gap - Invalid Consent", IF(AND(D8836="Legitimate Interest (GDPR Art. 6(1)(f))", L8836=""), "Gap - Missing LIA", IF(AND(G8836="Yes", H8836=""), "Gap - Missing Art. 9 Basis", IF(OR(I8836="Invalid - Not Freely Given", I8836="Invalid - Not Specific", I8836="Invalid - Not Informed", I8836="Invalid - Ambiguous"), "Gap - Invalid Consent", "Compliant")))))</f>
        <v/>
      </c>
      <c r="O8836" s="7" t="n"/>
    </row>
    <row r="8837">
      <c r="A8837" s="7" t="n"/>
      <c r="B8837" s="7" t="n"/>
      <c r="C8837" s="7" t="n"/>
      <c r="D8837" s="7" t="n"/>
      <c r="E8837" s="7" t="n"/>
      <c r="F8837" s="7" t="n"/>
      <c r="G8837" s="7" t="n"/>
      <c r="H8837" s="7" t="n"/>
      <c r="I8837" s="7" t="n"/>
      <c r="J8837" s="7" t="n"/>
      <c r="K8837">
        <f>IF(D8837="Legitimate Interest (GDPR Art. 6(1)(f))", "Yes / Required (Sheet 3)", "")</f>
        <v/>
      </c>
      <c r="L8837" s="7" t="n"/>
      <c r="M8837" s="7" t="n"/>
      <c r="N8837">
        <f>IF(D8837="", "Gap - No Legal Basis", IF(AND(D8837="Consent (GDPR Art. 6(1)(a))", I8837="Not Captured"), "Gap - Invalid Consent", IF(AND(D8837="Legitimate Interest (GDPR Art. 6(1)(f))", L8837=""), "Gap - Missing LIA", IF(AND(G8837="Yes", H8837=""), "Gap - Missing Art. 9 Basis", IF(OR(I8837="Invalid - Not Freely Given", I8837="Invalid - Not Specific", I8837="Invalid - Not Informed", I8837="Invalid - Ambiguous"), "Gap - Invalid Consent", "Compliant")))))</f>
        <v/>
      </c>
      <c r="O8837" s="7" t="n"/>
    </row>
    <row r="8838">
      <c r="A8838" s="7" t="n"/>
      <c r="B8838" s="7" t="n"/>
      <c r="C8838" s="7" t="n"/>
      <c r="D8838" s="7" t="n"/>
      <c r="E8838" s="7" t="n"/>
      <c r="F8838" s="7" t="n"/>
      <c r="G8838" s="7" t="n"/>
      <c r="H8838" s="7" t="n"/>
      <c r="I8838" s="7" t="n"/>
      <c r="J8838" s="7" t="n"/>
      <c r="K8838">
        <f>IF(D8838="Legitimate Interest (GDPR Art. 6(1)(f))", "Yes / Required (Sheet 3)", "")</f>
        <v/>
      </c>
      <c r="L8838" s="7" t="n"/>
      <c r="M8838" s="7" t="n"/>
      <c r="N8838">
        <f>IF(D8838="", "Gap - No Legal Basis", IF(AND(D8838="Consent (GDPR Art. 6(1)(a))", I8838="Not Captured"), "Gap - Invalid Consent", IF(AND(D8838="Legitimate Interest (GDPR Art. 6(1)(f))", L8838=""), "Gap - Missing LIA", IF(AND(G8838="Yes", H8838=""), "Gap - Missing Art. 9 Basis", IF(OR(I8838="Invalid - Not Freely Given", I8838="Invalid - Not Specific", I8838="Invalid - Not Informed", I8838="Invalid - Ambiguous"), "Gap - Invalid Consent", "Compliant")))))</f>
        <v/>
      </c>
      <c r="O8838" s="7" t="n"/>
    </row>
    <row r="8839">
      <c r="A8839" s="7" t="n"/>
      <c r="B8839" s="7" t="n"/>
      <c r="C8839" s="7" t="n"/>
      <c r="D8839" s="7" t="n"/>
      <c r="E8839" s="7" t="n"/>
      <c r="F8839" s="7" t="n"/>
      <c r="G8839" s="7" t="n"/>
      <c r="H8839" s="7" t="n"/>
      <c r="I8839" s="7" t="n"/>
      <c r="J8839" s="7" t="n"/>
      <c r="K8839">
        <f>IF(D8839="Legitimate Interest (GDPR Art. 6(1)(f))", "Yes / Required (Sheet 3)", "")</f>
        <v/>
      </c>
      <c r="L8839" s="7" t="n"/>
      <c r="M8839" s="7" t="n"/>
      <c r="N8839">
        <f>IF(D8839="", "Gap - No Legal Basis", IF(AND(D8839="Consent (GDPR Art. 6(1)(a))", I8839="Not Captured"), "Gap - Invalid Consent", IF(AND(D8839="Legitimate Interest (GDPR Art. 6(1)(f))", L8839=""), "Gap - Missing LIA", IF(AND(G8839="Yes", H8839=""), "Gap - Missing Art. 9 Basis", IF(OR(I8839="Invalid - Not Freely Given", I8839="Invalid - Not Specific", I8839="Invalid - Not Informed", I8839="Invalid - Ambiguous"), "Gap - Invalid Consent", "Compliant")))))</f>
        <v/>
      </c>
      <c r="O8839" s="7" t="n"/>
    </row>
    <row r="8840">
      <c r="A8840" s="7" t="n"/>
      <c r="B8840" s="7" t="n"/>
      <c r="C8840" s="7" t="n"/>
      <c r="D8840" s="7" t="n"/>
      <c r="E8840" s="7" t="n"/>
      <c r="F8840" s="7" t="n"/>
      <c r="G8840" s="7" t="n"/>
      <c r="H8840" s="7" t="n"/>
      <c r="I8840" s="7" t="n"/>
      <c r="J8840" s="7" t="n"/>
      <c r="K8840">
        <f>IF(D8840="Legitimate Interest (GDPR Art. 6(1)(f))", "Yes / Required (Sheet 3)", "")</f>
        <v/>
      </c>
      <c r="L8840" s="7" t="n"/>
      <c r="M8840" s="7" t="n"/>
      <c r="N8840">
        <f>IF(D8840="", "Gap - No Legal Basis", IF(AND(D8840="Consent (GDPR Art. 6(1)(a))", I8840="Not Captured"), "Gap - Invalid Consent", IF(AND(D8840="Legitimate Interest (GDPR Art. 6(1)(f))", L8840=""), "Gap - Missing LIA", IF(AND(G8840="Yes", H8840=""), "Gap - Missing Art. 9 Basis", IF(OR(I8840="Invalid - Not Freely Given", I8840="Invalid - Not Specific", I8840="Invalid - Not Informed", I8840="Invalid - Ambiguous"), "Gap - Invalid Consent", "Compliant")))))</f>
        <v/>
      </c>
      <c r="O8840" s="7" t="n"/>
    </row>
    <row r="8841">
      <c r="A8841" s="7" t="n"/>
      <c r="B8841" s="7" t="n"/>
      <c r="C8841" s="7" t="n"/>
      <c r="D8841" s="7" t="n"/>
      <c r="E8841" s="7" t="n"/>
      <c r="F8841" s="7" t="n"/>
      <c r="G8841" s="7" t="n"/>
      <c r="H8841" s="7" t="n"/>
      <c r="I8841" s="7" t="n"/>
      <c r="J8841" s="7" t="n"/>
      <c r="K8841">
        <f>IF(D8841="Legitimate Interest (GDPR Art. 6(1)(f))", "Yes / Required (Sheet 3)", "")</f>
        <v/>
      </c>
      <c r="L8841" s="7" t="n"/>
      <c r="M8841" s="7" t="n"/>
      <c r="N8841">
        <f>IF(D8841="", "Gap - No Legal Basis", IF(AND(D8841="Consent (GDPR Art. 6(1)(a))", I8841="Not Captured"), "Gap - Invalid Consent", IF(AND(D8841="Legitimate Interest (GDPR Art. 6(1)(f))", L8841=""), "Gap - Missing LIA", IF(AND(G8841="Yes", H8841=""), "Gap - Missing Art. 9 Basis", IF(OR(I8841="Invalid - Not Freely Given", I8841="Invalid - Not Specific", I8841="Invalid - Not Informed", I8841="Invalid - Ambiguous"), "Gap - Invalid Consent", "Compliant")))))</f>
        <v/>
      </c>
      <c r="O8841" s="7" t="n"/>
    </row>
    <row r="8842">
      <c r="A8842" s="7" t="n"/>
      <c r="B8842" s="7" t="n"/>
      <c r="C8842" s="7" t="n"/>
      <c r="D8842" s="7" t="n"/>
      <c r="E8842" s="7" t="n"/>
      <c r="F8842" s="7" t="n"/>
      <c r="G8842" s="7" t="n"/>
      <c r="H8842" s="7" t="n"/>
      <c r="I8842" s="7" t="n"/>
      <c r="J8842" s="7" t="n"/>
      <c r="K8842">
        <f>IF(D8842="Legitimate Interest (GDPR Art. 6(1)(f))", "Yes / Required (Sheet 3)", "")</f>
        <v/>
      </c>
      <c r="L8842" s="7" t="n"/>
      <c r="M8842" s="7" t="n"/>
      <c r="N8842">
        <f>IF(D8842="", "Gap - No Legal Basis", IF(AND(D8842="Consent (GDPR Art. 6(1)(a))", I8842="Not Captured"), "Gap - Invalid Consent", IF(AND(D8842="Legitimate Interest (GDPR Art. 6(1)(f))", L8842=""), "Gap - Missing LIA", IF(AND(G8842="Yes", H8842=""), "Gap - Missing Art. 9 Basis", IF(OR(I8842="Invalid - Not Freely Given", I8842="Invalid - Not Specific", I8842="Invalid - Not Informed", I8842="Invalid - Ambiguous"), "Gap - Invalid Consent", "Compliant")))))</f>
        <v/>
      </c>
      <c r="O8842" s="7" t="n"/>
    </row>
    <row r="8843">
      <c r="A8843" s="7" t="n"/>
      <c r="B8843" s="7" t="n"/>
      <c r="C8843" s="7" t="n"/>
      <c r="D8843" s="7" t="n"/>
      <c r="E8843" s="7" t="n"/>
      <c r="F8843" s="7" t="n"/>
      <c r="G8843" s="7" t="n"/>
      <c r="H8843" s="7" t="n"/>
      <c r="I8843" s="7" t="n"/>
      <c r="J8843" s="7" t="n"/>
      <c r="K8843">
        <f>IF(D8843="Legitimate Interest (GDPR Art. 6(1)(f))", "Yes / Required (Sheet 3)", "")</f>
        <v/>
      </c>
      <c r="L8843" s="7" t="n"/>
      <c r="M8843" s="7" t="n"/>
      <c r="N8843">
        <f>IF(D8843="", "Gap - No Legal Basis", IF(AND(D8843="Consent (GDPR Art. 6(1)(a))", I8843="Not Captured"), "Gap - Invalid Consent", IF(AND(D8843="Legitimate Interest (GDPR Art. 6(1)(f))", L8843=""), "Gap - Missing LIA", IF(AND(G8843="Yes", H8843=""), "Gap - Missing Art. 9 Basis", IF(OR(I8843="Invalid - Not Freely Given", I8843="Invalid - Not Specific", I8843="Invalid - Not Informed", I8843="Invalid - Ambiguous"), "Gap - Invalid Consent", "Compliant")))))</f>
        <v/>
      </c>
      <c r="O8843" s="7" t="n"/>
    </row>
    <row r="8844">
      <c r="A8844" s="7" t="n"/>
      <c r="B8844" s="7" t="n"/>
      <c r="C8844" s="7" t="n"/>
      <c r="D8844" s="7" t="n"/>
      <c r="E8844" s="7" t="n"/>
      <c r="F8844" s="7" t="n"/>
      <c r="G8844" s="7" t="n"/>
      <c r="H8844" s="7" t="n"/>
      <c r="I8844" s="7" t="n"/>
      <c r="J8844" s="7" t="n"/>
      <c r="K8844">
        <f>IF(D8844="Legitimate Interest (GDPR Art. 6(1)(f))", "Yes / Required (Sheet 3)", "")</f>
        <v/>
      </c>
      <c r="L8844" s="7" t="n"/>
      <c r="M8844" s="7" t="n"/>
      <c r="N8844">
        <f>IF(D8844="", "Gap - No Legal Basis", IF(AND(D8844="Consent (GDPR Art. 6(1)(a))", I8844="Not Captured"), "Gap - Invalid Consent", IF(AND(D8844="Legitimate Interest (GDPR Art. 6(1)(f))", L8844=""), "Gap - Missing LIA", IF(AND(G8844="Yes", H8844=""), "Gap - Missing Art. 9 Basis", IF(OR(I8844="Invalid - Not Freely Given", I8844="Invalid - Not Specific", I8844="Invalid - Not Informed", I8844="Invalid - Ambiguous"), "Gap - Invalid Consent", "Compliant")))))</f>
        <v/>
      </c>
      <c r="O8844" s="7" t="n"/>
    </row>
    <row r="8845">
      <c r="A8845" s="7" t="n"/>
      <c r="B8845" s="7" t="n"/>
      <c r="C8845" s="7" t="n"/>
      <c r="D8845" s="7" t="n"/>
      <c r="E8845" s="7" t="n"/>
      <c r="F8845" s="7" t="n"/>
      <c r="G8845" s="7" t="n"/>
      <c r="H8845" s="7" t="n"/>
      <c r="I8845" s="7" t="n"/>
      <c r="J8845" s="7" t="n"/>
      <c r="K8845">
        <f>IF(D8845="Legitimate Interest (GDPR Art. 6(1)(f))", "Yes / Required (Sheet 3)", "")</f>
        <v/>
      </c>
      <c r="L8845" s="7" t="n"/>
      <c r="M8845" s="7" t="n"/>
      <c r="N8845">
        <f>IF(D8845="", "Gap - No Legal Basis", IF(AND(D8845="Consent (GDPR Art. 6(1)(a))", I8845="Not Captured"), "Gap - Invalid Consent", IF(AND(D8845="Legitimate Interest (GDPR Art. 6(1)(f))", L8845=""), "Gap - Missing LIA", IF(AND(G8845="Yes", H8845=""), "Gap - Missing Art. 9 Basis", IF(OR(I8845="Invalid - Not Freely Given", I8845="Invalid - Not Specific", I8845="Invalid - Not Informed", I8845="Invalid - Ambiguous"), "Gap - Invalid Consent", "Compliant")))))</f>
        <v/>
      </c>
      <c r="O8845" s="7" t="n"/>
    </row>
    <row r="8846">
      <c r="A8846" s="7" t="n"/>
      <c r="B8846" s="7" t="n"/>
      <c r="C8846" s="7" t="n"/>
      <c r="D8846" s="7" t="n"/>
      <c r="E8846" s="7" t="n"/>
      <c r="F8846" s="7" t="n"/>
      <c r="G8846" s="7" t="n"/>
      <c r="H8846" s="7" t="n"/>
      <c r="I8846" s="7" t="n"/>
      <c r="J8846" s="7" t="n"/>
      <c r="K8846">
        <f>IF(D8846="Legitimate Interest (GDPR Art. 6(1)(f))", "Yes / Required (Sheet 3)", "")</f>
        <v/>
      </c>
      <c r="L8846" s="7" t="n"/>
      <c r="M8846" s="7" t="n"/>
      <c r="N8846">
        <f>IF(D8846="", "Gap - No Legal Basis", IF(AND(D8846="Consent (GDPR Art. 6(1)(a))", I8846="Not Captured"), "Gap - Invalid Consent", IF(AND(D8846="Legitimate Interest (GDPR Art. 6(1)(f))", L8846=""), "Gap - Missing LIA", IF(AND(G8846="Yes", H8846=""), "Gap - Missing Art. 9 Basis", IF(OR(I8846="Invalid - Not Freely Given", I8846="Invalid - Not Specific", I8846="Invalid - Not Informed", I8846="Invalid - Ambiguous"), "Gap - Invalid Consent", "Compliant")))))</f>
        <v/>
      </c>
      <c r="O8846" s="7" t="n"/>
    </row>
    <row r="8847">
      <c r="A8847" s="7" t="n"/>
      <c r="B8847" s="7" t="n"/>
      <c r="C8847" s="7" t="n"/>
      <c r="D8847" s="7" t="n"/>
      <c r="E8847" s="7" t="n"/>
      <c r="F8847" s="7" t="n"/>
      <c r="G8847" s="7" t="n"/>
      <c r="H8847" s="7" t="n"/>
      <c r="I8847" s="7" t="n"/>
      <c r="J8847" s="7" t="n"/>
      <c r="K8847">
        <f>IF(D8847="Legitimate Interest (GDPR Art. 6(1)(f))", "Yes / Required (Sheet 3)", "")</f>
        <v/>
      </c>
      <c r="L8847" s="7" t="n"/>
      <c r="M8847" s="7" t="n"/>
      <c r="N8847">
        <f>IF(D8847="", "Gap - No Legal Basis", IF(AND(D8847="Consent (GDPR Art. 6(1)(a))", I8847="Not Captured"), "Gap - Invalid Consent", IF(AND(D8847="Legitimate Interest (GDPR Art. 6(1)(f))", L8847=""), "Gap - Missing LIA", IF(AND(G8847="Yes", H8847=""), "Gap - Missing Art. 9 Basis", IF(OR(I8847="Invalid - Not Freely Given", I8847="Invalid - Not Specific", I8847="Invalid - Not Informed", I8847="Invalid - Ambiguous"), "Gap - Invalid Consent", "Compliant")))))</f>
        <v/>
      </c>
      <c r="O8847" s="7" t="n"/>
    </row>
    <row r="8848">
      <c r="A8848" s="7" t="n"/>
      <c r="B8848" s="7" t="n"/>
      <c r="C8848" s="7" t="n"/>
      <c r="D8848" s="7" t="n"/>
      <c r="E8848" s="7" t="n"/>
      <c r="F8848" s="7" t="n"/>
      <c r="G8848" s="7" t="n"/>
      <c r="H8848" s="7" t="n"/>
      <c r="I8848" s="7" t="n"/>
      <c r="J8848" s="7" t="n"/>
      <c r="K8848">
        <f>IF(D8848="Legitimate Interest (GDPR Art. 6(1)(f))", "Yes / Required (Sheet 3)", "")</f>
        <v/>
      </c>
      <c r="L8848" s="7" t="n"/>
      <c r="M8848" s="7" t="n"/>
      <c r="N8848">
        <f>IF(D8848="", "Gap - No Legal Basis", IF(AND(D8848="Consent (GDPR Art. 6(1)(a))", I8848="Not Captured"), "Gap - Invalid Consent", IF(AND(D8848="Legitimate Interest (GDPR Art. 6(1)(f))", L8848=""), "Gap - Missing LIA", IF(AND(G8848="Yes", H8848=""), "Gap - Missing Art. 9 Basis", IF(OR(I8848="Invalid - Not Freely Given", I8848="Invalid - Not Specific", I8848="Invalid - Not Informed", I8848="Invalid - Ambiguous"), "Gap - Invalid Consent", "Compliant")))))</f>
        <v/>
      </c>
      <c r="O8848" s="7" t="n"/>
    </row>
    <row r="8849">
      <c r="A8849" s="7" t="n"/>
      <c r="B8849" s="7" t="n"/>
      <c r="C8849" s="7" t="n"/>
      <c r="D8849" s="7" t="n"/>
      <c r="E8849" s="7" t="n"/>
      <c r="F8849" s="7" t="n"/>
      <c r="G8849" s="7" t="n"/>
      <c r="H8849" s="7" t="n"/>
      <c r="I8849" s="7" t="n"/>
      <c r="J8849" s="7" t="n"/>
      <c r="K8849">
        <f>IF(D8849="Legitimate Interest (GDPR Art. 6(1)(f))", "Yes / Required (Sheet 3)", "")</f>
        <v/>
      </c>
      <c r="L8849" s="7" t="n"/>
      <c r="M8849" s="7" t="n"/>
      <c r="N8849">
        <f>IF(D8849="", "Gap - No Legal Basis", IF(AND(D8849="Consent (GDPR Art. 6(1)(a))", I8849="Not Captured"), "Gap - Invalid Consent", IF(AND(D8849="Legitimate Interest (GDPR Art. 6(1)(f))", L8849=""), "Gap - Missing LIA", IF(AND(G8849="Yes", H8849=""), "Gap - Missing Art. 9 Basis", IF(OR(I8849="Invalid - Not Freely Given", I8849="Invalid - Not Specific", I8849="Invalid - Not Informed", I8849="Invalid - Ambiguous"), "Gap - Invalid Consent", "Compliant")))))</f>
        <v/>
      </c>
      <c r="O8849" s="7" t="n"/>
    </row>
    <row r="8850">
      <c r="A8850" s="7" t="n"/>
      <c r="B8850" s="7" t="n"/>
      <c r="C8850" s="7" t="n"/>
      <c r="D8850" s="7" t="n"/>
      <c r="E8850" s="7" t="n"/>
      <c r="F8850" s="7" t="n"/>
      <c r="G8850" s="7" t="n"/>
      <c r="H8850" s="7" t="n"/>
      <c r="I8850" s="7" t="n"/>
      <c r="J8850" s="7" t="n"/>
      <c r="K8850">
        <f>IF(D8850="Legitimate Interest (GDPR Art. 6(1)(f))", "Yes / Required (Sheet 3)", "")</f>
        <v/>
      </c>
      <c r="L8850" s="7" t="n"/>
      <c r="M8850" s="7" t="n"/>
      <c r="N8850">
        <f>IF(D8850="", "Gap - No Legal Basis", IF(AND(D8850="Consent (GDPR Art. 6(1)(a))", I8850="Not Captured"), "Gap - Invalid Consent", IF(AND(D8850="Legitimate Interest (GDPR Art. 6(1)(f))", L8850=""), "Gap - Missing LIA", IF(AND(G8850="Yes", H8850=""), "Gap - Missing Art. 9 Basis", IF(OR(I8850="Invalid - Not Freely Given", I8850="Invalid - Not Specific", I8850="Invalid - Not Informed", I8850="Invalid - Ambiguous"), "Gap - Invalid Consent", "Compliant")))))</f>
        <v/>
      </c>
      <c r="O8850" s="7" t="n"/>
    </row>
    <row r="8851">
      <c r="A8851" s="7" t="n"/>
      <c r="B8851" s="7" t="n"/>
      <c r="C8851" s="7" t="n"/>
      <c r="D8851" s="7" t="n"/>
      <c r="E8851" s="7" t="n"/>
      <c r="F8851" s="7" t="n"/>
      <c r="G8851" s="7" t="n"/>
      <c r="H8851" s="7" t="n"/>
      <c r="I8851" s="7" t="n"/>
      <c r="J8851" s="7" t="n"/>
      <c r="K8851">
        <f>IF(D8851="Legitimate Interest (GDPR Art. 6(1)(f))", "Yes / Required (Sheet 3)", "")</f>
        <v/>
      </c>
      <c r="L8851" s="7" t="n"/>
      <c r="M8851" s="7" t="n"/>
      <c r="N8851">
        <f>IF(D8851="", "Gap - No Legal Basis", IF(AND(D8851="Consent (GDPR Art. 6(1)(a))", I8851="Not Captured"), "Gap - Invalid Consent", IF(AND(D8851="Legitimate Interest (GDPR Art. 6(1)(f))", L8851=""), "Gap - Missing LIA", IF(AND(G8851="Yes", H8851=""), "Gap - Missing Art. 9 Basis", IF(OR(I8851="Invalid - Not Freely Given", I8851="Invalid - Not Specific", I8851="Invalid - Not Informed", I8851="Invalid - Ambiguous"), "Gap - Invalid Consent", "Compliant")))))</f>
        <v/>
      </c>
      <c r="O8851" s="7" t="n"/>
    </row>
    <row r="8852">
      <c r="A8852" s="7" t="n"/>
      <c r="B8852" s="7" t="n"/>
      <c r="C8852" s="7" t="n"/>
      <c r="D8852" s="7" t="n"/>
      <c r="E8852" s="7" t="n"/>
      <c r="F8852" s="7" t="n"/>
      <c r="G8852" s="7" t="n"/>
      <c r="H8852" s="7" t="n"/>
      <c r="I8852" s="7" t="n"/>
      <c r="J8852" s="7" t="n"/>
      <c r="K8852">
        <f>IF(D8852="Legitimate Interest (GDPR Art. 6(1)(f))", "Yes / Required (Sheet 3)", "")</f>
        <v/>
      </c>
      <c r="L8852" s="7" t="n"/>
      <c r="M8852" s="7" t="n"/>
      <c r="N8852">
        <f>IF(D8852="", "Gap - No Legal Basis", IF(AND(D8852="Consent (GDPR Art. 6(1)(a))", I8852="Not Captured"), "Gap - Invalid Consent", IF(AND(D8852="Legitimate Interest (GDPR Art. 6(1)(f))", L8852=""), "Gap - Missing LIA", IF(AND(G8852="Yes", H8852=""), "Gap - Missing Art. 9 Basis", IF(OR(I8852="Invalid - Not Freely Given", I8852="Invalid - Not Specific", I8852="Invalid - Not Informed", I8852="Invalid - Ambiguous"), "Gap - Invalid Consent", "Compliant")))))</f>
        <v/>
      </c>
      <c r="O8852" s="7" t="n"/>
    </row>
    <row r="8853">
      <c r="A8853" s="7" t="n"/>
      <c r="B8853" s="7" t="n"/>
      <c r="C8853" s="7" t="n"/>
      <c r="D8853" s="7" t="n"/>
      <c r="E8853" s="7" t="n"/>
      <c r="F8853" s="7" t="n"/>
      <c r="G8853" s="7" t="n"/>
      <c r="H8853" s="7" t="n"/>
      <c r="I8853" s="7" t="n"/>
      <c r="J8853" s="7" t="n"/>
      <c r="K8853">
        <f>IF(D8853="Legitimate Interest (GDPR Art. 6(1)(f))", "Yes / Required (Sheet 3)", "")</f>
        <v/>
      </c>
      <c r="L8853" s="7" t="n"/>
      <c r="M8853" s="7" t="n"/>
      <c r="N8853">
        <f>IF(D8853="", "Gap - No Legal Basis", IF(AND(D8853="Consent (GDPR Art. 6(1)(a))", I8853="Not Captured"), "Gap - Invalid Consent", IF(AND(D8853="Legitimate Interest (GDPR Art. 6(1)(f))", L8853=""), "Gap - Missing LIA", IF(AND(G8853="Yes", H8853=""), "Gap - Missing Art. 9 Basis", IF(OR(I8853="Invalid - Not Freely Given", I8853="Invalid - Not Specific", I8853="Invalid - Not Informed", I8853="Invalid - Ambiguous"), "Gap - Invalid Consent", "Compliant")))))</f>
        <v/>
      </c>
      <c r="O8853" s="7" t="n"/>
    </row>
    <row r="8854">
      <c r="A8854" s="7" t="n"/>
      <c r="B8854" s="7" t="n"/>
      <c r="C8854" s="7" t="n"/>
      <c r="D8854" s="7" t="n"/>
      <c r="E8854" s="7" t="n"/>
      <c r="F8854" s="7" t="n"/>
      <c r="G8854" s="7" t="n"/>
      <c r="H8854" s="7" t="n"/>
      <c r="I8854" s="7" t="n"/>
      <c r="J8854" s="7" t="n"/>
      <c r="K8854">
        <f>IF(D8854="Legitimate Interest (GDPR Art. 6(1)(f))", "Yes / Required (Sheet 3)", "")</f>
        <v/>
      </c>
      <c r="L8854" s="7" t="n"/>
      <c r="M8854" s="7" t="n"/>
      <c r="N8854">
        <f>IF(D8854="", "Gap - No Legal Basis", IF(AND(D8854="Consent (GDPR Art. 6(1)(a))", I8854="Not Captured"), "Gap - Invalid Consent", IF(AND(D8854="Legitimate Interest (GDPR Art. 6(1)(f))", L8854=""), "Gap - Missing LIA", IF(AND(G8854="Yes", H8854=""), "Gap - Missing Art. 9 Basis", IF(OR(I8854="Invalid - Not Freely Given", I8854="Invalid - Not Specific", I8854="Invalid - Not Informed", I8854="Invalid - Ambiguous"), "Gap - Invalid Consent", "Compliant")))))</f>
        <v/>
      </c>
      <c r="O8854" s="7" t="n"/>
    </row>
    <row r="8855">
      <c r="A8855" s="7" t="n"/>
      <c r="B8855" s="7" t="n"/>
      <c r="C8855" s="7" t="n"/>
      <c r="D8855" s="7" t="n"/>
      <c r="E8855" s="7" t="n"/>
      <c r="F8855" s="7" t="n"/>
      <c r="G8855" s="7" t="n"/>
      <c r="H8855" s="7" t="n"/>
      <c r="I8855" s="7" t="n"/>
      <c r="J8855" s="7" t="n"/>
      <c r="K8855">
        <f>IF(D8855="Legitimate Interest (GDPR Art. 6(1)(f))", "Yes / Required (Sheet 3)", "")</f>
        <v/>
      </c>
      <c r="L8855" s="7" t="n"/>
      <c r="M8855" s="7" t="n"/>
      <c r="N8855">
        <f>IF(D8855="", "Gap - No Legal Basis", IF(AND(D8855="Consent (GDPR Art. 6(1)(a))", I8855="Not Captured"), "Gap - Invalid Consent", IF(AND(D8855="Legitimate Interest (GDPR Art. 6(1)(f))", L8855=""), "Gap - Missing LIA", IF(AND(G8855="Yes", H8855=""), "Gap - Missing Art. 9 Basis", IF(OR(I8855="Invalid - Not Freely Given", I8855="Invalid - Not Specific", I8855="Invalid - Not Informed", I8855="Invalid - Ambiguous"), "Gap - Invalid Consent", "Compliant")))))</f>
        <v/>
      </c>
      <c r="O8855" s="7" t="n"/>
    </row>
    <row r="8856">
      <c r="A8856" s="7" t="n"/>
      <c r="B8856" s="7" t="n"/>
      <c r="C8856" s="7" t="n"/>
      <c r="D8856" s="7" t="n"/>
      <c r="E8856" s="7" t="n"/>
      <c r="F8856" s="7" t="n"/>
      <c r="G8856" s="7" t="n"/>
      <c r="H8856" s="7" t="n"/>
      <c r="I8856" s="7" t="n"/>
      <c r="J8856" s="7" t="n"/>
      <c r="K8856">
        <f>IF(D8856="Legitimate Interest (GDPR Art. 6(1)(f))", "Yes / Required (Sheet 3)", "")</f>
        <v/>
      </c>
      <c r="L8856" s="7" t="n"/>
      <c r="M8856" s="7" t="n"/>
      <c r="N8856">
        <f>IF(D8856="", "Gap - No Legal Basis", IF(AND(D8856="Consent (GDPR Art. 6(1)(a))", I8856="Not Captured"), "Gap - Invalid Consent", IF(AND(D8856="Legitimate Interest (GDPR Art. 6(1)(f))", L8856=""), "Gap - Missing LIA", IF(AND(G8856="Yes", H8856=""), "Gap - Missing Art. 9 Basis", IF(OR(I8856="Invalid - Not Freely Given", I8856="Invalid - Not Specific", I8856="Invalid - Not Informed", I8856="Invalid - Ambiguous"), "Gap - Invalid Consent", "Compliant")))))</f>
        <v/>
      </c>
      <c r="O8856" s="7" t="n"/>
    </row>
    <row r="8857">
      <c r="A8857" s="7" t="n"/>
      <c r="B8857" s="7" t="n"/>
      <c r="C8857" s="7" t="n"/>
      <c r="D8857" s="7" t="n"/>
      <c r="E8857" s="7" t="n"/>
      <c r="F8857" s="7" t="n"/>
      <c r="G8857" s="7" t="n"/>
      <c r="H8857" s="7" t="n"/>
      <c r="I8857" s="7" t="n"/>
      <c r="J8857" s="7" t="n"/>
      <c r="K8857">
        <f>IF(D8857="Legitimate Interest (GDPR Art. 6(1)(f))", "Yes / Required (Sheet 3)", "")</f>
        <v/>
      </c>
      <c r="L8857" s="7" t="n"/>
      <c r="M8857" s="7" t="n"/>
      <c r="N8857">
        <f>IF(D8857="", "Gap - No Legal Basis", IF(AND(D8857="Consent (GDPR Art. 6(1)(a))", I8857="Not Captured"), "Gap - Invalid Consent", IF(AND(D8857="Legitimate Interest (GDPR Art. 6(1)(f))", L8857=""), "Gap - Missing LIA", IF(AND(G8857="Yes", H8857=""), "Gap - Missing Art. 9 Basis", IF(OR(I8857="Invalid - Not Freely Given", I8857="Invalid - Not Specific", I8857="Invalid - Not Informed", I8857="Invalid - Ambiguous"), "Gap - Invalid Consent", "Compliant")))))</f>
        <v/>
      </c>
      <c r="O8857" s="7" t="n"/>
    </row>
    <row r="8858">
      <c r="A8858" s="7" t="n"/>
      <c r="B8858" s="7" t="n"/>
      <c r="C8858" s="7" t="n"/>
      <c r="D8858" s="7" t="n"/>
      <c r="E8858" s="7" t="n"/>
      <c r="F8858" s="7" t="n"/>
      <c r="G8858" s="7" t="n"/>
      <c r="H8858" s="7" t="n"/>
      <c r="I8858" s="7" t="n"/>
      <c r="J8858" s="7" t="n"/>
      <c r="K8858">
        <f>IF(D8858="Legitimate Interest (GDPR Art. 6(1)(f))", "Yes / Required (Sheet 3)", "")</f>
        <v/>
      </c>
      <c r="L8858" s="7" t="n"/>
      <c r="M8858" s="7" t="n"/>
      <c r="N8858">
        <f>IF(D8858="", "Gap - No Legal Basis", IF(AND(D8858="Consent (GDPR Art. 6(1)(a))", I8858="Not Captured"), "Gap - Invalid Consent", IF(AND(D8858="Legitimate Interest (GDPR Art. 6(1)(f))", L8858=""), "Gap - Missing LIA", IF(AND(G8858="Yes", H8858=""), "Gap - Missing Art. 9 Basis", IF(OR(I8858="Invalid - Not Freely Given", I8858="Invalid - Not Specific", I8858="Invalid - Not Informed", I8858="Invalid - Ambiguous"), "Gap - Invalid Consent", "Compliant")))))</f>
        <v/>
      </c>
      <c r="O8858" s="7" t="n"/>
    </row>
    <row r="8859">
      <c r="A8859" s="7" t="n"/>
      <c r="B8859" s="7" t="n"/>
      <c r="C8859" s="7" t="n"/>
      <c r="D8859" s="7" t="n"/>
      <c r="E8859" s="7" t="n"/>
      <c r="F8859" s="7" t="n"/>
      <c r="G8859" s="7" t="n"/>
      <c r="H8859" s="7" t="n"/>
      <c r="I8859" s="7" t="n"/>
      <c r="J8859" s="7" t="n"/>
      <c r="K8859">
        <f>IF(D8859="Legitimate Interest (GDPR Art. 6(1)(f))", "Yes / Required (Sheet 3)", "")</f>
        <v/>
      </c>
      <c r="L8859" s="7" t="n"/>
      <c r="M8859" s="7" t="n"/>
      <c r="N8859">
        <f>IF(D8859="", "Gap - No Legal Basis", IF(AND(D8859="Consent (GDPR Art. 6(1)(a))", I8859="Not Captured"), "Gap - Invalid Consent", IF(AND(D8859="Legitimate Interest (GDPR Art. 6(1)(f))", L8859=""), "Gap - Missing LIA", IF(AND(G8859="Yes", H8859=""), "Gap - Missing Art. 9 Basis", IF(OR(I8859="Invalid - Not Freely Given", I8859="Invalid - Not Specific", I8859="Invalid - Not Informed", I8859="Invalid - Ambiguous"), "Gap - Invalid Consent", "Compliant")))))</f>
        <v/>
      </c>
      <c r="O8859" s="7" t="n"/>
    </row>
    <row r="8860">
      <c r="A8860" s="7" t="n"/>
      <c r="B8860" s="7" t="n"/>
      <c r="C8860" s="7" t="n"/>
      <c r="D8860" s="7" t="n"/>
      <c r="E8860" s="7" t="n"/>
      <c r="F8860" s="7" t="n"/>
      <c r="G8860" s="7" t="n"/>
      <c r="H8860" s="7" t="n"/>
      <c r="I8860" s="7" t="n"/>
      <c r="J8860" s="7" t="n"/>
      <c r="K8860">
        <f>IF(D8860="Legitimate Interest (GDPR Art. 6(1)(f))", "Yes / Required (Sheet 3)", "")</f>
        <v/>
      </c>
      <c r="L8860" s="7" t="n"/>
      <c r="M8860" s="7" t="n"/>
      <c r="N8860">
        <f>IF(D8860="", "Gap - No Legal Basis", IF(AND(D8860="Consent (GDPR Art. 6(1)(a))", I8860="Not Captured"), "Gap - Invalid Consent", IF(AND(D8860="Legitimate Interest (GDPR Art. 6(1)(f))", L8860=""), "Gap - Missing LIA", IF(AND(G8860="Yes", H8860=""), "Gap - Missing Art. 9 Basis", IF(OR(I8860="Invalid - Not Freely Given", I8860="Invalid - Not Specific", I8860="Invalid - Not Informed", I8860="Invalid - Ambiguous"), "Gap - Invalid Consent", "Compliant")))))</f>
        <v/>
      </c>
      <c r="O8860" s="7" t="n"/>
    </row>
    <row r="8861">
      <c r="A8861" s="7" t="n"/>
      <c r="B8861" s="7" t="n"/>
      <c r="C8861" s="7" t="n"/>
      <c r="D8861" s="7" t="n"/>
      <c r="E8861" s="7" t="n"/>
      <c r="F8861" s="7" t="n"/>
      <c r="G8861" s="7" t="n"/>
      <c r="H8861" s="7" t="n"/>
      <c r="I8861" s="7" t="n"/>
      <c r="J8861" s="7" t="n"/>
      <c r="K8861">
        <f>IF(D8861="Legitimate Interest (GDPR Art. 6(1)(f))", "Yes / Required (Sheet 3)", "")</f>
        <v/>
      </c>
      <c r="L8861" s="7" t="n"/>
      <c r="M8861" s="7" t="n"/>
      <c r="N8861">
        <f>IF(D8861="", "Gap - No Legal Basis", IF(AND(D8861="Consent (GDPR Art. 6(1)(a))", I8861="Not Captured"), "Gap - Invalid Consent", IF(AND(D8861="Legitimate Interest (GDPR Art. 6(1)(f))", L8861=""), "Gap - Missing LIA", IF(AND(G8861="Yes", H8861=""), "Gap - Missing Art. 9 Basis", IF(OR(I8861="Invalid - Not Freely Given", I8861="Invalid - Not Specific", I8861="Invalid - Not Informed", I8861="Invalid - Ambiguous"), "Gap - Invalid Consent", "Compliant")))))</f>
        <v/>
      </c>
      <c r="O8861" s="7" t="n"/>
    </row>
    <row r="8862">
      <c r="A8862" s="7" t="n"/>
      <c r="B8862" s="7" t="n"/>
      <c r="C8862" s="7" t="n"/>
      <c r="D8862" s="7" t="n"/>
      <c r="E8862" s="7" t="n"/>
      <c r="F8862" s="7" t="n"/>
      <c r="G8862" s="7" t="n"/>
      <c r="H8862" s="7" t="n"/>
      <c r="I8862" s="7" t="n"/>
      <c r="J8862" s="7" t="n"/>
      <c r="K8862">
        <f>IF(D8862="Legitimate Interest (GDPR Art. 6(1)(f))", "Yes / Required (Sheet 3)", "")</f>
        <v/>
      </c>
      <c r="L8862" s="7" t="n"/>
      <c r="M8862" s="7" t="n"/>
      <c r="N8862">
        <f>IF(D8862="", "Gap - No Legal Basis", IF(AND(D8862="Consent (GDPR Art. 6(1)(a))", I8862="Not Captured"), "Gap - Invalid Consent", IF(AND(D8862="Legitimate Interest (GDPR Art. 6(1)(f))", L8862=""), "Gap - Missing LIA", IF(AND(G8862="Yes", H8862=""), "Gap - Missing Art. 9 Basis", IF(OR(I8862="Invalid - Not Freely Given", I8862="Invalid - Not Specific", I8862="Invalid - Not Informed", I8862="Invalid - Ambiguous"), "Gap - Invalid Consent", "Compliant")))))</f>
        <v/>
      </c>
      <c r="O8862" s="7" t="n"/>
    </row>
    <row r="8863">
      <c r="A8863" s="7" t="n"/>
      <c r="B8863" s="7" t="n"/>
      <c r="C8863" s="7" t="n"/>
      <c r="D8863" s="7" t="n"/>
      <c r="E8863" s="7" t="n"/>
      <c r="F8863" s="7" t="n"/>
      <c r="G8863" s="7" t="n"/>
      <c r="H8863" s="7" t="n"/>
      <c r="I8863" s="7" t="n"/>
      <c r="J8863" s="7" t="n"/>
      <c r="K8863">
        <f>IF(D8863="Legitimate Interest (GDPR Art. 6(1)(f))", "Yes / Required (Sheet 3)", "")</f>
        <v/>
      </c>
      <c r="L8863" s="7" t="n"/>
      <c r="M8863" s="7" t="n"/>
      <c r="N8863">
        <f>IF(D8863="", "Gap - No Legal Basis", IF(AND(D8863="Consent (GDPR Art. 6(1)(a))", I8863="Not Captured"), "Gap - Invalid Consent", IF(AND(D8863="Legitimate Interest (GDPR Art. 6(1)(f))", L8863=""), "Gap - Missing LIA", IF(AND(G8863="Yes", H8863=""), "Gap - Missing Art. 9 Basis", IF(OR(I8863="Invalid - Not Freely Given", I8863="Invalid - Not Specific", I8863="Invalid - Not Informed", I8863="Invalid - Ambiguous"), "Gap - Invalid Consent", "Compliant")))))</f>
        <v/>
      </c>
      <c r="O8863" s="7" t="n"/>
    </row>
    <row r="8864">
      <c r="A8864" s="7" t="n"/>
      <c r="B8864" s="7" t="n"/>
      <c r="C8864" s="7" t="n"/>
      <c r="D8864" s="7" t="n"/>
      <c r="E8864" s="7" t="n"/>
      <c r="F8864" s="7" t="n"/>
      <c r="G8864" s="7" t="n"/>
      <c r="H8864" s="7" t="n"/>
      <c r="I8864" s="7" t="n"/>
      <c r="J8864" s="7" t="n"/>
      <c r="K8864">
        <f>IF(D8864="Legitimate Interest (GDPR Art. 6(1)(f))", "Yes / Required (Sheet 3)", "")</f>
        <v/>
      </c>
      <c r="L8864" s="7" t="n"/>
      <c r="M8864" s="7" t="n"/>
      <c r="N8864">
        <f>IF(D8864="", "Gap - No Legal Basis", IF(AND(D8864="Consent (GDPR Art. 6(1)(a))", I8864="Not Captured"), "Gap - Invalid Consent", IF(AND(D8864="Legitimate Interest (GDPR Art. 6(1)(f))", L8864=""), "Gap - Missing LIA", IF(AND(G8864="Yes", H8864=""), "Gap - Missing Art. 9 Basis", IF(OR(I8864="Invalid - Not Freely Given", I8864="Invalid - Not Specific", I8864="Invalid - Not Informed", I8864="Invalid - Ambiguous"), "Gap - Invalid Consent", "Compliant")))))</f>
        <v/>
      </c>
      <c r="O8864" s="7" t="n"/>
    </row>
    <row r="8865">
      <c r="A8865" s="7" t="n"/>
      <c r="B8865" s="7" t="n"/>
      <c r="C8865" s="7" t="n"/>
      <c r="D8865" s="7" t="n"/>
      <c r="E8865" s="7" t="n"/>
      <c r="F8865" s="7" t="n"/>
      <c r="G8865" s="7" t="n"/>
      <c r="H8865" s="7" t="n"/>
      <c r="I8865" s="7" t="n"/>
      <c r="J8865" s="7" t="n"/>
      <c r="K8865">
        <f>IF(D8865="Legitimate Interest (GDPR Art. 6(1)(f))", "Yes / Required (Sheet 3)", "")</f>
        <v/>
      </c>
      <c r="L8865" s="7" t="n"/>
      <c r="M8865" s="7" t="n"/>
      <c r="N8865">
        <f>IF(D8865="", "Gap - No Legal Basis", IF(AND(D8865="Consent (GDPR Art. 6(1)(a))", I8865="Not Captured"), "Gap - Invalid Consent", IF(AND(D8865="Legitimate Interest (GDPR Art. 6(1)(f))", L8865=""), "Gap - Missing LIA", IF(AND(G8865="Yes", H8865=""), "Gap - Missing Art. 9 Basis", IF(OR(I8865="Invalid - Not Freely Given", I8865="Invalid - Not Specific", I8865="Invalid - Not Informed", I8865="Invalid - Ambiguous"), "Gap - Invalid Consent", "Compliant")))))</f>
        <v/>
      </c>
      <c r="O8865" s="7" t="n"/>
    </row>
    <row r="8866">
      <c r="A8866" s="7" t="n"/>
      <c r="B8866" s="7" t="n"/>
      <c r="C8866" s="7" t="n"/>
      <c r="D8866" s="7" t="n"/>
      <c r="E8866" s="7" t="n"/>
      <c r="F8866" s="7" t="n"/>
      <c r="G8866" s="7" t="n"/>
      <c r="H8866" s="7" t="n"/>
      <c r="I8866" s="7" t="n"/>
      <c r="J8866" s="7" t="n"/>
      <c r="K8866">
        <f>IF(D8866="Legitimate Interest (GDPR Art. 6(1)(f))", "Yes / Required (Sheet 3)", "")</f>
        <v/>
      </c>
      <c r="L8866" s="7" t="n"/>
      <c r="M8866" s="7" t="n"/>
      <c r="N8866">
        <f>IF(D8866="", "Gap - No Legal Basis", IF(AND(D8866="Consent (GDPR Art. 6(1)(a))", I8866="Not Captured"), "Gap - Invalid Consent", IF(AND(D8866="Legitimate Interest (GDPR Art. 6(1)(f))", L8866=""), "Gap - Missing LIA", IF(AND(G8866="Yes", H8866=""), "Gap - Missing Art. 9 Basis", IF(OR(I8866="Invalid - Not Freely Given", I8866="Invalid - Not Specific", I8866="Invalid - Not Informed", I8866="Invalid - Ambiguous"), "Gap - Invalid Consent", "Compliant")))))</f>
        <v/>
      </c>
      <c r="O8866" s="7" t="n"/>
    </row>
    <row r="8867">
      <c r="A8867" s="7" t="n"/>
      <c r="B8867" s="7" t="n"/>
      <c r="C8867" s="7" t="n"/>
      <c r="D8867" s="7" t="n"/>
      <c r="E8867" s="7" t="n"/>
      <c r="F8867" s="7" t="n"/>
      <c r="G8867" s="7" t="n"/>
      <c r="H8867" s="7" t="n"/>
      <c r="I8867" s="7" t="n"/>
      <c r="J8867" s="7" t="n"/>
      <c r="K8867">
        <f>IF(D8867="Legitimate Interest (GDPR Art. 6(1)(f))", "Yes / Required (Sheet 3)", "")</f>
        <v/>
      </c>
      <c r="L8867" s="7" t="n"/>
      <c r="M8867" s="7" t="n"/>
      <c r="N8867">
        <f>IF(D8867="", "Gap - No Legal Basis", IF(AND(D8867="Consent (GDPR Art. 6(1)(a))", I8867="Not Captured"), "Gap - Invalid Consent", IF(AND(D8867="Legitimate Interest (GDPR Art. 6(1)(f))", L8867=""), "Gap - Missing LIA", IF(AND(G8867="Yes", H8867=""), "Gap - Missing Art. 9 Basis", IF(OR(I8867="Invalid - Not Freely Given", I8867="Invalid - Not Specific", I8867="Invalid - Not Informed", I8867="Invalid - Ambiguous"), "Gap - Invalid Consent", "Compliant")))))</f>
        <v/>
      </c>
      <c r="O8867" s="7" t="n"/>
    </row>
    <row r="8868">
      <c r="A8868" s="7" t="n"/>
      <c r="B8868" s="7" t="n"/>
      <c r="C8868" s="7" t="n"/>
      <c r="D8868" s="7" t="n"/>
      <c r="E8868" s="7" t="n"/>
      <c r="F8868" s="7" t="n"/>
      <c r="G8868" s="7" t="n"/>
      <c r="H8868" s="7" t="n"/>
      <c r="I8868" s="7" t="n"/>
      <c r="J8868" s="7" t="n"/>
      <c r="K8868">
        <f>IF(D8868="Legitimate Interest (GDPR Art. 6(1)(f))", "Yes / Required (Sheet 3)", "")</f>
        <v/>
      </c>
      <c r="L8868" s="7" t="n"/>
      <c r="M8868" s="7" t="n"/>
      <c r="N8868">
        <f>IF(D8868="", "Gap - No Legal Basis", IF(AND(D8868="Consent (GDPR Art. 6(1)(a))", I8868="Not Captured"), "Gap - Invalid Consent", IF(AND(D8868="Legitimate Interest (GDPR Art. 6(1)(f))", L8868=""), "Gap - Missing LIA", IF(AND(G8868="Yes", H8868=""), "Gap - Missing Art. 9 Basis", IF(OR(I8868="Invalid - Not Freely Given", I8868="Invalid - Not Specific", I8868="Invalid - Not Informed", I8868="Invalid - Ambiguous"), "Gap - Invalid Consent", "Compliant")))))</f>
        <v/>
      </c>
      <c r="O8868" s="7" t="n"/>
    </row>
    <row r="8869">
      <c r="A8869" s="7" t="n"/>
      <c r="B8869" s="7" t="n"/>
      <c r="C8869" s="7" t="n"/>
      <c r="D8869" s="7" t="n"/>
      <c r="E8869" s="7" t="n"/>
      <c r="F8869" s="7" t="n"/>
      <c r="G8869" s="7" t="n"/>
      <c r="H8869" s="7" t="n"/>
      <c r="I8869" s="7" t="n"/>
      <c r="J8869" s="7" t="n"/>
      <c r="K8869">
        <f>IF(D8869="Legitimate Interest (GDPR Art. 6(1)(f))", "Yes / Required (Sheet 3)", "")</f>
        <v/>
      </c>
      <c r="L8869" s="7" t="n"/>
      <c r="M8869" s="7" t="n"/>
      <c r="N8869">
        <f>IF(D8869="", "Gap - No Legal Basis", IF(AND(D8869="Consent (GDPR Art. 6(1)(a))", I8869="Not Captured"), "Gap - Invalid Consent", IF(AND(D8869="Legitimate Interest (GDPR Art. 6(1)(f))", L8869=""), "Gap - Missing LIA", IF(AND(G8869="Yes", H8869=""), "Gap - Missing Art. 9 Basis", IF(OR(I8869="Invalid - Not Freely Given", I8869="Invalid - Not Specific", I8869="Invalid - Not Informed", I8869="Invalid - Ambiguous"), "Gap - Invalid Consent", "Compliant")))))</f>
        <v/>
      </c>
      <c r="O8869" s="7" t="n"/>
    </row>
    <row r="8870">
      <c r="A8870" s="7" t="n"/>
      <c r="B8870" s="7" t="n"/>
      <c r="C8870" s="7" t="n"/>
      <c r="D8870" s="7" t="n"/>
      <c r="E8870" s="7" t="n"/>
      <c r="F8870" s="7" t="n"/>
      <c r="G8870" s="7" t="n"/>
      <c r="H8870" s="7" t="n"/>
      <c r="I8870" s="7" t="n"/>
      <c r="J8870" s="7" t="n"/>
      <c r="K8870">
        <f>IF(D8870="Legitimate Interest (GDPR Art. 6(1)(f))", "Yes / Required (Sheet 3)", "")</f>
        <v/>
      </c>
      <c r="L8870" s="7" t="n"/>
      <c r="M8870" s="7" t="n"/>
      <c r="N8870">
        <f>IF(D8870="", "Gap - No Legal Basis", IF(AND(D8870="Consent (GDPR Art. 6(1)(a))", I8870="Not Captured"), "Gap - Invalid Consent", IF(AND(D8870="Legitimate Interest (GDPR Art. 6(1)(f))", L8870=""), "Gap - Missing LIA", IF(AND(G8870="Yes", H8870=""), "Gap - Missing Art. 9 Basis", IF(OR(I8870="Invalid - Not Freely Given", I8870="Invalid - Not Specific", I8870="Invalid - Not Informed", I8870="Invalid - Ambiguous"), "Gap - Invalid Consent", "Compliant")))))</f>
        <v/>
      </c>
      <c r="O8870" s="7" t="n"/>
    </row>
    <row r="8871">
      <c r="A8871" s="7" t="n"/>
      <c r="B8871" s="7" t="n"/>
      <c r="C8871" s="7" t="n"/>
      <c r="D8871" s="7" t="n"/>
      <c r="E8871" s="7" t="n"/>
      <c r="F8871" s="7" t="n"/>
      <c r="G8871" s="7" t="n"/>
      <c r="H8871" s="7" t="n"/>
      <c r="I8871" s="7" t="n"/>
      <c r="J8871" s="7" t="n"/>
      <c r="K8871">
        <f>IF(D8871="Legitimate Interest (GDPR Art. 6(1)(f))", "Yes / Required (Sheet 3)", "")</f>
        <v/>
      </c>
      <c r="L8871" s="7" t="n"/>
      <c r="M8871" s="7" t="n"/>
      <c r="N8871">
        <f>IF(D8871="", "Gap - No Legal Basis", IF(AND(D8871="Consent (GDPR Art. 6(1)(a))", I8871="Not Captured"), "Gap - Invalid Consent", IF(AND(D8871="Legitimate Interest (GDPR Art. 6(1)(f))", L8871=""), "Gap - Missing LIA", IF(AND(G8871="Yes", H8871=""), "Gap - Missing Art. 9 Basis", IF(OR(I8871="Invalid - Not Freely Given", I8871="Invalid - Not Specific", I8871="Invalid - Not Informed", I8871="Invalid - Ambiguous"), "Gap - Invalid Consent", "Compliant")))))</f>
        <v/>
      </c>
      <c r="O8871" s="7" t="n"/>
    </row>
    <row r="8872">
      <c r="A8872" s="7" t="n"/>
      <c r="B8872" s="7" t="n"/>
      <c r="C8872" s="7" t="n"/>
      <c r="D8872" s="7" t="n"/>
      <c r="E8872" s="7" t="n"/>
      <c r="F8872" s="7" t="n"/>
      <c r="G8872" s="7" t="n"/>
      <c r="H8872" s="7" t="n"/>
      <c r="I8872" s="7" t="n"/>
      <c r="J8872" s="7" t="n"/>
      <c r="K8872">
        <f>IF(D8872="Legitimate Interest (GDPR Art. 6(1)(f))", "Yes / Required (Sheet 3)", "")</f>
        <v/>
      </c>
      <c r="L8872" s="7" t="n"/>
      <c r="M8872" s="7" t="n"/>
      <c r="N8872">
        <f>IF(D8872="", "Gap - No Legal Basis", IF(AND(D8872="Consent (GDPR Art. 6(1)(a))", I8872="Not Captured"), "Gap - Invalid Consent", IF(AND(D8872="Legitimate Interest (GDPR Art. 6(1)(f))", L8872=""), "Gap - Missing LIA", IF(AND(G8872="Yes", H8872=""), "Gap - Missing Art. 9 Basis", IF(OR(I8872="Invalid - Not Freely Given", I8872="Invalid - Not Specific", I8872="Invalid - Not Informed", I8872="Invalid - Ambiguous"), "Gap - Invalid Consent", "Compliant")))))</f>
        <v/>
      </c>
      <c r="O8872" s="7" t="n"/>
    </row>
    <row r="8873">
      <c r="A8873" s="7" t="n"/>
      <c r="B8873" s="7" t="n"/>
      <c r="C8873" s="7" t="n"/>
      <c r="D8873" s="7" t="n"/>
      <c r="E8873" s="7" t="n"/>
      <c r="F8873" s="7" t="n"/>
      <c r="G8873" s="7" t="n"/>
      <c r="H8873" s="7" t="n"/>
      <c r="I8873" s="7" t="n"/>
      <c r="J8873" s="7" t="n"/>
      <c r="K8873">
        <f>IF(D8873="Legitimate Interest (GDPR Art. 6(1)(f))", "Yes / Required (Sheet 3)", "")</f>
        <v/>
      </c>
      <c r="L8873" s="7" t="n"/>
      <c r="M8873" s="7" t="n"/>
      <c r="N8873">
        <f>IF(D8873="", "Gap - No Legal Basis", IF(AND(D8873="Consent (GDPR Art. 6(1)(a))", I8873="Not Captured"), "Gap - Invalid Consent", IF(AND(D8873="Legitimate Interest (GDPR Art. 6(1)(f))", L8873=""), "Gap - Missing LIA", IF(AND(G8873="Yes", H8873=""), "Gap - Missing Art. 9 Basis", IF(OR(I8873="Invalid - Not Freely Given", I8873="Invalid - Not Specific", I8873="Invalid - Not Informed", I8873="Invalid - Ambiguous"), "Gap - Invalid Consent", "Compliant")))))</f>
        <v/>
      </c>
      <c r="O8873" s="7" t="n"/>
    </row>
    <row r="8874">
      <c r="A8874" s="7" t="n"/>
      <c r="B8874" s="7" t="n"/>
      <c r="C8874" s="7" t="n"/>
      <c r="D8874" s="7" t="n"/>
      <c r="E8874" s="7" t="n"/>
      <c r="F8874" s="7" t="n"/>
      <c r="G8874" s="7" t="n"/>
      <c r="H8874" s="7" t="n"/>
      <c r="I8874" s="7" t="n"/>
      <c r="J8874" s="7" t="n"/>
      <c r="K8874">
        <f>IF(D8874="Legitimate Interest (GDPR Art. 6(1)(f))", "Yes / Required (Sheet 3)", "")</f>
        <v/>
      </c>
      <c r="L8874" s="7" t="n"/>
      <c r="M8874" s="7" t="n"/>
      <c r="N8874">
        <f>IF(D8874="", "Gap - No Legal Basis", IF(AND(D8874="Consent (GDPR Art. 6(1)(a))", I8874="Not Captured"), "Gap - Invalid Consent", IF(AND(D8874="Legitimate Interest (GDPR Art. 6(1)(f))", L8874=""), "Gap - Missing LIA", IF(AND(G8874="Yes", H8874=""), "Gap - Missing Art. 9 Basis", IF(OR(I8874="Invalid - Not Freely Given", I8874="Invalid - Not Specific", I8874="Invalid - Not Informed", I8874="Invalid - Ambiguous"), "Gap - Invalid Consent", "Compliant")))))</f>
        <v/>
      </c>
      <c r="O8874" s="7" t="n"/>
    </row>
    <row r="8875">
      <c r="A8875" s="7" t="n"/>
      <c r="B8875" s="7" t="n"/>
      <c r="C8875" s="7" t="n"/>
      <c r="D8875" s="7" t="n"/>
      <c r="E8875" s="7" t="n"/>
      <c r="F8875" s="7" t="n"/>
      <c r="G8875" s="7" t="n"/>
      <c r="H8875" s="7" t="n"/>
      <c r="I8875" s="7" t="n"/>
      <c r="J8875" s="7" t="n"/>
      <c r="K8875">
        <f>IF(D8875="Legitimate Interest (GDPR Art. 6(1)(f))", "Yes / Required (Sheet 3)", "")</f>
        <v/>
      </c>
      <c r="L8875" s="7" t="n"/>
      <c r="M8875" s="7" t="n"/>
      <c r="N8875">
        <f>IF(D8875="", "Gap - No Legal Basis", IF(AND(D8875="Consent (GDPR Art. 6(1)(a))", I8875="Not Captured"), "Gap - Invalid Consent", IF(AND(D8875="Legitimate Interest (GDPR Art. 6(1)(f))", L8875=""), "Gap - Missing LIA", IF(AND(G8875="Yes", H8875=""), "Gap - Missing Art. 9 Basis", IF(OR(I8875="Invalid - Not Freely Given", I8875="Invalid - Not Specific", I8875="Invalid - Not Informed", I8875="Invalid - Ambiguous"), "Gap - Invalid Consent", "Compliant")))))</f>
        <v/>
      </c>
      <c r="O8875" s="7" t="n"/>
    </row>
    <row r="8876">
      <c r="A8876" s="7" t="n"/>
      <c r="B8876" s="7" t="n"/>
      <c r="C8876" s="7" t="n"/>
      <c r="D8876" s="7" t="n"/>
      <c r="E8876" s="7" t="n"/>
      <c r="F8876" s="7" t="n"/>
      <c r="G8876" s="7" t="n"/>
      <c r="H8876" s="7" t="n"/>
      <c r="I8876" s="7" t="n"/>
      <c r="J8876" s="7" t="n"/>
      <c r="K8876">
        <f>IF(D8876="Legitimate Interest (GDPR Art. 6(1)(f))", "Yes / Required (Sheet 3)", "")</f>
        <v/>
      </c>
      <c r="L8876" s="7" t="n"/>
      <c r="M8876" s="7" t="n"/>
      <c r="N8876">
        <f>IF(D8876="", "Gap - No Legal Basis", IF(AND(D8876="Consent (GDPR Art. 6(1)(a))", I8876="Not Captured"), "Gap - Invalid Consent", IF(AND(D8876="Legitimate Interest (GDPR Art. 6(1)(f))", L8876=""), "Gap - Missing LIA", IF(AND(G8876="Yes", H8876=""), "Gap - Missing Art. 9 Basis", IF(OR(I8876="Invalid - Not Freely Given", I8876="Invalid - Not Specific", I8876="Invalid - Not Informed", I8876="Invalid - Ambiguous"), "Gap - Invalid Consent", "Compliant")))))</f>
        <v/>
      </c>
      <c r="O8876" s="7" t="n"/>
    </row>
    <row r="8877">
      <c r="A8877" s="7" t="n"/>
      <c r="B8877" s="7" t="n"/>
      <c r="C8877" s="7" t="n"/>
      <c r="D8877" s="7" t="n"/>
      <c r="E8877" s="7" t="n"/>
      <c r="F8877" s="7" t="n"/>
      <c r="G8877" s="7" t="n"/>
      <c r="H8877" s="7" t="n"/>
      <c r="I8877" s="7" t="n"/>
      <c r="J8877" s="7" t="n"/>
      <c r="K8877">
        <f>IF(D8877="Legitimate Interest (GDPR Art. 6(1)(f))", "Yes / Required (Sheet 3)", "")</f>
        <v/>
      </c>
      <c r="L8877" s="7" t="n"/>
      <c r="M8877" s="7" t="n"/>
      <c r="N8877">
        <f>IF(D8877="", "Gap - No Legal Basis", IF(AND(D8877="Consent (GDPR Art. 6(1)(a))", I8877="Not Captured"), "Gap - Invalid Consent", IF(AND(D8877="Legitimate Interest (GDPR Art. 6(1)(f))", L8877=""), "Gap - Missing LIA", IF(AND(G8877="Yes", H8877=""), "Gap - Missing Art. 9 Basis", IF(OR(I8877="Invalid - Not Freely Given", I8877="Invalid - Not Specific", I8877="Invalid - Not Informed", I8877="Invalid - Ambiguous"), "Gap - Invalid Consent", "Compliant")))))</f>
        <v/>
      </c>
      <c r="O8877" s="7" t="n"/>
    </row>
    <row r="8878">
      <c r="A8878" s="7" t="n"/>
      <c r="B8878" s="7" t="n"/>
      <c r="C8878" s="7" t="n"/>
      <c r="D8878" s="7" t="n"/>
      <c r="E8878" s="7" t="n"/>
      <c r="F8878" s="7" t="n"/>
      <c r="G8878" s="7" t="n"/>
      <c r="H8878" s="7" t="n"/>
      <c r="I8878" s="7" t="n"/>
      <c r="J8878" s="7" t="n"/>
      <c r="K8878">
        <f>IF(D8878="Legitimate Interest (GDPR Art. 6(1)(f))", "Yes / Required (Sheet 3)", "")</f>
        <v/>
      </c>
      <c r="L8878" s="7" t="n"/>
      <c r="M8878" s="7" t="n"/>
      <c r="N8878">
        <f>IF(D8878="", "Gap - No Legal Basis", IF(AND(D8878="Consent (GDPR Art. 6(1)(a))", I8878="Not Captured"), "Gap - Invalid Consent", IF(AND(D8878="Legitimate Interest (GDPR Art. 6(1)(f))", L8878=""), "Gap - Missing LIA", IF(AND(G8878="Yes", H8878=""), "Gap - Missing Art. 9 Basis", IF(OR(I8878="Invalid - Not Freely Given", I8878="Invalid - Not Specific", I8878="Invalid - Not Informed", I8878="Invalid - Ambiguous"), "Gap - Invalid Consent", "Compliant")))))</f>
        <v/>
      </c>
      <c r="O8878" s="7" t="n"/>
    </row>
    <row r="8879">
      <c r="A8879" s="7" t="n"/>
      <c r="B8879" s="7" t="n"/>
      <c r="C8879" s="7" t="n"/>
      <c r="D8879" s="7" t="n"/>
      <c r="E8879" s="7" t="n"/>
      <c r="F8879" s="7" t="n"/>
      <c r="G8879" s="7" t="n"/>
      <c r="H8879" s="7" t="n"/>
      <c r="I8879" s="7" t="n"/>
      <c r="J8879" s="7" t="n"/>
      <c r="K8879">
        <f>IF(D8879="Legitimate Interest (GDPR Art. 6(1)(f))", "Yes / Required (Sheet 3)", "")</f>
        <v/>
      </c>
      <c r="L8879" s="7" t="n"/>
      <c r="M8879" s="7" t="n"/>
      <c r="N8879">
        <f>IF(D8879="", "Gap - No Legal Basis", IF(AND(D8879="Consent (GDPR Art. 6(1)(a))", I8879="Not Captured"), "Gap - Invalid Consent", IF(AND(D8879="Legitimate Interest (GDPR Art. 6(1)(f))", L8879=""), "Gap - Missing LIA", IF(AND(G8879="Yes", H8879=""), "Gap - Missing Art. 9 Basis", IF(OR(I8879="Invalid - Not Freely Given", I8879="Invalid - Not Specific", I8879="Invalid - Not Informed", I8879="Invalid - Ambiguous"), "Gap - Invalid Consent", "Compliant")))))</f>
        <v/>
      </c>
      <c r="O8879" s="7" t="n"/>
    </row>
    <row r="8880">
      <c r="A8880" s="7" t="n"/>
      <c r="B8880" s="7" t="n"/>
      <c r="C8880" s="7" t="n"/>
      <c r="D8880" s="7" t="n"/>
      <c r="E8880" s="7" t="n"/>
      <c r="F8880" s="7" t="n"/>
      <c r="G8880" s="7" t="n"/>
      <c r="H8880" s="7" t="n"/>
      <c r="I8880" s="7" t="n"/>
      <c r="J8880" s="7" t="n"/>
      <c r="K8880">
        <f>IF(D8880="Legitimate Interest (GDPR Art. 6(1)(f))", "Yes / Required (Sheet 3)", "")</f>
        <v/>
      </c>
      <c r="L8880" s="7" t="n"/>
      <c r="M8880" s="7" t="n"/>
      <c r="N8880">
        <f>IF(D8880="", "Gap - No Legal Basis", IF(AND(D8880="Consent (GDPR Art. 6(1)(a))", I8880="Not Captured"), "Gap - Invalid Consent", IF(AND(D8880="Legitimate Interest (GDPR Art. 6(1)(f))", L8880=""), "Gap - Missing LIA", IF(AND(G8880="Yes", H8880=""), "Gap - Missing Art. 9 Basis", IF(OR(I8880="Invalid - Not Freely Given", I8880="Invalid - Not Specific", I8880="Invalid - Not Informed", I8880="Invalid - Ambiguous"), "Gap - Invalid Consent", "Compliant")))))</f>
        <v/>
      </c>
      <c r="O8880" s="7" t="n"/>
    </row>
    <row r="8881">
      <c r="A8881" s="7" t="n"/>
      <c r="B8881" s="7" t="n"/>
      <c r="C8881" s="7" t="n"/>
      <c r="D8881" s="7" t="n"/>
      <c r="E8881" s="7" t="n"/>
      <c r="F8881" s="7" t="n"/>
      <c r="G8881" s="7" t="n"/>
      <c r="H8881" s="7" t="n"/>
      <c r="I8881" s="7" t="n"/>
      <c r="J8881" s="7" t="n"/>
      <c r="K8881">
        <f>IF(D8881="Legitimate Interest (GDPR Art. 6(1)(f))", "Yes / Required (Sheet 3)", "")</f>
        <v/>
      </c>
      <c r="L8881" s="7" t="n"/>
      <c r="M8881" s="7" t="n"/>
      <c r="N8881">
        <f>IF(D8881="", "Gap - No Legal Basis", IF(AND(D8881="Consent (GDPR Art. 6(1)(a))", I8881="Not Captured"), "Gap - Invalid Consent", IF(AND(D8881="Legitimate Interest (GDPR Art. 6(1)(f))", L8881=""), "Gap - Missing LIA", IF(AND(G8881="Yes", H8881=""), "Gap - Missing Art. 9 Basis", IF(OR(I8881="Invalid - Not Freely Given", I8881="Invalid - Not Specific", I8881="Invalid - Not Informed", I8881="Invalid - Ambiguous"), "Gap - Invalid Consent", "Compliant")))))</f>
        <v/>
      </c>
      <c r="O8881" s="7" t="n"/>
    </row>
    <row r="8882">
      <c r="A8882" s="7" t="n"/>
      <c r="B8882" s="7" t="n"/>
      <c r="C8882" s="7" t="n"/>
      <c r="D8882" s="7" t="n"/>
      <c r="E8882" s="7" t="n"/>
      <c r="F8882" s="7" t="n"/>
      <c r="G8882" s="7" t="n"/>
      <c r="H8882" s="7" t="n"/>
      <c r="I8882" s="7" t="n"/>
      <c r="J8882" s="7" t="n"/>
      <c r="K8882">
        <f>IF(D8882="Legitimate Interest (GDPR Art. 6(1)(f))", "Yes / Required (Sheet 3)", "")</f>
        <v/>
      </c>
      <c r="L8882" s="7" t="n"/>
      <c r="M8882" s="7" t="n"/>
      <c r="N8882">
        <f>IF(D8882="", "Gap - No Legal Basis", IF(AND(D8882="Consent (GDPR Art. 6(1)(a))", I8882="Not Captured"), "Gap - Invalid Consent", IF(AND(D8882="Legitimate Interest (GDPR Art. 6(1)(f))", L8882=""), "Gap - Missing LIA", IF(AND(G8882="Yes", H8882=""), "Gap - Missing Art. 9 Basis", IF(OR(I8882="Invalid - Not Freely Given", I8882="Invalid - Not Specific", I8882="Invalid - Not Informed", I8882="Invalid - Ambiguous"), "Gap - Invalid Consent", "Compliant")))))</f>
        <v/>
      </c>
      <c r="O8882" s="7" t="n"/>
    </row>
    <row r="8883">
      <c r="A8883" s="7" t="n"/>
      <c r="B8883" s="7" t="n"/>
      <c r="C8883" s="7" t="n"/>
      <c r="D8883" s="7" t="n"/>
      <c r="E8883" s="7" t="n"/>
      <c r="F8883" s="7" t="n"/>
      <c r="G8883" s="7" t="n"/>
      <c r="H8883" s="7" t="n"/>
      <c r="I8883" s="7" t="n"/>
      <c r="J8883" s="7" t="n"/>
      <c r="K8883">
        <f>IF(D8883="Legitimate Interest (GDPR Art. 6(1)(f))", "Yes / Required (Sheet 3)", "")</f>
        <v/>
      </c>
      <c r="L8883" s="7" t="n"/>
      <c r="M8883" s="7" t="n"/>
      <c r="N8883">
        <f>IF(D8883="", "Gap - No Legal Basis", IF(AND(D8883="Consent (GDPR Art. 6(1)(a))", I8883="Not Captured"), "Gap - Invalid Consent", IF(AND(D8883="Legitimate Interest (GDPR Art. 6(1)(f))", L8883=""), "Gap - Missing LIA", IF(AND(G8883="Yes", H8883=""), "Gap - Missing Art. 9 Basis", IF(OR(I8883="Invalid - Not Freely Given", I8883="Invalid - Not Specific", I8883="Invalid - Not Informed", I8883="Invalid - Ambiguous"), "Gap - Invalid Consent", "Compliant")))))</f>
        <v/>
      </c>
      <c r="O8883" s="7" t="n"/>
    </row>
    <row r="8884">
      <c r="A8884" s="7" t="n"/>
      <c r="B8884" s="7" t="n"/>
      <c r="C8884" s="7" t="n"/>
      <c r="D8884" s="7" t="n"/>
      <c r="E8884" s="7" t="n"/>
      <c r="F8884" s="7" t="n"/>
      <c r="G8884" s="7" t="n"/>
      <c r="H8884" s="7" t="n"/>
      <c r="I8884" s="7" t="n"/>
      <c r="J8884" s="7" t="n"/>
      <c r="K8884">
        <f>IF(D8884="Legitimate Interest (GDPR Art. 6(1)(f))", "Yes / Required (Sheet 3)", "")</f>
        <v/>
      </c>
      <c r="L8884" s="7" t="n"/>
      <c r="M8884" s="7" t="n"/>
      <c r="N8884">
        <f>IF(D8884="", "Gap - No Legal Basis", IF(AND(D8884="Consent (GDPR Art. 6(1)(a))", I8884="Not Captured"), "Gap - Invalid Consent", IF(AND(D8884="Legitimate Interest (GDPR Art. 6(1)(f))", L8884=""), "Gap - Missing LIA", IF(AND(G8884="Yes", H8884=""), "Gap - Missing Art. 9 Basis", IF(OR(I8884="Invalid - Not Freely Given", I8884="Invalid - Not Specific", I8884="Invalid - Not Informed", I8884="Invalid - Ambiguous"), "Gap - Invalid Consent", "Compliant")))))</f>
        <v/>
      </c>
      <c r="O8884" s="7" t="n"/>
    </row>
    <row r="8885">
      <c r="A8885" s="7" t="n"/>
      <c r="B8885" s="7" t="n"/>
      <c r="C8885" s="7" t="n"/>
      <c r="D8885" s="7" t="n"/>
      <c r="E8885" s="7" t="n"/>
      <c r="F8885" s="7" t="n"/>
      <c r="G8885" s="7" t="n"/>
      <c r="H8885" s="7" t="n"/>
      <c r="I8885" s="7" t="n"/>
      <c r="J8885" s="7" t="n"/>
      <c r="K8885">
        <f>IF(D8885="Legitimate Interest (GDPR Art. 6(1)(f))", "Yes / Required (Sheet 3)", "")</f>
        <v/>
      </c>
      <c r="L8885" s="7" t="n"/>
      <c r="M8885" s="7" t="n"/>
      <c r="N8885">
        <f>IF(D8885="", "Gap - No Legal Basis", IF(AND(D8885="Consent (GDPR Art. 6(1)(a))", I8885="Not Captured"), "Gap - Invalid Consent", IF(AND(D8885="Legitimate Interest (GDPR Art. 6(1)(f))", L8885=""), "Gap - Missing LIA", IF(AND(G8885="Yes", H8885=""), "Gap - Missing Art. 9 Basis", IF(OR(I8885="Invalid - Not Freely Given", I8885="Invalid - Not Specific", I8885="Invalid - Not Informed", I8885="Invalid - Ambiguous"), "Gap - Invalid Consent", "Compliant")))))</f>
        <v/>
      </c>
      <c r="O8885" s="7" t="n"/>
    </row>
    <row r="8886">
      <c r="A8886" s="7" t="n"/>
      <c r="B8886" s="7" t="n"/>
      <c r="C8886" s="7" t="n"/>
      <c r="D8886" s="7" t="n"/>
      <c r="E8886" s="7" t="n"/>
      <c r="F8886" s="7" t="n"/>
      <c r="G8886" s="7" t="n"/>
      <c r="H8886" s="7" t="n"/>
      <c r="I8886" s="7" t="n"/>
      <c r="J8886" s="7" t="n"/>
      <c r="K8886">
        <f>IF(D8886="Legitimate Interest (GDPR Art. 6(1)(f))", "Yes / Required (Sheet 3)", "")</f>
        <v/>
      </c>
      <c r="L8886" s="7" t="n"/>
      <c r="M8886" s="7" t="n"/>
      <c r="N8886">
        <f>IF(D8886="", "Gap - No Legal Basis", IF(AND(D8886="Consent (GDPR Art. 6(1)(a))", I8886="Not Captured"), "Gap - Invalid Consent", IF(AND(D8886="Legitimate Interest (GDPR Art. 6(1)(f))", L8886=""), "Gap - Missing LIA", IF(AND(G8886="Yes", H8886=""), "Gap - Missing Art. 9 Basis", IF(OR(I8886="Invalid - Not Freely Given", I8886="Invalid - Not Specific", I8886="Invalid - Not Informed", I8886="Invalid - Ambiguous"), "Gap - Invalid Consent", "Compliant")))))</f>
        <v/>
      </c>
      <c r="O8886" s="7" t="n"/>
    </row>
    <row r="8887">
      <c r="A8887" s="7" t="n"/>
      <c r="B8887" s="7" t="n"/>
      <c r="C8887" s="7" t="n"/>
      <c r="D8887" s="7" t="n"/>
      <c r="E8887" s="7" t="n"/>
      <c r="F8887" s="7" t="n"/>
      <c r="G8887" s="7" t="n"/>
      <c r="H8887" s="7" t="n"/>
      <c r="I8887" s="7" t="n"/>
      <c r="J8887" s="7" t="n"/>
      <c r="K8887">
        <f>IF(D8887="Legitimate Interest (GDPR Art. 6(1)(f))", "Yes / Required (Sheet 3)", "")</f>
        <v/>
      </c>
      <c r="L8887" s="7" t="n"/>
      <c r="M8887" s="7" t="n"/>
      <c r="N8887">
        <f>IF(D8887="", "Gap - No Legal Basis", IF(AND(D8887="Consent (GDPR Art. 6(1)(a))", I8887="Not Captured"), "Gap - Invalid Consent", IF(AND(D8887="Legitimate Interest (GDPR Art. 6(1)(f))", L8887=""), "Gap - Missing LIA", IF(AND(G8887="Yes", H8887=""), "Gap - Missing Art. 9 Basis", IF(OR(I8887="Invalid - Not Freely Given", I8887="Invalid - Not Specific", I8887="Invalid - Not Informed", I8887="Invalid - Ambiguous"), "Gap - Invalid Consent", "Compliant")))))</f>
        <v/>
      </c>
      <c r="O8887" s="7" t="n"/>
    </row>
    <row r="8888">
      <c r="A8888" s="7" t="n"/>
      <c r="B8888" s="7" t="n"/>
      <c r="C8888" s="7" t="n"/>
      <c r="D8888" s="7" t="n"/>
      <c r="E8888" s="7" t="n"/>
      <c r="F8888" s="7" t="n"/>
      <c r="G8888" s="7" t="n"/>
      <c r="H8888" s="7" t="n"/>
      <c r="I8888" s="7" t="n"/>
      <c r="J8888" s="7" t="n"/>
      <c r="K8888">
        <f>IF(D8888="Legitimate Interest (GDPR Art. 6(1)(f))", "Yes / Required (Sheet 3)", "")</f>
        <v/>
      </c>
      <c r="L8888" s="7" t="n"/>
      <c r="M8888" s="7" t="n"/>
      <c r="N8888">
        <f>IF(D8888="", "Gap - No Legal Basis", IF(AND(D8888="Consent (GDPR Art. 6(1)(a))", I8888="Not Captured"), "Gap - Invalid Consent", IF(AND(D8888="Legitimate Interest (GDPR Art. 6(1)(f))", L8888=""), "Gap - Missing LIA", IF(AND(G8888="Yes", H8888=""), "Gap - Missing Art. 9 Basis", IF(OR(I8888="Invalid - Not Freely Given", I8888="Invalid - Not Specific", I8888="Invalid - Not Informed", I8888="Invalid - Ambiguous"), "Gap - Invalid Consent", "Compliant")))))</f>
        <v/>
      </c>
      <c r="O8888" s="7" t="n"/>
    </row>
    <row r="8889">
      <c r="A8889" s="7" t="n"/>
      <c r="B8889" s="7" t="n"/>
      <c r="C8889" s="7" t="n"/>
      <c r="D8889" s="7" t="n"/>
      <c r="E8889" s="7" t="n"/>
      <c r="F8889" s="7" t="n"/>
      <c r="G8889" s="7" t="n"/>
      <c r="H8889" s="7" t="n"/>
      <c r="I8889" s="7" t="n"/>
      <c r="J8889" s="7" t="n"/>
      <c r="K8889">
        <f>IF(D8889="Legitimate Interest (GDPR Art. 6(1)(f))", "Yes / Required (Sheet 3)", "")</f>
        <v/>
      </c>
      <c r="L8889" s="7" t="n"/>
      <c r="M8889" s="7" t="n"/>
      <c r="N8889">
        <f>IF(D8889="", "Gap - No Legal Basis", IF(AND(D8889="Consent (GDPR Art. 6(1)(a))", I8889="Not Captured"), "Gap - Invalid Consent", IF(AND(D8889="Legitimate Interest (GDPR Art. 6(1)(f))", L8889=""), "Gap - Missing LIA", IF(AND(G8889="Yes", H8889=""), "Gap - Missing Art. 9 Basis", IF(OR(I8889="Invalid - Not Freely Given", I8889="Invalid - Not Specific", I8889="Invalid - Not Informed", I8889="Invalid - Ambiguous"), "Gap - Invalid Consent", "Compliant")))))</f>
        <v/>
      </c>
      <c r="O8889" s="7" t="n"/>
    </row>
    <row r="8890">
      <c r="A8890" s="7" t="n"/>
      <c r="B8890" s="7" t="n"/>
      <c r="C8890" s="7" t="n"/>
      <c r="D8890" s="7" t="n"/>
      <c r="E8890" s="7" t="n"/>
      <c r="F8890" s="7" t="n"/>
      <c r="G8890" s="7" t="n"/>
      <c r="H8890" s="7" t="n"/>
      <c r="I8890" s="7" t="n"/>
      <c r="J8890" s="7" t="n"/>
      <c r="K8890">
        <f>IF(D8890="Legitimate Interest (GDPR Art. 6(1)(f))", "Yes / Required (Sheet 3)", "")</f>
        <v/>
      </c>
      <c r="L8890" s="7" t="n"/>
      <c r="M8890" s="7" t="n"/>
      <c r="N8890">
        <f>IF(D8890="", "Gap - No Legal Basis", IF(AND(D8890="Consent (GDPR Art. 6(1)(a))", I8890="Not Captured"), "Gap - Invalid Consent", IF(AND(D8890="Legitimate Interest (GDPR Art. 6(1)(f))", L8890=""), "Gap - Missing LIA", IF(AND(G8890="Yes", H8890=""), "Gap - Missing Art. 9 Basis", IF(OR(I8890="Invalid - Not Freely Given", I8890="Invalid - Not Specific", I8890="Invalid - Not Informed", I8890="Invalid - Ambiguous"), "Gap - Invalid Consent", "Compliant")))))</f>
        <v/>
      </c>
      <c r="O8890" s="7" t="n"/>
    </row>
    <row r="8891">
      <c r="A8891" s="7" t="n"/>
      <c r="B8891" s="7" t="n"/>
      <c r="C8891" s="7" t="n"/>
      <c r="D8891" s="7" t="n"/>
      <c r="E8891" s="7" t="n"/>
      <c r="F8891" s="7" t="n"/>
      <c r="G8891" s="7" t="n"/>
      <c r="H8891" s="7" t="n"/>
      <c r="I8891" s="7" t="n"/>
      <c r="J8891" s="7" t="n"/>
      <c r="K8891">
        <f>IF(D8891="Legitimate Interest (GDPR Art. 6(1)(f))", "Yes / Required (Sheet 3)", "")</f>
        <v/>
      </c>
      <c r="L8891" s="7" t="n"/>
      <c r="M8891" s="7" t="n"/>
      <c r="N8891">
        <f>IF(D8891="", "Gap - No Legal Basis", IF(AND(D8891="Consent (GDPR Art. 6(1)(a))", I8891="Not Captured"), "Gap - Invalid Consent", IF(AND(D8891="Legitimate Interest (GDPR Art. 6(1)(f))", L8891=""), "Gap - Missing LIA", IF(AND(G8891="Yes", H8891=""), "Gap - Missing Art. 9 Basis", IF(OR(I8891="Invalid - Not Freely Given", I8891="Invalid - Not Specific", I8891="Invalid - Not Informed", I8891="Invalid - Ambiguous"), "Gap - Invalid Consent", "Compliant")))))</f>
        <v/>
      </c>
      <c r="O8891" s="7" t="n"/>
    </row>
    <row r="8892">
      <c r="A8892" s="7" t="n"/>
      <c r="B8892" s="7" t="n"/>
      <c r="C8892" s="7" t="n"/>
      <c r="D8892" s="7" t="n"/>
      <c r="E8892" s="7" t="n"/>
      <c r="F8892" s="7" t="n"/>
      <c r="G8892" s="7" t="n"/>
      <c r="H8892" s="7" t="n"/>
      <c r="I8892" s="7" t="n"/>
      <c r="J8892" s="7" t="n"/>
      <c r="K8892">
        <f>IF(D8892="Legitimate Interest (GDPR Art. 6(1)(f))", "Yes / Required (Sheet 3)", "")</f>
        <v/>
      </c>
      <c r="L8892" s="7" t="n"/>
      <c r="M8892" s="7" t="n"/>
      <c r="N8892">
        <f>IF(D8892="", "Gap - No Legal Basis", IF(AND(D8892="Consent (GDPR Art. 6(1)(a))", I8892="Not Captured"), "Gap - Invalid Consent", IF(AND(D8892="Legitimate Interest (GDPR Art. 6(1)(f))", L8892=""), "Gap - Missing LIA", IF(AND(G8892="Yes", H8892=""), "Gap - Missing Art. 9 Basis", IF(OR(I8892="Invalid - Not Freely Given", I8892="Invalid - Not Specific", I8892="Invalid - Not Informed", I8892="Invalid - Ambiguous"), "Gap - Invalid Consent", "Compliant")))))</f>
        <v/>
      </c>
      <c r="O8892" s="7" t="n"/>
    </row>
    <row r="8893">
      <c r="A8893" s="7" t="n"/>
      <c r="B8893" s="7" t="n"/>
      <c r="C8893" s="7" t="n"/>
      <c r="D8893" s="7" t="n"/>
      <c r="E8893" s="7" t="n"/>
      <c r="F8893" s="7" t="n"/>
      <c r="G8893" s="7" t="n"/>
      <c r="H8893" s="7" t="n"/>
      <c r="I8893" s="7" t="n"/>
      <c r="J8893" s="7" t="n"/>
      <c r="K8893">
        <f>IF(D8893="Legitimate Interest (GDPR Art. 6(1)(f))", "Yes / Required (Sheet 3)", "")</f>
        <v/>
      </c>
      <c r="L8893" s="7" t="n"/>
      <c r="M8893" s="7" t="n"/>
      <c r="N8893">
        <f>IF(D8893="", "Gap - No Legal Basis", IF(AND(D8893="Consent (GDPR Art. 6(1)(a))", I8893="Not Captured"), "Gap - Invalid Consent", IF(AND(D8893="Legitimate Interest (GDPR Art. 6(1)(f))", L8893=""), "Gap - Missing LIA", IF(AND(G8893="Yes", H8893=""), "Gap - Missing Art. 9 Basis", IF(OR(I8893="Invalid - Not Freely Given", I8893="Invalid - Not Specific", I8893="Invalid - Not Informed", I8893="Invalid - Ambiguous"), "Gap - Invalid Consent", "Compliant")))))</f>
        <v/>
      </c>
      <c r="O8893" s="7" t="n"/>
    </row>
    <row r="8894">
      <c r="A8894" s="7" t="n"/>
      <c r="B8894" s="7" t="n"/>
      <c r="C8894" s="7" t="n"/>
      <c r="D8894" s="7" t="n"/>
      <c r="E8894" s="7" t="n"/>
      <c r="F8894" s="7" t="n"/>
      <c r="G8894" s="7" t="n"/>
      <c r="H8894" s="7" t="n"/>
      <c r="I8894" s="7" t="n"/>
      <c r="J8894" s="7" t="n"/>
      <c r="K8894">
        <f>IF(D8894="Legitimate Interest (GDPR Art. 6(1)(f))", "Yes / Required (Sheet 3)", "")</f>
        <v/>
      </c>
      <c r="L8894" s="7" t="n"/>
      <c r="M8894" s="7" t="n"/>
      <c r="N8894">
        <f>IF(D8894="", "Gap - No Legal Basis", IF(AND(D8894="Consent (GDPR Art. 6(1)(a))", I8894="Not Captured"), "Gap - Invalid Consent", IF(AND(D8894="Legitimate Interest (GDPR Art. 6(1)(f))", L8894=""), "Gap - Missing LIA", IF(AND(G8894="Yes", H8894=""), "Gap - Missing Art. 9 Basis", IF(OR(I8894="Invalid - Not Freely Given", I8894="Invalid - Not Specific", I8894="Invalid - Not Informed", I8894="Invalid - Ambiguous"), "Gap - Invalid Consent", "Compliant")))))</f>
        <v/>
      </c>
      <c r="O8894" s="7" t="n"/>
    </row>
    <row r="8895">
      <c r="A8895" s="7" t="n"/>
      <c r="B8895" s="7" t="n"/>
      <c r="C8895" s="7" t="n"/>
      <c r="D8895" s="7" t="n"/>
      <c r="E8895" s="7" t="n"/>
      <c r="F8895" s="7" t="n"/>
      <c r="G8895" s="7" t="n"/>
      <c r="H8895" s="7" t="n"/>
      <c r="I8895" s="7" t="n"/>
      <c r="J8895" s="7" t="n"/>
      <c r="K8895">
        <f>IF(D8895="Legitimate Interest (GDPR Art. 6(1)(f))", "Yes / Required (Sheet 3)", "")</f>
        <v/>
      </c>
      <c r="L8895" s="7" t="n"/>
      <c r="M8895" s="7" t="n"/>
      <c r="N8895">
        <f>IF(D8895="", "Gap - No Legal Basis", IF(AND(D8895="Consent (GDPR Art. 6(1)(a))", I8895="Not Captured"), "Gap - Invalid Consent", IF(AND(D8895="Legitimate Interest (GDPR Art. 6(1)(f))", L8895=""), "Gap - Missing LIA", IF(AND(G8895="Yes", H8895=""), "Gap - Missing Art. 9 Basis", IF(OR(I8895="Invalid - Not Freely Given", I8895="Invalid - Not Specific", I8895="Invalid - Not Informed", I8895="Invalid - Ambiguous"), "Gap - Invalid Consent", "Compliant")))))</f>
        <v/>
      </c>
      <c r="O8895" s="7" t="n"/>
    </row>
    <row r="8896">
      <c r="A8896" s="7" t="n"/>
      <c r="B8896" s="7" t="n"/>
      <c r="C8896" s="7" t="n"/>
      <c r="D8896" s="7" t="n"/>
      <c r="E8896" s="7" t="n"/>
      <c r="F8896" s="7" t="n"/>
      <c r="G8896" s="7" t="n"/>
      <c r="H8896" s="7" t="n"/>
      <c r="I8896" s="7" t="n"/>
      <c r="J8896" s="7" t="n"/>
      <c r="K8896">
        <f>IF(D8896="Legitimate Interest (GDPR Art. 6(1)(f))", "Yes / Required (Sheet 3)", "")</f>
        <v/>
      </c>
      <c r="L8896" s="7" t="n"/>
      <c r="M8896" s="7" t="n"/>
      <c r="N8896">
        <f>IF(D8896="", "Gap - No Legal Basis", IF(AND(D8896="Consent (GDPR Art. 6(1)(a))", I8896="Not Captured"), "Gap - Invalid Consent", IF(AND(D8896="Legitimate Interest (GDPR Art. 6(1)(f))", L8896=""), "Gap - Missing LIA", IF(AND(G8896="Yes", H8896=""), "Gap - Missing Art. 9 Basis", IF(OR(I8896="Invalid - Not Freely Given", I8896="Invalid - Not Specific", I8896="Invalid - Not Informed", I8896="Invalid - Ambiguous"), "Gap - Invalid Consent", "Compliant")))))</f>
        <v/>
      </c>
      <c r="O8896" s="7" t="n"/>
    </row>
    <row r="8897">
      <c r="A8897" s="7" t="n"/>
      <c r="B8897" s="7" t="n"/>
      <c r="C8897" s="7" t="n"/>
      <c r="D8897" s="7" t="n"/>
      <c r="E8897" s="7" t="n"/>
      <c r="F8897" s="7" t="n"/>
      <c r="G8897" s="7" t="n"/>
      <c r="H8897" s="7" t="n"/>
      <c r="I8897" s="7" t="n"/>
      <c r="J8897" s="7" t="n"/>
      <c r="K8897">
        <f>IF(D8897="Legitimate Interest (GDPR Art. 6(1)(f))", "Yes / Required (Sheet 3)", "")</f>
        <v/>
      </c>
      <c r="L8897" s="7" t="n"/>
      <c r="M8897" s="7" t="n"/>
      <c r="N8897">
        <f>IF(D8897="", "Gap - No Legal Basis", IF(AND(D8897="Consent (GDPR Art. 6(1)(a))", I8897="Not Captured"), "Gap - Invalid Consent", IF(AND(D8897="Legitimate Interest (GDPR Art. 6(1)(f))", L8897=""), "Gap - Missing LIA", IF(AND(G8897="Yes", H8897=""), "Gap - Missing Art. 9 Basis", IF(OR(I8897="Invalid - Not Freely Given", I8897="Invalid - Not Specific", I8897="Invalid - Not Informed", I8897="Invalid - Ambiguous"), "Gap - Invalid Consent", "Compliant")))))</f>
        <v/>
      </c>
      <c r="O8897" s="7" t="n"/>
    </row>
    <row r="8898">
      <c r="A8898" s="7" t="n"/>
      <c r="B8898" s="7" t="n"/>
      <c r="C8898" s="7" t="n"/>
      <c r="D8898" s="7" t="n"/>
      <c r="E8898" s="7" t="n"/>
      <c r="F8898" s="7" t="n"/>
      <c r="G8898" s="7" t="n"/>
      <c r="H8898" s="7" t="n"/>
      <c r="I8898" s="7" t="n"/>
      <c r="J8898" s="7" t="n"/>
      <c r="K8898">
        <f>IF(D8898="Legitimate Interest (GDPR Art. 6(1)(f))", "Yes / Required (Sheet 3)", "")</f>
        <v/>
      </c>
      <c r="L8898" s="7" t="n"/>
      <c r="M8898" s="7" t="n"/>
      <c r="N8898">
        <f>IF(D8898="", "Gap - No Legal Basis", IF(AND(D8898="Consent (GDPR Art. 6(1)(a))", I8898="Not Captured"), "Gap - Invalid Consent", IF(AND(D8898="Legitimate Interest (GDPR Art. 6(1)(f))", L8898=""), "Gap - Missing LIA", IF(AND(G8898="Yes", H8898=""), "Gap - Missing Art. 9 Basis", IF(OR(I8898="Invalid - Not Freely Given", I8898="Invalid - Not Specific", I8898="Invalid - Not Informed", I8898="Invalid - Ambiguous"), "Gap - Invalid Consent", "Compliant")))))</f>
        <v/>
      </c>
      <c r="O8898" s="7" t="n"/>
    </row>
    <row r="8899">
      <c r="A8899" s="7" t="n"/>
      <c r="B8899" s="7" t="n"/>
      <c r="C8899" s="7" t="n"/>
      <c r="D8899" s="7" t="n"/>
      <c r="E8899" s="7" t="n"/>
      <c r="F8899" s="7" t="n"/>
      <c r="G8899" s="7" t="n"/>
      <c r="H8899" s="7" t="n"/>
      <c r="I8899" s="7" t="n"/>
      <c r="J8899" s="7" t="n"/>
      <c r="K8899">
        <f>IF(D8899="Legitimate Interest (GDPR Art. 6(1)(f))", "Yes / Required (Sheet 3)", "")</f>
        <v/>
      </c>
      <c r="L8899" s="7" t="n"/>
      <c r="M8899" s="7" t="n"/>
      <c r="N8899">
        <f>IF(D8899="", "Gap - No Legal Basis", IF(AND(D8899="Consent (GDPR Art. 6(1)(a))", I8899="Not Captured"), "Gap - Invalid Consent", IF(AND(D8899="Legitimate Interest (GDPR Art. 6(1)(f))", L8899=""), "Gap - Missing LIA", IF(AND(G8899="Yes", H8899=""), "Gap - Missing Art. 9 Basis", IF(OR(I8899="Invalid - Not Freely Given", I8899="Invalid - Not Specific", I8899="Invalid - Not Informed", I8899="Invalid - Ambiguous"), "Gap - Invalid Consent", "Compliant")))))</f>
        <v/>
      </c>
      <c r="O8899" s="7" t="n"/>
    </row>
    <row r="8900">
      <c r="A8900" s="7" t="n"/>
      <c r="B8900" s="7" t="n"/>
      <c r="C8900" s="7" t="n"/>
      <c r="D8900" s="7" t="n"/>
      <c r="E8900" s="7" t="n"/>
      <c r="F8900" s="7" t="n"/>
      <c r="G8900" s="7" t="n"/>
      <c r="H8900" s="7" t="n"/>
      <c r="I8900" s="7" t="n"/>
      <c r="J8900" s="7" t="n"/>
      <c r="K8900">
        <f>IF(D8900="Legitimate Interest (GDPR Art. 6(1)(f))", "Yes / Required (Sheet 3)", "")</f>
        <v/>
      </c>
      <c r="L8900" s="7" t="n"/>
      <c r="M8900" s="7" t="n"/>
      <c r="N8900">
        <f>IF(D8900="", "Gap - No Legal Basis", IF(AND(D8900="Consent (GDPR Art. 6(1)(a))", I8900="Not Captured"), "Gap - Invalid Consent", IF(AND(D8900="Legitimate Interest (GDPR Art. 6(1)(f))", L8900=""), "Gap - Missing LIA", IF(AND(G8900="Yes", H8900=""), "Gap - Missing Art. 9 Basis", IF(OR(I8900="Invalid - Not Freely Given", I8900="Invalid - Not Specific", I8900="Invalid - Not Informed", I8900="Invalid - Ambiguous"), "Gap - Invalid Consent", "Compliant")))))</f>
        <v/>
      </c>
      <c r="O8900" s="7" t="n"/>
    </row>
    <row r="8901">
      <c r="A8901" s="7" t="n"/>
      <c r="B8901" s="7" t="n"/>
      <c r="C8901" s="7" t="n"/>
      <c r="D8901" s="7" t="n"/>
      <c r="E8901" s="7" t="n"/>
      <c r="F8901" s="7" t="n"/>
      <c r="G8901" s="7" t="n"/>
      <c r="H8901" s="7" t="n"/>
      <c r="I8901" s="7" t="n"/>
      <c r="J8901" s="7" t="n"/>
      <c r="K8901">
        <f>IF(D8901="Legitimate Interest (GDPR Art. 6(1)(f))", "Yes / Required (Sheet 3)", "")</f>
        <v/>
      </c>
      <c r="L8901" s="7" t="n"/>
      <c r="M8901" s="7" t="n"/>
      <c r="N8901">
        <f>IF(D8901="", "Gap - No Legal Basis", IF(AND(D8901="Consent (GDPR Art. 6(1)(a))", I8901="Not Captured"), "Gap - Invalid Consent", IF(AND(D8901="Legitimate Interest (GDPR Art. 6(1)(f))", L8901=""), "Gap - Missing LIA", IF(AND(G8901="Yes", H8901=""), "Gap - Missing Art. 9 Basis", IF(OR(I8901="Invalid - Not Freely Given", I8901="Invalid - Not Specific", I8901="Invalid - Not Informed", I8901="Invalid - Ambiguous"), "Gap - Invalid Consent", "Compliant")))))</f>
        <v/>
      </c>
      <c r="O8901" s="7" t="n"/>
    </row>
    <row r="8902">
      <c r="A8902" s="7" t="n"/>
      <c r="B8902" s="7" t="n"/>
      <c r="C8902" s="7" t="n"/>
      <c r="D8902" s="7" t="n"/>
      <c r="E8902" s="7" t="n"/>
      <c r="F8902" s="7" t="n"/>
      <c r="G8902" s="7" t="n"/>
      <c r="H8902" s="7" t="n"/>
      <c r="I8902" s="7" t="n"/>
      <c r="J8902" s="7" t="n"/>
      <c r="K8902">
        <f>IF(D8902="Legitimate Interest (GDPR Art. 6(1)(f))", "Yes / Required (Sheet 3)", "")</f>
        <v/>
      </c>
      <c r="L8902" s="7" t="n"/>
      <c r="M8902" s="7" t="n"/>
      <c r="N8902">
        <f>IF(D8902="", "Gap - No Legal Basis", IF(AND(D8902="Consent (GDPR Art. 6(1)(a))", I8902="Not Captured"), "Gap - Invalid Consent", IF(AND(D8902="Legitimate Interest (GDPR Art. 6(1)(f))", L8902=""), "Gap - Missing LIA", IF(AND(G8902="Yes", H8902=""), "Gap - Missing Art. 9 Basis", IF(OR(I8902="Invalid - Not Freely Given", I8902="Invalid - Not Specific", I8902="Invalid - Not Informed", I8902="Invalid - Ambiguous"), "Gap - Invalid Consent", "Compliant")))))</f>
        <v/>
      </c>
      <c r="O8902" s="7" t="n"/>
    </row>
    <row r="8903">
      <c r="A8903" s="7" t="n"/>
      <c r="B8903" s="7" t="n"/>
      <c r="C8903" s="7" t="n"/>
      <c r="D8903" s="7" t="n"/>
      <c r="E8903" s="7" t="n"/>
      <c r="F8903" s="7" t="n"/>
      <c r="G8903" s="7" t="n"/>
      <c r="H8903" s="7" t="n"/>
      <c r="I8903" s="7" t="n"/>
      <c r="J8903" s="7" t="n"/>
      <c r="K8903">
        <f>IF(D8903="Legitimate Interest (GDPR Art. 6(1)(f))", "Yes / Required (Sheet 3)", "")</f>
        <v/>
      </c>
      <c r="L8903" s="7" t="n"/>
      <c r="M8903" s="7" t="n"/>
      <c r="N8903">
        <f>IF(D8903="", "Gap - No Legal Basis", IF(AND(D8903="Consent (GDPR Art. 6(1)(a))", I8903="Not Captured"), "Gap - Invalid Consent", IF(AND(D8903="Legitimate Interest (GDPR Art. 6(1)(f))", L8903=""), "Gap - Missing LIA", IF(AND(G8903="Yes", H8903=""), "Gap - Missing Art. 9 Basis", IF(OR(I8903="Invalid - Not Freely Given", I8903="Invalid - Not Specific", I8903="Invalid - Not Informed", I8903="Invalid - Ambiguous"), "Gap - Invalid Consent", "Compliant")))))</f>
        <v/>
      </c>
      <c r="O8903" s="7" t="n"/>
    </row>
    <row r="8904">
      <c r="A8904" s="7" t="n"/>
      <c r="B8904" s="7" t="n"/>
      <c r="C8904" s="7" t="n"/>
      <c r="D8904" s="7" t="n"/>
      <c r="E8904" s="7" t="n"/>
      <c r="F8904" s="7" t="n"/>
      <c r="G8904" s="7" t="n"/>
      <c r="H8904" s="7" t="n"/>
      <c r="I8904" s="7" t="n"/>
      <c r="J8904" s="7" t="n"/>
      <c r="K8904">
        <f>IF(D8904="Legitimate Interest (GDPR Art. 6(1)(f))", "Yes / Required (Sheet 3)", "")</f>
        <v/>
      </c>
      <c r="L8904" s="7" t="n"/>
      <c r="M8904" s="7" t="n"/>
      <c r="N8904">
        <f>IF(D8904="", "Gap - No Legal Basis", IF(AND(D8904="Consent (GDPR Art. 6(1)(a))", I8904="Not Captured"), "Gap - Invalid Consent", IF(AND(D8904="Legitimate Interest (GDPR Art. 6(1)(f))", L8904=""), "Gap - Missing LIA", IF(AND(G8904="Yes", H8904=""), "Gap - Missing Art. 9 Basis", IF(OR(I8904="Invalid - Not Freely Given", I8904="Invalid - Not Specific", I8904="Invalid - Not Informed", I8904="Invalid - Ambiguous"), "Gap - Invalid Consent", "Compliant")))))</f>
        <v/>
      </c>
      <c r="O8904" s="7" t="n"/>
    </row>
    <row r="8905">
      <c r="A8905" s="7" t="n"/>
      <c r="B8905" s="7" t="n"/>
      <c r="C8905" s="7" t="n"/>
      <c r="D8905" s="7" t="n"/>
      <c r="E8905" s="7" t="n"/>
      <c r="F8905" s="7" t="n"/>
      <c r="G8905" s="7" t="n"/>
      <c r="H8905" s="7" t="n"/>
      <c r="I8905" s="7" t="n"/>
      <c r="J8905" s="7" t="n"/>
      <c r="K8905">
        <f>IF(D8905="Legitimate Interest (GDPR Art. 6(1)(f))", "Yes / Required (Sheet 3)", "")</f>
        <v/>
      </c>
      <c r="L8905" s="7" t="n"/>
      <c r="M8905" s="7" t="n"/>
      <c r="N8905">
        <f>IF(D8905="", "Gap - No Legal Basis", IF(AND(D8905="Consent (GDPR Art. 6(1)(a))", I8905="Not Captured"), "Gap - Invalid Consent", IF(AND(D8905="Legitimate Interest (GDPR Art. 6(1)(f))", L8905=""), "Gap - Missing LIA", IF(AND(G8905="Yes", H8905=""), "Gap - Missing Art. 9 Basis", IF(OR(I8905="Invalid - Not Freely Given", I8905="Invalid - Not Specific", I8905="Invalid - Not Informed", I8905="Invalid - Ambiguous"), "Gap - Invalid Consent", "Compliant")))))</f>
        <v/>
      </c>
      <c r="O8905" s="7" t="n"/>
    </row>
    <row r="8906">
      <c r="A8906" s="7" t="n"/>
      <c r="B8906" s="7" t="n"/>
      <c r="C8906" s="7" t="n"/>
      <c r="D8906" s="7" t="n"/>
      <c r="E8906" s="7" t="n"/>
      <c r="F8906" s="7" t="n"/>
      <c r="G8906" s="7" t="n"/>
      <c r="H8906" s="7" t="n"/>
      <c r="I8906" s="7" t="n"/>
      <c r="J8906" s="7" t="n"/>
      <c r="K8906">
        <f>IF(D8906="Legitimate Interest (GDPR Art. 6(1)(f))", "Yes / Required (Sheet 3)", "")</f>
        <v/>
      </c>
      <c r="L8906" s="7" t="n"/>
      <c r="M8906" s="7" t="n"/>
      <c r="N8906">
        <f>IF(D8906="", "Gap - No Legal Basis", IF(AND(D8906="Consent (GDPR Art. 6(1)(a))", I8906="Not Captured"), "Gap - Invalid Consent", IF(AND(D8906="Legitimate Interest (GDPR Art. 6(1)(f))", L8906=""), "Gap - Missing LIA", IF(AND(G8906="Yes", H8906=""), "Gap - Missing Art. 9 Basis", IF(OR(I8906="Invalid - Not Freely Given", I8906="Invalid - Not Specific", I8906="Invalid - Not Informed", I8906="Invalid - Ambiguous"), "Gap - Invalid Consent", "Compliant")))))</f>
        <v/>
      </c>
      <c r="O8906" s="7" t="n"/>
    </row>
    <row r="8907">
      <c r="A8907" s="7" t="n"/>
      <c r="B8907" s="7" t="n"/>
      <c r="C8907" s="7" t="n"/>
      <c r="D8907" s="7" t="n"/>
      <c r="E8907" s="7" t="n"/>
      <c r="F8907" s="7" t="n"/>
      <c r="G8907" s="7" t="n"/>
      <c r="H8907" s="7" t="n"/>
      <c r="I8907" s="7" t="n"/>
      <c r="J8907" s="7" t="n"/>
      <c r="K8907">
        <f>IF(D8907="Legitimate Interest (GDPR Art. 6(1)(f))", "Yes / Required (Sheet 3)", "")</f>
        <v/>
      </c>
      <c r="L8907" s="7" t="n"/>
      <c r="M8907" s="7" t="n"/>
      <c r="N8907">
        <f>IF(D8907="", "Gap - No Legal Basis", IF(AND(D8907="Consent (GDPR Art. 6(1)(a))", I8907="Not Captured"), "Gap - Invalid Consent", IF(AND(D8907="Legitimate Interest (GDPR Art. 6(1)(f))", L8907=""), "Gap - Missing LIA", IF(AND(G8907="Yes", H8907=""), "Gap - Missing Art. 9 Basis", IF(OR(I8907="Invalid - Not Freely Given", I8907="Invalid - Not Specific", I8907="Invalid - Not Informed", I8907="Invalid - Ambiguous"), "Gap - Invalid Consent", "Compliant")))))</f>
        <v/>
      </c>
      <c r="O8907" s="7" t="n"/>
    </row>
    <row r="8908">
      <c r="A8908" s="7" t="n"/>
      <c r="B8908" s="7" t="n"/>
      <c r="C8908" s="7" t="n"/>
      <c r="D8908" s="7" t="n"/>
      <c r="E8908" s="7" t="n"/>
      <c r="F8908" s="7" t="n"/>
      <c r="G8908" s="7" t="n"/>
      <c r="H8908" s="7" t="n"/>
      <c r="I8908" s="7" t="n"/>
      <c r="J8908" s="7" t="n"/>
      <c r="K8908">
        <f>IF(D8908="Legitimate Interest (GDPR Art. 6(1)(f))", "Yes / Required (Sheet 3)", "")</f>
        <v/>
      </c>
      <c r="L8908" s="7" t="n"/>
      <c r="M8908" s="7" t="n"/>
      <c r="N8908">
        <f>IF(D8908="", "Gap - No Legal Basis", IF(AND(D8908="Consent (GDPR Art. 6(1)(a))", I8908="Not Captured"), "Gap - Invalid Consent", IF(AND(D8908="Legitimate Interest (GDPR Art. 6(1)(f))", L8908=""), "Gap - Missing LIA", IF(AND(G8908="Yes", H8908=""), "Gap - Missing Art. 9 Basis", IF(OR(I8908="Invalid - Not Freely Given", I8908="Invalid - Not Specific", I8908="Invalid - Not Informed", I8908="Invalid - Ambiguous"), "Gap - Invalid Consent", "Compliant")))))</f>
        <v/>
      </c>
      <c r="O8908" s="7" t="n"/>
    </row>
    <row r="8909">
      <c r="A8909" s="7" t="n"/>
      <c r="B8909" s="7" t="n"/>
      <c r="C8909" s="7" t="n"/>
      <c r="D8909" s="7" t="n"/>
      <c r="E8909" s="7" t="n"/>
      <c r="F8909" s="7" t="n"/>
      <c r="G8909" s="7" t="n"/>
      <c r="H8909" s="7" t="n"/>
      <c r="I8909" s="7" t="n"/>
      <c r="J8909" s="7" t="n"/>
      <c r="K8909">
        <f>IF(D8909="Legitimate Interest (GDPR Art. 6(1)(f))", "Yes / Required (Sheet 3)", "")</f>
        <v/>
      </c>
      <c r="L8909" s="7" t="n"/>
      <c r="M8909" s="7" t="n"/>
      <c r="N8909">
        <f>IF(D8909="", "Gap - No Legal Basis", IF(AND(D8909="Consent (GDPR Art. 6(1)(a))", I8909="Not Captured"), "Gap - Invalid Consent", IF(AND(D8909="Legitimate Interest (GDPR Art. 6(1)(f))", L8909=""), "Gap - Missing LIA", IF(AND(G8909="Yes", H8909=""), "Gap - Missing Art. 9 Basis", IF(OR(I8909="Invalid - Not Freely Given", I8909="Invalid - Not Specific", I8909="Invalid - Not Informed", I8909="Invalid - Ambiguous"), "Gap - Invalid Consent", "Compliant")))))</f>
        <v/>
      </c>
      <c r="O8909" s="7" t="n"/>
    </row>
    <row r="8910">
      <c r="A8910" s="7" t="n"/>
      <c r="B8910" s="7" t="n"/>
      <c r="C8910" s="7" t="n"/>
      <c r="D8910" s="7" t="n"/>
      <c r="E8910" s="7" t="n"/>
      <c r="F8910" s="7" t="n"/>
      <c r="G8910" s="7" t="n"/>
      <c r="H8910" s="7" t="n"/>
      <c r="I8910" s="7" t="n"/>
      <c r="J8910" s="7" t="n"/>
      <c r="K8910">
        <f>IF(D8910="Legitimate Interest (GDPR Art. 6(1)(f))", "Yes / Required (Sheet 3)", "")</f>
        <v/>
      </c>
      <c r="L8910" s="7" t="n"/>
      <c r="M8910" s="7" t="n"/>
      <c r="N8910">
        <f>IF(D8910="", "Gap - No Legal Basis", IF(AND(D8910="Consent (GDPR Art. 6(1)(a))", I8910="Not Captured"), "Gap - Invalid Consent", IF(AND(D8910="Legitimate Interest (GDPR Art. 6(1)(f))", L8910=""), "Gap - Missing LIA", IF(AND(G8910="Yes", H8910=""), "Gap - Missing Art. 9 Basis", IF(OR(I8910="Invalid - Not Freely Given", I8910="Invalid - Not Specific", I8910="Invalid - Not Informed", I8910="Invalid - Ambiguous"), "Gap - Invalid Consent", "Compliant")))))</f>
        <v/>
      </c>
      <c r="O8910" s="7" t="n"/>
    </row>
    <row r="8911">
      <c r="A8911" s="7" t="n"/>
      <c r="B8911" s="7" t="n"/>
      <c r="C8911" s="7" t="n"/>
      <c r="D8911" s="7" t="n"/>
      <c r="E8911" s="7" t="n"/>
      <c r="F8911" s="7" t="n"/>
      <c r="G8911" s="7" t="n"/>
      <c r="H8911" s="7" t="n"/>
      <c r="I8911" s="7" t="n"/>
      <c r="J8911" s="7" t="n"/>
      <c r="K8911">
        <f>IF(D8911="Legitimate Interest (GDPR Art. 6(1)(f))", "Yes / Required (Sheet 3)", "")</f>
        <v/>
      </c>
      <c r="L8911" s="7" t="n"/>
      <c r="M8911" s="7" t="n"/>
      <c r="N8911">
        <f>IF(D8911="", "Gap - No Legal Basis", IF(AND(D8911="Consent (GDPR Art. 6(1)(a))", I8911="Not Captured"), "Gap - Invalid Consent", IF(AND(D8911="Legitimate Interest (GDPR Art. 6(1)(f))", L8911=""), "Gap - Missing LIA", IF(AND(G8911="Yes", H8911=""), "Gap - Missing Art. 9 Basis", IF(OR(I8911="Invalid - Not Freely Given", I8911="Invalid - Not Specific", I8911="Invalid - Not Informed", I8911="Invalid - Ambiguous"), "Gap - Invalid Consent", "Compliant")))))</f>
        <v/>
      </c>
      <c r="O8911" s="7" t="n"/>
    </row>
    <row r="8912">
      <c r="A8912" s="7" t="n"/>
      <c r="B8912" s="7" t="n"/>
      <c r="C8912" s="7" t="n"/>
      <c r="D8912" s="7" t="n"/>
      <c r="E8912" s="7" t="n"/>
      <c r="F8912" s="7" t="n"/>
      <c r="G8912" s="7" t="n"/>
      <c r="H8912" s="7" t="n"/>
      <c r="I8912" s="7" t="n"/>
      <c r="J8912" s="7" t="n"/>
      <c r="K8912">
        <f>IF(D8912="Legitimate Interest (GDPR Art. 6(1)(f))", "Yes / Required (Sheet 3)", "")</f>
        <v/>
      </c>
      <c r="L8912" s="7" t="n"/>
      <c r="M8912" s="7" t="n"/>
      <c r="N8912">
        <f>IF(D8912="", "Gap - No Legal Basis", IF(AND(D8912="Consent (GDPR Art. 6(1)(a))", I8912="Not Captured"), "Gap - Invalid Consent", IF(AND(D8912="Legitimate Interest (GDPR Art. 6(1)(f))", L8912=""), "Gap - Missing LIA", IF(AND(G8912="Yes", H8912=""), "Gap - Missing Art. 9 Basis", IF(OR(I8912="Invalid - Not Freely Given", I8912="Invalid - Not Specific", I8912="Invalid - Not Informed", I8912="Invalid - Ambiguous"), "Gap - Invalid Consent", "Compliant")))))</f>
        <v/>
      </c>
      <c r="O8912" s="7" t="n"/>
    </row>
    <row r="8913">
      <c r="A8913" s="7" t="n"/>
      <c r="B8913" s="7" t="n"/>
      <c r="C8913" s="7" t="n"/>
      <c r="D8913" s="7" t="n"/>
      <c r="E8913" s="7" t="n"/>
      <c r="F8913" s="7" t="n"/>
      <c r="G8913" s="7" t="n"/>
      <c r="H8913" s="7" t="n"/>
      <c r="I8913" s="7" t="n"/>
      <c r="J8913" s="7" t="n"/>
      <c r="K8913">
        <f>IF(D8913="Legitimate Interest (GDPR Art. 6(1)(f))", "Yes / Required (Sheet 3)", "")</f>
        <v/>
      </c>
      <c r="L8913" s="7" t="n"/>
      <c r="M8913" s="7" t="n"/>
      <c r="N8913">
        <f>IF(D8913="", "Gap - No Legal Basis", IF(AND(D8913="Consent (GDPR Art. 6(1)(a))", I8913="Not Captured"), "Gap - Invalid Consent", IF(AND(D8913="Legitimate Interest (GDPR Art. 6(1)(f))", L8913=""), "Gap - Missing LIA", IF(AND(G8913="Yes", H8913=""), "Gap - Missing Art. 9 Basis", IF(OR(I8913="Invalid - Not Freely Given", I8913="Invalid - Not Specific", I8913="Invalid - Not Informed", I8913="Invalid - Ambiguous"), "Gap - Invalid Consent", "Compliant")))))</f>
        <v/>
      </c>
      <c r="O8913" s="7" t="n"/>
    </row>
    <row r="8914">
      <c r="A8914" s="7" t="n"/>
      <c r="B8914" s="7" t="n"/>
      <c r="C8914" s="7" t="n"/>
      <c r="D8914" s="7" t="n"/>
      <c r="E8914" s="7" t="n"/>
      <c r="F8914" s="7" t="n"/>
      <c r="G8914" s="7" t="n"/>
      <c r="H8914" s="7" t="n"/>
      <c r="I8914" s="7" t="n"/>
      <c r="J8914" s="7" t="n"/>
      <c r="K8914">
        <f>IF(D8914="Legitimate Interest (GDPR Art. 6(1)(f))", "Yes / Required (Sheet 3)", "")</f>
        <v/>
      </c>
      <c r="L8914" s="7" t="n"/>
      <c r="M8914" s="7" t="n"/>
      <c r="N8914">
        <f>IF(D8914="", "Gap - No Legal Basis", IF(AND(D8914="Consent (GDPR Art. 6(1)(a))", I8914="Not Captured"), "Gap - Invalid Consent", IF(AND(D8914="Legitimate Interest (GDPR Art. 6(1)(f))", L8914=""), "Gap - Missing LIA", IF(AND(G8914="Yes", H8914=""), "Gap - Missing Art. 9 Basis", IF(OR(I8914="Invalid - Not Freely Given", I8914="Invalid - Not Specific", I8914="Invalid - Not Informed", I8914="Invalid - Ambiguous"), "Gap - Invalid Consent", "Compliant")))))</f>
        <v/>
      </c>
      <c r="O8914" s="7" t="n"/>
    </row>
    <row r="8915">
      <c r="A8915" s="7" t="n"/>
      <c r="B8915" s="7" t="n"/>
      <c r="C8915" s="7" t="n"/>
      <c r="D8915" s="7" t="n"/>
      <c r="E8915" s="7" t="n"/>
      <c r="F8915" s="7" t="n"/>
      <c r="G8915" s="7" t="n"/>
      <c r="H8915" s="7" t="n"/>
      <c r="I8915" s="7" t="n"/>
      <c r="J8915" s="7" t="n"/>
      <c r="K8915">
        <f>IF(D8915="Legitimate Interest (GDPR Art. 6(1)(f))", "Yes / Required (Sheet 3)", "")</f>
        <v/>
      </c>
      <c r="L8915" s="7" t="n"/>
      <c r="M8915" s="7" t="n"/>
      <c r="N8915">
        <f>IF(D8915="", "Gap - No Legal Basis", IF(AND(D8915="Consent (GDPR Art. 6(1)(a))", I8915="Not Captured"), "Gap - Invalid Consent", IF(AND(D8915="Legitimate Interest (GDPR Art. 6(1)(f))", L8915=""), "Gap - Missing LIA", IF(AND(G8915="Yes", H8915=""), "Gap - Missing Art. 9 Basis", IF(OR(I8915="Invalid - Not Freely Given", I8915="Invalid - Not Specific", I8915="Invalid - Not Informed", I8915="Invalid - Ambiguous"), "Gap - Invalid Consent", "Compliant")))))</f>
        <v/>
      </c>
      <c r="O8915" s="7" t="n"/>
    </row>
    <row r="8916">
      <c r="A8916" s="7" t="n"/>
      <c r="B8916" s="7" t="n"/>
      <c r="C8916" s="7" t="n"/>
      <c r="D8916" s="7" t="n"/>
      <c r="E8916" s="7" t="n"/>
      <c r="F8916" s="7" t="n"/>
      <c r="G8916" s="7" t="n"/>
      <c r="H8916" s="7" t="n"/>
      <c r="I8916" s="7" t="n"/>
      <c r="J8916" s="7" t="n"/>
      <c r="K8916">
        <f>IF(D8916="Legitimate Interest (GDPR Art. 6(1)(f))", "Yes / Required (Sheet 3)", "")</f>
        <v/>
      </c>
      <c r="L8916" s="7" t="n"/>
      <c r="M8916" s="7" t="n"/>
      <c r="N8916">
        <f>IF(D8916="", "Gap - No Legal Basis", IF(AND(D8916="Consent (GDPR Art. 6(1)(a))", I8916="Not Captured"), "Gap - Invalid Consent", IF(AND(D8916="Legitimate Interest (GDPR Art. 6(1)(f))", L8916=""), "Gap - Missing LIA", IF(AND(G8916="Yes", H8916=""), "Gap - Missing Art. 9 Basis", IF(OR(I8916="Invalid - Not Freely Given", I8916="Invalid - Not Specific", I8916="Invalid - Not Informed", I8916="Invalid - Ambiguous"), "Gap - Invalid Consent", "Compliant")))))</f>
        <v/>
      </c>
      <c r="O8916" s="7" t="n"/>
    </row>
    <row r="8917">
      <c r="A8917" s="7" t="n"/>
      <c r="B8917" s="7" t="n"/>
      <c r="C8917" s="7" t="n"/>
      <c r="D8917" s="7" t="n"/>
      <c r="E8917" s="7" t="n"/>
      <c r="F8917" s="7" t="n"/>
      <c r="G8917" s="7" t="n"/>
      <c r="H8917" s="7" t="n"/>
      <c r="I8917" s="7" t="n"/>
      <c r="J8917" s="7" t="n"/>
      <c r="K8917">
        <f>IF(D8917="Legitimate Interest (GDPR Art. 6(1)(f))", "Yes / Required (Sheet 3)", "")</f>
        <v/>
      </c>
      <c r="L8917" s="7" t="n"/>
      <c r="M8917" s="7" t="n"/>
      <c r="N8917">
        <f>IF(D8917="", "Gap - No Legal Basis", IF(AND(D8917="Consent (GDPR Art. 6(1)(a))", I8917="Not Captured"), "Gap - Invalid Consent", IF(AND(D8917="Legitimate Interest (GDPR Art. 6(1)(f))", L8917=""), "Gap - Missing LIA", IF(AND(G8917="Yes", H8917=""), "Gap - Missing Art. 9 Basis", IF(OR(I8917="Invalid - Not Freely Given", I8917="Invalid - Not Specific", I8917="Invalid - Not Informed", I8917="Invalid - Ambiguous"), "Gap - Invalid Consent", "Compliant")))))</f>
        <v/>
      </c>
      <c r="O8917" s="7" t="n"/>
    </row>
    <row r="8918">
      <c r="A8918" s="7" t="n"/>
      <c r="B8918" s="7" t="n"/>
      <c r="C8918" s="7" t="n"/>
      <c r="D8918" s="7" t="n"/>
      <c r="E8918" s="7" t="n"/>
      <c r="F8918" s="7" t="n"/>
      <c r="G8918" s="7" t="n"/>
      <c r="H8918" s="7" t="n"/>
      <c r="I8918" s="7" t="n"/>
      <c r="J8918" s="7" t="n"/>
      <c r="K8918">
        <f>IF(D8918="Legitimate Interest (GDPR Art. 6(1)(f))", "Yes / Required (Sheet 3)", "")</f>
        <v/>
      </c>
      <c r="L8918" s="7" t="n"/>
      <c r="M8918" s="7" t="n"/>
      <c r="N8918">
        <f>IF(D8918="", "Gap - No Legal Basis", IF(AND(D8918="Consent (GDPR Art. 6(1)(a))", I8918="Not Captured"), "Gap - Invalid Consent", IF(AND(D8918="Legitimate Interest (GDPR Art. 6(1)(f))", L8918=""), "Gap - Missing LIA", IF(AND(G8918="Yes", H8918=""), "Gap - Missing Art. 9 Basis", IF(OR(I8918="Invalid - Not Freely Given", I8918="Invalid - Not Specific", I8918="Invalid - Not Informed", I8918="Invalid - Ambiguous"), "Gap - Invalid Consent", "Compliant")))))</f>
        <v/>
      </c>
      <c r="O8918" s="7" t="n"/>
    </row>
    <row r="8919">
      <c r="A8919" s="7" t="n"/>
      <c r="B8919" s="7" t="n"/>
      <c r="C8919" s="7" t="n"/>
      <c r="D8919" s="7" t="n"/>
      <c r="E8919" s="7" t="n"/>
      <c r="F8919" s="7" t="n"/>
      <c r="G8919" s="7" t="n"/>
      <c r="H8919" s="7" t="n"/>
      <c r="I8919" s="7" t="n"/>
      <c r="J8919" s="7" t="n"/>
      <c r="K8919">
        <f>IF(D8919="Legitimate Interest (GDPR Art. 6(1)(f))", "Yes / Required (Sheet 3)", "")</f>
        <v/>
      </c>
      <c r="L8919" s="7" t="n"/>
      <c r="M8919" s="7" t="n"/>
      <c r="N8919">
        <f>IF(D8919="", "Gap - No Legal Basis", IF(AND(D8919="Consent (GDPR Art. 6(1)(a))", I8919="Not Captured"), "Gap - Invalid Consent", IF(AND(D8919="Legitimate Interest (GDPR Art. 6(1)(f))", L8919=""), "Gap - Missing LIA", IF(AND(G8919="Yes", H8919=""), "Gap - Missing Art. 9 Basis", IF(OR(I8919="Invalid - Not Freely Given", I8919="Invalid - Not Specific", I8919="Invalid - Not Informed", I8919="Invalid - Ambiguous"), "Gap - Invalid Consent", "Compliant")))))</f>
        <v/>
      </c>
      <c r="O8919" s="7" t="n"/>
    </row>
    <row r="8920">
      <c r="A8920" s="7" t="n"/>
      <c r="B8920" s="7" t="n"/>
      <c r="C8920" s="7" t="n"/>
      <c r="D8920" s="7" t="n"/>
      <c r="E8920" s="7" t="n"/>
      <c r="F8920" s="7" t="n"/>
      <c r="G8920" s="7" t="n"/>
      <c r="H8920" s="7" t="n"/>
      <c r="I8920" s="7" t="n"/>
      <c r="J8920" s="7" t="n"/>
      <c r="K8920">
        <f>IF(D8920="Legitimate Interest (GDPR Art. 6(1)(f))", "Yes / Required (Sheet 3)", "")</f>
        <v/>
      </c>
      <c r="L8920" s="7" t="n"/>
      <c r="M8920" s="7" t="n"/>
      <c r="N8920">
        <f>IF(D8920="", "Gap - No Legal Basis", IF(AND(D8920="Consent (GDPR Art. 6(1)(a))", I8920="Not Captured"), "Gap - Invalid Consent", IF(AND(D8920="Legitimate Interest (GDPR Art. 6(1)(f))", L8920=""), "Gap - Missing LIA", IF(AND(G8920="Yes", H8920=""), "Gap - Missing Art. 9 Basis", IF(OR(I8920="Invalid - Not Freely Given", I8920="Invalid - Not Specific", I8920="Invalid - Not Informed", I8920="Invalid - Ambiguous"), "Gap - Invalid Consent", "Compliant")))))</f>
        <v/>
      </c>
      <c r="O8920" s="7" t="n"/>
    </row>
    <row r="8921">
      <c r="A8921" s="7" t="n"/>
      <c r="B8921" s="7" t="n"/>
      <c r="C8921" s="7" t="n"/>
      <c r="D8921" s="7" t="n"/>
      <c r="E8921" s="7" t="n"/>
      <c r="F8921" s="7" t="n"/>
      <c r="G8921" s="7" t="n"/>
      <c r="H8921" s="7" t="n"/>
      <c r="I8921" s="7" t="n"/>
      <c r="J8921" s="7" t="n"/>
      <c r="K8921">
        <f>IF(D8921="Legitimate Interest (GDPR Art. 6(1)(f))", "Yes / Required (Sheet 3)", "")</f>
        <v/>
      </c>
      <c r="L8921" s="7" t="n"/>
      <c r="M8921" s="7" t="n"/>
      <c r="N8921">
        <f>IF(D8921="", "Gap - No Legal Basis", IF(AND(D8921="Consent (GDPR Art. 6(1)(a))", I8921="Not Captured"), "Gap - Invalid Consent", IF(AND(D8921="Legitimate Interest (GDPR Art. 6(1)(f))", L8921=""), "Gap - Missing LIA", IF(AND(G8921="Yes", H8921=""), "Gap - Missing Art. 9 Basis", IF(OR(I8921="Invalid - Not Freely Given", I8921="Invalid - Not Specific", I8921="Invalid - Not Informed", I8921="Invalid - Ambiguous"), "Gap - Invalid Consent", "Compliant")))))</f>
        <v/>
      </c>
      <c r="O8921" s="7" t="n"/>
    </row>
    <row r="8922">
      <c r="A8922" s="7" t="n"/>
      <c r="B8922" s="7" t="n"/>
      <c r="C8922" s="7" t="n"/>
      <c r="D8922" s="7" t="n"/>
      <c r="E8922" s="7" t="n"/>
      <c r="F8922" s="7" t="n"/>
      <c r="G8922" s="7" t="n"/>
      <c r="H8922" s="7" t="n"/>
      <c r="I8922" s="7" t="n"/>
      <c r="J8922" s="7" t="n"/>
      <c r="K8922">
        <f>IF(D8922="Legitimate Interest (GDPR Art. 6(1)(f))", "Yes / Required (Sheet 3)", "")</f>
        <v/>
      </c>
      <c r="L8922" s="7" t="n"/>
      <c r="M8922" s="7" t="n"/>
      <c r="N8922">
        <f>IF(D8922="", "Gap - No Legal Basis", IF(AND(D8922="Consent (GDPR Art. 6(1)(a))", I8922="Not Captured"), "Gap - Invalid Consent", IF(AND(D8922="Legitimate Interest (GDPR Art. 6(1)(f))", L8922=""), "Gap - Missing LIA", IF(AND(G8922="Yes", H8922=""), "Gap - Missing Art. 9 Basis", IF(OR(I8922="Invalid - Not Freely Given", I8922="Invalid - Not Specific", I8922="Invalid - Not Informed", I8922="Invalid - Ambiguous"), "Gap - Invalid Consent", "Compliant")))))</f>
        <v/>
      </c>
      <c r="O8922" s="7" t="n"/>
    </row>
    <row r="8923">
      <c r="A8923" s="7" t="n"/>
      <c r="B8923" s="7" t="n"/>
      <c r="C8923" s="7" t="n"/>
      <c r="D8923" s="7" t="n"/>
      <c r="E8923" s="7" t="n"/>
      <c r="F8923" s="7" t="n"/>
      <c r="G8923" s="7" t="n"/>
      <c r="H8923" s="7" t="n"/>
      <c r="I8923" s="7" t="n"/>
      <c r="J8923" s="7" t="n"/>
      <c r="K8923">
        <f>IF(D8923="Legitimate Interest (GDPR Art. 6(1)(f))", "Yes / Required (Sheet 3)", "")</f>
        <v/>
      </c>
      <c r="L8923" s="7" t="n"/>
      <c r="M8923" s="7" t="n"/>
      <c r="N8923">
        <f>IF(D8923="", "Gap - No Legal Basis", IF(AND(D8923="Consent (GDPR Art. 6(1)(a))", I8923="Not Captured"), "Gap - Invalid Consent", IF(AND(D8923="Legitimate Interest (GDPR Art. 6(1)(f))", L8923=""), "Gap - Missing LIA", IF(AND(G8923="Yes", H8923=""), "Gap - Missing Art. 9 Basis", IF(OR(I8923="Invalid - Not Freely Given", I8923="Invalid - Not Specific", I8923="Invalid - Not Informed", I8923="Invalid - Ambiguous"), "Gap - Invalid Consent", "Compliant")))))</f>
        <v/>
      </c>
      <c r="O8923" s="7" t="n"/>
    </row>
    <row r="8924">
      <c r="A8924" s="7" t="n"/>
      <c r="B8924" s="7" t="n"/>
      <c r="C8924" s="7" t="n"/>
      <c r="D8924" s="7" t="n"/>
      <c r="E8924" s="7" t="n"/>
      <c r="F8924" s="7" t="n"/>
      <c r="G8924" s="7" t="n"/>
      <c r="H8924" s="7" t="n"/>
      <c r="I8924" s="7" t="n"/>
      <c r="J8924" s="7" t="n"/>
      <c r="K8924">
        <f>IF(D8924="Legitimate Interest (GDPR Art. 6(1)(f))", "Yes / Required (Sheet 3)", "")</f>
        <v/>
      </c>
      <c r="L8924" s="7" t="n"/>
      <c r="M8924" s="7" t="n"/>
      <c r="N8924">
        <f>IF(D8924="", "Gap - No Legal Basis", IF(AND(D8924="Consent (GDPR Art. 6(1)(a))", I8924="Not Captured"), "Gap - Invalid Consent", IF(AND(D8924="Legitimate Interest (GDPR Art. 6(1)(f))", L8924=""), "Gap - Missing LIA", IF(AND(G8924="Yes", H8924=""), "Gap - Missing Art. 9 Basis", IF(OR(I8924="Invalid - Not Freely Given", I8924="Invalid - Not Specific", I8924="Invalid - Not Informed", I8924="Invalid - Ambiguous"), "Gap - Invalid Consent", "Compliant")))))</f>
        <v/>
      </c>
      <c r="O8924" s="7" t="n"/>
    </row>
    <row r="8925">
      <c r="A8925" s="7" t="n"/>
      <c r="B8925" s="7" t="n"/>
      <c r="C8925" s="7" t="n"/>
      <c r="D8925" s="7" t="n"/>
      <c r="E8925" s="7" t="n"/>
      <c r="F8925" s="7" t="n"/>
      <c r="G8925" s="7" t="n"/>
      <c r="H8925" s="7" t="n"/>
      <c r="I8925" s="7" t="n"/>
      <c r="J8925" s="7" t="n"/>
      <c r="K8925">
        <f>IF(D8925="Legitimate Interest (GDPR Art. 6(1)(f))", "Yes / Required (Sheet 3)", "")</f>
        <v/>
      </c>
      <c r="L8925" s="7" t="n"/>
      <c r="M8925" s="7" t="n"/>
      <c r="N8925">
        <f>IF(D8925="", "Gap - No Legal Basis", IF(AND(D8925="Consent (GDPR Art. 6(1)(a))", I8925="Not Captured"), "Gap - Invalid Consent", IF(AND(D8925="Legitimate Interest (GDPR Art. 6(1)(f))", L8925=""), "Gap - Missing LIA", IF(AND(G8925="Yes", H8925=""), "Gap - Missing Art. 9 Basis", IF(OR(I8925="Invalid - Not Freely Given", I8925="Invalid - Not Specific", I8925="Invalid - Not Informed", I8925="Invalid - Ambiguous"), "Gap - Invalid Consent", "Compliant")))))</f>
        <v/>
      </c>
      <c r="O8925" s="7" t="n"/>
    </row>
    <row r="8926">
      <c r="A8926" s="7" t="n"/>
      <c r="B8926" s="7" t="n"/>
      <c r="C8926" s="7" t="n"/>
      <c r="D8926" s="7" t="n"/>
      <c r="E8926" s="7" t="n"/>
      <c r="F8926" s="7" t="n"/>
      <c r="G8926" s="7" t="n"/>
      <c r="H8926" s="7" t="n"/>
      <c r="I8926" s="7" t="n"/>
      <c r="J8926" s="7" t="n"/>
      <c r="K8926">
        <f>IF(D8926="Legitimate Interest (GDPR Art. 6(1)(f))", "Yes / Required (Sheet 3)", "")</f>
        <v/>
      </c>
      <c r="L8926" s="7" t="n"/>
      <c r="M8926" s="7" t="n"/>
      <c r="N8926">
        <f>IF(D8926="", "Gap - No Legal Basis", IF(AND(D8926="Consent (GDPR Art. 6(1)(a))", I8926="Not Captured"), "Gap - Invalid Consent", IF(AND(D8926="Legitimate Interest (GDPR Art. 6(1)(f))", L8926=""), "Gap - Missing LIA", IF(AND(G8926="Yes", H8926=""), "Gap - Missing Art. 9 Basis", IF(OR(I8926="Invalid - Not Freely Given", I8926="Invalid - Not Specific", I8926="Invalid - Not Informed", I8926="Invalid - Ambiguous"), "Gap - Invalid Consent", "Compliant")))))</f>
        <v/>
      </c>
      <c r="O8926" s="7" t="n"/>
    </row>
    <row r="8927">
      <c r="A8927" s="7" t="n"/>
      <c r="B8927" s="7" t="n"/>
      <c r="C8927" s="7" t="n"/>
      <c r="D8927" s="7" t="n"/>
      <c r="E8927" s="7" t="n"/>
      <c r="F8927" s="7" t="n"/>
      <c r="G8927" s="7" t="n"/>
      <c r="H8927" s="7" t="n"/>
      <c r="I8927" s="7" t="n"/>
      <c r="J8927" s="7" t="n"/>
      <c r="K8927">
        <f>IF(D8927="Legitimate Interest (GDPR Art. 6(1)(f))", "Yes / Required (Sheet 3)", "")</f>
        <v/>
      </c>
      <c r="L8927" s="7" t="n"/>
      <c r="M8927" s="7" t="n"/>
      <c r="N8927">
        <f>IF(D8927="", "Gap - No Legal Basis", IF(AND(D8927="Consent (GDPR Art. 6(1)(a))", I8927="Not Captured"), "Gap - Invalid Consent", IF(AND(D8927="Legitimate Interest (GDPR Art. 6(1)(f))", L8927=""), "Gap - Missing LIA", IF(AND(G8927="Yes", H8927=""), "Gap - Missing Art. 9 Basis", IF(OR(I8927="Invalid - Not Freely Given", I8927="Invalid - Not Specific", I8927="Invalid - Not Informed", I8927="Invalid - Ambiguous"), "Gap - Invalid Consent", "Compliant")))))</f>
        <v/>
      </c>
      <c r="O8927" s="7" t="n"/>
    </row>
    <row r="8928">
      <c r="A8928" s="7" t="n"/>
      <c r="B8928" s="7" t="n"/>
      <c r="C8928" s="7" t="n"/>
      <c r="D8928" s="7" t="n"/>
      <c r="E8928" s="7" t="n"/>
      <c r="F8928" s="7" t="n"/>
      <c r="G8928" s="7" t="n"/>
      <c r="H8928" s="7" t="n"/>
      <c r="I8928" s="7" t="n"/>
      <c r="J8928" s="7" t="n"/>
      <c r="K8928">
        <f>IF(D8928="Legitimate Interest (GDPR Art. 6(1)(f))", "Yes / Required (Sheet 3)", "")</f>
        <v/>
      </c>
      <c r="L8928" s="7" t="n"/>
      <c r="M8928" s="7" t="n"/>
      <c r="N8928">
        <f>IF(D8928="", "Gap - No Legal Basis", IF(AND(D8928="Consent (GDPR Art. 6(1)(a))", I8928="Not Captured"), "Gap - Invalid Consent", IF(AND(D8928="Legitimate Interest (GDPR Art. 6(1)(f))", L8928=""), "Gap - Missing LIA", IF(AND(G8928="Yes", H8928=""), "Gap - Missing Art. 9 Basis", IF(OR(I8928="Invalid - Not Freely Given", I8928="Invalid - Not Specific", I8928="Invalid - Not Informed", I8928="Invalid - Ambiguous"), "Gap - Invalid Consent", "Compliant")))))</f>
        <v/>
      </c>
      <c r="O8928" s="7" t="n"/>
    </row>
    <row r="8929">
      <c r="A8929" s="7" t="n"/>
      <c r="B8929" s="7" t="n"/>
      <c r="C8929" s="7" t="n"/>
      <c r="D8929" s="7" t="n"/>
      <c r="E8929" s="7" t="n"/>
      <c r="F8929" s="7" t="n"/>
      <c r="G8929" s="7" t="n"/>
      <c r="H8929" s="7" t="n"/>
      <c r="I8929" s="7" t="n"/>
      <c r="J8929" s="7" t="n"/>
      <c r="K8929">
        <f>IF(D8929="Legitimate Interest (GDPR Art. 6(1)(f))", "Yes / Required (Sheet 3)", "")</f>
        <v/>
      </c>
      <c r="L8929" s="7" t="n"/>
      <c r="M8929" s="7" t="n"/>
      <c r="N8929">
        <f>IF(D8929="", "Gap - No Legal Basis", IF(AND(D8929="Consent (GDPR Art. 6(1)(a))", I8929="Not Captured"), "Gap - Invalid Consent", IF(AND(D8929="Legitimate Interest (GDPR Art. 6(1)(f))", L8929=""), "Gap - Missing LIA", IF(AND(G8929="Yes", H8929=""), "Gap - Missing Art. 9 Basis", IF(OR(I8929="Invalid - Not Freely Given", I8929="Invalid - Not Specific", I8929="Invalid - Not Informed", I8929="Invalid - Ambiguous"), "Gap - Invalid Consent", "Compliant")))))</f>
        <v/>
      </c>
      <c r="O8929" s="7" t="n"/>
    </row>
    <row r="8930">
      <c r="A8930" s="7" t="n"/>
      <c r="B8930" s="7" t="n"/>
      <c r="C8930" s="7" t="n"/>
      <c r="D8930" s="7" t="n"/>
      <c r="E8930" s="7" t="n"/>
      <c r="F8930" s="7" t="n"/>
      <c r="G8930" s="7" t="n"/>
      <c r="H8930" s="7" t="n"/>
      <c r="I8930" s="7" t="n"/>
      <c r="J8930" s="7" t="n"/>
      <c r="K8930">
        <f>IF(D8930="Legitimate Interest (GDPR Art. 6(1)(f))", "Yes / Required (Sheet 3)", "")</f>
        <v/>
      </c>
      <c r="L8930" s="7" t="n"/>
      <c r="M8930" s="7" t="n"/>
      <c r="N8930">
        <f>IF(D8930="", "Gap - No Legal Basis", IF(AND(D8930="Consent (GDPR Art. 6(1)(a))", I8930="Not Captured"), "Gap - Invalid Consent", IF(AND(D8930="Legitimate Interest (GDPR Art. 6(1)(f))", L8930=""), "Gap - Missing LIA", IF(AND(G8930="Yes", H8930=""), "Gap - Missing Art. 9 Basis", IF(OR(I8930="Invalid - Not Freely Given", I8930="Invalid - Not Specific", I8930="Invalid - Not Informed", I8930="Invalid - Ambiguous"), "Gap - Invalid Consent", "Compliant")))))</f>
        <v/>
      </c>
      <c r="O8930" s="7" t="n"/>
    </row>
    <row r="8931">
      <c r="A8931" s="7" t="n"/>
      <c r="B8931" s="7" t="n"/>
      <c r="C8931" s="7" t="n"/>
      <c r="D8931" s="7" t="n"/>
      <c r="E8931" s="7" t="n"/>
      <c r="F8931" s="7" t="n"/>
      <c r="G8931" s="7" t="n"/>
      <c r="H8931" s="7" t="n"/>
      <c r="I8931" s="7" t="n"/>
      <c r="J8931" s="7" t="n"/>
      <c r="K8931">
        <f>IF(D8931="Legitimate Interest (GDPR Art. 6(1)(f))", "Yes / Required (Sheet 3)", "")</f>
        <v/>
      </c>
      <c r="L8931" s="7" t="n"/>
      <c r="M8931" s="7" t="n"/>
      <c r="N8931">
        <f>IF(D8931="", "Gap - No Legal Basis", IF(AND(D8931="Consent (GDPR Art. 6(1)(a))", I8931="Not Captured"), "Gap - Invalid Consent", IF(AND(D8931="Legitimate Interest (GDPR Art. 6(1)(f))", L8931=""), "Gap - Missing LIA", IF(AND(G8931="Yes", H8931=""), "Gap - Missing Art. 9 Basis", IF(OR(I8931="Invalid - Not Freely Given", I8931="Invalid - Not Specific", I8931="Invalid - Not Informed", I8931="Invalid - Ambiguous"), "Gap - Invalid Consent", "Compliant")))))</f>
        <v/>
      </c>
      <c r="O8931" s="7" t="n"/>
    </row>
    <row r="8932">
      <c r="A8932" s="7" t="n"/>
      <c r="B8932" s="7" t="n"/>
      <c r="C8932" s="7" t="n"/>
      <c r="D8932" s="7" t="n"/>
      <c r="E8932" s="7" t="n"/>
      <c r="F8932" s="7" t="n"/>
      <c r="G8932" s="7" t="n"/>
      <c r="H8932" s="7" t="n"/>
      <c r="I8932" s="7" t="n"/>
      <c r="J8932" s="7" t="n"/>
      <c r="K8932">
        <f>IF(D8932="Legitimate Interest (GDPR Art. 6(1)(f))", "Yes / Required (Sheet 3)", "")</f>
        <v/>
      </c>
      <c r="L8932" s="7" t="n"/>
      <c r="M8932" s="7" t="n"/>
      <c r="N8932">
        <f>IF(D8932="", "Gap - No Legal Basis", IF(AND(D8932="Consent (GDPR Art. 6(1)(a))", I8932="Not Captured"), "Gap - Invalid Consent", IF(AND(D8932="Legitimate Interest (GDPR Art. 6(1)(f))", L8932=""), "Gap - Missing LIA", IF(AND(G8932="Yes", H8932=""), "Gap - Missing Art. 9 Basis", IF(OR(I8932="Invalid - Not Freely Given", I8932="Invalid - Not Specific", I8932="Invalid - Not Informed", I8932="Invalid - Ambiguous"), "Gap - Invalid Consent", "Compliant")))))</f>
        <v/>
      </c>
      <c r="O8932" s="7" t="n"/>
    </row>
    <row r="8933">
      <c r="A8933" s="7" t="n"/>
      <c r="B8933" s="7" t="n"/>
      <c r="C8933" s="7" t="n"/>
      <c r="D8933" s="7" t="n"/>
      <c r="E8933" s="7" t="n"/>
      <c r="F8933" s="7" t="n"/>
      <c r="G8933" s="7" t="n"/>
      <c r="H8933" s="7" t="n"/>
      <c r="I8933" s="7" t="n"/>
      <c r="J8933" s="7" t="n"/>
      <c r="K8933">
        <f>IF(D8933="Legitimate Interest (GDPR Art. 6(1)(f))", "Yes / Required (Sheet 3)", "")</f>
        <v/>
      </c>
      <c r="L8933" s="7" t="n"/>
      <c r="M8933" s="7" t="n"/>
      <c r="N8933">
        <f>IF(D8933="", "Gap - No Legal Basis", IF(AND(D8933="Consent (GDPR Art. 6(1)(a))", I8933="Not Captured"), "Gap - Invalid Consent", IF(AND(D8933="Legitimate Interest (GDPR Art. 6(1)(f))", L8933=""), "Gap - Missing LIA", IF(AND(G8933="Yes", H8933=""), "Gap - Missing Art. 9 Basis", IF(OR(I8933="Invalid - Not Freely Given", I8933="Invalid - Not Specific", I8933="Invalid - Not Informed", I8933="Invalid - Ambiguous"), "Gap - Invalid Consent", "Compliant")))))</f>
        <v/>
      </c>
      <c r="O8933" s="7" t="n"/>
    </row>
    <row r="8934">
      <c r="A8934" s="7" t="n"/>
      <c r="B8934" s="7" t="n"/>
      <c r="C8934" s="7" t="n"/>
      <c r="D8934" s="7" t="n"/>
      <c r="E8934" s="7" t="n"/>
      <c r="F8934" s="7" t="n"/>
      <c r="G8934" s="7" t="n"/>
      <c r="H8934" s="7" t="n"/>
      <c r="I8934" s="7" t="n"/>
      <c r="J8934" s="7" t="n"/>
      <c r="K8934">
        <f>IF(D8934="Legitimate Interest (GDPR Art. 6(1)(f))", "Yes / Required (Sheet 3)", "")</f>
        <v/>
      </c>
      <c r="L8934" s="7" t="n"/>
      <c r="M8934" s="7" t="n"/>
      <c r="N8934">
        <f>IF(D8934="", "Gap - No Legal Basis", IF(AND(D8934="Consent (GDPR Art. 6(1)(a))", I8934="Not Captured"), "Gap - Invalid Consent", IF(AND(D8934="Legitimate Interest (GDPR Art. 6(1)(f))", L8934=""), "Gap - Missing LIA", IF(AND(G8934="Yes", H8934=""), "Gap - Missing Art. 9 Basis", IF(OR(I8934="Invalid - Not Freely Given", I8934="Invalid - Not Specific", I8934="Invalid - Not Informed", I8934="Invalid - Ambiguous"), "Gap - Invalid Consent", "Compliant")))))</f>
        <v/>
      </c>
      <c r="O8934" s="7" t="n"/>
    </row>
    <row r="8935">
      <c r="A8935" s="7" t="n"/>
      <c r="B8935" s="7" t="n"/>
      <c r="C8935" s="7" t="n"/>
      <c r="D8935" s="7" t="n"/>
      <c r="E8935" s="7" t="n"/>
      <c r="F8935" s="7" t="n"/>
      <c r="G8935" s="7" t="n"/>
      <c r="H8935" s="7" t="n"/>
      <c r="I8935" s="7" t="n"/>
      <c r="J8935" s="7" t="n"/>
      <c r="K8935">
        <f>IF(D8935="Legitimate Interest (GDPR Art. 6(1)(f))", "Yes / Required (Sheet 3)", "")</f>
        <v/>
      </c>
      <c r="L8935" s="7" t="n"/>
      <c r="M8935" s="7" t="n"/>
      <c r="N8935">
        <f>IF(D8935="", "Gap - No Legal Basis", IF(AND(D8935="Consent (GDPR Art. 6(1)(a))", I8935="Not Captured"), "Gap - Invalid Consent", IF(AND(D8935="Legitimate Interest (GDPR Art. 6(1)(f))", L8935=""), "Gap - Missing LIA", IF(AND(G8935="Yes", H8935=""), "Gap - Missing Art. 9 Basis", IF(OR(I8935="Invalid - Not Freely Given", I8935="Invalid - Not Specific", I8935="Invalid - Not Informed", I8935="Invalid - Ambiguous"), "Gap - Invalid Consent", "Compliant")))))</f>
        <v/>
      </c>
      <c r="O8935" s="7" t="n"/>
    </row>
    <row r="8936">
      <c r="A8936" s="7" t="n"/>
      <c r="B8936" s="7" t="n"/>
      <c r="C8936" s="7" t="n"/>
      <c r="D8936" s="7" t="n"/>
      <c r="E8936" s="7" t="n"/>
      <c r="F8936" s="7" t="n"/>
      <c r="G8936" s="7" t="n"/>
      <c r="H8936" s="7" t="n"/>
      <c r="I8936" s="7" t="n"/>
      <c r="J8936" s="7" t="n"/>
      <c r="K8936">
        <f>IF(D8936="Legitimate Interest (GDPR Art. 6(1)(f))", "Yes / Required (Sheet 3)", "")</f>
        <v/>
      </c>
      <c r="L8936" s="7" t="n"/>
      <c r="M8936" s="7" t="n"/>
      <c r="N8936">
        <f>IF(D8936="", "Gap - No Legal Basis", IF(AND(D8936="Consent (GDPR Art. 6(1)(a))", I8936="Not Captured"), "Gap - Invalid Consent", IF(AND(D8936="Legitimate Interest (GDPR Art. 6(1)(f))", L8936=""), "Gap - Missing LIA", IF(AND(G8936="Yes", H8936=""), "Gap - Missing Art. 9 Basis", IF(OR(I8936="Invalid - Not Freely Given", I8936="Invalid - Not Specific", I8936="Invalid - Not Informed", I8936="Invalid - Ambiguous"), "Gap - Invalid Consent", "Compliant")))))</f>
        <v/>
      </c>
      <c r="O8936" s="7" t="n"/>
    </row>
    <row r="8937">
      <c r="A8937" s="7" t="n"/>
      <c r="B8937" s="7" t="n"/>
      <c r="C8937" s="7" t="n"/>
      <c r="D8937" s="7" t="n"/>
      <c r="E8937" s="7" t="n"/>
      <c r="F8937" s="7" t="n"/>
      <c r="G8937" s="7" t="n"/>
      <c r="H8937" s="7" t="n"/>
      <c r="I8937" s="7" t="n"/>
      <c r="J8937" s="7" t="n"/>
      <c r="K8937">
        <f>IF(D8937="Legitimate Interest (GDPR Art. 6(1)(f))", "Yes / Required (Sheet 3)", "")</f>
        <v/>
      </c>
      <c r="L8937" s="7" t="n"/>
      <c r="M8937" s="7" t="n"/>
      <c r="N8937">
        <f>IF(D8937="", "Gap - No Legal Basis", IF(AND(D8937="Consent (GDPR Art. 6(1)(a))", I8937="Not Captured"), "Gap - Invalid Consent", IF(AND(D8937="Legitimate Interest (GDPR Art. 6(1)(f))", L8937=""), "Gap - Missing LIA", IF(AND(G8937="Yes", H8937=""), "Gap - Missing Art. 9 Basis", IF(OR(I8937="Invalid - Not Freely Given", I8937="Invalid - Not Specific", I8937="Invalid - Not Informed", I8937="Invalid - Ambiguous"), "Gap - Invalid Consent", "Compliant")))))</f>
        <v/>
      </c>
      <c r="O8937" s="7" t="n"/>
    </row>
    <row r="8938">
      <c r="A8938" s="7" t="n"/>
      <c r="B8938" s="7" t="n"/>
      <c r="C8938" s="7" t="n"/>
      <c r="D8938" s="7" t="n"/>
      <c r="E8938" s="7" t="n"/>
      <c r="F8938" s="7" t="n"/>
      <c r="G8938" s="7" t="n"/>
      <c r="H8938" s="7" t="n"/>
      <c r="I8938" s="7" t="n"/>
      <c r="J8938" s="7" t="n"/>
      <c r="K8938">
        <f>IF(D8938="Legitimate Interest (GDPR Art. 6(1)(f))", "Yes / Required (Sheet 3)", "")</f>
        <v/>
      </c>
      <c r="L8938" s="7" t="n"/>
      <c r="M8938" s="7" t="n"/>
      <c r="N8938">
        <f>IF(D8938="", "Gap - No Legal Basis", IF(AND(D8938="Consent (GDPR Art. 6(1)(a))", I8938="Not Captured"), "Gap - Invalid Consent", IF(AND(D8938="Legitimate Interest (GDPR Art. 6(1)(f))", L8938=""), "Gap - Missing LIA", IF(AND(G8938="Yes", H8938=""), "Gap - Missing Art. 9 Basis", IF(OR(I8938="Invalid - Not Freely Given", I8938="Invalid - Not Specific", I8938="Invalid - Not Informed", I8938="Invalid - Ambiguous"), "Gap - Invalid Consent", "Compliant")))))</f>
        <v/>
      </c>
      <c r="O8938" s="7" t="n"/>
    </row>
    <row r="8939">
      <c r="A8939" s="7" t="n"/>
      <c r="B8939" s="7" t="n"/>
      <c r="C8939" s="7" t="n"/>
      <c r="D8939" s="7" t="n"/>
      <c r="E8939" s="7" t="n"/>
      <c r="F8939" s="7" t="n"/>
      <c r="G8939" s="7" t="n"/>
      <c r="H8939" s="7" t="n"/>
      <c r="I8939" s="7" t="n"/>
      <c r="J8939" s="7" t="n"/>
      <c r="K8939">
        <f>IF(D8939="Legitimate Interest (GDPR Art. 6(1)(f))", "Yes / Required (Sheet 3)", "")</f>
        <v/>
      </c>
      <c r="L8939" s="7" t="n"/>
      <c r="M8939" s="7" t="n"/>
      <c r="N8939">
        <f>IF(D8939="", "Gap - No Legal Basis", IF(AND(D8939="Consent (GDPR Art. 6(1)(a))", I8939="Not Captured"), "Gap - Invalid Consent", IF(AND(D8939="Legitimate Interest (GDPR Art. 6(1)(f))", L8939=""), "Gap - Missing LIA", IF(AND(G8939="Yes", H8939=""), "Gap - Missing Art. 9 Basis", IF(OR(I8939="Invalid - Not Freely Given", I8939="Invalid - Not Specific", I8939="Invalid - Not Informed", I8939="Invalid - Ambiguous"), "Gap - Invalid Consent", "Compliant")))))</f>
        <v/>
      </c>
      <c r="O8939" s="7" t="n"/>
    </row>
    <row r="8940">
      <c r="A8940" s="7" t="n"/>
      <c r="B8940" s="7" t="n"/>
      <c r="C8940" s="7" t="n"/>
      <c r="D8940" s="7" t="n"/>
      <c r="E8940" s="7" t="n"/>
      <c r="F8940" s="7" t="n"/>
      <c r="G8940" s="7" t="n"/>
      <c r="H8940" s="7" t="n"/>
      <c r="I8940" s="7" t="n"/>
      <c r="J8940" s="7" t="n"/>
      <c r="K8940">
        <f>IF(D8940="Legitimate Interest (GDPR Art. 6(1)(f))", "Yes / Required (Sheet 3)", "")</f>
        <v/>
      </c>
      <c r="L8940" s="7" t="n"/>
      <c r="M8940" s="7" t="n"/>
      <c r="N8940">
        <f>IF(D8940="", "Gap - No Legal Basis", IF(AND(D8940="Consent (GDPR Art. 6(1)(a))", I8940="Not Captured"), "Gap - Invalid Consent", IF(AND(D8940="Legitimate Interest (GDPR Art. 6(1)(f))", L8940=""), "Gap - Missing LIA", IF(AND(G8940="Yes", H8940=""), "Gap - Missing Art. 9 Basis", IF(OR(I8940="Invalid - Not Freely Given", I8940="Invalid - Not Specific", I8940="Invalid - Not Informed", I8940="Invalid - Ambiguous"), "Gap - Invalid Consent", "Compliant")))))</f>
        <v/>
      </c>
      <c r="O8940" s="7" t="n"/>
    </row>
    <row r="8941">
      <c r="A8941" s="7" t="n"/>
      <c r="B8941" s="7" t="n"/>
      <c r="C8941" s="7" t="n"/>
      <c r="D8941" s="7" t="n"/>
      <c r="E8941" s="7" t="n"/>
      <c r="F8941" s="7" t="n"/>
      <c r="G8941" s="7" t="n"/>
      <c r="H8941" s="7" t="n"/>
      <c r="I8941" s="7" t="n"/>
      <c r="J8941" s="7" t="n"/>
      <c r="K8941">
        <f>IF(D8941="Legitimate Interest (GDPR Art. 6(1)(f))", "Yes / Required (Sheet 3)", "")</f>
        <v/>
      </c>
      <c r="L8941" s="7" t="n"/>
      <c r="M8941" s="7" t="n"/>
      <c r="N8941">
        <f>IF(D8941="", "Gap - No Legal Basis", IF(AND(D8941="Consent (GDPR Art. 6(1)(a))", I8941="Not Captured"), "Gap - Invalid Consent", IF(AND(D8941="Legitimate Interest (GDPR Art. 6(1)(f))", L8941=""), "Gap - Missing LIA", IF(AND(G8941="Yes", H8941=""), "Gap - Missing Art. 9 Basis", IF(OR(I8941="Invalid - Not Freely Given", I8941="Invalid - Not Specific", I8941="Invalid - Not Informed", I8941="Invalid - Ambiguous"), "Gap - Invalid Consent", "Compliant")))))</f>
        <v/>
      </c>
      <c r="O8941" s="7" t="n"/>
    </row>
    <row r="8942">
      <c r="A8942" s="7" t="n"/>
      <c r="B8942" s="7" t="n"/>
      <c r="C8942" s="7" t="n"/>
      <c r="D8942" s="7" t="n"/>
      <c r="E8942" s="7" t="n"/>
      <c r="F8942" s="7" t="n"/>
      <c r="G8942" s="7" t="n"/>
      <c r="H8942" s="7" t="n"/>
      <c r="I8942" s="7" t="n"/>
      <c r="J8942" s="7" t="n"/>
      <c r="K8942">
        <f>IF(D8942="Legitimate Interest (GDPR Art. 6(1)(f))", "Yes / Required (Sheet 3)", "")</f>
        <v/>
      </c>
      <c r="L8942" s="7" t="n"/>
      <c r="M8942" s="7" t="n"/>
      <c r="N8942">
        <f>IF(D8942="", "Gap - No Legal Basis", IF(AND(D8942="Consent (GDPR Art. 6(1)(a))", I8942="Not Captured"), "Gap - Invalid Consent", IF(AND(D8942="Legitimate Interest (GDPR Art. 6(1)(f))", L8942=""), "Gap - Missing LIA", IF(AND(G8942="Yes", H8942=""), "Gap - Missing Art. 9 Basis", IF(OR(I8942="Invalid - Not Freely Given", I8942="Invalid - Not Specific", I8942="Invalid - Not Informed", I8942="Invalid - Ambiguous"), "Gap - Invalid Consent", "Compliant")))))</f>
        <v/>
      </c>
      <c r="O8942" s="7" t="n"/>
    </row>
    <row r="8943">
      <c r="A8943" s="7" t="n"/>
      <c r="B8943" s="7" t="n"/>
      <c r="C8943" s="7" t="n"/>
      <c r="D8943" s="7" t="n"/>
      <c r="E8943" s="7" t="n"/>
      <c r="F8943" s="7" t="n"/>
      <c r="G8943" s="7" t="n"/>
      <c r="H8943" s="7" t="n"/>
      <c r="I8943" s="7" t="n"/>
      <c r="J8943" s="7" t="n"/>
      <c r="K8943">
        <f>IF(D8943="Legitimate Interest (GDPR Art. 6(1)(f))", "Yes / Required (Sheet 3)", "")</f>
        <v/>
      </c>
      <c r="L8943" s="7" t="n"/>
      <c r="M8943" s="7" t="n"/>
      <c r="N8943">
        <f>IF(D8943="", "Gap - No Legal Basis", IF(AND(D8943="Consent (GDPR Art. 6(1)(a))", I8943="Not Captured"), "Gap - Invalid Consent", IF(AND(D8943="Legitimate Interest (GDPR Art. 6(1)(f))", L8943=""), "Gap - Missing LIA", IF(AND(G8943="Yes", H8943=""), "Gap - Missing Art. 9 Basis", IF(OR(I8943="Invalid - Not Freely Given", I8943="Invalid - Not Specific", I8943="Invalid - Not Informed", I8943="Invalid - Ambiguous"), "Gap - Invalid Consent", "Compliant")))))</f>
        <v/>
      </c>
      <c r="O8943" s="7" t="n"/>
    </row>
    <row r="8944">
      <c r="A8944" s="7" t="n"/>
      <c r="B8944" s="7" t="n"/>
      <c r="C8944" s="7" t="n"/>
      <c r="D8944" s="7" t="n"/>
      <c r="E8944" s="7" t="n"/>
      <c r="F8944" s="7" t="n"/>
      <c r="G8944" s="7" t="n"/>
      <c r="H8944" s="7" t="n"/>
      <c r="I8944" s="7" t="n"/>
      <c r="J8944" s="7" t="n"/>
      <c r="K8944">
        <f>IF(D8944="Legitimate Interest (GDPR Art. 6(1)(f))", "Yes / Required (Sheet 3)", "")</f>
        <v/>
      </c>
      <c r="L8944" s="7" t="n"/>
      <c r="M8944" s="7" t="n"/>
      <c r="N8944">
        <f>IF(D8944="", "Gap - No Legal Basis", IF(AND(D8944="Consent (GDPR Art. 6(1)(a))", I8944="Not Captured"), "Gap - Invalid Consent", IF(AND(D8944="Legitimate Interest (GDPR Art. 6(1)(f))", L8944=""), "Gap - Missing LIA", IF(AND(G8944="Yes", H8944=""), "Gap - Missing Art. 9 Basis", IF(OR(I8944="Invalid - Not Freely Given", I8944="Invalid - Not Specific", I8944="Invalid - Not Informed", I8944="Invalid - Ambiguous"), "Gap - Invalid Consent", "Compliant")))))</f>
        <v/>
      </c>
      <c r="O8944" s="7" t="n"/>
    </row>
    <row r="8945">
      <c r="A8945" s="7" t="n"/>
      <c r="B8945" s="7" t="n"/>
      <c r="C8945" s="7" t="n"/>
      <c r="D8945" s="7" t="n"/>
      <c r="E8945" s="7" t="n"/>
      <c r="F8945" s="7" t="n"/>
      <c r="G8945" s="7" t="n"/>
      <c r="H8945" s="7" t="n"/>
      <c r="I8945" s="7" t="n"/>
      <c r="J8945" s="7" t="n"/>
      <c r="K8945">
        <f>IF(D8945="Legitimate Interest (GDPR Art. 6(1)(f))", "Yes / Required (Sheet 3)", "")</f>
        <v/>
      </c>
      <c r="L8945" s="7" t="n"/>
      <c r="M8945" s="7" t="n"/>
      <c r="N8945">
        <f>IF(D8945="", "Gap - No Legal Basis", IF(AND(D8945="Consent (GDPR Art. 6(1)(a))", I8945="Not Captured"), "Gap - Invalid Consent", IF(AND(D8945="Legitimate Interest (GDPR Art. 6(1)(f))", L8945=""), "Gap - Missing LIA", IF(AND(G8945="Yes", H8945=""), "Gap - Missing Art. 9 Basis", IF(OR(I8945="Invalid - Not Freely Given", I8945="Invalid - Not Specific", I8945="Invalid - Not Informed", I8945="Invalid - Ambiguous"), "Gap - Invalid Consent", "Compliant")))))</f>
        <v/>
      </c>
      <c r="O8945" s="7" t="n"/>
    </row>
    <row r="8946">
      <c r="A8946" s="7" t="n"/>
      <c r="B8946" s="7" t="n"/>
      <c r="C8946" s="7" t="n"/>
      <c r="D8946" s="7" t="n"/>
      <c r="E8946" s="7" t="n"/>
      <c r="F8946" s="7" t="n"/>
      <c r="G8946" s="7" t="n"/>
      <c r="H8946" s="7" t="n"/>
      <c r="I8946" s="7" t="n"/>
      <c r="J8946" s="7" t="n"/>
      <c r="K8946">
        <f>IF(D8946="Legitimate Interest (GDPR Art. 6(1)(f))", "Yes / Required (Sheet 3)", "")</f>
        <v/>
      </c>
      <c r="L8946" s="7" t="n"/>
      <c r="M8946" s="7" t="n"/>
      <c r="N8946">
        <f>IF(D8946="", "Gap - No Legal Basis", IF(AND(D8946="Consent (GDPR Art. 6(1)(a))", I8946="Not Captured"), "Gap - Invalid Consent", IF(AND(D8946="Legitimate Interest (GDPR Art. 6(1)(f))", L8946=""), "Gap - Missing LIA", IF(AND(G8946="Yes", H8946=""), "Gap - Missing Art. 9 Basis", IF(OR(I8946="Invalid - Not Freely Given", I8946="Invalid - Not Specific", I8946="Invalid - Not Informed", I8946="Invalid - Ambiguous"), "Gap - Invalid Consent", "Compliant")))))</f>
        <v/>
      </c>
      <c r="O8946" s="7" t="n"/>
    </row>
    <row r="8947">
      <c r="A8947" s="7" t="n"/>
      <c r="B8947" s="7" t="n"/>
      <c r="C8947" s="7" t="n"/>
      <c r="D8947" s="7" t="n"/>
      <c r="E8947" s="7" t="n"/>
      <c r="F8947" s="7" t="n"/>
      <c r="G8947" s="7" t="n"/>
      <c r="H8947" s="7" t="n"/>
      <c r="I8947" s="7" t="n"/>
      <c r="J8947" s="7" t="n"/>
      <c r="K8947">
        <f>IF(D8947="Legitimate Interest (GDPR Art. 6(1)(f))", "Yes / Required (Sheet 3)", "")</f>
        <v/>
      </c>
      <c r="L8947" s="7" t="n"/>
      <c r="M8947" s="7" t="n"/>
      <c r="N8947">
        <f>IF(D8947="", "Gap - No Legal Basis", IF(AND(D8947="Consent (GDPR Art. 6(1)(a))", I8947="Not Captured"), "Gap - Invalid Consent", IF(AND(D8947="Legitimate Interest (GDPR Art. 6(1)(f))", L8947=""), "Gap - Missing LIA", IF(AND(G8947="Yes", H8947=""), "Gap - Missing Art. 9 Basis", IF(OR(I8947="Invalid - Not Freely Given", I8947="Invalid - Not Specific", I8947="Invalid - Not Informed", I8947="Invalid - Ambiguous"), "Gap - Invalid Consent", "Compliant")))))</f>
        <v/>
      </c>
      <c r="O8947" s="7" t="n"/>
    </row>
    <row r="8948">
      <c r="A8948" s="7" t="n"/>
      <c r="B8948" s="7" t="n"/>
      <c r="C8948" s="7" t="n"/>
      <c r="D8948" s="7" t="n"/>
      <c r="E8948" s="7" t="n"/>
      <c r="F8948" s="7" t="n"/>
      <c r="G8948" s="7" t="n"/>
      <c r="H8948" s="7" t="n"/>
      <c r="I8948" s="7" t="n"/>
      <c r="J8948" s="7" t="n"/>
      <c r="K8948">
        <f>IF(D8948="Legitimate Interest (GDPR Art. 6(1)(f))", "Yes / Required (Sheet 3)", "")</f>
        <v/>
      </c>
      <c r="L8948" s="7" t="n"/>
      <c r="M8948" s="7" t="n"/>
      <c r="N8948">
        <f>IF(D8948="", "Gap - No Legal Basis", IF(AND(D8948="Consent (GDPR Art. 6(1)(a))", I8948="Not Captured"), "Gap - Invalid Consent", IF(AND(D8948="Legitimate Interest (GDPR Art. 6(1)(f))", L8948=""), "Gap - Missing LIA", IF(AND(G8948="Yes", H8948=""), "Gap - Missing Art. 9 Basis", IF(OR(I8948="Invalid - Not Freely Given", I8948="Invalid - Not Specific", I8948="Invalid - Not Informed", I8948="Invalid - Ambiguous"), "Gap - Invalid Consent", "Compliant")))))</f>
        <v/>
      </c>
      <c r="O8948" s="7" t="n"/>
    </row>
    <row r="8949">
      <c r="A8949" s="7" t="n"/>
      <c r="B8949" s="7" t="n"/>
      <c r="C8949" s="7" t="n"/>
      <c r="D8949" s="7" t="n"/>
      <c r="E8949" s="7" t="n"/>
      <c r="F8949" s="7" t="n"/>
      <c r="G8949" s="7" t="n"/>
      <c r="H8949" s="7" t="n"/>
      <c r="I8949" s="7" t="n"/>
      <c r="J8949" s="7" t="n"/>
      <c r="K8949">
        <f>IF(D8949="Legitimate Interest (GDPR Art. 6(1)(f))", "Yes / Required (Sheet 3)", "")</f>
        <v/>
      </c>
      <c r="L8949" s="7" t="n"/>
      <c r="M8949" s="7" t="n"/>
      <c r="N8949">
        <f>IF(D8949="", "Gap - No Legal Basis", IF(AND(D8949="Consent (GDPR Art. 6(1)(a))", I8949="Not Captured"), "Gap - Invalid Consent", IF(AND(D8949="Legitimate Interest (GDPR Art. 6(1)(f))", L8949=""), "Gap - Missing LIA", IF(AND(G8949="Yes", H8949=""), "Gap - Missing Art. 9 Basis", IF(OR(I8949="Invalid - Not Freely Given", I8949="Invalid - Not Specific", I8949="Invalid - Not Informed", I8949="Invalid - Ambiguous"), "Gap - Invalid Consent", "Compliant")))))</f>
        <v/>
      </c>
      <c r="O8949" s="7" t="n"/>
    </row>
    <row r="8950">
      <c r="A8950" s="7" t="n"/>
      <c r="B8950" s="7" t="n"/>
      <c r="C8950" s="7" t="n"/>
      <c r="D8950" s="7" t="n"/>
      <c r="E8950" s="7" t="n"/>
      <c r="F8950" s="7" t="n"/>
      <c r="G8950" s="7" t="n"/>
      <c r="H8950" s="7" t="n"/>
      <c r="I8950" s="7" t="n"/>
      <c r="J8950" s="7" t="n"/>
      <c r="K8950">
        <f>IF(D8950="Legitimate Interest (GDPR Art. 6(1)(f))", "Yes / Required (Sheet 3)", "")</f>
        <v/>
      </c>
      <c r="L8950" s="7" t="n"/>
      <c r="M8950" s="7" t="n"/>
      <c r="N8950">
        <f>IF(D8950="", "Gap - No Legal Basis", IF(AND(D8950="Consent (GDPR Art. 6(1)(a))", I8950="Not Captured"), "Gap - Invalid Consent", IF(AND(D8950="Legitimate Interest (GDPR Art. 6(1)(f))", L8950=""), "Gap - Missing LIA", IF(AND(G8950="Yes", H8950=""), "Gap - Missing Art. 9 Basis", IF(OR(I8950="Invalid - Not Freely Given", I8950="Invalid - Not Specific", I8950="Invalid - Not Informed", I8950="Invalid - Ambiguous"), "Gap - Invalid Consent", "Compliant")))))</f>
        <v/>
      </c>
      <c r="O8950" s="7" t="n"/>
    </row>
    <row r="8951">
      <c r="A8951" s="7" t="n"/>
      <c r="B8951" s="7" t="n"/>
      <c r="C8951" s="7" t="n"/>
      <c r="D8951" s="7" t="n"/>
      <c r="E8951" s="7" t="n"/>
      <c r="F8951" s="7" t="n"/>
      <c r="G8951" s="7" t="n"/>
      <c r="H8951" s="7" t="n"/>
      <c r="I8951" s="7" t="n"/>
      <c r="J8951" s="7" t="n"/>
      <c r="K8951">
        <f>IF(D8951="Legitimate Interest (GDPR Art. 6(1)(f))", "Yes / Required (Sheet 3)", "")</f>
        <v/>
      </c>
      <c r="L8951" s="7" t="n"/>
      <c r="M8951" s="7" t="n"/>
      <c r="N8951">
        <f>IF(D8951="", "Gap - No Legal Basis", IF(AND(D8951="Consent (GDPR Art. 6(1)(a))", I8951="Not Captured"), "Gap - Invalid Consent", IF(AND(D8951="Legitimate Interest (GDPR Art. 6(1)(f))", L8951=""), "Gap - Missing LIA", IF(AND(G8951="Yes", H8951=""), "Gap - Missing Art. 9 Basis", IF(OR(I8951="Invalid - Not Freely Given", I8951="Invalid - Not Specific", I8951="Invalid - Not Informed", I8951="Invalid - Ambiguous"), "Gap - Invalid Consent", "Compliant")))))</f>
        <v/>
      </c>
      <c r="O8951" s="7" t="n"/>
    </row>
    <row r="8952">
      <c r="A8952" s="7" t="n"/>
      <c r="B8952" s="7" t="n"/>
      <c r="C8952" s="7" t="n"/>
      <c r="D8952" s="7" t="n"/>
      <c r="E8952" s="7" t="n"/>
      <c r="F8952" s="7" t="n"/>
      <c r="G8952" s="7" t="n"/>
      <c r="H8952" s="7" t="n"/>
      <c r="I8952" s="7" t="n"/>
      <c r="J8952" s="7" t="n"/>
      <c r="K8952">
        <f>IF(D8952="Legitimate Interest (GDPR Art. 6(1)(f))", "Yes / Required (Sheet 3)", "")</f>
        <v/>
      </c>
      <c r="L8952" s="7" t="n"/>
      <c r="M8952" s="7" t="n"/>
      <c r="N8952">
        <f>IF(D8952="", "Gap - No Legal Basis", IF(AND(D8952="Consent (GDPR Art. 6(1)(a))", I8952="Not Captured"), "Gap - Invalid Consent", IF(AND(D8952="Legitimate Interest (GDPR Art. 6(1)(f))", L8952=""), "Gap - Missing LIA", IF(AND(G8952="Yes", H8952=""), "Gap - Missing Art. 9 Basis", IF(OR(I8952="Invalid - Not Freely Given", I8952="Invalid - Not Specific", I8952="Invalid - Not Informed", I8952="Invalid - Ambiguous"), "Gap - Invalid Consent", "Compliant")))))</f>
        <v/>
      </c>
      <c r="O8952" s="7" t="n"/>
    </row>
    <row r="8953">
      <c r="A8953" s="7" t="n"/>
      <c r="B8953" s="7" t="n"/>
      <c r="C8953" s="7" t="n"/>
      <c r="D8953" s="7" t="n"/>
      <c r="E8953" s="7" t="n"/>
      <c r="F8953" s="7" t="n"/>
      <c r="G8953" s="7" t="n"/>
      <c r="H8953" s="7" t="n"/>
      <c r="I8953" s="7" t="n"/>
      <c r="J8953" s="7" t="n"/>
      <c r="K8953">
        <f>IF(D8953="Legitimate Interest (GDPR Art. 6(1)(f))", "Yes / Required (Sheet 3)", "")</f>
        <v/>
      </c>
      <c r="L8953" s="7" t="n"/>
      <c r="M8953" s="7" t="n"/>
      <c r="N8953">
        <f>IF(D8953="", "Gap - No Legal Basis", IF(AND(D8953="Consent (GDPR Art. 6(1)(a))", I8953="Not Captured"), "Gap - Invalid Consent", IF(AND(D8953="Legitimate Interest (GDPR Art. 6(1)(f))", L8953=""), "Gap - Missing LIA", IF(AND(G8953="Yes", H8953=""), "Gap - Missing Art. 9 Basis", IF(OR(I8953="Invalid - Not Freely Given", I8953="Invalid - Not Specific", I8953="Invalid - Not Informed", I8953="Invalid - Ambiguous"), "Gap - Invalid Consent", "Compliant")))))</f>
        <v/>
      </c>
      <c r="O8953" s="7" t="n"/>
    </row>
    <row r="8954">
      <c r="A8954" s="7" t="n"/>
      <c r="B8954" s="7" t="n"/>
      <c r="C8954" s="7" t="n"/>
      <c r="D8954" s="7" t="n"/>
      <c r="E8954" s="7" t="n"/>
      <c r="F8954" s="7" t="n"/>
      <c r="G8954" s="7" t="n"/>
      <c r="H8954" s="7" t="n"/>
      <c r="I8954" s="7" t="n"/>
      <c r="J8954" s="7" t="n"/>
      <c r="K8954">
        <f>IF(D8954="Legitimate Interest (GDPR Art. 6(1)(f))", "Yes / Required (Sheet 3)", "")</f>
        <v/>
      </c>
      <c r="L8954" s="7" t="n"/>
      <c r="M8954" s="7" t="n"/>
      <c r="N8954">
        <f>IF(D8954="", "Gap - No Legal Basis", IF(AND(D8954="Consent (GDPR Art. 6(1)(a))", I8954="Not Captured"), "Gap - Invalid Consent", IF(AND(D8954="Legitimate Interest (GDPR Art. 6(1)(f))", L8954=""), "Gap - Missing LIA", IF(AND(G8954="Yes", H8954=""), "Gap - Missing Art. 9 Basis", IF(OR(I8954="Invalid - Not Freely Given", I8954="Invalid - Not Specific", I8954="Invalid - Not Informed", I8954="Invalid - Ambiguous"), "Gap - Invalid Consent", "Compliant")))))</f>
        <v/>
      </c>
      <c r="O8954" s="7" t="n"/>
    </row>
    <row r="8955">
      <c r="A8955" s="7" t="n"/>
      <c r="B8955" s="7" t="n"/>
      <c r="C8955" s="7" t="n"/>
      <c r="D8955" s="7" t="n"/>
      <c r="E8955" s="7" t="n"/>
      <c r="F8955" s="7" t="n"/>
      <c r="G8955" s="7" t="n"/>
      <c r="H8955" s="7" t="n"/>
      <c r="I8955" s="7" t="n"/>
      <c r="J8955" s="7" t="n"/>
      <c r="K8955">
        <f>IF(D8955="Legitimate Interest (GDPR Art. 6(1)(f))", "Yes / Required (Sheet 3)", "")</f>
        <v/>
      </c>
      <c r="L8955" s="7" t="n"/>
      <c r="M8955" s="7" t="n"/>
      <c r="N8955">
        <f>IF(D8955="", "Gap - No Legal Basis", IF(AND(D8955="Consent (GDPR Art. 6(1)(a))", I8955="Not Captured"), "Gap - Invalid Consent", IF(AND(D8955="Legitimate Interest (GDPR Art. 6(1)(f))", L8955=""), "Gap - Missing LIA", IF(AND(G8955="Yes", H8955=""), "Gap - Missing Art. 9 Basis", IF(OR(I8955="Invalid - Not Freely Given", I8955="Invalid - Not Specific", I8955="Invalid - Not Informed", I8955="Invalid - Ambiguous"), "Gap - Invalid Consent", "Compliant")))))</f>
        <v/>
      </c>
      <c r="O8955" s="7" t="n"/>
    </row>
    <row r="8956">
      <c r="A8956" s="7" t="n"/>
      <c r="B8956" s="7" t="n"/>
      <c r="C8956" s="7" t="n"/>
      <c r="D8956" s="7" t="n"/>
      <c r="E8956" s="7" t="n"/>
      <c r="F8956" s="7" t="n"/>
      <c r="G8956" s="7" t="n"/>
      <c r="H8956" s="7" t="n"/>
      <c r="I8956" s="7" t="n"/>
      <c r="J8956" s="7" t="n"/>
      <c r="K8956">
        <f>IF(D8956="Legitimate Interest (GDPR Art. 6(1)(f))", "Yes / Required (Sheet 3)", "")</f>
        <v/>
      </c>
      <c r="L8956" s="7" t="n"/>
      <c r="M8956" s="7" t="n"/>
      <c r="N8956">
        <f>IF(D8956="", "Gap - No Legal Basis", IF(AND(D8956="Consent (GDPR Art. 6(1)(a))", I8956="Not Captured"), "Gap - Invalid Consent", IF(AND(D8956="Legitimate Interest (GDPR Art. 6(1)(f))", L8956=""), "Gap - Missing LIA", IF(AND(G8956="Yes", H8956=""), "Gap - Missing Art. 9 Basis", IF(OR(I8956="Invalid - Not Freely Given", I8956="Invalid - Not Specific", I8956="Invalid - Not Informed", I8956="Invalid - Ambiguous"), "Gap - Invalid Consent", "Compliant")))))</f>
        <v/>
      </c>
      <c r="O8956" s="7" t="n"/>
    </row>
    <row r="8957">
      <c r="A8957" s="7" t="n"/>
      <c r="B8957" s="7" t="n"/>
      <c r="C8957" s="7" t="n"/>
      <c r="D8957" s="7" t="n"/>
      <c r="E8957" s="7" t="n"/>
      <c r="F8957" s="7" t="n"/>
      <c r="G8957" s="7" t="n"/>
      <c r="H8957" s="7" t="n"/>
      <c r="I8957" s="7" t="n"/>
      <c r="J8957" s="7" t="n"/>
      <c r="K8957">
        <f>IF(D8957="Legitimate Interest (GDPR Art. 6(1)(f))", "Yes / Required (Sheet 3)", "")</f>
        <v/>
      </c>
      <c r="L8957" s="7" t="n"/>
      <c r="M8957" s="7" t="n"/>
      <c r="N8957">
        <f>IF(D8957="", "Gap - No Legal Basis", IF(AND(D8957="Consent (GDPR Art. 6(1)(a))", I8957="Not Captured"), "Gap - Invalid Consent", IF(AND(D8957="Legitimate Interest (GDPR Art. 6(1)(f))", L8957=""), "Gap - Missing LIA", IF(AND(G8957="Yes", H8957=""), "Gap - Missing Art. 9 Basis", IF(OR(I8957="Invalid - Not Freely Given", I8957="Invalid - Not Specific", I8957="Invalid - Not Informed", I8957="Invalid - Ambiguous"), "Gap - Invalid Consent", "Compliant")))))</f>
        <v/>
      </c>
      <c r="O8957" s="7" t="n"/>
    </row>
    <row r="8958">
      <c r="A8958" s="7" t="n"/>
      <c r="B8958" s="7" t="n"/>
      <c r="C8958" s="7" t="n"/>
      <c r="D8958" s="7" t="n"/>
      <c r="E8958" s="7" t="n"/>
      <c r="F8958" s="7" t="n"/>
      <c r="G8958" s="7" t="n"/>
      <c r="H8958" s="7" t="n"/>
      <c r="I8958" s="7" t="n"/>
      <c r="J8958" s="7" t="n"/>
      <c r="K8958">
        <f>IF(D8958="Legitimate Interest (GDPR Art. 6(1)(f))", "Yes / Required (Sheet 3)", "")</f>
        <v/>
      </c>
      <c r="L8958" s="7" t="n"/>
      <c r="M8958" s="7" t="n"/>
      <c r="N8958">
        <f>IF(D8958="", "Gap - No Legal Basis", IF(AND(D8958="Consent (GDPR Art. 6(1)(a))", I8958="Not Captured"), "Gap - Invalid Consent", IF(AND(D8958="Legitimate Interest (GDPR Art. 6(1)(f))", L8958=""), "Gap - Missing LIA", IF(AND(G8958="Yes", H8958=""), "Gap - Missing Art. 9 Basis", IF(OR(I8958="Invalid - Not Freely Given", I8958="Invalid - Not Specific", I8958="Invalid - Not Informed", I8958="Invalid - Ambiguous"), "Gap - Invalid Consent", "Compliant")))))</f>
        <v/>
      </c>
      <c r="O8958" s="7" t="n"/>
    </row>
    <row r="8959">
      <c r="A8959" s="7" t="n"/>
      <c r="B8959" s="7" t="n"/>
      <c r="C8959" s="7" t="n"/>
      <c r="D8959" s="7" t="n"/>
      <c r="E8959" s="7" t="n"/>
      <c r="F8959" s="7" t="n"/>
      <c r="G8959" s="7" t="n"/>
      <c r="H8959" s="7" t="n"/>
      <c r="I8959" s="7" t="n"/>
      <c r="J8959" s="7" t="n"/>
      <c r="K8959">
        <f>IF(D8959="Legitimate Interest (GDPR Art. 6(1)(f))", "Yes / Required (Sheet 3)", "")</f>
        <v/>
      </c>
      <c r="L8959" s="7" t="n"/>
      <c r="M8959" s="7" t="n"/>
      <c r="N8959">
        <f>IF(D8959="", "Gap - No Legal Basis", IF(AND(D8959="Consent (GDPR Art. 6(1)(a))", I8959="Not Captured"), "Gap - Invalid Consent", IF(AND(D8959="Legitimate Interest (GDPR Art. 6(1)(f))", L8959=""), "Gap - Missing LIA", IF(AND(G8959="Yes", H8959=""), "Gap - Missing Art. 9 Basis", IF(OR(I8959="Invalid - Not Freely Given", I8959="Invalid - Not Specific", I8959="Invalid - Not Informed", I8959="Invalid - Ambiguous"), "Gap - Invalid Consent", "Compliant")))))</f>
        <v/>
      </c>
      <c r="O8959" s="7" t="n"/>
    </row>
    <row r="8960">
      <c r="A8960" s="7" t="n"/>
      <c r="B8960" s="7" t="n"/>
      <c r="C8960" s="7" t="n"/>
      <c r="D8960" s="7" t="n"/>
      <c r="E8960" s="7" t="n"/>
      <c r="F8960" s="7" t="n"/>
      <c r="G8960" s="7" t="n"/>
      <c r="H8960" s="7" t="n"/>
      <c r="I8960" s="7" t="n"/>
      <c r="J8960" s="7" t="n"/>
      <c r="K8960">
        <f>IF(D8960="Legitimate Interest (GDPR Art. 6(1)(f))", "Yes / Required (Sheet 3)", "")</f>
        <v/>
      </c>
      <c r="L8960" s="7" t="n"/>
      <c r="M8960" s="7" t="n"/>
      <c r="N8960">
        <f>IF(D8960="", "Gap - No Legal Basis", IF(AND(D8960="Consent (GDPR Art. 6(1)(a))", I8960="Not Captured"), "Gap - Invalid Consent", IF(AND(D8960="Legitimate Interest (GDPR Art. 6(1)(f))", L8960=""), "Gap - Missing LIA", IF(AND(G8960="Yes", H8960=""), "Gap - Missing Art. 9 Basis", IF(OR(I8960="Invalid - Not Freely Given", I8960="Invalid - Not Specific", I8960="Invalid - Not Informed", I8960="Invalid - Ambiguous"), "Gap - Invalid Consent", "Compliant")))))</f>
        <v/>
      </c>
      <c r="O8960" s="7" t="n"/>
    </row>
    <row r="8961">
      <c r="A8961" s="7" t="n"/>
      <c r="B8961" s="7" t="n"/>
      <c r="C8961" s="7" t="n"/>
      <c r="D8961" s="7" t="n"/>
      <c r="E8961" s="7" t="n"/>
      <c r="F8961" s="7" t="n"/>
      <c r="G8961" s="7" t="n"/>
      <c r="H8961" s="7" t="n"/>
      <c r="I8961" s="7" t="n"/>
      <c r="J8961" s="7" t="n"/>
      <c r="K8961">
        <f>IF(D8961="Legitimate Interest (GDPR Art. 6(1)(f))", "Yes / Required (Sheet 3)", "")</f>
        <v/>
      </c>
      <c r="L8961" s="7" t="n"/>
      <c r="M8961" s="7" t="n"/>
      <c r="N8961">
        <f>IF(D8961="", "Gap - No Legal Basis", IF(AND(D8961="Consent (GDPR Art. 6(1)(a))", I8961="Not Captured"), "Gap - Invalid Consent", IF(AND(D8961="Legitimate Interest (GDPR Art. 6(1)(f))", L8961=""), "Gap - Missing LIA", IF(AND(G8961="Yes", H8961=""), "Gap - Missing Art. 9 Basis", IF(OR(I8961="Invalid - Not Freely Given", I8961="Invalid - Not Specific", I8961="Invalid - Not Informed", I8961="Invalid - Ambiguous"), "Gap - Invalid Consent", "Compliant")))))</f>
        <v/>
      </c>
      <c r="O8961" s="7" t="n"/>
    </row>
    <row r="8962">
      <c r="A8962" s="7" t="n"/>
      <c r="B8962" s="7" t="n"/>
      <c r="C8962" s="7" t="n"/>
      <c r="D8962" s="7" t="n"/>
      <c r="E8962" s="7" t="n"/>
      <c r="F8962" s="7" t="n"/>
      <c r="G8962" s="7" t="n"/>
      <c r="H8962" s="7" t="n"/>
      <c r="I8962" s="7" t="n"/>
      <c r="J8962" s="7" t="n"/>
      <c r="K8962">
        <f>IF(D8962="Legitimate Interest (GDPR Art. 6(1)(f))", "Yes / Required (Sheet 3)", "")</f>
        <v/>
      </c>
      <c r="L8962" s="7" t="n"/>
      <c r="M8962" s="7" t="n"/>
      <c r="N8962">
        <f>IF(D8962="", "Gap - No Legal Basis", IF(AND(D8962="Consent (GDPR Art. 6(1)(a))", I8962="Not Captured"), "Gap - Invalid Consent", IF(AND(D8962="Legitimate Interest (GDPR Art. 6(1)(f))", L8962=""), "Gap - Missing LIA", IF(AND(G8962="Yes", H8962=""), "Gap - Missing Art. 9 Basis", IF(OR(I8962="Invalid - Not Freely Given", I8962="Invalid - Not Specific", I8962="Invalid - Not Informed", I8962="Invalid - Ambiguous"), "Gap - Invalid Consent", "Compliant")))))</f>
        <v/>
      </c>
      <c r="O8962" s="7" t="n"/>
    </row>
    <row r="8963">
      <c r="A8963" s="7" t="n"/>
      <c r="B8963" s="7" t="n"/>
      <c r="C8963" s="7" t="n"/>
      <c r="D8963" s="7" t="n"/>
      <c r="E8963" s="7" t="n"/>
      <c r="F8963" s="7" t="n"/>
      <c r="G8963" s="7" t="n"/>
      <c r="H8963" s="7" t="n"/>
      <c r="I8963" s="7" t="n"/>
      <c r="J8963" s="7" t="n"/>
      <c r="K8963">
        <f>IF(D8963="Legitimate Interest (GDPR Art. 6(1)(f))", "Yes / Required (Sheet 3)", "")</f>
        <v/>
      </c>
      <c r="L8963" s="7" t="n"/>
      <c r="M8963" s="7" t="n"/>
      <c r="N8963">
        <f>IF(D8963="", "Gap - No Legal Basis", IF(AND(D8963="Consent (GDPR Art. 6(1)(a))", I8963="Not Captured"), "Gap - Invalid Consent", IF(AND(D8963="Legitimate Interest (GDPR Art. 6(1)(f))", L8963=""), "Gap - Missing LIA", IF(AND(G8963="Yes", H8963=""), "Gap - Missing Art. 9 Basis", IF(OR(I8963="Invalid - Not Freely Given", I8963="Invalid - Not Specific", I8963="Invalid - Not Informed", I8963="Invalid - Ambiguous"), "Gap - Invalid Consent", "Compliant")))))</f>
        <v/>
      </c>
      <c r="O8963" s="7" t="n"/>
    </row>
    <row r="8964">
      <c r="A8964" s="7" t="n"/>
      <c r="B8964" s="7" t="n"/>
      <c r="C8964" s="7" t="n"/>
      <c r="D8964" s="7" t="n"/>
      <c r="E8964" s="7" t="n"/>
      <c r="F8964" s="7" t="n"/>
      <c r="G8964" s="7" t="n"/>
      <c r="H8964" s="7" t="n"/>
      <c r="I8964" s="7" t="n"/>
      <c r="J8964" s="7" t="n"/>
      <c r="K8964">
        <f>IF(D8964="Legitimate Interest (GDPR Art. 6(1)(f))", "Yes / Required (Sheet 3)", "")</f>
        <v/>
      </c>
      <c r="L8964" s="7" t="n"/>
      <c r="M8964" s="7" t="n"/>
      <c r="N8964">
        <f>IF(D8964="", "Gap - No Legal Basis", IF(AND(D8964="Consent (GDPR Art. 6(1)(a))", I8964="Not Captured"), "Gap - Invalid Consent", IF(AND(D8964="Legitimate Interest (GDPR Art. 6(1)(f))", L8964=""), "Gap - Missing LIA", IF(AND(G8964="Yes", H8964=""), "Gap - Missing Art. 9 Basis", IF(OR(I8964="Invalid - Not Freely Given", I8964="Invalid - Not Specific", I8964="Invalid - Not Informed", I8964="Invalid - Ambiguous"), "Gap - Invalid Consent", "Compliant")))))</f>
        <v/>
      </c>
      <c r="O8964" s="7" t="n"/>
    </row>
    <row r="8965">
      <c r="A8965" s="7" t="n"/>
      <c r="B8965" s="7" t="n"/>
      <c r="C8965" s="7" t="n"/>
      <c r="D8965" s="7" t="n"/>
      <c r="E8965" s="7" t="n"/>
      <c r="F8965" s="7" t="n"/>
      <c r="G8965" s="7" t="n"/>
      <c r="H8965" s="7" t="n"/>
      <c r="I8965" s="7" t="n"/>
      <c r="J8965" s="7" t="n"/>
      <c r="K8965">
        <f>IF(D8965="Legitimate Interest (GDPR Art. 6(1)(f))", "Yes / Required (Sheet 3)", "")</f>
        <v/>
      </c>
      <c r="L8965" s="7" t="n"/>
      <c r="M8965" s="7" t="n"/>
      <c r="N8965">
        <f>IF(D8965="", "Gap - No Legal Basis", IF(AND(D8965="Consent (GDPR Art. 6(1)(a))", I8965="Not Captured"), "Gap - Invalid Consent", IF(AND(D8965="Legitimate Interest (GDPR Art. 6(1)(f))", L8965=""), "Gap - Missing LIA", IF(AND(G8965="Yes", H8965=""), "Gap - Missing Art. 9 Basis", IF(OR(I8965="Invalid - Not Freely Given", I8965="Invalid - Not Specific", I8965="Invalid - Not Informed", I8965="Invalid - Ambiguous"), "Gap - Invalid Consent", "Compliant")))))</f>
        <v/>
      </c>
      <c r="O8965" s="7" t="n"/>
    </row>
    <row r="8966">
      <c r="A8966" s="7" t="n"/>
      <c r="B8966" s="7" t="n"/>
      <c r="C8966" s="7" t="n"/>
      <c r="D8966" s="7" t="n"/>
      <c r="E8966" s="7" t="n"/>
      <c r="F8966" s="7" t="n"/>
      <c r="G8966" s="7" t="n"/>
      <c r="H8966" s="7" t="n"/>
      <c r="I8966" s="7" t="n"/>
      <c r="J8966" s="7" t="n"/>
      <c r="K8966">
        <f>IF(D8966="Legitimate Interest (GDPR Art. 6(1)(f))", "Yes / Required (Sheet 3)", "")</f>
        <v/>
      </c>
      <c r="L8966" s="7" t="n"/>
      <c r="M8966" s="7" t="n"/>
      <c r="N8966">
        <f>IF(D8966="", "Gap - No Legal Basis", IF(AND(D8966="Consent (GDPR Art. 6(1)(a))", I8966="Not Captured"), "Gap - Invalid Consent", IF(AND(D8966="Legitimate Interest (GDPR Art. 6(1)(f))", L8966=""), "Gap - Missing LIA", IF(AND(G8966="Yes", H8966=""), "Gap - Missing Art. 9 Basis", IF(OR(I8966="Invalid - Not Freely Given", I8966="Invalid - Not Specific", I8966="Invalid - Not Informed", I8966="Invalid - Ambiguous"), "Gap - Invalid Consent", "Compliant")))))</f>
        <v/>
      </c>
      <c r="O8966" s="7" t="n"/>
    </row>
    <row r="8967">
      <c r="A8967" s="7" t="n"/>
      <c r="B8967" s="7" t="n"/>
      <c r="C8967" s="7" t="n"/>
      <c r="D8967" s="7" t="n"/>
      <c r="E8967" s="7" t="n"/>
      <c r="F8967" s="7" t="n"/>
      <c r="G8967" s="7" t="n"/>
      <c r="H8967" s="7" t="n"/>
      <c r="I8967" s="7" t="n"/>
      <c r="J8967" s="7" t="n"/>
      <c r="K8967">
        <f>IF(D8967="Legitimate Interest (GDPR Art. 6(1)(f))", "Yes / Required (Sheet 3)", "")</f>
        <v/>
      </c>
      <c r="L8967" s="7" t="n"/>
      <c r="M8967" s="7" t="n"/>
      <c r="N8967">
        <f>IF(D8967="", "Gap - No Legal Basis", IF(AND(D8967="Consent (GDPR Art. 6(1)(a))", I8967="Not Captured"), "Gap - Invalid Consent", IF(AND(D8967="Legitimate Interest (GDPR Art. 6(1)(f))", L8967=""), "Gap - Missing LIA", IF(AND(G8967="Yes", H8967=""), "Gap - Missing Art. 9 Basis", IF(OR(I8967="Invalid - Not Freely Given", I8967="Invalid - Not Specific", I8967="Invalid - Not Informed", I8967="Invalid - Ambiguous"), "Gap - Invalid Consent", "Compliant")))))</f>
        <v/>
      </c>
      <c r="O8967" s="7" t="n"/>
    </row>
    <row r="8968">
      <c r="A8968" s="7" t="n"/>
      <c r="B8968" s="7" t="n"/>
      <c r="C8968" s="7" t="n"/>
      <c r="D8968" s="7" t="n"/>
      <c r="E8968" s="7" t="n"/>
      <c r="F8968" s="7" t="n"/>
      <c r="G8968" s="7" t="n"/>
      <c r="H8968" s="7" t="n"/>
      <c r="I8968" s="7" t="n"/>
      <c r="J8968" s="7" t="n"/>
      <c r="K8968">
        <f>IF(D8968="Legitimate Interest (GDPR Art. 6(1)(f))", "Yes / Required (Sheet 3)", "")</f>
        <v/>
      </c>
      <c r="L8968" s="7" t="n"/>
      <c r="M8968" s="7" t="n"/>
      <c r="N8968">
        <f>IF(D8968="", "Gap - No Legal Basis", IF(AND(D8968="Consent (GDPR Art. 6(1)(a))", I8968="Not Captured"), "Gap - Invalid Consent", IF(AND(D8968="Legitimate Interest (GDPR Art. 6(1)(f))", L8968=""), "Gap - Missing LIA", IF(AND(G8968="Yes", H8968=""), "Gap - Missing Art. 9 Basis", IF(OR(I8968="Invalid - Not Freely Given", I8968="Invalid - Not Specific", I8968="Invalid - Not Informed", I8968="Invalid - Ambiguous"), "Gap - Invalid Consent", "Compliant")))))</f>
        <v/>
      </c>
      <c r="O8968" s="7" t="n"/>
    </row>
    <row r="8969">
      <c r="A8969" s="7" t="n"/>
      <c r="B8969" s="7" t="n"/>
      <c r="C8969" s="7" t="n"/>
      <c r="D8969" s="7" t="n"/>
      <c r="E8969" s="7" t="n"/>
      <c r="F8969" s="7" t="n"/>
      <c r="G8969" s="7" t="n"/>
      <c r="H8969" s="7" t="n"/>
      <c r="I8969" s="7" t="n"/>
      <c r="J8969" s="7" t="n"/>
      <c r="K8969">
        <f>IF(D8969="Legitimate Interest (GDPR Art. 6(1)(f))", "Yes / Required (Sheet 3)", "")</f>
        <v/>
      </c>
      <c r="L8969" s="7" t="n"/>
      <c r="M8969" s="7" t="n"/>
      <c r="N8969">
        <f>IF(D8969="", "Gap - No Legal Basis", IF(AND(D8969="Consent (GDPR Art. 6(1)(a))", I8969="Not Captured"), "Gap - Invalid Consent", IF(AND(D8969="Legitimate Interest (GDPR Art. 6(1)(f))", L8969=""), "Gap - Missing LIA", IF(AND(G8969="Yes", H8969=""), "Gap - Missing Art. 9 Basis", IF(OR(I8969="Invalid - Not Freely Given", I8969="Invalid - Not Specific", I8969="Invalid - Not Informed", I8969="Invalid - Ambiguous"), "Gap - Invalid Consent", "Compliant")))))</f>
        <v/>
      </c>
      <c r="O8969" s="7" t="n"/>
    </row>
    <row r="8970">
      <c r="A8970" s="7" t="n"/>
      <c r="B8970" s="7" t="n"/>
      <c r="C8970" s="7" t="n"/>
      <c r="D8970" s="7" t="n"/>
      <c r="E8970" s="7" t="n"/>
      <c r="F8970" s="7" t="n"/>
      <c r="G8970" s="7" t="n"/>
      <c r="H8970" s="7" t="n"/>
      <c r="I8970" s="7" t="n"/>
      <c r="J8970" s="7" t="n"/>
      <c r="K8970">
        <f>IF(D8970="Legitimate Interest (GDPR Art. 6(1)(f))", "Yes / Required (Sheet 3)", "")</f>
        <v/>
      </c>
      <c r="L8970" s="7" t="n"/>
      <c r="M8970" s="7" t="n"/>
      <c r="N8970">
        <f>IF(D8970="", "Gap - No Legal Basis", IF(AND(D8970="Consent (GDPR Art. 6(1)(a))", I8970="Not Captured"), "Gap - Invalid Consent", IF(AND(D8970="Legitimate Interest (GDPR Art. 6(1)(f))", L8970=""), "Gap - Missing LIA", IF(AND(G8970="Yes", H8970=""), "Gap - Missing Art. 9 Basis", IF(OR(I8970="Invalid - Not Freely Given", I8970="Invalid - Not Specific", I8970="Invalid - Not Informed", I8970="Invalid - Ambiguous"), "Gap - Invalid Consent", "Compliant")))))</f>
        <v/>
      </c>
      <c r="O8970" s="7" t="n"/>
    </row>
    <row r="8971">
      <c r="A8971" s="7" t="n"/>
      <c r="B8971" s="7" t="n"/>
      <c r="C8971" s="7" t="n"/>
      <c r="D8971" s="7" t="n"/>
      <c r="E8971" s="7" t="n"/>
      <c r="F8971" s="7" t="n"/>
      <c r="G8971" s="7" t="n"/>
      <c r="H8971" s="7" t="n"/>
      <c r="I8971" s="7" t="n"/>
      <c r="J8971" s="7" t="n"/>
      <c r="K8971">
        <f>IF(D8971="Legitimate Interest (GDPR Art. 6(1)(f))", "Yes / Required (Sheet 3)", "")</f>
        <v/>
      </c>
      <c r="L8971" s="7" t="n"/>
      <c r="M8971" s="7" t="n"/>
      <c r="N8971">
        <f>IF(D8971="", "Gap - No Legal Basis", IF(AND(D8971="Consent (GDPR Art. 6(1)(a))", I8971="Not Captured"), "Gap - Invalid Consent", IF(AND(D8971="Legitimate Interest (GDPR Art. 6(1)(f))", L8971=""), "Gap - Missing LIA", IF(AND(G8971="Yes", H8971=""), "Gap - Missing Art. 9 Basis", IF(OR(I8971="Invalid - Not Freely Given", I8971="Invalid - Not Specific", I8971="Invalid - Not Informed", I8971="Invalid - Ambiguous"), "Gap - Invalid Consent", "Compliant")))))</f>
        <v/>
      </c>
      <c r="O8971" s="7" t="n"/>
    </row>
    <row r="8972">
      <c r="A8972" s="7" t="n"/>
      <c r="B8972" s="7" t="n"/>
      <c r="C8972" s="7" t="n"/>
      <c r="D8972" s="7" t="n"/>
      <c r="E8972" s="7" t="n"/>
      <c r="F8972" s="7" t="n"/>
      <c r="G8972" s="7" t="n"/>
      <c r="H8972" s="7" t="n"/>
      <c r="I8972" s="7" t="n"/>
      <c r="J8972" s="7" t="n"/>
      <c r="K8972">
        <f>IF(D8972="Legitimate Interest (GDPR Art. 6(1)(f))", "Yes / Required (Sheet 3)", "")</f>
        <v/>
      </c>
      <c r="L8972" s="7" t="n"/>
      <c r="M8972" s="7" t="n"/>
      <c r="N8972">
        <f>IF(D8972="", "Gap - No Legal Basis", IF(AND(D8972="Consent (GDPR Art. 6(1)(a))", I8972="Not Captured"), "Gap - Invalid Consent", IF(AND(D8972="Legitimate Interest (GDPR Art. 6(1)(f))", L8972=""), "Gap - Missing LIA", IF(AND(G8972="Yes", H8972=""), "Gap - Missing Art. 9 Basis", IF(OR(I8972="Invalid - Not Freely Given", I8972="Invalid - Not Specific", I8972="Invalid - Not Informed", I8972="Invalid - Ambiguous"), "Gap - Invalid Consent", "Compliant")))))</f>
        <v/>
      </c>
      <c r="O8972" s="7" t="n"/>
    </row>
    <row r="8973">
      <c r="A8973" s="7" t="n"/>
      <c r="B8973" s="7" t="n"/>
      <c r="C8973" s="7" t="n"/>
      <c r="D8973" s="7" t="n"/>
      <c r="E8973" s="7" t="n"/>
      <c r="F8973" s="7" t="n"/>
      <c r="G8973" s="7" t="n"/>
      <c r="H8973" s="7" t="n"/>
      <c r="I8973" s="7" t="n"/>
      <c r="J8973" s="7" t="n"/>
      <c r="K8973">
        <f>IF(D8973="Legitimate Interest (GDPR Art. 6(1)(f))", "Yes / Required (Sheet 3)", "")</f>
        <v/>
      </c>
      <c r="L8973" s="7" t="n"/>
      <c r="M8973" s="7" t="n"/>
      <c r="N8973">
        <f>IF(D8973="", "Gap - No Legal Basis", IF(AND(D8973="Consent (GDPR Art. 6(1)(a))", I8973="Not Captured"), "Gap - Invalid Consent", IF(AND(D8973="Legitimate Interest (GDPR Art. 6(1)(f))", L8973=""), "Gap - Missing LIA", IF(AND(G8973="Yes", H8973=""), "Gap - Missing Art. 9 Basis", IF(OR(I8973="Invalid - Not Freely Given", I8973="Invalid - Not Specific", I8973="Invalid - Not Informed", I8973="Invalid - Ambiguous"), "Gap - Invalid Consent", "Compliant")))))</f>
        <v/>
      </c>
      <c r="O8973" s="7" t="n"/>
    </row>
    <row r="8974">
      <c r="A8974" s="7" t="n"/>
      <c r="B8974" s="7" t="n"/>
      <c r="C8974" s="7" t="n"/>
      <c r="D8974" s="7" t="n"/>
      <c r="E8974" s="7" t="n"/>
      <c r="F8974" s="7" t="n"/>
      <c r="G8974" s="7" t="n"/>
      <c r="H8974" s="7" t="n"/>
      <c r="I8974" s="7" t="n"/>
      <c r="J8974" s="7" t="n"/>
      <c r="K8974">
        <f>IF(D8974="Legitimate Interest (GDPR Art. 6(1)(f))", "Yes / Required (Sheet 3)", "")</f>
        <v/>
      </c>
      <c r="L8974" s="7" t="n"/>
      <c r="M8974" s="7" t="n"/>
      <c r="N8974">
        <f>IF(D8974="", "Gap - No Legal Basis", IF(AND(D8974="Consent (GDPR Art. 6(1)(a))", I8974="Not Captured"), "Gap - Invalid Consent", IF(AND(D8974="Legitimate Interest (GDPR Art. 6(1)(f))", L8974=""), "Gap - Missing LIA", IF(AND(G8974="Yes", H8974=""), "Gap - Missing Art. 9 Basis", IF(OR(I8974="Invalid - Not Freely Given", I8974="Invalid - Not Specific", I8974="Invalid - Not Informed", I8974="Invalid - Ambiguous"), "Gap - Invalid Consent", "Compliant")))))</f>
        <v/>
      </c>
      <c r="O8974" s="7" t="n"/>
    </row>
    <row r="8975">
      <c r="A8975" s="7" t="n"/>
      <c r="B8975" s="7" t="n"/>
      <c r="C8975" s="7" t="n"/>
      <c r="D8975" s="7" t="n"/>
      <c r="E8975" s="7" t="n"/>
      <c r="F8975" s="7" t="n"/>
      <c r="G8975" s="7" t="n"/>
      <c r="H8975" s="7" t="n"/>
      <c r="I8975" s="7" t="n"/>
      <c r="J8975" s="7" t="n"/>
      <c r="K8975">
        <f>IF(D8975="Legitimate Interest (GDPR Art. 6(1)(f))", "Yes / Required (Sheet 3)", "")</f>
        <v/>
      </c>
      <c r="L8975" s="7" t="n"/>
      <c r="M8975" s="7" t="n"/>
      <c r="N8975">
        <f>IF(D8975="", "Gap - No Legal Basis", IF(AND(D8975="Consent (GDPR Art. 6(1)(a))", I8975="Not Captured"), "Gap - Invalid Consent", IF(AND(D8975="Legitimate Interest (GDPR Art. 6(1)(f))", L8975=""), "Gap - Missing LIA", IF(AND(G8975="Yes", H8975=""), "Gap - Missing Art. 9 Basis", IF(OR(I8975="Invalid - Not Freely Given", I8975="Invalid - Not Specific", I8975="Invalid - Not Informed", I8975="Invalid - Ambiguous"), "Gap - Invalid Consent", "Compliant")))))</f>
        <v/>
      </c>
      <c r="O8975" s="7" t="n"/>
    </row>
    <row r="8976">
      <c r="A8976" s="7" t="n"/>
      <c r="B8976" s="7" t="n"/>
      <c r="C8976" s="7" t="n"/>
      <c r="D8976" s="7" t="n"/>
      <c r="E8976" s="7" t="n"/>
      <c r="F8976" s="7" t="n"/>
      <c r="G8976" s="7" t="n"/>
      <c r="H8976" s="7" t="n"/>
      <c r="I8976" s="7" t="n"/>
      <c r="J8976" s="7" t="n"/>
      <c r="K8976">
        <f>IF(D8976="Legitimate Interest (GDPR Art. 6(1)(f))", "Yes / Required (Sheet 3)", "")</f>
        <v/>
      </c>
      <c r="L8976" s="7" t="n"/>
      <c r="M8976" s="7" t="n"/>
      <c r="N8976">
        <f>IF(D8976="", "Gap - No Legal Basis", IF(AND(D8976="Consent (GDPR Art. 6(1)(a))", I8976="Not Captured"), "Gap - Invalid Consent", IF(AND(D8976="Legitimate Interest (GDPR Art. 6(1)(f))", L8976=""), "Gap - Missing LIA", IF(AND(G8976="Yes", H8976=""), "Gap - Missing Art. 9 Basis", IF(OR(I8976="Invalid - Not Freely Given", I8976="Invalid - Not Specific", I8976="Invalid - Not Informed", I8976="Invalid - Ambiguous"), "Gap - Invalid Consent", "Compliant")))))</f>
        <v/>
      </c>
      <c r="O8976" s="7" t="n"/>
    </row>
    <row r="8977">
      <c r="A8977" s="7" t="n"/>
      <c r="B8977" s="7" t="n"/>
      <c r="C8977" s="7" t="n"/>
      <c r="D8977" s="7" t="n"/>
      <c r="E8977" s="7" t="n"/>
      <c r="F8977" s="7" t="n"/>
      <c r="G8977" s="7" t="n"/>
      <c r="H8977" s="7" t="n"/>
      <c r="I8977" s="7" t="n"/>
      <c r="J8977" s="7" t="n"/>
      <c r="K8977">
        <f>IF(D8977="Legitimate Interest (GDPR Art. 6(1)(f))", "Yes / Required (Sheet 3)", "")</f>
        <v/>
      </c>
      <c r="L8977" s="7" t="n"/>
      <c r="M8977" s="7" t="n"/>
      <c r="N8977">
        <f>IF(D8977="", "Gap - No Legal Basis", IF(AND(D8977="Consent (GDPR Art. 6(1)(a))", I8977="Not Captured"), "Gap - Invalid Consent", IF(AND(D8977="Legitimate Interest (GDPR Art. 6(1)(f))", L8977=""), "Gap - Missing LIA", IF(AND(G8977="Yes", H8977=""), "Gap - Missing Art. 9 Basis", IF(OR(I8977="Invalid - Not Freely Given", I8977="Invalid - Not Specific", I8977="Invalid - Not Informed", I8977="Invalid - Ambiguous"), "Gap - Invalid Consent", "Compliant")))))</f>
        <v/>
      </c>
      <c r="O8977" s="7" t="n"/>
    </row>
    <row r="8978">
      <c r="A8978" s="7" t="n"/>
      <c r="B8978" s="7" t="n"/>
      <c r="C8978" s="7" t="n"/>
      <c r="D8978" s="7" t="n"/>
      <c r="E8978" s="7" t="n"/>
      <c r="F8978" s="7" t="n"/>
      <c r="G8978" s="7" t="n"/>
      <c r="H8978" s="7" t="n"/>
      <c r="I8978" s="7" t="n"/>
      <c r="J8978" s="7" t="n"/>
      <c r="K8978">
        <f>IF(D8978="Legitimate Interest (GDPR Art. 6(1)(f))", "Yes / Required (Sheet 3)", "")</f>
        <v/>
      </c>
      <c r="L8978" s="7" t="n"/>
      <c r="M8978" s="7" t="n"/>
      <c r="N8978">
        <f>IF(D8978="", "Gap - No Legal Basis", IF(AND(D8978="Consent (GDPR Art. 6(1)(a))", I8978="Not Captured"), "Gap - Invalid Consent", IF(AND(D8978="Legitimate Interest (GDPR Art. 6(1)(f))", L8978=""), "Gap - Missing LIA", IF(AND(G8978="Yes", H8978=""), "Gap - Missing Art. 9 Basis", IF(OR(I8978="Invalid - Not Freely Given", I8978="Invalid - Not Specific", I8978="Invalid - Not Informed", I8978="Invalid - Ambiguous"), "Gap - Invalid Consent", "Compliant")))))</f>
        <v/>
      </c>
      <c r="O8978" s="7" t="n"/>
    </row>
    <row r="8979">
      <c r="A8979" s="7" t="n"/>
      <c r="B8979" s="7" t="n"/>
      <c r="C8979" s="7" t="n"/>
      <c r="D8979" s="7" t="n"/>
      <c r="E8979" s="7" t="n"/>
      <c r="F8979" s="7" t="n"/>
      <c r="G8979" s="7" t="n"/>
      <c r="H8979" s="7" t="n"/>
      <c r="I8979" s="7" t="n"/>
      <c r="J8979" s="7" t="n"/>
      <c r="K8979">
        <f>IF(D8979="Legitimate Interest (GDPR Art. 6(1)(f))", "Yes / Required (Sheet 3)", "")</f>
        <v/>
      </c>
      <c r="L8979" s="7" t="n"/>
      <c r="M8979" s="7" t="n"/>
      <c r="N8979">
        <f>IF(D8979="", "Gap - No Legal Basis", IF(AND(D8979="Consent (GDPR Art. 6(1)(a))", I8979="Not Captured"), "Gap - Invalid Consent", IF(AND(D8979="Legitimate Interest (GDPR Art. 6(1)(f))", L8979=""), "Gap - Missing LIA", IF(AND(G8979="Yes", H8979=""), "Gap - Missing Art. 9 Basis", IF(OR(I8979="Invalid - Not Freely Given", I8979="Invalid - Not Specific", I8979="Invalid - Not Informed", I8979="Invalid - Ambiguous"), "Gap - Invalid Consent", "Compliant")))))</f>
        <v/>
      </c>
      <c r="O8979" s="7" t="n"/>
    </row>
    <row r="8980">
      <c r="A8980" s="7" t="n"/>
      <c r="B8980" s="7" t="n"/>
      <c r="C8980" s="7" t="n"/>
      <c r="D8980" s="7" t="n"/>
      <c r="E8980" s="7" t="n"/>
      <c r="F8980" s="7" t="n"/>
      <c r="G8980" s="7" t="n"/>
      <c r="H8980" s="7" t="n"/>
      <c r="I8980" s="7" t="n"/>
      <c r="J8980" s="7" t="n"/>
      <c r="K8980">
        <f>IF(D8980="Legitimate Interest (GDPR Art. 6(1)(f))", "Yes / Required (Sheet 3)", "")</f>
        <v/>
      </c>
      <c r="L8980" s="7" t="n"/>
      <c r="M8980" s="7" t="n"/>
      <c r="N8980">
        <f>IF(D8980="", "Gap - No Legal Basis", IF(AND(D8980="Consent (GDPR Art. 6(1)(a))", I8980="Not Captured"), "Gap - Invalid Consent", IF(AND(D8980="Legitimate Interest (GDPR Art. 6(1)(f))", L8980=""), "Gap - Missing LIA", IF(AND(G8980="Yes", H8980=""), "Gap - Missing Art. 9 Basis", IF(OR(I8980="Invalid - Not Freely Given", I8980="Invalid - Not Specific", I8980="Invalid - Not Informed", I8980="Invalid - Ambiguous"), "Gap - Invalid Consent", "Compliant")))))</f>
        <v/>
      </c>
      <c r="O8980" s="7" t="n"/>
    </row>
    <row r="8981">
      <c r="A8981" s="7" t="n"/>
      <c r="B8981" s="7" t="n"/>
      <c r="C8981" s="7" t="n"/>
      <c r="D8981" s="7" t="n"/>
      <c r="E8981" s="7" t="n"/>
      <c r="F8981" s="7" t="n"/>
      <c r="G8981" s="7" t="n"/>
      <c r="H8981" s="7" t="n"/>
      <c r="I8981" s="7" t="n"/>
      <c r="J8981" s="7" t="n"/>
      <c r="K8981">
        <f>IF(D8981="Legitimate Interest (GDPR Art. 6(1)(f))", "Yes / Required (Sheet 3)", "")</f>
        <v/>
      </c>
      <c r="L8981" s="7" t="n"/>
      <c r="M8981" s="7" t="n"/>
      <c r="N8981">
        <f>IF(D8981="", "Gap - No Legal Basis", IF(AND(D8981="Consent (GDPR Art. 6(1)(a))", I8981="Not Captured"), "Gap - Invalid Consent", IF(AND(D8981="Legitimate Interest (GDPR Art. 6(1)(f))", L8981=""), "Gap - Missing LIA", IF(AND(G8981="Yes", H8981=""), "Gap - Missing Art. 9 Basis", IF(OR(I8981="Invalid - Not Freely Given", I8981="Invalid - Not Specific", I8981="Invalid - Not Informed", I8981="Invalid - Ambiguous"), "Gap - Invalid Consent", "Compliant")))))</f>
        <v/>
      </c>
      <c r="O8981" s="7" t="n"/>
    </row>
    <row r="8982">
      <c r="A8982" s="7" t="n"/>
      <c r="B8982" s="7" t="n"/>
      <c r="C8982" s="7" t="n"/>
      <c r="D8982" s="7" t="n"/>
      <c r="E8982" s="7" t="n"/>
      <c r="F8982" s="7" t="n"/>
      <c r="G8982" s="7" t="n"/>
      <c r="H8982" s="7" t="n"/>
      <c r="I8982" s="7" t="n"/>
      <c r="J8982" s="7" t="n"/>
      <c r="K8982">
        <f>IF(D8982="Legitimate Interest (GDPR Art. 6(1)(f))", "Yes / Required (Sheet 3)", "")</f>
        <v/>
      </c>
      <c r="L8982" s="7" t="n"/>
      <c r="M8982" s="7" t="n"/>
      <c r="N8982">
        <f>IF(D8982="", "Gap - No Legal Basis", IF(AND(D8982="Consent (GDPR Art. 6(1)(a))", I8982="Not Captured"), "Gap - Invalid Consent", IF(AND(D8982="Legitimate Interest (GDPR Art. 6(1)(f))", L8982=""), "Gap - Missing LIA", IF(AND(G8982="Yes", H8982=""), "Gap - Missing Art. 9 Basis", IF(OR(I8982="Invalid - Not Freely Given", I8982="Invalid - Not Specific", I8982="Invalid - Not Informed", I8982="Invalid - Ambiguous"), "Gap - Invalid Consent", "Compliant")))))</f>
        <v/>
      </c>
      <c r="O8982" s="7" t="n"/>
    </row>
    <row r="8983">
      <c r="A8983" s="7" t="n"/>
      <c r="B8983" s="7" t="n"/>
      <c r="C8983" s="7" t="n"/>
      <c r="D8983" s="7" t="n"/>
      <c r="E8983" s="7" t="n"/>
      <c r="F8983" s="7" t="n"/>
      <c r="G8983" s="7" t="n"/>
      <c r="H8983" s="7" t="n"/>
      <c r="I8983" s="7" t="n"/>
      <c r="J8983" s="7" t="n"/>
      <c r="K8983">
        <f>IF(D8983="Legitimate Interest (GDPR Art. 6(1)(f))", "Yes / Required (Sheet 3)", "")</f>
        <v/>
      </c>
      <c r="L8983" s="7" t="n"/>
      <c r="M8983" s="7" t="n"/>
      <c r="N8983">
        <f>IF(D8983="", "Gap - No Legal Basis", IF(AND(D8983="Consent (GDPR Art. 6(1)(a))", I8983="Not Captured"), "Gap - Invalid Consent", IF(AND(D8983="Legitimate Interest (GDPR Art. 6(1)(f))", L8983=""), "Gap - Missing LIA", IF(AND(G8983="Yes", H8983=""), "Gap - Missing Art. 9 Basis", IF(OR(I8983="Invalid - Not Freely Given", I8983="Invalid - Not Specific", I8983="Invalid - Not Informed", I8983="Invalid - Ambiguous"), "Gap - Invalid Consent", "Compliant")))))</f>
        <v/>
      </c>
      <c r="O8983" s="7" t="n"/>
    </row>
    <row r="8984">
      <c r="A8984" s="7" t="n"/>
      <c r="B8984" s="7" t="n"/>
      <c r="C8984" s="7" t="n"/>
      <c r="D8984" s="7" t="n"/>
      <c r="E8984" s="7" t="n"/>
      <c r="F8984" s="7" t="n"/>
      <c r="G8984" s="7" t="n"/>
      <c r="H8984" s="7" t="n"/>
      <c r="I8984" s="7" t="n"/>
      <c r="J8984" s="7" t="n"/>
      <c r="K8984">
        <f>IF(D8984="Legitimate Interest (GDPR Art. 6(1)(f))", "Yes / Required (Sheet 3)", "")</f>
        <v/>
      </c>
      <c r="L8984" s="7" t="n"/>
      <c r="M8984" s="7" t="n"/>
      <c r="N8984">
        <f>IF(D8984="", "Gap - No Legal Basis", IF(AND(D8984="Consent (GDPR Art. 6(1)(a))", I8984="Not Captured"), "Gap - Invalid Consent", IF(AND(D8984="Legitimate Interest (GDPR Art. 6(1)(f))", L8984=""), "Gap - Missing LIA", IF(AND(G8984="Yes", H8984=""), "Gap - Missing Art. 9 Basis", IF(OR(I8984="Invalid - Not Freely Given", I8984="Invalid - Not Specific", I8984="Invalid - Not Informed", I8984="Invalid - Ambiguous"), "Gap - Invalid Consent", "Compliant")))))</f>
        <v/>
      </c>
      <c r="O8984" s="7" t="n"/>
    </row>
    <row r="8985">
      <c r="A8985" s="7" t="n"/>
      <c r="B8985" s="7" t="n"/>
      <c r="C8985" s="7" t="n"/>
      <c r="D8985" s="7" t="n"/>
      <c r="E8985" s="7" t="n"/>
      <c r="F8985" s="7" t="n"/>
      <c r="G8985" s="7" t="n"/>
      <c r="H8985" s="7" t="n"/>
      <c r="I8985" s="7" t="n"/>
      <c r="J8985" s="7" t="n"/>
      <c r="K8985">
        <f>IF(D8985="Legitimate Interest (GDPR Art. 6(1)(f))", "Yes / Required (Sheet 3)", "")</f>
        <v/>
      </c>
      <c r="L8985" s="7" t="n"/>
      <c r="M8985" s="7" t="n"/>
      <c r="N8985">
        <f>IF(D8985="", "Gap - No Legal Basis", IF(AND(D8985="Consent (GDPR Art. 6(1)(a))", I8985="Not Captured"), "Gap - Invalid Consent", IF(AND(D8985="Legitimate Interest (GDPR Art. 6(1)(f))", L8985=""), "Gap - Missing LIA", IF(AND(G8985="Yes", H8985=""), "Gap - Missing Art. 9 Basis", IF(OR(I8985="Invalid - Not Freely Given", I8985="Invalid - Not Specific", I8985="Invalid - Not Informed", I8985="Invalid - Ambiguous"), "Gap - Invalid Consent", "Compliant")))))</f>
        <v/>
      </c>
      <c r="O8985" s="7" t="n"/>
    </row>
    <row r="8986">
      <c r="A8986" s="7" t="n"/>
      <c r="B8986" s="7" t="n"/>
      <c r="C8986" s="7" t="n"/>
      <c r="D8986" s="7" t="n"/>
      <c r="E8986" s="7" t="n"/>
      <c r="F8986" s="7" t="n"/>
      <c r="G8986" s="7" t="n"/>
      <c r="H8986" s="7" t="n"/>
      <c r="I8986" s="7" t="n"/>
      <c r="J8986" s="7" t="n"/>
      <c r="K8986">
        <f>IF(D8986="Legitimate Interest (GDPR Art. 6(1)(f))", "Yes / Required (Sheet 3)", "")</f>
        <v/>
      </c>
      <c r="L8986" s="7" t="n"/>
      <c r="M8986" s="7" t="n"/>
      <c r="N8986">
        <f>IF(D8986="", "Gap - No Legal Basis", IF(AND(D8986="Consent (GDPR Art. 6(1)(a))", I8986="Not Captured"), "Gap - Invalid Consent", IF(AND(D8986="Legitimate Interest (GDPR Art. 6(1)(f))", L8986=""), "Gap - Missing LIA", IF(AND(G8986="Yes", H8986=""), "Gap - Missing Art. 9 Basis", IF(OR(I8986="Invalid - Not Freely Given", I8986="Invalid - Not Specific", I8986="Invalid - Not Informed", I8986="Invalid - Ambiguous"), "Gap - Invalid Consent", "Compliant")))))</f>
        <v/>
      </c>
      <c r="O8986" s="7" t="n"/>
    </row>
    <row r="8987">
      <c r="A8987" s="7" t="n"/>
      <c r="B8987" s="7" t="n"/>
      <c r="C8987" s="7" t="n"/>
      <c r="D8987" s="7" t="n"/>
      <c r="E8987" s="7" t="n"/>
      <c r="F8987" s="7" t="n"/>
      <c r="G8987" s="7" t="n"/>
      <c r="H8987" s="7" t="n"/>
      <c r="I8987" s="7" t="n"/>
      <c r="J8987" s="7" t="n"/>
      <c r="K8987">
        <f>IF(D8987="Legitimate Interest (GDPR Art. 6(1)(f))", "Yes / Required (Sheet 3)", "")</f>
        <v/>
      </c>
      <c r="L8987" s="7" t="n"/>
      <c r="M8987" s="7" t="n"/>
      <c r="N8987">
        <f>IF(D8987="", "Gap - No Legal Basis", IF(AND(D8987="Consent (GDPR Art. 6(1)(a))", I8987="Not Captured"), "Gap - Invalid Consent", IF(AND(D8987="Legitimate Interest (GDPR Art. 6(1)(f))", L8987=""), "Gap - Missing LIA", IF(AND(G8987="Yes", H8987=""), "Gap - Missing Art. 9 Basis", IF(OR(I8987="Invalid - Not Freely Given", I8987="Invalid - Not Specific", I8987="Invalid - Not Informed", I8987="Invalid - Ambiguous"), "Gap - Invalid Consent", "Compliant")))))</f>
        <v/>
      </c>
      <c r="O8987" s="7" t="n"/>
    </row>
    <row r="8988">
      <c r="A8988" s="7" t="n"/>
      <c r="B8988" s="7" t="n"/>
      <c r="C8988" s="7" t="n"/>
      <c r="D8988" s="7" t="n"/>
      <c r="E8988" s="7" t="n"/>
      <c r="F8988" s="7" t="n"/>
      <c r="G8988" s="7" t="n"/>
      <c r="H8988" s="7" t="n"/>
      <c r="I8988" s="7" t="n"/>
      <c r="J8988" s="7" t="n"/>
      <c r="K8988">
        <f>IF(D8988="Legitimate Interest (GDPR Art. 6(1)(f))", "Yes / Required (Sheet 3)", "")</f>
        <v/>
      </c>
      <c r="L8988" s="7" t="n"/>
      <c r="M8988" s="7" t="n"/>
      <c r="N8988">
        <f>IF(D8988="", "Gap - No Legal Basis", IF(AND(D8988="Consent (GDPR Art. 6(1)(a))", I8988="Not Captured"), "Gap - Invalid Consent", IF(AND(D8988="Legitimate Interest (GDPR Art. 6(1)(f))", L8988=""), "Gap - Missing LIA", IF(AND(G8988="Yes", H8988=""), "Gap - Missing Art. 9 Basis", IF(OR(I8988="Invalid - Not Freely Given", I8988="Invalid - Not Specific", I8988="Invalid - Not Informed", I8988="Invalid - Ambiguous"), "Gap - Invalid Consent", "Compliant")))))</f>
        <v/>
      </c>
      <c r="O8988" s="7" t="n"/>
    </row>
    <row r="8989">
      <c r="A8989" s="7" t="n"/>
      <c r="B8989" s="7" t="n"/>
      <c r="C8989" s="7" t="n"/>
      <c r="D8989" s="7" t="n"/>
      <c r="E8989" s="7" t="n"/>
      <c r="F8989" s="7" t="n"/>
      <c r="G8989" s="7" t="n"/>
      <c r="H8989" s="7" t="n"/>
      <c r="I8989" s="7" t="n"/>
      <c r="J8989" s="7" t="n"/>
      <c r="K8989">
        <f>IF(D8989="Legitimate Interest (GDPR Art. 6(1)(f))", "Yes / Required (Sheet 3)", "")</f>
        <v/>
      </c>
      <c r="L8989" s="7" t="n"/>
      <c r="M8989" s="7" t="n"/>
      <c r="N8989">
        <f>IF(D8989="", "Gap - No Legal Basis", IF(AND(D8989="Consent (GDPR Art. 6(1)(a))", I8989="Not Captured"), "Gap - Invalid Consent", IF(AND(D8989="Legitimate Interest (GDPR Art. 6(1)(f))", L8989=""), "Gap - Missing LIA", IF(AND(G8989="Yes", H8989=""), "Gap - Missing Art. 9 Basis", IF(OR(I8989="Invalid - Not Freely Given", I8989="Invalid - Not Specific", I8989="Invalid - Not Informed", I8989="Invalid - Ambiguous"), "Gap - Invalid Consent", "Compliant")))))</f>
        <v/>
      </c>
      <c r="O8989" s="7" t="n"/>
    </row>
    <row r="8990">
      <c r="A8990" s="7" t="n"/>
      <c r="B8990" s="7" t="n"/>
      <c r="C8990" s="7" t="n"/>
      <c r="D8990" s="7" t="n"/>
      <c r="E8990" s="7" t="n"/>
      <c r="F8990" s="7" t="n"/>
      <c r="G8990" s="7" t="n"/>
      <c r="H8990" s="7" t="n"/>
      <c r="I8990" s="7" t="n"/>
      <c r="J8990" s="7" t="n"/>
      <c r="K8990">
        <f>IF(D8990="Legitimate Interest (GDPR Art. 6(1)(f))", "Yes / Required (Sheet 3)", "")</f>
        <v/>
      </c>
      <c r="L8990" s="7" t="n"/>
      <c r="M8990" s="7" t="n"/>
      <c r="N8990">
        <f>IF(D8990="", "Gap - No Legal Basis", IF(AND(D8990="Consent (GDPR Art. 6(1)(a))", I8990="Not Captured"), "Gap - Invalid Consent", IF(AND(D8990="Legitimate Interest (GDPR Art. 6(1)(f))", L8990=""), "Gap - Missing LIA", IF(AND(G8990="Yes", H8990=""), "Gap - Missing Art. 9 Basis", IF(OR(I8990="Invalid - Not Freely Given", I8990="Invalid - Not Specific", I8990="Invalid - Not Informed", I8990="Invalid - Ambiguous"), "Gap - Invalid Consent", "Compliant")))))</f>
        <v/>
      </c>
      <c r="O8990" s="7" t="n"/>
    </row>
    <row r="8991">
      <c r="A8991" s="7" t="n"/>
      <c r="B8991" s="7" t="n"/>
      <c r="C8991" s="7" t="n"/>
      <c r="D8991" s="7" t="n"/>
      <c r="E8991" s="7" t="n"/>
      <c r="F8991" s="7" t="n"/>
      <c r="G8991" s="7" t="n"/>
      <c r="H8991" s="7" t="n"/>
      <c r="I8991" s="7" t="n"/>
      <c r="J8991" s="7" t="n"/>
      <c r="K8991">
        <f>IF(D8991="Legitimate Interest (GDPR Art. 6(1)(f))", "Yes / Required (Sheet 3)", "")</f>
        <v/>
      </c>
      <c r="L8991" s="7" t="n"/>
      <c r="M8991" s="7" t="n"/>
      <c r="N8991">
        <f>IF(D8991="", "Gap - No Legal Basis", IF(AND(D8991="Consent (GDPR Art. 6(1)(a))", I8991="Not Captured"), "Gap - Invalid Consent", IF(AND(D8991="Legitimate Interest (GDPR Art. 6(1)(f))", L8991=""), "Gap - Missing LIA", IF(AND(G8991="Yes", H8991=""), "Gap - Missing Art. 9 Basis", IF(OR(I8991="Invalid - Not Freely Given", I8991="Invalid - Not Specific", I8991="Invalid - Not Informed", I8991="Invalid - Ambiguous"), "Gap - Invalid Consent", "Compliant")))))</f>
        <v/>
      </c>
      <c r="O8991" s="7" t="n"/>
    </row>
    <row r="8992">
      <c r="A8992" s="7" t="n"/>
      <c r="B8992" s="7" t="n"/>
      <c r="C8992" s="7" t="n"/>
      <c r="D8992" s="7" t="n"/>
      <c r="E8992" s="7" t="n"/>
      <c r="F8992" s="7" t="n"/>
      <c r="G8992" s="7" t="n"/>
      <c r="H8992" s="7" t="n"/>
      <c r="I8992" s="7" t="n"/>
      <c r="J8992" s="7" t="n"/>
      <c r="K8992">
        <f>IF(D8992="Legitimate Interest (GDPR Art. 6(1)(f))", "Yes / Required (Sheet 3)", "")</f>
        <v/>
      </c>
      <c r="L8992" s="7" t="n"/>
      <c r="M8992" s="7" t="n"/>
      <c r="N8992">
        <f>IF(D8992="", "Gap - No Legal Basis", IF(AND(D8992="Consent (GDPR Art. 6(1)(a))", I8992="Not Captured"), "Gap - Invalid Consent", IF(AND(D8992="Legitimate Interest (GDPR Art. 6(1)(f))", L8992=""), "Gap - Missing LIA", IF(AND(G8992="Yes", H8992=""), "Gap - Missing Art. 9 Basis", IF(OR(I8992="Invalid - Not Freely Given", I8992="Invalid - Not Specific", I8992="Invalid - Not Informed", I8992="Invalid - Ambiguous"), "Gap - Invalid Consent", "Compliant")))))</f>
        <v/>
      </c>
      <c r="O8992" s="7" t="n"/>
    </row>
    <row r="8993">
      <c r="A8993" s="7" t="n"/>
      <c r="B8993" s="7" t="n"/>
      <c r="C8993" s="7" t="n"/>
      <c r="D8993" s="7" t="n"/>
      <c r="E8993" s="7" t="n"/>
      <c r="F8993" s="7" t="n"/>
      <c r="G8993" s="7" t="n"/>
      <c r="H8993" s="7" t="n"/>
      <c r="I8993" s="7" t="n"/>
      <c r="J8993" s="7" t="n"/>
      <c r="K8993">
        <f>IF(D8993="Legitimate Interest (GDPR Art. 6(1)(f))", "Yes / Required (Sheet 3)", "")</f>
        <v/>
      </c>
      <c r="L8993" s="7" t="n"/>
      <c r="M8993" s="7" t="n"/>
      <c r="N8993">
        <f>IF(D8993="", "Gap - No Legal Basis", IF(AND(D8993="Consent (GDPR Art. 6(1)(a))", I8993="Not Captured"), "Gap - Invalid Consent", IF(AND(D8993="Legitimate Interest (GDPR Art. 6(1)(f))", L8993=""), "Gap - Missing LIA", IF(AND(G8993="Yes", H8993=""), "Gap - Missing Art. 9 Basis", IF(OR(I8993="Invalid - Not Freely Given", I8993="Invalid - Not Specific", I8993="Invalid - Not Informed", I8993="Invalid - Ambiguous"), "Gap - Invalid Consent", "Compliant")))))</f>
        <v/>
      </c>
      <c r="O8993" s="7" t="n"/>
    </row>
    <row r="8994">
      <c r="A8994" s="7" t="n"/>
      <c r="B8994" s="7" t="n"/>
      <c r="C8994" s="7" t="n"/>
      <c r="D8994" s="7" t="n"/>
      <c r="E8994" s="7" t="n"/>
      <c r="F8994" s="7" t="n"/>
      <c r="G8994" s="7" t="n"/>
      <c r="H8994" s="7" t="n"/>
      <c r="I8994" s="7" t="n"/>
      <c r="J8994" s="7" t="n"/>
      <c r="K8994">
        <f>IF(D8994="Legitimate Interest (GDPR Art. 6(1)(f))", "Yes / Required (Sheet 3)", "")</f>
        <v/>
      </c>
      <c r="L8994" s="7" t="n"/>
      <c r="M8994" s="7" t="n"/>
      <c r="N8994">
        <f>IF(D8994="", "Gap - No Legal Basis", IF(AND(D8994="Consent (GDPR Art. 6(1)(a))", I8994="Not Captured"), "Gap - Invalid Consent", IF(AND(D8994="Legitimate Interest (GDPR Art. 6(1)(f))", L8994=""), "Gap - Missing LIA", IF(AND(G8994="Yes", H8994=""), "Gap - Missing Art. 9 Basis", IF(OR(I8994="Invalid - Not Freely Given", I8994="Invalid - Not Specific", I8994="Invalid - Not Informed", I8994="Invalid - Ambiguous"), "Gap - Invalid Consent", "Compliant")))))</f>
        <v/>
      </c>
      <c r="O8994" s="7" t="n"/>
    </row>
    <row r="8995">
      <c r="A8995" s="7" t="n"/>
      <c r="B8995" s="7" t="n"/>
      <c r="C8995" s="7" t="n"/>
      <c r="D8995" s="7" t="n"/>
      <c r="E8995" s="7" t="n"/>
      <c r="F8995" s="7" t="n"/>
      <c r="G8995" s="7" t="n"/>
      <c r="H8995" s="7" t="n"/>
      <c r="I8995" s="7" t="n"/>
      <c r="J8995" s="7" t="n"/>
      <c r="K8995">
        <f>IF(D8995="Legitimate Interest (GDPR Art. 6(1)(f))", "Yes / Required (Sheet 3)", "")</f>
        <v/>
      </c>
      <c r="L8995" s="7" t="n"/>
      <c r="M8995" s="7" t="n"/>
      <c r="N8995">
        <f>IF(D8995="", "Gap - No Legal Basis", IF(AND(D8995="Consent (GDPR Art. 6(1)(a))", I8995="Not Captured"), "Gap - Invalid Consent", IF(AND(D8995="Legitimate Interest (GDPR Art. 6(1)(f))", L8995=""), "Gap - Missing LIA", IF(AND(G8995="Yes", H8995=""), "Gap - Missing Art. 9 Basis", IF(OR(I8995="Invalid - Not Freely Given", I8995="Invalid - Not Specific", I8995="Invalid - Not Informed", I8995="Invalid - Ambiguous"), "Gap - Invalid Consent", "Compliant")))))</f>
        <v/>
      </c>
      <c r="O8995" s="7" t="n"/>
    </row>
    <row r="8996">
      <c r="A8996" s="7" t="n"/>
      <c r="B8996" s="7" t="n"/>
      <c r="C8996" s="7" t="n"/>
      <c r="D8996" s="7" t="n"/>
      <c r="E8996" s="7" t="n"/>
      <c r="F8996" s="7" t="n"/>
      <c r="G8996" s="7" t="n"/>
      <c r="H8996" s="7" t="n"/>
      <c r="I8996" s="7" t="n"/>
      <c r="J8996" s="7" t="n"/>
      <c r="K8996">
        <f>IF(D8996="Legitimate Interest (GDPR Art. 6(1)(f))", "Yes / Required (Sheet 3)", "")</f>
        <v/>
      </c>
      <c r="L8996" s="7" t="n"/>
      <c r="M8996" s="7" t="n"/>
      <c r="N8996">
        <f>IF(D8996="", "Gap - No Legal Basis", IF(AND(D8996="Consent (GDPR Art. 6(1)(a))", I8996="Not Captured"), "Gap - Invalid Consent", IF(AND(D8996="Legitimate Interest (GDPR Art. 6(1)(f))", L8996=""), "Gap - Missing LIA", IF(AND(G8996="Yes", H8996=""), "Gap - Missing Art. 9 Basis", IF(OR(I8996="Invalid - Not Freely Given", I8996="Invalid - Not Specific", I8996="Invalid - Not Informed", I8996="Invalid - Ambiguous"), "Gap - Invalid Consent", "Compliant")))))</f>
        <v/>
      </c>
      <c r="O8996" s="7" t="n"/>
    </row>
    <row r="8997">
      <c r="A8997" s="7" t="n"/>
      <c r="B8997" s="7" t="n"/>
      <c r="C8997" s="7" t="n"/>
      <c r="D8997" s="7" t="n"/>
      <c r="E8997" s="7" t="n"/>
      <c r="F8997" s="7" t="n"/>
      <c r="G8997" s="7" t="n"/>
      <c r="H8997" s="7" t="n"/>
      <c r="I8997" s="7" t="n"/>
      <c r="J8997" s="7" t="n"/>
      <c r="K8997">
        <f>IF(D8997="Legitimate Interest (GDPR Art. 6(1)(f))", "Yes / Required (Sheet 3)", "")</f>
        <v/>
      </c>
      <c r="L8997" s="7" t="n"/>
      <c r="M8997" s="7" t="n"/>
      <c r="N8997">
        <f>IF(D8997="", "Gap - No Legal Basis", IF(AND(D8997="Consent (GDPR Art. 6(1)(a))", I8997="Not Captured"), "Gap - Invalid Consent", IF(AND(D8997="Legitimate Interest (GDPR Art. 6(1)(f))", L8997=""), "Gap - Missing LIA", IF(AND(G8997="Yes", H8997=""), "Gap - Missing Art. 9 Basis", IF(OR(I8997="Invalid - Not Freely Given", I8997="Invalid - Not Specific", I8997="Invalid - Not Informed", I8997="Invalid - Ambiguous"), "Gap - Invalid Consent", "Compliant")))))</f>
        <v/>
      </c>
      <c r="O8997" s="7" t="n"/>
    </row>
    <row r="8998">
      <c r="A8998" s="7" t="n"/>
      <c r="B8998" s="7" t="n"/>
      <c r="C8998" s="7" t="n"/>
      <c r="D8998" s="7" t="n"/>
      <c r="E8998" s="7" t="n"/>
      <c r="F8998" s="7" t="n"/>
      <c r="G8998" s="7" t="n"/>
      <c r="H8998" s="7" t="n"/>
      <c r="I8998" s="7" t="n"/>
      <c r="J8998" s="7" t="n"/>
      <c r="K8998">
        <f>IF(D8998="Legitimate Interest (GDPR Art. 6(1)(f))", "Yes / Required (Sheet 3)", "")</f>
        <v/>
      </c>
      <c r="L8998" s="7" t="n"/>
      <c r="M8998" s="7" t="n"/>
      <c r="N8998">
        <f>IF(D8998="", "Gap - No Legal Basis", IF(AND(D8998="Consent (GDPR Art. 6(1)(a))", I8998="Not Captured"), "Gap - Invalid Consent", IF(AND(D8998="Legitimate Interest (GDPR Art. 6(1)(f))", L8998=""), "Gap - Missing LIA", IF(AND(G8998="Yes", H8998=""), "Gap - Missing Art. 9 Basis", IF(OR(I8998="Invalid - Not Freely Given", I8998="Invalid - Not Specific", I8998="Invalid - Not Informed", I8998="Invalid - Ambiguous"), "Gap - Invalid Consent", "Compliant")))))</f>
        <v/>
      </c>
      <c r="O8998" s="7" t="n"/>
    </row>
    <row r="8999">
      <c r="A8999" s="7" t="n"/>
      <c r="B8999" s="7" t="n"/>
      <c r="C8999" s="7" t="n"/>
      <c r="D8999" s="7" t="n"/>
      <c r="E8999" s="7" t="n"/>
      <c r="F8999" s="7" t="n"/>
      <c r="G8999" s="7" t="n"/>
      <c r="H8999" s="7" t="n"/>
      <c r="I8999" s="7" t="n"/>
      <c r="J8999" s="7" t="n"/>
      <c r="K8999">
        <f>IF(D8999="Legitimate Interest (GDPR Art. 6(1)(f))", "Yes / Required (Sheet 3)", "")</f>
        <v/>
      </c>
      <c r="L8999" s="7" t="n"/>
      <c r="M8999" s="7" t="n"/>
      <c r="N8999">
        <f>IF(D8999="", "Gap - No Legal Basis", IF(AND(D8999="Consent (GDPR Art. 6(1)(a))", I8999="Not Captured"), "Gap - Invalid Consent", IF(AND(D8999="Legitimate Interest (GDPR Art. 6(1)(f))", L8999=""), "Gap - Missing LIA", IF(AND(G8999="Yes", H8999=""), "Gap - Missing Art. 9 Basis", IF(OR(I8999="Invalid - Not Freely Given", I8999="Invalid - Not Specific", I8999="Invalid - Not Informed", I8999="Invalid - Ambiguous"), "Gap - Invalid Consent", "Compliant")))))</f>
        <v/>
      </c>
      <c r="O8999" s="7" t="n"/>
    </row>
    <row r="9000">
      <c r="A9000" s="7" t="n"/>
      <c r="B9000" s="7" t="n"/>
      <c r="C9000" s="7" t="n"/>
      <c r="D9000" s="7" t="n"/>
      <c r="E9000" s="7" t="n"/>
      <c r="F9000" s="7" t="n"/>
      <c r="G9000" s="7" t="n"/>
      <c r="H9000" s="7" t="n"/>
      <c r="I9000" s="7" t="n"/>
      <c r="J9000" s="7" t="n"/>
      <c r="K9000">
        <f>IF(D9000="Legitimate Interest (GDPR Art. 6(1)(f))", "Yes / Required (Sheet 3)", "")</f>
        <v/>
      </c>
      <c r="L9000" s="7" t="n"/>
      <c r="M9000" s="7" t="n"/>
      <c r="N9000">
        <f>IF(D9000="", "Gap - No Legal Basis", IF(AND(D9000="Consent (GDPR Art. 6(1)(a))", I9000="Not Captured"), "Gap - Invalid Consent", IF(AND(D9000="Legitimate Interest (GDPR Art. 6(1)(f))", L9000=""), "Gap - Missing LIA", IF(AND(G9000="Yes", H9000=""), "Gap - Missing Art. 9 Basis", IF(OR(I9000="Invalid - Not Freely Given", I9000="Invalid - Not Specific", I9000="Invalid - Not Informed", I9000="Invalid - Ambiguous"), "Gap - Invalid Consent", "Compliant")))))</f>
        <v/>
      </c>
      <c r="O9000" s="7" t="n"/>
    </row>
    <row r="9001">
      <c r="A9001" s="7" t="n"/>
      <c r="B9001" s="7" t="n"/>
      <c r="C9001" s="7" t="n"/>
      <c r="D9001" s="7" t="n"/>
      <c r="E9001" s="7" t="n"/>
      <c r="F9001" s="7" t="n"/>
      <c r="G9001" s="7" t="n"/>
      <c r="H9001" s="7" t="n"/>
      <c r="I9001" s="7" t="n"/>
      <c r="J9001" s="7" t="n"/>
      <c r="K9001">
        <f>IF(D9001="Legitimate Interest (GDPR Art. 6(1)(f))", "Yes / Required (Sheet 3)", "")</f>
        <v/>
      </c>
      <c r="L9001" s="7" t="n"/>
      <c r="M9001" s="7" t="n"/>
      <c r="N9001">
        <f>IF(D9001="", "Gap - No Legal Basis", IF(AND(D9001="Consent (GDPR Art. 6(1)(a))", I9001="Not Captured"), "Gap - Invalid Consent", IF(AND(D9001="Legitimate Interest (GDPR Art. 6(1)(f))", L9001=""), "Gap - Missing LIA", IF(AND(G9001="Yes", H9001=""), "Gap - Missing Art. 9 Basis", IF(OR(I9001="Invalid - Not Freely Given", I9001="Invalid - Not Specific", I9001="Invalid - Not Informed", I9001="Invalid - Ambiguous"), "Gap - Invalid Consent", "Compliant")))))</f>
        <v/>
      </c>
      <c r="O9001" s="7" t="n"/>
    </row>
    <row r="9002">
      <c r="A9002" s="7" t="n"/>
      <c r="B9002" s="7" t="n"/>
      <c r="C9002" s="7" t="n"/>
      <c r="D9002" s="7" t="n"/>
      <c r="E9002" s="7" t="n"/>
      <c r="F9002" s="7" t="n"/>
      <c r="G9002" s="7" t="n"/>
      <c r="H9002" s="7" t="n"/>
      <c r="I9002" s="7" t="n"/>
      <c r="J9002" s="7" t="n"/>
      <c r="K9002">
        <f>IF(D9002="Legitimate Interest (GDPR Art. 6(1)(f))", "Yes / Required (Sheet 3)", "")</f>
        <v/>
      </c>
      <c r="L9002" s="7" t="n"/>
      <c r="M9002" s="7" t="n"/>
      <c r="N9002">
        <f>IF(D9002="", "Gap - No Legal Basis", IF(AND(D9002="Consent (GDPR Art. 6(1)(a))", I9002="Not Captured"), "Gap - Invalid Consent", IF(AND(D9002="Legitimate Interest (GDPR Art. 6(1)(f))", L9002=""), "Gap - Missing LIA", IF(AND(G9002="Yes", H9002=""), "Gap - Missing Art. 9 Basis", IF(OR(I9002="Invalid - Not Freely Given", I9002="Invalid - Not Specific", I9002="Invalid - Not Informed", I9002="Invalid - Ambiguous"), "Gap - Invalid Consent", "Compliant")))))</f>
        <v/>
      </c>
      <c r="O9002" s="7" t="n"/>
    </row>
    <row r="9003">
      <c r="A9003" s="7" t="n"/>
      <c r="B9003" s="7" t="n"/>
      <c r="C9003" s="7" t="n"/>
      <c r="D9003" s="7" t="n"/>
      <c r="E9003" s="7" t="n"/>
      <c r="F9003" s="7" t="n"/>
      <c r="G9003" s="7" t="n"/>
      <c r="H9003" s="7" t="n"/>
      <c r="I9003" s="7" t="n"/>
      <c r="J9003" s="7" t="n"/>
      <c r="K9003">
        <f>IF(D9003="Legitimate Interest (GDPR Art. 6(1)(f))", "Yes / Required (Sheet 3)", "")</f>
        <v/>
      </c>
      <c r="L9003" s="7" t="n"/>
      <c r="M9003" s="7" t="n"/>
      <c r="N9003">
        <f>IF(D9003="", "Gap - No Legal Basis", IF(AND(D9003="Consent (GDPR Art. 6(1)(a))", I9003="Not Captured"), "Gap - Invalid Consent", IF(AND(D9003="Legitimate Interest (GDPR Art. 6(1)(f))", L9003=""), "Gap - Missing LIA", IF(AND(G9003="Yes", H9003=""), "Gap - Missing Art. 9 Basis", IF(OR(I9003="Invalid - Not Freely Given", I9003="Invalid - Not Specific", I9003="Invalid - Not Informed", I9003="Invalid - Ambiguous"), "Gap - Invalid Consent", "Compliant")))))</f>
        <v/>
      </c>
      <c r="O9003" s="7" t="n"/>
    </row>
    <row r="9004">
      <c r="A9004" s="7" t="n"/>
      <c r="B9004" s="7" t="n"/>
      <c r="C9004" s="7" t="n"/>
      <c r="D9004" s="7" t="n"/>
      <c r="E9004" s="7" t="n"/>
      <c r="F9004" s="7" t="n"/>
      <c r="G9004" s="7" t="n"/>
      <c r="H9004" s="7" t="n"/>
      <c r="I9004" s="7" t="n"/>
      <c r="J9004" s="7" t="n"/>
      <c r="K9004">
        <f>IF(D9004="Legitimate Interest (GDPR Art. 6(1)(f))", "Yes / Required (Sheet 3)", "")</f>
        <v/>
      </c>
      <c r="L9004" s="7" t="n"/>
      <c r="M9004" s="7" t="n"/>
      <c r="N9004">
        <f>IF(D9004="", "Gap - No Legal Basis", IF(AND(D9004="Consent (GDPR Art. 6(1)(a))", I9004="Not Captured"), "Gap - Invalid Consent", IF(AND(D9004="Legitimate Interest (GDPR Art. 6(1)(f))", L9004=""), "Gap - Missing LIA", IF(AND(G9004="Yes", H9004=""), "Gap - Missing Art. 9 Basis", IF(OR(I9004="Invalid - Not Freely Given", I9004="Invalid - Not Specific", I9004="Invalid - Not Informed", I9004="Invalid - Ambiguous"), "Gap - Invalid Consent", "Compliant")))))</f>
        <v/>
      </c>
      <c r="O9004" s="7" t="n"/>
    </row>
    <row r="9005">
      <c r="A9005" s="7" t="n"/>
      <c r="B9005" s="7" t="n"/>
      <c r="C9005" s="7" t="n"/>
      <c r="D9005" s="7" t="n"/>
      <c r="E9005" s="7" t="n"/>
      <c r="F9005" s="7" t="n"/>
      <c r="G9005" s="7" t="n"/>
      <c r="H9005" s="7" t="n"/>
      <c r="I9005" s="7" t="n"/>
      <c r="J9005" s="7" t="n"/>
      <c r="K9005">
        <f>IF(D9005="Legitimate Interest (GDPR Art. 6(1)(f))", "Yes / Required (Sheet 3)", "")</f>
        <v/>
      </c>
      <c r="L9005" s="7" t="n"/>
      <c r="M9005" s="7" t="n"/>
      <c r="N9005">
        <f>IF(D9005="", "Gap - No Legal Basis", IF(AND(D9005="Consent (GDPR Art. 6(1)(a))", I9005="Not Captured"), "Gap - Invalid Consent", IF(AND(D9005="Legitimate Interest (GDPR Art. 6(1)(f))", L9005=""), "Gap - Missing LIA", IF(AND(G9005="Yes", H9005=""), "Gap - Missing Art. 9 Basis", IF(OR(I9005="Invalid - Not Freely Given", I9005="Invalid - Not Specific", I9005="Invalid - Not Informed", I9005="Invalid - Ambiguous"), "Gap - Invalid Consent", "Compliant")))))</f>
        <v/>
      </c>
      <c r="O9005" s="7" t="n"/>
    </row>
    <row r="9006">
      <c r="A9006" s="7" t="n"/>
      <c r="B9006" s="7" t="n"/>
      <c r="C9006" s="7" t="n"/>
      <c r="D9006" s="7" t="n"/>
      <c r="E9006" s="7" t="n"/>
      <c r="F9006" s="7" t="n"/>
      <c r="G9006" s="7" t="n"/>
      <c r="H9006" s="7" t="n"/>
      <c r="I9006" s="7" t="n"/>
      <c r="J9006" s="7" t="n"/>
      <c r="K9006">
        <f>IF(D9006="Legitimate Interest (GDPR Art. 6(1)(f))", "Yes / Required (Sheet 3)", "")</f>
        <v/>
      </c>
      <c r="L9006" s="7" t="n"/>
      <c r="M9006" s="7" t="n"/>
      <c r="N9006">
        <f>IF(D9006="", "Gap - No Legal Basis", IF(AND(D9006="Consent (GDPR Art. 6(1)(a))", I9006="Not Captured"), "Gap - Invalid Consent", IF(AND(D9006="Legitimate Interest (GDPR Art. 6(1)(f))", L9006=""), "Gap - Missing LIA", IF(AND(G9006="Yes", H9006=""), "Gap - Missing Art. 9 Basis", IF(OR(I9006="Invalid - Not Freely Given", I9006="Invalid - Not Specific", I9006="Invalid - Not Informed", I9006="Invalid - Ambiguous"), "Gap - Invalid Consent", "Compliant")))))</f>
        <v/>
      </c>
      <c r="O9006" s="7" t="n"/>
    </row>
    <row r="9007">
      <c r="A9007" s="7" t="n"/>
      <c r="B9007" s="7" t="n"/>
      <c r="C9007" s="7" t="n"/>
      <c r="D9007" s="7" t="n"/>
      <c r="E9007" s="7" t="n"/>
      <c r="F9007" s="7" t="n"/>
      <c r="G9007" s="7" t="n"/>
      <c r="H9007" s="7" t="n"/>
      <c r="I9007" s="7" t="n"/>
      <c r="J9007" s="7" t="n"/>
      <c r="K9007">
        <f>IF(D9007="Legitimate Interest (GDPR Art. 6(1)(f))", "Yes / Required (Sheet 3)", "")</f>
        <v/>
      </c>
      <c r="L9007" s="7" t="n"/>
      <c r="M9007" s="7" t="n"/>
      <c r="N9007">
        <f>IF(D9007="", "Gap - No Legal Basis", IF(AND(D9007="Consent (GDPR Art. 6(1)(a))", I9007="Not Captured"), "Gap - Invalid Consent", IF(AND(D9007="Legitimate Interest (GDPR Art. 6(1)(f))", L9007=""), "Gap - Missing LIA", IF(AND(G9007="Yes", H9007=""), "Gap - Missing Art. 9 Basis", IF(OR(I9007="Invalid - Not Freely Given", I9007="Invalid - Not Specific", I9007="Invalid - Not Informed", I9007="Invalid - Ambiguous"), "Gap - Invalid Consent", "Compliant")))))</f>
        <v/>
      </c>
      <c r="O9007" s="7" t="n"/>
    </row>
    <row r="9008">
      <c r="A9008" s="7" t="n"/>
      <c r="B9008" s="7" t="n"/>
      <c r="C9008" s="7" t="n"/>
      <c r="D9008" s="7" t="n"/>
      <c r="E9008" s="7" t="n"/>
      <c r="F9008" s="7" t="n"/>
      <c r="G9008" s="7" t="n"/>
      <c r="H9008" s="7" t="n"/>
      <c r="I9008" s="7" t="n"/>
      <c r="J9008" s="7" t="n"/>
      <c r="K9008">
        <f>IF(D9008="Legitimate Interest (GDPR Art. 6(1)(f))", "Yes / Required (Sheet 3)", "")</f>
        <v/>
      </c>
      <c r="L9008" s="7" t="n"/>
      <c r="M9008" s="7" t="n"/>
      <c r="N9008">
        <f>IF(D9008="", "Gap - No Legal Basis", IF(AND(D9008="Consent (GDPR Art. 6(1)(a))", I9008="Not Captured"), "Gap - Invalid Consent", IF(AND(D9008="Legitimate Interest (GDPR Art. 6(1)(f))", L9008=""), "Gap - Missing LIA", IF(AND(G9008="Yes", H9008=""), "Gap - Missing Art. 9 Basis", IF(OR(I9008="Invalid - Not Freely Given", I9008="Invalid - Not Specific", I9008="Invalid - Not Informed", I9008="Invalid - Ambiguous"), "Gap - Invalid Consent", "Compliant")))))</f>
        <v/>
      </c>
      <c r="O9008" s="7" t="n"/>
    </row>
    <row r="9009">
      <c r="A9009" s="7" t="n"/>
      <c r="B9009" s="7" t="n"/>
      <c r="C9009" s="7" t="n"/>
      <c r="D9009" s="7" t="n"/>
      <c r="E9009" s="7" t="n"/>
      <c r="F9009" s="7" t="n"/>
      <c r="G9009" s="7" t="n"/>
      <c r="H9009" s="7" t="n"/>
      <c r="I9009" s="7" t="n"/>
      <c r="J9009" s="7" t="n"/>
      <c r="K9009">
        <f>IF(D9009="Legitimate Interest (GDPR Art. 6(1)(f))", "Yes / Required (Sheet 3)", "")</f>
        <v/>
      </c>
      <c r="L9009" s="7" t="n"/>
      <c r="M9009" s="7" t="n"/>
      <c r="N9009">
        <f>IF(D9009="", "Gap - No Legal Basis", IF(AND(D9009="Consent (GDPR Art. 6(1)(a))", I9009="Not Captured"), "Gap - Invalid Consent", IF(AND(D9009="Legitimate Interest (GDPR Art. 6(1)(f))", L9009=""), "Gap - Missing LIA", IF(AND(G9009="Yes", H9009=""), "Gap - Missing Art. 9 Basis", IF(OR(I9009="Invalid - Not Freely Given", I9009="Invalid - Not Specific", I9009="Invalid - Not Informed", I9009="Invalid - Ambiguous"), "Gap - Invalid Consent", "Compliant")))))</f>
        <v/>
      </c>
      <c r="O9009" s="7" t="n"/>
    </row>
    <row r="9010">
      <c r="A9010" s="7" t="n"/>
      <c r="B9010" s="7" t="n"/>
      <c r="C9010" s="7" t="n"/>
      <c r="D9010" s="7" t="n"/>
      <c r="E9010" s="7" t="n"/>
      <c r="F9010" s="7" t="n"/>
      <c r="G9010" s="7" t="n"/>
      <c r="H9010" s="7" t="n"/>
      <c r="I9010" s="7" t="n"/>
      <c r="J9010" s="7" t="n"/>
      <c r="K9010">
        <f>IF(D9010="Legitimate Interest (GDPR Art. 6(1)(f))", "Yes / Required (Sheet 3)", "")</f>
        <v/>
      </c>
      <c r="L9010" s="7" t="n"/>
      <c r="M9010" s="7" t="n"/>
      <c r="N9010">
        <f>IF(D9010="", "Gap - No Legal Basis", IF(AND(D9010="Consent (GDPR Art. 6(1)(a))", I9010="Not Captured"), "Gap - Invalid Consent", IF(AND(D9010="Legitimate Interest (GDPR Art. 6(1)(f))", L9010=""), "Gap - Missing LIA", IF(AND(G9010="Yes", H9010=""), "Gap - Missing Art. 9 Basis", IF(OR(I9010="Invalid - Not Freely Given", I9010="Invalid - Not Specific", I9010="Invalid - Not Informed", I9010="Invalid - Ambiguous"), "Gap - Invalid Consent", "Compliant")))))</f>
        <v/>
      </c>
      <c r="O9010" s="7" t="n"/>
    </row>
    <row r="9011">
      <c r="A9011" s="7" t="n"/>
      <c r="B9011" s="7" t="n"/>
      <c r="C9011" s="7" t="n"/>
      <c r="D9011" s="7" t="n"/>
      <c r="E9011" s="7" t="n"/>
      <c r="F9011" s="7" t="n"/>
      <c r="G9011" s="7" t="n"/>
      <c r="H9011" s="7" t="n"/>
      <c r="I9011" s="7" t="n"/>
      <c r="J9011" s="7" t="n"/>
      <c r="K9011">
        <f>IF(D9011="Legitimate Interest (GDPR Art. 6(1)(f))", "Yes / Required (Sheet 3)", "")</f>
        <v/>
      </c>
      <c r="L9011" s="7" t="n"/>
      <c r="M9011" s="7" t="n"/>
      <c r="N9011">
        <f>IF(D9011="", "Gap - No Legal Basis", IF(AND(D9011="Consent (GDPR Art. 6(1)(a))", I9011="Not Captured"), "Gap - Invalid Consent", IF(AND(D9011="Legitimate Interest (GDPR Art. 6(1)(f))", L9011=""), "Gap - Missing LIA", IF(AND(G9011="Yes", H9011=""), "Gap - Missing Art. 9 Basis", IF(OR(I9011="Invalid - Not Freely Given", I9011="Invalid - Not Specific", I9011="Invalid - Not Informed", I9011="Invalid - Ambiguous"), "Gap - Invalid Consent", "Compliant")))))</f>
        <v/>
      </c>
      <c r="O9011" s="7" t="n"/>
    </row>
    <row r="9012">
      <c r="A9012" s="7" t="n"/>
      <c r="B9012" s="7" t="n"/>
      <c r="C9012" s="7" t="n"/>
      <c r="D9012" s="7" t="n"/>
      <c r="E9012" s="7" t="n"/>
      <c r="F9012" s="7" t="n"/>
      <c r="G9012" s="7" t="n"/>
      <c r="H9012" s="7" t="n"/>
      <c r="I9012" s="7" t="n"/>
      <c r="J9012" s="7" t="n"/>
      <c r="K9012">
        <f>IF(D9012="Legitimate Interest (GDPR Art. 6(1)(f))", "Yes / Required (Sheet 3)", "")</f>
        <v/>
      </c>
      <c r="L9012" s="7" t="n"/>
      <c r="M9012" s="7" t="n"/>
      <c r="N9012">
        <f>IF(D9012="", "Gap - No Legal Basis", IF(AND(D9012="Consent (GDPR Art. 6(1)(a))", I9012="Not Captured"), "Gap - Invalid Consent", IF(AND(D9012="Legitimate Interest (GDPR Art. 6(1)(f))", L9012=""), "Gap - Missing LIA", IF(AND(G9012="Yes", H9012=""), "Gap - Missing Art. 9 Basis", IF(OR(I9012="Invalid - Not Freely Given", I9012="Invalid - Not Specific", I9012="Invalid - Not Informed", I9012="Invalid - Ambiguous"), "Gap - Invalid Consent", "Compliant")))))</f>
        <v/>
      </c>
      <c r="O9012" s="7" t="n"/>
    </row>
    <row r="9013">
      <c r="A9013" s="7" t="n"/>
      <c r="B9013" s="7" t="n"/>
      <c r="C9013" s="7" t="n"/>
      <c r="D9013" s="7" t="n"/>
      <c r="E9013" s="7" t="n"/>
      <c r="F9013" s="7" t="n"/>
      <c r="G9013" s="7" t="n"/>
      <c r="H9013" s="7" t="n"/>
      <c r="I9013" s="7" t="n"/>
      <c r="J9013" s="7" t="n"/>
      <c r="K9013">
        <f>IF(D9013="Legitimate Interest (GDPR Art. 6(1)(f))", "Yes / Required (Sheet 3)", "")</f>
        <v/>
      </c>
      <c r="L9013" s="7" t="n"/>
      <c r="M9013" s="7" t="n"/>
      <c r="N9013">
        <f>IF(D9013="", "Gap - No Legal Basis", IF(AND(D9013="Consent (GDPR Art. 6(1)(a))", I9013="Not Captured"), "Gap - Invalid Consent", IF(AND(D9013="Legitimate Interest (GDPR Art. 6(1)(f))", L9013=""), "Gap - Missing LIA", IF(AND(G9013="Yes", H9013=""), "Gap - Missing Art. 9 Basis", IF(OR(I9013="Invalid - Not Freely Given", I9013="Invalid - Not Specific", I9013="Invalid - Not Informed", I9013="Invalid - Ambiguous"), "Gap - Invalid Consent", "Compliant")))))</f>
        <v/>
      </c>
      <c r="O9013" s="7" t="n"/>
    </row>
    <row r="9014">
      <c r="A9014" s="7" t="n"/>
      <c r="B9014" s="7" t="n"/>
      <c r="C9014" s="7" t="n"/>
      <c r="D9014" s="7" t="n"/>
      <c r="E9014" s="7" t="n"/>
      <c r="F9014" s="7" t="n"/>
      <c r="G9014" s="7" t="n"/>
      <c r="H9014" s="7" t="n"/>
      <c r="I9014" s="7" t="n"/>
      <c r="J9014" s="7" t="n"/>
      <c r="K9014">
        <f>IF(D9014="Legitimate Interest (GDPR Art. 6(1)(f))", "Yes / Required (Sheet 3)", "")</f>
        <v/>
      </c>
      <c r="L9014" s="7" t="n"/>
      <c r="M9014" s="7" t="n"/>
      <c r="N9014">
        <f>IF(D9014="", "Gap - No Legal Basis", IF(AND(D9014="Consent (GDPR Art. 6(1)(a))", I9014="Not Captured"), "Gap - Invalid Consent", IF(AND(D9014="Legitimate Interest (GDPR Art. 6(1)(f))", L9014=""), "Gap - Missing LIA", IF(AND(G9014="Yes", H9014=""), "Gap - Missing Art. 9 Basis", IF(OR(I9014="Invalid - Not Freely Given", I9014="Invalid - Not Specific", I9014="Invalid - Not Informed", I9014="Invalid - Ambiguous"), "Gap - Invalid Consent", "Compliant")))))</f>
        <v/>
      </c>
      <c r="O9014" s="7" t="n"/>
    </row>
    <row r="9015">
      <c r="A9015" s="7" t="n"/>
      <c r="B9015" s="7" t="n"/>
      <c r="C9015" s="7" t="n"/>
      <c r="D9015" s="7" t="n"/>
      <c r="E9015" s="7" t="n"/>
      <c r="F9015" s="7" t="n"/>
      <c r="G9015" s="7" t="n"/>
      <c r="H9015" s="7" t="n"/>
      <c r="I9015" s="7" t="n"/>
      <c r="J9015" s="7" t="n"/>
      <c r="K9015">
        <f>IF(D9015="Legitimate Interest (GDPR Art. 6(1)(f))", "Yes / Required (Sheet 3)", "")</f>
        <v/>
      </c>
      <c r="L9015" s="7" t="n"/>
      <c r="M9015" s="7" t="n"/>
      <c r="N9015">
        <f>IF(D9015="", "Gap - No Legal Basis", IF(AND(D9015="Consent (GDPR Art. 6(1)(a))", I9015="Not Captured"), "Gap - Invalid Consent", IF(AND(D9015="Legitimate Interest (GDPR Art. 6(1)(f))", L9015=""), "Gap - Missing LIA", IF(AND(G9015="Yes", H9015=""), "Gap - Missing Art. 9 Basis", IF(OR(I9015="Invalid - Not Freely Given", I9015="Invalid - Not Specific", I9015="Invalid - Not Informed", I9015="Invalid - Ambiguous"), "Gap - Invalid Consent", "Compliant")))))</f>
        <v/>
      </c>
      <c r="O9015" s="7" t="n"/>
    </row>
    <row r="9016">
      <c r="A9016" s="7" t="n"/>
      <c r="B9016" s="7" t="n"/>
      <c r="C9016" s="7" t="n"/>
      <c r="D9016" s="7" t="n"/>
      <c r="E9016" s="7" t="n"/>
      <c r="F9016" s="7" t="n"/>
      <c r="G9016" s="7" t="n"/>
      <c r="H9016" s="7" t="n"/>
      <c r="I9016" s="7" t="n"/>
      <c r="J9016" s="7" t="n"/>
      <c r="K9016">
        <f>IF(D9016="Legitimate Interest (GDPR Art. 6(1)(f))", "Yes / Required (Sheet 3)", "")</f>
        <v/>
      </c>
      <c r="L9016" s="7" t="n"/>
      <c r="M9016" s="7" t="n"/>
      <c r="N9016">
        <f>IF(D9016="", "Gap - No Legal Basis", IF(AND(D9016="Consent (GDPR Art. 6(1)(a))", I9016="Not Captured"), "Gap - Invalid Consent", IF(AND(D9016="Legitimate Interest (GDPR Art. 6(1)(f))", L9016=""), "Gap - Missing LIA", IF(AND(G9016="Yes", H9016=""), "Gap - Missing Art. 9 Basis", IF(OR(I9016="Invalid - Not Freely Given", I9016="Invalid - Not Specific", I9016="Invalid - Not Informed", I9016="Invalid - Ambiguous"), "Gap - Invalid Consent", "Compliant")))))</f>
        <v/>
      </c>
      <c r="O9016" s="7" t="n"/>
    </row>
    <row r="9017">
      <c r="A9017" s="7" t="n"/>
      <c r="B9017" s="7" t="n"/>
      <c r="C9017" s="7" t="n"/>
      <c r="D9017" s="7" t="n"/>
      <c r="E9017" s="7" t="n"/>
      <c r="F9017" s="7" t="n"/>
      <c r="G9017" s="7" t="n"/>
      <c r="H9017" s="7" t="n"/>
      <c r="I9017" s="7" t="n"/>
      <c r="J9017" s="7" t="n"/>
      <c r="K9017">
        <f>IF(D9017="Legitimate Interest (GDPR Art. 6(1)(f))", "Yes / Required (Sheet 3)", "")</f>
        <v/>
      </c>
      <c r="L9017" s="7" t="n"/>
      <c r="M9017" s="7" t="n"/>
      <c r="N9017">
        <f>IF(D9017="", "Gap - No Legal Basis", IF(AND(D9017="Consent (GDPR Art. 6(1)(a))", I9017="Not Captured"), "Gap - Invalid Consent", IF(AND(D9017="Legitimate Interest (GDPR Art. 6(1)(f))", L9017=""), "Gap - Missing LIA", IF(AND(G9017="Yes", H9017=""), "Gap - Missing Art. 9 Basis", IF(OR(I9017="Invalid - Not Freely Given", I9017="Invalid - Not Specific", I9017="Invalid - Not Informed", I9017="Invalid - Ambiguous"), "Gap - Invalid Consent", "Compliant")))))</f>
        <v/>
      </c>
      <c r="O9017" s="7" t="n"/>
    </row>
    <row r="9018">
      <c r="A9018" s="7" t="n"/>
      <c r="B9018" s="7" t="n"/>
      <c r="C9018" s="7" t="n"/>
      <c r="D9018" s="7" t="n"/>
      <c r="E9018" s="7" t="n"/>
      <c r="F9018" s="7" t="n"/>
      <c r="G9018" s="7" t="n"/>
      <c r="H9018" s="7" t="n"/>
      <c r="I9018" s="7" t="n"/>
      <c r="J9018" s="7" t="n"/>
      <c r="K9018">
        <f>IF(D9018="Legitimate Interest (GDPR Art. 6(1)(f))", "Yes / Required (Sheet 3)", "")</f>
        <v/>
      </c>
      <c r="L9018" s="7" t="n"/>
      <c r="M9018" s="7" t="n"/>
      <c r="N9018">
        <f>IF(D9018="", "Gap - No Legal Basis", IF(AND(D9018="Consent (GDPR Art. 6(1)(a))", I9018="Not Captured"), "Gap - Invalid Consent", IF(AND(D9018="Legitimate Interest (GDPR Art. 6(1)(f))", L9018=""), "Gap - Missing LIA", IF(AND(G9018="Yes", H9018=""), "Gap - Missing Art. 9 Basis", IF(OR(I9018="Invalid - Not Freely Given", I9018="Invalid - Not Specific", I9018="Invalid - Not Informed", I9018="Invalid - Ambiguous"), "Gap - Invalid Consent", "Compliant")))))</f>
        <v/>
      </c>
      <c r="O9018" s="7" t="n"/>
    </row>
    <row r="9019">
      <c r="A9019" s="7" t="n"/>
      <c r="B9019" s="7" t="n"/>
      <c r="C9019" s="7" t="n"/>
      <c r="D9019" s="7" t="n"/>
      <c r="E9019" s="7" t="n"/>
      <c r="F9019" s="7" t="n"/>
      <c r="G9019" s="7" t="n"/>
      <c r="H9019" s="7" t="n"/>
      <c r="I9019" s="7" t="n"/>
      <c r="J9019" s="7" t="n"/>
      <c r="K9019">
        <f>IF(D9019="Legitimate Interest (GDPR Art. 6(1)(f))", "Yes / Required (Sheet 3)", "")</f>
        <v/>
      </c>
      <c r="L9019" s="7" t="n"/>
      <c r="M9019" s="7" t="n"/>
      <c r="N9019">
        <f>IF(D9019="", "Gap - No Legal Basis", IF(AND(D9019="Consent (GDPR Art. 6(1)(a))", I9019="Not Captured"), "Gap - Invalid Consent", IF(AND(D9019="Legitimate Interest (GDPR Art. 6(1)(f))", L9019=""), "Gap - Missing LIA", IF(AND(G9019="Yes", H9019=""), "Gap - Missing Art. 9 Basis", IF(OR(I9019="Invalid - Not Freely Given", I9019="Invalid - Not Specific", I9019="Invalid - Not Informed", I9019="Invalid - Ambiguous"), "Gap - Invalid Consent", "Compliant")))))</f>
        <v/>
      </c>
      <c r="O9019" s="7" t="n"/>
    </row>
    <row r="9020">
      <c r="A9020" s="7" t="n"/>
      <c r="B9020" s="7" t="n"/>
      <c r="C9020" s="7" t="n"/>
      <c r="D9020" s="7" t="n"/>
      <c r="E9020" s="7" t="n"/>
      <c r="F9020" s="7" t="n"/>
      <c r="G9020" s="7" t="n"/>
      <c r="H9020" s="7" t="n"/>
      <c r="I9020" s="7" t="n"/>
      <c r="J9020" s="7" t="n"/>
      <c r="K9020">
        <f>IF(D9020="Legitimate Interest (GDPR Art. 6(1)(f))", "Yes / Required (Sheet 3)", "")</f>
        <v/>
      </c>
      <c r="L9020" s="7" t="n"/>
      <c r="M9020" s="7" t="n"/>
      <c r="N9020">
        <f>IF(D9020="", "Gap - No Legal Basis", IF(AND(D9020="Consent (GDPR Art. 6(1)(a))", I9020="Not Captured"), "Gap - Invalid Consent", IF(AND(D9020="Legitimate Interest (GDPR Art. 6(1)(f))", L9020=""), "Gap - Missing LIA", IF(AND(G9020="Yes", H9020=""), "Gap - Missing Art. 9 Basis", IF(OR(I9020="Invalid - Not Freely Given", I9020="Invalid - Not Specific", I9020="Invalid - Not Informed", I9020="Invalid - Ambiguous"), "Gap - Invalid Consent", "Compliant")))))</f>
        <v/>
      </c>
      <c r="O9020" s="7" t="n"/>
    </row>
    <row r="9021">
      <c r="A9021" s="7" t="n"/>
      <c r="B9021" s="7" t="n"/>
      <c r="C9021" s="7" t="n"/>
      <c r="D9021" s="7" t="n"/>
      <c r="E9021" s="7" t="n"/>
      <c r="F9021" s="7" t="n"/>
      <c r="G9021" s="7" t="n"/>
      <c r="H9021" s="7" t="n"/>
      <c r="I9021" s="7" t="n"/>
      <c r="J9021" s="7" t="n"/>
      <c r="K9021">
        <f>IF(D9021="Legitimate Interest (GDPR Art. 6(1)(f))", "Yes / Required (Sheet 3)", "")</f>
        <v/>
      </c>
      <c r="L9021" s="7" t="n"/>
      <c r="M9021" s="7" t="n"/>
      <c r="N9021">
        <f>IF(D9021="", "Gap - No Legal Basis", IF(AND(D9021="Consent (GDPR Art. 6(1)(a))", I9021="Not Captured"), "Gap - Invalid Consent", IF(AND(D9021="Legitimate Interest (GDPR Art. 6(1)(f))", L9021=""), "Gap - Missing LIA", IF(AND(G9021="Yes", H9021=""), "Gap - Missing Art. 9 Basis", IF(OR(I9021="Invalid - Not Freely Given", I9021="Invalid - Not Specific", I9021="Invalid - Not Informed", I9021="Invalid - Ambiguous"), "Gap - Invalid Consent", "Compliant")))))</f>
        <v/>
      </c>
      <c r="O9021" s="7" t="n"/>
    </row>
    <row r="9022">
      <c r="A9022" s="7" t="n"/>
      <c r="B9022" s="7" t="n"/>
      <c r="C9022" s="7" t="n"/>
      <c r="D9022" s="7" t="n"/>
      <c r="E9022" s="7" t="n"/>
      <c r="F9022" s="7" t="n"/>
      <c r="G9022" s="7" t="n"/>
      <c r="H9022" s="7" t="n"/>
      <c r="I9022" s="7" t="n"/>
      <c r="J9022" s="7" t="n"/>
      <c r="K9022">
        <f>IF(D9022="Legitimate Interest (GDPR Art. 6(1)(f))", "Yes / Required (Sheet 3)", "")</f>
        <v/>
      </c>
      <c r="L9022" s="7" t="n"/>
      <c r="M9022" s="7" t="n"/>
      <c r="N9022">
        <f>IF(D9022="", "Gap - No Legal Basis", IF(AND(D9022="Consent (GDPR Art. 6(1)(a))", I9022="Not Captured"), "Gap - Invalid Consent", IF(AND(D9022="Legitimate Interest (GDPR Art. 6(1)(f))", L9022=""), "Gap - Missing LIA", IF(AND(G9022="Yes", H9022=""), "Gap - Missing Art. 9 Basis", IF(OR(I9022="Invalid - Not Freely Given", I9022="Invalid - Not Specific", I9022="Invalid - Not Informed", I9022="Invalid - Ambiguous"), "Gap - Invalid Consent", "Compliant")))))</f>
        <v/>
      </c>
      <c r="O9022" s="7" t="n"/>
    </row>
    <row r="9023">
      <c r="A9023" s="7" t="n"/>
      <c r="B9023" s="7" t="n"/>
      <c r="C9023" s="7" t="n"/>
      <c r="D9023" s="7" t="n"/>
      <c r="E9023" s="7" t="n"/>
      <c r="F9023" s="7" t="n"/>
      <c r="G9023" s="7" t="n"/>
      <c r="H9023" s="7" t="n"/>
      <c r="I9023" s="7" t="n"/>
      <c r="J9023" s="7" t="n"/>
      <c r="K9023">
        <f>IF(D9023="Legitimate Interest (GDPR Art. 6(1)(f))", "Yes / Required (Sheet 3)", "")</f>
        <v/>
      </c>
      <c r="L9023" s="7" t="n"/>
      <c r="M9023" s="7" t="n"/>
      <c r="N9023">
        <f>IF(D9023="", "Gap - No Legal Basis", IF(AND(D9023="Consent (GDPR Art. 6(1)(a))", I9023="Not Captured"), "Gap - Invalid Consent", IF(AND(D9023="Legitimate Interest (GDPR Art. 6(1)(f))", L9023=""), "Gap - Missing LIA", IF(AND(G9023="Yes", H9023=""), "Gap - Missing Art. 9 Basis", IF(OR(I9023="Invalid - Not Freely Given", I9023="Invalid - Not Specific", I9023="Invalid - Not Informed", I9023="Invalid - Ambiguous"), "Gap - Invalid Consent", "Compliant")))))</f>
        <v/>
      </c>
      <c r="O9023" s="7" t="n"/>
    </row>
    <row r="9024">
      <c r="A9024" s="7" t="n"/>
      <c r="B9024" s="7" t="n"/>
      <c r="C9024" s="7" t="n"/>
      <c r="D9024" s="7" t="n"/>
      <c r="E9024" s="7" t="n"/>
      <c r="F9024" s="7" t="n"/>
      <c r="G9024" s="7" t="n"/>
      <c r="H9024" s="7" t="n"/>
      <c r="I9024" s="7" t="n"/>
      <c r="J9024" s="7" t="n"/>
      <c r="K9024">
        <f>IF(D9024="Legitimate Interest (GDPR Art. 6(1)(f))", "Yes / Required (Sheet 3)", "")</f>
        <v/>
      </c>
      <c r="L9024" s="7" t="n"/>
      <c r="M9024" s="7" t="n"/>
      <c r="N9024">
        <f>IF(D9024="", "Gap - No Legal Basis", IF(AND(D9024="Consent (GDPR Art. 6(1)(a))", I9024="Not Captured"), "Gap - Invalid Consent", IF(AND(D9024="Legitimate Interest (GDPR Art. 6(1)(f))", L9024=""), "Gap - Missing LIA", IF(AND(G9024="Yes", H9024=""), "Gap - Missing Art. 9 Basis", IF(OR(I9024="Invalid - Not Freely Given", I9024="Invalid - Not Specific", I9024="Invalid - Not Informed", I9024="Invalid - Ambiguous"), "Gap - Invalid Consent", "Compliant")))))</f>
        <v/>
      </c>
      <c r="O9024" s="7" t="n"/>
    </row>
    <row r="9025">
      <c r="A9025" s="7" t="n"/>
      <c r="B9025" s="7" t="n"/>
      <c r="C9025" s="7" t="n"/>
      <c r="D9025" s="7" t="n"/>
      <c r="E9025" s="7" t="n"/>
      <c r="F9025" s="7" t="n"/>
      <c r="G9025" s="7" t="n"/>
      <c r="H9025" s="7" t="n"/>
      <c r="I9025" s="7" t="n"/>
      <c r="J9025" s="7" t="n"/>
      <c r="K9025">
        <f>IF(D9025="Legitimate Interest (GDPR Art. 6(1)(f))", "Yes / Required (Sheet 3)", "")</f>
        <v/>
      </c>
      <c r="L9025" s="7" t="n"/>
      <c r="M9025" s="7" t="n"/>
      <c r="N9025">
        <f>IF(D9025="", "Gap - No Legal Basis", IF(AND(D9025="Consent (GDPR Art. 6(1)(a))", I9025="Not Captured"), "Gap - Invalid Consent", IF(AND(D9025="Legitimate Interest (GDPR Art. 6(1)(f))", L9025=""), "Gap - Missing LIA", IF(AND(G9025="Yes", H9025=""), "Gap - Missing Art. 9 Basis", IF(OR(I9025="Invalid - Not Freely Given", I9025="Invalid - Not Specific", I9025="Invalid - Not Informed", I9025="Invalid - Ambiguous"), "Gap - Invalid Consent", "Compliant")))))</f>
        <v/>
      </c>
      <c r="O9025" s="7" t="n"/>
    </row>
    <row r="9026">
      <c r="A9026" s="7" t="n"/>
      <c r="B9026" s="7" t="n"/>
      <c r="C9026" s="7" t="n"/>
      <c r="D9026" s="7" t="n"/>
      <c r="E9026" s="7" t="n"/>
      <c r="F9026" s="7" t="n"/>
      <c r="G9026" s="7" t="n"/>
      <c r="H9026" s="7" t="n"/>
      <c r="I9026" s="7" t="n"/>
      <c r="J9026" s="7" t="n"/>
      <c r="K9026">
        <f>IF(D9026="Legitimate Interest (GDPR Art. 6(1)(f))", "Yes / Required (Sheet 3)", "")</f>
        <v/>
      </c>
      <c r="L9026" s="7" t="n"/>
      <c r="M9026" s="7" t="n"/>
      <c r="N9026">
        <f>IF(D9026="", "Gap - No Legal Basis", IF(AND(D9026="Consent (GDPR Art. 6(1)(a))", I9026="Not Captured"), "Gap - Invalid Consent", IF(AND(D9026="Legitimate Interest (GDPR Art. 6(1)(f))", L9026=""), "Gap - Missing LIA", IF(AND(G9026="Yes", H9026=""), "Gap - Missing Art. 9 Basis", IF(OR(I9026="Invalid - Not Freely Given", I9026="Invalid - Not Specific", I9026="Invalid - Not Informed", I9026="Invalid - Ambiguous"), "Gap - Invalid Consent", "Compliant")))))</f>
        <v/>
      </c>
      <c r="O9026" s="7" t="n"/>
    </row>
    <row r="9027">
      <c r="A9027" s="7" t="n"/>
      <c r="B9027" s="7" t="n"/>
      <c r="C9027" s="7" t="n"/>
      <c r="D9027" s="7" t="n"/>
      <c r="E9027" s="7" t="n"/>
      <c r="F9027" s="7" t="n"/>
      <c r="G9027" s="7" t="n"/>
      <c r="H9027" s="7" t="n"/>
      <c r="I9027" s="7" t="n"/>
      <c r="J9027" s="7" t="n"/>
      <c r="K9027">
        <f>IF(D9027="Legitimate Interest (GDPR Art. 6(1)(f))", "Yes / Required (Sheet 3)", "")</f>
        <v/>
      </c>
      <c r="L9027" s="7" t="n"/>
      <c r="M9027" s="7" t="n"/>
      <c r="N9027">
        <f>IF(D9027="", "Gap - No Legal Basis", IF(AND(D9027="Consent (GDPR Art. 6(1)(a))", I9027="Not Captured"), "Gap - Invalid Consent", IF(AND(D9027="Legitimate Interest (GDPR Art. 6(1)(f))", L9027=""), "Gap - Missing LIA", IF(AND(G9027="Yes", H9027=""), "Gap - Missing Art. 9 Basis", IF(OR(I9027="Invalid - Not Freely Given", I9027="Invalid - Not Specific", I9027="Invalid - Not Informed", I9027="Invalid - Ambiguous"), "Gap - Invalid Consent", "Compliant")))))</f>
        <v/>
      </c>
      <c r="O9027" s="7" t="n"/>
    </row>
    <row r="9028">
      <c r="A9028" s="7" t="n"/>
      <c r="B9028" s="7" t="n"/>
      <c r="C9028" s="7" t="n"/>
      <c r="D9028" s="7" t="n"/>
      <c r="E9028" s="7" t="n"/>
      <c r="F9028" s="7" t="n"/>
      <c r="G9028" s="7" t="n"/>
      <c r="H9028" s="7" t="n"/>
      <c r="I9028" s="7" t="n"/>
      <c r="J9028" s="7" t="n"/>
      <c r="K9028">
        <f>IF(D9028="Legitimate Interest (GDPR Art. 6(1)(f))", "Yes / Required (Sheet 3)", "")</f>
        <v/>
      </c>
      <c r="L9028" s="7" t="n"/>
      <c r="M9028" s="7" t="n"/>
      <c r="N9028">
        <f>IF(D9028="", "Gap - No Legal Basis", IF(AND(D9028="Consent (GDPR Art. 6(1)(a))", I9028="Not Captured"), "Gap - Invalid Consent", IF(AND(D9028="Legitimate Interest (GDPR Art. 6(1)(f))", L9028=""), "Gap - Missing LIA", IF(AND(G9028="Yes", H9028=""), "Gap - Missing Art. 9 Basis", IF(OR(I9028="Invalid - Not Freely Given", I9028="Invalid - Not Specific", I9028="Invalid - Not Informed", I9028="Invalid - Ambiguous"), "Gap - Invalid Consent", "Compliant")))))</f>
        <v/>
      </c>
      <c r="O9028" s="7" t="n"/>
    </row>
    <row r="9029">
      <c r="A9029" s="7" t="n"/>
      <c r="B9029" s="7" t="n"/>
      <c r="C9029" s="7" t="n"/>
      <c r="D9029" s="7" t="n"/>
      <c r="E9029" s="7" t="n"/>
      <c r="F9029" s="7" t="n"/>
      <c r="G9029" s="7" t="n"/>
      <c r="H9029" s="7" t="n"/>
      <c r="I9029" s="7" t="n"/>
      <c r="J9029" s="7" t="n"/>
      <c r="K9029">
        <f>IF(D9029="Legitimate Interest (GDPR Art. 6(1)(f))", "Yes / Required (Sheet 3)", "")</f>
        <v/>
      </c>
      <c r="L9029" s="7" t="n"/>
      <c r="M9029" s="7" t="n"/>
      <c r="N9029">
        <f>IF(D9029="", "Gap - No Legal Basis", IF(AND(D9029="Consent (GDPR Art. 6(1)(a))", I9029="Not Captured"), "Gap - Invalid Consent", IF(AND(D9029="Legitimate Interest (GDPR Art. 6(1)(f))", L9029=""), "Gap - Missing LIA", IF(AND(G9029="Yes", H9029=""), "Gap - Missing Art. 9 Basis", IF(OR(I9029="Invalid - Not Freely Given", I9029="Invalid - Not Specific", I9029="Invalid - Not Informed", I9029="Invalid - Ambiguous"), "Gap - Invalid Consent", "Compliant")))))</f>
        <v/>
      </c>
      <c r="O9029" s="7" t="n"/>
    </row>
    <row r="9030">
      <c r="A9030" s="7" t="n"/>
      <c r="B9030" s="7" t="n"/>
      <c r="C9030" s="7" t="n"/>
      <c r="D9030" s="7" t="n"/>
      <c r="E9030" s="7" t="n"/>
      <c r="F9030" s="7" t="n"/>
      <c r="G9030" s="7" t="n"/>
      <c r="H9030" s="7" t="n"/>
      <c r="I9030" s="7" t="n"/>
      <c r="J9030" s="7" t="n"/>
      <c r="K9030">
        <f>IF(D9030="Legitimate Interest (GDPR Art. 6(1)(f))", "Yes / Required (Sheet 3)", "")</f>
        <v/>
      </c>
      <c r="L9030" s="7" t="n"/>
      <c r="M9030" s="7" t="n"/>
      <c r="N9030">
        <f>IF(D9030="", "Gap - No Legal Basis", IF(AND(D9030="Consent (GDPR Art. 6(1)(a))", I9030="Not Captured"), "Gap - Invalid Consent", IF(AND(D9030="Legitimate Interest (GDPR Art. 6(1)(f))", L9030=""), "Gap - Missing LIA", IF(AND(G9030="Yes", H9030=""), "Gap - Missing Art. 9 Basis", IF(OR(I9030="Invalid - Not Freely Given", I9030="Invalid - Not Specific", I9030="Invalid - Not Informed", I9030="Invalid - Ambiguous"), "Gap - Invalid Consent", "Compliant")))))</f>
        <v/>
      </c>
      <c r="O9030" s="7" t="n"/>
    </row>
    <row r="9031">
      <c r="A9031" s="7" t="n"/>
      <c r="B9031" s="7" t="n"/>
      <c r="C9031" s="7" t="n"/>
      <c r="D9031" s="7" t="n"/>
      <c r="E9031" s="7" t="n"/>
      <c r="F9031" s="7" t="n"/>
      <c r="G9031" s="7" t="n"/>
      <c r="H9031" s="7" t="n"/>
      <c r="I9031" s="7" t="n"/>
      <c r="J9031" s="7" t="n"/>
      <c r="K9031">
        <f>IF(D9031="Legitimate Interest (GDPR Art. 6(1)(f))", "Yes / Required (Sheet 3)", "")</f>
        <v/>
      </c>
      <c r="L9031" s="7" t="n"/>
      <c r="M9031" s="7" t="n"/>
      <c r="N9031">
        <f>IF(D9031="", "Gap - No Legal Basis", IF(AND(D9031="Consent (GDPR Art. 6(1)(a))", I9031="Not Captured"), "Gap - Invalid Consent", IF(AND(D9031="Legitimate Interest (GDPR Art. 6(1)(f))", L9031=""), "Gap - Missing LIA", IF(AND(G9031="Yes", H9031=""), "Gap - Missing Art. 9 Basis", IF(OR(I9031="Invalid - Not Freely Given", I9031="Invalid - Not Specific", I9031="Invalid - Not Informed", I9031="Invalid - Ambiguous"), "Gap - Invalid Consent", "Compliant")))))</f>
        <v/>
      </c>
      <c r="O9031" s="7" t="n"/>
    </row>
    <row r="9032">
      <c r="A9032" s="7" t="n"/>
      <c r="B9032" s="7" t="n"/>
      <c r="C9032" s="7" t="n"/>
      <c r="D9032" s="7" t="n"/>
      <c r="E9032" s="7" t="n"/>
      <c r="F9032" s="7" t="n"/>
      <c r="G9032" s="7" t="n"/>
      <c r="H9032" s="7" t="n"/>
      <c r="I9032" s="7" t="n"/>
      <c r="J9032" s="7" t="n"/>
      <c r="K9032">
        <f>IF(D9032="Legitimate Interest (GDPR Art. 6(1)(f))", "Yes / Required (Sheet 3)", "")</f>
        <v/>
      </c>
      <c r="L9032" s="7" t="n"/>
      <c r="M9032" s="7" t="n"/>
      <c r="N9032">
        <f>IF(D9032="", "Gap - No Legal Basis", IF(AND(D9032="Consent (GDPR Art. 6(1)(a))", I9032="Not Captured"), "Gap - Invalid Consent", IF(AND(D9032="Legitimate Interest (GDPR Art. 6(1)(f))", L9032=""), "Gap - Missing LIA", IF(AND(G9032="Yes", H9032=""), "Gap - Missing Art. 9 Basis", IF(OR(I9032="Invalid - Not Freely Given", I9032="Invalid - Not Specific", I9032="Invalid - Not Informed", I9032="Invalid - Ambiguous"), "Gap - Invalid Consent", "Compliant")))))</f>
        <v/>
      </c>
      <c r="O9032" s="7" t="n"/>
    </row>
    <row r="9033">
      <c r="A9033" s="7" t="n"/>
      <c r="B9033" s="7" t="n"/>
      <c r="C9033" s="7" t="n"/>
      <c r="D9033" s="7" t="n"/>
      <c r="E9033" s="7" t="n"/>
      <c r="F9033" s="7" t="n"/>
      <c r="G9033" s="7" t="n"/>
      <c r="H9033" s="7" t="n"/>
      <c r="I9033" s="7" t="n"/>
      <c r="J9033" s="7" t="n"/>
      <c r="K9033">
        <f>IF(D9033="Legitimate Interest (GDPR Art. 6(1)(f))", "Yes / Required (Sheet 3)", "")</f>
        <v/>
      </c>
      <c r="L9033" s="7" t="n"/>
      <c r="M9033" s="7" t="n"/>
      <c r="N9033">
        <f>IF(D9033="", "Gap - No Legal Basis", IF(AND(D9033="Consent (GDPR Art. 6(1)(a))", I9033="Not Captured"), "Gap - Invalid Consent", IF(AND(D9033="Legitimate Interest (GDPR Art. 6(1)(f))", L9033=""), "Gap - Missing LIA", IF(AND(G9033="Yes", H9033=""), "Gap - Missing Art. 9 Basis", IF(OR(I9033="Invalid - Not Freely Given", I9033="Invalid - Not Specific", I9033="Invalid - Not Informed", I9033="Invalid - Ambiguous"), "Gap - Invalid Consent", "Compliant")))))</f>
        <v/>
      </c>
      <c r="O9033" s="7" t="n"/>
    </row>
    <row r="9034">
      <c r="A9034" s="7" t="n"/>
      <c r="B9034" s="7" t="n"/>
      <c r="C9034" s="7" t="n"/>
      <c r="D9034" s="7" t="n"/>
      <c r="E9034" s="7" t="n"/>
      <c r="F9034" s="7" t="n"/>
      <c r="G9034" s="7" t="n"/>
      <c r="H9034" s="7" t="n"/>
      <c r="I9034" s="7" t="n"/>
      <c r="J9034" s="7" t="n"/>
      <c r="K9034">
        <f>IF(D9034="Legitimate Interest (GDPR Art. 6(1)(f))", "Yes / Required (Sheet 3)", "")</f>
        <v/>
      </c>
      <c r="L9034" s="7" t="n"/>
      <c r="M9034" s="7" t="n"/>
      <c r="N9034">
        <f>IF(D9034="", "Gap - No Legal Basis", IF(AND(D9034="Consent (GDPR Art. 6(1)(a))", I9034="Not Captured"), "Gap - Invalid Consent", IF(AND(D9034="Legitimate Interest (GDPR Art. 6(1)(f))", L9034=""), "Gap - Missing LIA", IF(AND(G9034="Yes", H9034=""), "Gap - Missing Art. 9 Basis", IF(OR(I9034="Invalid - Not Freely Given", I9034="Invalid - Not Specific", I9034="Invalid - Not Informed", I9034="Invalid - Ambiguous"), "Gap - Invalid Consent", "Compliant")))))</f>
        <v/>
      </c>
      <c r="O9034" s="7" t="n"/>
    </row>
    <row r="9035">
      <c r="A9035" s="7" t="n"/>
      <c r="B9035" s="7" t="n"/>
      <c r="C9035" s="7" t="n"/>
      <c r="D9035" s="7" t="n"/>
      <c r="E9035" s="7" t="n"/>
      <c r="F9035" s="7" t="n"/>
      <c r="G9035" s="7" t="n"/>
      <c r="H9035" s="7" t="n"/>
      <c r="I9035" s="7" t="n"/>
      <c r="J9035" s="7" t="n"/>
      <c r="K9035">
        <f>IF(D9035="Legitimate Interest (GDPR Art. 6(1)(f))", "Yes / Required (Sheet 3)", "")</f>
        <v/>
      </c>
      <c r="L9035" s="7" t="n"/>
      <c r="M9035" s="7" t="n"/>
      <c r="N9035">
        <f>IF(D9035="", "Gap - No Legal Basis", IF(AND(D9035="Consent (GDPR Art. 6(1)(a))", I9035="Not Captured"), "Gap - Invalid Consent", IF(AND(D9035="Legitimate Interest (GDPR Art. 6(1)(f))", L9035=""), "Gap - Missing LIA", IF(AND(G9035="Yes", H9035=""), "Gap - Missing Art. 9 Basis", IF(OR(I9035="Invalid - Not Freely Given", I9035="Invalid - Not Specific", I9035="Invalid - Not Informed", I9035="Invalid - Ambiguous"), "Gap - Invalid Consent", "Compliant")))))</f>
        <v/>
      </c>
      <c r="O9035" s="7" t="n"/>
    </row>
    <row r="9036">
      <c r="A9036" s="7" t="n"/>
      <c r="B9036" s="7" t="n"/>
      <c r="C9036" s="7" t="n"/>
      <c r="D9036" s="7" t="n"/>
      <c r="E9036" s="7" t="n"/>
      <c r="F9036" s="7" t="n"/>
      <c r="G9036" s="7" t="n"/>
      <c r="H9036" s="7" t="n"/>
      <c r="I9036" s="7" t="n"/>
      <c r="J9036" s="7" t="n"/>
      <c r="K9036">
        <f>IF(D9036="Legitimate Interest (GDPR Art. 6(1)(f))", "Yes / Required (Sheet 3)", "")</f>
        <v/>
      </c>
      <c r="L9036" s="7" t="n"/>
      <c r="M9036" s="7" t="n"/>
      <c r="N9036">
        <f>IF(D9036="", "Gap - No Legal Basis", IF(AND(D9036="Consent (GDPR Art. 6(1)(a))", I9036="Not Captured"), "Gap - Invalid Consent", IF(AND(D9036="Legitimate Interest (GDPR Art. 6(1)(f))", L9036=""), "Gap - Missing LIA", IF(AND(G9036="Yes", H9036=""), "Gap - Missing Art. 9 Basis", IF(OR(I9036="Invalid - Not Freely Given", I9036="Invalid - Not Specific", I9036="Invalid - Not Informed", I9036="Invalid - Ambiguous"), "Gap - Invalid Consent", "Compliant")))))</f>
        <v/>
      </c>
      <c r="O9036" s="7" t="n"/>
    </row>
    <row r="9037">
      <c r="A9037" s="7" t="n"/>
      <c r="B9037" s="7" t="n"/>
      <c r="C9037" s="7" t="n"/>
      <c r="D9037" s="7" t="n"/>
      <c r="E9037" s="7" t="n"/>
      <c r="F9037" s="7" t="n"/>
      <c r="G9037" s="7" t="n"/>
      <c r="H9037" s="7" t="n"/>
      <c r="I9037" s="7" t="n"/>
      <c r="J9037" s="7" t="n"/>
      <c r="K9037">
        <f>IF(D9037="Legitimate Interest (GDPR Art. 6(1)(f))", "Yes / Required (Sheet 3)", "")</f>
        <v/>
      </c>
      <c r="L9037" s="7" t="n"/>
      <c r="M9037" s="7" t="n"/>
      <c r="N9037">
        <f>IF(D9037="", "Gap - No Legal Basis", IF(AND(D9037="Consent (GDPR Art. 6(1)(a))", I9037="Not Captured"), "Gap - Invalid Consent", IF(AND(D9037="Legitimate Interest (GDPR Art. 6(1)(f))", L9037=""), "Gap - Missing LIA", IF(AND(G9037="Yes", H9037=""), "Gap - Missing Art. 9 Basis", IF(OR(I9037="Invalid - Not Freely Given", I9037="Invalid - Not Specific", I9037="Invalid - Not Informed", I9037="Invalid - Ambiguous"), "Gap - Invalid Consent", "Compliant")))))</f>
        <v/>
      </c>
      <c r="O9037" s="7" t="n"/>
    </row>
    <row r="9038">
      <c r="A9038" s="7" t="n"/>
      <c r="B9038" s="7" t="n"/>
      <c r="C9038" s="7" t="n"/>
      <c r="D9038" s="7" t="n"/>
      <c r="E9038" s="7" t="n"/>
      <c r="F9038" s="7" t="n"/>
      <c r="G9038" s="7" t="n"/>
      <c r="H9038" s="7" t="n"/>
      <c r="I9038" s="7" t="n"/>
      <c r="J9038" s="7" t="n"/>
      <c r="K9038">
        <f>IF(D9038="Legitimate Interest (GDPR Art. 6(1)(f))", "Yes / Required (Sheet 3)", "")</f>
        <v/>
      </c>
      <c r="L9038" s="7" t="n"/>
      <c r="M9038" s="7" t="n"/>
      <c r="N9038">
        <f>IF(D9038="", "Gap - No Legal Basis", IF(AND(D9038="Consent (GDPR Art. 6(1)(a))", I9038="Not Captured"), "Gap - Invalid Consent", IF(AND(D9038="Legitimate Interest (GDPR Art. 6(1)(f))", L9038=""), "Gap - Missing LIA", IF(AND(G9038="Yes", H9038=""), "Gap - Missing Art. 9 Basis", IF(OR(I9038="Invalid - Not Freely Given", I9038="Invalid - Not Specific", I9038="Invalid - Not Informed", I9038="Invalid - Ambiguous"), "Gap - Invalid Consent", "Compliant")))))</f>
        <v/>
      </c>
      <c r="O9038" s="7" t="n"/>
    </row>
    <row r="9039">
      <c r="A9039" s="7" t="n"/>
      <c r="B9039" s="7" t="n"/>
      <c r="C9039" s="7" t="n"/>
      <c r="D9039" s="7" t="n"/>
      <c r="E9039" s="7" t="n"/>
      <c r="F9039" s="7" t="n"/>
      <c r="G9039" s="7" t="n"/>
      <c r="H9039" s="7" t="n"/>
      <c r="I9039" s="7" t="n"/>
      <c r="J9039" s="7" t="n"/>
      <c r="K9039">
        <f>IF(D9039="Legitimate Interest (GDPR Art. 6(1)(f))", "Yes / Required (Sheet 3)", "")</f>
        <v/>
      </c>
      <c r="L9039" s="7" t="n"/>
      <c r="M9039" s="7" t="n"/>
      <c r="N9039">
        <f>IF(D9039="", "Gap - No Legal Basis", IF(AND(D9039="Consent (GDPR Art. 6(1)(a))", I9039="Not Captured"), "Gap - Invalid Consent", IF(AND(D9039="Legitimate Interest (GDPR Art. 6(1)(f))", L9039=""), "Gap - Missing LIA", IF(AND(G9039="Yes", H9039=""), "Gap - Missing Art. 9 Basis", IF(OR(I9039="Invalid - Not Freely Given", I9039="Invalid - Not Specific", I9039="Invalid - Not Informed", I9039="Invalid - Ambiguous"), "Gap - Invalid Consent", "Compliant")))))</f>
        <v/>
      </c>
      <c r="O9039" s="7" t="n"/>
    </row>
    <row r="9040">
      <c r="A9040" s="7" t="n"/>
      <c r="B9040" s="7" t="n"/>
      <c r="C9040" s="7" t="n"/>
      <c r="D9040" s="7" t="n"/>
      <c r="E9040" s="7" t="n"/>
      <c r="F9040" s="7" t="n"/>
      <c r="G9040" s="7" t="n"/>
      <c r="H9040" s="7" t="n"/>
      <c r="I9040" s="7" t="n"/>
      <c r="J9040" s="7" t="n"/>
      <c r="K9040">
        <f>IF(D9040="Legitimate Interest (GDPR Art. 6(1)(f))", "Yes / Required (Sheet 3)", "")</f>
        <v/>
      </c>
      <c r="L9040" s="7" t="n"/>
      <c r="M9040" s="7" t="n"/>
      <c r="N9040">
        <f>IF(D9040="", "Gap - No Legal Basis", IF(AND(D9040="Consent (GDPR Art. 6(1)(a))", I9040="Not Captured"), "Gap - Invalid Consent", IF(AND(D9040="Legitimate Interest (GDPR Art. 6(1)(f))", L9040=""), "Gap - Missing LIA", IF(AND(G9040="Yes", H9040=""), "Gap - Missing Art. 9 Basis", IF(OR(I9040="Invalid - Not Freely Given", I9040="Invalid - Not Specific", I9040="Invalid - Not Informed", I9040="Invalid - Ambiguous"), "Gap - Invalid Consent", "Compliant")))))</f>
        <v/>
      </c>
      <c r="O9040" s="7" t="n"/>
    </row>
    <row r="9041">
      <c r="A9041" s="7" t="n"/>
      <c r="B9041" s="7" t="n"/>
      <c r="C9041" s="7" t="n"/>
      <c r="D9041" s="7" t="n"/>
      <c r="E9041" s="7" t="n"/>
      <c r="F9041" s="7" t="n"/>
      <c r="G9041" s="7" t="n"/>
      <c r="H9041" s="7" t="n"/>
      <c r="I9041" s="7" t="n"/>
      <c r="J9041" s="7" t="n"/>
      <c r="K9041">
        <f>IF(D9041="Legitimate Interest (GDPR Art. 6(1)(f))", "Yes / Required (Sheet 3)", "")</f>
        <v/>
      </c>
      <c r="L9041" s="7" t="n"/>
      <c r="M9041" s="7" t="n"/>
      <c r="N9041">
        <f>IF(D9041="", "Gap - No Legal Basis", IF(AND(D9041="Consent (GDPR Art. 6(1)(a))", I9041="Not Captured"), "Gap - Invalid Consent", IF(AND(D9041="Legitimate Interest (GDPR Art. 6(1)(f))", L9041=""), "Gap - Missing LIA", IF(AND(G9041="Yes", H9041=""), "Gap - Missing Art. 9 Basis", IF(OR(I9041="Invalid - Not Freely Given", I9041="Invalid - Not Specific", I9041="Invalid - Not Informed", I9041="Invalid - Ambiguous"), "Gap - Invalid Consent", "Compliant")))))</f>
        <v/>
      </c>
      <c r="O9041" s="7" t="n"/>
    </row>
    <row r="9042">
      <c r="A9042" s="7" t="n"/>
      <c r="B9042" s="7" t="n"/>
      <c r="C9042" s="7" t="n"/>
      <c r="D9042" s="7" t="n"/>
      <c r="E9042" s="7" t="n"/>
      <c r="F9042" s="7" t="n"/>
      <c r="G9042" s="7" t="n"/>
      <c r="H9042" s="7" t="n"/>
      <c r="I9042" s="7" t="n"/>
      <c r="J9042" s="7" t="n"/>
      <c r="K9042">
        <f>IF(D9042="Legitimate Interest (GDPR Art. 6(1)(f))", "Yes / Required (Sheet 3)", "")</f>
        <v/>
      </c>
      <c r="L9042" s="7" t="n"/>
      <c r="M9042" s="7" t="n"/>
      <c r="N9042">
        <f>IF(D9042="", "Gap - No Legal Basis", IF(AND(D9042="Consent (GDPR Art. 6(1)(a))", I9042="Not Captured"), "Gap - Invalid Consent", IF(AND(D9042="Legitimate Interest (GDPR Art. 6(1)(f))", L9042=""), "Gap - Missing LIA", IF(AND(G9042="Yes", H9042=""), "Gap - Missing Art. 9 Basis", IF(OR(I9042="Invalid - Not Freely Given", I9042="Invalid - Not Specific", I9042="Invalid - Not Informed", I9042="Invalid - Ambiguous"), "Gap - Invalid Consent", "Compliant")))))</f>
        <v/>
      </c>
      <c r="O9042" s="7" t="n"/>
    </row>
    <row r="9043">
      <c r="A9043" s="7" t="n"/>
      <c r="B9043" s="7" t="n"/>
      <c r="C9043" s="7" t="n"/>
      <c r="D9043" s="7" t="n"/>
      <c r="E9043" s="7" t="n"/>
      <c r="F9043" s="7" t="n"/>
      <c r="G9043" s="7" t="n"/>
      <c r="H9043" s="7" t="n"/>
      <c r="I9043" s="7" t="n"/>
      <c r="J9043" s="7" t="n"/>
      <c r="K9043">
        <f>IF(D9043="Legitimate Interest (GDPR Art. 6(1)(f))", "Yes / Required (Sheet 3)", "")</f>
        <v/>
      </c>
      <c r="L9043" s="7" t="n"/>
      <c r="M9043" s="7" t="n"/>
      <c r="N9043">
        <f>IF(D9043="", "Gap - No Legal Basis", IF(AND(D9043="Consent (GDPR Art. 6(1)(a))", I9043="Not Captured"), "Gap - Invalid Consent", IF(AND(D9043="Legitimate Interest (GDPR Art. 6(1)(f))", L9043=""), "Gap - Missing LIA", IF(AND(G9043="Yes", H9043=""), "Gap - Missing Art. 9 Basis", IF(OR(I9043="Invalid - Not Freely Given", I9043="Invalid - Not Specific", I9043="Invalid - Not Informed", I9043="Invalid - Ambiguous"), "Gap - Invalid Consent", "Compliant")))))</f>
        <v/>
      </c>
      <c r="O9043" s="7" t="n"/>
    </row>
    <row r="9044">
      <c r="A9044" s="7" t="n"/>
      <c r="B9044" s="7" t="n"/>
      <c r="C9044" s="7" t="n"/>
      <c r="D9044" s="7" t="n"/>
      <c r="E9044" s="7" t="n"/>
      <c r="F9044" s="7" t="n"/>
      <c r="G9044" s="7" t="n"/>
      <c r="H9044" s="7" t="n"/>
      <c r="I9044" s="7" t="n"/>
      <c r="J9044" s="7" t="n"/>
      <c r="K9044">
        <f>IF(D9044="Legitimate Interest (GDPR Art. 6(1)(f))", "Yes / Required (Sheet 3)", "")</f>
        <v/>
      </c>
      <c r="L9044" s="7" t="n"/>
      <c r="M9044" s="7" t="n"/>
      <c r="N9044">
        <f>IF(D9044="", "Gap - No Legal Basis", IF(AND(D9044="Consent (GDPR Art. 6(1)(a))", I9044="Not Captured"), "Gap - Invalid Consent", IF(AND(D9044="Legitimate Interest (GDPR Art. 6(1)(f))", L9044=""), "Gap - Missing LIA", IF(AND(G9044="Yes", H9044=""), "Gap - Missing Art. 9 Basis", IF(OR(I9044="Invalid - Not Freely Given", I9044="Invalid - Not Specific", I9044="Invalid - Not Informed", I9044="Invalid - Ambiguous"), "Gap - Invalid Consent", "Compliant")))))</f>
        <v/>
      </c>
      <c r="O9044" s="7" t="n"/>
    </row>
    <row r="9045">
      <c r="A9045" s="7" t="n"/>
      <c r="B9045" s="7" t="n"/>
      <c r="C9045" s="7" t="n"/>
      <c r="D9045" s="7" t="n"/>
      <c r="E9045" s="7" t="n"/>
      <c r="F9045" s="7" t="n"/>
      <c r="G9045" s="7" t="n"/>
      <c r="H9045" s="7" t="n"/>
      <c r="I9045" s="7" t="n"/>
      <c r="J9045" s="7" t="n"/>
      <c r="K9045">
        <f>IF(D9045="Legitimate Interest (GDPR Art. 6(1)(f))", "Yes / Required (Sheet 3)", "")</f>
        <v/>
      </c>
      <c r="L9045" s="7" t="n"/>
      <c r="M9045" s="7" t="n"/>
      <c r="N9045">
        <f>IF(D9045="", "Gap - No Legal Basis", IF(AND(D9045="Consent (GDPR Art. 6(1)(a))", I9045="Not Captured"), "Gap - Invalid Consent", IF(AND(D9045="Legitimate Interest (GDPR Art. 6(1)(f))", L9045=""), "Gap - Missing LIA", IF(AND(G9045="Yes", H9045=""), "Gap - Missing Art. 9 Basis", IF(OR(I9045="Invalid - Not Freely Given", I9045="Invalid - Not Specific", I9045="Invalid - Not Informed", I9045="Invalid - Ambiguous"), "Gap - Invalid Consent", "Compliant")))))</f>
        <v/>
      </c>
      <c r="O9045" s="7" t="n"/>
    </row>
    <row r="9046">
      <c r="A9046" s="7" t="n"/>
      <c r="B9046" s="7" t="n"/>
      <c r="C9046" s="7" t="n"/>
      <c r="D9046" s="7" t="n"/>
      <c r="E9046" s="7" t="n"/>
      <c r="F9046" s="7" t="n"/>
      <c r="G9046" s="7" t="n"/>
      <c r="H9046" s="7" t="n"/>
      <c r="I9046" s="7" t="n"/>
      <c r="J9046" s="7" t="n"/>
      <c r="K9046">
        <f>IF(D9046="Legitimate Interest (GDPR Art. 6(1)(f))", "Yes / Required (Sheet 3)", "")</f>
        <v/>
      </c>
      <c r="L9046" s="7" t="n"/>
      <c r="M9046" s="7" t="n"/>
      <c r="N9046">
        <f>IF(D9046="", "Gap - No Legal Basis", IF(AND(D9046="Consent (GDPR Art. 6(1)(a))", I9046="Not Captured"), "Gap - Invalid Consent", IF(AND(D9046="Legitimate Interest (GDPR Art. 6(1)(f))", L9046=""), "Gap - Missing LIA", IF(AND(G9046="Yes", H9046=""), "Gap - Missing Art. 9 Basis", IF(OR(I9046="Invalid - Not Freely Given", I9046="Invalid - Not Specific", I9046="Invalid - Not Informed", I9046="Invalid - Ambiguous"), "Gap - Invalid Consent", "Compliant")))))</f>
        <v/>
      </c>
      <c r="O9046" s="7" t="n"/>
    </row>
    <row r="9047">
      <c r="A9047" s="7" t="n"/>
      <c r="B9047" s="7" t="n"/>
      <c r="C9047" s="7" t="n"/>
      <c r="D9047" s="7" t="n"/>
      <c r="E9047" s="7" t="n"/>
      <c r="F9047" s="7" t="n"/>
      <c r="G9047" s="7" t="n"/>
      <c r="H9047" s="7" t="n"/>
      <c r="I9047" s="7" t="n"/>
      <c r="J9047" s="7" t="n"/>
      <c r="K9047">
        <f>IF(D9047="Legitimate Interest (GDPR Art. 6(1)(f))", "Yes / Required (Sheet 3)", "")</f>
        <v/>
      </c>
      <c r="L9047" s="7" t="n"/>
      <c r="M9047" s="7" t="n"/>
      <c r="N9047">
        <f>IF(D9047="", "Gap - No Legal Basis", IF(AND(D9047="Consent (GDPR Art. 6(1)(a))", I9047="Not Captured"), "Gap - Invalid Consent", IF(AND(D9047="Legitimate Interest (GDPR Art. 6(1)(f))", L9047=""), "Gap - Missing LIA", IF(AND(G9047="Yes", H9047=""), "Gap - Missing Art. 9 Basis", IF(OR(I9047="Invalid - Not Freely Given", I9047="Invalid - Not Specific", I9047="Invalid - Not Informed", I9047="Invalid - Ambiguous"), "Gap - Invalid Consent", "Compliant")))))</f>
        <v/>
      </c>
      <c r="O9047" s="7" t="n"/>
    </row>
    <row r="9048">
      <c r="A9048" s="7" t="n"/>
      <c r="B9048" s="7" t="n"/>
      <c r="C9048" s="7" t="n"/>
      <c r="D9048" s="7" t="n"/>
      <c r="E9048" s="7" t="n"/>
      <c r="F9048" s="7" t="n"/>
      <c r="G9048" s="7" t="n"/>
      <c r="H9048" s="7" t="n"/>
      <c r="I9048" s="7" t="n"/>
      <c r="J9048" s="7" t="n"/>
      <c r="K9048">
        <f>IF(D9048="Legitimate Interest (GDPR Art. 6(1)(f))", "Yes / Required (Sheet 3)", "")</f>
        <v/>
      </c>
      <c r="L9048" s="7" t="n"/>
      <c r="M9048" s="7" t="n"/>
      <c r="N9048">
        <f>IF(D9048="", "Gap - No Legal Basis", IF(AND(D9048="Consent (GDPR Art. 6(1)(a))", I9048="Not Captured"), "Gap - Invalid Consent", IF(AND(D9048="Legitimate Interest (GDPR Art. 6(1)(f))", L9048=""), "Gap - Missing LIA", IF(AND(G9048="Yes", H9048=""), "Gap - Missing Art. 9 Basis", IF(OR(I9048="Invalid - Not Freely Given", I9048="Invalid - Not Specific", I9048="Invalid - Not Informed", I9048="Invalid - Ambiguous"), "Gap - Invalid Consent", "Compliant")))))</f>
        <v/>
      </c>
      <c r="O9048" s="7" t="n"/>
    </row>
    <row r="9049">
      <c r="A9049" s="7" t="n"/>
      <c r="B9049" s="7" t="n"/>
      <c r="C9049" s="7" t="n"/>
      <c r="D9049" s="7" t="n"/>
      <c r="E9049" s="7" t="n"/>
      <c r="F9049" s="7" t="n"/>
      <c r="G9049" s="7" t="n"/>
      <c r="H9049" s="7" t="n"/>
      <c r="I9049" s="7" t="n"/>
      <c r="J9049" s="7" t="n"/>
      <c r="K9049">
        <f>IF(D9049="Legitimate Interest (GDPR Art. 6(1)(f))", "Yes / Required (Sheet 3)", "")</f>
        <v/>
      </c>
      <c r="L9049" s="7" t="n"/>
      <c r="M9049" s="7" t="n"/>
      <c r="N9049">
        <f>IF(D9049="", "Gap - No Legal Basis", IF(AND(D9049="Consent (GDPR Art. 6(1)(a))", I9049="Not Captured"), "Gap - Invalid Consent", IF(AND(D9049="Legitimate Interest (GDPR Art. 6(1)(f))", L9049=""), "Gap - Missing LIA", IF(AND(G9049="Yes", H9049=""), "Gap - Missing Art. 9 Basis", IF(OR(I9049="Invalid - Not Freely Given", I9049="Invalid - Not Specific", I9049="Invalid - Not Informed", I9049="Invalid - Ambiguous"), "Gap - Invalid Consent", "Compliant")))))</f>
        <v/>
      </c>
      <c r="O9049" s="7" t="n"/>
    </row>
    <row r="9050">
      <c r="A9050" s="7" t="n"/>
      <c r="B9050" s="7" t="n"/>
      <c r="C9050" s="7" t="n"/>
      <c r="D9050" s="7" t="n"/>
      <c r="E9050" s="7" t="n"/>
      <c r="F9050" s="7" t="n"/>
      <c r="G9050" s="7" t="n"/>
      <c r="H9050" s="7" t="n"/>
      <c r="I9050" s="7" t="n"/>
      <c r="J9050" s="7" t="n"/>
      <c r="K9050">
        <f>IF(D9050="Legitimate Interest (GDPR Art. 6(1)(f))", "Yes / Required (Sheet 3)", "")</f>
        <v/>
      </c>
      <c r="L9050" s="7" t="n"/>
      <c r="M9050" s="7" t="n"/>
      <c r="N9050">
        <f>IF(D9050="", "Gap - No Legal Basis", IF(AND(D9050="Consent (GDPR Art. 6(1)(a))", I9050="Not Captured"), "Gap - Invalid Consent", IF(AND(D9050="Legitimate Interest (GDPR Art. 6(1)(f))", L9050=""), "Gap - Missing LIA", IF(AND(G9050="Yes", H9050=""), "Gap - Missing Art. 9 Basis", IF(OR(I9050="Invalid - Not Freely Given", I9050="Invalid - Not Specific", I9050="Invalid - Not Informed", I9050="Invalid - Ambiguous"), "Gap - Invalid Consent", "Compliant")))))</f>
        <v/>
      </c>
      <c r="O9050" s="7" t="n"/>
    </row>
    <row r="9051">
      <c r="A9051" s="7" t="n"/>
      <c r="B9051" s="7" t="n"/>
      <c r="C9051" s="7" t="n"/>
      <c r="D9051" s="7" t="n"/>
      <c r="E9051" s="7" t="n"/>
      <c r="F9051" s="7" t="n"/>
      <c r="G9051" s="7" t="n"/>
      <c r="H9051" s="7" t="n"/>
      <c r="I9051" s="7" t="n"/>
      <c r="J9051" s="7" t="n"/>
      <c r="K9051">
        <f>IF(D9051="Legitimate Interest (GDPR Art. 6(1)(f))", "Yes / Required (Sheet 3)", "")</f>
        <v/>
      </c>
      <c r="L9051" s="7" t="n"/>
      <c r="M9051" s="7" t="n"/>
      <c r="N9051">
        <f>IF(D9051="", "Gap - No Legal Basis", IF(AND(D9051="Consent (GDPR Art. 6(1)(a))", I9051="Not Captured"), "Gap - Invalid Consent", IF(AND(D9051="Legitimate Interest (GDPR Art. 6(1)(f))", L9051=""), "Gap - Missing LIA", IF(AND(G9051="Yes", H9051=""), "Gap - Missing Art. 9 Basis", IF(OR(I9051="Invalid - Not Freely Given", I9051="Invalid - Not Specific", I9051="Invalid - Not Informed", I9051="Invalid - Ambiguous"), "Gap - Invalid Consent", "Compliant")))))</f>
        <v/>
      </c>
      <c r="O9051" s="7" t="n"/>
    </row>
    <row r="9052">
      <c r="A9052" s="7" t="n"/>
      <c r="B9052" s="7" t="n"/>
      <c r="C9052" s="7" t="n"/>
      <c r="D9052" s="7" t="n"/>
      <c r="E9052" s="7" t="n"/>
      <c r="F9052" s="7" t="n"/>
      <c r="G9052" s="7" t="n"/>
      <c r="H9052" s="7" t="n"/>
      <c r="I9052" s="7" t="n"/>
      <c r="J9052" s="7" t="n"/>
      <c r="K9052">
        <f>IF(D9052="Legitimate Interest (GDPR Art. 6(1)(f))", "Yes / Required (Sheet 3)", "")</f>
        <v/>
      </c>
      <c r="L9052" s="7" t="n"/>
      <c r="M9052" s="7" t="n"/>
      <c r="N9052">
        <f>IF(D9052="", "Gap - No Legal Basis", IF(AND(D9052="Consent (GDPR Art. 6(1)(a))", I9052="Not Captured"), "Gap - Invalid Consent", IF(AND(D9052="Legitimate Interest (GDPR Art. 6(1)(f))", L9052=""), "Gap - Missing LIA", IF(AND(G9052="Yes", H9052=""), "Gap - Missing Art. 9 Basis", IF(OR(I9052="Invalid - Not Freely Given", I9052="Invalid - Not Specific", I9052="Invalid - Not Informed", I9052="Invalid - Ambiguous"), "Gap - Invalid Consent", "Compliant")))))</f>
        <v/>
      </c>
      <c r="O9052" s="7" t="n"/>
    </row>
    <row r="9053">
      <c r="A9053" s="7" t="n"/>
      <c r="B9053" s="7" t="n"/>
      <c r="C9053" s="7" t="n"/>
      <c r="D9053" s="7" t="n"/>
      <c r="E9053" s="7" t="n"/>
      <c r="F9053" s="7" t="n"/>
      <c r="G9053" s="7" t="n"/>
      <c r="H9053" s="7" t="n"/>
      <c r="I9053" s="7" t="n"/>
      <c r="J9053" s="7" t="n"/>
      <c r="K9053">
        <f>IF(D9053="Legitimate Interest (GDPR Art. 6(1)(f))", "Yes / Required (Sheet 3)", "")</f>
        <v/>
      </c>
      <c r="L9053" s="7" t="n"/>
      <c r="M9053" s="7" t="n"/>
      <c r="N9053">
        <f>IF(D9053="", "Gap - No Legal Basis", IF(AND(D9053="Consent (GDPR Art. 6(1)(a))", I9053="Not Captured"), "Gap - Invalid Consent", IF(AND(D9053="Legitimate Interest (GDPR Art. 6(1)(f))", L9053=""), "Gap - Missing LIA", IF(AND(G9053="Yes", H9053=""), "Gap - Missing Art. 9 Basis", IF(OR(I9053="Invalid - Not Freely Given", I9053="Invalid - Not Specific", I9053="Invalid - Not Informed", I9053="Invalid - Ambiguous"), "Gap - Invalid Consent", "Compliant")))))</f>
        <v/>
      </c>
      <c r="O9053" s="7" t="n"/>
    </row>
    <row r="9054">
      <c r="A9054" s="7" t="n"/>
      <c r="B9054" s="7" t="n"/>
      <c r="C9054" s="7" t="n"/>
      <c r="D9054" s="7" t="n"/>
      <c r="E9054" s="7" t="n"/>
      <c r="F9054" s="7" t="n"/>
      <c r="G9054" s="7" t="n"/>
      <c r="H9054" s="7" t="n"/>
      <c r="I9054" s="7" t="n"/>
      <c r="J9054" s="7" t="n"/>
      <c r="K9054">
        <f>IF(D9054="Legitimate Interest (GDPR Art. 6(1)(f))", "Yes / Required (Sheet 3)", "")</f>
        <v/>
      </c>
      <c r="L9054" s="7" t="n"/>
      <c r="M9054" s="7" t="n"/>
      <c r="N9054">
        <f>IF(D9054="", "Gap - No Legal Basis", IF(AND(D9054="Consent (GDPR Art. 6(1)(a))", I9054="Not Captured"), "Gap - Invalid Consent", IF(AND(D9054="Legitimate Interest (GDPR Art. 6(1)(f))", L9054=""), "Gap - Missing LIA", IF(AND(G9054="Yes", H9054=""), "Gap - Missing Art. 9 Basis", IF(OR(I9054="Invalid - Not Freely Given", I9054="Invalid - Not Specific", I9054="Invalid - Not Informed", I9054="Invalid - Ambiguous"), "Gap - Invalid Consent", "Compliant")))))</f>
        <v/>
      </c>
      <c r="O9054" s="7" t="n"/>
    </row>
    <row r="9055">
      <c r="A9055" s="7" t="n"/>
      <c r="B9055" s="7" t="n"/>
      <c r="C9055" s="7" t="n"/>
      <c r="D9055" s="7" t="n"/>
      <c r="E9055" s="7" t="n"/>
      <c r="F9055" s="7" t="n"/>
      <c r="G9055" s="7" t="n"/>
      <c r="H9055" s="7" t="n"/>
      <c r="I9055" s="7" t="n"/>
      <c r="J9055" s="7" t="n"/>
      <c r="K9055">
        <f>IF(D9055="Legitimate Interest (GDPR Art. 6(1)(f))", "Yes / Required (Sheet 3)", "")</f>
        <v/>
      </c>
      <c r="L9055" s="7" t="n"/>
      <c r="M9055" s="7" t="n"/>
      <c r="N9055">
        <f>IF(D9055="", "Gap - No Legal Basis", IF(AND(D9055="Consent (GDPR Art. 6(1)(a))", I9055="Not Captured"), "Gap - Invalid Consent", IF(AND(D9055="Legitimate Interest (GDPR Art. 6(1)(f))", L9055=""), "Gap - Missing LIA", IF(AND(G9055="Yes", H9055=""), "Gap - Missing Art. 9 Basis", IF(OR(I9055="Invalid - Not Freely Given", I9055="Invalid - Not Specific", I9055="Invalid - Not Informed", I9055="Invalid - Ambiguous"), "Gap - Invalid Consent", "Compliant")))))</f>
        <v/>
      </c>
      <c r="O9055" s="7" t="n"/>
    </row>
    <row r="9056">
      <c r="A9056" s="7" t="n"/>
      <c r="B9056" s="7" t="n"/>
      <c r="C9056" s="7" t="n"/>
      <c r="D9056" s="7" t="n"/>
      <c r="E9056" s="7" t="n"/>
      <c r="F9056" s="7" t="n"/>
      <c r="G9056" s="7" t="n"/>
      <c r="H9056" s="7" t="n"/>
      <c r="I9056" s="7" t="n"/>
      <c r="J9056" s="7" t="n"/>
      <c r="K9056">
        <f>IF(D9056="Legitimate Interest (GDPR Art. 6(1)(f))", "Yes / Required (Sheet 3)", "")</f>
        <v/>
      </c>
      <c r="L9056" s="7" t="n"/>
      <c r="M9056" s="7" t="n"/>
      <c r="N9056">
        <f>IF(D9056="", "Gap - No Legal Basis", IF(AND(D9056="Consent (GDPR Art. 6(1)(a))", I9056="Not Captured"), "Gap - Invalid Consent", IF(AND(D9056="Legitimate Interest (GDPR Art. 6(1)(f))", L9056=""), "Gap - Missing LIA", IF(AND(G9056="Yes", H9056=""), "Gap - Missing Art. 9 Basis", IF(OR(I9056="Invalid - Not Freely Given", I9056="Invalid - Not Specific", I9056="Invalid - Not Informed", I9056="Invalid - Ambiguous"), "Gap - Invalid Consent", "Compliant")))))</f>
        <v/>
      </c>
      <c r="O9056" s="7" t="n"/>
    </row>
    <row r="9057">
      <c r="A9057" s="7" t="n"/>
      <c r="B9057" s="7" t="n"/>
      <c r="C9057" s="7" t="n"/>
      <c r="D9057" s="7" t="n"/>
      <c r="E9057" s="7" t="n"/>
      <c r="F9057" s="7" t="n"/>
      <c r="G9057" s="7" t="n"/>
      <c r="H9057" s="7" t="n"/>
      <c r="I9057" s="7" t="n"/>
      <c r="J9057" s="7" t="n"/>
      <c r="K9057">
        <f>IF(D9057="Legitimate Interest (GDPR Art. 6(1)(f))", "Yes / Required (Sheet 3)", "")</f>
        <v/>
      </c>
      <c r="L9057" s="7" t="n"/>
      <c r="M9057" s="7" t="n"/>
      <c r="N9057">
        <f>IF(D9057="", "Gap - No Legal Basis", IF(AND(D9057="Consent (GDPR Art. 6(1)(a))", I9057="Not Captured"), "Gap - Invalid Consent", IF(AND(D9057="Legitimate Interest (GDPR Art. 6(1)(f))", L9057=""), "Gap - Missing LIA", IF(AND(G9057="Yes", H9057=""), "Gap - Missing Art. 9 Basis", IF(OR(I9057="Invalid - Not Freely Given", I9057="Invalid - Not Specific", I9057="Invalid - Not Informed", I9057="Invalid - Ambiguous"), "Gap - Invalid Consent", "Compliant")))))</f>
        <v/>
      </c>
      <c r="O9057" s="7" t="n"/>
    </row>
    <row r="9058">
      <c r="A9058" s="7" t="n"/>
      <c r="B9058" s="7" t="n"/>
      <c r="C9058" s="7" t="n"/>
      <c r="D9058" s="7" t="n"/>
      <c r="E9058" s="7" t="n"/>
      <c r="F9058" s="7" t="n"/>
      <c r="G9058" s="7" t="n"/>
      <c r="H9058" s="7" t="n"/>
      <c r="I9058" s="7" t="n"/>
      <c r="J9058" s="7" t="n"/>
      <c r="K9058">
        <f>IF(D9058="Legitimate Interest (GDPR Art. 6(1)(f))", "Yes / Required (Sheet 3)", "")</f>
        <v/>
      </c>
      <c r="L9058" s="7" t="n"/>
      <c r="M9058" s="7" t="n"/>
      <c r="N9058">
        <f>IF(D9058="", "Gap - No Legal Basis", IF(AND(D9058="Consent (GDPR Art. 6(1)(a))", I9058="Not Captured"), "Gap - Invalid Consent", IF(AND(D9058="Legitimate Interest (GDPR Art. 6(1)(f))", L9058=""), "Gap - Missing LIA", IF(AND(G9058="Yes", H9058=""), "Gap - Missing Art. 9 Basis", IF(OR(I9058="Invalid - Not Freely Given", I9058="Invalid - Not Specific", I9058="Invalid - Not Informed", I9058="Invalid - Ambiguous"), "Gap - Invalid Consent", "Compliant")))))</f>
        <v/>
      </c>
      <c r="O9058" s="7" t="n"/>
    </row>
    <row r="9059">
      <c r="A9059" s="7" t="n"/>
      <c r="B9059" s="7" t="n"/>
      <c r="C9059" s="7" t="n"/>
      <c r="D9059" s="7" t="n"/>
      <c r="E9059" s="7" t="n"/>
      <c r="F9059" s="7" t="n"/>
      <c r="G9059" s="7" t="n"/>
      <c r="H9059" s="7" t="n"/>
      <c r="I9059" s="7" t="n"/>
      <c r="J9059" s="7" t="n"/>
      <c r="K9059">
        <f>IF(D9059="Legitimate Interest (GDPR Art. 6(1)(f))", "Yes / Required (Sheet 3)", "")</f>
        <v/>
      </c>
      <c r="L9059" s="7" t="n"/>
      <c r="M9059" s="7" t="n"/>
      <c r="N9059">
        <f>IF(D9059="", "Gap - No Legal Basis", IF(AND(D9059="Consent (GDPR Art. 6(1)(a))", I9059="Not Captured"), "Gap - Invalid Consent", IF(AND(D9059="Legitimate Interest (GDPR Art. 6(1)(f))", L9059=""), "Gap - Missing LIA", IF(AND(G9059="Yes", H9059=""), "Gap - Missing Art. 9 Basis", IF(OR(I9059="Invalid - Not Freely Given", I9059="Invalid - Not Specific", I9059="Invalid - Not Informed", I9059="Invalid - Ambiguous"), "Gap - Invalid Consent", "Compliant")))))</f>
        <v/>
      </c>
      <c r="O9059" s="7" t="n"/>
    </row>
    <row r="9060">
      <c r="A9060" s="7" t="n"/>
      <c r="B9060" s="7" t="n"/>
      <c r="C9060" s="7" t="n"/>
      <c r="D9060" s="7" t="n"/>
      <c r="E9060" s="7" t="n"/>
      <c r="F9060" s="7" t="n"/>
      <c r="G9060" s="7" t="n"/>
      <c r="H9060" s="7" t="n"/>
      <c r="I9060" s="7" t="n"/>
      <c r="J9060" s="7" t="n"/>
      <c r="K9060">
        <f>IF(D9060="Legitimate Interest (GDPR Art. 6(1)(f))", "Yes / Required (Sheet 3)", "")</f>
        <v/>
      </c>
      <c r="L9060" s="7" t="n"/>
      <c r="M9060" s="7" t="n"/>
      <c r="N9060">
        <f>IF(D9060="", "Gap - No Legal Basis", IF(AND(D9060="Consent (GDPR Art. 6(1)(a))", I9060="Not Captured"), "Gap - Invalid Consent", IF(AND(D9060="Legitimate Interest (GDPR Art. 6(1)(f))", L9060=""), "Gap - Missing LIA", IF(AND(G9060="Yes", H9060=""), "Gap - Missing Art. 9 Basis", IF(OR(I9060="Invalid - Not Freely Given", I9060="Invalid - Not Specific", I9060="Invalid - Not Informed", I9060="Invalid - Ambiguous"), "Gap - Invalid Consent", "Compliant")))))</f>
        <v/>
      </c>
      <c r="O9060" s="7" t="n"/>
    </row>
    <row r="9061">
      <c r="A9061" s="7" t="n"/>
      <c r="B9061" s="7" t="n"/>
      <c r="C9061" s="7" t="n"/>
      <c r="D9061" s="7" t="n"/>
      <c r="E9061" s="7" t="n"/>
      <c r="F9061" s="7" t="n"/>
      <c r="G9061" s="7" t="n"/>
      <c r="H9061" s="7" t="n"/>
      <c r="I9061" s="7" t="n"/>
      <c r="J9061" s="7" t="n"/>
      <c r="K9061">
        <f>IF(D9061="Legitimate Interest (GDPR Art. 6(1)(f))", "Yes / Required (Sheet 3)", "")</f>
        <v/>
      </c>
      <c r="L9061" s="7" t="n"/>
      <c r="M9061" s="7" t="n"/>
      <c r="N9061">
        <f>IF(D9061="", "Gap - No Legal Basis", IF(AND(D9061="Consent (GDPR Art. 6(1)(a))", I9061="Not Captured"), "Gap - Invalid Consent", IF(AND(D9061="Legitimate Interest (GDPR Art. 6(1)(f))", L9061=""), "Gap - Missing LIA", IF(AND(G9061="Yes", H9061=""), "Gap - Missing Art. 9 Basis", IF(OR(I9061="Invalid - Not Freely Given", I9061="Invalid - Not Specific", I9061="Invalid - Not Informed", I9061="Invalid - Ambiguous"), "Gap - Invalid Consent", "Compliant")))))</f>
        <v/>
      </c>
      <c r="O9061" s="7" t="n"/>
    </row>
    <row r="9062">
      <c r="A9062" s="7" t="n"/>
      <c r="B9062" s="7" t="n"/>
      <c r="C9062" s="7" t="n"/>
      <c r="D9062" s="7" t="n"/>
      <c r="E9062" s="7" t="n"/>
      <c r="F9062" s="7" t="n"/>
      <c r="G9062" s="7" t="n"/>
      <c r="H9062" s="7" t="n"/>
      <c r="I9062" s="7" t="n"/>
      <c r="J9062" s="7" t="n"/>
      <c r="K9062">
        <f>IF(D9062="Legitimate Interest (GDPR Art. 6(1)(f))", "Yes / Required (Sheet 3)", "")</f>
        <v/>
      </c>
      <c r="L9062" s="7" t="n"/>
      <c r="M9062" s="7" t="n"/>
      <c r="N9062">
        <f>IF(D9062="", "Gap - No Legal Basis", IF(AND(D9062="Consent (GDPR Art. 6(1)(a))", I9062="Not Captured"), "Gap - Invalid Consent", IF(AND(D9062="Legitimate Interest (GDPR Art. 6(1)(f))", L9062=""), "Gap - Missing LIA", IF(AND(G9062="Yes", H9062=""), "Gap - Missing Art. 9 Basis", IF(OR(I9062="Invalid - Not Freely Given", I9062="Invalid - Not Specific", I9062="Invalid - Not Informed", I9062="Invalid - Ambiguous"), "Gap - Invalid Consent", "Compliant")))))</f>
        <v/>
      </c>
      <c r="O9062" s="7" t="n"/>
    </row>
    <row r="9063">
      <c r="A9063" s="7" t="n"/>
      <c r="B9063" s="7" t="n"/>
      <c r="C9063" s="7" t="n"/>
      <c r="D9063" s="7" t="n"/>
      <c r="E9063" s="7" t="n"/>
      <c r="F9063" s="7" t="n"/>
      <c r="G9063" s="7" t="n"/>
      <c r="H9063" s="7" t="n"/>
      <c r="I9063" s="7" t="n"/>
      <c r="J9063" s="7" t="n"/>
      <c r="K9063">
        <f>IF(D9063="Legitimate Interest (GDPR Art. 6(1)(f))", "Yes / Required (Sheet 3)", "")</f>
        <v/>
      </c>
      <c r="L9063" s="7" t="n"/>
      <c r="M9063" s="7" t="n"/>
      <c r="N9063">
        <f>IF(D9063="", "Gap - No Legal Basis", IF(AND(D9063="Consent (GDPR Art. 6(1)(a))", I9063="Not Captured"), "Gap - Invalid Consent", IF(AND(D9063="Legitimate Interest (GDPR Art. 6(1)(f))", L9063=""), "Gap - Missing LIA", IF(AND(G9063="Yes", H9063=""), "Gap - Missing Art. 9 Basis", IF(OR(I9063="Invalid - Not Freely Given", I9063="Invalid - Not Specific", I9063="Invalid - Not Informed", I9063="Invalid - Ambiguous"), "Gap - Invalid Consent", "Compliant")))))</f>
        <v/>
      </c>
      <c r="O9063" s="7" t="n"/>
    </row>
    <row r="9064">
      <c r="A9064" s="7" t="n"/>
      <c r="B9064" s="7" t="n"/>
      <c r="C9064" s="7" t="n"/>
      <c r="D9064" s="7" t="n"/>
      <c r="E9064" s="7" t="n"/>
      <c r="F9064" s="7" t="n"/>
      <c r="G9064" s="7" t="n"/>
      <c r="H9064" s="7" t="n"/>
      <c r="I9064" s="7" t="n"/>
      <c r="J9064" s="7" t="n"/>
      <c r="K9064">
        <f>IF(D9064="Legitimate Interest (GDPR Art. 6(1)(f))", "Yes / Required (Sheet 3)", "")</f>
        <v/>
      </c>
      <c r="L9064" s="7" t="n"/>
      <c r="M9064" s="7" t="n"/>
      <c r="N9064">
        <f>IF(D9064="", "Gap - No Legal Basis", IF(AND(D9064="Consent (GDPR Art. 6(1)(a))", I9064="Not Captured"), "Gap - Invalid Consent", IF(AND(D9064="Legitimate Interest (GDPR Art. 6(1)(f))", L9064=""), "Gap - Missing LIA", IF(AND(G9064="Yes", H9064=""), "Gap - Missing Art. 9 Basis", IF(OR(I9064="Invalid - Not Freely Given", I9064="Invalid - Not Specific", I9064="Invalid - Not Informed", I9064="Invalid - Ambiguous"), "Gap - Invalid Consent", "Compliant")))))</f>
        <v/>
      </c>
      <c r="O9064" s="7" t="n"/>
    </row>
    <row r="9065">
      <c r="A9065" s="7" t="n"/>
      <c r="B9065" s="7" t="n"/>
      <c r="C9065" s="7" t="n"/>
      <c r="D9065" s="7" t="n"/>
      <c r="E9065" s="7" t="n"/>
      <c r="F9065" s="7" t="n"/>
      <c r="G9065" s="7" t="n"/>
      <c r="H9065" s="7" t="n"/>
      <c r="I9065" s="7" t="n"/>
      <c r="J9065" s="7" t="n"/>
      <c r="K9065">
        <f>IF(D9065="Legitimate Interest (GDPR Art. 6(1)(f))", "Yes / Required (Sheet 3)", "")</f>
        <v/>
      </c>
      <c r="L9065" s="7" t="n"/>
      <c r="M9065" s="7" t="n"/>
      <c r="N9065">
        <f>IF(D9065="", "Gap - No Legal Basis", IF(AND(D9065="Consent (GDPR Art. 6(1)(a))", I9065="Not Captured"), "Gap - Invalid Consent", IF(AND(D9065="Legitimate Interest (GDPR Art. 6(1)(f))", L9065=""), "Gap - Missing LIA", IF(AND(G9065="Yes", H9065=""), "Gap - Missing Art. 9 Basis", IF(OR(I9065="Invalid - Not Freely Given", I9065="Invalid - Not Specific", I9065="Invalid - Not Informed", I9065="Invalid - Ambiguous"), "Gap - Invalid Consent", "Compliant")))))</f>
        <v/>
      </c>
      <c r="O9065" s="7" t="n"/>
    </row>
    <row r="9066">
      <c r="A9066" s="7" t="n"/>
      <c r="B9066" s="7" t="n"/>
      <c r="C9066" s="7" t="n"/>
      <c r="D9066" s="7" t="n"/>
      <c r="E9066" s="7" t="n"/>
      <c r="F9066" s="7" t="n"/>
      <c r="G9066" s="7" t="n"/>
      <c r="H9066" s="7" t="n"/>
      <c r="I9066" s="7" t="n"/>
      <c r="J9066" s="7" t="n"/>
      <c r="K9066">
        <f>IF(D9066="Legitimate Interest (GDPR Art. 6(1)(f))", "Yes / Required (Sheet 3)", "")</f>
        <v/>
      </c>
      <c r="L9066" s="7" t="n"/>
      <c r="M9066" s="7" t="n"/>
      <c r="N9066">
        <f>IF(D9066="", "Gap - No Legal Basis", IF(AND(D9066="Consent (GDPR Art. 6(1)(a))", I9066="Not Captured"), "Gap - Invalid Consent", IF(AND(D9066="Legitimate Interest (GDPR Art. 6(1)(f))", L9066=""), "Gap - Missing LIA", IF(AND(G9066="Yes", H9066=""), "Gap - Missing Art. 9 Basis", IF(OR(I9066="Invalid - Not Freely Given", I9066="Invalid - Not Specific", I9066="Invalid - Not Informed", I9066="Invalid - Ambiguous"), "Gap - Invalid Consent", "Compliant")))))</f>
        <v/>
      </c>
      <c r="O9066" s="7" t="n"/>
    </row>
    <row r="9067">
      <c r="A9067" s="7" t="n"/>
      <c r="B9067" s="7" t="n"/>
      <c r="C9067" s="7" t="n"/>
      <c r="D9067" s="7" t="n"/>
      <c r="E9067" s="7" t="n"/>
      <c r="F9067" s="7" t="n"/>
      <c r="G9067" s="7" t="n"/>
      <c r="H9067" s="7" t="n"/>
      <c r="I9067" s="7" t="n"/>
      <c r="J9067" s="7" t="n"/>
      <c r="K9067">
        <f>IF(D9067="Legitimate Interest (GDPR Art. 6(1)(f))", "Yes / Required (Sheet 3)", "")</f>
        <v/>
      </c>
      <c r="L9067" s="7" t="n"/>
      <c r="M9067" s="7" t="n"/>
      <c r="N9067">
        <f>IF(D9067="", "Gap - No Legal Basis", IF(AND(D9067="Consent (GDPR Art. 6(1)(a))", I9067="Not Captured"), "Gap - Invalid Consent", IF(AND(D9067="Legitimate Interest (GDPR Art. 6(1)(f))", L9067=""), "Gap - Missing LIA", IF(AND(G9067="Yes", H9067=""), "Gap - Missing Art. 9 Basis", IF(OR(I9067="Invalid - Not Freely Given", I9067="Invalid - Not Specific", I9067="Invalid - Not Informed", I9067="Invalid - Ambiguous"), "Gap - Invalid Consent", "Compliant")))))</f>
        <v/>
      </c>
      <c r="O9067" s="7" t="n"/>
    </row>
    <row r="9068">
      <c r="A9068" s="7" t="n"/>
      <c r="B9068" s="7" t="n"/>
      <c r="C9068" s="7" t="n"/>
      <c r="D9068" s="7" t="n"/>
      <c r="E9068" s="7" t="n"/>
      <c r="F9068" s="7" t="n"/>
      <c r="G9068" s="7" t="n"/>
      <c r="H9068" s="7" t="n"/>
      <c r="I9068" s="7" t="n"/>
      <c r="J9068" s="7" t="n"/>
      <c r="K9068">
        <f>IF(D9068="Legitimate Interest (GDPR Art. 6(1)(f))", "Yes / Required (Sheet 3)", "")</f>
        <v/>
      </c>
      <c r="L9068" s="7" t="n"/>
      <c r="M9068" s="7" t="n"/>
      <c r="N9068">
        <f>IF(D9068="", "Gap - No Legal Basis", IF(AND(D9068="Consent (GDPR Art. 6(1)(a))", I9068="Not Captured"), "Gap - Invalid Consent", IF(AND(D9068="Legitimate Interest (GDPR Art. 6(1)(f))", L9068=""), "Gap - Missing LIA", IF(AND(G9068="Yes", H9068=""), "Gap - Missing Art. 9 Basis", IF(OR(I9068="Invalid - Not Freely Given", I9068="Invalid - Not Specific", I9068="Invalid - Not Informed", I9068="Invalid - Ambiguous"), "Gap - Invalid Consent", "Compliant")))))</f>
        <v/>
      </c>
      <c r="O9068" s="7" t="n"/>
    </row>
    <row r="9069">
      <c r="A9069" s="7" t="n"/>
      <c r="B9069" s="7" t="n"/>
      <c r="C9069" s="7" t="n"/>
      <c r="D9069" s="7" t="n"/>
      <c r="E9069" s="7" t="n"/>
      <c r="F9069" s="7" t="n"/>
      <c r="G9069" s="7" t="n"/>
      <c r="H9069" s="7" t="n"/>
      <c r="I9069" s="7" t="n"/>
      <c r="J9069" s="7" t="n"/>
      <c r="K9069">
        <f>IF(D9069="Legitimate Interest (GDPR Art. 6(1)(f))", "Yes / Required (Sheet 3)", "")</f>
        <v/>
      </c>
      <c r="L9069" s="7" t="n"/>
      <c r="M9069" s="7" t="n"/>
      <c r="N9069">
        <f>IF(D9069="", "Gap - No Legal Basis", IF(AND(D9069="Consent (GDPR Art. 6(1)(a))", I9069="Not Captured"), "Gap - Invalid Consent", IF(AND(D9069="Legitimate Interest (GDPR Art. 6(1)(f))", L9069=""), "Gap - Missing LIA", IF(AND(G9069="Yes", H9069=""), "Gap - Missing Art. 9 Basis", IF(OR(I9069="Invalid - Not Freely Given", I9069="Invalid - Not Specific", I9069="Invalid - Not Informed", I9069="Invalid - Ambiguous"), "Gap - Invalid Consent", "Compliant")))))</f>
        <v/>
      </c>
      <c r="O9069" s="7" t="n"/>
    </row>
    <row r="9070">
      <c r="A9070" s="7" t="n"/>
      <c r="B9070" s="7" t="n"/>
      <c r="C9070" s="7" t="n"/>
      <c r="D9070" s="7" t="n"/>
      <c r="E9070" s="7" t="n"/>
      <c r="F9070" s="7" t="n"/>
      <c r="G9070" s="7" t="n"/>
      <c r="H9070" s="7" t="n"/>
      <c r="I9070" s="7" t="n"/>
      <c r="J9070" s="7" t="n"/>
      <c r="K9070">
        <f>IF(D9070="Legitimate Interest (GDPR Art. 6(1)(f))", "Yes / Required (Sheet 3)", "")</f>
        <v/>
      </c>
      <c r="L9070" s="7" t="n"/>
      <c r="M9070" s="7" t="n"/>
      <c r="N9070">
        <f>IF(D9070="", "Gap - No Legal Basis", IF(AND(D9070="Consent (GDPR Art. 6(1)(a))", I9070="Not Captured"), "Gap - Invalid Consent", IF(AND(D9070="Legitimate Interest (GDPR Art. 6(1)(f))", L9070=""), "Gap - Missing LIA", IF(AND(G9070="Yes", H9070=""), "Gap - Missing Art. 9 Basis", IF(OR(I9070="Invalid - Not Freely Given", I9070="Invalid - Not Specific", I9070="Invalid - Not Informed", I9070="Invalid - Ambiguous"), "Gap - Invalid Consent", "Compliant")))))</f>
        <v/>
      </c>
      <c r="O9070" s="7" t="n"/>
    </row>
    <row r="9071">
      <c r="A9071" s="7" t="n"/>
      <c r="B9071" s="7" t="n"/>
      <c r="C9071" s="7" t="n"/>
      <c r="D9071" s="7" t="n"/>
      <c r="E9071" s="7" t="n"/>
      <c r="F9071" s="7" t="n"/>
      <c r="G9071" s="7" t="n"/>
      <c r="H9071" s="7" t="n"/>
      <c r="I9071" s="7" t="n"/>
      <c r="J9071" s="7" t="n"/>
      <c r="K9071">
        <f>IF(D9071="Legitimate Interest (GDPR Art. 6(1)(f))", "Yes / Required (Sheet 3)", "")</f>
        <v/>
      </c>
      <c r="L9071" s="7" t="n"/>
      <c r="M9071" s="7" t="n"/>
      <c r="N9071">
        <f>IF(D9071="", "Gap - No Legal Basis", IF(AND(D9071="Consent (GDPR Art. 6(1)(a))", I9071="Not Captured"), "Gap - Invalid Consent", IF(AND(D9071="Legitimate Interest (GDPR Art. 6(1)(f))", L9071=""), "Gap - Missing LIA", IF(AND(G9071="Yes", H9071=""), "Gap - Missing Art. 9 Basis", IF(OR(I9071="Invalid - Not Freely Given", I9071="Invalid - Not Specific", I9071="Invalid - Not Informed", I9071="Invalid - Ambiguous"), "Gap - Invalid Consent", "Compliant")))))</f>
        <v/>
      </c>
      <c r="O9071" s="7" t="n"/>
    </row>
    <row r="9072">
      <c r="A9072" s="7" t="n"/>
      <c r="B9072" s="7" t="n"/>
      <c r="C9072" s="7" t="n"/>
      <c r="D9072" s="7" t="n"/>
      <c r="E9072" s="7" t="n"/>
      <c r="F9072" s="7" t="n"/>
      <c r="G9072" s="7" t="n"/>
      <c r="H9072" s="7" t="n"/>
      <c r="I9072" s="7" t="n"/>
      <c r="J9072" s="7" t="n"/>
      <c r="K9072">
        <f>IF(D9072="Legitimate Interest (GDPR Art. 6(1)(f))", "Yes / Required (Sheet 3)", "")</f>
        <v/>
      </c>
      <c r="L9072" s="7" t="n"/>
      <c r="M9072" s="7" t="n"/>
      <c r="N9072">
        <f>IF(D9072="", "Gap - No Legal Basis", IF(AND(D9072="Consent (GDPR Art. 6(1)(a))", I9072="Not Captured"), "Gap - Invalid Consent", IF(AND(D9072="Legitimate Interest (GDPR Art. 6(1)(f))", L9072=""), "Gap - Missing LIA", IF(AND(G9072="Yes", H9072=""), "Gap - Missing Art. 9 Basis", IF(OR(I9072="Invalid - Not Freely Given", I9072="Invalid - Not Specific", I9072="Invalid - Not Informed", I9072="Invalid - Ambiguous"), "Gap - Invalid Consent", "Compliant")))))</f>
        <v/>
      </c>
      <c r="O9072" s="7" t="n"/>
    </row>
    <row r="9073">
      <c r="A9073" s="7" t="n"/>
      <c r="B9073" s="7" t="n"/>
      <c r="C9073" s="7" t="n"/>
      <c r="D9073" s="7" t="n"/>
      <c r="E9073" s="7" t="n"/>
      <c r="F9073" s="7" t="n"/>
      <c r="G9073" s="7" t="n"/>
      <c r="H9073" s="7" t="n"/>
      <c r="I9073" s="7" t="n"/>
      <c r="J9073" s="7" t="n"/>
      <c r="K9073">
        <f>IF(D9073="Legitimate Interest (GDPR Art. 6(1)(f))", "Yes / Required (Sheet 3)", "")</f>
        <v/>
      </c>
      <c r="L9073" s="7" t="n"/>
      <c r="M9073" s="7" t="n"/>
      <c r="N9073">
        <f>IF(D9073="", "Gap - No Legal Basis", IF(AND(D9073="Consent (GDPR Art. 6(1)(a))", I9073="Not Captured"), "Gap - Invalid Consent", IF(AND(D9073="Legitimate Interest (GDPR Art. 6(1)(f))", L9073=""), "Gap - Missing LIA", IF(AND(G9073="Yes", H9073=""), "Gap - Missing Art. 9 Basis", IF(OR(I9073="Invalid - Not Freely Given", I9073="Invalid - Not Specific", I9073="Invalid - Not Informed", I9073="Invalid - Ambiguous"), "Gap - Invalid Consent", "Compliant")))))</f>
        <v/>
      </c>
      <c r="O9073" s="7" t="n"/>
    </row>
    <row r="9074">
      <c r="A9074" s="7" t="n"/>
      <c r="B9074" s="7" t="n"/>
      <c r="C9074" s="7" t="n"/>
      <c r="D9074" s="7" t="n"/>
      <c r="E9074" s="7" t="n"/>
      <c r="F9074" s="7" t="n"/>
      <c r="G9074" s="7" t="n"/>
      <c r="H9074" s="7" t="n"/>
      <c r="I9074" s="7" t="n"/>
      <c r="J9074" s="7" t="n"/>
      <c r="K9074">
        <f>IF(D9074="Legitimate Interest (GDPR Art. 6(1)(f))", "Yes / Required (Sheet 3)", "")</f>
        <v/>
      </c>
      <c r="L9074" s="7" t="n"/>
      <c r="M9074" s="7" t="n"/>
      <c r="N9074">
        <f>IF(D9074="", "Gap - No Legal Basis", IF(AND(D9074="Consent (GDPR Art. 6(1)(a))", I9074="Not Captured"), "Gap - Invalid Consent", IF(AND(D9074="Legitimate Interest (GDPR Art. 6(1)(f))", L9074=""), "Gap - Missing LIA", IF(AND(G9074="Yes", H9074=""), "Gap - Missing Art. 9 Basis", IF(OR(I9074="Invalid - Not Freely Given", I9074="Invalid - Not Specific", I9074="Invalid - Not Informed", I9074="Invalid - Ambiguous"), "Gap - Invalid Consent", "Compliant")))))</f>
        <v/>
      </c>
      <c r="O9074" s="7" t="n"/>
    </row>
    <row r="9075">
      <c r="A9075" s="7" t="n"/>
      <c r="B9075" s="7" t="n"/>
      <c r="C9075" s="7" t="n"/>
      <c r="D9075" s="7" t="n"/>
      <c r="E9075" s="7" t="n"/>
      <c r="F9075" s="7" t="n"/>
      <c r="G9075" s="7" t="n"/>
      <c r="H9075" s="7" t="n"/>
      <c r="I9075" s="7" t="n"/>
      <c r="J9075" s="7" t="n"/>
      <c r="K9075">
        <f>IF(D9075="Legitimate Interest (GDPR Art. 6(1)(f))", "Yes / Required (Sheet 3)", "")</f>
        <v/>
      </c>
      <c r="L9075" s="7" t="n"/>
      <c r="M9075" s="7" t="n"/>
      <c r="N9075">
        <f>IF(D9075="", "Gap - No Legal Basis", IF(AND(D9075="Consent (GDPR Art. 6(1)(a))", I9075="Not Captured"), "Gap - Invalid Consent", IF(AND(D9075="Legitimate Interest (GDPR Art. 6(1)(f))", L9075=""), "Gap - Missing LIA", IF(AND(G9075="Yes", H9075=""), "Gap - Missing Art. 9 Basis", IF(OR(I9075="Invalid - Not Freely Given", I9075="Invalid - Not Specific", I9075="Invalid - Not Informed", I9075="Invalid - Ambiguous"), "Gap - Invalid Consent", "Compliant")))))</f>
        <v/>
      </c>
      <c r="O9075" s="7" t="n"/>
    </row>
    <row r="9076">
      <c r="A9076" s="7" t="n"/>
      <c r="B9076" s="7" t="n"/>
      <c r="C9076" s="7" t="n"/>
      <c r="D9076" s="7" t="n"/>
      <c r="E9076" s="7" t="n"/>
      <c r="F9076" s="7" t="n"/>
      <c r="G9076" s="7" t="n"/>
      <c r="H9076" s="7" t="n"/>
      <c r="I9076" s="7" t="n"/>
      <c r="J9076" s="7" t="n"/>
      <c r="K9076">
        <f>IF(D9076="Legitimate Interest (GDPR Art. 6(1)(f))", "Yes / Required (Sheet 3)", "")</f>
        <v/>
      </c>
      <c r="L9076" s="7" t="n"/>
      <c r="M9076" s="7" t="n"/>
      <c r="N9076">
        <f>IF(D9076="", "Gap - No Legal Basis", IF(AND(D9076="Consent (GDPR Art. 6(1)(a))", I9076="Not Captured"), "Gap - Invalid Consent", IF(AND(D9076="Legitimate Interest (GDPR Art. 6(1)(f))", L9076=""), "Gap - Missing LIA", IF(AND(G9076="Yes", H9076=""), "Gap - Missing Art. 9 Basis", IF(OR(I9076="Invalid - Not Freely Given", I9076="Invalid - Not Specific", I9076="Invalid - Not Informed", I9076="Invalid - Ambiguous"), "Gap - Invalid Consent", "Compliant")))))</f>
        <v/>
      </c>
      <c r="O9076" s="7" t="n"/>
    </row>
    <row r="9077">
      <c r="A9077" s="7" t="n"/>
      <c r="B9077" s="7" t="n"/>
      <c r="C9077" s="7" t="n"/>
      <c r="D9077" s="7" t="n"/>
      <c r="E9077" s="7" t="n"/>
      <c r="F9077" s="7" t="n"/>
      <c r="G9077" s="7" t="n"/>
      <c r="H9077" s="7" t="n"/>
      <c r="I9077" s="7" t="n"/>
      <c r="J9077" s="7" t="n"/>
      <c r="K9077">
        <f>IF(D9077="Legitimate Interest (GDPR Art. 6(1)(f))", "Yes / Required (Sheet 3)", "")</f>
        <v/>
      </c>
      <c r="L9077" s="7" t="n"/>
      <c r="M9077" s="7" t="n"/>
      <c r="N9077">
        <f>IF(D9077="", "Gap - No Legal Basis", IF(AND(D9077="Consent (GDPR Art. 6(1)(a))", I9077="Not Captured"), "Gap - Invalid Consent", IF(AND(D9077="Legitimate Interest (GDPR Art. 6(1)(f))", L9077=""), "Gap - Missing LIA", IF(AND(G9077="Yes", H9077=""), "Gap - Missing Art. 9 Basis", IF(OR(I9077="Invalid - Not Freely Given", I9077="Invalid - Not Specific", I9077="Invalid - Not Informed", I9077="Invalid - Ambiguous"), "Gap - Invalid Consent", "Compliant")))))</f>
        <v/>
      </c>
      <c r="O9077" s="7" t="n"/>
    </row>
    <row r="9078">
      <c r="A9078" s="7" t="n"/>
      <c r="B9078" s="7" t="n"/>
      <c r="C9078" s="7" t="n"/>
      <c r="D9078" s="7" t="n"/>
      <c r="E9078" s="7" t="n"/>
      <c r="F9078" s="7" t="n"/>
      <c r="G9078" s="7" t="n"/>
      <c r="H9078" s="7" t="n"/>
      <c r="I9078" s="7" t="n"/>
      <c r="J9078" s="7" t="n"/>
      <c r="K9078">
        <f>IF(D9078="Legitimate Interest (GDPR Art. 6(1)(f))", "Yes / Required (Sheet 3)", "")</f>
        <v/>
      </c>
      <c r="L9078" s="7" t="n"/>
      <c r="M9078" s="7" t="n"/>
      <c r="N9078">
        <f>IF(D9078="", "Gap - No Legal Basis", IF(AND(D9078="Consent (GDPR Art. 6(1)(a))", I9078="Not Captured"), "Gap - Invalid Consent", IF(AND(D9078="Legitimate Interest (GDPR Art. 6(1)(f))", L9078=""), "Gap - Missing LIA", IF(AND(G9078="Yes", H9078=""), "Gap - Missing Art. 9 Basis", IF(OR(I9078="Invalid - Not Freely Given", I9078="Invalid - Not Specific", I9078="Invalid - Not Informed", I9078="Invalid - Ambiguous"), "Gap - Invalid Consent", "Compliant")))))</f>
        <v/>
      </c>
      <c r="O9078" s="7" t="n"/>
    </row>
    <row r="9079">
      <c r="A9079" s="7" t="n"/>
      <c r="B9079" s="7" t="n"/>
      <c r="C9079" s="7" t="n"/>
      <c r="D9079" s="7" t="n"/>
      <c r="E9079" s="7" t="n"/>
      <c r="F9079" s="7" t="n"/>
      <c r="G9079" s="7" t="n"/>
      <c r="H9079" s="7" t="n"/>
      <c r="I9079" s="7" t="n"/>
      <c r="J9079" s="7" t="n"/>
      <c r="K9079">
        <f>IF(D9079="Legitimate Interest (GDPR Art. 6(1)(f))", "Yes / Required (Sheet 3)", "")</f>
        <v/>
      </c>
      <c r="L9079" s="7" t="n"/>
      <c r="M9079" s="7" t="n"/>
      <c r="N9079">
        <f>IF(D9079="", "Gap - No Legal Basis", IF(AND(D9079="Consent (GDPR Art. 6(1)(a))", I9079="Not Captured"), "Gap - Invalid Consent", IF(AND(D9079="Legitimate Interest (GDPR Art. 6(1)(f))", L9079=""), "Gap - Missing LIA", IF(AND(G9079="Yes", H9079=""), "Gap - Missing Art. 9 Basis", IF(OR(I9079="Invalid - Not Freely Given", I9079="Invalid - Not Specific", I9079="Invalid - Not Informed", I9079="Invalid - Ambiguous"), "Gap - Invalid Consent", "Compliant")))))</f>
        <v/>
      </c>
      <c r="O9079" s="7" t="n"/>
    </row>
    <row r="9080">
      <c r="A9080" s="7" t="n"/>
      <c r="B9080" s="7" t="n"/>
      <c r="C9080" s="7" t="n"/>
      <c r="D9080" s="7" t="n"/>
      <c r="E9080" s="7" t="n"/>
      <c r="F9080" s="7" t="n"/>
      <c r="G9080" s="7" t="n"/>
      <c r="H9080" s="7" t="n"/>
      <c r="I9080" s="7" t="n"/>
      <c r="J9080" s="7" t="n"/>
      <c r="K9080">
        <f>IF(D9080="Legitimate Interest (GDPR Art. 6(1)(f))", "Yes / Required (Sheet 3)", "")</f>
        <v/>
      </c>
      <c r="L9080" s="7" t="n"/>
      <c r="M9080" s="7" t="n"/>
      <c r="N9080">
        <f>IF(D9080="", "Gap - No Legal Basis", IF(AND(D9080="Consent (GDPR Art. 6(1)(a))", I9080="Not Captured"), "Gap - Invalid Consent", IF(AND(D9080="Legitimate Interest (GDPR Art. 6(1)(f))", L9080=""), "Gap - Missing LIA", IF(AND(G9080="Yes", H9080=""), "Gap - Missing Art. 9 Basis", IF(OR(I9080="Invalid - Not Freely Given", I9080="Invalid - Not Specific", I9080="Invalid - Not Informed", I9080="Invalid - Ambiguous"), "Gap - Invalid Consent", "Compliant")))))</f>
        <v/>
      </c>
      <c r="O9080" s="7" t="n"/>
    </row>
    <row r="9081">
      <c r="A9081" s="7" t="n"/>
      <c r="B9081" s="7" t="n"/>
      <c r="C9081" s="7" t="n"/>
      <c r="D9081" s="7" t="n"/>
      <c r="E9081" s="7" t="n"/>
      <c r="F9081" s="7" t="n"/>
      <c r="G9081" s="7" t="n"/>
      <c r="H9081" s="7" t="n"/>
      <c r="I9081" s="7" t="n"/>
      <c r="J9081" s="7" t="n"/>
      <c r="K9081">
        <f>IF(D9081="Legitimate Interest (GDPR Art. 6(1)(f))", "Yes / Required (Sheet 3)", "")</f>
        <v/>
      </c>
      <c r="L9081" s="7" t="n"/>
      <c r="M9081" s="7" t="n"/>
      <c r="N9081">
        <f>IF(D9081="", "Gap - No Legal Basis", IF(AND(D9081="Consent (GDPR Art. 6(1)(a))", I9081="Not Captured"), "Gap - Invalid Consent", IF(AND(D9081="Legitimate Interest (GDPR Art. 6(1)(f))", L9081=""), "Gap - Missing LIA", IF(AND(G9081="Yes", H9081=""), "Gap - Missing Art. 9 Basis", IF(OR(I9081="Invalid - Not Freely Given", I9081="Invalid - Not Specific", I9081="Invalid - Not Informed", I9081="Invalid - Ambiguous"), "Gap - Invalid Consent", "Compliant")))))</f>
        <v/>
      </c>
      <c r="O9081" s="7" t="n"/>
    </row>
    <row r="9082">
      <c r="A9082" s="7" t="n"/>
      <c r="B9082" s="7" t="n"/>
      <c r="C9082" s="7" t="n"/>
      <c r="D9082" s="7" t="n"/>
      <c r="E9082" s="7" t="n"/>
      <c r="F9082" s="7" t="n"/>
      <c r="G9082" s="7" t="n"/>
      <c r="H9082" s="7" t="n"/>
      <c r="I9082" s="7" t="n"/>
      <c r="J9082" s="7" t="n"/>
      <c r="K9082">
        <f>IF(D9082="Legitimate Interest (GDPR Art. 6(1)(f))", "Yes / Required (Sheet 3)", "")</f>
        <v/>
      </c>
      <c r="L9082" s="7" t="n"/>
      <c r="M9082" s="7" t="n"/>
      <c r="N9082">
        <f>IF(D9082="", "Gap - No Legal Basis", IF(AND(D9082="Consent (GDPR Art. 6(1)(a))", I9082="Not Captured"), "Gap - Invalid Consent", IF(AND(D9082="Legitimate Interest (GDPR Art. 6(1)(f))", L9082=""), "Gap - Missing LIA", IF(AND(G9082="Yes", H9082=""), "Gap - Missing Art. 9 Basis", IF(OR(I9082="Invalid - Not Freely Given", I9082="Invalid - Not Specific", I9082="Invalid - Not Informed", I9082="Invalid - Ambiguous"), "Gap - Invalid Consent", "Compliant")))))</f>
        <v/>
      </c>
      <c r="O9082" s="7" t="n"/>
    </row>
    <row r="9083">
      <c r="A9083" s="7" t="n"/>
      <c r="B9083" s="7" t="n"/>
      <c r="C9083" s="7" t="n"/>
      <c r="D9083" s="7" t="n"/>
      <c r="E9083" s="7" t="n"/>
      <c r="F9083" s="7" t="n"/>
      <c r="G9083" s="7" t="n"/>
      <c r="H9083" s="7" t="n"/>
      <c r="I9083" s="7" t="n"/>
      <c r="J9083" s="7" t="n"/>
      <c r="K9083">
        <f>IF(D9083="Legitimate Interest (GDPR Art. 6(1)(f))", "Yes / Required (Sheet 3)", "")</f>
        <v/>
      </c>
      <c r="L9083" s="7" t="n"/>
      <c r="M9083" s="7" t="n"/>
      <c r="N9083">
        <f>IF(D9083="", "Gap - No Legal Basis", IF(AND(D9083="Consent (GDPR Art. 6(1)(a))", I9083="Not Captured"), "Gap - Invalid Consent", IF(AND(D9083="Legitimate Interest (GDPR Art. 6(1)(f))", L9083=""), "Gap - Missing LIA", IF(AND(G9083="Yes", H9083=""), "Gap - Missing Art. 9 Basis", IF(OR(I9083="Invalid - Not Freely Given", I9083="Invalid - Not Specific", I9083="Invalid - Not Informed", I9083="Invalid - Ambiguous"), "Gap - Invalid Consent", "Compliant")))))</f>
        <v/>
      </c>
      <c r="O9083" s="7" t="n"/>
    </row>
    <row r="9084">
      <c r="A9084" s="7" t="n"/>
      <c r="B9084" s="7" t="n"/>
      <c r="C9084" s="7" t="n"/>
      <c r="D9084" s="7" t="n"/>
      <c r="E9084" s="7" t="n"/>
      <c r="F9084" s="7" t="n"/>
      <c r="G9084" s="7" t="n"/>
      <c r="H9084" s="7" t="n"/>
      <c r="I9084" s="7" t="n"/>
      <c r="J9084" s="7" t="n"/>
      <c r="K9084">
        <f>IF(D9084="Legitimate Interest (GDPR Art. 6(1)(f))", "Yes / Required (Sheet 3)", "")</f>
        <v/>
      </c>
      <c r="L9084" s="7" t="n"/>
      <c r="M9084" s="7" t="n"/>
      <c r="N9084">
        <f>IF(D9084="", "Gap - No Legal Basis", IF(AND(D9084="Consent (GDPR Art. 6(1)(a))", I9084="Not Captured"), "Gap - Invalid Consent", IF(AND(D9084="Legitimate Interest (GDPR Art. 6(1)(f))", L9084=""), "Gap - Missing LIA", IF(AND(G9084="Yes", H9084=""), "Gap - Missing Art. 9 Basis", IF(OR(I9084="Invalid - Not Freely Given", I9084="Invalid - Not Specific", I9084="Invalid - Not Informed", I9084="Invalid - Ambiguous"), "Gap - Invalid Consent", "Compliant")))))</f>
        <v/>
      </c>
      <c r="O9084" s="7" t="n"/>
    </row>
    <row r="9085">
      <c r="A9085" s="7" t="n"/>
      <c r="B9085" s="7" t="n"/>
      <c r="C9085" s="7" t="n"/>
      <c r="D9085" s="7" t="n"/>
      <c r="E9085" s="7" t="n"/>
      <c r="F9085" s="7" t="n"/>
      <c r="G9085" s="7" t="n"/>
      <c r="H9085" s="7" t="n"/>
      <c r="I9085" s="7" t="n"/>
      <c r="J9085" s="7" t="n"/>
      <c r="K9085">
        <f>IF(D9085="Legitimate Interest (GDPR Art. 6(1)(f))", "Yes / Required (Sheet 3)", "")</f>
        <v/>
      </c>
      <c r="L9085" s="7" t="n"/>
      <c r="M9085" s="7" t="n"/>
      <c r="N9085">
        <f>IF(D9085="", "Gap - No Legal Basis", IF(AND(D9085="Consent (GDPR Art. 6(1)(a))", I9085="Not Captured"), "Gap - Invalid Consent", IF(AND(D9085="Legitimate Interest (GDPR Art. 6(1)(f))", L9085=""), "Gap - Missing LIA", IF(AND(G9085="Yes", H9085=""), "Gap - Missing Art. 9 Basis", IF(OR(I9085="Invalid - Not Freely Given", I9085="Invalid - Not Specific", I9085="Invalid - Not Informed", I9085="Invalid - Ambiguous"), "Gap - Invalid Consent", "Compliant")))))</f>
        <v/>
      </c>
      <c r="O9085" s="7" t="n"/>
    </row>
    <row r="9086">
      <c r="A9086" s="7" t="n"/>
      <c r="B9086" s="7" t="n"/>
      <c r="C9086" s="7" t="n"/>
      <c r="D9086" s="7" t="n"/>
      <c r="E9086" s="7" t="n"/>
      <c r="F9086" s="7" t="n"/>
      <c r="G9086" s="7" t="n"/>
      <c r="H9086" s="7" t="n"/>
      <c r="I9086" s="7" t="n"/>
      <c r="J9086" s="7" t="n"/>
      <c r="K9086">
        <f>IF(D9086="Legitimate Interest (GDPR Art. 6(1)(f))", "Yes / Required (Sheet 3)", "")</f>
        <v/>
      </c>
      <c r="L9086" s="7" t="n"/>
      <c r="M9086" s="7" t="n"/>
      <c r="N9086">
        <f>IF(D9086="", "Gap - No Legal Basis", IF(AND(D9086="Consent (GDPR Art. 6(1)(a))", I9086="Not Captured"), "Gap - Invalid Consent", IF(AND(D9086="Legitimate Interest (GDPR Art. 6(1)(f))", L9086=""), "Gap - Missing LIA", IF(AND(G9086="Yes", H9086=""), "Gap - Missing Art. 9 Basis", IF(OR(I9086="Invalid - Not Freely Given", I9086="Invalid - Not Specific", I9086="Invalid - Not Informed", I9086="Invalid - Ambiguous"), "Gap - Invalid Consent", "Compliant")))))</f>
        <v/>
      </c>
      <c r="O9086" s="7" t="n"/>
    </row>
    <row r="9087">
      <c r="A9087" s="7" t="n"/>
      <c r="B9087" s="7" t="n"/>
      <c r="C9087" s="7" t="n"/>
      <c r="D9087" s="7" t="n"/>
      <c r="E9087" s="7" t="n"/>
      <c r="F9087" s="7" t="n"/>
      <c r="G9087" s="7" t="n"/>
      <c r="H9087" s="7" t="n"/>
      <c r="I9087" s="7" t="n"/>
      <c r="J9087" s="7" t="n"/>
      <c r="K9087">
        <f>IF(D9087="Legitimate Interest (GDPR Art. 6(1)(f))", "Yes / Required (Sheet 3)", "")</f>
        <v/>
      </c>
      <c r="L9087" s="7" t="n"/>
      <c r="M9087" s="7" t="n"/>
      <c r="N9087">
        <f>IF(D9087="", "Gap - No Legal Basis", IF(AND(D9087="Consent (GDPR Art. 6(1)(a))", I9087="Not Captured"), "Gap - Invalid Consent", IF(AND(D9087="Legitimate Interest (GDPR Art. 6(1)(f))", L9087=""), "Gap - Missing LIA", IF(AND(G9087="Yes", H9087=""), "Gap - Missing Art. 9 Basis", IF(OR(I9087="Invalid - Not Freely Given", I9087="Invalid - Not Specific", I9087="Invalid - Not Informed", I9087="Invalid - Ambiguous"), "Gap - Invalid Consent", "Compliant")))))</f>
        <v/>
      </c>
      <c r="O9087" s="7" t="n"/>
    </row>
    <row r="9088">
      <c r="A9088" s="7" t="n"/>
      <c r="B9088" s="7" t="n"/>
      <c r="C9088" s="7" t="n"/>
      <c r="D9088" s="7" t="n"/>
      <c r="E9088" s="7" t="n"/>
      <c r="F9088" s="7" t="n"/>
      <c r="G9088" s="7" t="n"/>
      <c r="H9088" s="7" t="n"/>
      <c r="I9088" s="7" t="n"/>
      <c r="J9088" s="7" t="n"/>
      <c r="K9088">
        <f>IF(D9088="Legitimate Interest (GDPR Art. 6(1)(f))", "Yes / Required (Sheet 3)", "")</f>
        <v/>
      </c>
      <c r="L9088" s="7" t="n"/>
      <c r="M9088" s="7" t="n"/>
      <c r="N9088">
        <f>IF(D9088="", "Gap - No Legal Basis", IF(AND(D9088="Consent (GDPR Art. 6(1)(a))", I9088="Not Captured"), "Gap - Invalid Consent", IF(AND(D9088="Legitimate Interest (GDPR Art. 6(1)(f))", L9088=""), "Gap - Missing LIA", IF(AND(G9088="Yes", H9088=""), "Gap - Missing Art. 9 Basis", IF(OR(I9088="Invalid - Not Freely Given", I9088="Invalid - Not Specific", I9088="Invalid - Not Informed", I9088="Invalid - Ambiguous"), "Gap - Invalid Consent", "Compliant")))))</f>
        <v/>
      </c>
      <c r="O9088" s="7" t="n"/>
    </row>
    <row r="9089">
      <c r="A9089" s="7" t="n"/>
      <c r="B9089" s="7" t="n"/>
      <c r="C9089" s="7" t="n"/>
      <c r="D9089" s="7" t="n"/>
      <c r="E9089" s="7" t="n"/>
      <c r="F9089" s="7" t="n"/>
      <c r="G9089" s="7" t="n"/>
      <c r="H9089" s="7" t="n"/>
      <c r="I9089" s="7" t="n"/>
      <c r="J9089" s="7" t="n"/>
      <c r="K9089">
        <f>IF(D9089="Legitimate Interest (GDPR Art. 6(1)(f))", "Yes / Required (Sheet 3)", "")</f>
        <v/>
      </c>
      <c r="L9089" s="7" t="n"/>
      <c r="M9089" s="7" t="n"/>
      <c r="N9089">
        <f>IF(D9089="", "Gap - No Legal Basis", IF(AND(D9089="Consent (GDPR Art. 6(1)(a))", I9089="Not Captured"), "Gap - Invalid Consent", IF(AND(D9089="Legitimate Interest (GDPR Art. 6(1)(f))", L9089=""), "Gap - Missing LIA", IF(AND(G9089="Yes", H9089=""), "Gap - Missing Art. 9 Basis", IF(OR(I9089="Invalid - Not Freely Given", I9089="Invalid - Not Specific", I9089="Invalid - Not Informed", I9089="Invalid - Ambiguous"), "Gap - Invalid Consent", "Compliant")))))</f>
        <v/>
      </c>
      <c r="O9089" s="7" t="n"/>
    </row>
    <row r="9090">
      <c r="A9090" s="7" t="n"/>
      <c r="B9090" s="7" t="n"/>
      <c r="C9090" s="7" t="n"/>
      <c r="D9090" s="7" t="n"/>
      <c r="E9090" s="7" t="n"/>
      <c r="F9090" s="7" t="n"/>
      <c r="G9090" s="7" t="n"/>
      <c r="H9090" s="7" t="n"/>
      <c r="I9090" s="7" t="n"/>
      <c r="J9090" s="7" t="n"/>
      <c r="K9090">
        <f>IF(D9090="Legitimate Interest (GDPR Art. 6(1)(f))", "Yes / Required (Sheet 3)", "")</f>
        <v/>
      </c>
      <c r="L9090" s="7" t="n"/>
      <c r="M9090" s="7" t="n"/>
      <c r="N9090">
        <f>IF(D9090="", "Gap - No Legal Basis", IF(AND(D9090="Consent (GDPR Art. 6(1)(a))", I9090="Not Captured"), "Gap - Invalid Consent", IF(AND(D9090="Legitimate Interest (GDPR Art. 6(1)(f))", L9090=""), "Gap - Missing LIA", IF(AND(G9090="Yes", H9090=""), "Gap - Missing Art. 9 Basis", IF(OR(I9090="Invalid - Not Freely Given", I9090="Invalid - Not Specific", I9090="Invalid - Not Informed", I9090="Invalid - Ambiguous"), "Gap - Invalid Consent", "Compliant")))))</f>
        <v/>
      </c>
      <c r="O9090" s="7" t="n"/>
    </row>
    <row r="9091">
      <c r="A9091" s="7" t="n"/>
      <c r="B9091" s="7" t="n"/>
      <c r="C9091" s="7" t="n"/>
      <c r="D9091" s="7" t="n"/>
      <c r="E9091" s="7" t="n"/>
      <c r="F9091" s="7" t="n"/>
      <c r="G9091" s="7" t="n"/>
      <c r="H9091" s="7" t="n"/>
      <c r="I9091" s="7" t="n"/>
      <c r="J9091" s="7" t="n"/>
      <c r="K9091">
        <f>IF(D9091="Legitimate Interest (GDPR Art. 6(1)(f))", "Yes / Required (Sheet 3)", "")</f>
        <v/>
      </c>
      <c r="L9091" s="7" t="n"/>
      <c r="M9091" s="7" t="n"/>
      <c r="N9091">
        <f>IF(D9091="", "Gap - No Legal Basis", IF(AND(D9091="Consent (GDPR Art. 6(1)(a))", I9091="Not Captured"), "Gap - Invalid Consent", IF(AND(D9091="Legitimate Interest (GDPR Art. 6(1)(f))", L9091=""), "Gap - Missing LIA", IF(AND(G9091="Yes", H9091=""), "Gap - Missing Art. 9 Basis", IF(OR(I9091="Invalid - Not Freely Given", I9091="Invalid - Not Specific", I9091="Invalid - Not Informed", I9091="Invalid - Ambiguous"), "Gap - Invalid Consent", "Compliant")))))</f>
        <v/>
      </c>
      <c r="O9091" s="7" t="n"/>
    </row>
    <row r="9092">
      <c r="A9092" s="7" t="n"/>
      <c r="B9092" s="7" t="n"/>
      <c r="C9092" s="7" t="n"/>
      <c r="D9092" s="7" t="n"/>
      <c r="E9092" s="7" t="n"/>
      <c r="F9092" s="7" t="n"/>
      <c r="G9092" s="7" t="n"/>
      <c r="H9092" s="7" t="n"/>
      <c r="I9092" s="7" t="n"/>
      <c r="J9092" s="7" t="n"/>
      <c r="K9092">
        <f>IF(D9092="Legitimate Interest (GDPR Art. 6(1)(f))", "Yes / Required (Sheet 3)", "")</f>
        <v/>
      </c>
      <c r="L9092" s="7" t="n"/>
      <c r="M9092" s="7" t="n"/>
      <c r="N9092">
        <f>IF(D9092="", "Gap - No Legal Basis", IF(AND(D9092="Consent (GDPR Art. 6(1)(a))", I9092="Not Captured"), "Gap - Invalid Consent", IF(AND(D9092="Legitimate Interest (GDPR Art. 6(1)(f))", L9092=""), "Gap - Missing LIA", IF(AND(G9092="Yes", H9092=""), "Gap - Missing Art. 9 Basis", IF(OR(I9092="Invalid - Not Freely Given", I9092="Invalid - Not Specific", I9092="Invalid - Not Informed", I9092="Invalid - Ambiguous"), "Gap - Invalid Consent", "Compliant")))))</f>
        <v/>
      </c>
      <c r="O9092" s="7" t="n"/>
    </row>
    <row r="9093">
      <c r="A9093" s="7" t="n"/>
      <c r="B9093" s="7" t="n"/>
      <c r="C9093" s="7" t="n"/>
      <c r="D9093" s="7" t="n"/>
      <c r="E9093" s="7" t="n"/>
      <c r="F9093" s="7" t="n"/>
      <c r="G9093" s="7" t="n"/>
      <c r="H9093" s="7" t="n"/>
      <c r="I9093" s="7" t="n"/>
      <c r="J9093" s="7" t="n"/>
      <c r="K9093">
        <f>IF(D9093="Legitimate Interest (GDPR Art. 6(1)(f))", "Yes / Required (Sheet 3)", "")</f>
        <v/>
      </c>
      <c r="L9093" s="7" t="n"/>
      <c r="M9093" s="7" t="n"/>
      <c r="N9093">
        <f>IF(D9093="", "Gap - No Legal Basis", IF(AND(D9093="Consent (GDPR Art. 6(1)(a))", I9093="Not Captured"), "Gap - Invalid Consent", IF(AND(D9093="Legitimate Interest (GDPR Art. 6(1)(f))", L9093=""), "Gap - Missing LIA", IF(AND(G9093="Yes", H9093=""), "Gap - Missing Art. 9 Basis", IF(OR(I9093="Invalid - Not Freely Given", I9093="Invalid - Not Specific", I9093="Invalid - Not Informed", I9093="Invalid - Ambiguous"), "Gap - Invalid Consent", "Compliant")))))</f>
        <v/>
      </c>
      <c r="O9093" s="7" t="n"/>
    </row>
    <row r="9094">
      <c r="A9094" s="7" t="n"/>
      <c r="B9094" s="7" t="n"/>
      <c r="C9094" s="7" t="n"/>
      <c r="D9094" s="7" t="n"/>
      <c r="E9094" s="7" t="n"/>
      <c r="F9094" s="7" t="n"/>
      <c r="G9094" s="7" t="n"/>
      <c r="H9094" s="7" t="n"/>
      <c r="I9094" s="7" t="n"/>
      <c r="J9094" s="7" t="n"/>
      <c r="K9094">
        <f>IF(D9094="Legitimate Interest (GDPR Art. 6(1)(f))", "Yes / Required (Sheet 3)", "")</f>
        <v/>
      </c>
      <c r="L9094" s="7" t="n"/>
      <c r="M9094" s="7" t="n"/>
      <c r="N9094">
        <f>IF(D9094="", "Gap - No Legal Basis", IF(AND(D9094="Consent (GDPR Art. 6(1)(a))", I9094="Not Captured"), "Gap - Invalid Consent", IF(AND(D9094="Legitimate Interest (GDPR Art. 6(1)(f))", L9094=""), "Gap - Missing LIA", IF(AND(G9094="Yes", H9094=""), "Gap - Missing Art. 9 Basis", IF(OR(I9094="Invalid - Not Freely Given", I9094="Invalid - Not Specific", I9094="Invalid - Not Informed", I9094="Invalid - Ambiguous"), "Gap - Invalid Consent", "Compliant")))))</f>
        <v/>
      </c>
      <c r="O9094" s="7" t="n"/>
    </row>
    <row r="9095">
      <c r="A9095" s="7" t="n"/>
      <c r="B9095" s="7" t="n"/>
      <c r="C9095" s="7" t="n"/>
      <c r="D9095" s="7" t="n"/>
      <c r="E9095" s="7" t="n"/>
      <c r="F9095" s="7" t="n"/>
      <c r="G9095" s="7" t="n"/>
      <c r="H9095" s="7" t="n"/>
      <c r="I9095" s="7" t="n"/>
      <c r="J9095" s="7" t="n"/>
      <c r="K9095">
        <f>IF(D9095="Legitimate Interest (GDPR Art. 6(1)(f))", "Yes / Required (Sheet 3)", "")</f>
        <v/>
      </c>
      <c r="L9095" s="7" t="n"/>
      <c r="M9095" s="7" t="n"/>
      <c r="N9095">
        <f>IF(D9095="", "Gap - No Legal Basis", IF(AND(D9095="Consent (GDPR Art. 6(1)(a))", I9095="Not Captured"), "Gap - Invalid Consent", IF(AND(D9095="Legitimate Interest (GDPR Art. 6(1)(f))", L9095=""), "Gap - Missing LIA", IF(AND(G9095="Yes", H9095=""), "Gap - Missing Art. 9 Basis", IF(OR(I9095="Invalid - Not Freely Given", I9095="Invalid - Not Specific", I9095="Invalid - Not Informed", I9095="Invalid - Ambiguous"), "Gap - Invalid Consent", "Compliant")))))</f>
        <v/>
      </c>
      <c r="O9095" s="7" t="n"/>
    </row>
    <row r="9096">
      <c r="A9096" s="7" t="n"/>
      <c r="B9096" s="7" t="n"/>
      <c r="C9096" s="7" t="n"/>
      <c r="D9096" s="7" t="n"/>
      <c r="E9096" s="7" t="n"/>
      <c r="F9096" s="7" t="n"/>
      <c r="G9096" s="7" t="n"/>
      <c r="H9096" s="7" t="n"/>
      <c r="I9096" s="7" t="n"/>
      <c r="J9096" s="7" t="n"/>
      <c r="K9096">
        <f>IF(D9096="Legitimate Interest (GDPR Art. 6(1)(f))", "Yes / Required (Sheet 3)", "")</f>
        <v/>
      </c>
      <c r="L9096" s="7" t="n"/>
      <c r="M9096" s="7" t="n"/>
      <c r="N9096">
        <f>IF(D9096="", "Gap - No Legal Basis", IF(AND(D9096="Consent (GDPR Art. 6(1)(a))", I9096="Not Captured"), "Gap - Invalid Consent", IF(AND(D9096="Legitimate Interest (GDPR Art. 6(1)(f))", L9096=""), "Gap - Missing LIA", IF(AND(G9096="Yes", H9096=""), "Gap - Missing Art. 9 Basis", IF(OR(I9096="Invalid - Not Freely Given", I9096="Invalid - Not Specific", I9096="Invalid - Not Informed", I9096="Invalid - Ambiguous"), "Gap - Invalid Consent", "Compliant")))))</f>
        <v/>
      </c>
      <c r="O9096" s="7" t="n"/>
    </row>
    <row r="9097">
      <c r="A9097" s="7" t="n"/>
      <c r="B9097" s="7" t="n"/>
      <c r="C9097" s="7" t="n"/>
      <c r="D9097" s="7" t="n"/>
      <c r="E9097" s="7" t="n"/>
      <c r="F9097" s="7" t="n"/>
      <c r="G9097" s="7" t="n"/>
      <c r="H9097" s="7" t="n"/>
      <c r="I9097" s="7" t="n"/>
      <c r="J9097" s="7" t="n"/>
      <c r="K9097">
        <f>IF(D9097="Legitimate Interest (GDPR Art. 6(1)(f))", "Yes / Required (Sheet 3)", "")</f>
        <v/>
      </c>
      <c r="L9097" s="7" t="n"/>
      <c r="M9097" s="7" t="n"/>
      <c r="N9097">
        <f>IF(D9097="", "Gap - No Legal Basis", IF(AND(D9097="Consent (GDPR Art. 6(1)(a))", I9097="Not Captured"), "Gap - Invalid Consent", IF(AND(D9097="Legitimate Interest (GDPR Art. 6(1)(f))", L9097=""), "Gap - Missing LIA", IF(AND(G9097="Yes", H9097=""), "Gap - Missing Art. 9 Basis", IF(OR(I9097="Invalid - Not Freely Given", I9097="Invalid - Not Specific", I9097="Invalid - Not Informed", I9097="Invalid - Ambiguous"), "Gap - Invalid Consent", "Compliant")))))</f>
        <v/>
      </c>
      <c r="O9097" s="7" t="n"/>
    </row>
    <row r="9098">
      <c r="A9098" s="7" t="n"/>
      <c r="B9098" s="7" t="n"/>
      <c r="C9098" s="7" t="n"/>
      <c r="D9098" s="7" t="n"/>
      <c r="E9098" s="7" t="n"/>
      <c r="F9098" s="7" t="n"/>
      <c r="G9098" s="7" t="n"/>
      <c r="H9098" s="7" t="n"/>
      <c r="I9098" s="7" t="n"/>
      <c r="J9098" s="7" t="n"/>
      <c r="K9098">
        <f>IF(D9098="Legitimate Interest (GDPR Art. 6(1)(f))", "Yes / Required (Sheet 3)", "")</f>
        <v/>
      </c>
      <c r="L9098" s="7" t="n"/>
      <c r="M9098" s="7" t="n"/>
      <c r="N9098">
        <f>IF(D9098="", "Gap - No Legal Basis", IF(AND(D9098="Consent (GDPR Art. 6(1)(a))", I9098="Not Captured"), "Gap - Invalid Consent", IF(AND(D9098="Legitimate Interest (GDPR Art. 6(1)(f))", L9098=""), "Gap - Missing LIA", IF(AND(G9098="Yes", H9098=""), "Gap - Missing Art. 9 Basis", IF(OR(I9098="Invalid - Not Freely Given", I9098="Invalid - Not Specific", I9098="Invalid - Not Informed", I9098="Invalid - Ambiguous"), "Gap - Invalid Consent", "Compliant")))))</f>
        <v/>
      </c>
      <c r="O9098" s="7" t="n"/>
    </row>
    <row r="9099">
      <c r="A9099" s="7" t="n"/>
      <c r="B9099" s="7" t="n"/>
      <c r="C9099" s="7" t="n"/>
      <c r="D9099" s="7" t="n"/>
      <c r="E9099" s="7" t="n"/>
      <c r="F9099" s="7" t="n"/>
      <c r="G9099" s="7" t="n"/>
      <c r="H9099" s="7" t="n"/>
      <c r="I9099" s="7" t="n"/>
      <c r="J9099" s="7" t="n"/>
      <c r="K9099">
        <f>IF(D9099="Legitimate Interest (GDPR Art. 6(1)(f))", "Yes / Required (Sheet 3)", "")</f>
        <v/>
      </c>
      <c r="L9099" s="7" t="n"/>
      <c r="M9099" s="7" t="n"/>
      <c r="N9099">
        <f>IF(D9099="", "Gap - No Legal Basis", IF(AND(D9099="Consent (GDPR Art. 6(1)(a))", I9099="Not Captured"), "Gap - Invalid Consent", IF(AND(D9099="Legitimate Interest (GDPR Art. 6(1)(f))", L9099=""), "Gap - Missing LIA", IF(AND(G9099="Yes", H9099=""), "Gap - Missing Art. 9 Basis", IF(OR(I9099="Invalid - Not Freely Given", I9099="Invalid - Not Specific", I9099="Invalid - Not Informed", I9099="Invalid - Ambiguous"), "Gap - Invalid Consent", "Compliant")))))</f>
        <v/>
      </c>
      <c r="O9099" s="7" t="n"/>
    </row>
    <row r="9100">
      <c r="A9100" s="7" t="n"/>
      <c r="B9100" s="7" t="n"/>
      <c r="C9100" s="7" t="n"/>
      <c r="D9100" s="7" t="n"/>
      <c r="E9100" s="7" t="n"/>
      <c r="F9100" s="7" t="n"/>
      <c r="G9100" s="7" t="n"/>
      <c r="H9100" s="7" t="n"/>
      <c r="I9100" s="7" t="n"/>
      <c r="J9100" s="7" t="n"/>
      <c r="K9100">
        <f>IF(D9100="Legitimate Interest (GDPR Art. 6(1)(f))", "Yes / Required (Sheet 3)", "")</f>
        <v/>
      </c>
      <c r="L9100" s="7" t="n"/>
      <c r="M9100" s="7" t="n"/>
      <c r="N9100">
        <f>IF(D9100="", "Gap - No Legal Basis", IF(AND(D9100="Consent (GDPR Art. 6(1)(a))", I9100="Not Captured"), "Gap - Invalid Consent", IF(AND(D9100="Legitimate Interest (GDPR Art. 6(1)(f))", L9100=""), "Gap - Missing LIA", IF(AND(G9100="Yes", H9100=""), "Gap - Missing Art. 9 Basis", IF(OR(I9100="Invalid - Not Freely Given", I9100="Invalid - Not Specific", I9100="Invalid - Not Informed", I9100="Invalid - Ambiguous"), "Gap - Invalid Consent", "Compliant")))))</f>
        <v/>
      </c>
      <c r="O9100" s="7" t="n"/>
    </row>
    <row r="9101">
      <c r="A9101" s="7" t="n"/>
      <c r="B9101" s="7" t="n"/>
      <c r="C9101" s="7" t="n"/>
      <c r="D9101" s="7" t="n"/>
      <c r="E9101" s="7" t="n"/>
      <c r="F9101" s="7" t="n"/>
      <c r="G9101" s="7" t="n"/>
      <c r="H9101" s="7" t="n"/>
      <c r="I9101" s="7" t="n"/>
      <c r="J9101" s="7" t="n"/>
      <c r="K9101">
        <f>IF(D9101="Legitimate Interest (GDPR Art. 6(1)(f))", "Yes / Required (Sheet 3)", "")</f>
        <v/>
      </c>
      <c r="L9101" s="7" t="n"/>
      <c r="M9101" s="7" t="n"/>
      <c r="N9101">
        <f>IF(D9101="", "Gap - No Legal Basis", IF(AND(D9101="Consent (GDPR Art. 6(1)(a))", I9101="Not Captured"), "Gap - Invalid Consent", IF(AND(D9101="Legitimate Interest (GDPR Art. 6(1)(f))", L9101=""), "Gap - Missing LIA", IF(AND(G9101="Yes", H9101=""), "Gap - Missing Art. 9 Basis", IF(OR(I9101="Invalid - Not Freely Given", I9101="Invalid - Not Specific", I9101="Invalid - Not Informed", I9101="Invalid - Ambiguous"), "Gap - Invalid Consent", "Compliant")))))</f>
        <v/>
      </c>
      <c r="O9101" s="7" t="n"/>
    </row>
    <row r="9102">
      <c r="A9102" s="7" t="n"/>
      <c r="B9102" s="7" t="n"/>
      <c r="C9102" s="7" t="n"/>
      <c r="D9102" s="7" t="n"/>
      <c r="E9102" s="7" t="n"/>
      <c r="F9102" s="7" t="n"/>
      <c r="G9102" s="7" t="n"/>
      <c r="H9102" s="7" t="n"/>
      <c r="I9102" s="7" t="n"/>
      <c r="J9102" s="7" t="n"/>
      <c r="K9102">
        <f>IF(D9102="Legitimate Interest (GDPR Art. 6(1)(f))", "Yes / Required (Sheet 3)", "")</f>
        <v/>
      </c>
      <c r="L9102" s="7" t="n"/>
      <c r="M9102" s="7" t="n"/>
      <c r="N9102">
        <f>IF(D9102="", "Gap - No Legal Basis", IF(AND(D9102="Consent (GDPR Art. 6(1)(a))", I9102="Not Captured"), "Gap - Invalid Consent", IF(AND(D9102="Legitimate Interest (GDPR Art. 6(1)(f))", L9102=""), "Gap - Missing LIA", IF(AND(G9102="Yes", H9102=""), "Gap - Missing Art. 9 Basis", IF(OR(I9102="Invalid - Not Freely Given", I9102="Invalid - Not Specific", I9102="Invalid - Not Informed", I9102="Invalid - Ambiguous"), "Gap - Invalid Consent", "Compliant")))))</f>
        <v/>
      </c>
      <c r="O9102" s="7" t="n"/>
    </row>
    <row r="9103">
      <c r="A9103" s="7" t="n"/>
      <c r="B9103" s="7" t="n"/>
      <c r="C9103" s="7" t="n"/>
      <c r="D9103" s="7" t="n"/>
      <c r="E9103" s="7" t="n"/>
      <c r="F9103" s="7" t="n"/>
      <c r="G9103" s="7" t="n"/>
      <c r="H9103" s="7" t="n"/>
      <c r="I9103" s="7" t="n"/>
      <c r="J9103" s="7" t="n"/>
      <c r="K9103">
        <f>IF(D9103="Legitimate Interest (GDPR Art. 6(1)(f))", "Yes / Required (Sheet 3)", "")</f>
        <v/>
      </c>
      <c r="L9103" s="7" t="n"/>
      <c r="M9103" s="7" t="n"/>
      <c r="N9103">
        <f>IF(D9103="", "Gap - No Legal Basis", IF(AND(D9103="Consent (GDPR Art. 6(1)(a))", I9103="Not Captured"), "Gap - Invalid Consent", IF(AND(D9103="Legitimate Interest (GDPR Art. 6(1)(f))", L9103=""), "Gap - Missing LIA", IF(AND(G9103="Yes", H9103=""), "Gap - Missing Art. 9 Basis", IF(OR(I9103="Invalid - Not Freely Given", I9103="Invalid - Not Specific", I9103="Invalid - Not Informed", I9103="Invalid - Ambiguous"), "Gap - Invalid Consent", "Compliant")))))</f>
        <v/>
      </c>
      <c r="O9103" s="7" t="n"/>
    </row>
    <row r="9104">
      <c r="A9104" s="7" t="n"/>
      <c r="B9104" s="7" t="n"/>
      <c r="C9104" s="7" t="n"/>
      <c r="D9104" s="7" t="n"/>
      <c r="E9104" s="7" t="n"/>
      <c r="F9104" s="7" t="n"/>
      <c r="G9104" s="7" t="n"/>
      <c r="H9104" s="7" t="n"/>
      <c r="I9104" s="7" t="n"/>
      <c r="J9104" s="7" t="n"/>
      <c r="K9104">
        <f>IF(D9104="Legitimate Interest (GDPR Art. 6(1)(f))", "Yes / Required (Sheet 3)", "")</f>
        <v/>
      </c>
      <c r="L9104" s="7" t="n"/>
      <c r="M9104" s="7" t="n"/>
      <c r="N9104">
        <f>IF(D9104="", "Gap - No Legal Basis", IF(AND(D9104="Consent (GDPR Art. 6(1)(a))", I9104="Not Captured"), "Gap - Invalid Consent", IF(AND(D9104="Legitimate Interest (GDPR Art. 6(1)(f))", L9104=""), "Gap - Missing LIA", IF(AND(G9104="Yes", H9104=""), "Gap - Missing Art. 9 Basis", IF(OR(I9104="Invalid - Not Freely Given", I9104="Invalid - Not Specific", I9104="Invalid - Not Informed", I9104="Invalid - Ambiguous"), "Gap - Invalid Consent", "Compliant")))))</f>
        <v/>
      </c>
      <c r="O9104" s="7" t="n"/>
    </row>
    <row r="9105">
      <c r="A9105" s="7" t="n"/>
      <c r="B9105" s="7" t="n"/>
      <c r="C9105" s="7" t="n"/>
      <c r="D9105" s="7" t="n"/>
      <c r="E9105" s="7" t="n"/>
      <c r="F9105" s="7" t="n"/>
      <c r="G9105" s="7" t="n"/>
      <c r="H9105" s="7" t="n"/>
      <c r="I9105" s="7" t="n"/>
      <c r="J9105" s="7" t="n"/>
      <c r="K9105">
        <f>IF(D9105="Legitimate Interest (GDPR Art. 6(1)(f))", "Yes / Required (Sheet 3)", "")</f>
        <v/>
      </c>
      <c r="L9105" s="7" t="n"/>
      <c r="M9105" s="7" t="n"/>
      <c r="N9105">
        <f>IF(D9105="", "Gap - No Legal Basis", IF(AND(D9105="Consent (GDPR Art. 6(1)(a))", I9105="Not Captured"), "Gap - Invalid Consent", IF(AND(D9105="Legitimate Interest (GDPR Art. 6(1)(f))", L9105=""), "Gap - Missing LIA", IF(AND(G9105="Yes", H9105=""), "Gap - Missing Art. 9 Basis", IF(OR(I9105="Invalid - Not Freely Given", I9105="Invalid - Not Specific", I9105="Invalid - Not Informed", I9105="Invalid - Ambiguous"), "Gap - Invalid Consent", "Compliant")))))</f>
        <v/>
      </c>
      <c r="O9105" s="7" t="n"/>
    </row>
    <row r="9106">
      <c r="A9106" s="7" t="n"/>
      <c r="B9106" s="7" t="n"/>
      <c r="C9106" s="7" t="n"/>
      <c r="D9106" s="7" t="n"/>
      <c r="E9106" s="7" t="n"/>
      <c r="F9106" s="7" t="n"/>
      <c r="G9106" s="7" t="n"/>
      <c r="H9106" s="7" t="n"/>
      <c r="I9106" s="7" t="n"/>
      <c r="J9106" s="7" t="n"/>
      <c r="K9106">
        <f>IF(D9106="Legitimate Interest (GDPR Art. 6(1)(f))", "Yes / Required (Sheet 3)", "")</f>
        <v/>
      </c>
      <c r="L9106" s="7" t="n"/>
      <c r="M9106" s="7" t="n"/>
      <c r="N9106">
        <f>IF(D9106="", "Gap - No Legal Basis", IF(AND(D9106="Consent (GDPR Art. 6(1)(a))", I9106="Not Captured"), "Gap - Invalid Consent", IF(AND(D9106="Legitimate Interest (GDPR Art. 6(1)(f))", L9106=""), "Gap - Missing LIA", IF(AND(G9106="Yes", H9106=""), "Gap - Missing Art. 9 Basis", IF(OR(I9106="Invalid - Not Freely Given", I9106="Invalid - Not Specific", I9106="Invalid - Not Informed", I9106="Invalid - Ambiguous"), "Gap - Invalid Consent", "Compliant")))))</f>
        <v/>
      </c>
      <c r="O9106" s="7" t="n"/>
    </row>
    <row r="9107">
      <c r="A9107" s="7" t="n"/>
      <c r="B9107" s="7" t="n"/>
      <c r="C9107" s="7" t="n"/>
      <c r="D9107" s="7" t="n"/>
      <c r="E9107" s="7" t="n"/>
      <c r="F9107" s="7" t="n"/>
      <c r="G9107" s="7" t="n"/>
      <c r="H9107" s="7" t="n"/>
      <c r="I9107" s="7" t="n"/>
      <c r="J9107" s="7" t="n"/>
      <c r="K9107">
        <f>IF(D9107="Legitimate Interest (GDPR Art. 6(1)(f))", "Yes / Required (Sheet 3)", "")</f>
        <v/>
      </c>
      <c r="L9107" s="7" t="n"/>
      <c r="M9107" s="7" t="n"/>
      <c r="N9107">
        <f>IF(D9107="", "Gap - No Legal Basis", IF(AND(D9107="Consent (GDPR Art. 6(1)(a))", I9107="Not Captured"), "Gap - Invalid Consent", IF(AND(D9107="Legitimate Interest (GDPR Art. 6(1)(f))", L9107=""), "Gap - Missing LIA", IF(AND(G9107="Yes", H9107=""), "Gap - Missing Art. 9 Basis", IF(OR(I9107="Invalid - Not Freely Given", I9107="Invalid - Not Specific", I9107="Invalid - Not Informed", I9107="Invalid - Ambiguous"), "Gap - Invalid Consent", "Compliant")))))</f>
        <v/>
      </c>
      <c r="O9107" s="7" t="n"/>
    </row>
    <row r="9108">
      <c r="A9108" s="7" t="n"/>
      <c r="B9108" s="7" t="n"/>
      <c r="C9108" s="7" t="n"/>
      <c r="D9108" s="7" t="n"/>
      <c r="E9108" s="7" t="n"/>
      <c r="F9108" s="7" t="n"/>
      <c r="G9108" s="7" t="n"/>
      <c r="H9108" s="7" t="n"/>
      <c r="I9108" s="7" t="n"/>
      <c r="J9108" s="7" t="n"/>
      <c r="K9108">
        <f>IF(D9108="Legitimate Interest (GDPR Art. 6(1)(f))", "Yes / Required (Sheet 3)", "")</f>
        <v/>
      </c>
      <c r="L9108" s="7" t="n"/>
      <c r="M9108" s="7" t="n"/>
      <c r="N9108">
        <f>IF(D9108="", "Gap - No Legal Basis", IF(AND(D9108="Consent (GDPR Art. 6(1)(a))", I9108="Not Captured"), "Gap - Invalid Consent", IF(AND(D9108="Legitimate Interest (GDPR Art. 6(1)(f))", L9108=""), "Gap - Missing LIA", IF(AND(G9108="Yes", H9108=""), "Gap - Missing Art. 9 Basis", IF(OR(I9108="Invalid - Not Freely Given", I9108="Invalid - Not Specific", I9108="Invalid - Not Informed", I9108="Invalid - Ambiguous"), "Gap - Invalid Consent", "Compliant")))))</f>
        <v/>
      </c>
      <c r="O9108" s="7" t="n"/>
    </row>
    <row r="9109">
      <c r="A9109" s="7" t="n"/>
      <c r="B9109" s="7" t="n"/>
      <c r="C9109" s="7" t="n"/>
      <c r="D9109" s="7" t="n"/>
      <c r="E9109" s="7" t="n"/>
      <c r="F9109" s="7" t="n"/>
      <c r="G9109" s="7" t="n"/>
      <c r="H9109" s="7" t="n"/>
      <c r="I9109" s="7" t="n"/>
      <c r="J9109" s="7" t="n"/>
      <c r="K9109">
        <f>IF(D9109="Legitimate Interest (GDPR Art. 6(1)(f))", "Yes / Required (Sheet 3)", "")</f>
        <v/>
      </c>
      <c r="L9109" s="7" t="n"/>
      <c r="M9109" s="7" t="n"/>
      <c r="N9109">
        <f>IF(D9109="", "Gap - No Legal Basis", IF(AND(D9109="Consent (GDPR Art. 6(1)(a))", I9109="Not Captured"), "Gap - Invalid Consent", IF(AND(D9109="Legitimate Interest (GDPR Art. 6(1)(f))", L9109=""), "Gap - Missing LIA", IF(AND(G9109="Yes", H9109=""), "Gap - Missing Art. 9 Basis", IF(OR(I9109="Invalid - Not Freely Given", I9109="Invalid - Not Specific", I9109="Invalid - Not Informed", I9109="Invalid - Ambiguous"), "Gap - Invalid Consent", "Compliant")))))</f>
        <v/>
      </c>
      <c r="O9109" s="7" t="n"/>
    </row>
    <row r="9110">
      <c r="A9110" s="7" t="n"/>
      <c r="B9110" s="7" t="n"/>
      <c r="C9110" s="7" t="n"/>
      <c r="D9110" s="7" t="n"/>
      <c r="E9110" s="7" t="n"/>
      <c r="F9110" s="7" t="n"/>
      <c r="G9110" s="7" t="n"/>
      <c r="H9110" s="7" t="n"/>
      <c r="I9110" s="7" t="n"/>
      <c r="J9110" s="7" t="n"/>
      <c r="K9110">
        <f>IF(D9110="Legitimate Interest (GDPR Art. 6(1)(f))", "Yes / Required (Sheet 3)", "")</f>
        <v/>
      </c>
      <c r="L9110" s="7" t="n"/>
      <c r="M9110" s="7" t="n"/>
      <c r="N9110">
        <f>IF(D9110="", "Gap - No Legal Basis", IF(AND(D9110="Consent (GDPR Art. 6(1)(a))", I9110="Not Captured"), "Gap - Invalid Consent", IF(AND(D9110="Legitimate Interest (GDPR Art. 6(1)(f))", L9110=""), "Gap - Missing LIA", IF(AND(G9110="Yes", H9110=""), "Gap - Missing Art. 9 Basis", IF(OR(I9110="Invalid - Not Freely Given", I9110="Invalid - Not Specific", I9110="Invalid - Not Informed", I9110="Invalid - Ambiguous"), "Gap - Invalid Consent", "Compliant")))))</f>
        <v/>
      </c>
      <c r="O9110" s="7" t="n"/>
    </row>
    <row r="9111">
      <c r="A9111" s="7" t="n"/>
      <c r="B9111" s="7" t="n"/>
      <c r="C9111" s="7" t="n"/>
      <c r="D9111" s="7" t="n"/>
      <c r="E9111" s="7" t="n"/>
      <c r="F9111" s="7" t="n"/>
      <c r="G9111" s="7" t="n"/>
      <c r="H9111" s="7" t="n"/>
      <c r="I9111" s="7" t="n"/>
      <c r="J9111" s="7" t="n"/>
      <c r="K9111">
        <f>IF(D9111="Legitimate Interest (GDPR Art. 6(1)(f))", "Yes / Required (Sheet 3)", "")</f>
        <v/>
      </c>
      <c r="L9111" s="7" t="n"/>
      <c r="M9111" s="7" t="n"/>
      <c r="N9111">
        <f>IF(D9111="", "Gap - No Legal Basis", IF(AND(D9111="Consent (GDPR Art. 6(1)(a))", I9111="Not Captured"), "Gap - Invalid Consent", IF(AND(D9111="Legitimate Interest (GDPR Art. 6(1)(f))", L9111=""), "Gap - Missing LIA", IF(AND(G9111="Yes", H9111=""), "Gap - Missing Art. 9 Basis", IF(OR(I9111="Invalid - Not Freely Given", I9111="Invalid - Not Specific", I9111="Invalid - Not Informed", I9111="Invalid - Ambiguous"), "Gap - Invalid Consent", "Compliant")))))</f>
        <v/>
      </c>
      <c r="O9111" s="7" t="n"/>
    </row>
    <row r="9112">
      <c r="A9112" s="7" t="n"/>
      <c r="B9112" s="7" t="n"/>
      <c r="C9112" s="7" t="n"/>
      <c r="D9112" s="7" t="n"/>
      <c r="E9112" s="7" t="n"/>
      <c r="F9112" s="7" t="n"/>
      <c r="G9112" s="7" t="n"/>
      <c r="H9112" s="7" t="n"/>
      <c r="I9112" s="7" t="n"/>
      <c r="J9112" s="7" t="n"/>
      <c r="K9112">
        <f>IF(D9112="Legitimate Interest (GDPR Art. 6(1)(f))", "Yes / Required (Sheet 3)", "")</f>
        <v/>
      </c>
      <c r="L9112" s="7" t="n"/>
      <c r="M9112" s="7" t="n"/>
      <c r="N9112">
        <f>IF(D9112="", "Gap - No Legal Basis", IF(AND(D9112="Consent (GDPR Art. 6(1)(a))", I9112="Not Captured"), "Gap - Invalid Consent", IF(AND(D9112="Legitimate Interest (GDPR Art. 6(1)(f))", L9112=""), "Gap - Missing LIA", IF(AND(G9112="Yes", H9112=""), "Gap - Missing Art. 9 Basis", IF(OR(I9112="Invalid - Not Freely Given", I9112="Invalid - Not Specific", I9112="Invalid - Not Informed", I9112="Invalid - Ambiguous"), "Gap - Invalid Consent", "Compliant")))))</f>
        <v/>
      </c>
      <c r="O9112" s="7" t="n"/>
    </row>
    <row r="9113">
      <c r="A9113" s="7" t="n"/>
      <c r="B9113" s="7" t="n"/>
      <c r="C9113" s="7" t="n"/>
      <c r="D9113" s="7" t="n"/>
      <c r="E9113" s="7" t="n"/>
      <c r="F9113" s="7" t="n"/>
      <c r="G9113" s="7" t="n"/>
      <c r="H9113" s="7" t="n"/>
      <c r="I9113" s="7" t="n"/>
      <c r="J9113" s="7" t="n"/>
      <c r="K9113">
        <f>IF(D9113="Legitimate Interest (GDPR Art. 6(1)(f))", "Yes / Required (Sheet 3)", "")</f>
        <v/>
      </c>
      <c r="L9113" s="7" t="n"/>
      <c r="M9113" s="7" t="n"/>
      <c r="N9113">
        <f>IF(D9113="", "Gap - No Legal Basis", IF(AND(D9113="Consent (GDPR Art. 6(1)(a))", I9113="Not Captured"), "Gap - Invalid Consent", IF(AND(D9113="Legitimate Interest (GDPR Art. 6(1)(f))", L9113=""), "Gap - Missing LIA", IF(AND(G9113="Yes", H9113=""), "Gap - Missing Art. 9 Basis", IF(OR(I9113="Invalid - Not Freely Given", I9113="Invalid - Not Specific", I9113="Invalid - Not Informed", I9113="Invalid - Ambiguous"), "Gap - Invalid Consent", "Compliant")))))</f>
        <v/>
      </c>
      <c r="O9113" s="7" t="n"/>
    </row>
    <row r="9114">
      <c r="A9114" s="7" t="n"/>
      <c r="B9114" s="7" t="n"/>
      <c r="C9114" s="7" t="n"/>
      <c r="D9114" s="7" t="n"/>
      <c r="E9114" s="7" t="n"/>
      <c r="F9114" s="7" t="n"/>
      <c r="G9114" s="7" t="n"/>
      <c r="H9114" s="7" t="n"/>
      <c r="I9114" s="7" t="n"/>
      <c r="J9114" s="7" t="n"/>
      <c r="K9114">
        <f>IF(D9114="Legitimate Interest (GDPR Art. 6(1)(f))", "Yes / Required (Sheet 3)", "")</f>
        <v/>
      </c>
      <c r="L9114" s="7" t="n"/>
      <c r="M9114" s="7" t="n"/>
      <c r="N9114">
        <f>IF(D9114="", "Gap - No Legal Basis", IF(AND(D9114="Consent (GDPR Art. 6(1)(a))", I9114="Not Captured"), "Gap - Invalid Consent", IF(AND(D9114="Legitimate Interest (GDPR Art. 6(1)(f))", L9114=""), "Gap - Missing LIA", IF(AND(G9114="Yes", H9114=""), "Gap - Missing Art. 9 Basis", IF(OR(I9114="Invalid - Not Freely Given", I9114="Invalid - Not Specific", I9114="Invalid - Not Informed", I9114="Invalid - Ambiguous"), "Gap - Invalid Consent", "Compliant")))))</f>
        <v/>
      </c>
      <c r="O9114" s="7" t="n"/>
    </row>
    <row r="9115">
      <c r="A9115" s="7" t="n"/>
      <c r="B9115" s="7" t="n"/>
      <c r="C9115" s="7" t="n"/>
      <c r="D9115" s="7" t="n"/>
      <c r="E9115" s="7" t="n"/>
      <c r="F9115" s="7" t="n"/>
      <c r="G9115" s="7" t="n"/>
      <c r="H9115" s="7" t="n"/>
      <c r="I9115" s="7" t="n"/>
      <c r="J9115" s="7" t="n"/>
      <c r="K9115">
        <f>IF(D9115="Legitimate Interest (GDPR Art. 6(1)(f))", "Yes / Required (Sheet 3)", "")</f>
        <v/>
      </c>
      <c r="L9115" s="7" t="n"/>
      <c r="M9115" s="7" t="n"/>
      <c r="N9115">
        <f>IF(D9115="", "Gap - No Legal Basis", IF(AND(D9115="Consent (GDPR Art. 6(1)(a))", I9115="Not Captured"), "Gap - Invalid Consent", IF(AND(D9115="Legitimate Interest (GDPR Art. 6(1)(f))", L9115=""), "Gap - Missing LIA", IF(AND(G9115="Yes", H9115=""), "Gap - Missing Art. 9 Basis", IF(OR(I9115="Invalid - Not Freely Given", I9115="Invalid - Not Specific", I9115="Invalid - Not Informed", I9115="Invalid - Ambiguous"), "Gap - Invalid Consent", "Compliant")))))</f>
        <v/>
      </c>
      <c r="O9115" s="7" t="n"/>
    </row>
    <row r="9116">
      <c r="A9116" s="7" t="n"/>
      <c r="B9116" s="7" t="n"/>
      <c r="C9116" s="7" t="n"/>
      <c r="D9116" s="7" t="n"/>
      <c r="E9116" s="7" t="n"/>
      <c r="F9116" s="7" t="n"/>
      <c r="G9116" s="7" t="n"/>
      <c r="H9116" s="7" t="n"/>
      <c r="I9116" s="7" t="n"/>
      <c r="J9116" s="7" t="n"/>
      <c r="K9116">
        <f>IF(D9116="Legitimate Interest (GDPR Art. 6(1)(f))", "Yes / Required (Sheet 3)", "")</f>
        <v/>
      </c>
      <c r="L9116" s="7" t="n"/>
      <c r="M9116" s="7" t="n"/>
      <c r="N9116">
        <f>IF(D9116="", "Gap - No Legal Basis", IF(AND(D9116="Consent (GDPR Art. 6(1)(a))", I9116="Not Captured"), "Gap - Invalid Consent", IF(AND(D9116="Legitimate Interest (GDPR Art. 6(1)(f))", L9116=""), "Gap - Missing LIA", IF(AND(G9116="Yes", H9116=""), "Gap - Missing Art. 9 Basis", IF(OR(I9116="Invalid - Not Freely Given", I9116="Invalid - Not Specific", I9116="Invalid - Not Informed", I9116="Invalid - Ambiguous"), "Gap - Invalid Consent", "Compliant")))))</f>
        <v/>
      </c>
      <c r="O9116" s="7" t="n"/>
    </row>
    <row r="9117">
      <c r="A9117" s="7" t="n"/>
      <c r="B9117" s="7" t="n"/>
      <c r="C9117" s="7" t="n"/>
      <c r="D9117" s="7" t="n"/>
      <c r="E9117" s="7" t="n"/>
      <c r="F9117" s="7" t="n"/>
      <c r="G9117" s="7" t="n"/>
      <c r="H9117" s="7" t="n"/>
      <c r="I9117" s="7" t="n"/>
      <c r="J9117" s="7" t="n"/>
      <c r="K9117">
        <f>IF(D9117="Legitimate Interest (GDPR Art. 6(1)(f))", "Yes / Required (Sheet 3)", "")</f>
        <v/>
      </c>
      <c r="L9117" s="7" t="n"/>
      <c r="M9117" s="7" t="n"/>
      <c r="N9117">
        <f>IF(D9117="", "Gap - No Legal Basis", IF(AND(D9117="Consent (GDPR Art. 6(1)(a))", I9117="Not Captured"), "Gap - Invalid Consent", IF(AND(D9117="Legitimate Interest (GDPR Art. 6(1)(f))", L9117=""), "Gap - Missing LIA", IF(AND(G9117="Yes", H9117=""), "Gap - Missing Art. 9 Basis", IF(OR(I9117="Invalid - Not Freely Given", I9117="Invalid - Not Specific", I9117="Invalid - Not Informed", I9117="Invalid - Ambiguous"), "Gap - Invalid Consent", "Compliant")))))</f>
        <v/>
      </c>
      <c r="O9117" s="7" t="n"/>
    </row>
    <row r="9118">
      <c r="A9118" s="7" t="n"/>
      <c r="B9118" s="7" t="n"/>
      <c r="C9118" s="7" t="n"/>
      <c r="D9118" s="7" t="n"/>
      <c r="E9118" s="7" t="n"/>
      <c r="F9118" s="7" t="n"/>
      <c r="G9118" s="7" t="n"/>
      <c r="H9118" s="7" t="n"/>
      <c r="I9118" s="7" t="n"/>
      <c r="J9118" s="7" t="n"/>
      <c r="K9118">
        <f>IF(D9118="Legitimate Interest (GDPR Art. 6(1)(f))", "Yes / Required (Sheet 3)", "")</f>
        <v/>
      </c>
      <c r="L9118" s="7" t="n"/>
      <c r="M9118" s="7" t="n"/>
      <c r="N9118">
        <f>IF(D9118="", "Gap - No Legal Basis", IF(AND(D9118="Consent (GDPR Art. 6(1)(a))", I9118="Not Captured"), "Gap - Invalid Consent", IF(AND(D9118="Legitimate Interest (GDPR Art. 6(1)(f))", L9118=""), "Gap - Missing LIA", IF(AND(G9118="Yes", H9118=""), "Gap - Missing Art. 9 Basis", IF(OR(I9118="Invalid - Not Freely Given", I9118="Invalid - Not Specific", I9118="Invalid - Not Informed", I9118="Invalid - Ambiguous"), "Gap - Invalid Consent", "Compliant")))))</f>
        <v/>
      </c>
      <c r="O9118" s="7" t="n"/>
    </row>
    <row r="9119">
      <c r="A9119" s="7" t="n"/>
      <c r="B9119" s="7" t="n"/>
      <c r="C9119" s="7" t="n"/>
      <c r="D9119" s="7" t="n"/>
      <c r="E9119" s="7" t="n"/>
      <c r="F9119" s="7" t="n"/>
      <c r="G9119" s="7" t="n"/>
      <c r="H9119" s="7" t="n"/>
      <c r="I9119" s="7" t="n"/>
      <c r="J9119" s="7" t="n"/>
      <c r="K9119">
        <f>IF(D9119="Legitimate Interest (GDPR Art. 6(1)(f))", "Yes / Required (Sheet 3)", "")</f>
        <v/>
      </c>
      <c r="L9119" s="7" t="n"/>
      <c r="M9119" s="7" t="n"/>
      <c r="N9119">
        <f>IF(D9119="", "Gap - No Legal Basis", IF(AND(D9119="Consent (GDPR Art. 6(1)(a))", I9119="Not Captured"), "Gap - Invalid Consent", IF(AND(D9119="Legitimate Interest (GDPR Art. 6(1)(f))", L9119=""), "Gap - Missing LIA", IF(AND(G9119="Yes", H9119=""), "Gap - Missing Art. 9 Basis", IF(OR(I9119="Invalid - Not Freely Given", I9119="Invalid - Not Specific", I9119="Invalid - Not Informed", I9119="Invalid - Ambiguous"), "Gap - Invalid Consent", "Compliant")))))</f>
        <v/>
      </c>
      <c r="O9119" s="7" t="n"/>
    </row>
    <row r="9120">
      <c r="A9120" s="7" t="n"/>
      <c r="B9120" s="7" t="n"/>
      <c r="C9120" s="7" t="n"/>
      <c r="D9120" s="7" t="n"/>
      <c r="E9120" s="7" t="n"/>
      <c r="F9120" s="7" t="n"/>
      <c r="G9120" s="7" t="n"/>
      <c r="H9120" s="7" t="n"/>
      <c r="I9120" s="7" t="n"/>
      <c r="J9120" s="7" t="n"/>
      <c r="K9120">
        <f>IF(D9120="Legitimate Interest (GDPR Art. 6(1)(f))", "Yes / Required (Sheet 3)", "")</f>
        <v/>
      </c>
      <c r="L9120" s="7" t="n"/>
      <c r="M9120" s="7" t="n"/>
      <c r="N9120">
        <f>IF(D9120="", "Gap - No Legal Basis", IF(AND(D9120="Consent (GDPR Art. 6(1)(a))", I9120="Not Captured"), "Gap - Invalid Consent", IF(AND(D9120="Legitimate Interest (GDPR Art. 6(1)(f))", L9120=""), "Gap - Missing LIA", IF(AND(G9120="Yes", H9120=""), "Gap - Missing Art. 9 Basis", IF(OR(I9120="Invalid - Not Freely Given", I9120="Invalid - Not Specific", I9120="Invalid - Not Informed", I9120="Invalid - Ambiguous"), "Gap - Invalid Consent", "Compliant")))))</f>
        <v/>
      </c>
      <c r="O9120" s="7" t="n"/>
    </row>
    <row r="9121">
      <c r="A9121" s="7" t="n"/>
      <c r="B9121" s="7" t="n"/>
      <c r="C9121" s="7" t="n"/>
      <c r="D9121" s="7" t="n"/>
      <c r="E9121" s="7" t="n"/>
      <c r="F9121" s="7" t="n"/>
      <c r="G9121" s="7" t="n"/>
      <c r="H9121" s="7" t="n"/>
      <c r="I9121" s="7" t="n"/>
      <c r="J9121" s="7" t="n"/>
      <c r="K9121">
        <f>IF(D9121="Legitimate Interest (GDPR Art. 6(1)(f))", "Yes / Required (Sheet 3)", "")</f>
        <v/>
      </c>
      <c r="L9121" s="7" t="n"/>
      <c r="M9121" s="7" t="n"/>
      <c r="N9121">
        <f>IF(D9121="", "Gap - No Legal Basis", IF(AND(D9121="Consent (GDPR Art. 6(1)(a))", I9121="Not Captured"), "Gap - Invalid Consent", IF(AND(D9121="Legitimate Interest (GDPR Art. 6(1)(f))", L9121=""), "Gap - Missing LIA", IF(AND(G9121="Yes", H9121=""), "Gap - Missing Art. 9 Basis", IF(OR(I9121="Invalid - Not Freely Given", I9121="Invalid - Not Specific", I9121="Invalid - Not Informed", I9121="Invalid - Ambiguous"), "Gap - Invalid Consent", "Compliant")))))</f>
        <v/>
      </c>
      <c r="O9121" s="7" t="n"/>
    </row>
    <row r="9122">
      <c r="A9122" s="7" t="n"/>
      <c r="B9122" s="7" t="n"/>
      <c r="C9122" s="7" t="n"/>
      <c r="D9122" s="7" t="n"/>
      <c r="E9122" s="7" t="n"/>
      <c r="F9122" s="7" t="n"/>
      <c r="G9122" s="7" t="n"/>
      <c r="H9122" s="7" t="n"/>
      <c r="I9122" s="7" t="n"/>
      <c r="J9122" s="7" t="n"/>
      <c r="K9122">
        <f>IF(D9122="Legitimate Interest (GDPR Art. 6(1)(f))", "Yes / Required (Sheet 3)", "")</f>
        <v/>
      </c>
      <c r="L9122" s="7" t="n"/>
      <c r="M9122" s="7" t="n"/>
      <c r="N9122">
        <f>IF(D9122="", "Gap - No Legal Basis", IF(AND(D9122="Consent (GDPR Art. 6(1)(a))", I9122="Not Captured"), "Gap - Invalid Consent", IF(AND(D9122="Legitimate Interest (GDPR Art. 6(1)(f))", L9122=""), "Gap - Missing LIA", IF(AND(G9122="Yes", H9122=""), "Gap - Missing Art. 9 Basis", IF(OR(I9122="Invalid - Not Freely Given", I9122="Invalid - Not Specific", I9122="Invalid - Not Informed", I9122="Invalid - Ambiguous"), "Gap - Invalid Consent", "Compliant")))))</f>
        <v/>
      </c>
      <c r="O9122" s="7" t="n"/>
    </row>
    <row r="9123">
      <c r="A9123" s="7" t="n"/>
      <c r="B9123" s="7" t="n"/>
      <c r="C9123" s="7" t="n"/>
      <c r="D9123" s="7" t="n"/>
      <c r="E9123" s="7" t="n"/>
      <c r="F9123" s="7" t="n"/>
      <c r="G9123" s="7" t="n"/>
      <c r="H9123" s="7" t="n"/>
      <c r="I9123" s="7" t="n"/>
      <c r="J9123" s="7" t="n"/>
      <c r="K9123">
        <f>IF(D9123="Legitimate Interest (GDPR Art. 6(1)(f))", "Yes / Required (Sheet 3)", "")</f>
        <v/>
      </c>
      <c r="L9123" s="7" t="n"/>
      <c r="M9123" s="7" t="n"/>
      <c r="N9123">
        <f>IF(D9123="", "Gap - No Legal Basis", IF(AND(D9123="Consent (GDPR Art. 6(1)(a))", I9123="Not Captured"), "Gap - Invalid Consent", IF(AND(D9123="Legitimate Interest (GDPR Art. 6(1)(f))", L9123=""), "Gap - Missing LIA", IF(AND(G9123="Yes", H9123=""), "Gap - Missing Art. 9 Basis", IF(OR(I9123="Invalid - Not Freely Given", I9123="Invalid - Not Specific", I9123="Invalid - Not Informed", I9123="Invalid - Ambiguous"), "Gap - Invalid Consent", "Compliant")))))</f>
        <v/>
      </c>
      <c r="O9123" s="7" t="n"/>
    </row>
    <row r="9124">
      <c r="A9124" s="7" t="n"/>
      <c r="B9124" s="7" t="n"/>
      <c r="C9124" s="7" t="n"/>
      <c r="D9124" s="7" t="n"/>
      <c r="E9124" s="7" t="n"/>
      <c r="F9124" s="7" t="n"/>
      <c r="G9124" s="7" t="n"/>
      <c r="H9124" s="7" t="n"/>
      <c r="I9124" s="7" t="n"/>
      <c r="J9124" s="7" t="n"/>
      <c r="K9124">
        <f>IF(D9124="Legitimate Interest (GDPR Art. 6(1)(f))", "Yes / Required (Sheet 3)", "")</f>
        <v/>
      </c>
      <c r="L9124" s="7" t="n"/>
      <c r="M9124" s="7" t="n"/>
      <c r="N9124">
        <f>IF(D9124="", "Gap - No Legal Basis", IF(AND(D9124="Consent (GDPR Art. 6(1)(a))", I9124="Not Captured"), "Gap - Invalid Consent", IF(AND(D9124="Legitimate Interest (GDPR Art. 6(1)(f))", L9124=""), "Gap - Missing LIA", IF(AND(G9124="Yes", H9124=""), "Gap - Missing Art. 9 Basis", IF(OR(I9124="Invalid - Not Freely Given", I9124="Invalid - Not Specific", I9124="Invalid - Not Informed", I9124="Invalid - Ambiguous"), "Gap - Invalid Consent", "Compliant")))))</f>
        <v/>
      </c>
      <c r="O9124" s="7" t="n"/>
    </row>
    <row r="9125">
      <c r="A9125" s="7" t="n"/>
      <c r="B9125" s="7" t="n"/>
      <c r="C9125" s="7" t="n"/>
      <c r="D9125" s="7" t="n"/>
      <c r="E9125" s="7" t="n"/>
      <c r="F9125" s="7" t="n"/>
      <c r="G9125" s="7" t="n"/>
      <c r="H9125" s="7" t="n"/>
      <c r="I9125" s="7" t="n"/>
      <c r="J9125" s="7" t="n"/>
      <c r="K9125">
        <f>IF(D9125="Legitimate Interest (GDPR Art. 6(1)(f))", "Yes / Required (Sheet 3)", "")</f>
        <v/>
      </c>
      <c r="L9125" s="7" t="n"/>
      <c r="M9125" s="7" t="n"/>
      <c r="N9125">
        <f>IF(D9125="", "Gap - No Legal Basis", IF(AND(D9125="Consent (GDPR Art. 6(1)(a))", I9125="Not Captured"), "Gap - Invalid Consent", IF(AND(D9125="Legitimate Interest (GDPR Art. 6(1)(f))", L9125=""), "Gap - Missing LIA", IF(AND(G9125="Yes", H9125=""), "Gap - Missing Art. 9 Basis", IF(OR(I9125="Invalid - Not Freely Given", I9125="Invalid - Not Specific", I9125="Invalid - Not Informed", I9125="Invalid - Ambiguous"), "Gap - Invalid Consent", "Compliant")))))</f>
        <v/>
      </c>
      <c r="O9125" s="7" t="n"/>
    </row>
    <row r="9126">
      <c r="A9126" s="7" t="n"/>
      <c r="B9126" s="7" t="n"/>
      <c r="C9126" s="7" t="n"/>
      <c r="D9126" s="7" t="n"/>
      <c r="E9126" s="7" t="n"/>
      <c r="F9126" s="7" t="n"/>
      <c r="G9126" s="7" t="n"/>
      <c r="H9126" s="7" t="n"/>
      <c r="I9126" s="7" t="n"/>
      <c r="J9126" s="7" t="n"/>
      <c r="K9126">
        <f>IF(D9126="Legitimate Interest (GDPR Art. 6(1)(f))", "Yes / Required (Sheet 3)", "")</f>
        <v/>
      </c>
      <c r="L9126" s="7" t="n"/>
      <c r="M9126" s="7" t="n"/>
      <c r="N9126">
        <f>IF(D9126="", "Gap - No Legal Basis", IF(AND(D9126="Consent (GDPR Art. 6(1)(a))", I9126="Not Captured"), "Gap - Invalid Consent", IF(AND(D9126="Legitimate Interest (GDPR Art. 6(1)(f))", L9126=""), "Gap - Missing LIA", IF(AND(G9126="Yes", H9126=""), "Gap - Missing Art. 9 Basis", IF(OR(I9126="Invalid - Not Freely Given", I9126="Invalid - Not Specific", I9126="Invalid - Not Informed", I9126="Invalid - Ambiguous"), "Gap - Invalid Consent", "Compliant")))))</f>
        <v/>
      </c>
      <c r="O9126" s="7" t="n"/>
    </row>
    <row r="9127">
      <c r="A9127" s="7" t="n"/>
      <c r="B9127" s="7" t="n"/>
      <c r="C9127" s="7" t="n"/>
      <c r="D9127" s="7" t="n"/>
      <c r="E9127" s="7" t="n"/>
      <c r="F9127" s="7" t="n"/>
      <c r="G9127" s="7" t="n"/>
      <c r="H9127" s="7" t="n"/>
      <c r="I9127" s="7" t="n"/>
      <c r="J9127" s="7" t="n"/>
      <c r="K9127">
        <f>IF(D9127="Legitimate Interest (GDPR Art. 6(1)(f))", "Yes / Required (Sheet 3)", "")</f>
        <v/>
      </c>
      <c r="L9127" s="7" t="n"/>
      <c r="M9127" s="7" t="n"/>
      <c r="N9127">
        <f>IF(D9127="", "Gap - No Legal Basis", IF(AND(D9127="Consent (GDPR Art. 6(1)(a))", I9127="Not Captured"), "Gap - Invalid Consent", IF(AND(D9127="Legitimate Interest (GDPR Art. 6(1)(f))", L9127=""), "Gap - Missing LIA", IF(AND(G9127="Yes", H9127=""), "Gap - Missing Art. 9 Basis", IF(OR(I9127="Invalid - Not Freely Given", I9127="Invalid - Not Specific", I9127="Invalid - Not Informed", I9127="Invalid - Ambiguous"), "Gap - Invalid Consent", "Compliant")))))</f>
        <v/>
      </c>
      <c r="O9127" s="7" t="n"/>
    </row>
    <row r="9128">
      <c r="A9128" s="7" t="n"/>
      <c r="B9128" s="7" t="n"/>
      <c r="C9128" s="7" t="n"/>
      <c r="D9128" s="7" t="n"/>
      <c r="E9128" s="7" t="n"/>
      <c r="F9128" s="7" t="n"/>
      <c r="G9128" s="7" t="n"/>
      <c r="H9128" s="7" t="n"/>
      <c r="I9128" s="7" t="n"/>
      <c r="J9128" s="7" t="n"/>
      <c r="K9128">
        <f>IF(D9128="Legitimate Interest (GDPR Art. 6(1)(f))", "Yes / Required (Sheet 3)", "")</f>
        <v/>
      </c>
      <c r="L9128" s="7" t="n"/>
      <c r="M9128" s="7" t="n"/>
      <c r="N9128">
        <f>IF(D9128="", "Gap - No Legal Basis", IF(AND(D9128="Consent (GDPR Art. 6(1)(a))", I9128="Not Captured"), "Gap - Invalid Consent", IF(AND(D9128="Legitimate Interest (GDPR Art. 6(1)(f))", L9128=""), "Gap - Missing LIA", IF(AND(G9128="Yes", H9128=""), "Gap - Missing Art. 9 Basis", IF(OR(I9128="Invalid - Not Freely Given", I9128="Invalid - Not Specific", I9128="Invalid - Not Informed", I9128="Invalid - Ambiguous"), "Gap - Invalid Consent", "Compliant")))))</f>
        <v/>
      </c>
      <c r="O9128" s="7" t="n"/>
    </row>
    <row r="9129">
      <c r="A9129" s="7" t="n"/>
      <c r="B9129" s="7" t="n"/>
      <c r="C9129" s="7" t="n"/>
      <c r="D9129" s="7" t="n"/>
      <c r="E9129" s="7" t="n"/>
      <c r="F9129" s="7" t="n"/>
      <c r="G9129" s="7" t="n"/>
      <c r="H9129" s="7" t="n"/>
      <c r="I9129" s="7" t="n"/>
      <c r="J9129" s="7" t="n"/>
      <c r="K9129">
        <f>IF(D9129="Legitimate Interest (GDPR Art. 6(1)(f))", "Yes / Required (Sheet 3)", "")</f>
        <v/>
      </c>
      <c r="L9129" s="7" t="n"/>
      <c r="M9129" s="7" t="n"/>
      <c r="N9129">
        <f>IF(D9129="", "Gap - No Legal Basis", IF(AND(D9129="Consent (GDPR Art. 6(1)(a))", I9129="Not Captured"), "Gap - Invalid Consent", IF(AND(D9129="Legitimate Interest (GDPR Art. 6(1)(f))", L9129=""), "Gap - Missing LIA", IF(AND(G9129="Yes", H9129=""), "Gap - Missing Art. 9 Basis", IF(OR(I9129="Invalid - Not Freely Given", I9129="Invalid - Not Specific", I9129="Invalid - Not Informed", I9129="Invalid - Ambiguous"), "Gap - Invalid Consent", "Compliant")))))</f>
        <v/>
      </c>
      <c r="O9129" s="7" t="n"/>
    </row>
    <row r="9130">
      <c r="A9130" s="7" t="n"/>
      <c r="B9130" s="7" t="n"/>
      <c r="C9130" s="7" t="n"/>
      <c r="D9130" s="7" t="n"/>
      <c r="E9130" s="7" t="n"/>
      <c r="F9130" s="7" t="n"/>
      <c r="G9130" s="7" t="n"/>
      <c r="H9130" s="7" t="n"/>
      <c r="I9130" s="7" t="n"/>
      <c r="J9130" s="7" t="n"/>
      <c r="K9130">
        <f>IF(D9130="Legitimate Interest (GDPR Art. 6(1)(f))", "Yes / Required (Sheet 3)", "")</f>
        <v/>
      </c>
      <c r="L9130" s="7" t="n"/>
      <c r="M9130" s="7" t="n"/>
      <c r="N9130">
        <f>IF(D9130="", "Gap - No Legal Basis", IF(AND(D9130="Consent (GDPR Art. 6(1)(a))", I9130="Not Captured"), "Gap - Invalid Consent", IF(AND(D9130="Legitimate Interest (GDPR Art. 6(1)(f))", L9130=""), "Gap - Missing LIA", IF(AND(G9130="Yes", H9130=""), "Gap - Missing Art. 9 Basis", IF(OR(I9130="Invalid - Not Freely Given", I9130="Invalid - Not Specific", I9130="Invalid - Not Informed", I9130="Invalid - Ambiguous"), "Gap - Invalid Consent", "Compliant")))))</f>
        <v/>
      </c>
      <c r="O9130" s="7" t="n"/>
    </row>
    <row r="9131">
      <c r="A9131" s="7" t="n"/>
      <c r="B9131" s="7" t="n"/>
      <c r="C9131" s="7" t="n"/>
      <c r="D9131" s="7" t="n"/>
      <c r="E9131" s="7" t="n"/>
      <c r="F9131" s="7" t="n"/>
      <c r="G9131" s="7" t="n"/>
      <c r="H9131" s="7" t="n"/>
      <c r="I9131" s="7" t="n"/>
      <c r="J9131" s="7" t="n"/>
      <c r="K9131">
        <f>IF(D9131="Legitimate Interest (GDPR Art. 6(1)(f))", "Yes / Required (Sheet 3)", "")</f>
        <v/>
      </c>
      <c r="L9131" s="7" t="n"/>
      <c r="M9131" s="7" t="n"/>
      <c r="N9131">
        <f>IF(D9131="", "Gap - No Legal Basis", IF(AND(D9131="Consent (GDPR Art. 6(1)(a))", I9131="Not Captured"), "Gap - Invalid Consent", IF(AND(D9131="Legitimate Interest (GDPR Art. 6(1)(f))", L9131=""), "Gap - Missing LIA", IF(AND(G9131="Yes", H9131=""), "Gap - Missing Art. 9 Basis", IF(OR(I9131="Invalid - Not Freely Given", I9131="Invalid - Not Specific", I9131="Invalid - Not Informed", I9131="Invalid - Ambiguous"), "Gap - Invalid Consent", "Compliant")))))</f>
        <v/>
      </c>
      <c r="O9131" s="7" t="n"/>
    </row>
    <row r="9132">
      <c r="A9132" s="7" t="n"/>
      <c r="B9132" s="7" t="n"/>
      <c r="C9132" s="7" t="n"/>
      <c r="D9132" s="7" t="n"/>
      <c r="E9132" s="7" t="n"/>
      <c r="F9132" s="7" t="n"/>
      <c r="G9132" s="7" t="n"/>
      <c r="H9132" s="7" t="n"/>
      <c r="I9132" s="7" t="n"/>
      <c r="J9132" s="7" t="n"/>
      <c r="K9132">
        <f>IF(D9132="Legitimate Interest (GDPR Art. 6(1)(f))", "Yes / Required (Sheet 3)", "")</f>
        <v/>
      </c>
      <c r="L9132" s="7" t="n"/>
      <c r="M9132" s="7" t="n"/>
      <c r="N9132">
        <f>IF(D9132="", "Gap - No Legal Basis", IF(AND(D9132="Consent (GDPR Art. 6(1)(a))", I9132="Not Captured"), "Gap - Invalid Consent", IF(AND(D9132="Legitimate Interest (GDPR Art. 6(1)(f))", L9132=""), "Gap - Missing LIA", IF(AND(G9132="Yes", H9132=""), "Gap - Missing Art. 9 Basis", IF(OR(I9132="Invalid - Not Freely Given", I9132="Invalid - Not Specific", I9132="Invalid - Not Informed", I9132="Invalid - Ambiguous"), "Gap - Invalid Consent", "Compliant")))))</f>
        <v/>
      </c>
      <c r="O9132" s="7" t="n"/>
    </row>
    <row r="9133">
      <c r="A9133" s="7" t="n"/>
      <c r="B9133" s="7" t="n"/>
      <c r="C9133" s="7" t="n"/>
      <c r="D9133" s="7" t="n"/>
      <c r="E9133" s="7" t="n"/>
      <c r="F9133" s="7" t="n"/>
      <c r="G9133" s="7" t="n"/>
      <c r="H9133" s="7" t="n"/>
      <c r="I9133" s="7" t="n"/>
      <c r="J9133" s="7" t="n"/>
      <c r="K9133">
        <f>IF(D9133="Legitimate Interest (GDPR Art. 6(1)(f))", "Yes / Required (Sheet 3)", "")</f>
        <v/>
      </c>
      <c r="L9133" s="7" t="n"/>
      <c r="M9133" s="7" t="n"/>
      <c r="N9133">
        <f>IF(D9133="", "Gap - No Legal Basis", IF(AND(D9133="Consent (GDPR Art. 6(1)(a))", I9133="Not Captured"), "Gap - Invalid Consent", IF(AND(D9133="Legitimate Interest (GDPR Art. 6(1)(f))", L9133=""), "Gap - Missing LIA", IF(AND(G9133="Yes", H9133=""), "Gap - Missing Art. 9 Basis", IF(OR(I9133="Invalid - Not Freely Given", I9133="Invalid - Not Specific", I9133="Invalid - Not Informed", I9133="Invalid - Ambiguous"), "Gap - Invalid Consent", "Compliant")))))</f>
        <v/>
      </c>
      <c r="O9133" s="7" t="n"/>
    </row>
    <row r="9134">
      <c r="A9134" s="7" t="n"/>
      <c r="B9134" s="7" t="n"/>
      <c r="C9134" s="7" t="n"/>
      <c r="D9134" s="7" t="n"/>
      <c r="E9134" s="7" t="n"/>
      <c r="F9134" s="7" t="n"/>
      <c r="G9134" s="7" t="n"/>
      <c r="H9134" s="7" t="n"/>
      <c r="I9134" s="7" t="n"/>
      <c r="J9134" s="7" t="n"/>
      <c r="K9134">
        <f>IF(D9134="Legitimate Interest (GDPR Art. 6(1)(f))", "Yes / Required (Sheet 3)", "")</f>
        <v/>
      </c>
      <c r="L9134" s="7" t="n"/>
      <c r="M9134" s="7" t="n"/>
      <c r="N9134">
        <f>IF(D9134="", "Gap - No Legal Basis", IF(AND(D9134="Consent (GDPR Art. 6(1)(a))", I9134="Not Captured"), "Gap - Invalid Consent", IF(AND(D9134="Legitimate Interest (GDPR Art. 6(1)(f))", L9134=""), "Gap - Missing LIA", IF(AND(G9134="Yes", H9134=""), "Gap - Missing Art. 9 Basis", IF(OR(I9134="Invalid - Not Freely Given", I9134="Invalid - Not Specific", I9134="Invalid - Not Informed", I9134="Invalid - Ambiguous"), "Gap - Invalid Consent", "Compliant")))))</f>
        <v/>
      </c>
      <c r="O9134" s="7" t="n"/>
    </row>
    <row r="9135">
      <c r="A9135" s="7" t="n"/>
      <c r="B9135" s="7" t="n"/>
      <c r="C9135" s="7" t="n"/>
      <c r="D9135" s="7" t="n"/>
      <c r="E9135" s="7" t="n"/>
      <c r="F9135" s="7" t="n"/>
      <c r="G9135" s="7" t="n"/>
      <c r="H9135" s="7" t="n"/>
      <c r="I9135" s="7" t="n"/>
      <c r="J9135" s="7" t="n"/>
      <c r="K9135">
        <f>IF(D9135="Legitimate Interest (GDPR Art. 6(1)(f))", "Yes / Required (Sheet 3)", "")</f>
        <v/>
      </c>
      <c r="L9135" s="7" t="n"/>
      <c r="M9135" s="7" t="n"/>
      <c r="N9135">
        <f>IF(D9135="", "Gap - No Legal Basis", IF(AND(D9135="Consent (GDPR Art. 6(1)(a))", I9135="Not Captured"), "Gap - Invalid Consent", IF(AND(D9135="Legitimate Interest (GDPR Art. 6(1)(f))", L9135=""), "Gap - Missing LIA", IF(AND(G9135="Yes", H9135=""), "Gap - Missing Art. 9 Basis", IF(OR(I9135="Invalid - Not Freely Given", I9135="Invalid - Not Specific", I9135="Invalid - Not Informed", I9135="Invalid - Ambiguous"), "Gap - Invalid Consent", "Compliant")))))</f>
        <v/>
      </c>
      <c r="O9135" s="7" t="n"/>
    </row>
    <row r="9136">
      <c r="A9136" s="7" t="n"/>
      <c r="B9136" s="7" t="n"/>
      <c r="C9136" s="7" t="n"/>
      <c r="D9136" s="7" t="n"/>
      <c r="E9136" s="7" t="n"/>
      <c r="F9136" s="7" t="n"/>
      <c r="G9136" s="7" t="n"/>
      <c r="H9136" s="7" t="n"/>
      <c r="I9136" s="7" t="n"/>
      <c r="J9136" s="7" t="n"/>
      <c r="K9136">
        <f>IF(D9136="Legitimate Interest (GDPR Art. 6(1)(f))", "Yes / Required (Sheet 3)", "")</f>
        <v/>
      </c>
      <c r="L9136" s="7" t="n"/>
      <c r="M9136" s="7" t="n"/>
      <c r="N9136">
        <f>IF(D9136="", "Gap - No Legal Basis", IF(AND(D9136="Consent (GDPR Art. 6(1)(a))", I9136="Not Captured"), "Gap - Invalid Consent", IF(AND(D9136="Legitimate Interest (GDPR Art. 6(1)(f))", L9136=""), "Gap - Missing LIA", IF(AND(G9136="Yes", H9136=""), "Gap - Missing Art. 9 Basis", IF(OR(I9136="Invalid - Not Freely Given", I9136="Invalid - Not Specific", I9136="Invalid - Not Informed", I9136="Invalid - Ambiguous"), "Gap - Invalid Consent", "Compliant")))))</f>
        <v/>
      </c>
      <c r="O9136" s="7" t="n"/>
    </row>
    <row r="9137">
      <c r="A9137" s="7" t="n"/>
      <c r="B9137" s="7" t="n"/>
      <c r="C9137" s="7" t="n"/>
      <c r="D9137" s="7" t="n"/>
      <c r="E9137" s="7" t="n"/>
      <c r="F9137" s="7" t="n"/>
      <c r="G9137" s="7" t="n"/>
      <c r="H9137" s="7" t="n"/>
      <c r="I9137" s="7" t="n"/>
      <c r="J9137" s="7" t="n"/>
      <c r="K9137">
        <f>IF(D9137="Legitimate Interest (GDPR Art. 6(1)(f))", "Yes / Required (Sheet 3)", "")</f>
        <v/>
      </c>
      <c r="L9137" s="7" t="n"/>
      <c r="M9137" s="7" t="n"/>
      <c r="N9137">
        <f>IF(D9137="", "Gap - No Legal Basis", IF(AND(D9137="Consent (GDPR Art. 6(1)(a))", I9137="Not Captured"), "Gap - Invalid Consent", IF(AND(D9137="Legitimate Interest (GDPR Art. 6(1)(f))", L9137=""), "Gap - Missing LIA", IF(AND(G9137="Yes", H9137=""), "Gap - Missing Art. 9 Basis", IF(OR(I9137="Invalid - Not Freely Given", I9137="Invalid - Not Specific", I9137="Invalid - Not Informed", I9137="Invalid - Ambiguous"), "Gap - Invalid Consent", "Compliant")))))</f>
        <v/>
      </c>
      <c r="O9137" s="7" t="n"/>
    </row>
    <row r="9138">
      <c r="A9138" s="7" t="n"/>
      <c r="B9138" s="7" t="n"/>
      <c r="C9138" s="7" t="n"/>
      <c r="D9138" s="7" t="n"/>
      <c r="E9138" s="7" t="n"/>
      <c r="F9138" s="7" t="n"/>
      <c r="G9138" s="7" t="n"/>
      <c r="H9138" s="7" t="n"/>
      <c r="I9138" s="7" t="n"/>
      <c r="J9138" s="7" t="n"/>
      <c r="K9138">
        <f>IF(D9138="Legitimate Interest (GDPR Art. 6(1)(f))", "Yes / Required (Sheet 3)", "")</f>
        <v/>
      </c>
      <c r="L9138" s="7" t="n"/>
      <c r="M9138" s="7" t="n"/>
      <c r="N9138">
        <f>IF(D9138="", "Gap - No Legal Basis", IF(AND(D9138="Consent (GDPR Art. 6(1)(a))", I9138="Not Captured"), "Gap - Invalid Consent", IF(AND(D9138="Legitimate Interest (GDPR Art. 6(1)(f))", L9138=""), "Gap - Missing LIA", IF(AND(G9138="Yes", H9138=""), "Gap - Missing Art. 9 Basis", IF(OR(I9138="Invalid - Not Freely Given", I9138="Invalid - Not Specific", I9138="Invalid - Not Informed", I9138="Invalid - Ambiguous"), "Gap - Invalid Consent", "Compliant")))))</f>
        <v/>
      </c>
      <c r="O9138" s="7" t="n"/>
    </row>
    <row r="9139">
      <c r="A9139" s="7" t="n"/>
      <c r="B9139" s="7" t="n"/>
      <c r="C9139" s="7" t="n"/>
      <c r="D9139" s="7" t="n"/>
      <c r="E9139" s="7" t="n"/>
      <c r="F9139" s="7" t="n"/>
      <c r="G9139" s="7" t="n"/>
      <c r="H9139" s="7" t="n"/>
      <c r="I9139" s="7" t="n"/>
      <c r="J9139" s="7" t="n"/>
      <c r="K9139">
        <f>IF(D9139="Legitimate Interest (GDPR Art. 6(1)(f))", "Yes / Required (Sheet 3)", "")</f>
        <v/>
      </c>
      <c r="L9139" s="7" t="n"/>
      <c r="M9139" s="7" t="n"/>
      <c r="N9139">
        <f>IF(D9139="", "Gap - No Legal Basis", IF(AND(D9139="Consent (GDPR Art. 6(1)(a))", I9139="Not Captured"), "Gap - Invalid Consent", IF(AND(D9139="Legitimate Interest (GDPR Art. 6(1)(f))", L9139=""), "Gap - Missing LIA", IF(AND(G9139="Yes", H9139=""), "Gap - Missing Art. 9 Basis", IF(OR(I9139="Invalid - Not Freely Given", I9139="Invalid - Not Specific", I9139="Invalid - Not Informed", I9139="Invalid - Ambiguous"), "Gap - Invalid Consent", "Compliant")))))</f>
        <v/>
      </c>
      <c r="O9139" s="7" t="n"/>
    </row>
    <row r="9140">
      <c r="A9140" s="7" t="n"/>
      <c r="B9140" s="7" t="n"/>
      <c r="C9140" s="7" t="n"/>
      <c r="D9140" s="7" t="n"/>
      <c r="E9140" s="7" t="n"/>
      <c r="F9140" s="7" t="n"/>
      <c r="G9140" s="7" t="n"/>
      <c r="H9140" s="7" t="n"/>
      <c r="I9140" s="7" t="n"/>
      <c r="J9140" s="7" t="n"/>
      <c r="K9140">
        <f>IF(D9140="Legitimate Interest (GDPR Art. 6(1)(f))", "Yes / Required (Sheet 3)", "")</f>
        <v/>
      </c>
      <c r="L9140" s="7" t="n"/>
      <c r="M9140" s="7" t="n"/>
      <c r="N9140">
        <f>IF(D9140="", "Gap - No Legal Basis", IF(AND(D9140="Consent (GDPR Art. 6(1)(a))", I9140="Not Captured"), "Gap - Invalid Consent", IF(AND(D9140="Legitimate Interest (GDPR Art. 6(1)(f))", L9140=""), "Gap - Missing LIA", IF(AND(G9140="Yes", H9140=""), "Gap - Missing Art. 9 Basis", IF(OR(I9140="Invalid - Not Freely Given", I9140="Invalid - Not Specific", I9140="Invalid - Not Informed", I9140="Invalid - Ambiguous"), "Gap - Invalid Consent", "Compliant")))))</f>
        <v/>
      </c>
      <c r="O9140" s="7" t="n"/>
    </row>
    <row r="9141">
      <c r="A9141" s="7" t="n"/>
      <c r="B9141" s="7" t="n"/>
      <c r="C9141" s="7" t="n"/>
      <c r="D9141" s="7" t="n"/>
      <c r="E9141" s="7" t="n"/>
      <c r="F9141" s="7" t="n"/>
      <c r="G9141" s="7" t="n"/>
      <c r="H9141" s="7" t="n"/>
      <c r="I9141" s="7" t="n"/>
      <c r="J9141" s="7" t="n"/>
      <c r="K9141">
        <f>IF(D9141="Legitimate Interest (GDPR Art. 6(1)(f))", "Yes / Required (Sheet 3)", "")</f>
        <v/>
      </c>
      <c r="L9141" s="7" t="n"/>
      <c r="M9141" s="7" t="n"/>
      <c r="N9141">
        <f>IF(D9141="", "Gap - No Legal Basis", IF(AND(D9141="Consent (GDPR Art. 6(1)(a))", I9141="Not Captured"), "Gap - Invalid Consent", IF(AND(D9141="Legitimate Interest (GDPR Art. 6(1)(f))", L9141=""), "Gap - Missing LIA", IF(AND(G9141="Yes", H9141=""), "Gap - Missing Art. 9 Basis", IF(OR(I9141="Invalid - Not Freely Given", I9141="Invalid - Not Specific", I9141="Invalid - Not Informed", I9141="Invalid - Ambiguous"), "Gap - Invalid Consent", "Compliant")))))</f>
        <v/>
      </c>
      <c r="O9141" s="7" t="n"/>
    </row>
    <row r="9142">
      <c r="A9142" s="7" t="n"/>
      <c r="B9142" s="7" t="n"/>
      <c r="C9142" s="7" t="n"/>
      <c r="D9142" s="7" t="n"/>
      <c r="E9142" s="7" t="n"/>
      <c r="F9142" s="7" t="n"/>
      <c r="G9142" s="7" t="n"/>
      <c r="H9142" s="7" t="n"/>
      <c r="I9142" s="7" t="n"/>
      <c r="J9142" s="7" t="n"/>
      <c r="K9142">
        <f>IF(D9142="Legitimate Interest (GDPR Art. 6(1)(f))", "Yes / Required (Sheet 3)", "")</f>
        <v/>
      </c>
      <c r="L9142" s="7" t="n"/>
      <c r="M9142" s="7" t="n"/>
      <c r="N9142">
        <f>IF(D9142="", "Gap - No Legal Basis", IF(AND(D9142="Consent (GDPR Art. 6(1)(a))", I9142="Not Captured"), "Gap - Invalid Consent", IF(AND(D9142="Legitimate Interest (GDPR Art. 6(1)(f))", L9142=""), "Gap - Missing LIA", IF(AND(G9142="Yes", H9142=""), "Gap - Missing Art. 9 Basis", IF(OR(I9142="Invalid - Not Freely Given", I9142="Invalid - Not Specific", I9142="Invalid - Not Informed", I9142="Invalid - Ambiguous"), "Gap - Invalid Consent", "Compliant")))))</f>
        <v/>
      </c>
      <c r="O9142" s="7" t="n"/>
    </row>
    <row r="9143">
      <c r="A9143" s="7" t="n"/>
      <c r="B9143" s="7" t="n"/>
      <c r="C9143" s="7" t="n"/>
      <c r="D9143" s="7" t="n"/>
      <c r="E9143" s="7" t="n"/>
      <c r="F9143" s="7" t="n"/>
      <c r="G9143" s="7" t="n"/>
      <c r="H9143" s="7" t="n"/>
      <c r="I9143" s="7" t="n"/>
      <c r="J9143" s="7" t="n"/>
      <c r="K9143">
        <f>IF(D9143="Legitimate Interest (GDPR Art. 6(1)(f))", "Yes / Required (Sheet 3)", "")</f>
        <v/>
      </c>
      <c r="L9143" s="7" t="n"/>
      <c r="M9143" s="7" t="n"/>
      <c r="N9143">
        <f>IF(D9143="", "Gap - No Legal Basis", IF(AND(D9143="Consent (GDPR Art. 6(1)(a))", I9143="Not Captured"), "Gap - Invalid Consent", IF(AND(D9143="Legitimate Interest (GDPR Art. 6(1)(f))", L9143=""), "Gap - Missing LIA", IF(AND(G9143="Yes", H9143=""), "Gap - Missing Art. 9 Basis", IF(OR(I9143="Invalid - Not Freely Given", I9143="Invalid - Not Specific", I9143="Invalid - Not Informed", I9143="Invalid - Ambiguous"), "Gap - Invalid Consent", "Compliant")))))</f>
        <v/>
      </c>
      <c r="O9143" s="7" t="n"/>
    </row>
    <row r="9144">
      <c r="A9144" s="7" t="n"/>
      <c r="B9144" s="7" t="n"/>
      <c r="C9144" s="7" t="n"/>
      <c r="D9144" s="7" t="n"/>
      <c r="E9144" s="7" t="n"/>
      <c r="F9144" s="7" t="n"/>
      <c r="G9144" s="7" t="n"/>
      <c r="H9144" s="7" t="n"/>
      <c r="I9144" s="7" t="n"/>
      <c r="J9144" s="7" t="n"/>
      <c r="K9144">
        <f>IF(D9144="Legitimate Interest (GDPR Art. 6(1)(f))", "Yes / Required (Sheet 3)", "")</f>
        <v/>
      </c>
      <c r="L9144" s="7" t="n"/>
      <c r="M9144" s="7" t="n"/>
      <c r="N9144">
        <f>IF(D9144="", "Gap - No Legal Basis", IF(AND(D9144="Consent (GDPR Art. 6(1)(a))", I9144="Not Captured"), "Gap - Invalid Consent", IF(AND(D9144="Legitimate Interest (GDPR Art. 6(1)(f))", L9144=""), "Gap - Missing LIA", IF(AND(G9144="Yes", H9144=""), "Gap - Missing Art. 9 Basis", IF(OR(I9144="Invalid - Not Freely Given", I9144="Invalid - Not Specific", I9144="Invalid - Not Informed", I9144="Invalid - Ambiguous"), "Gap - Invalid Consent", "Compliant")))))</f>
        <v/>
      </c>
      <c r="O9144" s="7" t="n"/>
    </row>
    <row r="9145">
      <c r="A9145" s="7" t="n"/>
      <c r="B9145" s="7" t="n"/>
      <c r="C9145" s="7" t="n"/>
      <c r="D9145" s="7" t="n"/>
      <c r="E9145" s="7" t="n"/>
      <c r="F9145" s="7" t="n"/>
      <c r="G9145" s="7" t="n"/>
      <c r="H9145" s="7" t="n"/>
      <c r="I9145" s="7" t="n"/>
      <c r="J9145" s="7" t="n"/>
      <c r="K9145">
        <f>IF(D9145="Legitimate Interest (GDPR Art. 6(1)(f))", "Yes / Required (Sheet 3)", "")</f>
        <v/>
      </c>
      <c r="L9145" s="7" t="n"/>
      <c r="M9145" s="7" t="n"/>
      <c r="N9145">
        <f>IF(D9145="", "Gap - No Legal Basis", IF(AND(D9145="Consent (GDPR Art. 6(1)(a))", I9145="Not Captured"), "Gap - Invalid Consent", IF(AND(D9145="Legitimate Interest (GDPR Art. 6(1)(f))", L9145=""), "Gap - Missing LIA", IF(AND(G9145="Yes", H9145=""), "Gap - Missing Art. 9 Basis", IF(OR(I9145="Invalid - Not Freely Given", I9145="Invalid - Not Specific", I9145="Invalid - Not Informed", I9145="Invalid - Ambiguous"), "Gap - Invalid Consent", "Compliant")))))</f>
        <v/>
      </c>
      <c r="O9145" s="7" t="n"/>
    </row>
    <row r="9146">
      <c r="A9146" s="7" t="n"/>
      <c r="B9146" s="7" t="n"/>
      <c r="C9146" s="7" t="n"/>
      <c r="D9146" s="7" t="n"/>
      <c r="E9146" s="7" t="n"/>
      <c r="F9146" s="7" t="n"/>
      <c r="G9146" s="7" t="n"/>
      <c r="H9146" s="7" t="n"/>
      <c r="I9146" s="7" t="n"/>
      <c r="J9146" s="7" t="n"/>
      <c r="K9146">
        <f>IF(D9146="Legitimate Interest (GDPR Art. 6(1)(f))", "Yes / Required (Sheet 3)", "")</f>
        <v/>
      </c>
      <c r="L9146" s="7" t="n"/>
      <c r="M9146" s="7" t="n"/>
      <c r="N9146">
        <f>IF(D9146="", "Gap - No Legal Basis", IF(AND(D9146="Consent (GDPR Art. 6(1)(a))", I9146="Not Captured"), "Gap - Invalid Consent", IF(AND(D9146="Legitimate Interest (GDPR Art. 6(1)(f))", L9146=""), "Gap - Missing LIA", IF(AND(G9146="Yes", H9146=""), "Gap - Missing Art. 9 Basis", IF(OR(I9146="Invalid - Not Freely Given", I9146="Invalid - Not Specific", I9146="Invalid - Not Informed", I9146="Invalid - Ambiguous"), "Gap - Invalid Consent", "Compliant")))))</f>
        <v/>
      </c>
      <c r="O9146" s="7" t="n"/>
    </row>
    <row r="9147">
      <c r="A9147" s="7" t="n"/>
      <c r="B9147" s="7" t="n"/>
      <c r="C9147" s="7" t="n"/>
      <c r="D9147" s="7" t="n"/>
      <c r="E9147" s="7" t="n"/>
      <c r="F9147" s="7" t="n"/>
      <c r="G9147" s="7" t="n"/>
      <c r="H9147" s="7" t="n"/>
      <c r="I9147" s="7" t="n"/>
      <c r="J9147" s="7" t="n"/>
      <c r="K9147">
        <f>IF(D9147="Legitimate Interest (GDPR Art. 6(1)(f))", "Yes / Required (Sheet 3)", "")</f>
        <v/>
      </c>
      <c r="L9147" s="7" t="n"/>
      <c r="M9147" s="7" t="n"/>
      <c r="N9147">
        <f>IF(D9147="", "Gap - No Legal Basis", IF(AND(D9147="Consent (GDPR Art. 6(1)(a))", I9147="Not Captured"), "Gap - Invalid Consent", IF(AND(D9147="Legitimate Interest (GDPR Art. 6(1)(f))", L9147=""), "Gap - Missing LIA", IF(AND(G9147="Yes", H9147=""), "Gap - Missing Art. 9 Basis", IF(OR(I9147="Invalid - Not Freely Given", I9147="Invalid - Not Specific", I9147="Invalid - Not Informed", I9147="Invalid - Ambiguous"), "Gap - Invalid Consent", "Compliant")))))</f>
        <v/>
      </c>
      <c r="O9147" s="7" t="n"/>
    </row>
    <row r="9148">
      <c r="A9148" s="7" t="n"/>
      <c r="B9148" s="7" t="n"/>
      <c r="C9148" s="7" t="n"/>
      <c r="D9148" s="7" t="n"/>
      <c r="E9148" s="7" t="n"/>
      <c r="F9148" s="7" t="n"/>
      <c r="G9148" s="7" t="n"/>
      <c r="H9148" s="7" t="n"/>
      <c r="I9148" s="7" t="n"/>
      <c r="J9148" s="7" t="n"/>
      <c r="K9148">
        <f>IF(D9148="Legitimate Interest (GDPR Art. 6(1)(f))", "Yes / Required (Sheet 3)", "")</f>
        <v/>
      </c>
      <c r="L9148" s="7" t="n"/>
      <c r="M9148" s="7" t="n"/>
      <c r="N9148">
        <f>IF(D9148="", "Gap - No Legal Basis", IF(AND(D9148="Consent (GDPR Art. 6(1)(a))", I9148="Not Captured"), "Gap - Invalid Consent", IF(AND(D9148="Legitimate Interest (GDPR Art. 6(1)(f))", L9148=""), "Gap - Missing LIA", IF(AND(G9148="Yes", H9148=""), "Gap - Missing Art. 9 Basis", IF(OR(I9148="Invalid - Not Freely Given", I9148="Invalid - Not Specific", I9148="Invalid - Not Informed", I9148="Invalid - Ambiguous"), "Gap - Invalid Consent", "Compliant")))))</f>
        <v/>
      </c>
      <c r="O9148" s="7" t="n"/>
    </row>
    <row r="9149">
      <c r="A9149" s="7" t="n"/>
      <c r="B9149" s="7" t="n"/>
      <c r="C9149" s="7" t="n"/>
      <c r="D9149" s="7" t="n"/>
      <c r="E9149" s="7" t="n"/>
      <c r="F9149" s="7" t="n"/>
      <c r="G9149" s="7" t="n"/>
      <c r="H9149" s="7" t="n"/>
      <c r="I9149" s="7" t="n"/>
      <c r="J9149" s="7" t="n"/>
      <c r="K9149">
        <f>IF(D9149="Legitimate Interest (GDPR Art. 6(1)(f))", "Yes / Required (Sheet 3)", "")</f>
        <v/>
      </c>
      <c r="L9149" s="7" t="n"/>
      <c r="M9149" s="7" t="n"/>
      <c r="N9149">
        <f>IF(D9149="", "Gap - No Legal Basis", IF(AND(D9149="Consent (GDPR Art. 6(1)(a))", I9149="Not Captured"), "Gap - Invalid Consent", IF(AND(D9149="Legitimate Interest (GDPR Art. 6(1)(f))", L9149=""), "Gap - Missing LIA", IF(AND(G9149="Yes", H9149=""), "Gap - Missing Art. 9 Basis", IF(OR(I9149="Invalid - Not Freely Given", I9149="Invalid - Not Specific", I9149="Invalid - Not Informed", I9149="Invalid - Ambiguous"), "Gap - Invalid Consent", "Compliant")))))</f>
        <v/>
      </c>
      <c r="O9149" s="7" t="n"/>
    </row>
    <row r="9150">
      <c r="A9150" s="7" t="n"/>
      <c r="B9150" s="7" t="n"/>
      <c r="C9150" s="7" t="n"/>
      <c r="D9150" s="7" t="n"/>
      <c r="E9150" s="7" t="n"/>
      <c r="F9150" s="7" t="n"/>
      <c r="G9150" s="7" t="n"/>
      <c r="H9150" s="7" t="n"/>
      <c r="I9150" s="7" t="n"/>
      <c r="J9150" s="7" t="n"/>
      <c r="K9150">
        <f>IF(D9150="Legitimate Interest (GDPR Art. 6(1)(f))", "Yes / Required (Sheet 3)", "")</f>
        <v/>
      </c>
      <c r="L9150" s="7" t="n"/>
      <c r="M9150" s="7" t="n"/>
      <c r="N9150">
        <f>IF(D9150="", "Gap - No Legal Basis", IF(AND(D9150="Consent (GDPR Art. 6(1)(a))", I9150="Not Captured"), "Gap - Invalid Consent", IF(AND(D9150="Legitimate Interest (GDPR Art. 6(1)(f))", L9150=""), "Gap - Missing LIA", IF(AND(G9150="Yes", H9150=""), "Gap - Missing Art. 9 Basis", IF(OR(I9150="Invalid - Not Freely Given", I9150="Invalid - Not Specific", I9150="Invalid - Not Informed", I9150="Invalid - Ambiguous"), "Gap - Invalid Consent", "Compliant")))))</f>
        <v/>
      </c>
      <c r="O9150" s="7" t="n"/>
    </row>
    <row r="9151">
      <c r="A9151" s="7" t="n"/>
      <c r="B9151" s="7" t="n"/>
      <c r="C9151" s="7" t="n"/>
      <c r="D9151" s="7" t="n"/>
      <c r="E9151" s="7" t="n"/>
      <c r="F9151" s="7" t="n"/>
      <c r="G9151" s="7" t="n"/>
      <c r="H9151" s="7" t="n"/>
      <c r="I9151" s="7" t="n"/>
      <c r="J9151" s="7" t="n"/>
      <c r="K9151">
        <f>IF(D9151="Legitimate Interest (GDPR Art. 6(1)(f))", "Yes / Required (Sheet 3)", "")</f>
        <v/>
      </c>
      <c r="L9151" s="7" t="n"/>
      <c r="M9151" s="7" t="n"/>
      <c r="N9151">
        <f>IF(D9151="", "Gap - No Legal Basis", IF(AND(D9151="Consent (GDPR Art. 6(1)(a))", I9151="Not Captured"), "Gap - Invalid Consent", IF(AND(D9151="Legitimate Interest (GDPR Art. 6(1)(f))", L9151=""), "Gap - Missing LIA", IF(AND(G9151="Yes", H9151=""), "Gap - Missing Art. 9 Basis", IF(OR(I9151="Invalid - Not Freely Given", I9151="Invalid - Not Specific", I9151="Invalid - Not Informed", I9151="Invalid - Ambiguous"), "Gap - Invalid Consent", "Compliant")))))</f>
        <v/>
      </c>
      <c r="O9151" s="7" t="n"/>
    </row>
    <row r="9152">
      <c r="A9152" s="7" t="n"/>
      <c r="B9152" s="7" t="n"/>
      <c r="C9152" s="7" t="n"/>
      <c r="D9152" s="7" t="n"/>
      <c r="E9152" s="7" t="n"/>
      <c r="F9152" s="7" t="n"/>
      <c r="G9152" s="7" t="n"/>
      <c r="H9152" s="7" t="n"/>
      <c r="I9152" s="7" t="n"/>
      <c r="J9152" s="7" t="n"/>
      <c r="K9152">
        <f>IF(D9152="Legitimate Interest (GDPR Art. 6(1)(f))", "Yes / Required (Sheet 3)", "")</f>
        <v/>
      </c>
      <c r="L9152" s="7" t="n"/>
      <c r="M9152" s="7" t="n"/>
      <c r="N9152">
        <f>IF(D9152="", "Gap - No Legal Basis", IF(AND(D9152="Consent (GDPR Art. 6(1)(a))", I9152="Not Captured"), "Gap - Invalid Consent", IF(AND(D9152="Legitimate Interest (GDPR Art. 6(1)(f))", L9152=""), "Gap - Missing LIA", IF(AND(G9152="Yes", H9152=""), "Gap - Missing Art. 9 Basis", IF(OR(I9152="Invalid - Not Freely Given", I9152="Invalid - Not Specific", I9152="Invalid - Not Informed", I9152="Invalid - Ambiguous"), "Gap - Invalid Consent", "Compliant")))))</f>
        <v/>
      </c>
      <c r="O9152" s="7" t="n"/>
    </row>
    <row r="9153">
      <c r="A9153" s="7" t="n"/>
      <c r="B9153" s="7" t="n"/>
      <c r="C9153" s="7" t="n"/>
      <c r="D9153" s="7" t="n"/>
      <c r="E9153" s="7" t="n"/>
      <c r="F9153" s="7" t="n"/>
      <c r="G9153" s="7" t="n"/>
      <c r="H9153" s="7" t="n"/>
      <c r="I9153" s="7" t="n"/>
      <c r="J9153" s="7" t="n"/>
      <c r="K9153">
        <f>IF(D9153="Legitimate Interest (GDPR Art. 6(1)(f))", "Yes / Required (Sheet 3)", "")</f>
        <v/>
      </c>
      <c r="L9153" s="7" t="n"/>
      <c r="M9153" s="7" t="n"/>
      <c r="N9153">
        <f>IF(D9153="", "Gap - No Legal Basis", IF(AND(D9153="Consent (GDPR Art. 6(1)(a))", I9153="Not Captured"), "Gap - Invalid Consent", IF(AND(D9153="Legitimate Interest (GDPR Art. 6(1)(f))", L9153=""), "Gap - Missing LIA", IF(AND(G9153="Yes", H9153=""), "Gap - Missing Art. 9 Basis", IF(OR(I9153="Invalid - Not Freely Given", I9153="Invalid - Not Specific", I9153="Invalid - Not Informed", I9153="Invalid - Ambiguous"), "Gap - Invalid Consent", "Compliant")))))</f>
        <v/>
      </c>
      <c r="O9153" s="7" t="n"/>
    </row>
    <row r="9154">
      <c r="A9154" s="7" t="n"/>
      <c r="B9154" s="7" t="n"/>
      <c r="C9154" s="7" t="n"/>
      <c r="D9154" s="7" t="n"/>
      <c r="E9154" s="7" t="n"/>
      <c r="F9154" s="7" t="n"/>
      <c r="G9154" s="7" t="n"/>
      <c r="H9154" s="7" t="n"/>
      <c r="I9154" s="7" t="n"/>
      <c r="J9154" s="7" t="n"/>
      <c r="K9154">
        <f>IF(D9154="Legitimate Interest (GDPR Art. 6(1)(f))", "Yes / Required (Sheet 3)", "")</f>
        <v/>
      </c>
      <c r="L9154" s="7" t="n"/>
      <c r="M9154" s="7" t="n"/>
      <c r="N9154">
        <f>IF(D9154="", "Gap - No Legal Basis", IF(AND(D9154="Consent (GDPR Art. 6(1)(a))", I9154="Not Captured"), "Gap - Invalid Consent", IF(AND(D9154="Legitimate Interest (GDPR Art. 6(1)(f))", L9154=""), "Gap - Missing LIA", IF(AND(G9154="Yes", H9154=""), "Gap - Missing Art. 9 Basis", IF(OR(I9154="Invalid - Not Freely Given", I9154="Invalid - Not Specific", I9154="Invalid - Not Informed", I9154="Invalid - Ambiguous"), "Gap - Invalid Consent", "Compliant")))))</f>
        <v/>
      </c>
      <c r="O9154" s="7" t="n"/>
    </row>
    <row r="9155">
      <c r="A9155" s="7" t="n"/>
      <c r="B9155" s="7" t="n"/>
      <c r="C9155" s="7" t="n"/>
      <c r="D9155" s="7" t="n"/>
      <c r="E9155" s="7" t="n"/>
      <c r="F9155" s="7" t="n"/>
      <c r="G9155" s="7" t="n"/>
      <c r="H9155" s="7" t="n"/>
      <c r="I9155" s="7" t="n"/>
      <c r="J9155" s="7" t="n"/>
      <c r="K9155">
        <f>IF(D9155="Legitimate Interest (GDPR Art. 6(1)(f))", "Yes / Required (Sheet 3)", "")</f>
        <v/>
      </c>
      <c r="L9155" s="7" t="n"/>
      <c r="M9155" s="7" t="n"/>
      <c r="N9155">
        <f>IF(D9155="", "Gap - No Legal Basis", IF(AND(D9155="Consent (GDPR Art. 6(1)(a))", I9155="Not Captured"), "Gap - Invalid Consent", IF(AND(D9155="Legitimate Interest (GDPR Art. 6(1)(f))", L9155=""), "Gap - Missing LIA", IF(AND(G9155="Yes", H9155=""), "Gap - Missing Art. 9 Basis", IF(OR(I9155="Invalid - Not Freely Given", I9155="Invalid - Not Specific", I9155="Invalid - Not Informed", I9155="Invalid - Ambiguous"), "Gap - Invalid Consent", "Compliant")))))</f>
        <v/>
      </c>
      <c r="O9155" s="7" t="n"/>
    </row>
    <row r="9156">
      <c r="A9156" s="7" t="n"/>
      <c r="B9156" s="7" t="n"/>
      <c r="C9156" s="7" t="n"/>
      <c r="D9156" s="7" t="n"/>
      <c r="E9156" s="7" t="n"/>
      <c r="F9156" s="7" t="n"/>
      <c r="G9156" s="7" t="n"/>
      <c r="H9156" s="7" t="n"/>
      <c r="I9156" s="7" t="n"/>
      <c r="J9156" s="7" t="n"/>
      <c r="K9156">
        <f>IF(D9156="Legitimate Interest (GDPR Art. 6(1)(f))", "Yes / Required (Sheet 3)", "")</f>
        <v/>
      </c>
      <c r="L9156" s="7" t="n"/>
      <c r="M9156" s="7" t="n"/>
      <c r="N9156">
        <f>IF(D9156="", "Gap - No Legal Basis", IF(AND(D9156="Consent (GDPR Art. 6(1)(a))", I9156="Not Captured"), "Gap - Invalid Consent", IF(AND(D9156="Legitimate Interest (GDPR Art. 6(1)(f))", L9156=""), "Gap - Missing LIA", IF(AND(G9156="Yes", H9156=""), "Gap - Missing Art. 9 Basis", IF(OR(I9156="Invalid - Not Freely Given", I9156="Invalid - Not Specific", I9156="Invalid - Not Informed", I9156="Invalid - Ambiguous"), "Gap - Invalid Consent", "Compliant")))))</f>
        <v/>
      </c>
      <c r="O9156" s="7" t="n"/>
    </row>
    <row r="9157">
      <c r="A9157" s="7" t="n"/>
      <c r="B9157" s="7" t="n"/>
      <c r="C9157" s="7" t="n"/>
      <c r="D9157" s="7" t="n"/>
      <c r="E9157" s="7" t="n"/>
      <c r="F9157" s="7" t="n"/>
      <c r="G9157" s="7" t="n"/>
      <c r="H9157" s="7" t="n"/>
      <c r="I9157" s="7" t="n"/>
      <c r="J9157" s="7" t="n"/>
      <c r="K9157">
        <f>IF(D9157="Legitimate Interest (GDPR Art. 6(1)(f))", "Yes / Required (Sheet 3)", "")</f>
        <v/>
      </c>
      <c r="L9157" s="7" t="n"/>
      <c r="M9157" s="7" t="n"/>
      <c r="N9157">
        <f>IF(D9157="", "Gap - No Legal Basis", IF(AND(D9157="Consent (GDPR Art. 6(1)(a))", I9157="Not Captured"), "Gap - Invalid Consent", IF(AND(D9157="Legitimate Interest (GDPR Art. 6(1)(f))", L9157=""), "Gap - Missing LIA", IF(AND(G9157="Yes", H9157=""), "Gap - Missing Art. 9 Basis", IF(OR(I9157="Invalid - Not Freely Given", I9157="Invalid - Not Specific", I9157="Invalid - Not Informed", I9157="Invalid - Ambiguous"), "Gap - Invalid Consent", "Compliant")))))</f>
        <v/>
      </c>
      <c r="O9157" s="7" t="n"/>
    </row>
    <row r="9158">
      <c r="A9158" s="7" t="n"/>
      <c r="B9158" s="7" t="n"/>
      <c r="C9158" s="7" t="n"/>
      <c r="D9158" s="7" t="n"/>
      <c r="E9158" s="7" t="n"/>
      <c r="F9158" s="7" t="n"/>
      <c r="G9158" s="7" t="n"/>
      <c r="H9158" s="7" t="n"/>
      <c r="I9158" s="7" t="n"/>
      <c r="J9158" s="7" t="n"/>
      <c r="K9158">
        <f>IF(D9158="Legitimate Interest (GDPR Art. 6(1)(f))", "Yes / Required (Sheet 3)", "")</f>
        <v/>
      </c>
      <c r="L9158" s="7" t="n"/>
      <c r="M9158" s="7" t="n"/>
      <c r="N9158">
        <f>IF(D9158="", "Gap - No Legal Basis", IF(AND(D9158="Consent (GDPR Art. 6(1)(a))", I9158="Not Captured"), "Gap - Invalid Consent", IF(AND(D9158="Legitimate Interest (GDPR Art. 6(1)(f))", L9158=""), "Gap - Missing LIA", IF(AND(G9158="Yes", H9158=""), "Gap - Missing Art. 9 Basis", IF(OR(I9158="Invalid - Not Freely Given", I9158="Invalid - Not Specific", I9158="Invalid - Not Informed", I9158="Invalid - Ambiguous"), "Gap - Invalid Consent", "Compliant")))))</f>
        <v/>
      </c>
      <c r="O9158" s="7" t="n"/>
    </row>
    <row r="9159">
      <c r="A9159" s="7" t="n"/>
      <c r="B9159" s="7" t="n"/>
      <c r="C9159" s="7" t="n"/>
      <c r="D9159" s="7" t="n"/>
      <c r="E9159" s="7" t="n"/>
      <c r="F9159" s="7" t="n"/>
      <c r="G9159" s="7" t="n"/>
      <c r="H9159" s="7" t="n"/>
      <c r="I9159" s="7" t="n"/>
      <c r="J9159" s="7" t="n"/>
      <c r="K9159">
        <f>IF(D9159="Legitimate Interest (GDPR Art. 6(1)(f))", "Yes / Required (Sheet 3)", "")</f>
        <v/>
      </c>
      <c r="L9159" s="7" t="n"/>
      <c r="M9159" s="7" t="n"/>
      <c r="N9159">
        <f>IF(D9159="", "Gap - No Legal Basis", IF(AND(D9159="Consent (GDPR Art. 6(1)(a))", I9159="Not Captured"), "Gap - Invalid Consent", IF(AND(D9159="Legitimate Interest (GDPR Art. 6(1)(f))", L9159=""), "Gap - Missing LIA", IF(AND(G9159="Yes", H9159=""), "Gap - Missing Art. 9 Basis", IF(OR(I9159="Invalid - Not Freely Given", I9159="Invalid - Not Specific", I9159="Invalid - Not Informed", I9159="Invalid - Ambiguous"), "Gap - Invalid Consent", "Compliant")))))</f>
        <v/>
      </c>
      <c r="O9159" s="7" t="n"/>
    </row>
    <row r="9160">
      <c r="A9160" s="7" t="n"/>
      <c r="B9160" s="7" t="n"/>
      <c r="C9160" s="7" t="n"/>
      <c r="D9160" s="7" t="n"/>
      <c r="E9160" s="7" t="n"/>
      <c r="F9160" s="7" t="n"/>
      <c r="G9160" s="7" t="n"/>
      <c r="H9160" s="7" t="n"/>
      <c r="I9160" s="7" t="n"/>
      <c r="J9160" s="7" t="n"/>
      <c r="K9160">
        <f>IF(D9160="Legitimate Interest (GDPR Art. 6(1)(f))", "Yes / Required (Sheet 3)", "")</f>
        <v/>
      </c>
      <c r="L9160" s="7" t="n"/>
      <c r="M9160" s="7" t="n"/>
      <c r="N9160">
        <f>IF(D9160="", "Gap - No Legal Basis", IF(AND(D9160="Consent (GDPR Art. 6(1)(a))", I9160="Not Captured"), "Gap - Invalid Consent", IF(AND(D9160="Legitimate Interest (GDPR Art. 6(1)(f))", L9160=""), "Gap - Missing LIA", IF(AND(G9160="Yes", H9160=""), "Gap - Missing Art. 9 Basis", IF(OR(I9160="Invalid - Not Freely Given", I9160="Invalid - Not Specific", I9160="Invalid - Not Informed", I9160="Invalid - Ambiguous"), "Gap - Invalid Consent", "Compliant")))))</f>
        <v/>
      </c>
      <c r="O9160" s="7" t="n"/>
    </row>
    <row r="9161">
      <c r="A9161" s="7" t="n"/>
      <c r="B9161" s="7" t="n"/>
      <c r="C9161" s="7" t="n"/>
      <c r="D9161" s="7" t="n"/>
      <c r="E9161" s="7" t="n"/>
      <c r="F9161" s="7" t="n"/>
      <c r="G9161" s="7" t="n"/>
      <c r="H9161" s="7" t="n"/>
      <c r="I9161" s="7" t="n"/>
      <c r="J9161" s="7" t="n"/>
      <c r="K9161">
        <f>IF(D9161="Legitimate Interest (GDPR Art. 6(1)(f))", "Yes / Required (Sheet 3)", "")</f>
        <v/>
      </c>
      <c r="L9161" s="7" t="n"/>
      <c r="M9161" s="7" t="n"/>
      <c r="N9161">
        <f>IF(D9161="", "Gap - No Legal Basis", IF(AND(D9161="Consent (GDPR Art. 6(1)(a))", I9161="Not Captured"), "Gap - Invalid Consent", IF(AND(D9161="Legitimate Interest (GDPR Art. 6(1)(f))", L9161=""), "Gap - Missing LIA", IF(AND(G9161="Yes", H9161=""), "Gap - Missing Art. 9 Basis", IF(OR(I9161="Invalid - Not Freely Given", I9161="Invalid - Not Specific", I9161="Invalid - Not Informed", I9161="Invalid - Ambiguous"), "Gap - Invalid Consent", "Compliant")))))</f>
        <v/>
      </c>
      <c r="O9161" s="7" t="n"/>
    </row>
    <row r="9162">
      <c r="A9162" s="7" t="n"/>
      <c r="B9162" s="7" t="n"/>
      <c r="C9162" s="7" t="n"/>
      <c r="D9162" s="7" t="n"/>
      <c r="E9162" s="7" t="n"/>
      <c r="F9162" s="7" t="n"/>
      <c r="G9162" s="7" t="n"/>
      <c r="H9162" s="7" t="n"/>
      <c r="I9162" s="7" t="n"/>
      <c r="J9162" s="7" t="n"/>
      <c r="K9162">
        <f>IF(D9162="Legitimate Interest (GDPR Art. 6(1)(f))", "Yes / Required (Sheet 3)", "")</f>
        <v/>
      </c>
      <c r="L9162" s="7" t="n"/>
      <c r="M9162" s="7" t="n"/>
      <c r="N9162">
        <f>IF(D9162="", "Gap - No Legal Basis", IF(AND(D9162="Consent (GDPR Art. 6(1)(a))", I9162="Not Captured"), "Gap - Invalid Consent", IF(AND(D9162="Legitimate Interest (GDPR Art. 6(1)(f))", L9162=""), "Gap - Missing LIA", IF(AND(G9162="Yes", H9162=""), "Gap - Missing Art. 9 Basis", IF(OR(I9162="Invalid - Not Freely Given", I9162="Invalid - Not Specific", I9162="Invalid - Not Informed", I9162="Invalid - Ambiguous"), "Gap - Invalid Consent", "Compliant")))))</f>
        <v/>
      </c>
      <c r="O9162" s="7" t="n"/>
    </row>
    <row r="9163">
      <c r="A9163" s="7" t="n"/>
      <c r="B9163" s="7" t="n"/>
      <c r="C9163" s="7" t="n"/>
      <c r="D9163" s="7" t="n"/>
      <c r="E9163" s="7" t="n"/>
      <c r="F9163" s="7" t="n"/>
      <c r="G9163" s="7" t="n"/>
      <c r="H9163" s="7" t="n"/>
      <c r="I9163" s="7" t="n"/>
      <c r="J9163" s="7" t="n"/>
      <c r="K9163">
        <f>IF(D9163="Legitimate Interest (GDPR Art. 6(1)(f))", "Yes / Required (Sheet 3)", "")</f>
        <v/>
      </c>
      <c r="L9163" s="7" t="n"/>
      <c r="M9163" s="7" t="n"/>
      <c r="N9163">
        <f>IF(D9163="", "Gap - No Legal Basis", IF(AND(D9163="Consent (GDPR Art. 6(1)(a))", I9163="Not Captured"), "Gap - Invalid Consent", IF(AND(D9163="Legitimate Interest (GDPR Art. 6(1)(f))", L9163=""), "Gap - Missing LIA", IF(AND(G9163="Yes", H9163=""), "Gap - Missing Art. 9 Basis", IF(OR(I9163="Invalid - Not Freely Given", I9163="Invalid - Not Specific", I9163="Invalid - Not Informed", I9163="Invalid - Ambiguous"), "Gap - Invalid Consent", "Compliant")))))</f>
        <v/>
      </c>
      <c r="O9163" s="7" t="n"/>
    </row>
    <row r="9164">
      <c r="A9164" s="7" t="n"/>
      <c r="B9164" s="7" t="n"/>
      <c r="C9164" s="7" t="n"/>
      <c r="D9164" s="7" t="n"/>
      <c r="E9164" s="7" t="n"/>
      <c r="F9164" s="7" t="n"/>
      <c r="G9164" s="7" t="n"/>
      <c r="H9164" s="7" t="n"/>
      <c r="I9164" s="7" t="n"/>
      <c r="J9164" s="7" t="n"/>
      <c r="K9164">
        <f>IF(D9164="Legitimate Interest (GDPR Art. 6(1)(f))", "Yes / Required (Sheet 3)", "")</f>
        <v/>
      </c>
      <c r="L9164" s="7" t="n"/>
      <c r="M9164" s="7" t="n"/>
      <c r="N9164">
        <f>IF(D9164="", "Gap - No Legal Basis", IF(AND(D9164="Consent (GDPR Art. 6(1)(a))", I9164="Not Captured"), "Gap - Invalid Consent", IF(AND(D9164="Legitimate Interest (GDPR Art. 6(1)(f))", L9164=""), "Gap - Missing LIA", IF(AND(G9164="Yes", H9164=""), "Gap - Missing Art. 9 Basis", IF(OR(I9164="Invalid - Not Freely Given", I9164="Invalid - Not Specific", I9164="Invalid - Not Informed", I9164="Invalid - Ambiguous"), "Gap - Invalid Consent", "Compliant")))))</f>
        <v/>
      </c>
      <c r="O9164" s="7" t="n"/>
    </row>
    <row r="9165">
      <c r="A9165" s="7" t="n"/>
      <c r="B9165" s="7" t="n"/>
      <c r="C9165" s="7" t="n"/>
      <c r="D9165" s="7" t="n"/>
      <c r="E9165" s="7" t="n"/>
      <c r="F9165" s="7" t="n"/>
      <c r="G9165" s="7" t="n"/>
      <c r="H9165" s="7" t="n"/>
      <c r="I9165" s="7" t="n"/>
      <c r="J9165" s="7" t="n"/>
      <c r="K9165">
        <f>IF(D9165="Legitimate Interest (GDPR Art. 6(1)(f))", "Yes / Required (Sheet 3)", "")</f>
        <v/>
      </c>
      <c r="L9165" s="7" t="n"/>
      <c r="M9165" s="7" t="n"/>
      <c r="N9165">
        <f>IF(D9165="", "Gap - No Legal Basis", IF(AND(D9165="Consent (GDPR Art. 6(1)(a))", I9165="Not Captured"), "Gap - Invalid Consent", IF(AND(D9165="Legitimate Interest (GDPR Art. 6(1)(f))", L9165=""), "Gap - Missing LIA", IF(AND(G9165="Yes", H9165=""), "Gap - Missing Art. 9 Basis", IF(OR(I9165="Invalid - Not Freely Given", I9165="Invalid - Not Specific", I9165="Invalid - Not Informed", I9165="Invalid - Ambiguous"), "Gap - Invalid Consent", "Compliant")))))</f>
        <v/>
      </c>
      <c r="O9165" s="7" t="n"/>
    </row>
    <row r="9166">
      <c r="A9166" s="7" t="n"/>
      <c r="B9166" s="7" t="n"/>
      <c r="C9166" s="7" t="n"/>
      <c r="D9166" s="7" t="n"/>
      <c r="E9166" s="7" t="n"/>
      <c r="F9166" s="7" t="n"/>
      <c r="G9166" s="7" t="n"/>
      <c r="H9166" s="7" t="n"/>
      <c r="I9166" s="7" t="n"/>
      <c r="J9166" s="7" t="n"/>
      <c r="K9166">
        <f>IF(D9166="Legitimate Interest (GDPR Art. 6(1)(f))", "Yes / Required (Sheet 3)", "")</f>
        <v/>
      </c>
      <c r="L9166" s="7" t="n"/>
      <c r="M9166" s="7" t="n"/>
      <c r="N9166">
        <f>IF(D9166="", "Gap - No Legal Basis", IF(AND(D9166="Consent (GDPR Art. 6(1)(a))", I9166="Not Captured"), "Gap - Invalid Consent", IF(AND(D9166="Legitimate Interest (GDPR Art. 6(1)(f))", L9166=""), "Gap - Missing LIA", IF(AND(G9166="Yes", H9166=""), "Gap - Missing Art. 9 Basis", IF(OR(I9166="Invalid - Not Freely Given", I9166="Invalid - Not Specific", I9166="Invalid - Not Informed", I9166="Invalid - Ambiguous"), "Gap - Invalid Consent", "Compliant")))))</f>
        <v/>
      </c>
      <c r="O9166" s="7" t="n"/>
    </row>
    <row r="9167">
      <c r="A9167" s="7" t="n"/>
      <c r="B9167" s="7" t="n"/>
      <c r="C9167" s="7" t="n"/>
      <c r="D9167" s="7" t="n"/>
      <c r="E9167" s="7" t="n"/>
      <c r="F9167" s="7" t="n"/>
      <c r="G9167" s="7" t="n"/>
      <c r="H9167" s="7" t="n"/>
      <c r="I9167" s="7" t="n"/>
      <c r="J9167" s="7" t="n"/>
      <c r="K9167">
        <f>IF(D9167="Legitimate Interest (GDPR Art. 6(1)(f))", "Yes / Required (Sheet 3)", "")</f>
        <v/>
      </c>
      <c r="L9167" s="7" t="n"/>
      <c r="M9167" s="7" t="n"/>
      <c r="N9167">
        <f>IF(D9167="", "Gap - No Legal Basis", IF(AND(D9167="Consent (GDPR Art. 6(1)(a))", I9167="Not Captured"), "Gap - Invalid Consent", IF(AND(D9167="Legitimate Interest (GDPR Art. 6(1)(f))", L9167=""), "Gap - Missing LIA", IF(AND(G9167="Yes", H9167=""), "Gap - Missing Art. 9 Basis", IF(OR(I9167="Invalid - Not Freely Given", I9167="Invalid - Not Specific", I9167="Invalid - Not Informed", I9167="Invalid - Ambiguous"), "Gap - Invalid Consent", "Compliant")))))</f>
        <v/>
      </c>
      <c r="O9167" s="7" t="n"/>
    </row>
    <row r="9168">
      <c r="A9168" s="7" t="n"/>
      <c r="B9168" s="7" t="n"/>
      <c r="C9168" s="7" t="n"/>
      <c r="D9168" s="7" t="n"/>
      <c r="E9168" s="7" t="n"/>
      <c r="F9168" s="7" t="n"/>
      <c r="G9168" s="7" t="n"/>
      <c r="H9168" s="7" t="n"/>
      <c r="I9168" s="7" t="n"/>
      <c r="J9168" s="7" t="n"/>
      <c r="K9168">
        <f>IF(D9168="Legitimate Interest (GDPR Art. 6(1)(f))", "Yes / Required (Sheet 3)", "")</f>
        <v/>
      </c>
      <c r="L9168" s="7" t="n"/>
      <c r="M9168" s="7" t="n"/>
      <c r="N9168">
        <f>IF(D9168="", "Gap - No Legal Basis", IF(AND(D9168="Consent (GDPR Art. 6(1)(a))", I9168="Not Captured"), "Gap - Invalid Consent", IF(AND(D9168="Legitimate Interest (GDPR Art. 6(1)(f))", L9168=""), "Gap - Missing LIA", IF(AND(G9168="Yes", H9168=""), "Gap - Missing Art. 9 Basis", IF(OR(I9168="Invalid - Not Freely Given", I9168="Invalid - Not Specific", I9168="Invalid - Not Informed", I9168="Invalid - Ambiguous"), "Gap - Invalid Consent", "Compliant")))))</f>
        <v/>
      </c>
      <c r="O9168" s="7" t="n"/>
    </row>
    <row r="9169">
      <c r="A9169" s="7" t="n"/>
      <c r="B9169" s="7" t="n"/>
      <c r="C9169" s="7" t="n"/>
      <c r="D9169" s="7" t="n"/>
      <c r="E9169" s="7" t="n"/>
      <c r="F9169" s="7" t="n"/>
      <c r="G9169" s="7" t="n"/>
      <c r="H9169" s="7" t="n"/>
      <c r="I9169" s="7" t="n"/>
      <c r="J9169" s="7" t="n"/>
      <c r="K9169">
        <f>IF(D9169="Legitimate Interest (GDPR Art. 6(1)(f))", "Yes / Required (Sheet 3)", "")</f>
        <v/>
      </c>
      <c r="L9169" s="7" t="n"/>
      <c r="M9169" s="7" t="n"/>
      <c r="N9169">
        <f>IF(D9169="", "Gap - No Legal Basis", IF(AND(D9169="Consent (GDPR Art. 6(1)(a))", I9169="Not Captured"), "Gap - Invalid Consent", IF(AND(D9169="Legitimate Interest (GDPR Art. 6(1)(f))", L9169=""), "Gap - Missing LIA", IF(AND(G9169="Yes", H9169=""), "Gap - Missing Art. 9 Basis", IF(OR(I9169="Invalid - Not Freely Given", I9169="Invalid - Not Specific", I9169="Invalid - Not Informed", I9169="Invalid - Ambiguous"), "Gap - Invalid Consent", "Compliant")))))</f>
        <v/>
      </c>
      <c r="O9169" s="7" t="n"/>
    </row>
    <row r="9170">
      <c r="A9170" s="7" t="n"/>
      <c r="B9170" s="7" t="n"/>
      <c r="C9170" s="7" t="n"/>
      <c r="D9170" s="7" t="n"/>
      <c r="E9170" s="7" t="n"/>
      <c r="F9170" s="7" t="n"/>
      <c r="G9170" s="7" t="n"/>
      <c r="H9170" s="7" t="n"/>
      <c r="I9170" s="7" t="n"/>
      <c r="J9170" s="7" t="n"/>
      <c r="K9170">
        <f>IF(D9170="Legitimate Interest (GDPR Art. 6(1)(f))", "Yes / Required (Sheet 3)", "")</f>
        <v/>
      </c>
      <c r="L9170" s="7" t="n"/>
      <c r="M9170" s="7" t="n"/>
      <c r="N9170">
        <f>IF(D9170="", "Gap - No Legal Basis", IF(AND(D9170="Consent (GDPR Art. 6(1)(a))", I9170="Not Captured"), "Gap - Invalid Consent", IF(AND(D9170="Legitimate Interest (GDPR Art. 6(1)(f))", L9170=""), "Gap - Missing LIA", IF(AND(G9170="Yes", H9170=""), "Gap - Missing Art. 9 Basis", IF(OR(I9170="Invalid - Not Freely Given", I9170="Invalid - Not Specific", I9170="Invalid - Not Informed", I9170="Invalid - Ambiguous"), "Gap - Invalid Consent", "Compliant")))))</f>
        <v/>
      </c>
      <c r="O9170" s="7" t="n"/>
    </row>
    <row r="9171">
      <c r="A9171" s="7" t="n"/>
      <c r="B9171" s="7" t="n"/>
      <c r="C9171" s="7" t="n"/>
      <c r="D9171" s="7" t="n"/>
      <c r="E9171" s="7" t="n"/>
      <c r="F9171" s="7" t="n"/>
      <c r="G9171" s="7" t="n"/>
      <c r="H9171" s="7" t="n"/>
      <c r="I9171" s="7" t="n"/>
      <c r="J9171" s="7" t="n"/>
      <c r="K9171">
        <f>IF(D9171="Legitimate Interest (GDPR Art. 6(1)(f))", "Yes / Required (Sheet 3)", "")</f>
        <v/>
      </c>
      <c r="L9171" s="7" t="n"/>
      <c r="M9171" s="7" t="n"/>
      <c r="N9171">
        <f>IF(D9171="", "Gap - No Legal Basis", IF(AND(D9171="Consent (GDPR Art. 6(1)(a))", I9171="Not Captured"), "Gap - Invalid Consent", IF(AND(D9171="Legitimate Interest (GDPR Art. 6(1)(f))", L9171=""), "Gap - Missing LIA", IF(AND(G9171="Yes", H9171=""), "Gap - Missing Art. 9 Basis", IF(OR(I9171="Invalid - Not Freely Given", I9171="Invalid - Not Specific", I9171="Invalid - Not Informed", I9171="Invalid - Ambiguous"), "Gap - Invalid Consent", "Compliant")))))</f>
        <v/>
      </c>
      <c r="O9171" s="7" t="n"/>
    </row>
    <row r="9172">
      <c r="A9172" s="7" t="n"/>
      <c r="B9172" s="7" t="n"/>
      <c r="C9172" s="7" t="n"/>
      <c r="D9172" s="7" t="n"/>
      <c r="E9172" s="7" t="n"/>
      <c r="F9172" s="7" t="n"/>
      <c r="G9172" s="7" t="n"/>
      <c r="H9172" s="7" t="n"/>
      <c r="I9172" s="7" t="n"/>
      <c r="J9172" s="7" t="n"/>
      <c r="K9172">
        <f>IF(D9172="Legitimate Interest (GDPR Art. 6(1)(f))", "Yes / Required (Sheet 3)", "")</f>
        <v/>
      </c>
      <c r="L9172" s="7" t="n"/>
      <c r="M9172" s="7" t="n"/>
      <c r="N9172">
        <f>IF(D9172="", "Gap - No Legal Basis", IF(AND(D9172="Consent (GDPR Art. 6(1)(a))", I9172="Not Captured"), "Gap - Invalid Consent", IF(AND(D9172="Legitimate Interest (GDPR Art. 6(1)(f))", L9172=""), "Gap - Missing LIA", IF(AND(G9172="Yes", H9172=""), "Gap - Missing Art. 9 Basis", IF(OR(I9172="Invalid - Not Freely Given", I9172="Invalid - Not Specific", I9172="Invalid - Not Informed", I9172="Invalid - Ambiguous"), "Gap - Invalid Consent", "Compliant")))))</f>
        <v/>
      </c>
      <c r="O9172" s="7" t="n"/>
    </row>
    <row r="9173">
      <c r="A9173" s="7" t="n"/>
      <c r="B9173" s="7" t="n"/>
      <c r="C9173" s="7" t="n"/>
      <c r="D9173" s="7" t="n"/>
      <c r="E9173" s="7" t="n"/>
      <c r="F9173" s="7" t="n"/>
      <c r="G9173" s="7" t="n"/>
      <c r="H9173" s="7" t="n"/>
      <c r="I9173" s="7" t="n"/>
      <c r="J9173" s="7" t="n"/>
      <c r="K9173">
        <f>IF(D9173="Legitimate Interest (GDPR Art. 6(1)(f))", "Yes / Required (Sheet 3)", "")</f>
        <v/>
      </c>
      <c r="L9173" s="7" t="n"/>
      <c r="M9173" s="7" t="n"/>
      <c r="N9173">
        <f>IF(D9173="", "Gap - No Legal Basis", IF(AND(D9173="Consent (GDPR Art. 6(1)(a))", I9173="Not Captured"), "Gap - Invalid Consent", IF(AND(D9173="Legitimate Interest (GDPR Art. 6(1)(f))", L9173=""), "Gap - Missing LIA", IF(AND(G9173="Yes", H9173=""), "Gap - Missing Art. 9 Basis", IF(OR(I9173="Invalid - Not Freely Given", I9173="Invalid - Not Specific", I9173="Invalid - Not Informed", I9173="Invalid - Ambiguous"), "Gap - Invalid Consent", "Compliant")))))</f>
        <v/>
      </c>
      <c r="O9173" s="7" t="n"/>
    </row>
    <row r="9174">
      <c r="A9174" s="7" t="n"/>
      <c r="B9174" s="7" t="n"/>
      <c r="C9174" s="7" t="n"/>
      <c r="D9174" s="7" t="n"/>
      <c r="E9174" s="7" t="n"/>
      <c r="F9174" s="7" t="n"/>
      <c r="G9174" s="7" t="n"/>
      <c r="H9174" s="7" t="n"/>
      <c r="I9174" s="7" t="n"/>
      <c r="J9174" s="7" t="n"/>
      <c r="K9174">
        <f>IF(D9174="Legitimate Interest (GDPR Art. 6(1)(f))", "Yes / Required (Sheet 3)", "")</f>
        <v/>
      </c>
      <c r="L9174" s="7" t="n"/>
      <c r="M9174" s="7" t="n"/>
      <c r="N9174">
        <f>IF(D9174="", "Gap - No Legal Basis", IF(AND(D9174="Consent (GDPR Art. 6(1)(a))", I9174="Not Captured"), "Gap - Invalid Consent", IF(AND(D9174="Legitimate Interest (GDPR Art. 6(1)(f))", L9174=""), "Gap - Missing LIA", IF(AND(G9174="Yes", H9174=""), "Gap - Missing Art. 9 Basis", IF(OR(I9174="Invalid - Not Freely Given", I9174="Invalid - Not Specific", I9174="Invalid - Not Informed", I9174="Invalid - Ambiguous"), "Gap - Invalid Consent", "Compliant")))))</f>
        <v/>
      </c>
      <c r="O9174" s="7" t="n"/>
    </row>
    <row r="9175">
      <c r="A9175" s="7" t="n"/>
      <c r="B9175" s="7" t="n"/>
      <c r="C9175" s="7" t="n"/>
      <c r="D9175" s="7" t="n"/>
      <c r="E9175" s="7" t="n"/>
      <c r="F9175" s="7" t="n"/>
      <c r="G9175" s="7" t="n"/>
      <c r="H9175" s="7" t="n"/>
      <c r="I9175" s="7" t="n"/>
      <c r="J9175" s="7" t="n"/>
      <c r="K9175">
        <f>IF(D9175="Legitimate Interest (GDPR Art. 6(1)(f))", "Yes / Required (Sheet 3)", "")</f>
        <v/>
      </c>
      <c r="L9175" s="7" t="n"/>
      <c r="M9175" s="7" t="n"/>
      <c r="N9175">
        <f>IF(D9175="", "Gap - No Legal Basis", IF(AND(D9175="Consent (GDPR Art. 6(1)(a))", I9175="Not Captured"), "Gap - Invalid Consent", IF(AND(D9175="Legitimate Interest (GDPR Art. 6(1)(f))", L9175=""), "Gap - Missing LIA", IF(AND(G9175="Yes", H9175=""), "Gap - Missing Art. 9 Basis", IF(OR(I9175="Invalid - Not Freely Given", I9175="Invalid - Not Specific", I9175="Invalid - Not Informed", I9175="Invalid - Ambiguous"), "Gap - Invalid Consent", "Compliant")))))</f>
        <v/>
      </c>
      <c r="O9175" s="7" t="n"/>
    </row>
    <row r="9176">
      <c r="A9176" s="7" t="n"/>
      <c r="B9176" s="7" t="n"/>
      <c r="C9176" s="7" t="n"/>
      <c r="D9176" s="7" t="n"/>
      <c r="E9176" s="7" t="n"/>
      <c r="F9176" s="7" t="n"/>
      <c r="G9176" s="7" t="n"/>
      <c r="H9176" s="7" t="n"/>
      <c r="I9176" s="7" t="n"/>
      <c r="J9176" s="7" t="n"/>
      <c r="K9176">
        <f>IF(D9176="Legitimate Interest (GDPR Art. 6(1)(f))", "Yes / Required (Sheet 3)", "")</f>
        <v/>
      </c>
      <c r="L9176" s="7" t="n"/>
      <c r="M9176" s="7" t="n"/>
      <c r="N9176">
        <f>IF(D9176="", "Gap - No Legal Basis", IF(AND(D9176="Consent (GDPR Art. 6(1)(a))", I9176="Not Captured"), "Gap - Invalid Consent", IF(AND(D9176="Legitimate Interest (GDPR Art. 6(1)(f))", L9176=""), "Gap - Missing LIA", IF(AND(G9176="Yes", H9176=""), "Gap - Missing Art. 9 Basis", IF(OR(I9176="Invalid - Not Freely Given", I9176="Invalid - Not Specific", I9176="Invalid - Not Informed", I9176="Invalid - Ambiguous"), "Gap - Invalid Consent", "Compliant")))))</f>
        <v/>
      </c>
      <c r="O9176" s="7" t="n"/>
    </row>
    <row r="9177">
      <c r="A9177" s="7" t="n"/>
      <c r="B9177" s="7" t="n"/>
      <c r="C9177" s="7" t="n"/>
      <c r="D9177" s="7" t="n"/>
      <c r="E9177" s="7" t="n"/>
      <c r="F9177" s="7" t="n"/>
      <c r="G9177" s="7" t="n"/>
      <c r="H9177" s="7" t="n"/>
      <c r="I9177" s="7" t="n"/>
      <c r="J9177" s="7" t="n"/>
      <c r="K9177">
        <f>IF(D9177="Legitimate Interest (GDPR Art. 6(1)(f))", "Yes / Required (Sheet 3)", "")</f>
        <v/>
      </c>
      <c r="L9177" s="7" t="n"/>
      <c r="M9177" s="7" t="n"/>
      <c r="N9177">
        <f>IF(D9177="", "Gap - No Legal Basis", IF(AND(D9177="Consent (GDPR Art. 6(1)(a))", I9177="Not Captured"), "Gap - Invalid Consent", IF(AND(D9177="Legitimate Interest (GDPR Art. 6(1)(f))", L9177=""), "Gap - Missing LIA", IF(AND(G9177="Yes", H9177=""), "Gap - Missing Art. 9 Basis", IF(OR(I9177="Invalid - Not Freely Given", I9177="Invalid - Not Specific", I9177="Invalid - Not Informed", I9177="Invalid - Ambiguous"), "Gap - Invalid Consent", "Compliant")))))</f>
        <v/>
      </c>
      <c r="O9177" s="7" t="n"/>
    </row>
    <row r="9178">
      <c r="A9178" s="7" t="n"/>
      <c r="B9178" s="7" t="n"/>
      <c r="C9178" s="7" t="n"/>
      <c r="D9178" s="7" t="n"/>
      <c r="E9178" s="7" t="n"/>
      <c r="F9178" s="7" t="n"/>
      <c r="G9178" s="7" t="n"/>
      <c r="H9178" s="7" t="n"/>
      <c r="I9178" s="7" t="n"/>
      <c r="J9178" s="7" t="n"/>
      <c r="K9178">
        <f>IF(D9178="Legitimate Interest (GDPR Art. 6(1)(f))", "Yes / Required (Sheet 3)", "")</f>
        <v/>
      </c>
      <c r="L9178" s="7" t="n"/>
      <c r="M9178" s="7" t="n"/>
      <c r="N9178">
        <f>IF(D9178="", "Gap - No Legal Basis", IF(AND(D9178="Consent (GDPR Art. 6(1)(a))", I9178="Not Captured"), "Gap - Invalid Consent", IF(AND(D9178="Legitimate Interest (GDPR Art. 6(1)(f))", L9178=""), "Gap - Missing LIA", IF(AND(G9178="Yes", H9178=""), "Gap - Missing Art. 9 Basis", IF(OR(I9178="Invalid - Not Freely Given", I9178="Invalid - Not Specific", I9178="Invalid - Not Informed", I9178="Invalid - Ambiguous"), "Gap - Invalid Consent", "Compliant")))))</f>
        <v/>
      </c>
      <c r="O9178" s="7" t="n"/>
    </row>
    <row r="9179">
      <c r="A9179" s="7" t="n"/>
      <c r="B9179" s="7" t="n"/>
      <c r="C9179" s="7" t="n"/>
      <c r="D9179" s="7" t="n"/>
      <c r="E9179" s="7" t="n"/>
      <c r="F9179" s="7" t="n"/>
      <c r="G9179" s="7" t="n"/>
      <c r="H9179" s="7" t="n"/>
      <c r="I9179" s="7" t="n"/>
      <c r="J9179" s="7" t="n"/>
      <c r="K9179">
        <f>IF(D9179="Legitimate Interest (GDPR Art. 6(1)(f))", "Yes / Required (Sheet 3)", "")</f>
        <v/>
      </c>
      <c r="L9179" s="7" t="n"/>
      <c r="M9179" s="7" t="n"/>
      <c r="N9179">
        <f>IF(D9179="", "Gap - No Legal Basis", IF(AND(D9179="Consent (GDPR Art. 6(1)(a))", I9179="Not Captured"), "Gap - Invalid Consent", IF(AND(D9179="Legitimate Interest (GDPR Art. 6(1)(f))", L9179=""), "Gap - Missing LIA", IF(AND(G9179="Yes", H9179=""), "Gap - Missing Art. 9 Basis", IF(OR(I9179="Invalid - Not Freely Given", I9179="Invalid - Not Specific", I9179="Invalid - Not Informed", I9179="Invalid - Ambiguous"), "Gap - Invalid Consent", "Compliant")))))</f>
        <v/>
      </c>
      <c r="O9179" s="7" t="n"/>
    </row>
    <row r="9180">
      <c r="A9180" s="7" t="n"/>
      <c r="B9180" s="7" t="n"/>
      <c r="C9180" s="7" t="n"/>
      <c r="D9180" s="7" t="n"/>
      <c r="E9180" s="7" t="n"/>
      <c r="F9180" s="7" t="n"/>
      <c r="G9180" s="7" t="n"/>
      <c r="H9180" s="7" t="n"/>
      <c r="I9180" s="7" t="n"/>
      <c r="J9180" s="7" t="n"/>
      <c r="K9180">
        <f>IF(D9180="Legitimate Interest (GDPR Art. 6(1)(f))", "Yes / Required (Sheet 3)", "")</f>
        <v/>
      </c>
      <c r="L9180" s="7" t="n"/>
      <c r="M9180" s="7" t="n"/>
      <c r="N9180">
        <f>IF(D9180="", "Gap - No Legal Basis", IF(AND(D9180="Consent (GDPR Art. 6(1)(a))", I9180="Not Captured"), "Gap - Invalid Consent", IF(AND(D9180="Legitimate Interest (GDPR Art. 6(1)(f))", L9180=""), "Gap - Missing LIA", IF(AND(G9180="Yes", H9180=""), "Gap - Missing Art. 9 Basis", IF(OR(I9180="Invalid - Not Freely Given", I9180="Invalid - Not Specific", I9180="Invalid - Not Informed", I9180="Invalid - Ambiguous"), "Gap - Invalid Consent", "Compliant")))))</f>
        <v/>
      </c>
      <c r="O9180" s="7" t="n"/>
    </row>
    <row r="9181">
      <c r="A9181" s="7" t="n"/>
      <c r="B9181" s="7" t="n"/>
      <c r="C9181" s="7" t="n"/>
      <c r="D9181" s="7" t="n"/>
      <c r="E9181" s="7" t="n"/>
      <c r="F9181" s="7" t="n"/>
      <c r="G9181" s="7" t="n"/>
      <c r="H9181" s="7" t="n"/>
      <c r="I9181" s="7" t="n"/>
      <c r="J9181" s="7" t="n"/>
      <c r="K9181">
        <f>IF(D9181="Legitimate Interest (GDPR Art. 6(1)(f))", "Yes / Required (Sheet 3)", "")</f>
        <v/>
      </c>
      <c r="L9181" s="7" t="n"/>
      <c r="M9181" s="7" t="n"/>
      <c r="N9181">
        <f>IF(D9181="", "Gap - No Legal Basis", IF(AND(D9181="Consent (GDPR Art. 6(1)(a))", I9181="Not Captured"), "Gap - Invalid Consent", IF(AND(D9181="Legitimate Interest (GDPR Art. 6(1)(f))", L9181=""), "Gap - Missing LIA", IF(AND(G9181="Yes", H9181=""), "Gap - Missing Art. 9 Basis", IF(OR(I9181="Invalid - Not Freely Given", I9181="Invalid - Not Specific", I9181="Invalid - Not Informed", I9181="Invalid - Ambiguous"), "Gap - Invalid Consent", "Compliant")))))</f>
        <v/>
      </c>
      <c r="O9181" s="7" t="n"/>
    </row>
    <row r="9182">
      <c r="A9182" s="7" t="n"/>
      <c r="B9182" s="7" t="n"/>
      <c r="C9182" s="7" t="n"/>
      <c r="D9182" s="7" t="n"/>
      <c r="E9182" s="7" t="n"/>
      <c r="F9182" s="7" t="n"/>
      <c r="G9182" s="7" t="n"/>
      <c r="H9182" s="7" t="n"/>
      <c r="I9182" s="7" t="n"/>
      <c r="J9182" s="7" t="n"/>
      <c r="K9182">
        <f>IF(D9182="Legitimate Interest (GDPR Art. 6(1)(f))", "Yes / Required (Sheet 3)", "")</f>
        <v/>
      </c>
      <c r="L9182" s="7" t="n"/>
      <c r="M9182" s="7" t="n"/>
      <c r="N9182">
        <f>IF(D9182="", "Gap - No Legal Basis", IF(AND(D9182="Consent (GDPR Art. 6(1)(a))", I9182="Not Captured"), "Gap - Invalid Consent", IF(AND(D9182="Legitimate Interest (GDPR Art. 6(1)(f))", L9182=""), "Gap - Missing LIA", IF(AND(G9182="Yes", H9182=""), "Gap - Missing Art. 9 Basis", IF(OR(I9182="Invalid - Not Freely Given", I9182="Invalid - Not Specific", I9182="Invalid - Not Informed", I9182="Invalid - Ambiguous"), "Gap - Invalid Consent", "Compliant")))))</f>
        <v/>
      </c>
      <c r="O9182" s="7" t="n"/>
    </row>
    <row r="9183">
      <c r="A9183" s="7" t="n"/>
      <c r="B9183" s="7" t="n"/>
      <c r="C9183" s="7" t="n"/>
      <c r="D9183" s="7" t="n"/>
      <c r="E9183" s="7" t="n"/>
      <c r="F9183" s="7" t="n"/>
      <c r="G9183" s="7" t="n"/>
      <c r="H9183" s="7" t="n"/>
      <c r="I9183" s="7" t="n"/>
      <c r="J9183" s="7" t="n"/>
      <c r="K9183">
        <f>IF(D9183="Legitimate Interest (GDPR Art. 6(1)(f))", "Yes / Required (Sheet 3)", "")</f>
        <v/>
      </c>
      <c r="L9183" s="7" t="n"/>
      <c r="M9183" s="7" t="n"/>
      <c r="N9183">
        <f>IF(D9183="", "Gap - No Legal Basis", IF(AND(D9183="Consent (GDPR Art. 6(1)(a))", I9183="Not Captured"), "Gap - Invalid Consent", IF(AND(D9183="Legitimate Interest (GDPR Art. 6(1)(f))", L9183=""), "Gap - Missing LIA", IF(AND(G9183="Yes", H9183=""), "Gap - Missing Art. 9 Basis", IF(OR(I9183="Invalid - Not Freely Given", I9183="Invalid - Not Specific", I9183="Invalid - Not Informed", I9183="Invalid - Ambiguous"), "Gap - Invalid Consent", "Compliant")))))</f>
        <v/>
      </c>
      <c r="O9183" s="7" t="n"/>
    </row>
    <row r="9184">
      <c r="A9184" s="7" t="n"/>
      <c r="B9184" s="7" t="n"/>
      <c r="C9184" s="7" t="n"/>
      <c r="D9184" s="7" t="n"/>
      <c r="E9184" s="7" t="n"/>
      <c r="F9184" s="7" t="n"/>
      <c r="G9184" s="7" t="n"/>
      <c r="H9184" s="7" t="n"/>
      <c r="I9184" s="7" t="n"/>
      <c r="J9184" s="7" t="n"/>
      <c r="K9184">
        <f>IF(D9184="Legitimate Interest (GDPR Art. 6(1)(f))", "Yes / Required (Sheet 3)", "")</f>
        <v/>
      </c>
      <c r="L9184" s="7" t="n"/>
      <c r="M9184" s="7" t="n"/>
      <c r="N9184">
        <f>IF(D9184="", "Gap - No Legal Basis", IF(AND(D9184="Consent (GDPR Art. 6(1)(a))", I9184="Not Captured"), "Gap - Invalid Consent", IF(AND(D9184="Legitimate Interest (GDPR Art. 6(1)(f))", L9184=""), "Gap - Missing LIA", IF(AND(G9184="Yes", H9184=""), "Gap - Missing Art. 9 Basis", IF(OR(I9184="Invalid - Not Freely Given", I9184="Invalid - Not Specific", I9184="Invalid - Not Informed", I9184="Invalid - Ambiguous"), "Gap - Invalid Consent", "Compliant")))))</f>
        <v/>
      </c>
      <c r="O9184" s="7" t="n"/>
    </row>
    <row r="9185">
      <c r="A9185" s="7" t="n"/>
      <c r="B9185" s="7" t="n"/>
      <c r="C9185" s="7" t="n"/>
      <c r="D9185" s="7" t="n"/>
      <c r="E9185" s="7" t="n"/>
      <c r="F9185" s="7" t="n"/>
      <c r="G9185" s="7" t="n"/>
      <c r="H9185" s="7" t="n"/>
      <c r="I9185" s="7" t="n"/>
      <c r="J9185" s="7" t="n"/>
      <c r="K9185">
        <f>IF(D9185="Legitimate Interest (GDPR Art. 6(1)(f))", "Yes / Required (Sheet 3)", "")</f>
        <v/>
      </c>
      <c r="L9185" s="7" t="n"/>
      <c r="M9185" s="7" t="n"/>
      <c r="N9185">
        <f>IF(D9185="", "Gap - No Legal Basis", IF(AND(D9185="Consent (GDPR Art. 6(1)(a))", I9185="Not Captured"), "Gap - Invalid Consent", IF(AND(D9185="Legitimate Interest (GDPR Art. 6(1)(f))", L9185=""), "Gap - Missing LIA", IF(AND(G9185="Yes", H9185=""), "Gap - Missing Art. 9 Basis", IF(OR(I9185="Invalid - Not Freely Given", I9185="Invalid - Not Specific", I9185="Invalid - Not Informed", I9185="Invalid - Ambiguous"), "Gap - Invalid Consent", "Compliant")))))</f>
        <v/>
      </c>
      <c r="O9185" s="7" t="n"/>
    </row>
    <row r="9186">
      <c r="A9186" s="7" t="n"/>
      <c r="B9186" s="7" t="n"/>
      <c r="C9186" s="7" t="n"/>
      <c r="D9186" s="7" t="n"/>
      <c r="E9186" s="7" t="n"/>
      <c r="F9186" s="7" t="n"/>
      <c r="G9186" s="7" t="n"/>
      <c r="H9186" s="7" t="n"/>
      <c r="I9186" s="7" t="n"/>
      <c r="J9186" s="7" t="n"/>
      <c r="K9186">
        <f>IF(D9186="Legitimate Interest (GDPR Art. 6(1)(f))", "Yes / Required (Sheet 3)", "")</f>
        <v/>
      </c>
      <c r="L9186" s="7" t="n"/>
      <c r="M9186" s="7" t="n"/>
      <c r="N9186">
        <f>IF(D9186="", "Gap - No Legal Basis", IF(AND(D9186="Consent (GDPR Art. 6(1)(a))", I9186="Not Captured"), "Gap - Invalid Consent", IF(AND(D9186="Legitimate Interest (GDPR Art. 6(1)(f))", L9186=""), "Gap - Missing LIA", IF(AND(G9186="Yes", H9186=""), "Gap - Missing Art. 9 Basis", IF(OR(I9186="Invalid - Not Freely Given", I9186="Invalid - Not Specific", I9186="Invalid - Not Informed", I9186="Invalid - Ambiguous"), "Gap - Invalid Consent", "Compliant")))))</f>
        <v/>
      </c>
      <c r="O9186" s="7" t="n"/>
    </row>
    <row r="9187">
      <c r="A9187" s="7" t="n"/>
      <c r="B9187" s="7" t="n"/>
      <c r="C9187" s="7" t="n"/>
      <c r="D9187" s="7" t="n"/>
      <c r="E9187" s="7" t="n"/>
      <c r="F9187" s="7" t="n"/>
      <c r="G9187" s="7" t="n"/>
      <c r="H9187" s="7" t="n"/>
      <c r="I9187" s="7" t="n"/>
      <c r="J9187" s="7" t="n"/>
      <c r="K9187">
        <f>IF(D9187="Legitimate Interest (GDPR Art. 6(1)(f))", "Yes / Required (Sheet 3)", "")</f>
        <v/>
      </c>
      <c r="L9187" s="7" t="n"/>
      <c r="M9187" s="7" t="n"/>
      <c r="N9187">
        <f>IF(D9187="", "Gap - No Legal Basis", IF(AND(D9187="Consent (GDPR Art. 6(1)(a))", I9187="Not Captured"), "Gap - Invalid Consent", IF(AND(D9187="Legitimate Interest (GDPR Art. 6(1)(f))", L9187=""), "Gap - Missing LIA", IF(AND(G9187="Yes", H9187=""), "Gap - Missing Art. 9 Basis", IF(OR(I9187="Invalid - Not Freely Given", I9187="Invalid - Not Specific", I9187="Invalid - Not Informed", I9187="Invalid - Ambiguous"), "Gap - Invalid Consent", "Compliant")))))</f>
        <v/>
      </c>
      <c r="O9187" s="7" t="n"/>
    </row>
    <row r="9188">
      <c r="A9188" s="7" t="n"/>
      <c r="B9188" s="7" t="n"/>
      <c r="C9188" s="7" t="n"/>
      <c r="D9188" s="7" t="n"/>
      <c r="E9188" s="7" t="n"/>
      <c r="F9188" s="7" t="n"/>
      <c r="G9188" s="7" t="n"/>
      <c r="H9188" s="7" t="n"/>
      <c r="I9188" s="7" t="n"/>
      <c r="J9188" s="7" t="n"/>
      <c r="K9188">
        <f>IF(D9188="Legitimate Interest (GDPR Art. 6(1)(f))", "Yes / Required (Sheet 3)", "")</f>
        <v/>
      </c>
      <c r="L9188" s="7" t="n"/>
      <c r="M9188" s="7" t="n"/>
      <c r="N9188">
        <f>IF(D9188="", "Gap - No Legal Basis", IF(AND(D9188="Consent (GDPR Art. 6(1)(a))", I9188="Not Captured"), "Gap - Invalid Consent", IF(AND(D9188="Legitimate Interest (GDPR Art. 6(1)(f))", L9188=""), "Gap - Missing LIA", IF(AND(G9188="Yes", H9188=""), "Gap - Missing Art. 9 Basis", IF(OR(I9188="Invalid - Not Freely Given", I9188="Invalid - Not Specific", I9188="Invalid - Not Informed", I9188="Invalid - Ambiguous"), "Gap - Invalid Consent", "Compliant")))))</f>
        <v/>
      </c>
      <c r="O9188" s="7" t="n"/>
    </row>
    <row r="9189">
      <c r="A9189" s="7" t="n"/>
      <c r="B9189" s="7" t="n"/>
      <c r="C9189" s="7" t="n"/>
      <c r="D9189" s="7" t="n"/>
      <c r="E9189" s="7" t="n"/>
      <c r="F9189" s="7" t="n"/>
      <c r="G9189" s="7" t="n"/>
      <c r="H9189" s="7" t="n"/>
      <c r="I9189" s="7" t="n"/>
      <c r="J9189" s="7" t="n"/>
      <c r="K9189">
        <f>IF(D9189="Legitimate Interest (GDPR Art. 6(1)(f))", "Yes / Required (Sheet 3)", "")</f>
        <v/>
      </c>
      <c r="L9189" s="7" t="n"/>
      <c r="M9189" s="7" t="n"/>
      <c r="N9189">
        <f>IF(D9189="", "Gap - No Legal Basis", IF(AND(D9189="Consent (GDPR Art. 6(1)(a))", I9189="Not Captured"), "Gap - Invalid Consent", IF(AND(D9189="Legitimate Interest (GDPR Art. 6(1)(f))", L9189=""), "Gap - Missing LIA", IF(AND(G9189="Yes", H9189=""), "Gap - Missing Art. 9 Basis", IF(OR(I9189="Invalid - Not Freely Given", I9189="Invalid - Not Specific", I9189="Invalid - Not Informed", I9189="Invalid - Ambiguous"), "Gap - Invalid Consent", "Compliant")))))</f>
        <v/>
      </c>
      <c r="O9189" s="7" t="n"/>
    </row>
    <row r="9190">
      <c r="A9190" s="7" t="n"/>
      <c r="B9190" s="7" t="n"/>
      <c r="C9190" s="7" t="n"/>
      <c r="D9190" s="7" t="n"/>
      <c r="E9190" s="7" t="n"/>
      <c r="F9190" s="7" t="n"/>
      <c r="G9190" s="7" t="n"/>
      <c r="H9190" s="7" t="n"/>
      <c r="I9190" s="7" t="n"/>
      <c r="J9190" s="7" t="n"/>
      <c r="K9190">
        <f>IF(D9190="Legitimate Interest (GDPR Art. 6(1)(f))", "Yes / Required (Sheet 3)", "")</f>
        <v/>
      </c>
      <c r="L9190" s="7" t="n"/>
      <c r="M9190" s="7" t="n"/>
      <c r="N9190">
        <f>IF(D9190="", "Gap - No Legal Basis", IF(AND(D9190="Consent (GDPR Art. 6(1)(a))", I9190="Not Captured"), "Gap - Invalid Consent", IF(AND(D9190="Legitimate Interest (GDPR Art. 6(1)(f))", L9190=""), "Gap - Missing LIA", IF(AND(G9190="Yes", H9190=""), "Gap - Missing Art. 9 Basis", IF(OR(I9190="Invalid - Not Freely Given", I9190="Invalid - Not Specific", I9190="Invalid - Not Informed", I9190="Invalid - Ambiguous"), "Gap - Invalid Consent", "Compliant")))))</f>
        <v/>
      </c>
      <c r="O9190" s="7" t="n"/>
    </row>
    <row r="9191">
      <c r="A9191" s="7" t="n"/>
      <c r="B9191" s="7" t="n"/>
      <c r="C9191" s="7" t="n"/>
      <c r="D9191" s="7" t="n"/>
      <c r="E9191" s="7" t="n"/>
      <c r="F9191" s="7" t="n"/>
      <c r="G9191" s="7" t="n"/>
      <c r="H9191" s="7" t="n"/>
      <c r="I9191" s="7" t="n"/>
      <c r="J9191" s="7" t="n"/>
      <c r="K9191">
        <f>IF(D9191="Legitimate Interest (GDPR Art. 6(1)(f))", "Yes / Required (Sheet 3)", "")</f>
        <v/>
      </c>
      <c r="L9191" s="7" t="n"/>
      <c r="M9191" s="7" t="n"/>
      <c r="N9191">
        <f>IF(D9191="", "Gap - No Legal Basis", IF(AND(D9191="Consent (GDPR Art. 6(1)(a))", I9191="Not Captured"), "Gap - Invalid Consent", IF(AND(D9191="Legitimate Interest (GDPR Art. 6(1)(f))", L9191=""), "Gap - Missing LIA", IF(AND(G9191="Yes", H9191=""), "Gap - Missing Art. 9 Basis", IF(OR(I9191="Invalid - Not Freely Given", I9191="Invalid - Not Specific", I9191="Invalid - Not Informed", I9191="Invalid - Ambiguous"), "Gap - Invalid Consent", "Compliant")))))</f>
        <v/>
      </c>
      <c r="O9191" s="7" t="n"/>
    </row>
    <row r="9192">
      <c r="A9192" s="7" t="n"/>
      <c r="B9192" s="7" t="n"/>
      <c r="C9192" s="7" t="n"/>
      <c r="D9192" s="7" t="n"/>
      <c r="E9192" s="7" t="n"/>
      <c r="F9192" s="7" t="n"/>
      <c r="G9192" s="7" t="n"/>
      <c r="H9192" s="7" t="n"/>
      <c r="I9192" s="7" t="n"/>
      <c r="J9192" s="7" t="n"/>
      <c r="K9192">
        <f>IF(D9192="Legitimate Interest (GDPR Art. 6(1)(f))", "Yes / Required (Sheet 3)", "")</f>
        <v/>
      </c>
      <c r="L9192" s="7" t="n"/>
      <c r="M9192" s="7" t="n"/>
      <c r="N9192">
        <f>IF(D9192="", "Gap - No Legal Basis", IF(AND(D9192="Consent (GDPR Art. 6(1)(a))", I9192="Not Captured"), "Gap - Invalid Consent", IF(AND(D9192="Legitimate Interest (GDPR Art. 6(1)(f))", L9192=""), "Gap - Missing LIA", IF(AND(G9192="Yes", H9192=""), "Gap - Missing Art. 9 Basis", IF(OR(I9192="Invalid - Not Freely Given", I9192="Invalid - Not Specific", I9192="Invalid - Not Informed", I9192="Invalid - Ambiguous"), "Gap - Invalid Consent", "Compliant")))))</f>
        <v/>
      </c>
      <c r="O9192" s="7" t="n"/>
    </row>
    <row r="9193">
      <c r="A9193" s="7" t="n"/>
      <c r="B9193" s="7" t="n"/>
      <c r="C9193" s="7" t="n"/>
      <c r="D9193" s="7" t="n"/>
      <c r="E9193" s="7" t="n"/>
      <c r="F9193" s="7" t="n"/>
      <c r="G9193" s="7" t="n"/>
      <c r="H9193" s="7" t="n"/>
      <c r="I9193" s="7" t="n"/>
      <c r="J9193" s="7" t="n"/>
      <c r="K9193">
        <f>IF(D9193="Legitimate Interest (GDPR Art. 6(1)(f))", "Yes / Required (Sheet 3)", "")</f>
        <v/>
      </c>
      <c r="L9193" s="7" t="n"/>
      <c r="M9193" s="7" t="n"/>
      <c r="N9193">
        <f>IF(D9193="", "Gap - No Legal Basis", IF(AND(D9193="Consent (GDPR Art. 6(1)(a))", I9193="Not Captured"), "Gap - Invalid Consent", IF(AND(D9193="Legitimate Interest (GDPR Art. 6(1)(f))", L9193=""), "Gap - Missing LIA", IF(AND(G9193="Yes", H9193=""), "Gap - Missing Art. 9 Basis", IF(OR(I9193="Invalid - Not Freely Given", I9193="Invalid - Not Specific", I9193="Invalid - Not Informed", I9193="Invalid - Ambiguous"), "Gap - Invalid Consent", "Compliant")))))</f>
        <v/>
      </c>
      <c r="O9193" s="7" t="n"/>
    </row>
    <row r="9194">
      <c r="A9194" s="7" t="n"/>
      <c r="B9194" s="7" t="n"/>
      <c r="C9194" s="7" t="n"/>
      <c r="D9194" s="7" t="n"/>
      <c r="E9194" s="7" t="n"/>
      <c r="F9194" s="7" t="n"/>
      <c r="G9194" s="7" t="n"/>
      <c r="H9194" s="7" t="n"/>
      <c r="I9194" s="7" t="n"/>
      <c r="J9194" s="7" t="n"/>
      <c r="K9194">
        <f>IF(D9194="Legitimate Interest (GDPR Art. 6(1)(f))", "Yes / Required (Sheet 3)", "")</f>
        <v/>
      </c>
      <c r="L9194" s="7" t="n"/>
      <c r="M9194" s="7" t="n"/>
      <c r="N9194">
        <f>IF(D9194="", "Gap - No Legal Basis", IF(AND(D9194="Consent (GDPR Art. 6(1)(a))", I9194="Not Captured"), "Gap - Invalid Consent", IF(AND(D9194="Legitimate Interest (GDPR Art. 6(1)(f))", L9194=""), "Gap - Missing LIA", IF(AND(G9194="Yes", H9194=""), "Gap - Missing Art. 9 Basis", IF(OR(I9194="Invalid - Not Freely Given", I9194="Invalid - Not Specific", I9194="Invalid - Not Informed", I9194="Invalid - Ambiguous"), "Gap - Invalid Consent", "Compliant")))))</f>
        <v/>
      </c>
      <c r="O9194" s="7" t="n"/>
    </row>
    <row r="9195">
      <c r="A9195" s="7" t="n"/>
      <c r="B9195" s="7" t="n"/>
      <c r="C9195" s="7" t="n"/>
      <c r="D9195" s="7" t="n"/>
      <c r="E9195" s="7" t="n"/>
      <c r="F9195" s="7" t="n"/>
      <c r="G9195" s="7" t="n"/>
      <c r="H9195" s="7" t="n"/>
      <c r="I9195" s="7" t="n"/>
      <c r="J9195" s="7" t="n"/>
      <c r="K9195">
        <f>IF(D9195="Legitimate Interest (GDPR Art. 6(1)(f))", "Yes / Required (Sheet 3)", "")</f>
        <v/>
      </c>
      <c r="L9195" s="7" t="n"/>
      <c r="M9195" s="7" t="n"/>
      <c r="N9195">
        <f>IF(D9195="", "Gap - No Legal Basis", IF(AND(D9195="Consent (GDPR Art. 6(1)(a))", I9195="Not Captured"), "Gap - Invalid Consent", IF(AND(D9195="Legitimate Interest (GDPR Art. 6(1)(f))", L9195=""), "Gap - Missing LIA", IF(AND(G9195="Yes", H9195=""), "Gap - Missing Art. 9 Basis", IF(OR(I9195="Invalid - Not Freely Given", I9195="Invalid - Not Specific", I9195="Invalid - Not Informed", I9195="Invalid - Ambiguous"), "Gap - Invalid Consent", "Compliant")))))</f>
        <v/>
      </c>
      <c r="O9195" s="7" t="n"/>
    </row>
    <row r="9196">
      <c r="A9196" s="7" t="n"/>
      <c r="B9196" s="7" t="n"/>
      <c r="C9196" s="7" t="n"/>
      <c r="D9196" s="7" t="n"/>
      <c r="E9196" s="7" t="n"/>
      <c r="F9196" s="7" t="n"/>
      <c r="G9196" s="7" t="n"/>
      <c r="H9196" s="7" t="n"/>
      <c r="I9196" s="7" t="n"/>
      <c r="J9196" s="7" t="n"/>
      <c r="K9196">
        <f>IF(D9196="Legitimate Interest (GDPR Art. 6(1)(f))", "Yes / Required (Sheet 3)", "")</f>
        <v/>
      </c>
      <c r="L9196" s="7" t="n"/>
      <c r="M9196" s="7" t="n"/>
      <c r="N9196">
        <f>IF(D9196="", "Gap - No Legal Basis", IF(AND(D9196="Consent (GDPR Art. 6(1)(a))", I9196="Not Captured"), "Gap - Invalid Consent", IF(AND(D9196="Legitimate Interest (GDPR Art. 6(1)(f))", L9196=""), "Gap - Missing LIA", IF(AND(G9196="Yes", H9196=""), "Gap - Missing Art. 9 Basis", IF(OR(I9196="Invalid - Not Freely Given", I9196="Invalid - Not Specific", I9196="Invalid - Not Informed", I9196="Invalid - Ambiguous"), "Gap - Invalid Consent", "Compliant")))))</f>
        <v/>
      </c>
      <c r="O9196" s="7" t="n"/>
    </row>
    <row r="9197">
      <c r="A9197" s="7" t="n"/>
      <c r="B9197" s="7" t="n"/>
      <c r="C9197" s="7" t="n"/>
      <c r="D9197" s="7" t="n"/>
      <c r="E9197" s="7" t="n"/>
      <c r="F9197" s="7" t="n"/>
      <c r="G9197" s="7" t="n"/>
      <c r="H9197" s="7" t="n"/>
      <c r="I9197" s="7" t="n"/>
      <c r="J9197" s="7" t="n"/>
      <c r="K9197">
        <f>IF(D9197="Legitimate Interest (GDPR Art. 6(1)(f))", "Yes / Required (Sheet 3)", "")</f>
        <v/>
      </c>
      <c r="L9197" s="7" t="n"/>
      <c r="M9197" s="7" t="n"/>
      <c r="N9197">
        <f>IF(D9197="", "Gap - No Legal Basis", IF(AND(D9197="Consent (GDPR Art. 6(1)(a))", I9197="Not Captured"), "Gap - Invalid Consent", IF(AND(D9197="Legitimate Interest (GDPR Art. 6(1)(f))", L9197=""), "Gap - Missing LIA", IF(AND(G9197="Yes", H9197=""), "Gap - Missing Art. 9 Basis", IF(OR(I9197="Invalid - Not Freely Given", I9197="Invalid - Not Specific", I9197="Invalid - Not Informed", I9197="Invalid - Ambiguous"), "Gap - Invalid Consent", "Compliant")))))</f>
        <v/>
      </c>
      <c r="O9197" s="7" t="n"/>
    </row>
    <row r="9198">
      <c r="A9198" s="7" t="n"/>
      <c r="B9198" s="7" t="n"/>
      <c r="C9198" s="7" t="n"/>
      <c r="D9198" s="7" t="n"/>
      <c r="E9198" s="7" t="n"/>
      <c r="F9198" s="7" t="n"/>
      <c r="G9198" s="7" t="n"/>
      <c r="H9198" s="7" t="n"/>
      <c r="I9198" s="7" t="n"/>
      <c r="J9198" s="7" t="n"/>
      <c r="K9198">
        <f>IF(D9198="Legitimate Interest (GDPR Art. 6(1)(f))", "Yes / Required (Sheet 3)", "")</f>
        <v/>
      </c>
      <c r="L9198" s="7" t="n"/>
      <c r="M9198" s="7" t="n"/>
      <c r="N9198">
        <f>IF(D9198="", "Gap - No Legal Basis", IF(AND(D9198="Consent (GDPR Art. 6(1)(a))", I9198="Not Captured"), "Gap - Invalid Consent", IF(AND(D9198="Legitimate Interest (GDPR Art. 6(1)(f))", L9198=""), "Gap - Missing LIA", IF(AND(G9198="Yes", H9198=""), "Gap - Missing Art. 9 Basis", IF(OR(I9198="Invalid - Not Freely Given", I9198="Invalid - Not Specific", I9198="Invalid - Not Informed", I9198="Invalid - Ambiguous"), "Gap - Invalid Consent", "Compliant")))))</f>
        <v/>
      </c>
      <c r="O9198" s="7" t="n"/>
    </row>
    <row r="9199">
      <c r="A9199" s="7" t="n"/>
      <c r="B9199" s="7" t="n"/>
      <c r="C9199" s="7" t="n"/>
      <c r="D9199" s="7" t="n"/>
      <c r="E9199" s="7" t="n"/>
      <c r="F9199" s="7" t="n"/>
      <c r="G9199" s="7" t="n"/>
      <c r="H9199" s="7" t="n"/>
      <c r="I9199" s="7" t="n"/>
      <c r="J9199" s="7" t="n"/>
      <c r="K9199">
        <f>IF(D9199="Legitimate Interest (GDPR Art. 6(1)(f))", "Yes / Required (Sheet 3)", "")</f>
        <v/>
      </c>
      <c r="L9199" s="7" t="n"/>
      <c r="M9199" s="7" t="n"/>
      <c r="N9199">
        <f>IF(D9199="", "Gap - No Legal Basis", IF(AND(D9199="Consent (GDPR Art. 6(1)(a))", I9199="Not Captured"), "Gap - Invalid Consent", IF(AND(D9199="Legitimate Interest (GDPR Art. 6(1)(f))", L9199=""), "Gap - Missing LIA", IF(AND(G9199="Yes", H9199=""), "Gap - Missing Art. 9 Basis", IF(OR(I9199="Invalid - Not Freely Given", I9199="Invalid - Not Specific", I9199="Invalid - Not Informed", I9199="Invalid - Ambiguous"), "Gap - Invalid Consent", "Compliant")))))</f>
        <v/>
      </c>
      <c r="O9199" s="7" t="n"/>
    </row>
    <row r="9200">
      <c r="A9200" s="7" t="n"/>
      <c r="B9200" s="7" t="n"/>
      <c r="C9200" s="7" t="n"/>
      <c r="D9200" s="7" t="n"/>
      <c r="E9200" s="7" t="n"/>
      <c r="F9200" s="7" t="n"/>
      <c r="G9200" s="7" t="n"/>
      <c r="H9200" s="7" t="n"/>
      <c r="I9200" s="7" t="n"/>
      <c r="J9200" s="7" t="n"/>
      <c r="K9200">
        <f>IF(D9200="Legitimate Interest (GDPR Art. 6(1)(f))", "Yes / Required (Sheet 3)", "")</f>
        <v/>
      </c>
      <c r="L9200" s="7" t="n"/>
      <c r="M9200" s="7" t="n"/>
      <c r="N9200">
        <f>IF(D9200="", "Gap - No Legal Basis", IF(AND(D9200="Consent (GDPR Art. 6(1)(a))", I9200="Not Captured"), "Gap - Invalid Consent", IF(AND(D9200="Legitimate Interest (GDPR Art. 6(1)(f))", L9200=""), "Gap - Missing LIA", IF(AND(G9200="Yes", H9200=""), "Gap - Missing Art. 9 Basis", IF(OR(I9200="Invalid - Not Freely Given", I9200="Invalid - Not Specific", I9200="Invalid - Not Informed", I9200="Invalid - Ambiguous"), "Gap - Invalid Consent", "Compliant")))))</f>
        <v/>
      </c>
      <c r="O9200" s="7" t="n"/>
    </row>
    <row r="9201">
      <c r="A9201" s="7" t="n"/>
      <c r="B9201" s="7" t="n"/>
      <c r="C9201" s="7" t="n"/>
      <c r="D9201" s="7" t="n"/>
      <c r="E9201" s="7" t="n"/>
      <c r="F9201" s="7" t="n"/>
      <c r="G9201" s="7" t="n"/>
      <c r="H9201" s="7" t="n"/>
      <c r="I9201" s="7" t="n"/>
      <c r="J9201" s="7" t="n"/>
      <c r="K9201">
        <f>IF(D9201="Legitimate Interest (GDPR Art. 6(1)(f))", "Yes / Required (Sheet 3)", "")</f>
        <v/>
      </c>
      <c r="L9201" s="7" t="n"/>
      <c r="M9201" s="7" t="n"/>
      <c r="N9201">
        <f>IF(D9201="", "Gap - No Legal Basis", IF(AND(D9201="Consent (GDPR Art. 6(1)(a))", I9201="Not Captured"), "Gap - Invalid Consent", IF(AND(D9201="Legitimate Interest (GDPR Art. 6(1)(f))", L9201=""), "Gap - Missing LIA", IF(AND(G9201="Yes", H9201=""), "Gap - Missing Art. 9 Basis", IF(OR(I9201="Invalid - Not Freely Given", I9201="Invalid - Not Specific", I9201="Invalid - Not Informed", I9201="Invalid - Ambiguous"), "Gap - Invalid Consent", "Compliant")))))</f>
        <v/>
      </c>
      <c r="O9201" s="7" t="n"/>
    </row>
    <row r="9202">
      <c r="A9202" s="7" t="n"/>
      <c r="B9202" s="7" t="n"/>
      <c r="C9202" s="7" t="n"/>
      <c r="D9202" s="7" t="n"/>
      <c r="E9202" s="7" t="n"/>
      <c r="F9202" s="7" t="n"/>
      <c r="G9202" s="7" t="n"/>
      <c r="H9202" s="7" t="n"/>
      <c r="I9202" s="7" t="n"/>
      <c r="J9202" s="7" t="n"/>
      <c r="K9202">
        <f>IF(D9202="Legitimate Interest (GDPR Art. 6(1)(f))", "Yes / Required (Sheet 3)", "")</f>
        <v/>
      </c>
      <c r="L9202" s="7" t="n"/>
      <c r="M9202" s="7" t="n"/>
      <c r="N9202">
        <f>IF(D9202="", "Gap - No Legal Basis", IF(AND(D9202="Consent (GDPR Art. 6(1)(a))", I9202="Not Captured"), "Gap - Invalid Consent", IF(AND(D9202="Legitimate Interest (GDPR Art. 6(1)(f))", L9202=""), "Gap - Missing LIA", IF(AND(G9202="Yes", H9202=""), "Gap - Missing Art. 9 Basis", IF(OR(I9202="Invalid - Not Freely Given", I9202="Invalid - Not Specific", I9202="Invalid - Not Informed", I9202="Invalid - Ambiguous"), "Gap - Invalid Consent", "Compliant")))))</f>
        <v/>
      </c>
      <c r="O9202" s="7" t="n"/>
    </row>
    <row r="9203">
      <c r="A9203" s="7" t="n"/>
      <c r="B9203" s="7" t="n"/>
      <c r="C9203" s="7" t="n"/>
      <c r="D9203" s="7" t="n"/>
      <c r="E9203" s="7" t="n"/>
      <c r="F9203" s="7" t="n"/>
      <c r="G9203" s="7" t="n"/>
      <c r="H9203" s="7" t="n"/>
      <c r="I9203" s="7" t="n"/>
      <c r="J9203" s="7" t="n"/>
      <c r="K9203">
        <f>IF(D9203="Legitimate Interest (GDPR Art. 6(1)(f))", "Yes / Required (Sheet 3)", "")</f>
        <v/>
      </c>
      <c r="L9203" s="7" t="n"/>
      <c r="M9203" s="7" t="n"/>
      <c r="N9203">
        <f>IF(D9203="", "Gap - No Legal Basis", IF(AND(D9203="Consent (GDPR Art. 6(1)(a))", I9203="Not Captured"), "Gap - Invalid Consent", IF(AND(D9203="Legitimate Interest (GDPR Art. 6(1)(f))", L9203=""), "Gap - Missing LIA", IF(AND(G9203="Yes", H9203=""), "Gap - Missing Art. 9 Basis", IF(OR(I9203="Invalid - Not Freely Given", I9203="Invalid - Not Specific", I9203="Invalid - Not Informed", I9203="Invalid - Ambiguous"), "Gap - Invalid Consent", "Compliant")))))</f>
        <v/>
      </c>
      <c r="O9203" s="7" t="n"/>
    </row>
    <row r="9204">
      <c r="A9204" s="7" t="n"/>
      <c r="B9204" s="7" t="n"/>
      <c r="C9204" s="7" t="n"/>
      <c r="D9204" s="7" t="n"/>
      <c r="E9204" s="7" t="n"/>
      <c r="F9204" s="7" t="n"/>
      <c r="G9204" s="7" t="n"/>
      <c r="H9204" s="7" t="n"/>
      <c r="I9204" s="7" t="n"/>
      <c r="J9204" s="7" t="n"/>
      <c r="K9204">
        <f>IF(D9204="Legitimate Interest (GDPR Art. 6(1)(f))", "Yes / Required (Sheet 3)", "")</f>
        <v/>
      </c>
      <c r="L9204" s="7" t="n"/>
      <c r="M9204" s="7" t="n"/>
      <c r="N9204">
        <f>IF(D9204="", "Gap - No Legal Basis", IF(AND(D9204="Consent (GDPR Art. 6(1)(a))", I9204="Not Captured"), "Gap - Invalid Consent", IF(AND(D9204="Legitimate Interest (GDPR Art. 6(1)(f))", L9204=""), "Gap - Missing LIA", IF(AND(G9204="Yes", H9204=""), "Gap - Missing Art. 9 Basis", IF(OR(I9204="Invalid - Not Freely Given", I9204="Invalid - Not Specific", I9204="Invalid - Not Informed", I9204="Invalid - Ambiguous"), "Gap - Invalid Consent", "Compliant")))))</f>
        <v/>
      </c>
      <c r="O9204" s="7" t="n"/>
    </row>
    <row r="9205">
      <c r="A9205" s="7" t="n"/>
      <c r="B9205" s="7" t="n"/>
      <c r="C9205" s="7" t="n"/>
      <c r="D9205" s="7" t="n"/>
      <c r="E9205" s="7" t="n"/>
      <c r="F9205" s="7" t="n"/>
      <c r="G9205" s="7" t="n"/>
      <c r="H9205" s="7" t="n"/>
      <c r="I9205" s="7" t="n"/>
      <c r="J9205" s="7" t="n"/>
      <c r="K9205">
        <f>IF(D9205="Legitimate Interest (GDPR Art. 6(1)(f))", "Yes / Required (Sheet 3)", "")</f>
        <v/>
      </c>
      <c r="L9205" s="7" t="n"/>
      <c r="M9205" s="7" t="n"/>
      <c r="N9205">
        <f>IF(D9205="", "Gap - No Legal Basis", IF(AND(D9205="Consent (GDPR Art. 6(1)(a))", I9205="Not Captured"), "Gap - Invalid Consent", IF(AND(D9205="Legitimate Interest (GDPR Art. 6(1)(f))", L9205=""), "Gap - Missing LIA", IF(AND(G9205="Yes", H9205=""), "Gap - Missing Art. 9 Basis", IF(OR(I9205="Invalid - Not Freely Given", I9205="Invalid - Not Specific", I9205="Invalid - Not Informed", I9205="Invalid - Ambiguous"), "Gap - Invalid Consent", "Compliant")))))</f>
        <v/>
      </c>
      <c r="O9205" s="7" t="n"/>
    </row>
    <row r="9206">
      <c r="A9206" s="7" t="n"/>
      <c r="B9206" s="7" t="n"/>
      <c r="C9206" s="7" t="n"/>
      <c r="D9206" s="7" t="n"/>
      <c r="E9206" s="7" t="n"/>
      <c r="F9206" s="7" t="n"/>
      <c r="G9206" s="7" t="n"/>
      <c r="H9206" s="7" t="n"/>
      <c r="I9206" s="7" t="n"/>
      <c r="J9206" s="7" t="n"/>
      <c r="K9206">
        <f>IF(D9206="Legitimate Interest (GDPR Art. 6(1)(f))", "Yes / Required (Sheet 3)", "")</f>
        <v/>
      </c>
      <c r="L9206" s="7" t="n"/>
      <c r="M9206" s="7" t="n"/>
      <c r="N9206">
        <f>IF(D9206="", "Gap - No Legal Basis", IF(AND(D9206="Consent (GDPR Art. 6(1)(a))", I9206="Not Captured"), "Gap - Invalid Consent", IF(AND(D9206="Legitimate Interest (GDPR Art. 6(1)(f))", L9206=""), "Gap - Missing LIA", IF(AND(G9206="Yes", H9206=""), "Gap - Missing Art. 9 Basis", IF(OR(I9206="Invalid - Not Freely Given", I9206="Invalid - Not Specific", I9206="Invalid - Not Informed", I9206="Invalid - Ambiguous"), "Gap - Invalid Consent", "Compliant")))))</f>
        <v/>
      </c>
      <c r="O9206" s="7" t="n"/>
    </row>
    <row r="9207">
      <c r="A9207" s="7" t="n"/>
      <c r="B9207" s="7" t="n"/>
      <c r="C9207" s="7" t="n"/>
      <c r="D9207" s="7" t="n"/>
      <c r="E9207" s="7" t="n"/>
      <c r="F9207" s="7" t="n"/>
      <c r="G9207" s="7" t="n"/>
      <c r="H9207" s="7" t="n"/>
      <c r="I9207" s="7" t="n"/>
      <c r="J9207" s="7" t="n"/>
      <c r="K9207">
        <f>IF(D9207="Legitimate Interest (GDPR Art. 6(1)(f))", "Yes / Required (Sheet 3)", "")</f>
        <v/>
      </c>
      <c r="L9207" s="7" t="n"/>
      <c r="M9207" s="7" t="n"/>
      <c r="N9207">
        <f>IF(D9207="", "Gap - No Legal Basis", IF(AND(D9207="Consent (GDPR Art. 6(1)(a))", I9207="Not Captured"), "Gap - Invalid Consent", IF(AND(D9207="Legitimate Interest (GDPR Art. 6(1)(f))", L9207=""), "Gap - Missing LIA", IF(AND(G9207="Yes", H9207=""), "Gap - Missing Art. 9 Basis", IF(OR(I9207="Invalid - Not Freely Given", I9207="Invalid - Not Specific", I9207="Invalid - Not Informed", I9207="Invalid - Ambiguous"), "Gap - Invalid Consent", "Compliant")))))</f>
        <v/>
      </c>
      <c r="O9207" s="7" t="n"/>
    </row>
    <row r="9208">
      <c r="A9208" s="7" t="n"/>
      <c r="B9208" s="7" t="n"/>
      <c r="C9208" s="7" t="n"/>
      <c r="D9208" s="7" t="n"/>
      <c r="E9208" s="7" t="n"/>
      <c r="F9208" s="7" t="n"/>
      <c r="G9208" s="7" t="n"/>
      <c r="H9208" s="7" t="n"/>
      <c r="I9208" s="7" t="n"/>
      <c r="J9208" s="7" t="n"/>
      <c r="K9208">
        <f>IF(D9208="Legitimate Interest (GDPR Art. 6(1)(f))", "Yes / Required (Sheet 3)", "")</f>
        <v/>
      </c>
      <c r="L9208" s="7" t="n"/>
      <c r="M9208" s="7" t="n"/>
      <c r="N9208">
        <f>IF(D9208="", "Gap - No Legal Basis", IF(AND(D9208="Consent (GDPR Art. 6(1)(a))", I9208="Not Captured"), "Gap - Invalid Consent", IF(AND(D9208="Legitimate Interest (GDPR Art. 6(1)(f))", L9208=""), "Gap - Missing LIA", IF(AND(G9208="Yes", H9208=""), "Gap - Missing Art. 9 Basis", IF(OR(I9208="Invalid - Not Freely Given", I9208="Invalid - Not Specific", I9208="Invalid - Not Informed", I9208="Invalid - Ambiguous"), "Gap - Invalid Consent", "Compliant")))))</f>
        <v/>
      </c>
      <c r="O9208" s="7" t="n"/>
    </row>
    <row r="9209">
      <c r="A9209" s="7" t="n"/>
      <c r="B9209" s="7" t="n"/>
      <c r="C9209" s="7" t="n"/>
      <c r="D9209" s="7" t="n"/>
      <c r="E9209" s="7" t="n"/>
      <c r="F9209" s="7" t="n"/>
      <c r="G9209" s="7" t="n"/>
      <c r="H9209" s="7" t="n"/>
      <c r="I9209" s="7" t="n"/>
      <c r="J9209" s="7" t="n"/>
      <c r="K9209">
        <f>IF(D9209="Legitimate Interest (GDPR Art. 6(1)(f))", "Yes / Required (Sheet 3)", "")</f>
        <v/>
      </c>
      <c r="L9209" s="7" t="n"/>
      <c r="M9209" s="7" t="n"/>
      <c r="N9209">
        <f>IF(D9209="", "Gap - No Legal Basis", IF(AND(D9209="Consent (GDPR Art. 6(1)(a))", I9209="Not Captured"), "Gap - Invalid Consent", IF(AND(D9209="Legitimate Interest (GDPR Art. 6(1)(f))", L9209=""), "Gap - Missing LIA", IF(AND(G9209="Yes", H9209=""), "Gap - Missing Art. 9 Basis", IF(OR(I9209="Invalid - Not Freely Given", I9209="Invalid - Not Specific", I9209="Invalid - Not Informed", I9209="Invalid - Ambiguous"), "Gap - Invalid Consent", "Compliant")))))</f>
        <v/>
      </c>
      <c r="O9209" s="7" t="n"/>
    </row>
    <row r="9210">
      <c r="A9210" s="7" t="n"/>
      <c r="B9210" s="7" t="n"/>
      <c r="C9210" s="7" t="n"/>
      <c r="D9210" s="7" t="n"/>
      <c r="E9210" s="7" t="n"/>
      <c r="F9210" s="7" t="n"/>
      <c r="G9210" s="7" t="n"/>
      <c r="H9210" s="7" t="n"/>
      <c r="I9210" s="7" t="n"/>
      <c r="J9210" s="7" t="n"/>
      <c r="K9210">
        <f>IF(D9210="Legitimate Interest (GDPR Art. 6(1)(f))", "Yes / Required (Sheet 3)", "")</f>
        <v/>
      </c>
      <c r="L9210" s="7" t="n"/>
      <c r="M9210" s="7" t="n"/>
      <c r="N9210">
        <f>IF(D9210="", "Gap - No Legal Basis", IF(AND(D9210="Consent (GDPR Art. 6(1)(a))", I9210="Not Captured"), "Gap - Invalid Consent", IF(AND(D9210="Legitimate Interest (GDPR Art. 6(1)(f))", L9210=""), "Gap - Missing LIA", IF(AND(G9210="Yes", H9210=""), "Gap - Missing Art. 9 Basis", IF(OR(I9210="Invalid - Not Freely Given", I9210="Invalid - Not Specific", I9210="Invalid - Not Informed", I9210="Invalid - Ambiguous"), "Gap - Invalid Consent", "Compliant")))))</f>
        <v/>
      </c>
      <c r="O9210" s="7" t="n"/>
    </row>
    <row r="9211">
      <c r="A9211" s="7" t="n"/>
      <c r="B9211" s="7" t="n"/>
      <c r="C9211" s="7" t="n"/>
      <c r="D9211" s="7" t="n"/>
      <c r="E9211" s="7" t="n"/>
      <c r="F9211" s="7" t="n"/>
      <c r="G9211" s="7" t="n"/>
      <c r="H9211" s="7" t="n"/>
      <c r="I9211" s="7" t="n"/>
      <c r="J9211" s="7" t="n"/>
      <c r="K9211">
        <f>IF(D9211="Legitimate Interest (GDPR Art. 6(1)(f))", "Yes / Required (Sheet 3)", "")</f>
        <v/>
      </c>
      <c r="L9211" s="7" t="n"/>
      <c r="M9211" s="7" t="n"/>
      <c r="N9211">
        <f>IF(D9211="", "Gap - No Legal Basis", IF(AND(D9211="Consent (GDPR Art. 6(1)(a))", I9211="Not Captured"), "Gap - Invalid Consent", IF(AND(D9211="Legitimate Interest (GDPR Art. 6(1)(f))", L9211=""), "Gap - Missing LIA", IF(AND(G9211="Yes", H9211=""), "Gap - Missing Art. 9 Basis", IF(OR(I9211="Invalid - Not Freely Given", I9211="Invalid - Not Specific", I9211="Invalid - Not Informed", I9211="Invalid - Ambiguous"), "Gap - Invalid Consent", "Compliant")))))</f>
        <v/>
      </c>
      <c r="O9211" s="7" t="n"/>
    </row>
    <row r="9212">
      <c r="A9212" s="7" t="n"/>
      <c r="B9212" s="7" t="n"/>
      <c r="C9212" s="7" t="n"/>
      <c r="D9212" s="7" t="n"/>
      <c r="E9212" s="7" t="n"/>
      <c r="F9212" s="7" t="n"/>
      <c r="G9212" s="7" t="n"/>
      <c r="H9212" s="7" t="n"/>
      <c r="I9212" s="7" t="n"/>
      <c r="J9212" s="7" t="n"/>
      <c r="K9212">
        <f>IF(D9212="Legitimate Interest (GDPR Art. 6(1)(f))", "Yes / Required (Sheet 3)", "")</f>
        <v/>
      </c>
      <c r="L9212" s="7" t="n"/>
      <c r="M9212" s="7" t="n"/>
      <c r="N9212">
        <f>IF(D9212="", "Gap - No Legal Basis", IF(AND(D9212="Consent (GDPR Art. 6(1)(a))", I9212="Not Captured"), "Gap - Invalid Consent", IF(AND(D9212="Legitimate Interest (GDPR Art. 6(1)(f))", L9212=""), "Gap - Missing LIA", IF(AND(G9212="Yes", H9212=""), "Gap - Missing Art. 9 Basis", IF(OR(I9212="Invalid - Not Freely Given", I9212="Invalid - Not Specific", I9212="Invalid - Not Informed", I9212="Invalid - Ambiguous"), "Gap - Invalid Consent", "Compliant")))))</f>
        <v/>
      </c>
      <c r="O9212" s="7" t="n"/>
    </row>
    <row r="9213">
      <c r="A9213" s="7" t="n"/>
      <c r="B9213" s="7" t="n"/>
      <c r="C9213" s="7" t="n"/>
      <c r="D9213" s="7" t="n"/>
      <c r="E9213" s="7" t="n"/>
      <c r="F9213" s="7" t="n"/>
      <c r="G9213" s="7" t="n"/>
      <c r="H9213" s="7" t="n"/>
      <c r="I9213" s="7" t="n"/>
      <c r="J9213" s="7" t="n"/>
      <c r="K9213">
        <f>IF(D9213="Legitimate Interest (GDPR Art. 6(1)(f))", "Yes / Required (Sheet 3)", "")</f>
        <v/>
      </c>
      <c r="L9213" s="7" t="n"/>
      <c r="M9213" s="7" t="n"/>
      <c r="N9213">
        <f>IF(D9213="", "Gap - No Legal Basis", IF(AND(D9213="Consent (GDPR Art. 6(1)(a))", I9213="Not Captured"), "Gap - Invalid Consent", IF(AND(D9213="Legitimate Interest (GDPR Art. 6(1)(f))", L9213=""), "Gap - Missing LIA", IF(AND(G9213="Yes", H9213=""), "Gap - Missing Art. 9 Basis", IF(OR(I9213="Invalid - Not Freely Given", I9213="Invalid - Not Specific", I9213="Invalid - Not Informed", I9213="Invalid - Ambiguous"), "Gap - Invalid Consent", "Compliant")))))</f>
        <v/>
      </c>
      <c r="O9213" s="7" t="n"/>
    </row>
    <row r="9214">
      <c r="A9214" s="7" t="n"/>
      <c r="B9214" s="7" t="n"/>
      <c r="C9214" s="7" t="n"/>
      <c r="D9214" s="7" t="n"/>
      <c r="E9214" s="7" t="n"/>
      <c r="F9214" s="7" t="n"/>
      <c r="G9214" s="7" t="n"/>
      <c r="H9214" s="7" t="n"/>
      <c r="I9214" s="7" t="n"/>
      <c r="J9214" s="7" t="n"/>
      <c r="K9214">
        <f>IF(D9214="Legitimate Interest (GDPR Art. 6(1)(f))", "Yes / Required (Sheet 3)", "")</f>
        <v/>
      </c>
      <c r="L9214" s="7" t="n"/>
      <c r="M9214" s="7" t="n"/>
      <c r="N9214">
        <f>IF(D9214="", "Gap - No Legal Basis", IF(AND(D9214="Consent (GDPR Art. 6(1)(a))", I9214="Not Captured"), "Gap - Invalid Consent", IF(AND(D9214="Legitimate Interest (GDPR Art. 6(1)(f))", L9214=""), "Gap - Missing LIA", IF(AND(G9214="Yes", H9214=""), "Gap - Missing Art. 9 Basis", IF(OR(I9214="Invalid - Not Freely Given", I9214="Invalid - Not Specific", I9214="Invalid - Not Informed", I9214="Invalid - Ambiguous"), "Gap - Invalid Consent", "Compliant")))))</f>
        <v/>
      </c>
      <c r="O9214" s="7" t="n"/>
    </row>
    <row r="9215">
      <c r="A9215" s="7" t="n"/>
      <c r="B9215" s="7" t="n"/>
      <c r="C9215" s="7" t="n"/>
      <c r="D9215" s="7" t="n"/>
      <c r="E9215" s="7" t="n"/>
      <c r="F9215" s="7" t="n"/>
      <c r="G9215" s="7" t="n"/>
      <c r="H9215" s="7" t="n"/>
      <c r="I9215" s="7" t="n"/>
      <c r="J9215" s="7" t="n"/>
      <c r="K9215">
        <f>IF(D9215="Legitimate Interest (GDPR Art. 6(1)(f))", "Yes / Required (Sheet 3)", "")</f>
        <v/>
      </c>
      <c r="L9215" s="7" t="n"/>
      <c r="M9215" s="7" t="n"/>
      <c r="N9215">
        <f>IF(D9215="", "Gap - No Legal Basis", IF(AND(D9215="Consent (GDPR Art. 6(1)(a))", I9215="Not Captured"), "Gap - Invalid Consent", IF(AND(D9215="Legitimate Interest (GDPR Art. 6(1)(f))", L9215=""), "Gap - Missing LIA", IF(AND(G9215="Yes", H9215=""), "Gap - Missing Art. 9 Basis", IF(OR(I9215="Invalid - Not Freely Given", I9215="Invalid - Not Specific", I9215="Invalid - Not Informed", I9215="Invalid - Ambiguous"), "Gap - Invalid Consent", "Compliant")))))</f>
        <v/>
      </c>
      <c r="O9215" s="7" t="n"/>
    </row>
    <row r="9216">
      <c r="A9216" s="7" t="n"/>
      <c r="B9216" s="7" t="n"/>
      <c r="C9216" s="7" t="n"/>
      <c r="D9216" s="7" t="n"/>
      <c r="E9216" s="7" t="n"/>
      <c r="F9216" s="7" t="n"/>
      <c r="G9216" s="7" t="n"/>
      <c r="H9216" s="7" t="n"/>
      <c r="I9216" s="7" t="n"/>
      <c r="J9216" s="7" t="n"/>
      <c r="K9216">
        <f>IF(D9216="Legitimate Interest (GDPR Art. 6(1)(f))", "Yes / Required (Sheet 3)", "")</f>
        <v/>
      </c>
      <c r="L9216" s="7" t="n"/>
      <c r="M9216" s="7" t="n"/>
      <c r="N9216">
        <f>IF(D9216="", "Gap - No Legal Basis", IF(AND(D9216="Consent (GDPR Art. 6(1)(a))", I9216="Not Captured"), "Gap - Invalid Consent", IF(AND(D9216="Legitimate Interest (GDPR Art. 6(1)(f))", L9216=""), "Gap - Missing LIA", IF(AND(G9216="Yes", H9216=""), "Gap - Missing Art. 9 Basis", IF(OR(I9216="Invalid - Not Freely Given", I9216="Invalid - Not Specific", I9216="Invalid - Not Informed", I9216="Invalid - Ambiguous"), "Gap - Invalid Consent", "Compliant")))))</f>
        <v/>
      </c>
      <c r="O9216" s="7" t="n"/>
    </row>
    <row r="9217">
      <c r="A9217" s="7" t="n"/>
      <c r="B9217" s="7" t="n"/>
      <c r="C9217" s="7" t="n"/>
      <c r="D9217" s="7" t="n"/>
      <c r="E9217" s="7" t="n"/>
      <c r="F9217" s="7" t="n"/>
      <c r="G9217" s="7" t="n"/>
      <c r="H9217" s="7" t="n"/>
      <c r="I9217" s="7" t="n"/>
      <c r="J9217" s="7" t="n"/>
      <c r="K9217">
        <f>IF(D9217="Legitimate Interest (GDPR Art. 6(1)(f))", "Yes / Required (Sheet 3)", "")</f>
        <v/>
      </c>
      <c r="L9217" s="7" t="n"/>
      <c r="M9217" s="7" t="n"/>
      <c r="N9217">
        <f>IF(D9217="", "Gap - No Legal Basis", IF(AND(D9217="Consent (GDPR Art. 6(1)(a))", I9217="Not Captured"), "Gap - Invalid Consent", IF(AND(D9217="Legitimate Interest (GDPR Art. 6(1)(f))", L9217=""), "Gap - Missing LIA", IF(AND(G9217="Yes", H9217=""), "Gap - Missing Art. 9 Basis", IF(OR(I9217="Invalid - Not Freely Given", I9217="Invalid - Not Specific", I9217="Invalid - Not Informed", I9217="Invalid - Ambiguous"), "Gap - Invalid Consent", "Compliant")))))</f>
        <v/>
      </c>
      <c r="O9217" s="7" t="n"/>
    </row>
    <row r="9218">
      <c r="A9218" s="7" t="n"/>
      <c r="B9218" s="7" t="n"/>
      <c r="C9218" s="7" t="n"/>
      <c r="D9218" s="7" t="n"/>
      <c r="E9218" s="7" t="n"/>
      <c r="F9218" s="7" t="n"/>
      <c r="G9218" s="7" t="n"/>
      <c r="H9218" s="7" t="n"/>
      <c r="I9218" s="7" t="n"/>
      <c r="J9218" s="7" t="n"/>
      <c r="K9218">
        <f>IF(D9218="Legitimate Interest (GDPR Art. 6(1)(f))", "Yes / Required (Sheet 3)", "")</f>
        <v/>
      </c>
      <c r="L9218" s="7" t="n"/>
      <c r="M9218" s="7" t="n"/>
      <c r="N9218">
        <f>IF(D9218="", "Gap - No Legal Basis", IF(AND(D9218="Consent (GDPR Art. 6(1)(a))", I9218="Not Captured"), "Gap - Invalid Consent", IF(AND(D9218="Legitimate Interest (GDPR Art. 6(1)(f))", L9218=""), "Gap - Missing LIA", IF(AND(G9218="Yes", H9218=""), "Gap - Missing Art. 9 Basis", IF(OR(I9218="Invalid - Not Freely Given", I9218="Invalid - Not Specific", I9218="Invalid - Not Informed", I9218="Invalid - Ambiguous"), "Gap - Invalid Consent", "Compliant")))))</f>
        <v/>
      </c>
      <c r="O9218" s="7" t="n"/>
    </row>
    <row r="9219">
      <c r="A9219" s="7" t="n"/>
      <c r="B9219" s="7" t="n"/>
      <c r="C9219" s="7" t="n"/>
      <c r="D9219" s="7" t="n"/>
      <c r="E9219" s="7" t="n"/>
      <c r="F9219" s="7" t="n"/>
      <c r="G9219" s="7" t="n"/>
      <c r="H9219" s="7" t="n"/>
      <c r="I9219" s="7" t="n"/>
      <c r="J9219" s="7" t="n"/>
      <c r="K9219">
        <f>IF(D9219="Legitimate Interest (GDPR Art. 6(1)(f))", "Yes / Required (Sheet 3)", "")</f>
        <v/>
      </c>
      <c r="L9219" s="7" t="n"/>
      <c r="M9219" s="7" t="n"/>
      <c r="N9219">
        <f>IF(D9219="", "Gap - No Legal Basis", IF(AND(D9219="Consent (GDPR Art. 6(1)(a))", I9219="Not Captured"), "Gap - Invalid Consent", IF(AND(D9219="Legitimate Interest (GDPR Art. 6(1)(f))", L9219=""), "Gap - Missing LIA", IF(AND(G9219="Yes", H9219=""), "Gap - Missing Art. 9 Basis", IF(OR(I9219="Invalid - Not Freely Given", I9219="Invalid - Not Specific", I9219="Invalid - Not Informed", I9219="Invalid - Ambiguous"), "Gap - Invalid Consent", "Compliant")))))</f>
        <v/>
      </c>
      <c r="O9219" s="7" t="n"/>
    </row>
    <row r="9220">
      <c r="A9220" s="7" t="n"/>
      <c r="B9220" s="7" t="n"/>
      <c r="C9220" s="7" t="n"/>
      <c r="D9220" s="7" t="n"/>
      <c r="E9220" s="7" t="n"/>
      <c r="F9220" s="7" t="n"/>
      <c r="G9220" s="7" t="n"/>
      <c r="H9220" s="7" t="n"/>
      <c r="I9220" s="7" t="n"/>
      <c r="J9220" s="7" t="n"/>
      <c r="K9220">
        <f>IF(D9220="Legitimate Interest (GDPR Art. 6(1)(f))", "Yes / Required (Sheet 3)", "")</f>
        <v/>
      </c>
      <c r="L9220" s="7" t="n"/>
      <c r="M9220" s="7" t="n"/>
      <c r="N9220">
        <f>IF(D9220="", "Gap - No Legal Basis", IF(AND(D9220="Consent (GDPR Art. 6(1)(a))", I9220="Not Captured"), "Gap - Invalid Consent", IF(AND(D9220="Legitimate Interest (GDPR Art. 6(1)(f))", L9220=""), "Gap - Missing LIA", IF(AND(G9220="Yes", H9220=""), "Gap - Missing Art. 9 Basis", IF(OR(I9220="Invalid - Not Freely Given", I9220="Invalid - Not Specific", I9220="Invalid - Not Informed", I9220="Invalid - Ambiguous"), "Gap - Invalid Consent", "Compliant")))))</f>
        <v/>
      </c>
      <c r="O9220" s="7" t="n"/>
    </row>
    <row r="9221">
      <c r="A9221" s="7" t="n"/>
      <c r="B9221" s="7" t="n"/>
      <c r="C9221" s="7" t="n"/>
      <c r="D9221" s="7" t="n"/>
      <c r="E9221" s="7" t="n"/>
      <c r="F9221" s="7" t="n"/>
      <c r="G9221" s="7" t="n"/>
      <c r="H9221" s="7" t="n"/>
      <c r="I9221" s="7" t="n"/>
      <c r="J9221" s="7" t="n"/>
      <c r="K9221">
        <f>IF(D9221="Legitimate Interest (GDPR Art. 6(1)(f))", "Yes / Required (Sheet 3)", "")</f>
        <v/>
      </c>
      <c r="L9221" s="7" t="n"/>
      <c r="M9221" s="7" t="n"/>
      <c r="N9221">
        <f>IF(D9221="", "Gap - No Legal Basis", IF(AND(D9221="Consent (GDPR Art. 6(1)(a))", I9221="Not Captured"), "Gap - Invalid Consent", IF(AND(D9221="Legitimate Interest (GDPR Art. 6(1)(f))", L9221=""), "Gap - Missing LIA", IF(AND(G9221="Yes", H9221=""), "Gap - Missing Art. 9 Basis", IF(OR(I9221="Invalid - Not Freely Given", I9221="Invalid - Not Specific", I9221="Invalid - Not Informed", I9221="Invalid - Ambiguous"), "Gap - Invalid Consent", "Compliant")))))</f>
        <v/>
      </c>
      <c r="O9221" s="7" t="n"/>
    </row>
    <row r="9222">
      <c r="A9222" s="7" t="n"/>
      <c r="B9222" s="7" t="n"/>
      <c r="C9222" s="7" t="n"/>
      <c r="D9222" s="7" t="n"/>
      <c r="E9222" s="7" t="n"/>
      <c r="F9222" s="7" t="n"/>
      <c r="G9222" s="7" t="n"/>
      <c r="H9222" s="7" t="n"/>
      <c r="I9222" s="7" t="n"/>
      <c r="J9222" s="7" t="n"/>
      <c r="K9222">
        <f>IF(D9222="Legitimate Interest (GDPR Art. 6(1)(f))", "Yes / Required (Sheet 3)", "")</f>
        <v/>
      </c>
      <c r="L9222" s="7" t="n"/>
      <c r="M9222" s="7" t="n"/>
      <c r="N9222">
        <f>IF(D9222="", "Gap - No Legal Basis", IF(AND(D9222="Consent (GDPR Art. 6(1)(a))", I9222="Not Captured"), "Gap - Invalid Consent", IF(AND(D9222="Legitimate Interest (GDPR Art. 6(1)(f))", L9222=""), "Gap - Missing LIA", IF(AND(G9222="Yes", H9222=""), "Gap - Missing Art. 9 Basis", IF(OR(I9222="Invalid - Not Freely Given", I9222="Invalid - Not Specific", I9222="Invalid - Not Informed", I9222="Invalid - Ambiguous"), "Gap - Invalid Consent", "Compliant")))))</f>
        <v/>
      </c>
      <c r="O9222" s="7" t="n"/>
    </row>
    <row r="9223">
      <c r="A9223" s="7" t="n"/>
      <c r="B9223" s="7" t="n"/>
      <c r="C9223" s="7" t="n"/>
      <c r="D9223" s="7" t="n"/>
      <c r="E9223" s="7" t="n"/>
      <c r="F9223" s="7" t="n"/>
      <c r="G9223" s="7" t="n"/>
      <c r="H9223" s="7" t="n"/>
      <c r="I9223" s="7" t="n"/>
      <c r="J9223" s="7" t="n"/>
      <c r="K9223">
        <f>IF(D9223="Legitimate Interest (GDPR Art. 6(1)(f))", "Yes / Required (Sheet 3)", "")</f>
        <v/>
      </c>
      <c r="L9223" s="7" t="n"/>
      <c r="M9223" s="7" t="n"/>
      <c r="N9223">
        <f>IF(D9223="", "Gap - No Legal Basis", IF(AND(D9223="Consent (GDPR Art. 6(1)(a))", I9223="Not Captured"), "Gap - Invalid Consent", IF(AND(D9223="Legitimate Interest (GDPR Art. 6(1)(f))", L9223=""), "Gap - Missing LIA", IF(AND(G9223="Yes", H9223=""), "Gap - Missing Art. 9 Basis", IF(OR(I9223="Invalid - Not Freely Given", I9223="Invalid - Not Specific", I9223="Invalid - Not Informed", I9223="Invalid - Ambiguous"), "Gap - Invalid Consent", "Compliant")))))</f>
        <v/>
      </c>
      <c r="O9223" s="7" t="n"/>
    </row>
    <row r="9224">
      <c r="A9224" s="7" t="n"/>
      <c r="B9224" s="7" t="n"/>
      <c r="C9224" s="7" t="n"/>
      <c r="D9224" s="7" t="n"/>
      <c r="E9224" s="7" t="n"/>
      <c r="F9224" s="7" t="n"/>
      <c r="G9224" s="7" t="n"/>
      <c r="H9224" s="7" t="n"/>
      <c r="I9224" s="7" t="n"/>
      <c r="J9224" s="7" t="n"/>
      <c r="K9224">
        <f>IF(D9224="Legitimate Interest (GDPR Art. 6(1)(f))", "Yes / Required (Sheet 3)", "")</f>
        <v/>
      </c>
      <c r="L9224" s="7" t="n"/>
      <c r="M9224" s="7" t="n"/>
      <c r="N9224">
        <f>IF(D9224="", "Gap - No Legal Basis", IF(AND(D9224="Consent (GDPR Art. 6(1)(a))", I9224="Not Captured"), "Gap - Invalid Consent", IF(AND(D9224="Legitimate Interest (GDPR Art. 6(1)(f))", L9224=""), "Gap - Missing LIA", IF(AND(G9224="Yes", H9224=""), "Gap - Missing Art. 9 Basis", IF(OR(I9224="Invalid - Not Freely Given", I9224="Invalid - Not Specific", I9224="Invalid - Not Informed", I9224="Invalid - Ambiguous"), "Gap - Invalid Consent", "Compliant")))))</f>
        <v/>
      </c>
      <c r="O9224" s="7" t="n"/>
    </row>
    <row r="9225">
      <c r="A9225" s="7" t="n"/>
      <c r="B9225" s="7" t="n"/>
      <c r="C9225" s="7" t="n"/>
      <c r="D9225" s="7" t="n"/>
      <c r="E9225" s="7" t="n"/>
      <c r="F9225" s="7" t="n"/>
      <c r="G9225" s="7" t="n"/>
      <c r="H9225" s="7" t="n"/>
      <c r="I9225" s="7" t="n"/>
      <c r="J9225" s="7" t="n"/>
      <c r="K9225">
        <f>IF(D9225="Legitimate Interest (GDPR Art. 6(1)(f))", "Yes / Required (Sheet 3)", "")</f>
        <v/>
      </c>
      <c r="L9225" s="7" t="n"/>
      <c r="M9225" s="7" t="n"/>
      <c r="N9225">
        <f>IF(D9225="", "Gap - No Legal Basis", IF(AND(D9225="Consent (GDPR Art. 6(1)(a))", I9225="Not Captured"), "Gap - Invalid Consent", IF(AND(D9225="Legitimate Interest (GDPR Art. 6(1)(f))", L9225=""), "Gap - Missing LIA", IF(AND(G9225="Yes", H9225=""), "Gap - Missing Art. 9 Basis", IF(OR(I9225="Invalid - Not Freely Given", I9225="Invalid - Not Specific", I9225="Invalid - Not Informed", I9225="Invalid - Ambiguous"), "Gap - Invalid Consent", "Compliant")))))</f>
        <v/>
      </c>
      <c r="O9225" s="7" t="n"/>
    </row>
    <row r="9226">
      <c r="A9226" s="7" t="n"/>
      <c r="B9226" s="7" t="n"/>
      <c r="C9226" s="7" t="n"/>
      <c r="D9226" s="7" t="n"/>
      <c r="E9226" s="7" t="n"/>
      <c r="F9226" s="7" t="n"/>
      <c r="G9226" s="7" t="n"/>
      <c r="H9226" s="7" t="n"/>
      <c r="I9226" s="7" t="n"/>
      <c r="J9226" s="7" t="n"/>
      <c r="K9226">
        <f>IF(D9226="Legitimate Interest (GDPR Art. 6(1)(f))", "Yes / Required (Sheet 3)", "")</f>
        <v/>
      </c>
      <c r="L9226" s="7" t="n"/>
      <c r="M9226" s="7" t="n"/>
      <c r="N9226">
        <f>IF(D9226="", "Gap - No Legal Basis", IF(AND(D9226="Consent (GDPR Art. 6(1)(a))", I9226="Not Captured"), "Gap - Invalid Consent", IF(AND(D9226="Legitimate Interest (GDPR Art. 6(1)(f))", L9226=""), "Gap - Missing LIA", IF(AND(G9226="Yes", H9226=""), "Gap - Missing Art. 9 Basis", IF(OR(I9226="Invalid - Not Freely Given", I9226="Invalid - Not Specific", I9226="Invalid - Not Informed", I9226="Invalid - Ambiguous"), "Gap - Invalid Consent", "Compliant")))))</f>
        <v/>
      </c>
      <c r="O9226" s="7" t="n"/>
    </row>
    <row r="9227">
      <c r="A9227" s="7" t="n"/>
      <c r="B9227" s="7" t="n"/>
      <c r="C9227" s="7" t="n"/>
      <c r="D9227" s="7" t="n"/>
      <c r="E9227" s="7" t="n"/>
      <c r="F9227" s="7" t="n"/>
      <c r="G9227" s="7" t="n"/>
      <c r="H9227" s="7" t="n"/>
      <c r="I9227" s="7" t="n"/>
      <c r="J9227" s="7" t="n"/>
      <c r="K9227">
        <f>IF(D9227="Legitimate Interest (GDPR Art. 6(1)(f))", "Yes / Required (Sheet 3)", "")</f>
        <v/>
      </c>
      <c r="L9227" s="7" t="n"/>
      <c r="M9227" s="7" t="n"/>
      <c r="N9227">
        <f>IF(D9227="", "Gap - No Legal Basis", IF(AND(D9227="Consent (GDPR Art. 6(1)(a))", I9227="Not Captured"), "Gap - Invalid Consent", IF(AND(D9227="Legitimate Interest (GDPR Art. 6(1)(f))", L9227=""), "Gap - Missing LIA", IF(AND(G9227="Yes", H9227=""), "Gap - Missing Art. 9 Basis", IF(OR(I9227="Invalid - Not Freely Given", I9227="Invalid - Not Specific", I9227="Invalid - Not Informed", I9227="Invalid - Ambiguous"), "Gap - Invalid Consent", "Compliant")))))</f>
        <v/>
      </c>
      <c r="O9227" s="7" t="n"/>
    </row>
    <row r="9228">
      <c r="A9228" s="7" t="n"/>
      <c r="B9228" s="7" t="n"/>
      <c r="C9228" s="7" t="n"/>
      <c r="D9228" s="7" t="n"/>
      <c r="E9228" s="7" t="n"/>
      <c r="F9228" s="7" t="n"/>
      <c r="G9228" s="7" t="n"/>
      <c r="H9228" s="7" t="n"/>
      <c r="I9228" s="7" t="n"/>
      <c r="J9228" s="7" t="n"/>
      <c r="K9228">
        <f>IF(D9228="Legitimate Interest (GDPR Art. 6(1)(f))", "Yes / Required (Sheet 3)", "")</f>
        <v/>
      </c>
      <c r="L9228" s="7" t="n"/>
      <c r="M9228" s="7" t="n"/>
      <c r="N9228">
        <f>IF(D9228="", "Gap - No Legal Basis", IF(AND(D9228="Consent (GDPR Art. 6(1)(a))", I9228="Not Captured"), "Gap - Invalid Consent", IF(AND(D9228="Legitimate Interest (GDPR Art. 6(1)(f))", L9228=""), "Gap - Missing LIA", IF(AND(G9228="Yes", H9228=""), "Gap - Missing Art. 9 Basis", IF(OR(I9228="Invalid - Not Freely Given", I9228="Invalid - Not Specific", I9228="Invalid - Not Informed", I9228="Invalid - Ambiguous"), "Gap - Invalid Consent", "Compliant")))))</f>
        <v/>
      </c>
      <c r="O9228" s="7" t="n"/>
    </row>
    <row r="9229">
      <c r="A9229" s="7" t="n"/>
      <c r="B9229" s="7" t="n"/>
      <c r="C9229" s="7" t="n"/>
      <c r="D9229" s="7" t="n"/>
      <c r="E9229" s="7" t="n"/>
      <c r="F9229" s="7" t="n"/>
      <c r="G9229" s="7" t="n"/>
      <c r="H9229" s="7" t="n"/>
      <c r="I9229" s="7" t="n"/>
      <c r="J9229" s="7" t="n"/>
      <c r="K9229">
        <f>IF(D9229="Legitimate Interest (GDPR Art. 6(1)(f))", "Yes / Required (Sheet 3)", "")</f>
        <v/>
      </c>
      <c r="L9229" s="7" t="n"/>
      <c r="M9229" s="7" t="n"/>
      <c r="N9229">
        <f>IF(D9229="", "Gap - No Legal Basis", IF(AND(D9229="Consent (GDPR Art. 6(1)(a))", I9229="Not Captured"), "Gap - Invalid Consent", IF(AND(D9229="Legitimate Interest (GDPR Art. 6(1)(f))", L9229=""), "Gap - Missing LIA", IF(AND(G9229="Yes", H9229=""), "Gap - Missing Art. 9 Basis", IF(OR(I9229="Invalid - Not Freely Given", I9229="Invalid - Not Specific", I9229="Invalid - Not Informed", I9229="Invalid - Ambiguous"), "Gap - Invalid Consent", "Compliant")))))</f>
        <v/>
      </c>
      <c r="O9229" s="7" t="n"/>
    </row>
    <row r="9230">
      <c r="A9230" s="7" t="n"/>
      <c r="B9230" s="7" t="n"/>
      <c r="C9230" s="7" t="n"/>
      <c r="D9230" s="7" t="n"/>
      <c r="E9230" s="7" t="n"/>
      <c r="F9230" s="7" t="n"/>
      <c r="G9230" s="7" t="n"/>
      <c r="H9230" s="7" t="n"/>
      <c r="I9230" s="7" t="n"/>
      <c r="J9230" s="7" t="n"/>
      <c r="K9230">
        <f>IF(D9230="Legitimate Interest (GDPR Art. 6(1)(f))", "Yes / Required (Sheet 3)", "")</f>
        <v/>
      </c>
      <c r="L9230" s="7" t="n"/>
      <c r="M9230" s="7" t="n"/>
      <c r="N9230">
        <f>IF(D9230="", "Gap - No Legal Basis", IF(AND(D9230="Consent (GDPR Art. 6(1)(a))", I9230="Not Captured"), "Gap - Invalid Consent", IF(AND(D9230="Legitimate Interest (GDPR Art. 6(1)(f))", L9230=""), "Gap - Missing LIA", IF(AND(G9230="Yes", H9230=""), "Gap - Missing Art. 9 Basis", IF(OR(I9230="Invalid - Not Freely Given", I9230="Invalid - Not Specific", I9230="Invalid - Not Informed", I9230="Invalid - Ambiguous"), "Gap - Invalid Consent", "Compliant")))))</f>
        <v/>
      </c>
      <c r="O9230" s="7" t="n"/>
    </row>
    <row r="9231">
      <c r="A9231" s="7" t="n"/>
      <c r="B9231" s="7" t="n"/>
      <c r="C9231" s="7" t="n"/>
      <c r="D9231" s="7" t="n"/>
      <c r="E9231" s="7" t="n"/>
      <c r="F9231" s="7" t="n"/>
      <c r="G9231" s="7" t="n"/>
      <c r="H9231" s="7" t="n"/>
      <c r="I9231" s="7" t="n"/>
      <c r="J9231" s="7" t="n"/>
      <c r="K9231">
        <f>IF(D9231="Legitimate Interest (GDPR Art. 6(1)(f))", "Yes / Required (Sheet 3)", "")</f>
        <v/>
      </c>
      <c r="L9231" s="7" t="n"/>
      <c r="M9231" s="7" t="n"/>
      <c r="N9231">
        <f>IF(D9231="", "Gap - No Legal Basis", IF(AND(D9231="Consent (GDPR Art. 6(1)(a))", I9231="Not Captured"), "Gap - Invalid Consent", IF(AND(D9231="Legitimate Interest (GDPR Art. 6(1)(f))", L9231=""), "Gap - Missing LIA", IF(AND(G9231="Yes", H9231=""), "Gap - Missing Art. 9 Basis", IF(OR(I9231="Invalid - Not Freely Given", I9231="Invalid - Not Specific", I9231="Invalid - Not Informed", I9231="Invalid - Ambiguous"), "Gap - Invalid Consent", "Compliant")))))</f>
        <v/>
      </c>
      <c r="O9231" s="7" t="n"/>
    </row>
    <row r="9232">
      <c r="A9232" s="7" t="n"/>
      <c r="B9232" s="7" t="n"/>
      <c r="C9232" s="7" t="n"/>
      <c r="D9232" s="7" t="n"/>
      <c r="E9232" s="7" t="n"/>
      <c r="F9232" s="7" t="n"/>
      <c r="G9232" s="7" t="n"/>
      <c r="H9232" s="7" t="n"/>
      <c r="I9232" s="7" t="n"/>
      <c r="J9232" s="7" t="n"/>
      <c r="K9232">
        <f>IF(D9232="Legitimate Interest (GDPR Art. 6(1)(f))", "Yes / Required (Sheet 3)", "")</f>
        <v/>
      </c>
      <c r="L9232" s="7" t="n"/>
      <c r="M9232" s="7" t="n"/>
      <c r="N9232">
        <f>IF(D9232="", "Gap - No Legal Basis", IF(AND(D9232="Consent (GDPR Art. 6(1)(a))", I9232="Not Captured"), "Gap - Invalid Consent", IF(AND(D9232="Legitimate Interest (GDPR Art. 6(1)(f))", L9232=""), "Gap - Missing LIA", IF(AND(G9232="Yes", H9232=""), "Gap - Missing Art. 9 Basis", IF(OR(I9232="Invalid - Not Freely Given", I9232="Invalid - Not Specific", I9232="Invalid - Not Informed", I9232="Invalid - Ambiguous"), "Gap - Invalid Consent", "Compliant")))))</f>
        <v/>
      </c>
      <c r="O9232" s="7" t="n"/>
    </row>
    <row r="9233">
      <c r="A9233" s="7" t="n"/>
      <c r="B9233" s="7" t="n"/>
      <c r="C9233" s="7" t="n"/>
      <c r="D9233" s="7" t="n"/>
      <c r="E9233" s="7" t="n"/>
      <c r="F9233" s="7" t="n"/>
      <c r="G9233" s="7" t="n"/>
      <c r="H9233" s="7" t="n"/>
      <c r="I9233" s="7" t="n"/>
      <c r="J9233" s="7" t="n"/>
      <c r="K9233">
        <f>IF(D9233="Legitimate Interest (GDPR Art. 6(1)(f))", "Yes / Required (Sheet 3)", "")</f>
        <v/>
      </c>
      <c r="L9233" s="7" t="n"/>
      <c r="M9233" s="7" t="n"/>
      <c r="N9233">
        <f>IF(D9233="", "Gap - No Legal Basis", IF(AND(D9233="Consent (GDPR Art. 6(1)(a))", I9233="Not Captured"), "Gap - Invalid Consent", IF(AND(D9233="Legitimate Interest (GDPR Art. 6(1)(f))", L9233=""), "Gap - Missing LIA", IF(AND(G9233="Yes", H9233=""), "Gap - Missing Art. 9 Basis", IF(OR(I9233="Invalid - Not Freely Given", I9233="Invalid - Not Specific", I9233="Invalid - Not Informed", I9233="Invalid - Ambiguous"), "Gap - Invalid Consent", "Compliant")))))</f>
        <v/>
      </c>
      <c r="O9233" s="7" t="n"/>
    </row>
    <row r="9234">
      <c r="A9234" s="7" t="n"/>
      <c r="B9234" s="7" t="n"/>
      <c r="C9234" s="7" t="n"/>
      <c r="D9234" s="7" t="n"/>
      <c r="E9234" s="7" t="n"/>
      <c r="F9234" s="7" t="n"/>
      <c r="G9234" s="7" t="n"/>
      <c r="H9234" s="7" t="n"/>
      <c r="I9234" s="7" t="n"/>
      <c r="J9234" s="7" t="n"/>
      <c r="K9234">
        <f>IF(D9234="Legitimate Interest (GDPR Art. 6(1)(f))", "Yes / Required (Sheet 3)", "")</f>
        <v/>
      </c>
      <c r="L9234" s="7" t="n"/>
      <c r="M9234" s="7" t="n"/>
      <c r="N9234">
        <f>IF(D9234="", "Gap - No Legal Basis", IF(AND(D9234="Consent (GDPR Art. 6(1)(a))", I9234="Not Captured"), "Gap - Invalid Consent", IF(AND(D9234="Legitimate Interest (GDPR Art. 6(1)(f))", L9234=""), "Gap - Missing LIA", IF(AND(G9234="Yes", H9234=""), "Gap - Missing Art. 9 Basis", IF(OR(I9234="Invalid - Not Freely Given", I9234="Invalid - Not Specific", I9234="Invalid - Not Informed", I9234="Invalid - Ambiguous"), "Gap - Invalid Consent", "Compliant")))))</f>
        <v/>
      </c>
      <c r="O9234" s="7" t="n"/>
    </row>
    <row r="9235">
      <c r="A9235" s="7" t="n"/>
      <c r="B9235" s="7" t="n"/>
      <c r="C9235" s="7" t="n"/>
      <c r="D9235" s="7" t="n"/>
      <c r="E9235" s="7" t="n"/>
      <c r="F9235" s="7" t="n"/>
      <c r="G9235" s="7" t="n"/>
      <c r="H9235" s="7" t="n"/>
      <c r="I9235" s="7" t="n"/>
      <c r="J9235" s="7" t="n"/>
      <c r="K9235">
        <f>IF(D9235="Legitimate Interest (GDPR Art. 6(1)(f))", "Yes / Required (Sheet 3)", "")</f>
        <v/>
      </c>
      <c r="L9235" s="7" t="n"/>
      <c r="M9235" s="7" t="n"/>
      <c r="N9235">
        <f>IF(D9235="", "Gap - No Legal Basis", IF(AND(D9235="Consent (GDPR Art. 6(1)(a))", I9235="Not Captured"), "Gap - Invalid Consent", IF(AND(D9235="Legitimate Interest (GDPR Art. 6(1)(f))", L9235=""), "Gap - Missing LIA", IF(AND(G9235="Yes", H9235=""), "Gap - Missing Art. 9 Basis", IF(OR(I9235="Invalid - Not Freely Given", I9235="Invalid - Not Specific", I9235="Invalid - Not Informed", I9235="Invalid - Ambiguous"), "Gap - Invalid Consent", "Compliant")))))</f>
        <v/>
      </c>
      <c r="O9235" s="7" t="n"/>
    </row>
    <row r="9236">
      <c r="A9236" s="7" t="n"/>
      <c r="B9236" s="7" t="n"/>
      <c r="C9236" s="7" t="n"/>
      <c r="D9236" s="7" t="n"/>
      <c r="E9236" s="7" t="n"/>
      <c r="F9236" s="7" t="n"/>
      <c r="G9236" s="7" t="n"/>
      <c r="H9236" s="7" t="n"/>
      <c r="I9236" s="7" t="n"/>
      <c r="J9236" s="7" t="n"/>
      <c r="K9236">
        <f>IF(D9236="Legitimate Interest (GDPR Art. 6(1)(f))", "Yes / Required (Sheet 3)", "")</f>
        <v/>
      </c>
      <c r="L9236" s="7" t="n"/>
      <c r="M9236" s="7" t="n"/>
      <c r="N9236">
        <f>IF(D9236="", "Gap - No Legal Basis", IF(AND(D9236="Consent (GDPR Art. 6(1)(a))", I9236="Not Captured"), "Gap - Invalid Consent", IF(AND(D9236="Legitimate Interest (GDPR Art. 6(1)(f))", L9236=""), "Gap - Missing LIA", IF(AND(G9236="Yes", H9236=""), "Gap - Missing Art. 9 Basis", IF(OR(I9236="Invalid - Not Freely Given", I9236="Invalid - Not Specific", I9236="Invalid - Not Informed", I9236="Invalid - Ambiguous"), "Gap - Invalid Consent", "Compliant")))))</f>
        <v/>
      </c>
      <c r="O9236" s="7" t="n"/>
    </row>
    <row r="9237">
      <c r="A9237" s="7" t="n"/>
      <c r="B9237" s="7" t="n"/>
      <c r="C9237" s="7" t="n"/>
      <c r="D9237" s="7" t="n"/>
      <c r="E9237" s="7" t="n"/>
      <c r="F9237" s="7" t="n"/>
      <c r="G9237" s="7" t="n"/>
      <c r="H9237" s="7" t="n"/>
      <c r="I9237" s="7" t="n"/>
      <c r="J9237" s="7" t="n"/>
      <c r="K9237">
        <f>IF(D9237="Legitimate Interest (GDPR Art. 6(1)(f))", "Yes / Required (Sheet 3)", "")</f>
        <v/>
      </c>
      <c r="L9237" s="7" t="n"/>
      <c r="M9237" s="7" t="n"/>
      <c r="N9237">
        <f>IF(D9237="", "Gap - No Legal Basis", IF(AND(D9237="Consent (GDPR Art. 6(1)(a))", I9237="Not Captured"), "Gap - Invalid Consent", IF(AND(D9237="Legitimate Interest (GDPR Art. 6(1)(f))", L9237=""), "Gap - Missing LIA", IF(AND(G9237="Yes", H9237=""), "Gap - Missing Art. 9 Basis", IF(OR(I9237="Invalid - Not Freely Given", I9237="Invalid - Not Specific", I9237="Invalid - Not Informed", I9237="Invalid - Ambiguous"), "Gap - Invalid Consent", "Compliant")))))</f>
        <v/>
      </c>
      <c r="O9237" s="7" t="n"/>
    </row>
    <row r="9238">
      <c r="A9238" s="7" t="n"/>
      <c r="B9238" s="7" t="n"/>
      <c r="C9238" s="7" t="n"/>
      <c r="D9238" s="7" t="n"/>
      <c r="E9238" s="7" t="n"/>
      <c r="F9238" s="7" t="n"/>
      <c r="G9238" s="7" t="n"/>
      <c r="H9238" s="7" t="n"/>
      <c r="I9238" s="7" t="n"/>
      <c r="J9238" s="7" t="n"/>
      <c r="K9238">
        <f>IF(D9238="Legitimate Interest (GDPR Art. 6(1)(f))", "Yes / Required (Sheet 3)", "")</f>
        <v/>
      </c>
      <c r="L9238" s="7" t="n"/>
      <c r="M9238" s="7" t="n"/>
      <c r="N9238">
        <f>IF(D9238="", "Gap - No Legal Basis", IF(AND(D9238="Consent (GDPR Art. 6(1)(a))", I9238="Not Captured"), "Gap - Invalid Consent", IF(AND(D9238="Legitimate Interest (GDPR Art. 6(1)(f))", L9238=""), "Gap - Missing LIA", IF(AND(G9238="Yes", H9238=""), "Gap - Missing Art. 9 Basis", IF(OR(I9238="Invalid - Not Freely Given", I9238="Invalid - Not Specific", I9238="Invalid - Not Informed", I9238="Invalid - Ambiguous"), "Gap - Invalid Consent", "Compliant")))))</f>
        <v/>
      </c>
      <c r="O9238" s="7" t="n"/>
    </row>
    <row r="9239">
      <c r="A9239" s="7" t="n"/>
      <c r="B9239" s="7" t="n"/>
      <c r="C9239" s="7" t="n"/>
      <c r="D9239" s="7" t="n"/>
      <c r="E9239" s="7" t="n"/>
      <c r="F9239" s="7" t="n"/>
      <c r="G9239" s="7" t="n"/>
      <c r="H9239" s="7" t="n"/>
      <c r="I9239" s="7" t="n"/>
      <c r="J9239" s="7" t="n"/>
      <c r="K9239">
        <f>IF(D9239="Legitimate Interest (GDPR Art. 6(1)(f))", "Yes / Required (Sheet 3)", "")</f>
        <v/>
      </c>
      <c r="L9239" s="7" t="n"/>
      <c r="M9239" s="7" t="n"/>
      <c r="N9239">
        <f>IF(D9239="", "Gap - No Legal Basis", IF(AND(D9239="Consent (GDPR Art. 6(1)(a))", I9239="Not Captured"), "Gap - Invalid Consent", IF(AND(D9239="Legitimate Interest (GDPR Art. 6(1)(f))", L9239=""), "Gap - Missing LIA", IF(AND(G9239="Yes", H9239=""), "Gap - Missing Art. 9 Basis", IF(OR(I9239="Invalid - Not Freely Given", I9239="Invalid - Not Specific", I9239="Invalid - Not Informed", I9239="Invalid - Ambiguous"), "Gap - Invalid Consent", "Compliant")))))</f>
        <v/>
      </c>
      <c r="O9239" s="7" t="n"/>
    </row>
    <row r="9240">
      <c r="A9240" s="7" t="n"/>
      <c r="B9240" s="7" t="n"/>
      <c r="C9240" s="7" t="n"/>
      <c r="D9240" s="7" t="n"/>
      <c r="E9240" s="7" t="n"/>
      <c r="F9240" s="7" t="n"/>
      <c r="G9240" s="7" t="n"/>
      <c r="H9240" s="7" t="n"/>
      <c r="I9240" s="7" t="n"/>
      <c r="J9240" s="7" t="n"/>
      <c r="K9240">
        <f>IF(D9240="Legitimate Interest (GDPR Art. 6(1)(f))", "Yes / Required (Sheet 3)", "")</f>
        <v/>
      </c>
      <c r="L9240" s="7" t="n"/>
      <c r="M9240" s="7" t="n"/>
      <c r="N9240">
        <f>IF(D9240="", "Gap - No Legal Basis", IF(AND(D9240="Consent (GDPR Art. 6(1)(a))", I9240="Not Captured"), "Gap - Invalid Consent", IF(AND(D9240="Legitimate Interest (GDPR Art. 6(1)(f))", L9240=""), "Gap - Missing LIA", IF(AND(G9240="Yes", H9240=""), "Gap - Missing Art. 9 Basis", IF(OR(I9240="Invalid - Not Freely Given", I9240="Invalid - Not Specific", I9240="Invalid - Not Informed", I9240="Invalid - Ambiguous"), "Gap - Invalid Consent", "Compliant")))))</f>
        <v/>
      </c>
      <c r="O9240" s="7" t="n"/>
    </row>
    <row r="9241">
      <c r="A9241" s="7" t="n"/>
      <c r="B9241" s="7" t="n"/>
      <c r="C9241" s="7" t="n"/>
      <c r="D9241" s="7" t="n"/>
      <c r="E9241" s="7" t="n"/>
      <c r="F9241" s="7" t="n"/>
      <c r="G9241" s="7" t="n"/>
      <c r="H9241" s="7" t="n"/>
      <c r="I9241" s="7" t="n"/>
      <c r="J9241" s="7" t="n"/>
      <c r="K9241">
        <f>IF(D9241="Legitimate Interest (GDPR Art. 6(1)(f))", "Yes / Required (Sheet 3)", "")</f>
        <v/>
      </c>
      <c r="L9241" s="7" t="n"/>
      <c r="M9241" s="7" t="n"/>
      <c r="N9241">
        <f>IF(D9241="", "Gap - No Legal Basis", IF(AND(D9241="Consent (GDPR Art. 6(1)(a))", I9241="Not Captured"), "Gap - Invalid Consent", IF(AND(D9241="Legitimate Interest (GDPR Art. 6(1)(f))", L9241=""), "Gap - Missing LIA", IF(AND(G9241="Yes", H9241=""), "Gap - Missing Art. 9 Basis", IF(OR(I9241="Invalid - Not Freely Given", I9241="Invalid - Not Specific", I9241="Invalid - Not Informed", I9241="Invalid - Ambiguous"), "Gap - Invalid Consent", "Compliant")))))</f>
        <v/>
      </c>
      <c r="O9241" s="7" t="n"/>
    </row>
    <row r="9242">
      <c r="A9242" s="7" t="n"/>
      <c r="B9242" s="7" t="n"/>
      <c r="C9242" s="7" t="n"/>
      <c r="D9242" s="7" t="n"/>
      <c r="E9242" s="7" t="n"/>
      <c r="F9242" s="7" t="n"/>
      <c r="G9242" s="7" t="n"/>
      <c r="H9242" s="7" t="n"/>
      <c r="I9242" s="7" t="n"/>
      <c r="J9242" s="7" t="n"/>
      <c r="K9242">
        <f>IF(D9242="Legitimate Interest (GDPR Art. 6(1)(f))", "Yes / Required (Sheet 3)", "")</f>
        <v/>
      </c>
      <c r="L9242" s="7" t="n"/>
      <c r="M9242" s="7" t="n"/>
      <c r="N9242">
        <f>IF(D9242="", "Gap - No Legal Basis", IF(AND(D9242="Consent (GDPR Art. 6(1)(a))", I9242="Not Captured"), "Gap - Invalid Consent", IF(AND(D9242="Legitimate Interest (GDPR Art. 6(1)(f))", L9242=""), "Gap - Missing LIA", IF(AND(G9242="Yes", H9242=""), "Gap - Missing Art. 9 Basis", IF(OR(I9242="Invalid - Not Freely Given", I9242="Invalid - Not Specific", I9242="Invalid - Not Informed", I9242="Invalid - Ambiguous"), "Gap - Invalid Consent", "Compliant")))))</f>
        <v/>
      </c>
      <c r="O9242" s="7" t="n"/>
    </row>
    <row r="9243">
      <c r="A9243" s="7" t="n"/>
      <c r="B9243" s="7" t="n"/>
      <c r="C9243" s="7" t="n"/>
      <c r="D9243" s="7" t="n"/>
      <c r="E9243" s="7" t="n"/>
      <c r="F9243" s="7" t="n"/>
      <c r="G9243" s="7" t="n"/>
      <c r="H9243" s="7" t="n"/>
      <c r="I9243" s="7" t="n"/>
      <c r="J9243" s="7" t="n"/>
      <c r="K9243">
        <f>IF(D9243="Legitimate Interest (GDPR Art. 6(1)(f))", "Yes / Required (Sheet 3)", "")</f>
        <v/>
      </c>
      <c r="L9243" s="7" t="n"/>
      <c r="M9243" s="7" t="n"/>
      <c r="N9243">
        <f>IF(D9243="", "Gap - No Legal Basis", IF(AND(D9243="Consent (GDPR Art. 6(1)(a))", I9243="Not Captured"), "Gap - Invalid Consent", IF(AND(D9243="Legitimate Interest (GDPR Art. 6(1)(f))", L9243=""), "Gap - Missing LIA", IF(AND(G9243="Yes", H9243=""), "Gap - Missing Art. 9 Basis", IF(OR(I9243="Invalid - Not Freely Given", I9243="Invalid - Not Specific", I9243="Invalid - Not Informed", I9243="Invalid - Ambiguous"), "Gap - Invalid Consent", "Compliant")))))</f>
        <v/>
      </c>
      <c r="O9243" s="7" t="n"/>
    </row>
    <row r="9244">
      <c r="A9244" s="7" t="n"/>
      <c r="B9244" s="7" t="n"/>
      <c r="C9244" s="7" t="n"/>
      <c r="D9244" s="7" t="n"/>
      <c r="E9244" s="7" t="n"/>
      <c r="F9244" s="7" t="n"/>
      <c r="G9244" s="7" t="n"/>
      <c r="H9244" s="7" t="n"/>
      <c r="I9244" s="7" t="n"/>
      <c r="J9244" s="7" t="n"/>
      <c r="K9244">
        <f>IF(D9244="Legitimate Interest (GDPR Art. 6(1)(f))", "Yes / Required (Sheet 3)", "")</f>
        <v/>
      </c>
      <c r="L9244" s="7" t="n"/>
      <c r="M9244" s="7" t="n"/>
      <c r="N9244">
        <f>IF(D9244="", "Gap - No Legal Basis", IF(AND(D9244="Consent (GDPR Art. 6(1)(a))", I9244="Not Captured"), "Gap - Invalid Consent", IF(AND(D9244="Legitimate Interest (GDPR Art. 6(1)(f))", L9244=""), "Gap - Missing LIA", IF(AND(G9244="Yes", H9244=""), "Gap - Missing Art. 9 Basis", IF(OR(I9244="Invalid - Not Freely Given", I9244="Invalid - Not Specific", I9244="Invalid - Not Informed", I9244="Invalid - Ambiguous"), "Gap - Invalid Consent", "Compliant")))))</f>
        <v/>
      </c>
      <c r="O9244" s="7" t="n"/>
    </row>
    <row r="9245">
      <c r="A9245" s="7" t="n"/>
      <c r="B9245" s="7" t="n"/>
      <c r="C9245" s="7" t="n"/>
      <c r="D9245" s="7" t="n"/>
      <c r="E9245" s="7" t="n"/>
      <c r="F9245" s="7" t="n"/>
      <c r="G9245" s="7" t="n"/>
      <c r="H9245" s="7" t="n"/>
      <c r="I9245" s="7" t="n"/>
      <c r="J9245" s="7" t="n"/>
      <c r="K9245">
        <f>IF(D9245="Legitimate Interest (GDPR Art. 6(1)(f))", "Yes / Required (Sheet 3)", "")</f>
        <v/>
      </c>
      <c r="L9245" s="7" t="n"/>
      <c r="M9245" s="7" t="n"/>
      <c r="N9245">
        <f>IF(D9245="", "Gap - No Legal Basis", IF(AND(D9245="Consent (GDPR Art. 6(1)(a))", I9245="Not Captured"), "Gap - Invalid Consent", IF(AND(D9245="Legitimate Interest (GDPR Art. 6(1)(f))", L9245=""), "Gap - Missing LIA", IF(AND(G9245="Yes", H9245=""), "Gap - Missing Art. 9 Basis", IF(OR(I9245="Invalid - Not Freely Given", I9245="Invalid - Not Specific", I9245="Invalid - Not Informed", I9245="Invalid - Ambiguous"), "Gap - Invalid Consent", "Compliant")))))</f>
        <v/>
      </c>
      <c r="O9245" s="7" t="n"/>
    </row>
    <row r="9246">
      <c r="A9246" s="7" t="n"/>
      <c r="B9246" s="7" t="n"/>
      <c r="C9246" s="7" t="n"/>
      <c r="D9246" s="7" t="n"/>
      <c r="E9246" s="7" t="n"/>
      <c r="F9246" s="7" t="n"/>
      <c r="G9246" s="7" t="n"/>
      <c r="H9246" s="7" t="n"/>
      <c r="I9246" s="7" t="n"/>
      <c r="J9246" s="7" t="n"/>
      <c r="K9246">
        <f>IF(D9246="Legitimate Interest (GDPR Art. 6(1)(f))", "Yes / Required (Sheet 3)", "")</f>
        <v/>
      </c>
      <c r="L9246" s="7" t="n"/>
      <c r="M9246" s="7" t="n"/>
      <c r="N9246">
        <f>IF(D9246="", "Gap - No Legal Basis", IF(AND(D9246="Consent (GDPR Art. 6(1)(a))", I9246="Not Captured"), "Gap - Invalid Consent", IF(AND(D9246="Legitimate Interest (GDPR Art. 6(1)(f))", L9246=""), "Gap - Missing LIA", IF(AND(G9246="Yes", H9246=""), "Gap - Missing Art. 9 Basis", IF(OR(I9246="Invalid - Not Freely Given", I9246="Invalid - Not Specific", I9246="Invalid - Not Informed", I9246="Invalid - Ambiguous"), "Gap - Invalid Consent", "Compliant")))))</f>
        <v/>
      </c>
      <c r="O9246" s="7" t="n"/>
    </row>
    <row r="9247">
      <c r="A9247" s="7" t="n"/>
      <c r="B9247" s="7" t="n"/>
      <c r="C9247" s="7" t="n"/>
      <c r="D9247" s="7" t="n"/>
      <c r="E9247" s="7" t="n"/>
      <c r="F9247" s="7" t="n"/>
      <c r="G9247" s="7" t="n"/>
      <c r="H9247" s="7" t="n"/>
      <c r="I9247" s="7" t="n"/>
      <c r="J9247" s="7" t="n"/>
      <c r="K9247">
        <f>IF(D9247="Legitimate Interest (GDPR Art. 6(1)(f))", "Yes / Required (Sheet 3)", "")</f>
        <v/>
      </c>
      <c r="L9247" s="7" t="n"/>
      <c r="M9247" s="7" t="n"/>
      <c r="N9247">
        <f>IF(D9247="", "Gap - No Legal Basis", IF(AND(D9247="Consent (GDPR Art. 6(1)(a))", I9247="Not Captured"), "Gap - Invalid Consent", IF(AND(D9247="Legitimate Interest (GDPR Art. 6(1)(f))", L9247=""), "Gap - Missing LIA", IF(AND(G9247="Yes", H9247=""), "Gap - Missing Art. 9 Basis", IF(OR(I9247="Invalid - Not Freely Given", I9247="Invalid - Not Specific", I9247="Invalid - Not Informed", I9247="Invalid - Ambiguous"), "Gap - Invalid Consent", "Compliant")))))</f>
        <v/>
      </c>
      <c r="O9247" s="7" t="n"/>
    </row>
    <row r="9248">
      <c r="A9248" s="7" t="n"/>
      <c r="B9248" s="7" t="n"/>
      <c r="C9248" s="7" t="n"/>
      <c r="D9248" s="7" t="n"/>
      <c r="E9248" s="7" t="n"/>
      <c r="F9248" s="7" t="n"/>
      <c r="G9248" s="7" t="n"/>
      <c r="H9248" s="7" t="n"/>
      <c r="I9248" s="7" t="n"/>
      <c r="J9248" s="7" t="n"/>
      <c r="K9248">
        <f>IF(D9248="Legitimate Interest (GDPR Art. 6(1)(f))", "Yes / Required (Sheet 3)", "")</f>
        <v/>
      </c>
      <c r="L9248" s="7" t="n"/>
      <c r="M9248" s="7" t="n"/>
      <c r="N9248">
        <f>IF(D9248="", "Gap - No Legal Basis", IF(AND(D9248="Consent (GDPR Art. 6(1)(a))", I9248="Not Captured"), "Gap - Invalid Consent", IF(AND(D9248="Legitimate Interest (GDPR Art. 6(1)(f))", L9248=""), "Gap - Missing LIA", IF(AND(G9248="Yes", H9248=""), "Gap - Missing Art. 9 Basis", IF(OR(I9248="Invalid - Not Freely Given", I9248="Invalid - Not Specific", I9248="Invalid - Not Informed", I9248="Invalid - Ambiguous"), "Gap - Invalid Consent", "Compliant")))))</f>
        <v/>
      </c>
      <c r="O9248" s="7" t="n"/>
    </row>
    <row r="9249">
      <c r="A9249" s="7" t="n"/>
      <c r="B9249" s="7" t="n"/>
      <c r="C9249" s="7" t="n"/>
      <c r="D9249" s="7" t="n"/>
      <c r="E9249" s="7" t="n"/>
      <c r="F9249" s="7" t="n"/>
      <c r="G9249" s="7" t="n"/>
      <c r="H9249" s="7" t="n"/>
      <c r="I9249" s="7" t="n"/>
      <c r="J9249" s="7" t="n"/>
      <c r="K9249">
        <f>IF(D9249="Legitimate Interest (GDPR Art. 6(1)(f))", "Yes / Required (Sheet 3)", "")</f>
        <v/>
      </c>
      <c r="L9249" s="7" t="n"/>
      <c r="M9249" s="7" t="n"/>
      <c r="N9249">
        <f>IF(D9249="", "Gap - No Legal Basis", IF(AND(D9249="Consent (GDPR Art. 6(1)(a))", I9249="Not Captured"), "Gap - Invalid Consent", IF(AND(D9249="Legitimate Interest (GDPR Art. 6(1)(f))", L9249=""), "Gap - Missing LIA", IF(AND(G9249="Yes", H9249=""), "Gap - Missing Art. 9 Basis", IF(OR(I9249="Invalid - Not Freely Given", I9249="Invalid - Not Specific", I9249="Invalid - Not Informed", I9249="Invalid - Ambiguous"), "Gap - Invalid Consent", "Compliant")))))</f>
        <v/>
      </c>
      <c r="O9249" s="7" t="n"/>
    </row>
    <row r="9250">
      <c r="A9250" s="7" t="n"/>
      <c r="B9250" s="7" t="n"/>
      <c r="C9250" s="7" t="n"/>
      <c r="D9250" s="7" t="n"/>
      <c r="E9250" s="7" t="n"/>
      <c r="F9250" s="7" t="n"/>
      <c r="G9250" s="7" t="n"/>
      <c r="H9250" s="7" t="n"/>
      <c r="I9250" s="7" t="n"/>
      <c r="J9250" s="7" t="n"/>
      <c r="K9250">
        <f>IF(D9250="Legitimate Interest (GDPR Art. 6(1)(f))", "Yes / Required (Sheet 3)", "")</f>
        <v/>
      </c>
      <c r="L9250" s="7" t="n"/>
      <c r="M9250" s="7" t="n"/>
      <c r="N9250">
        <f>IF(D9250="", "Gap - No Legal Basis", IF(AND(D9250="Consent (GDPR Art. 6(1)(a))", I9250="Not Captured"), "Gap - Invalid Consent", IF(AND(D9250="Legitimate Interest (GDPR Art. 6(1)(f))", L9250=""), "Gap - Missing LIA", IF(AND(G9250="Yes", H9250=""), "Gap - Missing Art. 9 Basis", IF(OR(I9250="Invalid - Not Freely Given", I9250="Invalid - Not Specific", I9250="Invalid - Not Informed", I9250="Invalid - Ambiguous"), "Gap - Invalid Consent", "Compliant")))))</f>
        <v/>
      </c>
      <c r="O9250" s="7" t="n"/>
    </row>
    <row r="9251">
      <c r="A9251" s="7" t="n"/>
      <c r="B9251" s="7" t="n"/>
      <c r="C9251" s="7" t="n"/>
      <c r="D9251" s="7" t="n"/>
      <c r="E9251" s="7" t="n"/>
      <c r="F9251" s="7" t="n"/>
      <c r="G9251" s="7" t="n"/>
      <c r="H9251" s="7" t="n"/>
      <c r="I9251" s="7" t="n"/>
      <c r="J9251" s="7" t="n"/>
      <c r="K9251">
        <f>IF(D9251="Legitimate Interest (GDPR Art. 6(1)(f))", "Yes / Required (Sheet 3)", "")</f>
        <v/>
      </c>
      <c r="L9251" s="7" t="n"/>
      <c r="M9251" s="7" t="n"/>
      <c r="N9251">
        <f>IF(D9251="", "Gap - No Legal Basis", IF(AND(D9251="Consent (GDPR Art. 6(1)(a))", I9251="Not Captured"), "Gap - Invalid Consent", IF(AND(D9251="Legitimate Interest (GDPR Art. 6(1)(f))", L9251=""), "Gap - Missing LIA", IF(AND(G9251="Yes", H9251=""), "Gap - Missing Art. 9 Basis", IF(OR(I9251="Invalid - Not Freely Given", I9251="Invalid - Not Specific", I9251="Invalid - Not Informed", I9251="Invalid - Ambiguous"), "Gap - Invalid Consent", "Compliant")))))</f>
        <v/>
      </c>
      <c r="O9251" s="7" t="n"/>
    </row>
    <row r="9252">
      <c r="A9252" s="7" t="n"/>
      <c r="B9252" s="7" t="n"/>
      <c r="C9252" s="7" t="n"/>
      <c r="D9252" s="7" t="n"/>
      <c r="E9252" s="7" t="n"/>
      <c r="F9252" s="7" t="n"/>
      <c r="G9252" s="7" t="n"/>
      <c r="H9252" s="7" t="n"/>
      <c r="I9252" s="7" t="n"/>
      <c r="J9252" s="7" t="n"/>
      <c r="K9252">
        <f>IF(D9252="Legitimate Interest (GDPR Art. 6(1)(f))", "Yes / Required (Sheet 3)", "")</f>
        <v/>
      </c>
      <c r="L9252" s="7" t="n"/>
      <c r="M9252" s="7" t="n"/>
      <c r="N9252">
        <f>IF(D9252="", "Gap - No Legal Basis", IF(AND(D9252="Consent (GDPR Art. 6(1)(a))", I9252="Not Captured"), "Gap - Invalid Consent", IF(AND(D9252="Legitimate Interest (GDPR Art. 6(1)(f))", L9252=""), "Gap - Missing LIA", IF(AND(G9252="Yes", H9252=""), "Gap - Missing Art. 9 Basis", IF(OR(I9252="Invalid - Not Freely Given", I9252="Invalid - Not Specific", I9252="Invalid - Not Informed", I9252="Invalid - Ambiguous"), "Gap - Invalid Consent", "Compliant")))))</f>
        <v/>
      </c>
      <c r="O9252" s="7" t="n"/>
    </row>
    <row r="9253">
      <c r="A9253" s="7" t="n"/>
      <c r="B9253" s="7" t="n"/>
      <c r="C9253" s="7" t="n"/>
      <c r="D9253" s="7" t="n"/>
      <c r="E9253" s="7" t="n"/>
      <c r="F9253" s="7" t="n"/>
      <c r="G9253" s="7" t="n"/>
      <c r="H9253" s="7" t="n"/>
      <c r="I9253" s="7" t="n"/>
      <c r="J9253" s="7" t="n"/>
      <c r="K9253">
        <f>IF(D9253="Legitimate Interest (GDPR Art. 6(1)(f))", "Yes / Required (Sheet 3)", "")</f>
        <v/>
      </c>
      <c r="L9253" s="7" t="n"/>
      <c r="M9253" s="7" t="n"/>
      <c r="N9253">
        <f>IF(D9253="", "Gap - No Legal Basis", IF(AND(D9253="Consent (GDPR Art. 6(1)(a))", I9253="Not Captured"), "Gap - Invalid Consent", IF(AND(D9253="Legitimate Interest (GDPR Art. 6(1)(f))", L9253=""), "Gap - Missing LIA", IF(AND(G9253="Yes", H9253=""), "Gap - Missing Art. 9 Basis", IF(OR(I9253="Invalid - Not Freely Given", I9253="Invalid - Not Specific", I9253="Invalid - Not Informed", I9253="Invalid - Ambiguous"), "Gap - Invalid Consent", "Compliant")))))</f>
        <v/>
      </c>
      <c r="O9253" s="7" t="n"/>
    </row>
    <row r="9254">
      <c r="A9254" s="7" t="n"/>
      <c r="B9254" s="7" t="n"/>
      <c r="C9254" s="7" t="n"/>
      <c r="D9254" s="7" t="n"/>
      <c r="E9254" s="7" t="n"/>
      <c r="F9254" s="7" t="n"/>
      <c r="G9254" s="7" t="n"/>
      <c r="H9254" s="7" t="n"/>
      <c r="I9254" s="7" t="n"/>
      <c r="J9254" s="7" t="n"/>
      <c r="K9254">
        <f>IF(D9254="Legitimate Interest (GDPR Art. 6(1)(f))", "Yes / Required (Sheet 3)", "")</f>
        <v/>
      </c>
      <c r="L9254" s="7" t="n"/>
      <c r="M9254" s="7" t="n"/>
      <c r="N9254">
        <f>IF(D9254="", "Gap - No Legal Basis", IF(AND(D9254="Consent (GDPR Art. 6(1)(a))", I9254="Not Captured"), "Gap - Invalid Consent", IF(AND(D9254="Legitimate Interest (GDPR Art. 6(1)(f))", L9254=""), "Gap - Missing LIA", IF(AND(G9254="Yes", H9254=""), "Gap - Missing Art. 9 Basis", IF(OR(I9254="Invalid - Not Freely Given", I9254="Invalid - Not Specific", I9254="Invalid - Not Informed", I9254="Invalid - Ambiguous"), "Gap - Invalid Consent", "Compliant")))))</f>
        <v/>
      </c>
      <c r="O9254" s="7" t="n"/>
    </row>
    <row r="9255">
      <c r="A9255" s="7" t="n"/>
      <c r="B9255" s="7" t="n"/>
      <c r="C9255" s="7" t="n"/>
      <c r="D9255" s="7" t="n"/>
      <c r="E9255" s="7" t="n"/>
      <c r="F9255" s="7" t="n"/>
      <c r="G9255" s="7" t="n"/>
      <c r="H9255" s="7" t="n"/>
      <c r="I9255" s="7" t="n"/>
      <c r="J9255" s="7" t="n"/>
      <c r="K9255">
        <f>IF(D9255="Legitimate Interest (GDPR Art. 6(1)(f))", "Yes / Required (Sheet 3)", "")</f>
        <v/>
      </c>
      <c r="L9255" s="7" t="n"/>
      <c r="M9255" s="7" t="n"/>
      <c r="N9255">
        <f>IF(D9255="", "Gap - No Legal Basis", IF(AND(D9255="Consent (GDPR Art. 6(1)(a))", I9255="Not Captured"), "Gap - Invalid Consent", IF(AND(D9255="Legitimate Interest (GDPR Art. 6(1)(f))", L9255=""), "Gap - Missing LIA", IF(AND(G9255="Yes", H9255=""), "Gap - Missing Art. 9 Basis", IF(OR(I9255="Invalid - Not Freely Given", I9255="Invalid - Not Specific", I9255="Invalid - Not Informed", I9255="Invalid - Ambiguous"), "Gap - Invalid Consent", "Compliant")))))</f>
        <v/>
      </c>
      <c r="O9255" s="7" t="n"/>
    </row>
    <row r="9256">
      <c r="A9256" s="7" t="n"/>
      <c r="B9256" s="7" t="n"/>
      <c r="C9256" s="7" t="n"/>
      <c r="D9256" s="7" t="n"/>
      <c r="E9256" s="7" t="n"/>
      <c r="F9256" s="7" t="n"/>
      <c r="G9256" s="7" t="n"/>
      <c r="H9256" s="7" t="n"/>
      <c r="I9256" s="7" t="n"/>
      <c r="J9256" s="7" t="n"/>
      <c r="K9256">
        <f>IF(D9256="Legitimate Interest (GDPR Art. 6(1)(f))", "Yes / Required (Sheet 3)", "")</f>
        <v/>
      </c>
      <c r="L9256" s="7" t="n"/>
      <c r="M9256" s="7" t="n"/>
      <c r="N9256">
        <f>IF(D9256="", "Gap - No Legal Basis", IF(AND(D9256="Consent (GDPR Art. 6(1)(a))", I9256="Not Captured"), "Gap - Invalid Consent", IF(AND(D9256="Legitimate Interest (GDPR Art. 6(1)(f))", L9256=""), "Gap - Missing LIA", IF(AND(G9256="Yes", H9256=""), "Gap - Missing Art. 9 Basis", IF(OR(I9256="Invalid - Not Freely Given", I9256="Invalid - Not Specific", I9256="Invalid - Not Informed", I9256="Invalid - Ambiguous"), "Gap - Invalid Consent", "Compliant")))))</f>
        <v/>
      </c>
      <c r="O9256" s="7" t="n"/>
    </row>
    <row r="9257">
      <c r="A9257" s="7" t="n"/>
      <c r="B9257" s="7" t="n"/>
      <c r="C9257" s="7" t="n"/>
      <c r="D9257" s="7" t="n"/>
      <c r="E9257" s="7" t="n"/>
      <c r="F9257" s="7" t="n"/>
      <c r="G9257" s="7" t="n"/>
      <c r="H9257" s="7" t="n"/>
      <c r="I9257" s="7" t="n"/>
      <c r="J9257" s="7" t="n"/>
      <c r="K9257">
        <f>IF(D9257="Legitimate Interest (GDPR Art. 6(1)(f))", "Yes / Required (Sheet 3)", "")</f>
        <v/>
      </c>
      <c r="L9257" s="7" t="n"/>
      <c r="M9257" s="7" t="n"/>
      <c r="N9257">
        <f>IF(D9257="", "Gap - No Legal Basis", IF(AND(D9257="Consent (GDPR Art. 6(1)(a))", I9257="Not Captured"), "Gap - Invalid Consent", IF(AND(D9257="Legitimate Interest (GDPR Art. 6(1)(f))", L9257=""), "Gap - Missing LIA", IF(AND(G9257="Yes", H9257=""), "Gap - Missing Art. 9 Basis", IF(OR(I9257="Invalid - Not Freely Given", I9257="Invalid - Not Specific", I9257="Invalid - Not Informed", I9257="Invalid - Ambiguous"), "Gap - Invalid Consent", "Compliant")))))</f>
        <v/>
      </c>
      <c r="O9257" s="7" t="n"/>
    </row>
    <row r="9258">
      <c r="A9258" s="7" t="n"/>
      <c r="B9258" s="7" t="n"/>
      <c r="C9258" s="7" t="n"/>
      <c r="D9258" s="7" t="n"/>
      <c r="E9258" s="7" t="n"/>
      <c r="F9258" s="7" t="n"/>
      <c r="G9258" s="7" t="n"/>
      <c r="H9258" s="7" t="n"/>
      <c r="I9258" s="7" t="n"/>
      <c r="J9258" s="7" t="n"/>
      <c r="K9258">
        <f>IF(D9258="Legitimate Interest (GDPR Art. 6(1)(f))", "Yes / Required (Sheet 3)", "")</f>
        <v/>
      </c>
      <c r="L9258" s="7" t="n"/>
      <c r="M9258" s="7" t="n"/>
      <c r="N9258">
        <f>IF(D9258="", "Gap - No Legal Basis", IF(AND(D9258="Consent (GDPR Art. 6(1)(a))", I9258="Not Captured"), "Gap - Invalid Consent", IF(AND(D9258="Legitimate Interest (GDPR Art. 6(1)(f))", L9258=""), "Gap - Missing LIA", IF(AND(G9258="Yes", H9258=""), "Gap - Missing Art. 9 Basis", IF(OR(I9258="Invalid - Not Freely Given", I9258="Invalid - Not Specific", I9258="Invalid - Not Informed", I9258="Invalid - Ambiguous"), "Gap - Invalid Consent", "Compliant")))))</f>
        <v/>
      </c>
      <c r="O9258" s="7" t="n"/>
    </row>
    <row r="9259">
      <c r="A9259" s="7" t="n"/>
      <c r="B9259" s="7" t="n"/>
      <c r="C9259" s="7" t="n"/>
      <c r="D9259" s="7" t="n"/>
      <c r="E9259" s="7" t="n"/>
      <c r="F9259" s="7" t="n"/>
      <c r="G9259" s="7" t="n"/>
      <c r="H9259" s="7" t="n"/>
      <c r="I9259" s="7" t="n"/>
      <c r="J9259" s="7" t="n"/>
      <c r="K9259">
        <f>IF(D9259="Legitimate Interest (GDPR Art. 6(1)(f))", "Yes / Required (Sheet 3)", "")</f>
        <v/>
      </c>
      <c r="L9259" s="7" t="n"/>
      <c r="M9259" s="7" t="n"/>
      <c r="N9259">
        <f>IF(D9259="", "Gap - No Legal Basis", IF(AND(D9259="Consent (GDPR Art. 6(1)(a))", I9259="Not Captured"), "Gap - Invalid Consent", IF(AND(D9259="Legitimate Interest (GDPR Art. 6(1)(f))", L9259=""), "Gap - Missing LIA", IF(AND(G9259="Yes", H9259=""), "Gap - Missing Art. 9 Basis", IF(OR(I9259="Invalid - Not Freely Given", I9259="Invalid - Not Specific", I9259="Invalid - Not Informed", I9259="Invalid - Ambiguous"), "Gap - Invalid Consent", "Compliant")))))</f>
        <v/>
      </c>
      <c r="O9259" s="7" t="n"/>
    </row>
    <row r="9260">
      <c r="A9260" s="7" t="n"/>
      <c r="B9260" s="7" t="n"/>
      <c r="C9260" s="7" t="n"/>
      <c r="D9260" s="7" t="n"/>
      <c r="E9260" s="7" t="n"/>
      <c r="F9260" s="7" t="n"/>
      <c r="G9260" s="7" t="n"/>
      <c r="H9260" s="7" t="n"/>
      <c r="I9260" s="7" t="n"/>
      <c r="J9260" s="7" t="n"/>
      <c r="K9260">
        <f>IF(D9260="Legitimate Interest (GDPR Art. 6(1)(f))", "Yes / Required (Sheet 3)", "")</f>
        <v/>
      </c>
      <c r="L9260" s="7" t="n"/>
      <c r="M9260" s="7" t="n"/>
      <c r="N9260">
        <f>IF(D9260="", "Gap - No Legal Basis", IF(AND(D9260="Consent (GDPR Art. 6(1)(a))", I9260="Not Captured"), "Gap - Invalid Consent", IF(AND(D9260="Legitimate Interest (GDPR Art. 6(1)(f))", L9260=""), "Gap - Missing LIA", IF(AND(G9260="Yes", H9260=""), "Gap - Missing Art. 9 Basis", IF(OR(I9260="Invalid - Not Freely Given", I9260="Invalid - Not Specific", I9260="Invalid - Not Informed", I9260="Invalid - Ambiguous"), "Gap - Invalid Consent", "Compliant")))))</f>
        <v/>
      </c>
      <c r="O9260" s="7" t="n"/>
    </row>
    <row r="9261">
      <c r="A9261" s="7" t="n"/>
      <c r="B9261" s="7" t="n"/>
      <c r="C9261" s="7" t="n"/>
      <c r="D9261" s="7" t="n"/>
      <c r="E9261" s="7" t="n"/>
      <c r="F9261" s="7" t="n"/>
      <c r="G9261" s="7" t="n"/>
      <c r="H9261" s="7" t="n"/>
      <c r="I9261" s="7" t="n"/>
      <c r="J9261" s="7" t="n"/>
      <c r="K9261">
        <f>IF(D9261="Legitimate Interest (GDPR Art. 6(1)(f))", "Yes / Required (Sheet 3)", "")</f>
        <v/>
      </c>
      <c r="L9261" s="7" t="n"/>
      <c r="M9261" s="7" t="n"/>
      <c r="N9261">
        <f>IF(D9261="", "Gap - No Legal Basis", IF(AND(D9261="Consent (GDPR Art. 6(1)(a))", I9261="Not Captured"), "Gap - Invalid Consent", IF(AND(D9261="Legitimate Interest (GDPR Art. 6(1)(f))", L9261=""), "Gap - Missing LIA", IF(AND(G9261="Yes", H9261=""), "Gap - Missing Art. 9 Basis", IF(OR(I9261="Invalid - Not Freely Given", I9261="Invalid - Not Specific", I9261="Invalid - Not Informed", I9261="Invalid - Ambiguous"), "Gap - Invalid Consent", "Compliant")))))</f>
        <v/>
      </c>
      <c r="O9261" s="7" t="n"/>
    </row>
    <row r="9262">
      <c r="A9262" s="7" t="n"/>
      <c r="B9262" s="7" t="n"/>
      <c r="C9262" s="7" t="n"/>
      <c r="D9262" s="7" t="n"/>
      <c r="E9262" s="7" t="n"/>
      <c r="F9262" s="7" t="n"/>
      <c r="G9262" s="7" t="n"/>
      <c r="H9262" s="7" t="n"/>
      <c r="I9262" s="7" t="n"/>
      <c r="J9262" s="7" t="n"/>
      <c r="K9262">
        <f>IF(D9262="Legitimate Interest (GDPR Art. 6(1)(f))", "Yes / Required (Sheet 3)", "")</f>
        <v/>
      </c>
      <c r="L9262" s="7" t="n"/>
      <c r="M9262" s="7" t="n"/>
      <c r="N9262">
        <f>IF(D9262="", "Gap - No Legal Basis", IF(AND(D9262="Consent (GDPR Art. 6(1)(a))", I9262="Not Captured"), "Gap - Invalid Consent", IF(AND(D9262="Legitimate Interest (GDPR Art. 6(1)(f))", L9262=""), "Gap - Missing LIA", IF(AND(G9262="Yes", H9262=""), "Gap - Missing Art. 9 Basis", IF(OR(I9262="Invalid - Not Freely Given", I9262="Invalid - Not Specific", I9262="Invalid - Not Informed", I9262="Invalid - Ambiguous"), "Gap - Invalid Consent", "Compliant")))))</f>
        <v/>
      </c>
      <c r="O9262" s="7" t="n"/>
    </row>
    <row r="9263">
      <c r="A9263" s="7" t="n"/>
      <c r="B9263" s="7" t="n"/>
      <c r="C9263" s="7" t="n"/>
      <c r="D9263" s="7" t="n"/>
      <c r="E9263" s="7" t="n"/>
      <c r="F9263" s="7" t="n"/>
      <c r="G9263" s="7" t="n"/>
      <c r="H9263" s="7" t="n"/>
      <c r="I9263" s="7" t="n"/>
      <c r="J9263" s="7" t="n"/>
      <c r="K9263">
        <f>IF(D9263="Legitimate Interest (GDPR Art. 6(1)(f))", "Yes / Required (Sheet 3)", "")</f>
        <v/>
      </c>
      <c r="L9263" s="7" t="n"/>
      <c r="M9263" s="7" t="n"/>
      <c r="N9263">
        <f>IF(D9263="", "Gap - No Legal Basis", IF(AND(D9263="Consent (GDPR Art. 6(1)(a))", I9263="Not Captured"), "Gap - Invalid Consent", IF(AND(D9263="Legitimate Interest (GDPR Art. 6(1)(f))", L9263=""), "Gap - Missing LIA", IF(AND(G9263="Yes", H9263=""), "Gap - Missing Art. 9 Basis", IF(OR(I9263="Invalid - Not Freely Given", I9263="Invalid - Not Specific", I9263="Invalid - Not Informed", I9263="Invalid - Ambiguous"), "Gap - Invalid Consent", "Compliant")))))</f>
        <v/>
      </c>
      <c r="O9263" s="7" t="n"/>
    </row>
    <row r="9264">
      <c r="A9264" s="7" t="n"/>
      <c r="B9264" s="7" t="n"/>
      <c r="C9264" s="7" t="n"/>
      <c r="D9264" s="7" t="n"/>
      <c r="E9264" s="7" t="n"/>
      <c r="F9264" s="7" t="n"/>
      <c r="G9264" s="7" t="n"/>
      <c r="H9264" s="7" t="n"/>
      <c r="I9264" s="7" t="n"/>
      <c r="J9264" s="7" t="n"/>
      <c r="K9264">
        <f>IF(D9264="Legitimate Interest (GDPR Art. 6(1)(f))", "Yes / Required (Sheet 3)", "")</f>
        <v/>
      </c>
      <c r="L9264" s="7" t="n"/>
      <c r="M9264" s="7" t="n"/>
      <c r="N9264">
        <f>IF(D9264="", "Gap - No Legal Basis", IF(AND(D9264="Consent (GDPR Art. 6(1)(a))", I9264="Not Captured"), "Gap - Invalid Consent", IF(AND(D9264="Legitimate Interest (GDPR Art. 6(1)(f))", L9264=""), "Gap - Missing LIA", IF(AND(G9264="Yes", H9264=""), "Gap - Missing Art. 9 Basis", IF(OR(I9264="Invalid - Not Freely Given", I9264="Invalid - Not Specific", I9264="Invalid - Not Informed", I9264="Invalid - Ambiguous"), "Gap - Invalid Consent", "Compliant")))))</f>
        <v/>
      </c>
      <c r="O9264" s="7" t="n"/>
    </row>
    <row r="9265">
      <c r="A9265" s="7" t="n"/>
      <c r="B9265" s="7" t="n"/>
      <c r="C9265" s="7" t="n"/>
      <c r="D9265" s="7" t="n"/>
      <c r="E9265" s="7" t="n"/>
      <c r="F9265" s="7" t="n"/>
      <c r="G9265" s="7" t="n"/>
      <c r="H9265" s="7" t="n"/>
      <c r="I9265" s="7" t="n"/>
      <c r="J9265" s="7" t="n"/>
      <c r="K9265">
        <f>IF(D9265="Legitimate Interest (GDPR Art. 6(1)(f))", "Yes / Required (Sheet 3)", "")</f>
        <v/>
      </c>
      <c r="L9265" s="7" t="n"/>
      <c r="M9265" s="7" t="n"/>
      <c r="N9265">
        <f>IF(D9265="", "Gap - No Legal Basis", IF(AND(D9265="Consent (GDPR Art. 6(1)(a))", I9265="Not Captured"), "Gap - Invalid Consent", IF(AND(D9265="Legitimate Interest (GDPR Art. 6(1)(f))", L9265=""), "Gap - Missing LIA", IF(AND(G9265="Yes", H9265=""), "Gap - Missing Art. 9 Basis", IF(OR(I9265="Invalid - Not Freely Given", I9265="Invalid - Not Specific", I9265="Invalid - Not Informed", I9265="Invalid - Ambiguous"), "Gap - Invalid Consent", "Compliant")))))</f>
        <v/>
      </c>
      <c r="O9265" s="7" t="n"/>
    </row>
    <row r="9266">
      <c r="A9266" s="7" t="n"/>
      <c r="B9266" s="7" t="n"/>
      <c r="C9266" s="7" t="n"/>
      <c r="D9266" s="7" t="n"/>
      <c r="E9266" s="7" t="n"/>
      <c r="F9266" s="7" t="n"/>
      <c r="G9266" s="7" t="n"/>
      <c r="H9266" s="7" t="n"/>
      <c r="I9266" s="7" t="n"/>
      <c r="J9266" s="7" t="n"/>
      <c r="K9266">
        <f>IF(D9266="Legitimate Interest (GDPR Art. 6(1)(f))", "Yes / Required (Sheet 3)", "")</f>
        <v/>
      </c>
      <c r="L9266" s="7" t="n"/>
      <c r="M9266" s="7" t="n"/>
      <c r="N9266">
        <f>IF(D9266="", "Gap - No Legal Basis", IF(AND(D9266="Consent (GDPR Art. 6(1)(a))", I9266="Not Captured"), "Gap - Invalid Consent", IF(AND(D9266="Legitimate Interest (GDPR Art. 6(1)(f))", L9266=""), "Gap - Missing LIA", IF(AND(G9266="Yes", H9266=""), "Gap - Missing Art. 9 Basis", IF(OR(I9266="Invalid - Not Freely Given", I9266="Invalid - Not Specific", I9266="Invalid - Not Informed", I9266="Invalid - Ambiguous"), "Gap - Invalid Consent", "Compliant")))))</f>
        <v/>
      </c>
      <c r="O9266" s="7" t="n"/>
    </row>
    <row r="9267">
      <c r="A9267" s="7" t="n"/>
      <c r="B9267" s="7" t="n"/>
      <c r="C9267" s="7" t="n"/>
      <c r="D9267" s="7" t="n"/>
      <c r="E9267" s="7" t="n"/>
      <c r="F9267" s="7" t="n"/>
      <c r="G9267" s="7" t="n"/>
      <c r="H9267" s="7" t="n"/>
      <c r="I9267" s="7" t="n"/>
      <c r="J9267" s="7" t="n"/>
      <c r="K9267">
        <f>IF(D9267="Legitimate Interest (GDPR Art. 6(1)(f))", "Yes / Required (Sheet 3)", "")</f>
        <v/>
      </c>
      <c r="L9267" s="7" t="n"/>
      <c r="M9267" s="7" t="n"/>
      <c r="N9267">
        <f>IF(D9267="", "Gap - No Legal Basis", IF(AND(D9267="Consent (GDPR Art. 6(1)(a))", I9267="Not Captured"), "Gap - Invalid Consent", IF(AND(D9267="Legitimate Interest (GDPR Art. 6(1)(f))", L9267=""), "Gap - Missing LIA", IF(AND(G9267="Yes", H9267=""), "Gap - Missing Art. 9 Basis", IF(OR(I9267="Invalid - Not Freely Given", I9267="Invalid - Not Specific", I9267="Invalid - Not Informed", I9267="Invalid - Ambiguous"), "Gap - Invalid Consent", "Compliant")))))</f>
        <v/>
      </c>
      <c r="O9267" s="7" t="n"/>
    </row>
    <row r="9268">
      <c r="A9268" s="7" t="n"/>
      <c r="B9268" s="7" t="n"/>
      <c r="C9268" s="7" t="n"/>
      <c r="D9268" s="7" t="n"/>
      <c r="E9268" s="7" t="n"/>
      <c r="F9268" s="7" t="n"/>
      <c r="G9268" s="7" t="n"/>
      <c r="H9268" s="7" t="n"/>
      <c r="I9268" s="7" t="n"/>
      <c r="J9268" s="7" t="n"/>
      <c r="K9268">
        <f>IF(D9268="Legitimate Interest (GDPR Art. 6(1)(f))", "Yes / Required (Sheet 3)", "")</f>
        <v/>
      </c>
      <c r="L9268" s="7" t="n"/>
      <c r="M9268" s="7" t="n"/>
      <c r="N9268">
        <f>IF(D9268="", "Gap - No Legal Basis", IF(AND(D9268="Consent (GDPR Art. 6(1)(a))", I9268="Not Captured"), "Gap - Invalid Consent", IF(AND(D9268="Legitimate Interest (GDPR Art. 6(1)(f))", L9268=""), "Gap - Missing LIA", IF(AND(G9268="Yes", H9268=""), "Gap - Missing Art. 9 Basis", IF(OR(I9268="Invalid - Not Freely Given", I9268="Invalid - Not Specific", I9268="Invalid - Not Informed", I9268="Invalid - Ambiguous"), "Gap - Invalid Consent", "Compliant")))))</f>
        <v/>
      </c>
      <c r="O9268" s="7" t="n"/>
    </row>
    <row r="9269">
      <c r="A9269" s="7" t="n"/>
      <c r="B9269" s="7" t="n"/>
      <c r="C9269" s="7" t="n"/>
      <c r="D9269" s="7" t="n"/>
      <c r="E9269" s="7" t="n"/>
      <c r="F9269" s="7" t="n"/>
      <c r="G9269" s="7" t="n"/>
      <c r="H9269" s="7" t="n"/>
      <c r="I9269" s="7" t="n"/>
      <c r="J9269" s="7" t="n"/>
      <c r="K9269">
        <f>IF(D9269="Legitimate Interest (GDPR Art. 6(1)(f))", "Yes / Required (Sheet 3)", "")</f>
        <v/>
      </c>
      <c r="L9269" s="7" t="n"/>
      <c r="M9269" s="7" t="n"/>
      <c r="N9269">
        <f>IF(D9269="", "Gap - No Legal Basis", IF(AND(D9269="Consent (GDPR Art. 6(1)(a))", I9269="Not Captured"), "Gap - Invalid Consent", IF(AND(D9269="Legitimate Interest (GDPR Art. 6(1)(f))", L9269=""), "Gap - Missing LIA", IF(AND(G9269="Yes", H9269=""), "Gap - Missing Art. 9 Basis", IF(OR(I9269="Invalid - Not Freely Given", I9269="Invalid - Not Specific", I9269="Invalid - Not Informed", I9269="Invalid - Ambiguous"), "Gap - Invalid Consent", "Compliant")))))</f>
        <v/>
      </c>
      <c r="O9269" s="7" t="n"/>
    </row>
    <row r="9270">
      <c r="A9270" s="7" t="n"/>
      <c r="B9270" s="7" t="n"/>
      <c r="C9270" s="7" t="n"/>
      <c r="D9270" s="7" t="n"/>
      <c r="E9270" s="7" t="n"/>
      <c r="F9270" s="7" t="n"/>
      <c r="G9270" s="7" t="n"/>
      <c r="H9270" s="7" t="n"/>
      <c r="I9270" s="7" t="n"/>
      <c r="J9270" s="7" t="n"/>
      <c r="K9270">
        <f>IF(D9270="Legitimate Interest (GDPR Art. 6(1)(f))", "Yes / Required (Sheet 3)", "")</f>
        <v/>
      </c>
      <c r="L9270" s="7" t="n"/>
      <c r="M9270" s="7" t="n"/>
      <c r="N9270">
        <f>IF(D9270="", "Gap - No Legal Basis", IF(AND(D9270="Consent (GDPR Art. 6(1)(a))", I9270="Not Captured"), "Gap - Invalid Consent", IF(AND(D9270="Legitimate Interest (GDPR Art. 6(1)(f))", L9270=""), "Gap - Missing LIA", IF(AND(G9270="Yes", H9270=""), "Gap - Missing Art. 9 Basis", IF(OR(I9270="Invalid - Not Freely Given", I9270="Invalid - Not Specific", I9270="Invalid - Not Informed", I9270="Invalid - Ambiguous"), "Gap - Invalid Consent", "Compliant")))))</f>
        <v/>
      </c>
      <c r="O9270" s="7" t="n"/>
    </row>
    <row r="9271">
      <c r="A9271" s="7" t="n"/>
      <c r="B9271" s="7" t="n"/>
      <c r="C9271" s="7" t="n"/>
      <c r="D9271" s="7" t="n"/>
      <c r="E9271" s="7" t="n"/>
      <c r="F9271" s="7" t="n"/>
      <c r="G9271" s="7" t="n"/>
      <c r="H9271" s="7" t="n"/>
      <c r="I9271" s="7" t="n"/>
      <c r="J9271" s="7" t="n"/>
      <c r="K9271">
        <f>IF(D9271="Legitimate Interest (GDPR Art. 6(1)(f))", "Yes / Required (Sheet 3)", "")</f>
        <v/>
      </c>
      <c r="L9271" s="7" t="n"/>
      <c r="M9271" s="7" t="n"/>
      <c r="N9271">
        <f>IF(D9271="", "Gap - No Legal Basis", IF(AND(D9271="Consent (GDPR Art. 6(1)(a))", I9271="Not Captured"), "Gap - Invalid Consent", IF(AND(D9271="Legitimate Interest (GDPR Art. 6(1)(f))", L9271=""), "Gap - Missing LIA", IF(AND(G9271="Yes", H9271=""), "Gap - Missing Art. 9 Basis", IF(OR(I9271="Invalid - Not Freely Given", I9271="Invalid - Not Specific", I9271="Invalid - Not Informed", I9271="Invalid - Ambiguous"), "Gap - Invalid Consent", "Compliant")))))</f>
        <v/>
      </c>
      <c r="O9271" s="7" t="n"/>
    </row>
    <row r="9272">
      <c r="A9272" s="7" t="n"/>
      <c r="B9272" s="7" t="n"/>
      <c r="C9272" s="7" t="n"/>
      <c r="D9272" s="7" t="n"/>
      <c r="E9272" s="7" t="n"/>
      <c r="F9272" s="7" t="n"/>
      <c r="G9272" s="7" t="n"/>
      <c r="H9272" s="7" t="n"/>
      <c r="I9272" s="7" t="n"/>
      <c r="J9272" s="7" t="n"/>
      <c r="K9272">
        <f>IF(D9272="Legitimate Interest (GDPR Art. 6(1)(f))", "Yes / Required (Sheet 3)", "")</f>
        <v/>
      </c>
      <c r="L9272" s="7" t="n"/>
      <c r="M9272" s="7" t="n"/>
      <c r="N9272">
        <f>IF(D9272="", "Gap - No Legal Basis", IF(AND(D9272="Consent (GDPR Art. 6(1)(a))", I9272="Not Captured"), "Gap - Invalid Consent", IF(AND(D9272="Legitimate Interest (GDPR Art. 6(1)(f))", L9272=""), "Gap - Missing LIA", IF(AND(G9272="Yes", H9272=""), "Gap - Missing Art. 9 Basis", IF(OR(I9272="Invalid - Not Freely Given", I9272="Invalid - Not Specific", I9272="Invalid - Not Informed", I9272="Invalid - Ambiguous"), "Gap - Invalid Consent", "Compliant")))))</f>
        <v/>
      </c>
      <c r="O9272" s="7" t="n"/>
    </row>
    <row r="9273">
      <c r="A9273" s="7" t="n"/>
      <c r="B9273" s="7" t="n"/>
      <c r="C9273" s="7" t="n"/>
      <c r="D9273" s="7" t="n"/>
      <c r="E9273" s="7" t="n"/>
      <c r="F9273" s="7" t="n"/>
      <c r="G9273" s="7" t="n"/>
      <c r="H9273" s="7" t="n"/>
      <c r="I9273" s="7" t="n"/>
      <c r="J9273" s="7" t="n"/>
      <c r="K9273">
        <f>IF(D9273="Legitimate Interest (GDPR Art. 6(1)(f))", "Yes / Required (Sheet 3)", "")</f>
        <v/>
      </c>
      <c r="L9273" s="7" t="n"/>
      <c r="M9273" s="7" t="n"/>
      <c r="N9273">
        <f>IF(D9273="", "Gap - No Legal Basis", IF(AND(D9273="Consent (GDPR Art. 6(1)(a))", I9273="Not Captured"), "Gap - Invalid Consent", IF(AND(D9273="Legitimate Interest (GDPR Art. 6(1)(f))", L9273=""), "Gap - Missing LIA", IF(AND(G9273="Yes", H9273=""), "Gap - Missing Art. 9 Basis", IF(OR(I9273="Invalid - Not Freely Given", I9273="Invalid - Not Specific", I9273="Invalid - Not Informed", I9273="Invalid - Ambiguous"), "Gap - Invalid Consent", "Compliant")))))</f>
        <v/>
      </c>
      <c r="O9273" s="7" t="n"/>
    </row>
    <row r="9274">
      <c r="A9274" s="7" t="n"/>
      <c r="B9274" s="7" t="n"/>
      <c r="C9274" s="7" t="n"/>
      <c r="D9274" s="7" t="n"/>
      <c r="E9274" s="7" t="n"/>
      <c r="F9274" s="7" t="n"/>
      <c r="G9274" s="7" t="n"/>
      <c r="H9274" s="7" t="n"/>
      <c r="I9274" s="7" t="n"/>
      <c r="J9274" s="7" t="n"/>
      <c r="K9274">
        <f>IF(D9274="Legitimate Interest (GDPR Art. 6(1)(f))", "Yes / Required (Sheet 3)", "")</f>
        <v/>
      </c>
      <c r="L9274" s="7" t="n"/>
      <c r="M9274" s="7" t="n"/>
      <c r="N9274">
        <f>IF(D9274="", "Gap - No Legal Basis", IF(AND(D9274="Consent (GDPR Art. 6(1)(a))", I9274="Not Captured"), "Gap - Invalid Consent", IF(AND(D9274="Legitimate Interest (GDPR Art. 6(1)(f))", L9274=""), "Gap - Missing LIA", IF(AND(G9274="Yes", H9274=""), "Gap - Missing Art. 9 Basis", IF(OR(I9274="Invalid - Not Freely Given", I9274="Invalid - Not Specific", I9274="Invalid - Not Informed", I9274="Invalid - Ambiguous"), "Gap - Invalid Consent", "Compliant")))))</f>
        <v/>
      </c>
      <c r="O9274" s="7" t="n"/>
    </row>
    <row r="9275">
      <c r="A9275" s="7" t="n"/>
      <c r="B9275" s="7" t="n"/>
      <c r="C9275" s="7" t="n"/>
      <c r="D9275" s="7" t="n"/>
      <c r="E9275" s="7" t="n"/>
      <c r="F9275" s="7" t="n"/>
      <c r="G9275" s="7" t="n"/>
      <c r="H9275" s="7" t="n"/>
      <c r="I9275" s="7" t="n"/>
      <c r="J9275" s="7" t="n"/>
      <c r="K9275">
        <f>IF(D9275="Legitimate Interest (GDPR Art. 6(1)(f))", "Yes / Required (Sheet 3)", "")</f>
        <v/>
      </c>
      <c r="L9275" s="7" t="n"/>
      <c r="M9275" s="7" t="n"/>
      <c r="N9275">
        <f>IF(D9275="", "Gap - No Legal Basis", IF(AND(D9275="Consent (GDPR Art. 6(1)(a))", I9275="Not Captured"), "Gap - Invalid Consent", IF(AND(D9275="Legitimate Interest (GDPR Art. 6(1)(f))", L9275=""), "Gap - Missing LIA", IF(AND(G9275="Yes", H9275=""), "Gap - Missing Art. 9 Basis", IF(OR(I9275="Invalid - Not Freely Given", I9275="Invalid - Not Specific", I9275="Invalid - Not Informed", I9275="Invalid - Ambiguous"), "Gap - Invalid Consent", "Compliant")))))</f>
        <v/>
      </c>
      <c r="O9275" s="7" t="n"/>
    </row>
    <row r="9276">
      <c r="A9276" s="7" t="n"/>
      <c r="B9276" s="7" t="n"/>
      <c r="C9276" s="7" t="n"/>
      <c r="D9276" s="7" t="n"/>
      <c r="E9276" s="7" t="n"/>
      <c r="F9276" s="7" t="n"/>
      <c r="G9276" s="7" t="n"/>
      <c r="H9276" s="7" t="n"/>
      <c r="I9276" s="7" t="n"/>
      <c r="J9276" s="7" t="n"/>
      <c r="K9276">
        <f>IF(D9276="Legitimate Interest (GDPR Art. 6(1)(f))", "Yes / Required (Sheet 3)", "")</f>
        <v/>
      </c>
      <c r="L9276" s="7" t="n"/>
      <c r="M9276" s="7" t="n"/>
      <c r="N9276">
        <f>IF(D9276="", "Gap - No Legal Basis", IF(AND(D9276="Consent (GDPR Art. 6(1)(a))", I9276="Not Captured"), "Gap - Invalid Consent", IF(AND(D9276="Legitimate Interest (GDPR Art. 6(1)(f))", L9276=""), "Gap - Missing LIA", IF(AND(G9276="Yes", H9276=""), "Gap - Missing Art. 9 Basis", IF(OR(I9276="Invalid - Not Freely Given", I9276="Invalid - Not Specific", I9276="Invalid - Not Informed", I9276="Invalid - Ambiguous"), "Gap - Invalid Consent", "Compliant")))))</f>
        <v/>
      </c>
      <c r="O9276" s="7" t="n"/>
    </row>
    <row r="9277">
      <c r="A9277" s="7" t="n"/>
      <c r="B9277" s="7" t="n"/>
      <c r="C9277" s="7" t="n"/>
      <c r="D9277" s="7" t="n"/>
      <c r="E9277" s="7" t="n"/>
      <c r="F9277" s="7" t="n"/>
      <c r="G9277" s="7" t="n"/>
      <c r="H9277" s="7" t="n"/>
      <c r="I9277" s="7" t="n"/>
      <c r="J9277" s="7" t="n"/>
      <c r="K9277">
        <f>IF(D9277="Legitimate Interest (GDPR Art. 6(1)(f))", "Yes / Required (Sheet 3)", "")</f>
        <v/>
      </c>
      <c r="L9277" s="7" t="n"/>
      <c r="M9277" s="7" t="n"/>
      <c r="N9277">
        <f>IF(D9277="", "Gap - No Legal Basis", IF(AND(D9277="Consent (GDPR Art. 6(1)(a))", I9277="Not Captured"), "Gap - Invalid Consent", IF(AND(D9277="Legitimate Interest (GDPR Art. 6(1)(f))", L9277=""), "Gap - Missing LIA", IF(AND(G9277="Yes", H9277=""), "Gap - Missing Art. 9 Basis", IF(OR(I9277="Invalid - Not Freely Given", I9277="Invalid - Not Specific", I9277="Invalid - Not Informed", I9277="Invalid - Ambiguous"), "Gap - Invalid Consent", "Compliant")))))</f>
        <v/>
      </c>
      <c r="O9277" s="7" t="n"/>
    </row>
    <row r="9278">
      <c r="A9278" s="7" t="n"/>
      <c r="B9278" s="7" t="n"/>
      <c r="C9278" s="7" t="n"/>
      <c r="D9278" s="7" t="n"/>
      <c r="E9278" s="7" t="n"/>
      <c r="F9278" s="7" t="n"/>
      <c r="G9278" s="7" t="n"/>
      <c r="H9278" s="7" t="n"/>
      <c r="I9278" s="7" t="n"/>
      <c r="J9278" s="7" t="n"/>
      <c r="K9278">
        <f>IF(D9278="Legitimate Interest (GDPR Art. 6(1)(f))", "Yes / Required (Sheet 3)", "")</f>
        <v/>
      </c>
      <c r="L9278" s="7" t="n"/>
      <c r="M9278" s="7" t="n"/>
      <c r="N9278">
        <f>IF(D9278="", "Gap - No Legal Basis", IF(AND(D9278="Consent (GDPR Art. 6(1)(a))", I9278="Not Captured"), "Gap - Invalid Consent", IF(AND(D9278="Legitimate Interest (GDPR Art. 6(1)(f))", L9278=""), "Gap - Missing LIA", IF(AND(G9278="Yes", H9278=""), "Gap - Missing Art. 9 Basis", IF(OR(I9278="Invalid - Not Freely Given", I9278="Invalid - Not Specific", I9278="Invalid - Not Informed", I9278="Invalid - Ambiguous"), "Gap - Invalid Consent", "Compliant")))))</f>
        <v/>
      </c>
      <c r="O9278" s="7" t="n"/>
    </row>
    <row r="9279">
      <c r="A9279" s="7" t="n"/>
      <c r="B9279" s="7" t="n"/>
      <c r="C9279" s="7" t="n"/>
      <c r="D9279" s="7" t="n"/>
      <c r="E9279" s="7" t="n"/>
      <c r="F9279" s="7" t="n"/>
      <c r="G9279" s="7" t="n"/>
      <c r="H9279" s="7" t="n"/>
      <c r="I9279" s="7" t="n"/>
      <c r="J9279" s="7" t="n"/>
      <c r="K9279">
        <f>IF(D9279="Legitimate Interest (GDPR Art. 6(1)(f))", "Yes / Required (Sheet 3)", "")</f>
        <v/>
      </c>
      <c r="L9279" s="7" t="n"/>
      <c r="M9279" s="7" t="n"/>
      <c r="N9279">
        <f>IF(D9279="", "Gap - No Legal Basis", IF(AND(D9279="Consent (GDPR Art. 6(1)(a))", I9279="Not Captured"), "Gap - Invalid Consent", IF(AND(D9279="Legitimate Interest (GDPR Art. 6(1)(f))", L9279=""), "Gap - Missing LIA", IF(AND(G9279="Yes", H9279=""), "Gap - Missing Art. 9 Basis", IF(OR(I9279="Invalid - Not Freely Given", I9279="Invalid - Not Specific", I9279="Invalid - Not Informed", I9279="Invalid - Ambiguous"), "Gap - Invalid Consent", "Compliant")))))</f>
        <v/>
      </c>
      <c r="O9279" s="7" t="n"/>
    </row>
    <row r="9280">
      <c r="A9280" s="7" t="n"/>
      <c r="B9280" s="7" t="n"/>
      <c r="C9280" s="7" t="n"/>
      <c r="D9280" s="7" t="n"/>
      <c r="E9280" s="7" t="n"/>
      <c r="F9280" s="7" t="n"/>
      <c r="G9280" s="7" t="n"/>
      <c r="H9280" s="7" t="n"/>
      <c r="I9280" s="7" t="n"/>
      <c r="J9280" s="7" t="n"/>
      <c r="K9280">
        <f>IF(D9280="Legitimate Interest (GDPR Art. 6(1)(f))", "Yes / Required (Sheet 3)", "")</f>
        <v/>
      </c>
      <c r="L9280" s="7" t="n"/>
      <c r="M9280" s="7" t="n"/>
      <c r="N9280">
        <f>IF(D9280="", "Gap - No Legal Basis", IF(AND(D9280="Consent (GDPR Art. 6(1)(a))", I9280="Not Captured"), "Gap - Invalid Consent", IF(AND(D9280="Legitimate Interest (GDPR Art. 6(1)(f))", L9280=""), "Gap - Missing LIA", IF(AND(G9280="Yes", H9280=""), "Gap - Missing Art. 9 Basis", IF(OR(I9280="Invalid - Not Freely Given", I9280="Invalid - Not Specific", I9280="Invalid - Not Informed", I9280="Invalid - Ambiguous"), "Gap - Invalid Consent", "Compliant")))))</f>
        <v/>
      </c>
      <c r="O9280" s="7" t="n"/>
    </row>
    <row r="9281">
      <c r="A9281" s="7" t="n"/>
      <c r="B9281" s="7" t="n"/>
      <c r="C9281" s="7" t="n"/>
      <c r="D9281" s="7" t="n"/>
      <c r="E9281" s="7" t="n"/>
      <c r="F9281" s="7" t="n"/>
      <c r="G9281" s="7" t="n"/>
      <c r="H9281" s="7" t="n"/>
      <c r="I9281" s="7" t="n"/>
      <c r="J9281" s="7" t="n"/>
      <c r="K9281">
        <f>IF(D9281="Legitimate Interest (GDPR Art. 6(1)(f))", "Yes / Required (Sheet 3)", "")</f>
        <v/>
      </c>
      <c r="L9281" s="7" t="n"/>
      <c r="M9281" s="7" t="n"/>
      <c r="N9281">
        <f>IF(D9281="", "Gap - No Legal Basis", IF(AND(D9281="Consent (GDPR Art. 6(1)(a))", I9281="Not Captured"), "Gap - Invalid Consent", IF(AND(D9281="Legitimate Interest (GDPR Art. 6(1)(f))", L9281=""), "Gap - Missing LIA", IF(AND(G9281="Yes", H9281=""), "Gap - Missing Art. 9 Basis", IF(OR(I9281="Invalid - Not Freely Given", I9281="Invalid - Not Specific", I9281="Invalid - Not Informed", I9281="Invalid - Ambiguous"), "Gap - Invalid Consent", "Compliant")))))</f>
        <v/>
      </c>
      <c r="O9281" s="7" t="n"/>
    </row>
    <row r="9282">
      <c r="A9282" s="7" t="n"/>
      <c r="B9282" s="7" t="n"/>
      <c r="C9282" s="7" t="n"/>
      <c r="D9282" s="7" t="n"/>
      <c r="E9282" s="7" t="n"/>
      <c r="F9282" s="7" t="n"/>
      <c r="G9282" s="7" t="n"/>
      <c r="H9282" s="7" t="n"/>
      <c r="I9282" s="7" t="n"/>
      <c r="J9282" s="7" t="n"/>
      <c r="K9282">
        <f>IF(D9282="Legitimate Interest (GDPR Art. 6(1)(f))", "Yes / Required (Sheet 3)", "")</f>
        <v/>
      </c>
      <c r="L9282" s="7" t="n"/>
      <c r="M9282" s="7" t="n"/>
      <c r="N9282">
        <f>IF(D9282="", "Gap - No Legal Basis", IF(AND(D9282="Consent (GDPR Art. 6(1)(a))", I9282="Not Captured"), "Gap - Invalid Consent", IF(AND(D9282="Legitimate Interest (GDPR Art. 6(1)(f))", L9282=""), "Gap - Missing LIA", IF(AND(G9282="Yes", H9282=""), "Gap - Missing Art. 9 Basis", IF(OR(I9282="Invalid - Not Freely Given", I9282="Invalid - Not Specific", I9282="Invalid - Not Informed", I9282="Invalid - Ambiguous"), "Gap - Invalid Consent", "Compliant")))))</f>
        <v/>
      </c>
      <c r="O9282" s="7" t="n"/>
    </row>
    <row r="9283">
      <c r="A9283" s="7" t="n"/>
      <c r="B9283" s="7" t="n"/>
      <c r="C9283" s="7" t="n"/>
      <c r="D9283" s="7" t="n"/>
      <c r="E9283" s="7" t="n"/>
      <c r="F9283" s="7" t="n"/>
      <c r="G9283" s="7" t="n"/>
      <c r="H9283" s="7" t="n"/>
      <c r="I9283" s="7" t="n"/>
      <c r="J9283" s="7" t="n"/>
      <c r="K9283">
        <f>IF(D9283="Legitimate Interest (GDPR Art. 6(1)(f))", "Yes / Required (Sheet 3)", "")</f>
        <v/>
      </c>
      <c r="L9283" s="7" t="n"/>
      <c r="M9283" s="7" t="n"/>
      <c r="N9283">
        <f>IF(D9283="", "Gap - No Legal Basis", IF(AND(D9283="Consent (GDPR Art. 6(1)(a))", I9283="Not Captured"), "Gap - Invalid Consent", IF(AND(D9283="Legitimate Interest (GDPR Art. 6(1)(f))", L9283=""), "Gap - Missing LIA", IF(AND(G9283="Yes", H9283=""), "Gap - Missing Art. 9 Basis", IF(OR(I9283="Invalid - Not Freely Given", I9283="Invalid - Not Specific", I9283="Invalid - Not Informed", I9283="Invalid - Ambiguous"), "Gap - Invalid Consent", "Compliant")))))</f>
        <v/>
      </c>
      <c r="O9283" s="7" t="n"/>
    </row>
    <row r="9284">
      <c r="A9284" s="7" t="n"/>
      <c r="B9284" s="7" t="n"/>
      <c r="C9284" s="7" t="n"/>
      <c r="D9284" s="7" t="n"/>
      <c r="E9284" s="7" t="n"/>
      <c r="F9284" s="7" t="n"/>
      <c r="G9284" s="7" t="n"/>
      <c r="H9284" s="7" t="n"/>
      <c r="I9284" s="7" t="n"/>
      <c r="J9284" s="7" t="n"/>
      <c r="K9284">
        <f>IF(D9284="Legitimate Interest (GDPR Art. 6(1)(f))", "Yes / Required (Sheet 3)", "")</f>
        <v/>
      </c>
      <c r="L9284" s="7" t="n"/>
      <c r="M9284" s="7" t="n"/>
      <c r="N9284">
        <f>IF(D9284="", "Gap - No Legal Basis", IF(AND(D9284="Consent (GDPR Art. 6(1)(a))", I9284="Not Captured"), "Gap - Invalid Consent", IF(AND(D9284="Legitimate Interest (GDPR Art. 6(1)(f))", L9284=""), "Gap - Missing LIA", IF(AND(G9284="Yes", H9284=""), "Gap - Missing Art. 9 Basis", IF(OR(I9284="Invalid - Not Freely Given", I9284="Invalid - Not Specific", I9284="Invalid - Not Informed", I9284="Invalid - Ambiguous"), "Gap - Invalid Consent", "Compliant")))))</f>
        <v/>
      </c>
      <c r="O9284" s="7" t="n"/>
    </row>
    <row r="9285">
      <c r="A9285" s="7" t="n"/>
      <c r="B9285" s="7" t="n"/>
      <c r="C9285" s="7" t="n"/>
      <c r="D9285" s="7" t="n"/>
      <c r="E9285" s="7" t="n"/>
      <c r="F9285" s="7" t="n"/>
      <c r="G9285" s="7" t="n"/>
      <c r="H9285" s="7" t="n"/>
      <c r="I9285" s="7" t="n"/>
      <c r="J9285" s="7" t="n"/>
      <c r="K9285">
        <f>IF(D9285="Legitimate Interest (GDPR Art. 6(1)(f))", "Yes / Required (Sheet 3)", "")</f>
        <v/>
      </c>
      <c r="L9285" s="7" t="n"/>
      <c r="M9285" s="7" t="n"/>
      <c r="N9285">
        <f>IF(D9285="", "Gap - No Legal Basis", IF(AND(D9285="Consent (GDPR Art. 6(1)(a))", I9285="Not Captured"), "Gap - Invalid Consent", IF(AND(D9285="Legitimate Interest (GDPR Art. 6(1)(f))", L9285=""), "Gap - Missing LIA", IF(AND(G9285="Yes", H9285=""), "Gap - Missing Art. 9 Basis", IF(OR(I9285="Invalid - Not Freely Given", I9285="Invalid - Not Specific", I9285="Invalid - Not Informed", I9285="Invalid - Ambiguous"), "Gap - Invalid Consent", "Compliant")))))</f>
        <v/>
      </c>
      <c r="O9285" s="7" t="n"/>
    </row>
    <row r="9286">
      <c r="A9286" s="7" t="n"/>
      <c r="B9286" s="7" t="n"/>
      <c r="C9286" s="7" t="n"/>
      <c r="D9286" s="7" t="n"/>
      <c r="E9286" s="7" t="n"/>
      <c r="F9286" s="7" t="n"/>
      <c r="G9286" s="7" t="n"/>
      <c r="H9286" s="7" t="n"/>
      <c r="I9286" s="7" t="n"/>
      <c r="J9286" s="7" t="n"/>
      <c r="K9286">
        <f>IF(D9286="Legitimate Interest (GDPR Art. 6(1)(f))", "Yes / Required (Sheet 3)", "")</f>
        <v/>
      </c>
      <c r="L9286" s="7" t="n"/>
      <c r="M9286" s="7" t="n"/>
      <c r="N9286">
        <f>IF(D9286="", "Gap - No Legal Basis", IF(AND(D9286="Consent (GDPR Art. 6(1)(a))", I9286="Not Captured"), "Gap - Invalid Consent", IF(AND(D9286="Legitimate Interest (GDPR Art. 6(1)(f))", L9286=""), "Gap - Missing LIA", IF(AND(G9286="Yes", H9286=""), "Gap - Missing Art. 9 Basis", IF(OR(I9286="Invalid - Not Freely Given", I9286="Invalid - Not Specific", I9286="Invalid - Not Informed", I9286="Invalid - Ambiguous"), "Gap - Invalid Consent", "Compliant")))))</f>
        <v/>
      </c>
      <c r="O9286" s="7" t="n"/>
    </row>
    <row r="9287">
      <c r="A9287" s="7" t="n"/>
      <c r="B9287" s="7" t="n"/>
      <c r="C9287" s="7" t="n"/>
      <c r="D9287" s="7" t="n"/>
      <c r="E9287" s="7" t="n"/>
      <c r="F9287" s="7" t="n"/>
      <c r="G9287" s="7" t="n"/>
      <c r="H9287" s="7" t="n"/>
      <c r="I9287" s="7" t="n"/>
      <c r="J9287" s="7" t="n"/>
      <c r="K9287">
        <f>IF(D9287="Legitimate Interest (GDPR Art. 6(1)(f))", "Yes / Required (Sheet 3)", "")</f>
        <v/>
      </c>
      <c r="L9287" s="7" t="n"/>
      <c r="M9287" s="7" t="n"/>
      <c r="N9287">
        <f>IF(D9287="", "Gap - No Legal Basis", IF(AND(D9287="Consent (GDPR Art. 6(1)(a))", I9287="Not Captured"), "Gap - Invalid Consent", IF(AND(D9287="Legitimate Interest (GDPR Art. 6(1)(f))", L9287=""), "Gap - Missing LIA", IF(AND(G9287="Yes", H9287=""), "Gap - Missing Art. 9 Basis", IF(OR(I9287="Invalid - Not Freely Given", I9287="Invalid - Not Specific", I9287="Invalid - Not Informed", I9287="Invalid - Ambiguous"), "Gap - Invalid Consent", "Compliant")))))</f>
        <v/>
      </c>
      <c r="O9287" s="7" t="n"/>
    </row>
    <row r="9288">
      <c r="A9288" s="7" t="n"/>
      <c r="B9288" s="7" t="n"/>
      <c r="C9288" s="7" t="n"/>
      <c r="D9288" s="7" t="n"/>
      <c r="E9288" s="7" t="n"/>
      <c r="F9288" s="7" t="n"/>
      <c r="G9288" s="7" t="n"/>
      <c r="H9288" s="7" t="n"/>
      <c r="I9288" s="7" t="n"/>
      <c r="J9288" s="7" t="n"/>
      <c r="K9288">
        <f>IF(D9288="Legitimate Interest (GDPR Art. 6(1)(f))", "Yes / Required (Sheet 3)", "")</f>
        <v/>
      </c>
      <c r="L9288" s="7" t="n"/>
      <c r="M9288" s="7" t="n"/>
      <c r="N9288">
        <f>IF(D9288="", "Gap - No Legal Basis", IF(AND(D9288="Consent (GDPR Art. 6(1)(a))", I9288="Not Captured"), "Gap - Invalid Consent", IF(AND(D9288="Legitimate Interest (GDPR Art. 6(1)(f))", L9288=""), "Gap - Missing LIA", IF(AND(G9288="Yes", H9288=""), "Gap - Missing Art. 9 Basis", IF(OR(I9288="Invalid - Not Freely Given", I9288="Invalid - Not Specific", I9288="Invalid - Not Informed", I9288="Invalid - Ambiguous"), "Gap - Invalid Consent", "Compliant")))))</f>
        <v/>
      </c>
      <c r="O9288" s="7" t="n"/>
    </row>
    <row r="9289">
      <c r="A9289" s="7" t="n"/>
      <c r="B9289" s="7" t="n"/>
      <c r="C9289" s="7" t="n"/>
      <c r="D9289" s="7" t="n"/>
      <c r="E9289" s="7" t="n"/>
      <c r="F9289" s="7" t="n"/>
      <c r="G9289" s="7" t="n"/>
      <c r="H9289" s="7" t="n"/>
      <c r="I9289" s="7" t="n"/>
      <c r="J9289" s="7" t="n"/>
      <c r="K9289">
        <f>IF(D9289="Legitimate Interest (GDPR Art. 6(1)(f))", "Yes / Required (Sheet 3)", "")</f>
        <v/>
      </c>
      <c r="L9289" s="7" t="n"/>
      <c r="M9289" s="7" t="n"/>
      <c r="N9289">
        <f>IF(D9289="", "Gap - No Legal Basis", IF(AND(D9289="Consent (GDPR Art. 6(1)(a))", I9289="Not Captured"), "Gap - Invalid Consent", IF(AND(D9289="Legitimate Interest (GDPR Art. 6(1)(f))", L9289=""), "Gap - Missing LIA", IF(AND(G9289="Yes", H9289=""), "Gap - Missing Art. 9 Basis", IF(OR(I9289="Invalid - Not Freely Given", I9289="Invalid - Not Specific", I9289="Invalid - Not Informed", I9289="Invalid - Ambiguous"), "Gap - Invalid Consent", "Compliant")))))</f>
        <v/>
      </c>
      <c r="O9289" s="7" t="n"/>
    </row>
    <row r="9290">
      <c r="A9290" s="7" t="n"/>
      <c r="B9290" s="7" t="n"/>
      <c r="C9290" s="7" t="n"/>
      <c r="D9290" s="7" t="n"/>
      <c r="E9290" s="7" t="n"/>
      <c r="F9290" s="7" t="n"/>
      <c r="G9290" s="7" t="n"/>
      <c r="H9290" s="7" t="n"/>
      <c r="I9290" s="7" t="n"/>
      <c r="J9290" s="7" t="n"/>
      <c r="K9290">
        <f>IF(D9290="Legitimate Interest (GDPR Art. 6(1)(f))", "Yes / Required (Sheet 3)", "")</f>
        <v/>
      </c>
      <c r="L9290" s="7" t="n"/>
      <c r="M9290" s="7" t="n"/>
      <c r="N9290">
        <f>IF(D9290="", "Gap - No Legal Basis", IF(AND(D9290="Consent (GDPR Art. 6(1)(a))", I9290="Not Captured"), "Gap - Invalid Consent", IF(AND(D9290="Legitimate Interest (GDPR Art. 6(1)(f))", L9290=""), "Gap - Missing LIA", IF(AND(G9290="Yes", H9290=""), "Gap - Missing Art. 9 Basis", IF(OR(I9290="Invalid - Not Freely Given", I9290="Invalid - Not Specific", I9290="Invalid - Not Informed", I9290="Invalid - Ambiguous"), "Gap - Invalid Consent", "Compliant")))))</f>
        <v/>
      </c>
      <c r="O9290" s="7" t="n"/>
    </row>
    <row r="9291">
      <c r="A9291" s="7" t="n"/>
      <c r="B9291" s="7" t="n"/>
      <c r="C9291" s="7" t="n"/>
      <c r="D9291" s="7" t="n"/>
      <c r="E9291" s="7" t="n"/>
      <c r="F9291" s="7" t="n"/>
      <c r="G9291" s="7" t="n"/>
      <c r="H9291" s="7" t="n"/>
      <c r="I9291" s="7" t="n"/>
      <c r="J9291" s="7" t="n"/>
      <c r="K9291">
        <f>IF(D9291="Legitimate Interest (GDPR Art. 6(1)(f))", "Yes / Required (Sheet 3)", "")</f>
        <v/>
      </c>
      <c r="L9291" s="7" t="n"/>
      <c r="M9291" s="7" t="n"/>
      <c r="N9291">
        <f>IF(D9291="", "Gap - No Legal Basis", IF(AND(D9291="Consent (GDPR Art. 6(1)(a))", I9291="Not Captured"), "Gap - Invalid Consent", IF(AND(D9291="Legitimate Interest (GDPR Art. 6(1)(f))", L9291=""), "Gap - Missing LIA", IF(AND(G9291="Yes", H9291=""), "Gap - Missing Art. 9 Basis", IF(OR(I9291="Invalid - Not Freely Given", I9291="Invalid - Not Specific", I9291="Invalid - Not Informed", I9291="Invalid - Ambiguous"), "Gap - Invalid Consent", "Compliant")))))</f>
        <v/>
      </c>
      <c r="O9291" s="7" t="n"/>
    </row>
    <row r="9292">
      <c r="A9292" s="7" t="n"/>
      <c r="B9292" s="7" t="n"/>
      <c r="C9292" s="7" t="n"/>
      <c r="D9292" s="7" t="n"/>
      <c r="E9292" s="7" t="n"/>
      <c r="F9292" s="7" t="n"/>
      <c r="G9292" s="7" t="n"/>
      <c r="H9292" s="7" t="n"/>
      <c r="I9292" s="7" t="n"/>
      <c r="J9292" s="7" t="n"/>
      <c r="K9292">
        <f>IF(D9292="Legitimate Interest (GDPR Art. 6(1)(f))", "Yes / Required (Sheet 3)", "")</f>
        <v/>
      </c>
      <c r="L9292" s="7" t="n"/>
      <c r="M9292" s="7" t="n"/>
      <c r="N9292">
        <f>IF(D9292="", "Gap - No Legal Basis", IF(AND(D9292="Consent (GDPR Art. 6(1)(a))", I9292="Not Captured"), "Gap - Invalid Consent", IF(AND(D9292="Legitimate Interest (GDPR Art. 6(1)(f))", L9292=""), "Gap - Missing LIA", IF(AND(G9292="Yes", H9292=""), "Gap - Missing Art. 9 Basis", IF(OR(I9292="Invalid - Not Freely Given", I9292="Invalid - Not Specific", I9292="Invalid - Not Informed", I9292="Invalid - Ambiguous"), "Gap - Invalid Consent", "Compliant")))))</f>
        <v/>
      </c>
      <c r="O9292" s="7" t="n"/>
    </row>
    <row r="9293">
      <c r="A9293" s="7" t="n"/>
      <c r="B9293" s="7" t="n"/>
      <c r="C9293" s="7" t="n"/>
      <c r="D9293" s="7" t="n"/>
      <c r="E9293" s="7" t="n"/>
      <c r="F9293" s="7" t="n"/>
      <c r="G9293" s="7" t="n"/>
      <c r="H9293" s="7" t="n"/>
      <c r="I9293" s="7" t="n"/>
      <c r="J9293" s="7" t="n"/>
      <c r="K9293">
        <f>IF(D9293="Legitimate Interest (GDPR Art. 6(1)(f))", "Yes / Required (Sheet 3)", "")</f>
        <v/>
      </c>
      <c r="L9293" s="7" t="n"/>
      <c r="M9293" s="7" t="n"/>
      <c r="N9293">
        <f>IF(D9293="", "Gap - No Legal Basis", IF(AND(D9293="Consent (GDPR Art. 6(1)(a))", I9293="Not Captured"), "Gap - Invalid Consent", IF(AND(D9293="Legitimate Interest (GDPR Art. 6(1)(f))", L9293=""), "Gap - Missing LIA", IF(AND(G9293="Yes", H9293=""), "Gap - Missing Art. 9 Basis", IF(OR(I9293="Invalid - Not Freely Given", I9293="Invalid - Not Specific", I9293="Invalid - Not Informed", I9293="Invalid - Ambiguous"), "Gap - Invalid Consent", "Compliant")))))</f>
        <v/>
      </c>
      <c r="O9293" s="7" t="n"/>
    </row>
    <row r="9294">
      <c r="A9294" s="7" t="n"/>
      <c r="B9294" s="7" t="n"/>
      <c r="C9294" s="7" t="n"/>
      <c r="D9294" s="7" t="n"/>
      <c r="E9294" s="7" t="n"/>
      <c r="F9294" s="7" t="n"/>
      <c r="G9294" s="7" t="n"/>
      <c r="H9294" s="7" t="n"/>
      <c r="I9294" s="7" t="n"/>
      <c r="J9294" s="7" t="n"/>
      <c r="K9294">
        <f>IF(D9294="Legitimate Interest (GDPR Art. 6(1)(f))", "Yes / Required (Sheet 3)", "")</f>
        <v/>
      </c>
      <c r="L9294" s="7" t="n"/>
      <c r="M9294" s="7" t="n"/>
      <c r="N9294">
        <f>IF(D9294="", "Gap - No Legal Basis", IF(AND(D9294="Consent (GDPR Art. 6(1)(a))", I9294="Not Captured"), "Gap - Invalid Consent", IF(AND(D9294="Legitimate Interest (GDPR Art. 6(1)(f))", L9294=""), "Gap - Missing LIA", IF(AND(G9294="Yes", H9294=""), "Gap - Missing Art. 9 Basis", IF(OR(I9294="Invalid - Not Freely Given", I9294="Invalid - Not Specific", I9294="Invalid - Not Informed", I9294="Invalid - Ambiguous"), "Gap - Invalid Consent", "Compliant")))))</f>
        <v/>
      </c>
      <c r="O9294" s="7" t="n"/>
    </row>
    <row r="9295">
      <c r="A9295" s="7" t="n"/>
      <c r="B9295" s="7" t="n"/>
      <c r="C9295" s="7" t="n"/>
      <c r="D9295" s="7" t="n"/>
      <c r="E9295" s="7" t="n"/>
      <c r="F9295" s="7" t="n"/>
      <c r="G9295" s="7" t="n"/>
      <c r="H9295" s="7" t="n"/>
      <c r="I9295" s="7" t="n"/>
      <c r="J9295" s="7" t="n"/>
      <c r="K9295">
        <f>IF(D9295="Legitimate Interest (GDPR Art. 6(1)(f))", "Yes / Required (Sheet 3)", "")</f>
        <v/>
      </c>
      <c r="L9295" s="7" t="n"/>
      <c r="M9295" s="7" t="n"/>
      <c r="N9295">
        <f>IF(D9295="", "Gap - No Legal Basis", IF(AND(D9295="Consent (GDPR Art. 6(1)(a))", I9295="Not Captured"), "Gap - Invalid Consent", IF(AND(D9295="Legitimate Interest (GDPR Art. 6(1)(f))", L9295=""), "Gap - Missing LIA", IF(AND(G9295="Yes", H9295=""), "Gap - Missing Art. 9 Basis", IF(OR(I9295="Invalid - Not Freely Given", I9295="Invalid - Not Specific", I9295="Invalid - Not Informed", I9295="Invalid - Ambiguous"), "Gap - Invalid Consent", "Compliant")))))</f>
        <v/>
      </c>
      <c r="O9295" s="7" t="n"/>
    </row>
    <row r="9296">
      <c r="A9296" s="7" t="n"/>
      <c r="B9296" s="7" t="n"/>
      <c r="C9296" s="7" t="n"/>
      <c r="D9296" s="7" t="n"/>
      <c r="E9296" s="7" t="n"/>
      <c r="F9296" s="7" t="n"/>
      <c r="G9296" s="7" t="n"/>
      <c r="H9296" s="7" t="n"/>
      <c r="I9296" s="7" t="n"/>
      <c r="J9296" s="7" t="n"/>
      <c r="K9296">
        <f>IF(D9296="Legitimate Interest (GDPR Art. 6(1)(f))", "Yes / Required (Sheet 3)", "")</f>
        <v/>
      </c>
      <c r="L9296" s="7" t="n"/>
      <c r="M9296" s="7" t="n"/>
      <c r="N9296">
        <f>IF(D9296="", "Gap - No Legal Basis", IF(AND(D9296="Consent (GDPR Art. 6(1)(a))", I9296="Not Captured"), "Gap - Invalid Consent", IF(AND(D9296="Legitimate Interest (GDPR Art. 6(1)(f))", L9296=""), "Gap - Missing LIA", IF(AND(G9296="Yes", H9296=""), "Gap - Missing Art. 9 Basis", IF(OR(I9296="Invalid - Not Freely Given", I9296="Invalid - Not Specific", I9296="Invalid - Not Informed", I9296="Invalid - Ambiguous"), "Gap - Invalid Consent", "Compliant")))))</f>
        <v/>
      </c>
      <c r="O9296" s="7" t="n"/>
    </row>
    <row r="9297">
      <c r="A9297" s="7" t="n"/>
      <c r="B9297" s="7" t="n"/>
      <c r="C9297" s="7" t="n"/>
      <c r="D9297" s="7" t="n"/>
      <c r="E9297" s="7" t="n"/>
      <c r="F9297" s="7" t="n"/>
      <c r="G9297" s="7" t="n"/>
      <c r="H9297" s="7" t="n"/>
      <c r="I9297" s="7" t="n"/>
      <c r="J9297" s="7" t="n"/>
      <c r="K9297">
        <f>IF(D9297="Legitimate Interest (GDPR Art. 6(1)(f))", "Yes / Required (Sheet 3)", "")</f>
        <v/>
      </c>
      <c r="L9297" s="7" t="n"/>
      <c r="M9297" s="7" t="n"/>
      <c r="N9297">
        <f>IF(D9297="", "Gap - No Legal Basis", IF(AND(D9297="Consent (GDPR Art. 6(1)(a))", I9297="Not Captured"), "Gap - Invalid Consent", IF(AND(D9297="Legitimate Interest (GDPR Art. 6(1)(f))", L9297=""), "Gap - Missing LIA", IF(AND(G9297="Yes", H9297=""), "Gap - Missing Art. 9 Basis", IF(OR(I9297="Invalid - Not Freely Given", I9297="Invalid - Not Specific", I9297="Invalid - Not Informed", I9297="Invalid - Ambiguous"), "Gap - Invalid Consent", "Compliant")))))</f>
        <v/>
      </c>
      <c r="O9297" s="7" t="n"/>
    </row>
    <row r="9298">
      <c r="A9298" s="7" t="n"/>
      <c r="B9298" s="7" t="n"/>
      <c r="C9298" s="7" t="n"/>
      <c r="D9298" s="7" t="n"/>
      <c r="E9298" s="7" t="n"/>
      <c r="F9298" s="7" t="n"/>
      <c r="G9298" s="7" t="n"/>
      <c r="H9298" s="7" t="n"/>
      <c r="I9298" s="7" t="n"/>
      <c r="J9298" s="7" t="n"/>
      <c r="K9298">
        <f>IF(D9298="Legitimate Interest (GDPR Art. 6(1)(f))", "Yes / Required (Sheet 3)", "")</f>
        <v/>
      </c>
      <c r="L9298" s="7" t="n"/>
      <c r="M9298" s="7" t="n"/>
      <c r="N9298">
        <f>IF(D9298="", "Gap - No Legal Basis", IF(AND(D9298="Consent (GDPR Art. 6(1)(a))", I9298="Not Captured"), "Gap - Invalid Consent", IF(AND(D9298="Legitimate Interest (GDPR Art. 6(1)(f))", L9298=""), "Gap - Missing LIA", IF(AND(G9298="Yes", H9298=""), "Gap - Missing Art. 9 Basis", IF(OR(I9298="Invalid - Not Freely Given", I9298="Invalid - Not Specific", I9298="Invalid - Not Informed", I9298="Invalid - Ambiguous"), "Gap - Invalid Consent", "Compliant")))))</f>
        <v/>
      </c>
      <c r="O9298" s="7" t="n"/>
    </row>
    <row r="9299">
      <c r="A9299" s="7" t="n"/>
      <c r="B9299" s="7" t="n"/>
      <c r="C9299" s="7" t="n"/>
      <c r="D9299" s="7" t="n"/>
      <c r="E9299" s="7" t="n"/>
      <c r="F9299" s="7" t="n"/>
      <c r="G9299" s="7" t="n"/>
      <c r="H9299" s="7" t="n"/>
      <c r="I9299" s="7" t="n"/>
      <c r="J9299" s="7" t="n"/>
      <c r="K9299">
        <f>IF(D9299="Legitimate Interest (GDPR Art. 6(1)(f))", "Yes / Required (Sheet 3)", "")</f>
        <v/>
      </c>
      <c r="L9299" s="7" t="n"/>
      <c r="M9299" s="7" t="n"/>
      <c r="N9299">
        <f>IF(D9299="", "Gap - No Legal Basis", IF(AND(D9299="Consent (GDPR Art. 6(1)(a))", I9299="Not Captured"), "Gap - Invalid Consent", IF(AND(D9299="Legitimate Interest (GDPR Art. 6(1)(f))", L9299=""), "Gap - Missing LIA", IF(AND(G9299="Yes", H9299=""), "Gap - Missing Art. 9 Basis", IF(OR(I9299="Invalid - Not Freely Given", I9299="Invalid - Not Specific", I9299="Invalid - Not Informed", I9299="Invalid - Ambiguous"), "Gap - Invalid Consent", "Compliant")))))</f>
        <v/>
      </c>
      <c r="O9299" s="7" t="n"/>
    </row>
    <row r="9300">
      <c r="A9300" s="7" t="n"/>
      <c r="B9300" s="7" t="n"/>
      <c r="C9300" s="7" t="n"/>
      <c r="D9300" s="7" t="n"/>
      <c r="E9300" s="7" t="n"/>
      <c r="F9300" s="7" t="n"/>
      <c r="G9300" s="7" t="n"/>
      <c r="H9300" s="7" t="n"/>
      <c r="I9300" s="7" t="n"/>
      <c r="J9300" s="7" t="n"/>
      <c r="K9300">
        <f>IF(D9300="Legitimate Interest (GDPR Art. 6(1)(f))", "Yes / Required (Sheet 3)", "")</f>
        <v/>
      </c>
      <c r="L9300" s="7" t="n"/>
      <c r="M9300" s="7" t="n"/>
      <c r="N9300">
        <f>IF(D9300="", "Gap - No Legal Basis", IF(AND(D9300="Consent (GDPR Art. 6(1)(a))", I9300="Not Captured"), "Gap - Invalid Consent", IF(AND(D9300="Legitimate Interest (GDPR Art. 6(1)(f))", L9300=""), "Gap - Missing LIA", IF(AND(G9300="Yes", H9300=""), "Gap - Missing Art. 9 Basis", IF(OR(I9300="Invalid - Not Freely Given", I9300="Invalid - Not Specific", I9300="Invalid - Not Informed", I9300="Invalid - Ambiguous"), "Gap - Invalid Consent", "Compliant")))))</f>
        <v/>
      </c>
      <c r="O9300" s="7" t="n"/>
    </row>
    <row r="9301">
      <c r="A9301" s="7" t="n"/>
      <c r="B9301" s="7" t="n"/>
      <c r="C9301" s="7" t="n"/>
      <c r="D9301" s="7" t="n"/>
      <c r="E9301" s="7" t="n"/>
      <c r="F9301" s="7" t="n"/>
      <c r="G9301" s="7" t="n"/>
      <c r="H9301" s="7" t="n"/>
      <c r="I9301" s="7" t="n"/>
      <c r="J9301" s="7" t="n"/>
      <c r="K9301">
        <f>IF(D9301="Legitimate Interest (GDPR Art. 6(1)(f))", "Yes / Required (Sheet 3)", "")</f>
        <v/>
      </c>
      <c r="L9301" s="7" t="n"/>
      <c r="M9301" s="7" t="n"/>
      <c r="N9301">
        <f>IF(D9301="", "Gap - No Legal Basis", IF(AND(D9301="Consent (GDPR Art. 6(1)(a))", I9301="Not Captured"), "Gap - Invalid Consent", IF(AND(D9301="Legitimate Interest (GDPR Art. 6(1)(f))", L9301=""), "Gap - Missing LIA", IF(AND(G9301="Yes", H9301=""), "Gap - Missing Art. 9 Basis", IF(OR(I9301="Invalid - Not Freely Given", I9301="Invalid - Not Specific", I9301="Invalid - Not Informed", I9301="Invalid - Ambiguous"), "Gap - Invalid Consent", "Compliant")))))</f>
        <v/>
      </c>
      <c r="O9301" s="7" t="n"/>
    </row>
    <row r="9302">
      <c r="A9302" s="7" t="n"/>
      <c r="B9302" s="7" t="n"/>
      <c r="C9302" s="7" t="n"/>
      <c r="D9302" s="7" t="n"/>
      <c r="E9302" s="7" t="n"/>
      <c r="F9302" s="7" t="n"/>
      <c r="G9302" s="7" t="n"/>
      <c r="H9302" s="7" t="n"/>
      <c r="I9302" s="7" t="n"/>
      <c r="J9302" s="7" t="n"/>
      <c r="K9302">
        <f>IF(D9302="Legitimate Interest (GDPR Art. 6(1)(f))", "Yes / Required (Sheet 3)", "")</f>
        <v/>
      </c>
      <c r="L9302" s="7" t="n"/>
      <c r="M9302" s="7" t="n"/>
      <c r="N9302">
        <f>IF(D9302="", "Gap - No Legal Basis", IF(AND(D9302="Consent (GDPR Art. 6(1)(a))", I9302="Not Captured"), "Gap - Invalid Consent", IF(AND(D9302="Legitimate Interest (GDPR Art. 6(1)(f))", L9302=""), "Gap - Missing LIA", IF(AND(G9302="Yes", H9302=""), "Gap - Missing Art. 9 Basis", IF(OR(I9302="Invalid - Not Freely Given", I9302="Invalid - Not Specific", I9302="Invalid - Not Informed", I9302="Invalid - Ambiguous"), "Gap - Invalid Consent", "Compliant")))))</f>
        <v/>
      </c>
      <c r="O9302" s="7" t="n"/>
    </row>
    <row r="9303">
      <c r="A9303" s="7" t="n"/>
      <c r="B9303" s="7" t="n"/>
      <c r="C9303" s="7" t="n"/>
      <c r="D9303" s="7" t="n"/>
      <c r="E9303" s="7" t="n"/>
      <c r="F9303" s="7" t="n"/>
      <c r="G9303" s="7" t="n"/>
      <c r="H9303" s="7" t="n"/>
      <c r="I9303" s="7" t="n"/>
      <c r="J9303" s="7" t="n"/>
      <c r="K9303">
        <f>IF(D9303="Legitimate Interest (GDPR Art. 6(1)(f))", "Yes / Required (Sheet 3)", "")</f>
        <v/>
      </c>
      <c r="L9303" s="7" t="n"/>
      <c r="M9303" s="7" t="n"/>
      <c r="N9303">
        <f>IF(D9303="", "Gap - No Legal Basis", IF(AND(D9303="Consent (GDPR Art. 6(1)(a))", I9303="Not Captured"), "Gap - Invalid Consent", IF(AND(D9303="Legitimate Interest (GDPR Art. 6(1)(f))", L9303=""), "Gap - Missing LIA", IF(AND(G9303="Yes", H9303=""), "Gap - Missing Art. 9 Basis", IF(OR(I9303="Invalid - Not Freely Given", I9303="Invalid - Not Specific", I9303="Invalid - Not Informed", I9303="Invalid - Ambiguous"), "Gap - Invalid Consent", "Compliant")))))</f>
        <v/>
      </c>
      <c r="O9303" s="7" t="n"/>
    </row>
    <row r="9304">
      <c r="A9304" s="7" t="n"/>
      <c r="B9304" s="7" t="n"/>
      <c r="C9304" s="7" t="n"/>
      <c r="D9304" s="7" t="n"/>
      <c r="E9304" s="7" t="n"/>
      <c r="F9304" s="7" t="n"/>
      <c r="G9304" s="7" t="n"/>
      <c r="H9304" s="7" t="n"/>
      <c r="I9304" s="7" t="n"/>
      <c r="J9304" s="7" t="n"/>
      <c r="K9304">
        <f>IF(D9304="Legitimate Interest (GDPR Art. 6(1)(f))", "Yes / Required (Sheet 3)", "")</f>
        <v/>
      </c>
      <c r="L9304" s="7" t="n"/>
      <c r="M9304" s="7" t="n"/>
      <c r="N9304">
        <f>IF(D9304="", "Gap - No Legal Basis", IF(AND(D9304="Consent (GDPR Art. 6(1)(a))", I9304="Not Captured"), "Gap - Invalid Consent", IF(AND(D9304="Legitimate Interest (GDPR Art. 6(1)(f))", L9304=""), "Gap - Missing LIA", IF(AND(G9304="Yes", H9304=""), "Gap - Missing Art. 9 Basis", IF(OR(I9304="Invalid - Not Freely Given", I9304="Invalid - Not Specific", I9304="Invalid - Not Informed", I9304="Invalid - Ambiguous"), "Gap - Invalid Consent", "Compliant")))))</f>
        <v/>
      </c>
      <c r="O9304" s="7" t="n"/>
    </row>
    <row r="9305">
      <c r="A9305" s="7" t="n"/>
      <c r="B9305" s="7" t="n"/>
      <c r="C9305" s="7" t="n"/>
      <c r="D9305" s="7" t="n"/>
      <c r="E9305" s="7" t="n"/>
      <c r="F9305" s="7" t="n"/>
      <c r="G9305" s="7" t="n"/>
      <c r="H9305" s="7" t="n"/>
      <c r="I9305" s="7" t="n"/>
      <c r="J9305" s="7" t="n"/>
      <c r="K9305">
        <f>IF(D9305="Legitimate Interest (GDPR Art. 6(1)(f))", "Yes / Required (Sheet 3)", "")</f>
        <v/>
      </c>
      <c r="L9305" s="7" t="n"/>
      <c r="M9305" s="7" t="n"/>
      <c r="N9305">
        <f>IF(D9305="", "Gap - No Legal Basis", IF(AND(D9305="Consent (GDPR Art. 6(1)(a))", I9305="Not Captured"), "Gap - Invalid Consent", IF(AND(D9305="Legitimate Interest (GDPR Art. 6(1)(f))", L9305=""), "Gap - Missing LIA", IF(AND(G9305="Yes", H9305=""), "Gap - Missing Art. 9 Basis", IF(OR(I9305="Invalid - Not Freely Given", I9305="Invalid - Not Specific", I9305="Invalid - Not Informed", I9305="Invalid - Ambiguous"), "Gap - Invalid Consent", "Compliant")))))</f>
        <v/>
      </c>
      <c r="O9305" s="7" t="n"/>
    </row>
    <row r="9306">
      <c r="A9306" s="7" t="n"/>
      <c r="B9306" s="7" t="n"/>
      <c r="C9306" s="7" t="n"/>
      <c r="D9306" s="7" t="n"/>
      <c r="E9306" s="7" t="n"/>
      <c r="F9306" s="7" t="n"/>
      <c r="G9306" s="7" t="n"/>
      <c r="H9306" s="7" t="n"/>
      <c r="I9306" s="7" t="n"/>
      <c r="J9306" s="7" t="n"/>
      <c r="K9306">
        <f>IF(D9306="Legitimate Interest (GDPR Art. 6(1)(f))", "Yes / Required (Sheet 3)", "")</f>
        <v/>
      </c>
      <c r="L9306" s="7" t="n"/>
      <c r="M9306" s="7" t="n"/>
      <c r="N9306">
        <f>IF(D9306="", "Gap - No Legal Basis", IF(AND(D9306="Consent (GDPR Art. 6(1)(a))", I9306="Not Captured"), "Gap - Invalid Consent", IF(AND(D9306="Legitimate Interest (GDPR Art. 6(1)(f))", L9306=""), "Gap - Missing LIA", IF(AND(G9306="Yes", H9306=""), "Gap - Missing Art. 9 Basis", IF(OR(I9306="Invalid - Not Freely Given", I9306="Invalid - Not Specific", I9306="Invalid - Not Informed", I9306="Invalid - Ambiguous"), "Gap - Invalid Consent", "Compliant")))))</f>
        <v/>
      </c>
      <c r="O9306" s="7" t="n"/>
    </row>
    <row r="9307">
      <c r="A9307" s="7" t="n"/>
      <c r="B9307" s="7" t="n"/>
      <c r="C9307" s="7" t="n"/>
      <c r="D9307" s="7" t="n"/>
      <c r="E9307" s="7" t="n"/>
      <c r="F9307" s="7" t="n"/>
      <c r="G9307" s="7" t="n"/>
      <c r="H9307" s="7" t="n"/>
      <c r="I9307" s="7" t="n"/>
      <c r="J9307" s="7" t="n"/>
      <c r="K9307">
        <f>IF(D9307="Legitimate Interest (GDPR Art. 6(1)(f))", "Yes / Required (Sheet 3)", "")</f>
        <v/>
      </c>
      <c r="L9307" s="7" t="n"/>
      <c r="M9307" s="7" t="n"/>
      <c r="N9307">
        <f>IF(D9307="", "Gap - No Legal Basis", IF(AND(D9307="Consent (GDPR Art. 6(1)(a))", I9307="Not Captured"), "Gap - Invalid Consent", IF(AND(D9307="Legitimate Interest (GDPR Art. 6(1)(f))", L9307=""), "Gap - Missing LIA", IF(AND(G9307="Yes", H9307=""), "Gap - Missing Art. 9 Basis", IF(OR(I9307="Invalid - Not Freely Given", I9307="Invalid - Not Specific", I9307="Invalid - Not Informed", I9307="Invalid - Ambiguous"), "Gap - Invalid Consent", "Compliant")))))</f>
        <v/>
      </c>
      <c r="O9307" s="7" t="n"/>
    </row>
    <row r="9308">
      <c r="A9308" s="7" t="n"/>
      <c r="B9308" s="7" t="n"/>
      <c r="C9308" s="7" t="n"/>
      <c r="D9308" s="7" t="n"/>
      <c r="E9308" s="7" t="n"/>
      <c r="F9308" s="7" t="n"/>
      <c r="G9308" s="7" t="n"/>
      <c r="H9308" s="7" t="n"/>
      <c r="I9308" s="7" t="n"/>
      <c r="J9308" s="7" t="n"/>
      <c r="K9308">
        <f>IF(D9308="Legitimate Interest (GDPR Art. 6(1)(f))", "Yes / Required (Sheet 3)", "")</f>
        <v/>
      </c>
      <c r="L9308" s="7" t="n"/>
      <c r="M9308" s="7" t="n"/>
      <c r="N9308">
        <f>IF(D9308="", "Gap - No Legal Basis", IF(AND(D9308="Consent (GDPR Art. 6(1)(a))", I9308="Not Captured"), "Gap - Invalid Consent", IF(AND(D9308="Legitimate Interest (GDPR Art. 6(1)(f))", L9308=""), "Gap - Missing LIA", IF(AND(G9308="Yes", H9308=""), "Gap - Missing Art. 9 Basis", IF(OR(I9308="Invalid - Not Freely Given", I9308="Invalid - Not Specific", I9308="Invalid - Not Informed", I9308="Invalid - Ambiguous"), "Gap - Invalid Consent", "Compliant")))))</f>
        <v/>
      </c>
      <c r="O9308" s="7" t="n"/>
    </row>
    <row r="9309">
      <c r="A9309" s="7" t="n"/>
      <c r="B9309" s="7" t="n"/>
      <c r="C9309" s="7" t="n"/>
      <c r="D9309" s="7" t="n"/>
      <c r="E9309" s="7" t="n"/>
      <c r="F9309" s="7" t="n"/>
      <c r="G9309" s="7" t="n"/>
      <c r="H9309" s="7" t="n"/>
      <c r="I9309" s="7" t="n"/>
      <c r="J9309" s="7" t="n"/>
      <c r="K9309">
        <f>IF(D9309="Legitimate Interest (GDPR Art. 6(1)(f))", "Yes / Required (Sheet 3)", "")</f>
        <v/>
      </c>
      <c r="L9309" s="7" t="n"/>
      <c r="M9309" s="7" t="n"/>
      <c r="N9309">
        <f>IF(D9309="", "Gap - No Legal Basis", IF(AND(D9309="Consent (GDPR Art. 6(1)(a))", I9309="Not Captured"), "Gap - Invalid Consent", IF(AND(D9309="Legitimate Interest (GDPR Art. 6(1)(f))", L9309=""), "Gap - Missing LIA", IF(AND(G9309="Yes", H9309=""), "Gap - Missing Art. 9 Basis", IF(OR(I9309="Invalid - Not Freely Given", I9309="Invalid - Not Specific", I9309="Invalid - Not Informed", I9309="Invalid - Ambiguous"), "Gap - Invalid Consent", "Compliant")))))</f>
        <v/>
      </c>
      <c r="O9309" s="7" t="n"/>
    </row>
    <row r="9310">
      <c r="A9310" s="7" t="n"/>
      <c r="B9310" s="7" t="n"/>
      <c r="C9310" s="7" t="n"/>
      <c r="D9310" s="7" t="n"/>
      <c r="E9310" s="7" t="n"/>
      <c r="F9310" s="7" t="n"/>
      <c r="G9310" s="7" t="n"/>
      <c r="H9310" s="7" t="n"/>
      <c r="I9310" s="7" t="n"/>
      <c r="J9310" s="7" t="n"/>
      <c r="K9310">
        <f>IF(D9310="Legitimate Interest (GDPR Art. 6(1)(f))", "Yes / Required (Sheet 3)", "")</f>
        <v/>
      </c>
      <c r="L9310" s="7" t="n"/>
      <c r="M9310" s="7" t="n"/>
      <c r="N9310">
        <f>IF(D9310="", "Gap - No Legal Basis", IF(AND(D9310="Consent (GDPR Art. 6(1)(a))", I9310="Not Captured"), "Gap - Invalid Consent", IF(AND(D9310="Legitimate Interest (GDPR Art. 6(1)(f))", L9310=""), "Gap - Missing LIA", IF(AND(G9310="Yes", H9310=""), "Gap - Missing Art. 9 Basis", IF(OR(I9310="Invalid - Not Freely Given", I9310="Invalid - Not Specific", I9310="Invalid - Not Informed", I9310="Invalid - Ambiguous"), "Gap - Invalid Consent", "Compliant")))))</f>
        <v/>
      </c>
      <c r="O9310" s="7" t="n"/>
    </row>
    <row r="9311">
      <c r="A9311" s="7" t="n"/>
      <c r="B9311" s="7" t="n"/>
      <c r="C9311" s="7" t="n"/>
      <c r="D9311" s="7" t="n"/>
      <c r="E9311" s="7" t="n"/>
      <c r="F9311" s="7" t="n"/>
      <c r="G9311" s="7" t="n"/>
      <c r="H9311" s="7" t="n"/>
      <c r="I9311" s="7" t="n"/>
      <c r="J9311" s="7" t="n"/>
      <c r="K9311">
        <f>IF(D9311="Legitimate Interest (GDPR Art. 6(1)(f))", "Yes / Required (Sheet 3)", "")</f>
        <v/>
      </c>
      <c r="L9311" s="7" t="n"/>
      <c r="M9311" s="7" t="n"/>
      <c r="N9311">
        <f>IF(D9311="", "Gap - No Legal Basis", IF(AND(D9311="Consent (GDPR Art. 6(1)(a))", I9311="Not Captured"), "Gap - Invalid Consent", IF(AND(D9311="Legitimate Interest (GDPR Art. 6(1)(f))", L9311=""), "Gap - Missing LIA", IF(AND(G9311="Yes", H9311=""), "Gap - Missing Art. 9 Basis", IF(OR(I9311="Invalid - Not Freely Given", I9311="Invalid - Not Specific", I9311="Invalid - Not Informed", I9311="Invalid - Ambiguous"), "Gap - Invalid Consent", "Compliant")))))</f>
        <v/>
      </c>
      <c r="O9311" s="7" t="n"/>
    </row>
    <row r="9312">
      <c r="A9312" s="7" t="n"/>
      <c r="B9312" s="7" t="n"/>
      <c r="C9312" s="7" t="n"/>
      <c r="D9312" s="7" t="n"/>
      <c r="E9312" s="7" t="n"/>
      <c r="F9312" s="7" t="n"/>
      <c r="G9312" s="7" t="n"/>
      <c r="H9312" s="7" t="n"/>
      <c r="I9312" s="7" t="n"/>
      <c r="J9312" s="7" t="n"/>
      <c r="K9312">
        <f>IF(D9312="Legitimate Interest (GDPR Art. 6(1)(f))", "Yes / Required (Sheet 3)", "")</f>
        <v/>
      </c>
      <c r="L9312" s="7" t="n"/>
      <c r="M9312" s="7" t="n"/>
      <c r="N9312">
        <f>IF(D9312="", "Gap - No Legal Basis", IF(AND(D9312="Consent (GDPR Art. 6(1)(a))", I9312="Not Captured"), "Gap - Invalid Consent", IF(AND(D9312="Legitimate Interest (GDPR Art. 6(1)(f))", L9312=""), "Gap - Missing LIA", IF(AND(G9312="Yes", H9312=""), "Gap - Missing Art. 9 Basis", IF(OR(I9312="Invalid - Not Freely Given", I9312="Invalid - Not Specific", I9312="Invalid - Not Informed", I9312="Invalid - Ambiguous"), "Gap - Invalid Consent", "Compliant")))))</f>
        <v/>
      </c>
      <c r="O9312" s="7" t="n"/>
    </row>
    <row r="9313">
      <c r="A9313" s="7" t="n"/>
      <c r="B9313" s="7" t="n"/>
      <c r="C9313" s="7" t="n"/>
      <c r="D9313" s="7" t="n"/>
      <c r="E9313" s="7" t="n"/>
      <c r="F9313" s="7" t="n"/>
      <c r="G9313" s="7" t="n"/>
      <c r="H9313" s="7" t="n"/>
      <c r="I9313" s="7" t="n"/>
      <c r="J9313" s="7" t="n"/>
      <c r="K9313">
        <f>IF(D9313="Legitimate Interest (GDPR Art. 6(1)(f))", "Yes / Required (Sheet 3)", "")</f>
        <v/>
      </c>
      <c r="L9313" s="7" t="n"/>
      <c r="M9313" s="7" t="n"/>
      <c r="N9313">
        <f>IF(D9313="", "Gap - No Legal Basis", IF(AND(D9313="Consent (GDPR Art. 6(1)(a))", I9313="Not Captured"), "Gap - Invalid Consent", IF(AND(D9313="Legitimate Interest (GDPR Art. 6(1)(f))", L9313=""), "Gap - Missing LIA", IF(AND(G9313="Yes", H9313=""), "Gap - Missing Art. 9 Basis", IF(OR(I9313="Invalid - Not Freely Given", I9313="Invalid - Not Specific", I9313="Invalid - Not Informed", I9313="Invalid - Ambiguous"), "Gap - Invalid Consent", "Compliant")))))</f>
        <v/>
      </c>
      <c r="O9313" s="7" t="n"/>
    </row>
    <row r="9314">
      <c r="A9314" s="7" t="n"/>
      <c r="B9314" s="7" t="n"/>
      <c r="C9314" s="7" t="n"/>
      <c r="D9314" s="7" t="n"/>
      <c r="E9314" s="7" t="n"/>
      <c r="F9314" s="7" t="n"/>
      <c r="G9314" s="7" t="n"/>
      <c r="H9314" s="7" t="n"/>
      <c r="I9314" s="7" t="n"/>
      <c r="J9314" s="7" t="n"/>
      <c r="K9314">
        <f>IF(D9314="Legitimate Interest (GDPR Art. 6(1)(f))", "Yes / Required (Sheet 3)", "")</f>
        <v/>
      </c>
      <c r="L9314" s="7" t="n"/>
      <c r="M9314" s="7" t="n"/>
      <c r="N9314">
        <f>IF(D9314="", "Gap - No Legal Basis", IF(AND(D9314="Consent (GDPR Art. 6(1)(a))", I9314="Not Captured"), "Gap - Invalid Consent", IF(AND(D9314="Legitimate Interest (GDPR Art. 6(1)(f))", L9314=""), "Gap - Missing LIA", IF(AND(G9314="Yes", H9314=""), "Gap - Missing Art. 9 Basis", IF(OR(I9314="Invalid - Not Freely Given", I9314="Invalid - Not Specific", I9314="Invalid - Not Informed", I9314="Invalid - Ambiguous"), "Gap - Invalid Consent", "Compliant")))))</f>
        <v/>
      </c>
      <c r="O9314" s="7" t="n"/>
    </row>
    <row r="9315">
      <c r="A9315" s="7" t="n"/>
      <c r="B9315" s="7" t="n"/>
      <c r="C9315" s="7" t="n"/>
      <c r="D9315" s="7" t="n"/>
      <c r="E9315" s="7" t="n"/>
      <c r="F9315" s="7" t="n"/>
      <c r="G9315" s="7" t="n"/>
      <c r="H9315" s="7" t="n"/>
      <c r="I9315" s="7" t="n"/>
      <c r="J9315" s="7" t="n"/>
      <c r="K9315">
        <f>IF(D9315="Legitimate Interest (GDPR Art. 6(1)(f))", "Yes / Required (Sheet 3)", "")</f>
        <v/>
      </c>
      <c r="L9315" s="7" t="n"/>
      <c r="M9315" s="7" t="n"/>
      <c r="N9315">
        <f>IF(D9315="", "Gap - No Legal Basis", IF(AND(D9315="Consent (GDPR Art. 6(1)(a))", I9315="Not Captured"), "Gap - Invalid Consent", IF(AND(D9315="Legitimate Interest (GDPR Art. 6(1)(f))", L9315=""), "Gap - Missing LIA", IF(AND(G9315="Yes", H9315=""), "Gap - Missing Art. 9 Basis", IF(OR(I9315="Invalid - Not Freely Given", I9315="Invalid - Not Specific", I9315="Invalid - Not Informed", I9315="Invalid - Ambiguous"), "Gap - Invalid Consent", "Compliant")))))</f>
        <v/>
      </c>
      <c r="O9315" s="7" t="n"/>
    </row>
    <row r="9316">
      <c r="A9316" s="7" t="n"/>
      <c r="B9316" s="7" t="n"/>
      <c r="C9316" s="7" t="n"/>
      <c r="D9316" s="7" t="n"/>
      <c r="E9316" s="7" t="n"/>
      <c r="F9316" s="7" t="n"/>
      <c r="G9316" s="7" t="n"/>
      <c r="H9316" s="7" t="n"/>
      <c r="I9316" s="7" t="n"/>
      <c r="J9316" s="7" t="n"/>
      <c r="K9316">
        <f>IF(D9316="Legitimate Interest (GDPR Art. 6(1)(f))", "Yes / Required (Sheet 3)", "")</f>
        <v/>
      </c>
      <c r="L9316" s="7" t="n"/>
      <c r="M9316" s="7" t="n"/>
      <c r="N9316">
        <f>IF(D9316="", "Gap - No Legal Basis", IF(AND(D9316="Consent (GDPR Art. 6(1)(a))", I9316="Not Captured"), "Gap - Invalid Consent", IF(AND(D9316="Legitimate Interest (GDPR Art. 6(1)(f))", L9316=""), "Gap - Missing LIA", IF(AND(G9316="Yes", H9316=""), "Gap - Missing Art. 9 Basis", IF(OR(I9316="Invalid - Not Freely Given", I9316="Invalid - Not Specific", I9316="Invalid - Not Informed", I9316="Invalid - Ambiguous"), "Gap - Invalid Consent", "Compliant")))))</f>
        <v/>
      </c>
      <c r="O9316" s="7" t="n"/>
    </row>
    <row r="9317">
      <c r="A9317" s="7" t="n"/>
      <c r="B9317" s="7" t="n"/>
      <c r="C9317" s="7" t="n"/>
      <c r="D9317" s="7" t="n"/>
      <c r="E9317" s="7" t="n"/>
      <c r="F9317" s="7" t="n"/>
      <c r="G9317" s="7" t="n"/>
      <c r="H9317" s="7" t="n"/>
      <c r="I9317" s="7" t="n"/>
      <c r="J9317" s="7" t="n"/>
      <c r="K9317">
        <f>IF(D9317="Legitimate Interest (GDPR Art. 6(1)(f))", "Yes / Required (Sheet 3)", "")</f>
        <v/>
      </c>
      <c r="L9317" s="7" t="n"/>
      <c r="M9317" s="7" t="n"/>
      <c r="N9317">
        <f>IF(D9317="", "Gap - No Legal Basis", IF(AND(D9317="Consent (GDPR Art. 6(1)(a))", I9317="Not Captured"), "Gap - Invalid Consent", IF(AND(D9317="Legitimate Interest (GDPR Art. 6(1)(f))", L9317=""), "Gap - Missing LIA", IF(AND(G9317="Yes", H9317=""), "Gap - Missing Art. 9 Basis", IF(OR(I9317="Invalid - Not Freely Given", I9317="Invalid - Not Specific", I9317="Invalid - Not Informed", I9317="Invalid - Ambiguous"), "Gap - Invalid Consent", "Compliant")))))</f>
        <v/>
      </c>
      <c r="O9317" s="7" t="n"/>
    </row>
    <row r="9318">
      <c r="A9318" s="7" t="n"/>
      <c r="B9318" s="7" t="n"/>
      <c r="C9318" s="7" t="n"/>
      <c r="D9318" s="7" t="n"/>
      <c r="E9318" s="7" t="n"/>
      <c r="F9318" s="7" t="n"/>
      <c r="G9318" s="7" t="n"/>
      <c r="H9318" s="7" t="n"/>
      <c r="I9318" s="7" t="n"/>
      <c r="J9318" s="7" t="n"/>
      <c r="K9318">
        <f>IF(D9318="Legitimate Interest (GDPR Art. 6(1)(f))", "Yes / Required (Sheet 3)", "")</f>
        <v/>
      </c>
      <c r="L9318" s="7" t="n"/>
      <c r="M9318" s="7" t="n"/>
      <c r="N9318">
        <f>IF(D9318="", "Gap - No Legal Basis", IF(AND(D9318="Consent (GDPR Art. 6(1)(a))", I9318="Not Captured"), "Gap - Invalid Consent", IF(AND(D9318="Legitimate Interest (GDPR Art. 6(1)(f))", L9318=""), "Gap - Missing LIA", IF(AND(G9318="Yes", H9318=""), "Gap - Missing Art. 9 Basis", IF(OR(I9318="Invalid - Not Freely Given", I9318="Invalid - Not Specific", I9318="Invalid - Not Informed", I9318="Invalid - Ambiguous"), "Gap - Invalid Consent", "Compliant")))))</f>
        <v/>
      </c>
      <c r="O9318" s="7" t="n"/>
    </row>
    <row r="9319">
      <c r="A9319" s="7" t="n"/>
      <c r="B9319" s="7" t="n"/>
      <c r="C9319" s="7" t="n"/>
      <c r="D9319" s="7" t="n"/>
      <c r="E9319" s="7" t="n"/>
      <c r="F9319" s="7" t="n"/>
      <c r="G9319" s="7" t="n"/>
      <c r="H9319" s="7" t="n"/>
      <c r="I9319" s="7" t="n"/>
      <c r="J9319" s="7" t="n"/>
      <c r="K9319">
        <f>IF(D9319="Legitimate Interest (GDPR Art. 6(1)(f))", "Yes / Required (Sheet 3)", "")</f>
        <v/>
      </c>
      <c r="L9319" s="7" t="n"/>
      <c r="M9319" s="7" t="n"/>
      <c r="N9319">
        <f>IF(D9319="", "Gap - No Legal Basis", IF(AND(D9319="Consent (GDPR Art. 6(1)(a))", I9319="Not Captured"), "Gap - Invalid Consent", IF(AND(D9319="Legitimate Interest (GDPR Art. 6(1)(f))", L9319=""), "Gap - Missing LIA", IF(AND(G9319="Yes", H9319=""), "Gap - Missing Art. 9 Basis", IF(OR(I9319="Invalid - Not Freely Given", I9319="Invalid - Not Specific", I9319="Invalid - Not Informed", I9319="Invalid - Ambiguous"), "Gap - Invalid Consent", "Compliant")))))</f>
        <v/>
      </c>
      <c r="O9319" s="7" t="n"/>
    </row>
    <row r="9320">
      <c r="A9320" s="7" t="n"/>
      <c r="B9320" s="7" t="n"/>
      <c r="C9320" s="7" t="n"/>
      <c r="D9320" s="7" t="n"/>
      <c r="E9320" s="7" t="n"/>
      <c r="F9320" s="7" t="n"/>
      <c r="G9320" s="7" t="n"/>
      <c r="H9320" s="7" t="n"/>
      <c r="I9320" s="7" t="n"/>
      <c r="J9320" s="7" t="n"/>
      <c r="K9320">
        <f>IF(D9320="Legitimate Interest (GDPR Art. 6(1)(f))", "Yes / Required (Sheet 3)", "")</f>
        <v/>
      </c>
      <c r="L9320" s="7" t="n"/>
      <c r="M9320" s="7" t="n"/>
      <c r="N9320">
        <f>IF(D9320="", "Gap - No Legal Basis", IF(AND(D9320="Consent (GDPR Art. 6(1)(a))", I9320="Not Captured"), "Gap - Invalid Consent", IF(AND(D9320="Legitimate Interest (GDPR Art. 6(1)(f))", L9320=""), "Gap - Missing LIA", IF(AND(G9320="Yes", H9320=""), "Gap - Missing Art. 9 Basis", IF(OR(I9320="Invalid - Not Freely Given", I9320="Invalid - Not Specific", I9320="Invalid - Not Informed", I9320="Invalid - Ambiguous"), "Gap - Invalid Consent", "Compliant")))))</f>
        <v/>
      </c>
      <c r="O9320" s="7" t="n"/>
    </row>
    <row r="9321">
      <c r="A9321" s="7" t="n"/>
      <c r="B9321" s="7" t="n"/>
      <c r="C9321" s="7" t="n"/>
      <c r="D9321" s="7" t="n"/>
      <c r="E9321" s="7" t="n"/>
      <c r="F9321" s="7" t="n"/>
      <c r="G9321" s="7" t="n"/>
      <c r="H9321" s="7" t="n"/>
      <c r="I9321" s="7" t="n"/>
      <c r="J9321" s="7" t="n"/>
      <c r="K9321">
        <f>IF(D9321="Legitimate Interest (GDPR Art. 6(1)(f))", "Yes / Required (Sheet 3)", "")</f>
        <v/>
      </c>
      <c r="L9321" s="7" t="n"/>
      <c r="M9321" s="7" t="n"/>
      <c r="N9321">
        <f>IF(D9321="", "Gap - No Legal Basis", IF(AND(D9321="Consent (GDPR Art. 6(1)(a))", I9321="Not Captured"), "Gap - Invalid Consent", IF(AND(D9321="Legitimate Interest (GDPR Art. 6(1)(f))", L9321=""), "Gap - Missing LIA", IF(AND(G9321="Yes", H9321=""), "Gap - Missing Art. 9 Basis", IF(OR(I9321="Invalid - Not Freely Given", I9321="Invalid - Not Specific", I9321="Invalid - Not Informed", I9321="Invalid - Ambiguous"), "Gap - Invalid Consent", "Compliant")))))</f>
        <v/>
      </c>
      <c r="O9321" s="7" t="n"/>
    </row>
    <row r="9322">
      <c r="A9322" s="7" t="n"/>
      <c r="B9322" s="7" t="n"/>
      <c r="C9322" s="7" t="n"/>
      <c r="D9322" s="7" t="n"/>
      <c r="E9322" s="7" t="n"/>
      <c r="F9322" s="7" t="n"/>
      <c r="G9322" s="7" t="n"/>
      <c r="H9322" s="7" t="n"/>
      <c r="I9322" s="7" t="n"/>
      <c r="J9322" s="7" t="n"/>
      <c r="K9322">
        <f>IF(D9322="Legitimate Interest (GDPR Art. 6(1)(f))", "Yes / Required (Sheet 3)", "")</f>
        <v/>
      </c>
      <c r="L9322" s="7" t="n"/>
      <c r="M9322" s="7" t="n"/>
      <c r="N9322">
        <f>IF(D9322="", "Gap - No Legal Basis", IF(AND(D9322="Consent (GDPR Art. 6(1)(a))", I9322="Not Captured"), "Gap - Invalid Consent", IF(AND(D9322="Legitimate Interest (GDPR Art. 6(1)(f))", L9322=""), "Gap - Missing LIA", IF(AND(G9322="Yes", H9322=""), "Gap - Missing Art. 9 Basis", IF(OR(I9322="Invalid - Not Freely Given", I9322="Invalid - Not Specific", I9322="Invalid - Not Informed", I9322="Invalid - Ambiguous"), "Gap - Invalid Consent", "Compliant")))))</f>
        <v/>
      </c>
      <c r="O9322" s="7" t="n"/>
    </row>
    <row r="9323">
      <c r="A9323" s="7" t="n"/>
      <c r="B9323" s="7" t="n"/>
      <c r="C9323" s="7" t="n"/>
      <c r="D9323" s="7" t="n"/>
      <c r="E9323" s="7" t="n"/>
      <c r="F9323" s="7" t="n"/>
      <c r="G9323" s="7" t="n"/>
      <c r="H9323" s="7" t="n"/>
      <c r="I9323" s="7" t="n"/>
      <c r="J9323" s="7" t="n"/>
      <c r="K9323">
        <f>IF(D9323="Legitimate Interest (GDPR Art. 6(1)(f))", "Yes / Required (Sheet 3)", "")</f>
        <v/>
      </c>
      <c r="L9323" s="7" t="n"/>
      <c r="M9323" s="7" t="n"/>
      <c r="N9323">
        <f>IF(D9323="", "Gap - No Legal Basis", IF(AND(D9323="Consent (GDPR Art. 6(1)(a))", I9323="Not Captured"), "Gap - Invalid Consent", IF(AND(D9323="Legitimate Interest (GDPR Art. 6(1)(f))", L9323=""), "Gap - Missing LIA", IF(AND(G9323="Yes", H9323=""), "Gap - Missing Art. 9 Basis", IF(OR(I9323="Invalid - Not Freely Given", I9323="Invalid - Not Specific", I9323="Invalid - Not Informed", I9323="Invalid - Ambiguous"), "Gap - Invalid Consent", "Compliant")))))</f>
        <v/>
      </c>
      <c r="O9323" s="7" t="n"/>
    </row>
    <row r="9324">
      <c r="A9324" s="7" t="n"/>
      <c r="B9324" s="7" t="n"/>
      <c r="C9324" s="7" t="n"/>
      <c r="D9324" s="7" t="n"/>
      <c r="E9324" s="7" t="n"/>
      <c r="F9324" s="7" t="n"/>
      <c r="G9324" s="7" t="n"/>
      <c r="H9324" s="7" t="n"/>
      <c r="I9324" s="7" t="n"/>
      <c r="J9324" s="7" t="n"/>
      <c r="K9324">
        <f>IF(D9324="Legitimate Interest (GDPR Art. 6(1)(f))", "Yes / Required (Sheet 3)", "")</f>
        <v/>
      </c>
      <c r="L9324" s="7" t="n"/>
      <c r="M9324" s="7" t="n"/>
      <c r="N9324">
        <f>IF(D9324="", "Gap - No Legal Basis", IF(AND(D9324="Consent (GDPR Art. 6(1)(a))", I9324="Not Captured"), "Gap - Invalid Consent", IF(AND(D9324="Legitimate Interest (GDPR Art. 6(1)(f))", L9324=""), "Gap - Missing LIA", IF(AND(G9324="Yes", H9324=""), "Gap - Missing Art. 9 Basis", IF(OR(I9324="Invalid - Not Freely Given", I9324="Invalid - Not Specific", I9324="Invalid - Not Informed", I9324="Invalid - Ambiguous"), "Gap - Invalid Consent", "Compliant")))))</f>
        <v/>
      </c>
      <c r="O9324" s="7" t="n"/>
    </row>
    <row r="9325">
      <c r="A9325" s="7" t="n"/>
      <c r="B9325" s="7" t="n"/>
      <c r="C9325" s="7" t="n"/>
      <c r="D9325" s="7" t="n"/>
      <c r="E9325" s="7" t="n"/>
      <c r="F9325" s="7" t="n"/>
      <c r="G9325" s="7" t="n"/>
      <c r="H9325" s="7" t="n"/>
      <c r="I9325" s="7" t="n"/>
      <c r="J9325" s="7" t="n"/>
      <c r="K9325">
        <f>IF(D9325="Legitimate Interest (GDPR Art. 6(1)(f))", "Yes / Required (Sheet 3)", "")</f>
        <v/>
      </c>
      <c r="L9325" s="7" t="n"/>
      <c r="M9325" s="7" t="n"/>
      <c r="N9325">
        <f>IF(D9325="", "Gap - No Legal Basis", IF(AND(D9325="Consent (GDPR Art. 6(1)(a))", I9325="Not Captured"), "Gap - Invalid Consent", IF(AND(D9325="Legitimate Interest (GDPR Art. 6(1)(f))", L9325=""), "Gap - Missing LIA", IF(AND(G9325="Yes", H9325=""), "Gap - Missing Art. 9 Basis", IF(OR(I9325="Invalid - Not Freely Given", I9325="Invalid - Not Specific", I9325="Invalid - Not Informed", I9325="Invalid - Ambiguous"), "Gap - Invalid Consent", "Compliant")))))</f>
        <v/>
      </c>
      <c r="O9325" s="7" t="n"/>
    </row>
    <row r="9326">
      <c r="A9326" s="7" t="n"/>
      <c r="B9326" s="7" t="n"/>
      <c r="C9326" s="7" t="n"/>
      <c r="D9326" s="7" t="n"/>
      <c r="E9326" s="7" t="n"/>
      <c r="F9326" s="7" t="n"/>
      <c r="G9326" s="7" t="n"/>
      <c r="H9326" s="7" t="n"/>
      <c r="I9326" s="7" t="n"/>
      <c r="J9326" s="7" t="n"/>
      <c r="K9326">
        <f>IF(D9326="Legitimate Interest (GDPR Art. 6(1)(f))", "Yes / Required (Sheet 3)", "")</f>
        <v/>
      </c>
      <c r="L9326" s="7" t="n"/>
      <c r="M9326" s="7" t="n"/>
      <c r="N9326">
        <f>IF(D9326="", "Gap - No Legal Basis", IF(AND(D9326="Consent (GDPR Art. 6(1)(a))", I9326="Not Captured"), "Gap - Invalid Consent", IF(AND(D9326="Legitimate Interest (GDPR Art. 6(1)(f))", L9326=""), "Gap - Missing LIA", IF(AND(G9326="Yes", H9326=""), "Gap - Missing Art. 9 Basis", IF(OR(I9326="Invalid - Not Freely Given", I9326="Invalid - Not Specific", I9326="Invalid - Not Informed", I9326="Invalid - Ambiguous"), "Gap - Invalid Consent", "Compliant")))))</f>
        <v/>
      </c>
      <c r="O9326" s="7" t="n"/>
    </row>
    <row r="9327">
      <c r="A9327" s="7" t="n"/>
      <c r="B9327" s="7" t="n"/>
      <c r="C9327" s="7" t="n"/>
      <c r="D9327" s="7" t="n"/>
      <c r="E9327" s="7" t="n"/>
      <c r="F9327" s="7" t="n"/>
      <c r="G9327" s="7" t="n"/>
      <c r="H9327" s="7" t="n"/>
      <c r="I9327" s="7" t="n"/>
      <c r="J9327" s="7" t="n"/>
      <c r="K9327">
        <f>IF(D9327="Legitimate Interest (GDPR Art. 6(1)(f))", "Yes / Required (Sheet 3)", "")</f>
        <v/>
      </c>
      <c r="L9327" s="7" t="n"/>
      <c r="M9327" s="7" t="n"/>
      <c r="N9327">
        <f>IF(D9327="", "Gap - No Legal Basis", IF(AND(D9327="Consent (GDPR Art. 6(1)(a))", I9327="Not Captured"), "Gap - Invalid Consent", IF(AND(D9327="Legitimate Interest (GDPR Art. 6(1)(f))", L9327=""), "Gap - Missing LIA", IF(AND(G9327="Yes", H9327=""), "Gap - Missing Art. 9 Basis", IF(OR(I9327="Invalid - Not Freely Given", I9327="Invalid - Not Specific", I9327="Invalid - Not Informed", I9327="Invalid - Ambiguous"), "Gap - Invalid Consent", "Compliant")))))</f>
        <v/>
      </c>
      <c r="O9327" s="7" t="n"/>
    </row>
    <row r="9328">
      <c r="A9328" s="7" t="n"/>
      <c r="B9328" s="7" t="n"/>
      <c r="C9328" s="7" t="n"/>
      <c r="D9328" s="7" t="n"/>
      <c r="E9328" s="7" t="n"/>
      <c r="F9328" s="7" t="n"/>
      <c r="G9328" s="7" t="n"/>
      <c r="H9328" s="7" t="n"/>
      <c r="I9328" s="7" t="n"/>
      <c r="J9328" s="7" t="n"/>
      <c r="K9328">
        <f>IF(D9328="Legitimate Interest (GDPR Art. 6(1)(f))", "Yes / Required (Sheet 3)", "")</f>
        <v/>
      </c>
      <c r="L9328" s="7" t="n"/>
      <c r="M9328" s="7" t="n"/>
      <c r="N9328">
        <f>IF(D9328="", "Gap - No Legal Basis", IF(AND(D9328="Consent (GDPR Art. 6(1)(a))", I9328="Not Captured"), "Gap - Invalid Consent", IF(AND(D9328="Legitimate Interest (GDPR Art. 6(1)(f))", L9328=""), "Gap - Missing LIA", IF(AND(G9328="Yes", H9328=""), "Gap - Missing Art. 9 Basis", IF(OR(I9328="Invalid - Not Freely Given", I9328="Invalid - Not Specific", I9328="Invalid - Not Informed", I9328="Invalid - Ambiguous"), "Gap - Invalid Consent", "Compliant")))))</f>
        <v/>
      </c>
      <c r="O9328" s="7" t="n"/>
    </row>
    <row r="9329">
      <c r="A9329" s="7" t="n"/>
      <c r="B9329" s="7" t="n"/>
      <c r="C9329" s="7" t="n"/>
      <c r="D9329" s="7" t="n"/>
      <c r="E9329" s="7" t="n"/>
      <c r="F9329" s="7" t="n"/>
      <c r="G9329" s="7" t="n"/>
      <c r="H9329" s="7" t="n"/>
      <c r="I9329" s="7" t="n"/>
      <c r="J9329" s="7" t="n"/>
      <c r="K9329">
        <f>IF(D9329="Legitimate Interest (GDPR Art. 6(1)(f))", "Yes / Required (Sheet 3)", "")</f>
        <v/>
      </c>
      <c r="L9329" s="7" t="n"/>
      <c r="M9329" s="7" t="n"/>
      <c r="N9329">
        <f>IF(D9329="", "Gap - No Legal Basis", IF(AND(D9329="Consent (GDPR Art. 6(1)(a))", I9329="Not Captured"), "Gap - Invalid Consent", IF(AND(D9329="Legitimate Interest (GDPR Art. 6(1)(f))", L9329=""), "Gap - Missing LIA", IF(AND(G9329="Yes", H9329=""), "Gap - Missing Art. 9 Basis", IF(OR(I9329="Invalid - Not Freely Given", I9329="Invalid - Not Specific", I9329="Invalid - Not Informed", I9329="Invalid - Ambiguous"), "Gap - Invalid Consent", "Compliant")))))</f>
        <v/>
      </c>
      <c r="O9329" s="7" t="n"/>
    </row>
    <row r="9330">
      <c r="A9330" s="7" t="n"/>
      <c r="B9330" s="7" t="n"/>
      <c r="C9330" s="7" t="n"/>
      <c r="D9330" s="7" t="n"/>
      <c r="E9330" s="7" t="n"/>
      <c r="F9330" s="7" t="n"/>
      <c r="G9330" s="7" t="n"/>
      <c r="H9330" s="7" t="n"/>
      <c r="I9330" s="7" t="n"/>
      <c r="J9330" s="7" t="n"/>
      <c r="K9330">
        <f>IF(D9330="Legitimate Interest (GDPR Art. 6(1)(f))", "Yes / Required (Sheet 3)", "")</f>
        <v/>
      </c>
      <c r="L9330" s="7" t="n"/>
      <c r="M9330" s="7" t="n"/>
      <c r="N9330">
        <f>IF(D9330="", "Gap - No Legal Basis", IF(AND(D9330="Consent (GDPR Art. 6(1)(a))", I9330="Not Captured"), "Gap - Invalid Consent", IF(AND(D9330="Legitimate Interest (GDPR Art. 6(1)(f))", L9330=""), "Gap - Missing LIA", IF(AND(G9330="Yes", H9330=""), "Gap - Missing Art. 9 Basis", IF(OR(I9330="Invalid - Not Freely Given", I9330="Invalid - Not Specific", I9330="Invalid - Not Informed", I9330="Invalid - Ambiguous"), "Gap - Invalid Consent", "Compliant")))))</f>
        <v/>
      </c>
      <c r="O9330" s="7" t="n"/>
    </row>
    <row r="9331">
      <c r="A9331" s="7" t="n"/>
      <c r="B9331" s="7" t="n"/>
      <c r="C9331" s="7" t="n"/>
      <c r="D9331" s="7" t="n"/>
      <c r="E9331" s="7" t="n"/>
      <c r="F9331" s="7" t="n"/>
      <c r="G9331" s="7" t="n"/>
      <c r="H9331" s="7" t="n"/>
      <c r="I9331" s="7" t="n"/>
      <c r="J9331" s="7" t="n"/>
      <c r="K9331">
        <f>IF(D9331="Legitimate Interest (GDPR Art. 6(1)(f))", "Yes / Required (Sheet 3)", "")</f>
        <v/>
      </c>
      <c r="L9331" s="7" t="n"/>
      <c r="M9331" s="7" t="n"/>
      <c r="N9331">
        <f>IF(D9331="", "Gap - No Legal Basis", IF(AND(D9331="Consent (GDPR Art. 6(1)(a))", I9331="Not Captured"), "Gap - Invalid Consent", IF(AND(D9331="Legitimate Interest (GDPR Art. 6(1)(f))", L9331=""), "Gap - Missing LIA", IF(AND(G9331="Yes", H9331=""), "Gap - Missing Art. 9 Basis", IF(OR(I9331="Invalid - Not Freely Given", I9331="Invalid - Not Specific", I9331="Invalid - Not Informed", I9331="Invalid - Ambiguous"), "Gap - Invalid Consent", "Compliant")))))</f>
        <v/>
      </c>
      <c r="O9331" s="7" t="n"/>
    </row>
    <row r="9332">
      <c r="A9332" s="7" t="n"/>
      <c r="B9332" s="7" t="n"/>
      <c r="C9332" s="7" t="n"/>
      <c r="D9332" s="7" t="n"/>
      <c r="E9332" s="7" t="n"/>
      <c r="F9332" s="7" t="n"/>
      <c r="G9332" s="7" t="n"/>
      <c r="H9332" s="7" t="n"/>
      <c r="I9332" s="7" t="n"/>
      <c r="J9332" s="7" t="n"/>
      <c r="K9332">
        <f>IF(D9332="Legitimate Interest (GDPR Art. 6(1)(f))", "Yes / Required (Sheet 3)", "")</f>
        <v/>
      </c>
      <c r="L9332" s="7" t="n"/>
      <c r="M9332" s="7" t="n"/>
      <c r="N9332">
        <f>IF(D9332="", "Gap - No Legal Basis", IF(AND(D9332="Consent (GDPR Art. 6(1)(a))", I9332="Not Captured"), "Gap - Invalid Consent", IF(AND(D9332="Legitimate Interest (GDPR Art. 6(1)(f))", L9332=""), "Gap - Missing LIA", IF(AND(G9332="Yes", H9332=""), "Gap - Missing Art. 9 Basis", IF(OR(I9332="Invalid - Not Freely Given", I9332="Invalid - Not Specific", I9332="Invalid - Not Informed", I9332="Invalid - Ambiguous"), "Gap - Invalid Consent", "Compliant")))))</f>
        <v/>
      </c>
      <c r="O9332" s="7" t="n"/>
    </row>
    <row r="9333">
      <c r="A9333" s="7" t="n"/>
      <c r="B9333" s="7" t="n"/>
      <c r="C9333" s="7" t="n"/>
      <c r="D9333" s="7" t="n"/>
      <c r="E9333" s="7" t="n"/>
      <c r="F9333" s="7" t="n"/>
      <c r="G9333" s="7" t="n"/>
      <c r="H9333" s="7" t="n"/>
      <c r="I9333" s="7" t="n"/>
      <c r="J9333" s="7" t="n"/>
      <c r="K9333">
        <f>IF(D9333="Legitimate Interest (GDPR Art. 6(1)(f))", "Yes / Required (Sheet 3)", "")</f>
        <v/>
      </c>
      <c r="L9333" s="7" t="n"/>
      <c r="M9333" s="7" t="n"/>
      <c r="N9333">
        <f>IF(D9333="", "Gap - No Legal Basis", IF(AND(D9333="Consent (GDPR Art. 6(1)(a))", I9333="Not Captured"), "Gap - Invalid Consent", IF(AND(D9333="Legitimate Interest (GDPR Art. 6(1)(f))", L9333=""), "Gap - Missing LIA", IF(AND(G9333="Yes", H9333=""), "Gap - Missing Art. 9 Basis", IF(OR(I9333="Invalid - Not Freely Given", I9333="Invalid - Not Specific", I9333="Invalid - Not Informed", I9333="Invalid - Ambiguous"), "Gap - Invalid Consent", "Compliant")))))</f>
        <v/>
      </c>
      <c r="O9333" s="7" t="n"/>
    </row>
    <row r="9334">
      <c r="A9334" s="7" t="n"/>
      <c r="B9334" s="7" t="n"/>
      <c r="C9334" s="7" t="n"/>
      <c r="D9334" s="7" t="n"/>
      <c r="E9334" s="7" t="n"/>
      <c r="F9334" s="7" t="n"/>
      <c r="G9334" s="7" t="n"/>
      <c r="H9334" s="7" t="n"/>
      <c r="I9334" s="7" t="n"/>
      <c r="J9334" s="7" t="n"/>
      <c r="K9334">
        <f>IF(D9334="Legitimate Interest (GDPR Art. 6(1)(f))", "Yes / Required (Sheet 3)", "")</f>
        <v/>
      </c>
      <c r="L9334" s="7" t="n"/>
      <c r="M9334" s="7" t="n"/>
      <c r="N9334">
        <f>IF(D9334="", "Gap - No Legal Basis", IF(AND(D9334="Consent (GDPR Art. 6(1)(a))", I9334="Not Captured"), "Gap - Invalid Consent", IF(AND(D9334="Legitimate Interest (GDPR Art. 6(1)(f))", L9334=""), "Gap - Missing LIA", IF(AND(G9334="Yes", H9334=""), "Gap - Missing Art. 9 Basis", IF(OR(I9334="Invalid - Not Freely Given", I9334="Invalid - Not Specific", I9334="Invalid - Not Informed", I9334="Invalid - Ambiguous"), "Gap - Invalid Consent", "Compliant")))))</f>
        <v/>
      </c>
      <c r="O9334" s="7" t="n"/>
    </row>
    <row r="9335">
      <c r="A9335" s="7" t="n"/>
      <c r="B9335" s="7" t="n"/>
      <c r="C9335" s="7" t="n"/>
      <c r="D9335" s="7" t="n"/>
      <c r="E9335" s="7" t="n"/>
      <c r="F9335" s="7" t="n"/>
      <c r="G9335" s="7" t="n"/>
      <c r="H9335" s="7" t="n"/>
      <c r="I9335" s="7" t="n"/>
      <c r="J9335" s="7" t="n"/>
      <c r="K9335">
        <f>IF(D9335="Legitimate Interest (GDPR Art. 6(1)(f))", "Yes / Required (Sheet 3)", "")</f>
        <v/>
      </c>
      <c r="L9335" s="7" t="n"/>
      <c r="M9335" s="7" t="n"/>
      <c r="N9335">
        <f>IF(D9335="", "Gap - No Legal Basis", IF(AND(D9335="Consent (GDPR Art. 6(1)(a))", I9335="Not Captured"), "Gap - Invalid Consent", IF(AND(D9335="Legitimate Interest (GDPR Art. 6(1)(f))", L9335=""), "Gap - Missing LIA", IF(AND(G9335="Yes", H9335=""), "Gap - Missing Art. 9 Basis", IF(OR(I9335="Invalid - Not Freely Given", I9335="Invalid - Not Specific", I9335="Invalid - Not Informed", I9335="Invalid - Ambiguous"), "Gap - Invalid Consent", "Compliant")))))</f>
        <v/>
      </c>
      <c r="O9335" s="7" t="n"/>
    </row>
    <row r="9336">
      <c r="A9336" s="7" t="n"/>
      <c r="B9336" s="7" t="n"/>
      <c r="C9336" s="7" t="n"/>
      <c r="D9336" s="7" t="n"/>
      <c r="E9336" s="7" t="n"/>
      <c r="F9336" s="7" t="n"/>
      <c r="G9336" s="7" t="n"/>
      <c r="H9336" s="7" t="n"/>
      <c r="I9336" s="7" t="n"/>
      <c r="J9336" s="7" t="n"/>
      <c r="K9336">
        <f>IF(D9336="Legitimate Interest (GDPR Art. 6(1)(f))", "Yes / Required (Sheet 3)", "")</f>
        <v/>
      </c>
      <c r="L9336" s="7" t="n"/>
      <c r="M9336" s="7" t="n"/>
      <c r="N9336">
        <f>IF(D9336="", "Gap - No Legal Basis", IF(AND(D9336="Consent (GDPR Art. 6(1)(a))", I9336="Not Captured"), "Gap - Invalid Consent", IF(AND(D9336="Legitimate Interest (GDPR Art. 6(1)(f))", L9336=""), "Gap - Missing LIA", IF(AND(G9336="Yes", H9336=""), "Gap - Missing Art. 9 Basis", IF(OR(I9336="Invalid - Not Freely Given", I9336="Invalid - Not Specific", I9336="Invalid - Not Informed", I9336="Invalid - Ambiguous"), "Gap - Invalid Consent", "Compliant")))))</f>
        <v/>
      </c>
      <c r="O9336" s="7" t="n"/>
    </row>
    <row r="9337">
      <c r="A9337" s="7" t="n"/>
      <c r="B9337" s="7" t="n"/>
      <c r="C9337" s="7" t="n"/>
      <c r="D9337" s="7" t="n"/>
      <c r="E9337" s="7" t="n"/>
      <c r="F9337" s="7" t="n"/>
      <c r="G9337" s="7" t="n"/>
      <c r="H9337" s="7" t="n"/>
      <c r="I9337" s="7" t="n"/>
      <c r="J9337" s="7" t="n"/>
      <c r="K9337">
        <f>IF(D9337="Legitimate Interest (GDPR Art. 6(1)(f))", "Yes / Required (Sheet 3)", "")</f>
        <v/>
      </c>
      <c r="L9337" s="7" t="n"/>
      <c r="M9337" s="7" t="n"/>
      <c r="N9337">
        <f>IF(D9337="", "Gap - No Legal Basis", IF(AND(D9337="Consent (GDPR Art. 6(1)(a))", I9337="Not Captured"), "Gap - Invalid Consent", IF(AND(D9337="Legitimate Interest (GDPR Art. 6(1)(f))", L9337=""), "Gap - Missing LIA", IF(AND(G9337="Yes", H9337=""), "Gap - Missing Art. 9 Basis", IF(OR(I9337="Invalid - Not Freely Given", I9337="Invalid - Not Specific", I9337="Invalid - Not Informed", I9337="Invalid - Ambiguous"), "Gap - Invalid Consent", "Compliant")))))</f>
        <v/>
      </c>
      <c r="O9337" s="7" t="n"/>
    </row>
    <row r="9338">
      <c r="A9338" s="7" t="n"/>
      <c r="B9338" s="7" t="n"/>
      <c r="C9338" s="7" t="n"/>
      <c r="D9338" s="7" t="n"/>
      <c r="E9338" s="7" t="n"/>
      <c r="F9338" s="7" t="n"/>
      <c r="G9338" s="7" t="n"/>
      <c r="H9338" s="7" t="n"/>
      <c r="I9338" s="7" t="n"/>
      <c r="J9338" s="7" t="n"/>
      <c r="K9338">
        <f>IF(D9338="Legitimate Interest (GDPR Art. 6(1)(f))", "Yes / Required (Sheet 3)", "")</f>
        <v/>
      </c>
      <c r="L9338" s="7" t="n"/>
      <c r="M9338" s="7" t="n"/>
      <c r="N9338">
        <f>IF(D9338="", "Gap - No Legal Basis", IF(AND(D9338="Consent (GDPR Art. 6(1)(a))", I9338="Not Captured"), "Gap - Invalid Consent", IF(AND(D9338="Legitimate Interest (GDPR Art. 6(1)(f))", L9338=""), "Gap - Missing LIA", IF(AND(G9338="Yes", H9338=""), "Gap - Missing Art. 9 Basis", IF(OR(I9338="Invalid - Not Freely Given", I9338="Invalid - Not Specific", I9338="Invalid - Not Informed", I9338="Invalid - Ambiguous"), "Gap - Invalid Consent", "Compliant")))))</f>
        <v/>
      </c>
      <c r="O9338" s="7" t="n"/>
    </row>
    <row r="9339">
      <c r="A9339" s="7" t="n"/>
      <c r="B9339" s="7" t="n"/>
      <c r="C9339" s="7" t="n"/>
      <c r="D9339" s="7" t="n"/>
      <c r="E9339" s="7" t="n"/>
      <c r="F9339" s="7" t="n"/>
      <c r="G9339" s="7" t="n"/>
      <c r="H9339" s="7" t="n"/>
      <c r="I9339" s="7" t="n"/>
      <c r="J9339" s="7" t="n"/>
      <c r="K9339">
        <f>IF(D9339="Legitimate Interest (GDPR Art. 6(1)(f))", "Yes / Required (Sheet 3)", "")</f>
        <v/>
      </c>
      <c r="L9339" s="7" t="n"/>
      <c r="M9339" s="7" t="n"/>
      <c r="N9339">
        <f>IF(D9339="", "Gap - No Legal Basis", IF(AND(D9339="Consent (GDPR Art. 6(1)(a))", I9339="Not Captured"), "Gap - Invalid Consent", IF(AND(D9339="Legitimate Interest (GDPR Art. 6(1)(f))", L9339=""), "Gap - Missing LIA", IF(AND(G9339="Yes", H9339=""), "Gap - Missing Art. 9 Basis", IF(OR(I9339="Invalid - Not Freely Given", I9339="Invalid - Not Specific", I9339="Invalid - Not Informed", I9339="Invalid - Ambiguous"), "Gap - Invalid Consent", "Compliant")))))</f>
        <v/>
      </c>
      <c r="O9339" s="7" t="n"/>
    </row>
    <row r="9340">
      <c r="A9340" s="7" t="n"/>
      <c r="B9340" s="7" t="n"/>
      <c r="C9340" s="7" t="n"/>
      <c r="D9340" s="7" t="n"/>
      <c r="E9340" s="7" t="n"/>
      <c r="F9340" s="7" t="n"/>
      <c r="G9340" s="7" t="n"/>
      <c r="H9340" s="7" t="n"/>
      <c r="I9340" s="7" t="n"/>
      <c r="J9340" s="7" t="n"/>
      <c r="K9340">
        <f>IF(D9340="Legitimate Interest (GDPR Art. 6(1)(f))", "Yes / Required (Sheet 3)", "")</f>
        <v/>
      </c>
      <c r="L9340" s="7" t="n"/>
      <c r="M9340" s="7" t="n"/>
      <c r="N9340">
        <f>IF(D9340="", "Gap - No Legal Basis", IF(AND(D9340="Consent (GDPR Art. 6(1)(a))", I9340="Not Captured"), "Gap - Invalid Consent", IF(AND(D9340="Legitimate Interest (GDPR Art. 6(1)(f))", L9340=""), "Gap - Missing LIA", IF(AND(G9340="Yes", H9340=""), "Gap - Missing Art. 9 Basis", IF(OR(I9340="Invalid - Not Freely Given", I9340="Invalid - Not Specific", I9340="Invalid - Not Informed", I9340="Invalid - Ambiguous"), "Gap - Invalid Consent", "Compliant")))))</f>
        <v/>
      </c>
      <c r="O9340" s="7" t="n"/>
    </row>
    <row r="9341">
      <c r="A9341" s="7" t="n"/>
      <c r="B9341" s="7" t="n"/>
      <c r="C9341" s="7" t="n"/>
      <c r="D9341" s="7" t="n"/>
      <c r="E9341" s="7" t="n"/>
      <c r="F9341" s="7" t="n"/>
      <c r="G9341" s="7" t="n"/>
      <c r="H9341" s="7" t="n"/>
      <c r="I9341" s="7" t="n"/>
      <c r="J9341" s="7" t="n"/>
      <c r="K9341">
        <f>IF(D9341="Legitimate Interest (GDPR Art. 6(1)(f))", "Yes / Required (Sheet 3)", "")</f>
        <v/>
      </c>
      <c r="L9341" s="7" t="n"/>
      <c r="M9341" s="7" t="n"/>
      <c r="N9341">
        <f>IF(D9341="", "Gap - No Legal Basis", IF(AND(D9341="Consent (GDPR Art. 6(1)(a))", I9341="Not Captured"), "Gap - Invalid Consent", IF(AND(D9341="Legitimate Interest (GDPR Art. 6(1)(f))", L9341=""), "Gap - Missing LIA", IF(AND(G9341="Yes", H9341=""), "Gap - Missing Art. 9 Basis", IF(OR(I9341="Invalid - Not Freely Given", I9341="Invalid - Not Specific", I9341="Invalid - Not Informed", I9341="Invalid - Ambiguous"), "Gap - Invalid Consent", "Compliant")))))</f>
        <v/>
      </c>
      <c r="O9341" s="7" t="n"/>
    </row>
    <row r="9342">
      <c r="A9342" s="7" t="n"/>
      <c r="B9342" s="7" t="n"/>
      <c r="C9342" s="7" t="n"/>
      <c r="D9342" s="7" t="n"/>
      <c r="E9342" s="7" t="n"/>
      <c r="F9342" s="7" t="n"/>
      <c r="G9342" s="7" t="n"/>
      <c r="H9342" s="7" t="n"/>
      <c r="I9342" s="7" t="n"/>
      <c r="J9342" s="7" t="n"/>
      <c r="K9342">
        <f>IF(D9342="Legitimate Interest (GDPR Art. 6(1)(f))", "Yes / Required (Sheet 3)", "")</f>
        <v/>
      </c>
      <c r="L9342" s="7" t="n"/>
      <c r="M9342" s="7" t="n"/>
      <c r="N9342">
        <f>IF(D9342="", "Gap - No Legal Basis", IF(AND(D9342="Consent (GDPR Art. 6(1)(a))", I9342="Not Captured"), "Gap - Invalid Consent", IF(AND(D9342="Legitimate Interest (GDPR Art. 6(1)(f))", L9342=""), "Gap - Missing LIA", IF(AND(G9342="Yes", H9342=""), "Gap - Missing Art. 9 Basis", IF(OR(I9342="Invalid - Not Freely Given", I9342="Invalid - Not Specific", I9342="Invalid - Not Informed", I9342="Invalid - Ambiguous"), "Gap - Invalid Consent", "Compliant")))))</f>
        <v/>
      </c>
      <c r="O9342" s="7" t="n"/>
    </row>
    <row r="9343">
      <c r="A9343" s="7" t="n"/>
      <c r="B9343" s="7" t="n"/>
      <c r="C9343" s="7" t="n"/>
      <c r="D9343" s="7" t="n"/>
      <c r="E9343" s="7" t="n"/>
      <c r="F9343" s="7" t="n"/>
      <c r="G9343" s="7" t="n"/>
      <c r="H9343" s="7" t="n"/>
      <c r="I9343" s="7" t="n"/>
      <c r="J9343" s="7" t="n"/>
      <c r="K9343">
        <f>IF(D9343="Legitimate Interest (GDPR Art. 6(1)(f))", "Yes / Required (Sheet 3)", "")</f>
        <v/>
      </c>
      <c r="L9343" s="7" t="n"/>
      <c r="M9343" s="7" t="n"/>
      <c r="N9343">
        <f>IF(D9343="", "Gap - No Legal Basis", IF(AND(D9343="Consent (GDPR Art. 6(1)(a))", I9343="Not Captured"), "Gap - Invalid Consent", IF(AND(D9343="Legitimate Interest (GDPR Art. 6(1)(f))", L9343=""), "Gap - Missing LIA", IF(AND(G9343="Yes", H9343=""), "Gap - Missing Art. 9 Basis", IF(OR(I9343="Invalid - Not Freely Given", I9343="Invalid - Not Specific", I9343="Invalid - Not Informed", I9343="Invalid - Ambiguous"), "Gap - Invalid Consent", "Compliant")))))</f>
        <v/>
      </c>
      <c r="O9343" s="7" t="n"/>
    </row>
    <row r="9344">
      <c r="A9344" s="7" t="n"/>
      <c r="B9344" s="7" t="n"/>
      <c r="C9344" s="7" t="n"/>
      <c r="D9344" s="7" t="n"/>
      <c r="E9344" s="7" t="n"/>
      <c r="F9344" s="7" t="n"/>
      <c r="G9344" s="7" t="n"/>
      <c r="H9344" s="7" t="n"/>
      <c r="I9344" s="7" t="n"/>
      <c r="J9344" s="7" t="n"/>
      <c r="K9344">
        <f>IF(D9344="Legitimate Interest (GDPR Art. 6(1)(f))", "Yes / Required (Sheet 3)", "")</f>
        <v/>
      </c>
      <c r="L9344" s="7" t="n"/>
      <c r="M9344" s="7" t="n"/>
      <c r="N9344">
        <f>IF(D9344="", "Gap - No Legal Basis", IF(AND(D9344="Consent (GDPR Art. 6(1)(a))", I9344="Not Captured"), "Gap - Invalid Consent", IF(AND(D9344="Legitimate Interest (GDPR Art. 6(1)(f))", L9344=""), "Gap - Missing LIA", IF(AND(G9344="Yes", H9344=""), "Gap - Missing Art. 9 Basis", IF(OR(I9344="Invalid - Not Freely Given", I9344="Invalid - Not Specific", I9344="Invalid - Not Informed", I9344="Invalid - Ambiguous"), "Gap - Invalid Consent", "Compliant")))))</f>
        <v/>
      </c>
      <c r="O9344" s="7" t="n"/>
    </row>
    <row r="9345">
      <c r="A9345" s="7" t="n"/>
      <c r="B9345" s="7" t="n"/>
      <c r="C9345" s="7" t="n"/>
      <c r="D9345" s="7" t="n"/>
      <c r="E9345" s="7" t="n"/>
      <c r="F9345" s="7" t="n"/>
      <c r="G9345" s="7" t="n"/>
      <c r="H9345" s="7" t="n"/>
      <c r="I9345" s="7" t="n"/>
      <c r="J9345" s="7" t="n"/>
      <c r="K9345">
        <f>IF(D9345="Legitimate Interest (GDPR Art. 6(1)(f))", "Yes / Required (Sheet 3)", "")</f>
        <v/>
      </c>
      <c r="L9345" s="7" t="n"/>
      <c r="M9345" s="7" t="n"/>
      <c r="N9345">
        <f>IF(D9345="", "Gap - No Legal Basis", IF(AND(D9345="Consent (GDPR Art. 6(1)(a))", I9345="Not Captured"), "Gap - Invalid Consent", IF(AND(D9345="Legitimate Interest (GDPR Art. 6(1)(f))", L9345=""), "Gap - Missing LIA", IF(AND(G9345="Yes", H9345=""), "Gap - Missing Art. 9 Basis", IF(OR(I9345="Invalid - Not Freely Given", I9345="Invalid - Not Specific", I9345="Invalid - Not Informed", I9345="Invalid - Ambiguous"), "Gap - Invalid Consent", "Compliant")))))</f>
        <v/>
      </c>
      <c r="O9345" s="7" t="n"/>
    </row>
    <row r="9346">
      <c r="A9346" s="7" t="n"/>
      <c r="B9346" s="7" t="n"/>
      <c r="C9346" s="7" t="n"/>
      <c r="D9346" s="7" t="n"/>
      <c r="E9346" s="7" t="n"/>
      <c r="F9346" s="7" t="n"/>
      <c r="G9346" s="7" t="n"/>
      <c r="H9346" s="7" t="n"/>
      <c r="I9346" s="7" t="n"/>
      <c r="J9346" s="7" t="n"/>
      <c r="K9346">
        <f>IF(D9346="Legitimate Interest (GDPR Art. 6(1)(f))", "Yes / Required (Sheet 3)", "")</f>
        <v/>
      </c>
      <c r="L9346" s="7" t="n"/>
      <c r="M9346" s="7" t="n"/>
      <c r="N9346">
        <f>IF(D9346="", "Gap - No Legal Basis", IF(AND(D9346="Consent (GDPR Art. 6(1)(a))", I9346="Not Captured"), "Gap - Invalid Consent", IF(AND(D9346="Legitimate Interest (GDPR Art. 6(1)(f))", L9346=""), "Gap - Missing LIA", IF(AND(G9346="Yes", H9346=""), "Gap - Missing Art. 9 Basis", IF(OR(I9346="Invalid - Not Freely Given", I9346="Invalid - Not Specific", I9346="Invalid - Not Informed", I9346="Invalid - Ambiguous"), "Gap - Invalid Consent", "Compliant")))))</f>
        <v/>
      </c>
      <c r="O9346" s="7" t="n"/>
    </row>
    <row r="9347">
      <c r="A9347" s="7" t="n"/>
      <c r="B9347" s="7" t="n"/>
      <c r="C9347" s="7" t="n"/>
      <c r="D9347" s="7" t="n"/>
      <c r="E9347" s="7" t="n"/>
      <c r="F9347" s="7" t="n"/>
      <c r="G9347" s="7" t="n"/>
      <c r="H9347" s="7" t="n"/>
      <c r="I9347" s="7" t="n"/>
      <c r="J9347" s="7" t="n"/>
      <c r="K9347">
        <f>IF(D9347="Legitimate Interest (GDPR Art. 6(1)(f))", "Yes / Required (Sheet 3)", "")</f>
        <v/>
      </c>
      <c r="L9347" s="7" t="n"/>
      <c r="M9347" s="7" t="n"/>
      <c r="N9347">
        <f>IF(D9347="", "Gap - No Legal Basis", IF(AND(D9347="Consent (GDPR Art. 6(1)(a))", I9347="Not Captured"), "Gap - Invalid Consent", IF(AND(D9347="Legitimate Interest (GDPR Art. 6(1)(f))", L9347=""), "Gap - Missing LIA", IF(AND(G9347="Yes", H9347=""), "Gap - Missing Art. 9 Basis", IF(OR(I9347="Invalid - Not Freely Given", I9347="Invalid - Not Specific", I9347="Invalid - Not Informed", I9347="Invalid - Ambiguous"), "Gap - Invalid Consent", "Compliant")))))</f>
        <v/>
      </c>
      <c r="O9347" s="7" t="n"/>
    </row>
    <row r="9348">
      <c r="A9348" s="7" t="n"/>
      <c r="B9348" s="7" t="n"/>
      <c r="C9348" s="7" t="n"/>
      <c r="D9348" s="7" t="n"/>
      <c r="E9348" s="7" t="n"/>
      <c r="F9348" s="7" t="n"/>
      <c r="G9348" s="7" t="n"/>
      <c r="H9348" s="7" t="n"/>
      <c r="I9348" s="7" t="n"/>
      <c r="J9348" s="7" t="n"/>
      <c r="K9348">
        <f>IF(D9348="Legitimate Interest (GDPR Art. 6(1)(f))", "Yes / Required (Sheet 3)", "")</f>
        <v/>
      </c>
      <c r="L9348" s="7" t="n"/>
      <c r="M9348" s="7" t="n"/>
      <c r="N9348">
        <f>IF(D9348="", "Gap - No Legal Basis", IF(AND(D9348="Consent (GDPR Art. 6(1)(a))", I9348="Not Captured"), "Gap - Invalid Consent", IF(AND(D9348="Legitimate Interest (GDPR Art. 6(1)(f))", L9348=""), "Gap - Missing LIA", IF(AND(G9348="Yes", H9348=""), "Gap - Missing Art. 9 Basis", IF(OR(I9348="Invalid - Not Freely Given", I9348="Invalid - Not Specific", I9348="Invalid - Not Informed", I9348="Invalid - Ambiguous"), "Gap - Invalid Consent", "Compliant")))))</f>
        <v/>
      </c>
      <c r="O9348" s="7" t="n"/>
    </row>
    <row r="9349">
      <c r="A9349" s="7" t="n"/>
      <c r="B9349" s="7" t="n"/>
      <c r="C9349" s="7" t="n"/>
      <c r="D9349" s="7" t="n"/>
      <c r="E9349" s="7" t="n"/>
      <c r="F9349" s="7" t="n"/>
      <c r="G9349" s="7" t="n"/>
      <c r="H9349" s="7" t="n"/>
      <c r="I9349" s="7" t="n"/>
      <c r="J9349" s="7" t="n"/>
      <c r="K9349">
        <f>IF(D9349="Legitimate Interest (GDPR Art. 6(1)(f))", "Yes / Required (Sheet 3)", "")</f>
        <v/>
      </c>
      <c r="L9349" s="7" t="n"/>
      <c r="M9349" s="7" t="n"/>
      <c r="N9349">
        <f>IF(D9349="", "Gap - No Legal Basis", IF(AND(D9349="Consent (GDPR Art. 6(1)(a))", I9349="Not Captured"), "Gap - Invalid Consent", IF(AND(D9349="Legitimate Interest (GDPR Art. 6(1)(f))", L9349=""), "Gap - Missing LIA", IF(AND(G9349="Yes", H9349=""), "Gap - Missing Art. 9 Basis", IF(OR(I9349="Invalid - Not Freely Given", I9349="Invalid - Not Specific", I9349="Invalid - Not Informed", I9349="Invalid - Ambiguous"), "Gap - Invalid Consent", "Compliant")))))</f>
        <v/>
      </c>
      <c r="O9349" s="7" t="n"/>
    </row>
    <row r="9350">
      <c r="A9350" s="7" t="n"/>
      <c r="B9350" s="7" t="n"/>
      <c r="C9350" s="7" t="n"/>
      <c r="D9350" s="7" t="n"/>
      <c r="E9350" s="7" t="n"/>
      <c r="F9350" s="7" t="n"/>
      <c r="G9350" s="7" t="n"/>
      <c r="H9350" s="7" t="n"/>
      <c r="I9350" s="7" t="n"/>
      <c r="J9350" s="7" t="n"/>
      <c r="K9350">
        <f>IF(D9350="Legitimate Interest (GDPR Art. 6(1)(f))", "Yes / Required (Sheet 3)", "")</f>
        <v/>
      </c>
      <c r="L9350" s="7" t="n"/>
      <c r="M9350" s="7" t="n"/>
      <c r="N9350">
        <f>IF(D9350="", "Gap - No Legal Basis", IF(AND(D9350="Consent (GDPR Art. 6(1)(a))", I9350="Not Captured"), "Gap - Invalid Consent", IF(AND(D9350="Legitimate Interest (GDPR Art. 6(1)(f))", L9350=""), "Gap - Missing LIA", IF(AND(G9350="Yes", H9350=""), "Gap - Missing Art. 9 Basis", IF(OR(I9350="Invalid - Not Freely Given", I9350="Invalid - Not Specific", I9350="Invalid - Not Informed", I9350="Invalid - Ambiguous"), "Gap - Invalid Consent", "Compliant")))))</f>
        <v/>
      </c>
      <c r="O9350" s="7" t="n"/>
    </row>
    <row r="9351">
      <c r="A9351" s="7" t="n"/>
      <c r="B9351" s="7" t="n"/>
      <c r="C9351" s="7" t="n"/>
      <c r="D9351" s="7" t="n"/>
      <c r="E9351" s="7" t="n"/>
      <c r="F9351" s="7" t="n"/>
      <c r="G9351" s="7" t="n"/>
      <c r="H9351" s="7" t="n"/>
      <c r="I9351" s="7" t="n"/>
      <c r="J9351" s="7" t="n"/>
      <c r="K9351">
        <f>IF(D9351="Legitimate Interest (GDPR Art. 6(1)(f))", "Yes / Required (Sheet 3)", "")</f>
        <v/>
      </c>
      <c r="L9351" s="7" t="n"/>
      <c r="M9351" s="7" t="n"/>
      <c r="N9351">
        <f>IF(D9351="", "Gap - No Legal Basis", IF(AND(D9351="Consent (GDPR Art. 6(1)(a))", I9351="Not Captured"), "Gap - Invalid Consent", IF(AND(D9351="Legitimate Interest (GDPR Art. 6(1)(f))", L9351=""), "Gap - Missing LIA", IF(AND(G9351="Yes", H9351=""), "Gap - Missing Art. 9 Basis", IF(OR(I9351="Invalid - Not Freely Given", I9351="Invalid - Not Specific", I9351="Invalid - Not Informed", I9351="Invalid - Ambiguous"), "Gap - Invalid Consent", "Compliant")))))</f>
        <v/>
      </c>
      <c r="O9351" s="7" t="n"/>
    </row>
    <row r="9352">
      <c r="A9352" s="7" t="n"/>
      <c r="B9352" s="7" t="n"/>
      <c r="C9352" s="7" t="n"/>
      <c r="D9352" s="7" t="n"/>
      <c r="E9352" s="7" t="n"/>
      <c r="F9352" s="7" t="n"/>
      <c r="G9352" s="7" t="n"/>
      <c r="H9352" s="7" t="n"/>
      <c r="I9352" s="7" t="n"/>
      <c r="J9352" s="7" t="n"/>
      <c r="K9352">
        <f>IF(D9352="Legitimate Interest (GDPR Art. 6(1)(f))", "Yes / Required (Sheet 3)", "")</f>
        <v/>
      </c>
      <c r="L9352" s="7" t="n"/>
      <c r="M9352" s="7" t="n"/>
      <c r="N9352">
        <f>IF(D9352="", "Gap - No Legal Basis", IF(AND(D9352="Consent (GDPR Art. 6(1)(a))", I9352="Not Captured"), "Gap - Invalid Consent", IF(AND(D9352="Legitimate Interest (GDPR Art. 6(1)(f))", L9352=""), "Gap - Missing LIA", IF(AND(G9352="Yes", H9352=""), "Gap - Missing Art. 9 Basis", IF(OR(I9352="Invalid - Not Freely Given", I9352="Invalid - Not Specific", I9352="Invalid - Not Informed", I9352="Invalid - Ambiguous"), "Gap - Invalid Consent", "Compliant")))))</f>
        <v/>
      </c>
      <c r="O9352" s="7" t="n"/>
    </row>
    <row r="9353">
      <c r="A9353" s="7" t="n"/>
      <c r="B9353" s="7" t="n"/>
      <c r="C9353" s="7" t="n"/>
      <c r="D9353" s="7" t="n"/>
      <c r="E9353" s="7" t="n"/>
      <c r="F9353" s="7" t="n"/>
      <c r="G9353" s="7" t="n"/>
      <c r="H9353" s="7" t="n"/>
      <c r="I9353" s="7" t="n"/>
      <c r="J9353" s="7" t="n"/>
      <c r="K9353">
        <f>IF(D9353="Legitimate Interest (GDPR Art. 6(1)(f))", "Yes / Required (Sheet 3)", "")</f>
        <v/>
      </c>
      <c r="L9353" s="7" t="n"/>
      <c r="M9353" s="7" t="n"/>
      <c r="N9353">
        <f>IF(D9353="", "Gap - No Legal Basis", IF(AND(D9353="Consent (GDPR Art. 6(1)(a))", I9353="Not Captured"), "Gap - Invalid Consent", IF(AND(D9353="Legitimate Interest (GDPR Art. 6(1)(f))", L9353=""), "Gap - Missing LIA", IF(AND(G9353="Yes", H9353=""), "Gap - Missing Art. 9 Basis", IF(OR(I9353="Invalid - Not Freely Given", I9353="Invalid - Not Specific", I9353="Invalid - Not Informed", I9353="Invalid - Ambiguous"), "Gap - Invalid Consent", "Compliant")))))</f>
        <v/>
      </c>
      <c r="O9353" s="7" t="n"/>
    </row>
    <row r="9354">
      <c r="A9354" s="7" t="n"/>
      <c r="B9354" s="7" t="n"/>
      <c r="C9354" s="7" t="n"/>
      <c r="D9354" s="7" t="n"/>
      <c r="E9354" s="7" t="n"/>
      <c r="F9354" s="7" t="n"/>
      <c r="G9354" s="7" t="n"/>
      <c r="H9354" s="7" t="n"/>
      <c r="I9354" s="7" t="n"/>
      <c r="J9354" s="7" t="n"/>
      <c r="K9354">
        <f>IF(D9354="Legitimate Interest (GDPR Art. 6(1)(f))", "Yes / Required (Sheet 3)", "")</f>
        <v/>
      </c>
      <c r="L9354" s="7" t="n"/>
      <c r="M9354" s="7" t="n"/>
      <c r="N9354">
        <f>IF(D9354="", "Gap - No Legal Basis", IF(AND(D9354="Consent (GDPR Art. 6(1)(a))", I9354="Not Captured"), "Gap - Invalid Consent", IF(AND(D9354="Legitimate Interest (GDPR Art. 6(1)(f))", L9354=""), "Gap - Missing LIA", IF(AND(G9354="Yes", H9354=""), "Gap - Missing Art. 9 Basis", IF(OR(I9354="Invalid - Not Freely Given", I9354="Invalid - Not Specific", I9354="Invalid - Not Informed", I9354="Invalid - Ambiguous"), "Gap - Invalid Consent", "Compliant")))))</f>
        <v/>
      </c>
      <c r="O9354" s="7" t="n"/>
    </row>
    <row r="9355">
      <c r="A9355" s="7" t="n"/>
      <c r="B9355" s="7" t="n"/>
      <c r="C9355" s="7" t="n"/>
      <c r="D9355" s="7" t="n"/>
      <c r="E9355" s="7" t="n"/>
      <c r="F9355" s="7" t="n"/>
      <c r="G9355" s="7" t="n"/>
      <c r="H9355" s="7" t="n"/>
      <c r="I9355" s="7" t="n"/>
      <c r="J9355" s="7" t="n"/>
      <c r="K9355">
        <f>IF(D9355="Legitimate Interest (GDPR Art. 6(1)(f))", "Yes / Required (Sheet 3)", "")</f>
        <v/>
      </c>
      <c r="L9355" s="7" t="n"/>
      <c r="M9355" s="7" t="n"/>
      <c r="N9355">
        <f>IF(D9355="", "Gap - No Legal Basis", IF(AND(D9355="Consent (GDPR Art. 6(1)(a))", I9355="Not Captured"), "Gap - Invalid Consent", IF(AND(D9355="Legitimate Interest (GDPR Art. 6(1)(f))", L9355=""), "Gap - Missing LIA", IF(AND(G9355="Yes", H9355=""), "Gap - Missing Art. 9 Basis", IF(OR(I9355="Invalid - Not Freely Given", I9355="Invalid - Not Specific", I9355="Invalid - Not Informed", I9355="Invalid - Ambiguous"), "Gap - Invalid Consent", "Compliant")))))</f>
        <v/>
      </c>
      <c r="O9355" s="7" t="n"/>
    </row>
    <row r="9356">
      <c r="A9356" s="7" t="n"/>
      <c r="B9356" s="7" t="n"/>
      <c r="C9356" s="7" t="n"/>
      <c r="D9356" s="7" t="n"/>
      <c r="E9356" s="7" t="n"/>
      <c r="F9356" s="7" t="n"/>
      <c r="G9356" s="7" t="n"/>
      <c r="H9356" s="7" t="n"/>
      <c r="I9356" s="7" t="n"/>
      <c r="J9356" s="7" t="n"/>
      <c r="K9356">
        <f>IF(D9356="Legitimate Interest (GDPR Art. 6(1)(f))", "Yes / Required (Sheet 3)", "")</f>
        <v/>
      </c>
      <c r="L9356" s="7" t="n"/>
      <c r="M9356" s="7" t="n"/>
      <c r="N9356">
        <f>IF(D9356="", "Gap - No Legal Basis", IF(AND(D9356="Consent (GDPR Art. 6(1)(a))", I9356="Not Captured"), "Gap - Invalid Consent", IF(AND(D9356="Legitimate Interest (GDPR Art. 6(1)(f))", L9356=""), "Gap - Missing LIA", IF(AND(G9356="Yes", H9356=""), "Gap - Missing Art. 9 Basis", IF(OR(I9356="Invalid - Not Freely Given", I9356="Invalid - Not Specific", I9356="Invalid - Not Informed", I9356="Invalid - Ambiguous"), "Gap - Invalid Consent", "Compliant")))))</f>
        <v/>
      </c>
      <c r="O9356" s="7" t="n"/>
    </row>
    <row r="9357">
      <c r="A9357" s="7" t="n"/>
      <c r="B9357" s="7" t="n"/>
      <c r="C9357" s="7" t="n"/>
      <c r="D9357" s="7" t="n"/>
      <c r="E9357" s="7" t="n"/>
      <c r="F9357" s="7" t="n"/>
      <c r="G9357" s="7" t="n"/>
      <c r="H9357" s="7" t="n"/>
      <c r="I9357" s="7" t="n"/>
      <c r="J9357" s="7" t="n"/>
      <c r="K9357">
        <f>IF(D9357="Legitimate Interest (GDPR Art. 6(1)(f))", "Yes / Required (Sheet 3)", "")</f>
        <v/>
      </c>
      <c r="L9357" s="7" t="n"/>
      <c r="M9357" s="7" t="n"/>
      <c r="N9357">
        <f>IF(D9357="", "Gap - No Legal Basis", IF(AND(D9357="Consent (GDPR Art. 6(1)(a))", I9357="Not Captured"), "Gap - Invalid Consent", IF(AND(D9357="Legitimate Interest (GDPR Art. 6(1)(f))", L9357=""), "Gap - Missing LIA", IF(AND(G9357="Yes", H9357=""), "Gap - Missing Art. 9 Basis", IF(OR(I9357="Invalid - Not Freely Given", I9357="Invalid - Not Specific", I9357="Invalid - Not Informed", I9357="Invalid - Ambiguous"), "Gap - Invalid Consent", "Compliant")))))</f>
        <v/>
      </c>
      <c r="O9357" s="7" t="n"/>
    </row>
    <row r="9358">
      <c r="A9358" s="7" t="n"/>
      <c r="B9358" s="7" t="n"/>
      <c r="C9358" s="7" t="n"/>
      <c r="D9358" s="7" t="n"/>
      <c r="E9358" s="7" t="n"/>
      <c r="F9358" s="7" t="n"/>
      <c r="G9358" s="7" t="n"/>
      <c r="H9358" s="7" t="n"/>
      <c r="I9358" s="7" t="n"/>
      <c r="J9358" s="7" t="n"/>
      <c r="K9358">
        <f>IF(D9358="Legitimate Interest (GDPR Art. 6(1)(f))", "Yes / Required (Sheet 3)", "")</f>
        <v/>
      </c>
      <c r="L9358" s="7" t="n"/>
      <c r="M9358" s="7" t="n"/>
      <c r="N9358">
        <f>IF(D9358="", "Gap - No Legal Basis", IF(AND(D9358="Consent (GDPR Art. 6(1)(a))", I9358="Not Captured"), "Gap - Invalid Consent", IF(AND(D9358="Legitimate Interest (GDPR Art. 6(1)(f))", L9358=""), "Gap - Missing LIA", IF(AND(G9358="Yes", H9358=""), "Gap - Missing Art. 9 Basis", IF(OR(I9358="Invalid - Not Freely Given", I9358="Invalid - Not Specific", I9358="Invalid - Not Informed", I9358="Invalid - Ambiguous"), "Gap - Invalid Consent", "Compliant")))))</f>
        <v/>
      </c>
      <c r="O9358" s="7" t="n"/>
    </row>
    <row r="9359">
      <c r="A9359" s="7" t="n"/>
      <c r="B9359" s="7" t="n"/>
      <c r="C9359" s="7" t="n"/>
      <c r="D9359" s="7" t="n"/>
      <c r="E9359" s="7" t="n"/>
      <c r="F9359" s="7" t="n"/>
      <c r="G9359" s="7" t="n"/>
      <c r="H9359" s="7" t="n"/>
      <c r="I9359" s="7" t="n"/>
      <c r="J9359" s="7" t="n"/>
      <c r="K9359">
        <f>IF(D9359="Legitimate Interest (GDPR Art. 6(1)(f))", "Yes / Required (Sheet 3)", "")</f>
        <v/>
      </c>
      <c r="L9359" s="7" t="n"/>
      <c r="M9359" s="7" t="n"/>
      <c r="N9359">
        <f>IF(D9359="", "Gap - No Legal Basis", IF(AND(D9359="Consent (GDPR Art. 6(1)(a))", I9359="Not Captured"), "Gap - Invalid Consent", IF(AND(D9359="Legitimate Interest (GDPR Art. 6(1)(f))", L9359=""), "Gap - Missing LIA", IF(AND(G9359="Yes", H9359=""), "Gap - Missing Art. 9 Basis", IF(OR(I9359="Invalid - Not Freely Given", I9359="Invalid - Not Specific", I9359="Invalid - Not Informed", I9359="Invalid - Ambiguous"), "Gap - Invalid Consent", "Compliant")))))</f>
        <v/>
      </c>
      <c r="O9359" s="7" t="n"/>
    </row>
    <row r="9360">
      <c r="A9360" s="7" t="n"/>
      <c r="B9360" s="7" t="n"/>
      <c r="C9360" s="7" t="n"/>
      <c r="D9360" s="7" t="n"/>
      <c r="E9360" s="7" t="n"/>
      <c r="F9360" s="7" t="n"/>
      <c r="G9360" s="7" t="n"/>
      <c r="H9360" s="7" t="n"/>
      <c r="I9360" s="7" t="n"/>
      <c r="J9360" s="7" t="n"/>
      <c r="K9360">
        <f>IF(D9360="Legitimate Interest (GDPR Art. 6(1)(f))", "Yes / Required (Sheet 3)", "")</f>
        <v/>
      </c>
      <c r="L9360" s="7" t="n"/>
      <c r="M9360" s="7" t="n"/>
      <c r="N9360">
        <f>IF(D9360="", "Gap - No Legal Basis", IF(AND(D9360="Consent (GDPR Art. 6(1)(a))", I9360="Not Captured"), "Gap - Invalid Consent", IF(AND(D9360="Legitimate Interest (GDPR Art. 6(1)(f))", L9360=""), "Gap - Missing LIA", IF(AND(G9360="Yes", H9360=""), "Gap - Missing Art. 9 Basis", IF(OR(I9360="Invalid - Not Freely Given", I9360="Invalid - Not Specific", I9360="Invalid - Not Informed", I9360="Invalid - Ambiguous"), "Gap - Invalid Consent", "Compliant")))))</f>
        <v/>
      </c>
      <c r="O9360" s="7" t="n"/>
    </row>
    <row r="9361">
      <c r="A9361" s="7" t="n"/>
      <c r="B9361" s="7" t="n"/>
      <c r="C9361" s="7" t="n"/>
      <c r="D9361" s="7" t="n"/>
      <c r="E9361" s="7" t="n"/>
      <c r="F9361" s="7" t="n"/>
      <c r="G9361" s="7" t="n"/>
      <c r="H9361" s="7" t="n"/>
      <c r="I9361" s="7" t="n"/>
      <c r="J9361" s="7" t="n"/>
      <c r="K9361">
        <f>IF(D9361="Legitimate Interest (GDPR Art. 6(1)(f))", "Yes / Required (Sheet 3)", "")</f>
        <v/>
      </c>
      <c r="L9361" s="7" t="n"/>
      <c r="M9361" s="7" t="n"/>
      <c r="N9361">
        <f>IF(D9361="", "Gap - No Legal Basis", IF(AND(D9361="Consent (GDPR Art. 6(1)(a))", I9361="Not Captured"), "Gap - Invalid Consent", IF(AND(D9361="Legitimate Interest (GDPR Art. 6(1)(f))", L9361=""), "Gap - Missing LIA", IF(AND(G9361="Yes", H9361=""), "Gap - Missing Art. 9 Basis", IF(OR(I9361="Invalid - Not Freely Given", I9361="Invalid - Not Specific", I9361="Invalid - Not Informed", I9361="Invalid - Ambiguous"), "Gap - Invalid Consent", "Compliant")))))</f>
        <v/>
      </c>
      <c r="O9361" s="7" t="n"/>
    </row>
    <row r="9362">
      <c r="A9362" s="7" t="n"/>
      <c r="B9362" s="7" t="n"/>
      <c r="C9362" s="7" t="n"/>
      <c r="D9362" s="7" t="n"/>
      <c r="E9362" s="7" t="n"/>
      <c r="F9362" s="7" t="n"/>
      <c r="G9362" s="7" t="n"/>
      <c r="H9362" s="7" t="n"/>
      <c r="I9362" s="7" t="n"/>
      <c r="J9362" s="7" t="n"/>
      <c r="K9362">
        <f>IF(D9362="Legitimate Interest (GDPR Art. 6(1)(f))", "Yes / Required (Sheet 3)", "")</f>
        <v/>
      </c>
      <c r="L9362" s="7" t="n"/>
      <c r="M9362" s="7" t="n"/>
      <c r="N9362">
        <f>IF(D9362="", "Gap - No Legal Basis", IF(AND(D9362="Consent (GDPR Art. 6(1)(a))", I9362="Not Captured"), "Gap - Invalid Consent", IF(AND(D9362="Legitimate Interest (GDPR Art. 6(1)(f))", L9362=""), "Gap - Missing LIA", IF(AND(G9362="Yes", H9362=""), "Gap - Missing Art. 9 Basis", IF(OR(I9362="Invalid - Not Freely Given", I9362="Invalid - Not Specific", I9362="Invalid - Not Informed", I9362="Invalid - Ambiguous"), "Gap - Invalid Consent", "Compliant")))))</f>
        <v/>
      </c>
      <c r="O9362" s="7" t="n"/>
    </row>
    <row r="9363">
      <c r="A9363" s="7" t="n"/>
      <c r="B9363" s="7" t="n"/>
      <c r="C9363" s="7" t="n"/>
      <c r="D9363" s="7" t="n"/>
      <c r="E9363" s="7" t="n"/>
      <c r="F9363" s="7" t="n"/>
      <c r="G9363" s="7" t="n"/>
      <c r="H9363" s="7" t="n"/>
      <c r="I9363" s="7" t="n"/>
      <c r="J9363" s="7" t="n"/>
      <c r="K9363">
        <f>IF(D9363="Legitimate Interest (GDPR Art. 6(1)(f))", "Yes / Required (Sheet 3)", "")</f>
        <v/>
      </c>
      <c r="L9363" s="7" t="n"/>
      <c r="M9363" s="7" t="n"/>
      <c r="N9363">
        <f>IF(D9363="", "Gap - No Legal Basis", IF(AND(D9363="Consent (GDPR Art. 6(1)(a))", I9363="Not Captured"), "Gap - Invalid Consent", IF(AND(D9363="Legitimate Interest (GDPR Art. 6(1)(f))", L9363=""), "Gap - Missing LIA", IF(AND(G9363="Yes", H9363=""), "Gap - Missing Art. 9 Basis", IF(OR(I9363="Invalid - Not Freely Given", I9363="Invalid - Not Specific", I9363="Invalid - Not Informed", I9363="Invalid - Ambiguous"), "Gap - Invalid Consent", "Compliant")))))</f>
        <v/>
      </c>
      <c r="O9363" s="7" t="n"/>
    </row>
    <row r="9364">
      <c r="A9364" s="7" t="n"/>
      <c r="B9364" s="7" t="n"/>
      <c r="C9364" s="7" t="n"/>
      <c r="D9364" s="7" t="n"/>
      <c r="E9364" s="7" t="n"/>
      <c r="F9364" s="7" t="n"/>
      <c r="G9364" s="7" t="n"/>
      <c r="H9364" s="7" t="n"/>
      <c r="I9364" s="7" t="n"/>
      <c r="J9364" s="7" t="n"/>
      <c r="K9364">
        <f>IF(D9364="Legitimate Interest (GDPR Art. 6(1)(f))", "Yes / Required (Sheet 3)", "")</f>
        <v/>
      </c>
      <c r="L9364" s="7" t="n"/>
      <c r="M9364" s="7" t="n"/>
      <c r="N9364">
        <f>IF(D9364="", "Gap - No Legal Basis", IF(AND(D9364="Consent (GDPR Art. 6(1)(a))", I9364="Not Captured"), "Gap - Invalid Consent", IF(AND(D9364="Legitimate Interest (GDPR Art. 6(1)(f))", L9364=""), "Gap - Missing LIA", IF(AND(G9364="Yes", H9364=""), "Gap - Missing Art. 9 Basis", IF(OR(I9364="Invalid - Not Freely Given", I9364="Invalid - Not Specific", I9364="Invalid - Not Informed", I9364="Invalid - Ambiguous"), "Gap - Invalid Consent", "Compliant")))))</f>
        <v/>
      </c>
      <c r="O9364" s="7" t="n"/>
    </row>
    <row r="9365">
      <c r="A9365" s="7" t="n"/>
      <c r="B9365" s="7" t="n"/>
      <c r="C9365" s="7" t="n"/>
      <c r="D9365" s="7" t="n"/>
      <c r="E9365" s="7" t="n"/>
      <c r="F9365" s="7" t="n"/>
      <c r="G9365" s="7" t="n"/>
      <c r="H9365" s="7" t="n"/>
      <c r="I9365" s="7" t="n"/>
      <c r="J9365" s="7" t="n"/>
      <c r="K9365">
        <f>IF(D9365="Legitimate Interest (GDPR Art. 6(1)(f))", "Yes / Required (Sheet 3)", "")</f>
        <v/>
      </c>
      <c r="L9365" s="7" t="n"/>
      <c r="M9365" s="7" t="n"/>
      <c r="N9365">
        <f>IF(D9365="", "Gap - No Legal Basis", IF(AND(D9365="Consent (GDPR Art. 6(1)(a))", I9365="Not Captured"), "Gap - Invalid Consent", IF(AND(D9365="Legitimate Interest (GDPR Art. 6(1)(f))", L9365=""), "Gap - Missing LIA", IF(AND(G9365="Yes", H9365=""), "Gap - Missing Art. 9 Basis", IF(OR(I9365="Invalid - Not Freely Given", I9365="Invalid - Not Specific", I9365="Invalid - Not Informed", I9365="Invalid - Ambiguous"), "Gap - Invalid Consent", "Compliant")))))</f>
        <v/>
      </c>
      <c r="O9365" s="7" t="n"/>
    </row>
    <row r="9366">
      <c r="A9366" s="7" t="n"/>
      <c r="B9366" s="7" t="n"/>
      <c r="C9366" s="7" t="n"/>
      <c r="D9366" s="7" t="n"/>
      <c r="E9366" s="7" t="n"/>
      <c r="F9366" s="7" t="n"/>
      <c r="G9366" s="7" t="n"/>
      <c r="H9366" s="7" t="n"/>
      <c r="I9366" s="7" t="n"/>
      <c r="J9366" s="7" t="n"/>
      <c r="K9366">
        <f>IF(D9366="Legitimate Interest (GDPR Art. 6(1)(f))", "Yes / Required (Sheet 3)", "")</f>
        <v/>
      </c>
      <c r="L9366" s="7" t="n"/>
      <c r="M9366" s="7" t="n"/>
      <c r="N9366">
        <f>IF(D9366="", "Gap - No Legal Basis", IF(AND(D9366="Consent (GDPR Art. 6(1)(a))", I9366="Not Captured"), "Gap - Invalid Consent", IF(AND(D9366="Legitimate Interest (GDPR Art. 6(1)(f))", L9366=""), "Gap - Missing LIA", IF(AND(G9366="Yes", H9366=""), "Gap - Missing Art. 9 Basis", IF(OR(I9366="Invalid - Not Freely Given", I9366="Invalid - Not Specific", I9366="Invalid - Not Informed", I9366="Invalid - Ambiguous"), "Gap - Invalid Consent", "Compliant")))))</f>
        <v/>
      </c>
      <c r="O9366" s="7" t="n"/>
    </row>
    <row r="9367">
      <c r="A9367" s="7" t="n"/>
      <c r="B9367" s="7" t="n"/>
      <c r="C9367" s="7" t="n"/>
      <c r="D9367" s="7" t="n"/>
      <c r="E9367" s="7" t="n"/>
      <c r="F9367" s="7" t="n"/>
      <c r="G9367" s="7" t="n"/>
      <c r="H9367" s="7" t="n"/>
      <c r="I9367" s="7" t="n"/>
      <c r="J9367" s="7" t="n"/>
      <c r="K9367">
        <f>IF(D9367="Legitimate Interest (GDPR Art. 6(1)(f))", "Yes / Required (Sheet 3)", "")</f>
        <v/>
      </c>
      <c r="L9367" s="7" t="n"/>
      <c r="M9367" s="7" t="n"/>
      <c r="N9367">
        <f>IF(D9367="", "Gap - No Legal Basis", IF(AND(D9367="Consent (GDPR Art. 6(1)(a))", I9367="Not Captured"), "Gap - Invalid Consent", IF(AND(D9367="Legitimate Interest (GDPR Art. 6(1)(f))", L9367=""), "Gap - Missing LIA", IF(AND(G9367="Yes", H9367=""), "Gap - Missing Art. 9 Basis", IF(OR(I9367="Invalid - Not Freely Given", I9367="Invalid - Not Specific", I9367="Invalid - Not Informed", I9367="Invalid - Ambiguous"), "Gap - Invalid Consent", "Compliant")))))</f>
        <v/>
      </c>
      <c r="O9367" s="7" t="n"/>
    </row>
    <row r="9368">
      <c r="A9368" s="7" t="n"/>
      <c r="B9368" s="7" t="n"/>
      <c r="C9368" s="7" t="n"/>
      <c r="D9368" s="7" t="n"/>
      <c r="E9368" s="7" t="n"/>
      <c r="F9368" s="7" t="n"/>
      <c r="G9368" s="7" t="n"/>
      <c r="H9368" s="7" t="n"/>
      <c r="I9368" s="7" t="n"/>
      <c r="J9368" s="7" t="n"/>
      <c r="K9368">
        <f>IF(D9368="Legitimate Interest (GDPR Art. 6(1)(f))", "Yes / Required (Sheet 3)", "")</f>
        <v/>
      </c>
      <c r="L9368" s="7" t="n"/>
      <c r="M9368" s="7" t="n"/>
      <c r="N9368">
        <f>IF(D9368="", "Gap - No Legal Basis", IF(AND(D9368="Consent (GDPR Art. 6(1)(a))", I9368="Not Captured"), "Gap - Invalid Consent", IF(AND(D9368="Legitimate Interest (GDPR Art. 6(1)(f))", L9368=""), "Gap - Missing LIA", IF(AND(G9368="Yes", H9368=""), "Gap - Missing Art. 9 Basis", IF(OR(I9368="Invalid - Not Freely Given", I9368="Invalid - Not Specific", I9368="Invalid - Not Informed", I9368="Invalid - Ambiguous"), "Gap - Invalid Consent", "Compliant")))))</f>
        <v/>
      </c>
      <c r="O9368" s="7" t="n"/>
    </row>
    <row r="9369">
      <c r="A9369" s="7" t="n"/>
      <c r="B9369" s="7" t="n"/>
      <c r="C9369" s="7" t="n"/>
      <c r="D9369" s="7" t="n"/>
      <c r="E9369" s="7" t="n"/>
      <c r="F9369" s="7" t="n"/>
      <c r="G9369" s="7" t="n"/>
      <c r="H9369" s="7" t="n"/>
      <c r="I9369" s="7" t="n"/>
      <c r="J9369" s="7" t="n"/>
      <c r="K9369">
        <f>IF(D9369="Legitimate Interest (GDPR Art. 6(1)(f))", "Yes / Required (Sheet 3)", "")</f>
        <v/>
      </c>
      <c r="L9369" s="7" t="n"/>
      <c r="M9369" s="7" t="n"/>
      <c r="N9369">
        <f>IF(D9369="", "Gap - No Legal Basis", IF(AND(D9369="Consent (GDPR Art. 6(1)(a))", I9369="Not Captured"), "Gap - Invalid Consent", IF(AND(D9369="Legitimate Interest (GDPR Art. 6(1)(f))", L9369=""), "Gap - Missing LIA", IF(AND(G9369="Yes", H9369=""), "Gap - Missing Art. 9 Basis", IF(OR(I9369="Invalid - Not Freely Given", I9369="Invalid - Not Specific", I9369="Invalid - Not Informed", I9369="Invalid - Ambiguous"), "Gap - Invalid Consent", "Compliant")))))</f>
        <v/>
      </c>
      <c r="O9369" s="7" t="n"/>
    </row>
    <row r="9370">
      <c r="A9370" s="7" t="n"/>
      <c r="B9370" s="7" t="n"/>
      <c r="C9370" s="7" t="n"/>
      <c r="D9370" s="7" t="n"/>
      <c r="E9370" s="7" t="n"/>
      <c r="F9370" s="7" t="n"/>
      <c r="G9370" s="7" t="n"/>
      <c r="H9370" s="7" t="n"/>
      <c r="I9370" s="7" t="n"/>
      <c r="J9370" s="7" t="n"/>
      <c r="K9370">
        <f>IF(D9370="Legitimate Interest (GDPR Art. 6(1)(f))", "Yes / Required (Sheet 3)", "")</f>
        <v/>
      </c>
      <c r="L9370" s="7" t="n"/>
      <c r="M9370" s="7" t="n"/>
      <c r="N9370">
        <f>IF(D9370="", "Gap - No Legal Basis", IF(AND(D9370="Consent (GDPR Art. 6(1)(a))", I9370="Not Captured"), "Gap - Invalid Consent", IF(AND(D9370="Legitimate Interest (GDPR Art. 6(1)(f))", L9370=""), "Gap - Missing LIA", IF(AND(G9370="Yes", H9370=""), "Gap - Missing Art. 9 Basis", IF(OR(I9370="Invalid - Not Freely Given", I9370="Invalid - Not Specific", I9370="Invalid - Not Informed", I9370="Invalid - Ambiguous"), "Gap - Invalid Consent", "Compliant")))))</f>
        <v/>
      </c>
      <c r="O9370" s="7" t="n"/>
    </row>
    <row r="9371">
      <c r="A9371" s="7" t="n"/>
      <c r="B9371" s="7" t="n"/>
      <c r="C9371" s="7" t="n"/>
      <c r="D9371" s="7" t="n"/>
      <c r="E9371" s="7" t="n"/>
      <c r="F9371" s="7" t="n"/>
      <c r="G9371" s="7" t="n"/>
      <c r="H9371" s="7" t="n"/>
      <c r="I9371" s="7" t="n"/>
      <c r="J9371" s="7" t="n"/>
      <c r="K9371">
        <f>IF(D9371="Legitimate Interest (GDPR Art. 6(1)(f))", "Yes / Required (Sheet 3)", "")</f>
        <v/>
      </c>
      <c r="L9371" s="7" t="n"/>
      <c r="M9371" s="7" t="n"/>
      <c r="N9371">
        <f>IF(D9371="", "Gap - No Legal Basis", IF(AND(D9371="Consent (GDPR Art. 6(1)(a))", I9371="Not Captured"), "Gap - Invalid Consent", IF(AND(D9371="Legitimate Interest (GDPR Art. 6(1)(f))", L9371=""), "Gap - Missing LIA", IF(AND(G9371="Yes", H9371=""), "Gap - Missing Art. 9 Basis", IF(OR(I9371="Invalid - Not Freely Given", I9371="Invalid - Not Specific", I9371="Invalid - Not Informed", I9371="Invalid - Ambiguous"), "Gap - Invalid Consent", "Compliant")))))</f>
        <v/>
      </c>
      <c r="O9371" s="7" t="n"/>
    </row>
    <row r="9372">
      <c r="A9372" s="7" t="n"/>
      <c r="B9372" s="7" t="n"/>
      <c r="C9372" s="7" t="n"/>
      <c r="D9372" s="7" t="n"/>
      <c r="E9372" s="7" t="n"/>
      <c r="F9372" s="7" t="n"/>
      <c r="G9372" s="7" t="n"/>
      <c r="H9372" s="7" t="n"/>
      <c r="I9372" s="7" t="n"/>
      <c r="J9372" s="7" t="n"/>
      <c r="K9372">
        <f>IF(D9372="Legitimate Interest (GDPR Art. 6(1)(f))", "Yes / Required (Sheet 3)", "")</f>
        <v/>
      </c>
      <c r="L9372" s="7" t="n"/>
      <c r="M9372" s="7" t="n"/>
      <c r="N9372">
        <f>IF(D9372="", "Gap - No Legal Basis", IF(AND(D9372="Consent (GDPR Art. 6(1)(a))", I9372="Not Captured"), "Gap - Invalid Consent", IF(AND(D9372="Legitimate Interest (GDPR Art. 6(1)(f))", L9372=""), "Gap - Missing LIA", IF(AND(G9372="Yes", H9372=""), "Gap - Missing Art. 9 Basis", IF(OR(I9372="Invalid - Not Freely Given", I9372="Invalid - Not Specific", I9372="Invalid - Not Informed", I9372="Invalid - Ambiguous"), "Gap - Invalid Consent", "Compliant")))))</f>
        <v/>
      </c>
      <c r="O9372" s="7" t="n"/>
    </row>
    <row r="9373">
      <c r="A9373" s="7" t="n"/>
      <c r="B9373" s="7" t="n"/>
      <c r="C9373" s="7" t="n"/>
      <c r="D9373" s="7" t="n"/>
      <c r="E9373" s="7" t="n"/>
      <c r="F9373" s="7" t="n"/>
      <c r="G9373" s="7" t="n"/>
      <c r="H9373" s="7" t="n"/>
      <c r="I9373" s="7" t="n"/>
      <c r="J9373" s="7" t="n"/>
      <c r="K9373">
        <f>IF(D9373="Legitimate Interest (GDPR Art. 6(1)(f))", "Yes / Required (Sheet 3)", "")</f>
        <v/>
      </c>
      <c r="L9373" s="7" t="n"/>
      <c r="M9373" s="7" t="n"/>
      <c r="N9373">
        <f>IF(D9373="", "Gap - No Legal Basis", IF(AND(D9373="Consent (GDPR Art. 6(1)(a))", I9373="Not Captured"), "Gap - Invalid Consent", IF(AND(D9373="Legitimate Interest (GDPR Art. 6(1)(f))", L9373=""), "Gap - Missing LIA", IF(AND(G9373="Yes", H9373=""), "Gap - Missing Art. 9 Basis", IF(OR(I9373="Invalid - Not Freely Given", I9373="Invalid - Not Specific", I9373="Invalid - Not Informed", I9373="Invalid - Ambiguous"), "Gap - Invalid Consent", "Compliant")))))</f>
        <v/>
      </c>
      <c r="O9373" s="7" t="n"/>
    </row>
    <row r="9374">
      <c r="A9374" s="7" t="n"/>
      <c r="B9374" s="7" t="n"/>
      <c r="C9374" s="7" t="n"/>
      <c r="D9374" s="7" t="n"/>
      <c r="E9374" s="7" t="n"/>
      <c r="F9374" s="7" t="n"/>
      <c r="G9374" s="7" t="n"/>
      <c r="H9374" s="7" t="n"/>
      <c r="I9374" s="7" t="n"/>
      <c r="J9374" s="7" t="n"/>
      <c r="K9374">
        <f>IF(D9374="Legitimate Interest (GDPR Art. 6(1)(f))", "Yes / Required (Sheet 3)", "")</f>
        <v/>
      </c>
      <c r="L9374" s="7" t="n"/>
      <c r="M9374" s="7" t="n"/>
      <c r="N9374">
        <f>IF(D9374="", "Gap - No Legal Basis", IF(AND(D9374="Consent (GDPR Art. 6(1)(a))", I9374="Not Captured"), "Gap - Invalid Consent", IF(AND(D9374="Legitimate Interest (GDPR Art. 6(1)(f))", L9374=""), "Gap - Missing LIA", IF(AND(G9374="Yes", H9374=""), "Gap - Missing Art. 9 Basis", IF(OR(I9374="Invalid - Not Freely Given", I9374="Invalid - Not Specific", I9374="Invalid - Not Informed", I9374="Invalid - Ambiguous"), "Gap - Invalid Consent", "Compliant")))))</f>
        <v/>
      </c>
      <c r="O9374" s="7" t="n"/>
    </row>
    <row r="9375">
      <c r="A9375" s="7" t="n"/>
      <c r="B9375" s="7" t="n"/>
      <c r="C9375" s="7" t="n"/>
      <c r="D9375" s="7" t="n"/>
      <c r="E9375" s="7" t="n"/>
      <c r="F9375" s="7" t="n"/>
      <c r="G9375" s="7" t="n"/>
      <c r="H9375" s="7" t="n"/>
      <c r="I9375" s="7" t="n"/>
      <c r="J9375" s="7" t="n"/>
      <c r="K9375">
        <f>IF(D9375="Legitimate Interest (GDPR Art. 6(1)(f))", "Yes / Required (Sheet 3)", "")</f>
        <v/>
      </c>
      <c r="L9375" s="7" t="n"/>
      <c r="M9375" s="7" t="n"/>
      <c r="N9375">
        <f>IF(D9375="", "Gap - No Legal Basis", IF(AND(D9375="Consent (GDPR Art. 6(1)(a))", I9375="Not Captured"), "Gap - Invalid Consent", IF(AND(D9375="Legitimate Interest (GDPR Art. 6(1)(f))", L9375=""), "Gap - Missing LIA", IF(AND(G9375="Yes", H9375=""), "Gap - Missing Art. 9 Basis", IF(OR(I9375="Invalid - Not Freely Given", I9375="Invalid - Not Specific", I9375="Invalid - Not Informed", I9375="Invalid - Ambiguous"), "Gap - Invalid Consent", "Compliant")))))</f>
        <v/>
      </c>
      <c r="O9375" s="7" t="n"/>
    </row>
    <row r="9376">
      <c r="A9376" s="7" t="n"/>
      <c r="B9376" s="7" t="n"/>
      <c r="C9376" s="7" t="n"/>
      <c r="D9376" s="7" t="n"/>
      <c r="E9376" s="7" t="n"/>
      <c r="F9376" s="7" t="n"/>
      <c r="G9376" s="7" t="n"/>
      <c r="H9376" s="7" t="n"/>
      <c r="I9376" s="7" t="n"/>
      <c r="J9376" s="7" t="n"/>
      <c r="K9376">
        <f>IF(D9376="Legitimate Interest (GDPR Art. 6(1)(f))", "Yes / Required (Sheet 3)", "")</f>
        <v/>
      </c>
      <c r="L9376" s="7" t="n"/>
      <c r="M9376" s="7" t="n"/>
      <c r="N9376">
        <f>IF(D9376="", "Gap - No Legal Basis", IF(AND(D9376="Consent (GDPR Art. 6(1)(a))", I9376="Not Captured"), "Gap - Invalid Consent", IF(AND(D9376="Legitimate Interest (GDPR Art. 6(1)(f))", L9376=""), "Gap - Missing LIA", IF(AND(G9376="Yes", H9376=""), "Gap - Missing Art. 9 Basis", IF(OR(I9376="Invalid - Not Freely Given", I9376="Invalid - Not Specific", I9376="Invalid - Not Informed", I9376="Invalid - Ambiguous"), "Gap - Invalid Consent", "Compliant")))))</f>
        <v/>
      </c>
      <c r="O9376" s="7" t="n"/>
    </row>
    <row r="9377">
      <c r="A9377" s="7" t="n"/>
      <c r="B9377" s="7" t="n"/>
      <c r="C9377" s="7" t="n"/>
      <c r="D9377" s="7" t="n"/>
      <c r="E9377" s="7" t="n"/>
      <c r="F9377" s="7" t="n"/>
      <c r="G9377" s="7" t="n"/>
      <c r="H9377" s="7" t="n"/>
      <c r="I9377" s="7" t="n"/>
      <c r="J9377" s="7" t="n"/>
      <c r="K9377">
        <f>IF(D9377="Legitimate Interest (GDPR Art. 6(1)(f))", "Yes / Required (Sheet 3)", "")</f>
        <v/>
      </c>
      <c r="L9377" s="7" t="n"/>
      <c r="M9377" s="7" t="n"/>
      <c r="N9377">
        <f>IF(D9377="", "Gap - No Legal Basis", IF(AND(D9377="Consent (GDPR Art. 6(1)(a))", I9377="Not Captured"), "Gap - Invalid Consent", IF(AND(D9377="Legitimate Interest (GDPR Art. 6(1)(f))", L9377=""), "Gap - Missing LIA", IF(AND(G9377="Yes", H9377=""), "Gap - Missing Art. 9 Basis", IF(OR(I9377="Invalid - Not Freely Given", I9377="Invalid - Not Specific", I9377="Invalid - Not Informed", I9377="Invalid - Ambiguous"), "Gap - Invalid Consent", "Compliant")))))</f>
        <v/>
      </c>
      <c r="O9377" s="7" t="n"/>
    </row>
    <row r="9378">
      <c r="A9378" s="7" t="n"/>
      <c r="B9378" s="7" t="n"/>
      <c r="C9378" s="7" t="n"/>
      <c r="D9378" s="7" t="n"/>
      <c r="E9378" s="7" t="n"/>
      <c r="F9378" s="7" t="n"/>
      <c r="G9378" s="7" t="n"/>
      <c r="H9378" s="7" t="n"/>
      <c r="I9378" s="7" t="n"/>
      <c r="J9378" s="7" t="n"/>
      <c r="K9378">
        <f>IF(D9378="Legitimate Interest (GDPR Art. 6(1)(f))", "Yes / Required (Sheet 3)", "")</f>
        <v/>
      </c>
      <c r="L9378" s="7" t="n"/>
      <c r="M9378" s="7" t="n"/>
      <c r="N9378">
        <f>IF(D9378="", "Gap - No Legal Basis", IF(AND(D9378="Consent (GDPR Art. 6(1)(a))", I9378="Not Captured"), "Gap - Invalid Consent", IF(AND(D9378="Legitimate Interest (GDPR Art. 6(1)(f))", L9378=""), "Gap - Missing LIA", IF(AND(G9378="Yes", H9378=""), "Gap - Missing Art. 9 Basis", IF(OR(I9378="Invalid - Not Freely Given", I9378="Invalid - Not Specific", I9378="Invalid - Not Informed", I9378="Invalid - Ambiguous"), "Gap - Invalid Consent", "Compliant")))))</f>
        <v/>
      </c>
      <c r="O9378" s="7" t="n"/>
    </row>
    <row r="9379">
      <c r="A9379" s="7" t="n"/>
      <c r="B9379" s="7" t="n"/>
      <c r="C9379" s="7" t="n"/>
      <c r="D9379" s="7" t="n"/>
      <c r="E9379" s="7" t="n"/>
      <c r="F9379" s="7" t="n"/>
      <c r="G9379" s="7" t="n"/>
      <c r="H9379" s="7" t="n"/>
      <c r="I9379" s="7" t="n"/>
      <c r="J9379" s="7" t="n"/>
      <c r="K9379">
        <f>IF(D9379="Legitimate Interest (GDPR Art. 6(1)(f))", "Yes / Required (Sheet 3)", "")</f>
        <v/>
      </c>
      <c r="L9379" s="7" t="n"/>
      <c r="M9379" s="7" t="n"/>
      <c r="N9379">
        <f>IF(D9379="", "Gap - No Legal Basis", IF(AND(D9379="Consent (GDPR Art. 6(1)(a))", I9379="Not Captured"), "Gap - Invalid Consent", IF(AND(D9379="Legitimate Interest (GDPR Art. 6(1)(f))", L9379=""), "Gap - Missing LIA", IF(AND(G9379="Yes", H9379=""), "Gap - Missing Art. 9 Basis", IF(OR(I9379="Invalid - Not Freely Given", I9379="Invalid - Not Specific", I9379="Invalid - Not Informed", I9379="Invalid - Ambiguous"), "Gap - Invalid Consent", "Compliant")))))</f>
        <v/>
      </c>
      <c r="O9379" s="7" t="n"/>
    </row>
    <row r="9380">
      <c r="A9380" s="7" t="n"/>
      <c r="B9380" s="7" t="n"/>
      <c r="C9380" s="7" t="n"/>
      <c r="D9380" s="7" t="n"/>
      <c r="E9380" s="7" t="n"/>
      <c r="F9380" s="7" t="n"/>
      <c r="G9380" s="7" t="n"/>
      <c r="H9380" s="7" t="n"/>
      <c r="I9380" s="7" t="n"/>
      <c r="J9380" s="7" t="n"/>
      <c r="K9380">
        <f>IF(D9380="Legitimate Interest (GDPR Art. 6(1)(f))", "Yes / Required (Sheet 3)", "")</f>
        <v/>
      </c>
      <c r="L9380" s="7" t="n"/>
      <c r="M9380" s="7" t="n"/>
      <c r="N9380">
        <f>IF(D9380="", "Gap - No Legal Basis", IF(AND(D9380="Consent (GDPR Art. 6(1)(a))", I9380="Not Captured"), "Gap - Invalid Consent", IF(AND(D9380="Legitimate Interest (GDPR Art. 6(1)(f))", L9380=""), "Gap - Missing LIA", IF(AND(G9380="Yes", H9380=""), "Gap - Missing Art. 9 Basis", IF(OR(I9380="Invalid - Not Freely Given", I9380="Invalid - Not Specific", I9380="Invalid - Not Informed", I9380="Invalid - Ambiguous"), "Gap - Invalid Consent", "Compliant")))))</f>
        <v/>
      </c>
      <c r="O9380" s="7" t="n"/>
    </row>
    <row r="9381">
      <c r="A9381" s="7" t="n"/>
      <c r="B9381" s="7" t="n"/>
      <c r="C9381" s="7" t="n"/>
      <c r="D9381" s="7" t="n"/>
      <c r="E9381" s="7" t="n"/>
      <c r="F9381" s="7" t="n"/>
      <c r="G9381" s="7" t="n"/>
      <c r="H9381" s="7" t="n"/>
      <c r="I9381" s="7" t="n"/>
      <c r="J9381" s="7" t="n"/>
      <c r="K9381">
        <f>IF(D9381="Legitimate Interest (GDPR Art. 6(1)(f))", "Yes / Required (Sheet 3)", "")</f>
        <v/>
      </c>
      <c r="L9381" s="7" t="n"/>
      <c r="M9381" s="7" t="n"/>
      <c r="N9381">
        <f>IF(D9381="", "Gap - No Legal Basis", IF(AND(D9381="Consent (GDPR Art. 6(1)(a))", I9381="Not Captured"), "Gap - Invalid Consent", IF(AND(D9381="Legitimate Interest (GDPR Art. 6(1)(f))", L9381=""), "Gap - Missing LIA", IF(AND(G9381="Yes", H9381=""), "Gap - Missing Art. 9 Basis", IF(OR(I9381="Invalid - Not Freely Given", I9381="Invalid - Not Specific", I9381="Invalid - Not Informed", I9381="Invalid - Ambiguous"), "Gap - Invalid Consent", "Compliant")))))</f>
        <v/>
      </c>
      <c r="O9381" s="7" t="n"/>
    </row>
    <row r="9382">
      <c r="A9382" s="7" t="n"/>
      <c r="B9382" s="7" t="n"/>
      <c r="C9382" s="7" t="n"/>
      <c r="D9382" s="7" t="n"/>
      <c r="E9382" s="7" t="n"/>
      <c r="F9382" s="7" t="n"/>
      <c r="G9382" s="7" t="n"/>
      <c r="H9382" s="7" t="n"/>
      <c r="I9382" s="7" t="n"/>
      <c r="J9382" s="7" t="n"/>
      <c r="K9382">
        <f>IF(D9382="Legitimate Interest (GDPR Art. 6(1)(f))", "Yes / Required (Sheet 3)", "")</f>
        <v/>
      </c>
      <c r="L9382" s="7" t="n"/>
      <c r="M9382" s="7" t="n"/>
      <c r="N9382">
        <f>IF(D9382="", "Gap - No Legal Basis", IF(AND(D9382="Consent (GDPR Art. 6(1)(a))", I9382="Not Captured"), "Gap - Invalid Consent", IF(AND(D9382="Legitimate Interest (GDPR Art. 6(1)(f))", L9382=""), "Gap - Missing LIA", IF(AND(G9382="Yes", H9382=""), "Gap - Missing Art. 9 Basis", IF(OR(I9382="Invalid - Not Freely Given", I9382="Invalid - Not Specific", I9382="Invalid - Not Informed", I9382="Invalid - Ambiguous"), "Gap - Invalid Consent", "Compliant")))))</f>
        <v/>
      </c>
      <c r="O9382" s="7" t="n"/>
    </row>
    <row r="9383">
      <c r="A9383" s="7" t="n"/>
      <c r="B9383" s="7" t="n"/>
      <c r="C9383" s="7" t="n"/>
      <c r="D9383" s="7" t="n"/>
      <c r="E9383" s="7" t="n"/>
      <c r="F9383" s="7" t="n"/>
      <c r="G9383" s="7" t="n"/>
      <c r="H9383" s="7" t="n"/>
      <c r="I9383" s="7" t="n"/>
      <c r="J9383" s="7" t="n"/>
      <c r="K9383">
        <f>IF(D9383="Legitimate Interest (GDPR Art. 6(1)(f))", "Yes / Required (Sheet 3)", "")</f>
        <v/>
      </c>
      <c r="L9383" s="7" t="n"/>
      <c r="M9383" s="7" t="n"/>
      <c r="N9383">
        <f>IF(D9383="", "Gap - No Legal Basis", IF(AND(D9383="Consent (GDPR Art. 6(1)(a))", I9383="Not Captured"), "Gap - Invalid Consent", IF(AND(D9383="Legitimate Interest (GDPR Art. 6(1)(f))", L9383=""), "Gap - Missing LIA", IF(AND(G9383="Yes", H9383=""), "Gap - Missing Art. 9 Basis", IF(OR(I9383="Invalid - Not Freely Given", I9383="Invalid - Not Specific", I9383="Invalid - Not Informed", I9383="Invalid - Ambiguous"), "Gap - Invalid Consent", "Compliant")))))</f>
        <v/>
      </c>
      <c r="O9383" s="7" t="n"/>
    </row>
    <row r="9384">
      <c r="A9384" s="7" t="n"/>
      <c r="B9384" s="7" t="n"/>
      <c r="C9384" s="7" t="n"/>
      <c r="D9384" s="7" t="n"/>
      <c r="E9384" s="7" t="n"/>
      <c r="F9384" s="7" t="n"/>
      <c r="G9384" s="7" t="n"/>
      <c r="H9384" s="7" t="n"/>
      <c r="I9384" s="7" t="n"/>
      <c r="J9384" s="7" t="n"/>
      <c r="K9384">
        <f>IF(D9384="Legitimate Interest (GDPR Art. 6(1)(f))", "Yes / Required (Sheet 3)", "")</f>
        <v/>
      </c>
      <c r="L9384" s="7" t="n"/>
      <c r="M9384" s="7" t="n"/>
      <c r="N9384">
        <f>IF(D9384="", "Gap - No Legal Basis", IF(AND(D9384="Consent (GDPR Art. 6(1)(a))", I9384="Not Captured"), "Gap - Invalid Consent", IF(AND(D9384="Legitimate Interest (GDPR Art. 6(1)(f))", L9384=""), "Gap - Missing LIA", IF(AND(G9384="Yes", H9384=""), "Gap - Missing Art. 9 Basis", IF(OR(I9384="Invalid - Not Freely Given", I9384="Invalid - Not Specific", I9384="Invalid - Not Informed", I9384="Invalid - Ambiguous"), "Gap - Invalid Consent", "Compliant")))))</f>
        <v/>
      </c>
      <c r="O9384" s="7" t="n"/>
    </row>
    <row r="9385">
      <c r="A9385" s="7" t="n"/>
      <c r="B9385" s="7" t="n"/>
      <c r="C9385" s="7" t="n"/>
      <c r="D9385" s="7" t="n"/>
      <c r="E9385" s="7" t="n"/>
      <c r="F9385" s="7" t="n"/>
      <c r="G9385" s="7" t="n"/>
      <c r="H9385" s="7" t="n"/>
      <c r="I9385" s="7" t="n"/>
      <c r="J9385" s="7" t="n"/>
      <c r="K9385">
        <f>IF(D9385="Legitimate Interest (GDPR Art. 6(1)(f))", "Yes / Required (Sheet 3)", "")</f>
        <v/>
      </c>
      <c r="L9385" s="7" t="n"/>
      <c r="M9385" s="7" t="n"/>
      <c r="N9385">
        <f>IF(D9385="", "Gap - No Legal Basis", IF(AND(D9385="Consent (GDPR Art. 6(1)(a))", I9385="Not Captured"), "Gap - Invalid Consent", IF(AND(D9385="Legitimate Interest (GDPR Art. 6(1)(f))", L9385=""), "Gap - Missing LIA", IF(AND(G9385="Yes", H9385=""), "Gap - Missing Art. 9 Basis", IF(OR(I9385="Invalid - Not Freely Given", I9385="Invalid - Not Specific", I9385="Invalid - Not Informed", I9385="Invalid - Ambiguous"), "Gap - Invalid Consent", "Compliant")))))</f>
        <v/>
      </c>
      <c r="O9385" s="7" t="n"/>
    </row>
    <row r="9386">
      <c r="A9386" s="7" t="n"/>
      <c r="B9386" s="7" t="n"/>
      <c r="C9386" s="7" t="n"/>
      <c r="D9386" s="7" t="n"/>
      <c r="E9386" s="7" t="n"/>
      <c r="F9386" s="7" t="n"/>
      <c r="G9386" s="7" t="n"/>
      <c r="H9386" s="7" t="n"/>
      <c r="I9386" s="7" t="n"/>
      <c r="J9386" s="7" t="n"/>
      <c r="K9386">
        <f>IF(D9386="Legitimate Interest (GDPR Art. 6(1)(f))", "Yes / Required (Sheet 3)", "")</f>
        <v/>
      </c>
      <c r="L9386" s="7" t="n"/>
      <c r="M9386" s="7" t="n"/>
      <c r="N9386">
        <f>IF(D9386="", "Gap - No Legal Basis", IF(AND(D9386="Consent (GDPR Art. 6(1)(a))", I9386="Not Captured"), "Gap - Invalid Consent", IF(AND(D9386="Legitimate Interest (GDPR Art. 6(1)(f))", L9386=""), "Gap - Missing LIA", IF(AND(G9386="Yes", H9386=""), "Gap - Missing Art. 9 Basis", IF(OR(I9386="Invalid - Not Freely Given", I9386="Invalid - Not Specific", I9386="Invalid - Not Informed", I9386="Invalid - Ambiguous"), "Gap - Invalid Consent", "Compliant")))))</f>
        <v/>
      </c>
      <c r="O9386" s="7" t="n"/>
    </row>
    <row r="9387">
      <c r="A9387" s="7" t="n"/>
      <c r="B9387" s="7" t="n"/>
      <c r="C9387" s="7" t="n"/>
      <c r="D9387" s="7" t="n"/>
      <c r="E9387" s="7" t="n"/>
      <c r="F9387" s="7" t="n"/>
      <c r="G9387" s="7" t="n"/>
      <c r="H9387" s="7" t="n"/>
      <c r="I9387" s="7" t="n"/>
      <c r="J9387" s="7" t="n"/>
      <c r="K9387">
        <f>IF(D9387="Legitimate Interest (GDPR Art. 6(1)(f))", "Yes / Required (Sheet 3)", "")</f>
        <v/>
      </c>
      <c r="L9387" s="7" t="n"/>
      <c r="M9387" s="7" t="n"/>
      <c r="N9387">
        <f>IF(D9387="", "Gap - No Legal Basis", IF(AND(D9387="Consent (GDPR Art. 6(1)(a))", I9387="Not Captured"), "Gap - Invalid Consent", IF(AND(D9387="Legitimate Interest (GDPR Art. 6(1)(f))", L9387=""), "Gap - Missing LIA", IF(AND(G9387="Yes", H9387=""), "Gap - Missing Art. 9 Basis", IF(OR(I9387="Invalid - Not Freely Given", I9387="Invalid - Not Specific", I9387="Invalid - Not Informed", I9387="Invalid - Ambiguous"), "Gap - Invalid Consent", "Compliant")))))</f>
        <v/>
      </c>
      <c r="O9387" s="7" t="n"/>
    </row>
    <row r="9388">
      <c r="A9388" s="7" t="n"/>
      <c r="B9388" s="7" t="n"/>
      <c r="C9388" s="7" t="n"/>
      <c r="D9388" s="7" t="n"/>
      <c r="E9388" s="7" t="n"/>
      <c r="F9388" s="7" t="n"/>
      <c r="G9388" s="7" t="n"/>
      <c r="H9388" s="7" t="n"/>
      <c r="I9388" s="7" t="n"/>
      <c r="J9388" s="7" t="n"/>
      <c r="K9388">
        <f>IF(D9388="Legitimate Interest (GDPR Art. 6(1)(f))", "Yes / Required (Sheet 3)", "")</f>
        <v/>
      </c>
      <c r="L9388" s="7" t="n"/>
      <c r="M9388" s="7" t="n"/>
      <c r="N9388">
        <f>IF(D9388="", "Gap - No Legal Basis", IF(AND(D9388="Consent (GDPR Art. 6(1)(a))", I9388="Not Captured"), "Gap - Invalid Consent", IF(AND(D9388="Legitimate Interest (GDPR Art. 6(1)(f))", L9388=""), "Gap - Missing LIA", IF(AND(G9388="Yes", H9388=""), "Gap - Missing Art. 9 Basis", IF(OR(I9388="Invalid - Not Freely Given", I9388="Invalid - Not Specific", I9388="Invalid - Not Informed", I9388="Invalid - Ambiguous"), "Gap - Invalid Consent", "Compliant")))))</f>
        <v/>
      </c>
      <c r="O9388" s="7" t="n"/>
    </row>
    <row r="9389">
      <c r="A9389" s="7" t="n"/>
      <c r="B9389" s="7" t="n"/>
      <c r="C9389" s="7" t="n"/>
      <c r="D9389" s="7" t="n"/>
      <c r="E9389" s="7" t="n"/>
      <c r="F9389" s="7" t="n"/>
      <c r="G9389" s="7" t="n"/>
      <c r="H9389" s="7" t="n"/>
      <c r="I9389" s="7" t="n"/>
      <c r="J9389" s="7" t="n"/>
      <c r="K9389">
        <f>IF(D9389="Legitimate Interest (GDPR Art. 6(1)(f))", "Yes / Required (Sheet 3)", "")</f>
        <v/>
      </c>
      <c r="L9389" s="7" t="n"/>
      <c r="M9389" s="7" t="n"/>
      <c r="N9389">
        <f>IF(D9389="", "Gap - No Legal Basis", IF(AND(D9389="Consent (GDPR Art. 6(1)(a))", I9389="Not Captured"), "Gap - Invalid Consent", IF(AND(D9389="Legitimate Interest (GDPR Art. 6(1)(f))", L9389=""), "Gap - Missing LIA", IF(AND(G9389="Yes", H9389=""), "Gap - Missing Art. 9 Basis", IF(OR(I9389="Invalid - Not Freely Given", I9389="Invalid - Not Specific", I9389="Invalid - Not Informed", I9389="Invalid - Ambiguous"), "Gap - Invalid Consent", "Compliant")))))</f>
        <v/>
      </c>
      <c r="O9389" s="7" t="n"/>
    </row>
    <row r="9390">
      <c r="A9390" s="7" t="n"/>
      <c r="B9390" s="7" t="n"/>
      <c r="C9390" s="7" t="n"/>
      <c r="D9390" s="7" t="n"/>
      <c r="E9390" s="7" t="n"/>
      <c r="F9390" s="7" t="n"/>
      <c r="G9390" s="7" t="n"/>
      <c r="H9390" s="7" t="n"/>
      <c r="I9390" s="7" t="n"/>
      <c r="J9390" s="7" t="n"/>
      <c r="K9390">
        <f>IF(D9390="Legitimate Interest (GDPR Art. 6(1)(f))", "Yes / Required (Sheet 3)", "")</f>
        <v/>
      </c>
      <c r="L9390" s="7" t="n"/>
      <c r="M9390" s="7" t="n"/>
      <c r="N9390">
        <f>IF(D9390="", "Gap - No Legal Basis", IF(AND(D9390="Consent (GDPR Art. 6(1)(a))", I9390="Not Captured"), "Gap - Invalid Consent", IF(AND(D9390="Legitimate Interest (GDPR Art. 6(1)(f))", L9390=""), "Gap - Missing LIA", IF(AND(G9390="Yes", H9390=""), "Gap - Missing Art. 9 Basis", IF(OR(I9390="Invalid - Not Freely Given", I9390="Invalid - Not Specific", I9390="Invalid - Not Informed", I9390="Invalid - Ambiguous"), "Gap - Invalid Consent", "Compliant")))))</f>
        <v/>
      </c>
      <c r="O9390" s="7" t="n"/>
    </row>
    <row r="9391">
      <c r="A9391" s="7" t="n"/>
      <c r="B9391" s="7" t="n"/>
      <c r="C9391" s="7" t="n"/>
      <c r="D9391" s="7" t="n"/>
      <c r="E9391" s="7" t="n"/>
      <c r="F9391" s="7" t="n"/>
      <c r="G9391" s="7" t="n"/>
      <c r="H9391" s="7" t="n"/>
      <c r="I9391" s="7" t="n"/>
      <c r="J9391" s="7" t="n"/>
      <c r="K9391">
        <f>IF(D9391="Legitimate Interest (GDPR Art. 6(1)(f))", "Yes / Required (Sheet 3)", "")</f>
        <v/>
      </c>
      <c r="L9391" s="7" t="n"/>
      <c r="M9391" s="7" t="n"/>
      <c r="N9391">
        <f>IF(D9391="", "Gap - No Legal Basis", IF(AND(D9391="Consent (GDPR Art. 6(1)(a))", I9391="Not Captured"), "Gap - Invalid Consent", IF(AND(D9391="Legitimate Interest (GDPR Art. 6(1)(f))", L9391=""), "Gap - Missing LIA", IF(AND(G9391="Yes", H9391=""), "Gap - Missing Art. 9 Basis", IF(OR(I9391="Invalid - Not Freely Given", I9391="Invalid - Not Specific", I9391="Invalid - Not Informed", I9391="Invalid - Ambiguous"), "Gap - Invalid Consent", "Compliant")))))</f>
        <v/>
      </c>
      <c r="O9391" s="7" t="n"/>
    </row>
    <row r="9392">
      <c r="A9392" s="7" t="n"/>
      <c r="B9392" s="7" t="n"/>
      <c r="C9392" s="7" t="n"/>
      <c r="D9392" s="7" t="n"/>
      <c r="E9392" s="7" t="n"/>
      <c r="F9392" s="7" t="n"/>
      <c r="G9392" s="7" t="n"/>
      <c r="H9392" s="7" t="n"/>
      <c r="I9392" s="7" t="n"/>
      <c r="J9392" s="7" t="n"/>
      <c r="K9392">
        <f>IF(D9392="Legitimate Interest (GDPR Art. 6(1)(f))", "Yes / Required (Sheet 3)", "")</f>
        <v/>
      </c>
      <c r="L9392" s="7" t="n"/>
      <c r="M9392" s="7" t="n"/>
      <c r="N9392">
        <f>IF(D9392="", "Gap - No Legal Basis", IF(AND(D9392="Consent (GDPR Art. 6(1)(a))", I9392="Not Captured"), "Gap - Invalid Consent", IF(AND(D9392="Legitimate Interest (GDPR Art. 6(1)(f))", L9392=""), "Gap - Missing LIA", IF(AND(G9392="Yes", H9392=""), "Gap - Missing Art. 9 Basis", IF(OR(I9392="Invalid - Not Freely Given", I9392="Invalid - Not Specific", I9392="Invalid - Not Informed", I9392="Invalid - Ambiguous"), "Gap - Invalid Consent", "Compliant")))))</f>
        <v/>
      </c>
      <c r="O9392" s="7" t="n"/>
    </row>
    <row r="9393">
      <c r="A9393" s="7" t="n"/>
      <c r="B9393" s="7" t="n"/>
      <c r="C9393" s="7" t="n"/>
      <c r="D9393" s="7" t="n"/>
      <c r="E9393" s="7" t="n"/>
      <c r="F9393" s="7" t="n"/>
      <c r="G9393" s="7" t="n"/>
      <c r="H9393" s="7" t="n"/>
      <c r="I9393" s="7" t="n"/>
      <c r="J9393" s="7" t="n"/>
      <c r="K9393">
        <f>IF(D9393="Legitimate Interest (GDPR Art. 6(1)(f))", "Yes / Required (Sheet 3)", "")</f>
        <v/>
      </c>
      <c r="L9393" s="7" t="n"/>
      <c r="M9393" s="7" t="n"/>
      <c r="N9393">
        <f>IF(D9393="", "Gap - No Legal Basis", IF(AND(D9393="Consent (GDPR Art. 6(1)(a))", I9393="Not Captured"), "Gap - Invalid Consent", IF(AND(D9393="Legitimate Interest (GDPR Art. 6(1)(f))", L9393=""), "Gap - Missing LIA", IF(AND(G9393="Yes", H9393=""), "Gap - Missing Art. 9 Basis", IF(OR(I9393="Invalid - Not Freely Given", I9393="Invalid - Not Specific", I9393="Invalid - Not Informed", I9393="Invalid - Ambiguous"), "Gap - Invalid Consent", "Compliant")))))</f>
        <v/>
      </c>
      <c r="O9393" s="7" t="n"/>
    </row>
    <row r="9394">
      <c r="A9394" s="7" t="n"/>
      <c r="B9394" s="7" t="n"/>
      <c r="C9394" s="7" t="n"/>
      <c r="D9394" s="7" t="n"/>
      <c r="E9394" s="7" t="n"/>
      <c r="F9394" s="7" t="n"/>
      <c r="G9394" s="7" t="n"/>
      <c r="H9394" s="7" t="n"/>
      <c r="I9394" s="7" t="n"/>
      <c r="J9394" s="7" t="n"/>
      <c r="K9394">
        <f>IF(D9394="Legitimate Interest (GDPR Art. 6(1)(f))", "Yes / Required (Sheet 3)", "")</f>
        <v/>
      </c>
      <c r="L9394" s="7" t="n"/>
      <c r="M9394" s="7" t="n"/>
      <c r="N9394">
        <f>IF(D9394="", "Gap - No Legal Basis", IF(AND(D9394="Consent (GDPR Art. 6(1)(a))", I9394="Not Captured"), "Gap - Invalid Consent", IF(AND(D9394="Legitimate Interest (GDPR Art. 6(1)(f))", L9394=""), "Gap - Missing LIA", IF(AND(G9394="Yes", H9394=""), "Gap - Missing Art. 9 Basis", IF(OR(I9394="Invalid - Not Freely Given", I9394="Invalid - Not Specific", I9394="Invalid - Not Informed", I9394="Invalid - Ambiguous"), "Gap - Invalid Consent", "Compliant")))))</f>
        <v/>
      </c>
      <c r="O9394" s="7" t="n"/>
    </row>
    <row r="9395">
      <c r="A9395" s="7" t="n"/>
      <c r="B9395" s="7" t="n"/>
      <c r="C9395" s="7" t="n"/>
      <c r="D9395" s="7" t="n"/>
      <c r="E9395" s="7" t="n"/>
      <c r="F9395" s="7" t="n"/>
      <c r="G9395" s="7" t="n"/>
      <c r="H9395" s="7" t="n"/>
      <c r="I9395" s="7" t="n"/>
      <c r="J9395" s="7" t="n"/>
      <c r="K9395">
        <f>IF(D9395="Legitimate Interest (GDPR Art. 6(1)(f))", "Yes / Required (Sheet 3)", "")</f>
        <v/>
      </c>
      <c r="L9395" s="7" t="n"/>
      <c r="M9395" s="7" t="n"/>
      <c r="N9395">
        <f>IF(D9395="", "Gap - No Legal Basis", IF(AND(D9395="Consent (GDPR Art. 6(1)(a))", I9395="Not Captured"), "Gap - Invalid Consent", IF(AND(D9395="Legitimate Interest (GDPR Art. 6(1)(f))", L9395=""), "Gap - Missing LIA", IF(AND(G9395="Yes", H9395=""), "Gap - Missing Art. 9 Basis", IF(OR(I9395="Invalid - Not Freely Given", I9395="Invalid - Not Specific", I9395="Invalid - Not Informed", I9395="Invalid - Ambiguous"), "Gap - Invalid Consent", "Compliant")))))</f>
        <v/>
      </c>
      <c r="O9395" s="7" t="n"/>
    </row>
    <row r="9396">
      <c r="A9396" s="7" t="n"/>
      <c r="B9396" s="7" t="n"/>
      <c r="C9396" s="7" t="n"/>
      <c r="D9396" s="7" t="n"/>
      <c r="E9396" s="7" t="n"/>
      <c r="F9396" s="7" t="n"/>
      <c r="G9396" s="7" t="n"/>
      <c r="H9396" s="7" t="n"/>
      <c r="I9396" s="7" t="n"/>
      <c r="J9396" s="7" t="n"/>
      <c r="K9396">
        <f>IF(D9396="Legitimate Interest (GDPR Art. 6(1)(f))", "Yes / Required (Sheet 3)", "")</f>
        <v/>
      </c>
      <c r="L9396" s="7" t="n"/>
      <c r="M9396" s="7" t="n"/>
      <c r="N9396">
        <f>IF(D9396="", "Gap - No Legal Basis", IF(AND(D9396="Consent (GDPR Art. 6(1)(a))", I9396="Not Captured"), "Gap - Invalid Consent", IF(AND(D9396="Legitimate Interest (GDPR Art. 6(1)(f))", L9396=""), "Gap - Missing LIA", IF(AND(G9396="Yes", H9396=""), "Gap - Missing Art. 9 Basis", IF(OR(I9396="Invalid - Not Freely Given", I9396="Invalid - Not Specific", I9396="Invalid - Not Informed", I9396="Invalid - Ambiguous"), "Gap - Invalid Consent", "Compliant")))))</f>
        <v/>
      </c>
      <c r="O9396" s="7" t="n"/>
    </row>
    <row r="9397">
      <c r="A9397" s="7" t="n"/>
      <c r="B9397" s="7" t="n"/>
      <c r="C9397" s="7" t="n"/>
      <c r="D9397" s="7" t="n"/>
      <c r="E9397" s="7" t="n"/>
      <c r="F9397" s="7" t="n"/>
      <c r="G9397" s="7" t="n"/>
      <c r="H9397" s="7" t="n"/>
      <c r="I9397" s="7" t="n"/>
      <c r="J9397" s="7" t="n"/>
      <c r="K9397">
        <f>IF(D9397="Legitimate Interest (GDPR Art. 6(1)(f))", "Yes / Required (Sheet 3)", "")</f>
        <v/>
      </c>
      <c r="L9397" s="7" t="n"/>
      <c r="M9397" s="7" t="n"/>
      <c r="N9397">
        <f>IF(D9397="", "Gap - No Legal Basis", IF(AND(D9397="Consent (GDPR Art. 6(1)(a))", I9397="Not Captured"), "Gap - Invalid Consent", IF(AND(D9397="Legitimate Interest (GDPR Art. 6(1)(f))", L9397=""), "Gap - Missing LIA", IF(AND(G9397="Yes", H9397=""), "Gap - Missing Art. 9 Basis", IF(OR(I9397="Invalid - Not Freely Given", I9397="Invalid - Not Specific", I9397="Invalid - Not Informed", I9397="Invalid - Ambiguous"), "Gap - Invalid Consent", "Compliant")))))</f>
        <v/>
      </c>
      <c r="O9397" s="7" t="n"/>
    </row>
    <row r="9398">
      <c r="A9398" s="7" t="n"/>
      <c r="B9398" s="7" t="n"/>
      <c r="C9398" s="7" t="n"/>
      <c r="D9398" s="7" t="n"/>
      <c r="E9398" s="7" t="n"/>
      <c r="F9398" s="7" t="n"/>
      <c r="G9398" s="7" t="n"/>
      <c r="H9398" s="7" t="n"/>
      <c r="I9398" s="7" t="n"/>
      <c r="J9398" s="7" t="n"/>
      <c r="K9398">
        <f>IF(D9398="Legitimate Interest (GDPR Art. 6(1)(f))", "Yes / Required (Sheet 3)", "")</f>
        <v/>
      </c>
      <c r="L9398" s="7" t="n"/>
      <c r="M9398" s="7" t="n"/>
      <c r="N9398">
        <f>IF(D9398="", "Gap - No Legal Basis", IF(AND(D9398="Consent (GDPR Art. 6(1)(a))", I9398="Not Captured"), "Gap - Invalid Consent", IF(AND(D9398="Legitimate Interest (GDPR Art. 6(1)(f))", L9398=""), "Gap - Missing LIA", IF(AND(G9398="Yes", H9398=""), "Gap - Missing Art. 9 Basis", IF(OR(I9398="Invalid - Not Freely Given", I9398="Invalid - Not Specific", I9398="Invalid - Not Informed", I9398="Invalid - Ambiguous"), "Gap - Invalid Consent", "Compliant")))))</f>
        <v/>
      </c>
      <c r="O9398" s="7" t="n"/>
    </row>
    <row r="9399">
      <c r="A9399" s="7" t="n"/>
      <c r="B9399" s="7" t="n"/>
      <c r="C9399" s="7" t="n"/>
      <c r="D9399" s="7" t="n"/>
      <c r="E9399" s="7" t="n"/>
      <c r="F9399" s="7" t="n"/>
      <c r="G9399" s="7" t="n"/>
      <c r="H9399" s="7" t="n"/>
      <c r="I9399" s="7" t="n"/>
      <c r="J9399" s="7" t="n"/>
      <c r="K9399">
        <f>IF(D9399="Legitimate Interest (GDPR Art. 6(1)(f))", "Yes / Required (Sheet 3)", "")</f>
        <v/>
      </c>
      <c r="L9399" s="7" t="n"/>
      <c r="M9399" s="7" t="n"/>
      <c r="N9399">
        <f>IF(D9399="", "Gap - No Legal Basis", IF(AND(D9399="Consent (GDPR Art. 6(1)(a))", I9399="Not Captured"), "Gap - Invalid Consent", IF(AND(D9399="Legitimate Interest (GDPR Art. 6(1)(f))", L9399=""), "Gap - Missing LIA", IF(AND(G9399="Yes", H9399=""), "Gap - Missing Art. 9 Basis", IF(OR(I9399="Invalid - Not Freely Given", I9399="Invalid - Not Specific", I9399="Invalid - Not Informed", I9399="Invalid - Ambiguous"), "Gap - Invalid Consent", "Compliant")))))</f>
        <v/>
      </c>
      <c r="O9399" s="7" t="n"/>
    </row>
    <row r="9400">
      <c r="A9400" s="7" t="n"/>
      <c r="B9400" s="7" t="n"/>
      <c r="C9400" s="7" t="n"/>
      <c r="D9400" s="7" t="n"/>
      <c r="E9400" s="7" t="n"/>
      <c r="F9400" s="7" t="n"/>
      <c r="G9400" s="7" t="n"/>
      <c r="H9400" s="7" t="n"/>
      <c r="I9400" s="7" t="n"/>
      <c r="J9400" s="7" t="n"/>
      <c r="K9400">
        <f>IF(D9400="Legitimate Interest (GDPR Art. 6(1)(f))", "Yes / Required (Sheet 3)", "")</f>
        <v/>
      </c>
      <c r="L9400" s="7" t="n"/>
      <c r="M9400" s="7" t="n"/>
      <c r="N9400">
        <f>IF(D9400="", "Gap - No Legal Basis", IF(AND(D9400="Consent (GDPR Art. 6(1)(a))", I9400="Not Captured"), "Gap - Invalid Consent", IF(AND(D9400="Legitimate Interest (GDPR Art. 6(1)(f))", L9400=""), "Gap - Missing LIA", IF(AND(G9400="Yes", H9400=""), "Gap - Missing Art. 9 Basis", IF(OR(I9400="Invalid - Not Freely Given", I9400="Invalid - Not Specific", I9400="Invalid - Not Informed", I9400="Invalid - Ambiguous"), "Gap - Invalid Consent", "Compliant")))))</f>
        <v/>
      </c>
      <c r="O9400" s="7" t="n"/>
    </row>
    <row r="9401">
      <c r="A9401" s="7" t="n"/>
      <c r="B9401" s="7" t="n"/>
      <c r="C9401" s="7" t="n"/>
      <c r="D9401" s="7" t="n"/>
      <c r="E9401" s="7" t="n"/>
      <c r="F9401" s="7" t="n"/>
      <c r="G9401" s="7" t="n"/>
      <c r="H9401" s="7" t="n"/>
      <c r="I9401" s="7" t="n"/>
      <c r="J9401" s="7" t="n"/>
      <c r="K9401">
        <f>IF(D9401="Legitimate Interest (GDPR Art. 6(1)(f))", "Yes / Required (Sheet 3)", "")</f>
        <v/>
      </c>
      <c r="L9401" s="7" t="n"/>
      <c r="M9401" s="7" t="n"/>
      <c r="N9401">
        <f>IF(D9401="", "Gap - No Legal Basis", IF(AND(D9401="Consent (GDPR Art. 6(1)(a))", I9401="Not Captured"), "Gap - Invalid Consent", IF(AND(D9401="Legitimate Interest (GDPR Art. 6(1)(f))", L9401=""), "Gap - Missing LIA", IF(AND(G9401="Yes", H9401=""), "Gap - Missing Art. 9 Basis", IF(OR(I9401="Invalid - Not Freely Given", I9401="Invalid - Not Specific", I9401="Invalid - Not Informed", I9401="Invalid - Ambiguous"), "Gap - Invalid Consent", "Compliant")))))</f>
        <v/>
      </c>
      <c r="O9401" s="7" t="n"/>
    </row>
    <row r="9402">
      <c r="A9402" s="7" t="n"/>
      <c r="B9402" s="7" t="n"/>
      <c r="C9402" s="7" t="n"/>
      <c r="D9402" s="7" t="n"/>
      <c r="E9402" s="7" t="n"/>
      <c r="F9402" s="7" t="n"/>
      <c r="G9402" s="7" t="n"/>
      <c r="H9402" s="7" t="n"/>
      <c r="I9402" s="7" t="n"/>
      <c r="J9402" s="7" t="n"/>
      <c r="K9402">
        <f>IF(D9402="Legitimate Interest (GDPR Art. 6(1)(f))", "Yes / Required (Sheet 3)", "")</f>
        <v/>
      </c>
      <c r="L9402" s="7" t="n"/>
      <c r="M9402" s="7" t="n"/>
      <c r="N9402">
        <f>IF(D9402="", "Gap - No Legal Basis", IF(AND(D9402="Consent (GDPR Art. 6(1)(a))", I9402="Not Captured"), "Gap - Invalid Consent", IF(AND(D9402="Legitimate Interest (GDPR Art. 6(1)(f))", L9402=""), "Gap - Missing LIA", IF(AND(G9402="Yes", H9402=""), "Gap - Missing Art. 9 Basis", IF(OR(I9402="Invalid - Not Freely Given", I9402="Invalid - Not Specific", I9402="Invalid - Not Informed", I9402="Invalid - Ambiguous"), "Gap - Invalid Consent", "Compliant")))))</f>
        <v/>
      </c>
      <c r="O9402" s="7" t="n"/>
    </row>
    <row r="9403">
      <c r="A9403" s="7" t="n"/>
      <c r="B9403" s="7" t="n"/>
      <c r="C9403" s="7" t="n"/>
      <c r="D9403" s="7" t="n"/>
      <c r="E9403" s="7" t="n"/>
      <c r="F9403" s="7" t="n"/>
      <c r="G9403" s="7" t="n"/>
      <c r="H9403" s="7" t="n"/>
      <c r="I9403" s="7" t="n"/>
      <c r="J9403" s="7" t="n"/>
      <c r="K9403">
        <f>IF(D9403="Legitimate Interest (GDPR Art. 6(1)(f))", "Yes / Required (Sheet 3)", "")</f>
        <v/>
      </c>
      <c r="L9403" s="7" t="n"/>
      <c r="M9403" s="7" t="n"/>
      <c r="N9403">
        <f>IF(D9403="", "Gap - No Legal Basis", IF(AND(D9403="Consent (GDPR Art. 6(1)(a))", I9403="Not Captured"), "Gap - Invalid Consent", IF(AND(D9403="Legitimate Interest (GDPR Art. 6(1)(f))", L9403=""), "Gap - Missing LIA", IF(AND(G9403="Yes", H9403=""), "Gap - Missing Art. 9 Basis", IF(OR(I9403="Invalid - Not Freely Given", I9403="Invalid - Not Specific", I9403="Invalid - Not Informed", I9403="Invalid - Ambiguous"), "Gap - Invalid Consent", "Compliant")))))</f>
        <v/>
      </c>
      <c r="O9403" s="7" t="n"/>
    </row>
    <row r="9404">
      <c r="A9404" s="7" t="n"/>
      <c r="B9404" s="7" t="n"/>
      <c r="C9404" s="7" t="n"/>
      <c r="D9404" s="7" t="n"/>
      <c r="E9404" s="7" t="n"/>
      <c r="F9404" s="7" t="n"/>
      <c r="G9404" s="7" t="n"/>
      <c r="H9404" s="7" t="n"/>
      <c r="I9404" s="7" t="n"/>
      <c r="J9404" s="7" t="n"/>
      <c r="K9404">
        <f>IF(D9404="Legitimate Interest (GDPR Art. 6(1)(f))", "Yes / Required (Sheet 3)", "")</f>
        <v/>
      </c>
      <c r="L9404" s="7" t="n"/>
      <c r="M9404" s="7" t="n"/>
      <c r="N9404">
        <f>IF(D9404="", "Gap - No Legal Basis", IF(AND(D9404="Consent (GDPR Art. 6(1)(a))", I9404="Not Captured"), "Gap - Invalid Consent", IF(AND(D9404="Legitimate Interest (GDPR Art. 6(1)(f))", L9404=""), "Gap - Missing LIA", IF(AND(G9404="Yes", H9404=""), "Gap - Missing Art. 9 Basis", IF(OR(I9404="Invalid - Not Freely Given", I9404="Invalid - Not Specific", I9404="Invalid - Not Informed", I9404="Invalid - Ambiguous"), "Gap - Invalid Consent", "Compliant")))))</f>
        <v/>
      </c>
      <c r="O9404" s="7" t="n"/>
    </row>
    <row r="9405">
      <c r="A9405" s="7" t="n"/>
      <c r="B9405" s="7" t="n"/>
      <c r="C9405" s="7" t="n"/>
      <c r="D9405" s="7" t="n"/>
      <c r="E9405" s="7" t="n"/>
      <c r="F9405" s="7" t="n"/>
      <c r="G9405" s="7" t="n"/>
      <c r="H9405" s="7" t="n"/>
      <c r="I9405" s="7" t="n"/>
      <c r="J9405" s="7" t="n"/>
      <c r="K9405">
        <f>IF(D9405="Legitimate Interest (GDPR Art. 6(1)(f))", "Yes / Required (Sheet 3)", "")</f>
        <v/>
      </c>
      <c r="L9405" s="7" t="n"/>
      <c r="M9405" s="7" t="n"/>
      <c r="N9405">
        <f>IF(D9405="", "Gap - No Legal Basis", IF(AND(D9405="Consent (GDPR Art. 6(1)(a))", I9405="Not Captured"), "Gap - Invalid Consent", IF(AND(D9405="Legitimate Interest (GDPR Art. 6(1)(f))", L9405=""), "Gap - Missing LIA", IF(AND(G9405="Yes", H9405=""), "Gap - Missing Art. 9 Basis", IF(OR(I9405="Invalid - Not Freely Given", I9405="Invalid - Not Specific", I9405="Invalid - Not Informed", I9405="Invalid - Ambiguous"), "Gap - Invalid Consent", "Compliant")))))</f>
        <v/>
      </c>
      <c r="O9405" s="7" t="n"/>
    </row>
    <row r="9406">
      <c r="A9406" s="7" t="n"/>
      <c r="B9406" s="7" t="n"/>
      <c r="C9406" s="7" t="n"/>
      <c r="D9406" s="7" t="n"/>
      <c r="E9406" s="7" t="n"/>
      <c r="F9406" s="7" t="n"/>
      <c r="G9406" s="7" t="n"/>
      <c r="H9406" s="7" t="n"/>
      <c r="I9406" s="7" t="n"/>
      <c r="J9406" s="7" t="n"/>
      <c r="K9406">
        <f>IF(D9406="Legitimate Interest (GDPR Art. 6(1)(f))", "Yes / Required (Sheet 3)", "")</f>
        <v/>
      </c>
      <c r="L9406" s="7" t="n"/>
      <c r="M9406" s="7" t="n"/>
      <c r="N9406">
        <f>IF(D9406="", "Gap - No Legal Basis", IF(AND(D9406="Consent (GDPR Art. 6(1)(a))", I9406="Not Captured"), "Gap - Invalid Consent", IF(AND(D9406="Legitimate Interest (GDPR Art. 6(1)(f))", L9406=""), "Gap - Missing LIA", IF(AND(G9406="Yes", H9406=""), "Gap - Missing Art. 9 Basis", IF(OR(I9406="Invalid - Not Freely Given", I9406="Invalid - Not Specific", I9406="Invalid - Not Informed", I9406="Invalid - Ambiguous"), "Gap - Invalid Consent", "Compliant")))))</f>
        <v/>
      </c>
      <c r="O9406" s="7" t="n"/>
    </row>
    <row r="9407">
      <c r="A9407" s="7" t="n"/>
      <c r="B9407" s="7" t="n"/>
      <c r="C9407" s="7" t="n"/>
      <c r="D9407" s="7" t="n"/>
      <c r="E9407" s="7" t="n"/>
      <c r="F9407" s="7" t="n"/>
      <c r="G9407" s="7" t="n"/>
      <c r="H9407" s="7" t="n"/>
      <c r="I9407" s="7" t="n"/>
      <c r="J9407" s="7" t="n"/>
      <c r="K9407">
        <f>IF(D9407="Legitimate Interest (GDPR Art. 6(1)(f))", "Yes / Required (Sheet 3)", "")</f>
        <v/>
      </c>
      <c r="L9407" s="7" t="n"/>
      <c r="M9407" s="7" t="n"/>
      <c r="N9407">
        <f>IF(D9407="", "Gap - No Legal Basis", IF(AND(D9407="Consent (GDPR Art. 6(1)(a))", I9407="Not Captured"), "Gap - Invalid Consent", IF(AND(D9407="Legitimate Interest (GDPR Art. 6(1)(f))", L9407=""), "Gap - Missing LIA", IF(AND(G9407="Yes", H9407=""), "Gap - Missing Art. 9 Basis", IF(OR(I9407="Invalid - Not Freely Given", I9407="Invalid - Not Specific", I9407="Invalid - Not Informed", I9407="Invalid - Ambiguous"), "Gap - Invalid Consent", "Compliant")))))</f>
        <v/>
      </c>
      <c r="O9407" s="7" t="n"/>
    </row>
    <row r="9408">
      <c r="A9408" s="7" t="n"/>
      <c r="B9408" s="7" t="n"/>
      <c r="C9408" s="7" t="n"/>
      <c r="D9408" s="7" t="n"/>
      <c r="E9408" s="7" t="n"/>
      <c r="F9408" s="7" t="n"/>
      <c r="G9408" s="7" t="n"/>
      <c r="H9408" s="7" t="n"/>
      <c r="I9408" s="7" t="n"/>
      <c r="J9408" s="7" t="n"/>
      <c r="K9408">
        <f>IF(D9408="Legitimate Interest (GDPR Art. 6(1)(f))", "Yes / Required (Sheet 3)", "")</f>
        <v/>
      </c>
      <c r="L9408" s="7" t="n"/>
      <c r="M9408" s="7" t="n"/>
      <c r="N9408">
        <f>IF(D9408="", "Gap - No Legal Basis", IF(AND(D9408="Consent (GDPR Art. 6(1)(a))", I9408="Not Captured"), "Gap - Invalid Consent", IF(AND(D9408="Legitimate Interest (GDPR Art. 6(1)(f))", L9408=""), "Gap - Missing LIA", IF(AND(G9408="Yes", H9408=""), "Gap - Missing Art. 9 Basis", IF(OR(I9408="Invalid - Not Freely Given", I9408="Invalid - Not Specific", I9408="Invalid - Not Informed", I9408="Invalid - Ambiguous"), "Gap - Invalid Consent", "Compliant")))))</f>
        <v/>
      </c>
      <c r="O9408" s="7" t="n"/>
    </row>
    <row r="9409">
      <c r="A9409" s="7" t="n"/>
      <c r="B9409" s="7" t="n"/>
      <c r="C9409" s="7" t="n"/>
      <c r="D9409" s="7" t="n"/>
      <c r="E9409" s="7" t="n"/>
      <c r="F9409" s="7" t="n"/>
      <c r="G9409" s="7" t="n"/>
      <c r="H9409" s="7" t="n"/>
      <c r="I9409" s="7" t="n"/>
      <c r="J9409" s="7" t="n"/>
      <c r="K9409">
        <f>IF(D9409="Legitimate Interest (GDPR Art. 6(1)(f))", "Yes / Required (Sheet 3)", "")</f>
        <v/>
      </c>
      <c r="L9409" s="7" t="n"/>
      <c r="M9409" s="7" t="n"/>
      <c r="N9409">
        <f>IF(D9409="", "Gap - No Legal Basis", IF(AND(D9409="Consent (GDPR Art. 6(1)(a))", I9409="Not Captured"), "Gap - Invalid Consent", IF(AND(D9409="Legitimate Interest (GDPR Art. 6(1)(f))", L9409=""), "Gap - Missing LIA", IF(AND(G9409="Yes", H9409=""), "Gap - Missing Art. 9 Basis", IF(OR(I9409="Invalid - Not Freely Given", I9409="Invalid - Not Specific", I9409="Invalid - Not Informed", I9409="Invalid - Ambiguous"), "Gap - Invalid Consent", "Compliant")))))</f>
        <v/>
      </c>
      <c r="O9409" s="7" t="n"/>
    </row>
    <row r="9410">
      <c r="A9410" s="7" t="n"/>
      <c r="B9410" s="7" t="n"/>
      <c r="C9410" s="7" t="n"/>
      <c r="D9410" s="7" t="n"/>
      <c r="E9410" s="7" t="n"/>
      <c r="F9410" s="7" t="n"/>
      <c r="G9410" s="7" t="n"/>
      <c r="H9410" s="7" t="n"/>
      <c r="I9410" s="7" t="n"/>
      <c r="J9410" s="7" t="n"/>
      <c r="K9410">
        <f>IF(D9410="Legitimate Interest (GDPR Art. 6(1)(f))", "Yes / Required (Sheet 3)", "")</f>
        <v/>
      </c>
      <c r="L9410" s="7" t="n"/>
      <c r="M9410" s="7" t="n"/>
      <c r="N9410">
        <f>IF(D9410="", "Gap - No Legal Basis", IF(AND(D9410="Consent (GDPR Art. 6(1)(a))", I9410="Not Captured"), "Gap - Invalid Consent", IF(AND(D9410="Legitimate Interest (GDPR Art. 6(1)(f))", L9410=""), "Gap - Missing LIA", IF(AND(G9410="Yes", H9410=""), "Gap - Missing Art. 9 Basis", IF(OR(I9410="Invalid - Not Freely Given", I9410="Invalid - Not Specific", I9410="Invalid - Not Informed", I9410="Invalid - Ambiguous"), "Gap - Invalid Consent", "Compliant")))))</f>
        <v/>
      </c>
      <c r="O9410" s="7" t="n"/>
    </row>
    <row r="9411">
      <c r="A9411" s="7" t="n"/>
      <c r="B9411" s="7" t="n"/>
      <c r="C9411" s="7" t="n"/>
      <c r="D9411" s="7" t="n"/>
      <c r="E9411" s="7" t="n"/>
      <c r="F9411" s="7" t="n"/>
      <c r="G9411" s="7" t="n"/>
      <c r="H9411" s="7" t="n"/>
      <c r="I9411" s="7" t="n"/>
      <c r="J9411" s="7" t="n"/>
      <c r="K9411">
        <f>IF(D9411="Legitimate Interest (GDPR Art. 6(1)(f))", "Yes / Required (Sheet 3)", "")</f>
        <v/>
      </c>
      <c r="L9411" s="7" t="n"/>
      <c r="M9411" s="7" t="n"/>
      <c r="N9411">
        <f>IF(D9411="", "Gap - No Legal Basis", IF(AND(D9411="Consent (GDPR Art. 6(1)(a))", I9411="Not Captured"), "Gap - Invalid Consent", IF(AND(D9411="Legitimate Interest (GDPR Art. 6(1)(f))", L9411=""), "Gap - Missing LIA", IF(AND(G9411="Yes", H9411=""), "Gap - Missing Art. 9 Basis", IF(OR(I9411="Invalid - Not Freely Given", I9411="Invalid - Not Specific", I9411="Invalid - Not Informed", I9411="Invalid - Ambiguous"), "Gap - Invalid Consent", "Compliant")))))</f>
        <v/>
      </c>
      <c r="O9411" s="7" t="n"/>
    </row>
    <row r="9412">
      <c r="A9412" s="7" t="n"/>
      <c r="B9412" s="7" t="n"/>
      <c r="C9412" s="7" t="n"/>
      <c r="D9412" s="7" t="n"/>
      <c r="E9412" s="7" t="n"/>
      <c r="F9412" s="7" t="n"/>
      <c r="G9412" s="7" t="n"/>
      <c r="H9412" s="7" t="n"/>
      <c r="I9412" s="7" t="n"/>
      <c r="J9412" s="7" t="n"/>
      <c r="K9412">
        <f>IF(D9412="Legitimate Interest (GDPR Art. 6(1)(f))", "Yes / Required (Sheet 3)", "")</f>
        <v/>
      </c>
      <c r="L9412" s="7" t="n"/>
      <c r="M9412" s="7" t="n"/>
      <c r="N9412">
        <f>IF(D9412="", "Gap - No Legal Basis", IF(AND(D9412="Consent (GDPR Art. 6(1)(a))", I9412="Not Captured"), "Gap - Invalid Consent", IF(AND(D9412="Legitimate Interest (GDPR Art. 6(1)(f))", L9412=""), "Gap - Missing LIA", IF(AND(G9412="Yes", H9412=""), "Gap - Missing Art. 9 Basis", IF(OR(I9412="Invalid - Not Freely Given", I9412="Invalid - Not Specific", I9412="Invalid - Not Informed", I9412="Invalid - Ambiguous"), "Gap - Invalid Consent", "Compliant")))))</f>
        <v/>
      </c>
      <c r="O9412" s="7" t="n"/>
    </row>
    <row r="9413">
      <c r="A9413" s="7" t="n"/>
      <c r="B9413" s="7" t="n"/>
      <c r="C9413" s="7" t="n"/>
      <c r="D9413" s="7" t="n"/>
      <c r="E9413" s="7" t="n"/>
      <c r="F9413" s="7" t="n"/>
      <c r="G9413" s="7" t="n"/>
      <c r="H9413" s="7" t="n"/>
      <c r="I9413" s="7" t="n"/>
      <c r="J9413" s="7" t="n"/>
      <c r="K9413">
        <f>IF(D9413="Legitimate Interest (GDPR Art. 6(1)(f))", "Yes / Required (Sheet 3)", "")</f>
        <v/>
      </c>
      <c r="L9413" s="7" t="n"/>
      <c r="M9413" s="7" t="n"/>
      <c r="N9413">
        <f>IF(D9413="", "Gap - No Legal Basis", IF(AND(D9413="Consent (GDPR Art. 6(1)(a))", I9413="Not Captured"), "Gap - Invalid Consent", IF(AND(D9413="Legitimate Interest (GDPR Art. 6(1)(f))", L9413=""), "Gap - Missing LIA", IF(AND(G9413="Yes", H9413=""), "Gap - Missing Art. 9 Basis", IF(OR(I9413="Invalid - Not Freely Given", I9413="Invalid - Not Specific", I9413="Invalid - Not Informed", I9413="Invalid - Ambiguous"), "Gap - Invalid Consent", "Compliant")))))</f>
        <v/>
      </c>
      <c r="O9413" s="7" t="n"/>
    </row>
    <row r="9414">
      <c r="A9414" s="7" t="n"/>
      <c r="B9414" s="7" t="n"/>
      <c r="C9414" s="7" t="n"/>
      <c r="D9414" s="7" t="n"/>
      <c r="E9414" s="7" t="n"/>
      <c r="F9414" s="7" t="n"/>
      <c r="G9414" s="7" t="n"/>
      <c r="H9414" s="7" t="n"/>
      <c r="I9414" s="7" t="n"/>
      <c r="J9414" s="7" t="n"/>
      <c r="K9414">
        <f>IF(D9414="Legitimate Interest (GDPR Art. 6(1)(f))", "Yes / Required (Sheet 3)", "")</f>
        <v/>
      </c>
      <c r="L9414" s="7" t="n"/>
      <c r="M9414" s="7" t="n"/>
      <c r="N9414">
        <f>IF(D9414="", "Gap - No Legal Basis", IF(AND(D9414="Consent (GDPR Art. 6(1)(a))", I9414="Not Captured"), "Gap - Invalid Consent", IF(AND(D9414="Legitimate Interest (GDPR Art. 6(1)(f))", L9414=""), "Gap - Missing LIA", IF(AND(G9414="Yes", H9414=""), "Gap - Missing Art. 9 Basis", IF(OR(I9414="Invalid - Not Freely Given", I9414="Invalid - Not Specific", I9414="Invalid - Not Informed", I9414="Invalid - Ambiguous"), "Gap - Invalid Consent", "Compliant")))))</f>
        <v/>
      </c>
      <c r="O9414" s="7" t="n"/>
    </row>
    <row r="9415">
      <c r="A9415" s="7" t="n"/>
      <c r="B9415" s="7" t="n"/>
      <c r="C9415" s="7" t="n"/>
      <c r="D9415" s="7" t="n"/>
      <c r="E9415" s="7" t="n"/>
      <c r="F9415" s="7" t="n"/>
      <c r="G9415" s="7" t="n"/>
      <c r="H9415" s="7" t="n"/>
      <c r="I9415" s="7" t="n"/>
      <c r="J9415" s="7" t="n"/>
      <c r="K9415">
        <f>IF(D9415="Legitimate Interest (GDPR Art. 6(1)(f))", "Yes / Required (Sheet 3)", "")</f>
        <v/>
      </c>
      <c r="L9415" s="7" t="n"/>
      <c r="M9415" s="7" t="n"/>
      <c r="N9415">
        <f>IF(D9415="", "Gap - No Legal Basis", IF(AND(D9415="Consent (GDPR Art. 6(1)(a))", I9415="Not Captured"), "Gap - Invalid Consent", IF(AND(D9415="Legitimate Interest (GDPR Art. 6(1)(f))", L9415=""), "Gap - Missing LIA", IF(AND(G9415="Yes", H9415=""), "Gap - Missing Art. 9 Basis", IF(OR(I9415="Invalid - Not Freely Given", I9415="Invalid - Not Specific", I9415="Invalid - Not Informed", I9415="Invalid - Ambiguous"), "Gap - Invalid Consent", "Compliant")))))</f>
        <v/>
      </c>
      <c r="O9415" s="7" t="n"/>
    </row>
    <row r="9416">
      <c r="A9416" s="7" t="n"/>
      <c r="B9416" s="7" t="n"/>
      <c r="C9416" s="7" t="n"/>
      <c r="D9416" s="7" t="n"/>
      <c r="E9416" s="7" t="n"/>
      <c r="F9416" s="7" t="n"/>
      <c r="G9416" s="7" t="n"/>
      <c r="H9416" s="7" t="n"/>
      <c r="I9416" s="7" t="n"/>
      <c r="J9416" s="7" t="n"/>
      <c r="K9416">
        <f>IF(D9416="Legitimate Interest (GDPR Art. 6(1)(f))", "Yes / Required (Sheet 3)", "")</f>
        <v/>
      </c>
      <c r="L9416" s="7" t="n"/>
      <c r="M9416" s="7" t="n"/>
      <c r="N9416">
        <f>IF(D9416="", "Gap - No Legal Basis", IF(AND(D9416="Consent (GDPR Art. 6(1)(a))", I9416="Not Captured"), "Gap - Invalid Consent", IF(AND(D9416="Legitimate Interest (GDPR Art. 6(1)(f))", L9416=""), "Gap - Missing LIA", IF(AND(G9416="Yes", H9416=""), "Gap - Missing Art. 9 Basis", IF(OR(I9416="Invalid - Not Freely Given", I9416="Invalid - Not Specific", I9416="Invalid - Not Informed", I9416="Invalid - Ambiguous"), "Gap - Invalid Consent", "Compliant")))))</f>
        <v/>
      </c>
      <c r="O9416" s="7" t="n"/>
    </row>
    <row r="9417">
      <c r="A9417" s="7" t="n"/>
      <c r="B9417" s="7" t="n"/>
      <c r="C9417" s="7" t="n"/>
      <c r="D9417" s="7" t="n"/>
      <c r="E9417" s="7" t="n"/>
      <c r="F9417" s="7" t="n"/>
      <c r="G9417" s="7" t="n"/>
      <c r="H9417" s="7" t="n"/>
      <c r="I9417" s="7" t="n"/>
      <c r="J9417" s="7" t="n"/>
      <c r="K9417">
        <f>IF(D9417="Legitimate Interest (GDPR Art. 6(1)(f))", "Yes / Required (Sheet 3)", "")</f>
        <v/>
      </c>
      <c r="L9417" s="7" t="n"/>
      <c r="M9417" s="7" t="n"/>
      <c r="N9417">
        <f>IF(D9417="", "Gap - No Legal Basis", IF(AND(D9417="Consent (GDPR Art. 6(1)(a))", I9417="Not Captured"), "Gap - Invalid Consent", IF(AND(D9417="Legitimate Interest (GDPR Art. 6(1)(f))", L9417=""), "Gap - Missing LIA", IF(AND(G9417="Yes", H9417=""), "Gap - Missing Art. 9 Basis", IF(OR(I9417="Invalid - Not Freely Given", I9417="Invalid - Not Specific", I9417="Invalid - Not Informed", I9417="Invalid - Ambiguous"), "Gap - Invalid Consent", "Compliant")))))</f>
        <v/>
      </c>
      <c r="O9417" s="7" t="n"/>
    </row>
    <row r="9418">
      <c r="A9418" s="7" t="n"/>
      <c r="B9418" s="7" t="n"/>
      <c r="C9418" s="7" t="n"/>
      <c r="D9418" s="7" t="n"/>
      <c r="E9418" s="7" t="n"/>
      <c r="F9418" s="7" t="n"/>
      <c r="G9418" s="7" t="n"/>
      <c r="H9418" s="7" t="n"/>
      <c r="I9418" s="7" t="n"/>
      <c r="J9418" s="7" t="n"/>
      <c r="K9418">
        <f>IF(D9418="Legitimate Interest (GDPR Art. 6(1)(f))", "Yes / Required (Sheet 3)", "")</f>
        <v/>
      </c>
      <c r="L9418" s="7" t="n"/>
      <c r="M9418" s="7" t="n"/>
      <c r="N9418">
        <f>IF(D9418="", "Gap - No Legal Basis", IF(AND(D9418="Consent (GDPR Art. 6(1)(a))", I9418="Not Captured"), "Gap - Invalid Consent", IF(AND(D9418="Legitimate Interest (GDPR Art. 6(1)(f))", L9418=""), "Gap - Missing LIA", IF(AND(G9418="Yes", H9418=""), "Gap - Missing Art. 9 Basis", IF(OR(I9418="Invalid - Not Freely Given", I9418="Invalid - Not Specific", I9418="Invalid - Not Informed", I9418="Invalid - Ambiguous"), "Gap - Invalid Consent", "Compliant")))))</f>
        <v/>
      </c>
      <c r="O9418" s="7" t="n"/>
    </row>
    <row r="9419">
      <c r="A9419" s="7" t="n"/>
      <c r="B9419" s="7" t="n"/>
      <c r="C9419" s="7" t="n"/>
      <c r="D9419" s="7" t="n"/>
      <c r="E9419" s="7" t="n"/>
      <c r="F9419" s="7" t="n"/>
      <c r="G9419" s="7" t="n"/>
      <c r="H9419" s="7" t="n"/>
      <c r="I9419" s="7" t="n"/>
      <c r="J9419" s="7" t="n"/>
      <c r="K9419">
        <f>IF(D9419="Legitimate Interest (GDPR Art. 6(1)(f))", "Yes / Required (Sheet 3)", "")</f>
        <v/>
      </c>
      <c r="L9419" s="7" t="n"/>
      <c r="M9419" s="7" t="n"/>
      <c r="N9419">
        <f>IF(D9419="", "Gap - No Legal Basis", IF(AND(D9419="Consent (GDPR Art. 6(1)(a))", I9419="Not Captured"), "Gap - Invalid Consent", IF(AND(D9419="Legitimate Interest (GDPR Art. 6(1)(f))", L9419=""), "Gap - Missing LIA", IF(AND(G9419="Yes", H9419=""), "Gap - Missing Art. 9 Basis", IF(OR(I9419="Invalid - Not Freely Given", I9419="Invalid - Not Specific", I9419="Invalid - Not Informed", I9419="Invalid - Ambiguous"), "Gap - Invalid Consent", "Compliant")))))</f>
        <v/>
      </c>
      <c r="O9419" s="7" t="n"/>
    </row>
    <row r="9420">
      <c r="A9420" s="7" t="n"/>
      <c r="B9420" s="7" t="n"/>
      <c r="C9420" s="7" t="n"/>
      <c r="D9420" s="7" t="n"/>
      <c r="E9420" s="7" t="n"/>
      <c r="F9420" s="7" t="n"/>
      <c r="G9420" s="7" t="n"/>
      <c r="H9420" s="7" t="n"/>
      <c r="I9420" s="7" t="n"/>
      <c r="J9420" s="7" t="n"/>
      <c r="K9420">
        <f>IF(D9420="Legitimate Interest (GDPR Art. 6(1)(f))", "Yes / Required (Sheet 3)", "")</f>
        <v/>
      </c>
      <c r="L9420" s="7" t="n"/>
      <c r="M9420" s="7" t="n"/>
      <c r="N9420">
        <f>IF(D9420="", "Gap - No Legal Basis", IF(AND(D9420="Consent (GDPR Art. 6(1)(a))", I9420="Not Captured"), "Gap - Invalid Consent", IF(AND(D9420="Legitimate Interest (GDPR Art. 6(1)(f))", L9420=""), "Gap - Missing LIA", IF(AND(G9420="Yes", H9420=""), "Gap - Missing Art. 9 Basis", IF(OR(I9420="Invalid - Not Freely Given", I9420="Invalid - Not Specific", I9420="Invalid - Not Informed", I9420="Invalid - Ambiguous"), "Gap - Invalid Consent", "Compliant")))))</f>
        <v/>
      </c>
      <c r="O9420" s="7" t="n"/>
    </row>
    <row r="9421">
      <c r="A9421" s="7" t="n"/>
      <c r="B9421" s="7" t="n"/>
      <c r="C9421" s="7" t="n"/>
      <c r="D9421" s="7" t="n"/>
      <c r="E9421" s="7" t="n"/>
      <c r="F9421" s="7" t="n"/>
      <c r="G9421" s="7" t="n"/>
      <c r="H9421" s="7" t="n"/>
      <c r="I9421" s="7" t="n"/>
      <c r="J9421" s="7" t="n"/>
      <c r="K9421">
        <f>IF(D9421="Legitimate Interest (GDPR Art. 6(1)(f))", "Yes / Required (Sheet 3)", "")</f>
        <v/>
      </c>
      <c r="L9421" s="7" t="n"/>
      <c r="M9421" s="7" t="n"/>
      <c r="N9421">
        <f>IF(D9421="", "Gap - No Legal Basis", IF(AND(D9421="Consent (GDPR Art. 6(1)(a))", I9421="Not Captured"), "Gap - Invalid Consent", IF(AND(D9421="Legitimate Interest (GDPR Art. 6(1)(f))", L9421=""), "Gap - Missing LIA", IF(AND(G9421="Yes", H9421=""), "Gap - Missing Art. 9 Basis", IF(OR(I9421="Invalid - Not Freely Given", I9421="Invalid - Not Specific", I9421="Invalid - Not Informed", I9421="Invalid - Ambiguous"), "Gap - Invalid Consent", "Compliant")))))</f>
        <v/>
      </c>
      <c r="O9421" s="7" t="n"/>
    </row>
    <row r="9422">
      <c r="A9422" s="7" t="n"/>
      <c r="B9422" s="7" t="n"/>
      <c r="C9422" s="7" t="n"/>
      <c r="D9422" s="7" t="n"/>
      <c r="E9422" s="7" t="n"/>
      <c r="F9422" s="7" t="n"/>
      <c r="G9422" s="7" t="n"/>
      <c r="H9422" s="7" t="n"/>
      <c r="I9422" s="7" t="n"/>
      <c r="J9422" s="7" t="n"/>
      <c r="K9422">
        <f>IF(D9422="Legitimate Interest (GDPR Art. 6(1)(f))", "Yes / Required (Sheet 3)", "")</f>
        <v/>
      </c>
      <c r="L9422" s="7" t="n"/>
      <c r="M9422" s="7" t="n"/>
      <c r="N9422">
        <f>IF(D9422="", "Gap - No Legal Basis", IF(AND(D9422="Consent (GDPR Art. 6(1)(a))", I9422="Not Captured"), "Gap - Invalid Consent", IF(AND(D9422="Legitimate Interest (GDPR Art. 6(1)(f))", L9422=""), "Gap - Missing LIA", IF(AND(G9422="Yes", H9422=""), "Gap - Missing Art. 9 Basis", IF(OR(I9422="Invalid - Not Freely Given", I9422="Invalid - Not Specific", I9422="Invalid - Not Informed", I9422="Invalid - Ambiguous"), "Gap - Invalid Consent", "Compliant")))))</f>
        <v/>
      </c>
      <c r="O9422" s="7" t="n"/>
    </row>
    <row r="9423">
      <c r="A9423" s="7" t="n"/>
      <c r="B9423" s="7" t="n"/>
      <c r="C9423" s="7" t="n"/>
      <c r="D9423" s="7" t="n"/>
      <c r="E9423" s="7" t="n"/>
      <c r="F9423" s="7" t="n"/>
      <c r="G9423" s="7" t="n"/>
      <c r="H9423" s="7" t="n"/>
      <c r="I9423" s="7" t="n"/>
      <c r="J9423" s="7" t="n"/>
      <c r="K9423">
        <f>IF(D9423="Legitimate Interest (GDPR Art. 6(1)(f))", "Yes / Required (Sheet 3)", "")</f>
        <v/>
      </c>
      <c r="L9423" s="7" t="n"/>
      <c r="M9423" s="7" t="n"/>
      <c r="N9423">
        <f>IF(D9423="", "Gap - No Legal Basis", IF(AND(D9423="Consent (GDPR Art. 6(1)(a))", I9423="Not Captured"), "Gap - Invalid Consent", IF(AND(D9423="Legitimate Interest (GDPR Art. 6(1)(f))", L9423=""), "Gap - Missing LIA", IF(AND(G9423="Yes", H9423=""), "Gap - Missing Art. 9 Basis", IF(OR(I9423="Invalid - Not Freely Given", I9423="Invalid - Not Specific", I9423="Invalid - Not Informed", I9423="Invalid - Ambiguous"), "Gap - Invalid Consent", "Compliant")))))</f>
        <v/>
      </c>
      <c r="O9423" s="7" t="n"/>
    </row>
    <row r="9424">
      <c r="A9424" s="7" t="n"/>
      <c r="B9424" s="7" t="n"/>
      <c r="C9424" s="7" t="n"/>
      <c r="D9424" s="7" t="n"/>
      <c r="E9424" s="7" t="n"/>
      <c r="F9424" s="7" t="n"/>
      <c r="G9424" s="7" t="n"/>
      <c r="H9424" s="7" t="n"/>
      <c r="I9424" s="7" t="n"/>
      <c r="J9424" s="7" t="n"/>
      <c r="K9424">
        <f>IF(D9424="Legitimate Interest (GDPR Art. 6(1)(f))", "Yes / Required (Sheet 3)", "")</f>
        <v/>
      </c>
      <c r="L9424" s="7" t="n"/>
      <c r="M9424" s="7" t="n"/>
      <c r="N9424">
        <f>IF(D9424="", "Gap - No Legal Basis", IF(AND(D9424="Consent (GDPR Art. 6(1)(a))", I9424="Not Captured"), "Gap - Invalid Consent", IF(AND(D9424="Legitimate Interest (GDPR Art. 6(1)(f))", L9424=""), "Gap - Missing LIA", IF(AND(G9424="Yes", H9424=""), "Gap - Missing Art. 9 Basis", IF(OR(I9424="Invalid - Not Freely Given", I9424="Invalid - Not Specific", I9424="Invalid - Not Informed", I9424="Invalid - Ambiguous"), "Gap - Invalid Consent", "Compliant")))))</f>
        <v/>
      </c>
      <c r="O9424" s="7" t="n"/>
    </row>
    <row r="9425">
      <c r="A9425" s="7" t="n"/>
      <c r="B9425" s="7" t="n"/>
      <c r="C9425" s="7" t="n"/>
      <c r="D9425" s="7" t="n"/>
      <c r="E9425" s="7" t="n"/>
      <c r="F9425" s="7" t="n"/>
      <c r="G9425" s="7" t="n"/>
      <c r="H9425" s="7" t="n"/>
      <c r="I9425" s="7" t="n"/>
      <c r="J9425" s="7" t="n"/>
      <c r="K9425">
        <f>IF(D9425="Legitimate Interest (GDPR Art. 6(1)(f))", "Yes / Required (Sheet 3)", "")</f>
        <v/>
      </c>
      <c r="L9425" s="7" t="n"/>
      <c r="M9425" s="7" t="n"/>
      <c r="N9425">
        <f>IF(D9425="", "Gap - No Legal Basis", IF(AND(D9425="Consent (GDPR Art. 6(1)(a))", I9425="Not Captured"), "Gap - Invalid Consent", IF(AND(D9425="Legitimate Interest (GDPR Art. 6(1)(f))", L9425=""), "Gap - Missing LIA", IF(AND(G9425="Yes", H9425=""), "Gap - Missing Art. 9 Basis", IF(OR(I9425="Invalid - Not Freely Given", I9425="Invalid - Not Specific", I9425="Invalid - Not Informed", I9425="Invalid - Ambiguous"), "Gap - Invalid Consent", "Compliant")))))</f>
        <v/>
      </c>
      <c r="O9425" s="7" t="n"/>
    </row>
    <row r="9426">
      <c r="A9426" s="7" t="n"/>
      <c r="B9426" s="7" t="n"/>
      <c r="C9426" s="7" t="n"/>
      <c r="D9426" s="7" t="n"/>
      <c r="E9426" s="7" t="n"/>
      <c r="F9426" s="7" t="n"/>
      <c r="G9426" s="7" t="n"/>
      <c r="H9426" s="7" t="n"/>
      <c r="I9426" s="7" t="n"/>
      <c r="J9426" s="7" t="n"/>
      <c r="K9426">
        <f>IF(D9426="Legitimate Interest (GDPR Art. 6(1)(f))", "Yes / Required (Sheet 3)", "")</f>
        <v/>
      </c>
      <c r="L9426" s="7" t="n"/>
      <c r="M9426" s="7" t="n"/>
      <c r="N9426">
        <f>IF(D9426="", "Gap - No Legal Basis", IF(AND(D9426="Consent (GDPR Art. 6(1)(a))", I9426="Not Captured"), "Gap - Invalid Consent", IF(AND(D9426="Legitimate Interest (GDPR Art. 6(1)(f))", L9426=""), "Gap - Missing LIA", IF(AND(G9426="Yes", H9426=""), "Gap - Missing Art. 9 Basis", IF(OR(I9426="Invalid - Not Freely Given", I9426="Invalid - Not Specific", I9426="Invalid - Not Informed", I9426="Invalid - Ambiguous"), "Gap - Invalid Consent", "Compliant")))))</f>
        <v/>
      </c>
      <c r="O9426" s="7" t="n"/>
    </row>
    <row r="9427">
      <c r="A9427" s="7" t="n"/>
      <c r="B9427" s="7" t="n"/>
      <c r="C9427" s="7" t="n"/>
      <c r="D9427" s="7" t="n"/>
      <c r="E9427" s="7" t="n"/>
      <c r="F9427" s="7" t="n"/>
      <c r="G9427" s="7" t="n"/>
      <c r="H9427" s="7" t="n"/>
      <c r="I9427" s="7" t="n"/>
      <c r="J9427" s="7" t="n"/>
      <c r="K9427">
        <f>IF(D9427="Legitimate Interest (GDPR Art. 6(1)(f))", "Yes / Required (Sheet 3)", "")</f>
        <v/>
      </c>
      <c r="L9427" s="7" t="n"/>
      <c r="M9427" s="7" t="n"/>
      <c r="N9427">
        <f>IF(D9427="", "Gap - No Legal Basis", IF(AND(D9427="Consent (GDPR Art. 6(1)(a))", I9427="Not Captured"), "Gap - Invalid Consent", IF(AND(D9427="Legitimate Interest (GDPR Art. 6(1)(f))", L9427=""), "Gap - Missing LIA", IF(AND(G9427="Yes", H9427=""), "Gap - Missing Art. 9 Basis", IF(OR(I9427="Invalid - Not Freely Given", I9427="Invalid - Not Specific", I9427="Invalid - Not Informed", I9427="Invalid - Ambiguous"), "Gap - Invalid Consent", "Compliant")))))</f>
        <v/>
      </c>
      <c r="O9427" s="7" t="n"/>
    </row>
    <row r="9428">
      <c r="A9428" s="7" t="n"/>
      <c r="B9428" s="7" t="n"/>
      <c r="C9428" s="7" t="n"/>
      <c r="D9428" s="7" t="n"/>
      <c r="E9428" s="7" t="n"/>
      <c r="F9428" s="7" t="n"/>
      <c r="G9428" s="7" t="n"/>
      <c r="H9428" s="7" t="n"/>
      <c r="I9428" s="7" t="n"/>
      <c r="J9428" s="7" t="n"/>
      <c r="K9428">
        <f>IF(D9428="Legitimate Interest (GDPR Art. 6(1)(f))", "Yes / Required (Sheet 3)", "")</f>
        <v/>
      </c>
      <c r="L9428" s="7" t="n"/>
      <c r="M9428" s="7" t="n"/>
      <c r="N9428">
        <f>IF(D9428="", "Gap - No Legal Basis", IF(AND(D9428="Consent (GDPR Art. 6(1)(a))", I9428="Not Captured"), "Gap - Invalid Consent", IF(AND(D9428="Legitimate Interest (GDPR Art. 6(1)(f))", L9428=""), "Gap - Missing LIA", IF(AND(G9428="Yes", H9428=""), "Gap - Missing Art. 9 Basis", IF(OR(I9428="Invalid - Not Freely Given", I9428="Invalid - Not Specific", I9428="Invalid - Not Informed", I9428="Invalid - Ambiguous"), "Gap - Invalid Consent", "Compliant")))))</f>
        <v/>
      </c>
      <c r="O9428" s="7" t="n"/>
    </row>
    <row r="9429">
      <c r="A9429" s="7" t="n"/>
      <c r="B9429" s="7" t="n"/>
      <c r="C9429" s="7" t="n"/>
      <c r="D9429" s="7" t="n"/>
      <c r="E9429" s="7" t="n"/>
      <c r="F9429" s="7" t="n"/>
      <c r="G9429" s="7" t="n"/>
      <c r="H9429" s="7" t="n"/>
      <c r="I9429" s="7" t="n"/>
      <c r="J9429" s="7" t="n"/>
      <c r="K9429">
        <f>IF(D9429="Legitimate Interest (GDPR Art. 6(1)(f))", "Yes / Required (Sheet 3)", "")</f>
        <v/>
      </c>
      <c r="L9429" s="7" t="n"/>
      <c r="M9429" s="7" t="n"/>
      <c r="N9429">
        <f>IF(D9429="", "Gap - No Legal Basis", IF(AND(D9429="Consent (GDPR Art. 6(1)(a))", I9429="Not Captured"), "Gap - Invalid Consent", IF(AND(D9429="Legitimate Interest (GDPR Art. 6(1)(f))", L9429=""), "Gap - Missing LIA", IF(AND(G9429="Yes", H9429=""), "Gap - Missing Art. 9 Basis", IF(OR(I9429="Invalid - Not Freely Given", I9429="Invalid - Not Specific", I9429="Invalid - Not Informed", I9429="Invalid - Ambiguous"), "Gap - Invalid Consent", "Compliant")))))</f>
        <v/>
      </c>
      <c r="O9429" s="7" t="n"/>
    </row>
    <row r="9430">
      <c r="A9430" s="7" t="n"/>
      <c r="B9430" s="7" t="n"/>
      <c r="C9430" s="7" t="n"/>
      <c r="D9430" s="7" t="n"/>
      <c r="E9430" s="7" t="n"/>
      <c r="F9430" s="7" t="n"/>
      <c r="G9430" s="7" t="n"/>
      <c r="H9430" s="7" t="n"/>
      <c r="I9430" s="7" t="n"/>
      <c r="J9430" s="7" t="n"/>
      <c r="K9430">
        <f>IF(D9430="Legitimate Interest (GDPR Art. 6(1)(f))", "Yes / Required (Sheet 3)", "")</f>
        <v/>
      </c>
      <c r="L9430" s="7" t="n"/>
      <c r="M9430" s="7" t="n"/>
      <c r="N9430">
        <f>IF(D9430="", "Gap - No Legal Basis", IF(AND(D9430="Consent (GDPR Art. 6(1)(a))", I9430="Not Captured"), "Gap - Invalid Consent", IF(AND(D9430="Legitimate Interest (GDPR Art. 6(1)(f))", L9430=""), "Gap - Missing LIA", IF(AND(G9430="Yes", H9430=""), "Gap - Missing Art. 9 Basis", IF(OR(I9430="Invalid - Not Freely Given", I9430="Invalid - Not Specific", I9430="Invalid - Not Informed", I9430="Invalid - Ambiguous"), "Gap - Invalid Consent", "Compliant")))))</f>
        <v/>
      </c>
      <c r="O9430" s="7" t="n"/>
    </row>
    <row r="9431">
      <c r="A9431" s="7" t="n"/>
      <c r="B9431" s="7" t="n"/>
      <c r="C9431" s="7" t="n"/>
      <c r="D9431" s="7" t="n"/>
      <c r="E9431" s="7" t="n"/>
      <c r="F9431" s="7" t="n"/>
      <c r="G9431" s="7" t="n"/>
      <c r="H9431" s="7" t="n"/>
      <c r="I9431" s="7" t="n"/>
      <c r="J9431" s="7" t="n"/>
      <c r="K9431">
        <f>IF(D9431="Legitimate Interest (GDPR Art. 6(1)(f))", "Yes / Required (Sheet 3)", "")</f>
        <v/>
      </c>
      <c r="L9431" s="7" t="n"/>
      <c r="M9431" s="7" t="n"/>
      <c r="N9431">
        <f>IF(D9431="", "Gap - No Legal Basis", IF(AND(D9431="Consent (GDPR Art. 6(1)(a))", I9431="Not Captured"), "Gap - Invalid Consent", IF(AND(D9431="Legitimate Interest (GDPR Art. 6(1)(f))", L9431=""), "Gap - Missing LIA", IF(AND(G9431="Yes", H9431=""), "Gap - Missing Art. 9 Basis", IF(OR(I9431="Invalid - Not Freely Given", I9431="Invalid - Not Specific", I9431="Invalid - Not Informed", I9431="Invalid - Ambiguous"), "Gap - Invalid Consent", "Compliant")))))</f>
        <v/>
      </c>
      <c r="O9431" s="7" t="n"/>
    </row>
    <row r="9432">
      <c r="A9432" s="7" t="n"/>
      <c r="B9432" s="7" t="n"/>
      <c r="C9432" s="7" t="n"/>
      <c r="D9432" s="7" t="n"/>
      <c r="E9432" s="7" t="n"/>
      <c r="F9432" s="7" t="n"/>
      <c r="G9432" s="7" t="n"/>
      <c r="H9432" s="7" t="n"/>
      <c r="I9432" s="7" t="n"/>
      <c r="J9432" s="7" t="n"/>
      <c r="K9432">
        <f>IF(D9432="Legitimate Interest (GDPR Art. 6(1)(f))", "Yes / Required (Sheet 3)", "")</f>
        <v/>
      </c>
      <c r="L9432" s="7" t="n"/>
      <c r="M9432" s="7" t="n"/>
      <c r="N9432">
        <f>IF(D9432="", "Gap - No Legal Basis", IF(AND(D9432="Consent (GDPR Art. 6(1)(a))", I9432="Not Captured"), "Gap - Invalid Consent", IF(AND(D9432="Legitimate Interest (GDPR Art. 6(1)(f))", L9432=""), "Gap - Missing LIA", IF(AND(G9432="Yes", H9432=""), "Gap - Missing Art. 9 Basis", IF(OR(I9432="Invalid - Not Freely Given", I9432="Invalid - Not Specific", I9432="Invalid - Not Informed", I9432="Invalid - Ambiguous"), "Gap - Invalid Consent", "Compliant")))))</f>
        <v/>
      </c>
      <c r="O9432" s="7" t="n"/>
    </row>
    <row r="9433">
      <c r="A9433" s="7" t="n"/>
      <c r="B9433" s="7" t="n"/>
      <c r="C9433" s="7" t="n"/>
      <c r="D9433" s="7" t="n"/>
      <c r="E9433" s="7" t="n"/>
      <c r="F9433" s="7" t="n"/>
      <c r="G9433" s="7" t="n"/>
      <c r="H9433" s="7" t="n"/>
      <c r="I9433" s="7" t="n"/>
      <c r="J9433" s="7" t="n"/>
      <c r="K9433">
        <f>IF(D9433="Legitimate Interest (GDPR Art. 6(1)(f))", "Yes / Required (Sheet 3)", "")</f>
        <v/>
      </c>
      <c r="L9433" s="7" t="n"/>
      <c r="M9433" s="7" t="n"/>
      <c r="N9433">
        <f>IF(D9433="", "Gap - No Legal Basis", IF(AND(D9433="Consent (GDPR Art. 6(1)(a))", I9433="Not Captured"), "Gap - Invalid Consent", IF(AND(D9433="Legitimate Interest (GDPR Art. 6(1)(f))", L9433=""), "Gap - Missing LIA", IF(AND(G9433="Yes", H9433=""), "Gap - Missing Art. 9 Basis", IF(OR(I9433="Invalid - Not Freely Given", I9433="Invalid - Not Specific", I9433="Invalid - Not Informed", I9433="Invalid - Ambiguous"), "Gap - Invalid Consent", "Compliant")))))</f>
        <v/>
      </c>
      <c r="O9433" s="7" t="n"/>
    </row>
    <row r="9434">
      <c r="A9434" s="7" t="n"/>
      <c r="B9434" s="7" t="n"/>
      <c r="C9434" s="7" t="n"/>
      <c r="D9434" s="7" t="n"/>
      <c r="E9434" s="7" t="n"/>
      <c r="F9434" s="7" t="n"/>
      <c r="G9434" s="7" t="n"/>
      <c r="H9434" s="7" t="n"/>
      <c r="I9434" s="7" t="n"/>
      <c r="J9434" s="7" t="n"/>
      <c r="K9434">
        <f>IF(D9434="Legitimate Interest (GDPR Art. 6(1)(f))", "Yes / Required (Sheet 3)", "")</f>
        <v/>
      </c>
      <c r="L9434" s="7" t="n"/>
      <c r="M9434" s="7" t="n"/>
      <c r="N9434">
        <f>IF(D9434="", "Gap - No Legal Basis", IF(AND(D9434="Consent (GDPR Art. 6(1)(a))", I9434="Not Captured"), "Gap - Invalid Consent", IF(AND(D9434="Legitimate Interest (GDPR Art. 6(1)(f))", L9434=""), "Gap - Missing LIA", IF(AND(G9434="Yes", H9434=""), "Gap - Missing Art. 9 Basis", IF(OR(I9434="Invalid - Not Freely Given", I9434="Invalid - Not Specific", I9434="Invalid - Not Informed", I9434="Invalid - Ambiguous"), "Gap - Invalid Consent", "Compliant")))))</f>
        <v/>
      </c>
      <c r="O9434" s="7" t="n"/>
    </row>
    <row r="9435">
      <c r="A9435" s="7" t="n"/>
      <c r="B9435" s="7" t="n"/>
      <c r="C9435" s="7" t="n"/>
      <c r="D9435" s="7" t="n"/>
      <c r="E9435" s="7" t="n"/>
      <c r="F9435" s="7" t="n"/>
      <c r="G9435" s="7" t="n"/>
      <c r="H9435" s="7" t="n"/>
      <c r="I9435" s="7" t="n"/>
      <c r="J9435" s="7" t="n"/>
      <c r="K9435">
        <f>IF(D9435="Legitimate Interest (GDPR Art. 6(1)(f))", "Yes / Required (Sheet 3)", "")</f>
        <v/>
      </c>
      <c r="L9435" s="7" t="n"/>
      <c r="M9435" s="7" t="n"/>
      <c r="N9435">
        <f>IF(D9435="", "Gap - No Legal Basis", IF(AND(D9435="Consent (GDPR Art. 6(1)(a))", I9435="Not Captured"), "Gap - Invalid Consent", IF(AND(D9435="Legitimate Interest (GDPR Art. 6(1)(f))", L9435=""), "Gap - Missing LIA", IF(AND(G9435="Yes", H9435=""), "Gap - Missing Art. 9 Basis", IF(OR(I9435="Invalid - Not Freely Given", I9435="Invalid - Not Specific", I9435="Invalid - Not Informed", I9435="Invalid - Ambiguous"), "Gap - Invalid Consent", "Compliant")))))</f>
        <v/>
      </c>
      <c r="O9435" s="7" t="n"/>
    </row>
    <row r="9436">
      <c r="A9436" s="7" t="n"/>
      <c r="B9436" s="7" t="n"/>
      <c r="C9436" s="7" t="n"/>
      <c r="D9436" s="7" t="n"/>
      <c r="E9436" s="7" t="n"/>
      <c r="F9436" s="7" t="n"/>
      <c r="G9436" s="7" t="n"/>
      <c r="H9436" s="7" t="n"/>
      <c r="I9436" s="7" t="n"/>
      <c r="J9436" s="7" t="n"/>
      <c r="K9436">
        <f>IF(D9436="Legitimate Interest (GDPR Art. 6(1)(f))", "Yes / Required (Sheet 3)", "")</f>
        <v/>
      </c>
      <c r="L9436" s="7" t="n"/>
      <c r="M9436" s="7" t="n"/>
      <c r="N9436">
        <f>IF(D9436="", "Gap - No Legal Basis", IF(AND(D9436="Consent (GDPR Art. 6(1)(a))", I9436="Not Captured"), "Gap - Invalid Consent", IF(AND(D9436="Legitimate Interest (GDPR Art. 6(1)(f))", L9436=""), "Gap - Missing LIA", IF(AND(G9436="Yes", H9436=""), "Gap - Missing Art. 9 Basis", IF(OR(I9436="Invalid - Not Freely Given", I9436="Invalid - Not Specific", I9436="Invalid - Not Informed", I9436="Invalid - Ambiguous"), "Gap - Invalid Consent", "Compliant")))))</f>
        <v/>
      </c>
      <c r="O9436" s="7" t="n"/>
    </row>
    <row r="9437">
      <c r="A9437" s="7" t="n"/>
      <c r="B9437" s="7" t="n"/>
      <c r="C9437" s="7" t="n"/>
      <c r="D9437" s="7" t="n"/>
      <c r="E9437" s="7" t="n"/>
      <c r="F9437" s="7" t="n"/>
      <c r="G9437" s="7" t="n"/>
      <c r="H9437" s="7" t="n"/>
      <c r="I9437" s="7" t="n"/>
      <c r="J9437" s="7" t="n"/>
      <c r="K9437">
        <f>IF(D9437="Legitimate Interest (GDPR Art. 6(1)(f))", "Yes / Required (Sheet 3)", "")</f>
        <v/>
      </c>
      <c r="L9437" s="7" t="n"/>
      <c r="M9437" s="7" t="n"/>
      <c r="N9437">
        <f>IF(D9437="", "Gap - No Legal Basis", IF(AND(D9437="Consent (GDPR Art. 6(1)(a))", I9437="Not Captured"), "Gap - Invalid Consent", IF(AND(D9437="Legitimate Interest (GDPR Art. 6(1)(f))", L9437=""), "Gap - Missing LIA", IF(AND(G9437="Yes", H9437=""), "Gap - Missing Art. 9 Basis", IF(OR(I9437="Invalid - Not Freely Given", I9437="Invalid - Not Specific", I9437="Invalid - Not Informed", I9437="Invalid - Ambiguous"), "Gap - Invalid Consent", "Compliant")))))</f>
        <v/>
      </c>
      <c r="O9437" s="7" t="n"/>
    </row>
    <row r="9438">
      <c r="A9438" s="7" t="n"/>
      <c r="B9438" s="7" t="n"/>
      <c r="C9438" s="7" t="n"/>
      <c r="D9438" s="7" t="n"/>
      <c r="E9438" s="7" t="n"/>
      <c r="F9438" s="7" t="n"/>
      <c r="G9438" s="7" t="n"/>
      <c r="H9438" s="7" t="n"/>
      <c r="I9438" s="7" t="n"/>
      <c r="J9438" s="7" t="n"/>
      <c r="K9438">
        <f>IF(D9438="Legitimate Interest (GDPR Art. 6(1)(f))", "Yes / Required (Sheet 3)", "")</f>
        <v/>
      </c>
      <c r="L9438" s="7" t="n"/>
      <c r="M9438" s="7" t="n"/>
      <c r="N9438">
        <f>IF(D9438="", "Gap - No Legal Basis", IF(AND(D9438="Consent (GDPR Art. 6(1)(a))", I9438="Not Captured"), "Gap - Invalid Consent", IF(AND(D9438="Legitimate Interest (GDPR Art. 6(1)(f))", L9438=""), "Gap - Missing LIA", IF(AND(G9438="Yes", H9438=""), "Gap - Missing Art. 9 Basis", IF(OR(I9438="Invalid - Not Freely Given", I9438="Invalid - Not Specific", I9438="Invalid - Not Informed", I9438="Invalid - Ambiguous"), "Gap - Invalid Consent", "Compliant")))))</f>
        <v/>
      </c>
      <c r="O9438" s="7" t="n"/>
    </row>
    <row r="9439">
      <c r="A9439" s="7" t="n"/>
      <c r="B9439" s="7" t="n"/>
      <c r="C9439" s="7" t="n"/>
      <c r="D9439" s="7" t="n"/>
      <c r="E9439" s="7" t="n"/>
      <c r="F9439" s="7" t="n"/>
      <c r="G9439" s="7" t="n"/>
      <c r="H9439" s="7" t="n"/>
      <c r="I9439" s="7" t="n"/>
      <c r="J9439" s="7" t="n"/>
      <c r="K9439">
        <f>IF(D9439="Legitimate Interest (GDPR Art. 6(1)(f))", "Yes / Required (Sheet 3)", "")</f>
        <v/>
      </c>
      <c r="L9439" s="7" t="n"/>
      <c r="M9439" s="7" t="n"/>
      <c r="N9439">
        <f>IF(D9439="", "Gap - No Legal Basis", IF(AND(D9439="Consent (GDPR Art. 6(1)(a))", I9439="Not Captured"), "Gap - Invalid Consent", IF(AND(D9439="Legitimate Interest (GDPR Art. 6(1)(f))", L9439=""), "Gap - Missing LIA", IF(AND(G9439="Yes", H9439=""), "Gap - Missing Art. 9 Basis", IF(OR(I9439="Invalid - Not Freely Given", I9439="Invalid - Not Specific", I9439="Invalid - Not Informed", I9439="Invalid - Ambiguous"), "Gap - Invalid Consent", "Compliant")))))</f>
        <v/>
      </c>
      <c r="O9439" s="7" t="n"/>
    </row>
    <row r="9440">
      <c r="A9440" s="7" t="n"/>
      <c r="B9440" s="7" t="n"/>
      <c r="C9440" s="7" t="n"/>
      <c r="D9440" s="7" t="n"/>
      <c r="E9440" s="7" t="n"/>
      <c r="F9440" s="7" t="n"/>
      <c r="G9440" s="7" t="n"/>
      <c r="H9440" s="7" t="n"/>
      <c r="I9440" s="7" t="n"/>
      <c r="J9440" s="7" t="n"/>
      <c r="K9440">
        <f>IF(D9440="Legitimate Interest (GDPR Art. 6(1)(f))", "Yes / Required (Sheet 3)", "")</f>
        <v/>
      </c>
      <c r="L9440" s="7" t="n"/>
      <c r="M9440" s="7" t="n"/>
      <c r="N9440">
        <f>IF(D9440="", "Gap - No Legal Basis", IF(AND(D9440="Consent (GDPR Art. 6(1)(a))", I9440="Not Captured"), "Gap - Invalid Consent", IF(AND(D9440="Legitimate Interest (GDPR Art. 6(1)(f))", L9440=""), "Gap - Missing LIA", IF(AND(G9440="Yes", H9440=""), "Gap - Missing Art. 9 Basis", IF(OR(I9440="Invalid - Not Freely Given", I9440="Invalid - Not Specific", I9440="Invalid - Not Informed", I9440="Invalid - Ambiguous"), "Gap - Invalid Consent", "Compliant")))))</f>
        <v/>
      </c>
      <c r="O9440" s="7" t="n"/>
    </row>
    <row r="9441">
      <c r="A9441" s="7" t="n"/>
      <c r="B9441" s="7" t="n"/>
      <c r="C9441" s="7" t="n"/>
      <c r="D9441" s="7" t="n"/>
      <c r="E9441" s="7" t="n"/>
      <c r="F9441" s="7" t="n"/>
      <c r="G9441" s="7" t="n"/>
      <c r="H9441" s="7" t="n"/>
      <c r="I9441" s="7" t="n"/>
      <c r="J9441" s="7" t="n"/>
      <c r="K9441">
        <f>IF(D9441="Legitimate Interest (GDPR Art. 6(1)(f))", "Yes / Required (Sheet 3)", "")</f>
        <v/>
      </c>
      <c r="L9441" s="7" t="n"/>
      <c r="M9441" s="7" t="n"/>
      <c r="N9441">
        <f>IF(D9441="", "Gap - No Legal Basis", IF(AND(D9441="Consent (GDPR Art. 6(1)(a))", I9441="Not Captured"), "Gap - Invalid Consent", IF(AND(D9441="Legitimate Interest (GDPR Art. 6(1)(f))", L9441=""), "Gap - Missing LIA", IF(AND(G9441="Yes", H9441=""), "Gap - Missing Art. 9 Basis", IF(OR(I9441="Invalid - Not Freely Given", I9441="Invalid - Not Specific", I9441="Invalid - Not Informed", I9441="Invalid - Ambiguous"), "Gap - Invalid Consent", "Compliant")))))</f>
        <v/>
      </c>
      <c r="O9441" s="7" t="n"/>
    </row>
    <row r="9442">
      <c r="A9442" s="7" t="n"/>
      <c r="B9442" s="7" t="n"/>
      <c r="C9442" s="7" t="n"/>
      <c r="D9442" s="7" t="n"/>
      <c r="E9442" s="7" t="n"/>
      <c r="F9442" s="7" t="n"/>
      <c r="G9442" s="7" t="n"/>
      <c r="H9442" s="7" t="n"/>
      <c r="I9442" s="7" t="n"/>
      <c r="J9442" s="7" t="n"/>
      <c r="K9442">
        <f>IF(D9442="Legitimate Interest (GDPR Art. 6(1)(f))", "Yes / Required (Sheet 3)", "")</f>
        <v/>
      </c>
      <c r="L9442" s="7" t="n"/>
      <c r="M9442" s="7" t="n"/>
      <c r="N9442">
        <f>IF(D9442="", "Gap - No Legal Basis", IF(AND(D9442="Consent (GDPR Art. 6(1)(a))", I9442="Not Captured"), "Gap - Invalid Consent", IF(AND(D9442="Legitimate Interest (GDPR Art. 6(1)(f))", L9442=""), "Gap - Missing LIA", IF(AND(G9442="Yes", H9442=""), "Gap - Missing Art. 9 Basis", IF(OR(I9442="Invalid - Not Freely Given", I9442="Invalid - Not Specific", I9442="Invalid - Not Informed", I9442="Invalid - Ambiguous"), "Gap - Invalid Consent", "Compliant")))))</f>
        <v/>
      </c>
      <c r="O9442" s="7" t="n"/>
    </row>
    <row r="9443">
      <c r="A9443" s="7" t="n"/>
      <c r="B9443" s="7" t="n"/>
      <c r="C9443" s="7" t="n"/>
      <c r="D9443" s="7" t="n"/>
      <c r="E9443" s="7" t="n"/>
      <c r="F9443" s="7" t="n"/>
      <c r="G9443" s="7" t="n"/>
      <c r="H9443" s="7" t="n"/>
      <c r="I9443" s="7" t="n"/>
      <c r="J9443" s="7" t="n"/>
      <c r="K9443">
        <f>IF(D9443="Legitimate Interest (GDPR Art. 6(1)(f))", "Yes / Required (Sheet 3)", "")</f>
        <v/>
      </c>
      <c r="L9443" s="7" t="n"/>
      <c r="M9443" s="7" t="n"/>
      <c r="N9443">
        <f>IF(D9443="", "Gap - No Legal Basis", IF(AND(D9443="Consent (GDPR Art. 6(1)(a))", I9443="Not Captured"), "Gap - Invalid Consent", IF(AND(D9443="Legitimate Interest (GDPR Art. 6(1)(f))", L9443=""), "Gap - Missing LIA", IF(AND(G9443="Yes", H9443=""), "Gap - Missing Art. 9 Basis", IF(OR(I9443="Invalid - Not Freely Given", I9443="Invalid - Not Specific", I9443="Invalid - Not Informed", I9443="Invalid - Ambiguous"), "Gap - Invalid Consent", "Compliant")))))</f>
        <v/>
      </c>
      <c r="O9443" s="7" t="n"/>
    </row>
    <row r="9444">
      <c r="A9444" s="7" t="n"/>
      <c r="B9444" s="7" t="n"/>
      <c r="C9444" s="7" t="n"/>
      <c r="D9444" s="7" t="n"/>
      <c r="E9444" s="7" t="n"/>
      <c r="F9444" s="7" t="n"/>
      <c r="G9444" s="7" t="n"/>
      <c r="H9444" s="7" t="n"/>
      <c r="I9444" s="7" t="n"/>
      <c r="J9444" s="7" t="n"/>
      <c r="K9444">
        <f>IF(D9444="Legitimate Interest (GDPR Art. 6(1)(f))", "Yes / Required (Sheet 3)", "")</f>
        <v/>
      </c>
      <c r="L9444" s="7" t="n"/>
      <c r="M9444" s="7" t="n"/>
      <c r="N9444">
        <f>IF(D9444="", "Gap - No Legal Basis", IF(AND(D9444="Consent (GDPR Art. 6(1)(a))", I9444="Not Captured"), "Gap - Invalid Consent", IF(AND(D9444="Legitimate Interest (GDPR Art. 6(1)(f))", L9444=""), "Gap - Missing LIA", IF(AND(G9444="Yes", H9444=""), "Gap - Missing Art. 9 Basis", IF(OR(I9444="Invalid - Not Freely Given", I9444="Invalid - Not Specific", I9444="Invalid - Not Informed", I9444="Invalid - Ambiguous"), "Gap - Invalid Consent", "Compliant")))))</f>
        <v/>
      </c>
      <c r="O9444" s="7" t="n"/>
    </row>
    <row r="9445">
      <c r="A9445" s="7" t="n"/>
      <c r="B9445" s="7" t="n"/>
      <c r="C9445" s="7" t="n"/>
      <c r="D9445" s="7" t="n"/>
      <c r="E9445" s="7" t="n"/>
      <c r="F9445" s="7" t="n"/>
      <c r="G9445" s="7" t="n"/>
      <c r="H9445" s="7" t="n"/>
      <c r="I9445" s="7" t="n"/>
      <c r="J9445" s="7" t="n"/>
      <c r="K9445">
        <f>IF(D9445="Legitimate Interest (GDPR Art. 6(1)(f))", "Yes / Required (Sheet 3)", "")</f>
        <v/>
      </c>
      <c r="L9445" s="7" t="n"/>
      <c r="M9445" s="7" t="n"/>
      <c r="N9445">
        <f>IF(D9445="", "Gap - No Legal Basis", IF(AND(D9445="Consent (GDPR Art. 6(1)(a))", I9445="Not Captured"), "Gap - Invalid Consent", IF(AND(D9445="Legitimate Interest (GDPR Art. 6(1)(f))", L9445=""), "Gap - Missing LIA", IF(AND(G9445="Yes", H9445=""), "Gap - Missing Art. 9 Basis", IF(OR(I9445="Invalid - Not Freely Given", I9445="Invalid - Not Specific", I9445="Invalid - Not Informed", I9445="Invalid - Ambiguous"), "Gap - Invalid Consent", "Compliant")))))</f>
        <v/>
      </c>
      <c r="O9445" s="7" t="n"/>
    </row>
    <row r="9446">
      <c r="A9446" s="7" t="n"/>
      <c r="B9446" s="7" t="n"/>
      <c r="C9446" s="7" t="n"/>
      <c r="D9446" s="7" t="n"/>
      <c r="E9446" s="7" t="n"/>
      <c r="F9446" s="7" t="n"/>
      <c r="G9446" s="7" t="n"/>
      <c r="H9446" s="7" t="n"/>
      <c r="I9446" s="7" t="n"/>
      <c r="J9446" s="7" t="n"/>
      <c r="K9446">
        <f>IF(D9446="Legitimate Interest (GDPR Art. 6(1)(f))", "Yes / Required (Sheet 3)", "")</f>
        <v/>
      </c>
      <c r="L9446" s="7" t="n"/>
      <c r="M9446" s="7" t="n"/>
      <c r="N9446">
        <f>IF(D9446="", "Gap - No Legal Basis", IF(AND(D9446="Consent (GDPR Art. 6(1)(a))", I9446="Not Captured"), "Gap - Invalid Consent", IF(AND(D9446="Legitimate Interest (GDPR Art. 6(1)(f))", L9446=""), "Gap - Missing LIA", IF(AND(G9446="Yes", H9446=""), "Gap - Missing Art. 9 Basis", IF(OR(I9446="Invalid - Not Freely Given", I9446="Invalid - Not Specific", I9446="Invalid - Not Informed", I9446="Invalid - Ambiguous"), "Gap - Invalid Consent", "Compliant")))))</f>
        <v/>
      </c>
      <c r="O9446" s="7" t="n"/>
    </row>
    <row r="9447">
      <c r="A9447" s="7" t="n"/>
      <c r="B9447" s="7" t="n"/>
      <c r="C9447" s="7" t="n"/>
      <c r="D9447" s="7" t="n"/>
      <c r="E9447" s="7" t="n"/>
      <c r="F9447" s="7" t="n"/>
      <c r="G9447" s="7" t="n"/>
      <c r="H9447" s="7" t="n"/>
      <c r="I9447" s="7" t="n"/>
      <c r="J9447" s="7" t="n"/>
      <c r="K9447">
        <f>IF(D9447="Legitimate Interest (GDPR Art. 6(1)(f))", "Yes / Required (Sheet 3)", "")</f>
        <v/>
      </c>
      <c r="L9447" s="7" t="n"/>
      <c r="M9447" s="7" t="n"/>
      <c r="N9447">
        <f>IF(D9447="", "Gap - No Legal Basis", IF(AND(D9447="Consent (GDPR Art. 6(1)(a))", I9447="Not Captured"), "Gap - Invalid Consent", IF(AND(D9447="Legitimate Interest (GDPR Art. 6(1)(f))", L9447=""), "Gap - Missing LIA", IF(AND(G9447="Yes", H9447=""), "Gap - Missing Art. 9 Basis", IF(OR(I9447="Invalid - Not Freely Given", I9447="Invalid - Not Specific", I9447="Invalid - Not Informed", I9447="Invalid - Ambiguous"), "Gap - Invalid Consent", "Compliant")))))</f>
        <v/>
      </c>
      <c r="O9447" s="7" t="n"/>
    </row>
    <row r="9448">
      <c r="A9448" s="7" t="n"/>
      <c r="B9448" s="7" t="n"/>
      <c r="C9448" s="7" t="n"/>
      <c r="D9448" s="7" t="n"/>
      <c r="E9448" s="7" t="n"/>
      <c r="F9448" s="7" t="n"/>
      <c r="G9448" s="7" t="n"/>
      <c r="H9448" s="7" t="n"/>
      <c r="I9448" s="7" t="n"/>
      <c r="J9448" s="7" t="n"/>
      <c r="K9448">
        <f>IF(D9448="Legitimate Interest (GDPR Art. 6(1)(f))", "Yes / Required (Sheet 3)", "")</f>
        <v/>
      </c>
      <c r="L9448" s="7" t="n"/>
      <c r="M9448" s="7" t="n"/>
      <c r="N9448">
        <f>IF(D9448="", "Gap - No Legal Basis", IF(AND(D9448="Consent (GDPR Art. 6(1)(a))", I9448="Not Captured"), "Gap - Invalid Consent", IF(AND(D9448="Legitimate Interest (GDPR Art. 6(1)(f))", L9448=""), "Gap - Missing LIA", IF(AND(G9448="Yes", H9448=""), "Gap - Missing Art. 9 Basis", IF(OR(I9448="Invalid - Not Freely Given", I9448="Invalid - Not Specific", I9448="Invalid - Not Informed", I9448="Invalid - Ambiguous"), "Gap - Invalid Consent", "Compliant")))))</f>
        <v/>
      </c>
      <c r="O9448" s="7" t="n"/>
    </row>
    <row r="9449">
      <c r="A9449" s="7" t="n"/>
      <c r="B9449" s="7" t="n"/>
      <c r="C9449" s="7" t="n"/>
      <c r="D9449" s="7" t="n"/>
      <c r="E9449" s="7" t="n"/>
      <c r="F9449" s="7" t="n"/>
      <c r="G9449" s="7" t="n"/>
      <c r="H9449" s="7" t="n"/>
      <c r="I9449" s="7" t="n"/>
      <c r="J9449" s="7" t="n"/>
      <c r="K9449">
        <f>IF(D9449="Legitimate Interest (GDPR Art. 6(1)(f))", "Yes / Required (Sheet 3)", "")</f>
        <v/>
      </c>
      <c r="L9449" s="7" t="n"/>
      <c r="M9449" s="7" t="n"/>
      <c r="N9449">
        <f>IF(D9449="", "Gap - No Legal Basis", IF(AND(D9449="Consent (GDPR Art. 6(1)(a))", I9449="Not Captured"), "Gap - Invalid Consent", IF(AND(D9449="Legitimate Interest (GDPR Art. 6(1)(f))", L9449=""), "Gap - Missing LIA", IF(AND(G9449="Yes", H9449=""), "Gap - Missing Art. 9 Basis", IF(OR(I9449="Invalid - Not Freely Given", I9449="Invalid - Not Specific", I9449="Invalid - Not Informed", I9449="Invalid - Ambiguous"), "Gap - Invalid Consent", "Compliant")))))</f>
        <v/>
      </c>
      <c r="O9449" s="7" t="n"/>
    </row>
    <row r="9450">
      <c r="A9450" s="7" t="n"/>
      <c r="B9450" s="7" t="n"/>
      <c r="C9450" s="7" t="n"/>
      <c r="D9450" s="7" t="n"/>
      <c r="E9450" s="7" t="n"/>
      <c r="F9450" s="7" t="n"/>
      <c r="G9450" s="7" t="n"/>
      <c r="H9450" s="7" t="n"/>
      <c r="I9450" s="7" t="n"/>
      <c r="J9450" s="7" t="n"/>
      <c r="K9450">
        <f>IF(D9450="Legitimate Interest (GDPR Art. 6(1)(f))", "Yes / Required (Sheet 3)", "")</f>
        <v/>
      </c>
      <c r="L9450" s="7" t="n"/>
      <c r="M9450" s="7" t="n"/>
      <c r="N9450">
        <f>IF(D9450="", "Gap - No Legal Basis", IF(AND(D9450="Consent (GDPR Art. 6(1)(a))", I9450="Not Captured"), "Gap - Invalid Consent", IF(AND(D9450="Legitimate Interest (GDPR Art. 6(1)(f))", L9450=""), "Gap - Missing LIA", IF(AND(G9450="Yes", H9450=""), "Gap - Missing Art. 9 Basis", IF(OR(I9450="Invalid - Not Freely Given", I9450="Invalid - Not Specific", I9450="Invalid - Not Informed", I9450="Invalid - Ambiguous"), "Gap - Invalid Consent", "Compliant")))))</f>
        <v/>
      </c>
      <c r="O9450" s="7" t="n"/>
    </row>
    <row r="9451">
      <c r="A9451" s="7" t="n"/>
      <c r="B9451" s="7" t="n"/>
      <c r="C9451" s="7" t="n"/>
      <c r="D9451" s="7" t="n"/>
      <c r="E9451" s="7" t="n"/>
      <c r="F9451" s="7" t="n"/>
      <c r="G9451" s="7" t="n"/>
      <c r="H9451" s="7" t="n"/>
      <c r="I9451" s="7" t="n"/>
      <c r="J9451" s="7" t="n"/>
      <c r="K9451">
        <f>IF(D9451="Legitimate Interest (GDPR Art. 6(1)(f))", "Yes / Required (Sheet 3)", "")</f>
        <v/>
      </c>
      <c r="L9451" s="7" t="n"/>
      <c r="M9451" s="7" t="n"/>
      <c r="N9451">
        <f>IF(D9451="", "Gap - No Legal Basis", IF(AND(D9451="Consent (GDPR Art. 6(1)(a))", I9451="Not Captured"), "Gap - Invalid Consent", IF(AND(D9451="Legitimate Interest (GDPR Art. 6(1)(f))", L9451=""), "Gap - Missing LIA", IF(AND(G9451="Yes", H9451=""), "Gap - Missing Art. 9 Basis", IF(OR(I9451="Invalid - Not Freely Given", I9451="Invalid - Not Specific", I9451="Invalid - Not Informed", I9451="Invalid - Ambiguous"), "Gap - Invalid Consent", "Compliant")))))</f>
        <v/>
      </c>
      <c r="O9451" s="7" t="n"/>
    </row>
    <row r="9452">
      <c r="A9452" s="7" t="n"/>
      <c r="B9452" s="7" t="n"/>
      <c r="C9452" s="7" t="n"/>
      <c r="D9452" s="7" t="n"/>
      <c r="E9452" s="7" t="n"/>
      <c r="F9452" s="7" t="n"/>
      <c r="G9452" s="7" t="n"/>
      <c r="H9452" s="7" t="n"/>
      <c r="I9452" s="7" t="n"/>
      <c r="J9452" s="7" t="n"/>
      <c r="K9452">
        <f>IF(D9452="Legitimate Interest (GDPR Art. 6(1)(f))", "Yes / Required (Sheet 3)", "")</f>
        <v/>
      </c>
      <c r="L9452" s="7" t="n"/>
      <c r="M9452" s="7" t="n"/>
      <c r="N9452">
        <f>IF(D9452="", "Gap - No Legal Basis", IF(AND(D9452="Consent (GDPR Art. 6(1)(a))", I9452="Not Captured"), "Gap - Invalid Consent", IF(AND(D9452="Legitimate Interest (GDPR Art. 6(1)(f))", L9452=""), "Gap - Missing LIA", IF(AND(G9452="Yes", H9452=""), "Gap - Missing Art. 9 Basis", IF(OR(I9452="Invalid - Not Freely Given", I9452="Invalid - Not Specific", I9452="Invalid - Not Informed", I9452="Invalid - Ambiguous"), "Gap - Invalid Consent", "Compliant")))))</f>
        <v/>
      </c>
      <c r="O9452" s="7" t="n"/>
    </row>
    <row r="9453">
      <c r="A9453" s="7" t="n"/>
      <c r="B9453" s="7" t="n"/>
      <c r="C9453" s="7" t="n"/>
      <c r="D9453" s="7" t="n"/>
      <c r="E9453" s="7" t="n"/>
      <c r="F9453" s="7" t="n"/>
      <c r="G9453" s="7" t="n"/>
      <c r="H9453" s="7" t="n"/>
      <c r="I9453" s="7" t="n"/>
      <c r="J9453" s="7" t="n"/>
      <c r="K9453">
        <f>IF(D9453="Legitimate Interest (GDPR Art. 6(1)(f))", "Yes / Required (Sheet 3)", "")</f>
        <v/>
      </c>
      <c r="L9453" s="7" t="n"/>
      <c r="M9453" s="7" t="n"/>
      <c r="N9453">
        <f>IF(D9453="", "Gap - No Legal Basis", IF(AND(D9453="Consent (GDPR Art. 6(1)(a))", I9453="Not Captured"), "Gap - Invalid Consent", IF(AND(D9453="Legitimate Interest (GDPR Art. 6(1)(f))", L9453=""), "Gap - Missing LIA", IF(AND(G9453="Yes", H9453=""), "Gap - Missing Art. 9 Basis", IF(OR(I9453="Invalid - Not Freely Given", I9453="Invalid - Not Specific", I9453="Invalid - Not Informed", I9453="Invalid - Ambiguous"), "Gap - Invalid Consent", "Compliant")))))</f>
        <v/>
      </c>
      <c r="O9453" s="7" t="n"/>
    </row>
    <row r="9454">
      <c r="A9454" s="7" t="n"/>
      <c r="B9454" s="7" t="n"/>
      <c r="C9454" s="7" t="n"/>
      <c r="D9454" s="7" t="n"/>
      <c r="E9454" s="7" t="n"/>
      <c r="F9454" s="7" t="n"/>
      <c r="G9454" s="7" t="n"/>
      <c r="H9454" s="7" t="n"/>
      <c r="I9454" s="7" t="n"/>
      <c r="J9454" s="7" t="n"/>
      <c r="K9454">
        <f>IF(D9454="Legitimate Interest (GDPR Art. 6(1)(f))", "Yes / Required (Sheet 3)", "")</f>
        <v/>
      </c>
      <c r="L9454" s="7" t="n"/>
      <c r="M9454" s="7" t="n"/>
      <c r="N9454">
        <f>IF(D9454="", "Gap - No Legal Basis", IF(AND(D9454="Consent (GDPR Art. 6(1)(a))", I9454="Not Captured"), "Gap - Invalid Consent", IF(AND(D9454="Legitimate Interest (GDPR Art. 6(1)(f))", L9454=""), "Gap - Missing LIA", IF(AND(G9454="Yes", H9454=""), "Gap - Missing Art. 9 Basis", IF(OR(I9454="Invalid - Not Freely Given", I9454="Invalid - Not Specific", I9454="Invalid - Not Informed", I9454="Invalid - Ambiguous"), "Gap - Invalid Consent", "Compliant")))))</f>
        <v/>
      </c>
      <c r="O9454" s="7" t="n"/>
    </row>
    <row r="9455">
      <c r="A9455" s="7" t="n"/>
      <c r="B9455" s="7" t="n"/>
      <c r="C9455" s="7" t="n"/>
      <c r="D9455" s="7" t="n"/>
      <c r="E9455" s="7" t="n"/>
      <c r="F9455" s="7" t="n"/>
      <c r="G9455" s="7" t="n"/>
      <c r="H9455" s="7" t="n"/>
      <c r="I9455" s="7" t="n"/>
      <c r="J9455" s="7" t="n"/>
      <c r="K9455">
        <f>IF(D9455="Legitimate Interest (GDPR Art. 6(1)(f))", "Yes / Required (Sheet 3)", "")</f>
        <v/>
      </c>
      <c r="L9455" s="7" t="n"/>
      <c r="M9455" s="7" t="n"/>
      <c r="N9455">
        <f>IF(D9455="", "Gap - No Legal Basis", IF(AND(D9455="Consent (GDPR Art. 6(1)(a))", I9455="Not Captured"), "Gap - Invalid Consent", IF(AND(D9455="Legitimate Interest (GDPR Art. 6(1)(f))", L9455=""), "Gap - Missing LIA", IF(AND(G9455="Yes", H9455=""), "Gap - Missing Art. 9 Basis", IF(OR(I9455="Invalid - Not Freely Given", I9455="Invalid - Not Specific", I9455="Invalid - Not Informed", I9455="Invalid - Ambiguous"), "Gap - Invalid Consent", "Compliant")))))</f>
        <v/>
      </c>
      <c r="O9455" s="7" t="n"/>
    </row>
    <row r="9456">
      <c r="A9456" s="7" t="n"/>
      <c r="B9456" s="7" t="n"/>
      <c r="C9456" s="7" t="n"/>
      <c r="D9456" s="7" t="n"/>
      <c r="E9456" s="7" t="n"/>
      <c r="F9456" s="7" t="n"/>
      <c r="G9456" s="7" t="n"/>
      <c r="H9456" s="7" t="n"/>
      <c r="I9456" s="7" t="n"/>
      <c r="J9456" s="7" t="n"/>
      <c r="K9456">
        <f>IF(D9456="Legitimate Interest (GDPR Art. 6(1)(f))", "Yes / Required (Sheet 3)", "")</f>
        <v/>
      </c>
      <c r="L9456" s="7" t="n"/>
      <c r="M9456" s="7" t="n"/>
      <c r="N9456">
        <f>IF(D9456="", "Gap - No Legal Basis", IF(AND(D9456="Consent (GDPR Art. 6(1)(a))", I9456="Not Captured"), "Gap - Invalid Consent", IF(AND(D9456="Legitimate Interest (GDPR Art. 6(1)(f))", L9456=""), "Gap - Missing LIA", IF(AND(G9456="Yes", H9456=""), "Gap - Missing Art. 9 Basis", IF(OR(I9456="Invalid - Not Freely Given", I9456="Invalid - Not Specific", I9456="Invalid - Not Informed", I9456="Invalid - Ambiguous"), "Gap - Invalid Consent", "Compliant")))))</f>
        <v/>
      </c>
      <c r="O9456" s="7" t="n"/>
    </row>
    <row r="9457">
      <c r="A9457" s="7" t="n"/>
      <c r="B9457" s="7" t="n"/>
      <c r="C9457" s="7" t="n"/>
      <c r="D9457" s="7" t="n"/>
      <c r="E9457" s="7" t="n"/>
      <c r="F9457" s="7" t="n"/>
      <c r="G9457" s="7" t="n"/>
      <c r="H9457" s="7" t="n"/>
      <c r="I9457" s="7" t="n"/>
      <c r="J9457" s="7" t="n"/>
      <c r="K9457">
        <f>IF(D9457="Legitimate Interest (GDPR Art. 6(1)(f))", "Yes / Required (Sheet 3)", "")</f>
        <v/>
      </c>
      <c r="L9457" s="7" t="n"/>
      <c r="M9457" s="7" t="n"/>
      <c r="N9457">
        <f>IF(D9457="", "Gap - No Legal Basis", IF(AND(D9457="Consent (GDPR Art. 6(1)(a))", I9457="Not Captured"), "Gap - Invalid Consent", IF(AND(D9457="Legitimate Interest (GDPR Art. 6(1)(f))", L9457=""), "Gap - Missing LIA", IF(AND(G9457="Yes", H9457=""), "Gap - Missing Art. 9 Basis", IF(OR(I9457="Invalid - Not Freely Given", I9457="Invalid - Not Specific", I9457="Invalid - Not Informed", I9457="Invalid - Ambiguous"), "Gap - Invalid Consent", "Compliant")))))</f>
        <v/>
      </c>
      <c r="O9457" s="7" t="n"/>
    </row>
    <row r="9458">
      <c r="A9458" s="7" t="n"/>
      <c r="B9458" s="7" t="n"/>
      <c r="C9458" s="7" t="n"/>
      <c r="D9458" s="7" t="n"/>
      <c r="E9458" s="7" t="n"/>
      <c r="F9458" s="7" t="n"/>
      <c r="G9458" s="7" t="n"/>
      <c r="H9458" s="7" t="n"/>
      <c r="I9458" s="7" t="n"/>
      <c r="J9458" s="7" t="n"/>
      <c r="K9458">
        <f>IF(D9458="Legitimate Interest (GDPR Art. 6(1)(f))", "Yes / Required (Sheet 3)", "")</f>
        <v/>
      </c>
      <c r="L9458" s="7" t="n"/>
      <c r="M9458" s="7" t="n"/>
      <c r="N9458">
        <f>IF(D9458="", "Gap - No Legal Basis", IF(AND(D9458="Consent (GDPR Art. 6(1)(a))", I9458="Not Captured"), "Gap - Invalid Consent", IF(AND(D9458="Legitimate Interest (GDPR Art. 6(1)(f))", L9458=""), "Gap - Missing LIA", IF(AND(G9458="Yes", H9458=""), "Gap - Missing Art. 9 Basis", IF(OR(I9458="Invalid - Not Freely Given", I9458="Invalid - Not Specific", I9458="Invalid - Not Informed", I9458="Invalid - Ambiguous"), "Gap - Invalid Consent", "Compliant")))))</f>
        <v/>
      </c>
      <c r="O9458" s="7" t="n"/>
    </row>
    <row r="9459">
      <c r="A9459" s="7" t="n"/>
      <c r="B9459" s="7" t="n"/>
      <c r="C9459" s="7" t="n"/>
      <c r="D9459" s="7" t="n"/>
      <c r="E9459" s="7" t="n"/>
      <c r="F9459" s="7" t="n"/>
      <c r="G9459" s="7" t="n"/>
      <c r="H9459" s="7" t="n"/>
      <c r="I9459" s="7" t="n"/>
      <c r="J9459" s="7" t="n"/>
      <c r="K9459">
        <f>IF(D9459="Legitimate Interest (GDPR Art. 6(1)(f))", "Yes / Required (Sheet 3)", "")</f>
        <v/>
      </c>
      <c r="L9459" s="7" t="n"/>
      <c r="M9459" s="7" t="n"/>
      <c r="N9459">
        <f>IF(D9459="", "Gap - No Legal Basis", IF(AND(D9459="Consent (GDPR Art. 6(1)(a))", I9459="Not Captured"), "Gap - Invalid Consent", IF(AND(D9459="Legitimate Interest (GDPR Art. 6(1)(f))", L9459=""), "Gap - Missing LIA", IF(AND(G9459="Yes", H9459=""), "Gap - Missing Art. 9 Basis", IF(OR(I9459="Invalid - Not Freely Given", I9459="Invalid - Not Specific", I9459="Invalid - Not Informed", I9459="Invalid - Ambiguous"), "Gap - Invalid Consent", "Compliant")))))</f>
        <v/>
      </c>
      <c r="O9459" s="7" t="n"/>
    </row>
    <row r="9460">
      <c r="A9460" s="7" t="n"/>
      <c r="B9460" s="7" t="n"/>
      <c r="C9460" s="7" t="n"/>
      <c r="D9460" s="7" t="n"/>
      <c r="E9460" s="7" t="n"/>
      <c r="F9460" s="7" t="n"/>
      <c r="G9460" s="7" t="n"/>
      <c r="H9460" s="7" t="n"/>
      <c r="I9460" s="7" t="n"/>
      <c r="J9460" s="7" t="n"/>
      <c r="K9460">
        <f>IF(D9460="Legitimate Interest (GDPR Art. 6(1)(f))", "Yes / Required (Sheet 3)", "")</f>
        <v/>
      </c>
      <c r="L9460" s="7" t="n"/>
      <c r="M9460" s="7" t="n"/>
      <c r="N9460">
        <f>IF(D9460="", "Gap - No Legal Basis", IF(AND(D9460="Consent (GDPR Art. 6(1)(a))", I9460="Not Captured"), "Gap - Invalid Consent", IF(AND(D9460="Legitimate Interest (GDPR Art. 6(1)(f))", L9460=""), "Gap - Missing LIA", IF(AND(G9460="Yes", H9460=""), "Gap - Missing Art. 9 Basis", IF(OR(I9460="Invalid - Not Freely Given", I9460="Invalid - Not Specific", I9460="Invalid - Not Informed", I9460="Invalid - Ambiguous"), "Gap - Invalid Consent", "Compliant")))))</f>
        <v/>
      </c>
      <c r="O9460" s="7" t="n"/>
    </row>
    <row r="9461">
      <c r="A9461" s="7" t="n"/>
      <c r="B9461" s="7" t="n"/>
      <c r="C9461" s="7" t="n"/>
      <c r="D9461" s="7" t="n"/>
      <c r="E9461" s="7" t="n"/>
      <c r="F9461" s="7" t="n"/>
      <c r="G9461" s="7" t="n"/>
      <c r="H9461" s="7" t="n"/>
      <c r="I9461" s="7" t="n"/>
      <c r="J9461" s="7" t="n"/>
      <c r="K9461">
        <f>IF(D9461="Legitimate Interest (GDPR Art. 6(1)(f))", "Yes / Required (Sheet 3)", "")</f>
        <v/>
      </c>
      <c r="L9461" s="7" t="n"/>
      <c r="M9461" s="7" t="n"/>
      <c r="N9461">
        <f>IF(D9461="", "Gap - No Legal Basis", IF(AND(D9461="Consent (GDPR Art. 6(1)(a))", I9461="Not Captured"), "Gap - Invalid Consent", IF(AND(D9461="Legitimate Interest (GDPR Art. 6(1)(f))", L9461=""), "Gap - Missing LIA", IF(AND(G9461="Yes", H9461=""), "Gap - Missing Art. 9 Basis", IF(OR(I9461="Invalid - Not Freely Given", I9461="Invalid - Not Specific", I9461="Invalid - Not Informed", I9461="Invalid - Ambiguous"), "Gap - Invalid Consent", "Compliant")))))</f>
        <v/>
      </c>
      <c r="O9461" s="7" t="n"/>
    </row>
    <row r="9462">
      <c r="A9462" s="7" t="n"/>
      <c r="B9462" s="7" t="n"/>
      <c r="C9462" s="7" t="n"/>
      <c r="D9462" s="7" t="n"/>
      <c r="E9462" s="7" t="n"/>
      <c r="F9462" s="7" t="n"/>
      <c r="G9462" s="7" t="n"/>
      <c r="H9462" s="7" t="n"/>
      <c r="I9462" s="7" t="n"/>
      <c r="J9462" s="7" t="n"/>
      <c r="K9462">
        <f>IF(D9462="Legitimate Interest (GDPR Art. 6(1)(f))", "Yes / Required (Sheet 3)", "")</f>
        <v/>
      </c>
      <c r="L9462" s="7" t="n"/>
      <c r="M9462" s="7" t="n"/>
      <c r="N9462">
        <f>IF(D9462="", "Gap - No Legal Basis", IF(AND(D9462="Consent (GDPR Art. 6(1)(a))", I9462="Not Captured"), "Gap - Invalid Consent", IF(AND(D9462="Legitimate Interest (GDPR Art. 6(1)(f))", L9462=""), "Gap - Missing LIA", IF(AND(G9462="Yes", H9462=""), "Gap - Missing Art. 9 Basis", IF(OR(I9462="Invalid - Not Freely Given", I9462="Invalid - Not Specific", I9462="Invalid - Not Informed", I9462="Invalid - Ambiguous"), "Gap - Invalid Consent", "Compliant")))))</f>
        <v/>
      </c>
      <c r="O9462" s="7" t="n"/>
    </row>
    <row r="9463">
      <c r="A9463" s="7" t="n"/>
      <c r="B9463" s="7" t="n"/>
      <c r="C9463" s="7" t="n"/>
      <c r="D9463" s="7" t="n"/>
      <c r="E9463" s="7" t="n"/>
      <c r="F9463" s="7" t="n"/>
      <c r="G9463" s="7" t="n"/>
      <c r="H9463" s="7" t="n"/>
      <c r="I9463" s="7" t="n"/>
      <c r="J9463" s="7" t="n"/>
      <c r="K9463">
        <f>IF(D9463="Legitimate Interest (GDPR Art. 6(1)(f))", "Yes / Required (Sheet 3)", "")</f>
        <v/>
      </c>
      <c r="L9463" s="7" t="n"/>
      <c r="M9463" s="7" t="n"/>
      <c r="N9463">
        <f>IF(D9463="", "Gap - No Legal Basis", IF(AND(D9463="Consent (GDPR Art. 6(1)(a))", I9463="Not Captured"), "Gap - Invalid Consent", IF(AND(D9463="Legitimate Interest (GDPR Art. 6(1)(f))", L9463=""), "Gap - Missing LIA", IF(AND(G9463="Yes", H9463=""), "Gap - Missing Art. 9 Basis", IF(OR(I9463="Invalid - Not Freely Given", I9463="Invalid - Not Specific", I9463="Invalid - Not Informed", I9463="Invalid - Ambiguous"), "Gap - Invalid Consent", "Compliant")))))</f>
        <v/>
      </c>
      <c r="O9463" s="7" t="n"/>
    </row>
    <row r="9464">
      <c r="A9464" s="7" t="n"/>
      <c r="B9464" s="7" t="n"/>
      <c r="C9464" s="7" t="n"/>
      <c r="D9464" s="7" t="n"/>
      <c r="E9464" s="7" t="n"/>
      <c r="F9464" s="7" t="n"/>
      <c r="G9464" s="7" t="n"/>
      <c r="H9464" s="7" t="n"/>
      <c r="I9464" s="7" t="n"/>
      <c r="J9464" s="7" t="n"/>
      <c r="K9464">
        <f>IF(D9464="Legitimate Interest (GDPR Art. 6(1)(f))", "Yes / Required (Sheet 3)", "")</f>
        <v/>
      </c>
      <c r="L9464" s="7" t="n"/>
      <c r="M9464" s="7" t="n"/>
      <c r="N9464">
        <f>IF(D9464="", "Gap - No Legal Basis", IF(AND(D9464="Consent (GDPR Art. 6(1)(a))", I9464="Not Captured"), "Gap - Invalid Consent", IF(AND(D9464="Legitimate Interest (GDPR Art. 6(1)(f))", L9464=""), "Gap - Missing LIA", IF(AND(G9464="Yes", H9464=""), "Gap - Missing Art. 9 Basis", IF(OR(I9464="Invalid - Not Freely Given", I9464="Invalid - Not Specific", I9464="Invalid - Not Informed", I9464="Invalid - Ambiguous"), "Gap - Invalid Consent", "Compliant")))))</f>
        <v/>
      </c>
      <c r="O9464" s="7" t="n"/>
    </row>
    <row r="9465">
      <c r="A9465" s="7" t="n"/>
      <c r="B9465" s="7" t="n"/>
      <c r="C9465" s="7" t="n"/>
      <c r="D9465" s="7" t="n"/>
      <c r="E9465" s="7" t="n"/>
      <c r="F9465" s="7" t="n"/>
      <c r="G9465" s="7" t="n"/>
      <c r="H9465" s="7" t="n"/>
      <c r="I9465" s="7" t="n"/>
      <c r="J9465" s="7" t="n"/>
      <c r="K9465">
        <f>IF(D9465="Legitimate Interest (GDPR Art. 6(1)(f))", "Yes / Required (Sheet 3)", "")</f>
        <v/>
      </c>
      <c r="L9465" s="7" t="n"/>
      <c r="M9465" s="7" t="n"/>
      <c r="N9465">
        <f>IF(D9465="", "Gap - No Legal Basis", IF(AND(D9465="Consent (GDPR Art. 6(1)(a))", I9465="Not Captured"), "Gap - Invalid Consent", IF(AND(D9465="Legitimate Interest (GDPR Art. 6(1)(f))", L9465=""), "Gap - Missing LIA", IF(AND(G9465="Yes", H9465=""), "Gap - Missing Art. 9 Basis", IF(OR(I9465="Invalid - Not Freely Given", I9465="Invalid - Not Specific", I9465="Invalid - Not Informed", I9465="Invalid - Ambiguous"), "Gap - Invalid Consent", "Compliant")))))</f>
        <v/>
      </c>
      <c r="O9465" s="7" t="n"/>
    </row>
    <row r="9466">
      <c r="A9466" s="7" t="n"/>
      <c r="B9466" s="7" t="n"/>
      <c r="C9466" s="7" t="n"/>
      <c r="D9466" s="7" t="n"/>
      <c r="E9466" s="7" t="n"/>
      <c r="F9466" s="7" t="n"/>
      <c r="G9466" s="7" t="n"/>
      <c r="H9466" s="7" t="n"/>
      <c r="I9466" s="7" t="n"/>
      <c r="J9466" s="7" t="n"/>
      <c r="K9466">
        <f>IF(D9466="Legitimate Interest (GDPR Art. 6(1)(f))", "Yes / Required (Sheet 3)", "")</f>
        <v/>
      </c>
      <c r="L9466" s="7" t="n"/>
      <c r="M9466" s="7" t="n"/>
      <c r="N9466">
        <f>IF(D9466="", "Gap - No Legal Basis", IF(AND(D9466="Consent (GDPR Art. 6(1)(a))", I9466="Not Captured"), "Gap - Invalid Consent", IF(AND(D9466="Legitimate Interest (GDPR Art. 6(1)(f))", L9466=""), "Gap - Missing LIA", IF(AND(G9466="Yes", H9466=""), "Gap - Missing Art. 9 Basis", IF(OR(I9466="Invalid - Not Freely Given", I9466="Invalid - Not Specific", I9466="Invalid - Not Informed", I9466="Invalid - Ambiguous"), "Gap - Invalid Consent", "Compliant")))))</f>
        <v/>
      </c>
      <c r="O9466" s="7" t="n"/>
    </row>
    <row r="9467">
      <c r="A9467" s="7" t="n"/>
      <c r="B9467" s="7" t="n"/>
      <c r="C9467" s="7" t="n"/>
      <c r="D9467" s="7" t="n"/>
      <c r="E9467" s="7" t="n"/>
      <c r="F9467" s="7" t="n"/>
      <c r="G9467" s="7" t="n"/>
      <c r="H9467" s="7" t="n"/>
      <c r="I9467" s="7" t="n"/>
      <c r="J9467" s="7" t="n"/>
      <c r="K9467">
        <f>IF(D9467="Legitimate Interest (GDPR Art. 6(1)(f))", "Yes / Required (Sheet 3)", "")</f>
        <v/>
      </c>
      <c r="L9467" s="7" t="n"/>
      <c r="M9467" s="7" t="n"/>
      <c r="N9467">
        <f>IF(D9467="", "Gap - No Legal Basis", IF(AND(D9467="Consent (GDPR Art. 6(1)(a))", I9467="Not Captured"), "Gap - Invalid Consent", IF(AND(D9467="Legitimate Interest (GDPR Art. 6(1)(f))", L9467=""), "Gap - Missing LIA", IF(AND(G9467="Yes", H9467=""), "Gap - Missing Art. 9 Basis", IF(OR(I9467="Invalid - Not Freely Given", I9467="Invalid - Not Specific", I9467="Invalid - Not Informed", I9467="Invalid - Ambiguous"), "Gap - Invalid Consent", "Compliant")))))</f>
        <v/>
      </c>
      <c r="O9467" s="7" t="n"/>
    </row>
    <row r="9468">
      <c r="A9468" s="7" t="n"/>
      <c r="B9468" s="7" t="n"/>
      <c r="C9468" s="7" t="n"/>
      <c r="D9468" s="7" t="n"/>
      <c r="E9468" s="7" t="n"/>
      <c r="F9468" s="7" t="n"/>
      <c r="G9468" s="7" t="n"/>
      <c r="H9468" s="7" t="n"/>
      <c r="I9468" s="7" t="n"/>
      <c r="J9468" s="7" t="n"/>
      <c r="K9468">
        <f>IF(D9468="Legitimate Interest (GDPR Art. 6(1)(f))", "Yes / Required (Sheet 3)", "")</f>
        <v/>
      </c>
      <c r="L9468" s="7" t="n"/>
      <c r="M9468" s="7" t="n"/>
      <c r="N9468">
        <f>IF(D9468="", "Gap - No Legal Basis", IF(AND(D9468="Consent (GDPR Art. 6(1)(a))", I9468="Not Captured"), "Gap - Invalid Consent", IF(AND(D9468="Legitimate Interest (GDPR Art. 6(1)(f))", L9468=""), "Gap - Missing LIA", IF(AND(G9468="Yes", H9468=""), "Gap - Missing Art. 9 Basis", IF(OR(I9468="Invalid - Not Freely Given", I9468="Invalid - Not Specific", I9468="Invalid - Not Informed", I9468="Invalid - Ambiguous"), "Gap - Invalid Consent", "Compliant")))))</f>
        <v/>
      </c>
      <c r="O9468" s="7" t="n"/>
    </row>
    <row r="9469">
      <c r="A9469" s="7" t="n"/>
      <c r="B9469" s="7" t="n"/>
      <c r="C9469" s="7" t="n"/>
      <c r="D9469" s="7" t="n"/>
      <c r="E9469" s="7" t="n"/>
      <c r="F9469" s="7" t="n"/>
      <c r="G9469" s="7" t="n"/>
      <c r="H9469" s="7" t="n"/>
      <c r="I9469" s="7" t="n"/>
      <c r="J9469" s="7" t="n"/>
      <c r="K9469">
        <f>IF(D9469="Legitimate Interest (GDPR Art. 6(1)(f))", "Yes / Required (Sheet 3)", "")</f>
        <v/>
      </c>
      <c r="L9469" s="7" t="n"/>
      <c r="M9469" s="7" t="n"/>
      <c r="N9469">
        <f>IF(D9469="", "Gap - No Legal Basis", IF(AND(D9469="Consent (GDPR Art. 6(1)(a))", I9469="Not Captured"), "Gap - Invalid Consent", IF(AND(D9469="Legitimate Interest (GDPR Art. 6(1)(f))", L9469=""), "Gap - Missing LIA", IF(AND(G9469="Yes", H9469=""), "Gap - Missing Art. 9 Basis", IF(OR(I9469="Invalid - Not Freely Given", I9469="Invalid - Not Specific", I9469="Invalid - Not Informed", I9469="Invalid - Ambiguous"), "Gap - Invalid Consent", "Compliant")))))</f>
        <v/>
      </c>
      <c r="O9469" s="7" t="n"/>
    </row>
    <row r="9470">
      <c r="A9470" s="7" t="n"/>
      <c r="B9470" s="7" t="n"/>
      <c r="C9470" s="7" t="n"/>
      <c r="D9470" s="7" t="n"/>
      <c r="E9470" s="7" t="n"/>
      <c r="F9470" s="7" t="n"/>
      <c r="G9470" s="7" t="n"/>
      <c r="H9470" s="7" t="n"/>
      <c r="I9470" s="7" t="n"/>
      <c r="J9470" s="7" t="n"/>
      <c r="K9470">
        <f>IF(D9470="Legitimate Interest (GDPR Art. 6(1)(f))", "Yes / Required (Sheet 3)", "")</f>
        <v/>
      </c>
      <c r="L9470" s="7" t="n"/>
      <c r="M9470" s="7" t="n"/>
      <c r="N9470">
        <f>IF(D9470="", "Gap - No Legal Basis", IF(AND(D9470="Consent (GDPR Art. 6(1)(a))", I9470="Not Captured"), "Gap - Invalid Consent", IF(AND(D9470="Legitimate Interest (GDPR Art. 6(1)(f))", L9470=""), "Gap - Missing LIA", IF(AND(G9470="Yes", H9470=""), "Gap - Missing Art. 9 Basis", IF(OR(I9470="Invalid - Not Freely Given", I9470="Invalid - Not Specific", I9470="Invalid - Not Informed", I9470="Invalid - Ambiguous"), "Gap - Invalid Consent", "Compliant")))))</f>
        <v/>
      </c>
      <c r="O9470" s="7" t="n"/>
    </row>
    <row r="9471">
      <c r="A9471" s="7" t="n"/>
      <c r="B9471" s="7" t="n"/>
      <c r="C9471" s="7" t="n"/>
      <c r="D9471" s="7" t="n"/>
      <c r="E9471" s="7" t="n"/>
      <c r="F9471" s="7" t="n"/>
      <c r="G9471" s="7" t="n"/>
      <c r="H9471" s="7" t="n"/>
      <c r="I9471" s="7" t="n"/>
      <c r="J9471" s="7" t="n"/>
      <c r="K9471">
        <f>IF(D9471="Legitimate Interest (GDPR Art. 6(1)(f))", "Yes / Required (Sheet 3)", "")</f>
        <v/>
      </c>
      <c r="L9471" s="7" t="n"/>
      <c r="M9471" s="7" t="n"/>
      <c r="N9471">
        <f>IF(D9471="", "Gap - No Legal Basis", IF(AND(D9471="Consent (GDPR Art. 6(1)(a))", I9471="Not Captured"), "Gap - Invalid Consent", IF(AND(D9471="Legitimate Interest (GDPR Art. 6(1)(f))", L9471=""), "Gap - Missing LIA", IF(AND(G9471="Yes", H9471=""), "Gap - Missing Art. 9 Basis", IF(OR(I9471="Invalid - Not Freely Given", I9471="Invalid - Not Specific", I9471="Invalid - Not Informed", I9471="Invalid - Ambiguous"), "Gap - Invalid Consent", "Compliant")))))</f>
        <v/>
      </c>
      <c r="O9471" s="7" t="n"/>
    </row>
    <row r="9472">
      <c r="A9472" s="7" t="n"/>
      <c r="B9472" s="7" t="n"/>
      <c r="C9472" s="7" t="n"/>
      <c r="D9472" s="7" t="n"/>
      <c r="E9472" s="7" t="n"/>
      <c r="F9472" s="7" t="n"/>
      <c r="G9472" s="7" t="n"/>
      <c r="H9472" s="7" t="n"/>
      <c r="I9472" s="7" t="n"/>
      <c r="J9472" s="7" t="n"/>
      <c r="K9472">
        <f>IF(D9472="Legitimate Interest (GDPR Art. 6(1)(f))", "Yes / Required (Sheet 3)", "")</f>
        <v/>
      </c>
      <c r="L9472" s="7" t="n"/>
      <c r="M9472" s="7" t="n"/>
      <c r="N9472">
        <f>IF(D9472="", "Gap - No Legal Basis", IF(AND(D9472="Consent (GDPR Art. 6(1)(a))", I9472="Not Captured"), "Gap - Invalid Consent", IF(AND(D9472="Legitimate Interest (GDPR Art. 6(1)(f))", L9472=""), "Gap - Missing LIA", IF(AND(G9472="Yes", H9472=""), "Gap - Missing Art. 9 Basis", IF(OR(I9472="Invalid - Not Freely Given", I9472="Invalid - Not Specific", I9472="Invalid - Not Informed", I9472="Invalid - Ambiguous"), "Gap - Invalid Consent", "Compliant")))))</f>
        <v/>
      </c>
      <c r="O9472" s="7" t="n"/>
    </row>
    <row r="9473">
      <c r="A9473" s="7" t="n"/>
      <c r="B9473" s="7" t="n"/>
      <c r="C9473" s="7" t="n"/>
      <c r="D9473" s="7" t="n"/>
      <c r="E9473" s="7" t="n"/>
      <c r="F9473" s="7" t="n"/>
      <c r="G9473" s="7" t="n"/>
      <c r="H9473" s="7" t="n"/>
      <c r="I9473" s="7" t="n"/>
      <c r="J9473" s="7" t="n"/>
      <c r="K9473">
        <f>IF(D9473="Legitimate Interest (GDPR Art. 6(1)(f))", "Yes / Required (Sheet 3)", "")</f>
        <v/>
      </c>
      <c r="L9473" s="7" t="n"/>
      <c r="M9473" s="7" t="n"/>
      <c r="N9473">
        <f>IF(D9473="", "Gap - No Legal Basis", IF(AND(D9473="Consent (GDPR Art. 6(1)(a))", I9473="Not Captured"), "Gap - Invalid Consent", IF(AND(D9473="Legitimate Interest (GDPR Art. 6(1)(f))", L9473=""), "Gap - Missing LIA", IF(AND(G9473="Yes", H9473=""), "Gap - Missing Art. 9 Basis", IF(OR(I9473="Invalid - Not Freely Given", I9473="Invalid - Not Specific", I9473="Invalid - Not Informed", I9473="Invalid - Ambiguous"), "Gap - Invalid Consent", "Compliant")))))</f>
        <v/>
      </c>
      <c r="O9473" s="7" t="n"/>
    </row>
    <row r="9474">
      <c r="A9474" s="7" t="n"/>
      <c r="B9474" s="7" t="n"/>
      <c r="C9474" s="7" t="n"/>
      <c r="D9474" s="7" t="n"/>
      <c r="E9474" s="7" t="n"/>
      <c r="F9474" s="7" t="n"/>
      <c r="G9474" s="7" t="n"/>
      <c r="H9474" s="7" t="n"/>
      <c r="I9474" s="7" t="n"/>
      <c r="J9474" s="7" t="n"/>
      <c r="K9474">
        <f>IF(D9474="Legitimate Interest (GDPR Art. 6(1)(f))", "Yes / Required (Sheet 3)", "")</f>
        <v/>
      </c>
      <c r="L9474" s="7" t="n"/>
      <c r="M9474" s="7" t="n"/>
      <c r="N9474">
        <f>IF(D9474="", "Gap - No Legal Basis", IF(AND(D9474="Consent (GDPR Art. 6(1)(a))", I9474="Not Captured"), "Gap - Invalid Consent", IF(AND(D9474="Legitimate Interest (GDPR Art. 6(1)(f))", L9474=""), "Gap - Missing LIA", IF(AND(G9474="Yes", H9474=""), "Gap - Missing Art. 9 Basis", IF(OR(I9474="Invalid - Not Freely Given", I9474="Invalid - Not Specific", I9474="Invalid - Not Informed", I9474="Invalid - Ambiguous"), "Gap - Invalid Consent", "Compliant")))))</f>
        <v/>
      </c>
      <c r="O9474" s="7" t="n"/>
    </row>
    <row r="9475">
      <c r="A9475" s="7" t="n"/>
      <c r="B9475" s="7" t="n"/>
      <c r="C9475" s="7" t="n"/>
      <c r="D9475" s="7" t="n"/>
      <c r="E9475" s="7" t="n"/>
      <c r="F9475" s="7" t="n"/>
      <c r="G9475" s="7" t="n"/>
      <c r="H9475" s="7" t="n"/>
      <c r="I9475" s="7" t="n"/>
      <c r="J9475" s="7" t="n"/>
      <c r="K9475">
        <f>IF(D9475="Legitimate Interest (GDPR Art. 6(1)(f))", "Yes / Required (Sheet 3)", "")</f>
        <v/>
      </c>
      <c r="L9475" s="7" t="n"/>
      <c r="M9475" s="7" t="n"/>
      <c r="N9475">
        <f>IF(D9475="", "Gap - No Legal Basis", IF(AND(D9475="Consent (GDPR Art. 6(1)(a))", I9475="Not Captured"), "Gap - Invalid Consent", IF(AND(D9475="Legitimate Interest (GDPR Art. 6(1)(f))", L9475=""), "Gap - Missing LIA", IF(AND(G9475="Yes", H9475=""), "Gap - Missing Art. 9 Basis", IF(OR(I9475="Invalid - Not Freely Given", I9475="Invalid - Not Specific", I9475="Invalid - Not Informed", I9475="Invalid - Ambiguous"), "Gap - Invalid Consent", "Compliant")))))</f>
        <v/>
      </c>
      <c r="O9475" s="7" t="n"/>
    </row>
    <row r="9476">
      <c r="A9476" s="7" t="n"/>
      <c r="B9476" s="7" t="n"/>
      <c r="C9476" s="7" t="n"/>
      <c r="D9476" s="7" t="n"/>
      <c r="E9476" s="7" t="n"/>
      <c r="F9476" s="7" t="n"/>
      <c r="G9476" s="7" t="n"/>
      <c r="H9476" s="7" t="n"/>
      <c r="I9476" s="7" t="n"/>
      <c r="J9476" s="7" t="n"/>
      <c r="K9476">
        <f>IF(D9476="Legitimate Interest (GDPR Art. 6(1)(f))", "Yes / Required (Sheet 3)", "")</f>
        <v/>
      </c>
      <c r="L9476" s="7" t="n"/>
      <c r="M9476" s="7" t="n"/>
      <c r="N9476">
        <f>IF(D9476="", "Gap - No Legal Basis", IF(AND(D9476="Consent (GDPR Art. 6(1)(a))", I9476="Not Captured"), "Gap - Invalid Consent", IF(AND(D9476="Legitimate Interest (GDPR Art. 6(1)(f))", L9476=""), "Gap - Missing LIA", IF(AND(G9476="Yes", H9476=""), "Gap - Missing Art. 9 Basis", IF(OR(I9476="Invalid - Not Freely Given", I9476="Invalid - Not Specific", I9476="Invalid - Not Informed", I9476="Invalid - Ambiguous"), "Gap - Invalid Consent", "Compliant")))))</f>
        <v/>
      </c>
      <c r="O9476" s="7" t="n"/>
    </row>
    <row r="9477">
      <c r="A9477" s="7" t="n"/>
      <c r="B9477" s="7" t="n"/>
      <c r="C9477" s="7" t="n"/>
      <c r="D9477" s="7" t="n"/>
      <c r="E9477" s="7" t="n"/>
      <c r="F9477" s="7" t="n"/>
      <c r="G9477" s="7" t="n"/>
      <c r="H9477" s="7" t="n"/>
      <c r="I9477" s="7" t="n"/>
      <c r="J9477" s="7" t="n"/>
      <c r="K9477">
        <f>IF(D9477="Legitimate Interest (GDPR Art. 6(1)(f))", "Yes / Required (Sheet 3)", "")</f>
        <v/>
      </c>
      <c r="L9477" s="7" t="n"/>
      <c r="M9477" s="7" t="n"/>
      <c r="N9477">
        <f>IF(D9477="", "Gap - No Legal Basis", IF(AND(D9477="Consent (GDPR Art. 6(1)(a))", I9477="Not Captured"), "Gap - Invalid Consent", IF(AND(D9477="Legitimate Interest (GDPR Art. 6(1)(f))", L9477=""), "Gap - Missing LIA", IF(AND(G9477="Yes", H9477=""), "Gap - Missing Art. 9 Basis", IF(OR(I9477="Invalid - Not Freely Given", I9477="Invalid - Not Specific", I9477="Invalid - Not Informed", I9477="Invalid - Ambiguous"), "Gap - Invalid Consent", "Compliant")))))</f>
        <v/>
      </c>
      <c r="O9477" s="7" t="n"/>
    </row>
    <row r="9478">
      <c r="A9478" s="7" t="n"/>
      <c r="B9478" s="7" t="n"/>
      <c r="C9478" s="7" t="n"/>
      <c r="D9478" s="7" t="n"/>
      <c r="E9478" s="7" t="n"/>
      <c r="F9478" s="7" t="n"/>
      <c r="G9478" s="7" t="n"/>
      <c r="H9478" s="7" t="n"/>
      <c r="I9478" s="7" t="n"/>
      <c r="J9478" s="7" t="n"/>
      <c r="K9478">
        <f>IF(D9478="Legitimate Interest (GDPR Art. 6(1)(f))", "Yes / Required (Sheet 3)", "")</f>
        <v/>
      </c>
      <c r="L9478" s="7" t="n"/>
      <c r="M9478" s="7" t="n"/>
      <c r="N9478">
        <f>IF(D9478="", "Gap - No Legal Basis", IF(AND(D9478="Consent (GDPR Art. 6(1)(a))", I9478="Not Captured"), "Gap - Invalid Consent", IF(AND(D9478="Legitimate Interest (GDPR Art. 6(1)(f))", L9478=""), "Gap - Missing LIA", IF(AND(G9478="Yes", H9478=""), "Gap - Missing Art. 9 Basis", IF(OR(I9478="Invalid - Not Freely Given", I9478="Invalid - Not Specific", I9478="Invalid - Not Informed", I9478="Invalid - Ambiguous"), "Gap - Invalid Consent", "Compliant")))))</f>
        <v/>
      </c>
      <c r="O9478" s="7" t="n"/>
    </row>
    <row r="9479">
      <c r="A9479" s="7" t="n"/>
      <c r="B9479" s="7" t="n"/>
      <c r="C9479" s="7" t="n"/>
      <c r="D9479" s="7" t="n"/>
      <c r="E9479" s="7" t="n"/>
      <c r="F9479" s="7" t="n"/>
      <c r="G9479" s="7" t="n"/>
      <c r="H9479" s="7" t="n"/>
      <c r="I9479" s="7" t="n"/>
      <c r="J9479" s="7" t="n"/>
      <c r="K9479">
        <f>IF(D9479="Legitimate Interest (GDPR Art. 6(1)(f))", "Yes / Required (Sheet 3)", "")</f>
        <v/>
      </c>
      <c r="L9479" s="7" t="n"/>
      <c r="M9479" s="7" t="n"/>
      <c r="N9479">
        <f>IF(D9479="", "Gap - No Legal Basis", IF(AND(D9479="Consent (GDPR Art. 6(1)(a))", I9479="Not Captured"), "Gap - Invalid Consent", IF(AND(D9479="Legitimate Interest (GDPR Art. 6(1)(f))", L9479=""), "Gap - Missing LIA", IF(AND(G9479="Yes", H9479=""), "Gap - Missing Art. 9 Basis", IF(OR(I9479="Invalid - Not Freely Given", I9479="Invalid - Not Specific", I9479="Invalid - Not Informed", I9479="Invalid - Ambiguous"), "Gap - Invalid Consent", "Compliant")))))</f>
        <v/>
      </c>
      <c r="O9479" s="7" t="n"/>
    </row>
    <row r="9480">
      <c r="A9480" s="7" t="n"/>
      <c r="B9480" s="7" t="n"/>
      <c r="C9480" s="7" t="n"/>
      <c r="D9480" s="7" t="n"/>
      <c r="E9480" s="7" t="n"/>
      <c r="F9480" s="7" t="n"/>
      <c r="G9480" s="7" t="n"/>
      <c r="H9480" s="7" t="n"/>
      <c r="I9480" s="7" t="n"/>
      <c r="J9480" s="7" t="n"/>
      <c r="K9480">
        <f>IF(D9480="Legitimate Interest (GDPR Art. 6(1)(f))", "Yes / Required (Sheet 3)", "")</f>
        <v/>
      </c>
      <c r="L9480" s="7" t="n"/>
      <c r="M9480" s="7" t="n"/>
      <c r="N9480">
        <f>IF(D9480="", "Gap - No Legal Basis", IF(AND(D9480="Consent (GDPR Art. 6(1)(a))", I9480="Not Captured"), "Gap - Invalid Consent", IF(AND(D9480="Legitimate Interest (GDPR Art. 6(1)(f))", L9480=""), "Gap - Missing LIA", IF(AND(G9480="Yes", H9480=""), "Gap - Missing Art. 9 Basis", IF(OR(I9480="Invalid - Not Freely Given", I9480="Invalid - Not Specific", I9480="Invalid - Not Informed", I9480="Invalid - Ambiguous"), "Gap - Invalid Consent", "Compliant")))))</f>
        <v/>
      </c>
      <c r="O9480" s="7" t="n"/>
    </row>
    <row r="9481">
      <c r="A9481" s="7" t="n"/>
      <c r="B9481" s="7" t="n"/>
      <c r="C9481" s="7" t="n"/>
      <c r="D9481" s="7" t="n"/>
      <c r="E9481" s="7" t="n"/>
      <c r="F9481" s="7" t="n"/>
      <c r="G9481" s="7" t="n"/>
      <c r="H9481" s="7" t="n"/>
      <c r="I9481" s="7" t="n"/>
      <c r="J9481" s="7" t="n"/>
      <c r="K9481">
        <f>IF(D9481="Legitimate Interest (GDPR Art. 6(1)(f))", "Yes / Required (Sheet 3)", "")</f>
        <v/>
      </c>
      <c r="L9481" s="7" t="n"/>
      <c r="M9481" s="7" t="n"/>
      <c r="N9481">
        <f>IF(D9481="", "Gap - No Legal Basis", IF(AND(D9481="Consent (GDPR Art. 6(1)(a))", I9481="Not Captured"), "Gap - Invalid Consent", IF(AND(D9481="Legitimate Interest (GDPR Art. 6(1)(f))", L9481=""), "Gap - Missing LIA", IF(AND(G9481="Yes", H9481=""), "Gap - Missing Art. 9 Basis", IF(OR(I9481="Invalid - Not Freely Given", I9481="Invalid - Not Specific", I9481="Invalid - Not Informed", I9481="Invalid - Ambiguous"), "Gap - Invalid Consent", "Compliant")))))</f>
        <v/>
      </c>
      <c r="O9481" s="7" t="n"/>
    </row>
    <row r="9482">
      <c r="A9482" s="7" t="n"/>
      <c r="B9482" s="7" t="n"/>
      <c r="C9482" s="7" t="n"/>
      <c r="D9482" s="7" t="n"/>
      <c r="E9482" s="7" t="n"/>
      <c r="F9482" s="7" t="n"/>
      <c r="G9482" s="7" t="n"/>
      <c r="H9482" s="7" t="n"/>
      <c r="I9482" s="7" t="n"/>
      <c r="J9482" s="7" t="n"/>
      <c r="K9482">
        <f>IF(D9482="Legitimate Interest (GDPR Art. 6(1)(f))", "Yes / Required (Sheet 3)", "")</f>
        <v/>
      </c>
      <c r="L9482" s="7" t="n"/>
      <c r="M9482" s="7" t="n"/>
      <c r="N9482">
        <f>IF(D9482="", "Gap - No Legal Basis", IF(AND(D9482="Consent (GDPR Art. 6(1)(a))", I9482="Not Captured"), "Gap - Invalid Consent", IF(AND(D9482="Legitimate Interest (GDPR Art. 6(1)(f))", L9482=""), "Gap - Missing LIA", IF(AND(G9482="Yes", H9482=""), "Gap - Missing Art. 9 Basis", IF(OR(I9482="Invalid - Not Freely Given", I9482="Invalid - Not Specific", I9482="Invalid - Not Informed", I9482="Invalid - Ambiguous"), "Gap - Invalid Consent", "Compliant")))))</f>
        <v/>
      </c>
      <c r="O9482" s="7" t="n"/>
    </row>
    <row r="9483">
      <c r="A9483" s="7" t="n"/>
      <c r="B9483" s="7" t="n"/>
      <c r="C9483" s="7" t="n"/>
      <c r="D9483" s="7" t="n"/>
      <c r="E9483" s="7" t="n"/>
      <c r="F9483" s="7" t="n"/>
      <c r="G9483" s="7" t="n"/>
      <c r="H9483" s="7" t="n"/>
      <c r="I9483" s="7" t="n"/>
      <c r="J9483" s="7" t="n"/>
      <c r="K9483">
        <f>IF(D9483="Legitimate Interest (GDPR Art. 6(1)(f))", "Yes / Required (Sheet 3)", "")</f>
        <v/>
      </c>
      <c r="L9483" s="7" t="n"/>
      <c r="M9483" s="7" t="n"/>
      <c r="N9483">
        <f>IF(D9483="", "Gap - No Legal Basis", IF(AND(D9483="Consent (GDPR Art. 6(1)(a))", I9483="Not Captured"), "Gap - Invalid Consent", IF(AND(D9483="Legitimate Interest (GDPR Art. 6(1)(f))", L9483=""), "Gap - Missing LIA", IF(AND(G9483="Yes", H9483=""), "Gap - Missing Art. 9 Basis", IF(OR(I9483="Invalid - Not Freely Given", I9483="Invalid - Not Specific", I9483="Invalid - Not Informed", I9483="Invalid - Ambiguous"), "Gap - Invalid Consent", "Compliant")))))</f>
        <v/>
      </c>
      <c r="O9483" s="7" t="n"/>
    </row>
    <row r="9484">
      <c r="A9484" s="7" t="n"/>
      <c r="B9484" s="7" t="n"/>
      <c r="C9484" s="7" t="n"/>
      <c r="D9484" s="7" t="n"/>
      <c r="E9484" s="7" t="n"/>
      <c r="F9484" s="7" t="n"/>
      <c r="G9484" s="7" t="n"/>
      <c r="H9484" s="7" t="n"/>
      <c r="I9484" s="7" t="n"/>
      <c r="J9484" s="7" t="n"/>
      <c r="K9484">
        <f>IF(D9484="Legitimate Interest (GDPR Art. 6(1)(f))", "Yes / Required (Sheet 3)", "")</f>
        <v/>
      </c>
      <c r="L9484" s="7" t="n"/>
      <c r="M9484" s="7" t="n"/>
      <c r="N9484">
        <f>IF(D9484="", "Gap - No Legal Basis", IF(AND(D9484="Consent (GDPR Art. 6(1)(a))", I9484="Not Captured"), "Gap - Invalid Consent", IF(AND(D9484="Legitimate Interest (GDPR Art. 6(1)(f))", L9484=""), "Gap - Missing LIA", IF(AND(G9484="Yes", H9484=""), "Gap - Missing Art. 9 Basis", IF(OR(I9484="Invalid - Not Freely Given", I9484="Invalid - Not Specific", I9484="Invalid - Not Informed", I9484="Invalid - Ambiguous"), "Gap - Invalid Consent", "Compliant")))))</f>
        <v/>
      </c>
      <c r="O9484" s="7" t="n"/>
    </row>
    <row r="9485">
      <c r="A9485" s="7" t="n"/>
      <c r="B9485" s="7" t="n"/>
      <c r="C9485" s="7" t="n"/>
      <c r="D9485" s="7" t="n"/>
      <c r="E9485" s="7" t="n"/>
      <c r="F9485" s="7" t="n"/>
      <c r="G9485" s="7" t="n"/>
      <c r="H9485" s="7" t="n"/>
      <c r="I9485" s="7" t="n"/>
      <c r="J9485" s="7" t="n"/>
      <c r="K9485">
        <f>IF(D9485="Legitimate Interest (GDPR Art. 6(1)(f))", "Yes / Required (Sheet 3)", "")</f>
        <v/>
      </c>
      <c r="L9485" s="7" t="n"/>
      <c r="M9485" s="7" t="n"/>
      <c r="N9485">
        <f>IF(D9485="", "Gap - No Legal Basis", IF(AND(D9485="Consent (GDPR Art. 6(1)(a))", I9485="Not Captured"), "Gap - Invalid Consent", IF(AND(D9485="Legitimate Interest (GDPR Art. 6(1)(f))", L9485=""), "Gap - Missing LIA", IF(AND(G9485="Yes", H9485=""), "Gap - Missing Art. 9 Basis", IF(OR(I9485="Invalid - Not Freely Given", I9485="Invalid - Not Specific", I9485="Invalid - Not Informed", I9485="Invalid - Ambiguous"), "Gap - Invalid Consent", "Compliant")))))</f>
        <v/>
      </c>
      <c r="O9485" s="7" t="n"/>
    </row>
    <row r="9486">
      <c r="A9486" s="7" t="n"/>
      <c r="B9486" s="7" t="n"/>
      <c r="C9486" s="7" t="n"/>
      <c r="D9486" s="7" t="n"/>
      <c r="E9486" s="7" t="n"/>
      <c r="F9486" s="7" t="n"/>
      <c r="G9486" s="7" t="n"/>
      <c r="H9486" s="7" t="n"/>
      <c r="I9486" s="7" t="n"/>
      <c r="J9486" s="7" t="n"/>
      <c r="K9486">
        <f>IF(D9486="Legitimate Interest (GDPR Art. 6(1)(f))", "Yes / Required (Sheet 3)", "")</f>
        <v/>
      </c>
      <c r="L9486" s="7" t="n"/>
      <c r="M9486" s="7" t="n"/>
      <c r="N9486">
        <f>IF(D9486="", "Gap - No Legal Basis", IF(AND(D9486="Consent (GDPR Art. 6(1)(a))", I9486="Not Captured"), "Gap - Invalid Consent", IF(AND(D9486="Legitimate Interest (GDPR Art. 6(1)(f))", L9486=""), "Gap - Missing LIA", IF(AND(G9486="Yes", H9486=""), "Gap - Missing Art. 9 Basis", IF(OR(I9486="Invalid - Not Freely Given", I9486="Invalid - Not Specific", I9486="Invalid - Not Informed", I9486="Invalid - Ambiguous"), "Gap - Invalid Consent", "Compliant")))))</f>
        <v/>
      </c>
      <c r="O9486" s="7" t="n"/>
    </row>
    <row r="9487">
      <c r="A9487" s="7" t="n"/>
      <c r="B9487" s="7" t="n"/>
      <c r="C9487" s="7" t="n"/>
      <c r="D9487" s="7" t="n"/>
      <c r="E9487" s="7" t="n"/>
      <c r="F9487" s="7" t="n"/>
      <c r="G9487" s="7" t="n"/>
      <c r="H9487" s="7" t="n"/>
      <c r="I9487" s="7" t="n"/>
      <c r="J9487" s="7" t="n"/>
      <c r="K9487">
        <f>IF(D9487="Legitimate Interest (GDPR Art. 6(1)(f))", "Yes / Required (Sheet 3)", "")</f>
        <v/>
      </c>
      <c r="L9487" s="7" t="n"/>
      <c r="M9487" s="7" t="n"/>
      <c r="N9487">
        <f>IF(D9487="", "Gap - No Legal Basis", IF(AND(D9487="Consent (GDPR Art. 6(1)(a))", I9487="Not Captured"), "Gap - Invalid Consent", IF(AND(D9487="Legitimate Interest (GDPR Art. 6(1)(f))", L9487=""), "Gap - Missing LIA", IF(AND(G9487="Yes", H9487=""), "Gap - Missing Art. 9 Basis", IF(OR(I9487="Invalid - Not Freely Given", I9487="Invalid - Not Specific", I9487="Invalid - Not Informed", I9487="Invalid - Ambiguous"), "Gap - Invalid Consent", "Compliant")))))</f>
        <v/>
      </c>
      <c r="O9487" s="7" t="n"/>
    </row>
    <row r="9488">
      <c r="A9488" s="7" t="n"/>
      <c r="B9488" s="7" t="n"/>
      <c r="C9488" s="7" t="n"/>
      <c r="D9488" s="7" t="n"/>
      <c r="E9488" s="7" t="n"/>
      <c r="F9488" s="7" t="n"/>
      <c r="G9488" s="7" t="n"/>
      <c r="H9488" s="7" t="n"/>
      <c r="I9488" s="7" t="n"/>
      <c r="J9488" s="7" t="n"/>
      <c r="K9488">
        <f>IF(D9488="Legitimate Interest (GDPR Art. 6(1)(f))", "Yes / Required (Sheet 3)", "")</f>
        <v/>
      </c>
      <c r="L9488" s="7" t="n"/>
      <c r="M9488" s="7" t="n"/>
      <c r="N9488">
        <f>IF(D9488="", "Gap - No Legal Basis", IF(AND(D9488="Consent (GDPR Art. 6(1)(a))", I9488="Not Captured"), "Gap - Invalid Consent", IF(AND(D9488="Legitimate Interest (GDPR Art. 6(1)(f))", L9488=""), "Gap - Missing LIA", IF(AND(G9488="Yes", H9488=""), "Gap - Missing Art. 9 Basis", IF(OR(I9488="Invalid - Not Freely Given", I9488="Invalid - Not Specific", I9488="Invalid - Not Informed", I9488="Invalid - Ambiguous"), "Gap - Invalid Consent", "Compliant")))))</f>
        <v/>
      </c>
      <c r="O9488" s="7" t="n"/>
    </row>
    <row r="9489">
      <c r="A9489" s="7" t="n"/>
      <c r="B9489" s="7" t="n"/>
      <c r="C9489" s="7" t="n"/>
      <c r="D9489" s="7" t="n"/>
      <c r="E9489" s="7" t="n"/>
      <c r="F9489" s="7" t="n"/>
      <c r="G9489" s="7" t="n"/>
      <c r="H9489" s="7" t="n"/>
      <c r="I9489" s="7" t="n"/>
      <c r="J9489" s="7" t="n"/>
      <c r="K9489">
        <f>IF(D9489="Legitimate Interest (GDPR Art. 6(1)(f))", "Yes / Required (Sheet 3)", "")</f>
        <v/>
      </c>
      <c r="L9489" s="7" t="n"/>
      <c r="M9489" s="7" t="n"/>
      <c r="N9489">
        <f>IF(D9489="", "Gap - No Legal Basis", IF(AND(D9489="Consent (GDPR Art. 6(1)(a))", I9489="Not Captured"), "Gap - Invalid Consent", IF(AND(D9489="Legitimate Interest (GDPR Art. 6(1)(f))", L9489=""), "Gap - Missing LIA", IF(AND(G9489="Yes", H9489=""), "Gap - Missing Art. 9 Basis", IF(OR(I9489="Invalid - Not Freely Given", I9489="Invalid - Not Specific", I9489="Invalid - Not Informed", I9489="Invalid - Ambiguous"), "Gap - Invalid Consent", "Compliant")))))</f>
        <v/>
      </c>
      <c r="O9489" s="7" t="n"/>
    </row>
    <row r="9490">
      <c r="A9490" s="7" t="n"/>
      <c r="B9490" s="7" t="n"/>
      <c r="C9490" s="7" t="n"/>
      <c r="D9490" s="7" t="n"/>
      <c r="E9490" s="7" t="n"/>
      <c r="F9490" s="7" t="n"/>
      <c r="G9490" s="7" t="n"/>
      <c r="H9490" s="7" t="n"/>
      <c r="I9490" s="7" t="n"/>
      <c r="J9490" s="7" t="n"/>
      <c r="K9490">
        <f>IF(D9490="Legitimate Interest (GDPR Art. 6(1)(f))", "Yes / Required (Sheet 3)", "")</f>
        <v/>
      </c>
      <c r="L9490" s="7" t="n"/>
      <c r="M9490" s="7" t="n"/>
      <c r="N9490">
        <f>IF(D9490="", "Gap - No Legal Basis", IF(AND(D9490="Consent (GDPR Art. 6(1)(a))", I9490="Not Captured"), "Gap - Invalid Consent", IF(AND(D9490="Legitimate Interest (GDPR Art. 6(1)(f))", L9490=""), "Gap - Missing LIA", IF(AND(G9490="Yes", H9490=""), "Gap - Missing Art. 9 Basis", IF(OR(I9490="Invalid - Not Freely Given", I9490="Invalid - Not Specific", I9490="Invalid - Not Informed", I9490="Invalid - Ambiguous"), "Gap - Invalid Consent", "Compliant")))))</f>
        <v/>
      </c>
      <c r="O9490" s="7" t="n"/>
    </row>
    <row r="9491">
      <c r="A9491" s="7" t="n"/>
      <c r="B9491" s="7" t="n"/>
      <c r="C9491" s="7" t="n"/>
      <c r="D9491" s="7" t="n"/>
      <c r="E9491" s="7" t="n"/>
      <c r="F9491" s="7" t="n"/>
      <c r="G9491" s="7" t="n"/>
      <c r="H9491" s="7" t="n"/>
      <c r="I9491" s="7" t="n"/>
      <c r="J9491" s="7" t="n"/>
      <c r="K9491">
        <f>IF(D9491="Legitimate Interest (GDPR Art. 6(1)(f))", "Yes / Required (Sheet 3)", "")</f>
        <v/>
      </c>
      <c r="L9491" s="7" t="n"/>
      <c r="M9491" s="7" t="n"/>
      <c r="N9491">
        <f>IF(D9491="", "Gap - No Legal Basis", IF(AND(D9491="Consent (GDPR Art. 6(1)(a))", I9491="Not Captured"), "Gap - Invalid Consent", IF(AND(D9491="Legitimate Interest (GDPR Art. 6(1)(f))", L9491=""), "Gap - Missing LIA", IF(AND(G9491="Yes", H9491=""), "Gap - Missing Art. 9 Basis", IF(OR(I9491="Invalid - Not Freely Given", I9491="Invalid - Not Specific", I9491="Invalid - Not Informed", I9491="Invalid - Ambiguous"), "Gap - Invalid Consent", "Compliant")))))</f>
        <v/>
      </c>
      <c r="O9491" s="7" t="n"/>
    </row>
    <row r="9492">
      <c r="A9492" s="7" t="n"/>
      <c r="B9492" s="7" t="n"/>
      <c r="C9492" s="7" t="n"/>
      <c r="D9492" s="7" t="n"/>
      <c r="E9492" s="7" t="n"/>
      <c r="F9492" s="7" t="n"/>
      <c r="G9492" s="7" t="n"/>
      <c r="H9492" s="7" t="n"/>
      <c r="I9492" s="7" t="n"/>
      <c r="J9492" s="7" t="n"/>
      <c r="K9492">
        <f>IF(D9492="Legitimate Interest (GDPR Art. 6(1)(f))", "Yes / Required (Sheet 3)", "")</f>
        <v/>
      </c>
      <c r="L9492" s="7" t="n"/>
      <c r="M9492" s="7" t="n"/>
      <c r="N9492">
        <f>IF(D9492="", "Gap - No Legal Basis", IF(AND(D9492="Consent (GDPR Art. 6(1)(a))", I9492="Not Captured"), "Gap - Invalid Consent", IF(AND(D9492="Legitimate Interest (GDPR Art. 6(1)(f))", L9492=""), "Gap - Missing LIA", IF(AND(G9492="Yes", H9492=""), "Gap - Missing Art. 9 Basis", IF(OR(I9492="Invalid - Not Freely Given", I9492="Invalid - Not Specific", I9492="Invalid - Not Informed", I9492="Invalid - Ambiguous"), "Gap - Invalid Consent", "Compliant")))))</f>
        <v/>
      </c>
      <c r="O9492" s="7" t="n"/>
    </row>
    <row r="9493">
      <c r="A9493" s="7" t="n"/>
      <c r="B9493" s="7" t="n"/>
      <c r="C9493" s="7" t="n"/>
      <c r="D9493" s="7" t="n"/>
      <c r="E9493" s="7" t="n"/>
      <c r="F9493" s="7" t="n"/>
      <c r="G9493" s="7" t="n"/>
      <c r="H9493" s="7" t="n"/>
      <c r="I9493" s="7" t="n"/>
      <c r="J9493" s="7" t="n"/>
      <c r="K9493">
        <f>IF(D9493="Legitimate Interest (GDPR Art. 6(1)(f))", "Yes / Required (Sheet 3)", "")</f>
        <v/>
      </c>
      <c r="L9493" s="7" t="n"/>
      <c r="M9493" s="7" t="n"/>
      <c r="N9493">
        <f>IF(D9493="", "Gap - No Legal Basis", IF(AND(D9493="Consent (GDPR Art. 6(1)(a))", I9493="Not Captured"), "Gap - Invalid Consent", IF(AND(D9493="Legitimate Interest (GDPR Art. 6(1)(f))", L9493=""), "Gap - Missing LIA", IF(AND(G9493="Yes", H9493=""), "Gap - Missing Art. 9 Basis", IF(OR(I9493="Invalid - Not Freely Given", I9493="Invalid - Not Specific", I9493="Invalid - Not Informed", I9493="Invalid - Ambiguous"), "Gap - Invalid Consent", "Compliant")))))</f>
        <v/>
      </c>
      <c r="O9493" s="7" t="n"/>
    </row>
    <row r="9494">
      <c r="A9494" s="7" t="n"/>
      <c r="B9494" s="7" t="n"/>
      <c r="C9494" s="7" t="n"/>
      <c r="D9494" s="7" t="n"/>
      <c r="E9494" s="7" t="n"/>
      <c r="F9494" s="7" t="n"/>
      <c r="G9494" s="7" t="n"/>
      <c r="H9494" s="7" t="n"/>
      <c r="I9494" s="7" t="n"/>
      <c r="J9494" s="7" t="n"/>
      <c r="K9494">
        <f>IF(D9494="Legitimate Interest (GDPR Art. 6(1)(f))", "Yes / Required (Sheet 3)", "")</f>
        <v/>
      </c>
      <c r="L9494" s="7" t="n"/>
      <c r="M9494" s="7" t="n"/>
      <c r="N9494">
        <f>IF(D9494="", "Gap - No Legal Basis", IF(AND(D9494="Consent (GDPR Art. 6(1)(a))", I9494="Not Captured"), "Gap - Invalid Consent", IF(AND(D9494="Legitimate Interest (GDPR Art. 6(1)(f))", L9494=""), "Gap - Missing LIA", IF(AND(G9494="Yes", H9494=""), "Gap - Missing Art. 9 Basis", IF(OR(I9494="Invalid - Not Freely Given", I9494="Invalid - Not Specific", I9494="Invalid - Not Informed", I9494="Invalid - Ambiguous"), "Gap - Invalid Consent", "Compliant")))))</f>
        <v/>
      </c>
      <c r="O9494" s="7" t="n"/>
    </row>
    <row r="9495">
      <c r="A9495" s="7" t="n"/>
      <c r="B9495" s="7" t="n"/>
      <c r="C9495" s="7" t="n"/>
      <c r="D9495" s="7" t="n"/>
      <c r="E9495" s="7" t="n"/>
      <c r="F9495" s="7" t="n"/>
      <c r="G9495" s="7" t="n"/>
      <c r="H9495" s="7" t="n"/>
      <c r="I9495" s="7" t="n"/>
      <c r="J9495" s="7" t="n"/>
      <c r="K9495">
        <f>IF(D9495="Legitimate Interest (GDPR Art. 6(1)(f))", "Yes / Required (Sheet 3)", "")</f>
        <v/>
      </c>
      <c r="L9495" s="7" t="n"/>
      <c r="M9495" s="7" t="n"/>
      <c r="N9495">
        <f>IF(D9495="", "Gap - No Legal Basis", IF(AND(D9495="Consent (GDPR Art. 6(1)(a))", I9495="Not Captured"), "Gap - Invalid Consent", IF(AND(D9495="Legitimate Interest (GDPR Art. 6(1)(f))", L9495=""), "Gap - Missing LIA", IF(AND(G9495="Yes", H9495=""), "Gap - Missing Art. 9 Basis", IF(OR(I9495="Invalid - Not Freely Given", I9495="Invalid - Not Specific", I9495="Invalid - Not Informed", I9495="Invalid - Ambiguous"), "Gap - Invalid Consent", "Compliant")))))</f>
        <v/>
      </c>
      <c r="O9495" s="7" t="n"/>
    </row>
    <row r="9496">
      <c r="A9496" s="7" t="n"/>
      <c r="B9496" s="7" t="n"/>
      <c r="C9496" s="7" t="n"/>
      <c r="D9496" s="7" t="n"/>
      <c r="E9496" s="7" t="n"/>
      <c r="F9496" s="7" t="n"/>
      <c r="G9496" s="7" t="n"/>
      <c r="H9496" s="7" t="n"/>
      <c r="I9496" s="7" t="n"/>
      <c r="J9496" s="7" t="n"/>
      <c r="K9496">
        <f>IF(D9496="Legitimate Interest (GDPR Art. 6(1)(f))", "Yes / Required (Sheet 3)", "")</f>
        <v/>
      </c>
      <c r="L9496" s="7" t="n"/>
      <c r="M9496" s="7" t="n"/>
      <c r="N9496">
        <f>IF(D9496="", "Gap - No Legal Basis", IF(AND(D9496="Consent (GDPR Art. 6(1)(a))", I9496="Not Captured"), "Gap - Invalid Consent", IF(AND(D9496="Legitimate Interest (GDPR Art. 6(1)(f))", L9496=""), "Gap - Missing LIA", IF(AND(G9496="Yes", H9496=""), "Gap - Missing Art. 9 Basis", IF(OR(I9496="Invalid - Not Freely Given", I9496="Invalid - Not Specific", I9496="Invalid - Not Informed", I9496="Invalid - Ambiguous"), "Gap - Invalid Consent", "Compliant")))))</f>
        <v/>
      </c>
      <c r="O9496" s="7" t="n"/>
    </row>
    <row r="9497">
      <c r="A9497" s="7" t="n"/>
      <c r="B9497" s="7" t="n"/>
      <c r="C9497" s="7" t="n"/>
      <c r="D9497" s="7" t="n"/>
      <c r="E9497" s="7" t="n"/>
      <c r="F9497" s="7" t="n"/>
      <c r="G9497" s="7" t="n"/>
      <c r="H9497" s="7" t="n"/>
      <c r="I9497" s="7" t="n"/>
      <c r="J9497" s="7" t="n"/>
      <c r="K9497">
        <f>IF(D9497="Legitimate Interest (GDPR Art. 6(1)(f))", "Yes / Required (Sheet 3)", "")</f>
        <v/>
      </c>
      <c r="L9497" s="7" t="n"/>
      <c r="M9497" s="7" t="n"/>
      <c r="N9497">
        <f>IF(D9497="", "Gap - No Legal Basis", IF(AND(D9497="Consent (GDPR Art. 6(1)(a))", I9497="Not Captured"), "Gap - Invalid Consent", IF(AND(D9497="Legitimate Interest (GDPR Art. 6(1)(f))", L9497=""), "Gap - Missing LIA", IF(AND(G9497="Yes", H9497=""), "Gap - Missing Art. 9 Basis", IF(OR(I9497="Invalid - Not Freely Given", I9497="Invalid - Not Specific", I9497="Invalid - Not Informed", I9497="Invalid - Ambiguous"), "Gap - Invalid Consent", "Compliant")))))</f>
        <v/>
      </c>
      <c r="O9497" s="7" t="n"/>
    </row>
    <row r="9498">
      <c r="A9498" s="7" t="n"/>
      <c r="B9498" s="7" t="n"/>
      <c r="C9498" s="7" t="n"/>
      <c r="D9498" s="7" t="n"/>
      <c r="E9498" s="7" t="n"/>
      <c r="F9498" s="7" t="n"/>
      <c r="G9498" s="7" t="n"/>
      <c r="H9498" s="7" t="n"/>
      <c r="I9498" s="7" t="n"/>
      <c r="J9498" s="7" t="n"/>
      <c r="K9498">
        <f>IF(D9498="Legitimate Interest (GDPR Art. 6(1)(f))", "Yes / Required (Sheet 3)", "")</f>
        <v/>
      </c>
      <c r="L9498" s="7" t="n"/>
      <c r="M9498" s="7" t="n"/>
      <c r="N9498">
        <f>IF(D9498="", "Gap - No Legal Basis", IF(AND(D9498="Consent (GDPR Art. 6(1)(a))", I9498="Not Captured"), "Gap - Invalid Consent", IF(AND(D9498="Legitimate Interest (GDPR Art. 6(1)(f))", L9498=""), "Gap - Missing LIA", IF(AND(G9498="Yes", H9498=""), "Gap - Missing Art. 9 Basis", IF(OR(I9498="Invalid - Not Freely Given", I9498="Invalid - Not Specific", I9498="Invalid - Not Informed", I9498="Invalid - Ambiguous"), "Gap - Invalid Consent", "Compliant")))))</f>
        <v/>
      </c>
      <c r="O9498" s="7" t="n"/>
    </row>
    <row r="9499">
      <c r="A9499" s="7" t="n"/>
      <c r="B9499" s="7" t="n"/>
      <c r="C9499" s="7" t="n"/>
      <c r="D9499" s="7" t="n"/>
      <c r="E9499" s="7" t="n"/>
      <c r="F9499" s="7" t="n"/>
      <c r="G9499" s="7" t="n"/>
      <c r="H9499" s="7" t="n"/>
      <c r="I9499" s="7" t="n"/>
      <c r="J9499" s="7" t="n"/>
      <c r="K9499">
        <f>IF(D9499="Legitimate Interest (GDPR Art. 6(1)(f))", "Yes / Required (Sheet 3)", "")</f>
        <v/>
      </c>
      <c r="L9499" s="7" t="n"/>
      <c r="M9499" s="7" t="n"/>
      <c r="N9499">
        <f>IF(D9499="", "Gap - No Legal Basis", IF(AND(D9499="Consent (GDPR Art. 6(1)(a))", I9499="Not Captured"), "Gap - Invalid Consent", IF(AND(D9499="Legitimate Interest (GDPR Art. 6(1)(f))", L9499=""), "Gap - Missing LIA", IF(AND(G9499="Yes", H9499=""), "Gap - Missing Art. 9 Basis", IF(OR(I9499="Invalid - Not Freely Given", I9499="Invalid - Not Specific", I9499="Invalid - Not Informed", I9499="Invalid - Ambiguous"), "Gap - Invalid Consent", "Compliant")))))</f>
        <v/>
      </c>
      <c r="O9499" s="7" t="n"/>
    </row>
    <row r="9500">
      <c r="A9500" s="7" t="n"/>
      <c r="B9500" s="7" t="n"/>
      <c r="C9500" s="7" t="n"/>
      <c r="D9500" s="7" t="n"/>
      <c r="E9500" s="7" t="n"/>
      <c r="F9500" s="7" t="n"/>
      <c r="G9500" s="7" t="n"/>
      <c r="H9500" s="7" t="n"/>
      <c r="I9500" s="7" t="n"/>
      <c r="J9500" s="7" t="n"/>
      <c r="K9500">
        <f>IF(D9500="Legitimate Interest (GDPR Art. 6(1)(f))", "Yes / Required (Sheet 3)", "")</f>
        <v/>
      </c>
      <c r="L9500" s="7" t="n"/>
      <c r="M9500" s="7" t="n"/>
      <c r="N9500">
        <f>IF(D9500="", "Gap - No Legal Basis", IF(AND(D9500="Consent (GDPR Art. 6(1)(a))", I9500="Not Captured"), "Gap - Invalid Consent", IF(AND(D9500="Legitimate Interest (GDPR Art. 6(1)(f))", L9500=""), "Gap - Missing LIA", IF(AND(G9500="Yes", H9500=""), "Gap - Missing Art. 9 Basis", IF(OR(I9500="Invalid - Not Freely Given", I9500="Invalid - Not Specific", I9500="Invalid - Not Informed", I9500="Invalid - Ambiguous"), "Gap - Invalid Consent", "Compliant")))))</f>
        <v/>
      </c>
      <c r="O9500" s="7" t="n"/>
    </row>
    <row r="9501">
      <c r="A9501" s="7" t="n"/>
      <c r="B9501" s="7" t="n"/>
      <c r="C9501" s="7" t="n"/>
      <c r="D9501" s="7" t="n"/>
      <c r="E9501" s="7" t="n"/>
      <c r="F9501" s="7" t="n"/>
      <c r="G9501" s="7" t="n"/>
      <c r="H9501" s="7" t="n"/>
      <c r="I9501" s="7" t="n"/>
      <c r="J9501" s="7" t="n"/>
      <c r="K9501">
        <f>IF(D9501="Legitimate Interest (GDPR Art. 6(1)(f))", "Yes / Required (Sheet 3)", "")</f>
        <v/>
      </c>
      <c r="L9501" s="7" t="n"/>
      <c r="M9501" s="7" t="n"/>
      <c r="N9501">
        <f>IF(D9501="", "Gap - No Legal Basis", IF(AND(D9501="Consent (GDPR Art. 6(1)(a))", I9501="Not Captured"), "Gap - Invalid Consent", IF(AND(D9501="Legitimate Interest (GDPR Art. 6(1)(f))", L9501=""), "Gap - Missing LIA", IF(AND(G9501="Yes", H9501=""), "Gap - Missing Art. 9 Basis", IF(OR(I9501="Invalid - Not Freely Given", I9501="Invalid - Not Specific", I9501="Invalid - Not Informed", I9501="Invalid - Ambiguous"), "Gap - Invalid Consent", "Compliant")))))</f>
        <v/>
      </c>
      <c r="O9501" s="7" t="n"/>
    </row>
    <row r="9502">
      <c r="A9502" s="7" t="n"/>
      <c r="B9502" s="7" t="n"/>
      <c r="C9502" s="7" t="n"/>
      <c r="D9502" s="7" t="n"/>
      <c r="E9502" s="7" t="n"/>
      <c r="F9502" s="7" t="n"/>
      <c r="G9502" s="7" t="n"/>
      <c r="H9502" s="7" t="n"/>
      <c r="I9502" s="7" t="n"/>
      <c r="J9502" s="7" t="n"/>
      <c r="K9502">
        <f>IF(D9502="Legitimate Interest (GDPR Art. 6(1)(f))", "Yes / Required (Sheet 3)", "")</f>
        <v/>
      </c>
      <c r="L9502" s="7" t="n"/>
      <c r="M9502" s="7" t="n"/>
      <c r="N9502">
        <f>IF(D9502="", "Gap - No Legal Basis", IF(AND(D9502="Consent (GDPR Art. 6(1)(a))", I9502="Not Captured"), "Gap - Invalid Consent", IF(AND(D9502="Legitimate Interest (GDPR Art. 6(1)(f))", L9502=""), "Gap - Missing LIA", IF(AND(G9502="Yes", H9502=""), "Gap - Missing Art. 9 Basis", IF(OR(I9502="Invalid - Not Freely Given", I9502="Invalid - Not Specific", I9502="Invalid - Not Informed", I9502="Invalid - Ambiguous"), "Gap - Invalid Consent", "Compliant")))))</f>
        <v/>
      </c>
      <c r="O9502" s="7" t="n"/>
    </row>
    <row r="9503">
      <c r="A9503" s="7" t="n"/>
      <c r="B9503" s="7" t="n"/>
      <c r="C9503" s="7" t="n"/>
      <c r="D9503" s="7" t="n"/>
      <c r="E9503" s="7" t="n"/>
      <c r="F9503" s="7" t="n"/>
      <c r="G9503" s="7" t="n"/>
      <c r="H9503" s="7" t="n"/>
      <c r="I9503" s="7" t="n"/>
      <c r="J9503" s="7" t="n"/>
      <c r="K9503">
        <f>IF(D9503="Legitimate Interest (GDPR Art. 6(1)(f))", "Yes / Required (Sheet 3)", "")</f>
        <v/>
      </c>
      <c r="L9503" s="7" t="n"/>
      <c r="M9503" s="7" t="n"/>
      <c r="N9503">
        <f>IF(D9503="", "Gap - No Legal Basis", IF(AND(D9503="Consent (GDPR Art. 6(1)(a))", I9503="Not Captured"), "Gap - Invalid Consent", IF(AND(D9503="Legitimate Interest (GDPR Art. 6(1)(f))", L9503=""), "Gap - Missing LIA", IF(AND(G9503="Yes", H9503=""), "Gap - Missing Art. 9 Basis", IF(OR(I9503="Invalid - Not Freely Given", I9503="Invalid - Not Specific", I9503="Invalid - Not Informed", I9503="Invalid - Ambiguous"), "Gap - Invalid Consent", "Compliant")))))</f>
        <v/>
      </c>
      <c r="O9503" s="7" t="n"/>
    </row>
    <row r="9504">
      <c r="A9504" s="7" t="n"/>
      <c r="B9504" s="7" t="n"/>
      <c r="C9504" s="7" t="n"/>
      <c r="D9504" s="7" t="n"/>
      <c r="E9504" s="7" t="n"/>
      <c r="F9504" s="7" t="n"/>
      <c r="G9504" s="7" t="n"/>
      <c r="H9504" s="7" t="n"/>
      <c r="I9504" s="7" t="n"/>
      <c r="J9504" s="7" t="n"/>
      <c r="K9504">
        <f>IF(D9504="Legitimate Interest (GDPR Art. 6(1)(f))", "Yes / Required (Sheet 3)", "")</f>
        <v/>
      </c>
      <c r="L9504" s="7" t="n"/>
      <c r="M9504" s="7" t="n"/>
      <c r="N9504">
        <f>IF(D9504="", "Gap - No Legal Basis", IF(AND(D9504="Consent (GDPR Art. 6(1)(a))", I9504="Not Captured"), "Gap - Invalid Consent", IF(AND(D9504="Legitimate Interest (GDPR Art. 6(1)(f))", L9504=""), "Gap - Missing LIA", IF(AND(G9504="Yes", H9504=""), "Gap - Missing Art. 9 Basis", IF(OR(I9504="Invalid - Not Freely Given", I9504="Invalid - Not Specific", I9504="Invalid - Not Informed", I9504="Invalid - Ambiguous"), "Gap - Invalid Consent", "Compliant")))))</f>
        <v/>
      </c>
      <c r="O9504" s="7" t="n"/>
    </row>
    <row r="9505">
      <c r="A9505" s="7" t="n"/>
      <c r="B9505" s="7" t="n"/>
      <c r="C9505" s="7" t="n"/>
      <c r="D9505" s="7" t="n"/>
      <c r="E9505" s="7" t="n"/>
      <c r="F9505" s="7" t="n"/>
      <c r="G9505" s="7" t="n"/>
      <c r="H9505" s="7" t="n"/>
      <c r="I9505" s="7" t="n"/>
      <c r="J9505" s="7" t="n"/>
      <c r="K9505">
        <f>IF(D9505="Legitimate Interest (GDPR Art. 6(1)(f))", "Yes / Required (Sheet 3)", "")</f>
        <v/>
      </c>
      <c r="L9505" s="7" t="n"/>
      <c r="M9505" s="7" t="n"/>
      <c r="N9505">
        <f>IF(D9505="", "Gap - No Legal Basis", IF(AND(D9505="Consent (GDPR Art. 6(1)(a))", I9505="Not Captured"), "Gap - Invalid Consent", IF(AND(D9505="Legitimate Interest (GDPR Art. 6(1)(f))", L9505=""), "Gap - Missing LIA", IF(AND(G9505="Yes", H9505=""), "Gap - Missing Art. 9 Basis", IF(OR(I9505="Invalid - Not Freely Given", I9505="Invalid - Not Specific", I9505="Invalid - Not Informed", I9505="Invalid - Ambiguous"), "Gap - Invalid Consent", "Compliant")))))</f>
        <v/>
      </c>
      <c r="O9505" s="7" t="n"/>
    </row>
    <row r="9506">
      <c r="A9506" s="7" t="n"/>
      <c r="B9506" s="7" t="n"/>
      <c r="C9506" s="7" t="n"/>
      <c r="D9506" s="7" t="n"/>
      <c r="E9506" s="7" t="n"/>
      <c r="F9506" s="7" t="n"/>
      <c r="G9506" s="7" t="n"/>
      <c r="H9506" s="7" t="n"/>
      <c r="I9506" s="7" t="n"/>
      <c r="J9506" s="7" t="n"/>
      <c r="K9506">
        <f>IF(D9506="Legitimate Interest (GDPR Art. 6(1)(f))", "Yes / Required (Sheet 3)", "")</f>
        <v/>
      </c>
      <c r="L9506" s="7" t="n"/>
      <c r="M9506" s="7" t="n"/>
      <c r="N9506">
        <f>IF(D9506="", "Gap - No Legal Basis", IF(AND(D9506="Consent (GDPR Art. 6(1)(a))", I9506="Not Captured"), "Gap - Invalid Consent", IF(AND(D9506="Legitimate Interest (GDPR Art. 6(1)(f))", L9506=""), "Gap - Missing LIA", IF(AND(G9506="Yes", H9506=""), "Gap - Missing Art. 9 Basis", IF(OR(I9506="Invalid - Not Freely Given", I9506="Invalid - Not Specific", I9506="Invalid - Not Informed", I9506="Invalid - Ambiguous"), "Gap - Invalid Consent", "Compliant")))))</f>
        <v/>
      </c>
      <c r="O9506" s="7" t="n"/>
    </row>
    <row r="9507">
      <c r="A9507" s="7" t="n"/>
      <c r="B9507" s="7" t="n"/>
      <c r="C9507" s="7" t="n"/>
      <c r="D9507" s="7" t="n"/>
      <c r="E9507" s="7" t="n"/>
      <c r="F9507" s="7" t="n"/>
      <c r="G9507" s="7" t="n"/>
      <c r="H9507" s="7" t="n"/>
      <c r="I9507" s="7" t="n"/>
      <c r="J9507" s="7" t="n"/>
      <c r="K9507">
        <f>IF(D9507="Legitimate Interest (GDPR Art. 6(1)(f))", "Yes / Required (Sheet 3)", "")</f>
        <v/>
      </c>
      <c r="L9507" s="7" t="n"/>
      <c r="M9507" s="7" t="n"/>
      <c r="N9507">
        <f>IF(D9507="", "Gap - No Legal Basis", IF(AND(D9507="Consent (GDPR Art. 6(1)(a))", I9507="Not Captured"), "Gap - Invalid Consent", IF(AND(D9507="Legitimate Interest (GDPR Art. 6(1)(f))", L9507=""), "Gap - Missing LIA", IF(AND(G9507="Yes", H9507=""), "Gap - Missing Art. 9 Basis", IF(OR(I9507="Invalid - Not Freely Given", I9507="Invalid - Not Specific", I9507="Invalid - Not Informed", I9507="Invalid - Ambiguous"), "Gap - Invalid Consent", "Compliant")))))</f>
        <v/>
      </c>
      <c r="O9507" s="7" t="n"/>
    </row>
    <row r="9508">
      <c r="A9508" s="7" t="n"/>
      <c r="B9508" s="7" t="n"/>
      <c r="C9508" s="7" t="n"/>
      <c r="D9508" s="7" t="n"/>
      <c r="E9508" s="7" t="n"/>
      <c r="F9508" s="7" t="n"/>
      <c r="G9508" s="7" t="n"/>
      <c r="H9508" s="7" t="n"/>
      <c r="I9508" s="7" t="n"/>
      <c r="J9508" s="7" t="n"/>
      <c r="K9508">
        <f>IF(D9508="Legitimate Interest (GDPR Art. 6(1)(f))", "Yes / Required (Sheet 3)", "")</f>
        <v/>
      </c>
      <c r="L9508" s="7" t="n"/>
      <c r="M9508" s="7" t="n"/>
      <c r="N9508">
        <f>IF(D9508="", "Gap - No Legal Basis", IF(AND(D9508="Consent (GDPR Art. 6(1)(a))", I9508="Not Captured"), "Gap - Invalid Consent", IF(AND(D9508="Legitimate Interest (GDPR Art. 6(1)(f))", L9508=""), "Gap - Missing LIA", IF(AND(G9508="Yes", H9508=""), "Gap - Missing Art. 9 Basis", IF(OR(I9508="Invalid - Not Freely Given", I9508="Invalid - Not Specific", I9508="Invalid - Not Informed", I9508="Invalid - Ambiguous"), "Gap - Invalid Consent", "Compliant")))))</f>
        <v/>
      </c>
      <c r="O9508" s="7" t="n"/>
    </row>
    <row r="9509">
      <c r="A9509" s="7" t="n"/>
      <c r="B9509" s="7" t="n"/>
      <c r="C9509" s="7" t="n"/>
      <c r="D9509" s="7" t="n"/>
      <c r="E9509" s="7" t="n"/>
      <c r="F9509" s="7" t="n"/>
      <c r="G9509" s="7" t="n"/>
      <c r="H9509" s="7" t="n"/>
      <c r="I9509" s="7" t="n"/>
      <c r="J9509" s="7" t="n"/>
      <c r="K9509">
        <f>IF(D9509="Legitimate Interest (GDPR Art. 6(1)(f))", "Yes / Required (Sheet 3)", "")</f>
        <v/>
      </c>
      <c r="L9509" s="7" t="n"/>
      <c r="M9509" s="7" t="n"/>
      <c r="N9509">
        <f>IF(D9509="", "Gap - No Legal Basis", IF(AND(D9509="Consent (GDPR Art. 6(1)(a))", I9509="Not Captured"), "Gap - Invalid Consent", IF(AND(D9509="Legitimate Interest (GDPR Art. 6(1)(f))", L9509=""), "Gap - Missing LIA", IF(AND(G9509="Yes", H9509=""), "Gap - Missing Art. 9 Basis", IF(OR(I9509="Invalid - Not Freely Given", I9509="Invalid - Not Specific", I9509="Invalid - Not Informed", I9509="Invalid - Ambiguous"), "Gap - Invalid Consent", "Compliant")))))</f>
        <v/>
      </c>
      <c r="O9509" s="7" t="n"/>
    </row>
    <row r="9510">
      <c r="A9510" s="7" t="n"/>
      <c r="B9510" s="7" t="n"/>
      <c r="C9510" s="7" t="n"/>
      <c r="D9510" s="7" t="n"/>
      <c r="E9510" s="7" t="n"/>
      <c r="F9510" s="7" t="n"/>
      <c r="G9510" s="7" t="n"/>
      <c r="H9510" s="7" t="n"/>
      <c r="I9510" s="7" t="n"/>
      <c r="J9510" s="7" t="n"/>
      <c r="K9510">
        <f>IF(D9510="Legitimate Interest (GDPR Art. 6(1)(f))", "Yes / Required (Sheet 3)", "")</f>
        <v/>
      </c>
      <c r="L9510" s="7" t="n"/>
      <c r="M9510" s="7" t="n"/>
      <c r="N9510">
        <f>IF(D9510="", "Gap - No Legal Basis", IF(AND(D9510="Consent (GDPR Art. 6(1)(a))", I9510="Not Captured"), "Gap - Invalid Consent", IF(AND(D9510="Legitimate Interest (GDPR Art. 6(1)(f))", L9510=""), "Gap - Missing LIA", IF(AND(G9510="Yes", H9510=""), "Gap - Missing Art. 9 Basis", IF(OR(I9510="Invalid - Not Freely Given", I9510="Invalid - Not Specific", I9510="Invalid - Not Informed", I9510="Invalid - Ambiguous"), "Gap - Invalid Consent", "Compliant")))))</f>
        <v/>
      </c>
      <c r="O9510" s="7" t="n"/>
    </row>
    <row r="9511">
      <c r="A9511" s="7" t="n"/>
      <c r="B9511" s="7" t="n"/>
      <c r="C9511" s="7" t="n"/>
      <c r="D9511" s="7" t="n"/>
      <c r="E9511" s="7" t="n"/>
      <c r="F9511" s="7" t="n"/>
      <c r="G9511" s="7" t="n"/>
      <c r="H9511" s="7" t="n"/>
      <c r="I9511" s="7" t="n"/>
      <c r="J9511" s="7" t="n"/>
      <c r="K9511">
        <f>IF(D9511="Legitimate Interest (GDPR Art. 6(1)(f))", "Yes / Required (Sheet 3)", "")</f>
        <v/>
      </c>
      <c r="L9511" s="7" t="n"/>
      <c r="M9511" s="7" t="n"/>
      <c r="N9511">
        <f>IF(D9511="", "Gap - No Legal Basis", IF(AND(D9511="Consent (GDPR Art. 6(1)(a))", I9511="Not Captured"), "Gap - Invalid Consent", IF(AND(D9511="Legitimate Interest (GDPR Art. 6(1)(f))", L9511=""), "Gap - Missing LIA", IF(AND(G9511="Yes", H9511=""), "Gap - Missing Art. 9 Basis", IF(OR(I9511="Invalid - Not Freely Given", I9511="Invalid - Not Specific", I9511="Invalid - Not Informed", I9511="Invalid - Ambiguous"), "Gap - Invalid Consent", "Compliant")))))</f>
        <v/>
      </c>
      <c r="O9511" s="7" t="n"/>
    </row>
    <row r="9512">
      <c r="A9512" s="7" t="n"/>
      <c r="B9512" s="7" t="n"/>
      <c r="C9512" s="7" t="n"/>
      <c r="D9512" s="7" t="n"/>
      <c r="E9512" s="7" t="n"/>
      <c r="F9512" s="7" t="n"/>
      <c r="G9512" s="7" t="n"/>
      <c r="H9512" s="7" t="n"/>
      <c r="I9512" s="7" t="n"/>
      <c r="J9512" s="7" t="n"/>
      <c r="K9512">
        <f>IF(D9512="Legitimate Interest (GDPR Art. 6(1)(f))", "Yes / Required (Sheet 3)", "")</f>
        <v/>
      </c>
      <c r="L9512" s="7" t="n"/>
      <c r="M9512" s="7" t="n"/>
      <c r="N9512">
        <f>IF(D9512="", "Gap - No Legal Basis", IF(AND(D9512="Consent (GDPR Art. 6(1)(a))", I9512="Not Captured"), "Gap - Invalid Consent", IF(AND(D9512="Legitimate Interest (GDPR Art. 6(1)(f))", L9512=""), "Gap - Missing LIA", IF(AND(G9512="Yes", H9512=""), "Gap - Missing Art. 9 Basis", IF(OR(I9512="Invalid - Not Freely Given", I9512="Invalid - Not Specific", I9512="Invalid - Not Informed", I9512="Invalid - Ambiguous"), "Gap - Invalid Consent", "Compliant")))))</f>
        <v/>
      </c>
      <c r="O9512" s="7" t="n"/>
    </row>
    <row r="9513">
      <c r="A9513" s="7" t="n"/>
      <c r="B9513" s="7" t="n"/>
      <c r="C9513" s="7" t="n"/>
      <c r="D9513" s="7" t="n"/>
      <c r="E9513" s="7" t="n"/>
      <c r="F9513" s="7" t="n"/>
      <c r="G9513" s="7" t="n"/>
      <c r="H9513" s="7" t="n"/>
      <c r="I9513" s="7" t="n"/>
      <c r="J9513" s="7" t="n"/>
      <c r="K9513">
        <f>IF(D9513="Legitimate Interest (GDPR Art. 6(1)(f))", "Yes / Required (Sheet 3)", "")</f>
        <v/>
      </c>
      <c r="L9513" s="7" t="n"/>
      <c r="M9513" s="7" t="n"/>
      <c r="N9513">
        <f>IF(D9513="", "Gap - No Legal Basis", IF(AND(D9513="Consent (GDPR Art. 6(1)(a))", I9513="Not Captured"), "Gap - Invalid Consent", IF(AND(D9513="Legitimate Interest (GDPR Art. 6(1)(f))", L9513=""), "Gap - Missing LIA", IF(AND(G9513="Yes", H9513=""), "Gap - Missing Art. 9 Basis", IF(OR(I9513="Invalid - Not Freely Given", I9513="Invalid - Not Specific", I9513="Invalid - Not Informed", I9513="Invalid - Ambiguous"), "Gap - Invalid Consent", "Compliant")))))</f>
        <v/>
      </c>
      <c r="O9513" s="7" t="n"/>
    </row>
    <row r="9514">
      <c r="A9514" s="7" t="n"/>
      <c r="B9514" s="7" t="n"/>
      <c r="C9514" s="7" t="n"/>
      <c r="D9514" s="7" t="n"/>
      <c r="E9514" s="7" t="n"/>
      <c r="F9514" s="7" t="n"/>
      <c r="G9514" s="7" t="n"/>
      <c r="H9514" s="7" t="n"/>
      <c r="I9514" s="7" t="n"/>
      <c r="J9514" s="7" t="n"/>
      <c r="K9514">
        <f>IF(D9514="Legitimate Interest (GDPR Art. 6(1)(f))", "Yes / Required (Sheet 3)", "")</f>
        <v/>
      </c>
      <c r="L9514" s="7" t="n"/>
      <c r="M9514" s="7" t="n"/>
      <c r="N9514">
        <f>IF(D9514="", "Gap - No Legal Basis", IF(AND(D9514="Consent (GDPR Art. 6(1)(a))", I9514="Not Captured"), "Gap - Invalid Consent", IF(AND(D9514="Legitimate Interest (GDPR Art. 6(1)(f))", L9514=""), "Gap - Missing LIA", IF(AND(G9514="Yes", H9514=""), "Gap - Missing Art. 9 Basis", IF(OR(I9514="Invalid - Not Freely Given", I9514="Invalid - Not Specific", I9514="Invalid - Not Informed", I9514="Invalid - Ambiguous"), "Gap - Invalid Consent", "Compliant")))))</f>
        <v/>
      </c>
      <c r="O9514" s="7" t="n"/>
    </row>
    <row r="9515">
      <c r="A9515" s="7" t="n"/>
      <c r="B9515" s="7" t="n"/>
      <c r="C9515" s="7" t="n"/>
      <c r="D9515" s="7" t="n"/>
      <c r="E9515" s="7" t="n"/>
      <c r="F9515" s="7" t="n"/>
      <c r="G9515" s="7" t="n"/>
      <c r="H9515" s="7" t="n"/>
      <c r="I9515" s="7" t="n"/>
      <c r="J9515" s="7" t="n"/>
      <c r="K9515">
        <f>IF(D9515="Legitimate Interest (GDPR Art. 6(1)(f))", "Yes / Required (Sheet 3)", "")</f>
        <v/>
      </c>
      <c r="L9515" s="7" t="n"/>
      <c r="M9515" s="7" t="n"/>
      <c r="N9515">
        <f>IF(D9515="", "Gap - No Legal Basis", IF(AND(D9515="Consent (GDPR Art. 6(1)(a))", I9515="Not Captured"), "Gap - Invalid Consent", IF(AND(D9515="Legitimate Interest (GDPR Art. 6(1)(f))", L9515=""), "Gap - Missing LIA", IF(AND(G9515="Yes", H9515=""), "Gap - Missing Art. 9 Basis", IF(OR(I9515="Invalid - Not Freely Given", I9515="Invalid - Not Specific", I9515="Invalid - Not Informed", I9515="Invalid - Ambiguous"), "Gap - Invalid Consent", "Compliant")))))</f>
        <v/>
      </c>
      <c r="O9515" s="7" t="n"/>
    </row>
    <row r="9516">
      <c r="A9516" s="7" t="n"/>
      <c r="B9516" s="7" t="n"/>
      <c r="C9516" s="7" t="n"/>
      <c r="D9516" s="7" t="n"/>
      <c r="E9516" s="7" t="n"/>
      <c r="F9516" s="7" t="n"/>
      <c r="G9516" s="7" t="n"/>
      <c r="H9516" s="7" t="n"/>
      <c r="I9516" s="7" t="n"/>
      <c r="J9516" s="7" t="n"/>
      <c r="K9516">
        <f>IF(D9516="Legitimate Interest (GDPR Art. 6(1)(f))", "Yes / Required (Sheet 3)", "")</f>
        <v/>
      </c>
      <c r="L9516" s="7" t="n"/>
      <c r="M9516" s="7" t="n"/>
      <c r="N9516">
        <f>IF(D9516="", "Gap - No Legal Basis", IF(AND(D9516="Consent (GDPR Art. 6(1)(a))", I9516="Not Captured"), "Gap - Invalid Consent", IF(AND(D9516="Legitimate Interest (GDPR Art. 6(1)(f))", L9516=""), "Gap - Missing LIA", IF(AND(G9516="Yes", H9516=""), "Gap - Missing Art. 9 Basis", IF(OR(I9516="Invalid - Not Freely Given", I9516="Invalid - Not Specific", I9516="Invalid - Not Informed", I9516="Invalid - Ambiguous"), "Gap - Invalid Consent", "Compliant")))))</f>
        <v/>
      </c>
      <c r="O9516" s="7" t="n"/>
    </row>
    <row r="9517">
      <c r="A9517" s="7" t="n"/>
      <c r="B9517" s="7" t="n"/>
      <c r="C9517" s="7" t="n"/>
      <c r="D9517" s="7" t="n"/>
      <c r="E9517" s="7" t="n"/>
      <c r="F9517" s="7" t="n"/>
      <c r="G9517" s="7" t="n"/>
      <c r="H9517" s="7" t="n"/>
      <c r="I9517" s="7" t="n"/>
      <c r="J9517" s="7" t="n"/>
      <c r="K9517">
        <f>IF(D9517="Legitimate Interest (GDPR Art. 6(1)(f))", "Yes / Required (Sheet 3)", "")</f>
        <v/>
      </c>
      <c r="L9517" s="7" t="n"/>
      <c r="M9517" s="7" t="n"/>
      <c r="N9517">
        <f>IF(D9517="", "Gap - No Legal Basis", IF(AND(D9517="Consent (GDPR Art. 6(1)(a))", I9517="Not Captured"), "Gap - Invalid Consent", IF(AND(D9517="Legitimate Interest (GDPR Art. 6(1)(f))", L9517=""), "Gap - Missing LIA", IF(AND(G9517="Yes", H9517=""), "Gap - Missing Art. 9 Basis", IF(OR(I9517="Invalid - Not Freely Given", I9517="Invalid - Not Specific", I9517="Invalid - Not Informed", I9517="Invalid - Ambiguous"), "Gap - Invalid Consent", "Compliant")))))</f>
        <v/>
      </c>
      <c r="O9517" s="7" t="n"/>
    </row>
    <row r="9518">
      <c r="A9518" s="7" t="n"/>
      <c r="B9518" s="7" t="n"/>
      <c r="C9518" s="7" t="n"/>
      <c r="D9518" s="7" t="n"/>
      <c r="E9518" s="7" t="n"/>
      <c r="F9518" s="7" t="n"/>
      <c r="G9518" s="7" t="n"/>
      <c r="H9518" s="7" t="n"/>
      <c r="I9518" s="7" t="n"/>
      <c r="J9518" s="7" t="n"/>
      <c r="K9518">
        <f>IF(D9518="Legitimate Interest (GDPR Art. 6(1)(f))", "Yes / Required (Sheet 3)", "")</f>
        <v/>
      </c>
      <c r="L9518" s="7" t="n"/>
      <c r="M9518" s="7" t="n"/>
      <c r="N9518">
        <f>IF(D9518="", "Gap - No Legal Basis", IF(AND(D9518="Consent (GDPR Art. 6(1)(a))", I9518="Not Captured"), "Gap - Invalid Consent", IF(AND(D9518="Legitimate Interest (GDPR Art. 6(1)(f))", L9518=""), "Gap - Missing LIA", IF(AND(G9518="Yes", H9518=""), "Gap - Missing Art. 9 Basis", IF(OR(I9518="Invalid - Not Freely Given", I9518="Invalid - Not Specific", I9518="Invalid - Not Informed", I9518="Invalid - Ambiguous"), "Gap - Invalid Consent", "Compliant")))))</f>
        <v/>
      </c>
      <c r="O9518" s="7" t="n"/>
    </row>
    <row r="9519">
      <c r="A9519" s="7" t="n"/>
      <c r="B9519" s="7" t="n"/>
      <c r="C9519" s="7" t="n"/>
      <c r="D9519" s="7" t="n"/>
      <c r="E9519" s="7" t="n"/>
      <c r="F9519" s="7" t="n"/>
      <c r="G9519" s="7" t="n"/>
      <c r="H9519" s="7" t="n"/>
      <c r="I9519" s="7" t="n"/>
      <c r="J9519" s="7" t="n"/>
      <c r="K9519">
        <f>IF(D9519="Legitimate Interest (GDPR Art. 6(1)(f))", "Yes / Required (Sheet 3)", "")</f>
        <v/>
      </c>
      <c r="L9519" s="7" t="n"/>
      <c r="M9519" s="7" t="n"/>
      <c r="N9519">
        <f>IF(D9519="", "Gap - No Legal Basis", IF(AND(D9519="Consent (GDPR Art. 6(1)(a))", I9519="Not Captured"), "Gap - Invalid Consent", IF(AND(D9519="Legitimate Interest (GDPR Art. 6(1)(f))", L9519=""), "Gap - Missing LIA", IF(AND(G9519="Yes", H9519=""), "Gap - Missing Art. 9 Basis", IF(OR(I9519="Invalid - Not Freely Given", I9519="Invalid - Not Specific", I9519="Invalid - Not Informed", I9519="Invalid - Ambiguous"), "Gap - Invalid Consent", "Compliant")))))</f>
        <v/>
      </c>
      <c r="O9519" s="7" t="n"/>
    </row>
    <row r="9520">
      <c r="A9520" s="7" t="n"/>
      <c r="B9520" s="7" t="n"/>
      <c r="C9520" s="7" t="n"/>
      <c r="D9520" s="7" t="n"/>
      <c r="E9520" s="7" t="n"/>
      <c r="F9520" s="7" t="n"/>
      <c r="G9520" s="7" t="n"/>
      <c r="H9520" s="7" t="n"/>
      <c r="I9520" s="7" t="n"/>
      <c r="J9520" s="7" t="n"/>
      <c r="K9520">
        <f>IF(D9520="Legitimate Interest (GDPR Art. 6(1)(f))", "Yes / Required (Sheet 3)", "")</f>
        <v/>
      </c>
      <c r="L9520" s="7" t="n"/>
      <c r="M9520" s="7" t="n"/>
      <c r="N9520">
        <f>IF(D9520="", "Gap - No Legal Basis", IF(AND(D9520="Consent (GDPR Art. 6(1)(a))", I9520="Not Captured"), "Gap - Invalid Consent", IF(AND(D9520="Legitimate Interest (GDPR Art. 6(1)(f))", L9520=""), "Gap - Missing LIA", IF(AND(G9520="Yes", H9520=""), "Gap - Missing Art. 9 Basis", IF(OR(I9520="Invalid - Not Freely Given", I9520="Invalid - Not Specific", I9520="Invalid - Not Informed", I9520="Invalid - Ambiguous"), "Gap - Invalid Consent", "Compliant")))))</f>
        <v/>
      </c>
      <c r="O9520" s="7" t="n"/>
    </row>
    <row r="9521">
      <c r="A9521" s="7" t="n"/>
      <c r="B9521" s="7" t="n"/>
      <c r="C9521" s="7" t="n"/>
      <c r="D9521" s="7" t="n"/>
      <c r="E9521" s="7" t="n"/>
      <c r="F9521" s="7" t="n"/>
      <c r="G9521" s="7" t="n"/>
      <c r="H9521" s="7" t="n"/>
      <c r="I9521" s="7" t="n"/>
      <c r="J9521" s="7" t="n"/>
      <c r="K9521">
        <f>IF(D9521="Legitimate Interest (GDPR Art. 6(1)(f))", "Yes / Required (Sheet 3)", "")</f>
        <v/>
      </c>
      <c r="L9521" s="7" t="n"/>
      <c r="M9521" s="7" t="n"/>
      <c r="N9521">
        <f>IF(D9521="", "Gap - No Legal Basis", IF(AND(D9521="Consent (GDPR Art. 6(1)(a))", I9521="Not Captured"), "Gap - Invalid Consent", IF(AND(D9521="Legitimate Interest (GDPR Art. 6(1)(f))", L9521=""), "Gap - Missing LIA", IF(AND(G9521="Yes", H9521=""), "Gap - Missing Art. 9 Basis", IF(OR(I9521="Invalid - Not Freely Given", I9521="Invalid - Not Specific", I9521="Invalid - Not Informed", I9521="Invalid - Ambiguous"), "Gap - Invalid Consent", "Compliant")))))</f>
        <v/>
      </c>
      <c r="O9521" s="7" t="n"/>
    </row>
    <row r="9522">
      <c r="A9522" s="7" t="n"/>
      <c r="B9522" s="7" t="n"/>
      <c r="C9522" s="7" t="n"/>
      <c r="D9522" s="7" t="n"/>
      <c r="E9522" s="7" t="n"/>
      <c r="F9522" s="7" t="n"/>
      <c r="G9522" s="7" t="n"/>
      <c r="H9522" s="7" t="n"/>
      <c r="I9522" s="7" t="n"/>
      <c r="J9522" s="7" t="n"/>
      <c r="K9522">
        <f>IF(D9522="Legitimate Interest (GDPR Art. 6(1)(f))", "Yes / Required (Sheet 3)", "")</f>
        <v/>
      </c>
      <c r="L9522" s="7" t="n"/>
      <c r="M9522" s="7" t="n"/>
      <c r="N9522">
        <f>IF(D9522="", "Gap - No Legal Basis", IF(AND(D9522="Consent (GDPR Art. 6(1)(a))", I9522="Not Captured"), "Gap - Invalid Consent", IF(AND(D9522="Legitimate Interest (GDPR Art. 6(1)(f))", L9522=""), "Gap - Missing LIA", IF(AND(G9522="Yes", H9522=""), "Gap - Missing Art. 9 Basis", IF(OR(I9522="Invalid - Not Freely Given", I9522="Invalid - Not Specific", I9522="Invalid - Not Informed", I9522="Invalid - Ambiguous"), "Gap - Invalid Consent", "Compliant")))))</f>
        <v/>
      </c>
      <c r="O9522" s="7" t="n"/>
    </row>
    <row r="9523">
      <c r="A9523" s="7" t="n"/>
      <c r="B9523" s="7" t="n"/>
      <c r="C9523" s="7" t="n"/>
      <c r="D9523" s="7" t="n"/>
      <c r="E9523" s="7" t="n"/>
      <c r="F9523" s="7" t="n"/>
      <c r="G9523" s="7" t="n"/>
      <c r="H9523" s="7" t="n"/>
      <c r="I9523" s="7" t="n"/>
      <c r="J9523" s="7" t="n"/>
      <c r="K9523">
        <f>IF(D9523="Legitimate Interest (GDPR Art. 6(1)(f))", "Yes / Required (Sheet 3)", "")</f>
        <v/>
      </c>
      <c r="L9523" s="7" t="n"/>
      <c r="M9523" s="7" t="n"/>
      <c r="N9523">
        <f>IF(D9523="", "Gap - No Legal Basis", IF(AND(D9523="Consent (GDPR Art. 6(1)(a))", I9523="Not Captured"), "Gap - Invalid Consent", IF(AND(D9523="Legitimate Interest (GDPR Art. 6(1)(f))", L9523=""), "Gap - Missing LIA", IF(AND(G9523="Yes", H9523=""), "Gap - Missing Art. 9 Basis", IF(OR(I9523="Invalid - Not Freely Given", I9523="Invalid - Not Specific", I9523="Invalid - Not Informed", I9523="Invalid - Ambiguous"), "Gap - Invalid Consent", "Compliant")))))</f>
        <v/>
      </c>
      <c r="O9523" s="7" t="n"/>
    </row>
    <row r="9524">
      <c r="A9524" s="7" t="n"/>
      <c r="B9524" s="7" t="n"/>
      <c r="C9524" s="7" t="n"/>
      <c r="D9524" s="7" t="n"/>
      <c r="E9524" s="7" t="n"/>
      <c r="F9524" s="7" t="n"/>
      <c r="G9524" s="7" t="n"/>
      <c r="H9524" s="7" t="n"/>
      <c r="I9524" s="7" t="n"/>
      <c r="J9524" s="7" t="n"/>
      <c r="K9524">
        <f>IF(D9524="Legitimate Interest (GDPR Art. 6(1)(f))", "Yes / Required (Sheet 3)", "")</f>
        <v/>
      </c>
      <c r="L9524" s="7" t="n"/>
      <c r="M9524" s="7" t="n"/>
      <c r="N9524">
        <f>IF(D9524="", "Gap - No Legal Basis", IF(AND(D9524="Consent (GDPR Art. 6(1)(a))", I9524="Not Captured"), "Gap - Invalid Consent", IF(AND(D9524="Legitimate Interest (GDPR Art. 6(1)(f))", L9524=""), "Gap - Missing LIA", IF(AND(G9524="Yes", H9524=""), "Gap - Missing Art. 9 Basis", IF(OR(I9524="Invalid - Not Freely Given", I9524="Invalid - Not Specific", I9524="Invalid - Not Informed", I9524="Invalid - Ambiguous"), "Gap - Invalid Consent", "Compliant")))))</f>
        <v/>
      </c>
      <c r="O9524" s="7" t="n"/>
    </row>
    <row r="9525">
      <c r="A9525" s="7" t="n"/>
      <c r="B9525" s="7" t="n"/>
      <c r="C9525" s="7" t="n"/>
      <c r="D9525" s="7" t="n"/>
      <c r="E9525" s="7" t="n"/>
      <c r="F9525" s="7" t="n"/>
      <c r="G9525" s="7" t="n"/>
      <c r="H9525" s="7" t="n"/>
      <c r="I9525" s="7" t="n"/>
      <c r="J9525" s="7" t="n"/>
      <c r="K9525">
        <f>IF(D9525="Legitimate Interest (GDPR Art. 6(1)(f))", "Yes / Required (Sheet 3)", "")</f>
        <v/>
      </c>
      <c r="L9525" s="7" t="n"/>
      <c r="M9525" s="7" t="n"/>
      <c r="N9525">
        <f>IF(D9525="", "Gap - No Legal Basis", IF(AND(D9525="Consent (GDPR Art. 6(1)(a))", I9525="Not Captured"), "Gap - Invalid Consent", IF(AND(D9525="Legitimate Interest (GDPR Art. 6(1)(f))", L9525=""), "Gap - Missing LIA", IF(AND(G9525="Yes", H9525=""), "Gap - Missing Art. 9 Basis", IF(OR(I9525="Invalid - Not Freely Given", I9525="Invalid - Not Specific", I9525="Invalid - Not Informed", I9525="Invalid - Ambiguous"), "Gap - Invalid Consent", "Compliant")))))</f>
        <v/>
      </c>
      <c r="O9525" s="7" t="n"/>
    </row>
    <row r="9526">
      <c r="A9526" s="7" t="n"/>
      <c r="B9526" s="7" t="n"/>
      <c r="C9526" s="7" t="n"/>
      <c r="D9526" s="7" t="n"/>
      <c r="E9526" s="7" t="n"/>
      <c r="F9526" s="7" t="n"/>
      <c r="G9526" s="7" t="n"/>
      <c r="H9526" s="7" t="n"/>
      <c r="I9526" s="7" t="n"/>
      <c r="J9526" s="7" t="n"/>
      <c r="K9526">
        <f>IF(D9526="Legitimate Interest (GDPR Art. 6(1)(f))", "Yes / Required (Sheet 3)", "")</f>
        <v/>
      </c>
      <c r="L9526" s="7" t="n"/>
      <c r="M9526" s="7" t="n"/>
      <c r="N9526">
        <f>IF(D9526="", "Gap - No Legal Basis", IF(AND(D9526="Consent (GDPR Art. 6(1)(a))", I9526="Not Captured"), "Gap - Invalid Consent", IF(AND(D9526="Legitimate Interest (GDPR Art. 6(1)(f))", L9526=""), "Gap - Missing LIA", IF(AND(G9526="Yes", H9526=""), "Gap - Missing Art. 9 Basis", IF(OR(I9526="Invalid - Not Freely Given", I9526="Invalid - Not Specific", I9526="Invalid - Not Informed", I9526="Invalid - Ambiguous"), "Gap - Invalid Consent", "Compliant")))))</f>
        <v/>
      </c>
      <c r="O9526" s="7" t="n"/>
    </row>
    <row r="9527">
      <c r="A9527" s="7" t="n"/>
      <c r="B9527" s="7" t="n"/>
      <c r="C9527" s="7" t="n"/>
      <c r="D9527" s="7" t="n"/>
      <c r="E9527" s="7" t="n"/>
      <c r="F9527" s="7" t="n"/>
      <c r="G9527" s="7" t="n"/>
      <c r="H9527" s="7" t="n"/>
      <c r="I9527" s="7" t="n"/>
      <c r="J9527" s="7" t="n"/>
      <c r="K9527">
        <f>IF(D9527="Legitimate Interest (GDPR Art. 6(1)(f))", "Yes / Required (Sheet 3)", "")</f>
        <v/>
      </c>
      <c r="L9527" s="7" t="n"/>
      <c r="M9527" s="7" t="n"/>
      <c r="N9527">
        <f>IF(D9527="", "Gap - No Legal Basis", IF(AND(D9527="Consent (GDPR Art. 6(1)(a))", I9527="Not Captured"), "Gap - Invalid Consent", IF(AND(D9527="Legitimate Interest (GDPR Art. 6(1)(f))", L9527=""), "Gap - Missing LIA", IF(AND(G9527="Yes", H9527=""), "Gap - Missing Art. 9 Basis", IF(OR(I9527="Invalid - Not Freely Given", I9527="Invalid - Not Specific", I9527="Invalid - Not Informed", I9527="Invalid - Ambiguous"), "Gap - Invalid Consent", "Compliant")))))</f>
        <v/>
      </c>
      <c r="O9527" s="7" t="n"/>
    </row>
    <row r="9528">
      <c r="A9528" s="7" t="n"/>
      <c r="B9528" s="7" t="n"/>
      <c r="C9528" s="7" t="n"/>
      <c r="D9528" s="7" t="n"/>
      <c r="E9528" s="7" t="n"/>
      <c r="F9528" s="7" t="n"/>
      <c r="G9528" s="7" t="n"/>
      <c r="H9528" s="7" t="n"/>
      <c r="I9528" s="7" t="n"/>
      <c r="J9528" s="7" t="n"/>
      <c r="K9528">
        <f>IF(D9528="Legitimate Interest (GDPR Art. 6(1)(f))", "Yes / Required (Sheet 3)", "")</f>
        <v/>
      </c>
      <c r="L9528" s="7" t="n"/>
      <c r="M9528" s="7" t="n"/>
      <c r="N9528">
        <f>IF(D9528="", "Gap - No Legal Basis", IF(AND(D9528="Consent (GDPR Art. 6(1)(a))", I9528="Not Captured"), "Gap - Invalid Consent", IF(AND(D9528="Legitimate Interest (GDPR Art. 6(1)(f))", L9528=""), "Gap - Missing LIA", IF(AND(G9528="Yes", H9528=""), "Gap - Missing Art. 9 Basis", IF(OR(I9528="Invalid - Not Freely Given", I9528="Invalid - Not Specific", I9528="Invalid - Not Informed", I9528="Invalid - Ambiguous"), "Gap - Invalid Consent", "Compliant")))))</f>
        <v/>
      </c>
      <c r="O9528" s="7" t="n"/>
    </row>
    <row r="9529">
      <c r="A9529" s="7" t="n"/>
      <c r="B9529" s="7" t="n"/>
      <c r="C9529" s="7" t="n"/>
      <c r="D9529" s="7" t="n"/>
      <c r="E9529" s="7" t="n"/>
      <c r="F9529" s="7" t="n"/>
      <c r="G9529" s="7" t="n"/>
      <c r="H9529" s="7" t="n"/>
      <c r="I9529" s="7" t="n"/>
      <c r="J9529" s="7" t="n"/>
      <c r="K9529">
        <f>IF(D9529="Legitimate Interest (GDPR Art. 6(1)(f))", "Yes / Required (Sheet 3)", "")</f>
        <v/>
      </c>
      <c r="L9529" s="7" t="n"/>
      <c r="M9529" s="7" t="n"/>
      <c r="N9529">
        <f>IF(D9529="", "Gap - No Legal Basis", IF(AND(D9529="Consent (GDPR Art. 6(1)(a))", I9529="Not Captured"), "Gap - Invalid Consent", IF(AND(D9529="Legitimate Interest (GDPR Art. 6(1)(f))", L9529=""), "Gap - Missing LIA", IF(AND(G9529="Yes", H9529=""), "Gap - Missing Art. 9 Basis", IF(OR(I9529="Invalid - Not Freely Given", I9529="Invalid - Not Specific", I9529="Invalid - Not Informed", I9529="Invalid - Ambiguous"), "Gap - Invalid Consent", "Compliant")))))</f>
        <v/>
      </c>
      <c r="O9529" s="7" t="n"/>
    </row>
    <row r="9530">
      <c r="A9530" s="7" t="n"/>
      <c r="B9530" s="7" t="n"/>
      <c r="C9530" s="7" t="n"/>
      <c r="D9530" s="7" t="n"/>
      <c r="E9530" s="7" t="n"/>
      <c r="F9530" s="7" t="n"/>
      <c r="G9530" s="7" t="n"/>
      <c r="H9530" s="7" t="n"/>
      <c r="I9530" s="7" t="n"/>
      <c r="J9530" s="7" t="n"/>
      <c r="K9530">
        <f>IF(D9530="Legitimate Interest (GDPR Art. 6(1)(f))", "Yes / Required (Sheet 3)", "")</f>
        <v/>
      </c>
      <c r="L9530" s="7" t="n"/>
      <c r="M9530" s="7" t="n"/>
      <c r="N9530">
        <f>IF(D9530="", "Gap - No Legal Basis", IF(AND(D9530="Consent (GDPR Art. 6(1)(a))", I9530="Not Captured"), "Gap - Invalid Consent", IF(AND(D9530="Legitimate Interest (GDPR Art. 6(1)(f))", L9530=""), "Gap - Missing LIA", IF(AND(G9530="Yes", H9530=""), "Gap - Missing Art. 9 Basis", IF(OR(I9530="Invalid - Not Freely Given", I9530="Invalid - Not Specific", I9530="Invalid - Not Informed", I9530="Invalid - Ambiguous"), "Gap - Invalid Consent", "Compliant")))))</f>
        <v/>
      </c>
      <c r="O9530" s="7" t="n"/>
    </row>
    <row r="9531">
      <c r="A9531" s="7" t="n"/>
      <c r="B9531" s="7" t="n"/>
      <c r="C9531" s="7" t="n"/>
      <c r="D9531" s="7" t="n"/>
      <c r="E9531" s="7" t="n"/>
      <c r="F9531" s="7" t="n"/>
      <c r="G9531" s="7" t="n"/>
      <c r="H9531" s="7" t="n"/>
      <c r="I9531" s="7" t="n"/>
      <c r="J9531" s="7" t="n"/>
      <c r="K9531">
        <f>IF(D9531="Legitimate Interest (GDPR Art. 6(1)(f))", "Yes / Required (Sheet 3)", "")</f>
        <v/>
      </c>
      <c r="L9531" s="7" t="n"/>
      <c r="M9531" s="7" t="n"/>
      <c r="N9531">
        <f>IF(D9531="", "Gap - No Legal Basis", IF(AND(D9531="Consent (GDPR Art. 6(1)(a))", I9531="Not Captured"), "Gap - Invalid Consent", IF(AND(D9531="Legitimate Interest (GDPR Art. 6(1)(f))", L9531=""), "Gap - Missing LIA", IF(AND(G9531="Yes", H9531=""), "Gap - Missing Art. 9 Basis", IF(OR(I9531="Invalid - Not Freely Given", I9531="Invalid - Not Specific", I9531="Invalid - Not Informed", I9531="Invalid - Ambiguous"), "Gap - Invalid Consent", "Compliant")))))</f>
        <v/>
      </c>
      <c r="O9531" s="7" t="n"/>
    </row>
    <row r="9532">
      <c r="A9532" s="7" t="n"/>
      <c r="B9532" s="7" t="n"/>
      <c r="C9532" s="7" t="n"/>
      <c r="D9532" s="7" t="n"/>
      <c r="E9532" s="7" t="n"/>
      <c r="F9532" s="7" t="n"/>
      <c r="G9532" s="7" t="n"/>
      <c r="H9532" s="7" t="n"/>
      <c r="I9532" s="7" t="n"/>
      <c r="J9532" s="7" t="n"/>
      <c r="K9532">
        <f>IF(D9532="Legitimate Interest (GDPR Art. 6(1)(f))", "Yes / Required (Sheet 3)", "")</f>
        <v/>
      </c>
      <c r="L9532" s="7" t="n"/>
      <c r="M9532" s="7" t="n"/>
      <c r="N9532">
        <f>IF(D9532="", "Gap - No Legal Basis", IF(AND(D9532="Consent (GDPR Art. 6(1)(a))", I9532="Not Captured"), "Gap - Invalid Consent", IF(AND(D9532="Legitimate Interest (GDPR Art. 6(1)(f))", L9532=""), "Gap - Missing LIA", IF(AND(G9532="Yes", H9532=""), "Gap - Missing Art. 9 Basis", IF(OR(I9532="Invalid - Not Freely Given", I9532="Invalid - Not Specific", I9532="Invalid - Not Informed", I9532="Invalid - Ambiguous"), "Gap - Invalid Consent", "Compliant")))))</f>
        <v/>
      </c>
      <c r="O9532" s="7" t="n"/>
    </row>
    <row r="9533">
      <c r="A9533" s="7" t="n"/>
      <c r="B9533" s="7" t="n"/>
      <c r="C9533" s="7" t="n"/>
      <c r="D9533" s="7" t="n"/>
      <c r="E9533" s="7" t="n"/>
      <c r="F9533" s="7" t="n"/>
      <c r="G9533" s="7" t="n"/>
      <c r="H9533" s="7" t="n"/>
      <c r="I9533" s="7" t="n"/>
      <c r="J9533" s="7" t="n"/>
      <c r="K9533">
        <f>IF(D9533="Legitimate Interest (GDPR Art. 6(1)(f))", "Yes / Required (Sheet 3)", "")</f>
        <v/>
      </c>
      <c r="L9533" s="7" t="n"/>
      <c r="M9533" s="7" t="n"/>
      <c r="N9533">
        <f>IF(D9533="", "Gap - No Legal Basis", IF(AND(D9533="Consent (GDPR Art. 6(1)(a))", I9533="Not Captured"), "Gap - Invalid Consent", IF(AND(D9533="Legitimate Interest (GDPR Art. 6(1)(f))", L9533=""), "Gap - Missing LIA", IF(AND(G9533="Yes", H9533=""), "Gap - Missing Art. 9 Basis", IF(OR(I9533="Invalid - Not Freely Given", I9533="Invalid - Not Specific", I9533="Invalid - Not Informed", I9533="Invalid - Ambiguous"), "Gap - Invalid Consent", "Compliant")))))</f>
        <v/>
      </c>
      <c r="O9533" s="7" t="n"/>
    </row>
    <row r="9534">
      <c r="A9534" s="7" t="n"/>
      <c r="B9534" s="7" t="n"/>
      <c r="C9534" s="7" t="n"/>
      <c r="D9534" s="7" t="n"/>
      <c r="E9534" s="7" t="n"/>
      <c r="F9534" s="7" t="n"/>
      <c r="G9534" s="7" t="n"/>
      <c r="H9534" s="7" t="n"/>
      <c r="I9534" s="7" t="n"/>
      <c r="J9534" s="7" t="n"/>
      <c r="K9534">
        <f>IF(D9534="Legitimate Interest (GDPR Art. 6(1)(f))", "Yes / Required (Sheet 3)", "")</f>
        <v/>
      </c>
      <c r="L9534" s="7" t="n"/>
      <c r="M9534" s="7" t="n"/>
      <c r="N9534">
        <f>IF(D9534="", "Gap - No Legal Basis", IF(AND(D9534="Consent (GDPR Art. 6(1)(a))", I9534="Not Captured"), "Gap - Invalid Consent", IF(AND(D9534="Legitimate Interest (GDPR Art. 6(1)(f))", L9534=""), "Gap - Missing LIA", IF(AND(G9534="Yes", H9534=""), "Gap - Missing Art. 9 Basis", IF(OR(I9534="Invalid - Not Freely Given", I9534="Invalid - Not Specific", I9534="Invalid - Not Informed", I9534="Invalid - Ambiguous"), "Gap - Invalid Consent", "Compliant")))))</f>
        <v/>
      </c>
      <c r="O9534" s="7" t="n"/>
    </row>
    <row r="9535">
      <c r="A9535" s="7" t="n"/>
      <c r="B9535" s="7" t="n"/>
      <c r="C9535" s="7" t="n"/>
      <c r="D9535" s="7" t="n"/>
      <c r="E9535" s="7" t="n"/>
      <c r="F9535" s="7" t="n"/>
      <c r="G9535" s="7" t="n"/>
      <c r="H9535" s="7" t="n"/>
      <c r="I9535" s="7" t="n"/>
      <c r="J9535" s="7" t="n"/>
      <c r="K9535">
        <f>IF(D9535="Legitimate Interest (GDPR Art. 6(1)(f))", "Yes / Required (Sheet 3)", "")</f>
        <v/>
      </c>
      <c r="L9535" s="7" t="n"/>
      <c r="M9535" s="7" t="n"/>
      <c r="N9535">
        <f>IF(D9535="", "Gap - No Legal Basis", IF(AND(D9535="Consent (GDPR Art. 6(1)(a))", I9535="Not Captured"), "Gap - Invalid Consent", IF(AND(D9535="Legitimate Interest (GDPR Art. 6(1)(f))", L9535=""), "Gap - Missing LIA", IF(AND(G9535="Yes", H9535=""), "Gap - Missing Art. 9 Basis", IF(OR(I9535="Invalid - Not Freely Given", I9535="Invalid - Not Specific", I9535="Invalid - Not Informed", I9535="Invalid - Ambiguous"), "Gap - Invalid Consent", "Compliant")))))</f>
        <v/>
      </c>
      <c r="O9535" s="7" t="n"/>
    </row>
    <row r="9536">
      <c r="A9536" s="7" t="n"/>
      <c r="B9536" s="7" t="n"/>
      <c r="C9536" s="7" t="n"/>
      <c r="D9536" s="7" t="n"/>
      <c r="E9536" s="7" t="n"/>
      <c r="F9536" s="7" t="n"/>
      <c r="G9536" s="7" t="n"/>
      <c r="H9536" s="7" t="n"/>
      <c r="I9536" s="7" t="n"/>
      <c r="J9536" s="7" t="n"/>
      <c r="K9536">
        <f>IF(D9536="Legitimate Interest (GDPR Art. 6(1)(f))", "Yes / Required (Sheet 3)", "")</f>
        <v/>
      </c>
      <c r="L9536" s="7" t="n"/>
      <c r="M9536" s="7" t="n"/>
      <c r="N9536">
        <f>IF(D9536="", "Gap - No Legal Basis", IF(AND(D9536="Consent (GDPR Art. 6(1)(a))", I9536="Not Captured"), "Gap - Invalid Consent", IF(AND(D9536="Legitimate Interest (GDPR Art. 6(1)(f))", L9536=""), "Gap - Missing LIA", IF(AND(G9536="Yes", H9536=""), "Gap - Missing Art. 9 Basis", IF(OR(I9536="Invalid - Not Freely Given", I9536="Invalid - Not Specific", I9536="Invalid - Not Informed", I9536="Invalid - Ambiguous"), "Gap - Invalid Consent", "Compliant")))))</f>
        <v/>
      </c>
      <c r="O9536" s="7" t="n"/>
    </row>
    <row r="9537">
      <c r="A9537" s="7" t="n"/>
      <c r="B9537" s="7" t="n"/>
      <c r="C9537" s="7" t="n"/>
      <c r="D9537" s="7" t="n"/>
      <c r="E9537" s="7" t="n"/>
      <c r="F9537" s="7" t="n"/>
      <c r="G9537" s="7" t="n"/>
      <c r="H9537" s="7" t="n"/>
      <c r="I9537" s="7" t="n"/>
      <c r="J9537" s="7" t="n"/>
      <c r="K9537">
        <f>IF(D9537="Legitimate Interest (GDPR Art. 6(1)(f))", "Yes / Required (Sheet 3)", "")</f>
        <v/>
      </c>
      <c r="L9537" s="7" t="n"/>
      <c r="M9537" s="7" t="n"/>
      <c r="N9537">
        <f>IF(D9537="", "Gap - No Legal Basis", IF(AND(D9537="Consent (GDPR Art. 6(1)(a))", I9537="Not Captured"), "Gap - Invalid Consent", IF(AND(D9537="Legitimate Interest (GDPR Art. 6(1)(f))", L9537=""), "Gap - Missing LIA", IF(AND(G9537="Yes", H9537=""), "Gap - Missing Art. 9 Basis", IF(OR(I9537="Invalid - Not Freely Given", I9537="Invalid - Not Specific", I9537="Invalid - Not Informed", I9537="Invalid - Ambiguous"), "Gap - Invalid Consent", "Compliant")))))</f>
        <v/>
      </c>
      <c r="O9537" s="7" t="n"/>
    </row>
    <row r="9538">
      <c r="A9538" s="7" t="n"/>
      <c r="B9538" s="7" t="n"/>
      <c r="C9538" s="7" t="n"/>
      <c r="D9538" s="7" t="n"/>
      <c r="E9538" s="7" t="n"/>
      <c r="F9538" s="7" t="n"/>
      <c r="G9538" s="7" t="n"/>
      <c r="H9538" s="7" t="n"/>
      <c r="I9538" s="7" t="n"/>
      <c r="J9538" s="7" t="n"/>
      <c r="K9538">
        <f>IF(D9538="Legitimate Interest (GDPR Art. 6(1)(f))", "Yes / Required (Sheet 3)", "")</f>
        <v/>
      </c>
      <c r="L9538" s="7" t="n"/>
      <c r="M9538" s="7" t="n"/>
      <c r="N9538">
        <f>IF(D9538="", "Gap - No Legal Basis", IF(AND(D9538="Consent (GDPR Art. 6(1)(a))", I9538="Not Captured"), "Gap - Invalid Consent", IF(AND(D9538="Legitimate Interest (GDPR Art. 6(1)(f))", L9538=""), "Gap - Missing LIA", IF(AND(G9538="Yes", H9538=""), "Gap - Missing Art. 9 Basis", IF(OR(I9538="Invalid - Not Freely Given", I9538="Invalid - Not Specific", I9538="Invalid - Not Informed", I9538="Invalid - Ambiguous"), "Gap - Invalid Consent", "Compliant")))))</f>
        <v/>
      </c>
      <c r="O9538" s="7" t="n"/>
    </row>
    <row r="9539">
      <c r="A9539" s="7" t="n"/>
      <c r="B9539" s="7" t="n"/>
      <c r="C9539" s="7" t="n"/>
      <c r="D9539" s="7" t="n"/>
      <c r="E9539" s="7" t="n"/>
      <c r="F9539" s="7" t="n"/>
      <c r="G9539" s="7" t="n"/>
      <c r="H9539" s="7" t="n"/>
      <c r="I9539" s="7" t="n"/>
      <c r="J9539" s="7" t="n"/>
      <c r="K9539">
        <f>IF(D9539="Legitimate Interest (GDPR Art. 6(1)(f))", "Yes / Required (Sheet 3)", "")</f>
        <v/>
      </c>
      <c r="L9539" s="7" t="n"/>
      <c r="M9539" s="7" t="n"/>
      <c r="N9539">
        <f>IF(D9539="", "Gap - No Legal Basis", IF(AND(D9539="Consent (GDPR Art. 6(1)(a))", I9539="Not Captured"), "Gap - Invalid Consent", IF(AND(D9539="Legitimate Interest (GDPR Art. 6(1)(f))", L9539=""), "Gap - Missing LIA", IF(AND(G9539="Yes", H9539=""), "Gap - Missing Art. 9 Basis", IF(OR(I9539="Invalid - Not Freely Given", I9539="Invalid - Not Specific", I9539="Invalid - Not Informed", I9539="Invalid - Ambiguous"), "Gap - Invalid Consent", "Compliant")))))</f>
        <v/>
      </c>
      <c r="O9539" s="7" t="n"/>
    </row>
    <row r="9540">
      <c r="A9540" s="7" t="n"/>
      <c r="B9540" s="7" t="n"/>
      <c r="C9540" s="7" t="n"/>
      <c r="D9540" s="7" t="n"/>
      <c r="E9540" s="7" t="n"/>
      <c r="F9540" s="7" t="n"/>
      <c r="G9540" s="7" t="n"/>
      <c r="H9540" s="7" t="n"/>
      <c r="I9540" s="7" t="n"/>
      <c r="J9540" s="7" t="n"/>
      <c r="K9540">
        <f>IF(D9540="Legitimate Interest (GDPR Art. 6(1)(f))", "Yes / Required (Sheet 3)", "")</f>
        <v/>
      </c>
      <c r="L9540" s="7" t="n"/>
      <c r="M9540" s="7" t="n"/>
      <c r="N9540">
        <f>IF(D9540="", "Gap - No Legal Basis", IF(AND(D9540="Consent (GDPR Art. 6(1)(a))", I9540="Not Captured"), "Gap - Invalid Consent", IF(AND(D9540="Legitimate Interest (GDPR Art. 6(1)(f))", L9540=""), "Gap - Missing LIA", IF(AND(G9540="Yes", H9540=""), "Gap - Missing Art. 9 Basis", IF(OR(I9540="Invalid - Not Freely Given", I9540="Invalid - Not Specific", I9540="Invalid - Not Informed", I9540="Invalid - Ambiguous"), "Gap - Invalid Consent", "Compliant")))))</f>
        <v/>
      </c>
      <c r="O9540" s="7" t="n"/>
    </row>
    <row r="9541">
      <c r="A9541" s="7" t="n"/>
      <c r="B9541" s="7" t="n"/>
      <c r="C9541" s="7" t="n"/>
      <c r="D9541" s="7" t="n"/>
      <c r="E9541" s="7" t="n"/>
      <c r="F9541" s="7" t="n"/>
      <c r="G9541" s="7" t="n"/>
      <c r="H9541" s="7" t="n"/>
      <c r="I9541" s="7" t="n"/>
      <c r="J9541" s="7" t="n"/>
      <c r="K9541">
        <f>IF(D9541="Legitimate Interest (GDPR Art. 6(1)(f))", "Yes / Required (Sheet 3)", "")</f>
        <v/>
      </c>
      <c r="L9541" s="7" t="n"/>
      <c r="M9541" s="7" t="n"/>
      <c r="N9541">
        <f>IF(D9541="", "Gap - No Legal Basis", IF(AND(D9541="Consent (GDPR Art. 6(1)(a))", I9541="Not Captured"), "Gap - Invalid Consent", IF(AND(D9541="Legitimate Interest (GDPR Art. 6(1)(f))", L9541=""), "Gap - Missing LIA", IF(AND(G9541="Yes", H9541=""), "Gap - Missing Art. 9 Basis", IF(OR(I9541="Invalid - Not Freely Given", I9541="Invalid - Not Specific", I9541="Invalid - Not Informed", I9541="Invalid - Ambiguous"), "Gap - Invalid Consent", "Compliant")))))</f>
        <v/>
      </c>
      <c r="O9541" s="7" t="n"/>
    </row>
    <row r="9542">
      <c r="A9542" s="7" t="n"/>
      <c r="B9542" s="7" t="n"/>
      <c r="C9542" s="7" t="n"/>
      <c r="D9542" s="7" t="n"/>
      <c r="E9542" s="7" t="n"/>
      <c r="F9542" s="7" t="n"/>
      <c r="G9542" s="7" t="n"/>
      <c r="H9542" s="7" t="n"/>
      <c r="I9542" s="7" t="n"/>
      <c r="J9542" s="7" t="n"/>
      <c r="K9542">
        <f>IF(D9542="Legitimate Interest (GDPR Art. 6(1)(f))", "Yes / Required (Sheet 3)", "")</f>
        <v/>
      </c>
      <c r="L9542" s="7" t="n"/>
      <c r="M9542" s="7" t="n"/>
      <c r="N9542">
        <f>IF(D9542="", "Gap - No Legal Basis", IF(AND(D9542="Consent (GDPR Art. 6(1)(a))", I9542="Not Captured"), "Gap - Invalid Consent", IF(AND(D9542="Legitimate Interest (GDPR Art. 6(1)(f))", L9542=""), "Gap - Missing LIA", IF(AND(G9542="Yes", H9542=""), "Gap - Missing Art. 9 Basis", IF(OR(I9542="Invalid - Not Freely Given", I9542="Invalid - Not Specific", I9542="Invalid - Not Informed", I9542="Invalid - Ambiguous"), "Gap - Invalid Consent", "Compliant")))))</f>
        <v/>
      </c>
      <c r="O9542" s="7" t="n"/>
    </row>
    <row r="9543">
      <c r="A9543" s="7" t="n"/>
      <c r="B9543" s="7" t="n"/>
      <c r="C9543" s="7" t="n"/>
      <c r="D9543" s="7" t="n"/>
      <c r="E9543" s="7" t="n"/>
      <c r="F9543" s="7" t="n"/>
      <c r="G9543" s="7" t="n"/>
      <c r="H9543" s="7" t="n"/>
      <c r="I9543" s="7" t="n"/>
      <c r="J9543" s="7" t="n"/>
      <c r="K9543">
        <f>IF(D9543="Legitimate Interest (GDPR Art. 6(1)(f))", "Yes / Required (Sheet 3)", "")</f>
        <v/>
      </c>
      <c r="L9543" s="7" t="n"/>
      <c r="M9543" s="7" t="n"/>
      <c r="N9543">
        <f>IF(D9543="", "Gap - No Legal Basis", IF(AND(D9543="Consent (GDPR Art. 6(1)(a))", I9543="Not Captured"), "Gap - Invalid Consent", IF(AND(D9543="Legitimate Interest (GDPR Art. 6(1)(f))", L9543=""), "Gap - Missing LIA", IF(AND(G9543="Yes", H9543=""), "Gap - Missing Art. 9 Basis", IF(OR(I9543="Invalid - Not Freely Given", I9543="Invalid - Not Specific", I9543="Invalid - Not Informed", I9543="Invalid - Ambiguous"), "Gap - Invalid Consent", "Compliant")))))</f>
        <v/>
      </c>
      <c r="O9543" s="7" t="n"/>
    </row>
    <row r="9544">
      <c r="A9544" s="7" t="n"/>
      <c r="B9544" s="7" t="n"/>
      <c r="C9544" s="7" t="n"/>
      <c r="D9544" s="7" t="n"/>
      <c r="E9544" s="7" t="n"/>
      <c r="F9544" s="7" t="n"/>
      <c r="G9544" s="7" t="n"/>
      <c r="H9544" s="7" t="n"/>
      <c r="I9544" s="7" t="n"/>
      <c r="J9544" s="7" t="n"/>
      <c r="K9544">
        <f>IF(D9544="Legitimate Interest (GDPR Art. 6(1)(f))", "Yes / Required (Sheet 3)", "")</f>
        <v/>
      </c>
      <c r="L9544" s="7" t="n"/>
      <c r="M9544" s="7" t="n"/>
      <c r="N9544">
        <f>IF(D9544="", "Gap - No Legal Basis", IF(AND(D9544="Consent (GDPR Art. 6(1)(a))", I9544="Not Captured"), "Gap - Invalid Consent", IF(AND(D9544="Legitimate Interest (GDPR Art. 6(1)(f))", L9544=""), "Gap - Missing LIA", IF(AND(G9544="Yes", H9544=""), "Gap - Missing Art. 9 Basis", IF(OR(I9544="Invalid - Not Freely Given", I9544="Invalid - Not Specific", I9544="Invalid - Not Informed", I9544="Invalid - Ambiguous"), "Gap - Invalid Consent", "Compliant")))))</f>
        <v/>
      </c>
      <c r="O9544" s="7" t="n"/>
    </row>
    <row r="9545">
      <c r="A9545" s="7" t="n"/>
      <c r="B9545" s="7" t="n"/>
      <c r="C9545" s="7" t="n"/>
      <c r="D9545" s="7" t="n"/>
      <c r="E9545" s="7" t="n"/>
      <c r="F9545" s="7" t="n"/>
      <c r="G9545" s="7" t="n"/>
      <c r="H9545" s="7" t="n"/>
      <c r="I9545" s="7" t="n"/>
      <c r="J9545" s="7" t="n"/>
      <c r="K9545">
        <f>IF(D9545="Legitimate Interest (GDPR Art. 6(1)(f))", "Yes / Required (Sheet 3)", "")</f>
        <v/>
      </c>
      <c r="L9545" s="7" t="n"/>
      <c r="M9545" s="7" t="n"/>
      <c r="N9545">
        <f>IF(D9545="", "Gap - No Legal Basis", IF(AND(D9545="Consent (GDPR Art. 6(1)(a))", I9545="Not Captured"), "Gap - Invalid Consent", IF(AND(D9545="Legitimate Interest (GDPR Art. 6(1)(f))", L9545=""), "Gap - Missing LIA", IF(AND(G9545="Yes", H9545=""), "Gap - Missing Art. 9 Basis", IF(OR(I9545="Invalid - Not Freely Given", I9545="Invalid - Not Specific", I9545="Invalid - Not Informed", I9545="Invalid - Ambiguous"), "Gap - Invalid Consent", "Compliant")))))</f>
        <v/>
      </c>
      <c r="O9545" s="7" t="n"/>
    </row>
    <row r="9546">
      <c r="A9546" s="7" t="n"/>
      <c r="B9546" s="7" t="n"/>
      <c r="C9546" s="7" t="n"/>
      <c r="D9546" s="7" t="n"/>
      <c r="E9546" s="7" t="n"/>
      <c r="F9546" s="7" t="n"/>
      <c r="G9546" s="7" t="n"/>
      <c r="H9546" s="7" t="n"/>
      <c r="I9546" s="7" t="n"/>
      <c r="J9546" s="7" t="n"/>
      <c r="K9546">
        <f>IF(D9546="Legitimate Interest (GDPR Art. 6(1)(f))", "Yes / Required (Sheet 3)", "")</f>
        <v/>
      </c>
      <c r="L9546" s="7" t="n"/>
      <c r="M9546" s="7" t="n"/>
      <c r="N9546">
        <f>IF(D9546="", "Gap - No Legal Basis", IF(AND(D9546="Consent (GDPR Art. 6(1)(a))", I9546="Not Captured"), "Gap - Invalid Consent", IF(AND(D9546="Legitimate Interest (GDPR Art. 6(1)(f))", L9546=""), "Gap - Missing LIA", IF(AND(G9546="Yes", H9546=""), "Gap - Missing Art. 9 Basis", IF(OR(I9546="Invalid - Not Freely Given", I9546="Invalid - Not Specific", I9546="Invalid - Not Informed", I9546="Invalid - Ambiguous"), "Gap - Invalid Consent", "Compliant")))))</f>
        <v/>
      </c>
      <c r="O9546" s="7" t="n"/>
    </row>
    <row r="9547">
      <c r="A9547" s="7" t="n"/>
      <c r="B9547" s="7" t="n"/>
      <c r="C9547" s="7" t="n"/>
      <c r="D9547" s="7" t="n"/>
      <c r="E9547" s="7" t="n"/>
      <c r="F9547" s="7" t="n"/>
      <c r="G9547" s="7" t="n"/>
      <c r="H9547" s="7" t="n"/>
      <c r="I9547" s="7" t="n"/>
      <c r="J9547" s="7" t="n"/>
      <c r="K9547">
        <f>IF(D9547="Legitimate Interest (GDPR Art. 6(1)(f))", "Yes / Required (Sheet 3)", "")</f>
        <v/>
      </c>
      <c r="L9547" s="7" t="n"/>
      <c r="M9547" s="7" t="n"/>
      <c r="N9547">
        <f>IF(D9547="", "Gap - No Legal Basis", IF(AND(D9547="Consent (GDPR Art. 6(1)(a))", I9547="Not Captured"), "Gap - Invalid Consent", IF(AND(D9547="Legitimate Interest (GDPR Art. 6(1)(f))", L9547=""), "Gap - Missing LIA", IF(AND(G9547="Yes", H9547=""), "Gap - Missing Art. 9 Basis", IF(OR(I9547="Invalid - Not Freely Given", I9547="Invalid - Not Specific", I9547="Invalid - Not Informed", I9547="Invalid - Ambiguous"), "Gap - Invalid Consent", "Compliant")))))</f>
        <v/>
      </c>
      <c r="O9547" s="7" t="n"/>
    </row>
    <row r="9548">
      <c r="A9548" s="7" t="n"/>
      <c r="B9548" s="7" t="n"/>
      <c r="C9548" s="7" t="n"/>
      <c r="D9548" s="7" t="n"/>
      <c r="E9548" s="7" t="n"/>
      <c r="F9548" s="7" t="n"/>
      <c r="G9548" s="7" t="n"/>
      <c r="H9548" s="7" t="n"/>
      <c r="I9548" s="7" t="n"/>
      <c r="J9548" s="7" t="n"/>
      <c r="K9548">
        <f>IF(D9548="Legitimate Interest (GDPR Art. 6(1)(f))", "Yes / Required (Sheet 3)", "")</f>
        <v/>
      </c>
      <c r="L9548" s="7" t="n"/>
      <c r="M9548" s="7" t="n"/>
      <c r="N9548">
        <f>IF(D9548="", "Gap - No Legal Basis", IF(AND(D9548="Consent (GDPR Art. 6(1)(a))", I9548="Not Captured"), "Gap - Invalid Consent", IF(AND(D9548="Legitimate Interest (GDPR Art. 6(1)(f))", L9548=""), "Gap - Missing LIA", IF(AND(G9548="Yes", H9548=""), "Gap - Missing Art. 9 Basis", IF(OR(I9548="Invalid - Not Freely Given", I9548="Invalid - Not Specific", I9548="Invalid - Not Informed", I9548="Invalid - Ambiguous"), "Gap - Invalid Consent", "Compliant")))))</f>
        <v/>
      </c>
      <c r="O9548" s="7" t="n"/>
    </row>
    <row r="9549">
      <c r="A9549" s="7" t="n"/>
      <c r="B9549" s="7" t="n"/>
      <c r="C9549" s="7" t="n"/>
      <c r="D9549" s="7" t="n"/>
      <c r="E9549" s="7" t="n"/>
      <c r="F9549" s="7" t="n"/>
      <c r="G9549" s="7" t="n"/>
      <c r="H9549" s="7" t="n"/>
      <c r="I9549" s="7" t="n"/>
      <c r="J9549" s="7" t="n"/>
      <c r="K9549">
        <f>IF(D9549="Legitimate Interest (GDPR Art. 6(1)(f))", "Yes / Required (Sheet 3)", "")</f>
        <v/>
      </c>
      <c r="L9549" s="7" t="n"/>
      <c r="M9549" s="7" t="n"/>
      <c r="N9549">
        <f>IF(D9549="", "Gap - No Legal Basis", IF(AND(D9549="Consent (GDPR Art. 6(1)(a))", I9549="Not Captured"), "Gap - Invalid Consent", IF(AND(D9549="Legitimate Interest (GDPR Art. 6(1)(f))", L9549=""), "Gap - Missing LIA", IF(AND(G9549="Yes", H9549=""), "Gap - Missing Art. 9 Basis", IF(OR(I9549="Invalid - Not Freely Given", I9549="Invalid - Not Specific", I9549="Invalid - Not Informed", I9549="Invalid - Ambiguous"), "Gap - Invalid Consent", "Compliant")))))</f>
        <v/>
      </c>
      <c r="O9549" s="7" t="n"/>
    </row>
    <row r="9550">
      <c r="A9550" s="7" t="n"/>
      <c r="B9550" s="7" t="n"/>
      <c r="C9550" s="7" t="n"/>
      <c r="D9550" s="7" t="n"/>
      <c r="E9550" s="7" t="n"/>
      <c r="F9550" s="7" t="n"/>
      <c r="G9550" s="7" t="n"/>
      <c r="H9550" s="7" t="n"/>
      <c r="I9550" s="7" t="n"/>
      <c r="J9550" s="7" t="n"/>
      <c r="K9550">
        <f>IF(D9550="Legitimate Interest (GDPR Art. 6(1)(f))", "Yes / Required (Sheet 3)", "")</f>
        <v/>
      </c>
      <c r="L9550" s="7" t="n"/>
      <c r="M9550" s="7" t="n"/>
      <c r="N9550">
        <f>IF(D9550="", "Gap - No Legal Basis", IF(AND(D9550="Consent (GDPR Art. 6(1)(a))", I9550="Not Captured"), "Gap - Invalid Consent", IF(AND(D9550="Legitimate Interest (GDPR Art. 6(1)(f))", L9550=""), "Gap - Missing LIA", IF(AND(G9550="Yes", H9550=""), "Gap - Missing Art. 9 Basis", IF(OR(I9550="Invalid - Not Freely Given", I9550="Invalid - Not Specific", I9550="Invalid - Not Informed", I9550="Invalid - Ambiguous"), "Gap - Invalid Consent", "Compliant")))))</f>
        <v/>
      </c>
      <c r="O9550" s="7" t="n"/>
    </row>
    <row r="9551">
      <c r="A9551" s="7" t="n"/>
      <c r="B9551" s="7" t="n"/>
      <c r="C9551" s="7" t="n"/>
      <c r="D9551" s="7" t="n"/>
      <c r="E9551" s="7" t="n"/>
      <c r="F9551" s="7" t="n"/>
      <c r="G9551" s="7" t="n"/>
      <c r="H9551" s="7" t="n"/>
      <c r="I9551" s="7" t="n"/>
      <c r="J9551" s="7" t="n"/>
      <c r="K9551">
        <f>IF(D9551="Legitimate Interest (GDPR Art. 6(1)(f))", "Yes / Required (Sheet 3)", "")</f>
        <v/>
      </c>
      <c r="L9551" s="7" t="n"/>
      <c r="M9551" s="7" t="n"/>
      <c r="N9551">
        <f>IF(D9551="", "Gap - No Legal Basis", IF(AND(D9551="Consent (GDPR Art. 6(1)(a))", I9551="Not Captured"), "Gap - Invalid Consent", IF(AND(D9551="Legitimate Interest (GDPR Art. 6(1)(f))", L9551=""), "Gap - Missing LIA", IF(AND(G9551="Yes", H9551=""), "Gap - Missing Art. 9 Basis", IF(OR(I9551="Invalid - Not Freely Given", I9551="Invalid - Not Specific", I9551="Invalid - Not Informed", I9551="Invalid - Ambiguous"), "Gap - Invalid Consent", "Compliant")))))</f>
        <v/>
      </c>
      <c r="O9551" s="7" t="n"/>
    </row>
    <row r="9552">
      <c r="A9552" s="7" t="n"/>
      <c r="B9552" s="7" t="n"/>
      <c r="C9552" s="7" t="n"/>
      <c r="D9552" s="7" t="n"/>
      <c r="E9552" s="7" t="n"/>
      <c r="F9552" s="7" t="n"/>
      <c r="G9552" s="7" t="n"/>
      <c r="H9552" s="7" t="n"/>
      <c r="I9552" s="7" t="n"/>
      <c r="J9552" s="7" t="n"/>
      <c r="K9552">
        <f>IF(D9552="Legitimate Interest (GDPR Art. 6(1)(f))", "Yes / Required (Sheet 3)", "")</f>
        <v/>
      </c>
      <c r="L9552" s="7" t="n"/>
      <c r="M9552" s="7" t="n"/>
      <c r="N9552">
        <f>IF(D9552="", "Gap - No Legal Basis", IF(AND(D9552="Consent (GDPR Art. 6(1)(a))", I9552="Not Captured"), "Gap - Invalid Consent", IF(AND(D9552="Legitimate Interest (GDPR Art. 6(1)(f))", L9552=""), "Gap - Missing LIA", IF(AND(G9552="Yes", H9552=""), "Gap - Missing Art. 9 Basis", IF(OR(I9552="Invalid - Not Freely Given", I9552="Invalid - Not Specific", I9552="Invalid - Not Informed", I9552="Invalid - Ambiguous"), "Gap - Invalid Consent", "Compliant")))))</f>
        <v/>
      </c>
      <c r="O9552" s="7" t="n"/>
    </row>
    <row r="9553">
      <c r="A9553" s="7" t="n"/>
      <c r="B9553" s="7" t="n"/>
      <c r="C9553" s="7" t="n"/>
      <c r="D9553" s="7" t="n"/>
      <c r="E9553" s="7" t="n"/>
      <c r="F9553" s="7" t="n"/>
      <c r="G9553" s="7" t="n"/>
      <c r="H9553" s="7" t="n"/>
      <c r="I9553" s="7" t="n"/>
      <c r="J9553" s="7" t="n"/>
      <c r="K9553">
        <f>IF(D9553="Legitimate Interest (GDPR Art. 6(1)(f))", "Yes / Required (Sheet 3)", "")</f>
        <v/>
      </c>
      <c r="L9553" s="7" t="n"/>
      <c r="M9553" s="7" t="n"/>
      <c r="N9553">
        <f>IF(D9553="", "Gap - No Legal Basis", IF(AND(D9553="Consent (GDPR Art. 6(1)(a))", I9553="Not Captured"), "Gap - Invalid Consent", IF(AND(D9553="Legitimate Interest (GDPR Art. 6(1)(f))", L9553=""), "Gap - Missing LIA", IF(AND(G9553="Yes", H9553=""), "Gap - Missing Art. 9 Basis", IF(OR(I9553="Invalid - Not Freely Given", I9553="Invalid - Not Specific", I9553="Invalid - Not Informed", I9553="Invalid - Ambiguous"), "Gap - Invalid Consent", "Compliant")))))</f>
        <v/>
      </c>
      <c r="O9553" s="7" t="n"/>
    </row>
    <row r="9554">
      <c r="A9554" s="7" t="n"/>
      <c r="B9554" s="7" t="n"/>
      <c r="C9554" s="7" t="n"/>
      <c r="D9554" s="7" t="n"/>
      <c r="E9554" s="7" t="n"/>
      <c r="F9554" s="7" t="n"/>
      <c r="G9554" s="7" t="n"/>
      <c r="H9554" s="7" t="n"/>
      <c r="I9554" s="7" t="n"/>
      <c r="J9554" s="7" t="n"/>
      <c r="K9554">
        <f>IF(D9554="Legitimate Interest (GDPR Art. 6(1)(f))", "Yes / Required (Sheet 3)", "")</f>
        <v/>
      </c>
      <c r="L9554" s="7" t="n"/>
      <c r="M9554" s="7" t="n"/>
      <c r="N9554">
        <f>IF(D9554="", "Gap - No Legal Basis", IF(AND(D9554="Consent (GDPR Art. 6(1)(a))", I9554="Not Captured"), "Gap - Invalid Consent", IF(AND(D9554="Legitimate Interest (GDPR Art. 6(1)(f))", L9554=""), "Gap - Missing LIA", IF(AND(G9554="Yes", H9554=""), "Gap - Missing Art. 9 Basis", IF(OR(I9554="Invalid - Not Freely Given", I9554="Invalid - Not Specific", I9554="Invalid - Not Informed", I9554="Invalid - Ambiguous"), "Gap - Invalid Consent", "Compliant")))))</f>
        <v/>
      </c>
      <c r="O9554" s="7" t="n"/>
    </row>
    <row r="9555">
      <c r="A9555" s="7" t="n"/>
      <c r="B9555" s="7" t="n"/>
      <c r="C9555" s="7" t="n"/>
      <c r="D9555" s="7" t="n"/>
      <c r="E9555" s="7" t="n"/>
      <c r="F9555" s="7" t="n"/>
      <c r="G9555" s="7" t="n"/>
      <c r="H9555" s="7" t="n"/>
      <c r="I9555" s="7" t="n"/>
      <c r="J9555" s="7" t="n"/>
      <c r="K9555">
        <f>IF(D9555="Legitimate Interest (GDPR Art. 6(1)(f))", "Yes / Required (Sheet 3)", "")</f>
        <v/>
      </c>
      <c r="L9555" s="7" t="n"/>
      <c r="M9555" s="7" t="n"/>
      <c r="N9555">
        <f>IF(D9555="", "Gap - No Legal Basis", IF(AND(D9555="Consent (GDPR Art. 6(1)(a))", I9555="Not Captured"), "Gap - Invalid Consent", IF(AND(D9555="Legitimate Interest (GDPR Art. 6(1)(f))", L9555=""), "Gap - Missing LIA", IF(AND(G9555="Yes", H9555=""), "Gap - Missing Art. 9 Basis", IF(OR(I9555="Invalid - Not Freely Given", I9555="Invalid - Not Specific", I9555="Invalid - Not Informed", I9555="Invalid - Ambiguous"), "Gap - Invalid Consent", "Compliant")))))</f>
        <v/>
      </c>
      <c r="O9555" s="7" t="n"/>
    </row>
    <row r="9556">
      <c r="A9556" s="7" t="n"/>
      <c r="B9556" s="7" t="n"/>
      <c r="C9556" s="7" t="n"/>
      <c r="D9556" s="7" t="n"/>
      <c r="E9556" s="7" t="n"/>
      <c r="F9556" s="7" t="n"/>
      <c r="G9556" s="7" t="n"/>
      <c r="H9556" s="7" t="n"/>
      <c r="I9556" s="7" t="n"/>
      <c r="J9556" s="7" t="n"/>
      <c r="K9556">
        <f>IF(D9556="Legitimate Interest (GDPR Art. 6(1)(f))", "Yes / Required (Sheet 3)", "")</f>
        <v/>
      </c>
      <c r="L9556" s="7" t="n"/>
      <c r="M9556" s="7" t="n"/>
      <c r="N9556">
        <f>IF(D9556="", "Gap - No Legal Basis", IF(AND(D9556="Consent (GDPR Art. 6(1)(a))", I9556="Not Captured"), "Gap - Invalid Consent", IF(AND(D9556="Legitimate Interest (GDPR Art. 6(1)(f))", L9556=""), "Gap - Missing LIA", IF(AND(G9556="Yes", H9556=""), "Gap - Missing Art. 9 Basis", IF(OR(I9556="Invalid - Not Freely Given", I9556="Invalid - Not Specific", I9556="Invalid - Not Informed", I9556="Invalid - Ambiguous"), "Gap - Invalid Consent", "Compliant")))))</f>
        <v/>
      </c>
      <c r="O9556" s="7" t="n"/>
    </row>
    <row r="9557">
      <c r="A9557" s="7" t="n"/>
      <c r="B9557" s="7" t="n"/>
      <c r="C9557" s="7" t="n"/>
      <c r="D9557" s="7" t="n"/>
      <c r="E9557" s="7" t="n"/>
      <c r="F9557" s="7" t="n"/>
      <c r="G9557" s="7" t="n"/>
      <c r="H9557" s="7" t="n"/>
      <c r="I9557" s="7" t="n"/>
      <c r="J9557" s="7" t="n"/>
      <c r="K9557">
        <f>IF(D9557="Legitimate Interest (GDPR Art. 6(1)(f))", "Yes / Required (Sheet 3)", "")</f>
        <v/>
      </c>
      <c r="L9557" s="7" t="n"/>
      <c r="M9557" s="7" t="n"/>
      <c r="N9557">
        <f>IF(D9557="", "Gap - No Legal Basis", IF(AND(D9557="Consent (GDPR Art. 6(1)(a))", I9557="Not Captured"), "Gap - Invalid Consent", IF(AND(D9557="Legitimate Interest (GDPR Art. 6(1)(f))", L9557=""), "Gap - Missing LIA", IF(AND(G9557="Yes", H9557=""), "Gap - Missing Art. 9 Basis", IF(OR(I9557="Invalid - Not Freely Given", I9557="Invalid - Not Specific", I9557="Invalid - Not Informed", I9557="Invalid - Ambiguous"), "Gap - Invalid Consent", "Compliant")))))</f>
        <v/>
      </c>
      <c r="O9557" s="7" t="n"/>
    </row>
    <row r="9558">
      <c r="A9558" s="7" t="n"/>
      <c r="B9558" s="7" t="n"/>
      <c r="C9558" s="7" t="n"/>
      <c r="D9558" s="7" t="n"/>
      <c r="E9558" s="7" t="n"/>
      <c r="F9558" s="7" t="n"/>
      <c r="G9558" s="7" t="n"/>
      <c r="H9558" s="7" t="n"/>
      <c r="I9558" s="7" t="n"/>
      <c r="J9558" s="7" t="n"/>
      <c r="K9558">
        <f>IF(D9558="Legitimate Interest (GDPR Art. 6(1)(f))", "Yes / Required (Sheet 3)", "")</f>
        <v/>
      </c>
      <c r="L9558" s="7" t="n"/>
      <c r="M9558" s="7" t="n"/>
      <c r="N9558">
        <f>IF(D9558="", "Gap - No Legal Basis", IF(AND(D9558="Consent (GDPR Art. 6(1)(a))", I9558="Not Captured"), "Gap - Invalid Consent", IF(AND(D9558="Legitimate Interest (GDPR Art. 6(1)(f))", L9558=""), "Gap - Missing LIA", IF(AND(G9558="Yes", H9558=""), "Gap - Missing Art. 9 Basis", IF(OR(I9558="Invalid - Not Freely Given", I9558="Invalid - Not Specific", I9558="Invalid - Not Informed", I9558="Invalid - Ambiguous"), "Gap - Invalid Consent", "Compliant")))))</f>
        <v/>
      </c>
      <c r="O9558" s="7" t="n"/>
    </row>
    <row r="9559">
      <c r="A9559" s="7" t="n"/>
      <c r="B9559" s="7" t="n"/>
      <c r="C9559" s="7" t="n"/>
      <c r="D9559" s="7" t="n"/>
      <c r="E9559" s="7" t="n"/>
      <c r="F9559" s="7" t="n"/>
      <c r="G9559" s="7" t="n"/>
      <c r="H9559" s="7" t="n"/>
      <c r="I9559" s="7" t="n"/>
      <c r="J9559" s="7" t="n"/>
      <c r="K9559">
        <f>IF(D9559="Legitimate Interest (GDPR Art. 6(1)(f))", "Yes / Required (Sheet 3)", "")</f>
        <v/>
      </c>
      <c r="L9559" s="7" t="n"/>
      <c r="M9559" s="7" t="n"/>
      <c r="N9559">
        <f>IF(D9559="", "Gap - No Legal Basis", IF(AND(D9559="Consent (GDPR Art. 6(1)(a))", I9559="Not Captured"), "Gap - Invalid Consent", IF(AND(D9559="Legitimate Interest (GDPR Art. 6(1)(f))", L9559=""), "Gap - Missing LIA", IF(AND(G9559="Yes", H9559=""), "Gap - Missing Art. 9 Basis", IF(OR(I9559="Invalid - Not Freely Given", I9559="Invalid - Not Specific", I9559="Invalid - Not Informed", I9559="Invalid - Ambiguous"), "Gap - Invalid Consent", "Compliant")))))</f>
        <v/>
      </c>
      <c r="O9559" s="7" t="n"/>
    </row>
    <row r="9560">
      <c r="A9560" s="7" t="n"/>
      <c r="B9560" s="7" t="n"/>
      <c r="C9560" s="7" t="n"/>
      <c r="D9560" s="7" t="n"/>
      <c r="E9560" s="7" t="n"/>
      <c r="F9560" s="7" t="n"/>
      <c r="G9560" s="7" t="n"/>
      <c r="H9560" s="7" t="n"/>
      <c r="I9560" s="7" t="n"/>
      <c r="J9560" s="7" t="n"/>
      <c r="K9560">
        <f>IF(D9560="Legitimate Interest (GDPR Art. 6(1)(f))", "Yes / Required (Sheet 3)", "")</f>
        <v/>
      </c>
      <c r="L9560" s="7" t="n"/>
      <c r="M9560" s="7" t="n"/>
      <c r="N9560">
        <f>IF(D9560="", "Gap - No Legal Basis", IF(AND(D9560="Consent (GDPR Art. 6(1)(a))", I9560="Not Captured"), "Gap - Invalid Consent", IF(AND(D9560="Legitimate Interest (GDPR Art. 6(1)(f))", L9560=""), "Gap - Missing LIA", IF(AND(G9560="Yes", H9560=""), "Gap - Missing Art. 9 Basis", IF(OR(I9560="Invalid - Not Freely Given", I9560="Invalid - Not Specific", I9560="Invalid - Not Informed", I9560="Invalid - Ambiguous"), "Gap - Invalid Consent", "Compliant")))))</f>
        <v/>
      </c>
      <c r="O9560" s="7" t="n"/>
    </row>
    <row r="9561">
      <c r="A9561" s="7" t="n"/>
      <c r="B9561" s="7" t="n"/>
      <c r="C9561" s="7" t="n"/>
      <c r="D9561" s="7" t="n"/>
      <c r="E9561" s="7" t="n"/>
      <c r="F9561" s="7" t="n"/>
      <c r="G9561" s="7" t="n"/>
      <c r="H9561" s="7" t="n"/>
      <c r="I9561" s="7" t="n"/>
      <c r="J9561" s="7" t="n"/>
      <c r="K9561">
        <f>IF(D9561="Legitimate Interest (GDPR Art. 6(1)(f))", "Yes / Required (Sheet 3)", "")</f>
        <v/>
      </c>
      <c r="L9561" s="7" t="n"/>
      <c r="M9561" s="7" t="n"/>
      <c r="N9561">
        <f>IF(D9561="", "Gap - No Legal Basis", IF(AND(D9561="Consent (GDPR Art. 6(1)(a))", I9561="Not Captured"), "Gap - Invalid Consent", IF(AND(D9561="Legitimate Interest (GDPR Art. 6(1)(f))", L9561=""), "Gap - Missing LIA", IF(AND(G9561="Yes", H9561=""), "Gap - Missing Art. 9 Basis", IF(OR(I9561="Invalid - Not Freely Given", I9561="Invalid - Not Specific", I9561="Invalid - Not Informed", I9561="Invalid - Ambiguous"), "Gap - Invalid Consent", "Compliant")))))</f>
        <v/>
      </c>
      <c r="O9561" s="7" t="n"/>
    </row>
    <row r="9562">
      <c r="A9562" s="7" t="n"/>
      <c r="B9562" s="7" t="n"/>
      <c r="C9562" s="7" t="n"/>
      <c r="D9562" s="7" t="n"/>
      <c r="E9562" s="7" t="n"/>
      <c r="F9562" s="7" t="n"/>
      <c r="G9562" s="7" t="n"/>
      <c r="H9562" s="7" t="n"/>
      <c r="I9562" s="7" t="n"/>
      <c r="J9562" s="7" t="n"/>
      <c r="K9562">
        <f>IF(D9562="Legitimate Interest (GDPR Art. 6(1)(f))", "Yes / Required (Sheet 3)", "")</f>
        <v/>
      </c>
      <c r="L9562" s="7" t="n"/>
      <c r="M9562" s="7" t="n"/>
      <c r="N9562">
        <f>IF(D9562="", "Gap - No Legal Basis", IF(AND(D9562="Consent (GDPR Art. 6(1)(a))", I9562="Not Captured"), "Gap - Invalid Consent", IF(AND(D9562="Legitimate Interest (GDPR Art. 6(1)(f))", L9562=""), "Gap - Missing LIA", IF(AND(G9562="Yes", H9562=""), "Gap - Missing Art. 9 Basis", IF(OR(I9562="Invalid - Not Freely Given", I9562="Invalid - Not Specific", I9562="Invalid - Not Informed", I9562="Invalid - Ambiguous"), "Gap - Invalid Consent", "Compliant")))))</f>
        <v/>
      </c>
      <c r="O9562" s="7" t="n"/>
    </row>
    <row r="9563">
      <c r="A9563" s="7" t="n"/>
      <c r="B9563" s="7" t="n"/>
      <c r="C9563" s="7" t="n"/>
      <c r="D9563" s="7" t="n"/>
      <c r="E9563" s="7" t="n"/>
      <c r="F9563" s="7" t="n"/>
      <c r="G9563" s="7" t="n"/>
      <c r="H9563" s="7" t="n"/>
      <c r="I9563" s="7" t="n"/>
      <c r="J9563" s="7" t="n"/>
      <c r="K9563">
        <f>IF(D9563="Legitimate Interest (GDPR Art. 6(1)(f))", "Yes / Required (Sheet 3)", "")</f>
        <v/>
      </c>
      <c r="L9563" s="7" t="n"/>
      <c r="M9563" s="7" t="n"/>
      <c r="N9563">
        <f>IF(D9563="", "Gap - No Legal Basis", IF(AND(D9563="Consent (GDPR Art. 6(1)(a))", I9563="Not Captured"), "Gap - Invalid Consent", IF(AND(D9563="Legitimate Interest (GDPR Art. 6(1)(f))", L9563=""), "Gap - Missing LIA", IF(AND(G9563="Yes", H9563=""), "Gap - Missing Art. 9 Basis", IF(OR(I9563="Invalid - Not Freely Given", I9563="Invalid - Not Specific", I9563="Invalid - Not Informed", I9563="Invalid - Ambiguous"), "Gap - Invalid Consent", "Compliant")))))</f>
        <v/>
      </c>
      <c r="O9563" s="7" t="n"/>
    </row>
    <row r="9564">
      <c r="A9564" s="7" t="n"/>
      <c r="B9564" s="7" t="n"/>
      <c r="C9564" s="7" t="n"/>
      <c r="D9564" s="7" t="n"/>
      <c r="E9564" s="7" t="n"/>
      <c r="F9564" s="7" t="n"/>
      <c r="G9564" s="7" t="n"/>
      <c r="H9564" s="7" t="n"/>
      <c r="I9564" s="7" t="n"/>
      <c r="J9564" s="7" t="n"/>
      <c r="K9564">
        <f>IF(D9564="Legitimate Interest (GDPR Art. 6(1)(f))", "Yes / Required (Sheet 3)", "")</f>
        <v/>
      </c>
      <c r="L9564" s="7" t="n"/>
      <c r="M9564" s="7" t="n"/>
      <c r="N9564">
        <f>IF(D9564="", "Gap - No Legal Basis", IF(AND(D9564="Consent (GDPR Art. 6(1)(a))", I9564="Not Captured"), "Gap - Invalid Consent", IF(AND(D9564="Legitimate Interest (GDPR Art. 6(1)(f))", L9564=""), "Gap - Missing LIA", IF(AND(G9564="Yes", H9564=""), "Gap - Missing Art. 9 Basis", IF(OR(I9564="Invalid - Not Freely Given", I9564="Invalid - Not Specific", I9564="Invalid - Not Informed", I9564="Invalid - Ambiguous"), "Gap - Invalid Consent", "Compliant")))))</f>
        <v/>
      </c>
      <c r="O9564" s="7" t="n"/>
    </row>
    <row r="9565">
      <c r="A9565" s="7" t="n"/>
      <c r="B9565" s="7" t="n"/>
      <c r="C9565" s="7" t="n"/>
      <c r="D9565" s="7" t="n"/>
      <c r="E9565" s="7" t="n"/>
      <c r="F9565" s="7" t="n"/>
      <c r="G9565" s="7" t="n"/>
      <c r="H9565" s="7" t="n"/>
      <c r="I9565" s="7" t="n"/>
      <c r="J9565" s="7" t="n"/>
      <c r="K9565">
        <f>IF(D9565="Legitimate Interest (GDPR Art. 6(1)(f))", "Yes / Required (Sheet 3)", "")</f>
        <v/>
      </c>
      <c r="L9565" s="7" t="n"/>
      <c r="M9565" s="7" t="n"/>
      <c r="N9565">
        <f>IF(D9565="", "Gap - No Legal Basis", IF(AND(D9565="Consent (GDPR Art. 6(1)(a))", I9565="Not Captured"), "Gap - Invalid Consent", IF(AND(D9565="Legitimate Interest (GDPR Art. 6(1)(f))", L9565=""), "Gap - Missing LIA", IF(AND(G9565="Yes", H9565=""), "Gap - Missing Art. 9 Basis", IF(OR(I9565="Invalid - Not Freely Given", I9565="Invalid - Not Specific", I9565="Invalid - Not Informed", I9565="Invalid - Ambiguous"), "Gap - Invalid Consent", "Compliant")))))</f>
        <v/>
      </c>
      <c r="O9565" s="7" t="n"/>
    </row>
    <row r="9566">
      <c r="A9566" s="7" t="n"/>
      <c r="B9566" s="7" t="n"/>
      <c r="C9566" s="7" t="n"/>
      <c r="D9566" s="7" t="n"/>
      <c r="E9566" s="7" t="n"/>
      <c r="F9566" s="7" t="n"/>
      <c r="G9566" s="7" t="n"/>
      <c r="H9566" s="7" t="n"/>
      <c r="I9566" s="7" t="n"/>
      <c r="J9566" s="7" t="n"/>
      <c r="K9566">
        <f>IF(D9566="Legitimate Interest (GDPR Art. 6(1)(f))", "Yes / Required (Sheet 3)", "")</f>
        <v/>
      </c>
      <c r="L9566" s="7" t="n"/>
      <c r="M9566" s="7" t="n"/>
      <c r="N9566">
        <f>IF(D9566="", "Gap - No Legal Basis", IF(AND(D9566="Consent (GDPR Art. 6(1)(a))", I9566="Not Captured"), "Gap - Invalid Consent", IF(AND(D9566="Legitimate Interest (GDPR Art. 6(1)(f))", L9566=""), "Gap - Missing LIA", IF(AND(G9566="Yes", H9566=""), "Gap - Missing Art. 9 Basis", IF(OR(I9566="Invalid - Not Freely Given", I9566="Invalid - Not Specific", I9566="Invalid - Not Informed", I9566="Invalid - Ambiguous"), "Gap - Invalid Consent", "Compliant")))))</f>
        <v/>
      </c>
      <c r="O9566" s="7" t="n"/>
    </row>
    <row r="9567">
      <c r="A9567" s="7" t="n"/>
      <c r="B9567" s="7" t="n"/>
      <c r="C9567" s="7" t="n"/>
      <c r="D9567" s="7" t="n"/>
      <c r="E9567" s="7" t="n"/>
      <c r="F9567" s="7" t="n"/>
      <c r="G9567" s="7" t="n"/>
      <c r="H9567" s="7" t="n"/>
      <c r="I9567" s="7" t="n"/>
      <c r="J9567" s="7" t="n"/>
      <c r="K9567">
        <f>IF(D9567="Legitimate Interest (GDPR Art. 6(1)(f))", "Yes / Required (Sheet 3)", "")</f>
        <v/>
      </c>
      <c r="L9567" s="7" t="n"/>
      <c r="M9567" s="7" t="n"/>
      <c r="N9567">
        <f>IF(D9567="", "Gap - No Legal Basis", IF(AND(D9567="Consent (GDPR Art. 6(1)(a))", I9567="Not Captured"), "Gap - Invalid Consent", IF(AND(D9567="Legitimate Interest (GDPR Art. 6(1)(f))", L9567=""), "Gap - Missing LIA", IF(AND(G9567="Yes", H9567=""), "Gap - Missing Art. 9 Basis", IF(OR(I9567="Invalid - Not Freely Given", I9567="Invalid - Not Specific", I9567="Invalid - Not Informed", I9567="Invalid - Ambiguous"), "Gap - Invalid Consent", "Compliant")))))</f>
        <v/>
      </c>
      <c r="O9567" s="7" t="n"/>
    </row>
    <row r="9568">
      <c r="A9568" s="7" t="n"/>
      <c r="B9568" s="7" t="n"/>
      <c r="C9568" s="7" t="n"/>
      <c r="D9568" s="7" t="n"/>
      <c r="E9568" s="7" t="n"/>
      <c r="F9568" s="7" t="n"/>
      <c r="G9568" s="7" t="n"/>
      <c r="H9568" s="7" t="n"/>
      <c r="I9568" s="7" t="n"/>
      <c r="J9568" s="7" t="n"/>
      <c r="K9568">
        <f>IF(D9568="Legitimate Interest (GDPR Art. 6(1)(f))", "Yes / Required (Sheet 3)", "")</f>
        <v/>
      </c>
      <c r="L9568" s="7" t="n"/>
      <c r="M9568" s="7" t="n"/>
      <c r="N9568">
        <f>IF(D9568="", "Gap - No Legal Basis", IF(AND(D9568="Consent (GDPR Art. 6(1)(a))", I9568="Not Captured"), "Gap - Invalid Consent", IF(AND(D9568="Legitimate Interest (GDPR Art. 6(1)(f))", L9568=""), "Gap - Missing LIA", IF(AND(G9568="Yes", H9568=""), "Gap - Missing Art. 9 Basis", IF(OR(I9568="Invalid - Not Freely Given", I9568="Invalid - Not Specific", I9568="Invalid - Not Informed", I9568="Invalid - Ambiguous"), "Gap - Invalid Consent", "Compliant")))))</f>
        <v/>
      </c>
      <c r="O9568" s="7" t="n"/>
    </row>
    <row r="9569">
      <c r="A9569" s="7" t="n"/>
      <c r="B9569" s="7" t="n"/>
      <c r="C9569" s="7" t="n"/>
      <c r="D9569" s="7" t="n"/>
      <c r="E9569" s="7" t="n"/>
      <c r="F9569" s="7" t="n"/>
      <c r="G9569" s="7" t="n"/>
      <c r="H9569" s="7" t="n"/>
      <c r="I9569" s="7" t="n"/>
      <c r="J9569" s="7" t="n"/>
      <c r="K9569">
        <f>IF(D9569="Legitimate Interest (GDPR Art. 6(1)(f))", "Yes / Required (Sheet 3)", "")</f>
        <v/>
      </c>
      <c r="L9569" s="7" t="n"/>
      <c r="M9569" s="7" t="n"/>
      <c r="N9569">
        <f>IF(D9569="", "Gap - No Legal Basis", IF(AND(D9569="Consent (GDPR Art. 6(1)(a))", I9569="Not Captured"), "Gap - Invalid Consent", IF(AND(D9569="Legitimate Interest (GDPR Art. 6(1)(f))", L9569=""), "Gap - Missing LIA", IF(AND(G9569="Yes", H9569=""), "Gap - Missing Art. 9 Basis", IF(OR(I9569="Invalid - Not Freely Given", I9569="Invalid - Not Specific", I9569="Invalid - Not Informed", I9569="Invalid - Ambiguous"), "Gap - Invalid Consent", "Compliant")))))</f>
        <v/>
      </c>
      <c r="O9569" s="7" t="n"/>
    </row>
    <row r="9570">
      <c r="A9570" s="7" t="n"/>
      <c r="B9570" s="7" t="n"/>
      <c r="C9570" s="7" t="n"/>
      <c r="D9570" s="7" t="n"/>
      <c r="E9570" s="7" t="n"/>
      <c r="F9570" s="7" t="n"/>
      <c r="G9570" s="7" t="n"/>
      <c r="H9570" s="7" t="n"/>
      <c r="I9570" s="7" t="n"/>
      <c r="J9570" s="7" t="n"/>
      <c r="K9570">
        <f>IF(D9570="Legitimate Interest (GDPR Art. 6(1)(f))", "Yes / Required (Sheet 3)", "")</f>
        <v/>
      </c>
      <c r="L9570" s="7" t="n"/>
      <c r="M9570" s="7" t="n"/>
      <c r="N9570">
        <f>IF(D9570="", "Gap - No Legal Basis", IF(AND(D9570="Consent (GDPR Art. 6(1)(a))", I9570="Not Captured"), "Gap - Invalid Consent", IF(AND(D9570="Legitimate Interest (GDPR Art. 6(1)(f))", L9570=""), "Gap - Missing LIA", IF(AND(G9570="Yes", H9570=""), "Gap - Missing Art. 9 Basis", IF(OR(I9570="Invalid - Not Freely Given", I9570="Invalid - Not Specific", I9570="Invalid - Not Informed", I9570="Invalid - Ambiguous"), "Gap - Invalid Consent", "Compliant")))))</f>
        <v/>
      </c>
      <c r="O9570" s="7" t="n"/>
    </row>
    <row r="9571">
      <c r="A9571" s="7" t="n"/>
      <c r="B9571" s="7" t="n"/>
      <c r="C9571" s="7" t="n"/>
      <c r="D9571" s="7" t="n"/>
      <c r="E9571" s="7" t="n"/>
      <c r="F9571" s="7" t="n"/>
      <c r="G9571" s="7" t="n"/>
      <c r="H9571" s="7" t="n"/>
      <c r="I9571" s="7" t="n"/>
      <c r="J9571" s="7" t="n"/>
      <c r="K9571">
        <f>IF(D9571="Legitimate Interest (GDPR Art. 6(1)(f))", "Yes / Required (Sheet 3)", "")</f>
        <v/>
      </c>
      <c r="L9571" s="7" t="n"/>
      <c r="M9571" s="7" t="n"/>
      <c r="N9571">
        <f>IF(D9571="", "Gap - No Legal Basis", IF(AND(D9571="Consent (GDPR Art. 6(1)(a))", I9571="Not Captured"), "Gap - Invalid Consent", IF(AND(D9571="Legitimate Interest (GDPR Art. 6(1)(f))", L9571=""), "Gap - Missing LIA", IF(AND(G9571="Yes", H9571=""), "Gap - Missing Art. 9 Basis", IF(OR(I9571="Invalid - Not Freely Given", I9571="Invalid - Not Specific", I9571="Invalid - Not Informed", I9571="Invalid - Ambiguous"), "Gap - Invalid Consent", "Compliant")))))</f>
        <v/>
      </c>
      <c r="O9571" s="7" t="n"/>
    </row>
    <row r="9572">
      <c r="A9572" s="7" t="n"/>
      <c r="B9572" s="7" t="n"/>
      <c r="C9572" s="7" t="n"/>
      <c r="D9572" s="7" t="n"/>
      <c r="E9572" s="7" t="n"/>
      <c r="F9572" s="7" t="n"/>
      <c r="G9572" s="7" t="n"/>
      <c r="H9572" s="7" t="n"/>
      <c r="I9572" s="7" t="n"/>
      <c r="J9572" s="7" t="n"/>
      <c r="K9572">
        <f>IF(D9572="Legitimate Interest (GDPR Art. 6(1)(f))", "Yes / Required (Sheet 3)", "")</f>
        <v/>
      </c>
      <c r="L9572" s="7" t="n"/>
      <c r="M9572" s="7" t="n"/>
      <c r="N9572">
        <f>IF(D9572="", "Gap - No Legal Basis", IF(AND(D9572="Consent (GDPR Art. 6(1)(a))", I9572="Not Captured"), "Gap - Invalid Consent", IF(AND(D9572="Legitimate Interest (GDPR Art. 6(1)(f))", L9572=""), "Gap - Missing LIA", IF(AND(G9572="Yes", H9572=""), "Gap - Missing Art. 9 Basis", IF(OR(I9572="Invalid - Not Freely Given", I9572="Invalid - Not Specific", I9572="Invalid - Not Informed", I9572="Invalid - Ambiguous"), "Gap - Invalid Consent", "Compliant")))))</f>
        <v/>
      </c>
      <c r="O9572" s="7" t="n"/>
    </row>
    <row r="9573">
      <c r="A9573" s="7" t="n"/>
      <c r="B9573" s="7" t="n"/>
      <c r="C9573" s="7" t="n"/>
      <c r="D9573" s="7" t="n"/>
      <c r="E9573" s="7" t="n"/>
      <c r="F9573" s="7" t="n"/>
      <c r="G9573" s="7" t="n"/>
      <c r="H9573" s="7" t="n"/>
      <c r="I9573" s="7" t="n"/>
      <c r="J9573" s="7" t="n"/>
      <c r="K9573">
        <f>IF(D9573="Legitimate Interest (GDPR Art. 6(1)(f))", "Yes / Required (Sheet 3)", "")</f>
        <v/>
      </c>
      <c r="L9573" s="7" t="n"/>
      <c r="M9573" s="7" t="n"/>
      <c r="N9573">
        <f>IF(D9573="", "Gap - No Legal Basis", IF(AND(D9573="Consent (GDPR Art. 6(1)(a))", I9573="Not Captured"), "Gap - Invalid Consent", IF(AND(D9573="Legitimate Interest (GDPR Art. 6(1)(f))", L9573=""), "Gap - Missing LIA", IF(AND(G9573="Yes", H9573=""), "Gap - Missing Art. 9 Basis", IF(OR(I9573="Invalid - Not Freely Given", I9573="Invalid - Not Specific", I9573="Invalid - Not Informed", I9573="Invalid - Ambiguous"), "Gap - Invalid Consent", "Compliant")))))</f>
        <v/>
      </c>
      <c r="O9573" s="7" t="n"/>
    </row>
    <row r="9574">
      <c r="A9574" s="7" t="n"/>
      <c r="B9574" s="7" t="n"/>
      <c r="C9574" s="7" t="n"/>
      <c r="D9574" s="7" t="n"/>
      <c r="E9574" s="7" t="n"/>
      <c r="F9574" s="7" t="n"/>
      <c r="G9574" s="7" t="n"/>
      <c r="H9574" s="7" t="n"/>
      <c r="I9574" s="7" t="n"/>
      <c r="J9574" s="7" t="n"/>
      <c r="K9574">
        <f>IF(D9574="Legitimate Interest (GDPR Art. 6(1)(f))", "Yes / Required (Sheet 3)", "")</f>
        <v/>
      </c>
      <c r="L9574" s="7" t="n"/>
      <c r="M9574" s="7" t="n"/>
      <c r="N9574">
        <f>IF(D9574="", "Gap - No Legal Basis", IF(AND(D9574="Consent (GDPR Art. 6(1)(a))", I9574="Not Captured"), "Gap - Invalid Consent", IF(AND(D9574="Legitimate Interest (GDPR Art. 6(1)(f))", L9574=""), "Gap - Missing LIA", IF(AND(G9574="Yes", H9574=""), "Gap - Missing Art. 9 Basis", IF(OR(I9574="Invalid - Not Freely Given", I9574="Invalid - Not Specific", I9574="Invalid - Not Informed", I9574="Invalid - Ambiguous"), "Gap - Invalid Consent", "Compliant")))))</f>
        <v/>
      </c>
      <c r="O9574" s="7" t="n"/>
    </row>
    <row r="9575">
      <c r="A9575" s="7" t="n"/>
      <c r="B9575" s="7" t="n"/>
      <c r="C9575" s="7" t="n"/>
      <c r="D9575" s="7" t="n"/>
      <c r="E9575" s="7" t="n"/>
      <c r="F9575" s="7" t="n"/>
      <c r="G9575" s="7" t="n"/>
      <c r="H9575" s="7" t="n"/>
      <c r="I9575" s="7" t="n"/>
      <c r="J9575" s="7" t="n"/>
      <c r="K9575">
        <f>IF(D9575="Legitimate Interest (GDPR Art. 6(1)(f))", "Yes / Required (Sheet 3)", "")</f>
        <v/>
      </c>
      <c r="L9575" s="7" t="n"/>
      <c r="M9575" s="7" t="n"/>
      <c r="N9575">
        <f>IF(D9575="", "Gap - No Legal Basis", IF(AND(D9575="Consent (GDPR Art. 6(1)(a))", I9575="Not Captured"), "Gap - Invalid Consent", IF(AND(D9575="Legitimate Interest (GDPR Art. 6(1)(f))", L9575=""), "Gap - Missing LIA", IF(AND(G9575="Yes", H9575=""), "Gap - Missing Art. 9 Basis", IF(OR(I9575="Invalid - Not Freely Given", I9575="Invalid - Not Specific", I9575="Invalid - Not Informed", I9575="Invalid - Ambiguous"), "Gap - Invalid Consent", "Compliant")))))</f>
        <v/>
      </c>
      <c r="O9575" s="7" t="n"/>
    </row>
    <row r="9576">
      <c r="A9576" s="7" t="n"/>
      <c r="B9576" s="7" t="n"/>
      <c r="C9576" s="7" t="n"/>
      <c r="D9576" s="7" t="n"/>
      <c r="E9576" s="7" t="n"/>
      <c r="F9576" s="7" t="n"/>
      <c r="G9576" s="7" t="n"/>
      <c r="H9576" s="7" t="n"/>
      <c r="I9576" s="7" t="n"/>
      <c r="J9576" s="7" t="n"/>
      <c r="K9576">
        <f>IF(D9576="Legitimate Interest (GDPR Art. 6(1)(f))", "Yes / Required (Sheet 3)", "")</f>
        <v/>
      </c>
      <c r="L9576" s="7" t="n"/>
      <c r="M9576" s="7" t="n"/>
      <c r="N9576">
        <f>IF(D9576="", "Gap - No Legal Basis", IF(AND(D9576="Consent (GDPR Art. 6(1)(a))", I9576="Not Captured"), "Gap - Invalid Consent", IF(AND(D9576="Legitimate Interest (GDPR Art. 6(1)(f))", L9576=""), "Gap - Missing LIA", IF(AND(G9576="Yes", H9576=""), "Gap - Missing Art. 9 Basis", IF(OR(I9576="Invalid - Not Freely Given", I9576="Invalid - Not Specific", I9576="Invalid - Not Informed", I9576="Invalid - Ambiguous"), "Gap - Invalid Consent", "Compliant")))))</f>
        <v/>
      </c>
      <c r="O9576" s="7" t="n"/>
    </row>
    <row r="9577">
      <c r="A9577" s="7" t="n"/>
      <c r="B9577" s="7" t="n"/>
      <c r="C9577" s="7" t="n"/>
      <c r="D9577" s="7" t="n"/>
      <c r="E9577" s="7" t="n"/>
      <c r="F9577" s="7" t="n"/>
      <c r="G9577" s="7" t="n"/>
      <c r="H9577" s="7" t="n"/>
      <c r="I9577" s="7" t="n"/>
      <c r="J9577" s="7" t="n"/>
      <c r="K9577">
        <f>IF(D9577="Legitimate Interest (GDPR Art. 6(1)(f))", "Yes / Required (Sheet 3)", "")</f>
        <v/>
      </c>
      <c r="L9577" s="7" t="n"/>
      <c r="M9577" s="7" t="n"/>
      <c r="N9577">
        <f>IF(D9577="", "Gap - No Legal Basis", IF(AND(D9577="Consent (GDPR Art. 6(1)(a))", I9577="Not Captured"), "Gap - Invalid Consent", IF(AND(D9577="Legitimate Interest (GDPR Art. 6(1)(f))", L9577=""), "Gap - Missing LIA", IF(AND(G9577="Yes", H9577=""), "Gap - Missing Art. 9 Basis", IF(OR(I9577="Invalid - Not Freely Given", I9577="Invalid - Not Specific", I9577="Invalid - Not Informed", I9577="Invalid - Ambiguous"), "Gap - Invalid Consent", "Compliant")))))</f>
        <v/>
      </c>
      <c r="O9577" s="7" t="n"/>
    </row>
    <row r="9578">
      <c r="A9578" s="7" t="n"/>
      <c r="B9578" s="7" t="n"/>
      <c r="C9578" s="7" t="n"/>
      <c r="D9578" s="7" t="n"/>
      <c r="E9578" s="7" t="n"/>
      <c r="F9578" s="7" t="n"/>
      <c r="G9578" s="7" t="n"/>
      <c r="H9578" s="7" t="n"/>
      <c r="I9578" s="7" t="n"/>
      <c r="J9578" s="7" t="n"/>
      <c r="K9578">
        <f>IF(D9578="Legitimate Interest (GDPR Art. 6(1)(f))", "Yes / Required (Sheet 3)", "")</f>
        <v/>
      </c>
      <c r="L9578" s="7" t="n"/>
      <c r="M9578" s="7" t="n"/>
      <c r="N9578">
        <f>IF(D9578="", "Gap - No Legal Basis", IF(AND(D9578="Consent (GDPR Art. 6(1)(a))", I9578="Not Captured"), "Gap - Invalid Consent", IF(AND(D9578="Legitimate Interest (GDPR Art. 6(1)(f))", L9578=""), "Gap - Missing LIA", IF(AND(G9578="Yes", H9578=""), "Gap - Missing Art. 9 Basis", IF(OR(I9578="Invalid - Not Freely Given", I9578="Invalid - Not Specific", I9578="Invalid - Not Informed", I9578="Invalid - Ambiguous"), "Gap - Invalid Consent", "Compliant")))))</f>
        <v/>
      </c>
      <c r="O9578" s="7" t="n"/>
    </row>
    <row r="9579">
      <c r="A9579" s="7" t="n"/>
      <c r="B9579" s="7" t="n"/>
      <c r="C9579" s="7" t="n"/>
      <c r="D9579" s="7" t="n"/>
      <c r="E9579" s="7" t="n"/>
      <c r="F9579" s="7" t="n"/>
      <c r="G9579" s="7" t="n"/>
      <c r="H9579" s="7" t="n"/>
      <c r="I9579" s="7" t="n"/>
      <c r="J9579" s="7" t="n"/>
      <c r="K9579">
        <f>IF(D9579="Legitimate Interest (GDPR Art. 6(1)(f))", "Yes / Required (Sheet 3)", "")</f>
        <v/>
      </c>
      <c r="L9579" s="7" t="n"/>
      <c r="M9579" s="7" t="n"/>
      <c r="N9579">
        <f>IF(D9579="", "Gap - No Legal Basis", IF(AND(D9579="Consent (GDPR Art. 6(1)(a))", I9579="Not Captured"), "Gap - Invalid Consent", IF(AND(D9579="Legitimate Interest (GDPR Art. 6(1)(f))", L9579=""), "Gap - Missing LIA", IF(AND(G9579="Yes", H9579=""), "Gap - Missing Art. 9 Basis", IF(OR(I9579="Invalid - Not Freely Given", I9579="Invalid - Not Specific", I9579="Invalid - Not Informed", I9579="Invalid - Ambiguous"), "Gap - Invalid Consent", "Compliant")))))</f>
        <v/>
      </c>
      <c r="O9579" s="7" t="n"/>
    </row>
    <row r="9580">
      <c r="A9580" s="7" t="n"/>
      <c r="B9580" s="7" t="n"/>
      <c r="C9580" s="7" t="n"/>
      <c r="D9580" s="7" t="n"/>
      <c r="E9580" s="7" t="n"/>
      <c r="F9580" s="7" t="n"/>
      <c r="G9580" s="7" t="n"/>
      <c r="H9580" s="7" t="n"/>
      <c r="I9580" s="7" t="n"/>
      <c r="J9580" s="7" t="n"/>
      <c r="K9580">
        <f>IF(D9580="Legitimate Interest (GDPR Art. 6(1)(f))", "Yes / Required (Sheet 3)", "")</f>
        <v/>
      </c>
      <c r="L9580" s="7" t="n"/>
      <c r="M9580" s="7" t="n"/>
      <c r="N9580">
        <f>IF(D9580="", "Gap - No Legal Basis", IF(AND(D9580="Consent (GDPR Art. 6(1)(a))", I9580="Not Captured"), "Gap - Invalid Consent", IF(AND(D9580="Legitimate Interest (GDPR Art. 6(1)(f))", L9580=""), "Gap - Missing LIA", IF(AND(G9580="Yes", H9580=""), "Gap - Missing Art. 9 Basis", IF(OR(I9580="Invalid - Not Freely Given", I9580="Invalid - Not Specific", I9580="Invalid - Not Informed", I9580="Invalid - Ambiguous"), "Gap - Invalid Consent", "Compliant")))))</f>
        <v/>
      </c>
      <c r="O9580" s="7" t="n"/>
    </row>
    <row r="9581">
      <c r="A9581" s="7" t="n"/>
      <c r="B9581" s="7" t="n"/>
      <c r="C9581" s="7" t="n"/>
      <c r="D9581" s="7" t="n"/>
      <c r="E9581" s="7" t="n"/>
      <c r="F9581" s="7" t="n"/>
      <c r="G9581" s="7" t="n"/>
      <c r="H9581" s="7" t="n"/>
      <c r="I9581" s="7" t="n"/>
      <c r="J9581" s="7" t="n"/>
      <c r="K9581">
        <f>IF(D9581="Legitimate Interest (GDPR Art. 6(1)(f))", "Yes / Required (Sheet 3)", "")</f>
        <v/>
      </c>
      <c r="L9581" s="7" t="n"/>
      <c r="M9581" s="7" t="n"/>
      <c r="N9581">
        <f>IF(D9581="", "Gap - No Legal Basis", IF(AND(D9581="Consent (GDPR Art. 6(1)(a))", I9581="Not Captured"), "Gap - Invalid Consent", IF(AND(D9581="Legitimate Interest (GDPR Art. 6(1)(f))", L9581=""), "Gap - Missing LIA", IF(AND(G9581="Yes", H9581=""), "Gap - Missing Art. 9 Basis", IF(OR(I9581="Invalid - Not Freely Given", I9581="Invalid - Not Specific", I9581="Invalid - Not Informed", I9581="Invalid - Ambiguous"), "Gap - Invalid Consent", "Compliant")))))</f>
        <v/>
      </c>
      <c r="O9581" s="7" t="n"/>
    </row>
    <row r="9582">
      <c r="A9582" s="7" t="n"/>
      <c r="B9582" s="7" t="n"/>
      <c r="C9582" s="7" t="n"/>
      <c r="D9582" s="7" t="n"/>
      <c r="E9582" s="7" t="n"/>
      <c r="F9582" s="7" t="n"/>
      <c r="G9582" s="7" t="n"/>
      <c r="H9582" s="7" t="n"/>
      <c r="I9582" s="7" t="n"/>
      <c r="J9582" s="7" t="n"/>
      <c r="K9582">
        <f>IF(D9582="Legitimate Interest (GDPR Art. 6(1)(f))", "Yes / Required (Sheet 3)", "")</f>
        <v/>
      </c>
      <c r="L9582" s="7" t="n"/>
      <c r="M9582" s="7" t="n"/>
      <c r="N9582">
        <f>IF(D9582="", "Gap - No Legal Basis", IF(AND(D9582="Consent (GDPR Art. 6(1)(a))", I9582="Not Captured"), "Gap - Invalid Consent", IF(AND(D9582="Legitimate Interest (GDPR Art. 6(1)(f))", L9582=""), "Gap - Missing LIA", IF(AND(G9582="Yes", H9582=""), "Gap - Missing Art. 9 Basis", IF(OR(I9582="Invalid - Not Freely Given", I9582="Invalid - Not Specific", I9582="Invalid - Not Informed", I9582="Invalid - Ambiguous"), "Gap - Invalid Consent", "Compliant")))))</f>
        <v/>
      </c>
      <c r="O9582" s="7" t="n"/>
    </row>
    <row r="9583">
      <c r="A9583" s="7" t="n"/>
      <c r="B9583" s="7" t="n"/>
      <c r="C9583" s="7" t="n"/>
      <c r="D9583" s="7" t="n"/>
      <c r="E9583" s="7" t="n"/>
      <c r="F9583" s="7" t="n"/>
      <c r="G9583" s="7" t="n"/>
      <c r="H9583" s="7" t="n"/>
      <c r="I9583" s="7" t="n"/>
      <c r="J9583" s="7" t="n"/>
      <c r="K9583">
        <f>IF(D9583="Legitimate Interest (GDPR Art. 6(1)(f))", "Yes / Required (Sheet 3)", "")</f>
        <v/>
      </c>
      <c r="L9583" s="7" t="n"/>
      <c r="M9583" s="7" t="n"/>
      <c r="N9583">
        <f>IF(D9583="", "Gap - No Legal Basis", IF(AND(D9583="Consent (GDPR Art. 6(1)(a))", I9583="Not Captured"), "Gap - Invalid Consent", IF(AND(D9583="Legitimate Interest (GDPR Art. 6(1)(f))", L9583=""), "Gap - Missing LIA", IF(AND(G9583="Yes", H9583=""), "Gap - Missing Art. 9 Basis", IF(OR(I9583="Invalid - Not Freely Given", I9583="Invalid - Not Specific", I9583="Invalid - Not Informed", I9583="Invalid - Ambiguous"), "Gap - Invalid Consent", "Compliant")))))</f>
        <v/>
      </c>
      <c r="O9583" s="7" t="n"/>
    </row>
    <row r="9584">
      <c r="A9584" s="7" t="n"/>
      <c r="B9584" s="7" t="n"/>
      <c r="C9584" s="7" t="n"/>
      <c r="D9584" s="7" t="n"/>
      <c r="E9584" s="7" t="n"/>
      <c r="F9584" s="7" t="n"/>
      <c r="G9584" s="7" t="n"/>
      <c r="H9584" s="7" t="n"/>
      <c r="I9584" s="7" t="n"/>
      <c r="J9584" s="7" t="n"/>
      <c r="K9584">
        <f>IF(D9584="Legitimate Interest (GDPR Art. 6(1)(f))", "Yes / Required (Sheet 3)", "")</f>
        <v/>
      </c>
      <c r="L9584" s="7" t="n"/>
      <c r="M9584" s="7" t="n"/>
      <c r="N9584">
        <f>IF(D9584="", "Gap - No Legal Basis", IF(AND(D9584="Consent (GDPR Art. 6(1)(a))", I9584="Not Captured"), "Gap - Invalid Consent", IF(AND(D9584="Legitimate Interest (GDPR Art. 6(1)(f))", L9584=""), "Gap - Missing LIA", IF(AND(G9584="Yes", H9584=""), "Gap - Missing Art. 9 Basis", IF(OR(I9584="Invalid - Not Freely Given", I9584="Invalid - Not Specific", I9584="Invalid - Not Informed", I9584="Invalid - Ambiguous"), "Gap - Invalid Consent", "Compliant")))))</f>
        <v/>
      </c>
      <c r="O9584" s="7" t="n"/>
    </row>
    <row r="9585">
      <c r="A9585" s="7" t="n"/>
      <c r="B9585" s="7" t="n"/>
      <c r="C9585" s="7" t="n"/>
      <c r="D9585" s="7" t="n"/>
      <c r="E9585" s="7" t="n"/>
      <c r="F9585" s="7" t="n"/>
      <c r="G9585" s="7" t="n"/>
      <c r="H9585" s="7" t="n"/>
      <c r="I9585" s="7" t="n"/>
      <c r="J9585" s="7" t="n"/>
      <c r="K9585">
        <f>IF(D9585="Legitimate Interest (GDPR Art. 6(1)(f))", "Yes / Required (Sheet 3)", "")</f>
        <v/>
      </c>
      <c r="L9585" s="7" t="n"/>
      <c r="M9585" s="7" t="n"/>
      <c r="N9585">
        <f>IF(D9585="", "Gap - No Legal Basis", IF(AND(D9585="Consent (GDPR Art. 6(1)(a))", I9585="Not Captured"), "Gap - Invalid Consent", IF(AND(D9585="Legitimate Interest (GDPR Art. 6(1)(f))", L9585=""), "Gap - Missing LIA", IF(AND(G9585="Yes", H9585=""), "Gap - Missing Art. 9 Basis", IF(OR(I9585="Invalid - Not Freely Given", I9585="Invalid - Not Specific", I9585="Invalid - Not Informed", I9585="Invalid - Ambiguous"), "Gap - Invalid Consent", "Compliant")))))</f>
        <v/>
      </c>
      <c r="O9585" s="7" t="n"/>
    </row>
    <row r="9586">
      <c r="A9586" s="7" t="n"/>
      <c r="B9586" s="7" t="n"/>
      <c r="C9586" s="7" t="n"/>
      <c r="D9586" s="7" t="n"/>
      <c r="E9586" s="7" t="n"/>
      <c r="F9586" s="7" t="n"/>
      <c r="G9586" s="7" t="n"/>
      <c r="H9586" s="7" t="n"/>
      <c r="I9586" s="7" t="n"/>
      <c r="J9586" s="7" t="n"/>
      <c r="K9586">
        <f>IF(D9586="Legitimate Interest (GDPR Art. 6(1)(f))", "Yes / Required (Sheet 3)", "")</f>
        <v/>
      </c>
      <c r="L9586" s="7" t="n"/>
      <c r="M9586" s="7" t="n"/>
      <c r="N9586">
        <f>IF(D9586="", "Gap - No Legal Basis", IF(AND(D9586="Consent (GDPR Art. 6(1)(a))", I9586="Not Captured"), "Gap - Invalid Consent", IF(AND(D9586="Legitimate Interest (GDPR Art. 6(1)(f))", L9586=""), "Gap - Missing LIA", IF(AND(G9586="Yes", H9586=""), "Gap - Missing Art. 9 Basis", IF(OR(I9586="Invalid - Not Freely Given", I9586="Invalid - Not Specific", I9586="Invalid - Not Informed", I9586="Invalid - Ambiguous"), "Gap - Invalid Consent", "Compliant")))))</f>
        <v/>
      </c>
      <c r="O9586" s="7" t="n"/>
    </row>
    <row r="9587">
      <c r="A9587" s="7" t="n"/>
      <c r="B9587" s="7" t="n"/>
      <c r="C9587" s="7" t="n"/>
      <c r="D9587" s="7" t="n"/>
      <c r="E9587" s="7" t="n"/>
      <c r="F9587" s="7" t="n"/>
      <c r="G9587" s="7" t="n"/>
      <c r="H9587" s="7" t="n"/>
      <c r="I9587" s="7" t="n"/>
      <c r="J9587" s="7" t="n"/>
      <c r="K9587">
        <f>IF(D9587="Legitimate Interest (GDPR Art. 6(1)(f))", "Yes / Required (Sheet 3)", "")</f>
        <v/>
      </c>
      <c r="L9587" s="7" t="n"/>
      <c r="M9587" s="7" t="n"/>
      <c r="N9587">
        <f>IF(D9587="", "Gap - No Legal Basis", IF(AND(D9587="Consent (GDPR Art. 6(1)(a))", I9587="Not Captured"), "Gap - Invalid Consent", IF(AND(D9587="Legitimate Interest (GDPR Art. 6(1)(f))", L9587=""), "Gap - Missing LIA", IF(AND(G9587="Yes", H9587=""), "Gap - Missing Art. 9 Basis", IF(OR(I9587="Invalid - Not Freely Given", I9587="Invalid - Not Specific", I9587="Invalid - Not Informed", I9587="Invalid - Ambiguous"), "Gap - Invalid Consent", "Compliant")))))</f>
        <v/>
      </c>
      <c r="O9587" s="7" t="n"/>
    </row>
    <row r="9588">
      <c r="A9588" s="7" t="n"/>
      <c r="B9588" s="7" t="n"/>
      <c r="C9588" s="7" t="n"/>
      <c r="D9588" s="7" t="n"/>
      <c r="E9588" s="7" t="n"/>
      <c r="F9588" s="7" t="n"/>
      <c r="G9588" s="7" t="n"/>
      <c r="H9588" s="7" t="n"/>
      <c r="I9588" s="7" t="n"/>
      <c r="J9588" s="7" t="n"/>
      <c r="K9588">
        <f>IF(D9588="Legitimate Interest (GDPR Art. 6(1)(f))", "Yes / Required (Sheet 3)", "")</f>
        <v/>
      </c>
      <c r="L9588" s="7" t="n"/>
      <c r="M9588" s="7" t="n"/>
      <c r="N9588">
        <f>IF(D9588="", "Gap - No Legal Basis", IF(AND(D9588="Consent (GDPR Art. 6(1)(a))", I9588="Not Captured"), "Gap - Invalid Consent", IF(AND(D9588="Legitimate Interest (GDPR Art. 6(1)(f))", L9588=""), "Gap - Missing LIA", IF(AND(G9588="Yes", H9588=""), "Gap - Missing Art. 9 Basis", IF(OR(I9588="Invalid - Not Freely Given", I9588="Invalid - Not Specific", I9588="Invalid - Not Informed", I9588="Invalid - Ambiguous"), "Gap - Invalid Consent", "Compliant")))))</f>
        <v/>
      </c>
      <c r="O9588" s="7" t="n"/>
    </row>
    <row r="9589">
      <c r="A9589" s="7" t="n"/>
      <c r="B9589" s="7" t="n"/>
      <c r="C9589" s="7" t="n"/>
      <c r="D9589" s="7" t="n"/>
      <c r="E9589" s="7" t="n"/>
      <c r="F9589" s="7" t="n"/>
      <c r="G9589" s="7" t="n"/>
      <c r="H9589" s="7" t="n"/>
      <c r="I9589" s="7" t="n"/>
      <c r="J9589" s="7" t="n"/>
      <c r="K9589">
        <f>IF(D9589="Legitimate Interest (GDPR Art. 6(1)(f))", "Yes / Required (Sheet 3)", "")</f>
        <v/>
      </c>
      <c r="L9589" s="7" t="n"/>
      <c r="M9589" s="7" t="n"/>
      <c r="N9589">
        <f>IF(D9589="", "Gap - No Legal Basis", IF(AND(D9589="Consent (GDPR Art. 6(1)(a))", I9589="Not Captured"), "Gap - Invalid Consent", IF(AND(D9589="Legitimate Interest (GDPR Art. 6(1)(f))", L9589=""), "Gap - Missing LIA", IF(AND(G9589="Yes", H9589=""), "Gap - Missing Art. 9 Basis", IF(OR(I9589="Invalid - Not Freely Given", I9589="Invalid - Not Specific", I9589="Invalid - Not Informed", I9589="Invalid - Ambiguous"), "Gap - Invalid Consent", "Compliant")))))</f>
        <v/>
      </c>
      <c r="O9589" s="7" t="n"/>
    </row>
    <row r="9590">
      <c r="A9590" s="7" t="n"/>
      <c r="B9590" s="7" t="n"/>
      <c r="C9590" s="7" t="n"/>
      <c r="D9590" s="7" t="n"/>
      <c r="E9590" s="7" t="n"/>
      <c r="F9590" s="7" t="n"/>
      <c r="G9590" s="7" t="n"/>
      <c r="H9590" s="7" t="n"/>
      <c r="I9590" s="7" t="n"/>
      <c r="J9590" s="7" t="n"/>
      <c r="K9590">
        <f>IF(D9590="Legitimate Interest (GDPR Art. 6(1)(f))", "Yes / Required (Sheet 3)", "")</f>
        <v/>
      </c>
      <c r="L9590" s="7" t="n"/>
      <c r="M9590" s="7" t="n"/>
      <c r="N9590">
        <f>IF(D9590="", "Gap - No Legal Basis", IF(AND(D9590="Consent (GDPR Art. 6(1)(a))", I9590="Not Captured"), "Gap - Invalid Consent", IF(AND(D9590="Legitimate Interest (GDPR Art. 6(1)(f))", L9590=""), "Gap - Missing LIA", IF(AND(G9590="Yes", H9590=""), "Gap - Missing Art. 9 Basis", IF(OR(I9590="Invalid - Not Freely Given", I9590="Invalid - Not Specific", I9590="Invalid - Not Informed", I9590="Invalid - Ambiguous"), "Gap - Invalid Consent", "Compliant")))))</f>
        <v/>
      </c>
      <c r="O9590" s="7" t="n"/>
    </row>
    <row r="9591">
      <c r="A9591" s="7" t="n"/>
      <c r="B9591" s="7" t="n"/>
      <c r="C9591" s="7" t="n"/>
      <c r="D9591" s="7" t="n"/>
      <c r="E9591" s="7" t="n"/>
      <c r="F9591" s="7" t="n"/>
      <c r="G9591" s="7" t="n"/>
      <c r="H9591" s="7" t="n"/>
      <c r="I9591" s="7" t="n"/>
      <c r="J9591" s="7" t="n"/>
      <c r="K9591">
        <f>IF(D9591="Legitimate Interest (GDPR Art. 6(1)(f))", "Yes / Required (Sheet 3)", "")</f>
        <v/>
      </c>
      <c r="L9591" s="7" t="n"/>
      <c r="M9591" s="7" t="n"/>
      <c r="N9591">
        <f>IF(D9591="", "Gap - No Legal Basis", IF(AND(D9591="Consent (GDPR Art. 6(1)(a))", I9591="Not Captured"), "Gap - Invalid Consent", IF(AND(D9591="Legitimate Interest (GDPR Art. 6(1)(f))", L9591=""), "Gap - Missing LIA", IF(AND(G9591="Yes", H9591=""), "Gap - Missing Art. 9 Basis", IF(OR(I9591="Invalid - Not Freely Given", I9591="Invalid - Not Specific", I9591="Invalid - Not Informed", I9591="Invalid - Ambiguous"), "Gap - Invalid Consent", "Compliant")))))</f>
        <v/>
      </c>
      <c r="O9591" s="7" t="n"/>
    </row>
    <row r="9592">
      <c r="A9592" s="7" t="n"/>
      <c r="B9592" s="7" t="n"/>
      <c r="C9592" s="7" t="n"/>
      <c r="D9592" s="7" t="n"/>
      <c r="E9592" s="7" t="n"/>
      <c r="F9592" s="7" t="n"/>
      <c r="G9592" s="7" t="n"/>
      <c r="H9592" s="7" t="n"/>
      <c r="I9592" s="7" t="n"/>
      <c r="J9592" s="7" t="n"/>
      <c r="K9592">
        <f>IF(D9592="Legitimate Interest (GDPR Art. 6(1)(f))", "Yes / Required (Sheet 3)", "")</f>
        <v/>
      </c>
      <c r="L9592" s="7" t="n"/>
      <c r="M9592" s="7" t="n"/>
      <c r="N9592">
        <f>IF(D9592="", "Gap - No Legal Basis", IF(AND(D9592="Consent (GDPR Art. 6(1)(a))", I9592="Not Captured"), "Gap - Invalid Consent", IF(AND(D9592="Legitimate Interest (GDPR Art. 6(1)(f))", L9592=""), "Gap - Missing LIA", IF(AND(G9592="Yes", H9592=""), "Gap - Missing Art. 9 Basis", IF(OR(I9592="Invalid - Not Freely Given", I9592="Invalid - Not Specific", I9592="Invalid - Not Informed", I9592="Invalid - Ambiguous"), "Gap - Invalid Consent", "Compliant")))))</f>
        <v/>
      </c>
      <c r="O9592" s="7" t="n"/>
    </row>
    <row r="9593">
      <c r="A9593" s="7" t="n"/>
      <c r="B9593" s="7" t="n"/>
      <c r="C9593" s="7" t="n"/>
      <c r="D9593" s="7" t="n"/>
      <c r="E9593" s="7" t="n"/>
      <c r="F9593" s="7" t="n"/>
      <c r="G9593" s="7" t="n"/>
      <c r="H9593" s="7" t="n"/>
      <c r="I9593" s="7" t="n"/>
      <c r="J9593" s="7" t="n"/>
      <c r="K9593">
        <f>IF(D9593="Legitimate Interest (GDPR Art. 6(1)(f))", "Yes / Required (Sheet 3)", "")</f>
        <v/>
      </c>
      <c r="L9593" s="7" t="n"/>
      <c r="M9593" s="7" t="n"/>
      <c r="N9593">
        <f>IF(D9593="", "Gap - No Legal Basis", IF(AND(D9593="Consent (GDPR Art. 6(1)(a))", I9593="Not Captured"), "Gap - Invalid Consent", IF(AND(D9593="Legitimate Interest (GDPR Art. 6(1)(f))", L9593=""), "Gap - Missing LIA", IF(AND(G9593="Yes", H9593=""), "Gap - Missing Art. 9 Basis", IF(OR(I9593="Invalid - Not Freely Given", I9593="Invalid - Not Specific", I9593="Invalid - Not Informed", I9593="Invalid - Ambiguous"), "Gap - Invalid Consent", "Compliant")))))</f>
        <v/>
      </c>
      <c r="O9593" s="7" t="n"/>
    </row>
    <row r="9594">
      <c r="A9594" s="7" t="n"/>
      <c r="B9594" s="7" t="n"/>
      <c r="C9594" s="7" t="n"/>
      <c r="D9594" s="7" t="n"/>
      <c r="E9594" s="7" t="n"/>
      <c r="F9594" s="7" t="n"/>
      <c r="G9594" s="7" t="n"/>
      <c r="H9594" s="7" t="n"/>
      <c r="I9594" s="7" t="n"/>
      <c r="J9594" s="7" t="n"/>
      <c r="K9594">
        <f>IF(D9594="Legitimate Interest (GDPR Art. 6(1)(f))", "Yes / Required (Sheet 3)", "")</f>
        <v/>
      </c>
      <c r="L9594" s="7" t="n"/>
      <c r="M9594" s="7" t="n"/>
      <c r="N9594">
        <f>IF(D9594="", "Gap - No Legal Basis", IF(AND(D9594="Consent (GDPR Art. 6(1)(a))", I9594="Not Captured"), "Gap - Invalid Consent", IF(AND(D9594="Legitimate Interest (GDPR Art. 6(1)(f))", L9594=""), "Gap - Missing LIA", IF(AND(G9594="Yes", H9594=""), "Gap - Missing Art. 9 Basis", IF(OR(I9594="Invalid - Not Freely Given", I9594="Invalid - Not Specific", I9594="Invalid - Not Informed", I9594="Invalid - Ambiguous"), "Gap - Invalid Consent", "Compliant")))))</f>
        <v/>
      </c>
      <c r="O9594" s="7" t="n"/>
    </row>
    <row r="9595">
      <c r="A9595" s="7" t="n"/>
      <c r="B9595" s="7" t="n"/>
      <c r="C9595" s="7" t="n"/>
      <c r="D9595" s="7" t="n"/>
      <c r="E9595" s="7" t="n"/>
      <c r="F9595" s="7" t="n"/>
      <c r="G9595" s="7" t="n"/>
      <c r="H9595" s="7" t="n"/>
      <c r="I9595" s="7" t="n"/>
      <c r="J9595" s="7" t="n"/>
      <c r="K9595">
        <f>IF(D9595="Legitimate Interest (GDPR Art. 6(1)(f))", "Yes / Required (Sheet 3)", "")</f>
        <v/>
      </c>
      <c r="L9595" s="7" t="n"/>
      <c r="M9595" s="7" t="n"/>
      <c r="N9595">
        <f>IF(D9595="", "Gap - No Legal Basis", IF(AND(D9595="Consent (GDPR Art. 6(1)(a))", I9595="Not Captured"), "Gap - Invalid Consent", IF(AND(D9595="Legitimate Interest (GDPR Art. 6(1)(f))", L9595=""), "Gap - Missing LIA", IF(AND(G9595="Yes", H9595=""), "Gap - Missing Art. 9 Basis", IF(OR(I9595="Invalid - Not Freely Given", I9595="Invalid - Not Specific", I9595="Invalid - Not Informed", I9595="Invalid - Ambiguous"), "Gap - Invalid Consent", "Compliant")))))</f>
        <v/>
      </c>
      <c r="O9595" s="7" t="n"/>
    </row>
    <row r="9596">
      <c r="A9596" s="7" t="n"/>
      <c r="B9596" s="7" t="n"/>
      <c r="C9596" s="7" t="n"/>
      <c r="D9596" s="7" t="n"/>
      <c r="E9596" s="7" t="n"/>
      <c r="F9596" s="7" t="n"/>
      <c r="G9596" s="7" t="n"/>
      <c r="H9596" s="7" t="n"/>
      <c r="I9596" s="7" t="n"/>
      <c r="J9596" s="7" t="n"/>
      <c r="K9596">
        <f>IF(D9596="Legitimate Interest (GDPR Art. 6(1)(f))", "Yes / Required (Sheet 3)", "")</f>
        <v/>
      </c>
      <c r="L9596" s="7" t="n"/>
      <c r="M9596" s="7" t="n"/>
      <c r="N9596">
        <f>IF(D9596="", "Gap - No Legal Basis", IF(AND(D9596="Consent (GDPR Art. 6(1)(a))", I9596="Not Captured"), "Gap - Invalid Consent", IF(AND(D9596="Legitimate Interest (GDPR Art. 6(1)(f))", L9596=""), "Gap - Missing LIA", IF(AND(G9596="Yes", H9596=""), "Gap - Missing Art. 9 Basis", IF(OR(I9596="Invalid - Not Freely Given", I9596="Invalid - Not Specific", I9596="Invalid - Not Informed", I9596="Invalid - Ambiguous"), "Gap - Invalid Consent", "Compliant")))))</f>
        <v/>
      </c>
      <c r="O9596" s="7" t="n"/>
    </row>
    <row r="9597">
      <c r="A9597" s="7" t="n"/>
      <c r="B9597" s="7" t="n"/>
      <c r="C9597" s="7" t="n"/>
      <c r="D9597" s="7" t="n"/>
      <c r="E9597" s="7" t="n"/>
      <c r="F9597" s="7" t="n"/>
      <c r="G9597" s="7" t="n"/>
      <c r="H9597" s="7" t="n"/>
      <c r="I9597" s="7" t="n"/>
      <c r="J9597" s="7" t="n"/>
      <c r="K9597">
        <f>IF(D9597="Legitimate Interest (GDPR Art. 6(1)(f))", "Yes / Required (Sheet 3)", "")</f>
        <v/>
      </c>
      <c r="L9597" s="7" t="n"/>
      <c r="M9597" s="7" t="n"/>
      <c r="N9597">
        <f>IF(D9597="", "Gap - No Legal Basis", IF(AND(D9597="Consent (GDPR Art. 6(1)(a))", I9597="Not Captured"), "Gap - Invalid Consent", IF(AND(D9597="Legitimate Interest (GDPR Art. 6(1)(f))", L9597=""), "Gap - Missing LIA", IF(AND(G9597="Yes", H9597=""), "Gap - Missing Art. 9 Basis", IF(OR(I9597="Invalid - Not Freely Given", I9597="Invalid - Not Specific", I9597="Invalid - Not Informed", I9597="Invalid - Ambiguous"), "Gap - Invalid Consent", "Compliant")))))</f>
        <v/>
      </c>
      <c r="O9597" s="7" t="n"/>
    </row>
    <row r="9598">
      <c r="A9598" s="7" t="n"/>
      <c r="B9598" s="7" t="n"/>
      <c r="C9598" s="7" t="n"/>
      <c r="D9598" s="7" t="n"/>
      <c r="E9598" s="7" t="n"/>
      <c r="F9598" s="7" t="n"/>
      <c r="G9598" s="7" t="n"/>
      <c r="H9598" s="7" t="n"/>
      <c r="I9598" s="7" t="n"/>
      <c r="J9598" s="7" t="n"/>
      <c r="K9598">
        <f>IF(D9598="Legitimate Interest (GDPR Art. 6(1)(f))", "Yes / Required (Sheet 3)", "")</f>
        <v/>
      </c>
      <c r="L9598" s="7" t="n"/>
      <c r="M9598" s="7" t="n"/>
      <c r="N9598">
        <f>IF(D9598="", "Gap - No Legal Basis", IF(AND(D9598="Consent (GDPR Art. 6(1)(a))", I9598="Not Captured"), "Gap - Invalid Consent", IF(AND(D9598="Legitimate Interest (GDPR Art. 6(1)(f))", L9598=""), "Gap - Missing LIA", IF(AND(G9598="Yes", H9598=""), "Gap - Missing Art. 9 Basis", IF(OR(I9598="Invalid - Not Freely Given", I9598="Invalid - Not Specific", I9598="Invalid - Not Informed", I9598="Invalid - Ambiguous"), "Gap - Invalid Consent", "Compliant")))))</f>
        <v/>
      </c>
      <c r="O9598" s="7" t="n"/>
    </row>
    <row r="9599">
      <c r="A9599" s="7" t="n"/>
      <c r="B9599" s="7" t="n"/>
      <c r="C9599" s="7" t="n"/>
      <c r="D9599" s="7" t="n"/>
      <c r="E9599" s="7" t="n"/>
      <c r="F9599" s="7" t="n"/>
      <c r="G9599" s="7" t="n"/>
      <c r="H9599" s="7" t="n"/>
      <c r="I9599" s="7" t="n"/>
      <c r="J9599" s="7" t="n"/>
      <c r="K9599">
        <f>IF(D9599="Legitimate Interest (GDPR Art. 6(1)(f))", "Yes / Required (Sheet 3)", "")</f>
        <v/>
      </c>
      <c r="L9599" s="7" t="n"/>
      <c r="M9599" s="7" t="n"/>
      <c r="N9599">
        <f>IF(D9599="", "Gap - No Legal Basis", IF(AND(D9599="Consent (GDPR Art. 6(1)(a))", I9599="Not Captured"), "Gap - Invalid Consent", IF(AND(D9599="Legitimate Interest (GDPR Art. 6(1)(f))", L9599=""), "Gap - Missing LIA", IF(AND(G9599="Yes", H9599=""), "Gap - Missing Art. 9 Basis", IF(OR(I9599="Invalid - Not Freely Given", I9599="Invalid - Not Specific", I9599="Invalid - Not Informed", I9599="Invalid - Ambiguous"), "Gap - Invalid Consent", "Compliant")))))</f>
        <v/>
      </c>
      <c r="O9599" s="7" t="n"/>
    </row>
    <row r="9600">
      <c r="A9600" s="7" t="n"/>
      <c r="B9600" s="7" t="n"/>
      <c r="C9600" s="7" t="n"/>
      <c r="D9600" s="7" t="n"/>
      <c r="E9600" s="7" t="n"/>
      <c r="F9600" s="7" t="n"/>
      <c r="G9600" s="7" t="n"/>
      <c r="H9600" s="7" t="n"/>
      <c r="I9600" s="7" t="n"/>
      <c r="J9600" s="7" t="n"/>
      <c r="K9600">
        <f>IF(D9600="Legitimate Interest (GDPR Art. 6(1)(f))", "Yes / Required (Sheet 3)", "")</f>
        <v/>
      </c>
      <c r="L9600" s="7" t="n"/>
      <c r="M9600" s="7" t="n"/>
      <c r="N9600">
        <f>IF(D9600="", "Gap - No Legal Basis", IF(AND(D9600="Consent (GDPR Art. 6(1)(a))", I9600="Not Captured"), "Gap - Invalid Consent", IF(AND(D9600="Legitimate Interest (GDPR Art. 6(1)(f))", L9600=""), "Gap - Missing LIA", IF(AND(G9600="Yes", H9600=""), "Gap - Missing Art. 9 Basis", IF(OR(I9600="Invalid - Not Freely Given", I9600="Invalid - Not Specific", I9600="Invalid - Not Informed", I9600="Invalid - Ambiguous"), "Gap - Invalid Consent", "Compliant")))))</f>
        <v/>
      </c>
      <c r="O9600" s="7" t="n"/>
    </row>
    <row r="9601">
      <c r="A9601" s="7" t="n"/>
      <c r="B9601" s="7" t="n"/>
      <c r="C9601" s="7" t="n"/>
      <c r="D9601" s="7" t="n"/>
      <c r="E9601" s="7" t="n"/>
      <c r="F9601" s="7" t="n"/>
      <c r="G9601" s="7" t="n"/>
      <c r="H9601" s="7" t="n"/>
      <c r="I9601" s="7" t="n"/>
      <c r="J9601" s="7" t="n"/>
      <c r="K9601">
        <f>IF(D9601="Legitimate Interest (GDPR Art. 6(1)(f))", "Yes / Required (Sheet 3)", "")</f>
        <v/>
      </c>
      <c r="L9601" s="7" t="n"/>
      <c r="M9601" s="7" t="n"/>
      <c r="N9601">
        <f>IF(D9601="", "Gap - No Legal Basis", IF(AND(D9601="Consent (GDPR Art. 6(1)(a))", I9601="Not Captured"), "Gap - Invalid Consent", IF(AND(D9601="Legitimate Interest (GDPR Art. 6(1)(f))", L9601=""), "Gap - Missing LIA", IF(AND(G9601="Yes", H9601=""), "Gap - Missing Art. 9 Basis", IF(OR(I9601="Invalid - Not Freely Given", I9601="Invalid - Not Specific", I9601="Invalid - Not Informed", I9601="Invalid - Ambiguous"), "Gap - Invalid Consent", "Compliant")))))</f>
        <v/>
      </c>
      <c r="O9601" s="7" t="n"/>
    </row>
    <row r="9602">
      <c r="A9602" s="7" t="n"/>
      <c r="B9602" s="7" t="n"/>
      <c r="C9602" s="7" t="n"/>
      <c r="D9602" s="7" t="n"/>
      <c r="E9602" s="7" t="n"/>
      <c r="F9602" s="7" t="n"/>
      <c r="G9602" s="7" t="n"/>
      <c r="H9602" s="7" t="n"/>
      <c r="I9602" s="7" t="n"/>
      <c r="J9602" s="7" t="n"/>
      <c r="K9602">
        <f>IF(D9602="Legitimate Interest (GDPR Art. 6(1)(f))", "Yes / Required (Sheet 3)", "")</f>
        <v/>
      </c>
      <c r="L9602" s="7" t="n"/>
      <c r="M9602" s="7" t="n"/>
      <c r="N9602">
        <f>IF(D9602="", "Gap - No Legal Basis", IF(AND(D9602="Consent (GDPR Art. 6(1)(a))", I9602="Not Captured"), "Gap - Invalid Consent", IF(AND(D9602="Legitimate Interest (GDPR Art. 6(1)(f))", L9602=""), "Gap - Missing LIA", IF(AND(G9602="Yes", H9602=""), "Gap - Missing Art. 9 Basis", IF(OR(I9602="Invalid - Not Freely Given", I9602="Invalid - Not Specific", I9602="Invalid - Not Informed", I9602="Invalid - Ambiguous"), "Gap - Invalid Consent", "Compliant")))))</f>
        <v/>
      </c>
      <c r="O9602" s="7" t="n"/>
    </row>
    <row r="9603">
      <c r="A9603" s="7" t="n"/>
      <c r="B9603" s="7" t="n"/>
      <c r="C9603" s="7" t="n"/>
      <c r="D9603" s="7" t="n"/>
      <c r="E9603" s="7" t="n"/>
      <c r="F9603" s="7" t="n"/>
      <c r="G9603" s="7" t="n"/>
      <c r="H9603" s="7" t="n"/>
      <c r="I9603" s="7" t="n"/>
      <c r="J9603" s="7" t="n"/>
      <c r="K9603">
        <f>IF(D9603="Legitimate Interest (GDPR Art. 6(1)(f))", "Yes / Required (Sheet 3)", "")</f>
        <v/>
      </c>
      <c r="L9603" s="7" t="n"/>
      <c r="M9603" s="7" t="n"/>
      <c r="N9603">
        <f>IF(D9603="", "Gap - No Legal Basis", IF(AND(D9603="Consent (GDPR Art. 6(1)(a))", I9603="Not Captured"), "Gap - Invalid Consent", IF(AND(D9603="Legitimate Interest (GDPR Art. 6(1)(f))", L9603=""), "Gap - Missing LIA", IF(AND(G9603="Yes", H9603=""), "Gap - Missing Art. 9 Basis", IF(OR(I9603="Invalid - Not Freely Given", I9603="Invalid - Not Specific", I9603="Invalid - Not Informed", I9603="Invalid - Ambiguous"), "Gap - Invalid Consent", "Compliant")))))</f>
        <v/>
      </c>
      <c r="O9603" s="7" t="n"/>
    </row>
    <row r="9604">
      <c r="A9604" s="7" t="n"/>
      <c r="B9604" s="7" t="n"/>
      <c r="C9604" s="7" t="n"/>
      <c r="D9604" s="7" t="n"/>
      <c r="E9604" s="7" t="n"/>
      <c r="F9604" s="7" t="n"/>
      <c r="G9604" s="7" t="n"/>
      <c r="H9604" s="7" t="n"/>
      <c r="I9604" s="7" t="n"/>
      <c r="J9604" s="7" t="n"/>
      <c r="K9604">
        <f>IF(D9604="Legitimate Interest (GDPR Art. 6(1)(f))", "Yes / Required (Sheet 3)", "")</f>
        <v/>
      </c>
      <c r="L9604" s="7" t="n"/>
      <c r="M9604" s="7" t="n"/>
      <c r="N9604">
        <f>IF(D9604="", "Gap - No Legal Basis", IF(AND(D9604="Consent (GDPR Art. 6(1)(a))", I9604="Not Captured"), "Gap - Invalid Consent", IF(AND(D9604="Legitimate Interest (GDPR Art. 6(1)(f))", L9604=""), "Gap - Missing LIA", IF(AND(G9604="Yes", H9604=""), "Gap - Missing Art. 9 Basis", IF(OR(I9604="Invalid - Not Freely Given", I9604="Invalid - Not Specific", I9604="Invalid - Not Informed", I9604="Invalid - Ambiguous"), "Gap - Invalid Consent", "Compliant")))))</f>
        <v/>
      </c>
      <c r="O9604" s="7" t="n"/>
    </row>
    <row r="9605">
      <c r="A9605" s="7" t="n"/>
      <c r="B9605" s="7" t="n"/>
      <c r="C9605" s="7" t="n"/>
      <c r="D9605" s="7" t="n"/>
      <c r="E9605" s="7" t="n"/>
      <c r="F9605" s="7" t="n"/>
      <c r="G9605" s="7" t="n"/>
      <c r="H9605" s="7" t="n"/>
      <c r="I9605" s="7" t="n"/>
      <c r="J9605" s="7" t="n"/>
      <c r="K9605">
        <f>IF(D9605="Legitimate Interest (GDPR Art. 6(1)(f))", "Yes / Required (Sheet 3)", "")</f>
        <v/>
      </c>
      <c r="L9605" s="7" t="n"/>
      <c r="M9605" s="7" t="n"/>
      <c r="N9605">
        <f>IF(D9605="", "Gap - No Legal Basis", IF(AND(D9605="Consent (GDPR Art. 6(1)(a))", I9605="Not Captured"), "Gap - Invalid Consent", IF(AND(D9605="Legitimate Interest (GDPR Art. 6(1)(f))", L9605=""), "Gap - Missing LIA", IF(AND(G9605="Yes", H9605=""), "Gap - Missing Art. 9 Basis", IF(OR(I9605="Invalid - Not Freely Given", I9605="Invalid - Not Specific", I9605="Invalid - Not Informed", I9605="Invalid - Ambiguous"), "Gap - Invalid Consent", "Compliant")))))</f>
        <v/>
      </c>
      <c r="O9605" s="7" t="n"/>
    </row>
    <row r="9606">
      <c r="A9606" s="7" t="n"/>
      <c r="B9606" s="7" t="n"/>
      <c r="C9606" s="7" t="n"/>
      <c r="D9606" s="7" t="n"/>
      <c r="E9606" s="7" t="n"/>
      <c r="F9606" s="7" t="n"/>
      <c r="G9606" s="7" t="n"/>
      <c r="H9606" s="7" t="n"/>
      <c r="I9606" s="7" t="n"/>
      <c r="J9606" s="7" t="n"/>
      <c r="K9606">
        <f>IF(D9606="Legitimate Interest (GDPR Art. 6(1)(f))", "Yes / Required (Sheet 3)", "")</f>
        <v/>
      </c>
      <c r="L9606" s="7" t="n"/>
      <c r="M9606" s="7" t="n"/>
      <c r="N9606">
        <f>IF(D9606="", "Gap - No Legal Basis", IF(AND(D9606="Consent (GDPR Art. 6(1)(a))", I9606="Not Captured"), "Gap - Invalid Consent", IF(AND(D9606="Legitimate Interest (GDPR Art. 6(1)(f))", L9606=""), "Gap - Missing LIA", IF(AND(G9606="Yes", H9606=""), "Gap - Missing Art. 9 Basis", IF(OR(I9606="Invalid - Not Freely Given", I9606="Invalid - Not Specific", I9606="Invalid - Not Informed", I9606="Invalid - Ambiguous"), "Gap - Invalid Consent", "Compliant")))))</f>
        <v/>
      </c>
      <c r="O9606" s="7" t="n"/>
    </row>
    <row r="9607">
      <c r="A9607" s="7" t="n"/>
      <c r="B9607" s="7" t="n"/>
      <c r="C9607" s="7" t="n"/>
      <c r="D9607" s="7" t="n"/>
      <c r="E9607" s="7" t="n"/>
      <c r="F9607" s="7" t="n"/>
      <c r="G9607" s="7" t="n"/>
      <c r="H9607" s="7" t="n"/>
      <c r="I9607" s="7" t="n"/>
      <c r="J9607" s="7" t="n"/>
      <c r="K9607">
        <f>IF(D9607="Legitimate Interest (GDPR Art. 6(1)(f))", "Yes / Required (Sheet 3)", "")</f>
        <v/>
      </c>
      <c r="L9607" s="7" t="n"/>
      <c r="M9607" s="7" t="n"/>
      <c r="N9607">
        <f>IF(D9607="", "Gap - No Legal Basis", IF(AND(D9607="Consent (GDPR Art. 6(1)(a))", I9607="Not Captured"), "Gap - Invalid Consent", IF(AND(D9607="Legitimate Interest (GDPR Art. 6(1)(f))", L9607=""), "Gap - Missing LIA", IF(AND(G9607="Yes", H9607=""), "Gap - Missing Art. 9 Basis", IF(OR(I9607="Invalid - Not Freely Given", I9607="Invalid - Not Specific", I9607="Invalid - Not Informed", I9607="Invalid - Ambiguous"), "Gap - Invalid Consent", "Compliant")))))</f>
        <v/>
      </c>
      <c r="O9607" s="7" t="n"/>
    </row>
    <row r="9608">
      <c r="A9608" s="7" t="n"/>
      <c r="B9608" s="7" t="n"/>
      <c r="C9608" s="7" t="n"/>
      <c r="D9608" s="7" t="n"/>
      <c r="E9608" s="7" t="n"/>
      <c r="F9608" s="7" t="n"/>
      <c r="G9608" s="7" t="n"/>
      <c r="H9608" s="7" t="n"/>
      <c r="I9608" s="7" t="n"/>
      <c r="J9608" s="7" t="n"/>
      <c r="K9608">
        <f>IF(D9608="Legitimate Interest (GDPR Art. 6(1)(f))", "Yes / Required (Sheet 3)", "")</f>
        <v/>
      </c>
      <c r="L9608" s="7" t="n"/>
      <c r="M9608" s="7" t="n"/>
      <c r="N9608">
        <f>IF(D9608="", "Gap - No Legal Basis", IF(AND(D9608="Consent (GDPR Art. 6(1)(a))", I9608="Not Captured"), "Gap - Invalid Consent", IF(AND(D9608="Legitimate Interest (GDPR Art. 6(1)(f))", L9608=""), "Gap - Missing LIA", IF(AND(G9608="Yes", H9608=""), "Gap - Missing Art. 9 Basis", IF(OR(I9608="Invalid - Not Freely Given", I9608="Invalid - Not Specific", I9608="Invalid - Not Informed", I9608="Invalid - Ambiguous"), "Gap - Invalid Consent", "Compliant")))))</f>
        <v/>
      </c>
      <c r="O9608" s="7" t="n"/>
    </row>
    <row r="9609">
      <c r="A9609" s="7" t="n"/>
      <c r="B9609" s="7" t="n"/>
      <c r="C9609" s="7" t="n"/>
      <c r="D9609" s="7" t="n"/>
      <c r="E9609" s="7" t="n"/>
      <c r="F9609" s="7" t="n"/>
      <c r="G9609" s="7" t="n"/>
      <c r="H9609" s="7" t="n"/>
      <c r="I9609" s="7" t="n"/>
      <c r="J9609" s="7" t="n"/>
      <c r="K9609">
        <f>IF(D9609="Legitimate Interest (GDPR Art. 6(1)(f))", "Yes / Required (Sheet 3)", "")</f>
        <v/>
      </c>
      <c r="L9609" s="7" t="n"/>
      <c r="M9609" s="7" t="n"/>
      <c r="N9609">
        <f>IF(D9609="", "Gap - No Legal Basis", IF(AND(D9609="Consent (GDPR Art. 6(1)(a))", I9609="Not Captured"), "Gap - Invalid Consent", IF(AND(D9609="Legitimate Interest (GDPR Art. 6(1)(f))", L9609=""), "Gap - Missing LIA", IF(AND(G9609="Yes", H9609=""), "Gap - Missing Art. 9 Basis", IF(OR(I9609="Invalid - Not Freely Given", I9609="Invalid - Not Specific", I9609="Invalid - Not Informed", I9609="Invalid - Ambiguous"), "Gap - Invalid Consent", "Compliant")))))</f>
        <v/>
      </c>
      <c r="O9609" s="7" t="n"/>
    </row>
    <row r="9610">
      <c r="A9610" s="7" t="n"/>
      <c r="B9610" s="7" t="n"/>
      <c r="C9610" s="7" t="n"/>
      <c r="D9610" s="7" t="n"/>
      <c r="E9610" s="7" t="n"/>
      <c r="F9610" s="7" t="n"/>
      <c r="G9610" s="7" t="n"/>
      <c r="H9610" s="7" t="n"/>
      <c r="I9610" s="7" t="n"/>
      <c r="J9610" s="7" t="n"/>
      <c r="K9610">
        <f>IF(D9610="Legitimate Interest (GDPR Art. 6(1)(f))", "Yes / Required (Sheet 3)", "")</f>
        <v/>
      </c>
      <c r="L9610" s="7" t="n"/>
      <c r="M9610" s="7" t="n"/>
      <c r="N9610">
        <f>IF(D9610="", "Gap - No Legal Basis", IF(AND(D9610="Consent (GDPR Art. 6(1)(a))", I9610="Not Captured"), "Gap - Invalid Consent", IF(AND(D9610="Legitimate Interest (GDPR Art. 6(1)(f))", L9610=""), "Gap - Missing LIA", IF(AND(G9610="Yes", H9610=""), "Gap - Missing Art. 9 Basis", IF(OR(I9610="Invalid - Not Freely Given", I9610="Invalid - Not Specific", I9610="Invalid - Not Informed", I9610="Invalid - Ambiguous"), "Gap - Invalid Consent", "Compliant")))))</f>
        <v/>
      </c>
      <c r="O9610" s="7" t="n"/>
    </row>
    <row r="9611">
      <c r="A9611" s="7" t="n"/>
      <c r="B9611" s="7" t="n"/>
      <c r="C9611" s="7" t="n"/>
      <c r="D9611" s="7" t="n"/>
      <c r="E9611" s="7" t="n"/>
      <c r="F9611" s="7" t="n"/>
      <c r="G9611" s="7" t="n"/>
      <c r="H9611" s="7" t="n"/>
      <c r="I9611" s="7" t="n"/>
      <c r="J9611" s="7" t="n"/>
      <c r="K9611">
        <f>IF(D9611="Legitimate Interest (GDPR Art. 6(1)(f))", "Yes / Required (Sheet 3)", "")</f>
        <v/>
      </c>
      <c r="L9611" s="7" t="n"/>
      <c r="M9611" s="7" t="n"/>
      <c r="N9611">
        <f>IF(D9611="", "Gap - No Legal Basis", IF(AND(D9611="Consent (GDPR Art. 6(1)(a))", I9611="Not Captured"), "Gap - Invalid Consent", IF(AND(D9611="Legitimate Interest (GDPR Art. 6(1)(f))", L9611=""), "Gap - Missing LIA", IF(AND(G9611="Yes", H9611=""), "Gap - Missing Art. 9 Basis", IF(OR(I9611="Invalid - Not Freely Given", I9611="Invalid - Not Specific", I9611="Invalid - Not Informed", I9611="Invalid - Ambiguous"), "Gap - Invalid Consent", "Compliant")))))</f>
        <v/>
      </c>
      <c r="O9611" s="7" t="n"/>
    </row>
    <row r="9612">
      <c r="A9612" s="7" t="n"/>
      <c r="B9612" s="7" t="n"/>
      <c r="C9612" s="7" t="n"/>
      <c r="D9612" s="7" t="n"/>
      <c r="E9612" s="7" t="n"/>
      <c r="F9612" s="7" t="n"/>
      <c r="G9612" s="7" t="n"/>
      <c r="H9612" s="7" t="n"/>
      <c r="I9612" s="7" t="n"/>
      <c r="J9612" s="7" t="n"/>
      <c r="K9612">
        <f>IF(D9612="Legitimate Interest (GDPR Art. 6(1)(f))", "Yes / Required (Sheet 3)", "")</f>
        <v/>
      </c>
      <c r="L9612" s="7" t="n"/>
      <c r="M9612" s="7" t="n"/>
      <c r="N9612">
        <f>IF(D9612="", "Gap - No Legal Basis", IF(AND(D9612="Consent (GDPR Art. 6(1)(a))", I9612="Not Captured"), "Gap - Invalid Consent", IF(AND(D9612="Legitimate Interest (GDPR Art. 6(1)(f))", L9612=""), "Gap - Missing LIA", IF(AND(G9612="Yes", H9612=""), "Gap - Missing Art. 9 Basis", IF(OR(I9612="Invalid - Not Freely Given", I9612="Invalid - Not Specific", I9612="Invalid - Not Informed", I9612="Invalid - Ambiguous"), "Gap - Invalid Consent", "Compliant")))))</f>
        <v/>
      </c>
      <c r="O9612" s="7" t="n"/>
    </row>
    <row r="9613">
      <c r="A9613" s="7" t="n"/>
      <c r="B9613" s="7" t="n"/>
      <c r="C9613" s="7" t="n"/>
      <c r="D9613" s="7" t="n"/>
      <c r="E9613" s="7" t="n"/>
      <c r="F9613" s="7" t="n"/>
      <c r="G9613" s="7" t="n"/>
      <c r="H9613" s="7" t="n"/>
      <c r="I9613" s="7" t="n"/>
      <c r="J9613" s="7" t="n"/>
      <c r="K9613">
        <f>IF(D9613="Legitimate Interest (GDPR Art. 6(1)(f))", "Yes / Required (Sheet 3)", "")</f>
        <v/>
      </c>
      <c r="L9613" s="7" t="n"/>
      <c r="M9613" s="7" t="n"/>
      <c r="N9613">
        <f>IF(D9613="", "Gap - No Legal Basis", IF(AND(D9613="Consent (GDPR Art. 6(1)(a))", I9613="Not Captured"), "Gap - Invalid Consent", IF(AND(D9613="Legitimate Interest (GDPR Art. 6(1)(f))", L9613=""), "Gap - Missing LIA", IF(AND(G9613="Yes", H9613=""), "Gap - Missing Art. 9 Basis", IF(OR(I9613="Invalid - Not Freely Given", I9613="Invalid - Not Specific", I9613="Invalid - Not Informed", I9613="Invalid - Ambiguous"), "Gap - Invalid Consent", "Compliant")))))</f>
        <v/>
      </c>
      <c r="O9613" s="7" t="n"/>
    </row>
    <row r="9614">
      <c r="A9614" s="7" t="n"/>
      <c r="B9614" s="7" t="n"/>
      <c r="C9614" s="7" t="n"/>
      <c r="D9614" s="7" t="n"/>
      <c r="E9614" s="7" t="n"/>
      <c r="F9614" s="7" t="n"/>
      <c r="G9614" s="7" t="n"/>
      <c r="H9614" s="7" t="n"/>
      <c r="I9614" s="7" t="n"/>
      <c r="J9614" s="7" t="n"/>
      <c r="K9614">
        <f>IF(D9614="Legitimate Interest (GDPR Art. 6(1)(f))", "Yes / Required (Sheet 3)", "")</f>
        <v/>
      </c>
      <c r="L9614" s="7" t="n"/>
      <c r="M9614" s="7" t="n"/>
      <c r="N9614">
        <f>IF(D9614="", "Gap - No Legal Basis", IF(AND(D9614="Consent (GDPR Art. 6(1)(a))", I9614="Not Captured"), "Gap - Invalid Consent", IF(AND(D9614="Legitimate Interest (GDPR Art. 6(1)(f))", L9614=""), "Gap - Missing LIA", IF(AND(G9614="Yes", H9614=""), "Gap - Missing Art. 9 Basis", IF(OR(I9614="Invalid - Not Freely Given", I9614="Invalid - Not Specific", I9614="Invalid - Not Informed", I9614="Invalid - Ambiguous"), "Gap - Invalid Consent", "Compliant")))))</f>
        <v/>
      </c>
      <c r="O9614" s="7" t="n"/>
    </row>
    <row r="9615">
      <c r="A9615" s="7" t="n"/>
      <c r="B9615" s="7" t="n"/>
      <c r="C9615" s="7" t="n"/>
      <c r="D9615" s="7" t="n"/>
      <c r="E9615" s="7" t="n"/>
      <c r="F9615" s="7" t="n"/>
      <c r="G9615" s="7" t="n"/>
      <c r="H9615" s="7" t="n"/>
      <c r="I9615" s="7" t="n"/>
      <c r="J9615" s="7" t="n"/>
      <c r="K9615">
        <f>IF(D9615="Legitimate Interest (GDPR Art. 6(1)(f))", "Yes / Required (Sheet 3)", "")</f>
        <v/>
      </c>
      <c r="L9615" s="7" t="n"/>
      <c r="M9615" s="7" t="n"/>
      <c r="N9615">
        <f>IF(D9615="", "Gap - No Legal Basis", IF(AND(D9615="Consent (GDPR Art. 6(1)(a))", I9615="Not Captured"), "Gap - Invalid Consent", IF(AND(D9615="Legitimate Interest (GDPR Art. 6(1)(f))", L9615=""), "Gap - Missing LIA", IF(AND(G9615="Yes", H9615=""), "Gap - Missing Art. 9 Basis", IF(OR(I9615="Invalid - Not Freely Given", I9615="Invalid - Not Specific", I9615="Invalid - Not Informed", I9615="Invalid - Ambiguous"), "Gap - Invalid Consent", "Compliant")))))</f>
        <v/>
      </c>
      <c r="O9615" s="7" t="n"/>
    </row>
    <row r="9616">
      <c r="A9616" s="7" t="n"/>
      <c r="B9616" s="7" t="n"/>
      <c r="C9616" s="7" t="n"/>
      <c r="D9616" s="7" t="n"/>
      <c r="E9616" s="7" t="n"/>
      <c r="F9616" s="7" t="n"/>
      <c r="G9616" s="7" t="n"/>
      <c r="H9616" s="7" t="n"/>
      <c r="I9616" s="7" t="n"/>
      <c r="J9616" s="7" t="n"/>
      <c r="K9616">
        <f>IF(D9616="Legitimate Interest (GDPR Art. 6(1)(f))", "Yes / Required (Sheet 3)", "")</f>
        <v/>
      </c>
      <c r="L9616" s="7" t="n"/>
      <c r="M9616" s="7" t="n"/>
      <c r="N9616">
        <f>IF(D9616="", "Gap - No Legal Basis", IF(AND(D9616="Consent (GDPR Art. 6(1)(a))", I9616="Not Captured"), "Gap - Invalid Consent", IF(AND(D9616="Legitimate Interest (GDPR Art. 6(1)(f))", L9616=""), "Gap - Missing LIA", IF(AND(G9616="Yes", H9616=""), "Gap - Missing Art. 9 Basis", IF(OR(I9616="Invalid - Not Freely Given", I9616="Invalid - Not Specific", I9616="Invalid - Not Informed", I9616="Invalid - Ambiguous"), "Gap - Invalid Consent", "Compliant")))))</f>
        <v/>
      </c>
      <c r="O9616" s="7" t="n"/>
    </row>
    <row r="9617">
      <c r="A9617" s="7" t="n"/>
      <c r="B9617" s="7" t="n"/>
      <c r="C9617" s="7" t="n"/>
      <c r="D9617" s="7" t="n"/>
      <c r="E9617" s="7" t="n"/>
      <c r="F9617" s="7" t="n"/>
      <c r="G9617" s="7" t="n"/>
      <c r="H9617" s="7" t="n"/>
      <c r="I9617" s="7" t="n"/>
      <c r="J9617" s="7" t="n"/>
      <c r="K9617">
        <f>IF(D9617="Legitimate Interest (GDPR Art. 6(1)(f))", "Yes / Required (Sheet 3)", "")</f>
        <v/>
      </c>
      <c r="L9617" s="7" t="n"/>
      <c r="M9617" s="7" t="n"/>
      <c r="N9617">
        <f>IF(D9617="", "Gap - No Legal Basis", IF(AND(D9617="Consent (GDPR Art. 6(1)(a))", I9617="Not Captured"), "Gap - Invalid Consent", IF(AND(D9617="Legitimate Interest (GDPR Art. 6(1)(f))", L9617=""), "Gap - Missing LIA", IF(AND(G9617="Yes", H9617=""), "Gap - Missing Art. 9 Basis", IF(OR(I9617="Invalid - Not Freely Given", I9617="Invalid - Not Specific", I9617="Invalid - Not Informed", I9617="Invalid - Ambiguous"), "Gap - Invalid Consent", "Compliant")))))</f>
        <v/>
      </c>
      <c r="O9617" s="7" t="n"/>
    </row>
    <row r="9618">
      <c r="A9618" s="7" t="n"/>
      <c r="B9618" s="7" t="n"/>
      <c r="C9618" s="7" t="n"/>
      <c r="D9618" s="7" t="n"/>
      <c r="E9618" s="7" t="n"/>
      <c r="F9618" s="7" t="n"/>
      <c r="G9618" s="7" t="n"/>
      <c r="H9618" s="7" t="n"/>
      <c r="I9618" s="7" t="n"/>
      <c r="J9618" s="7" t="n"/>
      <c r="K9618">
        <f>IF(D9618="Legitimate Interest (GDPR Art. 6(1)(f))", "Yes / Required (Sheet 3)", "")</f>
        <v/>
      </c>
      <c r="L9618" s="7" t="n"/>
      <c r="M9618" s="7" t="n"/>
      <c r="N9618">
        <f>IF(D9618="", "Gap - No Legal Basis", IF(AND(D9618="Consent (GDPR Art. 6(1)(a))", I9618="Not Captured"), "Gap - Invalid Consent", IF(AND(D9618="Legitimate Interest (GDPR Art. 6(1)(f))", L9618=""), "Gap - Missing LIA", IF(AND(G9618="Yes", H9618=""), "Gap - Missing Art. 9 Basis", IF(OR(I9618="Invalid - Not Freely Given", I9618="Invalid - Not Specific", I9618="Invalid - Not Informed", I9618="Invalid - Ambiguous"), "Gap - Invalid Consent", "Compliant")))))</f>
        <v/>
      </c>
      <c r="O9618" s="7" t="n"/>
    </row>
    <row r="9619">
      <c r="A9619" s="7" t="n"/>
      <c r="B9619" s="7" t="n"/>
      <c r="C9619" s="7" t="n"/>
      <c r="D9619" s="7" t="n"/>
      <c r="E9619" s="7" t="n"/>
      <c r="F9619" s="7" t="n"/>
      <c r="G9619" s="7" t="n"/>
      <c r="H9619" s="7" t="n"/>
      <c r="I9619" s="7" t="n"/>
      <c r="J9619" s="7" t="n"/>
      <c r="K9619">
        <f>IF(D9619="Legitimate Interest (GDPR Art. 6(1)(f))", "Yes / Required (Sheet 3)", "")</f>
        <v/>
      </c>
      <c r="L9619" s="7" t="n"/>
      <c r="M9619" s="7" t="n"/>
      <c r="N9619">
        <f>IF(D9619="", "Gap - No Legal Basis", IF(AND(D9619="Consent (GDPR Art. 6(1)(a))", I9619="Not Captured"), "Gap - Invalid Consent", IF(AND(D9619="Legitimate Interest (GDPR Art. 6(1)(f))", L9619=""), "Gap - Missing LIA", IF(AND(G9619="Yes", H9619=""), "Gap - Missing Art. 9 Basis", IF(OR(I9619="Invalid - Not Freely Given", I9619="Invalid - Not Specific", I9619="Invalid - Not Informed", I9619="Invalid - Ambiguous"), "Gap - Invalid Consent", "Compliant")))))</f>
        <v/>
      </c>
      <c r="O9619" s="7" t="n"/>
    </row>
    <row r="9620">
      <c r="A9620" s="7" t="n"/>
      <c r="B9620" s="7" t="n"/>
      <c r="C9620" s="7" t="n"/>
      <c r="D9620" s="7" t="n"/>
      <c r="E9620" s="7" t="n"/>
      <c r="F9620" s="7" t="n"/>
      <c r="G9620" s="7" t="n"/>
      <c r="H9620" s="7" t="n"/>
      <c r="I9620" s="7" t="n"/>
      <c r="J9620" s="7" t="n"/>
      <c r="K9620">
        <f>IF(D9620="Legitimate Interest (GDPR Art. 6(1)(f))", "Yes / Required (Sheet 3)", "")</f>
        <v/>
      </c>
      <c r="L9620" s="7" t="n"/>
      <c r="M9620" s="7" t="n"/>
      <c r="N9620">
        <f>IF(D9620="", "Gap - No Legal Basis", IF(AND(D9620="Consent (GDPR Art. 6(1)(a))", I9620="Not Captured"), "Gap - Invalid Consent", IF(AND(D9620="Legitimate Interest (GDPR Art. 6(1)(f))", L9620=""), "Gap - Missing LIA", IF(AND(G9620="Yes", H9620=""), "Gap - Missing Art. 9 Basis", IF(OR(I9620="Invalid - Not Freely Given", I9620="Invalid - Not Specific", I9620="Invalid - Not Informed", I9620="Invalid - Ambiguous"), "Gap - Invalid Consent", "Compliant")))))</f>
        <v/>
      </c>
      <c r="O9620" s="7" t="n"/>
    </row>
    <row r="9621">
      <c r="A9621" s="7" t="n"/>
      <c r="B9621" s="7" t="n"/>
      <c r="C9621" s="7" t="n"/>
      <c r="D9621" s="7" t="n"/>
      <c r="E9621" s="7" t="n"/>
      <c r="F9621" s="7" t="n"/>
      <c r="G9621" s="7" t="n"/>
      <c r="H9621" s="7" t="n"/>
      <c r="I9621" s="7" t="n"/>
      <c r="J9621" s="7" t="n"/>
      <c r="K9621">
        <f>IF(D9621="Legitimate Interest (GDPR Art. 6(1)(f))", "Yes / Required (Sheet 3)", "")</f>
        <v/>
      </c>
      <c r="L9621" s="7" t="n"/>
      <c r="M9621" s="7" t="n"/>
      <c r="N9621">
        <f>IF(D9621="", "Gap - No Legal Basis", IF(AND(D9621="Consent (GDPR Art. 6(1)(a))", I9621="Not Captured"), "Gap - Invalid Consent", IF(AND(D9621="Legitimate Interest (GDPR Art. 6(1)(f))", L9621=""), "Gap - Missing LIA", IF(AND(G9621="Yes", H9621=""), "Gap - Missing Art. 9 Basis", IF(OR(I9621="Invalid - Not Freely Given", I9621="Invalid - Not Specific", I9621="Invalid - Not Informed", I9621="Invalid - Ambiguous"), "Gap - Invalid Consent", "Compliant")))))</f>
        <v/>
      </c>
      <c r="O9621" s="7" t="n"/>
    </row>
    <row r="9622">
      <c r="A9622" s="7" t="n"/>
      <c r="B9622" s="7" t="n"/>
      <c r="C9622" s="7" t="n"/>
      <c r="D9622" s="7" t="n"/>
      <c r="E9622" s="7" t="n"/>
      <c r="F9622" s="7" t="n"/>
      <c r="G9622" s="7" t="n"/>
      <c r="H9622" s="7" t="n"/>
      <c r="I9622" s="7" t="n"/>
      <c r="J9622" s="7" t="n"/>
      <c r="K9622">
        <f>IF(D9622="Legitimate Interest (GDPR Art. 6(1)(f))", "Yes / Required (Sheet 3)", "")</f>
        <v/>
      </c>
      <c r="L9622" s="7" t="n"/>
      <c r="M9622" s="7" t="n"/>
      <c r="N9622">
        <f>IF(D9622="", "Gap - No Legal Basis", IF(AND(D9622="Consent (GDPR Art. 6(1)(a))", I9622="Not Captured"), "Gap - Invalid Consent", IF(AND(D9622="Legitimate Interest (GDPR Art. 6(1)(f))", L9622=""), "Gap - Missing LIA", IF(AND(G9622="Yes", H9622=""), "Gap - Missing Art. 9 Basis", IF(OR(I9622="Invalid - Not Freely Given", I9622="Invalid - Not Specific", I9622="Invalid - Not Informed", I9622="Invalid - Ambiguous"), "Gap - Invalid Consent", "Compliant")))))</f>
        <v/>
      </c>
      <c r="O9622" s="7" t="n"/>
    </row>
    <row r="9623">
      <c r="A9623" s="7" t="n"/>
      <c r="B9623" s="7" t="n"/>
      <c r="C9623" s="7" t="n"/>
      <c r="D9623" s="7" t="n"/>
      <c r="E9623" s="7" t="n"/>
      <c r="F9623" s="7" t="n"/>
      <c r="G9623" s="7" t="n"/>
      <c r="H9623" s="7" t="n"/>
      <c r="I9623" s="7" t="n"/>
      <c r="J9623" s="7" t="n"/>
      <c r="K9623">
        <f>IF(D9623="Legitimate Interest (GDPR Art. 6(1)(f))", "Yes / Required (Sheet 3)", "")</f>
        <v/>
      </c>
      <c r="L9623" s="7" t="n"/>
      <c r="M9623" s="7" t="n"/>
      <c r="N9623">
        <f>IF(D9623="", "Gap - No Legal Basis", IF(AND(D9623="Consent (GDPR Art. 6(1)(a))", I9623="Not Captured"), "Gap - Invalid Consent", IF(AND(D9623="Legitimate Interest (GDPR Art. 6(1)(f))", L9623=""), "Gap - Missing LIA", IF(AND(G9623="Yes", H9623=""), "Gap - Missing Art. 9 Basis", IF(OR(I9623="Invalid - Not Freely Given", I9623="Invalid - Not Specific", I9623="Invalid - Not Informed", I9623="Invalid - Ambiguous"), "Gap - Invalid Consent", "Compliant")))))</f>
        <v/>
      </c>
      <c r="O9623" s="7" t="n"/>
    </row>
    <row r="9624">
      <c r="A9624" s="7" t="n"/>
      <c r="B9624" s="7" t="n"/>
      <c r="C9624" s="7" t="n"/>
      <c r="D9624" s="7" t="n"/>
      <c r="E9624" s="7" t="n"/>
      <c r="F9624" s="7" t="n"/>
      <c r="G9624" s="7" t="n"/>
      <c r="H9624" s="7" t="n"/>
      <c r="I9624" s="7" t="n"/>
      <c r="J9624" s="7" t="n"/>
      <c r="K9624">
        <f>IF(D9624="Legitimate Interest (GDPR Art. 6(1)(f))", "Yes / Required (Sheet 3)", "")</f>
        <v/>
      </c>
      <c r="L9624" s="7" t="n"/>
      <c r="M9624" s="7" t="n"/>
      <c r="N9624">
        <f>IF(D9624="", "Gap - No Legal Basis", IF(AND(D9624="Consent (GDPR Art. 6(1)(a))", I9624="Not Captured"), "Gap - Invalid Consent", IF(AND(D9624="Legitimate Interest (GDPR Art. 6(1)(f))", L9624=""), "Gap - Missing LIA", IF(AND(G9624="Yes", H9624=""), "Gap - Missing Art. 9 Basis", IF(OR(I9624="Invalid - Not Freely Given", I9624="Invalid - Not Specific", I9624="Invalid - Not Informed", I9624="Invalid - Ambiguous"), "Gap - Invalid Consent", "Compliant")))))</f>
        <v/>
      </c>
      <c r="O9624" s="7" t="n"/>
    </row>
    <row r="9625">
      <c r="A9625" s="7" t="n"/>
      <c r="B9625" s="7" t="n"/>
      <c r="C9625" s="7" t="n"/>
      <c r="D9625" s="7" t="n"/>
      <c r="E9625" s="7" t="n"/>
      <c r="F9625" s="7" t="n"/>
      <c r="G9625" s="7" t="n"/>
      <c r="H9625" s="7" t="n"/>
      <c r="I9625" s="7" t="n"/>
      <c r="J9625" s="7" t="n"/>
      <c r="K9625">
        <f>IF(D9625="Legitimate Interest (GDPR Art. 6(1)(f))", "Yes / Required (Sheet 3)", "")</f>
        <v/>
      </c>
      <c r="L9625" s="7" t="n"/>
      <c r="M9625" s="7" t="n"/>
      <c r="N9625">
        <f>IF(D9625="", "Gap - No Legal Basis", IF(AND(D9625="Consent (GDPR Art. 6(1)(a))", I9625="Not Captured"), "Gap - Invalid Consent", IF(AND(D9625="Legitimate Interest (GDPR Art. 6(1)(f))", L9625=""), "Gap - Missing LIA", IF(AND(G9625="Yes", H9625=""), "Gap - Missing Art. 9 Basis", IF(OR(I9625="Invalid - Not Freely Given", I9625="Invalid - Not Specific", I9625="Invalid - Not Informed", I9625="Invalid - Ambiguous"), "Gap - Invalid Consent", "Compliant")))))</f>
        <v/>
      </c>
      <c r="O9625" s="7" t="n"/>
    </row>
    <row r="9626">
      <c r="A9626" s="7" t="n"/>
      <c r="B9626" s="7" t="n"/>
      <c r="C9626" s="7" t="n"/>
      <c r="D9626" s="7" t="n"/>
      <c r="E9626" s="7" t="n"/>
      <c r="F9626" s="7" t="n"/>
      <c r="G9626" s="7" t="n"/>
      <c r="H9626" s="7" t="n"/>
      <c r="I9626" s="7" t="n"/>
      <c r="J9626" s="7" t="n"/>
      <c r="K9626">
        <f>IF(D9626="Legitimate Interest (GDPR Art. 6(1)(f))", "Yes / Required (Sheet 3)", "")</f>
        <v/>
      </c>
      <c r="L9626" s="7" t="n"/>
      <c r="M9626" s="7" t="n"/>
      <c r="N9626">
        <f>IF(D9626="", "Gap - No Legal Basis", IF(AND(D9626="Consent (GDPR Art. 6(1)(a))", I9626="Not Captured"), "Gap - Invalid Consent", IF(AND(D9626="Legitimate Interest (GDPR Art. 6(1)(f))", L9626=""), "Gap - Missing LIA", IF(AND(G9626="Yes", H9626=""), "Gap - Missing Art. 9 Basis", IF(OR(I9626="Invalid - Not Freely Given", I9626="Invalid - Not Specific", I9626="Invalid - Not Informed", I9626="Invalid - Ambiguous"), "Gap - Invalid Consent", "Compliant")))))</f>
        <v/>
      </c>
      <c r="O9626" s="7" t="n"/>
    </row>
    <row r="9627">
      <c r="A9627" s="7" t="n"/>
      <c r="B9627" s="7" t="n"/>
      <c r="C9627" s="7" t="n"/>
      <c r="D9627" s="7" t="n"/>
      <c r="E9627" s="7" t="n"/>
      <c r="F9627" s="7" t="n"/>
      <c r="G9627" s="7" t="n"/>
      <c r="H9627" s="7" t="n"/>
      <c r="I9627" s="7" t="n"/>
      <c r="J9627" s="7" t="n"/>
      <c r="K9627">
        <f>IF(D9627="Legitimate Interest (GDPR Art. 6(1)(f))", "Yes / Required (Sheet 3)", "")</f>
        <v/>
      </c>
      <c r="L9627" s="7" t="n"/>
      <c r="M9627" s="7" t="n"/>
      <c r="N9627">
        <f>IF(D9627="", "Gap - No Legal Basis", IF(AND(D9627="Consent (GDPR Art. 6(1)(a))", I9627="Not Captured"), "Gap - Invalid Consent", IF(AND(D9627="Legitimate Interest (GDPR Art. 6(1)(f))", L9627=""), "Gap - Missing LIA", IF(AND(G9627="Yes", H9627=""), "Gap - Missing Art. 9 Basis", IF(OR(I9627="Invalid - Not Freely Given", I9627="Invalid - Not Specific", I9627="Invalid - Not Informed", I9627="Invalid - Ambiguous"), "Gap - Invalid Consent", "Compliant")))))</f>
        <v/>
      </c>
      <c r="O9627" s="7" t="n"/>
    </row>
    <row r="9628">
      <c r="A9628" s="7" t="n"/>
      <c r="B9628" s="7" t="n"/>
      <c r="C9628" s="7" t="n"/>
      <c r="D9628" s="7" t="n"/>
      <c r="E9628" s="7" t="n"/>
      <c r="F9628" s="7" t="n"/>
      <c r="G9628" s="7" t="n"/>
      <c r="H9628" s="7" t="n"/>
      <c r="I9628" s="7" t="n"/>
      <c r="J9628" s="7" t="n"/>
      <c r="K9628">
        <f>IF(D9628="Legitimate Interest (GDPR Art. 6(1)(f))", "Yes / Required (Sheet 3)", "")</f>
        <v/>
      </c>
      <c r="L9628" s="7" t="n"/>
      <c r="M9628" s="7" t="n"/>
      <c r="N9628">
        <f>IF(D9628="", "Gap - No Legal Basis", IF(AND(D9628="Consent (GDPR Art. 6(1)(a))", I9628="Not Captured"), "Gap - Invalid Consent", IF(AND(D9628="Legitimate Interest (GDPR Art. 6(1)(f))", L9628=""), "Gap - Missing LIA", IF(AND(G9628="Yes", H9628=""), "Gap - Missing Art. 9 Basis", IF(OR(I9628="Invalid - Not Freely Given", I9628="Invalid - Not Specific", I9628="Invalid - Not Informed", I9628="Invalid - Ambiguous"), "Gap - Invalid Consent", "Compliant")))))</f>
        <v/>
      </c>
      <c r="O9628" s="7" t="n"/>
    </row>
    <row r="9629">
      <c r="A9629" s="7" t="n"/>
      <c r="B9629" s="7" t="n"/>
      <c r="C9629" s="7" t="n"/>
      <c r="D9629" s="7" t="n"/>
      <c r="E9629" s="7" t="n"/>
      <c r="F9629" s="7" t="n"/>
      <c r="G9629" s="7" t="n"/>
      <c r="H9629" s="7" t="n"/>
      <c r="I9629" s="7" t="n"/>
      <c r="J9629" s="7" t="n"/>
      <c r="K9629">
        <f>IF(D9629="Legitimate Interest (GDPR Art. 6(1)(f))", "Yes / Required (Sheet 3)", "")</f>
        <v/>
      </c>
      <c r="L9629" s="7" t="n"/>
      <c r="M9629" s="7" t="n"/>
      <c r="N9629">
        <f>IF(D9629="", "Gap - No Legal Basis", IF(AND(D9629="Consent (GDPR Art. 6(1)(a))", I9629="Not Captured"), "Gap - Invalid Consent", IF(AND(D9629="Legitimate Interest (GDPR Art. 6(1)(f))", L9629=""), "Gap - Missing LIA", IF(AND(G9629="Yes", H9629=""), "Gap - Missing Art. 9 Basis", IF(OR(I9629="Invalid - Not Freely Given", I9629="Invalid - Not Specific", I9629="Invalid - Not Informed", I9629="Invalid - Ambiguous"), "Gap - Invalid Consent", "Compliant")))))</f>
        <v/>
      </c>
      <c r="O9629" s="7" t="n"/>
    </row>
    <row r="9630">
      <c r="A9630" s="7" t="n"/>
      <c r="B9630" s="7" t="n"/>
      <c r="C9630" s="7" t="n"/>
      <c r="D9630" s="7" t="n"/>
      <c r="E9630" s="7" t="n"/>
      <c r="F9630" s="7" t="n"/>
      <c r="G9630" s="7" t="n"/>
      <c r="H9630" s="7" t="n"/>
      <c r="I9630" s="7" t="n"/>
      <c r="J9630" s="7" t="n"/>
      <c r="K9630">
        <f>IF(D9630="Legitimate Interest (GDPR Art. 6(1)(f))", "Yes / Required (Sheet 3)", "")</f>
        <v/>
      </c>
      <c r="L9630" s="7" t="n"/>
      <c r="M9630" s="7" t="n"/>
      <c r="N9630">
        <f>IF(D9630="", "Gap - No Legal Basis", IF(AND(D9630="Consent (GDPR Art. 6(1)(a))", I9630="Not Captured"), "Gap - Invalid Consent", IF(AND(D9630="Legitimate Interest (GDPR Art. 6(1)(f))", L9630=""), "Gap - Missing LIA", IF(AND(G9630="Yes", H9630=""), "Gap - Missing Art. 9 Basis", IF(OR(I9630="Invalid - Not Freely Given", I9630="Invalid - Not Specific", I9630="Invalid - Not Informed", I9630="Invalid - Ambiguous"), "Gap - Invalid Consent", "Compliant")))))</f>
        <v/>
      </c>
      <c r="O9630" s="7" t="n"/>
    </row>
    <row r="9631">
      <c r="A9631" s="7" t="n"/>
      <c r="B9631" s="7" t="n"/>
      <c r="C9631" s="7" t="n"/>
      <c r="D9631" s="7" t="n"/>
      <c r="E9631" s="7" t="n"/>
      <c r="F9631" s="7" t="n"/>
      <c r="G9631" s="7" t="n"/>
      <c r="H9631" s="7" t="n"/>
      <c r="I9631" s="7" t="n"/>
      <c r="J9631" s="7" t="n"/>
      <c r="K9631">
        <f>IF(D9631="Legitimate Interest (GDPR Art. 6(1)(f))", "Yes / Required (Sheet 3)", "")</f>
        <v/>
      </c>
      <c r="L9631" s="7" t="n"/>
      <c r="M9631" s="7" t="n"/>
      <c r="N9631">
        <f>IF(D9631="", "Gap - No Legal Basis", IF(AND(D9631="Consent (GDPR Art. 6(1)(a))", I9631="Not Captured"), "Gap - Invalid Consent", IF(AND(D9631="Legitimate Interest (GDPR Art. 6(1)(f))", L9631=""), "Gap - Missing LIA", IF(AND(G9631="Yes", H9631=""), "Gap - Missing Art. 9 Basis", IF(OR(I9631="Invalid - Not Freely Given", I9631="Invalid - Not Specific", I9631="Invalid - Not Informed", I9631="Invalid - Ambiguous"), "Gap - Invalid Consent", "Compliant")))))</f>
        <v/>
      </c>
      <c r="O9631" s="7" t="n"/>
    </row>
    <row r="9632">
      <c r="A9632" s="7" t="n"/>
      <c r="B9632" s="7" t="n"/>
      <c r="C9632" s="7" t="n"/>
      <c r="D9632" s="7" t="n"/>
      <c r="E9632" s="7" t="n"/>
      <c r="F9632" s="7" t="n"/>
      <c r="G9632" s="7" t="n"/>
      <c r="H9632" s="7" t="n"/>
      <c r="I9632" s="7" t="n"/>
      <c r="J9632" s="7" t="n"/>
      <c r="K9632">
        <f>IF(D9632="Legitimate Interest (GDPR Art. 6(1)(f))", "Yes / Required (Sheet 3)", "")</f>
        <v/>
      </c>
      <c r="L9632" s="7" t="n"/>
      <c r="M9632" s="7" t="n"/>
      <c r="N9632">
        <f>IF(D9632="", "Gap - No Legal Basis", IF(AND(D9632="Consent (GDPR Art. 6(1)(a))", I9632="Not Captured"), "Gap - Invalid Consent", IF(AND(D9632="Legitimate Interest (GDPR Art. 6(1)(f))", L9632=""), "Gap - Missing LIA", IF(AND(G9632="Yes", H9632=""), "Gap - Missing Art. 9 Basis", IF(OR(I9632="Invalid - Not Freely Given", I9632="Invalid - Not Specific", I9632="Invalid - Not Informed", I9632="Invalid - Ambiguous"), "Gap - Invalid Consent", "Compliant")))))</f>
        <v/>
      </c>
      <c r="O9632" s="7" t="n"/>
    </row>
    <row r="9633">
      <c r="A9633" s="7" t="n"/>
      <c r="B9633" s="7" t="n"/>
      <c r="C9633" s="7" t="n"/>
      <c r="D9633" s="7" t="n"/>
      <c r="E9633" s="7" t="n"/>
      <c r="F9633" s="7" t="n"/>
      <c r="G9633" s="7" t="n"/>
      <c r="H9633" s="7" t="n"/>
      <c r="I9633" s="7" t="n"/>
      <c r="J9633" s="7" t="n"/>
      <c r="K9633">
        <f>IF(D9633="Legitimate Interest (GDPR Art. 6(1)(f))", "Yes / Required (Sheet 3)", "")</f>
        <v/>
      </c>
      <c r="L9633" s="7" t="n"/>
      <c r="M9633" s="7" t="n"/>
      <c r="N9633">
        <f>IF(D9633="", "Gap - No Legal Basis", IF(AND(D9633="Consent (GDPR Art. 6(1)(a))", I9633="Not Captured"), "Gap - Invalid Consent", IF(AND(D9633="Legitimate Interest (GDPR Art. 6(1)(f))", L9633=""), "Gap - Missing LIA", IF(AND(G9633="Yes", H9633=""), "Gap - Missing Art. 9 Basis", IF(OR(I9633="Invalid - Not Freely Given", I9633="Invalid - Not Specific", I9633="Invalid - Not Informed", I9633="Invalid - Ambiguous"), "Gap - Invalid Consent", "Compliant")))))</f>
        <v/>
      </c>
      <c r="O9633" s="7" t="n"/>
    </row>
    <row r="9634">
      <c r="A9634" s="7" t="n"/>
      <c r="B9634" s="7" t="n"/>
      <c r="C9634" s="7" t="n"/>
      <c r="D9634" s="7" t="n"/>
      <c r="E9634" s="7" t="n"/>
      <c r="F9634" s="7" t="n"/>
      <c r="G9634" s="7" t="n"/>
      <c r="H9634" s="7" t="n"/>
      <c r="I9634" s="7" t="n"/>
      <c r="J9634" s="7" t="n"/>
      <c r="K9634">
        <f>IF(D9634="Legitimate Interest (GDPR Art. 6(1)(f))", "Yes / Required (Sheet 3)", "")</f>
        <v/>
      </c>
      <c r="L9634" s="7" t="n"/>
      <c r="M9634" s="7" t="n"/>
      <c r="N9634">
        <f>IF(D9634="", "Gap - No Legal Basis", IF(AND(D9634="Consent (GDPR Art. 6(1)(a))", I9634="Not Captured"), "Gap - Invalid Consent", IF(AND(D9634="Legitimate Interest (GDPR Art. 6(1)(f))", L9634=""), "Gap - Missing LIA", IF(AND(G9634="Yes", H9634=""), "Gap - Missing Art. 9 Basis", IF(OR(I9634="Invalid - Not Freely Given", I9634="Invalid - Not Specific", I9634="Invalid - Not Informed", I9634="Invalid - Ambiguous"), "Gap - Invalid Consent", "Compliant")))))</f>
        <v/>
      </c>
      <c r="O9634" s="7" t="n"/>
    </row>
    <row r="9635">
      <c r="A9635" s="7" t="n"/>
      <c r="B9635" s="7" t="n"/>
      <c r="C9635" s="7" t="n"/>
      <c r="D9635" s="7" t="n"/>
      <c r="E9635" s="7" t="n"/>
      <c r="F9635" s="7" t="n"/>
      <c r="G9635" s="7" t="n"/>
      <c r="H9635" s="7" t="n"/>
      <c r="I9635" s="7" t="n"/>
      <c r="J9635" s="7" t="n"/>
      <c r="K9635">
        <f>IF(D9635="Legitimate Interest (GDPR Art. 6(1)(f))", "Yes / Required (Sheet 3)", "")</f>
        <v/>
      </c>
      <c r="L9635" s="7" t="n"/>
      <c r="M9635" s="7" t="n"/>
      <c r="N9635">
        <f>IF(D9635="", "Gap - No Legal Basis", IF(AND(D9635="Consent (GDPR Art. 6(1)(a))", I9635="Not Captured"), "Gap - Invalid Consent", IF(AND(D9635="Legitimate Interest (GDPR Art. 6(1)(f))", L9635=""), "Gap - Missing LIA", IF(AND(G9635="Yes", H9635=""), "Gap - Missing Art. 9 Basis", IF(OR(I9635="Invalid - Not Freely Given", I9635="Invalid - Not Specific", I9635="Invalid - Not Informed", I9635="Invalid - Ambiguous"), "Gap - Invalid Consent", "Compliant")))))</f>
        <v/>
      </c>
      <c r="O9635" s="7" t="n"/>
    </row>
    <row r="9636">
      <c r="A9636" s="7" t="n"/>
      <c r="B9636" s="7" t="n"/>
      <c r="C9636" s="7" t="n"/>
      <c r="D9636" s="7" t="n"/>
      <c r="E9636" s="7" t="n"/>
      <c r="F9636" s="7" t="n"/>
      <c r="G9636" s="7" t="n"/>
      <c r="H9636" s="7" t="n"/>
      <c r="I9636" s="7" t="n"/>
      <c r="J9636" s="7" t="n"/>
      <c r="K9636">
        <f>IF(D9636="Legitimate Interest (GDPR Art. 6(1)(f))", "Yes / Required (Sheet 3)", "")</f>
        <v/>
      </c>
      <c r="L9636" s="7" t="n"/>
      <c r="M9636" s="7" t="n"/>
      <c r="N9636">
        <f>IF(D9636="", "Gap - No Legal Basis", IF(AND(D9636="Consent (GDPR Art. 6(1)(a))", I9636="Not Captured"), "Gap - Invalid Consent", IF(AND(D9636="Legitimate Interest (GDPR Art. 6(1)(f))", L9636=""), "Gap - Missing LIA", IF(AND(G9636="Yes", H9636=""), "Gap - Missing Art. 9 Basis", IF(OR(I9636="Invalid - Not Freely Given", I9636="Invalid - Not Specific", I9636="Invalid - Not Informed", I9636="Invalid - Ambiguous"), "Gap - Invalid Consent", "Compliant")))))</f>
        <v/>
      </c>
      <c r="O9636" s="7" t="n"/>
    </row>
    <row r="9637">
      <c r="A9637" s="7" t="n"/>
      <c r="B9637" s="7" t="n"/>
      <c r="C9637" s="7" t="n"/>
      <c r="D9637" s="7" t="n"/>
      <c r="E9637" s="7" t="n"/>
      <c r="F9637" s="7" t="n"/>
      <c r="G9637" s="7" t="n"/>
      <c r="H9637" s="7" t="n"/>
      <c r="I9637" s="7" t="n"/>
      <c r="J9637" s="7" t="n"/>
      <c r="K9637">
        <f>IF(D9637="Legitimate Interest (GDPR Art. 6(1)(f))", "Yes / Required (Sheet 3)", "")</f>
        <v/>
      </c>
      <c r="L9637" s="7" t="n"/>
      <c r="M9637" s="7" t="n"/>
      <c r="N9637">
        <f>IF(D9637="", "Gap - No Legal Basis", IF(AND(D9637="Consent (GDPR Art. 6(1)(a))", I9637="Not Captured"), "Gap - Invalid Consent", IF(AND(D9637="Legitimate Interest (GDPR Art. 6(1)(f))", L9637=""), "Gap - Missing LIA", IF(AND(G9637="Yes", H9637=""), "Gap - Missing Art. 9 Basis", IF(OR(I9637="Invalid - Not Freely Given", I9637="Invalid - Not Specific", I9637="Invalid - Not Informed", I9637="Invalid - Ambiguous"), "Gap - Invalid Consent", "Compliant")))))</f>
        <v/>
      </c>
      <c r="O9637" s="7" t="n"/>
    </row>
    <row r="9638">
      <c r="A9638" s="7" t="n"/>
      <c r="B9638" s="7" t="n"/>
      <c r="C9638" s="7" t="n"/>
      <c r="D9638" s="7" t="n"/>
      <c r="E9638" s="7" t="n"/>
      <c r="F9638" s="7" t="n"/>
      <c r="G9638" s="7" t="n"/>
      <c r="H9638" s="7" t="n"/>
      <c r="I9638" s="7" t="n"/>
      <c r="J9638" s="7" t="n"/>
      <c r="K9638">
        <f>IF(D9638="Legitimate Interest (GDPR Art. 6(1)(f))", "Yes / Required (Sheet 3)", "")</f>
        <v/>
      </c>
      <c r="L9638" s="7" t="n"/>
      <c r="M9638" s="7" t="n"/>
      <c r="N9638">
        <f>IF(D9638="", "Gap - No Legal Basis", IF(AND(D9638="Consent (GDPR Art. 6(1)(a))", I9638="Not Captured"), "Gap - Invalid Consent", IF(AND(D9638="Legitimate Interest (GDPR Art. 6(1)(f))", L9638=""), "Gap - Missing LIA", IF(AND(G9638="Yes", H9638=""), "Gap - Missing Art. 9 Basis", IF(OR(I9638="Invalid - Not Freely Given", I9638="Invalid - Not Specific", I9638="Invalid - Not Informed", I9638="Invalid - Ambiguous"), "Gap - Invalid Consent", "Compliant")))))</f>
        <v/>
      </c>
      <c r="O9638" s="7" t="n"/>
    </row>
    <row r="9639">
      <c r="A9639" s="7" t="n"/>
      <c r="B9639" s="7" t="n"/>
      <c r="C9639" s="7" t="n"/>
      <c r="D9639" s="7" t="n"/>
      <c r="E9639" s="7" t="n"/>
      <c r="F9639" s="7" t="n"/>
      <c r="G9639" s="7" t="n"/>
      <c r="H9639" s="7" t="n"/>
      <c r="I9639" s="7" t="n"/>
      <c r="J9639" s="7" t="n"/>
      <c r="K9639">
        <f>IF(D9639="Legitimate Interest (GDPR Art. 6(1)(f))", "Yes / Required (Sheet 3)", "")</f>
        <v/>
      </c>
      <c r="L9639" s="7" t="n"/>
      <c r="M9639" s="7" t="n"/>
      <c r="N9639">
        <f>IF(D9639="", "Gap - No Legal Basis", IF(AND(D9639="Consent (GDPR Art. 6(1)(a))", I9639="Not Captured"), "Gap - Invalid Consent", IF(AND(D9639="Legitimate Interest (GDPR Art. 6(1)(f))", L9639=""), "Gap - Missing LIA", IF(AND(G9639="Yes", H9639=""), "Gap - Missing Art. 9 Basis", IF(OR(I9639="Invalid - Not Freely Given", I9639="Invalid - Not Specific", I9639="Invalid - Not Informed", I9639="Invalid - Ambiguous"), "Gap - Invalid Consent", "Compliant")))))</f>
        <v/>
      </c>
      <c r="O9639" s="7" t="n"/>
    </row>
    <row r="9640">
      <c r="A9640" s="7" t="n"/>
      <c r="B9640" s="7" t="n"/>
      <c r="C9640" s="7" t="n"/>
      <c r="D9640" s="7" t="n"/>
      <c r="E9640" s="7" t="n"/>
      <c r="F9640" s="7" t="n"/>
      <c r="G9640" s="7" t="n"/>
      <c r="H9640" s="7" t="n"/>
      <c r="I9640" s="7" t="n"/>
      <c r="J9640" s="7" t="n"/>
      <c r="K9640">
        <f>IF(D9640="Legitimate Interest (GDPR Art. 6(1)(f))", "Yes / Required (Sheet 3)", "")</f>
        <v/>
      </c>
      <c r="L9640" s="7" t="n"/>
      <c r="M9640" s="7" t="n"/>
      <c r="N9640">
        <f>IF(D9640="", "Gap - No Legal Basis", IF(AND(D9640="Consent (GDPR Art. 6(1)(a))", I9640="Not Captured"), "Gap - Invalid Consent", IF(AND(D9640="Legitimate Interest (GDPR Art. 6(1)(f))", L9640=""), "Gap - Missing LIA", IF(AND(G9640="Yes", H9640=""), "Gap - Missing Art. 9 Basis", IF(OR(I9640="Invalid - Not Freely Given", I9640="Invalid - Not Specific", I9640="Invalid - Not Informed", I9640="Invalid - Ambiguous"), "Gap - Invalid Consent", "Compliant")))))</f>
        <v/>
      </c>
      <c r="O9640" s="7" t="n"/>
    </row>
    <row r="9641">
      <c r="A9641" s="7" t="n"/>
      <c r="B9641" s="7" t="n"/>
      <c r="C9641" s="7" t="n"/>
      <c r="D9641" s="7" t="n"/>
      <c r="E9641" s="7" t="n"/>
      <c r="F9641" s="7" t="n"/>
      <c r="G9641" s="7" t="n"/>
      <c r="H9641" s="7" t="n"/>
      <c r="I9641" s="7" t="n"/>
      <c r="J9641" s="7" t="n"/>
      <c r="K9641">
        <f>IF(D9641="Legitimate Interest (GDPR Art. 6(1)(f))", "Yes / Required (Sheet 3)", "")</f>
        <v/>
      </c>
      <c r="L9641" s="7" t="n"/>
      <c r="M9641" s="7" t="n"/>
      <c r="N9641">
        <f>IF(D9641="", "Gap - No Legal Basis", IF(AND(D9641="Consent (GDPR Art. 6(1)(a))", I9641="Not Captured"), "Gap - Invalid Consent", IF(AND(D9641="Legitimate Interest (GDPR Art. 6(1)(f))", L9641=""), "Gap - Missing LIA", IF(AND(G9641="Yes", H9641=""), "Gap - Missing Art. 9 Basis", IF(OR(I9641="Invalid - Not Freely Given", I9641="Invalid - Not Specific", I9641="Invalid - Not Informed", I9641="Invalid - Ambiguous"), "Gap - Invalid Consent", "Compliant")))))</f>
        <v/>
      </c>
      <c r="O9641" s="7" t="n"/>
    </row>
    <row r="9642">
      <c r="A9642" s="7" t="n"/>
      <c r="B9642" s="7" t="n"/>
      <c r="C9642" s="7" t="n"/>
      <c r="D9642" s="7" t="n"/>
      <c r="E9642" s="7" t="n"/>
      <c r="F9642" s="7" t="n"/>
      <c r="G9642" s="7" t="n"/>
      <c r="H9642" s="7" t="n"/>
      <c r="I9642" s="7" t="n"/>
      <c r="J9642" s="7" t="n"/>
      <c r="K9642">
        <f>IF(D9642="Legitimate Interest (GDPR Art. 6(1)(f))", "Yes / Required (Sheet 3)", "")</f>
        <v/>
      </c>
      <c r="L9642" s="7" t="n"/>
      <c r="M9642" s="7" t="n"/>
      <c r="N9642">
        <f>IF(D9642="", "Gap - No Legal Basis", IF(AND(D9642="Consent (GDPR Art. 6(1)(a))", I9642="Not Captured"), "Gap - Invalid Consent", IF(AND(D9642="Legitimate Interest (GDPR Art. 6(1)(f))", L9642=""), "Gap - Missing LIA", IF(AND(G9642="Yes", H9642=""), "Gap - Missing Art. 9 Basis", IF(OR(I9642="Invalid - Not Freely Given", I9642="Invalid - Not Specific", I9642="Invalid - Not Informed", I9642="Invalid - Ambiguous"), "Gap - Invalid Consent", "Compliant")))))</f>
        <v/>
      </c>
      <c r="O9642" s="7" t="n"/>
    </row>
    <row r="9643">
      <c r="A9643" s="7" t="n"/>
      <c r="B9643" s="7" t="n"/>
      <c r="C9643" s="7" t="n"/>
      <c r="D9643" s="7" t="n"/>
      <c r="E9643" s="7" t="n"/>
      <c r="F9643" s="7" t="n"/>
      <c r="G9643" s="7" t="n"/>
      <c r="H9643" s="7" t="n"/>
      <c r="I9643" s="7" t="n"/>
      <c r="J9643" s="7" t="n"/>
      <c r="K9643">
        <f>IF(D9643="Legitimate Interest (GDPR Art. 6(1)(f))", "Yes / Required (Sheet 3)", "")</f>
        <v/>
      </c>
      <c r="L9643" s="7" t="n"/>
      <c r="M9643" s="7" t="n"/>
      <c r="N9643">
        <f>IF(D9643="", "Gap - No Legal Basis", IF(AND(D9643="Consent (GDPR Art. 6(1)(a))", I9643="Not Captured"), "Gap - Invalid Consent", IF(AND(D9643="Legitimate Interest (GDPR Art. 6(1)(f))", L9643=""), "Gap - Missing LIA", IF(AND(G9643="Yes", H9643=""), "Gap - Missing Art. 9 Basis", IF(OR(I9643="Invalid - Not Freely Given", I9643="Invalid - Not Specific", I9643="Invalid - Not Informed", I9643="Invalid - Ambiguous"), "Gap - Invalid Consent", "Compliant")))))</f>
        <v/>
      </c>
      <c r="O9643" s="7" t="n"/>
    </row>
    <row r="9644">
      <c r="A9644" s="7" t="n"/>
      <c r="B9644" s="7" t="n"/>
      <c r="C9644" s="7" t="n"/>
      <c r="D9644" s="7" t="n"/>
      <c r="E9644" s="7" t="n"/>
      <c r="F9644" s="7" t="n"/>
      <c r="G9644" s="7" t="n"/>
      <c r="H9644" s="7" t="n"/>
      <c r="I9644" s="7" t="n"/>
      <c r="J9644" s="7" t="n"/>
      <c r="K9644">
        <f>IF(D9644="Legitimate Interest (GDPR Art. 6(1)(f))", "Yes / Required (Sheet 3)", "")</f>
        <v/>
      </c>
      <c r="L9644" s="7" t="n"/>
      <c r="M9644" s="7" t="n"/>
      <c r="N9644">
        <f>IF(D9644="", "Gap - No Legal Basis", IF(AND(D9644="Consent (GDPR Art. 6(1)(a))", I9644="Not Captured"), "Gap - Invalid Consent", IF(AND(D9644="Legitimate Interest (GDPR Art. 6(1)(f))", L9644=""), "Gap - Missing LIA", IF(AND(G9644="Yes", H9644=""), "Gap - Missing Art. 9 Basis", IF(OR(I9644="Invalid - Not Freely Given", I9644="Invalid - Not Specific", I9644="Invalid - Not Informed", I9644="Invalid - Ambiguous"), "Gap - Invalid Consent", "Compliant")))))</f>
        <v/>
      </c>
      <c r="O9644" s="7" t="n"/>
    </row>
    <row r="9645">
      <c r="A9645" s="7" t="n"/>
      <c r="B9645" s="7" t="n"/>
      <c r="C9645" s="7" t="n"/>
      <c r="D9645" s="7" t="n"/>
      <c r="E9645" s="7" t="n"/>
      <c r="F9645" s="7" t="n"/>
      <c r="G9645" s="7" t="n"/>
      <c r="H9645" s="7" t="n"/>
      <c r="I9645" s="7" t="n"/>
      <c r="J9645" s="7" t="n"/>
      <c r="K9645">
        <f>IF(D9645="Legitimate Interest (GDPR Art. 6(1)(f))", "Yes / Required (Sheet 3)", "")</f>
        <v/>
      </c>
      <c r="L9645" s="7" t="n"/>
      <c r="M9645" s="7" t="n"/>
      <c r="N9645">
        <f>IF(D9645="", "Gap - No Legal Basis", IF(AND(D9645="Consent (GDPR Art. 6(1)(a))", I9645="Not Captured"), "Gap - Invalid Consent", IF(AND(D9645="Legitimate Interest (GDPR Art. 6(1)(f))", L9645=""), "Gap - Missing LIA", IF(AND(G9645="Yes", H9645=""), "Gap - Missing Art. 9 Basis", IF(OR(I9645="Invalid - Not Freely Given", I9645="Invalid - Not Specific", I9645="Invalid - Not Informed", I9645="Invalid - Ambiguous"), "Gap - Invalid Consent", "Compliant")))))</f>
        <v/>
      </c>
      <c r="O9645" s="7" t="n"/>
    </row>
    <row r="9646">
      <c r="A9646" s="7" t="n"/>
      <c r="B9646" s="7" t="n"/>
      <c r="C9646" s="7" t="n"/>
      <c r="D9646" s="7" t="n"/>
      <c r="E9646" s="7" t="n"/>
      <c r="F9646" s="7" t="n"/>
      <c r="G9646" s="7" t="n"/>
      <c r="H9646" s="7" t="n"/>
      <c r="I9646" s="7" t="n"/>
      <c r="J9646" s="7" t="n"/>
      <c r="K9646">
        <f>IF(D9646="Legitimate Interest (GDPR Art. 6(1)(f))", "Yes / Required (Sheet 3)", "")</f>
        <v/>
      </c>
      <c r="L9646" s="7" t="n"/>
      <c r="M9646" s="7" t="n"/>
      <c r="N9646">
        <f>IF(D9646="", "Gap - No Legal Basis", IF(AND(D9646="Consent (GDPR Art. 6(1)(a))", I9646="Not Captured"), "Gap - Invalid Consent", IF(AND(D9646="Legitimate Interest (GDPR Art. 6(1)(f))", L9646=""), "Gap - Missing LIA", IF(AND(G9646="Yes", H9646=""), "Gap - Missing Art. 9 Basis", IF(OR(I9646="Invalid - Not Freely Given", I9646="Invalid - Not Specific", I9646="Invalid - Not Informed", I9646="Invalid - Ambiguous"), "Gap - Invalid Consent", "Compliant")))))</f>
        <v/>
      </c>
      <c r="O9646" s="7" t="n"/>
    </row>
    <row r="9647">
      <c r="A9647" s="7" t="n"/>
      <c r="B9647" s="7" t="n"/>
      <c r="C9647" s="7" t="n"/>
      <c r="D9647" s="7" t="n"/>
      <c r="E9647" s="7" t="n"/>
      <c r="F9647" s="7" t="n"/>
      <c r="G9647" s="7" t="n"/>
      <c r="H9647" s="7" t="n"/>
      <c r="I9647" s="7" t="n"/>
      <c r="J9647" s="7" t="n"/>
      <c r="K9647">
        <f>IF(D9647="Legitimate Interest (GDPR Art. 6(1)(f))", "Yes / Required (Sheet 3)", "")</f>
        <v/>
      </c>
      <c r="L9647" s="7" t="n"/>
      <c r="M9647" s="7" t="n"/>
      <c r="N9647">
        <f>IF(D9647="", "Gap - No Legal Basis", IF(AND(D9647="Consent (GDPR Art. 6(1)(a))", I9647="Not Captured"), "Gap - Invalid Consent", IF(AND(D9647="Legitimate Interest (GDPR Art. 6(1)(f))", L9647=""), "Gap - Missing LIA", IF(AND(G9647="Yes", H9647=""), "Gap - Missing Art. 9 Basis", IF(OR(I9647="Invalid - Not Freely Given", I9647="Invalid - Not Specific", I9647="Invalid - Not Informed", I9647="Invalid - Ambiguous"), "Gap - Invalid Consent", "Compliant")))))</f>
        <v/>
      </c>
      <c r="O9647" s="7" t="n"/>
    </row>
    <row r="9648">
      <c r="A9648" s="7" t="n"/>
      <c r="B9648" s="7" t="n"/>
      <c r="C9648" s="7" t="n"/>
      <c r="D9648" s="7" t="n"/>
      <c r="E9648" s="7" t="n"/>
      <c r="F9648" s="7" t="n"/>
      <c r="G9648" s="7" t="n"/>
      <c r="H9648" s="7" t="n"/>
      <c r="I9648" s="7" t="n"/>
      <c r="J9648" s="7" t="n"/>
      <c r="K9648">
        <f>IF(D9648="Legitimate Interest (GDPR Art. 6(1)(f))", "Yes / Required (Sheet 3)", "")</f>
        <v/>
      </c>
      <c r="L9648" s="7" t="n"/>
      <c r="M9648" s="7" t="n"/>
      <c r="N9648">
        <f>IF(D9648="", "Gap - No Legal Basis", IF(AND(D9648="Consent (GDPR Art. 6(1)(a))", I9648="Not Captured"), "Gap - Invalid Consent", IF(AND(D9648="Legitimate Interest (GDPR Art. 6(1)(f))", L9648=""), "Gap - Missing LIA", IF(AND(G9648="Yes", H9648=""), "Gap - Missing Art. 9 Basis", IF(OR(I9648="Invalid - Not Freely Given", I9648="Invalid - Not Specific", I9648="Invalid - Not Informed", I9648="Invalid - Ambiguous"), "Gap - Invalid Consent", "Compliant")))))</f>
        <v/>
      </c>
      <c r="O9648" s="7" t="n"/>
    </row>
    <row r="9649">
      <c r="A9649" s="7" t="n"/>
      <c r="B9649" s="7" t="n"/>
      <c r="C9649" s="7" t="n"/>
      <c r="D9649" s="7" t="n"/>
      <c r="E9649" s="7" t="n"/>
      <c r="F9649" s="7" t="n"/>
      <c r="G9649" s="7" t="n"/>
      <c r="H9649" s="7" t="n"/>
      <c r="I9649" s="7" t="n"/>
      <c r="J9649" s="7" t="n"/>
      <c r="K9649">
        <f>IF(D9649="Legitimate Interest (GDPR Art. 6(1)(f))", "Yes / Required (Sheet 3)", "")</f>
        <v/>
      </c>
      <c r="L9649" s="7" t="n"/>
      <c r="M9649" s="7" t="n"/>
      <c r="N9649">
        <f>IF(D9649="", "Gap - No Legal Basis", IF(AND(D9649="Consent (GDPR Art. 6(1)(a))", I9649="Not Captured"), "Gap - Invalid Consent", IF(AND(D9649="Legitimate Interest (GDPR Art. 6(1)(f))", L9649=""), "Gap - Missing LIA", IF(AND(G9649="Yes", H9649=""), "Gap - Missing Art. 9 Basis", IF(OR(I9649="Invalid - Not Freely Given", I9649="Invalid - Not Specific", I9649="Invalid - Not Informed", I9649="Invalid - Ambiguous"), "Gap - Invalid Consent", "Compliant")))))</f>
        <v/>
      </c>
      <c r="O9649" s="7" t="n"/>
    </row>
    <row r="9650">
      <c r="A9650" s="7" t="n"/>
      <c r="B9650" s="7" t="n"/>
      <c r="C9650" s="7" t="n"/>
      <c r="D9650" s="7" t="n"/>
      <c r="E9650" s="7" t="n"/>
      <c r="F9650" s="7" t="n"/>
      <c r="G9650" s="7" t="n"/>
      <c r="H9650" s="7" t="n"/>
      <c r="I9650" s="7" t="n"/>
      <c r="J9650" s="7" t="n"/>
      <c r="K9650">
        <f>IF(D9650="Legitimate Interest (GDPR Art. 6(1)(f))", "Yes / Required (Sheet 3)", "")</f>
        <v/>
      </c>
      <c r="L9650" s="7" t="n"/>
      <c r="M9650" s="7" t="n"/>
      <c r="N9650">
        <f>IF(D9650="", "Gap - No Legal Basis", IF(AND(D9650="Consent (GDPR Art. 6(1)(a))", I9650="Not Captured"), "Gap - Invalid Consent", IF(AND(D9650="Legitimate Interest (GDPR Art. 6(1)(f))", L9650=""), "Gap - Missing LIA", IF(AND(G9650="Yes", H9650=""), "Gap - Missing Art. 9 Basis", IF(OR(I9650="Invalid - Not Freely Given", I9650="Invalid - Not Specific", I9650="Invalid - Not Informed", I9650="Invalid - Ambiguous"), "Gap - Invalid Consent", "Compliant")))))</f>
        <v/>
      </c>
      <c r="O9650" s="7" t="n"/>
    </row>
    <row r="9651">
      <c r="A9651" s="7" t="n"/>
      <c r="B9651" s="7" t="n"/>
      <c r="C9651" s="7" t="n"/>
      <c r="D9651" s="7" t="n"/>
      <c r="E9651" s="7" t="n"/>
      <c r="F9651" s="7" t="n"/>
      <c r="G9651" s="7" t="n"/>
      <c r="H9651" s="7" t="n"/>
      <c r="I9651" s="7" t="n"/>
      <c r="J9651" s="7" t="n"/>
      <c r="K9651">
        <f>IF(D9651="Legitimate Interest (GDPR Art. 6(1)(f))", "Yes / Required (Sheet 3)", "")</f>
        <v/>
      </c>
      <c r="L9651" s="7" t="n"/>
      <c r="M9651" s="7" t="n"/>
      <c r="N9651">
        <f>IF(D9651="", "Gap - No Legal Basis", IF(AND(D9651="Consent (GDPR Art. 6(1)(a))", I9651="Not Captured"), "Gap - Invalid Consent", IF(AND(D9651="Legitimate Interest (GDPR Art. 6(1)(f))", L9651=""), "Gap - Missing LIA", IF(AND(G9651="Yes", H9651=""), "Gap - Missing Art. 9 Basis", IF(OR(I9651="Invalid - Not Freely Given", I9651="Invalid - Not Specific", I9651="Invalid - Not Informed", I9651="Invalid - Ambiguous"), "Gap - Invalid Consent", "Compliant")))))</f>
        <v/>
      </c>
      <c r="O9651" s="7" t="n"/>
    </row>
    <row r="9652">
      <c r="A9652" s="7" t="n"/>
      <c r="B9652" s="7" t="n"/>
      <c r="C9652" s="7" t="n"/>
      <c r="D9652" s="7" t="n"/>
      <c r="E9652" s="7" t="n"/>
      <c r="F9652" s="7" t="n"/>
      <c r="G9652" s="7" t="n"/>
      <c r="H9652" s="7" t="n"/>
      <c r="I9652" s="7" t="n"/>
      <c r="J9652" s="7" t="n"/>
      <c r="K9652">
        <f>IF(D9652="Legitimate Interest (GDPR Art. 6(1)(f))", "Yes / Required (Sheet 3)", "")</f>
        <v/>
      </c>
      <c r="L9652" s="7" t="n"/>
      <c r="M9652" s="7" t="n"/>
      <c r="N9652">
        <f>IF(D9652="", "Gap - No Legal Basis", IF(AND(D9652="Consent (GDPR Art. 6(1)(a))", I9652="Not Captured"), "Gap - Invalid Consent", IF(AND(D9652="Legitimate Interest (GDPR Art. 6(1)(f))", L9652=""), "Gap - Missing LIA", IF(AND(G9652="Yes", H9652=""), "Gap - Missing Art. 9 Basis", IF(OR(I9652="Invalid - Not Freely Given", I9652="Invalid - Not Specific", I9652="Invalid - Not Informed", I9652="Invalid - Ambiguous"), "Gap - Invalid Consent", "Compliant")))))</f>
        <v/>
      </c>
      <c r="O9652" s="7" t="n"/>
    </row>
    <row r="9653">
      <c r="A9653" s="7" t="n"/>
      <c r="B9653" s="7" t="n"/>
      <c r="C9653" s="7" t="n"/>
      <c r="D9653" s="7" t="n"/>
      <c r="E9653" s="7" t="n"/>
      <c r="F9653" s="7" t="n"/>
      <c r="G9653" s="7" t="n"/>
      <c r="H9653" s="7" t="n"/>
      <c r="I9653" s="7" t="n"/>
      <c r="J9653" s="7" t="n"/>
      <c r="K9653">
        <f>IF(D9653="Legitimate Interest (GDPR Art. 6(1)(f))", "Yes / Required (Sheet 3)", "")</f>
        <v/>
      </c>
      <c r="L9653" s="7" t="n"/>
      <c r="M9653" s="7" t="n"/>
      <c r="N9653">
        <f>IF(D9653="", "Gap - No Legal Basis", IF(AND(D9653="Consent (GDPR Art. 6(1)(a))", I9653="Not Captured"), "Gap - Invalid Consent", IF(AND(D9653="Legitimate Interest (GDPR Art. 6(1)(f))", L9653=""), "Gap - Missing LIA", IF(AND(G9653="Yes", H9653=""), "Gap - Missing Art. 9 Basis", IF(OR(I9653="Invalid - Not Freely Given", I9653="Invalid - Not Specific", I9653="Invalid - Not Informed", I9653="Invalid - Ambiguous"), "Gap - Invalid Consent", "Compliant")))))</f>
        <v/>
      </c>
      <c r="O9653" s="7" t="n"/>
    </row>
    <row r="9654">
      <c r="A9654" s="7" t="n"/>
      <c r="B9654" s="7" t="n"/>
      <c r="C9654" s="7" t="n"/>
      <c r="D9654" s="7" t="n"/>
      <c r="E9654" s="7" t="n"/>
      <c r="F9654" s="7" t="n"/>
      <c r="G9654" s="7" t="n"/>
      <c r="H9654" s="7" t="n"/>
      <c r="I9654" s="7" t="n"/>
      <c r="J9654" s="7" t="n"/>
      <c r="K9654">
        <f>IF(D9654="Legitimate Interest (GDPR Art. 6(1)(f))", "Yes / Required (Sheet 3)", "")</f>
        <v/>
      </c>
      <c r="L9654" s="7" t="n"/>
      <c r="M9654" s="7" t="n"/>
      <c r="N9654">
        <f>IF(D9654="", "Gap - No Legal Basis", IF(AND(D9654="Consent (GDPR Art. 6(1)(a))", I9654="Not Captured"), "Gap - Invalid Consent", IF(AND(D9654="Legitimate Interest (GDPR Art. 6(1)(f))", L9654=""), "Gap - Missing LIA", IF(AND(G9654="Yes", H9654=""), "Gap - Missing Art. 9 Basis", IF(OR(I9654="Invalid - Not Freely Given", I9654="Invalid - Not Specific", I9654="Invalid - Not Informed", I9654="Invalid - Ambiguous"), "Gap - Invalid Consent", "Compliant")))))</f>
        <v/>
      </c>
      <c r="O9654" s="7" t="n"/>
    </row>
    <row r="9655">
      <c r="A9655" s="7" t="n"/>
      <c r="B9655" s="7" t="n"/>
      <c r="C9655" s="7" t="n"/>
      <c r="D9655" s="7" t="n"/>
      <c r="E9655" s="7" t="n"/>
      <c r="F9655" s="7" t="n"/>
      <c r="G9655" s="7" t="n"/>
      <c r="H9655" s="7" t="n"/>
      <c r="I9655" s="7" t="n"/>
      <c r="J9655" s="7" t="n"/>
      <c r="K9655">
        <f>IF(D9655="Legitimate Interest (GDPR Art. 6(1)(f))", "Yes / Required (Sheet 3)", "")</f>
        <v/>
      </c>
      <c r="L9655" s="7" t="n"/>
      <c r="M9655" s="7" t="n"/>
      <c r="N9655">
        <f>IF(D9655="", "Gap - No Legal Basis", IF(AND(D9655="Consent (GDPR Art. 6(1)(a))", I9655="Not Captured"), "Gap - Invalid Consent", IF(AND(D9655="Legitimate Interest (GDPR Art. 6(1)(f))", L9655=""), "Gap - Missing LIA", IF(AND(G9655="Yes", H9655=""), "Gap - Missing Art. 9 Basis", IF(OR(I9655="Invalid - Not Freely Given", I9655="Invalid - Not Specific", I9655="Invalid - Not Informed", I9655="Invalid - Ambiguous"), "Gap - Invalid Consent", "Compliant")))))</f>
        <v/>
      </c>
      <c r="O9655" s="7" t="n"/>
    </row>
    <row r="9656">
      <c r="A9656" s="7" t="n"/>
      <c r="B9656" s="7" t="n"/>
      <c r="C9656" s="7" t="n"/>
      <c r="D9656" s="7" t="n"/>
      <c r="E9656" s="7" t="n"/>
      <c r="F9656" s="7" t="n"/>
      <c r="G9656" s="7" t="n"/>
      <c r="H9656" s="7" t="n"/>
      <c r="I9656" s="7" t="n"/>
      <c r="J9656" s="7" t="n"/>
      <c r="K9656">
        <f>IF(D9656="Legitimate Interest (GDPR Art. 6(1)(f))", "Yes / Required (Sheet 3)", "")</f>
        <v/>
      </c>
      <c r="L9656" s="7" t="n"/>
      <c r="M9656" s="7" t="n"/>
      <c r="N9656">
        <f>IF(D9656="", "Gap - No Legal Basis", IF(AND(D9656="Consent (GDPR Art. 6(1)(a))", I9656="Not Captured"), "Gap - Invalid Consent", IF(AND(D9656="Legitimate Interest (GDPR Art. 6(1)(f))", L9656=""), "Gap - Missing LIA", IF(AND(G9656="Yes", H9656=""), "Gap - Missing Art. 9 Basis", IF(OR(I9656="Invalid - Not Freely Given", I9656="Invalid - Not Specific", I9656="Invalid - Not Informed", I9656="Invalid - Ambiguous"), "Gap - Invalid Consent", "Compliant")))))</f>
        <v/>
      </c>
      <c r="O9656" s="7" t="n"/>
    </row>
    <row r="9657">
      <c r="A9657" s="7" t="n"/>
      <c r="B9657" s="7" t="n"/>
      <c r="C9657" s="7" t="n"/>
      <c r="D9657" s="7" t="n"/>
      <c r="E9657" s="7" t="n"/>
      <c r="F9657" s="7" t="n"/>
      <c r="G9657" s="7" t="n"/>
      <c r="H9657" s="7" t="n"/>
      <c r="I9657" s="7" t="n"/>
      <c r="J9657" s="7" t="n"/>
      <c r="K9657">
        <f>IF(D9657="Legitimate Interest (GDPR Art. 6(1)(f))", "Yes / Required (Sheet 3)", "")</f>
        <v/>
      </c>
      <c r="L9657" s="7" t="n"/>
      <c r="M9657" s="7" t="n"/>
      <c r="N9657">
        <f>IF(D9657="", "Gap - No Legal Basis", IF(AND(D9657="Consent (GDPR Art. 6(1)(a))", I9657="Not Captured"), "Gap - Invalid Consent", IF(AND(D9657="Legitimate Interest (GDPR Art. 6(1)(f))", L9657=""), "Gap - Missing LIA", IF(AND(G9657="Yes", H9657=""), "Gap - Missing Art. 9 Basis", IF(OR(I9657="Invalid - Not Freely Given", I9657="Invalid - Not Specific", I9657="Invalid - Not Informed", I9657="Invalid - Ambiguous"), "Gap - Invalid Consent", "Compliant")))))</f>
        <v/>
      </c>
      <c r="O9657" s="7" t="n"/>
    </row>
    <row r="9658">
      <c r="A9658" s="7" t="n"/>
      <c r="B9658" s="7" t="n"/>
      <c r="C9658" s="7" t="n"/>
      <c r="D9658" s="7" t="n"/>
      <c r="E9658" s="7" t="n"/>
      <c r="F9658" s="7" t="n"/>
      <c r="G9658" s="7" t="n"/>
      <c r="H9658" s="7" t="n"/>
      <c r="I9658" s="7" t="n"/>
      <c r="J9658" s="7" t="n"/>
      <c r="K9658">
        <f>IF(D9658="Legitimate Interest (GDPR Art. 6(1)(f))", "Yes / Required (Sheet 3)", "")</f>
        <v/>
      </c>
      <c r="L9658" s="7" t="n"/>
      <c r="M9658" s="7" t="n"/>
      <c r="N9658">
        <f>IF(D9658="", "Gap - No Legal Basis", IF(AND(D9658="Consent (GDPR Art. 6(1)(a))", I9658="Not Captured"), "Gap - Invalid Consent", IF(AND(D9658="Legitimate Interest (GDPR Art. 6(1)(f))", L9658=""), "Gap - Missing LIA", IF(AND(G9658="Yes", H9658=""), "Gap - Missing Art. 9 Basis", IF(OR(I9658="Invalid - Not Freely Given", I9658="Invalid - Not Specific", I9658="Invalid - Not Informed", I9658="Invalid - Ambiguous"), "Gap - Invalid Consent", "Compliant")))))</f>
        <v/>
      </c>
      <c r="O9658" s="7" t="n"/>
    </row>
    <row r="9659">
      <c r="A9659" s="7" t="n"/>
      <c r="B9659" s="7" t="n"/>
      <c r="C9659" s="7" t="n"/>
      <c r="D9659" s="7" t="n"/>
      <c r="E9659" s="7" t="n"/>
      <c r="F9659" s="7" t="n"/>
      <c r="G9659" s="7" t="n"/>
      <c r="H9659" s="7" t="n"/>
      <c r="I9659" s="7" t="n"/>
      <c r="J9659" s="7" t="n"/>
      <c r="K9659">
        <f>IF(D9659="Legitimate Interest (GDPR Art. 6(1)(f))", "Yes / Required (Sheet 3)", "")</f>
        <v/>
      </c>
      <c r="L9659" s="7" t="n"/>
      <c r="M9659" s="7" t="n"/>
      <c r="N9659">
        <f>IF(D9659="", "Gap - No Legal Basis", IF(AND(D9659="Consent (GDPR Art. 6(1)(a))", I9659="Not Captured"), "Gap - Invalid Consent", IF(AND(D9659="Legitimate Interest (GDPR Art. 6(1)(f))", L9659=""), "Gap - Missing LIA", IF(AND(G9659="Yes", H9659=""), "Gap - Missing Art. 9 Basis", IF(OR(I9659="Invalid - Not Freely Given", I9659="Invalid - Not Specific", I9659="Invalid - Not Informed", I9659="Invalid - Ambiguous"), "Gap - Invalid Consent", "Compliant")))))</f>
        <v/>
      </c>
      <c r="O9659" s="7" t="n"/>
    </row>
    <row r="9660">
      <c r="A9660" s="7" t="n"/>
      <c r="B9660" s="7" t="n"/>
      <c r="C9660" s="7" t="n"/>
      <c r="D9660" s="7" t="n"/>
      <c r="E9660" s="7" t="n"/>
      <c r="F9660" s="7" t="n"/>
      <c r="G9660" s="7" t="n"/>
      <c r="H9660" s="7" t="n"/>
      <c r="I9660" s="7" t="n"/>
      <c r="J9660" s="7" t="n"/>
      <c r="K9660">
        <f>IF(D9660="Legitimate Interest (GDPR Art. 6(1)(f))", "Yes / Required (Sheet 3)", "")</f>
        <v/>
      </c>
      <c r="L9660" s="7" t="n"/>
      <c r="M9660" s="7" t="n"/>
      <c r="N9660">
        <f>IF(D9660="", "Gap - No Legal Basis", IF(AND(D9660="Consent (GDPR Art. 6(1)(a))", I9660="Not Captured"), "Gap - Invalid Consent", IF(AND(D9660="Legitimate Interest (GDPR Art. 6(1)(f))", L9660=""), "Gap - Missing LIA", IF(AND(G9660="Yes", H9660=""), "Gap - Missing Art. 9 Basis", IF(OR(I9660="Invalid - Not Freely Given", I9660="Invalid - Not Specific", I9660="Invalid - Not Informed", I9660="Invalid - Ambiguous"), "Gap - Invalid Consent", "Compliant")))))</f>
        <v/>
      </c>
      <c r="O9660" s="7" t="n"/>
    </row>
    <row r="9661">
      <c r="A9661" s="7" t="n"/>
      <c r="B9661" s="7" t="n"/>
      <c r="C9661" s="7" t="n"/>
      <c r="D9661" s="7" t="n"/>
      <c r="E9661" s="7" t="n"/>
      <c r="F9661" s="7" t="n"/>
      <c r="G9661" s="7" t="n"/>
      <c r="H9661" s="7" t="n"/>
      <c r="I9661" s="7" t="n"/>
      <c r="J9661" s="7" t="n"/>
      <c r="K9661">
        <f>IF(D9661="Legitimate Interest (GDPR Art. 6(1)(f))", "Yes / Required (Sheet 3)", "")</f>
        <v/>
      </c>
      <c r="L9661" s="7" t="n"/>
      <c r="M9661" s="7" t="n"/>
      <c r="N9661">
        <f>IF(D9661="", "Gap - No Legal Basis", IF(AND(D9661="Consent (GDPR Art. 6(1)(a))", I9661="Not Captured"), "Gap - Invalid Consent", IF(AND(D9661="Legitimate Interest (GDPR Art. 6(1)(f))", L9661=""), "Gap - Missing LIA", IF(AND(G9661="Yes", H9661=""), "Gap - Missing Art. 9 Basis", IF(OR(I9661="Invalid - Not Freely Given", I9661="Invalid - Not Specific", I9661="Invalid - Not Informed", I9661="Invalid - Ambiguous"), "Gap - Invalid Consent", "Compliant")))))</f>
        <v/>
      </c>
      <c r="O9661" s="7" t="n"/>
    </row>
    <row r="9662">
      <c r="A9662" s="7" t="n"/>
      <c r="B9662" s="7" t="n"/>
      <c r="C9662" s="7" t="n"/>
      <c r="D9662" s="7" t="n"/>
      <c r="E9662" s="7" t="n"/>
      <c r="F9662" s="7" t="n"/>
      <c r="G9662" s="7" t="n"/>
      <c r="H9662" s="7" t="n"/>
      <c r="I9662" s="7" t="n"/>
      <c r="J9662" s="7" t="n"/>
      <c r="K9662">
        <f>IF(D9662="Legitimate Interest (GDPR Art. 6(1)(f))", "Yes / Required (Sheet 3)", "")</f>
        <v/>
      </c>
      <c r="L9662" s="7" t="n"/>
      <c r="M9662" s="7" t="n"/>
      <c r="N9662">
        <f>IF(D9662="", "Gap - No Legal Basis", IF(AND(D9662="Consent (GDPR Art. 6(1)(a))", I9662="Not Captured"), "Gap - Invalid Consent", IF(AND(D9662="Legitimate Interest (GDPR Art. 6(1)(f))", L9662=""), "Gap - Missing LIA", IF(AND(G9662="Yes", H9662=""), "Gap - Missing Art. 9 Basis", IF(OR(I9662="Invalid - Not Freely Given", I9662="Invalid - Not Specific", I9662="Invalid - Not Informed", I9662="Invalid - Ambiguous"), "Gap - Invalid Consent", "Compliant")))))</f>
        <v/>
      </c>
      <c r="O9662" s="7" t="n"/>
    </row>
    <row r="9663">
      <c r="A9663" s="7" t="n"/>
      <c r="B9663" s="7" t="n"/>
      <c r="C9663" s="7" t="n"/>
      <c r="D9663" s="7" t="n"/>
      <c r="E9663" s="7" t="n"/>
      <c r="F9663" s="7" t="n"/>
      <c r="G9663" s="7" t="n"/>
      <c r="H9663" s="7" t="n"/>
      <c r="I9663" s="7" t="n"/>
      <c r="J9663" s="7" t="n"/>
      <c r="K9663">
        <f>IF(D9663="Legitimate Interest (GDPR Art. 6(1)(f))", "Yes / Required (Sheet 3)", "")</f>
        <v/>
      </c>
      <c r="L9663" s="7" t="n"/>
      <c r="M9663" s="7" t="n"/>
      <c r="N9663">
        <f>IF(D9663="", "Gap - No Legal Basis", IF(AND(D9663="Consent (GDPR Art. 6(1)(a))", I9663="Not Captured"), "Gap - Invalid Consent", IF(AND(D9663="Legitimate Interest (GDPR Art. 6(1)(f))", L9663=""), "Gap - Missing LIA", IF(AND(G9663="Yes", H9663=""), "Gap - Missing Art. 9 Basis", IF(OR(I9663="Invalid - Not Freely Given", I9663="Invalid - Not Specific", I9663="Invalid - Not Informed", I9663="Invalid - Ambiguous"), "Gap - Invalid Consent", "Compliant")))))</f>
        <v/>
      </c>
      <c r="O9663" s="7" t="n"/>
    </row>
    <row r="9664">
      <c r="A9664" s="7" t="n"/>
      <c r="B9664" s="7" t="n"/>
      <c r="C9664" s="7" t="n"/>
      <c r="D9664" s="7" t="n"/>
      <c r="E9664" s="7" t="n"/>
      <c r="F9664" s="7" t="n"/>
      <c r="G9664" s="7" t="n"/>
      <c r="H9664" s="7" t="n"/>
      <c r="I9664" s="7" t="n"/>
      <c r="J9664" s="7" t="n"/>
      <c r="K9664">
        <f>IF(D9664="Legitimate Interest (GDPR Art. 6(1)(f))", "Yes / Required (Sheet 3)", "")</f>
        <v/>
      </c>
      <c r="L9664" s="7" t="n"/>
      <c r="M9664" s="7" t="n"/>
      <c r="N9664">
        <f>IF(D9664="", "Gap - No Legal Basis", IF(AND(D9664="Consent (GDPR Art. 6(1)(a))", I9664="Not Captured"), "Gap - Invalid Consent", IF(AND(D9664="Legitimate Interest (GDPR Art. 6(1)(f))", L9664=""), "Gap - Missing LIA", IF(AND(G9664="Yes", H9664=""), "Gap - Missing Art. 9 Basis", IF(OR(I9664="Invalid - Not Freely Given", I9664="Invalid - Not Specific", I9664="Invalid - Not Informed", I9664="Invalid - Ambiguous"), "Gap - Invalid Consent", "Compliant")))))</f>
        <v/>
      </c>
      <c r="O9664" s="7" t="n"/>
    </row>
    <row r="9665">
      <c r="A9665" s="7" t="n"/>
      <c r="B9665" s="7" t="n"/>
      <c r="C9665" s="7" t="n"/>
      <c r="D9665" s="7" t="n"/>
      <c r="E9665" s="7" t="n"/>
      <c r="F9665" s="7" t="n"/>
      <c r="G9665" s="7" t="n"/>
      <c r="H9665" s="7" t="n"/>
      <c r="I9665" s="7" t="n"/>
      <c r="J9665" s="7" t="n"/>
      <c r="K9665">
        <f>IF(D9665="Legitimate Interest (GDPR Art. 6(1)(f))", "Yes / Required (Sheet 3)", "")</f>
        <v/>
      </c>
      <c r="L9665" s="7" t="n"/>
      <c r="M9665" s="7" t="n"/>
      <c r="N9665">
        <f>IF(D9665="", "Gap - No Legal Basis", IF(AND(D9665="Consent (GDPR Art. 6(1)(a))", I9665="Not Captured"), "Gap - Invalid Consent", IF(AND(D9665="Legitimate Interest (GDPR Art. 6(1)(f))", L9665=""), "Gap - Missing LIA", IF(AND(G9665="Yes", H9665=""), "Gap - Missing Art. 9 Basis", IF(OR(I9665="Invalid - Not Freely Given", I9665="Invalid - Not Specific", I9665="Invalid - Not Informed", I9665="Invalid - Ambiguous"), "Gap - Invalid Consent", "Compliant")))))</f>
        <v/>
      </c>
      <c r="O9665" s="7" t="n"/>
    </row>
    <row r="9666">
      <c r="A9666" s="7" t="n"/>
      <c r="B9666" s="7" t="n"/>
      <c r="C9666" s="7" t="n"/>
      <c r="D9666" s="7" t="n"/>
      <c r="E9666" s="7" t="n"/>
      <c r="F9666" s="7" t="n"/>
      <c r="G9666" s="7" t="n"/>
      <c r="H9666" s="7" t="n"/>
      <c r="I9666" s="7" t="n"/>
      <c r="J9666" s="7" t="n"/>
      <c r="K9666">
        <f>IF(D9666="Legitimate Interest (GDPR Art. 6(1)(f))", "Yes / Required (Sheet 3)", "")</f>
        <v/>
      </c>
      <c r="L9666" s="7" t="n"/>
      <c r="M9666" s="7" t="n"/>
      <c r="N9666">
        <f>IF(D9666="", "Gap - No Legal Basis", IF(AND(D9666="Consent (GDPR Art. 6(1)(a))", I9666="Not Captured"), "Gap - Invalid Consent", IF(AND(D9666="Legitimate Interest (GDPR Art. 6(1)(f))", L9666=""), "Gap - Missing LIA", IF(AND(G9666="Yes", H9666=""), "Gap - Missing Art. 9 Basis", IF(OR(I9666="Invalid - Not Freely Given", I9666="Invalid - Not Specific", I9666="Invalid - Not Informed", I9666="Invalid - Ambiguous"), "Gap - Invalid Consent", "Compliant")))))</f>
        <v/>
      </c>
      <c r="O9666" s="7" t="n"/>
    </row>
    <row r="9667">
      <c r="A9667" s="7" t="n"/>
      <c r="B9667" s="7" t="n"/>
      <c r="C9667" s="7" t="n"/>
      <c r="D9667" s="7" t="n"/>
      <c r="E9667" s="7" t="n"/>
      <c r="F9667" s="7" t="n"/>
      <c r="G9667" s="7" t="n"/>
      <c r="H9667" s="7" t="n"/>
      <c r="I9667" s="7" t="n"/>
      <c r="J9667" s="7" t="n"/>
      <c r="K9667">
        <f>IF(D9667="Legitimate Interest (GDPR Art. 6(1)(f))", "Yes / Required (Sheet 3)", "")</f>
        <v/>
      </c>
      <c r="L9667" s="7" t="n"/>
      <c r="M9667" s="7" t="n"/>
      <c r="N9667">
        <f>IF(D9667="", "Gap - No Legal Basis", IF(AND(D9667="Consent (GDPR Art. 6(1)(a))", I9667="Not Captured"), "Gap - Invalid Consent", IF(AND(D9667="Legitimate Interest (GDPR Art. 6(1)(f))", L9667=""), "Gap - Missing LIA", IF(AND(G9667="Yes", H9667=""), "Gap - Missing Art. 9 Basis", IF(OR(I9667="Invalid - Not Freely Given", I9667="Invalid - Not Specific", I9667="Invalid - Not Informed", I9667="Invalid - Ambiguous"), "Gap - Invalid Consent", "Compliant")))))</f>
        <v/>
      </c>
      <c r="O9667" s="7" t="n"/>
    </row>
    <row r="9668">
      <c r="A9668" s="7" t="n"/>
      <c r="B9668" s="7" t="n"/>
      <c r="C9668" s="7" t="n"/>
      <c r="D9668" s="7" t="n"/>
      <c r="E9668" s="7" t="n"/>
      <c r="F9668" s="7" t="n"/>
      <c r="G9668" s="7" t="n"/>
      <c r="H9668" s="7" t="n"/>
      <c r="I9668" s="7" t="n"/>
      <c r="J9668" s="7" t="n"/>
      <c r="K9668">
        <f>IF(D9668="Legitimate Interest (GDPR Art. 6(1)(f))", "Yes / Required (Sheet 3)", "")</f>
        <v/>
      </c>
      <c r="L9668" s="7" t="n"/>
      <c r="M9668" s="7" t="n"/>
      <c r="N9668">
        <f>IF(D9668="", "Gap - No Legal Basis", IF(AND(D9668="Consent (GDPR Art. 6(1)(a))", I9668="Not Captured"), "Gap - Invalid Consent", IF(AND(D9668="Legitimate Interest (GDPR Art. 6(1)(f))", L9668=""), "Gap - Missing LIA", IF(AND(G9668="Yes", H9668=""), "Gap - Missing Art. 9 Basis", IF(OR(I9668="Invalid - Not Freely Given", I9668="Invalid - Not Specific", I9668="Invalid - Not Informed", I9668="Invalid - Ambiguous"), "Gap - Invalid Consent", "Compliant")))))</f>
        <v/>
      </c>
      <c r="O9668" s="7" t="n"/>
    </row>
    <row r="9669">
      <c r="A9669" s="7" t="n"/>
      <c r="B9669" s="7" t="n"/>
      <c r="C9669" s="7" t="n"/>
      <c r="D9669" s="7" t="n"/>
      <c r="E9669" s="7" t="n"/>
      <c r="F9669" s="7" t="n"/>
      <c r="G9669" s="7" t="n"/>
      <c r="H9669" s="7" t="n"/>
      <c r="I9669" s="7" t="n"/>
      <c r="J9669" s="7" t="n"/>
      <c r="K9669">
        <f>IF(D9669="Legitimate Interest (GDPR Art. 6(1)(f))", "Yes / Required (Sheet 3)", "")</f>
        <v/>
      </c>
      <c r="L9669" s="7" t="n"/>
      <c r="M9669" s="7" t="n"/>
      <c r="N9669">
        <f>IF(D9669="", "Gap - No Legal Basis", IF(AND(D9669="Consent (GDPR Art. 6(1)(a))", I9669="Not Captured"), "Gap - Invalid Consent", IF(AND(D9669="Legitimate Interest (GDPR Art. 6(1)(f))", L9669=""), "Gap - Missing LIA", IF(AND(G9669="Yes", H9669=""), "Gap - Missing Art. 9 Basis", IF(OR(I9669="Invalid - Not Freely Given", I9669="Invalid - Not Specific", I9669="Invalid - Not Informed", I9669="Invalid - Ambiguous"), "Gap - Invalid Consent", "Compliant")))))</f>
        <v/>
      </c>
      <c r="O9669" s="7" t="n"/>
    </row>
    <row r="9670">
      <c r="A9670" s="7" t="n"/>
      <c r="B9670" s="7" t="n"/>
      <c r="C9670" s="7" t="n"/>
      <c r="D9670" s="7" t="n"/>
      <c r="E9670" s="7" t="n"/>
      <c r="F9670" s="7" t="n"/>
      <c r="G9670" s="7" t="n"/>
      <c r="H9670" s="7" t="n"/>
      <c r="I9670" s="7" t="n"/>
      <c r="J9670" s="7" t="n"/>
      <c r="K9670">
        <f>IF(D9670="Legitimate Interest (GDPR Art. 6(1)(f))", "Yes / Required (Sheet 3)", "")</f>
        <v/>
      </c>
      <c r="L9670" s="7" t="n"/>
      <c r="M9670" s="7" t="n"/>
      <c r="N9670">
        <f>IF(D9670="", "Gap - No Legal Basis", IF(AND(D9670="Consent (GDPR Art. 6(1)(a))", I9670="Not Captured"), "Gap - Invalid Consent", IF(AND(D9670="Legitimate Interest (GDPR Art. 6(1)(f))", L9670=""), "Gap - Missing LIA", IF(AND(G9670="Yes", H9670=""), "Gap - Missing Art. 9 Basis", IF(OR(I9670="Invalid - Not Freely Given", I9670="Invalid - Not Specific", I9670="Invalid - Not Informed", I9670="Invalid - Ambiguous"), "Gap - Invalid Consent", "Compliant")))))</f>
        <v/>
      </c>
      <c r="O9670" s="7" t="n"/>
    </row>
    <row r="9671">
      <c r="A9671" s="7" t="n"/>
      <c r="B9671" s="7" t="n"/>
      <c r="C9671" s="7" t="n"/>
      <c r="D9671" s="7" t="n"/>
      <c r="E9671" s="7" t="n"/>
      <c r="F9671" s="7" t="n"/>
      <c r="G9671" s="7" t="n"/>
      <c r="H9671" s="7" t="n"/>
      <c r="I9671" s="7" t="n"/>
      <c r="J9671" s="7" t="n"/>
      <c r="K9671">
        <f>IF(D9671="Legitimate Interest (GDPR Art. 6(1)(f))", "Yes / Required (Sheet 3)", "")</f>
        <v/>
      </c>
      <c r="L9671" s="7" t="n"/>
      <c r="M9671" s="7" t="n"/>
      <c r="N9671">
        <f>IF(D9671="", "Gap - No Legal Basis", IF(AND(D9671="Consent (GDPR Art. 6(1)(a))", I9671="Not Captured"), "Gap - Invalid Consent", IF(AND(D9671="Legitimate Interest (GDPR Art. 6(1)(f))", L9671=""), "Gap - Missing LIA", IF(AND(G9671="Yes", H9671=""), "Gap - Missing Art. 9 Basis", IF(OR(I9671="Invalid - Not Freely Given", I9671="Invalid - Not Specific", I9671="Invalid - Not Informed", I9671="Invalid - Ambiguous"), "Gap - Invalid Consent", "Compliant")))))</f>
        <v/>
      </c>
      <c r="O9671" s="7" t="n"/>
    </row>
    <row r="9672">
      <c r="A9672" s="7" t="n"/>
      <c r="B9672" s="7" t="n"/>
      <c r="C9672" s="7" t="n"/>
      <c r="D9672" s="7" t="n"/>
      <c r="E9672" s="7" t="n"/>
      <c r="F9672" s="7" t="n"/>
      <c r="G9672" s="7" t="n"/>
      <c r="H9672" s="7" t="n"/>
      <c r="I9672" s="7" t="n"/>
      <c r="J9672" s="7" t="n"/>
      <c r="K9672">
        <f>IF(D9672="Legitimate Interest (GDPR Art. 6(1)(f))", "Yes / Required (Sheet 3)", "")</f>
        <v/>
      </c>
      <c r="L9672" s="7" t="n"/>
      <c r="M9672" s="7" t="n"/>
      <c r="N9672">
        <f>IF(D9672="", "Gap - No Legal Basis", IF(AND(D9672="Consent (GDPR Art. 6(1)(a))", I9672="Not Captured"), "Gap - Invalid Consent", IF(AND(D9672="Legitimate Interest (GDPR Art. 6(1)(f))", L9672=""), "Gap - Missing LIA", IF(AND(G9672="Yes", H9672=""), "Gap - Missing Art. 9 Basis", IF(OR(I9672="Invalid - Not Freely Given", I9672="Invalid - Not Specific", I9672="Invalid - Not Informed", I9672="Invalid - Ambiguous"), "Gap - Invalid Consent", "Compliant")))))</f>
        <v/>
      </c>
      <c r="O9672" s="7" t="n"/>
    </row>
    <row r="9673">
      <c r="A9673" s="7" t="n"/>
      <c r="B9673" s="7" t="n"/>
      <c r="C9673" s="7" t="n"/>
      <c r="D9673" s="7" t="n"/>
      <c r="E9673" s="7" t="n"/>
      <c r="F9673" s="7" t="n"/>
      <c r="G9673" s="7" t="n"/>
      <c r="H9673" s="7" t="n"/>
      <c r="I9673" s="7" t="n"/>
      <c r="J9673" s="7" t="n"/>
      <c r="K9673">
        <f>IF(D9673="Legitimate Interest (GDPR Art. 6(1)(f))", "Yes / Required (Sheet 3)", "")</f>
        <v/>
      </c>
      <c r="L9673" s="7" t="n"/>
      <c r="M9673" s="7" t="n"/>
      <c r="N9673">
        <f>IF(D9673="", "Gap - No Legal Basis", IF(AND(D9673="Consent (GDPR Art. 6(1)(a))", I9673="Not Captured"), "Gap - Invalid Consent", IF(AND(D9673="Legitimate Interest (GDPR Art. 6(1)(f))", L9673=""), "Gap - Missing LIA", IF(AND(G9673="Yes", H9673=""), "Gap - Missing Art. 9 Basis", IF(OR(I9673="Invalid - Not Freely Given", I9673="Invalid - Not Specific", I9673="Invalid - Not Informed", I9673="Invalid - Ambiguous"), "Gap - Invalid Consent", "Compliant")))))</f>
        <v/>
      </c>
      <c r="O9673" s="7" t="n"/>
    </row>
    <row r="9674">
      <c r="A9674" s="7" t="n"/>
      <c r="B9674" s="7" t="n"/>
      <c r="C9674" s="7" t="n"/>
      <c r="D9674" s="7" t="n"/>
      <c r="E9674" s="7" t="n"/>
      <c r="F9674" s="7" t="n"/>
      <c r="G9674" s="7" t="n"/>
      <c r="H9674" s="7" t="n"/>
      <c r="I9674" s="7" t="n"/>
      <c r="J9674" s="7" t="n"/>
      <c r="K9674">
        <f>IF(D9674="Legitimate Interest (GDPR Art. 6(1)(f))", "Yes / Required (Sheet 3)", "")</f>
        <v/>
      </c>
      <c r="L9674" s="7" t="n"/>
      <c r="M9674" s="7" t="n"/>
      <c r="N9674">
        <f>IF(D9674="", "Gap - No Legal Basis", IF(AND(D9674="Consent (GDPR Art. 6(1)(a))", I9674="Not Captured"), "Gap - Invalid Consent", IF(AND(D9674="Legitimate Interest (GDPR Art. 6(1)(f))", L9674=""), "Gap - Missing LIA", IF(AND(G9674="Yes", H9674=""), "Gap - Missing Art. 9 Basis", IF(OR(I9674="Invalid - Not Freely Given", I9674="Invalid - Not Specific", I9674="Invalid - Not Informed", I9674="Invalid - Ambiguous"), "Gap - Invalid Consent", "Compliant")))))</f>
        <v/>
      </c>
      <c r="O9674" s="7" t="n"/>
    </row>
    <row r="9675">
      <c r="A9675" s="7" t="n"/>
      <c r="B9675" s="7" t="n"/>
      <c r="C9675" s="7" t="n"/>
      <c r="D9675" s="7" t="n"/>
      <c r="E9675" s="7" t="n"/>
      <c r="F9675" s="7" t="n"/>
      <c r="G9675" s="7" t="n"/>
      <c r="H9675" s="7" t="n"/>
      <c r="I9675" s="7" t="n"/>
      <c r="J9675" s="7" t="n"/>
      <c r="K9675">
        <f>IF(D9675="Legitimate Interest (GDPR Art. 6(1)(f))", "Yes / Required (Sheet 3)", "")</f>
        <v/>
      </c>
      <c r="L9675" s="7" t="n"/>
      <c r="M9675" s="7" t="n"/>
      <c r="N9675">
        <f>IF(D9675="", "Gap - No Legal Basis", IF(AND(D9675="Consent (GDPR Art. 6(1)(a))", I9675="Not Captured"), "Gap - Invalid Consent", IF(AND(D9675="Legitimate Interest (GDPR Art. 6(1)(f))", L9675=""), "Gap - Missing LIA", IF(AND(G9675="Yes", H9675=""), "Gap - Missing Art. 9 Basis", IF(OR(I9675="Invalid - Not Freely Given", I9675="Invalid - Not Specific", I9675="Invalid - Not Informed", I9675="Invalid - Ambiguous"), "Gap - Invalid Consent", "Compliant")))))</f>
        <v/>
      </c>
      <c r="O9675" s="7" t="n"/>
    </row>
    <row r="9676">
      <c r="A9676" s="7" t="n"/>
      <c r="B9676" s="7" t="n"/>
      <c r="C9676" s="7" t="n"/>
      <c r="D9676" s="7" t="n"/>
      <c r="E9676" s="7" t="n"/>
      <c r="F9676" s="7" t="n"/>
      <c r="G9676" s="7" t="n"/>
      <c r="H9676" s="7" t="n"/>
      <c r="I9676" s="7" t="n"/>
      <c r="J9676" s="7" t="n"/>
      <c r="K9676">
        <f>IF(D9676="Legitimate Interest (GDPR Art. 6(1)(f))", "Yes / Required (Sheet 3)", "")</f>
        <v/>
      </c>
      <c r="L9676" s="7" t="n"/>
      <c r="M9676" s="7" t="n"/>
      <c r="N9676">
        <f>IF(D9676="", "Gap - No Legal Basis", IF(AND(D9676="Consent (GDPR Art. 6(1)(a))", I9676="Not Captured"), "Gap - Invalid Consent", IF(AND(D9676="Legitimate Interest (GDPR Art. 6(1)(f))", L9676=""), "Gap - Missing LIA", IF(AND(G9676="Yes", H9676=""), "Gap - Missing Art. 9 Basis", IF(OR(I9676="Invalid - Not Freely Given", I9676="Invalid - Not Specific", I9676="Invalid - Not Informed", I9676="Invalid - Ambiguous"), "Gap - Invalid Consent", "Compliant")))))</f>
        <v/>
      </c>
      <c r="O9676" s="7" t="n"/>
    </row>
    <row r="9677">
      <c r="A9677" s="7" t="n"/>
      <c r="B9677" s="7" t="n"/>
      <c r="C9677" s="7" t="n"/>
      <c r="D9677" s="7" t="n"/>
      <c r="E9677" s="7" t="n"/>
      <c r="F9677" s="7" t="n"/>
      <c r="G9677" s="7" t="n"/>
      <c r="H9677" s="7" t="n"/>
      <c r="I9677" s="7" t="n"/>
      <c r="J9677" s="7" t="n"/>
      <c r="K9677">
        <f>IF(D9677="Legitimate Interest (GDPR Art. 6(1)(f))", "Yes / Required (Sheet 3)", "")</f>
        <v/>
      </c>
      <c r="L9677" s="7" t="n"/>
      <c r="M9677" s="7" t="n"/>
      <c r="N9677">
        <f>IF(D9677="", "Gap - No Legal Basis", IF(AND(D9677="Consent (GDPR Art. 6(1)(a))", I9677="Not Captured"), "Gap - Invalid Consent", IF(AND(D9677="Legitimate Interest (GDPR Art. 6(1)(f))", L9677=""), "Gap - Missing LIA", IF(AND(G9677="Yes", H9677=""), "Gap - Missing Art. 9 Basis", IF(OR(I9677="Invalid - Not Freely Given", I9677="Invalid - Not Specific", I9677="Invalid - Not Informed", I9677="Invalid - Ambiguous"), "Gap - Invalid Consent", "Compliant")))))</f>
        <v/>
      </c>
      <c r="O9677" s="7" t="n"/>
    </row>
    <row r="9678">
      <c r="A9678" s="7" t="n"/>
      <c r="B9678" s="7" t="n"/>
      <c r="C9678" s="7" t="n"/>
      <c r="D9678" s="7" t="n"/>
      <c r="E9678" s="7" t="n"/>
      <c r="F9678" s="7" t="n"/>
      <c r="G9678" s="7" t="n"/>
      <c r="H9678" s="7" t="n"/>
      <c r="I9678" s="7" t="n"/>
      <c r="J9678" s="7" t="n"/>
      <c r="K9678">
        <f>IF(D9678="Legitimate Interest (GDPR Art. 6(1)(f))", "Yes / Required (Sheet 3)", "")</f>
        <v/>
      </c>
      <c r="L9678" s="7" t="n"/>
      <c r="M9678" s="7" t="n"/>
      <c r="N9678">
        <f>IF(D9678="", "Gap - No Legal Basis", IF(AND(D9678="Consent (GDPR Art. 6(1)(a))", I9678="Not Captured"), "Gap - Invalid Consent", IF(AND(D9678="Legitimate Interest (GDPR Art. 6(1)(f))", L9678=""), "Gap - Missing LIA", IF(AND(G9678="Yes", H9678=""), "Gap - Missing Art. 9 Basis", IF(OR(I9678="Invalid - Not Freely Given", I9678="Invalid - Not Specific", I9678="Invalid - Not Informed", I9678="Invalid - Ambiguous"), "Gap - Invalid Consent", "Compliant")))))</f>
        <v/>
      </c>
      <c r="O9678" s="7" t="n"/>
    </row>
    <row r="9679">
      <c r="A9679" s="7" t="n"/>
      <c r="B9679" s="7" t="n"/>
      <c r="C9679" s="7" t="n"/>
      <c r="D9679" s="7" t="n"/>
      <c r="E9679" s="7" t="n"/>
      <c r="F9679" s="7" t="n"/>
      <c r="G9679" s="7" t="n"/>
      <c r="H9679" s="7" t="n"/>
      <c r="I9679" s="7" t="n"/>
      <c r="J9679" s="7" t="n"/>
      <c r="K9679">
        <f>IF(D9679="Legitimate Interest (GDPR Art. 6(1)(f))", "Yes / Required (Sheet 3)", "")</f>
        <v/>
      </c>
      <c r="L9679" s="7" t="n"/>
      <c r="M9679" s="7" t="n"/>
      <c r="N9679">
        <f>IF(D9679="", "Gap - No Legal Basis", IF(AND(D9679="Consent (GDPR Art. 6(1)(a))", I9679="Not Captured"), "Gap - Invalid Consent", IF(AND(D9679="Legitimate Interest (GDPR Art. 6(1)(f))", L9679=""), "Gap - Missing LIA", IF(AND(G9679="Yes", H9679=""), "Gap - Missing Art. 9 Basis", IF(OR(I9679="Invalid - Not Freely Given", I9679="Invalid - Not Specific", I9679="Invalid - Not Informed", I9679="Invalid - Ambiguous"), "Gap - Invalid Consent", "Compliant")))))</f>
        <v/>
      </c>
      <c r="O9679" s="7" t="n"/>
    </row>
    <row r="9680">
      <c r="A9680" s="7" t="n"/>
      <c r="B9680" s="7" t="n"/>
      <c r="C9680" s="7" t="n"/>
      <c r="D9680" s="7" t="n"/>
      <c r="E9680" s="7" t="n"/>
      <c r="F9680" s="7" t="n"/>
      <c r="G9680" s="7" t="n"/>
      <c r="H9680" s="7" t="n"/>
      <c r="I9680" s="7" t="n"/>
      <c r="J9680" s="7" t="n"/>
      <c r="K9680">
        <f>IF(D9680="Legitimate Interest (GDPR Art. 6(1)(f))", "Yes / Required (Sheet 3)", "")</f>
        <v/>
      </c>
      <c r="L9680" s="7" t="n"/>
      <c r="M9680" s="7" t="n"/>
      <c r="N9680">
        <f>IF(D9680="", "Gap - No Legal Basis", IF(AND(D9680="Consent (GDPR Art. 6(1)(a))", I9680="Not Captured"), "Gap - Invalid Consent", IF(AND(D9680="Legitimate Interest (GDPR Art. 6(1)(f))", L9680=""), "Gap - Missing LIA", IF(AND(G9680="Yes", H9680=""), "Gap - Missing Art. 9 Basis", IF(OR(I9680="Invalid - Not Freely Given", I9680="Invalid - Not Specific", I9680="Invalid - Not Informed", I9680="Invalid - Ambiguous"), "Gap - Invalid Consent", "Compliant")))))</f>
        <v/>
      </c>
      <c r="O9680" s="7" t="n"/>
    </row>
    <row r="9681">
      <c r="A9681" s="7" t="n"/>
      <c r="B9681" s="7" t="n"/>
      <c r="C9681" s="7" t="n"/>
      <c r="D9681" s="7" t="n"/>
      <c r="E9681" s="7" t="n"/>
      <c r="F9681" s="7" t="n"/>
      <c r="G9681" s="7" t="n"/>
      <c r="H9681" s="7" t="n"/>
      <c r="I9681" s="7" t="n"/>
      <c r="J9681" s="7" t="n"/>
      <c r="K9681">
        <f>IF(D9681="Legitimate Interest (GDPR Art. 6(1)(f))", "Yes / Required (Sheet 3)", "")</f>
        <v/>
      </c>
      <c r="L9681" s="7" t="n"/>
      <c r="M9681" s="7" t="n"/>
      <c r="N9681">
        <f>IF(D9681="", "Gap - No Legal Basis", IF(AND(D9681="Consent (GDPR Art. 6(1)(a))", I9681="Not Captured"), "Gap - Invalid Consent", IF(AND(D9681="Legitimate Interest (GDPR Art. 6(1)(f))", L9681=""), "Gap - Missing LIA", IF(AND(G9681="Yes", H9681=""), "Gap - Missing Art. 9 Basis", IF(OR(I9681="Invalid - Not Freely Given", I9681="Invalid - Not Specific", I9681="Invalid - Not Informed", I9681="Invalid - Ambiguous"), "Gap - Invalid Consent", "Compliant")))))</f>
        <v/>
      </c>
      <c r="O9681" s="7" t="n"/>
    </row>
    <row r="9682">
      <c r="A9682" s="7" t="n"/>
      <c r="B9682" s="7" t="n"/>
      <c r="C9682" s="7" t="n"/>
      <c r="D9682" s="7" t="n"/>
      <c r="E9682" s="7" t="n"/>
      <c r="F9682" s="7" t="n"/>
      <c r="G9682" s="7" t="n"/>
      <c r="H9682" s="7" t="n"/>
      <c r="I9682" s="7" t="n"/>
      <c r="J9682" s="7" t="n"/>
      <c r="K9682">
        <f>IF(D9682="Legitimate Interest (GDPR Art. 6(1)(f))", "Yes / Required (Sheet 3)", "")</f>
        <v/>
      </c>
      <c r="L9682" s="7" t="n"/>
      <c r="M9682" s="7" t="n"/>
      <c r="N9682">
        <f>IF(D9682="", "Gap - No Legal Basis", IF(AND(D9682="Consent (GDPR Art. 6(1)(a))", I9682="Not Captured"), "Gap - Invalid Consent", IF(AND(D9682="Legitimate Interest (GDPR Art. 6(1)(f))", L9682=""), "Gap - Missing LIA", IF(AND(G9682="Yes", H9682=""), "Gap - Missing Art. 9 Basis", IF(OR(I9682="Invalid - Not Freely Given", I9682="Invalid - Not Specific", I9682="Invalid - Not Informed", I9682="Invalid - Ambiguous"), "Gap - Invalid Consent", "Compliant")))))</f>
        <v/>
      </c>
      <c r="O9682" s="7" t="n"/>
    </row>
    <row r="9683">
      <c r="A9683" s="7" t="n"/>
      <c r="B9683" s="7" t="n"/>
      <c r="C9683" s="7" t="n"/>
      <c r="D9683" s="7" t="n"/>
      <c r="E9683" s="7" t="n"/>
      <c r="F9683" s="7" t="n"/>
      <c r="G9683" s="7" t="n"/>
      <c r="H9683" s="7" t="n"/>
      <c r="I9683" s="7" t="n"/>
      <c r="J9683" s="7" t="n"/>
      <c r="K9683">
        <f>IF(D9683="Legitimate Interest (GDPR Art. 6(1)(f))", "Yes / Required (Sheet 3)", "")</f>
        <v/>
      </c>
      <c r="L9683" s="7" t="n"/>
      <c r="M9683" s="7" t="n"/>
      <c r="N9683">
        <f>IF(D9683="", "Gap - No Legal Basis", IF(AND(D9683="Consent (GDPR Art. 6(1)(a))", I9683="Not Captured"), "Gap - Invalid Consent", IF(AND(D9683="Legitimate Interest (GDPR Art. 6(1)(f))", L9683=""), "Gap - Missing LIA", IF(AND(G9683="Yes", H9683=""), "Gap - Missing Art. 9 Basis", IF(OR(I9683="Invalid - Not Freely Given", I9683="Invalid - Not Specific", I9683="Invalid - Not Informed", I9683="Invalid - Ambiguous"), "Gap - Invalid Consent", "Compliant")))))</f>
        <v/>
      </c>
      <c r="O9683" s="7" t="n"/>
    </row>
    <row r="9684">
      <c r="A9684" s="7" t="n"/>
      <c r="B9684" s="7" t="n"/>
      <c r="C9684" s="7" t="n"/>
      <c r="D9684" s="7" t="n"/>
      <c r="E9684" s="7" t="n"/>
      <c r="F9684" s="7" t="n"/>
      <c r="G9684" s="7" t="n"/>
      <c r="H9684" s="7" t="n"/>
      <c r="I9684" s="7" t="n"/>
      <c r="J9684" s="7" t="n"/>
      <c r="K9684">
        <f>IF(D9684="Legitimate Interest (GDPR Art. 6(1)(f))", "Yes / Required (Sheet 3)", "")</f>
        <v/>
      </c>
      <c r="L9684" s="7" t="n"/>
      <c r="M9684" s="7" t="n"/>
      <c r="N9684">
        <f>IF(D9684="", "Gap - No Legal Basis", IF(AND(D9684="Consent (GDPR Art. 6(1)(a))", I9684="Not Captured"), "Gap - Invalid Consent", IF(AND(D9684="Legitimate Interest (GDPR Art. 6(1)(f))", L9684=""), "Gap - Missing LIA", IF(AND(G9684="Yes", H9684=""), "Gap - Missing Art. 9 Basis", IF(OR(I9684="Invalid - Not Freely Given", I9684="Invalid - Not Specific", I9684="Invalid - Not Informed", I9684="Invalid - Ambiguous"), "Gap - Invalid Consent", "Compliant")))))</f>
        <v/>
      </c>
      <c r="O9684" s="7" t="n"/>
    </row>
    <row r="9685">
      <c r="A9685" s="7" t="n"/>
      <c r="B9685" s="7" t="n"/>
      <c r="C9685" s="7" t="n"/>
      <c r="D9685" s="7" t="n"/>
      <c r="E9685" s="7" t="n"/>
      <c r="F9685" s="7" t="n"/>
      <c r="G9685" s="7" t="n"/>
      <c r="H9685" s="7" t="n"/>
      <c r="I9685" s="7" t="n"/>
      <c r="J9685" s="7" t="n"/>
      <c r="K9685">
        <f>IF(D9685="Legitimate Interest (GDPR Art. 6(1)(f))", "Yes / Required (Sheet 3)", "")</f>
        <v/>
      </c>
      <c r="L9685" s="7" t="n"/>
      <c r="M9685" s="7" t="n"/>
      <c r="N9685">
        <f>IF(D9685="", "Gap - No Legal Basis", IF(AND(D9685="Consent (GDPR Art. 6(1)(a))", I9685="Not Captured"), "Gap - Invalid Consent", IF(AND(D9685="Legitimate Interest (GDPR Art. 6(1)(f))", L9685=""), "Gap - Missing LIA", IF(AND(G9685="Yes", H9685=""), "Gap - Missing Art. 9 Basis", IF(OR(I9685="Invalid - Not Freely Given", I9685="Invalid - Not Specific", I9685="Invalid - Not Informed", I9685="Invalid - Ambiguous"), "Gap - Invalid Consent", "Compliant")))))</f>
        <v/>
      </c>
      <c r="O9685" s="7" t="n"/>
    </row>
    <row r="9686">
      <c r="A9686" s="7" t="n"/>
      <c r="B9686" s="7" t="n"/>
      <c r="C9686" s="7" t="n"/>
      <c r="D9686" s="7" t="n"/>
      <c r="E9686" s="7" t="n"/>
      <c r="F9686" s="7" t="n"/>
      <c r="G9686" s="7" t="n"/>
      <c r="H9686" s="7" t="n"/>
      <c r="I9686" s="7" t="n"/>
      <c r="J9686" s="7" t="n"/>
      <c r="K9686">
        <f>IF(D9686="Legitimate Interest (GDPR Art. 6(1)(f))", "Yes / Required (Sheet 3)", "")</f>
        <v/>
      </c>
      <c r="L9686" s="7" t="n"/>
      <c r="M9686" s="7" t="n"/>
      <c r="N9686">
        <f>IF(D9686="", "Gap - No Legal Basis", IF(AND(D9686="Consent (GDPR Art. 6(1)(a))", I9686="Not Captured"), "Gap - Invalid Consent", IF(AND(D9686="Legitimate Interest (GDPR Art. 6(1)(f))", L9686=""), "Gap - Missing LIA", IF(AND(G9686="Yes", H9686=""), "Gap - Missing Art. 9 Basis", IF(OR(I9686="Invalid - Not Freely Given", I9686="Invalid - Not Specific", I9686="Invalid - Not Informed", I9686="Invalid - Ambiguous"), "Gap - Invalid Consent", "Compliant")))))</f>
        <v/>
      </c>
      <c r="O9686" s="7" t="n"/>
    </row>
    <row r="9687">
      <c r="A9687" s="7" t="n"/>
      <c r="B9687" s="7" t="n"/>
      <c r="C9687" s="7" t="n"/>
      <c r="D9687" s="7" t="n"/>
      <c r="E9687" s="7" t="n"/>
      <c r="F9687" s="7" t="n"/>
      <c r="G9687" s="7" t="n"/>
      <c r="H9687" s="7" t="n"/>
      <c r="I9687" s="7" t="n"/>
      <c r="J9687" s="7" t="n"/>
      <c r="K9687">
        <f>IF(D9687="Legitimate Interest (GDPR Art. 6(1)(f))", "Yes / Required (Sheet 3)", "")</f>
        <v/>
      </c>
      <c r="L9687" s="7" t="n"/>
      <c r="M9687" s="7" t="n"/>
      <c r="N9687">
        <f>IF(D9687="", "Gap - No Legal Basis", IF(AND(D9687="Consent (GDPR Art. 6(1)(a))", I9687="Not Captured"), "Gap - Invalid Consent", IF(AND(D9687="Legitimate Interest (GDPR Art. 6(1)(f))", L9687=""), "Gap - Missing LIA", IF(AND(G9687="Yes", H9687=""), "Gap - Missing Art. 9 Basis", IF(OR(I9687="Invalid - Not Freely Given", I9687="Invalid - Not Specific", I9687="Invalid - Not Informed", I9687="Invalid - Ambiguous"), "Gap - Invalid Consent", "Compliant")))))</f>
        <v/>
      </c>
      <c r="O9687" s="7" t="n"/>
    </row>
    <row r="9688">
      <c r="A9688" s="7" t="n"/>
      <c r="B9688" s="7" t="n"/>
      <c r="C9688" s="7" t="n"/>
      <c r="D9688" s="7" t="n"/>
      <c r="E9688" s="7" t="n"/>
      <c r="F9688" s="7" t="n"/>
      <c r="G9688" s="7" t="n"/>
      <c r="H9688" s="7" t="n"/>
      <c r="I9688" s="7" t="n"/>
      <c r="J9688" s="7" t="n"/>
      <c r="K9688">
        <f>IF(D9688="Legitimate Interest (GDPR Art. 6(1)(f))", "Yes / Required (Sheet 3)", "")</f>
        <v/>
      </c>
      <c r="L9688" s="7" t="n"/>
      <c r="M9688" s="7" t="n"/>
      <c r="N9688">
        <f>IF(D9688="", "Gap - No Legal Basis", IF(AND(D9688="Consent (GDPR Art. 6(1)(a))", I9688="Not Captured"), "Gap - Invalid Consent", IF(AND(D9688="Legitimate Interest (GDPR Art. 6(1)(f))", L9688=""), "Gap - Missing LIA", IF(AND(G9688="Yes", H9688=""), "Gap - Missing Art. 9 Basis", IF(OR(I9688="Invalid - Not Freely Given", I9688="Invalid - Not Specific", I9688="Invalid - Not Informed", I9688="Invalid - Ambiguous"), "Gap - Invalid Consent", "Compliant")))))</f>
        <v/>
      </c>
      <c r="O9688" s="7" t="n"/>
    </row>
    <row r="9689">
      <c r="A9689" s="7" t="n"/>
      <c r="B9689" s="7" t="n"/>
      <c r="C9689" s="7" t="n"/>
      <c r="D9689" s="7" t="n"/>
      <c r="E9689" s="7" t="n"/>
      <c r="F9689" s="7" t="n"/>
      <c r="G9689" s="7" t="n"/>
      <c r="H9689" s="7" t="n"/>
      <c r="I9689" s="7" t="n"/>
      <c r="J9689" s="7" t="n"/>
      <c r="K9689">
        <f>IF(D9689="Legitimate Interest (GDPR Art. 6(1)(f))", "Yes / Required (Sheet 3)", "")</f>
        <v/>
      </c>
      <c r="L9689" s="7" t="n"/>
      <c r="M9689" s="7" t="n"/>
      <c r="N9689">
        <f>IF(D9689="", "Gap - No Legal Basis", IF(AND(D9689="Consent (GDPR Art. 6(1)(a))", I9689="Not Captured"), "Gap - Invalid Consent", IF(AND(D9689="Legitimate Interest (GDPR Art. 6(1)(f))", L9689=""), "Gap - Missing LIA", IF(AND(G9689="Yes", H9689=""), "Gap - Missing Art. 9 Basis", IF(OR(I9689="Invalid - Not Freely Given", I9689="Invalid - Not Specific", I9689="Invalid - Not Informed", I9689="Invalid - Ambiguous"), "Gap - Invalid Consent", "Compliant")))))</f>
        <v/>
      </c>
      <c r="O9689" s="7" t="n"/>
    </row>
    <row r="9690">
      <c r="A9690" s="7" t="n"/>
      <c r="B9690" s="7" t="n"/>
      <c r="C9690" s="7" t="n"/>
      <c r="D9690" s="7" t="n"/>
      <c r="E9690" s="7" t="n"/>
      <c r="F9690" s="7" t="n"/>
      <c r="G9690" s="7" t="n"/>
      <c r="H9690" s="7" t="n"/>
      <c r="I9690" s="7" t="n"/>
      <c r="J9690" s="7" t="n"/>
      <c r="K9690">
        <f>IF(D9690="Legitimate Interest (GDPR Art. 6(1)(f))", "Yes / Required (Sheet 3)", "")</f>
        <v/>
      </c>
      <c r="L9690" s="7" t="n"/>
      <c r="M9690" s="7" t="n"/>
      <c r="N9690">
        <f>IF(D9690="", "Gap - No Legal Basis", IF(AND(D9690="Consent (GDPR Art. 6(1)(a))", I9690="Not Captured"), "Gap - Invalid Consent", IF(AND(D9690="Legitimate Interest (GDPR Art. 6(1)(f))", L9690=""), "Gap - Missing LIA", IF(AND(G9690="Yes", H9690=""), "Gap - Missing Art. 9 Basis", IF(OR(I9690="Invalid - Not Freely Given", I9690="Invalid - Not Specific", I9690="Invalid - Not Informed", I9690="Invalid - Ambiguous"), "Gap - Invalid Consent", "Compliant")))))</f>
        <v/>
      </c>
      <c r="O9690" s="7" t="n"/>
    </row>
    <row r="9691">
      <c r="A9691" s="7" t="n"/>
      <c r="B9691" s="7" t="n"/>
      <c r="C9691" s="7" t="n"/>
      <c r="D9691" s="7" t="n"/>
      <c r="E9691" s="7" t="n"/>
      <c r="F9691" s="7" t="n"/>
      <c r="G9691" s="7" t="n"/>
      <c r="H9691" s="7" t="n"/>
      <c r="I9691" s="7" t="n"/>
      <c r="J9691" s="7" t="n"/>
      <c r="K9691">
        <f>IF(D9691="Legitimate Interest (GDPR Art. 6(1)(f))", "Yes / Required (Sheet 3)", "")</f>
        <v/>
      </c>
      <c r="L9691" s="7" t="n"/>
      <c r="M9691" s="7" t="n"/>
      <c r="N9691">
        <f>IF(D9691="", "Gap - No Legal Basis", IF(AND(D9691="Consent (GDPR Art. 6(1)(a))", I9691="Not Captured"), "Gap - Invalid Consent", IF(AND(D9691="Legitimate Interest (GDPR Art. 6(1)(f))", L9691=""), "Gap - Missing LIA", IF(AND(G9691="Yes", H9691=""), "Gap - Missing Art. 9 Basis", IF(OR(I9691="Invalid - Not Freely Given", I9691="Invalid - Not Specific", I9691="Invalid - Not Informed", I9691="Invalid - Ambiguous"), "Gap - Invalid Consent", "Compliant")))))</f>
        <v/>
      </c>
      <c r="O9691" s="7" t="n"/>
    </row>
    <row r="9692">
      <c r="A9692" s="7" t="n"/>
      <c r="B9692" s="7" t="n"/>
      <c r="C9692" s="7" t="n"/>
      <c r="D9692" s="7" t="n"/>
      <c r="E9692" s="7" t="n"/>
      <c r="F9692" s="7" t="n"/>
      <c r="G9692" s="7" t="n"/>
      <c r="H9692" s="7" t="n"/>
      <c r="I9692" s="7" t="n"/>
      <c r="J9692" s="7" t="n"/>
      <c r="K9692">
        <f>IF(D9692="Legitimate Interest (GDPR Art. 6(1)(f))", "Yes / Required (Sheet 3)", "")</f>
        <v/>
      </c>
      <c r="L9692" s="7" t="n"/>
      <c r="M9692" s="7" t="n"/>
      <c r="N9692">
        <f>IF(D9692="", "Gap - No Legal Basis", IF(AND(D9692="Consent (GDPR Art. 6(1)(a))", I9692="Not Captured"), "Gap - Invalid Consent", IF(AND(D9692="Legitimate Interest (GDPR Art. 6(1)(f))", L9692=""), "Gap - Missing LIA", IF(AND(G9692="Yes", H9692=""), "Gap - Missing Art. 9 Basis", IF(OR(I9692="Invalid - Not Freely Given", I9692="Invalid - Not Specific", I9692="Invalid - Not Informed", I9692="Invalid - Ambiguous"), "Gap - Invalid Consent", "Compliant")))))</f>
        <v/>
      </c>
      <c r="O9692" s="7" t="n"/>
    </row>
    <row r="9693">
      <c r="A9693" s="7" t="n"/>
      <c r="B9693" s="7" t="n"/>
      <c r="C9693" s="7" t="n"/>
      <c r="D9693" s="7" t="n"/>
      <c r="E9693" s="7" t="n"/>
      <c r="F9693" s="7" t="n"/>
      <c r="G9693" s="7" t="n"/>
      <c r="H9693" s="7" t="n"/>
      <c r="I9693" s="7" t="n"/>
      <c r="J9693" s="7" t="n"/>
      <c r="K9693">
        <f>IF(D9693="Legitimate Interest (GDPR Art. 6(1)(f))", "Yes / Required (Sheet 3)", "")</f>
        <v/>
      </c>
      <c r="L9693" s="7" t="n"/>
      <c r="M9693" s="7" t="n"/>
      <c r="N9693">
        <f>IF(D9693="", "Gap - No Legal Basis", IF(AND(D9693="Consent (GDPR Art. 6(1)(a))", I9693="Not Captured"), "Gap - Invalid Consent", IF(AND(D9693="Legitimate Interest (GDPR Art. 6(1)(f))", L9693=""), "Gap - Missing LIA", IF(AND(G9693="Yes", H9693=""), "Gap - Missing Art. 9 Basis", IF(OR(I9693="Invalid - Not Freely Given", I9693="Invalid - Not Specific", I9693="Invalid - Not Informed", I9693="Invalid - Ambiguous"), "Gap - Invalid Consent", "Compliant")))))</f>
        <v/>
      </c>
      <c r="O9693" s="7" t="n"/>
    </row>
    <row r="9694">
      <c r="A9694" s="7" t="n"/>
      <c r="B9694" s="7" t="n"/>
      <c r="C9694" s="7" t="n"/>
      <c r="D9694" s="7" t="n"/>
      <c r="E9694" s="7" t="n"/>
      <c r="F9694" s="7" t="n"/>
      <c r="G9694" s="7" t="n"/>
      <c r="H9694" s="7" t="n"/>
      <c r="I9694" s="7" t="n"/>
      <c r="J9694" s="7" t="n"/>
      <c r="K9694">
        <f>IF(D9694="Legitimate Interest (GDPR Art. 6(1)(f))", "Yes / Required (Sheet 3)", "")</f>
        <v/>
      </c>
      <c r="L9694" s="7" t="n"/>
      <c r="M9694" s="7" t="n"/>
      <c r="N9694">
        <f>IF(D9694="", "Gap - No Legal Basis", IF(AND(D9694="Consent (GDPR Art. 6(1)(a))", I9694="Not Captured"), "Gap - Invalid Consent", IF(AND(D9694="Legitimate Interest (GDPR Art. 6(1)(f))", L9694=""), "Gap - Missing LIA", IF(AND(G9694="Yes", H9694=""), "Gap - Missing Art. 9 Basis", IF(OR(I9694="Invalid - Not Freely Given", I9694="Invalid - Not Specific", I9694="Invalid - Not Informed", I9694="Invalid - Ambiguous"), "Gap - Invalid Consent", "Compliant")))))</f>
        <v/>
      </c>
      <c r="O9694" s="7" t="n"/>
    </row>
    <row r="9695">
      <c r="A9695" s="7" t="n"/>
      <c r="B9695" s="7" t="n"/>
      <c r="C9695" s="7" t="n"/>
      <c r="D9695" s="7" t="n"/>
      <c r="E9695" s="7" t="n"/>
      <c r="F9695" s="7" t="n"/>
      <c r="G9695" s="7" t="n"/>
      <c r="H9695" s="7" t="n"/>
      <c r="I9695" s="7" t="n"/>
      <c r="J9695" s="7" t="n"/>
      <c r="K9695">
        <f>IF(D9695="Legitimate Interest (GDPR Art. 6(1)(f))", "Yes / Required (Sheet 3)", "")</f>
        <v/>
      </c>
      <c r="L9695" s="7" t="n"/>
      <c r="M9695" s="7" t="n"/>
      <c r="N9695">
        <f>IF(D9695="", "Gap - No Legal Basis", IF(AND(D9695="Consent (GDPR Art. 6(1)(a))", I9695="Not Captured"), "Gap - Invalid Consent", IF(AND(D9695="Legitimate Interest (GDPR Art. 6(1)(f))", L9695=""), "Gap - Missing LIA", IF(AND(G9695="Yes", H9695=""), "Gap - Missing Art. 9 Basis", IF(OR(I9695="Invalid - Not Freely Given", I9695="Invalid - Not Specific", I9695="Invalid - Not Informed", I9695="Invalid - Ambiguous"), "Gap - Invalid Consent", "Compliant")))))</f>
        <v/>
      </c>
      <c r="O9695" s="7" t="n"/>
    </row>
    <row r="9696">
      <c r="A9696" s="7" t="n"/>
      <c r="B9696" s="7" t="n"/>
      <c r="C9696" s="7" t="n"/>
      <c r="D9696" s="7" t="n"/>
      <c r="E9696" s="7" t="n"/>
      <c r="F9696" s="7" t="n"/>
      <c r="G9696" s="7" t="n"/>
      <c r="H9696" s="7" t="n"/>
      <c r="I9696" s="7" t="n"/>
      <c r="J9696" s="7" t="n"/>
      <c r="K9696">
        <f>IF(D9696="Legitimate Interest (GDPR Art. 6(1)(f))", "Yes / Required (Sheet 3)", "")</f>
        <v/>
      </c>
      <c r="L9696" s="7" t="n"/>
      <c r="M9696" s="7" t="n"/>
      <c r="N9696">
        <f>IF(D9696="", "Gap - No Legal Basis", IF(AND(D9696="Consent (GDPR Art. 6(1)(a))", I9696="Not Captured"), "Gap - Invalid Consent", IF(AND(D9696="Legitimate Interest (GDPR Art. 6(1)(f))", L9696=""), "Gap - Missing LIA", IF(AND(G9696="Yes", H9696=""), "Gap - Missing Art. 9 Basis", IF(OR(I9696="Invalid - Not Freely Given", I9696="Invalid - Not Specific", I9696="Invalid - Not Informed", I9696="Invalid - Ambiguous"), "Gap - Invalid Consent", "Compliant")))))</f>
        <v/>
      </c>
      <c r="O9696" s="7" t="n"/>
    </row>
    <row r="9697">
      <c r="A9697" s="7" t="n"/>
      <c r="B9697" s="7" t="n"/>
      <c r="C9697" s="7" t="n"/>
      <c r="D9697" s="7" t="n"/>
      <c r="E9697" s="7" t="n"/>
      <c r="F9697" s="7" t="n"/>
      <c r="G9697" s="7" t="n"/>
      <c r="H9697" s="7" t="n"/>
      <c r="I9697" s="7" t="n"/>
      <c r="J9697" s="7" t="n"/>
      <c r="K9697">
        <f>IF(D9697="Legitimate Interest (GDPR Art. 6(1)(f))", "Yes / Required (Sheet 3)", "")</f>
        <v/>
      </c>
      <c r="L9697" s="7" t="n"/>
      <c r="M9697" s="7" t="n"/>
      <c r="N9697">
        <f>IF(D9697="", "Gap - No Legal Basis", IF(AND(D9697="Consent (GDPR Art. 6(1)(a))", I9697="Not Captured"), "Gap - Invalid Consent", IF(AND(D9697="Legitimate Interest (GDPR Art. 6(1)(f))", L9697=""), "Gap - Missing LIA", IF(AND(G9697="Yes", H9697=""), "Gap - Missing Art. 9 Basis", IF(OR(I9697="Invalid - Not Freely Given", I9697="Invalid - Not Specific", I9697="Invalid - Not Informed", I9697="Invalid - Ambiguous"), "Gap - Invalid Consent", "Compliant")))))</f>
        <v/>
      </c>
      <c r="O9697" s="7" t="n"/>
    </row>
    <row r="9698">
      <c r="A9698" s="7" t="n"/>
      <c r="B9698" s="7" t="n"/>
      <c r="C9698" s="7" t="n"/>
      <c r="D9698" s="7" t="n"/>
      <c r="E9698" s="7" t="n"/>
      <c r="F9698" s="7" t="n"/>
      <c r="G9698" s="7" t="n"/>
      <c r="H9698" s="7" t="n"/>
      <c r="I9698" s="7" t="n"/>
      <c r="J9698" s="7" t="n"/>
      <c r="K9698">
        <f>IF(D9698="Legitimate Interest (GDPR Art. 6(1)(f))", "Yes / Required (Sheet 3)", "")</f>
        <v/>
      </c>
      <c r="L9698" s="7" t="n"/>
      <c r="M9698" s="7" t="n"/>
      <c r="N9698">
        <f>IF(D9698="", "Gap - No Legal Basis", IF(AND(D9698="Consent (GDPR Art. 6(1)(a))", I9698="Not Captured"), "Gap - Invalid Consent", IF(AND(D9698="Legitimate Interest (GDPR Art. 6(1)(f))", L9698=""), "Gap - Missing LIA", IF(AND(G9698="Yes", H9698=""), "Gap - Missing Art. 9 Basis", IF(OR(I9698="Invalid - Not Freely Given", I9698="Invalid - Not Specific", I9698="Invalid - Not Informed", I9698="Invalid - Ambiguous"), "Gap - Invalid Consent", "Compliant")))))</f>
        <v/>
      </c>
      <c r="O9698" s="7" t="n"/>
    </row>
    <row r="9699">
      <c r="A9699" s="7" t="n"/>
      <c r="B9699" s="7" t="n"/>
      <c r="C9699" s="7" t="n"/>
      <c r="D9699" s="7" t="n"/>
      <c r="E9699" s="7" t="n"/>
      <c r="F9699" s="7" t="n"/>
      <c r="G9699" s="7" t="n"/>
      <c r="H9699" s="7" t="n"/>
      <c r="I9699" s="7" t="n"/>
      <c r="J9699" s="7" t="n"/>
      <c r="K9699">
        <f>IF(D9699="Legitimate Interest (GDPR Art. 6(1)(f))", "Yes / Required (Sheet 3)", "")</f>
        <v/>
      </c>
      <c r="L9699" s="7" t="n"/>
      <c r="M9699" s="7" t="n"/>
      <c r="N9699">
        <f>IF(D9699="", "Gap - No Legal Basis", IF(AND(D9699="Consent (GDPR Art. 6(1)(a))", I9699="Not Captured"), "Gap - Invalid Consent", IF(AND(D9699="Legitimate Interest (GDPR Art. 6(1)(f))", L9699=""), "Gap - Missing LIA", IF(AND(G9699="Yes", H9699=""), "Gap - Missing Art. 9 Basis", IF(OR(I9699="Invalid - Not Freely Given", I9699="Invalid - Not Specific", I9699="Invalid - Not Informed", I9699="Invalid - Ambiguous"), "Gap - Invalid Consent", "Compliant")))))</f>
        <v/>
      </c>
      <c r="O9699" s="7" t="n"/>
    </row>
    <row r="9700">
      <c r="A9700" s="7" t="n"/>
      <c r="B9700" s="7" t="n"/>
      <c r="C9700" s="7" t="n"/>
      <c r="D9700" s="7" t="n"/>
      <c r="E9700" s="7" t="n"/>
      <c r="F9700" s="7" t="n"/>
      <c r="G9700" s="7" t="n"/>
      <c r="H9700" s="7" t="n"/>
      <c r="I9700" s="7" t="n"/>
      <c r="J9700" s="7" t="n"/>
      <c r="K9700">
        <f>IF(D9700="Legitimate Interest (GDPR Art. 6(1)(f))", "Yes / Required (Sheet 3)", "")</f>
        <v/>
      </c>
      <c r="L9700" s="7" t="n"/>
      <c r="M9700" s="7" t="n"/>
      <c r="N9700">
        <f>IF(D9700="", "Gap - No Legal Basis", IF(AND(D9700="Consent (GDPR Art. 6(1)(a))", I9700="Not Captured"), "Gap - Invalid Consent", IF(AND(D9700="Legitimate Interest (GDPR Art. 6(1)(f))", L9700=""), "Gap - Missing LIA", IF(AND(G9700="Yes", H9700=""), "Gap - Missing Art. 9 Basis", IF(OR(I9700="Invalid - Not Freely Given", I9700="Invalid - Not Specific", I9700="Invalid - Not Informed", I9700="Invalid - Ambiguous"), "Gap - Invalid Consent", "Compliant")))))</f>
        <v/>
      </c>
      <c r="O9700" s="7" t="n"/>
    </row>
    <row r="9701">
      <c r="A9701" s="7" t="n"/>
      <c r="B9701" s="7" t="n"/>
      <c r="C9701" s="7" t="n"/>
      <c r="D9701" s="7" t="n"/>
      <c r="E9701" s="7" t="n"/>
      <c r="F9701" s="7" t="n"/>
      <c r="G9701" s="7" t="n"/>
      <c r="H9701" s="7" t="n"/>
      <c r="I9701" s="7" t="n"/>
      <c r="J9701" s="7" t="n"/>
      <c r="K9701">
        <f>IF(D9701="Legitimate Interest (GDPR Art. 6(1)(f))", "Yes / Required (Sheet 3)", "")</f>
        <v/>
      </c>
      <c r="L9701" s="7" t="n"/>
      <c r="M9701" s="7" t="n"/>
      <c r="N9701">
        <f>IF(D9701="", "Gap - No Legal Basis", IF(AND(D9701="Consent (GDPR Art. 6(1)(a))", I9701="Not Captured"), "Gap - Invalid Consent", IF(AND(D9701="Legitimate Interest (GDPR Art. 6(1)(f))", L9701=""), "Gap - Missing LIA", IF(AND(G9701="Yes", H9701=""), "Gap - Missing Art. 9 Basis", IF(OR(I9701="Invalid - Not Freely Given", I9701="Invalid - Not Specific", I9701="Invalid - Not Informed", I9701="Invalid - Ambiguous"), "Gap - Invalid Consent", "Compliant")))))</f>
        <v/>
      </c>
      <c r="O9701" s="7" t="n"/>
    </row>
    <row r="9702">
      <c r="A9702" s="7" t="n"/>
      <c r="B9702" s="7" t="n"/>
      <c r="C9702" s="7" t="n"/>
      <c r="D9702" s="7" t="n"/>
      <c r="E9702" s="7" t="n"/>
      <c r="F9702" s="7" t="n"/>
      <c r="G9702" s="7" t="n"/>
      <c r="H9702" s="7" t="n"/>
      <c r="I9702" s="7" t="n"/>
      <c r="J9702" s="7" t="n"/>
      <c r="K9702">
        <f>IF(D9702="Legitimate Interest (GDPR Art. 6(1)(f))", "Yes / Required (Sheet 3)", "")</f>
        <v/>
      </c>
      <c r="L9702" s="7" t="n"/>
      <c r="M9702" s="7" t="n"/>
      <c r="N9702">
        <f>IF(D9702="", "Gap - No Legal Basis", IF(AND(D9702="Consent (GDPR Art. 6(1)(a))", I9702="Not Captured"), "Gap - Invalid Consent", IF(AND(D9702="Legitimate Interest (GDPR Art. 6(1)(f))", L9702=""), "Gap - Missing LIA", IF(AND(G9702="Yes", H9702=""), "Gap - Missing Art. 9 Basis", IF(OR(I9702="Invalid - Not Freely Given", I9702="Invalid - Not Specific", I9702="Invalid - Not Informed", I9702="Invalid - Ambiguous"), "Gap - Invalid Consent", "Compliant")))))</f>
        <v/>
      </c>
      <c r="O9702" s="7" t="n"/>
    </row>
    <row r="9703">
      <c r="A9703" s="7" t="n"/>
      <c r="B9703" s="7" t="n"/>
      <c r="C9703" s="7" t="n"/>
      <c r="D9703" s="7" t="n"/>
      <c r="E9703" s="7" t="n"/>
      <c r="F9703" s="7" t="n"/>
      <c r="G9703" s="7" t="n"/>
      <c r="H9703" s="7" t="n"/>
      <c r="I9703" s="7" t="n"/>
      <c r="J9703" s="7" t="n"/>
      <c r="K9703">
        <f>IF(D9703="Legitimate Interest (GDPR Art. 6(1)(f))", "Yes / Required (Sheet 3)", "")</f>
        <v/>
      </c>
      <c r="L9703" s="7" t="n"/>
      <c r="M9703" s="7" t="n"/>
      <c r="N9703">
        <f>IF(D9703="", "Gap - No Legal Basis", IF(AND(D9703="Consent (GDPR Art. 6(1)(a))", I9703="Not Captured"), "Gap - Invalid Consent", IF(AND(D9703="Legitimate Interest (GDPR Art. 6(1)(f))", L9703=""), "Gap - Missing LIA", IF(AND(G9703="Yes", H9703=""), "Gap - Missing Art. 9 Basis", IF(OR(I9703="Invalid - Not Freely Given", I9703="Invalid - Not Specific", I9703="Invalid - Not Informed", I9703="Invalid - Ambiguous"), "Gap - Invalid Consent", "Compliant")))))</f>
        <v/>
      </c>
      <c r="O9703" s="7" t="n"/>
    </row>
    <row r="9704">
      <c r="A9704" s="7" t="n"/>
      <c r="B9704" s="7" t="n"/>
      <c r="C9704" s="7" t="n"/>
      <c r="D9704" s="7" t="n"/>
      <c r="E9704" s="7" t="n"/>
      <c r="F9704" s="7" t="n"/>
      <c r="G9704" s="7" t="n"/>
      <c r="H9704" s="7" t="n"/>
      <c r="I9704" s="7" t="n"/>
      <c r="J9704" s="7" t="n"/>
      <c r="K9704">
        <f>IF(D9704="Legitimate Interest (GDPR Art. 6(1)(f))", "Yes / Required (Sheet 3)", "")</f>
        <v/>
      </c>
      <c r="L9704" s="7" t="n"/>
      <c r="M9704" s="7" t="n"/>
      <c r="N9704">
        <f>IF(D9704="", "Gap - No Legal Basis", IF(AND(D9704="Consent (GDPR Art. 6(1)(a))", I9704="Not Captured"), "Gap - Invalid Consent", IF(AND(D9704="Legitimate Interest (GDPR Art. 6(1)(f))", L9704=""), "Gap - Missing LIA", IF(AND(G9704="Yes", H9704=""), "Gap - Missing Art. 9 Basis", IF(OR(I9704="Invalid - Not Freely Given", I9704="Invalid - Not Specific", I9704="Invalid - Not Informed", I9704="Invalid - Ambiguous"), "Gap - Invalid Consent", "Compliant")))))</f>
        <v/>
      </c>
      <c r="O9704" s="7" t="n"/>
    </row>
    <row r="9705">
      <c r="A9705" s="7" t="n"/>
      <c r="B9705" s="7" t="n"/>
      <c r="C9705" s="7" t="n"/>
      <c r="D9705" s="7" t="n"/>
      <c r="E9705" s="7" t="n"/>
      <c r="F9705" s="7" t="n"/>
      <c r="G9705" s="7" t="n"/>
      <c r="H9705" s="7" t="n"/>
      <c r="I9705" s="7" t="n"/>
      <c r="J9705" s="7" t="n"/>
      <c r="K9705">
        <f>IF(D9705="Legitimate Interest (GDPR Art. 6(1)(f))", "Yes / Required (Sheet 3)", "")</f>
        <v/>
      </c>
      <c r="L9705" s="7" t="n"/>
      <c r="M9705" s="7" t="n"/>
      <c r="N9705">
        <f>IF(D9705="", "Gap - No Legal Basis", IF(AND(D9705="Consent (GDPR Art. 6(1)(a))", I9705="Not Captured"), "Gap - Invalid Consent", IF(AND(D9705="Legitimate Interest (GDPR Art. 6(1)(f))", L9705=""), "Gap - Missing LIA", IF(AND(G9705="Yes", H9705=""), "Gap - Missing Art. 9 Basis", IF(OR(I9705="Invalid - Not Freely Given", I9705="Invalid - Not Specific", I9705="Invalid - Not Informed", I9705="Invalid - Ambiguous"), "Gap - Invalid Consent", "Compliant")))))</f>
        <v/>
      </c>
      <c r="O9705" s="7" t="n"/>
    </row>
    <row r="9706">
      <c r="A9706" s="7" t="n"/>
      <c r="B9706" s="7" t="n"/>
      <c r="C9706" s="7" t="n"/>
      <c r="D9706" s="7" t="n"/>
      <c r="E9706" s="7" t="n"/>
      <c r="F9706" s="7" t="n"/>
      <c r="G9706" s="7" t="n"/>
      <c r="H9706" s="7" t="n"/>
      <c r="I9706" s="7" t="n"/>
      <c r="J9706" s="7" t="n"/>
      <c r="K9706">
        <f>IF(D9706="Legitimate Interest (GDPR Art. 6(1)(f))", "Yes / Required (Sheet 3)", "")</f>
        <v/>
      </c>
      <c r="L9706" s="7" t="n"/>
      <c r="M9706" s="7" t="n"/>
      <c r="N9706">
        <f>IF(D9706="", "Gap - No Legal Basis", IF(AND(D9706="Consent (GDPR Art. 6(1)(a))", I9706="Not Captured"), "Gap - Invalid Consent", IF(AND(D9706="Legitimate Interest (GDPR Art. 6(1)(f))", L9706=""), "Gap - Missing LIA", IF(AND(G9706="Yes", H9706=""), "Gap - Missing Art. 9 Basis", IF(OR(I9706="Invalid - Not Freely Given", I9706="Invalid - Not Specific", I9706="Invalid - Not Informed", I9706="Invalid - Ambiguous"), "Gap - Invalid Consent", "Compliant")))))</f>
        <v/>
      </c>
      <c r="O9706" s="7" t="n"/>
    </row>
    <row r="9707">
      <c r="A9707" s="7" t="n"/>
      <c r="B9707" s="7" t="n"/>
      <c r="C9707" s="7" t="n"/>
      <c r="D9707" s="7" t="n"/>
      <c r="E9707" s="7" t="n"/>
      <c r="F9707" s="7" t="n"/>
      <c r="G9707" s="7" t="n"/>
      <c r="H9707" s="7" t="n"/>
      <c r="I9707" s="7" t="n"/>
      <c r="J9707" s="7" t="n"/>
      <c r="K9707">
        <f>IF(D9707="Legitimate Interest (GDPR Art. 6(1)(f))", "Yes / Required (Sheet 3)", "")</f>
        <v/>
      </c>
      <c r="L9707" s="7" t="n"/>
      <c r="M9707" s="7" t="n"/>
      <c r="N9707">
        <f>IF(D9707="", "Gap - No Legal Basis", IF(AND(D9707="Consent (GDPR Art. 6(1)(a))", I9707="Not Captured"), "Gap - Invalid Consent", IF(AND(D9707="Legitimate Interest (GDPR Art. 6(1)(f))", L9707=""), "Gap - Missing LIA", IF(AND(G9707="Yes", H9707=""), "Gap - Missing Art. 9 Basis", IF(OR(I9707="Invalid - Not Freely Given", I9707="Invalid - Not Specific", I9707="Invalid - Not Informed", I9707="Invalid - Ambiguous"), "Gap - Invalid Consent", "Compliant")))))</f>
        <v/>
      </c>
      <c r="O9707" s="7" t="n"/>
    </row>
    <row r="9708">
      <c r="A9708" s="7" t="n"/>
      <c r="B9708" s="7" t="n"/>
      <c r="C9708" s="7" t="n"/>
      <c r="D9708" s="7" t="n"/>
      <c r="E9708" s="7" t="n"/>
      <c r="F9708" s="7" t="n"/>
      <c r="G9708" s="7" t="n"/>
      <c r="H9708" s="7" t="n"/>
      <c r="I9708" s="7" t="n"/>
      <c r="J9708" s="7" t="n"/>
      <c r="K9708">
        <f>IF(D9708="Legitimate Interest (GDPR Art. 6(1)(f))", "Yes / Required (Sheet 3)", "")</f>
        <v/>
      </c>
      <c r="L9708" s="7" t="n"/>
      <c r="M9708" s="7" t="n"/>
      <c r="N9708">
        <f>IF(D9708="", "Gap - No Legal Basis", IF(AND(D9708="Consent (GDPR Art. 6(1)(a))", I9708="Not Captured"), "Gap - Invalid Consent", IF(AND(D9708="Legitimate Interest (GDPR Art. 6(1)(f))", L9708=""), "Gap - Missing LIA", IF(AND(G9708="Yes", H9708=""), "Gap - Missing Art. 9 Basis", IF(OR(I9708="Invalid - Not Freely Given", I9708="Invalid - Not Specific", I9708="Invalid - Not Informed", I9708="Invalid - Ambiguous"), "Gap - Invalid Consent", "Compliant")))))</f>
        <v/>
      </c>
      <c r="O9708" s="7" t="n"/>
    </row>
    <row r="9709">
      <c r="A9709" s="7" t="n"/>
      <c r="B9709" s="7" t="n"/>
      <c r="C9709" s="7" t="n"/>
      <c r="D9709" s="7" t="n"/>
      <c r="E9709" s="7" t="n"/>
      <c r="F9709" s="7" t="n"/>
      <c r="G9709" s="7" t="n"/>
      <c r="H9709" s="7" t="n"/>
      <c r="I9709" s="7" t="n"/>
      <c r="J9709" s="7" t="n"/>
      <c r="K9709">
        <f>IF(D9709="Legitimate Interest (GDPR Art. 6(1)(f))", "Yes / Required (Sheet 3)", "")</f>
        <v/>
      </c>
      <c r="L9709" s="7" t="n"/>
      <c r="M9709" s="7" t="n"/>
      <c r="N9709">
        <f>IF(D9709="", "Gap - No Legal Basis", IF(AND(D9709="Consent (GDPR Art. 6(1)(a))", I9709="Not Captured"), "Gap - Invalid Consent", IF(AND(D9709="Legitimate Interest (GDPR Art. 6(1)(f))", L9709=""), "Gap - Missing LIA", IF(AND(G9709="Yes", H9709=""), "Gap - Missing Art. 9 Basis", IF(OR(I9709="Invalid - Not Freely Given", I9709="Invalid - Not Specific", I9709="Invalid - Not Informed", I9709="Invalid - Ambiguous"), "Gap - Invalid Consent", "Compliant")))))</f>
        <v/>
      </c>
      <c r="O9709" s="7" t="n"/>
    </row>
    <row r="9710">
      <c r="A9710" s="7" t="n"/>
      <c r="B9710" s="7" t="n"/>
      <c r="C9710" s="7" t="n"/>
      <c r="D9710" s="7" t="n"/>
      <c r="E9710" s="7" t="n"/>
      <c r="F9710" s="7" t="n"/>
      <c r="G9710" s="7" t="n"/>
      <c r="H9710" s="7" t="n"/>
      <c r="I9710" s="7" t="n"/>
      <c r="J9710" s="7" t="n"/>
      <c r="K9710">
        <f>IF(D9710="Legitimate Interest (GDPR Art. 6(1)(f))", "Yes / Required (Sheet 3)", "")</f>
        <v/>
      </c>
      <c r="L9710" s="7" t="n"/>
      <c r="M9710" s="7" t="n"/>
      <c r="N9710">
        <f>IF(D9710="", "Gap - No Legal Basis", IF(AND(D9710="Consent (GDPR Art. 6(1)(a))", I9710="Not Captured"), "Gap - Invalid Consent", IF(AND(D9710="Legitimate Interest (GDPR Art. 6(1)(f))", L9710=""), "Gap - Missing LIA", IF(AND(G9710="Yes", H9710=""), "Gap - Missing Art. 9 Basis", IF(OR(I9710="Invalid - Not Freely Given", I9710="Invalid - Not Specific", I9710="Invalid - Not Informed", I9710="Invalid - Ambiguous"), "Gap - Invalid Consent", "Compliant")))))</f>
        <v/>
      </c>
      <c r="O9710" s="7" t="n"/>
    </row>
    <row r="9711">
      <c r="A9711" s="7" t="n"/>
      <c r="B9711" s="7" t="n"/>
      <c r="C9711" s="7" t="n"/>
      <c r="D9711" s="7" t="n"/>
      <c r="E9711" s="7" t="n"/>
      <c r="F9711" s="7" t="n"/>
      <c r="G9711" s="7" t="n"/>
      <c r="H9711" s="7" t="n"/>
      <c r="I9711" s="7" t="n"/>
      <c r="J9711" s="7" t="n"/>
      <c r="K9711">
        <f>IF(D9711="Legitimate Interest (GDPR Art. 6(1)(f))", "Yes / Required (Sheet 3)", "")</f>
        <v/>
      </c>
      <c r="L9711" s="7" t="n"/>
      <c r="M9711" s="7" t="n"/>
      <c r="N9711">
        <f>IF(D9711="", "Gap - No Legal Basis", IF(AND(D9711="Consent (GDPR Art. 6(1)(a))", I9711="Not Captured"), "Gap - Invalid Consent", IF(AND(D9711="Legitimate Interest (GDPR Art. 6(1)(f))", L9711=""), "Gap - Missing LIA", IF(AND(G9711="Yes", H9711=""), "Gap - Missing Art. 9 Basis", IF(OR(I9711="Invalid - Not Freely Given", I9711="Invalid - Not Specific", I9711="Invalid - Not Informed", I9711="Invalid - Ambiguous"), "Gap - Invalid Consent", "Compliant")))))</f>
        <v/>
      </c>
      <c r="O9711" s="7" t="n"/>
    </row>
    <row r="9712">
      <c r="A9712" s="7" t="n"/>
      <c r="B9712" s="7" t="n"/>
      <c r="C9712" s="7" t="n"/>
      <c r="D9712" s="7" t="n"/>
      <c r="E9712" s="7" t="n"/>
      <c r="F9712" s="7" t="n"/>
      <c r="G9712" s="7" t="n"/>
      <c r="H9712" s="7" t="n"/>
      <c r="I9712" s="7" t="n"/>
      <c r="J9712" s="7" t="n"/>
      <c r="K9712">
        <f>IF(D9712="Legitimate Interest (GDPR Art. 6(1)(f))", "Yes / Required (Sheet 3)", "")</f>
        <v/>
      </c>
      <c r="L9712" s="7" t="n"/>
      <c r="M9712" s="7" t="n"/>
      <c r="N9712">
        <f>IF(D9712="", "Gap - No Legal Basis", IF(AND(D9712="Consent (GDPR Art. 6(1)(a))", I9712="Not Captured"), "Gap - Invalid Consent", IF(AND(D9712="Legitimate Interest (GDPR Art. 6(1)(f))", L9712=""), "Gap - Missing LIA", IF(AND(G9712="Yes", H9712=""), "Gap - Missing Art. 9 Basis", IF(OR(I9712="Invalid - Not Freely Given", I9712="Invalid - Not Specific", I9712="Invalid - Not Informed", I9712="Invalid - Ambiguous"), "Gap - Invalid Consent", "Compliant")))))</f>
        <v/>
      </c>
      <c r="O9712" s="7" t="n"/>
    </row>
    <row r="9713">
      <c r="A9713" s="7" t="n"/>
      <c r="B9713" s="7" t="n"/>
      <c r="C9713" s="7" t="n"/>
      <c r="D9713" s="7" t="n"/>
      <c r="E9713" s="7" t="n"/>
      <c r="F9713" s="7" t="n"/>
      <c r="G9713" s="7" t="n"/>
      <c r="H9713" s="7" t="n"/>
      <c r="I9713" s="7" t="n"/>
      <c r="J9713" s="7" t="n"/>
      <c r="K9713">
        <f>IF(D9713="Legitimate Interest (GDPR Art. 6(1)(f))", "Yes / Required (Sheet 3)", "")</f>
        <v/>
      </c>
      <c r="L9713" s="7" t="n"/>
      <c r="M9713" s="7" t="n"/>
      <c r="N9713">
        <f>IF(D9713="", "Gap - No Legal Basis", IF(AND(D9713="Consent (GDPR Art. 6(1)(a))", I9713="Not Captured"), "Gap - Invalid Consent", IF(AND(D9713="Legitimate Interest (GDPR Art. 6(1)(f))", L9713=""), "Gap - Missing LIA", IF(AND(G9713="Yes", H9713=""), "Gap - Missing Art. 9 Basis", IF(OR(I9713="Invalid - Not Freely Given", I9713="Invalid - Not Specific", I9713="Invalid - Not Informed", I9713="Invalid - Ambiguous"), "Gap - Invalid Consent", "Compliant")))))</f>
        <v/>
      </c>
      <c r="O9713" s="7" t="n"/>
    </row>
    <row r="9714">
      <c r="A9714" s="7" t="n"/>
      <c r="B9714" s="7" t="n"/>
      <c r="C9714" s="7" t="n"/>
      <c r="D9714" s="7" t="n"/>
      <c r="E9714" s="7" t="n"/>
      <c r="F9714" s="7" t="n"/>
      <c r="G9714" s="7" t="n"/>
      <c r="H9714" s="7" t="n"/>
      <c r="I9714" s="7" t="n"/>
      <c r="J9714" s="7" t="n"/>
      <c r="K9714">
        <f>IF(D9714="Legitimate Interest (GDPR Art. 6(1)(f))", "Yes / Required (Sheet 3)", "")</f>
        <v/>
      </c>
      <c r="L9714" s="7" t="n"/>
      <c r="M9714" s="7" t="n"/>
      <c r="N9714">
        <f>IF(D9714="", "Gap - No Legal Basis", IF(AND(D9714="Consent (GDPR Art. 6(1)(a))", I9714="Not Captured"), "Gap - Invalid Consent", IF(AND(D9714="Legitimate Interest (GDPR Art. 6(1)(f))", L9714=""), "Gap - Missing LIA", IF(AND(G9714="Yes", H9714=""), "Gap - Missing Art. 9 Basis", IF(OR(I9714="Invalid - Not Freely Given", I9714="Invalid - Not Specific", I9714="Invalid - Not Informed", I9714="Invalid - Ambiguous"), "Gap - Invalid Consent", "Compliant")))))</f>
        <v/>
      </c>
      <c r="O9714" s="7" t="n"/>
    </row>
    <row r="9715">
      <c r="A9715" s="7" t="n"/>
      <c r="B9715" s="7" t="n"/>
      <c r="C9715" s="7" t="n"/>
      <c r="D9715" s="7" t="n"/>
      <c r="E9715" s="7" t="n"/>
      <c r="F9715" s="7" t="n"/>
      <c r="G9715" s="7" t="n"/>
      <c r="H9715" s="7" t="n"/>
      <c r="I9715" s="7" t="n"/>
      <c r="J9715" s="7" t="n"/>
      <c r="K9715">
        <f>IF(D9715="Legitimate Interest (GDPR Art. 6(1)(f))", "Yes / Required (Sheet 3)", "")</f>
        <v/>
      </c>
      <c r="L9715" s="7" t="n"/>
      <c r="M9715" s="7" t="n"/>
      <c r="N9715">
        <f>IF(D9715="", "Gap - No Legal Basis", IF(AND(D9715="Consent (GDPR Art. 6(1)(a))", I9715="Not Captured"), "Gap - Invalid Consent", IF(AND(D9715="Legitimate Interest (GDPR Art. 6(1)(f))", L9715=""), "Gap - Missing LIA", IF(AND(G9715="Yes", H9715=""), "Gap - Missing Art. 9 Basis", IF(OR(I9715="Invalid - Not Freely Given", I9715="Invalid - Not Specific", I9715="Invalid - Not Informed", I9715="Invalid - Ambiguous"), "Gap - Invalid Consent", "Compliant")))))</f>
        <v/>
      </c>
      <c r="O9715" s="7" t="n"/>
    </row>
    <row r="9716">
      <c r="A9716" s="7" t="n"/>
      <c r="B9716" s="7" t="n"/>
      <c r="C9716" s="7" t="n"/>
      <c r="D9716" s="7" t="n"/>
      <c r="E9716" s="7" t="n"/>
      <c r="F9716" s="7" t="n"/>
      <c r="G9716" s="7" t="n"/>
      <c r="H9716" s="7" t="n"/>
      <c r="I9716" s="7" t="n"/>
      <c r="J9716" s="7" t="n"/>
      <c r="K9716">
        <f>IF(D9716="Legitimate Interest (GDPR Art. 6(1)(f))", "Yes / Required (Sheet 3)", "")</f>
        <v/>
      </c>
      <c r="L9716" s="7" t="n"/>
      <c r="M9716" s="7" t="n"/>
      <c r="N9716">
        <f>IF(D9716="", "Gap - No Legal Basis", IF(AND(D9716="Consent (GDPR Art. 6(1)(a))", I9716="Not Captured"), "Gap - Invalid Consent", IF(AND(D9716="Legitimate Interest (GDPR Art. 6(1)(f))", L9716=""), "Gap - Missing LIA", IF(AND(G9716="Yes", H9716=""), "Gap - Missing Art. 9 Basis", IF(OR(I9716="Invalid - Not Freely Given", I9716="Invalid - Not Specific", I9716="Invalid - Not Informed", I9716="Invalid - Ambiguous"), "Gap - Invalid Consent", "Compliant")))))</f>
        <v/>
      </c>
      <c r="O9716" s="7" t="n"/>
    </row>
    <row r="9717">
      <c r="A9717" s="7" t="n"/>
      <c r="B9717" s="7" t="n"/>
      <c r="C9717" s="7" t="n"/>
      <c r="D9717" s="7" t="n"/>
      <c r="E9717" s="7" t="n"/>
      <c r="F9717" s="7" t="n"/>
      <c r="G9717" s="7" t="n"/>
      <c r="H9717" s="7" t="n"/>
      <c r="I9717" s="7" t="n"/>
      <c r="J9717" s="7" t="n"/>
      <c r="K9717">
        <f>IF(D9717="Legitimate Interest (GDPR Art. 6(1)(f))", "Yes / Required (Sheet 3)", "")</f>
        <v/>
      </c>
      <c r="L9717" s="7" t="n"/>
      <c r="M9717" s="7" t="n"/>
      <c r="N9717">
        <f>IF(D9717="", "Gap - No Legal Basis", IF(AND(D9717="Consent (GDPR Art. 6(1)(a))", I9717="Not Captured"), "Gap - Invalid Consent", IF(AND(D9717="Legitimate Interest (GDPR Art. 6(1)(f))", L9717=""), "Gap - Missing LIA", IF(AND(G9717="Yes", H9717=""), "Gap - Missing Art. 9 Basis", IF(OR(I9717="Invalid - Not Freely Given", I9717="Invalid - Not Specific", I9717="Invalid - Not Informed", I9717="Invalid - Ambiguous"), "Gap - Invalid Consent", "Compliant")))))</f>
        <v/>
      </c>
      <c r="O9717" s="7" t="n"/>
    </row>
    <row r="9718">
      <c r="A9718" s="7" t="n"/>
      <c r="B9718" s="7" t="n"/>
      <c r="C9718" s="7" t="n"/>
      <c r="D9718" s="7" t="n"/>
      <c r="E9718" s="7" t="n"/>
      <c r="F9718" s="7" t="n"/>
      <c r="G9718" s="7" t="n"/>
      <c r="H9718" s="7" t="n"/>
      <c r="I9718" s="7" t="n"/>
      <c r="J9718" s="7" t="n"/>
      <c r="K9718">
        <f>IF(D9718="Legitimate Interest (GDPR Art. 6(1)(f))", "Yes / Required (Sheet 3)", "")</f>
        <v/>
      </c>
      <c r="L9718" s="7" t="n"/>
      <c r="M9718" s="7" t="n"/>
      <c r="N9718">
        <f>IF(D9718="", "Gap - No Legal Basis", IF(AND(D9718="Consent (GDPR Art. 6(1)(a))", I9718="Not Captured"), "Gap - Invalid Consent", IF(AND(D9718="Legitimate Interest (GDPR Art. 6(1)(f))", L9718=""), "Gap - Missing LIA", IF(AND(G9718="Yes", H9718=""), "Gap - Missing Art. 9 Basis", IF(OR(I9718="Invalid - Not Freely Given", I9718="Invalid - Not Specific", I9718="Invalid - Not Informed", I9718="Invalid - Ambiguous"), "Gap - Invalid Consent", "Compliant")))))</f>
        <v/>
      </c>
      <c r="O9718" s="7" t="n"/>
    </row>
    <row r="9719">
      <c r="A9719" s="7" t="n"/>
      <c r="B9719" s="7" t="n"/>
      <c r="C9719" s="7" t="n"/>
      <c r="D9719" s="7" t="n"/>
      <c r="E9719" s="7" t="n"/>
      <c r="F9719" s="7" t="n"/>
      <c r="G9719" s="7" t="n"/>
      <c r="H9719" s="7" t="n"/>
      <c r="I9719" s="7" t="n"/>
      <c r="J9719" s="7" t="n"/>
      <c r="K9719">
        <f>IF(D9719="Legitimate Interest (GDPR Art. 6(1)(f))", "Yes / Required (Sheet 3)", "")</f>
        <v/>
      </c>
      <c r="L9719" s="7" t="n"/>
      <c r="M9719" s="7" t="n"/>
      <c r="N9719">
        <f>IF(D9719="", "Gap - No Legal Basis", IF(AND(D9719="Consent (GDPR Art. 6(1)(a))", I9719="Not Captured"), "Gap - Invalid Consent", IF(AND(D9719="Legitimate Interest (GDPR Art. 6(1)(f))", L9719=""), "Gap - Missing LIA", IF(AND(G9719="Yes", H9719=""), "Gap - Missing Art. 9 Basis", IF(OR(I9719="Invalid - Not Freely Given", I9719="Invalid - Not Specific", I9719="Invalid - Not Informed", I9719="Invalid - Ambiguous"), "Gap - Invalid Consent", "Compliant")))))</f>
        <v/>
      </c>
      <c r="O9719" s="7" t="n"/>
    </row>
    <row r="9720">
      <c r="A9720" s="7" t="n"/>
      <c r="B9720" s="7" t="n"/>
      <c r="C9720" s="7" t="n"/>
      <c r="D9720" s="7" t="n"/>
      <c r="E9720" s="7" t="n"/>
      <c r="F9720" s="7" t="n"/>
      <c r="G9720" s="7" t="n"/>
      <c r="H9720" s="7" t="n"/>
      <c r="I9720" s="7" t="n"/>
      <c r="J9720" s="7" t="n"/>
      <c r="K9720">
        <f>IF(D9720="Legitimate Interest (GDPR Art. 6(1)(f))", "Yes / Required (Sheet 3)", "")</f>
        <v/>
      </c>
      <c r="L9720" s="7" t="n"/>
      <c r="M9720" s="7" t="n"/>
      <c r="N9720">
        <f>IF(D9720="", "Gap - No Legal Basis", IF(AND(D9720="Consent (GDPR Art. 6(1)(a))", I9720="Not Captured"), "Gap - Invalid Consent", IF(AND(D9720="Legitimate Interest (GDPR Art. 6(1)(f))", L9720=""), "Gap - Missing LIA", IF(AND(G9720="Yes", H9720=""), "Gap - Missing Art. 9 Basis", IF(OR(I9720="Invalid - Not Freely Given", I9720="Invalid - Not Specific", I9720="Invalid - Not Informed", I9720="Invalid - Ambiguous"), "Gap - Invalid Consent", "Compliant")))))</f>
        <v/>
      </c>
      <c r="O9720" s="7" t="n"/>
    </row>
    <row r="9721">
      <c r="A9721" s="7" t="n"/>
      <c r="B9721" s="7" t="n"/>
      <c r="C9721" s="7" t="n"/>
      <c r="D9721" s="7" t="n"/>
      <c r="E9721" s="7" t="n"/>
      <c r="F9721" s="7" t="n"/>
      <c r="G9721" s="7" t="n"/>
      <c r="H9721" s="7" t="n"/>
      <c r="I9721" s="7" t="n"/>
      <c r="J9721" s="7" t="n"/>
      <c r="K9721">
        <f>IF(D9721="Legitimate Interest (GDPR Art. 6(1)(f))", "Yes / Required (Sheet 3)", "")</f>
        <v/>
      </c>
      <c r="L9721" s="7" t="n"/>
      <c r="M9721" s="7" t="n"/>
      <c r="N9721">
        <f>IF(D9721="", "Gap - No Legal Basis", IF(AND(D9721="Consent (GDPR Art. 6(1)(a))", I9721="Not Captured"), "Gap - Invalid Consent", IF(AND(D9721="Legitimate Interest (GDPR Art. 6(1)(f))", L9721=""), "Gap - Missing LIA", IF(AND(G9721="Yes", H9721=""), "Gap - Missing Art. 9 Basis", IF(OR(I9721="Invalid - Not Freely Given", I9721="Invalid - Not Specific", I9721="Invalid - Not Informed", I9721="Invalid - Ambiguous"), "Gap - Invalid Consent", "Compliant")))))</f>
        <v/>
      </c>
      <c r="O9721" s="7" t="n"/>
    </row>
    <row r="9722">
      <c r="A9722" s="7" t="n"/>
      <c r="B9722" s="7" t="n"/>
      <c r="C9722" s="7" t="n"/>
      <c r="D9722" s="7" t="n"/>
      <c r="E9722" s="7" t="n"/>
      <c r="F9722" s="7" t="n"/>
      <c r="G9722" s="7" t="n"/>
      <c r="H9722" s="7" t="n"/>
      <c r="I9722" s="7" t="n"/>
      <c r="J9722" s="7" t="n"/>
      <c r="K9722">
        <f>IF(D9722="Legitimate Interest (GDPR Art. 6(1)(f))", "Yes / Required (Sheet 3)", "")</f>
        <v/>
      </c>
      <c r="L9722" s="7" t="n"/>
      <c r="M9722" s="7" t="n"/>
      <c r="N9722">
        <f>IF(D9722="", "Gap - No Legal Basis", IF(AND(D9722="Consent (GDPR Art. 6(1)(a))", I9722="Not Captured"), "Gap - Invalid Consent", IF(AND(D9722="Legitimate Interest (GDPR Art. 6(1)(f))", L9722=""), "Gap - Missing LIA", IF(AND(G9722="Yes", H9722=""), "Gap - Missing Art. 9 Basis", IF(OR(I9722="Invalid - Not Freely Given", I9722="Invalid - Not Specific", I9722="Invalid - Not Informed", I9722="Invalid - Ambiguous"), "Gap - Invalid Consent", "Compliant")))))</f>
        <v/>
      </c>
      <c r="O9722" s="7" t="n"/>
    </row>
    <row r="9723">
      <c r="A9723" s="7" t="n"/>
      <c r="B9723" s="7" t="n"/>
      <c r="C9723" s="7" t="n"/>
      <c r="D9723" s="7" t="n"/>
      <c r="E9723" s="7" t="n"/>
      <c r="F9723" s="7" t="n"/>
      <c r="G9723" s="7" t="n"/>
      <c r="H9723" s="7" t="n"/>
      <c r="I9723" s="7" t="n"/>
      <c r="J9723" s="7" t="n"/>
      <c r="K9723">
        <f>IF(D9723="Legitimate Interest (GDPR Art. 6(1)(f))", "Yes / Required (Sheet 3)", "")</f>
        <v/>
      </c>
      <c r="L9723" s="7" t="n"/>
      <c r="M9723" s="7" t="n"/>
      <c r="N9723">
        <f>IF(D9723="", "Gap - No Legal Basis", IF(AND(D9723="Consent (GDPR Art. 6(1)(a))", I9723="Not Captured"), "Gap - Invalid Consent", IF(AND(D9723="Legitimate Interest (GDPR Art. 6(1)(f))", L9723=""), "Gap - Missing LIA", IF(AND(G9723="Yes", H9723=""), "Gap - Missing Art. 9 Basis", IF(OR(I9723="Invalid - Not Freely Given", I9723="Invalid - Not Specific", I9723="Invalid - Not Informed", I9723="Invalid - Ambiguous"), "Gap - Invalid Consent", "Compliant")))))</f>
        <v/>
      </c>
      <c r="O9723" s="7" t="n"/>
    </row>
    <row r="9724">
      <c r="A9724" s="7" t="n"/>
      <c r="B9724" s="7" t="n"/>
      <c r="C9724" s="7" t="n"/>
      <c r="D9724" s="7" t="n"/>
      <c r="E9724" s="7" t="n"/>
      <c r="F9724" s="7" t="n"/>
      <c r="G9724" s="7" t="n"/>
      <c r="H9724" s="7" t="n"/>
      <c r="I9724" s="7" t="n"/>
      <c r="J9724" s="7" t="n"/>
      <c r="K9724">
        <f>IF(D9724="Legitimate Interest (GDPR Art. 6(1)(f))", "Yes / Required (Sheet 3)", "")</f>
        <v/>
      </c>
      <c r="L9724" s="7" t="n"/>
      <c r="M9724" s="7" t="n"/>
      <c r="N9724">
        <f>IF(D9724="", "Gap - No Legal Basis", IF(AND(D9724="Consent (GDPR Art. 6(1)(a))", I9724="Not Captured"), "Gap - Invalid Consent", IF(AND(D9724="Legitimate Interest (GDPR Art. 6(1)(f))", L9724=""), "Gap - Missing LIA", IF(AND(G9724="Yes", H9724=""), "Gap - Missing Art. 9 Basis", IF(OR(I9724="Invalid - Not Freely Given", I9724="Invalid - Not Specific", I9724="Invalid - Not Informed", I9724="Invalid - Ambiguous"), "Gap - Invalid Consent", "Compliant")))))</f>
        <v/>
      </c>
      <c r="O9724" s="7" t="n"/>
    </row>
    <row r="9725">
      <c r="A9725" s="7" t="n"/>
      <c r="B9725" s="7" t="n"/>
      <c r="C9725" s="7" t="n"/>
      <c r="D9725" s="7" t="n"/>
      <c r="E9725" s="7" t="n"/>
      <c r="F9725" s="7" t="n"/>
      <c r="G9725" s="7" t="n"/>
      <c r="H9725" s="7" t="n"/>
      <c r="I9725" s="7" t="n"/>
      <c r="J9725" s="7" t="n"/>
      <c r="K9725">
        <f>IF(D9725="Legitimate Interest (GDPR Art. 6(1)(f))", "Yes / Required (Sheet 3)", "")</f>
        <v/>
      </c>
      <c r="L9725" s="7" t="n"/>
      <c r="M9725" s="7" t="n"/>
      <c r="N9725">
        <f>IF(D9725="", "Gap - No Legal Basis", IF(AND(D9725="Consent (GDPR Art. 6(1)(a))", I9725="Not Captured"), "Gap - Invalid Consent", IF(AND(D9725="Legitimate Interest (GDPR Art. 6(1)(f))", L9725=""), "Gap - Missing LIA", IF(AND(G9725="Yes", H9725=""), "Gap - Missing Art. 9 Basis", IF(OR(I9725="Invalid - Not Freely Given", I9725="Invalid - Not Specific", I9725="Invalid - Not Informed", I9725="Invalid - Ambiguous"), "Gap - Invalid Consent", "Compliant")))))</f>
        <v/>
      </c>
      <c r="O9725" s="7" t="n"/>
    </row>
    <row r="9726">
      <c r="A9726" s="7" t="n"/>
      <c r="B9726" s="7" t="n"/>
      <c r="C9726" s="7" t="n"/>
      <c r="D9726" s="7" t="n"/>
      <c r="E9726" s="7" t="n"/>
      <c r="F9726" s="7" t="n"/>
      <c r="G9726" s="7" t="n"/>
      <c r="H9726" s="7" t="n"/>
      <c r="I9726" s="7" t="n"/>
      <c r="J9726" s="7" t="n"/>
      <c r="K9726">
        <f>IF(D9726="Legitimate Interest (GDPR Art. 6(1)(f))", "Yes / Required (Sheet 3)", "")</f>
        <v/>
      </c>
      <c r="L9726" s="7" t="n"/>
      <c r="M9726" s="7" t="n"/>
      <c r="N9726">
        <f>IF(D9726="", "Gap - No Legal Basis", IF(AND(D9726="Consent (GDPR Art. 6(1)(a))", I9726="Not Captured"), "Gap - Invalid Consent", IF(AND(D9726="Legitimate Interest (GDPR Art. 6(1)(f))", L9726=""), "Gap - Missing LIA", IF(AND(G9726="Yes", H9726=""), "Gap - Missing Art. 9 Basis", IF(OR(I9726="Invalid - Not Freely Given", I9726="Invalid - Not Specific", I9726="Invalid - Not Informed", I9726="Invalid - Ambiguous"), "Gap - Invalid Consent", "Compliant")))))</f>
        <v/>
      </c>
      <c r="O9726" s="7" t="n"/>
    </row>
    <row r="9727">
      <c r="A9727" s="7" t="n"/>
      <c r="B9727" s="7" t="n"/>
      <c r="C9727" s="7" t="n"/>
      <c r="D9727" s="7" t="n"/>
      <c r="E9727" s="7" t="n"/>
      <c r="F9727" s="7" t="n"/>
      <c r="G9727" s="7" t="n"/>
      <c r="H9727" s="7" t="n"/>
      <c r="I9727" s="7" t="n"/>
      <c r="J9727" s="7" t="n"/>
      <c r="K9727">
        <f>IF(D9727="Legitimate Interest (GDPR Art. 6(1)(f))", "Yes / Required (Sheet 3)", "")</f>
        <v/>
      </c>
      <c r="L9727" s="7" t="n"/>
      <c r="M9727" s="7" t="n"/>
      <c r="N9727">
        <f>IF(D9727="", "Gap - No Legal Basis", IF(AND(D9727="Consent (GDPR Art. 6(1)(a))", I9727="Not Captured"), "Gap - Invalid Consent", IF(AND(D9727="Legitimate Interest (GDPR Art. 6(1)(f))", L9727=""), "Gap - Missing LIA", IF(AND(G9727="Yes", H9727=""), "Gap - Missing Art. 9 Basis", IF(OR(I9727="Invalid - Not Freely Given", I9727="Invalid - Not Specific", I9727="Invalid - Not Informed", I9727="Invalid - Ambiguous"), "Gap - Invalid Consent", "Compliant")))))</f>
        <v/>
      </c>
      <c r="O9727" s="7" t="n"/>
    </row>
    <row r="9728">
      <c r="A9728" s="7" t="n"/>
      <c r="B9728" s="7" t="n"/>
      <c r="C9728" s="7" t="n"/>
      <c r="D9728" s="7" t="n"/>
      <c r="E9728" s="7" t="n"/>
      <c r="F9728" s="7" t="n"/>
      <c r="G9728" s="7" t="n"/>
      <c r="H9728" s="7" t="n"/>
      <c r="I9728" s="7" t="n"/>
      <c r="J9728" s="7" t="n"/>
      <c r="K9728">
        <f>IF(D9728="Legitimate Interest (GDPR Art. 6(1)(f))", "Yes / Required (Sheet 3)", "")</f>
        <v/>
      </c>
      <c r="L9728" s="7" t="n"/>
      <c r="M9728" s="7" t="n"/>
      <c r="N9728">
        <f>IF(D9728="", "Gap - No Legal Basis", IF(AND(D9728="Consent (GDPR Art. 6(1)(a))", I9728="Not Captured"), "Gap - Invalid Consent", IF(AND(D9728="Legitimate Interest (GDPR Art. 6(1)(f))", L9728=""), "Gap - Missing LIA", IF(AND(G9728="Yes", H9728=""), "Gap - Missing Art. 9 Basis", IF(OR(I9728="Invalid - Not Freely Given", I9728="Invalid - Not Specific", I9728="Invalid - Not Informed", I9728="Invalid - Ambiguous"), "Gap - Invalid Consent", "Compliant")))))</f>
        <v/>
      </c>
      <c r="O9728" s="7" t="n"/>
    </row>
    <row r="9729">
      <c r="A9729" s="7" t="n"/>
      <c r="B9729" s="7" t="n"/>
      <c r="C9729" s="7" t="n"/>
      <c r="D9729" s="7" t="n"/>
      <c r="E9729" s="7" t="n"/>
      <c r="F9729" s="7" t="n"/>
      <c r="G9729" s="7" t="n"/>
      <c r="H9729" s="7" t="n"/>
      <c r="I9729" s="7" t="n"/>
      <c r="J9729" s="7" t="n"/>
      <c r="K9729">
        <f>IF(D9729="Legitimate Interest (GDPR Art. 6(1)(f))", "Yes / Required (Sheet 3)", "")</f>
        <v/>
      </c>
      <c r="L9729" s="7" t="n"/>
      <c r="M9729" s="7" t="n"/>
      <c r="N9729">
        <f>IF(D9729="", "Gap - No Legal Basis", IF(AND(D9729="Consent (GDPR Art. 6(1)(a))", I9729="Not Captured"), "Gap - Invalid Consent", IF(AND(D9729="Legitimate Interest (GDPR Art. 6(1)(f))", L9729=""), "Gap - Missing LIA", IF(AND(G9729="Yes", H9729=""), "Gap - Missing Art. 9 Basis", IF(OR(I9729="Invalid - Not Freely Given", I9729="Invalid - Not Specific", I9729="Invalid - Not Informed", I9729="Invalid - Ambiguous"), "Gap - Invalid Consent", "Compliant")))))</f>
        <v/>
      </c>
      <c r="O9729" s="7" t="n"/>
    </row>
    <row r="9730">
      <c r="A9730" s="7" t="n"/>
      <c r="B9730" s="7" t="n"/>
      <c r="C9730" s="7" t="n"/>
      <c r="D9730" s="7" t="n"/>
      <c r="E9730" s="7" t="n"/>
      <c r="F9730" s="7" t="n"/>
      <c r="G9730" s="7" t="n"/>
      <c r="H9730" s="7" t="n"/>
      <c r="I9730" s="7" t="n"/>
      <c r="J9730" s="7" t="n"/>
      <c r="K9730">
        <f>IF(D9730="Legitimate Interest (GDPR Art. 6(1)(f))", "Yes / Required (Sheet 3)", "")</f>
        <v/>
      </c>
      <c r="L9730" s="7" t="n"/>
      <c r="M9730" s="7" t="n"/>
      <c r="N9730">
        <f>IF(D9730="", "Gap - No Legal Basis", IF(AND(D9730="Consent (GDPR Art. 6(1)(a))", I9730="Not Captured"), "Gap - Invalid Consent", IF(AND(D9730="Legitimate Interest (GDPR Art. 6(1)(f))", L9730=""), "Gap - Missing LIA", IF(AND(G9730="Yes", H9730=""), "Gap - Missing Art. 9 Basis", IF(OR(I9730="Invalid - Not Freely Given", I9730="Invalid - Not Specific", I9730="Invalid - Not Informed", I9730="Invalid - Ambiguous"), "Gap - Invalid Consent", "Compliant")))))</f>
        <v/>
      </c>
      <c r="O9730" s="7" t="n"/>
    </row>
    <row r="9731">
      <c r="A9731" s="7" t="n"/>
      <c r="B9731" s="7" t="n"/>
      <c r="C9731" s="7" t="n"/>
      <c r="D9731" s="7" t="n"/>
      <c r="E9731" s="7" t="n"/>
      <c r="F9731" s="7" t="n"/>
      <c r="G9731" s="7" t="n"/>
      <c r="H9731" s="7" t="n"/>
      <c r="I9731" s="7" t="n"/>
      <c r="J9731" s="7" t="n"/>
      <c r="K9731">
        <f>IF(D9731="Legitimate Interest (GDPR Art. 6(1)(f))", "Yes / Required (Sheet 3)", "")</f>
        <v/>
      </c>
      <c r="L9731" s="7" t="n"/>
      <c r="M9731" s="7" t="n"/>
      <c r="N9731">
        <f>IF(D9731="", "Gap - No Legal Basis", IF(AND(D9731="Consent (GDPR Art. 6(1)(a))", I9731="Not Captured"), "Gap - Invalid Consent", IF(AND(D9731="Legitimate Interest (GDPR Art. 6(1)(f))", L9731=""), "Gap - Missing LIA", IF(AND(G9731="Yes", H9731=""), "Gap - Missing Art. 9 Basis", IF(OR(I9731="Invalid - Not Freely Given", I9731="Invalid - Not Specific", I9731="Invalid - Not Informed", I9731="Invalid - Ambiguous"), "Gap - Invalid Consent", "Compliant")))))</f>
        <v/>
      </c>
      <c r="O9731" s="7" t="n"/>
    </row>
    <row r="9732">
      <c r="A9732" s="7" t="n"/>
      <c r="B9732" s="7" t="n"/>
      <c r="C9732" s="7" t="n"/>
      <c r="D9732" s="7" t="n"/>
      <c r="E9732" s="7" t="n"/>
      <c r="F9732" s="7" t="n"/>
      <c r="G9732" s="7" t="n"/>
      <c r="H9732" s="7" t="n"/>
      <c r="I9732" s="7" t="n"/>
      <c r="J9732" s="7" t="n"/>
      <c r="K9732">
        <f>IF(D9732="Legitimate Interest (GDPR Art. 6(1)(f))", "Yes / Required (Sheet 3)", "")</f>
        <v/>
      </c>
      <c r="L9732" s="7" t="n"/>
      <c r="M9732" s="7" t="n"/>
      <c r="N9732">
        <f>IF(D9732="", "Gap - No Legal Basis", IF(AND(D9732="Consent (GDPR Art. 6(1)(a))", I9732="Not Captured"), "Gap - Invalid Consent", IF(AND(D9732="Legitimate Interest (GDPR Art. 6(1)(f))", L9732=""), "Gap - Missing LIA", IF(AND(G9732="Yes", H9732=""), "Gap - Missing Art. 9 Basis", IF(OR(I9732="Invalid - Not Freely Given", I9732="Invalid - Not Specific", I9732="Invalid - Not Informed", I9732="Invalid - Ambiguous"), "Gap - Invalid Consent", "Compliant")))))</f>
        <v/>
      </c>
      <c r="O9732" s="7" t="n"/>
    </row>
    <row r="9733">
      <c r="A9733" s="7" t="n"/>
      <c r="B9733" s="7" t="n"/>
      <c r="C9733" s="7" t="n"/>
      <c r="D9733" s="7" t="n"/>
      <c r="E9733" s="7" t="n"/>
      <c r="F9733" s="7" t="n"/>
      <c r="G9733" s="7" t="n"/>
      <c r="H9733" s="7" t="n"/>
      <c r="I9733" s="7" t="n"/>
      <c r="J9733" s="7" t="n"/>
      <c r="K9733">
        <f>IF(D9733="Legitimate Interest (GDPR Art. 6(1)(f))", "Yes / Required (Sheet 3)", "")</f>
        <v/>
      </c>
      <c r="L9733" s="7" t="n"/>
      <c r="M9733" s="7" t="n"/>
      <c r="N9733">
        <f>IF(D9733="", "Gap - No Legal Basis", IF(AND(D9733="Consent (GDPR Art. 6(1)(a))", I9733="Not Captured"), "Gap - Invalid Consent", IF(AND(D9733="Legitimate Interest (GDPR Art. 6(1)(f))", L9733=""), "Gap - Missing LIA", IF(AND(G9733="Yes", H9733=""), "Gap - Missing Art. 9 Basis", IF(OR(I9733="Invalid - Not Freely Given", I9733="Invalid - Not Specific", I9733="Invalid - Not Informed", I9733="Invalid - Ambiguous"), "Gap - Invalid Consent", "Compliant")))))</f>
        <v/>
      </c>
      <c r="O9733" s="7" t="n"/>
    </row>
    <row r="9734">
      <c r="A9734" s="7" t="n"/>
      <c r="B9734" s="7" t="n"/>
      <c r="C9734" s="7" t="n"/>
      <c r="D9734" s="7" t="n"/>
      <c r="E9734" s="7" t="n"/>
      <c r="F9734" s="7" t="n"/>
      <c r="G9734" s="7" t="n"/>
      <c r="H9734" s="7" t="n"/>
      <c r="I9734" s="7" t="n"/>
      <c r="J9734" s="7" t="n"/>
      <c r="K9734">
        <f>IF(D9734="Legitimate Interest (GDPR Art. 6(1)(f))", "Yes / Required (Sheet 3)", "")</f>
        <v/>
      </c>
      <c r="L9734" s="7" t="n"/>
      <c r="M9734" s="7" t="n"/>
      <c r="N9734">
        <f>IF(D9734="", "Gap - No Legal Basis", IF(AND(D9734="Consent (GDPR Art. 6(1)(a))", I9734="Not Captured"), "Gap - Invalid Consent", IF(AND(D9734="Legitimate Interest (GDPR Art. 6(1)(f))", L9734=""), "Gap - Missing LIA", IF(AND(G9734="Yes", H9734=""), "Gap - Missing Art. 9 Basis", IF(OR(I9734="Invalid - Not Freely Given", I9734="Invalid - Not Specific", I9734="Invalid - Not Informed", I9734="Invalid - Ambiguous"), "Gap - Invalid Consent", "Compliant")))))</f>
        <v/>
      </c>
      <c r="O9734" s="7" t="n"/>
    </row>
    <row r="9735">
      <c r="A9735" s="7" t="n"/>
      <c r="B9735" s="7" t="n"/>
      <c r="C9735" s="7" t="n"/>
      <c r="D9735" s="7" t="n"/>
      <c r="E9735" s="7" t="n"/>
      <c r="F9735" s="7" t="n"/>
      <c r="G9735" s="7" t="n"/>
      <c r="H9735" s="7" t="n"/>
      <c r="I9735" s="7" t="n"/>
      <c r="J9735" s="7" t="n"/>
      <c r="K9735">
        <f>IF(D9735="Legitimate Interest (GDPR Art. 6(1)(f))", "Yes / Required (Sheet 3)", "")</f>
        <v/>
      </c>
      <c r="L9735" s="7" t="n"/>
      <c r="M9735" s="7" t="n"/>
      <c r="N9735">
        <f>IF(D9735="", "Gap - No Legal Basis", IF(AND(D9735="Consent (GDPR Art. 6(1)(a))", I9735="Not Captured"), "Gap - Invalid Consent", IF(AND(D9735="Legitimate Interest (GDPR Art. 6(1)(f))", L9735=""), "Gap - Missing LIA", IF(AND(G9735="Yes", H9735=""), "Gap - Missing Art. 9 Basis", IF(OR(I9735="Invalid - Not Freely Given", I9735="Invalid - Not Specific", I9735="Invalid - Not Informed", I9735="Invalid - Ambiguous"), "Gap - Invalid Consent", "Compliant")))))</f>
        <v/>
      </c>
      <c r="O9735" s="7" t="n"/>
    </row>
    <row r="9736">
      <c r="A9736" s="7" t="n"/>
      <c r="B9736" s="7" t="n"/>
      <c r="C9736" s="7" t="n"/>
      <c r="D9736" s="7" t="n"/>
      <c r="E9736" s="7" t="n"/>
      <c r="F9736" s="7" t="n"/>
      <c r="G9736" s="7" t="n"/>
      <c r="H9736" s="7" t="n"/>
      <c r="I9736" s="7" t="n"/>
      <c r="J9736" s="7" t="n"/>
      <c r="K9736">
        <f>IF(D9736="Legitimate Interest (GDPR Art. 6(1)(f))", "Yes / Required (Sheet 3)", "")</f>
        <v/>
      </c>
      <c r="L9736" s="7" t="n"/>
      <c r="M9736" s="7" t="n"/>
      <c r="N9736">
        <f>IF(D9736="", "Gap - No Legal Basis", IF(AND(D9736="Consent (GDPR Art. 6(1)(a))", I9736="Not Captured"), "Gap - Invalid Consent", IF(AND(D9736="Legitimate Interest (GDPR Art. 6(1)(f))", L9736=""), "Gap - Missing LIA", IF(AND(G9736="Yes", H9736=""), "Gap - Missing Art. 9 Basis", IF(OR(I9736="Invalid - Not Freely Given", I9736="Invalid - Not Specific", I9736="Invalid - Not Informed", I9736="Invalid - Ambiguous"), "Gap - Invalid Consent", "Compliant")))))</f>
        <v/>
      </c>
      <c r="O9736" s="7" t="n"/>
    </row>
    <row r="9737">
      <c r="A9737" s="7" t="n"/>
      <c r="B9737" s="7" t="n"/>
      <c r="C9737" s="7" t="n"/>
      <c r="D9737" s="7" t="n"/>
      <c r="E9737" s="7" t="n"/>
      <c r="F9737" s="7" t="n"/>
      <c r="G9737" s="7" t="n"/>
      <c r="H9737" s="7" t="n"/>
      <c r="I9737" s="7" t="n"/>
      <c r="J9737" s="7" t="n"/>
      <c r="K9737">
        <f>IF(D9737="Legitimate Interest (GDPR Art. 6(1)(f))", "Yes / Required (Sheet 3)", "")</f>
        <v/>
      </c>
      <c r="L9737" s="7" t="n"/>
      <c r="M9737" s="7" t="n"/>
      <c r="N9737">
        <f>IF(D9737="", "Gap - No Legal Basis", IF(AND(D9737="Consent (GDPR Art. 6(1)(a))", I9737="Not Captured"), "Gap - Invalid Consent", IF(AND(D9737="Legitimate Interest (GDPR Art. 6(1)(f))", L9737=""), "Gap - Missing LIA", IF(AND(G9737="Yes", H9737=""), "Gap - Missing Art. 9 Basis", IF(OR(I9737="Invalid - Not Freely Given", I9737="Invalid - Not Specific", I9737="Invalid - Not Informed", I9737="Invalid - Ambiguous"), "Gap - Invalid Consent", "Compliant")))))</f>
        <v/>
      </c>
      <c r="O9737" s="7" t="n"/>
    </row>
    <row r="9738">
      <c r="A9738" s="7" t="n"/>
      <c r="B9738" s="7" t="n"/>
      <c r="C9738" s="7" t="n"/>
      <c r="D9738" s="7" t="n"/>
      <c r="E9738" s="7" t="n"/>
      <c r="F9738" s="7" t="n"/>
      <c r="G9738" s="7" t="n"/>
      <c r="H9738" s="7" t="n"/>
      <c r="I9738" s="7" t="n"/>
      <c r="J9738" s="7" t="n"/>
      <c r="K9738">
        <f>IF(D9738="Legitimate Interest (GDPR Art. 6(1)(f))", "Yes / Required (Sheet 3)", "")</f>
        <v/>
      </c>
      <c r="L9738" s="7" t="n"/>
      <c r="M9738" s="7" t="n"/>
      <c r="N9738">
        <f>IF(D9738="", "Gap - No Legal Basis", IF(AND(D9738="Consent (GDPR Art. 6(1)(a))", I9738="Not Captured"), "Gap - Invalid Consent", IF(AND(D9738="Legitimate Interest (GDPR Art. 6(1)(f))", L9738=""), "Gap - Missing LIA", IF(AND(G9738="Yes", H9738=""), "Gap - Missing Art. 9 Basis", IF(OR(I9738="Invalid - Not Freely Given", I9738="Invalid - Not Specific", I9738="Invalid - Not Informed", I9738="Invalid - Ambiguous"), "Gap - Invalid Consent", "Compliant")))))</f>
        <v/>
      </c>
      <c r="O9738" s="7" t="n"/>
    </row>
    <row r="9739">
      <c r="A9739" s="7" t="n"/>
      <c r="B9739" s="7" t="n"/>
      <c r="C9739" s="7" t="n"/>
      <c r="D9739" s="7" t="n"/>
      <c r="E9739" s="7" t="n"/>
      <c r="F9739" s="7" t="n"/>
      <c r="G9739" s="7" t="n"/>
      <c r="H9739" s="7" t="n"/>
      <c r="I9739" s="7" t="n"/>
      <c r="J9739" s="7" t="n"/>
      <c r="K9739">
        <f>IF(D9739="Legitimate Interest (GDPR Art. 6(1)(f))", "Yes / Required (Sheet 3)", "")</f>
        <v/>
      </c>
      <c r="L9739" s="7" t="n"/>
      <c r="M9739" s="7" t="n"/>
      <c r="N9739">
        <f>IF(D9739="", "Gap - No Legal Basis", IF(AND(D9739="Consent (GDPR Art. 6(1)(a))", I9739="Not Captured"), "Gap - Invalid Consent", IF(AND(D9739="Legitimate Interest (GDPR Art. 6(1)(f))", L9739=""), "Gap - Missing LIA", IF(AND(G9739="Yes", H9739=""), "Gap - Missing Art. 9 Basis", IF(OR(I9739="Invalid - Not Freely Given", I9739="Invalid - Not Specific", I9739="Invalid - Not Informed", I9739="Invalid - Ambiguous"), "Gap - Invalid Consent", "Compliant")))))</f>
        <v/>
      </c>
      <c r="O9739" s="7" t="n"/>
    </row>
    <row r="9740">
      <c r="A9740" s="7" t="n"/>
      <c r="B9740" s="7" t="n"/>
      <c r="C9740" s="7" t="n"/>
      <c r="D9740" s="7" t="n"/>
      <c r="E9740" s="7" t="n"/>
      <c r="F9740" s="7" t="n"/>
      <c r="G9740" s="7" t="n"/>
      <c r="H9740" s="7" t="n"/>
      <c r="I9740" s="7" t="n"/>
      <c r="J9740" s="7" t="n"/>
      <c r="K9740">
        <f>IF(D9740="Legitimate Interest (GDPR Art. 6(1)(f))", "Yes / Required (Sheet 3)", "")</f>
        <v/>
      </c>
      <c r="L9740" s="7" t="n"/>
      <c r="M9740" s="7" t="n"/>
      <c r="N9740">
        <f>IF(D9740="", "Gap - No Legal Basis", IF(AND(D9740="Consent (GDPR Art. 6(1)(a))", I9740="Not Captured"), "Gap - Invalid Consent", IF(AND(D9740="Legitimate Interest (GDPR Art. 6(1)(f))", L9740=""), "Gap - Missing LIA", IF(AND(G9740="Yes", H9740=""), "Gap - Missing Art. 9 Basis", IF(OR(I9740="Invalid - Not Freely Given", I9740="Invalid - Not Specific", I9740="Invalid - Not Informed", I9740="Invalid - Ambiguous"), "Gap - Invalid Consent", "Compliant")))))</f>
        <v/>
      </c>
      <c r="O9740" s="7" t="n"/>
    </row>
    <row r="9741">
      <c r="A9741" s="7" t="n"/>
      <c r="B9741" s="7" t="n"/>
      <c r="C9741" s="7" t="n"/>
      <c r="D9741" s="7" t="n"/>
      <c r="E9741" s="7" t="n"/>
      <c r="F9741" s="7" t="n"/>
      <c r="G9741" s="7" t="n"/>
      <c r="H9741" s="7" t="n"/>
      <c r="I9741" s="7" t="n"/>
      <c r="J9741" s="7" t="n"/>
      <c r="K9741">
        <f>IF(D9741="Legitimate Interest (GDPR Art. 6(1)(f))", "Yes / Required (Sheet 3)", "")</f>
        <v/>
      </c>
      <c r="L9741" s="7" t="n"/>
      <c r="M9741" s="7" t="n"/>
      <c r="N9741">
        <f>IF(D9741="", "Gap - No Legal Basis", IF(AND(D9741="Consent (GDPR Art. 6(1)(a))", I9741="Not Captured"), "Gap - Invalid Consent", IF(AND(D9741="Legitimate Interest (GDPR Art. 6(1)(f))", L9741=""), "Gap - Missing LIA", IF(AND(G9741="Yes", H9741=""), "Gap - Missing Art. 9 Basis", IF(OR(I9741="Invalid - Not Freely Given", I9741="Invalid - Not Specific", I9741="Invalid - Not Informed", I9741="Invalid - Ambiguous"), "Gap - Invalid Consent", "Compliant")))))</f>
        <v/>
      </c>
      <c r="O9741" s="7" t="n"/>
    </row>
    <row r="9742">
      <c r="A9742" s="7" t="n"/>
      <c r="B9742" s="7" t="n"/>
      <c r="C9742" s="7" t="n"/>
      <c r="D9742" s="7" t="n"/>
      <c r="E9742" s="7" t="n"/>
      <c r="F9742" s="7" t="n"/>
      <c r="G9742" s="7" t="n"/>
      <c r="H9742" s="7" t="n"/>
      <c r="I9742" s="7" t="n"/>
      <c r="J9742" s="7" t="n"/>
      <c r="K9742">
        <f>IF(D9742="Legitimate Interest (GDPR Art. 6(1)(f))", "Yes / Required (Sheet 3)", "")</f>
        <v/>
      </c>
      <c r="L9742" s="7" t="n"/>
      <c r="M9742" s="7" t="n"/>
      <c r="N9742">
        <f>IF(D9742="", "Gap - No Legal Basis", IF(AND(D9742="Consent (GDPR Art. 6(1)(a))", I9742="Not Captured"), "Gap - Invalid Consent", IF(AND(D9742="Legitimate Interest (GDPR Art. 6(1)(f))", L9742=""), "Gap - Missing LIA", IF(AND(G9742="Yes", H9742=""), "Gap - Missing Art. 9 Basis", IF(OR(I9742="Invalid - Not Freely Given", I9742="Invalid - Not Specific", I9742="Invalid - Not Informed", I9742="Invalid - Ambiguous"), "Gap - Invalid Consent", "Compliant")))))</f>
        <v/>
      </c>
      <c r="O9742" s="7" t="n"/>
    </row>
    <row r="9743">
      <c r="A9743" s="7" t="n"/>
      <c r="B9743" s="7" t="n"/>
      <c r="C9743" s="7" t="n"/>
      <c r="D9743" s="7" t="n"/>
      <c r="E9743" s="7" t="n"/>
      <c r="F9743" s="7" t="n"/>
      <c r="G9743" s="7" t="n"/>
      <c r="H9743" s="7" t="n"/>
      <c r="I9743" s="7" t="n"/>
      <c r="J9743" s="7" t="n"/>
      <c r="K9743">
        <f>IF(D9743="Legitimate Interest (GDPR Art. 6(1)(f))", "Yes / Required (Sheet 3)", "")</f>
        <v/>
      </c>
      <c r="L9743" s="7" t="n"/>
      <c r="M9743" s="7" t="n"/>
      <c r="N9743">
        <f>IF(D9743="", "Gap - No Legal Basis", IF(AND(D9743="Consent (GDPR Art. 6(1)(a))", I9743="Not Captured"), "Gap - Invalid Consent", IF(AND(D9743="Legitimate Interest (GDPR Art. 6(1)(f))", L9743=""), "Gap - Missing LIA", IF(AND(G9743="Yes", H9743=""), "Gap - Missing Art. 9 Basis", IF(OR(I9743="Invalid - Not Freely Given", I9743="Invalid - Not Specific", I9743="Invalid - Not Informed", I9743="Invalid - Ambiguous"), "Gap - Invalid Consent", "Compliant")))))</f>
        <v/>
      </c>
      <c r="O9743" s="7" t="n"/>
    </row>
    <row r="9744">
      <c r="A9744" s="7" t="n"/>
      <c r="B9744" s="7" t="n"/>
      <c r="C9744" s="7" t="n"/>
      <c r="D9744" s="7" t="n"/>
      <c r="E9744" s="7" t="n"/>
      <c r="F9744" s="7" t="n"/>
      <c r="G9744" s="7" t="n"/>
      <c r="H9744" s="7" t="n"/>
      <c r="I9744" s="7" t="n"/>
      <c r="J9744" s="7" t="n"/>
      <c r="K9744">
        <f>IF(D9744="Legitimate Interest (GDPR Art. 6(1)(f))", "Yes / Required (Sheet 3)", "")</f>
        <v/>
      </c>
      <c r="L9744" s="7" t="n"/>
      <c r="M9744" s="7" t="n"/>
      <c r="N9744">
        <f>IF(D9744="", "Gap - No Legal Basis", IF(AND(D9744="Consent (GDPR Art. 6(1)(a))", I9744="Not Captured"), "Gap - Invalid Consent", IF(AND(D9744="Legitimate Interest (GDPR Art. 6(1)(f))", L9744=""), "Gap - Missing LIA", IF(AND(G9744="Yes", H9744=""), "Gap - Missing Art. 9 Basis", IF(OR(I9744="Invalid - Not Freely Given", I9744="Invalid - Not Specific", I9744="Invalid - Not Informed", I9744="Invalid - Ambiguous"), "Gap - Invalid Consent", "Compliant")))))</f>
        <v/>
      </c>
      <c r="O9744" s="7" t="n"/>
    </row>
    <row r="9745">
      <c r="A9745" s="7" t="n"/>
      <c r="B9745" s="7" t="n"/>
      <c r="C9745" s="7" t="n"/>
      <c r="D9745" s="7" t="n"/>
      <c r="E9745" s="7" t="n"/>
      <c r="F9745" s="7" t="n"/>
      <c r="G9745" s="7" t="n"/>
      <c r="H9745" s="7" t="n"/>
      <c r="I9745" s="7" t="n"/>
      <c r="J9745" s="7" t="n"/>
      <c r="K9745">
        <f>IF(D9745="Legitimate Interest (GDPR Art. 6(1)(f))", "Yes / Required (Sheet 3)", "")</f>
        <v/>
      </c>
      <c r="L9745" s="7" t="n"/>
      <c r="M9745" s="7" t="n"/>
      <c r="N9745">
        <f>IF(D9745="", "Gap - No Legal Basis", IF(AND(D9745="Consent (GDPR Art. 6(1)(a))", I9745="Not Captured"), "Gap - Invalid Consent", IF(AND(D9745="Legitimate Interest (GDPR Art. 6(1)(f))", L9745=""), "Gap - Missing LIA", IF(AND(G9745="Yes", H9745=""), "Gap - Missing Art. 9 Basis", IF(OR(I9745="Invalid - Not Freely Given", I9745="Invalid - Not Specific", I9745="Invalid - Not Informed", I9745="Invalid - Ambiguous"), "Gap - Invalid Consent", "Compliant")))))</f>
        <v/>
      </c>
      <c r="O9745" s="7" t="n"/>
    </row>
    <row r="9746">
      <c r="A9746" s="7" t="n"/>
      <c r="B9746" s="7" t="n"/>
      <c r="C9746" s="7" t="n"/>
      <c r="D9746" s="7" t="n"/>
      <c r="E9746" s="7" t="n"/>
      <c r="F9746" s="7" t="n"/>
      <c r="G9746" s="7" t="n"/>
      <c r="H9746" s="7" t="n"/>
      <c r="I9746" s="7" t="n"/>
      <c r="J9746" s="7" t="n"/>
      <c r="K9746">
        <f>IF(D9746="Legitimate Interest (GDPR Art. 6(1)(f))", "Yes / Required (Sheet 3)", "")</f>
        <v/>
      </c>
      <c r="L9746" s="7" t="n"/>
      <c r="M9746" s="7" t="n"/>
      <c r="N9746">
        <f>IF(D9746="", "Gap - No Legal Basis", IF(AND(D9746="Consent (GDPR Art. 6(1)(a))", I9746="Not Captured"), "Gap - Invalid Consent", IF(AND(D9746="Legitimate Interest (GDPR Art. 6(1)(f))", L9746=""), "Gap - Missing LIA", IF(AND(G9746="Yes", H9746=""), "Gap - Missing Art. 9 Basis", IF(OR(I9746="Invalid - Not Freely Given", I9746="Invalid - Not Specific", I9746="Invalid - Not Informed", I9746="Invalid - Ambiguous"), "Gap - Invalid Consent", "Compliant")))))</f>
        <v/>
      </c>
      <c r="O9746" s="7" t="n"/>
    </row>
    <row r="9747">
      <c r="A9747" s="7" t="n"/>
      <c r="B9747" s="7" t="n"/>
      <c r="C9747" s="7" t="n"/>
      <c r="D9747" s="7" t="n"/>
      <c r="E9747" s="7" t="n"/>
      <c r="F9747" s="7" t="n"/>
      <c r="G9747" s="7" t="n"/>
      <c r="H9747" s="7" t="n"/>
      <c r="I9747" s="7" t="n"/>
      <c r="J9747" s="7" t="n"/>
      <c r="K9747">
        <f>IF(D9747="Legitimate Interest (GDPR Art. 6(1)(f))", "Yes / Required (Sheet 3)", "")</f>
        <v/>
      </c>
      <c r="L9747" s="7" t="n"/>
      <c r="M9747" s="7" t="n"/>
      <c r="N9747">
        <f>IF(D9747="", "Gap - No Legal Basis", IF(AND(D9747="Consent (GDPR Art. 6(1)(a))", I9747="Not Captured"), "Gap - Invalid Consent", IF(AND(D9747="Legitimate Interest (GDPR Art. 6(1)(f))", L9747=""), "Gap - Missing LIA", IF(AND(G9747="Yes", H9747=""), "Gap - Missing Art. 9 Basis", IF(OR(I9747="Invalid - Not Freely Given", I9747="Invalid - Not Specific", I9747="Invalid - Not Informed", I9747="Invalid - Ambiguous"), "Gap - Invalid Consent", "Compliant")))))</f>
        <v/>
      </c>
      <c r="O9747" s="7" t="n"/>
    </row>
    <row r="9748">
      <c r="A9748" s="7" t="n"/>
      <c r="B9748" s="7" t="n"/>
      <c r="C9748" s="7" t="n"/>
      <c r="D9748" s="7" t="n"/>
      <c r="E9748" s="7" t="n"/>
      <c r="F9748" s="7" t="n"/>
      <c r="G9748" s="7" t="n"/>
      <c r="H9748" s="7" t="n"/>
      <c r="I9748" s="7" t="n"/>
      <c r="J9748" s="7" t="n"/>
      <c r="K9748">
        <f>IF(D9748="Legitimate Interest (GDPR Art. 6(1)(f))", "Yes / Required (Sheet 3)", "")</f>
        <v/>
      </c>
      <c r="L9748" s="7" t="n"/>
      <c r="M9748" s="7" t="n"/>
      <c r="N9748">
        <f>IF(D9748="", "Gap - No Legal Basis", IF(AND(D9748="Consent (GDPR Art. 6(1)(a))", I9748="Not Captured"), "Gap - Invalid Consent", IF(AND(D9748="Legitimate Interest (GDPR Art. 6(1)(f))", L9748=""), "Gap - Missing LIA", IF(AND(G9748="Yes", H9748=""), "Gap - Missing Art. 9 Basis", IF(OR(I9748="Invalid - Not Freely Given", I9748="Invalid - Not Specific", I9748="Invalid - Not Informed", I9748="Invalid - Ambiguous"), "Gap - Invalid Consent", "Compliant")))))</f>
        <v/>
      </c>
      <c r="O9748" s="7" t="n"/>
    </row>
    <row r="9749">
      <c r="A9749" s="7" t="n"/>
      <c r="B9749" s="7" t="n"/>
      <c r="C9749" s="7" t="n"/>
      <c r="D9749" s="7" t="n"/>
      <c r="E9749" s="7" t="n"/>
      <c r="F9749" s="7" t="n"/>
      <c r="G9749" s="7" t="n"/>
      <c r="H9749" s="7" t="n"/>
      <c r="I9749" s="7" t="n"/>
      <c r="J9749" s="7" t="n"/>
      <c r="K9749">
        <f>IF(D9749="Legitimate Interest (GDPR Art. 6(1)(f))", "Yes / Required (Sheet 3)", "")</f>
        <v/>
      </c>
      <c r="L9749" s="7" t="n"/>
      <c r="M9749" s="7" t="n"/>
      <c r="N9749">
        <f>IF(D9749="", "Gap - No Legal Basis", IF(AND(D9749="Consent (GDPR Art. 6(1)(a))", I9749="Not Captured"), "Gap - Invalid Consent", IF(AND(D9749="Legitimate Interest (GDPR Art. 6(1)(f))", L9749=""), "Gap - Missing LIA", IF(AND(G9749="Yes", H9749=""), "Gap - Missing Art. 9 Basis", IF(OR(I9749="Invalid - Not Freely Given", I9749="Invalid - Not Specific", I9749="Invalid - Not Informed", I9749="Invalid - Ambiguous"), "Gap - Invalid Consent", "Compliant")))))</f>
        <v/>
      </c>
      <c r="O9749" s="7" t="n"/>
    </row>
    <row r="9750">
      <c r="A9750" s="7" t="n"/>
      <c r="B9750" s="7" t="n"/>
      <c r="C9750" s="7" t="n"/>
      <c r="D9750" s="7" t="n"/>
      <c r="E9750" s="7" t="n"/>
      <c r="F9750" s="7" t="n"/>
      <c r="G9750" s="7" t="n"/>
      <c r="H9750" s="7" t="n"/>
      <c r="I9750" s="7" t="n"/>
      <c r="J9750" s="7" t="n"/>
      <c r="K9750">
        <f>IF(D9750="Legitimate Interest (GDPR Art. 6(1)(f))", "Yes / Required (Sheet 3)", "")</f>
        <v/>
      </c>
      <c r="L9750" s="7" t="n"/>
      <c r="M9750" s="7" t="n"/>
      <c r="N9750">
        <f>IF(D9750="", "Gap - No Legal Basis", IF(AND(D9750="Consent (GDPR Art. 6(1)(a))", I9750="Not Captured"), "Gap - Invalid Consent", IF(AND(D9750="Legitimate Interest (GDPR Art. 6(1)(f))", L9750=""), "Gap - Missing LIA", IF(AND(G9750="Yes", H9750=""), "Gap - Missing Art. 9 Basis", IF(OR(I9750="Invalid - Not Freely Given", I9750="Invalid - Not Specific", I9750="Invalid - Not Informed", I9750="Invalid - Ambiguous"), "Gap - Invalid Consent", "Compliant")))))</f>
        <v/>
      </c>
      <c r="O9750" s="7" t="n"/>
    </row>
    <row r="9751">
      <c r="A9751" s="7" t="n"/>
      <c r="B9751" s="7" t="n"/>
      <c r="C9751" s="7" t="n"/>
      <c r="D9751" s="7" t="n"/>
      <c r="E9751" s="7" t="n"/>
      <c r="F9751" s="7" t="n"/>
      <c r="G9751" s="7" t="n"/>
      <c r="H9751" s="7" t="n"/>
      <c r="I9751" s="7" t="n"/>
      <c r="J9751" s="7" t="n"/>
      <c r="K9751">
        <f>IF(D9751="Legitimate Interest (GDPR Art. 6(1)(f))", "Yes / Required (Sheet 3)", "")</f>
        <v/>
      </c>
      <c r="L9751" s="7" t="n"/>
      <c r="M9751" s="7" t="n"/>
      <c r="N9751">
        <f>IF(D9751="", "Gap - No Legal Basis", IF(AND(D9751="Consent (GDPR Art. 6(1)(a))", I9751="Not Captured"), "Gap - Invalid Consent", IF(AND(D9751="Legitimate Interest (GDPR Art. 6(1)(f))", L9751=""), "Gap - Missing LIA", IF(AND(G9751="Yes", H9751=""), "Gap - Missing Art. 9 Basis", IF(OR(I9751="Invalid - Not Freely Given", I9751="Invalid - Not Specific", I9751="Invalid - Not Informed", I9751="Invalid - Ambiguous"), "Gap - Invalid Consent", "Compliant")))))</f>
        <v/>
      </c>
      <c r="O9751" s="7" t="n"/>
    </row>
    <row r="9752">
      <c r="A9752" s="7" t="n"/>
      <c r="B9752" s="7" t="n"/>
      <c r="C9752" s="7" t="n"/>
      <c r="D9752" s="7" t="n"/>
      <c r="E9752" s="7" t="n"/>
      <c r="F9752" s="7" t="n"/>
      <c r="G9752" s="7" t="n"/>
      <c r="H9752" s="7" t="n"/>
      <c r="I9752" s="7" t="n"/>
      <c r="J9752" s="7" t="n"/>
      <c r="K9752">
        <f>IF(D9752="Legitimate Interest (GDPR Art. 6(1)(f))", "Yes / Required (Sheet 3)", "")</f>
        <v/>
      </c>
      <c r="L9752" s="7" t="n"/>
      <c r="M9752" s="7" t="n"/>
      <c r="N9752">
        <f>IF(D9752="", "Gap - No Legal Basis", IF(AND(D9752="Consent (GDPR Art. 6(1)(a))", I9752="Not Captured"), "Gap - Invalid Consent", IF(AND(D9752="Legitimate Interest (GDPR Art. 6(1)(f))", L9752=""), "Gap - Missing LIA", IF(AND(G9752="Yes", H9752=""), "Gap - Missing Art. 9 Basis", IF(OR(I9752="Invalid - Not Freely Given", I9752="Invalid - Not Specific", I9752="Invalid - Not Informed", I9752="Invalid - Ambiguous"), "Gap - Invalid Consent", "Compliant")))))</f>
        <v/>
      </c>
      <c r="O9752" s="7" t="n"/>
    </row>
    <row r="9753">
      <c r="A9753" s="7" t="n"/>
      <c r="B9753" s="7" t="n"/>
      <c r="C9753" s="7" t="n"/>
      <c r="D9753" s="7" t="n"/>
      <c r="E9753" s="7" t="n"/>
      <c r="F9753" s="7" t="n"/>
      <c r="G9753" s="7" t="n"/>
      <c r="H9753" s="7" t="n"/>
      <c r="I9753" s="7" t="n"/>
      <c r="J9753" s="7" t="n"/>
      <c r="K9753">
        <f>IF(D9753="Legitimate Interest (GDPR Art. 6(1)(f))", "Yes / Required (Sheet 3)", "")</f>
        <v/>
      </c>
      <c r="L9753" s="7" t="n"/>
      <c r="M9753" s="7" t="n"/>
      <c r="N9753">
        <f>IF(D9753="", "Gap - No Legal Basis", IF(AND(D9753="Consent (GDPR Art. 6(1)(a))", I9753="Not Captured"), "Gap - Invalid Consent", IF(AND(D9753="Legitimate Interest (GDPR Art. 6(1)(f))", L9753=""), "Gap - Missing LIA", IF(AND(G9753="Yes", H9753=""), "Gap - Missing Art. 9 Basis", IF(OR(I9753="Invalid - Not Freely Given", I9753="Invalid - Not Specific", I9753="Invalid - Not Informed", I9753="Invalid - Ambiguous"), "Gap - Invalid Consent", "Compliant")))))</f>
        <v/>
      </c>
      <c r="O9753" s="7" t="n"/>
    </row>
    <row r="9754">
      <c r="A9754" s="7" t="n"/>
      <c r="B9754" s="7" t="n"/>
      <c r="C9754" s="7" t="n"/>
      <c r="D9754" s="7" t="n"/>
      <c r="E9754" s="7" t="n"/>
      <c r="F9754" s="7" t="n"/>
      <c r="G9754" s="7" t="n"/>
      <c r="H9754" s="7" t="n"/>
      <c r="I9754" s="7" t="n"/>
      <c r="J9754" s="7" t="n"/>
      <c r="K9754">
        <f>IF(D9754="Legitimate Interest (GDPR Art. 6(1)(f))", "Yes / Required (Sheet 3)", "")</f>
        <v/>
      </c>
      <c r="L9754" s="7" t="n"/>
      <c r="M9754" s="7" t="n"/>
      <c r="N9754">
        <f>IF(D9754="", "Gap - No Legal Basis", IF(AND(D9754="Consent (GDPR Art. 6(1)(a))", I9754="Not Captured"), "Gap - Invalid Consent", IF(AND(D9754="Legitimate Interest (GDPR Art. 6(1)(f))", L9754=""), "Gap - Missing LIA", IF(AND(G9754="Yes", H9754=""), "Gap - Missing Art. 9 Basis", IF(OR(I9754="Invalid - Not Freely Given", I9754="Invalid - Not Specific", I9754="Invalid - Not Informed", I9754="Invalid - Ambiguous"), "Gap - Invalid Consent", "Compliant")))))</f>
        <v/>
      </c>
      <c r="O9754" s="7" t="n"/>
    </row>
    <row r="9755">
      <c r="A9755" s="7" t="n"/>
      <c r="B9755" s="7" t="n"/>
      <c r="C9755" s="7" t="n"/>
      <c r="D9755" s="7" t="n"/>
      <c r="E9755" s="7" t="n"/>
      <c r="F9755" s="7" t="n"/>
      <c r="G9755" s="7" t="n"/>
      <c r="H9755" s="7" t="n"/>
      <c r="I9755" s="7" t="n"/>
      <c r="J9755" s="7" t="n"/>
      <c r="K9755">
        <f>IF(D9755="Legitimate Interest (GDPR Art. 6(1)(f))", "Yes / Required (Sheet 3)", "")</f>
        <v/>
      </c>
      <c r="L9755" s="7" t="n"/>
      <c r="M9755" s="7" t="n"/>
      <c r="N9755">
        <f>IF(D9755="", "Gap - No Legal Basis", IF(AND(D9755="Consent (GDPR Art. 6(1)(a))", I9755="Not Captured"), "Gap - Invalid Consent", IF(AND(D9755="Legitimate Interest (GDPR Art. 6(1)(f))", L9755=""), "Gap - Missing LIA", IF(AND(G9755="Yes", H9755=""), "Gap - Missing Art. 9 Basis", IF(OR(I9755="Invalid - Not Freely Given", I9755="Invalid - Not Specific", I9755="Invalid - Not Informed", I9755="Invalid - Ambiguous"), "Gap - Invalid Consent", "Compliant")))))</f>
        <v/>
      </c>
      <c r="O9755" s="7" t="n"/>
    </row>
    <row r="9756">
      <c r="A9756" s="7" t="n"/>
      <c r="B9756" s="7" t="n"/>
      <c r="C9756" s="7" t="n"/>
      <c r="D9756" s="7" t="n"/>
      <c r="E9756" s="7" t="n"/>
      <c r="F9756" s="7" t="n"/>
      <c r="G9756" s="7" t="n"/>
      <c r="H9756" s="7" t="n"/>
      <c r="I9756" s="7" t="n"/>
      <c r="J9756" s="7" t="n"/>
      <c r="K9756">
        <f>IF(D9756="Legitimate Interest (GDPR Art. 6(1)(f))", "Yes / Required (Sheet 3)", "")</f>
        <v/>
      </c>
      <c r="L9756" s="7" t="n"/>
      <c r="M9756" s="7" t="n"/>
      <c r="N9756">
        <f>IF(D9756="", "Gap - No Legal Basis", IF(AND(D9756="Consent (GDPR Art. 6(1)(a))", I9756="Not Captured"), "Gap - Invalid Consent", IF(AND(D9756="Legitimate Interest (GDPR Art. 6(1)(f))", L9756=""), "Gap - Missing LIA", IF(AND(G9756="Yes", H9756=""), "Gap - Missing Art. 9 Basis", IF(OR(I9756="Invalid - Not Freely Given", I9756="Invalid - Not Specific", I9756="Invalid - Not Informed", I9756="Invalid - Ambiguous"), "Gap - Invalid Consent", "Compliant")))))</f>
        <v/>
      </c>
      <c r="O9756" s="7" t="n"/>
    </row>
    <row r="9757">
      <c r="A9757" s="7" t="n"/>
      <c r="B9757" s="7" t="n"/>
      <c r="C9757" s="7" t="n"/>
      <c r="D9757" s="7" t="n"/>
      <c r="E9757" s="7" t="n"/>
      <c r="F9757" s="7" t="n"/>
      <c r="G9757" s="7" t="n"/>
      <c r="H9757" s="7" t="n"/>
      <c r="I9757" s="7" t="n"/>
      <c r="J9757" s="7" t="n"/>
      <c r="K9757">
        <f>IF(D9757="Legitimate Interest (GDPR Art. 6(1)(f))", "Yes / Required (Sheet 3)", "")</f>
        <v/>
      </c>
      <c r="L9757" s="7" t="n"/>
      <c r="M9757" s="7" t="n"/>
      <c r="N9757">
        <f>IF(D9757="", "Gap - No Legal Basis", IF(AND(D9757="Consent (GDPR Art. 6(1)(a))", I9757="Not Captured"), "Gap - Invalid Consent", IF(AND(D9757="Legitimate Interest (GDPR Art. 6(1)(f))", L9757=""), "Gap - Missing LIA", IF(AND(G9757="Yes", H9757=""), "Gap - Missing Art. 9 Basis", IF(OR(I9757="Invalid - Not Freely Given", I9757="Invalid - Not Specific", I9757="Invalid - Not Informed", I9757="Invalid - Ambiguous"), "Gap - Invalid Consent", "Compliant")))))</f>
        <v/>
      </c>
      <c r="O9757" s="7" t="n"/>
    </row>
    <row r="9758">
      <c r="A9758" s="7" t="n"/>
      <c r="B9758" s="7" t="n"/>
      <c r="C9758" s="7" t="n"/>
      <c r="D9758" s="7" t="n"/>
      <c r="E9758" s="7" t="n"/>
      <c r="F9758" s="7" t="n"/>
      <c r="G9758" s="7" t="n"/>
      <c r="H9758" s="7" t="n"/>
      <c r="I9758" s="7" t="n"/>
      <c r="J9758" s="7" t="n"/>
      <c r="K9758">
        <f>IF(D9758="Legitimate Interest (GDPR Art. 6(1)(f))", "Yes / Required (Sheet 3)", "")</f>
        <v/>
      </c>
      <c r="L9758" s="7" t="n"/>
      <c r="M9758" s="7" t="n"/>
      <c r="N9758">
        <f>IF(D9758="", "Gap - No Legal Basis", IF(AND(D9758="Consent (GDPR Art. 6(1)(a))", I9758="Not Captured"), "Gap - Invalid Consent", IF(AND(D9758="Legitimate Interest (GDPR Art. 6(1)(f))", L9758=""), "Gap - Missing LIA", IF(AND(G9758="Yes", H9758=""), "Gap - Missing Art. 9 Basis", IF(OR(I9758="Invalid - Not Freely Given", I9758="Invalid - Not Specific", I9758="Invalid - Not Informed", I9758="Invalid - Ambiguous"), "Gap - Invalid Consent", "Compliant")))))</f>
        <v/>
      </c>
      <c r="O9758" s="7" t="n"/>
    </row>
    <row r="9759">
      <c r="A9759" s="7" t="n"/>
      <c r="B9759" s="7" t="n"/>
      <c r="C9759" s="7" t="n"/>
      <c r="D9759" s="7" t="n"/>
      <c r="E9759" s="7" t="n"/>
      <c r="F9759" s="7" t="n"/>
      <c r="G9759" s="7" t="n"/>
      <c r="H9759" s="7" t="n"/>
      <c r="I9759" s="7" t="n"/>
      <c r="J9759" s="7" t="n"/>
      <c r="K9759">
        <f>IF(D9759="Legitimate Interest (GDPR Art. 6(1)(f))", "Yes / Required (Sheet 3)", "")</f>
        <v/>
      </c>
      <c r="L9759" s="7" t="n"/>
      <c r="M9759" s="7" t="n"/>
      <c r="N9759">
        <f>IF(D9759="", "Gap - No Legal Basis", IF(AND(D9759="Consent (GDPR Art. 6(1)(a))", I9759="Not Captured"), "Gap - Invalid Consent", IF(AND(D9759="Legitimate Interest (GDPR Art. 6(1)(f))", L9759=""), "Gap - Missing LIA", IF(AND(G9759="Yes", H9759=""), "Gap - Missing Art. 9 Basis", IF(OR(I9759="Invalid - Not Freely Given", I9759="Invalid - Not Specific", I9759="Invalid - Not Informed", I9759="Invalid - Ambiguous"), "Gap - Invalid Consent", "Compliant")))))</f>
        <v/>
      </c>
      <c r="O9759" s="7" t="n"/>
    </row>
    <row r="9760">
      <c r="A9760" s="7" t="n"/>
      <c r="B9760" s="7" t="n"/>
      <c r="C9760" s="7" t="n"/>
      <c r="D9760" s="7" t="n"/>
      <c r="E9760" s="7" t="n"/>
      <c r="F9760" s="7" t="n"/>
      <c r="G9760" s="7" t="n"/>
      <c r="H9760" s="7" t="n"/>
      <c r="I9760" s="7" t="n"/>
      <c r="J9760" s="7" t="n"/>
      <c r="K9760">
        <f>IF(D9760="Legitimate Interest (GDPR Art. 6(1)(f))", "Yes / Required (Sheet 3)", "")</f>
        <v/>
      </c>
      <c r="L9760" s="7" t="n"/>
      <c r="M9760" s="7" t="n"/>
      <c r="N9760">
        <f>IF(D9760="", "Gap - No Legal Basis", IF(AND(D9760="Consent (GDPR Art. 6(1)(a))", I9760="Not Captured"), "Gap - Invalid Consent", IF(AND(D9760="Legitimate Interest (GDPR Art. 6(1)(f))", L9760=""), "Gap - Missing LIA", IF(AND(G9760="Yes", H9760=""), "Gap - Missing Art. 9 Basis", IF(OR(I9760="Invalid - Not Freely Given", I9760="Invalid - Not Specific", I9760="Invalid - Not Informed", I9760="Invalid - Ambiguous"), "Gap - Invalid Consent", "Compliant")))))</f>
        <v/>
      </c>
      <c r="O9760" s="7" t="n"/>
    </row>
    <row r="9761">
      <c r="A9761" s="7" t="n"/>
      <c r="B9761" s="7" t="n"/>
      <c r="C9761" s="7" t="n"/>
      <c r="D9761" s="7" t="n"/>
      <c r="E9761" s="7" t="n"/>
      <c r="F9761" s="7" t="n"/>
      <c r="G9761" s="7" t="n"/>
      <c r="H9761" s="7" t="n"/>
      <c r="I9761" s="7" t="n"/>
      <c r="J9761" s="7" t="n"/>
      <c r="K9761">
        <f>IF(D9761="Legitimate Interest (GDPR Art. 6(1)(f))", "Yes / Required (Sheet 3)", "")</f>
        <v/>
      </c>
      <c r="L9761" s="7" t="n"/>
      <c r="M9761" s="7" t="n"/>
      <c r="N9761">
        <f>IF(D9761="", "Gap - No Legal Basis", IF(AND(D9761="Consent (GDPR Art. 6(1)(a))", I9761="Not Captured"), "Gap - Invalid Consent", IF(AND(D9761="Legitimate Interest (GDPR Art. 6(1)(f))", L9761=""), "Gap - Missing LIA", IF(AND(G9761="Yes", H9761=""), "Gap - Missing Art. 9 Basis", IF(OR(I9761="Invalid - Not Freely Given", I9761="Invalid - Not Specific", I9761="Invalid - Not Informed", I9761="Invalid - Ambiguous"), "Gap - Invalid Consent", "Compliant")))))</f>
        <v/>
      </c>
      <c r="O9761" s="7" t="n"/>
    </row>
    <row r="9762">
      <c r="A9762" s="7" t="n"/>
      <c r="B9762" s="7" t="n"/>
      <c r="C9762" s="7" t="n"/>
      <c r="D9762" s="7" t="n"/>
      <c r="E9762" s="7" t="n"/>
      <c r="F9762" s="7" t="n"/>
      <c r="G9762" s="7" t="n"/>
      <c r="H9762" s="7" t="n"/>
      <c r="I9762" s="7" t="n"/>
      <c r="J9762" s="7" t="n"/>
      <c r="K9762">
        <f>IF(D9762="Legitimate Interest (GDPR Art. 6(1)(f))", "Yes / Required (Sheet 3)", "")</f>
        <v/>
      </c>
      <c r="L9762" s="7" t="n"/>
      <c r="M9762" s="7" t="n"/>
      <c r="N9762">
        <f>IF(D9762="", "Gap - No Legal Basis", IF(AND(D9762="Consent (GDPR Art. 6(1)(a))", I9762="Not Captured"), "Gap - Invalid Consent", IF(AND(D9762="Legitimate Interest (GDPR Art. 6(1)(f))", L9762=""), "Gap - Missing LIA", IF(AND(G9762="Yes", H9762=""), "Gap - Missing Art. 9 Basis", IF(OR(I9762="Invalid - Not Freely Given", I9762="Invalid - Not Specific", I9762="Invalid - Not Informed", I9762="Invalid - Ambiguous"), "Gap - Invalid Consent", "Compliant")))))</f>
        <v/>
      </c>
      <c r="O9762" s="7" t="n"/>
    </row>
    <row r="9763">
      <c r="A9763" s="7" t="n"/>
      <c r="B9763" s="7" t="n"/>
      <c r="C9763" s="7" t="n"/>
      <c r="D9763" s="7" t="n"/>
      <c r="E9763" s="7" t="n"/>
      <c r="F9763" s="7" t="n"/>
      <c r="G9763" s="7" t="n"/>
      <c r="H9763" s="7" t="n"/>
      <c r="I9763" s="7" t="n"/>
      <c r="J9763" s="7" t="n"/>
      <c r="K9763">
        <f>IF(D9763="Legitimate Interest (GDPR Art. 6(1)(f))", "Yes / Required (Sheet 3)", "")</f>
        <v/>
      </c>
      <c r="L9763" s="7" t="n"/>
      <c r="M9763" s="7" t="n"/>
      <c r="N9763">
        <f>IF(D9763="", "Gap - No Legal Basis", IF(AND(D9763="Consent (GDPR Art. 6(1)(a))", I9763="Not Captured"), "Gap - Invalid Consent", IF(AND(D9763="Legitimate Interest (GDPR Art. 6(1)(f))", L9763=""), "Gap - Missing LIA", IF(AND(G9763="Yes", H9763=""), "Gap - Missing Art. 9 Basis", IF(OR(I9763="Invalid - Not Freely Given", I9763="Invalid - Not Specific", I9763="Invalid - Not Informed", I9763="Invalid - Ambiguous"), "Gap - Invalid Consent", "Compliant")))))</f>
        <v/>
      </c>
      <c r="O9763" s="7" t="n"/>
    </row>
    <row r="9764">
      <c r="A9764" s="7" t="n"/>
      <c r="B9764" s="7" t="n"/>
      <c r="C9764" s="7" t="n"/>
      <c r="D9764" s="7" t="n"/>
      <c r="E9764" s="7" t="n"/>
      <c r="F9764" s="7" t="n"/>
      <c r="G9764" s="7" t="n"/>
      <c r="H9764" s="7" t="n"/>
      <c r="I9764" s="7" t="n"/>
      <c r="J9764" s="7" t="n"/>
      <c r="K9764">
        <f>IF(D9764="Legitimate Interest (GDPR Art. 6(1)(f))", "Yes / Required (Sheet 3)", "")</f>
        <v/>
      </c>
      <c r="L9764" s="7" t="n"/>
      <c r="M9764" s="7" t="n"/>
      <c r="N9764">
        <f>IF(D9764="", "Gap - No Legal Basis", IF(AND(D9764="Consent (GDPR Art. 6(1)(a))", I9764="Not Captured"), "Gap - Invalid Consent", IF(AND(D9764="Legitimate Interest (GDPR Art. 6(1)(f))", L9764=""), "Gap - Missing LIA", IF(AND(G9764="Yes", H9764=""), "Gap - Missing Art. 9 Basis", IF(OR(I9764="Invalid - Not Freely Given", I9764="Invalid - Not Specific", I9764="Invalid - Not Informed", I9764="Invalid - Ambiguous"), "Gap - Invalid Consent", "Compliant")))))</f>
        <v/>
      </c>
      <c r="O9764" s="7" t="n"/>
    </row>
    <row r="9765">
      <c r="A9765" s="7" t="n"/>
      <c r="B9765" s="7" t="n"/>
      <c r="C9765" s="7" t="n"/>
      <c r="D9765" s="7" t="n"/>
      <c r="E9765" s="7" t="n"/>
      <c r="F9765" s="7" t="n"/>
      <c r="G9765" s="7" t="n"/>
      <c r="H9765" s="7" t="n"/>
      <c r="I9765" s="7" t="n"/>
      <c r="J9765" s="7" t="n"/>
      <c r="K9765">
        <f>IF(D9765="Legitimate Interest (GDPR Art. 6(1)(f))", "Yes / Required (Sheet 3)", "")</f>
        <v/>
      </c>
      <c r="L9765" s="7" t="n"/>
      <c r="M9765" s="7" t="n"/>
      <c r="N9765">
        <f>IF(D9765="", "Gap - No Legal Basis", IF(AND(D9765="Consent (GDPR Art. 6(1)(a))", I9765="Not Captured"), "Gap - Invalid Consent", IF(AND(D9765="Legitimate Interest (GDPR Art. 6(1)(f))", L9765=""), "Gap - Missing LIA", IF(AND(G9765="Yes", H9765=""), "Gap - Missing Art. 9 Basis", IF(OR(I9765="Invalid - Not Freely Given", I9765="Invalid - Not Specific", I9765="Invalid - Not Informed", I9765="Invalid - Ambiguous"), "Gap - Invalid Consent", "Compliant")))))</f>
        <v/>
      </c>
      <c r="O9765" s="7" t="n"/>
    </row>
    <row r="9766">
      <c r="A9766" s="7" t="n"/>
      <c r="B9766" s="7" t="n"/>
      <c r="C9766" s="7" t="n"/>
      <c r="D9766" s="7" t="n"/>
      <c r="E9766" s="7" t="n"/>
      <c r="F9766" s="7" t="n"/>
      <c r="G9766" s="7" t="n"/>
      <c r="H9766" s="7" t="n"/>
      <c r="I9766" s="7" t="n"/>
      <c r="J9766" s="7" t="n"/>
      <c r="K9766">
        <f>IF(D9766="Legitimate Interest (GDPR Art. 6(1)(f))", "Yes / Required (Sheet 3)", "")</f>
        <v/>
      </c>
      <c r="L9766" s="7" t="n"/>
      <c r="M9766" s="7" t="n"/>
      <c r="N9766">
        <f>IF(D9766="", "Gap - No Legal Basis", IF(AND(D9766="Consent (GDPR Art. 6(1)(a))", I9766="Not Captured"), "Gap - Invalid Consent", IF(AND(D9766="Legitimate Interest (GDPR Art. 6(1)(f))", L9766=""), "Gap - Missing LIA", IF(AND(G9766="Yes", H9766=""), "Gap - Missing Art. 9 Basis", IF(OR(I9766="Invalid - Not Freely Given", I9766="Invalid - Not Specific", I9766="Invalid - Not Informed", I9766="Invalid - Ambiguous"), "Gap - Invalid Consent", "Compliant")))))</f>
        <v/>
      </c>
      <c r="O9766" s="7" t="n"/>
    </row>
    <row r="9767">
      <c r="A9767" s="7" t="n"/>
      <c r="B9767" s="7" t="n"/>
      <c r="C9767" s="7" t="n"/>
      <c r="D9767" s="7" t="n"/>
      <c r="E9767" s="7" t="n"/>
      <c r="F9767" s="7" t="n"/>
      <c r="G9767" s="7" t="n"/>
      <c r="H9767" s="7" t="n"/>
      <c r="I9767" s="7" t="n"/>
      <c r="J9767" s="7" t="n"/>
      <c r="K9767">
        <f>IF(D9767="Legitimate Interest (GDPR Art. 6(1)(f))", "Yes / Required (Sheet 3)", "")</f>
        <v/>
      </c>
      <c r="L9767" s="7" t="n"/>
      <c r="M9767" s="7" t="n"/>
      <c r="N9767">
        <f>IF(D9767="", "Gap - No Legal Basis", IF(AND(D9767="Consent (GDPR Art. 6(1)(a))", I9767="Not Captured"), "Gap - Invalid Consent", IF(AND(D9767="Legitimate Interest (GDPR Art. 6(1)(f))", L9767=""), "Gap - Missing LIA", IF(AND(G9767="Yes", H9767=""), "Gap - Missing Art. 9 Basis", IF(OR(I9767="Invalid - Not Freely Given", I9767="Invalid - Not Specific", I9767="Invalid - Not Informed", I9767="Invalid - Ambiguous"), "Gap - Invalid Consent", "Compliant")))))</f>
        <v/>
      </c>
      <c r="O9767" s="7" t="n"/>
    </row>
    <row r="9768">
      <c r="A9768" s="7" t="n"/>
      <c r="B9768" s="7" t="n"/>
      <c r="C9768" s="7" t="n"/>
      <c r="D9768" s="7" t="n"/>
      <c r="E9768" s="7" t="n"/>
      <c r="F9768" s="7" t="n"/>
      <c r="G9768" s="7" t="n"/>
      <c r="H9768" s="7" t="n"/>
      <c r="I9768" s="7" t="n"/>
      <c r="J9768" s="7" t="n"/>
      <c r="K9768">
        <f>IF(D9768="Legitimate Interest (GDPR Art. 6(1)(f))", "Yes / Required (Sheet 3)", "")</f>
        <v/>
      </c>
      <c r="L9768" s="7" t="n"/>
      <c r="M9768" s="7" t="n"/>
      <c r="N9768">
        <f>IF(D9768="", "Gap - No Legal Basis", IF(AND(D9768="Consent (GDPR Art. 6(1)(a))", I9768="Not Captured"), "Gap - Invalid Consent", IF(AND(D9768="Legitimate Interest (GDPR Art. 6(1)(f))", L9768=""), "Gap - Missing LIA", IF(AND(G9768="Yes", H9768=""), "Gap - Missing Art. 9 Basis", IF(OR(I9768="Invalid - Not Freely Given", I9768="Invalid - Not Specific", I9768="Invalid - Not Informed", I9768="Invalid - Ambiguous"), "Gap - Invalid Consent", "Compliant")))))</f>
        <v/>
      </c>
      <c r="O9768" s="7" t="n"/>
    </row>
    <row r="9769">
      <c r="A9769" s="7" t="n"/>
      <c r="B9769" s="7" t="n"/>
      <c r="C9769" s="7" t="n"/>
      <c r="D9769" s="7" t="n"/>
      <c r="E9769" s="7" t="n"/>
      <c r="F9769" s="7" t="n"/>
      <c r="G9769" s="7" t="n"/>
      <c r="H9769" s="7" t="n"/>
      <c r="I9769" s="7" t="n"/>
      <c r="J9769" s="7" t="n"/>
      <c r="K9769">
        <f>IF(D9769="Legitimate Interest (GDPR Art. 6(1)(f))", "Yes / Required (Sheet 3)", "")</f>
        <v/>
      </c>
      <c r="L9769" s="7" t="n"/>
      <c r="M9769" s="7" t="n"/>
      <c r="N9769">
        <f>IF(D9769="", "Gap - No Legal Basis", IF(AND(D9769="Consent (GDPR Art. 6(1)(a))", I9769="Not Captured"), "Gap - Invalid Consent", IF(AND(D9769="Legitimate Interest (GDPR Art. 6(1)(f))", L9769=""), "Gap - Missing LIA", IF(AND(G9769="Yes", H9769=""), "Gap - Missing Art. 9 Basis", IF(OR(I9769="Invalid - Not Freely Given", I9769="Invalid - Not Specific", I9769="Invalid - Not Informed", I9769="Invalid - Ambiguous"), "Gap - Invalid Consent", "Compliant")))))</f>
        <v/>
      </c>
      <c r="O9769" s="7" t="n"/>
    </row>
    <row r="9770">
      <c r="A9770" s="7" t="n"/>
      <c r="B9770" s="7" t="n"/>
      <c r="C9770" s="7" t="n"/>
      <c r="D9770" s="7" t="n"/>
      <c r="E9770" s="7" t="n"/>
      <c r="F9770" s="7" t="n"/>
      <c r="G9770" s="7" t="n"/>
      <c r="H9770" s="7" t="n"/>
      <c r="I9770" s="7" t="n"/>
      <c r="J9770" s="7" t="n"/>
      <c r="K9770">
        <f>IF(D9770="Legitimate Interest (GDPR Art. 6(1)(f))", "Yes / Required (Sheet 3)", "")</f>
        <v/>
      </c>
      <c r="L9770" s="7" t="n"/>
      <c r="M9770" s="7" t="n"/>
      <c r="N9770">
        <f>IF(D9770="", "Gap - No Legal Basis", IF(AND(D9770="Consent (GDPR Art. 6(1)(a))", I9770="Not Captured"), "Gap - Invalid Consent", IF(AND(D9770="Legitimate Interest (GDPR Art. 6(1)(f))", L9770=""), "Gap - Missing LIA", IF(AND(G9770="Yes", H9770=""), "Gap - Missing Art. 9 Basis", IF(OR(I9770="Invalid - Not Freely Given", I9770="Invalid - Not Specific", I9770="Invalid - Not Informed", I9770="Invalid - Ambiguous"), "Gap - Invalid Consent", "Compliant")))))</f>
        <v/>
      </c>
      <c r="O9770" s="7" t="n"/>
    </row>
    <row r="9771">
      <c r="A9771" s="7" t="n"/>
      <c r="B9771" s="7" t="n"/>
      <c r="C9771" s="7" t="n"/>
      <c r="D9771" s="7" t="n"/>
      <c r="E9771" s="7" t="n"/>
      <c r="F9771" s="7" t="n"/>
      <c r="G9771" s="7" t="n"/>
      <c r="H9771" s="7" t="n"/>
      <c r="I9771" s="7" t="n"/>
      <c r="J9771" s="7" t="n"/>
      <c r="K9771">
        <f>IF(D9771="Legitimate Interest (GDPR Art. 6(1)(f))", "Yes / Required (Sheet 3)", "")</f>
        <v/>
      </c>
      <c r="L9771" s="7" t="n"/>
      <c r="M9771" s="7" t="n"/>
      <c r="N9771">
        <f>IF(D9771="", "Gap - No Legal Basis", IF(AND(D9771="Consent (GDPR Art. 6(1)(a))", I9771="Not Captured"), "Gap - Invalid Consent", IF(AND(D9771="Legitimate Interest (GDPR Art. 6(1)(f))", L9771=""), "Gap - Missing LIA", IF(AND(G9771="Yes", H9771=""), "Gap - Missing Art. 9 Basis", IF(OR(I9771="Invalid - Not Freely Given", I9771="Invalid - Not Specific", I9771="Invalid - Not Informed", I9771="Invalid - Ambiguous"), "Gap - Invalid Consent", "Compliant")))))</f>
        <v/>
      </c>
      <c r="O9771" s="7" t="n"/>
    </row>
    <row r="9772">
      <c r="A9772" s="7" t="n"/>
      <c r="B9772" s="7" t="n"/>
      <c r="C9772" s="7" t="n"/>
      <c r="D9772" s="7" t="n"/>
      <c r="E9772" s="7" t="n"/>
      <c r="F9772" s="7" t="n"/>
      <c r="G9772" s="7" t="n"/>
      <c r="H9772" s="7" t="n"/>
      <c r="I9772" s="7" t="n"/>
      <c r="J9772" s="7" t="n"/>
      <c r="K9772">
        <f>IF(D9772="Legitimate Interest (GDPR Art. 6(1)(f))", "Yes / Required (Sheet 3)", "")</f>
        <v/>
      </c>
      <c r="L9772" s="7" t="n"/>
      <c r="M9772" s="7" t="n"/>
      <c r="N9772">
        <f>IF(D9772="", "Gap - No Legal Basis", IF(AND(D9772="Consent (GDPR Art. 6(1)(a))", I9772="Not Captured"), "Gap - Invalid Consent", IF(AND(D9772="Legitimate Interest (GDPR Art. 6(1)(f))", L9772=""), "Gap - Missing LIA", IF(AND(G9772="Yes", H9772=""), "Gap - Missing Art. 9 Basis", IF(OR(I9772="Invalid - Not Freely Given", I9772="Invalid - Not Specific", I9772="Invalid - Not Informed", I9772="Invalid - Ambiguous"), "Gap - Invalid Consent", "Compliant")))))</f>
        <v/>
      </c>
      <c r="O9772" s="7" t="n"/>
    </row>
    <row r="9773">
      <c r="A9773" s="7" t="n"/>
      <c r="B9773" s="7" t="n"/>
      <c r="C9773" s="7" t="n"/>
      <c r="D9773" s="7" t="n"/>
      <c r="E9773" s="7" t="n"/>
      <c r="F9773" s="7" t="n"/>
      <c r="G9773" s="7" t="n"/>
      <c r="H9773" s="7" t="n"/>
      <c r="I9773" s="7" t="n"/>
      <c r="J9773" s="7" t="n"/>
      <c r="K9773">
        <f>IF(D9773="Legitimate Interest (GDPR Art. 6(1)(f))", "Yes / Required (Sheet 3)", "")</f>
        <v/>
      </c>
      <c r="L9773" s="7" t="n"/>
      <c r="M9773" s="7" t="n"/>
      <c r="N9773">
        <f>IF(D9773="", "Gap - No Legal Basis", IF(AND(D9773="Consent (GDPR Art. 6(1)(a))", I9773="Not Captured"), "Gap - Invalid Consent", IF(AND(D9773="Legitimate Interest (GDPR Art. 6(1)(f))", L9773=""), "Gap - Missing LIA", IF(AND(G9773="Yes", H9773=""), "Gap - Missing Art. 9 Basis", IF(OR(I9773="Invalid - Not Freely Given", I9773="Invalid - Not Specific", I9773="Invalid - Not Informed", I9773="Invalid - Ambiguous"), "Gap - Invalid Consent", "Compliant")))))</f>
        <v/>
      </c>
      <c r="O9773" s="7" t="n"/>
    </row>
    <row r="9774">
      <c r="A9774" s="7" t="n"/>
      <c r="B9774" s="7" t="n"/>
      <c r="C9774" s="7" t="n"/>
      <c r="D9774" s="7" t="n"/>
      <c r="E9774" s="7" t="n"/>
      <c r="F9774" s="7" t="n"/>
      <c r="G9774" s="7" t="n"/>
      <c r="H9774" s="7" t="n"/>
      <c r="I9774" s="7" t="n"/>
      <c r="J9774" s="7" t="n"/>
      <c r="K9774">
        <f>IF(D9774="Legitimate Interest (GDPR Art. 6(1)(f))", "Yes / Required (Sheet 3)", "")</f>
        <v/>
      </c>
      <c r="L9774" s="7" t="n"/>
      <c r="M9774" s="7" t="n"/>
      <c r="N9774">
        <f>IF(D9774="", "Gap - No Legal Basis", IF(AND(D9774="Consent (GDPR Art. 6(1)(a))", I9774="Not Captured"), "Gap - Invalid Consent", IF(AND(D9774="Legitimate Interest (GDPR Art. 6(1)(f))", L9774=""), "Gap - Missing LIA", IF(AND(G9774="Yes", H9774=""), "Gap - Missing Art. 9 Basis", IF(OR(I9774="Invalid - Not Freely Given", I9774="Invalid - Not Specific", I9774="Invalid - Not Informed", I9774="Invalid - Ambiguous"), "Gap - Invalid Consent", "Compliant")))))</f>
        <v/>
      </c>
      <c r="O9774" s="7" t="n"/>
    </row>
    <row r="9775">
      <c r="A9775" s="7" t="n"/>
      <c r="B9775" s="7" t="n"/>
      <c r="C9775" s="7" t="n"/>
      <c r="D9775" s="7" t="n"/>
      <c r="E9775" s="7" t="n"/>
      <c r="F9775" s="7" t="n"/>
      <c r="G9775" s="7" t="n"/>
      <c r="H9775" s="7" t="n"/>
      <c r="I9775" s="7" t="n"/>
      <c r="J9775" s="7" t="n"/>
      <c r="K9775">
        <f>IF(D9775="Legitimate Interest (GDPR Art. 6(1)(f))", "Yes / Required (Sheet 3)", "")</f>
        <v/>
      </c>
      <c r="L9775" s="7" t="n"/>
      <c r="M9775" s="7" t="n"/>
      <c r="N9775">
        <f>IF(D9775="", "Gap - No Legal Basis", IF(AND(D9775="Consent (GDPR Art. 6(1)(a))", I9775="Not Captured"), "Gap - Invalid Consent", IF(AND(D9775="Legitimate Interest (GDPR Art. 6(1)(f))", L9775=""), "Gap - Missing LIA", IF(AND(G9775="Yes", H9775=""), "Gap - Missing Art. 9 Basis", IF(OR(I9775="Invalid - Not Freely Given", I9775="Invalid - Not Specific", I9775="Invalid - Not Informed", I9775="Invalid - Ambiguous"), "Gap - Invalid Consent", "Compliant")))))</f>
        <v/>
      </c>
      <c r="O9775" s="7" t="n"/>
    </row>
    <row r="9776">
      <c r="A9776" s="7" t="n"/>
      <c r="B9776" s="7" t="n"/>
      <c r="C9776" s="7" t="n"/>
      <c r="D9776" s="7" t="n"/>
      <c r="E9776" s="7" t="n"/>
      <c r="F9776" s="7" t="n"/>
      <c r="G9776" s="7" t="n"/>
      <c r="H9776" s="7" t="n"/>
      <c r="I9776" s="7" t="n"/>
      <c r="J9776" s="7" t="n"/>
      <c r="K9776">
        <f>IF(D9776="Legitimate Interest (GDPR Art. 6(1)(f))", "Yes / Required (Sheet 3)", "")</f>
        <v/>
      </c>
      <c r="L9776" s="7" t="n"/>
      <c r="M9776" s="7" t="n"/>
      <c r="N9776">
        <f>IF(D9776="", "Gap - No Legal Basis", IF(AND(D9776="Consent (GDPR Art. 6(1)(a))", I9776="Not Captured"), "Gap - Invalid Consent", IF(AND(D9776="Legitimate Interest (GDPR Art. 6(1)(f))", L9776=""), "Gap - Missing LIA", IF(AND(G9776="Yes", H9776=""), "Gap - Missing Art. 9 Basis", IF(OR(I9776="Invalid - Not Freely Given", I9776="Invalid - Not Specific", I9776="Invalid - Not Informed", I9776="Invalid - Ambiguous"), "Gap - Invalid Consent", "Compliant")))))</f>
        <v/>
      </c>
      <c r="O9776" s="7" t="n"/>
    </row>
    <row r="9777">
      <c r="A9777" s="7" t="n"/>
      <c r="B9777" s="7" t="n"/>
      <c r="C9777" s="7" t="n"/>
      <c r="D9777" s="7" t="n"/>
      <c r="E9777" s="7" t="n"/>
      <c r="F9777" s="7" t="n"/>
      <c r="G9777" s="7" t="n"/>
      <c r="H9777" s="7" t="n"/>
      <c r="I9777" s="7" t="n"/>
      <c r="J9777" s="7" t="n"/>
      <c r="K9777">
        <f>IF(D9777="Legitimate Interest (GDPR Art. 6(1)(f))", "Yes / Required (Sheet 3)", "")</f>
        <v/>
      </c>
      <c r="L9777" s="7" t="n"/>
      <c r="M9777" s="7" t="n"/>
      <c r="N9777">
        <f>IF(D9777="", "Gap - No Legal Basis", IF(AND(D9777="Consent (GDPR Art. 6(1)(a))", I9777="Not Captured"), "Gap - Invalid Consent", IF(AND(D9777="Legitimate Interest (GDPR Art. 6(1)(f))", L9777=""), "Gap - Missing LIA", IF(AND(G9777="Yes", H9777=""), "Gap - Missing Art. 9 Basis", IF(OR(I9777="Invalid - Not Freely Given", I9777="Invalid - Not Specific", I9777="Invalid - Not Informed", I9777="Invalid - Ambiguous"), "Gap - Invalid Consent", "Compliant")))))</f>
        <v/>
      </c>
      <c r="O9777" s="7" t="n"/>
    </row>
    <row r="9778">
      <c r="A9778" s="7" t="n"/>
      <c r="B9778" s="7" t="n"/>
      <c r="C9778" s="7" t="n"/>
      <c r="D9778" s="7" t="n"/>
      <c r="E9778" s="7" t="n"/>
      <c r="F9778" s="7" t="n"/>
      <c r="G9778" s="7" t="n"/>
      <c r="H9778" s="7" t="n"/>
      <c r="I9778" s="7" t="n"/>
      <c r="J9778" s="7" t="n"/>
      <c r="K9778">
        <f>IF(D9778="Legitimate Interest (GDPR Art. 6(1)(f))", "Yes / Required (Sheet 3)", "")</f>
        <v/>
      </c>
      <c r="L9778" s="7" t="n"/>
      <c r="M9778" s="7" t="n"/>
      <c r="N9778">
        <f>IF(D9778="", "Gap - No Legal Basis", IF(AND(D9778="Consent (GDPR Art. 6(1)(a))", I9778="Not Captured"), "Gap - Invalid Consent", IF(AND(D9778="Legitimate Interest (GDPR Art. 6(1)(f))", L9778=""), "Gap - Missing LIA", IF(AND(G9778="Yes", H9778=""), "Gap - Missing Art. 9 Basis", IF(OR(I9778="Invalid - Not Freely Given", I9778="Invalid - Not Specific", I9778="Invalid - Not Informed", I9778="Invalid - Ambiguous"), "Gap - Invalid Consent", "Compliant")))))</f>
        <v/>
      </c>
      <c r="O9778" s="7" t="n"/>
    </row>
    <row r="9779">
      <c r="A9779" s="7" t="n"/>
      <c r="B9779" s="7" t="n"/>
      <c r="C9779" s="7" t="n"/>
      <c r="D9779" s="7" t="n"/>
      <c r="E9779" s="7" t="n"/>
      <c r="F9779" s="7" t="n"/>
      <c r="G9779" s="7" t="n"/>
      <c r="H9779" s="7" t="n"/>
      <c r="I9779" s="7" t="n"/>
      <c r="J9779" s="7" t="n"/>
      <c r="K9779">
        <f>IF(D9779="Legitimate Interest (GDPR Art. 6(1)(f))", "Yes / Required (Sheet 3)", "")</f>
        <v/>
      </c>
      <c r="L9779" s="7" t="n"/>
      <c r="M9779" s="7" t="n"/>
      <c r="N9779">
        <f>IF(D9779="", "Gap - No Legal Basis", IF(AND(D9779="Consent (GDPR Art. 6(1)(a))", I9779="Not Captured"), "Gap - Invalid Consent", IF(AND(D9779="Legitimate Interest (GDPR Art. 6(1)(f))", L9779=""), "Gap - Missing LIA", IF(AND(G9779="Yes", H9779=""), "Gap - Missing Art. 9 Basis", IF(OR(I9779="Invalid - Not Freely Given", I9779="Invalid - Not Specific", I9779="Invalid - Not Informed", I9779="Invalid - Ambiguous"), "Gap - Invalid Consent", "Compliant")))))</f>
        <v/>
      </c>
      <c r="O9779" s="7" t="n"/>
    </row>
    <row r="9780">
      <c r="A9780" s="7" t="n"/>
      <c r="B9780" s="7" t="n"/>
      <c r="C9780" s="7" t="n"/>
      <c r="D9780" s="7" t="n"/>
      <c r="E9780" s="7" t="n"/>
      <c r="F9780" s="7" t="n"/>
      <c r="G9780" s="7" t="n"/>
      <c r="H9780" s="7" t="n"/>
      <c r="I9780" s="7" t="n"/>
      <c r="J9780" s="7" t="n"/>
      <c r="K9780">
        <f>IF(D9780="Legitimate Interest (GDPR Art. 6(1)(f))", "Yes / Required (Sheet 3)", "")</f>
        <v/>
      </c>
      <c r="L9780" s="7" t="n"/>
      <c r="M9780" s="7" t="n"/>
      <c r="N9780">
        <f>IF(D9780="", "Gap - No Legal Basis", IF(AND(D9780="Consent (GDPR Art. 6(1)(a))", I9780="Not Captured"), "Gap - Invalid Consent", IF(AND(D9780="Legitimate Interest (GDPR Art. 6(1)(f))", L9780=""), "Gap - Missing LIA", IF(AND(G9780="Yes", H9780=""), "Gap - Missing Art. 9 Basis", IF(OR(I9780="Invalid - Not Freely Given", I9780="Invalid - Not Specific", I9780="Invalid - Not Informed", I9780="Invalid - Ambiguous"), "Gap - Invalid Consent", "Compliant")))))</f>
        <v/>
      </c>
      <c r="O9780" s="7" t="n"/>
    </row>
    <row r="9781">
      <c r="A9781" s="7" t="n"/>
      <c r="B9781" s="7" t="n"/>
      <c r="C9781" s="7" t="n"/>
      <c r="D9781" s="7" t="n"/>
      <c r="E9781" s="7" t="n"/>
      <c r="F9781" s="7" t="n"/>
      <c r="G9781" s="7" t="n"/>
      <c r="H9781" s="7" t="n"/>
      <c r="I9781" s="7" t="n"/>
      <c r="J9781" s="7" t="n"/>
      <c r="K9781">
        <f>IF(D9781="Legitimate Interest (GDPR Art. 6(1)(f))", "Yes / Required (Sheet 3)", "")</f>
        <v/>
      </c>
      <c r="L9781" s="7" t="n"/>
      <c r="M9781" s="7" t="n"/>
      <c r="N9781">
        <f>IF(D9781="", "Gap - No Legal Basis", IF(AND(D9781="Consent (GDPR Art. 6(1)(a))", I9781="Not Captured"), "Gap - Invalid Consent", IF(AND(D9781="Legitimate Interest (GDPR Art. 6(1)(f))", L9781=""), "Gap - Missing LIA", IF(AND(G9781="Yes", H9781=""), "Gap - Missing Art. 9 Basis", IF(OR(I9781="Invalid - Not Freely Given", I9781="Invalid - Not Specific", I9781="Invalid - Not Informed", I9781="Invalid - Ambiguous"), "Gap - Invalid Consent", "Compliant")))))</f>
        <v/>
      </c>
      <c r="O9781" s="7" t="n"/>
    </row>
    <row r="9782">
      <c r="A9782" s="7" t="n"/>
      <c r="B9782" s="7" t="n"/>
      <c r="C9782" s="7" t="n"/>
      <c r="D9782" s="7" t="n"/>
      <c r="E9782" s="7" t="n"/>
      <c r="F9782" s="7" t="n"/>
      <c r="G9782" s="7" t="n"/>
      <c r="H9782" s="7" t="n"/>
      <c r="I9782" s="7" t="n"/>
      <c r="J9782" s="7" t="n"/>
      <c r="K9782">
        <f>IF(D9782="Legitimate Interest (GDPR Art. 6(1)(f))", "Yes / Required (Sheet 3)", "")</f>
        <v/>
      </c>
      <c r="L9782" s="7" t="n"/>
      <c r="M9782" s="7" t="n"/>
      <c r="N9782">
        <f>IF(D9782="", "Gap - No Legal Basis", IF(AND(D9782="Consent (GDPR Art. 6(1)(a))", I9782="Not Captured"), "Gap - Invalid Consent", IF(AND(D9782="Legitimate Interest (GDPR Art. 6(1)(f))", L9782=""), "Gap - Missing LIA", IF(AND(G9782="Yes", H9782=""), "Gap - Missing Art. 9 Basis", IF(OR(I9782="Invalid - Not Freely Given", I9782="Invalid - Not Specific", I9782="Invalid - Not Informed", I9782="Invalid - Ambiguous"), "Gap - Invalid Consent", "Compliant")))))</f>
        <v/>
      </c>
      <c r="O9782" s="7" t="n"/>
    </row>
    <row r="9783">
      <c r="A9783" s="7" t="n"/>
      <c r="B9783" s="7" t="n"/>
      <c r="C9783" s="7" t="n"/>
      <c r="D9783" s="7" t="n"/>
      <c r="E9783" s="7" t="n"/>
      <c r="F9783" s="7" t="n"/>
      <c r="G9783" s="7" t="n"/>
      <c r="H9783" s="7" t="n"/>
      <c r="I9783" s="7" t="n"/>
      <c r="J9783" s="7" t="n"/>
      <c r="K9783">
        <f>IF(D9783="Legitimate Interest (GDPR Art. 6(1)(f))", "Yes / Required (Sheet 3)", "")</f>
        <v/>
      </c>
      <c r="L9783" s="7" t="n"/>
      <c r="M9783" s="7" t="n"/>
      <c r="N9783">
        <f>IF(D9783="", "Gap - No Legal Basis", IF(AND(D9783="Consent (GDPR Art. 6(1)(a))", I9783="Not Captured"), "Gap - Invalid Consent", IF(AND(D9783="Legitimate Interest (GDPR Art. 6(1)(f))", L9783=""), "Gap - Missing LIA", IF(AND(G9783="Yes", H9783=""), "Gap - Missing Art. 9 Basis", IF(OR(I9783="Invalid - Not Freely Given", I9783="Invalid - Not Specific", I9783="Invalid - Not Informed", I9783="Invalid - Ambiguous"), "Gap - Invalid Consent", "Compliant")))))</f>
        <v/>
      </c>
      <c r="O9783" s="7" t="n"/>
    </row>
    <row r="9784">
      <c r="A9784" s="7" t="n"/>
      <c r="B9784" s="7" t="n"/>
      <c r="C9784" s="7" t="n"/>
      <c r="D9784" s="7" t="n"/>
      <c r="E9784" s="7" t="n"/>
      <c r="F9784" s="7" t="n"/>
      <c r="G9784" s="7" t="n"/>
      <c r="H9784" s="7" t="n"/>
      <c r="I9784" s="7" t="n"/>
      <c r="J9784" s="7" t="n"/>
      <c r="K9784">
        <f>IF(D9784="Legitimate Interest (GDPR Art. 6(1)(f))", "Yes / Required (Sheet 3)", "")</f>
        <v/>
      </c>
      <c r="L9784" s="7" t="n"/>
      <c r="M9784" s="7" t="n"/>
      <c r="N9784">
        <f>IF(D9784="", "Gap - No Legal Basis", IF(AND(D9784="Consent (GDPR Art. 6(1)(a))", I9784="Not Captured"), "Gap - Invalid Consent", IF(AND(D9784="Legitimate Interest (GDPR Art. 6(1)(f))", L9784=""), "Gap - Missing LIA", IF(AND(G9784="Yes", H9784=""), "Gap - Missing Art. 9 Basis", IF(OR(I9784="Invalid - Not Freely Given", I9784="Invalid - Not Specific", I9784="Invalid - Not Informed", I9784="Invalid - Ambiguous"), "Gap - Invalid Consent", "Compliant")))))</f>
        <v/>
      </c>
      <c r="O9784" s="7" t="n"/>
    </row>
    <row r="9785">
      <c r="A9785" s="7" t="n"/>
      <c r="B9785" s="7" t="n"/>
      <c r="C9785" s="7" t="n"/>
      <c r="D9785" s="7" t="n"/>
      <c r="E9785" s="7" t="n"/>
      <c r="F9785" s="7" t="n"/>
      <c r="G9785" s="7" t="n"/>
      <c r="H9785" s="7" t="n"/>
      <c r="I9785" s="7" t="n"/>
      <c r="J9785" s="7" t="n"/>
      <c r="K9785">
        <f>IF(D9785="Legitimate Interest (GDPR Art. 6(1)(f))", "Yes / Required (Sheet 3)", "")</f>
        <v/>
      </c>
      <c r="L9785" s="7" t="n"/>
      <c r="M9785" s="7" t="n"/>
      <c r="N9785">
        <f>IF(D9785="", "Gap - No Legal Basis", IF(AND(D9785="Consent (GDPR Art. 6(1)(a))", I9785="Not Captured"), "Gap - Invalid Consent", IF(AND(D9785="Legitimate Interest (GDPR Art. 6(1)(f))", L9785=""), "Gap - Missing LIA", IF(AND(G9785="Yes", H9785=""), "Gap - Missing Art. 9 Basis", IF(OR(I9785="Invalid - Not Freely Given", I9785="Invalid - Not Specific", I9785="Invalid - Not Informed", I9785="Invalid - Ambiguous"), "Gap - Invalid Consent", "Compliant")))))</f>
        <v/>
      </c>
      <c r="O9785" s="7" t="n"/>
    </row>
    <row r="9786">
      <c r="A9786" s="7" t="n"/>
      <c r="B9786" s="7" t="n"/>
      <c r="C9786" s="7" t="n"/>
      <c r="D9786" s="7" t="n"/>
      <c r="E9786" s="7" t="n"/>
      <c r="F9786" s="7" t="n"/>
      <c r="G9786" s="7" t="n"/>
      <c r="H9786" s="7" t="n"/>
      <c r="I9786" s="7" t="n"/>
      <c r="J9786" s="7" t="n"/>
      <c r="K9786">
        <f>IF(D9786="Legitimate Interest (GDPR Art. 6(1)(f))", "Yes / Required (Sheet 3)", "")</f>
        <v/>
      </c>
      <c r="L9786" s="7" t="n"/>
      <c r="M9786" s="7" t="n"/>
      <c r="N9786">
        <f>IF(D9786="", "Gap - No Legal Basis", IF(AND(D9786="Consent (GDPR Art. 6(1)(a))", I9786="Not Captured"), "Gap - Invalid Consent", IF(AND(D9786="Legitimate Interest (GDPR Art. 6(1)(f))", L9786=""), "Gap - Missing LIA", IF(AND(G9786="Yes", H9786=""), "Gap - Missing Art. 9 Basis", IF(OR(I9786="Invalid - Not Freely Given", I9786="Invalid - Not Specific", I9786="Invalid - Not Informed", I9786="Invalid - Ambiguous"), "Gap - Invalid Consent", "Compliant")))))</f>
        <v/>
      </c>
      <c r="O9786" s="7" t="n"/>
    </row>
    <row r="9787">
      <c r="A9787" s="7" t="n"/>
      <c r="B9787" s="7" t="n"/>
      <c r="C9787" s="7" t="n"/>
      <c r="D9787" s="7" t="n"/>
      <c r="E9787" s="7" t="n"/>
      <c r="F9787" s="7" t="n"/>
      <c r="G9787" s="7" t="n"/>
      <c r="H9787" s="7" t="n"/>
      <c r="I9787" s="7" t="n"/>
      <c r="J9787" s="7" t="n"/>
      <c r="K9787">
        <f>IF(D9787="Legitimate Interest (GDPR Art. 6(1)(f))", "Yes / Required (Sheet 3)", "")</f>
        <v/>
      </c>
      <c r="L9787" s="7" t="n"/>
      <c r="M9787" s="7" t="n"/>
      <c r="N9787">
        <f>IF(D9787="", "Gap - No Legal Basis", IF(AND(D9787="Consent (GDPR Art. 6(1)(a))", I9787="Not Captured"), "Gap - Invalid Consent", IF(AND(D9787="Legitimate Interest (GDPR Art. 6(1)(f))", L9787=""), "Gap - Missing LIA", IF(AND(G9787="Yes", H9787=""), "Gap - Missing Art. 9 Basis", IF(OR(I9787="Invalid - Not Freely Given", I9787="Invalid - Not Specific", I9787="Invalid - Not Informed", I9787="Invalid - Ambiguous"), "Gap - Invalid Consent", "Compliant")))))</f>
        <v/>
      </c>
      <c r="O9787" s="7" t="n"/>
    </row>
    <row r="9788">
      <c r="A9788" s="7" t="n"/>
      <c r="B9788" s="7" t="n"/>
      <c r="C9788" s="7" t="n"/>
      <c r="D9788" s="7" t="n"/>
      <c r="E9788" s="7" t="n"/>
      <c r="F9788" s="7" t="n"/>
      <c r="G9788" s="7" t="n"/>
      <c r="H9788" s="7" t="n"/>
      <c r="I9788" s="7" t="n"/>
      <c r="J9788" s="7" t="n"/>
      <c r="K9788">
        <f>IF(D9788="Legitimate Interest (GDPR Art. 6(1)(f))", "Yes / Required (Sheet 3)", "")</f>
        <v/>
      </c>
      <c r="L9788" s="7" t="n"/>
      <c r="M9788" s="7" t="n"/>
      <c r="N9788">
        <f>IF(D9788="", "Gap - No Legal Basis", IF(AND(D9788="Consent (GDPR Art. 6(1)(a))", I9788="Not Captured"), "Gap - Invalid Consent", IF(AND(D9788="Legitimate Interest (GDPR Art. 6(1)(f))", L9788=""), "Gap - Missing LIA", IF(AND(G9788="Yes", H9788=""), "Gap - Missing Art. 9 Basis", IF(OR(I9788="Invalid - Not Freely Given", I9788="Invalid - Not Specific", I9788="Invalid - Not Informed", I9788="Invalid - Ambiguous"), "Gap - Invalid Consent", "Compliant")))))</f>
        <v/>
      </c>
      <c r="O9788" s="7" t="n"/>
    </row>
    <row r="9789">
      <c r="A9789" s="7" t="n"/>
      <c r="B9789" s="7" t="n"/>
      <c r="C9789" s="7" t="n"/>
      <c r="D9789" s="7" t="n"/>
      <c r="E9789" s="7" t="n"/>
      <c r="F9789" s="7" t="n"/>
      <c r="G9789" s="7" t="n"/>
      <c r="H9789" s="7" t="n"/>
      <c r="I9789" s="7" t="n"/>
      <c r="J9789" s="7" t="n"/>
      <c r="K9789">
        <f>IF(D9789="Legitimate Interest (GDPR Art. 6(1)(f))", "Yes / Required (Sheet 3)", "")</f>
        <v/>
      </c>
      <c r="L9789" s="7" t="n"/>
      <c r="M9789" s="7" t="n"/>
      <c r="N9789">
        <f>IF(D9789="", "Gap - No Legal Basis", IF(AND(D9789="Consent (GDPR Art. 6(1)(a))", I9789="Not Captured"), "Gap - Invalid Consent", IF(AND(D9789="Legitimate Interest (GDPR Art. 6(1)(f))", L9789=""), "Gap - Missing LIA", IF(AND(G9789="Yes", H9789=""), "Gap - Missing Art. 9 Basis", IF(OR(I9789="Invalid - Not Freely Given", I9789="Invalid - Not Specific", I9789="Invalid - Not Informed", I9789="Invalid - Ambiguous"), "Gap - Invalid Consent", "Compliant")))))</f>
        <v/>
      </c>
      <c r="O9789" s="7" t="n"/>
    </row>
    <row r="9790">
      <c r="A9790" s="7" t="n"/>
      <c r="B9790" s="7" t="n"/>
      <c r="C9790" s="7" t="n"/>
      <c r="D9790" s="7" t="n"/>
      <c r="E9790" s="7" t="n"/>
      <c r="F9790" s="7" t="n"/>
      <c r="G9790" s="7" t="n"/>
      <c r="H9790" s="7" t="n"/>
      <c r="I9790" s="7" t="n"/>
      <c r="J9790" s="7" t="n"/>
      <c r="K9790">
        <f>IF(D9790="Legitimate Interest (GDPR Art. 6(1)(f))", "Yes / Required (Sheet 3)", "")</f>
        <v/>
      </c>
      <c r="L9790" s="7" t="n"/>
      <c r="M9790" s="7" t="n"/>
      <c r="N9790">
        <f>IF(D9790="", "Gap - No Legal Basis", IF(AND(D9790="Consent (GDPR Art. 6(1)(a))", I9790="Not Captured"), "Gap - Invalid Consent", IF(AND(D9790="Legitimate Interest (GDPR Art. 6(1)(f))", L9790=""), "Gap - Missing LIA", IF(AND(G9790="Yes", H9790=""), "Gap - Missing Art. 9 Basis", IF(OR(I9790="Invalid - Not Freely Given", I9790="Invalid - Not Specific", I9790="Invalid - Not Informed", I9790="Invalid - Ambiguous"), "Gap - Invalid Consent", "Compliant")))))</f>
        <v/>
      </c>
      <c r="O9790" s="7" t="n"/>
    </row>
    <row r="9791">
      <c r="A9791" s="7" t="n"/>
      <c r="B9791" s="7" t="n"/>
      <c r="C9791" s="7" t="n"/>
      <c r="D9791" s="7" t="n"/>
      <c r="E9791" s="7" t="n"/>
      <c r="F9791" s="7" t="n"/>
      <c r="G9791" s="7" t="n"/>
      <c r="H9791" s="7" t="n"/>
      <c r="I9791" s="7" t="n"/>
      <c r="J9791" s="7" t="n"/>
      <c r="K9791">
        <f>IF(D9791="Legitimate Interest (GDPR Art. 6(1)(f))", "Yes / Required (Sheet 3)", "")</f>
        <v/>
      </c>
      <c r="L9791" s="7" t="n"/>
      <c r="M9791" s="7" t="n"/>
      <c r="N9791">
        <f>IF(D9791="", "Gap - No Legal Basis", IF(AND(D9791="Consent (GDPR Art. 6(1)(a))", I9791="Not Captured"), "Gap - Invalid Consent", IF(AND(D9791="Legitimate Interest (GDPR Art. 6(1)(f))", L9791=""), "Gap - Missing LIA", IF(AND(G9791="Yes", H9791=""), "Gap - Missing Art. 9 Basis", IF(OR(I9791="Invalid - Not Freely Given", I9791="Invalid - Not Specific", I9791="Invalid - Not Informed", I9791="Invalid - Ambiguous"), "Gap - Invalid Consent", "Compliant")))))</f>
        <v/>
      </c>
      <c r="O9791" s="7" t="n"/>
    </row>
    <row r="9792">
      <c r="A9792" s="7" t="n"/>
      <c r="B9792" s="7" t="n"/>
      <c r="C9792" s="7" t="n"/>
      <c r="D9792" s="7" t="n"/>
      <c r="E9792" s="7" t="n"/>
      <c r="F9792" s="7" t="n"/>
      <c r="G9792" s="7" t="n"/>
      <c r="H9792" s="7" t="n"/>
      <c r="I9792" s="7" t="n"/>
      <c r="J9792" s="7" t="n"/>
      <c r="K9792">
        <f>IF(D9792="Legitimate Interest (GDPR Art. 6(1)(f))", "Yes / Required (Sheet 3)", "")</f>
        <v/>
      </c>
      <c r="L9792" s="7" t="n"/>
      <c r="M9792" s="7" t="n"/>
      <c r="N9792">
        <f>IF(D9792="", "Gap - No Legal Basis", IF(AND(D9792="Consent (GDPR Art. 6(1)(a))", I9792="Not Captured"), "Gap - Invalid Consent", IF(AND(D9792="Legitimate Interest (GDPR Art. 6(1)(f))", L9792=""), "Gap - Missing LIA", IF(AND(G9792="Yes", H9792=""), "Gap - Missing Art. 9 Basis", IF(OR(I9792="Invalid - Not Freely Given", I9792="Invalid - Not Specific", I9792="Invalid - Not Informed", I9792="Invalid - Ambiguous"), "Gap - Invalid Consent", "Compliant")))))</f>
        <v/>
      </c>
      <c r="O9792" s="7" t="n"/>
    </row>
    <row r="9793">
      <c r="A9793" s="7" t="n"/>
      <c r="B9793" s="7" t="n"/>
      <c r="C9793" s="7" t="n"/>
      <c r="D9793" s="7" t="n"/>
      <c r="E9793" s="7" t="n"/>
      <c r="F9793" s="7" t="n"/>
      <c r="G9793" s="7" t="n"/>
      <c r="H9793" s="7" t="n"/>
      <c r="I9793" s="7" t="n"/>
      <c r="J9793" s="7" t="n"/>
      <c r="K9793">
        <f>IF(D9793="Legitimate Interest (GDPR Art. 6(1)(f))", "Yes / Required (Sheet 3)", "")</f>
        <v/>
      </c>
      <c r="L9793" s="7" t="n"/>
      <c r="M9793" s="7" t="n"/>
      <c r="N9793">
        <f>IF(D9793="", "Gap - No Legal Basis", IF(AND(D9793="Consent (GDPR Art. 6(1)(a))", I9793="Not Captured"), "Gap - Invalid Consent", IF(AND(D9793="Legitimate Interest (GDPR Art. 6(1)(f))", L9793=""), "Gap - Missing LIA", IF(AND(G9793="Yes", H9793=""), "Gap - Missing Art. 9 Basis", IF(OR(I9793="Invalid - Not Freely Given", I9793="Invalid - Not Specific", I9793="Invalid - Not Informed", I9793="Invalid - Ambiguous"), "Gap - Invalid Consent", "Compliant")))))</f>
        <v/>
      </c>
      <c r="O9793" s="7" t="n"/>
    </row>
    <row r="9794">
      <c r="A9794" s="7" t="n"/>
      <c r="B9794" s="7" t="n"/>
      <c r="C9794" s="7" t="n"/>
      <c r="D9794" s="7" t="n"/>
      <c r="E9794" s="7" t="n"/>
      <c r="F9794" s="7" t="n"/>
      <c r="G9794" s="7" t="n"/>
      <c r="H9794" s="7" t="n"/>
      <c r="I9794" s="7" t="n"/>
      <c r="J9794" s="7" t="n"/>
      <c r="K9794">
        <f>IF(D9794="Legitimate Interest (GDPR Art. 6(1)(f))", "Yes / Required (Sheet 3)", "")</f>
        <v/>
      </c>
      <c r="L9794" s="7" t="n"/>
      <c r="M9794" s="7" t="n"/>
      <c r="N9794">
        <f>IF(D9794="", "Gap - No Legal Basis", IF(AND(D9794="Consent (GDPR Art. 6(1)(a))", I9794="Not Captured"), "Gap - Invalid Consent", IF(AND(D9794="Legitimate Interest (GDPR Art. 6(1)(f))", L9794=""), "Gap - Missing LIA", IF(AND(G9794="Yes", H9794=""), "Gap - Missing Art. 9 Basis", IF(OR(I9794="Invalid - Not Freely Given", I9794="Invalid - Not Specific", I9794="Invalid - Not Informed", I9794="Invalid - Ambiguous"), "Gap - Invalid Consent", "Compliant")))))</f>
        <v/>
      </c>
      <c r="O9794" s="7" t="n"/>
    </row>
    <row r="9795">
      <c r="A9795" s="7" t="n"/>
      <c r="B9795" s="7" t="n"/>
      <c r="C9795" s="7" t="n"/>
      <c r="D9795" s="7" t="n"/>
      <c r="E9795" s="7" t="n"/>
      <c r="F9795" s="7" t="n"/>
      <c r="G9795" s="7" t="n"/>
      <c r="H9795" s="7" t="n"/>
      <c r="I9795" s="7" t="n"/>
      <c r="J9795" s="7" t="n"/>
      <c r="K9795">
        <f>IF(D9795="Legitimate Interest (GDPR Art. 6(1)(f))", "Yes / Required (Sheet 3)", "")</f>
        <v/>
      </c>
      <c r="L9795" s="7" t="n"/>
      <c r="M9795" s="7" t="n"/>
      <c r="N9795">
        <f>IF(D9795="", "Gap - No Legal Basis", IF(AND(D9795="Consent (GDPR Art. 6(1)(a))", I9795="Not Captured"), "Gap - Invalid Consent", IF(AND(D9795="Legitimate Interest (GDPR Art. 6(1)(f))", L9795=""), "Gap - Missing LIA", IF(AND(G9795="Yes", H9795=""), "Gap - Missing Art. 9 Basis", IF(OR(I9795="Invalid - Not Freely Given", I9795="Invalid - Not Specific", I9795="Invalid - Not Informed", I9795="Invalid - Ambiguous"), "Gap - Invalid Consent", "Compliant")))))</f>
        <v/>
      </c>
      <c r="O9795" s="7" t="n"/>
    </row>
    <row r="9796">
      <c r="A9796" s="7" t="n"/>
      <c r="B9796" s="7" t="n"/>
      <c r="C9796" s="7" t="n"/>
      <c r="D9796" s="7" t="n"/>
      <c r="E9796" s="7" t="n"/>
      <c r="F9796" s="7" t="n"/>
      <c r="G9796" s="7" t="n"/>
      <c r="H9796" s="7" t="n"/>
      <c r="I9796" s="7" t="n"/>
      <c r="J9796" s="7" t="n"/>
      <c r="K9796">
        <f>IF(D9796="Legitimate Interest (GDPR Art. 6(1)(f))", "Yes / Required (Sheet 3)", "")</f>
        <v/>
      </c>
      <c r="L9796" s="7" t="n"/>
      <c r="M9796" s="7" t="n"/>
      <c r="N9796">
        <f>IF(D9796="", "Gap - No Legal Basis", IF(AND(D9796="Consent (GDPR Art. 6(1)(a))", I9796="Not Captured"), "Gap - Invalid Consent", IF(AND(D9796="Legitimate Interest (GDPR Art. 6(1)(f))", L9796=""), "Gap - Missing LIA", IF(AND(G9796="Yes", H9796=""), "Gap - Missing Art. 9 Basis", IF(OR(I9796="Invalid - Not Freely Given", I9796="Invalid - Not Specific", I9796="Invalid - Not Informed", I9796="Invalid - Ambiguous"), "Gap - Invalid Consent", "Compliant")))))</f>
        <v/>
      </c>
      <c r="O9796" s="7" t="n"/>
    </row>
    <row r="9797">
      <c r="A9797" s="7" t="n"/>
      <c r="B9797" s="7" t="n"/>
      <c r="C9797" s="7" t="n"/>
      <c r="D9797" s="7" t="n"/>
      <c r="E9797" s="7" t="n"/>
      <c r="F9797" s="7" t="n"/>
      <c r="G9797" s="7" t="n"/>
      <c r="H9797" s="7" t="n"/>
      <c r="I9797" s="7" t="n"/>
      <c r="J9797" s="7" t="n"/>
      <c r="K9797">
        <f>IF(D9797="Legitimate Interest (GDPR Art. 6(1)(f))", "Yes / Required (Sheet 3)", "")</f>
        <v/>
      </c>
      <c r="L9797" s="7" t="n"/>
      <c r="M9797" s="7" t="n"/>
      <c r="N9797">
        <f>IF(D9797="", "Gap - No Legal Basis", IF(AND(D9797="Consent (GDPR Art. 6(1)(a))", I9797="Not Captured"), "Gap - Invalid Consent", IF(AND(D9797="Legitimate Interest (GDPR Art. 6(1)(f))", L9797=""), "Gap - Missing LIA", IF(AND(G9797="Yes", H9797=""), "Gap - Missing Art. 9 Basis", IF(OR(I9797="Invalid - Not Freely Given", I9797="Invalid - Not Specific", I9797="Invalid - Not Informed", I9797="Invalid - Ambiguous"), "Gap - Invalid Consent", "Compliant")))))</f>
        <v/>
      </c>
      <c r="O9797" s="7" t="n"/>
    </row>
    <row r="9798">
      <c r="A9798" s="7" t="n"/>
      <c r="B9798" s="7" t="n"/>
      <c r="C9798" s="7" t="n"/>
      <c r="D9798" s="7" t="n"/>
      <c r="E9798" s="7" t="n"/>
      <c r="F9798" s="7" t="n"/>
      <c r="G9798" s="7" t="n"/>
      <c r="H9798" s="7" t="n"/>
      <c r="I9798" s="7" t="n"/>
      <c r="J9798" s="7" t="n"/>
      <c r="K9798">
        <f>IF(D9798="Legitimate Interest (GDPR Art. 6(1)(f))", "Yes / Required (Sheet 3)", "")</f>
        <v/>
      </c>
      <c r="L9798" s="7" t="n"/>
      <c r="M9798" s="7" t="n"/>
      <c r="N9798">
        <f>IF(D9798="", "Gap - No Legal Basis", IF(AND(D9798="Consent (GDPR Art. 6(1)(a))", I9798="Not Captured"), "Gap - Invalid Consent", IF(AND(D9798="Legitimate Interest (GDPR Art. 6(1)(f))", L9798=""), "Gap - Missing LIA", IF(AND(G9798="Yes", H9798=""), "Gap - Missing Art. 9 Basis", IF(OR(I9798="Invalid - Not Freely Given", I9798="Invalid - Not Specific", I9798="Invalid - Not Informed", I9798="Invalid - Ambiguous"), "Gap - Invalid Consent", "Compliant")))))</f>
        <v/>
      </c>
      <c r="O9798" s="7" t="n"/>
    </row>
    <row r="9799">
      <c r="A9799" s="7" t="n"/>
      <c r="B9799" s="7" t="n"/>
      <c r="C9799" s="7" t="n"/>
      <c r="D9799" s="7" t="n"/>
      <c r="E9799" s="7" t="n"/>
      <c r="F9799" s="7" t="n"/>
      <c r="G9799" s="7" t="n"/>
      <c r="H9799" s="7" t="n"/>
      <c r="I9799" s="7" t="n"/>
      <c r="J9799" s="7" t="n"/>
      <c r="K9799">
        <f>IF(D9799="Legitimate Interest (GDPR Art. 6(1)(f))", "Yes / Required (Sheet 3)", "")</f>
        <v/>
      </c>
      <c r="L9799" s="7" t="n"/>
      <c r="M9799" s="7" t="n"/>
      <c r="N9799">
        <f>IF(D9799="", "Gap - No Legal Basis", IF(AND(D9799="Consent (GDPR Art. 6(1)(a))", I9799="Not Captured"), "Gap - Invalid Consent", IF(AND(D9799="Legitimate Interest (GDPR Art. 6(1)(f))", L9799=""), "Gap - Missing LIA", IF(AND(G9799="Yes", H9799=""), "Gap - Missing Art. 9 Basis", IF(OR(I9799="Invalid - Not Freely Given", I9799="Invalid - Not Specific", I9799="Invalid - Not Informed", I9799="Invalid - Ambiguous"), "Gap - Invalid Consent", "Compliant")))))</f>
        <v/>
      </c>
      <c r="O9799" s="7" t="n"/>
    </row>
    <row r="9800">
      <c r="A9800" s="7" t="n"/>
      <c r="B9800" s="7" t="n"/>
      <c r="C9800" s="7" t="n"/>
      <c r="D9800" s="7" t="n"/>
      <c r="E9800" s="7" t="n"/>
      <c r="F9800" s="7" t="n"/>
      <c r="G9800" s="7" t="n"/>
      <c r="H9800" s="7" t="n"/>
      <c r="I9800" s="7" t="n"/>
      <c r="J9800" s="7" t="n"/>
      <c r="K9800">
        <f>IF(D9800="Legitimate Interest (GDPR Art. 6(1)(f))", "Yes / Required (Sheet 3)", "")</f>
        <v/>
      </c>
      <c r="L9800" s="7" t="n"/>
      <c r="M9800" s="7" t="n"/>
      <c r="N9800">
        <f>IF(D9800="", "Gap - No Legal Basis", IF(AND(D9800="Consent (GDPR Art. 6(1)(a))", I9800="Not Captured"), "Gap - Invalid Consent", IF(AND(D9800="Legitimate Interest (GDPR Art. 6(1)(f))", L9800=""), "Gap - Missing LIA", IF(AND(G9800="Yes", H9800=""), "Gap - Missing Art. 9 Basis", IF(OR(I9800="Invalid - Not Freely Given", I9800="Invalid - Not Specific", I9800="Invalid - Not Informed", I9800="Invalid - Ambiguous"), "Gap - Invalid Consent", "Compliant")))))</f>
        <v/>
      </c>
      <c r="O9800" s="7" t="n"/>
    </row>
    <row r="9801">
      <c r="A9801" s="7" t="n"/>
      <c r="B9801" s="7" t="n"/>
      <c r="C9801" s="7" t="n"/>
      <c r="D9801" s="7" t="n"/>
      <c r="E9801" s="7" t="n"/>
      <c r="F9801" s="7" t="n"/>
      <c r="G9801" s="7" t="n"/>
      <c r="H9801" s="7" t="n"/>
      <c r="I9801" s="7" t="n"/>
      <c r="J9801" s="7" t="n"/>
      <c r="K9801">
        <f>IF(D9801="Legitimate Interest (GDPR Art. 6(1)(f))", "Yes / Required (Sheet 3)", "")</f>
        <v/>
      </c>
      <c r="L9801" s="7" t="n"/>
      <c r="M9801" s="7" t="n"/>
      <c r="N9801">
        <f>IF(D9801="", "Gap - No Legal Basis", IF(AND(D9801="Consent (GDPR Art. 6(1)(a))", I9801="Not Captured"), "Gap - Invalid Consent", IF(AND(D9801="Legitimate Interest (GDPR Art. 6(1)(f))", L9801=""), "Gap - Missing LIA", IF(AND(G9801="Yes", H9801=""), "Gap - Missing Art. 9 Basis", IF(OR(I9801="Invalid - Not Freely Given", I9801="Invalid - Not Specific", I9801="Invalid - Not Informed", I9801="Invalid - Ambiguous"), "Gap - Invalid Consent", "Compliant")))))</f>
        <v/>
      </c>
      <c r="O9801" s="7" t="n"/>
    </row>
    <row r="9802">
      <c r="A9802" s="7" t="n"/>
      <c r="B9802" s="7" t="n"/>
      <c r="C9802" s="7" t="n"/>
      <c r="D9802" s="7" t="n"/>
      <c r="E9802" s="7" t="n"/>
      <c r="F9802" s="7" t="n"/>
      <c r="G9802" s="7" t="n"/>
      <c r="H9802" s="7" t="n"/>
      <c r="I9802" s="7" t="n"/>
      <c r="J9802" s="7" t="n"/>
      <c r="K9802">
        <f>IF(D9802="Legitimate Interest (GDPR Art. 6(1)(f))", "Yes / Required (Sheet 3)", "")</f>
        <v/>
      </c>
      <c r="L9802" s="7" t="n"/>
      <c r="M9802" s="7" t="n"/>
      <c r="N9802">
        <f>IF(D9802="", "Gap - No Legal Basis", IF(AND(D9802="Consent (GDPR Art. 6(1)(a))", I9802="Not Captured"), "Gap - Invalid Consent", IF(AND(D9802="Legitimate Interest (GDPR Art. 6(1)(f))", L9802=""), "Gap - Missing LIA", IF(AND(G9802="Yes", H9802=""), "Gap - Missing Art. 9 Basis", IF(OR(I9802="Invalid - Not Freely Given", I9802="Invalid - Not Specific", I9802="Invalid - Not Informed", I9802="Invalid - Ambiguous"), "Gap - Invalid Consent", "Compliant")))))</f>
        <v/>
      </c>
      <c r="O9802" s="7" t="n"/>
    </row>
    <row r="9803">
      <c r="A9803" s="7" t="n"/>
      <c r="B9803" s="7" t="n"/>
      <c r="C9803" s="7" t="n"/>
      <c r="D9803" s="7" t="n"/>
      <c r="E9803" s="7" t="n"/>
      <c r="F9803" s="7" t="n"/>
      <c r="G9803" s="7" t="n"/>
      <c r="H9803" s="7" t="n"/>
      <c r="I9803" s="7" t="n"/>
      <c r="J9803" s="7" t="n"/>
      <c r="K9803">
        <f>IF(D9803="Legitimate Interest (GDPR Art. 6(1)(f))", "Yes / Required (Sheet 3)", "")</f>
        <v/>
      </c>
      <c r="L9803" s="7" t="n"/>
      <c r="M9803" s="7" t="n"/>
      <c r="N9803">
        <f>IF(D9803="", "Gap - No Legal Basis", IF(AND(D9803="Consent (GDPR Art. 6(1)(a))", I9803="Not Captured"), "Gap - Invalid Consent", IF(AND(D9803="Legitimate Interest (GDPR Art. 6(1)(f))", L9803=""), "Gap - Missing LIA", IF(AND(G9803="Yes", H9803=""), "Gap - Missing Art. 9 Basis", IF(OR(I9803="Invalid - Not Freely Given", I9803="Invalid - Not Specific", I9803="Invalid - Not Informed", I9803="Invalid - Ambiguous"), "Gap - Invalid Consent", "Compliant")))))</f>
        <v/>
      </c>
      <c r="O9803" s="7" t="n"/>
    </row>
    <row r="9804">
      <c r="A9804" s="7" t="n"/>
      <c r="B9804" s="7" t="n"/>
      <c r="C9804" s="7" t="n"/>
      <c r="D9804" s="7" t="n"/>
      <c r="E9804" s="7" t="n"/>
      <c r="F9804" s="7" t="n"/>
      <c r="G9804" s="7" t="n"/>
      <c r="H9804" s="7" t="n"/>
      <c r="I9804" s="7" t="n"/>
      <c r="J9804" s="7" t="n"/>
      <c r="K9804">
        <f>IF(D9804="Legitimate Interest (GDPR Art. 6(1)(f))", "Yes / Required (Sheet 3)", "")</f>
        <v/>
      </c>
      <c r="L9804" s="7" t="n"/>
      <c r="M9804" s="7" t="n"/>
      <c r="N9804">
        <f>IF(D9804="", "Gap - No Legal Basis", IF(AND(D9804="Consent (GDPR Art. 6(1)(a))", I9804="Not Captured"), "Gap - Invalid Consent", IF(AND(D9804="Legitimate Interest (GDPR Art. 6(1)(f))", L9804=""), "Gap - Missing LIA", IF(AND(G9804="Yes", H9804=""), "Gap - Missing Art. 9 Basis", IF(OR(I9804="Invalid - Not Freely Given", I9804="Invalid - Not Specific", I9804="Invalid - Not Informed", I9804="Invalid - Ambiguous"), "Gap - Invalid Consent", "Compliant")))))</f>
        <v/>
      </c>
      <c r="O9804" s="7" t="n"/>
    </row>
    <row r="9805">
      <c r="A9805" s="7" t="n"/>
      <c r="B9805" s="7" t="n"/>
      <c r="C9805" s="7" t="n"/>
      <c r="D9805" s="7" t="n"/>
      <c r="E9805" s="7" t="n"/>
      <c r="F9805" s="7" t="n"/>
      <c r="G9805" s="7" t="n"/>
      <c r="H9805" s="7" t="n"/>
      <c r="I9805" s="7" t="n"/>
      <c r="J9805" s="7" t="n"/>
      <c r="K9805">
        <f>IF(D9805="Legitimate Interest (GDPR Art. 6(1)(f))", "Yes / Required (Sheet 3)", "")</f>
        <v/>
      </c>
      <c r="L9805" s="7" t="n"/>
      <c r="M9805" s="7" t="n"/>
      <c r="N9805">
        <f>IF(D9805="", "Gap - No Legal Basis", IF(AND(D9805="Consent (GDPR Art. 6(1)(a))", I9805="Not Captured"), "Gap - Invalid Consent", IF(AND(D9805="Legitimate Interest (GDPR Art. 6(1)(f))", L9805=""), "Gap - Missing LIA", IF(AND(G9805="Yes", H9805=""), "Gap - Missing Art. 9 Basis", IF(OR(I9805="Invalid - Not Freely Given", I9805="Invalid - Not Specific", I9805="Invalid - Not Informed", I9805="Invalid - Ambiguous"), "Gap - Invalid Consent", "Compliant")))))</f>
        <v/>
      </c>
      <c r="O9805" s="7" t="n"/>
    </row>
    <row r="9806">
      <c r="A9806" s="7" t="n"/>
      <c r="B9806" s="7" t="n"/>
      <c r="C9806" s="7" t="n"/>
      <c r="D9806" s="7" t="n"/>
      <c r="E9806" s="7" t="n"/>
      <c r="F9806" s="7" t="n"/>
      <c r="G9806" s="7" t="n"/>
      <c r="H9806" s="7" t="n"/>
      <c r="I9806" s="7" t="n"/>
      <c r="J9806" s="7" t="n"/>
      <c r="K9806">
        <f>IF(D9806="Legitimate Interest (GDPR Art. 6(1)(f))", "Yes / Required (Sheet 3)", "")</f>
        <v/>
      </c>
      <c r="L9806" s="7" t="n"/>
      <c r="M9806" s="7" t="n"/>
      <c r="N9806">
        <f>IF(D9806="", "Gap - No Legal Basis", IF(AND(D9806="Consent (GDPR Art. 6(1)(a))", I9806="Not Captured"), "Gap - Invalid Consent", IF(AND(D9806="Legitimate Interest (GDPR Art. 6(1)(f))", L9806=""), "Gap - Missing LIA", IF(AND(G9806="Yes", H9806=""), "Gap - Missing Art. 9 Basis", IF(OR(I9806="Invalid - Not Freely Given", I9806="Invalid - Not Specific", I9806="Invalid - Not Informed", I9806="Invalid - Ambiguous"), "Gap - Invalid Consent", "Compliant")))))</f>
        <v/>
      </c>
      <c r="O9806" s="7" t="n"/>
    </row>
    <row r="9807">
      <c r="A9807" s="7" t="n"/>
      <c r="B9807" s="7" t="n"/>
      <c r="C9807" s="7" t="n"/>
      <c r="D9807" s="7" t="n"/>
      <c r="E9807" s="7" t="n"/>
      <c r="F9807" s="7" t="n"/>
      <c r="G9807" s="7" t="n"/>
      <c r="H9807" s="7" t="n"/>
      <c r="I9807" s="7" t="n"/>
      <c r="J9807" s="7" t="n"/>
      <c r="K9807">
        <f>IF(D9807="Legitimate Interest (GDPR Art. 6(1)(f))", "Yes / Required (Sheet 3)", "")</f>
        <v/>
      </c>
      <c r="L9807" s="7" t="n"/>
      <c r="M9807" s="7" t="n"/>
      <c r="N9807">
        <f>IF(D9807="", "Gap - No Legal Basis", IF(AND(D9807="Consent (GDPR Art. 6(1)(a))", I9807="Not Captured"), "Gap - Invalid Consent", IF(AND(D9807="Legitimate Interest (GDPR Art. 6(1)(f))", L9807=""), "Gap - Missing LIA", IF(AND(G9807="Yes", H9807=""), "Gap - Missing Art. 9 Basis", IF(OR(I9807="Invalid - Not Freely Given", I9807="Invalid - Not Specific", I9807="Invalid - Not Informed", I9807="Invalid - Ambiguous"), "Gap - Invalid Consent", "Compliant")))))</f>
        <v/>
      </c>
      <c r="O9807" s="7" t="n"/>
    </row>
    <row r="9808">
      <c r="A9808" s="7" t="n"/>
      <c r="B9808" s="7" t="n"/>
      <c r="C9808" s="7" t="n"/>
      <c r="D9808" s="7" t="n"/>
      <c r="E9808" s="7" t="n"/>
      <c r="F9808" s="7" t="n"/>
      <c r="G9808" s="7" t="n"/>
      <c r="H9808" s="7" t="n"/>
      <c r="I9808" s="7" t="n"/>
      <c r="J9808" s="7" t="n"/>
      <c r="K9808">
        <f>IF(D9808="Legitimate Interest (GDPR Art. 6(1)(f))", "Yes / Required (Sheet 3)", "")</f>
        <v/>
      </c>
      <c r="L9808" s="7" t="n"/>
      <c r="M9808" s="7" t="n"/>
      <c r="N9808">
        <f>IF(D9808="", "Gap - No Legal Basis", IF(AND(D9808="Consent (GDPR Art. 6(1)(a))", I9808="Not Captured"), "Gap - Invalid Consent", IF(AND(D9808="Legitimate Interest (GDPR Art. 6(1)(f))", L9808=""), "Gap - Missing LIA", IF(AND(G9808="Yes", H9808=""), "Gap - Missing Art. 9 Basis", IF(OR(I9808="Invalid - Not Freely Given", I9808="Invalid - Not Specific", I9808="Invalid - Not Informed", I9808="Invalid - Ambiguous"), "Gap - Invalid Consent", "Compliant")))))</f>
        <v/>
      </c>
      <c r="O9808" s="7" t="n"/>
    </row>
    <row r="9809">
      <c r="A9809" s="7" t="n"/>
      <c r="B9809" s="7" t="n"/>
      <c r="C9809" s="7" t="n"/>
      <c r="D9809" s="7" t="n"/>
      <c r="E9809" s="7" t="n"/>
      <c r="F9809" s="7" t="n"/>
      <c r="G9809" s="7" t="n"/>
      <c r="H9809" s="7" t="n"/>
      <c r="I9809" s="7" t="n"/>
      <c r="J9809" s="7" t="n"/>
      <c r="K9809">
        <f>IF(D9809="Legitimate Interest (GDPR Art. 6(1)(f))", "Yes / Required (Sheet 3)", "")</f>
        <v/>
      </c>
      <c r="L9809" s="7" t="n"/>
      <c r="M9809" s="7" t="n"/>
      <c r="N9809">
        <f>IF(D9809="", "Gap - No Legal Basis", IF(AND(D9809="Consent (GDPR Art. 6(1)(a))", I9809="Not Captured"), "Gap - Invalid Consent", IF(AND(D9809="Legitimate Interest (GDPR Art. 6(1)(f))", L9809=""), "Gap - Missing LIA", IF(AND(G9809="Yes", H9809=""), "Gap - Missing Art. 9 Basis", IF(OR(I9809="Invalid - Not Freely Given", I9809="Invalid - Not Specific", I9809="Invalid - Not Informed", I9809="Invalid - Ambiguous"), "Gap - Invalid Consent", "Compliant")))))</f>
        <v/>
      </c>
      <c r="O9809" s="7" t="n"/>
    </row>
    <row r="9810">
      <c r="A9810" s="7" t="n"/>
      <c r="B9810" s="7" t="n"/>
      <c r="C9810" s="7" t="n"/>
      <c r="D9810" s="7" t="n"/>
      <c r="E9810" s="7" t="n"/>
      <c r="F9810" s="7" t="n"/>
      <c r="G9810" s="7" t="n"/>
      <c r="H9810" s="7" t="n"/>
      <c r="I9810" s="7" t="n"/>
      <c r="J9810" s="7" t="n"/>
      <c r="K9810">
        <f>IF(D9810="Legitimate Interest (GDPR Art. 6(1)(f))", "Yes / Required (Sheet 3)", "")</f>
        <v/>
      </c>
      <c r="L9810" s="7" t="n"/>
      <c r="M9810" s="7" t="n"/>
      <c r="N9810">
        <f>IF(D9810="", "Gap - No Legal Basis", IF(AND(D9810="Consent (GDPR Art. 6(1)(a))", I9810="Not Captured"), "Gap - Invalid Consent", IF(AND(D9810="Legitimate Interest (GDPR Art. 6(1)(f))", L9810=""), "Gap - Missing LIA", IF(AND(G9810="Yes", H9810=""), "Gap - Missing Art. 9 Basis", IF(OR(I9810="Invalid - Not Freely Given", I9810="Invalid - Not Specific", I9810="Invalid - Not Informed", I9810="Invalid - Ambiguous"), "Gap - Invalid Consent", "Compliant")))))</f>
        <v/>
      </c>
      <c r="O9810" s="7" t="n"/>
    </row>
    <row r="9811">
      <c r="A9811" s="7" t="n"/>
      <c r="B9811" s="7" t="n"/>
      <c r="C9811" s="7" t="n"/>
      <c r="D9811" s="7" t="n"/>
      <c r="E9811" s="7" t="n"/>
      <c r="F9811" s="7" t="n"/>
      <c r="G9811" s="7" t="n"/>
      <c r="H9811" s="7" t="n"/>
      <c r="I9811" s="7" t="n"/>
      <c r="J9811" s="7" t="n"/>
      <c r="K9811">
        <f>IF(D9811="Legitimate Interest (GDPR Art. 6(1)(f))", "Yes / Required (Sheet 3)", "")</f>
        <v/>
      </c>
      <c r="L9811" s="7" t="n"/>
      <c r="M9811" s="7" t="n"/>
      <c r="N9811">
        <f>IF(D9811="", "Gap - No Legal Basis", IF(AND(D9811="Consent (GDPR Art. 6(1)(a))", I9811="Not Captured"), "Gap - Invalid Consent", IF(AND(D9811="Legitimate Interest (GDPR Art. 6(1)(f))", L9811=""), "Gap - Missing LIA", IF(AND(G9811="Yes", H9811=""), "Gap - Missing Art. 9 Basis", IF(OR(I9811="Invalid - Not Freely Given", I9811="Invalid - Not Specific", I9811="Invalid - Not Informed", I9811="Invalid - Ambiguous"), "Gap - Invalid Consent", "Compliant")))))</f>
        <v/>
      </c>
      <c r="O9811" s="7" t="n"/>
    </row>
    <row r="9812">
      <c r="A9812" s="7" t="n"/>
      <c r="B9812" s="7" t="n"/>
      <c r="C9812" s="7" t="n"/>
      <c r="D9812" s="7" t="n"/>
      <c r="E9812" s="7" t="n"/>
      <c r="F9812" s="7" t="n"/>
      <c r="G9812" s="7" t="n"/>
      <c r="H9812" s="7" t="n"/>
      <c r="I9812" s="7" t="n"/>
      <c r="J9812" s="7" t="n"/>
      <c r="K9812">
        <f>IF(D9812="Legitimate Interest (GDPR Art. 6(1)(f))", "Yes / Required (Sheet 3)", "")</f>
        <v/>
      </c>
      <c r="L9812" s="7" t="n"/>
      <c r="M9812" s="7" t="n"/>
      <c r="N9812">
        <f>IF(D9812="", "Gap - No Legal Basis", IF(AND(D9812="Consent (GDPR Art. 6(1)(a))", I9812="Not Captured"), "Gap - Invalid Consent", IF(AND(D9812="Legitimate Interest (GDPR Art. 6(1)(f))", L9812=""), "Gap - Missing LIA", IF(AND(G9812="Yes", H9812=""), "Gap - Missing Art. 9 Basis", IF(OR(I9812="Invalid - Not Freely Given", I9812="Invalid - Not Specific", I9812="Invalid - Not Informed", I9812="Invalid - Ambiguous"), "Gap - Invalid Consent", "Compliant")))))</f>
        <v/>
      </c>
      <c r="O9812" s="7" t="n"/>
    </row>
    <row r="9813">
      <c r="A9813" s="7" t="n"/>
      <c r="B9813" s="7" t="n"/>
      <c r="C9813" s="7" t="n"/>
      <c r="D9813" s="7" t="n"/>
      <c r="E9813" s="7" t="n"/>
      <c r="F9813" s="7" t="n"/>
      <c r="G9813" s="7" t="n"/>
      <c r="H9813" s="7" t="n"/>
      <c r="I9813" s="7" t="n"/>
      <c r="J9813" s="7" t="n"/>
      <c r="K9813">
        <f>IF(D9813="Legitimate Interest (GDPR Art. 6(1)(f))", "Yes / Required (Sheet 3)", "")</f>
        <v/>
      </c>
      <c r="L9813" s="7" t="n"/>
      <c r="M9813" s="7" t="n"/>
      <c r="N9813">
        <f>IF(D9813="", "Gap - No Legal Basis", IF(AND(D9813="Consent (GDPR Art. 6(1)(a))", I9813="Not Captured"), "Gap - Invalid Consent", IF(AND(D9813="Legitimate Interest (GDPR Art. 6(1)(f))", L9813=""), "Gap - Missing LIA", IF(AND(G9813="Yes", H9813=""), "Gap - Missing Art. 9 Basis", IF(OR(I9813="Invalid - Not Freely Given", I9813="Invalid - Not Specific", I9813="Invalid - Not Informed", I9813="Invalid - Ambiguous"), "Gap - Invalid Consent", "Compliant")))))</f>
        <v/>
      </c>
      <c r="O9813" s="7" t="n"/>
    </row>
    <row r="9814">
      <c r="A9814" s="7" t="n"/>
      <c r="B9814" s="7" t="n"/>
      <c r="C9814" s="7" t="n"/>
      <c r="D9814" s="7" t="n"/>
      <c r="E9814" s="7" t="n"/>
      <c r="F9814" s="7" t="n"/>
      <c r="G9814" s="7" t="n"/>
      <c r="H9814" s="7" t="n"/>
      <c r="I9814" s="7" t="n"/>
      <c r="J9814" s="7" t="n"/>
      <c r="K9814">
        <f>IF(D9814="Legitimate Interest (GDPR Art. 6(1)(f))", "Yes / Required (Sheet 3)", "")</f>
        <v/>
      </c>
      <c r="L9814" s="7" t="n"/>
      <c r="M9814" s="7" t="n"/>
      <c r="N9814">
        <f>IF(D9814="", "Gap - No Legal Basis", IF(AND(D9814="Consent (GDPR Art. 6(1)(a))", I9814="Not Captured"), "Gap - Invalid Consent", IF(AND(D9814="Legitimate Interest (GDPR Art. 6(1)(f))", L9814=""), "Gap - Missing LIA", IF(AND(G9814="Yes", H9814=""), "Gap - Missing Art. 9 Basis", IF(OR(I9814="Invalid - Not Freely Given", I9814="Invalid - Not Specific", I9814="Invalid - Not Informed", I9814="Invalid - Ambiguous"), "Gap - Invalid Consent", "Compliant")))))</f>
        <v/>
      </c>
      <c r="O9814" s="7" t="n"/>
    </row>
    <row r="9815">
      <c r="A9815" s="7" t="n"/>
      <c r="B9815" s="7" t="n"/>
      <c r="C9815" s="7" t="n"/>
      <c r="D9815" s="7" t="n"/>
      <c r="E9815" s="7" t="n"/>
      <c r="F9815" s="7" t="n"/>
      <c r="G9815" s="7" t="n"/>
      <c r="H9815" s="7" t="n"/>
      <c r="I9815" s="7" t="n"/>
      <c r="J9815" s="7" t="n"/>
      <c r="K9815">
        <f>IF(D9815="Legitimate Interest (GDPR Art. 6(1)(f))", "Yes / Required (Sheet 3)", "")</f>
        <v/>
      </c>
      <c r="L9815" s="7" t="n"/>
      <c r="M9815" s="7" t="n"/>
      <c r="N9815">
        <f>IF(D9815="", "Gap - No Legal Basis", IF(AND(D9815="Consent (GDPR Art. 6(1)(a))", I9815="Not Captured"), "Gap - Invalid Consent", IF(AND(D9815="Legitimate Interest (GDPR Art. 6(1)(f))", L9815=""), "Gap - Missing LIA", IF(AND(G9815="Yes", H9815=""), "Gap - Missing Art. 9 Basis", IF(OR(I9815="Invalid - Not Freely Given", I9815="Invalid - Not Specific", I9815="Invalid - Not Informed", I9815="Invalid - Ambiguous"), "Gap - Invalid Consent", "Compliant")))))</f>
        <v/>
      </c>
      <c r="O9815" s="7" t="n"/>
    </row>
    <row r="9816">
      <c r="A9816" s="7" t="n"/>
      <c r="B9816" s="7" t="n"/>
      <c r="C9816" s="7" t="n"/>
      <c r="D9816" s="7" t="n"/>
      <c r="E9816" s="7" t="n"/>
      <c r="F9816" s="7" t="n"/>
      <c r="G9816" s="7" t="n"/>
      <c r="H9816" s="7" t="n"/>
      <c r="I9816" s="7" t="n"/>
      <c r="J9816" s="7" t="n"/>
      <c r="K9816">
        <f>IF(D9816="Legitimate Interest (GDPR Art. 6(1)(f))", "Yes / Required (Sheet 3)", "")</f>
        <v/>
      </c>
      <c r="L9816" s="7" t="n"/>
      <c r="M9816" s="7" t="n"/>
      <c r="N9816">
        <f>IF(D9816="", "Gap - No Legal Basis", IF(AND(D9816="Consent (GDPR Art. 6(1)(a))", I9816="Not Captured"), "Gap - Invalid Consent", IF(AND(D9816="Legitimate Interest (GDPR Art. 6(1)(f))", L9816=""), "Gap - Missing LIA", IF(AND(G9816="Yes", H9816=""), "Gap - Missing Art. 9 Basis", IF(OR(I9816="Invalid - Not Freely Given", I9816="Invalid - Not Specific", I9816="Invalid - Not Informed", I9816="Invalid - Ambiguous"), "Gap - Invalid Consent", "Compliant")))))</f>
        <v/>
      </c>
      <c r="O9816" s="7" t="n"/>
    </row>
    <row r="9817">
      <c r="A9817" s="7" t="n"/>
      <c r="B9817" s="7" t="n"/>
      <c r="C9817" s="7" t="n"/>
      <c r="D9817" s="7" t="n"/>
      <c r="E9817" s="7" t="n"/>
      <c r="F9817" s="7" t="n"/>
      <c r="G9817" s="7" t="n"/>
      <c r="H9817" s="7" t="n"/>
      <c r="I9817" s="7" t="n"/>
      <c r="J9817" s="7" t="n"/>
      <c r="K9817">
        <f>IF(D9817="Legitimate Interest (GDPR Art. 6(1)(f))", "Yes / Required (Sheet 3)", "")</f>
        <v/>
      </c>
      <c r="L9817" s="7" t="n"/>
      <c r="M9817" s="7" t="n"/>
      <c r="N9817">
        <f>IF(D9817="", "Gap - No Legal Basis", IF(AND(D9817="Consent (GDPR Art. 6(1)(a))", I9817="Not Captured"), "Gap - Invalid Consent", IF(AND(D9817="Legitimate Interest (GDPR Art. 6(1)(f))", L9817=""), "Gap - Missing LIA", IF(AND(G9817="Yes", H9817=""), "Gap - Missing Art. 9 Basis", IF(OR(I9817="Invalid - Not Freely Given", I9817="Invalid - Not Specific", I9817="Invalid - Not Informed", I9817="Invalid - Ambiguous"), "Gap - Invalid Consent", "Compliant")))))</f>
        <v/>
      </c>
      <c r="O9817" s="7" t="n"/>
    </row>
    <row r="9818">
      <c r="A9818" s="7" t="n"/>
      <c r="B9818" s="7" t="n"/>
      <c r="C9818" s="7" t="n"/>
      <c r="D9818" s="7" t="n"/>
      <c r="E9818" s="7" t="n"/>
      <c r="F9818" s="7" t="n"/>
      <c r="G9818" s="7" t="n"/>
      <c r="H9818" s="7" t="n"/>
      <c r="I9818" s="7" t="n"/>
      <c r="J9818" s="7" t="n"/>
      <c r="K9818">
        <f>IF(D9818="Legitimate Interest (GDPR Art. 6(1)(f))", "Yes / Required (Sheet 3)", "")</f>
        <v/>
      </c>
      <c r="L9818" s="7" t="n"/>
      <c r="M9818" s="7" t="n"/>
      <c r="N9818">
        <f>IF(D9818="", "Gap - No Legal Basis", IF(AND(D9818="Consent (GDPR Art. 6(1)(a))", I9818="Not Captured"), "Gap - Invalid Consent", IF(AND(D9818="Legitimate Interest (GDPR Art. 6(1)(f))", L9818=""), "Gap - Missing LIA", IF(AND(G9818="Yes", H9818=""), "Gap - Missing Art. 9 Basis", IF(OR(I9818="Invalid - Not Freely Given", I9818="Invalid - Not Specific", I9818="Invalid - Not Informed", I9818="Invalid - Ambiguous"), "Gap - Invalid Consent", "Compliant")))))</f>
        <v/>
      </c>
      <c r="O9818" s="7" t="n"/>
    </row>
    <row r="9819">
      <c r="A9819" s="7" t="n"/>
      <c r="B9819" s="7" t="n"/>
      <c r="C9819" s="7" t="n"/>
      <c r="D9819" s="7" t="n"/>
      <c r="E9819" s="7" t="n"/>
      <c r="F9819" s="7" t="n"/>
      <c r="G9819" s="7" t="n"/>
      <c r="H9819" s="7" t="n"/>
      <c r="I9819" s="7" t="n"/>
      <c r="J9819" s="7" t="n"/>
      <c r="K9819">
        <f>IF(D9819="Legitimate Interest (GDPR Art. 6(1)(f))", "Yes / Required (Sheet 3)", "")</f>
        <v/>
      </c>
      <c r="L9819" s="7" t="n"/>
      <c r="M9819" s="7" t="n"/>
      <c r="N9819">
        <f>IF(D9819="", "Gap - No Legal Basis", IF(AND(D9819="Consent (GDPR Art. 6(1)(a))", I9819="Not Captured"), "Gap - Invalid Consent", IF(AND(D9819="Legitimate Interest (GDPR Art. 6(1)(f))", L9819=""), "Gap - Missing LIA", IF(AND(G9819="Yes", H9819=""), "Gap - Missing Art. 9 Basis", IF(OR(I9819="Invalid - Not Freely Given", I9819="Invalid - Not Specific", I9819="Invalid - Not Informed", I9819="Invalid - Ambiguous"), "Gap - Invalid Consent", "Compliant")))))</f>
        <v/>
      </c>
      <c r="O9819" s="7" t="n"/>
    </row>
    <row r="9820">
      <c r="A9820" s="7" t="n"/>
      <c r="B9820" s="7" t="n"/>
      <c r="C9820" s="7" t="n"/>
      <c r="D9820" s="7" t="n"/>
      <c r="E9820" s="7" t="n"/>
      <c r="F9820" s="7" t="n"/>
      <c r="G9820" s="7" t="n"/>
      <c r="H9820" s="7" t="n"/>
      <c r="I9820" s="7" t="n"/>
      <c r="J9820" s="7" t="n"/>
      <c r="K9820">
        <f>IF(D9820="Legitimate Interest (GDPR Art. 6(1)(f))", "Yes / Required (Sheet 3)", "")</f>
        <v/>
      </c>
      <c r="L9820" s="7" t="n"/>
      <c r="M9820" s="7" t="n"/>
      <c r="N9820">
        <f>IF(D9820="", "Gap - No Legal Basis", IF(AND(D9820="Consent (GDPR Art. 6(1)(a))", I9820="Not Captured"), "Gap - Invalid Consent", IF(AND(D9820="Legitimate Interest (GDPR Art. 6(1)(f))", L9820=""), "Gap - Missing LIA", IF(AND(G9820="Yes", H9820=""), "Gap - Missing Art. 9 Basis", IF(OR(I9820="Invalid - Not Freely Given", I9820="Invalid - Not Specific", I9820="Invalid - Not Informed", I9820="Invalid - Ambiguous"), "Gap - Invalid Consent", "Compliant")))))</f>
        <v/>
      </c>
      <c r="O9820" s="7" t="n"/>
    </row>
    <row r="9821">
      <c r="A9821" s="7" t="n"/>
      <c r="B9821" s="7" t="n"/>
      <c r="C9821" s="7" t="n"/>
      <c r="D9821" s="7" t="n"/>
      <c r="E9821" s="7" t="n"/>
      <c r="F9821" s="7" t="n"/>
      <c r="G9821" s="7" t="n"/>
      <c r="H9821" s="7" t="n"/>
      <c r="I9821" s="7" t="n"/>
      <c r="J9821" s="7" t="n"/>
      <c r="K9821">
        <f>IF(D9821="Legitimate Interest (GDPR Art. 6(1)(f))", "Yes / Required (Sheet 3)", "")</f>
        <v/>
      </c>
      <c r="L9821" s="7" t="n"/>
      <c r="M9821" s="7" t="n"/>
      <c r="N9821">
        <f>IF(D9821="", "Gap - No Legal Basis", IF(AND(D9821="Consent (GDPR Art. 6(1)(a))", I9821="Not Captured"), "Gap - Invalid Consent", IF(AND(D9821="Legitimate Interest (GDPR Art. 6(1)(f))", L9821=""), "Gap - Missing LIA", IF(AND(G9821="Yes", H9821=""), "Gap - Missing Art. 9 Basis", IF(OR(I9821="Invalid - Not Freely Given", I9821="Invalid - Not Specific", I9821="Invalid - Not Informed", I9821="Invalid - Ambiguous"), "Gap - Invalid Consent", "Compliant")))))</f>
        <v/>
      </c>
      <c r="O9821" s="7" t="n"/>
    </row>
    <row r="9822">
      <c r="A9822" s="7" t="n"/>
      <c r="B9822" s="7" t="n"/>
      <c r="C9822" s="7" t="n"/>
      <c r="D9822" s="7" t="n"/>
      <c r="E9822" s="7" t="n"/>
      <c r="F9822" s="7" t="n"/>
      <c r="G9822" s="7" t="n"/>
      <c r="H9822" s="7" t="n"/>
      <c r="I9822" s="7" t="n"/>
      <c r="J9822" s="7" t="n"/>
      <c r="K9822">
        <f>IF(D9822="Legitimate Interest (GDPR Art. 6(1)(f))", "Yes / Required (Sheet 3)", "")</f>
        <v/>
      </c>
      <c r="L9822" s="7" t="n"/>
      <c r="M9822" s="7" t="n"/>
      <c r="N9822">
        <f>IF(D9822="", "Gap - No Legal Basis", IF(AND(D9822="Consent (GDPR Art. 6(1)(a))", I9822="Not Captured"), "Gap - Invalid Consent", IF(AND(D9822="Legitimate Interest (GDPR Art. 6(1)(f))", L9822=""), "Gap - Missing LIA", IF(AND(G9822="Yes", H9822=""), "Gap - Missing Art. 9 Basis", IF(OR(I9822="Invalid - Not Freely Given", I9822="Invalid - Not Specific", I9822="Invalid - Not Informed", I9822="Invalid - Ambiguous"), "Gap - Invalid Consent", "Compliant")))))</f>
        <v/>
      </c>
      <c r="O9822" s="7" t="n"/>
    </row>
    <row r="9823">
      <c r="A9823" s="7" t="n"/>
      <c r="B9823" s="7" t="n"/>
      <c r="C9823" s="7" t="n"/>
      <c r="D9823" s="7" t="n"/>
      <c r="E9823" s="7" t="n"/>
      <c r="F9823" s="7" t="n"/>
      <c r="G9823" s="7" t="n"/>
      <c r="H9823" s="7" t="n"/>
      <c r="I9823" s="7" t="n"/>
      <c r="J9823" s="7" t="n"/>
      <c r="K9823">
        <f>IF(D9823="Legitimate Interest (GDPR Art. 6(1)(f))", "Yes / Required (Sheet 3)", "")</f>
        <v/>
      </c>
      <c r="L9823" s="7" t="n"/>
      <c r="M9823" s="7" t="n"/>
      <c r="N9823">
        <f>IF(D9823="", "Gap - No Legal Basis", IF(AND(D9823="Consent (GDPR Art. 6(1)(a))", I9823="Not Captured"), "Gap - Invalid Consent", IF(AND(D9823="Legitimate Interest (GDPR Art. 6(1)(f))", L9823=""), "Gap - Missing LIA", IF(AND(G9823="Yes", H9823=""), "Gap - Missing Art. 9 Basis", IF(OR(I9823="Invalid - Not Freely Given", I9823="Invalid - Not Specific", I9823="Invalid - Not Informed", I9823="Invalid - Ambiguous"), "Gap - Invalid Consent", "Compliant")))))</f>
        <v/>
      </c>
      <c r="O9823" s="7" t="n"/>
    </row>
    <row r="9824">
      <c r="A9824" s="7" t="n"/>
      <c r="B9824" s="7" t="n"/>
      <c r="C9824" s="7" t="n"/>
      <c r="D9824" s="7" t="n"/>
      <c r="E9824" s="7" t="n"/>
      <c r="F9824" s="7" t="n"/>
      <c r="G9824" s="7" t="n"/>
      <c r="H9824" s="7" t="n"/>
      <c r="I9824" s="7" t="n"/>
      <c r="J9824" s="7" t="n"/>
      <c r="K9824">
        <f>IF(D9824="Legitimate Interest (GDPR Art. 6(1)(f))", "Yes / Required (Sheet 3)", "")</f>
        <v/>
      </c>
      <c r="L9824" s="7" t="n"/>
      <c r="M9824" s="7" t="n"/>
      <c r="N9824">
        <f>IF(D9824="", "Gap - No Legal Basis", IF(AND(D9824="Consent (GDPR Art. 6(1)(a))", I9824="Not Captured"), "Gap - Invalid Consent", IF(AND(D9824="Legitimate Interest (GDPR Art. 6(1)(f))", L9824=""), "Gap - Missing LIA", IF(AND(G9824="Yes", H9824=""), "Gap - Missing Art. 9 Basis", IF(OR(I9824="Invalid - Not Freely Given", I9824="Invalid - Not Specific", I9824="Invalid - Not Informed", I9824="Invalid - Ambiguous"), "Gap - Invalid Consent", "Compliant")))))</f>
        <v/>
      </c>
      <c r="O9824" s="7" t="n"/>
    </row>
    <row r="9825">
      <c r="A9825" s="7" t="n"/>
      <c r="B9825" s="7" t="n"/>
      <c r="C9825" s="7" t="n"/>
      <c r="D9825" s="7" t="n"/>
      <c r="E9825" s="7" t="n"/>
      <c r="F9825" s="7" t="n"/>
      <c r="G9825" s="7" t="n"/>
      <c r="H9825" s="7" t="n"/>
      <c r="I9825" s="7" t="n"/>
      <c r="J9825" s="7" t="n"/>
      <c r="K9825">
        <f>IF(D9825="Legitimate Interest (GDPR Art. 6(1)(f))", "Yes / Required (Sheet 3)", "")</f>
        <v/>
      </c>
      <c r="L9825" s="7" t="n"/>
      <c r="M9825" s="7" t="n"/>
      <c r="N9825">
        <f>IF(D9825="", "Gap - No Legal Basis", IF(AND(D9825="Consent (GDPR Art. 6(1)(a))", I9825="Not Captured"), "Gap - Invalid Consent", IF(AND(D9825="Legitimate Interest (GDPR Art. 6(1)(f))", L9825=""), "Gap - Missing LIA", IF(AND(G9825="Yes", H9825=""), "Gap - Missing Art. 9 Basis", IF(OR(I9825="Invalid - Not Freely Given", I9825="Invalid - Not Specific", I9825="Invalid - Not Informed", I9825="Invalid - Ambiguous"), "Gap - Invalid Consent", "Compliant")))))</f>
        <v/>
      </c>
      <c r="O9825" s="7" t="n"/>
    </row>
    <row r="9826">
      <c r="A9826" s="7" t="n"/>
      <c r="B9826" s="7" t="n"/>
      <c r="C9826" s="7" t="n"/>
      <c r="D9826" s="7" t="n"/>
      <c r="E9826" s="7" t="n"/>
      <c r="F9826" s="7" t="n"/>
      <c r="G9826" s="7" t="n"/>
      <c r="H9826" s="7" t="n"/>
      <c r="I9826" s="7" t="n"/>
      <c r="J9826" s="7" t="n"/>
      <c r="K9826">
        <f>IF(D9826="Legitimate Interest (GDPR Art. 6(1)(f))", "Yes / Required (Sheet 3)", "")</f>
        <v/>
      </c>
      <c r="L9826" s="7" t="n"/>
      <c r="M9826" s="7" t="n"/>
      <c r="N9826">
        <f>IF(D9826="", "Gap - No Legal Basis", IF(AND(D9826="Consent (GDPR Art. 6(1)(a))", I9826="Not Captured"), "Gap - Invalid Consent", IF(AND(D9826="Legitimate Interest (GDPR Art. 6(1)(f))", L9826=""), "Gap - Missing LIA", IF(AND(G9826="Yes", H9826=""), "Gap - Missing Art. 9 Basis", IF(OR(I9826="Invalid - Not Freely Given", I9826="Invalid - Not Specific", I9826="Invalid - Not Informed", I9826="Invalid - Ambiguous"), "Gap - Invalid Consent", "Compliant")))))</f>
        <v/>
      </c>
      <c r="O9826" s="7" t="n"/>
    </row>
    <row r="9827">
      <c r="A9827" s="7" t="n"/>
      <c r="B9827" s="7" t="n"/>
      <c r="C9827" s="7" t="n"/>
      <c r="D9827" s="7" t="n"/>
      <c r="E9827" s="7" t="n"/>
      <c r="F9827" s="7" t="n"/>
      <c r="G9827" s="7" t="n"/>
      <c r="H9827" s="7" t="n"/>
      <c r="I9827" s="7" t="n"/>
      <c r="J9827" s="7" t="n"/>
      <c r="K9827">
        <f>IF(D9827="Legitimate Interest (GDPR Art. 6(1)(f))", "Yes / Required (Sheet 3)", "")</f>
        <v/>
      </c>
      <c r="L9827" s="7" t="n"/>
      <c r="M9827" s="7" t="n"/>
      <c r="N9827">
        <f>IF(D9827="", "Gap - No Legal Basis", IF(AND(D9827="Consent (GDPR Art. 6(1)(a))", I9827="Not Captured"), "Gap - Invalid Consent", IF(AND(D9827="Legitimate Interest (GDPR Art. 6(1)(f))", L9827=""), "Gap - Missing LIA", IF(AND(G9827="Yes", H9827=""), "Gap - Missing Art. 9 Basis", IF(OR(I9827="Invalid - Not Freely Given", I9827="Invalid - Not Specific", I9827="Invalid - Not Informed", I9827="Invalid - Ambiguous"), "Gap - Invalid Consent", "Compliant")))))</f>
        <v/>
      </c>
      <c r="O9827" s="7" t="n"/>
    </row>
    <row r="9828">
      <c r="A9828" s="7" t="n"/>
      <c r="B9828" s="7" t="n"/>
      <c r="C9828" s="7" t="n"/>
      <c r="D9828" s="7" t="n"/>
      <c r="E9828" s="7" t="n"/>
      <c r="F9828" s="7" t="n"/>
      <c r="G9828" s="7" t="n"/>
      <c r="H9828" s="7" t="n"/>
      <c r="I9828" s="7" t="n"/>
      <c r="J9828" s="7" t="n"/>
      <c r="K9828">
        <f>IF(D9828="Legitimate Interest (GDPR Art. 6(1)(f))", "Yes / Required (Sheet 3)", "")</f>
        <v/>
      </c>
      <c r="L9828" s="7" t="n"/>
      <c r="M9828" s="7" t="n"/>
      <c r="N9828">
        <f>IF(D9828="", "Gap - No Legal Basis", IF(AND(D9828="Consent (GDPR Art. 6(1)(a))", I9828="Not Captured"), "Gap - Invalid Consent", IF(AND(D9828="Legitimate Interest (GDPR Art. 6(1)(f))", L9828=""), "Gap - Missing LIA", IF(AND(G9828="Yes", H9828=""), "Gap - Missing Art. 9 Basis", IF(OR(I9828="Invalid - Not Freely Given", I9828="Invalid - Not Specific", I9828="Invalid - Not Informed", I9828="Invalid - Ambiguous"), "Gap - Invalid Consent", "Compliant")))))</f>
        <v/>
      </c>
      <c r="O9828" s="7" t="n"/>
    </row>
    <row r="9829">
      <c r="A9829" s="7" t="n"/>
      <c r="B9829" s="7" t="n"/>
      <c r="C9829" s="7" t="n"/>
      <c r="D9829" s="7" t="n"/>
      <c r="E9829" s="7" t="n"/>
      <c r="F9829" s="7" t="n"/>
      <c r="G9829" s="7" t="n"/>
      <c r="H9829" s="7" t="n"/>
      <c r="I9829" s="7" t="n"/>
      <c r="J9829" s="7" t="n"/>
      <c r="K9829">
        <f>IF(D9829="Legitimate Interest (GDPR Art. 6(1)(f))", "Yes / Required (Sheet 3)", "")</f>
        <v/>
      </c>
      <c r="L9829" s="7" t="n"/>
      <c r="M9829" s="7" t="n"/>
      <c r="N9829">
        <f>IF(D9829="", "Gap - No Legal Basis", IF(AND(D9829="Consent (GDPR Art. 6(1)(a))", I9829="Not Captured"), "Gap - Invalid Consent", IF(AND(D9829="Legitimate Interest (GDPR Art. 6(1)(f))", L9829=""), "Gap - Missing LIA", IF(AND(G9829="Yes", H9829=""), "Gap - Missing Art. 9 Basis", IF(OR(I9829="Invalid - Not Freely Given", I9829="Invalid - Not Specific", I9829="Invalid - Not Informed", I9829="Invalid - Ambiguous"), "Gap - Invalid Consent", "Compliant")))))</f>
        <v/>
      </c>
      <c r="O9829" s="7" t="n"/>
    </row>
    <row r="9830">
      <c r="A9830" s="7" t="n"/>
      <c r="B9830" s="7" t="n"/>
      <c r="C9830" s="7" t="n"/>
      <c r="D9830" s="7" t="n"/>
      <c r="E9830" s="7" t="n"/>
      <c r="F9830" s="7" t="n"/>
      <c r="G9830" s="7" t="n"/>
      <c r="H9830" s="7" t="n"/>
      <c r="I9830" s="7" t="n"/>
      <c r="J9830" s="7" t="n"/>
      <c r="K9830">
        <f>IF(D9830="Legitimate Interest (GDPR Art. 6(1)(f))", "Yes / Required (Sheet 3)", "")</f>
        <v/>
      </c>
      <c r="L9830" s="7" t="n"/>
      <c r="M9830" s="7" t="n"/>
      <c r="N9830">
        <f>IF(D9830="", "Gap - No Legal Basis", IF(AND(D9830="Consent (GDPR Art. 6(1)(a))", I9830="Not Captured"), "Gap - Invalid Consent", IF(AND(D9830="Legitimate Interest (GDPR Art. 6(1)(f))", L9830=""), "Gap - Missing LIA", IF(AND(G9830="Yes", H9830=""), "Gap - Missing Art. 9 Basis", IF(OR(I9830="Invalid - Not Freely Given", I9830="Invalid - Not Specific", I9830="Invalid - Not Informed", I9830="Invalid - Ambiguous"), "Gap - Invalid Consent", "Compliant")))))</f>
        <v/>
      </c>
      <c r="O9830" s="7" t="n"/>
    </row>
    <row r="9831">
      <c r="A9831" s="7" t="n"/>
      <c r="B9831" s="7" t="n"/>
      <c r="C9831" s="7" t="n"/>
      <c r="D9831" s="7" t="n"/>
      <c r="E9831" s="7" t="n"/>
      <c r="F9831" s="7" t="n"/>
      <c r="G9831" s="7" t="n"/>
      <c r="H9831" s="7" t="n"/>
      <c r="I9831" s="7" t="n"/>
      <c r="J9831" s="7" t="n"/>
      <c r="K9831">
        <f>IF(D9831="Legitimate Interest (GDPR Art. 6(1)(f))", "Yes / Required (Sheet 3)", "")</f>
        <v/>
      </c>
      <c r="L9831" s="7" t="n"/>
      <c r="M9831" s="7" t="n"/>
      <c r="N9831">
        <f>IF(D9831="", "Gap - No Legal Basis", IF(AND(D9831="Consent (GDPR Art. 6(1)(a))", I9831="Not Captured"), "Gap - Invalid Consent", IF(AND(D9831="Legitimate Interest (GDPR Art. 6(1)(f))", L9831=""), "Gap - Missing LIA", IF(AND(G9831="Yes", H9831=""), "Gap - Missing Art. 9 Basis", IF(OR(I9831="Invalid - Not Freely Given", I9831="Invalid - Not Specific", I9831="Invalid - Not Informed", I9831="Invalid - Ambiguous"), "Gap - Invalid Consent", "Compliant")))))</f>
        <v/>
      </c>
      <c r="O9831" s="7" t="n"/>
    </row>
    <row r="9832">
      <c r="A9832" s="7" t="n"/>
      <c r="B9832" s="7" t="n"/>
      <c r="C9832" s="7" t="n"/>
      <c r="D9832" s="7" t="n"/>
      <c r="E9832" s="7" t="n"/>
      <c r="F9832" s="7" t="n"/>
      <c r="G9832" s="7" t="n"/>
      <c r="H9832" s="7" t="n"/>
      <c r="I9832" s="7" t="n"/>
      <c r="J9832" s="7" t="n"/>
      <c r="K9832">
        <f>IF(D9832="Legitimate Interest (GDPR Art. 6(1)(f))", "Yes / Required (Sheet 3)", "")</f>
        <v/>
      </c>
      <c r="L9832" s="7" t="n"/>
      <c r="M9832" s="7" t="n"/>
      <c r="N9832">
        <f>IF(D9832="", "Gap - No Legal Basis", IF(AND(D9832="Consent (GDPR Art. 6(1)(a))", I9832="Not Captured"), "Gap - Invalid Consent", IF(AND(D9832="Legitimate Interest (GDPR Art. 6(1)(f))", L9832=""), "Gap - Missing LIA", IF(AND(G9832="Yes", H9832=""), "Gap - Missing Art. 9 Basis", IF(OR(I9832="Invalid - Not Freely Given", I9832="Invalid - Not Specific", I9832="Invalid - Not Informed", I9832="Invalid - Ambiguous"), "Gap - Invalid Consent", "Compliant")))))</f>
        <v/>
      </c>
      <c r="O9832" s="7" t="n"/>
    </row>
    <row r="9833">
      <c r="A9833" s="7" t="n"/>
      <c r="B9833" s="7" t="n"/>
      <c r="C9833" s="7" t="n"/>
      <c r="D9833" s="7" t="n"/>
      <c r="E9833" s="7" t="n"/>
      <c r="F9833" s="7" t="n"/>
      <c r="G9833" s="7" t="n"/>
      <c r="H9833" s="7" t="n"/>
      <c r="I9833" s="7" t="n"/>
      <c r="J9833" s="7" t="n"/>
      <c r="K9833">
        <f>IF(D9833="Legitimate Interest (GDPR Art. 6(1)(f))", "Yes / Required (Sheet 3)", "")</f>
        <v/>
      </c>
      <c r="L9833" s="7" t="n"/>
      <c r="M9833" s="7" t="n"/>
      <c r="N9833">
        <f>IF(D9833="", "Gap - No Legal Basis", IF(AND(D9833="Consent (GDPR Art. 6(1)(a))", I9833="Not Captured"), "Gap - Invalid Consent", IF(AND(D9833="Legitimate Interest (GDPR Art. 6(1)(f))", L9833=""), "Gap - Missing LIA", IF(AND(G9833="Yes", H9833=""), "Gap - Missing Art. 9 Basis", IF(OR(I9833="Invalid - Not Freely Given", I9833="Invalid - Not Specific", I9833="Invalid - Not Informed", I9833="Invalid - Ambiguous"), "Gap - Invalid Consent", "Compliant")))))</f>
        <v/>
      </c>
      <c r="O9833" s="7" t="n"/>
    </row>
    <row r="9834">
      <c r="A9834" s="7" t="n"/>
      <c r="B9834" s="7" t="n"/>
      <c r="C9834" s="7" t="n"/>
      <c r="D9834" s="7" t="n"/>
      <c r="E9834" s="7" t="n"/>
      <c r="F9834" s="7" t="n"/>
      <c r="G9834" s="7" t="n"/>
      <c r="H9834" s="7" t="n"/>
      <c r="I9834" s="7" t="n"/>
      <c r="J9834" s="7" t="n"/>
      <c r="K9834">
        <f>IF(D9834="Legitimate Interest (GDPR Art. 6(1)(f))", "Yes / Required (Sheet 3)", "")</f>
        <v/>
      </c>
      <c r="L9834" s="7" t="n"/>
      <c r="M9834" s="7" t="n"/>
      <c r="N9834">
        <f>IF(D9834="", "Gap - No Legal Basis", IF(AND(D9834="Consent (GDPR Art. 6(1)(a))", I9834="Not Captured"), "Gap - Invalid Consent", IF(AND(D9834="Legitimate Interest (GDPR Art. 6(1)(f))", L9834=""), "Gap - Missing LIA", IF(AND(G9834="Yes", H9834=""), "Gap - Missing Art. 9 Basis", IF(OR(I9834="Invalid - Not Freely Given", I9834="Invalid - Not Specific", I9834="Invalid - Not Informed", I9834="Invalid - Ambiguous"), "Gap - Invalid Consent", "Compliant")))))</f>
        <v/>
      </c>
      <c r="O9834" s="7" t="n"/>
    </row>
    <row r="9835">
      <c r="A9835" s="7" t="n"/>
      <c r="B9835" s="7" t="n"/>
      <c r="C9835" s="7" t="n"/>
      <c r="D9835" s="7" t="n"/>
      <c r="E9835" s="7" t="n"/>
      <c r="F9835" s="7" t="n"/>
      <c r="G9835" s="7" t="n"/>
      <c r="H9835" s="7" t="n"/>
      <c r="I9835" s="7" t="n"/>
      <c r="J9835" s="7" t="n"/>
      <c r="K9835">
        <f>IF(D9835="Legitimate Interest (GDPR Art. 6(1)(f))", "Yes / Required (Sheet 3)", "")</f>
        <v/>
      </c>
      <c r="L9835" s="7" t="n"/>
      <c r="M9835" s="7" t="n"/>
      <c r="N9835">
        <f>IF(D9835="", "Gap - No Legal Basis", IF(AND(D9835="Consent (GDPR Art. 6(1)(a))", I9835="Not Captured"), "Gap - Invalid Consent", IF(AND(D9835="Legitimate Interest (GDPR Art. 6(1)(f))", L9835=""), "Gap - Missing LIA", IF(AND(G9835="Yes", H9835=""), "Gap - Missing Art. 9 Basis", IF(OR(I9835="Invalid - Not Freely Given", I9835="Invalid - Not Specific", I9835="Invalid - Not Informed", I9835="Invalid - Ambiguous"), "Gap - Invalid Consent", "Compliant")))))</f>
        <v/>
      </c>
      <c r="O9835" s="7" t="n"/>
    </row>
    <row r="9836">
      <c r="A9836" s="7" t="n"/>
      <c r="B9836" s="7" t="n"/>
      <c r="C9836" s="7" t="n"/>
      <c r="D9836" s="7" t="n"/>
      <c r="E9836" s="7" t="n"/>
      <c r="F9836" s="7" t="n"/>
      <c r="G9836" s="7" t="n"/>
      <c r="H9836" s="7" t="n"/>
      <c r="I9836" s="7" t="n"/>
      <c r="J9836" s="7" t="n"/>
      <c r="K9836">
        <f>IF(D9836="Legitimate Interest (GDPR Art. 6(1)(f))", "Yes / Required (Sheet 3)", "")</f>
        <v/>
      </c>
      <c r="L9836" s="7" t="n"/>
      <c r="M9836" s="7" t="n"/>
      <c r="N9836">
        <f>IF(D9836="", "Gap - No Legal Basis", IF(AND(D9836="Consent (GDPR Art. 6(1)(a))", I9836="Not Captured"), "Gap - Invalid Consent", IF(AND(D9836="Legitimate Interest (GDPR Art. 6(1)(f))", L9836=""), "Gap - Missing LIA", IF(AND(G9836="Yes", H9836=""), "Gap - Missing Art. 9 Basis", IF(OR(I9836="Invalid - Not Freely Given", I9836="Invalid - Not Specific", I9836="Invalid - Not Informed", I9836="Invalid - Ambiguous"), "Gap - Invalid Consent", "Compliant")))))</f>
        <v/>
      </c>
      <c r="O9836" s="7" t="n"/>
    </row>
    <row r="9837">
      <c r="A9837" s="7" t="n"/>
      <c r="B9837" s="7" t="n"/>
      <c r="C9837" s="7" t="n"/>
      <c r="D9837" s="7" t="n"/>
      <c r="E9837" s="7" t="n"/>
      <c r="F9837" s="7" t="n"/>
      <c r="G9837" s="7" t="n"/>
      <c r="H9837" s="7" t="n"/>
      <c r="I9837" s="7" t="n"/>
      <c r="J9837" s="7" t="n"/>
      <c r="K9837">
        <f>IF(D9837="Legitimate Interest (GDPR Art. 6(1)(f))", "Yes / Required (Sheet 3)", "")</f>
        <v/>
      </c>
      <c r="L9837" s="7" t="n"/>
      <c r="M9837" s="7" t="n"/>
      <c r="N9837">
        <f>IF(D9837="", "Gap - No Legal Basis", IF(AND(D9837="Consent (GDPR Art. 6(1)(a))", I9837="Not Captured"), "Gap - Invalid Consent", IF(AND(D9837="Legitimate Interest (GDPR Art. 6(1)(f))", L9837=""), "Gap - Missing LIA", IF(AND(G9837="Yes", H9837=""), "Gap - Missing Art. 9 Basis", IF(OR(I9837="Invalid - Not Freely Given", I9837="Invalid - Not Specific", I9837="Invalid - Not Informed", I9837="Invalid - Ambiguous"), "Gap - Invalid Consent", "Compliant")))))</f>
        <v/>
      </c>
      <c r="O9837" s="7" t="n"/>
    </row>
    <row r="9838">
      <c r="A9838" s="7" t="n"/>
      <c r="B9838" s="7" t="n"/>
      <c r="C9838" s="7" t="n"/>
      <c r="D9838" s="7" t="n"/>
      <c r="E9838" s="7" t="n"/>
      <c r="F9838" s="7" t="n"/>
      <c r="G9838" s="7" t="n"/>
      <c r="H9838" s="7" t="n"/>
      <c r="I9838" s="7" t="n"/>
      <c r="J9838" s="7" t="n"/>
      <c r="K9838">
        <f>IF(D9838="Legitimate Interest (GDPR Art. 6(1)(f))", "Yes / Required (Sheet 3)", "")</f>
        <v/>
      </c>
      <c r="L9838" s="7" t="n"/>
      <c r="M9838" s="7" t="n"/>
      <c r="N9838">
        <f>IF(D9838="", "Gap - No Legal Basis", IF(AND(D9838="Consent (GDPR Art. 6(1)(a))", I9838="Not Captured"), "Gap - Invalid Consent", IF(AND(D9838="Legitimate Interest (GDPR Art. 6(1)(f))", L9838=""), "Gap - Missing LIA", IF(AND(G9838="Yes", H9838=""), "Gap - Missing Art. 9 Basis", IF(OR(I9838="Invalid - Not Freely Given", I9838="Invalid - Not Specific", I9838="Invalid - Not Informed", I9838="Invalid - Ambiguous"), "Gap - Invalid Consent", "Compliant")))))</f>
        <v/>
      </c>
      <c r="O9838" s="7" t="n"/>
    </row>
    <row r="9839">
      <c r="A9839" s="7" t="n"/>
      <c r="B9839" s="7" t="n"/>
      <c r="C9839" s="7" t="n"/>
      <c r="D9839" s="7" t="n"/>
      <c r="E9839" s="7" t="n"/>
      <c r="F9839" s="7" t="n"/>
      <c r="G9839" s="7" t="n"/>
      <c r="H9839" s="7" t="n"/>
      <c r="I9839" s="7" t="n"/>
      <c r="J9839" s="7" t="n"/>
      <c r="K9839">
        <f>IF(D9839="Legitimate Interest (GDPR Art. 6(1)(f))", "Yes / Required (Sheet 3)", "")</f>
        <v/>
      </c>
      <c r="L9839" s="7" t="n"/>
      <c r="M9839" s="7" t="n"/>
      <c r="N9839">
        <f>IF(D9839="", "Gap - No Legal Basis", IF(AND(D9839="Consent (GDPR Art. 6(1)(a))", I9839="Not Captured"), "Gap - Invalid Consent", IF(AND(D9839="Legitimate Interest (GDPR Art. 6(1)(f))", L9839=""), "Gap - Missing LIA", IF(AND(G9839="Yes", H9839=""), "Gap - Missing Art. 9 Basis", IF(OR(I9839="Invalid - Not Freely Given", I9839="Invalid - Not Specific", I9839="Invalid - Not Informed", I9839="Invalid - Ambiguous"), "Gap - Invalid Consent", "Compliant")))))</f>
        <v/>
      </c>
      <c r="O9839" s="7" t="n"/>
    </row>
    <row r="9840">
      <c r="A9840" s="7" t="n"/>
      <c r="B9840" s="7" t="n"/>
      <c r="C9840" s="7" t="n"/>
      <c r="D9840" s="7" t="n"/>
      <c r="E9840" s="7" t="n"/>
      <c r="F9840" s="7" t="n"/>
      <c r="G9840" s="7" t="n"/>
      <c r="H9840" s="7" t="n"/>
      <c r="I9840" s="7" t="n"/>
      <c r="J9840" s="7" t="n"/>
      <c r="K9840">
        <f>IF(D9840="Legitimate Interest (GDPR Art. 6(1)(f))", "Yes / Required (Sheet 3)", "")</f>
        <v/>
      </c>
      <c r="L9840" s="7" t="n"/>
      <c r="M9840" s="7" t="n"/>
      <c r="N9840">
        <f>IF(D9840="", "Gap - No Legal Basis", IF(AND(D9840="Consent (GDPR Art. 6(1)(a))", I9840="Not Captured"), "Gap - Invalid Consent", IF(AND(D9840="Legitimate Interest (GDPR Art. 6(1)(f))", L9840=""), "Gap - Missing LIA", IF(AND(G9840="Yes", H9840=""), "Gap - Missing Art. 9 Basis", IF(OR(I9840="Invalid - Not Freely Given", I9840="Invalid - Not Specific", I9840="Invalid - Not Informed", I9840="Invalid - Ambiguous"), "Gap - Invalid Consent", "Compliant")))))</f>
        <v/>
      </c>
      <c r="O9840" s="7" t="n"/>
    </row>
    <row r="9841">
      <c r="A9841" s="7" t="n"/>
      <c r="B9841" s="7" t="n"/>
      <c r="C9841" s="7" t="n"/>
      <c r="D9841" s="7" t="n"/>
      <c r="E9841" s="7" t="n"/>
      <c r="F9841" s="7" t="n"/>
      <c r="G9841" s="7" t="n"/>
      <c r="H9841" s="7" t="n"/>
      <c r="I9841" s="7" t="n"/>
      <c r="J9841" s="7" t="n"/>
      <c r="K9841">
        <f>IF(D9841="Legitimate Interest (GDPR Art. 6(1)(f))", "Yes / Required (Sheet 3)", "")</f>
        <v/>
      </c>
      <c r="L9841" s="7" t="n"/>
      <c r="M9841" s="7" t="n"/>
      <c r="N9841">
        <f>IF(D9841="", "Gap - No Legal Basis", IF(AND(D9841="Consent (GDPR Art. 6(1)(a))", I9841="Not Captured"), "Gap - Invalid Consent", IF(AND(D9841="Legitimate Interest (GDPR Art. 6(1)(f))", L9841=""), "Gap - Missing LIA", IF(AND(G9841="Yes", H9841=""), "Gap - Missing Art. 9 Basis", IF(OR(I9841="Invalid - Not Freely Given", I9841="Invalid - Not Specific", I9841="Invalid - Not Informed", I9841="Invalid - Ambiguous"), "Gap - Invalid Consent", "Compliant")))))</f>
        <v/>
      </c>
      <c r="O9841" s="7" t="n"/>
    </row>
    <row r="9842">
      <c r="A9842" s="7" t="n"/>
      <c r="B9842" s="7" t="n"/>
      <c r="C9842" s="7" t="n"/>
      <c r="D9842" s="7" t="n"/>
      <c r="E9842" s="7" t="n"/>
      <c r="F9842" s="7" t="n"/>
      <c r="G9842" s="7" t="n"/>
      <c r="H9842" s="7" t="n"/>
      <c r="I9842" s="7" t="n"/>
      <c r="J9842" s="7" t="n"/>
      <c r="K9842">
        <f>IF(D9842="Legitimate Interest (GDPR Art. 6(1)(f))", "Yes / Required (Sheet 3)", "")</f>
        <v/>
      </c>
      <c r="L9842" s="7" t="n"/>
      <c r="M9842" s="7" t="n"/>
      <c r="N9842">
        <f>IF(D9842="", "Gap - No Legal Basis", IF(AND(D9842="Consent (GDPR Art. 6(1)(a))", I9842="Not Captured"), "Gap - Invalid Consent", IF(AND(D9842="Legitimate Interest (GDPR Art. 6(1)(f))", L9842=""), "Gap - Missing LIA", IF(AND(G9842="Yes", H9842=""), "Gap - Missing Art. 9 Basis", IF(OR(I9842="Invalid - Not Freely Given", I9842="Invalid - Not Specific", I9842="Invalid - Not Informed", I9842="Invalid - Ambiguous"), "Gap - Invalid Consent", "Compliant")))))</f>
        <v/>
      </c>
      <c r="O9842" s="7" t="n"/>
    </row>
    <row r="9843">
      <c r="A9843" s="7" t="n"/>
      <c r="B9843" s="7" t="n"/>
      <c r="C9843" s="7" t="n"/>
      <c r="D9843" s="7" t="n"/>
      <c r="E9843" s="7" t="n"/>
      <c r="F9843" s="7" t="n"/>
      <c r="G9843" s="7" t="n"/>
      <c r="H9843" s="7" t="n"/>
      <c r="I9843" s="7" t="n"/>
      <c r="J9843" s="7" t="n"/>
      <c r="K9843">
        <f>IF(D9843="Legitimate Interest (GDPR Art. 6(1)(f))", "Yes / Required (Sheet 3)", "")</f>
        <v/>
      </c>
      <c r="L9843" s="7" t="n"/>
      <c r="M9843" s="7" t="n"/>
      <c r="N9843">
        <f>IF(D9843="", "Gap - No Legal Basis", IF(AND(D9843="Consent (GDPR Art. 6(1)(a))", I9843="Not Captured"), "Gap - Invalid Consent", IF(AND(D9843="Legitimate Interest (GDPR Art. 6(1)(f))", L9843=""), "Gap - Missing LIA", IF(AND(G9843="Yes", H9843=""), "Gap - Missing Art. 9 Basis", IF(OR(I9843="Invalid - Not Freely Given", I9843="Invalid - Not Specific", I9843="Invalid - Not Informed", I9843="Invalid - Ambiguous"), "Gap - Invalid Consent", "Compliant")))))</f>
        <v/>
      </c>
      <c r="O9843" s="7" t="n"/>
    </row>
    <row r="9844">
      <c r="A9844" s="7" t="n"/>
      <c r="B9844" s="7" t="n"/>
      <c r="C9844" s="7" t="n"/>
      <c r="D9844" s="7" t="n"/>
      <c r="E9844" s="7" t="n"/>
      <c r="F9844" s="7" t="n"/>
      <c r="G9844" s="7" t="n"/>
      <c r="H9844" s="7" t="n"/>
      <c r="I9844" s="7" t="n"/>
      <c r="J9844" s="7" t="n"/>
      <c r="K9844">
        <f>IF(D9844="Legitimate Interest (GDPR Art. 6(1)(f))", "Yes / Required (Sheet 3)", "")</f>
        <v/>
      </c>
      <c r="L9844" s="7" t="n"/>
      <c r="M9844" s="7" t="n"/>
      <c r="N9844">
        <f>IF(D9844="", "Gap - No Legal Basis", IF(AND(D9844="Consent (GDPR Art. 6(1)(a))", I9844="Not Captured"), "Gap - Invalid Consent", IF(AND(D9844="Legitimate Interest (GDPR Art. 6(1)(f))", L9844=""), "Gap - Missing LIA", IF(AND(G9844="Yes", H9844=""), "Gap - Missing Art. 9 Basis", IF(OR(I9844="Invalid - Not Freely Given", I9844="Invalid - Not Specific", I9844="Invalid - Not Informed", I9844="Invalid - Ambiguous"), "Gap - Invalid Consent", "Compliant")))))</f>
        <v/>
      </c>
      <c r="O9844" s="7" t="n"/>
    </row>
    <row r="9845">
      <c r="A9845" s="7" t="n"/>
      <c r="B9845" s="7" t="n"/>
      <c r="C9845" s="7" t="n"/>
      <c r="D9845" s="7" t="n"/>
      <c r="E9845" s="7" t="n"/>
      <c r="F9845" s="7" t="n"/>
      <c r="G9845" s="7" t="n"/>
      <c r="H9845" s="7" t="n"/>
      <c r="I9845" s="7" t="n"/>
      <c r="J9845" s="7" t="n"/>
      <c r="K9845">
        <f>IF(D9845="Legitimate Interest (GDPR Art. 6(1)(f))", "Yes / Required (Sheet 3)", "")</f>
        <v/>
      </c>
      <c r="L9845" s="7" t="n"/>
      <c r="M9845" s="7" t="n"/>
      <c r="N9845">
        <f>IF(D9845="", "Gap - No Legal Basis", IF(AND(D9845="Consent (GDPR Art. 6(1)(a))", I9845="Not Captured"), "Gap - Invalid Consent", IF(AND(D9845="Legitimate Interest (GDPR Art. 6(1)(f))", L9845=""), "Gap - Missing LIA", IF(AND(G9845="Yes", H9845=""), "Gap - Missing Art. 9 Basis", IF(OR(I9845="Invalid - Not Freely Given", I9845="Invalid - Not Specific", I9845="Invalid - Not Informed", I9845="Invalid - Ambiguous"), "Gap - Invalid Consent", "Compliant")))))</f>
        <v/>
      </c>
      <c r="O9845" s="7" t="n"/>
    </row>
    <row r="9846">
      <c r="A9846" s="7" t="n"/>
      <c r="B9846" s="7" t="n"/>
      <c r="C9846" s="7" t="n"/>
      <c r="D9846" s="7" t="n"/>
      <c r="E9846" s="7" t="n"/>
      <c r="F9846" s="7" t="n"/>
      <c r="G9846" s="7" t="n"/>
      <c r="H9846" s="7" t="n"/>
      <c r="I9846" s="7" t="n"/>
      <c r="J9846" s="7" t="n"/>
      <c r="K9846">
        <f>IF(D9846="Legitimate Interest (GDPR Art. 6(1)(f))", "Yes / Required (Sheet 3)", "")</f>
        <v/>
      </c>
      <c r="L9846" s="7" t="n"/>
      <c r="M9846" s="7" t="n"/>
      <c r="N9846">
        <f>IF(D9846="", "Gap - No Legal Basis", IF(AND(D9846="Consent (GDPR Art. 6(1)(a))", I9846="Not Captured"), "Gap - Invalid Consent", IF(AND(D9846="Legitimate Interest (GDPR Art. 6(1)(f))", L9846=""), "Gap - Missing LIA", IF(AND(G9846="Yes", H9846=""), "Gap - Missing Art. 9 Basis", IF(OR(I9846="Invalid - Not Freely Given", I9846="Invalid - Not Specific", I9846="Invalid - Not Informed", I9846="Invalid - Ambiguous"), "Gap - Invalid Consent", "Compliant")))))</f>
        <v/>
      </c>
      <c r="O9846" s="7" t="n"/>
    </row>
    <row r="9847">
      <c r="A9847" s="7" t="n"/>
      <c r="B9847" s="7" t="n"/>
      <c r="C9847" s="7" t="n"/>
      <c r="D9847" s="7" t="n"/>
      <c r="E9847" s="7" t="n"/>
      <c r="F9847" s="7" t="n"/>
      <c r="G9847" s="7" t="n"/>
      <c r="H9847" s="7" t="n"/>
      <c r="I9847" s="7" t="n"/>
      <c r="J9847" s="7" t="n"/>
      <c r="K9847">
        <f>IF(D9847="Legitimate Interest (GDPR Art. 6(1)(f))", "Yes / Required (Sheet 3)", "")</f>
        <v/>
      </c>
      <c r="L9847" s="7" t="n"/>
      <c r="M9847" s="7" t="n"/>
      <c r="N9847">
        <f>IF(D9847="", "Gap - No Legal Basis", IF(AND(D9847="Consent (GDPR Art. 6(1)(a))", I9847="Not Captured"), "Gap - Invalid Consent", IF(AND(D9847="Legitimate Interest (GDPR Art. 6(1)(f))", L9847=""), "Gap - Missing LIA", IF(AND(G9847="Yes", H9847=""), "Gap - Missing Art. 9 Basis", IF(OR(I9847="Invalid - Not Freely Given", I9847="Invalid - Not Specific", I9847="Invalid - Not Informed", I9847="Invalid - Ambiguous"), "Gap - Invalid Consent", "Compliant")))))</f>
        <v/>
      </c>
      <c r="O9847" s="7" t="n"/>
    </row>
    <row r="9848">
      <c r="A9848" s="7" t="n"/>
      <c r="B9848" s="7" t="n"/>
      <c r="C9848" s="7" t="n"/>
      <c r="D9848" s="7" t="n"/>
      <c r="E9848" s="7" t="n"/>
      <c r="F9848" s="7" t="n"/>
      <c r="G9848" s="7" t="n"/>
      <c r="H9848" s="7" t="n"/>
      <c r="I9848" s="7" t="n"/>
      <c r="J9848" s="7" t="n"/>
      <c r="K9848">
        <f>IF(D9848="Legitimate Interest (GDPR Art. 6(1)(f))", "Yes / Required (Sheet 3)", "")</f>
        <v/>
      </c>
      <c r="L9848" s="7" t="n"/>
      <c r="M9848" s="7" t="n"/>
      <c r="N9848">
        <f>IF(D9848="", "Gap - No Legal Basis", IF(AND(D9848="Consent (GDPR Art. 6(1)(a))", I9848="Not Captured"), "Gap - Invalid Consent", IF(AND(D9848="Legitimate Interest (GDPR Art. 6(1)(f))", L9848=""), "Gap - Missing LIA", IF(AND(G9848="Yes", H9848=""), "Gap - Missing Art. 9 Basis", IF(OR(I9848="Invalid - Not Freely Given", I9848="Invalid - Not Specific", I9848="Invalid - Not Informed", I9848="Invalid - Ambiguous"), "Gap - Invalid Consent", "Compliant")))))</f>
        <v/>
      </c>
      <c r="O9848" s="7" t="n"/>
    </row>
    <row r="9849">
      <c r="A9849" s="7" t="n"/>
      <c r="B9849" s="7" t="n"/>
      <c r="C9849" s="7" t="n"/>
      <c r="D9849" s="7" t="n"/>
      <c r="E9849" s="7" t="n"/>
      <c r="F9849" s="7" t="n"/>
      <c r="G9849" s="7" t="n"/>
      <c r="H9849" s="7" t="n"/>
      <c r="I9849" s="7" t="n"/>
      <c r="J9849" s="7" t="n"/>
      <c r="K9849">
        <f>IF(D9849="Legitimate Interest (GDPR Art. 6(1)(f))", "Yes / Required (Sheet 3)", "")</f>
        <v/>
      </c>
      <c r="L9849" s="7" t="n"/>
      <c r="M9849" s="7" t="n"/>
      <c r="N9849">
        <f>IF(D9849="", "Gap - No Legal Basis", IF(AND(D9849="Consent (GDPR Art. 6(1)(a))", I9849="Not Captured"), "Gap - Invalid Consent", IF(AND(D9849="Legitimate Interest (GDPR Art. 6(1)(f))", L9849=""), "Gap - Missing LIA", IF(AND(G9849="Yes", H9849=""), "Gap - Missing Art. 9 Basis", IF(OR(I9849="Invalid - Not Freely Given", I9849="Invalid - Not Specific", I9849="Invalid - Not Informed", I9849="Invalid - Ambiguous"), "Gap - Invalid Consent", "Compliant")))))</f>
        <v/>
      </c>
      <c r="O9849" s="7" t="n"/>
    </row>
    <row r="9850">
      <c r="A9850" s="7" t="n"/>
      <c r="B9850" s="7" t="n"/>
      <c r="C9850" s="7" t="n"/>
      <c r="D9850" s="7" t="n"/>
      <c r="E9850" s="7" t="n"/>
      <c r="F9850" s="7" t="n"/>
      <c r="G9850" s="7" t="n"/>
      <c r="H9850" s="7" t="n"/>
      <c r="I9850" s="7" t="n"/>
      <c r="J9850" s="7" t="n"/>
      <c r="K9850">
        <f>IF(D9850="Legitimate Interest (GDPR Art. 6(1)(f))", "Yes / Required (Sheet 3)", "")</f>
        <v/>
      </c>
      <c r="L9850" s="7" t="n"/>
      <c r="M9850" s="7" t="n"/>
      <c r="N9850">
        <f>IF(D9850="", "Gap - No Legal Basis", IF(AND(D9850="Consent (GDPR Art. 6(1)(a))", I9850="Not Captured"), "Gap - Invalid Consent", IF(AND(D9850="Legitimate Interest (GDPR Art. 6(1)(f))", L9850=""), "Gap - Missing LIA", IF(AND(G9850="Yes", H9850=""), "Gap - Missing Art. 9 Basis", IF(OR(I9850="Invalid - Not Freely Given", I9850="Invalid - Not Specific", I9850="Invalid - Not Informed", I9850="Invalid - Ambiguous"), "Gap - Invalid Consent", "Compliant")))))</f>
        <v/>
      </c>
      <c r="O9850" s="7" t="n"/>
    </row>
    <row r="9851">
      <c r="A9851" s="7" t="n"/>
      <c r="B9851" s="7" t="n"/>
      <c r="C9851" s="7" t="n"/>
      <c r="D9851" s="7" t="n"/>
      <c r="E9851" s="7" t="n"/>
      <c r="F9851" s="7" t="n"/>
      <c r="G9851" s="7" t="n"/>
      <c r="H9851" s="7" t="n"/>
      <c r="I9851" s="7" t="n"/>
      <c r="J9851" s="7" t="n"/>
      <c r="K9851">
        <f>IF(D9851="Legitimate Interest (GDPR Art. 6(1)(f))", "Yes / Required (Sheet 3)", "")</f>
        <v/>
      </c>
      <c r="L9851" s="7" t="n"/>
      <c r="M9851" s="7" t="n"/>
      <c r="N9851">
        <f>IF(D9851="", "Gap - No Legal Basis", IF(AND(D9851="Consent (GDPR Art. 6(1)(a))", I9851="Not Captured"), "Gap - Invalid Consent", IF(AND(D9851="Legitimate Interest (GDPR Art. 6(1)(f))", L9851=""), "Gap - Missing LIA", IF(AND(G9851="Yes", H9851=""), "Gap - Missing Art. 9 Basis", IF(OR(I9851="Invalid - Not Freely Given", I9851="Invalid - Not Specific", I9851="Invalid - Not Informed", I9851="Invalid - Ambiguous"), "Gap - Invalid Consent", "Compliant")))))</f>
        <v/>
      </c>
      <c r="O9851" s="7" t="n"/>
    </row>
    <row r="9852">
      <c r="A9852" s="7" t="n"/>
      <c r="B9852" s="7" t="n"/>
      <c r="C9852" s="7" t="n"/>
      <c r="D9852" s="7" t="n"/>
      <c r="E9852" s="7" t="n"/>
      <c r="F9852" s="7" t="n"/>
      <c r="G9852" s="7" t="n"/>
      <c r="H9852" s="7" t="n"/>
      <c r="I9852" s="7" t="n"/>
      <c r="J9852" s="7" t="n"/>
      <c r="K9852">
        <f>IF(D9852="Legitimate Interest (GDPR Art. 6(1)(f))", "Yes / Required (Sheet 3)", "")</f>
        <v/>
      </c>
      <c r="L9852" s="7" t="n"/>
      <c r="M9852" s="7" t="n"/>
      <c r="N9852">
        <f>IF(D9852="", "Gap - No Legal Basis", IF(AND(D9852="Consent (GDPR Art. 6(1)(a))", I9852="Not Captured"), "Gap - Invalid Consent", IF(AND(D9852="Legitimate Interest (GDPR Art. 6(1)(f))", L9852=""), "Gap - Missing LIA", IF(AND(G9852="Yes", H9852=""), "Gap - Missing Art. 9 Basis", IF(OR(I9852="Invalid - Not Freely Given", I9852="Invalid - Not Specific", I9852="Invalid - Not Informed", I9852="Invalid - Ambiguous"), "Gap - Invalid Consent", "Compliant")))))</f>
        <v/>
      </c>
      <c r="O9852" s="7" t="n"/>
    </row>
    <row r="9853">
      <c r="A9853" s="7" t="n"/>
      <c r="B9853" s="7" t="n"/>
      <c r="C9853" s="7" t="n"/>
      <c r="D9853" s="7" t="n"/>
      <c r="E9853" s="7" t="n"/>
      <c r="F9853" s="7" t="n"/>
      <c r="G9853" s="7" t="n"/>
      <c r="H9853" s="7" t="n"/>
      <c r="I9853" s="7" t="n"/>
      <c r="J9853" s="7" t="n"/>
      <c r="K9853">
        <f>IF(D9853="Legitimate Interest (GDPR Art. 6(1)(f))", "Yes / Required (Sheet 3)", "")</f>
        <v/>
      </c>
      <c r="L9853" s="7" t="n"/>
      <c r="M9853" s="7" t="n"/>
      <c r="N9853">
        <f>IF(D9853="", "Gap - No Legal Basis", IF(AND(D9853="Consent (GDPR Art. 6(1)(a))", I9853="Not Captured"), "Gap - Invalid Consent", IF(AND(D9853="Legitimate Interest (GDPR Art. 6(1)(f))", L9853=""), "Gap - Missing LIA", IF(AND(G9853="Yes", H9853=""), "Gap - Missing Art. 9 Basis", IF(OR(I9853="Invalid - Not Freely Given", I9853="Invalid - Not Specific", I9853="Invalid - Not Informed", I9853="Invalid - Ambiguous"), "Gap - Invalid Consent", "Compliant")))))</f>
        <v/>
      </c>
      <c r="O9853" s="7" t="n"/>
    </row>
    <row r="9854">
      <c r="A9854" s="7" t="n"/>
      <c r="B9854" s="7" t="n"/>
      <c r="C9854" s="7" t="n"/>
      <c r="D9854" s="7" t="n"/>
      <c r="E9854" s="7" t="n"/>
      <c r="F9854" s="7" t="n"/>
      <c r="G9854" s="7" t="n"/>
      <c r="H9854" s="7" t="n"/>
      <c r="I9854" s="7" t="n"/>
      <c r="J9854" s="7" t="n"/>
      <c r="K9854">
        <f>IF(D9854="Legitimate Interest (GDPR Art. 6(1)(f))", "Yes / Required (Sheet 3)", "")</f>
        <v/>
      </c>
      <c r="L9854" s="7" t="n"/>
      <c r="M9854" s="7" t="n"/>
      <c r="N9854">
        <f>IF(D9854="", "Gap - No Legal Basis", IF(AND(D9854="Consent (GDPR Art. 6(1)(a))", I9854="Not Captured"), "Gap - Invalid Consent", IF(AND(D9854="Legitimate Interest (GDPR Art. 6(1)(f))", L9854=""), "Gap - Missing LIA", IF(AND(G9854="Yes", H9854=""), "Gap - Missing Art. 9 Basis", IF(OR(I9854="Invalid - Not Freely Given", I9854="Invalid - Not Specific", I9854="Invalid - Not Informed", I9854="Invalid - Ambiguous"), "Gap - Invalid Consent", "Compliant")))))</f>
        <v/>
      </c>
      <c r="O9854" s="7" t="n"/>
    </row>
    <row r="9855">
      <c r="A9855" s="7" t="n"/>
      <c r="B9855" s="7" t="n"/>
      <c r="C9855" s="7" t="n"/>
      <c r="D9855" s="7" t="n"/>
      <c r="E9855" s="7" t="n"/>
      <c r="F9855" s="7" t="n"/>
      <c r="G9855" s="7" t="n"/>
      <c r="H9855" s="7" t="n"/>
      <c r="I9855" s="7" t="n"/>
      <c r="J9855" s="7" t="n"/>
      <c r="K9855">
        <f>IF(D9855="Legitimate Interest (GDPR Art. 6(1)(f))", "Yes / Required (Sheet 3)", "")</f>
        <v/>
      </c>
      <c r="L9855" s="7" t="n"/>
      <c r="M9855" s="7" t="n"/>
      <c r="N9855">
        <f>IF(D9855="", "Gap - No Legal Basis", IF(AND(D9855="Consent (GDPR Art. 6(1)(a))", I9855="Not Captured"), "Gap - Invalid Consent", IF(AND(D9855="Legitimate Interest (GDPR Art. 6(1)(f))", L9855=""), "Gap - Missing LIA", IF(AND(G9855="Yes", H9855=""), "Gap - Missing Art. 9 Basis", IF(OR(I9855="Invalid - Not Freely Given", I9855="Invalid - Not Specific", I9855="Invalid - Not Informed", I9855="Invalid - Ambiguous"), "Gap - Invalid Consent", "Compliant")))))</f>
        <v/>
      </c>
      <c r="O9855" s="7" t="n"/>
    </row>
    <row r="9856">
      <c r="A9856" s="7" t="n"/>
      <c r="B9856" s="7" t="n"/>
      <c r="C9856" s="7" t="n"/>
      <c r="D9856" s="7" t="n"/>
      <c r="E9856" s="7" t="n"/>
      <c r="F9856" s="7" t="n"/>
      <c r="G9856" s="7" t="n"/>
      <c r="H9856" s="7" t="n"/>
      <c r="I9856" s="7" t="n"/>
      <c r="J9856" s="7" t="n"/>
      <c r="K9856">
        <f>IF(D9856="Legitimate Interest (GDPR Art. 6(1)(f))", "Yes / Required (Sheet 3)", "")</f>
        <v/>
      </c>
      <c r="L9856" s="7" t="n"/>
      <c r="M9856" s="7" t="n"/>
      <c r="N9856">
        <f>IF(D9856="", "Gap - No Legal Basis", IF(AND(D9856="Consent (GDPR Art. 6(1)(a))", I9856="Not Captured"), "Gap - Invalid Consent", IF(AND(D9856="Legitimate Interest (GDPR Art. 6(1)(f))", L9856=""), "Gap - Missing LIA", IF(AND(G9856="Yes", H9856=""), "Gap - Missing Art. 9 Basis", IF(OR(I9856="Invalid - Not Freely Given", I9856="Invalid - Not Specific", I9856="Invalid - Not Informed", I9856="Invalid - Ambiguous"), "Gap - Invalid Consent", "Compliant")))))</f>
        <v/>
      </c>
      <c r="O9856" s="7" t="n"/>
    </row>
    <row r="9857">
      <c r="A9857" s="7" t="n"/>
      <c r="B9857" s="7" t="n"/>
      <c r="C9857" s="7" t="n"/>
      <c r="D9857" s="7" t="n"/>
      <c r="E9857" s="7" t="n"/>
      <c r="F9857" s="7" t="n"/>
      <c r="G9857" s="7" t="n"/>
      <c r="H9857" s="7" t="n"/>
      <c r="I9857" s="7" t="n"/>
      <c r="J9857" s="7" t="n"/>
      <c r="K9857">
        <f>IF(D9857="Legitimate Interest (GDPR Art. 6(1)(f))", "Yes / Required (Sheet 3)", "")</f>
        <v/>
      </c>
      <c r="L9857" s="7" t="n"/>
      <c r="M9857" s="7" t="n"/>
      <c r="N9857">
        <f>IF(D9857="", "Gap - No Legal Basis", IF(AND(D9857="Consent (GDPR Art. 6(1)(a))", I9857="Not Captured"), "Gap - Invalid Consent", IF(AND(D9857="Legitimate Interest (GDPR Art. 6(1)(f))", L9857=""), "Gap - Missing LIA", IF(AND(G9857="Yes", H9857=""), "Gap - Missing Art. 9 Basis", IF(OR(I9857="Invalid - Not Freely Given", I9857="Invalid - Not Specific", I9857="Invalid - Not Informed", I9857="Invalid - Ambiguous"), "Gap - Invalid Consent", "Compliant")))))</f>
        <v/>
      </c>
      <c r="O9857" s="7" t="n"/>
    </row>
    <row r="9858">
      <c r="A9858" s="7" t="n"/>
      <c r="B9858" s="7" t="n"/>
      <c r="C9858" s="7" t="n"/>
      <c r="D9858" s="7" t="n"/>
      <c r="E9858" s="7" t="n"/>
      <c r="F9858" s="7" t="n"/>
      <c r="G9858" s="7" t="n"/>
      <c r="H9858" s="7" t="n"/>
      <c r="I9858" s="7" t="n"/>
      <c r="J9858" s="7" t="n"/>
      <c r="K9858">
        <f>IF(D9858="Legitimate Interest (GDPR Art. 6(1)(f))", "Yes / Required (Sheet 3)", "")</f>
        <v/>
      </c>
      <c r="L9858" s="7" t="n"/>
      <c r="M9858" s="7" t="n"/>
      <c r="N9858">
        <f>IF(D9858="", "Gap - No Legal Basis", IF(AND(D9858="Consent (GDPR Art. 6(1)(a))", I9858="Not Captured"), "Gap - Invalid Consent", IF(AND(D9858="Legitimate Interest (GDPR Art. 6(1)(f))", L9858=""), "Gap - Missing LIA", IF(AND(G9858="Yes", H9858=""), "Gap - Missing Art. 9 Basis", IF(OR(I9858="Invalid - Not Freely Given", I9858="Invalid - Not Specific", I9858="Invalid - Not Informed", I9858="Invalid - Ambiguous"), "Gap - Invalid Consent", "Compliant")))))</f>
        <v/>
      </c>
      <c r="O9858" s="7" t="n"/>
    </row>
    <row r="9859">
      <c r="A9859" s="7" t="n"/>
      <c r="B9859" s="7" t="n"/>
      <c r="C9859" s="7" t="n"/>
      <c r="D9859" s="7" t="n"/>
      <c r="E9859" s="7" t="n"/>
      <c r="F9859" s="7" t="n"/>
      <c r="G9859" s="7" t="n"/>
      <c r="H9859" s="7" t="n"/>
      <c r="I9859" s="7" t="n"/>
      <c r="J9859" s="7" t="n"/>
      <c r="K9859">
        <f>IF(D9859="Legitimate Interest (GDPR Art. 6(1)(f))", "Yes / Required (Sheet 3)", "")</f>
        <v/>
      </c>
      <c r="L9859" s="7" t="n"/>
      <c r="M9859" s="7" t="n"/>
      <c r="N9859">
        <f>IF(D9859="", "Gap - No Legal Basis", IF(AND(D9859="Consent (GDPR Art. 6(1)(a))", I9859="Not Captured"), "Gap - Invalid Consent", IF(AND(D9859="Legitimate Interest (GDPR Art. 6(1)(f))", L9859=""), "Gap - Missing LIA", IF(AND(G9859="Yes", H9859=""), "Gap - Missing Art. 9 Basis", IF(OR(I9859="Invalid - Not Freely Given", I9859="Invalid - Not Specific", I9859="Invalid - Not Informed", I9859="Invalid - Ambiguous"), "Gap - Invalid Consent", "Compliant")))))</f>
        <v/>
      </c>
      <c r="O9859" s="7" t="n"/>
    </row>
    <row r="9860">
      <c r="A9860" s="7" t="n"/>
      <c r="B9860" s="7" t="n"/>
      <c r="C9860" s="7" t="n"/>
      <c r="D9860" s="7" t="n"/>
      <c r="E9860" s="7" t="n"/>
      <c r="F9860" s="7" t="n"/>
      <c r="G9860" s="7" t="n"/>
      <c r="H9860" s="7" t="n"/>
      <c r="I9860" s="7" t="n"/>
      <c r="J9860" s="7" t="n"/>
      <c r="K9860">
        <f>IF(D9860="Legitimate Interest (GDPR Art. 6(1)(f))", "Yes / Required (Sheet 3)", "")</f>
        <v/>
      </c>
      <c r="L9860" s="7" t="n"/>
      <c r="M9860" s="7" t="n"/>
      <c r="N9860">
        <f>IF(D9860="", "Gap - No Legal Basis", IF(AND(D9860="Consent (GDPR Art. 6(1)(a))", I9860="Not Captured"), "Gap - Invalid Consent", IF(AND(D9860="Legitimate Interest (GDPR Art. 6(1)(f))", L9860=""), "Gap - Missing LIA", IF(AND(G9860="Yes", H9860=""), "Gap - Missing Art. 9 Basis", IF(OR(I9860="Invalid - Not Freely Given", I9860="Invalid - Not Specific", I9860="Invalid - Not Informed", I9860="Invalid - Ambiguous"), "Gap - Invalid Consent", "Compliant")))))</f>
        <v/>
      </c>
      <c r="O9860" s="7" t="n"/>
    </row>
    <row r="9861">
      <c r="A9861" s="7" t="n"/>
      <c r="B9861" s="7" t="n"/>
      <c r="C9861" s="7" t="n"/>
      <c r="D9861" s="7" t="n"/>
      <c r="E9861" s="7" t="n"/>
      <c r="F9861" s="7" t="n"/>
      <c r="G9861" s="7" t="n"/>
      <c r="H9861" s="7" t="n"/>
      <c r="I9861" s="7" t="n"/>
      <c r="J9861" s="7" t="n"/>
      <c r="K9861">
        <f>IF(D9861="Legitimate Interest (GDPR Art. 6(1)(f))", "Yes / Required (Sheet 3)", "")</f>
        <v/>
      </c>
      <c r="L9861" s="7" t="n"/>
      <c r="M9861" s="7" t="n"/>
      <c r="N9861">
        <f>IF(D9861="", "Gap - No Legal Basis", IF(AND(D9861="Consent (GDPR Art. 6(1)(a))", I9861="Not Captured"), "Gap - Invalid Consent", IF(AND(D9861="Legitimate Interest (GDPR Art. 6(1)(f))", L9861=""), "Gap - Missing LIA", IF(AND(G9861="Yes", H9861=""), "Gap - Missing Art. 9 Basis", IF(OR(I9861="Invalid - Not Freely Given", I9861="Invalid - Not Specific", I9861="Invalid - Not Informed", I9861="Invalid - Ambiguous"), "Gap - Invalid Consent", "Compliant")))))</f>
        <v/>
      </c>
      <c r="O9861" s="7" t="n"/>
    </row>
    <row r="9862">
      <c r="A9862" s="7" t="n"/>
      <c r="B9862" s="7" t="n"/>
      <c r="C9862" s="7" t="n"/>
      <c r="D9862" s="7" t="n"/>
      <c r="E9862" s="7" t="n"/>
      <c r="F9862" s="7" t="n"/>
      <c r="G9862" s="7" t="n"/>
      <c r="H9862" s="7" t="n"/>
      <c r="I9862" s="7" t="n"/>
      <c r="J9862" s="7" t="n"/>
      <c r="K9862">
        <f>IF(D9862="Legitimate Interest (GDPR Art. 6(1)(f))", "Yes / Required (Sheet 3)", "")</f>
        <v/>
      </c>
      <c r="L9862" s="7" t="n"/>
      <c r="M9862" s="7" t="n"/>
      <c r="N9862">
        <f>IF(D9862="", "Gap - No Legal Basis", IF(AND(D9862="Consent (GDPR Art. 6(1)(a))", I9862="Not Captured"), "Gap - Invalid Consent", IF(AND(D9862="Legitimate Interest (GDPR Art. 6(1)(f))", L9862=""), "Gap - Missing LIA", IF(AND(G9862="Yes", H9862=""), "Gap - Missing Art. 9 Basis", IF(OR(I9862="Invalid - Not Freely Given", I9862="Invalid - Not Specific", I9862="Invalid - Not Informed", I9862="Invalid - Ambiguous"), "Gap - Invalid Consent", "Compliant")))))</f>
        <v/>
      </c>
      <c r="O9862" s="7" t="n"/>
    </row>
    <row r="9863">
      <c r="A9863" s="7" t="n"/>
      <c r="B9863" s="7" t="n"/>
      <c r="C9863" s="7" t="n"/>
      <c r="D9863" s="7" t="n"/>
      <c r="E9863" s="7" t="n"/>
      <c r="F9863" s="7" t="n"/>
      <c r="G9863" s="7" t="n"/>
      <c r="H9863" s="7" t="n"/>
      <c r="I9863" s="7" t="n"/>
      <c r="J9863" s="7" t="n"/>
      <c r="K9863">
        <f>IF(D9863="Legitimate Interest (GDPR Art. 6(1)(f))", "Yes / Required (Sheet 3)", "")</f>
        <v/>
      </c>
      <c r="L9863" s="7" t="n"/>
      <c r="M9863" s="7" t="n"/>
      <c r="N9863">
        <f>IF(D9863="", "Gap - No Legal Basis", IF(AND(D9863="Consent (GDPR Art. 6(1)(a))", I9863="Not Captured"), "Gap - Invalid Consent", IF(AND(D9863="Legitimate Interest (GDPR Art. 6(1)(f))", L9863=""), "Gap - Missing LIA", IF(AND(G9863="Yes", H9863=""), "Gap - Missing Art. 9 Basis", IF(OR(I9863="Invalid - Not Freely Given", I9863="Invalid - Not Specific", I9863="Invalid - Not Informed", I9863="Invalid - Ambiguous"), "Gap - Invalid Consent", "Compliant")))))</f>
        <v/>
      </c>
      <c r="O9863" s="7" t="n"/>
    </row>
    <row r="9864">
      <c r="A9864" s="7" t="n"/>
      <c r="B9864" s="7" t="n"/>
      <c r="C9864" s="7" t="n"/>
      <c r="D9864" s="7" t="n"/>
      <c r="E9864" s="7" t="n"/>
      <c r="F9864" s="7" t="n"/>
      <c r="G9864" s="7" t="n"/>
      <c r="H9864" s="7" t="n"/>
      <c r="I9864" s="7" t="n"/>
      <c r="J9864" s="7" t="n"/>
      <c r="K9864">
        <f>IF(D9864="Legitimate Interest (GDPR Art. 6(1)(f))", "Yes / Required (Sheet 3)", "")</f>
        <v/>
      </c>
      <c r="L9864" s="7" t="n"/>
      <c r="M9864" s="7" t="n"/>
      <c r="N9864">
        <f>IF(D9864="", "Gap - No Legal Basis", IF(AND(D9864="Consent (GDPR Art. 6(1)(a))", I9864="Not Captured"), "Gap - Invalid Consent", IF(AND(D9864="Legitimate Interest (GDPR Art. 6(1)(f))", L9864=""), "Gap - Missing LIA", IF(AND(G9864="Yes", H9864=""), "Gap - Missing Art. 9 Basis", IF(OR(I9864="Invalid - Not Freely Given", I9864="Invalid - Not Specific", I9864="Invalid - Not Informed", I9864="Invalid - Ambiguous"), "Gap - Invalid Consent", "Compliant")))))</f>
        <v/>
      </c>
      <c r="O9864" s="7" t="n"/>
    </row>
    <row r="9865">
      <c r="A9865" s="7" t="n"/>
      <c r="B9865" s="7" t="n"/>
      <c r="C9865" s="7" t="n"/>
      <c r="D9865" s="7" t="n"/>
      <c r="E9865" s="7" t="n"/>
      <c r="F9865" s="7" t="n"/>
      <c r="G9865" s="7" t="n"/>
      <c r="H9865" s="7" t="n"/>
      <c r="I9865" s="7" t="n"/>
      <c r="J9865" s="7" t="n"/>
      <c r="K9865">
        <f>IF(D9865="Legitimate Interest (GDPR Art. 6(1)(f))", "Yes / Required (Sheet 3)", "")</f>
        <v/>
      </c>
      <c r="L9865" s="7" t="n"/>
      <c r="M9865" s="7" t="n"/>
      <c r="N9865">
        <f>IF(D9865="", "Gap - No Legal Basis", IF(AND(D9865="Consent (GDPR Art. 6(1)(a))", I9865="Not Captured"), "Gap - Invalid Consent", IF(AND(D9865="Legitimate Interest (GDPR Art. 6(1)(f))", L9865=""), "Gap - Missing LIA", IF(AND(G9865="Yes", H9865=""), "Gap - Missing Art. 9 Basis", IF(OR(I9865="Invalid - Not Freely Given", I9865="Invalid - Not Specific", I9865="Invalid - Not Informed", I9865="Invalid - Ambiguous"), "Gap - Invalid Consent", "Compliant")))))</f>
        <v/>
      </c>
      <c r="O9865" s="7" t="n"/>
    </row>
    <row r="9866">
      <c r="A9866" s="7" t="n"/>
      <c r="B9866" s="7" t="n"/>
      <c r="C9866" s="7" t="n"/>
      <c r="D9866" s="7" t="n"/>
      <c r="E9866" s="7" t="n"/>
      <c r="F9866" s="7" t="n"/>
      <c r="G9866" s="7" t="n"/>
      <c r="H9866" s="7" t="n"/>
      <c r="I9866" s="7" t="n"/>
      <c r="J9866" s="7" t="n"/>
      <c r="K9866">
        <f>IF(D9866="Legitimate Interest (GDPR Art. 6(1)(f))", "Yes / Required (Sheet 3)", "")</f>
        <v/>
      </c>
      <c r="L9866" s="7" t="n"/>
      <c r="M9866" s="7" t="n"/>
      <c r="N9866">
        <f>IF(D9866="", "Gap - No Legal Basis", IF(AND(D9866="Consent (GDPR Art. 6(1)(a))", I9866="Not Captured"), "Gap - Invalid Consent", IF(AND(D9866="Legitimate Interest (GDPR Art. 6(1)(f))", L9866=""), "Gap - Missing LIA", IF(AND(G9866="Yes", H9866=""), "Gap - Missing Art. 9 Basis", IF(OR(I9866="Invalid - Not Freely Given", I9866="Invalid - Not Specific", I9866="Invalid - Not Informed", I9866="Invalid - Ambiguous"), "Gap - Invalid Consent", "Compliant")))))</f>
        <v/>
      </c>
      <c r="O9866" s="7" t="n"/>
    </row>
    <row r="9867">
      <c r="A9867" s="7" t="n"/>
      <c r="B9867" s="7" t="n"/>
      <c r="C9867" s="7" t="n"/>
      <c r="D9867" s="7" t="n"/>
      <c r="E9867" s="7" t="n"/>
      <c r="F9867" s="7" t="n"/>
      <c r="G9867" s="7" t="n"/>
      <c r="H9867" s="7" t="n"/>
      <c r="I9867" s="7" t="n"/>
      <c r="J9867" s="7" t="n"/>
      <c r="K9867">
        <f>IF(D9867="Legitimate Interest (GDPR Art. 6(1)(f))", "Yes / Required (Sheet 3)", "")</f>
        <v/>
      </c>
      <c r="L9867" s="7" t="n"/>
      <c r="M9867" s="7" t="n"/>
      <c r="N9867">
        <f>IF(D9867="", "Gap - No Legal Basis", IF(AND(D9867="Consent (GDPR Art. 6(1)(a))", I9867="Not Captured"), "Gap - Invalid Consent", IF(AND(D9867="Legitimate Interest (GDPR Art. 6(1)(f))", L9867=""), "Gap - Missing LIA", IF(AND(G9867="Yes", H9867=""), "Gap - Missing Art. 9 Basis", IF(OR(I9867="Invalid - Not Freely Given", I9867="Invalid - Not Specific", I9867="Invalid - Not Informed", I9867="Invalid - Ambiguous"), "Gap - Invalid Consent", "Compliant")))))</f>
        <v/>
      </c>
      <c r="O9867" s="7" t="n"/>
    </row>
    <row r="9868">
      <c r="A9868" s="7" t="n"/>
      <c r="B9868" s="7" t="n"/>
      <c r="C9868" s="7" t="n"/>
      <c r="D9868" s="7" t="n"/>
      <c r="E9868" s="7" t="n"/>
      <c r="F9868" s="7" t="n"/>
      <c r="G9868" s="7" t="n"/>
      <c r="H9868" s="7" t="n"/>
      <c r="I9868" s="7" t="n"/>
      <c r="J9868" s="7" t="n"/>
      <c r="K9868">
        <f>IF(D9868="Legitimate Interest (GDPR Art. 6(1)(f))", "Yes / Required (Sheet 3)", "")</f>
        <v/>
      </c>
      <c r="L9868" s="7" t="n"/>
      <c r="M9868" s="7" t="n"/>
      <c r="N9868">
        <f>IF(D9868="", "Gap - No Legal Basis", IF(AND(D9868="Consent (GDPR Art. 6(1)(a))", I9868="Not Captured"), "Gap - Invalid Consent", IF(AND(D9868="Legitimate Interest (GDPR Art. 6(1)(f))", L9868=""), "Gap - Missing LIA", IF(AND(G9868="Yes", H9868=""), "Gap - Missing Art. 9 Basis", IF(OR(I9868="Invalid - Not Freely Given", I9868="Invalid - Not Specific", I9868="Invalid - Not Informed", I9868="Invalid - Ambiguous"), "Gap - Invalid Consent", "Compliant")))))</f>
        <v/>
      </c>
      <c r="O9868" s="7" t="n"/>
    </row>
    <row r="9869">
      <c r="A9869" s="7" t="n"/>
      <c r="B9869" s="7" t="n"/>
      <c r="C9869" s="7" t="n"/>
      <c r="D9869" s="7" t="n"/>
      <c r="E9869" s="7" t="n"/>
      <c r="F9869" s="7" t="n"/>
      <c r="G9869" s="7" t="n"/>
      <c r="H9869" s="7" t="n"/>
      <c r="I9869" s="7" t="n"/>
      <c r="J9869" s="7" t="n"/>
      <c r="K9869">
        <f>IF(D9869="Legitimate Interest (GDPR Art. 6(1)(f))", "Yes / Required (Sheet 3)", "")</f>
        <v/>
      </c>
      <c r="L9869" s="7" t="n"/>
      <c r="M9869" s="7" t="n"/>
      <c r="N9869">
        <f>IF(D9869="", "Gap - No Legal Basis", IF(AND(D9869="Consent (GDPR Art. 6(1)(a))", I9869="Not Captured"), "Gap - Invalid Consent", IF(AND(D9869="Legitimate Interest (GDPR Art. 6(1)(f))", L9869=""), "Gap - Missing LIA", IF(AND(G9869="Yes", H9869=""), "Gap - Missing Art. 9 Basis", IF(OR(I9869="Invalid - Not Freely Given", I9869="Invalid - Not Specific", I9869="Invalid - Not Informed", I9869="Invalid - Ambiguous"), "Gap - Invalid Consent", "Compliant")))))</f>
        <v/>
      </c>
      <c r="O9869" s="7" t="n"/>
    </row>
    <row r="9870">
      <c r="A9870" s="7" t="n"/>
      <c r="B9870" s="7" t="n"/>
      <c r="C9870" s="7" t="n"/>
      <c r="D9870" s="7" t="n"/>
      <c r="E9870" s="7" t="n"/>
      <c r="F9870" s="7" t="n"/>
      <c r="G9870" s="7" t="n"/>
      <c r="H9870" s="7" t="n"/>
      <c r="I9870" s="7" t="n"/>
      <c r="J9870" s="7" t="n"/>
      <c r="K9870">
        <f>IF(D9870="Legitimate Interest (GDPR Art. 6(1)(f))", "Yes / Required (Sheet 3)", "")</f>
        <v/>
      </c>
      <c r="L9870" s="7" t="n"/>
      <c r="M9870" s="7" t="n"/>
      <c r="N9870">
        <f>IF(D9870="", "Gap - No Legal Basis", IF(AND(D9870="Consent (GDPR Art. 6(1)(a))", I9870="Not Captured"), "Gap - Invalid Consent", IF(AND(D9870="Legitimate Interest (GDPR Art. 6(1)(f))", L9870=""), "Gap - Missing LIA", IF(AND(G9870="Yes", H9870=""), "Gap - Missing Art. 9 Basis", IF(OR(I9870="Invalid - Not Freely Given", I9870="Invalid - Not Specific", I9870="Invalid - Not Informed", I9870="Invalid - Ambiguous"), "Gap - Invalid Consent", "Compliant")))))</f>
        <v/>
      </c>
      <c r="O9870" s="7" t="n"/>
    </row>
    <row r="9871">
      <c r="A9871" s="7" t="n"/>
      <c r="B9871" s="7" t="n"/>
      <c r="C9871" s="7" t="n"/>
      <c r="D9871" s="7" t="n"/>
      <c r="E9871" s="7" t="n"/>
      <c r="F9871" s="7" t="n"/>
      <c r="G9871" s="7" t="n"/>
      <c r="H9871" s="7" t="n"/>
      <c r="I9871" s="7" t="n"/>
      <c r="J9871" s="7" t="n"/>
      <c r="K9871">
        <f>IF(D9871="Legitimate Interest (GDPR Art. 6(1)(f))", "Yes / Required (Sheet 3)", "")</f>
        <v/>
      </c>
      <c r="L9871" s="7" t="n"/>
      <c r="M9871" s="7" t="n"/>
      <c r="N9871">
        <f>IF(D9871="", "Gap - No Legal Basis", IF(AND(D9871="Consent (GDPR Art. 6(1)(a))", I9871="Not Captured"), "Gap - Invalid Consent", IF(AND(D9871="Legitimate Interest (GDPR Art. 6(1)(f))", L9871=""), "Gap - Missing LIA", IF(AND(G9871="Yes", H9871=""), "Gap - Missing Art. 9 Basis", IF(OR(I9871="Invalid - Not Freely Given", I9871="Invalid - Not Specific", I9871="Invalid - Not Informed", I9871="Invalid - Ambiguous"), "Gap - Invalid Consent", "Compliant")))))</f>
        <v/>
      </c>
      <c r="O9871" s="7" t="n"/>
    </row>
    <row r="9872">
      <c r="A9872" s="7" t="n"/>
      <c r="B9872" s="7" t="n"/>
      <c r="C9872" s="7" t="n"/>
      <c r="D9872" s="7" t="n"/>
      <c r="E9872" s="7" t="n"/>
      <c r="F9872" s="7" t="n"/>
      <c r="G9872" s="7" t="n"/>
      <c r="H9872" s="7" t="n"/>
      <c r="I9872" s="7" t="n"/>
      <c r="J9872" s="7" t="n"/>
      <c r="K9872">
        <f>IF(D9872="Legitimate Interest (GDPR Art. 6(1)(f))", "Yes / Required (Sheet 3)", "")</f>
        <v/>
      </c>
      <c r="L9872" s="7" t="n"/>
      <c r="M9872" s="7" t="n"/>
      <c r="N9872">
        <f>IF(D9872="", "Gap - No Legal Basis", IF(AND(D9872="Consent (GDPR Art. 6(1)(a))", I9872="Not Captured"), "Gap - Invalid Consent", IF(AND(D9872="Legitimate Interest (GDPR Art. 6(1)(f))", L9872=""), "Gap - Missing LIA", IF(AND(G9872="Yes", H9872=""), "Gap - Missing Art. 9 Basis", IF(OR(I9872="Invalid - Not Freely Given", I9872="Invalid - Not Specific", I9872="Invalid - Not Informed", I9872="Invalid - Ambiguous"), "Gap - Invalid Consent", "Compliant")))))</f>
        <v/>
      </c>
      <c r="O9872" s="7" t="n"/>
    </row>
    <row r="9873">
      <c r="A9873" s="7" t="n"/>
      <c r="B9873" s="7" t="n"/>
      <c r="C9873" s="7" t="n"/>
      <c r="D9873" s="7" t="n"/>
      <c r="E9873" s="7" t="n"/>
      <c r="F9873" s="7" t="n"/>
      <c r="G9873" s="7" t="n"/>
      <c r="H9873" s="7" t="n"/>
      <c r="I9873" s="7" t="n"/>
      <c r="J9873" s="7" t="n"/>
      <c r="K9873">
        <f>IF(D9873="Legitimate Interest (GDPR Art. 6(1)(f))", "Yes / Required (Sheet 3)", "")</f>
        <v/>
      </c>
      <c r="L9873" s="7" t="n"/>
      <c r="M9873" s="7" t="n"/>
      <c r="N9873">
        <f>IF(D9873="", "Gap - No Legal Basis", IF(AND(D9873="Consent (GDPR Art. 6(1)(a))", I9873="Not Captured"), "Gap - Invalid Consent", IF(AND(D9873="Legitimate Interest (GDPR Art. 6(1)(f))", L9873=""), "Gap - Missing LIA", IF(AND(G9873="Yes", H9873=""), "Gap - Missing Art. 9 Basis", IF(OR(I9873="Invalid - Not Freely Given", I9873="Invalid - Not Specific", I9873="Invalid - Not Informed", I9873="Invalid - Ambiguous"), "Gap - Invalid Consent", "Compliant")))))</f>
        <v/>
      </c>
      <c r="O9873" s="7" t="n"/>
    </row>
    <row r="9874">
      <c r="A9874" s="7" t="n"/>
      <c r="B9874" s="7" t="n"/>
      <c r="C9874" s="7" t="n"/>
      <c r="D9874" s="7" t="n"/>
      <c r="E9874" s="7" t="n"/>
      <c r="F9874" s="7" t="n"/>
      <c r="G9874" s="7" t="n"/>
      <c r="H9874" s="7" t="n"/>
      <c r="I9874" s="7" t="n"/>
      <c r="J9874" s="7" t="n"/>
      <c r="K9874">
        <f>IF(D9874="Legitimate Interest (GDPR Art. 6(1)(f))", "Yes / Required (Sheet 3)", "")</f>
        <v/>
      </c>
      <c r="L9874" s="7" t="n"/>
      <c r="M9874" s="7" t="n"/>
      <c r="N9874">
        <f>IF(D9874="", "Gap - No Legal Basis", IF(AND(D9874="Consent (GDPR Art. 6(1)(a))", I9874="Not Captured"), "Gap - Invalid Consent", IF(AND(D9874="Legitimate Interest (GDPR Art. 6(1)(f))", L9874=""), "Gap - Missing LIA", IF(AND(G9874="Yes", H9874=""), "Gap - Missing Art. 9 Basis", IF(OR(I9874="Invalid - Not Freely Given", I9874="Invalid - Not Specific", I9874="Invalid - Not Informed", I9874="Invalid - Ambiguous"), "Gap - Invalid Consent", "Compliant")))))</f>
        <v/>
      </c>
      <c r="O9874" s="7" t="n"/>
    </row>
    <row r="9875">
      <c r="A9875" s="7" t="n"/>
      <c r="B9875" s="7" t="n"/>
      <c r="C9875" s="7" t="n"/>
      <c r="D9875" s="7" t="n"/>
      <c r="E9875" s="7" t="n"/>
      <c r="F9875" s="7" t="n"/>
      <c r="G9875" s="7" t="n"/>
      <c r="H9875" s="7" t="n"/>
      <c r="I9875" s="7" t="n"/>
      <c r="J9875" s="7" t="n"/>
      <c r="K9875">
        <f>IF(D9875="Legitimate Interest (GDPR Art. 6(1)(f))", "Yes / Required (Sheet 3)", "")</f>
        <v/>
      </c>
      <c r="L9875" s="7" t="n"/>
      <c r="M9875" s="7" t="n"/>
      <c r="N9875">
        <f>IF(D9875="", "Gap - No Legal Basis", IF(AND(D9875="Consent (GDPR Art. 6(1)(a))", I9875="Not Captured"), "Gap - Invalid Consent", IF(AND(D9875="Legitimate Interest (GDPR Art. 6(1)(f))", L9875=""), "Gap - Missing LIA", IF(AND(G9875="Yes", H9875=""), "Gap - Missing Art. 9 Basis", IF(OR(I9875="Invalid - Not Freely Given", I9875="Invalid - Not Specific", I9875="Invalid - Not Informed", I9875="Invalid - Ambiguous"), "Gap - Invalid Consent", "Compliant")))))</f>
        <v/>
      </c>
      <c r="O9875" s="7" t="n"/>
    </row>
    <row r="9876">
      <c r="A9876" s="7" t="n"/>
      <c r="B9876" s="7" t="n"/>
      <c r="C9876" s="7" t="n"/>
      <c r="D9876" s="7" t="n"/>
      <c r="E9876" s="7" t="n"/>
      <c r="F9876" s="7" t="n"/>
      <c r="G9876" s="7" t="n"/>
      <c r="H9876" s="7" t="n"/>
      <c r="I9876" s="7" t="n"/>
      <c r="J9876" s="7" t="n"/>
      <c r="K9876">
        <f>IF(D9876="Legitimate Interest (GDPR Art. 6(1)(f))", "Yes / Required (Sheet 3)", "")</f>
        <v/>
      </c>
      <c r="L9876" s="7" t="n"/>
      <c r="M9876" s="7" t="n"/>
      <c r="N9876">
        <f>IF(D9876="", "Gap - No Legal Basis", IF(AND(D9876="Consent (GDPR Art. 6(1)(a))", I9876="Not Captured"), "Gap - Invalid Consent", IF(AND(D9876="Legitimate Interest (GDPR Art. 6(1)(f))", L9876=""), "Gap - Missing LIA", IF(AND(G9876="Yes", H9876=""), "Gap - Missing Art. 9 Basis", IF(OR(I9876="Invalid - Not Freely Given", I9876="Invalid - Not Specific", I9876="Invalid - Not Informed", I9876="Invalid - Ambiguous"), "Gap - Invalid Consent", "Compliant")))))</f>
        <v/>
      </c>
      <c r="O9876" s="7" t="n"/>
    </row>
    <row r="9877">
      <c r="A9877" s="7" t="n"/>
      <c r="B9877" s="7" t="n"/>
      <c r="C9877" s="7" t="n"/>
      <c r="D9877" s="7" t="n"/>
      <c r="E9877" s="7" t="n"/>
      <c r="F9877" s="7" t="n"/>
      <c r="G9877" s="7" t="n"/>
      <c r="H9877" s="7" t="n"/>
      <c r="I9877" s="7" t="n"/>
      <c r="J9877" s="7" t="n"/>
      <c r="K9877">
        <f>IF(D9877="Legitimate Interest (GDPR Art. 6(1)(f))", "Yes / Required (Sheet 3)", "")</f>
        <v/>
      </c>
      <c r="L9877" s="7" t="n"/>
      <c r="M9877" s="7" t="n"/>
      <c r="N9877">
        <f>IF(D9877="", "Gap - No Legal Basis", IF(AND(D9877="Consent (GDPR Art. 6(1)(a))", I9877="Not Captured"), "Gap - Invalid Consent", IF(AND(D9877="Legitimate Interest (GDPR Art. 6(1)(f))", L9877=""), "Gap - Missing LIA", IF(AND(G9877="Yes", H9877=""), "Gap - Missing Art. 9 Basis", IF(OR(I9877="Invalid - Not Freely Given", I9877="Invalid - Not Specific", I9877="Invalid - Not Informed", I9877="Invalid - Ambiguous"), "Gap - Invalid Consent", "Compliant")))))</f>
        <v/>
      </c>
      <c r="O9877" s="7" t="n"/>
    </row>
    <row r="9878">
      <c r="A9878" s="7" t="n"/>
      <c r="B9878" s="7" t="n"/>
      <c r="C9878" s="7" t="n"/>
      <c r="D9878" s="7" t="n"/>
      <c r="E9878" s="7" t="n"/>
      <c r="F9878" s="7" t="n"/>
      <c r="G9878" s="7" t="n"/>
      <c r="H9878" s="7" t="n"/>
      <c r="I9878" s="7" t="n"/>
      <c r="J9878" s="7" t="n"/>
      <c r="K9878">
        <f>IF(D9878="Legitimate Interest (GDPR Art. 6(1)(f))", "Yes / Required (Sheet 3)", "")</f>
        <v/>
      </c>
      <c r="L9878" s="7" t="n"/>
      <c r="M9878" s="7" t="n"/>
      <c r="N9878">
        <f>IF(D9878="", "Gap - No Legal Basis", IF(AND(D9878="Consent (GDPR Art. 6(1)(a))", I9878="Not Captured"), "Gap - Invalid Consent", IF(AND(D9878="Legitimate Interest (GDPR Art. 6(1)(f))", L9878=""), "Gap - Missing LIA", IF(AND(G9878="Yes", H9878=""), "Gap - Missing Art. 9 Basis", IF(OR(I9878="Invalid - Not Freely Given", I9878="Invalid - Not Specific", I9878="Invalid - Not Informed", I9878="Invalid - Ambiguous"), "Gap - Invalid Consent", "Compliant")))))</f>
        <v/>
      </c>
      <c r="O9878" s="7" t="n"/>
    </row>
    <row r="9879">
      <c r="A9879" s="7" t="n"/>
      <c r="B9879" s="7" t="n"/>
      <c r="C9879" s="7" t="n"/>
      <c r="D9879" s="7" t="n"/>
      <c r="E9879" s="7" t="n"/>
      <c r="F9879" s="7" t="n"/>
      <c r="G9879" s="7" t="n"/>
      <c r="H9879" s="7" t="n"/>
      <c r="I9879" s="7" t="n"/>
      <c r="J9879" s="7" t="n"/>
      <c r="K9879">
        <f>IF(D9879="Legitimate Interest (GDPR Art. 6(1)(f))", "Yes / Required (Sheet 3)", "")</f>
        <v/>
      </c>
      <c r="L9879" s="7" t="n"/>
      <c r="M9879" s="7" t="n"/>
      <c r="N9879">
        <f>IF(D9879="", "Gap - No Legal Basis", IF(AND(D9879="Consent (GDPR Art. 6(1)(a))", I9879="Not Captured"), "Gap - Invalid Consent", IF(AND(D9879="Legitimate Interest (GDPR Art. 6(1)(f))", L9879=""), "Gap - Missing LIA", IF(AND(G9879="Yes", H9879=""), "Gap - Missing Art. 9 Basis", IF(OR(I9879="Invalid - Not Freely Given", I9879="Invalid - Not Specific", I9879="Invalid - Not Informed", I9879="Invalid - Ambiguous"), "Gap - Invalid Consent", "Compliant")))))</f>
        <v/>
      </c>
      <c r="O9879" s="7" t="n"/>
    </row>
    <row r="9880">
      <c r="A9880" s="7" t="n"/>
      <c r="B9880" s="7" t="n"/>
      <c r="C9880" s="7" t="n"/>
      <c r="D9880" s="7" t="n"/>
      <c r="E9880" s="7" t="n"/>
      <c r="F9880" s="7" t="n"/>
      <c r="G9880" s="7" t="n"/>
      <c r="H9880" s="7" t="n"/>
      <c r="I9880" s="7" t="n"/>
      <c r="J9880" s="7" t="n"/>
      <c r="K9880">
        <f>IF(D9880="Legitimate Interest (GDPR Art. 6(1)(f))", "Yes / Required (Sheet 3)", "")</f>
        <v/>
      </c>
      <c r="L9880" s="7" t="n"/>
      <c r="M9880" s="7" t="n"/>
      <c r="N9880">
        <f>IF(D9880="", "Gap - No Legal Basis", IF(AND(D9880="Consent (GDPR Art. 6(1)(a))", I9880="Not Captured"), "Gap - Invalid Consent", IF(AND(D9880="Legitimate Interest (GDPR Art. 6(1)(f))", L9880=""), "Gap - Missing LIA", IF(AND(G9880="Yes", H9880=""), "Gap - Missing Art. 9 Basis", IF(OR(I9880="Invalid - Not Freely Given", I9880="Invalid - Not Specific", I9880="Invalid - Not Informed", I9880="Invalid - Ambiguous"), "Gap - Invalid Consent", "Compliant")))))</f>
        <v/>
      </c>
      <c r="O9880" s="7" t="n"/>
    </row>
    <row r="9881">
      <c r="A9881" s="7" t="n"/>
      <c r="B9881" s="7" t="n"/>
      <c r="C9881" s="7" t="n"/>
      <c r="D9881" s="7" t="n"/>
      <c r="E9881" s="7" t="n"/>
      <c r="F9881" s="7" t="n"/>
      <c r="G9881" s="7" t="n"/>
      <c r="H9881" s="7" t="n"/>
      <c r="I9881" s="7" t="n"/>
      <c r="J9881" s="7" t="n"/>
      <c r="K9881">
        <f>IF(D9881="Legitimate Interest (GDPR Art. 6(1)(f))", "Yes / Required (Sheet 3)", "")</f>
        <v/>
      </c>
      <c r="L9881" s="7" t="n"/>
      <c r="M9881" s="7" t="n"/>
      <c r="N9881">
        <f>IF(D9881="", "Gap - No Legal Basis", IF(AND(D9881="Consent (GDPR Art. 6(1)(a))", I9881="Not Captured"), "Gap - Invalid Consent", IF(AND(D9881="Legitimate Interest (GDPR Art. 6(1)(f))", L9881=""), "Gap - Missing LIA", IF(AND(G9881="Yes", H9881=""), "Gap - Missing Art. 9 Basis", IF(OR(I9881="Invalid - Not Freely Given", I9881="Invalid - Not Specific", I9881="Invalid - Not Informed", I9881="Invalid - Ambiguous"), "Gap - Invalid Consent", "Compliant")))))</f>
        <v/>
      </c>
      <c r="O9881" s="7" t="n"/>
    </row>
    <row r="9882">
      <c r="A9882" s="7" t="n"/>
      <c r="B9882" s="7" t="n"/>
      <c r="C9882" s="7" t="n"/>
      <c r="D9882" s="7" t="n"/>
      <c r="E9882" s="7" t="n"/>
      <c r="F9882" s="7" t="n"/>
      <c r="G9882" s="7" t="n"/>
      <c r="H9882" s="7" t="n"/>
      <c r="I9882" s="7" t="n"/>
      <c r="J9882" s="7" t="n"/>
      <c r="K9882">
        <f>IF(D9882="Legitimate Interest (GDPR Art. 6(1)(f))", "Yes / Required (Sheet 3)", "")</f>
        <v/>
      </c>
      <c r="L9882" s="7" t="n"/>
      <c r="M9882" s="7" t="n"/>
      <c r="N9882">
        <f>IF(D9882="", "Gap - No Legal Basis", IF(AND(D9882="Consent (GDPR Art. 6(1)(a))", I9882="Not Captured"), "Gap - Invalid Consent", IF(AND(D9882="Legitimate Interest (GDPR Art. 6(1)(f))", L9882=""), "Gap - Missing LIA", IF(AND(G9882="Yes", H9882=""), "Gap - Missing Art. 9 Basis", IF(OR(I9882="Invalid - Not Freely Given", I9882="Invalid - Not Specific", I9882="Invalid - Not Informed", I9882="Invalid - Ambiguous"), "Gap - Invalid Consent", "Compliant")))))</f>
        <v/>
      </c>
      <c r="O9882" s="7" t="n"/>
    </row>
    <row r="9883">
      <c r="A9883" s="7" t="n"/>
      <c r="B9883" s="7" t="n"/>
      <c r="C9883" s="7" t="n"/>
      <c r="D9883" s="7" t="n"/>
      <c r="E9883" s="7" t="n"/>
      <c r="F9883" s="7" t="n"/>
      <c r="G9883" s="7" t="n"/>
      <c r="H9883" s="7" t="n"/>
      <c r="I9883" s="7" t="n"/>
      <c r="J9883" s="7" t="n"/>
      <c r="K9883">
        <f>IF(D9883="Legitimate Interest (GDPR Art. 6(1)(f))", "Yes / Required (Sheet 3)", "")</f>
        <v/>
      </c>
      <c r="L9883" s="7" t="n"/>
      <c r="M9883" s="7" t="n"/>
      <c r="N9883">
        <f>IF(D9883="", "Gap - No Legal Basis", IF(AND(D9883="Consent (GDPR Art. 6(1)(a))", I9883="Not Captured"), "Gap - Invalid Consent", IF(AND(D9883="Legitimate Interest (GDPR Art. 6(1)(f))", L9883=""), "Gap - Missing LIA", IF(AND(G9883="Yes", H9883=""), "Gap - Missing Art. 9 Basis", IF(OR(I9883="Invalid - Not Freely Given", I9883="Invalid - Not Specific", I9883="Invalid - Not Informed", I9883="Invalid - Ambiguous"), "Gap - Invalid Consent", "Compliant")))))</f>
        <v/>
      </c>
      <c r="O9883" s="7" t="n"/>
    </row>
    <row r="9884">
      <c r="A9884" s="7" t="n"/>
      <c r="B9884" s="7" t="n"/>
      <c r="C9884" s="7" t="n"/>
      <c r="D9884" s="7" t="n"/>
      <c r="E9884" s="7" t="n"/>
      <c r="F9884" s="7" t="n"/>
      <c r="G9884" s="7" t="n"/>
      <c r="H9884" s="7" t="n"/>
      <c r="I9884" s="7" t="n"/>
      <c r="J9884" s="7" t="n"/>
      <c r="K9884">
        <f>IF(D9884="Legitimate Interest (GDPR Art. 6(1)(f))", "Yes / Required (Sheet 3)", "")</f>
        <v/>
      </c>
      <c r="L9884" s="7" t="n"/>
      <c r="M9884" s="7" t="n"/>
      <c r="N9884">
        <f>IF(D9884="", "Gap - No Legal Basis", IF(AND(D9884="Consent (GDPR Art. 6(1)(a))", I9884="Not Captured"), "Gap - Invalid Consent", IF(AND(D9884="Legitimate Interest (GDPR Art. 6(1)(f))", L9884=""), "Gap - Missing LIA", IF(AND(G9884="Yes", H9884=""), "Gap - Missing Art. 9 Basis", IF(OR(I9884="Invalid - Not Freely Given", I9884="Invalid - Not Specific", I9884="Invalid - Not Informed", I9884="Invalid - Ambiguous"), "Gap - Invalid Consent", "Compliant")))))</f>
        <v/>
      </c>
      <c r="O9884" s="7" t="n"/>
    </row>
    <row r="9885">
      <c r="A9885" s="7" t="n"/>
      <c r="B9885" s="7" t="n"/>
      <c r="C9885" s="7" t="n"/>
      <c r="D9885" s="7" t="n"/>
      <c r="E9885" s="7" t="n"/>
      <c r="F9885" s="7" t="n"/>
      <c r="G9885" s="7" t="n"/>
      <c r="H9885" s="7" t="n"/>
      <c r="I9885" s="7" t="n"/>
      <c r="J9885" s="7" t="n"/>
      <c r="K9885">
        <f>IF(D9885="Legitimate Interest (GDPR Art. 6(1)(f))", "Yes / Required (Sheet 3)", "")</f>
        <v/>
      </c>
      <c r="L9885" s="7" t="n"/>
      <c r="M9885" s="7" t="n"/>
      <c r="N9885">
        <f>IF(D9885="", "Gap - No Legal Basis", IF(AND(D9885="Consent (GDPR Art. 6(1)(a))", I9885="Not Captured"), "Gap - Invalid Consent", IF(AND(D9885="Legitimate Interest (GDPR Art. 6(1)(f))", L9885=""), "Gap - Missing LIA", IF(AND(G9885="Yes", H9885=""), "Gap - Missing Art. 9 Basis", IF(OR(I9885="Invalid - Not Freely Given", I9885="Invalid - Not Specific", I9885="Invalid - Not Informed", I9885="Invalid - Ambiguous"), "Gap - Invalid Consent", "Compliant")))))</f>
        <v/>
      </c>
      <c r="O9885" s="7" t="n"/>
    </row>
    <row r="9886">
      <c r="A9886" s="7" t="n"/>
      <c r="B9886" s="7" t="n"/>
      <c r="C9886" s="7" t="n"/>
      <c r="D9886" s="7" t="n"/>
      <c r="E9886" s="7" t="n"/>
      <c r="F9886" s="7" t="n"/>
      <c r="G9886" s="7" t="n"/>
      <c r="H9886" s="7" t="n"/>
      <c r="I9886" s="7" t="n"/>
      <c r="J9886" s="7" t="n"/>
      <c r="K9886">
        <f>IF(D9886="Legitimate Interest (GDPR Art. 6(1)(f))", "Yes / Required (Sheet 3)", "")</f>
        <v/>
      </c>
      <c r="L9886" s="7" t="n"/>
      <c r="M9886" s="7" t="n"/>
      <c r="N9886">
        <f>IF(D9886="", "Gap - No Legal Basis", IF(AND(D9886="Consent (GDPR Art. 6(1)(a))", I9886="Not Captured"), "Gap - Invalid Consent", IF(AND(D9886="Legitimate Interest (GDPR Art. 6(1)(f))", L9886=""), "Gap - Missing LIA", IF(AND(G9886="Yes", H9886=""), "Gap - Missing Art. 9 Basis", IF(OR(I9886="Invalid - Not Freely Given", I9886="Invalid - Not Specific", I9886="Invalid - Not Informed", I9886="Invalid - Ambiguous"), "Gap - Invalid Consent", "Compliant")))))</f>
        <v/>
      </c>
      <c r="O9886" s="7" t="n"/>
    </row>
    <row r="9887">
      <c r="A9887" s="7" t="n"/>
      <c r="B9887" s="7" t="n"/>
      <c r="C9887" s="7" t="n"/>
      <c r="D9887" s="7" t="n"/>
      <c r="E9887" s="7" t="n"/>
      <c r="F9887" s="7" t="n"/>
      <c r="G9887" s="7" t="n"/>
      <c r="H9887" s="7" t="n"/>
      <c r="I9887" s="7" t="n"/>
      <c r="J9887" s="7" t="n"/>
      <c r="K9887">
        <f>IF(D9887="Legitimate Interest (GDPR Art. 6(1)(f))", "Yes / Required (Sheet 3)", "")</f>
        <v/>
      </c>
      <c r="L9887" s="7" t="n"/>
      <c r="M9887" s="7" t="n"/>
      <c r="N9887">
        <f>IF(D9887="", "Gap - No Legal Basis", IF(AND(D9887="Consent (GDPR Art. 6(1)(a))", I9887="Not Captured"), "Gap - Invalid Consent", IF(AND(D9887="Legitimate Interest (GDPR Art. 6(1)(f))", L9887=""), "Gap - Missing LIA", IF(AND(G9887="Yes", H9887=""), "Gap - Missing Art. 9 Basis", IF(OR(I9887="Invalid - Not Freely Given", I9887="Invalid - Not Specific", I9887="Invalid - Not Informed", I9887="Invalid - Ambiguous"), "Gap - Invalid Consent", "Compliant")))))</f>
        <v/>
      </c>
      <c r="O9887" s="7" t="n"/>
    </row>
    <row r="9888">
      <c r="A9888" s="7" t="n"/>
      <c r="B9888" s="7" t="n"/>
      <c r="C9888" s="7" t="n"/>
      <c r="D9888" s="7" t="n"/>
      <c r="E9888" s="7" t="n"/>
      <c r="F9888" s="7" t="n"/>
      <c r="G9888" s="7" t="n"/>
      <c r="H9888" s="7" t="n"/>
      <c r="I9888" s="7" t="n"/>
      <c r="J9888" s="7" t="n"/>
      <c r="K9888">
        <f>IF(D9888="Legitimate Interest (GDPR Art. 6(1)(f))", "Yes / Required (Sheet 3)", "")</f>
        <v/>
      </c>
      <c r="L9888" s="7" t="n"/>
      <c r="M9888" s="7" t="n"/>
      <c r="N9888">
        <f>IF(D9888="", "Gap - No Legal Basis", IF(AND(D9888="Consent (GDPR Art. 6(1)(a))", I9888="Not Captured"), "Gap - Invalid Consent", IF(AND(D9888="Legitimate Interest (GDPR Art. 6(1)(f))", L9888=""), "Gap - Missing LIA", IF(AND(G9888="Yes", H9888=""), "Gap - Missing Art. 9 Basis", IF(OR(I9888="Invalid - Not Freely Given", I9888="Invalid - Not Specific", I9888="Invalid - Not Informed", I9888="Invalid - Ambiguous"), "Gap - Invalid Consent", "Compliant")))))</f>
        <v/>
      </c>
      <c r="O9888" s="7" t="n"/>
    </row>
    <row r="9889">
      <c r="A9889" s="7" t="n"/>
      <c r="B9889" s="7" t="n"/>
      <c r="C9889" s="7" t="n"/>
      <c r="D9889" s="7" t="n"/>
      <c r="E9889" s="7" t="n"/>
      <c r="F9889" s="7" t="n"/>
      <c r="G9889" s="7" t="n"/>
      <c r="H9889" s="7" t="n"/>
      <c r="I9889" s="7" t="n"/>
      <c r="J9889" s="7" t="n"/>
      <c r="K9889">
        <f>IF(D9889="Legitimate Interest (GDPR Art. 6(1)(f))", "Yes / Required (Sheet 3)", "")</f>
        <v/>
      </c>
      <c r="L9889" s="7" t="n"/>
      <c r="M9889" s="7" t="n"/>
      <c r="N9889">
        <f>IF(D9889="", "Gap - No Legal Basis", IF(AND(D9889="Consent (GDPR Art. 6(1)(a))", I9889="Not Captured"), "Gap - Invalid Consent", IF(AND(D9889="Legitimate Interest (GDPR Art. 6(1)(f))", L9889=""), "Gap - Missing LIA", IF(AND(G9889="Yes", H9889=""), "Gap - Missing Art. 9 Basis", IF(OR(I9889="Invalid - Not Freely Given", I9889="Invalid - Not Specific", I9889="Invalid - Not Informed", I9889="Invalid - Ambiguous"), "Gap - Invalid Consent", "Compliant")))))</f>
        <v/>
      </c>
      <c r="O9889" s="7" t="n"/>
    </row>
    <row r="9890">
      <c r="A9890" s="7" t="n"/>
      <c r="B9890" s="7" t="n"/>
      <c r="C9890" s="7" t="n"/>
      <c r="D9890" s="7" t="n"/>
      <c r="E9890" s="7" t="n"/>
      <c r="F9890" s="7" t="n"/>
      <c r="G9890" s="7" t="n"/>
      <c r="H9890" s="7" t="n"/>
      <c r="I9890" s="7" t="n"/>
      <c r="J9890" s="7" t="n"/>
      <c r="K9890">
        <f>IF(D9890="Legitimate Interest (GDPR Art. 6(1)(f))", "Yes / Required (Sheet 3)", "")</f>
        <v/>
      </c>
      <c r="L9890" s="7" t="n"/>
      <c r="M9890" s="7" t="n"/>
      <c r="N9890">
        <f>IF(D9890="", "Gap - No Legal Basis", IF(AND(D9890="Consent (GDPR Art. 6(1)(a))", I9890="Not Captured"), "Gap - Invalid Consent", IF(AND(D9890="Legitimate Interest (GDPR Art. 6(1)(f))", L9890=""), "Gap - Missing LIA", IF(AND(G9890="Yes", H9890=""), "Gap - Missing Art. 9 Basis", IF(OR(I9890="Invalid - Not Freely Given", I9890="Invalid - Not Specific", I9890="Invalid - Not Informed", I9890="Invalid - Ambiguous"), "Gap - Invalid Consent", "Compliant")))))</f>
        <v/>
      </c>
      <c r="O9890" s="7" t="n"/>
    </row>
    <row r="9891">
      <c r="A9891" s="7" t="n"/>
      <c r="B9891" s="7" t="n"/>
      <c r="C9891" s="7" t="n"/>
      <c r="D9891" s="7" t="n"/>
      <c r="E9891" s="7" t="n"/>
      <c r="F9891" s="7" t="n"/>
      <c r="G9891" s="7" t="n"/>
      <c r="H9891" s="7" t="n"/>
      <c r="I9891" s="7" t="n"/>
      <c r="J9891" s="7" t="n"/>
      <c r="K9891">
        <f>IF(D9891="Legitimate Interest (GDPR Art. 6(1)(f))", "Yes / Required (Sheet 3)", "")</f>
        <v/>
      </c>
      <c r="L9891" s="7" t="n"/>
      <c r="M9891" s="7" t="n"/>
      <c r="N9891">
        <f>IF(D9891="", "Gap - No Legal Basis", IF(AND(D9891="Consent (GDPR Art. 6(1)(a))", I9891="Not Captured"), "Gap - Invalid Consent", IF(AND(D9891="Legitimate Interest (GDPR Art. 6(1)(f))", L9891=""), "Gap - Missing LIA", IF(AND(G9891="Yes", H9891=""), "Gap - Missing Art. 9 Basis", IF(OR(I9891="Invalid - Not Freely Given", I9891="Invalid - Not Specific", I9891="Invalid - Not Informed", I9891="Invalid - Ambiguous"), "Gap - Invalid Consent", "Compliant")))))</f>
        <v/>
      </c>
      <c r="O9891" s="7" t="n"/>
    </row>
    <row r="9892">
      <c r="A9892" s="7" t="n"/>
      <c r="B9892" s="7" t="n"/>
      <c r="C9892" s="7" t="n"/>
      <c r="D9892" s="7" t="n"/>
      <c r="E9892" s="7" t="n"/>
      <c r="F9892" s="7" t="n"/>
      <c r="G9892" s="7" t="n"/>
      <c r="H9892" s="7" t="n"/>
      <c r="I9892" s="7" t="n"/>
      <c r="J9892" s="7" t="n"/>
      <c r="K9892">
        <f>IF(D9892="Legitimate Interest (GDPR Art. 6(1)(f))", "Yes / Required (Sheet 3)", "")</f>
        <v/>
      </c>
      <c r="L9892" s="7" t="n"/>
      <c r="M9892" s="7" t="n"/>
      <c r="N9892">
        <f>IF(D9892="", "Gap - No Legal Basis", IF(AND(D9892="Consent (GDPR Art. 6(1)(a))", I9892="Not Captured"), "Gap - Invalid Consent", IF(AND(D9892="Legitimate Interest (GDPR Art. 6(1)(f))", L9892=""), "Gap - Missing LIA", IF(AND(G9892="Yes", H9892=""), "Gap - Missing Art. 9 Basis", IF(OR(I9892="Invalid - Not Freely Given", I9892="Invalid - Not Specific", I9892="Invalid - Not Informed", I9892="Invalid - Ambiguous"), "Gap - Invalid Consent", "Compliant")))))</f>
        <v/>
      </c>
      <c r="O9892" s="7" t="n"/>
    </row>
    <row r="9893">
      <c r="A9893" s="7" t="n"/>
      <c r="B9893" s="7" t="n"/>
      <c r="C9893" s="7" t="n"/>
      <c r="D9893" s="7" t="n"/>
      <c r="E9893" s="7" t="n"/>
      <c r="F9893" s="7" t="n"/>
      <c r="G9893" s="7" t="n"/>
      <c r="H9893" s="7" t="n"/>
      <c r="I9893" s="7" t="n"/>
      <c r="J9893" s="7" t="n"/>
      <c r="K9893">
        <f>IF(D9893="Legitimate Interest (GDPR Art. 6(1)(f))", "Yes / Required (Sheet 3)", "")</f>
        <v/>
      </c>
      <c r="L9893" s="7" t="n"/>
      <c r="M9893" s="7" t="n"/>
      <c r="N9893">
        <f>IF(D9893="", "Gap - No Legal Basis", IF(AND(D9893="Consent (GDPR Art. 6(1)(a))", I9893="Not Captured"), "Gap - Invalid Consent", IF(AND(D9893="Legitimate Interest (GDPR Art. 6(1)(f))", L9893=""), "Gap - Missing LIA", IF(AND(G9893="Yes", H9893=""), "Gap - Missing Art. 9 Basis", IF(OR(I9893="Invalid - Not Freely Given", I9893="Invalid - Not Specific", I9893="Invalid - Not Informed", I9893="Invalid - Ambiguous"), "Gap - Invalid Consent", "Compliant")))))</f>
        <v/>
      </c>
      <c r="O9893" s="7" t="n"/>
    </row>
    <row r="9894">
      <c r="A9894" s="7" t="n"/>
      <c r="B9894" s="7" t="n"/>
      <c r="C9894" s="7" t="n"/>
      <c r="D9894" s="7" t="n"/>
      <c r="E9894" s="7" t="n"/>
      <c r="F9894" s="7" t="n"/>
      <c r="G9894" s="7" t="n"/>
      <c r="H9894" s="7" t="n"/>
      <c r="I9894" s="7" t="n"/>
      <c r="J9894" s="7" t="n"/>
      <c r="K9894">
        <f>IF(D9894="Legitimate Interest (GDPR Art. 6(1)(f))", "Yes / Required (Sheet 3)", "")</f>
        <v/>
      </c>
      <c r="L9894" s="7" t="n"/>
      <c r="M9894" s="7" t="n"/>
      <c r="N9894">
        <f>IF(D9894="", "Gap - No Legal Basis", IF(AND(D9894="Consent (GDPR Art. 6(1)(a))", I9894="Not Captured"), "Gap - Invalid Consent", IF(AND(D9894="Legitimate Interest (GDPR Art. 6(1)(f))", L9894=""), "Gap - Missing LIA", IF(AND(G9894="Yes", H9894=""), "Gap - Missing Art. 9 Basis", IF(OR(I9894="Invalid - Not Freely Given", I9894="Invalid - Not Specific", I9894="Invalid - Not Informed", I9894="Invalid - Ambiguous"), "Gap - Invalid Consent", "Compliant")))))</f>
        <v/>
      </c>
      <c r="O9894" s="7" t="n"/>
    </row>
    <row r="9895">
      <c r="A9895" s="7" t="n"/>
      <c r="B9895" s="7" t="n"/>
      <c r="C9895" s="7" t="n"/>
      <c r="D9895" s="7" t="n"/>
      <c r="E9895" s="7" t="n"/>
      <c r="F9895" s="7" t="n"/>
      <c r="G9895" s="7" t="n"/>
      <c r="H9895" s="7" t="n"/>
      <c r="I9895" s="7" t="n"/>
      <c r="J9895" s="7" t="n"/>
      <c r="K9895">
        <f>IF(D9895="Legitimate Interest (GDPR Art. 6(1)(f))", "Yes / Required (Sheet 3)", "")</f>
        <v/>
      </c>
      <c r="L9895" s="7" t="n"/>
      <c r="M9895" s="7" t="n"/>
      <c r="N9895">
        <f>IF(D9895="", "Gap - No Legal Basis", IF(AND(D9895="Consent (GDPR Art. 6(1)(a))", I9895="Not Captured"), "Gap - Invalid Consent", IF(AND(D9895="Legitimate Interest (GDPR Art. 6(1)(f))", L9895=""), "Gap - Missing LIA", IF(AND(G9895="Yes", H9895=""), "Gap - Missing Art. 9 Basis", IF(OR(I9895="Invalid - Not Freely Given", I9895="Invalid - Not Specific", I9895="Invalid - Not Informed", I9895="Invalid - Ambiguous"), "Gap - Invalid Consent", "Compliant")))))</f>
        <v/>
      </c>
      <c r="O9895" s="7" t="n"/>
    </row>
    <row r="9896">
      <c r="A9896" s="7" t="n"/>
      <c r="B9896" s="7" t="n"/>
      <c r="C9896" s="7" t="n"/>
      <c r="D9896" s="7" t="n"/>
      <c r="E9896" s="7" t="n"/>
      <c r="F9896" s="7" t="n"/>
      <c r="G9896" s="7" t="n"/>
      <c r="H9896" s="7" t="n"/>
      <c r="I9896" s="7" t="n"/>
      <c r="J9896" s="7" t="n"/>
      <c r="K9896">
        <f>IF(D9896="Legitimate Interest (GDPR Art. 6(1)(f))", "Yes / Required (Sheet 3)", "")</f>
        <v/>
      </c>
      <c r="L9896" s="7" t="n"/>
      <c r="M9896" s="7" t="n"/>
      <c r="N9896">
        <f>IF(D9896="", "Gap - No Legal Basis", IF(AND(D9896="Consent (GDPR Art. 6(1)(a))", I9896="Not Captured"), "Gap - Invalid Consent", IF(AND(D9896="Legitimate Interest (GDPR Art. 6(1)(f))", L9896=""), "Gap - Missing LIA", IF(AND(G9896="Yes", H9896=""), "Gap - Missing Art. 9 Basis", IF(OR(I9896="Invalid - Not Freely Given", I9896="Invalid - Not Specific", I9896="Invalid - Not Informed", I9896="Invalid - Ambiguous"), "Gap - Invalid Consent", "Compliant")))))</f>
        <v/>
      </c>
      <c r="O9896" s="7" t="n"/>
    </row>
    <row r="9897">
      <c r="A9897" s="7" t="n"/>
      <c r="B9897" s="7" t="n"/>
      <c r="C9897" s="7" t="n"/>
      <c r="D9897" s="7" t="n"/>
      <c r="E9897" s="7" t="n"/>
      <c r="F9897" s="7" t="n"/>
      <c r="G9897" s="7" t="n"/>
      <c r="H9897" s="7" t="n"/>
      <c r="I9897" s="7" t="n"/>
      <c r="J9897" s="7" t="n"/>
      <c r="K9897">
        <f>IF(D9897="Legitimate Interest (GDPR Art. 6(1)(f))", "Yes / Required (Sheet 3)", "")</f>
        <v/>
      </c>
      <c r="L9897" s="7" t="n"/>
      <c r="M9897" s="7" t="n"/>
      <c r="N9897">
        <f>IF(D9897="", "Gap - No Legal Basis", IF(AND(D9897="Consent (GDPR Art. 6(1)(a))", I9897="Not Captured"), "Gap - Invalid Consent", IF(AND(D9897="Legitimate Interest (GDPR Art. 6(1)(f))", L9897=""), "Gap - Missing LIA", IF(AND(G9897="Yes", H9897=""), "Gap - Missing Art. 9 Basis", IF(OR(I9897="Invalid - Not Freely Given", I9897="Invalid - Not Specific", I9897="Invalid - Not Informed", I9897="Invalid - Ambiguous"), "Gap - Invalid Consent", "Compliant")))))</f>
        <v/>
      </c>
      <c r="O9897" s="7" t="n"/>
    </row>
    <row r="9898">
      <c r="A9898" s="7" t="n"/>
      <c r="B9898" s="7" t="n"/>
      <c r="C9898" s="7" t="n"/>
      <c r="D9898" s="7" t="n"/>
      <c r="E9898" s="7" t="n"/>
      <c r="F9898" s="7" t="n"/>
      <c r="G9898" s="7" t="n"/>
      <c r="H9898" s="7" t="n"/>
      <c r="I9898" s="7" t="n"/>
      <c r="J9898" s="7" t="n"/>
      <c r="K9898">
        <f>IF(D9898="Legitimate Interest (GDPR Art. 6(1)(f))", "Yes / Required (Sheet 3)", "")</f>
        <v/>
      </c>
      <c r="L9898" s="7" t="n"/>
      <c r="M9898" s="7" t="n"/>
      <c r="N9898">
        <f>IF(D9898="", "Gap - No Legal Basis", IF(AND(D9898="Consent (GDPR Art. 6(1)(a))", I9898="Not Captured"), "Gap - Invalid Consent", IF(AND(D9898="Legitimate Interest (GDPR Art. 6(1)(f))", L9898=""), "Gap - Missing LIA", IF(AND(G9898="Yes", H9898=""), "Gap - Missing Art. 9 Basis", IF(OR(I9898="Invalid - Not Freely Given", I9898="Invalid - Not Specific", I9898="Invalid - Not Informed", I9898="Invalid - Ambiguous"), "Gap - Invalid Consent", "Compliant")))))</f>
        <v/>
      </c>
      <c r="O9898" s="7" t="n"/>
    </row>
    <row r="9899">
      <c r="A9899" s="7" t="n"/>
      <c r="B9899" s="7" t="n"/>
      <c r="C9899" s="7" t="n"/>
      <c r="D9899" s="7" t="n"/>
      <c r="E9899" s="7" t="n"/>
      <c r="F9899" s="7" t="n"/>
      <c r="G9899" s="7" t="n"/>
      <c r="H9899" s="7" t="n"/>
      <c r="I9899" s="7" t="n"/>
      <c r="J9899" s="7" t="n"/>
      <c r="K9899">
        <f>IF(D9899="Legitimate Interest (GDPR Art. 6(1)(f))", "Yes / Required (Sheet 3)", "")</f>
        <v/>
      </c>
      <c r="L9899" s="7" t="n"/>
      <c r="M9899" s="7" t="n"/>
      <c r="N9899">
        <f>IF(D9899="", "Gap - No Legal Basis", IF(AND(D9899="Consent (GDPR Art. 6(1)(a))", I9899="Not Captured"), "Gap - Invalid Consent", IF(AND(D9899="Legitimate Interest (GDPR Art. 6(1)(f))", L9899=""), "Gap - Missing LIA", IF(AND(G9899="Yes", H9899=""), "Gap - Missing Art. 9 Basis", IF(OR(I9899="Invalid - Not Freely Given", I9899="Invalid - Not Specific", I9899="Invalid - Not Informed", I9899="Invalid - Ambiguous"), "Gap - Invalid Consent", "Compliant")))))</f>
        <v/>
      </c>
      <c r="O9899" s="7" t="n"/>
    </row>
    <row r="9900">
      <c r="A9900" s="7" t="n"/>
      <c r="B9900" s="7" t="n"/>
      <c r="C9900" s="7" t="n"/>
      <c r="D9900" s="7" t="n"/>
      <c r="E9900" s="7" t="n"/>
      <c r="F9900" s="7" t="n"/>
      <c r="G9900" s="7" t="n"/>
      <c r="H9900" s="7" t="n"/>
      <c r="I9900" s="7" t="n"/>
      <c r="J9900" s="7" t="n"/>
      <c r="K9900">
        <f>IF(D9900="Legitimate Interest (GDPR Art. 6(1)(f))", "Yes / Required (Sheet 3)", "")</f>
        <v/>
      </c>
      <c r="L9900" s="7" t="n"/>
      <c r="M9900" s="7" t="n"/>
      <c r="N9900">
        <f>IF(D9900="", "Gap - No Legal Basis", IF(AND(D9900="Consent (GDPR Art. 6(1)(a))", I9900="Not Captured"), "Gap - Invalid Consent", IF(AND(D9900="Legitimate Interest (GDPR Art. 6(1)(f))", L9900=""), "Gap - Missing LIA", IF(AND(G9900="Yes", H9900=""), "Gap - Missing Art. 9 Basis", IF(OR(I9900="Invalid - Not Freely Given", I9900="Invalid - Not Specific", I9900="Invalid - Not Informed", I9900="Invalid - Ambiguous"), "Gap - Invalid Consent", "Compliant")))))</f>
        <v/>
      </c>
      <c r="O9900" s="7" t="n"/>
    </row>
    <row r="9901">
      <c r="A9901" s="7" t="n"/>
      <c r="B9901" s="7" t="n"/>
      <c r="C9901" s="7" t="n"/>
      <c r="D9901" s="7" t="n"/>
      <c r="E9901" s="7" t="n"/>
      <c r="F9901" s="7" t="n"/>
      <c r="G9901" s="7" t="n"/>
      <c r="H9901" s="7" t="n"/>
      <c r="I9901" s="7" t="n"/>
      <c r="J9901" s="7" t="n"/>
      <c r="K9901">
        <f>IF(D9901="Legitimate Interest (GDPR Art. 6(1)(f))", "Yes / Required (Sheet 3)", "")</f>
        <v/>
      </c>
      <c r="L9901" s="7" t="n"/>
      <c r="M9901" s="7" t="n"/>
      <c r="N9901">
        <f>IF(D9901="", "Gap - No Legal Basis", IF(AND(D9901="Consent (GDPR Art. 6(1)(a))", I9901="Not Captured"), "Gap - Invalid Consent", IF(AND(D9901="Legitimate Interest (GDPR Art. 6(1)(f))", L9901=""), "Gap - Missing LIA", IF(AND(G9901="Yes", H9901=""), "Gap - Missing Art. 9 Basis", IF(OR(I9901="Invalid - Not Freely Given", I9901="Invalid - Not Specific", I9901="Invalid - Not Informed", I9901="Invalid - Ambiguous"), "Gap - Invalid Consent", "Compliant")))))</f>
        <v/>
      </c>
      <c r="O9901" s="7" t="n"/>
    </row>
    <row r="9902">
      <c r="A9902" s="7" t="n"/>
      <c r="B9902" s="7" t="n"/>
      <c r="C9902" s="7" t="n"/>
      <c r="D9902" s="7" t="n"/>
      <c r="E9902" s="7" t="n"/>
      <c r="F9902" s="7" t="n"/>
      <c r="G9902" s="7" t="n"/>
      <c r="H9902" s="7" t="n"/>
      <c r="I9902" s="7" t="n"/>
      <c r="J9902" s="7" t="n"/>
      <c r="K9902">
        <f>IF(D9902="Legitimate Interest (GDPR Art. 6(1)(f))", "Yes / Required (Sheet 3)", "")</f>
        <v/>
      </c>
      <c r="L9902" s="7" t="n"/>
      <c r="M9902" s="7" t="n"/>
      <c r="N9902">
        <f>IF(D9902="", "Gap - No Legal Basis", IF(AND(D9902="Consent (GDPR Art. 6(1)(a))", I9902="Not Captured"), "Gap - Invalid Consent", IF(AND(D9902="Legitimate Interest (GDPR Art. 6(1)(f))", L9902=""), "Gap - Missing LIA", IF(AND(G9902="Yes", H9902=""), "Gap - Missing Art. 9 Basis", IF(OR(I9902="Invalid - Not Freely Given", I9902="Invalid - Not Specific", I9902="Invalid - Not Informed", I9902="Invalid - Ambiguous"), "Gap - Invalid Consent", "Compliant")))))</f>
        <v/>
      </c>
      <c r="O9902" s="7" t="n"/>
    </row>
    <row r="9903">
      <c r="A9903" s="7" t="n"/>
      <c r="B9903" s="7" t="n"/>
      <c r="C9903" s="7" t="n"/>
      <c r="D9903" s="7" t="n"/>
      <c r="E9903" s="7" t="n"/>
      <c r="F9903" s="7" t="n"/>
      <c r="G9903" s="7" t="n"/>
      <c r="H9903" s="7" t="n"/>
      <c r="I9903" s="7" t="n"/>
      <c r="J9903" s="7" t="n"/>
      <c r="K9903">
        <f>IF(D9903="Legitimate Interest (GDPR Art. 6(1)(f))", "Yes / Required (Sheet 3)", "")</f>
        <v/>
      </c>
      <c r="L9903" s="7" t="n"/>
      <c r="M9903" s="7" t="n"/>
      <c r="N9903">
        <f>IF(D9903="", "Gap - No Legal Basis", IF(AND(D9903="Consent (GDPR Art. 6(1)(a))", I9903="Not Captured"), "Gap - Invalid Consent", IF(AND(D9903="Legitimate Interest (GDPR Art. 6(1)(f))", L9903=""), "Gap - Missing LIA", IF(AND(G9903="Yes", H9903=""), "Gap - Missing Art. 9 Basis", IF(OR(I9903="Invalid - Not Freely Given", I9903="Invalid - Not Specific", I9903="Invalid - Not Informed", I9903="Invalid - Ambiguous"), "Gap - Invalid Consent", "Compliant")))))</f>
        <v/>
      </c>
      <c r="O9903" s="7" t="n"/>
    </row>
    <row r="9904">
      <c r="A9904" s="7" t="n"/>
      <c r="B9904" s="7" t="n"/>
      <c r="C9904" s="7" t="n"/>
      <c r="D9904" s="7" t="n"/>
      <c r="E9904" s="7" t="n"/>
      <c r="F9904" s="7" t="n"/>
      <c r="G9904" s="7" t="n"/>
      <c r="H9904" s="7" t="n"/>
      <c r="I9904" s="7" t="n"/>
      <c r="J9904" s="7" t="n"/>
      <c r="K9904">
        <f>IF(D9904="Legitimate Interest (GDPR Art. 6(1)(f))", "Yes / Required (Sheet 3)", "")</f>
        <v/>
      </c>
      <c r="L9904" s="7" t="n"/>
      <c r="M9904" s="7" t="n"/>
      <c r="N9904">
        <f>IF(D9904="", "Gap - No Legal Basis", IF(AND(D9904="Consent (GDPR Art. 6(1)(a))", I9904="Not Captured"), "Gap - Invalid Consent", IF(AND(D9904="Legitimate Interest (GDPR Art. 6(1)(f))", L9904=""), "Gap - Missing LIA", IF(AND(G9904="Yes", H9904=""), "Gap - Missing Art. 9 Basis", IF(OR(I9904="Invalid - Not Freely Given", I9904="Invalid - Not Specific", I9904="Invalid - Not Informed", I9904="Invalid - Ambiguous"), "Gap - Invalid Consent", "Compliant")))))</f>
        <v/>
      </c>
      <c r="O9904" s="7" t="n"/>
    </row>
    <row r="9905">
      <c r="A9905" s="7" t="n"/>
      <c r="B9905" s="7" t="n"/>
      <c r="C9905" s="7" t="n"/>
      <c r="D9905" s="7" t="n"/>
      <c r="E9905" s="7" t="n"/>
      <c r="F9905" s="7" t="n"/>
      <c r="G9905" s="7" t="n"/>
      <c r="H9905" s="7" t="n"/>
      <c r="I9905" s="7" t="n"/>
      <c r="J9905" s="7" t="n"/>
      <c r="K9905">
        <f>IF(D9905="Legitimate Interest (GDPR Art. 6(1)(f))", "Yes / Required (Sheet 3)", "")</f>
        <v/>
      </c>
      <c r="L9905" s="7" t="n"/>
      <c r="M9905" s="7" t="n"/>
      <c r="N9905">
        <f>IF(D9905="", "Gap - No Legal Basis", IF(AND(D9905="Consent (GDPR Art. 6(1)(a))", I9905="Not Captured"), "Gap - Invalid Consent", IF(AND(D9905="Legitimate Interest (GDPR Art. 6(1)(f))", L9905=""), "Gap - Missing LIA", IF(AND(G9905="Yes", H9905=""), "Gap - Missing Art. 9 Basis", IF(OR(I9905="Invalid - Not Freely Given", I9905="Invalid - Not Specific", I9905="Invalid - Not Informed", I9905="Invalid - Ambiguous"), "Gap - Invalid Consent", "Compliant")))))</f>
        <v/>
      </c>
      <c r="O9905" s="7" t="n"/>
    </row>
    <row r="9906">
      <c r="A9906" s="7" t="n"/>
      <c r="B9906" s="7" t="n"/>
      <c r="C9906" s="7" t="n"/>
      <c r="D9906" s="7" t="n"/>
      <c r="E9906" s="7" t="n"/>
      <c r="F9906" s="7" t="n"/>
      <c r="G9906" s="7" t="n"/>
      <c r="H9906" s="7" t="n"/>
      <c r="I9906" s="7" t="n"/>
      <c r="J9906" s="7" t="n"/>
      <c r="K9906">
        <f>IF(D9906="Legitimate Interest (GDPR Art. 6(1)(f))", "Yes / Required (Sheet 3)", "")</f>
        <v/>
      </c>
      <c r="L9906" s="7" t="n"/>
      <c r="M9906" s="7" t="n"/>
      <c r="N9906">
        <f>IF(D9906="", "Gap - No Legal Basis", IF(AND(D9906="Consent (GDPR Art. 6(1)(a))", I9906="Not Captured"), "Gap - Invalid Consent", IF(AND(D9906="Legitimate Interest (GDPR Art. 6(1)(f))", L9906=""), "Gap - Missing LIA", IF(AND(G9906="Yes", H9906=""), "Gap - Missing Art. 9 Basis", IF(OR(I9906="Invalid - Not Freely Given", I9906="Invalid - Not Specific", I9906="Invalid - Not Informed", I9906="Invalid - Ambiguous"), "Gap - Invalid Consent", "Compliant")))))</f>
        <v/>
      </c>
      <c r="O9906" s="7" t="n"/>
    </row>
    <row r="9907">
      <c r="A9907" s="7" t="n"/>
      <c r="B9907" s="7" t="n"/>
      <c r="C9907" s="7" t="n"/>
      <c r="D9907" s="7" t="n"/>
      <c r="E9907" s="7" t="n"/>
      <c r="F9907" s="7" t="n"/>
      <c r="G9907" s="7" t="n"/>
      <c r="H9907" s="7" t="n"/>
      <c r="I9907" s="7" t="n"/>
      <c r="J9907" s="7" t="n"/>
      <c r="K9907">
        <f>IF(D9907="Legitimate Interest (GDPR Art. 6(1)(f))", "Yes / Required (Sheet 3)", "")</f>
        <v/>
      </c>
      <c r="L9907" s="7" t="n"/>
      <c r="M9907" s="7" t="n"/>
      <c r="N9907">
        <f>IF(D9907="", "Gap - No Legal Basis", IF(AND(D9907="Consent (GDPR Art. 6(1)(a))", I9907="Not Captured"), "Gap - Invalid Consent", IF(AND(D9907="Legitimate Interest (GDPR Art. 6(1)(f))", L9907=""), "Gap - Missing LIA", IF(AND(G9907="Yes", H9907=""), "Gap - Missing Art. 9 Basis", IF(OR(I9907="Invalid - Not Freely Given", I9907="Invalid - Not Specific", I9907="Invalid - Not Informed", I9907="Invalid - Ambiguous"), "Gap - Invalid Consent", "Compliant")))))</f>
        <v/>
      </c>
      <c r="O9907" s="7" t="n"/>
    </row>
    <row r="9908">
      <c r="A9908" s="7" t="n"/>
      <c r="B9908" s="7" t="n"/>
      <c r="C9908" s="7" t="n"/>
      <c r="D9908" s="7" t="n"/>
      <c r="E9908" s="7" t="n"/>
      <c r="F9908" s="7" t="n"/>
      <c r="G9908" s="7" t="n"/>
      <c r="H9908" s="7" t="n"/>
      <c r="I9908" s="7" t="n"/>
      <c r="J9908" s="7" t="n"/>
      <c r="K9908">
        <f>IF(D9908="Legitimate Interest (GDPR Art. 6(1)(f))", "Yes / Required (Sheet 3)", "")</f>
        <v/>
      </c>
      <c r="L9908" s="7" t="n"/>
      <c r="M9908" s="7" t="n"/>
      <c r="N9908">
        <f>IF(D9908="", "Gap - No Legal Basis", IF(AND(D9908="Consent (GDPR Art. 6(1)(a))", I9908="Not Captured"), "Gap - Invalid Consent", IF(AND(D9908="Legitimate Interest (GDPR Art. 6(1)(f))", L9908=""), "Gap - Missing LIA", IF(AND(G9908="Yes", H9908=""), "Gap - Missing Art. 9 Basis", IF(OR(I9908="Invalid - Not Freely Given", I9908="Invalid - Not Specific", I9908="Invalid - Not Informed", I9908="Invalid - Ambiguous"), "Gap - Invalid Consent", "Compliant")))))</f>
        <v/>
      </c>
      <c r="O9908" s="7" t="n"/>
    </row>
    <row r="9909">
      <c r="A9909" s="7" t="n"/>
      <c r="B9909" s="7" t="n"/>
      <c r="C9909" s="7" t="n"/>
      <c r="D9909" s="7" t="n"/>
      <c r="E9909" s="7" t="n"/>
      <c r="F9909" s="7" t="n"/>
      <c r="G9909" s="7" t="n"/>
      <c r="H9909" s="7" t="n"/>
      <c r="I9909" s="7" t="n"/>
      <c r="J9909" s="7" t="n"/>
      <c r="K9909">
        <f>IF(D9909="Legitimate Interest (GDPR Art. 6(1)(f))", "Yes / Required (Sheet 3)", "")</f>
        <v/>
      </c>
      <c r="L9909" s="7" t="n"/>
      <c r="M9909" s="7" t="n"/>
      <c r="N9909">
        <f>IF(D9909="", "Gap - No Legal Basis", IF(AND(D9909="Consent (GDPR Art. 6(1)(a))", I9909="Not Captured"), "Gap - Invalid Consent", IF(AND(D9909="Legitimate Interest (GDPR Art. 6(1)(f))", L9909=""), "Gap - Missing LIA", IF(AND(G9909="Yes", H9909=""), "Gap - Missing Art. 9 Basis", IF(OR(I9909="Invalid - Not Freely Given", I9909="Invalid - Not Specific", I9909="Invalid - Not Informed", I9909="Invalid - Ambiguous"), "Gap - Invalid Consent", "Compliant")))))</f>
        <v/>
      </c>
      <c r="O9909" s="7" t="n"/>
    </row>
    <row r="9910">
      <c r="A9910" s="7" t="n"/>
      <c r="B9910" s="7" t="n"/>
      <c r="C9910" s="7" t="n"/>
      <c r="D9910" s="7" t="n"/>
      <c r="E9910" s="7" t="n"/>
      <c r="F9910" s="7" t="n"/>
      <c r="G9910" s="7" t="n"/>
      <c r="H9910" s="7" t="n"/>
      <c r="I9910" s="7" t="n"/>
      <c r="J9910" s="7" t="n"/>
      <c r="K9910">
        <f>IF(D9910="Legitimate Interest (GDPR Art. 6(1)(f))", "Yes / Required (Sheet 3)", "")</f>
        <v/>
      </c>
      <c r="L9910" s="7" t="n"/>
      <c r="M9910" s="7" t="n"/>
      <c r="N9910">
        <f>IF(D9910="", "Gap - No Legal Basis", IF(AND(D9910="Consent (GDPR Art. 6(1)(a))", I9910="Not Captured"), "Gap - Invalid Consent", IF(AND(D9910="Legitimate Interest (GDPR Art. 6(1)(f))", L9910=""), "Gap - Missing LIA", IF(AND(G9910="Yes", H9910=""), "Gap - Missing Art. 9 Basis", IF(OR(I9910="Invalid - Not Freely Given", I9910="Invalid - Not Specific", I9910="Invalid - Not Informed", I9910="Invalid - Ambiguous"), "Gap - Invalid Consent", "Compliant")))))</f>
        <v/>
      </c>
      <c r="O9910" s="7" t="n"/>
    </row>
    <row r="9911">
      <c r="A9911" s="7" t="n"/>
      <c r="B9911" s="7" t="n"/>
      <c r="C9911" s="7" t="n"/>
      <c r="D9911" s="7" t="n"/>
      <c r="E9911" s="7" t="n"/>
      <c r="F9911" s="7" t="n"/>
      <c r="G9911" s="7" t="n"/>
      <c r="H9911" s="7" t="n"/>
      <c r="I9911" s="7" t="n"/>
      <c r="J9911" s="7" t="n"/>
      <c r="K9911">
        <f>IF(D9911="Legitimate Interest (GDPR Art. 6(1)(f))", "Yes / Required (Sheet 3)", "")</f>
        <v/>
      </c>
      <c r="L9911" s="7" t="n"/>
      <c r="M9911" s="7" t="n"/>
      <c r="N9911">
        <f>IF(D9911="", "Gap - No Legal Basis", IF(AND(D9911="Consent (GDPR Art. 6(1)(a))", I9911="Not Captured"), "Gap - Invalid Consent", IF(AND(D9911="Legitimate Interest (GDPR Art. 6(1)(f))", L9911=""), "Gap - Missing LIA", IF(AND(G9911="Yes", H9911=""), "Gap - Missing Art. 9 Basis", IF(OR(I9911="Invalid - Not Freely Given", I9911="Invalid - Not Specific", I9911="Invalid - Not Informed", I9911="Invalid - Ambiguous"), "Gap - Invalid Consent", "Compliant")))))</f>
        <v/>
      </c>
      <c r="O9911" s="7" t="n"/>
    </row>
    <row r="9912">
      <c r="A9912" s="7" t="n"/>
      <c r="B9912" s="7" t="n"/>
      <c r="C9912" s="7" t="n"/>
      <c r="D9912" s="7" t="n"/>
      <c r="E9912" s="7" t="n"/>
      <c r="F9912" s="7" t="n"/>
      <c r="G9912" s="7" t="n"/>
      <c r="H9912" s="7" t="n"/>
      <c r="I9912" s="7" t="n"/>
      <c r="J9912" s="7" t="n"/>
      <c r="K9912">
        <f>IF(D9912="Legitimate Interest (GDPR Art. 6(1)(f))", "Yes / Required (Sheet 3)", "")</f>
        <v/>
      </c>
      <c r="L9912" s="7" t="n"/>
      <c r="M9912" s="7" t="n"/>
      <c r="N9912">
        <f>IF(D9912="", "Gap - No Legal Basis", IF(AND(D9912="Consent (GDPR Art. 6(1)(a))", I9912="Not Captured"), "Gap - Invalid Consent", IF(AND(D9912="Legitimate Interest (GDPR Art. 6(1)(f))", L9912=""), "Gap - Missing LIA", IF(AND(G9912="Yes", H9912=""), "Gap - Missing Art. 9 Basis", IF(OR(I9912="Invalid - Not Freely Given", I9912="Invalid - Not Specific", I9912="Invalid - Not Informed", I9912="Invalid - Ambiguous"), "Gap - Invalid Consent", "Compliant")))))</f>
        <v/>
      </c>
      <c r="O9912" s="7" t="n"/>
    </row>
    <row r="9913">
      <c r="A9913" s="7" t="n"/>
      <c r="B9913" s="7" t="n"/>
      <c r="C9913" s="7" t="n"/>
      <c r="D9913" s="7" t="n"/>
      <c r="E9913" s="7" t="n"/>
      <c r="F9913" s="7" t="n"/>
      <c r="G9913" s="7" t="n"/>
      <c r="H9913" s="7" t="n"/>
      <c r="I9913" s="7" t="n"/>
      <c r="J9913" s="7" t="n"/>
      <c r="K9913">
        <f>IF(D9913="Legitimate Interest (GDPR Art. 6(1)(f))", "Yes / Required (Sheet 3)", "")</f>
        <v/>
      </c>
      <c r="L9913" s="7" t="n"/>
      <c r="M9913" s="7" t="n"/>
      <c r="N9913">
        <f>IF(D9913="", "Gap - No Legal Basis", IF(AND(D9913="Consent (GDPR Art. 6(1)(a))", I9913="Not Captured"), "Gap - Invalid Consent", IF(AND(D9913="Legitimate Interest (GDPR Art. 6(1)(f))", L9913=""), "Gap - Missing LIA", IF(AND(G9913="Yes", H9913=""), "Gap - Missing Art. 9 Basis", IF(OR(I9913="Invalid - Not Freely Given", I9913="Invalid - Not Specific", I9913="Invalid - Not Informed", I9913="Invalid - Ambiguous"), "Gap - Invalid Consent", "Compliant")))))</f>
        <v/>
      </c>
      <c r="O9913" s="7" t="n"/>
    </row>
    <row r="9914">
      <c r="A9914" s="7" t="n"/>
      <c r="B9914" s="7" t="n"/>
      <c r="C9914" s="7" t="n"/>
      <c r="D9914" s="7" t="n"/>
      <c r="E9914" s="7" t="n"/>
      <c r="F9914" s="7" t="n"/>
      <c r="G9914" s="7" t="n"/>
      <c r="H9914" s="7" t="n"/>
      <c r="I9914" s="7" t="n"/>
      <c r="J9914" s="7" t="n"/>
      <c r="K9914">
        <f>IF(D9914="Legitimate Interest (GDPR Art. 6(1)(f))", "Yes / Required (Sheet 3)", "")</f>
        <v/>
      </c>
      <c r="L9914" s="7" t="n"/>
      <c r="M9914" s="7" t="n"/>
      <c r="N9914">
        <f>IF(D9914="", "Gap - No Legal Basis", IF(AND(D9914="Consent (GDPR Art. 6(1)(a))", I9914="Not Captured"), "Gap - Invalid Consent", IF(AND(D9914="Legitimate Interest (GDPR Art. 6(1)(f))", L9914=""), "Gap - Missing LIA", IF(AND(G9914="Yes", H9914=""), "Gap - Missing Art. 9 Basis", IF(OR(I9914="Invalid - Not Freely Given", I9914="Invalid - Not Specific", I9914="Invalid - Not Informed", I9914="Invalid - Ambiguous"), "Gap - Invalid Consent", "Compliant")))))</f>
        <v/>
      </c>
      <c r="O9914" s="7" t="n"/>
    </row>
    <row r="9915">
      <c r="A9915" s="7" t="n"/>
      <c r="B9915" s="7" t="n"/>
      <c r="C9915" s="7" t="n"/>
      <c r="D9915" s="7" t="n"/>
      <c r="E9915" s="7" t="n"/>
      <c r="F9915" s="7" t="n"/>
      <c r="G9915" s="7" t="n"/>
      <c r="H9915" s="7" t="n"/>
      <c r="I9915" s="7" t="n"/>
      <c r="J9915" s="7" t="n"/>
      <c r="K9915">
        <f>IF(D9915="Legitimate Interest (GDPR Art. 6(1)(f))", "Yes / Required (Sheet 3)", "")</f>
        <v/>
      </c>
      <c r="L9915" s="7" t="n"/>
      <c r="M9915" s="7" t="n"/>
      <c r="N9915">
        <f>IF(D9915="", "Gap - No Legal Basis", IF(AND(D9915="Consent (GDPR Art. 6(1)(a))", I9915="Not Captured"), "Gap - Invalid Consent", IF(AND(D9915="Legitimate Interest (GDPR Art. 6(1)(f))", L9915=""), "Gap - Missing LIA", IF(AND(G9915="Yes", H9915=""), "Gap - Missing Art. 9 Basis", IF(OR(I9915="Invalid - Not Freely Given", I9915="Invalid - Not Specific", I9915="Invalid - Not Informed", I9915="Invalid - Ambiguous"), "Gap - Invalid Consent", "Compliant")))))</f>
        <v/>
      </c>
      <c r="O9915" s="7" t="n"/>
    </row>
    <row r="9916">
      <c r="A9916" s="7" t="n"/>
      <c r="B9916" s="7" t="n"/>
      <c r="C9916" s="7" t="n"/>
      <c r="D9916" s="7" t="n"/>
      <c r="E9916" s="7" t="n"/>
      <c r="F9916" s="7" t="n"/>
      <c r="G9916" s="7" t="n"/>
      <c r="H9916" s="7" t="n"/>
      <c r="I9916" s="7" t="n"/>
      <c r="J9916" s="7" t="n"/>
      <c r="K9916">
        <f>IF(D9916="Legitimate Interest (GDPR Art. 6(1)(f))", "Yes / Required (Sheet 3)", "")</f>
        <v/>
      </c>
      <c r="L9916" s="7" t="n"/>
      <c r="M9916" s="7" t="n"/>
      <c r="N9916">
        <f>IF(D9916="", "Gap - No Legal Basis", IF(AND(D9916="Consent (GDPR Art. 6(1)(a))", I9916="Not Captured"), "Gap - Invalid Consent", IF(AND(D9916="Legitimate Interest (GDPR Art. 6(1)(f))", L9916=""), "Gap - Missing LIA", IF(AND(G9916="Yes", H9916=""), "Gap - Missing Art. 9 Basis", IF(OR(I9916="Invalid - Not Freely Given", I9916="Invalid - Not Specific", I9916="Invalid - Not Informed", I9916="Invalid - Ambiguous"), "Gap - Invalid Consent", "Compliant")))))</f>
        <v/>
      </c>
      <c r="O9916" s="7" t="n"/>
    </row>
    <row r="9917">
      <c r="A9917" s="7" t="n"/>
      <c r="B9917" s="7" t="n"/>
      <c r="C9917" s="7" t="n"/>
      <c r="D9917" s="7" t="n"/>
      <c r="E9917" s="7" t="n"/>
      <c r="F9917" s="7" t="n"/>
      <c r="G9917" s="7" t="n"/>
      <c r="H9917" s="7" t="n"/>
      <c r="I9917" s="7" t="n"/>
      <c r="J9917" s="7" t="n"/>
      <c r="K9917">
        <f>IF(D9917="Legitimate Interest (GDPR Art. 6(1)(f))", "Yes / Required (Sheet 3)", "")</f>
        <v/>
      </c>
      <c r="L9917" s="7" t="n"/>
      <c r="M9917" s="7" t="n"/>
      <c r="N9917">
        <f>IF(D9917="", "Gap - No Legal Basis", IF(AND(D9917="Consent (GDPR Art. 6(1)(a))", I9917="Not Captured"), "Gap - Invalid Consent", IF(AND(D9917="Legitimate Interest (GDPR Art. 6(1)(f))", L9917=""), "Gap - Missing LIA", IF(AND(G9917="Yes", H9917=""), "Gap - Missing Art. 9 Basis", IF(OR(I9917="Invalid - Not Freely Given", I9917="Invalid - Not Specific", I9917="Invalid - Not Informed", I9917="Invalid - Ambiguous"), "Gap - Invalid Consent", "Compliant")))))</f>
        <v/>
      </c>
      <c r="O9917" s="7" t="n"/>
    </row>
    <row r="9918">
      <c r="A9918" s="7" t="n"/>
      <c r="B9918" s="7" t="n"/>
      <c r="C9918" s="7" t="n"/>
      <c r="D9918" s="7" t="n"/>
      <c r="E9918" s="7" t="n"/>
      <c r="F9918" s="7" t="n"/>
      <c r="G9918" s="7" t="n"/>
      <c r="H9918" s="7" t="n"/>
      <c r="I9918" s="7" t="n"/>
      <c r="J9918" s="7" t="n"/>
      <c r="K9918">
        <f>IF(D9918="Legitimate Interest (GDPR Art. 6(1)(f))", "Yes / Required (Sheet 3)", "")</f>
        <v/>
      </c>
      <c r="L9918" s="7" t="n"/>
      <c r="M9918" s="7" t="n"/>
      <c r="N9918">
        <f>IF(D9918="", "Gap - No Legal Basis", IF(AND(D9918="Consent (GDPR Art. 6(1)(a))", I9918="Not Captured"), "Gap - Invalid Consent", IF(AND(D9918="Legitimate Interest (GDPR Art. 6(1)(f))", L9918=""), "Gap - Missing LIA", IF(AND(G9918="Yes", H9918=""), "Gap - Missing Art. 9 Basis", IF(OR(I9918="Invalid - Not Freely Given", I9918="Invalid - Not Specific", I9918="Invalid - Not Informed", I9918="Invalid - Ambiguous"), "Gap - Invalid Consent", "Compliant")))))</f>
        <v/>
      </c>
      <c r="O9918" s="7" t="n"/>
    </row>
    <row r="9919">
      <c r="A9919" s="7" t="n"/>
      <c r="B9919" s="7" t="n"/>
      <c r="C9919" s="7" t="n"/>
      <c r="D9919" s="7" t="n"/>
      <c r="E9919" s="7" t="n"/>
      <c r="F9919" s="7" t="n"/>
      <c r="G9919" s="7" t="n"/>
      <c r="H9919" s="7" t="n"/>
      <c r="I9919" s="7" t="n"/>
      <c r="J9919" s="7" t="n"/>
      <c r="K9919">
        <f>IF(D9919="Legitimate Interest (GDPR Art. 6(1)(f))", "Yes / Required (Sheet 3)", "")</f>
        <v/>
      </c>
      <c r="L9919" s="7" t="n"/>
      <c r="M9919" s="7" t="n"/>
      <c r="N9919">
        <f>IF(D9919="", "Gap - No Legal Basis", IF(AND(D9919="Consent (GDPR Art. 6(1)(a))", I9919="Not Captured"), "Gap - Invalid Consent", IF(AND(D9919="Legitimate Interest (GDPR Art. 6(1)(f))", L9919=""), "Gap - Missing LIA", IF(AND(G9919="Yes", H9919=""), "Gap - Missing Art. 9 Basis", IF(OR(I9919="Invalid - Not Freely Given", I9919="Invalid - Not Specific", I9919="Invalid - Not Informed", I9919="Invalid - Ambiguous"), "Gap - Invalid Consent", "Compliant")))))</f>
        <v/>
      </c>
      <c r="O9919" s="7" t="n"/>
    </row>
    <row r="9920">
      <c r="A9920" s="7" t="n"/>
      <c r="B9920" s="7" t="n"/>
      <c r="C9920" s="7" t="n"/>
      <c r="D9920" s="7" t="n"/>
      <c r="E9920" s="7" t="n"/>
      <c r="F9920" s="7" t="n"/>
      <c r="G9920" s="7" t="n"/>
      <c r="H9920" s="7" t="n"/>
      <c r="I9920" s="7" t="n"/>
      <c r="J9920" s="7" t="n"/>
      <c r="K9920">
        <f>IF(D9920="Legitimate Interest (GDPR Art. 6(1)(f))", "Yes / Required (Sheet 3)", "")</f>
        <v/>
      </c>
      <c r="L9920" s="7" t="n"/>
      <c r="M9920" s="7" t="n"/>
      <c r="N9920">
        <f>IF(D9920="", "Gap - No Legal Basis", IF(AND(D9920="Consent (GDPR Art. 6(1)(a))", I9920="Not Captured"), "Gap - Invalid Consent", IF(AND(D9920="Legitimate Interest (GDPR Art. 6(1)(f))", L9920=""), "Gap - Missing LIA", IF(AND(G9920="Yes", H9920=""), "Gap - Missing Art. 9 Basis", IF(OR(I9920="Invalid - Not Freely Given", I9920="Invalid - Not Specific", I9920="Invalid - Not Informed", I9920="Invalid - Ambiguous"), "Gap - Invalid Consent", "Compliant")))))</f>
        <v/>
      </c>
      <c r="O9920" s="7" t="n"/>
    </row>
    <row r="9921">
      <c r="A9921" s="7" t="n"/>
      <c r="B9921" s="7" t="n"/>
      <c r="C9921" s="7" t="n"/>
      <c r="D9921" s="7" t="n"/>
      <c r="E9921" s="7" t="n"/>
      <c r="F9921" s="7" t="n"/>
      <c r="G9921" s="7" t="n"/>
      <c r="H9921" s="7" t="n"/>
      <c r="I9921" s="7" t="n"/>
      <c r="J9921" s="7" t="n"/>
      <c r="K9921">
        <f>IF(D9921="Legitimate Interest (GDPR Art. 6(1)(f))", "Yes / Required (Sheet 3)", "")</f>
        <v/>
      </c>
      <c r="L9921" s="7" t="n"/>
      <c r="M9921" s="7" t="n"/>
      <c r="N9921">
        <f>IF(D9921="", "Gap - No Legal Basis", IF(AND(D9921="Consent (GDPR Art. 6(1)(a))", I9921="Not Captured"), "Gap - Invalid Consent", IF(AND(D9921="Legitimate Interest (GDPR Art. 6(1)(f))", L9921=""), "Gap - Missing LIA", IF(AND(G9921="Yes", H9921=""), "Gap - Missing Art. 9 Basis", IF(OR(I9921="Invalid - Not Freely Given", I9921="Invalid - Not Specific", I9921="Invalid - Not Informed", I9921="Invalid - Ambiguous"), "Gap - Invalid Consent", "Compliant")))))</f>
        <v/>
      </c>
      <c r="O9921" s="7" t="n"/>
    </row>
    <row r="9922">
      <c r="A9922" s="7" t="n"/>
      <c r="B9922" s="7" t="n"/>
      <c r="C9922" s="7" t="n"/>
      <c r="D9922" s="7" t="n"/>
      <c r="E9922" s="7" t="n"/>
      <c r="F9922" s="7" t="n"/>
      <c r="G9922" s="7" t="n"/>
      <c r="H9922" s="7" t="n"/>
      <c r="I9922" s="7" t="n"/>
      <c r="J9922" s="7" t="n"/>
      <c r="K9922">
        <f>IF(D9922="Legitimate Interest (GDPR Art. 6(1)(f))", "Yes / Required (Sheet 3)", "")</f>
        <v/>
      </c>
      <c r="L9922" s="7" t="n"/>
      <c r="M9922" s="7" t="n"/>
      <c r="N9922">
        <f>IF(D9922="", "Gap - No Legal Basis", IF(AND(D9922="Consent (GDPR Art. 6(1)(a))", I9922="Not Captured"), "Gap - Invalid Consent", IF(AND(D9922="Legitimate Interest (GDPR Art. 6(1)(f))", L9922=""), "Gap - Missing LIA", IF(AND(G9922="Yes", H9922=""), "Gap - Missing Art. 9 Basis", IF(OR(I9922="Invalid - Not Freely Given", I9922="Invalid - Not Specific", I9922="Invalid - Not Informed", I9922="Invalid - Ambiguous"), "Gap - Invalid Consent", "Compliant")))))</f>
        <v/>
      </c>
      <c r="O9922" s="7" t="n"/>
    </row>
    <row r="9923">
      <c r="A9923" s="7" t="n"/>
      <c r="B9923" s="7" t="n"/>
      <c r="C9923" s="7" t="n"/>
      <c r="D9923" s="7" t="n"/>
      <c r="E9923" s="7" t="n"/>
      <c r="F9923" s="7" t="n"/>
      <c r="G9923" s="7" t="n"/>
      <c r="H9923" s="7" t="n"/>
      <c r="I9923" s="7" t="n"/>
      <c r="J9923" s="7" t="n"/>
      <c r="K9923">
        <f>IF(D9923="Legitimate Interest (GDPR Art. 6(1)(f))", "Yes / Required (Sheet 3)", "")</f>
        <v/>
      </c>
      <c r="L9923" s="7" t="n"/>
      <c r="M9923" s="7" t="n"/>
      <c r="N9923">
        <f>IF(D9923="", "Gap - No Legal Basis", IF(AND(D9923="Consent (GDPR Art. 6(1)(a))", I9923="Not Captured"), "Gap - Invalid Consent", IF(AND(D9923="Legitimate Interest (GDPR Art. 6(1)(f))", L9923=""), "Gap - Missing LIA", IF(AND(G9923="Yes", H9923=""), "Gap - Missing Art. 9 Basis", IF(OR(I9923="Invalid - Not Freely Given", I9923="Invalid - Not Specific", I9923="Invalid - Not Informed", I9923="Invalid - Ambiguous"), "Gap - Invalid Consent", "Compliant")))))</f>
        <v/>
      </c>
      <c r="O9923" s="7" t="n"/>
    </row>
    <row r="9924">
      <c r="A9924" s="7" t="n"/>
      <c r="B9924" s="7" t="n"/>
      <c r="C9924" s="7" t="n"/>
      <c r="D9924" s="7" t="n"/>
      <c r="E9924" s="7" t="n"/>
      <c r="F9924" s="7" t="n"/>
      <c r="G9924" s="7" t="n"/>
      <c r="H9924" s="7" t="n"/>
      <c r="I9924" s="7" t="n"/>
      <c r="J9924" s="7" t="n"/>
      <c r="K9924">
        <f>IF(D9924="Legitimate Interest (GDPR Art. 6(1)(f))", "Yes / Required (Sheet 3)", "")</f>
        <v/>
      </c>
      <c r="L9924" s="7" t="n"/>
      <c r="M9924" s="7" t="n"/>
      <c r="N9924">
        <f>IF(D9924="", "Gap - No Legal Basis", IF(AND(D9924="Consent (GDPR Art. 6(1)(a))", I9924="Not Captured"), "Gap - Invalid Consent", IF(AND(D9924="Legitimate Interest (GDPR Art. 6(1)(f))", L9924=""), "Gap - Missing LIA", IF(AND(G9924="Yes", H9924=""), "Gap - Missing Art. 9 Basis", IF(OR(I9924="Invalid - Not Freely Given", I9924="Invalid - Not Specific", I9924="Invalid - Not Informed", I9924="Invalid - Ambiguous"), "Gap - Invalid Consent", "Compliant")))))</f>
        <v/>
      </c>
      <c r="O9924" s="7" t="n"/>
    </row>
    <row r="9925">
      <c r="A9925" s="7" t="n"/>
      <c r="B9925" s="7" t="n"/>
      <c r="C9925" s="7" t="n"/>
      <c r="D9925" s="7" t="n"/>
      <c r="E9925" s="7" t="n"/>
      <c r="F9925" s="7" t="n"/>
      <c r="G9925" s="7" t="n"/>
      <c r="H9925" s="7" t="n"/>
      <c r="I9925" s="7" t="n"/>
      <c r="J9925" s="7" t="n"/>
      <c r="K9925">
        <f>IF(D9925="Legitimate Interest (GDPR Art. 6(1)(f))", "Yes / Required (Sheet 3)", "")</f>
        <v/>
      </c>
      <c r="L9925" s="7" t="n"/>
      <c r="M9925" s="7" t="n"/>
      <c r="N9925">
        <f>IF(D9925="", "Gap - No Legal Basis", IF(AND(D9925="Consent (GDPR Art. 6(1)(a))", I9925="Not Captured"), "Gap - Invalid Consent", IF(AND(D9925="Legitimate Interest (GDPR Art. 6(1)(f))", L9925=""), "Gap - Missing LIA", IF(AND(G9925="Yes", H9925=""), "Gap - Missing Art. 9 Basis", IF(OR(I9925="Invalid - Not Freely Given", I9925="Invalid - Not Specific", I9925="Invalid - Not Informed", I9925="Invalid - Ambiguous"), "Gap - Invalid Consent", "Compliant")))))</f>
        <v/>
      </c>
      <c r="O9925" s="7" t="n"/>
    </row>
    <row r="9926">
      <c r="A9926" s="7" t="n"/>
      <c r="B9926" s="7" t="n"/>
      <c r="C9926" s="7" t="n"/>
      <c r="D9926" s="7" t="n"/>
      <c r="E9926" s="7" t="n"/>
      <c r="F9926" s="7" t="n"/>
      <c r="G9926" s="7" t="n"/>
      <c r="H9926" s="7" t="n"/>
      <c r="I9926" s="7" t="n"/>
      <c r="J9926" s="7" t="n"/>
      <c r="K9926">
        <f>IF(D9926="Legitimate Interest (GDPR Art. 6(1)(f))", "Yes / Required (Sheet 3)", "")</f>
        <v/>
      </c>
      <c r="L9926" s="7" t="n"/>
      <c r="M9926" s="7" t="n"/>
      <c r="N9926">
        <f>IF(D9926="", "Gap - No Legal Basis", IF(AND(D9926="Consent (GDPR Art. 6(1)(a))", I9926="Not Captured"), "Gap - Invalid Consent", IF(AND(D9926="Legitimate Interest (GDPR Art. 6(1)(f))", L9926=""), "Gap - Missing LIA", IF(AND(G9926="Yes", H9926=""), "Gap - Missing Art. 9 Basis", IF(OR(I9926="Invalid - Not Freely Given", I9926="Invalid - Not Specific", I9926="Invalid - Not Informed", I9926="Invalid - Ambiguous"), "Gap - Invalid Consent", "Compliant")))))</f>
        <v/>
      </c>
      <c r="O9926" s="7" t="n"/>
    </row>
    <row r="9927">
      <c r="A9927" s="7" t="n"/>
      <c r="B9927" s="7" t="n"/>
      <c r="C9927" s="7" t="n"/>
      <c r="D9927" s="7" t="n"/>
      <c r="E9927" s="7" t="n"/>
      <c r="F9927" s="7" t="n"/>
      <c r="G9927" s="7" t="n"/>
      <c r="H9927" s="7" t="n"/>
      <c r="I9927" s="7" t="n"/>
      <c r="J9927" s="7" t="n"/>
      <c r="K9927">
        <f>IF(D9927="Legitimate Interest (GDPR Art. 6(1)(f))", "Yes / Required (Sheet 3)", "")</f>
        <v/>
      </c>
      <c r="L9927" s="7" t="n"/>
      <c r="M9927" s="7" t="n"/>
      <c r="N9927">
        <f>IF(D9927="", "Gap - No Legal Basis", IF(AND(D9927="Consent (GDPR Art. 6(1)(a))", I9927="Not Captured"), "Gap - Invalid Consent", IF(AND(D9927="Legitimate Interest (GDPR Art. 6(1)(f))", L9927=""), "Gap - Missing LIA", IF(AND(G9927="Yes", H9927=""), "Gap - Missing Art. 9 Basis", IF(OR(I9927="Invalid - Not Freely Given", I9927="Invalid - Not Specific", I9927="Invalid - Not Informed", I9927="Invalid - Ambiguous"), "Gap - Invalid Consent", "Compliant")))))</f>
        <v/>
      </c>
      <c r="O9927" s="7" t="n"/>
    </row>
    <row r="9928">
      <c r="A9928" s="7" t="n"/>
      <c r="B9928" s="7" t="n"/>
      <c r="C9928" s="7" t="n"/>
      <c r="D9928" s="7" t="n"/>
      <c r="E9928" s="7" t="n"/>
      <c r="F9928" s="7" t="n"/>
      <c r="G9928" s="7" t="n"/>
      <c r="H9928" s="7" t="n"/>
      <c r="I9928" s="7" t="n"/>
      <c r="J9928" s="7" t="n"/>
      <c r="K9928">
        <f>IF(D9928="Legitimate Interest (GDPR Art. 6(1)(f))", "Yes / Required (Sheet 3)", "")</f>
        <v/>
      </c>
      <c r="L9928" s="7" t="n"/>
      <c r="M9928" s="7" t="n"/>
      <c r="N9928">
        <f>IF(D9928="", "Gap - No Legal Basis", IF(AND(D9928="Consent (GDPR Art. 6(1)(a))", I9928="Not Captured"), "Gap - Invalid Consent", IF(AND(D9928="Legitimate Interest (GDPR Art. 6(1)(f))", L9928=""), "Gap - Missing LIA", IF(AND(G9928="Yes", H9928=""), "Gap - Missing Art. 9 Basis", IF(OR(I9928="Invalid - Not Freely Given", I9928="Invalid - Not Specific", I9928="Invalid - Not Informed", I9928="Invalid - Ambiguous"), "Gap - Invalid Consent", "Compliant")))))</f>
        <v/>
      </c>
      <c r="O9928" s="7" t="n"/>
    </row>
    <row r="9929">
      <c r="A9929" s="7" t="n"/>
      <c r="B9929" s="7" t="n"/>
      <c r="C9929" s="7" t="n"/>
      <c r="D9929" s="7" t="n"/>
      <c r="E9929" s="7" t="n"/>
      <c r="F9929" s="7" t="n"/>
      <c r="G9929" s="7" t="n"/>
      <c r="H9929" s="7" t="n"/>
      <c r="I9929" s="7" t="n"/>
      <c r="J9929" s="7" t="n"/>
      <c r="K9929">
        <f>IF(D9929="Legitimate Interest (GDPR Art. 6(1)(f))", "Yes / Required (Sheet 3)", "")</f>
        <v/>
      </c>
      <c r="L9929" s="7" t="n"/>
      <c r="M9929" s="7" t="n"/>
      <c r="N9929">
        <f>IF(D9929="", "Gap - No Legal Basis", IF(AND(D9929="Consent (GDPR Art. 6(1)(a))", I9929="Not Captured"), "Gap - Invalid Consent", IF(AND(D9929="Legitimate Interest (GDPR Art. 6(1)(f))", L9929=""), "Gap - Missing LIA", IF(AND(G9929="Yes", H9929=""), "Gap - Missing Art. 9 Basis", IF(OR(I9929="Invalid - Not Freely Given", I9929="Invalid - Not Specific", I9929="Invalid - Not Informed", I9929="Invalid - Ambiguous"), "Gap - Invalid Consent", "Compliant")))))</f>
        <v/>
      </c>
      <c r="O9929" s="7" t="n"/>
    </row>
    <row r="9930">
      <c r="A9930" s="7" t="n"/>
      <c r="B9930" s="7" t="n"/>
      <c r="C9930" s="7" t="n"/>
      <c r="D9930" s="7" t="n"/>
      <c r="E9930" s="7" t="n"/>
      <c r="F9930" s="7" t="n"/>
      <c r="G9930" s="7" t="n"/>
      <c r="H9930" s="7" t="n"/>
      <c r="I9930" s="7" t="n"/>
      <c r="J9930" s="7" t="n"/>
      <c r="K9930">
        <f>IF(D9930="Legitimate Interest (GDPR Art. 6(1)(f))", "Yes / Required (Sheet 3)", "")</f>
        <v/>
      </c>
      <c r="L9930" s="7" t="n"/>
      <c r="M9930" s="7" t="n"/>
      <c r="N9930">
        <f>IF(D9930="", "Gap - No Legal Basis", IF(AND(D9930="Consent (GDPR Art. 6(1)(a))", I9930="Not Captured"), "Gap - Invalid Consent", IF(AND(D9930="Legitimate Interest (GDPR Art. 6(1)(f))", L9930=""), "Gap - Missing LIA", IF(AND(G9930="Yes", H9930=""), "Gap - Missing Art. 9 Basis", IF(OR(I9930="Invalid - Not Freely Given", I9930="Invalid - Not Specific", I9930="Invalid - Not Informed", I9930="Invalid - Ambiguous"), "Gap - Invalid Consent", "Compliant")))))</f>
        <v/>
      </c>
      <c r="O9930" s="7" t="n"/>
    </row>
    <row r="9931">
      <c r="A9931" s="7" t="n"/>
      <c r="B9931" s="7" t="n"/>
      <c r="C9931" s="7" t="n"/>
      <c r="D9931" s="7" t="n"/>
      <c r="E9931" s="7" t="n"/>
      <c r="F9931" s="7" t="n"/>
      <c r="G9931" s="7" t="n"/>
      <c r="H9931" s="7" t="n"/>
      <c r="I9931" s="7" t="n"/>
      <c r="J9931" s="7" t="n"/>
      <c r="K9931">
        <f>IF(D9931="Legitimate Interest (GDPR Art. 6(1)(f))", "Yes / Required (Sheet 3)", "")</f>
        <v/>
      </c>
      <c r="L9931" s="7" t="n"/>
      <c r="M9931" s="7" t="n"/>
      <c r="N9931">
        <f>IF(D9931="", "Gap - No Legal Basis", IF(AND(D9931="Consent (GDPR Art. 6(1)(a))", I9931="Not Captured"), "Gap - Invalid Consent", IF(AND(D9931="Legitimate Interest (GDPR Art. 6(1)(f))", L9931=""), "Gap - Missing LIA", IF(AND(G9931="Yes", H9931=""), "Gap - Missing Art. 9 Basis", IF(OR(I9931="Invalid - Not Freely Given", I9931="Invalid - Not Specific", I9931="Invalid - Not Informed", I9931="Invalid - Ambiguous"), "Gap - Invalid Consent", "Compliant")))))</f>
        <v/>
      </c>
      <c r="O9931" s="7" t="n"/>
    </row>
    <row r="9932">
      <c r="A9932" s="7" t="n"/>
      <c r="B9932" s="7" t="n"/>
      <c r="C9932" s="7" t="n"/>
      <c r="D9932" s="7" t="n"/>
      <c r="E9932" s="7" t="n"/>
      <c r="F9932" s="7" t="n"/>
      <c r="G9932" s="7" t="n"/>
      <c r="H9932" s="7" t="n"/>
      <c r="I9932" s="7" t="n"/>
      <c r="J9932" s="7" t="n"/>
      <c r="K9932">
        <f>IF(D9932="Legitimate Interest (GDPR Art. 6(1)(f))", "Yes / Required (Sheet 3)", "")</f>
        <v/>
      </c>
      <c r="L9932" s="7" t="n"/>
      <c r="M9932" s="7" t="n"/>
      <c r="N9932">
        <f>IF(D9932="", "Gap - No Legal Basis", IF(AND(D9932="Consent (GDPR Art. 6(1)(a))", I9932="Not Captured"), "Gap - Invalid Consent", IF(AND(D9932="Legitimate Interest (GDPR Art. 6(1)(f))", L9932=""), "Gap - Missing LIA", IF(AND(G9932="Yes", H9932=""), "Gap - Missing Art. 9 Basis", IF(OR(I9932="Invalid - Not Freely Given", I9932="Invalid - Not Specific", I9932="Invalid - Not Informed", I9932="Invalid - Ambiguous"), "Gap - Invalid Consent", "Compliant")))))</f>
        <v/>
      </c>
      <c r="O9932" s="7" t="n"/>
    </row>
    <row r="9933">
      <c r="A9933" s="7" t="n"/>
      <c r="B9933" s="7" t="n"/>
      <c r="C9933" s="7" t="n"/>
      <c r="D9933" s="7" t="n"/>
      <c r="E9933" s="7" t="n"/>
      <c r="F9933" s="7" t="n"/>
      <c r="G9933" s="7" t="n"/>
      <c r="H9933" s="7" t="n"/>
      <c r="I9933" s="7" t="n"/>
      <c r="J9933" s="7" t="n"/>
      <c r="K9933">
        <f>IF(D9933="Legitimate Interest (GDPR Art. 6(1)(f))", "Yes / Required (Sheet 3)", "")</f>
        <v/>
      </c>
      <c r="L9933" s="7" t="n"/>
      <c r="M9933" s="7" t="n"/>
      <c r="N9933">
        <f>IF(D9933="", "Gap - No Legal Basis", IF(AND(D9933="Consent (GDPR Art. 6(1)(a))", I9933="Not Captured"), "Gap - Invalid Consent", IF(AND(D9933="Legitimate Interest (GDPR Art. 6(1)(f))", L9933=""), "Gap - Missing LIA", IF(AND(G9933="Yes", H9933=""), "Gap - Missing Art. 9 Basis", IF(OR(I9933="Invalid - Not Freely Given", I9933="Invalid - Not Specific", I9933="Invalid - Not Informed", I9933="Invalid - Ambiguous"), "Gap - Invalid Consent", "Compliant")))))</f>
        <v/>
      </c>
      <c r="O9933" s="7" t="n"/>
    </row>
    <row r="9934">
      <c r="A9934" s="7" t="n"/>
      <c r="B9934" s="7" t="n"/>
      <c r="C9934" s="7" t="n"/>
      <c r="D9934" s="7" t="n"/>
      <c r="E9934" s="7" t="n"/>
      <c r="F9934" s="7" t="n"/>
      <c r="G9934" s="7" t="n"/>
      <c r="H9934" s="7" t="n"/>
      <c r="I9934" s="7" t="n"/>
      <c r="J9934" s="7" t="n"/>
      <c r="K9934">
        <f>IF(D9934="Legitimate Interest (GDPR Art. 6(1)(f))", "Yes / Required (Sheet 3)", "")</f>
        <v/>
      </c>
      <c r="L9934" s="7" t="n"/>
      <c r="M9934" s="7" t="n"/>
      <c r="N9934">
        <f>IF(D9934="", "Gap - No Legal Basis", IF(AND(D9934="Consent (GDPR Art. 6(1)(a))", I9934="Not Captured"), "Gap - Invalid Consent", IF(AND(D9934="Legitimate Interest (GDPR Art. 6(1)(f))", L9934=""), "Gap - Missing LIA", IF(AND(G9934="Yes", H9934=""), "Gap - Missing Art. 9 Basis", IF(OR(I9934="Invalid - Not Freely Given", I9934="Invalid - Not Specific", I9934="Invalid - Not Informed", I9934="Invalid - Ambiguous"), "Gap - Invalid Consent", "Compliant")))))</f>
        <v/>
      </c>
      <c r="O9934" s="7" t="n"/>
    </row>
    <row r="9935">
      <c r="A9935" s="7" t="n"/>
      <c r="B9935" s="7" t="n"/>
      <c r="C9935" s="7" t="n"/>
      <c r="D9935" s="7" t="n"/>
      <c r="E9935" s="7" t="n"/>
      <c r="F9935" s="7" t="n"/>
      <c r="G9935" s="7" t="n"/>
      <c r="H9935" s="7" t="n"/>
      <c r="I9935" s="7" t="n"/>
      <c r="J9935" s="7" t="n"/>
      <c r="K9935">
        <f>IF(D9935="Legitimate Interest (GDPR Art. 6(1)(f))", "Yes / Required (Sheet 3)", "")</f>
        <v/>
      </c>
      <c r="L9935" s="7" t="n"/>
      <c r="M9935" s="7" t="n"/>
      <c r="N9935">
        <f>IF(D9935="", "Gap - No Legal Basis", IF(AND(D9935="Consent (GDPR Art. 6(1)(a))", I9935="Not Captured"), "Gap - Invalid Consent", IF(AND(D9935="Legitimate Interest (GDPR Art. 6(1)(f))", L9935=""), "Gap - Missing LIA", IF(AND(G9935="Yes", H9935=""), "Gap - Missing Art. 9 Basis", IF(OR(I9935="Invalid - Not Freely Given", I9935="Invalid - Not Specific", I9935="Invalid - Not Informed", I9935="Invalid - Ambiguous"), "Gap - Invalid Consent", "Compliant")))))</f>
        <v/>
      </c>
      <c r="O9935" s="7" t="n"/>
    </row>
    <row r="9936">
      <c r="A9936" s="7" t="n"/>
      <c r="B9936" s="7" t="n"/>
      <c r="C9936" s="7" t="n"/>
      <c r="D9936" s="7" t="n"/>
      <c r="E9936" s="7" t="n"/>
      <c r="F9936" s="7" t="n"/>
      <c r="G9936" s="7" t="n"/>
      <c r="H9936" s="7" t="n"/>
      <c r="I9936" s="7" t="n"/>
      <c r="J9936" s="7" t="n"/>
      <c r="K9936">
        <f>IF(D9936="Legitimate Interest (GDPR Art. 6(1)(f))", "Yes / Required (Sheet 3)", "")</f>
        <v/>
      </c>
      <c r="L9936" s="7" t="n"/>
      <c r="M9936" s="7" t="n"/>
      <c r="N9936">
        <f>IF(D9936="", "Gap - No Legal Basis", IF(AND(D9936="Consent (GDPR Art. 6(1)(a))", I9936="Not Captured"), "Gap - Invalid Consent", IF(AND(D9936="Legitimate Interest (GDPR Art. 6(1)(f))", L9936=""), "Gap - Missing LIA", IF(AND(G9936="Yes", H9936=""), "Gap - Missing Art. 9 Basis", IF(OR(I9936="Invalid - Not Freely Given", I9936="Invalid - Not Specific", I9936="Invalid - Not Informed", I9936="Invalid - Ambiguous"), "Gap - Invalid Consent", "Compliant")))))</f>
        <v/>
      </c>
      <c r="O9936" s="7" t="n"/>
    </row>
    <row r="9937">
      <c r="A9937" s="7" t="n"/>
      <c r="B9937" s="7" t="n"/>
      <c r="C9937" s="7" t="n"/>
      <c r="D9937" s="7" t="n"/>
      <c r="E9937" s="7" t="n"/>
      <c r="F9937" s="7" t="n"/>
      <c r="G9937" s="7" t="n"/>
      <c r="H9937" s="7" t="n"/>
      <c r="I9937" s="7" t="n"/>
      <c r="J9937" s="7" t="n"/>
      <c r="K9937">
        <f>IF(D9937="Legitimate Interest (GDPR Art. 6(1)(f))", "Yes / Required (Sheet 3)", "")</f>
        <v/>
      </c>
      <c r="L9937" s="7" t="n"/>
      <c r="M9937" s="7" t="n"/>
      <c r="N9937">
        <f>IF(D9937="", "Gap - No Legal Basis", IF(AND(D9937="Consent (GDPR Art. 6(1)(a))", I9937="Not Captured"), "Gap - Invalid Consent", IF(AND(D9937="Legitimate Interest (GDPR Art. 6(1)(f))", L9937=""), "Gap - Missing LIA", IF(AND(G9937="Yes", H9937=""), "Gap - Missing Art. 9 Basis", IF(OR(I9937="Invalid - Not Freely Given", I9937="Invalid - Not Specific", I9937="Invalid - Not Informed", I9937="Invalid - Ambiguous"), "Gap - Invalid Consent", "Compliant")))))</f>
        <v/>
      </c>
      <c r="O9937" s="7" t="n"/>
    </row>
    <row r="9938">
      <c r="A9938" s="7" t="n"/>
      <c r="B9938" s="7" t="n"/>
      <c r="C9938" s="7" t="n"/>
      <c r="D9938" s="7" t="n"/>
      <c r="E9938" s="7" t="n"/>
      <c r="F9938" s="7" t="n"/>
      <c r="G9938" s="7" t="n"/>
      <c r="H9938" s="7" t="n"/>
      <c r="I9938" s="7" t="n"/>
      <c r="J9938" s="7" t="n"/>
      <c r="K9938">
        <f>IF(D9938="Legitimate Interest (GDPR Art. 6(1)(f))", "Yes / Required (Sheet 3)", "")</f>
        <v/>
      </c>
      <c r="L9938" s="7" t="n"/>
      <c r="M9938" s="7" t="n"/>
      <c r="N9938">
        <f>IF(D9938="", "Gap - No Legal Basis", IF(AND(D9938="Consent (GDPR Art. 6(1)(a))", I9938="Not Captured"), "Gap - Invalid Consent", IF(AND(D9938="Legitimate Interest (GDPR Art. 6(1)(f))", L9938=""), "Gap - Missing LIA", IF(AND(G9938="Yes", H9938=""), "Gap - Missing Art. 9 Basis", IF(OR(I9938="Invalid - Not Freely Given", I9938="Invalid - Not Specific", I9938="Invalid - Not Informed", I9938="Invalid - Ambiguous"), "Gap - Invalid Consent", "Compliant")))))</f>
        <v/>
      </c>
      <c r="O9938" s="7" t="n"/>
    </row>
    <row r="9939">
      <c r="A9939" s="7" t="n"/>
      <c r="B9939" s="7" t="n"/>
      <c r="C9939" s="7" t="n"/>
      <c r="D9939" s="7" t="n"/>
      <c r="E9939" s="7" t="n"/>
      <c r="F9939" s="7" t="n"/>
      <c r="G9939" s="7" t="n"/>
      <c r="H9939" s="7" t="n"/>
      <c r="I9939" s="7" t="n"/>
      <c r="J9939" s="7" t="n"/>
      <c r="K9939">
        <f>IF(D9939="Legitimate Interest (GDPR Art. 6(1)(f))", "Yes / Required (Sheet 3)", "")</f>
        <v/>
      </c>
      <c r="L9939" s="7" t="n"/>
      <c r="M9939" s="7" t="n"/>
      <c r="N9939">
        <f>IF(D9939="", "Gap - No Legal Basis", IF(AND(D9939="Consent (GDPR Art. 6(1)(a))", I9939="Not Captured"), "Gap - Invalid Consent", IF(AND(D9939="Legitimate Interest (GDPR Art. 6(1)(f))", L9939=""), "Gap - Missing LIA", IF(AND(G9939="Yes", H9939=""), "Gap - Missing Art. 9 Basis", IF(OR(I9939="Invalid - Not Freely Given", I9939="Invalid - Not Specific", I9939="Invalid - Not Informed", I9939="Invalid - Ambiguous"), "Gap - Invalid Consent", "Compliant")))))</f>
        <v/>
      </c>
      <c r="O9939" s="7" t="n"/>
    </row>
    <row r="9940">
      <c r="A9940" s="7" t="n"/>
      <c r="B9940" s="7" t="n"/>
      <c r="C9940" s="7" t="n"/>
      <c r="D9940" s="7" t="n"/>
      <c r="E9940" s="7" t="n"/>
      <c r="F9940" s="7" t="n"/>
      <c r="G9940" s="7" t="n"/>
      <c r="H9940" s="7" t="n"/>
      <c r="I9940" s="7" t="n"/>
      <c r="J9940" s="7" t="n"/>
      <c r="K9940">
        <f>IF(D9940="Legitimate Interest (GDPR Art. 6(1)(f))", "Yes / Required (Sheet 3)", "")</f>
        <v/>
      </c>
      <c r="L9940" s="7" t="n"/>
      <c r="M9940" s="7" t="n"/>
      <c r="N9940">
        <f>IF(D9940="", "Gap - No Legal Basis", IF(AND(D9940="Consent (GDPR Art. 6(1)(a))", I9940="Not Captured"), "Gap - Invalid Consent", IF(AND(D9940="Legitimate Interest (GDPR Art. 6(1)(f))", L9940=""), "Gap - Missing LIA", IF(AND(G9940="Yes", H9940=""), "Gap - Missing Art. 9 Basis", IF(OR(I9940="Invalid - Not Freely Given", I9940="Invalid - Not Specific", I9940="Invalid - Not Informed", I9940="Invalid - Ambiguous"), "Gap - Invalid Consent", "Compliant")))))</f>
        <v/>
      </c>
      <c r="O9940" s="7" t="n"/>
    </row>
    <row r="9941">
      <c r="A9941" s="7" t="n"/>
      <c r="B9941" s="7" t="n"/>
      <c r="C9941" s="7" t="n"/>
      <c r="D9941" s="7" t="n"/>
      <c r="E9941" s="7" t="n"/>
      <c r="F9941" s="7" t="n"/>
      <c r="G9941" s="7" t="n"/>
      <c r="H9941" s="7" t="n"/>
      <c r="I9941" s="7" t="n"/>
      <c r="J9941" s="7" t="n"/>
      <c r="K9941">
        <f>IF(D9941="Legitimate Interest (GDPR Art. 6(1)(f))", "Yes / Required (Sheet 3)", "")</f>
        <v/>
      </c>
      <c r="L9941" s="7" t="n"/>
      <c r="M9941" s="7" t="n"/>
      <c r="N9941">
        <f>IF(D9941="", "Gap - No Legal Basis", IF(AND(D9941="Consent (GDPR Art. 6(1)(a))", I9941="Not Captured"), "Gap - Invalid Consent", IF(AND(D9941="Legitimate Interest (GDPR Art. 6(1)(f))", L9941=""), "Gap - Missing LIA", IF(AND(G9941="Yes", H9941=""), "Gap - Missing Art. 9 Basis", IF(OR(I9941="Invalid - Not Freely Given", I9941="Invalid - Not Specific", I9941="Invalid - Not Informed", I9941="Invalid - Ambiguous"), "Gap - Invalid Consent", "Compliant")))))</f>
        <v/>
      </c>
      <c r="O9941" s="7" t="n"/>
    </row>
    <row r="9942">
      <c r="A9942" s="7" t="n"/>
      <c r="B9942" s="7" t="n"/>
      <c r="C9942" s="7" t="n"/>
      <c r="D9942" s="7" t="n"/>
      <c r="E9942" s="7" t="n"/>
      <c r="F9942" s="7" t="n"/>
      <c r="G9942" s="7" t="n"/>
      <c r="H9942" s="7" t="n"/>
      <c r="I9942" s="7" t="n"/>
      <c r="J9942" s="7" t="n"/>
      <c r="K9942">
        <f>IF(D9942="Legitimate Interest (GDPR Art. 6(1)(f))", "Yes / Required (Sheet 3)", "")</f>
        <v/>
      </c>
      <c r="L9942" s="7" t="n"/>
      <c r="M9942" s="7" t="n"/>
      <c r="N9942">
        <f>IF(D9942="", "Gap - No Legal Basis", IF(AND(D9942="Consent (GDPR Art. 6(1)(a))", I9942="Not Captured"), "Gap - Invalid Consent", IF(AND(D9942="Legitimate Interest (GDPR Art. 6(1)(f))", L9942=""), "Gap - Missing LIA", IF(AND(G9942="Yes", H9942=""), "Gap - Missing Art. 9 Basis", IF(OR(I9942="Invalid - Not Freely Given", I9942="Invalid - Not Specific", I9942="Invalid - Not Informed", I9942="Invalid - Ambiguous"), "Gap - Invalid Consent", "Compliant")))))</f>
        <v/>
      </c>
      <c r="O9942" s="7" t="n"/>
    </row>
    <row r="9943">
      <c r="A9943" s="7" t="n"/>
      <c r="B9943" s="7" t="n"/>
      <c r="C9943" s="7" t="n"/>
      <c r="D9943" s="7" t="n"/>
      <c r="E9943" s="7" t="n"/>
      <c r="F9943" s="7" t="n"/>
      <c r="G9943" s="7" t="n"/>
      <c r="H9943" s="7" t="n"/>
      <c r="I9943" s="7" t="n"/>
      <c r="J9943" s="7" t="n"/>
      <c r="K9943">
        <f>IF(D9943="Legitimate Interest (GDPR Art. 6(1)(f))", "Yes / Required (Sheet 3)", "")</f>
        <v/>
      </c>
      <c r="L9943" s="7" t="n"/>
      <c r="M9943" s="7" t="n"/>
      <c r="N9943">
        <f>IF(D9943="", "Gap - No Legal Basis", IF(AND(D9943="Consent (GDPR Art. 6(1)(a))", I9943="Not Captured"), "Gap - Invalid Consent", IF(AND(D9943="Legitimate Interest (GDPR Art. 6(1)(f))", L9943=""), "Gap - Missing LIA", IF(AND(G9943="Yes", H9943=""), "Gap - Missing Art. 9 Basis", IF(OR(I9943="Invalid - Not Freely Given", I9943="Invalid - Not Specific", I9943="Invalid - Not Informed", I9943="Invalid - Ambiguous"), "Gap - Invalid Consent", "Compliant")))))</f>
        <v/>
      </c>
      <c r="O9943" s="7" t="n"/>
    </row>
    <row r="9944">
      <c r="A9944" s="7" t="n"/>
      <c r="B9944" s="7" t="n"/>
      <c r="C9944" s="7" t="n"/>
      <c r="D9944" s="7" t="n"/>
      <c r="E9944" s="7" t="n"/>
      <c r="F9944" s="7" t="n"/>
      <c r="G9944" s="7" t="n"/>
      <c r="H9944" s="7" t="n"/>
      <c r="I9944" s="7" t="n"/>
      <c r="J9944" s="7" t="n"/>
      <c r="K9944">
        <f>IF(D9944="Legitimate Interest (GDPR Art. 6(1)(f))", "Yes / Required (Sheet 3)", "")</f>
        <v/>
      </c>
      <c r="L9944" s="7" t="n"/>
      <c r="M9944" s="7" t="n"/>
      <c r="N9944">
        <f>IF(D9944="", "Gap - No Legal Basis", IF(AND(D9944="Consent (GDPR Art. 6(1)(a))", I9944="Not Captured"), "Gap - Invalid Consent", IF(AND(D9944="Legitimate Interest (GDPR Art. 6(1)(f))", L9944=""), "Gap - Missing LIA", IF(AND(G9944="Yes", H9944=""), "Gap - Missing Art. 9 Basis", IF(OR(I9944="Invalid - Not Freely Given", I9944="Invalid - Not Specific", I9944="Invalid - Not Informed", I9944="Invalid - Ambiguous"), "Gap - Invalid Consent", "Compliant")))))</f>
        <v/>
      </c>
      <c r="O9944" s="7" t="n"/>
    </row>
    <row r="9945">
      <c r="A9945" s="7" t="n"/>
      <c r="B9945" s="7" t="n"/>
      <c r="C9945" s="7" t="n"/>
      <c r="D9945" s="7" t="n"/>
      <c r="E9945" s="7" t="n"/>
      <c r="F9945" s="7" t="n"/>
      <c r="G9945" s="7" t="n"/>
      <c r="H9945" s="7" t="n"/>
      <c r="I9945" s="7" t="n"/>
      <c r="J9945" s="7" t="n"/>
      <c r="K9945">
        <f>IF(D9945="Legitimate Interest (GDPR Art. 6(1)(f))", "Yes / Required (Sheet 3)", "")</f>
        <v/>
      </c>
      <c r="L9945" s="7" t="n"/>
      <c r="M9945" s="7" t="n"/>
      <c r="N9945">
        <f>IF(D9945="", "Gap - No Legal Basis", IF(AND(D9945="Consent (GDPR Art. 6(1)(a))", I9945="Not Captured"), "Gap - Invalid Consent", IF(AND(D9945="Legitimate Interest (GDPR Art. 6(1)(f))", L9945=""), "Gap - Missing LIA", IF(AND(G9945="Yes", H9945=""), "Gap - Missing Art. 9 Basis", IF(OR(I9945="Invalid - Not Freely Given", I9945="Invalid - Not Specific", I9945="Invalid - Not Informed", I9945="Invalid - Ambiguous"), "Gap - Invalid Consent", "Compliant")))))</f>
        <v/>
      </c>
      <c r="O9945" s="7" t="n"/>
    </row>
    <row r="9946">
      <c r="A9946" s="7" t="n"/>
      <c r="B9946" s="7" t="n"/>
      <c r="C9946" s="7" t="n"/>
      <c r="D9946" s="7" t="n"/>
      <c r="E9946" s="7" t="n"/>
      <c r="F9946" s="7" t="n"/>
      <c r="G9946" s="7" t="n"/>
      <c r="H9946" s="7" t="n"/>
      <c r="I9946" s="7" t="n"/>
      <c r="J9946" s="7" t="n"/>
      <c r="K9946">
        <f>IF(D9946="Legitimate Interest (GDPR Art. 6(1)(f))", "Yes / Required (Sheet 3)", "")</f>
        <v/>
      </c>
      <c r="L9946" s="7" t="n"/>
      <c r="M9946" s="7" t="n"/>
      <c r="N9946">
        <f>IF(D9946="", "Gap - No Legal Basis", IF(AND(D9946="Consent (GDPR Art. 6(1)(a))", I9946="Not Captured"), "Gap - Invalid Consent", IF(AND(D9946="Legitimate Interest (GDPR Art. 6(1)(f))", L9946=""), "Gap - Missing LIA", IF(AND(G9946="Yes", H9946=""), "Gap - Missing Art. 9 Basis", IF(OR(I9946="Invalid - Not Freely Given", I9946="Invalid - Not Specific", I9946="Invalid - Not Informed", I9946="Invalid - Ambiguous"), "Gap - Invalid Consent", "Compliant")))))</f>
        <v/>
      </c>
      <c r="O9946" s="7" t="n"/>
    </row>
    <row r="9947">
      <c r="A9947" s="7" t="n"/>
      <c r="B9947" s="7" t="n"/>
      <c r="C9947" s="7" t="n"/>
      <c r="D9947" s="7" t="n"/>
      <c r="E9947" s="7" t="n"/>
      <c r="F9947" s="7" t="n"/>
      <c r="G9947" s="7" t="n"/>
      <c r="H9947" s="7" t="n"/>
      <c r="I9947" s="7" t="n"/>
      <c r="J9947" s="7" t="n"/>
      <c r="K9947">
        <f>IF(D9947="Legitimate Interest (GDPR Art. 6(1)(f))", "Yes / Required (Sheet 3)", "")</f>
        <v/>
      </c>
      <c r="L9947" s="7" t="n"/>
      <c r="M9947" s="7" t="n"/>
      <c r="N9947">
        <f>IF(D9947="", "Gap - No Legal Basis", IF(AND(D9947="Consent (GDPR Art. 6(1)(a))", I9947="Not Captured"), "Gap - Invalid Consent", IF(AND(D9947="Legitimate Interest (GDPR Art. 6(1)(f))", L9947=""), "Gap - Missing LIA", IF(AND(G9947="Yes", H9947=""), "Gap - Missing Art. 9 Basis", IF(OR(I9947="Invalid - Not Freely Given", I9947="Invalid - Not Specific", I9947="Invalid - Not Informed", I9947="Invalid - Ambiguous"), "Gap - Invalid Consent", "Compliant")))))</f>
        <v/>
      </c>
      <c r="O9947" s="7" t="n"/>
    </row>
    <row r="9948">
      <c r="A9948" s="7" t="n"/>
      <c r="B9948" s="7" t="n"/>
      <c r="C9948" s="7" t="n"/>
      <c r="D9948" s="7" t="n"/>
      <c r="E9948" s="7" t="n"/>
      <c r="F9948" s="7" t="n"/>
      <c r="G9948" s="7" t="n"/>
      <c r="H9948" s="7" t="n"/>
      <c r="I9948" s="7" t="n"/>
      <c r="J9948" s="7" t="n"/>
      <c r="K9948">
        <f>IF(D9948="Legitimate Interest (GDPR Art. 6(1)(f))", "Yes / Required (Sheet 3)", "")</f>
        <v/>
      </c>
      <c r="L9948" s="7" t="n"/>
      <c r="M9948" s="7" t="n"/>
      <c r="N9948">
        <f>IF(D9948="", "Gap - No Legal Basis", IF(AND(D9948="Consent (GDPR Art. 6(1)(a))", I9948="Not Captured"), "Gap - Invalid Consent", IF(AND(D9948="Legitimate Interest (GDPR Art. 6(1)(f))", L9948=""), "Gap - Missing LIA", IF(AND(G9948="Yes", H9948=""), "Gap - Missing Art. 9 Basis", IF(OR(I9948="Invalid - Not Freely Given", I9948="Invalid - Not Specific", I9948="Invalid - Not Informed", I9948="Invalid - Ambiguous"), "Gap - Invalid Consent", "Compliant")))))</f>
        <v/>
      </c>
      <c r="O9948" s="7" t="n"/>
    </row>
    <row r="9949">
      <c r="A9949" s="7" t="n"/>
      <c r="B9949" s="7" t="n"/>
      <c r="C9949" s="7" t="n"/>
      <c r="D9949" s="7" t="n"/>
      <c r="E9949" s="7" t="n"/>
      <c r="F9949" s="7" t="n"/>
      <c r="G9949" s="7" t="n"/>
      <c r="H9949" s="7" t="n"/>
      <c r="I9949" s="7" t="n"/>
      <c r="J9949" s="7" t="n"/>
      <c r="K9949">
        <f>IF(D9949="Legitimate Interest (GDPR Art. 6(1)(f))", "Yes / Required (Sheet 3)", "")</f>
        <v/>
      </c>
      <c r="L9949" s="7" t="n"/>
      <c r="M9949" s="7" t="n"/>
      <c r="N9949">
        <f>IF(D9949="", "Gap - No Legal Basis", IF(AND(D9949="Consent (GDPR Art. 6(1)(a))", I9949="Not Captured"), "Gap - Invalid Consent", IF(AND(D9949="Legitimate Interest (GDPR Art. 6(1)(f))", L9949=""), "Gap - Missing LIA", IF(AND(G9949="Yes", H9949=""), "Gap - Missing Art. 9 Basis", IF(OR(I9949="Invalid - Not Freely Given", I9949="Invalid - Not Specific", I9949="Invalid - Not Informed", I9949="Invalid - Ambiguous"), "Gap - Invalid Consent", "Compliant")))))</f>
        <v/>
      </c>
      <c r="O9949" s="7" t="n"/>
    </row>
    <row r="9950">
      <c r="A9950" s="7" t="n"/>
      <c r="B9950" s="7" t="n"/>
      <c r="C9950" s="7" t="n"/>
      <c r="D9950" s="7" t="n"/>
      <c r="E9950" s="7" t="n"/>
      <c r="F9950" s="7" t="n"/>
      <c r="G9950" s="7" t="n"/>
      <c r="H9950" s="7" t="n"/>
      <c r="I9950" s="7" t="n"/>
      <c r="J9950" s="7" t="n"/>
      <c r="K9950">
        <f>IF(D9950="Legitimate Interest (GDPR Art. 6(1)(f))", "Yes / Required (Sheet 3)", "")</f>
        <v/>
      </c>
      <c r="L9950" s="7" t="n"/>
      <c r="M9950" s="7" t="n"/>
      <c r="N9950">
        <f>IF(D9950="", "Gap - No Legal Basis", IF(AND(D9950="Consent (GDPR Art. 6(1)(a))", I9950="Not Captured"), "Gap - Invalid Consent", IF(AND(D9950="Legitimate Interest (GDPR Art. 6(1)(f))", L9950=""), "Gap - Missing LIA", IF(AND(G9950="Yes", H9950=""), "Gap - Missing Art. 9 Basis", IF(OR(I9950="Invalid - Not Freely Given", I9950="Invalid - Not Specific", I9950="Invalid - Not Informed", I9950="Invalid - Ambiguous"), "Gap - Invalid Consent", "Compliant")))))</f>
        <v/>
      </c>
      <c r="O9950" s="7" t="n"/>
    </row>
    <row r="9951">
      <c r="A9951" s="7" t="n"/>
      <c r="B9951" s="7" t="n"/>
      <c r="C9951" s="7" t="n"/>
      <c r="D9951" s="7" t="n"/>
      <c r="E9951" s="7" t="n"/>
      <c r="F9951" s="7" t="n"/>
      <c r="G9951" s="7" t="n"/>
      <c r="H9951" s="7" t="n"/>
      <c r="I9951" s="7" t="n"/>
      <c r="J9951" s="7" t="n"/>
      <c r="K9951">
        <f>IF(D9951="Legitimate Interest (GDPR Art. 6(1)(f))", "Yes / Required (Sheet 3)", "")</f>
        <v/>
      </c>
      <c r="L9951" s="7" t="n"/>
      <c r="M9951" s="7" t="n"/>
      <c r="N9951">
        <f>IF(D9951="", "Gap - No Legal Basis", IF(AND(D9951="Consent (GDPR Art. 6(1)(a))", I9951="Not Captured"), "Gap - Invalid Consent", IF(AND(D9951="Legitimate Interest (GDPR Art. 6(1)(f))", L9951=""), "Gap - Missing LIA", IF(AND(G9951="Yes", H9951=""), "Gap - Missing Art. 9 Basis", IF(OR(I9951="Invalid - Not Freely Given", I9951="Invalid - Not Specific", I9951="Invalid - Not Informed", I9951="Invalid - Ambiguous"), "Gap - Invalid Consent", "Compliant")))))</f>
        <v/>
      </c>
      <c r="O9951" s="7" t="n"/>
    </row>
    <row r="9952">
      <c r="A9952" s="7" t="n"/>
      <c r="B9952" s="7" t="n"/>
      <c r="C9952" s="7" t="n"/>
      <c r="D9952" s="7" t="n"/>
      <c r="E9952" s="7" t="n"/>
      <c r="F9952" s="7" t="n"/>
      <c r="G9952" s="7" t="n"/>
      <c r="H9952" s="7" t="n"/>
      <c r="I9952" s="7" t="n"/>
      <c r="J9952" s="7" t="n"/>
      <c r="K9952">
        <f>IF(D9952="Legitimate Interest (GDPR Art. 6(1)(f))", "Yes / Required (Sheet 3)", "")</f>
        <v/>
      </c>
      <c r="L9952" s="7" t="n"/>
      <c r="M9952" s="7" t="n"/>
      <c r="N9952">
        <f>IF(D9952="", "Gap - No Legal Basis", IF(AND(D9952="Consent (GDPR Art. 6(1)(a))", I9952="Not Captured"), "Gap - Invalid Consent", IF(AND(D9952="Legitimate Interest (GDPR Art. 6(1)(f))", L9952=""), "Gap - Missing LIA", IF(AND(G9952="Yes", H9952=""), "Gap - Missing Art. 9 Basis", IF(OR(I9952="Invalid - Not Freely Given", I9952="Invalid - Not Specific", I9952="Invalid - Not Informed", I9952="Invalid - Ambiguous"), "Gap - Invalid Consent", "Compliant")))))</f>
        <v/>
      </c>
      <c r="O9952" s="7" t="n"/>
    </row>
    <row r="9953">
      <c r="A9953" s="7" t="n"/>
      <c r="B9953" s="7" t="n"/>
      <c r="C9953" s="7" t="n"/>
      <c r="D9953" s="7" t="n"/>
      <c r="E9953" s="7" t="n"/>
      <c r="F9953" s="7" t="n"/>
      <c r="G9953" s="7" t="n"/>
      <c r="H9953" s="7" t="n"/>
      <c r="I9953" s="7" t="n"/>
      <c r="J9953" s="7" t="n"/>
      <c r="K9953">
        <f>IF(D9953="Legitimate Interest (GDPR Art. 6(1)(f))", "Yes / Required (Sheet 3)", "")</f>
        <v/>
      </c>
      <c r="L9953" s="7" t="n"/>
      <c r="M9953" s="7" t="n"/>
      <c r="N9953">
        <f>IF(D9953="", "Gap - No Legal Basis", IF(AND(D9953="Consent (GDPR Art. 6(1)(a))", I9953="Not Captured"), "Gap - Invalid Consent", IF(AND(D9953="Legitimate Interest (GDPR Art. 6(1)(f))", L9953=""), "Gap - Missing LIA", IF(AND(G9953="Yes", H9953=""), "Gap - Missing Art. 9 Basis", IF(OR(I9953="Invalid - Not Freely Given", I9953="Invalid - Not Specific", I9953="Invalid - Not Informed", I9953="Invalid - Ambiguous"), "Gap - Invalid Consent", "Compliant")))))</f>
        <v/>
      </c>
      <c r="O9953" s="7" t="n"/>
    </row>
    <row r="9954">
      <c r="A9954" s="7" t="n"/>
      <c r="B9954" s="7" t="n"/>
      <c r="C9954" s="7" t="n"/>
      <c r="D9954" s="7" t="n"/>
      <c r="E9954" s="7" t="n"/>
      <c r="F9954" s="7" t="n"/>
      <c r="G9954" s="7" t="n"/>
      <c r="H9954" s="7" t="n"/>
      <c r="I9954" s="7" t="n"/>
      <c r="J9954" s="7" t="n"/>
      <c r="K9954">
        <f>IF(D9954="Legitimate Interest (GDPR Art. 6(1)(f))", "Yes / Required (Sheet 3)", "")</f>
        <v/>
      </c>
      <c r="L9954" s="7" t="n"/>
      <c r="M9954" s="7" t="n"/>
      <c r="N9954">
        <f>IF(D9954="", "Gap - No Legal Basis", IF(AND(D9954="Consent (GDPR Art. 6(1)(a))", I9954="Not Captured"), "Gap - Invalid Consent", IF(AND(D9954="Legitimate Interest (GDPR Art. 6(1)(f))", L9954=""), "Gap - Missing LIA", IF(AND(G9954="Yes", H9954=""), "Gap - Missing Art. 9 Basis", IF(OR(I9954="Invalid - Not Freely Given", I9954="Invalid - Not Specific", I9954="Invalid - Not Informed", I9954="Invalid - Ambiguous"), "Gap - Invalid Consent", "Compliant")))))</f>
        <v/>
      </c>
      <c r="O9954" s="7" t="n"/>
    </row>
    <row r="9955">
      <c r="A9955" s="7" t="n"/>
      <c r="B9955" s="7" t="n"/>
      <c r="C9955" s="7" t="n"/>
      <c r="D9955" s="7" t="n"/>
      <c r="E9955" s="7" t="n"/>
      <c r="F9955" s="7" t="n"/>
      <c r="G9955" s="7" t="n"/>
      <c r="H9955" s="7" t="n"/>
      <c r="I9955" s="7" t="n"/>
      <c r="J9955" s="7" t="n"/>
      <c r="K9955">
        <f>IF(D9955="Legitimate Interest (GDPR Art. 6(1)(f))", "Yes / Required (Sheet 3)", "")</f>
        <v/>
      </c>
      <c r="L9955" s="7" t="n"/>
      <c r="M9955" s="7" t="n"/>
      <c r="N9955">
        <f>IF(D9955="", "Gap - No Legal Basis", IF(AND(D9955="Consent (GDPR Art. 6(1)(a))", I9955="Not Captured"), "Gap - Invalid Consent", IF(AND(D9955="Legitimate Interest (GDPR Art. 6(1)(f))", L9955=""), "Gap - Missing LIA", IF(AND(G9955="Yes", H9955=""), "Gap - Missing Art. 9 Basis", IF(OR(I9955="Invalid - Not Freely Given", I9955="Invalid - Not Specific", I9955="Invalid - Not Informed", I9955="Invalid - Ambiguous"), "Gap - Invalid Consent", "Compliant")))))</f>
        <v/>
      </c>
      <c r="O9955" s="7" t="n"/>
    </row>
    <row r="9956">
      <c r="A9956" s="7" t="n"/>
      <c r="B9956" s="7" t="n"/>
      <c r="C9956" s="7" t="n"/>
      <c r="D9956" s="7" t="n"/>
      <c r="E9956" s="7" t="n"/>
      <c r="F9956" s="7" t="n"/>
      <c r="G9956" s="7" t="n"/>
      <c r="H9956" s="7" t="n"/>
      <c r="I9956" s="7" t="n"/>
      <c r="J9956" s="7" t="n"/>
      <c r="K9956">
        <f>IF(D9956="Legitimate Interest (GDPR Art. 6(1)(f))", "Yes / Required (Sheet 3)", "")</f>
        <v/>
      </c>
      <c r="L9956" s="7" t="n"/>
      <c r="M9956" s="7" t="n"/>
      <c r="N9956">
        <f>IF(D9956="", "Gap - No Legal Basis", IF(AND(D9956="Consent (GDPR Art. 6(1)(a))", I9956="Not Captured"), "Gap - Invalid Consent", IF(AND(D9956="Legitimate Interest (GDPR Art. 6(1)(f))", L9956=""), "Gap - Missing LIA", IF(AND(G9956="Yes", H9956=""), "Gap - Missing Art. 9 Basis", IF(OR(I9956="Invalid - Not Freely Given", I9956="Invalid - Not Specific", I9956="Invalid - Not Informed", I9956="Invalid - Ambiguous"), "Gap - Invalid Consent", "Compliant")))))</f>
        <v/>
      </c>
      <c r="O9956" s="7" t="n"/>
    </row>
    <row r="9957">
      <c r="A9957" s="7" t="n"/>
      <c r="B9957" s="7" t="n"/>
      <c r="C9957" s="7" t="n"/>
      <c r="D9957" s="7" t="n"/>
      <c r="E9957" s="7" t="n"/>
      <c r="F9957" s="7" t="n"/>
      <c r="G9957" s="7" t="n"/>
      <c r="H9957" s="7" t="n"/>
      <c r="I9957" s="7" t="n"/>
      <c r="J9957" s="7" t="n"/>
      <c r="K9957">
        <f>IF(D9957="Legitimate Interest (GDPR Art. 6(1)(f))", "Yes / Required (Sheet 3)", "")</f>
        <v/>
      </c>
      <c r="L9957" s="7" t="n"/>
      <c r="M9957" s="7" t="n"/>
      <c r="N9957">
        <f>IF(D9957="", "Gap - No Legal Basis", IF(AND(D9957="Consent (GDPR Art. 6(1)(a))", I9957="Not Captured"), "Gap - Invalid Consent", IF(AND(D9957="Legitimate Interest (GDPR Art. 6(1)(f))", L9957=""), "Gap - Missing LIA", IF(AND(G9957="Yes", H9957=""), "Gap - Missing Art. 9 Basis", IF(OR(I9957="Invalid - Not Freely Given", I9957="Invalid - Not Specific", I9957="Invalid - Not Informed", I9957="Invalid - Ambiguous"), "Gap - Invalid Consent", "Compliant")))))</f>
        <v/>
      </c>
      <c r="O9957" s="7" t="n"/>
    </row>
    <row r="9958">
      <c r="A9958" s="7" t="n"/>
      <c r="B9958" s="7" t="n"/>
      <c r="C9958" s="7" t="n"/>
      <c r="D9958" s="7" t="n"/>
      <c r="E9958" s="7" t="n"/>
      <c r="F9958" s="7" t="n"/>
      <c r="G9958" s="7" t="n"/>
      <c r="H9958" s="7" t="n"/>
      <c r="I9958" s="7" t="n"/>
      <c r="J9958" s="7" t="n"/>
      <c r="K9958">
        <f>IF(D9958="Legitimate Interest (GDPR Art. 6(1)(f))", "Yes / Required (Sheet 3)", "")</f>
        <v/>
      </c>
      <c r="L9958" s="7" t="n"/>
      <c r="M9958" s="7" t="n"/>
      <c r="N9958">
        <f>IF(D9958="", "Gap - No Legal Basis", IF(AND(D9958="Consent (GDPR Art. 6(1)(a))", I9958="Not Captured"), "Gap - Invalid Consent", IF(AND(D9958="Legitimate Interest (GDPR Art. 6(1)(f))", L9958=""), "Gap - Missing LIA", IF(AND(G9958="Yes", H9958=""), "Gap - Missing Art. 9 Basis", IF(OR(I9958="Invalid - Not Freely Given", I9958="Invalid - Not Specific", I9958="Invalid - Not Informed", I9958="Invalid - Ambiguous"), "Gap - Invalid Consent", "Compliant")))))</f>
        <v/>
      </c>
      <c r="O9958" s="7" t="n"/>
    </row>
    <row r="9959">
      <c r="A9959" s="7" t="n"/>
      <c r="B9959" s="7" t="n"/>
      <c r="C9959" s="7" t="n"/>
      <c r="D9959" s="7" t="n"/>
      <c r="E9959" s="7" t="n"/>
      <c r="F9959" s="7" t="n"/>
      <c r="G9959" s="7" t="n"/>
      <c r="H9959" s="7" t="n"/>
      <c r="I9959" s="7" t="n"/>
      <c r="J9959" s="7" t="n"/>
      <c r="K9959">
        <f>IF(D9959="Legitimate Interest (GDPR Art. 6(1)(f))", "Yes / Required (Sheet 3)", "")</f>
        <v/>
      </c>
      <c r="L9959" s="7" t="n"/>
      <c r="M9959" s="7" t="n"/>
      <c r="N9959">
        <f>IF(D9959="", "Gap - No Legal Basis", IF(AND(D9959="Consent (GDPR Art. 6(1)(a))", I9959="Not Captured"), "Gap - Invalid Consent", IF(AND(D9959="Legitimate Interest (GDPR Art. 6(1)(f))", L9959=""), "Gap - Missing LIA", IF(AND(G9959="Yes", H9959=""), "Gap - Missing Art. 9 Basis", IF(OR(I9959="Invalid - Not Freely Given", I9959="Invalid - Not Specific", I9959="Invalid - Not Informed", I9959="Invalid - Ambiguous"), "Gap - Invalid Consent", "Compliant")))))</f>
        <v/>
      </c>
      <c r="O9959" s="7" t="n"/>
    </row>
    <row r="9960">
      <c r="A9960" s="7" t="n"/>
      <c r="B9960" s="7" t="n"/>
      <c r="C9960" s="7" t="n"/>
      <c r="D9960" s="7" t="n"/>
      <c r="E9960" s="7" t="n"/>
      <c r="F9960" s="7" t="n"/>
      <c r="G9960" s="7" t="n"/>
      <c r="H9960" s="7" t="n"/>
      <c r="I9960" s="7" t="n"/>
      <c r="J9960" s="7" t="n"/>
      <c r="K9960">
        <f>IF(D9960="Legitimate Interest (GDPR Art. 6(1)(f))", "Yes / Required (Sheet 3)", "")</f>
        <v/>
      </c>
      <c r="L9960" s="7" t="n"/>
      <c r="M9960" s="7" t="n"/>
      <c r="N9960">
        <f>IF(D9960="", "Gap - No Legal Basis", IF(AND(D9960="Consent (GDPR Art. 6(1)(a))", I9960="Not Captured"), "Gap - Invalid Consent", IF(AND(D9960="Legitimate Interest (GDPR Art. 6(1)(f))", L9960=""), "Gap - Missing LIA", IF(AND(G9960="Yes", H9960=""), "Gap - Missing Art. 9 Basis", IF(OR(I9960="Invalid - Not Freely Given", I9960="Invalid - Not Specific", I9960="Invalid - Not Informed", I9960="Invalid - Ambiguous"), "Gap - Invalid Consent", "Compliant")))))</f>
        <v/>
      </c>
      <c r="O9960" s="7" t="n"/>
    </row>
    <row r="9961">
      <c r="A9961" s="7" t="n"/>
      <c r="B9961" s="7" t="n"/>
      <c r="C9961" s="7" t="n"/>
      <c r="D9961" s="7" t="n"/>
      <c r="E9961" s="7" t="n"/>
      <c r="F9961" s="7" t="n"/>
      <c r="G9961" s="7" t="n"/>
      <c r="H9961" s="7" t="n"/>
      <c r="I9961" s="7" t="n"/>
      <c r="J9961" s="7" t="n"/>
      <c r="K9961">
        <f>IF(D9961="Legitimate Interest (GDPR Art. 6(1)(f))", "Yes / Required (Sheet 3)", "")</f>
        <v/>
      </c>
      <c r="L9961" s="7" t="n"/>
      <c r="M9961" s="7" t="n"/>
      <c r="N9961">
        <f>IF(D9961="", "Gap - No Legal Basis", IF(AND(D9961="Consent (GDPR Art. 6(1)(a))", I9961="Not Captured"), "Gap - Invalid Consent", IF(AND(D9961="Legitimate Interest (GDPR Art. 6(1)(f))", L9961=""), "Gap - Missing LIA", IF(AND(G9961="Yes", H9961=""), "Gap - Missing Art. 9 Basis", IF(OR(I9961="Invalid - Not Freely Given", I9961="Invalid - Not Specific", I9961="Invalid - Not Informed", I9961="Invalid - Ambiguous"), "Gap - Invalid Consent", "Compliant")))))</f>
        <v/>
      </c>
      <c r="O9961" s="7" t="n"/>
    </row>
    <row r="9962">
      <c r="A9962" s="7" t="n"/>
      <c r="B9962" s="7" t="n"/>
      <c r="C9962" s="7" t="n"/>
      <c r="D9962" s="7" t="n"/>
      <c r="E9962" s="7" t="n"/>
      <c r="F9962" s="7" t="n"/>
      <c r="G9962" s="7" t="n"/>
      <c r="H9962" s="7" t="n"/>
      <c r="I9962" s="7" t="n"/>
      <c r="J9962" s="7" t="n"/>
      <c r="K9962">
        <f>IF(D9962="Legitimate Interest (GDPR Art. 6(1)(f))", "Yes / Required (Sheet 3)", "")</f>
        <v/>
      </c>
      <c r="L9962" s="7" t="n"/>
      <c r="M9962" s="7" t="n"/>
      <c r="N9962">
        <f>IF(D9962="", "Gap - No Legal Basis", IF(AND(D9962="Consent (GDPR Art. 6(1)(a))", I9962="Not Captured"), "Gap - Invalid Consent", IF(AND(D9962="Legitimate Interest (GDPR Art. 6(1)(f))", L9962=""), "Gap - Missing LIA", IF(AND(G9962="Yes", H9962=""), "Gap - Missing Art. 9 Basis", IF(OR(I9962="Invalid - Not Freely Given", I9962="Invalid - Not Specific", I9962="Invalid - Not Informed", I9962="Invalid - Ambiguous"), "Gap - Invalid Consent", "Compliant")))))</f>
        <v/>
      </c>
      <c r="O9962" s="7" t="n"/>
    </row>
    <row r="9963">
      <c r="A9963" s="7" t="n"/>
      <c r="B9963" s="7" t="n"/>
      <c r="C9963" s="7" t="n"/>
      <c r="D9963" s="7" t="n"/>
      <c r="E9963" s="7" t="n"/>
      <c r="F9963" s="7" t="n"/>
      <c r="G9963" s="7" t="n"/>
      <c r="H9963" s="7" t="n"/>
      <c r="I9963" s="7" t="n"/>
      <c r="J9963" s="7" t="n"/>
      <c r="K9963">
        <f>IF(D9963="Legitimate Interest (GDPR Art. 6(1)(f))", "Yes / Required (Sheet 3)", "")</f>
        <v/>
      </c>
      <c r="L9963" s="7" t="n"/>
      <c r="M9963" s="7" t="n"/>
      <c r="N9963">
        <f>IF(D9963="", "Gap - No Legal Basis", IF(AND(D9963="Consent (GDPR Art. 6(1)(a))", I9963="Not Captured"), "Gap - Invalid Consent", IF(AND(D9963="Legitimate Interest (GDPR Art. 6(1)(f))", L9963=""), "Gap - Missing LIA", IF(AND(G9963="Yes", H9963=""), "Gap - Missing Art. 9 Basis", IF(OR(I9963="Invalid - Not Freely Given", I9963="Invalid - Not Specific", I9963="Invalid - Not Informed", I9963="Invalid - Ambiguous"), "Gap - Invalid Consent", "Compliant")))))</f>
        <v/>
      </c>
      <c r="O9963" s="7" t="n"/>
    </row>
    <row r="9964">
      <c r="A9964" s="7" t="n"/>
      <c r="B9964" s="7" t="n"/>
      <c r="C9964" s="7" t="n"/>
      <c r="D9964" s="7" t="n"/>
      <c r="E9964" s="7" t="n"/>
      <c r="F9964" s="7" t="n"/>
      <c r="G9964" s="7" t="n"/>
      <c r="H9964" s="7" t="n"/>
      <c r="I9964" s="7" t="n"/>
      <c r="J9964" s="7" t="n"/>
      <c r="K9964">
        <f>IF(D9964="Legitimate Interest (GDPR Art. 6(1)(f))", "Yes / Required (Sheet 3)", "")</f>
        <v/>
      </c>
      <c r="L9964" s="7" t="n"/>
      <c r="M9964" s="7" t="n"/>
      <c r="N9964">
        <f>IF(D9964="", "Gap - No Legal Basis", IF(AND(D9964="Consent (GDPR Art. 6(1)(a))", I9964="Not Captured"), "Gap - Invalid Consent", IF(AND(D9964="Legitimate Interest (GDPR Art. 6(1)(f))", L9964=""), "Gap - Missing LIA", IF(AND(G9964="Yes", H9964=""), "Gap - Missing Art. 9 Basis", IF(OR(I9964="Invalid - Not Freely Given", I9964="Invalid - Not Specific", I9964="Invalid - Not Informed", I9964="Invalid - Ambiguous"), "Gap - Invalid Consent", "Compliant")))))</f>
        <v/>
      </c>
      <c r="O9964" s="7" t="n"/>
    </row>
    <row r="9965">
      <c r="A9965" s="7" t="n"/>
      <c r="B9965" s="7" t="n"/>
      <c r="C9965" s="7" t="n"/>
      <c r="D9965" s="7" t="n"/>
      <c r="E9965" s="7" t="n"/>
      <c r="F9965" s="7" t="n"/>
      <c r="G9965" s="7" t="n"/>
      <c r="H9965" s="7" t="n"/>
      <c r="I9965" s="7" t="n"/>
      <c r="J9965" s="7" t="n"/>
      <c r="K9965">
        <f>IF(D9965="Legitimate Interest (GDPR Art. 6(1)(f))", "Yes / Required (Sheet 3)", "")</f>
        <v/>
      </c>
      <c r="L9965" s="7" t="n"/>
      <c r="M9965" s="7" t="n"/>
      <c r="N9965">
        <f>IF(D9965="", "Gap - No Legal Basis", IF(AND(D9965="Consent (GDPR Art. 6(1)(a))", I9965="Not Captured"), "Gap - Invalid Consent", IF(AND(D9965="Legitimate Interest (GDPR Art. 6(1)(f))", L9965=""), "Gap - Missing LIA", IF(AND(G9965="Yes", H9965=""), "Gap - Missing Art. 9 Basis", IF(OR(I9965="Invalid - Not Freely Given", I9965="Invalid - Not Specific", I9965="Invalid - Not Informed", I9965="Invalid - Ambiguous"), "Gap - Invalid Consent", "Compliant")))))</f>
        <v/>
      </c>
      <c r="O9965" s="7" t="n"/>
    </row>
    <row r="9966">
      <c r="A9966" s="7" t="n"/>
      <c r="B9966" s="7" t="n"/>
      <c r="C9966" s="7" t="n"/>
      <c r="D9966" s="7" t="n"/>
      <c r="E9966" s="7" t="n"/>
      <c r="F9966" s="7" t="n"/>
      <c r="G9966" s="7" t="n"/>
      <c r="H9966" s="7" t="n"/>
      <c r="I9966" s="7" t="n"/>
      <c r="J9966" s="7" t="n"/>
      <c r="K9966">
        <f>IF(D9966="Legitimate Interest (GDPR Art. 6(1)(f))", "Yes / Required (Sheet 3)", "")</f>
        <v/>
      </c>
      <c r="L9966" s="7" t="n"/>
      <c r="M9966" s="7" t="n"/>
      <c r="N9966">
        <f>IF(D9966="", "Gap - No Legal Basis", IF(AND(D9966="Consent (GDPR Art. 6(1)(a))", I9966="Not Captured"), "Gap - Invalid Consent", IF(AND(D9966="Legitimate Interest (GDPR Art. 6(1)(f))", L9966=""), "Gap - Missing LIA", IF(AND(G9966="Yes", H9966=""), "Gap - Missing Art. 9 Basis", IF(OR(I9966="Invalid - Not Freely Given", I9966="Invalid - Not Specific", I9966="Invalid - Not Informed", I9966="Invalid - Ambiguous"), "Gap - Invalid Consent", "Compliant")))))</f>
        <v/>
      </c>
      <c r="O9966" s="7" t="n"/>
    </row>
    <row r="9967">
      <c r="A9967" s="7" t="n"/>
      <c r="B9967" s="7" t="n"/>
      <c r="C9967" s="7" t="n"/>
      <c r="D9967" s="7" t="n"/>
      <c r="E9967" s="7" t="n"/>
      <c r="F9967" s="7" t="n"/>
      <c r="G9967" s="7" t="n"/>
      <c r="H9967" s="7" t="n"/>
      <c r="I9967" s="7" t="n"/>
      <c r="J9967" s="7" t="n"/>
      <c r="K9967">
        <f>IF(D9967="Legitimate Interest (GDPR Art. 6(1)(f))", "Yes / Required (Sheet 3)", "")</f>
        <v/>
      </c>
      <c r="L9967" s="7" t="n"/>
      <c r="M9967" s="7" t="n"/>
      <c r="N9967">
        <f>IF(D9967="", "Gap - No Legal Basis", IF(AND(D9967="Consent (GDPR Art. 6(1)(a))", I9967="Not Captured"), "Gap - Invalid Consent", IF(AND(D9967="Legitimate Interest (GDPR Art. 6(1)(f))", L9967=""), "Gap - Missing LIA", IF(AND(G9967="Yes", H9967=""), "Gap - Missing Art. 9 Basis", IF(OR(I9967="Invalid - Not Freely Given", I9967="Invalid - Not Specific", I9967="Invalid - Not Informed", I9967="Invalid - Ambiguous"), "Gap - Invalid Consent", "Compliant")))))</f>
        <v/>
      </c>
      <c r="O9967" s="7" t="n"/>
    </row>
    <row r="9968">
      <c r="A9968" s="7" t="n"/>
      <c r="B9968" s="7" t="n"/>
      <c r="C9968" s="7" t="n"/>
      <c r="D9968" s="7" t="n"/>
      <c r="E9968" s="7" t="n"/>
      <c r="F9968" s="7" t="n"/>
      <c r="G9968" s="7" t="n"/>
      <c r="H9968" s="7" t="n"/>
      <c r="I9968" s="7" t="n"/>
      <c r="J9968" s="7" t="n"/>
      <c r="K9968">
        <f>IF(D9968="Legitimate Interest (GDPR Art. 6(1)(f))", "Yes / Required (Sheet 3)", "")</f>
        <v/>
      </c>
      <c r="L9968" s="7" t="n"/>
      <c r="M9968" s="7" t="n"/>
      <c r="N9968">
        <f>IF(D9968="", "Gap - No Legal Basis", IF(AND(D9968="Consent (GDPR Art. 6(1)(a))", I9968="Not Captured"), "Gap - Invalid Consent", IF(AND(D9968="Legitimate Interest (GDPR Art. 6(1)(f))", L9968=""), "Gap - Missing LIA", IF(AND(G9968="Yes", H9968=""), "Gap - Missing Art. 9 Basis", IF(OR(I9968="Invalid - Not Freely Given", I9968="Invalid - Not Specific", I9968="Invalid - Not Informed", I9968="Invalid - Ambiguous"), "Gap - Invalid Consent", "Compliant")))))</f>
        <v/>
      </c>
      <c r="O9968" s="7" t="n"/>
    </row>
    <row r="9969">
      <c r="A9969" s="7" t="n"/>
      <c r="B9969" s="7" t="n"/>
      <c r="C9969" s="7" t="n"/>
      <c r="D9969" s="7" t="n"/>
      <c r="E9969" s="7" t="n"/>
      <c r="F9969" s="7" t="n"/>
      <c r="G9969" s="7" t="n"/>
      <c r="H9969" s="7" t="n"/>
      <c r="I9969" s="7" t="n"/>
      <c r="J9969" s="7" t="n"/>
      <c r="K9969">
        <f>IF(D9969="Legitimate Interest (GDPR Art. 6(1)(f))", "Yes / Required (Sheet 3)", "")</f>
        <v/>
      </c>
      <c r="L9969" s="7" t="n"/>
      <c r="M9969" s="7" t="n"/>
      <c r="N9969">
        <f>IF(D9969="", "Gap - No Legal Basis", IF(AND(D9969="Consent (GDPR Art. 6(1)(a))", I9969="Not Captured"), "Gap - Invalid Consent", IF(AND(D9969="Legitimate Interest (GDPR Art. 6(1)(f))", L9969=""), "Gap - Missing LIA", IF(AND(G9969="Yes", H9969=""), "Gap - Missing Art. 9 Basis", IF(OR(I9969="Invalid - Not Freely Given", I9969="Invalid - Not Specific", I9969="Invalid - Not Informed", I9969="Invalid - Ambiguous"), "Gap - Invalid Consent", "Compliant")))))</f>
        <v/>
      </c>
      <c r="O9969" s="7" t="n"/>
    </row>
    <row r="9970">
      <c r="A9970" s="7" t="n"/>
      <c r="B9970" s="7" t="n"/>
      <c r="C9970" s="7" t="n"/>
      <c r="D9970" s="7" t="n"/>
      <c r="E9970" s="7" t="n"/>
      <c r="F9970" s="7" t="n"/>
      <c r="G9970" s="7" t="n"/>
      <c r="H9970" s="7" t="n"/>
      <c r="I9970" s="7" t="n"/>
      <c r="J9970" s="7" t="n"/>
      <c r="K9970">
        <f>IF(D9970="Legitimate Interest (GDPR Art. 6(1)(f))", "Yes / Required (Sheet 3)", "")</f>
        <v/>
      </c>
      <c r="L9970" s="7" t="n"/>
      <c r="M9970" s="7" t="n"/>
      <c r="N9970">
        <f>IF(D9970="", "Gap - No Legal Basis", IF(AND(D9970="Consent (GDPR Art. 6(1)(a))", I9970="Not Captured"), "Gap - Invalid Consent", IF(AND(D9970="Legitimate Interest (GDPR Art. 6(1)(f))", L9970=""), "Gap - Missing LIA", IF(AND(G9970="Yes", H9970=""), "Gap - Missing Art. 9 Basis", IF(OR(I9970="Invalid - Not Freely Given", I9970="Invalid - Not Specific", I9970="Invalid - Not Informed", I9970="Invalid - Ambiguous"), "Gap - Invalid Consent", "Compliant")))))</f>
        <v/>
      </c>
      <c r="O9970" s="7" t="n"/>
    </row>
    <row r="9971">
      <c r="A9971" s="7" t="n"/>
      <c r="B9971" s="7" t="n"/>
      <c r="C9971" s="7" t="n"/>
      <c r="D9971" s="7" t="n"/>
      <c r="E9971" s="7" t="n"/>
      <c r="F9971" s="7" t="n"/>
      <c r="G9971" s="7" t="n"/>
      <c r="H9971" s="7" t="n"/>
      <c r="I9971" s="7" t="n"/>
      <c r="J9971" s="7" t="n"/>
      <c r="K9971">
        <f>IF(D9971="Legitimate Interest (GDPR Art. 6(1)(f))", "Yes / Required (Sheet 3)", "")</f>
        <v/>
      </c>
      <c r="L9971" s="7" t="n"/>
      <c r="M9971" s="7" t="n"/>
      <c r="N9971">
        <f>IF(D9971="", "Gap - No Legal Basis", IF(AND(D9971="Consent (GDPR Art. 6(1)(a))", I9971="Not Captured"), "Gap - Invalid Consent", IF(AND(D9971="Legitimate Interest (GDPR Art. 6(1)(f))", L9971=""), "Gap - Missing LIA", IF(AND(G9971="Yes", H9971=""), "Gap - Missing Art. 9 Basis", IF(OR(I9971="Invalid - Not Freely Given", I9971="Invalid - Not Specific", I9971="Invalid - Not Informed", I9971="Invalid - Ambiguous"), "Gap - Invalid Consent", "Compliant")))))</f>
        <v/>
      </c>
      <c r="O9971" s="7" t="n"/>
    </row>
    <row r="9972">
      <c r="A9972" s="7" t="n"/>
      <c r="B9972" s="7" t="n"/>
      <c r="C9972" s="7" t="n"/>
      <c r="D9972" s="7" t="n"/>
      <c r="E9972" s="7" t="n"/>
      <c r="F9972" s="7" t="n"/>
      <c r="G9972" s="7" t="n"/>
      <c r="H9972" s="7" t="n"/>
      <c r="I9972" s="7" t="n"/>
      <c r="J9972" s="7" t="n"/>
      <c r="K9972">
        <f>IF(D9972="Legitimate Interest (GDPR Art. 6(1)(f))", "Yes / Required (Sheet 3)", "")</f>
        <v/>
      </c>
      <c r="L9972" s="7" t="n"/>
      <c r="M9972" s="7" t="n"/>
      <c r="N9972">
        <f>IF(D9972="", "Gap - No Legal Basis", IF(AND(D9972="Consent (GDPR Art. 6(1)(a))", I9972="Not Captured"), "Gap - Invalid Consent", IF(AND(D9972="Legitimate Interest (GDPR Art. 6(1)(f))", L9972=""), "Gap - Missing LIA", IF(AND(G9972="Yes", H9972=""), "Gap - Missing Art. 9 Basis", IF(OR(I9972="Invalid - Not Freely Given", I9972="Invalid - Not Specific", I9972="Invalid - Not Informed", I9972="Invalid - Ambiguous"), "Gap - Invalid Consent", "Compliant")))))</f>
        <v/>
      </c>
      <c r="O9972" s="7" t="n"/>
    </row>
    <row r="9973">
      <c r="A9973" s="7" t="n"/>
      <c r="B9973" s="7" t="n"/>
      <c r="C9973" s="7" t="n"/>
      <c r="D9973" s="7" t="n"/>
      <c r="E9973" s="7" t="n"/>
      <c r="F9973" s="7" t="n"/>
      <c r="G9973" s="7" t="n"/>
      <c r="H9973" s="7" t="n"/>
      <c r="I9973" s="7" t="n"/>
      <c r="J9973" s="7" t="n"/>
      <c r="K9973">
        <f>IF(D9973="Legitimate Interest (GDPR Art. 6(1)(f))", "Yes / Required (Sheet 3)", "")</f>
        <v/>
      </c>
      <c r="L9973" s="7" t="n"/>
      <c r="M9973" s="7" t="n"/>
      <c r="N9973">
        <f>IF(D9973="", "Gap - No Legal Basis", IF(AND(D9973="Consent (GDPR Art. 6(1)(a))", I9973="Not Captured"), "Gap - Invalid Consent", IF(AND(D9973="Legitimate Interest (GDPR Art. 6(1)(f))", L9973=""), "Gap - Missing LIA", IF(AND(G9973="Yes", H9973=""), "Gap - Missing Art. 9 Basis", IF(OR(I9973="Invalid - Not Freely Given", I9973="Invalid - Not Specific", I9973="Invalid - Not Informed", I9973="Invalid - Ambiguous"), "Gap - Invalid Consent", "Compliant")))))</f>
        <v/>
      </c>
      <c r="O9973" s="7" t="n"/>
    </row>
    <row r="9974">
      <c r="A9974" s="7" t="n"/>
      <c r="B9974" s="7" t="n"/>
      <c r="C9974" s="7" t="n"/>
      <c r="D9974" s="7" t="n"/>
      <c r="E9974" s="7" t="n"/>
      <c r="F9974" s="7" t="n"/>
      <c r="G9974" s="7" t="n"/>
      <c r="H9974" s="7" t="n"/>
      <c r="I9974" s="7" t="n"/>
      <c r="J9974" s="7" t="n"/>
      <c r="K9974">
        <f>IF(D9974="Legitimate Interest (GDPR Art. 6(1)(f))", "Yes / Required (Sheet 3)", "")</f>
        <v/>
      </c>
      <c r="L9974" s="7" t="n"/>
      <c r="M9974" s="7" t="n"/>
      <c r="N9974">
        <f>IF(D9974="", "Gap - No Legal Basis", IF(AND(D9974="Consent (GDPR Art. 6(1)(a))", I9974="Not Captured"), "Gap - Invalid Consent", IF(AND(D9974="Legitimate Interest (GDPR Art. 6(1)(f))", L9974=""), "Gap - Missing LIA", IF(AND(G9974="Yes", H9974=""), "Gap - Missing Art. 9 Basis", IF(OR(I9974="Invalid - Not Freely Given", I9974="Invalid - Not Specific", I9974="Invalid - Not Informed", I9974="Invalid - Ambiguous"), "Gap - Invalid Consent", "Compliant")))))</f>
        <v/>
      </c>
      <c r="O9974" s="7" t="n"/>
    </row>
    <row r="9975">
      <c r="A9975" s="7" t="n"/>
      <c r="B9975" s="7" t="n"/>
      <c r="C9975" s="7" t="n"/>
      <c r="D9975" s="7" t="n"/>
      <c r="E9975" s="7" t="n"/>
      <c r="F9975" s="7" t="n"/>
      <c r="G9975" s="7" t="n"/>
      <c r="H9975" s="7" t="n"/>
      <c r="I9975" s="7" t="n"/>
      <c r="J9975" s="7" t="n"/>
      <c r="K9975">
        <f>IF(D9975="Legitimate Interest (GDPR Art. 6(1)(f))", "Yes / Required (Sheet 3)", "")</f>
        <v/>
      </c>
      <c r="L9975" s="7" t="n"/>
      <c r="M9975" s="7" t="n"/>
      <c r="N9975">
        <f>IF(D9975="", "Gap - No Legal Basis", IF(AND(D9975="Consent (GDPR Art. 6(1)(a))", I9975="Not Captured"), "Gap - Invalid Consent", IF(AND(D9975="Legitimate Interest (GDPR Art. 6(1)(f))", L9975=""), "Gap - Missing LIA", IF(AND(G9975="Yes", H9975=""), "Gap - Missing Art. 9 Basis", IF(OR(I9975="Invalid - Not Freely Given", I9975="Invalid - Not Specific", I9975="Invalid - Not Informed", I9975="Invalid - Ambiguous"), "Gap - Invalid Consent", "Compliant")))))</f>
        <v/>
      </c>
      <c r="O9975" s="7" t="n"/>
    </row>
    <row r="9976">
      <c r="A9976" s="7" t="n"/>
      <c r="B9976" s="7" t="n"/>
      <c r="C9976" s="7" t="n"/>
      <c r="D9976" s="7" t="n"/>
      <c r="E9976" s="7" t="n"/>
      <c r="F9976" s="7" t="n"/>
      <c r="G9976" s="7" t="n"/>
      <c r="H9976" s="7" t="n"/>
      <c r="I9976" s="7" t="n"/>
      <c r="J9976" s="7" t="n"/>
      <c r="K9976">
        <f>IF(D9976="Legitimate Interest (GDPR Art. 6(1)(f))", "Yes / Required (Sheet 3)", "")</f>
        <v/>
      </c>
      <c r="L9976" s="7" t="n"/>
      <c r="M9976" s="7" t="n"/>
      <c r="N9976">
        <f>IF(D9976="", "Gap - No Legal Basis", IF(AND(D9976="Consent (GDPR Art. 6(1)(a))", I9976="Not Captured"), "Gap - Invalid Consent", IF(AND(D9976="Legitimate Interest (GDPR Art. 6(1)(f))", L9976=""), "Gap - Missing LIA", IF(AND(G9976="Yes", H9976=""), "Gap - Missing Art. 9 Basis", IF(OR(I9976="Invalid - Not Freely Given", I9976="Invalid - Not Specific", I9976="Invalid - Not Informed", I9976="Invalid - Ambiguous"), "Gap - Invalid Consent", "Compliant")))))</f>
        <v/>
      </c>
      <c r="O9976" s="7" t="n"/>
    </row>
    <row r="9977">
      <c r="A9977" s="7" t="n"/>
      <c r="B9977" s="7" t="n"/>
      <c r="C9977" s="7" t="n"/>
      <c r="D9977" s="7" t="n"/>
      <c r="E9977" s="7" t="n"/>
      <c r="F9977" s="7" t="n"/>
      <c r="G9977" s="7" t="n"/>
      <c r="H9977" s="7" t="n"/>
      <c r="I9977" s="7" t="n"/>
      <c r="J9977" s="7" t="n"/>
      <c r="K9977">
        <f>IF(D9977="Legitimate Interest (GDPR Art. 6(1)(f))", "Yes / Required (Sheet 3)", "")</f>
        <v/>
      </c>
      <c r="L9977" s="7" t="n"/>
      <c r="M9977" s="7" t="n"/>
      <c r="N9977">
        <f>IF(D9977="", "Gap - No Legal Basis", IF(AND(D9977="Consent (GDPR Art. 6(1)(a))", I9977="Not Captured"), "Gap - Invalid Consent", IF(AND(D9977="Legitimate Interest (GDPR Art. 6(1)(f))", L9977=""), "Gap - Missing LIA", IF(AND(G9977="Yes", H9977=""), "Gap - Missing Art. 9 Basis", IF(OR(I9977="Invalid - Not Freely Given", I9977="Invalid - Not Specific", I9977="Invalid - Not Informed", I9977="Invalid - Ambiguous"), "Gap - Invalid Consent", "Compliant")))))</f>
        <v/>
      </c>
      <c r="O9977" s="7" t="n"/>
    </row>
    <row r="9978">
      <c r="A9978" s="7" t="n"/>
      <c r="B9978" s="7" t="n"/>
      <c r="C9978" s="7" t="n"/>
      <c r="D9978" s="7" t="n"/>
      <c r="E9978" s="7" t="n"/>
      <c r="F9978" s="7" t="n"/>
      <c r="G9978" s="7" t="n"/>
      <c r="H9978" s="7" t="n"/>
      <c r="I9978" s="7" t="n"/>
      <c r="J9978" s="7" t="n"/>
      <c r="K9978">
        <f>IF(D9978="Legitimate Interest (GDPR Art. 6(1)(f))", "Yes / Required (Sheet 3)", "")</f>
        <v/>
      </c>
      <c r="L9978" s="7" t="n"/>
      <c r="M9978" s="7" t="n"/>
      <c r="N9978">
        <f>IF(D9978="", "Gap - No Legal Basis", IF(AND(D9978="Consent (GDPR Art. 6(1)(a))", I9978="Not Captured"), "Gap - Invalid Consent", IF(AND(D9978="Legitimate Interest (GDPR Art. 6(1)(f))", L9978=""), "Gap - Missing LIA", IF(AND(G9978="Yes", H9978=""), "Gap - Missing Art. 9 Basis", IF(OR(I9978="Invalid - Not Freely Given", I9978="Invalid - Not Specific", I9978="Invalid - Not Informed", I9978="Invalid - Ambiguous"), "Gap - Invalid Consent", "Compliant")))))</f>
        <v/>
      </c>
      <c r="O9978" s="7" t="n"/>
    </row>
    <row r="9979">
      <c r="A9979" s="7" t="n"/>
      <c r="B9979" s="7" t="n"/>
      <c r="C9979" s="7" t="n"/>
      <c r="D9979" s="7" t="n"/>
      <c r="E9979" s="7" t="n"/>
      <c r="F9979" s="7" t="n"/>
      <c r="G9979" s="7" t="n"/>
      <c r="H9979" s="7" t="n"/>
      <c r="I9979" s="7" t="n"/>
      <c r="J9979" s="7" t="n"/>
      <c r="K9979">
        <f>IF(D9979="Legitimate Interest (GDPR Art. 6(1)(f))", "Yes / Required (Sheet 3)", "")</f>
        <v/>
      </c>
      <c r="L9979" s="7" t="n"/>
      <c r="M9979" s="7" t="n"/>
      <c r="N9979">
        <f>IF(D9979="", "Gap - No Legal Basis", IF(AND(D9979="Consent (GDPR Art. 6(1)(a))", I9979="Not Captured"), "Gap - Invalid Consent", IF(AND(D9979="Legitimate Interest (GDPR Art. 6(1)(f))", L9979=""), "Gap - Missing LIA", IF(AND(G9979="Yes", H9979=""), "Gap - Missing Art. 9 Basis", IF(OR(I9979="Invalid - Not Freely Given", I9979="Invalid - Not Specific", I9979="Invalid - Not Informed", I9979="Invalid - Ambiguous"), "Gap - Invalid Consent", "Compliant")))))</f>
        <v/>
      </c>
      <c r="O9979" s="7" t="n"/>
    </row>
    <row r="9980">
      <c r="A9980" s="7" t="n"/>
      <c r="B9980" s="7" t="n"/>
      <c r="C9980" s="7" t="n"/>
      <c r="D9980" s="7" t="n"/>
      <c r="E9980" s="7" t="n"/>
      <c r="F9980" s="7" t="n"/>
      <c r="G9980" s="7" t="n"/>
      <c r="H9980" s="7" t="n"/>
      <c r="I9980" s="7" t="n"/>
      <c r="J9980" s="7" t="n"/>
      <c r="K9980">
        <f>IF(D9980="Legitimate Interest (GDPR Art. 6(1)(f))", "Yes / Required (Sheet 3)", "")</f>
        <v/>
      </c>
      <c r="L9980" s="7" t="n"/>
      <c r="M9980" s="7" t="n"/>
      <c r="N9980">
        <f>IF(D9980="", "Gap - No Legal Basis", IF(AND(D9980="Consent (GDPR Art. 6(1)(a))", I9980="Not Captured"), "Gap - Invalid Consent", IF(AND(D9980="Legitimate Interest (GDPR Art. 6(1)(f))", L9980=""), "Gap - Missing LIA", IF(AND(G9980="Yes", H9980=""), "Gap - Missing Art. 9 Basis", IF(OR(I9980="Invalid - Not Freely Given", I9980="Invalid - Not Specific", I9980="Invalid - Not Informed", I9980="Invalid - Ambiguous"), "Gap - Invalid Consent", "Compliant")))))</f>
        <v/>
      </c>
      <c r="O9980" s="7" t="n"/>
    </row>
    <row r="9981">
      <c r="A9981" s="7" t="n"/>
      <c r="B9981" s="7" t="n"/>
      <c r="C9981" s="7" t="n"/>
      <c r="D9981" s="7" t="n"/>
      <c r="E9981" s="7" t="n"/>
      <c r="F9981" s="7" t="n"/>
      <c r="G9981" s="7" t="n"/>
      <c r="H9981" s="7" t="n"/>
      <c r="I9981" s="7" t="n"/>
      <c r="J9981" s="7" t="n"/>
      <c r="K9981">
        <f>IF(D9981="Legitimate Interest (GDPR Art. 6(1)(f))", "Yes / Required (Sheet 3)", "")</f>
        <v/>
      </c>
      <c r="L9981" s="7" t="n"/>
      <c r="M9981" s="7" t="n"/>
      <c r="N9981">
        <f>IF(D9981="", "Gap - No Legal Basis", IF(AND(D9981="Consent (GDPR Art. 6(1)(a))", I9981="Not Captured"), "Gap - Invalid Consent", IF(AND(D9981="Legitimate Interest (GDPR Art. 6(1)(f))", L9981=""), "Gap - Missing LIA", IF(AND(G9981="Yes", H9981=""), "Gap - Missing Art. 9 Basis", IF(OR(I9981="Invalid - Not Freely Given", I9981="Invalid - Not Specific", I9981="Invalid - Not Informed", I9981="Invalid - Ambiguous"), "Gap - Invalid Consent", "Compliant")))))</f>
        <v/>
      </c>
      <c r="O9981" s="7" t="n"/>
    </row>
    <row r="9982">
      <c r="A9982" s="7" t="n"/>
      <c r="B9982" s="7" t="n"/>
      <c r="C9982" s="7" t="n"/>
      <c r="D9982" s="7" t="n"/>
      <c r="E9982" s="7" t="n"/>
      <c r="F9982" s="7" t="n"/>
      <c r="G9982" s="7" t="n"/>
      <c r="H9982" s="7" t="n"/>
      <c r="I9982" s="7" t="n"/>
      <c r="J9982" s="7" t="n"/>
      <c r="K9982">
        <f>IF(D9982="Legitimate Interest (GDPR Art. 6(1)(f))", "Yes / Required (Sheet 3)", "")</f>
        <v/>
      </c>
      <c r="L9982" s="7" t="n"/>
      <c r="M9982" s="7" t="n"/>
      <c r="N9982">
        <f>IF(D9982="", "Gap - No Legal Basis", IF(AND(D9982="Consent (GDPR Art. 6(1)(a))", I9982="Not Captured"), "Gap - Invalid Consent", IF(AND(D9982="Legitimate Interest (GDPR Art. 6(1)(f))", L9982=""), "Gap - Missing LIA", IF(AND(G9982="Yes", H9982=""), "Gap - Missing Art. 9 Basis", IF(OR(I9982="Invalid - Not Freely Given", I9982="Invalid - Not Specific", I9982="Invalid - Not Informed", I9982="Invalid - Ambiguous"), "Gap - Invalid Consent", "Compliant")))))</f>
        <v/>
      </c>
      <c r="O9982" s="7" t="n"/>
    </row>
    <row r="9983">
      <c r="A9983" s="7" t="n"/>
      <c r="B9983" s="7" t="n"/>
      <c r="C9983" s="7" t="n"/>
      <c r="D9983" s="7" t="n"/>
      <c r="E9983" s="7" t="n"/>
      <c r="F9983" s="7" t="n"/>
      <c r="G9983" s="7" t="n"/>
      <c r="H9983" s="7" t="n"/>
      <c r="I9983" s="7" t="n"/>
      <c r="J9983" s="7" t="n"/>
      <c r="K9983">
        <f>IF(D9983="Legitimate Interest (GDPR Art. 6(1)(f))", "Yes / Required (Sheet 3)", "")</f>
        <v/>
      </c>
      <c r="L9983" s="7" t="n"/>
      <c r="M9983" s="7" t="n"/>
      <c r="N9983">
        <f>IF(D9983="", "Gap - No Legal Basis", IF(AND(D9983="Consent (GDPR Art. 6(1)(a))", I9983="Not Captured"), "Gap - Invalid Consent", IF(AND(D9983="Legitimate Interest (GDPR Art. 6(1)(f))", L9983=""), "Gap - Missing LIA", IF(AND(G9983="Yes", H9983=""), "Gap - Missing Art. 9 Basis", IF(OR(I9983="Invalid - Not Freely Given", I9983="Invalid - Not Specific", I9983="Invalid - Not Informed", I9983="Invalid - Ambiguous"), "Gap - Invalid Consent", "Compliant")))))</f>
        <v/>
      </c>
      <c r="O9983" s="7" t="n"/>
    </row>
    <row r="9984">
      <c r="A9984" s="7" t="n"/>
      <c r="B9984" s="7" t="n"/>
      <c r="C9984" s="7" t="n"/>
      <c r="D9984" s="7" t="n"/>
      <c r="E9984" s="7" t="n"/>
      <c r="F9984" s="7" t="n"/>
      <c r="G9984" s="7" t="n"/>
      <c r="H9984" s="7" t="n"/>
      <c r="I9984" s="7" t="n"/>
      <c r="J9984" s="7" t="n"/>
      <c r="K9984">
        <f>IF(D9984="Legitimate Interest (GDPR Art. 6(1)(f))", "Yes / Required (Sheet 3)", "")</f>
        <v/>
      </c>
      <c r="L9984" s="7" t="n"/>
      <c r="M9984" s="7" t="n"/>
      <c r="N9984">
        <f>IF(D9984="", "Gap - No Legal Basis", IF(AND(D9984="Consent (GDPR Art. 6(1)(a))", I9984="Not Captured"), "Gap - Invalid Consent", IF(AND(D9984="Legitimate Interest (GDPR Art. 6(1)(f))", L9984=""), "Gap - Missing LIA", IF(AND(G9984="Yes", H9984=""), "Gap - Missing Art. 9 Basis", IF(OR(I9984="Invalid - Not Freely Given", I9984="Invalid - Not Specific", I9984="Invalid - Not Informed", I9984="Invalid - Ambiguous"), "Gap - Invalid Consent", "Compliant")))))</f>
        <v/>
      </c>
      <c r="O9984" s="7" t="n"/>
    </row>
    <row r="9985">
      <c r="A9985" s="7" t="n"/>
      <c r="B9985" s="7" t="n"/>
      <c r="C9985" s="7" t="n"/>
      <c r="D9985" s="7" t="n"/>
      <c r="E9985" s="7" t="n"/>
      <c r="F9985" s="7" t="n"/>
      <c r="G9985" s="7" t="n"/>
      <c r="H9985" s="7" t="n"/>
      <c r="I9985" s="7" t="n"/>
      <c r="J9985" s="7" t="n"/>
      <c r="K9985">
        <f>IF(D9985="Legitimate Interest (GDPR Art. 6(1)(f))", "Yes / Required (Sheet 3)", "")</f>
        <v/>
      </c>
      <c r="L9985" s="7" t="n"/>
      <c r="M9985" s="7" t="n"/>
      <c r="N9985">
        <f>IF(D9985="", "Gap - No Legal Basis", IF(AND(D9985="Consent (GDPR Art. 6(1)(a))", I9985="Not Captured"), "Gap - Invalid Consent", IF(AND(D9985="Legitimate Interest (GDPR Art. 6(1)(f))", L9985=""), "Gap - Missing LIA", IF(AND(G9985="Yes", H9985=""), "Gap - Missing Art. 9 Basis", IF(OR(I9985="Invalid - Not Freely Given", I9985="Invalid - Not Specific", I9985="Invalid - Not Informed", I9985="Invalid - Ambiguous"), "Gap - Invalid Consent", "Compliant")))))</f>
        <v/>
      </c>
      <c r="O9985" s="7" t="n"/>
    </row>
    <row r="9986">
      <c r="A9986" s="7" t="n"/>
      <c r="B9986" s="7" t="n"/>
      <c r="C9986" s="7" t="n"/>
      <c r="D9986" s="7" t="n"/>
      <c r="E9986" s="7" t="n"/>
      <c r="F9986" s="7" t="n"/>
      <c r="G9986" s="7" t="n"/>
      <c r="H9986" s="7" t="n"/>
      <c r="I9986" s="7" t="n"/>
      <c r="J9986" s="7" t="n"/>
      <c r="K9986">
        <f>IF(D9986="Legitimate Interest (GDPR Art. 6(1)(f))", "Yes / Required (Sheet 3)", "")</f>
        <v/>
      </c>
      <c r="L9986" s="7" t="n"/>
      <c r="M9986" s="7" t="n"/>
      <c r="N9986">
        <f>IF(D9986="", "Gap - No Legal Basis", IF(AND(D9986="Consent (GDPR Art. 6(1)(a))", I9986="Not Captured"), "Gap - Invalid Consent", IF(AND(D9986="Legitimate Interest (GDPR Art. 6(1)(f))", L9986=""), "Gap - Missing LIA", IF(AND(G9986="Yes", H9986=""), "Gap - Missing Art. 9 Basis", IF(OR(I9986="Invalid - Not Freely Given", I9986="Invalid - Not Specific", I9986="Invalid - Not Informed", I9986="Invalid - Ambiguous"), "Gap - Invalid Consent", "Compliant")))))</f>
        <v/>
      </c>
      <c r="O9986" s="7" t="n"/>
    </row>
    <row r="9987">
      <c r="A9987" s="7" t="n"/>
      <c r="B9987" s="7" t="n"/>
      <c r="C9987" s="7" t="n"/>
      <c r="D9987" s="7" t="n"/>
      <c r="E9987" s="7" t="n"/>
      <c r="F9987" s="7" t="n"/>
      <c r="G9987" s="7" t="n"/>
      <c r="H9987" s="7" t="n"/>
      <c r="I9987" s="7" t="n"/>
      <c r="J9987" s="7" t="n"/>
      <c r="K9987">
        <f>IF(D9987="Legitimate Interest (GDPR Art. 6(1)(f))", "Yes / Required (Sheet 3)", "")</f>
        <v/>
      </c>
      <c r="L9987" s="7" t="n"/>
      <c r="M9987" s="7" t="n"/>
      <c r="N9987">
        <f>IF(D9987="", "Gap - No Legal Basis", IF(AND(D9987="Consent (GDPR Art. 6(1)(a))", I9987="Not Captured"), "Gap - Invalid Consent", IF(AND(D9987="Legitimate Interest (GDPR Art. 6(1)(f))", L9987=""), "Gap - Missing LIA", IF(AND(G9987="Yes", H9987=""), "Gap - Missing Art. 9 Basis", IF(OR(I9987="Invalid - Not Freely Given", I9987="Invalid - Not Specific", I9987="Invalid - Not Informed", I9987="Invalid - Ambiguous"), "Gap - Invalid Consent", "Compliant")))))</f>
        <v/>
      </c>
      <c r="O9987" s="7" t="n"/>
    </row>
    <row r="9988">
      <c r="A9988" s="7" t="n"/>
      <c r="B9988" s="7" t="n"/>
      <c r="C9988" s="7" t="n"/>
      <c r="D9988" s="7" t="n"/>
      <c r="E9988" s="7" t="n"/>
      <c r="F9988" s="7" t="n"/>
      <c r="G9988" s="7" t="n"/>
      <c r="H9988" s="7" t="n"/>
      <c r="I9988" s="7" t="n"/>
      <c r="J9988" s="7" t="n"/>
      <c r="K9988">
        <f>IF(D9988="Legitimate Interest (GDPR Art. 6(1)(f))", "Yes / Required (Sheet 3)", "")</f>
        <v/>
      </c>
      <c r="L9988" s="7" t="n"/>
      <c r="M9988" s="7" t="n"/>
      <c r="N9988">
        <f>IF(D9988="", "Gap - No Legal Basis", IF(AND(D9988="Consent (GDPR Art. 6(1)(a))", I9988="Not Captured"), "Gap - Invalid Consent", IF(AND(D9988="Legitimate Interest (GDPR Art. 6(1)(f))", L9988=""), "Gap - Missing LIA", IF(AND(G9988="Yes", H9988=""), "Gap - Missing Art. 9 Basis", IF(OR(I9988="Invalid - Not Freely Given", I9988="Invalid - Not Specific", I9988="Invalid - Not Informed", I9988="Invalid - Ambiguous"), "Gap - Invalid Consent", "Compliant")))))</f>
        <v/>
      </c>
      <c r="O9988" s="7" t="n"/>
    </row>
    <row r="9989">
      <c r="A9989" s="7" t="n"/>
      <c r="B9989" s="7" t="n"/>
      <c r="C9989" s="7" t="n"/>
      <c r="D9989" s="7" t="n"/>
      <c r="E9989" s="7" t="n"/>
      <c r="F9989" s="7" t="n"/>
      <c r="G9989" s="7" t="n"/>
      <c r="H9989" s="7" t="n"/>
      <c r="I9989" s="7" t="n"/>
      <c r="J9989" s="7" t="n"/>
      <c r="K9989">
        <f>IF(D9989="Legitimate Interest (GDPR Art. 6(1)(f))", "Yes / Required (Sheet 3)", "")</f>
        <v/>
      </c>
      <c r="L9989" s="7" t="n"/>
      <c r="M9989" s="7" t="n"/>
      <c r="N9989">
        <f>IF(D9989="", "Gap - No Legal Basis", IF(AND(D9989="Consent (GDPR Art. 6(1)(a))", I9989="Not Captured"), "Gap - Invalid Consent", IF(AND(D9989="Legitimate Interest (GDPR Art. 6(1)(f))", L9989=""), "Gap - Missing LIA", IF(AND(G9989="Yes", H9989=""), "Gap - Missing Art. 9 Basis", IF(OR(I9989="Invalid - Not Freely Given", I9989="Invalid - Not Specific", I9989="Invalid - Not Informed", I9989="Invalid - Ambiguous"), "Gap - Invalid Consent", "Compliant")))))</f>
        <v/>
      </c>
      <c r="O9989" s="7" t="n"/>
    </row>
    <row r="9990">
      <c r="A9990" s="7" t="n"/>
      <c r="B9990" s="7" t="n"/>
      <c r="C9990" s="7" t="n"/>
      <c r="D9990" s="7" t="n"/>
      <c r="E9990" s="7" t="n"/>
      <c r="F9990" s="7" t="n"/>
      <c r="G9990" s="7" t="n"/>
      <c r="H9990" s="7" t="n"/>
      <c r="I9990" s="7" t="n"/>
      <c r="J9990" s="7" t="n"/>
      <c r="K9990">
        <f>IF(D9990="Legitimate Interest (GDPR Art. 6(1)(f))", "Yes / Required (Sheet 3)", "")</f>
        <v/>
      </c>
      <c r="L9990" s="7" t="n"/>
      <c r="M9990" s="7" t="n"/>
      <c r="N9990">
        <f>IF(D9990="", "Gap - No Legal Basis", IF(AND(D9990="Consent (GDPR Art. 6(1)(a))", I9990="Not Captured"), "Gap - Invalid Consent", IF(AND(D9990="Legitimate Interest (GDPR Art. 6(1)(f))", L9990=""), "Gap - Missing LIA", IF(AND(G9990="Yes", H9990=""), "Gap - Missing Art. 9 Basis", IF(OR(I9990="Invalid - Not Freely Given", I9990="Invalid - Not Specific", I9990="Invalid - Not Informed", I9990="Invalid - Ambiguous"), "Gap - Invalid Consent", "Compliant")))))</f>
        <v/>
      </c>
      <c r="O9990" s="7" t="n"/>
    </row>
    <row r="9991">
      <c r="A9991" s="7" t="n"/>
      <c r="B9991" s="7" t="n"/>
      <c r="C9991" s="7" t="n"/>
      <c r="D9991" s="7" t="n"/>
      <c r="E9991" s="7" t="n"/>
      <c r="F9991" s="7" t="n"/>
      <c r="G9991" s="7" t="n"/>
      <c r="H9991" s="7" t="n"/>
      <c r="I9991" s="7" t="n"/>
      <c r="J9991" s="7" t="n"/>
      <c r="K9991">
        <f>IF(D9991="Legitimate Interest (GDPR Art. 6(1)(f))", "Yes / Required (Sheet 3)", "")</f>
        <v/>
      </c>
      <c r="L9991" s="7" t="n"/>
      <c r="M9991" s="7" t="n"/>
      <c r="N9991">
        <f>IF(D9991="", "Gap - No Legal Basis", IF(AND(D9991="Consent (GDPR Art. 6(1)(a))", I9991="Not Captured"), "Gap - Invalid Consent", IF(AND(D9991="Legitimate Interest (GDPR Art. 6(1)(f))", L9991=""), "Gap - Missing LIA", IF(AND(G9991="Yes", H9991=""), "Gap - Missing Art. 9 Basis", IF(OR(I9991="Invalid - Not Freely Given", I9991="Invalid - Not Specific", I9991="Invalid - Not Informed", I9991="Invalid - Ambiguous"), "Gap - Invalid Consent", "Compliant")))))</f>
        <v/>
      </c>
      <c r="O9991" s="7" t="n"/>
    </row>
    <row r="9992">
      <c r="A9992" s="7" t="n"/>
      <c r="B9992" s="7" t="n"/>
      <c r="C9992" s="7" t="n"/>
      <c r="D9992" s="7" t="n"/>
      <c r="E9992" s="7" t="n"/>
      <c r="F9992" s="7" t="n"/>
      <c r="G9992" s="7" t="n"/>
      <c r="H9992" s="7" t="n"/>
      <c r="I9992" s="7" t="n"/>
      <c r="J9992" s="7" t="n"/>
      <c r="K9992">
        <f>IF(D9992="Legitimate Interest (GDPR Art. 6(1)(f))", "Yes / Required (Sheet 3)", "")</f>
        <v/>
      </c>
      <c r="L9992" s="7" t="n"/>
      <c r="M9992" s="7" t="n"/>
      <c r="N9992">
        <f>IF(D9992="", "Gap - No Legal Basis", IF(AND(D9992="Consent (GDPR Art. 6(1)(a))", I9992="Not Captured"), "Gap - Invalid Consent", IF(AND(D9992="Legitimate Interest (GDPR Art. 6(1)(f))", L9992=""), "Gap - Missing LIA", IF(AND(G9992="Yes", H9992=""), "Gap - Missing Art. 9 Basis", IF(OR(I9992="Invalid - Not Freely Given", I9992="Invalid - Not Specific", I9992="Invalid - Not Informed", I9992="Invalid - Ambiguous"), "Gap - Invalid Consent", "Compliant")))))</f>
        <v/>
      </c>
      <c r="O9992" s="7" t="n"/>
    </row>
    <row r="9993">
      <c r="A9993" s="7" t="n"/>
      <c r="B9993" s="7" t="n"/>
      <c r="C9993" s="7" t="n"/>
      <c r="D9993" s="7" t="n"/>
      <c r="E9993" s="7" t="n"/>
      <c r="F9993" s="7" t="n"/>
      <c r="G9993" s="7" t="n"/>
      <c r="H9993" s="7" t="n"/>
      <c r="I9993" s="7" t="n"/>
      <c r="J9993" s="7" t="n"/>
      <c r="K9993">
        <f>IF(D9993="Legitimate Interest (GDPR Art. 6(1)(f))", "Yes / Required (Sheet 3)", "")</f>
        <v/>
      </c>
      <c r="L9993" s="7" t="n"/>
      <c r="M9993" s="7" t="n"/>
      <c r="N9993">
        <f>IF(D9993="", "Gap - No Legal Basis", IF(AND(D9993="Consent (GDPR Art. 6(1)(a))", I9993="Not Captured"), "Gap - Invalid Consent", IF(AND(D9993="Legitimate Interest (GDPR Art. 6(1)(f))", L9993=""), "Gap - Missing LIA", IF(AND(G9993="Yes", H9993=""), "Gap - Missing Art. 9 Basis", IF(OR(I9993="Invalid - Not Freely Given", I9993="Invalid - Not Specific", I9993="Invalid - Not Informed", I9993="Invalid - Ambiguous"), "Gap - Invalid Consent", "Compliant")))))</f>
        <v/>
      </c>
      <c r="O9993" s="7" t="n"/>
    </row>
    <row r="9994">
      <c r="A9994" s="7" t="n"/>
      <c r="B9994" s="7" t="n"/>
      <c r="C9994" s="7" t="n"/>
      <c r="D9994" s="7" t="n"/>
      <c r="E9994" s="7" t="n"/>
      <c r="F9994" s="7" t="n"/>
      <c r="G9994" s="7" t="n"/>
      <c r="H9994" s="7" t="n"/>
      <c r="I9994" s="7" t="n"/>
      <c r="J9994" s="7" t="n"/>
      <c r="K9994">
        <f>IF(D9994="Legitimate Interest (GDPR Art. 6(1)(f))", "Yes / Required (Sheet 3)", "")</f>
        <v/>
      </c>
      <c r="L9994" s="7" t="n"/>
      <c r="M9994" s="7" t="n"/>
      <c r="N9994">
        <f>IF(D9994="", "Gap - No Legal Basis", IF(AND(D9994="Consent (GDPR Art. 6(1)(a))", I9994="Not Captured"), "Gap - Invalid Consent", IF(AND(D9994="Legitimate Interest (GDPR Art. 6(1)(f))", L9994=""), "Gap - Missing LIA", IF(AND(G9994="Yes", H9994=""), "Gap - Missing Art. 9 Basis", IF(OR(I9994="Invalid - Not Freely Given", I9994="Invalid - Not Specific", I9994="Invalid - Not Informed", I9994="Invalid - Ambiguous"), "Gap - Invalid Consent", "Compliant")))))</f>
        <v/>
      </c>
      <c r="O9994" s="7" t="n"/>
    </row>
    <row r="9995">
      <c r="A9995" s="7" t="n"/>
      <c r="B9995" s="7" t="n"/>
      <c r="C9995" s="7" t="n"/>
      <c r="D9995" s="7" t="n"/>
      <c r="E9995" s="7" t="n"/>
      <c r="F9995" s="7" t="n"/>
      <c r="G9995" s="7" t="n"/>
      <c r="H9995" s="7" t="n"/>
      <c r="I9995" s="7" t="n"/>
      <c r="J9995" s="7" t="n"/>
      <c r="K9995">
        <f>IF(D9995="Legitimate Interest (GDPR Art. 6(1)(f))", "Yes / Required (Sheet 3)", "")</f>
        <v/>
      </c>
      <c r="L9995" s="7" t="n"/>
      <c r="M9995" s="7" t="n"/>
      <c r="N9995">
        <f>IF(D9995="", "Gap - No Legal Basis", IF(AND(D9995="Consent (GDPR Art. 6(1)(a))", I9995="Not Captured"), "Gap - Invalid Consent", IF(AND(D9995="Legitimate Interest (GDPR Art. 6(1)(f))", L9995=""), "Gap - Missing LIA", IF(AND(G9995="Yes", H9995=""), "Gap - Missing Art. 9 Basis", IF(OR(I9995="Invalid - Not Freely Given", I9995="Invalid - Not Specific", I9995="Invalid - Not Informed", I9995="Invalid - Ambiguous"), "Gap - Invalid Consent", "Compliant")))))</f>
        <v/>
      </c>
      <c r="O9995" s="7" t="n"/>
    </row>
    <row r="9996">
      <c r="A9996" s="7" t="n"/>
      <c r="B9996" s="7" t="n"/>
      <c r="C9996" s="7" t="n"/>
      <c r="D9996" s="7" t="n"/>
      <c r="E9996" s="7" t="n"/>
      <c r="F9996" s="7" t="n"/>
      <c r="G9996" s="7" t="n"/>
      <c r="H9996" s="7" t="n"/>
      <c r="I9996" s="7" t="n"/>
      <c r="J9996" s="7" t="n"/>
      <c r="K9996">
        <f>IF(D9996="Legitimate Interest (GDPR Art. 6(1)(f))", "Yes / Required (Sheet 3)", "")</f>
        <v/>
      </c>
      <c r="L9996" s="7" t="n"/>
      <c r="M9996" s="7" t="n"/>
      <c r="N9996">
        <f>IF(D9996="", "Gap - No Legal Basis", IF(AND(D9996="Consent (GDPR Art. 6(1)(a))", I9996="Not Captured"), "Gap - Invalid Consent", IF(AND(D9996="Legitimate Interest (GDPR Art. 6(1)(f))", L9996=""), "Gap - Missing LIA", IF(AND(G9996="Yes", H9996=""), "Gap - Missing Art. 9 Basis", IF(OR(I9996="Invalid - Not Freely Given", I9996="Invalid - Not Specific", I9996="Invalid - Not Informed", I9996="Invalid - Ambiguous"), "Gap - Invalid Consent", "Compliant")))))</f>
        <v/>
      </c>
      <c r="O9996" s="7" t="n"/>
    </row>
    <row r="9997">
      <c r="A9997" s="7" t="n"/>
      <c r="B9997" s="7" t="n"/>
      <c r="C9997" s="7" t="n"/>
      <c r="D9997" s="7" t="n"/>
      <c r="E9997" s="7" t="n"/>
      <c r="F9997" s="7" t="n"/>
      <c r="G9997" s="7" t="n"/>
      <c r="H9997" s="7" t="n"/>
      <c r="I9997" s="7" t="n"/>
      <c r="J9997" s="7" t="n"/>
      <c r="K9997">
        <f>IF(D9997="Legitimate Interest (GDPR Art. 6(1)(f))", "Yes / Required (Sheet 3)", "")</f>
        <v/>
      </c>
      <c r="L9997" s="7" t="n"/>
      <c r="M9997" s="7" t="n"/>
      <c r="N9997">
        <f>IF(D9997="", "Gap - No Legal Basis", IF(AND(D9997="Consent (GDPR Art. 6(1)(a))", I9997="Not Captured"), "Gap - Invalid Consent", IF(AND(D9997="Legitimate Interest (GDPR Art. 6(1)(f))", L9997=""), "Gap - Missing LIA", IF(AND(G9997="Yes", H9997=""), "Gap - Missing Art. 9 Basis", IF(OR(I9997="Invalid - Not Freely Given", I9997="Invalid - Not Specific", I9997="Invalid - Not Informed", I9997="Invalid - Ambiguous"), "Gap - Invalid Consent", "Compliant")))))</f>
        <v/>
      </c>
      <c r="O9997" s="7" t="n"/>
    </row>
    <row r="9998">
      <c r="A9998" s="7" t="n"/>
      <c r="B9998" s="7" t="n"/>
      <c r="C9998" s="7" t="n"/>
      <c r="D9998" s="7" t="n"/>
      <c r="E9998" s="7" t="n"/>
      <c r="F9998" s="7" t="n"/>
      <c r="G9998" s="7" t="n"/>
      <c r="H9998" s="7" t="n"/>
      <c r="I9998" s="7" t="n"/>
      <c r="J9998" s="7" t="n"/>
      <c r="K9998">
        <f>IF(D9998="Legitimate Interest (GDPR Art. 6(1)(f))", "Yes / Required (Sheet 3)", "")</f>
        <v/>
      </c>
      <c r="L9998" s="7" t="n"/>
      <c r="M9998" s="7" t="n"/>
      <c r="N9998">
        <f>IF(D9998="", "Gap - No Legal Basis", IF(AND(D9998="Consent (GDPR Art. 6(1)(a))", I9998="Not Captured"), "Gap - Invalid Consent", IF(AND(D9998="Legitimate Interest (GDPR Art. 6(1)(f))", L9998=""), "Gap - Missing LIA", IF(AND(G9998="Yes", H9998=""), "Gap - Missing Art. 9 Basis", IF(OR(I9998="Invalid - Not Freely Given", I9998="Invalid - Not Specific", I9998="Invalid - Not Informed", I9998="Invalid - Ambiguous"), "Gap - Invalid Consent", "Compliant")))))</f>
        <v/>
      </c>
      <c r="O9998" s="7" t="n"/>
    </row>
    <row r="9999">
      <c r="A9999" s="7" t="n"/>
      <c r="B9999" s="7" t="n"/>
      <c r="C9999" s="7" t="n"/>
      <c r="D9999" s="7" t="n"/>
      <c r="E9999" s="7" t="n"/>
      <c r="F9999" s="7" t="n"/>
      <c r="G9999" s="7" t="n"/>
      <c r="H9999" s="7" t="n"/>
      <c r="I9999" s="7" t="n"/>
      <c r="J9999" s="7" t="n"/>
      <c r="K9999">
        <f>IF(D9999="Legitimate Interest (GDPR Art. 6(1)(f))", "Yes / Required (Sheet 3)", "")</f>
        <v/>
      </c>
      <c r="L9999" s="7" t="n"/>
      <c r="M9999" s="7" t="n"/>
      <c r="N9999">
        <f>IF(D9999="", "Gap - No Legal Basis", IF(AND(D9999="Consent (GDPR Art. 6(1)(a))", I9999="Not Captured"), "Gap - Invalid Consent", IF(AND(D9999="Legitimate Interest (GDPR Art. 6(1)(f))", L9999=""), "Gap - Missing LIA", IF(AND(G9999="Yes", H9999=""), "Gap - Missing Art. 9 Basis", IF(OR(I9999="Invalid - Not Freely Given", I9999="Invalid - Not Specific", I9999="Invalid - Not Informed", I9999="Invalid - Ambiguous"), "Gap - Invalid Consent", "Compliant")))))</f>
        <v/>
      </c>
      <c r="O9999" s="7" t="n"/>
    </row>
    <row r="10000">
      <c r="A10000" s="7" t="n"/>
      <c r="B10000" s="7" t="n"/>
      <c r="C10000" s="7" t="n"/>
      <c r="D10000" s="7" t="n"/>
      <c r="E10000" s="7" t="n"/>
      <c r="F10000" s="7" t="n"/>
      <c r="G10000" s="7" t="n"/>
      <c r="H10000" s="7" t="n"/>
      <c r="I10000" s="7" t="n"/>
      <c r="J10000" s="7" t="n"/>
      <c r="K10000">
        <f>IF(D10000="Legitimate Interest (GDPR Art. 6(1)(f))", "Yes / Required (Sheet 3)", "")</f>
        <v/>
      </c>
      <c r="L10000" s="7" t="n"/>
      <c r="M10000" s="7" t="n"/>
      <c r="N10000">
        <f>IF(D10000="", "Gap - No Legal Basis", IF(AND(D10000="Consent (GDPR Art. 6(1)(a))", I10000="Not Captured"), "Gap - Invalid Consent", IF(AND(D10000="Legitimate Interest (GDPR Art. 6(1)(f))", L10000=""), "Gap - Missing LIA", IF(AND(G10000="Yes", H10000=""), "Gap - Missing Art. 9 Basis", IF(OR(I10000="Invalid - Not Freely Given", I10000="Invalid - Not Specific", I10000="Invalid - Not Informed", I10000="Invalid - Ambiguous"), "Gap - Invalid Consent", "Compliant")))))</f>
        <v/>
      </c>
      <c r="O10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N2:N10000">
    <cfRule type="cellIs" priority="1" operator="equal" dxfId="0">
      <formula>"Compliant"</formula>
    </cfRule>
    <cfRule type="cellIs" priority="2" operator="equal" dxfId="1">
      <formula>"Requires Review"</formula>
    </cfRule>
    <cfRule type="cellIs" priority="3" operator="beginsWith" dxfId="2">
      <formula>"Gap"</formula>
    </cfRule>
  </conditionalFormatting>
  <conditionalFormatting sqref="G2:G10000">
    <cfRule type="cellIs" priority="4" operator="equal" dxfId="3">
      <formula>"Yes"</formula>
    </cfRule>
  </conditionalFormatting>
  <conditionalFormatting sqref="D2:D10000">
    <cfRule type="expression" priority="5" dxfId="2">
      <formula>D2=""</formula>
    </cfRule>
  </conditionalFormatting>
  <conditionalFormatting sqref="I2:I10000">
    <cfRule type="cellIs" priority="6" operator="containsText" dxfId="2">
      <formula>"Invalid"</formula>
    </cfRule>
  </conditionalFormatting>
  <dataValidations count="6">
    <dataValidation sqref="D2:D10000" showDropDown="0" showInputMessage="0" showErrorMessage="1" allowBlank="0" errorTitle="Invalid Legal Basis" error="Please select legal basis from dropdown list" type="list">
      <formula1>"Consent (GDPR Art. 6(1)(a)),Contract (GDPR Art. 6(1)(b)),Legal Obligation (GDPR Art. 6(1)(c)),Vital Interests (GDPR Art. 6(1)(d)),Public Task (GDPR Art. 6(1)(e)),Legitimate Interest (GDPR Art. 6(1)(f))"</formula1>
    </dataValidation>
    <dataValidation sqref="F2:F10000" showDropDown="0" showInputMessage="0" showErrorMessage="1" allowBlank="0" errorTitle="Invalid Channel" error="Please select data subject information channel" type="list">
      <formula1>"Privacy Notice (Website),Privacy Notice (Contract),Consent Form,Employee Handbook,Terms of Service,Not Communicated"</formula1>
    </dataValidation>
    <dataValidation sqref="G2:G10000" showDropDown="0" showInputMessage="0" showErrorMessage="1" allowBlank="0" errorTitle="Invalid Input" error="Select Yes or No" type="list">
      <formula1>"Yes,No"</formula1>
    </dataValidation>
    <dataValidation sqref="H2:H10000" showDropDown="0" showInputMessage="0" showErrorMessage="1" allowBlank="1" errorTitle="Invalid Art. 9 Basis" error="Please select Art. 9 legal basis if special category data = Yes" type="list">
      <formula1>"Explicit Consent (Art. 9(2)(a)),Employment Law (Art. 9(2)(b)),Vital Interests (Art. 9(2)(c)),Legitimate Activities (Art. 9(2)(d)),Public Data (Art. 9(2)(e)),Legal Claims (Art. 9(2)(f)),Substantial Public Interest (Art. 9(2)(g)),Healthcare (Art. 9(2)(h)),Public Health (Art. 9(2)(i)),Archiving/Research (Art. 9(2)(j))"</formula1>
    </dataValidation>
    <dataValidation sqref="I2:I10000" showDropDown="0" showInputMessage="0" showErrorMessage="1" allowBlank="1" errorTitle="Invalid Consent Status" error="Select consent status from dropdown" type="list">
      <formula1>"Valid,Invalid - Not Freely Given,Invalid - Not Specific,Invalid - Not Informed,Invalid - Ambiguous,Not Captured"</formula1>
    </dataValidation>
    <dataValidation sqref="J2:J10000" showDropDown="0" showInputMessage="0" showErrorMessage="1" allowBlank="1" errorTitle="Invalid Mechanism" error="Select consent mechanism from dropdown" type="list">
      <formula1>"Website Form (Opt-In Checkbox),Double Opt-In (Email Confirmation),Written Signature,Verbal Consent (Recorded),Implied Consent,Not Documented"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20" customWidth="1" min="5" max="5"/>
    <col width="50" customWidth="1" min="6" max="6"/>
    <col width="50" customWidth="1" min="7" max="7"/>
    <col width="20" customWidth="1" min="8" max="8"/>
    <col width="50" customWidth="1" min="9" max="9"/>
    <col width="20" customWidth="1" min="10" max="10"/>
    <col width="20" customWidth="1" min="11" max="11"/>
    <col width="50" customWidth="1" min="12" max="12"/>
    <col width="30" customWidth="1" min="13" max="13"/>
    <col width="25" customWidth="1" min="14" max="14"/>
    <col width="15" customWidth="1" min="15" max="15"/>
    <col width="15" customWidth="1" min="16" max="16"/>
    <col width="15" customWidth="1" min="17" max="17"/>
  </cols>
  <sheetData>
    <row r="1">
      <c r="A1" s="6" t="inlineStr">
        <is>
          <t>LIA ID</t>
        </is>
      </c>
      <c r="B1" s="6" t="inlineStr">
        <is>
          <t>Activity ID
(from Sheet 2)</t>
        </is>
      </c>
      <c r="C1" s="6" t="inlineStr">
        <is>
          <t>Legitimate Interest</t>
        </is>
      </c>
      <c r="D1" s="6" t="inlineStr">
        <is>
          <t>Beneficiary</t>
        </is>
      </c>
      <c r="E1" s="6" t="inlineStr">
        <is>
          <t>Legitimacy Assessment</t>
        </is>
      </c>
      <c r="F1" s="6" t="inlineStr">
        <is>
          <t>Necessity Assessment</t>
        </is>
      </c>
      <c r="G1" s="6" t="inlineStr">
        <is>
          <t>Alternative Methods Considered</t>
        </is>
      </c>
      <c r="H1" s="6" t="inlineStr">
        <is>
          <t>Necessity Conclusion</t>
        </is>
      </c>
      <c r="I1" s="6" t="inlineStr">
        <is>
          <t>Data Subject's Interests</t>
        </is>
      </c>
      <c r="J1" s="6" t="inlineStr">
        <is>
          <t>Data Subject Expectations</t>
        </is>
      </c>
      <c r="K1" s="6" t="inlineStr">
        <is>
          <t>Impact Assessment</t>
        </is>
      </c>
      <c r="L1" s="6" t="inlineStr">
        <is>
          <t>Safeguards Implemented</t>
        </is>
      </c>
      <c r="M1" s="6" t="inlineStr">
        <is>
          <t>Balancing Test Result</t>
        </is>
      </c>
      <c r="N1" s="6" t="inlineStr">
        <is>
          <t>Assessor Name</t>
        </is>
      </c>
      <c r="O1" s="6" t="inlineStr">
        <is>
          <t>Assessment Date</t>
        </is>
      </c>
      <c r="P1" s="6" t="inlineStr">
        <is>
          <t>DPO Approval</t>
        </is>
      </c>
      <c r="Q1" s="6" t="inlineStr">
        <is>
          <t>Approval Date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>
        <f>IF(AND(E2="Legitimate", H2="Necessary", K2="Minimal Impact"), "Pass - Legitimate Interest Prevails", IF(AND(E2="Legitimate", H2="Necessary", OR(K2="Limited Impact", K2="Significant Impact"), L2&lt;&gt;""), "Pass with Conditions", IF(OR(E2="Not Legitimate", H2="Not Necessary", K2="High Impact"), "Fail - Data Subject''s Rights Prevail", "Pass with Conditions")))</f>
        <v/>
      </c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>
        <f>IF(AND(E3="Legitimate", H3="Necessary", K3="Minimal Impact"), "Pass - Legitimate Interest Prevails", IF(AND(E3="Legitimate", H3="Necessary", OR(K3="Limited Impact", K3="Significant Impact"), L3&lt;&gt;""), "Pass with Conditions", IF(OR(E3="Not Legitimate", H3="Not Necessary", K3="High Impact"), "Fail - Data Subject''s Rights Prevail", "Pass with Conditions")))</f>
        <v/>
      </c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>
        <f>IF(AND(E4="Legitimate", H4="Necessary", K4="Minimal Impact"), "Pass - Legitimate Interest Prevails", IF(AND(E4="Legitimate", H4="Necessary", OR(K4="Limited Impact", K4="Significant Impact"), L4&lt;&gt;""), "Pass with Conditions", IF(OR(E4="Not Legitimate", H4="Not Necessary", K4="High Impact"), "Fail - Data Subject''s Rights Prevail", "Pass with Conditions")))</f>
        <v/>
      </c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>
        <f>IF(AND(E5="Legitimate", H5="Necessary", K5="Minimal Impact"), "Pass - Legitimate Interest Prevails", IF(AND(E5="Legitimate", H5="Necessary", OR(K5="Limited Impact", K5="Significant Impact"), L5&lt;&gt;""), "Pass with Conditions", IF(OR(E5="Not Legitimate", H5="Not Necessary", K5="High Impact"), "Fail - Data Subject''s Rights Prevail", "Pass with Conditions")))</f>
        <v/>
      </c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>
        <f>IF(AND(E6="Legitimate", H6="Necessary", K6="Minimal Impact"), "Pass - Legitimate Interest Prevails", IF(AND(E6="Legitimate", H6="Necessary", OR(K6="Limited Impact", K6="Significant Impact"), L6&lt;&gt;""), "Pass with Conditions", IF(OR(E6="Not Legitimate", H6="Not Necessary", K6="High Impact"), "Fail - Data Subject''s Rights Prevail", "Pass with Conditions")))</f>
        <v/>
      </c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>
        <f>IF(AND(E7="Legitimate", H7="Necessary", K7="Minimal Impact"), "Pass - Legitimate Interest Prevails", IF(AND(E7="Legitimate", H7="Necessary", OR(K7="Limited Impact", K7="Significant Impact"), L7&lt;&gt;""), "Pass with Conditions", IF(OR(E7="Not Legitimate", H7="Not Necessary", K7="High Impact"), "Fail - Data Subject''s Rights Prevail", "Pass with Conditions")))</f>
        <v/>
      </c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>
        <f>IF(AND(E8="Legitimate", H8="Necessary", K8="Minimal Impact"), "Pass - Legitimate Interest Prevails", IF(AND(E8="Legitimate", H8="Necessary", OR(K8="Limited Impact", K8="Significant Impact"), L8&lt;&gt;""), "Pass with Conditions", IF(OR(E8="Not Legitimate", H8="Not Necessary", K8="High Impact"), "Fail - Data Subject''s Rights Prevail", "Pass with Conditions")))</f>
        <v/>
      </c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>
        <f>IF(AND(E9="Legitimate", H9="Necessary", K9="Minimal Impact"), "Pass - Legitimate Interest Prevails", IF(AND(E9="Legitimate", H9="Necessary", OR(K9="Limited Impact", K9="Significant Impact"), L9&lt;&gt;""), "Pass with Conditions", IF(OR(E9="Not Legitimate", H9="Not Necessary", K9="High Impact"), "Fail - Data Subject''s Rights Prevail", "Pass with Conditions")))</f>
        <v/>
      </c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>
        <f>IF(AND(E10="Legitimate", H10="Necessary", K10="Minimal Impact"), "Pass - Legitimate Interest Prevails", IF(AND(E10="Legitimate", H10="Necessary", OR(K10="Limited Impact", K10="Significant Impact"), L10&lt;&gt;""), "Pass with Conditions", IF(OR(E10="Not Legitimate", H10="Not Necessary", K10="High Impact"), "Fail - Data Subject''s Rights Prevail", "Pass with Conditions")))</f>
        <v/>
      </c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>
        <f>IF(AND(E11="Legitimate", H11="Necessary", K11="Minimal Impact"), "Pass - Legitimate Interest Prevails", IF(AND(E11="Legitimate", H11="Necessary", OR(K11="Limited Impact", K11="Significant Impact"), L11&lt;&gt;""), "Pass with Conditions", IF(OR(E11="Not Legitimate", H11="Not Necessary", K11="High Impact"), "Fail - Data Subject''s Rights Prevail", "Pass with Conditions")))</f>
        <v/>
      </c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>
        <f>IF(AND(E12="Legitimate", H12="Necessary", K12="Minimal Impact"), "Pass - Legitimate Interest Prevails", IF(AND(E12="Legitimate", H12="Necessary", OR(K12="Limited Impact", K12="Significant Impact"), L12&lt;&gt;""), "Pass with Conditions", IF(OR(E12="Not Legitimate", H12="Not Necessary", K12="High Impact"), "Fail - Data Subject''s Rights Prevail", "Pass with Conditions")))</f>
        <v/>
      </c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>
        <f>IF(AND(E13="Legitimate", H13="Necessary", K13="Minimal Impact"), "Pass - Legitimate Interest Prevails", IF(AND(E13="Legitimate", H13="Necessary", OR(K13="Limited Impact", K13="Significant Impact"), L13&lt;&gt;""), "Pass with Conditions", IF(OR(E13="Not Legitimate", H13="Not Necessary", K13="High Impact"), "Fail - Data Subject''s Rights Prevail", "Pass with Conditions")))</f>
        <v/>
      </c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>
        <f>IF(AND(E14="Legitimate", H14="Necessary", K14="Minimal Impact"), "Pass - Legitimate Interest Prevails", IF(AND(E14="Legitimate", H14="Necessary", OR(K14="Limited Impact", K14="Significant Impact"), L14&lt;&gt;""), "Pass with Conditions", IF(OR(E14="Not Legitimate", H14="Not Necessary", K14="High Impact"), "Fail - Data Subject''s Rights Prevail", "Pass with Conditions")))</f>
        <v/>
      </c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>
        <f>IF(AND(E15="Legitimate", H15="Necessary", K15="Minimal Impact"), "Pass - Legitimate Interest Prevails", IF(AND(E15="Legitimate", H15="Necessary", OR(K15="Limited Impact", K15="Significant Impact"), L15&lt;&gt;""), "Pass with Conditions", IF(OR(E15="Not Legitimate", H15="Not Necessary", K15="High Impact"), "Fail - Data Subject''s Rights Prevail", "Pass with Conditions")))</f>
        <v/>
      </c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>
        <f>IF(AND(E16="Legitimate", H16="Necessary", K16="Minimal Impact"), "Pass - Legitimate Interest Prevails", IF(AND(E16="Legitimate", H16="Necessary", OR(K16="Limited Impact", K16="Significant Impact"), L16&lt;&gt;""), "Pass with Conditions", IF(OR(E16="Not Legitimate", H16="Not Necessary", K16="High Impact"), "Fail - Data Subject''s Rights Prevail", "Pass with Conditions")))</f>
        <v/>
      </c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>
        <f>IF(AND(E17="Legitimate", H17="Necessary", K17="Minimal Impact"), "Pass - Legitimate Interest Prevails", IF(AND(E17="Legitimate", H17="Necessary", OR(K17="Limited Impact", K17="Significant Impact"), L17&lt;&gt;""), "Pass with Conditions", IF(OR(E17="Not Legitimate", H17="Not Necessary", K17="High Impact"), "Fail - Data Subject''s Rights Prevail", "Pass with Conditions")))</f>
        <v/>
      </c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>
        <f>IF(AND(E18="Legitimate", H18="Necessary", K18="Minimal Impact"), "Pass - Legitimate Interest Prevails", IF(AND(E18="Legitimate", H18="Necessary", OR(K18="Limited Impact", K18="Significant Impact"), L18&lt;&gt;""), "Pass with Conditions", IF(OR(E18="Not Legitimate", H18="Not Necessary", K18="High Impact"), "Fail - Data Subject''s Rights Prevail", "Pass with Conditions")))</f>
        <v/>
      </c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>
        <f>IF(AND(E19="Legitimate", H19="Necessary", K19="Minimal Impact"), "Pass - Legitimate Interest Prevails", IF(AND(E19="Legitimate", H19="Necessary", OR(K19="Limited Impact", K19="Significant Impact"), L19&lt;&gt;""), "Pass with Conditions", IF(OR(E19="Not Legitimate", H19="Not Necessary", K19="High Impact"), "Fail - Data Subject''s Rights Prevail", "Pass with Conditions")))</f>
        <v/>
      </c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>
        <f>IF(AND(E20="Legitimate", H20="Necessary", K20="Minimal Impact"), "Pass - Legitimate Interest Prevails", IF(AND(E20="Legitimate", H20="Necessary", OR(K20="Limited Impact", K20="Significant Impact"), L20&lt;&gt;""), "Pass with Conditions", IF(OR(E20="Not Legitimate", H20="Not Necessary", K20="High Impact"), "Fail - Data Subject''s Rights Prevail", "Pass with Conditions")))</f>
        <v/>
      </c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>
        <f>IF(AND(E21="Legitimate", H21="Necessary", K21="Minimal Impact"), "Pass - Legitimate Interest Prevails", IF(AND(E21="Legitimate", H21="Necessary", OR(K21="Limited Impact", K21="Significant Impact"), L21&lt;&gt;""), "Pass with Conditions", IF(OR(E21="Not Legitimate", H21="Not Necessary", K21="High Impact"), "Fail - Data Subject''s Rights Prevail", "Pass with Conditions")))</f>
        <v/>
      </c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>
        <f>IF(AND(E22="Legitimate", H22="Necessary", K22="Minimal Impact"), "Pass - Legitimate Interest Prevails", IF(AND(E22="Legitimate", H22="Necessary", OR(K22="Limited Impact", K22="Significant Impact"), L22&lt;&gt;""), "Pass with Conditions", IF(OR(E22="Not Legitimate", H22="Not Necessary", K22="High Impact"), "Fail - Data Subject''s Rights Prevail", "Pass with Conditions")))</f>
        <v/>
      </c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>
        <f>IF(AND(E23="Legitimate", H23="Necessary", K23="Minimal Impact"), "Pass - Legitimate Interest Prevails", IF(AND(E23="Legitimate", H23="Necessary", OR(K23="Limited Impact", K23="Significant Impact"), L23&lt;&gt;""), "Pass with Conditions", IF(OR(E23="Not Legitimate", H23="Not Necessary", K23="High Impact"), "Fail - Data Subject''s Rights Prevail", "Pass with Conditions")))</f>
        <v/>
      </c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>
        <f>IF(AND(E24="Legitimate", H24="Necessary", K24="Minimal Impact"), "Pass - Legitimate Interest Prevails", IF(AND(E24="Legitimate", H24="Necessary", OR(K24="Limited Impact", K24="Significant Impact"), L24&lt;&gt;""), "Pass with Conditions", IF(OR(E24="Not Legitimate", H24="Not Necessary", K24="High Impact"), "Fail - Data Subject''s Rights Prevail", "Pass with Conditions")))</f>
        <v/>
      </c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>
        <f>IF(AND(E25="Legitimate", H25="Necessary", K25="Minimal Impact"), "Pass - Legitimate Interest Prevails", IF(AND(E25="Legitimate", H25="Necessary", OR(K25="Limited Impact", K25="Significant Impact"), L25&lt;&gt;""), "Pass with Conditions", IF(OR(E25="Not Legitimate", H25="Not Necessary", K25="High Impact"), "Fail - Data Subject''s Rights Prevail", "Pass with Conditions")))</f>
        <v/>
      </c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>
        <f>IF(AND(E26="Legitimate", H26="Necessary", K26="Minimal Impact"), "Pass - Legitimate Interest Prevails", IF(AND(E26="Legitimate", H26="Necessary", OR(K26="Limited Impact", K26="Significant Impact"), L26&lt;&gt;""), "Pass with Conditions", IF(OR(E26="Not Legitimate", H26="Not Necessary", K26="High Impact"), "Fail - Data Subject''s Rights Prevail", "Pass with Conditions")))</f>
        <v/>
      </c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>
        <f>IF(AND(E27="Legitimate", H27="Necessary", K27="Minimal Impact"), "Pass - Legitimate Interest Prevails", IF(AND(E27="Legitimate", H27="Necessary", OR(K27="Limited Impact", K27="Significant Impact"), L27&lt;&gt;""), "Pass with Conditions", IF(OR(E27="Not Legitimate", H27="Not Necessary", K27="High Impact"), "Fail - Data Subject''s Rights Prevail", "Pass with Conditions")))</f>
        <v/>
      </c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>
        <f>IF(AND(E28="Legitimate", H28="Necessary", K28="Minimal Impact"), "Pass - Legitimate Interest Prevails", IF(AND(E28="Legitimate", H28="Necessary", OR(K28="Limited Impact", K28="Significant Impact"), L28&lt;&gt;""), "Pass with Conditions", IF(OR(E28="Not Legitimate", H28="Not Necessary", K28="High Impact"), "Fail - Data Subject''s Rights Prevail", "Pass with Conditions")))</f>
        <v/>
      </c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>
        <f>IF(AND(E29="Legitimate", H29="Necessary", K29="Minimal Impact"), "Pass - Legitimate Interest Prevails", IF(AND(E29="Legitimate", H29="Necessary", OR(K29="Limited Impact", K29="Significant Impact"), L29&lt;&gt;""), "Pass with Conditions", IF(OR(E29="Not Legitimate", H29="Not Necessary", K29="High Impact"), "Fail - Data Subject''s Rights Prevail", "Pass with Conditions")))</f>
        <v/>
      </c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>
        <f>IF(AND(E30="Legitimate", H30="Necessary", K30="Minimal Impact"), "Pass - Legitimate Interest Prevails", IF(AND(E30="Legitimate", H30="Necessary", OR(K30="Limited Impact", K30="Significant Impact"), L30&lt;&gt;""), "Pass with Conditions", IF(OR(E30="Not Legitimate", H30="Not Necessary", K30="High Impact"), "Fail - Data Subject''s Rights Prevail", "Pass with Conditions")))</f>
        <v/>
      </c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>
        <f>IF(AND(E31="Legitimate", H31="Necessary", K31="Minimal Impact"), "Pass - Legitimate Interest Prevails", IF(AND(E31="Legitimate", H31="Necessary", OR(K31="Limited Impact", K31="Significant Impact"), L31&lt;&gt;""), "Pass with Conditions", IF(OR(E31="Not Legitimate", H31="Not Necessary", K31="High Impact"), "Fail - Data Subject''s Rights Prevail", "Pass with Conditions")))</f>
        <v/>
      </c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>
        <f>IF(AND(E32="Legitimate", H32="Necessary", K32="Minimal Impact"), "Pass - Legitimate Interest Prevails", IF(AND(E32="Legitimate", H32="Necessary", OR(K32="Limited Impact", K32="Significant Impact"), L32&lt;&gt;""), "Pass with Conditions", IF(OR(E32="Not Legitimate", H32="Not Necessary", K32="High Impact"), "Fail - Data Subject''s Rights Prevail", "Pass with Conditions")))</f>
        <v/>
      </c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>
        <f>IF(AND(E33="Legitimate", H33="Necessary", K33="Minimal Impact"), "Pass - Legitimate Interest Prevails", IF(AND(E33="Legitimate", H33="Necessary", OR(K33="Limited Impact", K33="Significant Impact"), L33&lt;&gt;""), "Pass with Conditions", IF(OR(E33="Not Legitimate", H33="Not Necessary", K33="High Impact"), "Fail - Data Subject''s Rights Prevail", "Pass with Conditions")))</f>
        <v/>
      </c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>
        <f>IF(AND(E34="Legitimate", H34="Necessary", K34="Minimal Impact"), "Pass - Legitimate Interest Prevails", IF(AND(E34="Legitimate", H34="Necessary", OR(K34="Limited Impact", K34="Significant Impact"), L34&lt;&gt;""), "Pass with Conditions", IF(OR(E34="Not Legitimate", H34="Not Necessary", K34="High Impact"), "Fail - Data Subject''s Rights Prevail", "Pass with Conditions")))</f>
        <v/>
      </c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>
        <f>IF(AND(E35="Legitimate", H35="Necessary", K35="Minimal Impact"), "Pass - Legitimate Interest Prevails", IF(AND(E35="Legitimate", H35="Necessary", OR(K35="Limited Impact", K35="Significant Impact"), L35&lt;&gt;""), "Pass with Conditions", IF(OR(E35="Not Legitimate", H35="Not Necessary", K35="High Impact"), "Fail - Data Subject''s Rights Prevail", "Pass with Conditions")))</f>
        <v/>
      </c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>
        <f>IF(AND(E36="Legitimate", H36="Necessary", K36="Minimal Impact"), "Pass - Legitimate Interest Prevails", IF(AND(E36="Legitimate", H36="Necessary", OR(K36="Limited Impact", K36="Significant Impact"), L36&lt;&gt;""), "Pass with Conditions", IF(OR(E36="Not Legitimate", H36="Not Necessary", K36="High Impact"), "Fail - Data Subject''s Rights Prevail", "Pass with Conditions")))</f>
        <v/>
      </c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>
        <f>IF(AND(E37="Legitimate", H37="Necessary", K37="Minimal Impact"), "Pass - Legitimate Interest Prevails", IF(AND(E37="Legitimate", H37="Necessary", OR(K37="Limited Impact", K37="Significant Impact"), L37&lt;&gt;""), "Pass with Conditions", IF(OR(E37="Not Legitimate", H37="Not Necessary", K37="High Impact"), "Fail - Data Subject''s Rights Prevail", "Pass with Conditions")))</f>
        <v/>
      </c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>
        <f>IF(AND(E38="Legitimate", H38="Necessary", K38="Minimal Impact"), "Pass - Legitimate Interest Prevails", IF(AND(E38="Legitimate", H38="Necessary", OR(K38="Limited Impact", K38="Significant Impact"), L38&lt;&gt;""), "Pass with Conditions", IF(OR(E38="Not Legitimate", H38="Not Necessary", K38="High Impact"), "Fail - Data Subject''s Rights Prevail", "Pass with Conditions")))</f>
        <v/>
      </c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>
        <f>IF(AND(E39="Legitimate", H39="Necessary", K39="Minimal Impact"), "Pass - Legitimate Interest Prevails", IF(AND(E39="Legitimate", H39="Necessary", OR(K39="Limited Impact", K39="Significant Impact"), L39&lt;&gt;""), "Pass with Conditions", IF(OR(E39="Not Legitimate", H39="Not Necessary", K39="High Impact"), "Fail - Data Subject''s Rights Prevail", "Pass with Conditions")))</f>
        <v/>
      </c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>
        <f>IF(AND(E40="Legitimate", H40="Necessary", K40="Minimal Impact"), "Pass - Legitimate Interest Prevails", IF(AND(E40="Legitimate", H40="Necessary", OR(K40="Limited Impact", K40="Significant Impact"), L40&lt;&gt;""), "Pass with Conditions", IF(OR(E40="Not Legitimate", H40="Not Necessary", K40="High Impact"), "Fail - Data Subject''s Rights Prevail", "Pass with Conditions")))</f>
        <v/>
      </c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>
        <f>IF(AND(E41="Legitimate", H41="Necessary", K41="Minimal Impact"), "Pass - Legitimate Interest Prevails", IF(AND(E41="Legitimate", H41="Necessary", OR(K41="Limited Impact", K41="Significant Impact"), L41&lt;&gt;""), "Pass with Conditions", IF(OR(E41="Not Legitimate", H41="Not Necessary", K41="High Impact"), "Fail - Data Subject''s Rights Prevail", "Pass with Conditions")))</f>
        <v/>
      </c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>
        <f>IF(AND(E42="Legitimate", H42="Necessary", K42="Minimal Impact"), "Pass - Legitimate Interest Prevails", IF(AND(E42="Legitimate", H42="Necessary", OR(K42="Limited Impact", K42="Significant Impact"), L42&lt;&gt;""), "Pass with Conditions", IF(OR(E42="Not Legitimate", H42="Not Necessary", K42="High Impact"), "Fail - Data Subject''s Rights Prevail", "Pass with Conditions")))</f>
        <v/>
      </c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>
        <f>IF(AND(E43="Legitimate", H43="Necessary", K43="Minimal Impact"), "Pass - Legitimate Interest Prevails", IF(AND(E43="Legitimate", H43="Necessary", OR(K43="Limited Impact", K43="Significant Impact"), L43&lt;&gt;""), "Pass with Conditions", IF(OR(E43="Not Legitimate", H43="Not Necessary", K43="High Impact"), "Fail - Data Subject''s Rights Prevail", "Pass with Conditions")))</f>
        <v/>
      </c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>
        <f>IF(AND(E44="Legitimate", H44="Necessary", K44="Minimal Impact"), "Pass - Legitimate Interest Prevails", IF(AND(E44="Legitimate", H44="Necessary", OR(K44="Limited Impact", K44="Significant Impact"), L44&lt;&gt;""), "Pass with Conditions", IF(OR(E44="Not Legitimate", H44="Not Necessary", K44="High Impact"), "Fail - Data Subject''s Rights Prevail", "Pass with Conditions")))</f>
        <v/>
      </c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>
        <f>IF(AND(E45="Legitimate", H45="Necessary", K45="Minimal Impact"), "Pass - Legitimate Interest Prevails", IF(AND(E45="Legitimate", H45="Necessary", OR(K45="Limited Impact", K45="Significant Impact"), L45&lt;&gt;""), "Pass with Conditions", IF(OR(E45="Not Legitimate", H45="Not Necessary", K45="High Impact"), "Fail - Data Subject''s Rights Prevail", "Pass with Conditions")))</f>
        <v/>
      </c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>
        <f>IF(AND(E46="Legitimate", H46="Necessary", K46="Minimal Impact"), "Pass - Legitimate Interest Prevails", IF(AND(E46="Legitimate", H46="Necessary", OR(K46="Limited Impact", K46="Significant Impact"), L46&lt;&gt;""), "Pass with Conditions", IF(OR(E46="Not Legitimate", H46="Not Necessary", K46="High Impact"), "Fail - Data Subject''s Rights Prevail", "Pass with Conditions")))</f>
        <v/>
      </c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>
        <f>IF(AND(E47="Legitimate", H47="Necessary", K47="Minimal Impact"), "Pass - Legitimate Interest Prevails", IF(AND(E47="Legitimate", H47="Necessary", OR(K47="Limited Impact", K47="Significant Impact"), L47&lt;&gt;""), "Pass with Conditions", IF(OR(E47="Not Legitimate", H47="Not Necessary", K47="High Impact"), "Fail - Data Subject''s Rights Prevail", "Pass with Conditions")))</f>
        <v/>
      </c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>
        <f>IF(AND(E48="Legitimate", H48="Necessary", K48="Minimal Impact"), "Pass - Legitimate Interest Prevails", IF(AND(E48="Legitimate", H48="Necessary", OR(K48="Limited Impact", K48="Significant Impact"), L48&lt;&gt;""), "Pass with Conditions", IF(OR(E48="Not Legitimate", H48="Not Necessary", K48="High Impact"), "Fail - Data Subject''s Rights Prevail", "Pass with Conditions")))</f>
        <v/>
      </c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>
        <f>IF(AND(E49="Legitimate", H49="Necessary", K49="Minimal Impact"), "Pass - Legitimate Interest Prevails", IF(AND(E49="Legitimate", H49="Necessary", OR(K49="Limited Impact", K49="Significant Impact"), L49&lt;&gt;""), "Pass with Conditions", IF(OR(E49="Not Legitimate", H49="Not Necessary", K49="High Impact"), "Fail - Data Subject''s Rights Prevail", "Pass with Conditions")))</f>
        <v/>
      </c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>
        <f>IF(AND(E50="Legitimate", H50="Necessary", K50="Minimal Impact"), "Pass - Legitimate Interest Prevails", IF(AND(E50="Legitimate", H50="Necessary", OR(K50="Limited Impact", K50="Significant Impact"), L50&lt;&gt;""), "Pass with Conditions", IF(OR(E50="Not Legitimate", H50="Not Necessary", K50="High Impact"), "Fail - Data Subject''s Rights Prevail", "Pass with Conditions")))</f>
        <v/>
      </c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>
        <f>IF(AND(E51="Legitimate", H51="Necessary", K51="Minimal Impact"), "Pass - Legitimate Interest Prevails", IF(AND(E51="Legitimate", H51="Necessary", OR(K51="Limited Impact", K51="Significant Impact"), L51&lt;&gt;""), "Pass with Conditions", IF(OR(E51="Not Legitimate", H51="Not Necessary", K51="High Impact"), "Fail - Data Subject''s Rights Prevail", "Pass with Conditions")))</f>
        <v/>
      </c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>
        <f>IF(AND(E52="Legitimate", H52="Necessary", K52="Minimal Impact"), "Pass - Legitimate Interest Prevails", IF(AND(E52="Legitimate", H52="Necessary", OR(K52="Limited Impact", K52="Significant Impact"), L52&lt;&gt;""), "Pass with Conditions", IF(OR(E52="Not Legitimate", H52="Not Necessary", K52="High Impact"), "Fail - Data Subject''s Rights Prevail", "Pass with Conditions")))</f>
        <v/>
      </c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>
        <f>IF(AND(E53="Legitimate", H53="Necessary", K53="Minimal Impact"), "Pass - Legitimate Interest Prevails", IF(AND(E53="Legitimate", H53="Necessary", OR(K53="Limited Impact", K53="Significant Impact"), L53&lt;&gt;""), "Pass with Conditions", IF(OR(E53="Not Legitimate", H53="Not Necessary", K53="High Impact"), "Fail - Data Subject''s Rights Prevail", "Pass with Conditions")))</f>
        <v/>
      </c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>
        <f>IF(AND(E54="Legitimate", H54="Necessary", K54="Minimal Impact"), "Pass - Legitimate Interest Prevails", IF(AND(E54="Legitimate", H54="Necessary", OR(K54="Limited Impact", K54="Significant Impact"), L54&lt;&gt;""), "Pass with Conditions", IF(OR(E54="Not Legitimate", H54="Not Necessary", K54="High Impact"), "Fail - Data Subject''s Rights Prevail", "Pass with Conditions")))</f>
        <v/>
      </c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>
        <f>IF(AND(E55="Legitimate", H55="Necessary", K55="Minimal Impact"), "Pass - Legitimate Interest Prevails", IF(AND(E55="Legitimate", H55="Necessary", OR(K55="Limited Impact", K55="Significant Impact"), L55&lt;&gt;""), "Pass with Conditions", IF(OR(E55="Not Legitimate", H55="Not Necessary", K55="High Impact"), "Fail - Data Subject''s Rights Prevail", "Pass with Conditions")))</f>
        <v/>
      </c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>
        <f>IF(AND(E56="Legitimate", H56="Necessary", K56="Minimal Impact"), "Pass - Legitimate Interest Prevails", IF(AND(E56="Legitimate", H56="Necessary", OR(K56="Limited Impact", K56="Significant Impact"), L56&lt;&gt;""), "Pass with Conditions", IF(OR(E56="Not Legitimate", H56="Not Necessary", K56="High Impact"), "Fail - Data Subject''s Rights Prevail", "Pass with Conditions")))</f>
        <v/>
      </c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>
        <f>IF(AND(E57="Legitimate", H57="Necessary", K57="Minimal Impact"), "Pass - Legitimate Interest Prevails", IF(AND(E57="Legitimate", H57="Necessary", OR(K57="Limited Impact", K57="Significant Impact"), L57&lt;&gt;""), "Pass with Conditions", IF(OR(E57="Not Legitimate", H57="Not Necessary", K57="High Impact"), "Fail - Data Subject''s Rights Prevail", "Pass with Conditions")))</f>
        <v/>
      </c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>
        <f>IF(AND(E58="Legitimate", H58="Necessary", K58="Minimal Impact"), "Pass - Legitimate Interest Prevails", IF(AND(E58="Legitimate", H58="Necessary", OR(K58="Limited Impact", K58="Significant Impact"), L58&lt;&gt;""), "Pass with Conditions", IF(OR(E58="Not Legitimate", H58="Not Necessary", K58="High Impact"), "Fail - Data Subject''s Rights Prevail", "Pass with Conditions")))</f>
        <v/>
      </c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>
        <f>IF(AND(E59="Legitimate", H59="Necessary", K59="Minimal Impact"), "Pass - Legitimate Interest Prevails", IF(AND(E59="Legitimate", H59="Necessary", OR(K59="Limited Impact", K59="Significant Impact"), L59&lt;&gt;""), "Pass with Conditions", IF(OR(E59="Not Legitimate", H59="Not Necessary", K59="High Impact"), "Fail - Data Subject''s Rights Prevail", "Pass with Conditions")))</f>
        <v/>
      </c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>
        <f>IF(AND(E60="Legitimate", H60="Necessary", K60="Minimal Impact"), "Pass - Legitimate Interest Prevails", IF(AND(E60="Legitimate", H60="Necessary", OR(K60="Limited Impact", K60="Significant Impact"), L60&lt;&gt;""), "Pass with Conditions", IF(OR(E60="Not Legitimate", H60="Not Necessary", K60="High Impact"), "Fail - Data Subject''s Rights Prevail", "Pass with Conditions")))</f>
        <v/>
      </c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>
        <f>IF(AND(E61="Legitimate", H61="Necessary", K61="Minimal Impact"), "Pass - Legitimate Interest Prevails", IF(AND(E61="Legitimate", H61="Necessary", OR(K61="Limited Impact", K61="Significant Impact"), L61&lt;&gt;""), "Pass with Conditions", IF(OR(E61="Not Legitimate", H61="Not Necessary", K61="High Impact"), "Fail - Data Subject''s Rights Prevail", "Pass with Conditions")))</f>
        <v/>
      </c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>
        <f>IF(AND(E62="Legitimate", H62="Necessary", K62="Minimal Impact"), "Pass - Legitimate Interest Prevails", IF(AND(E62="Legitimate", H62="Necessary", OR(K62="Limited Impact", K62="Significant Impact"), L62&lt;&gt;""), "Pass with Conditions", IF(OR(E62="Not Legitimate", H62="Not Necessary", K62="High Impact"), "Fail - Data Subject''s Rights Prevail", "Pass with Conditions")))</f>
        <v/>
      </c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>
        <f>IF(AND(E63="Legitimate", H63="Necessary", K63="Minimal Impact"), "Pass - Legitimate Interest Prevails", IF(AND(E63="Legitimate", H63="Necessary", OR(K63="Limited Impact", K63="Significant Impact"), L63&lt;&gt;""), "Pass with Conditions", IF(OR(E63="Not Legitimate", H63="Not Necessary", K63="High Impact"), "Fail - Data Subject''s Rights Prevail", "Pass with Conditions")))</f>
        <v/>
      </c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>
        <f>IF(AND(E64="Legitimate", H64="Necessary", K64="Minimal Impact"), "Pass - Legitimate Interest Prevails", IF(AND(E64="Legitimate", H64="Necessary", OR(K64="Limited Impact", K64="Significant Impact"), L64&lt;&gt;""), "Pass with Conditions", IF(OR(E64="Not Legitimate", H64="Not Necessary", K64="High Impact"), "Fail - Data Subject''s Rights Prevail", "Pass with Conditions")))</f>
        <v/>
      </c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>
        <f>IF(AND(E65="Legitimate", H65="Necessary", K65="Minimal Impact"), "Pass - Legitimate Interest Prevails", IF(AND(E65="Legitimate", H65="Necessary", OR(K65="Limited Impact", K65="Significant Impact"), L65&lt;&gt;""), "Pass with Conditions", IF(OR(E65="Not Legitimate", H65="Not Necessary", K65="High Impact"), "Fail - Data Subject''s Rights Prevail", "Pass with Conditions")))</f>
        <v/>
      </c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>
        <f>IF(AND(E66="Legitimate", H66="Necessary", K66="Minimal Impact"), "Pass - Legitimate Interest Prevails", IF(AND(E66="Legitimate", H66="Necessary", OR(K66="Limited Impact", K66="Significant Impact"), L66&lt;&gt;""), "Pass with Conditions", IF(OR(E66="Not Legitimate", H66="Not Necessary", K66="High Impact"), "Fail - Data Subject''s Rights Prevail", "Pass with Conditions")))</f>
        <v/>
      </c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>
        <f>IF(AND(E67="Legitimate", H67="Necessary", K67="Minimal Impact"), "Pass - Legitimate Interest Prevails", IF(AND(E67="Legitimate", H67="Necessary", OR(K67="Limited Impact", K67="Significant Impact"), L67&lt;&gt;""), "Pass with Conditions", IF(OR(E67="Not Legitimate", H67="Not Necessary", K67="High Impact"), "Fail - Data Subject''s Rights Prevail", "Pass with Conditions")))</f>
        <v/>
      </c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>
        <f>IF(AND(E68="Legitimate", H68="Necessary", K68="Minimal Impact"), "Pass - Legitimate Interest Prevails", IF(AND(E68="Legitimate", H68="Necessary", OR(K68="Limited Impact", K68="Significant Impact"), L68&lt;&gt;""), "Pass with Conditions", IF(OR(E68="Not Legitimate", H68="Not Necessary", K68="High Impact"), "Fail - Data Subject''s Rights Prevail", "Pass with Conditions")))</f>
        <v/>
      </c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>
        <f>IF(AND(E69="Legitimate", H69="Necessary", K69="Minimal Impact"), "Pass - Legitimate Interest Prevails", IF(AND(E69="Legitimate", H69="Necessary", OR(K69="Limited Impact", K69="Significant Impact"), L69&lt;&gt;""), "Pass with Conditions", IF(OR(E69="Not Legitimate", H69="Not Necessary", K69="High Impact"), "Fail - Data Subject''s Rights Prevail", "Pass with Conditions")))</f>
        <v/>
      </c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>
        <f>IF(AND(E70="Legitimate", H70="Necessary", K70="Minimal Impact"), "Pass - Legitimate Interest Prevails", IF(AND(E70="Legitimate", H70="Necessary", OR(K70="Limited Impact", K70="Significant Impact"), L70&lt;&gt;""), "Pass with Conditions", IF(OR(E70="Not Legitimate", H70="Not Necessary", K70="High Impact"), "Fail - Data Subject''s Rights Prevail", "Pass with Conditions")))</f>
        <v/>
      </c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>
        <f>IF(AND(E71="Legitimate", H71="Necessary", K71="Minimal Impact"), "Pass - Legitimate Interest Prevails", IF(AND(E71="Legitimate", H71="Necessary", OR(K71="Limited Impact", K71="Significant Impact"), L71&lt;&gt;""), "Pass with Conditions", IF(OR(E71="Not Legitimate", H71="Not Necessary", K71="High Impact"), "Fail - Data Subject''s Rights Prevail", "Pass with Conditions")))</f>
        <v/>
      </c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>
        <f>IF(AND(E72="Legitimate", H72="Necessary", K72="Minimal Impact"), "Pass - Legitimate Interest Prevails", IF(AND(E72="Legitimate", H72="Necessary", OR(K72="Limited Impact", K72="Significant Impact"), L72&lt;&gt;""), "Pass with Conditions", IF(OR(E72="Not Legitimate", H72="Not Necessary", K72="High Impact"), "Fail - Data Subject''s Rights Prevail", "Pass with Conditions")))</f>
        <v/>
      </c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>
        <f>IF(AND(E73="Legitimate", H73="Necessary", K73="Minimal Impact"), "Pass - Legitimate Interest Prevails", IF(AND(E73="Legitimate", H73="Necessary", OR(K73="Limited Impact", K73="Significant Impact"), L73&lt;&gt;""), "Pass with Conditions", IF(OR(E73="Not Legitimate", H73="Not Necessary", K73="High Impact"), "Fail - Data Subject''s Rights Prevail", "Pass with Conditions")))</f>
        <v/>
      </c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>
        <f>IF(AND(E74="Legitimate", H74="Necessary", K74="Minimal Impact"), "Pass - Legitimate Interest Prevails", IF(AND(E74="Legitimate", H74="Necessary", OR(K74="Limited Impact", K74="Significant Impact"), L74&lt;&gt;""), "Pass with Conditions", IF(OR(E74="Not Legitimate", H74="Not Necessary", K74="High Impact"), "Fail - Data Subject''s Rights Prevail", "Pass with Conditions")))</f>
        <v/>
      </c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>
        <f>IF(AND(E75="Legitimate", H75="Necessary", K75="Minimal Impact"), "Pass - Legitimate Interest Prevails", IF(AND(E75="Legitimate", H75="Necessary", OR(K75="Limited Impact", K75="Significant Impact"), L75&lt;&gt;""), "Pass with Conditions", IF(OR(E75="Not Legitimate", H75="Not Necessary", K75="High Impact"), "Fail - Data Subject''s Rights Prevail", "Pass with Conditions")))</f>
        <v/>
      </c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>
        <f>IF(AND(E76="Legitimate", H76="Necessary", K76="Minimal Impact"), "Pass - Legitimate Interest Prevails", IF(AND(E76="Legitimate", H76="Necessary", OR(K76="Limited Impact", K76="Significant Impact"), L76&lt;&gt;""), "Pass with Conditions", IF(OR(E76="Not Legitimate", H76="Not Necessary", K76="High Impact"), "Fail - Data Subject''s Rights Prevail", "Pass with Conditions")))</f>
        <v/>
      </c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>
        <f>IF(AND(E77="Legitimate", H77="Necessary", K77="Minimal Impact"), "Pass - Legitimate Interest Prevails", IF(AND(E77="Legitimate", H77="Necessary", OR(K77="Limited Impact", K77="Significant Impact"), L77&lt;&gt;""), "Pass with Conditions", IF(OR(E77="Not Legitimate", H77="Not Necessary", K77="High Impact"), "Fail - Data Subject''s Rights Prevail", "Pass with Conditions")))</f>
        <v/>
      </c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>
        <f>IF(AND(E78="Legitimate", H78="Necessary", K78="Minimal Impact"), "Pass - Legitimate Interest Prevails", IF(AND(E78="Legitimate", H78="Necessary", OR(K78="Limited Impact", K78="Significant Impact"), L78&lt;&gt;""), "Pass with Conditions", IF(OR(E78="Not Legitimate", H78="Not Necessary", K78="High Impact"), "Fail - Data Subject''s Rights Prevail", "Pass with Conditions")))</f>
        <v/>
      </c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>
        <f>IF(AND(E79="Legitimate", H79="Necessary", K79="Minimal Impact"), "Pass - Legitimate Interest Prevails", IF(AND(E79="Legitimate", H79="Necessary", OR(K79="Limited Impact", K79="Significant Impact"), L79&lt;&gt;""), "Pass with Conditions", IF(OR(E79="Not Legitimate", H79="Not Necessary", K79="High Impact"), "Fail - Data Subject''s Rights Prevail", "Pass with Conditions")))</f>
        <v/>
      </c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>
        <f>IF(AND(E80="Legitimate", H80="Necessary", K80="Minimal Impact"), "Pass - Legitimate Interest Prevails", IF(AND(E80="Legitimate", H80="Necessary", OR(K80="Limited Impact", K80="Significant Impact"), L80&lt;&gt;""), "Pass with Conditions", IF(OR(E80="Not Legitimate", H80="Not Necessary", K80="High Impact"), "Fail - Data Subject''s Rights Prevail", "Pass with Conditions")))</f>
        <v/>
      </c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>
        <f>IF(AND(E81="Legitimate", H81="Necessary", K81="Minimal Impact"), "Pass - Legitimate Interest Prevails", IF(AND(E81="Legitimate", H81="Necessary", OR(K81="Limited Impact", K81="Significant Impact"), L81&lt;&gt;""), "Pass with Conditions", IF(OR(E81="Not Legitimate", H81="Not Necessary", K81="High Impact"), "Fail - Data Subject''s Rights Prevail", "Pass with Conditions")))</f>
        <v/>
      </c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>
        <f>IF(AND(E82="Legitimate", H82="Necessary", K82="Minimal Impact"), "Pass - Legitimate Interest Prevails", IF(AND(E82="Legitimate", H82="Necessary", OR(K82="Limited Impact", K82="Significant Impact"), L82&lt;&gt;""), "Pass with Conditions", IF(OR(E82="Not Legitimate", H82="Not Necessary", K82="High Impact"), "Fail - Data Subject''s Rights Prevail", "Pass with Conditions")))</f>
        <v/>
      </c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>
        <f>IF(AND(E83="Legitimate", H83="Necessary", K83="Minimal Impact"), "Pass - Legitimate Interest Prevails", IF(AND(E83="Legitimate", H83="Necessary", OR(K83="Limited Impact", K83="Significant Impact"), L83&lt;&gt;""), "Pass with Conditions", IF(OR(E83="Not Legitimate", H83="Not Necessary", K83="High Impact"), "Fail - Data Subject''s Rights Prevail", "Pass with Conditions")))</f>
        <v/>
      </c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>
        <f>IF(AND(E84="Legitimate", H84="Necessary", K84="Minimal Impact"), "Pass - Legitimate Interest Prevails", IF(AND(E84="Legitimate", H84="Necessary", OR(K84="Limited Impact", K84="Significant Impact"), L84&lt;&gt;""), "Pass with Conditions", IF(OR(E84="Not Legitimate", H84="Not Necessary", K84="High Impact"), "Fail - Data Subject''s Rights Prevail", "Pass with Conditions")))</f>
        <v/>
      </c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>
        <f>IF(AND(E85="Legitimate", H85="Necessary", K85="Minimal Impact"), "Pass - Legitimate Interest Prevails", IF(AND(E85="Legitimate", H85="Necessary", OR(K85="Limited Impact", K85="Significant Impact"), L85&lt;&gt;""), "Pass with Conditions", IF(OR(E85="Not Legitimate", H85="Not Necessary", K85="High Impact"), "Fail - Data Subject''s Rights Prevail", "Pass with Conditions")))</f>
        <v/>
      </c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>
        <f>IF(AND(E86="Legitimate", H86="Necessary", K86="Minimal Impact"), "Pass - Legitimate Interest Prevails", IF(AND(E86="Legitimate", H86="Necessary", OR(K86="Limited Impact", K86="Significant Impact"), L86&lt;&gt;""), "Pass with Conditions", IF(OR(E86="Not Legitimate", H86="Not Necessary", K86="High Impact"), "Fail - Data Subject''s Rights Prevail", "Pass with Conditions")))</f>
        <v/>
      </c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>
        <f>IF(AND(E87="Legitimate", H87="Necessary", K87="Minimal Impact"), "Pass - Legitimate Interest Prevails", IF(AND(E87="Legitimate", H87="Necessary", OR(K87="Limited Impact", K87="Significant Impact"), L87&lt;&gt;""), "Pass with Conditions", IF(OR(E87="Not Legitimate", H87="Not Necessary", K87="High Impact"), "Fail - Data Subject''s Rights Prevail", "Pass with Conditions")))</f>
        <v/>
      </c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>
        <f>IF(AND(E88="Legitimate", H88="Necessary", K88="Minimal Impact"), "Pass - Legitimate Interest Prevails", IF(AND(E88="Legitimate", H88="Necessary", OR(K88="Limited Impact", K88="Significant Impact"), L88&lt;&gt;""), "Pass with Conditions", IF(OR(E88="Not Legitimate", H88="Not Necessary", K88="High Impact"), "Fail - Data Subject''s Rights Prevail", "Pass with Conditions")))</f>
        <v/>
      </c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>
        <f>IF(AND(E89="Legitimate", H89="Necessary", K89="Minimal Impact"), "Pass - Legitimate Interest Prevails", IF(AND(E89="Legitimate", H89="Necessary", OR(K89="Limited Impact", K89="Significant Impact"), L89&lt;&gt;""), "Pass with Conditions", IF(OR(E89="Not Legitimate", H89="Not Necessary", K89="High Impact"), "Fail - Data Subject''s Rights Prevail", "Pass with Conditions")))</f>
        <v/>
      </c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>
        <f>IF(AND(E90="Legitimate", H90="Necessary", K90="Minimal Impact"), "Pass - Legitimate Interest Prevails", IF(AND(E90="Legitimate", H90="Necessary", OR(K90="Limited Impact", K90="Significant Impact"), L90&lt;&gt;""), "Pass with Conditions", IF(OR(E90="Not Legitimate", H90="Not Necessary", K90="High Impact"), "Fail - Data Subject''s Rights Prevail", "Pass with Conditions")))</f>
        <v/>
      </c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>
        <f>IF(AND(E91="Legitimate", H91="Necessary", K91="Minimal Impact"), "Pass - Legitimate Interest Prevails", IF(AND(E91="Legitimate", H91="Necessary", OR(K91="Limited Impact", K91="Significant Impact"), L91&lt;&gt;""), "Pass with Conditions", IF(OR(E91="Not Legitimate", H91="Not Necessary", K91="High Impact"), "Fail - Data Subject''s Rights Prevail", "Pass with Conditions")))</f>
        <v/>
      </c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>
        <f>IF(AND(E92="Legitimate", H92="Necessary", K92="Minimal Impact"), "Pass - Legitimate Interest Prevails", IF(AND(E92="Legitimate", H92="Necessary", OR(K92="Limited Impact", K92="Significant Impact"), L92&lt;&gt;""), "Pass with Conditions", IF(OR(E92="Not Legitimate", H92="Not Necessary", K92="High Impact"), "Fail - Data Subject''s Rights Prevail", "Pass with Conditions")))</f>
        <v/>
      </c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>
        <f>IF(AND(E93="Legitimate", H93="Necessary", K93="Minimal Impact"), "Pass - Legitimate Interest Prevails", IF(AND(E93="Legitimate", H93="Necessary", OR(K93="Limited Impact", K93="Significant Impact"), L93&lt;&gt;""), "Pass with Conditions", IF(OR(E93="Not Legitimate", H93="Not Necessary", K93="High Impact"), "Fail - Data Subject''s Rights Prevail", "Pass with Conditions")))</f>
        <v/>
      </c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>
        <f>IF(AND(E94="Legitimate", H94="Necessary", K94="Minimal Impact"), "Pass - Legitimate Interest Prevails", IF(AND(E94="Legitimate", H94="Necessary", OR(K94="Limited Impact", K94="Significant Impact"), L94&lt;&gt;""), "Pass with Conditions", IF(OR(E94="Not Legitimate", H94="Not Necessary", K94="High Impact"), "Fail - Data Subject''s Rights Prevail", "Pass with Conditions")))</f>
        <v/>
      </c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>
        <f>IF(AND(E95="Legitimate", H95="Necessary", K95="Minimal Impact"), "Pass - Legitimate Interest Prevails", IF(AND(E95="Legitimate", H95="Necessary", OR(K95="Limited Impact", K95="Significant Impact"), L95&lt;&gt;""), "Pass with Conditions", IF(OR(E95="Not Legitimate", H95="Not Necessary", K95="High Impact"), "Fail - Data Subject''s Rights Prevail", "Pass with Conditions")))</f>
        <v/>
      </c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>
        <f>IF(AND(E96="Legitimate", H96="Necessary", K96="Minimal Impact"), "Pass - Legitimate Interest Prevails", IF(AND(E96="Legitimate", H96="Necessary", OR(K96="Limited Impact", K96="Significant Impact"), L96&lt;&gt;""), "Pass with Conditions", IF(OR(E96="Not Legitimate", H96="Not Necessary", K96="High Impact"), "Fail - Data Subject''s Rights Prevail", "Pass with Conditions")))</f>
        <v/>
      </c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>
        <f>IF(AND(E97="Legitimate", H97="Necessary", K97="Minimal Impact"), "Pass - Legitimate Interest Prevails", IF(AND(E97="Legitimate", H97="Necessary", OR(K97="Limited Impact", K97="Significant Impact"), L97&lt;&gt;""), "Pass with Conditions", IF(OR(E97="Not Legitimate", H97="Not Necessary", K97="High Impact"), "Fail - Data Subject''s Rights Prevail", "Pass with Conditions")))</f>
        <v/>
      </c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>
        <f>IF(AND(E98="Legitimate", H98="Necessary", K98="Minimal Impact"), "Pass - Legitimate Interest Prevails", IF(AND(E98="Legitimate", H98="Necessary", OR(K98="Limited Impact", K98="Significant Impact"), L98&lt;&gt;""), "Pass with Conditions", IF(OR(E98="Not Legitimate", H98="Not Necessary", K98="High Impact"), "Fail - Data Subject''s Rights Prevail", "Pass with Conditions")))</f>
        <v/>
      </c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>
        <f>IF(AND(E99="Legitimate", H99="Necessary", K99="Minimal Impact"), "Pass - Legitimate Interest Prevails", IF(AND(E99="Legitimate", H99="Necessary", OR(K99="Limited Impact", K99="Significant Impact"), L99&lt;&gt;""), "Pass with Conditions", IF(OR(E99="Not Legitimate", H99="Not Necessary", K99="High Impact"), "Fail - Data Subject''s Rights Prevail", "Pass with Conditions")))</f>
        <v/>
      </c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>
        <f>IF(AND(E100="Legitimate", H100="Necessary", K100="Minimal Impact"), "Pass - Legitimate Interest Prevails", IF(AND(E100="Legitimate", H100="Necessary", OR(K100="Limited Impact", K100="Significant Impact"), L100&lt;&gt;""), "Pass with Conditions", IF(OR(E100="Not Legitimate", H100="Not Necessary", K100="High Impact"), "Fail - Data Subject''s Rights Prevail", "Pass with Conditions")))</f>
        <v/>
      </c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>
        <f>IF(AND(E101="Legitimate", H101="Necessary", K101="Minimal Impact"), "Pass - Legitimate Interest Prevails", IF(AND(E101="Legitimate", H101="Necessary", OR(K101="Limited Impact", K101="Significant Impact"), L101&lt;&gt;""), "Pass with Conditions", IF(OR(E101="Not Legitimate", H101="Not Necessary", K101="High Impact"), "Fail - Data Subject''s Rights Prevail", "Pass with Conditions")))</f>
        <v/>
      </c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>
        <f>IF(AND(E102="Legitimate", H102="Necessary", K102="Minimal Impact"), "Pass - Legitimate Interest Prevails", IF(AND(E102="Legitimate", H102="Necessary", OR(K102="Limited Impact", K102="Significant Impact"), L102&lt;&gt;""), "Pass with Conditions", IF(OR(E102="Not Legitimate", H102="Not Necessary", K102="High Impact"), "Fail - Data Subject''s Rights Prevail", "Pass with Conditions")))</f>
        <v/>
      </c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>
        <f>IF(AND(E103="Legitimate", H103="Necessary", K103="Minimal Impact"), "Pass - Legitimate Interest Prevails", IF(AND(E103="Legitimate", H103="Necessary", OR(K103="Limited Impact", K103="Significant Impact"), L103&lt;&gt;""), "Pass with Conditions", IF(OR(E103="Not Legitimate", H103="Not Necessary", K103="High Impact"), "Fail - Data Subject''s Rights Prevail", "Pass with Conditions")))</f>
        <v/>
      </c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>
        <f>IF(AND(E104="Legitimate", H104="Necessary", K104="Minimal Impact"), "Pass - Legitimate Interest Prevails", IF(AND(E104="Legitimate", H104="Necessary", OR(K104="Limited Impact", K104="Significant Impact"), L104&lt;&gt;""), "Pass with Conditions", IF(OR(E104="Not Legitimate", H104="Not Necessary", K104="High Impact"), "Fail - Data Subject''s Rights Prevail", "Pass with Conditions")))</f>
        <v/>
      </c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>
        <f>IF(AND(E105="Legitimate", H105="Necessary", K105="Minimal Impact"), "Pass - Legitimate Interest Prevails", IF(AND(E105="Legitimate", H105="Necessary", OR(K105="Limited Impact", K105="Significant Impact"), L105&lt;&gt;""), "Pass with Conditions", IF(OR(E105="Not Legitimate", H105="Not Necessary", K105="High Impact"), "Fail - Data Subject''s Rights Prevail", "Pass with Conditions")))</f>
        <v/>
      </c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>
        <f>IF(AND(E106="Legitimate", H106="Necessary", K106="Minimal Impact"), "Pass - Legitimate Interest Prevails", IF(AND(E106="Legitimate", H106="Necessary", OR(K106="Limited Impact", K106="Significant Impact"), L106&lt;&gt;""), "Pass with Conditions", IF(OR(E106="Not Legitimate", H106="Not Necessary", K106="High Impact"), "Fail - Data Subject''s Rights Prevail", "Pass with Conditions")))</f>
        <v/>
      </c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>
        <f>IF(AND(E107="Legitimate", H107="Necessary", K107="Minimal Impact"), "Pass - Legitimate Interest Prevails", IF(AND(E107="Legitimate", H107="Necessary", OR(K107="Limited Impact", K107="Significant Impact"), L107&lt;&gt;""), "Pass with Conditions", IF(OR(E107="Not Legitimate", H107="Not Necessary", K107="High Impact"), "Fail - Data Subject''s Rights Prevail", "Pass with Conditions")))</f>
        <v/>
      </c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>
        <f>IF(AND(E108="Legitimate", H108="Necessary", K108="Minimal Impact"), "Pass - Legitimate Interest Prevails", IF(AND(E108="Legitimate", H108="Necessary", OR(K108="Limited Impact", K108="Significant Impact"), L108&lt;&gt;""), "Pass with Conditions", IF(OR(E108="Not Legitimate", H108="Not Necessary", K108="High Impact"), "Fail - Data Subject''s Rights Prevail", "Pass with Conditions")))</f>
        <v/>
      </c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>
        <f>IF(AND(E109="Legitimate", H109="Necessary", K109="Minimal Impact"), "Pass - Legitimate Interest Prevails", IF(AND(E109="Legitimate", H109="Necessary", OR(K109="Limited Impact", K109="Significant Impact"), L109&lt;&gt;""), "Pass with Conditions", IF(OR(E109="Not Legitimate", H109="Not Necessary", K109="High Impact"), "Fail - Data Subject''s Rights Prevail", "Pass with Conditions")))</f>
        <v/>
      </c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>
        <f>IF(AND(E110="Legitimate", H110="Necessary", K110="Minimal Impact"), "Pass - Legitimate Interest Prevails", IF(AND(E110="Legitimate", H110="Necessary", OR(K110="Limited Impact", K110="Significant Impact"), L110&lt;&gt;""), "Pass with Conditions", IF(OR(E110="Not Legitimate", H110="Not Necessary", K110="High Impact"), "Fail - Data Subject''s Rights Prevail", "Pass with Conditions")))</f>
        <v/>
      </c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>
        <f>IF(AND(E111="Legitimate", H111="Necessary", K111="Minimal Impact"), "Pass - Legitimate Interest Prevails", IF(AND(E111="Legitimate", H111="Necessary", OR(K111="Limited Impact", K111="Significant Impact"), L111&lt;&gt;""), "Pass with Conditions", IF(OR(E111="Not Legitimate", H111="Not Necessary", K111="High Impact"), "Fail - Data Subject''s Rights Prevail", "Pass with Conditions")))</f>
        <v/>
      </c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>
        <f>IF(AND(E112="Legitimate", H112="Necessary", K112="Minimal Impact"), "Pass - Legitimate Interest Prevails", IF(AND(E112="Legitimate", H112="Necessary", OR(K112="Limited Impact", K112="Significant Impact"), L112&lt;&gt;""), "Pass with Conditions", IF(OR(E112="Not Legitimate", H112="Not Necessary", K112="High Impact"), "Fail - Data Subject''s Rights Prevail", "Pass with Conditions")))</f>
        <v/>
      </c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>
        <f>IF(AND(E113="Legitimate", H113="Necessary", K113="Minimal Impact"), "Pass - Legitimate Interest Prevails", IF(AND(E113="Legitimate", H113="Necessary", OR(K113="Limited Impact", K113="Significant Impact"), L113&lt;&gt;""), "Pass with Conditions", IF(OR(E113="Not Legitimate", H113="Not Necessary", K113="High Impact"), "Fail - Data Subject''s Rights Prevail", "Pass with Conditions")))</f>
        <v/>
      </c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>
        <f>IF(AND(E114="Legitimate", H114="Necessary", K114="Minimal Impact"), "Pass - Legitimate Interest Prevails", IF(AND(E114="Legitimate", H114="Necessary", OR(K114="Limited Impact", K114="Significant Impact"), L114&lt;&gt;""), "Pass with Conditions", IF(OR(E114="Not Legitimate", H114="Not Necessary", K114="High Impact"), "Fail - Data Subject''s Rights Prevail", "Pass with Conditions")))</f>
        <v/>
      </c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>
        <f>IF(AND(E115="Legitimate", H115="Necessary", K115="Minimal Impact"), "Pass - Legitimate Interest Prevails", IF(AND(E115="Legitimate", H115="Necessary", OR(K115="Limited Impact", K115="Significant Impact"), L115&lt;&gt;""), "Pass with Conditions", IF(OR(E115="Not Legitimate", H115="Not Necessary", K115="High Impact"), "Fail - Data Subject''s Rights Prevail", "Pass with Conditions")))</f>
        <v/>
      </c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>
        <f>IF(AND(E116="Legitimate", H116="Necessary", K116="Minimal Impact"), "Pass - Legitimate Interest Prevails", IF(AND(E116="Legitimate", H116="Necessary", OR(K116="Limited Impact", K116="Significant Impact"), L116&lt;&gt;""), "Pass with Conditions", IF(OR(E116="Not Legitimate", H116="Not Necessary", K116="High Impact"), "Fail - Data Subject''s Rights Prevail", "Pass with Conditions")))</f>
        <v/>
      </c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>
        <f>IF(AND(E117="Legitimate", H117="Necessary", K117="Minimal Impact"), "Pass - Legitimate Interest Prevails", IF(AND(E117="Legitimate", H117="Necessary", OR(K117="Limited Impact", K117="Significant Impact"), L117&lt;&gt;""), "Pass with Conditions", IF(OR(E117="Not Legitimate", H117="Not Necessary", K117="High Impact"), "Fail - Data Subject''s Rights Prevail", "Pass with Conditions")))</f>
        <v/>
      </c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>
        <f>IF(AND(E118="Legitimate", H118="Necessary", K118="Minimal Impact"), "Pass - Legitimate Interest Prevails", IF(AND(E118="Legitimate", H118="Necessary", OR(K118="Limited Impact", K118="Significant Impact"), L118&lt;&gt;""), "Pass with Conditions", IF(OR(E118="Not Legitimate", H118="Not Necessary", K118="High Impact"), "Fail - Data Subject''s Rights Prevail", "Pass with Conditions")))</f>
        <v/>
      </c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>
        <f>IF(AND(E119="Legitimate", H119="Necessary", K119="Minimal Impact"), "Pass - Legitimate Interest Prevails", IF(AND(E119="Legitimate", H119="Necessary", OR(K119="Limited Impact", K119="Significant Impact"), L119&lt;&gt;""), "Pass with Conditions", IF(OR(E119="Not Legitimate", H119="Not Necessary", K119="High Impact"), "Fail - Data Subject''s Rights Prevail", "Pass with Conditions")))</f>
        <v/>
      </c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>
        <f>IF(AND(E120="Legitimate", H120="Necessary", K120="Minimal Impact"), "Pass - Legitimate Interest Prevails", IF(AND(E120="Legitimate", H120="Necessary", OR(K120="Limited Impact", K120="Significant Impact"), L120&lt;&gt;""), "Pass with Conditions", IF(OR(E120="Not Legitimate", H120="Not Necessary", K120="High Impact"), "Fail - Data Subject''s Rights Prevail", "Pass with Conditions")))</f>
        <v/>
      </c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>
        <f>IF(AND(E121="Legitimate", H121="Necessary", K121="Minimal Impact"), "Pass - Legitimate Interest Prevails", IF(AND(E121="Legitimate", H121="Necessary", OR(K121="Limited Impact", K121="Significant Impact"), L121&lt;&gt;""), "Pass with Conditions", IF(OR(E121="Not Legitimate", H121="Not Necessary", K121="High Impact"), "Fail - Data Subject''s Rights Prevail", "Pass with Conditions")))</f>
        <v/>
      </c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>
        <f>IF(AND(E122="Legitimate", H122="Necessary", K122="Minimal Impact"), "Pass - Legitimate Interest Prevails", IF(AND(E122="Legitimate", H122="Necessary", OR(K122="Limited Impact", K122="Significant Impact"), L122&lt;&gt;""), "Pass with Conditions", IF(OR(E122="Not Legitimate", H122="Not Necessary", K122="High Impact"), "Fail - Data Subject''s Rights Prevail", "Pass with Conditions")))</f>
        <v/>
      </c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>
        <f>IF(AND(E123="Legitimate", H123="Necessary", K123="Minimal Impact"), "Pass - Legitimate Interest Prevails", IF(AND(E123="Legitimate", H123="Necessary", OR(K123="Limited Impact", K123="Significant Impact"), L123&lt;&gt;""), "Pass with Conditions", IF(OR(E123="Not Legitimate", H123="Not Necessary", K123="High Impact"), "Fail - Data Subject''s Rights Prevail", "Pass with Conditions")))</f>
        <v/>
      </c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>
        <f>IF(AND(E124="Legitimate", H124="Necessary", K124="Minimal Impact"), "Pass - Legitimate Interest Prevails", IF(AND(E124="Legitimate", H124="Necessary", OR(K124="Limited Impact", K124="Significant Impact"), L124&lt;&gt;""), "Pass with Conditions", IF(OR(E124="Not Legitimate", H124="Not Necessary", K124="High Impact"), "Fail - Data Subject''s Rights Prevail", "Pass with Conditions")))</f>
        <v/>
      </c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>
        <f>IF(AND(E125="Legitimate", H125="Necessary", K125="Minimal Impact"), "Pass - Legitimate Interest Prevails", IF(AND(E125="Legitimate", H125="Necessary", OR(K125="Limited Impact", K125="Significant Impact"), L125&lt;&gt;""), "Pass with Conditions", IF(OR(E125="Not Legitimate", H125="Not Necessary", K125="High Impact"), "Fail - Data Subject''s Rights Prevail", "Pass with Conditions")))</f>
        <v/>
      </c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>
        <f>IF(AND(E126="Legitimate", H126="Necessary", K126="Minimal Impact"), "Pass - Legitimate Interest Prevails", IF(AND(E126="Legitimate", H126="Necessary", OR(K126="Limited Impact", K126="Significant Impact"), L126&lt;&gt;""), "Pass with Conditions", IF(OR(E126="Not Legitimate", H126="Not Necessary", K126="High Impact"), "Fail - Data Subject''s Rights Prevail", "Pass with Conditions")))</f>
        <v/>
      </c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>
        <f>IF(AND(E127="Legitimate", H127="Necessary", K127="Minimal Impact"), "Pass - Legitimate Interest Prevails", IF(AND(E127="Legitimate", H127="Necessary", OR(K127="Limited Impact", K127="Significant Impact"), L127&lt;&gt;""), "Pass with Conditions", IF(OR(E127="Not Legitimate", H127="Not Necessary", K127="High Impact"), "Fail - Data Subject''s Rights Prevail", "Pass with Conditions")))</f>
        <v/>
      </c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>
        <f>IF(AND(E128="Legitimate", H128="Necessary", K128="Minimal Impact"), "Pass - Legitimate Interest Prevails", IF(AND(E128="Legitimate", H128="Necessary", OR(K128="Limited Impact", K128="Significant Impact"), L128&lt;&gt;""), "Pass with Conditions", IF(OR(E128="Not Legitimate", H128="Not Necessary", K128="High Impact"), "Fail - Data Subject''s Rights Prevail", "Pass with Conditions")))</f>
        <v/>
      </c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>
        <f>IF(AND(E129="Legitimate", H129="Necessary", K129="Minimal Impact"), "Pass - Legitimate Interest Prevails", IF(AND(E129="Legitimate", H129="Necessary", OR(K129="Limited Impact", K129="Significant Impact"), L129&lt;&gt;""), "Pass with Conditions", IF(OR(E129="Not Legitimate", H129="Not Necessary", K129="High Impact"), "Fail - Data Subject''s Rights Prevail", "Pass with Conditions")))</f>
        <v/>
      </c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>
        <f>IF(AND(E130="Legitimate", H130="Necessary", K130="Minimal Impact"), "Pass - Legitimate Interest Prevails", IF(AND(E130="Legitimate", H130="Necessary", OR(K130="Limited Impact", K130="Significant Impact"), L130&lt;&gt;""), "Pass with Conditions", IF(OR(E130="Not Legitimate", H130="Not Necessary", K130="High Impact"), "Fail - Data Subject''s Rights Prevail", "Pass with Conditions")))</f>
        <v/>
      </c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>
        <f>IF(AND(E131="Legitimate", H131="Necessary", K131="Minimal Impact"), "Pass - Legitimate Interest Prevails", IF(AND(E131="Legitimate", H131="Necessary", OR(K131="Limited Impact", K131="Significant Impact"), L131&lt;&gt;""), "Pass with Conditions", IF(OR(E131="Not Legitimate", H131="Not Necessary", K131="High Impact"), "Fail - Data Subject''s Rights Prevail", "Pass with Conditions")))</f>
        <v/>
      </c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>
        <f>IF(AND(E132="Legitimate", H132="Necessary", K132="Minimal Impact"), "Pass - Legitimate Interest Prevails", IF(AND(E132="Legitimate", H132="Necessary", OR(K132="Limited Impact", K132="Significant Impact"), L132&lt;&gt;""), "Pass with Conditions", IF(OR(E132="Not Legitimate", H132="Not Necessary", K132="High Impact"), "Fail - Data Subject''s Rights Prevail", "Pass with Conditions")))</f>
        <v/>
      </c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>
        <f>IF(AND(E133="Legitimate", H133="Necessary", K133="Minimal Impact"), "Pass - Legitimate Interest Prevails", IF(AND(E133="Legitimate", H133="Necessary", OR(K133="Limited Impact", K133="Significant Impact"), L133&lt;&gt;""), "Pass with Conditions", IF(OR(E133="Not Legitimate", H133="Not Necessary", K133="High Impact"), "Fail - Data Subject''s Rights Prevail", "Pass with Conditions")))</f>
        <v/>
      </c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>
        <f>IF(AND(E134="Legitimate", H134="Necessary", K134="Minimal Impact"), "Pass - Legitimate Interest Prevails", IF(AND(E134="Legitimate", H134="Necessary", OR(K134="Limited Impact", K134="Significant Impact"), L134&lt;&gt;""), "Pass with Conditions", IF(OR(E134="Not Legitimate", H134="Not Necessary", K134="High Impact"), "Fail - Data Subject''s Rights Prevail", "Pass with Conditions")))</f>
        <v/>
      </c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>
        <f>IF(AND(E135="Legitimate", H135="Necessary", K135="Minimal Impact"), "Pass - Legitimate Interest Prevails", IF(AND(E135="Legitimate", H135="Necessary", OR(K135="Limited Impact", K135="Significant Impact"), L135&lt;&gt;""), "Pass with Conditions", IF(OR(E135="Not Legitimate", H135="Not Necessary", K135="High Impact"), "Fail - Data Subject''s Rights Prevail", "Pass with Conditions")))</f>
        <v/>
      </c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>
        <f>IF(AND(E136="Legitimate", H136="Necessary", K136="Minimal Impact"), "Pass - Legitimate Interest Prevails", IF(AND(E136="Legitimate", H136="Necessary", OR(K136="Limited Impact", K136="Significant Impact"), L136&lt;&gt;""), "Pass with Conditions", IF(OR(E136="Not Legitimate", H136="Not Necessary", K136="High Impact"), "Fail - Data Subject''s Rights Prevail", "Pass with Conditions")))</f>
        <v/>
      </c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>
        <f>IF(AND(E137="Legitimate", H137="Necessary", K137="Minimal Impact"), "Pass - Legitimate Interest Prevails", IF(AND(E137="Legitimate", H137="Necessary", OR(K137="Limited Impact", K137="Significant Impact"), L137&lt;&gt;""), "Pass with Conditions", IF(OR(E137="Not Legitimate", H137="Not Necessary", K137="High Impact"), "Fail - Data Subject''s Rights Prevail", "Pass with Conditions")))</f>
        <v/>
      </c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>
        <f>IF(AND(E138="Legitimate", H138="Necessary", K138="Minimal Impact"), "Pass - Legitimate Interest Prevails", IF(AND(E138="Legitimate", H138="Necessary", OR(K138="Limited Impact", K138="Significant Impact"), L138&lt;&gt;""), "Pass with Conditions", IF(OR(E138="Not Legitimate", H138="Not Necessary", K138="High Impact"), "Fail - Data Subject''s Rights Prevail", "Pass with Conditions")))</f>
        <v/>
      </c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>
        <f>IF(AND(E139="Legitimate", H139="Necessary", K139="Minimal Impact"), "Pass - Legitimate Interest Prevails", IF(AND(E139="Legitimate", H139="Necessary", OR(K139="Limited Impact", K139="Significant Impact"), L139&lt;&gt;""), "Pass with Conditions", IF(OR(E139="Not Legitimate", H139="Not Necessary", K139="High Impact"), "Fail - Data Subject''s Rights Prevail", "Pass with Conditions")))</f>
        <v/>
      </c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>
        <f>IF(AND(E140="Legitimate", H140="Necessary", K140="Minimal Impact"), "Pass - Legitimate Interest Prevails", IF(AND(E140="Legitimate", H140="Necessary", OR(K140="Limited Impact", K140="Significant Impact"), L140&lt;&gt;""), "Pass with Conditions", IF(OR(E140="Not Legitimate", H140="Not Necessary", K140="High Impact"), "Fail - Data Subject''s Rights Prevail", "Pass with Conditions")))</f>
        <v/>
      </c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>
        <f>IF(AND(E141="Legitimate", H141="Necessary", K141="Minimal Impact"), "Pass - Legitimate Interest Prevails", IF(AND(E141="Legitimate", H141="Necessary", OR(K141="Limited Impact", K141="Significant Impact"), L141&lt;&gt;""), "Pass with Conditions", IF(OR(E141="Not Legitimate", H141="Not Necessary", K141="High Impact"), "Fail - Data Subject''s Rights Prevail", "Pass with Conditions")))</f>
        <v/>
      </c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>
        <f>IF(AND(E142="Legitimate", H142="Necessary", K142="Minimal Impact"), "Pass - Legitimate Interest Prevails", IF(AND(E142="Legitimate", H142="Necessary", OR(K142="Limited Impact", K142="Significant Impact"), L142&lt;&gt;""), "Pass with Conditions", IF(OR(E142="Not Legitimate", H142="Not Necessary", K142="High Impact"), "Fail - Data Subject''s Rights Prevail", "Pass with Conditions")))</f>
        <v/>
      </c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>
        <f>IF(AND(E143="Legitimate", H143="Necessary", K143="Minimal Impact"), "Pass - Legitimate Interest Prevails", IF(AND(E143="Legitimate", H143="Necessary", OR(K143="Limited Impact", K143="Significant Impact"), L143&lt;&gt;""), "Pass with Conditions", IF(OR(E143="Not Legitimate", H143="Not Necessary", K143="High Impact"), "Fail - Data Subject''s Rights Prevail", "Pass with Conditions")))</f>
        <v/>
      </c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>
        <f>IF(AND(E144="Legitimate", H144="Necessary", K144="Minimal Impact"), "Pass - Legitimate Interest Prevails", IF(AND(E144="Legitimate", H144="Necessary", OR(K144="Limited Impact", K144="Significant Impact"), L144&lt;&gt;""), "Pass with Conditions", IF(OR(E144="Not Legitimate", H144="Not Necessary", K144="High Impact"), "Fail - Data Subject''s Rights Prevail", "Pass with Conditions")))</f>
        <v/>
      </c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>
        <f>IF(AND(E145="Legitimate", H145="Necessary", K145="Minimal Impact"), "Pass - Legitimate Interest Prevails", IF(AND(E145="Legitimate", H145="Necessary", OR(K145="Limited Impact", K145="Significant Impact"), L145&lt;&gt;""), "Pass with Conditions", IF(OR(E145="Not Legitimate", H145="Not Necessary", K145="High Impact"), "Fail - Data Subject''s Rights Prevail", "Pass with Conditions")))</f>
        <v/>
      </c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>
        <f>IF(AND(E146="Legitimate", H146="Necessary", K146="Minimal Impact"), "Pass - Legitimate Interest Prevails", IF(AND(E146="Legitimate", H146="Necessary", OR(K146="Limited Impact", K146="Significant Impact"), L146&lt;&gt;""), "Pass with Conditions", IF(OR(E146="Not Legitimate", H146="Not Necessary", K146="High Impact"), "Fail - Data Subject''s Rights Prevail", "Pass with Conditions")))</f>
        <v/>
      </c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>
        <f>IF(AND(E147="Legitimate", H147="Necessary", K147="Minimal Impact"), "Pass - Legitimate Interest Prevails", IF(AND(E147="Legitimate", H147="Necessary", OR(K147="Limited Impact", K147="Significant Impact"), L147&lt;&gt;""), "Pass with Conditions", IF(OR(E147="Not Legitimate", H147="Not Necessary", K147="High Impact"), "Fail - Data Subject''s Rights Prevail", "Pass with Conditions")))</f>
        <v/>
      </c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>
        <f>IF(AND(E148="Legitimate", H148="Necessary", K148="Minimal Impact"), "Pass - Legitimate Interest Prevails", IF(AND(E148="Legitimate", H148="Necessary", OR(K148="Limited Impact", K148="Significant Impact"), L148&lt;&gt;""), "Pass with Conditions", IF(OR(E148="Not Legitimate", H148="Not Necessary", K148="High Impact"), "Fail - Data Subject''s Rights Prevail", "Pass with Conditions")))</f>
        <v/>
      </c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>
        <f>IF(AND(E149="Legitimate", H149="Necessary", K149="Minimal Impact"), "Pass - Legitimate Interest Prevails", IF(AND(E149="Legitimate", H149="Necessary", OR(K149="Limited Impact", K149="Significant Impact"), L149&lt;&gt;""), "Pass with Conditions", IF(OR(E149="Not Legitimate", H149="Not Necessary", K149="High Impact"), "Fail - Data Subject''s Rights Prevail", "Pass with Conditions")))</f>
        <v/>
      </c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>
        <f>IF(AND(E150="Legitimate", H150="Necessary", K150="Minimal Impact"), "Pass - Legitimate Interest Prevails", IF(AND(E150="Legitimate", H150="Necessary", OR(K150="Limited Impact", K150="Significant Impact"), L150&lt;&gt;""), "Pass with Conditions", IF(OR(E150="Not Legitimate", H150="Not Necessary", K150="High Impact"), "Fail - Data Subject''s Rights Prevail", "Pass with Conditions")))</f>
        <v/>
      </c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>
        <f>IF(AND(E151="Legitimate", H151="Necessary", K151="Minimal Impact"), "Pass - Legitimate Interest Prevails", IF(AND(E151="Legitimate", H151="Necessary", OR(K151="Limited Impact", K151="Significant Impact"), L151&lt;&gt;""), "Pass with Conditions", IF(OR(E151="Not Legitimate", H151="Not Necessary", K151="High Impact"), "Fail - Data Subject''s Rights Prevail", "Pass with Conditions")))</f>
        <v/>
      </c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>
        <f>IF(AND(E152="Legitimate", H152="Necessary", K152="Minimal Impact"), "Pass - Legitimate Interest Prevails", IF(AND(E152="Legitimate", H152="Necessary", OR(K152="Limited Impact", K152="Significant Impact"), L152&lt;&gt;""), "Pass with Conditions", IF(OR(E152="Not Legitimate", H152="Not Necessary", K152="High Impact"), "Fail - Data Subject''s Rights Prevail", "Pass with Conditions")))</f>
        <v/>
      </c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>
        <f>IF(AND(E153="Legitimate", H153="Necessary", K153="Minimal Impact"), "Pass - Legitimate Interest Prevails", IF(AND(E153="Legitimate", H153="Necessary", OR(K153="Limited Impact", K153="Significant Impact"), L153&lt;&gt;""), "Pass with Conditions", IF(OR(E153="Not Legitimate", H153="Not Necessary", K153="High Impact"), "Fail - Data Subject''s Rights Prevail", "Pass with Conditions")))</f>
        <v/>
      </c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>
        <f>IF(AND(E154="Legitimate", H154="Necessary", K154="Minimal Impact"), "Pass - Legitimate Interest Prevails", IF(AND(E154="Legitimate", H154="Necessary", OR(K154="Limited Impact", K154="Significant Impact"), L154&lt;&gt;""), "Pass with Conditions", IF(OR(E154="Not Legitimate", H154="Not Necessary", K154="High Impact"), "Fail - Data Subject''s Rights Prevail", "Pass with Conditions")))</f>
        <v/>
      </c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>
        <f>IF(AND(E155="Legitimate", H155="Necessary", K155="Minimal Impact"), "Pass - Legitimate Interest Prevails", IF(AND(E155="Legitimate", H155="Necessary", OR(K155="Limited Impact", K155="Significant Impact"), L155&lt;&gt;""), "Pass with Conditions", IF(OR(E155="Not Legitimate", H155="Not Necessary", K155="High Impact"), "Fail - Data Subject''s Rights Prevail", "Pass with Conditions")))</f>
        <v/>
      </c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>
        <f>IF(AND(E156="Legitimate", H156="Necessary", K156="Minimal Impact"), "Pass - Legitimate Interest Prevails", IF(AND(E156="Legitimate", H156="Necessary", OR(K156="Limited Impact", K156="Significant Impact"), L156&lt;&gt;""), "Pass with Conditions", IF(OR(E156="Not Legitimate", H156="Not Necessary", K156="High Impact"), "Fail - Data Subject''s Rights Prevail", "Pass with Conditions")))</f>
        <v/>
      </c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>
        <f>IF(AND(E157="Legitimate", H157="Necessary", K157="Minimal Impact"), "Pass - Legitimate Interest Prevails", IF(AND(E157="Legitimate", H157="Necessary", OR(K157="Limited Impact", K157="Significant Impact"), L157&lt;&gt;""), "Pass with Conditions", IF(OR(E157="Not Legitimate", H157="Not Necessary", K157="High Impact"), "Fail - Data Subject''s Rights Prevail", "Pass with Conditions")))</f>
        <v/>
      </c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>
        <f>IF(AND(E158="Legitimate", H158="Necessary", K158="Minimal Impact"), "Pass - Legitimate Interest Prevails", IF(AND(E158="Legitimate", H158="Necessary", OR(K158="Limited Impact", K158="Significant Impact"), L158&lt;&gt;""), "Pass with Conditions", IF(OR(E158="Not Legitimate", H158="Not Necessary", K158="High Impact"), "Fail - Data Subject''s Rights Prevail", "Pass with Conditions")))</f>
        <v/>
      </c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>
        <f>IF(AND(E159="Legitimate", H159="Necessary", K159="Minimal Impact"), "Pass - Legitimate Interest Prevails", IF(AND(E159="Legitimate", H159="Necessary", OR(K159="Limited Impact", K159="Significant Impact"), L159&lt;&gt;""), "Pass with Conditions", IF(OR(E159="Not Legitimate", H159="Not Necessary", K159="High Impact"), "Fail - Data Subject''s Rights Prevail", "Pass with Conditions")))</f>
        <v/>
      </c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>
        <f>IF(AND(E160="Legitimate", H160="Necessary", K160="Minimal Impact"), "Pass - Legitimate Interest Prevails", IF(AND(E160="Legitimate", H160="Necessary", OR(K160="Limited Impact", K160="Significant Impact"), L160&lt;&gt;""), "Pass with Conditions", IF(OR(E160="Not Legitimate", H160="Not Necessary", K160="High Impact"), "Fail - Data Subject''s Rights Prevail", "Pass with Conditions")))</f>
        <v/>
      </c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>
        <f>IF(AND(E161="Legitimate", H161="Necessary", K161="Minimal Impact"), "Pass - Legitimate Interest Prevails", IF(AND(E161="Legitimate", H161="Necessary", OR(K161="Limited Impact", K161="Significant Impact"), L161&lt;&gt;""), "Pass with Conditions", IF(OR(E161="Not Legitimate", H161="Not Necessary", K161="High Impact"), "Fail - Data Subject''s Rights Prevail", "Pass with Conditions")))</f>
        <v/>
      </c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>
        <f>IF(AND(E162="Legitimate", H162="Necessary", K162="Minimal Impact"), "Pass - Legitimate Interest Prevails", IF(AND(E162="Legitimate", H162="Necessary", OR(K162="Limited Impact", K162="Significant Impact"), L162&lt;&gt;""), "Pass with Conditions", IF(OR(E162="Not Legitimate", H162="Not Necessary", K162="High Impact"), "Fail - Data Subject''s Rights Prevail", "Pass with Conditions")))</f>
        <v/>
      </c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>
        <f>IF(AND(E163="Legitimate", H163="Necessary", K163="Minimal Impact"), "Pass - Legitimate Interest Prevails", IF(AND(E163="Legitimate", H163="Necessary", OR(K163="Limited Impact", K163="Significant Impact"), L163&lt;&gt;""), "Pass with Conditions", IF(OR(E163="Not Legitimate", H163="Not Necessary", K163="High Impact"), "Fail - Data Subject''s Rights Prevail", "Pass with Conditions")))</f>
        <v/>
      </c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>
        <f>IF(AND(E164="Legitimate", H164="Necessary", K164="Minimal Impact"), "Pass - Legitimate Interest Prevails", IF(AND(E164="Legitimate", H164="Necessary", OR(K164="Limited Impact", K164="Significant Impact"), L164&lt;&gt;""), "Pass with Conditions", IF(OR(E164="Not Legitimate", H164="Not Necessary", K164="High Impact"), "Fail - Data Subject''s Rights Prevail", "Pass with Conditions")))</f>
        <v/>
      </c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>
        <f>IF(AND(E165="Legitimate", H165="Necessary", K165="Minimal Impact"), "Pass - Legitimate Interest Prevails", IF(AND(E165="Legitimate", H165="Necessary", OR(K165="Limited Impact", K165="Significant Impact"), L165&lt;&gt;""), "Pass with Conditions", IF(OR(E165="Not Legitimate", H165="Not Necessary", K165="High Impact"), "Fail - Data Subject''s Rights Prevail", "Pass with Conditions")))</f>
        <v/>
      </c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>
        <f>IF(AND(E166="Legitimate", H166="Necessary", K166="Minimal Impact"), "Pass - Legitimate Interest Prevails", IF(AND(E166="Legitimate", H166="Necessary", OR(K166="Limited Impact", K166="Significant Impact"), L166&lt;&gt;""), "Pass with Conditions", IF(OR(E166="Not Legitimate", H166="Not Necessary", K166="High Impact"), "Fail - Data Subject''s Rights Prevail", "Pass with Conditions")))</f>
        <v/>
      </c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>
        <f>IF(AND(E167="Legitimate", H167="Necessary", K167="Minimal Impact"), "Pass - Legitimate Interest Prevails", IF(AND(E167="Legitimate", H167="Necessary", OR(K167="Limited Impact", K167="Significant Impact"), L167&lt;&gt;""), "Pass with Conditions", IF(OR(E167="Not Legitimate", H167="Not Necessary", K167="High Impact"), "Fail - Data Subject''s Rights Prevail", "Pass with Conditions")))</f>
        <v/>
      </c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>
        <f>IF(AND(E168="Legitimate", H168="Necessary", K168="Minimal Impact"), "Pass - Legitimate Interest Prevails", IF(AND(E168="Legitimate", H168="Necessary", OR(K168="Limited Impact", K168="Significant Impact"), L168&lt;&gt;""), "Pass with Conditions", IF(OR(E168="Not Legitimate", H168="Not Necessary", K168="High Impact"), "Fail - Data Subject''s Rights Prevail", "Pass with Conditions")))</f>
        <v/>
      </c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>
        <f>IF(AND(E169="Legitimate", H169="Necessary", K169="Minimal Impact"), "Pass - Legitimate Interest Prevails", IF(AND(E169="Legitimate", H169="Necessary", OR(K169="Limited Impact", K169="Significant Impact"), L169&lt;&gt;""), "Pass with Conditions", IF(OR(E169="Not Legitimate", H169="Not Necessary", K169="High Impact"), "Fail - Data Subject''s Rights Prevail", "Pass with Conditions")))</f>
        <v/>
      </c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>
        <f>IF(AND(E170="Legitimate", H170="Necessary", K170="Minimal Impact"), "Pass - Legitimate Interest Prevails", IF(AND(E170="Legitimate", H170="Necessary", OR(K170="Limited Impact", K170="Significant Impact"), L170&lt;&gt;""), "Pass with Conditions", IF(OR(E170="Not Legitimate", H170="Not Necessary", K170="High Impact"), "Fail - Data Subject''s Rights Prevail", "Pass with Conditions")))</f>
        <v/>
      </c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>
        <f>IF(AND(E171="Legitimate", H171="Necessary", K171="Minimal Impact"), "Pass - Legitimate Interest Prevails", IF(AND(E171="Legitimate", H171="Necessary", OR(K171="Limited Impact", K171="Significant Impact"), L171&lt;&gt;""), "Pass with Conditions", IF(OR(E171="Not Legitimate", H171="Not Necessary", K171="High Impact"), "Fail - Data Subject''s Rights Prevail", "Pass with Conditions")))</f>
        <v/>
      </c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>
        <f>IF(AND(E172="Legitimate", H172="Necessary", K172="Minimal Impact"), "Pass - Legitimate Interest Prevails", IF(AND(E172="Legitimate", H172="Necessary", OR(K172="Limited Impact", K172="Significant Impact"), L172&lt;&gt;""), "Pass with Conditions", IF(OR(E172="Not Legitimate", H172="Not Necessary", K172="High Impact"), "Fail - Data Subject''s Rights Prevail", "Pass with Conditions")))</f>
        <v/>
      </c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>
        <f>IF(AND(E173="Legitimate", H173="Necessary", K173="Minimal Impact"), "Pass - Legitimate Interest Prevails", IF(AND(E173="Legitimate", H173="Necessary", OR(K173="Limited Impact", K173="Significant Impact"), L173&lt;&gt;""), "Pass with Conditions", IF(OR(E173="Not Legitimate", H173="Not Necessary", K173="High Impact"), "Fail - Data Subject''s Rights Prevail", "Pass with Conditions")))</f>
        <v/>
      </c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>
        <f>IF(AND(E174="Legitimate", H174="Necessary", K174="Minimal Impact"), "Pass - Legitimate Interest Prevails", IF(AND(E174="Legitimate", H174="Necessary", OR(K174="Limited Impact", K174="Significant Impact"), L174&lt;&gt;""), "Pass with Conditions", IF(OR(E174="Not Legitimate", H174="Not Necessary", K174="High Impact"), "Fail - Data Subject''s Rights Prevail", "Pass with Conditions")))</f>
        <v/>
      </c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>
        <f>IF(AND(E175="Legitimate", H175="Necessary", K175="Minimal Impact"), "Pass - Legitimate Interest Prevails", IF(AND(E175="Legitimate", H175="Necessary", OR(K175="Limited Impact", K175="Significant Impact"), L175&lt;&gt;""), "Pass with Conditions", IF(OR(E175="Not Legitimate", H175="Not Necessary", K175="High Impact"), "Fail - Data Subject''s Rights Prevail", "Pass with Conditions")))</f>
        <v/>
      </c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>
        <f>IF(AND(E176="Legitimate", H176="Necessary", K176="Minimal Impact"), "Pass - Legitimate Interest Prevails", IF(AND(E176="Legitimate", H176="Necessary", OR(K176="Limited Impact", K176="Significant Impact"), L176&lt;&gt;""), "Pass with Conditions", IF(OR(E176="Not Legitimate", H176="Not Necessary", K176="High Impact"), "Fail - Data Subject''s Rights Prevail", "Pass with Conditions")))</f>
        <v/>
      </c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>
        <f>IF(AND(E177="Legitimate", H177="Necessary", K177="Minimal Impact"), "Pass - Legitimate Interest Prevails", IF(AND(E177="Legitimate", H177="Necessary", OR(K177="Limited Impact", K177="Significant Impact"), L177&lt;&gt;""), "Pass with Conditions", IF(OR(E177="Not Legitimate", H177="Not Necessary", K177="High Impact"), "Fail - Data Subject''s Rights Prevail", "Pass with Conditions")))</f>
        <v/>
      </c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>
        <f>IF(AND(E178="Legitimate", H178="Necessary", K178="Minimal Impact"), "Pass - Legitimate Interest Prevails", IF(AND(E178="Legitimate", H178="Necessary", OR(K178="Limited Impact", K178="Significant Impact"), L178&lt;&gt;""), "Pass with Conditions", IF(OR(E178="Not Legitimate", H178="Not Necessary", K178="High Impact"), "Fail - Data Subject''s Rights Prevail", "Pass with Conditions")))</f>
        <v/>
      </c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>
        <f>IF(AND(E179="Legitimate", H179="Necessary", K179="Minimal Impact"), "Pass - Legitimate Interest Prevails", IF(AND(E179="Legitimate", H179="Necessary", OR(K179="Limited Impact", K179="Significant Impact"), L179&lt;&gt;""), "Pass with Conditions", IF(OR(E179="Not Legitimate", H179="Not Necessary", K179="High Impact"), "Fail - Data Subject''s Rights Prevail", "Pass with Conditions")))</f>
        <v/>
      </c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>
        <f>IF(AND(E180="Legitimate", H180="Necessary", K180="Minimal Impact"), "Pass - Legitimate Interest Prevails", IF(AND(E180="Legitimate", H180="Necessary", OR(K180="Limited Impact", K180="Significant Impact"), L180&lt;&gt;""), "Pass with Conditions", IF(OR(E180="Not Legitimate", H180="Not Necessary", K180="High Impact"), "Fail - Data Subject''s Rights Prevail", "Pass with Conditions")))</f>
        <v/>
      </c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>
        <f>IF(AND(E181="Legitimate", H181="Necessary", K181="Minimal Impact"), "Pass - Legitimate Interest Prevails", IF(AND(E181="Legitimate", H181="Necessary", OR(K181="Limited Impact", K181="Significant Impact"), L181&lt;&gt;""), "Pass with Conditions", IF(OR(E181="Not Legitimate", H181="Not Necessary", K181="High Impact"), "Fail - Data Subject''s Rights Prevail", "Pass with Conditions")))</f>
        <v/>
      </c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>
        <f>IF(AND(E182="Legitimate", H182="Necessary", K182="Minimal Impact"), "Pass - Legitimate Interest Prevails", IF(AND(E182="Legitimate", H182="Necessary", OR(K182="Limited Impact", K182="Significant Impact"), L182&lt;&gt;""), "Pass with Conditions", IF(OR(E182="Not Legitimate", H182="Not Necessary", K182="High Impact"), "Fail - Data Subject''s Rights Prevail", "Pass with Conditions")))</f>
        <v/>
      </c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>
        <f>IF(AND(E183="Legitimate", H183="Necessary", K183="Minimal Impact"), "Pass - Legitimate Interest Prevails", IF(AND(E183="Legitimate", H183="Necessary", OR(K183="Limited Impact", K183="Significant Impact"), L183&lt;&gt;""), "Pass with Conditions", IF(OR(E183="Not Legitimate", H183="Not Necessary", K183="High Impact"), "Fail - Data Subject''s Rights Prevail", "Pass with Conditions")))</f>
        <v/>
      </c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>
        <f>IF(AND(E184="Legitimate", H184="Necessary", K184="Minimal Impact"), "Pass - Legitimate Interest Prevails", IF(AND(E184="Legitimate", H184="Necessary", OR(K184="Limited Impact", K184="Significant Impact"), L184&lt;&gt;""), "Pass with Conditions", IF(OR(E184="Not Legitimate", H184="Not Necessary", K184="High Impact"), "Fail - Data Subject''s Rights Prevail", "Pass with Conditions")))</f>
        <v/>
      </c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>
        <f>IF(AND(E185="Legitimate", H185="Necessary", K185="Minimal Impact"), "Pass - Legitimate Interest Prevails", IF(AND(E185="Legitimate", H185="Necessary", OR(K185="Limited Impact", K185="Significant Impact"), L185&lt;&gt;""), "Pass with Conditions", IF(OR(E185="Not Legitimate", H185="Not Necessary", K185="High Impact"), "Fail - Data Subject''s Rights Prevail", "Pass with Conditions")))</f>
        <v/>
      </c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>
        <f>IF(AND(E186="Legitimate", H186="Necessary", K186="Minimal Impact"), "Pass - Legitimate Interest Prevails", IF(AND(E186="Legitimate", H186="Necessary", OR(K186="Limited Impact", K186="Significant Impact"), L186&lt;&gt;""), "Pass with Conditions", IF(OR(E186="Not Legitimate", H186="Not Necessary", K186="High Impact"), "Fail - Data Subject''s Rights Prevail", "Pass with Conditions")))</f>
        <v/>
      </c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>
        <f>IF(AND(E187="Legitimate", H187="Necessary", K187="Minimal Impact"), "Pass - Legitimate Interest Prevails", IF(AND(E187="Legitimate", H187="Necessary", OR(K187="Limited Impact", K187="Significant Impact"), L187&lt;&gt;""), "Pass with Conditions", IF(OR(E187="Not Legitimate", H187="Not Necessary", K187="High Impact"), "Fail - Data Subject''s Rights Prevail", "Pass with Conditions")))</f>
        <v/>
      </c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>
        <f>IF(AND(E188="Legitimate", H188="Necessary", K188="Minimal Impact"), "Pass - Legitimate Interest Prevails", IF(AND(E188="Legitimate", H188="Necessary", OR(K188="Limited Impact", K188="Significant Impact"), L188&lt;&gt;""), "Pass with Conditions", IF(OR(E188="Not Legitimate", H188="Not Necessary", K188="High Impact"), "Fail - Data Subject''s Rights Prevail", "Pass with Conditions")))</f>
        <v/>
      </c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>
        <f>IF(AND(E189="Legitimate", H189="Necessary", K189="Minimal Impact"), "Pass - Legitimate Interest Prevails", IF(AND(E189="Legitimate", H189="Necessary", OR(K189="Limited Impact", K189="Significant Impact"), L189&lt;&gt;""), "Pass with Conditions", IF(OR(E189="Not Legitimate", H189="Not Necessary", K189="High Impact"), "Fail - Data Subject''s Rights Prevail", "Pass with Conditions")))</f>
        <v/>
      </c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>
        <f>IF(AND(E190="Legitimate", H190="Necessary", K190="Minimal Impact"), "Pass - Legitimate Interest Prevails", IF(AND(E190="Legitimate", H190="Necessary", OR(K190="Limited Impact", K190="Significant Impact"), L190&lt;&gt;""), "Pass with Conditions", IF(OR(E190="Not Legitimate", H190="Not Necessary", K190="High Impact"), "Fail - Data Subject''s Rights Prevail", "Pass with Conditions")))</f>
        <v/>
      </c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>
        <f>IF(AND(E191="Legitimate", H191="Necessary", K191="Minimal Impact"), "Pass - Legitimate Interest Prevails", IF(AND(E191="Legitimate", H191="Necessary", OR(K191="Limited Impact", K191="Significant Impact"), L191&lt;&gt;""), "Pass with Conditions", IF(OR(E191="Not Legitimate", H191="Not Necessary", K191="High Impact"), "Fail - Data Subject''s Rights Prevail", "Pass with Conditions")))</f>
        <v/>
      </c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>
        <f>IF(AND(E192="Legitimate", H192="Necessary", K192="Minimal Impact"), "Pass - Legitimate Interest Prevails", IF(AND(E192="Legitimate", H192="Necessary", OR(K192="Limited Impact", K192="Significant Impact"), L192&lt;&gt;""), "Pass with Conditions", IF(OR(E192="Not Legitimate", H192="Not Necessary", K192="High Impact"), "Fail - Data Subject''s Rights Prevail", "Pass with Conditions")))</f>
        <v/>
      </c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>
        <f>IF(AND(E193="Legitimate", H193="Necessary", K193="Minimal Impact"), "Pass - Legitimate Interest Prevails", IF(AND(E193="Legitimate", H193="Necessary", OR(K193="Limited Impact", K193="Significant Impact"), L193&lt;&gt;""), "Pass with Conditions", IF(OR(E193="Not Legitimate", H193="Not Necessary", K193="High Impact"), "Fail - Data Subject''s Rights Prevail", "Pass with Conditions")))</f>
        <v/>
      </c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>
        <f>IF(AND(E194="Legitimate", H194="Necessary", K194="Minimal Impact"), "Pass - Legitimate Interest Prevails", IF(AND(E194="Legitimate", H194="Necessary", OR(K194="Limited Impact", K194="Significant Impact"), L194&lt;&gt;""), "Pass with Conditions", IF(OR(E194="Not Legitimate", H194="Not Necessary", K194="High Impact"), "Fail - Data Subject''s Rights Prevail", "Pass with Conditions")))</f>
        <v/>
      </c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>
        <f>IF(AND(E195="Legitimate", H195="Necessary", K195="Minimal Impact"), "Pass - Legitimate Interest Prevails", IF(AND(E195="Legitimate", H195="Necessary", OR(K195="Limited Impact", K195="Significant Impact"), L195&lt;&gt;""), "Pass with Conditions", IF(OR(E195="Not Legitimate", H195="Not Necessary", K195="High Impact"), "Fail - Data Subject''s Rights Prevail", "Pass with Conditions")))</f>
        <v/>
      </c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>
        <f>IF(AND(E196="Legitimate", H196="Necessary", K196="Minimal Impact"), "Pass - Legitimate Interest Prevails", IF(AND(E196="Legitimate", H196="Necessary", OR(K196="Limited Impact", K196="Significant Impact"), L196&lt;&gt;""), "Pass with Conditions", IF(OR(E196="Not Legitimate", H196="Not Necessary", K196="High Impact"), "Fail - Data Subject''s Rights Prevail", "Pass with Conditions")))</f>
        <v/>
      </c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>
        <f>IF(AND(E197="Legitimate", H197="Necessary", K197="Minimal Impact"), "Pass - Legitimate Interest Prevails", IF(AND(E197="Legitimate", H197="Necessary", OR(K197="Limited Impact", K197="Significant Impact"), L197&lt;&gt;""), "Pass with Conditions", IF(OR(E197="Not Legitimate", H197="Not Necessary", K197="High Impact"), "Fail - Data Subject''s Rights Prevail", "Pass with Conditions")))</f>
        <v/>
      </c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>
        <f>IF(AND(E198="Legitimate", H198="Necessary", K198="Minimal Impact"), "Pass - Legitimate Interest Prevails", IF(AND(E198="Legitimate", H198="Necessary", OR(K198="Limited Impact", K198="Significant Impact"), L198&lt;&gt;""), "Pass with Conditions", IF(OR(E198="Not Legitimate", H198="Not Necessary", K198="High Impact"), "Fail - Data Subject''s Rights Prevail", "Pass with Conditions")))</f>
        <v/>
      </c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>
        <f>IF(AND(E199="Legitimate", H199="Necessary", K199="Minimal Impact"), "Pass - Legitimate Interest Prevails", IF(AND(E199="Legitimate", H199="Necessary", OR(K199="Limited Impact", K199="Significant Impact"), L199&lt;&gt;""), "Pass with Conditions", IF(OR(E199="Not Legitimate", H199="Not Necessary", K199="High Impact"), "Fail - Data Subject''s Rights Prevail", "Pass with Conditions")))</f>
        <v/>
      </c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>
        <f>IF(AND(E200="Legitimate", H200="Necessary", K200="Minimal Impact"), "Pass - Legitimate Interest Prevails", IF(AND(E200="Legitimate", H200="Necessary", OR(K200="Limited Impact", K200="Significant Impact"), L200&lt;&gt;""), "Pass with Conditions", IF(OR(E200="Not Legitimate", H200="Not Necessary", K200="High Impact"), "Fail - Data Subject''s Rights Prevail", "Pass with Conditions")))</f>
        <v/>
      </c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>
        <f>IF(AND(E201="Legitimate", H201="Necessary", K201="Minimal Impact"), "Pass - Legitimate Interest Prevails", IF(AND(E201="Legitimate", H201="Necessary", OR(K201="Limited Impact", K201="Significant Impact"), L201&lt;&gt;""), "Pass with Conditions", IF(OR(E201="Not Legitimate", H201="Not Necessary", K201="High Impact"), "Fail - Data Subject''s Rights Prevail", "Pass with Conditions")))</f>
        <v/>
      </c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>
        <f>IF(AND(E202="Legitimate", H202="Necessary", K202="Minimal Impact"), "Pass - Legitimate Interest Prevails", IF(AND(E202="Legitimate", H202="Necessary", OR(K202="Limited Impact", K202="Significant Impact"), L202&lt;&gt;""), "Pass with Conditions", IF(OR(E202="Not Legitimate", H202="Not Necessary", K202="High Impact"), "Fail - Data Subject''s Rights Prevail", "Pass with Conditions")))</f>
        <v/>
      </c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>
        <f>IF(AND(E203="Legitimate", H203="Necessary", K203="Minimal Impact"), "Pass - Legitimate Interest Prevails", IF(AND(E203="Legitimate", H203="Necessary", OR(K203="Limited Impact", K203="Significant Impact"), L203&lt;&gt;""), "Pass with Conditions", IF(OR(E203="Not Legitimate", H203="Not Necessary", K203="High Impact"), "Fail - Data Subject''s Rights Prevail", "Pass with Conditions")))</f>
        <v/>
      </c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>
        <f>IF(AND(E204="Legitimate", H204="Necessary", K204="Minimal Impact"), "Pass - Legitimate Interest Prevails", IF(AND(E204="Legitimate", H204="Necessary", OR(K204="Limited Impact", K204="Significant Impact"), L204&lt;&gt;""), "Pass with Conditions", IF(OR(E204="Not Legitimate", H204="Not Necessary", K204="High Impact"), "Fail - Data Subject''s Rights Prevail", "Pass with Conditions")))</f>
        <v/>
      </c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>
        <f>IF(AND(E205="Legitimate", H205="Necessary", K205="Minimal Impact"), "Pass - Legitimate Interest Prevails", IF(AND(E205="Legitimate", H205="Necessary", OR(K205="Limited Impact", K205="Significant Impact"), L205&lt;&gt;""), "Pass with Conditions", IF(OR(E205="Not Legitimate", H205="Not Necessary", K205="High Impact"), "Fail - Data Subject''s Rights Prevail", "Pass with Conditions")))</f>
        <v/>
      </c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>
        <f>IF(AND(E206="Legitimate", H206="Necessary", K206="Minimal Impact"), "Pass - Legitimate Interest Prevails", IF(AND(E206="Legitimate", H206="Necessary", OR(K206="Limited Impact", K206="Significant Impact"), L206&lt;&gt;""), "Pass with Conditions", IF(OR(E206="Not Legitimate", H206="Not Necessary", K206="High Impact"), "Fail - Data Subject''s Rights Prevail", "Pass with Conditions")))</f>
        <v/>
      </c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>
        <f>IF(AND(E207="Legitimate", H207="Necessary", K207="Minimal Impact"), "Pass - Legitimate Interest Prevails", IF(AND(E207="Legitimate", H207="Necessary", OR(K207="Limited Impact", K207="Significant Impact"), L207&lt;&gt;""), "Pass with Conditions", IF(OR(E207="Not Legitimate", H207="Not Necessary", K207="High Impact"), "Fail - Data Subject''s Rights Prevail", "Pass with Conditions")))</f>
        <v/>
      </c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>
        <f>IF(AND(E208="Legitimate", H208="Necessary", K208="Minimal Impact"), "Pass - Legitimate Interest Prevails", IF(AND(E208="Legitimate", H208="Necessary", OR(K208="Limited Impact", K208="Significant Impact"), L208&lt;&gt;""), "Pass with Conditions", IF(OR(E208="Not Legitimate", H208="Not Necessary", K208="High Impact"), "Fail - Data Subject''s Rights Prevail", "Pass with Conditions")))</f>
        <v/>
      </c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>
        <f>IF(AND(E209="Legitimate", H209="Necessary", K209="Minimal Impact"), "Pass - Legitimate Interest Prevails", IF(AND(E209="Legitimate", H209="Necessary", OR(K209="Limited Impact", K209="Significant Impact"), L209&lt;&gt;""), "Pass with Conditions", IF(OR(E209="Not Legitimate", H209="Not Necessary", K209="High Impact"), "Fail - Data Subject''s Rights Prevail", "Pass with Conditions")))</f>
        <v/>
      </c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>
        <f>IF(AND(E210="Legitimate", H210="Necessary", K210="Minimal Impact"), "Pass - Legitimate Interest Prevails", IF(AND(E210="Legitimate", H210="Necessary", OR(K210="Limited Impact", K210="Significant Impact"), L210&lt;&gt;""), "Pass with Conditions", IF(OR(E210="Not Legitimate", H210="Not Necessary", K210="High Impact"), "Fail - Data Subject''s Rights Prevail", "Pass with Conditions")))</f>
        <v/>
      </c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>
        <f>IF(AND(E211="Legitimate", H211="Necessary", K211="Minimal Impact"), "Pass - Legitimate Interest Prevails", IF(AND(E211="Legitimate", H211="Necessary", OR(K211="Limited Impact", K211="Significant Impact"), L211&lt;&gt;""), "Pass with Conditions", IF(OR(E211="Not Legitimate", H211="Not Necessary", K211="High Impact"), "Fail - Data Subject''s Rights Prevail", "Pass with Conditions")))</f>
        <v/>
      </c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>
        <f>IF(AND(E212="Legitimate", H212="Necessary", K212="Minimal Impact"), "Pass - Legitimate Interest Prevails", IF(AND(E212="Legitimate", H212="Necessary", OR(K212="Limited Impact", K212="Significant Impact"), L212&lt;&gt;""), "Pass with Conditions", IF(OR(E212="Not Legitimate", H212="Not Necessary", K212="High Impact"), "Fail - Data Subject''s Rights Prevail", "Pass with Conditions")))</f>
        <v/>
      </c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>
        <f>IF(AND(E213="Legitimate", H213="Necessary", K213="Minimal Impact"), "Pass - Legitimate Interest Prevails", IF(AND(E213="Legitimate", H213="Necessary", OR(K213="Limited Impact", K213="Significant Impact"), L213&lt;&gt;""), "Pass with Conditions", IF(OR(E213="Not Legitimate", H213="Not Necessary", K213="High Impact"), "Fail - Data Subject''s Rights Prevail", "Pass with Conditions")))</f>
        <v/>
      </c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>
        <f>IF(AND(E214="Legitimate", H214="Necessary", K214="Minimal Impact"), "Pass - Legitimate Interest Prevails", IF(AND(E214="Legitimate", H214="Necessary", OR(K214="Limited Impact", K214="Significant Impact"), L214&lt;&gt;""), "Pass with Conditions", IF(OR(E214="Not Legitimate", H214="Not Necessary", K214="High Impact"), "Fail - Data Subject''s Rights Prevail", "Pass with Conditions")))</f>
        <v/>
      </c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>
        <f>IF(AND(E215="Legitimate", H215="Necessary", K215="Minimal Impact"), "Pass - Legitimate Interest Prevails", IF(AND(E215="Legitimate", H215="Necessary", OR(K215="Limited Impact", K215="Significant Impact"), L215&lt;&gt;""), "Pass with Conditions", IF(OR(E215="Not Legitimate", H215="Not Necessary", K215="High Impact"), "Fail - Data Subject''s Rights Prevail", "Pass with Conditions")))</f>
        <v/>
      </c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>
        <f>IF(AND(E216="Legitimate", H216="Necessary", K216="Minimal Impact"), "Pass - Legitimate Interest Prevails", IF(AND(E216="Legitimate", H216="Necessary", OR(K216="Limited Impact", K216="Significant Impact"), L216&lt;&gt;""), "Pass with Conditions", IF(OR(E216="Not Legitimate", H216="Not Necessary", K216="High Impact"), "Fail - Data Subject''s Rights Prevail", "Pass with Conditions")))</f>
        <v/>
      </c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>
        <f>IF(AND(E217="Legitimate", H217="Necessary", K217="Minimal Impact"), "Pass - Legitimate Interest Prevails", IF(AND(E217="Legitimate", H217="Necessary", OR(K217="Limited Impact", K217="Significant Impact"), L217&lt;&gt;""), "Pass with Conditions", IF(OR(E217="Not Legitimate", H217="Not Necessary", K217="High Impact"), "Fail - Data Subject''s Rights Prevail", "Pass with Conditions")))</f>
        <v/>
      </c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>
        <f>IF(AND(E218="Legitimate", H218="Necessary", K218="Minimal Impact"), "Pass - Legitimate Interest Prevails", IF(AND(E218="Legitimate", H218="Necessary", OR(K218="Limited Impact", K218="Significant Impact"), L218&lt;&gt;""), "Pass with Conditions", IF(OR(E218="Not Legitimate", H218="Not Necessary", K218="High Impact"), "Fail - Data Subject''s Rights Prevail", "Pass with Conditions")))</f>
        <v/>
      </c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>
        <f>IF(AND(E219="Legitimate", H219="Necessary", K219="Minimal Impact"), "Pass - Legitimate Interest Prevails", IF(AND(E219="Legitimate", H219="Necessary", OR(K219="Limited Impact", K219="Significant Impact"), L219&lt;&gt;""), "Pass with Conditions", IF(OR(E219="Not Legitimate", H219="Not Necessary", K219="High Impact"), "Fail - Data Subject''s Rights Prevail", "Pass with Conditions")))</f>
        <v/>
      </c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>
        <f>IF(AND(E220="Legitimate", H220="Necessary", K220="Minimal Impact"), "Pass - Legitimate Interest Prevails", IF(AND(E220="Legitimate", H220="Necessary", OR(K220="Limited Impact", K220="Significant Impact"), L220&lt;&gt;""), "Pass with Conditions", IF(OR(E220="Not Legitimate", H220="Not Necessary", K220="High Impact"), "Fail - Data Subject''s Rights Prevail", "Pass with Conditions")))</f>
        <v/>
      </c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>
        <f>IF(AND(E221="Legitimate", H221="Necessary", K221="Minimal Impact"), "Pass - Legitimate Interest Prevails", IF(AND(E221="Legitimate", H221="Necessary", OR(K221="Limited Impact", K221="Significant Impact"), L221&lt;&gt;""), "Pass with Conditions", IF(OR(E221="Not Legitimate", H221="Not Necessary", K221="High Impact"), "Fail - Data Subject''s Rights Prevail", "Pass with Conditions")))</f>
        <v/>
      </c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>
        <f>IF(AND(E222="Legitimate", H222="Necessary", K222="Minimal Impact"), "Pass - Legitimate Interest Prevails", IF(AND(E222="Legitimate", H222="Necessary", OR(K222="Limited Impact", K222="Significant Impact"), L222&lt;&gt;""), "Pass with Conditions", IF(OR(E222="Not Legitimate", H222="Not Necessary", K222="High Impact"), "Fail - Data Subject''s Rights Prevail", "Pass with Conditions")))</f>
        <v/>
      </c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>
        <f>IF(AND(E223="Legitimate", H223="Necessary", K223="Minimal Impact"), "Pass - Legitimate Interest Prevails", IF(AND(E223="Legitimate", H223="Necessary", OR(K223="Limited Impact", K223="Significant Impact"), L223&lt;&gt;""), "Pass with Conditions", IF(OR(E223="Not Legitimate", H223="Not Necessary", K223="High Impact"), "Fail - Data Subject''s Rights Prevail", "Pass with Conditions")))</f>
        <v/>
      </c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>
        <f>IF(AND(E224="Legitimate", H224="Necessary", K224="Minimal Impact"), "Pass - Legitimate Interest Prevails", IF(AND(E224="Legitimate", H224="Necessary", OR(K224="Limited Impact", K224="Significant Impact"), L224&lt;&gt;""), "Pass with Conditions", IF(OR(E224="Not Legitimate", H224="Not Necessary", K224="High Impact"), "Fail - Data Subject''s Rights Prevail", "Pass with Conditions")))</f>
        <v/>
      </c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>
        <f>IF(AND(E225="Legitimate", H225="Necessary", K225="Minimal Impact"), "Pass - Legitimate Interest Prevails", IF(AND(E225="Legitimate", H225="Necessary", OR(K225="Limited Impact", K225="Significant Impact"), L225&lt;&gt;""), "Pass with Conditions", IF(OR(E225="Not Legitimate", H225="Not Necessary", K225="High Impact"), "Fail - Data Subject''s Rights Prevail", "Pass with Conditions")))</f>
        <v/>
      </c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>
        <f>IF(AND(E226="Legitimate", H226="Necessary", K226="Minimal Impact"), "Pass - Legitimate Interest Prevails", IF(AND(E226="Legitimate", H226="Necessary", OR(K226="Limited Impact", K226="Significant Impact"), L226&lt;&gt;""), "Pass with Conditions", IF(OR(E226="Not Legitimate", H226="Not Necessary", K226="High Impact"), "Fail - Data Subject''s Rights Prevail", "Pass with Conditions")))</f>
        <v/>
      </c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>
        <f>IF(AND(E227="Legitimate", H227="Necessary", K227="Minimal Impact"), "Pass - Legitimate Interest Prevails", IF(AND(E227="Legitimate", H227="Necessary", OR(K227="Limited Impact", K227="Significant Impact"), L227&lt;&gt;""), "Pass with Conditions", IF(OR(E227="Not Legitimate", H227="Not Necessary", K227="High Impact"), "Fail - Data Subject''s Rights Prevail", "Pass with Conditions")))</f>
        <v/>
      </c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>
        <f>IF(AND(E228="Legitimate", H228="Necessary", K228="Minimal Impact"), "Pass - Legitimate Interest Prevails", IF(AND(E228="Legitimate", H228="Necessary", OR(K228="Limited Impact", K228="Significant Impact"), L228&lt;&gt;""), "Pass with Conditions", IF(OR(E228="Not Legitimate", H228="Not Necessary", K228="High Impact"), "Fail - Data Subject''s Rights Prevail", "Pass with Conditions")))</f>
        <v/>
      </c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>
        <f>IF(AND(E229="Legitimate", H229="Necessary", K229="Minimal Impact"), "Pass - Legitimate Interest Prevails", IF(AND(E229="Legitimate", H229="Necessary", OR(K229="Limited Impact", K229="Significant Impact"), L229&lt;&gt;""), "Pass with Conditions", IF(OR(E229="Not Legitimate", H229="Not Necessary", K229="High Impact"), "Fail - Data Subject''s Rights Prevail", "Pass with Conditions")))</f>
        <v/>
      </c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>
        <f>IF(AND(E230="Legitimate", H230="Necessary", K230="Minimal Impact"), "Pass - Legitimate Interest Prevails", IF(AND(E230="Legitimate", H230="Necessary", OR(K230="Limited Impact", K230="Significant Impact"), L230&lt;&gt;""), "Pass with Conditions", IF(OR(E230="Not Legitimate", H230="Not Necessary", K230="High Impact"), "Fail - Data Subject''s Rights Prevail", "Pass with Conditions")))</f>
        <v/>
      </c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>
        <f>IF(AND(E231="Legitimate", H231="Necessary", K231="Minimal Impact"), "Pass - Legitimate Interest Prevails", IF(AND(E231="Legitimate", H231="Necessary", OR(K231="Limited Impact", K231="Significant Impact"), L231&lt;&gt;""), "Pass with Conditions", IF(OR(E231="Not Legitimate", H231="Not Necessary", K231="High Impact"), "Fail - Data Subject''s Rights Prevail", "Pass with Conditions")))</f>
        <v/>
      </c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>
        <f>IF(AND(E232="Legitimate", H232="Necessary", K232="Minimal Impact"), "Pass - Legitimate Interest Prevails", IF(AND(E232="Legitimate", H232="Necessary", OR(K232="Limited Impact", K232="Significant Impact"), L232&lt;&gt;""), "Pass with Conditions", IF(OR(E232="Not Legitimate", H232="Not Necessary", K232="High Impact"), "Fail - Data Subject''s Rights Prevail", "Pass with Conditions")))</f>
        <v/>
      </c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>
        <f>IF(AND(E233="Legitimate", H233="Necessary", K233="Minimal Impact"), "Pass - Legitimate Interest Prevails", IF(AND(E233="Legitimate", H233="Necessary", OR(K233="Limited Impact", K233="Significant Impact"), L233&lt;&gt;""), "Pass with Conditions", IF(OR(E233="Not Legitimate", H233="Not Necessary", K233="High Impact"), "Fail - Data Subject''s Rights Prevail", "Pass with Conditions")))</f>
        <v/>
      </c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>
        <f>IF(AND(E234="Legitimate", H234="Necessary", K234="Minimal Impact"), "Pass - Legitimate Interest Prevails", IF(AND(E234="Legitimate", H234="Necessary", OR(K234="Limited Impact", K234="Significant Impact"), L234&lt;&gt;""), "Pass with Conditions", IF(OR(E234="Not Legitimate", H234="Not Necessary", K234="High Impact"), "Fail - Data Subject''s Rights Prevail", "Pass with Conditions")))</f>
        <v/>
      </c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>
        <f>IF(AND(E235="Legitimate", H235="Necessary", K235="Minimal Impact"), "Pass - Legitimate Interest Prevails", IF(AND(E235="Legitimate", H235="Necessary", OR(K235="Limited Impact", K235="Significant Impact"), L235&lt;&gt;""), "Pass with Conditions", IF(OR(E235="Not Legitimate", H235="Not Necessary", K235="High Impact"), "Fail - Data Subject''s Rights Prevail", "Pass with Conditions")))</f>
        <v/>
      </c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>
        <f>IF(AND(E236="Legitimate", H236="Necessary", K236="Minimal Impact"), "Pass - Legitimate Interest Prevails", IF(AND(E236="Legitimate", H236="Necessary", OR(K236="Limited Impact", K236="Significant Impact"), L236&lt;&gt;""), "Pass with Conditions", IF(OR(E236="Not Legitimate", H236="Not Necessary", K236="High Impact"), "Fail - Data Subject''s Rights Prevail", "Pass with Conditions")))</f>
        <v/>
      </c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>
        <f>IF(AND(E237="Legitimate", H237="Necessary", K237="Minimal Impact"), "Pass - Legitimate Interest Prevails", IF(AND(E237="Legitimate", H237="Necessary", OR(K237="Limited Impact", K237="Significant Impact"), L237&lt;&gt;""), "Pass with Conditions", IF(OR(E237="Not Legitimate", H237="Not Necessary", K237="High Impact"), "Fail - Data Subject''s Rights Prevail", "Pass with Conditions")))</f>
        <v/>
      </c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>
        <f>IF(AND(E238="Legitimate", H238="Necessary", K238="Minimal Impact"), "Pass - Legitimate Interest Prevails", IF(AND(E238="Legitimate", H238="Necessary", OR(K238="Limited Impact", K238="Significant Impact"), L238&lt;&gt;""), "Pass with Conditions", IF(OR(E238="Not Legitimate", H238="Not Necessary", K238="High Impact"), "Fail - Data Subject''s Rights Prevail", "Pass with Conditions")))</f>
        <v/>
      </c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>
        <f>IF(AND(E239="Legitimate", H239="Necessary", K239="Minimal Impact"), "Pass - Legitimate Interest Prevails", IF(AND(E239="Legitimate", H239="Necessary", OR(K239="Limited Impact", K239="Significant Impact"), L239&lt;&gt;""), "Pass with Conditions", IF(OR(E239="Not Legitimate", H239="Not Necessary", K239="High Impact"), "Fail - Data Subject''s Rights Prevail", "Pass with Conditions")))</f>
        <v/>
      </c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>
        <f>IF(AND(E240="Legitimate", H240="Necessary", K240="Minimal Impact"), "Pass - Legitimate Interest Prevails", IF(AND(E240="Legitimate", H240="Necessary", OR(K240="Limited Impact", K240="Significant Impact"), L240&lt;&gt;""), "Pass with Conditions", IF(OR(E240="Not Legitimate", H240="Not Necessary", K240="High Impact"), "Fail - Data Subject''s Rights Prevail", "Pass with Conditions")))</f>
        <v/>
      </c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>
        <f>IF(AND(E241="Legitimate", H241="Necessary", K241="Minimal Impact"), "Pass - Legitimate Interest Prevails", IF(AND(E241="Legitimate", H241="Necessary", OR(K241="Limited Impact", K241="Significant Impact"), L241&lt;&gt;""), "Pass with Conditions", IF(OR(E241="Not Legitimate", H241="Not Necessary", K241="High Impact"), "Fail - Data Subject''s Rights Prevail", "Pass with Conditions")))</f>
        <v/>
      </c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>
        <f>IF(AND(E242="Legitimate", H242="Necessary", K242="Minimal Impact"), "Pass - Legitimate Interest Prevails", IF(AND(E242="Legitimate", H242="Necessary", OR(K242="Limited Impact", K242="Significant Impact"), L242&lt;&gt;""), "Pass with Conditions", IF(OR(E242="Not Legitimate", H242="Not Necessary", K242="High Impact"), "Fail - Data Subject''s Rights Prevail", "Pass with Conditions")))</f>
        <v/>
      </c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>
        <f>IF(AND(E243="Legitimate", H243="Necessary", K243="Minimal Impact"), "Pass - Legitimate Interest Prevails", IF(AND(E243="Legitimate", H243="Necessary", OR(K243="Limited Impact", K243="Significant Impact"), L243&lt;&gt;""), "Pass with Conditions", IF(OR(E243="Not Legitimate", H243="Not Necessary", K243="High Impact"), "Fail - Data Subject''s Rights Prevail", "Pass with Conditions")))</f>
        <v/>
      </c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>
        <f>IF(AND(E244="Legitimate", H244="Necessary", K244="Minimal Impact"), "Pass - Legitimate Interest Prevails", IF(AND(E244="Legitimate", H244="Necessary", OR(K244="Limited Impact", K244="Significant Impact"), L244&lt;&gt;""), "Pass with Conditions", IF(OR(E244="Not Legitimate", H244="Not Necessary", K244="High Impact"), "Fail - Data Subject''s Rights Prevail", "Pass with Conditions")))</f>
        <v/>
      </c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>
        <f>IF(AND(E245="Legitimate", H245="Necessary", K245="Minimal Impact"), "Pass - Legitimate Interest Prevails", IF(AND(E245="Legitimate", H245="Necessary", OR(K245="Limited Impact", K245="Significant Impact"), L245&lt;&gt;""), "Pass with Conditions", IF(OR(E245="Not Legitimate", H245="Not Necessary", K245="High Impact"), "Fail - Data Subject''s Rights Prevail", "Pass with Conditions")))</f>
        <v/>
      </c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>
        <f>IF(AND(E246="Legitimate", H246="Necessary", K246="Minimal Impact"), "Pass - Legitimate Interest Prevails", IF(AND(E246="Legitimate", H246="Necessary", OR(K246="Limited Impact", K246="Significant Impact"), L246&lt;&gt;""), "Pass with Conditions", IF(OR(E246="Not Legitimate", H246="Not Necessary", K246="High Impact"), "Fail - Data Subject''s Rights Prevail", "Pass with Conditions")))</f>
        <v/>
      </c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>
        <f>IF(AND(E247="Legitimate", H247="Necessary", K247="Minimal Impact"), "Pass - Legitimate Interest Prevails", IF(AND(E247="Legitimate", H247="Necessary", OR(K247="Limited Impact", K247="Significant Impact"), L247&lt;&gt;""), "Pass with Conditions", IF(OR(E247="Not Legitimate", H247="Not Necessary", K247="High Impact"), "Fail - Data Subject''s Rights Prevail", "Pass with Conditions")))</f>
        <v/>
      </c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>
        <f>IF(AND(E248="Legitimate", H248="Necessary", K248="Minimal Impact"), "Pass - Legitimate Interest Prevails", IF(AND(E248="Legitimate", H248="Necessary", OR(K248="Limited Impact", K248="Significant Impact"), L248&lt;&gt;""), "Pass with Conditions", IF(OR(E248="Not Legitimate", H248="Not Necessary", K248="High Impact"), "Fail - Data Subject''s Rights Prevail", "Pass with Conditions")))</f>
        <v/>
      </c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>
        <f>IF(AND(E249="Legitimate", H249="Necessary", K249="Minimal Impact"), "Pass - Legitimate Interest Prevails", IF(AND(E249="Legitimate", H249="Necessary", OR(K249="Limited Impact", K249="Significant Impact"), L249&lt;&gt;""), "Pass with Conditions", IF(OR(E249="Not Legitimate", H249="Not Necessary", K249="High Impact"), "Fail - Data Subject''s Rights Prevail", "Pass with Conditions")))</f>
        <v/>
      </c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>
        <f>IF(AND(E250="Legitimate", H250="Necessary", K250="Minimal Impact"), "Pass - Legitimate Interest Prevails", IF(AND(E250="Legitimate", H250="Necessary", OR(K250="Limited Impact", K250="Significant Impact"), L250&lt;&gt;""), "Pass with Conditions", IF(OR(E250="Not Legitimate", H250="Not Necessary", K250="High Impact"), "Fail - Data Subject''s Rights Prevail", "Pass with Conditions")))</f>
        <v/>
      </c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>
        <f>IF(AND(E251="Legitimate", H251="Necessary", K251="Minimal Impact"), "Pass - Legitimate Interest Prevails", IF(AND(E251="Legitimate", H251="Necessary", OR(K251="Limited Impact", K251="Significant Impact"), L251&lt;&gt;""), "Pass with Conditions", IF(OR(E251="Not Legitimate", H251="Not Necessary", K251="High Impact"), "Fail - Data Subject''s Rights Prevail", "Pass with Conditions")))</f>
        <v/>
      </c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>
        <f>IF(AND(E252="Legitimate", H252="Necessary", K252="Minimal Impact"), "Pass - Legitimate Interest Prevails", IF(AND(E252="Legitimate", H252="Necessary", OR(K252="Limited Impact", K252="Significant Impact"), L252&lt;&gt;""), "Pass with Conditions", IF(OR(E252="Not Legitimate", H252="Not Necessary", K252="High Impact"), "Fail - Data Subject''s Rights Prevail", "Pass with Conditions")))</f>
        <v/>
      </c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>
        <f>IF(AND(E253="Legitimate", H253="Necessary", K253="Minimal Impact"), "Pass - Legitimate Interest Prevails", IF(AND(E253="Legitimate", H253="Necessary", OR(K253="Limited Impact", K253="Significant Impact"), L253&lt;&gt;""), "Pass with Conditions", IF(OR(E253="Not Legitimate", H253="Not Necessary", K253="High Impact"), "Fail - Data Subject''s Rights Prevail", "Pass with Conditions")))</f>
        <v/>
      </c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>
        <f>IF(AND(E254="Legitimate", H254="Necessary", K254="Minimal Impact"), "Pass - Legitimate Interest Prevails", IF(AND(E254="Legitimate", H254="Necessary", OR(K254="Limited Impact", K254="Significant Impact"), L254&lt;&gt;""), "Pass with Conditions", IF(OR(E254="Not Legitimate", H254="Not Necessary", K254="High Impact"), "Fail - Data Subject''s Rights Prevail", "Pass with Conditions")))</f>
        <v/>
      </c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>
        <f>IF(AND(E255="Legitimate", H255="Necessary", K255="Minimal Impact"), "Pass - Legitimate Interest Prevails", IF(AND(E255="Legitimate", H255="Necessary", OR(K255="Limited Impact", K255="Significant Impact"), L255&lt;&gt;""), "Pass with Conditions", IF(OR(E255="Not Legitimate", H255="Not Necessary", K255="High Impact"), "Fail - Data Subject''s Rights Prevail", "Pass with Conditions")))</f>
        <v/>
      </c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>
        <f>IF(AND(E256="Legitimate", H256="Necessary", K256="Minimal Impact"), "Pass - Legitimate Interest Prevails", IF(AND(E256="Legitimate", H256="Necessary", OR(K256="Limited Impact", K256="Significant Impact"), L256&lt;&gt;""), "Pass with Conditions", IF(OR(E256="Not Legitimate", H256="Not Necessary", K256="High Impact"), "Fail - Data Subject''s Rights Prevail", "Pass with Conditions")))</f>
        <v/>
      </c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>
        <f>IF(AND(E257="Legitimate", H257="Necessary", K257="Minimal Impact"), "Pass - Legitimate Interest Prevails", IF(AND(E257="Legitimate", H257="Necessary", OR(K257="Limited Impact", K257="Significant Impact"), L257&lt;&gt;""), "Pass with Conditions", IF(OR(E257="Not Legitimate", H257="Not Necessary", K257="High Impact"), "Fail - Data Subject''s Rights Prevail", "Pass with Conditions")))</f>
        <v/>
      </c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>
        <f>IF(AND(E258="Legitimate", H258="Necessary", K258="Minimal Impact"), "Pass - Legitimate Interest Prevails", IF(AND(E258="Legitimate", H258="Necessary", OR(K258="Limited Impact", K258="Significant Impact"), L258&lt;&gt;""), "Pass with Conditions", IF(OR(E258="Not Legitimate", H258="Not Necessary", K258="High Impact"), "Fail - Data Subject''s Rights Prevail", "Pass with Conditions")))</f>
        <v/>
      </c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>
        <f>IF(AND(E259="Legitimate", H259="Necessary", K259="Minimal Impact"), "Pass - Legitimate Interest Prevails", IF(AND(E259="Legitimate", H259="Necessary", OR(K259="Limited Impact", K259="Significant Impact"), L259&lt;&gt;""), "Pass with Conditions", IF(OR(E259="Not Legitimate", H259="Not Necessary", K259="High Impact"), "Fail - Data Subject''s Rights Prevail", "Pass with Conditions")))</f>
        <v/>
      </c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>
        <f>IF(AND(E260="Legitimate", H260="Necessary", K260="Minimal Impact"), "Pass - Legitimate Interest Prevails", IF(AND(E260="Legitimate", H260="Necessary", OR(K260="Limited Impact", K260="Significant Impact"), L260&lt;&gt;""), "Pass with Conditions", IF(OR(E260="Not Legitimate", H260="Not Necessary", K260="High Impact"), "Fail - Data Subject''s Rights Prevail", "Pass with Conditions")))</f>
        <v/>
      </c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>
        <f>IF(AND(E261="Legitimate", H261="Necessary", K261="Minimal Impact"), "Pass - Legitimate Interest Prevails", IF(AND(E261="Legitimate", H261="Necessary", OR(K261="Limited Impact", K261="Significant Impact"), L261&lt;&gt;""), "Pass with Conditions", IF(OR(E261="Not Legitimate", H261="Not Necessary", K261="High Impact"), "Fail - Data Subject''s Rights Prevail", "Pass with Conditions")))</f>
        <v/>
      </c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>
        <f>IF(AND(E262="Legitimate", H262="Necessary", K262="Minimal Impact"), "Pass - Legitimate Interest Prevails", IF(AND(E262="Legitimate", H262="Necessary", OR(K262="Limited Impact", K262="Significant Impact"), L262&lt;&gt;""), "Pass with Conditions", IF(OR(E262="Not Legitimate", H262="Not Necessary", K262="High Impact"), "Fail - Data Subject''s Rights Prevail", "Pass with Conditions")))</f>
        <v/>
      </c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>
        <f>IF(AND(E263="Legitimate", H263="Necessary", K263="Minimal Impact"), "Pass - Legitimate Interest Prevails", IF(AND(E263="Legitimate", H263="Necessary", OR(K263="Limited Impact", K263="Significant Impact"), L263&lt;&gt;""), "Pass with Conditions", IF(OR(E263="Not Legitimate", H263="Not Necessary", K263="High Impact"), "Fail - Data Subject''s Rights Prevail", "Pass with Conditions")))</f>
        <v/>
      </c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>
        <f>IF(AND(E264="Legitimate", H264="Necessary", K264="Minimal Impact"), "Pass - Legitimate Interest Prevails", IF(AND(E264="Legitimate", H264="Necessary", OR(K264="Limited Impact", K264="Significant Impact"), L264&lt;&gt;""), "Pass with Conditions", IF(OR(E264="Not Legitimate", H264="Not Necessary", K264="High Impact"), "Fail - Data Subject''s Rights Prevail", "Pass with Conditions")))</f>
        <v/>
      </c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>
        <f>IF(AND(E265="Legitimate", H265="Necessary", K265="Minimal Impact"), "Pass - Legitimate Interest Prevails", IF(AND(E265="Legitimate", H265="Necessary", OR(K265="Limited Impact", K265="Significant Impact"), L265&lt;&gt;""), "Pass with Conditions", IF(OR(E265="Not Legitimate", H265="Not Necessary", K265="High Impact"), "Fail - Data Subject''s Rights Prevail", "Pass with Conditions")))</f>
        <v/>
      </c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>
        <f>IF(AND(E266="Legitimate", H266="Necessary", K266="Minimal Impact"), "Pass - Legitimate Interest Prevails", IF(AND(E266="Legitimate", H266="Necessary", OR(K266="Limited Impact", K266="Significant Impact"), L266&lt;&gt;""), "Pass with Conditions", IF(OR(E266="Not Legitimate", H266="Not Necessary", K266="High Impact"), "Fail - Data Subject''s Rights Prevail", "Pass with Conditions")))</f>
        <v/>
      </c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>
        <f>IF(AND(E267="Legitimate", H267="Necessary", K267="Minimal Impact"), "Pass - Legitimate Interest Prevails", IF(AND(E267="Legitimate", H267="Necessary", OR(K267="Limited Impact", K267="Significant Impact"), L267&lt;&gt;""), "Pass with Conditions", IF(OR(E267="Not Legitimate", H267="Not Necessary", K267="High Impact"), "Fail - Data Subject''s Rights Prevail", "Pass with Conditions")))</f>
        <v/>
      </c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>
        <f>IF(AND(E268="Legitimate", H268="Necessary", K268="Minimal Impact"), "Pass - Legitimate Interest Prevails", IF(AND(E268="Legitimate", H268="Necessary", OR(K268="Limited Impact", K268="Significant Impact"), L268&lt;&gt;""), "Pass with Conditions", IF(OR(E268="Not Legitimate", H268="Not Necessary", K268="High Impact"), "Fail - Data Subject''s Rights Prevail", "Pass with Conditions")))</f>
        <v/>
      </c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>
        <f>IF(AND(E269="Legitimate", H269="Necessary", K269="Minimal Impact"), "Pass - Legitimate Interest Prevails", IF(AND(E269="Legitimate", H269="Necessary", OR(K269="Limited Impact", K269="Significant Impact"), L269&lt;&gt;""), "Pass with Conditions", IF(OR(E269="Not Legitimate", H269="Not Necessary", K269="High Impact"), "Fail - Data Subject''s Rights Prevail", "Pass with Conditions")))</f>
        <v/>
      </c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>
        <f>IF(AND(E270="Legitimate", H270="Necessary", K270="Minimal Impact"), "Pass - Legitimate Interest Prevails", IF(AND(E270="Legitimate", H270="Necessary", OR(K270="Limited Impact", K270="Significant Impact"), L270&lt;&gt;""), "Pass with Conditions", IF(OR(E270="Not Legitimate", H270="Not Necessary", K270="High Impact"), "Fail - Data Subject''s Rights Prevail", "Pass with Conditions")))</f>
        <v/>
      </c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>
        <f>IF(AND(E271="Legitimate", H271="Necessary", K271="Minimal Impact"), "Pass - Legitimate Interest Prevails", IF(AND(E271="Legitimate", H271="Necessary", OR(K271="Limited Impact", K271="Significant Impact"), L271&lt;&gt;""), "Pass with Conditions", IF(OR(E271="Not Legitimate", H271="Not Necessary", K271="High Impact"), "Fail - Data Subject''s Rights Prevail", "Pass with Conditions")))</f>
        <v/>
      </c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>
        <f>IF(AND(E272="Legitimate", H272="Necessary", K272="Minimal Impact"), "Pass - Legitimate Interest Prevails", IF(AND(E272="Legitimate", H272="Necessary", OR(K272="Limited Impact", K272="Significant Impact"), L272&lt;&gt;""), "Pass with Conditions", IF(OR(E272="Not Legitimate", H272="Not Necessary", K272="High Impact"), "Fail - Data Subject''s Rights Prevail", "Pass with Conditions")))</f>
        <v/>
      </c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>
        <f>IF(AND(E273="Legitimate", H273="Necessary", K273="Minimal Impact"), "Pass - Legitimate Interest Prevails", IF(AND(E273="Legitimate", H273="Necessary", OR(K273="Limited Impact", K273="Significant Impact"), L273&lt;&gt;""), "Pass with Conditions", IF(OR(E273="Not Legitimate", H273="Not Necessary", K273="High Impact"), "Fail - Data Subject''s Rights Prevail", "Pass with Conditions")))</f>
        <v/>
      </c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>
        <f>IF(AND(E274="Legitimate", H274="Necessary", K274="Minimal Impact"), "Pass - Legitimate Interest Prevails", IF(AND(E274="Legitimate", H274="Necessary", OR(K274="Limited Impact", K274="Significant Impact"), L274&lt;&gt;""), "Pass with Conditions", IF(OR(E274="Not Legitimate", H274="Not Necessary", K274="High Impact"), "Fail - Data Subject''s Rights Prevail", "Pass with Conditions")))</f>
        <v/>
      </c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>
        <f>IF(AND(E275="Legitimate", H275="Necessary", K275="Minimal Impact"), "Pass - Legitimate Interest Prevails", IF(AND(E275="Legitimate", H275="Necessary", OR(K275="Limited Impact", K275="Significant Impact"), L275&lt;&gt;""), "Pass with Conditions", IF(OR(E275="Not Legitimate", H275="Not Necessary", K275="High Impact"), "Fail - Data Subject''s Rights Prevail", "Pass with Conditions")))</f>
        <v/>
      </c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>
        <f>IF(AND(E276="Legitimate", H276="Necessary", K276="Minimal Impact"), "Pass - Legitimate Interest Prevails", IF(AND(E276="Legitimate", H276="Necessary", OR(K276="Limited Impact", K276="Significant Impact"), L276&lt;&gt;""), "Pass with Conditions", IF(OR(E276="Not Legitimate", H276="Not Necessary", K276="High Impact"), "Fail - Data Subject''s Rights Prevail", "Pass with Conditions")))</f>
        <v/>
      </c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>
        <f>IF(AND(E277="Legitimate", H277="Necessary", K277="Minimal Impact"), "Pass - Legitimate Interest Prevails", IF(AND(E277="Legitimate", H277="Necessary", OR(K277="Limited Impact", K277="Significant Impact"), L277&lt;&gt;""), "Pass with Conditions", IF(OR(E277="Not Legitimate", H277="Not Necessary", K277="High Impact"), "Fail - Data Subject''s Rights Prevail", "Pass with Conditions")))</f>
        <v/>
      </c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>
        <f>IF(AND(E278="Legitimate", H278="Necessary", K278="Minimal Impact"), "Pass - Legitimate Interest Prevails", IF(AND(E278="Legitimate", H278="Necessary", OR(K278="Limited Impact", K278="Significant Impact"), L278&lt;&gt;""), "Pass with Conditions", IF(OR(E278="Not Legitimate", H278="Not Necessary", K278="High Impact"), "Fail - Data Subject''s Rights Prevail", "Pass with Conditions")))</f>
        <v/>
      </c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>
        <f>IF(AND(E279="Legitimate", H279="Necessary", K279="Minimal Impact"), "Pass - Legitimate Interest Prevails", IF(AND(E279="Legitimate", H279="Necessary", OR(K279="Limited Impact", K279="Significant Impact"), L279&lt;&gt;""), "Pass with Conditions", IF(OR(E279="Not Legitimate", H279="Not Necessary", K279="High Impact"), "Fail - Data Subject''s Rights Prevail", "Pass with Conditions")))</f>
        <v/>
      </c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>
        <f>IF(AND(E280="Legitimate", H280="Necessary", K280="Minimal Impact"), "Pass - Legitimate Interest Prevails", IF(AND(E280="Legitimate", H280="Necessary", OR(K280="Limited Impact", K280="Significant Impact"), L280&lt;&gt;""), "Pass with Conditions", IF(OR(E280="Not Legitimate", H280="Not Necessary", K280="High Impact"), "Fail - Data Subject''s Rights Prevail", "Pass with Conditions")))</f>
        <v/>
      </c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>
        <f>IF(AND(E281="Legitimate", H281="Necessary", K281="Minimal Impact"), "Pass - Legitimate Interest Prevails", IF(AND(E281="Legitimate", H281="Necessary", OR(K281="Limited Impact", K281="Significant Impact"), L281&lt;&gt;""), "Pass with Conditions", IF(OR(E281="Not Legitimate", H281="Not Necessary", K281="High Impact"), "Fail - Data Subject''s Rights Prevail", "Pass with Conditions")))</f>
        <v/>
      </c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>
        <f>IF(AND(E282="Legitimate", H282="Necessary", K282="Minimal Impact"), "Pass - Legitimate Interest Prevails", IF(AND(E282="Legitimate", H282="Necessary", OR(K282="Limited Impact", K282="Significant Impact"), L282&lt;&gt;""), "Pass with Conditions", IF(OR(E282="Not Legitimate", H282="Not Necessary", K282="High Impact"), "Fail - Data Subject''s Rights Prevail", "Pass with Conditions")))</f>
        <v/>
      </c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>
        <f>IF(AND(E283="Legitimate", H283="Necessary", K283="Minimal Impact"), "Pass - Legitimate Interest Prevails", IF(AND(E283="Legitimate", H283="Necessary", OR(K283="Limited Impact", K283="Significant Impact"), L283&lt;&gt;""), "Pass with Conditions", IF(OR(E283="Not Legitimate", H283="Not Necessary", K283="High Impact"), "Fail - Data Subject''s Rights Prevail", "Pass with Conditions")))</f>
        <v/>
      </c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>
        <f>IF(AND(E284="Legitimate", H284="Necessary", K284="Minimal Impact"), "Pass - Legitimate Interest Prevails", IF(AND(E284="Legitimate", H284="Necessary", OR(K284="Limited Impact", K284="Significant Impact"), L284&lt;&gt;""), "Pass with Conditions", IF(OR(E284="Not Legitimate", H284="Not Necessary", K284="High Impact"), "Fail - Data Subject''s Rights Prevail", "Pass with Conditions")))</f>
        <v/>
      </c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>
        <f>IF(AND(E285="Legitimate", H285="Necessary", K285="Minimal Impact"), "Pass - Legitimate Interest Prevails", IF(AND(E285="Legitimate", H285="Necessary", OR(K285="Limited Impact", K285="Significant Impact"), L285&lt;&gt;""), "Pass with Conditions", IF(OR(E285="Not Legitimate", H285="Not Necessary", K285="High Impact"), "Fail - Data Subject''s Rights Prevail", "Pass with Conditions")))</f>
        <v/>
      </c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>
        <f>IF(AND(E286="Legitimate", H286="Necessary", K286="Minimal Impact"), "Pass - Legitimate Interest Prevails", IF(AND(E286="Legitimate", H286="Necessary", OR(K286="Limited Impact", K286="Significant Impact"), L286&lt;&gt;""), "Pass with Conditions", IF(OR(E286="Not Legitimate", H286="Not Necessary", K286="High Impact"), "Fail - Data Subject''s Rights Prevail", "Pass with Conditions")))</f>
        <v/>
      </c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>
        <f>IF(AND(E287="Legitimate", H287="Necessary", K287="Minimal Impact"), "Pass - Legitimate Interest Prevails", IF(AND(E287="Legitimate", H287="Necessary", OR(K287="Limited Impact", K287="Significant Impact"), L287&lt;&gt;""), "Pass with Conditions", IF(OR(E287="Not Legitimate", H287="Not Necessary", K287="High Impact"), "Fail - Data Subject''s Rights Prevail", "Pass with Conditions")))</f>
        <v/>
      </c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>
        <f>IF(AND(E288="Legitimate", H288="Necessary", K288="Minimal Impact"), "Pass - Legitimate Interest Prevails", IF(AND(E288="Legitimate", H288="Necessary", OR(K288="Limited Impact", K288="Significant Impact"), L288&lt;&gt;""), "Pass with Conditions", IF(OR(E288="Not Legitimate", H288="Not Necessary", K288="High Impact"), "Fail - Data Subject''s Rights Prevail", "Pass with Conditions")))</f>
        <v/>
      </c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>
        <f>IF(AND(E289="Legitimate", H289="Necessary", K289="Minimal Impact"), "Pass - Legitimate Interest Prevails", IF(AND(E289="Legitimate", H289="Necessary", OR(K289="Limited Impact", K289="Significant Impact"), L289&lt;&gt;""), "Pass with Conditions", IF(OR(E289="Not Legitimate", H289="Not Necessary", K289="High Impact"), "Fail - Data Subject''s Rights Prevail", "Pass with Conditions")))</f>
        <v/>
      </c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>
        <f>IF(AND(E290="Legitimate", H290="Necessary", K290="Minimal Impact"), "Pass - Legitimate Interest Prevails", IF(AND(E290="Legitimate", H290="Necessary", OR(K290="Limited Impact", K290="Significant Impact"), L290&lt;&gt;""), "Pass with Conditions", IF(OR(E290="Not Legitimate", H290="Not Necessary", K290="High Impact"), "Fail - Data Subject''s Rights Prevail", "Pass with Conditions")))</f>
        <v/>
      </c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>
        <f>IF(AND(E291="Legitimate", H291="Necessary", K291="Minimal Impact"), "Pass - Legitimate Interest Prevails", IF(AND(E291="Legitimate", H291="Necessary", OR(K291="Limited Impact", K291="Significant Impact"), L291&lt;&gt;""), "Pass with Conditions", IF(OR(E291="Not Legitimate", H291="Not Necessary", K291="High Impact"), "Fail - Data Subject''s Rights Prevail", "Pass with Conditions")))</f>
        <v/>
      </c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>
        <f>IF(AND(E292="Legitimate", H292="Necessary", K292="Minimal Impact"), "Pass - Legitimate Interest Prevails", IF(AND(E292="Legitimate", H292="Necessary", OR(K292="Limited Impact", K292="Significant Impact"), L292&lt;&gt;""), "Pass with Conditions", IF(OR(E292="Not Legitimate", H292="Not Necessary", K292="High Impact"), "Fail - Data Subject''s Rights Prevail", "Pass with Conditions")))</f>
        <v/>
      </c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>
        <f>IF(AND(E293="Legitimate", H293="Necessary", K293="Minimal Impact"), "Pass - Legitimate Interest Prevails", IF(AND(E293="Legitimate", H293="Necessary", OR(K293="Limited Impact", K293="Significant Impact"), L293&lt;&gt;""), "Pass with Conditions", IF(OR(E293="Not Legitimate", H293="Not Necessary", K293="High Impact"), "Fail - Data Subject''s Rights Prevail", "Pass with Conditions")))</f>
        <v/>
      </c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>
        <f>IF(AND(E294="Legitimate", H294="Necessary", K294="Minimal Impact"), "Pass - Legitimate Interest Prevails", IF(AND(E294="Legitimate", H294="Necessary", OR(K294="Limited Impact", K294="Significant Impact"), L294&lt;&gt;""), "Pass with Conditions", IF(OR(E294="Not Legitimate", H294="Not Necessary", K294="High Impact"), "Fail - Data Subject''s Rights Prevail", "Pass with Conditions")))</f>
        <v/>
      </c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>
        <f>IF(AND(E295="Legitimate", H295="Necessary", K295="Minimal Impact"), "Pass - Legitimate Interest Prevails", IF(AND(E295="Legitimate", H295="Necessary", OR(K295="Limited Impact", K295="Significant Impact"), L295&lt;&gt;""), "Pass with Conditions", IF(OR(E295="Not Legitimate", H295="Not Necessary", K295="High Impact"), "Fail - Data Subject''s Rights Prevail", "Pass with Conditions")))</f>
        <v/>
      </c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>
        <f>IF(AND(E296="Legitimate", H296="Necessary", K296="Minimal Impact"), "Pass - Legitimate Interest Prevails", IF(AND(E296="Legitimate", H296="Necessary", OR(K296="Limited Impact", K296="Significant Impact"), L296&lt;&gt;""), "Pass with Conditions", IF(OR(E296="Not Legitimate", H296="Not Necessary", K296="High Impact"), "Fail - Data Subject''s Rights Prevail", "Pass with Conditions")))</f>
        <v/>
      </c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>
        <f>IF(AND(E297="Legitimate", H297="Necessary", K297="Minimal Impact"), "Pass - Legitimate Interest Prevails", IF(AND(E297="Legitimate", H297="Necessary", OR(K297="Limited Impact", K297="Significant Impact"), L297&lt;&gt;""), "Pass with Conditions", IF(OR(E297="Not Legitimate", H297="Not Necessary", K297="High Impact"), "Fail - Data Subject''s Rights Prevail", "Pass with Conditions")))</f>
        <v/>
      </c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>
        <f>IF(AND(E298="Legitimate", H298="Necessary", K298="Minimal Impact"), "Pass - Legitimate Interest Prevails", IF(AND(E298="Legitimate", H298="Necessary", OR(K298="Limited Impact", K298="Significant Impact"), L298&lt;&gt;""), "Pass with Conditions", IF(OR(E298="Not Legitimate", H298="Not Necessary", K298="High Impact"), "Fail - Data Subject''s Rights Prevail", "Pass with Conditions")))</f>
        <v/>
      </c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>
        <f>IF(AND(E299="Legitimate", H299="Necessary", K299="Minimal Impact"), "Pass - Legitimate Interest Prevails", IF(AND(E299="Legitimate", H299="Necessary", OR(K299="Limited Impact", K299="Significant Impact"), L299&lt;&gt;""), "Pass with Conditions", IF(OR(E299="Not Legitimate", H299="Not Necessary", K299="High Impact"), "Fail - Data Subject''s Rights Prevail", "Pass with Conditions")))</f>
        <v/>
      </c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>
        <f>IF(AND(E300="Legitimate", H300="Necessary", K300="Minimal Impact"), "Pass - Legitimate Interest Prevails", IF(AND(E300="Legitimate", H300="Necessary", OR(K300="Limited Impact", K300="Significant Impact"), L300&lt;&gt;""), "Pass with Conditions", IF(OR(E300="Not Legitimate", H300="Not Necessary", K300="High Impact"), "Fail - Data Subject''s Rights Prevail", "Pass with Conditions")))</f>
        <v/>
      </c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>
        <f>IF(AND(E301="Legitimate", H301="Necessary", K301="Minimal Impact"), "Pass - Legitimate Interest Prevails", IF(AND(E301="Legitimate", H301="Necessary", OR(K301="Limited Impact", K301="Significant Impact"), L301&lt;&gt;""), "Pass with Conditions", IF(OR(E301="Not Legitimate", H301="Not Necessary", K301="High Impact"), "Fail - Data Subject''s Rights Prevail", "Pass with Conditions")))</f>
        <v/>
      </c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>
        <f>IF(AND(E302="Legitimate", H302="Necessary", K302="Minimal Impact"), "Pass - Legitimate Interest Prevails", IF(AND(E302="Legitimate", H302="Necessary", OR(K302="Limited Impact", K302="Significant Impact"), L302&lt;&gt;""), "Pass with Conditions", IF(OR(E302="Not Legitimate", H302="Not Necessary", K302="High Impact"), "Fail - Data Subject''s Rights Prevail", "Pass with Conditions")))</f>
        <v/>
      </c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>
        <f>IF(AND(E303="Legitimate", H303="Necessary", K303="Minimal Impact"), "Pass - Legitimate Interest Prevails", IF(AND(E303="Legitimate", H303="Necessary", OR(K303="Limited Impact", K303="Significant Impact"), L303&lt;&gt;""), "Pass with Conditions", IF(OR(E303="Not Legitimate", H303="Not Necessary", K303="High Impact"), "Fail - Data Subject''s Rights Prevail", "Pass with Conditions")))</f>
        <v/>
      </c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>
        <f>IF(AND(E304="Legitimate", H304="Necessary", K304="Minimal Impact"), "Pass - Legitimate Interest Prevails", IF(AND(E304="Legitimate", H304="Necessary", OR(K304="Limited Impact", K304="Significant Impact"), L304&lt;&gt;""), "Pass with Conditions", IF(OR(E304="Not Legitimate", H304="Not Necessary", K304="High Impact"), "Fail - Data Subject''s Rights Prevail", "Pass with Conditions")))</f>
        <v/>
      </c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>
        <f>IF(AND(E305="Legitimate", H305="Necessary", K305="Minimal Impact"), "Pass - Legitimate Interest Prevails", IF(AND(E305="Legitimate", H305="Necessary", OR(K305="Limited Impact", K305="Significant Impact"), L305&lt;&gt;""), "Pass with Conditions", IF(OR(E305="Not Legitimate", H305="Not Necessary", K305="High Impact"), "Fail - Data Subject''s Rights Prevail", "Pass with Conditions")))</f>
        <v/>
      </c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>
        <f>IF(AND(E306="Legitimate", H306="Necessary", K306="Minimal Impact"), "Pass - Legitimate Interest Prevails", IF(AND(E306="Legitimate", H306="Necessary", OR(K306="Limited Impact", K306="Significant Impact"), L306&lt;&gt;""), "Pass with Conditions", IF(OR(E306="Not Legitimate", H306="Not Necessary", K306="High Impact"), "Fail - Data Subject''s Rights Prevail", "Pass with Conditions")))</f>
        <v/>
      </c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>
        <f>IF(AND(E307="Legitimate", H307="Necessary", K307="Minimal Impact"), "Pass - Legitimate Interest Prevails", IF(AND(E307="Legitimate", H307="Necessary", OR(K307="Limited Impact", K307="Significant Impact"), L307&lt;&gt;""), "Pass with Conditions", IF(OR(E307="Not Legitimate", H307="Not Necessary", K307="High Impact"), "Fail - Data Subject''s Rights Prevail", "Pass with Conditions")))</f>
        <v/>
      </c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>
        <f>IF(AND(E308="Legitimate", H308="Necessary", K308="Minimal Impact"), "Pass - Legitimate Interest Prevails", IF(AND(E308="Legitimate", H308="Necessary", OR(K308="Limited Impact", K308="Significant Impact"), L308&lt;&gt;""), "Pass with Conditions", IF(OR(E308="Not Legitimate", H308="Not Necessary", K308="High Impact"), "Fail - Data Subject''s Rights Prevail", "Pass with Conditions")))</f>
        <v/>
      </c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>
        <f>IF(AND(E309="Legitimate", H309="Necessary", K309="Minimal Impact"), "Pass - Legitimate Interest Prevails", IF(AND(E309="Legitimate", H309="Necessary", OR(K309="Limited Impact", K309="Significant Impact"), L309&lt;&gt;""), "Pass with Conditions", IF(OR(E309="Not Legitimate", H309="Not Necessary", K309="High Impact"), "Fail - Data Subject''s Rights Prevail", "Pass with Conditions")))</f>
        <v/>
      </c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>
        <f>IF(AND(E310="Legitimate", H310="Necessary", K310="Minimal Impact"), "Pass - Legitimate Interest Prevails", IF(AND(E310="Legitimate", H310="Necessary", OR(K310="Limited Impact", K310="Significant Impact"), L310&lt;&gt;""), "Pass with Conditions", IF(OR(E310="Not Legitimate", H310="Not Necessary", K310="High Impact"), "Fail - Data Subject''s Rights Prevail", "Pass with Conditions")))</f>
        <v/>
      </c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>
        <f>IF(AND(E311="Legitimate", H311="Necessary", K311="Minimal Impact"), "Pass - Legitimate Interest Prevails", IF(AND(E311="Legitimate", H311="Necessary", OR(K311="Limited Impact", K311="Significant Impact"), L311&lt;&gt;""), "Pass with Conditions", IF(OR(E311="Not Legitimate", H311="Not Necessary", K311="High Impact"), "Fail - Data Subject''s Rights Prevail", "Pass with Conditions")))</f>
        <v/>
      </c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>
        <f>IF(AND(E312="Legitimate", H312="Necessary", K312="Minimal Impact"), "Pass - Legitimate Interest Prevails", IF(AND(E312="Legitimate", H312="Necessary", OR(K312="Limited Impact", K312="Significant Impact"), L312&lt;&gt;""), "Pass with Conditions", IF(OR(E312="Not Legitimate", H312="Not Necessary", K312="High Impact"), "Fail - Data Subject''s Rights Prevail", "Pass with Conditions")))</f>
        <v/>
      </c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>
        <f>IF(AND(E313="Legitimate", H313="Necessary", K313="Minimal Impact"), "Pass - Legitimate Interest Prevails", IF(AND(E313="Legitimate", H313="Necessary", OR(K313="Limited Impact", K313="Significant Impact"), L313&lt;&gt;""), "Pass with Conditions", IF(OR(E313="Not Legitimate", H313="Not Necessary", K313="High Impact"), "Fail - Data Subject''s Rights Prevail", "Pass with Conditions")))</f>
        <v/>
      </c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>
        <f>IF(AND(E314="Legitimate", H314="Necessary", K314="Minimal Impact"), "Pass - Legitimate Interest Prevails", IF(AND(E314="Legitimate", H314="Necessary", OR(K314="Limited Impact", K314="Significant Impact"), L314&lt;&gt;""), "Pass with Conditions", IF(OR(E314="Not Legitimate", H314="Not Necessary", K314="High Impact"), "Fail - Data Subject''s Rights Prevail", "Pass with Conditions")))</f>
        <v/>
      </c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>
        <f>IF(AND(E315="Legitimate", H315="Necessary", K315="Minimal Impact"), "Pass - Legitimate Interest Prevails", IF(AND(E315="Legitimate", H315="Necessary", OR(K315="Limited Impact", K315="Significant Impact"), L315&lt;&gt;""), "Pass with Conditions", IF(OR(E315="Not Legitimate", H315="Not Necessary", K315="High Impact"), "Fail - Data Subject''s Rights Prevail", "Pass with Conditions")))</f>
        <v/>
      </c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>
        <f>IF(AND(E316="Legitimate", H316="Necessary", K316="Minimal Impact"), "Pass - Legitimate Interest Prevails", IF(AND(E316="Legitimate", H316="Necessary", OR(K316="Limited Impact", K316="Significant Impact"), L316&lt;&gt;""), "Pass with Conditions", IF(OR(E316="Not Legitimate", H316="Not Necessary", K316="High Impact"), "Fail - Data Subject''s Rights Prevail", "Pass with Conditions")))</f>
        <v/>
      </c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>
        <f>IF(AND(E317="Legitimate", H317="Necessary", K317="Minimal Impact"), "Pass - Legitimate Interest Prevails", IF(AND(E317="Legitimate", H317="Necessary", OR(K317="Limited Impact", K317="Significant Impact"), L317&lt;&gt;""), "Pass with Conditions", IF(OR(E317="Not Legitimate", H317="Not Necessary", K317="High Impact"), "Fail - Data Subject''s Rights Prevail", "Pass with Conditions")))</f>
        <v/>
      </c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>
        <f>IF(AND(E318="Legitimate", H318="Necessary", K318="Minimal Impact"), "Pass - Legitimate Interest Prevails", IF(AND(E318="Legitimate", H318="Necessary", OR(K318="Limited Impact", K318="Significant Impact"), L318&lt;&gt;""), "Pass with Conditions", IF(OR(E318="Not Legitimate", H318="Not Necessary", K318="High Impact"), "Fail - Data Subject''s Rights Prevail", "Pass with Conditions")))</f>
        <v/>
      </c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>
        <f>IF(AND(E319="Legitimate", H319="Necessary", K319="Minimal Impact"), "Pass - Legitimate Interest Prevails", IF(AND(E319="Legitimate", H319="Necessary", OR(K319="Limited Impact", K319="Significant Impact"), L319&lt;&gt;""), "Pass with Conditions", IF(OR(E319="Not Legitimate", H319="Not Necessary", K319="High Impact"), "Fail - Data Subject''s Rights Prevail", "Pass with Conditions")))</f>
        <v/>
      </c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>
        <f>IF(AND(E320="Legitimate", H320="Necessary", K320="Minimal Impact"), "Pass - Legitimate Interest Prevails", IF(AND(E320="Legitimate", H320="Necessary", OR(K320="Limited Impact", K320="Significant Impact"), L320&lt;&gt;""), "Pass with Conditions", IF(OR(E320="Not Legitimate", H320="Not Necessary", K320="High Impact"), "Fail - Data Subject''s Rights Prevail", "Pass with Conditions")))</f>
        <v/>
      </c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>
        <f>IF(AND(E321="Legitimate", H321="Necessary", K321="Minimal Impact"), "Pass - Legitimate Interest Prevails", IF(AND(E321="Legitimate", H321="Necessary", OR(K321="Limited Impact", K321="Significant Impact"), L321&lt;&gt;""), "Pass with Conditions", IF(OR(E321="Not Legitimate", H321="Not Necessary", K321="High Impact"), "Fail - Data Subject''s Rights Prevail", "Pass with Conditions")))</f>
        <v/>
      </c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>
        <f>IF(AND(E322="Legitimate", H322="Necessary", K322="Minimal Impact"), "Pass - Legitimate Interest Prevails", IF(AND(E322="Legitimate", H322="Necessary", OR(K322="Limited Impact", K322="Significant Impact"), L322&lt;&gt;""), "Pass with Conditions", IF(OR(E322="Not Legitimate", H322="Not Necessary", K322="High Impact"), "Fail - Data Subject''s Rights Prevail", "Pass with Conditions")))</f>
        <v/>
      </c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>
        <f>IF(AND(E323="Legitimate", H323="Necessary", K323="Minimal Impact"), "Pass - Legitimate Interest Prevails", IF(AND(E323="Legitimate", H323="Necessary", OR(K323="Limited Impact", K323="Significant Impact"), L323&lt;&gt;""), "Pass with Conditions", IF(OR(E323="Not Legitimate", H323="Not Necessary", K323="High Impact"), "Fail - Data Subject''s Rights Prevail", "Pass with Conditions")))</f>
        <v/>
      </c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>
        <f>IF(AND(E324="Legitimate", H324="Necessary", K324="Minimal Impact"), "Pass - Legitimate Interest Prevails", IF(AND(E324="Legitimate", H324="Necessary", OR(K324="Limited Impact", K324="Significant Impact"), L324&lt;&gt;""), "Pass with Conditions", IF(OR(E324="Not Legitimate", H324="Not Necessary", K324="High Impact"), "Fail - Data Subject''s Rights Prevail", "Pass with Conditions")))</f>
        <v/>
      </c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>
        <f>IF(AND(E325="Legitimate", H325="Necessary", K325="Minimal Impact"), "Pass - Legitimate Interest Prevails", IF(AND(E325="Legitimate", H325="Necessary", OR(K325="Limited Impact", K325="Significant Impact"), L325&lt;&gt;""), "Pass with Conditions", IF(OR(E325="Not Legitimate", H325="Not Necessary", K325="High Impact"), "Fail - Data Subject''s Rights Prevail", "Pass with Conditions")))</f>
        <v/>
      </c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>
        <f>IF(AND(E326="Legitimate", H326="Necessary", K326="Minimal Impact"), "Pass - Legitimate Interest Prevails", IF(AND(E326="Legitimate", H326="Necessary", OR(K326="Limited Impact", K326="Significant Impact"), L326&lt;&gt;""), "Pass with Conditions", IF(OR(E326="Not Legitimate", H326="Not Necessary", K326="High Impact"), "Fail - Data Subject''s Rights Prevail", "Pass with Conditions")))</f>
        <v/>
      </c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>
        <f>IF(AND(E327="Legitimate", H327="Necessary", K327="Minimal Impact"), "Pass - Legitimate Interest Prevails", IF(AND(E327="Legitimate", H327="Necessary", OR(K327="Limited Impact", K327="Significant Impact"), L327&lt;&gt;""), "Pass with Conditions", IF(OR(E327="Not Legitimate", H327="Not Necessary", K327="High Impact"), "Fail - Data Subject''s Rights Prevail", "Pass with Conditions")))</f>
        <v/>
      </c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>
        <f>IF(AND(E328="Legitimate", H328="Necessary", K328="Minimal Impact"), "Pass - Legitimate Interest Prevails", IF(AND(E328="Legitimate", H328="Necessary", OR(K328="Limited Impact", K328="Significant Impact"), L328&lt;&gt;""), "Pass with Conditions", IF(OR(E328="Not Legitimate", H328="Not Necessary", K328="High Impact"), "Fail - Data Subject''s Rights Prevail", "Pass with Conditions")))</f>
        <v/>
      </c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>
        <f>IF(AND(E329="Legitimate", H329="Necessary", K329="Minimal Impact"), "Pass - Legitimate Interest Prevails", IF(AND(E329="Legitimate", H329="Necessary", OR(K329="Limited Impact", K329="Significant Impact"), L329&lt;&gt;""), "Pass with Conditions", IF(OR(E329="Not Legitimate", H329="Not Necessary", K329="High Impact"), "Fail - Data Subject''s Rights Prevail", "Pass with Conditions")))</f>
        <v/>
      </c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>
        <f>IF(AND(E330="Legitimate", H330="Necessary", K330="Minimal Impact"), "Pass - Legitimate Interest Prevails", IF(AND(E330="Legitimate", H330="Necessary", OR(K330="Limited Impact", K330="Significant Impact"), L330&lt;&gt;""), "Pass with Conditions", IF(OR(E330="Not Legitimate", H330="Not Necessary", K330="High Impact"), "Fail - Data Subject''s Rights Prevail", "Pass with Conditions")))</f>
        <v/>
      </c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>
        <f>IF(AND(E331="Legitimate", H331="Necessary", K331="Minimal Impact"), "Pass - Legitimate Interest Prevails", IF(AND(E331="Legitimate", H331="Necessary", OR(K331="Limited Impact", K331="Significant Impact"), L331&lt;&gt;""), "Pass with Conditions", IF(OR(E331="Not Legitimate", H331="Not Necessary", K331="High Impact"), "Fail - Data Subject''s Rights Prevail", "Pass with Conditions")))</f>
        <v/>
      </c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>
        <f>IF(AND(E332="Legitimate", H332="Necessary", K332="Minimal Impact"), "Pass - Legitimate Interest Prevails", IF(AND(E332="Legitimate", H332="Necessary", OR(K332="Limited Impact", K332="Significant Impact"), L332&lt;&gt;""), "Pass with Conditions", IF(OR(E332="Not Legitimate", H332="Not Necessary", K332="High Impact"), "Fail - Data Subject''s Rights Prevail", "Pass with Conditions")))</f>
        <v/>
      </c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>
        <f>IF(AND(E333="Legitimate", H333="Necessary", K333="Minimal Impact"), "Pass - Legitimate Interest Prevails", IF(AND(E333="Legitimate", H333="Necessary", OR(K333="Limited Impact", K333="Significant Impact"), L333&lt;&gt;""), "Pass with Conditions", IF(OR(E333="Not Legitimate", H333="Not Necessary", K333="High Impact"), "Fail - Data Subject''s Rights Prevail", "Pass with Conditions")))</f>
        <v/>
      </c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>
        <f>IF(AND(E334="Legitimate", H334="Necessary", K334="Minimal Impact"), "Pass - Legitimate Interest Prevails", IF(AND(E334="Legitimate", H334="Necessary", OR(K334="Limited Impact", K334="Significant Impact"), L334&lt;&gt;""), "Pass with Conditions", IF(OR(E334="Not Legitimate", H334="Not Necessary", K334="High Impact"), "Fail - Data Subject''s Rights Prevail", "Pass with Conditions")))</f>
        <v/>
      </c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>
        <f>IF(AND(E335="Legitimate", H335="Necessary", K335="Minimal Impact"), "Pass - Legitimate Interest Prevails", IF(AND(E335="Legitimate", H335="Necessary", OR(K335="Limited Impact", K335="Significant Impact"), L335&lt;&gt;""), "Pass with Conditions", IF(OR(E335="Not Legitimate", H335="Not Necessary", K335="High Impact"), "Fail - Data Subject''s Rights Prevail", "Pass with Conditions")))</f>
        <v/>
      </c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>
        <f>IF(AND(E336="Legitimate", H336="Necessary", K336="Minimal Impact"), "Pass - Legitimate Interest Prevails", IF(AND(E336="Legitimate", H336="Necessary", OR(K336="Limited Impact", K336="Significant Impact"), L336&lt;&gt;""), "Pass with Conditions", IF(OR(E336="Not Legitimate", H336="Not Necessary", K336="High Impact"), "Fail - Data Subject''s Rights Prevail", "Pass with Conditions")))</f>
        <v/>
      </c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>
        <f>IF(AND(E337="Legitimate", H337="Necessary", K337="Minimal Impact"), "Pass - Legitimate Interest Prevails", IF(AND(E337="Legitimate", H337="Necessary", OR(K337="Limited Impact", K337="Significant Impact"), L337&lt;&gt;""), "Pass with Conditions", IF(OR(E337="Not Legitimate", H337="Not Necessary", K337="High Impact"), "Fail - Data Subject''s Rights Prevail", "Pass with Conditions")))</f>
        <v/>
      </c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>
        <f>IF(AND(E338="Legitimate", H338="Necessary", K338="Minimal Impact"), "Pass - Legitimate Interest Prevails", IF(AND(E338="Legitimate", H338="Necessary", OR(K338="Limited Impact", K338="Significant Impact"), L338&lt;&gt;""), "Pass with Conditions", IF(OR(E338="Not Legitimate", H338="Not Necessary", K338="High Impact"), "Fail - Data Subject''s Rights Prevail", "Pass with Conditions")))</f>
        <v/>
      </c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>
        <f>IF(AND(E339="Legitimate", H339="Necessary", K339="Minimal Impact"), "Pass - Legitimate Interest Prevails", IF(AND(E339="Legitimate", H339="Necessary", OR(K339="Limited Impact", K339="Significant Impact"), L339&lt;&gt;""), "Pass with Conditions", IF(OR(E339="Not Legitimate", H339="Not Necessary", K339="High Impact"), "Fail - Data Subject''s Rights Prevail", "Pass with Conditions")))</f>
        <v/>
      </c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>
        <f>IF(AND(E340="Legitimate", H340="Necessary", K340="Minimal Impact"), "Pass - Legitimate Interest Prevails", IF(AND(E340="Legitimate", H340="Necessary", OR(K340="Limited Impact", K340="Significant Impact"), L340&lt;&gt;""), "Pass with Conditions", IF(OR(E340="Not Legitimate", H340="Not Necessary", K340="High Impact"), "Fail - Data Subject''s Rights Prevail", "Pass with Conditions")))</f>
        <v/>
      </c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>
        <f>IF(AND(E341="Legitimate", H341="Necessary", K341="Minimal Impact"), "Pass - Legitimate Interest Prevails", IF(AND(E341="Legitimate", H341="Necessary", OR(K341="Limited Impact", K341="Significant Impact"), L341&lt;&gt;""), "Pass with Conditions", IF(OR(E341="Not Legitimate", H341="Not Necessary", K341="High Impact"), "Fail - Data Subject''s Rights Prevail", "Pass with Conditions")))</f>
        <v/>
      </c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>
        <f>IF(AND(E342="Legitimate", H342="Necessary", K342="Minimal Impact"), "Pass - Legitimate Interest Prevails", IF(AND(E342="Legitimate", H342="Necessary", OR(K342="Limited Impact", K342="Significant Impact"), L342&lt;&gt;""), "Pass with Conditions", IF(OR(E342="Not Legitimate", H342="Not Necessary", K342="High Impact"), "Fail - Data Subject''s Rights Prevail", "Pass with Conditions")))</f>
        <v/>
      </c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>
        <f>IF(AND(E343="Legitimate", H343="Necessary", K343="Minimal Impact"), "Pass - Legitimate Interest Prevails", IF(AND(E343="Legitimate", H343="Necessary", OR(K343="Limited Impact", K343="Significant Impact"), L343&lt;&gt;""), "Pass with Conditions", IF(OR(E343="Not Legitimate", H343="Not Necessary", K343="High Impact"), "Fail - Data Subject''s Rights Prevail", "Pass with Conditions")))</f>
        <v/>
      </c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>
        <f>IF(AND(E344="Legitimate", H344="Necessary", K344="Minimal Impact"), "Pass - Legitimate Interest Prevails", IF(AND(E344="Legitimate", H344="Necessary", OR(K344="Limited Impact", K344="Significant Impact"), L344&lt;&gt;""), "Pass with Conditions", IF(OR(E344="Not Legitimate", H344="Not Necessary", K344="High Impact"), "Fail - Data Subject''s Rights Prevail", "Pass with Conditions")))</f>
        <v/>
      </c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>
        <f>IF(AND(E345="Legitimate", H345="Necessary", K345="Minimal Impact"), "Pass - Legitimate Interest Prevails", IF(AND(E345="Legitimate", H345="Necessary", OR(K345="Limited Impact", K345="Significant Impact"), L345&lt;&gt;""), "Pass with Conditions", IF(OR(E345="Not Legitimate", H345="Not Necessary", K345="High Impact"), "Fail - Data Subject''s Rights Prevail", "Pass with Conditions")))</f>
        <v/>
      </c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>
        <f>IF(AND(E346="Legitimate", H346="Necessary", K346="Minimal Impact"), "Pass - Legitimate Interest Prevails", IF(AND(E346="Legitimate", H346="Necessary", OR(K346="Limited Impact", K346="Significant Impact"), L346&lt;&gt;""), "Pass with Conditions", IF(OR(E346="Not Legitimate", H346="Not Necessary", K346="High Impact"), "Fail - Data Subject''s Rights Prevail", "Pass with Conditions")))</f>
        <v/>
      </c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>
        <f>IF(AND(E347="Legitimate", H347="Necessary", K347="Minimal Impact"), "Pass - Legitimate Interest Prevails", IF(AND(E347="Legitimate", H347="Necessary", OR(K347="Limited Impact", K347="Significant Impact"), L347&lt;&gt;""), "Pass with Conditions", IF(OR(E347="Not Legitimate", H347="Not Necessary", K347="High Impact"), "Fail - Data Subject''s Rights Prevail", "Pass with Conditions")))</f>
        <v/>
      </c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>
        <f>IF(AND(E348="Legitimate", H348="Necessary", K348="Minimal Impact"), "Pass - Legitimate Interest Prevails", IF(AND(E348="Legitimate", H348="Necessary", OR(K348="Limited Impact", K348="Significant Impact"), L348&lt;&gt;""), "Pass with Conditions", IF(OR(E348="Not Legitimate", H348="Not Necessary", K348="High Impact"), "Fail - Data Subject''s Rights Prevail", "Pass with Conditions")))</f>
        <v/>
      </c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>
        <f>IF(AND(E349="Legitimate", H349="Necessary", K349="Minimal Impact"), "Pass - Legitimate Interest Prevails", IF(AND(E349="Legitimate", H349="Necessary", OR(K349="Limited Impact", K349="Significant Impact"), L349&lt;&gt;""), "Pass with Conditions", IF(OR(E349="Not Legitimate", H349="Not Necessary", K349="High Impact"), "Fail - Data Subject''s Rights Prevail", "Pass with Conditions")))</f>
        <v/>
      </c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>
        <f>IF(AND(E350="Legitimate", H350="Necessary", K350="Minimal Impact"), "Pass - Legitimate Interest Prevails", IF(AND(E350="Legitimate", H350="Necessary", OR(K350="Limited Impact", K350="Significant Impact"), L350&lt;&gt;""), "Pass with Conditions", IF(OR(E350="Not Legitimate", H350="Not Necessary", K350="High Impact"), "Fail - Data Subject''s Rights Prevail", "Pass with Conditions")))</f>
        <v/>
      </c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>
        <f>IF(AND(E351="Legitimate", H351="Necessary", K351="Minimal Impact"), "Pass - Legitimate Interest Prevails", IF(AND(E351="Legitimate", H351="Necessary", OR(K351="Limited Impact", K351="Significant Impact"), L351&lt;&gt;""), "Pass with Conditions", IF(OR(E351="Not Legitimate", H351="Not Necessary", K351="High Impact"), "Fail - Data Subject''s Rights Prevail", "Pass with Conditions")))</f>
        <v/>
      </c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>
        <f>IF(AND(E352="Legitimate", H352="Necessary", K352="Minimal Impact"), "Pass - Legitimate Interest Prevails", IF(AND(E352="Legitimate", H352="Necessary", OR(K352="Limited Impact", K352="Significant Impact"), L352&lt;&gt;""), "Pass with Conditions", IF(OR(E352="Not Legitimate", H352="Not Necessary", K352="High Impact"), "Fail - Data Subject''s Rights Prevail", "Pass with Conditions")))</f>
        <v/>
      </c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>
        <f>IF(AND(E353="Legitimate", H353="Necessary", K353="Minimal Impact"), "Pass - Legitimate Interest Prevails", IF(AND(E353="Legitimate", H353="Necessary", OR(K353="Limited Impact", K353="Significant Impact"), L353&lt;&gt;""), "Pass with Conditions", IF(OR(E353="Not Legitimate", H353="Not Necessary", K353="High Impact"), "Fail - Data Subject''s Rights Prevail", "Pass with Conditions")))</f>
        <v/>
      </c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>
        <f>IF(AND(E354="Legitimate", H354="Necessary", K354="Minimal Impact"), "Pass - Legitimate Interest Prevails", IF(AND(E354="Legitimate", H354="Necessary", OR(K354="Limited Impact", K354="Significant Impact"), L354&lt;&gt;""), "Pass with Conditions", IF(OR(E354="Not Legitimate", H354="Not Necessary", K354="High Impact"), "Fail - Data Subject''s Rights Prevail", "Pass with Conditions")))</f>
        <v/>
      </c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>
        <f>IF(AND(E355="Legitimate", H355="Necessary", K355="Minimal Impact"), "Pass - Legitimate Interest Prevails", IF(AND(E355="Legitimate", H355="Necessary", OR(K355="Limited Impact", K355="Significant Impact"), L355&lt;&gt;""), "Pass with Conditions", IF(OR(E355="Not Legitimate", H355="Not Necessary", K355="High Impact"), "Fail - Data Subject''s Rights Prevail", "Pass with Conditions")))</f>
        <v/>
      </c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>
        <f>IF(AND(E356="Legitimate", H356="Necessary", K356="Minimal Impact"), "Pass - Legitimate Interest Prevails", IF(AND(E356="Legitimate", H356="Necessary", OR(K356="Limited Impact", K356="Significant Impact"), L356&lt;&gt;""), "Pass with Conditions", IF(OR(E356="Not Legitimate", H356="Not Necessary", K356="High Impact"), "Fail - Data Subject''s Rights Prevail", "Pass with Conditions")))</f>
        <v/>
      </c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>
        <f>IF(AND(E357="Legitimate", H357="Necessary", K357="Minimal Impact"), "Pass - Legitimate Interest Prevails", IF(AND(E357="Legitimate", H357="Necessary", OR(K357="Limited Impact", K357="Significant Impact"), L357&lt;&gt;""), "Pass with Conditions", IF(OR(E357="Not Legitimate", H357="Not Necessary", K357="High Impact"), "Fail - Data Subject''s Rights Prevail", "Pass with Conditions")))</f>
        <v/>
      </c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>
        <f>IF(AND(E358="Legitimate", H358="Necessary", K358="Minimal Impact"), "Pass - Legitimate Interest Prevails", IF(AND(E358="Legitimate", H358="Necessary", OR(K358="Limited Impact", K358="Significant Impact"), L358&lt;&gt;""), "Pass with Conditions", IF(OR(E358="Not Legitimate", H358="Not Necessary", K358="High Impact"), "Fail - Data Subject''s Rights Prevail", "Pass with Conditions")))</f>
        <v/>
      </c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>
        <f>IF(AND(E359="Legitimate", H359="Necessary", K359="Minimal Impact"), "Pass - Legitimate Interest Prevails", IF(AND(E359="Legitimate", H359="Necessary", OR(K359="Limited Impact", K359="Significant Impact"), L359&lt;&gt;""), "Pass with Conditions", IF(OR(E359="Not Legitimate", H359="Not Necessary", K359="High Impact"), "Fail - Data Subject''s Rights Prevail", "Pass with Conditions")))</f>
        <v/>
      </c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>
        <f>IF(AND(E360="Legitimate", H360="Necessary", K360="Minimal Impact"), "Pass - Legitimate Interest Prevails", IF(AND(E360="Legitimate", H360="Necessary", OR(K360="Limited Impact", K360="Significant Impact"), L360&lt;&gt;""), "Pass with Conditions", IF(OR(E360="Not Legitimate", H360="Not Necessary", K360="High Impact"), "Fail - Data Subject''s Rights Prevail", "Pass with Conditions")))</f>
        <v/>
      </c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>
        <f>IF(AND(E361="Legitimate", H361="Necessary", K361="Minimal Impact"), "Pass - Legitimate Interest Prevails", IF(AND(E361="Legitimate", H361="Necessary", OR(K361="Limited Impact", K361="Significant Impact"), L361&lt;&gt;""), "Pass with Conditions", IF(OR(E361="Not Legitimate", H361="Not Necessary", K361="High Impact"), "Fail - Data Subject''s Rights Prevail", "Pass with Conditions")))</f>
        <v/>
      </c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>
        <f>IF(AND(E362="Legitimate", H362="Necessary", K362="Minimal Impact"), "Pass - Legitimate Interest Prevails", IF(AND(E362="Legitimate", H362="Necessary", OR(K362="Limited Impact", K362="Significant Impact"), L362&lt;&gt;""), "Pass with Conditions", IF(OR(E362="Not Legitimate", H362="Not Necessary", K362="High Impact"), "Fail - Data Subject''s Rights Prevail", "Pass with Conditions")))</f>
        <v/>
      </c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>
        <f>IF(AND(E363="Legitimate", H363="Necessary", K363="Minimal Impact"), "Pass - Legitimate Interest Prevails", IF(AND(E363="Legitimate", H363="Necessary", OR(K363="Limited Impact", K363="Significant Impact"), L363&lt;&gt;""), "Pass with Conditions", IF(OR(E363="Not Legitimate", H363="Not Necessary", K363="High Impact"), "Fail - Data Subject''s Rights Prevail", "Pass with Conditions")))</f>
        <v/>
      </c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>
        <f>IF(AND(E364="Legitimate", H364="Necessary", K364="Minimal Impact"), "Pass - Legitimate Interest Prevails", IF(AND(E364="Legitimate", H364="Necessary", OR(K364="Limited Impact", K364="Significant Impact"), L364&lt;&gt;""), "Pass with Conditions", IF(OR(E364="Not Legitimate", H364="Not Necessary", K364="High Impact"), "Fail - Data Subject''s Rights Prevail", "Pass with Conditions")))</f>
        <v/>
      </c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>
        <f>IF(AND(E365="Legitimate", H365="Necessary", K365="Minimal Impact"), "Pass - Legitimate Interest Prevails", IF(AND(E365="Legitimate", H365="Necessary", OR(K365="Limited Impact", K365="Significant Impact"), L365&lt;&gt;""), "Pass with Conditions", IF(OR(E365="Not Legitimate", H365="Not Necessary", K365="High Impact"), "Fail - Data Subject''s Rights Prevail", "Pass with Conditions")))</f>
        <v/>
      </c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>
        <f>IF(AND(E366="Legitimate", H366="Necessary", K366="Minimal Impact"), "Pass - Legitimate Interest Prevails", IF(AND(E366="Legitimate", H366="Necessary", OR(K366="Limited Impact", K366="Significant Impact"), L366&lt;&gt;""), "Pass with Conditions", IF(OR(E366="Not Legitimate", H366="Not Necessary", K366="High Impact"), "Fail - Data Subject''s Rights Prevail", "Pass with Conditions")))</f>
        <v/>
      </c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>
        <f>IF(AND(E367="Legitimate", H367="Necessary", K367="Minimal Impact"), "Pass - Legitimate Interest Prevails", IF(AND(E367="Legitimate", H367="Necessary", OR(K367="Limited Impact", K367="Significant Impact"), L367&lt;&gt;""), "Pass with Conditions", IF(OR(E367="Not Legitimate", H367="Not Necessary", K367="High Impact"), "Fail - Data Subject''s Rights Prevail", "Pass with Conditions")))</f>
        <v/>
      </c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>
        <f>IF(AND(E368="Legitimate", H368="Necessary", K368="Minimal Impact"), "Pass - Legitimate Interest Prevails", IF(AND(E368="Legitimate", H368="Necessary", OR(K368="Limited Impact", K368="Significant Impact"), L368&lt;&gt;""), "Pass with Conditions", IF(OR(E368="Not Legitimate", H368="Not Necessary", K368="High Impact"), "Fail - Data Subject''s Rights Prevail", "Pass with Conditions")))</f>
        <v/>
      </c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>
        <f>IF(AND(E369="Legitimate", H369="Necessary", K369="Minimal Impact"), "Pass - Legitimate Interest Prevails", IF(AND(E369="Legitimate", H369="Necessary", OR(K369="Limited Impact", K369="Significant Impact"), L369&lt;&gt;""), "Pass with Conditions", IF(OR(E369="Not Legitimate", H369="Not Necessary", K369="High Impact"), "Fail - Data Subject''s Rights Prevail", "Pass with Conditions")))</f>
        <v/>
      </c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>
        <f>IF(AND(E370="Legitimate", H370="Necessary", K370="Minimal Impact"), "Pass - Legitimate Interest Prevails", IF(AND(E370="Legitimate", H370="Necessary", OR(K370="Limited Impact", K370="Significant Impact"), L370&lt;&gt;""), "Pass with Conditions", IF(OR(E370="Not Legitimate", H370="Not Necessary", K370="High Impact"), "Fail - Data Subject''s Rights Prevail", "Pass with Conditions")))</f>
        <v/>
      </c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>
        <f>IF(AND(E371="Legitimate", H371="Necessary", K371="Minimal Impact"), "Pass - Legitimate Interest Prevails", IF(AND(E371="Legitimate", H371="Necessary", OR(K371="Limited Impact", K371="Significant Impact"), L371&lt;&gt;""), "Pass with Conditions", IF(OR(E371="Not Legitimate", H371="Not Necessary", K371="High Impact"), "Fail - Data Subject''s Rights Prevail", "Pass with Conditions")))</f>
        <v/>
      </c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>
        <f>IF(AND(E372="Legitimate", H372="Necessary", K372="Minimal Impact"), "Pass - Legitimate Interest Prevails", IF(AND(E372="Legitimate", H372="Necessary", OR(K372="Limited Impact", K372="Significant Impact"), L372&lt;&gt;""), "Pass with Conditions", IF(OR(E372="Not Legitimate", H372="Not Necessary", K372="High Impact"), "Fail - Data Subject''s Rights Prevail", "Pass with Conditions")))</f>
        <v/>
      </c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>
        <f>IF(AND(E373="Legitimate", H373="Necessary", K373="Minimal Impact"), "Pass - Legitimate Interest Prevails", IF(AND(E373="Legitimate", H373="Necessary", OR(K373="Limited Impact", K373="Significant Impact"), L373&lt;&gt;""), "Pass with Conditions", IF(OR(E373="Not Legitimate", H373="Not Necessary", K373="High Impact"), "Fail - Data Subject''s Rights Prevail", "Pass with Conditions")))</f>
        <v/>
      </c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>
        <f>IF(AND(E374="Legitimate", H374="Necessary", K374="Minimal Impact"), "Pass - Legitimate Interest Prevails", IF(AND(E374="Legitimate", H374="Necessary", OR(K374="Limited Impact", K374="Significant Impact"), L374&lt;&gt;""), "Pass with Conditions", IF(OR(E374="Not Legitimate", H374="Not Necessary", K374="High Impact"), "Fail - Data Subject''s Rights Prevail", "Pass with Conditions")))</f>
        <v/>
      </c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>
        <f>IF(AND(E375="Legitimate", H375="Necessary", K375="Minimal Impact"), "Pass - Legitimate Interest Prevails", IF(AND(E375="Legitimate", H375="Necessary", OR(K375="Limited Impact", K375="Significant Impact"), L375&lt;&gt;""), "Pass with Conditions", IF(OR(E375="Not Legitimate", H375="Not Necessary", K375="High Impact"), "Fail - Data Subject''s Rights Prevail", "Pass with Conditions")))</f>
        <v/>
      </c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>
        <f>IF(AND(E376="Legitimate", H376="Necessary", K376="Minimal Impact"), "Pass - Legitimate Interest Prevails", IF(AND(E376="Legitimate", H376="Necessary", OR(K376="Limited Impact", K376="Significant Impact"), L376&lt;&gt;""), "Pass with Conditions", IF(OR(E376="Not Legitimate", H376="Not Necessary", K376="High Impact"), "Fail - Data Subject''s Rights Prevail", "Pass with Conditions")))</f>
        <v/>
      </c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>
        <f>IF(AND(E377="Legitimate", H377="Necessary", K377="Minimal Impact"), "Pass - Legitimate Interest Prevails", IF(AND(E377="Legitimate", H377="Necessary", OR(K377="Limited Impact", K377="Significant Impact"), L377&lt;&gt;""), "Pass with Conditions", IF(OR(E377="Not Legitimate", H377="Not Necessary", K377="High Impact"), "Fail - Data Subject''s Rights Prevail", "Pass with Conditions")))</f>
        <v/>
      </c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>
        <f>IF(AND(E378="Legitimate", H378="Necessary", K378="Minimal Impact"), "Pass - Legitimate Interest Prevails", IF(AND(E378="Legitimate", H378="Necessary", OR(K378="Limited Impact", K378="Significant Impact"), L378&lt;&gt;""), "Pass with Conditions", IF(OR(E378="Not Legitimate", H378="Not Necessary", K378="High Impact"), "Fail - Data Subject''s Rights Prevail", "Pass with Conditions")))</f>
        <v/>
      </c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>
        <f>IF(AND(E379="Legitimate", H379="Necessary", K379="Minimal Impact"), "Pass - Legitimate Interest Prevails", IF(AND(E379="Legitimate", H379="Necessary", OR(K379="Limited Impact", K379="Significant Impact"), L379&lt;&gt;""), "Pass with Conditions", IF(OR(E379="Not Legitimate", H379="Not Necessary", K379="High Impact"), "Fail - Data Subject''s Rights Prevail", "Pass with Conditions")))</f>
        <v/>
      </c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>
        <f>IF(AND(E380="Legitimate", H380="Necessary", K380="Minimal Impact"), "Pass - Legitimate Interest Prevails", IF(AND(E380="Legitimate", H380="Necessary", OR(K380="Limited Impact", K380="Significant Impact"), L380&lt;&gt;""), "Pass with Conditions", IF(OR(E380="Not Legitimate", H380="Not Necessary", K380="High Impact"), "Fail - Data Subject''s Rights Prevail", "Pass with Conditions")))</f>
        <v/>
      </c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>
        <f>IF(AND(E381="Legitimate", H381="Necessary", K381="Minimal Impact"), "Pass - Legitimate Interest Prevails", IF(AND(E381="Legitimate", H381="Necessary", OR(K381="Limited Impact", K381="Significant Impact"), L381&lt;&gt;""), "Pass with Conditions", IF(OR(E381="Not Legitimate", H381="Not Necessary", K381="High Impact"), "Fail - Data Subject''s Rights Prevail", "Pass with Conditions")))</f>
        <v/>
      </c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>
        <f>IF(AND(E382="Legitimate", H382="Necessary", K382="Minimal Impact"), "Pass - Legitimate Interest Prevails", IF(AND(E382="Legitimate", H382="Necessary", OR(K382="Limited Impact", K382="Significant Impact"), L382&lt;&gt;""), "Pass with Conditions", IF(OR(E382="Not Legitimate", H382="Not Necessary", K382="High Impact"), "Fail - Data Subject''s Rights Prevail", "Pass with Conditions")))</f>
        <v/>
      </c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>
        <f>IF(AND(E383="Legitimate", H383="Necessary", K383="Minimal Impact"), "Pass - Legitimate Interest Prevails", IF(AND(E383="Legitimate", H383="Necessary", OR(K383="Limited Impact", K383="Significant Impact"), L383&lt;&gt;""), "Pass with Conditions", IF(OR(E383="Not Legitimate", H383="Not Necessary", K383="High Impact"), "Fail - Data Subject''s Rights Prevail", "Pass with Conditions")))</f>
        <v/>
      </c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>
        <f>IF(AND(E384="Legitimate", H384="Necessary", K384="Minimal Impact"), "Pass - Legitimate Interest Prevails", IF(AND(E384="Legitimate", H384="Necessary", OR(K384="Limited Impact", K384="Significant Impact"), L384&lt;&gt;""), "Pass with Conditions", IF(OR(E384="Not Legitimate", H384="Not Necessary", K384="High Impact"), "Fail - Data Subject''s Rights Prevail", "Pass with Conditions")))</f>
        <v/>
      </c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>
        <f>IF(AND(E385="Legitimate", H385="Necessary", K385="Minimal Impact"), "Pass - Legitimate Interest Prevails", IF(AND(E385="Legitimate", H385="Necessary", OR(K385="Limited Impact", K385="Significant Impact"), L385&lt;&gt;""), "Pass with Conditions", IF(OR(E385="Not Legitimate", H385="Not Necessary", K385="High Impact"), "Fail - Data Subject''s Rights Prevail", "Pass with Conditions")))</f>
        <v/>
      </c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>
        <f>IF(AND(E386="Legitimate", H386="Necessary", K386="Minimal Impact"), "Pass - Legitimate Interest Prevails", IF(AND(E386="Legitimate", H386="Necessary", OR(K386="Limited Impact", K386="Significant Impact"), L386&lt;&gt;""), "Pass with Conditions", IF(OR(E386="Not Legitimate", H386="Not Necessary", K386="High Impact"), "Fail - Data Subject''s Rights Prevail", "Pass with Conditions")))</f>
        <v/>
      </c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>
        <f>IF(AND(E387="Legitimate", H387="Necessary", K387="Minimal Impact"), "Pass - Legitimate Interest Prevails", IF(AND(E387="Legitimate", H387="Necessary", OR(K387="Limited Impact", K387="Significant Impact"), L387&lt;&gt;""), "Pass with Conditions", IF(OR(E387="Not Legitimate", H387="Not Necessary", K387="High Impact"), "Fail - Data Subject''s Rights Prevail", "Pass with Conditions")))</f>
        <v/>
      </c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>
        <f>IF(AND(E388="Legitimate", H388="Necessary", K388="Minimal Impact"), "Pass - Legitimate Interest Prevails", IF(AND(E388="Legitimate", H388="Necessary", OR(K388="Limited Impact", K388="Significant Impact"), L388&lt;&gt;""), "Pass with Conditions", IF(OR(E388="Not Legitimate", H388="Not Necessary", K388="High Impact"), "Fail - Data Subject''s Rights Prevail", "Pass with Conditions")))</f>
        <v/>
      </c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>
        <f>IF(AND(E389="Legitimate", H389="Necessary", K389="Minimal Impact"), "Pass - Legitimate Interest Prevails", IF(AND(E389="Legitimate", H389="Necessary", OR(K389="Limited Impact", K389="Significant Impact"), L389&lt;&gt;""), "Pass with Conditions", IF(OR(E389="Not Legitimate", H389="Not Necessary", K389="High Impact"), "Fail - Data Subject''s Rights Prevail", "Pass with Conditions")))</f>
        <v/>
      </c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>
        <f>IF(AND(E390="Legitimate", H390="Necessary", K390="Minimal Impact"), "Pass - Legitimate Interest Prevails", IF(AND(E390="Legitimate", H390="Necessary", OR(K390="Limited Impact", K390="Significant Impact"), L390&lt;&gt;""), "Pass with Conditions", IF(OR(E390="Not Legitimate", H390="Not Necessary", K390="High Impact"), "Fail - Data Subject''s Rights Prevail", "Pass with Conditions")))</f>
        <v/>
      </c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>
        <f>IF(AND(E391="Legitimate", H391="Necessary", K391="Minimal Impact"), "Pass - Legitimate Interest Prevails", IF(AND(E391="Legitimate", H391="Necessary", OR(K391="Limited Impact", K391="Significant Impact"), L391&lt;&gt;""), "Pass with Conditions", IF(OR(E391="Not Legitimate", H391="Not Necessary", K391="High Impact"), "Fail - Data Subject''s Rights Prevail", "Pass with Conditions")))</f>
        <v/>
      </c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>
        <f>IF(AND(E392="Legitimate", H392="Necessary", K392="Minimal Impact"), "Pass - Legitimate Interest Prevails", IF(AND(E392="Legitimate", H392="Necessary", OR(K392="Limited Impact", K392="Significant Impact"), L392&lt;&gt;""), "Pass with Conditions", IF(OR(E392="Not Legitimate", H392="Not Necessary", K392="High Impact"), "Fail - Data Subject''s Rights Prevail", "Pass with Conditions")))</f>
        <v/>
      </c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>
        <f>IF(AND(E393="Legitimate", H393="Necessary", K393="Minimal Impact"), "Pass - Legitimate Interest Prevails", IF(AND(E393="Legitimate", H393="Necessary", OR(K393="Limited Impact", K393="Significant Impact"), L393&lt;&gt;""), "Pass with Conditions", IF(OR(E393="Not Legitimate", H393="Not Necessary", K393="High Impact"), "Fail - Data Subject''s Rights Prevail", "Pass with Conditions")))</f>
        <v/>
      </c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>
        <f>IF(AND(E394="Legitimate", H394="Necessary", K394="Minimal Impact"), "Pass - Legitimate Interest Prevails", IF(AND(E394="Legitimate", H394="Necessary", OR(K394="Limited Impact", K394="Significant Impact"), L394&lt;&gt;""), "Pass with Conditions", IF(OR(E394="Not Legitimate", H394="Not Necessary", K394="High Impact"), "Fail - Data Subject''s Rights Prevail", "Pass with Conditions")))</f>
        <v/>
      </c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>
        <f>IF(AND(E395="Legitimate", H395="Necessary", K395="Minimal Impact"), "Pass - Legitimate Interest Prevails", IF(AND(E395="Legitimate", H395="Necessary", OR(K395="Limited Impact", K395="Significant Impact"), L395&lt;&gt;""), "Pass with Conditions", IF(OR(E395="Not Legitimate", H395="Not Necessary", K395="High Impact"), "Fail - Data Subject''s Rights Prevail", "Pass with Conditions")))</f>
        <v/>
      </c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>
        <f>IF(AND(E396="Legitimate", H396="Necessary", K396="Minimal Impact"), "Pass - Legitimate Interest Prevails", IF(AND(E396="Legitimate", H396="Necessary", OR(K396="Limited Impact", K396="Significant Impact"), L396&lt;&gt;""), "Pass with Conditions", IF(OR(E396="Not Legitimate", H396="Not Necessary", K396="High Impact"), "Fail - Data Subject''s Rights Prevail", "Pass with Conditions")))</f>
        <v/>
      </c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>
        <f>IF(AND(E397="Legitimate", H397="Necessary", K397="Minimal Impact"), "Pass - Legitimate Interest Prevails", IF(AND(E397="Legitimate", H397="Necessary", OR(K397="Limited Impact", K397="Significant Impact"), L397&lt;&gt;""), "Pass with Conditions", IF(OR(E397="Not Legitimate", H397="Not Necessary", K397="High Impact"), "Fail - Data Subject''s Rights Prevail", "Pass with Conditions")))</f>
        <v/>
      </c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>
        <f>IF(AND(E398="Legitimate", H398="Necessary", K398="Minimal Impact"), "Pass - Legitimate Interest Prevails", IF(AND(E398="Legitimate", H398="Necessary", OR(K398="Limited Impact", K398="Significant Impact"), L398&lt;&gt;""), "Pass with Conditions", IF(OR(E398="Not Legitimate", H398="Not Necessary", K398="High Impact"), "Fail - Data Subject''s Rights Prevail", "Pass with Conditions")))</f>
        <v/>
      </c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>
        <f>IF(AND(E399="Legitimate", H399="Necessary", K399="Minimal Impact"), "Pass - Legitimate Interest Prevails", IF(AND(E399="Legitimate", H399="Necessary", OR(K399="Limited Impact", K399="Significant Impact"), L399&lt;&gt;""), "Pass with Conditions", IF(OR(E399="Not Legitimate", H399="Not Necessary", K399="High Impact"), "Fail - Data Subject''s Rights Prevail", "Pass with Conditions")))</f>
        <v/>
      </c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>
        <f>IF(AND(E400="Legitimate", H400="Necessary", K400="Minimal Impact"), "Pass - Legitimate Interest Prevails", IF(AND(E400="Legitimate", H400="Necessary", OR(K400="Limited Impact", K400="Significant Impact"), L400&lt;&gt;""), "Pass with Conditions", IF(OR(E400="Not Legitimate", H400="Not Necessary", K400="High Impact"), "Fail - Data Subject''s Rights Prevail", "Pass with Conditions")))</f>
        <v/>
      </c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>
        <f>IF(AND(E401="Legitimate", H401="Necessary", K401="Minimal Impact"), "Pass - Legitimate Interest Prevails", IF(AND(E401="Legitimate", H401="Necessary", OR(K401="Limited Impact", K401="Significant Impact"), L401&lt;&gt;""), "Pass with Conditions", IF(OR(E401="Not Legitimate", H401="Not Necessary", K401="High Impact"), "Fail - Data Subject''s Rights Prevail", "Pass with Conditions")))</f>
        <v/>
      </c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>
        <f>IF(AND(E402="Legitimate", H402="Necessary", K402="Minimal Impact"), "Pass - Legitimate Interest Prevails", IF(AND(E402="Legitimate", H402="Necessary", OR(K402="Limited Impact", K402="Significant Impact"), L402&lt;&gt;""), "Pass with Conditions", IF(OR(E402="Not Legitimate", H402="Not Necessary", K402="High Impact"), "Fail - Data Subject''s Rights Prevail", "Pass with Conditions")))</f>
        <v/>
      </c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>
        <f>IF(AND(E403="Legitimate", H403="Necessary", K403="Minimal Impact"), "Pass - Legitimate Interest Prevails", IF(AND(E403="Legitimate", H403="Necessary", OR(K403="Limited Impact", K403="Significant Impact"), L403&lt;&gt;""), "Pass with Conditions", IF(OR(E403="Not Legitimate", H403="Not Necessary", K403="High Impact"), "Fail - Data Subject''s Rights Prevail", "Pass with Conditions")))</f>
        <v/>
      </c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>
        <f>IF(AND(E404="Legitimate", H404="Necessary", K404="Minimal Impact"), "Pass - Legitimate Interest Prevails", IF(AND(E404="Legitimate", H404="Necessary", OR(K404="Limited Impact", K404="Significant Impact"), L404&lt;&gt;""), "Pass with Conditions", IF(OR(E404="Not Legitimate", H404="Not Necessary", K404="High Impact"), "Fail - Data Subject''s Rights Prevail", "Pass with Conditions")))</f>
        <v/>
      </c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>
        <f>IF(AND(E405="Legitimate", H405="Necessary", K405="Minimal Impact"), "Pass - Legitimate Interest Prevails", IF(AND(E405="Legitimate", H405="Necessary", OR(K405="Limited Impact", K405="Significant Impact"), L405&lt;&gt;""), "Pass with Conditions", IF(OR(E405="Not Legitimate", H405="Not Necessary", K405="High Impact"), "Fail - Data Subject''s Rights Prevail", "Pass with Conditions")))</f>
        <v/>
      </c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>
        <f>IF(AND(E406="Legitimate", H406="Necessary", K406="Minimal Impact"), "Pass - Legitimate Interest Prevails", IF(AND(E406="Legitimate", H406="Necessary", OR(K406="Limited Impact", K406="Significant Impact"), L406&lt;&gt;""), "Pass with Conditions", IF(OR(E406="Not Legitimate", H406="Not Necessary", K406="High Impact"), "Fail - Data Subject''s Rights Prevail", "Pass with Conditions")))</f>
        <v/>
      </c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>
        <f>IF(AND(E407="Legitimate", H407="Necessary", K407="Minimal Impact"), "Pass - Legitimate Interest Prevails", IF(AND(E407="Legitimate", H407="Necessary", OR(K407="Limited Impact", K407="Significant Impact"), L407&lt;&gt;""), "Pass with Conditions", IF(OR(E407="Not Legitimate", H407="Not Necessary", K407="High Impact"), "Fail - Data Subject''s Rights Prevail", "Pass with Conditions")))</f>
        <v/>
      </c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>
        <f>IF(AND(E408="Legitimate", H408="Necessary", K408="Minimal Impact"), "Pass - Legitimate Interest Prevails", IF(AND(E408="Legitimate", H408="Necessary", OR(K408="Limited Impact", K408="Significant Impact"), L408&lt;&gt;""), "Pass with Conditions", IF(OR(E408="Not Legitimate", H408="Not Necessary", K408="High Impact"), "Fail - Data Subject''s Rights Prevail", "Pass with Conditions")))</f>
        <v/>
      </c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>
        <f>IF(AND(E409="Legitimate", H409="Necessary", K409="Minimal Impact"), "Pass - Legitimate Interest Prevails", IF(AND(E409="Legitimate", H409="Necessary", OR(K409="Limited Impact", K409="Significant Impact"), L409&lt;&gt;""), "Pass with Conditions", IF(OR(E409="Not Legitimate", H409="Not Necessary", K409="High Impact"), "Fail - Data Subject''s Rights Prevail", "Pass with Conditions")))</f>
        <v/>
      </c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>
        <f>IF(AND(E410="Legitimate", H410="Necessary", K410="Minimal Impact"), "Pass - Legitimate Interest Prevails", IF(AND(E410="Legitimate", H410="Necessary", OR(K410="Limited Impact", K410="Significant Impact"), L410&lt;&gt;""), "Pass with Conditions", IF(OR(E410="Not Legitimate", H410="Not Necessary", K410="High Impact"), "Fail - Data Subject''s Rights Prevail", "Pass with Conditions")))</f>
        <v/>
      </c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>
        <f>IF(AND(E411="Legitimate", H411="Necessary", K411="Minimal Impact"), "Pass - Legitimate Interest Prevails", IF(AND(E411="Legitimate", H411="Necessary", OR(K411="Limited Impact", K411="Significant Impact"), L411&lt;&gt;""), "Pass with Conditions", IF(OR(E411="Not Legitimate", H411="Not Necessary", K411="High Impact"), "Fail - Data Subject''s Rights Prevail", "Pass with Conditions")))</f>
        <v/>
      </c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>
        <f>IF(AND(E412="Legitimate", H412="Necessary", K412="Minimal Impact"), "Pass - Legitimate Interest Prevails", IF(AND(E412="Legitimate", H412="Necessary", OR(K412="Limited Impact", K412="Significant Impact"), L412&lt;&gt;""), "Pass with Conditions", IF(OR(E412="Not Legitimate", H412="Not Necessary", K412="High Impact"), "Fail - Data Subject''s Rights Prevail", "Pass with Conditions")))</f>
        <v/>
      </c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>
        <f>IF(AND(E413="Legitimate", H413="Necessary", K413="Minimal Impact"), "Pass - Legitimate Interest Prevails", IF(AND(E413="Legitimate", H413="Necessary", OR(K413="Limited Impact", K413="Significant Impact"), L413&lt;&gt;""), "Pass with Conditions", IF(OR(E413="Not Legitimate", H413="Not Necessary", K413="High Impact"), "Fail - Data Subject''s Rights Prevail", "Pass with Conditions")))</f>
        <v/>
      </c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>
        <f>IF(AND(E414="Legitimate", H414="Necessary", K414="Minimal Impact"), "Pass - Legitimate Interest Prevails", IF(AND(E414="Legitimate", H414="Necessary", OR(K414="Limited Impact", K414="Significant Impact"), L414&lt;&gt;""), "Pass with Conditions", IF(OR(E414="Not Legitimate", H414="Not Necessary", K414="High Impact"), "Fail - Data Subject''s Rights Prevail", "Pass with Conditions")))</f>
        <v/>
      </c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>
        <f>IF(AND(E415="Legitimate", H415="Necessary", K415="Minimal Impact"), "Pass - Legitimate Interest Prevails", IF(AND(E415="Legitimate", H415="Necessary", OR(K415="Limited Impact", K415="Significant Impact"), L415&lt;&gt;""), "Pass with Conditions", IF(OR(E415="Not Legitimate", H415="Not Necessary", K415="High Impact"), "Fail - Data Subject''s Rights Prevail", "Pass with Conditions")))</f>
        <v/>
      </c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>
        <f>IF(AND(E416="Legitimate", H416="Necessary", K416="Minimal Impact"), "Pass - Legitimate Interest Prevails", IF(AND(E416="Legitimate", H416="Necessary", OR(K416="Limited Impact", K416="Significant Impact"), L416&lt;&gt;""), "Pass with Conditions", IF(OR(E416="Not Legitimate", H416="Not Necessary", K416="High Impact"), "Fail - Data Subject''s Rights Prevail", "Pass with Conditions")))</f>
        <v/>
      </c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>
        <f>IF(AND(E417="Legitimate", H417="Necessary", K417="Minimal Impact"), "Pass - Legitimate Interest Prevails", IF(AND(E417="Legitimate", H417="Necessary", OR(K417="Limited Impact", K417="Significant Impact"), L417&lt;&gt;""), "Pass with Conditions", IF(OR(E417="Not Legitimate", H417="Not Necessary", K417="High Impact"), "Fail - Data Subject''s Rights Prevail", "Pass with Conditions")))</f>
        <v/>
      </c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>
        <f>IF(AND(E418="Legitimate", H418="Necessary", K418="Minimal Impact"), "Pass - Legitimate Interest Prevails", IF(AND(E418="Legitimate", H418="Necessary", OR(K418="Limited Impact", K418="Significant Impact"), L418&lt;&gt;""), "Pass with Conditions", IF(OR(E418="Not Legitimate", H418="Not Necessary", K418="High Impact"), "Fail - Data Subject''s Rights Prevail", "Pass with Conditions")))</f>
        <v/>
      </c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>
        <f>IF(AND(E419="Legitimate", H419="Necessary", K419="Minimal Impact"), "Pass - Legitimate Interest Prevails", IF(AND(E419="Legitimate", H419="Necessary", OR(K419="Limited Impact", K419="Significant Impact"), L419&lt;&gt;""), "Pass with Conditions", IF(OR(E419="Not Legitimate", H419="Not Necessary", K419="High Impact"), "Fail - Data Subject''s Rights Prevail", "Pass with Conditions")))</f>
        <v/>
      </c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>
        <f>IF(AND(E420="Legitimate", H420="Necessary", K420="Minimal Impact"), "Pass - Legitimate Interest Prevails", IF(AND(E420="Legitimate", H420="Necessary", OR(K420="Limited Impact", K420="Significant Impact"), L420&lt;&gt;""), "Pass with Conditions", IF(OR(E420="Not Legitimate", H420="Not Necessary", K420="High Impact"), "Fail - Data Subject''s Rights Prevail", "Pass with Conditions")))</f>
        <v/>
      </c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>
        <f>IF(AND(E421="Legitimate", H421="Necessary", K421="Minimal Impact"), "Pass - Legitimate Interest Prevails", IF(AND(E421="Legitimate", H421="Necessary", OR(K421="Limited Impact", K421="Significant Impact"), L421&lt;&gt;""), "Pass with Conditions", IF(OR(E421="Not Legitimate", H421="Not Necessary", K421="High Impact"), "Fail - Data Subject''s Rights Prevail", "Pass with Conditions")))</f>
        <v/>
      </c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>
        <f>IF(AND(E422="Legitimate", H422="Necessary", K422="Minimal Impact"), "Pass - Legitimate Interest Prevails", IF(AND(E422="Legitimate", H422="Necessary", OR(K422="Limited Impact", K422="Significant Impact"), L422&lt;&gt;""), "Pass with Conditions", IF(OR(E422="Not Legitimate", H422="Not Necessary", K422="High Impact"), "Fail - Data Subject''s Rights Prevail", "Pass with Conditions")))</f>
        <v/>
      </c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>
        <f>IF(AND(E423="Legitimate", H423="Necessary", K423="Minimal Impact"), "Pass - Legitimate Interest Prevails", IF(AND(E423="Legitimate", H423="Necessary", OR(K423="Limited Impact", K423="Significant Impact"), L423&lt;&gt;""), "Pass with Conditions", IF(OR(E423="Not Legitimate", H423="Not Necessary", K423="High Impact"), "Fail - Data Subject''s Rights Prevail", "Pass with Conditions")))</f>
        <v/>
      </c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>
        <f>IF(AND(E424="Legitimate", H424="Necessary", K424="Minimal Impact"), "Pass - Legitimate Interest Prevails", IF(AND(E424="Legitimate", H424="Necessary", OR(K424="Limited Impact", K424="Significant Impact"), L424&lt;&gt;""), "Pass with Conditions", IF(OR(E424="Not Legitimate", H424="Not Necessary", K424="High Impact"), "Fail - Data Subject''s Rights Prevail", "Pass with Conditions")))</f>
        <v/>
      </c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>
        <f>IF(AND(E425="Legitimate", H425="Necessary", K425="Minimal Impact"), "Pass - Legitimate Interest Prevails", IF(AND(E425="Legitimate", H425="Necessary", OR(K425="Limited Impact", K425="Significant Impact"), L425&lt;&gt;""), "Pass with Conditions", IF(OR(E425="Not Legitimate", H425="Not Necessary", K425="High Impact"), "Fail - Data Subject''s Rights Prevail", "Pass with Conditions")))</f>
        <v/>
      </c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>
        <f>IF(AND(E426="Legitimate", H426="Necessary", K426="Minimal Impact"), "Pass - Legitimate Interest Prevails", IF(AND(E426="Legitimate", H426="Necessary", OR(K426="Limited Impact", K426="Significant Impact"), L426&lt;&gt;""), "Pass with Conditions", IF(OR(E426="Not Legitimate", H426="Not Necessary", K426="High Impact"), "Fail - Data Subject''s Rights Prevail", "Pass with Conditions")))</f>
        <v/>
      </c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>
        <f>IF(AND(E427="Legitimate", H427="Necessary", K427="Minimal Impact"), "Pass - Legitimate Interest Prevails", IF(AND(E427="Legitimate", H427="Necessary", OR(K427="Limited Impact", K427="Significant Impact"), L427&lt;&gt;""), "Pass with Conditions", IF(OR(E427="Not Legitimate", H427="Not Necessary", K427="High Impact"), "Fail - Data Subject''s Rights Prevail", "Pass with Conditions")))</f>
        <v/>
      </c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>
        <f>IF(AND(E428="Legitimate", H428="Necessary", K428="Minimal Impact"), "Pass - Legitimate Interest Prevails", IF(AND(E428="Legitimate", H428="Necessary", OR(K428="Limited Impact", K428="Significant Impact"), L428&lt;&gt;""), "Pass with Conditions", IF(OR(E428="Not Legitimate", H428="Not Necessary", K428="High Impact"), "Fail - Data Subject''s Rights Prevail", "Pass with Conditions")))</f>
        <v/>
      </c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>
        <f>IF(AND(E429="Legitimate", H429="Necessary", K429="Minimal Impact"), "Pass - Legitimate Interest Prevails", IF(AND(E429="Legitimate", H429="Necessary", OR(K429="Limited Impact", K429="Significant Impact"), L429&lt;&gt;""), "Pass with Conditions", IF(OR(E429="Not Legitimate", H429="Not Necessary", K429="High Impact"), "Fail - Data Subject''s Rights Prevail", "Pass with Conditions")))</f>
        <v/>
      </c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>
        <f>IF(AND(E430="Legitimate", H430="Necessary", K430="Minimal Impact"), "Pass - Legitimate Interest Prevails", IF(AND(E430="Legitimate", H430="Necessary", OR(K430="Limited Impact", K430="Significant Impact"), L430&lt;&gt;""), "Pass with Conditions", IF(OR(E430="Not Legitimate", H430="Not Necessary", K430="High Impact"), "Fail - Data Subject''s Rights Prevail", "Pass with Conditions")))</f>
        <v/>
      </c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>
        <f>IF(AND(E431="Legitimate", H431="Necessary", K431="Minimal Impact"), "Pass - Legitimate Interest Prevails", IF(AND(E431="Legitimate", H431="Necessary", OR(K431="Limited Impact", K431="Significant Impact"), L431&lt;&gt;""), "Pass with Conditions", IF(OR(E431="Not Legitimate", H431="Not Necessary", K431="High Impact"), "Fail - Data Subject''s Rights Prevail", "Pass with Conditions")))</f>
        <v/>
      </c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>
        <f>IF(AND(E432="Legitimate", H432="Necessary", K432="Minimal Impact"), "Pass - Legitimate Interest Prevails", IF(AND(E432="Legitimate", H432="Necessary", OR(K432="Limited Impact", K432="Significant Impact"), L432&lt;&gt;""), "Pass with Conditions", IF(OR(E432="Not Legitimate", H432="Not Necessary", K432="High Impact"), "Fail - Data Subject''s Rights Prevail", "Pass with Conditions")))</f>
        <v/>
      </c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>
        <f>IF(AND(E433="Legitimate", H433="Necessary", K433="Minimal Impact"), "Pass - Legitimate Interest Prevails", IF(AND(E433="Legitimate", H433="Necessary", OR(K433="Limited Impact", K433="Significant Impact"), L433&lt;&gt;""), "Pass with Conditions", IF(OR(E433="Not Legitimate", H433="Not Necessary", K433="High Impact"), "Fail - Data Subject''s Rights Prevail", "Pass with Conditions")))</f>
        <v/>
      </c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>
        <f>IF(AND(E434="Legitimate", H434="Necessary", K434="Minimal Impact"), "Pass - Legitimate Interest Prevails", IF(AND(E434="Legitimate", H434="Necessary", OR(K434="Limited Impact", K434="Significant Impact"), L434&lt;&gt;""), "Pass with Conditions", IF(OR(E434="Not Legitimate", H434="Not Necessary", K434="High Impact"), "Fail - Data Subject''s Rights Prevail", "Pass with Conditions")))</f>
        <v/>
      </c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>
        <f>IF(AND(E435="Legitimate", H435="Necessary", K435="Minimal Impact"), "Pass - Legitimate Interest Prevails", IF(AND(E435="Legitimate", H435="Necessary", OR(K435="Limited Impact", K435="Significant Impact"), L435&lt;&gt;""), "Pass with Conditions", IF(OR(E435="Not Legitimate", H435="Not Necessary", K435="High Impact"), "Fail - Data Subject''s Rights Prevail", "Pass with Conditions")))</f>
        <v/>
      </c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>
        <f>IF(AND(E436="Legitimate", H436="Necessary", K436="Minimal Impact"), "Pass - Legitimate Interest Prevails", IF(AND(E436="Legitimate", H436="Necessary", OR(K436="Limited Impact", K436="Significant Impact"), L436&lt;&gt;""), "Pass with Conditions", IF(OR(E436="Not Legitimate", H436="Not Necessary", K436="High Impact"), "Fail - Data Subject''s Rights Prevail", "Pass with Conditions")))</f>
        <v/>
      </c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>
        <f>IF(AND(E437="Legitimate", H437="Necessary", K437="Minimal Impact"), "Pass - Legitimate Interest Prevails", IF(AND(E437="Legitimate", H437="Necessary", OR(K437="Limited Impact", K437="Significant Impact"), L437&lt;&gt;""), "Pass with Conditions", IF(OR(E437="Not Legitimate", H437="Not Necessary", K437="High Impact"), "Fail - Data Subject''s Rights Prevail", "Pass with Conditions")))</f>
        <v/>
      </c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>
        <f>IF(AND(E438="Legitimate", H438="Necessary", K438="Minimal Impact"), "Pass - Legitimate Interest Prevails", IF(AND(E438="Legitimate", H438="Necessary", OR(K438="Limited Impact", K438="Significant Impact"), L438&lt;&gt;""), "Pass with Conditions", IF(OR(E438="Not Legitimate", H438="Not Necessary", K438="High Impact"), "Fail - Data Subject''s Rights Prevail", "Pass with Conditions")))</f>
        <v/>
      </c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>
        <f>IF(AND(E439="Legitimate", H439="Necessary", K439="Minimal Impact"), "Pass - Legitimate Interest Prevails", IF(AND(E439="Legitimate", H439="Necessary", OR(K439="Limited Impact", K439="Significant Impact"), L439&lt;&gt;""), "Pass with Conditions", IF(OR(E439="Not Legitimate", H439="Not Necessary", K439="High Impact"), "Fail - Data Subject''s Rights Prevail", "Pass with Conditions")))</f>
        <v/>
      </c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>
        <f>IF(AND(E440="Legitimate", H440="Necessary", K440="Minimal Impact"), "Pass - Legitimate Interest Prevails", IF(AND(E440="Legitimate", H440="Necessary", OR(K440="Limited Impact", K440="Significant Impact"), L440&lt;&gt;""), "Pass with Conditions", IF(OR(E440="Not Legitimate", H440="Not Necessary", K440="High Impact"), "Fail - Data Subject''s Rights Prevail", "Pass with Conditions")))</f>
        <v/>
      </c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>
        <f>IF(AND(E441="Legitimate", H441="Necessary", K441="Minimal Impact"), "Pass - Legitimate Interest Prevails", IF(AND(E441="Legitimate", H441="Necessary", OR(K441="Limited Impact", K441="Significant Impact"), L441&lt;&gt;""), "Pass with Conditions", IF(OR(E441="Not Legitimate", H441="Not Necessary", K441="High Impact"), "Fail - Data Subject''s Rights Prevail", "Pass with Conditions")))</f>
        <v/>
      </c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>
        <f>IF(AND(E442="Legitimate", H442="Necessary", K442="Minimal Impact"), "Pass - Legitimate Interest Prevails", IF(AND(E442="Legitimate", H442="Necessary", OR(K442="Limited Impact", K442="Significant Impact"), L442&lt;&gt;""), "Pass with Conditions", IF(OR(E442="Not Legitimate", H442="Not Necessary", K442="High Impact"), "Fail - Data Subject''s Rights Prevail", "Pass with Conditions")))</f>
        <v/>
      </c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>
        <f>IF(AND(E443="Legitimate", H443="Necessary", K443="Minimal Impact"), "Pass - Legitimate Interest Prevails", IF(AND(E443="Legitimate", H443="Necessary", OR(K443="Limited Impact", K443="Significant Impact"), L443&lt;&gt;""), "Pass with Conditions", IF(OR(E443="Not Legitimate", H443="Not Necessary", K443="High Impact"), "Fail - Data Subject''s Rights Prevail", "Pass with Conditions")))</f>
        <v/>
      </c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>
        <f>IF(AND(E444="Legitimate", H444="Necessary", K444="Minimal Impact"), "Pass - Legitimate Interest Prevails", IF(AND(E444="Legitimate", H444="Necessary", OR(K444="Limited Impact", K444="Significant Impact"), L444&lt;&gt;""), "Pass with Conditions", IF(OR(E444="Not Legitimate", H444="Not Necessary", K444="High Impact"), "Fail - Data Subject''s Rights Prevail", "Pass with Conditions")))</f>
        <v/>
      </c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>
        <f>IF(AND(E445="Legitimate", H445="Necessary", K445="Minimal Impact"), "Pass - Legitimate Interest Prevails", IF(AND(E445="Legitimate", H445="Necessary", OR(K445="Limited Impact", K445="Significant Impact"), L445&lt;&gt;""), "Pass with Conditions", IF(OR(E445="Not Legitimate", H445="Not Necessary", K445="High Impact"), "Fail - Data Subject''s Rights Prevail", "Pass with Conditions")))</f>
        <v/>
      </c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>
        <f>IF(AND(E446="Legitimate", H446="Necessary", K446="Minimal Impact"), "Pass - Legitimate Interest Prevails", IF(AND(E446="Legitimate", H446="Necessary", OR(K446="Limited Impact", K446="Significant Impact"), L446&lt;&gt;""), "Pass with Conditions", IF(OR(E446="Not Legitimate", H446="Not Necessary", K446="High Impact"), "Fail - Data Subject''s Rights Prevail", "Pass with Conditions")))</f>
        <v/>
      </c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>
        <f>IF(AND(E447="Legitimate", H447="Necessary", K447="Minimal Impact"), "Pass - Legitimate Interest Prevails", IF(AND(E447="Legitimate", H447="Necessary", OR(K447="Limited Impact", K447="Significant Impact"), L447&lt;&gt;""), "Pass with Conditions", IF(OR(E447="Not Legitimate", H447="Not Necessary", K447="High Impact"), "Fail - Data Subject''s Rights Prevail", "Pass with Conditions")))</f>
        <v/>
      </c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>
        <f>IF(AND(E448="Legitimate", H448="Necessary", K448="Minimal Impact"), "Pass - Legitimate Interest Prevails", IF(AND(E448="Legitimate", H448="Necessary", OR(K448="Limited Impact", K448="Significant Impact"), L448&lt;&gt;""), "Pass with Conditions", IF(OR(E448="Not Legitimate", H448="Not Necessary", K448="High Impact"), "Fail - Data Subject''s Rights Prevail", "Pass with Conditions")))</f>
        <v/>
      </c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>
        <f>IF(AND(E449="Legitimate", H449="Necessary", K449="Minimal Impact"), "Pass - Legitimate Interest Prevails", IF(AND(E449="Legitimate", H449="Necessary", OR(K449="Limited Impact", K449="Significant Impact"), L449&lt;&gt;""), "Pass with Conditions", IF(OR(E449="Not Legitimate", H449="Not Necessary", K449="High Impact"), "Fail - Data Subject''s Rights Prevail", "Pass with Conditions")))</f>
        <v/>
      </c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>
        <f>IF(AND(E450="Legitimate", H450="Necessary", K450="Minimal Impact"), "Pass - Legitimate Interest Prevails", IF(AND(E450="Legitimate", H450="Necessary", OR(K450="Limited Impact", K450="Significant Impact"), L450&lt;&gt;""), "Pass with Conditions", IF(OR(E450="Not Legitimate", H450="Not Necessary", K450="High Impact"), "Fail - Data Subject''s Rights Prevail", "Pass with Conditions")))</f>
        <v/>
      </c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>
        <f>IF(AND(E451="Legitimate", H451="Necessary", K451="Minimal Impact"), "Pass - Legitimate Interest Prevails", IF(AND(E451="Legitimate", H451="Necessary", OR(K451="Limited Impact", K451="Significant Impact"), L451&lt;&gt;""), "Pass with Conditions", IF(OR(E451="Not Legitimate", H451="Not Necessary", K451="High Impact"), "Fail - Data Subject''s Rights Prevail", "Pass with Conditions")))</f>
        <v/>
      </c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>
        <f>IF(AND(E452="Legitimate", H452="Necessary", K452="Minimal Impact"), "Pass - Legitimate Interest Prevails", IF(AND(E452="Legitimate", H452="Necessary", OR(K452="Limited Impact", K452="Significant Impact"), L452&lt;&gt;""), "Pass with Conditions", IF(OR(E452="Not Legitimate", H452="Not Necessary", K452="High Impact"), "Fail - Data Subject''s Rights Prevail", "Pass with Conditions")))</f>
        <v/>
      </c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>
        <f>IF(AND(E453="Legitimate", H453="Necessary", K453="Minimal Impact"), "Pass - Legitimate Interest Prevails", IF(AND(E453="Legitimate", H453="Necessary", OR(K453="Limited Impact", K453="Significant Impact"), L453&lt;&gt;""), "Pass with Conditions", IF(OR(E453="Not Legitimate", H453="Not Necessary", K453="High Impact"), "Fail - Data Subject''s Rights Prevail", "Pass with Conditions")))</f>
        <v/>
      </c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>
        <f>IF(AND(E454="Legitimate", H454="Necessary", K454="Minimal Impact"), "Pass - Legitimate Interest Prevails", IF(AND(E454="Legitimate", H454="Necessary", OR(K454="Limited Impact", K454="Significant Impact"), L454&lt;&gt;""), "Pass with Conditions", IF(OR(E454="Not Legitimate", H454="Not Necessary", K454="High Impact"), "Fail - Data Subject''s Rights Prevail", "Pass with Conditions")))</f>
        <v/>
      </c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>
        <f>IF(AND(E455="Legitimate", H455="Necessary", K455="Minimal Impact"), "Pass - Legitimate Interest Prevails", IF(AND(E455="Legitimate", H455="Necessary", OR(K455="Limited Impact", K455="Significant Impact"), L455&lt;&gt;""), "Pass with Conditions", IF(OR(E455="Not Legitimate", H455="Not Necessary", K455="High Impact"), "Fail - Data Subject''s Rights Prevail", "Pass with Conditions")))</f>
        <v/>
      </c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>
        <f>IF(AND(E456="Legitimate", H456="Necessary", K456="Minimal Impact"), "Pass - Legitimate Interest Prevails", IF(AND(E456="Legitimate", H456="Necessary", OR(K456="Limited Impact", K456="Significant Impact"), L456&lt;&gt;""), "Pass with Conditions", IF(OR(E456="Not Legitimate", H456="Not Necessary", K456="High Impact"), "Fail - Data Subject''s Rights Prevail", "Pass with Conditions")))</f>
        <v/>
      </c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>
        <f>IF(AND(E457="Legitimate", H457="Necessary", K457="Minimal Impact"), "Pass - Legitimate Interest Prevails", IF(AND(E457="Legitimate", H457="Necessary", OR(K457="Limited Impact", K457="Significant Impact"), L457&lt;&gt;""), "Pass with Conditions", IF(OR(E457="Not Legitimate", H457="Not Necessary", K457="High Impact"), "Fail - Data Subject''s Rights Prevail", "Pass with Conditions")))</f>
        <v/>
      </c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>
        <f>IF(AND(E458="Legitimate", H458="Necessary", K458="Minimal Impact"), "Pass - Legitimate Interest Prevails", IF(AND(E458="Legitimate", H458="Necessary", OR(K458="Limited Impact", K458="Significant Impact"), L458&lt;&gt;""), "Pass with Conditions", IF(OR(E458="Not Legitimate", H458="Not Necessary", K458="High Impact"), "Fail - Data Subject''s Rights Prevail", "Pass with Conditions")))</f>
        <v/>
      </c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>
        <f>IF(AND(E459="Legitimate", H459="Necessary", K459="Minimal Impact"), "Pass - Legitimate Interest Prevails", IF(AND(E459="Legitimate", H459="Necessary", OR(K459="Limited Impact", K459="Significant Impact"), L459&lt;&gt;""), "Pass with Conditions", IF(OR(E459="Not Legitimate", H459="Not Necessary", K459="High Impact"), "Fail - Data Subject''s Rights Prevail", "Pass with Conditions")))</f>
        <v/>
      </c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>
        <f>IF(AND(E460="Legitimate", H460="Necessary", K460="Minimal Impact"), "Pass - Legitimate Interest Prevails", IF(AND(E460="Legitimate", H460="Necessary", OR(K460="Limited Impact", K460="Significant Impact"), L460&lt;&gt;""), "Pass with Conditions", IF(OR(E460="Not Legitimate", H460="Not Necessary", K460="High Impact"), "Fail - Data Subject''s Rights Prevail", "Pass with Conditions")))</f>
        <v/>
      </c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>
        <f>IF(AND(E461="Legitimate", H461="Necessary", K461="Minimal Impact"), "Pass - Legitimate Interest Prevails", IF(AND(E461="Legitimate", H461="Necessary", OR(K461="Limited Impact", K461="Significant Impact"), L461&lt;&gt;""), "Pass with Conditions", IF(OR(E461="Not Legitimate", H461="Not Necessary", K461="High Impact"), "Fail - Data Subject''s Rights Prevail", "Pass with Conditions")))</f>
        <v/>
      </c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>
        <f>IF(AND(E462="Legitimate", H462="Necessary", K462="Minimal Impact"), "Pass - Legitimate Interest Prevails", IF(AND(E462="Legitimate", H462="Necessary", OR(K462="Limited Impact", K462="Significant Impact"), L462&lt;&gt;""), "Pass with Conditions", IF(OR(E462="Not Legitimate", H462="Not Necessary", K462="High Impact"), "Fail - Data Subject''s Rights Prevail", "Pass with Conditions")))</f>
        <v/>
      </c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>
        <f>IF(AND(E463="Legitimate", H463="Necessary", K463="Minimal Impact"), "Pass - Legitimate Interest Prevails", IF(AND(E463="Legitimate", H463="Necessary", OR(K463="Limited Impact", K463="Significant Impact"), L463&lt;&gt;""), "Pass with Conditions", IF(OR(E463="Not Legitimate", H463="Not Necessary", K463="High Impact"), "Fail - Data Subject''s Rights Prevail", "Pass with Conditions")))</f>
        <v/>
      </c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>
        <f>IF(AND(E464="Legitimate", H464="Necessary", K464="Minimal Impact"), "Pass - Legitimate Interest Prevails", IF(AND(E464="Legitimate", H464="Necessary", OR(K464="Limited Impact", K464="Significant Impact"), L464&lt;&gt;""), "Pass with Conditions", IF(OR(E464="Not Legitimate", H464="Not Necessary", K464="High Impact"), "Fail - Data Subject''s Rights Prevail", "Pass with Conditions")))</f>
        <v/>
      </c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>
        <f>IF(AND(E465="Legitimate", H465="Necessary", K465="Minimal Impact"), "Pass - Legitimate Interest Prevails", IF(AND(E465="Legitimate", H465="Necessary", OR(K465="Limited Impact", K465="Significant Impact"), L465&lt;&gt;""), "Pass with Conditions", IF(OR(E465="Not Legitimate", H465="Not Necessary", K465="High Impact"), "Fail - Data Subject''s Rights Prevail", "Pass with Conditions")))</f>
        <v/>
      </c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>
        <f>IF(AND(E466="Legitimate", H466="Necessary", K466="Minimal Impact"), "Pass - Legitimate Interest Prevails", IF(AND(E466="Legitimate", H466="Necessary", OR(K466="Limited Impact", K466="Significant Impact"), L466&lt;&gt;""), "Pass with Conditions", IF(OR(E466="Not Legitimate", H466="Not Necessary", K466="High Impact"), "Fail - Data Subject''s Rights Prevail", "Pass with Conditions")))</f>
        <v/>
      </c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>
        <f>IF(AND(E467="Legitimate", H467="Necessary", K467="Minimal Impact"), "Pass - Legitimate Interest Prevails", IF(AND(E467="Legitimate", H467="Necessary", OR(K467="Limited Impact", K467="Significant Impact"), L467&lt;&gt;""), "Pass with Conditions", IF(OR(E467="Not Legitimate", H467="Not Necessary", K467="High Impact"), "Fail - Data Subject''s Rights Prevail", "Pass with Conditions")))</f>
        <v/>
      </c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>
        <f>IF(AND(E468="Legitimate", H468="Necessary", K468="Minimal Impact"), "Pass - Legitimate Interest Prevails", IF(AND(E468="Legitimate", H468="Necessary", OR(K468="Limited Impact", K468="Significant Impact"), L468&lt;&gt;""), "Pass with Conditions", IF(OR(E468="Not Legitimate", H468="Not Necessary", K468="High Impact"), "Fail - Data Subject''s Rights Prevail", "Pass with Conditions")))</f>
        <v/>
      </c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>
        <f>IF(AND(E469="Legitimate", H469="Necessary", K469="Minimal Impact"), "Pass - Legitimate Interest Prevails", IF(AND(E469="Legitimate", H469="Necessary", OR(K469="Limited Impact", K469="Significant Impact"), L469&lt;&gt;""), "Pass with Conditions", IF(OR(E469="Not Legitimate", H469="Not Necessary", K469="High Impact"), "Fail - Data Subject''s Rights Prevail", "Pass with Conditions")))</f>
        <v/>
      </c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>
        <f>IF(AND(E470="Legitimate", H470="Necessary", K470="Minimal Impact"), "Pass - Legitimate Interest Prevails", IF(AND(E470="Legitimate", H470="Necessary", OR(K470="Limited Impact", K470="Significant Impact"), L470&lt;&gt;""), "Pass with Conditions", IF(OR(E470="Not Legitimate", H470="Not Necessary", K470="High Impact"), "Fail - Data Subject''s Rights Prevail", "Pass with Conditions")))</f>
        <v/>
      </c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>
        <f>IF(AND(E471="Legitimate", H471="Necessary", K471="Minimal Impact"), "Pass - Legitimate Interest Prevails", IF(AND(E471="Legitimate", H471="Necessary", OR(K471="Limited Impact", K471="Significant Impact"), L471&lt;&gt;""), "Pass with Conditions", IF(OR(E471="Not Legitimate", H471="Not Necessary", K471="High Impact"), "Fail - Data Subject''s Rights Prevail", "Pass with Conditions")))</f>
        <v/>
      </c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>
        <f>IF(AND(E472="Legitimate", H472="Necessary", K472="Minimal Impact"), "Pass - Legitimate Interest Prevails", IF(AND(E472="Legitimate", H472="Necessary", OR(K472="Limited Impact", K472="Significant Impact"), L472&lt;&gt;""), "Pass with Conditions", IF(OR(E472="Not Legitimate", H472="Not Necessary", K472="High Impact"), "Fail - Data Subject''s Rights Prevail", "Pass with Conditions")))</f>
        <v/>
      </c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>
        <f>IF(AND(E473="Legitimate", H473="Necessary", K473="Minimal Impact"), "Pass - Legitimate Interest Prevails", IF(AND(E473="Legitimate", H473="Necessary", OR(K473="Limited Impact", K473="Significant Impact"), L473&lt;&gt;""), "Pass with Conditions", IF(OR(E473="Not Legitimate", H473="Not Necessary", K473="High Impact"), "Fail - Data Subject''s Rights Prevail", "Pass with Conditions")))</f>
        <v/>
      </c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>
        <f>IF(AND(E474="Legitimate", H474="Necessary", K474="Minimal Impact"), "Pass - Legitimate Interest Prevails", IF(AND(E474="Legitimate", H474="Necessary", OR(K474="Limited Impact", K474="Significant Impact"), L474&lt;&gt;""), "Pass with Conditions", IF(OR(E474="Not Legitimate", H474="Not Necessary", K474="High Impact"), "Fail - Data Subject''s Rights Prevail", "Pass with Conditions")))</f>
        <v/>
      </c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>
        <f>IF(AND(E475="Legitimate", H475="Necessary", K475="Minimal Impact"), "Pass - Legitimate Interest Prevails", IF(AND(E475="Legitimate", H475="Necessary", OR(K475="Limited Impact", K475="Significant Impact"), L475&lt;&gt;""), "Pass with Conditions", IF(OR(E475="Not Legitimate", H475="Not Necessary", K475="High Impact"), "Fail - Data Subject''s Rights Prevail", "Pass with Conditions")))</f>
        <v/>
      </c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>
        <f>IF(AND(E476="Legitimate", H476="Necessary", K476="Minimal Impact"), "Pass - Legitimate Interest Prevails", IF(AND(E476="Legitimate", H476="Necessary", OR(K476="Limited Impact", K476="Significant Impact"), L476&lt;&gt;""), "Pass with Conditions", IF(OR(E476="Not Legitimate", H476="Not Necessary", K476="High Impact"), "Fail - Data Subject''s Rights Prevail", "Pass with Conditions")))</f>
        <v/>
      </c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>
        <f>IF(AND(E477="Legitimate", H477="Necessary", K477="Minimal Impact"), "Pass - Legitimate Interest Prevails", IF(AND(E477="Legitimate", H477="Necessary", OR(K477="Limited Impact", K477="Significant Impact"), L477&lt;&gt;""), "Pass with Conditions", IF(OR(E477="Not Legitimate", H477="Not Necessary", K477="High Impact"), "Fail - Data Subject''s Rights Prevail", "Pass with Conditions")))</f>
        <v/>
      </c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>
        <f>IF(AND(E478="Legitimate", H478="Necessary", K478="Minimal Impact"), "Pass - Legitimate Interest Prevails", IF(AND(E478="Legitimate", H478="Necessary", OR(K478="Limited Impact", K478="Significant Impact"), L478&lt;&gt;""), "Pass with Conditions", IF(OR(E478="Not Legitimate", H478="Not Necessary", K478="High Impact"), "Fail - Data Subject''s Rights Prevail", "Pass with Conditions")))</f>
        <v/>
      </c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>
        <f>IF(AND(E479="Legitimate", H479="Necessary", K479="Minimal Impact"), "Pass - Legitimate Interest Prevails", IF(AND(E479="Legitimate", H479="Necessary", OR(K479="Limited Impact", K479="Significant Impact"), L479&lt;&gt;""), "Pass with Conditions", IF(OR(E479="Not Legitimate", H479="Not Necessary", K479="High Impact"), "Fail - Data Subject''s Rights Prevail", "Pass with Conditions")))</f>
        <v/>
      </c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>
        <f>IF(AND(E480="Legitimate", H480="Necessary", K480="Minimal Impact"), "Pass - Legitimate Interest Prevails", IF(AND(E480="Legitimate", H480="Necessary", OR(K480="Limited Impact", K480="Significant Impact"), L480&lt;&gt;""), "Pass with Conditions", IF(OR(E480="Not Legitimate", H480="Not Necessary", K480="High Impact"), "Fail - Data Subject''s Rights Prevail", "Pass with Conditions")))</f>
        <v/>
      </c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>
        <f>IF(AND(E481="Legitimate", H481="Necessary", K481="Minimal Impact"), "Pass - Legitimate Interest Prevails", IF(AND(E481="Legitimate", H481="Necessary", OR(K481="Limited Impact", K481="Significant Impact"), L481&lt;&gt;""), "Pass with Conditions", IF(OR(E481="Not Legitimate", H481="Not Necessary", K481="High Impact"), "Fail - Data Subject''s Rights Prevail", "Pass with Conditions")))</f>
        <v/>
      </c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>
        <f>IF(AND(E482="Legitimate", H482="Necessary", K482="Minimal Impact"), "Pass - Legitimate Interest Prevails", IF(AND(E482="Legitimate", H482="Necessary", OR(K482="Limited Impact", K482="Significant Impact"), L482&lt;&gt;""), "Pass with Conditions", IF(OR(E482="Not Legitimate", H482="Not Necessary", K482="High Impact"), "Fail - Data Subject''s Rights Prevail", "Pass with Conditions")))</f>
        <v/>
      </c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>
        <f>IF(AND(E483="Legitimate", H483="Necessary", K483="Minimal Impact"), "Pass - Legitimate Interest Prevails", IF(AND(E483="Legitimate", H483="Necessary", OR(K483="Limited Impact", K483="Significant Impact"), L483&lt;&gt;""), "Pass with Conditions", IF(OR(E483="Not Legitimate", H483="Not Necessary", K483="High Impact"), "Fail - Data Subject''s Rights Prevail", "Pass with Conditions")))</f>
        <v/>
      </c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>
        <f>IF(AND(E484="Legitimate", H484="Necessary", K484="Minimal Impact"), "Pass - Legitimate Interest Prevails", IF(AND(E484="Legitimate", H484="Necessary", OR(K484="Limited Impact", K484="Significant Impact"), L484&lt;&gt;""), "Pass with Conditions", IF(OR(E484="Not Legitimate", H484="Not Necessary", K484="High Impact"), "Fail - Data Subject''s Rights Prevail", "Pass with Conditions")))</f>
        <v/>
      </c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>
        <f>IF(AND(E485="Legitimate", H485="Necessary", K485="Minimal Impact"), "Pass - Legitimate Interest Prevails", IF(AND(E485="Legitimate", H485="Necessary", OR(K485="Limited Impact", K485="Significant Impact"), L485&lt;&gt;""), "Pass with Conditions", IF(OR(E485="Not Legitimate", H485="Not Necessary", K485="High Impact"), "Fail - Data Subject''s Rights Prevail", "Pass with Conditions")))</f>
        <v/>
      </c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>
        <f>IF(AND(E486="Legitimate", H486="Necessary", K486="Minimal Impact"), "Pass - Legitimate Interest Prevails", IF(AND(E486="Legitimate", H486="Necessary", OR(K486="Limited Impact", K486="Significant Impact"), L486&lt;&gt;""), "Pass with Conditions", IF(OR(E486="Not Legitimate", H486="Not Necessary", K486="High Impact"), "Fail - Data Subject''s Rights Prevail", "Pass with Conditions")))</f>
        <v/>
      </c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>
        <f>IF(AND(E487="Legitimate", H487="Necessary", K487="Minimal Impact"), "Pass - Legitimate Interest Prevails", IF(AND(E487="Legitimate", H487="Necessary", OR(K487="Limited Impact", K487="Significant Impact"), L487&lt;&gt;""), "Pass with Conditions", IF(OR(E487="Not Legitimate", H487="Not Necessary", K487="High Impact"), "Fail - Data Subject''s Rights Prevail", "Pass with Conditions")))</f>
        <v/>
      </c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>
        <f>IF(AND(E488="Legitimate", H488="Necessary", K488="Minimal Impact"), "Pass - Legitimate Interest Prevails", IF(AND(E488="Legitimate", H488="Necessary", OR(K488="Limited Impact", K488="Significant Impact"), L488&lt;&gt;""), "Pass with Conditions", IF(OR(E488="Not Legitimate", H488="Not Necessary", K488="High Impact"), "Fail - Data Subject''s Rights Prevail", "Pass with Conditions")))</f>
        <v/>
      </c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>
        <f>IF(AND(E489="Legitimate", H489="Necessary", K489="Minimal Impact"), "Pass - Legitimate Interest Prevails", IF(AND(E489="Legitimate", H489="Necessary", OR(K489="Limited Impact", K489="Significant Impact"), L489&lt;&gt;""), "Pass with Conditions", IF(OR(E489="Not Legitimate", H489="Not Necessary", K489="High Impact"), "Fail - Data Subject''s Rights Prevail", "Pass with Conditions")))</f>
        <v/>
      </c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>
        <f>IF(AND(E490="Legitimate", H490="Necessary", K490="Minimal Impact"), "Pass - Legitimate Interest Prevails", IF(AND(E490="Legitimate", H490="Necessary", OR(K490="Limited Impact", K490="Significant Impact"), L490&lt;&gt;""), "Pass with Conditions", IF(OR(E490="Not Legitimate", H490="Not Necessary", K490="High Impact"), "Fail - Data Subject''s Rights Prevail", "Pass with Conditions")))</f>
        <v/>
      </c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>
        <f>IF(AND(E491="Legitimate", H491="Necessary", K491="Minimal Impact"), "Pass - Legitimate Interest Prevails", IF(AND(E491="Legitimate", H491="Necessary", OR(K491="Limited Impact", K491="Significant Impact"), L491&lt;&gt;""), "Pass with Conditions", IF(OR(E491="Not Legitimate", H491="Not Necessary", K491="High Impact"), "Fail - Data Subject''s Rights Prevail", "Pass with Conditions")))</f>
        <v/>
      </c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>
        <f>IF(AND(E492="Legitimate", H492="Necessary", K492="Minimal Impact"), "Pass - Legitimate Interest Prevails", IF(AND(E492="Legitimate", H492="Necessary", OR(K492="Limited Impact", K492="Significant Impact"), L492&lt;&gt;""), "Pass with Conditions", IF(OR(E492="Not Legitimate", H492="Not Necessary", K492="High Impact"), "Fail - Data Subject''s Rights Prevail", "Pass with Conditions")))</f>
        <v/>
      </c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>
        <f>IF(AND(E493="Legitimate", H493="Necessary", K493="Minimal Impact"), "Pass - Legitimate Interest Prevails", IF(AND(E493="Legitimate", H493="Necessary", OR(K493="Limited Impact", K493="Significant Impact"), L493&lt;&gt;""), "Pass with Conditions", IF(OR(E493="Not Legitimate", H493="Not Necessary", K493="High Impact"), "Fail - Data Subject''s Rights Prevail", "Pass with Conditions")))</f>
        <v/>
      </c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>
        <f>IF(AND(E494="Legitimate", H494="Necessary", K494="Minimal Impact"), "Pass - Legitimate Interest Prevails", IF(AND(E494="Legitimate", H494="Necessary", OR(K494="Limited Impact", K494="Significant Impact"), L494&lt;&gt;""), "Pass with Conditions", IF(OR(E494="Not Legitimate", H494="Not Necessary", K494="High Impact"), "Fail - Data Subject''s Rights Prevail", "Pass with Conditions")))</f>
        <v/>
      </c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>
        <f>IF(AND(E495="Legitimate", H495="Necessary", K495="Minimal Impact"), "Pass - Legitimate Interest Prevails", IF(AND(E495="Legitimate", H495="Necessary", OR(K495="Limited Impact", K495="Significant Impact"), L495&lt;&gt;""), "Pass with Conditions", IF(OR(E495="Not Legitimate", H495="Not Necessary", K495="High Impact"), "Fail - Data Subject''s Rights Prevail", "Pass with Conditions")))</f>
        <v/>
      </c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>
        <f>IF(AND(E496="Legitimate", H496="Necessary", K496="Minimal Impact"), "Pass - Legitimate Interest Prevails", IF(AND(E496="Legitimate", H496="Necessary", OR(K496="Limited Impact", K496="Significant Impact"), L496&lt;&gt;""), "Pass with Conditions", IF(OR(E496="Not Legitimate", H496="Not Necessary", K496="High Impact"), "Fail - Data Subject''s Rights Prevail", "Pass with Conditions")))</f>
        <v/>
      </c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>
        <f>IF(AND(E497="Legitimate", H497="Necessary", K497="Minimal Impact"), "Pass - Legitimate Interest Prevails", IF(AND(E497="Legitimate", H497="Necessary", OR(K497="Limited Impact", K497="Significant Impact"), L497&lt;&gt;""), "Pass with Conditions", IF(OR(E497="Not Legitimate", H497="Not Necessary", K497="High Impact"), "Fail - Data Subject''s Rights Prevail", "Pass with Conditions")))</f>
        <v/>
      </c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>
        <f>IF(AND(E498="Legitimate", H498="Necessary", K498="Minimal Impact"), "Pass - Legitimate Interest Prevails", IF(AND(E498="Legitimate", H498="Necessary", OR(K498="Limited Impact", K498="Significant Impact"), L498&lt;&gt;""), "Pass with Conditions", IF(OR(E498="Not Legitimate", H498="Not Necessary", K498="High Impact"), "Fail - Data Subject''s Rights Prevail", "Pass with Conditions")))</f>
        <v/>
      </c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>
        <f>IF(AND(E499="Legitimate", H499="Necessary", K499="Minimal Impact"), "Pass - Legitimate Interest Prevails", IF(AND(E499="Legitimate", H499="Necessary", OR(K499="Limited Impact", K499="Significant Impact"), L499&lt;&gt;""), "Pass with Conditions", IF(OR(E499="Not Legitimate", H499="Not Necessary", K499="High Impact"), "Fail - Data Subject''s Rights Prevail", "Pass with Conditions")))</f>
        <v/>
      </c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>
        <f>IF(AND(E500="Legitimate", H500="Necessary", K500="Minimal Impact"), "Pass - Legitimate Interest Prevails", IF(AND(E500="Legitimate", H500="Necessary", OR(K500="Limited Impact", K500="Significant Impact"), L500&lt;&gt;""), "Pass with Conditions", IF(OR(E500="Not Legitimate", H500="Not Necessary", K500="High Impact"), "Fail - Data Subject''s Rights Prevail", "Pass with Conditions")))</f>
        <v/>
      </c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>
        <f>IF(AND(E501="Legitimate", H501="Necessary", K501="Minimal Impact"), "Pass - Legitimate Interest Prevails", IF(AND(E501="Legitimate", H501="Necessary", OR(K501="Limited Impact", K501="Significant Impact"), L501&lt;&gt;""), "Pass with Conditions", IF(OR(E501="Not Legitimate", H501="Not Necessary", K501="High Impact"), "Fail - Data Subject''s Rights Prevail", "Pass with Conditions")))</f>
        <v/>
      </c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>
        <f>IF(AND(E502="Legitimate", H502="Necessary", K502="Minimal Impact"), "Pass - Legitimate Interest Prevails", IF(AND(E502="Legitimate", H502="Necessary", OR(K502="Limited Impact", K502="Significant Impact"), L502&lt;&gt;""), "Pass with Conditions", IF(OR(E502="Not Legitimate", H502="Not Necessary", K502="High Impact"), "Fail - Data Subject''s Rights Prevail", "Pass with Conditions")))</f>
        <v/>
      </c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>
        <f>IF(AND(E503="Legitimate", H503="Necessary", K503="Minimal Impact"), "Pass - Legitimate Interest Prevails", IF(AND(E503="Legitimate", H503="Necessary", OR(K503="Limited Impact", K503="Significant Impact"), L503&lt;&gt;""), "Pass with Conditions", IF(OR(E503="Not Legitimate", H503="Not Necessary", K503="High Impact"), "Fail - Data Subject''s Rights Prevail", "Pass with Conditions")))</f>
        <v/>
      </c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>
        <f>IF(AND(E504="Legitimate", H504="Necessary", K504="Minimal Impact"), "Pass - Legitimate Interest Prevails", IF(AND(E504="Legitimate", H504="Necessary", OR(K504="Limited Impact", K504="Significant Impact"), L504&lt;&gt;""), "Pass with Conditions", IF(OR(E504="Not Legitimate", H504="Not Necessary", K504="High Impact"), "Fail - Data Subject''s Rights Prevail", "Pass with Conditions")))</f>
        <v/>
      </c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>
        <f>IF(AND(E505="Legitimate", H505="Necessary", K505="Minimal Impact"), "Pass - Legitimate Interest Prevails", IF(AND(E505="Legitimate", H505="Necessary", OR(K505="Limited Impact", K505="Significant Impact"), L505&lt;&gt;""), "Pass with Conditions", IF(OR(E505="Not Legitimate", H505="Not Necessary", K505="High Impact"), "Fail - Data Subject''s Rights Prevail", "Pass with Conditions")))</f>
        <v/>
      </c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>
        <f>IF(AND(E506="Legitimate", H506="Necessary", K506="Minimal Impact"), "Pass - Legitimate Interest Prevails", IF(AND(E506="Legitimate", H506="Necessary", OR(K506="Limited Impact", K506="Significant Impact"), L506&lt;&gt;""), "Pass with Conditions", IF(OR(E506="Not Legitimate", H506="Not Necessary", K506="High Impact"), "Fail - Data Subject''s Rights Prevail", "Pass with Conditions")))</f>
        <v/>
      </c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>
        <f>IF(AND(E507="Legitimate", H507="Necessary", K507="Minimal Impact"), "Pass - Legitimate Interest Prevails", IF(AND(E507="Legitimate", H507="Necessary", OR(K507="Limited Impact", K507="Significant Impact"), L507&lt;&gt;""), "Pass with Conditions", IF(OR(E507="Not Legitimate", H507="Not Necessary", K507="High Impact"), "Fail - Data Subject''s Rights Prevail", "Pass with Conditions")))</f>
        <v/>
      </c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>
        <f>IF(AND(E508="Legitimate", H508="Necessary", K508="Minimal Impact"), "Pass - Legitimate Interest Prevails", IF(AND(E508="Legitimate", H508="Necessary", OR(K508="Limited Impact", K508="Significant Impact"), L508&lt;&gt;""), "Pass with Conditions", IF(OR(E508="Not Legitimate", H508="Not Necessary", K508="High Impact"), "Fail - Data Subject''s Rights Prevail", "Pass with Conditions")))</f>
        <v/>
      </c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>
        <f>IF(AND(E509="Legitimate", H509="Necessary", K509="Minimal Impact"), "Pass - Legitimate Interest Prevails", IF(AND(E509="Legitimate", H509="Necessary", OR(K509="Limited Impact", K509="Significant Impact"), L509&lt;&gt;""), "Pass with Conditions", IF(OR(E509="Not Legitimate", H509="Not Necessary", K509="High Impact"), "Fail - Data Subject''s Rights Prevail", "Pass with Conditions")))</f>
        <v/>
      </c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>
        <f>IF(AND(E510="Legitimate", H510="Necessary", K510="Minimal Impact"), "Pass - Legitimate Interest Prevails", IF(AND(E510="Legitimate", H510="Necessary", OR(K510="Limited Impact", K510="Significant Impact"), L510&lt;&gt;""), "Pass with Conditions", IF(OR(E510="Not Legitimate", H510="Not Necessary", K510="High Impact"), "Fail - Data Subject''s Rights Prevail", "Pass with Conditions")))</f>
        <v/>
      </c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>
        <f>IF(AND(E511="Legitimate", H511="Necessary", K511="Minimal Impact"), "Pass - Legitimate Interest Prevails", IF(AND(E511="Legitimate", H511="Necessary", OR(K511="Limited Impact", K511="Significant Impact"), L511&lt;&gt;""), "Pass with Conditions", IF(OR(E511="Not Legitimate", H511="Not Necessary", K511="High Impact"), "Fail - Data Subject''s Rights Prevail", "Pass with Conditions")))</f>
        <v/>
      </c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>
        <f>IF(AND(E512="Legitimate", H512="Necessary", K512="Minimal Impact"), "Pass - Legitimate Interest Prevails", IF(AND(E512="Legitimate", H512="Necessary", OR(K512="Limited Impact", K512="Significant Impact"), L512&lt;&gt;""), "Pass with Conditions", IF(OR(E512="Not Legitimate", H512="Not Necessary", K512="High Impact"), "Fail - Data Subject''s Rights Prevail", "Pass with Conditions")))</f>
        <v/>
      </c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>
        <f>IF(AND(E513="Legitimate", H513="Necessary", K513="Minimal Impact"), "Pass - Legitimate Interest Prevails", IF(AND(E513="Legitimate", H513="Necessary", OR(K513="Limited Impact", K513="Significant Impact"), L513&lt;&gt;""), "Pass with Conditions", IF(OR(E513="Not Legitimate", H513="Not Necessary", K513="High Impact"), "Fail - Data Subject''s Rights Prevail", "Pass with Conditions")))</f>
        <v/>
      </c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>
        <f>IF(AND(E514="Legitimate", H514="Necessary", K514="Minimal Impact"), "Pass - Legitimate Interest Prevails", IF(AND(E514="Legitimate", H514="Necessary", OR(K514="Limited Impact", K514="Significant Impact"), L514&lt;&gt;""), "Pass with Conditions", IF(OR(E514="Not Legitimate", H514="Not Necessary", K514="High Impact"), "Fail - Data Subject''s Rights Prevail", "Pass with Conditions")))</f>
        <v/>
      </c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>
        <f>IF(AND(E515="Legitimate", H515="Necessary", K515="Minimal Impact"), "Pass - Legitimate Interest Prevails", IF(AND(E515="Legitimate", H515="Necessary", OR(K515="Limited Impact", K515="Significant Impact"), L515&lt;&gt;""), "Pass with Conditions", IF(OR(E515="Not Legitimate", H515="Not Necessary", K515="High Impact"), "Fail - Data Subject''s Rights Prevail", "Pass with Conditions")))</f>
        <v/>
      </c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>
        <f>IF(AND(E516="Legitimate", H516="Necessary", K516="Minimal Impact"), "Pass - Legitimate Interest Prevails", IF(AND(E516="Legitimate", H516="Necessary", OR(K516="Limited Impact", K516="Significant Impact"), L516&lt;&gt;""), "Pass with Conditions", IF(OR(E516="Not Legitimate", H516="Not Necessary", K516="High Impact"), "Fail - Data Subject''s Rights Prevail", "Pass with Conditions")))</f>
        <v/>
      </c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>
        <f>IF(AND(E517="Legitimate", H517="Necessary", K517="Minimal Impact"), "Pass - Legitimate Interest Prevails", IF(AND(E517="Legitimate", H517="Necessary", OR(K517="Limited Impact", K517="Significant Impact"), L517&lt;&gt;""), "Pass with Conditions", IF(OR(E517="Not Legitimate", H517="Not Necessary", K517="High Impact"), "Fail - Data Subject''s Rights Prevail", "Pass with Conditions")))</f>
        <v/>
      </c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>
        <f>IF(AND(E518="Legitimate", H518="Necessary", K518="Minimal Impact"), "Pass - Legitimate Interest Prevails", IF(AND(E518="Legitimate", H518="Necessary", OR(K518="Limited Impact", K518="Significant Impact"), L518&lt;&gt;""), "Pass with Conditions", IF(OR(E518="Not Legitimate", H518="Not Necessary", K518="High Impact"), "Fail - Data Subject''s Rights Prevail", "Pass with Conditions")))</f>
        <v/>
      </c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>
        <f>IF(AND(E519="Legitimate", H519="Necessary", K519="Minimal Impact"), "Pass - Legitimate Interest Prevails", IF(AND(E519="Legitimate", H519="Necessary", OR(K519="Limited Impact", K519="Significant Impact"), L519&lt;&gt;""), "Pass with Conditions", IF(OR(E519="Not Legitimate", H519="Not Necessary", K519="High Impact"), "Fail - Data Subject''s Rights Prevail", "Pass with Conditions")))</f>
        <v/>
      </c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>
        <f>IF(AND(E520="Legitimate", H520="Necessary", K520="Minimal Impact"), "Pass - Legitimate Interest Prevails", IF(AND(E520="Legitimate", H520="Necessary", OR(K520="Limited Impact", K520="Significant Impact"), L520&lt;&gt;""), "Pass with Conditions", IF(OR(E520="Not Legitimate", H520="Not Necessary", K520="High Impact"), "Fail - Data Subject''s Rights Prevail", "Pass with Conditions")))</f>
        <v/>
      </c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>
        <f>IF(AND(E521="Legitimate", H521="Necessary", K521="Minimal Impact"), "Pass - Legitimate Interest Prevails", IF(AND(E521="Legitimate", H521="Necessary", OR(K521="Limited Impact", K521="Significant Impact"), L521&lt;&gt;""), "Pass with Conditions", IF(OR(E521="Not Legitimate", H521="Not Necessary", K521="High Impact"), "Fail - Data Subject''s Rights Prevail", "Pass with Conditions")))</f>
        <v/>
      </c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>
        <f>IF(AND(E522="Legitimate", H522="Necessary", K522="Minimal Impact"), "Pass - Legitimate Interest Prevails", IF(AND(E522="Legitimate", H522="Necessary", OR(K522="Limited Impact", K522="Significant Impact"), L522&lt;&gt;""), "Pass with Conditions", IF(OR(E522="Not Legitimate", H522="Not Necessary", K522="High Impact"), "Fail - Data Subject''s Rights Prevail", "Pass with Conditions")))</f>
        <v/>
      </c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>
        <f>IF(AND(E523="Legitimate", H523="Necessary", K523="Minimal Impact"), "Pass - Legitimate Interest Prevails", IF(AND(E523="Legitimate", H523="Necessary", OR(K523="Limited Impact", K523="Significant Impact"), L523&lt;&gt;""), "Pass with Conditions", IF(OR(E523="Not Legitimate", H523="Not Necessary", K523="High Impact"), "Fail - Data Subject''s Rights Prevail", "Pass with Conditions")))</f>
        <v/>
      </c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>
        <f>IF(AND(E524="Legitimate", H524="Necessary", K524="Minimal Impact"), "Pass - Legitimate Interest Prevails", IF(AND(E524="Legitimate", H524="Necessary", OR(K524="Limited Impact", K524="Significant Impact"), L524&lt;&gt;""), "Pass with Conditions", IF(OR(E524="Not Legitimate", H524="Not Necessary", K524="High Impact"), "Fail - Data Subject''s Rights Prevail", "Pass with Conditions")))</f>
        <v/>
      </c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>
        <f>IF(AND(E525="Legitimate", H525="Necessary", K525="Minimal Impact"), "Pass - Legitimate Interest Prevails", IF(AND(E525="Legitimate", H525="Necessary", OR(K525="Limited Impact", K525="Significant Impact"), L525&lt;&gt;""), "Pass with Conditions", IF(OR(E525="Not Legitimate", H525="Not Necessary", K525="High Impact"), "Fail - Data Subject''s Rights Prevail", "Pass with Conditions")))</f>
        <v/>
      </c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>
        <f>IF(AND(E526="Legitimate", H526="Necessary", K526="Minimal Impact"), "Pass - Legitimate Interest Prevails", IF(AND(E526="Legitimate", H526="Necessary", OR(K526="Limited Impact", K526="Significant Impact"), L526&lt;&gt;""), "Pass with Conditions", IF(OR(E526="Not Legitimate", H526="Not Necessary", K526="High Impact"), "Fail - Data Subject''s Rights Prevail", "Pass with Conditions")))</f>
        <v/>
      </c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>
        <f>IF(AND(E527="Legitimate", H527="Necessary", K527="Minimal Impact"), "Pass - Legitimate Interest Prevails", IF(AND(E527="Legitimate", H527="Necessary", OR(K527="Limited Impact", K527="Significant Impact"), L527&lt;&gt;""), "Pass with Conditions", IF(OR(E527="Not Legitimate", H527="Not Necessary", K527="High Impact"), "Fail - Data Subject''s Rights Prevail", "Pass with Conditions")))</f>
        <v/>
      </c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>
        <f>IF(AND(E528="Legitimate", H528="Necessary", K528="Minimal Impact"), "Pass - Legitimate Interest Prevails", IF(AND(E528="Legitimate", H528="Necessary", OR(K528="Limited Impact", K528="Significant Impact"), L528&lt;&gt;""), "Pass with Conditions", IF(OR(E528="Not Legitimate", H528="Not Necessary", K528="High Impact"), "Fail - Data Subject''s Rights Prevail", "Pass with Conditions")))</f>
        <v/>
      </c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>
        <f>IF(AND(E529="Legitimate", H529="Necessary", K529="Minimal Impact"), "Pass - Legitimate Interest Prevails", IF(AND(E529="Legitimate", H529="Necessary", OR(K529="Limited Impact", K529="Significant Impact"), L529&lt;&gt;""), "Pass with Conditions", IF(OR(E529="Not Legitimate", H529="Not Necessary", K529="High Impact"), "Fail - Data Subject''s Rights Prevail", "Pass with Conditions")))</f>
        <v/>
      </c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>
        <f>IF(AND(E530="Legitimate", H530="Necessary", K530="Minimal Impact"), "Pass - Legitimate Interest Prevails", IF(AND(E530="Legitimate", H530="Necessary", OR(K530="Limited Impact", K530="Significant Impact"), L530&lt;&gt;""), "Pass with Conditions", IF(OR(E530="Not Legitimate", H530="Not Necessary", K530="High Impact"), "Fail - Data Subject''s Rights Prevail", "Pass with Conditions")))</f>
        <v/>
      </c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>
        <f>IF(AND(E531="Legitimate", H531="Necessary", K531="Minimal Impact"), "Pass - Legitimate Interest Prevails", IF(AND(E531="Legitimate", H531="Necessary", OR(K531="Limited Impact", K531="Significant Impact"), L531&lt;&gt;""), "Pass with Conditions", IF(OR(E531="Not Legitimate", H531="Not Necessary", K531="High Impact"), "Fail - Data Subject''s Rights Prevail", "Pass with Conditions")))</f>
        <v/>
      </c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>
        <f>IF(AND(E532="Legitimate", H532="Necessary", K532="Minimal Impact"), "Pass - Legitimate Interest Prevails", IF(AND(E532="Legitimate", H532="Necessary", OR(K532="Limited Impact", K532="Significant Impact"), L532&lt;&gt;""), "Pass with Conditions", IF(OR(E532="Not Legitimate", H532="Not Necessary", K532="High Impact"), "Fail - Data Subject''s Rights Prevail", "Pass with Conditions")))</f>
        <v/>
      </c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>
        <f>IF(AND(E533="Legitimate", H533="Necessary", K533="Minimal Impact"), "Pass - Legitimate Interest Prevails", IF(AND(E533="Legitimate", H533="Necessary", OR(K533="Limited Impact", K533="Significant Impact"), L533&lt;&gt;""), "Pass with Conditions", IF(OR(E533="Not Legitimate", H533="Not Necessary", K533="High Impact"), "Fail - Data Subject''s Rights Prevail", "Pass with Conditions")))</f>
        <v/>
      </c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>
        <f>IF(AND(E534="Legitimate", H534="Necessary", K534="Minimal Impact"), "Pass - Legitimate Interest Prevails", IF(AND(E534="Legitimate", H534="Necessary", OR(K534="Limited Impact", K534="Significant Impact"), L534&lt;&gt;""), "Pass with Conditions", IF(OR(E534="Not Legitimate", H534="Not Necessary", K534="High Impact"), "Fail - Data Subject''s Rights Prevail", "Pass with Conditions")))</f>
        <v/>
      </c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>
        <f>IF(AND(E535="Legitimate", H535="Necessary", K535="Minimal Impact"), "Pass - Legitimate Interest Prevails", IF(AND(E535="Legitimate", H535="Necessary", OR(K535="Limited Impact", K535="Significant Impact"), L535&lt;&gt;""), "Pass with Conditions", IF(OR(E535="Not Legitimate", H535="Not Necessary", K535="High Impact"), "Fail - Data Subject''s Rights Prevail", "Pass with Conditions")))</f>
        <v/>
      </c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>
        <f>IF(AND(E536="Legitimate", H536="Necessary", K536="Minimal Impact"), "Pass - Legitimate Interest Prevails", IF(AND(E536="Legitimate", H536="Necessary", OR(K536="Limited Impact", K536="Significant Impact"), L536&lt;&gt;""), "Pass with Conditions", IF(OR(E536="Not Legitimate", H536="Not Necessary", K536="High Impact"), "Fail - Data Subject''s Rights Prevail", "Pass with Conditions")))</f>
        <v/>
      </c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>
        <f>IF(AND(E537="Legitimate", H537="Necessary", K537="Minimal Impact"), "Pass - Legitimate Interest Prevails", IF(AND(E537="Legitimate", H537="Necessary", OR(K537="Limited Impact", K537="Significant Impact"), L537&lt;&gt;""), "Pass with Conditions", IF(OR(E537="Not Legitimate", H537="Not Necessary", K537="High Impact"), "Fail - Data Subject''s Rights Prevail", "Pass with Conditions")))</f>
        <v/>
      </c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>
        <f>IF(AND(E538="Legitimate", H538="Necessary", K538="Minimal Impact"), "Pass - Legitimate Interest Prevails", IF(AND(E538="Legitimate", H538="Necessary", OR(K538="Limited Impact", K538="Significant Impact"), L538&lt;&gt;""), "Pass with Conditions", IF(OR(E538="Not Legitimate", H538="Not Necessary", K538="High Impact"), "Fail - Data Subject''s Rights Prevail", "Pass with Conditions")))</f>
        <v/>
      </c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>
        <f>IF(AND(E539="Legitimate", H539="Necessary", K539="Minimal Impact"), "Pass - Legitimate Interest Prevails", IF(AND(E539="Legitimate", H539="Necessary", OR(K539="Limited Impact", K539="Significant Impact"), L539&lt;&gt;""), "Pass with Conditions", IF(OR(E539="Not Legitimate", H539="Not Necessary", K539="High Impact"), "Fail - Data Subject''s Rights Prevail", "Pass with Conditions")))</f>
        <v/>
      </c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>
        <f>IF(AND(E540="Legitimate", H540="Necessary", K540="Minimal Impact"), "Pass - Legitimate Interest Prevails", IF(AND(E540="Legitimate", H540="Necessary", OR(K540="Limited Impact", K540="Significant Impact"), L540&lt;&gt;""), "Pass with Conditions", IF(OR(E540="Not Legitimate", H540="Not Necessary", K540="High Impact"), "Fail - Data Subject''s Rights Prevail", "Pass with Conditions")))</f>
        <v/>
      </c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>
        <f>IF(AND(E541="Legitimate", H541="Necessary", K541="Minimal Impact"), "Pass - Legitimate Interest Prevails", IF(AND(E541="Legitimate", H541="Necessary", OR(K541="Limited Impact", K541="Significant Impact"), L541&lt;&gt;""), "Pass with Conditions", IF(OR(E541="Not Legitimate", H541="Not Necessary", K541="High Impact"), "Fail - Data Subject''s Rights Prevail", "Pass with Conditions")))</f>
        <v/>
      </c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>
        <f>IF(AND(E542="Legitimate", H542="Necessary", K542="Minimal Impact"), "Pass - Legitimate Interest Prevails", IF(AND(E542="Legitimate", H542="Necessary", OR(K542="Limited Impact", K542="Significant Impact"), L542&lt;&gt;""), "Pass with Conditions", IF(OR(E542="Not Legitimate", H542="Not Necessary", K542="High Impact"), "Fail - Data Subject''s Rights Prevail", "Pass with Conditions")))</f>
        <v/>
      </c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>
        <f>IF(AND(E543="Legitimate", H543="Necessary", K543="Minimal Impact"), "Pass - Legitimate Interest Prevails", IF(AND(E543="Legitimate", H543="Necessary", OR(K543="Limited Impact", K543="Significant Impact"), L543&lt;&gt;""), "Pass with Conditions", IF(OR(E543="Not Legitimate", H543="Not Necessary", K543="High Impact"), "Fail - Data Subject''s Rights Prevail", "Pass with Conditions")))</f>
        <v/>
      </c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>
        <f>IF(AND(E544="Legitimate", H544="Necessary", K544="Minimal Impact"), "Pass - Legitimate Interest Prevails", IF(AND(E544="Legitimate", H544="Necessary", OR(K544="Limited Impact", K544="Significant Impact"), L544&lt;&gt;""), "Pass with Conditions", IF(OR(E544="Not Legitimate", H544="Not Necessary", K544="High Impact"), "Fail - Data Subject''s Rights Prevail", "Pass with Conditions")))</f>
        <v/>
      </c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>
        <f>IF(AND(E545="Legitimate", H545="Necessary", K545="Minimal Impact"), "Pass - Legitimate Interest Prevails", IF(AND(E545="Legitimate", H545="Necessary", OR(K545="Limited Impact", K545="Significant Impact"), L545&lt;&gt;""), "Pass with Conditions", IF(OR(E545="Not Legitimate", H545="Not Necessary", K545="High Impact"), "Fail - Data Subject''s Rights Prevail", "Pass with Conditions")))</f>
        <v/>
      </c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>
        <f>IF(AND(E546="Legitimate", H546="Necessary", K546="Minimal Impact"), "Pass - Legitimate Interest Prevails", IF(AND(E546="Legitimate", H546="Necessary", OR(K546="Limited Impact", K546="Significant Impact"), L546&lt;&gt;""), "Pass with Conditions", IF(OR(E546="Not Legitimate", H546="Not Necessary", K546="High Impact"), "Fail - Data Subject''s Rights Prevail", "Pass with Conditions")))</f>
        <v/>
      </c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>
        <f>IF(AND(E547="Legitimate", H547="Necessary", K547="Minimal Impact"), "Pass - Legitimate Interest Prevails", IF(AND(E547="Legitimate", H547="Necessary", OR(K547="Limited Impact", K547="Significant Impact"), L547&lt;&gt;""), "Pass with Conditions", IF(OR(E547="Not Legitimate", H547="Not Necessary", K547="High Impact"), "Fail - Data Subject''s Rights Prevail", "Pass with Conditions")))</f>
        <v/>
      </c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>
        <f>IF(AND(E548="Legitimate", H548="Necessary", K548="Minimal Impact"), "Pass - Legitimate Interest Prevails", IF(AND(E548="Legitimate", H548="Necessary", OR(K548="Limited Impact", K548="Significant Impact"), L548&lt;&gt;""), "Pass with Conditions", IF(OR(E548="Not Legitimate", H548="Not Necessary", K548="High Impact"), "Fail - Data Subject''s Rights Prevail", "Pass with Conditions")))</f>
        <v/>
      </c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>
        <f>IF(AND(E549="Legitimate", H549="Necessary", K549="Minimal Impact"), "Pass - Legitimate Interest Prevails", IF(AND(E549="Legitimate", H549="Necessary", OR(K549="Limited Impact", K549="Significant Impact"), L549&lt;&gt;""), "Pass with Conditions", IF(OR(E549="Not Legitimate", H549="Not Necessary", K549="High Impact"), "Fail - Data Subject''s Rights Prevail", "Pass with Conditions")))</f>
        <v/>
      </c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>
        <f>IF(AND(E550="Legitimate", H550="Necessary", K550="Minimal Impact"), "Pass - Legitimate Interest Prevails", IF(AND(E550="Legitimate", H550="Necessary", OR(K550="Limited Impact", K550="Significant Impact"), L550&lt;&gt;""), "Pass with Conditions", IF(OR(E550="Not Legitimate", H550="Not Necessary", K550="High Impact"), "Fail - Data Subject''s Rights Prevail", "Pass with Conditions")))</f>
        <v/>
      </c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>
        <f>IF(AND(E551="Legitimate", H551="Necessary", K551="Minimal Impact"), "Pass - Legitimate Interest Prevails", IF(AND(E551="Legitimate", H551="Necessary", OR(K551="Limited Impact", K551="Significant Impact"), L551&lt;&gt;""), "Pass with Conditions", IF(OR(E551="Not Legitimate", H551="Not Necessary", K551="High Impact"), "Fail - Data Subject''s Rights Prevail", "Pass with Conditions")))</f>
        <v/>
      </c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>
        <f>IF(AND(E552="Legitimate", H552="Necessary", K552="Minimal Impact"), "Pass - Legitimate Interest Prevails", IF(AND(E552="Legitimate", H552="Necessary", OR(K552="Limited Impact", K552="Significant Impact"), L552&lt;&gt;""), "Pass with Conditions", IF(OR(E552="Not Legitimate", H552="Not Necessary", K552="High Impact"), "Fail - Data Subject''s Rights Prevail", "Pass with Conditions")))</f>
        <v/>
      </c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>
        <f>IF(AND(E553="Legitimate", H553="Necessary", K553="Minimal Impact"), "Pass - Legitimate Interest Prevails", IF(AND(E553="Legitimate", H553="Necessary", OR(K553="Limited Impact", K553="Significant Impact"), L553&lt;&gt;""), "Pass with Conditions", IF(OR(E553="Not Legitimate", H553="Not Necessary", K553="High Impact"), "Fail - Data Subject''s Rights Prevail", "Pass with Conditions")))</f>
        <v/>
      </c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>
        <f>IF(AND(E554="Legitimate", H554="Necessary", K554="Minimal Impact"), "Pass - Legitimate Interest Prevails", IF(AND(E554="Legitimate", H554="Necessary", OR(K554="Limited Impact", K554="Significant Impact"), L554&lt;&gt;""), "Pass with Conditions", IF(OR(E554="Not Legitimate", H554="Not Necessary", K554="High Impact"), "Fail - Data Subject''s Rights Prevail", "Pass with Conditions")))</f>
        <v/>
      </c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>
        <f>IF(AND(E555="Legitimate", H555="Necessary", K555="Minimal Impact"), "Pass - Legitimate Interest Prevails", IF(AND(E555="Legitimate", H555="Necessary", OR(K555="Limited Impact", K555="Significant Impact"), L555&lt;&gt;""), "Pass with Conditions", IF(OR(E555="Not Legitimate", H555="Not Necessary", K555="High Impact"), "Fail - Data Subject''s Rights Prevail", "Pass with Conditions")))</f>
        <v/>
      </c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>
        <f>IF(AND(E556="Legitimate", H556="Necessary", K556="Minimal Impact"), "Pass - Legitimate Interest Prevails", IF(AND(E556="Legitimate", H556="Necessary", OR(K556="Limited Impact", K556="Significant Impact"), L556&lt;&gt;""), "Pass with Conditions", IF(OR(E556="Not Legitimate", H556="Not Necessary", K556="High Impact"), "Fail - Data Subject''s Rights Prevail", "Pass with Conditions")))</f>
        <v/>
      </c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>
        <f>IF(AND(E557="Legitimate", H557="Necessary", K557="Minimal Impact"), "Pass - Legitimate Interest Prevails", IF(AND(E557="Legitimate", H557="Necessary", OR(K557="Limited Impact", K557="Significant Impact"), L557&lt;&gt;""), "Pass with Conditions", IF(OR(E557="Not Legitimate", H557="Not Necessary", K557="High Impact"), "Fail - Data Subject''s Rights Prevail", "Pass with Conditions")))</f>
        <v/>
      </c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>
        <f>IF(AND(E558="Legitimate", H558="Necessary", K558="Minimal Impact"), "Pass - Legitimate Interest Prevails", IF(AND(E558="Legitimate", H558="Necessary", OR(K558="Limited Impact", K558="Significant Impact"), L558&lt;&gt;""), "Pass with Conditions", IF(OR(E558="Not Legitimate", H558="Not Necessary", K558="High Impact"), "Fail - Data Subject''s Rights Prevail", "Pass with Conditions")))</f>
        <v/>
      </c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>
        <f>IF(AND(E559="Legitimate", H559="Necessary", K559="Minimal Impact"), "Pass - Legitimate Interest Prevails", IF(AND(E559="Legitimate", H559="Necessary", OR(K559="Limited Impact", K559="Significant Impact"), L559&lt;&gt;""), "Pass with Conditions", IF(OR(E559="Not Legitimate", H559="Not Necessary", K559="High Impact"), "Fail - Data Subject''s Rights Prevail", "Pass with Conditions")))</f>
        <v/>
      </c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>
        <f>IF(AND(E560="Legitimate", H560="Necessary", K560="Minimal Impact"), "Pass - Legitimate Interest Prevails", IF(AND(E560="Legitimate", H560="Necessary", OR(K560="Limited Impact", K560="Significant Impact"), L560&lt;&gt;""), "Pass with Conditions", IF(OR(E560="Not Legitimate", H560="Not Necessary", K560="High Impact"), "Fail - Data Subject''s Rights Prevail", "Pass with Conditions")))</f>
        <v/>
      </c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>
        <f>IF(AND(E561="Legitimate", H561="Necessary", K561="Minimal Impact"), "Pass - Legitimate Interest Prevails", IF(AND(E561="Legitimate", H561="Necessary", OR(K561="Limited Impact", K561="Significant Impact"), L561&lt;&gt;""), "Pass with Conditions", IF(OR(E561="Not Legitimate", H561="Not Necessary", K561="High Impact"), "Fail - Data Subject''s Rights Prevail", "Pass with Conditions")))</f>
        <v/>
      </c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>
        <f>IF(AND(E562="Legitimate", H562="Necessary", K562="Minimal Impact"), "Pass - Legitimate Interest Prevails", IF(AND(E562="Legitimate", H562="Necessary", OR(K562="Limited Impact", K562="Significant Impact"), L562&lt;&gt;""), "Pass with Conditions", IF(OR(E562="Not Legitimate", H562="Not Necessary", K562="High Impact"), "Fail - Data Subject''s Rights Prevail", "Pass with Conditions")))</f>
        <v/>
      </c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>
        <f>IF(AND(E563="Legitimate", H563="Necessary", K563="Minimal Impact"), "Pass - Legitimate Interest Prevails", IF(AND(E563="Legitimate", H563="Necessary", OR(K563="Limited Impact", K563="Significant Impact"), L563&lt;&gt;""), "Pass with Conditions", IF(OR(E563="Not Legitimate", H563="Not Necessary", K563="High Impact"), "Fail - Data Subject''s Rights Prevail", "Pass with Conditions")))</f>
        <v/>
      </c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>
        <f>IF(AND(E564="Legitimate", H564="Necessary", K564="Minimal Impact"), "Pass - Legitimate Interest Prevails", IF(AND(E564="Legitimate", H564="Necessary", OR(K564="Limited Impact", K564="Significant Impact"), L564&lt;&gt;""), "Pass with Conditions", IF(OR(E564="Not Legitimate", H564="Not Necessary", K564="High Impact"), "Fail - Data Subject''s Rights Prevail", "Pass with Conditions")))</f>
        <v/>
      </c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>
        <f>IF(AND(E565="Legitimate", H565="Necessary", K565="Minimal Impact"), "Pass - Legitimate Interest Prevails", IF(AND(E565="Legitimate", H565="Necessary", OR(K565="Limited Impact", K565="Significant Impact"), L565&lt;&gt;""), "Pass with Conditions", IF(OR(E565="Not Legitimate", H565="Not Necessary", K565="High Impact"), "Fail - Data Subject''s Rights Prevail", "Pass with Conditions")))</f>
        <v/>
      </c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>
        <f>IF(AND(E566="Legitimate", H566="Necessary", K566="Minimal Impact"), "Pass - Legitimate Interest Prevails", IF(AND(E566="Legitimate", H566="Necessary", OR(K566="Limited Impact", K566="Significant Impact"), L566&lt;&gt;""), "Pass with Conditions", IF(OR(E566="Not Legitimate", H566="Not Necessary", K566="High Impact"), "Fail - Data Subject''s Rights Prevail", "Pass with Conditions")))</f>
        <v/>
      </c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>
        <f>IF(AND(E567="Legitimate", H567="Necessary", K567="Minimal Impact"), "Pass - Legitimate Interest Prevails", IF(AND(E567="Legitimate", H567="Necessary", OR(K567="Limited Impact", K567="Significant Impact"), L567&lt;&gt;""), "Pass with Conditions", IF(OR(E567="Not Legitimate", H567="Not Necessary", K567="High Impact"), "Fail - Data Subject''s Rights Prevail", "Pass with Conditions")))</f>
        <v/>
      </c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>
        <f>IF(AND(E568="Legitimate", H568="Necessary", K568="Minimal Impact"), "Pass - Legitimate Interest Prevails", IF(AND(E568="Legitimate", H568="Necessary", OR(K568="Limited Impact", K568="Significant Impact"), L568&lt;&gt;""), "Pass with Conditions", IF(OR(E568="Not Legitimate", H568="Not Necessary", K568="High Impact"), "Fail - Data Subject''s Rights Prevail", "Pass with Conditions")))</f>
        <v/>
      </c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>
        <f>IF(AND(E569="Legitimate", H569="Necessary", K569="Minimal Impact"), "Pass - Legitimate Interest Prevails", IF(AND(E569="Legitimate", H569="Necessary", OR(K569="Limited Impact", K569="Significant Impact"), L569&lt;&gt;""), "Pass with Conditions", IF(OR(E569="Not Legitimate", H569="Not Necessary", K569="High Impact"), "Fail - Data Subject''s Rights Prevail", "Pass with Conditions")))</f>
        <v/>
      </c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>
        <f>IF(AND(E570="Legitimate", H570="Necessary", K570="Minimal Impact"), "Pass - Legitimate Interest Prevails", IF(AND(E570="Legitimate", H570="Necessary", OR(K570="Limited Impact", K570="Significant Impact"), L570&lt;&gt;""), "Pass with Conditions", IF(OR(E570="Not Legitimate", H570="Not Necessary", K570="High Impact"), "Fail - Data Subject''s Rights Prevail", "Pass with Conditions")))</f>
        <v/>
      </c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>
        <f>IF(AND(E571="Legitimate", H571="Necessary", K571="Minimal Impact"), "Pass - Legitimate Interest Prevails", IF(AND(E571="Legitimate", H571="Necessary", OR(K571="Limited Impact", K571="Significant Impact"), L571&lt;&gt;""), "Pass with Conditions", IF(OR(E571="Not Legitimate", H571="Not Necessary", K571="High Impact"), "Fail - Data Subject''s Rights Prevail", "Pass with Conditions")))</f>
        <v/>
      </c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>
        <f>IF(AND(E572="Legitimate", H572="Necessary", K572="Minimal Impact"), "Pass - Legitimate Interest Prevails", IF(AND(E572="Legitimate", H572="Necessary", OR(K572="Limited Impact", K572="Significant Impact"), L572&lt;&gt;""), "Pass with Conditions", IF(OR(E572="Not Legitimate", H572="Not Necessary", K572="High Impact"), "Fail - Data Subject''s Rights Prevail", "Pass with Conditions")))</f>
        <v/>
      </c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>
        <f>IF(AND(E573="Legitimate", H573="Necessary", K573="Minimal Impact"), "Pass - Legitimate Interest Prevails", IF(AND(E573="Legitimate", H573="Necessary", OR(K573="Limited Impact", K573="Significant Impact"), L573&lt;&gt;""), "Pass with Conditions", IF(OR(E573="Not Legitimate", H573="Not Necessary", K573="High Impact"), "Fail - Data Subject''s Rights Prevail", "Pass with Conditions")))</f>
        <v/>
      </c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>
        <f>IF(AND(E574="Legitimate", H574="Necessary", K574="Minimal Impact"), "Pass - Legitimate Interest Prevails", IF(AND(E574="Legitimate", H574="Necessary", OR(K574="Limited Impact", K574="Significant Impact"), L574&lt;&gt;""), "Pass with Conditions", IF(OR(E574="Not Legitimate", H574="Not Necessary", K574="High Impact"), "Fail - Data Subject''s Rights Prevail", "Pass with Conditions")))</f>
        <v/>
      </c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>
        <f>IF(AND(E575="Legitimate", H575="Necessary", K575="Minimal Impact"), "Pass - Legitimate Interest Prevails", IF(AND(E575="Legitimate", H575="Necessary", OR(K575="Limited Impact", K575="Significant Impact"), L575&lt;&gt;""), "Pass with Conditions", IF(OR(E575="Not Legitimate", H575="Not Necessary", K575="High Impact"), "Fail - Data Subject''s Rights Prevail", "Pass with Conditions")))</f>
        <v/>
      </c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>
        <f>IF(AND(E576="Legitimate", H576="Necessary", K576="Minimal Impact"), "Pass - Legitimate Interest Prevails", IF(AND(E576="Legitimate", H576="Necessary", OR(K576="Limited Impact", K576="Significant Impact"), L576&lt;&gt;""), "Pass with Conditions", IF(OR(E576="Not Legitimate", H576="Not Necessary", K576="High Impact"), "Fail - Data Subject''s Rights Prevail", "Pass with Conditions")))</f>
        <v/>
      </c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>
        <f>IF(AND(E577="Legitimate", H577="Necessary", K577="Minimal Impact"), "Pass - Legitimate Interest Prevails", IF(AND(E577="Legitimate", H577="Necessary", OR(K577="Limited Impact", K577="Significant Impact"), L577&lt;&gt;""), "Pass with Conditions", IF(OR(E577="Not Legitimate", H577="Not Necessary", K577="High Impact"), "Fail - Data Subject''s Rights Prevail", "Pass with Conditions")))</f>
        <v/>
      </c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>
        <f>IF(AND(E578="Legitimate", H578="Necessary", K578="Minimal Impact"), "Pass - Legitimate Interest Prevails", IF(AND(E578="Legitimate", H578="Necessary", OR(K578="Limited Impact", K578="Significant Impact"), L578&lt;&gt;""), "Pass with Conditions", IF(OR(E578="Not Legitimate", H578="Not Necessary", K578="High Impact"), "Fail - Data Subject''s Rights Prevail", "Pass with Conditions")))</f>
        <v/>
      </c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>
        <f>IF(AND(E579="Legitimate", H579="Necessary", K579="Minimal Impact"), "Pass - Legitimate Interest Prevails", IF(AND(E579="Legitimate", H579="Necessary", OR(K579="Limited Impact", K579="Significant Impact"), L579&lt;&gt;""), "Pass with Conditions", IF(OR(E579="Not Legitimate", H579="Not Necessary", K579="High Impact"), "Fail - Data Subject''s Rights Prevail", "Pass with Conditions")))</f>
        <v/>
      </c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>
        <f>IF(AND(E580="Legitimate", H580="Necessary", K580="Minimal Impact"), "Pass - Legitimate Interest Prevails", IF(AND(E580="Legitimate", H580="Necessary", OR(K580="Limited Impact", K580="Significant Impact"), L580&lt;&gt;""), "Pass with Conditions", IF(OR(E580="Not Legitimate", H580="Not Necessary", K580="High Impact"), "Fail - Data Subject''s Rights Prevail", "Pass with Conditions")))</f>
        <v/>
      </c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>
        <f>IF(AND(E581="Legitimate", H581="Necessary", K581="Minimal Impact"), "Pass - Legitimate Interest Prevails", IF(AND(E581="Legitimate", H581="Necessary", OR(K581="Limited Impact", K581="Significant Impact"), L581&lt;&gt;""), "Pass with Conditions", IF(OR(E581="Not Legitimate", H581="Not Necessary", K581="High Impact"), "Fail - Data Subject''s Rights Prevail", "Pass with Conditions")))</f>
        <v/>
      </c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>
        <f>IF(AND(E582="Legitimate", H582="Necessary", K582="Minimal Impact"), "Pass - Legitimate Interest Prevails", IF(AND(E582="Legitimate", H582="Necessary", OR(K582="Limited Impact", K582="Significant Impact"), L582&lt;&gt;""), "Pass with Conditions", IF(OR(E582="Not Legitimate", H582="Not Necessary", K582="High Impact"), "Fail - Data Subject''s Rights Prevail", "Pass with Conditions")))</f>
        <v/>
      </c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>
        <f>IF(AND(E583="Legitimate", H583="Necessary", K583="Minimal Impact"), "Pass - Legitimate Interest Prevails", IF(AND(E583="Legitimate", H583="Necessary", OR(K583="Limited Impact", K583="Significant Impact"), L583&lt;&gt;""), "Pass with Conditions", IF(OR(E583="Not Legitimate", H583="Not Necessary", K583="High Impact"), "Fail - Data Subject''s Rights Prevail", "Pass with Conditions")))</f>
        <v/>
      </c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>
        <f>IF(AND(E584="Legitimate", H584="Necessary", K584="Minimal Impact"), "Pass - Legitimate Interest Prevails", IF(AND(E584="Legitimate", H584="Necessary", OR(K584="Limited Impact", K584="Significant Impact"), L584&lt;&gt;""), "Pass with Conditions", IF(OR(E584="Not Legitimate", H584="Not Necessary", K584="High Impact"), "Fail - Data Subject''s Rights Prevail", "Pass with Conditions")))</f>
        <v/>
      </c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>
        <f>IF(AND(E585="Legitimate", H585="Necessary", K585="Minimal Impact"), "Pass - Legitimate Interest Prevails", IF(AND(E585="Legitimate", H585="Necessary", OR(K585="Limited Impact", K585="Significant Impact"), L585&lt;&gt;""), "Pass with Conditions", IF(OR(E585="Not Legitimate", H585="Not Necessary", K585="High Impact"), "Fail - Data Subject''s Rights Prevail", "Pass with Conditions")))</f>
        <v/>
      </c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>
        <f>IF(AND(E586="Legitimate", H586="Necessary", K586="Minimal Impact"), "Pass - Legitimate Interest Prevails", IF(AND(E586="Legitimate", H586="Necessary", OR(K586="Limited Impact", K586="Significant Impact"), L586&lt;&gt;""), "Pass with Conditions", IF(OR(E586="Not Legitimate", H586="Not Necessary", K586="High Impact"), "Fail - Data Subject''s Rights Prevail", "Pass with Conditions")))</f>
        <v/>
      </c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>
        <f>IF(AND(E587="Legitimate", H587="Necessary", K587="Minimal Impact"), "Pass - Legitimate Interest Prevails", IF(AND(E587="Legitimate", H587="Necessary", OR(K587="Limited Impact", K587="Significant Impact"), L587&lt;&gt;""), "Pass with Conditions", IF(OR(E587="Not Legitimate", H587="Not Necessary", K587="High Impact"), "Fail - Data Subject''s Rights Prevail", "Pass with Conditions")))</f>
        <v/>
      </c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>
        <f>IF(AND(E588="Legitimate", H588="Necessary", K588="Minimal Impact"), "Pass - Legitimate Interest Prevails", IF(AND(E588="Legitimate", H588="Necessary", OR(K588="Limited Impact", K588="Significant Impact"), L588&lt;&gt;""), "Pass with Conditions", IF(OR(E588="Not Legitimate", H588="Not Necessary", K588="High Impact"), "Fail - Data Subject''s Rights Prevail", "Pass with Conditions")))</f>
        <v/>
      </c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>
        <f>IF(AND(E589="Legitimate", H589="Necessary", K589="Minimal Impact"), "Pass - Legitimate Interest Prevails", IF(AND(E589="Legitimate", H589="Necessary", OR(K589="Limited Impact", K589="Significant Impact"), L589&lt;&gt;""), "Pass with Conditions", IF(OR(E589="Not Legitimate", H589="Not Necessary", K589="High Impact"), "Fail - Data Subject''s Rights Prevail", "Pass with Conditions")))</f>
        <v/>
      </c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>
        <f>IF(AND(E590="Legitimate", H590="Necessary", K590="Minimal Impact"), "Pass - Legitimate Interest Prevails", IF(AND(E590="Legitimate", H590="Necessary", OR(K590="Limited Impact", K590="Significant Impact"), L590&lt;&gt;""), "Pass with Conditions", IF(OR(E590="Not Legitimate", H590="Not Necessary", K590="High Impact"), "Fail - Data Subject''s Rights Prevail", "Pass with Conditions")))</f>
        <v/>
      </c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>
        <f>IF(AND(E591="Legitimate", H591="Necessary", K591="Minimal Impact"), "Pass - Legitimate Interest Prevails", IF(AND(E591="Legitimate", H591="Necessary", OR(K591="Limited Impact", K591="Significant Impact"), L591&lt;&gt;""), "Pass with Conditions", IF(OR(E591="Not Legitimate", H591="Not Necessary", K591="High Impact"), "Fail - Data Subject''s Rights Prevail", "Pass with Conditions")))</f>
        <v/>
      </c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>
        <f>IF(AND(E592="Legitimate", H592="Necessary", K592="Minimal Impact"), "Pass - Legitimate Interest Prevails", IF(AND(E592="Legitimate", H592="Necessary", OR(K592="Limited Impact", K592="Significant Impact"), L592&lt;&gt;""), "Pass with Conditions", IF(OR(E592="Not Legitimate", H592="Not Necessary", K592="High Impact"), "Fail - Data Subject''s Rights Prevail", "Pass with Conditions")))</f>
        <v/>
      </c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>
        <f>IF(AND(E593="Legitimate", H593="Necessary", K593="Minimal Impact"), "Pass - Legitimate Interest Prevails", IF(AND(E593="Legitimate", H593="Necessary", OR(K593="Limited Impact", K593="Significant Impact"), L593&lt;&gt;""), "Pass with Conditions", IF(OR(E593="Not Legitimate", H593="Not Necessary", K593="High Impact"), "Fail - Data Subject''s Rights Prevail", "Pass with Conditions")))</f>
        <v/>
      </c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>
        <f>IF(AND(E594="Legitimate", H594="Necessary", K594="Minimal Impact"), "Pass - Legitimate Interest Prevails", IF(AND(E594="Legitimate", H594="Necessary", OR(K594="Limited Impact", K594="Significant Impact"), L594&lt;&gt;""), "Pass with Conditions", IF(OR(E594="Not Legitimate", H594="Not Necessary", K594="High Impact"), "Fail - Data Subject''s Rights Prevail", "Pass with Conditions")))</f>
        <v/>
      </c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>
        <f>IF(AND(E595="Legitimate", H595="Necessary", K595="Minimal Impact"), "Pass - Legitimate Interest Prevails", IF(AND(E595="Legitimate", H595="Necessary", OR(K595="Limited Impact", K595="Significant Impact"), L595&lt;&gt;""), "Pass with Conditions", IF(OR(E595="Not Legitimate", H595="Not Necessary", K595="High Impact"), "Fail - Data Subject''s Rights Prevail", "Pass with Conditions")))</f>
        <v/>
      </c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>
        <f>IF(AND(E596="Legitimate", H596="Necessary", K596="Minimal Impact"), "Pass - Legitimate Interest Prevails", IF(AND(E596="Legitimate", H596="Necessary", OR(K596="Limited Impact", K596="Significant Impact"), L596&lt;&gt;""), "Pass with Conditions", IF(OR(E596="Not Legitimate", H596="Not Necessary", K596="High Impact"), "Fail - Data Subject''s Rights Prevail", "Pass with Conditions")))</f>
        <v/>
      </c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>
        <f>IF(AND(E597="Legitimate", H597="Necessary", K597="Minimal Impact"), "Pass - Legitimate Interest Prevails", IF(AND(E597="Legitimate", H597="Necessary", OR(K597="Limited Impact", K597="Significant Impact"), L597&lt;&gt;""), "Pass with Conditions", IF(OR(E597="Not Legitimate", H597="Not Necessary", K597="High Impact"), "Fail - Data Subject''s Rights Prevail", "Pass with Conditions")))</f>
        <v/>
      </c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>
        <f>IF(AND(E598="Legitimate", H598="Necessary", K598="Minimal Impact"), "Pass - Legitimate Interest Prevails", IF(AND(E598="Legitimate", H598="Necessary", OR(K598="Limited Impact", K598="Significant Impact"), L598&lt;&gt;""), "Pass with Conditions", IF(OR(E598="Not Legitimate", H598="Not Necessary", K598="High Impact"), "Fail - Data Subject''s Rights Prevail", "Pass with Conditions")))</f>
        <v/>
      </c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>
        <f>IF(AND(E599="Legitimate", H599="Necessary", K599="Minimal Impact"), "Pass - Legitimate Interest Prevails", IF(AND(E599="Legitimate", H599="Necessary", OR(K599="Limited Impact", K599="Significant Impact"), L599&lt;&gt;""), "Pass with Conditions", IF(OR(E599="Not Legitimate", H599="Not Necessary", K599="High Impact"), "Fail - Data Subject''s Rights Prevail", "Pass with Conditions")))</f>
        <v/>
      </c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>
        <f>IF(AND(E600="Legitimate", H600="Necessary", K600="Minimal Impact"), "Pass - Legitimate Interest Prevails", IF(AND(E600="Legitimate", H600="Necessary", OR(K600="Limited Impact", K600="Significant Impact"), L600&lt;&gt;""), "Pass with Conditions", IF(OR(E600="Not Legitimate", H600="Not Necessary", K600="High Impact"), "Fail - Data Subject''s Rights Prevail", "Pass with Conditions")))</f>
        <v/>
      </c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>
        <f>IF(AND(E601="Legitimate", H601="Necessary", K601="Minimal Impact"), "Pass - Legitimate Interest Prevails", IF(AND(E601="Legitimate", H601="Necessary", OR(K601="Limited Impact", K601="Significant Impact"), L601&lt;&gt;""), "Pass with Conditions", IF(OR(E601="Not Legitimate", H601="Not Necessary", K601="High Impact"), "Fail - Data Subject''s Rights Prevail", "Pass with Conditions")))</f>
        <v/>
      </c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>
        <f>IF(AND(E602="Legitimate", H602="Necessary", K602="Minimal Impact"), "Pass - Legitimate Interest Prevails", IF(AND(E602="Legitimate", H602="Necessary", OR(K602="Limited Impact", K602="Significant Impact"), L602&lt;&gt;""), "Pass with Conditions", IF(OR(E602="Not Legitimate", H602="Not Necessary", K602="High Impact"), "Fail - Data Subject''s Rights Prevail", "Pass with Conditions")))</f>
        <v/>
      </c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>
        <f>IF(AND(E603="Legitimate", H603="Necessary", K603="Minimal Impact"), "Pass - Legitimate Interest Prevails", IF(AND(E603="Legitimate", H603="Necessary", OR(K603="Limited Impact", K603="Significant Impact"), L603&lt;&gt;""), "Pass with Conditions", IF(OR(E603="Not Legitimate", H603="Not Necessary", K603="High Impact"), "Fail - Data Subject''s Rights Prevail", "Pass with Conditions")))</f>
        <v/>
      </c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>
        <f>IF(AND(E604="Legitimate", H604="Necessary", K604="Minimal Impact"), "Pass - Legitimate Interest Prevails", IF(AND(E604="Legitimate", H604="Necessary", OR(K604="Limited Impact", K604="Significant Impact"), L604&lt;&gt;""), "Pass with Conditions", IF(OR(E604="Not Legitimate", H604="Not Necessary", K604="High Impact"), "Fail - Data Subject''s Rights Prevail", "Pass with Conditions")))</f>
        <v/>
      </c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>
        <f>IF(AND(E605="Legitimate", H605="Necessary", K605="Minimal Impact"), "Pass - Legitimate Interest Prevails", IF(AND(E605="Legitimate", H605="Necessary", OR(K605="Limited Impact", K605="Significant Impact"), L605&lt;&gt;""), "Pass with Conditions", IF(OR(E605="Not Legitimate", H605="Not Necessary", K605="High Impact"), "Fail - Data Subject''s Rights Prevail", "Pass with Conditions")))</f>
        <v/>
      </c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>
        <f>IF(AND(E606="Legitimate", H606="Necessary", K606="Minimal Impact"), "Pass - Legitimate Interest Prevails", IF(AND(E606="Legitimate", H606="Necessary", OR(K606="Limited Impact", K606="Significant Impact"), L606&lt;&gt;""), "Pass with Conditions", IF(OR(E606="Not Legitimate", H606="Not Necessary", K606="High Impact"), "Fail - Data Subject''s Rights Prevail", "Pass with Conditions")))</f>
        <v/>
      </c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>
        <f>IF(AND(E607="Legitimate", H607="Necessary", K607="Minimal Impact"), "Pass - Legitimate Interest Prevails", IF(AND(E607="Legitimate", H607="Necessary", OR(K607="Limited Impact", K607="Significant Impact"), L607&lt;&gt;""), "Pass with Conditions", IF(OR(E607="Not Legitimate", H607="Not Necessary", K607="High Impact"), "Fail - Data Subject''s Rights Prevail", "Pass with Conditions")))</f>
        <v/>
      </c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>
        <f>IF(AND(E608="Legitimate", H608="Necessary", K608="Minimal Impact"), "Pass - Legitimate Interest Prevails", IF(AND(E608="Legitimate", H608="Necessary", OR(K608="Limited Impact", K608="Significant Impact"), L608&lt;&gt;""), "Pass with Conditions", IF(OR(E608="Not Legitimate", H608="Not Necessary", K608="High Impact"), "Fail - Data Subject''s Rights Prevail", "Pass with Conditions")))</f>
        <v/>
      </c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>
        <f>IF(AND(E609="Legitimate", H609="Necessary", K609="Minimal Impact"), "Pass - Legitimate Interest Prevails", IF(AND(E609="Legitimate", H609="Necessary", OR(K609="Limited Impact", K609="Significant Impact"), L609&lt;&gt;""), "Pass with Conditions", IF(OR(E609="Not Legitimate", H609="Not Necessary", K609="High Impact"), "Fail - Data Subject''s Rights Prevail", "Pass with Conditions")))</f>
        <v/>
      </c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>
        <f>IF(AND(E610="Legitimate", H610="Necessary", K610="Minimal Impact"), "Pass - Legitimate Interest Prevails", IF(AND(E610="Legitimate", H610="Necessary", OR(K610="Limited Impact", K610="Significant Impact"), L610&lt;&gt;""), "Pass with Conditions", IF(OR(E610="Not Legitimate", H610="Not Necessary", K610="High Impact"), "Fail - Data Subject''s Rights Prevail", "Pass with Conditions")))</f>
        <v/>
      </c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>
        <f>IF(AND(E611="Legitimate", H611="Necessary", K611="Minimal Impact"), "Pass - Legitimate Interest Prevails", IF(AND(E611="Legitimate", H611="Necessary", OR(K611="Limited Impact", K611="Significant Impact"), L611&lt;&gt;""), "Pass with Conditions", IF(OR(E611="Not Legitimate", H611="Not Necessary", K611="High Impact"), "Fail - Data Subject''s Rights Prevail", "Pass with Conditions")))</f>
        <v/>
      </c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>
        <f>IF(AND(E612="Legitimate", H612="Necessary", K612="Minimal Impact"), "Pass - Legitimate Interest Prevails", IF(AND(E612="Legitimate", H612="Necessary", OR(K612="Limited Impact", K612="Significant Impact"), L612&lt;&gt;""), "Pass with Conditions", IF(OR(E612="Not Legitimate", H612="Not Necessary", K612="High Impact"), "Fail - Data Subject''s Rights Prevail", "Pass with Conditions")))</f>
        <v/>
      </c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>
        <f>IF(AND(E613="Legitimate", H613="Necessary", K613="Minimal Impact"), "Pass - Legitimate Interest Prevails", IF(AND(E613="Legitimate", H613="Necessary", OR(K613="Limited Impact", K613="Significant Impact"), L613&lt;&gt;""), "Pass with Conditions", IF(OR(E613="Not Legitimate", H613="Not Necessary", K613="High Impact"), "Fail - Data Subject''s Rights Prevail", "Pass with Conditions")))</f>
        <v/>
      </c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>
        <f>IF(AND(E614="Legitimate", H614="Necessary", K614="Minimal Impact"), "Pass - Legitimate Interest Prevails", IF(AND(E614="Legitimate", H614="Necessary", OR(K614="Limited Impact", K614="Significant Impact"), L614&lt;&gt;""), "Pass with Conditions", IF(OR(E614="Not Legitimate", H614="Not Necessary", K614="High Impact"), "Fail - Data Subject''s Rights Prevail", "Pass with Conditions")))</f>
        <v/>
      </c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>
        <f>IF(AND(E615="Legitimate", H615="Necessary", K615="Minimal Impact"), "Pass - Legitimate Interest Prevails", IF(AND(E615="Legitimate", H615="Necessary", OR(K615="Limited Impact", K615="Significant Impact"), L615&lt;&gt;""), "Pass with Conditions", IF(OR(E615="Not Legitimate", H615="Not Necessary", K615="High Impact"), "Fail - Data Subject''s Rights Prevail", "Pass with Conditions")))</f>
        <v/>
      </c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>
        <f>IF(AND(E616="Legitimate", H616="Necessary", K616="Minimal Impact"), "Pass - Legitimate Interest Prevails", IF(AND(E616="Legitimate", H616="Necessary", OR(K616="Limited Impact", K616="Significant Impact"), L616&lt;&gt;""), "Pass with Conditions", IF(OR(E616="Not Legitimate", H616="Not Necessary", K616="High Impact"), "Fail - Data Subject''s Rights Prevail", "Pass with Conditions")))</f>
        <v/>
      </c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>
        <f>IF(AND(E617="Legitimate", H617="Necessary", K617="Minimal Impact"), "Pass - Legitimate Interest Prevails", IF(AND(E617="Legitimate", H617="Necessary", OR(K617="Limited Impact", K617="Significant Impact"), L617&lt;&gt;""), "Pass with Conditions", IF(OR(E617="Not Legitimate", H617="Not Necessary", K617="High Impact"), "Fail - Data Subject''s Rights Prevail", "Pass with Conditions")))</f>
        <v/>
      </c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>
        <f>IF(AND(E618="Legitimate", H618="Necessary", K618="Minimal Impact"), "Pass - Legitimate Interest Prevails", IF(AND(E618="Legitimate", H618="Necessary", OR(K618="Limited Impact", K618="Significant Impact"), L618&lt;&gt;""), "Pass with Conditions", IF(OR(E618="Not Legitimate", H618="Not Necessary", K618="High Impact"), "Fail - Data Subject''s Rights Prevail", "Pass with Conditions")))</f>
        <v/>
      </c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>
        <f>IF(AND(E619="Legitimate", H619="Necessary", K619="Minimal Impact"), "Pass - Legitimate Interest Prevails", IF(AND(E619="Legitimate", H619="Necessary", OR(K619="Limited Impact", K619="Significant Impact"), L619&lt;&gt;""), "Pass with Conditions", IF(OR(E619="Not Legitimate", H619="Not Necessary", K619="High Impact"), "Fail - Data Subject''s Rights Prevail", "Pass with Conditions")))</f>
        <v/>
      </c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>
        <f>IF(AND(E620="Legitimate", H620="Necessary", K620="Minimal Impact"), "Pass - Legitimate Interest Prevails", IF(AND(E620="Legitimate", H620="Necessary", OR(K620="Limited Impact", K620="Significant Impact"), L620&lt;&gt;""), "Pass with Conditions", IF(OR(E620="Not Legitimate", H620="Not Necessary", K620="High Impact"), "Fail - Data Subject''s Rights Prevail", "Pass with Conditions")))</f>
        <v/>
      </c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>
        <f>IF(AND(E621="Legitimate", H621="Necessary", K621="Minimal Impact"), "Pass - Legitimate Interest Prevails", IF(AND(E621="Legitimate", H621="Necessary", OR(K621="Limited Impact", K621="Significant Impact"), L621&lt;&gt;""), "Pass with Conditions", IF(OR(E621="Not Legitimate", H621="Not Necessary", K621="High Impact"), "Fail - Data Subject''s Rights Prevail", "Pass with Conditions")))</f>
        <v/>
      </c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>
        <f>IF(AND(E622="Legitimate", H622="Necessary", K622="Minimal Impact"), "Pass - Legitimate Interest Prevails", IF(AND(E622="Legitimate", H622="Necessary", OR(K622="Limited Impact", K622="Significant Impact"), L622&lt;&gt;""), "Pass with Conditions", IF(OR(E622="Not Legitimate", H622="Not Necessary", K622="High Impact"), "Fail - Data Subject''s Rights Prevail", "Pass with Conditions")))</f>
        <v/>
      </c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>
        <f>IF(AND(E623="Legitimate", H623="Necessary", K623="Minimal Impact"), "Pass - Legitimate Interest Prevails", IF(AND(E623="Legitimate", H623="Necessary", OR(K623="Limited Impact", K623="Significant Impact"), L623&lt;&gt;""), "Pass with Conditions", IF(OR(E623="Not Legitimate", H623="Not Necessary", K623="High Impact"), "Fail - Data Subject''s Rights Prevail", "Pass with Conditions")))</f>
        <v/>
      </c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>
        <f>IF(AND(E624="Legitimate", H624="Necessary", K624="Minimal Impact"), "Pass - Legitimate Interest Prevails", IF(AND(E624="Legitimate", H624="Necessary", OR(K624="Limited Impact", K624="Significant Impact"), L624&lt;&gt;""), "Pass with Conditions", IF(OR(E624="Not Legitimate", H624="Not Necessary", K624="High Impact"), "Fail - Data Subject''s Rights Prevail", "Pass with Conditions")))</f>
        <v/>
      </c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>
        <f>IF(AND(E625="Legitimate", H625="Necessary", K625="Minimal Impact"), "Pass - Legitimate Interest Prevails", IF(AND(E625="Legitimate", H625="Necessary", OR(K625="Limited Impact", K625="Significant Impact"), L625&lt;&gt;""), "Pass with Conditions", IF(OR(E625="Not Legitimate", H625="Not Necessary", K625="High Impact"), "Fail - Data Subject''s Rights Prevail", "Pass with Conditions")))</f>
        <v/>
      </c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>
        <f>IF(AND(E626="Legitimate", H626="Necessary", K626="Minimal Impact"), "Pass - Legitimate Interest Prevails", IF(AND(E626="Legitimate", H626="Necessary", OR(K626="Limited Impact", K626="Significant Impact"), L626&lt;&gt;""), "Pass with Conditions", IF(OR(E626="Not Legitimate", H626="Not Necessary", K626="High Impact"), "Fail - Data Subject''s Rights Prevail", "Pass with Conditions")))</f>
        <v/>
      </c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>
        <f>IF(AND(E627="Legitimate", H627="Necessary", K627="Minimal Impact"), "Pass - Legitimate Interest Prevails", IF(AND(E627="Legitimate", H627="Necessary", OR(K627="Limited Impact", K627="Significant Impact"), L627&lt;&gt;""), "Pass with Conditions", IF(OR(E627="Not Legitimate", H627="Not Necessary", K627="High Impact"), "Fail - Data Subject''s Rights Prevail", "Pass with Conditions")))</f>
        <v/>
      </c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>
        <f>IF(AND(E628="Legitimate", H628="Necessary", K628="Minimal Impact"), "Pass - Legitimate Interest Prevails", IF(AND(E628="Legitimate", H628="Necessary", OR(K628="Limited Impact", K628="Significant Impact"), L628&lt;&gt;""), "Pass with Conditions", IF(OR(E628="Not Legitimate", H628="Not Necessary", K628="High Impact"), "Fail - Data Subject''s Rights Prevail", "Pass with Conditions")))</f>
        <v/>
      </c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>
        <f>IF(AND(E629="Legitimate", H629="Necessary", K629="Minimal Impact"), "Pass - Legitimate Interest Prevails", IF(AND(E629="Legitimate", H629="Necessary", OR(K629="Limited Impact", K629="Significant Impact"), L629&lt;&gt;""), "Pass with Conditions", IF(OR(E629="Not Legitimate", H629="Not Necessary", K629="High Impact"), "Fail - Data Subject''s Rights Prevail", "Pass with Conditions")))</f>
        <v/>
      </c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>
        <f>IF(AND(E630="Legitimate", H630="Necessary", K630="Minimal Impact"), "Pass - Legitimate Interest Prevails", IF(AND(E630="Legitimate", H630="Necessary", OR(K630="Limited Impact", K630="Significant Impact"), L630&lt;&gt;""), "Pass with Conditions", IF(OR(E630="Not Legitimate", H630="Not Necessary", K630="High Impact"), "Fail - Data Subject''s Rights Prevail", "Pass with Conditions")))</f>
        <v/>
      </c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>
        <f>IF(AND(E631="Legitimate", H631="Necessary", K631="Minimal Impact"), "Pass - Legitimate Interest Prevails", IF(AND(E631="Legitimate", H631="Necessary", OR(K631="Limited Impact", K631="Significant Impact"), L631&lt;&gt;""), "Pass with Conditions", IF(OR(E631="Not Legitimate", H631="Not Necessary", K631="High Impact"), "Fail - Data Subject''s Rights Prevail", "Pass with Conditions")))</f>
        <v/>
      </c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>
        <f>IF(AND(E632="Legitimate", H632="Necessary", K632="Minimal Impact"), "Pass - Legitimate Interest Prevails", IF(AND(E632="Legitimate", H632="Necessary", OR(K632="Limited Impact", K632="Significant Impact"), L632&lt;&gt;""), "Pass with Conditions", IF(OR(E632="Not Legitimate", H632="Not Necessary", K632="High Impact"), "Fail - Data Subject''s Rights Prevail", "Pass with Conditions")))</f>
        <v/>
      </c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>
        <f>IF(AND(E633="Legitimate", H633="Necessary", K633="Minimal Impact"), "Pass - Legitimate Interest Prevails", IF(AND(E633="Legitimate", H633="Necessary", OR(K633="Limited Impact", K633="Significant Impact"), L633&lt;&gt;""), "Pass with Conditions", IF(OR(E633="Not Legitimate", H633="Not Necessary", K633="High Impact"), "Fail - Data Subject''s Rights Prevail", "Pass with Conditions")))</f>
        <v/>
      </c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>
        <f>IF(AND(E634="Legitimate", H634="Necessary", K634="Minimal Impact"), "Pass - Legitimate Interest Prevails", IF(AND(E634="Legitimate", H634="Necessary", OR(K634="Limited Impact", K634="Significant Impact"), L634&lt;&gt;""), "Pass with Conditions", IF(OR(E634="Not Legitimate", H634="Not Necessary", K634="High Impact"), "Fail - Data Subject''s Rights Prevail", "Pass with Conditions")))</f>
        <v/>
      </c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>
        <f>IF(AND(E635="Legitimate", H635="Necessary", K635="Minimal Impact"), "Pass - Legitimate Interest Prevails", IF(AND(E635="Legitimate", H635="Necessary", OR(K635="Limited Impact", K635="Significant Impact"), L635&lt;&gt;""), "Pass with Conditions", IF(OR(E635="Not Legitimate", H635="Not Necessary", K635="High Impact"), "Fail - Data Subject''s Rights Prevail", "Pass with Conditions")))</f>
        <v/>
      </c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>
        <f>IF(AND(E636="Legitimate", H636="Necessary", K636="Minimal Impact"), "Pass - Legitimate Interest Prevails", IF(AND(E636="Legitimate", H636="Necessary", OR(K636="Limited Impact", K636="Significant Impact"), L636&lt;&gt;""), "Pass with Conditions", IF(OR(E636="Not Legitimate", H636="Not Necessary", K636="High Impact"), "Fail - Data Subject''s Rights Prevail", "Pass with Conditions")))</f>
        <v/>
      </c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>
        <f>IF(AND(E637="Legitimate", H637="Necessary", K637="Minimal Impact"), "Pass - Legitimate Interest Prevails", IF(AND(E637="Legitimate", H637="Necessary", OR(K637="Limited Impact", K637="Significant Impact"), L637&lt;&gt;""), "Pass with Conditions", IF(OR(E637="Not Legitimate", H637="Not Necessary", K637="High Impact"), "Fail - Data Subject''s Rights Prevail", "Pass with Conditions")))</f>
        <v/>
      </c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>
        <f>IF(AND(E638="Legitimate", H638="Necessary", K638="Minimal Impact"), "Pass - Legitimate Interest Prevails", IF(AND(E638="Legitimate", H638="Necessary", OR(K638="Limited Impact", K638="Significant Impact"), L638&lt;&gt;""), "Pass with Conditions", IF(OR(E638="Not Legitimate", H638="Not Necessary", K638="High Impact"), "Fail - Data Subject''s Rights Prevail", "Pass with Conditions")))</f>
        <v/>
      </c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>
        <f>IF(AND(E639="Legitimate", H639="Necessary", K639="Minimal Impact"), "Pass - Legitimate Interest Prevails", IF(AND(E639="Legitimate", H639="Necessary", OR(K639="Limited Impact", K639="Significant Impact"), L639&lt;&gt;""), "Pass with Conditions", IF(OR(E639="Not Legitimate", H639="Not Necessary", K639="High Impact"), "Fail - Data Subject''s Rights Prevail", "Pass with Conditions")))</f>
        <v/>
      </c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>
        <f>IF(AND(E640="Legitimate", H640="Necessary", K640="Minimal Impact"), "Pass - Legitimate Interest Prevails", IF(AND(E640="Legitimate", H640="Necessary", OR(K640="Limited Impact", K640="Significant Impact"), L640&lt;&gt;""), "Pass with Conditions", IF(OR(E640="Not Legitimate", H640="Not Necessary", K640="High Impact"), "Fail - Data Subject''s Rights Prevail", "Pass with Conditions")))</f>
        <v/>
      </c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>
        <f>IF(AND(E641="Legitimate", H641="Necessary", K641="Minimal Impact"), "Pass - Legitimate Interest Prevails", IF(AND(E641="Legitimate", H641="Necessary", OR(K641="Limited Impact", K641="Significant Impact"), L641&lt;&gt;""), "Pass with Conditions", IF(OR(E641="Not Legitimate", H641="Not Necessary", K641="High Impact"), "Fail - Data Subject''s Rights Prevail", "Pass with Conditions")))</f>
        <v/>
      </c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>
        <f>IF(AND(E642="Legitimate", H642="Necessary", K642="Minimal Impact"), "Pass - Legitimate Interest Prevails", IF(AND(E642="Legitimate", H642="Necessary", OR(K642="Limited Impact", K642="Significant Impact"), L642&lt;&gt;""), "Pass with Conditions", IF(OR(E642="Not Legitimate", H642="Not Necessary", K642="High Impact"), "Fail - Data Subject''s Rights Prevail", "Pass with Conditions")))</f>
        <v/>
      </c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>
        <f>IF(AND(E643="Legitimate", H643="Necessary", K643="Minimal Impact"), "Pass - Legitimate Interest Prevails", IF(AND(E643="Legitimate", H643="Necessary", OR(K643="Limited Impact", K643="Significant Impact"), L643&lt;&gt;""), "Pass with Conditions", IF(OR(E643="Not Legitimate", H643="Not Necessary", K643="High Impact"), "Fail - Data Subject''s Rights Prevail", "Pass with Conditions")))</f>
        <v/>
      </c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>
        <f>IF(AND(E644="Legitimate", H644="Necessary", K644="Minimal Impact"), "Pass - Legitimate Interest Prevails", IF(AND(E644="Legitimate", H644="Necessary", OR(K644="Limited Impact", K644="Significant Impact"), L644&lt;&gt;""), "Pass with Conditions", IF(OR(E644="Not Legitimate", H644="Not Necessary", K644="High Impact"), "Fail - Data Subject''s Rights Prevail", "Pass with Conditions")))</f>
        <v/>
      </c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>
        <f>IF(AND(E645="Legitimate", H645="Necessary", K645="Minimal Impact"), "Pass - Legitimate Interest Prevails", IF(AND(E645="Legitimate", H645="Necessary", OR(K645="Limited Impact", K645="Significant Impact"), L645&lt;&gt;""), "Pass with Conditions", IF(OR(E645="Not Legitimate", H645="Not Necessary", K645="High Impact"), "Fail - Data Subject''s Rights Prevail", "Pass with Conditions")))</f>
        <v/>
      </c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>
        <f>IF(AND(E646="Legitimate", H646="Necessary", K646="Minimal Impact"), "Pass - Legitimate Interest Prevails", IF(AND(E646="Legitimate", H646="Necessary", OR(K646="Limited Impact", K646="Significant Impact"), L646&lt;&gt;""), "Pass with Conditions", IF(OR(E646="Not Legitimate", H646="Not Necessary", K646="High Impact"), "Fail - Data Subject''s Rights Prevail", "Pass with Conditions")))</f>
        <v/>
      </c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>
        <f>IF(AND(E647="Legitimate", H647="Necessary", K647="Minimal Impact"), "Pass - Legitimate Interest Prevails", IF(AND(E647="Legitimate", H647="Necessary", OR(K647="Limited Impact", K647="Significant Impact"), L647&lt;&gt;""), "Pass with Conditions", IF(OR(E647="Not Legitimate", H647="Not Necessary", K647="High Impact"), "Fail - Data Subject''s Rights Prevail", "Pass with Conditions")))</f>
        <v/>
      </c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>
        <f>IF(AND(E648="Legitimate", H648="Necessary", K648="Minimal Impact"), "Pass - Legitimate Interest Prevails", IF(AND(E648="Legitimate", H648="Necessary", OR(K648="Limited Impact", K648="Significant Impact"), L648&lt;&gt;""), "Pass with Conditions", IF(OR(E648="Not Legitimate", H648="Not Necessary", K648="High Impact"), "Fail - Data Subject''s Rights Prevail", "Pass with Conditions")))</f>
        <v/>
      </c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>
        <f>IF(AND(E649="Legitimate", H649="Necessary", K649="Minimal Impact"), "Pass - Legitimate Interest Prevails", IF(AND(E649="Legitimate", H649="Necessary", OR(K649="Limited Impact", K649="Significant Impact"), L649&lt;&gt;""), "Pass with Conditions", IF(OR(E649="Not Legitimate", H649="Not Necessary", K649="High Impact"), "Fail - Data Subject''s Rights Prevail", "Pass with Conditions")))</f>
        <v/>
      </c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>
        <f>IF(AND(E650="Legitimate", H650="Necessary", K650="Minimal Impact"), "Pass - Legitimate Interest Prevails", IF(AND(E650="Legitimate", H650="Necessary", OR(K650="Limited Impact", K650="Significant Impact"), L650&lt;&gt;""), "Pass with Conditions", IF(OR(E650="Not Legitimate", H650="Not Necessary", K650="High Impact"), "Fail - Data Subject''s Rights Prevail", "Pass with Conditions")))</f>
        <v/>
      </c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>
        <f>IF(AND(E651="Legitimate", H651="Necessary", K651="Minimal Impact"), "Pass - Legitimate Interest Prevails", IF(AND(E651="Legitimate", H651="Necessary", OR(K651="Limited Impact", K651="Significant Impact"), L651&lt;&gt;""), "Pass with Conditions", IF(OR(E651="Not Legitimate", H651="Not Necessary", K651="High Impact"), "Fail - Data Subject''s Rights Prevail", "Pass with Conditions")))</f>
        <v/>
      </c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>
        <f>IF(AND(E652="Legitimate", H652="Necessary", K652="Minimal Impact"), "Pass - Legitimate Interest Prevails", IF(AND(E652="Legitimate", H652="Necessary", OR(K652="Limited Impact", K652="Significant Impact"), L652&lt;&gt;""), "Pass with Conditions", IF(OR(E652="Not Legitimate", H652="Not Necessary", K652="High Impact"), "Fail - Data Subject''s Rights Prevail", "Pass with Conditions")))</f>
        <v/>
      </c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>
        <f>IF(AND(E653="Legitimate", H653="Necessary", K653="Minimal Impact"), "Pass - Legitimate Interest Prevails", IF(AND(E653="Legitimate", H653="Necessary", OR(K653="Limited Impact", K653="Significant Impact"), L653&lt;&gt;""), "Pass with Conditions", IF(OR(E653="Not Legitimate", H653="Not Necessary", K653="High Impact"), "Fail - Data Subject''s Rights Prevail", "Pass with Conditions")))</f>
        <v/>
      </c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>
        <f>IF(AND(E654="Legitimate", H654="Necessary", K654="Minimal Impact"), "Pass - Legitimate Interest Prevails", IF(AND(E654="Legitimate", H654="Necessary", OR(K654="Limited Impact", K654="Significant Impact"), L654&lt;&gt;""), "Pass with Conditions", IF(OR(E654="Not Legitimate", H654="Not Necessary", K654="High Impact"), "Fail - Data Subject''s Rights Prevail", "Pass with Conditions")))</f>
        <v/>
      </c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>
        <f>IF(AND(E655="Legitimate", H655="Necessary", K655="Minimal Impact"), "Pass - Legitimate Interest Prevails", IF(AND(E655="Legitimate", H655="Necessary", OR(K655="Limited Impact", K655="Significant Impact"), L655&lt;&gt;""), "Pass with Conditions", IF(OR(E655="Not Legitimate", H655="Not Necessary", K655="High Impact"), "Fail - Data Subject''s Rights Prevail", "Pass with Conditions")))</f>
        <v/>
      </c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>
        <f>IF(AND(E656="Legitimate", H656="Necessary", K656="Minimal Impact"), "Pass - Legitimate Interest Prevails", IF(AND(E656="Legitimate", H656="Necessary", OR(K656="Limited Impact", K656="Significant Impact"), L656&lt;&gt;""), "Pass with Conditions", IF(OR(E656="Not Legitimate", H656="Not Necessary", K656="High Impact"), "Fail - Data Subject''s Rights Prevail", "Pass with Conditions")))</f>
        <v/>
      </c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>
        <f>IF(AND(E657="Legitimate", H657="Necessary", K657="Minimal Impact"), "Pass - Legitimate Interest Prevails", IF(AND(E657="Legitimate", H657="Necessary", OR(K657="Limited Impact", K657="Significant Impact"), L657&lt;&gt;""), "Pass with Conditions", IF(OR(E657="Not Legitimate", H657="Not Necessary", K657="High Impact"), "Fail - Data Subject''s Rights Prevail", "Pass with Conditions")))</f>
        <v/>
      </c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>
        <f>IF(AND(E658="Legitimate", H658="Necessary", K658="Minimal Impact"), "Pass - Legitimate Interest Prevails", IF(AND(E658="Legitimate", H658="Necessary", OR(K658="Limited Impact", K658="Significant Impact"), L658&lt;&gt;""), "Pass with Conditions", IF(OR(E658="Not Legitimate", H658="Not Necessary", K658="High Impact"), "Fail - Data Subject''s Rights Prevail", "Pass with Conditions")))</f>
        <v/>
      </c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>
        <f>IF(AND(E659="Legitimate", H659="Necessary", K659="Minimal Impact"), "Pass - Legitimate Interest Prevails", IF(AND(E659="Legitimate", H659="Necessary", OR(K659="Limited Impact", K659="Significant Impact"), L659&lt;&gt;""), "Pass with Conditions", IF(OR(E659="Not Legitimate", H659="Not Necessary", K659="High Impact"), "Fail - Data Subject''s Rights Prevail", "Pass with Conditions")))</f>
        <v/>
      </c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>
        <f>IF(AND(E660="Legitimate", H660="Necessary", K660="Minimal Impact"), "Pass - Legitimate Interest Prevails", IF(AND(E660="Legitimate", H660="Necessary", OR(K660="Limited Impact", K660="Significant Impact"), L660&lt;&gt;""), "Pass with Conditions", IF(OR(E660="Not Legitimate", H660="Not Necessary", K660="High Impact"), "Fail - Data Subject''s Rights Prevail", "Pass with Conditions")))</f>
        <v/>
      </c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>
        <f>IF(AND(E661="Legitimate", H661="Necessary", K661="Minimal Impact"), "Pass - Legitimate Interest Prevails", IF(AND(E661="Legitimate", H661="Necessary", OR(K661="Limited Impact", K661="Significant Impact"), L661&lt;&gt;""), "Pass with Conditions", IF(OR(E661="Not Legitimate", H661="Not Necessary", K661="High Impact"), "Fail - Data Subject''s Rights Prevail", "Pass with Conditions")))</f>
        <v/>
      </c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>
        <f>IF(AND(E662="Legitimate", H662="Necessary", K662="Minimal Impact"), "Pass - Legitimate Interest Prevails", IF(AND(E662="Legitimate", H662="Necessary", OR(K662="Limited Impact", K662="Significant Impact"), L662&lt;&gt;""), "Pass with Conditions", IF(OR(E662="Not Legitimate", H662="Not Necessary", K662="High Impact"), "Fail - Data Subject''s Rights Prevail", "Pass with Conditions")))</f>
        <v/>
      </c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>
        <f>IF(AND(E663="Legitimate", H663="Necessary", K663="Minimal Impact"), "Pass - Legitimate Interest Prevails", IF(AND(E663="Legitimate", H663="Necessary", OR(K663="Limited Impact", K663="Significant Impact"), L663&lt;&gt;""), "Pass with Conditions", IF(OR(E663="Not Legitimate", H663="Not Necessary", K663="High Impact"), "Fail - Data Subject''s Rights Prevail", "Pass with Conditions")))</f>
        <v/>
      </c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>
        <f>IF(AND(E664="Legitimate", H664="Necessary", K664="Minimal Impact"), "Pass - Legitimate Interest Prevails", IF(AND(E664="Legitimate", H664="Necessary", OR(K664="Limited Impact", K664="Significant Impact"), L664&lt;&gt;""), "Pass with Conditions", IF(OR(E664="Not Legitimate", H664="Not Necessary", K664="High Impact"), "Fail - Data Subject''s Rights Prevail", "Pass with Conditions")))</f>
        <v/>
      </c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>
        <f>IF(AND(E665="Legitimate", H665="Necessary", K665="Minimal Impact"), "Pass - Legitimate Interest Prevails", IF(AND(E665="Legitimate", H665="Necessary", OR(K665="Limited Impact", K665="Significant Impact"), L665&lt;&gt;""), "Pass with Conditions", IF(OR(E665="Not Legitimate", H665="Not Necessary", K665="High Impact"), "Fail - Data Subject''s Rights Prevail", "Pass with Conditions")))</f>
        <v/>
      </c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>
        <f>IF(AND(E666="Legitimate", H666="Necessary", K666="Minimal Impact"), "Pass - Legitimate Interest Prevails", IF(AND(E666="Legitimate", H666="Necessary", OR(K666="Limited Impact", K666="Significant Impact"), L666&lt;&gt;""), "Pass with Conditions", IF(OR(E666="Not Legitimate", H666="Not Necessary", K666="High Impact"), "Fail - Data Subject''s Rights Prevail", "Pass with Conditions")))</f>
        <v/>
      </c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>
        <f>IF(AND(E667="Legitimate", H667="Necessary", K667="Minimal Impact"), "Pass - Legitimate Interest Prevails", IF(AND(E667="Legitimate", H667="Necessary", OR(K667="Limited Impact", K667="Significant Impact"), L667&lt;&gt;""), "Pass with Conditions", IF(OR(E667="Not Legitimate", H667="Not Necessary", K667="High Impact"), "Fail - Data Subject''s Rights Prevail", "Pass with Conditions")))</f>
        <v/>
      </c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>
        <f>IF(AND(E668="Legitimate", H668="Necessary", K668="Minimal Impact"), "Pass - Legitimate Interest Prevails", IF(AND(E668="Legitimate", H668="Necessary", OR(K668="Limited Impact", K668="Significant Impact"), L668&lt;&gt;""), "Pass with Conditions", IF(OR(E668="Not Legitimate", H668="Not Necessary", K668="High Impact"), "Fail - Data Subject''s Rights Prevail", "Pass with Conditions")))</f>
        <v/>
      </c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>
        <f>IF(AND(E669="Legitimate", H669="Necessary", K669="Minimal Impact"), "Pass - Legitimate Interest Prevails", IF(AND(E669="Legitimate", H669="Necessary", OR(K669="Limited Impact", K669="Significant Impact"), L669&lt;&gt;""), "Pass with Conditions", IF(OR(E669="Not Legitimate", H669="Not Necessary", K669="High Impact"), "Fail - Data Subject''s Rights Prevail", "Pass with Conditions")))</f>
        <v/>
      </c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>
        <f>IF(AND(E670="Legitimate", H670="Necessary", K670="Minimal Impact"), "Pass - Legitimate Interest Prevails", IF(AND(E670="Legitimate", H670="Necessary", OR(K670="Limited Impact", K670="Significant Impact"), L670&lt;&gt;""), "Pass with Conditions", IF(OR(E670="Not Legitimate", H670="Not Necessary", K670="High Impact"), "Fail - Data Subject''s Rights Prevail", "Pass with Conditions")))</f>
        <v/>
      </c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>
        <f>IF(AND(E671="Legitimate", H671="Necessary", K671="Minimal Impact"), "Pass - Legitimate Interest Prevails", IF(AND(E671="Legitimate", H671="Necessary", OR(K671="Limited Impact", K671="Significant Impact"), L671&lt;&gt;""), "Pass with Conditions", IF(OR(E671="Not Legitimate", H671="Not Necessary", K671="High Impact"), "Fail - Data Subject''s Rights Prevail", "Pass with Conditions")))</f>
        <v/>
      </c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>
        <f>IF(AND(E672="Legitimate", H672="Necessary", K672="Minimal Impact"), "Pass - Legitimate Interest Prevails", IF(AND(E672="Legitimate", H672="Necessary", OR(K672="Limited Impact", K672="Significant Impact"), L672&lt;&gt;""), "Pass with Conditions", IF(OR(E672="Not Legitimate", H672="Not Necessary", K672="High Impact"), "Fail - Data Subject''s Rights Prevail", "Pass with Conditions")))</f>
        <v/>
      </c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>
        <f>IF(AND(E673="Legitimate", H673="Necessary", K673="Minimal Impact"), "Pass - Legitimate Interest Prevails", IF(AND(E673="Legitimate", H673="Necessary", OR(K673="Limited Impact", K673="Significant Impact"), L673&lt;&gt;""), "Pass with Conditions", IF(OR(E673="Not Legitimate", H673="Not Necessary", K673="High Impact"), "Fail - Data Subject''s Rights Prevail", "Pass with Conditions")))</f>
        <v/>
      </c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>
        <f>IF(AND(E674="Legitimate", H674="Necessary", K674="Minimal Impact"), "Pass - Legitimate Interest Prevails", IF(AND(E674="Legitimate", H674="Necessary", OR(K674="Limited Impact", K674="Significant Impact"), L674&lt;&gt;""), "Pass with Conditions", IF(OR(E674="Not Legitimate", H674="Not Necessary", K674="High Impact"), "Fail - Data Subject''s Rights Prevail", "Pass with Conditions")))</f>
        <v/>
      </c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>
        <f>IF(AND(E675="Legitimate", H675="Necessary", K675="Minimal Impact"), "Pass - Legitimate Interest Prevails", IF(AND(E675="Legitimate", H675="Necessary", OR(K675="Limited Impact", K675="Significant Impact"), L675&lt;&gt;""), "Pass with Conditions", IF(OR(E675="Not Legitimate", H675="Not Necessary", K675="High Impact"), "Fail - Data Subject''s Rights Prevail", "Pass with Conditions")))</f>
        <v/>
      </c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>
        <f>IF(AND(E676="Legitimate", H676="Necessary", K676="Minimal Impact"), "Pass - Legitimate Interest Prevails", IF(AND(E676="Legitimate", H676="Necessary", OR(K676="Limited Impact", K676="Significant Impact"), L676&lt;&gt;""), "Pass with Conditions", IF(OR(E676="Not Legitimate", H676="Not Necessary", K676="High Impact"), "Fail - Data Subject''s Rights Prevail", "Pass with Conditions")))</f>
        <v/>
      </c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>
        <f>IF(AND(E677="Legitimate", H677="Necessary", K677="Minimal Impact"), "Pass - Legitimate Interest Prevails", IF(AND(E677="Legitimate", H677="Necessary", OR(K677="Limited Impact", K677="Significant Impact"), L677&lt;&gt;""), "Pass with Conditions", IF(OR(E677="Not Legitimate", H677="Not Necessary", K677="High Impact"), "Fail - Data Subject''s Rights Prevail", "Pass with Conditions")))</f>
        <v/>
      </c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>
        <f>IF(AND(E678="Legitimate", H678="Necessary", K678="Minimal Impact"), "Pass - Legitimate Interest Prevails", IF(AND(E678="Legitimate", H678="Necessary", OR(K678="Limited Impact", K678="Significant Impact"), L678&lt;&gt;""), "Pass with Conditions", IF(OR(E678="Not Legitimate", H678="Not Necessary", K678="High Impact"), "Fail - Data Subject''s Rights Prevail", "Pass with Conditions")))</f>
        <v/>
      </c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>
        <f>IF(AND(E679="Legitimate", H679="Necessary", K679="Minimal Impact"), "Pass - Legitimate Interest Prevails", IF(AND(E679="Legitimate", H679="Necessary", OR(K679="Limited Impact", K679="Significant Impact"), L679&lt;&gt;""), "Pass with Conditions", IF(OR(E679="Not Legitimate", H679="Not Necessary", K679="High Impact"), "Fail - Data Subject''s Rights Prevail", "Pass with Conditions")))</f>
        <v/>
      </c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>
        <f>IF(AND(E680="Legitimate", H680="Necessary", K680="Minimal Impact"), "Pass - Legitimate Interest Prevails", IF(AND(E680="Legitimate", H680="Necessary", OR(K680="Limited Impact", K680="Significant Impact"), L680&lt;&gt;""), "Pass with Conditions", IF(OR(E680="Not Legitimate", H680="Not Necessary", K680="High Impact"), "Fail - Data Subject''s Rights Prevail", "Pass with Conditions")))</f>
        <v/>
      </c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>
        <f>IF(AND(E681="Legitimate", H681="Necessary", K681="Minimal Impact"), "Pass - Legitimate Interest Prevails", IF(AND(E681="Legitimate", H681="Necessary", OR(K681="Limited Impact", K681="Significant Impact"), L681&lt;&gt;""), "Pass with Conditions", IF(OR(E681="Not Legitimate", H681="Not Necessary", K681="High Impact"), "Fail - Data Subject''s Rights Prevail", "Pass with Conditions")))</f>
        <v/>
      </c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>
        <f>IF(AND(E682="Legitimate", H682="Necessary", K682="Minimal Impact"), "Pass - Legitimate Interest Prevails", IF(AND(E682="Legitimate", H682="Necessary", OR(K682="Limited Impact", K682="Significant Impact"), L682&lt;&gt;""), "Pass with Conditions", IF(OR(E682="Not Legitimate", H682="Not Necessary", K682="High Impact"), "Fail - Data Subject''s Rights Prevail", "Pass with Conditions")))</f>
        <v/>
      </c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>
        <f>IF(AND(E683="Legitimate", H683="Necessary", K683="Minimal Impact"), "Pass - Legitimate Interest Prevails", IF(AND(E683="Legitimate", H683="Necessary", OR(K683="Limited Impact", K683="Significant Impact"), L683&lt;&gt;""), "Pass with Conditions", IF(OR(E683="Not Legitimate", H683="Not Necessary", K683="High Impact"), "Fail - Data Subject''s Rights Prevail", "Pass with Conditions")))</f>
        <v/>
      </c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>
        <f>IF(AND(E684="Legitimate", H684="Necessary", K684="Minimal Impact"), "Pass - Legitimate Interest Prevails", IF(AND(E684="Legitimate", H684="Necessary", OR(K684="Limited Impact", K684="Significant Impact"), L684&lt;&gt;""), "Pass with Conditions", IF(OR(E684="Not Legitimate", H684="Not Necessary", K684="High Impact"), "Fail - Data Subject''s Rights Prevail", "Pass with Conditions")))</f>
        <v/>
      </c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>
        <f>IF(AND(E685="Legitimate", H685="Necessary", K685="Minimal Impact"), "Pass - Legitimate Interest Prevails", IF(AND(E685="Legitimate", H685="Necessary", OR(K685="Limited Impact", K685="Significant Impact"), L685&lt;&gt;""), "Pass with Conditions", IF(OR(E685="Not Legitimate", H685="Not Necessary", K685="High Impact"), "Fail - Data Subject''s Rights Prevail", "Pass with Conditions")))</f>
        <v/>
      </c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>
        <f>IF(AND(E686="Legitimate", H686="Necessary", K686="Minimal Impact"), "Pass - Legitimate Interest Prevails", IF(AND(E686="Legitimate", H686="Necessary", OR(K686="Limited Impact", K686="Significant Impact"), L686&lt;&gt;""), "Pass with Conditions", IF(OR(E686="Not Legitimate", H686="Not Necessary", K686="High Impact"), "Fail - Data Subject''s Rights Prevail", "Pass with Conditions")))</f>
        <v/>
      </c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>
        <f>IF(AND(E687="Legitimate", H687="Necessary", K687="Minimal Impact"), "Pass - Legitimate Interest Prevails", IF(AND(E687="Legitimate", H687="Necessary", OR(K687="Limited Impact", K687="Significant Impact"), L687&lt;&gt;""), "Pass with Conditions", IF(OR(E687="Not Legitimate", H687="Not Necessary", K687="High Impact"), "Fail - Data Subject''s Rights Prevail", "Pass with Conditions")))</f>
        <v/>
      </c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>
        <f>IF(AND(E688="Legitimate", H688="Necessary", K688="Minimal Impact"), "Pass - Legitimate Interest Prevails", IF(AND(E688="Legitimate", H688="Necessary", OR(K688="Limited Impact", K688="Significant Impact"), L688&lt;&gt;""), "Pass with Conditions", IF(OR(E688="Not Legitimate", H688="Not Necessary", K688="High Impact"), "Fail - Data Subject''s Rights Prevail", "Pass with Conditions")))</f>
        <v/>
      </c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>
        <f>IF(AND(E689="Legitimate", H689="Necessary", K689="Minimal Impact"), "Pass - Legitimate Interest Prevails", IF(AND(E689="Legitimate", H689="Necessary", OR(K689="Limited Impact", K689="Significant Impact"), L689&lt;&gt;""), "Pass with Conditions", IF(OR(E689="Not Legitimate", H689="Not Necessary", K689="High Impact"), "Fail - Data Subject''s Rights Prevail", "Pass with Conditions")))</f>
        <v/>
      </c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>
        <f>IF(AND(E690="Legitimate", H690="Necessary", K690="Minimal Impact"), "Pass - Legitimate Interest Prevails", IF(AND(E690="Legitimate", H690="Necessary", OR(K690="Limited Impact", K690="Significant Impact"), L690&lt;&gt;""), "Pass with Conditions", IF(OR(E690="Not Legitimate", H690="Not Necessary", K690="High Impact"), "Fail - Data Subject''s Rights Prevail", "Pass with Conditions")))</f>
        <v/>
      </c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>
        <f>IF(AND(E691="Legitimate", H691="Necessary", K691="Minimal Impact"), "Pass - Legitimate Interest Prevails", IF(AND(E691="Legitimate", H691="Necessary", OR(K691="Limited Impact", K691="Significant Impact"), L691&lt;&gt;""), "Pass with Conditions", IF(OR(E691="Not Legitimate", H691="Not Necessary", K691="High Impact"), "Fail - Data Subject''s Rights Prevail", "Pass with Conditions")))</f>
        <v/>
      </c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>
        <f>IF(AND(E692="Legitimate", H692="Necessary", K692="Minimal Impact"), "Pass - Legitimate Interest Prevails", IF(AND(E692="Legitimate", H692="Necessary", OR(K692="Limited Impact", K692="Significant Impact"), L692&lt;&gt;""), "Pass with Conditions", IF(OR(E692="Not Legitimate", H692="Not Necessary", K692="High Impact"), "Fail - Data Subject''s Rights Prevail", "Pass with Conditions")))</f>
        <v/>
      </c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>
        <f>IF(AND(E693="Legitimate", H693="Necessary", K693="Minimal Impact"), "Pass - Legitimate Interest Prevails", IF(AND(E693="Legitimate", H693="Necessary", OR(K693="Limited Impact", K693="Significant Impact"), L693&lt;&gt;""), "Pass with Conditions", IF(OR(E693="Not Legitimate", H693="Not Necessary", K693="High Impact"), "Fail - Data Subject''s Rights Prevail", "Pass with Conditions")))</f>
        <v/>
      </c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>
        <f>IF(AND(E694="Legitimate", H694="Necessary", K694="Minimal Impact"), "Pass - Legitimate Interest Prevails", IF(AND(E694="Legitimate", H694="Necessary", OR(K694="Limited Impact", K694="Significant Impact"), L694&lt;&gt;""), "Pass with Conditions", IF(OR(E694="Not Legitimate", H694="Not Necessary", K694="High Impact"), "Fail - Data Subject''s Rights Prevail", "Pass with Conditions")))</f>
        <v/>
      </c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>
        <f>IF(AND(E695="Legitimate", H695="Necessary", K695="Minimal Impact"), "Pass - Legitimate Interest Prevails", IF(AND(E695="Legitimate", H695="Necessary", OR(K695="Limited Impact", K695="Significant Impact"), L695&lt;&gt;""), "Pass with Conditions", IF(OR(E695="Not Legitimate", H695="Not Necessary", K695="High Impact"), "Fail - Data Subject''s Rights Prevail", "Pass with Conditions")))</f>
        <v/>
      </c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>
        <f>IF(AND(E696="Legitimate", H696="Necessary", K696="Minimal Impact"), "Pass - Legitimate Interest Prevails", IF(AND(E696="Legitimate", H696="Necessary", OR(K696="Limited Impact", K696="Significant Impact"), L696&lt;&gt;""), "Pass with Conditions", IF(OR(E696="Not Legitimate", H696="Not Necessary", K696="High Impact"), "Fail - Data Subject''s Rights Prevail", "Pass with Conditions")))</f>
        <v/>
      </c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>
        <f>IF(AND(E697="Legitimate", H697="Necessary", K697="Minimal Impact"), "Pass - Legitimate Interest Prevails", IF(AND(E697="Legitimate", H697="Necessary", OR(K697="Limited Impact", K697="Significant Impact"), L697&lt;&gt;""), "Pass with Conditions", IF(OR(E697="Not Legitimate", H697="Not Necessary", K697="High Impact"), "Fail - Data Subject''s Rights Prevail", "Pass with Conditions")))</f>
        <v/>
      </c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>
        <f>IF(AND(E698="Legitimate", H698="Necessary", K698="Minimal Impact"), "Pass - Legitimate Interest Prevails", IF(AND(E698="Legitimate", H698="Necessary", OR(K698="Limited Impact", K698="Significant Impact"), L698&lt;&gt;""), "Pass with Conditions", IF(OR(E698="Not Legitimate", H698="Not Necessary", K698="High Impact"), "Fail - Data Subject''s Rights Prevail", "Pass with Conditions")))</f>
        <v/>
      </c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>
        <f>IF(AND(E699="Legitimate", H699="Necessary", K699="Minimal Impact"), "Pass - Legitimate Interest Prevails", IF(AND(E699="Legitimate", H699="Necessary", OR(K699="Limited Impact", K699="Significant Impact"), L699&lt;&gt;""), "Pass with Conditions", IF(OR(E699="Not Legitimate", H699="Not Necessary", K699="High Impact"), "Fail - Data Subject''s Rights Prevail", "Pass with Conditions")))</f>
        <v/>
      </c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>
        <f>IF(AND(E700="Legitimate", H700="Necessary", K700="Minimal Impact"), "Pass - Legitimate Interest Prevails", IF(AND(E700="Legitimate", H700="Necessary", OR(K700="Limited Impact", K700="Significant Impact"), L700&lt;&gt;""), "Pass with Conditions", IF(OR(E700="Not Legitimate", H700="Not Necessary", K700="High Impact"), "Fail - Data Subject''s Rights Prevail", "Pass with Conditions")))</f>
        <v/>
      </c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>
        <f>IF(AND(E701="Legitimate", H701="Necessary", K701="Minimal Impact"), "Pass - Legitimate Interest Prevails", IF(AND(E701="Legitimate", H701="Necessary", OR(K701="Limited Impact", K701="Significant Impact"), L701&lt;&gt;""), "Pass with Conditions", IF(OR(E701="Not Legitimate", H701="Not Necessary", K701="High Impact"), "Fail - Data Subject''s Rights Prevail", "Pass with Conditions")))</f>
        <v/>
      </c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>
        <f>IF(AND(E702="Legitimate", H702="Necessary", K702="Minimal Impact"), "Pass - Legitimate Interest Prevails", IF(AND(E702="Legitimate", H702="Necessary", OR(K702="Limited Impact", K702="Significant Impact"), L702&lt;&gt;""), "Pass with Conditions", IF(OR(E702="Not Legitimate", H702="Not Necessary", K702="High Impact"), "Fail - Data Subject''s Rights Prevail", "Pass with Conditions")))</f>
        <v/>
      </c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>
        <f>IF(AND(E703="Legitimate", H703="Necessary", K703="Minimal Impact"), "Pass - Legitimate Interest Prevails", IF(AND(E703="Legitimate", H703="Necessary", OR(K703="Limited Impact", K703="Significant Impact"), L703&lt;&gt;""), "Pass with Conditions", IF(OR(E703="Not Legitimate", H703="Not Necessary", K703="High Impact"), "Fail - Data Subject''s Rights Prevail", "Pass with Conditions")))</f>
        <v/>
      </c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>
        <f>IF(AND(E704="Legitimate", H704="Necessary", K704="Minimal Impact"), "Pass - Legitimate Interest Prevails", IF(AND(E704="Legitimate", H704="Necessary", OR(K704="Limited Impact", K704="Significant Impact"), L704&lt;&gt;""), "Pass with Conditions", IF(OR(E704="Not Legitimate", H704="Not Necessary", K704="High Impact"), "Fail - Data Subject''s Rights Prevail", "Pass with Conditions")))</f>
        <v/>
      </c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>
        <f>IF(AND(E705="Legitimate", H705="Necessary", K705="Minimal Impact"), "Pass - Legitimate Interest Prevails", IF(AND(E705="Legitimate", H705="Necessary", OR(K705="Limited Impact", K705="Significant Impact"), L705&lt;&gt;""), "Pass with Conditions", IF(OR(E705="Not Legitimate", H705="Not Necessary", K705="High Impact"), "Fail - Data Subject''s Rights Prevail", "Pass with Conditions")))</f>
        <v/>
      </c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>
        <f>IF(AND(E706="Legitimate", H706="Necessary", K706="Minimal Impact"), "Pass - Legitimate Interest Prevails", IF(AND(E706="Legitimate", H706="Necessary", OR(K706="Limited Impact", K706="Significant Impact"), L706&lt;&gt;""), "Pass with Conditions", IF(OR(E706="Not Legitimate", H706="Not Necessary", K706="High Impact"), "Fail - Data Subject''s Rights Prevail", "Pass with Conditions")))</f>
        <v/>
      </c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>
        <f>IF(AND(E707="Legitimate", H707="Necessary", K707="Minimal Impact"), "Pass - Legitimate Interest Prevails", IF(AND(E707="Legitimate", H707="Necessary", OR(K707="Limited Impact", K707="Significant Impact"), L707&lt;&gt;""), "Pass with Conditions", IF(OR(E707="Not Legitimate", H707="Not Necessary", K707="High Impact"), "Fail - Data Subject''s Rights Prevail", "Pass with Conditions")))</f>
        <v/>
      </c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>
        <f>IF(AND(E708="Legitimate", H708="Necessary", K708="Minimal Impact"), "Pass - Legitimate Interest Prevails", IF(AND(E708="Legitimate", H708="Necessary", OR(K708="Limited Impact", K708="Significant Impact"), L708&lt;&gt;""), "Pass with Conditions", IF(OR(E708="Not Legitimate", H708="Not Necessary", K708="High Impact"), "Fail - Data Subject''s Rights Prevail", "Pass with Conditions")))</f>
        <v/>
      </c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>
        <f>IF(AND(E709="Legitimate", H709="Necessary", K709="Minimal Impact"), "Pass - Legitimate Interest Prevails", IF(AND(E709="Legitimate", H709="Necessary", OR(K709="Limited Impact", K709="Significant Impact"), L709&lt;&gt;""), "Pass with Conditions", IF(OR(E709="Not Legitimate", H709="Not Necessary", K709="High Impact"), "Fail - Data Subject''s Rights Prevail", "Pass with Conditions")))</f>
        <v/>
      </c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>
        <f>IF(AND(E710="Legitimate", H710="Necessary", K710="Minimal Impact"), "Pass - Legitimate Interest Prevails", IF(AND(E710="Legitimate", H710="Necessary", OR(K710="Limited Impact", K710="Significant Impact"), L710&lt;&gt;""), "Pass with Conditions", IF(OR(E710="Not Legitimate", H710="Not Necessary", K710="High Impact"), "Fail - Data Subject''s Rights Prevail", "Pass with Conditions")))</f>
        <v/>
      </c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>
        <f>IF(AND(E711="Legitimate", H711="Necessary", K711="Minimal Impact"), "Pass - Legitimate Interest Prevails", IF(AND(E711="Legitimate", H711="Necessary", OR(K711="Limited Impact", K711="Significant Impact"), L711&lt;&gt;""), "Pass with Conditions", IF(OR(E711="Not Legitimate", H711="Not Necessary", K711="High Impact"), "Fail - Data Subject''s Rights Prevail", "Pass with Conditions")))</f>
        <v/>
      </c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>
        <f>IF(AND(E712="Legitimate", H712="Necessary", K712="Minimal Impact"), "Pass - Legitimate Interest Prevails", IF(AND(E712="Legitimate", H712="Necessary", OR(K712="Limited Impact", K712="Significant Impact"), L712&lt;&gt;""), "Pass with Conditions", IF(OR(E712="Not Legitimate", H712="Not Necessary", K712="High Impact"), "Fail - Data Subject''s Rights Prevail", "Pass with Conditions")))</f>
        <v/>
      </c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>
        <f>IF(AND(E713="Legitimate", H713="Necessary", K713="Minimal Impact"), "Pass - Legitimate Interest Prevails", IF(AND(E713="Legitimate", H713="Necessary", OR(K713="Limited Impact", K713="Significant Impact"), L713&lt;&gt;""), "Pass with Conditions", IF(OR(E713="Not Legitimate", H713="Not Necessary", K713="High Impact"), "Fail - Data Subject''s Rights Prevail", "Pass with Conditions")))</f>
        <v/>
      </c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>
        <f>IF(AND(E714="Legitimate", H714="Necessary", K714="Minimal Impact"), "Pass - Legitimate Interest Prevails", IF(AND(E714="Legitimate", H714="Necessary", OR(K714="Limited Impact", K714="Significant Impact"), L714&lt;&gt;""), "Pass with Conditions", IF(OR(E714="Not Legitimate", H714="Not Necessary", K714="High Impact"), "Fail - Data Subject''s Rights Prevail", "Pass with Conditions")))</f>
        <v/>
      </c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>
        <f>IF(AND(E715="Legitimate", H715="Necessary", K715="Minimal Impact"), "Pass - Legitimate Interest Prevails", IF(AND(E715="Legitimate", H715="Necessary", OR(K715="Limited Impact", K715="Significant Impact"), L715&lt;&gt;""), "Pass with Conditions", IF(OR(E715="Not Legitimate", H715="Not Necessary", K715="High Impact"), "Fail - Data Subject''s Rights Prevail", "Pass with Conditions")))</f>
        <v/>
      </c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>
        <f>IF(AND(E716="Legitimate", H716="Necessary", K716="Minimal Impact"), "Pass - Legitimate Interest Prevails", IF(AND(E716="Legitimate", H716="Necessary", OR(K716="Limited Impact", K716="Significant Impact"), L716&lt;&gt;""), "Pass with Conditions", IF(OR(E716="Not Legitimate", H716="Not Necessary", K716="High Impact"), "Fail - Data Subject''s Rights Prevail", "Pass with Conditions")))</f>
        <v/>
      </c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>
        <f>IF(AND(E717="Legitimate", H717="Necessary", K717="Minimal Impact"), "Pass - Legitimate Interest Prevails", IF(AND(E717="Legitimate", H717="Necessary", OR(K717="Limited Impact", K717="Significant Impact"), L717&lt;&gt;""), "Pass with Conditions", IF(OR(E717="Not Legitimate", H717="Not Necessary", K717="High Impact"), "Fail - Data Subject''s Rights Prevail", "Pass with Conditions")))</f>
        <v/>
      </c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>
        <f>IF(AND(E718="Legitimate", H718="Necessary", K718="Minimal Impact"), "Pass - Legitimate Interest Prevails", IF(AND(E718="Legitimate", H718="Necessary", OR(K718="Limited Impact", K718="Significant Impact"), L718&lt;&gt;""), "Pass with Conditions", IF(OR(E718="Not Legitimate", H718="Not Necessary", K718="High Impact"), "Fail - Data Subject''s Rights Prevail", "Pass with Conditions")))</f>
        <v/>
      </c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>
        <f>IF(AND(E719="Legitimate", H719="Necessary", K719="Minimal Impact"), "Pass - Legitimate Interest Prevails", IF(AND(E719="Legitimate", H719="Necessary", OR(K719="Limited Impact", K719="Significant Impact"), L719&lt;&gt;""), "Pass with Conditions", IF(OR(E719="Not Legitimate", H719="Not Necessary", K719="High Impact"), "Fail - Data Subject''s Rights Prevail", "Pass with Conditions")))</f>
        <v/>
      </c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>
        <f>IF(AND(E720="Legitimate", H720="Necessary", K720="Minimal Impact"), "Pass - Legitimate Interest Prevails", IF(AND(E720="Legitimate", H720="Necessary", OR(K720="Limited Impact", K720="Significant Impact"), L720&lt;&gt;""), "Pass with Conditions", IF(OR(E720="Not Legitimate", H720="Not Necessary", K720="High Impact"), "Fail - Data Subject''s Rights Prevail", "Pass with Conditions")))</f>
        <v/>
      </c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>
        <f>IF(AND(E721="Legitimate", H721="Necessary", K721="Minimal Impact"), "Pass - Legitimate Interest Prevails", IF(AND(E721="Legitimate", H721="Necessary", OR(K721="Limited Impact", K721="Significant Impact"), L721&lt;&gt;""), "Pass with Conditions", IF(OR(E721="Not Legitimate", H721="Not Necessary", K721="High Impact"), "Fail - Data Subject''s Rights Prevail", "Pass with Conditions")))</f>
        <v/>
      </c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>
        <f>IF(AND(E722="Legitimate", H722="Necessary", K722="Minimal Impact"), "Pass - Legitimate Interest Prevails", IF(AND(E722="Legitimate", H722="Necessary", OR(K722="Limited Impact", K722="Significant Impact"), L722&lt;&gt;""), "Pass with Conditions", IF(OR(E722="Not Legitimate", H722="Not Necessary", K722="High Impact"), "Fail - Data Subject''s Rights Prevail", "Pass with Conditions")))</f>
        <v/>
      </c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>
        <f>IF(AND(E723="Legitimate", H723="Necessary", K723="Minimal Impact"), "Pass - Legitimate Interest Prevails", IF(AND(E723="Legitimate", H723="Necessary", OR(K723="Limited Impact", K723="Significant Impact"), L723&lt;&gt;""), "Pass with Conditions", IF(OR(E723="Not Legitimate", H723="Not Necessary", K723="High Impact"), "Fail - Data Subject''s Rights Prevail", "Pass with Conditions")))</f>
        <v/>
      </c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>
        <f>IF(AND(E724="Legitimate", H724="Necessary", K724="Minimal Impact"), "Pass - Legitimate Interest Prevails", IF(AND(E724="Legitimate", H724="Necessary", OR(K724="Limited Impact", K724="Significant Impact"), L724&lt;&gt;""), "Pass with Conditions", IF(OR(E724="Not Legitimate", H724="Not Necessary", K724="High Impact"), "Fail - Data Subject''s Rights Prevail", "Pass with Conditions")))</f>
        <v/>
      </c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>
        <f>IF(AND(E725="Legitimate", H725="Necessary", K725="Minimal Impact"), "Pass - Legitimate Interest Prevails", IF(AND(E725="Legitimate", H725="Necessary", OR(K725="Limited Impact", K725="Significant Impact"), L725&lt;&gt;""), "Pass with Conditions", IF(OR(E725="Not Legitimate", H725="Not Necessary", K725="High Impact"), "Fail - Data Subject''s Rights Prevail", "Pass with Conditions")))</f>
        <v/>
      </c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>
        <f>IF(AND(E726="Legitimate", H726="Necessary", K726="Minimal Impact"), "Pass - Legitimate Interest Prevails", IF(AND(E726="Legitimate", H726="Necessary", OR(K726="Limited Impact", K726="Significant Impact"), L726&lt;&gt;""), "Pass with Conditions", IF(OR(E726="Not Legitimate", H726="Not Necessary", K726="High Impact"), "Fail - Data Subject''s Rights Prevail", "Pass with Conditions")))</f>
        <v/>
      </c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>
        <f>IF(AND(E727="Legitimate", H727="Necessary", K727="Minimal Impact"), "Pass - Legitimate Interest Prevails", IF(AND(E727="Legitimate", H727="Necessary", OR(K727="Limited Impact", K727="Significant Impact"), L727&lt;&gt;""), "Pass with Conditions", IF(OR(E727="Not Legitimate", H727="Not Necessary", K727="High Impact"), "Fail - Data Subject''s Rights Prevail", "Pass with Conditions")))</f>
        <v/>
      </c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>
        <f>IF(AND(E728="Legitimate", H728="Necessary", K728="Minimal Impact"), "Pass - Legitimate Interest Prevails", IF(AND(E728="Legitimate", H728="Necessary", OR(K728="Limited Impact", K728="Significant Impact"), L728&lt;&gt;""), "Pass with Conditions", IF(OR(E728="Not Legitimate", H728="Not Necessary", K728="High Impact"), "Fail - Data Subject''s Rights Prevail", "Pass with Conditions")))</f>
        <v/>
      </c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>
        <f>IF(AND(E729="Legitimate", H729="Necessary", K729="Minimal Impact"), "Pass - Legitimate Interest Prevails", IF(AND(E729="Legitimate", H729="Necessary", OR(K729="Limited Impact", K729="Significant Impact"), L729&lt;&gt;""), "Pass with Conditions", IF(OR(E729="Not Legitimate", H729="Not Necessary", K729="High Impact"), "Fail - Data Subject''s Rights Prevail", "Pass with Conditions")))</f>
        <v/>
      </c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>
        <f>IF(AND(E730="Legitimate", H730="Necessary", K730="Minimal Impact"), "Pass - Legitimate Interest Prevails", IF(AND(E730="Legitimate", H730="Necessary", OR(K730="Limited Impact", K730="Significant Impact"), L730&lt;&gt;""), "Pass with Conditions", IF(OR(E730="Not Legitimate", H730="Not Necessary", K730="High Impact"), "Fail - Data Subject''s Rights Prevail", "Pass with Conditions")))</f>
        <v/>
      </c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>
        <f>IF(AND(E731="Legitimate", H731="Necessary", K731="Minimal Impact"), "Pass - Legitimate Interest Prevails", IF(AND(E731="Legitimate", H731="Necessary", OR(K731="Limited Impact", K731="Significant Impact"), L731&lt;&gt;""), "Pass with Conditions", IF(OR(E731="Not Legitimate", H731="Not Necessary", K731="High Impact"), "Fail - Data Subject''s Rights Prevail", "Pass with Conditions")))</f>
        <v/>
      </c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>
        <f>IF(AND(E732="Legitimate", H732="Necessary", K732="Minimal Impact"), "Pass - Legitimate Interest Prevails", IF(AND(E732="Legitimate", H732="Necessary", OR(K732="Limited Impact", K732="Significant Impact"), L732&lt;&gt;""), "Pass with Conditions", IF(OR(E732="Not Legitimate", H732="Not Necessary", K732="High Impact"), "Fail - Data Subject''s Rights Prevail", "Pass with Conditions")))</f>
        <v/>
      </c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>
        <f>IF(AND(E733="Legitimate", H733="Necessary", K733="Minimal Impact"), "Pass - Legitimate Interest Prevails", IF(AND(E733="Legitimate", H733="Necessary", OR(K733="Limited Impact", K733="Significant Impact"), L733&lt;&gt;""), "Pass with Conditions", IF(OR(E733="Not Legitimate", H733="Not Necessary", K733="High Impact"), "Fail - Data Subject''s Rights Prevail", "Pass with Conditions")))</f>
        <v/>
      </c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>
        <f>IF(AND(E734="Legitimate", H734="Necessary", K734="Minimal Impact"), "Pass - Legitimate Interest Prevails", IF(AND(E734="Legitimate", H734="Necessary", OR(K734="Limited Impact", K734="Significant Impact"), L734&lt;&gt;""), "Pass with Conditions", IF(OR(E734="Not Legitimate", H734="Not Necessary", K734="High Impact"), "Fail - Data Subject''s Rights Prevail", "Pass with Conditions")))</f>
        <v/>
      </c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>
        <f>IF(AND(E735="Legitimate", H735="Necessary", K735="Minimal Impact"), "Pass - Legitimate Interest Prevails", IF(AND(E735="Legitimate", H735="Necessary", OR(K735="Limited Impact", K735="Significant Impact"), L735&lt;&gt;""), "Pass with Conditions", IF(OR(E735="Not Legitimate", H735="Not Necessary", K735="High Impact"), "Fail - Data Subject''s Rights Prevail", "Pass with Conditions")))</f>
        <v/>
      </c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>
        <f>IF(AND(E736="Legitimate", H736="Necessary", K736="Minimal Impact"), "Pass - Legitimate Interest Prevails", IF(AND(E736="Legitimate", H736="Necessary", OR(K736="Limited Impact", K736="Significant Impact"), L736&lt;&gt;""), "Pass with Conditions", IF(OR(E736="Not Legitimate", H736="Not Necessary", K736="High Impact"), "Fail - Data Subject''s Rights Prevail", "Pass with Conditions")))</f>
        <v/>
      </c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>
        <f>IF(AND(E737="Legitimate", H737="Necessary", K737="Minimal Impact"), "Pass - Legitimate Interest Prevails", IF(AND(E737="Legitimate", H737="Necessary", OR(K737="Limited Impact", K737="Significant Impact"), L737&lt;&gt;""), "Pass with Conditions", IF(OR(E737="Not Legitimate", H737="Not Necessary", K737="High Impact"), "Fail - Data Subject''s Rights Prevail", "Pass with Conditions")))</f>
        <v/>
      </c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>
        <f>IF(AND(E738="Legitimate", H738="Necessary", K738="Minimal Impact"), "Pass - Legitimate Interest Prevails", IF(AND(E738="Legitimate", H738="Necessary", OR(K738="Limited Impact", K738="Significant Impact"), L738&lt;&gt;""), "Pass with Conditions", IF(OR(E738="Not Legitimate", H738="Not Necessary", K738="High Impact"), "Fail - Data Subject''s Rights Prevail", "Pass with Conditions")))</f>
        <v/>
      </c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>
        <f>IF(AND(E739="Legitimate", H739="Necessary", K739="Minimal Impact"), "Pass - Legitimate Interest Prevails", IF(AND(E739="Legitimate", H739="Necessary", OR(K739="Limited Impact", K739="Significant Impact"), L739&lt;&gt;""), "Pass with Conditions", IF(OR(E739="Not Legitimate", H739="Not Necessary", K739="High Impact"), "Fail - Data Subject''s Rights Prevail", "Pass with Conditions")))</f>
        <v/>
      </c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>
        <f>IF(AND(E740="Legitimate", H740="Necessary", K740="Minimal Impact"), "Pass - Legitimate Interest Prevails", IF(AND(E740="Legitimate", H740="Necessary", OR(K740="Limited Impact", K740="Significant Impact"), L740&lt;&gt;""), "Pass with Conditions", IF(OR(E740="Not Legitimate", H740="Not Necessary", K740="High Impact"), "Fail - Data Subject''s Rights Prevail", "Pass with Conditions")))</f>
        <v/>
      </c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>
        <f>IF(AND(E741="Legitimate", H741="Necessary", K741="Minimal Impact"), "Pass - Legitimate Interest Prevails", IF(AND(E741="Legitimate", H741="Necessary", OR(K741="Limited Impact", K741="Significant Impact"), L741&lt;&gt;""), "Pass with Conditions", IF(OR(E741="Not Legitimate", H741="Not Necessary", K741="High Impact"), "Fail - Data Subject''s Rights Prevail", "Pass with Conditions")))</f>
        <v/>
      </c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>
        <f>IF(AND(E742="Legitimate", H742="Necessary", K742="Minimal Impact"), "Pass - Legitimate Interest Prevails", IF(AND(E742="Legitimate", H742="Necessary", OR(K742="Limited Impact", K742="Significant Impact"), L742&lt;&gt;""), "Pass with Conditions", IF(OR(E742="Not Legitimate", H742="Not Necessary", K742="High Impact"), "Fail - Data Subject''s Rights Prevail", "Pass with Conditions")))</f>
        <v/>
      </c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>
        <f>IF(AND(E743="Legitimate", H743="Necessary", K743="Minimal Impact"), "Pass - Legitimate Interest Prevails", IF(AND(E743="Legitimate", H743="Necessary", OR(K743="Limited Impact", K743="Significant Impact"), L743&lt;&gt;""), "Pass with Conditions", IF(OR(E743="Not Legitimate", H743="Not Necessary", K743="High Impact"), "Fail - Data Subject''s Rights Prevail", "Pass with Conditions")))</f>
        <v/>
      </c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>
        <f>IF(AND(E744="Legitimate", H744="Necessary", K744="Minimal Impact"), "Pass - Legitimate Interest Prevails", IF(AND(E744="Legitimate", H744="Necessary", OR(K744="Limited Impact", K744="Significant Impact"), L744&lt;&gt;""), "Pass with Conditions", IF(OR(E744="Not Legitimate", H744="Not Necessary", K744="High Impact"), "Fail - Data Subject''s Rights Prevail", "Pass with Conditions")))</f>
        <v/>
      </c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>
        <f>IF(AND(E745="Legitimate", H745="Necessary", K745="Minimal Impact"), "Pass - Legitimate Interest Prevails", IF(AND(E745="Legitimate", H745="Necessary", OR(K745="Limited Impact", K745="Significant Impact"), L745&lt;&gt;""), "Pass with Conditions", IF(OR(E745="Not Legitimate", H745="Not Necessary", K745="High Impact"), "Fail - Data Subject''s Rights Prevail", "Pass with Conditions")))</f>
        <v/>
      </c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>
        <f>IF(AND(E746="Legitimate", H746="Necessary", K746="Minimal Impact"), "Pass - Legitimate Interest Prevails", IF(AND(E746="Legitimate", H746="Necessary", OR(K746="Limited Impact", K746="Significant Impact"), L746&lt;&gt;""), "Pass with Conditions", IF(OR(E746="Not Legitimate", H746="Not Necessary", K746="High Impact"), "Fail - Data Subject''s Rights Prevail", "Pass with Conditions")))</f>
        <v/>
      </c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>
        <f>IF(AND(E747="Legitimate", H747="Necessary", K747="Minimal Impact"), "Pass - Legitimate Interest Prevails", IF(AND(E747="Legitimate", H747="Necessary", OR(K747="Limited Impact", K747="Significant Impact"), L747&lt;&gt;""), "Pass with Conditions", IF(OR(E747="Not Legitimate", H747="Not Necessary", K747="High Impact"), "Fail - Data Subject''s Rights Prevail", "Pass with Conditions")))</f>
        <v/>
      </c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>
        <f>IF(AND(E748="Legitimate", H748="Necessary", K748="Minimal Impact"), "Pass - Legitimate Interest Prevails", IF(AND(E748="Legitimate", H748="Necessary", OR(K748="Limited Impact", K748="Significant Impact"), L748&lt;&gt;""), "Pass with Conditions", IF(OR(E748="Not Legitimate", H748="Not Necessary", K748="High Impact"), "Fail - Data Subject''s Rights Prevail", "Pass with Conditions")))</f>
        <v/>
      </c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>
        <f>IF(AND(E749="Legitimate", H749="Necessary", K749="Minimal Impact"), "Pass - Legitimate Interest Prevails", IF(AND(E749="Legitimate", H749="Necessary", OR(K749="Limited Impact", K749="Significant Impact"), L749&lt;&gt;""), "Pass with Conditions", IF(OR(E749="Not Legitimate", H749="Not Necessary", K749="High Impact"), "Fail - Data Subject''s Rights Prevail", "Pass with Conditions")))</f>
        <v/>
      </c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>
        <f>IF(AND(E750="Legitimate", H750="Necessary", K750="Minimal Impact"), "Pass - Legitimate Interest Prevails", IF(AND(E750="Legitimate", H750="Necessary", OR(K750="Limited Impact", K750="Significant Impact"), L750&lt;&gt;""), "Pass with Conditions", IF(OR(E750="Not Legitimate", H750="Not Necessary", K750="High Impact"), "Fail - Data Subject''s Rights Prevail", "Pass with Conditions")))</f>
        <v/>
      </c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>
        <f>IF(AND(E751="Legitimate", H751="Necessary", K751="Minimal Impact"), "Pass - Legitimate Interest Prevails", IF(AND(E751="Legitimate", H751="Necessary", OR(K751="Limited Impact", K751="Significant Impact"), L751&lt;&gt;""), "Pass with Conditions", IF(OR(E751="Not Legitimate", H751="Not Necessary", K751="High Impact"), "Fail - Data Subject''s Rights Prevail", "Pass with Conditions")))</f>
        <v/>
      </c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>
        <f>IF(AND(E752="Legitimate", H752="Necessary", K752="Minimal Impact"), "Pass - Legitimate Interest Prevails", IF(AND(E752="Legitimate", H752="Necessary", OR(K752="Limited Impact", K752="Significant Impact"), L752&lt;&gt;""), "Pass with Conditions", IF(OR(E752="Not Legitimate", H752="Not Necessary", K752="High Impact"), "Fail - Data Subject''s Rights Prevail", "Pass with Conditions")))</f>
        <v/>
      </c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>
        <f>IF(AND(E753="Legitimate", H753="Necessary", K753="Minimal Impact"), "Pass - Legitimate Interest Prevails", IF(AND(E753="Legitimate", H753="Necessary", OR(K753="Limited Impact", K753="Significant Impact"), L753&lt;&gt;""), "Pass with Conditions", IF(OR(E753="Not Legitimate", H753="Not Necessary", K753="High Impact"), "Fail - Data Subject''s Rights Prevail", "Pass with Conditions")))</f>
        <v/>
      </c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>
        <f>IF(AND(E754="Legitimate", H754="Necessary", K754="Minimal Impact"), "Pass - Legitimate Interest Prevails", IF(AND(E754="Legitimate", H754="Necessary", OR(K754="Limited Impact", K754="Significant Impact"), L754&lt;&gt;""), "Pass with Conditions", IF(OR(E754="Not Legitimate", H754="Not Necessary", K754="High Impact"), "Fail - Data Subject''s Rights Prevail", "Pass with Conditions")))</f>
        <v/>
      </c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>
        <f>IF(AND(E755="Legitimate", H755="Necessary", K755="Minimal Impact"), "Pass - Legitimate Interest Prevails", IF(AND(E755="Legitimate", H755="Necessary", OR(K755="Limited Impact", K755="Significant Impact"), L755&lt;&gt;""), "Pass with Conditions", IF(OR(E755="Not Legitimate", H755="Not Necessary", K755="High Impact"), "Fail - Data Subject''s Rights Prevail", "Pass with Conditions")))</f>
        <v/>
      </c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>
        <f>IF(AND(E756="Legitimate", H756="Necessary", K756="Minimal Impact"), "Pass - Legitimate Interest Prevails", IF(AND(E756="Legitimate", H756="Necessary", OR(K756="Limited Impact", K756="Significant Impact"), L756&lt;&gt;""), "Pass with Conditions", IF(OR(E756="Not Legitimate", H756="Not Necessary", K756="High Impact"), "Fail - Data Subject''s Rights Prevail", "Pass with Conditions")))</f>
        <v/>
      </c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>
        <f>IF(AND(E757="Legitimate", H757="Necessary", K757="Minimal Impact"), "Pass - Legitimate Interest Prevails", IF(AND(E757="Legitimate", H757="Necessary", OR(K757="Limited Impact", K757="Significant Impact"), L757&lt;&gt;""), "Pass with Conditions", IF(OR(E757="Not Legitimate", H757="Not Necessary", K757="High Impact"), "Fail - Data Subject''s Rights Prevail", "Pass with Conditions")))</f>
        <v/>
      </c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>
        <f>IF(AND(E758="Legitimate", H758="Necessary", K758="Minimal Impact"), "Pass - Legitimate Interest Prevails", IF(AND(E758="Legitimate", H758="Necessary", OR(K758="Limited Impact", K758="Significant Impact"), L758&lt;&gt;""), "Pass with Conditions", IF(OR(E758="Not Legitimate", H758="Not Necessary", K758="High Impact"), "Fail - Data Subject''s Rights Prevail", "Pass with Conditions")))</f>
        <v/>
      </c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>
        <f>IF(AND(E759="Legitimate", H759="Necessary", K759="Minimal Impact"), "Pass - Legitimate Interest Prevails", IF(AND(E759="Legitimate", H759="Necessary", OR(K759="Limited Impact", K759="Significant Impact"), L759&lt;&gt;""), "Pass with Conditions", IF(OR(E759="Not Legitimate", H759="Not Necessary", K759="High Impact"), "Fail - Data Subject''s Rights Prevail", "Pass with Conditions")))</f>
        <v/>
      </c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>
        <f>IF(AND(E760="Legitimate", H760="Necessary", K760="Minimal Impact"), "Pass - Legitimate Interest Prevails", IF(AND(E760="Legitimate", H760="Necessary", OR(K760="Limited Impact", K760="Significant Impact"), L760&lt;&gt;""), "Pass with Conditions", IF(OR(E760="Not Legitimate", H760="Not Necessary", K760="High Impact"), "Fail - Data Subject''s Rights Prevail", "Pass with Conditions")))</f>
        <v/>
      </c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>
        <f>IF(AND(E761="Legitimate", H761="Necessary", K761="Minimal Impact"), "Pass - Legitimate Interest Prevails", IF(AND(E761="Legitimate", H761="Necessary", OR(K761="Limited Impact", K761="Significant Impact"), L761&lt;&gt;""), "Pass with Conditions", IF(OR(E761="Not Legitimate", H761="Not Necessary", K761="High Impact"), "Fail - Data Subject''s Rights Prevail", "Pass with Conditions")))</f>
        <v/>
      </c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>
        <f>IF(AND(E762="Legitimate", H762="Necessary", K762="Minimal Impact"), "Pass - Legitimate Interest Prevails", IF(AND(E762="Legitimate", H762="Necessary", OR(K762="Limited Impact", K762="Significant Impact"), L762&lt;&gt;""), "Pass with Conditions", IF(OR(E762="Not Legitimate", H762="Not Necessary", K762="High Impact"), "Fail - Data Subject''s Rights Prevail", "Pass with Conditions")))</f>
        <v/>
      </c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>
        <f>IF(AND(E763="Legitimate", H763="Necessary", K763="Minimal Impact"), "Pass - Legitimate Interest Prevails", IF(AND(E763="Legitimate", H763="Necessary", OR(K763="Limited Impact", K763="Significant Impact"), L763&lt;&gt;""), "Pass with Conditions", IF(OR(E763="Not Legitimate", H763="Not Necessary", K763="High Impact"), "Fail - Data Subject''s Rights Prevail", "Pass with Conditions")))</f>
        <v/>
      </c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>
        <f>IF(AND(E764="Legitimate", H764="Necessary", K764="Minimal Impact"), "Pass - Legitimate Interest Prevails", IF(AND(E764="Legitimate", H764="Necessary", OR(K764="Limited Impact", K764="Significant Impact"), L764&lt;&gt;""), "Pass with Conditions", IF(OR(E764="Not Legitimate", H764="Not Necessary", K764="High Impact"), "Fail - Data Subject''s Rights Prevail", "Pass with Conditions")))</f>
        <v/>
      </c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>
        <f>IF(AND(E765="Legitimate", H765="Necessary", K765="Minimal Impact"), "Pass - Legitimate Interest Prevails", IF(AND(E765="Legitimate", H765="Necessary", OR(K765="Limited Impact", K765="Significant Impact"), L765&lt;&gt;""), "Pass with Conditions", IF(OR(E765="Not Legitimate", H765="Not Necessary", K765="High Impact"), "Fail - Data Subject''s Rights Prevail", "Pass with Conditions")))</f>
        <v/>
      </c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>
        <f>IF(AND(E766="Legitimate", H766="Necessary", K766="Minimal Impact"), "Pass - Legitimate Interest Prevails", IF(AND(E766="Legitimate", H766="Necessary", OR(K766="Limited Impact", K766="Significant Impact"), L766&lt;&gt;""), "Pass with Conditions", IF(OR(E766="Not Legitimate", H766="Not Necessary", K766="High Impact"), "Fail - Data Subject''s Rights Prevail", "Pass with Conditions")))</f>
        <v/>
      </c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>
        <f>IF(AND(E767="Legitimate", H767="Necessary", K767="Minimal Impact"), "Pass - Legitimate Interest Prevails", IF(AND(E767="Legitimate", H767="Necessary", OR(K767="Limited Impact", K767="Significant Impact"), L767&lt;&gt;""), "Pass with Conditions", IF(OR(E767="Not Legitimate", H767="Not Necessary", K767="High Impact"), "Fail - Data Subject''s Rights Prevail", "Pass with Conditions")))</f>
        <v/>
      </c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>
        <f>IF(AND(E768="Legitimate", H768="Necessary", K768="Minimal Impact"), "Pass - Legitimate Interest Prevails", IF(AND(E768="Legitimate", H768="Necessary", OR(K768="Limited Impact", K768="Significant Impact"), L768&lt;&gt;""), "Pass with Conditions", IF(OR(E768="Not Legitimate", H768="Not Necessary", K768="High Impact"), "Fail - Data Subject''s Rights Prevail", "Pass with Conditions")))</f>
        <v/>
      </c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>
        <f>IF(AND(E769="Legitimate", H769="Necessary", K769="Minimal Impact"), "Pass - Legitimate Interest Prevails", IF(AND(E769="Legitimate", H769="Necessary", OR(K769="Limited Impact", K769="Significant Impact"), L769&lt;&gt;""), "Pass with Conditions", IF(OR(E769="Not Legitimate", H769="Not Necessary", K769="High Impact"), "Fail - Data Subject''s Rights Prevail", "Pass with Conditions")))</f>
        <v/>
      </c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>
        <f>IF(AND(E770="Legitimate", H770="Necessary", K770="Minimal Impact"), "Pass - Legitimate Interest Prevails", IF(AND(E770="Legitimate", H770="Necessary", OR(K770="Limited Impact", K770="Significant Impact"), L770&lt;&gt;""), "Pass with Conditions", IF(OR(E770="Not Legitimate", H770="Not Necessary", K770="High Impact"), "Fail - Data Subject''s Rights Prevail", "Pass with Conditions")))</f>
        <v/>
      </c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>
        <f>IF(AND(E771="Legitimate", H771="Necessary", K771="Minimal Impact"), "Pass - Legitimate Interest Prevails", IF(AND(E771="Legitimate", H771="Necessary", OR(K771="Limited Impact", K771="Significant Impact"), L771&lt;&gt;""), "Pass with Conditions", IF(OR(E771="Not Legitimate", H771="Not Necessary", K771="High Impact"), "Fail - Data Subject''s Rights Prevail", "Pass with Conditions")))</f>
        <v/>
      </c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>
        <f>IF(AND(E772="Legitimate", H772="Necessary", K772="Minimal Impact"), "Pass - Legitimate Interest Prevails", IF(AND(E772="Legitimate", H772="Necessary", OR(K772="Limited Impact", K772="Significant Impact"), L772&lt;&gt;""), "Pass with Conditions", IF(OR(E772="Not Legitimate", H772="Not Necessary", K772="High Impact"), "Fail - Data Subject''s Rights Prevail", "Pass with Conditions")))</f>
        <v/>
      </c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>
        <f>IF(AND(E773="Legitimate", H773="Necessary", K773="Minimal Impact"), "Pass - Legitimate Interest Prevails", IF(AND(E773="Legitimate", H773="Necessary", OR(K773="Limited Impact", K773="Significant Impact"), L773&lt;&gt;""), "Pass with Conditions", IF(OR(E773="Not Legitimate", H773="Not Necessary", K773="High Impact"), "Fail - Data Subject''s Rights Prevail", "Pass with Conditions")))</f>
        <v/>
      </c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>
        <f>IF(AND(E774="Legitimate", H774="Necessary", K774="Minimal Impact"), "Pass - Legitimate Interest Prevails", IF(AND(E774="Legitimate", H774="Necessary", OR(K774="Limited Impact", K774="Significant Impact"), L774&lt;&gt;""), "Pass with Conditions", IF(OR(E774="Not Legitimate", H774="Not Necessary", K774="High Impact"), "Fail - Data Subject''s Rights Prevail", "Pass with Conditions")))</f>
        <v/>
      </c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>
        <f>IF(AND(E775="Legitimate", H775="Necessary", K775="Minimal Impact"), "Pass - Legitimate Interest Prevails", IF(AND(E775="Legitimate", H775="Necessary", OR(K775="Limited Impact", K775="Significant Impact"), L775&lt;&gt;""), "Pass with Conditions", IF(OR(E775="Not Legitimate", H775="Not Necessary", K775="High Impact"), "Fail - Data Subject''s Rights Prevail", "Pass with Conditions")))</f>
        <v/>
      </c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>
        <f>IF(AND(E776="Legitimate", H776="Necessary", K776="Minimal Impact"), "Pass - Legitimate Interest Prevails", IF(AND(E776="Legitimate", H776="Necessary", OR(K776="Limited Impact", K776="Significant Impact"), L776&lt;&gt;""), "Pass with Conditions", IF(OR(E776="Not Legitimate", H776="Not Necessary", K776="High Impact"), "Fail - Data Subject''s Rights Prevail", "Pass with Conditions")))</f>
        <v/>
      </c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>
        <f>IF(AND(E777="Legitimate", H777="Necessary", K777="Minimal Impact"), "Pass - Legitimate Interest Prevails", IF(AND(E777="Legitimate", H777="Necessary", OR(K777="Limited Impact", K777="Significant Impact"), L777&lt;&gt;""), "Pass with Conditions", IF(OR(E777="Not Legitimate", H777="Not Necessary", K777="High Impact"), "Fail - Data Subject''s Rights Prevail", "Pass with Conditions")))</f>
        <v/>
      </c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>
        <f>IF(AND(E778="Legitimate", H778="Necessary", K778="Minimal Impact"), "Pass - Legitimate Interest Prevails", IF(AND(E778="Legitimate", H778="Necessary", OR(K778="Limited Impact", K778="Significant Impact"), L778&lt;&gt;""), "Pass with Conditions", IF(OR(E778="Not Legitimate", H778="Not Necessary", K778="High Impact"), "Fail - Data Subject''s Rights Prevail", "Pass with Conditions")))</f>
        <v/>
      </c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>
        <f>IF(AND(E779="Legitimate", H779="Necessary", K779="Minimal Impact"), "Pass - Legitimate Interest Prevails", IF(AND(E779="Legitimate", H779="Necessary", OR(K779="Limited Impact", K779="Significant Impact"), L779&lt;&gt;""), "Pass with Conditions", IF(OR(E779="Not Legitimate", H779="Not Necessary", K779="High Impact"), "Fail - Data Subject''s Rights Prevail", "Pass with Conditions")))</f>
        <v/>
      </c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>
        <f>IF(AND(E780="Legitimate", H780="Necessary", K780="Minimal Impact"), "Pass - Legitimate Interest Prevails", IF(AND(E780="Legitimate", H780="Necessary", OR(K780="Limited Impact", K780="Significant Impact"), L780&lt;&gt;""), "Pass with Conditions", IF(OR(E780="Not Legitimate", H780="Not Necessary", K780="High Impact"), "Fail - Data Subject''s Rights Prevail", "Pass with Conditions")))</f>
        <v/>
      </c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>
        <f>IF(AND(E781="Legitimate", H781="Necessary", K781="Minimal Impact"), "Pass - Legitimate Interest Prevails", IF(AND(E781="Legitimate", H781="Necessary", OR(K781="Limited Impact", K781="Significant Impact"), L781&lt;&gt;""), "Pass with Conditions", IF(OR(E781="Not Legitimate", H781="Not Necessary", K781="High Impact"), "Fail - Data Subject''s Rights Prevail", "Pass with Conditions")))</f>
        <v/>
      </c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>
        <f>IF(AND(E782="Legitimate", H782="Necessary", K782="Minimal Impact"), "Pass - Legitimate Interest Prevails", IF(AND(E782="Legitimate", H782="Necessary", OR(K782="Limited Impact", K782="Significant Impact"), L782&lt;&gt;""), "Pass with Conditions", IF(OR(E782="Not Legitimate", H782="Not Necessary", K782="High Impact"), "Fail - Data Subject''s Rights Prevail", "Pass with Conditions")))</f>
        <v/>
      </c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>
        <f>IF(AND(E783="Legitimate", H783="Necessary", K783="Minimal Impact"), "Pass - Legitimate Interest Prevails", IF(AND(E783="Legitimate", H783="Necessary", OR(K783="Limited Impact", K783="Significant Impact"), L783&lt;&gt;""), "Pass with Conditions", IF(OR(E783="Not Legitimate", H783="Not Necessary", K783="High Impact"), "Fail - Data Subject''s Rights Prevail", "Pass with Conditions")))</f>
        <v/>
      </c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>
        <f>IF(AND(E784="Legitimate", H784="Necessary", K784="Minimal Impact"), "Pass - Legitimate Interest Prevails", IF(AND(E784="Legitimate", H784="Necessary", OR(K784="Limited Impact", K784="Significant Impact"), L784&lt;&gt;""), "Pass with Conditions", IF(OR(E784="Not Legitimate", H784="Not Necessary", K784="High Impact"), "Fail - Data Subject''s Rights Prevail", "Pass with Conditions")))</f>
        <v/>
      </c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>
        <f>IF(AND(E785="Legitimate", H785="Necessary", K785="Minimal Impact"), "Pass - Legitimate Interest Prevails", IF(AND(E785="Legitimate", H785="Necessary", OR(K785="Limited Impact", K785="Significant Impact"), L785&lt;&gt;""), "Pass with Conditions", IF(OR(E785="Not Legitimate", H785="Not Necessary", K785="High Impact"), "Fail - Data Subject''s Rights Prevail", "Pass with Conditions")))</f>
        <v/>
      </c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>
        <f>IF(AND(E786="Legitimate", H786="Necessary", K786="Minimal Impact"), "Pass - Legitimate Interest Prevails", IF(AND(E786="Legitimate", H786="Necessary", OR(K786="Limited Impact", K786="Significant Impact"), L786&lt;&gt;""), "Pass with Conditions", IF(OR(E786="Not Legitimate", H786="Not Necessary", K786="High Impact"), "Fail - Data Subject''s Rights Prevail", "Pass with Conditions")))</f>
        <v/>
      </c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>
        <f>IF(AND(E787="Legitimate", H787="Necessary", K787="Minimal Impact"), "Pass - Legitimate Interest Prevails", IF(AND(E787="Legitimate", H787="Necessary", OR(K787="Limited Impact", K787="Significant Impact"), L787&lt;&gt;""), "Pass with Conditions", IF(OR(E787="Not Legitimate", H787="Not Necessary", K787="High Impact"), "Fail - Data Subject''s Rights Prevail", "Pass with Conditions")))</f>
        <v/>
      </c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>
        <f>IF(AND(E788="Legitimate", H788="Necessary", K788="Minimal Impact"), "Pass - Legitimate Interest Prevails", IF(AND(E788="Legitimate", H788="Necessary", OR(K788="Limited Impact", K788="Significant Impact"), L788&lt;&gt;""), "Pass with Conditions", IF(OR(E788="Not Legitimate", H788="Not Necessary", K788="High Impact"), "Fail - Data Subject''s Rights Prevail", "Pass with Conditions")))</f>
        <v/>
      </c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>
        <f>IF(AND(E789="Legitimate", H789="Necessary", K789="Minimal Impact"), "Pass - Legitimate Interest Prevails", IF(AND(E789="Legitimate", H789="Necessary", OR(K789="Limited Impact", K789="Significant Impact"), L789&lt;&gt;""), "Pass with Conditions", IF(OR(E789="Not Legitimate", H789="Not Necessary", K789="High Impact"), "Fail - Data Subject''s Rights Prevail", "Pass with Conditions")))</f>
        <v/>
      </c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>
        <f>IF(AND(E790="Legitimate", H790="Necessary", K790="Minimal Impact"), "Pass - Legitimate Interest Prevails", IF(AND(E790="Legitimate", H790="Necessary", OR(K790="Limited Impact", K790="Significant Impact"), L790&lt;&gt;""), "Pass with Conditions", IF(OR(E790="Not Legitimate", H790="Not Necessary", K790="High Impact"), "Fail - Data Subject''s Rights Prevail", "Pass with Conditions")))</f>
        <v/>
      </c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>
        <f>IF(AND(E791="Legitimate", H791="Necessary", K791="Minimal Impact"), "Pass - Legitimate Interest Prevails", IF(AND(E791="Legitimate", H791="Necessary", OR(K791="Limited Impact", K791="Significant Impact"), L791&lt;&gt;""), "Pass with Conditions", IF(OR(E791="Not Legitimate", H791="Not Necessary", K791="High Impact"), "Fail - Data Subject''s Rights Prevail", "Pass with Conditions")))</f>
        <v/>
      </c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>
        <f>IF(AND(E792="Legitimate", H792="Necessary", K792="Minimal Impact"), "Pass - Legitimate Interest Prevails", IF(AND(E792="Legitimate", H792="Necessary", OR(K792="Limited Impact", K792="Significant Impact"), L792&lt;&gt;""), "Pass with Conditions", IF(OR(E792="Not Legitimate", H792="Not Necessary", K792="High Impact"), "Fail - Data Subject''s Rights Prevail", "Pass with Conditions")))</f>
        <v/>
      </c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>
        <f>IF(AND(E793="Legitimate", H793="Necessary", K793="Minimal Impact"), "Pass - Legitimate Interest Prevails", IF(AND(E793="Legitimate", H793="Necessary", OR(K793="Limited Impact", K793="Significant Impact"), L793&lt;&gt;""), "Pass with Conditions", IF(OR(E793="Not Legitimate", H793="Not Necessary", K793="High Impact"), "Fail - Data Subject''s Rights Prevail", "Pass with Conditions")))</f>
        <v/>
      </c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>
        <f>IF(AND(E794="Legitimate", H794="Necessary", K794="Minimal Impact"), "Pass - Legitimate Interest Prevails", IF(AND(E794="Legitimate", H794="Necessary", OR(K794="Limited Impact", K794="Significant Impact"), L794&lt;&gt;""), "Pass with Conditions", IF(OR(E794="Not Legitimate", H794="Not Necessary", K794="High Impact"), "Fail - Data Subject''s Rights Prevail", "Pass with Conditions")))</f>
        <v/>
      </c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>
        <f>IF(AND(E795="Legitimate", H795="Necessary", K795="Minimal Impact"), "Pass - Legitimate Interest Prevails", IF(AND(E795="Legitimate", H795="Necessary", OR(K795="Limited Impact", K795="Significant Impact"), L795&lt;&gt;""), "Pass with Conditions", IF(OR(E795="Not Legitimate", H795="Not Necessary", K795="High Impact"), "Fail - Data Subject''s Rights Prevail", "Pass with Conditions")))</f>
        <v/>
      </c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>
        <f>IF(AND(E796="Legitimate", H796="Necessary", K796="Minimal Impact"), "Pass - Legitimate Interest Prevails", IF(AND(E796="Legitimate", H796="Necessary", OR(K796="Limited Impact", K796="Significant Impact"), L796&lt;&gt;""), "Pass with Conditions", IF(OR(E796="Not Legitimate", H796="Not Necessary", K796="High Impact"), "Fail - Data Subject''s Rights Prevail", "Pass with Conditions")))</f>
        <v/>
      </c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>
        <f>IF(AND(E797="Legitimate", H797="Necessary", K797="Minimal Impact"), "Pass - Legitimate Interest Prevails", IF(AND(E797="Legitimate", H797="Necessary", OR(K797="Limited Impact", K797="Significant Impact"), L797&lt;&gt;""), "Pass with Conditions", IF(OR(E797="Not Legitimate", H797="Not Necessary", K797="High Impact"), "Fail - Data Subject''s Rights Prevail", "Pass with Conditions")))</f>
        <v/>
      </c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>
        <f>IF(AND(E798="Legitimate", H798="Necessary", K798="Minimal Impact"), "Pass - Legitimate Interest Prevails", IF(AND(E798="Legitimate", H798="Necessary", OR(K798="Limited Impact", K798="Significant Impact"), L798&lt;&gt;""), "Pass with Conditions", IF(OR(E798="Not Legitimate", H798="Not Necessary", K798="High Impact"), "Fail - Data Subject''s Rights Prevail", "Pass with Conditions")))</f>
        <v/>
      </c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>
        <f>IF(AND(E799="Legitimate", H799="Necessary", K799="Minimal Impact"), "Pass - Legitimate Interest Prevails", IF(AND(E799="Legitimate", H799="Necessary", OR(K799="Limited Impact", K799="Significant Impact"), L799&lt;&gt;""), "Pass with Conditions", IF(OR(E799="Not Legitimate", H799="Not Necessary", K799="High Impact"), "Fail - Data Subject''s Rights Prevail", "Pass with Conditions")))</f>
        <v/>
      </c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>
        <f>IF(AND(E800="Legitimate", H800="Necessary", K800="Minimal Impact"), "Pass - Legitimate Interest Prevails", IF(AND(E800="Legitimate", H800="Necessary", OR(K800="Limited Impact", K800="Significant Impact"), L800&lt;&gt;""), "Pass with Conditions", IF(OR(E800="Not Legitimate", H800="Not Necessary", K800="High Impact"), "Fail - Data Subject''s Rights Prevail", "Pass with Conditions")))</f>
        <v/>
      </c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>
        <f>IF(AND(E801="Legitimate", H801="Necessary", K801="Minimal Impact"), "Pass - Legitimate Interest Prevails", IF(AND(E801="Legitimate", H801="Necessary", OR(K801="Limited Impact", K801="Significant Impact"), L801&lt;&gt;""), "Pass with Conditions", IF(OR(E801="Not Legitimate", H801="Not Necessary", K801="High Impact"), "Fail - Data Subject''s Rights Prevail", "Pass with Conditions")))</f>
        <v/>
      </c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>
        <f>IF(AND(E802="Legitimate", H802="Necessary", K802="Minimal Impact"), "Pass - Legitimate Interest Prevails", IF(AND(E802="Legitimate", H802="Necessary", OR(K802="Limited Impact", K802="Significant Impact"), L802&lt;&gt;""), "Pass with Conditions", IF(OR(E802="Not Legitimate", H802="Not Necessary", K802="High Impact"), "Fail - Data Subject''s Rights Prevail", "Pass with Conditions")))</f>
        <v/>
      </c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>
        <f>IF(AND(E803="Legitimate", H803="Necessary", K803="Minimal Impact"), "Pass - Legitimate Interest Prevails", IF(AND(E803="Legitimate", H803="Necessary", OR(K803="Limited Impact", K803="Significant Impact"), L803&lt;&gt;""), "Pass with Conditions", IF(OR(E803="Not Legitimate", H803="Not Necessary", K803="High Impact"), "Fail - Data Subject''s Rights Prevail", "Pass with Conditions")))</f>
        <v/>
      </c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>
        <f>IF(AND(E804="Legitimate", H804="Necessary", K804="Minimal Impact"), "Pass - Legitimate Interest Prevails", IF(AND(E804="Legitimate", H804="Necessary", OR(K804="Limited Impact", K804="Significant Impact"), L804&lt;&gt;""), "Pass with Conditions", IF(OR(E804="Not Legitimate", H804="Not Necessary", K804="High Impact"), "Fail - Data Subject''s Rights Prevail", "Pass with Conditions")))</f>
        <v/>
      </c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>
        <f>IF(AND(E805="Legitimate", H805="Necessary", K805="Minimal Impact"), "Pass - Legitimate Interest Prevails", IF(AND(E805="Legitimate", H805="Necessary", OR(K805="Limited Impact", K805="Significant Impact"), L805&lt;&gt;""), "Pass with Conditions", IF(OR(E805="Not Legitimate", H805="Not Necessary", K805="High Impact"), "Fail - Data Subject''s Rights Prevail", "Pass with Conditions")))</f>
        <v/>
      </c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>
        <f>IF(AND(E806="Legitimate", H806="Necessary", K806="Minimal Impact"), "Pass - Legitimate Interest Prevails", IF(AND(E806="Legitimate", H806="Necessary", OR(K806="Limited Impact", K806="Significant Impact"), L806&lt;&gt;""), "Pass with Conditions", IF(OR(E806="Not Legitimate", H806="Not Necessary", K806="High Impact"), "Fail - Data Subject''s Rights Prevail", "Pass with Conditions")))</f>
        <v/>
      </c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>
        <f>IF(AND(E807="Legitimate", H807="Necessary", K807="Minimal Impact"), "Pass - Legitimate Interest Prevails", IF(AND(E807="Legitimate", H807="Necessary", OR(K807="Limited Impact", K807="Significant Impact"), L807&lt;&gt;""), "Pass with Conditions", IF(OR(E807="Not Legitimate", H807="Not Necessary", K807="High Impact"), "Fail - Data Subject''s Rights Prevail", "Pass with Conditions")))</f>
        <v/>
      </c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>
        <f>IF(AND(E808="Legitimate", H808="Necessary", K808="Minimal Impact"), "Pass - Legitimate Interest Prevails", IF(AND(E808="Legitimate", H808="Necessary", OR(K808="Limited Impact", K808="Significant Impact"), L808&lt;&gt;""), "Pass with Conditions", IF(OR(E808="Not Legitimate", H808="Not Necessary", K808="High Impact"), "Fail - Data Subject''s Rights Prevail", "Pass with Conditions")))</f>
        <v/>
      </c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>
        <f>IF(AND(E809="Legitimate", H809="Necessary", K809="Minimal Impact"), "Pass - Legitimate Interest Prevails", IF(AND(E809="Legitimate", H809="Necessary", OR(K809="Limited Impact", K809="Significant Impact"), L809&lt;&gt;""), "Pass with Conditions", IF(OR(E809="Not Legitimate", H809="Not Necessary", K809="High Impact"), "Fail - Data Subject''s Rights Prevail", "Pass with Conditions")))</f>
        <v/>
      </c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>
        <f>IF(AND(E810="Legitimate", H810="Necessary", K810="Minimal Impact"), "Pass - Legitimate Interest Prevails", IF(AND(E810="Legitimate", H810="Necessary", OR(K810="Limited Impact", K810="Significant Impact"), L810&lt;&gt;""), "Pass with Conditions", IF(OR(E810="Not Legitimate", H810="Not Necessary", K810="High Impact"), "Fail - Data Subject''s Rights Prevail", "Pass with Conditions")))</f>
        <v/>
      </c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>
        <f>IF(AND(E811="Legitimate", H811="Necessary", K811="Minimal Impact"), "Pass - Legitimate Interest Prevails", IF(AND(E811="Legitimate", H811="Necessary", OR(K811="Limited Impact", K811="Significant Impact"), L811&lt;&gt;""), "Pass with Conditions", IF(OR(E811="Not Legitimate", H811="Not Necessary", K811="High Impact"), "Fail - Data Subject''s Rights Prevail", "Pass with Conditions")))</f>
        <v/>
      </c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>
        <f>IF(AND(E812="Legitimate", H812="Necessary", K812="Minimal Impact"), "Pass - Legitimate Interest Prevails", IF(AND(E812="Legitimate", H812="Necessary", OR(K812="Limited Impact", K812="Significant Impact"), L812&lt;&gt;""), "Pass with Conditions", IF(OR(E812="Not Legitimate", H812="Not Necessary", K812="High Impact"), "Fail - Data Subject''s Rights Prevail", "Pass with Conditions")))</f>
        <v/>
      </c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>
        <f>IF(AND(E813="Legitimate", H813="Necessary", K813="Minimal Impact"), "Pass - Legitimate Interest Prevails", IF(AND(E813="Legitimate", H813="Necessary", OR(K813="Limited Impact", K813="Significant Impact"), L813&lt;&gt;""), "Pass with Conditions", IF(OR(E813="Not Legitimate", H813="Not Necessary", K813="High Impact"), "Fail - Data Subject''s Rights Prevail", "Pass with Conditions")))</f>
        <v/>
      </c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>
        <f>IF(AND(E814="Legitimate", H814="Necessary", K814="Minimal Impact"), "Pass - Legitimate Interest Prevails", IF(AND(E814="Legitimate", H814="Necessary", OR(K814="Limited Impact", K814="Significant Impact"), L814&lt;&gt;""), "Pass with Conditions", IF(OR(E814="Not Legitimate", H814="Not Necessary", K814="High Impact"), "Fail - Data Subject''s Rights Prevail", "Pass with Conditions")))</f>
        <v/>
      </c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>
        <f>IF(AND(E815="Legitimate", H815="Necessary", K815="Minimal Impact"), "Pass - Legitimate Interest Prevails", IF(AND(E815="Legitimate", H815="Necessary", OR(K815="Limited Impact", K815="Significant Impact"), L815&lt;&gt;""), "Pass with Conditions", IF(OR(E815="Not Legitimate", H815="Not Necessary", K815="High Impact"), "Fail - Data Subject''s Rights Prevail", "Pass with Conditions")))</f>
        <v/>
      </c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>
        <f>IF(AND(E816="Legitimate", H816="Necessary", K816="Minimal Impact"), "Pass - Legitimate Interest Prevails", IF(AND(E816="Legitimate", H816="Necessary", OR(K816="Limited Impact", K816="Significant Impact"), L816&lt;&gt;""), "Pass with Conditions", IF(OR(E816="Not Legitimate", H816="Not Necessary", K816="High Impact"), "Fail - Data Subject''s Rights Prevail", "Pass with Conditions")))</f>
        <v/>
      </c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>
        <f>IF(AND(E817="Legitimate", H817="Necessary", K817="Minimal Impact"), "Pass - Legitimate Interest Prevails", IF(AND(E817="Legitimate", H817="Necessary", OR(K817="Limited Impact", K817="Significant Impact"), L817&lt;&gt;""), "Pass with Conditions", IF(OR(E817="Not Legitimate", H817="Not Necessary", K817="High Impact"), "Fail - Data Subject''s Rights Prevail", "Pass with Conditions")))</f>
        <v/>
      </c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>
        <f>IF(AND(E818="Legitimate", H818="Necessary", K818="Minimal Impact"), "Pass - Legitimate Interest Prevails", IF(AND(E818="Legitimate", H818="Necessary", OR(K818="Limited Impact", K818="Significant Impact"), L818&lt;&gt;""), "Pass with Conditions", IF(OR(E818="Not Legitimate", H818="Not Necessary", K818="High Impact"), "Fail - Data Subject''s Rights Prevail", "Pass with Conditions")))</f>
        <v/>
      </c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>
        <f>IF(AND(E819="Legitimate", H819="Necessary", K819="Minimal Impact"), "Pass - Legitimate Interest Prevails", IF(AND(E819="Legitimate", H819="Necessary", OR(K819="Limited Impact", K819="Significant Impact"), L819&lt;&gt;""), "Pass with Conditions", IF(OR(E819="Not Legitimate", H819="Not Necessary", K819="High Impact"), "Fail - Data Subject''s Rights Prevail", "Pass with Conditions")))</f>
        <v/>
      </c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>
        <f>IF(AND(E820="Legitimate", H820="Necessary", K820="Minimal Impact"), "Pass - Legitimate Interest Prevails", IF(AND(E820="Legitimate", H820="Necessary", OR(K820="Limited Impact", K820="Significant Impact"), L820&lt;&gt;""), "Pass with Conditions", IF(OR(E820="Not Legitimate", H820="Not Necessary", K820="High Impact"), "Fail - Data Subject''s Rights Prevail", "Pass with Conditions")))</f>
        <v/>
      </c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>
        <f>IF(AND(E821="Legitimate", H821="Necessary", K821="Minimal Impact"), "Pass - Legitimate Interest Prevails", IF(AND(E821="Legitimate", H821="Necessary", OR(K821="Limited Impact", K821="Significant Impact"), L821&lt;&gt;""), "Pass with Conditions", IF(OR(E821="Not Legitimate", H821="Not Necessary", K821="High Impact"), "Fail - Data Subject''s Rights Prevail", "Pass with Conditions")))</f>
        <v/>
      </c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>
        <f>IF(AND(E822="Legitimate", H822="Necessary", K822="Minimal Impact"), "Pass - Legitimate Interest Prevails", IF(AND(E822="Legitimate", H822="Necessary", OR(K822="Limited Impact", K822="Significant Impact"), L822&lt;&gt;""), "Pass with Conditions", IF(OR(E822="Not Legitimate", H822="Not Necessary", K822="High Impact"), "Fail - Data Subject''s Rights Prevail", "Pass with Conditions")))</f>
        <v/>
      </c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>
        <f>IF(AND(E823="Legitimate", H823="Necessary", K823="Minimal Impact"), "Pass - Legitimate Interest Prevails", IF(AND(E823="Legitimate", H823="Necessary", OR(K823="Limited Impact", K823="Significant Impact"), L823&lt;&gt;""), "Pass with Conditions", IF(OR(E823="Not Legitimate", H823="Not Necessary", K823="High Impact"), "Fail - Data Subject''s Rights Prevail", "Pass with Conditions")))</f>
        <v/>
      </c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>
        <f>IF(AND(E824="Legitimate", H824="Necessary", K824="Minimal Impact"), "Pass - Legitimate Interest Prevails", IF(AND(E824="Legitimate", H824="Necessary", OR(K824="Limited Impact", K824="Significant Impact"), L824&lt;&gt;""), "Pass with Conditions", IF(OR(E824="Not Legitimate", H824="Not Necessary", K824="High Impact"), "Fail - Data Subject''s Rights Prevail", "Pass with Conditions")))</f>
        <v/>
      </c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>
        <f>IF(AND(E825="Legitimate", H825="Necessary", K825="Minimal Impact"), "Pass - Legitimate Interest Prevails", IF(AND(E825="Legitimate", H825="Necessary", OR(K825="Limited Impact", K825="Significant Impact"), L825&lt;&gt;""), "Pass with Conditions", IF(OR(E825="Not Legitimate", H825="Not Necessary", K825="High Impact"), "Fail - Data Subject''s Rights Prevail", "Pass with Conditions")))</f>
        <v/>
      </c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>
        <f>IF(AND(E826="Legitimate", H826="Necessary", K826="Minimal Impact"), "Pass - Legitimate Interest Prevails", IF(AND(E826="Legitimate", H826="Necessary", OR(K826="Limited Impact", K826="Significant Impact"), L826&lt;&gt;""), "Pass with Conditions", IF(OR(E826="Not Legitimate", H826="Not Necessary", K826="High Impact"), "Fail - Data Subject''s Rights Prevail", "Pass with Conditions")))</f>
        <v/>
      </c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>
        <f>IF(AND(E827="Legitimate", H827="Necessary", K827="Minimal Impact"), "Pass - Legitimate Interest Prevails", IF(AND(E827="Legitimate", H827="Necessary", OR(K827="Limited Impact", K827="Significant Impact"), L827&lt;&gt;""), "Pass with Conditions", IF(OR(E827="Not Legitimate", H827="Not Necessary", K827="High Impact"), "Fail - Data Subject''s Rights Prevail", "Pass with Conditions")))</f>
        <v/>
      </c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>
        <f>IF(AND(E828="Legitimate", H828="Necessary", K828="Minimal Impact"), "Pass - Legitimate Interest Prevails", IF(AND(E828="Legitimate", H828="Necessary", OR(K828="Limited Impact", K828="Significant Impact"), L828&lt;&gt;""), "Pass with Conditions", IF(OR(E828="Not Legitimate", H828="Not Necessary", K828="High Impact"), "Fail - Data Subject''s Rights Prevail", "Pass with Conditions")))</f>
        <v/>
      </c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>
        <f>IF(AND(E829="Legitimate", H829="Necessary", K829="Minimal Impact"), "Pass - Legitimate Interest Prevails", IF(AND(E829="Legitimate", H829="Necessary", OR(K829="Limited Impact", K829="Significant Impact"), L829&lt;&gt;""), "Pass with Conditions", IF(OR(E829="Not Legitimate", H829="Not Necessary", K829="High Impact"), "Fail - Data Subject''s Rights Prevail", "Pass with Conditions")))</f>
        <v/>
      </c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>
        <f>IF(AND(E830="Legitimate", H830="Necessary", K830="Minimal Impact"), "Pass - Legitimate Interest Prevails", IF(AND(E830="Legitimate", H830="Necessary", OR(K830="Limited Impact", K830="Significant Impact"), L830&lt;&gt;""), "Pass with Conditions", IF(OR(E830="Not Legitimate", H830="Not Necessary", K830="High Impact"), "Fail - Data Subject''s Rights Prevail", "Pass with Conditions")))</f>
        <v/>
      </c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>
        <f>IF(AND(E831="Legitimate", H831="Necessary", K831="Minimal Impact"), "Pass - Legitimate Interest Prevails", IF(AND(E831="Legitimate", H831="Necessary", OR(K831="Limited Impact", K831="Significant Impact"), L831&lt;&gt;""), "Pass with Conditions", IF(OR(E831="Not Legitimate", H831="Not Necessary", K831="High Impact"), "Fail - Data Subject''s Rights Prevail", "Pass with Conditions")))</f>
        <v/>
      </c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>
        <f>IF(AND(E832="Legitimate", H832="Necessary", K832="Minimal Impact"), "Pass - Legitimate Interest Prevails", IF(AND(E832="Legitimate", H832="Necessary", OR(K832="Limited Impact", K832="Significant Impact"), L832&lt;&gt;""), "Pass with Conditions", IF(OR(E832="Not Legitimate", H832="Not Necessary", K832="High Impact"), "Fail - Data Subject''s Rights Prevail", "Pass with Conditions")))</f>
        <v/>
      </c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>
        <f>IF(AND(E833="Legitimate", H833="Necessary", K833="Minimal Impact"), "Pass - Legitimate Interest Prevails", IF(AND(E833="Legitimate", H833="Necessary", OR(K833="Limited Impact", K833="Significant Impact"), L833&lt;&gt;""), "Pass with Conditions", IF(OR(E833="Not Legitimate", H833="Not Necessary", K833="High Impact"), "Fail - Data Subject''s Rights Prevail", "Pass with Conditions")))</f>
        <v/>
      </c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>
        <f>IF(AND(E834="Legitimate", H834="Necessary", K834="Minimal Impact"), "Pass - Legitimate Interest Prevails", IF(AND(E834="Legitimate", H834="Necessary", OR(K834="Limited Impact", K834="Significant Impact"), L834&lt;&gt;""), "Pass with Conditions", IF(OR(E834="Not Legitimate", H834="Not Necessary", K834="High Impact"), "Fail - Data Subject''s Rights Prevail", "Pass with Conditions")))</f>
        <v/>
      </c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>
        <f>IF(AND(E835="Legitimate", H835="Necessary", K835="Minimal Impact"), "Pass - Legitimate Interest Prevails", IF(AND(E835="Legitimate", H835="Necessary", OR(K835="Limited Impact", K835="Significant Impact"), L835&lt;&gt;""), "Pass with Conditions", IF(OR(E835="Not Legitimate", H835="Not Necessary", K835="High Impact"), "Fail - Data Subject''s Rights Prevail", "Pass with Conditions")))</f>
        <v/>
      </c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>
        <f>IF(AND(E836="Legitimate", H836="Necessary", K836="Minimal Impact"), "Pass - Legitimate Interest Prevails", IF(AND(E836="Legitimate", H836="Necessary", OR(K836="Limited Impact", K836="Significant Impact"), L836&lt;&gt;""), "Pass with Conditions", IF(OR(E836="Not Legitimate", H836="Not Necessary", K836="High Impact"), "Fail - Data Subject''s Rights Prevail", "Pass with Conditions")))</f>
        <v/>
      </c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>
        <f>IF(AND(E837="Legitimate", H837="Necessary", K837="Minimal Impact"), "Pass - Legitimate Interest Prevails", IF(AND(E837="Legitimate", H837="Necessary", OR(K837="Limited Impact", K837="Significant Impact"), L837&lt;&gt;""), "Pass with Conditions", IF(OR(E837="Not Legitimate", H837="Not Necessary", K837="High Impact"), "Fail - Data Subject''s Rights Prevail", "Pass with Conditions")))</f>
        <v/>
      </c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>
        <f>IF(AND(E838="Legitimate", H838="Necessary", K838="Minimal Impact"), "Pass - Legitimate Interest Prevails", IF(AND(E838="Legitimate", H838="Necessary", OR(K838="Limited Impact", K838="Significant Impact"), L838&lt;&gt;""), "Pass with Conditions", IF(OR(E838="Not Legitimate", H838="Not Necessary", K838="High Impact"), "Fail - Data Subject''s Rights Prevail", "Pass with Conditions")))</f>
        <v/>
      </c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>
        <f>IF(AND(E839="Legitimate", H839="Necessary", K839="Minimal Impact"), "Pass - Legitimate Interest Prevails", IF(AND(E839="Legitimate", H839="Necessary", OR(K839="Limited Impact", K839="Significant Impact"), L839&lt;&gt;""), "Pass with Conditions", IF(OR(E839="Not Legitimate", H839="Not Necessary", K839="High Impact"), "Fail - Data Subject''s Rights Prevail", "Pass with Conditions")))</f>
        <v/>
      </c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>
        <f>IF(AND(E840="Legitimate", H840="Necessary", K840="Minimal Impact"), "Pass - Legitimate Interest Prevails", IF(AND(E840="Legitimate", H840="Necessary", OR(K840="Limited Impact", K840="Significant Impact"), L840&lt;&gt;""), "Pass with Conditions", IF(OR(E840="Not Legitimate", H840="Not Necessary", K840="High Impact"), "Fail - Data Subject''s Rights Prevail", "Pass with Conditions")))</f>
        <v/>
      </c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>
        <f>IF(AND(E841="Legitimate", H841="Necessary", K841="Minimal Impact"), "Pass - Legitimate Interest Prevails", IF(AND(E841="Legitimate", H841="Necessary", OR(K841="Limited Impact", K841="Significant Impact"), L841&lt;&gt;""), "Pass with Conditions", IF(OR(E841="Not Legitimate", H841="Not Necessary", K841="High Impact"), "Fail - Data Subject''s Rights Prevail", "Pass with Conditions")))</f>
        <v/>
      </c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>
        <f>IF(AND(E842="Legitimate", H842="Necessary", K842="Minimal Impact"), "Pass - Legitimate Interest Prevails", IF(AND(E842="Legitimate", H842="Necessary", OR(K842="Limited Impact", K842="Significant Impact"), L842&lt;&gt;""), "Pass with Conditions", IF(OR(E842="Not Legitimate", H842="Not Necessary", K842="High Impact"), "Fail - Data Subject''s Rights Prevail", "Pass with Conditions")))</f>
        <v/>
      </c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>
        <f>IF(AND(E843="Legitimate", H843="Necessary", K843="Minimal Impact"), "Pass - Legitimate Interest Prevails", IF(AND(E843="Legitimate", H843="Necessary", OR(K843="Limited Impact", K843="Significant Impact"), L843&lt;&gt;""), "Pass with Conditions", IF(OR(E843="Not Legitimate", H843="Not Necessary", K843="High Impact"), "Fail - Data Subject''s Rights Prevail", "Pass with Conditions")))</f>
        <v/>
      </c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>
        <f>IF(AND(E844="Legitimate", H844="Necessary", K844="Minimal Impact"), "Pass - Legitimate Interest Prevails", IF(AND(E844="Legitimate", H844="Necessary", OR(K844="Limited Impact", K844="Significant Impact"), L844&lt;&gt;""), "Pass with Conditions", IF(OR(E844="Not Legitimate", H844="Not Necessary", K844="High Impact"), "Fail - Data Subject''s Rights Prevail", "Pass with Conditions")))</f>
        <v/>
      </c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>
        <f>IF(AND(E845="Legitimate", H845="Necessary", K845="Minimal Impact"), "Pass - Legitimate Interest Prevails", IF(AND(E845="Legitimate", H845="Necessary", OR(K845="Limited Impact", K845="Significant Impact"), L845&lt;&gt;""), "Pass with Conditions", IF(OR(E845="Not Legitimate", H845="Not Necessary", K845="High Impact"), "Fail - Data Subject''s Rights Prevail", "Pass with Conditions")))</f>
        <v/>
      </c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>
        <f>IF(AND(E846="Legitimate", H846="Necessary", K846="Minimal Impact"), "Pass - Legitimate Interest Prevails", IF(AND(E846="Legitimate", H846="Necessary", OR(K846="Limited Impact", K846="Significant Impact"), L846&lt;&gt;""), "Pass with Conditions", IF(OR(E846="Not Legitimate", H846="Not Necessary", K846="High Impact"), "Fail - Data Subject''s Rights Prevail", "Pass with Conditions")))</f>
        <v/>
      </c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>
        <f>IF(AND(E847="Legitimate", H847="Necessary", K847="Minimal Impact"), "Pass - Legitimate Interest Prevails", IF(AND(E847="Legitimate", H847="Necessary", OR(K847="Limited Impact", K847="Significant Impact"), L847&lt;&gt;""), "Pass with Conditions", IF(OR(E847="Not Legitimate", H847="Not Necessary", K847="High Impact"), "Fail - Data Subject''s Rights Prevail", "Pass with Conditions")))</f>
        <v/>
      </c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>
        <f>IF(AND(E848="Legitimate", H848="Necessary", K848="Minimal Impact"), "Pass - Legitimate Interest Prevails", IF(AND(E848="Legitimate", H848="Necessary", OR(K848="Limited Impact", K848="Significant Impact"), L848&lt;&gt;""), "Pass with Conditions", IF(OR(E848="Not Legitimate", H848="Not Necessary", K848="High Impact"), "Fail - Data Subject''s Rights Prevail", "Pass with Conditions")))</f>
        <v/>
      </c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>
        <f>IF(AND(E849="Legitimate", H849="Necessary", K849="Minimal Impact"), "Pass - Legitimate Interest Prevails", IF(AND(E849="Legitimate", H849="Necessary", OR(K849="Limited Impact", K849="Significant Impact"), L849&lt;&gt;""), "Pass with Conditions", IF(OR(E849="Not Legitimate", H849="Not Necessary", K849="High Impact"), "Fail - Data Subject''s Rights Prevail", "Pass with Conditions")))</f>
        <v/>
      </c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>
        <f>IF(AND(E850="Legitimate", H850="Necessary", K850="Minimal Impact"), "Pass - Legitimate Interest Prevails", IF(AND(E850="Legitimate", H850="Necessary", OR(K850="Limited Impact", K850="Significant Impact"), L850&lt;&gt;""), "Pass with Conditions", IF(OR(E850="Not Legitimate", H850="Not Necessary", K850="High Impact"), "Fail - Data Subject''s Rights Prevail", "Pass with Conditions")))</f>
        <v/>
      </c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>
        <f>IF(AND(E851="Legitimate", H851="Necessary", K851="Minimal Impact"), "Pass - Legitimate Interest Prevails", IF(AND(E851="Legitimate", H851="Necessary", OR(K851="Limited Impact", K851="Significant Impact"), L851&lt;&gt;""), "Pass with Conditions", IF(OR(E851="Not Legitimate", H851="Not Necessary", K851="High Impact"), "Fail - Data Subject''s Rights Prevail", "Pass with Conditions")))</f>
        <v/>
      </c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>
        <f>IF(AND(E852="Legitimate", H852="Necessary", K852="Minimal Impact"), "Pass - Legitimate Interest Prevails", IF(AND(E852="Legitimate", H852="Necessary", OR(K852="Limited Impact", K852="Significant Impact"), L852&lt;&gt;""), "Pass with Conditions", IF(OR(E852="Not Legitimate", H852="Not Necessary", K852="High Impact"), "Fail - Data Subject''s Rights Prevail", "Pass with Conditions")))</f>
        <v/>
      </c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>
        <f>IF(AND(E853="Legitimate", H853="Necessary", K853="Minimal Impact"), "Pass - Legitimate Interest Prevails", IF(AND(E853="Legitimate", H853="Necessary", OR(K853="Limited Impact", K853="Significant Impact"), L853&lt;&gt;""), "Pass with Conditions", IF(OR(E853="Not Legitimate", H853="Not Necessary", K853="High Impact"), "Fail - Data Subject''s Rights Prevail", "Pass with Conditions")))</f>
        <v/>
      </c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>
        <f>IF(AND(E854="Legitimate", H854="Necessary", K854="Minimal Impact"), "Pass - Legitimate Interest Prevails", IF(AND(E854="Legitimate", H854="Necessary", OR(K854="Limited Impact", K854="Significant Impact"), L854&lt;&gt;""), "Pass with Conditions", IF(OR(E854="Not Legitimate", H854="Not Necessary", K854="High Impact"), "Fail - Data Subject''s Rights Prevail", "Pass with Conditions")))</f>
        <v/>
      </c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>
        <f>IF(AND(E855="Legitimate", H855="Necessary", K855="Minimal Impact"), "Pass - Legitimate Interest Prevails", IF(AND(E855="Legitimate", H855="Necessary", OR(K855="Limited Impact", K855="Significant Impact"), L855&lt;&gt;""), "Pass with Conditions", IF(OR(E855="Not Legitimate", H855="Not Necessary", K855="High Impact"), "Fail - Data Subject''s Rights Prevail", "Pass with Conditions")))</f>
        <v/>
      </c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>
        <f>IF(AND(E856="Legitimate", H856="Necessary", K856="Minimal Impact"), "Pass - Legitimate Interest Prevails", IF(AND(E856="Legitimate", H856="Necessary", OR(K856="Limited Impact", K856="Significant Impact"), L856&lt;&gt;""), "Pass with Conditions", IF(OR(E856="Not Legitimate", H856="Not Necessary", K856="High Impact"), "Fail - Data Subject''s Rights Prevail", "Pass with Conditions")))</f>
        <v/>
      </c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>
        <f>IF(AND(E857="Legitimate", H857="Necessary", K857="Minimal Impact"), "Pass - Legitimate Interest Prevails", IF(AND(E857="Legitimate", H857="Necessary", OR(K857="Limited Impact", K857="Significant Impact"), L857&lt;&gt;""), "Pass with Conditions", IF(OR(E857="Not Legitimate", H857="Not Necessary", K857="High Impact"), "Fail - Data Subject''s Rights Prevail", "Pass with Conditions")))</f>
        <v/>
      </c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>
        <f>IF(AND(E858="Legitimate", H858="Necessary", K858="Minimal Impact"), "Pass - Legitimate Interest Prevails", IF(AND(E858="Legitimate", H858="Necessary", OR(K858="Limited Impact", K858="Significant Impact"), L858&lt;&gt;""), "Pass with Conditions", IF(OR(E858="Not Legitimate", H858="Not Necessary", K858="High Impact"), "Fail - Data Subject''s Rights Prevail", "Pass with Conditions")))</f>
        <v/>
      </c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>
        <f>IF(AND(E859="Legitimate", H859="Necessary", K859="Minimal Impact"), "Pass - Legitimate Interest Prevails", IF(AND(E859="Legitimate", H859="Necessary", OR(K859="Limited Impact", K859="Significant Impact"), L859&lt;&gt;""), "Pass with Conditions", IF(OR(E859="Not Legitimate", H859="Not Necessary", K859="High Impact"), "Fail - Data Subject''s Rights Prevail", "Pass with Conditions")))</f>
        <v/>
      </c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>
        <f>IF(AND(E860="Legitimate", H860="Necessary", K860="Minimal Impact"), "Pass - Legitimate Interest Prevails", IF(AND(E860="Legitimate", H860="Necessary", OR(K860="Limited Impact", K860="Significant Impact"), L860&lt;&gt;""), "Pass with Conditions", IF(OR(E860="Not Legitimate", H860="Not Necessary", K860="High Impact"), "Fail - Data Subject''s Rights Prevail", "Pass with Conditions")))</f>
        <v/>
      </c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>
        <f>IF(AND(E861="Legitimate", H861="Necessary", K861="Minimal Impact"), "Pass - Legitimate Interest Prevails", IF(AND(E861="Legitimate", H861="Necessary", OR(K861="Limited Impact", K861="Significant Impact"), L861&lt;&gt;""), "Pass with Conditions", IF(OR(E861="Not Legitimate", H861="Not Necessary", K861="High Impact"), "Fail - Data Subject''s Rights Prevail", "Pass with Conditions")))</f>
        <v/>
      </c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>
        <f>IF(AND(E862="Legitimate", H862="Necessary", K862="Minimal Impact"), "Pass - Legitimate Interest Prevails", IF(AND(E862="Legitimate", H862="Necessary", OR(K862="Limited Impact", K862="Significant Impact"), L862&lt;&gt;""), "Pass with Conditions", IF(OR(E862="Not Legitimate", H862="Not Necessary", K862="High Impact"), "Fail - Data Subject''s Rights Prevail", "Pass with Conditions")))</f>
        <v/>
      </c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>
        <f>IF(AND(E863="Legitimate", H863="Necessary", K863="Minimal Impact"), "Pass - Legitimate Interest Prevails", IF(AND(E863="Legitimate", H863="Necessary", OR(K863="Limited Impact", K863="Significant Impact"), L863&lt;&gt;""), "Pass with Conditions", IF(OR(E863="Not Legitimate", H863="Not Necessary", K863="High Impact"), "Fail - Data Subject''s Rights Prevail", "Pass with Conditions")))</f>
        <v/>
      </c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>
        <f>IF(AND(E864="Legitimate", H864="Necessary", K864="Minimal Impact"), "Pass - Legitimate Interest Prevails", IF(AND(E864="Legitimate", H864="Necessary", OR(K864="Limited Impact", K864="Significant Impact"), L864&lt;&gt;""), "Pass with Conditions", IF(OR(E864="Not Legitimate", H864="Not Necessary", K864="High Impact"), "Fail - Data Subject''s Rights Prevail", "Pass with Conditions")))</f>
        <v/>
      </c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>
        <f>IF(AND(E865="Legitimate", H865="Necessary", K865="Minimal Impact"), "Pass - Legitimate Interest Prevails", IF(AND(E865="Legitimate", H865="Necessary", OR(K865="Limited Impact", K865="Significant Impact"), L865&lt;&gt;""), "Pass with Conditions", IF(OR(E865="Not Legitimate", H865="Not Necessary", K865="High Impact"), "Fail - Data Subject''s Rights Prevail", "Pass with Conditions")))</f>
        <v/>
      </c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>
        <f>IF(AND(E866="Legitimate", H866="Necessary", K866="Minimal Impact"), "Pass - Legitimate Interest Prevails", IF(AND(E866="Legitimate", H866="Necessary", OR(K866="Limited Impact", K866="Significant Impact"), L866&lt;&gt;""), "Pass with Conditions", IF(OR(E866="Not Legitimate", H866="Not Necessary", K866="High Impact"), "Fail - Data Subject''s Rights Prevail", "Pass with Conditions")))</f>
        <v/>
      </c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>
        <f>IF(AND(E867="Legitimate", H867="Necessary", K867="Minimal Impact"), "Pass - Legitimate Interest Prevails", IF(AND(E867="Legitimate", H867="Necessary", OR(K867="Limited Impact", K867="Significant Impact"), L867&lt;&gt;""), "Pass with Conditions", IF(OR(E867="Not Legitimate", H867="Not Necessary", K867="High Impact"), "Fail - Data Subject''s Rights Prevail", "Pass with Conditions")))</f>
        <v/>
      </c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>
        <f>IF(AND(E868="Legitimate", H868="Necessary", K868="Minimal Impact"), "Pass - Legitimate Interest Prevails", IF(AND(E868="Legitimate", H868="Necessary", OR(K868="Limited Impact", K868="Significant Impact"), L868&lt;&gt;""), "Pass with Conditions", IF(OR(E868="Not Legitimate", H868="Not Necessary", K868="High Impact"), "Fail - Data Subject''s Rights Prevail", "Pass with Conditions")))</f>
        <v/>
      </c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>
        <f>IF(AND(E869="Legitimate", H869="Necessary", K869="Minimal Impact"), "Pass - Legitimate Interest Prevails", IF(AND(E869="Legitimate", H869="Necessary", OR(K869="Limited Impact", K869="Significant Impact"), L869&lt;&gt;""), "Pass with Conditions", IF(OR(E869="Not Legitimate", H869="Not Necessary", K869="High Impact"), "Fail - Data Subject''s Rights Prevail", "Pass with Conditions")))</f>
        <v/>
      </c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>
        <f>IF(AND(E870="Legitimate", H870="Necessary", K870="Minimal Impact"), "Pass - Legitimate Interest Prevails", IF(AND(E870="Legitimate", H870="Necessary", OR(K870="Limited Impact", K870="Significant Impact"), L870&lt;&gt;""), "Pass with Conditions", IF(OR(E870="Not Legitimate", H870="Not Necessary", K870="High Impact"), "Fail - Data Subject''s Rights Prevail", "Pass with Conditions")))</f>
        <v/>
      </c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>
        <f>IF(AND(E871="Legitimate", H871="Necessary", K871="Minimal Impact"), "Pass - Legitimate Interest Prevails", IF(AND(E871="Legitimate", H871="Necessary", OR(K871="Limited Impact", K871="Significant Impact"), L871&lt;&gt;""), "Pass with Conditions", IF(OR(E871="Not Legitimate", H871="Not Necessary", K871="High Impact"), "Fail - Data Subject''s Rights Prevail", "Pass with Conditions")))</f>
        <v/>
      </c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>
        <f>IF(AND(E872="Legitimate", H872="Necessary", K872="Minimal Impact"), "Pass - Legitimate Interest Prevails", IF(AND(E872="Legitimate", H872="Necessary", OR(K872="Limited Impact", K872="Significant Impact"), L872&lt;&gt;""), "Pass with Conditions", IF(OR(E872="Not Legitimate", H872="Not Necessary", K872="High Impact"), "Fail - Data Subject''s Rights Prevail", "Pass with Conditions")))</f>
        <v/>
      </c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>
        <f>IF(AND(E873="Legitimate", H873="Necessary", K873="Minimal Impact"), "Pass - Legitimate Interest Prevails", IF(AND(E873="Legitimate", H873="Necessary", OR(K873="Limited Impact", K873="Significant Impact"), L873&lt;&gt;""), "Pass with Conditions", IF(OR(E873="Not Legitimate", H873="Not Necessary", K873="High Impact"), "Fail - Data Subject''s Rights Prevail", "Pass with Conditions")))</f>
        <v/>
      </c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>
        <f>IF(AND(E874="Legitimate", H874="Necessary", K874="Minimal Impact"), "Pass - Legitimate Interest Prevails", IF(AND(E874="Legitimate", H874="Necessary", OR(K874="Limited Impact", K874="Significant Impact"), L874&lt;&gt;""), "Pass with Conditions", IF(OR(E874="Not Legitimate", H874="Not Necessary", K874="High Impact"), "Fail - Data Subject''s Rights Prevail", "Pass with Conditions")))</f>
        <v/>
      </c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>
        <f>IF(AND(E875="Legitimate", H875="Necessary", K875="Minimal Impact"), "Pass - Legitimate Interest Prevails", IF(AND(E875="Legitimate", H875="Necessary", OR(K875="Limited Impact", K875="Significant Impact"), L875&lt;&gt;""), "Pass with Conditions", IF(OR(E875="Not Legitimate", H875="Not Necessary", K875="High Impact"), "Fail - Data Subject''s Rights Prevail", "Pass with Conditions")))</f>
        <v/>
      </c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>
        <f>IF(AND(E876="Legitimate", H876="Necessary", K876="Minimal Impact"), "Pass - Legitimate Interest Prevails", IF(AND(E876="Legitimate", H876="Necessary", OR(K876="Limited Impact", K876="Significant Impact"), L876&lt;&gt;""), "Pass with Conditions", IF(OR(E876="Not Legitimate", H876="Not Necessary", K876="High Impact"), "Fail - Data Subject''s Rights Prevail", "Pass with Conditions")))</f>
        <v/>
      </c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>
        <f>IF(AND(E877="Legitimate", H877="Necessary", K877="Minimal Impact"), "Pass - Legitimate Interest Prevails", IF(AND(E877="Legitimate", H877="Necessary", OR(K877="Limited Impact", K877="Significant Impact"), L877&lt;&gt;""), "Pass with Conditions", IF(OR(E877="Not Legitimate", H877="Not Necessary", K877="High Impact"), "Fail - Data Subject''s Rights Prevail", "Pass with Conditions")))</f>
        <v/>
      </c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>
        <f>IF(AND(E878="Legitimate", H878="Necessary", K878="Minimal Impact"), "Pass - Legitimate Interest Prevails", IF(AND(E878="Legitimate", H878="Necessary", OR(K878="Limited Impact", K878="Significant Impact"), L878&lt;&gt;""), "Pass with Conditions", IF(OR(E878="Not Legitimate", H878="Not Necessary", K878="High Impact"), "Fail - Data Subject''s Rights Prevail", "Pass with Conditions")))</f>
        <v/>
      </c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>
        <f>IF(AND(E879="Legitimate", H879="Necessary", K879="Minimal Impact"), "Pass - Legitimate Interest Prevails", IF(AND(E879="Legitimate", H879="Necessary", OR(K879="Limited Impact", K879="Significant Impact"), L879&lt;&gt;""), "Pass with Conditions", IF(OR(E879="Not Legitimate", H879="Not Necessary", K879="High Impact"), "Fail - Data Subject''s Rights Prevail", "Pass with Conditions")))</f>
        <v/>
      </c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>
        <f>IF(AND(E880="Legitimate", H880="Necessary", K880="Minimal Impact"), "Pass - Legitimate Interest Prevails", IF(AND(E880="Legitimate", H880="Necessary", OR(K880="Limited Impact", K880="Significant Impact"), L880&lt;&gt;""), "Pass with Conditions", IF(OR(E880="Not Legitimate", H880="Not Necessary", K880="High Impact"), "Fail - Data Subject''s Rights Prevail", "Pass with Conditions")))</f>
        <v/>
      </c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>
        <f>IF(AND(E881="Legitimate", H881="Necessary", K881="Minimal Impact"), "Pass - Legitimate Interest Prevails", IF(AND(E881="Legitimate", H881="Necessary", OR(K881="Limited Impact", K881="Significant Impact"), L881&lt;&gt;""), "Pass with Conditions", IF(OR(E881="Not Legitimate", H881="Not Necessary", K881="High Impact"), "Fail - Data Subject''s Rights Prevail", "Pass with Conditions")))</f>
        <v/>
      </c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>
        <f>IF(AND(E882="Legitimate", H882="Necessary", K882="Minimal Impact"), "Pass - Legitimate Interest Prevails", IF(AND(E882="Legitimate", H882="Necessary", OR(K882="Limited Impact", K882="Significant Impact"), L882&lt;&gt;""), "Pass with Conditions", IF(OR(E882="Not Legitimate", H882="Not Necessary", K882="High Impact"), "Fail - Data Subject''s Rights Prevail", "Pass with Conditions")))</f>
        <v/>
      </c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>
        <f>IF(AND(E883="Legitimate", H883="Necessary", K883="Minimal Impact"), "Pass - Legitimate Interest Prevails", IF(AND(E883="Legitimate", H883="Necessary", OR(K883="Limited Impact", K883="Significant Impact"), L883&lt;&gt;""), "Pass with Conditions", IF(OR(E883="Not Legitimate", H883="Not Necessary", K883="High Impact"), "Fail - Data Subject''s Rights Prevail", "Pass with Conditions")))</f>
        <v/>
      </c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>
        <f>IF(AND(E884="Legitimate", H884="Necessary", K884="Minimal Impact"), "Pass - Legitimate Interest Prevails", IF(AND(E884="Legitimate", H884="Necessary", OR(K884="Limited Impact", K884="Significant Impact"), L884&lt;&gt;""), "Pass with Conditions", IF(OR(E884="Not Legitimate", H884="Not Necessary", K884="High Impact"), "Fail - Data Subject''s Rights Prevail", "Pass with Conditions")))</f>
        <v/>
      </c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>
        <f>IF(AND(E885="Legitimate", H885="Necessary", K885="Minimal Impact"), "Pass - Legitimate Interest Prevails", IF(AND(E885="Legitimate", H885="Necessary", OR(K885="Limited Impact", K885="Significant Impact"), L885&lt;&gt;""), "Pass with Conditions", IF(OR(E885="Not Legitimate", H885="Not Necessary", K885="High Impact"), "Fail - Data Subject''s Rights Prevail", "Pass with Conditions")))</f>
        <v/>
      </c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>
        <f>IF(AND(E886="Legitimate", H886="Necessary", K886="Minimal Impact"), "Pass - Legitimate Interest Prevails", IF(AND(E886="Legitimate", H886="Necessary", OR(K886="Limited Impact", K886="Significant Impact"), L886&lt;&gt;""), "Pass with Conditions", IF(OR(E886="Not Legitimate", H886="Not Necessary", K886="High Impact"), "Fail - Data Subject''s Rights Prevail", "Pass with Conditions")))</f>
        <v/>
      </c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>
        <f>IF(AND(E887="Legitimate", H887="Necessary", K887="Minimal Impact"), "Pass - Legitimate Interest Prevails", IF(AND(E887="Legitimate", H887="Necessary", OR(K887="Limited Impact", K887="Significant Impact"), L887&lt;&gt;""), "Pass with Conditions", IF(OR(E887="Not Legitimate", H887="Not Necessary", K887="High Impact"), "Fail - Data Subject''s Rights Prevail", "Pass with Conditions")))</f>
        <v/>
      </c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>
        <f>IF(AND(E888="Legitimate", H888="Necessary", K888="Minimal Impact"), "Pass - Legitimate Interest Prevails", IF(AND(E888="Legitimate", H888="Necessary", OR(K888="Limited Impact", K888="Significant Impact"), L888&lt;&gt;""), "Pass with Conditions", IF(OR(E888="Not Legitimate", H888="Not Necessary", K888="High Impact"), "Fail - Data Subject''s Rights Prevail", "Pass with Conditions")))</f>
        <v/>
      </c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>
        <f>IF(AND(E889="Legitimate", H889="Necessary", K889="Minimal Impact"), "Pass - Legitimate Interest Prevails", IF(AND(E889="Legitimate", H889="Necessary", OR(K889="Limited Impact", K889="Significant Impact"), L889&lt;&gt;""), "Pass with Conditions", IF(OR(E889="Not Legitimate", H889="Not Necessary", K889="High Impact"), "Fail - Data Subject''s Rights Prevail", "Pass with Conditions")))</f>
        <v/>
      </c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>
        <f>IF(AND(E890="Legitimate", H890="Necessary", K890="Minimal Impact"), "Pass - Legitimate Interest Prevails", IF(AND(E890="Legitimate", H890="Necessary", OR(K890="Limited Impact", K890="Significant Impact"), L890&lt;&gt;""), "Pass with Conditions", IF(OR(E890="Not Legitimate", H890="Not Necessary", K890="High Impact"), "Fail - Data Subject''s Rights Prevail", "Pass with Conditions")))</f>
        <v/>
      </c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>
        <f>IF(AND(E891="Legitimate", H891="Necessary", K891="Minimal Impact"), "Pass - Legitimate Interest Prevails", IF(AND(E891="Legitimate", H891="Necessary", OR(K891="Limited Impact", K891="Significant Impact"), L891&lt;&gt;""), "Pass with Conditions", IF(OR(E891="Not Legitimate", H891="Not Necessary", K891="High Impact"), "Fail - Data Subject''s Rights Prevail", "Pass with Conditions")))</f>
        <v/>
      </c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>
        <f>IF(AND(E892="Legitimate", H892="Necessary", K892="Minimal Impact"), "Pass - Legitimate Interest Prevails", IF(AND(E892="Legitimate", H892="Necessary", OR(K892="Limited Impact", K892="Significant Impact"), L892&lt;&gt;""), "Pass with Conditions", IF(OR(E892="Not Legitimate", H892="Not Necessary", K892="High Impact"), "Fail - Data Subject''s Rights Prevail", "Pass with Conditions")))</f>
        <v/>
      </c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>
        <f>IF(AND(E893="Legitimate", H893="Necessary", K893="Minimal Impact"), "Pass - Legitimate Interest Prevails", IF(AND(E893="Legitimate", H893="Necessary", OR(K893="Limited Impact", K893="Significant Impact"), L893&lt;&gt;""), "Pass with Conditions", IF(OR(E893="Not Legitimate", H893="Not Necessary", K893="High Impact"), "Fail - Data Subject''s Rights Prevail", "Pass with Conditions")))</f>
        <v/>
      </c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>
        <f>IF(AND(E894="Legitimate", H894="Necessary", K894="Minimal Impact"), "Pass - Legitimate Interest Prevails", IF(AND(E894="Legitimate", H894="Necessary", OR(K894="Limited Impact", K894="Significant Impact"), L894&lt;&gt;""), "Pass with Conditions", IF(OR(E894="Not Legitimate", H894="Not Necessary", K894="High Impact"), "Fail - Data Subject''s Rights Prevail", "Pass with Conditions")))</f>
        <v/>
      </c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>
        <f>IF(AND(E895="Legitimate", H895="Necessary", K895="Minimal Impact"), "Pass - Legitimate Interest Prevails", IF(AND(E895="Legitimate", H895="Necessary", OR(K895="Limited Impact", K895="Significant Impact"), L895&lt;&gt;""), "Pass with Conditions", IF(OR(E895="Not Legitimate", H895="Not Necessary", K895="High Impact"), "Fail - Data Subject''s Rights Prevail", "Pass with Conditions")))</f>
        <v/>
      </c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>
        <f>IF(AND(E896="Legitimate", H896="Necessary", K896="Minimal Impact"), "Pass - Legitimate Interest Prevails", IF(AND(E896="Legitimate", H896="Necessary", OR(K896="Limited Impact", K896="Significant Impact"), L896&lt;&gt;""), "Pass with Conditions", IF(OR(E896="Not Legitimate", H896="Not Necessary", K896="High Impact"), "Fail - Data Subject''s Rights Prevail", "Pass with Conditions")))</f>
        <v/>
      </c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>
        <f>IF(AND(E897="Legitimate", H897="Necessary", K897="Minimal Impact"), "Pass - Legitimate Interest Prevails", IF(AND(E897="Legitimate", H897="Necessary", OR(K897="Limited Impact", K897="Significant Impact"), L897&lt;&gt;""), "Pass with Conditions", IF(OR(E897="Not Legitimate", H897="Not Necessary", K897="High Impact"), "Fail - Data Subject''s Rights Prevail", "Pass with Conditions")))</f>
        <v/>
      </c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>
        <f>IF(AND(E898="Legitimate", H898="Necessary", K898="Minimal Impact"), "Pass - Legitimate Interest Prevails", IF(AND(E898="Legitimate", H898="Necessary", OR(K898="Limited Impact", K898="Significant Impact"), L898&lt;&gt;""), "Pass with Conditions", IF(OR(E898="Not Legitimate", H898="Not Necessary", K898="High Impact"), "Fail - Data Subject''s Rights Prevail", "Pass with Conditions")))</f>
        <v/>
      </c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>
        <f>IF(AND(E899="Legitimate", H899="Necessary", K899="Minimal Impact"), "Pass - Legitimate Interest Prevails", IF(AND(E899="Legitimate", H899="Necessary", OR(K899="Limited Impact", K899="Significant Impact"), L899&lt;&gt;""), "Pass with Conditions", IF(OR(E899="Not Legitimate", H899="Not Necessary", K899="High Impact"), "Fail - Data Subject''s Rights Prevail", "Pass with Conditions")))</f>
        <v/>
      </c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>
        <f>IF(AND(E900="Legitimate", H900="Necessary", K900="Minimal Impact"), "Pass - Legitimate Interest Prevails", IF(AND(E900="Legitimate", H900="Necessary", OR(K900="Limited Impact", K900="Significant Impact"), L900&lt;&gt;""), "Pass with Conditions", IF(OR(E900="Not Legitimate", H900="Not Necessary", K900="High Impact"), "Fail - Data Subject''s Rights Prevail", "Pass with Conditions")))</f>
        <v/>
      </c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>
        <f>IF(AND(E901="Legitimate", H901="Necessary", K901="Minimal Impact"), "Pass - Legitimate Interest Prevails", IF(AND(E901="Legitimate", H901="Necessary", OR(K901="Limited Impact", K901="Significant Impact"), L901&lt;&gt;""), "Pass with Conditions", IF(OR(E901="Not Legitimate", H901="Not Necessary", K901="High Impact"), "Fail - Data Subject''s Rights Prevail", "Pass with Conditions")))</f>
        <v/>
      </c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>
        <f>IF(AND(E902="Legitimate", H902="Necessary", K902="Minimal Impact"), "Pass - Legitimate Interest Prevails", IF(AND(E902="Legitimate", H902="Necessary", OR(K902="Limited Impact", K902="Significant Impact"), L902&lt;&gt;""), "Pass with Conditions", IF(OR(E902="Not Legitimate", H902="Not Necessary", K902="High Impact"), "Fail - Data Subject''s Rights Prevail", "Pass with Conditions")))</f>
        <v/>
      </c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>
        <f>IF(AND(E903="Legitimate", H903="Necessary", K903="Minimal Impact"), "Pass - Legitimate Interest Prevails", IF(AND(E903="Legitimate", H903="Necessary", OR(K903="Limited Impact", K903="Significant Impact"), L903&lt;&gt;""), "Pass with Conditions", IF(OR(E903="Not Legitimate", H903="Not Necessary", K903="High Impact"), "Fail - Data Subject''s Rights Prevail", "Pass with Conditions")))</f>
        <v/>
      </c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>
        <f>IF(AND(E904="Legitimate", H904="Necessary", K904="Minimal Impact"), "Pass - Legitimate Interest Prevails", IF(AND(E904="Legitimate", H904="Necessary", OR(K904="Limited Impact", K904="Significant Impact"), L904&lt;&gt;""), "Pass with Conditions", IF(OR(E904="Not Legitimate", H904="Not Necessary", K904="High Impact"), "Fail - Data Subject''s Rights Prevail", "Pass with Conditions")))</f>
        <v/>
      </c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>
        <f>IF(AND(E905="Legitimate", H905="Necessary", K905="Minimal Impact"), "Pass - Legitimate Interest Prevails", IF(AND(E905="Legitimate", H905="Necessary", OR(K905="Limited Impact", K905="Significant Impact"), L905&lt;&gt;""), "Pass with Conditions", IF(OR(E905="Not Legitimate", H905="Not Necessary", K905="High Impact"), "Fail - Data Subject''s Rights Prevail", "Pass with Conditions")))</f>
        <v/>
      </c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>
        <f>IF(AND(E906="Legitimate", H906="Necessary", K906="Minimal Impact"), "Pass - Legitimate Interest Prevails", IF(AND(E906="Legitimate", H906="Necessary", OR(K906="Limited Impact", K906="Significant Impact"), L906&lt;&gt;""), "Pass with Conditions", IF(OR(E906="Not Legitimate", H906="Not Necessary", K906="High Impact"), "Fail - Data Subject''s Rights Prevail", "Pass with Conditions")))</f>
        <v/>
      </c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>
        <f>IF(AND(E907="Legitimate", H907="Necessary", K907="Minimal Impact"), "Pass - Legitimate Interest Prevails", IF(AND(E907="Legitimate", H907="Necessary", OR(K907="Limited Impact", K907="Significant Impact"), L907&lt;&gt;""), "Pass with Conditions", IF(OR(E907="Not Legitimate", H907="Not Necessary", K907="High Impact"), "Fail - Data Subject''s Rights Prevail", "Pass with Conditions")))</f>
        <v/>
      </c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>
        <f>IF(AND(E908="Legitimate", H908="Necessary", K908="Minimal Impact"), "Pass - Legitimate Interest Prevails", IF(AND(E908="Legitimate", H908="Necessary", OR(K908="Limited Impact", K908="Significant Impact"), L908&lt;&gt;""), "Pass with Conditions", IF(OR(E908="Not Legitimate", H908="Not Necessary", K908="High Impact"), "Fail - Data Subject''s Rights Prevail", "Pass with Conditions")))</f>
        <v/>
      </c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>
        <f>IF(AND(E909="Legitimate", H909="Necessary", K909="Minimal Impact"), "Pass - Legitimate Interest Prevails", IF(AND(E909="Legitimate", H909="Necessary", OR(K909="Limited Impact", K909="Significant Impact"), L909&lt;&gt;""), "Pass with Conditions", IF(OR(E909="Not Legitimate", H909="Not Necessary", K909="High Impact"), "Fail - Data Subject''s Rights Prevail", "Pass with Conditions")))</f>
        <v/>
      </c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>
        <f>IF(AND(E910="Legitimate", H910="Necessary", K910="Minimal Impact"), "Pass - Legitimate Interest Prevails", IF(AND(E910="Legitimate", H910="Necessary", OR(K910="Limited Impact", K910="Significant Impact"), L910&lt;&gt;""), "Pass with Conditions", IF(OR(E910="Not Legitimate", H910="Not Necessary", K910="High Impact"), "Fail - Data Subject''s Rights Prevail", "Pass with Conditions")))</f>
        <v/>
      </c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>
        <f>IF(AND(E911="Legitimate", H911="Necessary", K911="Minimal Impact"), "Pass - Legitimate Interest Prevails", IF(AND(E911="Legitimate", H911="Necessary", OR(K911="Limited Impact", K911="Significant Impact"), L911&lt;&gt;""), "Pass with Conditions", IF(OR(E911="Not Legitimate", H911="Not Necessary", K911="High Impact"), "Fail - Data Subject''s Rights Prevail", "Pass with Conditions")))</f>
        <v/>
      </c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>
        <f>IF(AND(E912="Legitimate", H912="Necessary", K912="Minimal Impact"), "Pass - Legitimate Interest Prevails", IF(AND(E912="Legitimate", H912="Necessary", OR(K912="Limited Impact", K912="Significant Impact"), L912&lt;&gt;""), "Pass with Conditions", IF(OR(E912="Not Legitimate", H912="Not Necessary", K912="High Impact"), "Fail - Data Subject''s Rights Prevail", "Pass with Conditions")))</f>
        <v/>
      </c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>
        <f>IF(AND(E913="Legitimate", H913="Necessary", K913="Minimal Impact"), "Pass - Legitimate Interest Prevails", IF(AND(E913="Legitimate", H913="Necessary", OR(K913="Limited Impact", K913="Significant Impact"), L913&lt;&gt;""), "Pass with Conditions", IF(OR(E913="Not Legitimate", H913="Not Necessary", K913="High Impact"), "Fail - Data Subject''s Rights Prevail", "Pass with Conditions")))</f>
        <v/>
      </c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>
        <f>IF(AND(E914="Legitimate", H914="Necessary", K914="Minimal Impact"), "Pass - Legitimate Interest Prevails", IF(AND(E914="Legitimate", H914="Necessary", OR(K914="Limited Impact", K914="Significant Impact"), L914&lt;&gt;""), "Pass with Conditions", IF(OR(E914="Not Legitimate", H914="Not Necessary", K914="High Impact"), "Fail - Data Subject''s Rights Prevail", "Pass with Conditions")))</f>
        <v/>
      </c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>
        <f>IF(AND(E915="Legitimate", H915="Necessary", K915="Minimal Impact"), "Pass - Legitimate Interest Prevails", IF(AND(E915="Legitimate", H915="Necessary", OR(K915="Limited Impact", K915="Significant Impact"), L915&lt;&gt;""), "Pass with Conditions", IF(OR(E915="Not Legitimate", H915="Not Necessary", K915="High Impact"), "Fail - Data Subject''s Rights Prevail", "Pass with Conditions")))</f>
        <v/>
      </c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>
        <f>IF(AND(E916="Legitimate", H916="Necessary", K916="Minimal Impact"), "Pass - Legitimate Interest Prevails", IF(AND(E916="Legitimate", H916="Necessary", OR(K916="Limited Impact", K916="Significant Impact"), L916&lt;&gt;""), "Pass with Conditions", IF(OR(E916="Not Legitimate", H916="Not Necessary", K916="High Impact"), "Fail - Data Subject''s Rights Prevail", "Pass with Conditions")))</f>
        <v/>
      </c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>
        <f>IF(AND(E917="Legitimate", H917="Necessary", K917="Minimal Impact"), "Pass - Legitimate Interest Prevails", IF(AND(E917="Legitimate", H917="Necessary", OR(K917="Limited Impact", K917="Significant Impact"), L917&lt;&gt;""), "Pass with Conditions", IF(OR(E917="Not Legitimate", H917="Not Necessary", K917="High Impact"), "Fail - Data Subject''s Rights Prevail", "Pass with Conditions")))</f>
        <v/>
      </c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>
        <f>IF(AND(E918="Legitimate", H918="Necessary", K918="Minimal Impact"), "Pass - Legitimate Interest Prevails", IF(AND(E918="Legitimate", H918="Necessary", OR(K918="Limited Impact", K918="Significant Impact"), L918&lt;&gt;""), "Pass with Conditions", IF(OR(E918="Not Legitimate", H918="Not Necessary", K918="High Impact"), "Fail - Data Subject''s Rights Prevail", "Pass with Conditions")))</f>
        <v/>
      </c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>
        <f>IF(AND(E919="Legitimate", H919="Necessary", K919="Minimal Impact"), "Pass - Legitimate Interest Prevails", IF(AND(E919="Legitimate", H919="Necessary", OR(K919="Limited Impact", K919="Significant Impact"), L919&lt;&gt;""), "Pass with Conditions", IF(OR(E919="Not Legitimate", H919="Not Necessary", K919="High Impact"), "Fail - Data Subject''s Rights Prevail", "Pass with Conditions")))</f>
        <v/>
      </c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>
        <f>IF(AND(E920="Legitimate", H920="Necessary", K920="Minimal Impact"), "Pass - Legitimate Interest Prevails", IF(AND(E920="Legitimate", H920="Necessary", OR(K920="Limited Impact", K920="Significant Impact"), L920&lt;&gt;""), "Pass with Conditions", IF(OR(E920="Not Legitimate", H920="Not Necessary", K920="High Impact"), "Fail - Data Subject''s Rights Prevail", "Pass with Conditions")))</f>
        <v/>
      </c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>
        <f>IF(AND(E921="Legitimate", H921="Necessary", K921="Minimal Impact"), "Pass - Legitimate Interest Prevails", IF(AND(E921="Legitimate", H921="Necessary", OR(K921="Limited Impact", K921="Significant Impact"), L921&lt;&gt;""), "Pass with Conditions", IF(OR(E921="Not Legitimate", H921="Not Necessary", K921="High Impact"), "Fail - Data Subject''s Rights Prevail", "Pass with Conditions")))</f>
        <v/>
      </c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>
        <f>IF(AND(E922="Legitimate", H922="Necessary", K922="Minimal Impact"), "Pass - Legitimate Interest Prevails", IF(AND(E922="Legitimate", H922="Necessary", OR(K922="Limited Impact", K922="Significant Impact"), L922&lt;&gt;""), "Pass with Conditions", IF(OR(E922="Not Legitimate", H922="Not Necessary", K922="High Impact"), "Fail - Data Subject''s Rights Prevail", "Pass with Conditions")))</f>
        <v/>
      </c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>
        <f>IF(AND(E923="Legitimate", H923="Necessary", K923="Minimal Impact"), "Pass - Legitimate Interest Prevails", IF(AND(E923="Legitimate", H923="Necessary", OR(K923="Limited Impact", K923="Significant Impact"), L923&lt;&gt;""), "Pass with Conditions", IF(OR(E923="Not Legitimate", H923="Not Necessary", K923="High Impact"), "Fail - Data Subject''s Rights Prevail", "Pass with Conditions")))</f>
        <v/>
      </c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>
        <f>IF(AND(E924="Legitimate", H924="Necessary", K924="Minimal Impact"), "Pass - Legitimate Interest Prevails", IF(AND(E924="Legitimate", H924="Necessary", OR(K924="Limited Impact", K924="Significant Impact"), L924&lt;&gt;""), "Pass with Conditions", IF(OR(E924="Not Legitimate", H924="Not Necessary", K924="High Impact"), "Fail - Data Subject''s Rights Prevail", "Pass with Conditions")))</f>
        <v/>
      </c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>
        <f>IF(AND(E925="Legitimate", H925="Necessary", K925="Minimal Impact"), "Pass - Legitimate Interest Prevails", IF(AND(E925="Legitimate", H925="Necessary", OR(K925="Limited Impact", K925="Significant Impact"), L925&lt;&gt;""), "Pass with Conditions", IF(OR(E925="Not Legitimate", H925="Not Necessary", K925="High Impact"), "Fail - Data Subject''s Rights Prevail", "Pass with Conditions")))</f>
        <v/>
      </c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>
        <f>IF(AND(E926="Legitimate", H926="Necessary", K926="Minimal Impact"), "Pass - Legitimate Interest Prevails", IF(AND(E926="Legitimate", H926="Necessary", OR(K926="Limited Impact", K926="Significant Impact"), L926&lt;&gt;""), "Pass with Conditions", IF(OR(E926="Not Legitimate", H926="Not Necessary", K926="High Impact"), "Fail - Data Subject''s Rights Prevail", "Pass with Conditions")))</f>
        <v/>
      </c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>
        <f>IF(AND(E927="Legitimate", H927="Necessary", K927="Minimal Impact"), "Pass - Legitimate Interest Prevails", IF(AND(E927="Legitimate", H927="Necessary", OR(K927="Limited Impact", K927="Significant Impact"), L927&lt;&gt;""), "Pass with Conditions", IF(OR(E927="Not Legitimate", H927="Not Necessary", K927="High Impact"), "Fail - Data Subject''s Rights Prevail", "Pass with Conditions")))</f>
        <v/>
      </c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>
        <f>IF(AND(E928="Legitimate", H928="Necessary", K928="Minimal Impact"), "Pass - Legitimate Interest Prevails", IF(AND(E928="Legitimate", H928="Necessary", OR(K928="Limited Impact", K928="Significant Impact"), L928&lt;&gt;""), "Pass with Conditions", IF(OR(E928="Not Legitimate", H928="Not Necessary", K928="High Impact"), "Fail - Data Subject''s Rights Prevail", "Pass with Conditions")))</f>
        <v/>
      </c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>
        <f>IF(AND(E929="Legitimate", H929="Necessary", K929="Minimal Impact"), "Pass - Legitimate Interest Prevails", IF(AND(E929="Legitimate", H929="Necessary", OR(K929="Limited Impact", K929="Significant Impact"), L929&lt;&gt;""), "Pass with Conditions", IF(OR(E929="Not Legitimate", H929="Not Necessary", K929="High Impact"), "Fail - Data Subject''s Rights Prevail", "Pass with Conditions")))</f>
        <v/>
      </c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>
        <f>IF(AND(E930="Legitimate", H930="Necessary", K930="Minimal Impact"), "Pass - Legitimate Interest Prevails", IF(AND(E930="Legitimate", H930="Necessary", OR(K930="Limited Impact", K930="Significant Impact"), L930&lt;&gt;""), "Pass with Conditions", IF(OR(E930="Not Legitimate", H930="Not Necessary", K930="High Impact"), "Fail - Data Subject''s Rights Prevail", "Pass with Conditions")))</f>
        <v/>
      </c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>
        <f>IF(AND(E931="Legitimate", H931="Necessary", K931="Minimal Impact"), "Pass - Legitimate Interest Prevails", IF(AND(E931="Legitimate", H931="Necessary", OR(K931="Limited Impact", K931="Significant Impact"), L931&lt;&gt;""), "Pass with Conditions", IF(OR(E931="Not Legitimate", H931="Not Necessary", K931="High Impact"), "Fail - Data Subject''s Rights Prevail", "Pass with Conditions")))</f>
        <v/>
      </c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>
        <f>IF(AND(E932="Legitimate", H932="Necessary", K932="Minimal Impact"), "Pass - Legitimate Interest Prevails", IF(AND(E932="Legitimate", H932="Necessary", OR(K932="Limited Impact", K932="Significant Impact"), L932&lt;&gt;""), "Pass with Conditions", IF(OR(E932="Not Legitimate", H932="Not Necessary", K932="High Impact"), "Fail - Data Subject''s Rights Prevail", "Pass with Conditions")))</f>
        <v/>
      </c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>
        <f>IF(AND(E933="Legitimate", H933="Necessary", K933="Minimal Impact"), "Pass - Legitimate Interest Prevails", IF(AND(E933="Legitimate", H933="Necessary", OR(K933="Limited Impact", K933="Significant Impact"), L933&lt;&gt;""), "Pass with Conditions", IF(OR(E933="Not Legitimate", H933="Not Necessary", K933="High Impact"), "Fail - Data Subject''s Rights Prevail", "Pass with Conditions")))</f>
        <v/>
      </c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>
        <f>IF(AND(E934="Legitimate", H934="Necessary", K934="Minimal Impact"), "Pass - Legitimate Interest Prevails", IF(AND(E934="Legitimate", H934="Necessary", OR(K934="Limited Impact", K934="Significant Impact"), L934&lt;&gt;""), "Pass with Conditions", IF(OR(E934="Not Legitimate", H934="Not Necessary", K934="High Impact"), "Fail - Data Subject''s Rights Prevail", "Pass with Conditions")))</f>
        <v/>
      </c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>
        <f>IF(AND(E935="Legitimate", H935="Necessary", K935="Minimal Impact"), "Pass - Legitimate Interest Prevails", IF(AND(E935="Legitimate", H935="Necessary", OR(K935="Limited Impact", K935="Significant Impact"), L935&lt;&gt;""), "Pass with Conditions", IF(OR(E935="Not Legitimate", H935="Not Necessary", K935="High Impact"), "Fail - Data Subject''s Rights Prevail", "Pass with Conditions")))</f>
        <v/>
      </c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>
        <f>IF(AND(E936="Legitimate", H936="Necessary", K936="Minimal Impact"), "Pass - Legitimate Interest Prevails", IF(AND(E936="Legitimate", H936="Necessary", OR(K936="Limited Impact", K936="Significant Impact"), L936&lt;&gt;""), "Pass with Conditions", IF(OR(E936="Not Legitimate", H936="Not Necessary", K936="High Impact"), "Fail - Data Subject''s Rights Prevail", "Pass with Conditions")))</f>
        <v/>
      </c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>
        <f>IF(AND(E937="Legitimate", H937="Necessary", K937="Minimal Impact"), "Pass - Legitimate Interest Prevails", IF(AND(E937="Legitimate", H937="Necessary", OR(K937="Limited Impact", K937="Significant Impact"), L937&lt;&gt;""), "Pass with Conditions", IF(OR(E937="Not Legitimate", H937="Not Necessary", K937="High Impact"), "Fail - Data Subject''s Rights Prevail", "Pass with Conditions")))</f>
        <v/>
      </c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>
        <f>IF(AND(E938="Legitimate", H938="Necessary", K938="Minimal Impact"), "Pass - Legitimate Interest Prevails", IF(AND(E938="Legitimate", H938="Necessary", OR(K938="Limited Impact", K938="Significant Impact"), L938&lt;&gt;""), "Pass with Conditions", IF(OR(E938="Not Legitimate", H938="Not Necessary", K938="High Impact"), "Fail - Data Subject''s Rights Prevail", "Pass with Conditions")))</f>
        <v/>
      </c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>
        <f>IF(AND(E939="Legitimate", H939="Necessary", K939="Minimal Impact"), "Pass - Legitimate Interest Prevails", IF(AND(E939="Legitimate", H939="Necessary", OR(K939="Limited Impact", K939="Significant Impact"), L939&lt;&gt;""), "Pass with Conditions", IF(OR(E939="Not Legitimate", H939="Not Necessary", K939="High Impact"), "Fail - Data Subject''s Rights Prevail", "Pass with Conditions")))</f>
        <v/>
      </c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>
        <f>IF(AND(E940="Legitimate", H940="Necessary", K940="Minimal Impact"), "Pass - Legitimate Interest Prevails", IF(AND(E940="Legitimate", H940="Necessary", OR(K940="Limited Impact", K940="Significant Impact"), L940&lt;&gt;""), "Pass with Conditions", IF(OR(E940="Not Legitimate", H940="Not Necessary", K940="High Impact"), "Fail - Data Subject''s Rights Prevail", "Pass with Conditions")))</f>
        <v/>
      </c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>
        <f>IF(AND(E941="Legitimate", H941="Necessary", K941="Minimal Impact"), "Pass - Legitimate Interest Prevails", IF(AND(E941="Legitimate", H941="Necessary", OR(K941="Limited Impact", K941="Significant Impact"), L941&lt;&gt;""), "Pass with Conditions", IF(OR(E941="Not Legitimate", H941="Not Necessary", K941="High Impact"), "Fail - Data Subject''s Rights Prevail", "Pass with Conditions")))</f>
        <v/>
      </c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>
        <f>IF(AND(E942="Legitimate", H942="Necessary", K942="Minimal Impact"), "Pass - Legitimate Interest Prevails", IF(AND(E942="Legitimate", H942="Necessary", OR(K942="Limited Impact", K942="Significant Impact"), L942&lt;&gt;""), "Pass with Conditions", IF(OR(E942="Not Legitimate", H942="Not Necessary", K942="High Impact"), "Fail - Data Subject''s Rights Prevail", "Pass with Conditions")))</f>
        <v/>
      </c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>
        <f>IF(AND(E943="Legitimate", H943="Necessary", K943="Minimal Impact"), "Pass - Legitimate Interest Prevails", IF(AND(E943="Legitimate", H943="Necessary", OR(K943="Limited Impact", K943="Significant Impact"), L943&lt;&gt;""), "Pass with Conditions", IF(OR(E943="Not Legitimate", H943="Not Necessary", K943="High Impact"), "Fail - Data Subject''s Rights Prevail", "Pass with Conditions")))</f>
        <v/>
      </c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>
        <f>IF(AND(E944="Legitimate", H944="Necessary", K944="Minimal Impact"), "Pass - Legitimate Interest Prevails", IF(AND(E944="Legitimate", H944="Necessary", OR(K944="Limited Impact", K944="Significant Impact"), L944&lt;&gt;""), "Pass with Conditions", IF(OR(E944="Not Legitimate", H944="Not Necessary", K944="High Impact"), "Fail - Data Subject''s Rights Prevail", "Pass with Conditions")))</f>
        <v/>
      </c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>
        <f>IF(AND(E945="Legitimate", H945="Necessary", K945="Minimal Impact"), "Pass - Legitimate Interest Prevails", IF(AND(E945="Legitimate", H945="Necessary", OR(K945="Limited Impact", K945="Significant Impact"), L945&lt;&gt;""), "Pass with Conditions", IF(OR(E945="Not Legitimate", H945="Not Necessary", K945="High Impact"), "Fail - Data Subject''s Rights Prevail", "Pass with Conditions")))</f>
        <v/>
      </c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>
        <f>IF(AND(E946="Legitimate", H946="Necessary", K946="Minimal Impact"), "Pass - Legitimate Interest Prevails", IF(AND(E946="Legitimate", H946="Necessary", OR(K946="Limited Impact", K946="Significant Impact"), L946&lt;&gt;""), "Pass with Conditions", IF(OR(E946="Not Legitimate", H946="Not Necessary", K946="High Impact"), "Fail - Data Subject''s Rights Prevail", "Pass with Conditions")))</f>
        <v/>
      </c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>
        <f>IF(AND(E947="Legitimate", H947="Necessary", K947="Minimal Impact"), "Pass - Legitimate Interest Prevails", IF(AND(E947="Legitimate", H947="Necessary", OR(K947="Limited Impact", K947="Significant Impact"), L947&lt;&gt;""), "Pass with Conditions", IF(OR(E947="Not Legitimate", H947="Not Necessary", K947="High Impact"), "Fail - Data Subject''s Rights Prevail", "Pass with Conditions")))</f>
        <v/>
      </c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>
        <f>IF(AND(E948="Legitimate", H948="Necessary", K948="Minimal Impact"), "Pass - Legitimate Interest Prevails", IF(AND(E948="Legitimate", H948="Necessary", OR(K948="Limited Impact", K948="Significant Impact"), L948&lt;&gt;""), "Pass with Conditions", IF(OR(E948="Not Legitimate", H948="Not Necessary", K948="High Impact"), "Fail - Data Subject''s Rights Prevail", "Pass with Conditions")))</f>
        <v/>
      </c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>
        <f>IF(AND(E949="Legitimate", H949="Necessary", K949="Minimal Impact"), "Pass - Legitimate Interest Prevails", IF(AND(E949="Legitimate", H949="Necessary", OR(K949="Limited Impact", K949="Significant Impact"), L949&lt;&gt;""), "Pass with Conditions", IF(OR(E949="Not Legitimate", H949="Not Necessary", K949="High Impact"), "Fail - Data Subject''s Rights Prevail", "Pass with Conditions")))</f>
        <v/>
      </c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>
        <f>IF(AND(E950="Legitimate", H950="Necessary", K950="Minimal Impact"), "Pass - Legitimate Interest Prevails", IF(AND(E950="Legitimate", H950="Necessary", OR(K950="Limited Impact", K950="Significant Impact"), L950&lt;&gt;""), "Pass with Conditions", IF(OR(E950="Not Legitimate", H950="Not Necessary", K950="High Impact"), "Fail - Data Subject''s Rights Prevail", "Pass with Conditions")))</f>
        <v/>
      </c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>
        <f>IF(AND(E951="Legitimate", H951="Necessary", K951="Minimal Impact"), "Pass - Legitimate Interest Prevails", IF(AND(E951="Legitimate", H951="Necessary", OR(K951="Limited Impact", K951="Significant Impact"), L951&lt;&gt;""), "Pass with Conditions", IF(OR(E951="Not Legitimate", H951="Not Necessary", K951="High Impact"), "Fail - Data Subject''s Rights Prevail", "Pass with Conditions")))</f>
        <v/>
      </c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>
        <f>IF(AND(E952="Legitimate", H952="Necessary", K952="Minimal Impact"), "Pass - Legitimate Interest Prevails", IF(AND(E952="Legitimate", H952="Necessary", OR(K952="Limited Impact", K952="Significant Impact"), L952&lt;&gt;""), "Pass with Conditions", IF(OR(E952="Not Legitimate", H952="Not Necessary", K952="High Impact"), "Fail - Data Subject''s Rights Prevail", "Pass with Conditions")))</f>
        <v/>
      </c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>
        <f>IF(AND(E953="Legitimate", H953="Necessary", K953="Minimal Impact"), "Pass - Legitimate Interest Prevails", IF(AND(E953="Legitimate", H953="Necessary", OR(K953="Limited Impact", K953="Significant Impact"), L953&lt;&gt;""), "Pass with Conditions", IF(OR(E953="Not Legitimate", H953="Not Necessary", K953="High Impact"), "Fail - Data Subject''s Rights Prevail", "Pass with Conditions")))</f>
        <v/>
      </c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>
        <f>IF(AND(E954="Legitimate", H954="Necessary", K954="Minimal Impact"), "Pass - Legitimate Interest Prevails", IF(AND(E954="Legitimate", H954="Necessary", OR(K954="Limited Impact", K954="Significant Impact"), L954&lt;&gt;""), "Pass with Conditions", IF(OR(E954="Not Legitimate", H954="Not Necessary", K954="High Impact"), "Fail - Data Subject''s Rights Prevail", "Pass with Conditions")))</f>
        <v/>
      </c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>
        <f>IF(AND(E955="Legitimate", H955="Necessary", K955="Minimal Impact"), "Pass - Legitimate Interest Prevails", IF(AND(E955="Legitimate", H955="Necessary", OR(K955="Limited Impact", K955="Significant Impact"), L955&lt;&gt;""), "Pass with Conditions", IF(OR(E955="Not Legitimate", H955="Not Necessary", K955="High Impact"), "Fail - Data Subject''s Rights Prevail", "Pass with Conditions")))</f>
        <v/>
      </c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>
        <f>IF(AND(E956="Legitimate", H956="Necessary", K956="Minimal Impact"), "Pass - Legitimate Interest Prevails", IF(AND(E956="Legitimate", H956="Necessary", OR(K956="Limited Impact", K956="Significant Impact"), L956&lt;&gt;""), "Pass with Conditions", IF(OR(E956="Not Legitimate", H956="Not Necessary", K956="High Impact"), "Fail - Data Subject''s Rights Prevail", "Pass with Conditions")))</f>
        <v/>
      </c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>
        <f>IF(AND(E957="Legitimate", H957="Necessary", K957="Minimal Impact"), "Pass - Legitimate Interest Prevails", IF(AND(E957="Legitimate", H957="Necessary", OR(K957="Limited Impact", K957="Significant Impact"), L957&lt;&gt;""), "Pass with Conditions", IF(OR(E957="Not Legitimate", H957="Not Necessary", K957="High Impact"), "Fail - Data Subject''s Rights Prevail", "Pass with Conditions")))</f>
        <v/>
      </c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>
        <f>IF(AND(E958="Legitimate", H958="Necessary", K958="Minimal Impact"), "Pass - Legitimate Interest Prevails", IF(AND(E958="Legitimate", H958="Necessary", OR(K958="Limited Impact", K958="Significant Impact"), L958&lt;&gt;""), "Pass with Conditions", IF(OR(E958="Not Legitimate", H958="Not Necessary", K958="High Impact"), "Fail - Data Subject''s Rights Prevail", "Pass with Conditions")))</f>
        <v/>
      </c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>
        <f>IF(AND(E959="Legitimate", H959="Necessary", K959="Minimal Impact"), "Pass - Legitimate Interest Prevails", IF(AND(E959="Legitimate", H959="Necessary", OR(K959="Limited Impact", K959="Significant Impact"), L959&lt;&gt;""), "Pass with Conditions", IF(OR(E959="Not Legitimate", H959="Not Necessary", K959="High Impact"), "Fail - Data Subject''s Rights Prevail", "Pass with Conditions")))</f>
        <v/>
      </c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>
        <f>IF(AND(E960="Legitimate", H960="Necessary", K960="Minimal Impact"), "Pass - Legitimate Interest Prevails", IF(AND(E960="Legitimate", H960="Necessary", OR(K960="Limited Impact", K960="Significant Impact"), L960&lt;&gt;""), "Pass with Conditions", IF(OR(E960="Not Legitimate", H960="Not Necessary", K960="High Impact"), "Fail - Data Subject''s Rights Prevail", "Pass with Conditions")))</f>
        <v/>
      </c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>
        <f>IF(AND(E961="Legitimate", H961="Necessary", K961="Minimal Impact"), "Pass - Legitimate Interest Prevails", IF(AND(E961="Legitimate", H961="Necessary", OR(K961="Limited Impact", K961="Significant Impact"), L961&lt;&gt;""), "Pass with Conditions", IF(OR(E961="Not Legitimate", H961="Not Necessary", K961="High Impact"), "Fail - Data Subject''s Rights Prevail", "Pass with Conditions")))</f>
        <v/>
      </c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>
        <f>IF(AND(E962="Legitimate", H962="Necessary", K962="Minimal Impact"), "Pass - Legitimate Interest Prevails", IF(AND(E962="Legitimate", H962="Necessary", OR(K962="Limited Impact", K962="Significant Impact"), L962&lt;&gt;""), "Pass with Conditions", IF(OR(E962="Not Legitimate", H962="Not Necessary", K962="High Impact"), "Fail - Data Subject''s Rights Prevail", "Pass with Conditions")))</f>
        <v/>
      </c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>
        <f>IF(AND(E963="Legitimate", H963="Necessary", K963="Minimal Impact"), "Pass - Legitimate Interest Prevails", IF(AND(E963="Legitimate", H963="Necessary", OR(K963="Limited Impact", K963="Significant Impact"), L963&lt;&gt;""), "Pass with Conditions", IF(OR(E963="Not Legitimate", H963="Not Necessary", K963="High Impact"), "Fail - Data Subject''s Rights Prevail", "Pass with Conditions")))</f>
        <v/>
      </c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>
        <f>IF(AND(E964="Legitimate", H964="Necessary", K964="Minimal Impact"), "Pass - Legitimate Interest Prevails", IF(AND(E964="Legitimate", H964="Necessary", OR(K964="Limited Impact", K964="Significant Impact"), L964&lt;&gt;""), "Pass with Conditions", IF(OR(E964="Not Legitimate", H964="Not Necessary", K964="High Impact"), "Fail - Data Subject''s Rights Prevail", "Pass with Conditions")))</f>
        <v/>
      </c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>
        <f>IF(AND(E965="Legitimate", H965="Necessary", K965="Minimal Impact"), "Pass - Legitimate Interest Prevails", IF(AND(E965="Legitimate", H965="Necessary", OR(K965="Limited Impact", K965="Significant Impact"), L965&lt;&gt;""), "Pass with Conditions", IF(OR(E965="Not Legitimate", H965="Not Necessary", K965="High Impact"), "Fail - Data Subject''s Rights Prevail", "Pass with Conditions")))</f>
        <v/>
      </c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>
        <f>IF(AND(E966="Legitimate", H966="Necessary", K966="Minimal Impact"), "Pass - Legitimate Interest Prevails", IF(AND(E966="Legitimate", H966="Necessary", OR(K966="Limited Impact", K966="Significant Impact"), L966&lt;&gt;""), "Pass with Conditions", IF(OR(E966="Not Legitimate", H966="Not Necessary", K966="High Impact"), "Fail - Data Subject''s Rights Prevail", "Pass with Conditions")))</f>
        <v/>
      </c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>
        <f>IF(AND(E967="Legitimate", H967="Necessary", K967="Minimal Impact"), "Pass - Legitimate Interest Prevails", IF(AND(E967="Legitimate", H967="Necessary", OR(K967="Limited Impact", K967="Significant Impact"), L967&lt;&gt;""), "Pass with Conditions", IF(OR(E967="Not Legitimate", H967="Not Necessary", K967="High Impact"), "Fail - Data Subject''s Rights Prevail", "Pass with Conditions")))</f>
        <v/>
      </c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>
        <f>IF(AND(E968="Legitimate", H968="Necessary", K968="Minimal Impact"), "Pass - Legitimate Interest Prevails", IF(AND(E968="Legitimate", H968="Necessary", OR(K968="Limited Impact", K968="Significant Impact"), L968&lt;&gt;""), "Pass with Conditions", IF(OR(E968="Not Legitimate", H968="Not Necessary", K968="High Impact"), "Fail - Data Subject''s Rights Prevail", "Pass with Conditions")))</f>
        <v/>
      </c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>
        <f>IF(AND(E969="Legitimate", H969="Necessary", K969="Minimal Impact"), "Pass - Legitimate Interest Prevails", IF(AND(E969="Legitimate", H969="Necessary", OR(K969="Limited Impact", K969="Significant Impact"), L969&lt;&gt;""), "Pass with Conditions", IF(OR(E969="Not Legitimate", H969="Not Necessary", K969="High Impact"), "Fail - Data Subject''s Rights Prevail", "Pass with Conditions")))</f>
        <v/>
      </c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>
        <f>IF(AND(E970="Legitimate", H970="Necessary", K970="Minimal Impact"), "Pass - Legitimate Interest Prevails", IF(AND(E970="Legitimate", H970="Necessary", OR(K970="Limited Impact", K970="Significant Impact"), L970&lt;&gt;""), "Pass with Conditions", IF(OR(E970="Not Legitimate", H970="Not Necessary", K970="High Impact"), "Fail - Data Subject''s Rights Prevail", "Pass with Conditions")))</f>
        <v/>
      </c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>
        <f>IF(AND(E971="Legitimate", H971="Necessary", K971="Minimal Impact"), "Pass - Legitimate Interest Prevails", IF(AND(E971="Legitimate", H971="Necessary", OR(K971="Limited Impact", K971="Significant Impact"), L971&lt;&gt;""), "Pass with Conditions", IF(OR(E971="Not Legitimate", H971="Not Necessary", K971="High Impact"), "Fail - Data Subject''s Rights Prevail", "Pass with Conditions")))</f>
        <v/>
      </c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>
        <f>IF(AND(E972="Legitimate", H972="Necessary", K972="Minimal Impact"), "Pass - Legitimate Interest Prevails", IF(AND(E972="Legitimate", H972="Necessary", OR(K972="Limited Impact", K972="Significant Impact"), L972&lt;&gt;""), "Pass with Conditions", IF(OR(E972="Not Legitimate", H972="Not Necessary", K972="High Impact"), "Fail - Data Subject''s Rights Prevail", "Pass with Conditions")))</f>
        <v/>
      </c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>
        <f>IF(AND(E973="Legitimate", H973="Necessary", K973="Minimal Impact"), "Pass - Legitimate Interest Prevails", IF(AND(E973="Legitimate", H973="Necessary", OR(K973="Limited Impact", K973="Significant Impact"), L973&lt;&gt;""), "Pass with Conditions", IF(OR(E973="Not Legitimate", H973="Not Necessary", K973="High Impact"), "Fail - Data Subject''s Rights Prevail", "Pass with Conditions")))</f>
        <v/>
      </c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>
        <f>IF(AND(E974="Legitimate", H974="Necessary", K974="Minimal Impact"), "Pass - Legitimate Interest Prevails", IF(AND(E974="Legitimate", H974="Necessary", OR(K974="Limited Impact", K974="Significant Impact"), L974&lt;&gt;""), "Pass with Conditions", IF(OR(E974="Not Legitimate", H974="Not Necessary", K974="High Impact"), "Fail - Data Subject''s Rights Prevail", "Pass with Conditions")))</f>
        <v/>
      </c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>
        <f>IF(AND(E975="Legitimate", H975="Necessary", K975="Minimal Impact"), "Pass - Legitimate Interest Prevails", IF(AND(E975="Legitimate", H975="Necessary", OR(K975="Limited Impact", K975="Significant Impact"), L975&lt;&gt;""), "Pass with Conditions", IF(OR(E975="Not Legitimate", H975="Not Necessary", K975="High Impact"), "Fail - Data Subject''s Rights Prevail", "Pass with Conditions")))</f>
        <v/>
      </c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>
        <f>IF(AND(E976="Legitimate", H976="Necessary", K976="Minimal Impact"), "Pass - Legitimate Interest Prevails", IF(AND(E976="Legitimate", H976="Necessary", OR(K976="Limited Impact", K976="Significant Impact"), L976&lt;&gt;""), "Pass with Conditions", IF(OR(E976="Not Legitimate", H976="Not Necessary", K976="High Impact"), "Fail - Data Subject''s Rights Prevail", "Pass with Conditions")))</f>
        <v/>
      </c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>
        <f>IF(AND(E977="Legitimate", H977="Necessary", K977="Minimal Impact"), "Pass - Legitimate Interest Prevails", IF(AND(E977="Legitimate", H977="Necessary", OR(K977="Limited Impact", K977="Significant Impact"), L977&lt;&gt;""), "Pass with Conditions", IF(OR(E977="Not Legitimate", H977="Not Necessary", K977="High Impact"), "Fail - Data Subject''s Rights Prevail", "Pass with Conditions")))</f>
        <v/>
      </c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>
        <f>IF(AND(E978="Legitimate", H978="Necessary", K978="Minimal Impact"), "Pass - Legitimate Interest Prevails", IF(AND(E978="Legitimate", H978="Necessary", OR(K978="Limited Impact", K978="Significant Impact"), L978&lt;&gt;""), "Pass with Conditions", IF(OR(E978="Not Legitimate", H978="Not Necessary", K978="High Impact"), "Fail - Data Subject''s Rights Prevail", "Pass with Conditions")))</f>
        <v/>
      </c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>
        <f>IF(AND(E979="Legitimate", H979="Necessary", K979="Minimal Impact"), "Pass - Legitimate Interest Prevails", IF(AND(E979="Legitimate", H979="Necessary", OR(K979="Limited Impact", K979="Significant Impact"), L979&lt;&gt;""), "Pass with Conditions", IF(OR(E979="Not Legitimate", H979="Not Necessary", K979="High Impact"), "Fail - Data Subject''s Rights Prevail", "Pass with Conditions")))</f>
        <v/>
      </c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>
        <f>IF(AND(E980="Legitimate", H980="Necessary", K980="Minimal Impact"), "Pass - Legitimate Interest Prevails", IF(AND(E980="Legitimate", H980="Necessary", OR(K980="Limited Impact", K980="Significant Impact"), L980&lt;&gt;""), "Pass with Conditions", IF(OR(E980="Not Legitimate", H980="Not Necessary", K980="High Impact"), "Fail - Data Subject''s Rights Prevail", "Pass with Conditions")))</f>
        <v/>
      </c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>
        <f>IF(AND(E981="Legitimate", H981="Necessary", K981="Minimal Impact"), "Pass - Legitimate Interest Prevails", IF(AND(E981="Legitimate", H981="Necessary", OR(K981="Limited Impact", K981="Significant Impact"), L981&lt;&gt;""), "Pass with Conditions", IF(OR(E981="Not Legitimate", H981="Not Necessary", K981="High Impact"), "Fail - Data Subject''s Rights Prevail", "Pass with Conditions")))</f>
        <v/>
      </c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>
        <f>IF(AND(E982="Legitimate", H982="Necessary", K982="Minimal Impact"), "Pass - Legitimate Interest Prevails", IF(AND(E982="Legitimate", H982="Necessary", OR(K982="Limited Impact", K982="Significant Impact"), L982&lt;&gt;""), "Pass with Conditions", IF(OR(E982="Not Legitimate", H982="Not Necessary", K982="High Impact"), "Fail - Data Subject''s Rights Prevail", "Pass with Conditions")))</f>
        <v/>
      </c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>
        <f>IF(AND(E983="Legitimate", H983="Necessary", K983="Minimal Impact"), "Pass - Legitimate Interest Prevails", IF(AND(E983="Legitimate", H983="Necessary", OR(K983="Limited Impact", K983="Significant Impact"), L983&lt;&gt;""), "Pass with Conditions", IF(OR(E983="Not Legitimate", H983="Not Necessary", K983="High Impact"), "Fail - Data Subject''s Rights Prevail", "Pass with Conditions")))</f>
        <v/>
      </c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>
        <f>IF(AND(E984="Legitimate", H984="Necessary", K984="Minimal Impact"), "Pass - Legitimate Interest Prevails", IF(AND(E984="Legitimate", H984="Necessary", OR(K984="Limited Impact", K984="Significant Impact"), L984&lt;&gt;""), "Pass with Conditions", IF(OR(E984="Not Legitimate", H984="Not Necessary", K984="High Impact"), "Fail - Data Subject''s Rights Prevail", "Pass with Conditions")))</f>
        <v/>
      </c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>
        <f>IF(AND(E985="Legitimate", H985="Necessary", K985="Minimal Impact"), "Pass - Legitimate Interest Prevails", IF(AND(E985="Legitimate", H985="Necessary", OR(K985="Limited Impact", K985="Significant Impact"), L985&lt;&gt;""), "Pass with Conditions", IF(OR(E985="Not Legitimate", H985="Not Necessary", K985="High Impact"), "Fail - Data Subject''s Rights Prevail", "Pass with Conditions")))</f>
        <v/>
      </c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>
        <f>IF(AND(E986="Legitimate", H986="Necessary", K986="Minimal Impact"), "Pass - Legitimate Interest Prevails", IF(AND(E986="Legitimate", H986="Necessary", OR(K986="Limited Impact", K986="Significant Impact"), L986&lt;&gt;""), "Pass with Conditions", IF(OR(E986="Not Legitimate", H986="Not Necessary", K986="High Impact"), "Fail - Data Subject''s Rights Prevail", "Pass with Conditions")))</f>
        <v/>
      </c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>
        <f>IF(AND(E987="Legitimate", H987="Necessary", K987="Minimal Impact"), "Pass - Legitimate Interest Prevails", IF(AND(E987="Legitimate", H987="Necessary", OR(K987="Limited Impact", K987="Significant Impact"), L987&lt;&gt;""), "Pass with Conditions", IF(OR(E987="Not Legitimate", H987="Not Necessary", K987="High Impact"), "Fail - Data Subject''s Rights Prevail", "Pass with Conditions")))</f>
        <v/>
      </c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>
        <f>IF(AND(E988="Legitimate", H988="Necessary", K988="Minimal Impact"), "Pass - Legitimate Interest Prevails", IF(AND(E988="Legitimate", H988="Necessary", OR(K988="Limited Impact", K988="Significant Impact"), L988&lt;&gt;""), "Pass with Conditions", IF(OR(E988="Not Legitimate", H988="Not Necessary", K988="High Impact"), "Fail - Data Subject''s Rights Prevail", "Pass with Conditions")))</f>
        <v/>
      </c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>
        <f>IF(AND(E989="Legitimate", H989="Necessary", K989="Minimal Impact"), "Pass - Legitimate Interest Prevails", IF(AND(E989="Legitimate", H989="Necessary", OR(K989="Limited Impact", K989="Significant Impact"), L989&lt;&gt;""), "Pass with Conditions", IF(OR(E989="Not Legitimate", H989="Not Necessary", K989="High Impact"), "Fail - Data Subject''s Rights Prevail", "Pass with Conditions")))</f>
        <v/>
      </c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>
        <f>IF(AND(E990="Legitimate", H990="Necessary", K990="Minimal Impact"), "Pass - Legitimate Interest Prevails", IF(AND(E990="Legitimate", H990="Necessary", OR(K990="Limited Impact", K990="Significant Impact"), L990&lt;&gt;""), "Pass with Conditions", IF(OR(E990="Not Legitimate", H990="Not Necessary", K990="High Impact"), "Fail - Data Subject''s Rights Prevail", "Pass with Conditions")))</f>
        <v/>
      </c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>
        <f>IF(AND(E991="Legitimate", H991="Necessary", K991="Minimal Impact"), "Pass - Legitimate Interest Prevails", IF(AND(E991="Legitimate", H991="Necessary", OR(K991="Limited Impact", K991="Significant Impact"), L991&lt;&gt;""), "Pass with Conditions", IF(OR(E991="Not Legitimate", H991="Not Necessary", K991="High Impact"), "Fail - Data Subject''s Rights Prevail", "Pass with Conditions")))</f>
        <v/>
      </c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>
        <f>IF(AND(E992="Legitimate", H992="Necessary", K992="Minimal Impact"), "Pass - Legitimate Interest Prevails", IF(AND(E992="Legitimate", H992="Necessary", OR(K992="Limited Impact", K992="Significant Impact"), L992&lt;&gt;""), "Pass with Conditions", IF(OR(E992="Not Legitimate", H992="Not Necessary", K992="High Impact"), "Fail - Data Subject''s Rights Prevail", "Pass with Conditions")))</f>
        <v/>
      </c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>
        <f>IF(AND(E993="Legitimate", H993="Necessary", K993="Minimal Impact"), "Pass - Legitimate Interest Prevails", IF(AND(E993="Legitimate", H993="Necessary", OR(K993="Limited Impact", K993="Significant Impact"), L993&lt;&gt;""), "Pass with Conditions", IF(OR(E993="Not Legitimate", H993="Not Necessary", K993="High Impact"), "Fail - Data Subject''s Rights Prevail", "Pass with Conditions")))</f>
        <v/>
      </c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>
        <f>IF(AND(E994="Legitimate", H994="Necessary", K994="Minimal Impact"), "Pass - Legitimate Interest Prevails", IF(AND(E994="Legitimate", H994="Necessary", OR(K994="Limited Impact", K994="Significant Impact"), L994&lt;&gt;""), "Pass with Conditions", IF(OR(E994="Not Legitimate", H994="Not Necessary", K994="High Impact"), "Fail - Data Subject''s Rights Prevail", "Pass with Conditions")))</f>
        <v/>
      </c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>
        <f>IF(AND(E995="Legitimate", H995="Necessary", K995="Minimal Impact"), "Pass - Legitimate Interest Prevails", IF(AND(E995="Legitimate", H995="Necessary", OR(K995="Limited Impact", K995="Significant Impact"), L995&lt;&gt;""), "Pass with Conditions", IF(OR(E995="Not Legitimate", H995="Not Necessary", K995="High Impact"), "Fail - Data Subject''s Rights Prevail", "Pass with Conditions")))</f>
        <v/>
      </c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>
        <f>IF(AND(E996="Legitimate", H996="Necessary", K996="Minimal Impact"), "Pass - Legitimate Interest Prevails", IF(AND(E996="Legitimate", H996="Necessary", OR(K996="Limited Impact", K996="Significant Impact"), L996&lt;&gt;""), "Pass with Conditions", IF(OR(E996="Not Legitimate", H996="Not Necessary", K996="High Impact"), "Fail - Data Subject''s Rights Prevail", "Pass with Conditions")))</f>
        <v/>
      </c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>
        <f>IF(AND(E997="Legitimate", H997="Necessary", K997="Minimal Impact"), "Pass - Legitimate Interest Prevails", IF(AND(E997="Legitimate", H997="Necessary", OR(K997="Limited Impact", K997="Significant Impact"), L997&lt;&gt;""), "Pass with Conditions", IF(OR(E997="Not Legitimate", H997="Not Necessary", K997="High Impact"), "Fail - Data Subject''s Rights Prevail", "Pass with Conditions")))</f>
        <v/>
      </c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>
        <f>IF(AND(E998="Legitimate", H998="Necessary", K998="Minimal Impact"), "Pass - Legitimate Interest Prevails", IF(AND(E998="Legitimate", H998="Necessary", OR(K998="Limited Impact", K998="Significant Impact"), L998&lt;&gt;""), "Pass with Conditions", IF(OR(E998="Not Legitimate", H998="Not Necessary", K998="High Impact"), "Fail - Data Subject''s Rights Prevail", "Pass with Conditions")))</f>
        <v/>
      </c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>
        <f>IF(AND(E999="Legitimate", H999="Necessary", K999="Minimal Impact"), "Pass - Legitimate Interest Prevails", IF(AND(E999="Legitimate", H999="Necessary", OR(K999="Limited Impact", K999="Significant Impact"), L999&lt;&gt;""), "Pass with Conditions", IF(OR(E999="Not Legitimate", H999="Not Necessary", K999="High Impact"), "Fail - Data Subject''s Rights Prevail", "Pass with Conditions")))</f>
        <v/>
      </c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>
        <f>IF(AND(E1000="Legitimate", H1000="Necessary", K1000="Minimal Impact"), "Pass - Legitimate Interest Prevails", IF(AND(E1000="Legitimate", H1000="Necessary", OR(K1000="Limited Impact", K1000="Significant Impact"), L1000&lt;&gt;""), "Pass with Conditions", IF(OR(E1000="Not Legitimate", H1000="Not Necessary", K1000="High Impact"), "Fail - Data Subject''s Rights Prevail", "Pass with Conditions")))</f>
        <v/>
      </c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M2:M1000">
    <cfRule type="cellIs" priority="1" operator="equal" dxfId="0">
      <formula>"Pass - Legitimate Interest Prevails"</formula>
    </cfRule>
    <cfRule type="cellIs" priority="2" operator="equal" dxfId="1">
      <formula>"Pass with Conditions"</formula>
    </cfRule>
    <cfRule type="cellIs" priority="3" operator="equal" dxfId="2">
      <formula>"Fail - Data Subject's Rights Prevail"</formula>
    </cfRule>
  </conditionalFormatting>
  <conditionalFormatting sqref="K2:K1000">
    <cfRule type="cellIs" priority="4" operator="equal" dxfId="3">
      <formula>"High Impact"</formula>
    </cfRule>
    <cfRule type="cellIs" priority="5" operator="equal" dxfId="3">
      <formula>"Significant Impact"</formula>
    </cfRule>
  </conditionalFormatting>
  <conditionalFormatting sqref="P2:P1000">
    <cfRule type="cellIs" priority="6" operator="equal" dxfId="0">
      <formula>"Approved"</formula>
    </cfRule>
    <cfRule type="cellIs" priority="7" operator="equal" dxfId="1">
      <formula>"Approved with Conditions"</formula>
    </cfRule>
    <cfRule type="cellIs" priority="8" operator="equal" dxfId="2">
      <formula>"Requires Revision"</formula>
    </cfRule>
    <cfRule type="cellIs" priority="9" operator="equal" dxfId="2">
      <formula>"Rejected"</formula>
    </cfRule>
  </conditionalFormatting>
  <dataValidations count="6">
    <dataValidation sqref="D2:D1000" showDropDown="0" showInputMessage="0" showErrorMessage="1" allowBlank="0" errorTitle="Invalid Input" error="Please select from dropdown list" type="list">
      <formula1>"Controller,Data Subject,Third Party,Multiple Parties"</formula1>
    </dataValidation>
    <dataValidation sqref="E2:E1000" showDropDown="0" showInputMessage="0" showErrorMessage="1" allowBlank="0" errorTitle="Invalid Input" error="Please select from dropdown list" type="list">
      <formula1>"Legitimate,Questionable,Not Legitimate"</formula1>
    </dataValidation>
    <dataValidation sqref="H2:H1000" showDropDown="0" showInputMessage="0" showErrorMessage="1" allowBlank="0" errorTitle="Invalid Input" error="Please select from dropdown list" type="list">
      <formula1>"Necessary,Questionable,Not Necessary"</formula1>
    </dataValidation>
    <dataValidation sqref="J2:J1000" showDropDown="0" showInputMessage="0" showErrorMessage="1" allowBlank="0" errorTitle="Invalid Input" error="Please select from dropdown list" type="list">
      <formula1>"Reasonable Expectation,Unexpected,Surprising"</formula1>
    </dataValidation>
    <dataValidation sqref="K2:K1000" showDropDown="0" showInputMessage="0" showErrorMessage="1" allowBlank="0" errorTitle="Invalid Input" error="Please select from dropdown list" type="list">
      <formula1>"Minimal Impact,Limited Impact,Significant Impact,High Impact"</formula1>
    </dataValidation>
    <dataValidation sqref="P2:P1000" showDropDown="0" showInputMessage="0" showErrorMessage="1" allowBlank="0" errorTitle="Invalid Input" error="Please select from dropdown list" type="list">
      <formula1>"Yes,No,Pending"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50" customWidth="1" min="13" max="13"/>
    <col width="20" customWidth="1" min="14" max="14"/>
    <col width="40" customWidth="1" min="15" max="15"/>
    <col width="15" customWidth="1" min="16" max="16"/>
    <col width="20" customWidth="1" min="17" max="17"/>
  </cols>
  <sheetData>
    <row r="1">
      <c r="A1" s="6" t="inlineStr">
        <is>
          <t>Consent ID</t>
        </is>
      </c>
      <c r="B1" s="6" t="inlineStr">
        <is>
          <t>Activity ID
(from Sheet 2)</t>
        </is>
      </c>
      <c r="C1" s="6" t="inlineStr">
        <is>
          <t>Consent Purpose</t>
        </is>
      </c>
      <c r="D1" s="6" t="inlineStr">
        <is>
          <t>Consent Date</t>
        </is>
      </c>
      <c r="E1" s="6" t="inlineStr">
        <is>
          <t>Consent Mechanism</t>
        </is>
      </c>
      <c r="F1" s="6" t="inlineStr">
        <is>
          <t>Freely Given?</t>
        </is>
      </c>
      <c r="G1" s="6" t="inlineStr">
        <is>
          <t>Specific?</t>
        </is>
      </c>
      <c r="H1" s="6" t="inlineStr">
        <is>
          <t>Informed?</t>
        </is>
      </c>
      <c r="I1" s="6" t="inlineStr">
        <is>
          <t>Unambiguous?</t>
        </is>
      </c>
      <c r="J1" s="6" t="inlineStr">
        <is>
          <t>Documented?</t>
        </is>
      </c>
      <c r="K1" s="6" t="inlineStr">
        <is>
          <t>Consent Validity</t>
        </is>
      </c>
      <c r="L1" s="6" t="inlineStr">
        <is>
          <t>Withdrawal Mechanism Available?</t>
        </is>
      </c>
      <c r="M1" s="6" t="inlineStr">
        <is>
          <t>Withdrawal Mechanism Description</t>
        </is>
      </c>
      <c r="N1" s="6" t="inlineStr">
        <is>
          <t>Withdrawal Processing Time</t>
        </is>
      </c>
      <c r="O1" s="6" t="inlineStr">
        <is>
          <t>Consent Records Location</t>
        </is>
      </c>
      <c r="P1" s="6" t="inlineStr">
        <is>
          <t>Audit Trail Available?</t>
        </is>
      </c>
      <c r="Q1" s="6" t="inlineStr">
        <is>
          <t>Evidence Reference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IF(F2="No", "Invalid - Not Freely Given", IF(G2="No", "Invalid - Not Specific", IF(H2="No", "Invalid - Not Informed", IF(I2="No", "Invalid - Ambiguous", IF(J2="No", "Invalid - Not Documented", IF(AND(F2="Yes", G2="Yes", H2="Yes", I2="Yes", J2="Yes"), "Valid", "Requires Review"))))))</f>
        <v/>
      </c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IF(F3="No", "Invalid - Not Freely Given", IF(G3="No", "Invalid - Not Specific", IF(H3="No", "Invalid - Not Informed", IF(I3="No", "Invalid - Ambiguous", IF(J3="No", "Invalid - Not Documented", IF(AND(F3="Yes", G3="Yes", H3="Yes", I3="Yes", J3="Yes"), "Valid", "Requires Review"))))))</f>
        <v/>
      </c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IF(F4="No", "Invalid - Not Freely Given", IF(G4="No", "Invalid - Not Specific", IF(H4="No", "Invalid - Not Informed", IF(I4="No", "Invalid - Ambiguous", IF(J4="No", "Invalid - Not Documented", IF(AND(F4="Yes", G4="Yes", H4="Yes", I4="Yes", J4="Yes"), "Valid", "Requires Review"))))))</f>
        <v/>
      </c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IF(F5="No", "Invalid - Not Freely Given", IF(G5="No", "Invalid - Not Specific", IF(H5="No", "Invalid - Not Informed", IF(I5="No", "Invalid - Ambiguous", IF(J5="No", "Invalid - Not Documented", IF(AND(F5="Yes", G5="Yes", H5="Yes", I5="Yes", J5="Yes"), "Valid", "Requires Review"))))))</f>
        <v/>
      </c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IF(F6="No", "Invalid - Not Freely Given", IF(G6="No", "Invalid - Not Specific", IF(H6="No", "Invalid - Not Informed", IF(I6="No", "Invalid - Ambiguous", IF(J6="No", "Invalid - Not Documented", IF(AND(F6="Yes", G6="Yes", H6="Yes", I6="Yes", J6="Yes"), "Valid", "Requires Review"))))))</f>
        <v/>
      </c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IF(F7="No", "Invalid - Not Freely Given", IF(G7="No", "Invalid - Not Specific", IF(H7="No", "Invalid - Not Informed", IF(I7="No", "Invalid - Ambiguous", IF(J7="No", "Invalid - Not Documented", IF(AND(F7="Yes", G7="Yes", H7="Yes", I7="Yes", J7="Yes"), "Valid", "Requires Review"))))))</f>
        <v/>
      </c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IF(F8="No", "Invalid - Not Freely Given", IF(G8="No", "Invalid - Not Specific", IF(H8="No", "Invalid - Not Informed", IF(I8="No", "Invalid - Ambiguous", IF(J8="No", "Invalid - Not Documented", IF(AND(F8="Yes", G8="Yes", H8="Yes", I8="Yes", J8="Yes"), "Valid", "Requires Review"))))))</f>
        <v/>
      </c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IF(F9="No", "Invalid - Not Freely Given", IF(G9="No", "Invalid - Not Specific", IF(H9="No", "Invalid - Not Informed", IF(I9="No", "Invalid - Ambiguous", IF(J9="No", "Invalid - Not Documented", IF(AND(F9="Yes", G9="Yes", H9="Yes", I9="Yes", J9="Yes"), "Valid", "Requires Review"))))))</f>
        <v/>
      </c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IF(F10="No", "Invalid - Not Freely Given", IF(G10="No", "Invalid - Not Specific", IF(H10="No", "Invalid - Not Informed", IF(I10="No", "Invalid - Ambiguous", IF(J10="No", "Invalid - Not Documented", IF(AND(F10="Yes", G10="Yes", H10="Yes", I10="Yes", J10="Yes"), "Valid", "Requires Review"))))))</f>
        <v/>
      </c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IF(F11="No", "Invalid - Not Freely Given", IF(G11="No", "Invalid - Not Specific", IF(H11="No", "Invalid - Not Informed", IF(I11="No", "Invalid - Ambiguous", IF(J11="No", "Invalid - Not Documented", IF(AND(F11="Yes", G11="Yes", H11="Yes", I11="Yes", J11="Yes"), "Valid", "Requires Review"))))))</f>
        <v/>
      </c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IF(F12="No", "Invalid - Not Freely Given", IF(G12="No", "Invalid - Not Specific", IF(H12="No", "Invalid - Not Informed", IF(I12="No", "Invalid - Ambiguous", IF(J12="No", "Invalid - Not Documented", IF(AND(F12="Yes", G12="Yes", H12="Yes", I12="Yes", J12="Yes"), "Valid", "Requires Review"))))))</f>
        <v/>
      </c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IF(F13="No", "Invalid - Not Freely Given", IF(G13="No", "Invalid - Not Specific", IF(H13="No", "Invalid - Not Informed", IF(I13="No", "Invalid - Ambiguous", IF(J13="No", "Invalid - Not Documented", IF(AND(F13="Yes", G13="Yes", H13="Yes", I13="Yes", J13="Yes"), "Valid", "Requires Review"))))))</f>
        <v/>
      </c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IF(F14="No", "Invalid - Not Freely Given", IF(G14="No", "Invalid - Not Specific", IF(H14="No", "Invalid - Not Informed", IF(I14="No", "Invalid - Ambiguous", IF(J14="No", "Invalid - Not Documented", IF(AND(F14="Yes", G14="Yes", H14="Yes", I14="Yes", J14="Yes"), "Valid", "Requires Review"))))))</f>
        <v/>
      </c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IF(F15="No", "Invalid - Not Freely Given", IF(G15="No", "Invalid - Not Specific", IF(H15="No", "Invalid - Not Informed", IF(I15="No", "Invalid - Ambiguous", IF(J15="No", "Invalid - Not Documented", IF(AND(F15="Yes", G15="Yes", H15="Yes", I15="Yes", J15="Yes"), "Valid", "Requires Review"))))))</f>
        <v/>
      </c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IF(F16="No", "Invalid - Not Freely Given", IF(G16="No", "Invalid - Not Specific", IF(H16="No", "Invalid - Not Informed", IF(I16="No", "Invalid - Ambiguous", IF(J16="No", "Invalid - Not Documented", IF(AND(F16="Yes", G16="Yes", H16="Yes", I16="Yes", J16="Yes"), "Valid", "Requires Review"))))))</f>
        <v/>
      </c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IF(F17="No", "Invalid - Not Freely Given", IF(G17="No", "Invalid - Not Specific", IF(H17="No", "Invalid - Not Informed", IF(I17="No", "Invalid - Ambiguous", IF(J17="No", "Invalid - Not Documented", IF(AND(F17="Yes", G17="Yes", H17="Yes", I17="Yes", J17="Yes"), "Valid", "Requires Review"))))))</f>
        <v/>
      </c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IF(F18="No", "Invalid - Not Freely Given", IF(G18="No", "Invalid - Not Specific", IF(H18="No", "Invalid - Not Informed", IF(I18="No", "Invalid - Ambiguous", IF(J18="No", "Invalid - Not Documented", IF(AND(F18="Yes", G18="Yes", H18="Yes", I18="Yes", J18="Yes"), "Valid", "Requires Review"))))))</f>
        <v/>
      </c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IF(F19="No", "Invalid - Not Freely Given", IF(G19="No", "Invalid - Not Specific", IF(H19="No", "Invalid - Not Informed", IF(I19="No", "Invalid - Ambiguous", IF(J19="No", "Invalid - Not Documented", IF(AND(F19="Yes", G19="Yes", H19="Yes", I19="Yes", J19="Yes"), "Valid", "Requires Review"))))))</f>
        <v/>
      </c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IF(F20="No", "Invalid - Not Freely Given", IF(G20="No", "Invalid - Not Specific", IF(H20="No", "Invalid - Not Informed", IF(I20="No", "Invalid - Ambiguous", IF(J20="No", "Invalid - Not Documented", IF(AND(F20="Yes", G20="Yes", H20="Yes", I20="Yes", J20="Yes"), "Valid", "Requires Review"))))))</f>
        <v/>
      </c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IF(F21="No", "Invalid - Not Freely Given", IF(G21="No", "Invalid - Not Specific", IF(H21="No", "Invalid - Not Informed", IF(I21="No", "Invalid - Ambiguous", IF(J21="No", "Invalid - Not Documented", IF(AND(F21="Yes", G21="Yes", H21="Yes", I21="Yes", J21="Yes"), "Valid", "Requires Review"))))))</f>
        <v/>
      </c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IF(F22="No", "Invalid - Not Freely Given", IF(G22="No", "Invalid - Not Specific", IF(H22="No", "Invalid - Not Informed", IF(I22="No", "Invalid - Ambiguous", IF(J22="No", "Invalid - Not Documented", IF(AND(F22="Yes", G22="Yes", H22="Yes", I22="Yes", J22="Yes"), "Valid", "Requires Review"))))))</f>
        <v/>
      </c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IF(F23="No", "Invalid - Not Freely Given", IF(G23="No", "Invalid - Not Specific", IF(H23="No", "Invalid - Not Informed", IF(I23="No", "Invalid - Ambiguous", IF(J23="No", "Invalid - Not Documented", IF(AND(F23="Yes", G23="Yes", H23="Yes", I23="Yes", J23="Yes"), "Valid", "Requires Review"))))))</f>
        <v/>
      </c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IF(F24="No", "Invalid - Not Freely Given", IF(G24="No", "Invalid - Not Specific", IF(H24="No", "Invalid - Not Informed", IF(I24="No", "Invalid - Ambiguous", IF(J24="No", "Invalid - Not Documented", IF(AND(F24="Yes", G24="Yes", H24="Yes", I24="Yes", J24="Yes"), "Valid", "Requires Review"))))))</f>
        <v/>
      </c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IF(F25="No", "Invalid - Not Freely Given", IF(G25="No", "Invalid - Not Specific", IF(H25="No", "Invalid - Not Informed", IF(I25="No", "Invalid - Ambiguous", IF(J25="No", "Invalid - Not Documented", IF(AND(F25="Yes", G25="Yes", H25="Yes", I25="Yes", J25="Yes"), "Valid", "Requires Review"))))))</f>
        <v/>
      </c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IF(F26="No", "Invalid - Not Freely Given", IF(G26="No", "Invalid - Not Specific", IF(H26="No", "Invalid - Not Informed", IF(I26="No", "Invalid - Ambiguous", IF(J26="No", "Invalid - Not Documented", IF(AND(F26="Yes", G26="Yes", H26="Yes", I26="Yes", J26="Yes"), "Valid", "Requires Review"))))))</f>
        <v/>
      </c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IF(F27="No", "Invalid - Not Freely Given", IF(G27="No", "Invalid - Not Specific", IF(H27="No", "Invalid - Not Informed", IF(I27="No", "Invalid - Ambiguous", IF(J27="No", "Invalid - Not Documented", IF(AND(F27="Yes", G27="Yes", H27="Yes", I27="Yes", J27="Yes"), "Valid", "Requires Review"))))))</f>
        <v/>
      </c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IF(F28="No", "Invalid - Not Freely Given", IF(G28="No", "Invalid - Not Specific", IF(H28="No", "Invalid - Not Informed", IF(I28="No", "Invalid - Ambiguous", IF(J28="No", "Invalid - Not Documented", IF(AND(F28="Yes", G28="Yes", H28="Yes", I28="Yes", J28="Yes"), "Valid", "Requires Review"))))))</f>
        <v/>
      </c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IF(F29="No", "Invalid - Not Freely Given", IF(G29="No", "Invalid - Not Specific", IF(H29="No", "Invalid - Not Informed", IF(I29="No", "Invalid - Ambiguous", IF(J29="No", "Invalid - Not Documented", IF(AND(F29="Yes", G29="Yes", H29="Yes", I29="Yes", J29="Yes"), "Valid", "Requires Review"))))))</f>
        <v/>
      </c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IF(F30="No", "Invalid - Not Freely Given", IF(G30="No", "Invalid - Not Specific", IF(H30="No", "Invalid - Not Informed", IF(I30="No", "Invalid - Ambiguous", IF(J30="No", "Invalid - Not Documented", IF(AND(F30="Yes", G30="Yes", H30="Yes", I30="Yes", J30="Yes"), "Valid", "Requires Review"))))))</f>
        <v/>
      </c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IF(F31="No", "Invalid - Not Freely Given", IF(G31="No", "Invalid - Not Specific", IF(H31="No", "Invalid - Not Informed", IF(I31="No", "Invalid - Ambiguous", IF(J31="No", "Invalid - Not Documented", IF(AND(F31="Yes", G31="Yes", H31="Yes", I31="Yes", J31="Yes"), "Valid", "Requires Review"))))))</f>
        <v/>
      </c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IF(F32="No", "Invalid - Not Freely Given", IF(G32="No", "Invalid - Not Specific", IF(H32="No", "Invalid - Not Informed", IF(I32="No", "Invalid - Ambiguous", IF(J32="No", "Invalid - Not Documented", IF(AND(F32="Yes", G32="Yes", H32="Yes", I32="Yes", J32="Yes"), "Valid", "Requires Review"))))))</f>
        <v/>
      </c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IF(F33="No", "Invalid - Not Freely Given", IF(G33="No", "Invalid - Not Specific", IF(H33="No", "Invalid - Not Informed", IF(I33="No", "Invalid - Ambiguous", IF(J33="No", "Invalid - Not Documented", IF(AND(F33="Yes", G33="Yes", H33="Yes", I33="Yes", J33="Yes"), "Valid", "Requires Review"))))))</f>
        <v/>
      </c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IF(F34="No", "Invalid - Not Freely Given", IF(G34="No", "Invalid - Not Specific", IF(H34="No", "Invalid - Not Informed", IF(I34="No", "Invalid - Ambiguous", IF(J34="No", "Invalid - Not Documented", IF(AND(F34="Yes", G34="Yes", H34="Yes", I34="Yes", J34="Yes"), "Valid", "Requires Review"))))))</f>
        <v/>
      </c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IF(F35="No", "Invalid - Not Freely Given", IF(G35="No", "Invalid - Not Specific", IF(H35="No", "Invalid - Not Informed", IF(I35="No", "Invalid - Ambiguous", IF(J35="No", "Invalid - Not Documented", IF(AND(F35="Yes", G35="Yes", H35="Yes", I35="Yes", J35="Yes"), "Valid", "Requires Review"))))))</f>
        <v/>
      </c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IF(F36="No", "Invalid - Not Freely Given", IF(G36="No", "Invalid - Not Specific", IF(H36="No", "Invalid - Not Informed", IF(I36="No", "Invalid - Ambiguous", IF(J36="No", "Invalid - Not Documented", IF(AND(F36="Yes", G36="Yes", H36="Yes", I36="Yes", J36="Yes"), "Valid", "Requires Review"))))))</f>
        <v/>
      </c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IF(F37="No", "Invalid - Not Freely Given", IF(G37="No", "Invalid - Not Specific", IF(H37="No", "Invalid - Not Informed", IF(I37="No", "Invalid - Ambiguous", IF(J37="No", "Invalid - Not Documented", IF(AND(F37="Yes", G37="Yes", H37="Yes", I37="Yes", J37="Yes"), "Valid", "Requires Review"))))))</f>
        <v/>
      </c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IF(F38="No", "Invalid - Not Freely Given", IF(G38="No", "Invalid - Not Specific", IF(H38="No", "Invalid - Not Informed", IF(I38="No", "Invalid - Ambiguous", IF(J38="No", "Invalid - Not Documented", IF(AND(F38="Yes", G38="Yes", H38="Yes", I38="Yes", J38="Yes"), "Valid", "Requires Review"))))))</f>
        <v/>
      </c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IF(F39="No", "Invalid - Not Freely Given", IF(G39="No", "Invalid - Not Specific", IF(H39="No", "Invalid - Not Informed", IF(I39="No", "Invalid - Ambiguous", IF(J39="No", "Invalid - Not Documented", IF(AND(F39="Yes", G39="Yes", H39="Yes", I39="Yes", J39="Yes"), "Valid", "Requires Review"))))))</f>
        <v/>
      </c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IF(F40="No", "Invalid - Not Freely Given", IF(G40="No", "Invalid - Not Specific", IF(H40="No", "Invalid - Not Informed", IF(I40="No", "Invalid - Ambiguous", IF(J40="No", "Invalid - Not Documented", IF(AND(F40="Yes", G40="Yes", H40="Yes", I40="Yes", J40="Yes"), "Valid", "Requires Review"))))))</f>
        <v/>
      </c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IF(F41="No", "Invalid - Not Freely Given", IF(G41="No", "Invalid - Not Specific", IF(H41="No", "Invalid - Not Informed", IF(I41="No", "Invalid - Ambiguous", IF(J41="No", "Invalid - Not Documented", IF(AND(F41="Yes", G41="Yes", H41="Yes", I41="Yes", J41="Yes"), "Valid", "Requires Review"))))))</f>
        <v/>
      </c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IF(F42="No", "Invalid - Not Freely Given", IF(G42="No", "Invalid - Not Specific", IF(H42="No", "Invalid - Not Informed", IF(I42="No", "Invalid - Ambiguous", IF(J42="No", "Invalid - Not Documented", IF(AND(F42="Yes", G42="Yes", H42="Yes", I42="Yes", J42="Yes"), "Valid", "Requires Review"))))))</f>
        <v/>
      </c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IF(F43="No", "Invalid - Not Freely Given", IF(G43="No", "Invalid - Not Specific", IF(H43="No", "Invalid - Not Informed", IF(I43="No", "Invalid - Ambiguous", IF(J43="No", "Invalid - Not Documented", IF(AND(F43="Yes", G43="Yes", H43="Yes", I43="Yes", J43="Yes"), "Valid", "Requires Review"))))))</f>
        <v/>
      </c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IF(F44="No", "Invalid - Not Freely Given", IF(G44="No", "Invalid - Not Specific", IF(H44="No", "Invalid - Not Informed", IF(I44="No", "Invalid - Ambiguous", IF(J44="No", "Invalid - Not Documented", IF(AND(F44="Yes", G44="Yes", H44="Yes", I44="Yes", J44="Yes"), "Valid", "Requires Review"))))))</f>
        <v/>
      </c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IF(F45="No", "Invalid - Not Freely Given", IF(G45="No", "Invalid - Not Specific", IF(H45="No", "Invalid - Not Informed", IF(I45="No", "Invalid - Ambiguous", IF(J45="No", "Invalid - Not Documented", IF(AND(F45="Yes", G45="Yes", H45="Yes", I45="Yes", J45="Yes"), "Valid", "Requires Review"))))))</f>
        <v/>
      </c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IF(F46="No", "Invalid - Not Freely Given", IF(G46="No", "Invalid - Not Specific", IF(H46="No", "Invalid - Not Informed", IF(I46="No", "Invalid - Ambiguous", IF(J46="No", "Invalid - Not Documented", IF(AND(F46="Yes", G46="Yes", H46="Yes", I46="Yes", J46="Yes"), "Valid", "Requires Review"))))))</f>
        <v/>
      </c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IF(F47="No", "Invalid - Not Freely Given", IF(G47="No", "Invalid - Not Specific", IF(H47="No", "Invalid - Not Informed", IF(I47="No", "Invalid - Ambiguous", IF(J47="No", "Invalid - Not Documented", IF(AND(F47="Yes", G47="Yes", H47="Yes", I47="Yes", J47="Yes"), "Valid", "Requires Review"))))))</f>
        <v/>
      </c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IF(F48="No", "Invalid - Not Freely Given", IF(G48="No", "Invalid - Not Specific", IF(H48="No", "Invalid - Not Informed", IF(I48="No", "Invalid - Ambiguous", IF(J48="No", "Invalid - Not Documented", IF(AND(F48="Yes", G48="Yes", H48="Yes", I48="Yes", J48="Yes"), "Valid", "Requires Review"))))))</f>
        <v/>
      </c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IF(F49="No", "Invalid - Not Freely Given", IF(G49="No", "Invalid - Not Specific", IF(H49="No", "Invalid - Not Informed", IF(I49="No", "Invalid - Ambiguous", IF(J49="No", "Invalid - Not Documented", IF(AND(F49="Yes", G49="Yes", H49="Yes", I49="Yes", J49="Yes"), "Valid", "Requires Review"))))))</f>
        <v/>
      </c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IF(F50="No", "Invalid - Not Freely Given", IF(G50="No", "Invalid - Not Specific", IF(H50="No", "Invalid - Not Informed", IF(I50="No", "Invalid - Ambiguous", IF(J50="No", "Invalid - Not Documented", IF(AND(F50="Yes", G50="Yes", H50="Yes", I50="Yes", J50="Yes"), "Valid", "Requires Review"))))))</f>
        <v/>
      </c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IF(F51="No", "Invalid - Not Freely Given", IF(G51="No", "Invalid - Not Specific", IF(H51="No", "Invalid - Not Informed", IF(I51="No", "Invalid - Ambiguous", IF(J51="No", "Invalid - Not Documented", IF(AND(F51="Yes", G51="Yes", H51="Yes", I51="Yes", J51="Yes"), "Valid", "Requires Review"))))))</f>
        <v/>
      </c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IF(F52="No", "Invalid - Not Freely Given", IF(G52="No", "Invalid - Not Specific", IF(H52="No", "Invalid - Not Informed", IF(I52="No", "Invalid - Ambiguous", IF(J52="No", "Invalid - Not Documented", IF(AND(F52="Yes", G52="Yes", H52="Yes", I52="Yes", J52="Yes"), "Valid", "Requires Review"))))))</f>
        <v/>
      </c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IF(F53="No", "Invalid - Not Freely Given", IF(G53="No", "Invalid - Not Specific", IF(H53="No", "Invalid - Not Informed", IF(I53="No", "Invalid - Ambiguous", IF(J53="No", "Invalid - Not Documented", IF(AND(F53="Yes", G53="Yes", H53="Yes", I53="Yes", J53="Yes"), "Valid", "Requires Review"))))))</f>
        <v/>
      </c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IF(F54="No", "Invalid - Not Freely Given", IF(G54="No", "Invalid - Not Specific", IF(H54="No", "Invalid - Not Informed", IF(I54="No", "Invalid - Ambiguous", IF(J54="No", "Invalid - Not Documented", IF(AND(F54="Yes", G54="Yes", H54="Yes", I54="Yes", J54="Yes"), "Valid", "Requires Review"))))))</f>
        <v/>
      </c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IF(F55="No", "Invalid - Not Freely Given", IF(G55="No", "Invalid - Not Specific", IF(H55="No", "Invalid - Not Informed", IF(I55="No", "Invalid - Ambiguous", IF(J55="No", "Invalid - Not Documented", IF(AND(F55="Yes", G55="Yes", H55="Yes", I55="Yes", J55="Yes"), "Valid", "Requires Review"))))))</f>
        <v/>
      </c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IF(F56="No", "Invalid - Not Freely Given", IF(G56="No", "Invalid - Not Specific", IF(H56="No", "Invalid - Not Informed", IF(I56="No", "Invalid - Ambiguous", IF(J56="No", "Invalid - Not Documented", IF(AND(F56="Yes", G56="Yes", H56="Yes", I56="Yes", J56="Yes"), "Valid", "Requires Review"))))))</f>
        <v/>
      </c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IF(F57="No", "Invalid - Not Freely Given", IF(G57="No", "Invalid - Not Specific", IF(H57="No", "Invalid - Not Informed", IF(I57="No", "Invalid - Ambiguous", IF(J57="No", "Invalid - Not Documented", IF(AND(F57="Yes", G57="Yes", H57="Yes", I57="Yes", J57="Yes"), "Valid", "Requires Review"))))))</f>
        <v/>
      </c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IF(F58="No", "Invalid - Not Freely Given", IF(G58="No", "Invalid - Not Specific", IF(H58="No", "Invalid - Not Informed", IF(I58="No", "Invalid - Ambiguous", IF(J58="No", "Invalid - Not Documented", IF(AND(F58="Yes", G58="Yes", H58="Yes", I58="Yes", J58="Yes"), "Valid", "Requires Review"))))))</f>
        <v/>
      </c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IF(F59="No", "Invalid - Not Freely Given", IF(G59="No", "Invalid - Not Specific", IF(H59="No", "Invalid - Not Informed", IF(I59="No", "Invalid - Ambiguous", IF(J59="No", "Invalid - Not Documented", IF(AND(F59="Yes", G59="Yes", H59="Yes", I59="Yes", J59="Yes"), "Valid", "Requires Review"))))))</f>
        <v/>
      </c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IF(F60="No", "Invalid - Not Freely Given", IF(G60="No", "Invalid - Not Specific", IF(H60="No", "Invalid - Not Informed", IF(I60="No", "Invalid - Ambiguous", IF(J60="No", "Invalid - Not Documented", IF(AND(F60="Yes", G60="Yes", H60="Yes", I60="Yes", J60="Yes"), "Valid", "Requires Review"))))))</f>
        <v/>
      </c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IF(F61="No", "Invalid - Not Freely Given", IF(G61="No", "Invalid - Not Specific", IF(H61="No", "Invalid - Not Informed", IF(I61="No", "Invalid - Ambiguous", IF(J61="No", "Invalid - Not Documented", IF(AND(F61="Yes", G61="Yes", H61="Yes", I61="Yes", J61="Yes"), "Valid", "Requires Review"))))))</f>
        <v/>
      </c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IF(F62="No", "Invalid - Not Freely Given", IF(G62="No", "Invalid - Not Specific", IF(H62="No", "Invalid - Not Informed", IF(I62="No", "Invalid - Ambiguous", IF(J62="No", "Invalid - Not Documented", IF(AND(F62="Yes", G62="Yes", H62="Yes", I62="Yes", J62="Yes"), "Valid", "Requires Review"))))))</f>
        <v/>
      </c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IF(F63="No", "Invalid - Not Freely Given", IF(G63="No", "Invalid - Not Specific", IF(H63="No", "Invalid - Not Informed", IF(I63="No", "Invalid - Ambiguous", IF(J63="No", "Invalid - Not Documented", IF(AND(F63="Yes", G63="Yes", H63="Yes", I63="Yes", J63="Yes"), "Valid", "Requires Review"))))))</f>
        <v/>
      </c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IF(F64="No", "Invalid - Not Freely Given", IF(G64="No", "Invalid - Not Specific", IF(H64="No", "Invalid - Not Informed", IF(I64="No", "Invalid - Ambiguous", IF(J64="No", "Invalid - Not Documented", IF(AND(F64="Yes", G64="Yes", H64="Yes", I64="Yes", J64="Yes"), "Valid", "Requires Review"))))))</f>
        <v/>
      </c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IF(F65="No", "Invalid - Not Freely Given", IF(G65="No", "Invalid - Not Specific", IF(H65="No", "Invalid - Not Informed", IF(I65="No", "Invalid - Ambiguous", IF(J65="No", "Invalid - Not Documented", IF(AND(F65="Yes", G65="Yes", H65="Yes", I65="Yes", J65="Yes"), "Valid", "Requires Review"))))))</f>
        <v/>
      </c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IF(F66="No", "Invalid - Not Freely Given", IF(G66="No", "Invalid - Not Specific", IF(H66="No", "Invalid - Not Informed", IF(I66="No", "Invalid - Ambiguous", IF(J66="No", "Invalid - Not Documented", IF(AND(F66="Yes", G66="Yes", H66="Yes", I66="Yes", J66="Yes"), "Valid", "Requires Review"))))))</f>
        <v/>
      </c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IF(F67="No", "Invalid - Not Freely Given", IF(G67="No", "Invalid - Not Specific", IF(H67="No", "Invalid - Not Informed", IF(I67="No", "Invalid - Ambiguous", IF(J67="No", "Invalid - Not Documented", IF(AND(F67="Yes", G67="Yes", H67="Yes", I67="Yes", J67="Yes"), "Valid", "Requires Review"))))))</f>
        <v/>
      </c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IF(F68="No", "Invalid - Not Freely Given", IF(G68="No", "Invalid - Not Specific", IF(H68="No", "Invalid - Not Informed", IF(I68="No", "Invalid - Ambiguous", IF(J68="No", "Invalid - Not Documented", IF(AND(F68="Yes", G68="Yes", H68="Yes", I68="Yes", J68="Yes"), "Valid", "Requires Review"))))))</f>
        <v/>
      </c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IF(F69="No", "Invalid - Not Freely Given", IF(G69="No", "Invalid - Not Specific", IF(H69="No", "Invalid - Not Informed", IF(I69="No", "Invalid - Ambiguous", IF(J69="No", "Invalid - Not Documented", IF(AND(F69="Yes", G69="Yes", H69="Yes", I69="Yes", J69="Yes"), "Valid", "Requires Review"))))))</f>
        <v/>
      </c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IF(F70="No", "Invalid - Not Freely Given", IF(G70="No", "Invalid - Not Specific", IF(H70="No", "Invalid - Not Informed", IF(I70="No", "Invalid - Ambiguous", IF(J70="No", "Invalid - Not Documented", IF(AND(F70="Yes", G70="Yes", H70="Yes", I70="Yes", J70="Yes"), "Valid", "Requires Review"))))))</f>
        <v/>
      </c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IF(F71="No", "Invalid - Not Freely Given", IF(G71="No", "Invalid - Not Specific", IF(H71="No", "Invalid - Not Informed", IF(I71="No", "Invalid - Ambiguous", IF(J71="No", "Invalid - Not Documented", IF(AND(F71="Yes", G71="Yes", H71="Yes", I71="Yes", J71="Yes"), "Valid", "Requires Review"))))))</f>
        <v/>
      </c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IF(F72="No", "Invalid - Not Freely Given", IF(G72="No", "Invalid - Not Specific", IF(H72="No", "Invalid - Not Informed", IF(I72="No", "Invalid - Ambiguous", IF(J72="No", "Invalid - Not Documented", IF(AND(F72="Yes", G72="Yes", H72="Yes", I72="Yes", J72="Yes"), "Valid", "Requires Review"))))))</f>
        <v/>
      </c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IF(F73="No", "Invalid - Not Freely Given", IF(G73="No", "Invalid - Not Specific", IF(H73="No", "Invalid - Not Informed", IF(I73="No", "Invalid - Ambiguous", IF(J73="No", "Invalid - Not Documented", IF(AND(F73="Yes", G73="Yes", H73="Yes", I73="Yes", J73="Yes"), "Valid", "Requires Review"))))))</f>
        <v/>
      </c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IF(F74="No", "Invalid - Not Freely Given", IF(G74="No", "Invalid - Not Specific", IF(H74="No", "Invalid - Not Informed", IF(I74="No", "Invalid - Ambiguous", IF(J74="No", "Invalid - Not Documented", IF(AND(F74="Yes", G74="Yes", H74="Yes", I74="Yes", J74="Yes"), "Valid", "Requires Review"))))))</f>
        <v/>
      </c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IF(F75="No", "Invalid - Not Freely Given", IF(G75="No", "Invalid - Not Specific", IF(H75="No", "Invalid - Not Informed", IF(I75="No", "Invalid - Ambiguous", IF(J75="No", "Invalid - Not Documented", IF(AND(F75="Yes", G75="Yes", H75="Yes", I75="Yes", J75="Yes"), "Valid", "Requires Review"))))))</f>
        <v/>
      </c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IF(F76="No", "Invalid - Not Freely Given", IF(G76="No", "Invalid - Not Specific", IF(H76="No", "Invalid - Not Informed", IF(I76="No", "Invalid - Ambiguous", IF(J76="No", "Invalid - Not Documented", IF(AND(F76="Yes", G76="Yes", H76="Yes", I76="Yes", J76="Yes"), "Valid", "Requires Review"))))))</f>
        <v/>
      </c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IF(F77="No", "Invalid - Not Freely Given", IF(G77="No", "Invalid - Not Specific", IF(H77="No", "Invalid - Not Informed", IF(I77="No", "Invalid - Ambiguous", IF(J77="No", "Invalid - Not Documented", IF(AND(F77="Yes", G77="Yes", H77="Yes", I77="Yes", J77="Yes"), "Valid", "Requires Review"))))))</f>
        <v/>
      </c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IF(F78="No", "Invalid - Not Freely Given", IF(G78="No", "Invalid - Not Specific", IF(H78="No", "Invalid - Not Informed", IF(I78="No", "Invalid - Ambiguous", IF(J78="No", "Invalid - Not Documented", IF(AND(F78="Yes", G78="Yes", H78="Yes", I78="Yes", J78="Yes"), "Valid", "Requires Review"))))))</f>
        <v/>
      </c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IF(F79="No", "Invalid - Not Freely Given", IF(G79="No", "Invalid - Not Specific", IF(H79="No", "Invalid - Not Informed", IF(I79="No", "Invalid - Ambiguous", IF(J79="No", "Invalid - Not Documented", IF(AND(F79="Yes", G79="Yes", H79="Yes", I79="Yes", J79="Yes"), "Valid", "Requires Review"))))))</f>
        <v/>
      </c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IF(F80="No", "Invalid - Not Freely Given", IF(G80="No", "Invalid - Not Specific", IF(H80="No", "Invalid - Not Informed", IF(I80="No", "Invalid - Ambiguous", IF(J80="No", "Invalid - Not Documented", IF(AND(F80="Yes", G80="Yes", H80="Yes", I80="Yes", J80="Yes"), "Valid", "Requires Review"))))))</f>
        <v/>
      </c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IF(F81="No", "Invalid - Not Freely Given", IF(G81="No", "Invalid - Not Specific", IF(H81="No", "Invalid - Not Informed", IF(I81="No", "Invalid - Ambiguous", IF(J81="No", "Invalid - Not Documented", IF(AND(F81="Yes", G81="Yes", H81="Yes", I81="Yes", J81="Yes"), "Valid", "Requires Review"))))))</f>
        <v/>
      </c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IF(F82="No", "Invalid - Not Freely Given", IF(G82="No", "Invalid - Not Specific", IF(H82="No", "Invalid - Not Informed", IF(I82="No", "Invalid - Ambiguous", IF(J82="No", "Invalid - Not Documented", IF(AND(F82="Yes", G82="Yes", H82="Yes", I82="Yes", J82="Yes"), "Valid", "Requires Review"))))))</f>
        <v/>
      </c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IF(F83="No", "Invalid - Not Freely Given", IF(G83="No", "Invalid - Not Specific", IF(H83="No", "Invalid - Not Informed", IF(I83="No", "Invalid - Ambiguous", IF(J83="No", "Invalid - Not Documented", IF(AND(F83="Yes", G83="Yes", H83="Yes", I83="Yes", J83="Yes"), "Valid", "Requires Review"))))))</f>
        <v/>
      </c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IF(F84="No", "Invalid - Not Freely Given", IF(G84="No", "Invalid - Not Specific", IF(H84="No", "Invalid - Not Informed", IF(I84="No", "Invalid - Ambiguous", IF(J84="No", "Invalid - Not Documented", IF(AND(F84="Yes", G84="Yes", H84="Yes", I84="Yes", J84="Yes"), "Valid", "Requires Review"))))))</f>
        <v/>
      </c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IF(F85="No", "Invalid - Not Freely Given", IF(G85="No", "Invalid - Not Specific", IF(H85="No", "Invalid - Not Informed", IF(I85="No", "Invalid - Ambiguous", IF(J85="No", "Invalid - Not Documented", IF(AND(F85="Yes", G85="Yes", H85="Yes", I85="Yes", J85="Yes"), "Valid", "Requires Review"))))))</f>
        <v/>
      </c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IF(F86="No", "Invalid - Not Freely Given", IF(G86="No", "Invalid - Not Specific", IF(H86="No", "Invalid - Not Informed", IF(I86="No", "Invalid - Ambiguous", IF(J86="No", "Invalid - Not Documented", IF(AND(F86="Yes", G86="Yes", H86="Yes", I86="Yes", J86="Yes"), "Valid", "Requires Review"))))))</f>
        <v/>
      </c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IF(F87="No", "Invalid - Not Freely Given", IF(G87="No", "Invalid - Not Specific", IF(H87="No", "Invalid - Not Informed", IF(I87="No", "Invalid - Ambiguous", IF(J87="No", "Invalid - Not Documented", IF(AND(F87="Yes", G87="Yes", H87="Yes", I87="Yes", J87="Yes"), "Valid", "Requires Review"))))))</f>
        <v/>
      </c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IF(F88="No", "Invalid - Not Freely Given", IF(G88="No", "Invalid - Not Specific", IF(H88="No", "Invalid - Not Informed", IF(I88="No", "Invalid - Ambiguous", IF(J88="No", "Invalid - Not Documented", IF(AND(F88="Yes", G88="Yes", H88="Yes", I88="Yes", J88="Yes"), "Valid", "Requires Review"))))))</f>
        <v/>
      </c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IF(F89="No", "Invalid - Not Freely Given", IF(G89="No", "Invalid - Not Specific", IF(H89="No", "Invalid - Not Informed", IF(I89="No", "Invalid - Ambiguous", IF(J89="No", "Invalid - Not Documented", IF(AND(F89="Yes", G89="Yes", H89="Yes", I89="Yes", J89="Yes"), "Valid", "Requires Review"))))))</f>
        <v/>
      </c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IF(F90="No", "Invalid - Not Freely Given", IF(G90="No", "Invalid - Not Specific", IF(H90="No", "Invalid - Not Informed", IF(I90="No", "Invalid - Ambiguous", IF(J90="No", "Invalid - Not Documented", IF(AND(F90="Yes", G90="Yes", H90="Yes", I90="Yes", J90="Yes"), "Valid", "Requires Review"))))))</f>
        <v/>
      </c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IF(F91="No", "Invalid - Not Freely Given", IF(G91="No", "Invalid - Not Specific", IF(H91="No", "Invalid - Not Informed", IF(I91="No", "Invalid - Ambiguous", IF(J91="No", "Invalid - Not Documented", IF(AND(F91="Yes", G91="Yes", H91="Yes", I91="Yes", J91="Yes"), "Valid", "Requires Review"))))))</f>
        <v/>
      </c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IF(F92="No", "Invalid - Not Freely Given", IF(G92="No", "Invalid - Not Specific", IF(H92="No", "Invalid - Not Informed", IF(I92="No", "Invalid - Ambiguous", IF(J92="No", "Invalid - Not Documented", IF(AND(F92="Yes", G92="Yes", H92="Yes", I92="Yes", J92="Yes"), "Valid", "Requires Review"))))))</f>
        <v/>
      </c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IF(F93="No", "Invalid - Not Freely Given", IF(G93="No", "Invalid - Not Specific", IF(H93="No", "Invalid - Not Informed", IF(I93="No", "Invalid - Ambiguous", IF(J93="No", "Invalid - Not Documented", IF(AND(F93="Yes", G93="Yes", H93="Yes", I93="Yes", J93="Yes"), "Valid", "Requires Review"))))))</f>
        <v/>
      </c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IF(F94="No", "Invalid - Not Freely Given", IF(G94="No", "Invalid - Not Specific", IF(H94="No", "Invalid - Not Informed", IF(I94="No", "Invalid - Ambiguous", IF(J94="No", "Invalid - Not Documented", IF(AND(F94="Yes", G94="Yes", H94="Yes", I94="Yes", J94="Yes"), "Valid", "Requires Review"))))))</f>
        <v/>
      </c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IF(F95="No", "Invalid - Not Freely Given", IF(G95="No", "Invalid - Not Specific", IF(H95="No", "Invalid - Not Informed", IF(I95="No", "Invalid - Ambiguous", IF(J95="No", "Invalid - Not Documented", IF(AND(F95="Yes", G95="Yes", H95="Yes", I95="Yes", J95="Yes"), "Valid", "Requires Review"))))))</f>
        <v/>
      </c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IF(F96="No", "Invalid - Not Freely Given", IF(G96="No", "Invalid - Not Specific", IF(H96="No", "Invalid - Not Informed", IF(I96="No", "Invalid - Ambiguous", IF(J96="No", "Invalid - Not Documented", IF(AND(F96="Yes", G96="Yes", H96="Yes", I96="Yes", J96="Yes"), "Valid", "Requires Review"))))))</f>
        <v/>
      </c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IF(F97="No", "Invalid - Not Freely Given", IF(G97="No", "Invalid - Not Specific", IF(H97="No", "Invalid - Not Informed", IF(I97="No", "Invalid - Ambiguous", IF(J97="No", "Invalid - Not Documented", IF(AND(F97="Yes", G97="Yes", H97="Yes", I97="Yes", J97="Yes"), "Valid", "Requires Review"))))))</f>
        <v/>
      </c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IF(F98="No", "Invalid - Not Freely Given", IF(G98="No", "Invalid - Not Specific", IF(H98="No", "Invalid - Not Informed", IF(I98="No", "Invalid - Ambiguous", IF(J98="No", "Invalid - Not Documented", IF(AND(F98="Yes", G98="Yes", H98="Yes", I98="Yes", J98="Yes"), "Valid", "Requires Review"))))))</f>
        <v/>
      </c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IF(F99="No", "Invalid - Not Freely Given", IF(G99="No", "Invalid - Not Specific", IF(H99="No", "Invalid - Not Informed", IF(I99="No", "Invalid - Ambiguous", IF(J99="No", "Invalid - Not Documented", IF(AND(F99="Yes", G99="Yes", H99="Yes", I99="Yes", J99="Yes"), "Valid", "Requires Review"))))))</f>
        <v/>
      </c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IF(F100="No", "Invalid - Not Freely Given", IF(G100="No", "Invalid - Not Specific", IF(H100="No", "Invalid - Not Informed", IF(I100="No", "Invalid - Ambiguous", IF(J100="No", "Invalid - Not Documented", IF(AND(F100="Yes", G100="Yes", H100="Yes", I100="Yes", J100="Yes"), "Valid", "Requires Review"))))))</f>
        <v/>
      </c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IF(F101="No", "Invalid - Not Freely Given", IF(G101="No", "Invalid - Not Specific", IF(H101="No", "Invalid - Not Informed", IF(I101="No", "Invalid - Ambiguous", IF(J101="No", "Invalid - Not Documented", IF(AND(F101="Yes", G101="Yes", H101="Yes", I101="Yes", J101="Yes"), "Valid", "Requires Review"))))))</f>
        <v/>
      </c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IF(F102="No", "Invalid - Not Freely Given", IF(G102="No", "Invalid - Not Specific", IF(H102="No", "Invalid - Not Informed", IF(I102="No", "Invalid - Ambiguous", IF(J102="No", "Invalid - Not Documented", IF(AND(F102="Yes", G102="Yes", H102="Yes", I102="Yes", J102="Yes"), "Valid", "Requires Review"))))))</f>
        <v/>
      </c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IF(F103="No", "Invalid - Not Freely Given", IF(G103="No", "Invalid - Not Specific", IF(H103="No", "Invalid - Not Informed", IF(I103="No", "Invalid - Ambiguous", IF(J103="No", "Invalid - Not Documented", IF(AND(F103="Yes", G103="Yes", H103="Yes", I103="Yes", J103="Yes"), "Valid", "Requires Review"))))))</f>
        <v/>
      </c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IF(F104="No", "Invalid - Not Freely Given", IF(G104="No", "Invalid - Not Specific", IF(H104="No", "Invalid - Not Informed", IF(I104="No", "Invalid - Ambiguous", IF(J104="No", "Invalid - Not Documented", IF(AND(F104="Yes", G104="Yes", H104="Yes", I104="Yes", J104="Yes"), "Valid", "Requires Review"))))))</f>
        <v/>
      </c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IF(F105="No", "Invalid - Not Freely Given", IF(G105="No", "Invalid - Not Specific", IF(H105="No", "Invalid - Not Informed", IF(I105="No", "Invalid - Ambiguous", IF(J105="No", "Invalid - Not Documented", IF(AND(F105="Yes", G105="Yes", H105="Yes", I105="Yes", J105="Yes"), "Valid", "Requires Review"))))))</f>
        <v/>
      </c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IF(F106="No", "Invalid - Not Freely Given", IF(G106="No", "Invalid - Not Specific", IF(H106="No", "Invalid - Not Informed", IF(I106="No", "Invalid - Ambiguous", IF(J106="No", "Invalid - Not Documented", IF(AND(F106="Yes", G106="Yes", H106="Yes", I106="Yes", J106="Yes"), "Valid", "Requires Review"))))))</f>
        <v/>
      </c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IF(F107="No", "Invalid - Not Freely Given", IF(G107="No", "Invalid - Not Specific", IF(H107="No", "Invalid - Not Informed", IF(I107="No", "Invalid - Ambiguous", IF(J107="No", "Invalid - Not Documented", IF(AND(F107="Yes", G107="Yes", H107="Yes", I107="Yes", J107="Yes"), "Valid", "Requires Review"))))))</f>
        <v/>
      </c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IF(F108="No", "Invalid - Not Freely Given", IF(G108="No", "Invalid - Not Specific", IF(H108="No", "Invalid - Not Informed", IF(I108="No", "Invalid - Ambiguous", IF(J108="No", "Invalid - Not Documented", IF(AND(F108="Yes", G108="Yes", H108="Yes", I108="Yes", J108="Yes"), "Valid", "Requires Review"))))))</f>
        <v/>
      </c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IF(F109="No", "Invalid - Not Freely Given", IF(G109="No", "Invalid - Not Specific", IF(H109="No", "Invalid - Not Informed", IF(I109="No", "Invalid - Ambiguous", IF(J109="No", "Invalid - Not Documented", IF(AND(F109="Yes", G109="Yes", H109="Yes", I109="Yes", J109="Yes"), "Valid", "Requires Review"))))))</f>
        <v/>
      </c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IF(F110="No", "Invalid - Not Freely Given", IF(G110="No", "Invalid - Not Specific", IF(H110="No", "Invalid - Not Informed", IF(I110="No", "Invalid - Ambiguous", IF(J110="No", "Invalid - Not Documented", IF(AND(F110="Yes", G110="Yes", H110="Yes", I110="Yes", J110="Yes"), "Valid", "Requires Review"))))))</f>
        <v/>
      </c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IF(F111="No", "Invalid - Not Freely Given", IF(G111="No", "Invalid - Not Specific", IF(H111="No", "Invalid - Not Informed", IF(I111="No", "Invalid - Ambiguous", IF(J111="No", "Invalid - Not Documented", IF(AND(F111="Yes", G111="Yes", H111="Yes", I111="Yes", J111="Yes"), "Valid", "Requires Review"))))))</f>
        <v/>
      </c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IF(F112="No", "Invalid - Not Freely Given", IF(G112="No", "Invalid - Not Specific", IF(H112="No", "Invalid - Not Informed", IF(I112="No", "Invalid - Ambiguous", IF(J112="No", "Invalid - Not Documented", IF(AND(F112="Yes", G112="Yes", H112="Yes", I112="Yes", J112="Yes"), "Valid", "Requires Review"))))))</f>
        <v/>
      </c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IF(F113="No", "Invalid - Not Freely Given", IF(G113="No", "Invalid - Not Specific", IF(H113="No", "Invalid - Not Informed", IF(I113="No", "Invalid - Ambiguous", IF(J113="No", "Invalid - Not Documented", IF(AND(F113="Yes", G113="Yes", H113="Yes", I113="Yes", J113="Yes"), "Valid", "Requires Review"))))))</f>
        <v/>
      </c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IF(F114="No", "Invalid - Not Freely Given", IF(G114="No", "Invalid - Not Specific", IF(H114="No", "Invalid - Not Informed", IF(I114="No", "Invalid - Ambiguous", IF(J114="No", "Invalid - Not Documented", IF(AND(F114="Yes", G114="Yes", H114="Yes", I114="Yes", J114="Yes"), "Valid", "Requires Review"))))))</f>
        <v/>
      </c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IF(F115="No", "Invalid - Not Freely Given", IF(G115="No", "Invalid - Not Specific", IF(H115="No", "Invalid - Not Informed", IF(I115="No", "Invalid - Ambiguous", IF(J115="No", "Invalid - Not Documented", IF(AND(F115="Yes", G115="Yes", H115="Yes", I115="Yes", J115="Yes"), "Valid", "Requires Review"))))))</f>
        <v/>
      </c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IF(F116="No", "Invalid - Not Freely Given", IF(G116="No", "Invalid - Not Specific", IF(H116="No", "Invalid - Not Informed", IF(I116="No", "Invalid - Ambiguous", IF(J116="No", "Invalid - Not Documented", IF(AND(F116="Yes", G116="Yes", H116="Yes", I116="Yes", J116="Yes"), "Valid", "Requires Review"))))))</f>
        <v/>
      </c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IF(F117="No", "Invalid - Not Freely Given", IF(G117="No", "Invalid - Not Specific", IF(H117="No", "Invalid - Not Informed", IF(I117="No", "Invalid - Ambiguous", IF(J117="No", "Invalid - Not Documented", IF(AND(F117="Yes", G117="Yes", H117="Yes", I117="Yes", J117="Yes"), "Valid", "Requires Review"))))))</f>
        <v/>
      </c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IF(F118="No", "Invalid - Not Freely Given", IF(G118="No", "Invalid - Not Specific", IF(H118="No", "Invalid - Not Informed", IF(I118="No", "Invalid - Ambiguous", IF(J118="No", "Invalid - Not Documented", IF(AND(F118="Yes", G118="Yes", H118="Yes", I118="Yes", J118="Yes"), "Valid", "Requires Review"))))))</f>
        <v/>
      </c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IF(F119="No", "Invalid - Not Freely Given", IF(G119="No", "Invalid - Not Specific", IF(H119="No", "Invalid - Not Informed", IF(I119="No", "Invalid - Ambiguous", IF(J119="No", "Invalid - Not Documented", IF(AND(F119="Yes", G119="Yes", H119="Yes", I119="Yes", J119="Yes"), "Valid", "Requires Review"))))))</f>
        <v/>
      </c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IF(F120="No", "Invalid - Not Freely Given", IF(G120="No", "Invalid - Not Specific", IF(H120="No", "Invalid - Not Informed", IF(I120="No", "Invalid - Ambiguous", IF(J120="No", "Invalid - Not Documented", IF(AND(F120="Yes", G120="Yes", H120="Yes", I120="Yes", J120="Yes"), "Valid", "Requires Review"))))))</f>
        <v/>
      </c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IF(F121="No", "Invalid - Not Freely Given", IF(G121="No", "Invalid - Not Specific", IF(H121="No", "Invalid - Not Informed", IF(I121="No", "Invalid - Ambiguous", IF(J121="No", "Invalid - Not Documented", IF(AND(F121="Yes", G121="Yes", H121="Yes", I121="Yes", J121="Yes"), "Valid", "Requires Review"))))))</f>
        <v/>
      </c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IF(F122="No", "Invalid - Not Freely Given", IF(G122="No", "Invalid - Not Specific", IF(H122="No", "Invalid - Not Informed", IF(I122="No", "Invalid - Ambiguous", IF(J122="No", "Invalid - Not Documented", IF(AND(F122="Yes", G122="Yes", H122="Yes", I122="Yes", J122="Yes"), "Valid", "Requires Review"))))))</f>
        <v/>
      </c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IF(F123="No", "Invalid - Not Freely Given", IF(G123="No", "Invalid - Not Specific", IF(H123="No", "Invalid - Not Informed", IF(I123="No", "Invalid - Ambiguous", IF(J123="No", "Invalid - Not Documented", IF(AND(F123="Yes", G123="Yes", H123="Yes", I123="Yes", J123="Yes"), "Valid", "Requires Review"))))))</f>
        <v/>
      </c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IF(F124="No", "Invalid - Not Freely Given", IF(G124="No", "Invalid - Not Specific", IF(H124="No", "Invalid - Not Informed", IF(I124="No", "Invalid - Ambiguous", IF(J124="No", "Invalid - Not Documented", IF(AND(F124="Yes", G124="Yes", H124="Yes", I124="Yes", J124="Yes"), "Valid", "Requires Review"))))))</f>
        <v/>
      </c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IF(F125="No", "Invalid - Not Freely Given", IF(G125="No", "Invalid - Not Specific", IF(H125="No", "Invalid - Not Informed", IF(I125="No", "Invalid - Ambiguous", IF(J125="No", "Invalid - Not Documented", IF(AND(F125="Yes", G125="Yes", H125="Yes", I125="Yes", J125="Yes"), "Valid", "Requires Review"))))))</f>
        <v/>
      </c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IF(F126="No", "Invalid - Not Freely Given", IF(G126="No", "Invalid - Not Specific", IF(H126="No", "Invalid - Not Informed", IF(I126="No", "Invalid - Ambiguous", IF(J126="No", "Invalid - Not Documented", IF(AND(F126="Yes", G126="Yes", H126="Yes", I126="Yes", J126="Yes"), "Valid", "Requires Review"))))))</f>
        <v/>
      </c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IF(F127="No", "Invalid - Not Freely Given", IF(G127="No", "Invalid - Not Specific", IF(H127="No", "Invalid - Not Informed", IF(I127="No", "Invalid - Ambiguous", IF(J127="No", "Invalid - Not Documented", IF(AND(F127="Yes", G127="Yes", H127="Yes", I127="Yes", J127="Yes"), "Valid", "Requires Review"))))))</f>
        <v/>
      </c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IF(F128="No", "Invalid - Not Freely Given", IF(G128="No", "Invalid - Not Specific", IF(H128="No", "Invalid - Not Informed", IF(I128="No", "Invalid - Ambiguous", IF(J128="No", "Invalid - Not Documented", IF(AND(F128="Yes", G128="Yes", H128="Yes", I128="Yes", J128="Yes"), "Valid", "Requires Review"))))))</f>
        <v/>
      </c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IF(F129="No", "Invalid - Not Freely Given", IF(G129="No", "Invalid - Not Specific", IF(H129="No", "Invalid - Not Informed", IF(I129="No", "Invalid - Ambiguous", IF(J129="No", "Invalid - Not Documented", IF(AND(F129="Yes", G129="Yes", H129="Yes", I129="Yes", J129="Yes"), "Valid", "Requires Review"))))))</f>
        <v/>
      </c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IF(F130="No", "Invalid - Not Freely Given", IF(G130="No", "Invalid - Not Specific", IF(H130="No", "Invalid - Not Informed", IF(I130="No", "Invalid - Ambiguous", IF(J130="No", "Invalid - Not Documented", IF(AND(F130="Yes", G130="Yes", H130="Yes", I130="Yes", J130="Yes"), "Valid", "Requires Review"))))))</f>
        <v/>
      </c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IF(F131="No", "Invalid - Not Freely Given", IF(G131="No", "Invalid - Not Specific", IF(H131="No", "Invalid - Not Informed", IF(I131="No", "Invalid - Ambiguous", IF(J131="No", "Invalid - Not Documented", IF(AND(F131="Yes", G131="Yes", H131="Yes", I131="Yes", J131="Yes"), "Valid", "Requires Review"))))))</f>
        <v/>
      </c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IF(F132="No", "Invalid - Not Freely Given", IF(G132="No", "Invalid - Not Specific", IF(H132="No", "Invalid - Not Informed", IF(I132="No", "Invalid - Ambiguous", IF(J132="No", "Invalid - Not Documented", IF(AND(F132="Yes", G132="Yes", H132="Yes", I132="Yes", J132="Yes"), "Valid", "Requires Review"))))))</f>
        <v/>
      </c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IF(F133="No", "Invalid - Not Freely Given", IF(G133="No", "Invalid - Not Specific", IF(H133="No", "Invalid - Not Informed", IF(I133="No", "Invalid - Ambiguous", IF(J133="No", "Invalid - Not Documented", IF(AND(F133="Yes", G133="Yes", H133="Yes", I133="Yes", J133="Yes"), "Valid", "Requires Review"))))))</f>
        <v/>
      </c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IF(F134="No", "Invalid - Not Freely Given", IF(G134="No", "Invalid - Not Specific", IF(H134="No", "Invalid - Not Informed", IF(I134="No", "Invalid - Ambiguous", IF(J134="No", "Invalid - Not Documented", IF(AND(F134="Yes", G134="Yes", H134="Yes", I134="Yes", J134="Yes"), "Valid", "Requires Review"))))))</f>
        <v/>
      </c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IF(F135="No", "Invalid - Not Freely Given", IF(G135="No", "Invalid - Not Specific", IF(H135="No", "Invalid - Not Informed", IF(I135="No", "Invalid - Ambiguous", IF(J135="No", "Invalid - Not Documented", IF(AND(F135="Yes", G135="Yes", H135="Yes", I135="Yes", J135="Yes"), "Valid", "Requires Review"))))))</f>
        <v/>
      </c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IF(F136="No", "Invalid - Not Freely Given", IF(G136="No", "Invalid - Not Specific", IF(H136="No", "Invalid - Not Informed", IF(I136="No", "Invalid - Ambiguous", IF(J136="No", "Invalid - Not Documented", IF(AND(F136="Yes", G136="Yes", H136="Yes", I136="Yes", J136="Yes"), "Valid", "Requires Review"))))))</f>
        <v/>
      </c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IF(F137="No", "Invalid - Not Freely Given", IF(G137="No", "Invalid - Not Specific", IF(H137="No", "Invalid - Not Informed", IF(I137="No", "Invalid - Ambiguous", IF(J137="No", "Invalid - Not Documented", IF(AND(F137="Yes", G137="Yes", H137="Yes", I137="Yes", J137="Yes"), "Valid", "Requires Review"))))))</f>
        <v/>
      </c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IF(F138="No", "Invalid - Not Freely Given", IF(G138="No", "Invalid - Not Specific", IF(H138="No", "Invalid - Not Informed", IF(I138="No", "Invalid - Ambiguous", IF(J138="No", "Invalid - Not Documented", IF(AND(F138="Yes", G138="Yes", H138="Yes", I138="Yes", J138="Yes"), "Valid", "Requires Review"))))))</f>
        <v/>
      </c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IF(F139="No", "Invalid - Not Freely Given", IF(G139="No", "Invalid - Not Specific", IF(H139="No", "Invalid - Not Informed", IF(I139="No", "Invalid - Ambiguous", IF(J139="No", "Invalid - Not Documented", IF(AND(F139="Yes", G139="Yes", H139="Yes", I139="Yes", J139="Yes"), "Valid", "Requires Review"))))))</f>
        <v/>
      </c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IF(F140="No", "Invalid - Not Freely Given", IF(G140="No", "Invalid - Not Specific", IF(H140="No", "Invalid - Not Informed", IF(I140="No", "Invalid - Ambiguous", IF(J140="No", "Invalid - Not Documented", IF(AND(F140="Yes", G140="Yes", H140="Yes", I140="Yes", J140="Yes"), "Valid", "Requires Review"))))))</f>
        <v/>
      </c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IF(F141="No", "Invalid - Not Freely Given", IF(G141="No", "Invalid - Not Specific", IF(H141="No", "Invalid - Not Informed", IF(I141="No", "Invalid - Ambiguous", IF(J141="No", "Invalid - Not Documented", IF(AND(F141="Yes", G141="Yes", H141="Yes", I141="Yes", J141="Yes"), "Valid", "Requires Review"))))))</f>
        <v/>
      </c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IF(F142="No", "Invalid - Not Freely Given", IF(G142="No", "Invalid - Not Specific", IF(H142="No", "Invalid - Not Informed", IF(I142="No", "Invalid - Ambiguous", IF(J142="No", "Invalid - Not Documented", IF(AND(F142="Yes", G142="Yes", H142="Yes", I142="Yes", J142="Yes"), "Valid", "Requires Review"))))))</f>
        <v/>
      </c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IF(F143="No", "Invalid - Not Freely Given", IF(G143="No", "Invalid - Not Specific", IF(H143="No", "Invalid - Not Informed", IF(I143="No", "Invalid - Ambiguous", IF(J143="No", "Invalid - Not Documented", IF(AND(F143="Yes", G143="Yes", H143="Yes", I143="Yes", J143="Yes"), "Valid", "Requires Review"))))))</f>
        <v/>
      </c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IF(F144="No", "Invalid - Not Freely Given", IF(G144="No", "Invalid - Not Specific", IF(H144="No", "Invalid - Not Informed", IF(I144="No", "Invalid - Ambiguous", IF(J144="No", "Invalid - Not Documented", IF(AND(F144="Yes", G144="Yes", H144="Yes", I144="Yes", J144="Yes"), "Valid", "Requires Review"))))))</f>
        <v/>
      </c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IF(F145="No", "Invalid - Not Freely Given", IF(G145="No", "Invalid - Not Specific", IF(H145="No", "Invalid - Not Informed", IF(I145="No", "Invalid - Ambiguous", IF(J145="No", "Invalid - Not Documented", IF(AND(F145="Yes", G145="Yes", H145="Yes", I145="Yes", J145="Yes"), "Valid", "Requires Review"))))))</f>
        <v/>
      </c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IF(F146="No", "Invalid - Not Freely Given", IF(G146="No", "Invalid - Not Specific", IF(H146="No", "Invalid - Not Informed", IF(I146="No", "Invalid - Ambiguous", IF(J146="No", "Invalid - Not Documented", IF(AND(F146="Yes", G146="Yes", H146="Yes", I146="Yes", J146="Yes"), "Valid", "Requires Review"))))))</f>
        <v/>
      </c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IF(F147="No", "Invalid - Not Freely Given", IF(G147="No", "Invalid - Not Specific", IF(H147="No", "Invalid - Not Informed", IF(I147="No", "Invalid - Ambiguous", IF(J147="No", "Invalid - Not Documented", IF(AND(F147="Yes", G147="Yes", H147="Yes", I147="Yes", J147="Yes"), "Valid", "Requires Review"))))))</f>
        <v/>
      </c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IF(F148="No", "Invalid - Not Freely Given", IF(G148="No", "Invalid - Not Specific", IF(H148="No", "Invalid - Not Informed", IF(I148="No", "Invalid - Ambiguous", IF(J148="No", "Invalid - Not Documented", IF(AND(F148="Yes", G148="Yes", H148="Yes", I148="Yes", J148="Yes"), "Valid", "Requires Review"))))))</f>
        <v/>
      </c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IF(F149="No", "Invalid - Not Freely Given", IF(G149="No", "Invalid - Not Specific", IF(H149="No", "Invalid - Not Informed", IF(I149="No", "Invalid - Ambiguous", IF(J149="No", "Invalid - Not Documented", IF(AND(F149="Yes", G149="Yes", H149="Yes", I149="Yes", J149="Yes"), "Valid", "Requires Review"))))))</f>
        <v/>
      </c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IF(F150="No", "Invalid - Not Freely Given", IF(G150="No", "Invalid - Not Specific", IF(H150="No", "Invalid - Not Informed", IF(I150="No", "Invalid - Ambiguous", IF(J150="No", "Invalid - Not Documented", IF(AND(F150="Yes", G150="Yes", H150="Yes", I150="Yes", J150="Yes"), "Valid", "Requires Review"))))))</f>
        <v/>
      </c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IF(F151="No", "Invalid - Not Freely Given", IF(G151="No", "Invalid - Not Specific", IF(H151="No", "Invalid - Not Informed", IF(I151="No", "Invalid - Ambiguous", IF(J151="No", "Invalid - Not Documented", IF(AND(F151="Yes", G151="Yes", H151="Yes", I151="Yes", J151="Yes"), "Valid", "Requires Review"))))))</f>
        <v/>
      </c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IF(F152="No", "Invalid - Not Freely Given", IF(G152="No", "Invalid - Not Specific", IF(H152="No", "Invalid - Not Informed", IF(I152="No", "Invalid - Ambiguous", IF(J152="No", "Invalid - Not Documented", IF(AND(F152="Yes", G152="Yes", H152="Yes", I152="Yes", J152="Yes"), "Valid", "Requires Review"))))))</f>
        <v/>
      </c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IF(F153="No", "Invalid - Not Freely Given", IF(G153="No", "Invalid - Not Specific", IF(H153="No", "Invalid - Not Informed", IF(I153="No", "Invalid - Ambiguous", IF(J153="No", "Invalid - Not Documented", IF(AND(F153="Yes", G153="Yes", H153="Yes", I153="Yes", J153="Yes"), "Valid", "Requires Review"))))))</f>
        <v/>
      </c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IF(F154="No", "Invalid - Not Freely Given", IF(G154="No", "Invalid - Not Specific", IF(H154="No", "Invalid - Not Informed", IF(I154="No", "Invalid - Ambiguous", IF(J154="No", "Invalid - Not Documented", IF(AND(F154="Yes", G154="Yes", H154="Yes", I154="Yes", J154="Yes"), "Valid", "Requires Review"))))))</f>
        <v/>
      </c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IF(F155="No", "Invalid - Not Freely Given", IF(G155="No", "Invalid - Not Specific", IF(H155="No", "Invalid - Not Informed", IF(I155="No", "Invalid - Ambiguous", IF(J155="No", "Invalid - Not Documented", IF(AND(F155="Yes", G155="Yes", H155="Yes", I155="Yes", J155="Yes"), "Valid", "Requires Review"))))))</f>
        <v/>
      </c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IF(F156="No", "Invalid - Not Freely Given", IF(G156="No", "Invalid - Not Specific", IF(H156="No", "Invalid - Not Informed", IF(I156="No", "Invalid - Ambiguous", IF(J156="No", "Invalid - Not Documented", IF(AND(F156="Yes", G156="Yes", H156="Yes", I156="Yes", J156="Yes"), "Valid", "Requires Review"))))))</f>
        <v/>
      </c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IF(F157="No", "Invalid - Not Freely Given", IF(G157="No", "Invalid - Not Specific", IF(H157="No", "Invalid - Not Informed", IF(I157="No", "Invalid - Ambiguous", IF(J157="No", "Invalid - Not Documented", IF(AND(F157="Yes", G157="Yes", H157="Yes", I157="Yes", J157="Yes"), "Valid", "Requires Review"))))))</f>
        <v/>
      </c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IF(F158="No", "Invalid - Not Freely Given", IF(G158="No", "Invalid - Not Specific", IF(H158="No", "Invalid - Not Informed", IF(I158="No", "Invalid - Ambiguous", IF(J158="No", "Invalid - Not Documented", IF(AND(F158="Yes", G158="Yes", H158="Yes", I158="Yes", J158="Yes"), "Valid", "Requires Review"))))))</f>
        <v/>
      </c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IF(F159="No", "Invalid - Not Freely Given", IF(G159="No", "Invalid - Not Specific", IF(H159="No", "Invalid - Not Informed", IF(I159="No", "Invalid - Ambiguous", IF(J159="No", "Invalid - Not Documented", IF(AND(F159="Yes", G159="Yes", H159="Yes", I159="Yes", J159="Yes"), "Valid", "Requires Review"))))))</f>
        <v/>
      </c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IF(F160="No", "Invalid - Not Freely Given", IF(G160="No", "Invalid - Not Specific", IF(H160="No", "Invalid - Not Informed", IF(I160="No", "Invalid - Ambiguous", IF(J160="No", "Invalid - Not Documented", IF(AND(F160="Yes", G160="Yes", H160="Yes", I160="Yes", J160="Yes"), "Valid", "Requires Review"))))))</f>
        <v/>
      </c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IF(F161="No", "Invalid - Not Freely Given", IF(G161="No", "Invalid - Not Specific", IF(H161="No", "Invalid - Not Informed", IF(I161="No", "Invalid - Ambiguous", IF(J161="No", "Invalid - Not Documented", IF(AND(F161="Yes", G161="Yes", H161="Yes", I161="Yes", J161="Yes"), "Valid", "Requires Review"))))))</f>
        <v/>
      </c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IF(F162="No", "Invalid - Not Freely Given", IF(G162="No", "Invalid - Not Specific", IF(H162="No", "Invalid - Not Informed", IF(I162="No", "Invalid - Ambiguous", IF(J162="No", "Invalid - Not Documented", IF(AND(F162="Yes", G162="Yes", H162="Yes", I162="Yes", J162="Yes"), "Valid", "Requires Review"))))))</f>
        <v/>
      </c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IF(F163="No", "Invalid - Not Freely Given", IF(G163="No", "Invalid - Not Specific", IF(H163="No", "Invalid - Not Informed", IF(I163="No", "Invalid - Ambiguous", IF(J163="No", "Invalid - Not Documented", IF(AND(F163="Yes", G163="Yes", H163="Yes", I163="Yes", J163="Yes"), "Valid", "Requires Review"))))))</f>
        <v/>
      </c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IF(F164="No", "Invalid - Not Freely Given", IF(G164="No", "Invalid - Not Specific", IF(H164="No", "Invalid - Not Informed", IF(I164="No", "Invalid - Ambiguous", IF(J164="No", "Invalid - Not Documented", IF(AND(F164="Yes", G164="Yes", H164="Yes", I164="Yes", J164="Yes"), "Valid", "Requires Review"))))))</f>
        <v/>
      </c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IF(F165="No", "Invalid - Not Freely Given", IF(G165="No", "Invalid - Not Specific", IF(H165="No", "Invalid - Not Informed", IF(I165="No", "Invalid - Ambiguous", IF(J165="No", "Invalid - Not Documented", IF(AND(F165="Yes", G165="Yes", H165="Yes", I165="Yes", J165="Yes"), "Valid", "Requires Review"))))))</f>
        <v/>
      </c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IF(F166="No", "Invalid - Not Freely Given", IF(G166="No", "Invalid - Not Specific", IF(H166="No", "Invalid - Not Informed", IF(I166="No", "Invalid - Ambiguous", IF(J166="No", "Invalid - Not Documented", IF(AND(F166="Yes", G166="Yes", H166="Yes", I166="Yes", J166="Yes"), "Valid", "Requires Review"))))))</f>
        <v/>
      </c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IF(F167="No", "Invalid - Not Freely Given", IF(G167="No", "Invalid - Not Specific", IF(H167="No", "Invalid - Not Informed", IF(I167="No", "Invalid - Ambiguous", IF(J167="No", "Invalid - Not Documented", IF(AND(F167="Yes", G167="Yes", H167="Yes", I167="Yes", J167="Yes"), "Valid", "Requires Review"))))))</f>
        <v/>
      </c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IF(F168="No", "Invalid - Not Freely Given", IF(G168="No", "Invalid - Not Specific", IF(H168="No", "Invalid - Not Informed", IF(I168="No", "Invalid - Ambiguous", IF(J168="No", "Invalid - Not Documented", IF(AND(F168="Yes", G168="Yes", H168="Yes", I168="Yes", J168="Yes"), "Valid", "Requires Review"))))))</f>
        <v/>
      </c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IF(F169="No", "Invalid - Not Freely Given", IF(G169="No", "Invalid - Not Specific", IF(H169="No", "Invalid - Not Informed", IF(I169="No", "Invalid - Ambiguous", IF(J169="No", "Invalid - Not Documented", IF(AND(F169="Yes", G169="Yes", H169="Yes", I169="Yes", J169="Yes"), "Valid", "Requires Review"))))))</f>
        <v/>
      </c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IF(F170="No", "Invalid - Not Freely Given", IF(G170="No", "Invalid - Not Specific", IF(H170="No", "Invalid - Not Informed", IF(I170="No", "Invalid - Ambiguous", IF(J170="No", "Invalid - Not Documented", IF(AND(F170="Yes", G170="Yes", H170="Yes", I170="Yes", J170="Yes"), "Valid", "Requires Review"))))))</f>
        <v/>
      </c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IF(F171="No", "Invalid - Not Freely Given", IF(G171="No", "Invalid - Not Specific", IF(H171="No", "Invalid - Not Informed", IF(I171="No", "Invalid - Ambiguous", IF(J171="No", "Invalid - Not Documented", IF(AND(F171="Yes", G171="Yes", H171="Yes", I171="Yes", J171="Yes"), "Valid", "Requires Review"))))))</f>
        <v/>
      </c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IF(F172="No", "Invalid - Not Freely Given", IF(G172="No", "Invalid - Not Specific", IF(H172="No", "Invalid - Not Informed", IF(I172="No", "Invalid - Ambiguous", IF(J172="No", "Invalid - Not Documented", IF(AND(F172="Yes", G172="Yes", H172="Yes", I172="Yes", J172="Yes"), "Valid", "Requires Review"))))))</f>
        <v/>
      </c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IF(F173="No", "Invalid - Not Freely Given", IF(G173="No", "Invalid - Not Specific", IF(H173="No", "Invalid - Not Informed", IF(I173="No", "Invalid - Ambiguous", IF(J173="No", "Invalid - Not Documented", IF(AND(F173="Yes", G173="Yes", H173="Yes", I173="Yes", J173="Yes"), "Valid", "Requires Review"))))))</f>
        <v/>
      </c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IF(F174="No", "Invalid - Not Freely Given", IF(G174="No", "Invalid - Not Specific", IF(H174="No", "Invalid - Not Informed", IF(I174="No", "Invalid - Ambiguous", IF(J174="No", "Invalid - Not Documented", IF(AND(F174="Yes", G174="Yes", H174="Yes", I174="Yes", J174="Yes"), "Valid", "Requires Review"))))))</f>
        <v/>
      </c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IF(F175="No", "Invalid - Not Freely Given", IF(G175="No", "Invalid - Not Specific", IF(H175="No", "Invalid - Not Informed", IF(I175="No", "Invalid - Ambiguous", IF(J175="No", "Invalid - Not Documented", IF(AND(F175="Yes", G175="Yes", H175="Yes", I175="Yes", J175="Yes"), "Valid", "Requires Review"))))))</f>
        <v/>
      </c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IF(F176="No", "Invalid - Not Freely Given", IF(G176="No", "Invalid - Not Specific", IF(H176="No", "Invalid - Not Informed", IF(I176="No", "Invalid - Ambiguous", IF(J176="No", "Invalid - Not Documented", IF(AND(F176="Yes", G176="Yes", H176="Yes", I176="Yes", J176="Yes"), "Valid", "Requires Review"))))))</f>
        <v/>
      </c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IF(F177="No", "Invalid - Not Freely Given", IF(G177="No", "Invalid - Not Specific", IF(H177="No", "Invalid - Not Informed", IF(I177="No", "Invalid - Ambiguous", IF(J177="No", "Invalid - Not Documented", IF(AND(F177="Yes", G177="Yes", H177="Yes", I177="Yes", J177="Yes"), "Valid", "Requires Review"))))))</f>
        <v/>
      </c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IF(F178="No", "Invalid - Not Freely Given", IF(G178="No", "Invalid - Not Specific", IF(H178="No", "Invalid - Not Informed", IF(I178="No", "Invalid - Ambiguous", IF(J178="No", "Invalid - Not Documented", IF(AND(F178="Yes", G178="Yes", H178="Yes", I178="Yes", J178="Yes"), "Valid", "Requires Review"))))))</f>
        <v/>
      </c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IF(F179="No", "Invalid - Not Freely Given", IF(G179="No", "Invalid - Not Specific", IF(H179="No", "Invalid - Not Informed", IF(I179="No", "Invalid - Ambiguous", IF(J179="No", "Invalid - Not Documented", IF(AND(F179="Yes", G179="Yes", H179="Yes", I179="Yes", J179="Yes"), "Valid", "Requires Review"))))))</f>
        <v/>
      </c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IF(F180="No", "Invalid - Not Freely Given", IF(G180="No", "Invalid - Not Specific", IF(H180="No", "Invalid - Not Informed", IF(I180="No", "Invalid - Ambiguous", IF(J180="No", "Invalid - Not Documented", IF(AND(F180="Yes", G180="Yes", H180="Yes", I180="Yes", J180="Yes"), "Valid", "Requires Review"))))))</f>
        <v/>
      </c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IF(F181="No", "Invalid - Not Freely Given", IF(G181="No", "Invalid - Not Specific", IF(H181="No", "Invalid - Not Informed", IF(I181="No", "Invalid - Ambiguous", IF(J181="No", "Invalid - Not Documented", IF(AND(F181="Yes", G181="Yes", H181="Yes", I181="Yes", J181="Yes"), "Valid", "Requires Review"))))))</f>
        <v/>
      </c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IF(F182="No", "Invalid - Not Freely Given", IF(G182="No", "Invalid - Not Specific", IF(H182="No", "Invalid - Not Informed", IF(I182="No", "Invalid - Ambiguous", IF(J182="No", "Invalid - Not Documented", IF(AND(F182="Yes", G182="Yes", H182="Yes", I182="Yes", J182="Yes"), "Valid", "Requires Review"))))))</f>
        <v/>
      </c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IF(F183="No", "Invalid - Not Freely Given", IF(G183="No", "Invalid - Not Specific", IF(H183="No", "Invalid - Not Informed", IF(I183="No", "Invalid - Ambiguous", IF(J183="No", "Invalid - Not Documented", IF(AND(F183="Yes", G183="Yes", H183="Yes", I183="Yes", J183="Yes"), "Valid", "Requires Review"))))))</f>
        <v/>
      </c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IF(F184="No", "Invalid - Not Freely Given", IF(G184="No", "Invalid - Not Specific", IF(H184="No", "Invalid - Not Informed", IF(I184="No", "Invalid - Ambiguous", IF(J184="No", "Invalid - Not Documented", IF(AND(F184="Yes", G184="Yes", H184="Yes", I184="Yes", J184="Yes"), "Valid", "Requires Review"))))))</f>
        <v/>
      </c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IF(F185="No", "Invalid - Not Freely Given", IF(G185="No", "Invalid - Not Specific", IF(H185="No", "Invalid - Not Informed", IF(I185="No", "Invalid - Ambiguous", IF(J185="No", "Invalid - Not Documented", IF(AND(F185="Yes", G185="Yes", H185="Yes", I185="Yes", J185="Yes"), "Valid", "Requires Review"))))))</f>
        <v/>
      </c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IF(F186="No", "Invalid - Not Freely Given", IF(G186="No", "Invalid - Not Specific", IF(H186="No", "Invalid - Not Informed", IF(I186="No", "Invalid - Ambiguous", IF(J186="No", "Invalid - Not Documented", IF(AND(F186="Yes", G186="Yes", H186="Yes", I186="Yes", J186="Yes"), "Valid", "Requires Review"))))))</f>
        <v/>
      </c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IF(F187="No", "Invalid - Not Freely Given", IF(G187="No", "Invalid - Not Specific", IF(H187="No", "Invalid - Not Informed", IF(I187="No", "Invalid - Ambiguous", IF(J187="No", "Invalid - Not Documented", IF(AND(F187="Yes", G187="Yes", H187="Yes", I187="Yes", J187="Yes"), "Valid", "Requires Review"))))))</f>
        <v/>
      </c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IF(F188="No", "Invalid - Not Freely Given", IF(G188="No", "Invalid - Not Specific", IF(H188="No", "Invalid - Not Informed", IF(I188="No", "Invalid - Ambiguous", IF(J188="No", "Invalid - Not Documented", IF(AND(F188="Yes", G188="Yes", H188="Yes", I188="Yes", J188="Yes"), "Valid", "Requires Review"))))))</f>
        <v/>
      </c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IF(F189="No", "Invalid - Not Freely Given", IF(G189="No", "Invalid - Not Specific", IF(H189="No", "Invalid - Not Informed", IF(I189="No", "Invalid - Ambiguous", IF(J189="No", "Invalid - Not Documented", IF(AND(F189="Yes", G189="Yes", H189="Yes", I189="Yes", J189="Yes"), "Valid", "Requires Review"))))))</f>
        <v/>
      </c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IF(F190="No", "Invalid - Not Freely Given", IF(G190="No", "Invalid - Not Specific", IF(H190="No", "Invalid - Not Informed", IF(I190="No", "Invalid - Ambiguous", IF(J190="No", "Invalid - Not Documented", IF(AND(F190="Yes", G190="Yes", H190="Yes", I190="Yes", J190="Yes"), "Valid", "Requires Review"))))))</f>
        <v/>
      </c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IF(F191="No", "Invalid - Not Freely Given", IF(G191="No", "Invalid - Not Specific", IF(H191="No", "Invalid - Not Informed", IF(I191="No", "Invalid - Ambiguous", IF(J191="No", "Invalid - Not Documented", IF(AND(F191="Yes", G191="Yes", H191="Yes", I191="Yes", J191="Yes"), "Valid", "Requires Review"))))))</f>
        <v/>
      </c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IF(F192="No", "Invalid - Not Freely Given", IF(G192="No", "Invalid - Not Specific", IF(H192="No", "Invalid - Not Informed", IF(I192="No", "Invalid - Ambiguous", IF(J192="No", "Invalid - Not Documented", IF(AND(F192="Yes", G192="Yes", H192="Yes", I192="Yes", J192="Yes"), "Valid", "Requires Review"))))))</f>
        <v/>
      </c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IF(F193="No", "Invalid - Not Freely Given", IF(G193="No", "Invalid - Not Specific", IF(H193="No", "Invalid - Not Informed", IF(I193="No", "Invalid - Ambiguous", IF(J193="No", "Invalid - Not Documented", IF(AND(F193="Yes", G193="Yes", H193="Yes", I193="Yes", J193="Yes"), "Valid", "Requires Review"))))))</f>
        <v/>
      </c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IF(F194="No", "Invalid - Not Freely Given", IF(G194="No", "Invalid - Not Specific", IF(H194="No", "Invalid - Not Informed", IF(I194="No", "Invalid - Ambiguous", IF(J194="No", "Invalid - Not Documented", IF(AND(F194="Yes", G194="Yes", H194="Yes", I194="Yes", J194="Yes"), "Valid", "Requires Review"))))))</f>
        <v/>
      </c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IF(F195="No", "Invalid - Not Freely Given", IF(G195="No", "Invalid - Not Specific", IF(H195="No", "Invalid - Not Informed", IF(I195="No", "Invalid - Ambiguous", IF(J195="No", "Invalid - Not Documented", IF(AND(F195="Yes", G195="Yes", H195="Yes", I195="Yes", J195="Yes"), "Valid", "Requires Review"))))))</f>
        <v/>
      </c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IF(F196="No", "Invalid - Not Freely Given", IF(G196="No", "Invalid - Not Specific", IF(H196="No", "Invalid - Not Informed", IF(I196="No", "Invalid - Ambiguous", IF(J196="No", "Invalid - Not Documented", IF(AND(F196="Yes", G196="Yes", H196="Yes", I196="Yes", J196="Yes"), "Valid", "Requires Review"))))))</f>
        <v/>
      </c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IF(F197="No", "Invalid - Not Freely Given", IF(G197="No", "Invalid - Not Specific", IF(H197="No", "Invalid - Not Informed", IF(I197="No", "Invalid - Ambiguous", IF(J197="No", "Invalid - Not Documented", IF(AND(F197="Yes", G197="Yes", H197="Yes", I197="Yes", J197="Yes"), "Valid", "Requires Review"))))))</f>
        <v/>
      </c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IF(F198="No", "Invalid - Not Freely Given", IF(G198="No", "Invalid - Not Specific", IF(H198="No", "Invalid - Not Informed", IF(I198="No", "Invalid - Ambiguous", IF(J198="No", "Invalid - Not Documented", IF(AND(F198="Yes", G198="Yes", H198="Yes", I198="Yes", J198="Yes"), "Valid", "Requires Review"))))))</f>
        <v/>
      </c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IF(F199="No", "Invalid - Not Freely Given", IF(G199="No", "Invalid - Not Specific", IF(H199="No", "Invalid - Not Informed", IF(I199="No", "Invalid - Ambiguous", IF(J199="No", "Invalid - Not Documented", IF(AND(F199="Yes", G199="Yes", H199="Yes", I199="Yes", J199="Yes"), "Valid", "Requires Review"))))))</f>
        <v/>
      </c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IF(F200="No", "Invalid - Not Freely Given", IF(G200="No", "Invalid - Not Specific", IF(H200="No", "Invalid - Not Informed", IF(I200="No", "Invalid - Ambiguous", IF(J200="No", "Invalid - Not Documented", IF(AND(F200="Yes", G200="Yes", H200="Yes", I200="Yes", J200="Yes"), "Valid", "Requires Review"))))))</f>
        <v/>
      </c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IF(F201="No", "Invalid - Not Freely Given", IF(G201="No", "Invalid - Not Specific", IF(H201="No", "Invalid - Not Informed", IF(I201="No", "Invalid - Ambiguous", IF(J201="No", "Invalid - Not Documented", IF(AND(F201="Yes", G201="Yes", H201="Yes", I201="Yes", J201="Yes"), "Valid", "Requires Review"))))))</f>
        <v/>
      </c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IF(F202="No", "Invalid - Not Freely Given", IF(G202="No", "Invalid - Not Specific", IF(H202="No", "Invalid - Not Informed", IF(I202="No", "Invalid - Ambiguous", IF(J202="No", "Invalid - Not Documented", IF(AND(F202="Yes", G202="Yes", H202="Yes", I202="Yes", J202="Yes"), "Valid", "Requires Review"))))))</f>
        <v/>
      </c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IF(F203="No", "Invalid - Not Freely Given", IF(G203="No", "Invalid - Not Specific", IF(H203="No", "Invalid - Not Informed", IF(I203="No", "Invalid - Ambiguous", IF(J203="No", "Invalid - Not Documented", IF(AND(F203="Yes", G203="Yes", H203="Yes", I203="Yes", J203="Yes"), "Valid", "Requires Review"))))))</f>
        <v/>
      </c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IF(F204="No", "Invalid - Not Freely Given", IF(G204="No", "Invalid - Not Specific", IF(H204="No", "Invalid - Not Informed", IF(I204="No", "Invalid - Ambiguous", IF(J204="No", "Invalid - Not Documented", IF(AND(F204="Yes", G204="Yes", H204="Yes", I204="Yes", J204="Yes"), "Valid", "Requires Review"))))))</f>
        <v/>
      </c>
      <c r="L204" s="7" t="n"/>
      <c r="M204" s="7" t="n"/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IF(F205="No", "Invalid - Not Freely Given", IF(G205="No", "Invalid - Not Specific", IF(H205="No", "Invalid - Not Informed", IF(I205="No", "Invalid - Ambiguous", IF(J205="No", "Invalid - Not Documented", IF(AND(F205="Yes", G205="Yes", H205="Yes", I205="Yes", J205="Yes"), "Valid", "Requires Review"))))))</f>
        <v/>
      </c>
      <c r="L205" s="7" t="n"/>
      <c r="M205" s="7" t="n"/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IF(F206="No", "Invalid - Not Freely Given", IF(G206="No", "Invalid - Not Specific", IF(H206="No", "Invalid - Not Informed", IF(I206="No", "Invalid - Ambiguous", IF(J206="No", "Invalid - Not Documented", IF(AND(F206="Yes", G206="Yes", H206="Yes", I206="Yes", J206="Yes"), "Valid", "Requires Review"))))))</f>
        <v/>
      </c>
      <c r="L206" s="7" t="n"/>
      <c r="M206" s="7" t="n"/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IF(F207="No", "Invalid - Not Freely Given", IF(G207="No", "Invalid - Not Specific", IF(H207="No", "Invalid - Not Informed", IF(I207="No", "Invalid - Ambiguous", IF(J207="No", "Invalid - Not Documented", IF(AND(F207="Yes", G207="Yes", H207="Yes", I207="Yes", J207="Yes"), "Valid", "Requires Review"))))))</f>
        <v/>
      </c>
      <c r="L207" s="7" t="n"/>
      <c r="M207" s="7" t="n"/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IF(F208="No", "Invalid - Not Freely Given", IF(G208="No", "Invalid - Not Specific", IF(H208="No", "Invalid - Not Informed", IF(I208="No", "Invalid - Ambiguous", IF(J208="No", "Invalid - Not Documented", IF(AND(F208="Yes", G208="Yes", H208="Yes", I208="Yes", J208="Yes"), "Valid", "Requires Review"))))))</f>
        <v/>
      </c>
      <c r="L208" s="7" t="n"/>
      <c r="M208" s="7" t="n"/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IF(F209="No", "Invalid - Not Freely Given", IF(G209="No", "Invalid - Not Specific", IF(H209="No", "Invalid - Not Informed", IF(I209="No", "Invalid - Ambiguous", IF(J209="No", "Invalid - Not Documented", IF(AND(F209="Yes", G209="Yes", H209="Yes", I209="Yes", J209="Yes"), "Valid", "Requires Review"))))))</f>
        <v/>
      </c>
      <c r="L209" s="7" t="n"/>
      <c r="M209" s="7" t="n"/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IF(F210="No", "Invalid - Not Freely Given", IF(G210="No", "Invalid - Not Specific", IF(H210="No", "Invalid - Not Informed", IF(I210="No", "Invalid - Ambiguous", IF(J210="No", "Invalid - Not Documented", IF(AND(F210="Yes", G210="Yes", H210="Yes", I210="Yes", J210="Yes"), "Valid", "Requires Review"))))))</f>
        <v/>
      </c>
      <c r="L210" s="7" t="n"/>
      <c r="M210" s="7" t="n"/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IF(F211="No", "Invalid - Not Freely Given", IF(G211="No", "Invalid - Not Specific", IF(H211="No", "Invalid - Not Informed", IF(I211="No", "Invalid - Ambiguous", IF(J211="No", "Invalid - Not Documented", IF(AND(F211="Yes", G211="Yes", H211="Yes", I211="Yes", J211="Yes"), "Valid", "Requires Review"))))))</f>
        <v/>
      </c>
      <c r="L211" s="7" t="n"/>
      <c r="M211" s="7" t="n"/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IF(F212="No", "Invalid - Not Freely Given", IF(G212="No", "Invalid - Not Specific", IF(H212="No", "Invalid - Not Informed", IF(I212="No", "Invalid - Ambiguous", IF(J212="No", "Invalid - Not Documented", IF(AND(F212="Yes", G212="Yes", H212="Yes", I212="Yes", J212="Yes"), "Valid", "Requires Review"))))))</f>
        <v/>
      </c>
      <c r="L212" s="7" t="n"/>
      <c r="M212" s="7" t="n"/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IF(F213="No", "Invalid - Not Freely Given", IF(G213="No", "Invalid - Not Specific", IF(H213="No", "Invalid - Not Informed", IF(I213="No", "Invalid - Ambiguous", IF(J213="No", "Invalid - Not Documented", IF(AND(F213="Yes", G213="Yes", H213="Yes", I213="Yes", J213="Yes"), "Valid", "Requires Review"))))))</f>
        <v/>
      </c>
      <c r="L213" s="7" t="n"/>
      <c r="M213" s="7" t="n"/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IF(F214="No", "Invalid - Not Freely Given", IF(G214="No", "Invalid - Not Specific", IF(H214="No", "Invalid - Not Informed", IF(I214="No", "Invalid - Ambiguous", IF(J214="No", "Invalid - Not Documented", IF(AND(F214="Yes", G214="Yes", H214="Yes", I214="Yes", J214="Yes"), "Valid", "Requires Review"))))))</f>
        <v/>
      </c>
      <c r="L214" s="7" t="n"/>
      <c r="M214" s="7" t="n"/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IF(F215="No", "Invalid - Not Freely Given", IF(G215="No", "Invalid - Not Specific", IF(H215="No", "Invalid - Not Informed", IF(I215="No", "Invalid - Ambiguous", IF(J215="No", "Invalid - Not Documented", IF(AND(F215="Yes", G215="Yes", H215="Yes", I215="Yes", J215="Yes"), "Valid", "Requires Review"))))))</f>
        <v/>
      </c>
      <c r="L215" s="7" t="n"/>
      <c r="M215" s="7" t="n"/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IF(F216="No", "Invalid - Not Freely Given", IF(G216="No", "Invalid - Not Specific", IF(H216="No", "Invalid - Not Informed", IF(I216="No", "Invalid - Ambiguous", IF(J216="No", "Invalid - Not Documented", IF(AND(F216="Yes", G216="Yes", H216="Yes", I216="Yes", J216="Yes"), "Valid", "Requires Review"))))))</f>
        <v/>
      </c>
      <c r="L216" s="7" t="n"/>
      <c r="M216" s="7" t="n"/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IF(F217="No", "Invalid - Not Freely Given", IF(G217="No", "Invalid - Not Specific", IF(H217="No", "Invalid - Not Informed", IF(I217="No", "Invalid - Ambiguous", IF(J217="No", "Invalid - Not Documented", IF(AND(F217="Yes", G217="Yes", H217="Yes", I217="Yes", J217="Yes"), "Valid", "Requires Review"))))))</f>
        <v/>
      </c>
      <c r="L217" s="7" t="n"/>
      <c r="M217" s="7" t="n"/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IF(F218="No", "Invalid - Not Freely Given", IF(G218="No", "Invalid - Not Specific", IF(H218="No", "Invalid - Not Informed", IF(I218="No", "Invalid - Ambiguous", IF(J218="No", "Invalid - Not Documented", IF(AND(F218="Yes", G218="Yes", H218="Yes", I218="Yes", J218="Yes"), "Valid", "Requires Review"))))))</f>
        <v/>
      </c>
      <c r="L218" s="7" t="n"/>
      <c r="M218" s="7" t="n"/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IF(F219="No", "Invalid - Not Freely Given", IF(G219="No", "Invalid - Not Specific", IF(H219="No", "Invalid - Not Informed", IF(I219="No", "Invalid - Ambiguous", IF(J219="No", "Invalid - Not Documented", IF(AND(F219="Yes", G219="Yes", H219="Yes", I219="Yes", J219="Yes"), "Valid", "Requires Review"))))))</f>
        <v/>
      </c>
      <c r="L219" s="7" t="n"/>
      <c r="M219" s="7" t="n"/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IF(F220="No", "Invalid - Not Freely Given", IF(G220="No", "Invalid - Not Specific", IF(H220="No", "Invalid - Not Informed", IF(I220="No", "Invalid - Ambiguous", IF(J220="No", "Invalid - Not Documented", IF(AND(F220="Yes", G220="Yes", H220="Yes", I220="Yes", J220="Yes"), "Valid", "Requires Review"))))))</f>
        <v/>
      </c>
      <c r="L220" s="7" t="n"/>
      <c r="M220" s="7" t="n"/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IF(F221="No", "Invalid - Not Freely Given", IF(G221="No", "Invalid - Not Specific", IF(H221="No", "Invalid - Not Informed", IF(I221="No", "Invalid - Ambiguous", IF(J221="No", "Invalid - Not Documented", IF(AND(F221="Yes", G221="Yes", H221="Yes", I221="Yes", J221="Yes"), "Valid", "Requires Review"))))))</f>
        <v/>
      </c>
      <c r="L221" s="7" t="n"/>
      <c r="M221" s="7" t="n"/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IF(F222="No", "Invalid - Not Freely Given", IF(G222="No", "Invalid - Not Specific", IF(H222="No", "Invalid - Not Informed", IF(I222="No", "Invalid - Ambiguous", IF(J222="No", "Invalid - Not Documented", IF(AND(F222="Yes", G222="Yes", H222="Yes", I222="Yes", J222="Yes"), "Valid", "Requires Review"))))))</f>
        <v/>
      </c>
      <c r="L222" s="7" t="n"/>
      <c r="M222" s="7" t="n"/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IF(F223="No", "Invalid - Not Freely Given", IF(G223="No", "Invalid - Not Specific", IF(H223="No", "Invalid - Not Informed", IF(I223="No", "Invalid - Ambiguous", IF(J223="No", "Invalid - Not Documented", IF(AND(F223="Yes", G223="Yes", H223="Yes", I223="Yes", J223="Yes"), "Valid", "Requires Review"))))))</f>
        <v/>
      </c>
      <c r="L223" s="7" t="n"/>
      <c r="M223" s="7" t="n"/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IF(F224="No", "Invalid - Not Freely Given", IF(G224="No", "Invalid - Not Specific", IF(H224="No", "Invalid - Not Informed", IF(I224="No", "Invalid - Ambiguous", IF(J224="No", "Invalid - Not Documented", IF(AND(F224="Yes", G224="Yes", H224="Yes", I224="Yes", J224="Yes"), "Valid", "Requires Review"))))))</f>
        <v/>
      </c>
      <c r="L224" s="7" t="n"/>
      <c r="M224" s="7" t="n"/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IF(F225="No", "Invalid - Not Freely Given", IF(G225="No", "Invalid - Not Specific", IF(H225="No", "Invalid - Not Informed", IF(I225="No", "Invalid - Ambiguous", IF(J225="No", "Invalid - Not Documented", IF(AND(F225="Yes", G225="Yes", H225="Yes", I225="Yes", J225="Yes"), "Valid", "Requires Review"))))))</f>
        <v/>
      </c>
      <c r="L225" s="7" t="n"/>
      <c r="M225" s="7" t="n"/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IF(F226="No", "Invalid - Not Freely Given", IF(G226="No", "Invalid - Not Specific", IF(H226="No", "Invalid - Not Informed", IF(I226="No", "Invalid - Ambiguous", IF(J226="No", "Invalid - Not Documented", IF(AND(F226="Yes", G226="Yes", H226="Yes", I226="Yes", J226="Yes"), "Valid", "Requires Review"))))))</f>
        <v/>
      </c>
      <c r="L226" s="7" t="n"/>
      <c r="M226" s="7" t="n"/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IF(F227="No", "Invalid - Not Freely Given", IF(G227="No", "Invalid - Not Specific", IF(H227="No", "Invalid - Not Informed", IF(I227="No", "Invalid - Ambiguous", IF(J227="No", "Invalid - Not Documented", IF(AND(F227="Yes", G227="Yes", H227="Yes", I227="Yes", J227="Yes"), "Valid", "Requires Review"))))))</f>
        <v/>
      </c>
      <c r="L227" s="7" t="n"/>
      <c r="M227" s="7" t="n"/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IF(F228="No", "Invalid - Not Freely Given", IF(G228="No", "Invalid - Not Specific", IF(H228="No", "Invalid - Not Informed", IF(I228="No", "Invalid - Ambiguous", IF(J228="No", "Invalid - Not Documented", IF(AND(F228="Yes", G228="Yes", H228="Yes", I228="Yes", J228="Yes"), "Valid", "Requires Review"))))))</f>
        <v/>
      </c>
      <c r="L228" s="7" t="n"/>
      <c r="M228" s="7" t="n"/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IF(F229="No", "Invalid - Not Freely Given", IF(G229="No", "Invalid - Not Specific", IF(H229="No", "Invalid - Not Informed", IF(I229="No", "Invalid - Ambiguous", IF(J229="No", "Invalid - Not Documented", IF(AND(F229="Yes", G229="Yes", H229="Yes", I229="Yes", J229="Yes"), "Valid", "Requires Review"))))))</f>
        <v/>
      </c>
      <c r="L229" s="7" t="n"/>
      <c r="M229" s="7" t="n"/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IF(F230="No", "Invalid - Not Freely Given", IF(G230="No", "Invalid - Not Specific", IF(H230="No", "Invalid - Not Informed", IF(I230="No", "Invalid - Ambiguous", IF(J230="No", "Invalid - Not Documented", IF(AND(F230="Yes", G230="Yes", H230="Yes", I230="Yes", J230="Yes"), "Valid", "Requires Review"))))))</f>
        <v/>
      </c>
      <c r="L230" s="7" t="n"/>
      <c r="M230" s="7" t="n"/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IF(F231="No", "Invalid - Not Freely Given", IF(G231="No", "Invalid - Not Specific", IF(H231="No", "Invalid - Not Informed", IF(I231="No", "Invalid - Ambiguous", IF(J231="No", "Invalid - Not Documented", IF(AND(F231="Yes", G231="Yes", H231="Yes", I231="Yes", J231="Yes"), "Valid", "Requires Review"))))))</f>
        <v/>
      </c>
      <c r="L231" s="7" t="n"/>
      <c r="M231" s="7" t="n"/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IF(F232="No", "Invalid - Not Freely Given", IF(G232="No", "Invalid - Not Specific", IF(H232="No", "Invalid - Not Informed", IF(I232="No", "Invalid - Ambiguous", IF(J232="No", "Invalid - Not Documented", IF(AND(F232="Yes", G232="Yes", H232="Yes", I232="Yes", J232="Yes"), "Valid", "Requires Review"))))))</f>
        <v/>
      </c>
      <c r="L232" s="7" t="n"/>
      <c r="M232" s="7" t="n"/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IF(F233="No", "Invalid - Not Freely Given", IF(G233="No", "Invalid - Not Specific", IF(H233="No", "Invalid - Not Informed", IF(I233="No", "Invalid - Ambiguous", IF(J233="No", "Invalid - Not Documented", IF(AND(F233="Yes", G233="Yes", H233="Yes", I233="Yes", J233="Yes"), "Valid", "Requires Review"))))))</f>
        <v/>
      </c>
      <c r="L233" s="7" t="n"/>
      <c r="M233" s="7" t="n"/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IF(F234="No", "Invalid - Not Freely Given", IF(G234="No", "Invalid - Not Specific", IF(H234="No", "Invalid - Not Informed", IF(I234="No", "Invalid - Ambiguous", IF(J234="No", "Invalid - Not Documented", IF(AND(F234="Yes", G234="Yes", H234="Yes", I234="Yes", J234="Yes"), "Valid", "Requires Review"))))))</f>
        <v/>
      </c>
      <c r="L234" s="7" t="n"/>
      <c r="M234" s="7" t="n"/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IF(F235="No", "Invalid - Not Freely Given", IF(G235="No", "Invalid - Not Specific", IF(H235="No", "Invalid - Not Informed", IF(I235="No", "Invalid - Ambiguous", IF(J235="No", "Invalid - Not Documented", IF(AND(F235="Yes", G235="Yes", H235="Yes", I235="Yes", J235="Yes"), "Valid", "Requires Review"))))))</f>
        <v/>
      </c>
      <c r="L235" s="7" t="n"/>
      <c r="M235" s="7" t="n"/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IF(F236="No", "Invalid - Not Freely Given", IF(G236="No", "Invalid - Not Specific", IF(H236="No", "Invalid - Not Informed", IF(I236="No", "Invalid - Ambiguous", IF(J236="No", "Invalid - Not Documented", IF(AND(F236="Yes", G236="Yes", H236="Yes", I236="Yes", J236="Yes"), "Valid", "Requires Review"))))))</f>
        <v/>
      </c>
      <c r="L236" s="7" t="n"/>
      <c r="M236" s="7" t="n"/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IF(F237="No", "Invalid - Not Freely Given", IF(G237="No", "Invalid - Not Specific", IF(H237="No", "Invalid - Not Informed", IF(I237="No", "Invalid - Ambiguous", IF(J237="No", "Invalid - Not Documented", IF(AND(F237="Yes", G237="Yes", H237="Yes", I237="Yes", J237="Yes"), "Valid", "Requires Review"))))))</f>
        <v/>
      </c>
      <c r="L237" s="7" t="n"/>
      <c r="M237" s="7" t="n"/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IF(F238="No", "Invalid - Not Freely Given", IF(G238="No", "Invalid - Not Specific", IF(H238="No", "Invalid - Not Informed", IF(I238="No", "Invalid - Ambiguous", IF(J238="No", "Invalid - Not Documented", IF(AND(F238="Yes", G238="Yes", H238="Yes", I238="Yes", J238="Yes"), "Valid", "Requires Review"))))))</f>
        <v/>
      </c>
      <c r="L238" s="7" t="n"/>
      <c r="M238" s="7" t="n"/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IF(F239="No", "Invalid - Not Freely Given", IF(G239="No", "Invalid - Not Specific", IF(H239="No", "Invalid - Not Informed", IF(I239="No", "Invalid - Ambiguous", IF(J239="No", "Invalid - Not Documented", IF(AND(F239="Yes", G239="Yes", H239="Yes", I239="Yes", J239="Yes"), "Valid", "Requires Review"))))))</f>
        <v/>
      </c>
      <c r="L239" s="7" t="n"/>
      <c r="M239" s="7" t="n"/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IF(F240="No", "Invalid - Not Freely Given", IF(G240="No", "Invalid - Not Specific", IF(H240="No", "Invalid - Not Informed", IF(I240="No", "Invalid - Ambiguous", IF(J240="No", "Invalid - Not Documented", IF(AND(F240="Yes", G240="Yes", H240="Yes", I240="Yes", J240="Yes"), "Valid", "Requires Review"))))))</f>
        <v/>
      </c>
      <c r="L240" s="7" t="n"/>
      <c r="M240" s="7" t="n"/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IF(F241="No", "Invalid - Not Freely Given", IF(G241="No", "Invalid - Not Specific", IF(H241="No", "Invalid - Not Informed", IF(I241="No", "Invalid - Ambiguous", IF(J241="No", "Invalid - Not Documented", IF(AND(F241="Yes", G241="Yes", H241="Yes", I241="Yes", J241="Yes"), "Valid", "Requires Review"))))))</f>
        <v/>
      </c>
      <c r="L241" s="7" t="n"/>
      <c r="M241" s="7" t="n"/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IF(F242="No", "Invalid - Not Freely Given", IF(G242="No", "Invalid - Not Specific", IF(H242="No", "Invalid - Not Informed", IF(I242="No", "Invalid - Ambiguous", IF(J242="No", "Invalid - Not Documented", IF(AND(F242="Yes", G242="Yes", H242="Yes", I242="Yes", J242="Yes"), "Valid", "Requires Review"))))))</f>
        <v/>
      </c>
      <c r="L242" s="7" t="n"/>
      <c r="M242" s="7" t="n"/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IF(F243="No", "Invalid - Not Freely Given", IF(G243="No", "Invalid - Not Specific", IF(H243="No", "Invalid - Not Informed", IF(I243="No", "Invalid - Ambiguous", IF(J243="No", "Invalid - Not Documented", IF(AND(F243="Yes", G243="Yes", H243="Yes", I243="Yes", J243="Yes"), "Valid", "Requires Review"))))))</f>
        <v/>
      </c>
      <c r="L243" s="7" t="n"/>
      <c r="M243" s="7" t="n"/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IF(F244="No", "Invalid - Not Freely Given", IF(G244="No", "Invalid - Not Specific", IF(H244="No", "Invalid - Not Informed", IF(I244="No", "Invalid - Ambiguous", IF(J244="No", "Invalid - Not Documented", IF(AND(F244="Yes", G244="Yes", H244="Yes", I244="Yes", J244="Yes"), "Valid", "Requires Review"))))))</f>
        <v/>
      </c>
      <c r="L244" s="7" t="n"/>
      <c r="M244" s="7" t="n"/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IF(F245="No", "Invalid - Not Freely Given", IF(G245="No", "Invalid - Not Specific", IF(H245="No", "Invalid - Not Informed", IF(I245="No", "Invalid - Ambiguous", IF(J245="No", "Invalid - Not Documented", IF(AND(F245="Yes", G245="Yes", H245="Yes", I245="Yes", J245="Yes"), "Valid", "Requires Review"))))))</f>
        <v/>
      </c>
      <c r="L245" s="7" t="n"/>
      <c r="M245" s="7" t="n"/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IF(F246="No", "Invalid - Not Freely Given", IF(G246="No", "Invalid - Not Specific", IF(H246="No", "Invalid - Not Informed", IF(I246="No", "Invalid - Ambiguous", IF(J246="No", "Invalid - Not Documented", IF(AND(F246="Yes", G246="Yes", H246="Yes", I246="Yes", J246="Yes"), "Valid", "Requires Review"))))))</f>
        <v/>
      </c>
      <c r="L246" s="7" t="n"/>
      <c r="M246" s="7" t="n"/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IF(F247="No", "Invalid - Not Freely Given", IF(G247="No", "Invalid - Not Specific", IF(H247="No", "Invalid - Not Informed", IF(I247="No", "Invalid - Ambiguous", IF(J247="No", "Invalid - Not Documented", IF(AND(F247="Yes", G247="Yes", H247="Yes", I247="Yes", J247="Yes"), "Valid", "Requires Review"))))))</f>
        <v/>
      </c>
      <c r="L247" s="7" t="n"/>
      <c r="M247" s="7" t="n"/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IF(F248="No", "Invalid - Not Freely Given", IF(G248="No", "Invalid - Not Specific", IF(H248="No", "Invalid - Not Informed", IF(I248="No", "Invalid - Ambiguous", IF(J248="No", "Invalid - Not Documented", IF(AND(F248="Yes", G248="Yes", H248="Yes", I248="Yes", J248="Yes"), "Valid", "Requires Review"))))))</f>
        <v/>
      </c>
      <c r="L248" s="7" t="n"/>
      <c r="M248" s="7" t="n"/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IF(F249="No", "Invalid - Not Freely Given", IF(G249="No", "Invalid - Not Specific", IF(H249="No", "Invalid - Not Informed", IF(I249="No", "Invalid - Ambiguous", IF(J249="No", "Invalid - Not Documented", IF(AND(F249="Yes", G249="Yes", H249="Yes", I249="Yes", J249="Yes"), "Valid", "Requires Review"))))))</f>
        <v/>
      </c>
      <c r="L249" s="7" t="n"/>
      <c r="M249" s="7" t="n"/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IF(F250="No", "Invalid - Not Freely Given", IF(G250="No", "Invalid - Not Specific", IF(H250="No", "Invalid - Not Informed", IF(I250="No", "Invalid - Ambiguous", IF(J250="No", "Invalid - Not Documented", IF(AND(F250="Yes", G250="Yes", H250="Yes", I250="Yes", J250="Yes"), "Valid", "Requires Review"))))))</f>
        <v/>
      </c>
      <c r="L250" s="7" t="n"/>
      <c r="M250" s="7" t="n"/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IF(F251="No", "Invalid - Not Freely Given", IF(G251="No", "Invalid - Not Specific", IF(H251="No", "Invalid - Not Informed", IF(I251="No", "Invalid - Ambiguous", IF(J251="No", "Invalid - Not Documented", IF(AND(F251="Yes", G251="Yes", H251="Yes", I251="Yes", J251="Yes"), "Valid", "Requires Review"))))))</f>
        <v/>
      </c>
      <c r="L251" s="7" t="n"/>
      <c r="M251" s="7" t="n"/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IF(F252="No", "Invalid - Not Freely Given", IF(G252="No", "Invalid - Not Specific", IF(H252="No", "Invalid - Not Informed", IF(I252="No", "Invalid - Ambiguous", IF(J252="No", "Invalid - Not Documented", IF(AND(F252="Yes", G252="Yes", H252="Yes", I252="Yes", J252="Yes"), "Valid", "Requires Review"))))))</f>
        <v/>
      </c>
      <c r="L252" s="7" t="n"/>
      <c r="M252" s="7" t="n"/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IF(F253="No", "Invalid - Not Freely Given", IF(G253="No", "Invalid - Not Specific", IF(H253="No", "Invalid - Not Informed", IF(I253="No", "Invalid - Ambiguous", IF(J253="No", "Invalid - Not Documented", IF(AND(F253="Yes", G253="Yes", H253="Yes", I253="Yes", J253="Yes"), "Valid", "Requires Review"))))))</f>
        <v/>
      </c>
      <c r="L253" s="7" t="n"/>
      <c r="M253" s="7" t="n"/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IF(F254="No", "Invalid - Not Freely Given", IF(G254="No", "Invalid - Not Specific", IF(H254="No", "Invalid - Not Informed", IF(I254="No", "Invalid - Ambiguous", IF(J254="No", "Invalid - Not Documented", IF(AND(F254="Yes", G254="Yes", H254="Yes", I254="Yes", J254="Yes"), "Valid", "Requires Review"))))))</f>
        <v/>
      </c>
      <c r="L254" s="7" t="n"/>
      <c r="M254" s="7" t="n"/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IF(F255="No", "Invalid - Not Freely Given", IF(G255="No", "Invalid - Not Specific", IF(H255="No", "Invalid - Not Informed", IF(I255="No", "Invalid - Ambiguous", IF(J255="No", "Invalid - Not Documented", IF(AND(F255="Yes", G255="Yes", H255="Yes", I255="Yes", J255="Yes"), "Valid", "Requires Review"))))))</f>
        <v/>
      </c>
      <c r="L255" s="7" t="n"/>
      <c r="M255" s="7" t="n"/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IF(F256="No", "Invalid - Not Freely Given", IF(G256="No", "Invalid - Not Specific", IF(H256="No", "Invalid - Not Informed", IF(I256="No", "Invalid - Ambiguous", IF(J256="No", "Invalid - Not Documented", IF(AND(F256="Yes", G256="Yes", H256="Yes", I256="Yes", J256="Yes"), "Valid", "Requires Review"))))))</f>
        <v/>
      </c>
      <c r="L256" s="7" t="n"/>
      <c r="M256" s="7" t="n"/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IF(F257="No", "Invalid - Not Freely Given", IF(G257="No", "Invalid - Not Specific", IF(H257="No", "Invalid - Not Informed", IF(I257="No", "Invalid - Ambiguous", IF(J257="No", "Invalid - Not Documented", IF(AND(F257="Yes", G257="Yes", H257="Yes", I257="Yes", J257="Yes"), "Valid", "Requires Review"))))))</f>
        <v/>
      </c>
      <c r="L257" s="7" t="n"/>
      <c r="M257" s="7" t="n"/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IF(F258="No", "Invalid - Not Freely Given", IF(G258="No", "Invalid - Not Specific", IF(H258="No", "Invalid - Not Informed", IF(I258="No", "Invalid - Ambiguous", IF(J258="No", "Invalid - Not Documented", IF(AND(F258="Yes", G258="Yes", H258="Yes", I258="Yes", J258="Yes"), "Valid", "Requires Review"))))))</f>
        <v/>
      </c>
      <c r="L258" s="7" t="n"/>
      <c r="M258" s="7" t="n"/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IF(F259="No", "Invalid - Not Freely Given", IF(G259="No", "Invalid - Not Specific", IF(H259="No", "Invalid - Not Informed", IF(I259="No", "Invalid - Ambiguous", IF(J259="No", "Invalid - Not Documented", IF(AND(F259="Yes", G259="Yes", H259="Yes", I259="Yes", J259="Yes"), "Valid", "Requires Review"))))))</f>
        <v/>
      </c>
      <c r="L259" s="7" t="n"/>
      <c r="M259" s="7" t="n"/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IF(F260="No", "Invalid - Not Freely Given", IF(G260="No", "Invalid - Not Specific", IF(H260="No", "Invalid - Not Informed", IF(I260="No", "Invalid - Ambiguous", IF(J260="No", "Invalid - Not Documented", IF(AND(F260="Yes", G260="Yes", H260="Yes", I260="Yes", J260="Yes"), "Valid", "Requires Review"))))))</f>
        <v/>
      </c>
      <c r="L260" s="7" t="n"/>
      <c r="M260" s="7" t="n"/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IF(F261="No", "Invalid - Not Freely Given", IF(G261="No", "Invalid - Not Specific", IF(H261="No", "Invalid - Not Informed", IF(I261="No", "Invalid - Ambiguous", IF(J261="No", "Invalid - Not Documented", IF(AND(F261="Yes", G261="Yes", H261="Yes", I261="Yes", J261="Yes"), "Valid", "Requires Review"))))))</f>
        <v/>
      </c>
      <c r="L261" s="7" t="n"/>
      <c r="M261" s="7" t="n"/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IF(F262="No", "Invalid - Not Freely Given", IF(G262="No", "Invalid - Not Specific", IF(H262="No", "Invalid - Not Informed", IF(I262="No", "Invalid - Ambiguous", IF(J262="No", "Invalid - Not Documented", IF(AND(F262="Yes", G262="Yes", H262="Yes", I262="Yes", J262="Yes"), "Valid", "Requires Review"))))))</f>
        <v/>
      </c>
      <c r="L262" s="7" t="n"/>
      <c r="M262" s="7" t="n"/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IF(F263="No", "Invalid - Not Freely Given", IF(G263="No", "Invalid - Not Specific", IF(H263="No", "Invalid - Not Informed", IF(I263="No", "Invalid - Ambiguous", IF(J263="No", "Invalid - Not Documented", IF(AND(F263="Yes", G263="Yes", H263="Yes", I263="Yes", J263="Yes"), "Valid", "Requires Review"))))))</f>
        <v/>
      </c>
      <c r="L263" s="7" t="n"/>
      <c r="M263" s="7" t="n"/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IF(F264="No", "Invalid - Not Freely Given", IF(G264="No", "Invalid - Not Specific", IF(H264="No", "Invalid - Not Informed", IF(I264="No", "Invalid - Ambiguous", IF(J264="No", "Invalid - Not Documented", IF(AND(F264="Yes", G264="Yes", H264="Yes", I264="Yes", J264="Yes"), "Valid", "Requires Review"))))))</f>
        <v/>
      </c>
      <c r="L264" s="7" t="n"/>
      <c r="M264" s="7" t="n"/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IF(F265="No", "Invalid - Not Freely Given", IF(G265="No", "Invalid - Not Specific", IF(H265="No", "Invalid - Not Informed", IF(I265="No", "Invalid - Ambiguous", IF(J265="No", "Invalid - Not Documented", IF(AND(F265="Yes", G265="Yes", H265="Yes", I265="Yes", J265="Yes"), "Valid", "Requires Review"))))))</f>
        <v/>
      </c>
      <c r="L265" s="7" t="n"/>
      <c r="M265" s="7" t="n"/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IF(F266="No", "Invalid - Not Freely Given", IF(G266="No", "Invalid - Not Specific", IF(H266="No", "Invalid - Not Informed", IF(I266="No", "Invalid - Ambiguous", IF(J266="No", "Invalid - Not Documented", IF(AND(F266="Yes", G266="Yes", H266="Yes", I266="Yes", J266="Yes"), "Valid", "Requires Review"))))))</f>
        <v/>
      </c>
      <c r="L266" s="7" t="n"/>
      <c r="M266" s="7" t="n"/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IF(F267="No", "Invalid - Not Freely Given", IF(G267="No", "Invalid - Not Specific", IF(H267="No", "Invalid - Not Informed", IF(I267="No", "Invalid - Ambiguous", IF(J267="No", "Invalid - Not Documented", IF(AND(F267="Yes", G267="Yes", H267="Yes", I267="Yes", J267="Yes"), "Valid", "Requires Review"))))))</f>
        <v/>
      </c>
      <c r="L267" s="7" t="n"/>
      <c r="M267" s="7" t="n"/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IF(F268="No", "Invalid - Not Freely Given", IF(G268="No", "Invalid - Not Specific", IF(H268="No", "Invalid - Not Informed", IF(I268="No", "Invalid - Ambiguous", IF(J268="No", "Invalid - Not Documented", IF(AND(F268="Yes", G268="Yes", H268="Yes", I268="Yes", J268="Yes"), "Valid", "Requires Review"))))))</f>
        <v/>
      </c>
      <c r="L268" s="7" t="n"/>
      <c r="M268" s="7" t="n"/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IF(F269="No", "Invalid - Not Freely Given", IF(G269="No", "Invalid - Not Specific", IF(H269="No", "Invalid - Not Informed", IF(I269="No", "Invalid - Ambiguous", IF(J269="No", "Invalid - Not Documented", IF(AND(F269="Yes", G269="Yes", H269="Yes", I269="Yes", J269="Yes"), "Valid", "Requires Review"))))))</f>
        <v/>
      </c>
      <c r="L269" s="7" t="n"/>
      <c r="M269" s="7" t="n"/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IF(F270="No", "Invalid - Not Freely Given", IF(G270="No", "Invalid - Not Specific", IF(H270="No", "Invalid - Not Informed", IF(I270="No", "Invalid - Ambiguous", IF(J270="No", "Invalid - Not Documented", IF(AND(F270="Yes", G270="Yes", H270="Yes", I270="Yes", J270="Yes"), "Valid", "Requires Review"))))))</f>
        <v/>
      </c>
      <c r="L270" s="7" t="n"/>
      <c r="M270" s="7" t="n"/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IF(F271="No", "Invalid - Not Freely Given", IF(G271="No", "Invalid - Not Specific", IF(H271="No", "Invalid - Not Informed", IF(I271="No", "Invalid - Ambiguous", IF(J271="No", "Invalid - Not Documented", IF(AND(F271="Yes", G271="Yes", H271="Yes", I271="Yes", J271="Yes"), "Valid", "Requires Review"))))))</f>
        <v/>
      </c>
      <c r="L271" s="7" t="n"/>
      <c r="M271" s="7" t="n"/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IF(F272="No", "Invalid - Not Freely Given", IF(G272="No", "Invalid - Not Specific", IF(H272="No", "Invalid - Not Informed", IF(I272="No", "Invalid - Ambiguous", IF(J272="No", "Invalid - Not Documented", IF(AND(F272="Yes", G272="Yes", H272="Yes", I272="Yes", J272="Yes"), "Valid", "Requires Review"))))))</f>
        <v/>
      </c>
      <c r="L272" s="7" t="n"/>
      <c r="M272" s="7" t="n"/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IF(F273="No", "Invalid - Not Freely Given", IF(G273="No", "Invalid - Not Specific", IF(H273="No", "Invalid - Not Informed", IF(I273="No", "Invalid - Ambiguous", IF(J273="No", "Invalid - Not Documented", IF(AND(F273="Yes", G273="Yes", H273="Yes", I273="Yes", J273="Yes"), "Valid", "Requires Review"))))))</f>
        <v/>
      </c>
      <c r="L273" s="7" t="n"/>
      <c r="M273" s="7" t="n"/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IF(F274="No", "Invalid - Not Freely Given", IF(G274="No", "Invalid - Not Specific", IF(H274="No", "Invalid - Not Informed", IF(I274="No", "Invalid - Ambiguous", IF(J274="No", "Invalid - Not Documented", IF(AND(F274="Yes", G274="Yes", H274="Yes", I274="Yes", J274="Yes"), "Valid", "Requires Review"))))))</f>
        <v/>
      </c>
      <c r="L274" s="7" t="n"/>
      <c r="M274" s="7" t="n"/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IF(F275="No", "Invalid - Not Freely Given", IF(G275="No", "Invalid - Not Specific", IF(H275="No", "Invalid - Not Informed", IF(I275="No", "Invalid - Ambiguous", IF(J275="No", "Invalid - Not Documented", IF(AND(F275="Yes", G275="Yes", H275="Yes", I275="Yes", J275="Yes"), "Valid", "Requires Review"))))))</f>
        <v/>
      </c>
      <c r="L275" s="7" t="n"/>
      <c r="M275" s="7" t="n"/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IF(F276="No", "Invalid - Not Freely Given", IF(G276="No", "Invalid - Not Specific", IF(H276="No", "Invalid - Not Informed", IF(I276="No", "Invalid - Ambiguous", IF(J276="No", "Invalid - Not Documented", IF(AND(F276="Yes", G276="Yes", H276="Yes", I276="Yes", J276="Yes"), "Valid", "Requires Review"))))))</f>
        <v/>
      </c>
      <c r="L276" s="7" t="n"/>
      <c r="M276" s="7" t="n"/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IF(F277="No", "Invalid - Not Freely Given", IF(G277="No", "Invalid - Not Specific", IF(H277="No", "Invalid - Not Informed", IF(I277="No", "Invalid - Ambiguous", IF(J277="No", "Invalid - Not Documented", IF(AND(F277="Yes", G277="Yes", H277="Yes", I277="Yes", J277="Yes"), "Valid", "Requires Review"))))))</f>
        <v/>
      </c>
      <c r="L277" s="7" t="n"/>
      <c r="M277" s="7" t="n"/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IF(F278="No", "Invalid - Not Freely Given", IF(G278="No", "Invalid - Not Specific", IF(H278="No", "Invalid - Not Informed", IF(I278="No", "Invalid - Ambiguous", IF(J278="No", "Invalid - Not Documented", IF(AND(F278="Yes", G278="Yes", H278="Yes", I278="Yes", J278="Yes"), "Valid", "Requires Review"))))))</f>
        <v/>
      </c>
      <c r="L278" s="7" t="n"/>
      <c r="M278" s="7" t="n"/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IF(F279="No", "Invalid - Not Freely Given", IF(G279="No", "Invalid - Not Specific", IF(H279="No", "Invalid - Not Informed", IF(I279="No", "Invalid - Ambiguous", IF(J279="No", "Invalid - Not Documented", IF(AND(F279="Yes", G279="Yes", H279="Yes", I279="Yes", J279="Yes"), "Valid", "Requires Review"))))))</f>
        <v/>
      </c>
      <c r="L279" s="7" t="n"/>
      <c r="M279" s="7" t="n"/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IF(F280="No", "Invalid - Not Freely Given", IF(G280="No", "Invalid - Not Specific", IF(H280="No", "Invalid - Not Informed", IF(I280="No", "Invalid - Ambiguous", IF(J280="No", "Invalid - Not Documented", IF(AND(F280="Yes", G280="Yes", H280="Yes", I280="Yes", J280="Yes"), "Valid", "Requires Review"))))))</f>
        <v/>
      </c>
      <c r="L280" s="7" t="n"/>
      <c r="M280" s="7" t="n"/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IF(F281="No", "Invalid - Not Freely Given", IF(G281="No", "Invalid - Not Specific", IF(H281="No", "Invalid - Not Informed", IF(I281="No", "Invalid - Ambiguous", IF(J281="No", "Invalid - Not Documented", IF(AND(F281="Yes", G281="Yes", H281="Yes", I281="Yes", J281="Yes"), "Valid", "Requires Review"))))))</f>
        <v/>
      </c>
      <c r="L281" s="7" t="n"/>
      <c r="M281" s="7" t="n"/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IF(F282="No", "Invalid - Not Freely Given", IF(G282="No", "Invalid - Not Specific", IF(H282="No", "Invalid - Not Informed", IF(I282="No", "Invalid - Ambiguous", IF(J282="No", "Invalid - Not Documented", IF(AND(F282="Yes", G282="Yes", H282="Yes", I282="Yes", J282="Yes"), "Valid", "Requires Review"))))))</f>
        <v/>
      </c>
      <c r="L282" s="7" t="n"/>
      <c r="M282" s="7" t="n"/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IF(F283="No", "Invalid - Not Freely Given", IF(G283="No", "Invalid - Not Specific", IF(H283="No", "Invalid - Not Informed", IF(I283="No", "Invalid - Ambiguous", IF(J283="No", "Invalid - Not Documented", IF(AND(F283="Yes", G283="Yes", H283="Yes", I283="Yes", J283="Yes"), "Valid", "Requires Review"))))))</f>
        <v/>
      </c>
      <c r="L283" s="7" t="n"/>
      <c r="M283" s="7" t="n"/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IF(F284="No", "Invalid - Not Freely Given", IF(G284="No", "Invalid - Not Specific", IF(H284="No", "Invalid - Not Informed", IF(I284="No", "Invalid - Ambiguous", IF(J284="No", "Invalid - Not Documented", IF(AND(F284="Yes", G284="Yes", H284="Yes", I284="Yes", J284="Yes"), "Valid", "Requires Review"))))))</f>
        <v/>
      </c>
      <c r="L284" s="7" t="n"/>
      <c r="M284" s="7" t="n"/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IF(F285="No", "Invalid - Not Freely Given", IF(G285="No", "Invalid - Not Specific", IF(H285="No", "Invalid - Not Informed", IF(I285="No", "Invalid - Ambiguous", IF(J285="No", "Invalid - Not Documented", IF(AND(F285="Yes", G285="Yes", H285="Yes", I285="Yes", J285="Yes"), "Valid", "Requires Review"))))))</f>
        <v/>
      </c>
      <c r="L285" s="7" t="n"/>
      <c r="M285" s="7" t="n"/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IF(F286="No", "Invalid - Not Freely Given", IF(G286="No", "Invalid - Not Specific", IF(H286="No", "Invalid - Not Informed", IF(I286="No", "Invalid - Ambiguous", IF(J286="No", "Invalid - Not Documented", IF(AND(F286="Yes", G286="Yes", H286="Yes", I286="Yes", J286="Yes"), "Valid", "Requires Review"))))))</f>
        <v/>
      </c>
      <c r="L286" s="7" t="n"/>
      <c r="M286" s="7" t="n"/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IF(F287="No", "Invalid - Not Freely Given", IF(G287="No", "Invalid - Not Specific", IF(H287="No", "Invalid - Not Informed", IF(I287="No", "Invalid - Ambiguous", IF(J287="No", "Invalid - Not Documented", IF(AND(F287="Yes", G287="Yes", H287="Yes", I287="Yes", J287="Yes"), "Valid", "Requires Review"))))))</f>
        <v/>
      </c>
      <c r="L287" s="7" t="n"/>
      <c r="M287" s="7" t="n"/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IF(F288="No", "Invalid - Not Freely Given", IF(G288="No", "Invalid - Not Specific", IF(H288="No", "Invalid - Not Informed", IF(I288="No", "Invalid - Ambiguous", IF(J288="No", "Invalid - Not Documented", IF(AND(F288="Yes", G288="Yes", H288="Yes", I288="Yes", J288="Yes"), "Valid", "Requires Review"))))))</f>
        <v/>
      </c>
      <c r="L288" s="7" t="n"/>
      <c r="M288" s="7" t="n"/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IF(F289="No", "Invalid - Not Freely Given", IF(G289="No", "Invalid - Not Specific", IF(H289="No", "Invalid - Not Informed", IF(I289="No", "Invalid - Ambiguous", IF(J289="No", "Invalid - Not Documented", IF(AND(F289="Yes", G289="Yes", H289="Yes", I289="Yes", J289="Yes"), "Valid", "Requires Review"))))))</f>
        <v/>
      </c>
      <c r="L289" s="7" t="n"/>
      <c r="M289" s="7" t="n"/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IF(F290="No", "Invalid - Not Freely Given", IF(G290="No", "Invalid - Not Specific", IF(H290="No", "Invalid - Not Informed", IF(I290="No", "Invalid - Ambiguous", IF(J290="No", "Invalid - Not Documented", IF(AND(F290="Yes", G290="Yes", H290="Yes", I290="Yes", J290="Yes"), "Valid", "Requires Review"))))))</f>
        <v/>
      </c>
      <c r="L290" s="7" t="n"/>
      <c r="M290" s="7" t="n"/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IF(F291="No", "Invalid - Not Freely Given", IF(G291="No", "Invalid - Not Specific", IF(H291="No", "Invalid - Not Informed", IF(I291="No", "Invalid - Ambiguous", IF(J291="No", "Invalid - Not Documented", IF(AND(F291="Yes", G291="Yes", H291="Yes", I291="Yes", J291="Yes"), "Valid", "Requires Review"))))))</f>
        <v/>
      </c>
      <c r="L291" s="7" t="n"/>
      <c r="M291" s="7" t="n"/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IF(F292="No", "Invalid - Not Freely Given", IF(G292="No", "Invalid - Not Specific", IF(H292="No", "Invalid - Not Informed", IF(I292="No", "Invalid - Ambiguous", IF(J292="No", "Invalid - Not Documented", IF(AND(F292="Yes", G292="Yes", H292="Yes", I292="Yes", J292="Yes"), "Valid", "Requires Review"))))))</f>
        <v/>
      </c>
      <c r="L292" s="7" t="n"/>
      <c r="M292" s="7" t="n"/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IF(F293="No", "Invalid - Not Freely Given", IF(G293="No", "Invalid - Not Specific", IF(H293="No", "Invalid - Not Informed", IF(I293="No", "Invalid - Ambiguous", IF(J293="No", "Invalid - Not Documented", IF(AND(F293="Yes", G293="Yes", H293="Yes", I293="Yes", J293="Yes"), "Valid", "Requires Review"))))))</f>
        <v/>
      </c>
      <c r="L293" s="7" t="n"/>
      <c r="M293" s="7" t="n"/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IF(F294="No", "Invalid - Not Freely Given", IF(G294="No", "Invalid - Not Specific", IF(H294="No", "Invalid - Not Informed", IF(I294="No", "Invalid - Ambiguous", IF(J294="No", "Invalid - Not Documented", IF(AND(F294="Yes", G294="Yes", H294="Yes", I294="Yes", J294="Yes"), "Valid", "Requires Review"))))))</f>
        <v/>
      </c>
      <c r="L294" s="7" t="n"/>
      <c r="M294" s="7" t="n"/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IF(F295="No", "Invalid - Not Freely Given", IF(G295="No", "Invalid - Not Specific", IF(H295="No", "Invalid - Not Informed", IF(I295="No", "Invalid - Ambiguous", IF(J295="No", "Invalid - Not Documented", IF(AND(F295="Yes", G295="Yes", H295="Yes", I295="Yes", J295="Yes"), "Valid", "Requires Review"))))))</f>
        <v/>
      </c>
      <c r="L295" s="7" t="n"/>
      <c r="M295" s="7" t="n"/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IF(F296="No", "Invalid - Not Freely Given", IF(G296="No", "Invalid - Not Specific", IF(H296="No", "Invalid - Not Informed", IF(I296="No", "Invalid - Ambiguous", IF(J296="No", "Invalid - Not Documented", IF(AND(F296="Yes", G296="Yes", H296="Yes", I296="Yes", J296="Yes"), "Valid", "Requires Review"))))))</f>
        <v/>
      </c>
      <c r="L296" s="7" t="n"/>
      <c r="M296" s="7" t="n"/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IF(F297="No", "Invalid - Not Freely Given", IF(G297="No", "Invalid - Not Specific", IF(H297="No", "Invalid - Not Informed", IF(I297="No", "Invalid - Ambiguous", IF(J297="No", "Invalid - Not Documented", IF(AND(F297="Yes", G297="Yes", H297="Yes", I297="Yes", J297="Yes"), "Valid", "Requires Review"))))))</f>
        <v/>
      </c>
      <c r="L297" s="7" t="n"/>
      <c r="M297" s="7" t="n"/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IF(F298="No", "Invalid - Not Freely Given", IF(G298="No", "Invalid - Not Specific", IF(H298="No", "Invalid - Not Informed", IF(I298="No", "Invalid - Ambiguous", IF(J298="No", "Invalid - Not Documented", IF(AND(F298="Yes", G298="Yes", H298="Yes", I298="Yes", J298="Yes"), "Valid", "Requires Review"))))))</f>
        <v/>
      </c>
      <c r="L298" s="7" t="n"/>
      <c r="M298" s="7" t="n"/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IF(F299="No", "Invalid - Not Freely Given", IF(G299="No", "Invalid - Not Specific", IF(H299="No", "Invalid - Not Informed", IF(I299="No", "Invalid - Ambiguous", IF(J299="No", "Invalid - Not Documented", IF(AND(F299="Yes", G299="Yes", H299="Yes", I299="Yes", J299="Yes"), "Valid", "Requires Review"))))))</f>
        <v/>
      </c>
      <c r="L299" s="7" t="n"/>
      <c r="M299" s="7" t="n"/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IF(F300="No", "Invalid - Not Freely Given", IF(G300="No", "Invalid - Not Specific", IF(H300="No", "Invalid - Not Informed", IF(I300="No", "Invalid - Ambiguous", IF(J300="No", "Invalid - Not Documented", IF(AND(F300="Yes", G300="Yes", H300="Yes", I300="Yes", J300="Yes"), "Valid", "Requires Review"))))))</f>
        <v/>
      </c>
      <c r="L300" s="7" t="n"/>
      <c r="M300" s="7" t="n"/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IF(F301="No", "Invalid - Not Freely Given", IF(G301="No", "Invalid - Not Specific", IF(H301="No", "Invalid - Not Informed", IF(I301="No", "Invalid - Ambiguous", IF(J301="No", "Invalid - Not Documented", IF(AND(F301="Yes", G301="Yes", H301="Yes", I301="Yes", J301="Yes"), "Valid", "Requires Review"))))))</f>
        <v/>
      </c>
      <c r="L301" s="7" t="n"/>
      <c r="M301" s="7" t="n"/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IF(F302="No", "Invalid - Not Freely Given", IF(G302="No", "Invalid - Not Specific", IF(H302="No", "Invalid - Not Informed", IF(I302="No", "Invalid - Ambiguous", IF(J302="No", "Invalid - Not Documented", IF(AND(F302="Yes", G302="Yes", H302="Yes", I302="Yes", J302="Yes"), "Valid", "Requires Review"))))))</f>
        <v/>
      </c>
      <c r="L302" s="7" t="n"/>
      <c r="M302" s="7" t="n"/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IF(F303="No", "Invalid - Not Freely Given", IF(G303="No", "Invalid - Not Specific", IF(H303="No", "Invalid - Not Informed", IF(I303="No", "Invalid - Ambiguous", IF(J303="No", "Invalid - Not Documented", IF(AND(F303="Yes", G303="Yes", H303="Yes", I303="Yes", J303="Yes"), "Valid", "Requires Review"))))))</f>
        <v/>
      </c>
      <c r="L303" s="7" t="n"/>
      <c r="M303" s="7" t="n"/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IF(F304="No", "Invalid - Not Freely Given", IF(G304="No", "Invalid - Not Specific", IF(H304="No", "Invalid - Not Informed", IF(I304="No", "Invalid - Ambiguous", IF(J304="No", "Invalid - Not Documented", IF(AND(F304="Yes", G304="Yes", H304="Yes", I304="Yes", J304="Yes"), "Valid", "Requires Review"))))))</f>
        <v/>
      </c>
      <c r="L304" s="7" t="n"/>
      <c r="M304" s="7" t="n"/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IF(F305="No", "Invalid - Not Freely Given", IF(G305="No", "Invalid - Not Specific", IF(H305="No", "Invalid - Not Informed", IF(I305="No", "Invalid - Ambiguous", IF(J305="No", "Invalid - Not Documented", IF(AND(F305="Yes", G305="Yes", H305="Yes", I305="Yes", J305="Yes"), "Valid", "Requires Review"))))))</f>
        <v/>
      </c>
      <c r="L305" s="7" t="n"/>
      <c r="M305" s="7" t="n"/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IF(F306="No", "Invalid - Not Freely Given", IF(G306="No", "Invalid - Not Specific", IF(H306="No", "Invalid - Not Informed", IF(I306="No", "Invalid - Ambiguous", IF(J306="No", "Invalid - Not Documented", IF(AND(F306="Yes", G306="Yes", H306="Yes", I306="Yes", J306="Yes"), "Valid", "Requires Review"))))))</f>
        <v/>
      </c>
      <c r="L306" s="7" t="n"/>
      <c r="M306" s="7" t="n"/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IF(F307="No", "Invalid - Not Freely Given", IF(G307="No", "Invalid - Not Specific", IF(H307="No", "Invalid - Not Informed", IF(I307="No", "Invalid - Ambiguous", IF(J307="No", "Invalid - Not Documented", IF(AND(F307="Yes", G307="Yes", H307="Yes", I307="Yes", J307="Yes"), "Valid", "Requires Review"))))))</f>
        <v/>
      </c>
      <c r="L307" s="7" t="n"/>
      <c r="M307" s="7" t="n"/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IF(F308="No", "Invalid - Not Freely Given", IF(G308="No", "Invalid - Not Specific", IF(H308="No", "Invalid - Not Informed", IF(I308="No", "Invalid - Ambiguous", IF(J308="No", "Invalid - Not Documented", IF(AND(F308="Yes", G308="Yes", H308="Yes", I308="Yes", J308="Yes"), "Valid", "Requires Review"))))))</f>
        <v/>
      </c>
      <c r="L308" s="7" t="n"/>
      <c r="M308" s="7" t="n"/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IF(F309="No", "Invalid - Not Freely Given", IF(G309="No", "Invalid - Not Specific", IF(H309="No", "Invalid - Not Informed", IF(I309="No", "Invalid - Ambiguous", IF(J309="No", "Invalid - Not Documented", IF(AND(F309="Yes", G309="Yes", H309="Yes", I309="Yes", J309="Yes"), "Valid", "Requires Review"))))))</f>
        <v/>
      </c>
      <c r="L309" s="7" t="n"/>
      <c r="M309" s="7" t="n"/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IF(F310="No", "Invalid - Not Freely Given", IF(G310="No", "Invalid - Not Specific", IF(H310="No", "Invalid - Not Informed", IF(I310="No", "Invalid - Ambiguous", IF(J310="No", "Invalid - Not Documented", IF(AND(F310="Yes", G310="Yes", H310="Yes", I310="Yes", J310="Yes"), "Valid", "Requires Review"))))))</f>
        <v/>
      </c>
      <c r="L310" s="7" t="n"/>
      <c r="M310" s="7" t="n"/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IF(F311="No", "Invalid - Not Freely Given", IF(G311="No", "Invalid - Not Specific", IF(H311="No", "Invalid - Not Informed", IF(I311="No", "Invalid - Ambiguous", IF(J311="No", "Invalid - Not Documented", IF(AND(F311="Yes", G311="Yes", H311="Yes", I311="Yes", J311="Yes"), "Valid", "Requires Review"))))))</f>
        <v/>
      </c>
      <c r="L311" s="7" t="n"/>
      <c r="M311" s="7" t="n"/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IF(F312="No", "Invalid - Not Freely Given", IF(G312="No", "Invalid - Not Specific", IF(H312="No", "Invalid - Not Informed", IF(I312="No", "Invalid - Ambiguous", IF(J312="No", "Invalid - Not Documented", IF(AND(F312="Yes", G312="Yes", H312="Yes", I312="Yes", J312="Yes"), "Valid", "Requires Review"))))))</f>
        <v/>
      </c>
      <c r="L312" s="7" t="n"/>
      <c r="M312" s="7" t="n"/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IF(F313="No", "Invalid - Not Freely Given", IF(G313="No", "Invalid - Not Specific", IF(H313="No", "Invalid - Not Informed", IF(I313="No", "Invalid - Ambiguous", IF(J313="No", "Invalid - Not Documented", IF(AND(F313="Yes", G313="Yes", H313="Yes", I313="Yes", J313="Yes"), "Valid", "Requires Review"))))))</f>
        <v/>
      </c>
      <c r="L313" s="7" t="n"/>
      <c r="M313" s="7" t="n"/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IF(F314="No", "Invalid - Not Freely Given", IF(G314="No", "Invalid - Not Specific", IF(H314="No", "Invalid - Not Informed", IF(I314="No", "Invalid - Ambiguous", IF(J314="No", "Invalid - Not Documented", IF(AND(F314="Yes", G314="Yes", H314="Yes", I314="Yes", J314="Yes"), "Valid", "Requires Review"))))))</f>
        <v/>
      </c>
      <c r="L314" s="7" t="n"/>
      <c r="M314" s="7" t="n"/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IF(F315="No", "Invalid - Not Freely Given", IF(G315="No", "Invalid - Not Specific", IF(H315="No", "Invalid - Not Informed", IF(I315="No", "Invalid - Ambiguous", IF(J315="No", "Invalid - Not Documented", IF(AND(F315="Yes", G315="Yes", H315="Yes", I315="Yes", J315="Yes"), "Valid", "Requires Review"))))))</f>
        <v/>
      </c>
      <c r="L315" s="7" t="n"/>
      <c r="M315" s="7" t="n"/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IF(F316="No", "Invalid - Not Freely Given", IF(G316="No", "Invalid - Not Specific", IF(H316="No", "Invalid - Not Informed", IF(I316="No", "Invalid - Ambiguous", IF(J316="No", "Invalid - Not Documented", IF(AND(F316="Yes", G316="Yes", H316="Yes", I316="Yes", J316="Yes"), "Valid", "Requires Review"))))))</f>
        <v/>
      </c>
      <c r="L316" s="7" t="n"/>
      <c r="M316" s="7" t="n"/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IF(F317="No", "Invalid - Not Freely Given", IF(G317="No", "Invalid - Not Specific", IF(H317="No", "Invalid - Not Informed", IF(I317="No", "Invalid - Ambiguous", IF(J317="No", "Invalid - Not Documented", IF(AND(F317="Yes", G317="Yes", H317="Yes", I317="Yes", J317="Yes"), "Valid", "Requires Review"))))))</f>
        <v/>
      </c>
      <c r="L317" s="7" t="n"/>
      <c r="M317" s="7" t="n"/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IF(F318="No", "Invalid - Not Freely Given", IF(G318="No", "Invalid - Not Specific", IF(H318="No", "Invalid - Not Informed", IF(I318="No", "Invalid - Ambiguous", IF(J318="No", "Invalid - Not Documented", IF(AND(F318="Yes", G318="Yes", H318="Yes", I318="Yes", J318="Yes"), "Valid", "Requires Review"))))))</f>
        <v/>
      </c>
      <c r="L318" s="7" t="n"/>
      <c r="M318" s="7" t="n"/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IF(F319="No", "Invalid - Not Freely Given", IF(G319="No", "Invalid - Not Specific", IF(H319="No", "Invalid - Not Informed", IF(I319="No", "Invalid - Ambiguous", IF(J319="No", "Invalid - Not Documented", IF(AND(F319="Yes", G319="Yes", H319="Yes", I319="Yes", J319="Yes"), "Valid", "Requires Review"))))))</f>
        <v/>
      </c>
      <c r="L319" s="7" t="n"/>
      <c r="M319" s="7" t="n"/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IF(F320="No", "Invalid - Not Freely Given", IF(G320="No", "Invalid - Not Specific", IF(H320="No", "Invalid - Not Informed", IF(I320="No", "Invalid - Ambiguous", IF(J320="No", "Invalid - Not Documented", IF(AND(F320="Yes", G320="Yes", H320="Yes", I320="Yes", J320="Yes"), "Valid", "Requires Review"))))))</f>
        <v/>
      </c>
      <c r="L320" s="7" t="n"/>
      <c r="M320" s="7" t="n"/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IF(F321="No", "Invalid - Not Freely Given", IF(G321="No", "Invalid - Not Specific", IF(H321="No", "Invalid - Not Informed", IF(I321="No", "Invalid - Ambiguous", IF(J321="No", "Invalid - Not Documented", IF(AND(F321="Yes", G321="Yes", H321="Yes", I321="Yes", J321="Yes"), "Valid", "Requires Review"))))))</f>
        <v/>
      </c>
      <c r="L321" s="7" t="n"/>
      <c r="M321" s="7" t="n"/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IF(F322="No", "Invalid - Not Freely Given", IF(G322="No", "Invalid - Not Specific", IF(H322="No", "Invalid - Not Informed", IF(I322="No", "Invalid - Ambiguous", IF(J322="No", "Invalid - Not Documented", IF(AND(F322="Yes", G322="Yes", H322="Yes", I322="Yes", J322="Yes"), "Valid", "Requires Review"))))))</f>
        <v/>
      </c>
      <c r="L322" s="7" t="n"/>
      <c r="M322" s="7" t="n"/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IF(F323="No", "Invalid - Not Freely Given", IF(G323="No", "Invalid - Not Specific", IF(H323="No", "Invalid - Not Informed", IF(I323="No", "Invalid - Ambiguous", IF(J323="No", "Invalid - Not Documented", IF(AND(F323="Yes", G323="Yes", H323="Yes", I323="Yes", J323="Yes"), "Valid", "Requires Review"))))))</f>
        <v/>
      </c>
      <c r="L323" s="7" t="n"/>
      <c r="M323" s="7" t="n"/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IF(F324="No", "Invalid - Not Freely Given", IF(G324="No", "Invalid - Not Specific", IF(H324="No", "Invalid - Not Informed", IF(I324="No", "Invalid - Ambiguous", IF(J324="No", "Invalid - Not Documented", IF(AND(F324="Yes", G324="Yes", H324="Yes", I324="Yes", J324="Yes"), "Valid", "Requires Review"))))))</f>
        <v/>
      </c>
      <c r="L324" s="7" t="n"/>
      <c r="M324" s="7" t="n"/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IF(F325="No", "Invalid - Not Freely Given", IF(G325="No", "Invalid - Not Specific", IF(H325="No", "Invalid - Not Informed", IF(I325="No", "Invalid - Ambiguous", IF(J325="No", "Invalid - Not Documented", IF(AND(F325="Yes", G325="Yes", H325="Yes", I325="Yes", J325="Yes"), "Valid", "Requires Review"))))))</f>
        <v/>
      </c>
      <c r="L325" s="7" t="n"/>
      <c r="M325" s="7" t="n"/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IF(F326="No", "Invalid - Not Freely Given", IF(G326="No", "Invalid - Not Specific", IF(H326="No", "Invalid - Not Informed", IF(I326="No", "Invalid - Ambiguous", IF(J326="No", "Invalid - Not Documented", IF(AND(F326="Yes", G326="Yes", H326="Yes", I326="Yes", J326="Yes"), "Valid", "Requires Review"))))))</f>
        <v/>
      </c>
      <c r="L326" s="7" t="n"/>
      <c r="M326" s="7" t="n"/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IF(F327="No", "Invalid - Not Freely Given", IF(G327="No", "Invalid - Not Specific", IF(H327="No", "Invalid - Not Informed", IF(I327="No", "Invalid - Ambiguous", IF(J327="No", "Invalid - Not Documented", IF(AND(F327="Yes", G327="Yes", H327="Yes", I327="Yes", J327="Yes"), "Valid", "Requires Review"))))))</f>
        <v/>
      </c>
      <c r="L327" s="7" t="n"/>
      <c r="M327" s="7" t="n"/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IF(F328="No", "Invalid - Not Freely Given", IF(G328="No", "Invalid - Not Specific", IF(H328="No", "Invalid - Not Informed", IF(I328="No", "Invalid - Ambiguous", IF(J328="No", "Invalid - Not Documented", IF(AND(F328="Yes", G328="Yes", H328="Yes", I328="Yes", J328="Yes"), "Valid", "Requires Review"))))))</f>
        <v/>
      </c>
      <c r="L328" s="7" t="n"/>
      <c r="M328" s="7" t="n"/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IF(F329="No", "Invalid - Not Freely Given", IF(G329="No", "Invalid - Not Specific", IF(H329="No", "Invalid - Not Informed", IF(I329="No", "Invalid - Ambiguous", IF(J329="No", "Invalid - Not Documented", IF(AND(F329="Yes", G329="Yes", H329="Yes", I329="Yes", J329="Yes"), "Valid", "Requires Review"))))))</f>
        <v/>
      </c>
      <c r="L329" s="7" t="n"/>
      <c r="M329" s="7" t="n"/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IF(F330="No", "Invalid - Not Freely Given", IF(G330="No", "Invalid - Not Specific", IF(H330="No", "Invalid - Not Informed", IF(I330="No", "Invalid - Ambiguous", IF(J330="No", "Invalid - Not Documented", IF(AND(F330="Yes", G330="Yes", H330="Yes", I330="Yes", J330="Yes"), "Valid", "Requires Review"))))))</f>
        <v/>
      </c>
      <c r="L330" s="7" t="n"/>
      <c r="M330" s="7" t="n"/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IF(F331="No", "Invalid - Not Freely Given", IF(G331="No", "Invalid - Not Specific", IF(H331="No", "Invalid - Not Informed", IF(I331="No", "Invalid - Ambiguous", IF(J331="No", "Invalid - Not Documented", IF(AND(F331="Yes", G331="Yes", H331="Yes", I331="Yes", J331="Yes"), "Valid", "Requires Review"))))))</f>
        <v/>
      </c>
      <c r="L331" s="7" t="n"/>
      <c r="M331" s="7" t="n"/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IF(F332="No", "Invalid - Not Freely Given", IF(G332="No", "Invalid - Not Specific", IF(H332="No", "Invalid - Not Informed", IF(I332="No", "Invalid - Ambiguous", IF(J332="No", "Invalid - Not Documented", IF(AND(F332="Yes", G332="Yes", H332="Yes", I332="Yes", J332="Yes"), "Valid", "Requires Review"))))))</f>
        <v/>
      </c>
      <c r="L332" s="7" t="n"/>
      <c r="M332" s="7" t="n"/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IF(F333="No", "Invalid - Not Freely Given", IF(G333="No", "Invalid - Not Specific", IF(H333="No", "Invalid - Not Informed", IF(I333="No", "Invalid - Ambiguous", IF(J333="No", "Invalid - Not Documented", IF(AND(F333="Yes", G333="Yes", H333="Yes", I333="Yes", J333="Yes"), "Valid", "Requires Review"))))))</f>
        <v/>
      </c>
      <c r="L333" s="7" t="n"/>
      <c r="M333" s="7" t="n"/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IF(F334="No", "Invalid - Not Freely Given", IF(G334="No", "Invalid - Not Specific", IF(H334="No", "Invalid - Not Informed", IF(I334="No", "Invalid - Ambiguous", IF(J334="No", "Invalid - Not Documented", IF(AND(F334="Yes", G334="Yes", H334="Yes", I334="Yes", J334="Yes"), "Valid", "Requires Review"))))))</f>
        <v/>
      </c>
      <c r="L334" s="7" t="n"/>
      <c r="M334" s="7" t="n"/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IF(F335="No", "Invalid - Not Freely Given", IF(G335="No", "Invalid - Not Specific", IF(H335="No", "Invalid - Not Informed", IF(I335="No", "Invalid - Ambiguous", IF(J335="No", "Invalid - Not Documented", IF(AND(F335="Yes", G335="Yes", H335="Yes", I335="Yes", J335="Yes"), "Valid", "Requires Review"))))))</f>
        <v/>
      </c>
      <c r="L335" s="7" t="n"/>
      <c r="M335" s="7" t="n"/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IF(F336="No", "Invalid - Not Freely Given", IF(G336="No", "Invalid - Not Specific", IF(H336="No", "Invalid - Not Informed", IF(I336="No", "Invalid - Ambiguous", IF(J336="No", "Invalid - Not Documented", IF(AND(F336="Yes", G336="Yes", H336="Yes", I336="Yes", J336="Yes"), "Valid", "Requires Review"))))))</f>
        <v/>
      </c>
      <c r="L336" s="7" t="n"/>
      <c r="M336" s="7" t="n"/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IF(F337="No", "Invalid - Not Freely Given", IF(G337="No", "Invalid - Not Specific", IF(H337="No", "Invalid - Not Informed", IF(I337="No", "Invalid - Ambiguous", IF(J337="No", "Invalid - Not Documented", IF(AND(F337="Yes", G337="Yes", H337="Yes", I337="Yes", J337="Yes"), "Valid", "Requires Review"))))))</f>
        <v/>
      </c>
      <c r="L337" s="7" t="n"/>
      <c r="M337" s="7" t="n"/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IF(F338="No", "Invalid - Not Freely Given", IF(G338="No", "Invalid - Not Specific", IF(H338="No", "Invalid - Not Informed", IF(I338="No", "Invalid - Ambiguous", IF(J338="No", "Invalid - Not Documented", IF(AND(F338="Yes", G338="Yes", H338="Yes", I338="Yes", J338="Yes"), "Valid", "Requires Review"))))))</f>
        <v/>
      </c>
      <c r="L338" s="7" t="n"/>
      <c r="M338" s="7" t="n"/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IF(F339="No", "Invalid - Not Freely Given", IF(G339="No", "Invalid - Not Specific", IF(H339="No", "Invalid - Not Informed", IF(I339="No", "Invalid - Ambiguous", IF(J339="No", "Invalid - Not Documented", IF(AND(F339="Yes", G339="Yes", H339="Yes", I339="Yes", J339="Yes"), "Valid", "Requires Review"))))))</f>
        <v/>
      </c>
      <c r="L339" s="7" t="n"/>
      <c r="M339" s="7" t="n"/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IF(F340="No", "Invalid - Not Freely Given", IF(G340="No", "Invalid - Not Specific", IF(H340="No", "Invalid - Not Informed", IF(I340="No", "Invalid - Ambiguous", IF(J340="No", "Invalid - Not Documented", IF(AND(F340="Yes", G340="Yes", H340="Yes", I340="Yes", J340="Yes"), "Valid", "Requires Review"))))))</f>
        <v/>
      </c>
      <c r="L340" s="7" t="n"/>
      <c r="M340" s="7" t="n"/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IF(F341="No", "Invalid - Not Freely Given", IF(G341="No", "Invalid - Not Specific", IF(H341="No", "Invalid - Not Informed", IF(I341="No", "Invalid - Ambiguous", IF(J341="No", "Invalid - Not Documented", IF(AND(F341="Yes", G341="Yes", H341="Yes", I341="Yes", J341="Yes"), "Valid", "Requires Review"))))))</f>
        <v/>
      </c>
      <c r="L341" s="7" t="n"/>
      <c r="M341" s="7" t="n"/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IF(F342="No", "Invalid - Not Freely Given", IF(G342="No", "Invalid - Not Specific", IF(H342="No", "Invalid - Not Informed", IF(I342="No", "Invalid - Ambiguous", IF(J342="No", "Invalid - Not Documented", IF(AND(F342="Yes", G342="Yes", H342="Yes", I342="Yes", J342="Yes"), "Valid", "Requires Review"))))))</f>
        <v/>
      </c>
      <c r="L342" s="7" t="n"/>
      <c r="M342" s="7" t="n"/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IF(F343="No", "Invalid - Not Freely Given", IF(G343="No", "Invalid - Not Specific", IF(H343="No", "Invalid - Not Informed", IF(I343="No", "Invalid - Ambiguous", IF(J343="No", "Invalid - Not Documented", IF(AND(F343="Yes", G343="Yes", H343="Yes", I343="Yes", J343="Yes"), "Valid", "Requires Review"))))))</f>
        <v/>
      </c>
      <c r="L343" s="7" t="n"/>
      <c r="M343" s="7" t="n"/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IF(F344="No", "Invalid - Not Freely Given", IF(G344="No", "Invalid - Not Specific", IF(H344="No", "Invalid - Not Informed", IF(I344="No", "Invalid - Ambiguous", IF(J344="No", "Invalid - Not Documented", IF(AND(F344="Yes", G344="Yes", H344="Yes", I344="Yes", J344="Yes"), "Valid", "Requires Review"))))))</f>
        <v/>
      </c>
      <c r="L344" s="7" t="n"/>
      <c r="M344" s="7" t="n"/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IF(F345="No", "Invalid - Not Freely Given", IF(G345="No", "Invalid - Not Specific", IF(H345="No", "Invalid - Not Informed", IF(I345="No", "Invalid - Ambiguous", IF(J345="No", "Invalid - Not Documented", IF(AND(F345="Yes", G345="Yes", H345="Yes", I345="Yes", J345="Yes"), "Valid", "Requires Review"))))))</f>
        <v/>
      </c>
      <c r="L345" s="7" t="n"/>
      <c r="M345" s="7" t="n"/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IF(F346="No", "Invalid - Not Freely Given", IF(G346="No", "Invalid - Not Specific", IF(H346="No", "Invalid - Not Informed", IF(I346="No", "Invalid - Ambiguous", IF(J346="No", "Invalid - Not Documented", IF(AND(F346="Yes", G346="Yes", H346="Yes", I346="Yes", J346="Yes"), "Valid", "Requires Review"))))))</f>
        <v/>
      </c>
      <c r="L346" s="7" t="n"/>
      <c r="M346" s="7" t="n"/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IF(F347="No", "Invalid - Not Freely Given", IF(G347="No", "Invalid - Not Specific", IF(H347="No", "Invalid - Not Informed", IF(I347="No", "Invalid - Ambiguous", IF(J347="No", "Invalid - Not Documented", IF(AND(F347="Yes", G347="Yes", H347="Yes", I347="Yes", J347="Yes"), "Valid", "Requires Review"))))))</f>
        <v/>
      </c>
      <c r="L347" s="7" t="n"/>
      <c r="M347" s="7" t="n"/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IF(F348="No", "Invalid - Not Freely Given", IF(G348="No", "Invalid - Not Specific", IF(H348="No", "Invalid - Not Informed", IF(I348="No", "Invalid - Ambiguous", IF(J348="No", "Invalid - Not Documented", IF(AND(F348="Yes", G348="Yes", H348="Yes", I348="Yes", J348="Yes"), "Valid", "Requires Review"))))))</f>
        <v/>
      </c>
      <c r="L348" s="7" t="n"/>
      <c r="M348" s="7" t="n"/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IF(F349="No", "Invalid - Not Freely Given", IF(G349="No", "Invalid - Not Specific", IF(H349="No", "Invalid - Not Informed", IF(I349="No", "Invalid - Ambiguous", IF(J349="No", "Invalid - Not Documented", IF(AND(F349="Yes", G349="Yes", H349="Yes", I349="Yes", J349="Yes"), "Valid", "Requires Review"))))))</f>
        <v/>
      </c>
      <c r="L349" s="7" t="n"/>
      <c r="M349" s="7" t="n"/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IF(F350="No", "Invalid - Not Freely Given", IF(G350="No", "Invalid - Not Specific", IF(H350="No", "Invalid - Not Informed", IF(I350="No", "Invalid - Ambiguous", IF(J350="No", "Invalid - Not Documented", IF(AND(F350="Yes", G350="Yes", H350="Yes", I350="Yes", J350="Yes"), "Valid", "Requires Review"))))))</f>
        <v/>
      </c>
      <c r="L350" s="7" t="n"/>
      <c r="M350" s="7" t="n"/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IF(F351="No", "Invalid - Not Freely Given", IF(G351="No", "Invalid - Not Specific", IF(H351="No", "Invalid - Not Informed", IF(I351="No", "Invalid - Ambiguous", IF(J351="No", "Invalid - Not Documented", IF(AND(F351="Yes", G351="Yes", H351="Yes", I351="Yes", J351="Yes"), "Valid", "Requires Review"))))))</f>
        <v/>
      </c>
      <c r="L351" s="7" t="n"/>
      <c r="M351" s="7" t="n"/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IF(F352="No", "Invalid - Not Freely Given", IF(G352="No", "Invalid - Not Specific", IF(H352="No", "Invalid - Not Informed", IF(I352="No", "Invalid - Ambiguous", IF(J352="No", "Invalid - Not Documented", IF(AND(F352="Yes", G352="Yes", H352="Yes", I352="Yes", J352="Yes"), "Valid", "Requires Review"))))))</f>
        <v/>
      </c>
      <c r="L352" s="7" t="n"/>
      <c r="M352" s="7" t="n"/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IF(F353="No", "Invalid - Not Freely Given", IF(G353="No", "Invalid - Not Specific", IF(H353="No", "Invalid - Not Informed", IF(I353="No", "Invalid - Ambiguous", IF(J353="No", "Invalid - Not Documented", IF(AND(F353="Yes", G353="Yes", H353="Yes", I353="Yes", J353="Yes"), "Valid", "Requires Review"))))))</f>
        <v/>
      </c>
      <c r="L353" s="7" t="n"/>
      <c r="M353" s="7" t="n"/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IF(F354="No", "Invalid - Not Freely Given", IF(G354="No", "Invalid - Not Specific", IF(H354="No", "Invalid - Not Informed", IF(I354="No", "Invalid - Ambiguous", IF(J354="No", "Invalid - Not Documented", IF(AND(F354="Yes", G354="Yes", H354="Yes", I354="Yes", J354="Yes"), "Valid", "Requires Review"))))))</f>
        <v/>
      </c>
      <c r="L354" s="7" t="n"/>
      <c r="M354" s="7" t="n"/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IF(F355="No", "Invalid - Not Freely Given", IF(G355="No", "Invalid - Not Specific", IF(H355="No", "Invalid - Not Informed", IF(I355="No", "Invalid - Ambiguous", IF(J355="No", "Invalid - Not Documented", IF(AND(F355="Yes", G355="Yes", H355="Yes", I355="Yes", J355="Yes"), "Valid", "Requires Review"))))))</f>
        <v/>
      </c>
      <c r="L355" s="7" t="n"/>
      <c r="M355" s="7" t="n"/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IF(F356="No", "Invalid - Not Freely Given", IF(G356="No", "Invalid - Not Specific", IF(H356="No", "Invalid - Not Informed", IF(I356="No", "Invalid - Ambiguous", IF(J356="No", "Invalid - Not Documented", IF(AND(F356="Yes", G356="Yes", H356="Yes", I356="Yes", J356="Yes"), "Valid", "Requires Review"))))))</f>
        <v/>
      </c>
      <c r="L356" s="7" t="n"/>
      <c r="M356" s="7" t="n"/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IF(F357="No", "Invalid - Not Freely Given", IF(G357="No", "Invalid - Not Specific", IF(H357="No", "Invalid - Not Informed", IF(I357="No", "Invalid - Ambiguous", IF(J357="No", "Invalid - Not Documented", IF(AND(F357="Yes", G357="Yes", H357="Yes", I357="Yes", J357="Yes"), "Valid", "Requires Review"))))))</f>
        <v/>
      </c>
      <c r="L357" s="7" t="n"/>
      <c r="M357" s="7" t="n"/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IF(F358="No", "Invalid - Not Freely Given", IF(G358="No", "Invalid - Not Specific", IF(H358="No", "Invalid - Not Informed", IF(I358="No", "Invalid - Ambiguous", IF(J358="No", "Invalid - Not Documented", IF(AND(F358="Yes", G358="Yes", H358="Yes", I358="Yes", J358="Yes"), "Valid", "Requires Review"))))))</f>
        <v/>
      </c>
      <c r="L358" s="7" t="n"/>
      <c r="M358" s="7" t="n"/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IF(F359="No", "Invalid - Not Freely Given", IF(G359="No", "Invalid - Not Specific", IF(H359="No", "Invalid - Not Informed", IF(I359="No", "Invalid - Ambiguous", IF(J359="No", "Invalid - Not Documented", IF(AND(F359="Yes", G359="Yes", H359="Yes", I359="Yes", J359="Yes"), "Valid", "Requires Review"))))))</f>
        <v/>
      </c>
      <c r="L359" s="7" t="n"/>
      <c r="M359" s="7" t="n"/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IF(F360="No", "Invalid - Not Freely Given", IF(G360="No", "Invalid - Not Specific", IF(H360="No", "Invalid - Not Informed", IF(I360="No", "Invalid - Ambiguous", IF(J360="No", "Invalid - Not Documented", IF(AND(F360="Yes", G360="Yes", H360="Yes", I360="Yes", J360="Yes"), "Valid", "Requires Review"))))))</f>
        <v/>
      </c>
      <c r="L360" s="7" t="n"/>
      <c r="M360" s="7" t="n"/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IF(F361="No", "Invalid - Not Freely Given", IF(G361="No", "Invalid - Not Specific", IF(H361="No", "Invalid - Not Informed", IF(I361="No", "Invalid - Ambiguous", IF(J361="No", "Invalid - Not Documented", IF(AND(F361="Yes", G361="Yes", H361="Yes", I361="Yes", J361="Yes"), "Valid", "Requires Review"))))))</f>
        <v/>
      </c>
      <c r="L361" s="7" t="n"/>
      <c r="M361" s="7" t="n"/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IF(F362="No", "Invalid - Not Freely Given", IF(G362="No", "Invalid - Not Specific", IF(H362="No", "Invalid - Not Informed", IF(I362="No", "Invalid - Ambiguous", IF(J362="No", "Invalid - Not Documented", IF(AND(F362="Yes", G362="Yes", H362="Yes", I362="Yes", J362="Yes"), "Valid", "Requires Review"))))))</f>
        <v/>
      </c>
      <c r="L362" s="7" t="n"/>
      <c r="M362" s="7" t="n"/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IF(F363="No", "Invalid - Not Freely Given", IF(G363="No", "Invalid - Not Specific", IF(H363="No", "Invalid - Not Informed", IF(I363="No", "Invalid - Ambiguous", IF(J363="No", "Invalid - Not Documented", IF(AND(F363="Yes", G363="Yes", H363="Yes", I363="Yes", J363="Yes"), "Valid", "Requires Review"))))))</f>
        <v/>
      </c>
      <c r="L363" s="7" t="n"/>
      <c r="M363" s="7" t="n"/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IF(F364="No", "Invalid - Not Freely Given", IF(G364="No", "Invalid - Not Specific", IF(H364="No", "Invalid - Not Informed", IF(I364="No", "Invalid - Ambiguous", IF(J364="No", "Invalid - Not Documented", IF(AND(F364="Yes", G364="Yes", H364="Yes", I364="Yes", J364="Yes"), "Valid", "Requires Review"))))))</f>
        <v/>
      </c>
      <c r="L364" s="7" t="n"/>
      <c r="M364" s="7" t="n"/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IF(F365="No", "Invalid - Not Freely Given", IF(G365="No", "Invalid - Not Specific", IF(H365="No", "Invalid - Not Informed", IF(I365="No", "Invalid - Ambiguous", IF(J365="No", "Invalid - Not Documented", IF(AND(F365="Yes", G365="Yes", H365="Yes", I365="Yes", J365="Yes"), "Valid", "Requires Review"))))))</f>
        <v/>
      </c>
      <c r="L365" s="7" t="n"/>
      <c r="M365" s="7" t="n"/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IF(F366="No", "Invalid - Not Freely Given", IF(G366="No", "Invalid - Not Specific", IF(H366="No", "Invalid - Not Informed", IF(I366="No", "Invalid - Ambiguous", IF(J366="No", "Invalid - Not Documented", IF(AND(F366="Yes", G366="Yes", H366="Yes", I366="Yes", J366="Yes"), "Valid", "Requires Review"))))))</f>
        <v/>
      </c>
      <c r="L366" s="7" t="n"/>
      <c r="M366" s="7" t="n"/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IF(F367="No", "Invalid - Not Freely Given", IF(G367="No", "Invalid - Not Specific", IF(H367="No", "Invalid - Not Informed", IF(I367="No", "Invalid - Ambiguous", IF(J367="No", "Invalid - Not Documented", IF(AND(F367="Yes", G367="Yes", H367="Yes", I367="Yes", J367="Yes"), "Valid", "Requires Review"))))))</f>
        <v/>
      </c>
      <c r="L367" s="7" t="n"/>
      <c r="M367" s="7" t="n"/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IF(F368="No", "Invalid - Not Freely Given", IF(G368="No", "Invalid - Not Specific", IF(H368="No", "Invalid - Not Informed", IF(I368="No", "Invalid - Ambiguous", IF(J368="No", "Invalid - Not Documented", IF(AND(F368="Yes", G368="Yes", H368="Yes", I368="Yes", J368="Yes"), "Valid", "Requires Review"))))))</f>
        <v/>
      </c>
      <c r="L368" s="7" t="n"/>
      <c r="M368" s="7" t="n"/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IF(F369="No", "Invalid - Not Freely Given", IF(G369="No", "Invalid - Not Specific", IF(H369="No", "Invalid - Not Informed", IF(I369="No", "Invalid - Ambiguous", IF(J369="No", "Invalid - Not Documented", IF(AND(F369="Yes", G369="Yes", H369="Yes", I369="Yes", J369="Yes"), "Valid", "Requires Review"))))))</f>
        <v/>
      </c>
      <c r="L369" s="7" t="n"/>
      <c r="M369" s="7" t="n"/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IF(F370="No", "Invalid - Not Freely Given", IF(G370="No", "Invalid - Not Specific", IF(H370="No", "Invalid - Not Informed", IF(I370="No", "Invalid - Ambiguous", IF(J370="No", "Invalid - Not Documented", IF(AND(F370="Yes", G370="Yes", H370="Yes", I370="Yes", J370="Yes"), "Valid", "Requires Review"))))))</f>
        <v/>
      </c>
      <c r="L370" s="7" t="n"/>
      <c r="M370" s="7" t="n"/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IF(F371="No", "Invalid - Not Freely Given", IF(G371="No", "Invalid - Not Specific", IF(H371="No", "Invalid - Not Informed", IF(I371="No", "Invalid - Ambiguous", IF(J371="No", "Invalid - Not Documented", IF(AND(F371="Yes", G371="Yes", H371="Yes", I371="Yes", J371="Yes"), "Valid", "Requires Review"))))))</f>
        <v/>
      </c>
      <c r="L371" s="7" t="n"/>
      <c r="M371" s="7" t="n"/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IF(F372="No", "Invalid - Not Freely Given", IF(G372="No", "Invalid - Not Specific", IF(H372="No", "Invalid - Not Informed", IF(I372="No", "Invalid - Ambiguous", IF(J372="No", "Invalid - Not Documented", IF(AND(F372="Yes", G372="Yes", H372="Yes", I372="Yes", J372="Yes"), "Valid", "Requires Review"))))))</f>
        <v/>
      </c>
      <c r="L372" s="7" t="n"/>
      <c r="M372" s="7" t="n"/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IF(F373="No", "Invalid - Not Freely Given", IF(G373="No", "Invalid - Not Specific", IF(H373="No", "Invalid - Not Informed", IF(I373="No", "Invalid - Ambiguous", IF(J373="No", "Invalid - Not Documented", IF(AND(F373="Yes", G373="Yes", H373="Yes", I373="Yes", J373="Yes"), "Valid", "Requires Review"))))))</f>
        <v/>
      </c>
      <c r="L373" s="7" t="n"/>
      <c r="M373" s="7" t="n"/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IF(F374="No", "Invalid - Not Freely Given", IF(G374="No", "Invalid - Not Specific", IF(H374="No", "Invalid - Not Informed", IF(I374="No", "Invalid - Ambiguous", IF(J374="No", "Invalid - Not Documented", IF(AND(F374="Yes", G374="Yes", H374="Yes", I374="Yes", J374="Yes"), "Valid", "Requires Review"))))))</f>
        <v/>
      </c>
      <c r="L374" s="7" t="n"/>
      <c r="M374" s="7" t="n"/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IF(F375="No", "Invalid - Not Freely Given", IF(G375="No", "Invalid - Not Specific", IF(H375="No", "Invalid - Not Informed", IF(I375="No", "Invalid - Ambiguous", IF(J375="No", "Invalid - Not Documented", IF(AND(F375="Yes", G375="Yes", H375="Yes", I375="Yes", J375="Yes"), "Valid", "Requires Review"))))))</f>
        <v/>
      </c>
      <c r="L375" s="7" t="n"/>
      <c r="M375" s="7" t="n"/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IF(F376="No", "Invalid - Not Freely Given", IF(G376="No", "Invalid - Not Specific", IF(H376="No", "Invalid - Not Informed", IF(I376="No", "Invalid - Ambiguous", IF(J376="No", "Invalid - Not Documented", IF(AND(F376="Yes", G376="Yes", H376="Yes", I376="Yes", J376="Yes"), "Valid", "Requires Review"))))))</f>
        <v/>
      </c>
      <c r="L376" s="7" t="n"/>
      <c r="M376" s="7" t="n"/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IF(F377="No", "Invalid - Not Freely Given", IF(G377="No", "Invalid - Not Specific", IF(H377="No", "Invalid - Not Informed", IF(I377="No", "Invalid - Ambiguous", IF(J377="No", "Invalid - Not Documented", IF(AND(F377="Yes", G377="Yes", H377="Yes", I377="Yes", J377="Yes"), "Valid", "Requires Review"))))))</f>
        <v/>
      </c>
      <c r="L377" s="7" t="n"/>
      <c r="M377" s="7" t="n"/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IF(F378="No", "Invalid - Not Freely Given", IF(G378="No", "Invalid - Not Specific", IF(H378="No", "Invalid - Not Informed", IF(I378="No", "Invalid - Ambiguous", IF(J378="No", "Invalid - Not Documented", IF(AND(F378="Yes", G378="Yes", H378="Yes", I378="Yes", J378="Yes"), "Valid", "Requires Review"))))))</f>
        <v/>
      </c>
      <c r="L378" s="7" t="n"/>
      <c r="M378" s="7" t="n"/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IF(F379="No", "Invalid - Not Freely Given", IF(G379="No", "Invalid - Not Specific", IF(H379="No", "Invalid - Not Informed", IF(I379="No", "Invalid - Ambiguous", IF(J379="No", "Invalid - Not Documented", IF(AND(F379="Yes", G379="Yes", H379="Yes", I379="Yes", J379="Yes"), "Valid", "Requires Review"))))))</f>
        <v/>
      </c>
      <c r="L379" s="7" t="n"/>
      <c r="M379" s="7" t="n"/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IF(F380="No", "Invalid - Not Freely Given", IF(G380="No", "Invalid - Not Specific", IF(H380="No", "Invalid - Not Informed", IF(I380="No", "Invalid - Ambiguous", IF(J380="No", "Invalid - Not Documented", IF(AND(F380="Yes", G380="Yes", H380="Yes", I380="Yes", J380="Yes"), "Valid", "Requires Review"))))))</f>
        <v/>
      </c>
      <c r="L380" s="7" t="n"/>
      <c r="M380" s="7" t="n"/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IF(F381="No", "Invalid - Not Freely Given", IF(G381="No", "Invalid - Not Specific", IF(H381="No", "Invalid - Not Informed", IF(I381="No", "Invalid - Ambiguous", IF(J381="No", "Invalid - Not Documented", IF(AND(F381="Yes", G381="Yes", H381="Yes", I381="Yes", J381="Yes"), "Valid", "Requires Review"))))))</f>
        <v/>
      </c>
      <c r="L381" s="7" t="n"/>
      <c r="M381" s="7" t="n"/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IF(F382="No", "Invalid - Not Freely Given", IF(G382="No", "Invalid - Not Specific", IF(H382="No", "Invalid - Not Informed", IF(I382="No", "Invalid - Ambiguous", IF(J382="No", "Invalid - Not Documented", IF(AND(F382="Yes", G382="Yes", H382="Yes", I382="Yes", J382="Yes"), "Valid", "Requires Review"))))))</f>
        <v/>
      </c>
      <c r="L382" s="7" t="n"/>
      <c r="M382" s="7" t="n"/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IF(F383="No", "Invalid - Not Freely Given", IF(G383="No", "Invalid - Not Specific", IF(H383="No", "Invalid - Not Informed", IF(I383="No", "Invalid - Ambiguous", IF(J383="No", "Invalid - Not Documented", IF(AND(F383="Yes", G383="Yes", H383="Yes", I383="Yes", J383="Yes"), "Valid", "Requires Review"))))))</f>
        <v/>
      </c>
      <c r="L383" s="7" t="n"/>
      <c r="M383" s="7" t="n"/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IF(F384="No", "Invalid - Not Freely Given", IF(G384="No", "Invalid - Not Specific", IF(H384="No", "Invalid - Not Informed", IF(I384="No", "Invalid - Ambiguous", IF(J384="No", "Invalid - Not Documented", IF(AND(F384="Yes", G384="Yes", H384="Yes", I384="Yes", J384="Yes"), "Valid", "Requires Review"))))))</f>
        <v/>
      </c>
      <c r="L384" s="7" t="n"/>
      <c r="M384" s="7" t="n"/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IF(F385="No", "Invalid - Not Freely Given", IF(G385="No", "Invalid - Not Specific", IF(H385="No", "Invalid - Not Informed", IF(I385="No", "Invalid - Ambiguous", IF(J385="No", "Invalid - Not Documented", IF(AND(F385="Yes", G385="Yes", H385="Yes", I385="Yes", J385="Yes"), "Valid", "Requires Review"))))))</f>
        <v/>
      </c>
      <c r="L385" s="7" t="n"/>
      <c r="M385" s="7" t="n"/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IF(F386="No", "Invalid - Not Freely Given", IF(G386="No", "Invalid - Not Specific", IF(H386="No", "Invalid - Not Informed", IF(I386="No", "Invalid - Ambiguous", IF(J386="No", "Invalid - Not Documented", IF(AND(F386="Yes", G386="Yes", H386="Yes", I386="Yes", J386="Yes"), "Valid", "Requires Review"))))))</f>
        <v/>
      </c>
      <c r="L386" s="7" t="n"/>
      <c r="M386" s="7" t="n"/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IF(F387="No", "Invalid - Not Freely Given", IF(G387="No", "Invalid - Not Specific", IF(H387="No", "Invalid - Not Informed", IF(I387="No", "Invalid - Ambiguous", IF(J387="No", "Invalid - Not Documented", IF(AND(F387="Yes", G387="Yes", H387="Yes", I387="Yes", J387="Yes"), "Valid", "Requires Review"))))))</f>
        <v/>
      </c>
      <c r="L387" s="7" t="n"/>
      <c r="M387" s="7" t="n"/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IF(F388="No", "Invalid - Not Freely Given", IF(G388="No", "Invalid - Not Specific", IF(H388="No", "Invalid - Not Informed", IF(I388="No", "Invalid - Ambiguous", IF(J388="No", "Invalid - Not Documented", IF(AND(F388="Yes", G388="Yes", H388="Yes", I388="Yes", J388="Yes"), "Valid", "Requires Review"))))))</f>
        <v/>
      </c>
      <c r="L388" s="7" t="n"/>
      <c r="M388" s="7" t="n"/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IF(F389="No", "Invalid - Not Freely Given", IF(G389="No", "Invalid - Not Specific", IF(H389="No", "Invalid - Not Informed", IF(I389="No", "Invalid - Ambiguous", IF(J389="No", "Invalid - Not Documented", IF(AND(F389="Yes", G389="Yes", H389="Yes", I389="Yes", J389="Yes"), "Valid", "Requires Review"))))))</f>
        <v/>
      </c>
      <c r="L389" s="7" t="n"/>
      <c r="M389" s="7" t="n"/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IF(F390="No", "Invalid - Not Freely Given", IF(G390="No", "Invalid - Not Specific", IF(H390="No", "Invalid - Not Informed", IF(I390="No", "Invalid - Ambiguous", IF(J390="No", "Invalid - Not Documented", IF(AND(F390="Yes", G390="Yes", H390="Yes", I390="Yes", J390="Yes"), "Valid", "Requires Review"))))))</f>
        <v/>
      </c>
      <c r="L390" s="7" t="n"/>
      <c r="M390" s="7" t="n"/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IF(F391="No", "Invalid - Not Freely Given", IF(G391="No", "Invalid - Not Specific", IF(H391="No", "Invalid - Not Informed", IF(I391="No", "Invalid - Ambiguous", IF(J391="No", "Invalid - Not Documented", IF(AND(F391="Yes", G391="Yes", H391="Yes", I391="Yes", J391="Yes"), "Valid", "Requires Review"))))))</f>
        <v/>
      </c>
      <c r="L391" s="7" t="n"/>
      <c r="M391" s="7" t="n"/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IF(F392="No", "Invalid - Not Freely Given", IF(G392="No", "Invalid - Not Specific", IF(H392="No", "Invalid - Not Informed", IF(I392="No", "Invalid - Ambiguous", IF(J392="No", "Invalid - Not Documented", IF(AND(F392="Yes", G392="Yes", H392="Yes", I392="Yes", J392="Yes"), "Valid", "Requires Review"))))))</f>
        <v/>
      </c>
      <c r="L392" s="7" t="n"/>
      <c r="M392" s="7" t="n"/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IF(F393="No", "Invalid - Not Freely Given", IF(G393="No", "Invalid - Not Specific", IF(H393="No", "Invalid - Not Informed", IF(I393="No", "Invalid - Ambiguous", IF(J393="No", "Invalid - Not Documented", IF(AND(F393="Yes", G393="Yes", H393="Yes", I393="Yes", J393="Yes"), "Valid", "Requires Review"))))))</f>
        <v/>
      </c>
      <c r="L393" s="7" t="n"/>
      <c r="M393" s="7" t="n"/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IF(F394="No", "Invalid - Not Freely Given", IF(G394="No", "Invalid - Not Specific", IF(H394="No", "Invalid - Not Informed", IF(I394="No", "Invalid - Ambiguous", IF(J394="No", "Invalid - Not Documented", IF(AND(F394="Yes", G394="Yes", H394="Yes", I394="Yes", J394="Yes"), "Valid", "Requires Review"))))))</f>
        <v/>
      </c>
      <c r="L394" s="7" t="n"/>
      <c r="M394" s="7" t="n"/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IF(F395="No", "Invalid - Not Freely Given", IF(G395="No", "Invalid - Not Specific", IF(H395="No", "Invalid - Not Informed", IF(I395="No", "Invalid - Ambiguous", IF(J395="No", "Invalid - Not Documented", IF(AND(F395="Yes", G395="Yes", H395="Yes", I395="Yes", J395="Yes"), "Valid", "Requires Review"))))))</f>
        <v/>
      </c>
      <c r="L395" s="7" t="n"/>
      <c r="M395" s="7" t="n"/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IF(F396="No", "Invalid - Not Freely Given", IF(G396="No", "Invalid - Not Specific", IF(H396="No", "Invalid - Not Informed", IF(I396="No", "Invalid - Ambiguous", IF(J396="No", "Invalid - Not Documented", IF(AND(F396="Yes", G396="Yes", H396="Yes", I396="Yes", J396="Yes"), "Valid", "Requires Review"))))))</f>
        <v/>
      </c>
      <c r="L396" s="7" t="n"/>
      <c r="M396" s="7" t="n"/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IF(F397="No", "Invalid - Not Freely Given", IF(G397="No", "Invalid - Not Specific", IF(H397="No", "Invalid - Not Informed", IF(I397="No", "Invalid - Ambiguous", IF(J397="No", "Invalid - Not Documented", IF(AND(F397="Yes", G397="Yes", H397="Yes", I397="Yes", J397="Yes"), "Valid", "Requires Review"))))))</f>
        <v/>
      </c>
      <c r="L397" s="7" t="n"/>
      <c r="M397" s="7" t="n"/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IF(F398="No", "Invalid - Not Freely Given", IF(G398="No", "Invalid - Not Specific", IF(H398="No", "Invalid - Not Informed", IF(I398="No", "Invalid - Ambiguous", IF(J398="No", "Invalid - Not Documented", IF(AND(F398="Yes", G398="Yes", H398="Yes", I398="Yes", J398="Yes"), "Valid", "Requires Review"))))))</f>
        <v/>
      </c>
      <c r="L398" s="7" t="n"/>
      <c r="M398" s="7" t="n"/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IF(F399="No", "Invalid - Not Freely Given", IF(G399="No", "Invalid - Not Specific", IF(H399="No", "Invalid - Not Informed", IF(I399="No", "Invalid - Ambiguous", IF(J399="No", "Invalid - Not Documented", IF(AND(F399="Yes", G399="Yes", H399="Yes", I399="Yes", J399="Yes"), "Valid", "Requires Review"))))))</f>
        <v/>
      </c>
      <c r="L399" s="7" t="n"/>
      <c r="M399" s="7" t="n"/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IF(F400="No", "Invalid - Not Freely Given", IF(G400="No", "Invalid - Not Specific", IF(H400="No", "Invalid - Not Informed", IF(I400="No", "Invalid - Ambiguous", IF(J400="No", "Invalid - Not Documented", IF(AND(F400="Yes", G400="Yes", H400="Yes", I400="Yes", J400="Yes"), "Valid", "Requires Review"))))))</f>
        <v/>
      </c>
      <c r="L400" s="7" t="n"/>
      <c r="M400" s="7" t="n"/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IF(F401="No", "Invalid - Not Freely Given", IF(G401="No", "Invalid - Not Specific", IF(H401="No", "Invalid - Not Informed", IF(I401="No", "Invalid - Ambiguous", IF(J401="No", "Invalid - Not Documented", IF(AND(F401="Yes", G401="Yes", H401="Yes", I401="Yes", J401="Yes"), "Valid", "Requires Review"))))))</f>
        <v/>
      </c>
      <c r="L401" s="7" t="n"/>
      <c r="M401" s="7" t="n"/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IF(F402="No", "Invalid - Not Freely Given", IF(G402="No", "Invalid - Not Specific", IF(H402="No", "Invalid - Not Informed", IF(I402="No", "Invalid - Ambiguous", IF(J402="No", "Invalid - Not Documented", IF(AND(F402="Yes", G402="Yes", H402="Yes", I402="Yes", J402="Yes"), "Valid", "Requires Review"))))))</f>
        <v/>
      </c>
      <c r="L402" s="7" t="n"/>
      <c r="M402" s="7" t="n"/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IF(F403="No", "Invalid - Not Freely Given", IF(G403="No", "Invalid - Not Specific", IF(H403="No", "Invalid - Not Informed", IF(I403="No", "Invalid - Ambiguous", IF(J403="No", "Invalid - Not Documented", IF(AND(F403="Yes", G403="Yes", H403="Yes", I403="Yes", J403="Yes"), "Valid", "Requires Review"))))))</f>
        <v/>
      </c>
      <c r="L403" s="7" t="n"/>
      <c r="M403" s="7" t="n"/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IF(F404="No", "Invalid - Not Freely Given", IF(G404="No", "Invalid - Not Specific", IF(H404="No", "Invalid - Not Informed", IF(I404="No", "Invalid - Ambiguous", IF(J404="No", "Invalid - Not Documented", IF(AND(F404="Yes", G404="Yes", H404="Yes", I404="Yes", J404="Yes"), "Valid", "Requires Review"))))))</f>
        <v/>
      </c>
      <c r="L404" s="7" t="n"/>
      <c r="M404" s="7" t="n"/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IF(F405="No", "Invalid - Not Freely Given", IF(G405="No", "Invalid - Not Specific", IF(H405="No", "Invalid - Not Informed", IF(I405="No", "Invalid - Ambiguous", IF(J405="No", "Invalid - Not Documented", IF(AND(F405="Yes", G405="Yes", H405="Yes", I405="Yes", J405="Yes"), "Valid", "Requires Review"))))))</f>
        <v/>
      </c>
      <c r="L405" s="7" t="n"/>
      <c r="M405" s="7" t="n"/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IF(F406="No", "Invalid - Not Freely Given", IF(G406="No", "Invalid - Not Specific", IF(H406="No", "Invalid - Not Informed", IF(I406="No", "Invalid - Ambiguous", IF(J406="No", "Invalid - Not Documented", IF(AND(F406="Yes", G406="Yes", H406="Yes", I406="Yes", J406="Yes"), "Valid", "Requires Review"))))))</f>
        <v/>
      </c>
      <c r="L406" s="7" t="n"/>
      <c r="M406" s="7" t="n"/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IF(F407="No", "Invalid - Not Freely Given", IF(G407="No", "Invalid - Not Specific", IF(H407="No", "Invalid - Not Informed", IF(I407="No", "Invalid - Ambiguous", IF(J407="No", "Invalid - Not Documented", IF(AND(F407="Yes", G407="Yes", H407="Yes", I407="Yes", J407="Yes"), "Valid", "Requires Review"))))))</f>
        <v/>
      </c>
      <c r="L407" s="7" t="n"/>
      <c r="M407" s="7" t="n"/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IF(F408="No", "Invalid - Not Freely Given", IF(G408="No", "Invalid - Not Specific", IF(H408="No", "Invalid - Not Informed", IF(I408="No", "Invalid - Ambiguous", IF(J408="No", "Invalid - Not Documented", IF(AND(F408="Yes", G408="Yes", H408="Yes", I408="Yes", J408="Yes"), "Valid", "Requires Review"))))))</f>
        <v/>
      </c>
      <c r="L408" s="7" t="n"/>
      <c r="M408" s="7" t="n"/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IF(F409="No", "Invalid - Not Freely Given", IF(G409="No", "Invalid - Not Specific", IF(H409="No", "Invalid - Not Informed", IF(I409="No", "Invalid - Ambiguous", IF(J409="No", "Invalid - Not Documented", IF(AND(F409="Yes", G409="Yes", H409="Yes", I409="Yes", J409="Yes"), "Valid", "Requires Review"))))))</f>
        <v/>
      </c>
      <c r="L409" s="7" t="n"/>
      <c r="M409" s="7" t="n"/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IF(F410="No", "Invalid - Not Freely Given", IF(G410="No", "Invalid - Not Specific", IF(H410="No", "Invalid - Not Informed", IF(I410="No", "Invalid - Ambiguous", IF(J410="No", "Invalid - Not Documented", IF(AND(F410="Yes", G410="Yes", H410="Yes", I410="Yes", J410="Yes"), "Valid", "Requires Review"))))))</f>
        <v/>
      </c>
      <c r="L410" s="7" t="n"/>
      <c r="M410" s="7" t="n"/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IF(F411="No", "Invalid - Not Freely Given", IF(G411="No", "Invalid - Not Specific", IF(H411="No", "Invalid - Not Informed", IF(I411="No", "Invalid - Ambiguous", IF(J411="No", "Invalid - Not Documented", IF(AND(F411="Yes", G411="Yes", H411="Yes", I411="Yes", J411="Yes"), "Valid", "Requires Review"))))))</f>
        <v/>
      </c>
      <c r="L411" s="7" t="n"/>
      <c r="M411" s="7" t="n"/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IF(F412="No", "Invalid - Not Freely Given", IF(G412="No", "Invalid - Not Specific", IF(H412="No", "Invalid - Not Informed", IF(I412="No", "Invalid - Ambiguous", IF(J412="No", "Invalid - Not Documented", IF(AND(F412="Yes", G412="Yes", H412="Yes", I412="Yes", J412="Yes"), "Valid", "Requires Review"))))))</f>
        <v/>
      </c>
      <c r="L412" s="7" t="n"/>
      <c r="M412" s="7" t="n"/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IF(F413="No", "Invalid - Not Freely Given", IF(G413="No", "Invalid - Not Specific", IF(H413="No", "Invalid - Not Informed", IF(I413="No", "Invalid - Ambiguous", IF(J413="No", "Invalid - Not Documented", IF(AND(F413="Yes", G413="Yes", H413="Yes", I413="Yes", J413="Yes"), "Valid", "Requires Review"))))))</f>
        <v/>
      </c>
      <c r="L413" s="7" t="n"/>
      <c r="M413" s="7" t="n"/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IF(F414="No", "Invalid - Not Freely Given", IF(G414="No", "Invalid - Not Specific", IF(H414="No", "Invalid - Not Informed", IF(I414="No", "Invalid - Ambiguous", IF(J414="No", "Invalid - Not Documented", IF(AND(F414="Yes", G414="Yes", H414="Yes", I414="Yes", J414="Yes"), "Valid", "Requires Review"))))))</f>
        <v/>
      </c>
      <c r="L414" s="7" t="n"/>
      <c r="M414" s="7" t="n"/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IF(F415="No", "Invalid - Not Freely Given", IF(G415="No", "Invalid - Not Specific", IF(H415="No", "Invalid - Not Informed", IF(I415="No", "Invalid - Ambiguous", IF(J415="No", "Invalid - Not Documented", IF(AND(F415="Yes", G415="Yes", H415="Yes", I415="Yes", J415="Yes"), "Valid", "Requires Review"))))))</f>
        <v/>
      </c>
      <c r="L415" s="7" t="n"/>
      <c r="M415" s="7" t="n"/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IF(F416="No", "Invalid - Not Freely Given", IF(G416="No", "Invalid - Not Specific", IF(H416="No", "Invalid - Not Informed", IF(I416="No", "Invalid - Ambiguous", IF(J416="No", "Invalid - Not Documented", IF(AND(F416="Yes", G416="Yes", H416="Yes", I416="Yes", J416="Yes"), "Valid", "Requires Review"))))))</f>
        <v/>
      </c>
      <c r="L416" s="7" t="n"/>
      <c r="M416" s="7" t="n"/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IF(F417="No", "Invalid - Not Freely Given", IF(G417="No", "Invalid - Not Specific", IF(H417="No", "Invalid - Not Informed", IF(I417="No", "Invalid - Ambiguous", IF(J417="No", "Invalid - Not Documented", IF(AND(F417="Yes", G417="Yes", H417="Yes", I417="Yes", J417="Yes"), "Valid", "Requires Review"))))))</f>
        <v/>
      </c>
      <c r="L417" s="7" t="n"/>
      <c r="M417" s="7" t="n"/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IF(F418="No", "Invalid - Not Freely Given", IF(G418="No", "Invalid - Not Specific", IF(H418="No", "Invalid - Not Informed", IF(I418="No", "Invalid - Ambiguous", IF(J418="No", "Invalid - Not Documented", IF(AND(F418="Yes", G418="Yes", H418="Yes", I418="Yes", J418="Yes"), "Valid", "Requires Review"))))))</f>
        <v/>
      </c>
      <c r="L418" s="7" t="n"/>
      <c r="M418" s="7" t="n"/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IF(F419="No", "Invalid - Not Freely Given", IF(G419="No", "Invalid - Not Specific", IF(H419="No", "Invalid - Not Informed", IF(I419="No", "Invalid - Ambiguous", IF(J419="No", "Invalid - Not Documented", IF(AND(F419="Yes", G419="Yes", H419="Yes", I419="Yes", J419="Yes"), "Valid", "Requires Review"))))))</f>
        <v/>
      </c>
      <c r="L419" s="7" t="n"/>
      <c r="M419" s="7" t="n"/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IF(F420="No", "Invalid - Not Freely Given", IF(G420="No", "Invalid - Not Specific", IF(H420="No", "Invalid - Not Informed", IF(I420="No", "Invalid - Ambiguous", IF(J420="No", "Invalid - Not Documented", IF(AND(F420="Yes", G420="Yes", H420="Yes", I420="Yes", J420="Yes"), "Valid", "Requires Review"))))))</f>
        <v/>
      </c>
      <c r="L420" s="7" t="n"/>
      <c r="M420" s="7" t="n"/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IF(F421="No", "Invalid - Not Freely Given", IF(G421="No", "Invalid - Not Specific", IF(H421="No", "Invalid - Not Informed", IF(I421="No", "Invalid - Ambiguous", IF(J421="No", "Invalid - Not Documented", IF(AND(F421="Yes", G421="Yes", H421="Yes", I421="Yes", J421="Yes"), "Valid", "Requires Review"))))))</f>
        <v/>
      </c>
      <c r="L421" s="7" t="n"/>
      <c r="M421" s="7" t="n"/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IF(F422="No", "Invalid - Not Freely Given", IF(G422="No", "Invalid - Not Specific", IF(H422="No", "Invalid - Not Informed", IF(I422="No", "Invalid - Ambiguous", IF(J422="No", "Invalid - Not Documented", IF(AND(F422="Yes", G422="Yes", H422="Yes", I422="Yes", J422="Yes"), "Valid", "Requires Review"))))))</f>
        <v/>
      </c>
      <c r="L422" s="7" t="n"/>
      <c r="M422" s="7" t="n"/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IF(F423="No", "Invalid - Not Freely Given", IF(G423="No", "Invalid - Not Specific", IF(H423="No", "Invalid - Not Informed", IF(I423="No", "Invalid - Ambiguous", IF(J423="No", "Invalid - Not Documented", IF(AND(F423="Yes", G423="Yes", H423="Yes", I423="Yes", J423="Yes"), "Valid", "Requires Review"))))))</f>
        <v/>
      </c>
      <c r="L423" s="7" t="n"/>
      <c r="M423" s="7" t="n"/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IF(F424="No", "Invalid - Not Freely Given", IF(G424="No", "Invalid - Not Specific", IF(H424="No", "Invalid - Not Informed", IF(I424="No", "Invalid - Ambiguous", IF(J424="No", "Invalid - Not Documented", IF(AND(F424="Yes", G424="Yes", H424="Yes", I424="Yes", J424="Yes"), "Valid", "Requires Review"))))))</f>
        <v/>
      </c>
      <c r="L424" s="7" t="n"/>
      <c r="M424" s="7" t="n"/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IF(F425="No", "Invalid - Not Freely Given", IF(G425="No", "Invalid - Not Specific", IF(H425="No", "Invalid - Not Informed", IF(I425="No", "Invalid - Ambiguous", IF(J425="No", "Invalid - Not Documented", IF(AND(F425="Yes", G425="Yes", H425="Yes", I425="Yes", J425="Yes"), "Valid", "Requires Review"))))))</f>
        <v/>
      </c>
      <c r="L425" s="7" t="n"/>
      <c r="M425" s="7" t="n"/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IF(F426="No", "Invalid - Not Freely Given", IF(G426="No", "Invalid - Not Specific", IF(H426="No", "Invalid - Not Informed", IF(I426="No", "Invalid - Ambiguous", IF(J426="No", "Invalid - Not Documented", IF(AND(F426="Yes", G426="Yes", H426="Yes", I426="Yes", J426="Yes"), "Valid", "Requires Review"))))))</f>
        <v/>
      </c>
      <c r="L426" s="7" t="n"/>
      <c r="M426" s="7" t="n"/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IF(F427="No", "Invalid - Not Freely Given", IF(G427="No", "Invalid - Not Specific", IF(H427="No", "Invalid - Not Informed", IF(I427="No", "Invalid - Ambiguous", IF(J427="No", "Invalid - Not Documented", IF(AND(F427="Yes", G427="Yes", H427="Yes", I427="Yes", J427="Yes"), "Valid", "Requires Review"))))))</f>
        <v/>
      </c>
      <c r="L427" s="7" t="n"/>
      <c r="M427" s="7" t="n"/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IF(F428="No", "Invalid - Not Freely Given", IF(G428="No", "Invalid - Not Specific", IF(H428="No", "Invalid - Not Informed", IF(I428="No", "Invalid - Ambiguous", IF(J428="No", "Invalid - Not Documented", IF(AND(F428="Yes", G428="Yes", H428="Yes", I428="Yes", J428="Yes"), "Valid", "Requires Review"))))))</f>
        <v/>
      </c>
      <c r="L428" s="7" t="n"/>
      <c r="M428" s="7" t="n"/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IF(F429="No", "Invalid - Not Freely Given", IF(G429="No", "Invalid - Not Specific", IF(H429="No", "Invalid - Not Informed", IF(I429="No", "Invalid - Ambiguous", IF(J429="No", "Invalid - Not Documented", IF(AND(F429="Yes", G429="Yes", H429="Yes", I429="Yes", J429="Yes"), "Valid", "Requires Review"))))))</f>
        <v/>
      </c>
      <c r="L429" s="7" t="n"/>
      <c r="M429" s="7" t="n"/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IF(F430="No", "Invalid - Not Freely Given", IF(G430="No", "Invalid - Not Specific", IF(H430="No", "Invalid - Not Informed", IF(I430="No", "Invalid - Ambiguous", IF(J430="No", "Invalid - Not Documented", IF(AND(F430="Yes", G430="Yes", H430="Yes", I430="Yes", J430="Yes"), "Valid", "Requires Review"))))))</f>
        <v/>
      </c>
      <c r="L430" s="7" t="n"/>
      <c r="M430" s="7" t="n"/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IF(F431="No", "Invalid - Not Freely Given", IF(G431="No", "Invalid - Not Specific", IF(H431="No", "Invalid - Not Informed", IF(I431="No", "Invalid - Ambiguous", IF(J431="No", "Invalid - Not Documented", IF(AND(F431="Yes", G431="Yes", H431="Yes", I431="Yes", J431="Yes"), "Valid", "Requires Review"))))))</f>
        <v/>
      </c>
      <c r="L431" s="7" t="n"/>
      <c r="M431" s="7" t="n"/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IF(F432="No", "Invalid - Not Freely Given", IF(G432="No", "Invalid - Not Specific", IF(H432="No", "Invalid - Not Informed", IF(I432="No", "Invalid - Ambiguous", IF(J432="No", "Invalid - Not Documented", IF(AND(F432="Yes", G432="Yes", H432="Yes", I432="Yes", J432="Yes"), "Valid", "Requires Review"))))))</f>
        <v/>
      </c>
      <c r="L432" s="7" t="n"/>
      <c r="M432" s="7" t="n"/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IF(F433="No", "Invalid - Not Freely Given", IF(G433="No", "Invalid - Not Specific", IF(H433="No", "Invalid - Not Informed", IF(I433="No", "Invalid - Ambiguous", IF(J433="No", "Invalid - Not Documented", IF(AND(F433="Yes", G433="Yes", H433="Yes", I433="Yes", J433="Yes"), "Valid", "Requires Review"))))))</f>
        <v/>
      </c>
      <c r="L433" s="7" t="n"/>
      <c r="M433" s="7" t="n"/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IF(F434="No", "Invalid - Not Freely Given", IF(G434="No", "Invalid - Not Specific", IF(H434="No", "Invalid - Not Informed", IF(I434="No", "Invalid - Ambiguous", IF(J434="No", "Invalid - Not Documented", IF(AND(F434="Yes", G434="Yes", H434="Yes", I434="Yes", J434="Yes"), "Valid", "Requires Review"))))))</f>
        <v/>
      </c>
      <c r="L434" s="7" t="n"/>
      <c r="M434" s="7" t="n"/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IF(F435="No", "Invalid - Not Freely Given", IF(G435="No", "Invalid - Not Specific", IF(H435="No", "Invalid - Not Informed", IF(I435="No", "Invalid - Ambiguous", IF(J435="No", "Invalid - Not Documented", IF(AND(F435="Yes", G435="Yes", H435="Yes", I435="Yes", J435="Yes"), "Valid", "Requires Review"))))))</f>
        <v/>
      </c>
      <c r="L435" s="7" t="n"/>
      <c r="M435" s="7" t="n"/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IF(F436="No", "Invalid - Not Freely Given", IF(G436="No", "Invalid - Not Specific", IF(H436="No", "Invalid - Not Informed", IF(I436="No", "Invalid - Ambiguous", IF(J436="No", "Invalid - Not Documented", IF(AND(F436="Yes", G436="Yes", H436="Yes", I436="Yes", J436="Yes"), "Valid", "Requires Review"))))))</f>
        <v/>
      </c>
      <c r="L436" s="7" t="n"/>
      <c r="M436" s="7" t="n"/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IF(F437="No", "Invalid - Not Freely Given", IF(G437="No", "Invalid - Not Specific", IF(H437="No", "Invalid - Not Informed", IF(I437="No", "Invalid - Ambiguous", IF(J437="No", "Invalid - Not Documented", IF(AND(F437="Yes", G437="Yes", H437="Yes", I437="Yes", J437="Yes"), "Valid", "Requires Review"))))))</f>
        <v/>
      </c>
      <c r="L437" s="7" t="n"/>
      <c r="M437" s="7" t="n"/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IF(F438="No", "Invalid - Not Freely Given", IF(G438="No", "Invalid - Not Specific", IF(H438="No", "Invalid - Not Informed", IF(I438="No", "Invalid - Ambiguous", IF(J438="No", "Invalid - Not Documented", IF(AND(F438="Yes", G438="Yes", H438="Yes", I438="Yes", J438="Yes"), "Valid", "Requires Review"))))))</f>
        <v/>
      </c>
      <c r="L438" s="7" t="n"/>
      <c r="M438" s="7" t="n"/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IF(F439="No", "Invalid - Not Freely Given", IF(G439="No", "Invalid - Not Specific", IF(H439="No", "Invalid - Not Informed", IF(I439="No", "Invalid - Ambiguous", IF(J439="No", "Invalid - Not Documented", IF(AND(F439="Yes", G439="Yes", H439="Yes", I439="Yes", J439="Yes"), "Valid", "Requires Review"))))))</f>
        <v/>
      </c>
      <c r="L439" s="7" t="n"/>
      <c r="M439" s="7" t="n"/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IF(F440="No", "Invalid - Not Freely Given", IF(G440="No", "Invalid - Not Specific", IF(H440="No", "Invalid - Not Informed", IF(I440="No", "Invalid - Ambiguous", IF(J440="No", "Invalid - Not Documented", IF(AND(F440="Yes", G440="Yes", H440="Yes", I440="Yes", J440="Yes"), "Valid", "Requires Review"))))))</f>
        <v/>
      </c>
      <c r="L440" s="7" t="n"/>
      <c r="M440" s="7" t="n"/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IF(F441="No", "Invalid - Not Freely Given", IF(G441="No", "Invalid - Not Specific", IF(H441="No", "Invalid - Not Informed", IF(I441="No", "Invalid - Ambiguous", IF(J441="No", "Invalid - Not Documented", IF(AND(F441="Yes", G441="Yes", H441="Yes", I441="Yes", J441="Yes"), "Valid", "Requires Review"))))))</f>
        <v/>
      </c>
      <c r="L441" s="7" t="n"/>
      <c r="M441" s="7" t="n"/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IF(F442="No", "Invalid - Not Freely Given", IF(G442="No", "Invalid - Not Specific", IF(H442="No", "Invalid - Not Informed", IF(I442="No", "Invalid - Ambiguous", IF(J442="No", "Invalid - Not Documented", IF(AND(F442="Yes", G442="Yes", H442="Yes", I442="Yes", J442="Yes"), "Valid", "Requires Review"))))))</f>
        <v/>
      </c>
      <c r="L442" s="7" t="n"/>
      <c r="M442" s="7" t="n"/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IF(F443="No", "Invalid - Not Freely Given", IF(G443="No", "Invalid - Not Specific", IF(H443="No", "Invalid - Not Informed", IF(I443="No", "Invalid - Ambiguous", IF(J443="No", "Invalid - Not Documented", IF(AND(F443="Yes", G443="Yes", H443="Yes", I443="Yes", J443="Yes"), "Valid", "Requires Review"))))))</f>
        <v/>
      </c>
      <c r="L443" s="7" t="n"/>
      <c r="M443" s="7" t="n"/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IF(F444="No", "Invalid - Not Freely Given", IF(G444="No", "Invalid - Not Specific", IF(H444="No", "Invalid - Not Informed", IF(I444="No", "Invalid - Ambiguous", IF(J444="No", "Invalid - Not Documented", IF(AND(F444="Yes", G444="Yes", H444="Yes", I444="Yes", J444="Yes"), "Valid", "Requires Review"))))))</f>
        <v/>
      </c>
      <c r="L444" s="7" t="n"/>
      <c r="M444" s="7" t="n"/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IF(F445="No", "Invalid - Not Freely Given", IF(G445="No", "Invalid - Not Specific", IF(H445="No", "Invalid - Not Informed", IF(I445="No", "Invalid - Ambiguous", IF(J445="No", "Invalid - Not Documented", IF(AND(F445="Yes", G445="Yes", H445="Yes", I445="Yes", J445="Yes"), "Valid", "Requires Review"))))))</f>
        <v/>
      </c>
      <c r="L445" s="7" t="n"/>
      <c r="M445" s="7" t="n"/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IF(F446="No", "Invalid - Not Freely Given", IF(G446="No", "Invalid - Not Specific", IF(H446="No", "Invalid - Not Informed", IF(I446="No", "Invalid - Ambiguous", IF(J446="No", "Invalid - Not Documented", IF(AND(F446="Yes", G446="Yes", H446="Yes", I446="Yes", J446="Yes"), "Valid", "Requires Review"))))))</f>
        <v/>
      </c>
      <c r="L446" s="7" t="n"/>
      <c r="M446" s="7" t="n"/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IF(F447="No", "Invalid - Not Freely Given", IF(G447="No", "Invalid - Not Specific", IF(H447="No", "Invalid - Not Informed", IF(I447="No", "Invalid - Ambiguous", IF(J447="No", "Invalid - Not Documented", IF(AND(F447="Yes", G447="Yes", H447="Yes", I447="Yes", J447="Yes"), "Valid", "Requires Review"))))))</f>
        <v/>
      </c>
      <c r="L447" s="7" t="n"/>
      <c r="M447" s="7" t="n"/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IF(F448="No", "Invalid - Not Freely Given", IF(G448="No", "Invalid - Not Specific", IF(H448="No", "Invalid - Not Informed", IF(I448="No", "Invalid - Ambiguous", IF(J448="No", "Invalid - Not Documented", IF(AND(F448="Yes", G448="Yes", H448="Yes", I448="Yes", J448="Yes"), "Valid", "Requires Review"))))))</f>
        <v/>
      </c>
      <c r="L448" s="7" t="n"/>
      <c r="M448" s="7" t="n"/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IF(F449="No", "Invalid - Not Freely Given", IF(G449="No", "Invalid - Not Specific", IF(H449="No", "Invalid - Not Informed", IF(I449="No", "Invalid - Ambiguous", IF(J449="No", "Invalid - Not Documented", IF(AND(F449="Yes", G449="Yes", H449="Yes", I449="Yes", J449="Yes"), "Valid", "Requires Review"))))))</f>
        <v/>
      </c>
      <c r="L449" s="7" t="n"/>
      <c r="M449" s="7" t="n"/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IF(F450="No", "Invalid - Not Freely Given", IF(G450="No", "Invalid - Not Specific", IF(H450="No", "Invalid - Not Informed", IF(I450="No", "Invalid - Ambiguous", IF(J450="No", "Invalid - Not Documented", IF(AND(F450="Yes", G450="Yes", H450="Yes", I450="Yes", J450="Yes"), "Valid", "Requires Review"))))))</f>
        <v/>
      </c>
      <c r="L450" s="7" t="n"/>
      <c r="M450" s="7" t="n"/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IF(F451="No", "Invalid - Not Freely Given", IF(G451="No", "Invalid - Not Specific", IF(H451="No", "Invalid - Not Informed", IF(I451="No", "Invalid - Ambiguous", IF(J451="No", "Invalid - Not Documented", IF(AND(F451="Yes", G451="Yes", H451="Yes", I451="Yes", J451="Yes"), "Valid", "Requires Review"))))))</f>
        <v/>
      </c>
      <c r="L451" s="7" t="n"/>
      <c r="M451" s="7" t="n"/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IF(F452="No", "Invalid - Not Freely Given", IF(G452="No", "Invalid - Not Specific", IF(H452="No", "Invalid - Not Informed", IF(I452="No", "Invalid - Ambiguous", IF(J452="No", "Invalid - Not Documented", IF(AND(F452="Yes", G452="Yes", H452="Yes", I452="Yes", J452="Yes"), "Valid", "Requires Review"))))))</f>
        <v/>
      </c>
      <c r="L452" s="7" t="n"/>
      <c r="M452" s="7" t="n"/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IF(F453="No", "Invalid - Not Freely Given", IF(G453="No", "Invalid - Not Specific", IF(H453="No", "Invalid - Not Informed", IF(I453="No", "Invalid - Ambiguous", IF(J453="No", "Invalid - Not Documented", IF(AND(F453="Yes", G453="Yes", H453="Yes", I453="Yes", J453="Yes"), "Valid", "Requires Review"))))))</f>
        <v/>
      </c>
      <c r="L453" s="7" t="n"/>
      <c r="M453" s="7" t="n"/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IF(F454="No", "Invalid - Not Freely Given", IF(G454="No", "Invalid - Not Specific", IF(H454="No", "Invalid - Not Informed", IF(I454="No", "Invalid - Ambiguous", IF(J454="No", "Invalid - Not Documented", IF(AND(F454="Yes", G454="Yes", H454="Yes", I454="Yes", J454="Yes"), "Valid", "Requires Review"))))))</f>
        <v/>
      </c>
      <c r="L454" s="7" t="n"/>
      <c r="M454" s="7" t="n"/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IF(F455="No", "Invalid - Not Freely Given", IF(G455="No", "Invalid - Not Specific", IF(H455="No", "Invalid - Not Informed", IF(I455="No", "Invalid - Ambiguous", IF(J455="No", "Invalid - Not Documented", IF(AND(F455="Yes", G455="Yes", H455="Yes", I455="Yes", J455="Yes"), "Valid", "Requires Review"))))))</f>
        <v/>
      </c>
      <c r="L455" s="7" t="n"/>
      <c r="M455" s="7" t="n"/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IF(F456="No", "Invalid - Not Freely Given", IF(G456="No", "Invalid - Not Specific", IF(H456="No", "Invalid - Not Informed", IF(I456="No", "Invalid - Ambiguous", IF(J456="No", "Invalid - Not Documented", IF(AND(F456="Yes", G456="Yes", H456="Yes", I456="Yes", J456="Yes"), "Valid", "Requires Review"))))))</f>
        <v/>
      </c>
      <c r="L456" s="7" t="n"/>
      <c r="M456" s="7" t="n"/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IF(F457="No", "Invalid - Not Freely Given", IF(G457="No", "Invalid - Not Specific", IF(H457="No", "Invalid - Not Informed", IF(I457="No", "Invalid - Ambiguous", IF(J457="No", "Invalid - Not Documented", IF(AND(F457="Yes", G457="Yes", H457="Yes", I457="Yes", J457="Yes"), "Valid", "Requires Review"))))))</f>
        <v/>
      </c>
      <c r="L457" s="7" t="n"/>
      <c r="M457" s="7" t="n"/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IF(F458="No", "Invalid - Not Freely Given", IF(G458="No", "Invalid - Not Specific", IF(H458="No", "Invalid - Not Informed", IF(I458="No", "Invalid - Ambiguous", IF(J458="No", "Invalid - Not Documented", IF(AND(F458="Yes", G458="Yes", H458="Yes", I458="Yes", J458="Yes"), "Valid", "Requires Review"))))))</f>
        <v/>
      </c>
      <c r="L458" s="7" t="n"/>
      <c r="M458" s="7" t="n"/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IF(F459="No", "Invalid - Not Freely Given", IF(G459="No", "Invalid - Not Specific", IF(H459="No", "Invalid - Not Informed", IF(I459="No", "Invalid - Ambiguous", IF(J459="No", "Invalid - Not Documented", IF(AND(F459="Yes", G459="Yes", H459="Yes", I459="Yes", J459="Yes"), "Valid", "Requires Review"))))))</f>
        <v/>
      </c>
      <c r="L459" s="7" t="n"/>
      <c r="M459" s="7" t="n"/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IF(F460="No", "Invalid - Not Freely Given", IF(G460="No", "Invalid - Not Specific", IF(H460="No", "Invalid - Not Informed", IF(I460="No", "Invalid - Ambiguous", IF(J460="No", "Invalid - Not Documented", IF(AND(F460="Yes", G460="Yes", H460="Yes", I460="Yes", J460="Yes"), "Valid", "Requires Review"))))))</f>
        <v/>
      </c>
      <c r="L460" s="7" t="n"/>
      <c r="M460" s="7" t="n"/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IF(F461="No", "Invalid - Not Freely Given", IF(G461="No", "Invalid - Not Specific", IF(H461="No", "Invalid - Not Informed", IF(I461="No", "Invalid - Ambiguous", IF(J461="No", "Invalid - Not Documented", IF(AND(F461="Yes", G461="Yes", H461="Yes", I461="Yes", J461="Yes"), "Valid", "Requires Review"))))))</f>
        <v/>
      </c>
      <c r="L461" s="7" t="n"/>
      <c r="M461" s="7" t="n"/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IF(F462="No", "Invalid - Not Freely Given", IF(G462="No", "Invalid - Not Specific", IF(H462="No", "Invalid - Not Informed", IF(I462="No", "Invalid - Ambiguous", IF(J462="No", "Invalid - Not Documented", IF(AND(F462="Yes", G462="Yes", H462="Yes", I462="Yes", J462="Yes"), "Valid", "Requires Review"))))))</f>
        <v/>
      </c>
      <c r="L462" s="7" t="n"/>
      <c r="M462" s="7" t="n"/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IF(F463="No", "Invalid - Not Freely Given", IF(G463="No", "Invalid - Not Specific", IF(H463="No", "Invalid - Not Informed", IF(I463="No", "Invalid - Ambiguous", IF(J463="No", "Invalid - Not Documented", IF(AND(F463="Yes", G463="Yes", H463="Yes", I463="Yes", J463="Yes"), "Valid", "Requires Review"))))))</f>
        <v/>
      </c>
      <c r="L463" s="7" t="n"/>
      <c r="M463" s="7" t="n"/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IF(F464="No", "Invalid - Not Freely Given", IF(G464="No", "Invalid - Not Specific", IF(H464="No", "Invalid - Not Informed", IF(I464="No", "Invalid - Ambiguous", IF(J464="No", "Invalid - Not Documented", IF(AND(F464="Yes", G464="Yes", H464="Yes", I464="Yes", J464="Yes"), "Valid", "Requires Review"))))))</f>
        <v/>
      </c>
      <c r="L464" s="7" t="n"/>
      <c r="M464" s="7" t="n"/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IF(F465="No", "Invalid - Not Freely Given", IF(G465="No", "Invalid - Not Specific", IF(H465="No", "Invalid - Not Informed", IF(I465="No", "Invalid - Ambiguous", IF(J465="No", "Invalid - Not Documented", IF(AND(F465="Yes", G465="Yes", H465="Yes", I465="Yes", J465="Yes"), "Valid", "Requires Review"))))))</f>
        <v/>
      </c>
      <c r="L465" s="7" t="n"/>
      <c r="M465" s="7" t="n"/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IF(F466="No", "Invalid - Not Freely Given", IF(G466="No", "Invalid - Not Specific", IF(H466="No", "Invalid - Not Informed", IF(I466="No", "Invalid - Ambiguous", IF(J466="No", "Invalid - Not Documented", IF(AND(F466="Yes", G466="Yes", H466="Yes", I466="Yes", J466="Yes"), "Valid", "Requires Review"))))))</f>
        <v/>
      </c>
      <c r="L466" s="7" t="n"/>
      <c r="M466" s="7" t="n"/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IF(F467="No", "Invalid - Not Freely Given", IF(G467="No", "Invalid - Not Specific", IF(H467="No", "Invalid - Not Informed", IF(I467="No", "Invalid - Ambiguous", IF(J467="No", "Invalid - Not Documented", IF(AND(F467="Yes", G467="Yes", H467="Yes", I467="Yes", J467="Yes"), "Valid", "Requires Review"))))))</f>
        <v/>
      </c>
      <c r="L467" s="7" t="n"/>
      <c r="M467" s="7" t="n"/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IF(F468="No", "Invalid - Not Freely Given", IF(G468="No", "Invalid - Not Specific", IF(H468="No", "Invalid - Not Informed", IF(I468="No", "Invalid - Ambiguous", IF(J468="No", "Invalid - Not Documented", IF(AND(F468="Yes", G468="Yes", H468="Yes", I468="Yes", J468="Yes"), "Valid", "Requires Review"))))))</f>
        <v/>
      </c>
      <c r="L468" s="7" t="n"/>
      <c r="M468" s="7" t="n"/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IF(F469="No", "Invalid - Not Freely Given", IF(G469="No", "Invalid - Not Specific", IF(H469="No", "Invalid - Not Informed", IF(I469="No", "Invalid - Ambiguous", IF(J469="No", "Invalid - Not Documented", IF(AND(F469="Yes", G469="Yes", H469="Yes", I469="Yes", J469="Yes"), "Valid", "Requires Review"))))))</f>
        <v/>
      </c>
      <c r="L469" s="7" t="n"/>
      <c r="M469" s="7" t="n"/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IF(F470="No", "Invalid - Not Freely Given", IF(G470="No", "Invalid - Not Specific", IF(H470="No", "Invalid - Not Informed", IF(I470="No", "Invalid - Ambiguous", IF(J470="No", "Invalid - Not Documented", IF(AND(F470="Yes", G470="Yes", H470="Yes", I470="Yes", J470="Yes"), "Valid", "Requires Review"))))))</f>
        <v/>
      </c>
      <c r="L470" s="7" t="n"/>
      <c r="M470" s="7" t="n"/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IF(F471="No", "Invalid - Not Freely Given", IF(G471="No", "Invalid - Not Specific", IF(H471="No", "Invalid - Not Informed", IF(I471="No", "Invalid - Ambiguous", IF(J471="No", "Invalid - Not Documented", IF(AND(F471="Yes", G471="Yes", H471="Yes", I471="Yes", J471="Yes"), "Valid", "Requires Review"))))))</f>
        <v/>
      </c>
      <c r="L471" s="7" t="n"/>
      <c r="M471" s="7" t="n"/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IF(F472="No", "Invalid - Not Freely Given", IF(G472="No", "Invalid - Not Specific", IF(H472="No", "Invalid - Not Informed", IF(I472="No", "Invalid - Ambiguous", IF(J472="No", "Invalid - Not Documented", IF(AND(F472="Yes", G472="Yes", H472="Yes", I472="Yes", J472="Yes"), "Valid", "Requires Review"))))))</f>
        <v/>
      </c>
      <c r="L472" s="7" t="n"/>
      <c r="M472" s="7" t="n"/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IF(F473="No", "Invalid - Not Freely Given", IF(G473="No", "Invalid - Not Specific", IF(H473="No", "Invalid - Not Informed", IF(I473="No", "Invalid - Ambiguous", IF(J473="No", "Invalid - Not Documented", IF(AND(F473="Yes", G473="Yes", H473="Yes", I473="Yes", J473="Yes"), "Valid", "Requires Review"))))))</f>
        <v/>
      </c>
      <c r="L473" s="7" t="n"/>
      <c r="M473" s="7" t="n"/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IF(F474="No", "Invalid - Not Freely Given", IF(G474="No", "Invalid - Not Specific", IF(H474="No", "Invalid - Not Informed", IF(I474="No", "Invalid - Ambiguous", IF(J474="No", "Invalid - Not Documented", IF(AND(F474="Yes", G474="Yes", H474="Yes", I474="Yes", J474="Yes"), "Valid", "Requires Review"))))))</f>
        <v/>
      </c>
      <c r="L474" s="7" t="n"/>
      <c r="M474" s="7" t="n"/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IF(F475="No", "Invalid - Not Freely Given", IF(G475="No", "Invalid - Not Specific", IF(H475="No", "Invalid - Not Informed", IF(I475="No", "Invalid - Ambiguous", IF(J475="No", "Invalid - Not Documented", IF(AND(F475="Yes", G475="Yes", H475="Yes", I475="Yes", J475="Yes"), "Valid", "Requires Review"))))))</f>
        <v/>
      </c>
      <c r="L475" s="7" t="n"/>
      <c r="M475" s="7" t="n"/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IF(F476="No", "Invalid - Not Freely Given", IF(G476="No", "Invalid - Not Specific", IF(H476="No", "Invalid - Not Informed", IF(I476="No", "Invalid - Ambiguous", IF(J476="No", "Invalid - Not Documented", IF(AND(F476="Yes", G476="Yes", H476="Yes", I476="Yes", J476="Yes"), "Valid", "Requires Review"))))))</f>
        <v/>
      </c>
      <c r="L476" s="7" t="n"/>
      <c r="M476" s="7" t="n"/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IF(F477="No", "Invalid - Not Freely Given", IF(G477="No", "Invalid - Not Specific", IF(H477="No", "Invalid - Not Informed", IF(I477="No", "Invalid - Ambiguous", IF(J477="No", "Invalid - Not Documented", IF(AND(F477="Yes", G477="Yes", H477="Yes", I477="Yes", J477="Yes"), "Valid", "Requires Review"))))))</f>
        <v/>
      </c>
      <c r="L477" s="7" t="n"/>
      <c r="M477" s="7" t="n"/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IF(F478="No", "Invalid - Not Freely Given", IF(G478="No", "Invalid - Not Specific", IF(H478="No", "Invalid - Not Informed", IF(I478="No", "Invalid - Ambiguous", IF(J478="No", "Invalid - Not Documented", IF(AND(F478="Yes", G478="Yes", H478="Yes", I478="Yes", J478="Yes"), "Valid", "Requires Review"))))))</f>
        <v/>
      </c>
      <c r="L478" s="7" t="n"/>
      <c r="M478" s="7" t="n"/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IF(F479="No", "Invalid - Not Freely Given", IF(G479="No", "Invalid - Not Specific", IF(H479="No", "Invalid - Not Informed", IF(I479="No", "Invalid - Ambiguous", IF(J479="No", "Invalid - Not Documented", IF(AND(F479="Yes", G479="Yes", H479="Yes", I479="Yes", J479="Yes"), "Valid", "Requires Review"))))))</f>
        <v/>
      </c>
      <c r="L479" s="7" t="n"/>
      <c r="M479" s="7" t="n"/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IF(F480="No", "Invalid - Not Freely Given", IF(G480="No", "Invalid - Not Specific", IF(H480="No", "Invalid - Not Informed", IF(I480="No", "Invalid - Ambiguous", IF(J480="No", "Invalid - Not Documented", IF(AND(F480="Yes", G480="Yes", H480="Yes", I480="Yes", J480="Yes"), "Valid", "Requires Review"))))))</f>
        <v/>
      </c>
      <c r="L480" s="7" t="n"/>
      <c r="M480" s="7" t="n"/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IF(F481="No", "Invalid - Not Freely Given", IF(G481="No", "Invalid - Not Specific", IF(H481="No", "Invalid - Not Informed", IF(I481="No", "Invalid - Ambiguous", IF(J481="No", "Invalid - Not Documented", IF(AND(F481="Yes", G481="Yes", H481="Yes", I481="Yes", J481="Yes"), "Valid", "Requires Review"))))))</f>
        <v/>
      </c>
      <c r="L481" s="7" t="n"/>
      <c r="M481" s="7" t="n"/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IF(F482="No", "Invalid - Not Freely Given", IF(G482="No", "Invalid - Not Specific", IF(H482="No", "Invalid - Not Informed", IF(I482="No", "Invalid - Ambiguous", IF(J482="No", "Invalid - Not Documented", IF(AND(F482="Yes", G482="Yes", H482="Yes", I482="Yes", J482="Yes"), "Valid", "Requires Review"))))))</f>
        <v/>
      </c>
      <c r="L482" s="7" t="n"/>
      <c r="M482" s="7" t="n"/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IF(F483="No", "Invalid - Not Freely Given", IF(G483="No", "Invalid - Not Specific", IF(H483="No", "Invalid - Not Informed", IF(I483="No", "Invalid - Ambiguous", IF(J483="No", "Invalid - Not Documented", IF(AND(F483="Yes", G483="Yes", H483="Yes", I483="Yes", J483="Yes"), "Valid", "Requires Review"))))))</f>
        <v/>
      </c>
      <c r="L483" s="7" t="n"/>
      <c r="M483" s="7" t="n"/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IF(F484="No", "Invalid - Not Freely Given", IF(G484="No", "Invalid - Not Specific", IF(H484="No", "Invalid - Not Informed", IF(I484="No", "Invalid - Ambiguous", IF(J484="No", "Invalid - Not Documented", IF(AND(F484="Yes", G484="Yes", H484="Yes", I484="Yes", J484="Yes"), "Valid", "Requires Review"))))))</f>
        <v/>
      </c>
      <c r="L484" s="7" t="n"/>
      <c r="M484" s="7" t="n"/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IF(F485="No", "Invalid - Not Freely Given", IF(G485="No", "Invalid - Not Specific", IF(H485="No", "Invalid - Not Informed", IF(I485="No", "Invalid - Ambiguous", IF(J485="No", "Invalid - Not Documented", IF(AND(F485="Yes", G485="Yes", H485="Yes", I485="Yes", J485="Yes"), "Valid", "Requires Review"))))))</f>
        <v/>
      </c>
      <c r="L485" s="7" t="n"/>
      <c r="M485" s="7" t="n"/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IF(F486="No", "Invalid - Not Freely Given", IF(G486="No", "Invalid - Not Specific", IF(H486="No", "Invalid - Not Informed", IF(I486="No", "Invalid - Ambiguous", IF(J486="No", "Invalid - Not Documented", IF(AND(F486="Yes", G486="Yes", H486="Yes", I486="Yes", J486="Yes"), "Valid", "Requires Review"))))))</f>
        <v/>
      </c>
      <c r="L486" s="7" t="n"/>
      <c r="M486" s="7" t="n"/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IF(F487="No", "Invalid - Not Freely Given", IF(G487="No", "Invalid - Not Specific", IF(H487="No", "Invalid - Not Informed", IF(I487="No", "Invalid - Ambiguous", IF(J487="No", "Invalid - Not Documented", IF(AND(F487="Yes", G487="Yes", H487="Yes", I487="Yes", J487="Yes"), "Valid", "Requires Review"))))))</f>
        <v/>
      </c>
      <c r="L487" s="7" t="n"/>
      <c r="M487" s="7" t="n"/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IF(F488="No", "Invalid - Not Freely Given", IF(G488="No", "Invalid - Not Specific", IF(H488="No", "Invalid - Not Informed", IF(I488="No", "Invalid - Ambiguous", IF(J488="No", "Invalid - Not Documented", IF(AND(F488="Yes", G488="Yes", H488="Yes", I488="Yes", J488="Yes"), "Valid", "Requires Review"))))))</f>
        <v/>
      </c>
      <c r="L488" s="7" t="n"/>
      <c r="M488" s="7" t="n"/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IF(F489="No", "Invalid - Not Freely Given", IF(G489="No", "Invalid - Not Specific", IF(H489="No", "Invalid - Not Informed", IF(I489="No", "Invalid - Ambiguous", IF(J489="No", "Invalid - Not Documented", IF(AND(F489="Yes", G489="Yes", H489="Yes", I489="Yes", J489="Yes"), "Valid", "Requires Review"))))))</f>
        <v/>
      </c>
      <c r="L489" s="7" t="n"/>
      <c r="M489" s="7" t="n"/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IF(F490="No", "Invalid - Not Freely Given", IF(G490="No", "Invalid - Not Specific", IF(H490="No", "Invalid - Not Informed", IF(I490="No", "Invalid - Ambiguous", IF(J490="No", "Invalid - Not Documented", IF(AND(F490="Yes", G490="Yes", H490="Yes", I490="Yes", J490="Yes"), "Valid", "Requires Review"))))))</f>
        <v/>
      </c>
      <c r="L490" s="7" t="n"/>
      <c r="M490" s="7" t="n"/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IF(F491="No", "Invalid - Not Freely Given", IF(G491="No", "Invalid - Not Specific", IF(H491="No", "Invalid - Not Informed", IF(I491="No", "Invalid - Ambiguous", IF(J491="No", "Invalid - Not Documented", IF(AND(F491="Yes", G491="Yes", H491="Yes", I491="Yes", J491="Yes"), "Valid", "Requires Review"))))))</f>
        <v/>
      </c>
      <c r="L491" s="7" t="n"/>
      <c r="M491" s="7" t="n"/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IF(F492="No", "Invalid - Not Freely Given", IF(G492="No", "Invalid - Not Specific", IF(H492="No", "Invalid - Not Informed", IF(I492="No", "Invalid - Ambiguous", IF(J492="No", "Invalid - Not Documented", IF(AND(F492="Yes", G492="Yes", H492="Yes", I492="Yes", J492="Yes"), "Valid", "Requires Review"))))))</f>
        <v/>
      </c>
      <c r="L492" s="7" t="n"/>
      <c r="M492" s="7" t="n"/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IF(F493="No", "Invalid - Not Freely Given", IF(G493="No", "Invalid - Not Specific", IF(H493="No", "Invalid - Not Informed", IF(I493="No", "Invalid - Ambiguous", IF(J493="No", "Invalid - Not Documented", IF(AND(F493="Yes", G493="Yes", H493="Yes", I493="Yes", J493="Yes"), "Valid", "Requires Review"))))))</f>
        <v/>
      </c>
      <c r="L493" s="7" t="n"/>
      <c r="M493" s="7" t="n"/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IF(F494="No", "Invalid - Not Freely Given", IF(G494="No", "Invalid - Not Specific", IF(H494="No", "Invalid - Not Informed", IF(I494="No", "Invalid - Ambiguous", IF(J494="No", "Invalid - Not Documented", IF(AND(F494="Yes", G494="Yes", H494="Yes", I494="Yes", J494="Yes"), "Valid", "Requires Review"))))))</f>
        <v/>
      </c>
      <c r="L494" s="7" t="n"/>
      <c r="M494" s="7" t="n"/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IF(F495="No", "Invalid - Not Freely Given", IF(G495="No", "Invalid - Not Specific", IF(H495="No", "Invalid - Not Informed", IF(I495="No", "Invalid - Ambiguous", IF(J495="No", "Invalid - Not Documented", IF(AND(F495="Yes", G495="Yes", H495="Yes", I495="Yes", J495="Yes"), "Valid", "Requires Review"))))))</f>
        <v/>
      </c>
      <c r="L495" s="7" t="n"/>
      <c r="M495" s="7" t="n"/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IF(F496="No", "Invalid - Not Freely Given", IF(G496="No", "Invalid - Not Specific", IF(H496="No", "Invalid - Not Informed", IF(I496="No", "Invalid - Ambiguous", IF(J496="No", "Invalid - Not Documented", IF(AND(F496="Yes", G496="Yes", H496="Yes", I496="Yes", J496="Yes"), "Valid", "Requires Review"))))))</f>
        <v/>
      </c>
      <c r="L496" s="7" t="n"/>
      <c r="M496" s="7" t="n"/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IF(F497="No", "Invalid - Not Freely Given", IF(G497="No", "Invalid - Not Specific", IF(H497="No", "Invalid - Not Informed", IF(I497="No", "Invalid - Ambiguous", IF(J497="No", "Invalid - Not Documented", IF(AND(F497="Yes", G497="Yes", H497="Yes", I497="Yes", J497="Yes"), "Valid", "Requires Review"))))))</f>
        <v/>
      </c>
      <c r="L497" s="7" t="n"/>
      <c r="M497" s="7" t="n"/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IF(F498="No", "Invalid - Not Freely Given", IF(G498="No", "Invalid - Not Specific", IF(H498="No", "Invalid - Not Informed", IF(I498="No", "Invalid - Ambiguous", IF(J498="No", "Invalid - Not Documented", IF(AND(F498="Yes", G498="Yes", H498="Yes", I498="Yes", J498="Yes"), "Valid", "Requires Review"))))))</f>
        <v/>
      </c>
      <c r="L498" s="7" t="n"/>
      <c r="M498" s="7" t="n"/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IF(F499="No", "Invalid - Not Freely Given", IF(G499="No", "Invalid - Not Specific", IF(H499="No", "Invalid - Not Informed", IF(I499="No", "Invalid - Ambiguous", IF(J499="No", "Invalid - Not Documented", IF(AND(F499="Yes", G499="Yes", H499="Yes", I499="Yes", J499="Yes"), "Valid", "Requires Review"))))))</f>
        <v/>
      </c>
      <c r="L499" s="7" t="n"/>
      <c r="M499" s="7" t="n"/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IF(F500="No", "Invalid - Not Freely Given", IF(G500="No", "Invalid - Not Specific", IF(H500="No", "Invalid - Not Informed", IF(I500="No", "Invalid - Ambiguous", IF(J500="No", "Invalid - Not Documented", IF(AND(F500="Yes", G500="Yes", H500="Yes", I500="Yes", J500="Yes"), "Valid", "Requires Review"))))))</f>
        <v/>
      </c>
      <c r="L500" s="7" t="n"/>
      <c r="M500" s="7" t="n"/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IF(F501="No", "Invalid - Not Freely Given", IF(G501="No", "Invalid - Not Specific", IF(H501="No", "Invalid - Not Informed", IF(I501="No", "Invalid - Ambiguous", IF(J501="No", "Invalid - Not Documented", IF(AND(F501="Yes", G501="Yes", H501="Yes", I501="Yes", J501="Yes"), "Valid", "Requires Review"))))))</f>
        <v/>
      </c>
      <c r="L501" s="7" t="n"/>
      <c r="M501" s="7" t="n"/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IF(F502="No", "Invalid - Not Freely Given", IF(G502="No", "Invalid - Not Specific", IF(H502="No", "Invalid - Not Informed", IF(I502="No", "Invalid - Ambiguous", IF(J502="No", "Invalid - Not Documented", IF(AND(F502="Yes", G502="Yes", H502="Yes", I502="Yes", J502="Yes"), "Valid", "Requires Review"))))))</f>
        <v/>
      </c>
      <c r="L502" s="7" t="n"/>
      <c r="M502" s="7" t="n"/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IF(F503="No", "Invalid - Not Freely Given", IF(G503="No", "Invalid - Not Specific", IF(H503="No", "Invalid - Not Informed", IF(I503="No", "Invalid - Ambiguous", IF(J503="No", "Invalid - Not Documented", IF(AND(F503="Yes", G503="Yes", H503="Yes", I503="Yes", J503="Yes"), "Valid", "Requires Review"))))))</f>
        <v/>
      </c>
      <c r="L503" s="7" t="n"/>
      <c r="M503" s="7" t="n"/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IF(F504="No", "Invalid - Not Freely Given", IF(G504="No", "Invalid - Not Specific", IF(H504="No", "Invalid - Not Informed", IF(I504="No", "Invalid - Ambiguous", IF(J504="No", "Invalid - Not Documented", IF(AND(F504="Yes", G504="Yes", H504="Yes", I504="Yes", J504="Yes"), "Valid", "Requires Review"))))))</f>
        <v/>
      </c>
      <c r="L504" s="7" t="n"/>
      <c r="M504" s="7" t="n"/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IF(F505="No", "Invalid - Not Freely Given", IF(G505="No", "Invalid - Not Specific", IF(H505="No", "Invalid - Not Informed", IF(I505="No", "Invalid - Ambiguous", IF(J505="No", "Invalid - Not Documented", IF(AND(F505="Yes", G505="Yes", H505="Yes", I505="Yes", J505="Yes"), "Valid", "Requires Review"))))))</f>
        <v/>
      </c>
      <c r="L505" s="7" t="n"/>
      <c r="M505" s="7" t="n"/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IF(F506="No", "Invalid - Not Freely Given", IF(G506="No", "Invalid - Not Specific", IF(H506="No", "Invalid - Not Informed", IF(I506="No", "Invalid - Ambiguous", IF(J506="No", "Invalid - Not Documented", IF(AND(F506="Yes", G506="Yes", H506="Yes", I506="Yes", J506="Yes"), "Valid", "Requires Review"))))))</f>
        <v/>
      </c>
      <c r="L506" s="7" t="n"/>
      <c r="M506" s="7" t="n"/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IF(F507="No", "Invalid - Not Freely Given", IF(G507="No", "Invalid - Not Specific", IF(H507="No", "Invalid - Not Informed", IF(I507="No", "Invalid - Ambiguous", IF(J507="No", "Invalid - Not Documented", IF(AND(F507="Yes", G507="Yes", H507="Yes", I507="Yes", J507="Yes"), "Valid", "Requires Review"))))))</f>
        <v/>
      </c>
      <c r="L507" s="7" t="n"/>
      <c r="M507" s="7" t="n"/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IF(F508="No", "Invalid - Not Freely Given", IF(G508="No", "Invalid - Not Specific", IF(H508="No", "Invalid - Not Informed", IF(I508="No", "Invalid - Ambiguous", IF(J508="No", "Invalid - Not Documented", IF(AND(F508="Yes", G508="Yes", H508="Yes", I508="Yes", J508="Yes"), "Valid", "Requires Review"))))))</f>
        <v/>
      </c>
      <c r="L508" s="7" t="n"/>
      <c r="M508" s="7" t="n"/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IF(F509="No", "Invalid - Not Freely Given", IF(G509="No", "Invalid - Not Specific", IF(H509="No", "Invalid - Not Informed", IF(I509="No", "Invalid - Ambiguous", IF(J509="No", "Invalid - Not Documented", IF(AND(F509="Yes", G509="Yes", H509="Yes", I509="Yes", J509="Yes"), "Valid", "Requires Review"))))))</f>
        <v/>
      </c>
      <c r="L509" s="7" t="n"/>
      <c r="M509" s="7" t="n"/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IF(F510="No", "Invalid - Not Freely Given", IF(G510="No", "Invalid - Not Specific", IF(H510="No", "Invalid - Not Informed", IF(I510="No", "Invalid - Ambiguous", IF(J510="No", "Invalid - Not Documented", IF(AND(F510="Yes", G510="Yes", H510="Yes", I510="Yes", J510="Yes"), "Valid", "Requires Review"))))))</f>
        <v/>
      </c>
      <c r="L510" s="7" t="n"/>
      <c r="M510" s="7" t="n"/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IF(F511="No", "Invalid - Not Freely Given", IF(G511="No", "Invalid - Not Specific", IF(H511="No", "Invalid - Not Informed", IF(I511="No", "Invalid - Ambiguous", IF(J511="No", "Invalid - Not Documented", IF(AND(F511="Yes", G511="Yes", H511="Yes", I511="Yes", J511="Yes"), "Valid", "Requires Review"))))))</f>
        <v/>
      </c>
      <c r="L511" s="7" t="n"/>
      <c r="M511" s="7" t="n"/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IF(F512="No", "Invalid - Not Freely Given", IF(G512="No", "Invalid - Not Specific", IF(H512="No", "Invalid - Not Informed", IF(I512="No", "Invalid - Ambiguous", IF(J512="No", "Invalid - Not Documented", IF(AND(F512="Yes", G512="Yes", H512="Yes", I512="Yes", J512="Yes"), "Valid", "Requires Review"))))))</f>
        <v/>
      </c>
      <c r="L512" s="7" t="n"/>
      <c r="M512" s="7" t="n"/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IF(F513="No", "Invalid - Not Freely Given", IF(G513="No", "Invalid - Not Specific", IF(H513="No", "Invalid - Not Informed", IF(I513="No", "Invalid - Ambiguous", IF(J513="No", "Invalid - Not Documented", IF(AND(F513="Yes", G513="Yes", H513="Yes", I513="Yes", J513="Yes"), "Valid", "Requires Review"))))))</f>
        <v/>
      </c>
      <c r="L513" s="7" t="n"/>
      <c r="M513" s="7" t="n"/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IF(F514="No", "Invalid - Not Freely Given", IF(G514="No", "Invalid - Not Specific", IF(H514="No", "Invalid - Not Informed", IF(I514="No", "Invalid - Ambiguous", IF(J514="No", "Invalid - Not Documented", IF(AND(F514="Yes", G514="Yes", H514="Yes", I514="Yes", J514="Yes"), "Valid", "Requires Review"))))))</f>
        <v/>
      </c>
      <c r="L514" s="7" t="n"/>
      <c r="M514" s="7" t="n"/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IF(F515="No", "Invalid - Not Freely Given", IF(G515="No", "Invalid - Not Specific", IF(H515="No", "Invalid - Not Informed", IF(I515="No", "Invalid - Ambiguous", IF(J515="No", "Invalid - Not Documented", IF(AND(F515="Yes", G515="Yes", H515="Yes", I515="Yes", J515="Yes"), "Valid", "Requires Review"))))))</f>
        <v/>
      </c>
      <c r="L515" s="7" t="n"/>
      <c r="M515" s="7" t="n"/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IF(F516="No", "Invalid - Not Freely Given", IF(G516="No", "Invalid - Not Specific", IF(H516="No", "Invalid - Not Informed", IF(I516="No", "Invalid - Ambiguous", IF(J516="No", "Invalid - Not Documented", IF(AND(F516="Yes", G516="Yes", H516="Yes", I516="Yes", J516="Yes"), "Valid", "Requires Review"))))))</f>
        <v/>
      </c>
      <c r="L516" s="7" t="n"/>
      <c r="M516" s="7" t="n"/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IF(F517="No", "Invalid - Not Freely Given", IF(G517="No", "Invalid - Not Specific", IF(H517="No", "Invalid - Not Informed", IF(I517="No", "Invalid - Ambiguous", IF(J517="No", "Invalid - Not Documented", IF(AND(F517="Yes", G517="Yes", H517="Yes", I517="Yes", J517="Yes"), "Valid", "Requires Review"))))))</f>
        <v/>
      </c>
      <c r="L517" s="7" t="n"/>
      <c r="M517" s="7" t="n"/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IF(F518="No", "Invalid - Not Freely Given", IF(G518="No", "Invalid - Not Specific", IF(H518="No", "Invalid - Not Informed", IF(I518="No", "Invalid - Ambiguous", IF(J518="No", "Invalid - Not Documented", IF(AND(F518="Yes", G518="Yes", H518="Yes", I518="Yes", J518="Yes"), "Valid", "Requires Review"))))))</f>
        <v/>
      </c>
      <c r="L518" s="7" t="n"/>
      <c r="M518" s="7" t="n"/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IF(F519="No", "Invalid - Not Freely Given", IF(G519="No", "Invalid - Not Specific", IF(H519="No", "Invalid - Not Informed", IF(I519="No", "Invalid - Ambiguous", IF(J519="No", "Invalid - Not Documented", IF(AND(F519="Yes", G519="Yes", H519="Yes", I519="Yes", J519="Yes"), "Valid", "Requires Review"))))))</f>
        <v/>
      </c>
      <c r="L519" s="7" t="n"/>
      <c r="M519" s="7" t="n"/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IF(F520="No", "Invalid - Not Freely Given", IF(G520="No", "Invalid - Not Specific", IF(H520="No", "Invalid - Not Informed", IF(I520="No", "Invalid - Ambiguous", IF(J520="No", "Invalid - Not Documented", IF(AND(F520="Yes", G520="Yes", H520="Yes", I520="Yes", J520="Yes"), "Valid", "Requires Review"))))))</f>
        <v/>
      </c>
      <c r="L520" s="7" t="n"/>
      <c r="M520" s="7" t="n"/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IF(F521="No", "Invalid - Not Freely Given", IF(G521="No", "Invalid - Not Specific", IF(H521="No", "Invalid - Not Informed", IF(I521="No", "Invalid - Ambiguous", IF(J521="No", "Invalid - Not Documented", IF(AND(F521="Yes", G521="Yes", H521="Yes", I521="Yes", J521="Yes"), "Valid", "Requires Review"))))))</f>
        <v/>
      </c>
      <c r="L521" s="7" t="n"/>
      <c r="M521" s="7" t="n"/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IF(F522="No", "Invalid - Not Freely Given", IF(G522="No", "Invalid - Not Specific", IF(H522="No", "Invalid - Not Informed", IF(I522="No", "Invalid - Ambiguous", IF(J522="No", "Invalid - Not Documented", IF(AND(F522="Yes", G522="Yes", H522="Yes", I522="Yes", J522="Yes"), "Valid", "Requires Review"))))))</f>
        <v/>
      </c>
      <c r="L522" s="7" t="n"/>
      <c r="M522" s="7" t="n"/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IF(F523="No", "Invalid - Not Freely Given", IF(G523="No", "Invalid - Not Specific", IF(H523="No", "Invalid - Not Informed", IF(I523="No", "Invalid - Ambiguous", IF(J523="No", "Invalid - Not Documented", IF(AND(F523="Yes", G523="Yes", H523="Yes", I523="Yes", J523="Yes"), "Valid", "Requires Review"))))))</f>
        <v/>
      </c>
      <c r="L523" s="7" t="n"/>
      <c r="M523" s="7" t="n"/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IF(F524="No", "Invalid - Not Freely Given", IF(G524="No", "Invalid - Not Specific", IF(H524="No", "Invalid - Not Informed", IF(I524="No", "Invalid - Ambiguous", IF(J524="No", "Invalid - Not Documented", IF(AND(F524="Yes", G524="Yes", H524="Yes", I524="Yes", J524="Yes"), "Valid", "Requires Review"))))))</f>
        <v/>
      </c>
      <c r="L524" s="7" t="n"/>
      <c r="M524" s="7" t="n"/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IF(F525="No", "Invalid - Not Freely Given", IF(G525="No", "Invalid - Not Specific", IF(H525="No", "Invalid - Not Informed", IF(I525="No", "Invalid - Ambiguous", IF(J525="No", "Invalid - Not Documented", IF(AND(F525="Yes", G525="Yes", H525="Yes", I525="Yes", J525="Yes"), "Valid", "Requires Review"))))))</f>
        <v/>
      </c>
      <c r="L525" s="7" t="n"/>
      <c r="M525" s="7" t="n"/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IF(F526="No", "Invalid - Not Freely Given", IF(G526="No", "Invalid - Not Specific", IF(H526="No", "Invalid - Not Informed", IF(I526="No", "Invalid - Ambiguous", IF(J526="No", "Invalid - Not Documented", IF(AND(F526="Yes", G526="Yes", H526="Yes", I526="Yes", J526="Yes"), "Valid", "Requires Review"))))))</f>
        <v/>
      </c>
      <c r="L526" s="7" t="n"/>
      <c r="M526" s="7" t="n"/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IF(F527="No", "Invalid - Not Freely Given", IF(G527="No", "Invalid - Not Specific", IF(H527="No", "Invalid - Not Informed", IF(I527="No", "Invalid - Ambiguous", IF(J527="No", "Invalid - Not Documented", IF(AND(F527="Yes", G527="Yes", H527="Yes", I527="Yes", J527="Yes"), "Valid", "Requires Review"))))))</f>
        <v/>
      </c>
      <c r="L527" s="7" t="n"/>
      <c r="M527" s="7" t="n"/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IF(F528="No", "Invalid - Not Freely Given", IF(G528="No", "Invalid - Not Specific", IF(H528="No", "Invalid - Not Informed", IF(I528="No", "Invalid - Ambiguous", IF(J528="No", "Invalid - Not Documented", IF(AND(F528="Yes", G528="Yes", H528="Yes", I528="Yes", J528="Yes"), "Valid", "Requires Review"))))))</f>
        <v/>
      </c>
      <c r="L528" s="7" t="n"/>
      <c r="M528" s="7" t="n"/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IF(F529="No", "Invalid - Not Freely Given", IF(G529="No", "Invalid - Not Specific", IF(H529="No", "Invalid - Not Informed", IF(I529="No", "Invalid - Ambiguous", IF(J529="No", "Invalid - Not Documented", IF(AND(F529="Yes", G529="Yes", H529="Yes", I529="Yes", J529="Yes"), "Valid", "Requires Review"))))))</f>
        <v/>
      </c>
      <c r="L529" s="7" t="n"/>
      <c r="M529" s="7" t="n"/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IF(F530="No", "Invalid - Not Freely Given", IF(G530="No", "Invalid - Not Specific", IF(H530="No", "Invalid - Not Informed", IF(I530="No", "Invalid - Ambiguous", IF(J530="No", "Invalid - Not Documented", IF(AND(F530="Yes", G530="Yes", H530="Yes", I530="Yes", J530="Yes"), "Valid", "Requires Review"))))))</f>
        <v/>
      </c>
      <c r="L530" s="7" t="n"/>
      <c r="M530" s="7" t="n"/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IF(F531="No", "Invalid - Not Freely Given", IF(G531="No", "Invalid - Not Specific", IF(H531="No", "Invalid - Not Informed", IF(I531="No", "Invalid - Ambiguous", IF(J531="No", "Invalid - Not Documented", IF(AND(F531="Yes", G531="Yes", H531="Yes", I531="Yes", J531="Yes"), "Valid", "Requires Review"))))))</f>
        <v/>
      </c>
      <c r="L531" s="7" t="n"/>
      <c r="M531" s="7" t="n"/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IF(F532="No", "Invalid - Not Freely Given", IF(G532="No", "Invalid - Not Specific", IF(H532="No", "Invalid - Not Informed", IF(I532="No", "Invalid - Ambiguous", IF(J532="No", "Invalid - Not Documented", IF(AND(F532="Yes", G532="Yes", H532="Yes", I532="Yes", J532="Yes"), "Valid", "Requires Review"))))))</f>
        <v/>
      </c>
      <c r="L532" s="7" t="n"/>
      <c r="M532" s="7" t="n"/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IF(F533="No", "Invalid - Not Freely Given", IF(G533="No", "Invalid - Not Specific", IF(H533="No", "Invalid - Not Informed", IF(I533="No", "Invalid - Ambiguous", IF(J533="No", "Invalid - Not Documented", IF(AND(F533="Yes", G533="Yes", H533="Yes", I533="Yes", J533="Yes"), "Valid", "Requires Review"))))))</f>
        <v/>
      </c>
      <c r="L533" s="7" t="n"/>
      <c r="M533" s="7" t="n"/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IF(F534="No", "Invalid - Not Freely Given", IF(G534="No", "Invalid - Not Specific", IF(H534="No", "Invalid - Not Informed", IF(I534="No", "Invalid - Ambiguous", IF(J534="No", "Invalid - Not Documented", IF(AND(F534="Yes", G534="Yes", H534="Yes", I534="Yes", J534="Yes"), "Valid", "Requires Review"))))))</f>
        <v/>
      </c>
      <c r="L534" s="7" t="n"/>
      <c r="M534" s="7" t="n"/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IF(F535="No", "Invalid - Not Freely Given", IF(G535="No", "Invalid - Not Specific", IF(H535="No", "Invalid - Not Informed", IF(I535="No", "Invalid - Ambiguous", IF(J535="No", "Invalid - Not Documented", IF(AND(F535="Yes", G535="Yes", H535="Yes", I535="Yes", J535="Yes"), "Valid", "Requires Review"))))))</f>
        <v/>
      </c>
      <c r="L535" s="7" t="n"/>
      <c r="M535" s="7" t="n"/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IF(F536="No", "Invalid - Not Freely Given", IF(G536="No", "Invalid - Not Specific", IF(H536="No", "Invalid - Not Informed", IF(I536="No", "Invalid - Ambiguous", IF(J536="No", "Invalid - Not Documented", IF(AND(F536="Yes", G536="Yes", H536="Yes", I536="Yes", J536="Yes"), "Valid", "Requires Review"))))))</f>
        <v/>
      </c>
      <c r="L536" s="7" t="n"/>
      <c r="M536" s="7" t="n"/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IF(F537="No", "Invalid - Not Freely Given", IF(G537="No", "Invalid - Not Specific", IF(H537="No", "Invalid - Not Informed", IF(I537="No", "Invalid - Ambiguous", IF(J537="No", "Invalid - Not Documented", IF(AND(F537="Yes", G537="Yes", H537="Yes", I537="Yes", J537="Yes"), "Valid", "Requires Review"))))))</f>
        <v/>
      </c>
      <c r="L537" s="7" t="n"/>
      <c r="M537" s="7" t="n"/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IF(F538="No", "Invalid - Not Freely Given", IF(G538="No", "Invalid - Not Specific", IF(H538="No", "Invalid - Not Informed", IF(I538="No", "Invalid - Ambiguous", IF(J538="No", "Invalid - Not Documented", IF(AND(F538="Yes", G538="Yes", H538="Yes", I538="Yes", J538="Yes"), "Valid", "Requires Review"))))))</f>
        <v/>
      </c>
      <c r="L538" s="7" t="n"/>
      <c r="M538" s="7" t="n"/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IF(F539="No", "Invalid - Not Freely Given", IF(G539="No", "Invalid - Not Specific", IF(H539="No", "Invalid - Not Informed", IF(I539="No", "Invalid - Ambiguous", IF(J539="No", "Invalid - Not Documented", IF(AND(F539="Yes", G539="Yes", H539="Yes", I539="Yes", J539="Yes"), "Valid", "Requires Review"))))))</f>
        <v/>
      </c>
      <c r="L539" s="7" t="n"/>
      <c r="M539" s="7" t="n"/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IF(F540="No", "Invalid - Not Freely Given", IF(G540="No", "Invalid - Not Specific", IF(H540="No", "Invalid - Not Informed", IF(I540="No", "Invalid - Ambiguous", IF(J540="No", "Invalid - Not Documented", IF(AND(F540="Yes", G540="Yes", H540="Yes", I540="Yes", J540="Yes"), "Valid", "Requires Review"))))))</f>
        <v/>
      </c>
      <c r="L540" s="7" t="n"/>
      <c r="M540" s="7" t="n"/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IF(F541="No", "Invalid - Not Freely Given", IF(G541="No", "Invalid - Not Specific", IF(H541="No", "Invalid - Not Informed", IF(I541="No", "Invalid - Ambiguous", IF(J541="No", "Invalid - Not Documented", IF(AND(F541="Yes", G541="Yes", H541="Yes", I541="Yes", J541="Yes"), "Valid", "Requires Review"))))))</f>
        <v/>
      </c>
      <c r="L541" s="7" t="n"/>
      <c r="M541" s="7" t="n"/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IF(F542="No", "Invalid - Not Freely Given", IF(G542="No", "Invalid - Not Specific", IF(H542="No", "Invalid - Not Informed", IF(I542="No", "Invalid - Ambiguous", IF(J542="No", "Invalid - Not Documented", IF(AND(F542="Yes", G542="Yes", H542="Yes", I542="Yes", J542="Yes"), "Valid", "Requires Review"))))))</f>
        <v/>
      </c>
      <c r="L542" s="7" t="n"/>
      <c r="M542" s="7" t="n"/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IF(F543="No", "Invalid - Not Freely Given", IF(G543="No", "Invalid - Not Specific", IF(H543="No", "Invalid - Not Informed", IF(I543="No", "Invalid - Ambiguous", IF(J543="No", "Invalid - Not Documented", IF(AND(F543="Yes", G543="Yes", H543="Yes", I543="Yes", J543="Yes"), "Valid", "Requires Review"))))))</f>
        <v/>
      </c>
      <c r="L543" s="7" t="n"/>
      <c r="M543" s="7" t="n"/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IF(F544="No", "Invalid - Not Freely Given", IF(G544="No", "Invalid - Not Specific", IF(H544="No", "Invalid - Not Informed", IF(I544="No", "Invalid - Ambiguous", IF(J544="No", "Invalid - Not Documented", IF(AND(F544="Yes", G544="Yes", H544="Yes", I544="Yes", J544="Yes"), "Valid", "Requires Review"))))))</f>
        <v/>
      </c>
      <c r="L544" s="7" t="n"/>
      <c r="M544" s="7" t="n"/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IF(F545="No", "Invalid - Not Freely Given", IF(G545="No", "Invalid - Not Specific", IF(H545="No", "Invalid - Not Informed", IF(I545="No", "Invalid - Ambiguous", IF(J545="No", "Invalid - Not Documented", IF(AND(F545="Yes", G545="Yes", H545="Yes", I545="Yes", J545="Yes"), "Valid", "Requires Review"))))))</f>
        <v/>
      </c>
      <c r="L545" s="7" t="n"/>
      <c r="M545" s="7" t="n"/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IF(F546="No", "Invalid - Not Freely Given", IF(G546="No", "Invalid - Not Specific", IF(H546="No", "Invalid - Not Informed", IF(I546="No", "Invalid - Ambiguous", IF(J546="No", "Invalid - Not Documented", IF(AND(F546="Yes", G546="Yes", H546="Yes", I546="Yes", J546="Yes"), "Valid", "Requires Review"))))))</f>
        <v/>
      </c>
      <c r="L546" s="7" t="n"/>
      <c r="M546" s="7" t="n"/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IF(F547="No", "Invalid - Not Freely Given", IF(G547="No", "Invalid - Not Specific", IF(H547="No", "Invalid - Not Informed", IF(I547="No", "Invalid - Ambiguous", IF(J547="No", "Invalid - Not Documented", IF(AND(F547="Yes", G547="Yes", H547="Yes", I547="Yes", J547="Yes"), "Valid", "Requires Review"))))))</f>
        <v/>
      </c>
      <c r="L547" s="7" t="n"/>
      <c r="M547" s="7" t="n"/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IF(F548="No", "Invalid - Not Freely Given", IF(G548="No", "Invalid - Not Specific", IF(H548="No", "Invalid - Not Informed", IF(I548="No", "Invalid - Ambiguous", IF(J548="No", "Invalid - Not Documented", IF(AND(F548="Yes", G548="Yes", H548="Yes", I548="Yes", J548="Yes"), "Valid", "Requires Review"))))))</f>
        <v/>
      </c>
      <c r="L548" s="7" t="n"/>
      <c r="M548" s="7" t="n"/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IF(F549="No", "Invalid - Not Freely Given", IF(G549="No", "Invalid - Not Specific", IF(H549="No", "Invalid - Not Informed", IF(I549="No", "Invalid - Ambiguous", IF(J549="No", "Invalid - Not Documented", IF(AND(F549="Yes", G549="Yes", H549="Yes", I549="Yes", J549="Yes"), "Valid", "Requires Review"))))))</f>
        <v/>
      </c>
      <c r="L549" s="7" t="n"/>
      <c r="M549" s="7" t="n"/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IF(F550="No", "Invalid - Not Freely Given", IF(G550="No", "Invalid - Not Specific", IF(H550="No", "Invalid - Not Informed", IF(I550="No", "Invalid - Ambiguous", IF(J550="No", "Invalid - Not Documented", IF(AND(F550="Yes", G550="Yes", H550="Yes", I550="Yes", J550="Yes"), "Valid", "Requires Review"))))))</f>
        <v/>
      </c>
      <c r="L550" s="7" t="n"/>
      <c r="M550" s="7" t="n"/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IF(F551="No", "Invalid - Not Freely Given", IF(G551="No", "Invalid - Not Specific", IF(H551="No", "Invalid - Not Informed", IF(I551="No", "Invalid - Ambiguous", IF(J551="No", "Invalid - Not Documented", IF(AND(F551="Yes", G551="Yes", H551="Yes", I551="Yes", J551="Yes"), "Valid", "Requires Review"))))))</f>
        <v/>
      </c>
      <c r="L551" s="7" t="n"/>
      <c r="M551" s="7" t="n"/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IF(F552="No", "Invalid - Not Freely Given", IF(G552="No", "Invalid - Not Specific", IF(H552="No", "Invalid - Not Informed", IF(I552="No", "Invalid - Ambiguous", IF(J552="No", "Invalid - Not Documented", IF(AND(F552="Yes", G552="Yes", H552="Yes", I552="Yes", J552="Yes"), "Valid", "Requires Review"))))))</f>
        <v/>
      </c>
      <c r="L552" s="7" t="n"/>
      <c r="M552" s="7" t="n"/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IF(F553="No", "Invalid - Not Freely Given", IF(G553="No", "Invalid - Not Specific", IF(H553="No", "Invalid - Not Informed", IF(I553="No", "Invalid - Ambiguous", IF(J553="No", "Invalid - Not Documented", IF(AND(F553="Yes", G553="Yes", H553="Yes", I553="Yes", J553="Yes"), "Valid", "Requires Review"))))))</f>
        <v/>
      </c>
      <c r="L553" s="7" t="n"/>
      <c r="M553" s="7" t="n"/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IF(F554="No", "Invalid - Not Freely Given", IF(G554="No", "Invalid - Not Specific", IF(H554="No", "Invalid - Not Informed", IF(I554="No", "Invalid - Ambiguous", IF(J554="No", "Invalid - Not Documented", IF(AND(F554="Yes", G554="Yes", H554="Yes", I554="Yes", J554="Yes"), "Valid", "Requires Review"))))))</f>
        <v/>
      </c>
      <c r="L554" s="7" t="n"/>
      <c r="M554" s="7" t="n"/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IF(F555="No", "Invalid - Not Freely Given", IF(G555="No", "Invalid - Not Specific", IF(H555="No", "Invalid - Not Informed", IF(I555="No", "Invalid - Ambiguous", IF(J555="No", "Invalid - Not Documented", IF(AND(F555="Yes", G555="Yes", H555="Yes", I555="Yes", J555="Yes"), "Valid", "Requires Review"))))))</f>
        <v/>
      </c>
      <c r="L555" s="7" t="n"/>
      <c r="M555" s="7" t="n"/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IF(F556="No", "Invalid - Not Freely Given", IF(G556="No", "Invalid - Not Specific", IF(H556="No", "Invalid - Not Informed", IF(I556="No", "Invalid - Ambiguous", IF(J556="No", "Invalid - Not Documented", IF(AND(F556="Yes", G556="Yes", H556="Yes", I556="Yes", J556="Yes"), "Valid", "Requires Review"))))))</f>
        <v/>
      </c>
      <c r="L556" s="7" t="n"/>
      <c r="M556" s="7" t="n"/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IF(F557="No", "Invalid - Not Freely Given", IF(G557="No", "Invalid - Not Specific", IF(H557="No", "Invalid - Not Informed", IF(I557="No", "Invalid - Ambiguous", IF(J557="No", "Invalid - Not Documented", IF(AND(F557="Yes", G557="Yes", H557="Yes", I557="Yes", J557="Yes"), "Valid", "Requires Review"))))))</f>
        <v/>
      </c>
      <c r="L557" s="7" t="n"/>
      <c r="M557" s="7" t="n"/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IF(F558="No", "Invalid - Not Freely Given", IF(G558="No", "Invalid - Not Specific", IF(H558="No", "Invalid - Not Informed", IF(I558="No", "Invalid - Ambiguous", IF(J558="No", "Invalid - Not Documented", IF(AND(F558="Yes", G558="Yes", H558="Yes", I558="Yes", J558="Yes"), "Valid", "Requires Review"))))))</f>
        <v/>
      </c>
      <c r="L558" s="7" t="n"/>
      <c r="M558" s="7" t="n"/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IF(F559="No", "Invalid - Not Freely Given", IF(G559="No", "Invalid - Not Specific", IF(H559="No", "Invalid - Not Informed", IF(I559="No", "Invalid - Ambiguous", IF(J559="No", "Invalid - Not Documented", IF(AND(F559="Yes", G559="Yes", H559="Yes", I559="Yes", J559="Yes"), "Valid", "Requires Review"))))))</f>
        <v/>
      </c>
      <c r="L559" s="7" t="n"/>
      <c r="M559" s="7" t="n"/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IF(F560="No", "Invalid - Not Freely Given", IF(G560="No", "Invalid - Not Specific", IF(H560="No", "Invalid - Not Informed", IF(I560="No", "Invalid - Ambiguous", IF(J560="No", "Invalid - Not Documented", IF(AND(F560="Yes", G560="Yes", H560="Yes", I560="Yes", J560="Yes"), "Valid", "Requires Review"))))))</f>
        <v/>
      </c>
      <c r="L560" s="7" t="n"/>
      <c r="M560" s="7" t="n"/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IF(F561="No", "Invalid - Not Freely Given", IF(G561="No", "Invalid - Not Specific", IF(H561="No", "Invalid - Not Informed", IF(I561="No", "Invalid - Ambiguous", IF(J561="No", "Invalid - Not Documented", IF(AND(F561="Yes", G561="Yes", H561="Yes", I561="Yes", J561="Yes"), "Valid", "Requires Review"))))))</f>
        <v/>
      </c>
      <c r="L561" s="7" t="n"/>
      <c r="M561" s="7" t="n"/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IF(F562="No", "Invalid - Not Freely Given", IF(G562="No", "Invalid - Not Specific", IF(H562="No", "Invalid - Not Informed", IF(I562="No", "Invalid - Ambiguous", IF(J562="No", "Invalid - Not Documented", IF(AND(F562="Yes", G562="Yes", H562="Yes", I562="Yes", J562="Yes"), "Valid", "Requires Review"))))))</f>
        <v/>
      </c>
      <c r="L562" s="7" t="n"/>
      <c r="M562" s="7" t="n"/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IF(F563="No", "Invalid - Not Freely Given", IF(G563="No", "Invalid - Not Specific", IF(H563="No", "Invalid - Not Informed", IF(I563="No", "Invalid - Ambiguous", IF(J563="No", "Invalid - Not Documented", IF(AND(F563="Yes", G563="Yes", H563="Yes", I563="Yes", J563="Yes"), "Valid", "Requires Review"))))))</f>
        <v/>
      </c>
      <c r="L563" s="7" t="n"/>
      <c r="M563" s="7" t="n"/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IF(F564="No", "Invalid - Not Freely Given", IF(G564="No", "Invalid - Not Specific", IF(H564="No", "Invalid - Not Informed", IF(I564="No", "Invalid - Ambiguous", IF(J564="No", "Invalid - Not Documented", IF(AND(F564="Yes", G564="Yes", H564="Yes", I564="Yes", J564="Yes"), "Valid", "Requires Review"))))))</f>
        <v/>
      </c>
      <c r="L564" s="7" t="n"/>
      <c r="M564" s="7" t="n"/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IF(F565="No", "Invalid - Not Freely Given", IF(G565="No", "Invalid - Not Specific", IF(H565="No", "Invalid - Not Informed", IF(I565="No", "Invalid - Ambiguous", IF(J565="No", "Invalid - Not Documented", IF(AND(F565="Yes", G565="Yes", H565="Yes", I565="Yes", J565="Yes"), "Valid", "Requires Review"))))))</f>
        <v/>
      </c>
      <c r="L565" s="7" t="n"/>
      <c r="M565" s="7" t="n"/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IF(F566="No", "Invalid - Not Freely Given", IF(G566="No", "Invalid - Not Specific", IF(H566="No", "Invalid - Not Informed", IF(I566="No", "Invalid - Ambiguous", IF(J566="No", "Invalid - Not Documented", IF(AND(F566="Yes", G566="Yes", H566="Yes", I566="Yes", J566="Yes"), "Valid", "Requires Review"))))))</f>
        <v/>
      </c>
      <c r="L566" s="7" t="n"/>
      <c r="M566" s="7" t="n"/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IF(F567="No", "Invalid - Not Freely Given", IF(G567="No", "Invalid - Not Specific", IF(H567="No", "Invalid - Not Informed", IF(I567="No", "Invalid - Ambiguous", IF(J567="No", "Invalid - Not Documented", IF(AND(F567="Yes", G567="Yes", H567="Yes", I567="Yes", J567="Yes"), "Valid", "Requires Review"))))))</f>
        <v/>
      </c>
      <c r="L567" s="7" t="n"/>
      <c r="M567" s="7" t="n"/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IF(F568="No", "Invalid - Not Freely Given", IF(G568="No", "Invalid - Not Specific", IF(H568="No", "Invalid - Not Informed", IF(I568="No", "Invalid - Ambiguous", IF(J568="No", "Invalid - Not Documented", IF(AND(F568="Yes", G568="Yes", H568="Yes", I568="Yes", J568="Yes"), "Valid", "Requires Review"))))))</f>
        <v/>
      </c>
      <c r="L568" s="7" t="n"/>
      <c r="M568" s="7" t="n"/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IF(F569="No", "Invalid - Not Freely Given", IF(G569="No", "Invalid - Not Specific", IF(H569="No", "Invalid - Not Informed", IF(I569="No", "Invalid - Ambiguous", IF(J569="No", "Invalid - Not Documented", IF(AND(F569="Yes", G569="Yes", H569="Yes", I569="Yes", J569="Yes"), "Valid", "Requires Review"))))))</f>
        <v/>
      </c>
      <c r="L569" s="7" t="n"/>
      <c r="M569" s="7" t="n"/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IF(F570="No", "Invalid - Not Freely Given", IF(G570="No", "Invalid - Not Specific", IF(H570="No", "Invalid - Not Informed", IF(I570="No", "Invalid - Ambiguous", IF(J570="No", "Invalid - Not Documented", IF(AND(F570="Yes", G570="Yes", H570="Yes", I570="Yes", J570="Yes"), "Valid", "Requires Review"))))))</f>
        <v/>
      </c>
      <c r="L570" s="7" t="n"/>
      <c r="M570" s="7" t="n"/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IF(F571="No", "Invalid - Not Freely Given", IF(G571="No", "Invalid - Not Specific", IF(H571="No", "Invalid - Not Informed", IF(I571="No", "Invalid - Ambiguous", IF(J571="No", "Invalid - Not Documented", IF(AND(F571="Yes", G571="Yes", H571="Yes", I571="Yes", J571="Yes"), "Valid", "Requires Review"))))))</f>
        <v/>
      </c>
      <c r="L571" s="7" t="n"/>
      <c r="M571" s="7" t="n"/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IF(F572="No", "Invalid - Not Freely Given", IF(G572="No", "Invalid - Not Specific", IF(H572="No", "Invalid - Not Informed", IF(I572="No", "Invalid - Ambiguous", IF(J572="No", "Invalid - Not Documented", IF(AND(F572="Yes", G572="Yes", H572="Yes", I572="Yes", J572="Yes"), "Valid", "Requires Review"))))))</f>
        <v/>
      </c>
      <c r="L572" s="7" t="n"/>
      <c r="M572" s="7" t="n"/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IF(F573="No", "Invalid - Not Freely Given", IF(G573="No", "Invalid - Not Specific", IF(H573="No", "Invalid - Not Informed", IF(I573="No", "Invalid - Ambiguous", IF(J573="No", "Invalid - Not Documented", IF(AND(F573="Yes", G573="Yes", H573="Yes", I573="Yes", J573="Yes"), "Valid", "Requires Review"))))))</f>
        <v/>
      </c>
      <c r="L573" s="7" t="n"/>
      <c r="M573" s="7" t="n"/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IF(F574="No", "Invalid - Not Freely Given", IF(G574="No", "Invalid - Not Specific", IF(H574="No", "Invalid - Not Informed", IF(I574="No", "Invalid - Ambiguous", IF(J574="No", "Invalid - Not Documented", IF(AND(F574="Yes", G574="Yes", H574="Yes", I574="Yes", J574="Yes"), "Valid", "Requires Review"))))))</f>
        <v/>
      </c>
      <c r="L574" s="7" t="n"/>
      <c r="M574" s="7" t="n"/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IF(F575="No", "Invalid - Not Freely Given", IF(G575="No", "Invalid - Not Specific", IF(H575="No", "Invalid - Not Informed", IF(I575="No", "Invalid - Ambiguous", IF(J575="No", "Invalid - Not Documented", IF(AND(F575="Yes", G575="Yes", H575="Yes", I575="Yes", J575="Yes"), "Valid", "Requires Review"))))))</f>
        <v/>
      </c>
      <c r="L575" s="7" t="n"/>
      <c r="M575" s="7" t="n"/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IF(F576="No", "Invalid - Not Freely Given", IF(G576="No", "Invalid - Not Specific", IF(H576="No", "Invalid - Not Informed", IF(I576="No", "Invalid - Ambiguous", IF(J576="No", "Invalid - Not Documented", IF(AND(F576="Yes", G576="Yes", H576="Yes", I576="Yes", J576="Yes"), "Valid", "Requires Review"))))))</f>
        <v/>
      </c>
      <c r="L576" s="7" t="n"/>
      <c r="M576" s="7" t="n"/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IF(F577="No", "Invalid - Not Freely Given", IF(G577="No", "Invalid - Not Specific", IF(H577="No", "Invalid - Not Informed", IF(I577="No", "Invalid - Ambiguous", IF(J577="No", "Invalid - Not Documented", IF(AND(F577="Yes", G577="Yes", H577="Yes", I577="Yes", J577="Yes"), "Valid", "Requires Review"))))))</f>
        <v/>
      </c>
      <c r="L577" s="7" t="n"/>
      <c r="M577" s="7" t="n"/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IF(F578="No", "Invalid - Not Freely Given", IF(G578="No", "Invalid - Not Specific", IF(H578="No", "Invalid - Not Informed", IF(I578="No", "Invalid - Ambiguous", IF(J578="No", "Invalid - Not Documented", IF(AND(F578="Yes", G578="Yes", H578="Yes", I578="Yes", J578="Yes"), "Valid", "Requires Review"))))))</f>
        <v/>
      </c>
      <c r="L578" s="7" t="n"/>
      <c r="M578" s="7" t="n"/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IF(F579="No", "Invalid - Not Freely Given", IF(G579="No", "Invalid - Not Specific", IF(H579="No", "Invalid - Not Informed", IF(I579="No", "Invalid - Ambiguous", IF(J579="No", "Invalid - Not Documented", IF(AND(F579="Yes", G579="Yes", H579="Yes", I579="Yes", J579="Yes"), "Valid", "Requires Review"))))))</f>
        <v/>
      </c>
      <c r="L579" s="7" t="n"/>
      <c r="M579" s="7" t="n"/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IF(F580="No", "Invalid - Not Freely Given", IF(G580="No", "Invalid - Not Specific", IF(H580="No", "Invalid - Not Informed", IF(I580="No", "Invalid - Ambiguous", IF(J580="No", "Invalid - Not Documented", IF(AND(F580="Yes", G580="Yes", H580="Yes", I580="Yes", J580="Yes"), "Valid", "Requires Review"))))))</f>
        <v/>
      </c>
      <c r="L580" s="7" t="n"/>
      <c r="M580" s="7" t="n"/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IF(F581="No", "Invalid - Not Freely Given", IF(G581="No", "Invalid - Not Specific", IF(H581="No", "Invalid - Not Informed", IF(I581="No", "Invalid - Ambiguous", IF(J581="No", "Invalid - Not Documented", IF(AND(F581="Yes", G581="Yes", H581="Yes", I581="Yes", J581="Yes"), "Valid", "Requires Review"))))))</f>
        <v/>
      </c>
      <c r="L581" s="7" t="n"/>
      <c r="M581" s="7" t="n"/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IF(F582="No", "Invalid - Not Freely Given", IF(G582="No", "Invalid - Not Specific", IF(H582="No", "Invalid - Not Informed", IF(I582="No", "Invalid - Ambiguous", IF(J582="No", "Invalid - Not Documented", IF(AND(F582="Yes", G582="Yes", H582="Yes", I582="Yes", J582="Yes"), "Valid", "Requires Review"))))))</f>
        <v/>
      </c>
      <c r="L582" s="7" t="n"/>
      <c r="M582" s="7" t="n"/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IF(F583="No", "Invalid - Not Freely Given", IF(G583="No", "Invalid - Not Specific", IF(H583="No", "Invalid - Not Informed", IF(I583="No", "Invalid - Ambiguous", IF(J583="No", "Invalid - Not Documented", IF(AND(F583="Yes", G583="Yes", H583="Yes", I583="Yes", J583="Yes"), "Valid", "Requires Review"))))))</f>
        <v/>
      </c>
      <c r="L583" s="7" t="n"/>
      <c r="M583" s="7" t="n"/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IF(F584="No", "Invalid - Not Freely Given", IF(G584="No", "Invalid - Not Specific", IF(H584="No", "Invalid - Not Informed", IF(I584="No", "Invalid - Ambiguous", IF(J584="No", "Invalid - Not Documented", IF(AND(F584="Yes", G584="Yes", H584="Yes", I584="Yes", J584="Yes"), "Valid", "Requires Review"))))))</f>
        <v/>
      </c>
      <c r="L584" s="7" t="n"/>
      <c r="M584" s="7" t="n"/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IF(F585="No", "Invalid - Not Freely Given", IF(G585="No", "Invalid - Not Specific", IF(H585="No", "Invalid - Not Informed", IF(I585="No", "Invalid - Ambiguous", IF(J585="No", "Invalid - Not Documented", IF(AND(F585="Yes", G585="Yes", H585="Yes", I585="Yes", J585="Yes"), "Valid", "Requires Review"))))))</f>
        <v/>
      </c>
      <c r="L585" s="7" t="n"/>
      <c r="M585" s="7" t="n"/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IF(F586="No", "Invalid - Not Freely Given", IF(G586="No", "Invalid - Not Specific", IF(H586="No", "Invalid - Not Informed", IF(I586="No", "Invalid - Ambiguous", IF(J586="No", "Invalid - Not Documented", IF(AND(F586="Yes", G586="Yes", H586="Yes", I586="Yes", J586="Yes"), "Valid", "Requires Review"))))))</f>
        <v/>
      </c>
      <c r="L586" s="7" t="n"/>
      <c r="M586" s="7" t="n"/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IF(F587="No", "Invalid - Not Freely Given", IF(G587="No", "Invalid - Not Specific", IF(H587="No", "Invalid - Not Informed", IF(I587="No", "Invalid - Ambiguous", IF(J587="No", "Invalid - Not Documented", IF(AND(F587="Yes", G587="Yes", H587="Yes", I587="Yes", J587="Yes"), "Valid", "Requires Review"))))))</f>
        <v/>
      </c>
      <c r="L587" s="7" t="n"/>
      <c r="M587" s="7" t="n"/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IF(F588="No", "Invalid - Not Freely Given", IF(G588="No", "Invalid - Not Specific", IF(H588="No", "Invalid - Not Informed", IF(I588="No", "Invalid - Ambiguous", IF(J588="No", "Invalid - Not Documented", IF(AND(F588="Yes", G588="Yes", H588="Yes", I588="Yes", J588="Yes"), "Valid", "Requires Review"))))))</f>
        <v/>
      </c>
      <c r="L588" s="7" t="n"/>
      <c r="M588" s="7" t="n"/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IF(F589="No", "Invalid - Not Freely Given", IF(G589="No", "Invalid - Not Specific", IF(H589="No", "Invalid - Not Informed", IF(I589="No", "Invalid - Ambiguous", IF(J589="No", "Invalid - Not Documented", IF(AND(F589="Yes", G589="Yes", H589="Yes", I589="Yes", J589="Yes"), "Valid", "Requires Review"))))))</f>
        <v/>
      </c>
      <c r="L589" s="7" t="n"/>
      <c r="M589" s="7" t="n"/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IF(F590="No", "Invalid - Not Freely Given", IF(G590="No", "Invalid - Not Specific", IF(H590="No", "Invalid - Not Informed", IF(I590="No", "Invalid - Ambiguous", IF(J590="No", "Invalid - Not Documented", IF(AND(F590="Yes", G590="Yes", H590="Yes", I590="Yes", J590="Yes"), "Valid", "Requires Review"))))))</f>
        <v/>
      </c>
      <c r="L590" s="7" t="n"/>
      <c r="M590" s="7" t="n"/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IF(F591="No", "Invalid - Not Freely Given", IF(G591="No", "Invalid - Not Specific", IF(H591="No", "Invalid - Not Informed", IF(I591="No", "Invalid - Ambiguous", IF(J591="No", "Invalid - Not Documented", IF(AND(F591="Yes", G591="Yes", H591="Yes", I591="Yes", J591="Yes"), "Valid", "Requires Review"))))))</f>
        <v/>
      </c>
      <c r="L591" s="7" t="n"/>
      <c r="M591" s="7" t="n"/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IF(F592="No", "Invalid - Not Freely Given", IF(G592="No", "Invalid - Not Specific", IF(H592="No", "Invalid - Not Informed", IF(I592="No", "Invalid - Ambiguous", IF(J592="No", "Invalid - Not Documented", IF(AND(F592="Yes", G592="Yes", H592="Yes", I592="Yes", J592="Yes"), "Valid", "Requires Review"))))))</f>
        <v/>
      </c>
      <c r="L592" s="7" t="n"/>
      <c r="M592" s="7" t="n"/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IF(F593="No", "Invalid - Not Freely Given", IF(G593="No", "Invalid - Not Specific", IF(H593="No", "Invalid - Not Informed", IF(I593="No", "Invalid - Ambiguous", IF(J593="No", "Invalid - Not Documented", IF(AND(F593="Yes", G593="Yes", H593="Yes", I593="Yes", J593="Yes"), "Valid", "Requires Review"))))))</f>
        <v/>
      </c>
      <c r="L593" s="7" t="n"/>
      <c r="M593" s="7" t="n"/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IF(F594="No", "Invalid - Not Freely Given", IF(G594="No", "Invalid - Not Specific", IF(H594="No", "Invalid - Not Informed", IF(I594="No", "Invalid - Ambiguous", IF(J594="No", "Invalid - Not Documented", IF(AND(F594="Yes", G594="Yes", H594="Yes", I594="Yes", J594="Yes"), "Valid", "Requires Review"))))))</f>
        <v/>
      </c>
      <c r="L594" s="7" t="n"/>
      <c r="M594" s="7" t="n"/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IF(F595="No", "Invalid - Not Freely Given", IF(G595="No", "Invalid - Not Specific", IF(H595="No", "Invalid - Not Informed", IF(I595="No", "Invalid - Ambiguous", IF(J595="No", "Invalid - Not Documented", IF(AND(F595="Yes", G595="Yes", H595="Yes", I595="Yes", J595="Yes"), "Valid", "Requires Review"))))))</f>
        <v/>
      </c>
      <c r="L595" s="7" t="n"/>
      <c r="M595" s="7" t="n"/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IF(F596="No", "Invalid - Not Freely Given", IF(G596="No", "Invalid - Not Specific", IF(H596="No", "Invalid - Not Informed", IF(I596="No", "Invalid - Ambiguous", IF(J596="No", "Invalid - Not Documented", IF(AND(F596="Yes", G596="Yes", H596="Yes", I596="Yes", J596="Yes"), "Valid", "Requires Review"))))))</f>
        <v/>
      </c>
      <c r="L596" s="7" t="n"/>
      <c r="M596" s="7" t="n"/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IF(F597="No", "Invalid - Not Freely Given", IF(G597="No", "Invalid - Not Specific", IF(H597="No", "Invalid - Not Informed", IF(I597="No", "Invalid - Ambiguous", IF(J597="No", "Invalid - Not Documented", IF(AND(F597="Yes", G597="Yes", H597="Yes", I597="Yes", J597="Yes"), "Valid", "Requires Review"))))))</f>
        <v/>
      </c>
      <c r="L597" s="7" t="n"/>
      <c r="M597" s="7" t="n"/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IF(F598="No", "Invalid - Not Freely Given", IF(G598="No", "Invalid - Not Specific", IF(H598="No", "Invalid - Not Informed", IF(I598="No", "Invalid - Ambiguous", IF(J598="No", "Invalid - Not Documented", IF(AND(F598="Yes", G598="Yes", H598="Yes", I598="Yes", J598="Yes"), "Valid", "Requires Review"))))))</f>
        <v/>
      </c>
      <c r="L598" s="7" t="n"/>
      <c r="M598" s="7" t="n"/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IF(F599="No", "Invalid - Not Freely Given", IF(G599="No", "Invalid - Not Specific", IF(H599="No", "Invalid - Not Informed", IF(I599="No", "Invalid - Ambiguous", IF(J599="No", "Invalid - Not Documented", IF(AND(F599="Yes", G599="Yes", H599="Yes", I599="Yes", J599="Yes"), "Valid", "Requires Review"))))))</f>
        <v/>
      </c>
      <c r="L599" s="7" t="n"/>
      <c r="M599" s="7" t="n"/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IF(F600="No", "Invalid - Not Freely Given", IF(G600="No", "Invalid - Not Specific", IF(H600="No", "Invalid - Not Informed", IF(I600="No", "Invalid - Ambiguous", IF(J600="No", "Invalid - Not Documented", IF(AND(F600="Yes", G600="Yes", H600="Yes", I600="Yes", J600="Yes"), "Valid", "Requires Review"))))))</f>
        <v/>
      </c>
      <c r="L600" s="7" t="n"/>
      <c r="M600" s="7" t="n"/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IF(F601="No", "Invalid - Not Freely Given", IF(G601="No", "Invalid - Not Specific", IF(H601="No", "Invalid - Not Informed", IF(I601="No", "Invalid - Ambiguous", IF(J601="No", "Invalid - Not Documented", IF(AND(F601="Yes", G601="Yes", H601="Yes", I601="Yes", J601="Yes"), "Valid", "Requires Review"))))))</f>
        <v/>
      </c>
      <c r="L601" s="7" t="n"/>
      <c r="M601" s="7" t="n"/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IF(F602="No", "Invalid - Not Freely Given", IF(G602="No", "Invalid - Not Specific", IF(H602="No", "Invalid - Not Informed", IF(I602="No", "Invalid - Ambiguous", IF(J602="No", "Invalid - Not Documented", IF(AND(F602="Yes", G602="Yes", H602="Yes", I602="Yes", J602="Yes"), "Valid", "Requires Review"))))))</f>
        <v/>
      </c>
      <c r="L602" s="7" t="n"/>
      <c r="M602" s="7" t="n"/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IF(F603="No", "Invalid - Not Freely Given", IF(G603="No", "Invalid - Not Specific", IF(H603="No", "Invalid - Not Informed", IF(I603="No", "Invalid - Ambiguous", IF(J603="No", "Invalid - Not Documented", IF(AND(F603="Yes", G603="Yes", H603="Yes", I603="Yes", J603="Yes"), "Valid", "Requires Review"))))))</f>
        <v/>
      </c>
      <c r="L603" s="7" t="n"/>
      <c r="M603" s="7" t="n"/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IF(F604="No", "Invalid - Not Freely Given", IF(G604="No", "Invalid - Not Specific", IF(H604="No", "Invalid - Not Informed", IF(I604="No", "Invalid - Ambiguous", IF(J604="No", "Invalid - Not Documented", IF(AND(F604="Yes", G604="Yes", H604="Yes", I604="Yes", J604="Yes"), "Valid", "Requires Review"))))))</f>
        <v/>
      </c>
      <c r="L604" s="7" t="n"/>
      <c r="M604" s="7" t="n"/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IF(F605="No", "Invalid - Not Freely Given", IF(G605="No", "Invalid - Not Specific", IF(H605="No", "Invalid - Not Informed", IF(I605="No", "Invalid - Ambiguous", IF(J605="No", "Invalid - Not Documented", IF(AND(F605="Yes", G605="Yes", H605="Yes", I605="Yes", J605="Yes"), "Valid", "Requires Review"))))))</f>
        <v/>
      </c>
      <c r="L605" s="7" t="n"/>
      <c r="M605" s="7" t="n"/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IF(F606="No", "Invalid - Not Freely Given", IF(G606="No", "Invalid - Not Specific", IF(H606="No", "Invalid - Not Informed", IF(I606="No", "Invalid - Ambiguous", IF(J606="No", "Invalid - Not Documented", IF(AND(F606="Yes", G606="Yes", H606="Yes", I606="Yes", J606="Yes"), "Valid", "Requires Review"))))))</f>
        <v/>
      </c>
      <c r="L606" s="7" t="n"/>
      <c r="M606" s="7" t="n"/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IF(F607="No", "Invalid - Not Freely Given", IF(G607="No", "Invalid - Not Specific", IF(H607="No", "Invalid - Not Informed", IF(I607="No", "Invalid - Ambiguous", IF(J607="No", "Invalid - Not Documented", IF(AND(F607="Yes", G607="Yes", H607="Yes", I607="Yes", J607="Yes"), "Valid", "Requires Review"))))))</f>
        <v/>
      </c>
      <c r="L607" s="7" t="n"/>
      <c r="M607" s="7" t="n"/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IF(F608="No", "Invalid - Not Freely Given", IF(G608="No", "Invalid - Not Specific", IF(H608="No", "Invalid - Not Informed", IF(I608="No", "Invalid - Ambiguous", IF(J608="No", "Invalid - Not Documented", IF(AND(F608="Yes", G608="Yes", H608="Yes", I608="Yes", J608="Yes"), "Valid", "Requires Review"))))))</f>
        <v/>
      </c>
      <c r="L608" s="7" t="n"/>
      <c r="M608" s="7" t="n"/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IF(F609="No", "Invalid - Not Freely Given", IF(G609="No", "Invalid - Not Specific", IF(H609="No", "Invalid - Not Informed", IF(I609="No", "Invalid - Ambiguous", IF(J609="No", "Invalid - Not Documented", IF(AND(F609="Yes", G609="Yes", H609="Yes", I609="Yes", J609="Yes"), "Valid", "Requires Review"))))))</f>
        <v/>
      </c>
      <c r="L609" s="7" t="n"/>
      <c r="M609" s="7" t="n"/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IF(F610="No", "Invalid - Not Freely Given", IF(G610="No", "Invalid - Not Specific", IF(H610="No", "Invalid - Not Informed", IF(I610="No", "Invalid - Ambiguous", IF(J610="No", "Invalid - Not Documented", IF(AND(F610="Yes", G610="Yes", H610="Yes", I610="Yes", J610="Yes"), "Valid", "Requires Review"))))))</f>
        <v/>
      </c>
      <c r="L610" s="7" t="n"/>
      <c r="M610" s="7" t="n"/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IF(F611="No", "Invalid - Not Freely Given", IF(G611="No", "Invalid - Not Specific", IF(H611="No", "Invalid - Not Informed", IF(I611="No", "Invalid - Ambiguous", IF(J611="No", "Invalid - Not Documented", IF(AND(F611="Yes", G611="Yes", H611="Yes", I611="Yes", J611="Yes"), "Valid", "Requires Review"))))))</f>
        <v/>
      </c>
      <c r="L611" s="7" t="n"/>
      <c r="M611" s="7" t="n"/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IF(F612="No", "Invalid - Not Freely Given", IF(G612="No", "Invalid - Not Specific", IF(H612="No", "Invalid - Not Informed", IF(I612="No", "Invalid - Ambiguous", IF(J612="No", "Invalid - Not Documented", IF(AND(F612="Yes", G612="Yes", H612="Yes", I612="Yes", J612="Yes"), "Valid", "Requires Review"))))))</f>
        <v/>
      </c>
      <c r="L612" s="7" t="n"/>
      <c r="M612" s="7" t="n"/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IF(F613="No", "Invalid - Not Freely Given", IF(G613="No", "Invalid - Not Specific", IF(H613="No", "Invalid - Not Informed", IF(I613="No", "Invalid - Ambiguous", IF(J613="No", "Invalid - Not Documented", IF(AND(F613="Yes", G613="Yes", H613="Yes", I613="Yes", J613="Yes"), "Valid", "Requires Review"))))))</f>
        <v/>
      </c>
      <c r="L613" s="7" t="n"/>
      <c r="M613" s="7" t="n"/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IF(F614="No", "Invalid - Not Freely Given", IF(G614="No", "Invalid - Not Specific", IF(H614="No", "Invalid - Not Informed", IF(I614="No", "Invalid - Ambiguous", IF(J614="No", "Invalid - Not Documented", IF(AND(F614="Yes", G614="Yes", H614="Yes", I614="Yes", J614="Yes"), "Valid", "Requires Review"))))))</f>
        <v/>
      </c>
      <c r="L614" s="7" t="n"/>
      <c r="M614" s="7" t="n"/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IF(F615="No", "Invalid - Not Freely Given", IF(G615="No", "Invalid - Not Specific", IF(H615="No", "Invalid - Not Informed", IF(I615="No", "Invalid - Ambiguous", IF(J615="No", "Invalid - Not Documented", IF(AND(F615="Yes", G615="Yes", H615="Yes", I615="Yes", J615="Yes"), "Valid", "Requires Review"))))))</f>
        <v/>
      </c>
      <c r="L615" s="7" t="n"/>
      <c r="M615" s="7" t="n"/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IF(F616="No", "Invalid - Not Freely Given", IF(G616="No", "Invalid - Not Specific", IF(H616="No", "Invalid - Not Informed", IF(I616="No", "Invalid - Ambiguous", IF(J616="No", "Invalid - Not Documented", IF(AND(F616="Yes", G616="Yes", H616="Yes", I616="Yes", J616="Yes"), "Valid", "Requires Review"))))))</f>
        <v/>
      </c>
      <c r="L616" s="7" t="n"/>
      <c r="M616" s="7" t="n"/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IF(F617="No", "Invalid - Not Freely Given", IF(G617="No", "Invalid - Not Specific", IF(H617="No", "Invalid - Not Informed", IF(I617="No", "Invalid - Ambiguous", IF(J617="No", "Invalid - Not Documented", IF(AND(F617="Yes", G617="Yes", H617="Yes", I617="Yes", J617="Yes"), "Valid", "Requires Review"))))))</f>
        <v/>
      </c>
      <c r="L617" s="7" t="n"/>
      <c r="M617" s="7" t="n"/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IF(F618="No", "Invalid - Not Freely Given", IF(G618="No", "Invalid - Not Specific", IF(H618="No", "Invalid - Not Informed", IF(I618="No", "Invalid - Ambiguous", IF(J618="No", "Invalid - Not Documented", IF(AND(F618="Yes", G618="Yes", H618="Yes", I618="Yes", J618="Yes"), "Valid", "Requires Review"))))))</f>
        <v/>
      </c>
      <c r="L618" s="7" t="n"/>
      <c r="M618" s="7" t="n"/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IF(F619="No", "Invalid - Not Freely Given", IF(G619="No", "Invalid - Not Specific", IF(H619="No", "Invalid - Not Informed", IF(I619="No", "Invalid - Ambiguous", IF(J619="No", "Invalid - Not Documented", IF(AND(F619="Yes", G619="Yes", H619="Yes", I619="Yes", J619="Yes"), "Valid", "Requires Review"))))))</f>
        <v/>
      </c>
      <c r="L619" s="7" t="n"/>
      <c r="M619" s="7" t="n"/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IF(F620="No", "Invalid - Not Freely Given", IF(G620="No", "Invalid - Not Specific", IF(H620="No", "Invalid - Not Informed", IF(I620="No", "Invalid - Ambiguous", IF(J620="No", "Invalid - Not Documented", IF(AND(F620="Yes", G620="Yes", H620="Yes", I620="Yes", J620="Yes"), "Valid", "Requires Review"))))))</f>
        <v/>
      </c>
      <c r="L620" s="7" t="n"/>
      <c r="M620" s="7" t="n"/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IF(F621="No", "Invalid - Not Freely Given", IF(G621="No", "Invalid - Not Specific", IF(H621="No", "Invalid - Not Informed", IF(I621="No", "Invalid - Ambiguous", IF(J621="No", "Invalid - Not Documented", IF(AND(F621="Yes", G621="Yes", H621="Yes", I621="Yes", J621="Yes"), "Valid", "Requires Review"))))))</f>
        <v/>
      </c>
      <c r="L621" s="7" t="n"/>
      <c r="M621" s="7" t="n"/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IF(F622="No", "Invalid - Not Freely Given", IF(G622="No", "Invalid - Not Specific", IF(H622="No", "Invalid - Not Informed", IF(I622="No", "Invalid - Ambiguous", IF(J622="No", "Invalid - Not Documented", IF(AND(F622="Yes", G622="Yes", H622="Yes", I622="Yes", J622="Yes"), "Valid", "Requires Review"))))))</f>
        <v/>
      </c>
      <c r="L622" s="7" t="n"/>
      <c r="M622" s="7" t="n"/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IF(F623="No", "Invalid - Not Freely Given", IF(G623="No", "Invalid - Not Specific", IF(H623="No", "Invalid - Not Informed", IF(I623="No", "Invalid - Ambiguous", IF(J623="No", "Invalid - Not Documented", IF(AND(F623="Yes", G623="Yes", H623="Yes", I623="Yes", J623="Yes"), "Valid", "Requires Review"))))))</f>
        <v/>
      </c>
      <c r="L623" s="7" t="n"/>
      <c r="M623" s="7" t="n"/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IF(F624="No", "Invalid - Not Freely Given", IF(G624="No", "Invalid - Not Specific", IF(H624="No", "Invalid - Not Informed", IF(I624="No", "Invalid - Ambiguous", IF(J624="No", "Invalid - Not Documented", IF(AND(F624="Yes", G624="Yes", H624="Yes", I624="Yes", J624="Yes"), "Valid", "Requires Review"))))))</f>
        <v/>
      </c>
      <c r="L624" s="7" t="n"/>
      <c r="M624" s="7" t="n"/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IF(F625="No", "Invalid - Not Freely Given", IF(G625="No", "Invalid - Not Specific", IF(H625="No", "Invalid - Not Informed", IF(I625="No", "Invalid - Ambiguous", IF(J625="No", "Invalid - Not Documented", IF(AND(F625="Yes", G625="Yes", H625="Yes", I625="Yes", J625="Yes"), "Valid", "Requires Review"))))))</f>
        <v/>
      </c>
      <c r="L625" s="7" t="n"/>
      <c r="M625" s="7" t="n"/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IF(F626="No", "Invalid - Not Freely Given", IF(G626="No", "Invalid - Not Specific", IF(H626="No", "Invalid - Not Informed", IF(I626="No", "Invalid - Ambiguous", IF(J626="No", "Invalid - Not Documented", IF(AND(F626="Yes", G626="Yes", H626="Yes", I626="Yes", J626="Yes"), "Valid", "Requires Review"))))))</f>
        <v/>
      </c>
      <c r="L626" s="7" t="n"/>
      <c r="M626" s="7" t="n"/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IF(F627="No", "Invalid - Not Freely Given", IF(G627="No", "Invalid - Not Specific", IF(H627="No", "Invalid - Not Informed", IF(I627="No", "Invalid - Ambiguous", IF(J627="No", "Invalid - Not Documented", IF(AND(F627="Yes", G627="Yes", H627="Yes", I627="Yes", J627="Yes"), "Valid", "Requires Review"))))))</f>
        <v/>
      </c>
      <c r="L627" s="7" t="n"/>
      <c r="M627" s="7" t="n"/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IF(F628="No", "Invalid - Not Freely Given", IF(G628="No", "Invalid - Not Specific", IF(H628="No", "Invalid - Not Informed", IF(I628="No", "Invalid - Ambiguous", IF(J628="No", "Invalid - Not Documented", IF(AND(F628="Yes", G628="Yes", H628="Yes", I628="Yes", J628="Yes"), "Valid", "Requires Review"))))))</f>
        <v/>
      </c>
      <c r="L628" s="7" t="n"/>
      <c r="M628" s="7" t="n"/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IF(F629="No", "Invalid - Not Freely Given", IF(G629="No", "Invalid - Not Specific", IF(H629="No", "Invalid - Not Informed", IF(I629="No", "Invalid - Ambiguous", IF(J629="No", "Invalid - Not Documented", IF(AND(F629="Yes", G629="Yes", H629="Yes", I629="Yes", J629="Yes"), "Valid", "Requires Review"))))))</f>
        <v/>
      </c>
      <c r="L629" s="7" t="n"/>
      <c r="M629" s="7" t="n"/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IF(F630="No", "Invalid - Not Freely Given", IF(G630="No", "Invalid - Not Specific", IF(H630="No", "Invalid - Not Informed", IF(I630="No", "Invalid - Ambiguous", IF(J630="No", "Invalid - Not Documented", IF(AND(F630="Yes", G630="Yes", H630="Yes", I630="Yes", J630="Yes"), "Valid", "Requires Review"))))))</f>
        <v/>
      </c>
      <c r="L630" s="7" t="n"/>
      <c r="M630" s="7" t="n"/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IF(F631="No", "Invalid - Not Freely Given", IF(G631="No", "Invalid - Not Specific", IF(H631="No", "Invalid - Not Informed", IF(I631="No", "Invalid - Ambiguous", IF(J631="No", "Invalid - Not Documented", IF(AND(F631="Yes", G631="Yes", H631="Yes", I631="Yes", J631="Yes"), "Valid", "Requires Review"))))))</f>
        <v/>
      </c>
      <c r="L631" s="7" t="n"/>
      <c r="M631" s="7" t="n"/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IF(F632="No", "Invalid - Not Freely Given", IF(G632="No", "Invalid - Not Specific", IF(H632="No", "Invalid - Not Informed", IF(I632="No", "Invalid - Ambiguous", IF(J632="No", "Invalid - Not Documented", IF(AND(F632="Yes", G632="Yes", H632="Yes", I632="Yes", J632="Yes"), "Valid", "Requires Review"))))))</f>
        <v/>
      </c>
      <c r="L632" s="7" t="n"/>
      <c r="M632" s="7" t="n"/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IF(F633="No", "Invalid - Not Freely Given", IF(G633="No", "Invalid - Not Specific", IF(H633="No", "Invalid - Not Informed", IF(I633="No", "Invalid - Ambiguous", IF(J633="No", "Invalid - Not Documented", IF(AND(F633="Yes", G633="Yes", H633="Yes", I633="Yes", J633="Yes"), "Valid", "Requires Review"))))))</f>
        <v/>
      </c>
      <c r="L633" s="7" t="n"/>
      <c r="M633" s="7" t="n"/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IF(F634="No", "Invalid - Not Freely Given", IF(G634="No", "Invalid - Not Specific", IF(H634="No", "Invalid - Not Informed", IF(I634="No", "Invalid - Ambiguous", IF(J634="No", "Invalid - Not Documented", IF(AND(F634="Yes", G634="Yes", H634="Yes", I634="Yes", J634="Yes"), "Valid", "Requires Review"))))))</f>
        <v/>
      </c>
      <c r="L634" s="7" t="n"/>
      <c r="M634" s="7" t="n"/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IF(F635="No", "Invalid - Not Freely Given", IF(G635="No", "Invalid - Not Specific", IF(H635="No", "Invalid - Not Informed", IF(I635="No", "Invalid - Ambiguous", IF(J635="No", "Invalid - Not Documented", IF(AND(F635="Yes", G635="Yes", H635="Yes", I635="Yes", J635="Yes"), "Valid", "Requires Review"))))))</f>
        <v/>
      </c>
      <c r="L635" s="7" t="n"/>
      <c r="M635" s="7" t="n"/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IF(F636="No", "Invalid - Not Freely Given", IF(G636="No", "Invalid - Not Specific", IF(H636="No", "Invalid - Not Informed", IF(I636="No", "Invalid - Ambiguous", IF(J636="No", "Invalid - Not Documented", IF(AND(F636="Yes", G636="Yes", H636="Yes", I636="Yes", J636="Yes"), "Valid", "Requires Review"))))))</f>
        <v/>
      </c>
      <c r="L636" s="7" t="n"/>
      <c r="M636" s="7" t="n"/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IF(F637="No", "Invalid - Not Freely Given", IF(G637="No", "Invalid - Not Specific", IF(H637="No", "Invalid - Not Informed", IF(I637="No", "Invalid - Ambiguous", IF(J637="No", "Invalid - Not Documented", IF(AND(F637="Yes", G637="Yes", H637="Yes", I637="Yes", J637="Yes"), "Valid", "Requires Review"))))))</f>
        <v/>
      </c>
      <c r="L637" s="7" t="n"/>
      <c r="M637" s="7" t="n"/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IF(F638="No", "Invalid - Not Freely Given", IF(G638="No", "Invalid - Not Specific", IF(H638="No", "Invalid - Not Informed", IF(I638="No", "Invalid - Ambiguous", IF(J638="No", "Invalid - Not Documented", IF(AND(F638="Yes", G638="Yes", H638="Yes", I638="Yes", J638="Yes"), "Valid", "Requires Review"))))))</f>
        <v/>
      </c>
      <c r="L638" s="7" t="n"/>
      <c r="M638" s="7" t="n"/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IF(F639="No", "Invalid - Not Freely Given", IF(G639="No", "Invalid - Not Specific", IF(H639="No", "Invalid - Not Informed", IF(I639="No", "Invalid - Ambiguous", IF(J639="No", "Invalid - Not Documented", IF(AND(F639="Yes", G639="Yes", H639="Yes", I639="Yes", J639="Yes"), "Valid", "Requires Review"))))))</f>
        <v/>
      </c>
      <c r="L639" s="7" t="n"/>
      <c r="M639" s="7" t="n"/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IF(F640="No", "Invalid - Not Freely Given", IF(G640="No", "Invalid - Not Specific", IF(H640="No", "Invalid - Not Informed", IF(I640="No", "Invalid - Ambiguous", IF(J640="No", "Invalid - Not Documented", IF(AND(F640="Yes", G640="Yes", H640="Yes", I640="Yes", J640="Yes"), "Valid", "Requires Review"))))))</f>
        <v/>
      </c>
      <c r="L640" s="7" t="n"/>
      <c r="M640" s="7" t="n"/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IF(F641="No", "Invalid - Not Freely Given", IF(G641="No", "Invalid - Not Specific", IF(H641="No", "Invalid - Not Informed", IF(I641="No", "Invalid - Ambiguous", IF(J641="No", "Invalid - Not Documented", IF(AND(F641="Yes", G641="Yes", H641="Yes", I641="Yes", J641="Yes"), "Valid", "Requires Review"))))))</f>
        <v/>
      </c>
      <c r="L641" s="7" t="n"/>
      <c r="M641" s="7" t="n"/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IF(F642="No", "Invalid - Not Freely Given", IF(G642="No", "Invalid - Not Specific", IF(H642="No", "Invalid - Not Informed", IF(I642="No", "Invalid - Ambiguous", IF(J642="No", "Invalid - Not Documented", IF(AND(F642="Yes", G642="Yes", H642="Yes", I642="Yes", J642="Yes"), "Valid", "Requires Review"))))))</f>
        <v/>
      </c>
      <c r="L642" s="7" t="n"/>
      <c r="M642" s="7" t="n"/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IF(F643="No", "Invalid - Not Freely Given", IF(G643="No", "Invalid - Not Specific", IF(H643="No", "Invalid - Not Informed", IF(I643="No", "Invalid - Ambiguous", IF(J643="No", "Invalid - Not Documented", IF(AND(F643="Yes", G643="Yes", H643="Yes", I643="Yes", J643="Yes"), "Valid", "Requires Review"))))))</f>
        <v/>
      </c>
      <c r="L643" s="7" t="n"/>
      <c r="M643" s="7" t="n"/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IF(F644="No", "Invalid - Not Freely Given", IF(G644="No", "Invalid - Not Specific", IF(H644="No", "Invalid - Not Informed", IF(I644="No", "Invalid - Ambiguous", IF(J644="No", "Invalid - Not Documented", IF(AND(F644="Yes", G644="Yes", H644="Yes", I644="Yes", J644="Yes"), "Valid", "Requires Review"))))))</f>
        <v/>
      </c>
      <c r="L644" s="7" t="n"/>
      <c r="M644" s="7" t="n"/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IF(F645="No", "Invalid - Not Freely Given", IF(G645="No", "Invalid - Not Specific", IF(H645="No", "Invalid - Not Informed", IF(I645="No", "Invalid - Ambiguous", IF(J645="No", "Invalid - Not Documented", IF(AND(F645="Yes", G645="Yes", H645="Yes", I645="Yes", J645="Yes"), "Valid", "Requires Review"))))))</f>
        <v/>
      </c>
      <c r="L645" s="7" t="n"/>
      <c r="M645" s="7" t="n"/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IF(F646="No", "Invalid - Not Freely Given", IF(G646="No", "Invalid - Not Specific", IF(H646="No", "Invalid - Not Informed", IF(I646="No", "Invalid - Ambiguous", IF(J646="No", "Invalid - Not Documented", IF(AND(F646="Yes", G646="Yes", H646="Yes", I646="Yes", J646="Yes"), "Valid", "Requires Review"))))))</f>
        <v/>
      </c>
      <c r="L646" s="7" t="n"/>
      <c r="M646" s="7" t="n"/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IF(F647="No", "Invalid - Not Freely Given", IF(G647="No", "Invalid - Not Specific", IF(H647="No", "Invalid - Not Informed", IF(I647="No", "Invalid - Ambiguous", IF(J647="No", "Invalid - Not Documented", IF(AND(F647="Yes", G647="Yes", H647="Yes", I647="Yes", J647="Yes"), "Valid", "Requires Review"))))))</f>
        <v/>
      </c>
      <c r="L647" s="7" t="n"/>
      <c r="M647" s="7" t="n"/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IF(F648="No", "Invalid - Not Freely Given", IF(G648="No", "Invalid - Not Specific", IF(H648="No", "Invalid - Not Informed", IF(I648="No", "Invalid - Ambiguous", IF(J648="No", "Invalid - Not Documented", IF(AND(F648="Yes", G648="Yes", H648="Yes", I648="Yes", J648="Yes"), "Valid", "Requires Review"))))))</f>
        <v/>
      </c>
      <c r="L648" s="7" t="n"/>
      <c r="M648" s="7" t="n"/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IF(F649="No", "Invalid - Not Freely Given", IF(G649="No", "Invalid - Not Specific", IF(H649="No", "Invalid - Not Informed", IF(I649="No", "Invalid - Ambiguous", IF(J649="No", "Invalid - Not Documented", IF(AND(F649="Yes", G649="Yes", H649="Yes", I649="Yes", J649="Yes"), "Valid", "Requires Review"))))))</f>
        <v/>
      </c>
      <c r="L649" s="7" t="n"/>
      <c r="M649" s="7" t="n"/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IF(F650="No", "Invalid - Not Freely Given", IF(G650="No", "Invalid - Not Specific", IF(H650="No", "Invalid - Not Informed", IF(I650="No", "Invalid - Ambiguous", IF(J650="No", "Invalid - Not Documented", IF(AND(F650="Yes", G650="Yes", H650="Yes", I650="Yes", J650="Yes"), "Valid", "Requires Review"))))))</f>
        <v/>
      </c>
      <c r="L650" s="7" t="n"/>
      <c r="M650" s="7" t="n"/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IF(F651="No", "Invalid - Not Freely Given", IF(G651="No", "Invalid - Not Specific", IF(H651="No", "Invalid - Not Informed", IF(I651="No", "Invalid - Ambiguous", IF(J651="No", "Invalid - Not Documented", IF(AND(F651="Yes", G651="Yes", H651="Yes", I651="Yes", J651="Yes"), "Valid", "Requires Review"))))))</f>
        <v/>
      </c>
      <c r="L651" s="7" t="n"/>
      <c r="M651" s="7" t="n"/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IF(F652="No", "Invalid - Not Freely Given", IF(G652="No", "Invalid - Not Specific", IF(H652="No", "Invalid - Not Informed", IF(I652="No", "Invalid - Ambiguous", IF(J652="No", "Invalid - Not Documented", IF(AND(F652="Yes", G652="Yes", H652="Yes", I652="Yes", J652="Yes"), "Valid", "Requires Review"))))))</f>
        <v/>
      </c>
      <c r="L652" s="7" t="n"/>
      <c r="M652" s="7" t="n"/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IF(F653="No", "Invalid - Not Freely Given", IF(G653="No", "Invalid - Not Specific", IF(H653="No", "Invalid - Not Informed", IF(I653="No", "Invalid - Ambiguous", IF(J653="No", "Invalid - Not Documented", IF(AND(F653="Yes", G653="Yes", H653="Yes", I653="Yes", J653="Yes"), "Valid", "Requires Review"))))))</f>
        <v/>
      </c>
      <c r="L653" s="7" t="n"/>
      <c r="M653" s="7" t="n"/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IF(F654="No", "Invalid - Not Freely Given", IF(G654="No", "Invalid - Not Specific", IF(H654="No", "Invalid - Not Informed", IF(I654="No", "Invalid - Ambiguous", IF(J654="No", "Invalid - Not Documented", IF(AND(F654="Yes", G654="Yes", H654="Yes", I654="Yes", J654="Yes"), "Valid", "Requires Review"))))))</f>
        <v/>
      </c>
      <c r="L654" s="7" t="n"/>
      <c r="M654" s="7" t="n"/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IF(F655="No", "Invalid - Not Freely Given", IF(G655="No", "Invalid - Not Specific", IF(H655="No", "Invalid - Not Informed", IF(I655="No", "Invalid - Ambiguous", IF(J655="No", "Invalid - Not Documented", IF(AND(F655="Yes", G655="Yes", H655="Yes", I655="Yes", J655="Yes"), "Valid", "Requires Review"))))))</f>
        <v/>
      </c>
      <c r="L655" s="7" t="n"/>
      <c r="M655" s="7" t="n"/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IF(F656="No", "Invalid - Not Freely Given", IF(G656="No", "Invalid - Not Specific", IF(H656="No", "Invalid - Not Informed", IF(I656="No", "Invalid - Ambiguous", IF(J656="No", "Invalid - Not Documented", IF(AND(F656="Yes", G656="Yes", H656="Yes", I656="Yes", J656="Yes"), "Valid", "Requires Review"))))))</f>
        <v/>
      </c>
      <c r="L656" s="7" t="n"/>
      <c r="M656" s="7" t="n"/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IF(F657="No", "Invalid - Not Freely Given", IF(G657="No", "Invalid - Not Specific", IF(H657="No", "Invalid - Not Informed", IF(I657="No", "Invalid - Ambiguous", IF(J657="No", "Invalid - Not Documented", IF(AND(F657="Yes", G657="Yes", H657="Yes", I657="Yes", J657="Yes"), "Valid", "Requires Review"))))))</f>
        <v/>
      </c>
      <c r="L657" s="7" t="n"/>
      <c r="M657" s="7" t="n"/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IF(F658="No", "Invalid - Not Freely Given", IF(G658="No", "Invalid - Not Specific", IF(H658="No", "Invalid - Not Informed", IF(I658="No", "Invalid - Ambiguous", IF(J658="No", "Invalid - Not Documented", IF(AND(F658="Yes", G658="Yes", H658="Yes", I658="Yes", J658="Yes"), "Valid", "Requires Review"))))))</f>
        <v/>
      </c>
      <c r="L658" s="7" t="n"/>
      <c r="M658" s="7" t="n"/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IF(F659="No", "Invalid - Not Freely Given", IF(G659="No", "Invalid - Not Specific", IF(H659="No", "Invalid - Not Informed", IF(I659="No", "Invalid - Ambiguous", IF(J659="No", "Invalid - Not Documented", IF(AND(F659="Yes", G659="Yes", H659="Yes", I659="Yes", J659="Yes"), "Valid", "Requires Review"))))))</f>
        <v/>
      </c>
      <c r="L659" s="7" t="n"/>
      <c r="M659" s="7" t="n"/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IF(F660="No", "Invalid - Not Freely Given", IF(G660="No", "Invalid - Not Specific", IF(H660="No", "Invalid - Not Informed", IF(I660="No", "Invalid - Ambiguous", IF(J660="No", "Invalid - Not Documented", IF(AND(F660="Yes", G660="Yes", H660="Yes", I660="Yes", J660="Yes"), "Valid", "Requires Review"))))))</f>
        <v/>
      </c>
      <c r="L660" s="7" t="n"/>
      <c r="M660" s="7" t="n"/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IF(F661="No", "Invalid - Not Freely Given", IF(G661="No", "Invalid - Not Specific", IF(H661="No", "Invalid - Not Informed", IF(I661="No", "Invalid - Ambiguous", IF(J661="No", "Invalid - Not Documented", IF(AND(F661="Yes", G661="Yes", H661="Yes", I661="Yes", J661="Yes"), "Valid", "Requires Review"))))))</f>
        <v/>
      </c>
      <c r="L661" s="7" t="n"/>
      <c r="M661" s="7" t="n"/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IF(F662="No", "Invalid - Not Freely Given", IF(G662="No", "Invalid - Not Specific", IF(H662="No", "Invalid - Not Informed", IF(I662="No", "Invalid - Ambiguous", IF(J662="No", "Invalid - Not Documented", IF(AND(F662="Yes", G662="Yes", H662="Yes", I662="Yes", J662="Yes"), "Valid", "Requires Review"))))))</f>
        <v/>
      </c>
      <c r="L662" s="7" t="n"/>
      <c r="M662" s="7" t="n"/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IF(F663="No", "Invalid - Not Freely Given", IF(G663="No", "Invalid - Not Specific", IF(H663="No", "Invalid - Not Informed", IF(I663="No", "Invalid - Ambiguous", IF(J663="No", "Invalid - Not Documented", IF(AND(F663="Yes", G663="Yes", H663="Yes", I663="Yes", J663="Yes"), "Valid", "Requires Review"))))))</f>
        <v/>
      </c>
      <c r="L663" s="7" t="n"/>
      <c r="M663" s="7" t="n"/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IF(F664="No", "Invalid - Not Freely Given", IF(G664="No", "Invalid - Not Specific", IF(H664="No", "Invalid - Not Informed", IF(I664="No", "Invalid - Ambiguous", IF(J664="No", "Invalid - Not Documented", IF(AND(F664="Yes", G664="Yes", H664="Yes", I664="Yes", J664="Yes"), "Valid", "Requires Review"))))))</f>
        <v/>
      </c>
      <c r="L664" s="7" t="n"/>
      <c r="M664" s="7" t="n"/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IF(F665="No", "Invalid - Not Freely Given", IF(G665="No", "Invalid - Not Specific", IF(H665="No", "Invalid - Not Informed", IF(I665="No", "Invalid - Ambiguous", IF(J665="No", "Invalid - Not Documented", IF(AND(F665="Yes", G665="Yes", H665="Yes", I665="Yes", J665="Yes"), "Valid", "Requires Review"))))))</f>
        <v/>
      </c>
      <c r="L665" s="7" t="n"/>
      <c r="M665" s="7" t="n"/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IF(F666="No", "Invalid - Not Freely Given", IF(G666="No", "Invalid - Not Specific", IF(H666="No", "Invalid - Not Informed", IF(I666="No", "Invalid - Ambiguous", IF(J666="No", "Invalid - Not Documented", IF(AND(F666="Yes", G666="Yes", H666="Yes", I666="Yes", J666="Yes"), "Valid", "Requires Review"))))))</f>
        <v/>
      </c>
      <c r="L666" s="7" t="n"/>
      <c r="M666" s="7" t="n"/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IF(F667="No", "Invalid - Not Freely Given", IF(G667="No", "Invalid - Not Specific", IF(H667="No", "Invalid - Not Informed", IF(I667="No", "Invalid - Ambiguous", IF(J667="No", "Invalid - Not Documented", IF(AND(F667="Yes", G667="Yes", H667="Yes", I667="Yes", J667="Yes"), "Valid", "Requires Review"))))))</f>
        <v/>
      </c>
      <c r="L667" s="7" t="n"/>
      <c r="M667" s="7" t="n"/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IF(F668="No", "Invalid - Not Freely Given", IF(G668="No", "Invalid - Not Specific", IF(H668="No", "Invalid - Not Informed", IF(I668="No", "Invalid - Ambiguous", IF(J668="No", "Invalid - Not Documented", IF(AND(F668="Yes", G668="Yes", H668="Yes", I668="Yes", J668="Yes"), "Valid", "Requires Review"))))))</f>
        <v/>
      </c>
      <c r="L668" s="7" t="n"/>
      <c r="M668" s="7" t="n"/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IF(F669="No", "Invalid - Not Freely Given", IF(G669="No", "Invalid - Not Specific", IF(H669="No", "Invalid - Not Informed", IF(I669="No", "Invalid - Ambiguous", IF(J669="No", "Invalid - Not Documented", IF(AND(F669="Yes", G669="Yes", H669="Yes", I669="Yes", J669="Yes"), "Valid", "Requires Review"))))))</f>
        <v/>
      </c>
      <c r="L669" s="7" t="n"/>
      <c r="M669" s="7" t="n"/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IF(F670="No", "Invalid - Not Freely Given", IF(G670="No", "Invalid - Not Specific", IF(H670="No", "Invalid - Not Informed", IF(I670="No", "Invalid - Ambiguous", IF(J670="No", "Invalid - Not Documented", IF(AND(F670="Yes", G670="Yes", H670="Yes", I670="Yes", J670="Yes"), "Valid", "Requires Review"))))))</f>
        <v/>
      </c>
      <c r="L670" s="7" t="n"/>
      <c r="M670" s="7" t="n"/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IF(F671="No", "Invalid - Not Freely Given", IF(G671="No", "Invalid - Not Specific", IF(H671="No", "Invalid - Not Informed", IF(I671="No", "Invalid - Ambiguous", IF(J671="No", "Invalid - Not Documented", IF(AND(F671="Yes", G671="Yes", H671="Yes", I671="Yes", J671="Yes"), "Valid", "Requires Review"))))))</f>
        <v/>
      </c>
      <c r="L671" s="7" t="n"/>
      <c r="M671" s="7" t="n"/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IF(F672="No", "Invalid - Not Freely Given", IF(G672="No", "Invalid - Not Specific", IF(H672="No", "Invalid - Not Informed", IF(I672="No", "Invalid - Ambiguous", IF(J672="No", "Invalid - Not Documented", IF(AND(F672="Yes", G672="Yes", H672="Yes", I672="Yes", J672="Yes"), "Valid", "Requires Review"))))))</f>
        <v/>
      </c>
      <c r="L672" s="7" t="n"/>
      <c r="M672" s="7" t="n"/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IF(F673="No", "Invalid - Not Freely Given", IF(G673="No", "Invalid - Not Specific", IF(H673="No", "Invalid - Not Informed", IF(I673="No", "Invalid - Ambiguous", IF(J673="No", "Invalid - Not Documented", IF(AND(F673="Yes", G673="Yes", H673="Yes", I673="Yes", J673="Yes"), "Valid", "Requires Review"))))))</f>
        <v/>
      </c>
      <c r="L673" s="7" t="n"/>
      <c r="M673" s="7" t="n"/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IF(F674="No", "Invalid - Not Freely Given", IF(G674="No", "Invalid - Not Specific", IF(H674="No", "Invalid - Not Informed", IF(I674="No", "Invalid - Ambiguous", IF(J674="No", "Invalid - Not Documented", IF(AND(F674="Yes", G674="Yes", H674="Yes", I674="Yes", J674="Yes"), "Valid", "Requires Review"))))))</f>
        <v/>
      </c>
      <c r="L674" s="7" t="n"/>
      <c r="M674" s="7" t="n"/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IF(F675="No", "Invalid - Not Freely Given", IF(G675="No", "Invalid - Not Specific", IF(H675="No", "Invalid - Not Informed", IF(I675="No", "Invalid - Ambiguous", IF(J675="No", "Invalid - Not Documented", IF(AND(F675="Yes", G675="Yes", H675="Yes", I675="Yes", J675="Yes"), "Valid", "Requires Review"))))))</f>
        <v/>
      </c>
      <c r="L675" s="7" t="n"/>
      <c r="M675" s="7" t="n"/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IF(F676="No", "Invalid - Not Freely Given", IF(G676="No", "Invalid - Not Specific", IF(H676="No", "Invalid - Not Informed", IF(I676="No", "Invalid - Ambiguous", IF(J676="No", "Invalid - Not Documented", IF(AND(F676="Yes", G676="Yes", H676="Yes", I676="Yes", J676="Yes"), "Valid", "Requires Review"))))))</f>
        <v/>
      </c>
      <c r="L676" s="7" t="n"/>
      <c r="M676" s="7" t="n"/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IF(F677="No", "Invalid - Not Freely Given", IF(G677="No", "Invalid - Not Specific", IF(H677="No", "Invalid - Not Informed", IF(I677="No", "Invalid - Ambiguous", IF(J677="No", "Invalid - Not Documented", IF(AND(F677="Yes", G677="Yes", H677="Yes", I677="Yes", J677="Yes"), "Valid", "Requires Review"))))))</f>
        <v/>
      </c>
      <c r="L677" s="7" t="n"/>
      <c r="M677" s="7" t="n"/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IF(F678="No", "Invalid - Not Freely Given", IF(G678="No", "Invalid - Not Specific", IF(H678="No", "Invalid - Not Informed", IF(I678="No", "Invalid - Ambiguous", IF(J678="No", "Invalid - Not Documented", IF(AND(F678="Yes", G678="Yes", H678="Yes", I678="Yes", J678="Yes"), "Valid", "Requires Review"))))))</f>
        <v/>
      </c>
      <c r="L678" s="7" t="n"/>
      <c r="M678" s="7" t="n"/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IF(F679="No", "Invalid - Not Freely Given", IF(G679="No", "Invalid - Not Specific", IF(H679="No", "Invalid - Not Informed", IF(I679="No", "Invalid - Ambiguous", IF(J679="No", "Invalid - Not Documented", IF(AND(F679="Yes", G679="Yes", H679="Yes", I679="Yes", J679="Yes"), "Valid", "Requires Review"))))))</f>
        <v/>
      </c>
      <c r="L679" s="7" t="n"/>
      <c r="M679" s="7" t="n"/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IF(F680="No", "Invalid - Not Freely Given", IF(G680="No", "Invalid - Not Specific", IF(H680="No", "Invalid - Not Informed", IF(I680="No", "Invalid - Ambiguous", IF(J680="No", "Invalid - Not Documented", IF(AND(F680="Yes", G680="Yes", H680="Yes", I680="Yes", J680="Yes"), "Valid", "Requires Review"))))))</f>
        <v/>
      </c>
      <c r="L680" s="7" t="n"/>
      <c r="M680" s="7" t="n"/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IF(F681="No", "Invalid - Not Freely Given", IF(G681="No", "Invalid - Not Specific", IF(H681="No", "Invalid - Not Informed", IF(I681="No", "Invalid - Ambiguous", IF(J681="No", "Invalid - Not Documented", IF(AND(F681="Yes", G681="Yes", H681="Yes", I681="Yes", J681="Yes"), "Valid", "Requires Review"))))))</f>
        <v/>
      </c>
      <c r="L681" s="7" t="n"/>
      <c r="M681" s="7" t="n"/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IF(F682="No", "Invalid - Not Freely Given", IF(G682="No", "Invalid - Not Specific", IF(H682="No", "Invalid - Not Informed", IF(I682="No", "Invalid - Ambiguous", IF(J682="No", "Invalid - Not Documented", IF(AND(F682="Yes", G682="Yes", H682="Yes", I682="Yes", J682="Yes"), "Valid", "Requires Review"))))))</f>
        <v/>
      </c>
      <c r="L682" s="7" t="n"/>
      <c r="M682" s="7" t="n"/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IF(F683="No", "Invalid - Not Freely Given", IF(G683="No", "Invalid - Not Specific", IF(H683="No", "Invalid - Not Informed", IF(I683="No", "Invalid - Ambiguous", IF(J683="No", "Invalid - Not Documented", IF(AND(F683="Yes", G683="Yes", H683="Yes", I683="Yes", J683="Yes"), "Valid", "Requires Review"))))))</f>
        <v/>
      </c>
      <c r="L683" s="7" t="n"/>
      <c r="M683" s="7" t="n"/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IF(F684="No", "Invalid - Not Freely Given", IF(G684="No", "Invalid - Not Specific", IF(H684="No", "Invalid - Not Informed", IF(I684="No", "Invalid - Ambiguous", IF(J684="No", "Invalid - Not Documented", IF(AND(F684="Yes", G684="Yes", H684="Yes", I684="Yes", J684="Yes"), "Valid", "Requires Review"))))))</f>
        <v/>
      </c>
      <c r="L684" s="7" t="n"/>
      <c r="M684" s="7" t="n"/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IF(F685="No", "Invalid - Not Freely Given", IF(G685="No", "Invalid - Not Specific", IF(H685="No", "Invalid - Not Informed", IF(I685="No", "Invalid - Ambiguous", IF(J685="No", "Invalid - Not Documented", IF(AND(F685="Yes", G685="Yes", H685="Yes", I685="Yes", J685="Yes"), "Valid", "Requires Review"))))))</f>
        <v/>
      </c>
      <c r="L685" s="7" t="n"/>
      <c r="M685" s="7" t="n"/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IF(F686="No", "Invalid - Not Freely Given", IF(G686="No", "Invalid - Not Specific", IF(H686="No", "Invalid - Not Informed", IF(I686="No", "Invalid - Ambiguous", IF(J686="No", "Invalid - Not Documented", IF(AND(F686="Yes", G686="Yes", H686="Yes", I686="Yes", J686="Yes"), "Valid", "Requires Review"))))))</f>
        <v/>
      </c>
      <c r="L686" s="7" t="n"/>
      <c r="M686" s="7" t="n"/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IF(F687="No", "Invalid - Not Freely Given", IF(G687="No", "Invalid - Not Specific", IF(H687="No", "Invalid - Not Informed", IF(I687="No", "Invalid - Ambiguous", IF(J687="No", "Invalid - Not Documented", IF(AND(F687="Yes", G687="Yes", H687="Yes", I687="Yes", J687="Yes"), "Valid", "Requires Review"))))))</f>
        <v/>
      </c>
      <c r="L687" s="7" t="n"/>
      <c r="M687" s="7" t="n"/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IF(F688="No", "Invalid - Not Freely Given", IF(G688="No", "Invalid - Not Specific", IF(H688="No", "Invalid - Not Informed", IF(I688="No", "Invalid - Ambiguous", IF(J688="No", "Invalid - Not Documented", IF(AND(F688="Yes", G688="Yes", H688="Yes", I688="Yes", J688="Yes"), "Valid", "Requires Review"))))))</f>
        <v/>
      </c>
      <c r="L688" s="7" t="n"/>
      <c r="M688" s="7" t="n"/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IF(F689="No", "Invalid - Not Freely Given", IF(G689="No", "Invalid - Not Specific", IF(H689="No", "Invalid - Not Informed", IF(I689="No", "Invalid - Ambiguous", IF(J689="No", "Invalid - Not Documented", IF(AND(F689="Yes", G689="Yes", H689="Yes", I689="Yes", J689="Yes"), "Valid", "Requires Review"))))))</f>
        <v/>
      </c>
      <c r="L689" s="7" t="n"/>
      <c r="M689" s="7" t="n"/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IF(F690="No", "Invalid - Not Freely Given", IF(G690="No", "Invalid - Not Specific", IF(H690="No", "Invalid - Not Informed", IF(I690="No", "Invalid - Ambiguous", IF(J690="No", "Invalid - Not Documented", IF(AND(F690="Yes", G690="Yes", H690="Yes", I690="Yes", J690="Yes"), "Valid", "Requires Review"))))))</f>
        <v/>
      </c>
      <c r="L690" s="7" t="n"/>
      <c r="M690" s="7" t="n"/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IF(F691="No", "Invalid - Not Freely Given", IF(G691="No", "Invalid - Not Specific", IF(H691="No", "Invalid - Not Informed", IF(I691="No", "Invalid - Ambiguous", IF(J691="No", "Invalid - Not Documented", IF(AND(F691="Yes", G691="Yes", H691="Yes", I691="Yes", J691="Yes"), "Valid", "Requires Review"))))))</f>
        <v/>
      </c>
      <c r="L691" s="7" t="n"/>
      <c r="M691" s="7" t="n"/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IF(F692="No", "Invalid - Not Freely Given", IF(G692="No", "Invalid - Not Specific", IF(H692="No", "Invalid - Not Informed", IF(I692="No", "Invalid - Ambiguous", IF(J692="No", "Invalid - Not Documented", IF(AND(F692="Yes", G692="Yes", H692="Yes", I692="Yes", J692="Yes"), "Valid", "Requires Review"))))))</f>
        <v/>
      </c>
      <c r="L692" s="7" t="n"/>
      <c r="M692" s="7" t="n"/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IF(F693="No", "Invalid - Not Freely Given", IF(G693="No", "Invalid - Not Specific", IF(H693="No", "Invalid - Not Informed", IF(I693="No", "Invalid - Ambiguous", IF(J693="No", "Invalid - Not Documented", IF(AND(F693="Yes", G693="Yes", H693="Yes", I693="Yes", J693="Yes"), "Valid", "Requires Review"))))))</f>
        <v/>
      </c>
      <c r="L693" s="7" t="n"/>
      <c r="M693" s="7" t="n"/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IF(F694="No", "Invalid - Not Freely Given", IF(G694="No", "Invalid - Not Specific", IF(H694="No", "Invalid - Not Informed", IF(I694="No", "Invalid - Ambiguous", IF(J694="No", "Invalid - Not Documented", IF(AND(F694="Yes", G694="Yes", H694="Yes", I694="Yes", J694="Yes"), "Valid", "Requires Review"))))))</f>
        <v/>
      </c>
      <c r="L694" s="7" t="n"/>
      <c r="M694" s="7" t="n"/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IF(F695="No", "Invalid - Not Freely Given", IF(G695="No", "Invalid - Not Specific", IF(H695="No", "Invalid - Not Informed", IF(I695="No", "Invalid - Ambiguous", IF(J695="No", "Invalid - Not Documented", IF(AND(F695="Yes", G695="Yes", H695="Yes", I695="Yes", J695="Yes"), "Valid", "Requires Review"))))))</f>
        <v/>
      </c>
      <c r="L695" s="7" t="n"/>
      <c r="M695" s="7" t="n"/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IF(F696="No", "Invalid - Not Freely Given", IF(G696="No", "Invalid - Not Specific", IF(H696="No", "Invalid - Not Informed", IF(I696="No", "Invalid - Ambiguous", IF(J696="No", "Invalid - Not Documented", IF(AND(F696="Yes", G696="Yes", H696="Yes", I696="Yes", J696="Yes"), "Valid", "Requires Review"))))))</f>
        <v/>
      </c>
      <c r="L696" s="7" t="n"/>
      <c r="M696" s="7" t="n"/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IF(F697="No", "Invalid - Not Freely Given", IF(G697="No", "Invalid - Not Specific", IF(H697="No", "Invalid - Not Informed", IF(I697="No", "Invalid - Ambiguous", IF(J697="No", "Invalid - Not Documented", IF(AND(F697="Yes", G697="Yes", H697="Yes", I697="Yes", J697="Yes"), "Valid", "Requires Review"))))))</f>
        <v/>
      </c>
      <c r="L697" s="7" t="n"/>
      <c r="M697" s="7" t="n"/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IF(F698="No", "Invalid - Not Freely Given", IF(G698="No", "Invalid - Not Specific", IF(H698="No", "Invalid - Not Informed", IF(I698="No", "Invalid - Ambiguous", IF(J698="No", "Invalid - Not Documented", IF(AND(F698="Yes", G698="Yes", H698="Yes", I698="Yes", J698="Yes"), "Valid", "Requires Review"))))))</f>
        <v/>
      </c>
      <c r="L698" s="7" t="n"/>
      <c r="M698" s="7" t="n"/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IF(F699="No", "Invalid - Not Freely Given", IF(G699="No", "Invalid - Not Specific", IF(H699="No", "Invalid - Not Informed", IF(I699="No", "Invalid - Ambiguous", IF(J699="No", "Invalid - Not Documented", IF(AND(F699="Yes", G699="Yes", H699="Yes", I699="Yes", J699="Yes"), "Valid", "Requires Review"))))))</f>
        <v/>
      </c>
      <c r="L699" s="7" t="n"/>
      <c r="M699" s="7" t="n"/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IF(F700="No", "Invalid - Not Freely Given", IF(G700="No", "Invalid - Not Specific", IF(H700="No", "Invalid - Not Informed", IF(I700="No", "Invalid - Ambiguous", IF(J700="No", "Invalid - Not Documented", IF(AND(F700="Yes", G700="Yes", H700="Yes", I700="Yes", J700="Yes"), "Valid", "Requires Review"))))))</f>
        <v/>
      </c>
      <c r="L700" s="7" t="n"/>
      <c r="M700" s="7" t="n"/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IF(F701="No", "Invalid - Not Freely Given", IF(G701="No", "Invalid - Not Specific", IF(H701="No", "Invalid - Not Informed", IF(I701="No", "Invalid - Ambiguous", IF(J701="No", "Invalid - Not Documented", IF(AND(F701="Yes", G701="Yes", H701="Yes", I701="Yes", J701="Yes"), "Valid", "Requires Review"))))))</f>
        <v/>
      </c>
      <c r="L701" s="7" t="n"/>
      <c r="M701" s="7" t="n"/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IF(F702="No", "Invalid - Not Freely Given", IF(G702="No", "Invalid - Not Specific", IF(H702="No", "Invalid - Not Informed", IF(I702="No", "Invalid - Ambiguous", IF(J702="No", "Invalid - Not Documented", IF(AND(F702="Yes", G702="Yes", H702="Yes", I702="Yes", J702="Yes"), "Valid", "Requires Review"))))))</f>
        <v/>
      </c>
      <c r="L702" s="7" t="n"/>
      <c r="M702" s="7" t="n"/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IF(F703="No", "Invalid - Not Freely Given", IF(G703="No", "Invalid - Not Specific", IF(H703="No", "Invalid - Not Informed", IF(I703="No", "Invalid - Ambiguous", IF(J703="No", "Invalid - Not Documented", IF(AND(F703="Yes", G703="Yes", H703="Yes", I703="Yes", J703="Yes"), "Valid", "Requires Review"))))))</f>
        <v/>
      </c>
      <c r="L703" s="7" t="n"/>
      <c r="M703" s="7" t="n"/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IF(F704="No", "Invalid - Not Freely Given", IF(G704="No", "Invalid - Not Specific", IF(H704="No", "Invalid - Not Informed", IF(I704="No", "Invalid - Ambiguous", IF(J704="No", "Invalid - Not Documented", IF(AND(F704="Yes", G704="Yes", H704="Yes", I704="Yes", J704="Yes"), "Valid", "Requires Review"))))))</f>
        <v/>
      </c>
      <c r="L704" s="7" t="n"/>
      <c r="M704" s="7" t="n"/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IF(F705="No", "Invalid - Not Freely Given", IF(G705="No", "Invalid - Not Specific", IF(H705="No", "Invalid - Not Informed", IF(I705="No", "Invalid - Ambiguous", IF(J705="No", "Invalid - Not Documented", IF(AND(F705="Yes", G705="Yes", H705="Yes", I705="Yes", J705="Yes"), "Valid", "Requires Review"))))))</f>
        <v/>
      </c>
      <c r="L705" s="7" t="n"/>
      <c r="M705" s="7" t="n"/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IF(F706="No", "Invalid - Not Freely Given", IF(G706="No", "Invalid - Not Specific", IF(H706="No", "Invalid - Not Informed", IF(I706="No", "Invalid - Ambiguous", IF(J706="No", "Invalid - Not Documented", IF(AND(F706="Yes", G706="Yes", H706="Yes", I706="Yes", J706="Yes"), "Valid", "Requires Review"))))))</f>
        <v/>
      </c>
      <c r="L706" s="7" t="n"/>
      <c r="M706" s="7" t="n"/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IF(F707="No", "Invalid - Not Freely Given", IF(G707="No", "Invalid - Not Specific", IF(H707="No", "Invalid - Not Informed", IF(I707="No", "Invalid - Ambiguous", IF(J707="No", "Invalid - Not Documented", IF(AND(F707="Yes", G707="Yes", H707="Yes", I707="Yes", J707="Yes"), "Valid", "Requires Review"))))))</f>
        <v/>
      </c>
      <c r="L707" s="7" t="n"/>
      <c r="M707" s="7" t="n"/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IF(F708="No", "Invalid - Not Freely Given", IF(G708="No", "Invalid - Not Specific", IF(H708="No", "Invalid - Not Informed", IF(I708="No", "Invalid - Ambiguous", IF(J708="No", "Invalid - Not Documented", IF(AND(F708="Yes", G708="Yes", H708="Yes", I708="Yes", J708="Yes"), "Valid", "Requires Review"))))))</f>
        <v/>
      </c>
      <c r="L708" s="7" t="n"/>
      <c r="M708" s="7" t="n"/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IF(F709="No", "Invalid - Not Freely Given", IF(G709="No", "Invalid - Not Specific", IF(H709="No", "Invalid - Not Informed", IF(I709="No", "Invalid - Ambiguous", IF(J709="No", "Invalid - Not Documented", IF(AND(F709="Yes", G709="Yes", H709="Yes", I709="Yes", J709="Yes"), "Valid", "Requires Review"))))))</f>
        <v/>
      </c>
      <c r="L709" s="7" t="n"/>
      <c r="M709" s="7" t="n"/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IF(F710="No", "Invalid - Not Freely Given", IF(G710="No", "Invalid - Not Specific", IF(H710="No", "Invalid - Not Informed", IF(I710="No", "Invalid - Ambiguous", IF(J710="No", "Invalid - Not Documented", IF(AND(F710="Yes", G710="Yes", H710="Yes", I710="Yes", J710="Yes"), "Valid", "Requires Review"))))))</f>
        <v/>
      </c>
      <c r="L710" s="7" t="n"/>
      <c r="M710" s="7" t="n"/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IF(F711="No", "Invalid - Not Freely Given", IF(G711="No", "Invalid - Not Specific", IF(H711="No", "Invalid - Not Informed", IF(I711="No", "Invalid - Ambiguous", IF(J711="No", "Invalid - Not Documented", IF(AND(F711="Yes", G711="Yes", H711="Yes", I711="Yes", J711="Yes"), "Valid", "Requires Review"))))))</f>
        <v/>
      </c>
      <c r="L711" s="7" t="n"/>
      <c r="M711" s="7" t="n"/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IF(F712="No", "Invalid - Not Freely Given", IF(G712="No", "Invalid - Not Specific", IF(H712="No", "Invalid - Not Informed", IF(I712="No", "Invalid - Ambiguous", IF(J712="No", "Invalid - Not Documented", IF(AND(F712="Yes", G712="Yes", H712="Yes", I712="Yes", J712="Yes"), "Valid", "Requires Review"))))))</f>
        <v/>
      </c>
      <c r="L712" s="7" t="n"/>
      <c r="M712" s="7" t="n"/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IF(F713="No", "Invalid - Not Freely Given", IF(G713="No", "Invalid - Not Specific", IF(H713="No", "Invalid - Not Informed", IF(I713="No", "Invalid - Ambiguous", IF(J713="No", "Invalid - Not Documented", IF(AND(F713="Yes", G713="Yes", H713="Yes", I713="Yes", J713="Yes"), "Valid", "Requires Review"))))))</f>
        <v/>
      </c>
      <c r="L713" s="7" t="n"/>
      <c r="M713" s="7" t="n"/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IF(F714="No", "Invalid - Not Freely Given", IF(G714="No", "Invalid - Not Specific", IF(H714="No", "Invalid - Not Informed", IF(I714="No", "Invalid - Ambiguous", IF(J714="No", "Invalid - Not Documented", IF(AND(F714="Yes", G714="Yes", H714="Yes", I714="Yes", J714="Yes"), "Valid", "Requires Review"))))))</f>
        <v/>
      </c>
      <c r="L714" s="7" t="n"/>
      <c r="M714" s="7" t="n"/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IF(F715="No", "Invalid - Not Freely Given", IF(G715="No", "Invalid - Not Specific", IF(H715="No", "Invalid - Not Informed", IF(I715="No", "Invalid - Ambiguous", IF(J715="No", "Invalid - Not Documented", IF(AND(F715="Yes", G715="Yes", H715="Yes", I715="Yes", J715="Yes"), "Valid", "Requires Review"))))))</f>
        <v/>
      </c>
      <c r="L715" s="7" t="n"/>
      <c r="M715" s="7" t="n"/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IF(F716="No", "Invalid - Not Freely Given", IF(G716="No", "Invalid - Not Specific", IF(H716="No", "Invalid - Not Informed", IF(I716="No", "Invalid - Ambiguous", IF(J716="No", "Invalid - Not Documented", IF(AND(F716="Yes", G716="Yes", H716="Yes", I716="Yes", J716="Yes"), "Valid", "Requires Review"))))))</f>
        <v/>
      </c>
      <c r="L716" s="7" t="n"/>
      <c r="M716" s="7" t="n"/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IF(F717="No", "Invalid - Not Freely Given", IF(G717="No", "Invalid - Not Specific", IF(H717="No", "Invalid - Not Informed", IF(I717="No", "Invalid - Ambiguous", IF(J717="No", "Invalid - Not Documented", IF(AND(F717="Yes", G717="Yes", H717="Yes", I717="Yes", J717="Yes"), "Valid", "Requires Review"))))))</f>
        <v/>
      </c>
      <c r="L717" s="7" t="n"/>
      <c r="M717" s="7" t="n"/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IF(F718="No", "Invalid - Not Freely Given", IF(G718="No", "Invalid - Not Specific", IF(H718="No", "Invalid - Not Informed", IF(I718="No", "Invalid - Ambiguous", IF(J718="No", "Invalid - Not Documented", IF(AND(F718="Yes", G718="Yes", H718="Yes", I718="Yes", J718="Yes"), "Valid", "Requires Review"))))))</f>
        <v/>
      </c>
      <c r="L718" s="7" t="n"/>
      <c r="M718" s="7" t="n"/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IF(F719="No", "Invalid - Not Freely Given", IF(G719="No", "Invalid - Not Specific", IF(H719="No", "Invalid - Not Informed", IF(I719="No", "Invalid - Ambiguous", IF(J719="No", "Invalid - Not Documented", IF(AND(F719="Yes", G719="Yes", H719="Yes", I719="Yes", J719="Yes"), "Valid", "Requires Review"))))))</f>
        <v/>
      </c>
      <c r="L719" s="7" t="n"/>
      <c r="M719" s="7" t="n"/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IF(F720="No", "Invalid - Not Freely Given", IF(G720="No", "Invalid - Not Specific", IF(H720="No", "Invalid - Not Informed", IF(I720="No", "Invalid - Ambiguous", IF(J720="No", "Invalid - Not Documented", IF(AND(F720="Yes", G720="Yes", H720="Yes", I720="Yes", J720="Yes"), "Valid", "Requires Review"))))))</f>
        <v/>
      </c>
      <c r="L720" s="7" t="n"/>
      <c r="M720" s="7" t="n"/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IF(F721="No", "Invalid - Not Freely Given", IF(G721="No", "Invalid - Not Specific", IF(H721="No", "Invalid - Not Informed", IF(I721="No", "Invalid - Ambiguous", IF(J721="No", "Invalid - Not Documented", IF(AND(F721="Yes", G721="Yes", H721="Yes", I721="Yes", J721="Yes"), "Valid", "Requires Review"))))))</f>
        <v/>
      </c>
      <c r="L721" s="7" t="n"/>
      <c r="M721" s="7" t="n"/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IF(F722="No", "Invalid - Not Freely Given", IF(G722="No", "Invalid - Not Specific", IF(H722="No", "Invalid - Not Informed", IF(I722="No", "Invalid - Ambiguous", IF(J722="No", "Invalid - Not Documented", IF(AND(F722="Yes", G722="Yes", H722="Yes", I722="Yes", J722="Yes"), "Valid", "Requires Review"))))))</f>
        <v/>
      </c>
      <c r="L722" s="7" t="n"/>
      <c r="M722" s="7" t="n"/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IF(F723="No", "Invalid - Not Freely Given", IF(G723="No", "Invalid - Not Specific", IF(H723="No", "Invalid - Not Informed", IF(I723="No", "Invalid - Ambiguous", IF(J723="No", "Invalid - Not Documented", IF(AND(F723="Yes", G723="Yes", H723="Yes", I723="Yes", J723="Yes"), "Valid", "Requires Review"))))))</f>
        <v/>
      </c>
      <c r="L723" s="7" t="n"/>
      <c r="M723" s="7" t="n"/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IF(F724="No", "Invalid - Not Freely Given", IF(G724="No", "Invalid - Not Specific", IF(H724="No", "Invalid - Not Informed", IF(I724="No", "Invalid - Ambiguous", IF(J724="No", "Invalid - Not Documented", IF(AND(F724="Yes", G724="Yes", H724="Yes", I724="Yes", J724="Yes"), "Valid", "Requires Review"))))))</f>
        <v/>
      </c>
      <c r="L724" s="7" t="n"/>
      <c r="M724" s="7" t="n"/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IF(F725="No", "Invalid - Not Freely Given", IF(G725="No", "Invalid - Not Specific", IF(H725="No", "Invalid - Not Informed", IF(I725="No", "Invalid - Ambiguous", IF(J725="No", "Invalid - Not Documented", IF(AND(F725="Yes", G725="Yes", H725="Yes", I725="Yes", J725="Yes"), "Valid", "Requires Review"))))))</f>
        <v/>
      </c>
      <c r="L725" s="7" t="n"/>
      <c r="M725" s="7" t="n"/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IF(F726="No", "Invalid - Not Freely Given", IF(G726="No", "Invalid - Not Specific", IF(H726="No", "Invalid - Not Informed", IF(I726="No", "Invalid - Ambiguous", IF(J726="No", "Invalid - Not Documented", IF(AND(F726="Yes", G726="Yes", H726="Yes", I726="Yes", J726="Yes"), "Valid", "Requires Review"))))))</f>
        <v/>
      </c>
      <c r="L726" s="7" t="n"/>
      <c r="M726" s="7" t="n"/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IF(F727="No", "Invalid - Not Freely Given", IF(G727="No", "Invalid - Not Specific", IF(H727="No", "Invalid - Not Informed", IF(I727="No", "Invalid - Ambiguous", IF(J727="No", "Invalid - Not Documented", IF(AND(F727="Yes", G727="Yes", H727="Yes", I727="Yes", J727="Yes"), "Valid", "Requires Review"))))))</f>
        <v/>
      </c>
      <c r="L727" s="7" t="n"/>
      <c r="M727" s="7" t="n"/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IF(F728="No", "Invalid - Not Freely Given", IF(G728="No", "Invalid - Not Specific", IF(H728="No", "Invalid - Not Informed", IF(I728="No", "Invalid - Ambiguous", IF(J728="No", "Invalid - Not Documented", IF(AND(F728="Yes", G728="Yes", H728="Yes", I728="Yes", J728="Yes"), "Valid", "Requires Review"))))))</f>
        <v/>
      </c>
      <c r="L728" s="7" t="n"/>
      <c r="M728" s="7" t="n"/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IF(F729="No", "Invalid - Not Freely Given", IF(G729="No", "Invalid - Not Specific", IF(H729="No", "Invalid - Not Informed", IF(I729="No", "Invalid - Ambiguous", IF(J729="No", "Invalid - Not Documented", IF(AND(F729="Yes", G729="Yes", H729="Yes", I729="Yes", J729="Yes"), "Valid", "Requires Review"))))))</f>
        <v/>
      </c>
      <c r="L729" s="7" t="n"/>
      <c r="M729" s="7" t="n"/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IF(F730="No", "Invalid - Not Freely Given", IF(G730="No", "Invalid - Not Specific", IF(H730="No", "Invalid - Not Informed", IF(I730="No", "Invalid - Ambiguous", IF(J730="No", "Invalid - Not Documented", IF(AND(F730="Yes", G730="Yes", H730="Yes", I730="Yes", J730="Yes"), "Valid", "Requires Review"))))))</f>
        <v/>
      </c>
      <c r="L730" s="7" t="n"/>
      <c r="M730" s="7" t="n"/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IF(F731="No", "Invalid - Not Freely Given", IF(G731="No", "Invalid - Not Specific", IF(H731="No", "Invalid - Not Informed", IF(I731="No", "Invalid - Ambiguous", IF(J731="No", "Invalid - Not Documented", IF(AND(F731="Yes", G731="Yes", H731="Yes", I731="Yes", J731="Yes"), "Valid", "Requires Review"))))))</f>
        <v/>
      </c>
      <c r="L731" s="7" t="n"/>
      <c r="M731" s="7" t="n"/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IF(F732="No", "Invalid - Not Freely Given", IF(G732="No", "Invalid - Not Specific", IF(H732="No", "Invalid - Not Informed", IF(I732="No", "Invalid - Ambiguous", IF(J732="No", "Invalid - Not Documented", IF(AND(F732="Yes", G732="Yes", H732="Yes", I732="Yes", J732="Yes"), "Valid", "Requires Review"))))))</f>
        <v/>
      </c>
      <c r="L732" s="7" t="n"/>
      <c r="M732" s="7" t="n"/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IF(F733="No", "Invalid - Not Freely Given", IF(G733="No", "Invalid - Not Specific", IF(H733="No", "Invalid - Not Informed", IF(I733="No", "Invalid - Ambiguous", IF(J733="No", "Invalid - Not Documented", IF(AND(F733="Yes", G733="Yes", H733="Yes", I733="Yes", J733="Yes"), "Valid", "Requires Review"))))))</f>
        <v/>
      </c>
      <c r="L733" s="7" t="n"/>
      <c r="M733" s="7" t="n"/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IF(F734="No", "Invalid - Not Freely Given", IF(G734="No", "Invalid - Not Specific", IF(H734="No", "Invalid - Not Informed", IF(I734="No", "Invalid - Ambiguous", IF(J734="No", "Invalid - Not Documented", IF(AND(F734="Yes", G734="Yes", H734="Yes", I734="Yes", J734="Yes"), "Valid", "Requires Review"))))))</f>
        <v/>
      </c>
      <c r="L734" s="7" t="n"/>
      <c r="M734" s="7" t="n"/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IF(F735="No", "Invalid - Not Freely Given", IF(G735="No", "Invalid - Not Specific", IF(H735="No", "Invalid - Not Informed", IF(I735="No", "Invalid - Ambiguous", IF(J735="No", "Invalid - Not Documented", IF(AND(F735="Yes", G735="Yes", H735="Yes", I735="Yes", J735="Yes"), "Valid", "Requires Review"))))))</f>
        <v/>
      </c>
      <c r="L735" s="7" t="n"/>
      <c r="M735" s="7" t="n"/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IF(F736="No", "Invalid - Not Freely Given", IF(G736="No", "Invalid - Not Specific", IF(H736="No", "Invalid - Not Informed", IF(I736="No", "Invalid - Ambiguous", IF(J736="No", "Invalid - Not Documented", IF(AND(F736="Yes", G736="Yes", H736="Yes", I736="Yes", J736="Yes"), "Valid", "Requires Review"))))))</f>
        <v/>
      </c>
      <c r="L736" s="7" t="n"/>
      <c r="M736" s="7" t="n"/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IF(F737="No", "Invalid - Not Freely Given", IF(G737="No", "Invalid - Not Specific", IF(H737="No", "Invalid - Not Informed", IF(I737="No", "Invalid - Ambiguous", IF(J737="No", "Invalid - Not Documented", IF(AND(F737="Yes", G737="Yes", H737="Yes", I737="Yes", J737="Yes"), "Valid", "Requires Review"))))))</f>
        <v/>
      </c>
      <c r="L737" s="7" t="n"/>
      <c r="M737" s="7" t="n"/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IF(F738="No", "Invalid - Not Freely Given", IF(G738="No", "Invalid - Not Specific", IF(H738="No", "Invalid - Not Informed", IF(I738="No", "Invalid - Ambiguous", IF(J738="No", "Invalid - Not Documented", IF(AND(F738="Yes", G738="Yes", H738="Yes", I738="Yes", J738="Yes"), "Valid", "Requires Review"))))))</f>
        <v/>
      </c>
      <c r="L738" s="7" t="n"/>
      <c r="M738" s="7" t="n"/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IF(F739="No", "Invalid - Not Freely Given", IF(G739="No", "Invalid - Not Specific", IF(H739="No", "Invalid - Not Informed", IF(I739="No", "Invalid - Ambiguous", IF(J739="No", "Invalid - Not Documented", IF(AND(F739="Yes", G739="Yes", H739="Yes", I739="Yes", J739="Yes"), "Valid", "Requires Review"))))))</f>
        <v/>
      </c>
      <c r="L739" s="7" t="n"/>
      <c r="M739" s="7" t="n"/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IF(F740="No", "Invalid - Not Freely Given", IF(G740="No", "Invalid - Not Specific", IF(H740="No", "Invalid - Not Informed", IF(I740="No", "Invalid - Ambiguous", IF(J740="No", "Invalid - Not Documented", IF(AND(F740="Yes", G740="Yes", H740="Yes", I740="Yes", J740="Yes"), "Valid", "Requires Review"))))))</f>
        <v/>
      </c>
      <c r="L740" s="7" t="n"/>
      <c r="M740" s="7" t="n"/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IF(F741="No", "Invalid - Not Freely Given", IF(G741="No", "Invalid - Not Specific", IF(H741="No", "Invalid - Not Informed", IF(I741="No", "Invalid - Ambiguous", IF(J741="No", "Invalid - Not Documented", IF(AND(F741="Yes", G741="Yes", H741="Yes", I741="Yes", J741="Yes"), "Valid", "Requires Review"))))))</f>
        <v/>
      </c>
      <c r="L741" s="7" t="n"/>
      <c r="M741" s="7" t="n"/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IF(F742="No", "Invalid - Not Freely Given", IF(G742="No", "Invalid - Not Specific", IF(H742="No", "Invalid - Not Informed", IF(I742="No", "Invalid - Ambiguous", IF(J742="No", "Invalid - Not Documented", IF(AND(F742="Yes", G742="Yes", H742="Yes", I742="Yes", J742="Yes"), "Valid", "Requires Review"))))))</f>
        <v/>
      </c>
      <c r="L742" s="7" t="n"/>
      <c r="M742" s="7" t="n"/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IF(F743="No", "Invalid - Not Freely Given", IF(G743="No", "Invalid - Not Specific", IF(H743="No", "Invalid - Not Informed", IF(I743="No", "Invalid - Ambiguous", IF(J743="No", "Invalid - Not Documented", IF(AND(F743="Yes", G743="Yes", H743="Yes", I743="Yes", J743="Yes"), "Valid", "Requires Review"))))))</f>
        <v/>
      </c>
      <c r="L743" s="7" t="n"/>
      <c r="M743" s="7" t="n"/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IF(F744="No", "Invalid - Not Freely Given", IF(G744="No", "Invalid - Not Specific", IF(H744="No", "Invalid - Not Informed", IF(I744="No", "Invalid - Ambiguous", IF(J744="No", "Invalid - Not Documented", IF(AND(F744="Yes", G744="Yes", H744="Yes", I744="Yes", J744="Yes"), "Valid", "Requires Review"))))))</f>
        <v/>
      </c>
      <c r="L744" s="7" t="n"/>
      <c r="M744" s="7" t="n"/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IF(F745="No", "Invalid - Not Freely Given", IF(G745="No", "Invalid - Not Specific", IF(H745="No", "Invalid - Not Informed", IF(I745="No", "Invalid - Ambiguous", IF(J745="No", "Invalid - Not Documented", IF(AND(F745="Yes", G745="Yes", H745="Yes", I745="Yes", J745="Yes"), "Valid", "Requires Review"))))))</f>
        <v/>
      </c>
      <c r="L745" s="7" t="n"/>
      <c r="M745" s="7" t="n"/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IF(F746="No", "Invalid - Not Freely Given", IF(G746="No", "Invalid - Not Specific", IF(H746="No", "Invalid - Not Informed", IF(I746="No", "Invalid - Ambiguous", IF(J746="No", "Invalid - Not Documented", IF(AND(F746="Yes", G746="Yes", H746="Yes", I746="Yes", J746="Yes"), "Valid", "Requires Review"))))))</f>
        <v/>
      </c>
      <c r="L746" s="7" t="n"/>
      <c r="M746" s="7" t="n"/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IF(F747="No", "Invalid - Not Freely Given", IF(G747="No", "Invalid - Not Specific", IF(H747="No", "Invalid - Not Informed", IF(I747="No", "Invalid - Ambiguous", IF(J747="No", "Invalid - Not Documented", IF(AND(F747="Yes", G747="Yes", H747="Yes", I747="Yes", J747="Yes"), "Valid", "Requires Review"))))))</f>
        <v/>
      </c>
      <c r="L747" s="7" t="n"/>
      <c r="M747" s="7" t="n"/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IF(F748="No", "Invalid - Not Freely Given", IF(G748="No", "Invalid - Not Specific", IF(H748="No", "Invalid - Not Informed", IF(I748="No", "Invalid - Ambiguous", IF(J748="No", "Invalid - Not Documented", IF(AND(F748="Yes", G748="Yes", H748="Yes", I748="Yes", J748="Yes"), "Valid", "Requires Review"))))))</f>
        <v/>
      </c>
      <c r="L748" s="7" t="n"/>
      <c r="M748" s="7" t="n"/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IF(F749="No", "Invalid - Not Freely Given", IF(G749="No", "Invalid - Not Specific", IF(H749="No", "Invalid - Not Informed", IF(I749="No", "Invalid - Ambiguous", IF(J749="No", "Invalid - Not Documented", IF(AND(F749="Yes", G749="Yes", H749="Yes", I749="Yes", J749="Yes"), "Valid", "Requires Review"))))))</f>
        <v/>
      </c>
      <c r="L749" s="7" t="n"/>
      <c r="M749" s="7" t="n"/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IF(F750="No", "Invalid - Not Freely Given", IF(G750="No", "Invalid - Not Specific", IF(H750="No", "Invalid - Not Informed", IF(I750="No", "Invalid - Ambiguous", IF(J750="No", "Invalid - Not Documented", IF(AND(F750="Yes", G750="Yes", H750="Yes", I750="Yes", J750="Yes"), "Valid", "Requires Review"))))))</f>
        <v/>
      </c>
      <c r="L750" s="7" t="n"/>
      <c r="M750" s="7" t="n"/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IF(F751="No", "Invalid - Not Freely Given", IF(G751="No", "Invalid - Not Specific", IF(H751="No", "Invalid - Not Informed", IF(I751="No", "Invalid - Ambiguous", IF(J751="No", "Invalid - Not Documented", IF(AND(F751="Yes", G751="Yes", H751="Yes", I751="Yes", J751="Yes"), "Valid", "Requires Review"))))))</f>
        <v/>
      </c>
      <c r="L751" s="7" t="n"/>
      <c r="M751" s="7" t="n"/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IF(F752="No", "Invalid - Not Freely Given", IF(G752="No", "Invalid - Not Specific", IF(H752="No", "Invalid - Not Informed", IF(I752="No", "Invalid - Ambiguous", IF(J752="No", "Invalid - Not Documented", IF(AND(F752="Yes", G752="Yes", H752="Yes", I752="Yes", J752="Yes"), "Valid", "Requires Review"))))))</f>
        <v/>
      </c>
      <c r="L752" s="7" t="n"/>
      <c r="M752" s="7" t="n"/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IF(F753="No", "Invalid - Not Freely Given", IF(G753="No", "Invalid - Not Specific", IF(H753="No", "Invalid - Not Informed", IF(I753="No", "Invalid - Ambiguous", IF(J753="No", "Invalid - Not Documented", IF(AND(F753="Yes", G753="Yes", H753="Yes", I753="Yes", J753="Yes"), "Valid", "Requires Review"))))))</f>
        <v/>
      </c>
      <c r="L753" s="7" t="n"/>
      <c r="M753" s="7" t="n"/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IF(F754="No", "Invalid - Not Freely Given", IF(G754="No", "Invalid - Not Specific", IF(H754="No", "Invalid - Not Informed", IF(I754="No", "Invalid - Ambiguous", IF(J754="No", "Invalid - Not Documented", IF(AND(F754="Yes", G754="Yes", H754="Yes", I754="Yes", J754="Yes"), "Valid", "Requires Review"))))))</f>
        <v/>
      </c>
      <c r="L754" s="7" t="n"/>
      <c r="M754" s="7" t="n"/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IF(F755="No", "Invalid - Not Freely Given", IF(G755="No", "Invalid - Not Specific", IF(H755="No", "Invalid - Not Informed", IF(I755="No", "Invalid - Ambiguous", IF(J755="No", "Invalid - Not Documented", IF(AND(F755="Yes", G755="Yes", H755="Yes", I755="Yes", J755="Yes"), "Valid", "Requires Review"))))))</f>
        <v/>
      </c>
      <c r="L755" s="7" t="n"/>
      <c r="M755" s="7" t="n"/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IF(F756="No", "Invalid - Not Freely Given", IF(G756="No", "Invalid - Not Specific", IF(H756="No", "Invalid - Not Informed", IF(I756="No", "Invalid - Ambiguous", IF(J756="No", "Invalid - Not Documented", IF(AND(F756="Yes", G756="Yes", H756="Yes", I756="Yes", J756="Yes"), "Valid", "Requires Review"))))))</f>
        <v/>
      </c>
      <c r="L756" s="7" t="n"/>
      <c r="M756" s="7" t="n"/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IF(F757="No", "Invalid - Not Freely Given", IF(G757="No", "Invalid - Not Specific", IF(H757="No", "Invalid - Not Informed", IF(I757="No", "Invalid - Ambiguous", IF(J757="No", "Invalid - Not Documented", IF(AND(F757="Yes", G757="Yes", H757="Yes", I757="Yes", J757="Yes"), "Valid", "Requires Review"))))))</f>
        <v/>
      </c>
      <c r="L757" s="7" t="n"/>
      <c r="M757" s="7" t="n"/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IF(F758="No", "Invalid - Not Freely Given", IF(G758="No", "Invalid - Not Specific", IF(H758="No", "Invalid - Not Informed", IF(I758="No", "Invalid - Ambiguous", IF(J758="No", "Invalid - Not Documented", IF(AND(F758="Yes", G758="Yes", H758="Yes", I758="Yes", J758="Yes"), "Valid", "Requires Review"))))))</f>
        <v/>
      </c>
      <c r="L758" s="7" t="n"/>
      <c r="M758" s="7" t="n"/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IF(F759="No", "Invalid - Not Freely Given", IF(G759="No", "Invalid - Not Specific", IF(H759="No", "Invalid - Not Informed", IF(I759="No", "Invalid - Ambiguous", IF(J759="No", "Invalid - Not Documented", IF(AND(F759="Yes", G759="Yes", H759="Yes", I759="Yes", J759="Yes"), "Valid", "Requires Review"))))))</f>
        <v/>
      </c>
      <c r="L759" s="7" t="n"/>
      <c r="M759" s="7" t="n"/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IF(F760="No", "Invalid - Not Freely Given", IF(G760="No", "Invalid - Not Specific", IF(H760="No", "Invalid - Not Informed", IF(I760="No", "Invalid - Ambiguous", IF(J760="No", "Invalid - Not Documented", IF(AND(F760="Yes", G760="Yes", H760="Yes", I760="Yes", J760="Yes"), "Valid", "Requires Review"))))))</f>
        <v/>
      </c>
      <c r="L760" s="7" t="n"/>
      <c r="M760" s="7" t="n"/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IF(F761="No", "Invalid - Not Freely Given", IF(G761="No", "Invalid - Not Specific", IF(H761="No", "Invalid - Not Informed", IF(I761="No", "Invalid - Ambiguous", IF(J761="No", "Invalid - Not Documented", IF(AND(F761="Yes", G761="Yes", H761="Yes", I761="Yes", J761="Yes"), "Valid", "Requires Review"))))))</f>
        <v/>
      </c>
      <c r="L761" s="7" t="n"/>
      <c r="M761" s="7" t="n"/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IF(F762="No", "Invalid - Not Freely Given", IF(G762="No", "Invalid - Not Specific", IF(H762="No", "Invalid - Not Informed", IF(I762="No", "Invalid - Ambiguous", IF(J762="No", "Invalid - Not Documented", IF(AND(F762="Yes", G762="Yes", H762="Yes", I762="Yes", J762="Yes"), "Valid", "Requires Review"))))))</f>
        <v/>
      </c>
      <c r="L762" s="7" t="n"/>
      <c r="M762" s="7" t="n"/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IF(F763="No", "Invalid - Not Freely Given", IF(G763="No", "Invalid - Not Specific", IF(H763="No", "Invalid - Not Informed", IF(I763="No", "Invalid - Ambiguous", IF(J763="No", "Invalid - Not Documented", IF(AND(F763="Yes", G763="Yes", H763="Yes", I763="Yes", J763="Yes"), "Valid", "Requires Review"))))))</f>
        <v/>
      </c>
      <c r="L763" s="7" t="n"/>
      <c r="M763" s="7" t="n"/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IF(F764="No", "Invalid - Not Freely Given", IF(G764="No", "Invalid - Not Specific", IF(H764="No", "Invalid - Not Informed", IF(I764="No", "Invalid - Ambiguous", IF(J764="No", "Invalid - Not Documented", IF(AND(F764="Yes", G764="Yes", H764="Yes", I764="Yes", J764="Yes"), "Valid", "Requires Review"))))))</f>
        <v/>
      </c>
      <c r="L764" s="7" t="n"/>
      <c r="M764" s="7" t="n"/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IF(F765="No", "Invalid - Not Freely Given", IF(G765="No", "Invalid - Not Specific", IF(H765="No", "Invalid - Not Informed", IF(I765="No", "Invalid - Ambiguous", IF(J765="No", "Invalid - Not Documented", IF(AND(F765="Yes", G765="Yes", H765="Yes", I765="Yes", J765="Yes"), "Valid", "Requires Review"))))))</f>
        <v/>
      </c>
      <c r="L765" s="7" t="n"/>
      <c r="M765" s="7" t="n"/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IF(F766="No", "Invalid - Not Freely Given", IF(G766="No", "Invalid - Not Specific", IF(H766="No", "Invalid - Not Informed", IF(I766="No", "Invalid - Ambiguous", IF(J766="No", "Invalid - Not Documented", IF(AND(F766="Yes", G766="Yes", H766="Yes", I766="Yes", J766="Yes"), "Valid", "Requires Review"))))))</f>
        <v/>
      </c>
      <c r="L766" s="7" t="n"/>
      <c r="M766" s="7" t="n"/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IF(F767="No", "Invalid - Not Freely Given", IF(G767="No", "Invalid - Not Specific", IF(H767="No", "Invalid - Not Informed", IF(I767="No", "Invalid - Ambiguous", IF(J767="No", "Invalid - Not Documented", IF(AND(F767="Yes", G767="Yes", H767="Yes", I767="Yes", J767="Yes"), "Valid", "Requires Review"))))))</f>
        <v/>
      </c>
      <c r="L767" s="7" t="n"/>
      <c r="M767" s="7" t="n"/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IF(F768="No", "Invalid - Not Freely Given", IF(G768="No", "Invalid - Not Specific", IF(H768="No", "Invalid - Not Informed", IF(I768="No", "Invalid - Ambiguous", IF(J768="No", "Invalid - Not Documented", IF(AND(F768="Yes", G768="Yes", H768="Yes", I768="Yes", J768="Yes"), "Valid", "Requires Review"))))))</f>
        <v/>
      </c>
      <c r="L768" s="7" t="n"/>
      <c r="M768" s="7" t="n"/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IF(F769="No", "Invalid - Not Freely Given", IF(G769="No", "Invalid - Not Specific", IF(H769="No", "Invalid - Not Informed", IF(I769="No", "Invalid - Ambiguous", IF(J769="No", "Invalid - Not Documented", IF(AND(F769="Yes", G769="Yes", H769="Yes", I769="Yes", J769="Yes"), "Valid", "Requires Review"))))))</f>
        <v/>
      </c>
      <c r="L769" s="7" t="n"/>
      <c r="M769" s="7" t="n"/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IF(F770="No", "Invalid - Not Freely Given", IF(G770="No", "Invalid - Not Specific", IF(H770="No", "Invalid - Not Informed", IF(I770="No", "Invalid - Ambiguous", IF(J770="No", "Invalid - Not Documented", IF(AND(F770="Yes", G770="Yes", H770="Yes", I770="Yes", J770="Yes"), "Valid", "Requires Review"))))))</f>
        <v/>
      </c>
      <c r="L770" s="7" t="n"/>
      <c r="M770" s="7" t="n"/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IF(F771="No", "Invalid - Not Freely Given", IF(G771="No", "Invalid - Not Specific", IF(H771="No", "Invalid - Not Informed", IF(I771="No", "Invalid - Ambiguous", IF(J771="No", "Invalid - Not Documented", IF(AND(F771="Yes", G771="Yes", H771="Yes", I771="Yes", J771="Yes"), "Valid", "Requires Review"))))))</f>
        <v/>
      </c>
      <c r="L771" s="7" t="n"/>
      <c r="M771" s="7" t="n"/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IF(F772="No", "Invalid - Not Freely Given", IF(G772="No", "Invalid - Not Specific", IF(H772="No", "Invalid - Not Informed", IF(I772="No", "Invalid - Ambiguous", IF(J772="No", "Invalid - Not Documented", IF(AND(F772="Yes", G772="Yes", H772="Yes", I772="Yes", J772="Yes"), "Valid", "Requires Review"))))))</f>
        <v/>
      </c>
      <c r="L772" s="7" t="n"/>
      <c r="M772" s="7" t="n"/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IF(F773="No", "Invalid - Not Freely Given", IF(G773="No", "Invalid - Not Specific", IF(H773="No", "Invalid - Not Informed", IF(I773="No", "Invalid - Ambiguous", IF(J773="No", "Invalid - Not Documented", IF(AND(F773="Yes", G773="Yes", H773="Yes", I773="Yes", J773="Yes"), "Valid", "Requires Review"))))))</f>
        <v/>
      </c>
      <c r="L773" s="7" t="n"/>
      <c r="M773" s="7" t="n"/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IF(F774="No", "Invalid - Not Freely Given", IF(G774="No", "Invalid - Not Specific", IF(H774="No", "Invalid - Not Informed", IF(I774="No", "Invalid - Ambiguous", IF(J774="No", "Invalid - Not Documented", IF(AND(F774="Yes", G774="Yes", H774="Yes", I774="Yes", J774="Yes"), "Valid", "Requires Review"))))))</f>
        <v/>
      </c>
      <c r="L774" s="7" t="n"/>
      <c r="M774" s="7" t="n"/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IF(F775="No", "Invalid - Not Freely Given", IF(G775="No", "Invalid - Not Specific", IF(H775="No", "Invalid - Not Informed", IF(I775="No", "Invalid - Ambiguous", IF(J775="No", "Invalid - Not Documented", IF(AND(F775="Yes", G775="Yes", H775="Yes", I775="Yes", J775="Yes"), "Valid", "Requires Review"))))))</f>
        <v/>
      </c>
      <c r="L775" s="7" t="n"/>
      <c r="M775" s="7" t="n"/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IF(F776="No", "Invalid - Not Freely Given", IF(G776="No", "Invalid - Not Specific", IF(H776="No", "Invalid - Not Informed", IF(I776="No", "Invalid - Ambiguous", IF(J776="No", "Invalid - Not Documented", IF(AND(F776="Yes", G776="Yes", H776="Yes", I776="Yes", J776="Yes"), "Valid", "Requires Review"))))))</f>
        <v/>
      </c>
      <c r="L776" s="7" t="n"/>
      <c r="M776" s="7" t="n"/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IF(F777="No", "Invalid - Not Freely Given", IF(G777="No", "Invalid - Not Specific", IF(H777="No", "Invalid - Not Informed", IF(I777="No", "Invalid - Ambiguous", IF(J777="No", "Invalid - Not Documented", IF(AND(F777="Yes", G777="Yes", H777="Yes", I777="Yes", J777="Yes"), "Valid", "Requires Review"))))))</f>
        <v/>
      </c>
      <c r="L777" s="7" t="n"/>
      <c r="M777" s="7" t="n"/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IF(F778="No", "Invalid - Not Freely Given", IF(G778="No", "Invalid - Not Specific", IF(H778="No", "Invalid - Not Informed", IF(I778="No", "Invalid - Ambiguous", IF(J778="No", "Invalid - Not Documented", IF(AND(F778="Yes", G778="Yes", H778="Yes", I778="Yes", J778="Yes"), "Valid", "Requires Review"))))))</f>
        <v/>
      </c>
      <c r="L778" s="7" t="n"/>
      <c r="M778" s="7" t="n"/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IF(F779="No", "Invalid - Not Freely Given", IF(G779="No", "Invalid - Not Specific", IF(H779="No", "Invalid - Not Informed", IF(I779="No", "Invalid - Ambiguous", IF(J779="No", "Invalid - Not Documented", IF(AND(F779="Yes", G779="Yes", H779="Yes", I779="Yes", J779="Yes"), "Valid", "Requires Review"))))))</f>
        <v/>
      </c>
      <c r="L779" s="7" t="n"/>
      <c r="M779" s="7" t="n"/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IF(F780="No", "Invalid - Not Freely Given", IF(G780="No", "Invalid - Not Specific", IF(H780="No", "Invalid - Not Informed", IF(I780="No", "Invalid - Ambiguous", IF(J780="No", "Invalid - Not Documented", IF(AND(F780="Yes", G780="Yes", H780="Yes", I780="Yes", J780="Yes"), "Valid", "Requires Review"))))))</f>
        <v/>
      </c>
      <c r="L780" s="7" t="n"/>
      <c r="M780" s="7" t="n"/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IF(F781="No", "Invalid - Not Freely Given", IF(G781="No", "Invalid - Not Specific", IF(H781="No", "Invalid - Not Informed", IF(I781="No", "Invalid - Ambiguous", IF(J781="No", "Invalid - Not Documented", IF(AND(F781="Yes", G781="Yes", H781="Yes", I781="Yes", J781="Yes"), "Valid", "Requires Review"))))))</f>
        <v/>
      </c>
      <c r="L781" s="7" t="n"/>
      <c r="M781" s="7" t="n"/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IF(F782="No", "Invalid - Not Freely Given", IF(G782="No", "Invalid - Not Specific", IF(H782="No", "Invalid - Not Informed", IF(I782="No", "Invalid - Ambiguous", IF(J782="No", "Invalid - Not Documented", IF(AND(F782="Yes", G782="Yes", H782="Yes", I782="Yes", J782="Yes"), "Valid", "Requires Review"))))))</f>
        <v/>
      </c>
      <c r="L782" s="7" t="n"/>
      <c r="M782" s="7" t="n"/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IF(F783="No", "Invalid - Not Freely Given", IF(G783="No", "Invalid - Not Specific", IF(H783="No", "Invalid - Not Informed", IF(I783="No", "Invalid - Ambiguous", IF(J783="No", "Invalid - Not Documented", IF(AND(F783="Yes", G783="Yes", H783="Yes", I783="Yes", J783="Yes"), "Valid", "Requires Review"))))))</f>
        <v/>
      </c>
      <c r="L783" s="7" t="n"/>
      <c r="M783" s="7" t="n"/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IF(F784="No", "Invalid - Not Freely Given", IF(G784="No", "Invalid - Not Specific", IF(H784="No", "Invalid - Not Informed", IF(I784="No", "Invalid - Ambiguous", IF(J784="No", "Invalid - Not Documented", IF(AND(F784="Yes", G784="Yes", H784="Yes", I784="Yes", J784="Yes"), "Valid", "Requires Review"))))))</f>
        <v/>
      </c>
      <c r="L784" s="7" t="n"/>
      <c r="M784" s="7" t="n"/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IF(F785="No", "Invalid - Not Freely Given", IF(G785="No", "Invalid - Not Specific", IF(H785="No", "Invalid - Not Informed", IF(I785="No", "Invalid - Ambiguous", IF(J785="No", "Invalid - Not Documented", IF(AND(F785="Yes", G785="Yes", H785="Yes", I785="Yes", J785="Yes"), "Valid", "Requires Review"))))))</f>
        <v/>
      </c>
      <c r="L785" s="7" t="n"/>
      <c r="M785" s="7" t="n"/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IF(F786="No", "Invalid - Not Freely Given", IF(G786="No", "Invalid - Not Specific", IF(H786="No", "Invalid - Not Informed", IF(I786="No", "Invalid - Ambiguous", IF(J786="No", "Invalid - Not Documented", IF(AND(F786="Yes", G786="Yes", H786="Yes", I786="Yes", J786="Yes"), "Valid", "Requires Review"))))))</f>
        <v/>
      </c>
      <c r="L786" s="7" t="n"/>
      <c r="M786" s="7" t="n"/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IF(F787="No", "Invalid - Not Freely Given", IF(G787="No", "Invalid - Not Specific", IF(H787="No", "Invalid - Not Informed", IF(I787="No", "Invalid - Ambiguous", IF(J787="No", "Invalid - Not Documented", IF(AND(F787="Yes", G787="Yes", H787="Yes", I787="Yes", J787="Yes"), "Valid", "Requires Review"))))))</f>
        <v/>
      </c>
      <c r="L787" s="7" t="n"/>
      <c r="M787" s="7" t="n"/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IF(F788="No", "Invalid - Not Freely Given", IF(G788="No", "Invalid - Not Specific", IF(H788="No", "Invalid - Not Informed", IF(I788="No", "Invalid - Ambiguous", IF(J788="No", "Invalid - Not Documented", IF(AND(F788="Yes", G788="Yes", H788="Yes", I788="Yes", J788="Yes"), "Valid", "Requires Review"))))))</f>
        <v/>
      </c>
      <c r="L788" s="7" t="n"/>
      <c r="M788" s="7" t="n"/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IF(F789="No", "Invalid - Not Freely Given", IF(G789="No", "Invalid - Not Specific", IF(H789="No", "Invalid - Not Informed", IF(I789="No", "Invalid - Ambiguous", IF(J789="No", "Invalid - Not Documented", IF(AND(F789="Yes", G789="Yes", H789="Yes", I789="Yes", J789="Yes"), "Valid", "Requires Review"))))))</f>
        <v/>
      </c>
      <c r="L789" s="7" t="n"/>
      <c r="M789" s="7" t="n"/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IF(F790="No", "Invalid - Not Freely Given", IF(G790="No", "Invalid - Not Specific", IF(H790="No", "Invalid - Not Informed", IF(I790="No", "Invalid - Ambiguous", IF(J790="No", "Invalid - Not Documented", IF(AND(F790="Yes", G790="Yes", H790="Yes", I790="Yes", J790="Yes"), "Valid", "Requires Review"))))))</f>
        <v/>
      </c>
      <c r="L790" s="7" t="n"/>
      <c r="M790" s="7" t="n"/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IF(F791="No", "Invalid - Not Freely Given", IF(G791="No", "Invalid - Not Specific", IF(H791="No", "Invalid - Not Informed", IF(I791="No", "Invalid - Ambiguous", IF(J791="No", "Invalid - Not Documented", IF(AND(F791="Yes", G791="Yes", H791="Yes", I791="Yes", J791="Yes"), "Valid", "Requires Review"))))))</f>
        <v/>
      </c>
      <c r="L791" s="7" t="n"/>
      <c r="M791" s="7" t="n"/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IF(F792="No", "Invalid - Not Freely Given", IF(G792="No", "Invalid - Not Specific", IF(H792="No", "Invalid - Not Informed", IF(I792="No", "Invalid - Ambiguous", IF(J792="No", "Invalid - Not Documented", IF(AND(F792="Yes", G792="Yes", H792="Yes", I792="Yes", J792="Yes"), "Valid", "Requires Review"))))))</f>
        <v/>
      </c>
      <c r="L792" s="7" t="n"/>
      <c r="M792" s="7" t="n"/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IF(F793="No", "Invalid - Not Freely Given", IF(G793="No", "Invalid - Not Specific", IF(H793="No", "Invalid - Not Informed", IF(I793="No", "Invalid - Ambiguous", IF(J793="No", "Invalid - Not Documented", IF(AND(F793="Yes", G793="Yes", H793="Yes", I793="Yes", J793="Yes"), "Valid", "Requires Review"))))))</f>
        <v/>
      </c>
      <c r="L793" s="7" t="n"/>
      <c r="M793" s="7" t="n"/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IF(F794="No", "Invalid - Not Freely Given", IF(G794="No", "Invalid - Not Specific", IF(H794="No", "Invalid - Not Informed", IF(I794="No", "Invalid - Ambiguous", IF(J794="No", "Invalid - Not Documented", IF(AND(F794="Yes", G794="Yes", H794="Yes", I794="Yes", J794="Yes"), "Valid", "Requires Review"))))))</f>
        <v/>
      </c>
      <c r="L794" s="7" t="n"/>
      <c r="M794" s="7" t="n"/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IF(F795="No", "Invalid - Not Freely Given", IF(G795="No", "Invalid - Not Specific", IF(H795="No", "Invalid - Not Informed", IF(I795="No", "Invalid - Ambiguous", IF(J795="No", "Invalid - Not Documented", IF(AND(F795="Yes", G795="Yes", H795="Yes", I795="Yes", J795="Yes"), "Valid", "Requires Review"))))))</f>
        <v/>
      </c>
      <c r="L795" s="7" t="n"/>
      <c r="M795" s="7" t="n"/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IF(F796="No", "Invalid - Not Freely Given", IF(G796="No", "Invalid - Not Specific", IF(H796="No", "Invalid - Not Informed", IF(I796="No", "Invalid - Ambiguous", IF(J796="No", "Invalid - Not Documented", IF(AND(F796="Yes", G796="Yes", H796="Yes", I796="Yes", J796="Yes"), "Valid", "Requires Review"))))))</f>
        <v/>
      </c>
      <c r="L796" s="7" t="n"/>
      <c r="M796" s="7" t="n"/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IF(F797="No", "Invalid - Not Freely Given", IF(G797="No", "Invalid - Not Specific", IF(H797="No", "Invalid - Not Informed", IF(I797="No", "Invalid - Ambiguous", IF(J797="No", "Invalid - Not Documented", IF(AND(F797="Yes", G797="Yes", H797="Yes", I797="Yes", J797="Yes"), "Valid", "Requires Review"))))))</f>
        <v/>
      </c>
      <c r="L797" s="7" t="n"/>
      <c r="M797" s="7" t="n"/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IF(F798="No", "Invalid - Not Freely Given", IF(G798="No", "Invalid - Not Specific", IF(H798="No", "Invalid - Not Informed", IF(I798="No", "Invalid - Ambiguous", IF(J798="No", "Invalid - Not Documented", IF(AND(F798="Yes", G798="Yes", H798="Yes", I798="Yes", J798="Yes"), "Valid", "Requires Review"))))))</f>
        <v/>
      </c>
      <c r="L798" s="7" t="n"/>
      <c r="M798" s="7" t="n"/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IF(F799="No", "Invalid - Not Freely Given", IF(G799="No", "Invalid - Not Specific", IF(H799="No", "Invalid - Not Informed", IF(I799="No", "Invalid - Ambiguous", IF(J799="No", "Invalid - Not Documented", IF(AND(F799="Yes", G799="Yes", H799="Yes", I799="Yes", J799="Yes"), "Valid", "Requires Review"))))))</f>
        <v/>
      </c>
      <c r="L799" s="7" t="n"/>
      <c r="M799" s="7" t="n"/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IF(F800="No", "Invalid - Not Freely Given", IF(G800="No", "Invalid - Not Specific", IF(H800="No", "Invalid - Not Informed", IF(I800="No", "Invalid - Ambiguous", IF(J800="No", "Invalid - Not Documented", IF(AND(F800="Yes", G800="Yes", H800="Yes", I800="Yes", J800="Yes"), "Valid", "Requires Review"))))))</f>
        <v/>
      </c>
      <c r="L800" s="7" t="n"/>
      <c r="M800" s="7" t="n"/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IF(F801="No", "Invalid - Not Freely Given", IF(G801="No", "Invalid - Not Specific", IF(H801="No", "Invalid - Not Informed", IF(I801="No", "Invalid - Ambiguous", IF(J801="No", "Invalid - Not Documented", IF(AND(F801="Yes", G801="Yes", H801="Yes", I801="Yes", J801="Yes"), "Valid", "Requires Review"))))))</f>
        <v/>
      </c>
      <c r="L801" s="7" t="n"/>
      <c r="M801" s="7" t="n"/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IF(F802="No", "Invalid - Not Freely Given", IF(G802="No", "Invalid - Not Specific", IF(H802="No", "Invalid - Not Informed", IF(I802="No", "Invalid - Ambiguous", IF(J802="No", "Invalid - Not Documented", IF(AND(F802="Yes", G802="Yes", H802="Yes", I802="Yes", J802="Yes"), "Valid", "Requires Review"))))))</f>
        <v/>
      </c>
      <c r="L802" s="7" t="n"/>
      <c r="M802" s="7" t="n"/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IF(F803="No", "Invalid - Not Freely Given", IF(G803="No", "Invalid - Not Specific", IF(H803="No", "Invalid - Not Informed", IF(I803="No", "Invalid - Ambiguous", IF(J803="No", "Invalid - Not Documented", IF(AND(F803="Yes", G803="Yes", H803="Yes", I803="Yes", J803="Yes"), "Valid", "Requires Review"))))))</f>
        <v/>
      </c>
      <c r="L803" s="7" t="n"/>
      <c r="M803" s="7" t="n"/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IF(F804="No", "Invalid - Not Freely Given", IF(G804="No", "Invalid - Not Specific", IF(H804="No", "Invalid - Not Informed", IF(I804="No", "Invalid - Ambiguous", IF(J804="No", "Invalid - Not Documented", IF(AND(F804="Yes", G804="Yes", H804="Yes", I804="Yes", J804="Yes"), "Valid", "Requires Review"))))))</f>
        <v/>
      </c>
      <c r="L804" s="7" t="n"/>
      <c r="M804" s="7" t="n"/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IF(F805="No", "Invalid - Not Freely Given", IF(G805="No", "Invalid - Not Specific", IF(H805="No", "Invalid - Not Informed", IF(I805="No", "Invalid - Ambiguous", IF(J805="No", "Invalid - Not Documented", IF(AND(F805="Yes", G805="Yes", H805="Yes", I805="Yes", J805="Yes"), "Valid", "Requires Review"))))))</f>
        <v/>
      </c>
      <c r="L805" s="7" t="n"/>
      <c r="M805" s="7" t="n"/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IF(F806="No", "Invalid - Not Freely Given", IF(G806="No", "Invalid - Not Specific", IF(H806="No", "Invalid - Not Informed", IF(I806="No", "Invalid - Ambiguous", IF(J806="No", "Invalid - Not Documented", IF(AND(F806="Yes", G806="Yes", H806="Yes", I806="Yes", J806="Yes"), "Valid", "Requires Review"))))))</f>
        <v/>
      </c>
      <c r="L806" s="7" t="n"/>
      <c r="M806" s="7" t="n"/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IF(F807="No", "Invalid - Not Freely Given", IF(G807="No", "Invalid - Not Specific", IF(H807="No", "Invalid - Not Informed", IF(I807="No", "Invalid - Ambiguous", IF(J807="No", "Invalid - Not Documented", IF(AND(F807="Yes", G807="Yes", H807="Yes", I807="Yes", J807="Yes"), "Valid", "Requires Review"))))))</f>
        <v/>
      </c>
      <c r="L807" s="7" t="n"/>
      <c r="M807" s="7" t="n"/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IF(F808="No", "Invalid - Not Freely Given", IF(G808="No", "Invalid - Not Specific", IF(H808="No", "Invalid - Not Informed", IF(I808="No", "Invalid - Ambiguous", IF(J808="No", "Invalid - Not Documented", IF(AND(F808="Yes", G808="Yes", H808="Yes", I808="Yes", J808="Yes"), "Valid", "Requires Review"))))))</f>
        <v/>
      </c>
      <c r="L808" s="7" t="n"/>
      <c r="M808" s="7" t="n"/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IF(F809="No", "Invalid - Not Freely Given", IF(G809="No", "Invalid - Not Specific", IF(H809="No", "Invalid - Not Informed", IF(I809="No", "Invalid - Ambiguous", IF(J809="No", "Invalid - Not Documented", IF(AND(F809="Yes", G809="Yes", H809="Yes", I809="Yes", J809="Yes"), "Valid", "Requires Review"))))))</f>
        <v/>
      </c>
      <c r="L809" s="7" t="n"/>
      <c r="M809" s="7" t="n"/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IF(F810="No", "Invalid - Not Freely Given", IF(G810="No", "Invalid - Not Specific", IF(H810="No", "Invalid - Not Informed", IF(I810="No", "Invalid - Ambiguous", IF(J810="No", "Invalid - Not Documented", IF(AND(F810="Yes", G810="Yes", H810="Yes", I810="Yes", J810="Yes"), "Valid", "Requires Review"))))))</f>
        <v/>
      </c>
      <c r="L810" s="7" t="n"/>
      <c r="M810" s="7" t="n"/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IF(F811="No", "Invalid - Not Freely Given", IF(G811="No", "Invalid - Not Specific", IF(H811="No", "Invalid - Not Informed", IF(I811="No", "Invalid - Ambiguous", IF(J811="No", "Invalid - Not Documented", IF(AND(F811="Yes", G811="Yes", H811="Yes", I811="Yes", J811="Yes"), "Valid", "Requires Review"))))))</f>
        <v/>
      </c>
      <c r="L811" s="7" t="n"/>
      <c r="M811" s="7" t="n"/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IF(F812="No", "Invalid - Not Freely Given", IF(G812="No", "Invalid - Not Specific", IF(H812="No", "Invalid - Not Informed", IF(I812="No", "Invalid - Ambiguous", IF(J812="No", "Invalid - Not Documented", IF(AND(F812="Yes", G812="Yes", H812="Yes", I812="Yes", J812="Yes"), "Valid", "Requires Review"))))))</f>
        <v/>
      </c>
      <c r="L812" s="7" t="n"/>
      <c r="M812" s="7" t="n"/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IF(F813="No", "Invalid - Not Freely Given", IF(G813="No", "Invalid - Not Specific", IF(H813="No", "Invalid - Not Informed", IF(I813="No", "Invalid - Ambiguous", IF(J813="No", "Invalid - Not Documented", IF(AND(F813="Yes", G813="Yes", H813="Yes", I813="Yes", J813="Yes"), "Valid", "Requires Review"))))))</f>
        <v/>
      </c>
      <c r="L813" s="7" t="n"/>
      <c r="M813" s="7" t="n"/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IF(F814="No", "Invalid - Not Freely Given", IF(G814="No", "Invalid - Not Specific", IF(H814="No", "Invalid - Not Informed", IF(I814="No", "Invalid - Ambiguous", IF(J814="No", "Invalid - Not Documented", IF(AND(F814="Yes", G814="Yes", H814="Yes", I814="Yes", J814="Yes"), "Valid", "Requires Review"))))))</f>
        <v/>
      </c>
      <c r="L814" s="7" t="n"/>
      <c r="M814" s="7" t="n"/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IF(F815="No", "Invalid - Not Freely Given", IF(G815="No", "Invalid - Not Specific", IF(H815="No", "Invalid - Not Informed", IF(I815="No", "Invalid - Ambiguous", IF(J815="No", "Invalid - Not Documented", IF(AND(F815="Yes", G815="Yes", H815="Yes", I815="Yes", J815="Yes"), "Valid", "Requires Review"))))))</f>
        <v/>
      </c>
      <c r="L815" s="7" t="n"/>
      <c r="M815" s="7" t="n"/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IF(F816="No", "Invalid - Not Freely Given", IF(G816="No", "Invalid - Not Specific", IF(H816="No", "Invalid - Not Informed", IF(I816="No", "Invalid - Ambiguous", IF(J816="No", "Invalid - Not Documented", IF(AND(F816="Yes", G816="Yes", H816="Yes", I816="Yes", J816="Yes"), "Valid", "Requires Review"))))))</f>
        <v/>
      </c>
      <c r="L816" s="7" t="n"/>
      <c r="M816" s="7" t="n"/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IF(F817="No", "Invalid - Not Freely Given", IF(G817="No", "Invalid - Not Specific", IF(H817="No", "Invalid - Not Informed", IF(I817="No", "Invalid - Ambiguous", IF(J817="No", "Invalid - Not Documented", IF(AND(F817="Yes", G817="Yes", H817="Yes", I817="Yes", J817="Yes"), "Valid", "Requires Review"))))))</f>
        <v/>
      </c>
      <c r="L817" s="7" t="n"/>
      <c r="M817" s="7" t="n"/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IF(F818="No", "Invalid - Not Freely Given", IF(G818="No", "Invalid - Not Specific", IF(H818="No", "Invalid - Not Informed", IF(I818="No", "Invalid - Ambiguous", IF(J818="No", "Invalid - Not Documented", IF(AND(F818="Yes", G818="Yes", H818="Yes", I818="Yes", J818="Yes"), "Valid", "Requires Review"))))))</f>
        <v/>
      </c>
      <c r="L818" s="7" t="n"/>
      <c r="M818" s="7" t="n"/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IF(F819="No", "Invalid - Not Freely Given", IF(G819="No", "Invalid - Not Specific", IF(H819="No", "Invalid - Not Informed", IF(I819="No", "Invalid - Ambiguous", IF(J819="No", "Invalid - Not Documented", IF(AND(F819="Yes", G819="Yes", H819="Yes", I819="Yes", J819="Yes"), "Valid", "Requires Review"))))))</f>
        <v/>
      </c>
      <c r="L819" s="7" t="n"/>
      <c r="M819" s="7" t="n"/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IF(F820="No", "Invalid - Not Freely Given", IF(G820="No", "Invalid - Not Specific", IF(H820="No", "Invalid - Not Informed", IF(I820="No", "Invalid - Ambiguous", IF(J820="No", "Invalid - Not Documented", IF(AND(F820="Yes", G820="Yes", H820="Yes", I820="Yes", J820="Yes"), "Valid", "Requires Review"))))))</f>
        <v/>
      </c>
      <c r="L820" s="7" t="n"/>
      <c r="M820" s="7" t="n"/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IF(F821="No", "Invalid - Not Freely Given", IF(G821="No", "Invalid - Not Specific", IF(H821="No", "Invalid - Not Informed", IF(I821="No", "Invalid - Ambiguous", IF(J821="No", "Invalid - Not Documented", IF(AND(F821="Yes", G821="Yes", H821="Yes", I821="Yes", J821="Yes"), "Valid", "Requires Review"))))))</f>
        <v/>
      </c>
      <c r="L821" s="7" t="n"/>
      <c r="M821" s="7" t="n"/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IF(F822="No", "Invalid - Not Freely Given", IF(G822="No", "Invalid - Not Specific", IF(H822="No", "Invalid - Not Informed", IF(I822="No", "Invalid - Ambiguous", IF(J822="No", "Invalid - Not Documented", IF(AND(F822="Yes", G822="Yes", H822="Yes", I822="Yes", J822="Yes"), "Valid", "Requires Review"))))))</f>
        <v/>
      </c>
      <c r="L822" s="7" t="n"/>
      <c r="M822" s="7" t="n"/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IF(F823="No", "Invalid - Not Freely Given", IF(G823="No", "Invalid - Not Specific", IF(H823="No", "Invalid - Not Informed", IF(I823="No", "Invalid - Ambiguous", IF(J823="No", "Invalid - Not Documented", IF(AND(F823="Yes", G823="Yes", H823="Yes", I823="Yes", J823="Yes"), "Valid", "Requires Review"))))))</f>
        <v/>
      </c>
      <c r="L823" s="7" t="n"/>
      <c r="M823" s="7" t="n"/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IF(F824="No", "Invalid - Not Freely Given", IF(G824="No", "Invalid - Not Specific", IF(H824="No", "Invalid - Not Informed", IF(I824="No", "Invalid - Ambiguous", IF(J824="No", "Invalid - Not Documented", IF(AND(F824="Yes", G824="Yes", H824="Yes", I824="Yes", J824="Yes"), "Valid", "Requires Review"))))))</f>
        <v/>
      </c>
      <c r="L824" s="7" t="n"/>
      <c r="M824" s="7" t="n"/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IF(F825="No", "Invalid - Not Freely Given", IF(G825="No", "Invalid - Not Specific", IF(H825="No", "Invalid - Not Informed", IF(I825="No", "Invalid - Ambiguous", IF(J825="No", "Invalid - Not Documented", IF(AND(F825="Yes", G825="Yes", H825="Yes", I825="Yes", J825="Yes"), "Valid", "Requires Review"))))))</f>
        <v/>
      </c>
      <c r="L825" s="7" t="n"/>
      <c r="M825" s="7" t="n"/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IF(F826="No", "Invalid - Not Freely Given", IF(G826="No", "Invalid - Not Specific", IF(H826="No", "Invalid - Not Informed", IF(I826="No", "Invalid - Ambiguous", IF(J826="No", "Invalid - Not Documented", IF(AND(F826="Yes", G826="Yes", H826="Yes", I826="Yes", J826="Yes"), "Valid", "Requires Review"))))))</f>
        <v/>
      </c>
      <c r="L826" s="7" t="n"/>
      <c r="M826" s="7" t="n"/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IF(F827="No", "Invalid - Not Freely Given", IF(G827="No", "Invalid - Not Specific", IF(H827="No", "Invalid - Not Informed", IF(I827="No", "Invalid - Ambiguous", IF(J827="No", "Invalid - Not Documented", IF(AND(F827="Yes", G827="Yes", H827="Yes", I827="Yes", J827="Yes"), "Valid", "Requires Review"))))))</f>
        <v/>
      </c>
      <c r="L827" s="7" t="n"/>
      <c r="M827" s="7" t="n"/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IF(F828="No", "Invalid - Not Freely Given", IF(G828="No", "Invalid - Not Specific", IF(H828="No", "Invalid - Not Informed", IF(I828="No", "Invalid - Ambiguous", IF(J828="No", "Invalid - Not Documented", IF(AND(F828="Yes", G828="Yes", H828="Yes", I828="Yes", J828="Yes"), "Valid", "Requires Review"))))))</f>
        <v/>
      </c>
      <c r="L828" s="7" t="n"/>
      <c r="M828" s="7" t="n"/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IF(F829="No", "Invalid - Not Freely Given", IF(G829="No", "Invalid - Not Specific", IF(H829="No", "Invalid - Not Informed", IF(I829="No", "Invalid - Ambiguous", IF(J829="No", "Invalid - Not Documented", IF(AND(F829="Yes", G829="Yes", H829="Yes", I829="Yes", J829="Yes"), "Valid", "Requires Review"))))))</f>
        <v/>
      </c>
      <c r="L829" s="7" t="n"/>
      <c r="M829" s="7" t="n"/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IF(F830="No", "Invalid - Not Freely Given", IF(G830="No", "Invalid - Not Specific", IF(H830="No", "Invalid - Not Informed", IF(I830="No", "Invalid - Ambiguous", IF(J830="No", "Invalid - Not Documented", IF(AND(F830="Yes", G830="Yes", H830="Yes", I830="Yes", J830="Yes"), "Valid", "Requires Review"))))))</f>
        <v/>
      </c>
      <c r="L830" s="7" t="n"/>
      <c r="M830" s="7" t="n"/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IF(F831="No", "Invalid - Not Freely Given", IF(G831="No", "Invalid - Not Specific", IF(H831="No", "Invalid - Not Informed", IF(I831="No", "Invalid - Ambiguous", IF(J831="No", "Invalid - Not Documented", IF(AND(F831="Yes", G831="Yes", H831="Yes", I831="Yes", J831="Yes"), "Valid", "Requires Review"))))))</f>
        <v/>
      </c>
      <c r="L831" s="7" t="n"/>
      <c r="M831" s="7" t="n"/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IF(F832="No", "Invalid - Not Freely Given", IF(G832="No", "Invalid - Not Specific", IF(H832="No", "Invalid - Not Informed", IF(I832="No", "Invalid - Ambiguous", IF(J832="No", "Invalid - Not Documented", IF(AND(F832="Yes", G832="Yes", H832="Yes", I832="Yes", J832="Yes"), "Valid", "Requires Review"))))))</f>
        <v/>
      </c>
      <c r="L832" s="7" t="n"/>
      <c r="M832" s="7" t="n"/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IF(F833="No", "Invalid - Not Freely Given", IF(G833="No", "Invalid - Not Specific", IF(H833="No", "Invalid - Not Informed", IF(I833="No", "Invalid - Ambiguous", IF(J833="No", "Invalid - Not Documented", IF(AND(F833="Yes", G833="Yes", H833="Yes", I833="Yes", J833="Yes"), "Valid", "Requires Review"))))))</f>
        <v/>
      </c>
      <c r="L833" s="7" t="n"/>
      <c r="M833" s="7" t="n"/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IF(F834="No", "Invalid - Not Freely Given", IF(G834="No", "Invalid - Not Specific", IF(H834="No", "Invalid - Not Informed", IF(I834="No", "Invalid - Ambiguous", IF(J834="No", "Invalid - Not Documented", IF(AND(F834="Yes", G834="Yes", H834="Yes", I834="Yes", J834="Yes"), "Valid", "Requires Review"))))))</f>
        <v/>
      </c>
      <c r="L834" s="7" t="n"/>
      <c r="M834" s="7" t="n"/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IF(F835="No", "Invalid - Not Freely Given", IF(G835="No", "Invalid - Not Specific", IF(H835="No", "Invalid - Not Informed", IF(I835="No", "Invalid - Ambiguous", IF(J835="No", "Invalid - Not Documented", IF(AND(F835="Yes", G835="Yes", H835="Yes", I835="Yes", J835="Yes"), "Valid", "Requires Review"))))))</f>
        <v/>
      </c>
      <c r="L835" s="7" t="n"/>
      <c r="M835" s="7" t="n"/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IF(F836="No", "Invalid - Not Freely Given", IF(G836="No", "Invalid - Not Specific", IF(H836="No", "Invalid - Not Informed", IF(I836="No", "Invalid - Ambiguous", IF(J836="No", "Invalid - Not Documented", IF(AND(F836="Yes", G836="Yes", H836="Yes", I836="Yes", J836="Yes"), "Valid", "Requires Review"))))))</f>
        <v/>
      </c>
      <c r="L836" s="7" t="n"/>
      <c r="M836" s="7" t="n"/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IF(F837="No", "Invalid - Not Freely Given", IF(G837="No", "Invalid - Not Specific", IF(H837="No", "Invalid - Not Informed", IF(I837="No", "Invalid - Ambiguous", IF(J837="No", "Invalid - Not Documented", IF(AND(F837="Yes", G837="Yes", H837="Yes", I837="Yes", J837="Yes"), "Valid", "Requires Review"))))))</f>
        <v/>
      </c>
      <c r="L837" s="7" t="n"/>
      <c r="M837" s="7" t="n"/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IF(F838="No", "Invalid - Not Freely Given", IF(G838="No", "Invalid - Not Specific", IF(H838="No", "Invalid - Not Informed", IF(I838="No", "Invalid - Ambiguous", IF(J838="No", "Invalid - Not Documented", IF(AND(F838="Yes", G838="Yes", H838="Yes", I838="Yes", J838="Yes"), "Valid", "Requires Review"))))))</f>
        <v/>
      </c>
      <c r="L838" s="7" t="n"/>
      <c r="M838" s="7" t="n"/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IF(F839="No", "Invalid - Not Freely Given", IF(G839="No", "Invalid - Not Specific", IF(H839="No", "Invalid - Not Informed", IF(I839="No", "Invalid - Ambiguous", IF(J839="No", "Invalid - Not Documented", IF(AND(F839="Yes", G839="Yes", H839="Yes", I839="Yes", J839="Yes"), "Valid", "Requires Review"))))))</f>
        <v/>
      </c>
      <c r="L839" s="7" t="n"/>
      <c r="M839" s="7" t="n"/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IF(F840="No", "Invalid - Not Freely Given", IF(G840="No", "Invalid - Not Specific", IF(H840="No", "Invalid - Not Informed", IF(I840="No", "Invalid - Ambiguous", IF(J840="No", "Invalid - Not Documented", IF(AND(F840="Yes", G840="Yes", H840="Yes", I840="Yes", J840="Yes"), "Valid", "Requires Review"))))))</f>
        <v/>
      </c>
      <c r="L840" s="7" t="n"/>
      <c r="M840" s="7" t="n"/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IF(F841="No", "Invalid - Not Freely Given", IF(G841="No", "Invalid - Not Specific", IF(H841="No", "Invalid - Not Informed", IF(I841="No", "Invalid - Ambiguous", IF(J841="No", "Invalid - Not Documented", IF(AND(F841="Yes", G841="Yes", H841="Yes", I841="Yes", J841="Yes"), "Valid", "Requires Review"))))))</f>
        <v/>
      </c>
      <c r="L841" s="7" t="n"/>
      <c r="M841" s="7" t="n"/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IF(F842="No", "Invalid - Not Freely Given", IF(G842="No", "Invalid - Not Specific", IF(H842="No", "Invalid - Not Informed", IF(I842="No", "Invalid - Ambiguous", IF(J842="No", "Invalid - Not Documented", IF(AND(F842="Yes", G842="Yes", H842="Yes", I842="Yes", J842="Yes"), "Valid", "Requires Review"))))))</f>
        <v/>
      </c>
      <c r="L842" s="7" t="n"/>
      <c r="M842" s="7" t="n"/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IF(F843="No", "Invalid - Not Freely Given", IF(G843="No", "Invalid - Not Specific", IF(H843="No", "Invalid - Not Informed", IF(I843="No", "Invalid - Ambiguous", IF(J843="No", "Invalid - Not Documented", IF(AND(F843="Yes", G843="Yes", H843="Yes", I843="Yes", J843="Yes"), "Valid", "Requires Review"))))))</f>
        <v/>
      </c>
      <c r="L843" s="7" t="n"/>
      <c r="M843" s="7" t="n"/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IF(F844="No", "Invalid - Not Freely Given", IF(G844="No", "Invalid - Not Specific", IF(H844="No", "Invalid - Not Informed", IF(I844="No", "Invalid - Ambiguous", IF(J844="No", "Invalid - Not Documented", IF(AND(F844="Yes", G844="Yes", H844="Yes", I844="Yes", J844="Yes"), "Valid", "Requires Review"))))))</f>
        <v/>
      </c>
      <c r="L844" s="7" t="n"/>
      <c r="M844" s="7" t="n"/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IF(F845="No", "Invalid - Not Freely Given", IF(G845="No", "Invalid - Not Specific", IF(H845="No", "Invalid - Not Informed", IF(I845="No", "Invalid - Ambiguous", IF(J845="No", "Invalid - Not Documented", IF(AND(F845="Yes", G845="Yes", H845="Yes", I845="Yes", J845="Yes"), "Valid", "Requires Review"))))))</f>
        <v/>
      </c>
      <c r="L845" s="7" t="n"/>
      <c r="M845" s="7" t="n"/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IF(F846="No", "Invalid - Not Freely Given", IF(G846="No", "Invalid - Not Specific", IF(H846="No", "Invalid - Not Informed", IF(I846="No", "Invalid - Ambiguous", IF(J846="No", "Invalid - Not Documented", IF(AND(F846="Yes", G846="Yes", H846="Yes", I846="Yes", J846="Yes"), "Valid", "Requires Review"))))))</f>
        <v/>
      </c>
      <c r="L846" s="7" t="n"/>
      <c r="M846" s="7" t="n"/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IF(F847="No", "Invalid - Not Freely Given", IF(G847="No", "Invalid - Not Specific", IF(H847="No", "Invalid - Not Informed", IF(I847="No", "Invalid - Ambiguous", IF(J847="No", "Invalid - Not Documented", IF(AND(F847="Yes", G847="Yes", H847="Yes", I847="Yes", J847="Yes"), "Valid", "Requires Review"))))))</f>
        <v/>
      </c>
      <c r="L847" s="7" t="n"/>
      <c r="M847" s="7" t="n"/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IF(F848="No", "Invalid - Not Freely Given", IF(G848="No", "Invalid - Not Specific", IF(H848="No", "Invalid - Not Informed", IF(I848="No", "Invalid - Ambiguous", IF(J848="No", "Invalid - Not Documented", IF(AND(F848="Yes", G848="Yes", H848="Yes", I848="Yes", J848="Yes"), "Valid", "Requires Review"))))))</f>
        <v/>
      </c>
      <c r="L848" s="7" t="n"/>
      <c r="M848" s="7" t="n"/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IF(F849="No", "Invalid - Not Freely Given", IF(G849="No", "Invalid - Not Specific", IF(H849="No", "Invalid - Not Informed", IF(I849="No", "Invalid - Ambiguous", IF(J849="No", "Invalid - Not Documented", IF(AND(F849="Yes", G849="Yes", H849="Yes", I849="Yes", J849="Yes"), "Valid", "Requires Review"))))))</f>
        <v/>
      </c>
      <c r="L849" s="7" t="n"/>
      <c r="M849" s="7" t="n"/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IF(F850="No", "Invalid - Not Freely Given", IF(G850="No", "Invalid - Not Specific", IF(H850="No", "Invalid - Not Informed", IF(I850="No", "Invalid - Ambiguous", IF(J850="No", "Invalid - Not Documented", IF(AND(F850="Yes", G850="Yes", H850="Yes", I850="Yes", J850="Yes"), "Valid", "Requires Review"))))))</f>
        <v/>
      </c>
      <c r="L850" s="7" t="n"/>
      <c r="M850" s="7" t="n"/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IF(F851="No", "Invalid - Not Freely Given", IF(G851="No", "Invalid - Not Specific", IF(H851="No", "Invalid - Not Informed", IF(I851="No", "Invalid - Ambiguous", IF(J851="No", "Invalid - Not Documented", IF(AND(F851="Yes", G851="Yes", H851="Yes", I851="Yes", J851="Yes"), "Valid", "Requires Review"))))))</f>
        <v/>
      </c>
      <c r="L851" s="7" t="n"/>
      <c r="M851" s="7" t="n"/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IF(F852="No", "Invalid - Not Freely Given", IF(G852="No", "Invalid - Not Specific", IF(H852="No", "Invalid - Not Informed", IF(I852="No", "Invalid - Ambiguous", IF(J852="No", "Invalid - Not Documented", IF(AND(F852="Yes", G852="Yes", H852="Yes", I852="Yes", J852="Yes"), "Valid", "Requires Review"))))))</f>
        <v/>
      </c>
      <c r="L852" s="7" t="n"/>
      <c r="M852" s="7" t="n"/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IF(F853="No", "Invalid - Not Freely Given", IF(G853="No", "Invalid - Not Specific", IF(H853="No", "Invalid - Not Informed", IF(I853="No", "Invalid - Ambiguous", IF(J853="No", "Invalid - Not Documented", IF(AND(F853="Yes", G853="Yes", H853="Yes", I853="Yes", J853="Yes"), "Valid", "Requires Review"))))))</f>
        <v/>
      </c>
      <c r="L853" s="7" t="n"/>
      <c r="M853" s="7" t="n"/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IF(F854="No", "Invalid - Not Freely Given", IF(G854="No", "Invalid - Not Specific", IF(H854="No", "Invalid - Not Informed", IF(I854="No", "Invalid - Ambiguous", IF(J854="No", "Invalid - Not Documented", IF(AND(F854="Yes", G854="Yes", H854="Yes", I854="Yes", J854="Yes"), "Valid", "Requires Review"))))))</f>
        <v/>
      </c>
      <c r="L854" s="7" t="n"/>
      <c r="M854" s="7" t="n"/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IF(F855="No", "Invalid - Not Freely Given", IF(G855="No", "Invalid - Not Specific", IF(H855="No", "Invalid - Not Informed", IF(I855="No", "Invalid - Ambiguous", IF(J855="No", "Invalid - Not Documented", IF(AND(F855="Yes", G855="Yes", H855="Yes", I855="Yes", J855="Yes"), "Valid", "Requires Review"))))))</f>
        <v/>
      </c>
      <c r="L855" s="7" t="n"/>
      <c r="M855" s="7" t="n"/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IF(F856="No", "Invalid - Not Freely Given", IF(G856="No", "Invalid - Not Specific", IF(H856="No", "Invalid - Not Informed", IF(I856="No", "Invalid - Ambiguous", IF(J856="No", "Invalid - Not Documented", IF(AND(F856="Yes", G856="Yes", H856="Yes", I856="Yes", J856="Yes"), "Valid", "Requires Review"))))))</f>
        <v/>
      </c>
      <c r="L856" s="7" t="n"/>
      <c r="M856" s="7" t="n"/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IF(F857="No", "Invalid - Not Freely Given", IF(G857="No", "Invalid - Not Specific", IF(H857="No", "Invalid - Not Informed", IF(I857="No", "Invalid - Ambiguous", IF(J857="No", "Invalid - Not Documented", IF(AND(F857="Yes", G857="Yes", H857="Yes", I857="Yes", J857="Yes"), "Valid", "Requires Review"))))))</f>
        <v/>
      </c>
      <c r="L857" s="7" t="n"/>
      <c r="M857" s="7" t="n"/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IF(F858="No", "Invalid - Not Freely Given", IF(G858="No", "Invalid - Not Specific", IF(H858="No", "Invalid - Not Informed", IF(I858="No", "Invalid - Ambiguous", IF(J858="No", "Invalid - Not Documented", IF(AND(F858="Yes", G858="Yes", H858="Yes", I858="Yes", J858="Yes"), "Valid", "Requires Review"))))))</f>
        <v/>
      </c>
      <c r="L858" s="7" t="n"/>
      <c r="M858" s="7" t="n"/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IF(F859="No", "Invalid - Not Freely Given", IF(G859="No", "Invalid - Not Specific", IF(H859="No", "Invalid - Not Informed", IF(I859="No", "Invalid - Ambiguous", IF(J859="No", "Invalid - Not Documented", IF(AND(F859="Yes", G859="Yes", H859="Yes", I859="Yes", J859="Yes"), "Valid", "Requires Review"))))))</f>
        <v/>
      </c>
      <c r="L859" s="7" t="n"/>
      <c r="M859" s="7" t="n"/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IF(F860="No", "Invalid - Not Freely Given", IF(G860="No", "Invalid - Not Specific", IF(H860="No", "Invalid - Not Informed", IF(I860="No", "Invalid - Ambiguous", IF(J860="No", "Invalid - Not Documented", IF(AND(F860="Yes", G860="Yes", H860="Yes", I860="Yes", J860="Yes"), "Valid", "Requires Review"))))))</f>
        <v/>
      </c>
      <c r="L860" s="7" t="n"/>
      <c r="M860" s="7" t="n"/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IF(F861="No", "Invalid - Not Freely Given", IF(G861="No", "Invalid - Not Specific", IF(H861="No", "Invalid - Not Informed", IF(I861="No", "Invalid - Ambiguous", IF(J861="No", "Invalid - Not Documented", IF(AND(F861="Yes", G861="Yes", H861="Yes", I861="Yes", J861="Yes"), "Valid", "Requires Review"))))))</f>
        <v/>
      </c>
      <c r="L861" s="7" t="n"/>
      <c r="M861" s="7" t="n"/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IF(F862="No", "Invalid - Not Freely Given", IF(G862="No", "Invalid - Not Specific", IF(H862="No", "Invalid - Not Informed", IF(I862="No", "Invalid - Ambiguous", IF(J862="No", "Invalid - Not Documented", IF(AND(F862="Yes", G862="Yes", H862="Yes", I862="Yes", J862="Yes"), "Valid", "Requires Review"))))))</f>
        <v/>
      </c>
      <c r="L862" s="7" t="n"/>
      <c r="M862" s="7" t="n"/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IF(F863="No", "Invalid - Not Freely Given", IF(G863="No", "Invalid - Not Specific", IF(H863="No", "Invalid - Not Informed", IF(I863="No", "Invalid - Ambiguous", IF(J863="No", "Invalid - Not Documented", IF(AND(F863="Yes", G863="Yes", H863="Yes", I863="Yes", J863="Yes"), "Valid", "Requires Review"))))))</f>
        <v/>
      </c>
      <c r="L863" s="7" t="n"/>
      <c r="M863" s="7" t="n"/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IF(F864="No", "Invalid - Not Freely Given", IF(G864="No", "Invalid - Not Specific", IF(H864="No", "Invalid - Not Informed", IF(I864="No", "Invalid - Ambiguous", IF(J864="No", "Invalid - Not Documented", IF(AND(F864="Yes", G864="Yes", H864="Yes", I864="Yes", J864="Yes"), "Valid", "Requires Review"))))))</f>
        <v/>
      </c>
      <c r="L864" s="7" t="n"/>
      <c r="M864" s="7" t="n"/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IF(F865="No", "Invalid - Not Freely Given", IF(G865="No", "Invalid - Not Specific", IF(H865="No", "Invalid - Not Informed", IF(I865="No", "Invalid - Ambiguous", IF(J865="No", "Invalid - Not Documented", IF(AND(F865="Yes", G865="Yes", H865="Yes", I865="Yes", J865="Yes"), "Valid", "Requires Review"))))))</f>
        <v/>
      </c>
      <c r="L865" s="7" t="n"/>
      <c r="M865" s="7" t="n"/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IF(F866="No", "Invalid - Not Freely Given", IF(G866="No", "Invalid - Not Specific", IF(H866="No", "Invalid - Not Informed", IF(I866="No", "Invalid - Ambiguous", IF(J866="No", "Invalid - Not Documented", IF(AND(F866="Yes", G866="Yes", H866="Yes", I866="Yes", J866="Yes"), "Valid", "Requires Review"))))))</f>
        <v/>
      </c>
      <c r="L866" s="7" t="n"/>
      <c r="M866" s="7" t="n"/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IF(F867="No", "Invalid - Not Freely Given", IF(G867="No", "Invalid - Not Specific", IF(H867="No", "Invalid - Not Informed", IF(I867="No", "Invalid - Ambiguous", IF(J867="No", "Invalid - Not Documented", IF(AND(F867="Yes", G867="Yes", H867="Yes", I867="Yes", J867="Yes"), "Valid", "Requires Review"))))))</f>
        <v/>
      </c>
      <c r="L867" s="7" t="n"/>
      <c r="M867" s="7" t="n"/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IF(F868="No", "Invalid - Not Freely Given", IF(G868="No", "Invalid - Not Specific", IF(H868="No", "Invalid - Not Informed", IF(I868="No", "Invalid - Ambiguous", IF(J868="No", "Invalid - Not Documented", IF(AND(F868="Yes", G868="Yes", H868="Yes", I868="Yes", J868="Yes"), "Valid", "Requires Review"))))))</f>
        <v/>
      </c>
      <c r="L868" s="7" t="n"/>
      <c r="M868" s="7" t="n"/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IF(F869="No", "Invalid - Not Freely Given", IF(G869="No", "Invalid - Not Specific", IF(H869="No", "Invalid - Not Informed", IF(I869="No", "Invalid - Ambiguous", IF(J869="No", "Invalid - Not Documented", IF(AND(F869="Yes", G869="Yes", H869="Yes", I869="Yes", J869="Yes"), "Valid", "Requires Review"))))))</f>
        <v/>
      </c>
      <c r="L869" s="7" t="n"/>
      <c r="M869" s="7" t="n"/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IF(F870="No", "Invalid - Not Freely Given", IF(G870="No", "Invalid - Not Specific", IF(H870="No", "Invalid - Not Informed", IF(I870="No", "Invalid - Ambiguous", IF(J870="No", "Invalid - Not Documented", IF(AND(F870="Yes", G870="Yes", H870="Yes", I870="Yes", J870="Yes"), "Valid", "Requires Review"))))))</f>
        <v/>
      </c>
      <c r="L870" s="7" t="n"/>
      <c r="M870" s="7" t="n"/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IF(F871="No", "Invalid - Not Freely Given", IF(G871="No", "Invalid - Not Specific", IF(H871="No", "Invalid - Not Informed", IF(I871="No", "Invalid - Ambiguous", IF(J871="No", "Invalid - Not Documented", IF(AND(F871="Yes", G871="Yes", H871="Yes", I871="Yes", J871="Yes"), "Valid", "Requires Review"))))))</f>
        <v/>
      </c>
      <c r="L871" s="7" t="n"/>
      <c r="M871" s="7" t="n"/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IF(F872="No", "Invalid - Not Freely Given", IF(G872="No", "Invalid - Not Specific", IF(H872="No", "Invalid - Not Informed", IF(I872="No", "Invalid - Ambiguous", IF(J872="No", "Invalid - Not Documented", IF(AND(F872="Yes", G872="Yes", H872="Yes", I872="Yes", J872="Yes"), "Valid", "Requires Review"))))))</f>
        <v/>
      </c>
      <c r="L872" s="7" t="n"/>
      <c r="M872" s="7" t="n"/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IF(F873="No", "Invalid - Not Freely Given", IF(G873="No", "Invalid - Not Specific", IF(H873="No", "Invalid - Not Informed", IF(I873="No", "Invalid - Ambiguous", IF(J873="No", "Invalid - Not Documented", IF(AND(F873="Yes", G873="Yes", H873="Yes", I873="Yes", J873="Yes"), "Valid", "Requires Review"))))))</f>
        <v/>
      </c>
      <c r="L873" s="7" t="n"/>
      <c r="M873" s="7" t="n"/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IF(F874="No", "Invalid - Not Freely Given", IF(G874="No", "Invalid - Not Specific", IF(H874="No", "Invalid - Not Informed", IF(I874="No", "Invalid - Ambiguous", IF(J874="No", "Invalid - Not Documented", IF(AND(F874="Yes", G874="Yes", H874="Yes", I874="Yes", J874="Yes"), "Valid", "Requires Review"))))))</f>
        <v/>
      </c>
      <c r="L874" s="7" t="n"/>
      <c r="M874" s="7" t="n"/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IF(F875="No", "Invalid - Not Freely Given", IF(G875="No", "Invalid - Not Specific", IF(H875="No", "Invalid - Not Informed", IF(I875="No", "Invalid - Ambiguous", IF(J875="No", "Invalid - Not Documented", IF(AND(F875="Yes", G875="Yes", H875="Yes", I875="Yes", J875="Yes"), "Valid", "Requires Review"))))))</f>
        <v/>
      </c>
      <c r="L875" s="7" t="n"/>
      <c r="M875" s="7" t="n"/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IF(F876="No", "Invalid - Not Freely Given", IF(G876="No", "Invalid - Not Specific", IF(H876="No", "Invalid - Not Informed", IF(I876="No", "Invalid - Ambiguous", IF(J876="No", "Invalid - Not Documented", IF(AND(F876="Yes", G876="Yes", H876="Yes", I876="Yes", J876="Yes"), "Valid", "Requires Review"))))))</f>
        <v/>
      </c>
      <c r="L876" s="7" t="n"/>
      <c r="M876" s="7" t="n"/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IF(F877="No", "Invalid - Not Freely Given", IF(G877="No", "Invalid - Not Specific", IF(H877="No", "Invalid - Not Informed", IF(I877="No", "Invalid - Ambiguous", IF(J877="No", "Invalid - Not Documented", IF(AND(F877="Yes", G877="Yes", H877="Yes", I877="Yes", J877="Yes"), "Valid", "Requires Review"))))))</f>
        <v/>
      </c>
      <c r="L877" s="7" t="n"/>
      <c r="M877" s="7" t="n"/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IF(F878="No", "Invalid - Not Freely Given", IF(G878="No", "Invalid - Not Specific", IF(H878="No", "Invalid - Not Informed", IF(I878="No", "Invalid - Ambiguous", IF(J878="No", "Invalid - Not Documented", IF(AND(F878="Yes", G878="Yes", H878="Yes", I878="Yes", J878="Yes"), "Valid", "Requires Review"))))))</f>
        <v/>
      </c>
      <c r="L878" s="7" t="n"/>
      <c r="M878" s="7" t="n"/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IF(F879="No", "Invalid - Not Freely Given", IF(G879="No", "Invalid - Not Specific", IF(H879="No", "Invalid - Not Informed", IF(I879="No", "Invalid - Ambiguous", IF(J879="No", "Invalid - Not Documented", IF(AND(F879="Yes", G879="Yes", H879="Yes", I879="Yes", J879="Yes"), "Valid", "Requires Review"))))))</f>
        <v/>
      </c>
      <c r="L879" s="7" t="n"/>
      <c r="M879" s="7" t="n"/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IF(F880="No", "Invalid - Not Freely Given", IF(G880="No", "Invalid - Not Specific", IF(H880="No", "Invalid - Not Informed", IF(I880="No", "Invalid - Ambiguous", IF(J880="No", "Invalid - Not Documented", IF(AND(F880="Yes", G880="Yes", H880="Yes", I880="Yes", J880="Yes"), "Valid", "Requires Review"))))))</f>
        <v/>
      </c>
      <c r="L880" s="7" t="n"/>
      <c r="M880" s="7" t="n"/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IF(F881="No", "Invalid - Not Freely Given", IF(G881="No", "Invalid - Not Specific", IF(H881="No", "Invalid - Not Informed", IF(I881="No", "Invalid - Ambiguous", IF(J881="No", "Invalid - Not Documented", IF(AND(F881="Yes", G881="Yes", H881="Yes", I881="Yes", J881="Yes"), "Valid", "Requires Review"))))))</f>
        <v/>
      </c>
      <c r="L881" s="7" t="n"/>
      <c r="M881" s="7" t="n"/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IF(F882="No", "Invalid - Not Freely Given", IF(G882="No", "Invalid - Not Specific", IF(H882="No", "Invalid - Not Informed", IF(I882="No", "Invalid - Ambiguous", IF(J882="No", "Invalid - Not Documented", IF(AND(F882="Yes", G882="Yes", H882="Yes", I882="Yes", J882="Yes"), "Valid", "Requires Review"))))))</f>
        <v/>
      </c>
      <c r="L882" s="7" t="n"/>
      <c r="M882" s="7" t="n"/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IF(F883="No", "Invalid - Not Freely Given", IF(G883="No", "Invalid - Not Specific", IF(H883="No", "Invalid - Not Informed", IF(I883="No", "Invalid - Ambiguous", IF(J883="No", "Invalid - Not Documented", IF(AND(F883="Yes", G883="Yes", H883="Yes", I883="Yes", J883="Yes"), "Valid", "Requires Review"))))))</f>
        <v/>
      </c>
      <c r="L883" s="7" t="n"/>
      <c r="M883" s="7" t="n"/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IF(F884="No", "Invalid - Not Freely Given", IF(G884="No", "Invalid - Not Specific", IF(H884="No", "Invalid - Not Informed", IF(I884="No", "Invalid - Ambiguous", IF(J884="No", "Invalid - Not Documented", IF(AND(F884="Yes", G884="Yes", H884="Yes", I884="Yes", J884="Yes"), "Valid", "Requires Review"))))))</f>
        <v/>
      </c>
      <c r="L884" s="7" t="n"/>
      <c r="M884" s="7" t="n"/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IF(F885="No", "Invalid - Not Freely Given", IF(G885="No", "Invalid - Not Specific", IF(H885="No", "Invalid - Not Informed", IF(I885="No", "Invalid - Ambiguous", IF(J885="No", "Invalid - Not Documented", IF(AND(F885="Yes", G885="Yes", H885="Yes", I885="Yes", J885="Yes"), "Valid", "Requires Review"))))))</f>
        <v/>
      </c>
      <c r="L885" s="7" t="n"/>
      <c r="M885" s="7" t="n"/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IF(F886="No", "Invalid - Not Freely Given", IF(G886="No", "Invalid - Not Specific", IF(H886="No", "Invalid - Not Informed", IF(I886="No", "Invalid - Ambiguous", IF(J886="No", "Invalid - Not Documented", IF(AND(F886="Yes", G886="Yes", H886="Yes", I886="Yes", J886="Yes"), "Valid", "Requires Review"))))))</f>
        <v/>
      </c>
      <c r="L886" s="7" t="n"/>
      <c r="M886" s="7" t="n"/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IF(F887="No", "Invalid - Not Freely Given", IF(G887="No", "Invalid - Not Specific", IF(H887="No", "Invalid - Not Informed", IF(I887="No", "Invalid - Ambiguous", IF(J887="No", "Invalid - Not Documented", IF(AND(F887="Yes", G887="Yes", H887="Yes", I887="Yes", J887="Yes"), "Valid", "Requires Review"))))))</f>
        <v/>
      </c>
      <c r="L887" s="7" t="n"/>
      <c r="M887" s="7" t="n"/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IF(F888="No", "Invalid - Not Freely Given", IF(G888="No", "Invalid - Not Specific", IF(H888="No", "Invalid - Not Informed", IF(I888="No", "Invalid - Ambiguous", IF(J888="No", "Invalid - Not Documented", IF(AND(F888="Yes", G888="Yes", H888="Yes", I888="Yes", J888="Yes"), "Valid", "Requires Review"))))))</f>
        <v/>
      </c>
      <c r="L888" s="7" t="n"/>
      <c r="M888" s="7" t="n"/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IF(F889="No", "Invalid - Not Freely Given", IF(G889="No", "Invalid - Not Specific", IF(H889="No", "Invalid - Not Informed", IF(I889="No", "Invalid - Ambiguous", IF(J889="No", "Invalid - Not Documented", IF(AND(F889="Yes", G889="Yes", H889="Yes", I889="Yes", J889="Yes"), "Valid", "Requires Review"))))))</f>
        <v/>
      </c>
      <c r="L889" s="7" t="n"/>
      <c r="M889" s="7" t="n"/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IF(F890="No", "Invalid - Not Freely Given", IF(G890="No", "Invalid - Not Specific", IF(H890="No", "Invalid - Not Informed", IF(I890="No", "Invalid - Ambiguous", IF(J890="No", "Invalid - Not Documented", IF(AND(F890="Yes", G890="Yes", H890="Yes", I890="Yes", J890="Yes"), "Valid", "Requires Review"))))))</f>
        <v/>
      </c>
      <c r="L890" s="7" t="n"/>
      <c r="M890" s="7" t="n"/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IF(F891="No", "Invalid - Not Freely Given", IF(G891="No", "Invalid - Not Specific", IF(H891="No", "Invalid - Not Informed", IF(I891="No", "Invalid - Ambiguous", IF(J891="No", "Invalid - Not Documented", IF(AND(F891="Yes", G891="Yes", H891="Yes", I891="Yes", J891="Yes"), "Valid", "Requires Review"))))))</f>
        <v/>
      </c>
      <c r="L891" s="7" t="n"/>
      <c r="M891" s="7" t="n"/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IF(F892="No", "Invalid - Not Freely Given", IF(G892="No", "Invalid - Not Specific", IF(H892="No", "Invalid - Not Informed", IF(I892="No", "Invalid - Ambiguous", IF(J892="No", "Invalid - Not Documented", IF(AND(F892="Yes", G892="Yes", H892="Yes", I892="Yes", J892="Yes"), "Valid", "Requires Review"))))))</f>
        <v/>
      </c>
      <c r="L892" s="7" t="n"/>
      <c r="M892" s="7" t="n"/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IF(F893="No", "Invalid - Not Freely Given", IF(G893="No", "Invalid - Not Specific", IF(H893="No", "Invalid - Not Informed", IF(I893="No", "Invalid - Ambiguous", IF(J893="No", "Invalid - Not Documented", IF(AND(F893="Yes", G893="Yes", H893="Yes", I893="Yes", J893="Yes"), "Valid", "Requires Review"))))))</f>
        <v/>
      </c>
      <c r="L893" s="7" t="n"/>
      <c r="M893" s="7" t="n"/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IF(F894="No", "Invalid - Not Freely Given", IF(G894="No", "Invalid - Not Specific", IF(H894="No", "Invalid - Not Informed", IF(I894="No", "Invalid - Ambiguous", IF(J894="No", "Invalid - Not Documented", IF(AND(F894="Yes", G894="Yes", H894="Yes", I894="Yes", J894="Yes"), "Valid", "Requires Review"))))))</f>
        <v/>
      </c>
      <c r="L894" s="7" t="n"/>
      <c r="M894" s="7" t="n"/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IF(F895="No", "Invalid - Not Freely Given", IF(G895="No", "Invalid - Not Specific", IF(H895="No", "Invalid - Not Informed", IF(I895="No", "Invalid - Ambiguous", IF(J895="No", "Invalid - Not Documented", IF(AND(F895="Yes", G895="Yes", H895="Yes", I895="Yes", J895="Yes"), "Valid", "Requires Review"))))))</f>
        <v/>
      </c>
      <c r="L895" s="7" t="n"/>
      <c r="M895" s="7" t="n"/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IF(F896="No", "Invalid - Not Freely Given", IF(G896="No", "Invalid - Not Specific", IF(H896="No", "Invalid - Not Informed", IF(I896="No", "Invalid - Ambiguous", IF(J896="No", "Invalid - Not Documented", IF(AND(F896="Yes", G896="Yes", H896="Yes", I896="Yes", J896="Yes"), "Valid", "Requires Review"))))))</f>
        <v/>
      </c>
      <c r="L896" s="7" t="n"/>
      <c r="M896" s="7" t="n"/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IF(F897="No", "Invalid - Not Freely Given", IF(G897="No", "Invalid - Not Specific", IF(H897="No", "Invalid - Not Informed", IF(I897="No", "Invalid - Ambiguous", IF(J897="No", "Invalid - Not Documented", IF(AND(F897="Yes", G897="Yes", H897="Yes", I897="Yes", J897="Yes"), "Valid", "Requires Review"))))))</f>
        <v/>
      </c>
      <c r="L897" s="7" t="n"/>
      <c r="M897" s="7" t="n"/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IF(F898="No", "Invalid - Not Freely Given", IF(G898="No", "Invalid - Not Specific", IF(H898="No", "Invalid - Not Informed", IF(I898="No", "Invalid - Ambiguous", IF(J898="No", "Invalid - Not Documented", IF(AND(F898="Yes", G898="Yes", H898="Yes", I898="Yes", J898="Yes"), "Valid", "Requires Review"))))))</f>
        <v/>
      </c>
      <c r="L898" s="7" t="n"/>
      <c r="M898" s="7" t="n"/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IF(F899="No", "Invalid - Not Freely Given", IF(G899="No", "Invalid - Not Specific", IF(H899="No", "Invalid - Not Informed", IF(I899="No", "Invalid - Ambiguous", IF(J899="No", "Invalid - Not Documented", IF(AND(F899="Yes", G899="Yes", H899="Yes", I899="Yes", J899="Yes"), "Valid", "Requires Review"))))))</f>
        <v/>
      </c>
      <c r="L899" s="7" t="n"/>
      <c r="M899" s="7" t="n"/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IF(F900="No", "Invalid - Not Freely Given", IF(G900="No", "Invalid - Not Specific", IF(H900="No", "Invalid - Not Informed", IF(I900="No", "Invalid - Ambiguous", IF(J900="No", "Invalid - Not Documented", IF(AND(F900="Yes", G900="Yes", H900="Yes", I900="Yes", J900="Yes"), "Valid", "Requires Review"))))))</f>
        <v/>
      </c>
      <c r="L900" s="7" t="n"/>
      <c r="M900" s="7" t="n"/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IF(F901="No", "Invalid - Not Freely Given", IF(G901="No", "Invalid - Not Specific", IF(H901="No", "Invalid - Not Informed", IF(I901="No", "Invalid - Ambiguous", IF(J901="No", "Invalid - Not Documented", IF(AND(F901="Yes", G901="Yes", H901="Yes", I901="Yes", J901="Yes"), "Valid", "Requires Review"))))))</f>
        <v/>
      </c>
      <c r="L901" s="7" t="n"/>
      <c r="M901" s="7" t="n"/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IF(F902="No", "Invalid - Not Freely Given", IF(G902="No", "Invalid - Not Specific", IF(H902="No", "Invalid - Not Informed", IF(I902="No", "Invalid - Ambiguous", IF(J902="No", "Invalid - Not Documented", IF(AND(F902="Yes", G902="Yes", H902="Yes", I902="Yes", J902="Yes"), "Valid", "Requires Review"))))))</f>
        <v/>
      </c>
      <c r="L902" s="7" t="n"/>
      <c r="M902" s="7" t="n"/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IF(F903="No", "Invalid - Not Freely Given", IF(G903="No", "Invalid - Not Specific", IF(H903="No", "Invalid - Not Informed", IF(I903="No", "Invalid - Ambiguous", IF(J903="No", "Invalid - Not Documented", IF(AND(F903="Yes", G903="Yes", H903="Yes", I903="Yes", J903="Yes"), "Valid", "Requires Review"))))))</f>
        <v/>
      </c>
      <c r="L903" s="7" t="n"/>
      <c r="M903" s="7" t="n"/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IF(F904="No", "Invalid - Not Freely Given", IF(G904="No", "Invalid - Not Specific", IF(H904="No", "Invalid - Not Informed", IF(I904="No", "Invalid - Ambiguous", IF(J904="No", "Invalid - Not Documented", IF(AND(F904="Yes", G904="Yes", H904="Yes", I904="Yes", J904="Yes"), "Valid", "Requires Review"))))))</f>
        <v/>
      </c>
      <c r="L904" s="7" t="n"/>
      <c r="M904" s="7" t="n"/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IF(F905="No", "Invalid - Not Freely Given", IF(G905="No", "Invalid - Not Specific", IF(H905="No", "Invalid - Not Informed", IF(I905="No", "Invalid - Ambiguous", IF(J905="No", "Invalid - Not Documented", IF(AND(F905="Yes", G905="Yes", H905="Yes", I905="Yes", J905="Yes"), "Valid", "Requires Review"))))))</f>
        <v/>
      </c>
      <c r="L905" s="7" t="n"/>
      <c r="M905" s="7" t="n"/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IF(F906="No", "Invalid - Not Freely Given", IF(G906="No", "Invalid - Not Specific", IF(H906="No", "Invalid - Not Informed", IF(I906="No", "Invalid - Ambiguous", IF(J906="No", "Invalid - Not Documented", IF(AND(F906="Yes", G906="Yes", H906="Yes", I906="Yes", J906="Yes"), "Valid", "Requires Review"))))))</f>
        <v/>
      </c>
      <c r="L906" s="7" t="n"/>
      <c r="M906" s="7" t="n"/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IF(F907="No", "Invalid - Not Freely Given", IF(G907="No", "Invalid - Not Specific", IF(H907="No", "Invalid - Not Informed", IF(I907="No", "Invalid - Ambiguous", IF(J907="No", "Invalid - Not Documented", IF(AND(F907="Yes", G907="Yes", H907="Yes", I907="Yes", J907="Yes"), "Valid", "Requires Review"))))))</f>
        <v/>
      </c>
      <c r="L907" s="7" t="n"/>
      <c r="M907" s="7" t="n"/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IF(F908="No", "Invalid - Not Freely Given", IF(G908="No", "Invalid - Not Specific", IF(H908="No", "Invalid - Not Informed", IF(I908="No", "Invalid - Ambiguous", IF(J908="No", "Invalid - Not Documented", IF(AND(F908="Yes", G908="Yes", H908="Yes", I908="Yes", J908="Yes"), "Valid", "Requires Review"))))))</f>
        <v/>
      </c>
      <c r="L908" s="7" t="n"/>
      <c r="M908" s="7" t="n"/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IF(F909="No", "Invalid - Not Freely Given", IF(G909="No", "Invalid - Not Specific", IF(H909="No", "Invalid - Not Informed", IF(I909="No", "Invalid - Ambiguous", IF(J909="No", "Invalid - Not Documented", IF(AND(F909="Yes", G909="Yes", H909="Yes", I909="Yes", J909="Yes"), "Valid", "Requires Review"))))))</f>
        <v/>
      </c>
      <c r="L909" s="7" t="n"/>
      <c r="M909" s="7" t="n"/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IF(F910="No", "Invalid - Not Freely Given", IF(G910="No", "Invalid - Not Specific", IF(H910="No", "Invalid - Not Informed", IF(I910="No", "Invalid - Ambiguous", IF(J910="No", "Invalid - Not Documented", IF(AND(F910="Yes", G910="Yes", H910="Yes", I910="Yes", J910="Yes"), "Valid", "Requires Review"))))))</f>
        <v/>
      </c>
      <c r="L910" s="7" t="n"/>
      <c r="M910" s="7" t="n"/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IF(F911="No", "Invalid - Not Freely Given", IF(G911="No", "Invalid - Not Specific", IF(H911="No", "Invalid - Not Informed", IF(I911="No", "Invalid - Ambiguous", IF(J911="No", "Invalid - Not Documented", IF(AND(F911="Yes", G911="Yes", H911="Yes", I911="Yes", J911="Yes"), "Valid", "Requires Review"))))))</f>
        <v/>
      </c>
      <c r="L911" s="7" t="n"/>
      <c r="M911" s="7" t="n"/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IF(F912="No", "Invalid - Not Freely Given", IF(G912="No", "Invalid - Not Specific", IF(H912="No", "Invalid - Not Informed", IF(I912="No", "Invalid - Ambiguous", IF(J912="No", "Invalid - Not Documented", IF(AND(F912="Yes", G912="Yes", H912="Yes", I912="Yes", J912="Yes"), "Valid", "Requires Review"))))))</f>
        <v/>
      </c>
      <c r="L912" s="7" t="n"/>
      <c r="M912" s="7" t="n"/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IF(F913="No", "Invalid - Not Freely Given", IF(G913="No", "Invalid - Not Specific", IF(H913="No", "Invalid - Not Informed", IF(I913="No", "Invalid - Ambiguous", IF(J913="No", "Invalid - Not Documented", IF(AND(F913="Yes", G913="Yes", H913="Yes", I913="Yes", J913="Yes"), "Valid", "Requires Review"))))))</f>
        <v/>
      </c>
      <c r="L913" s="7" t="n"/>
      <c r="M913" s="7" t="n"/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IF(F914="No", "Invalid - Not Freely Given", IF(G914="No", "Invalid - Not Specific", IF(H914="No", "Invalid - Not Informed", IF(I914="No", "Invalid - Ambiguous", IF(J914="No", "Invalid - Not Documented", IF(AND(F914="Yes", G914="Yes", H914="Yes", I914="Yes", J914="Yes"), "Valid", "Requires Review"))))))</f>
        <v/>
      </c>
      <c r="L914" s="7" t="n"/>
      <c r="M914" s="7" t="n"/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IF(F915="No", "Invalid - Not Freely Given", IF(G915="No", "Invalid - Not Specific", IF(H915="No", "Invalid - Not Informed", IF(I915="No", "Invalid - Ambiguous", IF(J915="No", "Invalid - Not Documented", IF(AND(F915="Yes", G915="Yes", H915="Yes", I915="Yes", J915="Yes"), "Valid", "Requires Review"))))))</f>
        <v/>
      </c>
      <c r="L915" s="7" t="n"/>
      <c r="M915" s="7" t="n"/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IF(F916="No", "Invalid - Not Freely Given", IF(G916="No", "Invalid - Not Specific", IF(H916="No", "Invalid - Not Informed", IF(I916="No", "Invalid - Ambiguous", IF(J916="No", "Invalid - Not Documented", IF(AND(F916="Yes", G916="Yes", H916="Yes", I916="Yes", J916="Yes"), "Valid", "Requires Review"))))))</f>
        <v/>
      </c>
      <c r="L916" s="7" t="n"/>
      <c r="M916" s="7" t="n"/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IF(F917="No", "Invalid - Not Freely Given", IF(G917="No", "Invalid - Not Specific", IF(H917="No", "Invalid - Not Informed", IF(I917="No", "Invalid - Ambiguous", IF(J917="No", "Invalid - Not Documented", IF(AND(F917="Yes", G917="Yes", H917="Yes", I917="Yes", J917="Yes"), "Valid", "Requires Review"))))))</f>
        <v/>
      </c>
      <c r="L917" s="7" t="n"/>
      <c r="M917" s="7" t="n"/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IF(F918="No", "Invalid - Not Freely Given", IF(G918="No", "Invalid - Not Specific", IF(H918="No", "Invalid - Not Informed", IF(I918="No", "Invalid - Ambiguous", IF(J918="No", "Invalid - Not Documented", IF(AND(F918="Yes", G918="Yes", H918="Yes", I918="Yes", J918="Yes"), "Valid", "Requires Review"))))))</f>
        <v/>
      </c>
      <c r="L918" s="7" t="n"/>
      <c r="M918" s="7" t="n"/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IF(F919="No", "Invalid - Not Freely Given", IF(G919="No", "Invalid - Not Specific", IF(H919="No", "Invalid - Not Informed", IF(I919="No", "Invalid - Ambiguous", IF(J919="No", "Invalid - Not Documented", IF(AND(F919="Yes", G919="Yes", H919="Yes", I919="Yes", J919="Yes"), "Valid", "Requires Review"))))))</f>
        <v/>
      </c>
      <c r="L919" s="7" t="n"/>
      <c r="M919" s="7" t="n"/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IF(F920="No", "Invalid - Not Freely Given", IF(G920="No", "Invalid - Not Specific", IF(H920="No", "Invalid - Not Informed", IF(I920="No", "Invalid - Ambiguous", IF(J920="No", "Invalid - Not Documented", IF(AND(F920="Yes", G920="Yes", H920="Yes", I920="Yes", J920="Yes"), "Valid", "Requires Review"))))))</f>
        <v/>
      </c>
      <c r="L920" s="7" t="n"/>
      <c r="M920" s="7" t="n"/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IF(F921="No", "Invalid - Not Freely Given", IF(G921="No", "Invalid - Not Specific", IF(H921="No", "Invalid - Not Informed", IF(I921="No", "Invalid - Ambiguous", IF(J921="No", "Invalid - Not Documented", IF(AND(F921="Yes", G921="Yes", H921="Yes", I921="Yes", J921="Yes"), "Valid", "Requires Review"))))))</f>
        <v/>
      </c>
      <c r="L921" s="7" t="n"/>
      <c r="M921" s="7" t="n"/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IF(F922="No", "Invalid - Not Freely Given", IF(G922="No", "Invalid - Not Specific", IF(H922="No", "Invalid - Not Informed", IF(I922="No", "Invalid - Ambiguous", IF(J922="No", "Invalid - Not Documented", IF(AND(F922="Yes", G922="Yes", H922="Yes", I922="Yes", J922="Yes"), "Valid", "Requires Review"))))))</f>
        <v/>
      </c>
      <c r="L922" s="7" t="n"/>
      <c r="M922" s="7" t="n"/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IF(F923="No", "Invalid - Not Freely Given", IF(G923="No", "Invalid - Not Specific", IF(H923="No", "Invalid - Not Informed", IF(I923="No", "Invalid - Ambiguous", IF(J923="No", "Invalid - Not Documented", IF(AND(F923="Yes", G923="Yes", H923="Yes", I923="Yes", J923="Yes"), "Valid", "Requires Review"))))))</f>
        <v/>
      </c>
      <c r="L923" s="7" t="n"/>
      <c r="M923" s="7" t="n"/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IF(F924="No", "Invalid - Not Freely Given", IF(G924="No", "Invalid - Not Specific", IF(H924="No", "Invalid - Not Informed", IF(I924="No", "Invalid - Ambiguous", IF(J924="No", "Invalid - Not Documented", IF(AND(F924="Yes", G924="Yes", H924="Yes", I924="Yes", J924="Yes"), "Valid", "Requires Review"))))))</f>
        <v/>
      </c>
      <c r="L924" s="7" t="n"/>
      <c r="M924" s="7" t="n"/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IF(F925="No", "Invalid - Not Freely Given", IF(G925="No", "Invalid - Not Specific", IF(H925="No", "Invalid - Not Informed", IF(I925="No", "Invalid - Ambiguous", IF(J925="No", "Invalid - Not Documented", IF(AND(F925="Yes", G925="Yes", H925="Yes", I925="Yes", J925="Yes"), "Valid", "Requires Review"))))))</f>
        <v/>
      </c>
      <c r="L925" s="7" t="n"/>
      <c r="M925" s="7" t="n"/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IF(F926="No", "Invalid - Not Freely Given", IF(G926="No", "Invalid - Not Specific", IF(H926="No", "Invalid - Not Informed", IF(I926="No", "Invalid - Ambiguous", IF(J926="No", "Invalid - Not Documented", IF(AND(F926="Yes", G926="Yes", H926="Yes", I926="Yes", J926="Yes"), "Valid", "Requires Review"))))))</f>
        <v/>
      </c>
      <c r="L926" s="7" t="n"/>
      <c r="M926" s="7" t="n"/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IF(F927="No", "Invalid - Not Freely Given", IF(G927="No", "Invalid - Not Specific", IF(H927="No", "Invalid - Not Informed", IF(I927="No", "Invalid - Ambiguous", IF(J927="No", "Invalid - Not Documented", IF(AND(F927="Yes", G927="Yes", H927="Yes", I927="Yes", J927="Yes"), "Valid", "Requires Review"))))))</f>
        <v/>
      </c>
      <c r="L927" s="7" t="n"/>
      <c r="M927" s="7" t="n"/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IF(F928="No", "Invalid - Not Freely Given", IF(G928="No", "Invalid - Not Specific", IF(H928="No", "Invalid - Not Informed", IF(I928="No", "Invalid - Ambiguous", IF(J928="No", "Invalid - Not Documented", IF(AND(F928="Yes", G928="Yes", H928="Yes", I928="Yes", J928="Yes"), "Valid", "Requires Review"))))))</f>
        <v/>
      </c>
      <c r="L928" s="7" t="n"/>
      <c r="M928" s="7" t="n"/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IF(F929="No", "Invalid - Not Freely Given", IF(G929="No", "Invalid - Not Specific", IF(H929="No", "Invalid - Not Informed", IF(I929="No", "Invalid - Ambiguous", IF(J929="No", "Invalid - Not Documented", IF(AND(F929="Yes", G929="Yes", H929="Yes", I929="Yes", J929="Yes"), "Valid", "Requires Review"))))))</f>
        <v/>
      </c>
      <c r="L929" s="7" t="n"/>
      <c r="M929" s="7" t="n"/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IF(F930="No", "Invalid - Not Freely Given", IF(G930="No", "Invalid - Not Specific", IF(H930="No", "Invalid - Not Informed", IF(I930="No", "Invalid - Ambiguous", IF(J930="No", "Invalid - Not Documented", IF(AND(F930="Yes", G930="Yes", H930="Yes", I930="Yes", J930="Yes"), "Valid", "Requires Review"))))))</f>
        <v/>
      </c>
      <c r="L930" s="7" t="n"/>
      <c r="M930" s="7" t="n"/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IF(F931="No", "Invalid - Not Freely Given", IF(G931="No", "Invalid - Not Specific", IF(H931="No", "Invalid - Not Informed", IF(I931="No", "Invalid - Ambiguous", IF(J931="No", "Invalid - Not Documented", IF(AND(F931="Yes", G931="Yes", H931="Yes", I931="Yes", J931="Yes"), "Valid", "Requires Review"))))))</f>
        <v/>
      </c>
      <c r="L931" s="7" t="n"/>
      <c r="M931" s="7" t="n"/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IF(F932="No", "Invalid - Not Freely Given", IF(G932="No", "Invalid - Not Specific", IF(H932="No", "Invalid - Not Informed", IF(I932="No", "Invalid - Ambiguous", IF(J932="No", "Invalid - Not Documented", IF(AND(F932="Yes", G932="Yes", H932="Yes", I932="Yes", J932="Yes"), "Valid", "Requires Review"))))))</f>
        <v/>
      </c>
      <c r="L932" s="7" t="n"/>
      <c r="M932" s="7" t="n"/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IF(F933="No", "Invalid - Not Freely Given", IF(G933="No", "Invalid - Not Specific", IF(H933="No", "Invalid - Not Informed", IF(I933="No", "Invalid - Ambiguous", IF(J933="No", "Invalid - Not Documented", IF(AND(F933="Yes", G933="Yes", H933="Yes", I933="Yes", J933="Yes"), "Valid", "Requires Review"))))))</f>
        <v/>
      </c>
      <c r="L933" s="7" t="n"/>
      <c r="M933" s="7" t="n"/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IF(F934="No", "Invalid - Not Freely Given", IF(G934="No", "Invalid - Not Specific", IF(H934="No", "Invalid - Not Informed", IF(I934="No", "Invalid - Ambiguous", IF(J934="No", "Invalid - Not Documented", IF(AND(F934="Yes", G934="Yes", H934="Yes", I934="Yes", J934="Yes"), "Valid", "Requires Review"))))))</f>
        <v/>
      </c>
      <c r="L934" s="7" t="n"/>
      <c r="M934" s="7" t="n"/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IF(F935="No", "Invalid - Not Freely Given", IF(G935="No", "Invalid - Not Specific", IF(H935="No", "Invalid - Not Informed", IF(I935="No", "Invalid - Ambiguous", IF(J935="No", "Invalid - Not Documented", IF(AND(F935="Yes", G935="Yes", H935="Yes", I935="Yes", J935="Yes"), "Valid", "Requires Review"))))))</f>
        <v/>
      </c>
      <c r="L935" s="7" t="n"/>
      <c r="M935" s="7" t="n"/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IF(F936="No", "Invalid - Not Freely Given", IF(G936="No", "Invalid - Not Specific", IF(H936="No", "Invalid - Not Informed", IF(I936="No", "Invalid - Ambiguous", IF(J936="No", "Invalid - Not Documented", IF(AND(F936="Yes", G936="Yes", H936="Yes", I936="Yes", J936="Yes"), "Valid", "Requires Review"))))))</f>
        <v/>
      </c>
      <c r="L936" s="7" t="n"/>
      <c r="M936" s="7" t="n"/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IF(F937="No", "Invalid - Not Freely Given", IF(G937="No", "Invalid - Not Specific", IF(H937="No", "Invalid - Not Informed", IF(I937="No", "Invalid - Ambiguous", IF(J937="No", "Invalid - Not Documented", IF(AND(F937="Yes", G937="Yes", H937="Yes", I937="Yes", J937="Yes"), "Valid", "Requires Review"))))))</f>
        <v/>
      </c>
      <c r="L937" s="7" t="n"/>
      <c r="M937" s="7" t="n"/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IF(F938="No", "Invalid - Not Freely Given", IF(G938="No", "Invalid - Not Specific", IF(H938="No", "Invalid - Not Informed", IF(I938="No", "Invalid - Ambiguous", IF(J938="No", "Invalid - Not Documented", IF(AND(F938="Yes", G938="Yes", H938="Yes", I938="Yes", J938="Yes"), "Valid", "Requires Review"))))))</f>
        <v/>
      </c>
      <c r="L938" s="7" t="n"/>
      <c r="M938" s="7" t="n"/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IF(F939="No", "Invalid - Not Freely Given", IF(G939="No", "Invalid - Not Specific", IF(H939="No", "Invalid - Not Informed", IF(I939="No", "Invalid - Ambiguous", IF(J939="No", "Invalid - Not Documented", IF(AND(F939="Yes", G939="Yes", H939="Yes", I939="Yes", J939="Yes"), "Valid", "Requires Review"))))))</f>
        <v/>
      </c>
      <c r="L939" s="7" t="n"/>
      <c r="M939" s="7" t="n"/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IF(F940="No", "Invalid - Not Freely Given", IF(G940="No", "Invalid - Not Specific", IF(H940="No", "Invalid - Not Informed", IF(I940="No", "Invalid - Ambiguous", IF(J940="No", "Invalid - Not Documented", IF(AND(F940="Yes", G940="Yes", H940="Yes", I940="Yes", J940="Yes"), "Valid", "Requires Review"))))))</f>
        <v/>
      </c>
      <c r="L940" s="7" t="n"/>
      <c r="M940" s="7" t="n"/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IF(F941="No", "Invalid - Not Freely Given", IF(G941="No", "Invalid - Not Specific", IF(H941="No", "Invalid - Not Informed", IF(I941="No", "Invalid - Ambiguous", IF(J941="No", "Invalid - Not Documented", IF(AND(F941="Yes", G941="Yes", H941="Yes", I941="Yes", J941="Yes"), "Valid", "Requires Review"))))))</f>
        <v/>
      </c>
      <c r="L941" s="7" t="n"/>
      <c r="M941" s="7" t="n"/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IF(F942="No", "Invalid - Not Freely Given", IF(G942="No", "Invalid - Not Specific", IF(H942="No", "Invalid - Not Informed", IF(I942="No", "Invalid - Ambiguous", IF(J942="No", "Invalid - Not Documented", IF(AND(F942="Yes", G942="Yes", H942="Yes", I942="Yes", J942="Yes"), "Valid", "Requires Review"))))))</f>
        <v/>
      </c>
      <c r="L942" s="7" t="n"/>
      <c r="M942" s="7" t="n"/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IF(F943="No", "Invalid - Not Freely Given", IF(G943="No", "Invalid - Not Specific", IF(H943="No", "Invalid - Not Informed", IF(I943="No", "Invalid - Ambiguous", IF(J943="No", "Invalid - Not Documented", IF(AND(F943="Yes", G943="Yes", H943="Yes", I943="Yes", J943="Yes"), "Valid", "Requires Review"))))))</f>
        <v/>
      </c>
      <c r="L943" s="7" t="n"/>
      <c r="M943" s="7" t="n"/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IF(F944="No", "Invalid - Not Freely Given", IF(G944="No", "Invalid - Not Specific", IF(H944="No", "Invalid - Not Informed", IF(I944="No", "Invalid - Ambiguous", IF(J944="No", "Invalid - Not Documented", IF(AND(F944="Yes", G944="Yes", H944="Yes", I944="Yes", J944="Yes"), "Valid", "Requires Review"))))))</f>
        <v/>
      </c>
      <c r="L944" s="7" t="n"/>
      <c r="M944" s="7" t="n"/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IF(F945="No", "Invalid - Not Freely Given", IF(G945="No", "Invalid - Not Specific", IF(H945="No", "Invalid - Not Informed", IF(I945="No", "Invalid - Ambiguous", IF(J945="No", "Invalid - Not Documented", IF(AND(F945="Yes", G945="Yes", H945="Yes", I945="Yes", J945="Yes"), "Valid", "Requires Review"))))))</f>
        <v/>
      </c>
      <c r="L945" s="7" t="n"/>
      <c r="M945" s="7" t="n"/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IF(F946="No", "Invalid - Not Freely Given", IF(G946="No", "Invalid - Not Specific", IF(H946="No", "Invalid - Not Informed", IF(I946="No", "Invalid - Ambiguous", IF(J946="No", "Invalid - Not Documented", IF(AND(F946="Yes", G946="Yes", H946="Yes", I946="Yes", J946="Yes"), "Valid", "Requires Review"))))))</f>
        <v/>
      </c>
      <c r="L946" s="7" t="n"/>
      <c r="M946" s="7" t="n"/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IF(F947="No", "Invalid - Not Freely Given", IF(G947="No", "Invalid - Not Specific", IF(H947="No", "Invalid - Not Informed", IF(I947="No", "Invalid - Ambiguous", IF(J947="No", "Invalid - Not Documented", IF(AND(F947="Yes", G947="Yes", H947="Yes", I947="Yes", J947="Yes"), "Valid", "Requires Review"))))))</f>
        <v/>
      </c>
      <c r="L947" s="7" t="n"/>
      <c r="M947" s="7" t="n"/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IF(F948="No", "Invalid - Not Freely Given", IF(G948="No", "Invalid - Not Specific", IF(H948="No", "Invalid - Not Informed", IF(I948="No", "Invalid - Ambiguous", IF(J948="No", "Invalid - Not Documented", IF(AND(F948="Yes", G948="Yes", H948="Yes", I948="Yes", J948="Yes"), "Valid", "Requires Review"))))))</f>
        <v/>
      </c>
      <c r="L948" s="7" t="n"/>
      <c r="M948" s="7" t="n"/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IF(F949="No", "Invalid - Not Freely Given", IF(G949="No", "Invalid - Not Specific", IF(H949="No", "Invalid - Not Informed", IF(I949="No", "Invalid - Ambiguous", IF(J949="No", "Invalid - Not Documented", IF(AND(F949="Yes", G949="Yes", H949="Yes", I949="Yes", J949="Yes"), "Valid", "Requires Review"))))))</f>
        <v/>
      </c>
      <c r="L949" s="7" t="n"/>
      <c r="M949" s="7" t="n"/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IF(F950="No", "Invalid - Not Freely Given", IF(G950="No", "Invalid - Not Specific", IF(H950="No", "Invalid - Not Informed", IF(I950="No", "Invalid - Ambiguous", IF(J950="No", "Invalid - Not Documented", IF(AND(F950="Yes", G950="Yes", H950="Yes", I950="Yes", J950="Yes"), "Valid", "Requires Review"))))))</f>
        <v/>
      </c>
      <c r="L950" s="7" t="n"/>
      <c r="M950" s="7" t="n"/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IF(F951="No", "Invalid - Not Freely Given", IF(G951="No", "Invalid - Not Specific", IF(H951="No", "Invalid - Not Informed", IF(I951="No", "Invalid - Ambiguous", IF(J951="No", "Invalid - Not Documented", IF(AND(F951="Yes", G951="Yes", H951="Yes", I951="Yes", J951="Yes"), "Valid", "Requires Review"))))))</f>
        <v/>
      </c>
      <c r="L951" s="7" t="n"/>
      <c r="M951" s="7" t="n"/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IF(F952="No", "Invalid - Not Freely Given", IF(G952="No", "Invalid - Not Specific", IF(H952="No", "Invalid - Not Informed", IF(I952="No", "Invalid - Ambiguous", IF(J952="No", "Invalid - Not Documented", IF(AND(F952="Yes", G952="Yes", H952="Yes", I952="Yes", J952="Yes"), "Valid", "Requires Review"))))))</f>
        <v/>
      </c>
      <c r="L952" s="7" t="n"/>
      <c r="M952" s="7" t="n"/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IF(F953="No", "Invalid - Not Freely Given", IF(G953="No", "Invalid - Not Specific", IF(H953="No", "Invalid - Not Informed", IF(I953="No", "Invalid - Ambiguous", IF(J953="No", "Invalid - Not Documented", IF(AND(F953="Yes", G953="Yes", H953="Yes", I953="Yes", J953="Yes"), "Valid", "Requires Review"))))))</f>
        <v/>
      </c>
      <c r="L953" s="7" t="n"/>
      <c r="M953" s="7" t="n"/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IF(F954="No", "Invalid - Not Freely Given", IF(G954="No", "Invalid - Not Specific", IF(H954="No", "Invalid - Not Informed", IF(I954="No", "Invalid - Ambiguous", IF(J954="No", "Invalid - Not Documented", IF(AND(F954="Yes", G954="Yes", H954="Yes", I954="Yes", J954="Yes"), "Valid", "Requires Review"))))))</f>
        <v/>
      </c>
      <c r="L954" s="7" t="n"/>
      <c r="M954" s="7" t="n"/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IF(F955="No", "Invalid - Not Freely Given", IF(G955="No", "Invalid - Not Specific", IF(H955="No", "Invalid - Not Informed", IF(I955="No", "Invalid - Ambiguous", IF(J955="No", "Invalid - Not Documented", IF(AND(F955="Yes", G955="Yes", H955="Yes", I955="Yes", J955="Yes"), "Valid", "Requires Review"))))))</f>
        <v/>
      </c>
      <c r="L955" s="7" t="n"/>
      <c r="M955" s="7" t="n"/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IF(F956="No", "Invalid - Not Freely Given", IF(G956="No", "Invalid - Not Specific", IF(H956="No", "Invalid - Not Informed", IF(I956="No", "Invalid - Ambiguous", IF(J956="No", "Invalid - Not Documented", IF(AND(F956="Yes", G956="Yes", H956="Yes", I956="Yes", J956="Yes"), "Valid", "Requires Review"))))))</f>
        <v/>
      </c>
      <c r="L956" s="7" t="n"/>
      <c r="M956" s="7" t="n"/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IF(F957="No", "Invalid - Not Freely Given", IF(G957="No", "Invalid - Not Specific", IF(H957="No", "Invalid - Not Informed", IF(I957="No", "Invalid - Ambiguous", IF(J957="No", "Invalid - Not Documented", IF(AND(F957="Yes", G957="Yes", H957="Yes", I957="Yes", J957="Yes"), "Valid", "Requires Review"))))))</f>
        <v/>
      </c>
      <c r="L957" s="7" t="n"/>
      <c r="M957" s="7" t="n"/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IF(F958="No", "Invalid - Not Freely Given", IF(G958="No", "Invalid - Not Specific", IF(H958="No", "Invalid - Not Informed", IF(I958="No", "Invalid - Ambiguous", IF(J958="No", "Invalid - Not Documented", IF(AND(F958="Yes", G958="Yes", H958="Yes", I958="Yes", J958="Yes"), "Valid", "Requires Review"))))))</f>
        <v/>
      </c>
      <c r="L958" s="7" t="n"/>
      <c r="M958" s="7" t="n"/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IF(F959="No", "Invalid - Not Freely Given", IF(G959="No", "Invalid - Not Specific", IF(H959="No", "Invalid - Not Informed", IF(I959="No", "Invalid - Ambiguous", IF(J959="No", "Invalid - Not Documented", IF(AND(F959="Yes", G959="Yes", H959="Yes", I959="Yes", J959="Yes"), "Valid", "Requires Review"))))))</f>
        <v/>
      </c>
      <c r="L959" s="7" t="n"/>
      <c r="M959" s="7" t="n"/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IF(F960="No", "Invalid - Not Freely Given", IF(G960="No", "Invalid - Not Specific", IF(H960="No", "Invalid - Not Informed", IF(I960="No", "Invalid - Ambiguous", IF(J960="No", "Invalid - Not Documented", IF(AND(F960="Yes", G960="Yes", H960="Yes", I960="Yes", J960="Yes"), "Valid", "Requires Review"))))))</f>
        <v/>
      </c>
      <c r="L960" s="7" t="n"/>
      <c r="M960" s="7" t="n"/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IF(F961="No", "Invalid - Not Freely Given", IF(G961="No", "Invalid - Not Specific", IF(H961="No", "Invalid - Not Informed", IF(I961="No", "Invalid - Ambiguous", IF(J961="No", "Invalid - Not Documented", IF(AND(F961="Yes", G961="Yes", H961="Yes", I961="Yes", J961="Yes"), "Valid", "Requires Review"))))))</f>
        <v/>
      </c>
      <c r="L961" s="7" t="n"/>
      <c r="M961" s="7" t="n"/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IF(F962="No", "Invalid - Not Freely Given", IF(G962="No", "Invalid - Not Specific", IF(H962="No", "Invalid - Not Informed", IF(I962="No", "Invalid - Ambiguous", IF(J962="No", "Invalid - Not Documented", IF(AND(F962="Yes", G962="Yes", H962="Yes", I962="Yes", J962="Yes"), "Valid", "Requires Review"))))))</f>
        <v/>
      </c>
      <c r="L962" s="7" t="n"/>
      <c r="M962" s="7" t="n"/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IF(F963="No", "Invalid - Not Freely Given", IF(G963="No", "Invalid - Not Specific", IF(H963="No", "Invalid - Not Informed", IF(I963="No", "Invalid - Ambiguous", IF(J963="No", "Invalid - Not Documented", IF(AND(F963="Yes", G963="Yes", H963="Yes", I963="Yes", J963="Yes"), "Valid", "Requires Review"))))))</f>
        <v/>
      </c>
      <c r="L963" s="7" t="n"/>
      <c r="M963" s="7" t="n"/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IF(F964="No", "Invalid - Not Freely Given", IF(G964="No", "Invalid - Not Specific", IF(H964="No", "Invalid - Not Informed", IF(I964="No", "Invalid - Ambiguous", IF(J964="No", "Invalid - Not Documented", IF(AND(F964="Yes", G964="Yes", H964="Yes", I964="Yes", J964="Yes"), "Valid", "Requires Review"))))))</f>
        <v/>
      </c>
      <c r="L964" s="7" t="n"/>
      <c r="M964" s="7" t="n"/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IF(F965="No", "Invalid - Not Freely Given", IF(G965="No", "Invalid - Not Specific", IF(H965="No", "Invalid - Not Informed", IF(I965="No", "Invalid - Ambiguous", IF(J965="No", "Invalid - Not Documented", IF(AND(F965="Yes", G965="Yes", H965="Yes", I965="Yes", J965="Yes"), "Valid", "Requires Review"))))))</f>
        <v/>
      </c>
      <c r="L965" s="7" t="n"/>
      <c r="M965" s="7" t="n"/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IF(F966="No", "Invalid - Not Freely Given", IF(G966="No", "Invalid - Not Specific", IF(H966="No", "Invalid - Not Informed", IF(I966="No", "Invalid - Ambiguous", IF(J966="No", "Invalid - Not Documented", IF(AND(F966="Yes", G966="Yes", H966="Yes", I966="Yes", J966="Yes"), "Valid", "Requires Review"))))))</f>
        <v/>
      </c>
      <c r="L966" s="7" t="n"/>
      <c r="M966" s="7" t="n"/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IF(F967="No", "Invalid - Not Freely Given", IF(G967="No", "Invalid - Not Specific", IF(H967="No", "Invalid - Not Informed", IF(I967="No", "Invalid - Ambiguous", IF(J967="No", "Invalid - Not Documented", IF(AND(F967="Yes", G967="Yes", H967="Yes", I967="Yes", J967="Yes"), "Valid", "Requires Review"))))))</f>
        <v/>
      </c>
      <c r="L967" s="7" t="n"/>
      <c r="M967" s="7" t="n"/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IF(F968="No", "Invalid - Not Freely Given", IF(G968="No", "Invalid - Not Specific", IF(H968="No", "Invalid - Not Informed", IF(I968="No", "Invalid - Ambiguous", IF(J968="No", "Invalid - Not Documented", IF(AND(F968="Yes", G968="Yes", H968="Yes", I968="Yes", J968="Yes"), "Valid", "Requires Review"))))))</f>
        <v/>
      </c>
      <c r="L968" s="7" t="n"/>
      <c r="M968" s="7" t="n"/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IF(F969="No", "Invalid - Not Freely Given", IF(G969="No", "Invalid - Not Specific", IF(H969="No", "Invalid - Not Informed", IF(I969="No", "Invalid - Ambiguous", IF(J969="No", "Invalid - Not Documented", IF(AND(F969="Yes", G969="Yes", H969="Yes", I969="Yes", J969="Yes"), "Valid", "Requires Review"))))))</f>
        <v/>
      </c>
      <c r="L969" s="7" t="n"/>
      <c r="M969" s="7" t="n"/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IF(F970="No", "Invalid - Not Freely Given", IF(G970="No", "Invalid - Not Specific", IF(H970="No", "Invalid - Not Informed", IF(I970="No", "Invalid - Ambiguous", IF(J970="No", "Invalid - Not Documented", IF(AND(F970="Yes", G970="Yes", H970="Yes", I970="Yes", J970="Yes"), "Valid", "Requires Review"))))))</f>
        <v/>
      </c>
      <c r="L970" s="7" t="n"/>
      <c r="M970" s="7" t="n"/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IF(F971="No", "Invalid - Not Freely Given", IF(G971="No", "Invalid - Not Specific", IF(H971="No", "Invalid - Not Informed", IF(I971="No", "Invalid - Ambiguous", IF(J971="No", "Invalid - Not Documented", IF(AND(F971="Yes", G971="Yes", H971="Yes", I971="Yes", J971="Yes"), "Valid", "Requires Review"))))))</f>
        <v/>
      </c>
      <c r="L971" s="7" t="n"/>
      <c r="M971" s="7" t="n"/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IF(F972="No", "Invalid - Not Freely Given", IF(G972="No", "Invalid - Not Specific", IF(H972="No", "Invalid - Not Informed", IF(I972="No", "Invalid - Ambiguous", IF(J972="No", "Invalid - Not Documented", IF(AND(F972="Yes", G972="Yes", H972="Yes", I972="Yes", J972="Yes"), "Valid", "Requires Review"))))))</f>
        <v/>
      </c>
      <c r="L972" s="7" t="n"/>
      <c r="M972" s="7" t="n"/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IF(F973="No", "Invalid - Not Freely Given", IF(G973="No", "Invalid - Not Specific", IF(H973="No", "Invalid - Not Informed", IF(I973="No", "Invalid - Ambiguous", IF(J973="No", "Invalid - Not Documented", IF(AND(F973="Yes", G973="Yes", H973="Yes", I973="Yes", J973="Yes"), "Valid", "Requires Review"))))))</f>
        <v/>
      </c>
      <c r="L973" s="7" t="n"/>
      <c r="M973" s="7" t="n"/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IF(F974="No", "Invalid - Not Freely Given", IF(G974="No", "Invalid - Not Specific", IF(H974="No", "Invalid - Not Informed", IF(I974="No", "Invalid - Ambiguous", IF(J974="No", "Invalid - Not Documented", IF(AND(F974="Yes", G974="Yes", H974="Yes", I974="Yes", J974="Yes"), "Valid", "Requires Review"))))))</f>
        <v/>
      </c>
      <c r="L974" s="7" t="n"/>
      <c r="M974" s="7" t="n"/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IF(F975="No", "Invalid - Not Freely Given", IF(G975="No", "Invalid - Not Specific", IF(H975="No", "Invalid - Not Informed", IF(I975="No", "Invalid - Ambiguous", IF(J975="No", "Invalid - Not Documented", IF(AND(F975="Yes", G975="Yes", H975="Yes", I975="Yes", J975="Yes"), "Valid", "Requires Review"))))))</f>
        <v/>
      </c>
      <c r="L975" s="7" t="n"/>
      <c r="M975" s="7" t="n"/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IF(F976="No", "Invalid - Not Freely Given", IF(G976="No", "Invalid - Not Specific", IF(H976="No", "Invalid - Not Informed", IF(I976="No", "Invalid - Ambiguous", IF(J976="No", "Invalid - Not Documented", IF(AND(F976="Yes", G976="Yes", H976="Yes", I976="Yes", J976="Yes"), "Valid", "Requires Review"))))))</f>
        <v/>
      </c>
      <c r="L976" s="7" t="n"/>
      <c r="M976" s="7" t="n"/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IF(F977="No", "Invalid - Not Freely Given", IF(G977="No", "Invalid - Not Specific", IF(H977="No", "Invalid - Not Informed", IF(I977="No", "Invalid - Ambiguous", IF(J977="No", "Invalid - Not Documented", IF(AND(F977="Yes", G977="Yes", H977="Yes", I977="Yes", J977="Yes"), "Valid", "Requires Review"))))))</f>
        <v/>
      </c>
      <c r="L977" s="7" t="n"/>
      <c r="M977" s="7" t="n"/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IF(F978="No", "Invalid - Not Freely Given", IF(G978="No", "Invalid - Not Specific", IF(H978="No", "Invalid - Not Informed", IF(I978="No", "Invalid - Ambiguous", IF(J978="No", "Invalid - Not Documented", IF(AND(F978="Yes", G978="Yes", H978="Yes", I978="Yes", J978="Yes"), "Valid", "Requires Review"))))))</f>
        <v/>
      </c>
      <c r="L978" s="7" t="n"/>
      <c r="M978" s="7" t="n"/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IF(F979="No", "Invalid - Not Freely Given", IF(G979="No", "Invalid - Not Specific", IF(H979="No", "Invalid - Not Informed", IF(I979="No", "Invalid - Ambiguous", IF(J979="No", "Invalid - Not Documented", IF(AND(F979="Yes", G979="Yes", H979="Yes", I979="Yes", J979="Yes"), "Valid", "Requires Review"))))))</f>
        <v/>
      </c>
      <c r="L979" s="7" t="n"/>
      <c r="M979" s="7" t="n"/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IF(F980="No", "Invalid - Not Freely Given", IF(G980="No", "Invalid - Not Specific", IF(H980="No", "Invalid - Not Informed", IF(I980="No", "Invalid - Ambiguous", IF(J980="No", "Invalid - Not Documented", IF(AND(F980="Yes", G980="Yes", H980="Yes", I980="Yes", J980="Yes"), "Valid", "Requires Review"))))))</f>
        <v/>
      </c>
      <c r="L980" s="7" t="n"/>
      <c r="M980" s="7" t="n"/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IF(F981="No", "Invalid - Not Freely Given", IF(G981="No", "Invalid - Not Specific", IF(H981="No", "Invalid - Not Informed", IF(I981="No", "Invalid - Ambiguous", IF(J981="No", "Invalid - Not Documented", IF(AND(F981="Yes", G981="Yes", H981="Yes", I981="Yes", J981="Yes"), "Valid", "Requires Review"))))))</f>
        <v/>
      </c>
      <c r="L981" s="7" t="n"/>
      <c r="M981" s="7" t="n"/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IF(F982="No", "Invalid - Not Freely Given", IF(G982="No", "Invalid - Not Specific", IF(H982="No", "Invalid - Not Informed", IF(I982="No", "Invalid - Ambiguous", IF(J982="No", "Invalid - Not Documented", IF(AND(F982="Yes", G982="Yes", H982="Yes", I982="Yes", J982="Yes"), "Valid", "Requires Review"))))))</f>
        <v/>
      </c>
      <c r="L982" s="7" t="n"/>
      <c r="M982" s="7" t="n"/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IF(F983="No", "Invalid - Not Freely Given", IF(G983="No", "Invalid - Not Specific", IF(H983="No", "Invalid - Not Informed", IF(I983="No", "Invalid - Ambiguous", IF(J983="No", "Invalid - Not Documented", IF(AND(F983="Yes", G983="Yes", H983="Yes", I983="Yes", J983="Yes"), "Valid", "Requires Review"))))))</f>
        <v/>
      </c>
      <c r="L983" s="7" t="n"/>
      <c r="M983" s="7" t="n"/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IF(F984="No", "Invalid - Not Freely Given", IF(G984="No", "Invalid - Not Specific", IF(H984="No", "Invalid - Not Informed", IF(I984="No", "Invalid - Ambiguous", IF(J984="No", "Invalid - Not Documented", IF(AND(F984="Yes", G984="Yes", H984="Yes", I984="Yes", J984="Yes"), "Valid", "Requires Review"))))))</f>
        <v/>
      </c>
      <c r="L984" s="7" t="n"/>
      <c r="M984" s="7" t="n"/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IF(F985="No", "Invalid - Not Freely Given", IF(G985="No", "Invalid - Not Specific", IF(H985="No", "Invalid - Not Informed", IF(I985="No", "Invalid - Ambiguous", IF(J985="No", "Invalid - Not Documented", IF(AND(F985="Yes", G985="Yes", H985="Yes", I985="Yes", J985="Yes"), "Valid", "Requires Review"))))))</f>
        <v/>
      </c>
      <c r="L985" s="7" t="n"/>
      <c r="M985" s="7" t="n"/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IF(F986="No", "Invalid - Not Freely Given", IF(G986="No", "Invalid - Not Specific", IF(H986="No", "Invalid - Not Informed", IF(I986="No", "Invalid - Ambiguous", IF(J986="No", "Invalid - Not Documented", IF(AND(F986="Yes", G986="Yes", H986="Yes", I986="Yes", J986="Yes"), "Valid", "Requires Review"))))))</f>
        <v/>
      </c>
      <c r="L986" s="7" t="n"/>
      <c r="M986" s="7" t="n"/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IF(F987="No", "Invalid - Not Freely Given", IF(G987="No", "Invalid - Not Specific", IF(H987="No", "Invalid - Not Informed", IF(I987="No", "Invalid - Ambiguous", IF(J987="No", "Invalid - Not Documented", IF(AND(F987="Yes", G987="Yes", H987="Yes", I987="Yes", J987="Yes"), "Valid", "Requires Review"))))))</f>
        <v/>
      </c>
      <c r="L987" s="7" t="n"/>
      <c r="M987" s="7" t="n"/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IF(F988="No", "Invalid - Not Freely Given", IF(G988="No", "Invalid - Not Specific", IF(H988="No", "Invalid - Not Informed", IF(I988="No", "Invalid - Ambiguous", IF(J988="No", "Invalid - Not Documented", IF(AND(F988="Yes", G988="Yes", H988="Yes", I988="Yes", J988="Yes"), "Valid", "Requires Review"))))))</f>
        <v/>
      </c>
      <c r="L988" s="7" t="n"/>
      <c r="M988" s="7" t="n"/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IF(F989="No", "Invalid - Not Freely Given", IF(G989="No", "Invalid - Not Specific", IF(H989="No", "Invalid - Not Informed", IF(I989="No", "Invalid - Ambiguous", IF(J989="No", "Invalid - Not Documented", IF(AND(F989="Yes", G989="Yes", H989="Yes", I989="Yes", J989="Yes"), "Valid", "Requires Review"))))))</f>
        <v/>
      </c>
      <c r="L989" s="7" t="n"/>
      <c r="M989" s="7" t="n"/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IF(F990="No", "Invalid - Not Freely Given", IF(G990="No", "Invalid - Not Specific", IF(H990="No", "Invalid - Not Informed", IF(I990="No", "Invalid - Ambiguous", IF(J990="No", "Invalid - Not Documented", IF(AND(F990="Yes", G990="Yes", H990="Yes", I990="Yes", J990="Yes"), "Valid", "Requires Review"))))))</f>
        <v/>
      </c>
      <c r="L990" s="7" t="n"/>
      <c r="M990" s="7" t="n"/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IF(F991="No", "Invalid - Not Freely Given", IF(G991="No", "Invalid - Not Specific", IF(H991="No", "Invalid - Not Informed", IF(I991="No", "Invalid - Ambiguous", IF(J991="No", "Invalid - Not Documented", IF(AND(F991="Yes", G991="Yes", H991="Yes", I991="Yes", J991="Yes"), "Valid", "Requires Review"))))))</f>
        <v/>
      </c>
      <c r="L991" s="7" t="n"/>
      <c r="M991" s="7" t="n"/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IF(F992="No", "Invalid - Not Freely Given", IF(G992="No", "Invalid - Not Specific", IF(H992="No", "Invalid - Not Informed", IF(I992="No", "Invalid - Ambiguous", IF(J992="No", "Invalid - Not Documented", IF(AND(F992="Yes", G992="Yes", H992="Yes", I992="Yes", J992="Yes"), "Valid", "Requires Review"))))))</f>
        <v/>
      </c>
      <c r="L992" s="7" t="n"/>
      <c r="M992" s="7" t="n"/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IF(F993="No", "Invalid - Not Freely Given", IF(G993="No", "Invalid - Not Specific", IF(H993="No", "Invalid - Not Informed", IF(I993="No", "Invalid - Ambiguous", IF(J993="No", "Invalid - Not Documented", IF(AND(F993="Yes", G993="Yes", H993="Yes", I993="Yes", J993="Yes"), "Valid", "Requires Review"))))))</f>
        <v/>
      </c>
      <c r="L993" s="7" t="n"/>
      <c r="M993" s="7" t="n"/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IF(F994="No", "Invalid - Not Freely Given", IF(G994="No", "Invalid - Not Specific", IF(H994="No", "Invalid - Not Informed", IF(I994="No", "Invalid - Ambiguous", IF(J994="No", "Invalid - Not Documented", IF(AND(F994="Yes", G994="Yes", H994="Yes", I994="Yes", J994="Yes"), "Valid", "Requires Review"))))))</f>
        <v/>
      </c>
      <c r="L994" s="7" t="n"/>
      <c r="M994" s="7" t="n"/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IF(F995="No", "Invalid - Not Freely Given", IF(G995="No", "Invalid - Not Specific", IF(H995="No", "Invalid - Not Informed", IF(I995="No", "Invalid - Ambiguous", IF(J995="No", "Invalid - Not Documented", IF(AND(F995="Yes", G995="Yes", H995="Yes", I995="Yes", J995="Yes"), "Valid", "Requires Review"))))))</f>
        <v/>
      </c>
      <c r="L995" s="7" t="n"/>
      <c r="M995" s="7" t="n"/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IF(F996="No", "Invalid - Not Freely Given", IF(G996="No", "Invalid - Not Specific", IF(H996="No", "Invalid - Not Informed", IF(I996="No", "Invalid - Ambiguous", IF(J996="No", "Invalid - Not Documented", IF(AND(F996="Yes", G996="Yes", H996="Yes", I996="Yes", J996="Yes"), "Valid", "Requires Review"))))))</f>
        <v/>
      </c>
      <c r="L996" s="7" t="n"/>
      <c r="M996" s="7" t="n"/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IF(F997="No", "Invalid - Not Freely Given", IF(G997="No", "Invalid - Not Specific", IF(H997="No", "Invalid - Not Informed", IF(I997="No", "Invalid - Ambiguous", IF(J997="No", "Invalid - Not Documented", IF(AND(F997="Yes", G997="Yes", H997="Yes", I997="Yes", J997="Yes"), "Valid", "Requires Review"))))))</f>
        <v/>
      </c>
      <c r="L997" s="7" t="n"/>
      <c r="M997" s="7" t="n"/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IF(F998="No", "Invalid - Not Freely Given", IF(G998="No", "Invalid - Not Specific", IF(H998="No", "Invalid - Not Informed", IF(I998="No", "Invalid - Ambiguous", IF(J998="No", "Invalid - Not Documented", IF(AND(F998="Yes", G998="Yes", H998="Yes", I998="Yes", J998="Yes"), "Valid", "Requires Review"))))))</f>
        <v/>
      </c>
      <c r="L998" s="7" t="n"/>
      <c r="M998" s="7" t="n"/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IF(F999="No", "Invalid - Not Freely Given", IF(G999="No", "Invalid - Not Specific", IF(H999="No", "Invalid - Not Informed", IF(I999="No", "Invalid - Ambiguous", IF(J999="No", "Invalid - Not Documented", IF(AND(F999="Yes", G999="Yes", H999="Yes", I999="Yes", J999="Yes"), "Valid", "Requires Review"))))))</f>
        <v/>
      </c>
      <c r="L999" s="7" t="n"/>
      <c r="M999" s="7" t="n"/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IF(F1000="No", "Invalid - Not Freely Given", IF(G1000="No", "Invalid - Not Specific", IF(H1000="No", "Invalid - Not Informed", IF(I1000="No", "Invalid - Ambiguous", IF(J1000="No", "Invalid - Not Documented", IF(AND(F1000="Yes", G1000="Yes", H1000="Yes", I1000="Yes", J1000="Yes"), "Valid", "Requires Review"))))))</f>
        <v/>
      </c>
      <c r="L1000" s="7" t="n"/>
      <c r="M1000" s="7" t="n"/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K2:K1000">
    <cfRule type="cellIs" priority="1" operator="equal" dxfId="0">
      <formula>"Valid"</formula>
    </cfRule>
    <cfRule type="cellIs" priority="2" operator="containsText" dxfId="2">
      <formula>"Invalid"</formula>
    </cfRule>
  </conditionalFormatting>
  <conditionalFormatting sqref="F2:F1000">
    <cfRule type="cellIs" priority="3" operator="equal" dxfId="4">
      <formula>"No"</formula>
    </cfRule>
  </conditionalFormatting>
  <conditionalFormatting sqref="G2:G1000">
    <cfRule type="cellIs" priority="4" operator="equal" dxfId="4">
      <formula>"No"</formula>
    </cfRule>
  </conditionalFormatting>
  <conditionalFormatting sqref="H2:H1000">
    <cfRule type="cellIs" priority="5" operator="equal" dxfId="4">
      <formula>"No"</formula>
    </cfRule>
  </conditionalFormatting>
  <conditionalFormatting sqref="I2:I1000">
    <cfRule type="cellIs" priority="6" operator="equal" dxfId="4">
      <formula>"No"</formula>
    </cfRule>
  </conditionalFormatting>
  <conditionalFormatting sqref="J2:J1000">
    <cfRule type="cellIs" priority="7" operator="equal" dxfId="4">
      <formula>"No"</formula>
    </cfRule>
  </conditionalFormatting>
  <conditionalFormatting sqref="L2:L1000">
    <cfRule type="cellIs" priority="8" operator="equal" dxfId="5">
      <formula>"No"</formula>
    </cfRule>
  </conditionalFormatting>
  <dataValidations count="4">
    <dataValidation sqref="E2:E1000" showDropDown="0" showInputMessage="0" showErrorMessage="1" allowBlank="0" errorTitle="Invalid Input" error="Please select from dropdown list" type="list">
      <formula1>"Website Form (Opt-In Checkbox),Double Opt-In (Email Confirmation),Written Signature,Verbal Consent (Recorded),Implied Consent,Not Documented"</formula1>
    </dataValidation>
    <dataValidation sqref="F2:J1000" showDropDown="0" showInputMessage="0" showErrorMessage="1" allowBlank="0" errorTitle="Invalid Input" error="Please select from dropdown list" type="list">
      <formula1>"Yes,No,Uncertain"</formula1>
    </dataValidation>
    <dataValidation sqref="L2:L1000" showDropDown="0" showInputMessage="0" showErrorMessage="1" allowBlank="0" errorTitle="Invalid Input" error="Please select from dropdown list" type="list">
      <formula1>"Yes,No"</formula1>
    </dataValidation>
    <dataValidation sqref="P2:P1000" showDropDown="0" showInputMessage="0" showErrorMessage="1" allowBlank="0" errorTitle="Invalid Input" error="Please select from dropdown list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15" customWidth="1" min="6" max="6"/>
    <col width="60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Current Legal Basis</t>
        </is>
      </c>
      <c r="D1" s="6" t="inlineStr">
        <is>
          <t>Gap Type</t>
        </is>
      </c>
      <c r="E1" s="6" t="inlineStr">
        <is>
          <t>Risk Level</t>
        </is>
      </c>
      <c r="F1" s="6" t="inlineStr">
        <is>
          <t>Remediation Priority</t>
        </is>
      </c>
      <c r="G1" s="6" t="inlineStr">
        <is>
          <t>Remediation Action</t>
        </is>
      </c>
      <c r="H1" s="6" t="inlineStr">
        <is>
          <t>Remediation Owner</t>
        </is>
      </c>
      <c r="I1" s="6" t="inlineStr">
        <is>
          <t>Target Date</t>
        </is>
      </c>
      <c r="J1" s="6" t="inlineStr">
        <is>
          <t>Status</t>
        </is>
      </c>
      <c r="K1" s="6" t="inlineStr">
        <is>
          <t>Completion Date</t>
        </is>
      </c>
      <c r="L1" s="6" t="inlineStr">
        <is>
          <t>Verification Notes</t>
        </is>
      </c>
    </row>
    <row r="2">
      <c r="F2" s="7" t="n"/>
      <c r="G2" s="7" t="n"/>
      <c r="H2" s="7" t="n"/>
      <c r="I2" s="7" t="n"/>
      <c r="J2" s="7" t="n"/>
      <c r="K2" s="7" t="n"/>
      <c r="L2" s="7" t="n"/>
    </row>
    <row r="3">
      <c r="F3" s="7" t="n"/>
      <c r="G3" s="7" t="n"/>
      <c r="H3" s="7" t="n"/>
      <c r="I3" s="7" t="n"/>
      <c r="J3" s="7" t="n"/>
      <c r="K3" s="7" t="n"/>
      <c r="L3" s="7" t="n"/>
    </row>
    <row r="4">
      <c r="F4" s="7" t="n"/>
      <c r="G4" s="7" t="n"/>
      <c r="H4" s="7" t="n"/>
      <c r="I4" s="7" t="n"/>
      <c r="J4" s="7" t="n"/>
      <c r="K4" s="7" t="n"/>
      <c r="L4" s="7" t="n"/>
    </row>
    <row r="5">
      <c r="F5" s="7" t="n"/>
      <c r="G5" s="7" t="n"/>
      <c r="H5" s="7" t="n"/>
      <c r="I5" s="7" t="n"/>
      <c r="J5" s="7" t="n"/>
      <c r="K5" s="7" t="n"/>
      <c r="L5" s="7" t="n"/>
    </row>
    <row r="6">
      <c r="F6" s="7" t="n"/>
      <c r="G6" s="7" t="n"/>
      <c r="H6" s="7" t="n"/>
      <c r="I6" s="7" t="n"/>
      <c r="J6" s="7" t="n"/>
      <c r="K6" s="7" t="n"/>
      <c r="L6" s="7" t="n"/>
    </row>
    <row r="7">
      <c r="F7" s="7" t="n"/>
      <c r="G7" s="7" t="n"/>
      <c r="H7" s="7" t="n"/>
      <c r="I7" s="7" t="n"/>
      <c r="J7" s="7" t="n"/>
      <c r="K7" s="7" t="n"/>
      <c r="L7" s="7" t="n"/>
    </row>
    <row r="8">
      <c r="F8" s="7" t="n"/>
      <c r="G8" s="7" t="n"/>
      <c r="H8" s="7" t="n"/>
      <c r="I8" s="7" t="n"/>
      <c r="J8" s="7" t="n"/>
      <c r="K8" s="7" t="n"/>
      <c r="L8" s="7" t="n"/>
    </row>
    <row r="9">
      <c r="F9" s="7" t="n"/>
      <c r="G9" s="7" t="n"/>
      <c r="H9" s="7" t="n"/>
      <c r="I9" s="7" t="n"/>
      <c r="J9" s="7" t="n"/>
      <c r="K9" s="7" t="n"/>
      <c r="L9" s="7" t="n"/>
    </row>
    <row r="10">
      <c r="F10" s="7" t="n"/>
      <c r="G10" s="7" t="n"/>
      <c r="H10" s="7" t="n"/>
      <c r="I10" s="7" t="n"/>
      <c r="J10" s="7" t="n"/>
      <c r="K10" s="7" t="n"/>
      <c r="L10" s="7" t="n"/>
    </row>
    <row r="11">
      <c r="F11" s="7" t="n"/>
      <c r="G11" s="7" t="n"/>
      <c r="H11" s="7" t="n"/>
      <c r="I11" s="7" t="n"/>
      <c r="J11" s="7" t="n"/>
      <c r="K11" s="7" t="n"/>
      <c r="L11" s="7" t="n"/>
    </row>
    <row r="12">
      <c r="F12" s="7" t="n"/>
      <c r="G12" s="7" t="n"/>
      <c r="H12" s="7" t="n"/>
      <c r="I12" s="7" t="n"/>
      <c r="J12" s="7" t="n"/>
      <c r="K12" s="7" t="n"/>
      <c r="L12" s="7" t="n"/>
    </row>
    <row r="13">
      <c r="F13" s="7" t="n"/>
      <c r="G13" s="7" t="n"/>
      <c r="H13" s="7" t="n"/>
      <c r="I13" s="7" t="n"/>
      <c r="J13" s="7" t="n"/>
      <c r="K13" s="7" t="n"/>
      <c r="L13" s="7" t="n"/>
    </row>
    <row r="14">
      <c r="F14" s="7" t="n"/>
      <c r="G14" s="7" t="n"/>
      <c r="H14" s="7" t="n"/>
      <c r="I14" s="7" t="n"/>
      <c r="J14" s="7" t="n"/>
      <c r="K14" s="7" t="n"/>
      <c r="L14" s="7" t="n"/>
    </row>
    <row r="15">
      <c r="F15" s="7" t="n"/>
      <c r="G15" s="7" t="n"/>
      <c r="H15" s="7" t="n"/>
      <c r="I15" s="7" t="n"/>
      <c r="J15" s="7" t="n"/>
      <c r="K15" s="7" t="n"/>
      <c r="L15" s="7" t="n"/>
    </row>
    <row r="16">
      <c r="F16" s="7" t="n"/>
      <c r="G16" s="7" t="n"/>
      <c r="H16" s="7" t="n"/>
      <c r="I16" s="7" t="n"/>
      <c r="J16" s="7" t="n"/>
      <c r="K16" s="7" t="n"/>
      <c r="L16" s="7" t="n"/>
    </row>
    <row r="17">
      <c r="F17" s="7" t="n"/>
      <c r="G17" s="7" t="n"/>
      <c r="H17" s="7" t="n"/>
      <c r="I17" s="7" t="n"/>
      <c r="J17" s="7" t="n"/>
      <c r="K17" s="7" t="n"/>
      <c r="L17" s="7" t="n"/>
    </row>
    <row r="18">
      <c r="F18" s="7" t="n"/>
      <c r="G18" s="7" t="n"/>
      <c r="H18" s="7" t="n"/>
      <c r="I18" s="7" t="n"/>
      <c r="J18" s="7" t="n"/>
      <c r="K18" s="7" t="n"/>
      <c r="L18" s="7" t="n"/>
    </row>
    <row r="19">
      <c r="F19" s="7" t="n"/>
      <c r="G19" s="7" t="n"/>
      <c r="H19" s="7" t="n"/>
      <c r="I19" s="7" t="n"/>
      <c r="J19" s="7" t="n"/>
      <c r="K19" s="7" t="n"/>
      <c r="L19" s="7" t="n"/>
    </row>
    <row r="20">
      <c r="F20" s="7" t="n"/>
      <c r="G20" s="7" t="n"/>
      <c r="H20" s="7" t="n"/>
      <c r="I20" s="7" t="n"/>
      <c r="J20" s="7" t="n"/>
      <c r="K20" s="7" t="n"/>
      <c r="L20" s="7" t="n"/>
    </row>
    <row r="21">
      <c r="F21" s="7" t="n"/>
      <c r="G21" s="7" t="n"/>
      <c r="H21" s="7" t="n"/>
      <c r="I21" s="7" t="n"/>
      <c r="J21" s="7" t="n"/>
      <c r="K21" s="7" t="n"/>
      <c r="L21" s="7" t="n"/>
    </row>
    <row r="22">
      <c r="F22" s="7" t="n"/>
      <c r="G22" s="7" t="n"/>
      <c r="H22" s="7" t="n"/>
      <c r="I22" s="7" t="n"/>
      <c r="J22" s="7" t="n"/>
      <c r="K22" s="7" t="n"/>
      <c r="L22" s="7" t="n"/>
    </row>
    <row r="23">
      <c r="F23" s="7" t="n"/>
      <c r="G23" s="7" t="n"/>
      <c r="H23" s="7" t="n"/>
      <c r="I23" s="7" t="n"/>
      <c r="J23" s="7" t="n"/>
      <c r="K23" s="7" t="n"/>
      <c r="L23" s="7" t="n"/>
    </row>
    <row r="24">
      <c r="F24" s="7" t="n"/>
      <c r="G24" s="7" t="n"/>
      <c r="H24" s="7" t="n"/>
      <c r="I24" s="7" t="n"/>
      <c r="J24" s="7" t="n"/>
      <c r="K24" s="7" t="n"/>
      <c r="L24" s="7" t="n"/>
    </row>
    <row r="25">
      <c r="F25" s="7" t="n"/>
      <c r="G25" s="7" t="n"/>
      <c r="H25" s="7" t="n"/>
      <c r="I25" s="7" t="n"/>
      <c r="J25" s="7" t="n"/>
      <c r="K25" s="7" t="n"/>
      <c r="L25" s="7" t="n"/>
    </row>
    <row r="26">
      <c r="F26" s="7" t="n"/>
      <c r="G26" s="7" t="n"/>
      <c r="H26" s="7" t="n"/>
      <c r="I26" s="7" t="n"/>
      <c r="J26" s="7" t="n"/>
      <c r="K26" s="7" t="n"/>
      <c r="L26" s="7" t="n"/>
    </row>
    <row r="27">
      <c r="F27" s="7" t="n"/>
      <c r="G27" s="7" t="n"/>
      <c r="H27" s="7" t="n"/>
      <c r="I27" s="7" t="n"/>
      <c r="J27" s="7" t="n"/>
      <c r="K27" s="7" t="n"/>
      <c r="L27" s="7" t="n"/>
    </row>
    <row r="28">
      <c r="F28" s="7" t="n"/>
      <c r="G28" s="7" t="n"/>
      <c r="H28" s="7" t="n"/>
      <c r="I28" s="7" t="n"/>
      <c r="J28" s="7" t="n"/>
      <c r="K28" s="7" t="n"/>
      <c r="L28" s="7" t="n"/>
    </row>
    <row r="29">
      <c r="F29" s="7" t="n"/>
      <c r="G29" s="7" t="n"/>
      <c r="H29" s="7" t="n"/>
      <c r="I29" s="7" t="n"/>
      <c r="J29" s="7" t="n"/>
      <c r="K29" s="7" t="n"/>
      <c r="L29" s="7" t="n"/>
    </row>
    <row r="30">
      <c r="F30" s="7" t="n"/>
      <c r="G30" s="7" t="n"/>
      <c r="H30" s="7" t="n"/>
      <c r="I30" s="7" t="n"/>
      <c r="J30" s="7" t="n"/>
      <c r="K30" s="7" t="n"/>
      <c r="L30" s="7" t="n"/>
    </row>
    <row r="31">
      <c r="F31" s="7" t="n"/>
      <c r="G31" s="7" t="n"/>
      <c r="H31" s="7" t="n"/>
      <c r="I31" s="7" t="n"/>
      <c r="J31" s="7" t="n"/>
      <c r="K31" s="7" t="n"/>
      <c r="L31" s="7" t="n"/>
    </row>
    <row r="32">
      <c r="F32" s="7" t="n"/>
      <c r="G32" s="7" t="n"/>
      <c r="H32" s="7" t="n"/>
      <c r="I32" s="7" t="n"/>
      <c r="J32" s="7" t="n"/>
      <c r="K32" s="7" t="n"/>
      <c r="L32" s="7" t="n"/>
    </row>
    <row r="33">
      <c r="F33" s="7" t="n"/>
      <c r="G33" s="7" t="n"/>
      <c r="H33" s="7" t="n"/>
      <c r="I33" s="7" t="n"/>
      <c r="J33" s="7" t="n"/>
      <c r="K33" s="7" t="n"/>
      <c r="L33" s="7" t="n"/>
    </row>
    <row r="34">
      <c r="F34" s="7" t="n"/>
      <c r="G34" s="7" t="n"/>
      <c r="H34" s="7" t="n"/>
      <c r="I34" s="7" t="n"/>
      <c r="J34" s="7" t="n"/>
      <c r="K34" s="7" t="n"/>
      <c r="L34" s="7" t="n"/>
    </row>
    <row r="35">
      <c r="F35" s="7" t="n"/>
      <c r="G35" s="7" t="n"/>
      <c r="H35" s="7" t="n"/>
      <c r="I35" s="7" t="n"/>
      <c r="J35" s="7" t="n"/>
      <c r="K35" s="7" t="n"/>
      <c r="L35" s="7" t="n"/>
    </row>
    <row r="36">
      <c r="F36" s="7" t="n"/>
      <c r="G36" s="7" t="n"/>
      <c r="H36" s="7" t="n"/>
      <c r="I36" s="7" t="n"/>
      <c r="J36" s="7" t="n"/>
      <c r="K36" s="7" t="n"/>
      <c r="L36" s="7" t="n"/>
    </row>
    <row r="37">
      <c r="F37" s="7" t="n"/>
      <c r="G37" s="7" t="n"/>
      <c r="H37" s="7" t="n"/>
      <c r="I37" s="7" t="n"/>
      <c r="J37" s="7" t="n"/>
      <c r="K37" s="7" t="n"/>
      <c r="L37" s="7" t="n"/>
    </row>
    <row r="38">
      <c r="F38" s="7" t="n"/>
      <c r="G38" s="7" t="n"/>
      <c r="H38" s="7" t="n"/>
      <c r="I38" s="7" t="n"/>
      <c r="J38" s="7" t="n"/>
      <c r="K38" s="7" t="n"/>
      <c r="L38" s="7" t="n"/>
    </row>
    <row r="39">
      <c r="F39" s="7" t="n"/>
      <c r="G39" s="7" t="n"/>
      <c r="H39" s="7" t="n"/>
      <c r="I39" s="7" t="n"/>
      <c r="J39" s="7" t="n"/>
      <c r="K39" s="7" t="n"/>
      <c r="L39" s="7" t="n"/>
    </row>
    <row r="40">
      <c r="F40" s="7" t="n"/>
      <c r="G40" s="7" t="n"/>
      <c r="H40" s="7" t="n"/>
      <c r="I40" s="7" t="n"/>
      <c r="J40" s="7" t="n"/>
      <c r="K40" s="7" t="n"/>
      <c r="L40" s="7" t="n"/>
    </row>
    <row r="41">
      <c r="F41" s="7" t="n"/>
      <c r="G41" s="7" t="n"/>
      <c r="H41" s="7" t="n"/>
      <c r="I41" s="7" t="n"/>
      <c r="J41" s="7" t="n"/>
      <c r="K41" s="7" t="n"/>
      <c r="L41" s="7" t="n"/>
    </row>
    <row r="42">
      <c r="F42" s="7" t="n"/>
      <c r="G42" s="7" t="n"/>
      <c r="H42" s="7" t="n"/>
      <c r="I42" s="7" t="n"/>
      <c r="J42" s="7" t="n"/>
      <c r="K42" s="7" t="n"/>
      <c r="L42" s="7" t="n"/>
    </row>
    <row r="43">
      <c r="F43" s="7" t="n"/>
      <c r="G43" s="7" t="n"/>
      <c r="H43" s="7" t="n"/>
      <c r="I43" s="7" t="n"/>
      <c r="J43" s="7" t="n"/>
      <c r="K43" s="7" t="n"/>
      <c r="L43" s="7" t="n"/>
    </row>
    <row r="44">
      <c r="F44" s="7" t="n"/>
      <c r="G44" s="7" t="n"/>
      <c r="H44" s="7" t="n"/>
      <c r="I44" s="7" t="n"/>
      <c r="J44" s="7" t="n"/>
      <c r="K44" s="7" t="n"/>
      <c r="L44" s="7" t="n"/>
    </row>
    <row r="45">
      <c r="F45" s="7" t="n"/>
      <c r="G45" s="7" t="n"/>
      <c r="H45" s="7" t="n"/>
      <c r="I45" s="7" t="n"/>
      <c r="J45" s="7" t="n"/>
      <c r="K45" s="7" t="n"/>
      <c r="L45" s="7" t="n"/>
    </row>
    <row r="46">
      <c r="F46" s="7" t="n"/>
      <c r="G46" s="7" t="n"/>
      <c r="H46" s="7" t="n"/>
      <c r="I46" s="7" t="n"/>
      <c r="J46" s="7" t="n"/>
      <c r="K46" s="7" t="n"/>
      <c r="L46" s="7" t="n"/>
    </row>
    <row r="47">
      <c r="F47" s="7" t="n"/>
      <c r="G47" s="7" t="n"/>
      <c r="H47" s="7" t="n"/>
      <c r="I47" s="7" t="n"/>
      <c r="J47" s="7" t="n"/>
      <c r="K47" s="7" t="n"/>
      <c r="L47" s="7" t="n"/>
    </row>
    <row r="48">
      <c r="F48" s="7" t="n"/>
      <c r="G48" s="7" t="n"/>
      <c r="H48" s="7" t="n"/>
      <c r="I48" s="7" t="n"/>
      <c r="J48" s="7" t="n"/>
      <c r="K48" s="7" t="n"/>
      <c r="L48" s="7" t="n"/>
    </row>
    <row r="49">
      <c r="F49" s="7" t="n"/>
      <c r="G49" s="7" t="n"/>
      <c r="H49" s="7" t="n"/>
      <c r="I49" s="7" t="n"/>
      <c r="J49" s="7" t="n"/>
      <c r="K49" s="7" t="n"/>
      <c r="L49" s="7" t="n"/>
    </row>
    <row r="50">
      <c r="F50" s="7" t="n"/>
      <c r="G50" s="7" t="n"/>
      <c r="H50" s="7" t="n"/>
      <c r="I50" s="7" t="n"/>
      <c r="J50" s="7" t="n"/>
      <c r="K50" s="7" t="n"/>
      <c r="L50" s="7" t="n"/>
    </row>
    <row r="51">
      <c r="F51" s="7" t="n"/>
      <c r="G51" s="7" t="n"/>
      <c r="H51" s="7" t="n"/>
      <c r="I51" s="7" t="n"/>
      <c r="J51" s="7" t="n"/>
      <c r="K51" s="7" t="n"/>
      <c r="L51" s="7" t="n"/>
    </row>
    <row r="52">
      <c r="F52" s="7" t="n"/>
      <c r="G52" s="7" t="n"/>
      <c r="H52" s="7" t="n"/>
      <c r="I52" s="7" t="n"/>
      <c r="J52" s="7" t="n"/>
      <c r="K52" s="7" t="n"/>
      <c r="L52" s="7" t="n"/>
    </row>
    <row r="53">
      <c r="F53" s="7" t="n"/>
      <c r="G53" s="7" t="n"/>
      <c r="H53" s="7" t="n"/>
      <c r="I53" s="7" t="n"/>
      <c r="J53" s="7" t="n"/>
      <c r="K53" s="7" t="n"/>
      <c r="L53" s="7" t="n"/>
    </row>
    <row r="54">
      <c r="F54" s="7" t="n"/>
      <c r="G54" s="7" t="n"/>
      <c r="H54" s="7" t="n"/>
      <c r="I54" s="7" t="n"/>
      <c r="J54" s="7" t="n"/>
      <c r="K54" s="7" t="n"/>
      <c r="L54" s="7" t="n"/>
    </row>
    <row r="55">
      <c r="F55" s="7" t="n"/>
      <c r="G55" s="7" t="n"/>
      <c r="H55" s="7" t="n"/>
      <c r="I55" s="7" t="n"/>
      <c r="J55" s="7" t="n"/>
      <c r="K55" s="7" t="n"/>
      <c r="L55" s="7" t="n"/>
    </row>
    <row r="56">
      <c r="F56" s="7" t="n"/>
      <c r="G56" s="7" t="n"/>
      <c r="H56" s="7" t="n"/>
      <c r="I56" s="7" t="n"/>
      <c r="J56" s="7" t="n"/>
      <c r="K56" s="7" t="n"/>
      <c r="L56" s="7" t="n"/>
    </row>
    <row r="57">
      <c r="F57" s="7" t="n"/>
      <c r="G57" s="7" t="n"/>
      <c r="H57" s="7" t="n"/>
      <c r="I57" s="7" t="n"/>
      <c r="J57" s="7" t="n"/>
      <c r="K57" s="7" t="n"/>
      <c r="L57" s="7" t="n"/>
    </row>
    <row r="58">
      <c r="F58" s="7" t="n"/>
      <c r="G58" s="7" t="n"/>
      <c r="H58" s="7" t="n"/>
      <c r="I58" s="7" t="n"/>
      <c r="J58" s="7" t="n"/>
      <c r="K58" s="7" t="n"/>
      <c r="L58" s="7" t="n"/>
    </row>
    <row r="59">
      <c r="F59" s="7" t="n"/>
      <c r="G59" s="7" t="n"/>
      <c r="H59" s="7" t="n"/>
      <c r="I59" s="7" t="n"/>
      <c r="J59" s="7" t="n"/>
      <c r="K59" s="7" t="n"/>
      <c r="L59" s="7" t="n"/>
    </row>
    <row r="60">
      <c r="F60" s="7" t="n"/>
      <c r="G60" s="7" t="n"/>
      <c r="H60" s="7" t="n"/>
      <c r="I60" s="7" t="n"/>
      <c r="J60" s="7" t="n"/>
      <c r="K60" s="7" t="n"/>
      <c r="L60" s="7" t="n"/>
    </row>
    <row r="61">
      <c r="F61" s="7" t="n"/>
      <c r="G61" s="7" t="n"/>
      <c r="H61" s="7" t="n"/>
      <c r="I61" s="7" t="n"/>
      <c r="J61" s="7" t="n"/>
      <c r="K61" s="7" t="n"/>
      <c r="L61" s="7" t="n"/>
    </row>
    <row r="62">
      <c r="F62" s="7" t="n"/>
      <c r="G62" s="7" t="n"/>
      <c r="H62" s="7" t="n"/>
      <c r="I62" s="7" t="n"/>
      <c r="J62" s="7" t="n"/>
      <c r="K62" s="7" t="n"/>
      <c r="L62" s="7" t="n"/>
    </row>
    <row r="63">
      <c r="F63" s="7" t="n"/>
      <c r="G63" s="7" t="n"/>
      <c r="H63" s="7" t="n"/>
      <c r="I63" s="7" t="n"/>
      <c r="J63" s="7" t="n"/>
      <c r="K63" s="7" t="n"/>
      <c r="L63" s="7" t="n"/>
    </row>
    <row r="64">
      <c r="F64" s="7" t="n"/>
      <c r="G64" s="7" t="n"/>
      <c r="H64" s="7" t="n"/>
      <c r="I64" s="7" t="n"/>
      <c r="J64" s="7" t="n"/>
      <c r="K64" s="7" t="n"/>
      <c r="L64" s="7" t="n"/>
    </row>
    <row r="65">
      <c r="F65" s="7" t="n"/>
      <c r="G65" s="7" t="n"/>
      <c r="H65" s="7" t="n"/>
      <c r="I65" s="7" t="n"/>
      <c r="J65" s="7" t="n"/>
      <c r="K65" s="7" t="n"/>
      <c r="L65" s="7" t="n"/>
    </row>
    <row r="66">
      <c r="F66" s="7" t="n"/>
      <c r="G66" s="7" t="n"/>
      <c r="H66" s="7" t="n"/>
      <c r="I66" s="7" t="n"/>
      <c r="J66" s="7" t="n"/>
      <c r="K66" s="7" t="n"/>
      <c r="L66" s="7" t="n"/>
    </row>
    <row r="67">
      <c r="F67" s="7" t="n"/>
      <c r="G67" s="7" t="n"/>
      <c r="H67" s="7" t="n"/>
      <c r="I67" s="7" t="n"/>
      <c r="J67" s="7" t="n"/>
      <c r="K67" s="7" t="n"/>
      <c r="L67" s="7" t="n"/>
    </row>
    <row r="68">
      <c r="F68" s="7" t="n"/>
      <c r="G68" s="7" t="n"/>
      <c r="H68" s="7" t="n"/>
      <c r="I68" s="7" t="n"/>
      <c r="J68" s="7" t="n"/>
      <c r="K68" s="7" t="n"/>
      <c r="L68" s="7" t="n"/>
    </row>
    <row r="69">
      <c r="F69" s="7" t="n"/>
      <c r="G69" s="7" t="n"/>
      <c r="H69" s="7" t="n"/>
      <c r="I69" s="7" t="n"/>
      <c r="J69" s="7" t="n"/>
      <c r="K69" s="7" t="n"/>
      <c r="L69" s="7" t="n"/>
    </row>
    <row r="70">
      <c r="F70" s="7" t="n"/>
      <c r="G70" s="7" t="n"/>
      <c r="H70" s="7" t="n"/>
      <c r="I70" s="7" t="n"/>
      <c r="J70" s="7" t="n"/>
      <c r="K70" s="7" t="n"/>
      <c r="L70" s="7" t="n"/>
    </row>
    <row r="71">
      <c r="F71" s="7" t="n"/>
      <c r="G71" s="7" t="n"/>
      <c r="H71" s="7" t="n"/>
      <c r="I71" s="7" t="n"/>
      <c r="J71" s="7" t="n"/>
      <c r="K71" s="7" t="n"/>
      <c r="L71" s="7" t="n"/>
    </row>
    <row r="72">
      <c r="F72" s="7" t="n"/>
      <c r="G72" s="7" t="n"/>
      <c r="H72" s="7" t="n"/>
      <c r="I72" s="7" t="n"/>
      <c r="J72" s="7" t="n"/>
      <c r="K72" s="7" t="n"/>
      <c r="L72" s="7" t="n"/>
    </row>
    <row r="73">
      <c r="F73" s="7" t="n"/>
      <c r="G73" s="7" t="n"/>
      <c r="H73" s="7" t="n"/>
      <c r="I73" s="7" t="n"/>
      <c r="J73" s="7" t="n"/>
      <c r="K73" s="7" t="n"/>
      <c r="L73" s="7" t="n"/>
    </row>
    <row r="74">
      <c r="F74" s="7" t="n"/>
      <c r="G74" s="7" t="n"/>
      <c r="H74" s="7" t="n"/>
      <c r="I74" s="7" t="n"/>
      <c r="J74" s="7" t="n"/>
      <c r="K74" s="7" t="n"/>
      <c r="L74" s="7" t="n"/>
    </row>
    <row r="75">
      <c r="F75" s="7" t="n"/>
      <c r="G75" s="7" t="n"/>
      <c r="H75" s="7" t="n"/>
      <c r="I75" s="7" t="n"/>
      <c r="J75" s="7" t="n"/>
      <c r="K75" s="7" t="n"/>
      <c r="L75" s="7" t="n"/>
    </row>
    <row r="76">
      <c r="F76" s="7" t="n"/>
      <c r="G76" s="7" t="n"/>
      <c r="H76" s="7" t="n"/>
      <c r="I76" s="7" t="n"/>
      <c r="J76" s="7" t="n"/>
      <c r="K76" s="7" t="n"/>
      <c r="L76" s="7" t="n"/>
    </row>
    <row r="77">
      <c r="F77" s="7" t="n"/>
      <c r="G77" s="7" t="n"/>
      <c r="H77" s="7" t="n"/>
      <c r="I77" s="7" t="n"/>
      <c r="J77" s="7" t="n"/>
      <c r="K77" s="7" t="n"/>
      <c r="L77" s="7" t="n"/>
    </row>
    <row r="78">
      <c r="F78" s="7" t="n"/>
      <c r="G78" s="7" t="n"/>
      <c r="H78" s="7" t="n"/>
      <c r="I78" s="7" t="n"/>
      <c r="J78" s="7" t="n"/>
      <c r="K78" s="7" t="n"/>
      <c r="L78" s="7" t="n"/>
    </row>
    <row r="79">
      <c r="F79" s="7" t="n"/>
      <c r="G79" s="7" t="n"/>
      <c r="H79" s="7" t="n"/>
      <c r="I79" s="7" t="n"/>
      <c r="J79" s="7" t="n"/>
      <c r="K79" s="7" t="n"/>
      <c r="L79" s="7" t="n"/>
    </row>
    <row r="80">
      <c r="F80" s="7" t="n"/>
      <c r="G80" s="7" t="n"/>
      <c r="H80" s="7" t="n"/>
      <c r="I80" s="7" t="n"/>
      <c r="J80" s="7" t="n"/>
      <c r="K80" s="7" t="n"/>
      <c r="L80" s="7" t="n"/>
    </row>
    <row r="81">
      <c r="F81" s="7" t="n"/>
      <c r="G81" s="7" t="n"/>
      <c r="H81" s="7" t="n"/>
      <c r="I81" s="7" t="n"/>
      <c r="J81" s="7" t="n"/>
      <c r="K81" s="7" t="n"/>
      <c r="L81" s="7" t="n"/>
    </row>
    <row r="82">
      <c r="F82" s="7" t="n"/>
      <c r="G82" s="7" t="n"/>
      <c r="H82" s="7" t="n"/>
      <c r="I82" s="7" t="n"/>
      <c r="J82" s="7" t="n"/>
      <c r="K82" s="7" t="n"/>
      <c r="L82" s="7" t="n"/>
    </row>
    <row r="83">
      <c r="F83" s="7" t="n"/>
      <c r="G83" s="7" t="n"/>
      <c r="H83" s="7" t="n"/>
      <c r="I83" s="7" t="n"/>
      <c r="J83" s="7" t="n"/>
      <c r="K83" s="7" t="n"/>
      <c r="L83" s="7" t="n"/>
    </row>
    <row r="84">
      <c r="F84" s="7" t="n"/>
      <c r="G84" s="7" t="n"/>
      <c r="H84" s="7" t="n"/>
      <c r="I84" s="7" t="n"/>
      <c r="J84" s="7" t="n"/>
      <c r="K84" s="7" t="n"/>
      <c r="L84" s="7" t="n"/>
    </row>
    <row r="85">
      <c r="F85" s="7" t="n"/>
      <c r="G85" s="7" t="n"/>
      <c r="H85" s="7" t="n"/>
      <c r="I85" s="7" t="n"/>
      <c r="J85" s="7" t="n"/>
      <c r="K85" s="7" t="n"/>
      <c r="L85" s="7" t="n"/>
    </row>
    <row r="86">
      <c r="F86" s="7" t="n"/>
      <c r="G86" s="7" t="n"/>
      <c r="H86" s="7" t="n"/>
      <c r="I86" s="7" t="n"/>
      <c r="J86" s="7" t="n"/>
      <c r="K86" s="7" t="n"/>
      <c r="L86" s="7" t="n"/>
    </row>
    <row r="87">
      <c r="F87" s="7" t="n"/>
      <c r="G87" s="7" t="n"/>
      <c r="H87" s="7" t="n"/>
      <c r="I87" s="7" t="n"/>
      <c r="J87" s="7" t="n"/>
      <c r="K87" s="7" t="n"/>
      <c r="L87" s="7" t="n"/>
    </row>
    <row r="88">
      <c r="F88" s="7" t="n"/>
      <c r="G88" s="7" t="n"/>
      <c r="H88" s="7" t="n"/>
      <c r="I88" s="7" t="n"/>
      <c r="J88" s="7" t="n"/>
      <c r="K88" s="7" t="n"/>
      <c r="L88" s="7" t="n"/>
    </row>
    <row r="89">
      <c r="F89" s="7" t="n"/>
      <c r="G89" s="7" t="n"/>
      <c r="H89" s="7" t="n"/>
      <c r="I89" s="7" t="n"/>
      <c r="J89" s="7" t="n"/>
      <c r="K89" s="7" t="n"/>
      <c r="L89" s="7" t="n"/>
    </row>
    <row r="90">
      <c r="F90" s="7" t="n"/>
      <c r="G90" s="7" t="n"/>
      <c r="H90" s="7" t="n"/>
      <c r="I90" s="7" t="n"/>
      <c r="J90" s="7" t="n"/>
      <c r="K90" s="7" t="n"/>
      <c r="L90" s="7" t="n"/>
    </row>
    <row r="91">
      <c r="F91" s="7" t="n"/>
      <c r="G91" s="7" t="n"/>
      <c r="H91" s="7" t="n"/>
      <c r="I91" s="7" t="n"/>
      <c r="J91" s="7" t="n"/>
      <c r="K91" s="7" t="n"/>
      <c r="L91" s="7" t="n"/>
    </row>
    <row r="92">
      <c r="F92" s="7" t="n"/>
      <c r="G92" s="7" t="n"/>
      <c r="H92" s="7" t="n"/>
      <c r="I92" s="7" t="n"/>
      <c r="J92" s="7" t="n"/>
      <c r="K92" s="7" t="n"/>
      <c r="L92" s="7" t="n"/>
    </row>
    <row r="93">
      <c r="F93" s="7" t="n"/>
      <c r="G93" s="7" t="n"/>
      <c r="H93" s="7" t="n"/>
      <c r="I93" s="7" t="n"/>
      <c r="J93" s="7" t="n"/>
      <c r="K93" s="7" t="n"/>
      <c r="L93" s="7" t="n"/>
    </row>
    <row r="94">
      <c r="F94" s="7" t="n"/>
      <c r="G94" s="7" t="n"/>
      <c r="H94" s="7" t="n"/>
      <c r="I94" s="7" t="n"/>
      <c r="J94" s="7" t="n"/>
      <c r="K94" s="7" t="n"/>
      <c r="L94" s="7" t="n"/>
    </row>
    <row r="95">
      <c r="F95" s="7" t="n"/>
      <c r="G95" s="7" t="n"/>
      <c r="H95" s="7" t="n"/>
      <c r="I95" s="7" t="n"/>
      <c r="J95" s="7" t="n"/>
      <c r="K95" s="7" t="n"/>
      <c r="L95" s="7" t="n"/>
    </row>
    <row r="96">
      <c r="F96" s="7" t="n"/>
      <c r="G96" s="7" t="n"/>
      <c r="H96" s="7" t="n"/>
      <c r="I96" s="7" t="n"/>
      <c r="J96" s="7" t="n"/>
      <c r="K96" s="7" t="n"/>
      <c r="L96" s="7" t="n"/>
    </row>
    <row r="97">
      <c r="F97" s="7" t="n"/>
      <c r="G97" s="7" t="n"/>
      <c r="H97" s="7" t="n"/>
      <c r="I97" s="7" t="n"/>
      <c r="J97" s="7" t="n"/>
      <c r="K97" s="7" t="n"/>
      <c r="L97" s="7" t="n"/>
    </row>
    <row r="98">
      <c r="F98" s="7" t="n"/>
      <c r="G98" s="7" t="n"/>
      <c r="H98" s="7" t="n"/>
      <c r="I98" s="7" t="n"/>
      <c r="J98" s="7" t="n"/>
      <c r="K98" s="7" t="n"/>
      <c r="L98" s="7" t="n"/>
    </row>
    <row r="99">
      <c r="F99" s="7" t="n"/>
      <c r="G99" s="7" t="n"/>
      <c r="H99" s="7" t="n"/>
      <c r="I99" s="7" t="n"/>
      <c r="J99" s="7" t="n"/>
      <c r="K99" s="7" t="n"/>
      <c r="L99" s="7" t="n"/>
    </row>
    <row r="100">
      <c r="F100" s="7" t="n"/>
      <c r="G100" s="7" t="n"/>
      <c r="H100" s="7" t="n"/>
      <c r="I100" s="7" t="n"/>
      <c r="J100" s="7" t="n"/>
      <c r="K100" s="7" t="n"/>
      <c r="L100" s="7" t="n"/>
    </row>
    <row r="101">
      <c r="F101" s="7" t="n"/>
      <c r="G101" s="7" t="n"/>
      <c r="H101" s="7" t="n"/>
      <c r="I101" s="7" t="n"/>
      <c r="J101" s="7" t="n"/>
      <c r="K101" s="7" t="n"/>
      <c r="L101" s="7" t="n"/>
    </row>
    <row r="102">
      <c r="F102" s="7" t="n"/>
      <c r="G102" s="7" t="n"/>
      <c r="H102" s="7" t="n"/>
      <c r="I102" s="7" t="n"/>
      <c r="J102" s="7" t="n"/>
      <c r="K102" s="7" t="n"/>
      <c r="L102" s="7" t="n"/>
    </row>
    <row r="103">
      <c r="F103" s="7" t="n"/>
      <c r="G103" s="7" t="n"/>
      <c r="H103" s="7" t="n"/>
      <c r="I103" s="7" t="n"/>
      <c r="J103" s="7" t="n"/>
      <c r="K103" s="7" t="n"/>
      <c r="L103" s="7" t="n"/>
    </row>
    <row r="104">
      <c r="F104" s="7" t="n"/>
      <c r="G104" s="7" t="n"/>
      <c r="H104" s="7" t="n"/>
      <c r="I104" s="7" t="n"/>
      <c r="J104" s="7" t="n"/>
      <c r="K104" s="7" t="n"/>
      <c r="L104" s="7" t="n"/>
    </row>
    <row r="105">
      <c r="F105" s="7" t="n"/>
      <c r="G105" s="7" t="n"/>
      <c r="H105" s="7" t="n"/>
      <c r="I105" s="7" t="n"/>
      <c r="J105" s="7" t="n"/>
      <c r="K105" s="7" t="n"/>
      <c r="L105" s="7" t="n"/>
    </row>
    <row r="106">
      <c r="F106" s="7" t="n"/>
      <c r="G106" s="7" t="n"/>
      <c r="H106" s="7" t="n"/>
      <c r="I106" s="7" t="n"/>
      <c r="J106" s="7" t="n"/>
      <c r="K106" s="7" t="n"/>
      <c r="L106" s="7" t="n"/>
    </row>
    <row r="107">
      <c r="F107" s="7" t="n"/>
      <c r="G107" s="7" t="n"/>
      <c r="H107" s="7" t="n"/>
      <c r="I107" s="7" t="n"/>
      <c r="J107" s="7" t="n"/>
      <c r="K107" s="7" t="n"/>
      <c r="L107" s="7" t="n"/>
    </row>
    <row r="108">
      <c r="F108" s="7" t="n"/>
      <c r="G108" s="7" t="n"/>
      <c r="H108" s="7" t="n"/>
      <c r="I108" s="7" t="n"/>
      <c r="J108" s="7" t="n"/>
      <c r="K108" s="7" t="n"/>
      <c r="L108" s="7" t="n"/>
    </row>
    <row r="109">
      <c r="F109" s="7" t="n"/>
      <c r="G109" s="7" t="n"/>
      <c r="H109" s="7" t="n"/>
      <c r="I109" s="7" t="n"/>
      <c r="J109" s="7" t="n"/>
      <c r="K109" s="7" t="n"/>
      <c r="L109" s="7" t="n"/>
    </row>
    <row r="110">
      <c r="F110" s="7" t="n"/>
      <c r="G110" s="7" t="n"/>
      <c r="H110" s="7" t="n"/>
      <c r="I110" s="7" t="n"/>
      <c r="J110" s="7" t="n"/>
      <c r="K110" s="7" t="n"/>
      <c r="L110" s="7" t="n"/>
    </row>
    <row r="111">
      <c r="F111" s="7" t="n"/>
      <c r="G111" s="7" t="n"/>
      <c r="H111" s="7" t="n"/>
      <c r="I111" s="7" t="n"/>
      <c r="J111" s="7" t="n"/>
      <c r="K111" s="7" t="n"/>
      <c r="L111" s="7" t="n"/>
    </row>
    <row r="112">
      <c r="F112" s="7" t="n"/>
      <c r="G112" s="7" t="n"/>
      <c r="H112" s="7" t="n"/>
      <c r="I112" s="7" t="n"/>
      <c r="J112" s="7" t="n"/>
      <c r="K112" s="7" t="n"/>
      <c r="L112" s="7" t="n"/>
    </row>
    <row r="113">
      <c r="F113" s="7" t="n"/>
      <c r="G113" s="7" t="n"/>
      <c r="H113" s="7" t="n"/>
      <c r="I113" s="7" t="n"/>
      <c r="J113" s="7" t="n"/>
      <c r="K113" s="7" t="n"/>
      <c r="L113" s="7" t="n"/>
    </row>
    <row r="114">
      <c r="F114" s="7" t="n"/>
      <c r="G114" s="7" t="n"/>
      <c r="H114" s="7" t="n"/>
      <c r="I114" s="7" t="n"/>
      <c r="J114" s="7" t="n"/>
      <c r="K114" s="7" t="n"/>
      <c r="L114" s="7" t="n"/>
    </row>
    <row r="115">
      <c r="F115" s="7" t="n"/>
      <c r="G115" s="7" t="n"/>
      <c r="H115" s="7" t="n"/>
      <c r="I115" s="7" t="n"/>
      <c r="J115" s="7" t="n"/>
      <c r="K115" s="7" t="n"/>
      <c r="L115" s="7" t="n"/>
    </row>
    <row r="116">
      <c r="F116" s="7" t="n"/>
      <c r="G116" s="7" t="n"/>
      <c r="H116" s="7" t="n"/>
      <c r="I116" s="7" t="n"/>
      <c r="J116" s="7" t="n"/>
      <c r="K116" s="7" t="n"/>
      <c r="L116" s="7" t="n"/>
    </row>
    <row r="117">
      <c r="F117" s="7" t="n"/>
      <c r="G117" s="7" t="n"/>
      <c r="H117" s="7" t="n"/>
      <c r="I117" s="7" t="n"/>
      <c r="J117" s="7" t="n"/>
      <c r="K117" s="7" t="n"/>
      <c r="L117" s="7" t="n"/>
    </row>
    <row r="118">
      <c r="F118" s="7" t="n"/>
      <c r="G118" s="7" t="n"/>
      <c r="H118" s="7" t="n"/>
      <c r="I118" s="7" t="n"/>
      <c r="J118" s="7" t="n"/>
      <c r="K118" s="7" t="n"/>
      <c r="L118" s="7" t="n"/>
    </row>
    <row r="119">
      <c r="F119" s="7" t="n"/>
      <c r="G119" s="7" t="n"/>
      <c r="H119" s="7" t="n"/>
      <c r="I119" s="7" t="n"/>
      <c r="J119" s="7" t="n"/>
      <c r="K119" s="7" t="n"/>
      <c r="L119" s="7" t="n"/>
    </row>
    <row r="120">
      <c r="F120" s="7" t="n"/>
      <c r="G120" s="7" t="n"/>
      <c r="H120" s="7" t="n"/>
      <c r="I120" s="7" t="n"/>
      <c r="J120" s="7" t="n"/>
      <c r="K120" s="7" t="n"/>
      <c r="L120" s="7" t="n"/>
    </row>
    <row r="121">
      <c r="F121" s="7" t="n"/>
      <c r="G121" s="7" t="n"/>
      <c r="H121" s="7" t="n"/>
      <c r="I121" s="7" t="n"/>
      <c r="J121" s="7" t="n"/>
      <c r="K121" s="7" t="n"/>
      <c r="L121" s="7" t="n"/>
    </row>
    <row r="122">
      <c r="F122" s="7" t="n"/>
      <c r="G122" s="7" t="n"/>
      <c r="H122" s="7" t="n"/>
      <c r="I122" s="7" t="n"/>
      <c r="J122" s="7" t="n"/>
      <c r="K122" s="7" t="n"/>
      <c r="L122" s="7" t="n"/>
    </row>
    <row r="123">
      <c r="F123" s="7" t="n"/>
      <c r="G123" s="7" t="n"/>
      <c r="H123" s="7" t="n"/>
      <c r="I123" s="7" t="n"/>
      <c r="J123" s="7" t="n"/>
      <c r="K123" s="7" t="n"/>
      <c r="L123" s="7" t="n"/>
    </row>
    <row r="124">
      <c r="F124" s="7" t="n"/>
      <c r="G124" s="7" t="n"/>
      <c r="H124" s="7" t="n"/>
      <c r="I124" s="7" t="n"/>
      <c r="J124" s="7" t="n"/>
      <c r="K124" s="7" t="n"/>
      <c r="L124" s="7" t="n"/>
    </row>
    <row r="125">
      <c r="F125" s="7" t="n"/>
      <c r="G125" s="7" t="n"/>
      <c r="H125" s="7" t="n"/>
      <c r="I125" s="7" t="n"/>
      <c r="J125" s="7" t="n"/>
      <c r="K125" s="7" t="n"/>
      <c r="L125" s="7" t="n"/>
    </row>
    <row r="126">
      <c r="F126" s="7" t="n"/>
      <c r="G126" s="7" t="n"/>
      <c r="H126" s="7" t="n"/>
      <c r="I126" s="7" t="n"/>
      <c r="J126" s="7" t="n"/>
      <c r="K126" s="7" t="n"/>
      <c r="L126" s="7" t="n"/>
    </row>
    <row r="127">
      <c r="F127" s="7" t="n"/>
      <c r="G127" s="7" t="n"/>
      <c r="H127" s="7" t="n"/>
      <c r="I127" s="7" t="n"/>
      <c r="J127" s="7" t="n"/>
      <c r="K127" s="7" t="n"/>
      <c r="L127" s="7" t="n"/>
    </row>
    <row r="128">
      <c r="F128" s="7" t="n"/>
      <c r="G128" s="7" t="n"/>
      <c r="H128" s="7" t="n"/>
      <c r="I128" s="7" t="n"/>
      <c r="J128" s="7" t="n"/>
      <c r="K128" s="7" t="n"/>
      <c r="L128" s="7" t="n"/>
    </row>
    <row r="129">
      <c r="F129" s="7" t="n"/>
      <c r="G129" s="7" t="n"/>
      <c r="H129" s="7" t="n"/>
      <c r="I129" s="7" t="n"/>
      <c r="J129" s="7" t="n"/>
      <c r="K129" s="7" t="n"/>
      <c r="L129" s="7" t="n"/>
    </row>
    <row r="130">
      <c r="F130" s="7" t="n"/>
      <c r="G130" s="7" t="n"/>
      <c r="H130" s="7" t="n"/>
      <c r="I130" s="7" t="n"/>
      <c r="J130" s="7" t="n"/>
      <c r="K130" s="7" t="n"/>
      <c r="L130" s="7" t="n"/>
    </row>
    <row r="131">
      <c r="F131" s="7" t="n"/>
      <c r="G131" s="7" t="n"/>
      <c r="H131" s="7" t="n"/>
      <c r="I131" s="7" t="n"/>
      <c r="J131" s="7" t="n"/>
      <c r="K131" s="7" t="n"/>
      <c r="L131" s="7" t="n"/>
    </row>
    <row r="132">
      <c r="F132" s="7" t="n"/>
      <c r="G132" s="7" t="n"/>
      <c r="H132" s="7" t="n"/>
      <c r="I132" s="7" t="n"/>
      <c r="J132" s="7" t="n"/>
      <c r="K132" s="7" t="n"/>
      <c r="L132" s="7" t="n"/>
    </row>
    <row r="133">
      <c r="F133" s="7" t="n"/>
      <c r="G133" s="7" t="n"/>
      <c r="H133" s="7" t="n"/>
      <c r="I133" s="7" t="n"/>
      <c r="J133" s="7" t="n"/>
      <c r="K133" s="7" t="n"/>
      <c r="L133" s="7" t="n"/>
    </row>
    <row r="134">
      <c r="F134" s="7" t="n"/>
      <c r="G134" s="7" t="n"/>
      <c r="H134" s="7" t="n"/>
      <c r="I134" s="7" t="n"/>
      <c r="J134" s="7" t="n"/>
      <c r="K134" s="7" t="n"/>
      <c r="L134" s="7" t="n"/>
    </row>
    <row r="135">
      <c r="F135" s="7" t="n"/>
      <c r="G135" s="7" t="n"/>
      <c r="H135" s="7" t="n"/>
      <c r="I135" s="7" t="n"/>
      <c r="J135" s="7" t="n"/>
      <c r="K135" s="7" t="n"/>
      <c r="L135" s="7" t="n"/>
    </row>
    <row r="136">
      <c r="F136" s="7" t="n"/>
      <c r="G136" s="7" t="n"/>
      <c r="H136" s="7" t="n"/>
      <c r="I136" s="7" t="n"/>
      <c r="J136" s="7" t="n"/>
      <c r="K136" s="7" t="n"/>
      <c r="L136" s="7" t="n"/>
    </row>
    <row r="137">
      <c r="F137" s="7" t="n"/>
      <c r="G137" s="7" t="n"/>
      <c r="H137" s="7" t="n"/>
      <c r="I137" s="7" t="n"/>
      <c r="J137" s="7" t="n"/>
      <c r="K137" s="7" t="n"/>
      <c r="L137" s="7" t="n"/>
    </row>
    <row r="138">
      <c r="F138" s="7" t="n"/>
      <c r="G138" s="7" t="n"/>
      <c r="H138" s="7" t="n"/>
      <c r="I138" s="7" t="n"/>
      <c r="J138" s="7" t="n"/>
      <c r="K138" s="7" t="n"/>
      <c r="L138" s="7" t="n"/>
    </row>
    <row r="139">
      <c r="F139" s="7" t="n"/>
      <c r="G139" s="7" t="n"/>
      <c r="H139" s="7" t="n"/>
      <c r="I139" s="7" t="n"/>
      <c r="J139" s="7" t="n"/>
      <c r="K139" s="7" t="n"/>
      <c r="L139" s="7" t="n"/>
    </row>
    <row r="140">
      <c r="F140" s="7" t="n"/>
      <c r="G140" s="7" t="n"/>
      <c r="H140" s="7" t="n"/>
      <c r="I140" s="7" t="n"/>
      <c r="J140" s="7" t="n"/>
      <c r="K140" s="7" t="n"/>
      <c r="L140" s="7" t="n"/>
    </row>
    <row r="141">
      <c r="F141" s="7" t="n"/>
      <c r="G141" s="7" t="n"/>
      <c r="H141" s="7" t="n"/>
      <c r="I141" s="7" t="n"/>
      <c r="J141" s="7" t="n"/>
      <c r="K141" s="7" t="n"/>
      <c r="L141" s="7" t="n"/>
    </row>
    <row r="142">
      <c r="F142" s="7" t="n"/>
      <c r="G142" s="7" t="n"/>
      <c r="H142" s="7" t="n"/>
      <c r="I142" s="7" t="n"/>
      <c r="J142" s="7" t="n"/>
      <c r="K142" s="7" t="n"/>
      <c r="L142" s="7" t="n"/>
    </row>
    <row r="143">
      <c r="F143" s="7" t="n"/>
      <c r="G143" s="7" t="n"/>
      <c r="H143" s="7" t="n"/>
      <c r="I143" s="7" t="n"/>
      <c r="J143" s="7" t="n"/>
      <c r="K143" s="7" t="n"/>
      <c r="L143" s="7" t="n"/>
    </row>
    <row r="144">
      <c r="F144" s="7" t="n"/>
      <c r="G144" s="7" t="n"/>
      <c r="H144" s="7" t="n"/>
      <c r="I144" s="7" t="n"/>
      <c r="J144" s="7" t="n"/>
      <c r="K144" s="7" t="n"/>
      <c r="L144" s="7" t="n"/>
    </row>
    <row r="145">
      <c r="F145" s="7" t="n"/>
      <c r="G145" s="7" t="n"/>
      <c r="H145" s="7" t="n"/>
      <c r="I145" s="7" t="n"/>
      <c r="J145" s="7" t="n"/>
      <c r="K145" s="7" t="n"/>
      <c r="L145" s="7" t="n"/>
    </row>
    <row r="146">
      <c r="F146" s="7" t="n"/>
      <c r="G146" s="7" t="n"/>
      <c r="H146" s="7" t="n"/>
      <c r="I146" s="7" t="n"/>
      <c r="J146" s="7" t="n"/>
      <c r="K146" s="7" t="n"/>
      <c r="L146" s="7" t="n"/>
    </row>
    <row r="147">
      <c r="F147" s="7" t="n"/>
      <c r="G147" s="7" t="n"/>
      <c r="H147" s="7" t="n"/>
      <c r="I147" s="7" t="n"/>
      <c r="J147" s="7" t="n"/>
      <c r="K147" s="7" t="n"/>
      <c r="L147" s="7" t="n"/>
    </row>
    <row r="148">
      <c r="F148" s="7" t="n"/>
      <c r="G148" s="7" t="n"/>
      <c r="H148" s="7" t="n"/>
      <c r="I148" s="7" t="n"/>
      <c r="J148" s="7" t="n"/>
      <c r="K148" s="7" t="n"/>
      <c r="L148" s="7" t="n"/>
    </row>
    <row r="149">
      <c r="F149" s="7" t="n"/>
      <c r="G149" s="7" t="n"/>
      <c r="H149" s="7" t="n"/>
      <c r="I149" s="7" t="n"/>
      <c r="J149" s="7" t="n"/>
      <c r="K149" s="7" t="n"/>
      <c r="L149" s="7" t="n"/>
    </row>
    <row r="150">
      <c r="F150" s="7" t="n"/>
      <c r="G150" s="7" t="n"/>
      <c r="H150" s="7" t="n"/>
      <c r="I150" s="7" t="n"/>
      <c r="J150" s="7" t="n"/>
      <c r="K150" s="7" t="n"/>
      <c r="L150" s="7" t="n"/>
    </row>
    <row r="151">
      <c r="F151" s="7" t="n"/>
      <c r="G151" s="7" t="n"/>
      <c r="H151" s="7" t="n"/>
      <c r="I151" s="7" t="n"/>
      <c r="J151" s="7" t="n"/>
      <c r="K151" s="7" t="n"/>
      <c r="L151" s="7" t="n"/>
    </row>
    <row r="152">
      <c r="F152" s="7" t="n"/>
      <c r="G152" s="7" t="n"/>
      <c r="H152" s="7" t="n"/>
      <c r="I152" s="7" t="n"/>
      <c r="J152" s="7" t="n"/>
      <c r="K152" s="7" t="n"/>
      <c r="L152" s="7" t="n"/>
    </row>
    <row r="153">
      <c r="F153" s="7" t="n"/>
      <c r="G153" s="7" t="n"/>
      <c r="H153" s="7" t="n"/>
      <c r="I153" s="7" t="n"/>
      <c r="J153" s="7" t="n"/>
      <c r="K153" s="7" t="n"/>
      <c r="L153" s="7" t="n"/>
    </row>
    <row r="154">
      <c r="F154" s="7" t="n"/>
      <c r="G154" s="7" t="n"/>
      <c r="H154" s="7" t="n"/>
      <c r="I154" s="7" t="n"/>
      <c r="J154" s="7" t="n"/>
      <c r="K154" s="7" t="n"/>
      <c r="L154" s="7" t="n"/>
    </row>
    <row r="155">
      <c r="F155" s="7" t="n"/>
      <c r="G155" s="7" t="n"/>
      <c r="H155" s="7" t="n"/>
      <c r="I155" s="7" t="n"/>
      <c r="J155" s="7" t="n"/>
      <c r="K155" s="7" t="n"/>
      <c r="L155" s="7" t="n"/>
    </row>
    <row r="156">
      <c r="F156" s="7" t="n"/>
      <c r="G156" s="7" t="n"/>
      <c r="H156" s="7" t="n"/>
      <c r="I156" s="7" t="n"/>
      <c r="J156" s="7" t="n"/>
      <c r="K156" s="7" t="n"/>
      <c r="L156" s="7" t="n"/>
    </row>
    <row r="157">
      <c r="F157" s="7" t="n"/>
      <c r="G157" s="7" t="n"/>
      <c r="H157" s="7" t="n"/>
      <c r="I157" s="7" t="n"/>
      <c r="J157" s="7" t="n"/>
      <c r="K157" s="7" t="n"/>
      <c r="L157" s="7" t="n"/>
    </row>
    <row r="158">
      <c r="F158" s="7" t="n"/>
      <c r="G158" s="7" t="n"/>
      <c r="H158" s="7" t="n"/>
      <c r="I158" s="7" t="n"/>
      <c r="J158" s="7" t="n"/>
      <c r="K158" s="7" t="n"/>
      <c r="L158" s="7" t="n"/>
    </row>
    <row r="159">
      <c r="F159" s="7" t="n"/>
      <c r="G159" s="7" t="n"/>
      <c r="H159" s="7" t="n"/>
      <c r="I159" s="7" t="n"/>
      <c r="J159" s="7" t="n"/>
      <c r="K159" s="7" t="n"/>
      <c r="L159" s="7" t="n"/>
    </row>
    <row r="160">
      <c r="F160" s="7" t="n"/>
      <c r="G160" s="7" t="n"/>
      <c r="H160" s="7" t="n"/>
      <c r="I160" s="7" t="n"/>
      <c r="J160" s="7" t="n"/>
      <c r="K160" s="7" t="n"/>
      <c r="L160" s="7" t="n"/>
    </row>
    <row r="161">
      <c r="F161" s="7" t="n"/>
      <c r="G161" s="7" t="n"/>
      <c r="H161" s="7" t="n"/>
      <c r="I161" s="7" t="n"/>
      <c r="J161" s="7" t="n"/>
      <c r="K161" s="7" t="n"/>
      <c r="L161" s="7" t="n"/>
    </row>
    <row r="162">
      <c r="F162" s="7" t="n"/>
      <c r="G162" s="7" t="n"/>
      <c r="H162" s="7" t="n"/>
      <c r="I162" s="7" t="n"/>
      <c r="J162" s="7" t="n"/>
      <c r="K162" s="7" t="n"/>
      <c r="L162" s="7" t="n"/>
    </row>
    <row r="163">
      <c r="F163" s="7" t="n"/>
      <c r="G163" s="7" t="n"/>
      <c r="H163" s="7" t="n"/>
      <c r="I163" s="7" t="n"/>
      <c r="J163" s="7" t="n"/>
      <c r="K163" s="7" t="n"/>
      <c r="L163" s="7" t="n"/>
    </row>
    <row r="164">
      <c r="F164" s="7" t="n"/>
      <c r="G164" s="7" t="n"/>
      <c r="H164" s="7" t="n"/>
      <c r="I164" s="7" t="n"/>
      <c r="J164" s="7" t="n"/>
      <c r="K164" s="7" t="n"/>
      <c r="L164" s="7" t="n"/>
    </row>
    <row r="165">
      <c r="F165" s="7" t="n"/>
      <c r="G165" s="7" t="n"/>
      <c r="H165" s="7" t="n"/>
      <c r="I165" s="7" t="n"/>
      <c r="J165" s="7" t="n"/>
      <c r="K165" s="7" t="n"/>
      <c r="L165" s="7" t="n"/>
    </row>
    <row r="166">
      <c r="F166" s="7" t="n"/>
      <c r="G166" s="7" t="n"/>
      <c r="H166" s="7" t="n"/>
      <c r="I166" s="7" t="n"/>
      <c r="J166" s="7" t="n"/>
      <c r="K166" s="7" t="n"/>
      <c r="L166" s="7" t="n"/>
    </row>
    <row r="167">
      <c r="F167" s="7" t="n"/>
      <c r="G167" s="7" t="n"/>
      <c r="H167" s="7" t="n"/>
      <c r="I167" s="7" t="n"/>
      <c r="J167" s="7" t="n"/>
      <c r="K167" s="7" t="n"/>
      <c r="L167" s="7" t="n"/>
    </row>
    <row r="168">
      <c r="F168" s="7" t="n"/>
      <c r="G168" s="7" t="n"/>
      <c r="H168" s="7" t="n"/>
      <c r="I168" s="7" t="n"/>
      <c r="J168" s="7" t="n"/>
      <c r="K168" s="7" t="n"/>
      <c r="L168" s="7" t="n"/>
    </row>
    <row r="169">
      <c r="F169" s="7" t="n"/>
      <c r="G169" s="7" t="n"/>
      <c r="H169" s="7" t="n"/>
      <c r="I169" s="7" t="n"/>
      <c r="J169" s="7" t="n"/>
      <c r="K169" s="7" t="n"/>
      <c r="L169" s="7" t="n"/>
    </row>
    <row r="170">
      <c r="F170" s="7" t="n"/>
      <c r="G170" s="7" t="n"/>
      <c r="H170" s="7" t="n"/>
      <c r="I170" s="7" t="n"/>
      <c r="J170" s="7" t="n"/>
      <c r="K170" s="7" t="n"/>
      <c r="L170" s="7" t="n"/>
    </row>
    <row r="171">
      <c r="F171" s="7" t="n"/>
      <c r="G171" s="7" t="n"/>
      <c r="H171" s="7" t="n"/>
      <c r="I171" s="7" t="n"/>
      <c r="J171" s="7" t="n"/>
      <c r="K171" s="7" t="n"/>
      <c r="L171" s="7" t="n"/>
    </row>
    <row r="172">
      <c r="F172" s="7" t="n"/>
      <c r="G172" s="7" t="n"/>
      <c r="H172" s="7" t="n"/>
      <c r="I172" s="7" t="n"/>
      <c r="J172" s="7" t="n"/>
      <c r="K172" s="7" t="n"/>
      <c r="L172" s="7" t="n"/>
    </row>
    <row r="173">
      <c r="F173" s="7" t="n"/>
      <c r="G173" s="7" t="n"/>
      <c r="H173" s="7" t="n"/>
      <c r="I173" s="7" t="n"/>
      <c r="J173" s="7" t="n"/>
      <c r="K173" s="7" t="n"/>
      <c r="L173" s="7" t="n"/>
    </row>
    <row r="174">
      <c r="F174" s="7" t="n"/>
      <c r="G174" s="7" t="n"/>
      <c r="H174" s="7" t="n"/>
      <c r="I174" s="7" t="n"/>
      <c r="J174" s="7" t="n"/>
      <c r="K174" s="7" t="n"/>
      <c r="L174" s="7" t="n"/>
    </row>
    <row r="175">
      <c r="F175" s="7" t="n"/>
      <c r="G175" s="7" t="n"/>
      <c r="H175" s="7" t="n"/>
      <c r="I175" s="7" t="n"/>
      <c r="J175" s="7" t="n"/>
      <c r="K175" s="7" t="n"/>
      <c r="L175" s="7" t="n"/>
    </row>
    <row r="176">
      <c r="F176" s="7" t="n"/>
      <c r="G176" s="7" t="n"/>
      <c r="H176" s="7" t="n"/>
      <c r="I176" s="7" t="n"/>
      <c r="J176" s="7" t="n"/>
      <c r="K176" s="7" t="n"/>
      <c r="L176" s="7" t="n"/>
    </row>
    <row r="177">
      <c r="F177" s="7" t="n"/>
      <c r="G177" s="7" t="n"/>
      <c r="H177" s="7" t="n"/>
      <c r="I177" s="7" t="n"/>
      <c r="J177" s="7" t="n"/>
      <c r="K177" s="7" t="n"/>
      <c r="L177" s="7" t="n"/>
    </row>
    <row r="178">
      <c r="F178" s="7" t="n"/>
      <c r="G178" s="7" t="n"/>
      <c r="H178" s="7" t="n"/>
      <c r="I178" s="7" t="n"/>
      <c r="J178" s="7" t="n"/>
      <c r="K178" s="7" t="n"/>
      <c r="L178" s="7" t="n"/>
    </row>
    <row r="179">
      <c r="F179" s="7" t="n"/>
      <c r="G179" s="7" t="n"/>
      <c r="H179" s="7" t="n"/>
      <c r="I179" s="7" t="n"/>
      <c r="J179" s="7" t="n"/>
      <c r="K179" s="7" t="n"/>
      <c r="L179" s="7" t="n"/>
    </row>
    <row r="180">
      <c r="F180" s="7" t="n"/>
      <c r="G180" s="7" t="n"/>
      <c r="H180" s="7" t="n"/>
      <c r="I180" s="7" t="n"/>
      <c r="J180" s="7" t="n"/>
      <c r="K180" s="7" t="n"/>
      <c r="L180" s="7" t="n"/>
    </row>
    <row r="181">
      <c r="F181" s="7" t="n"/>
      <c r="G181" s="7" t="n"/>
      <c r="H181" s="7" t="n"/>
      <c r="I181" s="7" t="n"/>
      <c r="J181" s="7" t="n"/>
      <c r="K181" s="7" t="n"/>
      <c r="L181" s="7" t="n"/>
    </row>
    <row r="182">
      <c r="F182" s="7" t="n"/>
      <c r="G182" s="7" t="n"/>
      <c r="H182" s="7" t="n"/>
      <c r="I182" s="7" t="n"/>
      <c r="J182" s="7" t="n"/>
      <c r="K182" s="7" t="n"/>
      <c r="L182" s="7" t="n"/>
    </row>
    <row r="183">
      <c r="F183" s="7" t="n"/>
      <c r="G183" s="7" t="n"/>
      <c r="H183" s="7" t="n"/>
      <c r="I183" s="7" t="n"/>
      <c r="J183" s="7" t="n"/>
      <c r="K183" s="7" t="n"/>
      <c r="L183" s="7" t="n"/>
    </row>
    <row r="184">
      <c r="F184" s="7" t="n"/>
      <c r="G184" s="7" t="n"/>
      <c r="H184" s="7" t="n"/>
      <c r="I184" s="7" t="n"/>
      <c r="J184" s="7" t="n"/>
      <c r="K184" s="7" t="n"/>
      <c r="L184" s="7" t="n"/>
    </row>
    <row r="185">
      <c r="F185" s="7" t="n"/>
      <c r="G185" s="7" t="n"/>
      <c r="H185" s="7" t="n"/>
      <c r="I185" s="7" t="n"/>
      <c r="J185" s="7" t="n"/>
      <c r="K185" s="7" t="n"/>
      <c r="L185" s="7" t="n"/>
    </row>
    <row r="186">
      <c r="F186" s="7" t="n"/>
      <c r="G186" s="7" t="n"/>
      <c r="H186" s="7" t="n"/>
      <c r="I186" s="7" t="n"/>
      <c r="J186" s="7" t="n"/>
      <c r="K186" s="7" t="n"/>
      <c r="L186" s="7" t="n"/>
    </row>
    <row r="187">
      <c r="F187" s="7" t="n"/>
      <c r="G187" s="7" t="n"/>
      <c r="H187" s="7" t="n"/>
      <c r="I187" s="7" t="n"/>
      <c r="J187" s="7" t="n"/>
      <c r="K187" s="7" t="n"/>
      <c r="L187" s="7" t="n"/>
    </row>
    <row r="188">
      <c r="F188" s="7" t="n"/>
      <c r="G188" s="7" t="n"/>
      <c r="H188" s="7" t="n"/>
      <c r="I188" s="7" t="n"/>
      <c r="J188" s="7" t="n"/>
      <c r="K188" s="7" t="n"/>
      <c r="L188" s="7" t="n"/>
    </row>
    <row r="189">
      <c r="F189" s="7" t="n"/>
      <c r="G189" s="7" t="n"/>
      <c r="H189" s="7" t="n"/>
      <c r="I189" s="7" t="n"/>
      <c r="J189" s="7" t="n"/>
      <c r="K189" s="7" t="n"/>
      <c r="L189" s="7" t="n"/>
    </row>
    <row r="190">
      <c r="F190" s="7" t="n"/>
      <c r="G190" s="7" t="n"/>
      <c r="H190" s="7" t="n"/>
      <c r="I190" s="7" t="n"/>
      <c r="J190" s="7" t="n"/>
      <c r="K190" s="7" t="n"/>
      <c r="L190" s="7" t="n"/>
    </row>
    <row r="191">
      <c r="F191" s="7" t="n"/>
      <c r="G191" s="7" t="n"/>
      <c r="H191" s="7" t="n"/>
      <c r="I191" s="7" t="n"/>
      <c r="J191" s="7" t="n"/>
      <c r="K191" s="7" t="n"/>
      <c r="L191" s="7" t="n"/>
    </row>
    <row r="192">
      <c r="F192" s="7" t="n"/>
      <c r="G192" s="7" t="n"/>
      <c r="H192" s="7" t="n"/>
      <c r="I192" s="7" t="n"/>
      <c r="J192" s="7" t="n"/>
      <c r="K192" s="7" t="n"/>
      <c r="L192" s="7" t="n"/>
    </row>
    <row r="193">
      <c r="F193" s="7" t="n"/>
      <c r="G193" s="7" t="n"/>
      <c r="H193" s="7" t="n"/>
      <c r="I193" s="7" t="n"/>
      <c r="J193" s="7" t="n"/>
      <c r="K193" s="7" t="n"/>
      <c r="L193" s="7" t="n"/>
    </row>
    <row r="194">
      <c r="F194" s="7" t="n"/>
      <c r="G194" s="7" t="n"/>
      <c r="H194" s="7" t="n"/>
      <c r="I194" s="7" t="n"/>
      <c r="J194" s="7" t="n"/>
      <c r="K194" s="7" t="n"/>
      <c r="L194" s="7" t="n"/>
    </row>
    <row r="195">
      <c r="F195" s="7" t="n"/>
      <c r="G195" s="7" t="n"/>
      <c r="H195" s="7" t="n"/>
      <c r="I195" s="7" t="n"/>
      <c r="J195" s="7" t="n"/>
      <c r="K195" s="7" t="n"/>
      <c r="L195" s="7" t="n"/>
    </row>
    <row r="196">
      <c r="F196" s="7" t="n"/>
      <c r="G196" s="7" t="n"/>
      <c r="H196" s="7" t="n"/>
      <c r="I196" s="7" t="n"/>
      <c r="J196" s="7" t="n"/>
      <c r="K196" s="7" t="n"/>
      <c r="L196" s="7" t="n"/>
    </row>
    <row r="197">
      <c r="F197" s="7" t="n"/>
      <c r="G197" s="7" t="n"/>
      <c r="H197" s="7" t="n"/>
      <c r="I197" s="7" t="n"/>
      <c r="J197" s="7" t="n"/>
      <c r="K197" s="7" t="n"/>
      <c r="L197" s="7" t="n"/>
    </row>
    <row r="198">
      <c r="F198" s="7" t="n"/>
      <c r="G198" s="7" t="n"/>
      <c r="H198" s="7" t="n"/>
      <c r="I198" s="7" t="n"/>
      <c r="J198" s="7" t="n"/>
      <c r="K198" s="7" t="n"/>
      <c r="L198" s="7" t="n"/>
    </row>
    <row r="199">
      <c r="F199" s="7" t="n"/>
      <c r="G199" s="7" t="n"/>
      <c r="H199" s="7" t="n"/>
      <c r="I199" s="7" t="n"/>
      <c r="J199" s="7" t="n"/>
      <c r="K199" s="7" t="n"/>
      <c r="L199" s="7" t="n"/>
    </row>
    <row r="200">
      <c r="F200" s="7" t="n"/>
      <c r="G200" s="7" t="n"/>
      <c r="H200" s="7" t="n"/>
      <c r="I200" s="7" t="n"/>
      <c r="J200" s="7" t="n"/>
      <c r="K200" s="7" t="n"/>
      <c r="L200" s="7" t="n"/>
    </row>
    <row r="201">
      <c r="F201" s="7" t="n"/>
      <c r="G201" s="7" t="n"/>
      <c r="H201" s="7" t="n"/>
      <c r="I201" s="7" t="n"/>
      <c r="J201" s="7" t="n"/>
      <c r="K201" s="7" t="n"/>
      <c r="L201" s="7" t="n"/>
    </row>
    <row r="202">
      <c r="F202" s="7" t="n"/>
      <c r="G202" s="7" t="n"/>
      <c r="H202" s="7" t="n"/>
      <c r="I202" s="7" t="n"/>
      <c r="J202" s="7" t="n"/>
      <c r="K202" s="7" t="n"/>
      <c r="L202" s="7" t="n"/>
    </row>
    <row r="203">
      <c r="F203" s="7" t="n"/>
      <c r="G203" s="7" t="n"/>
      <c r="H203" s="7" t="n"/>
      <c r="I203" s="7" t="n"/>
      <c r="J203" s="7" t="n"/>
      <c r="K203" s="7" t="n"/>
      <c r="L203" s="7" t="n"/>
    </row>
    <row r="204">
      <c r="F204" s="7" t="n"/>
      <c r="G204" s="7" t="n"/>
      <c r="H204" s="7" t="n"/>
      <c r="I204" s="7" t="n"/>
      <c r="J204" s="7" t="n"/>
      <c r="K204" s="7" t="n"/>
      <c r="L204" s="7" t="n"/>
    </row>
    <row r="205">
      <c r="F205" s="7" t="n"/>
      <c r="G205" s="7" t="n"/>
      <c r="H205" s="7" t="n"/>
      <c r="I205" s="7" t="n"/>
      <c r="J205" s="7" t="n"/>
      <c r="K205" s="7" t="n"/>
      <c r="L205" s="7" t="n"/>
    </row>
    <row r="206">
      <c r="F206" s="7" t="n"/>
      <c r="G206" s="7" t="n"/>
      <c r="H206" s="7" t="n"/>
      <c r="I206" s="7" t="n"/>
      <c r="J206" s="7" t="n"/>
      <c r="K206" s="7" t="n"/>
      <c r="L206" s="7" t="n"/>
    </row>
    <row r="207">
      <c r="F207" s="7" t="n"/>
      <c r="G207" s="7" t="n"/>
      <c r="H207" s="7" t="n"/>
      <c r="I207" s="7" t="n"/>
      <c r="J207" s="7" t="n"/>
      <c r="K207" s="7" t="n"/>
      <c r="L207" s="7" t="n"/>
    </row>
    <row r="208">
      <c r="F208" s="7" t="n"/>
      <c r="G208" s="7" t="n"/>
      <c r="H208" s="7" t="n"/>
      <c r="I208" s="7" t="n"/>
      <c r="J208" s="7" t="n"/>
      <c r="K208" s="7" t="n"/>
      <c r="L208" s="7" t="n"/>
    </row>
    <row r="209">
      <c r="F209" s="7" t="n"/>
      <c r="G209" s="7" t="n"/>
      <c r="H209" s="7" t="n"/>
      <c r="I209" s="7" t="n"/>
      <c r="J209" s="7" t="n"/>
      <c r="K209" s="7" t="n"/>
      <c r="L209" s="7" t="n"/>
    </row>
    <row r="210">
      <c r="F210" s="7" t="n"/>
      <c r="G210" s="7" t="n"/>
      <c r="H210" s="7" t="n"/>
      <c r="I210" s="7" t="n"/>
      <c r="J210" s="7" t="n"/>
      <c r="K210" s="7" t="n"/>
      <c r="L210" s="7" t="n"/>
    </row>
    <row r="211">
      <c r="F211" s="7" t="n"/>
      <c r="G211" s="7" t="n"/>
      <c r="H211" s="7" t="n"/>
      <c r="I211" s="7" t="n"/>
      <c r="J211" s="7" t="n"/>
      <c r="K211" s="7" t="n"/>
      <c r="L211" s="7" t="n"/>
    </row>
    <row r="212">
      <c r="F212" s="7" t="n"/>
      <c r="G212" s="7" t="n"/>
      <c r="H212" s="7" t="n"/>
      <c r="I212" s="7" t="n"/>
      <c r="J212" s="7" t="n"/>
      <c r="K212" s="7" t="n"/>
      <c r="L212" s="7" t="n"/>
    </row>
    <row r="213">
      <c r="F213" s="7" t="n"/>
      <c r="G213" s="7" t="n"/>
      <c r="H213" s="7" t="n"/>
      <c r="I213" s="7" t="n"/>
      <c r="J213" s="7" t="n"/>
      <c r="K213" s="7" t="n"/>
      <c r="L213" s="7" t="n"/>
    </row>
    <row r="214">
      <c r="F214" s="7" t="n"/>
      <c r="G214" s="7" t="n"/>
      <c r="H214" s="7" t="n"/>
      <c r="I214" s="7" t="n"/>
      <c r="J214" s="7" t="n"/>
      <c r="K214" s="7" t="n"/>
      <c r="L214" s="7" t="n"/>
    </row>
    <row r="215">
      <c r="F215" s="7" t="n"/>
      <c r="G215" s="7" t="n"/>
      <c r="H215" s="7" t="n"/>
      <c r="I215" s="7" t="n"/>
      <c r="J215" s="7" t="n"/>
      <c r="K215" s="7" t="n"/>
      <c r="L215" s="7" t="n"/>
    </row>
    <row r="216">
      <c r="F216" s="7" t="n"/>
      <c r="G216" s="7" t="n"/>
      <c r="H216" s="7" t="n"/>
      <c r="I216" s="7" t="n"/>
      <c r="J216" s="7" t="n"/>
      <c r="K216" s="7" t="n"/>
      <c r="L216" s="7" t="n"/>
    </row>
    <row r="217">
      <c r="F217" s="7" t="n"/>
      <c r="G217" s="7" t="n"/>
      <c r="H217" s="7" t="n"/>
      <c r="I217" s="7" t="n"/>
      <c r="J217" s="7" t="n"/>
      <c r="K217" s="7" t="n"/>
      <c r="L217" s="7" t="n"/>
    </row>
    <row r="218">
      <c r="F218" s="7" t="n"/>
      <c r="G218" s="7" t="n"/>
      <c r="H218" s="7" t="n"/>
      <c r="I218" s="7" t="n"/>
      <c r="J218" s="7" t="n"/>
      <c r="K218" s="7" t="n"/>
      <c r="L218" s="7" t="n"/>
    </row>
    <row r="219">
      <c r="F219" s="7" t="n"/>
      <c r="G219" s="7" t="n"/>
      <c r="H219" s="7" t="n"/>
      <c r="I219" s="7" t="n"/>
      <c r="J219" s="7" t="n"/>
      <c r="K219" s="7" t="n"/>
      <c r="L219" s="7" t="n"/>
    </row>
    <row r="220">
      <c r="F220" s="7" t="n"/>
      <c r="G220" s="7" t="n"/>
      <c r="H220" s="7" t="n"/>
      <c r="I220" s="7" t="n"/>
      <c r="J220" s="7" t="n"/>
      <c r="K220" s="7" t="n"/>
      <c r="L220" s="7" t="n"/>
    </row>
    <row r="221">
      <c r="F221" s="7" t="n"/>
      <c r="G221" s="7" t="n"/>
      <c r="H221" s="7" t="n"/>
      <c r="I221" s="7" t="n"/>
      <c r="J221" s="7" t="n"/>
      <c r="K221" s="7" t="n"/>
      <c r="L221" s="7" t="n"/>
    </row>
    <row r="222">
      <c r="F222" s="7" t="n"/>
      <c r="G222" s="7" t="n"/>
      <c r="H222" s="7" t="n"/>
      <c r="I222" s="7" t="n"/>
      <c r="J222" s="7" t="n"/>
      <c r="K222" s="7" t="n"/>
      <c r="L222" s="7" t="n"/>
    </row>
    <row r="223">
      <c r="F223" s="7" t="n"/>
      <c r="G223" s="7" t="n"/>
      <c r="H223" s="7" t="n"/>
      <c r="I223" s="7" t="n"/>
      <c r="J223" s="7" t="n"/>
      <c r="K223" s="7" t="n"/>
      <c r="L223" s="7" t="n"/>
    </row>
    <row r="224">
      <c r="F224" s="7" t="n"/>
      <c r="G224" s="7" t="n"/>
      <c r="H224" s="7" t="n"/>
      <c r="I224" s="7" t="n"/>
      <c r="J224" s="7" t="n"/>
      <c r="K224" s="7" t="n"/>
      <c r="L224" s="7" t="n"/>
    </row>
    <row r="225">
      <c r="F225" s="7" t="n"/>
      <c r="G225" s="7" t="n"/>
      <c r="H225" s="7" t="n"/>
      <c r="I225" s="7" t="n"/>
      <c r="J225" s="7" t="n"/>
      <c r="K225" s="7" t="n"/>
      <c r="L225" s="7" t="n"/>
    </row>
    <row r="226">
      <c r="F226" s="7" t="n"/>
      <c r="G226" s="7" t="n"/>
      <c r="H226" s="7" t="n"/>
      <c r="I226" s="7" t="n"/>
      <c r="J226" s="7" t="n"/>
      <c r="K226" s="7" t="n"/>
      <c r="L226" s="7" t="n"/>
    </row>
    <row r="227">
      <c r="F227" s="7" t="n"/>
      <c r="G227" s="7" t="n"/>
      <c r="H227" s="7" t="n"/>
      <c r="I227" s="7" t="n"/>
      <c r="J227" s="7" t="n"/>
      <c r="K227" s="7" t="n"/>
      <c r="L227" s="7" t="n"/>
    </row>
    <row r="228">
      <c r="F228" s="7" t="n"/>
      <c r="G228" s="7" t="n"/>
      <c r="H228" s="7" t="n"/>
      <c r="I228" s="7" t="n"/>
      <c r="J228" s="7" t="n"/>
      <c r="K228" s="7" t="n"/>
      <c r="L228" s="7" t="n"/>
    </row>
    <row r="229">
      <c r="F229" s="7" t="n"/>
      <c r="G229" s="7" t="n"/>
      <c r="H229" s="7" t="n"/>
      <c r="I229" s="7" t="n"/>
      <c r="J229" s="7" t="n"/>
      <c r="K229" s="7" t="n"/>
      <c r="L229" s="7" t="n"/>
    </row>
    <row r="230">
      <c r="F230" s="7" t="n"/>
      <c r="G230" s="7" t="n"/>
      <c r="H230" s="7" t="n"/>
      <c r="I230" s="7" t="n"/>
      <c r="J230" s="7" t="n"/>
      <c r="K230" s="7" t="n"/>
      <c r="L230" s="7" t="n"/>
    </row>
    <row r="231">
      <c r="F231" s="7" t="n"/>
      <c r="G231" s="7" t="n"/>
      <c r="H231" s="7" t="n"/>
      <c r="I231" s="7" t="n"/>
      <c r="J231" s="7" t="n"/>
      <c r="K231" s="7" t="n"/>
      <c r="L231" s="7" t="n"/>
    </row>
    <row r="232">
      <c r="F232" s="7" t="n"/>
      <c r="G232" s="7" t="n"/>
      <c r="H232" s="7" t="n"/>
      <c r="I232" s="7" t="n"/>
      <c r="J232" s="7" t="n"/>
      <c r="K232" s="7" t="n"/>
      <c r="L232" s="7" t="n"/>
    </row>
    <row r="233">
      <c r="F233" s="7" t="n"/>
      <c r="G233" s="7" t="n"/>
      <c r="H233" s="7" t="n"/>
      <c r="I233" s="7" t="n"/>
      <c r="J233" s="7" t="n"/>
      <c r="K233" s="7" t="n"/>
      <c r="L233" s="7" t="n"/>
    </row>
    <row r="234">
      <c r="F234" s="7" t="n"/>
      <c r="G234" s="7" t="n"/>
      <c r="H234" s="7" t="n"/>
      <c r="I234" s="7" t="n"/>
      <c r="J234" s="7" t="n"/>
      <c r="K234" s="7" t="n"/>
      <c r="L234" s="7" t="n"/>
    </row>
    <row r="235">
      <c r="F235" s="7" t="n"/>
      <c r="G235" s="7" t="n"/>
      <c r="H235" s="7" t="n"/>
      <c r="I235" s="7" t="n"/>
      <c r="J235" s="7" t="n"/>
      <c r="K235" s="7" t="n"/>
      <c r="L235" s="7" t="n"/>
    </row>
    <row r="236">
      <c r="F236" s="7" t="n"/>
      <c r="G236" s="7" t="n"/>
      <c r="H236" s="7" t="n"/>
      <c r="I236" s="7" t="n"/>
      <c r="J236" s="7" t="n"/>
      <c r="K236" s="7" t="n"/>
      <c r="L236" s="7" t="n"/>
    </row>
    <row r="237">
      <c r="F237" s="7" t="n"/>
      <c r="G237" s="7" t="n"/>
      <c r="H237" s="7" t="n"/>
      <c r="I237" s="7" t="n"/>
      <c r="J237" s="7" t="n"/>
      <c r="K237" s="7" t="n"/>
      <c r="L237" s="7" t="n"/>
    </row>
    <row r="238">
      <c r="F238" s="7" t="n"/>
      <c r="G238" s="7" t="n"/>
      <c r="H238" s="7" t="n"/>
      <c r="I238" s="7" t="n"/>
      <c r="J238" s="7" t="n"/>
      <c r="K238" s="7" t="n"/>
      <c r="L238" s="7" t="n"/>
    </row>
    <row r="239">
      <c r="F239" s="7" t="n"/>
      <c r="G239" s="7" t="n"/>
      <c r="H239" s="7" t="n"/>
      <c r="I239" s="7" t="n"/>
      <c r="J239" s="7" t="n"/>
      <c r="K239" s="7" t="n"/>
      <c r="L239" s="7" t="n"/>
    </row>
    <row r="240">
      <c r="F240" s="7" t="n"/>
      <c r="G240" s="7" t="n"/>
      <c r="H240" s="7" t="n"/>
      <c r="I240" s="7" t="n"/>
      <c r="J240" s="7" t="n"/>
      <c r="K240" s="7" t="n"/>
      <c r="L240" s="7" t="n"/>
    </row>
    <row r="241">
      <c r="F241" s="7" t="n"/>
      <c r="G241" s="7" t="n"/>
      <c r="H241" s="7" t="n"/>
      <c r="I241" s="7" t="n"/>
      <c r="J241" s="7" t="n"/>
      <c r="K241" s="7" t="n"/>
      <c r="L241" s="7" t="n"/>
    </row>
    <row r="242">
      <c r="F242" s="7" t="n"/>
      <c r="G242" s="7" t="n"/>
      <c r="H242" s="7" t="n"/>
      <c r="I242" s="7" t="n"/>
      <c r="J242" s="7" t="n"/>
      <c r="K242" s="7" t="n"/>
      <c r="L242" s="7" t="n"/>
    </row>
    <row r="243">
      <c r="F243" s="7" t="n"/>
      <c r="G243" s="7" t="n"/>
      <c r="H243" s="7" t="n"/>
      <c r="I243" s="7" t="n"/>
      <c r="J243" s="7" t="n"/>
      <c r="K243" s="7" t="n"/>
      <c r="L243" s="7" t="n"/>
    </row>
    <row r="244">
      <c r="F244" s="7" t="n"/>
      <c r="G244" s="7" t="n"/>
      <c r="H244" s="7" t="n"/>
      <c r="I244" s="7" t="n"/>
      <c r="J244" s="7" t="n"/>
      <c r="K244" s="7" t="n"/>
      <c r="L244" s="7" t="n"/>
    </row>
    <row r="245">
      <c r="F245" s="7" t="n"/>
      <c r="G245" s="7" t="n"/>
      <c r="H245" s="7" t="n"/>
      <c r="I245" s="7" t="n"/>
      <c r="J245" s="7" t="n"/>
      <c r="K245" s="7" t="n"/>
      <c r="L245" s="7" t="n"/>
    </row>
    <row r="246">
      <c r="F246" s="7" t="n"/>
      <c r="G246" s="7" t="n"/>
      <c r="H246" s="7" t="n"/>
      <c r="I246" s="7" t="n"/>
      <c r="J246" s="7" t="n"/>
      <c r="K246" s="7" t="n"/>
      <c r="L246" s="7" t="n"/>
    </row>
    <row r="247">
      <c r="F247" s="7" t="n"/>
      <c r="G247" s="7" t="n"/>
      <c r="H247" s="7" t="n"/>
      <c r="I247" s="7" t="n"/>
      <c r="J247" s="7" t="n"/>
      <c r="K247" s="7" t="n"/>
      <c r="L247" s="7" t="n"/>
    </row>
    <row r="248">
      <c r="F248" s="7" t="n"/>
      <c r="G248" s="7" t="n"/>
      <c r="H248" s="7" t="n"/>
      <c r="I248" s="7" t="n"/>
      <c r="J248" s="7" t="n"/>
      <c r="K248" s="7" t="n"/>
      <c r="L248" s="7" t="n"/>
    </row>
    <row r="249">
      <c r="F249" s="7" t="n"/>
      <c r="G249" s="7" t="n"/>
      <c r="H249" s="7" t="n"/>
      <c r="I249" s="7" t="n"/>
      <c r="J249" s="7" t="n"/>
      <c r="K249" s="7" t="n"/>
      <c r="L249" s="7" t="n"/>
    </row>
    <row r="250">
      <c r="F250" s="7" t="n"/>
      <c r="G250" s="7" t="n"/>
      <c r="H250" s="7" t="n"/>
      <c r="I250" s="7" t="n"/>
      <c r="J250" s="7" t="n"/>
      <c r="K250" s="7" t="n"/>
      <c r="L250" s="7" t="n"/>
    </row>
    <row r="251">
      <c r="F251" s="7" t="n"/>
      <c r="G251" s="7" t="n"/>
      <c r="H251" s="7" t="n"/>
      <c r="I251" s="7" t="n"/>
      <c r="J251" s="7" t="n"/>
      <c r="K251" s="7" t="n"/>
      <c r="L251" s="7" t="n"/>
    </row>
    <row r="252">
      <c r="F252" s="7" t="n"/>
      <c r="G252" s="7" t="n"/>
      <c r="H252" s="7" t="n"/>
      <c r="I252" s="7" t="n"/>
      <c r="J252" s="7" t="n"/>
      <c r="K252" s="7" t="n"/>
      <c r="L252" s="7" t="n"/>
    </row>
    <row r="253">
      <c r="F253" s="7" t="n"/>
      <c r="G253" s="7" t="n"/>
      <c r="H253" s="7" t="n"/>
      <c r="I253" s="7" t="n"/>
      <c r="J253" s="7" t="n"/>
      <c r="K253" s="7" t="n"/>
      <c r="L253" s="7" t="n"/>
    </row>
    <row r="254">
      <c r="F254" s="7" t="n"/>
      <c r="G254" s="7" t="n"/>
      <c r="H254" s="7" t="n"/>
      <c r="I254" s="7" t="n"/>
      <c r="J254" s="7" t="n"/>
      <c r="K254" s="7" t="n"/>
      <c r="L254" s="7" t="n"/>
    </row>
    <row r="255">
      <c r="F255" s="7" t="n"/>
      <c r="G255" s="7" t="n"/>
      <c r="H255" s="7" t="n"/>
      <c r="I255" s="7" t="n"/>
      <c r="J255" s="7" t="n"/>
      <c r="K255" s="7" t="n"/>
      <c r="L255" s="7" t="n"/>
    </row>
    <row r="256">
      <c r="F256" s="7" t="n"/>
      <c r="G256" s="7" t="n"/>
      <c r="H256" s="7" t="n"/>
      <c r="I256" s="7" t="n"/>
      <c r="J256" s="7" t="n"/>
      <c r="K256" s="7" t="n"/>
      <c r="L256" s="7" t="n"/>
    </row>
    <row r="257">
      <c r="F257" s="7" t="n"/>
      <c r="G257" s="7" t="n"/>
      <c r="H257" s="7" t="n"/>
      <c r="I257" s="7" t="n"/>
      <c r="J257" s="7" t="n"/>
      <c r="K257" s="7" t="n"/>
      <c r="L257" s="7" t="n"/>
    </row>
    <row r="258">
      <c r="F258" s="7" t="n"/>
      <c r="G258" s="7" t="n"/>
      <c r="H258" s="7" t="n"/>
      <c r="I258" s="7" t="n"/>
      <c r="J258" s="7" t="n"/>
      <c r="K258" s="7" t="n"/>
      <c r="L258" s="7" t="n"/>
    </row>
    <row r="259">
      <c r="F259" s="7" t="n"/>
      <c r="G259" s="7" t="n"/>
      <c r="H259" s="7" t="n"/>
      <c r="I259" s="7" t="n"/>
      <c r="J259" s="7" t="n"/>
      <c r="K259" s="7" t="n"/>
      <c r="L259" s="7" t="n"/>
    </row>
    <row r="260">
      <c r="F260" s="7" t="n"/>
      <c r="G260" s="7" t="n"/>
      <c r="H260" s="7" t="n"/>
      <c r="I260" s="7" t="n"/>
      <c r="J260" s="7" t="n"/>
      <c r="K260" s="7" t="n"/>
      <c r="L260" s="7" t="n"/>
    </row>
    <row r="261">
      <c r="F261" s="7" t="n"/>
      <c r="G261" s="7" t="n"/>
      <c r="H261" s="7" t="n"/>
      <c r="I261" s="7" t="n"/>
      <c r="J261" s="7" t="n"/>
      <c r="K261" s="7" t="n"/>
      <c r="L261" s="7" t="n"/>
    </row>
    <row r="262">
      <c r="F262" s="7" t="n"/>
      <c r="G262" s="7" t="n"/>
      <c r="H262" s="7" t="n"/>
      <c r="I262" s="7" t="n"/>
      <c r="J262" s="7" t="n"/>
      <c r="K262" s="7" t="n"/>
      <c r="L262" s="7" t="n"/>
    </row>
    <row r="263">
      <c r="F263" s="7" t="n"/>
      <c r="G263" s="7" t="n"/>
      <c r="H263" s="7" t="n"/>
      <c r="I263" s="7" t="n"/>
      <c r="J263" s="7" t="n"/>
      <c r="K263" s="7" t="n"/>
      <c r="L263" s="7" t="n"/>
    </row>
    <row r="264">
      <c r="F264" s="7" t="n"/>
      <c r="G264" s="7" t="n"/>
      <c r="H264" s="7" t="n"/>
      <c r="I264" s="7" t="n"/>
      <c r="J264" s="7" t="n"/>
      <c r="K264" s="7" t="n"/>
      <c r="L264" s="7" t="n"/>
    </row>
    <row r="265">
      <c r="F265" s="7" t="n"/>
      <c r="G265" s="7" t="n"/>
      <c r="H265" s="7" t="n"/>
      <c r="I265" s="7" t="n"/>
      <c r="J265" s="7" t="n"/>
      <c r="K265" s="7" t="n"/>
      <c r="L265" s="7" t="n"/>
    </row>
    <row r="266">
      <c r="F266" s="7" t="n"/>
      <c r="G266" s="7" t="n"/>
      <c r="H266" s="7" t="n"/>
      <c r="I266" s="7" t="n"/>
      <c r="J266" s="7" t="n"/>
      <c r="K266" s="7" t="n"/>
      <c r="L266" s="7" t="n"/>
    </row>
    <row r="267">
      <c r="F267" s="7" t="n"/>
      <c r="G267" s="7" t="n"/>
      <c r="H267" s="7" t="n"/>
      <c r="I267" s="7" t="n"/>
      <c r="J267" s="7" t="n"/>
      <c r="K267" s="7" t="n"/>
      <c r="L267" s="7" t="n"/>
    </row>
    <row r="268">
      <c r="F268" s="7" t="n"/>
      <c r="G268" s="7" t="n"/>
      <c r="H268" s="7" t="n"/>
      <c r="I268" s="7" t="n"/>
      <c r="J268" s="7" t="n"/>
      <c r="K268" s="7" t="n"/>
      <c r="L268" s="7" t="n"/>
    </row>
    <row r="269">
      <c r="F269" s="7" t="n"/>
      <c r="G269" s="7" t="n"/>
      <c r="H269" s="7" t="n"/>
      <c r="I269" s="7" t="n"/>
      <c r="J269" s="7" t="n"/>
      <c r="K269" s="7" t="n"/>
      <c r="L269" s="7" t="n"/>
    </row>
    <row r="270">
      <c r="F270" s="7" t="n"/>
      <c r="G270" s="7" t="n"/>
      <c r="H270" s="7" t="n"/>
      <c r="I270" s="7" t="n"/>
      <c r="J270" s="7" t="n"/>
      <c r="K270" s="7" t="n"/>
      <c r="L270" s="7" t="n"/>
    </row>
    <row r="271">
      <c r="F271" s="7" t="n"/>
      <c r="G271" s="7" t="n"/>
      <c r="H271" s="7" t="n"/>
      <c r="I271" s="7" t="n"/>
      <c r="J271" s="7" t="n"/>
      <c r="K271" s="7" t="n"/>
      <c r="L271" s="7" t="n"/>
    </row>
    <row r="272">
      <c r="F272" s="7" t="n"/>
      <c r="G272" s="7" t="n"/>
      <c r="H272" s="7" t="n"/>
      <c r="I272" s="7" t="n"/>
      <c r="J272" s="7" t="n"/>
      <c r="K272" s="7" t="n"/>
      <c r="L272" s="7" t="n"/>
    </row>
    <row r="273">
      <c r="F273" s="7" t="n"/>
      <c r="G273" s="7" t="n"/>
      <c r="H273" s="7" t="n"/>
      <c r="I273" s="7" t="n"/>
      <c r="J273" s="7" t="n"/>
      <c r="K273" s="7" t="n"/>
      <c r="L273" s="7" t="n"/>
    </row>
    <row r="274">
      <c r="F274" s="7" t="n"/>
      <c r="G274" s="7" t="n"/>
      <c r="H274" s="7" t="n"/>
      <c r="I274" s="7" t="n"/>
      <c r="J274" s="7" t="n"/>
      <c r="K274" s="7" t="n"/>
      <c r="L274" s="7" t="n"/>
    </row>
    <row r="275">
      <c r="F275" s="7" t="n"/>
      <c r="G275" s="7" t="n"/>
      <c r="H275" s="7" t="n"/>
      <c r="I275" s="7" t="n"/>
      <c r="J275" s="7" t="n"/>
      <c r="K275" s="7" t="n"/>
      <c r="L275" s="7" t="n"/>
    </row>
    <row r="276">
      <c r="F276" s="7" t="n"/>
      <c r="G276" s="7" t="n"/>
      <c r="H276" s="7" t="n"/>
      <c r="I276" s="7" t="n"/>
      <c r="J276" s="7" t="n"/>
      <c r="K276" s="7" t="n"/>
      <c r="L276" s="7" t="n"/>
    </row>
    <row r="277">
      <c r="F277" s="7" t="n"/>
      <c r="G277" s="7" t="n"/>
      <c r="H277" s="7" t="n"/>
      <c r="I277" s="7" t="n"/>
      <c r="J277" s="7" t="n"/>
      <c r="K277" s="7" t="n"/>
      <c r="L277" s="7" t="n"/>
    </row>
    <row r="278">
      <c r="F278" s="7" t="n"/>
      <c r="G278" s="7" t="n"/>
      <c r="H278" s="7" t="n"/>
      <c r="I278" s="7" t="n"/>
      <c r="J278" s="7" t="n"/>
      <c r="K278" s="7" t="n"/>
      <c r="L278" s="7" t="n"/>
    </row>
    <row r="279">
      <c r="F279" s="7" t="n"/>
      <c r="G279" s="7" t="n"/>
      <c r="H279" s="7" t="n"/>
      <c r="I279" s="7" t="n"/>
      <c r="J279" s="7" t="n"/>
      <c r="K279" s="7" t="n"/>
      <c r="L279" s="7" t="n"/>
    </row>
    <row r="280">
      <c r="F280" s="7" t="n"/>
      <c r="G280" s="7" t="n"/>
      <c r="H280" s="7" t="n"/>
      <c r="I280" s="7" t="n"/>
      <c r="J280" s="7" t="n"/>
      <c r="K280" s="7" t="n"/>
      <c r="L280" s="7" t="n"/>
    </row>
    <row r="281">
      <c r="F281" s="7" t="n"/>
      <c r="G281" s="7" t="n"/>
      <c r="H281" s="7" t="n"/>
      <c r="I281" s="7" t="n"/>
      <c r="J281" s="7" t="n"/>
      <c r="K281" s="7" t="n"/>
      <c r="L281" s="7" t="n"/>
    </row>
    <row r="282">
      <c r="F282" s="7" t="n"/>
      <c r="G282" s="7" t="n"/>
      <c r="H282" s="7" t="n"/>
      <c r="I282" s="7" t="n"/>
      <c r="J282" s="7" t="n"/>
      <c r="K282" s="7" t="n"/>
      <c r="L282" s="7" t="n"/>
    </row>
    <row r="283">
      <c r="F283" s="7" t="n"/>
      <c r="G283" s="7" t="n"/>
      <c r="H283" s="7" t="n"/>
      <c r="I283" s="7" t="n"/>
      <c r="J283" s="7" t="n"/>
      <c r="K283" s="7" t="n"/>
      <c r="L283" s="7" t="n"/>
    </row>
    <row r="284">
      <c r="F284" s="7" t="n"/>
      <c r="G284" s="7" t="n"/>
      <c r="H284" s="7" t="n"/>
      <c r="I284" s="7" t="n"/>
      <c r="J284" s="7" t="n"/>
      <c r="K284" s="7" t="n"/>
      <c r="L284" s="7" t="n"/>
    </row>
    <row r="285">
      <c r="F285" s="7" t="n"/>
      <c r="G285" s="7" t="n"/>
      <c r="H285" s="7" t="n"/>
      <c r="I285" s="7" t="n"/>
      <c r="J285" s="7" t="n"/>
      <c r="K285" s="7" t="n"/>
      <c r="L285" s="7" t="n"/>
    </row>
    <row r="286">
      <c r="F286" s="7" t="n"/>
      <c r="G286" s="7" t="n"/>
      <c r="H286" s="7" t="n"/>
      <c r="I286" s="7" t="n"/>
      <c r="J286" s="7" t="n"/>
      <c r="K286" s="7" t="n"/>
      <c r="L286" s="7" t="n"/>
    </row>
    <row r="287">
      <c r="F287" s="7" t="n"/>
      <c r="G287" s="7" t="n"/>
      <c r="H287" s="7" t="n"/>
      <c r="I287" s="7" t="n"/>
      <c r="J287" s="7" t="n"/>
      <c r="K287" s="7" t="n"/>
      <c r="L287" s="7" t="n"/>
    </row>
    <row r="288">
      <c r="F288" s="7" t="n"/>
      <c r="G288" s="7" t="n"/>
      <c r="H288" s="7" t="n"/>
      <c r="I288" s="7" t="n"/>
      <c r="J288" s="7" t="n"/>
      <c r="K288" s="7" t="n"/>
      <c r="L288" s="7" t="n"/>
    </row>
    <row r="289">
      <c r="F289" s="7" t="n"/>
      <c r="G289" s="7" t="n"/>
      <c r="H289" s="7" t="n"/>
      <c r="I289" s="7" t="n"/>
      <c r="J289" s="7" t="n"/>
      <c r="K289" s="7" t="n"/>
      <c r="L289" s="7" t="n"/>
    </row>
    <row r="290">
      <c r="F290" s="7" t="n"/>
      <c r="G290" s="7" t="n"/>
      <c r="H290" s="7" t="n"/>
      <c r="I290" s="7" t="n"/>
      <c r="J290" s="7" t="n"/>
      <c r="K290" s="7" t="n"/>
      <c r="L290" s="7" t="n"/>
    </row>
    <row r="291">
      <c r="F291" s="7" t="n"/>
      <c r="G291" s="7" t="n"/>
      <c r="H291" s="7" t="n"/>
      <c r="I291" s="7" t="n"/>
      <c r="J291" s="7" t="n"/>
      <c r="K291" s="7" t="n"/>
      <c r="L291" s="7" t="n"/>
    </row>
    <row r="292">
      <c r="F292" s="7" t="n"/>
      <c r="G292" s="7" t="n"/>
      <c r="H292" s="7" t="n"/>
      <c r="I292" s="7" t="n"/>
      <c r="J292" s="7" t="n"/>
      <c r="K292" s="7" t="n"/>
      <c r="L292" s="7" t="n"/>
    </row>
    <row r="293">
      <c r="F293" s="7" t="n"/>
      <c r="G293" s="7" t="n"/>
      <c r="H293" s="7" t="n"/>
      <c r="I293" s="7" t="n"/>
      <c r="J293" s="7" t="n"/>
      <c r="K293" s="7" t="n"/>
      <c r="L293" s="7" t="n"/>
    </row>
    <row r="294">
      <c r="F294" s="7" t="n"/>
      <c r="G294" s="7" t="n"/>
      <c r="H294" s="7" t="n"/>
      <c r="I294" s="7" t="n"/>
      <c r="J294" s="7" t="n"/>
      <c r="K294" s="7" t="n"/>
      <c r="L294" s="7" t="n"/>
    </row>
    <row r="295">
      <c r="F295" s="7" t="n"/>
      <c r="G295" s="7" t="n"/>
      <c r="H295" s="7" t="n"/>
      <c r="I295" s="7" t="n"/>
      <c r="J295" s="7" t="n"/>
      <c r="K295" s="7" t="n"/>
      <c r="L295" s="7" t="n"/>
    </row>
    <row r="296">
      <c r="F296" s="7" t="n"/>
      <c r="G296" s="7" t="n"/>
      <c r="H296" s="7" t="n"/>
      <c r="I296" s="7" t="n"/>
      <c r="J296" s="7" t="n"/>
      <c r="K296" s="7" t="n"/>
      <c r="L296" s="7" t="n"/>
    </row>
    <row r="297">
      <c r="F297" s="7" t="n"/>
      <c r="G297" s="7" t="n"/>
      <c r="H297" s="7" t="n"/>
      <c r="I297" s="7" t="n"/>
      <c r="J297" s="7" t="n"/>
      <c r="K297" s="7" t="n"/>
      <c r="L297" s="7" t="n"/>
    </row>
    <row r="298">
      <c r="F298" s="7" t="n"/>
      <c r="G298" s="7" t="n"/>
      <c r="H298" s="7" t="n"/>
      <c r="I298" s="7" t="n"/>
      <c r="J298" s="7" t="n"/>
      <c r="K298" s="7" t="n"/>
      <c r="L298" s="7" t="n"/>
    </row>
    <row r="299">
      <c r="F299" s="7" t="n"/>
      <c r="G299" s="7" t="n"/>
      <c r="H299" s="7" t="n"/>
      <c r="I299" s="7" t="n"/>
      <c r="J299" s="7" t="n"/>
      <c r="K299" s="7" t="n"/>
      <c r="L299" s="7" t="n"/>
    </row>
    <row r="300">
      <c r="F300" s="7" t="n"/>
      <c r="G300" s="7" t="n"/>
      <c r="H300" s="7" t="n"/>
      <c r="I300" s="7" t="n"/>
      <c r="J300" s="7" t="n"/>
      <c r="K300" s="7" t="n"/>
      <c r="L300" s="7" t="n"/>
    </row>
    <row r="301">
      <c r="F301" s="7" t="n"/>
      <c r="G301" s="7" t="n"/>
      <c r="H301" s="7" t="n"/>
      <c r="I301" s="7" t="n"/>
      <c r="J301" s="7" t="n"/>
      <c r="K301" s="7" t="n"/>
      <c r="L301" s="7" t="n"/>
    </row>
    <row r="302">
      <c r="F302" s="7" t="n"/>
      <c r="G302" s="7" t="n"/>
      <c r="H302" s="7" t="n"/>
      <c r="I302" s="7" t="n"/>
      <c r="J302" s="7" t="n"/>
      <c r="K302" s="7" t="n"/>
      <c r="L302" s="7" t="n"/>
    </row>
    <row r="303">
      <c r="F303" s="7" t="n"/>
      <c r="G303" s="7" t="n"/>
      <c r="H303" s="7" t="n"/>
      <c r="I303" s="7" t="n"/>
      <c r="J303" s="7" t="n"/>
      <c r="K303" s="7" t="n"/>
      <c r="L303" s="7" t="n"/>
    </row>
    <row r="304">
      <c r="F304" s="7" t="n"/>
      <c r="G304" s="7" t="n"/>
      <c r="H304" s="7" t="n"/>
      <c r="I304" s="7" t="n"/>
      <c r="J304" s="7" t="n"/>
      <c r="K304" s="7" t="n"/>
      <c r="L304" s="7" t="n"/>
    </row>
    <row r="305">
      <c r="F305" s="7" t="n"/>
      <c r="G305" s="7" t="n"/>
      <c r="H305" s="7" t="n"/>
      <c r="I305" s="7" t="n"/>
      <c r="J305" s="7" t="n"/>
      <c r="K305" s="7" t="n"/>
      <c r="L305" s="7" t="n"/>
    </row>
    <row r="306">
      <c r="F306" s="7" t="n"/>
      <c r="G306" s="7" t="n"/>
      <c r="H306" s="7" t="n"/>
      <c r="I306" s="7" t="n"/>
      <c r="J306" s="7" t="n"/>
      <c r="K306" s="7" t="n"/>
      <c r="L306" s="7" t="n"/>
    </row>
    <row r="307">
      <c r="F307" s="7" t="n"/>
      <c r="G307" s="7" t="n"/>
      <c r="H307" s="7" t="n"/>
      <c r="I307" s="7" t="n"/>
      <c r="J307" s="7" t="n"/>
      <c r="K307" s="7" t="n"/>
      <c r="L307" s="7" t="n"/>
    </row>
    <row r="308">
      <c r="F308" s="7" t="n"/>
      <c r="G308" s="7" t="n"/>
      <c r="H308" s="7" t="n"/>
      <c r="I308" s="7" t="n"/>
      <c r="J308" s="7" t="n"/>
      <c r="K308" s="7" t="n"/>
      <c r="L308" s="7" t="n"/>
    </row>
    <row r="309">
      <c r="F309" s="7" t="n"/>
      <c r="G309" s="7" t="n"/>
      <c r="H309" s="7" t="n"/>
      <c r="I309" s="7" t="n"/>
      <c r="J309" s="7" t="n"/>
      <c r="K309" s="7" t="n"/>
      <c r="L309" s="7" t="n"/>
    </row>
    <row r="310">
      <c r="F310" s="7" t="n"/>
      <c r="G310" s="7" t="n"/>
      <c r="H310" s="7" t="n"/>
      <c r="I310" s="7" t="n"/>
      <c r="J310" s="7" t="n"/>
      <c r="K310" s="7" t="n"/>
      <c r="L310" s="7" t="n"/>
    </row>
    <row r="311">
      <c r="F311" s="7" t="n"/>
      <c r="G311" s="7" t="n"/>
      <c r="H311" s="7" t="n"/>
      <c r="I311" s="7" t="n"/>
      <c r="J311" s="7" t="n"/>
      <c r="K311" s="7" t="n"/>
      <c r="L311" s="7" t="n"/>
    </row>
    <row r="312">
      <c r="F312" s="7" t="n"/>
      <c r="G312" s="7" t="n"/>
      <c r="H312" s="7" t="n"/>
      <c r="I312" s="7" t="n"/>
      <c r="J312" s="7" t="n"/>
      <c r="K312" s="7" t="n"/>
      <c r="L312" s="7" t="n"/>
    </row>
    <row r="313">
      <c r="F313" s="7" t="n"/>
      <c r="G313" s="7" t="n"/>
      <c r="H313" s="7" t="n"/>
      <c r="I313" s="7" t="n"/>
      <c r="J313" s="7" t="n"/>
      <c r="K313" s="7" t="n"/>
      <c r="L313" s="7" t="n"/>
    </row>
    <row r="314">
      <c r="F314" s="7" t="n"/>
      <c r="G314" s="7" t="n"/>
      <c r="H314" s="7" t="n"/>
      <c r="I314" s="7" t="n"/>
      <c r="J314" s="7" t="n"/>
      <c r="K314" s="7" t="n"/>
      <c r="L314" s="7" t="n"/>
    </row>
    <row r="315">
      <c r="F315" s="7" t="n"/>
      <c r="G315" s="7" t="n"/>
      <c r="H315" s="7" t="n"/>
      <c r="I315" s="7" t="n"/>
      <c r="J315" s="7" t="n"/>
      <c r="K315" s="7" t="n"/>
      <c r="L315" s="7" t="n"/>
    </row>
    <row r="316">
      <c r="F316" s="7" t="n"/>
      <c r="G316" s="7" t="n"/>
      <c r="H316" s="7" t="n"/>
      <c r="I316" s="7" t="n"/>
      <c r="J316" s="7" t="n"/>
      <c r="K316" s="7" t="n"/>
      <c r="L316" s="7" t="n"/>
    </row>
    <row r="317">
      <c r="F317" s="7" t="n"/>
      <c r="G317" s="7" t="n"/>
      <c r="H317" s="7" t="n"/>
      <c r="I317" s="7" t="n"/>
      <c r="J317" s="7" t="n"/>
      <c r="K317" s="7" t="n"/>
      <c r="L317" s="7" t="n"/>
    </row>
    <row r="318">
      <c r="F318" s="7" t="n"/>
      <c r="G318" s="7" t="n"/>
      <c r="H318" s="7" t="n"/>
      <c r="I318" s="7" t="n"/>
      <c r="J318" s="7" t="n"/>
      <c r="K318" s="7" t="n"/>
      <c r="L318" s="7" t="n"/>
    </row>
    <row r="319">
      <c r="F319" s="7" t="n"/>
      <c r="G319" s="7" t="n"/>
      <c r="H319" s="7" t="n"/>
      <c r="I319" s="7" t="n"/>
      <c r="J319" s="7" t="n"/>
      <c r="K319" s="7" t="n"/>
      <c r="L319" s="7" t="n"/>
    </row>
    <row r="320">
      <c r="F320" s="7" t="n"/>
      <c r="G320" s="7" t="n"/>
      <c r="H320" s="7" t="n"/>
      <c r="I320" s="7" t="n"/>
      <c r="J320" s="7" t="n"/>
      <c r="K320" s="7" t="n"/>
      <c r="L320" s="7" t="n"/>
    </row>
    <row r="321">
      <c r="F321" s="7" t="n"/>
      <c r="G321" s="7" t="n"/>
      <c r="H321" s="7" t="n"/>
      <c r="I321" s="7" t="n"/>
      <c r="J321" s="7" t="n"/>
      <c r="K321" s="7" t="n"/>
      <c r="L321" s="7" t="n"/>
    </row>
    <row r="322">
      <c r="F322" s="7" t="n"/>
      <c r="G322" s="7" t="n"/>
      <c r="H322" s="7" t="n"/>
      <c r="I322" s="7" t="n"/>
      <c r="J322" s="7" t="n"/>
      <c r="K322" s="7" t="n"/>
      <c r="L322" s="7" t="n"/>
    </row>
    <row r="323">
      <c r="F323" s="7" t="n"/>
      <c r="G323" s="7" t="n"/>
      <c r="H323" s="7" t="n"/>
      <c r="I323" s="7" t="n"/>
      <c r="J323" s="7" t="n"/>
      <c r="K323" s="7" t="n"/>
      <c r="L323" s="7" t="n"/>
    </row>
    <row r="324">
      <c r="F324" s="7" t="n"/>
      <c r="G324" s="7" t="n"/>
      <c r="H324" s="7" t="n"/>
      <c r="I324" s="7" t="n"/>
      <c r="J324" s="7" t="n"/>
      <c r="K324" s="7" t="n"/>
      <c r="L324" s="7" t="n"/>
    </row>
    <row r="325">
      <c r="F325" s="7" t="n"/>
      <c r="G325" s="7" t="n"/>
      <c r="H325" s="7" t="n"/>
      <c r="I325" s="7" t="n"/>
      <c r="J325" s="7" t="n"/>
      <c r="K325" s="7" t="n"/>
      <c r="L325" s="7" t="n"/>
    </row>
    <row r="326">
      <c r="F326" s="7" t="n"/>
      <c r="G326" s="7" t="n"/>
      <c r="H326" s="7" t="n"/>
      <c r="I326" s="7" t="n"/>
      <c r="J326" s="7" t="n"/>
      <c r="K326" s="7" t="n"/>
      <c r="L326" s="7" t="n"/>
    </row>
    <row r="327">
      <c r="F327" s="7" t="n"/>
      <c r="G327" s="7" t="n"/>
      <c r="H327" s="7" t="n"/>
      <c r="I327" s="7" t="n"/>
      <c r="J327" s="7" t="n"/>
      <c r="K327" s="7" t="n"/>
      <c r="L327" s="7" t="n"/>
    </row>
    <row r="328">
      <c r="F328" s="7" t="n"/>
      <c r="G328" s="7" t="n"/>
      <c r="H328" s="7" t="n"/>
      <c r="I328" s="7" t="n"/>
      <c r="J328" s="7" t="n"/>
      <c r="K328" s="7" t="n"/>
      <c r="L328" s="7" t="n"/>
    </row>
    <row r="329">
      <c r="F329" s="7" t="n"/>
      <c r="G329" s="7" t="n"/>
      <c r="H329" s="7" t="n"/>
      <c r="I329" s="7" t="n"/>
      <c r="J329" s="7" t="n"/>
      <c r="K329" s="7" t="n"/>
      <c r="L329" s="7" t="n"/>
    </row>
    <row r="330">
      <c r="F330" s="7" t="n"/>
      <c r="G330" s="7" t="n"/>
      <c r="H330" s="7" t="n"/>
      <c r="I330" s="7" t="n"/>
      <c r="J330" s="7" t="n"/>
      <c r="K330" s="7" t="n"/>
      <c r="L330" s="7" t="n"/>
    </row>
    <row r="331">
      <c r="F331" s="7" t="n"/>
      <c r="G331" s="7" t="n"/>
      <c r="H331" s="7" t="n"/>
      <c r="I331" s="7" t="n"/>
      <c r="J331" s="7" t="n"/>
      <c r="K331" s="7" t="n"/>
      <c r="L331" s="7" t="n"/>
    </row>
    <row r="332">
      <c r="F332" s="7" t="n"/>
      <c r="G332" s="7" t="n"/>
      <c r="H332" s="7" t="n"/>
      <c r="I332" s="7" t="n"/>
      <c r="J332" s="7" t="n"/>
      <c r="K332" s="7" t="n"/>
      <c r="L332" s="7" t="n"/>
    </row>
    <row r="333">
      <c r="F333" s="7" t="n"/>
      <c r="G333" s="7" t="n"/>
      <c r="H333" s="7" t="n"/>
      <c r="I333" s="7" t="n"/>
      <c r="J333" s="7" t="n"/>
      <c r="K333" s="7" t="n"/>
      <c r="L333" s="7" t="n"/>
    </row>
    <row r="334">
      <c r="F334" s="7" t="n"/>
      <c r="G334" s="7" t="n"/>
      <c r="H334" s="7" t="n"/>
      <c r="I334" s="7" t="n"/>
      <c r="J334" s="7" t="n"/>
      <c r="K334" s="7" t="n"/>
      <c r="L334" s="7" t="n"/>
    </row>
    <row r="335">
      <c r="F335" s="7" t="n"/>
      <c r="G335" s="7" t="n"/>
      <c r="H335" s="7" t="n"/>
      <c r="I335" s="7" t="n"/>
      <c r="J335" s="7" t="n"/>
      <c r="K335" s="7" t="n"/>
      <c r="L335" s="7" t="n"/>
    </row>
    <row r="336">
      <c r="F336" s="7" t="n"/>
      <c r="G336" s="7" t="n"/>
      <c r="H336" s="7" t="n"/>
      <c r="I336" s="7" t="n"/>
      <c r="J336" s="7" t="n"/>
      <c r="K336" s="7" t="n"/>
      <c r="L336" s="7" t="n"/>
    </row>
    <row r="337">
      <c r="F337" s="7" t="n"/>
      <c r="G337" s="7" t="n"/>
      <c r="H337" s="7" t="n"/>
      <c r="I337" s="7" t="n"/>
      <c r="J337" s="7" t="n"/>
      <c r="K337" s="7" t="n"/>
      <c r="L337" s="7" t="n"/>
    </row>
    <row r="338">
      <c r="F338" s="7" t="n"/>
      <c r="G338" s="7" t="n"/>
      <c r="H338" s="7" t="n"/>
      <c r="I338" s="7" t="n"/>
      <c r="J338" s="7" t="n"/>
      <c r="K338" s="7" t="n"/>
      <c r="L338" s="7" t="n"/>
    </row>
    <row r="339">
      <c r="F339" s="7" t="n"/>
      <c r="G339" s="7" t="n"/>
      <c r="H339" s="7" t="n"/>
      <c r="I339" s="7" t="n"/>
      <c r="J339" s="7" t="n"/>
      <c r="K339" s="7" t="n"/>
      <c r="L339" s="7" t="n"/>
    </row>
    <row r="340">
      <c r="F340" s="7" t="n"/>
      <c r="G340" s="7" t="n"/>
      <c r="H340" s="7" t="n"/>
      <c r="I340" s="7" t="n"/>
      <c r="J340" s="7" t="n"/>
      <c r="K340" s="7" t="n"/>
      <c r="L340" s="7" t="n"/>
    </row>
    <row r="341">
      <c r="F341" s="7" t="n"/>
      <c r="G341" s="7" t="n"/>
      <c r="H341" s="7" t="n"/>
      <c r="I341" s="7" t="n"/>
      <c r="J341" s="7" t="n"/>
      <c r="K341" s="7" t="n"/>
      <c r="L341" s="7" t="n"/>
    </row>
    <row r="342">
      <c r="F342" s="7" t="n"/>
      <c r="G342" s="7" t="n"/>
      <c r="H342" s="7" t="n"/>
      <c r="I342" s="7" t="n"/>
      <c r="J342" s="7" t="n"/>
      <c r="K342" s="7" t="n"/>
      <c r="L342" s="7" t="n"/>
    </row>
    <row r="343">
      <c r="F343" s="7" t="n"/>
      <c r="G343" s="7" t="n"/>
      <c r="H343" s="7" t="n"/>
      <c r="I343" s="7" t="n"/>
      <c r="J343" s="7" t="n"/>
      <c r="K343" s="7" t="n"/>
      <c r="L343" s="7" t="n"/>
    </row>
    <row r="344">
      <c r="F344" s="7" t="n"/>
      <c r="G344" s="7" t="n"/>
      <c r="H344" s="7" t="n"/>
      <c r="I344" s="7" t="n"/>
      <c r="J344" s="7" t="n"/>
      <c r="K344" s="7" t="n"/>
      <c r="L344" s="7" t="n"/>
    </row>
    <row r="345">
      <c r="F345" s="7" t="n"/>
      <c r="G345" s="7" t="n"/>
      <c r="H345" s="7" t="n"/>
      <c r="I345" s="7" t="n"/>
      <c r="J345" s="7" t="n"/>
      <c r="K345" s="7" t="n"/>
      <c r="L345" s="7" t="n"/>
    </row>
    <row r="346">
      <c r="F346" s="7" t="n"/>
      <c r="G346" s="7" t="n"/>
      <c r="H346" s="7" t="n"/>
      <c r="I346" s="7" t="n"/>
      <c r="J346" s="7" t="n"/>
      <c r="K346" s="7" t="n"/>
      <c r="L346" s="7" t="n"/>
    </row>
    <row r="347">
      <c r="F347" s="7" t="n"/>
      <c r="G347" s="7" t="n"/>
      <c r="H347" s="7" t="n"/>
      <c r="I347" s="7" t="n"/>
      <c r="J347" s="7" t="n"/>
      <c r="K347" s="7" t="n"/>
      <c r="L347" s="7" t="n"/>
    </row>
    <row r="348">
      <c r="F348" s="7" t="n"/>
      <c r="G348" s="7" t="n"/>
      <c r="H348" s="7" t="n"/>
      <c r="I348" s="7" t="n"/>
      <c r="J348" s="7" t="n"/>
      <c r="K348" s="7" t="n"/>
      <c r="L348" s="7" t="n"/>
    </row>
    <row r="349">
      <c r="F349" s="7" t="n"/>
      <c r="G349" s="7" t="n"/>
      <c r="H349" s="7" t="n"/>
      <c r="I349" s="7" t="n"/>
      <c r="J349" s="7" t="n"/>
      <c r="K349" s="7" t="n"/>
      <c r="L349" s="7" t="n"/>
    </row>
    <row r="350">
      <c r="F350" s="7" t="n"/>
      <c r="G350" s="7" t="n"/>
      <c r="H350" s="7" t="n"/>
      <c r="I350" s="7" t="n"/>
      <c r="J350" s="7" t="n"/>
      <c r="K350" s="7" t="n"/>
      <c r="L350" s="7" t="n"/>
    </row>
    <row r="351">
      <c r="F351" s="7" t="n"/>
      <c r="G351" s="7" t="n"/>
      <c r="H351" s="7" t="n"/>
      <c r="I351" s="7" t="n"/>
      <c r="J351" s="7" t="n"/>
      <c r="K351" s="7" t="n"/>
      <c r="L351" s="7" t="n"/>
    </row>
    <row r="352">
      <c r="F352" s="7" t="n"/>
      <c r="G352" s="7" t="n"/>
      <c r="H352" s="7" t="n"/>
      <c r="I352" s="7" t="n"/>
      <c r="J352" s="7" t="n"/>
      <c r="K352" s="7" t="n"/>
      <c r="L352" s="7" t="n"/>
    </row>
    <row r="353">
      <c r="F353" s="7" t="n"/>
      <c r="G353" s="7" t="n"/>
      <c r="H353" s="7" t="n"/>
      <c r="I353" s="7" t="n"/>
      <c r="J353" s="7" t="n"/>
      <c r="K353" s="7" t="n"/>
      <c r="L353" s="7" t="n"/>
    </row>
    <row r="354">
      <c r="F354" s="7" t="n"/>
      <c r="G354" s="7" t="n"/>
      <c r="H354" s="7" t="n"/>
      <c r="I354" s="7" t="n"/>
      <c r="J354" s="7" t="n"/>
      <c r="K354" s="7" t="n"/>
      <c r="L354" s="7" t="n"/>
    </row>
    <row r="355">
      <c r="F355" s="7" t="n"/>
      <c r="G355" s="7" t="n"/>
      <c r="H355" s="7" t="n"/>
      <c r="I355" s="7" t="n"/>
      <c r="J355" s="7" t="n"/>
      <c r="K355" s="7" t="n"/>
      <c r="L355" s="7" t="n"/>
    </row>
    <row r="356">
      <c r="F356" s="7" t="n"/>
      <c r="G356" s="7" t="n"/>
      <c r="H356" s="7" t="n"/>
      <c r="I356" s="7" t="n"/>
      <c r="J356" s="7" t="n"/>
      <c r="K356" s="7" t="n"/>
      <c r="L356" s="7" t="n"/>
    </row>
    <row r="357">
      <c r="F357" s="7" t="n"/>
      <c r="G357" s="7" t="n"/>
      <c r="H357" s="7" t="n"/>
      <c r="I357" s="7" t="n"/>
      <c r="J357" s="7" t="n"/>
      <c r="K357" s="7" t="n"/>
      <c r="L357" s="7" t="n"/>
    </row>
    <row r="358">
      <c r="F358" s="7" t="n"/>
      <c r="G358" s="7" t="n"/>
      <c r="H358" s="7" t="n"/>
      <c r="I358" s="7" t="n"/>
      <c r="J358" s="7" t="n"/>
      <c r="K358" s="7" t="n"/>
      <c r="L358" s="7" t="n"/>
    </row>
    <row r="359">
      <c r="F359" s="7" t="n"/>
      <c r="G359" s="7" t="n"/>
      <c r="H359" s="7" t="n"/>
      <c r="I359" s="7" t="n"/>
      <c r="J359" s="7" t="n"/>
      <c r="K359" s="7" t="n"/>
      <c r="L359" s="7" t="n"/>
    </row>
    <row r="360">
      <c r="F360" s="7" t="n"/>
      <c r="G360" s="7" t="n"/>
      <c r="H360" s="7" t="n"/>
      <c r="I360" s="7" t="n"/>
      <c r="J360" s="7" t="n"/>
      <c r="K360" s="7" t="n"/>
      <c r="L360" s="7" t="n"/>
    </row>
    <row r="361">
      <c r="F361" s="7" t="n"/>
      <c r="G361" s="7" t="n"/>
      <c r="H361" s="7" t="n"/>
      <c r="I361" s="7" t="n"/>
      <c r="J361" s="7" t="n"/>
      <c r="K361" s="7" t="n"/>
      <c r="L361" s="7" t="n"/>
    </row>
    <row r="362">
      <c r="F362" s="7" t="n"/>
      <c r="G362" s="7" t="n"/>
      <c r="H362" s="7" t="n"/>
      <c r="I362" s="7" t="n"/>
      <c r="J362" s="7" t="n"/>
      <c r="K362" s="7" t="n"/>
      <c r="L362" s="7" t="n"/>
    </row>
    <row r="363">
      <c r="F363" s="7" t="n"/>
      <c r="G363" s="7" t="n"/>
      <c r="H363" s="7" t="n"/>
      <c r="I363" s="7" t="n"/>
      <c r="J363" s="7" t="n"/>
      <c r="K363" s="7" t="n"/>
      <c r="L363" s="7" t="n"/>
    </row>
    <row r="364">
      <c r="F364" s="7" t="n"/>
      <c r="G364" s="7" t="n"/>
      <c r="H364" s="7" t="n"/>
      <c r="I364" s="7" t="n"/>
      <c r="J364" s="7" t="n"/>
      <c r="K364" s="7" t="n"/>
      <c r="L364" s="7" t="n"/>
    </row>
    <row r="365">
      <c r="F365" s="7" t="n"/>
      <c r="G365" s="7" t="n"/>
      <c r="H365" s="7" t="n"/>
      <c r="I365" s="7" t="n"/>
      <c r="J365" s="7" t="n"/>
      <c r="K365" s="7" t="n"/>
      <c r="L365" s="7" t="n"/>
    </row>
    <row r="366">
      <c r="F366" s="7" t="n"/>
      <c r="G366" s="7" t="n"/>
      <c r="H366" s="7" t="n"/>
      <c r="I366" s="7" t="n"/>
      <c r="J366" s="7" t="n"/>
      <c r="K366" s="7" t="n"/>
      <c r="L366" s="7" t="n"/>
    </row>
    <row r="367">
      <c r="F367" s="7" t="n"/>
      <c r="G367" s="7" t="n"/>
      <c r="H367" s="7" t="n"/>
      <c r="I367" s="7" t="n"/>
      <c r="J367" s="7" t="n"/>
      <c r="K367" s="7" t="n"/>
      <c r="L367" s="7" t="n"/>
    </row>
    <row r="368">
      <c r="F368" s="7" t="n"/>
      <c r="G368" s="7" t="n"/>
      <c r="H368" s="7" t="n"/>
      <c r="I368" s="7" t="n"/>
      <c r="J368" s="7" t="n"/>
      <c r="K368" s="7" t="n"/>
      <c r="L368" s="7" t="n"/>
    </row>
    <row r="369">
      <c r="F369" s="7" t="n"/>
      <c r="G369" s="7" t="n"/>
      <c r="H369" s="7" t="n"/>
      <c r="I369" s="7" t="n"/>
      <c r="J369" s="7" t="n"/>
      <c r="K369" s="7" t="n"/>
      <c r="L369" s="7" t="n"/>
    </row>
    <row r="370">
      <c r="F370" s="7" t="n"/>
      <c r="G370" s="7" t="n"/>
      <c r="H370" s="7" t="n"/>
      <c r="I370" s="7" t="n"/>
      <c r="J370" s="7" t="n"/>
      <c r="K370" s="7" t="n"/>
      <c r="L370" s="7" t="n"/>
    </row>
    <row r="371">
      <c r="F371" s="7" t="n"/>
      <c r="G371" s="7" t="n"/>
      <c r="H371" s="7" t="n"/>
      <c r="I371" s="7" t="n"/>
      <c r="J371" s="7" t="n"/>
      <c r="K371" s="7" t="n"/>
      <c r="L371" s="7" t="n"/>
    </row>
    <row r="372">
      <c r="F372" s="7" t="n"/>
      <c r="G372" s="7" t="n"/>
      <c r="H372" s="7" t="n"/>
      <c r="I372" s="7" t="n"/>
      <c r="J372" s="7" t="n"/>
      <c r="K372" s="7" t="n"/>
      <c r="L372" s="7" t="n"/>
    </row>
    <row r="373">
      <c r="F373" s="7" t="n"/>
      <c r="G373" s="7" t="n"/>
      <c r="H373" s="7" t="n"/>
      <c r="I373" s="7" t="n"/>
      <c r="J373" s="7" t="n"/>
      <c r="K373" s="7" t="n"/>
      <c r="L373" s="7" t="n"/>
    </row>
    <row r="374">
      <c r="F374" s="7" t="n"/>
      <c r="G374" s="7" t="n"/>
      <c r="H374" s="7" t="n"/>
      <c r="I374" s="7" t="n"/>
      <c r="J374" s="7" t="n"/>
      <c r="K374" s="7" t="n"/>
      <c r="L374" s="7" t="n"/>
    </row>
    <row r="375">
      <c r="F375" s="7" t="n"/>
      <c r="G375" s="7" t="n"/>
      <c r="H375" s="7" t="n"/>
      <c r="I375" s="7" t="n"/>
      <c r="J375" s="7" t="n"/>
      <c r="K375" s="7" t="n"/>
      <c r="L375" s="7" t="n"/>
    </row>
    <row r="376">
      <c r="F376" s="7" t="n"/>
      <c r="G376" s="7" t="n"/>
      <c r="H376" s="7" t="n"/>
      <c r="I376" s="7" t="n"/>
      <c r="J376" s="7" t="n"/>
      <c r="K376" s="7" t="n"/>
      <c r="L376" s="7" t="n"/>
    </row>
    <row r="377">
      <c r="F377" s="7" t="n"/>
      <c r="G377" s="7" t="n"/>
      <c r="H377" s="7" t="n"/>
      <c r="I377" s="7" t="n"/>
      <c r="J377" s="7" t="n"/>
      <c r="K377" s="7" t="n"/>
      <c r="L377" s="7" t="n"/>
    </row>
    <row r="378">
      <c r="F378" s="7" t="n"/>
      <c r="G378" s="7" t="n"/>
      <c r="H378" s="7" t="n"/>
      <c r="I378" s="7" t="n"/>
      <c r="J378" s="7" t="n"/>
      <c r="K378" s="7" t="n"/>
      <c r="L378" s="7" t="n"/>
    </row>
    <row r="379">
      <c r="F379" s="7" t="n"/>
      <c r="G379" s="7" t="n"/>
      <c r="H379" s="7" t="n"/>
      <c r="I379" s="7" t="n"/>
      <c r="J379" s="7" t="n"/>
      <c r="K379" s="7" t="n"/>
      <c r="L379" s="7" t="n"/>
    </row>
    <row r="380">
      <c r="F380" s="7" t="n"/>
      <c r="G380" s="7" t="n"/>
      <c r="H380" s="7" t="n"/>
      <c r="I380" s="7" t="n"/>
      <c r="J380" s="7" t="n"/>
      <c r="K380" s="7" t="n"/>
      <c r="L380" s="7" t="n"/>
    </row>
    <row r="381">
      <c r="F381" s="7" t="n"/>
      <c r="G381" s="7" t="n"/>
      <c r="H381" s="7" t="n"/>
      <c r="I381" s="7" t="n"/>
      <c r="J381" s="7" t="n"/>
      <c r="K381" s="7" t="n"/>
      <c r="L381" s="7" t="n"/>
    </row>
    <row r="382">
      <c r="F382" s="7" t="n"/>
      <c r="G382" s="7" t="n"/>
      <c r="H382" s="7" t="n"/>
      <c r="I382" s="7" t="n"/>
      <c r="J382" s="7" t="n"/>
      <c r="K382" s="7" t="n"/>
      <c r="L382" s="7" t="n"/>
    </row>
    <row r="383">
      <c r="F383" s="7" t="n"/>
      <c r="G383" s="7" t="n"/>
      <c r="H383" s="7" t="n"/>
      <c r="I383" s="7" t="n"/>
      <c r="J383" s="7" t="n"/>
      <c r="K383" s="7" t="n"/>
      <c r="L383" s="7" t="n"/>
    </row>
    <row r="384">
      <c r="F384" s="7" t="n"/>
      <c r="G384" s="7" t="n"/>
      <c r="H384" s="7" t="n"/>
      <c r="I384" s="7" t="n"/>
      <c r="J384" s="7" t="n"/>
      <c r="K384" s="7" t="n"/>
      <c r="L384" s="7" t="n"/>
    </row>
    <row r="385">
      <c r="F385" s="7" t="n"/>
      <c r="G385" s="7" t="n"/>
      <c r="H385" s="7" t="n"/>
      <c r="I385" s="7" t="n"/>
      <c r="J385" s="7" t="n"/>
      <c r="K385" s="7" t="n"/>
      <c r="L385" s="7" t="n"/>
    </row>
    <row r="386">
      <c r="F386" s="7" t="n"/>
      <c r="G386" s="7" t="n"/>
      <c r="H386" s="7" t="n"/>
      <c r="I386" s="7" t="n"/>
      <c r="J386" s="7" t="n"/>
      <c r="K386" s="7" t="n"/>
      <c r="L386" s="7" t="n"/>
    </row>
    <row r="387">
      <c r="F387" s="7" t="n"/>
      <c r="G387" s="7" t="n"/>
      <c r="H387" s="7" t="n"/>
      <c r="I387" s="7" t="n"/>
      <c r="J387" s="7" t="n"/>
      <c r="K387" s="7" t="n"/>
      <c r="L387" s="7" t="n"/>
    </row>
    <row r="388">
      <c r="F388" s="7" t="n"/>
      <c r="G388" s="7" t="n"/>
      <c r="H388" s="7" t="n"/>
      <c r="I388" s="7" t="n"/>
      <c r="J388" s="7" t="n"/>
      <c r="K388" s="7" t="n"/>
      <c r="L388" s="7" t="n"/>
    </row>
    <row r="389">
      <c r="F389" s="7" t="n"/>
      <c r="G389" s="7" t="n"/>
      <c r="H389" s="7" t="n"/>
      <c r="I389" s="7" t="n"/>
      <c r="J389" s="7" t="n"/>
      <c r="K389" s="7" t="n"/>
      <c r="L389" s="7" t="n"/>
    </row>
    <row r="390">
      <c r="F390" s="7" t="n"/>
      <c r="G390" s="7" t="n"/>
      <c r="H390" s="7" t="n"/>
      <c r="I390" s="7" t="n"/>
      <c r="J390" s="7" t="n"/>
      <c r="K390" s="7" t="n"/>
      <c r="L390" s="7" t="n"/>
    </row>
    <row r="391">
      <c r="F391" s="7" t="n"/>
      <c r="G391" s="7" t="n"/>
      <c r="H391" s="7" t="n"/>
      <c r="I391" s="7" t="n"/>
      <c r="J391" s="7" t="n"/>
      <c r="K391" s="7" t="n"/>
      <c r="L391" s="7" t="n"/>
    </row>
    <row r="392">
      <c r="F392" s="7" t="n"/>
      <c r="G392" s="7" t="n"/>
      <c r="H392" s="7" t="n"/>
      <c r="I392" s="7" t="n"/>
      <c r="J392" s="7" t="n"/>
      <c r="K392" s="7" t="n"/>
      <c r="L392" s="7" t="n"/>
    </row>
    <row r="393">
      <c r="F393" s="7" t="n"/>
      <c r="G393" s="7" t="n"/>
      <c r="H393" s="7" t="n"/>
      <c r="I393" s="7" t="n"/>
      <c r="J393" s="7" t="n"/>
      <c r="K393" s="7" t="n"/>
      <c r="L393" s="7" t="n"/>
    </row>
    <row r="394">
      <c r="F394" s="7" t="n"/>
      <c r="G394" s="7" t="n"/>
      <c r="H394" s="7" t="n"/>
      <c r="I394" s="7" t="n"/>
      <c r="J394" s="7" t="n"/>
      <c r="K394" s="7" t="n"/>
      <c r="L394" s="7" t="n"/>
    </row>
    <row r="395">
      <c r="F395" s="7" t="n"/>
      <c r="G395" s="7" t="n"/>
      <c r="H395" s="7" t="n"/>
      <c r="I395" s="7" t="n"/>
      <c r="J395" s="7" t="n"/>
      <c r="K395" s="7" t="n"/>
      <c r="L395" s="7" t="n"/>
    </row>
    <row r="396">
      <c r="F396" s="7" t="n"/>
      <c r="G396" s="7" t="n"/>
      <c r="H396" s="7" t="n"/>
      <c r="I396" s="7" t="n"/>
      <c r="J396" s="7" t="n"/>
      <c r="K396" s="7" t="n"/>
      <c r="L396" s="7" t="n"/>
    </row>
    <row r="397">
      <c r="F397" s="7" t="n"/>
      <c r="G397" s="7" t="n"/>
      <c r="H397" s="7" t="n"/>
      <c r="I397" s="7" t="n"/>
      <c r="J397" s="7" t="n"/>
      <c r="K397" s="7" t="n"/>
      <c r="L397" s="7" t="n"/>
    </row>
    <row r="398">
      <c r="F398" s="7" t="n"/>
      <c r="G398" s="7" t="n"/>
      <c r="H398" s="7" t="n"/>
      <c r="I398" s="7" t="n"/>
      <c r="J398" s="7" t="n"/>
      <c r="K398" s="7" t="n"/>
      <c r="L398" s="7" t="n"/>
    </row>
    <row r="399">
      <c r="F399" s="7" t="n"/>
      <c r="G399" s="7" t="n"/>
      <c r="H399" s="7" t="n"/>
      <c r="I399" s="7" t="n"/>
      <c r="J399" s="7" t="n"/>
      <c r="K399" s="7" t="n"/>
      <c r="L399" s="7" t="n"/>
    </row>
    <row r="400">
      <c r="F400" s="7" t="n"/>
      <c r="G400" s="7" t="n"/>
      <c r="H400" s="7" t="n"/>
      <c r="I400" s="7" t="n"/>
      <c r="J400" s="7" t="n"/>
      <c r="K400" s="7" t="n"/>
      <c r="L400" s="7" t="n"/>
    </row>
    <row r="401">
      <c r="F401" s="7" t="n"/>
      <c r="G401" s="7" t="n"/>
      <c r="H401" s="7" t="n"/>
      <c r="I401" s="7" t="n"/>
      <c r="J401" s="7" t="n"/>
      <c r="K401" s="7" t="n"/>
      <c r="L401" s="7" t="n"/>
    </row>
    <row r="402">
      <c r="F402" s="7" t="n"/>
      <c r="G402" s="7" t="n"/>
      <c r="H402" s="7" t="n"/>
      <c r="I402" s="7" t="n"/>
      <c r="J402" s="7" t="n"/>
      <c r="K402" s="7" t="n"/>
      <c r="L402" s="7" t="n"/>
    </row>
    <row r="403">
      <c r="F403" s="7" t="n"/>
      <c r="G403" s="7" t="n"/>
      <c r="H403" s="7" t="n"/>
      <c r="I403" s="7" t="n"/>
      <c r="J403" s="7" t="n"/>
      <c r="K403" s="7" t="n"/>
      <c r="L403" s="7" t="n"/>
    </row>
    <row r="404">
      <c r="F404" s="7" t="n"/>
      <c r="G404" s="7" t="n"/>
      <c r="H404" s="7" t="n"/>
      <c r="I404" s="7" t="n"/>
      <c r="J404" s="7" t="n"/>
      <c r="K404" s="7" t="n"/>
      <c r="L404" s="7" t="n"/>
    </row>
    <row r="405">
      <c r="F405" s="7" t="n"/>
      <c r="G405" s="7" t="n"/>
      <c r="H405" s="7" t="n"/>
      <c r="I405" s="7" t="n"/>
      <c r="J405" s="7" t="n"/>
      <c r="K405" s="7" t="n"/>
      <c r="L405" s="7" t="n"/>
    </row>
    <row r="406">
      <c r="F406" s="7" t="n"/>
      <c r="G406" s="7" t="n"/>
      <c r="H406" s="7" t="n"/>
      <c r="I406" s="7" t="n"/>
      <c r="J406" s="7" t="n"/>
      <c r="K406" s="7" t="n"/>
      <c r="L406" s="7" t="n"/>
    </row>
    <row r="407">
      <c r="F407" s="7" t="n"/>
      <c r="G407" s="7" t="n"/>
      <c r="H407" s="7" t="n"/>
      <c r="I407" s="7" t="n"/>
      <c r="J407" s="7" t="n"/>
      <c r="K407" s="7" t="n"/>
      <c r="L407" s="7" t="n"/>
    </row>
    <row r="408">
      <c r="F408" s="7" t="n"/>
      <c r="G408" s="7" t="n"/>
      <c r="H408" s="7" t="n"/>
      <c r="I408" s="7" t="n"/>
      <c r="J408" s="7" t="n"/>
      <c r="K408" s="7" t="n"/>
      <c r="L408" s="7" t="n"/>
    </row>
    <row r="409">
      <c r="F409" s="7" t="n"/>
      <c r="G409" s="7" t="n"/>
      <c r="H409" s="7" t="n"/>
      <c r="I409" s="7" t="n"/>
      <c r="J409" s="7" t="n"/>
      <c r="K409" s="7" t="n"/>
      <c r="L409" s="7" t="n"/>
    </row>
    <row r="410">
      <c r="F410" s="7" t="n"/>
      <c r="G410" s="7" t="n"/>
      <c r="H410" s="7" t="n"/>
      <c r="I410" s="7" t="n"/>
      <c r="J410" s="7" t="n"/>
      <c r="K410" s="7" t="n"/>
      <c r="L410" s="7" t="n"/>
    </row>
    <row r="411">
      <c r="F411" s="7" t="n"/>
      <c r="G411" s="7" t="n"/>
      <c r="H411" s="7" t="n"/>
      <c r="I411" s="7" t="n"/>
      <c r="J411" s="7" t="n"/>
      <c r="K411" s="7" t="n"/>
      <c r="L411" s="7" t="n"/>
    </row>
    <row r="412">
      <c r="F412" s="7" t="n"/>
      <c r="G412" s="7" t="n"/>
      <c r="H412" s="7" t="n"/>
      <c r="I412" s="7" t="n"/>
      <c r="J412" s="7" t="n"/>
      <c r="K412" s="7" t="n"/>
      <c r="L412" s="7" t="n"/>
    </row>
    <row r="413">
      <c r="F413" s="7" t="n"/>
      <c r="G413" s="7" t="n"/>
      <c r="H413" s="7" t="n"/>
      <c r="I413" s="7" t="n"/>
      <c r="J413" s="7" t="n"/>
      <c r="K413" s="7" t="n"/>
      <c r="L413" s="7" t="n"/>
    </row>
    <row r="414">
      <c r="F414" s="7" t="n"/>
      <c r="G414" s="7" t="n"/>
      <c r="H414" s="7" t="n"/>
      <c r="I414" s="7" t="n"/>
      <c r="J414" s="7" t="n"/>
      <c r="K414" s="7" t="n"/>
      <c r="L414" s="7" t="n"/>
    </row>
    <row r="415">
      <c r="F415" s="7" t="n"/>
      <c r="G415" s="7" t="n"/>
      <c r="H415" s="7" t="n"/>
      <c r="I415" s="7" t="n"/>
      <c r="J415" s="7" t="n"/>
      <c r="K415" s="7" t="n"/>
      <c r="L415" s="7" t="n"/>
    </row>
    <row r="416">
      <c r="F416" s="7" t="n"/>
      <c r="G416" s="7" t="n"/>
      <c r="H416" s="7" t="n"/>
      <c r="I416" s="7" t="n"/>
      <c r="J416" s="7" t="n"/>
      <c r="K416" s="7" t="n"/>
      <c r="L416" s="7" t="n"/>
    </row>
    <row r="417">
      <c r="F417" s="7" t="n"/>
      <c r="G417" s="7" t="n"/>
      <c r="H417" s="7" t="n"/>
      <c r="I417" s="7" t="n"/>
      <c r="J417" s="7" t="n"/>
      <c r="K417" s="7" t="n"/>
      <c r="L417" s="7" t="n"/>
    </row>
    <row r="418">
      <c r="F418" s="7" t="n"/>
      <c r="G418" s="7" t="n"/>
      <c r="H418" s="7" t="n"/>
      <c r="I418" s="7" t="n"/>
      <c r="J418" s="7" t="n"/>
      <c r="K418" s="7" t="n"/>
      <c r="L418" s="7" t="n"/>
    </row>
    <row r="419">
      <c r="F419" s="7" t="n"/>
      <c r="G419" s="7" t="n"/>
      <c r="H419" s="7" t="n"/>
      <c r="I419" s="7" t="n"/>
      <c r="J419" s="7" t="n"/>
      <c r="K419" s="7" t="n"/>
      <c r="L419" s="7" t="n"/>
    </row>
    <row r="420">
      <c r="F420" s="7" t="n"/>
      <c r="G420" s="7" t="n"/>
      <c r="H420" s="7" t="n"/>
      <c r="I420" s="7" t="n"/>
      <c r="J420" s="7" t="n"/>
      <c r="K420" s="7" t="n"/>
      <c r="L420" s="7" t="n"/>
    </row>
    <row r="421">
      <c r="F421" s="7" t="n"/>
      <c r="G421" s="7" t="n"/>
      <c r="H421" s="7" t="n"/>
      <c r="I421" s="7" t="n"/>
      <c r="J421" s="7" t="n"/>
      <c r="K421" s="7" t="n"/>
      <c r="L421" s="7" t="n"/>
    </row>
    <row r="422">
      <c r="F422" s="7" t="n"/>
      <c r="G422" s="7" t="n"/>
      <c r="H422" s="7" t="n"/>
      <c r="I422" s="7" t="n"/>
      <c r="J422" s="7" t="n"/>
      <c r="K422" s="7" t="n"/>
      <c r="L422" s="7" t="n"/>
    </row>
    <row r="423">
      <c r="F423" s="7" t="n"/>
      <c r="G423" s="7" t="n"/>
      <c r="H423" s="7" t="n"/>
      <c r="I423" s="7" t="n"/>
      <c r="J423" s="7" t="n"/>
      <c r="K423" s="7" t="n"/>
      <c r="L423" s="7" t="n"/>
    </row>
    <row r="424">
      <c r="F424" s="7" t="n"/>
      <c r="G424" s="7" t="n"/>
      <c r="H424" s="7" t="n"/>
      <c r="I424" s="7" t="n"/>
      <c r="J424" s="7" t="n"/>
      <c r="K424" s="7" t="n"/>
      <c r="L424" s="7" t="n"/>
    </row>
    <row r="425">
      <c r="F425" s="7" t="n"/>
      <c r="G425" s="7" t="n"/>
      <c r="H425" s="7" t="n"/>
      <c r="I425" s="7" t="n"/>
      <c r="J425" s="7" t="n"/>
      <c r="K425" s="7" t="n"/>
      <c r="L425" s="7" t="n"/>
    </row>
    <row r="426">
      <c r="F426" s="7" t="n"/>
      <c r="G426" s="7" t="n"/>
      <c r="H426" s="7" t="n"/>
      <c r="I426" s="7" t="n"/>
      <c r="J426" s="7" t="n"/>
      <c r="K426" s="7" t="n"/>
      <c r="L426" s="7" t="n"/>
    </row>
    <row r="427">
      <c r="F427" s="7" t="n"/>
      <c r="G427" s="7" t="n"/>
      <c r="H427" s="7" t="n"/>
      <c r="I427" s="7" t="n"/>
      <c r="J427" s="7" t="n"/>
      <c r="K427" s="7" t="n"/>
      <c r="L427" s="7" t="n"/>
    </row>
    <row r="428">
      <c r="F428" s="7" t="n"/>
      <c r="G428" s="7" t="n"/>
      <c r="H428" s="7" t="n"/>
      <c r="I428" s="7" t="n"/>
      <c r="J428" s="7" t="n"/>
      <c r="K428" s="7" t="n"/>
      <c r="L428" s="7" t="n"/>
    </row>
    <row r="429">
      <c r="F429" s="7" t="n"/>
      <c r="G429" s="7" t="n"/>
      <c r="H429" s="7" t="n"/>
      <c r="I429" s="7" t="n"/>
      <c r="J429" s="7" t="n"/>
      <c r="K429" s="7" t="n"/>
      <c r="L429" s="7" t="n"/>
    </row>
    <row r="430">
      <c r="F430" s="7" t="n"/>
      <c r="G430" s="7" t="n"/>
      <c r="H430" s="7" t="n"/>
      <c r="I430" s="7" t="n"/>
      <c r="J430" s="7" t="n"/>
      <c r="K430" s="7" t="n"/>
      <c r="L430" s="7" t="n"/>
    </row>
    <row r="431">
      <c r="F431" s="7" t="n"/>
      <c r="G431" s="7" t="n"/>
      <c r="H431" s="7" t="n"/>
      <c r="I431" s="7" t="n"/>
      <c r="J431" s="7" t="n"/>
      <c r="K431" s="7" t="n"/>
      <c r="L431" s="7" t="n"/>
    </row>
    <row r="432">
      <c r="F432" s="7" t="n"/>
      <c r="G432" s="7" t="n"/>
      <c r="H432" s="7" t="n"/>
      <c r="I432" s="7" t="n"/>
      <c r="J432" s="7" t="n"/>
      <c r="K432" s="7" t="n"/>
      <c r="L432" s="7" t="n"/>
    </row>
    <row r="433">
      <c r="F433" s="7" t="n"/>
      <c r="G433" s="7" t="n"/>
      <c r="H433" s="7" t="n"/>
      <c r="I433" s="7" t="n"/>
      <c r="J433" s="7" t="n"/>
      <c r="K433" s="7" t="n"/>
      <c r="L433" s="7" t="n"/>
    </row>
    <row r="434">
      <c r="F434" s="7" t="n"/>
      <c r="G434" s="7" t="n"/>
      <c r="H434" s="7" t="n"/>
      <c r="I434" s="7" t="n"/>
      <c r="J434" s="7" t="n"/>
      <c r="K434" s="7" t="n"/>
      <c r="L434" s="7" t="n"/>
    </row>
    <row r="435">
      <c r="F435" s="7" t="n"/>
      <c r="G435" s="7" t="n"/>
      <c r="H435" s="7" t="n"/>
      <c r="I435" s="7" t="n"/>
      <c r="J435" s="7" t="n"/>
      <c r="K435" s="7" t="n"/>
      <c r="L435" s="7" t="n"/>
    </row>
    <row r="436">
      <c r="F436" s="7" t="n"/>
      <c r="G436" s="7" t="n"/>
      <c r="H436" s="7" t="n"/>
      <c r="I436" s="7" t="n"/>
      <c r="J436" s="7" t="n"/>
      <c r="K436" s="7" t="n"/>
      <c r="L436" s="7" t="n"/>
    </row>
    <row r="437">
      <c r="F437" s="7" t="n"/>
      <c r="G437" s="7" t="n"/>
      <c r="H437" s="7" t="n"/>
      <c r="I437" s="7" t="n"/>
      <c r="J437" s="7" t="n"/>
      <c r="K437" s="7" t="n"/>
      <c r="L437" s="7" t="n"/>
    </row>
    <row r="438">
      <c r="F438" s="7" t="n"/>
      <c r="G438" s="7" t="n"/>
      <c r="H438" s="7" t="n"/>
      <c r="I438" s="7" t="n"/>
      <c r="J438" s="7" t="n"/>
      <c r="K438" s="7" t="n"/>
      <c r="L438" s="7" t="n"/>
    </row>
    <row r="439">
      <c r="F439" s="7" t="n"/>
      <c r="G439" s="7" t="n"/>
      <c r="H439" s="7" t="n"/>
      <c r="I439" s="7" t="n"/>
      <c r="J439" s="7" t="n"/>
      <c r="K439" s="7" t="n"/>
      <c r="L439" s="7" t="n"/>
    </row>
    <row r="440">
      <c r="F440" s="7" t="n"/>
      <c r="G440" s="7" t="n"/>
      <c r="H440" s="7" t="n"/>
      <c r="I440" s="7" t="n"/>
      <c r="J440" s="7" t="n"/>
      <c r="K440" s="7" t="n"/>
      <c r="L440" s="7" t="n"/>
    </row>
    <row r="441">
      <c r="F441" s="7" t="n"/>
      <c r="G441" s="7" t="n"/>
      <c r="H441" s="7" t="n"/>
      <c r="I441" s="7" t="n"/>
      <c r="J441" s="7" t="n"/>
      <c r="K441" s="7" t="n"/>
      <c r="L441" s="7" t="n"/>
    </row>
    <row r="442">
      <c r="F442" s="7" t="n"/>
      <c r="G442" s="7" t="n"/>
      <c r="H442" s="7" t="n"/>
      <c r="I442" s="7" t="n"/>
      <c r="J442" s="7" t="n"/>
      <c r="K442" s="7" t="n"/>
      <c r="L442" s="7" t="n"/>
    </row>
    <row r="443">
      <c r="F443" s="7" t="n"/>
      <c r="G443" s="7" t="n"/>
      <c r="H443" s="7" t="n"/>
      <c r="I443" s="7" t="n"/>
      <c r="J443" s="7" t="n"/>
      <c r="K443" s="7" t="n"/>
      <c r="L443" s="7" t="n"/>
    </row>
    <row r="444">
      <c r="F444" s="7" t="n"/>
      <c r="G444" s="7" t="n"/>
      <c r="H444" s="7" t="n"/>
      <c r="I444" s="7" t="n"/>
      <c r="J444" s="7" t="n"/>
      <c r="K444" s="7" t="n"/>
      <c r="L444" s="7" t="n"/>
    </row>
    <row r="445">
      <c r="F445" s="7" t="n"/>
      <c r="G445" s="7" t="n"/>
      <c r="H445" s="7" t="n"/>
      <c r="I445" s="7" t="n"/>
      <c r="J445" s="7" t="n"/>
      <c r="K445" s="7" t="n"/>
      <c r="L445" s="7" t="n"/>
    </row>
    <row r="446">
      <c r="F446" s="7" t="n"/>
      <c r="G446" s="7" t="n"/>
      <c r="H446" s="7" t="n"/>
      <c r="I446" s="7" t="n"/>
      <c r="J446" s="7" t="n"/>
      <c r="K446" s="7" t="n"/>
      <c r="L446" s="7" t="n"/>
    </row>
    <row r="447">
      <c r="F447" s="7" t="n"/>
      <c r="G447" s="7" t="n"/>
      <c r="H447" s="7" t="n"/>
      <c r="I447" s="7" t="n"/>
      <c r="J447" s="7" t="n"/>
      <c r="K447" s="7" t="n"/>
      <c r="L447" s="7" t="n"/>
    </row>
    <row r="448">
      <c r="F448" s="7" t="n"/>
      <c r="G448" s="7" t="n"/>
      <c r="H448" s="7" t="n"/>
      <c r="I448" s="7" t="n"/>
      <c r="J448" s="7" t="n"/>
      <c r="K448" s="7" t="n"/>
      <c r="L448" s="7" t="n"/>
    </row>
    <row r="449">
      <c r="F449" s="7" t="n"/>
      <c r="G449" s="7" t="n"/>
      <c r="H449" s="7" t="n"/>
      <c r="I449" s="7" t="n"/>
      <c r="J449" s="7" t="n"/>
      <c r="K449" s="7" t="n"/>
      <c r="L449" s="7" t="n"/>
    </row>
    <row r="450">
      <c r="F450" s="7" t="n"/>
      <c r="G450" s="7" t="n"/>
      <c r="H450" s="7" t="n"/>
      <c r="I450" s="7" t="n"/>
      <c r="J450" s="7" t="n"/>
      <c r="K450" s="7" t="n"/>
      <c r="L450" s="7" t="n"/>
    </row>
    <row r="451">
      <c r="F451" s="7" t="n"/>
      <c r="G451" s="7" t="n"/>
      <c r="H451" s="7" t="n"/>
      <c r="I451" s="7" t="n"/>
      <c r="J451" s="7" t="n"/>
      <c r="K451" s="7" t="n"/>
      <c r="L451" s="7" t="n"/>
    </row>
    <row r="452">
      <c r="F452" s="7" t="n"/>
      <c r="G452" s="7" t="n"/>
      <c r="H452" s="7" t="n"/>
      <c r="I452" s="7" t="n"/>
      <c r="J452" s="7" t="n"/>
      <c r="K452" s="7" t="n"/>
      <c r="L452" s="7" t="n"/>
    </row>
    <row r="453">
      <c r="F453" s="7" t="n"/>
      <c r="G453" s="7" t="n"/>
      <c r="H453" s="7" t="n"/>
      <c r="I453" s="7" t="n"/>
      <c r="J453" s="7" t="n"/>
      <c r="K453" s="7" t="n"/>
      <c r="L453" s="7" t="n"/>
    </row>
    <row r="454">
      <c r="F454" s="7" t="n"/>
      <c r="G454" s="7" t="n"/>
      <c r="H454" s="7" t="n"/>
      <c r="I454" s="7" t="n"/>
      <c r="J454" s="7" t="n"/>
      <c r="K454" s="7" t="n"/>
      <c r="L454" s="7" t="n"/>
    </row>
    <row r="455">
      <c r="F455" s="7" t="n"/>
      <c r="G455" s="7" t="n"/>
      <c r="H455" s="7" t="n"/>
      <c r="I455" s="7" t="n"/>
      <c r="J455" s="7" t="n"/>
      <c r="K455" s="7" t="n"/>
      <c r="L455" s="7" t="n"/>
    </row>
    <row r="456">
      <c r="F456" s="7" t="n"/>
      <c r="G456" s="7" t="n"/>
      <c r="H456" s="7" t="n"/>
      <c r="I456" s="7" t="n"/>
      <c r="J456" s="7" t="n"/>
      <c r="K456" s="7" t="n"/>
      <c r="L456" s="7" t="n"/>
    </row>
    <row r="457">
      <c r="F457" s="7" t="n"/>
      <c r="G457" s="7" t="n"/>
      <c r="H457" s="7" t="n"/>
      <c r="I457" s="7" t="n"/>
      <c r="J457" s="7" t="n"/>
      <c r="K457" s="7" t="n"/>
      <c r="L457" s="7" t="n"/>
    </row>
    <row r="458">
      <c r="F458" s="7" t="n"/>
      <c r="G458" s="7" t="n"/>
      <c r="H458" s="7" t="n"/>
      <c r="I458" s="7" t="n"/>
      <c r="J458" s="7" t="n"/>
      <c r="K458" s="7" t="n"/>
      <c r="L458" s="7" t="n"/>
    </row>
    <row r="459">
      <c r="F459" s="7" t="n"/>
      <c r="G459" s="7" t="n"/>
      <c r="H459" s="7" t="n"/>
      <c r="I459" s="7" t="n"/>
      <c r="J459" s="7" t="n"/>
      <c r="K459" s="7" t="n"/>
      <c r="L459" s="7" t="n"/>
    </row>
    <row r="460">
      <c r="F460" s="7" t="n"/>
      <c r="G460" s="7" t="n"/>
      <c r="H460" s="7" t="n"/>
      <c r="I460" s="7" t="n"/>
      <c r="J460" s="7" t="n"/>
      <c r="K460" s="7" t="n"/>
      <c r="L460" s="7" t="n"/>
    </row>
    <row r="461">
      <c r="F461" s="7" t="n"/>
      <c r="G461" s="7" t="n"/>
      <c r="H461" s="7" t="n"/>
      <c r="I461" s="7" t="n"/>
      <c r="J461" s="7" t="n"/>
      <c r="K461" s="7" t="n"/>
      <c r="L461" s="7" t="n"/>
    </row>
    <row r="462">
      <c r="F462" s="7" t="n"/>
      <c r="G462" s="7" t="n"/>
      <c r="H462" s="7" t="n"/>
      <c r="I462" s="7" t="n"/>
      <c r="J462" s="7" t="n"/>
      <c r="K462" s="7" t="n"/>
      <c r="L462" s="7" t="n"/>
    </row>
    <row r="463">
      <c r="F463" s="7" t="n"/>
      <c r="G463" s="7" t="n"/>
      <c r="H463" s="7" t="n"/>
      <c r="I463" s="7" t="n"/>
      <c r="J463" s="7" t="n"/>
      <c r="K463" s="7" t="n"/>
      <c r="L463" s="7" t="n"/>
    </row>
    <row r="464">
      <c r="F464" s="7" t="n"/>
      <c r="G464" s="7" t="n"/>
      <c r="H464" s="7" t="n"/>
      <c r="I464" s="7" t="n"/>
      <c r="J464" s="7" t="n"/>
      <c r="K464" s="7" t="n"/>
      <c r="L464" s="7" t="n"/>
    </row>
    <row r="465">
      <c r="F465" s="7" t="n"/>
      <c r="G465" s="7" t="n"/>
      <c r="H465" s="7" t="n"/>
      <c r="I465" s="7" t="n"/>
      <c r="J465" s="7" t="n"/>
      <c r="K465" s="7" t="n"/>
      <c r="L465" s="7" t="n"/>
    </row>
    <row r="466">
      <c r="F466" s="7" t="n"/>
      <c r="G466" s="7" t="n"/>
      <c r="H466" s="7" t="n"/>
      <c r="I466" s="7" t="n"/>
      <c r="J466" s="7" t="n"/>
      <c r="K466" s="7" t="n"/>
      <c r="L466" s="7" t="n"/>
    </row>
    <row r="467">
      <c r="F467" s="7" t="n"/>
      <c r="G467" s="7" t="n"/>
      <c r="H467" s="7" t="n"/>
      <c r="I467" s="7" t="n"/>
      <c r="J467" s="7" t="n"/>
      <c r="K467" s="7" t="n"/>
      <c r="L467" s="7" t="n"/>
    </row>
    <row r="468">
      <c r="F468" s="7" t="n"/>
      <c r="G468" s="7" t="n"/>
      <c r="H468" s="7" t="n"/>
      <c r="I468" s="7" t="n"/>
      <c r="J468" s="7" t="n"/>
      <c r="K468" s="7" t="n"/>
      <c r="L468" s="7" t="n"/>
    </row>
    <row r="469">
      <c r="F469" s="7" t="n"/>
      <c r="G469" s="7" t="n"/>
      <c r="H469" s="7" t="n"/>
      <c r="I469" s="7" t="n"/>
      <c r="J469" s="7" t="n"/>
      <c r="K469" s="7" t="n"/>
      <c r="L469" s="7" t="n"/>
    </row>
    <row r="470">
      <c r="F470" s="7" t="n"/>
      <c r="G470" s="7" t="n"/>
      <c r="H470" s="7" t="n"/>
      <c r="I470" s="7" t="n"/>
      <c r="J470" s="7" t="n"/>
      <c r="K470" s="7" t="n"/>
      <c r="L470" s="7" t="n"/>
    </row>
    <row r="471">
      <c r="F471" s="7" t="n"/>
      <c r="G471" s="7" t="n"/>
      <c r="H471" s="7" t="n"/>
      <c r="I471" s="7" t="n"/>
      <c r="J471" s="7" t="n"/>
      <c r="K471" s="7" t="n"/>
      <c r="L471" s="7" t="n"/>
    </row>
    <row r="472">
      <c r="F472" s="7" t="n"/>
      <c r="G472" s="7" t="n"/>
      <c r="H472" s="7" t="n"/>
      <c r="I472" s="7" t="n"/>
      <c r="J472" s="7" t="n"/>
      <c r="K472" s="7" t="n"/>
      <c r="L472" s="7" t="n"/>
    </row>
    <row r="473">
      <c r="F473" s="7" t="n"/>
      <c r="G473" s="7" t="n"/>
      <c r="H473" s="7" t="n"/>
      <c r="I473" s="7" t="n"/>
      <c r="J473" s="7" t="n"/>
      <c r="K473" s="7" t="n"/>
      <c r="L473" s="7" t="n"/>
    </row>
    <row r="474">
      <c r="F474" s="7" t="n"/>
      <c r="G474" s="7" t="n"/>
      <c r="H474" s="7" t="n"/>
      <c r="I474" s="7" t="n"/>
      <c r="J474" s="7" t="n"/>
      <c r="K474" s="7" t="n"/>
      <c r="L474" s="7" t="n"/>
    </row>
    <row r="475">
      <c r="F475" s="7" t="n"/>
      <c r="G475" s="7" t="n"/>
      <c r="H475" s="7" t="n"/>
      <c r="I475" s="7" t="n"/>
      <c r="J475" s="7" t="n"/>
      <c r="K475" s="7" t="n"/>
      <c r="L475" s="7" t="n"/>
    </row>
    <row r="476">
      <c r="F476" s="7" t="n"/>
      <c r="G476" s="7" t="n"/>
      <c r="H476" s="7" t="n"/>
      <c r="I476" s="7" t="n"/>
      <c r="J476" s="7" t="n"/>
      <c r="K476" s="7" t="n"/>
      <c r="L476" s="7" t="n"/>
    </row>
    <row r="477">
      <c r="F477" s="7" t="n"/>
      <c r="G477" s="7" t="n"/>
      <c r="H477" s="7" t="n"/>
      <c r="I477" s="7" t="n"/>
      <c r="J477" s="7" t="n"/>
      <c r="K477" s="7" t="n"/>
      <c r="L477" s="7" t="n"/>
    </row>
    <row r="478">
      <c r="F478" s="7" t="n"/>
      <c r="G478" s="7" t="n"/>
      <c r="H478" s="7" t="n"/>
      <c r="I478" s="7" t="n"/>
      <c r="J478" s="7" t="n"/>
      <c r="K478" s="7" t="n"/>
      <c r="L478" s="7" t="n"/>
    </row>
    <row r="479">
      <c r="F479" s="7" t="n"/>
      <c r="G479" s="7" t="n"/>
      <c r="H479" s="7" t="n"/>
      <c r="I479" s="7" t="n"/>
      <c r="J479" s="7" t="n"/>
      <c r="K479" s="7" t="n"/>
      <c r="L479" s="7" t="n"/>
    </row>
    <row r="480">
      <c r="F480" s="7" t="n"/>
      <c r="G480" s="7" t="n"/>
      <c r="H480" s="7" t="n"/>
      <c r="I480" s="7" t="n"/>
      <c r="J480" s="7" t="n"/>
      <c r="K480" s="7" t="n"/>
      <c r="L480" s="7" t="n"/>
    </row>
    <row r="481">
      <c r="F481" s="7" t="n"/>
      <c r="G481" s="7" t="n"/>
      <c r="H481" s="7" t="n"/>
      <c r="I481" s="7" t="n"/>
      <c r="J481" s="7" t="n"/>
      <c r="K481" s="7" t="n"/>
      <c r="L481" s="7" t="n"/>
    </row>
    <row r="482">
      <c r="F482" s="7" t="n"/>
      <c r="G482" s="7" t="n"/>
      <c r="H482" s="7" t="n"/>
      <c r="I482" s="7" t="n"/>
      <c r="J482" s="7" t="n"/>
      <c r="K482" s="7" t="n"/>
      <c r="L482" s="7" t="n"/>
    </row>
    <row r="483">
      <c r="F483" s="7" t="n"/>
      <c r="G483" s="7" t="n"/>
      <c r="H483" s="7" t="n"/>
      <c r="I483" s="7" t="n"/>
      <c r="J483" s="7" t="n"/>
      <c r="K483" s="7" t="n"/>
      <c r="L483" s="7" t="n"/>
    </row>
    <row r="484">
      <c r="F484" s="7" t="n"/>
      <c r="G484" s="7" t="n"/>
      <c r="H484" s="7" t="n"/>
      <c r="I484" s="7" t="n"/>
      <c r="J484" s="7" t="n"/>
      <c r="K484" s="7" t="n"/>
      <c r="L484" s="7" t="n"/>
    </row>
    <row r="485">
      <c r="F485" s="7" t="n"/>
      <c r="G485" s="7" t="n"/>
      <c r="H485" s="7" t="n"/>
      <c r="I485" s="7" t="n"/>
      <c r="J485" s="7" t="n"/>
      <c r="K485" s="7" t="n"/>
      <c r="L485" s="7" t="n"/>
    </row>
    <row r="486">
      <c r="F486" s="7" t="n"/>
      <c r="G486" s="7" t="n"/>
      <c r="H486" s="7" t="n"/>
      <c r="I486" s="7" t="n"/>
      <c r="J486" s="7" t="n"/>
      <c r="K486" s="7" t="n"/>
      <c r="L486" s="7" t="n"/>
    </row>
    <row r="487">
      <c r="F487" s="7" t="n"/>
      <c r="G487" s="7" t="n"/>
      <c r="H487" s="7" t="n"/>
      <c r="I487" s="7" t="n"/>
      <c r="J487" s="7" t="n"/>
      <c r="K487" s="7" t="n"/>
      <c r="L487" s="7" t="n"/>
    </row>
    <row r="488">
      <c r="F488" s="7" t="n"/>
      <c r="G488" s="7" t="n"/>
      <c r="H488" s="7" t="n"/>
      <c r="I488" s="7" t="n"/>
      <c r="J488" s="7" t="n"/>
      <c r="K488" s="7" t="n"/>
      <c r="L488" s="7" t="n"/>
    </row>
    <row r="489">
      <c r="F489" s="7" t="n"/>
      <c r="G489" s="7" t="n"/>
      <c r="H489" s="7" t="n"/>
      <c r="I489" s="7" t="n"/>
      <c r="J489" s="7" t="n"/>
      <c r="K489" s="7" t="n"/>
      <c r="L489" s="7" t="n"/>
    </row>
    <row r="490">
      <c r="F490" s="7" t="n"/>
      <c r="G490" s="7" t="n"/>
      <c r="H490" s="7" t="n"/>
      <c r="I490" s="7" t="n"/>
      <c r="J490" s="7" t="n"/>
      <c r="K490" s="7" t="n"/>
      <c r="L490" s="7" t="n"/>
    </row>
    <row r="491">
      <c r="F491" s="7" t="n"/>
      <c r="G491" s="7" t="n"/>
      <c r="H491" s="7" t="n"/>
      <c r="I491" s="7" t="n"/>
      <c r="J491" s="7" t="n"/>
      <c r="K491" s="7" t="n"/>
      <c r="L491" s="7" t="n"/>
    </row>
    <row r="492">
      <c r="F492" s="7" t="n"/>
      <c r="G492" s="7" t="n"/>
      <c r="H492" s="7" t="n"/>
      <c r="I492" s="7" t="n"/>
      <c r="J492" s="7" t="n"/>
      <c r="K492" s="7" t="n"/>
      <c r="L492" s="7" t="n"/>
    </row>
    <row r="493">
      <c r="F493" s="7" t="n"/>
      <c r="G493" s="7" t="n"/>
      <c r="H493" s="7" t="n"/>
      <c r="I493" s="7" t="n"/>
      <c r="J493" s="7" t="n"/>
      <c r="K493" s="7" t="n"/>
      <c r="L493" s="7" t="n"/>
    </row>
    <row r="494">
      <c r="F494" s="7" t="n"/>
      <c r="G494" s="7" t="n"/>
      <c r="H494" s="7" t="n"/>
      <c r="I494" s="7" t="n"/>
      <c r="J494" s="7" t="n"/>
      <c r="K494" s="7" t="n"/>
      <c r="L494" s="7" t="n"/>
    </row>
    <row r="495">
      <c r="F495" s="7" t="n"/>
      <c r="G495" s="7" t="n"/>
      <c r="H495" s="7" t="n"/>
      <c r="I495" s="7" t="n"/>
      <c r="J495" s="7" t="n"/>
      <c r="K495" s="7" t="n"/>
      <c r="L495" s="7" t="n"/>
    </row>
    <row r="496">
      <c r="F496" s="7" t="n"/>
      <c r="G496" s="7" t="n"/>
      <c r="H496" s="7" t="n"/>
      <c r="I496" s="7" t="n"/>
      <c r="J496" s="7" t="n"/>
      <c r="K496" s="7" t="n"/>
      <c r="L496" s="7" t="n"/>
    </row>
    <row r="497">
      <c r="F497" s="7" t="n"/>
      <c r="G497" s="7" t="n"/>
      <c r="H497" s="7" t="n"/>
      <c r="I497" s="7" t="n"/>
      <c r="J497" s="7" t="n"/>
      <c r="K497" s="7" t="n"/>
      <c r="L497" s="7" t="n"/>
    </row>
    <row r="498">
      <c r="F498" s="7" t="n"/>
      <c r="G498" s="7" t="n"/>
      <c r="H498" s="7" t="n"/>
      <c r="I498" s="7" t="n"/>
      <c r="J498" s="7" t="n"/>
      <c r="K498" s="7" t="n"/>
      <c r="L498" s="7" t="n"/>
    </row>
    <row r="499">
      <c r="F499" s="7" t="n"/>
      <c r="G499" s="7" t="n"/>
      <c r="H499" s="7" t="n"/>
      <c r="I499" s="7" t="n"/>
      <c r="J499" s="7" t="n"/>
      <c r="K499" s="7" t="n"/>
      <c r="L499" s="7" t="n"/>
    </row>
    <row r="500">
      <c r="F500" s="7" t="n"/>
      <c r="G500" s="7" t="n"/>
      <c r="H500" s="7" t="n"/>
      <c r="I500" s="7" t="n"/>
      <c r="J500" s="7" t="n"/>
      <c r="K500" s="7" t="n"/>
      <c r="L500" s="7" t="n"/>
    </row>
    <row r="501">
      <c r="F501" s="7" t="n"/>
      <c r="G501" s="7" t="n"/>
      <c r="H501" s="7" t="n"/>
      <c r="I501" s="7" t="n"/>
      <c r="J501" s="7" t="n"/>
      <c r="K501" s="7" t="n"/>
      <c r="L501" s="7" t="n"/>
    </row>
    <row r="502">
      <c r="F502" s="7" t="n"/>
      <c r="G502" s="7" t="n"/>
      <c r="H502" s="7" t="n"/>
      <c r="I502" s="7" t="n"/>
      <c r="J502" s="7" t="n"/>
      <c r="K502" s="7" t="n"/>
      <c r="L502" s="7" t="n"/>
    </row>
    <row r="503">
      <c r="F503" s="7" t="n"/>
      <c r="G503" s="7" t="n"/>
      <c r="H503" s="7" t="n"/>
      <c r="I503" s="7" t="n"/>
      <c r="J503" s="7" t="n"/>
      <c r="K503" s="7" t="n"/>
      <c r="L503" s="7" t="n"/>
    </row>
    <row r="504">
      <c r="F504" s="7" t="n"/>
      <c r="G504" s="7" t="n"/>
      <c r="H504" s="7" t="n"/>
      <c r="I504" s="7" t="n"/>
      <c r="J504" s="7" t="n"/>
      <c r="K504" s="7" t="n"/>
      <c r="L504" s="7" t="n"/>
    </row>
    <row r="505">
      <c r="F505" s="7" t="n"/>
      <c r="G505" s="7" t="n"/>
      <c r="H505" s="7" t="n"/>
      <c r="I505" s="7" t="n"/>
      <c r="J505" s="7" t="n"/>
      <c r="K505" s="7" t="n"/>
      <c r="L505" s="7" t="n"/>
    </row>
    <row r="506">
      <c r="F506" s="7" t="n"/>
      <c r="G506" s="7" t="n"/>
      <c r="H506" s="7" t="n"/>
      <c r="I506" s="7" t="n"/>
      <c r="J506" s="7" t="n"/>
      <c r="K506" s="7" t="n"/>
      <c r="L506" s="7" t="n"/>
    </row>
    <row r="507">
      <c r="F507" s="7" t="n"/>
      <c r="G507" s="7" t="n"/>
      <c r="H507" s="7" t="n"/>
      <c r="I507" s="7" t="n"/>
      <c r="J507" s="7" t="n"/>
      <c r="K507" s="7" t="n"/>
      <c r="L507" s="7" t="n"/>
    </row>
    <row r="508">
      <c r="F508" s="7" t="n"/>
      <c r="G508" s="7" t="n"/>
      <c r="H508" s="7" t="n"/>
      <c r="I508" s="7" t="n"/>
      <c r="J508" s="7" t="n"/>
      <c r="K508" s="7" t="n"/>
      <c r="L508" s="7" t="n"/>
    </row>
    <row r="509">
      <c r="F509" s="7" t="n"/>
      <c r="G509" s="7" t="n"/>
      <c r="H509" s="7" t="n"/>
      <c r="I509" s="7" t="n"/>
      <c r="J509" s="7" t="n"/>
      <c r="K509" s="7" t="n"/>
      <c r="L509" s="7" t="n"/>
    </row>
    <row r="510">
      <c r="F510" s="7" t="n"/>
      <c r="G510" s="7" t="n"/>
      <c r="H510" s="7" t="n"/>
      <c r="I510" s="7" t="n"/>
      <c r="J510" s="7" t="n"/>
      <c r="K510" s="7" t="n"/>
      <c r="L510" s="7" t="n"/>
    </row>
    <row r="511">
      <c r="F511" s="7" t="n"/>
      <c r="G511" s="7" t="n"/>
      <c r="H511" s="7" t="n"/>
      <c r="I511" s="7" t="n"/>
      <c r="J511" s="7" t="n"/>
      <c r="K511" s="7" t="n"/>
      <c r="L511" s="7" t="n"/>
    </row>
    <row r="512">
      <c r="F512" s="7" t="n"/>
      <c r="G512" s="7" t="n"/>
      <c r="H512" s="7" t="n"/>
      <c r="I512" s="7" t="n"/>
      <c r="J512" s="7" t="n"/>
      <c r="K512" s="7" t="n"/>
      <c r="L512" s="7" t="n"/>
    </row>
    <row r="513">
      <c r="F513" s="7" t="n"/>
      <c r="G513" s="7" t="n"/>
      <c r="H513" s="7" t="n"/>
      <c r="I513" s="7" t="n"/>
      <c r="J513" s="7" t="n"/>
      <c r="K513" s="7" t="n"/>
      <c r="L513" s="7" t="n"/>
    </row>
    <row r="514">
      <c r="F514" s="7" t="n"/>
      <c r="G514" s="7" t="n"/>
      <c r="H514" s="7" t="n"/>
      <c r="I514" s="7" t="n"/>
      <c r="J514" s="7" t="n"/>
      <c r="K514" s="7" t="n"/>
      <c r="L514" s="7" t="n"/>
    </row>
    <row r="515">
      <c r="F515" s="7" t="n"/>
      <c r="G515" s="7" t="n"/>
      <c r="H515" s="7" t="n"/>
      <c r="I515" s="7" t="n"/>
      <c r="J515" s="7" t="n"/>
      <c r="K515" s="7" t="n"/>
      <c r="L515" s="7" t="n"/>
    </row>
    <row r="516">
      <c r="F516" s="7" t="n"/>
      <c r="G516" s="7" t="n"/>
      <c r="H516" s="7" t="n"/>
      <c r="I516" s="7" t="n"/>
      <c r="J516" s="7" t="n"/>
      <c r="K516" s="7" t="n"/>
      <c r="L516" s="7" t="n"/>
    </row>
    <row r="517">
      <c r="F517" s="7" t="n"/>
      <c r="G517" s="7" t="n"/>
      <c r="H517" s="7" t="n"/>
      <c r="I517" s="7" t="n"/>
      <c r="J517" s="7" t="n"/>
      <c r="K517" s="7" t="n"/>
      <c r="L517" s="7" t="n"/>
    </row>
    <row r="518">
      <c r="F518" s="7" t="n"/>
      <c r="G518" s="7" t="n"/>
      <c r="H518" s="7" t="n"/>
      <c r="I518" s="7" t="n"/>
      <c r="J518" s="7" t="n"/>
      <c r="K518" s="7" t="n"/>
      <c r="L518" s="7" t="n"/>
    </row>
    <row r="519">
      <c r="F519" s="7" t="n"/>
      <c r="G519" s="7" t="n"/>
      <c r="H519" s="7" t="n"/>
      <c r="I519" s="7" t="n"/>
      <c r="J519" s="7" t="n"/>
      <c r="K519" s="7" t="n"/>
      <c r="L519" s="7" t="n"/>
    </row>
    <row r="520">
      <c r="F520" s="7" t="n"/>
      <c r="G520" s="7" t="n"/>
      <c r="H520" s="7" t="n"/>
      <c r="I520" s="7" t="n"/>
      <c r="J520" s="7" t="n"/>
      <c r="K520" s="7" t="n"/>
      <c r="L520" s="7" t="n"/>
    </row>
    <row r="521">
      <c r="F521" s="7" t="n"/>
      <c r="G521" s="7" t="n"/>
      <c r="H521" s="7" t="n"/>
      <c r="I521" s="7" t="n"/>
      <c r="J521" s="7" t="n"/>
      <c r="K521" s="7" t="n"/>
      <c r="L521" s="7" t="n"/>
    </row>
    <row r="522">
      <c r="F522" s="7" t="n"/>
      <c r="G522" s="7" t="n"/>
      <c r="H522" s="7" t="n"/>
      <c r="I522" s="7" t="n"/>
      <c r="J522" s="7" t="n"/>
      <c r="K522" s="7" t="n"/>
      <c r="L522" s="7" t="n"/>
    </row>
    <row r="523">
      <c r="F523" s="7" t="n"/>
      <c r="G523" s="7" t="n"/>
      <c r="H523" s="7" t="n"/>
      <c r="I523" s="7" t="n"/>
      <c r="J523" s="7" t="n"/>
      <c r="K523" s="7" t="n"/>
      <c r="L523" s="7" t="n"/>
    </row>
    <row r="524">
      <c r="F524" s="7" t="n"/>
      <c r="G524" s="7" t="n"/>
      <c r="H524" s="7" t="n"/>
      <c r="I524" s="7" t="n"/>
      <c r="J524" s="7" t="n"/>
      <c r="K524" s="7" t="n"/>
      <c r="L524" s="7" t="n"/>
    </row>
    <row r="525">
      <c r="F525" s="7" t="n"/>
      <c r="G525" s="7" t="n"/>
      <c r="H525" s="7" t="n"/>
      <c r="I525" s="7" t="n"/>
      <c r="J525" s="7" t="n"/>
      <c r="K525" s="7" t="n"/>
      <c r="L525" s="7" t="n"/>
    </row>
    <row r="526">
      <c r="F526" s="7" t="n"/>
      <c r="G526" s="7" t="n"/>
      <c r="H526" s="7" t="n"/>
      <c r="I526" s="7" t="n"/>
      <c r="J526" s="7" t="n"/>
      <c r="K526" s="7" t="n"/>
      <c r="L526" s="7" t="n"/>
    </row>
    <row r="527">
      <c r="F527" s="7" t="n"/>
      <c r="G527" s="7" t="n"/>
      <c r="H527" s="7" t="n"/>
      <c r="I527" s="7" t="n"/>
      <c r="J527" s="7" t="n"/>
      <c r="K527" s="7" t="n"/>
      <c r="L527" s="7" t="n"/>
    </row>
    <row r="528">
      <c r="F528" s="7" t="n"/>
      <c r="G528" s="7" t="n"/>
      <c r="H528" s="7" t="n"/>
      <c r="I528" s="7" t="n"/>
      <c r="J528" s="7" t="n"/>
      <c r="K528" s="7" t="n"/>
      <c r="L528" s="7" t="n"/>
    </row>
    <row r="529">
      <c r="F529" s="7" t="n"/>
      <c r="G529" s="7" t="n"/>
      <c r="H529" s="7" t="n"/>
      <c r="I529" s="7" t="n"/>
      <c r="J529" s="7" t="n"/>
      <c r="K529" s="7" t="n"/>
      <c r="L529" s="7" t="n"/>
    </row>
    <row r="530">
      <c r="F530" s="7" t="n"/>
      <c r="G530" s="7" t="n"/>
      <c r="H530" s="7" t="n"/>
      <c r="I530" s="7" t="n"/>
      <c r="J530" s="7" t="n"/>
      <c r="K530" s="7" t="n"/>
      <c r="L530" s="7" t="n"/>
    </row>
    <row r="531">
      <c r="F531" s="7" t="n"/>
      <c r="G531" s="7" t="n"/>
      <c r="H531" s="7" t="n"/>
      <c r="I531" s="7" t="n"/>
      <c r="J531" s="7" t="n"/>
      <c r="K531" s="7" t="n"/>
      <c r="L531" s="7" t="n"/>
    </row>
    <row r="532">
      <c r="F532" s="7" t="n"/>
      <c r="G532" s="7" t="n"/>
      <c r="H532" s="7" t="n"/>
      <c r="I532" s="7" t="n"/>
      <c r="J532" s="7" t="n"/>
      <c r="K532" s="7" t="n"/>
      <c r="L532" s="7" t="n"/>
    </row>
    <row r="533">
      <c r="F533" s="7" t="n"/>
      <c r="G533" s="7" t="n"/>
      <c r="H533" s="7" t="n"/>
      <c r="I533" s="7" t="n"/>
      <c r="J533" s="7" t="n"/>
      <c r="K533" s="7" t="n"/>
      <c r="L533" s="7" t="n"/>
    </row>
    <row r="534">
      <c r="F534" s="7" t="n"/>
      <c r="G534" s="7" t="n"/>
      <c r="H534" s="7" t="n"/>
      <c r="I534" s="7" t="n"/>
      <c r="J534" s="7" t="n"/>
      <c r="K534" s="7" t="n"/>
      <c r="L534" s="7" t="n"/>
    </row>
    <row r="535">
      <c r="F535" s="7" t="n"/>
      <c r="G535" s="7" t="n"/>
      <c r="H535" s="7" t="n"/>
      <c r="I535" s="7" t="n"/>
      <c r="J535" s="7" t="n"/>
      <c r="K535" s="7" t="n"/>
      <c r="L535" s="7" t="n"/>
    </row>
    <row r="536">
      <c r="F536" s="7" t="n"/>
      <c r="G536" s="7" t="n"/>
      <c r="H536" s="7" t="n"/>
      <c r="I536" s="7" t="n"/>
      <c r="J536" s="7" t="n"/>
      <c r="K536" s="7" t="n"/>
      <c r="L536" s="7" t="n"/>
    </row>
    <row r="537">
      <c r="F537" s="7" t="n"/>
      <c r="G537" s="7" t="n"/>
      <c r="H537" s="7" t="n"/>
      <c r="I537" s="7" t="n"/>
      <c r="J537" s="7" t="n"/>
      <c r="K537" s="7" t="n"/>
      <c r="L537" s="7" t="n"/>
    </row>
    <row r="538">
      <c r="F538" s="7" t="n"/>
      <c r="G538" s="7" t="n"/>
      <c r="H538" s="7" t="n"/>
      <c r="I538" s="7" t="n"/>
      <c r="J538" s="7" t="n"/>
      <c r="K538" s="7" t="n"/>
      <c r="L538" s="7" t="n"/>
    </row>
    <row r="539">
      <c r="F539" s="7" t="n"/>
      <c r="G539" s="7" t="n"/>
      <c r="H539" s="7" t="n"/>
      <c r="I539" s="7" t="n"/>
      <c r="J539" s="7" t="n"/>
      <c r="K539" s="7" t="n"/>
      <c r="L539" s="7" t="n"/>
    </row>
    <row r="540">
      <c r="F540" s="7" t="n"/>
      <c r="G540" s="7" t="n"/>
      <c r="H540" s="7" t="n"/>
      <c r="I540" s="7" t="n"/>
      <c r="J540" s="7" t="n"/>
      <c r="K540" s="7" t="n"/>
      <c r="L540" s="7" t="n"/>
    </row>
    <row r="541">
      <c r="F541" s="7" t="n"/>
      <c r="G541" s="7" t="n"/>
      <c r="H541" s="7" t="n"/>
      <c r="I541" s="7" t="n"/>
      <c r="J541" s="7" t="n"/>
      <c r="K541" s="7" t="n"/>
      <c r="L541" s="7" t="n"/>
    </row>
    <row r="542">
      <c r="F542" s="7" t="n"/>
      <c r="G542" s="7" t="n"/>
      <c r="H542" s="7" t="n"/>
      <c r="I542" s="7" t="n"/>
      <c r="J542" s="7" t="n"/>
      <c r="K542" s="7" t="n"/>
      <c r="L542" s="7" t="n"/>
    </row>
    <row r="543">
      <c r="F543" s="7" t="n"/>
      <c r="G543" s="7" t="n"/>
      <c r="H543" s="7" t="n"/>
      <c r="I543" s="7" t="n"/>
      <c r="J543" s="7" t="n"/>
      <c r="K543" s="7" t="n"/>
      <c r="L543" s="7" t="n"/>
    </row>
    <row r="544">
      <c r="F544" s="7" t="n"/>
      <c r="G544" s="7" t="n"/>
      <c r="H544" s="7" t="n"/>
      <c r="I544" s="7" t="n"/>
      <c r="J544" s="7" t="n"/>
      <c r="K544" s="7" t="n"/>
      <c r="L544" s="7" t="n"/>
    </row>
    <row r="545">
      <c r="F545" s="7" t="n"/>
      <c r="G545" s="7" t="n"/>
      <c r="H545" s="7" t="n"/>
      <c r="I545" s="7" t="n"/>
      <c r="J545" s="7" t="n"/>
      <c r="K545" s="7" t="n"/>
      <c r="L545" s="7" t="n"/>
    </row>
    <row r="546">
      <c r="F546" s="7" t="n"/>
      <c r="G546" s="7" t="n"/>
      <c r="H546" s="7" t="n"/>
      <c r="I546" s="7" t="n"/>
      <c r="J546" s="7" t="n"/>
      <c r="K546" s="7" t="n"/>
      <c r="L546" s="7" t="n"/>
    </row>
    <row r="547">
      <c r="F547" s="7" t="n"/>
      <c r="G547" s="7" t="n"/>
      <c r="H547" s="7" t="n"/>
      <c r="I547" s="7" t="n"/>
      <c r="J547" s="7" t="n"/>
      <c r="K547" s="7" t="n"/>
      <c r="L547" s="7" t="n"/>
    </row>
    <row r="548">
      <c r="F548" s="7" t="n"/>
      <c r="G548" s="7" t="n"/>
      <c r="H548" s="7" t="n"/>
      <c r="I548" s="7" t="n"/>
      <c r="J548" s="7" t="n"/>
      <c r="K548" s="7" t="n"/>
      <c r="L548" s="7" t="n"/>
    </row>
    <row r="549">
      <c r="F549" s="7" t="n"/>
      <c r="G549" s="7" t="n"/>
      <c r="H549" s="7" t="n"/>
      <c r="I549" s="7" t="n"/>
      <c r="J549" s="7" t="n"/>
      <c r="K549" s="7" t="n"/>
      <c r="L549" s="7" t="n"/>
    </row>
    <row r="550">
      <c r="F550" s="7" t="n"/>
      <c r="G550" s="7" t="n"/>
      <c r="H550" s="7" t="n"/>
      <c r="I550" s="7" t="n"/>
      <c r="J550" s="7" t="n"/>
      <c r="K550" s="7" t="n"/>
      <c r="L550" s="7" t="n"/>
    </row>
    <row r="551">
      <c r="F551" s="7" t="n"/>
      <c r="G551" s="7" t="n"/>
      <c r="H551" s="7" t="n"/>
      <c r="I551" s="7" t="n"/>
      <c r="J551" s="7" t="n"/>
      <c r="K551" s="7" t="n"/>
      <c r="L551" s="7" t="n"/>
    </row>
    <row r="552">
      <c r="F552" s="7" t="n"/>
      <c r="G552" s="7" t="n"/>
      <c r="H552" s="7" t="n"/>
      <c r="I552" s="7" t="n"/>
      <c r="J552" s="7" t="n"/>
      <c r="K552" s="7" t="n"/>
      <c r="L552" s="7" t="n"/>
    </row>
    <row r="553">
      <c r="F553" s="7" t="n"/>
      <c r="G553" s="7" t="n"/>
      <c r="H553" s="7" t="n"/>
      <c r="I553" s="7" t="n"/>
      <c r="J553" s="7" t="n"/>
      <c r="K553" s="7" t="n"/>
      <c r="L553" s="7" t="n"/>
    </row>
    <row r="554">
      <c r="F554" s="7" t="n"/>
      <c r="G554" s="7" t="n"/>
      <c r="H554" s="7" t="n"/>
      <c r="I554" s="7" t="n"/>
      <c r="J554" s="7" t="n"/>
      <c r="K554" s="7" t="n"/>
      <c r="L554" s="7" t="n"/>
    </row>
    <row r="555">
      <c r="F555" s="7" t="n"/>
      <c r="G555" s="7" t="n"/>
      <c r="H555" s="7" t="n"/>
      <c r="I555" s="7" t="n"/>
      <c r="J555" s="7" t="n"/>
      <c r="K555" s="7" t="n"/>
      <c r="L555" s="7" t="n"/>
    </row>
    <row r="556">
      <c r="F556" s="7" t="n"/>
      <c r="G556" s="7" t="n"/>
      <c r="H556" s="7" t="n"/>
      <c r="I556" s="7" t="n"/>
      <c r="J556" s="7" t="n"/>
      <c r="K556" s="7" t="n"/>
      <c r="L556" s="7" t="n"/>
    </row>
    <row r="557">
      <c r="F557" s="7" t="n"/>
      <c r="G557" s="7" t="n"/>
      <c r="H557" s="7" t="n"/>
      <c r="I557" s="7" t="n"/>
      <c r="J557" s="7" t="n"/>
      <c r="K557" s="7" t="n"/>
      <c r="L557" s="7" t="n"/>
    </row>
    <row r="558">
      <c r="F558" s="7" t="n"/>
      <c r="G558" s="7" t="n"/>
      <c r="H558" s="7" t="n"/>
      <c r="I558" s="7" t="n"/>
      <c r="J558" s="7" t="n"/>
      <c r="K558" s="7" t="n"/>
      <c r="L558" s="7" t="n"/>
    </row>
    <row r="559">
      <c r="F559" s="7" t="n"/>
      <c r="G559" s="7" t="n"/>
      <c r="H559" s="7" t="n"/>
      <c r="I559" s="7" t="n"/>
      <c r="J559" s="7" t="n"/>
      <c r="K559" s="7" t="n"/>
      <c r="L559" s="7" t="n"/>
    </row>
    <row r="560">
      <c r="F560" s="7" t="n"/>
      <c r="G560" s="7" t="n"/>
      <c r="H560" s="7" t="n"/>
      <c r="I560" s="7" t="n"/>
      <c r="J560" s="7" t="n"/>
      <c r="K560" s="7" t="n"/>
      <c r="L560" s="7" t="n"/>
    </row>
    <row r="561">
      <c r="F561" s="7" t="n"/>
      <c r="G561" s="7" t="n"/>
      <c r="H561" s="7" t="n"/>
      <c r="I561" s="7" t="n"/>
      <c r="J561" s="7" t="n"/>
      <c r="K561" s="7" t="n"/>
      <c r="L561" s="7" t="n"/>
    </row>
    <row r="562">
      <c r="F562" s="7" t="n"/>
      <c r="G562" s="7" t="n"/>
      <c r="H562" s="7" t="n"/>
      <c r="I562" s="7" t="n"/>
      <c r="J562" s="7" t="n"/>
      <c r="K562" s="7" t="n"/>
      <c r="L562" s="7" t="n"/>
    </row>
    <row r="563">
      <c r="F563" s="7" t="n"/>
      <c r="G563" s="7" t="n"/>
      <c r="H563" s="7" t="n"/>
      <c r="I563" s="7" t="n"/>
      <c r="J563" s="7" t="n"/>
      <c r="K563" s="7" t="n"/>
      <c r="L563" s="7" t="n"/>
    </row>
    <row r="564">
      <c r="F564" s="7" t="n"/>
      <c r="G564" s="7" t="n"/>
      <c r="H564" s="7" t="n"/>
      <c r="I564" s="7" t="n"/>
      <c r="J564" s="7" t="n"/>
      <c r="K564" s="7" t="n"/>
      <c r="L564" s="7" t="n"/>
    </row>
    <row r="565">
      <c r="F565" s="7" t="n"/>
      <c r="G565" s="7" t="n"/>
      <c r="H565" s="7" t="n"/>
      <c r="I565" s="7" t="n"/>
      <c r="J565" s="7" t="n"/>
      <c r="K565" s="7" t="n"/>
      <c r="L565" s="7" t="n"/>
    </row>
    <row r="566">
      <c r="F566" s="7" t="n"/>
      <c r="G566" s="7" t="n"/>
      <c r="H566" s="7" t="n"/>
      <c r="I566" s="7" t="n"/>
      <c r="J566" s="7" t="n"/>
      <c r="K566" s="7" t="n"/>
      <c r="L566" s="7" t="n"/>
    </row>
    <row r="567">
      <c r="F567" s="7" t="n"/>
      <c r="G567" s="7" t="n"/>
      <c r="H567" s="7" t="n"/>
      <c r="I567" s="7" t="n"/>
      <c r="J567" s="7" t="n"/>
      <c r="K567" s="7" t="n"/>
      <c r="L567" s="7" t="n"/>
    </row>
    <row r="568">
      <c r="F568" s="7" t="n"/>
      <c r="G568" s="7" t="n"/>
      <c r="H568" s="7" t="n"/>
      <c r="I568" s="7" t="n"/>
      <c r="J568" s="7" t="n"/>
      <c r="K568" s="7" t="n"/>
      <c r="L568" s="7" t="n"/>
    </row>
    <row r="569">
      <c r="F569" s="7" t="n"/>
      <c r="G569" s="7" t="n"/>
      <c r="H569" s="7" t="n"/>
      <c r="I569" s="7" t="n"/>
      <c r="J569" s="7" t="n"/>
      <c r="K569" s="7" t="n"/>
      <c r="L569" s="7" t="n"/>
    </row>
    <row r="570">
      <c r="F570" s="7" t="n"/>
      <c r="G570" s="7" t="n"/>
      <c r="H570" s="7" t="n"/>
      <c r="I570" s="7" t="n"/>
      <c r="J570" s="7" t="n"/>
      <c r="K570" s="7" t="n"/>
      <c r="L570" s="7" t="n"/>
    </row>
    <row r="571">
      <c r="F571" s="7" t="n"/>
      <c r="G571" s="7" t="n"/>
      <c r="H571" s="7" t="n"/>
      <c r="I571" s="7" t="n"/>
      <c r="J571" s="7" t="n"/>
      <c r="K571" s="7" t="n"/>
      <c r="L571" s="7" t="n"/>
    </row>
    <row r="572">
      <c r="F572" s="7" t="n"/>
      <c r="G572" s="7" t="n"/>
      <c r="H572" s="7" t="n"/>
      <c r="I572" s="7" t="n"/>
      <c r="J572" s="7" t="n"/>
      <c r="K572" s="7" t="n"/>
      <c r="L572" s="7" t="n"/>
    </row>
    <row r="573">
      <c r="F573" s="7" t="n"/>
      <c r="G573" s="7" t="n"/>
      <c r="H573" s="7" t="n"/>
      <c r="I573" s="7" t="n"/>
      <c r="J573" s="7" t="n"/>
      <c r="K573" s="7" t="n"/>
      <c r="L573" s="7" t="n"/>
    </row>
    <row r="574">
      <c r="F574" s="7" t="n"/>
      <c r="G574" s="7" t="n"/>
      <c r="H574" s="7" t="n"/>
      <c r="I574" s="7" t="n"/>
      <c r="J574" s="7" t="n"/>
      <c r="K574" s="7" t="n"/>
      <c r="L574" s="7" t="n"/>
    </row>
    <row r="575">
      <c r="F575" s="7" t="n"/>
      <c r="G575" s="7" t="n"/>
      <c r="H575" s="7" t="n"/>
      <c r="I575" s="7" t="n"/>
      <c r="J575" s="7" t="n"/>
      <c r="K575" s="7" t="n"/>
      <c r="L575" s="7" t="n"/>
    </row>
    <row r="576">
      <c r="F576" s="7" t="n"/>
      <c r="G576" s="7" t="n"/>
      <c r="H576" s="7" t="n"/>
      <c r="I576" s="7" t="n"/>
      <c r="J576" s="7" t="n"/>
      <c r="K576" s="7" t="n"/>
      <c r="L576" s="7" t="n"/>
    </row>
    <row r="577">
      <c r="F577" s="7" t="n"/>
      <c r="G577" s="7" t="n"/>
      <c r="H577" s="7" t="n"/>
      <c r="I577" s="7" t="n"/>
      <c r="J577" s="7" t="n"/>
      <c r="K577" s="7" t="n"/>
      <c r="L577" s="7" t="n"/>
    </row>
    <row r="578">
      <c r="F578" s="7" t="n"/>
      <c r="G578" s="7" t="n"/>
      <c r="H578" s="7" t="n"/>
      <c r="I578" s="7" t="n"/>
      <c r="J578" s="7" t="n"/>
      <c r="K578" s="7" t="n"/>
      <c r="L578" s="7" t="n"/>
    </row>
    <row r="579">
      <c r="F579" s="7" t="n"/>
      <c r="G579" s="7" t="n"/>
      <c r="H579" s="7" t="n"/>
      <c r="I579" s="7" t="n"/>
      <c r="J579" s="7" t="n"/>
      <c r="K579" s="7" t="n"/>
      <c r="L579" s="7" t="n"/>
    </row>
    <row r="580">
      <c r="F580" s="7" t="n"/>
      <c r="G580" s="7" t="n"/>
      <c r="H580" s="7" t="n"/>
      <c r="I580" s="7" t="n"/>
      <c r="J580" s="7" t="n"/>
      <c r="K580" s="7" t="n"/>
      <c r="L580" s="7" t="n"/>
    </row>
    <row r="581">
      <c r="F581" s="7" t="n"/>
      <c r="G581" s="7" t="n"/>
      <c r="H581" s="7" t="n"/>
      <c r="I581" s="7" t="n"/>
      <c r="J581" s="7" t="n"/>
      <c r="K581" s="7" t="n"/>
      <c r="L581" s="7" t="n"/>
    </row>
    <row r="582">
      <c r="F582" s="7" t="n"/>
      <c r="G582" s="7" t="n"/>
      <c r="H582" s="7" t="n"/>
      <c r="I582" s="7" t="n"/>
      <c r="J582" s="7" t="n"/>
      <c r="K582" s="7" t="n"/>
      <c r="L582" s="7" t="n"/>
    </row>
    <row r="583">
      <c r="F583" s="7" t="n"/>
      <c r="G583" s="7" t="n"/>
      <c r="H583" s="7" t="n"/>
      <c r="I583" s="7" t="n"/>
      <c r="J583" s="7" t="n"/>
      <c r="K583" s="7" t="n"/>
      <c r="L583" s="7" t="n"/>
    </row>
    <row r="584">
      <c r="F584" s="7" t="n"/>
      <c r="G584" s="7" t="n"/>
      <c r="H584" s="7" t="n"/>
      <c r="I584" s="7" t="n"/>
      <c r="J584" s="7" t="n"/>
      <c r="K584" s="7" t="n"/>
      <c r="L584" s="7" t="n"/>
    </row>
    <row r="585">
      <c r="F585" s="7" t="n"/>
      <c r="G585" s="7" t="n"/>
      <c r="H585" s="7" t="n"/>
      <c r="I585" s="7" t="n"/>
      <c r="J585" s="7" t="n"/>
      <c r="K585" s="7" t="n"/>
      <c r="L585" s="7" t="n"/>
    </row>
    <row r="586">
      <c r="F586" s="7" t="n"/>
      <c r="G586" s="7" t="n"/>
      <c r="H586" s="7" t="n"/>
      <c r="I586" s="7" t="n"/>
      <c r="J586" s="7" t="n"/>
      <c r="K586" s="7" t="n"/>
      <c r="L586" s="7" t="n"/>
    </row>
    <row r="587">
      <c r="F587" s="7" t="n"/>
      <c r="G587" s="7" t="n"/>
      <c r="H587" s="7" t="n"/>
      <c r="I587" s="7" t="n"/>
      <c r="J587" s="7" t="n"/>
      <c r="K587" s="7" t="n"/>
      <c r="L587" s="7" t="n"/>
    </row>
    <row r="588">
      <c r="F588" s="7" t="n"/>
      <c r="G588" s="7" t="n"/>
      <c r="H588" s="7" t="n"/>
      <c r="I588" s="7" t="n"/>
      <c r="J588" s="7" t="n"/>
      <c r="K588" s="7" t="n"/>
      <c r="L588" s="7" t="n"/>
    </row>
    <row r="589">
      <c r="F589" s="7" t="n"/>
      <c r="G589" s="7" t="n"/>
      <c r="H589" s="7" t="n"/>
      <c r="I589" s="7" t="n"/>
      <c r="J589" s="7" t="n"/>
      <c r="K589" s="7" t="n"/>
      <c r="L589" s="7" t="n"/>
    </row>
    <row r="590">
      <c r="F590" s="7" t="n"/>
      <c r="G590" s="7" t="n"/>
      <c r="H590" s="7" t="n"/>
      <c r="I590" s="7" t="n"/>
      <c r="J590" s="7" t="n"/>
      <c r="K590" s="7" t="n"/>
      <c r="L590" s="7" t="n"/>
    </row>
    <row r="591">
      <c r="F591" s="7" t="n"/>
      <c r="G591" s="7" t="n"/>
      <c r="H591" s="7" t="n"/>
      <c r="I591" s="7" t="n"/>
      <c r="J591" s="7" t="n"/>
      <c r="K591" s="7" t="n"/>
      <c r="L591" s="7" t="n"/>
    </row>
    <row r="592">
      <c r="F592" s="7" t="n"/>
      <c r="G592" s="7" t="n"/>
      <c r="H592" s="7" t="n"/>
      <c r="I592" s="7" t="n"/>
      <c r="J592" s="7" t="n"/>
      <c r="K592" s="7" t="n"/>
      <c r="L592" s="7" t="n"/>
    </row>
    <row r="593">
      <c r="F593" s="7" t="n"/>
      <c r="G593" s="7" t="n"/>
      <c r="H593" s="7" t="n"/>
      <c r="I593" s="7" t="n"/>
      <c r="J593" s="7" t="n"/>
      <c r="K593" s="7" t="n"/>
      <c r="L593" s="7" t="n"/>
    </row>
    <row r="594">
      <c r="F594" s="7" t="n"/>
      <c r="G594" s="7" t="n"/>
      <c r="H594" s="7" t="n"/>
      <c r="I594" s="7" t="n"/>
      <c r="J594" s="7" t="n"/>
      <c r="K594" s="7" t="n"/>
      <c r="L594" s="7" t="n"/>
    </row>
    <row r="595">
      <c r="F595" s="7" t="n"/>
      <c r="G595" s="7" t="n"/>
      <c r="H595" s="7" t="n"/>
      <c r="I595" s="7" t="n"/>
      <c r="J595" s="7" t="n"/>
      <c r="K595" s="7" t="n"/>
      <c r="L595" s="7" t="n"/>
    </row>
    <row r="596">
      <c r="F596" s="7" t="n"/>
      <c r="G596" s="7" t="n"/>
      <c r="H596" s="7" t="n"/>
      <c r="I596" s="7" t="n"/>
      <c r="J596" s="7" t="n"/>
      <c r="K596" s="7" t="n"/>
      <c r="L596" s="7" t="n"/>
    </row>
    <row r="597">
      <c r="F597" s="7" t="n"/>
      <c r="G597" s="7" t="n"/>
      <c r="H597" s="7" t="n"/>
      <c r="I597" s="7" t="n"/>
      <c r="J597" s="7" t="n"/>
      <c r="K597" s="7" t="n"/>
      <c r="L597" s="7" t="n"/>
    </row>
    <row r="598">
      <c r="F598" s="7" t="n"/>
      <c r="G598" s="7" t="n"/>
      <c r="H598" s="7" t="n"/>
      <c r="I598" s="7" t="n"/>
      <c r="J598" s="7" t="n"/>
      <c r="K598" s="7" t="n"/>
      <c r="L598" s="7" t="n"/>
    </row>
    <row r="599">
      <c r="F599" s="7" t="n"/>
      <c r="G599" s="7" t="n"/>
      <c r="H599" s="7" t="n"/>
      <c r="I599" s="7" t="n"/>
      <c r="J599" s="7" t="n"/>
      <c r="K599" s="7" t="n"/>
      <c r="L599" s="7" t="n"/>
    </row>
    <row r="600">
      <c r="F600" s="7" t="n"/>
      <c r="G600" s="7" t="n"/>
      <c r="H600" s="7" t="n"/>
      <c r="I600" s="7" t="n"/>
      <c r="J600" s="7" t="n"/>
      <c r="K600" s="7" t="n"/>
      <c r="L600" s="7" t="n"/>
    </row>
    <row r="601">
      <c r="F601" s="7" t="n"/>
      <c r="G601" s="7" t="n"/>
      <c r="H601" s="7" t="n"/>
      <c r="I601" s="7" t="n"/>
      <c r="J601" s="7" t="n"/>
      <c r="K601" s="7" t="n"/>
      <c r="L601" s="7" t="n"/>
    </row>
    <row r="602">
      <c r="F602" s="7" t="n"/>
      <c r="G602" s="7" t="n"/>
      <c r="H602" s="7" t="n"/>
      <c r="I602" s="7" t="n"/>
      <c r="J602" s="7" t="n"/>
      <c r="K602" s="7" t="n"/>
      <c r="L602" s="7" t="n"/>
    </row>
    <row r="603">
      <c r="F603" s="7" t="n"/>
      <c r="G603" s="7" t="n"/>
      <c r="H603" s="7" t="n"/>
      <c r="I603" s="7" t="n"/>
      <c r="J603" s="7" t="n"/>
      <c r="K603" s="7" t="n"/>
      <c r="L603" s="7" t="n"/>
    </row>
    <row r="604">
      <c r="F604" s="7" t="n"/>
      <c r="G604" s="7" t="n"/>
      <c r="H604" s="7" t="n"/>
      <c r="I604" s="7" t="n"/>
      <c r="J604" s="7" t="n"/>
      <c r="K604" s="7" t="n"/>
      <c r="L604" s="7" t="n"/>
    </row>
    <row r="605">
      <c r="F605" s="7" t="n"/>
      <c r="G605" s="7" t="n"/>
      <c r="H605" s="7" t="n"/>
      <c r="I605" s="7" t="n"/>
      <c r="J605" s="7" t="n"/>
      <c r="K605" s="7" t="n"/>
      <c r="L605" s="7" t="n"/>
    </row>
    <row r="606">
      <c r="F606" s="7" t="n"/>
      <c r="G606" s="7" t="n"/>
      <c r="H606" s="7" t="n"/>
      <c r="I606" s="7" t="n"/>
      <c r="J606" s="7" t="n"/>
      <c r="K606" s="7" t="n"/>
      <c r="L606" s="7" t="n"/>
    </row>
    <row r="607">
      <c r="F607" s="7" t="n"/>
      <c r="G607" s="7" t="n"/>
      <c r="H607" s="7" t="n"/>
      <c r="I607" s="7" t="n"/>
      <c r="J607" s="7" t="n"/>
      <c r="K607" s="7" t="n"/>
      <c r="L607" s="7" t="n"/>
    </row>
    <row r="608">
      <c r="F608" s="7" t="n"/>
      <c r="G608" s="7" t="n"/>
      <c r="H608" s="7" t="n"/>
      <c r="I608" s="7" t="n"/>
      <c r="J608" s="7" t="n"/>
      <c r="K608" s="7" t="n"/>
      <c r="L608" s="7" t="n"/>
    </row>
    <row r="609">
      <c r="F609" s="7" t="n"/>
      <c r="G609" s="7" t="n"/>
      <c r="H609" s="7" t="n"/>
      <c r="I609" s="7" t="n"/>
      <c r="J609" s="7" t="n"/>
      <c r="K609" s="7" t="n"/>
      <c r="L609" s="7" t="n"/>
    </row>
    <row r="610">
      <c r="F610" s="7" t="n"/>
      <c r="G610" s="7" t="n"/>
      <c r="H610" s="7" t="n"/>
      <c r="I610" s="7" t="n"/>
      <c r="J610" s="7" t="n"/>
      <c r="K610" s="7" t="n"/>
      <c r="L610" s="7" t="n"/>
    </row>
    <row r="611">
      <c r="F611" s="7" t="n"/>
      <c r="G611" s="7" t="n"/>
      <c r="H611" s="7" t="n"/>
      <c r="I611" s="7" t="n"/>
      <c r="J611" s="7" t="n"/>
      <c r="K611" s="7" t="n"/>
      <c r="L611" s="7" t="n"/>
    </row>
    <row r="612">
      <c r="F612" s="7" t="n"/>
      <c r="G612" s="7" t="n"/>
      <c r="H612" s="7" t="n"/>
      <c r="I612" s="7" t="n"/>
      <c r="J612" s="7" t="n"/>
      <c r="K612" s="7" t="n"/>
      <c r="L612" s="7" t="n"/>
    </row>
    <row r="613">
      <c r="F613" s="7" t="n"/>
      <c r="G613" s="7" t="n"/>
      <c r="H613" s="7" t="n"/>
      <c r="I613" s="7" t="n"/>
      <c r="J613" s="7" t="n"/>
      <c r="K613" s="7" t="n"/>
      <c r="L613" s="7" t="n"/>
    </row>
    <row r="614">
      <c r="F614" s="7" t="n"/>
      <c r="G614" s="7" t="n"/>
      <c r="H614" s="7" t="n"/>
      <c r="I614" s="7" t="n"/>
      <c r="J614" s="7" t="n"/>
      <c r="K614" s="7" t="n"/>
      <c r="L614" s="7" t="n"/>
    </row>
    <row r="615">
      <c r="F615" s="7" t="n"/>
      <c r="G615" s="7" t="n"/>
      <c r="H615" s="7" t="n"/>
      <c r="I615" s="7" t="n"/>
      <c r="J615" s="7" t="n"/>
      <c r="K615" s="7" t="n"/>
      <c r="L615" s="7" t="n"/>
    </row>
    <row r="616">
      <c r="F616" s="7" t="n"/>
      <c r="G616" s="7" t="n"/>
      <c r="H616" s="7" t="n"/>
      <c r="I616" s="7" t="n"/>
      <c r="J616" s="7" t="n"/>
      <c r="K616" s="7" t="n"/>
      <c r="L616" s="7" t="n"/>
    </row>
    <row r="617">
      <c r="F617" s="7" t="n"/>
      <c r="G617" s="7" t="n"/>
      <c r="H617" s="7" t="n"/>
      <c r="I617" s="7" t="n"/>
      <c r="J617" s="7" t="n"/>
      <c r="K617" s="7" t="n"/>
      <c r="L617" s="7" t="n"/>
    </row>
    <row r="618">
      <c r="F618" s="7" t="n"/>
      <c r="G618" s="7" t="n"/>
      <c r="H618" s="7" t="n"/>
      <c r="I618" s="7" t="n"/>
      <c r="J618" s="7" t="n"/>
      <c r="K618" s="7" t="n"/>
      <c r="L618" s="7" t="n"/>
    </row>
    <row r="619">
      <c r="F619" s="7" t="n"/>
      <c r="G619" s="7" t="n"/>
      <c r="H619" s="7" t="n"/>
      <c r="I619" s="7" t="n"/>
      <c r="J619" s="7" t="n"/>
      <c r="K619" s="7" t="n"/>
      <c r="L619" s="7" t="n"/>
    </row>
    <row r="620">
      <c r="F620" s="7" t="n"/>
      <c r="G620" s="7" t="n"/>
      <c r="H620" s="7" t="n"/>
      <c r="I620" s="7" t="n"/>
      <c r="J620" s="7" t="n"/>
      <c r="K620" s="7" t="n"/>
      <c r="L620" s="7" t="n"/>
    </row>
    <row r="621">
      <c r="F621" s="7" t="n"/>
      <c r="G621" s="7" t="n"/>
      <c r="H621" s="7" t="n"/>
      <c r="I621" s="7" t="n"/>
      <c r="J621" s="7" t="n"/>
      <c r="K621" s="7" t="n"/>
      <c r="L621" s="7" t="n"/>
    </row>
    <row r="622">
      <c r="F622" s="7" t="n"/>
      <c r="G622" s="7" t="n"/>
      <c r="H622" s="7" t="n"/>
      <c r="I622" s="7" t="n"/>
      <c r="J622" s="7" t="n"/>
      <c r="K622" s="7" t="n"/>
      <c r="L622" s="7" t="n"/>
    </row>
    <row r="623">
      <c r="F623" s="7" t="n"/>
      <c r="G623" s="7" t="n"/>
      <c r="H623" s="7" t="n"/>
      <c r="I623" s="7" t="n"/>
      <c r="J623" s="7" t="n"/>
      <c r="K623" s="7" t="n"/>
      <c r="L623" s="7" t="n"/>
    </row>
    <row r="624">
      <c r="F624" s="7" t="n"/>
      <c r="G624" s="7" t="n"/>
      <c r="H624" s="7" t="n"/>
      <c r="I624" s="7" t="n"/>
      <c r="J624" s="7" t="n"/>
      <c r="K624" s="7" t="n"/>
      <c r="L624" s="7" t="n"/>
    </row>
    <row r="625">
      <c r="F625" s="7" t="n"/>
      <c r="G625" s="7" t="n"/>
      <c r="H625" s="7" t="n"/>
      <c r="I625" s="7" t="n"/>
      <c r="J625" s="7" t="n"/>
      <c r="K625" s="7" t="n"/>
      <c r="L625" s="7" t="n"/>
    </row>
    <row r="626">
      <c r="F626" s="7" t="n"/>
      <c r="G626" s="7" t="n"/>
      <c r="H626" s="7" t="n"/>
      <c r="I626" s="7" t="n"/>
      <c r="J626" s="7" t="n"/>
      <c r="K626" s="7" t="n"/>
      <c r="L626" s="7" t="n"/>
    </row>
    <row r="627">
      <c r="F627" s="7" t="n"/>
      <c r="G627" s="7" t="n"/>
      <c r="H627" s="7" t="n"/>
      <c r="I627" s="7" t="n"/>
      <c r="J627" s="7" t="n"/>
      <c r="K627" s="7" t="n"/>
      <c r="L627" s="7" t="n"/>
    </row>
    <row r="628">
      <c r="F628" s="7" t="n"/>
      <c r="G628" s="7" t="n"/>
      <c r="H628" s="7" t="n"/>
      <c r="I628" s="7" t="n"/>
      <c r="J628" s="7" t="n"/>
      <c r="K628" s="7" t="n"/>
      <c r="L628" s="7" t="n"/>
    </row>
    <row r="629">
      <c r="F629" s="7" t="n"/>
      <c r="G629" s="7" t="n"/>
      <c r="H629" s="7" t="n"/>
      <c r="I629" s="7" t="n"/>
      <c r="J629" s="7" t="n"/>
      <c r="K629" s="7" t="n"/>
      <c r="L629" s="7" t="n"/>
    </row>
    <row r="630">
      <c r="F630" s="7" t="n"/>
      <c r="G630" s="7" t="n"/>
      <c r="H630" s="7" t="n"/>
      <c r="I630" s="7" t="n"/>
      <c r="J630" s="7" t="n"/>
      <c r="K630" s="7" t="n"/>
      <c r="L630" s="7" t="n"/>
    </row>
    <row r="631">
      <c r="F631" s="7" t="n"/>
      <c r="G631" s="7" t="n"/>
      <c r="H631" s="7" t="n"/>
      <c r="I631" s="7" t="n"/>
      <c r="J631" s="7" t="n"/>
      <c r="K631" s="7" t="n"/>
      <c r="L631" s="7" t="n"/>
    </row>
    <row r="632">
      <c r="F632" s="7" t="n"/>
      <c r="G632" s="7" t="n"/>
      <c r="H632" s="7" t="n"/>
      <c r="I632" s="7" t="n"/>
      <c r="J632" s="7" t="n"/>
      <c r="K632" s="7" t="n"/>
      <c r="L632" s="7" t="n"/>
    </row>
    <row r="633">
      <c r="F633" s="7" t="n"/>
      <c r="G633" s="7" t="n"/>
      <c r="H633" s="7" t="n"/>
      <c r="I633" s="7" t="n"/>
      <c r="J633" s="7" t="n"/>
      <c r="K633" s="7" t="n"/>
      <c r="L633" s="7" t="n"/>
    </row>
    <row r="634">
      <c r="F634" s="7" t="n"/>
      <c r="G634" s="7" t="n"/>
      <c r="H634" s="7" t="n"/>
      <c r="I634" s="7" t="n"/>
      <c r="J634" s="7" t="n"/>
      <c r="K634" s="7" t="n"/>
      <c r="L634" s="7" t="n"/>
    </row>
    <row r="635">
      <c r="F635" s="7" t="n"/>
      <c r="G635" s="7" t="n"/>
      <c r="H635" s="7" t="n"/>
      <c r="I635" s="7" t="n"/>
      <c r="J635" s="7" t="n"/>
      <c r="K635" s="7" t="n"/>
      <c r="L635" s="7" t="n"/>
    </row>
    <row r="636">
      <c r="F636" s="7" t="n"/>
      <c r="G636" s="7" t="n"/>
      <c r="H636" s="7" t="n"/>
      <c r="I636" s="7" t="n"/>
      <c r="J636" s="7" t="n"/>
      <c r="K636" s="7" t="n"/>
      <c r="L636" s="7" t="n"/>
    </row>
    <row r="637">
      <c r="F637" s="7" t="n"/>
      <c r="G637" s="7" t="n"/>
      <c r="H637" s="7" t="n"/>
      <c r="I637" s="7" t="n"/>
      <c r="J637" s="7" t="n"/>
      <c r="K637" s="7" t="n"/>
      <c r="L637" s="7" t="n"/>
    </row>
    <row r="638">
      <c r="F638" s="7" t="n"/>
      <c r="G638" s="7" t="n"/>
      <c r="H638" s="7" t="n"/>
      <c r="I638" s="7" t="n"/>
      <c r="J638" s="7" t="n"/>
      <c r="K638" s="7" t="n"/>
      <c r="L638" s="7" t="n"/>
    </row>
    <row r="639">
      <c r="F639" s="7" t="n"/>
      <c r="G639" s="7" t="n"/>
      <c r="H639" s="7" t="n"/>
      <c r="I639" s="7" t="n"/>
      <c r="J639" s="7" t="n"/>
      <c r="K639" s="7" t="n"/>
      <c r="L639" s="7" t="n"/>
    </row>
    <row r="640">
      <c r="F640" s="7" t="n"/>
      <c r="G640" s="7" t="n"/>
      <c r="H640" s="7" t="n"/>
      <c r="I640" s="7" t="n"/>
      <c r="J640" s="7" t="n"/>
      <c r="K640" s="7" t="n"/>
      <c r="L640" s="7" t="n"/>
    </row>
    <row r="641">
      <c r="F641" s="7" t="n"/>
      <c r="G641" s="7" t="n"/>
      <c r="H641" s="7" t="n"/>
      <c r="I641" s="7" t="n"/>
      <c r="J641" s="7" t="n"/>
      <c r="K641" s="7" t="n"/>
      <c r="L641" s="7" t="n"/>
    </row>
    <row r="642">
      <c r="F642" s="7" t="n"/>
      <c r="G642" s="7" t="n"/>
      <c r="H642" s="7" t="n"/>
      <c r="I642" s="7" t="n"/>
      <c r="J642" s="7" t="n"/>
      <c r="K642" s="7" t="n"/>
      <c r="L642" s="7" t="n"/>
    </row>
    <row r="643">
      <c r="F643" s="7" t="n"/>
      <c r="G643" s="7" t="n"/>
      <c r="H643" s="7" t="n"/>
      <c r="I643" s="7" t="n"/>
      <c r="J643" s="7" t="n"/>
      <c r="K643" s="7" t="n"/>
      <c r="L643" s="7" t="n"/>
    </row>
    <row r="644">
      <c r="F644" s="7" t="n"/>
      <c r="G644" s="7" t="n"/>
      <c r="H644" s="7" t="n"/>
      <c r="I644" s="7" t="n"/>
      <c r="J644" s="7" t="n"/>
      <c r="K644" s="7" t="n"/>
      <c r="L644" s="7" t="n"/>
    </row>
    <row r="645">
      <c r="F645" s="7" t="n"/>
      <c r="G645" s="7" t="n"/>
      <c r="H645" s="7" t="n"/>
      <c r="I645" s="7" t="n"/>
      <c r="J645" s="7" t="n"/>
      <c r="K645" s="7" t="n"/>
      <c r="L645" s="7" t="n"/>
    </row>
    <row r="646">
      <c r="F646" s="7" t="n"/>
      <c r="G646" s="7" t="n"/>
      <c r="H646" s="7" t="n"/>
      <c r="I646" s="7" t="n"/>
      <c r="J646" s="7" t="n"/>
      <c r="K646" s="7" t="n"/>
      <c r="L646" s="7" t="n"/>
    </row>
    <row r="647">
      <c r="F647" s="7" t="n"/>
      <c r="G647" s="7" t="n"/>
      <c r="H647" s="7" t="n"/>
      <c r="I647" s="7" t="n"/>
      <c r="J647" s="7" t="n"/>
      <c r="K647" s="7" t="n"/>
      <c r="L647" s="7" t="n"/>
    </row>
    <row r="648">
      <c r="F648" s="7" t="n"/>
      <c r="G648" s="7" t="n"/>
      <c r="H648" s="7" t="n"/>
      <c r="I648" s="7" t="n"/>
      <c r="J648" s="7" t="n"/>
      <c r="K648" s="7" t="n"/>
      <c r="L648" s="7" t="n"/>
    </row>
    <row r="649">
      <c r="F649" s="7" t="n"/>
      <c r="G649" s="7" t="n"/>
      <c r="H649" s="7" t="n"/>
      <c r="I649" s="7" t="n"/>
      <c r="J649" s="7" t="n"/>
      <c r="K649" s="7" t="n"/>
      <c r="L649" s="7" t="n"/>
    </row>
    <row r="650">
      <c r="F650" s="7" t="n"/>
      <c r="G650" s="7" t="n"/>
      <c r="H650" s="7" t="n"/>
      <c r="I650" s="7" t="n"/>
      <c r="J650" s="7" t="n"/>
      <c r="K650" s="7" t="n"/>
      <c r="L650" s="7" t="n"/>
    </row>
    <row r="651">
      <c r="F651" s="7" t="n"/>
      <c r="G651" s="7" t="n"/>
      <c r="H651" s="7" t="n"/>
      <c r="I651" s="7" t="n"/>
      <c r="J651" s="7" t="n"/>
      <c r="K651" s="7" t="n"/>
      <c r="L651" s="7" t="n"/>
    </row>
    <row r="652">
      <c r="F652" s="7" t="n"/>
      <c r="G652" s="7" t="n"/>
      <c r="H652" s="7" t="n"/>
      <c r="I652" s="7" t="n"/>
      <c r="J652" s="7" t="n"/>
      <c r="K652" s="7" t="n"/>
      <c r="L652" s="7" t="n"/>
    </row>
    <row r="653">
      <c r="F653" s="7" t="n"/>
      <c r="G653" s="7" t="n"/>
      <c r="H653" s="7" t="n"/>
      <c r="I653" s="7" t="n"/>
      <c r="J653" s="7" t="n"/>
      <c r="K653" s="7" t="n"/>
      <c r="L653" s="7" t="n"/>
    </row>
    <row r="654">
      <c r="F654" s="7" t="n"/>
      <c r="G654" s="7" t="n"/>
      <c r="H654" s="7" t="n"/>
      <c r="I654" s="7" t="n"/>
      <c r="J654" s="7" t="n"/>
      <c r="K654" s="7" t="n"/>
      <c r="L654" s="7" t="n"/>
    </row>
    <row r="655">
      <c r="F655" s="7" t="n"/>
      <c r="G655" s="7" t="n"/>
      <c r="H655" s="7" t="n"/>
      <c r="I655" s="7" t="n"/>
      <c r="J655" s="7" t="n"/>
      <c r="K655" s="7" t="n"/>
      <c r="L655" s="7" t="n"/>
    </row>
    <row r="656">
      <c r="F656" s="7" t="n"/>
      <c r="G656" s="7" t="n"/>
      <c r="H656" s="7" t="n"/>
      <c r="I656" s="7" t="n"/>
      <c r="J656" s="7" t="n"/>
      <c r="K656" s="7" t="n"/>
      <c r="L656" s="7" t="n"/>
    </row>
    <row r="657">
      <c r="F657" s="7" t="n"/>
      <c r="G657" s="7" t="n"/>
      <c r="H657" s="7" t="n"/>
      <c r="I657" s="7" t="n"/>
      <c r="J657" s="7" t="n"/>
      <c r="K657" s="7" t="n"/>
      <c r="L657" s="7" t="n"/>
    </row>
    <row r="658">
      <c r="F658" s="7" t="n"/>
      <c r="G658" s="7" t="n"/>
      <c r="H658" s="7" t="n"/>
      <c r="I658" s="7" t="n"/>
      <c r="J658" s="7" t="n"/>
      <c r="K658" s="7" t="n"/>
      <c r="L658" s="7" t="n"/>
    </row>
    <row r="659">
      <c r="F659" s="7" t="n"/>
      <c r="G659" s="7" t="n"/>
      <c r="H659" s="7" t="n"/>
      <c r="I659" s="7" t="n"/>
      <c r="J659" s="7" t="n"/>
      <c r="K659" s="7" t="n"/>
      <c r="L659" s="7" t="n"/>
    </row>
    <row r="660">
      <c r="F660" s="7" t="n"/>
      <c r="G660" s="7" t="n"/>
      <c r="H660" s="7" t="n"/>
      <c r="I660" s="7" t="n"/>
      <c r="J660" s="7" t="n"/>
      <c r="K660" s="7" t="n"/>
      <c r="L660" s="7" t="n"/>
    </row>
    <row r="661">
      <c r="F661" s="7" t="n"/>
      <c r="G661" s="7" t="n"/>
      <c r="H661" s="7" t="n"/>
      <c r="I661" s="7" t="n"/>
      <c r="J661" s="7" t="n"/>
      <c r="K661" s="7" t="n"/>
      <c r="L661" s="7" t="n"/>
    </row>
    <row r="662">
      <c r="F662" s="7" t="n"/>
      <c r="G662" s="7" t="n"/>
      <c r="H662" s="7" t="n"/>
      <c r="I662" s="7" t="n"/>
      <c r="J662" s="7" t="n"/>
      <c r="K662" s="7" t="n"/>
      <c r="L662" s="7" t="n"/>
    </row>
    <row r="663">
      <c r="F663" s="7" t="n"/>
      <c r="G663" s="7" t="n"/>
      <c r="H663" s="7" t="n"/>
      <c r="I663" s="7" t="n"/>
      <c r="J663" s="7" t="n"/>
      <c r="K663" s="7" t="n"/>
      <c r="L663" s="7" t="n"/>
    </row>
    <row r="664">
      <c r="F664" s="7" t="n"/>
      <c r="G664" s="7" t="n"/>
      <c r="H664" s="7" t="n"/>
      <c r="I664" s="7" t="n"/>
      <c r="J664" s="7" t="n"/>
      <c r="K664" s="7" t="n"/>
      <c r="L664" s="7" t="n"/>
    </row>
    <row r="665">
      <c r="F665" s="7" t="n"/>
      <c r="G665" s="7" t="n"/>
      <c r="H665" s="7" t="n"/>
      <c r="I665" s="7" t="n"/>
      <c r="J665" s="7" t="n"/>
      <c r="K665" s="7" t="n"/>
      <c r="L665" s="7" t="n"/>
    </row>
    <row r="666">
      <c r="F666" s="7" t="n"/>
      <c r="G666" s="7" t="n"/>
      <c r="H666" s="7" t="n"/>
      <c r="I666" s="7" t="n"/>
      <c r="J666" s="7" t="n"/>
      <c r="K666" s="7" t="n"/>
      <c r="L666" s="7" t="n"/>
    </row>
    <row r="667">
      <c r="F667" s="7" t="n"/>
      <c r="G667" s="7" t="n"/>
      <c r="H667" s="7" t="n"/>
      <c r="I667" s="7" t="n"/>
      <c r="J667" s="7" t="n"/>
      <c r="K667" s="7" t="n"/>
      <c r="L667" s="7" t="n"/>
    </row>
    <row r="668">
      <c r="F668" s="7" t="n"/>
      <c r="G668" s="7" t="n"/>
      <c r="H668" s="7" t="n"/>
      <c r="I668" s="7" t="n"/>
      <c r="J668" s="7" t="n"/>
      <c r="K668" s="7" t="n"/>
      <c r="L668" s="7" t="n"/>
    </row>
    <row r="669">
      <c r="F669" s="7" t="n"/>
      <c r="G669" s="7" t="n"/>
      <c r="H669" s="7" t="n"/>
      <c r="I669" s="7" t="n"/>
      <c r="J669" s="7" t="n"/>
      <c r="K669" s="7" t="n"/>
      <c r="L669" s="7" t="n"/>
    </row>
    <row r="670">
      <c r="F670" s="7" t="n"/>
      <c r="G670" s="7" t="n"/>
      <c r="H670" s="7" t="n"/>
      <c r="I670" s="7" t="n"/>
      <c r="J670" s="7" t="n"/>
      <c r="K670" s="7" t="n"/>
      <c r="L670" s="7" t="n"/>
    </row>
    <row r="671">
      <c r="F671" s="7" t="n"/>
      <c r="G671" s="7" t="n"/>
      <c r="H671" s="7" t="n"/>
      <c r="I671" s="7" t="n"/>
      <c r="J671" s="7" t="n"/>
      <c r="K671" s="7" t="n"/>
      <c r="L671" s="7" t="n"/>
    </row>
    <row r="672">
      <c r="F672" s="7" t="n"/>
      <c r="G672" s="7" t="n"/>
      <c r="H672" s="7" t="n"/>
      <c r="I672" s="7" t="n"/>
      <c r="J672" s="7" t="n"/>
      <c r="K672" s="7" t="n"/>
      <c r="L672" s="7" t="n"/>
    </row>
    <row r="673">
      <c r="F673" s="7" t="n"/>
      <c r="G673" s="7" t="n"/>
      <c r="H673" s="7" t="n"/>
      <c r="I673" s="7" t="n"/>
      <c r="J673" s="7" t="n"/>
      <c r="K673" s="7" t="n"/>
      <c r="L673" s="7" t="n"/>
    </row>
    <row r="674">
      <c r="F674" s="7" t="n"/>
      <c r="G674" s="7" t="n"/>
      <c r="H674" s="7" t="n"/>
      <c r="I674" s="7" t="n"/>
      <c r="J674" s="7" t="n"/>
      <c r="K674" s="7" t="n"/>
      <c r="L674" s="7" t="n"/>
    </row>
    <row r="675">
      <c r="F675" s="7" t="n"/>
      <c r="G675" s="7" t="n"/>
      <c r="H675" s="7" t="n"/>
      <c r="I675" s="7" t="n"/>
      <c r="J675" s="7" t="n"/>
      <c r="K675" s="7" t="n"/>
      <c r="L675" s="7" t="n"/>
    </row>
    <row r="676">
      <c r="F676" s="7" t="n"/>
      <c r="G676" s="7" t="n"/>
      <c r="H676" s="7" t="n"/>
      <c r="I676" s="7" t="n"/>
      <c r="J676" s="7" t="n"/>
      <c r="K676" s="7" t="n"/>
      <c r="L676" s="7" t="n"/>
    </row>
    <row r="677">
      <c r="F677" s="7" t="n"/>
      <c r="G677" s="7" t="n"/>
      <c r="H677" s="7" t="n"/>
      <c r="I677" s="7" t="n"/>
      <c r="J677" s="7" t="n"/>
      <c r="K677" s="7" t="n"/>
      <c r="L677" s="7" t="n"/>
    </row>
    <row r="678">
      <c r="F678" s="7" t="n"/>
      <c r="G678" s="7" t="n"/>
      <c r="H678" s="7" t="n"/>
      <c r="I678" s="7" t="n"/>
      <c r="J678" s="7" t="n"/>
      <c r="K678" s="7" t="n"/>
      <c r="L678" s="7" t="n"/>
    </row>
    <row r="679">
      <c r="F679" s="7" t="n"/>
      <c r="G679" s="7" t="n"/>
      <c r="H679" s="7" t="n"/>
      <c r="I679" s="7" t="n"/>
      <c r="J679" s="7" t="n"/>
      <c r="K679" s="7" t="n"/>
      <c r="L679" s="7" t="n"/>
    </row>
    <row r="680">
      <c r="F680" s="7" t="n"/>
      <c r="G680" s="7" t="n"/>
      <c r="H680" s="7" t="n"/>
      <c r="I680" s="7" t="n"/>
      <c r="J680" s="7" t="n"/>
      <c r="K680" s="7" t="n"/>
      <c r="L680" s="7" t="n"/>
    </row>
    <row r="681">
      <c r="F681" s="7" t="n"/>
      <c r="G681" s="7" t="n"/>
      <c r="H681" s="7" t="n"/>
      <c r="I681" s="7" t="n"/>
      <c r="J681" s="7" t="n"/>
      <c r="K681" s="7" t="n"/>
      <c r="L681" s="7" t="n"/>
    </row>
    <row r="682">
      <c r="F682" s="7" t="n"/>
      <c r="G682" s="7" t="n"/>
      <c r="H682" s="7" t="n"/>
      <c r="I682" s="7" t="n"/>
      <c r="J682" s="7" t="n"/>
      <c r="K682" s="7" t="n"/>
      <c r="L682" s="7" t="n"/>
    </row>
    <row r="683">
      <c r="F683" s="7" t="n"/>
      <c r="G683" s="7" t="n"/>
      <c r="H683" s="7" t="n"/>
      <c r="I683" s="7" t="n"/>
      <c r="J683" s="7" t="n"/>
      <c r="K683" s="7" t="n"/>
      <c r="L683" s="7" t="n"/>
    </row>
    <row r="684">
      <c r="F684" s="7" t="n"/>
      <c r="G684" s="7" t="n"/>
      <c r="H684" s="7" t="n"/>
      <c r="I684" s="7" t="n"/>
      <c r="J684" s="7" t="n"/>
      <c r="K684" s="7" t="n"/>
      <c r="L684" s="7" t="n"/>
    </row>
    <row r="685">
      <c r="F685" s="7" t="n"/>
      <c r="G685" s="7" t="n"/>
      <c r="H685" s="7" t="n"/>
      <c r="I685" s="7" t="n"/>
      <c r="J685" s="7" t="n"/>
      <c r="K685" s="7" t="n"/>
      <c r="L685" s="7" t="n"/>
    </row>
    <row r="686">
      <c r="F686" s="7" t="n"/>
      <c r="G686" s="7" t="n"/>
      <c r="H686" s="7" t="n"/>
      <c r="I686" s="7" t="n"/>
      <c r="J686" s="7" t="n"/>
      <c r="K686" s="7" t="n"/>
      <c r="L686" s="7" t="n"/>
    </row>
    <row r="687">
      <c r="F687" s="7" t="n"/>
      <c r="G687" s="7" t="n"/>
      <c r="H687" s="7" t="n"/>
      <c r="I687" s="7" t="n"/>
      <c r="J687" s="7" t="n"/>
      <c r="K687" s="7" t="n"/>
      <c r="L687" s="7" t="n"/>
    </row>
    <row r="688">
      <c r="F688" s="7" t="n"/>
      <c r="G688" s="7" t="n"/>
      <c r="H688" s="7" t="n"/>
      <c r="I688" s="7" t="n"/>
      <c r="J688" s="7" t="n"/>
      <c r="K688" s="7" t="n"/>
      <c r="L688" s="7" t="n"/>
    </row>
    <row r="689">
      <c r="F689" s="7" t="n"/>
      <c r="G689" s="7" t="n"/>
      <c r="H689" s="7" t="n"/>
      <c r="I689" s="7" t="n"/>
      <c r="J689" s="7" t="n"/>
      <c r="K689" s="7" t="n"/>
      <c r="L689" s="7" t="n"/>
    </row>
    <row r="690">
      <c r="F690" s="7" t="n"/>
      <c r="G690" s="7" t="n"/>
      <c r="H690" s="7" t="n"/>
      <c r="I690" s="7" t="n"/>
      <c r="J690" s="7" t="n"/>
      <c r="K690" s="7" t="n"/>
      <c r="L690" s="7" t="n"/>
    </row>
    <row r="691">
      <c r="F691" s="7" t="n"/>
      <c r="G691" s="7" t="n"/>
      <c r="H691" s="7" t="n"/>
      <c r="I691" s="7" t="n"/>
      <c r="J691" s="7" t="n"/>
      <c r="K691" s="7" t="n"/>
      <c r="L691" s="7" t="n"/>
    </row>
    <row r="692">
      <c r="F692" s="7" t="n"/>
      <c r="G692" s="7" t="n"/>
      <c r="H692" s="7" t="n"/>
      <c r="I692" s="7" t="n"/>
      <c r="J692" s="7" t="n"/>
      <c r="K692" s="7" t="n"/>
      <c r="L692" s="7" t="n"/>
    </row>
    <row r="693">
      <c r="F693" s="7" t="n"/>
      <c r="G693" s="7" t="n"/>
      <c r="H693" s="7" t="n"/>
      <c r="I693" s="7" t="n"/>
      <c r="J693" s="7" t="n"/>
      <c r="K693" s="7" t="n"/>
      <c r="L693" s="7" t="n"/>
    </row>
    <row r="694">
      <c r="F694" s="7" t="n"/>
      <c r="G694" s="7" t="n"/>
      <c r="H694" s="7" t="n"/>
      <c r="I694" s="7" t="n"/>
      <c r="J694" s="7" t="n"/>
      <c r="K694" s="7" t="n"/>
      <c r="L694" s="7" t="n"/>
    </row>
    <row r="695">
      <c r="F695" s="7" t="n"/>
      <c r="G695" s="7" t="n"/>
      <c r="H695" s="7" t="n"/>
      <c r="I695" s="7" t="n"/>
      <c r="J695" s="7" t="n"/>
      <c r="K695" s="7" t="n"/>
      <c r="L695" s="7" t="n"/>
    </row>
    <row r="696">
      <c r="F696" s="7" t="n"/>
      <c r="G696" s="7" t="n"/>
      <c r="H696" s="7" t="n"/>
      <c r="I696" s="7" t="n"/>
      <c r="J696" s="7" t="n"/>
      <c r="K696" s="7" t="n"/>
      <c r="L696" s="7" t="n"/>
    </row>
    <row r="697">
      <c r="F697" s="7" t="n"/>
      <c r="G697" s="7" t="n"/>
      <c r="H697" s="7" t="n"/>
      <c r="I697" s="7" t="n"/>
      <c r="J697" s="7" t="n"/>
      <c r="K697" s="7" t="n"/>
      <c r="L697" s="7" t="n"/>
    </row>
    <row r="698">
      <c r="F698" s="7" t="n"/>
      <c r="G698" s="7" t="n"/>
      <c r="H698" s="7" t="n"/>
      <c r="I698" s="7" t="n"/>
      <c r="J698" s="7" t="n"/>
      <c r="K698" s="7" t="n"/>
      <c r="L698" s="7" t="n"/>
    </row>
    <row r="699">
      <c r="F699" s="7" t="n"/>
      <c r="G699" s="7" t="n"/>
      <c r="H699" s="7" t="n"/>
      <c r="I699" s="7" t="n"/>
      <c r="J699" s="7" t="n"/>
      <c r="K699" s="7" t="n"/>
      <c r="L699" s="7" t="n"/>
    </row>
    <row r="700">
      <c r="F700" s="7" t="n"/>
      <c r="G700" s="7" t="n"/>
      <c r="H700" s="7" t="n"/>
      <c r="I700" s="7" t="n"/>
      <c r="J700" s="7" t="n"/>
      <c r="K700" s="7" t="n"/>
      <c r="L700" s="7" t="n"/>
    </row>
    <row r="701">
      <c r="F701" s="7" t="n"/>
      <c r="G701" s="7" t="n"/>
      <c r="H701" s="7" t="n"/>
      <c r="I701" s="7" t="n"/>
      <c r="J701" s="7" t="n"/>
      <c r="K701" s="7" t="n"/>
      <c r="L701" s="7" t="n"/>
    </row>
    <row r="702">
      <c r="F702" s="7" t="n"/>
      <c r="G702" s="7" t="n"/>
      <c r="H702" s="7" t="n"/>
      <c r="I702" s="7" t="n"/>
      <c r="J702" s="7" t="n"/>
      <c r="K702" s="7" t="n"/>
      <c r="L702" s="7" t="n"/>
    </row>
    <row r="703">
      <c r="F703" s="7" t="n"/>
      <c r="G703" s="7" t="n"/>
      <c r="H703" s="7" t="n"/>
      <c r="I703" s="7" t="n"/>
      <c r="J703" s="7" t="n"/>
      <c r="K703" s="7" t="n"/>
      <c r="L703" s="7" t="n"/>
    </row>
    <row r="704">
      <c r="F704" s="7" t="n"/>
      <c r="G704" s="7" t="n"/>
      <c r="H704" s="7" t="n"/>
      <c r="I704" s="7" t="n"/>
      <c r="J704" s="7" t="n"/>
      <c r="K704" s="7" t="n"/>
      <c r="L704" s="7" t="n"/>
    </row>
    <row r="705">
      <c r="F705" s="7" t="n"/>
      <c r="G705" s="7" t="n"/>
      <c r="H705" s="7" t="n"/>
      <c r="I705" s="7" t="n"/>
      <c r="J705" s="7" t="n"/>
      <c r="K705" s="7" t="n"/>
      <c r="L705" s="7" t="n"/>
    </row>
    <row r="706">
      <c r="F706" s="7" t="n"/>
      <c r="G706" s="7" t="n"/>
      <c r="H706" s="7" t="n"/>
      <c r="I706" s="7" t="n"/>
      <c r="J706" s="7" t="n"/>
      <c r="K706" s="7" t="n"/>
      <c r="L706" s="7" t="n"/>
    </row>
    <row r="707">
      <c r="F707" s="7" t="n"/>
      <c r="G707" s="7" t="n"/>
      <c r="H707" s="7" t="n"/>
      <c r="I707" s="7" t="n"/>
      <c r="J707" s="7" t="n"/>
      <c r="K707" s="7" t="n"/>
      <c r="L707" s="7" t="n"/>
    </row>
    <row r="708">
      <c r="F708" s="7" t="n"/>
      <c r="G708" s="7" t="n"/>
      <c r="H708" s="7" t="n"/>
      <c r="I708" s="7" t="n"/>
      <c r="J708" s="7" t="n"/>
      <c r="K708" s="7" t="n"/>
      <c r="L708" s="7" t="n"/>
    </row>
    <row r="709">
      <c r="F709" s="7" t="n"/>
      <c r="G709" s="7" t="n"/>
      <c r="H709" s="7" t="n"/>
      <c r="I709" s="7" t="n"/>
      <c r="J709" s="7" t="n"/>
      <c r="K709" s="7" t="n"/>
      <c r="L709" s="7" t="n"/>
    </row>
    <row r="710">
      <c r="F710" s="7" t="n"/>
      <c r="G710" s="7" t="n"/>
      <c r="H710" s="7" t="n"/>
      <c r="I710" s="7" t="n"/>
      <c r="J710" s="7" t="n"/>
      <c r="K710" s="7" t="n"/>
      <c r="L710" s="7" t="n"/>
    </row>
    <row r="711">
      <c r="F711" s="7" t="n"/>
      <c r="G711" s="7" t="n"/>
      <c r="H711" s="7" t="n"/>
      <c r="I711" s="7" t="n"/>
      <c r="J711" s="7" t="n"/>
      <c r="K711" s="7" t="n"/>
      <c r="L711" s="7" t="n"/>
    </row>
    <row r="712">
      <c r="F712" s="7" t="n"/>
      <c r="G712" s="7" t="n"/>
      <c r="H712" s="7" t="n"/>
      <c r="I712" s="7" t="n"/>
      <c r="J712" s="7" t="n"/>
      <c r="K712" s="7" t="n"/>
      <c r="L712" s="7" t="n"/>
    </row>
    <row r="713">
      <c r="F713" s="7" t="n"/>
      <c r="G713" s="7" t="n"/>
      <c r="H713" s="7" t="n"/>
      <c r="I713" s="7" t="n"/>
      <c r="J713" s="7" t="n"/>
      <c r="K713" s="7" t="n"/>
      <c r="L713" s="7" t="n"/>
    </row>
    <row r="714">
      <c r="F714" s="7" t="n"/>
      <c r="G714" s="7" t="n"/>
      <c r="H714" s="7" t="n"/>
      <c r="I714" s="7" t="n"/>
      <c r="J714" s="7" t="n"/>
      <c r="K714" s="7" t="n"/>
      <c r="L714" s="7" t="n"/>
    </row>
    <row r="715">
      <c r="F715" s="7" t="n"/>
      <c r="G715" s="7" t="n"/>
      <c r="H715" s="7" t="n"/>
      <c r="I715" s="7" t="n"/>
      <c r="J715" s="7" t="n"/>
      <c r="K715" s="7" t="n"/>
      <c r="L715" s="7" t="n"/>
    </row>
    <row r="716">
      <c r="F716" s="7" t="n"/>
      <c r="G716" s="7" t="n"/>
      <c r="H716" s="7" t="n"/>
      <c r="I716" s="7" t="n"/>
      <c r="J716" s="7" t="n"/>
      <c r="K716" s="7" t="n"/>
      <c r="L716" s="7" t="n"/>
    </row>
    <row r="717">
      <c r="F717" s="7" t="n"/>
      <c r="G717" s="7" t="n"/>
      <c r="H717" s="7" t="n"/>
      <c r="I717" s="7" t="n"/>
      <c r="J717" s="7" t="n"/>
      <c r="K717" s="7" t="n"/>
      <c r="L717" s="7" t="n"/>
    </row>
    <row r="718">
      <c r="F718" s="7" t="n"/>
      <c r="G718" s="7" t="n"/>
      <c r="H718" s="7" t="n"/>
      <c r="I718" s="7" t="n"/>
      <c r="J718" s="7" t="n"/>
      <c r="K718" s="7" t="n"/>
      <c r="L718" s="7" t="n"/>
    </row>
    <row r="719">
      <c r="F719" s="7" t="n"/>
      <c r="G719" s="7" t="n"/>
      <c r="H719" s="7" t="n"/>
      <c r="I719" s="7" t="n"/>
      <c r="J719" s="7" t="n"/>
      <c r="K719" s="7" t="n"/>
      <c r="L719" s="7" t="n"/>
    </row>
    <row r="720">
      <c r="F720" s="7" t="n"/>
      <c r="G720" s="7" t="n"/>
      <c r="H720" s="7" t="n"/>
      <c r="I720" s="7" t="n"/>
      <c r="J720" s="7" t="n"/>
      <c r="K720" s="7" t="n"/>
      <c r="L720" s="7" t="n"/>
    </row>
    <row r="721">
      <c r="F721" s="7" t="n"/>
      <c r="G721" s="7" t="n"/>
      <c r="H721" s="7" t="n"/>
      <c r="I721" s="7" t="n"/>
      <c r="J721" s="7" t="n"/>
      <c r="K721" s="7" t="n"/>
      <c r="L721" s="7" t="n"/>
    </row>
    <row r="722">
      <c r="F722" s="7" t="n"/>
      <c r="G722" s="7" t="n"/>
      <c r="H722" s="7" t="n"/>
      <c r="I722" s="7" t="n"/>
      <c r="J722" s="7" t="n"/>
      <c r="K722" s="7" t="n"/>
      <c r="L722" s="7" t="n"/>
    </row>
    <row r="723">
      <c r="F723" s="7" t="n"/>
      <c r="G723" s="7" t="n"/>
      <c r="H723" s="7" t="n"/>
      <c r="I723" s="7" t="n"/>
      <c r="J723" s="7" t="n"/>
      <c r="K723" s="7" t="n"/>
      <c r="L723" s="7" t="n"/>
    </row>
    <row r="724">
      <c r="F724" s="7" t="n"/>
      <c r="G724" s="7" t="n"/>
      <c r="H724" s="7" t="n"/>
      <c r="I724" s="7" t="n"/>
      <c r="J724" s="7" t="n"/>
      <c r="K724" s="7" t="n"/>
      <c r="L724" s="7" t="n"/>
    </row>
    <row r="725">
      <c r="F725" s="7" t="n"/>
      <c r="G725" s="7" t="n"/>
      <c r="H725" s="7" t="n"/>
      <c r="I725" s="7" t="n"/>
      <c r="J725" s="7" t="n"/>
      <c r="K725" s="7" t="n"/>
      <c r="L725" s="7" t="n"/>
    </row>
    <row r="726">
      <c r="F726" s="7" t="n"/>
      <c r="G726" s="7" t="n"/>
      <c r="H726" s="7" t="n"/>
      <c r="I726" s="7" t="n"/>
      <c r="J726" s="7" t="n"/>
      <c r="K726" s="7" t="n"/>
      <c r="L726" s="7" t="n"/>
    </row>
    <row r="727">
      <c r="F727" s="7" t="n"/>
      <c r="G727" s="7" t="n"/>
      <c r="H727" s="7" t="n"/>
      <c r="I727" s="7" t="n"/>
      <c r="J727" s="7" t="n"/>
      <c r="K727" s="7" t="n"/>
      <c r="L727" s="7" t="n"/>
    </row>
    <row r="728">
      <c r="F728" s="7" t="n"/>
      <c r="G728" s="7" t="n"/>
      <c r="H728" s="7" t="n"/>
      <c r="I728" s="7" t="n"/>
      <c r="J728" s="7" t="n"/>
      <c r="K728" s="7" t="n"/>
      <c r="L728" s="7" t="n"/>
    </row>
    <row r="729">
      <c r="F729" s="7" t="n"/>
      <c r="G729" s="7" t="n"/>
      <c r="H729" s="7" t="n"/>
      <c r="I729" s="7" t="n"/>
      <c r="J729" s="7" t="n"/>
      <c r="K729" s="7" t="n"/>
      <c r="L729" s="7" t="n"/>
    </row>
    <row r="730">
      <c r="F730" s="7" t="n"/>
      <c r="G730" s="7" t="n"/>
      <c r="H730" s="7" t="n"/>
      <c r="I730" s="7" t="n"/>
      <c r="J730" s="7" t="n"/>
      <c r="K730" s="7" t="n"/>
      <c r="L730" s="7" t="n"/>
    </row>
    <row r="731">
      <c r="F731" s="7" t="n"/>
      <c r="G731" s="7" t="n"/>
      <c r="H731" s="7" t="n"/>
      <c r="I731" s="7" t="n"/>
      <c r="J731" s="7" t="n"/>
      <c r="K731" s="7" t="n"/>
      <c r="L731" s="7" t="n"/>
    </row>
    <row r="732">
      <c r="F732" s="7" t="n"/>
      <c r="G732" s="7" t="n"/>
      <c r="H732" s="7" t="n"/>
      <c r="I732" s="7" t="n"/>
      <c r="J732" s="7" t="n"/>
      <c r="K732" s="7" t="n"/>
      <c r="L732" s="7" t="n"/>
    </row>
    <row r="733">
      <c r="F733" s="7" t="n"/>
      <c r="G733" s="7" t="n"/>
      <c r="H733" s="7" t="n"/>
      <c r="I733" s="7" t="n"/>
      <c r="J733" s="7" t="n"/>
      <c r="K733" s="7" t="n"/>
      <c r="L733" s="7" t="n"/>
    </row>
    <row r="734">
      <c r="F734" s="7" t="n"/>
      <c r="G734" s="7" t="n"/>
      <c r="H734" s="7" t="n"/>
      <c r="I734" s="7" t="n"/>
      <c r="J734" s="7" t="n"/>
      <c r="K734" s="7" t="n"/>
      <c r="L734" s="7" t="n"/>
    </row>
    <row r="735">
      <c r="F735" s="7" t="n"/>
      <c r="G735" s="7" t="n"/>
      <c r="H735" s="7" t="n"/>
      <c r="I735" s="7" t="n"/>
      <c r="J735" s="7" t="n"/>
      <c r="K735" s="7" t="n"/>
      <c r="L735" s="7" t="n"/>
    </row>
    <row r="736">
      <c r="F736" s="7" t="n"/>
      <c r="G736" s="7" t="n"/>
      <c r="H736" s="7" t="n"/>
      <c r="I736" s="7" t="n"/>
      <c r="J736" s="7" t="n"/>
      <c r="K736" s="7" t="n"/>
      <c r="L736" s="7" t="n"/>
    </row>
    <row r="737">
      <c r="F737" s="7" t="n"/>
      <c r="G737" s="7" t="n"/>
      <c r="H737" s="7" t="n"/>
      <c r="I737" s="7" t="n"/>
      <c r="J737" s="7" t="n"/>
      <c r="K737" s="7" t="n"/>
      <c r="L737" s="7" t="n"/>
    </row>
    <row r="738">
      <c r="F738" s="7" t="n"/>
      <c r="G738" s="7" t="n"/>
      <c r="H738" s="7" t="n"/>
      <c r="I738" s="7" t="n"/>
      <c r="J738" s="7" t="n"/>
      <c r="K738" s="7" t="n"/>
      <c r="L738" s="7" t="n"/>
    </row>
    <row r="739">
      <c r="F739" s="7" t="n"/>
      <c r="G739" s="7" t="n"/>
      <c r="H739" s="7" t="n"/>
      <c r="I739" s="7" t="n"/>
      <c r="J739" s="7" t="n"/>
      <c r="K739" s="7" t="n"/>
      <c r="L739" s="7" t="n"/>
    </row>
    <row r="740">
      <c r="F740" s="7" t="n"/>
      <c r="G740" s="7" t="n"/>
      <c r="H740" s="7" t="n"/>
      <c r="I740" s="7" t="n"/>
      <c r="J740" s="7" t="n"/>
      <c r="K740" s="7" t="n"/>
      <c r="L740" s="7" t="n"/>
    </row>
    <row r="741">
      <c r="F741" s="7" t="n"/>
      <c r="G741" s="7" t="n"/>
      <c r="H741" s="7" t="n"/>
      <c r="I741" s="7" t="n"/>
      <c r="J741" s="7" t="n"/>
      <c r="K741" s="7" t="n"/>
      <c r="L741" s="7" t="n"/>
    </row>
    <row r="742">
      <c r="F742" s="7" t="n"/>
      <c r="G742" s="7" t="n"/>
      <c r="H742" s="7" t="n"/>
      <c r="I742" s="7" t="n"/>
      <c r="J742" s="7" t="n"/>
      <c r="K742" s="7" t="n"/>
      <c r="L742" s="7" t="n"/>
    </row>
    <row r="743">
      <c r="F743" s="7" t="n"/>
      <c r="G743" s="7" t="n"/>
      <c r="H743" s="7" t="n"/>
      <c r="I743" s="7" t="n"/>
      <c r="J743" s="7" t="n"/>
      <c r="K743" s="7" t="n"/>
      <c r="L743" s="7" t="n"/>
    </row>
    <row r="744">
      <c r="F744" s="7" t="n"/>
      <c r="G744" s="7" t="n"/>
      <c r="H744" s="7" t="n"/>
      <c r="I744" s="7" t="n"/>
      <c r="J744" s="7" t="n"/>
      <c r="K744" s="7" t="n"/>
      <c r="L744" s="7" t="n"/>
    </row>
    <row r="745">
      <c r="F745" s="7" t="n"/>
      <c r="G745" s="7" t="n"/>
      <c r="H745" s="7" t="n"/>
      <c r="I745" s="7" t="n"/>
      <c r="J745" s="7" t="n"/>
      <c r="K745" s="7" t="n"/>
      <c r="L745" s="7" t="n"/>
    </row>
    <row r="746">
      <c r="F746" s="7" t="n"/>
      <c r="G746" s="7" t="n"/>
      <c r="H746" s="7" t="n"/>
      <c r="I746" s="7" t="n"/>
      <c r="J746" s="7" t="n"/>
      <c r="K746" s="7" t="n"/>
      <c r="L746" s="7" t="n"/>
    </row>
    <row r="747">
      <c r="F747" s="7" t="n"/>
      <c r="G747" s="7" t="n"/>
      <c r="H747" s="7" t="n"/>
      <c r="I747" s="7" t="n"/>
      <c r="J747" s="7" t="n"/>
      <c r="K747" s="7" t="n"/>
      <c r="L747" s="7" t="n"/>
    </row>
    <row r="748">
      <c r="F748" s="7" t="n"/>
      <c r="G748" s="7" t="n"/>
      <c r="H748" s="7" t="n"/>
      <c r="I748" s="7" t="n"/>
      <c r="J748" s="7" t="n"/>
      <c r="K748" s="7" t="n"/>
      <c r="L748" s="7" t="n"/>
    </row>
    <row r="749">
      <c r="F749" s="7" t="n"/>
      <c r="G749" s="7" t="n"/>
      <c r="H749" s="7" t="n"/>
      <c r="I749" s="7" t="n"/>
      <c r="J749" s="7" t="n"/>
      <c r="K749" s="7" t="n"/>
      <c r="L749" s="7" t="n"/>
    </row>
    <row r="750">
      <c r="F750" s="7" t="n"/>
      <c r="G750" s="7" t="n"/>
      <c r="H750" s="7" t="n"/>
      <c r="I750" s="7" t="n"/>
      <c r="J750" s="7" t="n"/>
      <c r="K750" s="7" t="n"/>
      <c r="L750" s="7" t="n"/>
    </row>
    <row r="751">
      <c r="F751" s="7" t="n"/>
      <c r="G751" s="7" t="n"/>
      <c r="H751" s="7" t="n"/>
      <c r="I751" s="7" t="n"/>
      <c r="J751" s="7" t="n"/>
      <c r="K751" s="7" t="n"/>
      <c r="L751" s="7" t="n"/>
    </row>
    <row r="752">
      <c r="F752" s="7" t="n"/>
      <c r="G752" s="7" t="n"/>
      <c r="H752" s="7" t="n"/>
      <c r="I752" s="7" t="n"/>
      <c r="J752" s="7" t="n"/>
      <c r="K752" s="7" t="n"/>
      <c r="L752" s="7" t="n"/>
    </row>
    <row r="753">
      <c r="F753" s="7" t="n"/>
      <c r="G753" s="7" t="n"/>
      <c r="H753" s="7" t="n"/>
      <c r="I753" s="7" t="n"/>
      <c r="J753" s="7" t="n"/>
      <c r="K753" s="7" t="n"/>
      <c r="L753" s="7" t="n"/>
    </row>
    <row r="754">
      <c r="F754" s="7" t="n"/>
      <c r="G754" s="7" t="n"/>
      <c r="H754" s="7" t="n"/>
      <c r="I754" s="7" t="n"/>
      <c r="J754" s="7" t="n"/>
      <c r="K754" s="7" t="n"/>
      <c r="L754" s="7" t="n"/>
    </row>
    <row r="755">
      <c r="F755" s="7" t="n"/>
      <c r="G755" s="7" t="n"/>
      <c r="H755" s="7" t="n"/>
      <c r="I755" s="7" t="n"/>
      <c r="J755" s="7" t="n"/>
      <c r="K755" s="7" t="n"/>
      <c r="L755" s="7" t="n"/>
    </row>
    <row r="756">
      <c r="F756" s="7" t="n"/>
      <c r="G756" s="7" t="n"/>
      <c r="H756" s="7" t="n"/>
      <c r="I756" s="7" t="n"/>
      <c r="J756" s="7" t="n"/>
      <c r="K756" s="7" t="n"/>
      <c r="L756" s="7" t="n"/>
    </row>
    <row r="757">
      <c r="F757" s="7" t="n"/>
      <c r="G757" s="7" t="n"/>
      <c r="H757" s="7" t="n"/>
      <c r="I757" s="7" t="n"/>
      <c r="J757" s="7" t="n"/>
      <c r="K757" s="7" t="n"/>
      <c r="L757" s="7" t="n"/>
    </row>
    <row r="758">
      <c r="F758" s="7" t="n"/>
      <c r="G758" s="7" t="n"/>
      <c r="H758" s="7" t="n"/>
      <c r="I758" s="7" t="n"/>
      <c r="J758" s="7" t="n"/>
      <c r="K758" s="7" t="n"/>
      <c r="L758" s="7" t="n"/>
    </row>
    <row r="759">
      <c r="F759" s="7" t="n"/>
      <c r="G759" s="7" t="n"/>
      <c r="H759" s="7" t="n"/>
      <c r="I759" s="7" t="n"/>
      <c r="J759" s="7" t="n"/>
      <c r="K759" s="7" t="n"/>
      <c r="L759" s="7" t="n"/>
    </row>
    <row r="760">
      <c r="F760" s="7" t="n"/>
      <c r="G760" s="7" t="n"/>
      <c r="H760" s="7" t="n"/>
      <c r="I760" s="7" t="n"/>
      <c r="J760" s="7" t="n"/>
      <c r="K760" s="7" t="n"/>
      <c r="L760" s="7" t="n"/>
    </row>
    <row r="761">
      <c r="F761" s="7" t="n"/>
      <c r="G761" s="7" t="n"/>
      <c r="H761" s="7" t="n"/>
      <c r="I761" s="7" t="n"/>
      <c r="J761" s="7" t="n"/>
      <c r="K761" s="7" t="n"/>
      <c r="L761" s="7" t="n"/>
    </row>
    <row r="762">
      <c r="F762" s="7" t="n"/>
      <c r="G762" s="7" t="n"/>
      <c r="H762" s="7" t="n"/>
      <c r="I762" s="7" t="n"/>
      <c r="J762" s="7" t="n"/>
      <c r="K762" s="7" t="n"/>
      <c r="L762" s="7" t="n"/>
    </row>
    <row r="763">
      <c r="F763" s="7" t="n"/>
      <c r="G763" s="7" t="n"/>
      <c r="H763" s="7" t="n"/>
      <c r="I763" s="7" t="n"/>
      <c r="J763" s="7" t="n"/>
      <c r="K763" s="7" t="n"/>
      <c r="L763" s="7" t="n"/>
    </row>
    <row r="764">
      <c r="F764" s="7" t="n"/>
      <c r="G764" s="7" t="n"/>
      <c r="H764" s="7" t="n"/>
      <c r="I764" s="7" t="n"/>
      <c r="J764" s="7" t="n"/>
      <c r="K764" s="7" t="n"/>
      <c r="L764" s="7" t="n"/>
    </row>
    <row r="765">
      <c r="F765" s="7" t="n"/>
      <c r="G765" s="7" t="n"/>
      <c r="H765" s="7" t="n"/>
      <c r="I765" s="7" t="n"/>
      <c r="J765" s="7" t="n"/>
      <c r="K765" s="7" t="n"/>
      <c r="L765" s="7" t="n"/>
    </row>
    <row r="766">
      <c r="F766" s="7" t="n"/>
      <c r="G766" s="7" t="n"/>
      <c r="H766" s="7" t="n"/>
      <c r="I766" s="7" t="n"/>
      <c r="J766" s="7" t="n"/>
      <c r="K766" s="7" t="n"/>
      <c r="L766" s="7" t="n"/>
    </row>
    <row r="767">
      <c r="F767" s="7" t="n"/>
      <c r="G767" s="7" t="n"/>
      <c r="H767" s="7" t="n"/>
      <c r="I767" s="7" t="n"/>
      <c r="J767" s="7" t="n"/>
      <c r="K767" s="7" t="n"/>
      <c r="L767" s="7" t="n"/>
    </row>
    <row r="768">
      <c r="F768" s="7" t="n"/>
      <c r="G768" s="7" t="n"/>
      <c r="H768" s="7" t="n"/>
      <c r="I768" s="7" t="n"/>
      <c r="J768" s="7" t="n"/>
      <c r="K768" s="7" t="n"/>
      <c r="L768" s="7" t="n"/>
    </row>
    <row r="769">
      <c r="F769" s="7" t="n"/>
      <c r="G769" s="7" t="n"/>
      <c r="H769" s="7" t="n"/>
      <c r="I769" s="7" t="n"/>
      <c r="J769" s="7" t="n"/>
      <c r="K769" s="7" t="n"/>
      <c r="L769" s="7" t="n"/>
    </row>
    <row r="770">
      <c r="F770" s="7" t="n"/>
      <c r="G770" s="7" t="n"/>
      <c r="H770" s="7" t="n"/>
      <c r="I770" s="7" t="n"/>
      <c r="J770" s="7" t="n"/>
      <c r="K770" s="7" t="n"/>
      <c r="L770" s="7" t="n"/>
    </row>
    <row r="771">
      <c r="F771" s="7" t="n"/>
      <c r="G771" s="7" t="n"/>
      <c r="H771" s="7" t="n"/>
      <c r="I771" s="7" t="n"/>
      <c r="J771" s="7" t="n"/>
      <c r="K771" s="7" t="n"/>
      <c r="L771" s="7" t="n"/>
    </row>
    <row r="772">
      <c r="F772" s="7" t="n"/>
      <c r="G772" s="7" t="n"/>
      <c r="H772" s="7" t="n"/>
      <c r="I772" s="7" t="n"/>
      <c r="J772" s="7" t="n"/>
      <c r="K772" s="7" t="n"/>
      <c r="L772" s="7" t="n"/>
    </row>
    <row r="773">
      <c r="F773" s="7" t="n"/>
      <c r="G773" s="7" t="n"/>
      <c r="H773" s="7" t="n"/>
      <c r="I773" s="7" t="n"/>
      <c r="J773" s="7" t="n"/>
      <c r="K773" s="7" t="n"/>
      <c r="L773" s="7" t="n"/>
    </row>
    <row r="774">
      <c r="F774" s="7" t="n"/>
      <c r="G774" s="7" t="n"/>
      <c r="H774" s="7" t="n"/>
      <c r="I774" s="7" t="n"/>
      <c r="J774" s="7" t="n"/>
      <c r="K774" s="7" t="n"/>
      <c r="L774" s="7" t="n"/>
    </row>
    <row r="775">
      <c r="F775" s="7" t="n"/>
      <c r="G775" s="7" t="n"/>
      <c r="H775" s="7" t="n"/>
      <c r="I775" s="7" t="n"/>
      <c r="J775" s="7" t="n"/>
      <c r="K775" s="7" t="n"/>
      <c r="L775" s="7" t="n"/>
    </row>
    <row r="776">
      <c r="F776" s="7" t="n"/>
      <c r="G776" s="7" t="n"/>
      <c r="H776" s="7" t="n"/>
      <c r="I776" s="7" t="n"/>
      <c r="J776" s="7" t="n"/>
      <c r="K776" s="7" t="n"/>
      <c r="L776" s="7" t="n"/>
    </row>
    <row r="777">
      <c r="F777" s="7" t="n"/>
      <c r="G777" s="7" t="n"/>
      <c r="H777" s="7" t="n"/>
      <c r="I777" s="7" t="n"/>
      <c r="J777" s="7" t="n"/>
      <c r="K777" s="7" t="n"/>
      <c r="L777" s="7" t="n"/>
    </row>
    <row r="778">
      <c r="F778" s="7" t="n"/>
      <c r="G778" s="7" t="n"/>
      <c r="H778" s="7" t="n"/>
      <c r="I778" s="7" t="n"/>
      <c r="J778" s="7" t="n"/>
      <c r="K778" s="7" t="n"/>
      <c r="L778" s="7" t="n"/>
    </row>
    <row r="779">
      <c r="F779" s="7" t="n"/>
      <c r="G779" s="7" t="n"/>
      <c r="H779" s="7" t="n"/>
      <c r="I779" s="7" t="n"/>
      <c r="J779" s="7" t="n"/>
      <c r="K779" s="7" t="n"/>
      <c r="L779" s="7" t="n"/>
    </row>
    <row r="780">
      <c r="F780" s="7" t="n"/>
      <c r="G780" s="7" t="n"/>
      <c r="H780" s="7" t="n"/>
      <c r="I780" s="7" t="n"/>
      <c r="J780" s="7" t="n"/>
      <c r="K780" s="7" t="n"/>
      <c r="L780" s="7" t="n"/>
    </row>
    <row r="781">
      <c r="F781" s="7" t="n"/>
      <c r="G781" s="7" t="n"/>
      <c r="H781" s="7" t="n"/>
      <c r="I781" s="7" t="n"/>
      <c r="J781" s="7" t="n"/>
      <c r="K781" s="7" t="n"/>
      <c r="L781" s="7" t="n"/>
    </row>
    <row r="782">
      <c r="F782" s="7" t="n"/>
      <c r="G782" s="7" t="n"/>
      <c r="H782" s="7" t="n"/>
      <c r="I782" s="7" t="n"/>
      <c r="J782" s="7" t="n"/>
      <c r="K782" s="7" t="n"/>
      <c r="L782" s="7" t="n"/>
    </row>
    <row r="783">
      <c r="F783" s="7" t="n"/>
      <c r="G783" s="7" t="n"/>
      <c r="H783" s="7" t="n"/>
      <c r="I783" s="7" t="n"/>
      <c r="J783" s="7" t="n"/>
      <c r="K783" s="7" t="n"/>
      <c r="L783" s="7" t="n"/>
    </row>
    <row r="784">
      <c r="F784" s="7" t="n"/>
      <c r="G784" s="7" t="n"/>
      <c r="H784" s="7" t="n"/>
      <c r="I784" s="7" t="n"/>
      <c r="J784" s="7" t="n"/>
      <c r="K784" s="7" t="n"/>
      <c r="L784" s="7" t="n"/>
    </row>
    <row r="785">
      <c r="F785" s="7" t="n"/>
      <c r="G785" s="7" t="n"/>
      <c r="H785" s="7" t="n"/>
      <c r="I785" s="7" t="n"/>
      <c r="J785" s="7" t="n"/>
      <c r="K785" s="7" t="n"/>
      <c r="L785" s="7" t="n"/>
    </row>
    <row r="786">
      <c r="F786" s="7" t="n"/>
      <c r="G786" s="7" t="n"/>
      <c r="H786" s="7" t="n"/>
      <c r="I786" s="7" t="n"/>
      <c r="J786" s="7" t="n"/>
      <c r="K786" s="7" t="n"/>
      <c r="L786" s="7" t="n"/>
    </row>
    <row r="787">
      <c r="F787" s="7" t="n"/>
      <c r="G787" s="7" t="n"/>
      <c r="H787" s="7" t="n"/>
      <c r="I787" s="7" t="n"/>
      <c r="J787" s="7" t="n"/>
      <c r="K787" s="7" t="n"/>
      <c r="L787" s="7" t="n"/>
    </row>
    <row r="788">
      <c r="F788" s="7" t="n"/>
      <c r="G788" s="7" t="n"/>
      <c r="H788" s="7" t="n"/>
      <c r="I788" s="7" t="n"/>
      <c r="J788" s="7" t="n"/>
      <c r="K788" s="7" t="n"/>
      <c r="L788" s="7" t="n"/>
    </row>
    <row r="789">
      <c r="F789" s="7" t="n"/>
      <c r="G789" s="7" t="n"/>
      <c r="H789" s="7" t="n"/>
      <c r="I789" s="7" t="n"/>
      <c r="J789" s="7" t="n"/>
      <c r="K789" s="7" t="n"/>
      <c r="L789" s="7" t="n"/>
    </row>
    <row r="790">
      <c r="F790" s="7" t="n"/>
      <c r="G790" s="7" t="n"/>
      <c r="H790" s="7" t="n"/>
      <c r="I790" s="7" t="n"/>
      <c r="J790" s="7" t="n"/>
      <c r="K790" s="7" t="n"/>
      <c r="L790" s="7" t="n"/>
    </row>
    <row r="791">
      <c r="F791" s="7" t="n"/>
      <c r="G791" s="7" t="n"/>
      <c r="H791" s="7" t="n"/>
      <c r="I791" s="7" t="n"/>
      <c r="J791" s="7" t="n"/>
      <c r="K791" s="7" t="n"/>
      <c r="L791" s="7" t="n"/>
    </row>
    <row r="792">
      <c r="F792" s="7" t="n"/>
      <c r="G792" s="7" t="n"/>
      <c r="H792" s="7" t="n"/>
      <c r="I792" s="7" t="n"/>
      <c r="J792" s="7" t="n"/>
      <c r="K792" s="7" t="n"/>
      <c r="L792" s="7" t="n"/>
    </row>
    <row r="793">
      <c r="F793" s="7" t="n"/>
      <c r="G793" s="7" t="n"/>
      <c r="H793" s="7" t="n"/>
      <c r="I793" s="7" t="n"/>
      <c r="J793" s="7" t="n"/>
      <c r="K793" s="7" t="n"/>
      <c r="L793" s="7" t="n"/>
    </row>
    <row r="794">
      <c r="F794" s="7" t="n"/>
      <c r="G794" s="7" t="n"/>
      <c r="H794" s="7" t="n"/>
      <c r="I794" s="7" t="n"/>
      <c r="J794" s="7" t="n"/>
      <c r="K794" s="7" t="n"/>
      <c r="L794" s="7" t="n"/>
    </row>
    <row r="795">
      <c r="F795" s="7" t="n"/>
      <c r="G795" s="7" t="n"/>
      <c r="H795" s="7" t="n"/>
      <c r="I795" s="7" t="n"/>
      <c r="J795" s="7" t="n"/>
      <c r="K795" s="7" t="n"/>
      <c r="L795" s="7" t="n"/>
    </row>
    <row r="796">
      <c r="F796" s="7" t="n"/>
      <c r="G796" s="7" t="n"/>
      <c r="H796" s="7" t="n"/>
      <c r="I796" s="7" t="n"/>
      <c r="J796" s="7" t="n"/>
      <c r="K796" s="7" t="n"/>
      <c r="L796" s="7" t="n"/>
    </row>
    <row r="797">
      <c r="F797" s="7" t="n"/>
      <c r="G797" s="7" t="n"/>
      <c r="H797" s="7" t="n"/>
      <c r="I797" s="7" t="n"/>
      <c r="J797" s="7" t="n"/>
      <c r="K797" s="7" t="n"/>
      <c r="L797" s="7" t="n"/>
    </row>
    <row r="798">
      <c r="F798" s="7" t="n"/>
      <c r="G798" s="7" t="n"/>
      <c r="H798" s="7" t="n"/>
      <c r="I798" s="7" t="n"/>
      <c r="J798" s="7" t="n"/>
      <c r="K798" s="7" t="n"/>
      <c r="L798" s="7" t="n"/>
    </row>
    <row r="799">
      <c r="F799" s="7" t="n"/>
      <c r="G799" s="7" t="n"/>
      <c r="H799" s="7" t="n"/>
      <c r="I799" s="7" t="n"/>
      <c r="J799" s="7" t="n"/>
      <c r="K799" s="7" t="n"/>
      <c r="L799" s="7" t="n"/>
    </row>
    <row r="800">
      <c r="F800" s="7" t="n"/>
      <c r="G800" s="7" t="n"/>
      <c r="H800" s="7" t="n"/>
      <c r="I800" s="7" t="n"/>
      <c r="J800" s="7" t="n"/>
      <c r="K800" s="7" t="n"/>
      <c r="L800" s="7" t="n"/>
    </row>
    <row r="801">
      <c r="F801" s="7" t="n"/>
      <c r="G801" s="7" t="n"/>
      <c r="H801" s="7" t="n"/>
      <c r="I801" s="7" t="n"/>
      <c r="J801" s="7" t="n"/>
      <c r="K801" s="7" t="n"/>
      <c r="L801" s="7" t="n"/>
    </row>
    <row r="802">
      <c r="F802" s="7" t="n"/>
      <c r="G802" s="7" t="n"/>
      <c r="H802" s="7" t="n"/>
      <c r="I802" s="7" t="n"/>
      <c r="J802" s="7" t="n"/>
      <c r="K802" s="7" t="n"/>
      <c r="L802" s="7" t="n"/>
    </row>
    <row r="803">
      <c r="F803" s="7" t="n"/>
      <c r="G803" s="7" t="n"/>
      <c r="H803" s="7" t="n"/>
      <c r="I803" s="7" t="n"/>
      <c r="J803" s="7" t="n"/>
      <c r="K803" s="7" t="n"/>
      <c r="L803" s="7" t="n"/>
    </row>
    <row r="804">
      <c r="F804" s="7" t="n"/>
      <c r="G804" s="7" t="n"/>
      <c r="H804" s="7" t="n"/>
      <c r="I804" s="7" t="n"/>
      <c r="J804" s="7" t="n"/>
      <c r="K804" s="7" t="n"/>
      <c r="L804" s="7" t="n"/>
    </row>
    <row r="805">
      <c r="F805" s="7" t="n"/>
      <c r="G805" s="7" t="n"/>
      <c r="H805" s="7" t="n"/>
      <c r="I805" s="7" t="n"/>
      <c r="J805" s="7" t="n"/>
      <c r="K805" s="7" t="n"/>
      <c r="L805" s="7" t="n"/>
    </row>
    <row r="806">
      <c r="F806" s="7" t="n"/>
      <c r="G806" s="7" t="n"/>
      <c r="H806" s="7" t="n"/>
      <c r="I806" s="7" t="n"/>
      <c r="J806" s="7" t="n"/>
      <c r="K806" s="7" t="n"/>
      <c r="L806" s="7" t="n"/>
    </row>
    <row r="807">
      <c r="F807" s="7" t="n"/>
      <c r="G807" s="7" t="n"/>
      <c r="H807" s="7" t="n"/>
      <c r="I807" s="7" t="n"/>
      <c r="J807" s="7" t="n"/>
      <c r="K807" s="7" t="n"/>
      <c r="L807" s="7" t="n"/>
    </row>
    <row r="808">
      <c r="F808" s="7" t="n"/>
      <c r="G808" s="7" t="n"/>
      <c r="H808" s="7" t="n"/>
      <c r="I808" s="7" t="n"/>
      <c r="J808" s="7" t="n"/>
      <c r="K808" s="7" t="n"/>
      <c r="L808" s="7" t="n"/>
    </row>
    <row r="809">
      <c r="F809" s="7" t="n"/>
      <c r="G809" s="7" t="n"/>
      <c r="H809" s="7" t="n"/>
      <c r="I809" s="7" t="n"/>
      <c r="J809" s="7" t="n"/>
      <c r="K809" s="7" t="n"/>
      <c r="L809" s="7" t="n"/>
    </row>
    <row r="810">
      <c r="F810" s="7" t="n"/>
      <c r="G810" s="7" t="n"/>
      <c r="H810" s="7" t="n"/>
      <c r="I810" s="7" t="n"/>
      <c r="J810" s="7" t="n"/>
      <c r="K810" s="7" t="n"/>
      <c r="L810" s="7" t="n"/>
    </row>
    <row r="811">
      <c r="F811" s="7" t="n"/>
      <c r="G811" s="7" t="n"/>
      <c r="H811" s="7" t="n"/>
      <c r="I811" s="7" t="n"/>
      <c r="J811" s="7" t="n"/>
      <c r="K811" s="7" t="n"/>
      <c r="L811" s="7" t="n"/>
    </row>
    <row r="812">
      <c r="F812" s="7" t="n"/>
      <c r="G812" s="7" t="n"/>
      <c r="H812" s="7" t="n"/>
      <c r="I812" s="7" t="n"/>
      <c r="J812" s="7" t="n"/>
      <c r="K812" s="7" t="n"/>
      <c r="L812" s="7" t="n"/>
    </row>
    <row r="813">
      <c r="F813" s="7" t="n"/>
      <c r="G813" s="7" t="n"/>
      <c r="H813" s="7" t="n"/>
      <c r="I813" s="7" t="n"/>
      <c r="J813" s="7" t="n"/>
      <c r="K813" s="7" t="n"/>
      <c r="L813" s="7" t="n"/>
    </row>
    <row r="814">
      <c r="F814" s="7" t="n"/>
      <c r="G814" s="7" t="n"/>
      <c r="H814" s="7" t="n"/>
      <c r="I814" s="7" t="n"/>
      <c r="J814" s="7" t="n"/>
      <c r="K814" s="7" t="n"/>
      <c r="L814" s="7" t="n"/>
    </row>
    <row r="815">
      <c r="F815" s="7" t="n"/>
      <c r="G815" s="7" t="n"/>
      <c r="H815" s="7" t="n"/>
      <c r="I815" s="7" t="n"/>
      <c r="J815" s="7" t="n"/>
      <c r="K815" s="7" t="n"/>
      <c r="L815" s="7" t="n"/>
    </row>
    <row r="816">
      <c r="F816" s="7" t="n"/>
      <c r="G816" s="7" t="n"/>
      <c r="H816" s="7" t="n"/>
      <c r="I816" s="7" t="n"/>
      <c r="J816" s="7" t="n"/>
      <c r="K816" s="7" t="n"/>
      <c r="L816" s="7" t="n"/>
    </row>
    <row r="817">
      <c r="F817" s="7" t="n"/>
      <c r="G817" s="7" t="n"/>
      <c r="H817" s="7" t="n"/>
      <c r="I817" s="7" t="n"/>
      <c r="J817" s="7" t="n"/>
      <c r="K817" s="7" t="n"/>
      <c r="L817" s="7" t="n"/>
    </row>
    <row r="818">
      <c r="F818" s="7" t="n"/>
      <c r="G818" s="7" t="n"/>
      <c r="H818" s="7" t="n"/>
      <c r="I818" s="7" t="n"/>
      <c r="J818" s="7" t="n"/>
      <c r="K818" s="7" t="n"/>
      <c r="L818" s="7" t="n"/>
    </row>
    <row r="819">
      <c r="F819" s="7" t="n"/>
      <c r="G819" s="7" t="n"/>
      <c r="H819" s="7" t="n"/>
      <c r="I819" s="7" t="n"/>
      <c r="J819" s="7" t="n"/>
      <c r="K819" s="7" t="n"/>
      <c r="L819" s="7" t="n"/>
    </row>
    <row r="820">
      <c r="F820" s="7" t="n"/>
      <c r="G820" s="7" t="n"/>
      <c r="H820" s="7" t="n"/>
      <c r="I820" s="7" t="n"/>
      <c r="J820" s="7" t="n"/>
      <c r="K820" s="7" t="n"/>
      <c r="L820" s="7" t="n"/>
    </row>
    <row r="821">
      <c r="F821" s="7" t="n"/>
      <c r="G821" s="7" t="n"/>
      <c r="H821" s="7" t="n"/>
      <c r="I821" s="7" t="n"/>
      <c r="J821" s="7" t="n"/>
      <c r="K821" s="7" t="n"/>
      <c r="L821" s="7" t="n"/>
    </row>
    <row r="822">
      <c r="F822" s="7" t="n"/>
      <c r="G822" s="7" t="n"/>
      <c r="H822" s="7" t="n"/>
      <c r="I822" s="7" t="n"/>
      <c r="J822" s="7" t="n"/>
      <c r="K822" s="7" t="n"/>
      <c r="L822" s="7" t="n"/>
    </row>
    <row r="823">
      <c r="F823" s="7" t="n"/>
      <c r="G823" s="7" t="n"/>
      <c r="H823" s="7" t="n"/>
      <c r="I823" s="7" t="n"/>
      <c r="J823" s="7" t="n"/>
      <c r="K823" s="7" t="n"/>
      <c r="L823" s="7" t="n"/>
    </row>
    <row r="824">
      <c r="F824" s="7" t="n"/>
      <c r="G824" s="7" t="n"/>
      <c r="H824" s="7" t="n"/>
      <c r="I824" s="7" t="n"/>
      <c r="J824" s="7" t="n"/>
      <c r="K824" s="7" t="n"/>
      <c r="L824" s="7" t="n"/>
    </row>
    <row r="825">
      <c r="F825" s="7" t="n"/>
      <c r="G825" s="7" t="n"/>
      <c r="H825" s="7" t="n"/>
      <c r="I825" s="7" t="n"/>
      <c r="J825" s="7" t="n"/>
      <c r="K825" s="7" t="n"/>
      <c r="L825" s="7" t="n"/>
    </row>
    <row r="826">
      <c r="F826" s="7" t="n"/>
      <c r="G826" s="7" t="n"/>
      <c r="H826" s="7" t="n"/>
      <c r="I826" s="7" t="n"/>
      <c r="J826" s="7" t="n"/>
      <c r="K826" s="7" t="n"/>
      <c r="L826" s="7" t="n"/>
    </row>
    <row r="827">
      <c r="F827" s="7" t="n"/>
      <c r="G827" s="7" t="n"/>
      <c r="H827" s="7" t="n"/>
      <c r="I827" s="7" t="n"/>
      <c r="J827" s="7" t="n"/>
      <c r="K827" s="7" t="n"/>
      <c r="L827" s="7" t="n"/>
    </row>
    <row r="828">
      <c r="F828" s="7" t="n"/>
      <c r="G828" s="7" t="n"/>
      <c r="H828" s="7" t="n"/>
      <c r="I828" s="7" t="n"/>
      <c r="J828" s="7" t="n"/>
      <c r="K828" s="7" t="n"/>
      <c r="L828" s="7" t="n"/>
    </row>
    <row r="829">
      <c r="F829" s="7" t="n"/>
      <c r="G829" s="7" t="n"/>
      <c r="H829" s="7" t="n"/>
      <c r="I829" s="7" t="n"/>
      <c r="J829" s="7" t="n"/>
      <c r="K829" s="7" t="n"/>
      <c r="L829" s="7" t="n"/>
    </row>
    <row r="830">
      <c r="F830" s="7" t="n"/>
      <c r="G830" s="7" t="n"/>
      <c r="H830" s="7" t="n"/>
      <c r="I830" s="7" t="n"/>
      <c r="J830" s="7" t="n"/>
      <c r="K830" s="7" t="n"/>
      <c r="L830" s="7" t="n"/>
    </row>
    <row r="831">
      <c r="F831" s="7" t="n"/>
      <c r="G831" s="7" t="n"/>
      <c r="H831" s="7" t="n"/>
      <c r="I831" s="7" t="n"/>
      <c r="J831" s="7" t="n"/>
      <c r="K831" s="7" t="n"/>
      <c r="L831" s="7" t="n"/>
    </row>
    <row r="832">
      <c r="F832" s="7" t="n"/>
      <c r="G832" s="7" t="n"/>
      <c r="H832" s="7" t="n"/>
      <c r="I832" s="7" t="n"/>
      <c r="J832" s="7" t="n"/>
      <c r="K832" s="7" t="n"/>
      <c r="L832" s="7" t="n"/>
    </row>
    <row r="833">
      <c r="F833" s="7" t="n"/>
      <c r="G833" s="7" t="n"/>
      <c r="H833" s="7" t="n"/>
      <c r="I833" s="7" t="n"/>
      <c r="J833" s="7" t="n"/>
      <c r="K833" s="7" t="n"/>
      <c r="L833" s="7" t="n"/>
    </row>
    <row r="834">
      <c r="F834" s="7" t="n"/>
      <c r="G834" s="7" t="n"/>
      <c r="H834" s="7" t="n"/>
      <c r="I834" s="7" t="n"/>
      <c r="J834" s="7" t="n"/>
      <c r="K834" s="7" t="n"/>
      <c r="L834" s="7" t="n"/>
    </row>
    <row r="835">
      <c r="F835" s="7" t="n"/>
      <c r="G835" s="7" t="n"/>
      <c r="H835" s="7" t="n"/>
      <c r="I835" s="7" t="n"/>
      <c r="J835" s="7" t="n"/>
      <c r="K835" s="7" t="n"/>
      <c r="L835" s="7" t="n"/>
    </row>
    <row r="836">
      <c r="F836" s="7" t="n"/>
      <c r="G836" s="7" t="n"/>
      <c r="H836" s="7" t="n"/>
      <c r="I836" s="7" t="n"/>
      <c r="J836" s="7" t="n"/>
      <c r="K836" s="7" t="n"/>
      <c r="L836" s="7" t="n"/>
    </row>
    <row r="837">
      <c r="F837" s="7" t="n"/>
      <c r="G837" s="7" t="n"/>
      <c r="H837" s="7" t="n"/>
      <c r="I837" s="7" t="n"/>
      <c r="J837" s="7" t="n"/>
      <c r="K837" s="7" t="n"/>
      <c r="L837" s="7" t="n"/>
    </row>
    <row r="838">
      <c r="F838" s="7" t="n"/>
      <c r="G838" s="7" t="n"/>
      <c r="H838" s="7" t="n"/>
      <c r="I838" s="7" t="n"/>
      <c r="J838" s="7" t="n"/>
      <c r="K838" s="7" t="n"/>
      <c r="L838" s="7" t="n"/>
    </row>
    <row r="839">
      <c r="F839" s="7" t="n"/>
      <c r="G839" s="7" t="n"/>
      <c r="H839" s="7" t="n"/>
      <c r="I839" s="7" t="n"/>
      <c r="J839" s="7" t="n"/>
      <c r="K839" s="7" t="n"/>
      <c r="L839" s="7" t="n"/>
    </row>
    <row r="840">
      <c r="F840" s="7" t="n"/>
      <c r="G840" s="7" t="n"/>
      <c r="H840" s="7" t="n"/>
      <c r="I840" s="7" t="n"/>
      <c r="J840" s="7" t="n"/>
      <c r="K840" s="7" t="n"/>
      <c r="L840" s="7" t="n"/>
    </row>
    <row r="841">
      <c r="F841" s="7" t="n"/>
      <c r="G841" s="7" t="n"/>
      <c r="H841" s="7" t="n"/>
      <c r="I841" s="7" t="n"/>
      <c r="J841" s="7" t="n"/>
      <c r="K841" s="7" t="n"/>
      <c r="L841" s="7" t="n"/>
    </row>
    <row r="842">
      <c r="F842" s="7" t="n"/>
      <c r="G842" s="7" t="n"/>
      <c r="H842" s="7" t="n"/>
      <c r="I842" s="7" t="n"/>
      <c r="J842" s="7" t="n"/>
      <c r="K842" s="7" t="n"/>
      <c r="L842" s="7" t="n"/>
    </row>
    <row r="843">
      <c r="F843" s="7" t="n"/>
      <c r="G843" s="7" t="n"/>
      <c r="H843" s="7" t="n"/>
      <c r="I843" s="7" t="n"/>
      <c r="J843" s="7" t="n"/>
      <c r="K843" s="7" t="n"/>
      <c r="L843" s="7" t="n"/>
    </row>
    <row r="844">
      <c r="F844" s="7" t="n"/>
      <c r="G844" s="7" t="n"/>
      <c r="H844" s="7" t="n"/>
      <c r="I844" s="7" t="n"/>
      <c r="J844" s="7" t="n"/>
      <c r="K844" s="7" t="n"/>
      <c r="L844" s="7" t="n"/>
    </row>
    <row r="845">
      <c r="F845" s="7" t="n"/>
      <c r="G845" s="7" t="n"/>
      <c r="H845" s="7" t="n"/>
      <c r="I845" s="7" t="n"/>
      <c r="J845" s="7" t="n"/>
      <c r="K845" s="7" t="n"/>
      <c r="L845" s="7" t="n"/>
    </row>
    <row r="846">
      <c r="F846" s="7" t="n"/>
      <c r="G846" s="7" t="n"/>
      <c r="H846" s="7" t="n"/>
      <c r="I846" s="7" t="n"/>
      <c r="J846" s="7" t="n"/>
      <c r="K846" s="7" t="n"/>
      <c r="L846" s="7" t="n"/>
    </row>
    <row r="847">
      <c r="F847" s="7" t="n"/>
      <c r="G847" s="7" t="n"/>
      <c r="H847" s="7" t="n"/>
      <c r="I847" s="7" t="n"/>
      <c r="J847" s="7" t="n"/>
      <c r="K847" s="7" t="n"/>
      <c r="L847" s="7" t="n"/>
    </row>
    <row r="848">
      <c r="F848" s="7" t="n"/>
      <c r="G848" s="7" t="n"/>
      <c r="H848" s="7" t="n"/>
      <c r="I848" s="7" t="n"/>
      <c r="J848" s="7" t="n"/>
      <c r="K848" s="7" t="n"/>
      <c r="L848" s="7" t="n"/>
    </row>
    <row r="849">
      <c r="F849" s="7" t="n"/>
      <c r="G849" s="7" t="n"/>
      <c r="H849" s="7" t="n"/>
      <c r="I849" s="7" t="n"/>
      <c r="J849" s="7" t="n"/>
      <c r="K849" s="7" t="n"/>
      <c r="L849" s="7" t="n"/>
    </row>
    <row r="850">
      <c r="F850" s="7" t="n"/>
      <c r="G850" s="7" t="n"/>
      <c r="H850" s="7" t="n"/>
      <c r="I850" s="7" t="n"/>
      <c r="J850" s="7" t="n"/>
      <c r="K850" s="7" t="n"/>
      <c r="L850" s="7" t="n"/>
    </row>
    <row r="851">
      <c r="F851" s="7" t="n"/>
      <c r="G851" s="7" t="n"/>
      <c r="H851" s="7" t="n"/>
      <c r="I851" s="7" t="n"/>
      <c r="J851" s="7" t="n"/>
      <c r="K851" s="7" t="n"/>
      <c r="L851" s="7" t="n"/>
    </row>
    <row r="852">
      <c r="F852" s="7" t="n"/>
      <c r="G852" s="7" t="n"/>
      <c r="H852" s="7" t="n"/>
      <c r="I852" s="7" t="n"/>
      <c r="J852" s="7" t="n"/>
      <c r="K852" s="7" t="n"/>
      <c r="L852" s="7" t="n"/>
    </row>
    <row r="853">
      <c r="F853" s="7" t="n"/>
      <c r="G853" s="7" t="n"/>
      <c r="H853" s="7" t="n"/>
      <c r="I853" s="7" t="n"/>
      <c r="J853" s="7" t="n"/>
      <c r="K853" s="7" t="n"/>
      <c r="L853" s="7" t="n"/>
    </row>
    <row r="854">
      <c r="F854" s="7" t="n"/>
      <c r="G854" s="7" t="n"/>
      <c r="H854" s="7" t="n"/>
      <c r="I854" s="7" t="n"/>
      <c r="J854" s="7" t="n"/>
      <c r="K854" s="7" t="n"/>
      <c r="L854" s="7" t="n"/>
    </row>
    <row r="855">
      <c r="F855" s="7" t="n"/>
      <c r="G855" s="7" t="n"/>
      <c r="H855" s="7" t="n"/>
      <c r="I855" s="7" t="n"/>
      <c r="J855" s="7" t="n"/>
      <c r="K855" s="7" t="n"/>
      <c r="L855" s="7" t="n"/>
    </row>
    <row r="856">
      <c r="F856" s="7" t="n"/>
      <c r="G856" s="7" t="n"/>
      <c r="H856" s="7" t="n"/>
      <c r="I856" s="7" t="n"/>
      <c r="J856" s="7" t="n"/>
      <c r="K856" s="7" t="n"/>
      <c r="L856" s="7" t="n"/>
    </row>
    <row r="857">
      <c r="F857" s="7" t="n"/>
      <c r="G857" s="7" t="n"/>
      <c r="H857" s="7" t="n"/>
      <c r="I857" s="7" t="n"/>
      <c r="J857" s="7" t="n"/>
      <c r="K857" s="7" t="n"/>
      <c r="L857" s="7" t="n"/>
    </row>
    <row r="858">
      <c r="F858" s="7" t="n"/>
      <c r="G858" s="7" t="n"/>
      <c r="H858" s="7" t="n"/>
      <c r="I858" s="7" t="n"/>
      <c r="J858" s="7" t="n"/>
      <c r="K858" s="7" t="n"/>
      <c r="L858" s="7" t="n"/>
    </row>
    <row r="859">
      <c r="F859" s="7" t="n"/>
      <c r="G859" s="7" t="n"/>
      <c r="H859" s="7" t="n"/>
      <c r="I859" s="7" t="n"/>
      <c r="J859" s="7" t="n"/>
      <c r="K859" s="7" t="n"/>
      <c r="L859" s="7" t="n"/>
    </row>
    <row r="860">
      <c r="F860" s="7" t="n"/>
      <c r="G860" s="7" t="n"/>
      <c r="H860" s="7" t="n"/>
      <c r="I860" s="7" t="n"/>
      <c r="J860" s="7" t="n"/>
      <c r="K860" s="7" t="n"/>
      <c r="L860" s="7" t="n"/>
    </row>
    <row r="861">
      <c r="F861" s="7" t="n"/>
      <c r="G861" s="7" t="n"/>
      <c r="H861" s="7" t="n"/>
      <c r="I861" s="7" t="n"/>
      <c r="J861" s="7" t="n"/>
      <c r="K861" s="7" t="n"/>
      <c r="L861" s="7" t="n"/>
    </row>
    <row r="862">
      <c r="F862" s="7" t="n"/>
      <c r="G862" s="7" t="n"/>
      <c r="H862" s="7" t="n"/>
      <c r="I862" s="7" t="n"/>
      <c r="J862" s="7" t="n"/>
      <c r="K862" s="7" t="n"/>
      <c r="L862" s="7" t="n"/>
    </row>
    <row r="863">
      <c r="F863" s="7" t="n"/>
      <c r="G863" s="7" t="n"/>
      <c r="H863" s="7" t="n"/>
      <c r="I863" s="7" t="n"/>
      <c r="J863" s="7" t="n"/>
      <c r="K863" s="7" t="n"/>
      <c r="L863" s="7" t="n"/>
    </row>
    <row r="864">
      <c r="F864" s="7" t="n"/>
      <c r="G864" s="7" t="n"/>
      <c r="H864" s="7" t="n"/>
      <c r="I864" s="7" t="n"/>
      <c r="J864" s="7" t="n"/>
      <c r="K864" s="7" t="n"/>
      <c r="L864" s="7" t="n"/>
    </row>
    <row r="865">
      <c r="F865" s="7" t="n"/>
      <c r="G865" s="7" t="n"/>
      <c r="H865" s="7" t="n"/>
      <c r="I865" s="7" t="n"/>
      <c r="J865" s="7" t="n"/>
      <c r="K865" s="7" t="n"/>
      <c r="L865" s="7" t="n"/>
    </row>
    <row r="866">
      <c r="F866" s="7" t="n"/>
      <c r="G866" s="7" t="n"/>
      <c r="H866" s="7" t="n"/>
      <c r="I866" s="7" t="n"/>
      <c r="J866" s="7" t="n"/>
      <c r="K866" s="7" t="n"/>
      <c r="L866" s="7" t="n"/>
    </row>
    <row r="867">
      <c r="F867" s="7" t="n"/>
      <c r="G867" s="7" t="n"/>
      <c r="H867" s="7" t="n"/>
      <c r="I867" s="7" t="n"/>
      <c r="J867" s="7" t="n"/>
      <c r="K867" s="7" t="n"/>
      <c r="L867" s="7" t="n"/>
    </row>
    <row r="868">
      <c r="F868" s="7" t="n"/>
      <c r="G868" s="7" t="n"/>
      <c r="H868" s="7" t="n"/>
      <c r="I868" s="7" t="n"/>
      <c r="J868" s="7" t="n"/>
      <c r="K868" s="7" t="n"/>
      <c r="L868" s="7" t="n"/>
    </row>
    <row r="869">
      <c r="F869" s="7" t="n"/>
      <c r="G869" s="7" t="n"/>
      <c r="H869" s="7" t="n"/>
      <c r="I869" s="7" t="n"/>
      <c r="J869" s="7" t="n"/>
      <c r="K869" s="7" t="n"/>
      <c r="L869" s="7" t="n"/>
    </row>
    <row r="870">
      <c r="F870" s="7" t="n"/>
      <c r="G870" s="7" t="n"/>
      <c r="H870" s="7" t="n"/>
      <c r="I870" s="7" t="n"/>
      <c r="J870" s="7" t="n"/>
      <c r="K870" s="7" t="n"/>
      <c r="L870" s="7" t="n"/>
    </row>
    <row r="871">
      <c r="F871" s="7" t="n"/>
      <c r="G871" s="7" t="n"/>
      <c r="H871" s="7" t="n"/>
      <c r="I871" s="7" t="n"/>
      <c r="J871" s="7" t="n"/>
      <c r="K871" s="7" t="n"/>
      <c r="L871" s="7" t="n"/>
    </row>
    <row r="872">
      <c r="F872" s="7" t="n"/>
      <c r="G872" s="7" t="n"/>
      <c r="H872" s="7" t="n"/>
      <c r="I872" s="7" t="n"/>
      <c r="J872" s="7" t="n"/>
      <c r="K872" s="7" t="n"/>
      <c r="L872" s="7" t="n"/>
    </row>
    <row r="873">
      <c r="F873" s="7" t="n"/>
      <c r="G873" s="7" t="n"/>
      <c r="H873" s="7" t="n"/>
      <c r="I873" s="7" t="n"/>
      <c r="J873" s="7" t="n"/>
      <c r="K873" s="7" t="n"/>
      <c r="L873" s="7" t="n"/>
    </row>
    <row r="874">
      <c r="F874" s="7" t="n"/>
      <c r="G874" s="7" t="n"/>
      <c r="H874" s="7" t="n"/>
      <c r="I874" s="7" t="n"/>
      <c r="J874" s="7" t="n"/>
      <c r="K874" s="7" t="n"/>
      <c r="L874" s="7" t="n"/>
    </row>
    <row r="875">
      <c r="F875" s="7" t="n"/>
      <c r="G875" s="7" t="n"/>
      <c r="H875" s="7" t="n"/>
      <c r="I875" s="7" t="n"/>
      <c r="J875" s="7" t="n"/>
      <c r="K875" s="7" t="n"/>
      <c r="L875" s="7" t="n"/>
    </row>
    <row r="876">
      <c r="F876" s="7" t="n"/>
      <c r="G876" s="7" t="n"/>
      <c r="H876" s="7" t="n"/>
      <c r="I876" s="7" t="n"/>
      <c r="J876" s="7" t="n"/>
      <c r="K876" s="7" t="n"/>
      <c r="L876" s="7" t="n"/>
    </row>
    <row r="877">
      <c r="F877" s="7" t="n"/>
      <c r="G877" s="7" t="n"/>
      <c r="H877" s="7" t="n"/>
      <c r="I877" s="7" t="n"/>
      <c r="J877" s="7" t="n"/>
      <c r="K877" s="7" t="n"/>
      <c r="L877" s="7" t="n"/>
    </row>
    <row r="878">
      <c r="F878" s="7" t="n"/>
      <c r="G878" s="7" t="n"/>
      <c r="H878" s="7" t="n"/>
      <c r="I878" s="7" t="n"/>
      <c r="J878" s="7" t="n"/>
      <c r="K878" s="7" t="n"/>
      <c r="L878" s="7" t="n"/>
    </row>
    <row r="879">
      <c r="F879" s="7" t="n"/>
      <c r="G879" s="7" t="n"/>
      <c r="H879" s="7" t="n"/>
      <c r="I879" s="7" t="n"/>
      <c r="J879" s="7" t="n"/>
      <c r="K879" s="7" t="n"/>
      <c r="L879" s="7" t="n"/>
    </row>
    <row r="880">
      <c r="F880" s="7" t="n"/>
      <c r="G880" s="7" t="n"/>
      <c r="H880" s="7" t="n"/>
      <c r="I880" s="7" t="n"/>
      <c r="J880" s="7" t="n"/>
      <c r="K880" s="7" t="n"/>
      <c r="L880" s="7" t="n"/>
    </row>
    <row r="881">
      <c r="F881" s="7" t="n"/>
      <c r="G881" s="7" t="n"/>
      <c r="H881" s="7" t="n"/>
      <c r="I881" s="7" t="n"/>
      <c r="J881" s="7" t="n"/>
      <c r="K881" s="7" t="n"/>
      <c r="L881" s="7" t="n"/>
    </row>
    <row r="882">
      <c r="F882" s="7" t="n"/>
      <c r="G882" s="7" t="n"/>
      <c r="H882" s="7" t="n"/>
      <c r="I882" s="7" t="n"/>
      <c r="J882" s="7" t="n"/>
      <c r="K882" s="7" t="n"/>
      <c r="L882" s="7" t="n"/>
    </row>
    <row r="883">
      <c r="F883" s="7" t="n"/>
      <c r="G883" s="7" t="n"/>
      <c r="H883" s="7" t="n"/>
      <c r="I883" s="7" t="n"/>
      <c r="J883" s="7" t="n"/>
      <c r="K883" s="7" t="n"/>
      <c r="L883" s="7" t="n"/>
    </row>
    <row r="884">
      <c r="F884" s="7" t="n"/>
      <c r="G884" s="7" t="n"/>
      <c r="H884" s="7" t="n"/>
      <c r="I884" s="7" t="n"/>
      <c r="J884" s="7" t="n"/>
      <c r="K884" s="7" t="n"/>
      <c r="L884" s="7" t="n"/>
    </row>
    <row r="885">
      <c r="F885" s="7" t="n"/>
      <c r="G885" s="7" t="n"/>
      <c r="H885" s="7" t="n"/>
      <c r="I885" s="7" t="n"/>
      <c r="J885" s="7" t="n"/>
      <c r="K885" s="7" t="n"/>
      <c r="L885" s="7" t="n"/>
    </row>
    <row r="886">
      <c r="F886" s="7" t="n"/>
      <c r="G886" s="7" t="n"/>
      <c r="H886" s="7" t="n"/>
      <c r="I886" s="7" t="n"/>
      <c r="J886" s="7" t="n"/>
      <c r="K886" s="7" t="n"/>
      <c r="L886" s="7" t="n"/>
    </row>
    <row r="887">
      <c r="F887" s="7" t="n"/>
      <c r="G887" s="7" t="n"/>
      <c r="H887" s="7" t="n"/>
      <c r="I887" s="7" t="n"/>
      <c r="J887" s="7" t="n"/>
      <c r="K887" s="7" t="n"/>
      <c r="L887" s="7" t="n"/>
    </row>
    <row r="888">
      <c r="F888" s="7" t="n"/>
      <c r="G888" s="7" t="n"/>
      <c r="H888" s="7" t="n"/>
      <c r="I888" s="7" t="n"/>
      <c r="J888" s="7" t="n"/>
      <c r="K888" s="7" t="n"/>
      <c r="L888" s="7" t="n"/>
    </row>
    <row r="889">
      <c r="F889" s="7" t="n"/>
      <c r="G889" s="7" t="n"/>
      <c r="H889" s="7" t="n"/>
      <c r="I889" s="7" t="n"/>
      <c r="J889" s="7" t="n"/>
      <c r="K889" s="7" t="n"/>
      <c r="L889" s="7" t="n"/>
    </row>
    <row r="890">
      <c r="F890" s="7" t="n"/>
      <c r="G890" s="7" t="n"/>
      <c r="H890" s="7" t="n"/>
      <c r="I890" s="7" t="n"/>
      <c r="J890" s="7" t="n"/>
      <c r="K890" s="7" t="n"/>
      <c r="L890" s="7" t="n"/>
    </row>
    <row r="891">
      <c r="F891" s="7" t="n"/>
      <c r="G891" s="7" t="n"/>
      <c r="H891" s="7" t="n"/>
      <c r="I891" s="7" t="n"/>
      <c r="J891" s="7" t="n"/>
      <c r="K891" s="7" t="n"/>
      <c r="L891" s="7" t="n"/>
    </row>
    <row r="892">
      <c r="F892" s="7" t="n"/>
      <c r="G892" s="7" t="n"/>
      <c r="H892" s="7" t="n"/>
      <c r="I892" s="7" t="n"/>
      <c r="J892" s="7" t="n"/>
      <c r="K892" s="7" t="n"/>
      <c r="L892" s="7" t="n"/>
    </row>
    <row r="893">
      <c r="F893" s="7" t="n"/>
      <c r="G893" s="7" t="n"/>
      <c r="H893" s="7" t="n"/>
      <c r="I893" s="7" t="n"/>
      <c r="J893" s="7" t="n"/>
      <c r="K893" s="7" t="n"/>
      <c r="L893" s="7" t="n"/>
    </row>
    <row r="894">
      <c r="F894" s="7" t="n"/>
      <c r="G894" s="7" t="n"/>
      <c r="H894" s="7" t="n"/>
      <c r="I894" s="7" t="n"/>
      <c r="J894" s="7" t="n"/>
      <c r="K894" s="7" t="n"/>
      <c r="L894" s="7" t="n"/>
    </row>
    <row r="895">
      <c r="F895" s="7" t="n"/>
      <c r="G895" s="7" t="n"/>
      <c r="H895" s="7" t="n"/>
      <c r="I895" s="7" t="n"/>
      <c r="J895" s="7" t="n"/>
      <c r="K895" s="7" t="n"/>
      <c r="L895" s="7" t="n"/>
    </row>
    <row r="896">
      <c r="F896" s="7" t="n"/>
      <c r="G896" s="7" t="n"/>
      <c r="H896" s="7" t="n"/>
      <c r="I896" s="7" t="n"/>
      <c r="J896" s="7" t="n"/>
      <c r="K896" s="7" t="n"/>
      <c r="L896" s="7" t="n"/>
    </row>
    <row r="897">
      <c r="F897" s="7" t="n"/>
      <c r="G897" s="7" t="n"/>
      <c r="H897" s="7" t="n"/>
      <c r="I897" s="7" t="n"/>
      <c r="J897" s="7" t="n"/>
      <c r="K897" s="7" t="n"/>
      <c r="L897" s="7" t="n"/>
    </row>
    <row r="898">
      <c r="F898" s="7" t="n"/>
      <c r="G898" s="7" t="n"/>
      <c r="H898" s="7" t="n"/>
      <c r="I898" s="7" t="n"/>
      <c r="J898" s="7" t="n"/>
      <c r="K898" s="7" t="n"/>
      <c r="L898" s="7" t="n"/>
    </row>
    <row r="899">
      <c r="F899" s="7" t="n"/>
      <c r="G899" s="7" t="n"/>
      <c r="H899" s="7" t="n"/>
      <c r="I899" s="7" t="n"/>
      <c r="J899" s="7" t="n"/>
      <c r="K899" s="7" t="n"/>
      <c r="L899" s="7" t="n"/>
    </row>
    <row r="900">
      <c r="F900" s="7" t="n"/>
      <c r="G900" s="7" t="n"/>
      <c r="H900" s="7" t="n"/>
      <c r="I900" s="7" t="n"/>
      <c r="J900" s="7" t="n"/>
      <c r="K900" s="7" t="n"/>
      <c r="L900" s="7" t="n"/>
    </row>
    <row r="901">
      <c r="F901" s="7" t="n"/>
      <c r="G901" s="7" t="n"/>
      <c r="H901" s="7" t="n"/>
      <c r="I901" s="7" t="n"/>
      <c r="J901" s="7" t="n"/>
      <c r="K901" s="7" t="n"/>
      <c r="L901" s="7" t="n"/>
    </row>
    <row r="902">
      <c r="F902" s="7" t="n"/>
      <c r="G902" s="7" t="n"/>
      <c r="H902" s="7" t="n"/>
      <c r="I902" s="7" t="n"/>
      <c r="J902" s="7" t="n"/>
      <c r="K902" s="7" t="n"/>
      <c r="L902" s="7" t="n"/>
    </row>
    <row r="903">
      <c r="F903" s="7" t="n"/>
      <c r="G903" s="7" t="n"/>
      <c r="H903" s="7" t="n"/>
      <c r="I903" s="7" t="n"/>
      <c r="J903" s="7" t="n"/>
      <c r="K903" s="7" t="n"/>
      <c r="L903" s="7" t="n"/>
    </row>
    <row r="904">
      <c r="F904" s="7" t="n"/>
      <c r="G904" s="7" t="n"/>
      <c r="H904" s="7" t="n"/>
      <c r="I904" s="7" t="n"/>
      <c r="J904" s="7" t="n"/>
      <c r="K904" s="7" t="n"/>
      <c r="L904" s="7" t="n"/>
    </row>
    <row r="905">
      <c r="F905" s="7" t="n"/>
      <c r="G905" s="7" t="n"/>
      <c r="H905" s="7" t="n"/>
      <c r="I905" s="7" t="n"/>
      <c r="J905" s="7" t="n"/>
      <c r="K905" s="7" t="n"/>
      <c r="L905" s="7" t="n"/>
    </row>
    <row r="906">
      <c r="F906" s="7" t="n"/>
      <c r="G906" s="7" t="n"/>
      <c r="H906" s="7" t="n"/>
      <c r="I906" s="7" t="n"/>
      <c r="J906" s="7" t="n"/>
      <c r="K906" s="7" t="n"/>
      <c r="L906" s="7" t="n"/>
    </row>
    <row r="907">
      <c r="F907" s="7" t="n"/>
      <c r="G907" s="7" t="n"/>
      <c r="H907" s="7" t="n"/>
      <c r="I907" s="7" t="n"/>
      <c r="J907" s="7" t="n"/>
      <c r="K907" s="7" t="n"/>
      <c r="L907" s="7" t="n"/>
    </row>
    <row r="908">
      <c r="F908" s="7" t="n"/>
      <c r="G908" s="7" t="n"/>
      <c r="H908" s="7" t="n"/>
      <c r="I908" s="7" t="n"/>
      <c r="J908" s="7" t="n"/>
      <c r="K908" s="7" t="n"/>
      <c r="L908" s="7" t="n"/>
    </row>
    <row r="909">
      <c r="F909" s="7" t="n"/>
      <c r="G909" s="7" t="n"/>
      <c r="H909" s="7" t="n"/>
      <c r="I909" s="7" t="n"/>
      <c r="J909" s="7" t="n"/>
      <c r="K909" s="7" t="n"/>
      <c r="L909" s="7" t="n"/>
    </row>
    <row r="910">
      <c r="F910" s="7" t="n"/>
      <c r="G910" s="7" t="n"/>
      <c r="H910" s="7" t="n"/>
      <c r="I910" s="7" t="n"/>
      <c r="J910" s="7" t="n"/>
      <c r="K910" s="7" t="n"/>
      <c r="L910" s="7" t="n"/>
    </row>
    <row r="911">
      <c r="F911" s="7" t="n"/>
      <c r="G911" s="7" t="n"/>
      <c r="H911" s="7" t="n"/>
      <c r="I911" s="7" t="n"/>
      <c r="J911" s="7" t="n"/>
      <c r="K911" s="7" t="n"/>
      <c r="L911" s="7" t="n"/>
    </row>
    <row r="912">
      <c r="F912" s="7" t="n"/>
      <c r="G912" s="7" t="n"/>
      <c r="H912" s="7" t="n"/>
      <c r="I912" s="7" t="n"/>
      <c r="J912" s="7" t="n"/>
      <c r="K912" s="7" t="n"/>
      <c r="L912" s="7" t="n"/>
    </row>
    <row r="913">
      <c r="F913" s="7" t="n"/>
      <c r="G913" s="7" t="n"/>
      <c r="H913" s="7" t="n"/>
      <c r="I913" s="7" t="n"/>
      <c r="J913" s="7" t="n"/>
      <c r="K913" s="7" t="n"/>
      <c r="L913" s="7" t="n"/>
    </row>
    <row r="914">
      <c r="F914" s="7" t="n"/>
      <c r="G914" s="7" t="n"/>
      <c r="H914" s="7" t="n"/>
      <c r="I914" s="7" t="n"/>
      <c r="J914" s="7" t="n"/>
      <c r="K914" s="7" t="n"/>
      <c r="L914" s="7" t="n"/>
    </row>
    <row r="915">
      <c r="F915" s="7" t="n"/>
      <c r="G915" s="7" t="n"/>
      <c r="H915" s="7" t="n"/>
      <c r="I915" s="7" t="n"/>
      <c r="J915" s="7" t="n"/>
      <c r="K915" s="7" t="n"/>
      <c r="L915" s="7" t="n"/>
    </row>
    <row r="916">
      <c r="F916" s="7" t="n"/>
      <c r="G916" s="7" t="n"/>
      <c r="H916" s="7" t="n"/>
      <c r="I916" s="7" t="n"/>
      <c r="J916" s="7" t="n"/>
      <c r="K916" s="7" t="n"/>
      <c r="L916" s="7" t="n"/>
    </row>
    <row r="917">
      <c r="F917" s="7" t="n"/>
      <c r="G917" s="7" t="n"/>
      <c r="H917" s="7" t="n"/>
      <c r="I917" s="7" t="n"/>
      <c r="J917" s="7" t="n"/>
      <c r="K917" s="7" t="n"/>
      <c r="L917" s="7" t="n"/>
    </row>
    <row r="918">
      <c r="F918" s="7" t="n"/>
      <c r="G918" s="7" t="n"/>
      <c r="H918" s="7" t="n"/>
      <c r="I918" s="7" t="n"/>
      <c r="J918" s="7" t="n"/>
      <c r="K918" s="7" t="n"/>
      <c r="L918" s="7" t="n"/>
    </row>
    <row r="919">
      <c r="F919" s="7" t="n"/>
      <c r="G919" s="7" t="n"/>
      <c r="H919" s="7" t="n"/>
      <c r="I919" s="7" t="n"/>
      <c r="J919" s="7" t="n"/>
      <c r="K919" s="7" t="n"/>
      <c r="L919" s="7" t="n"/>
    </row>
    <row r="920">
      <c r="F920" s="7" t="n"/>
      <c r="G920" s="7" t="n"/>
      <c r="H920" s="7" t="n"/>
      <c r="I920" s="7" t="n"/>
      <c r="J920" s="7" t="n"/>
      <c r="K920" s="7" t="n"/>
      <c r="L920" s="7" t="n"/>
    </row>
    <row r="921">
      <c r="F921" s="7" t="n"/>
      <c r="G921" s="7" t="n"/>
      <c r="H921" s="7" t="n"/>
      <c r="I921" s="7" t="n"/>
      <c r="J921" s="7" t="n"/>
      <c r="K921" s="7" t="n"/>
      <c r="L921" s="7" t="n"/>
    </row>
    <row r="922">
      <c r="F922" s="7" t="n"/>
      <c r="G922" s="7" t="n"/>
      <c r="H922" s="7" t="n"/>
      <c r="I922" s="7" t="n"/>
      <c r="J922" s="7" t="n"/>
      <c r="K922" s="7" t="n"/>
      <c r="L922" s="7" t="n"/>
    </row>
    <row r="923">
      <c r="F923" s="7" t="n"/>
      <c r="G923" s="7" t="n"/>
      <c r="H923" s="7" t="n"/>
      <c r="I923" s="7" t="n"/>
      <c r="J923" s="7" t="n"/>
      <c r="K923" s="7" t="n"/>
      <c r="L923" s="7" t="n"/>
    </row>
    <row r="924">
      <c r="F924" s="7" t="n"/>
      <c r="G924" s="7" t="n"/>
      <c r="H924" s="7" t="n"/>
      <c r="I924" s="7" t="n"/>
      <c r="J924" s="7" t="n"/>
      <c r="K924" s="7" t="n"/>
      <c r="L924" s="7" t="n"/>
    </row>
    <row r="925">
      <c r="F925" s="7" t="n"/>
      <c r="G925" s="7" t="n"/>
      <c r="H925" s="7" t="n"/>
      <c r="I925" s="7" t="n"/>
      <c r="J925" s="7" t="n"/>
      <c r="K925" s="7" t="n"/>
      <c r="L925" s="7" t="n"/>
    </row>
    <row r="926">
      <c r="F926" s="7" t="n"/>
      <c r="G926" s="7" t="n"/>
      <c r="H926" s="7" t="n"/>
      <c r="I926" s="7" t="n"/>
      <c r="J926" s="7" t="n"/>
      <c r="K926" s="7" t="n"/>
      <c r="L926" s="7" t="n"/>
    </row>
    <row r="927">
      <c r="F927" s="7" t="n"/>
      <c r="G927" s="7" t="n"/>
      <c r="H927" s="7" t="n"/>
      <c r="I927" s="7" t="n"/>
      <c r="J927" s="7" t="n"/>
      <c r="K927" s="7" t="n"/>
      <c r="L927" s="7" t="n"/>
    </row>
    <row r="928">
      <c r="F928" s="7" t="n"/>
      <c r="G928" s="7" t="n"/>
      <c r="H928" s="7" t="n"/>
      <c r="I928" s="7" t="n"/>
      <c r="J928" s="7" t="n"/>
      <c r="K928" s="7" t="n"/>
      <c r="L928" s="7" t="n"/>
    </row>
    <row r="929">
      <c r="F929" s="7" t="n"/>
      <c r="G929" s="7" t="n"/>
      <c r="H929" s="7" t="n"/>
      <c r="I929" s="7" t="n"/>
      <c r="J929" s="7" t="n"/>
      <c r="K929" s="7" t="n"/>
      <c r="L929" s="7" t="n"/>
    </row>
    <row r="930">
      <c r="F930" s="7" t="n"/>
      <c r="G930" s="7" t="n"/>
      <c r="H930" s="7" t="n"/>
      <c r="I930" s="7" t="n"/>
      <c r="J930" s="7" t="n"/>
      <c r="K930" s="7" t="n"/>
      <c r="L930" s="7" t="n"/>
    </row>
    <row r="931">
      <c r="F931" s="7" t="n"/>
      <c r="G931" s="7" t="n"/>
      <c r="H931" s="7" t="n"/>
      <c r="I931" s="7" t="n"/>
      <c r="J931" s="7" t="n"/>
      <c r="K931" s="7" t="n"/>
      <c r="L931" s="7" t="n"/>
    </row>
    <row r="932">
      <c r="F932" s="7" t="n"/>
      <c r="G932" s="7" t="n"/>
      <c r="H932" s="7" t="n"/>
      <c r="I932" s="7" t="n"/>
      <c r="J932" s="7" t="n"/>
      <c r="K932" s="7" t="n"/>
      <c r="L932" s="7" t="n"/>
    </row>
    <row r="933">
      <c r="F933" s="7" t="n"/>
      <c r="G933" s="7" t="n"/>
      <c r="H933" s="7" t="n"/>
      <c r="I933" s="7" t="n"/>
      <c r="J933" s="7" t="n"/>
      <c r="K933" s="7" t="n"/>
      <c r="L933" s="7" t="n"/>
    </row>
    <row r="934">
      <c r="F934" s="7" t="n"/>
      <c r="G934" s="7" t="n"/>
      <c r="H934" s="7" t="n"/>
      <c r="I934" s="7" t="n"/>
      <c r="J934" s="7" t="n"/>
      <c r="K934" s="7" t="n"/>
      <c r="L934" s="7" t="n"/>
    </row>
    <row r="935">
      <c r="F935" s="7" t="n"/>
      <c r="G935" s="7" t="n"/>
      <c r="H935" s="7" t="n"/>
      <c r="I935" s="7" t="n"/>
      <c r="J935" s="7" t="n"/>
      <c r="K935" s="7" t="n"/>
      <c r="L935" s="7" t="n"/>
    </row>
    <row r="936">
      <c r="F936" s="7" t="n"/>
      <c r="G936" s="7" t="n"/>
      <c r="H936" s="7" t="n"/>
      <c r="I936" s="7" t="n"/>
      <c r="J936" s="7" t="n"/>
      <c r="K936" s="7" t="n"/>
      <c r="L936" s="7" t="n"/>
    </row>
    <row r="937">
      <c r="F937" s="7" t="n"/>
      <c r="G937" s="7" t="n"/>
      <c r="H937" s="7" t="n"/>
      <c r="I937" s="7" t="n"/>
      <c r="J937" s="7" t="n"/>
      <c r="K937" s="7" t="n"/>
      <c r="L937" s="7" t="n"/>
    </row>
    <row r="938">
      <c r="F938" s="7" t="n"/>
      <c r="G938" s="7" t="n"/>
      <c r="H938" s="7" t="n"/>
      <c r="I938" s="7" t="n"/>
      <c r="J938" s="7" t="n"/>
      <c r="K938" s="7" t="n"/>
      <c r="L938" s="7" t="n"/>
    </row>
    <row r="939">
      <c r="F939" s="7" t="n"/>
      <c r="G939" s="7" t="n"/>
      <c r="H939" s="7" t="n"/>
      <c r="I939" s="7" t="n"/>
      <c r="J939" s="7" t="n"/>
      <c r="K939" s="7" t="n"/>
      <c r="L939" s="7" t="n"/>
    </row>
    <row r="940">
      <c r="F940" s="7" t="n"/>
      <c r="G940" s="7" t="n"/>
      <c r="H940" s="7" t="n"/>
      <c r="I940" s="7" t="n"/>
      <c r="J940" s="7" t="n"/>
      <c r="K940" s="7" t="n"/>
      <c r="L940" s="7" t="n"/>
    </row>
    <row r="941">
      <c r="F941" s="7" t="n"/>
      <c r="G941" s="7" t="n"/>
      <c r="H941" s="7" t="n"/>
      <c r="I941" s="7" t="n"/>
      <c r="J941" s="7" t="n"/>
      <c r="K941" s="7" t="n"/>
      <c r="L941" s="7" t="n"/>
    </row>
    <row r="942">
      <c r="F942" s="7" t="n"/>
      <c r="G942" s="7" t="n"/>
      <c r="H942" s="7" t="n"/>
      <c r="I942" s="7" t="n"/>
      <c r="J942" s="7" t="n"/>
      <c r="K942" s="7" t="n"/>
      <c r="L942" s="7" t="n"/>
    </row>
    <row r="943">
      <c r="F943" s="7" t="n"/>
      <c r="G943" s="7" t="n"/>
      <c r="H943" s="7" t="n"/>
      <c r="I943" s="7" t="n"/>
      <c r="J943" s="7" t="n"/>
      <c r="K943" s="7" t="n"/>
      <c r="L943" s="7" t="n"/>
    </row>
    <row r="944">
      <c r="F944" s="7" t="n"/>
      <c r="G944" s="7" t="n"/>
      <c r="H944" s="7" t="n"/>
      <c r="I944" s="7" t="n"/>
      <c r="J944" s="7" t="n"/>
      <c r="K944" s="7" t="n"/>
      <c r="L944" s="7" t="n"/>
    </row>
    <row r="945">
      <c r="F945" s="7" t="n"/>
      <c r="G945" s="7" t="n"/>
      <c r="H945" s="7" t="n"/>
      <c r="I945" s="7" t="n"/>
      <c r="J945" s="7" t="n"/>
      <c r="K945" s="7" t="n"/>
      <c r="L945" s="7" t="n"/>
    </row>
    <row r="946">
      <c r="F946" s="7" t="n"/>
      <c r="G946" s="7" t="n"/>
      <c r="H946" s="7" t="n"/>
      <c r="I946" s="7" t="n"/>
      <c r="J946" s="7" t="n"/>
      <c r="K946" s="7" t="n"/>
      <c r="L946" s="7" t="n"/>
    </row>
    <row r="947">
      <c r="F947" s="7" t="n"/>
      <c r="G947" s="7" t="n"/>
      <c r="H947" s="7" t="n"/>
      <c r="I947" s="7" t="n"/>
      <c r="J947" s="7" t="n"/>
      <c r="K947" s="7" t="n"/>
      <c r="L947" s="7" t="n"/>
    </row>
    <row r="948">
      <c r="F948" s="7" t="n"/>
      <c r="G948" s="7" t="n"/>
      <c r="H948" s="7" t="n"/>
      <c r="I948" s="7" t="n"/>
      <c r="J948" s="7" t="n"/>
      <c r="K948" s="7" t="n"/>
      <c r="L948" s="7" t="n"/>
    </row>
    <row r="949">
      <c r="F949" s="7" t="n"/>
      <c r="G949" s="7" t="n"/>
      <c r="H949" s="7" t="n"/>
      <c r="I949" s="7" t="n"/>
      <c r="J949" s="7" t="n"/>
      <c r="K949" s="7" t="n"/>
      <c r="L949" s="7" t="n"/>
    </row>
    <row r="950">
      <c r="F950" s="7" t="n"/>
      <c r="G950" s="7" t="n"/>
      <c r="H950" s="7" t="n"/>
      <c r="I950" s="7" t="n"/>
      <c r="J950" s="7" t="n"/>
      <c r="K950" s="7" t="n"/>
      <c r="L950" s="7" t="n"/>
    </row>
    <row r="951">
      <c r="F951" s="7" t="n"/>
      <c r="G951" s="7" t="n"/>
      <c r="H951" s="7" t="n"/>
      <c r="I951" s="7" t="n"/>
      <c r="J951" s="7" t="n"/>
      <c r="K951" s="7" t="n"/>
      <c r="L951" s="7" t="n"/>
    </row>
    <row r="952">
      <c r="F952" s="7" t="n"/>
      <c r="G952" s="7" t="n"/>
      <c r="H952" s="7" t="n"/>
      <c r="I952" s="7" t="n"/>
      <c r="J952" s="7" t="n"/>
      <c r="K952" s="7" t="n"/>
      <c r="L952" s="7" t="n"/>
    </row>
    <row r="953">
      <c r="F953" s="7" t="n"/>
      <c r="G953" s="7" t="n"/>
      <c r="H953" s="7" t="n"/>
      <c r="I953" s="7" t="n"/>
      <c r="J953" s="7" t="n"/>
      <c r="K953" s="7" t="n"/>
      <c r="L953" s="7" t="n"/>
    </row>
    <row r="954">
      <c r="F954" s="7" t="n"/>
      <c r="G954" s="7" t="n"/>
      <c r="H954" s="7" t="n"/>
      <c r="I954" s="7" t="n"/>
      <c r="J954" s="7" t="n"/>
      <c r="K954" s="7" t="n"/>
      <c r="L954" s="7" t="n"/>
    </row>
    <row r="955">
      <c r="F955" s="7" t="n"/>
      <c r="G955" s="7" t="n"/>
      <c r="H955" s="7" t="n"/>
      <c r="I955" s="7" t="n"/>
      <c r="J955" s="7" t="n"/>
      <c r="K955" s="7" t="n"/>
      <c r="L955" s="7" t="n"/>
    </row>
    <row r="956">
      <c r="F956" s="7" t="n"/>
      <c r="G956" s="7" t="n"/>
      <c r="H956" s="7" t="n"/>
      <c r="I956" s="7" t="n"/>
      <c r="J956" s="7" t="n"/>
      <c r="K956" s="7" t="n"/>
      <c r="L956" s="7" t="n"/>
    </row>
    <row r="957">
      <c r="F957" s="7" t="n"/>
      <c r="G957" s="7" t="n"/>
      <c r="H957" s="7" t="n"/>
      <c r="I957" s="7" t="n"/>
      <c r="J957" s="7" t="n"/>
      <c r="K957" s="7" t="n"/>
      <c r="L957" s="7" t="n"/>
    </row>
    <row r="958">
      <c r="F958" s="7" t="n"/>
      <c r="G958" s="7" t="n"/>
      <c r="H958" s="7" t="n"/>
      <c r="I958" s="7" t="n"/>
      <c r="J958" s="7" t="n"/>
      <c r="K958" s="7" t="n"/>
      <c r="L958" s="7" t="n"/>
    </row>
    <row r="959">
      <c r="F959" s="7" t="n"/>
      <c r="G959" s="7" t="n"/>
      <c r="H959" s="7" t="n"/>
      <c r="I959" s="7" t="n"/>
      <c r="J959" s="7" t="n"/>
      <c r="K959" s="7" t="n"/>
      <c r="L959" s="7" t="n"/>
    </row>
    <row r="960">
      <c r="F960" s="7" t="n"/>
      <c r="G960" s="7" t="n"/>
      <c r="H960" s="7" t="n"/>
      <c r="I960" s="7" t="n"/>
      <c r="J960" s="7" t="n"/>
      <c r="K960" s="7" t="n"/>
      <c r="L960" s="7" t="n"/>
    </row>
    <row r="961">
      <c r="F961" s="7" t="n"/>
      <c r="G961" s="7" t="n"/>
      <c r="H961" s="7" t="n"/>
      <c r="I961" s="7" t="n"/>
      <c r="J961" s="7" t="n"/>
      <c r="K961" s="7" t="n"/>
      <c r="L961" s="7" t="n"/>
    </row>
    <row r="962">
      <c r="F962" s="7" t="n"/>
      <c r="G962" s="7" t="n"/>
      <c r="H962" s="7" t="n"/>
      <c r="I962" s="7" t="n"/>
      <c r="J962" s="7" t="n"/>
      <c r="K962" s="7" t="n"/>
      <c r="L962" s="7" t="n"/>
    </row>
    <row r="963">
      <c r="F963" s="7" t="n"/>
      <c r="G963" s="7" t="n"/>
      <c r="H963" s="7" t="n"/>
      <c r="I963" s="7" t="n"/>
      <c r="J963" s="7" t="n"/>
      <c r="K963" s="7" t="n"/>
      <c r="L963" s="7" t="n"/>
    </row>
    <row r="964">
      <c r="F964" s="7" t="n"/>
      <c r="G964" s="7" t="n"/>
      <c r="H964" s="7" t="n"/>
      <c r="I964" s="7" t="n"/>
      <c r="J964" s="7" t="n"/>
      <c r="K964" s="7" t="n"/>
      <c r="L964" s="7" t="n"/>
    </row>
    <row r="965">
      <c r="F965" s="7" t="n"/>
      <c r="G965" s="7" t="n"/>
      <c r="H965" s="7" t="n"/>
      <c r="I965" s="7" t="n"/>
      <c r="J965" s="7" t="n"/>
      <c r="K965" s="7" t="n"/>
      <c r="L965" s="7" t="n"/>
    </row>
    <row r="966">
      <c r="F966" s="7" t="n"/>
      <c r="G966" s="7" t="n"/>
      <c r="H966" s="7" t="n"/>
      <c r="I966" s="7" t="n"/>
      <c r="J966" s="7" t="n"/>
      <c r="K966" s="7" t="n"/>
      <c r="L966" s="7" t="n"/>
    </row>
    <row r="967">
      <c r="F967" s="7" t="n"/>
      <c r="G967" s="7" t="n"/>
      <c r="H967" s="7" t="n"/>
      <c r="I967" s="7" t="n"/>
      <c r="J967" s="7" t="n"/>
      <c r="K967" s="7" t="n"/>
      <c r="L967" s="7" t="n"/>
    </row>
    <row r="968">
      <c r="F968" s="7" t="n"/>
      <c r="G968" s="7" t="n"/>
      <c r="H968" s="7" t="n"/>
      <c r="I968" s="7" t="n"/>
      <c r="J968" s="7" t="n"/>
      <c r="K968" s="7" t="n"/>
      <c r="L968" s="7" t="n"/>
    </row>
    <row r="969">
      <c r="F969" s="7" t="n"/>
      <c r="G969" s="7" t="n"/>
      <c r="H969" s="7" t="n"/>
      <c r="I969" s="7" t="n"/>
      <c r="J969" s="7" t="n"/>
      <c r="K969" s="7" t="n"/>
      <c r="L969" s="7" t="n"/>
    </row>
    <row r="970">
      <c r="F970" s="7" t="n"/>
      <c r="G970" s="7" t="n"/>
      <c r="H970" s="7" t="n"/>
      <c r="I970" s="7" t="n"/>
      <c r="J970" s="7" t="n"/>
      <c r="K970" s="7" t="n"/>
      <c r="L970" s="7" t="n"/>
    </row>
    <row r="971">
      <c r="F971" s="7" t="n"/>
      <c r="G971" s="7" t="n"/>
      <c r="H971" s="7" t="n"/>
      <c r="I971" s="7" t="n"/>
      <c r="J971" s="7" t="n"/>
      <c r="K971" s="7" t="n"/>
      <c r="L971" s="7" t="n"/>
    </row>
    <row r="972">
      <c r="F972" s="7" t="n"/>
      <c r="G972" s="7" t="n"/>
      <c r="H972" s="7" t="n"/>
      <c r="I972" s="7" t="n"/>
      <c r="J972" s="7" t="n"/>
      <c r="K972" s="7" t="n"/>
      <c r="L972" s="7" t="n"/>
    </row>
    <row r="973">
      <c r="F973" s="7" t="n"/>
      <c r="G973" s="7" t="n"/>
      <c r="H973" s="7" t="n"/>
      <c r="I973" s="7" t="n"/>
      <c r="J973" s="7" t="n"/>
      <c r="K973" s="7" t="n"/>
      <c r="L973" s="7" t="n"/>
    </row>
    <row r="974">
      <c r="F974" s="7" t="n"/>
      <c r="G974" s="7" t="n"/>
      <c r="H974" s="7" t="n"/>
      <c r="I974" s="7" t="n"/>
      <c r="J974" s="7" t="n"/>
      <c r="K974" s="7" t="n"/>
      <c r="L974" s="7" t="n"/>
    </row>
    <row r="975">
      <c r="F975" s="7" t="n"/>
      <c r="G975" s="7" t="n"/>
      <c r="H975" s="7" t="n"/>
      <c r="I975" s="7" t="n"/>
      <c r="J975" s="7" t="n"/>
      <c r="K975" s="7" t="n"/>
      <c r="L975" s="7" t="n"/>
    </row>
    <row r="976">
      <c r="F976" s="7" t="n"/>
      <c r="G976" s="7" t="n"/>
      <c r="H976" s="7" t="n"/>
      <c r="I976" s="7" t="n"/>
      <c r="J976" s="7" t="n"/>
      <c r="K976" s="7" t="n"/>
      <c r="L976" s="7" t="n"/>
    </row>
    <row r="977">
      <c r="F977" s="7" t="n"/>
      <c r="G977" s="7" t="n"/>
      <c r="H977" s="7" t="n"/>
      <c r="I977" s="7" t="n"/>
      <c r="J977" s="7" t="n"/>
      <c r="K977" s="7" t="n"/>
      <c r="L977" s="7" t="n"/>
    </row>
    <row r="978">
      <c r="F978" s="7" t="n"/>
      <c r="G978" s="7" t="n"/>
      <c r="H978" s="7" t="n"/>
      <c r="I978" s="7" t="n"/>
      <c r="J978" s="7" t="n"/>
      <c r="K978" s="7" t="n"/>
      <c r="L978" s="7" t="n"/>
    </row>
    <row r="979">
      <c r="F979" s="7" t="n"/>
      <c r="G979" s="7" t="n"/>
      <c r="H979" s="7" t="n"/>
      <c r="I979" s="7" t="n"/>
      <c r="J979" s="7" t="n"/>
      <c r="K979" s="7" t="n"/>
      <c r="L979" s="7" t="n"/>
    </row>
    <row r="980">
      <c r="F980" s="7" t="n"/>
      <c r="G980" s="7" t="n"/>
      <c r="H980" s="7" t="n"/>
      <c r="I980" s="7" t="n"/>
      <c r="J980" s="7" t="n"/>
      <c r="K980" s="7" t="n"/>
      <c r="L980" s="7" t="n"/>
    </row>
    <row r="981">
      <c r="F981" s="7" t="n"/>
      <c r="G981" s="7" t="n"/>
      <c r="H981" s="7" t="n"/>
      <c r="I981" s="7" t="n"/>
      <c r="J981" s="7" t="n"/>
      <c r="K981" s="7" t="n"/>
      <c r="L981" s="7" t="n"/>
    </row>
    <row r="982">
      <c r="F982" s="7" t="n"/>
      <c r="G982" s="7" t="n"/>
      <c r="H982" s="7" t="n"/>
      <c r="I982" s="7" t="n"/>
      <c r="J982" s="7" t="n"/>
      <c r="K982" s="7" t="n"/>
      <c r="L982" s="7" t="n"/>
    </row>
    <row r="983">
      <c r="F983" s="7" t="n"/>
      <c r="G983" s="7" t="n"/>
      <c r="H983" s="7" t="n"/>
      <c r="I983" s="7" t="n"/>
      <c r="J983" s="7" t="n"/>
      <c r="K983" s="7" t="n"/>
      <c r="L983" s="7" t="n"/>
    </row>
    <row r="984">
      <c r="F984" s="7" t="n"/>
      <c r="G984" s="7" t="n"/>
      <c r="H984" s="7" t="n"/>
      <c r="I984" s="7" t="n"/>
      <c r="J984" s="7" t="n"/>
      <c r="K984" s="7" t="n"/>
      <c r="L984" s="7" t="n"/>
    </row>
    <row r="985">
      <c r="F985" s="7" t="n"/>
      <c r="G985" s="7" t="n"/>
      <c r="H985" s="7" t="n"/>
      <c r="I985" s="7" t="n"/>
      <c r="J985" s="7" t="n"/>
      <c r="K985" s="7" t="n"/>
      <c r="L985" s="7" t="n"/>
    </row>
    <row r="986">
      <c r="F986" s="7" t="n"/>
      <c r="G986" s="7" t="n"/>
      <c r="H986" s="7" t="n"/>
      <c r="I986" s="7" t="n"/>
      <c r="J986" s="7" t="n"/>
      <c r="K986" s="7" t="n"/>
      <c r="L986" s="7" t="n"/>
    </row>
    <row r="987">
      <c r="F987" s="7" t="n"/>
      <c r="G987" s="7" t="n"/>
      <c r="H987" s="7" t="n"/>
      <c r="I987" s="7" t="n"/>
      <c r="J987" s="7" t="n"/>
      <c r="K987" s="7" t="n"/>
      <c r="L987" s="7" t="n"/>
    </row>
    <row r="988">
      <c r="F988" s="7" t="n"/>
      <c r="G988" s="7" t="n"/>
      <c r="H988" s="7" t="n"/>
      <c r="I988" s="7" t="n"/>
      <c r="J988" s="7" t="n"/>
      <c r="K988" s="7" t="n"/>
      <c r="L988" s="7" t="n"/>
    </row>
    <row r="989">
      <c r="F989" s="7" t="n"/>
      <c r="G989" s="7" t="n"/>
      <c r="H989" s="7" t="n"/>
      <c r="I989" s="7" t="n"/>
      <c r="J989" s="7" t="n"/>
      <c r="K989" s="7" t="n"/>
      <c r="L989" s="7" t="n"/>
    </row>
    <row r="990">
      <c r="F990" s="7" t="n"/>
      <c r="G990" s="7" t="n"/>
      <c r="H990" s="7" t="n"/>
      <c r="I990" s="7" t="n"/>
      <c r="J990" s="7" t="n"/>
      <c r="K990" s="7" t="n"/>
      <c r="L990" s="7" t="n"/>
    </row>
    <row r="991">
      <c r="F991" s="7" t="n"/>
      <c r="G991" s="7" t="n"/>
      <c r="H991" s="7" t="n"/>
      <c r="I991" s="7" t="n"/>
      <c r="J991" s="7" t="n"/>
      <c r="K991" s="7" t="n"/>
      <c r="L991" s="7" t="n"/>
    </row>
    <row r="992">
      <c r="F992" s="7" t="n"/>
      <c r="G992" s="7" t="n"/>
      <c r="H992" s="7" t="n"/>
      <c r="I992" s="7" t="n"/>
      <c r="J992" s="7" t="n"/>
      <c r="K992" s="7" t="n"/>
      <c r="L992" s="7" t="n"/>
    </row>
    <row r="993">
      <c r="F993" s="7" t="n"/>
      <c r="G993" s="7" t="n"/>
      <c r="H993" s="7" t="n"/>
      <c r="I993" s="7" t="n"/>
      <c r="J993" s="7" t="n"/>
      <c r="K993" s="7" t="n"/>
      <c r="L993" s="7" t="n"/>
    </row>
    <row r="994">
      <c r="F994" s="7" t="n"/>
      <c r="G994" s="7" t="n"/>
      <c r="H994" s="7" t="n"/>
      <c r="I994" s="7" t="n"/>
      <c r="J994" s="7" t="n"/>
      <c r="K994" s="7" t="n"/>
      <c r="L994" s="7" t="n"/>
    </row>
    <row r="995">
      <c r="F995" s="7" t="n"/>
      <c r="G995" s="7" t="n"/>
      <c r="H995" s="7" t="n"/>
      <c r="I995" s="7" t="n"/>
      <c r="J995" s="7" t="n"/>
      <c r="K995" s="7" t="n"/>
      <c r="L995" s="7" t="n"/>
    </row>
    <row r="996">
      <c r="F996" s="7" t="n"/>
      <c r="G996" s="7" t="n"/>
      <c r="H996" s="7" t="n"/>
      <c r="I996" s="7" t="n"/>
      <c r="J996" s="7" t="n"/>
      <c r="K996" s="7" t="n"/>
      <c r="L996" s="7" t="n"/>
    </row>
    <row r="997">
      <c r="F997" s="7" t="n"/>
      <c r="G997" s="7" t="n"/>
      <c r="H997" s="7" t="n"/>
      <c r="I997" s="7" t="n"/>
      <c r="J997" s="7" t="n"/>
      <c r="K997" s="7" t="n"/>
      <c r="L997" s="7" t="n"/>
    </row>
    <row r="998">
      <c r="F998" s="7" t="n"/>
      <c r="G998" s="7" t="n"/>
      <c r="H998" s="7" t="n"/>
      <c r="I998" s="7" t="n"/>
      <c r="J998" s="7" t="n"/>
      <c r="K998" s="7" t="n"/>
      <c r="L998" s="7" t="n"/>
    </row>
    <row r="999">
      <c r="F999" s="7" t="n"/>
      <c r="G999" s="7" t="n"/>
      <c r="H999" s="7" t="n"/>
      <c r="I999" s="7" t="n"/>
      <c r="J999" s="7" t="n"/>
      <c r="K999" s="7" t="n"/>
      <c r="L999" s="7" t="n"/>
    </row>
    <row r="1000">
      <c r="F1000" s="7" t="n"/>
      <c r="G1000" s="7" t="n"/>
      <c r="H1000" s="7" t="n"/>
      <c r="I1000" s="7" t="n"/>
      <c r="J1000" s="7" t="n"/>
      <c r="K1000" s="7" t="n"/>
      <c r="L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E2:E1000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4">
      <formula>"Medium"</formula>
    </cfRule>
    <cfRule type="cellIs" priority="4" operator="equal" dxfId="8">
      <formula>"Low"</formula>
    </cfRule>
  </conditionalFormatting>
  <conditionalFormatting sqref="F2:F1000">
    <cfRule type="cellIs" priority="5" operator="equal" dxfId="6">
      <formula>"Critical"</formula>
    </cfRule>
    <cfRule type="cellIs" priority="6" operator="equal" dxfId="7">
      <formula>"High"</formula>
    </cfRule>
    <cfRule type="cellIs" priority="7" operator="equal" dxfId="4">
      <formula>"Medium"</formula>
    </cfRule>
    <cfRule type="cellIs" priority="8" operator="equal" dxfId="8">
      <formula>"Low"</formula>
    </cfRule>
  </conditionalFormatting>
  <conditionalFormatting sqref="J2:J1000">
    <cfRule type="cellIs" priority="9" operator="equal" dxfId="0">
      <formula>"Complete"</formula>
    </cfRule>
    <cfRule type="cellIs" priority="10" operator="equal" dxfId="1">
      <formula>"In Progress"</formula>
    </cfRule>
    <cfRule type="cellIs" priority="11" operator="equal" dxfId="2">
      <formula>"Blocked"</formula>
    </cfRule>
  </conditionalFormatting>
  <conditionalFormatting sqref="I2:I1000">
    <cfRule type="expression" priority="12" dxfId="5">
      <formula>AND(I2&lt;TODAY(), J2&lt;&gt;"Complete")</formula>
    </cfRule>
  </conditionalFormatting>
  <dataValidations count="3">
    <dataValidation sqref="E2:E1000" showDropDown="0" showInputMessage="0" showErrorMessage="1" allowBlank="0" errorTitle="Invalid Input" error="Please select from dropdown list" type="list">
      <formula1>"Critical,High,Medium,Low"</formula1>
    </dataValidation>
    <dataValidation sqref="F2:F1000" showDropDown="0" showInputMessage="0" showErrorMessage="1" allowBlank="0" errorTitle="Invalid Input" error="Please select from dropdown list" type="list">
      <formula1>"Critical,High,Medium,Low"</formula1>
    </dataValidation>
    <dataValidation sqref="J2:J1000" showDropDown="0" showInputMessage="0" showErrorMessage="1" allowBlank="0" errorTitle="Invalid Input" error="Please select from dropdown list" type="list">
      <formula1>"Not Started,In Progress,Complete,Blocked"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60" customWidth="1" min="4" max="4"/>
    <col width="30" customWidth="1" min="5" max="5"/>
    <col width="25" customWidth="1" min="6" max="6"/>
    <col width="15" customWidth="1" min="7" max="7"/>
    <col width="20" customWidth="1" min="8" max="8"/>
    <col width="50" customWidth="1" min="9" max="9"/>
  </cols>
  <sheetData>
    <row r="1">
      <c r="A1" s="6" t="inlineStr">
        <is>
          <t>Evidence ID</t>
        </is>
      </c>
      <c r="B1" s="6" t="inlineStr">
        <is>
          <t>Evidence Type</t>
        </is>
      </c>
      <c r="C1" s="6" t="inlineStr">
        <is>
          <t>Description</t>
        </is>
      </c>
      <c r="D1" s="6" t="inlineStr">
        <is>
          <t>File Location</t>
        </is>
      </c>
      <c r="E1" s="6" t="inlineStr">
        <is>
          <t>Linked Activity IDs</t>
        </is>
      </c>
      <c r="F1" s="6" t="inlineStr">
        <is>
          <t>Verified By</t>
        </is>
      </c>
      <c r="G1" s="6" t="inlineStr">
        <is>
          <t>Verification Date</t>
        </is>
      </c>
      <c r="H1" s="6" t="inlineStr">
        <is>
          <t>Verification Status</t>
        </is>
      </c>
      <c r="I1" s="6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H2:H1000">
    <cfRule type="cellIs" priority="1" operator="equal" dxfId="0">
      <formula>"Valid"</formula>
    </cfRule>
    <cfRule type="cellIs" priority="2" operator="equal" dxfId="2">
      <formula>"Expired"</formula>
    </cfRule>
    <cfRule type="cellIs" priority="3" operator="equal" dxfId="2">
      <formula>"Requires Update"</formula>
    </cfRule>
    <cfRule type="cellIs" priority="4" operator="equal" dxfId="1">
      <formula>"Under Review"</formula>
    </cfRule>
  </conditionalFormatting>
  <conditionalFormatting sqref="F2:G1000">
    <cfRule type="expression" priority="5" dxfId="4">
      <formula>F2=""</formula>
    </cfRule>
  </conditionalFormatting>
  <dataValidations count="2">
    <dataValidation sqref="B2:B1000" showDropDown="0" showInputMessage="0" showErrorMessage="1" allowBlank="0" errorTitle="Invalid Input" error="Please select from dropdown list" type="list">
      <formula1>"Consent Records,Customer Contract,Employment Contract,Processor Agreement (DPA),Legal Obligation (Statute),Legitimate Interest Assessment (LIA),Privacy Notice,Terms of Service,Employee Handbook,Consent Form Template,Consent Log Export,Other"</formula1>
    </dataValidation>
    <dataValidation sqref="H2:H1000" showDropDown="0" showInputMessage="0" showErrorMessage="1" allowBlank="0" errorTitle="Invalid Input" error="Please select from dropdown list" type="list">
      <formula1>"Valid,Expired,Requires Update,Under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Legal Basis Compliance Dashboard</t>
        </is>
      </c>
    </row>
    <row r="2">
      <c r="A2" s="9" t="inlineStr">
        <is>
          <t>Generated: 31.01.2026 03:16</t>
        </is>
      </c>
    </row>
    <row r="3"/>
    <row r="4">
      <c r="A4" s="10" t="inlineStr">
        <is>
          <t>LEGAL BASIS COVERAGE</t>
        </is>
      </c>
    </row>
    <row r="5">
      <c r="A5" s="5" t="inlineStr">
        <is>
          <t>Total Processing Activities</t>
        </is>
      </c>
      <c r="B5">
        <f>COUNTA('2. Legal Basis Inventory'!A2:A10000)</f>
        <v/>
      </c>
    </row>
    <row r="6">
      <c r="A6" s="5" t="inlineStr">
        <is>
          <t>Activities with Legal Basis</t>
        </is>
      </c>
      <c r="B6">
        <f>COUNTIF('2. Legal Basis Inventory'!D2:D10000, "&lt;&gt;")</f>
        <v/>
      </c>
    </row>
    <row r="7">
      <c r="A7" s="5" t="inlineStr">
        <is>
          <t>Coverage Percentage</t>
        </is>
      </c>
      <c r="B7" s="11">
        <f>IF(B5=0, 0, B6/B5)</f>
        <v/>
      </c>
    </row>
    <row r="8">
      <c r="A8" s="5" t="inlineStr">
        <is>
          <t>Gap Count</t>
        </is>
      </c>
      <c r="B8">
        <f>COUNTIF('2. Legal Basis Inventory'!N2:N10000, "Gap*")</f>
        <v/>
      </c>
    </row>
    <row r="9"/>
    <row r="10"/>
    <row r="11">
      <c r="A11" s="10" t="inlineStr">
        <is>
          <t>LEGAL BASIS DISTRIBUTION</t>
        </is>
      </c>
    </row>
    <row r="12">
      <c r="A12" s="5" t="inlineStr">
        <is>
          <t>Consent</t>
        </is>
      </c>
      <c r="B12">
        <f>COUNTIF('2. Legal Basis Inventory'!D2:D10000, "Consent (GDPR Art. 6(1)(a))*")</f>
        <v/>
      </c>
    </row>
    <row r="13">
      <c r="A13" s="5" t="inlineStr">
        <is>
          <t>Contract</t>
        </is>
      </c>
      <c r="B13">
        <f>COUNTIF('2. Legal Basis Inventory'!D2:D10000, "Contract (GDPR Art. 6(1)(b))*")</f>
        <v/>
      </c>
    </row>
    <row r="14">
      <c r="A14" s="5" t="inlineStr">
        <is>
          <t>Legal Obligation</t>
        </is>
      </c>
      <c r="B14">
        <f>COUNTIF('2. Legal Basis Inventory'!D2:D10000, "Legal Obligation (GDPR Art. 6(1)(c))*")</f>
        <v/>
      </c>
    </row>
    <row r="15">
      <c r="A15" s="5" t="inlineStr">
        <is>
          <t>Vital Interests</t>
        </is>
      </c>
      <c r="B15">
        <f>COUNTIF('2. Legal Basis Inventory'!D2:D10000, "Vital Interests (GDPR Art. 6(1)(d))*")</f>
        <v/>
      </c>
    </row>
    <row r="16">
      <c r="A16" s="5" t="inlineStr">
        <is>
          <t>Public Task</t>
        </is>
      </c>
      <c r="B16">
        <f>COUNTIF('2. Legal Basis Inventory'!D2:D10000, "Public Task (GDPR Art. 6(1)(e))*")</f>
        <v/>
      </c>
    </row>
    <row r="17">
      <c r="A17" s="5" t="inlineStr">
        <is>
          <t>Legitimate Interest</t>
        </is>
      </c>
      <c r="B17">
        <f>COUNTIF('2. Legal Basis Inventory'!D2:D10000, "Legitimate Interest (GDPR Art. 6(1)(f))*")</f>
        <v/>
      </c>
    </row>
    <row r="18"/>
    <row r="19"/>
    <row r="20">
      <c r="A20" s="10" t="inlineStr">
        <is>
          <t>CONSENT MANAGEMENT</t>
        </is>
      </c>
    </row>
    <row r="21">
      <c r="A21" s="5" t="inlineStr">
        <is>
          <t>Total Consents</t>
        </is>
      </c>
      <c r="B21">
        <f>COUNTA('4. Consent Management'!A2:A1000)</f>
        <v/>
      </c>
    </row>
    <row r="22">
      <c r="A22" s="5" t="inlineStr">
        <is>
          <t>Valid Consents</t>
        </is>
      </c>
      <c r="B22">
        <f>COUNTIF('4. Consent Management'!K2:K1000, "Valid")</f>
        <v/>
      </c>
    </row>
    <row r="23">
      <c r="A23" s="5" t="inlineStr">
        <is>
          <t>Invalid Consents</t>
        </is>
      </c>
      <c r="B23">
        <f>COUNTIFS('4. Consent Management'!K2:K1000, "Invalid*")</f>
        <v/>
      </c>
    </row>
    <row r="24">
      <c r="A24" s="5" t="inlineStr">
        <is>
          <t>Consent Validity Rate</t>
        </is>
      </c>
      <c r="B24" s="11">
        <f>IF(B21=0, 0, B22/B21)</f>
        <v/>
      </c>
    </row>
    <row r="25">
      <c r="A25" s="5" t="inlineStr">
        <is>
          <t>Consents Without Withdrawal</t>
        </is>
      </c>
      <c r="B25">
        <f>COUNTIF('4. Consent Management'!L2:L1000, "No")</f>
        <v/>
      </c>
    </row>
    <row r="26"/>
    <row r="27"/>
    <row r="28">
      <c r="A28" s="10" t="inlineStr">
        <is>
          <t>LEGITIMATE INTEREST ASSESSMENTS (LIA)</t>
        </is>
      </c>
    </row>
    <row r="29">
      <c r="A29" s="5" t="inlineStr">
        <is>
          <t>Total LIAs Required</t>
        </is>
      </c>
      <c r="B29">
        <f>COUNTIF('2. Legal Basis Inventory'!K2:K10000, "Yes*")</f>
        <v/>
      </c>
    </row>
    <row r="30">
      <c r="A30" s="5" t="inlineStr">
        <is>
          <t>LIAs Completed</t>
        </is>
      </c>
      <c r="B30">
        <f>COUNTA('3. Legitimate Interest Assessments'!A2:A1000)</f>
        <v/>
      </c>
    </row>
    <row r="31">
      <c r="A31" s="5" t="inlineStr">
        <is>
          <t>LIA Completion Rate</t>
        </is>
      </c>
      <c r="B31" s="11">
        <f>IF(B29=0, 0, B30/B29)</f>
        <v/>
      </c>
    </row>
    <row r="32">
      <c r="A32" s="5" t="inlineStr">
        <is>
          <t>LIAs Passed</t>
        </is>
      </c>
      <c r="B32">
        <f>COUNTIF('3. Legitimate Interest Assessments'!M2:M1000, "Pass*")</f>
        <v/>
      </c>
    </row>
    <row r="33">
      <c r="A33" s="5" t="inlineStr">
        <is>
          <t>LIAs Failed</t>
        </is>
      </c>
      <c r="B33">
        <f>COUNTIF('3. Legitimate Interest Assessments'!M2:M1000, "Fail*")</f>
        <v/>
      </c>
    </row>
    <row r="34">
      <c r="A34" s="5" t="inlineStr">
        <is>
          <t>LIAs Pending DPO Approval</t>
        </is>
      </c>
      <c r="B34">
        <f>COUNTIF('3. Legitimate Interest Assessments'!P2:P1000, "Pending")</f>
        <v/>
      </c>
    </row>
    <row r="35"/>
    <row r="36"/>
    <row r="37">
      <c r="A37" s="10" t="inlineStr">
        <is>
          <t>GAP ANALYSIS</t>
        </is>
      </c>
    </row>
    <row r="38">
      <c r="A38" s="5" t="inlineStr">
        <is>
          <t>Critical Gaps</t>
        </is>
      </c>
      <c r="B38">
        <f>COUNTIF('5. Legal Basis Gaps'!E2:E1000, "Critical")</f>
        <v/>
      </c>
    </row>
    <row r="39">
      <c r="A39" s="5" t="inlineStr">
        <is>
          <t>High Priority Gaps</t>
        </is>
      </c>
      <c r="B39">
        <f>COUNTIF('5. Legal Basis Gaps'!E2:E1000, "High")</f>
        <v/>
      </c>
    </row>
    <row r="40">
      <c r="A40" s="5" t="inlineStr">
        <is>
          <t>Medium Priority Gaps</t>
        </is>
      </c>
      <c r="B40">
        <f>COUNTIF('5. Legal Basis Gaps'!E2:E1000, "Medium")</f>
        <v/>
      </c>
    </row>
    <row r="41">
      <c r="A41" s="5" t="inlineStr">
        <is>
          <t>Low Priority Gaps</t>
        </is>
      </c>
      <c r="B41">
        <f>COUNTIF('5. Legal Basis Gaps'!E2:E1000, "Low")</f>
        <v/>
      </c>
    </row>
    <row r="42">
      <c r="A42" s="5" t="inlineStr">
        <is>
          <t>Gaps Remediated</t>
        </is>
      </c>
      <c r="B42">
        <f>COUNTIF('5. Legal Basis Gaps'!J2:J1000, "Complete")</f>
        <v/>
      </c>
    </row>
    <row r="43">
      <c r="A43" s="5" t="inlineStr">
        <is>
          <t>Remediation Progress</t>
        </is>
      </c>
      <c r="B43" s="11">
        <f>IF(SUM(B38:B41)=0, 0, B42/SUM(B38:B41))</f>
        <v/>
      </c>
    </row>
    <row r="44"/>
    <row r="45"/>
    <row r="46">
      <c r="A46" s="10" t="inlineStr">
        <is>
          <t>OVERALL COMPLIANCE SCORE</t>
        </is>
      </c>
    </row>
    <row r="47">
      <c r="A47" s="12" t="inlineStr">
        <is>
          <t>Compliance Score</t>
        </is>
      </c>
      <c r="B47" s="13">
        <f>AVERAGE(B7, B27, B36)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8">
    <mergeCell ref="A4:B4"/>
    <mergeCell ref="A2:F2"/>
    <mergeCell ref="A20:B20"/>
    <mergeCell ref="A11:B11"/>
    <mergeCell ref="A1:F1"/>
    <mergeCell ref="A28:B28"/>
    <mergeCell ref="A37:B37"/>
    <mergeCell ref="A46:B46"/>
  </mergeCells>
  <conditionalFormatting sqref="B47">
    <cfRule type="cellIs" priority="1" operator="greaterThanOrEqual" dxfId="9">
      <formula>0.9</formula>
    </cfRule>
    <cfRule type="cellIs" priority="2" operator="between" dxfId="10">
      <formula>0.7</formula>
      <formula>0.9</formula>
    </cfRule>
    <cfRule type="cellIs" priority="3" operator="between" dxfId="3">
      <formula>0.5</formula>
      <formula>0.7</formula>
    </cfRule>
    <cfRule type="cellIs" priority="4" operator="lessThan" dxfId="11">
      <formula>0.5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Legal Basis Assessment - Approval and Sign-Off</t>
        </is>
      </c>
    </row>
    <row r="4">
      <c r="A4" s="10" t="inlineStr">
        <is>
          <t>ASSESSMENT COMPLETION</t>
        </is>
      </c>
    </row>
    <row r="5">
      <c r="A5" s="5" t="inlineStr">
        <is>
          <t>Assessor Name:</t>
        </is>
      </c>
      <c r="B5" s="7" t="n"/>
    </row>
    <row r="6">
      <c r="A6" s="5" t="inlineStr">
        <is>
          <t>Role:</t>
        </is>
      </c>
      <c r="B6" s="7" t="n"/>
    </row>
    <row r="7">
      <c r="A7" s="5" t="inlineStr">
        <is>
          <t>Completion Date:</t>
        </is>
      </c>
      <c r="B7" s="14" t="n"/>
    </row>
    <row r="10">
      <c r="A10" s="10" t="inlineStr">
        <is>
          <t>STAKEHOLDER REVIEWS</t>
        </is>
      </c>
    </row>
    <row r="12">
      <c r="A12" s="15" t="inlineStr">
        <is>
          <t>Stakeholder</t>
        </is>
      </c>
      <c r="B12" s="15" t="inlineStr">
        <is>
          <t>Name</t>
        </is>
      </c>
      <c r="C12" s="15" t="inlineStr">
        <is>
          <t>Date</t>
        </is>
      </c>
      <c r="D12" s="15" t="inlineStr">
        <is>
          <t>Approval Status</t>
        </is>
      </c>
      <c r="E12" s="15" t="inlineStr">
        <is>
          <t>Comments</t>
        </is>
      </c>
    </row>
    <row r="13">
      <c r="A13" s="5" t="inlineStr">
        <is>
          <t>Data Protection Officer (DPO)</t>
        </is>
      </c>
      <c r="B13" s="7" t="n"/>
      <c r="C13" s="14" t="n"/>
      <c r="D13" s="7" t="n"/>
      <c r="E13" s="7" t="n"/>
    </row>
    <row r="14">
      <c r="A14" s="5" t="inlineStr">
        <is>
          <t>Legal Counsel</t>
        </is>
      </c>
      <c r="B14" s="7" t="n"/>
      <c r="C14" s="14" t="n"/>
      <c r="D14" s="7" t="n"/>
      <c r="E14" s="7" t="n"/>
    </row>
    <row r="15">
      <c r="A15" s="5" t="inlineStr">
        <is>
          <t>Business Process Owner</t>
        </is>
      </c>
      <c r="B15" s="7" t="n"/>
      <c r="C15" s="14" t="n"/>
      <c r="D15" s="7" t="n"/>
      <c r="E15" s="7" t="n"/>
    </row>
    <row r="16">
      <c r="A16" s="5" t="inlineStr">
        <is>
          <t>CISO / Chief Privacy Officer</t>
        </is>
      </c>
      <c r="B16" s="7" t="n"/>
      <c r="C16" s="14" t="n"/>
      <c r="D16" s="7" t="n"/>
      <c r="E16" s="7" t="n"/>
    </row>
    <row r="19">
      <c r="A19" s="10" t="inlineStr">
        <is>
          <t>FINAL APPROVAL</t>
        </is>
      </c>
    </row>
    <row r="20">
      <c r="A20" s="5" t="inlineStr">
        <is>
          <t>Final Approver:</t>
        </is>
      </c>
      <c r="B20" s="7" t="n"/>
    </row>
    <row r="21">
      <c r="A21" s="5" t="inlineStr">
        <is>
          <t>Title:</t>
        </is>
      </c>
      <c r="B21" s="7" t="n"/>
    </row>
    <row r="22">
      <c r="A22" s="5" t="inlineStr">
        <is>
          <t>Approval Date:</t>
        </is>
      </c>
      <c r="B22" s="14" t="n"/>
    </row>
    <row r="23">
      <c r="A23" s="5" t="inlineStr">
        <is>
          <t>Next Review Date:</t>
        </is>
      </c>
      <c r="B23" s="16">
        <f>DATE(YEAR(B22)+1, MONTH(B22), DAY(B22))</f>
        <v/>
      </c>
    </row>
    <row r="24">
      <c r="A24" s="5" t="inlineStr">
        <is>
          <t>Signature:</t>
        </is>
      </c>
      <c r="B24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19:E19"/>
    <mergeCell ref="A1:E1"/>
    <mergeCell ref="A4:E4"/>
    <mergeCell ref="A10:E10"/>
  </mergeCells>
  <conditionalFormatting sqref="D13:D16">
    <cfRule type="cellIs" priority="1" operator="equal" dxfId="0">
      <formula>"Approved"</formula>
    </cfRule>
    <cfRule type="cellIs" priority="2" operator="equal" dxfId="1">
      <formula>"Approved with Conditions"</formula>
    </cfRule>
    <cfRule type="cellIs" priority="3" operator="equal" dxfId="2">
      <formula>"Requires Revision"</formula>
    </cfRule>
    <cfRule type="cellIs" priority="4" operator="equal" dxfId="2">
      <formula>"Rejected"</formula>
    </cfRule>
  </conditionalFormatting>
  <dataValidations count="1">
    <dataValidation sqref="D13:D16" showDropDown="0" showInputMessage="0" showErrorMessage="1" allowBlank="0" errorTitle="Invalid Input" error="Please select from dropdown list" type="list">
      <formula1>"Approved,Approved with Conditions,Requires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2026-01-31T02:16:05Z</dcterms:created>
  <dcterms:modified xmlns:dcterms="http://purl.org/dc/terms/" xmlns:xsi="http://www.w3.org/2001/XMLSchema-instance" xsi:type="dcterms:W3CDTF">2026-01-31T02:16:06Z</dcterms:modified>
</cp:coreProperties>
</file>